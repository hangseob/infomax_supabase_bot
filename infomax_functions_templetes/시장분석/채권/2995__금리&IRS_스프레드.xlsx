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trlProps/ctrlProp9.xml" ContentType="application/vnd.ms-excel.control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volatileDependencies.xml" ContentType="application/vnd.openxmlformats-officedocument.spreadsheetml.volatileDependencies+xml"/>
  <Override PartName="/xl/ctrlProps/ctrlProp8.xml" ContentType="application/vnd.ms-excel.controlproperties+xml"/>
  <Override PartName="/xl/ctrlProps/ctrlProp7.xml" ContentType="application/vnd.ms-excel.control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11.xml" ContentType="application/vnd.ms-excel.controlproperties+xml"/>
  <Override PartName="/xl/sharedStrings.xml" ContentType="application/vnd.openxmlformats-officedocument.spreadsheetml.sharedStrings+xml"/>
  <Override PartName="/xl/ctrlProps/ctrlProp10.xml" ContentType="application/vnd.ms-excel.controlproperties+xml"/>
  <Override PartName="/xl/ctrlProps/ctrlProp4.xml" ContentType="application/vnd.ms-excel.controlproperties+xml"/>
  <Override PartName="/xl/ctrlProps/ctrlProp3.xml" ContentType="application/vnd.ms-excel.controlproperties+xml"/>
  <Override PartName="/xl/ctrlProps/ctrlProp2.xml" ContentType="application/vnd.ms-excel.controlproperties+xml"/>
  <Override PartName="/xl/ctrlProps/ctrlProp1.xml" ContentType="application/vnd.ms-excel.contro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240" yWindow="90" windowWidth="24825" windowHeight="11925"/>
  </bookViews>
  <sheets>
    <sheet name="BOND&amp;IRS_SP" sheetId="1" r:id="rId1"/>
    <sheet name="BOND" sheetId="2" state="hidden" r:id="rId2"/>
    <sheet name="IRS" sheetId="4" state="hidden" r:id="rId3"/>
  </sheets>
  <definedNames>
    <definedName name="code_list">BOND!$CK$2:$CK$84</definedName>
    <definedName name="name_list">BOND!$CJ$2:$CJ$84</definedName>
  </definedNames>
  <calcPr calcId="125725"/>
</workbook>
</file>

<file path=xl/calcChain.xml><?xml version="1.0" encoding="utf-8"?>
<calcChain xmlns="http://schemas.openxmlformats.org/spreadsheetml/2006/main">
  <c r="CH13" i="2"/>
  <c r="CG13"/>
  <c r="CF13"/>
  <c r="CE13"/>
  <c r="CD13"/>
  <c r="CC13"/>
  <c r="CB13"/>
  <c r="CA13"/>
  <c r="BZ13"/>
  <c r="BY13"/>
  <c r="BX13"/>
  <c r="BW13"/>
  <c r="BV13"/>
  <c r="BU13"/>
  <c r="BT13"/>
  <c r="BS13"/>
  <c r="BR13"/>
  <c r="BQ13"/>
  <c r="BP13"/>
  <c r="BO13"/>
  <c r="BN13"/>
  <c r="BM13"/>
  <c r="BL13"/>
  <c r="BK13"/>
  <c r="BJ13"/>
  <c r="BI13"/>
  <c r="BH13"/>
  <c r="BG13"/>
  <c r="BF13"/>
  <c r="BE13"/>
  <c r="BD13"/>
  <c r="BC13"/>
  <c r="BB13"/>
  <c r="BA13"/>
  <c r="AZ13"/>
  <c r="AY13"/>
  <c r="AX13"/>
  <c r="AW13"/>
  <c r="AV13"/>
  <c r="AU13"/>
  <c r="AT13"/>
  <c r="AS13"/>
  <c r="AR13"/>
  <c r="AQ13"/>
  <c r="AP13"/>
  <c r="AO13"/>
  <c r="AN13"/>
  <c r="AM13"/>
  <c r="AL13"/>
  <c r="AK13"/>
  <c r="AJ13"/>
  <c r="AI13"/>
  <c r="AH13"/>
  <c r="AG13"/>
  <c r="AF13"/>
  <c r="AE13"/>
  <c r="AD13"/>
  <c r="AC13"/>
  <c r="AB13"/>
  <c r="AA13"/>
  <c r="Z13"/>
  <c r="Y13"/>
  <c r="X13"/>
  <c r="CH12"/>
  <c r="CG12"/>
  <c r="CF12"/>
  <c r="CE12"/>
  <c r="CD12"/>
  <c r="CC12"/>
  <c r="CB12"/>
  <c r="CA12"/>
  <c r="BZ12"/>
  <c r="BY12"/>
  <c r="BX12"/>
  <c r="BW12"/>
  <c r="BV12"/>
  <c r="BU12"/>
  <c r="BT12"/>
  <c r="BS12"/>
  <c r="BR12"/>
  <c r="BQ12"/>
  <c r="BP12"/>
  <c r="BO12"/>
  <c r="BN12"/>
  <c r="BM12"/>
  <c r="BL12"/>
  <c r="BK12"/>
  <c r="BJ12"/>
  <c r="BI12"/>
  <c r="BH12"/>
  <c r="BG12"/>
  <c r="BF12"/>
  <c r="BE12"/>
  <c r="BD12"/>
  <c r="BC12"/>
  <c r="BB12"/>
  <c r="BA12"/>
  <c r="AZ12"/>
  <c r="AY12"/>
  <c r="AX12"/>
  <c r="AW12"/>
  <c r="AV12"/>
  <c r="AU12"/>
  <c r="AT12"/>
  <c r="AS12"/>
  <c r="AR12"/>
  <c r="AQ12"/>
  <c r="AP12"/>
  <c r="AO12"/>
  <c r="AN12"/>
  <c r="AM12"/>
  <c r="AL12"/>
  <c r="AK12"/>
  <c r="AJ12"/>
  <c r="AI12"/>
  <c r="AH12"/>
  <c r="AG12"/>
  <c r="AF12"/>
  <c r="AE12"/>
  <c r="AD12"/>
  <c r="AC12"/>
  <c r="AB12"/>
  <c r="AA12"/>
  <c r="Z12"/>
  <c r="Y12"/>
  <c r="X12"/>
  <c r="CH11"/>
  <c r="CG11"/>
  <c r="CF11"/>
  <c r="CE11"/>
  <c r="CD11"/>
  <c r="CC11"/>
  <c r="CB11"/>
  <c r="CA11"/>
  <c r="BZ11"/>
  <c r="BY11"/>
  <c r="BX11"/>
  <c r="BW11"/>
  <c r="BV11"/>
  <c r="BU11"/>
  <c r="BT11"/>
  <c r="BS11"/>
  <c r="BR11"/>
  <c r="BQ11"/>
  <c r="BP11"/>
  <c r="BO11"/>
  <c r="BN11"/>
  <c r="BM11"/>
  <c r="BL11"/>
  <c r="BK11"/>
  <c r="BJ11"/>
  <c r="BI11"/>
  <c r="BH11"/>
  <c r="BG11"/>
  <c r="BF11"/>
  <c r="BE11"/>
  <c r="BD11"/>
  <c r="BC11"/>
  <c r="BB11"/>
  <c r="BA11"/>
  <c r="AZ11"/>
  <c r="AY11"/>
  <c r="AX11"/>
  <c r="AW11"/>
  <c r="AV11"/>
  <c r="AU11"/>
  <c r="AT11"/>
  <c r="AS11"/>
  <c r="AR11"/>
  <c r="AQ11"/>
  <c r="AP11"/>
  <c r="AO11"/>
  <c r="AN11"/>
  <c r="AM11"/>
  <c r="AL11"/>
  <c r="AK11"/>
  <c r="AJ11"/>
  <c r="AI11"/>
  <c r="AH11"/>
  <c r="AG11"/>
  <c r="AF11"/>
  <c r="AE11"/>
  <c r="AD11"/>
  <c r="AC11"/>
  <c r="AB11"/>
  <c r="AA11"/>
  <c r="Z11"/>
  <c r="Y11"/>
  <c r="X11"/>
  <c r="CH10"/>
  <c r="CG10"/>
  <c r="CF10"/>
  <c r="CE10"/>
  <c r="CD10"/>
  <c r="CC10"/>
  <c r="CB10"/>
  <c r="CA10"/>
  <c r="BZ10"/>
  <c r="BY10"/>
  <c r="BX10"/>
  <c r="BW10"/>
  <c r="BV10"/>
  <c r="BU10"/>
  <c r="BT10"/>
  <c r="BS10"/>
  <c r="BR10"/>
  <c r="BQ10"/>
  <c r="BP10"/>
  <c r="BO10"/>
  <c r="BN10"/>
  <c r="BM10"/>
  <c r="BL10"/>
  <c r="BK10"/>
  <c r="BJ10"/>
  <c r="BI10"/>
  <c r="BH10"/>
  <c r="BG10"/>
  <c r="BF10"/>
  <c r="BE10"/>
  <c r="BD10"/>
  <c r="BC10"/>
  <c r="BB10"/>
  <c r="BA10"/>
  <c r="AZ10"/>
  <c r="AY10"/>
  <c r="AX10"/>
  <c r="AW10"/>
  <c r="AV10"/>
  <c r="AU10"/>
  <c r="AT10"/>
  <c r="AS10"/>
  <c r="AR10"/>
  <c r="AQ10"/>
  <c r="AP10"/>
  <c r="AO10"/>
  <c r="AN10"/>
  <c r="AM10"/>
  <c r="AL10"/>
  <c r="AK10"/>
  <c r="AJ10"/>
  <c r="AI10"/>
  <c r="AH10"/>
  <c r="AG10"/>
  <c r="AF10"/>
  <c r="AE10"/>
  <c r="AD10"/>
  <c r="AC10"/>
  <c r="AB10"/>
  <c r="AA10"/>
  <c r="Z10"/>
  <c r="Y10"/>
  <c r="X10"/>
  <c r="CH9"/>
  <c r="CG9"/>
  <c r="CF9"/>
  <c r="CE9"/>
  <c r="CD9"/>
  <c r="CC9"/>
  <c r="CB9"/>
  <c r="CA9"/>
  <c r="BZ9"/>
  <c r="BY9"/>
  <c r="BX9"/>
  <c r="BW9"/>
  <c r="BV9"/>
  <c r="BU9"/>
  <c r="BT9"/>
  <c r="BS9"/>
  <c r="BR9"/>
  <c r="BQ9"/>
  <c r="BP9"/>
  <c r="BO9"/>
  <c r="BN9"/>
  <c r="BM9"/>
  <c r="BL9"/>
  <c r="BK9"/>
  <c r="BJ9"/>
  <c r="BI9"/>
  <c r="BH9"/>
  <c r="BG9"/>
  <c r="BF9"/>
  <c r="BE9"/>
  <c r="BD9"/>
  <c r="BC9"/>
  <c r="BB9"/>
  <c r="BA9"/>
  <c r="AZ9"/>
  <c r="AY9"/>
  <c r="AX9"/>
  <c r="AW9"/>
  <c r="AV9"/>
  <c r="AU9"/>
  <c r="AT9"/>
  <c r="AS9"/>
  <c r="AR9"/>
  <c r="AQ9"/>
  <c r="AP9"/>
  <c r="AO9"/>
  <c r="AN9"/>
  <c r="AM9"/>
  <c r="AL9"/>
  <c r="AK9"/>
  <c r="AJ9"/>
  <c r="AI9"/>
  <c r="AH9"/>
  <c r="AG9"/>
  <c r="AF9"/>
  <c r="AE9"/>
  <c r="AD9"/>
  <c r="AC9"/>
  <c r="AB9"/>
  <c r="AA9"/>
  <c r="Z9"/>
  <c r="Y9"/>
  <c r="X9"/>
  <c r="CH8"/>
  <c r="CG8"/>
  <c r="CF8"/>
  <c r="CE8"/>
  <c r="CD8"/>
  <c r="CC8"/>
  <c r="CB8"/>
  <c r="CA8"/>
  <c r="BZ8"/>
  <c r="BY8"/>
  <c r="BX8"/>
  <c r="BW8"/>
  <c r="BV8"/>
  <c r="BU8"/>
  <c r="BT8"/>
  <c r="BS8"/>
  <c r="BR8"/>
  <c r="BQ8"/>
  <c r="BP8"/>
  <c r="BO8"/>
  <c r="BN8"/>
  <c r="BM8"/>
  <c r="BL8"/>
  <c r="BK8"/>
  <c r="BJ8"/>
  <c r="BI8"/>
  <c r="BH8"/>
  <c r="BG8"/>
  <c r="BF8"/>
  <c r="BE8"/>
  <c r="BD8"/>
  <c r="BC8"/>
  <c r="BB8"/>
  <c r="BA8"/>
  <c r="AZ8"/>
  <c r="AY8"/>
  <c r="AX8"/>
  <c r="AW8"/>
  <c r="AV8"/>
  <c r="AU8"/>
  <c r="AT8"/>
  <c r="AS8"/>
  <c r="AR8"/>
  <c r="AQ8"/>
  <c r="AP8"/>
  <c r="AO8"/>
  <c r="AN8"/>
  <c r="AM8"/>
  <c r="AL8"/>
  <c r="AK8"/>
  <c r="AJ8"/>
  <c r="AI8"/>
  <c r="AH8"/>
  <c r="AG8"/>
  <c r="AF8"/>
  <c r="AE8"/>
  <c r="AD8"/>
  <c r="AC8"/>
  <c r="AB8"/>
  <c r="AA8"/>
  <c r="Z8"/>
  <c r="Y8"/>
  <c r="X8"/>
  <c r="CH7"/>
  <c r="CG7"/>
  <c r="CF7"/>
  <c r="CE7"/>
  <c r="CD7"/>
  <c r="CC7"/>
  <c r="CB7"/>
  <c r="CA7"/>
  <c r="BZ7"/>
  <c r="BY7"/>
  <c r="BX7"/>
  <c r="BW7"/>
  <c r="BV7"/>
  <c r="BU7"/>
  <c r="BT7"/>
  <c r="BS7"/>
  <c r="BR7"/>
  <c r="BQ7"/>
  <c r="BP7"/>
  <c r="BO7"/>
  <c r="BN7"/>
  <c r="BM7"/>
  <c r="BL7"/>
  <c r="BK7"/>
  <c r="BJ7"/>
  <c r="BI7"/>
  <c r="BH7"/>
  <c r="BG7"/>
  <c r="BF7"/>
  <c r="BE7"/>
  <c r="BD7"/>
  <c r="BC7"/>
  <c r="BB7"/>
  <c r="BA7"/>
  <c r="AZ7"/>
  <c r="AY7"/>
  <c r="AX7"/>
  <c r="AW7"/>
  <c r="AV7"/>
  <c r="AU7"/>
  <c r="AT7"/>
  <c r="AS7"/>
  <c r="AR7"/>
  <c r="AQ7"/>
  <c r="AP7"/>
  <c r="AO7"/>
  <c r="AN7"/>
  <c r="AM7"/>
  <c r="AL7"/>
  <c r="AK7"/>
  <c r="AJ7"/>
  <c r="AI7"/>
  <c r="AH7"/>
  <c r="AG7"/>
  <c r="AF7"/>
  <c r="AE7"/>
  <c r="AD7"/>
  <c r="AC7"/>
  <c r="AB7"/>
  <c r="AA7"/>
  <c r="Z7"/>
  <c r="Y7"/>
  <c r="X7"/>
  <c r="CH6"/>
  <c r="CG6"/>
  <c r="CF6"/>
  <c r="CE6"/>
  <c r="CD6"/>
  <c r="CC6"/>
  <c r="CB6"/>
  <c r="CA6"/>
  <c r="BZ6"/>
  <c r="BY6"/>
  <c r="BX6"/>
  <c r="BW6"/>
  <c r="BV6"/>
  <c r="BU6"/>
  <c r="BT6"/>
  <c r="BS6"/>
  <c r="BR6"/>
  <c r="BQ6"/>
  <c r="BP6"/>
  <c r="BO6"/>
  <c r="BN6"/>
  <c r="BM6"/>
  <c r="BL6"/>
  <c r="BK6"/>
  <c r="BJ6"/>
  <c r="BI6"/>
  <c r="BH6"/>
  <c r="BG6"/>
  <c r="BF6"/>
  <c r="BE6"/>
  <c r="BD6"/>
  <c r="BC6"/>
  <c r="BB6"/>
  <c r="BA6"/>
  <c r="AZ6"/>
  <c r="AY6"/>
  <c r="AX6"/>
  <c r="AW6"/>
  <c r="AV6"/>
  <c r="AU6"/>
  <c r="AT6"/>
  <c r="AS6"/>
  <c r="AR6"/>
  <c r="AQ6"/>
  <c r="AP6"/>
  <c r="AO6"/>
  <c r="AN6"/>
  <c r="AM6"/>
  <c r="AL6"/>
  <c r="AK6"/>
  <c r="AJ6"/>
  <c r="AI6"/>
  <c r="AH6"/>
  <c r="AG6"/>
  <c r="AF6"/>
  <c r="AE6"/>
  <c r="AD6"/>
  <c r="AC6"/>
  <c r="AB6"/>
  <c r="AA6"/>
  <c r="Z6"/>
  <c r="Y6"/>
  <c r="X6"/>
  <c r="CH5"/>
  <c r="CG5"/>
  <c r="CF5"/>
  <c r="CE5"/>
  <c r="CD5"/>
  <c r="CC5"/>
  <c r="CB5"/>
  <c r="CA5"/>
  <c r="BZ5"/>
  <c r="BY5"/>
  <c r="BX5"/>
  <c r="BW5"/>
  <c r="BV5"/>
  <c r="BU5"/>
  <c r="BT5"/>
  <c r="BS5"/>
  <c r="BR5"/>
  <c r="BQ5"/>
  <c r="BP5"/>
  <c r="BO5"/>
  <c r="BN5"/>
  <c r="BM5"/>
  <c r="BL5"/>
  <c r="BK5"/>
  <c r="BJ5"/>
  <c r="BI5"/>
  <c r="BH5"/>
  <c r="BG5"/>
  <c r="BF5"/>
  <c r="BE5"/>
  <c r="BD5"/>
  <c r="BC5"/>
  <c r="BB5"/>
  <c r="BA5"/>
  <c r="AZ5"/>
  <c r="AY5"/>
  <c r="AX5"/>
  <c r="AW5"/>
  <c r="AV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CH4"/>
  <c r="CG4"/>
  <c r="CF4"/>
  <c r="CE4"/>
  <c r="CD4"/>
  <c r="CC4"/>
  <c r="CB4"/>
  <c r="CA4"/>
  <c r="BZ4"/>
  <c r="BY4"/>
  <c r="BX4"/>
  <c r="BW4"/>
  <c r="BV4"/>
  <c r="BU4"/>
  <c r="BT4"/>
  <c r="BS4"/>
  <c r="BR4"/>
  <c r="BQ4"/>
  <c r="BP4"/>
  <c r="BO4"/>
  <c r="BN4"/>
  <c r="BM4"/>
  <c r="BL4"/>
  <c r="BK4"/>
  <c r="BJ4"/>
  <c r="BI4"/>
  <c r="BH4"/>
  <c r="BG4"/>
  <c r="BF4"/>
  <c r="BE4"/>
  <c r="BD4"/>
  <c r="BC4"/>
  <c r="BB4"/>
  <c r="BA4"/>
  <c r="AZ4"/>
  <c r="AY4"/>
  <c r="AX4"/>
  <c r="AW4"/>
  <c r="AV4"/>
  <c r="AU4"/>
  <c r="AT4"/>
  <c r="AS4"/>
  <c r="AR4"/>
  <c r="AQ4"/>
  <c r="AP4"/>
  <c r="AO4"/>
  <c r="AN4"/>
  <c r="AM4"/>
  <c r="AL4"/>
  <c r="AK4"/>
  <c r="AJ4"/>
  <c r="AI4"/>
  <c r="AH4"/>
  <c r="AG4"/>
  <c r="AF4"/>
  <c r="AE4"/>
  <c r="AD4"/>
  <c r="AC4"/>
  <c r="AB4"/>
  <c r="AA4"/>
  <c r="Z4"/>
  <c r="Y4"/>
  <c r="X4"/>
  <c r="CH3"/>
  <c r="CG3"/>
  <c r="CF3"/>
  <c r="CE3"/>
  <c r="CD3"/>
  <c r="CC3"/>
  <c r="CB3"/>
  <c r="CA3"/>
  <c r="BZ3"/>
  <c r="BY3"/>
  <c r="BX3"/>
  <c r="BW3"/>
  <c r="BV3"/>
  <c r="BU3"/>
  <c r="BT3"/>
  <c r="BS3"/>
  <c r="BR3"/>
  <c r="BQ3"/>
  <c r="BP3"/>
  <c r="BO3"/>
  <c r="BN3"/>
  <c r="BM3"/>
  <c r="BL3"/>
  <c r="BK3"/>
  <c r="BJ3"/>
  <c r="BI3"/>
  <c r="BH3"/>
  <c r="BG3"/>
  <c r="BF3"/>
  <c r="BE3"/>
  <c r="BD3"/>
  <c r="BC3"/>
  <c r="BB3"/>
  <c r="BA3"/>
  <c r="AZ3"/>
  <c r="AY3"/>
  <c r="AX3"/>
  <c r="AW3"/>
  <c r="AV3"/>
  <c r="AU3"/>
  <c r="AT3"/>
  <c r="AS3"/>
  <c r="AR3"/>
  <c r="AQ3"/>
  <c r="AP3"/>
  <c r="AO3"/>
  <c r="AN3"/>
  <c r="AM3"/>
  <c r="AL3"/>
  <c r="AK3"/>
  <c r="AJ3"/>
  <c r="AI3"/>
  <c r="AH3"/>
  <c r="AG3"/>
  <c r="AF3"/>
  <c r="AE3"/>
  <c r="AD3"/>
  <c r="AC3"/>
  <c r="AB3"/>
  <c r="AA3"/>
  <c r="Z3"/>
  <c r="Y3"/>
  <c r="X3"/>
  <c r="CH2"/>
  <c r="CG2"/>
  <c r="CF2"/>
  <c r="CE2"/>
  <c r="CD2"/>
  <c r="CC2"/>
  <c r="CB2"/>
  <c r="CA2"/>
  <c r="BZ2"/>
  <c r="BY2"/>
  <c r="BX2"/>
  <c r="BW2"/>
  <c r="BV2"/>
  <c r="BU2"/>
  <c r="BT2"/>
  <c r="BS2"/>
  <c r="BR2"/>
  <c r="BQ2"/>
  <c r="BP2"/>
  <c r="BO2"/>
  <c r="BN2"/>
  <c r="BM2"/>
  <c r="BL2"/>
  <c r="BK2"/>
  <c r="BJ2"/>
  <c r="BI2"/>
  <c r="BH2"/>
  <c r="BG2"/>
  <c r="BF2"/>
  <c r="BE2"/>
  <c r="BD2"/>
  <c r="BC2"/>
  <c r="BB2"/>
  <c r="BA2"/>
  <c r="AZ2"/>
  <c r="AY2"/>
  <c r="AX2"/>
  <c r="AW2"/>
  <c r="AV2"/>
  <c r="AU2"/>
  <c r="AT2"/>
  <c r="AS2"/>
  <c r="AR2"/>
  <c r="AQ2"/>
  <c r="AP2"/>
  <c r="AO2"/>
  <c r="AN2"/>
  <c r="AM2"/>
  <c r="AL2"/>
  <c r="AK2"/>
  <c r="AJ2"/>
  <c r="AI2"/>
  <c r="AH2"/>
  <c r="AG2"/>
  <c r="AF2"/>
  <c r="AE2"/>
  <c r="AD2"/>
  <c r="AC2"/>
  <c r="AB2"/>
  <c r="AA2"/>
  <c r="Z2"/>
  <c r="Y2"/>
  <c r="X2"/>
  <c r="W13"/>
  <c r="V13"/>
  <c r="U13"/>
  <c r="T13"/>
  <c r="S13"/>
  <c r="R13"/>
  <c r="Q13"/>
  <c r="W12"/>
  <c r="V12"/>
  <c r="U12"/>
  <c r="T12"/>
  <c r="S12"/>
  <c r="R12"/>
  <c r="Q12"/>
  <c r="W11"/>
  <c r="V11"/>
  <c r="U11"/>
  <c r="T11"/>
  <c r="S11"/>
  <c r="R11"/>
  <c r="Q11"/>
  <c r="W10"/>
  <c r="V10"/>
  <c r="U10"/>
  <c r="T10"/>
  <c r="S10"/>
  <c r="R10"/>
  <c r="Q10"/>
  <c r="W9"/>
  <c r="V9"/>
  <c r="U9"/>
  <c r="T9"/>
  <c r="S9"/>
  <c r="R9"/>
  <c r="Q9"/>
  <c r="W8"/>
  <c r="V8"/>
  <c r="U8"/>
  <c r="T8"/>
  <c r="S8"/>
  <c r="R8"/>
  <c r="Q8"/>
  <c r="W7"/>
  <c r="V7"/>
  <c r="U7"/>
  <c r="T7"/>
  <c r="S7"/>
  <c r="R7"/>
  <c r="Q7"/>
  <c r="W6"/>
  <c r="V6"/>
  <c r="U6"/>
  <c r="T6"/>
  <c r="S6"/>
  <c r="R6"/>
  <c r="Q6"/>
  <c r="W5"/>
  <c r="V5"/>
  <c r="U5"/>
  <c r="T5"/>
  <c r="S5"/>
  <c r="R5"/>
  <c r="Q5"/>
  <c r="W4"/>
  <c r="V4"/>
  <c r="U4"/>
  <c r="T4"/>
  <c r="S4"/>
  <c r="R4"/>
  <c r="Q4"/>
  <c r="W3"/>
  <c r="V3"/>
  <c r="U3"/>
  <c r="T3"/>
  <c r="S3"/>
  <c r="R3"/>
  <c r="Q3"/>
  <c r="W2"/>
  <c r="V2"/>
  <c r="U2"/>
  <c r="T2"/>
  <c r="S2"/>
  <c r="R2"/>
  <c r="Q2"/>
  <c r="P13"/>
  <c r="P12"/>
  <c r="P11"/>
  <c r="P10"/>
  <c r="P9"/>
  <c r="P8"/>
  <c r="P7"/>
  <c r="P6"/>
  <c r="P5"/>
  <c r="P4"/>
  <c r="P3"/>
  <c r="P2"/>
  <c r="O2"/>
  <c r="O3"/>
  <c r="O4"/>
  <c r="O5"/>
  <c r="O6"/>
  <c r="O7"/>
  <c r="O8"/>
  <c r="O9"/>
  <c r="O10"/>
  <c r="O11"/>
  <c r="O12"/>
  <c r="O13"/>
  <c r="N13"/>
  <c r="M13"/>
  <c r="L13"/>
  <c r="K13"/>
  <c r="J13"/>
  <c r="I13"/>
  <c r="H13"/>
  <c r="G13"/>
  <c r="F13"/>
  <c r="E13"/>
  <c r="D13"/>
  <c r="N12"/>
  <c r="M12"/>
  <c r="L12"/>
  <c r="K12"/>
  <c r="J12"/>
  <c r="I12"/>
  <c r="H12"/>
  <c r="G12"/>
  <c r="F12"/>
  <c r="E12"/>
  <c r="D12"/>
  <c r="N11"/>
  <c r="M11"/>
  <c r="L11"/>
  <c r="K11"/>
  <c r="J11"/>
  <c r="I11"/>
  <c r="H11"/>
  <c r="G11"/>
  <c r="F11"/>
  <c r="E11"/>
  <c r="D11"/>
  <c r="N10"/>
  <c r="M10"/>
  <c r="L10"/>
  <c r="K10"/>
  <c r="J10"/>
  <c r="I10"/>
  <c r="H10"/>
  <c r="G10"/>
  <c r="F10"/>
  <c r="E10"/>
  <c r="D10"/>
  <c r="N9"/>
  <c r="M9"/>
  <c r="L9"/>
  <c r="K9"/>
  <c r="J9"/>
  <c r="I9"/>
  <c r="H9"/>
  <c r="G9"/>
  <c r="F9"/>
  <c r="E9"/>
  <c r="D9"/>
  <c r="N8"/>
  <c r="M8"/>
  <c r="L8"/>
  <c r="K8"/>
  <c r="J8"/>
  <c r="I8"/>
  <c r="H8"/>
  <c r="G8"/>
  <c r="F8"/>
  <c r="E8"/>
  <c r="D8"/>
  <c r="N7"/>
  <c r="M7"/>
  <c r="L7"/>
  <c r="K7"/>
  <c r="J7"/>
  <c r="I7"/>
  <c r="H7"/>
  <c r="G7"/>
  <c r="F7"/>
  <c r="E7"/>
  <c r="D7"/>
  <c r="N6"/>
  <c r="M6"/>
  <c r="L6"/>
  <c r="K6"/>
  <c r="J6"/>
  <c r="I6"/>
  <c r="H6"/>
  <c r="G6"/>
  <c r="F6"/>
  <c r="E6"/>
  <c r="D6"/>
  <c r="N5"/>
  <c r="M5"/>
  <c r="L5"/>
  <c r="K5"/>
  <c r="J5"/>
  <c r="I5"/>
  <c r="H5"/>
  <c r="G5"/>
  <c r="F5"/>
  <c r="E5"/>
  <c r="D5"/>
  <c r="N4"/>
  <c r="M4"/>
  <c r="L4"/>
  <c r="K4"/>
  <c r="J4"/>
  <c r="I4"/>
  <c r="H4"/>
  <c r="G4"/>
  <c r="F4"/>
  <c r="E4"/>
  <c r="D4"/>
  <c r="N3"/>
  <c r="M3"/>
  <c r="L3"/>
  <c r="K3"/>
  <c r="J3"/>
  <c r="I3"/>
  <c r="H3"/>
  <c r="G3"/>
  <c r="F3"/>
  <c r="E3"/>
  <c r="D3"/>
  <c r="N2"/>
  <c r="M2"/>
  <c r="L2"/>
  <c r="K2"/>
  <c r="J2"/>
  <c r="I2"/>
  <c r="H2"/>
  <c r="G2"/>
  <c r="F2"/>
  <c r="E2"/>
  <c r="D2"/>
  <c r="C11"/>
  <c r="C8"/>
  <c r="C5"/>
  <c r="C2"/>
  <c r="AA127" i="1"/>
  <c r="AA128" s="1"/>
  <c r="Z127"/>
  <c r="Z128" s="1"/>
  <c r="Y127"/>
  <c r="Y128" s="1"/>
  <c r="X127"/>
  <c r="X128" s="1"/>
  <c r="W127"/>
  <c r="W128" s="1"/>
  <c r="V127"/>
  <c r="V128" s="1"/>
  <c r="U127"/>
  <c r="U128" s="1"/>
  <c r="T127"/>
  <c r="T128" s="1"/>
  <c r="S127"/>
  <c r="S128" s="1"/>
  <c r="R127"/>
  <c r="R128" s="1"/>
  <c r="Q127"/>
  <c r="Q128" s="1"/>
  <c r="AA125"/>
  <c r="AA126" s="1"/>
  <c r="Z125"/>
  <c r="Z126" s="1"/>
  <c r="Y125"/>
  <c r="Y126" s="1"/>
  <c r="X125"/>
  <c r="X126" s="1"/>
  <c r="W125"/>
  <c r="W126" s="1"/>
  <c r="V125"/>
  <c r="V126" s="1"/>
  <c r="U125"/>
  <c r="U126" s="1"/>
  <c r="T125"/>
  <c r="T126" s="1"/>
  <c r="S125"/>
  <c r="S126" s="1"/>
  <c r="R125"/>
  <c r="R126" s="1"/>
  <c r="Q125"/>
  <c r="Q126" s="1"/>
  <c r="AA123"/>
  <c r="AA124" s="1"/>
  <c r="Z123"/>
  <c r="Z124" s="1"/>
  <c r="Y123"/>
  <c r="Y124" s="1"/>
  <c r="X123"/>
  <c r="X124" s="1"/>
  <c r="W123"/>
  <c r="W124" s="1"/>
  <c r="V123"/>
  <c r="V124" s="1"/>
  <c r="U123"/>
  <c r="U124" s="1"/>
  <c r="T123"/>
  <c r="T124" s="1"/>
  <c r="S123"/>
  <c r="S124" s="1"/>
  <c r="R123"/>
  <c r="R124" s="1"/>
  <c r="Q123"/>
  <c r="Q124" s="1"/>
  <c r="AA121"/>
  <c r="AA122" s="1"/>
  <c r="Z121"/>
  <c r="Z122" s="1"/>
  <c r="Y121"/>
  <c r="Y122" s="1"/>
  <c r="X121"/>
  <c r="X122" s="1"/>
  <c r="W121"/>
  <c r="W122" s="1"/>
  <c r="V121"/>
  <c r="V122" s="1"/>
  <c r="U121"/>
  <c r="U122" s="1"/>
  <c r="T121"/>
  <c r="T122" s="1"/>
  <c r="S121"/>
  <c r="S122" s="1"/>
  <c r="R121"/>
  <c r="R122" s="1"/>
  <c r="Q121"/>
  <c r="Q122" s="1"/>
  <c r="AA119"/>
  <c r="AA120" s="1"/>
  <c r="Z119"/>
  <c r="Z120" s="1"/>
  <c r="Y119"/>
  <c r="Y120" s="1"/>
  <c r="X119"/>
  <c r="X120" s="1"/>
  <c r="W119"/>
  <c r="W120" s="1"/>
  <c r="V119"/>
  <c r="V120" s="1"/>
  <c r="U119"/>
  <c r="U120" s="1"/>
  <c r="T119"/>
  <c r="T120" s="1"/>
  <c r="S119"/>
  <c r="S120" s="1"/>
  <c r="R119"/>
  <c r="R120" s="1"/>
  <c r="Q119"/>
  <c r="Q120" s="1"/>
  <c r="AA117"/>
  <c r="AA118" s="1"/>
  <c r="Z117"/>
  <c r="Z118" s="1"/>
  <c r="Y117"/>
  <c r="Y118" s="1"/>
  <c r="X117"/>
  <c r="X118" s="1"/>
  <c r="W117"/>
  <c r="W118" s="1"/>
  <c r="V117"/>
  <c r="V118" s="1"/>
  <c r="U117"/>
  <c r="U118" s="1"/>
  <c r="T117"/>
  <c r="T118" s="1"/>
  <c r="S117"/>
  <c r="S118" s="1"/>
  <c r="R117"/>
  <c r="R118" s="1"/>
  <c r="Q117"/>
  <c r="Q118" s="1"/>
  <c r="AA115"/>
  <c r="AA116" s="1"/>
  <c r="Z115"/>
  <c r="Z116" s="1"/>
  <c r="Y115"/>
  <c r="Y116" s="1"/>
  <c r="X115"/>
  <c r="X116" s="1"/>
  <c r="W115"/>
  <c r="W116" s="1"/>
  <c r="V115"/>
  <c r="V116" s="1"/>
  <c r="U115"/>
  <c r="U116" s="1"/>
  <c r="T115"/>
  <c r="T116" s="1"/>
  <c r="S115"/>
  <c r="S116" s="1"/>
  <c r="R115"/>
  <c r="R116" s="1"/>
  <c r="Q115"/>
  <c r="Q116" s="1"/>
  <c r="AA113"/>
  <c r="AA114" s="1"/>
  <c r="Z113"/>
  <c r="Z114" s="1"/>
  <c r="Y113"/>
  <c r="Y114" s="1"/>
  <c r="X113"/>
  <c r="X114" s="1"/>
  <c r="W113"/>
  <c r="W114" s="1"/>
  <c r="V113"/>
  <c r="V114" s="1"/>
  <c r="U113"/>
  <c r="U114" s="1"/>
  <c r="T113"/>
  <c r="T114" s="1"/>
  <c r="S113"/>
  <c r="S114" s="1"/>
  <c r="R113"/>
  <c r="R114" s="1"/>
  <c r="Q113"/>
  <c r="Q114" s="1"/>
  <c r="P127"/>
  <c r="P128" s="1"/>
  <c r="P125"/>
  <c r="P126" s="1"/>
  <c r="P123"/>
  <c r="P124" s="1"/>
  <c r="P121"/>
  <c r="P122" s="1"/>
  <c r="P119"/>
  <c r="P120" s="1"/>
  <c r="P117"/>
  <c r="P118" s="1"/>
  <c r="P115"/>
  <c r="P116" s="1"/>
  <c r="P113"/>
  <c r="P114" s="1"/>
  <c r="AA109"/>
  <c r="AA110" s="1"/>
  <c r="Z109"/>
  <c r="Z110" s="1"/>
  <c r="Y109"/>
  <c r="Y110" s="1"/>
  <c r="X109"/>
  <c r="X110" s="1"/>
  <c r="W109"/>
  <c r="W110" s="1"/>
  <c r="V109"/>
  <c r="V110" s="1"/>
  <c r="U109"/>
  <c r="U110" s="1"/>
  <c r="T109"/>
  <c r="T110" s="1"/>
  <c r="S109"/>
  <c r="S110" s="1"/>
  <c r="R109"/>
  <c r="R110" s="1"/>
  <c r="Q109"/>
  <c r="Q110" s="1"/>
  <c r="AA107"/>
  <c r="AA108" s="1"/>
  <c r="Z107"/>
  <c r="Z108" s="1"/>
  <c r="Y107"/>
  <c r="Y108" s="1"/>
  <c r="X107"/>
  <c r="X108" s="1"/>
  <c r="W107"/>
  <c r="W108" s="1"/>
  <c r="V107"/>
  <c r="V108" s="1"/>
  <c r="U107"/>
  <c r="U108" s="1"/>
  <c r="T107"/>
  <c r="T108" s="1"/>
  <c r="S107"/>
  <c r="S108" s="1"/>
  <c r="R107"/>
  <c r="R108" s="1"/>
  <c r="Q107"/>
  <c r="Q108" s="1"/>
  <c r="AA105"/>
  <c r="AA106" s="1"/>
  <c r="Z105"/>
  <c r="Z106" s="1"/>
  <c r="Y105"/>
  <c r="Y106" s="1"/>
  <c r="X105"/>
  <c r="X106" s="1"/>
  <c r="W105"/>
  <c r="W106" s="1"/>
  <c r="V105"/>
  <c r="V106" s="1"/>
  <c r="U105"/>
  <c r="U106" s="1"/>
  <c r="T105"/>
  <c r="T106" s="1"/>
  <c r="S105"/>
  <c r="S106" s="1"/>
  <c r="R105"/>
  <c r="R106" s="1"/>
  <c r="Q105"/>
  <c r="Q106" s="1"/>
  <c r="AA103"/>
  <c r="AA104" s="1"/>
  <c r="Z103"/>
  <c r="Z104" s="1"/>
  <c r="Y103"/>
  <c r="Y104" s="1"/>
  <c r="X103"/>
  <c r="X104" s="1"/>
  <c r="W103"/>
  <c r="W104" s="1"/>
  <c r="V103"/>
  <c r="V104" s="1"/>
  <c r="U103"/>
  <c r="U104" s="1"/>
  <c r="T103"/>
  <c r="T104" s="1"/>
  <c r="S103"/>
  <c r="S104" s="1"/>
  <c r="R103"/>
  <c r="R104" s="1"/>
  <c r="Q103"/>
  <c r="Q104" s="1"/>
  <c r="AA101"/>
  <c r="AA102" s="1"/>
  <c r="Z101"/>
  <c r="Z102" s="1"/>
  <c r="Y101"/>
  <c r="Y102" s="1"/>
  <c r="X101"/>
  <c r="X102" s="1"/>
  <c r="W101"/>
  <c r="W102" s="1"/>
  <c r="V101"/>
  <c r="V102" s="1"/>
  <c r="U101"/>
  <c r="U102" s="1"/>
  <c r="T101"/>
  <c r="T102" s="1"/>
  <c r="S101"/>
  <c r="S102" s="1"/>
  <c r="R101"/>
  <c r="R102" s="1"/>
  <c r="Q101"/>
  <c r="Q102" s="1"/>
  <c r="AA99"/>
  <c r="AA100" s="1"/>
  <c r="Z99"/>
  <c r="Z100" s="1"/>
  <c r="Y99"/>
  <c r="Y100" s="1"/>
  <c r="X99"/>
  <c r="X100" s="1"/>
  <c r="W99"/>
  <c r="W100" s="1"/>
  <c r="V99"/>
  <c r="V100" s="1"/>
  <c r="U99"/>
  <c r="U100" s="1"/>
  <c r="T99"/>
  <c r="T100" s="1"/>
  <c r="S99"/>
  <c r="S100" s="1"/>
  <c r="R99"/>
  <c r="R100" s="1"/>
  <c r="Q99"/>
  <c r="Q100" s="1"/>
  <c r="AA97"/>
  <c r="AA98" s="1"/>
  <c r="Z97"/>
  <c r="Z98" s="1"/>
  <c r="Y97"/>
  <c r="Y98" s="1"/>
  <c r="X97"/>
  <c r="X98" s="1"/>
  <c r="W97"/>
  <c r="W98" s="1"/>
  <c r="V97"/>
  <c r="V98" s="1"/>
  <c r="U97"/>
  <c r="U98" s="1"/>
  <c r="T97"/>
  <c r="T98" s="1"/>
  <c r="S97"/>
  <c r="S98" s="1"/>
  <c r="R97"/>
  <c r="R98" s="1"/>
  <c r="Q97"/>
  <c r="Q98" s="1"/>
  <c r="AA95"/>
  <c r="AA96" s="1"/>
  <c r="Z95"/>
  <c r="Z96" s="1"/>
  <c r="Y95"/>
  <c r="Y96" s="1"/>
  <c r="X95"/>
  <c r="X96" s="1"/>
  <c r="W95"/>
  <c r="W96" s="1"/>
  <c r="V95"/>
  <c r="V96" s="1"/>
  <c r="U95"/>
  <c r="U96" s="1"/>
  <c r="T95"/>
  <c r="T96" s="1"/>
  <c r="S95"/>
  <c r="S96" s="1"/>
  <c r="R95"/>
  <c r="R96" s="1"/>
  <c r="Q95"/>
  <c r="Q96" s="1"/>
  <c r="P109"/>
  <c r="P110" s="1"/>
  <c r="P107"/>
  <c r="P108" s="1"/>
  <c r="P105"/>
  <c r="P106" s="1"/>
  <c r="P103"/>
  <c r="P104" s="1"/>
  <c r="P101"/>
  <c r="P102" s="1"/>
  <c r="P99"/>
  <c r="P100" s="1"/>
  <c r="P97"/>
  <c r="P98" s="1"/>
  <c r="P95"/>
  <c r="P96" s="1"/>
  <c r="AA91"/>
  <c r="AA92" s="1"/>
  <c r="Z91"/>
  <c r="Z92" s="1"/>
  <c r="Y91"/>
  <c r="Y92" s="1"/>
  <c r="X91"/>
  <c r="X92" s="1"/>
  <c r="W91"/>
  <c r="W92" s="1"/>
  <c r="V91"/>
  <c r="V92" s="1"/>
  <c r="U91"/>
  <c r="U92" s="1"/>
  <c r="T91"/>
  <c r="T92" s="1"/>
  <c r="S91"/>
  <c r="S92" s="1"/>
  <c r="R91"/>
  <c r="R92" s="1"/>
  <c r="Q91"/>
  <c r="Q92" s="1"/>
  <c r="AA89"/>
  <c r="AA90" s="1"/>
  <c r="Z89"/>
  <c r="Z90" s="1"/>
  <c r="Y89"/>
  <c r="Y90" s="1"/>
  <c r="X89"/>
  <c r="X90" s="1"/>
  <c r="W89"/>
  <c r="W90" s="1"/>
  <c r="V89"/>
  <c r="V90" s="1"/>
  <c r="U89"/>
  <c r="U90" s="1"/>
  <c r="T89"/>
  <c r="T90" s="1"/>
  <c r="S89"/>
  <c r="S90" s="1"/>
  <c r="R89"/>
  <c r="R90" s="1"/>
  <c r="Q89"/>
  <c r="Q90" s="1"/>
  <c r="AA87"/>
  <c r="AA88" s="1"/>
  <c r="Z87"/>
  <c r="Z88" s="1"/>
  <c r="Y87"/>
  <c r="Y88" s="1"/>
  <c r="X87"/>
  <c r="X88" s="1"/>
  <c r="W87"/>
  <c r="W88" s="1"/>
  <c r="V87"/>
  <c r="V88" s="1"/>
  <c r="U87"/>
  <c r="U88" s="1"/>
  <c r="T87"/>
  <c r="T88" s="1"/>
  <c r="S87"/>
  <c r="S88" s="1"/>
  <c r="R87"/>
  <c r="R88" s="1"/>
  <c r="Q87"/>
  <c r="Q88" s="1"/>
  <c r="AA85"/>
  <c r="AA86" s="1"/>
  <c r="Z85"/>
  <c r="Z86" s="1"/>
  <c r="Y85"/>
  <c r="Y86" s="1"/>
  <c r="X85"/>
  <c r="X86" s="1"/>
  <c r="W85"/>
  <c r="W86" s="1"/>
  <c r="V85"/>
  <c r="V86" s="1"/>
  <c r="U85"/>
  <c r="U86" s="1"/>
  <c r="T85"/>
  <c r="T86" s="1"/>
  <c r="S85"/>
  <c r="S86" s="1"/>
  <c r="R85"/>
  <c r="R86" s="1"/>
  <c r="Q85"/>
  <c r="Q86" s="1"/>
  <c r="AA83"/>
  <c r="AA84" s="1"/>
  <c r="Z83"/>
  <c r="Z84" s="1"/>
  <c r="Y83"/>
  <c r="Y84" s="1"/>
  <c r="X83"/>
  <c r="X84" s="1"/>
  <c r="W83"/>
  <c r="W84" s="1"/>
  <c r="V83"/>
  <c r="V84" s="1"/>
  <c r="U83"/>
  <c r="U84" s="1"/>
  <c r="T83"/>
  <c r="T84" s="1"/>
  <c r="S83"/>
  <c r="S84" s="1"/>
  <c r="R83"/>
  <c r="R84" s="1"/>
  <c r="Q83"/>
  <c r="Q84" s="1"/>
  <c r="AA81"/>
  <c r="AA82" s="1"/>
  <c r="Z81"/>
  <c r="Z82" s="1"/>
  <c r="Y81"/>
  <c r="Y82" s="1"/>
  <c r="X81"/>
  <c r="X82" s="1"/>
  <c r="W81"/>
  <c r="W82" s="1"/>
  <c r="V81"/>
  <c r="V82" s="1"/>
  <c r="U81"/>
  <c r="U82" s="1"/>
  <c r="T81"/>
  <c r="T82" s="1"/>
  <c r="S81"/>
  <c r="S82" s="1"/>
  <c r="R81"/>
  <c r="R82" s="1"/>
  <c r="Q81"/>
  <c r="Q82" s="1"/>
  <c r="AA79"/>
  <c r="AA80" s="1"/>
  <c r="Z79"/>
  <c r="Z80" s="1"/>
  <c r="Y79"/>
  <c r="Y80" s="1"/>
  <c r="X79"/>
  <c r="X80" s="1"/>
  <c r="W79"/>
  <c r="W80" s="1"/>
  <c r="V79"/>
  <c r="V80" s="1"/>
  <c r="U79"/>
  <c r="U80" s="1"/>
  <c r="T79"/>
  <c r="T80" s="1"/>
  <c r="S79"/>
  <c r="S80" s="1"/>
  <c r="R79"/>
  <c r="R80" s="1"/>
  <c r="Q79"/>
  <c r="Q80" s="1"/>
  <c r="AA77"/>
  <c r="AA78" s="1"/>
  <c r="Z77"/>
  <c r="Z78" s="1"/>
  <c r="Y77"/>
  <c r="Y78" s="1"/>
  <c r="X77"/>
  <c r="X78" s="1"/>
  <c r="W77"/>
  <c r="W78" s="1"/>
  <c r="V77"/>
  <c r="V78" s="1"/>
  <c r="U77"/>
  <c r="U78" s="1"/>
  <c r="T77"/>
  <c r="T78" s="1"/>
  <c r="S77"/>
  <c r="S78" s="1"/>
  <c r="R77"/>
  <c r="R78" s="1"/>
  <c r="Q77"/>
  <c r="Q78" s="1"/>
  <c r="P91"/>
  <c r="P92" s="1"/>
  <c r="P89"/>
  <c r="P90" s="1"/>
  <c r="P87"/>
  <c r="P88" s="1"/>
  <c r="P85"/>
  <c r="P86" s="1"/>
  <c r="P83"/>
  <c r="P84" s="1"/>
  <c r="P81"/>
  <c r="P82" s="1"/>
  <c r="P79"/>
  <c r="P80" s="1"/>
  <c r="P77"/>
  <c r="P78" s="1"/>
  <c r="AA73"/>
  <c r="AA74" s="1"/>
  <c r="Z73"/>
  <c r="Z74" s="1"/>
  <c r="Y73"/>
  <c r="Y74" s="1"/>
  <c r="X73"/>
  <c r="X74" s="1"/>
  <c r="W73"/>
  <c r="W74" s="1"/>
  <c r="V73"/>
  <c r="V74" s="1"/>
  <c r="U73"/>
  <c r="U74" s="1"/>
  <c r="T73"/>
  <c r="T74" s="1"/>
  <c r="S73"/>
  <c r="S74" s="1"/>
  <c r="R73"/>
  <c r="R74" s="1"/>
  <c r="Q73"/>
  <c r="Q74" s="1"/>
  <c r="AA71"/>
  <c r="AA72" s="1"/>
  <c r="Z71"/>
  <c r="Z72" s="1"/>
  <c r="Y71"/>
  <c r="Y72" s="1"/>
  <c r="X71"/>
  <c r="X72" s="1"/>
  <c r="W71"/>
  <c r="W72" s="1"/>
  <c r="V71"/>
  <c r="V72" s="1"/>
  <c r="U71"/>
  <c r="U72" s="1"/>
  <c r="T71"/>
  <c r="T72" s="1"/>
  <c r="S71"/>
  <c r="S72" s="1"/>
  <c r="R71"/>
  <c r="R72" s="1"/>
  <c r="Q71"/>
  <c r="Q72" s="1"/>
  <c r="AA69"/>
  <c r="AA70" s="1"/>
  <c r="Z69"/>
  <c r="Z70" s="1"/>
  <c r="Y69"/>
  <c r="Y70" s="1"/>
  <c r="X69"/>
  <c r="X70" s="1"/>
  <c r="W69"/>
  <c r="W70" s="1"/>
  <c r="V69"/>
  <c r="V70" s="1"/>
  <c r="U69"/>
  <c r="U70" s="1"/>
  <c r="T69"/>
  <c r="T70" s="1"/>
  <c r="S69"/>
  <c r="S70" s="1"/>
  <c r="R69"/>
  <c r="R70" s="1"/>
  <c r="Q69"/>
  <c r="Q70" s="1"/>
  <c r="AA67"/>
  <c r="AA68" s="1"/>
  <c r="Z67"/>
  <c r="Z68" s="1"/>
  <c r="Y67"/>
  <c r="Y68" s="1"/>
  <c r="X67"/>
  <c r="X68" s="1"/>
  <c r="W67"/>
  <c r="W68" s="1"/>
  <c r="V67"/>
  <c r="V68" s="1"/>
  <c r="U67"/>
  <c r="U68" s="1"/>
  <c r="T67"/>
  <c r="T68" s="1"/>
  <c r="S67"/>
  <c r="S68" s="1"/>
  <c r="R67"/>
  <c r="R68" s="1"/>
  <c r="Q67"/>
  <c r="Q68" s="1"/>
  <c r="AA65"/>
  <c r="AA66" s="1"/>
  <c r="Z65"/>
  <c r="Z66" s="1"/>
  <c r="Y65"/>
  <c r="Y66" s="1"/>
  <c r="X65"/>
  <c r="X66" s="1"/>
  <c r="W65"/>
  <c r="W66" s="1"/>
  <c r="V65"/>
  <c r="V66" s="1"/>
  <c r="U65"/>
  <c r="U66" s="1"/>
  <c r="T65"/>
  <c r="T66" s="1"/>
  <c r="S65"/>
  <c r="S66" s="1"/>
  <c r="R65"/>
  <c r="R66" s="1"/>
  <c r="Q65"/>
  <c r="Q66" s="1"/>
  <c r="AA63"/>
  <c r="AA64" s="1"/>
  <c r="Z63"/>
  <c r="Z64" s="1"/>
  <c r="Y63"/>
  <c r="Y64" s="1"/>
  <c r="X63"/>
  <c r="X64" s="1"/>
  <c r="W63"/>
  <c r="W64" s="1"/>
  <c r="V63"/>
  <c r="V64" s="1"/>
  <c r="U63"/>
  <c r="U64" s="1"/>
  <c r="T63"/>
  <c r="T64" s="1"/>
  <c r="S63"/>
  <c r="S64" s="1"/>
  <c r="R63"/>
  <c r="R64" s="1"/>
  <c r="Q63"/>
  <c r="Q64" s="1"/>
  <c r="AA61"/>
  <c r="AA62" s="1"/>
  <c r="Z61"/>
  <c r="Z62" s="1"/>
  <c r="Y61"/>
  <c r="Y62" s="1"/>
  <c r="X61"/>
  <c r="X62" s="1"/>
  <c r="W61"/>
  <c r="W62" s="1"/>
  <c r="V61"/>
  <c r="V62" s="1"/>
  <c r="U61"/>
  <c r="U62" s="1"/>
  <c r="T61"/>
  <c r="T62" s="1"/>
  <c r="S61"/>
  <c r="S62" s="1"/>
  <c r="R61"/>
  <c r="R62" s="1"/>
  <c r="Q61"/>
  <c r="Q62" s="1"/>
  <c r="AA59"/>
  <c r="AA60" s="1"/>
  <c r="Z59"/>
  <c r="Z60" s="1"/>
  <c r="Y59"/>
  <c r="Y60" s="1"/>
  <c r="X59"/>
  <c r="X60" s="1"/>
  <c r="W59"/>
  <c r="W60" s="1"/>
  <c r="V59"/>
  <c r="V60" s="1"/>
  <c r="U59"/>
  <c r="U60" s="1"/>
  <c r="T59"/>
  <c r="T60" s="1"/>
  <c r="S59"/>
  <c r="S60" s="1"/>
  <c r="R59"/>
  <c r="R60" s="1"/>
  <c r="Q59"/>
  <c r="Q60" s="1"/>
  <c r="P73"/>
  <c r="P74" s="1"/>
  <c r="P71"/>
  <c r="P72" s="1"/>
  <c r="P69"/>
  <c r="P70" s="1"/>
  <c r="P67"/>
  <c r="P68" s="1"/>
  <c r="P65"/>
  <c r="P66" s="1"/>
  <c r="P63"/>
  <c r="P64" s="1"/>
  <c r="P61"/>
  <c r="P62" s="1"/>
  <c r="P59"/>
  <c r="P60" s="1"/>
  <c r="AA55"/>
  <c r="AA56" s="1"/>
  <c r="Z55"/>
  <c r="Z56" s="1"/>
  <c r="Y55"/>
  <c r="Y56" s="1"/>
  <c r="X55"/>
  <c r="X56" s="1"/>
  <c r="W55"/>
  <c r="W56" s="1"/>
  <c r="V55"/>
  <c r="V56" s="1"/>
  <c r="U55"/>
  <c r="U56" s="1"/>
  <c r="T55"/>
  <c r="T56" s="1"/>
  <c r="S55"/>
  <c r="S56" s="1"/>
  <c r="R55"/>
  <c r="R56" s="1"/>
  <c r="Q55"/>
  <c r="Q56" s="1"/>
  <c r="P55"/>
  <c r="P56" s="1"/>
  <c r="AA53"/>
  <c r="AA54" s="1"/>
  <c r="Z53"/>
  <c r="Z54" s="1"/>
  <c r="Y53"/>
  <c r="Y54" s="1"/>
  <c r="X53"/>
  <c r="X54" s="1"/>
  <c r="W53"/>
  <c r="W54" s="1"/>
  <c r="V53"/>
  <c r="V54" s="1"/>
  <c r="U53"/>
  <c r="U54" s="1"/>
  <c r="T53"/>
  <c r="T54" s="1"/>
  <c r="S53"/>
  <c r="S54" s="1"/>
  <c r="R53"/>
  <c r="R54" s="1"/>
  <c r="Q53"/>
  <c r="Q54" s="1"/>
  <c r="P53"/>
  <c r="P54" s="1"/>
  <c r="AA51"/>
  <c r="AA52" s="1"/>
  <c r="Z51"/>
  <c r="Z52" s="1"/>
  <c r="Y51"/>
  <c r="Y52" s="1"/>
  <c r="X51"/>
  <c r="X52" s="1"/>
  <c r="W51"/>
  <c r="W52" s="1"/>
  <c r="V51"/>
  <c r="V52" s="1"/>
  <c r="U51"/>
  <c r="U52" s="1"/>
  <c r="T51"/>
  <c r="T52" s="1"/>
  <c r="S51"/>
  <c r="S52" s="1"/>
  <c r="R51"/>
  <c r="R52" s="1"/>
  <c r="Q51"/>
  <c r="Q52" s="1"/>
  <c r="P51"/>
  <c r="P52" s="1"/>
  <c r="AA49"/>
  <c r="AA50" s="1"/>
  <c r="Z49"/>
  <c r="Z50" s="1"/>
  <c r="Y49"/>
  <c r="Y50" s="1"/>
  <c r="X49"/>
  <c r="X50" s="1"/>
  <c r="W49"/>
  <c r="W50" s="1"/>
  <c r="V49"/>
  <c r="V50" s="1"/>
  <c r="U49"/>
  <c r="U50" s="1"/>
  <c r="T49"/>
  <c r="T50" s="1"/>
  <c r="S49"/>
  <c r="S50" s="1"/>
  <c r="R49"/>
  <c r="R50" s="1"/>
  <c r="Q49"/>
  <c r="Q50" s="1"/>
  <c r="P49"/>
  <c r="P50" s="1"/>
  <c r="AA47"/>
  <c r="AA48" s="1"/>
  <c r="Z47"/>
  <c r="Z48" s="1"/>
  <c r="Y47"/>
  <c r="Y48" s="1"/>
  <c r="X47"/>
  <c r="X48" s="1"/>
  <c r="W47"/>
  <c r="W48" s="1"/>
  <c r="V47"/>
  <c r="V48" s="1"/>
  <c r="U47"/>
  <c r="U48" s="1"/>
  <c r="T47"/>
  <c r="T48" s="1"/>
  <c r="S47"/>
  <c r="S48" s="1"/>
  <c r="R47"/>
  <c r="R48" s="1"/>
  <c r="Q47"/>
  <c r="Q48" s="1"/>
  <c r="P47"/>
  <c r="P48" s="1"/>
  <c r="AA45"/>
  <c r="AA46" s="1"/>
  <c r="Z45"/>
  <c r="Z46" s="1"/>
  <c r="Y45"/>
  <c r="Y46" s="1"/>
  <c r="X45"/>
  <c r="X46" s="1"/>
  <c r="W45"/>
  <c r="W46" s="1"/>
  <c r="V45"/>
  <c r="V46" s="1"/>
  <c r="U45"/>
  <c r="U46" s="1"/>
  <c r="T45"/>
  <c r="T46" s="1"/>
  <c r="S45"/>
  <c r="S46" s="1"/>
  <c r="R45"/>
  <c r="R46" s="1"/>
  <c r="Q45"/>
  <c r="Q46" s="1"/>
  <c r="P45"/>
  <c r="P46" s="1"/>
  <c r="AA43"/>
  <c r="AA44" s="1"/>
  <c r="Z43"/>
  <c r="Z44" s="1"/>
  <c r="Y43"/>
  <c r="Y44" s="1"/>
  <c r="X43"/>
  <c r="X44" s="1"/>
  <c r="W43"/>
  <c r="W44" s="1"/>
  <c r="V43"/>
  <c r="V44" s="1"/>
  <c r="U43"/>
  <c r="U44" s="1"/>
  <c r="T43"/>
  <c r="T44" s="1"/>
  <c r="S43"/>
  <c r="S44" s="1"/>
  <c r="R43"/>
  <c r="R44" s="1"/>
  <c r="Q43"/>
  <c r="Q44" s="1"/>
  <c r="P43"/>
  <c r="P44" s="1"/>
  <c r="AA41"/>
  <c r="AA42" s="1"/>
  <c r="Z41"/>
  <c r="Z42" s="1"/>
  <c r="Y41"/>
  <c r="Y42" s="1"/>
  <c r="X41"/>
  <c r="X42" s="1"/>
  <c r="W41"/>
  <c r="W42" s="1"/>
  <c r="V41"/>
  <c r="V42" s="1"/>
  <c r="U41"/>
  <c r="U42" s="1"/>
  <c r="T41"/>
  <c r="T42" s="1"/>
  <c r="S41"/>
  <c r="S42" s="1"/>
  <c r="R41"/>
  <c r="R42" s="1"/>
  <c r="Q41"/>
  <c r="Q42" s="1"/>
  <c r="P41"/>
  <c r="P42" s="1"/>
  <c r="AA37"/>
  <c r="AA38" s="1"/>
  <c r="Z37"/>
  <c r="Z38" s="1"/>
  <c r="Y37"/>
  <c r="Y38" s="1"/>
  <c r="X37"/>
  <c r="X38" s="1"/>
  <c r="W37"/>
  <c r="W38" s="1"/>
  <c r="V37"/>
  <c r="V38" s="1"/>
  <c r="U37"/>
  <c r="U38" s="1"/>
  <c r="T37"/>
  <c r="T38" s="1"/>
  <c r="S37"/>
  <c r="S38" s="1"/>
  <c r="R37"/>
  <c r="R38" s="1"/>
  <c r="Q37"/>
  <c r="Q38" s="1"/>
  <c r="P37"/>
  <c r="P38" s="1"/>
  <c r="AA35"/>
  <c r="AA36" s="1"/>
  <c r="Z35"/>
  <c r="Z36" s="1"/>
  <c r="Y35"/>
  <c r="Y36" s="1"/>
  <c r="X35"/>
  <c r="X36" s="1"/>
  <c r="W35"/>
  <c r="W36" s="1"/>
  <c r="V35"/>
  <c r="V36" s="1"/>
  <c r="U35"/>
  <c r="U36" s="1"/>
  <c r="T35"/>
  <c r="T36" s="1"/>
  <c r="S35"/>
  <c r="S36" s="1"/>
  <c r="R35"/>
  <c r="R36" s="1"/>
  <c r="Q35"/>
  <c r="Q36" s="1"/>
  <c r="P35"/>
  <c r="P36" s="1"/>
  <c r="AA33"/>
  <c r="AA34" s="1"/>
  <c r="Z33"/>
  <c r="Z34" s="1"/>
  <c r="Y33"/>
  <c r="Y34" s="1"/>
  <c r="X33"/>
  <c r="X34" s="1"/>
  <c r="W33"/>
  <c r="W34" s="1"/>
  <c r="V33"/>
  <c r="V34" s="1"/>
  <c r="U33"/>
  <c r="U34" s="1"/>
  <c r="T33"/>
  <c r="T34" s="1"/>
  <c r="S33"/>
  <c r="S34" s="1"/>
  <c r="R33"/>
  <c r="R34" s="1"/>
  <c r="Q33"/>
  <c r="Q34" s="1"/>
  <c r="P33"/>
  <c r="P34" s="1"/>
  <c r="AA31"/>
  <c r="AA32" s="1"/>
  <c r="Z31"/>
  <c r="Z32" s="1"/>
  <c r="Y31"/>
  <c r="Y32" s="1"/>
  <c r="X31"/>
  <c r="X32" s="1"/>
  <c r="W31"/>
  <c r="W32" s="1"/>
  <c r="V31"/>
  <c r="V32" s="1"/>
  <c r="U31"/>
  <c r="U32" s="1"/>
  <c r="T31"/>
  <c r="T32" s="1"/>
  <c r="S31"/>
  <c r="S32" s="1"/>
  <c r="R31"/>
  <c r="R32" s="1"/>
  <c r="Q31"/>
  <c r="Q32" s="1"/>
  <c r="P31"/>
  <c r="P32" s="1"/>
  <c r="AA29"/>
  <c r="AA30" s="1"/>
  <c r="Z29"/>
  <c r="Z30" s="1"/>
  <c r="Y29"/>
  <c r="Y30" s="1"/>
  <c r="X29"/>
  <c r="X30" s="1"/>
  <c r="W29"/>
  <c r="W30" s="1"/>
  <c r="V29"/>
  <c r="V30" s="1"/>
  <c r="U29"/>
  <c r="U30" s="1"/>
  <c r="T29"/>
  <c r="T30" s="1"/>
  <c r="S29"/>
  <c r="S30" s="1"/>
  <c r="R29"/>
  <c r="R30" s="1"/>
  <c r="Q29"/>
  <c r="Q30" s="1"/>
  <c r="P29"/>
  <c r="P30" s="1"/>
  <c r="AA27"/>
  <c r="AA28" s="1"/>
  <c r="Z27"/>
  <c r="Z28" s="1"/>
  <c r="Y27"/>
  <c r="Y28" s="1"/>
  <c r="X27"/>
  <c r="X28" s="1"/>
  <c r="W27"/>
  <c r="W28" s="1"/>
  <c r="V27"/>
  <c r="V28" s="1"/>
  <c r="U27"/>
  <c r="U28" s="1"/>
  <c r="T27"/>
  <c r="T28" s="1"/>
  <c r="S27"/>
  <c r="S28" s="1"/>
  <c r="R27"/>
  <c r="R28" s="1"/>
  <c r="Q27"/>
  <c r="Q28" s="1"/>
  <c r="P27"/>
  <c r="P28" s="1"/>
  <c r="AA25"/>
  <c r="AA26" s="1"/>
  <c r="Z25"/>
  <c r="Z26" s="1"/>
  <c r="Y25"/>
  <c r="Y26" s="1"/>
  <c r="X25"/>
  <c r="X26" s="1"/>
  <c r="W25"/>
  <c r="W26" s="1"/>
  <c r="V25"/>
  <c r="V26" s="1"/>
  <c r="U25"/>
  <c r="U26" s="1"/>
  <c r="T25"/>
  <c r="T26" s="1"/>
  <c r="S25"/>
  <c r="S26" s="1"/>
  <c r="R25"/>
  <c r="R26" s="1"/>
  <c r="Q25"/>
  <c r="Q26" s="1"/>
  <c r="P25"/>
  <c r="P26" s="1"/>
  <c r="AA23"/>
  <c r="AA24" s="1"/>
  <c r="Z23"/>
  <c r="Z24" s="1"/>
  <c r="Y23"/>
  <c r="Y24" s="1"/>
  <c r="X23"/>
  <c r="X24" s="1"/>
  <c r="W23"/>
  <c r="W24" s="1"/>
  <c r="V23"/>
  <c r="V24" s="1"/>
  <c r="U23"/>
  <c r="U24" s="1"/>
  <c r="T23"/>
  <c r="T24" s="1"/>
  <c r="S23"/>
  <c r="S24" s="1"/>
  <c r="R23"/>
  <c r="R24" s="1"/>
  <c r="Q23"/>
  <c r="Q24" s="1"/>
  <c r="P23"/>
  <c r="P24" s="1"/>
  <c r="AA21"/>
  <c r="AA22" s="1"/>
  <c r="Z21"/>
  <c r="Z22" s="1"/>
  <c r="Y21"/>
  <c r="Y22" s="1"/>
  <c r="X21"/>
  <c r="X22" s="1"/>
  <c r="W21"/>
  <c r="W22" s="1"/>
  <c r="V21"/>
  <c r="V22" s="1"/>
  <c r="U21"/>
  <c r="U22" s="1"/>
  <c r="T21"/>
  <c r="T22" s="1"/>
  <c r="S21"/>
  <c r="S22" s="1"/>
  <c r="R21"/>
  <c r="R22" s="1"/>
  <c r="Q21"/>
  <c r="Q22" s="1"/>
  <c r="P21"/>
  <c r="P22" s="1"/>
  <c r="AA19"/>
  <c r="AA20" s="1"/>
  <c r="Z19"/>
  <c r="Z20" s="1"/>
  <c r="Y19"/>
  <c r="Y20" s="1"/>
  <c r="X19"/>
  <c r="X20" s="1"/>
  <c r="W19"/>
  <c r="W20" s="1"/>
  <c r="V19"/>
  <c r="V20" s="1"/>
  <c r="U19"/>
  <c r="U20" s="1"/>
  <c r="T19"/>
  <c r="T20" s="1"/>
  <c r="S19"/>
  <c r="S20" s="1"/>
  <c r="R19"/>
  <c r="R20" s="1"/>
  <c r="Q19"/>
  <c r="Q20" s="1"/>
  <c r="P19"/>
  <c r="P20" s="1"/>
  <c r="AA17"/>
  <c r="AA18" s="1"/>
  <c r="Z17"/>
  <c r="Z18" s="1"/>
  <c r="Y17"/>
  <c r="Y18" s="1"/>
  <c r="X17"/>
  <c r="X18" s="1"/>
  <c r="W17"/>
  <c r="W18" s="1"/>
  <c r="V17"/>
  <c r="V18" s="1"/>
  <c r="U17"/>
  <c r="U18" s="1"/>
  <c r="T17"/>
  <c r="T18" s="1"/>
  <c r="S17"/>
  <c r="S18" s="1"/>
  <c r="R17"/>
  <c r="R18" s="1"/>
  <c r="Q17"/>
  <c r="Q18" s="1"/>
  <c r="P17"/>
  <c r="P18" s="1"/>
  <c r="F52"/>
  <c r="C166"/>
  <c r="B166"/>
  <c r="C148"/>
  <c r="B148"/>
  <c r="C130"/>
  <c r="B130"/>
  <c r="C112"/>
  <c r="B112"/>
  <c r="C14"/>
  <c r="B14"/>
  <c r="C40"/>
  <c r="B40"/>
  <c r="C58"/>
  <c r="B58"/>
  <c r="C76"/>
  <c r="B76"/>
  <c r="B94"/>
  <c r="C94"/>
  <c r="G5"/>
  <c r="I5"/>
  <c r="O182" l="1"/>
  <c r="N182"/>
  <c r="M182"/>
  <c r="L182"/>
  <c r="K182"/>
  <c r="J182"/>
  <c r="I182"/>
  <c r="H182"/>
  <c r="G182"/>
  <c r="F182"/>
  <c r="O180"/>
  <c r="N180"/>
  <c r="M180"/>
  <c r="L180"/>
  <c r="K180"/>
  <c r="J180"/>
  <c r="I180"/>
  <c r="H180"/>
  <c r="G180"/>
  <c r="F180"/>
  <c r="O128"/>
  <c r="N128"/>
  <c r="M128"/>
  <c r="L128"/>
  <c r="K128"/>
  <c r="J128"/>
  <c r="I128"/>
  <c r="H128"/>
  <c r="G128"/>
  <c r="F128"/>
  <c r="O126"/>
  <c r="N126"/>
  <c r="M126"/>
  <c r="L126"/>
  <c r="K126"/>
  <c r="J126"/>
  <c r="I126"/>
  <c r="H126"/>
  <c r="G126"/>
  <c r="F126"/>
  <c r="O110"/>
  <c r="N110"/>
  <c r="M110"/>
  <c r="L110"/>
  <c r="K110"/>
  <c r="J110"/>
  <c r="I110"/>
  <c r="H110"/>
  <c r="G110"/>
  <c r="F110"/>
  <c r="O108"/>
  <c r="N108"/>
  <c r="M108"/>
  <c r="L108"/>
  <c r="K108"/>
  <c r="J108"/>
  <c r="I108"/>
  <c r="H108"/>
  <c r="G108"/>
  <c r="F108"/>
  <c r="O92"/>
  <c r="N92"/>
  <c r="M92"/>
  <c r="L92"/>
  <c r="K92"/>
  <c r="J92"/>
  <c r="I92"/>
  <c r="H92"/>
  <c r="G92"/>
  <c r="F92"/>
  <c r="O90"/>
  <c r="N90"/>
  <c r="M90"/>
  <c r="L90"/>
  <c r="K90"/>
  <c r="J90"/>
  <c r="I90"/>
  <c r="H90"/>
  <c r="G90"/>
  <c r="F90"/>
  <c r="O74"/>
  <c r="N74"/>
  <c r="M74"/>
  <c r="L74"/>
  <c r="K74"/>
  <c r="J74"/>
  <c r="I74"/>
  <c r="H74"/>
  <c r="G74"/>
  <c r="F74"/>
  <c r="O72"/>
  <c r="N72"/>
  <c r="M72"/>
  <c r="L72"/>
  <c r="K72"/>
  <c r="J72"/>
  <c r="I72"/>
  <c r="H72"/>
  <c r="G72"/>
  <c r="F72"/>
  <c r="O56"/>
  <c r="N56"/>
  <c r="M56"/>
  <c r="L56"/>
  <c r="K56"/>
  <c r="J56"/>
  <c r="I56"/>
  <c r="H56"/>
  <c r="G56"/>
  <c r="F56"/>
  <c r="O54"/>
  <c r="N54"/>
  <c r="M54"/>
  <c r="L54"/>
  <c r="K54"/>
  <c r="J54"/>
  <c r="I54"/>
  <c r="H54"/>
  <c r="G54"/>
  <c r="F54"/>
  <c r="O38"/>
  <c r="N38"/>
  <c r="M38"/>
  <c r="L38"/>
  <c r="K38"/>
  <c r="J38"/>
  <c r="I38"/>
  <c r="H38"/>
  <c r="G38"/>
  <c r="F38"/>
  <c r="O146"/>
  <c r="N146"/>
  <c r="M146"/>
  <c r="L146"/>
  <c r="K146"/>
  <c r="J146"/>
  <c r="I146"/>
  <c r="H146"/>
  <c r="G146"/>
  <c r="F146"/>
  <c r="O144"/>
  <c r="N144"/>
  <c r="M144"/>
  <c r="L144"/>
  <c r="K144"/>
  <c r="J144"/>
  <c r="I144"/>
  <c r="H144"/>
  <c r="G144"/>
  <c r="F144"/>
  <c r="O164"/>
  <c r="N164"/>
  <c r="M164"/>
  <c r="L164"/>
  <c r="K164"/>
  <c r="J164"/>
  <c r="I164"/>
  <c r="H164"/>
  <c r="G164"/>
  <c r="F164"/>
  <c r="O162"/>
  <c r="N162"/>
  <c r="M162"/>
  <c r="L162"/>
  <c r="K162"/>
  <c r="J162"/>
  <c r="I162"/>
  <c r="H162"/>
  <c r="G162"/>
  <c r="F162"/>
  <c r="Y13" i="4"/>
  <c r="X13"/>
  <c r="Y12"/>
  <c r="X12"/>
  <c r="Y11"/>
  <c r="X11"/>
  <c r="Y10"/>
  <c r="X10"/>
  <c r="Y9"/>
  <c r="X9"/>
  <c r="Y8"/>
  <c r="X8"/>
  <c r="Y7"/>
  <c r="X7"/>
  <c r="Y6"/>
  <c r="X6"/>
  <c r="Y5"/>
  <c r="X5"/>
  <c r="Y4"/>
  <c r="X4"/>
  <c r="Y3"/>
  <c r="X3"/>
  <c r="Y2"/>
  <c r="X2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13"/>
  <c r="C12"/>
  <c r="C11"/>
  <c r="C10"/>
  <c r="C9"/>
  <c r="C8"/>
  <c r="C13" i="2"/>
  <c r="C12"/>
  <c r="C10"/>
  <c r="C9"/>
  <c r="V7" i="4"/>
  <c r="V6"/>
  <c r="V5"/>
  <c r="V4"/>
  <c r="V3"/>
  <c r="V2"/>
  <c r="T7"/>
  <c r="T6"/>
  <c r="T5"/>
  <c r="T4"/>
  <c r="T3"/>
  <c r="T2"/>
  <c r="R7"/>
  <c r="R6"/>
  <c r="R5"/>
  <c r="R4"/>
  <c r="R3"/>
  <c r="R2"/>
  <c r="P7"/>
  <c r="P6"/>
  <c r="P5"/>
  <c r="P4"/>
  <c r="P3"/>
  <c r="P2"/>
  <c r="N7"/>
  <c r="N6"/>
  <c r="N5"/>
  <c r="N4"/>
  <c r="N3"/>
  <c r="N2"/>
  <c r="L7"/>
  <c r="L6"/>
  <c r="L5"/>
  <c r="L4"/>
  <c r="L3"/>
  <c r="L2"/>
  <c r="J7"/>
  <c r="J6"/>
  <c r="J5"/>
  <c r="J4"/>
  <c r="J3"/>
  <c r="J2"/>
  <c r="H7"/>
  <c r="H6"/>
  <c r="H5"/>
  <c r="H4"/>
  <c r="H3"/>
  <c r="H2"/>
  <c r="F7"/>
  <c r="F6"/>
  <c r="F5"/>
  <c r="F4"/>
  <c r="F3"/>
  <c r="F2"/>
  <c r="D7"/>
  <c r="D6"/>
  <c r="D5"/>
  <c r="D4"/>
  <c r="D3"/>
  <c r="D2"/>
  <c r="B13"/>
  <c r="B12"/>
  <c r="B11"/>
  <c r="B10"/>
  <c r="B9"/>
  <c r="B8"/>
  <c r="B7"/>
  <c r="B6"/>
  <c r="B5"/>
  <c r="B4"/>
  <c r="B3"/>
  <c r="B2"/>
  <c r="Y165" i="1"/>
  <c r="V165"/>
  <c r="S165"/>
  <c r="P165"/>
  <c r="Y147"/>
  <c r="V147"/>
  <c r="S147"/>
  <c r="P147"/>
  <c r="Y129"/>
  <c r="V129"/>
  <c r="S129"/>
  <c r="P129"/>
  <c r="Y111"/>
  <c r="V111"/>
  <c r="S111"/>
  <c r="P111"/>
  <c r="Y93"/>
  <c r="V93"/>
  <c r="S93"/>
  <c r="P93"/>
  <c r="Y75"/>
  <c r="V75"/>
  <c r="S75"/>
  <c r="P75"/>
  <c r="Y57"/>
  <c r="V57"/>
  <c r="S57"/>
  <c r="P57"/>
  <c r="Y39"/>
  <c r="V39"/>
  <c r="S39"/>
  <c r="P39"/>
  <c r="O178"/>
  <c r="N178"/>
  <c r="M178"/>
  <c r="L178"/>
  <c r="K178"/>
  <c r="J178"/>
  <c r="I178"/>
  <c r="H178"/>
  <c r="G178"/>
  <c r="F178"/>
  <c r="O176"/>
  <c r="N176"/>
  <c r="M176"/>
  <c r="L176"/>
  <c r="K176"/>
  <c r="J176"/>
  <c r="I176"/>
  <c r="H176"/>
  <c r="G176"/>
  <c r="F176"/>
  <c r="O174"/>
  <c r="N174"/>
  <c r="M174"/>
  <c r="L174"/>
  <c r="K174"/>
  <c r="J174"/>
  <c r="I174"/>
  <c r="H174"/>
  <c r="G174"/>
  <c r="F174"/>
  <c r="O172"/>
  <c r="N172"/>
  <c r="M172"/>
  <c r="L172"/>
  <c r="K172"/>
  <c r="J172"/>
  <c r="I172"/>
  <c r="H172"/>
  <c r="G172"/>
  <c r="F172"/>
  <c r="O170"/>
  <c r="N170"/>
  <c r="M170"/>
  <c r="L170"/>
  <c r="K170"/>
  <c r="J170"/>
  <c r="I170"/>
  <c r="H170"/>
  <c r="G170"/>
  <c r="F170"/>
  <c r="G168"/>
  <c r="H168"/>
  <c r="I168"/>
  <c r="J168"/>
  <c r="K168"/>
  <c r="L168"/>
  <c r="M168"/>
  <c r="N168"/>
  <c r="O168"/>
  <c r="F168"/>
  <c r="O160"/>
  <c r="N160"/>
  <c r="M160"/>
  <c r="L160"/>
  <c r="K160"/>
  <c r="J160"/>
  <c r="I160"/>
  <c r="H160"/>
  <c r="G160"/>
  <c r="F160"/>
  <c r="O158"/>
  <c r="N158"/>
  <c r="M158"/>
  <c r="L158"/>
  <c r="K158"/>
  <c r="J158"/>
  <c r="I158"/>
  <c r="H158"/>
  <c r="G158"/>
  <c r="F158"/>
  <c r="O156"/>
  <c r="N156"/>
  <c r="M156"/>
  <c r="L156"/>
  <c r="K156"/>
  <c r="J156"/>
  <c r="I156"/>
  <c r="H156"/>
  <c r="G156"/>
  <c r="F156"/>
  <c r="O154"/>
  <c r="N154"/>
  <c r="M154"/>
  <c r="L154"/>
  <c r="K154"/>
  <c r="J154"/>
  <c r="I154"/>
  <c r="H154"/>
  <c r="G154"/>
  <c r="F154"/>
  <c r="O152"/>
  <c r="N152"/>
  <c r="M152"/>
  <c r="L152"/>
  <c r="K152"/>
  <c r="J152"/>
  <c r="I152"/>
  <c r="H152"/>
  <c r="G152"/>
  <c r="F152"/>
  <c r="G150"/>
  <c r="H150"/>
  <c r="I150"/>
  <c r="J150"/>
  <c r="K150"/>
  <c r="L150"/>
  <c r="M150"/>
  <c r="N150"/>
  <c r="O150"/>
  <c r="F150"/>
  <c r="O142"/>
  <c r="N142"/>
  <c r="M142"/>
  <c r="L142"/>
  <c r="K142"/>
  <c r="J142"/>
  <c r="I142"/>
  <c r="H142"/>
  <c r="G142"/>
  <c r="F142"/>
  <c r="O140"/>
  <c r="N140"/>
  <c r="M140"/>
  <c r="L140"/>
  <c r="K140"/>
  <c r="J140"/>
  <c r="I140"/>
  <c r="H140"/>
  <c r="G140"/>
  <c r="F140"/>
  <c r="O138"/>
  <c r="N138"/>
  <c r="M138"/>
  <c r="L138"/>
  <c r="K138"/>
  <c r="J138"/>
  <c r="I138"/>
  <c r="H138"/>
  <c r="G138"/>
  <c r="F138"/>
  <c r="O136"/>
  <c r="N136"/>
  <c r="M136"/>
  <c r="L136"/>
  <c r="K136"/>
  <c r="J136"/>
  <c r="I136"/>
  <c r="H136"/>
  <c r="G136"/>
  <c r="F136"/>
  <c r="O134"/>
  <c r="N134"/>
  <c r="M134"/>
  <c r="L134"/>
  <c r="K134"/>
  <c r="J134"/>
  <c r="I134"/>
  <c r="H134"/>
  <c r="G134"/>
  <c r="F134"/>
  <c r="G132"/>
  <c r="H132"/>
  <c r="I132"/>
  <c r="J132"/>
  <c r="K132"/>
  <c r="L132"/>
  <c r="M132"/>
  <c r="N132"/>
  <c r="O132"/>
  <c r="F132"/>
  <c r="O124"/>
  <c r="N124"/>
  <c r="M124"/>
  <c r="L124"/>
  <c r="K124"/>
  <c r="J124"/>
  <c r="I124"/>
  <c r="H124"/>
  <c r="G124"/>
  <c r="F124"/>
  <c r="O122"/>
  <c r="N122"/>
  <c r="M122"/>
  <c r="L122"/>
  <c r="K122"/>
  <c r="J122"/>
  <c r="I122"/>
  <c r="H122"/>
  <c r="G122"/>
  <c r="F122"/>
  <c r="O120"/>
  <c r="N120"/>
  <c r="M120"/>
  <c r="L120"/>
  <c r="K120"/>
  <c r="J120"/>
  <c r="I120"/>
  <c r="H120"/>
  <c r="G120"/>
  <c r="F120"/>
  <c r="O118"/>
  <c r="N118"/>
  <c r="M118"/>
  <c r="L118"/>
  <c r="K118"/>
  <c r="J118"/>
  <c r="I118"/>
  <c r="H118"/>
  <c r="G118"/>
  <c r="F118"/>
  <c r="O116"/>
  <c r="N116"/>
  <c r="M116"/>
  <c r="L116"/>
  <c r="K116"/>
  <c r="J116"/>
  <c r="I116"/>
  <c r="H116"/>
  <c r="G116"/>
  <c r="F116"/>
  <c r="G114"/>
  <c r="H114"/>
  <c r="I114"/>
  <c r="J114"/>
  <c r="K114"/>
  <c r="L114"/>
  <c r="M114"/>
  <c r="N114"/>
  <c r="O114"/>
  <c r="F114"/>
  <c r="O106"/>
  <c r="N106"/>
  <c r="M106"/>
  <c r="L106"/>
  <c r="K106"/>
  <c r="J106"/>
  <c r="I106"/>
  <c r="H106"/>
  <c r="G106"/>
  <c r="F106"/>
  <c r="O104"/>
  <c r="N104"/>
  <c r="M104"/>
  <c r="L104"/>
  <c r="K104"/>
  <c r="J104"/>
  <c r="I104"/>
  <c r="H104"/>
  <c r="G104"/>
  <c r="F104"/>
  <c r="O102"/>
  <c r="N102"/>
  <c r="M102"/>
  <c r="L102"/>
  <c r="K102"/>
  <c r="J102"/>
  <c r="I102"/>
  <c r="H102"/>
  <c r="G102"/>
  <c r="F102"/>
  <c r="O100"/>
  <c r="N100"/>
  <c r="M100"/>
  <c r="L100"/>
  <c r="K100"/>
  <c r="J100"/>
  <c r="I100"/>
  <c r="H100"/>
  <c r="G100"/>
  <c r="F100"/>
  <c r="O98"/>
  <c r="N98"/>
  <c r="M98"/>
  <c r="L98"/>
  <c r="K98"/>
  <c r="J98"/>
  <c r="I98"/>
  <c r="H98"/>
  <c r="G98"/>
  <c r="F98"/>
  <c r="G96"/>
  <c r="H96"/>
  <c r="I96"/>
  <c r="J96"/>
  <c r="K96"/>
  <c r="L96"/>
  <c r="M96"/>
  <c r="N96"/>
  <c r="O96"/>
  <c r="F96"/>
  <c r="O88"/>
  <c r="N88"/>
  <c r="M88"/>
  <c r="L88"/>
  <c r="K88"/>
  <c r="J88"/>
  <c r="I88"/>
  <c r="H88"/>
  <c r="G88"/>
  <c r="F88"/>
  <c r="O86"/>
  <c r="N86"/>
  <c r="M86"/>
  <c r="L86"/>
  <c r="K86"/>
  <c r="J86"/>
  <c r="I86"/>
  <c r="H86"/>
  <c r="G86"/>
  <c r="F86"/>
  <c r="O84"/>
  <c r="N84"/>
  <c r="M84"/>
  <c r="L84"/>
  <c r="K84"/>
  <c r="J84"/>
  <c r="I84"/>
  <c r="H84"/>
  <c r="G84"/>
  <c r="F84"/>
  <c r="O82"/>
  <c r="N82"/>
  <c r="M82"/>
  <c r="L82"/>
  <c r="K82"/>
  <c r="J82"/>
  <c r="I82"/>
  <c r="H82"/>
  <c r="G82"/>
  <c r="F82"/>
  <c r="O80"/>
  <c r="N80"/>
  <c r="M80"/>
  <c r="L80"/>
  <c r="K80"/>
  <c r="J80"/>
  <c r="I80"/>
  <c r="H80"/>
  <c r="G80"/>
  <c r="F80"/>
  <c r="G78"/>
  <c r="H78"/>
  <c r="I78"/>
  <c r="J78"/>
  <c r="K78"/>
  <c r="L78"/>
  <c r="M78"/>
  <c r="N78"/>
  <c r="O78"/>
  <c r="F78"/>
  <c r="O70"/>
  <c r="N70"/>
  <c r="M70"/>
  <c r="L70"/>
  <c r="K70"/>
  <c r="J70"/>
  <c r="I70"/>
  <c r="H70"/>
  <c r="G70"/>
  <c r="F70"/>
  <c r="O68"/>
  <c r="N68"/>
  <c r="M68"/>
  <c r="L68"/>
  <c r="K68"/>
  <c r="J68"/>
  <c r="I68"/>
  <c r="H68"/>
  <c r="G68"/>
  <c r="F68"/>
  <c r="O66"/>
  <c r="N66"/>
  <c r="M66"/>
  <c r="L66"/>
  <c r="K66"/>
  <c r="J66"/>
  <c r="I66"/>
  <c r="H66"/>
  <c r="G66"/>
  <c r="F66"/>
  <c r="O64"/>
  <c r="N64"/>
  <c r="M64"/>
  <c r="L64"/>
  <c r="K64"/>
  <c r="J64"/>
  <c r="I64"/>
  <c r="H64"/>
  <c r="G64"/>
  <c r="F64"/>
  <c r="O62"/>
  <c r="N62"/>
  <c r="M62"/>
  <c r="L62"/>
  <c r="K62"/>
  <c r="J62"/>
  <c r="I62"/>
  <c r="H62"/>
  <c r="G62"/>
  <c r="F62"/>
  <c r="G60"/>
  <c r="H60"/>
  <c r="I60"/>
  <c r="J60"/>
  <c r="K60"/>
  <c r="L60"/>
  <c r="M60"/>
  <c r="N60"/>
  <c r="O60"/>
  <c r="F60"/>
  <c r="O52"/>
  <c r="N52"/>
  <c r="M52"/>
  <c r="L52"/>
  <c r="K52"/>
  <c r="J52"/>
  <c r="I52"/>
  <c r="H52"/>
  <c r="G52"/>
  <c r="O50"/>
  <c r="N50"/>
  <c r="M50"/>
  <c r="L50"/>
  <c r="K50"/>
  <c r="J50"/>
  <c r="I50"/>
  <c r="H50"/>
  <c r="G50"/>
  <c r="F50"/>
  <c r="O48"/>
  <c r="N48"/>
  <c r="M48"/>
  <c r="L48"/>
  <c r="K48"/>
  <c r="J48"/>
  <c r="I48"/>
  <c r="H48"/>
  <c r="G48"/>
  <c r="F48"/>
  <c r="O46"/>
  <c r="N46"/>
  <c r="M46"/>
  <c r="L46"/>
  <c r="K46"/>
  <c r="J46"/>
  <c r="I46"/>
  <c r="H46"/>
  <c r="G46"/>
  <c r="F46"/>
  <c r="O44"/>
  <c r="N44"/>
  <c r="M44"/>
  <c r="L44"/>
  <c r="K44"/>
  <c r="J44"/>
  <c r="I44"/>
  <c r="H44"/>
  <c r="G44"/>
  <c r="F44"/>
  <c r="G42"/>
  <c r="H42"/>
  <c r="I42"/>
  <c r="J42"/>
  <c r="K42"/>
  <c r="L42"/>
  <c r="M42"/>
  <c r="N42"/>
  <c r="O42"/>
  <c r="F42"/>
  <c r="O36"/>
  <c r="N36"/>
  <c r="M36"/>
  <c r="L36"/>
  <c r="K36"/>
  <c r="J36"/>
  <c r="I36"/>
  <c r="H36"/>
  <c r="G36"/>
  <c r="F36"/>
  <c r="O34"/>
  <c r="N34"/>
  <c r="M34"/>
  <c r="L34"/>
  <c r="K34"/>
  <c r="J34"/>
  <c r="I34"/>
  <c r="H34"/>
  <c r="G34"/>
  <c r="F34"/>
  <c r="O32"/>
  <c r="N32"/>
  <c r="M32"/>
  <c r="L32"/>
  <c r="K32"/>
  <c r="J32"/>
  <c r="I32"/>
  <c r="H32"/>
  <c r="G32"/>
  <c r="F32"/>
  <c r="O30"/>
  <c r="N30"/>
  <c r="M30"/>
  <c r="L30"/>
  <c r="K30"/>
  <c r="J30"/>
  <c r="I30"/>
  <c r="H30"/>
  <c r="G30"/>
  <c r="F30"/>
  <c r="O28"/>
  <c r="N28"/>
  <c r="M28"/>
  <c r="L28"/>
  <c r="K28"/>
  <c r="J28"/>
  <c r="I28"/>
  <c r="H28"/>
  <c r="G28"/>
  <c r="F28"/>
  <c r="O26"/>
  <c r="N26"/>
  <c r="M26"/>
  <c r="L26"/>
  <c r="K26"/>
  <c r="J26"/>
  <c r="I26"/>
  <c r="H26"/>
  <c r="G26"/>
  <c r="F26"/>
  <c r="O24"/>
  <c r="N24"/>
  <c r="M24"/>
  <c r="L24"/>
  <c r="K24"/>
  <c r="J24"/>
  <c r="I24"/>
  <c r="H24"/>
  <c r="G24"/>
  <c r="F24"/>
  <c r="O22"/>
  <c r="N22"/>
  <c r="M22"/>
  <c r="L22"/>
  <c r="K22"/>
  <c r="J22"/>
  <c r="I22"/>
  <c r="H22"/>
  <c r="G22"/>
  <c r="F22"/>
  <c r="O20"/>
  <c r="N20"/>
  <c r="M20"/>
  <c r="L20"/>
  <c r="K20"/>
  <c r="J20"/>
  <c r="I20"/>
  <c r="H20"/>
  <c r="G20"/>
  <c r="F20"/>
  <c r="O18"/>
  <c r="N18"/>
  <c r="M18"/>
  <c r="L18"/>
  <c r="K18"/>
  <c r="J18"/>
  <c r="I18"/>
  <c r="H18"/>
  <c r="G18"/>
  <c r="F18"/>
  <c r="G16"/>
  <c r="H16"/>
  <c r="I16"/>
  <c r="J16"/>
  <c r="K16"/>
  <c r="L16"/>
  <c r="M16"/>
  <c r="N16"/>
  <c r="O16"/>
  <c r="F16"/>
  <c r="W7" i="4" l="1"/>
  <c r="W6"/>
  <c r="W5"/>
  <c r="W4"/>
  <c r="W3"/>
  <c r="W2"/>
  <c r="U7"/>
  <c r="U6"/>
  <c r="U5"/>
  <c r="U4"/>
  <c r="U3"/>
  <c r="U2"/>
  <c r="S7"/>
  <c r="S6"/>
  <c r="S5"/>
  <c r="S4"/>
  <c r="S3"/>
  <c r="S2"/>
  <c r="Q7"/>
  <c r="Q6"/>
  <c r="Q5"/>
  <c r="Q4"/>
  <c r="Q3"/>
  <c r="Q2"/>
  <c r="O7"/>
  <c r="O6"/>
  <c r="O5"/>
  <c r="O4"/>
  <c r="O3"/>
  <c r="O2"/>
  <c r="O9" i="1"/>
  <c r="N9"/>
  <c r="M9"/>
  <c r="L9"/>
  <c r="K9"/>
  <c r="J9"/>
  <c r="I9"/>
  <c r="H9"/>
  <c r="G9"/>
  <c r="F9"/>
  <c r="B167"/>
  <c r="B169"/>
  <c r="B171"/>
  <c r="B173"/>
  <c r="B175"/>
  <c r="B179"/>
  <c r="B181"/>
  <c r="B177"/>
  <c r="B149"/>
  <c r="B151"/>
  <c r="B153"/>
  <c r="B155"/>
  <c r="B157"/>
  <c r="B159"/>
  <c r="B163"/>
  <c r="B161"/>
  <c r="AC28"/>
  <c r="AC38"/>
  <c r="B25"/>
  <c r="B37"/>
  <c r="B29"/>
  <c r="B27"/>
  <c r="AC24"/>
  <c r="AC36"/>
  <c r="B23"/>
  <c r="B35"/>
  <c r="B15"/>
  <c r="B33"/>
  <c r="AC20"/>
  <c r="AC32"/>
  <c r="B17"/>
  <c r="AC22"/>
  <c r="B21"/>
  <c r="B19"/>
  <c r="B31"/>
  <c r="AC16"/>
  <c r="AC26"/>
  <c r="AC34"/>
  <c r="AC18"/>
  <c r="AC30"/>
  <c r="B55"/>
  <c r="B53"/>
  <c r="B47"/>
  <c r="B51"/>
  <c r="B43"/>
  <c r="B49"/>
  <c r="B45"/>
  <c r="B41"/>
  <c r="B65"/>
  <c r="B69"/>
  <c r="B67"/>
  <c r="B63"/>
  <c r="B61"/>
  <c r="B59"/>
  <c r="B73"/>
  <c r="B71"/>
  <c r="B109"/>
  <c r="B107"/>
  <c r="B95"/>
  <c r="B97"/>
  <c r="B99"/>
  <c r="B101"/>
  <c r="B105"/>
  <c r="B103"/>
  <c r="B127"/>
  <c r="B125"/>
  <c r="B113"/>
  <c r="B117"/>
  <c r="B115"/>
  <c r="B119"/>
  <c r="B123"/>
  <c r="B121"/>
  <c r="B145"/>
  <c r="B143"/>
  <c r="B131"/>
  <c r="B133"/>
  <c r="B135"/>
  <c r="B139"/>
  <c r="B137"/>
  <c r="B141"/>
  <c r="B91"/>
  <c r="B89"/>
  <c r="B77"/>
  <c r="B83"/>
  <c r="B87"/>
  <c r="B79"/>
  <c r="B85"/>
  <c r="B81"/>
  <c r="E12"/>
  <c r="CA16" i="2" l="1"/>
  <c r="BR16"/>
  <c r="BI16"/>
  <c r="AZ16"/>
  <c r="AQ16"/>
  <c r="G7" i="1"/>
  <c r="AP16" i="2" l="1"/>
  <c r="AY16"/>
  <c r="BQ16"/>
  <c r="BH16"/>
  <c r="BZ16"/>
  <c r="AH16"/>
  <c r="Y16"/>
  <c r="P16"/>
  <c r="C16"/>
  <c r="V133" i="1" l="1"/>
  <c r="V134" s="1"/>
  <c r="Z143"/>
  <c r="Z144" s="1"/>
  <c r="U137"/>
  <c r="U138" s="1"/>
  <c r="Y145"/>
  <c r="Y146" s="1"/>
  <c r="R137"/>
  <c r="R138" s="1"/>
  <c r="V145"/>
  <c r="V146" s="1"/>
  <c r="Z135"/>
  <c r="Z136" s="1"/>
  <c r="Q145"/>
  <c r="Q146" s="1"/>
  <c r="V141"/>
  <c r="V142" s="1"/>
  <c r="P143"/>
  <c r="P144" s="1"/>
  <c r="AA135"/>
  <c r="AA136" s="1"/>
  <c r="U131"/>
  <c r="U132" s="1"/>
  <c r="Y141"/>
  <c r="Y142" s="1"/>
  <c r="T135"/>
  <c r="T136" s="1"/>
  <c r="W143"/>
  <c r="W144" s="1"/>
  <c r="Q135"/>
  <c r="Q136" s="1"/>
  <c r="T143"/>
  <c r="T144" s="1"/>
  <c r="Y133"/>
  <c r="Y134" s="1"/>
  <c r="Q143"/>
  <c r="Q144" s="1"/>
  <c r="S133"/>
  <c r="S134" s="1"/>
  <c r="U139"/>
  <c r="U140" s="1"/>
  <c r="Q137"/>
  <c r="Q138" s="1"/>
  <c r="P131"/>
  <c r="P132" s="1"/>
  <c r="X139"/>
  <c r="X140" s="1"/>
  <c r="AA131"/>
  <c r="AA132" s="1"/>
  <c r="R139"/>
  <c r="R140" s="1"/>
  <c r="R145"/>
  <c r="R146" s="1"/>
  <c r="W137"/>
  <c r="W138" s="1"/>
  <c r="R131"/>
  <c r="R132" s="1"/>
  <c r="U145"/>
  <c r="U146" s="1"/>
  <c r="AA141"/>
  <c r="AA142" s="1"/>
  <c r="V135"/>
  <c r="V136" s="1"/>
  <c r="AA145"/>
  <c r="AA146" s="1"/>
  <c r="T137"/>
  <c r="T138" s="1"/>
  <c r="Y135"/>
  <c r="Y136" s="1"/>
  <c r="Z139"/>
  <c r="Z140" s="1"/>
  <c r="U133"/>
  <c r="U134" s="1"/>
  <c r="Y143"/>
  <c r="Y144" s="1"/>
  <c r="S135"/>
  <c r="S136" s="1"/>
  <c r="V143"/>
  <c r="V144" s="1"/>
  <c r="AA133"/>
  <c r="AA134" s="1"/>
  <c r="S143"/>
  <c r="S144" s="1"/>
  <c r="X133"/>
  <c r="X134" s="1"/>
  <c r="X141"/>
  <c r="X142" s="1"/>
  <c r="Z131"/>
  <c r="Z132" s="1"/>
  <c r="W131"/>
  <c r="W132" s="1"/>
  <c r="Q139"/>
  <c r="Q140" s="1"/>
  <c r="Y137"/>
  <c r="Y138" s="1"/>
  <c r="T131"/>
  <c r="T132" s="1"/>
  <c r="R133"/>
  <c r="R134" s="1"/>
  <c r="U141"/>
  <c r="U142" s="1"/>
  <c r="R141"/>
  <c r="R142" s="1"/>
  <c r="P141"/>
  <c r="P142" s="1"/>
  <c r="X135"/>
  <c r="X136" s="1"/>
  <c r="AA143"/>
  <c r="AA144" s="1"/>
  <c r="W139"/>
  <c r="W140" s="1"/>
  <c r="Q131"/>
  <c r="Q132" s="1"/>
  <c r="T139"/>
  <c r="T140" s="1"/>
  <c r="W133"/>
  <c r="W134" s="1"/>
  <c r="Z141"/>
  <c r="Z142" s="1"/>
  <c r="V137"/>
  <c r="V138" s="1"/>
  <c r="Z145"/>
  <c r="Z146" s="1"/>
  <c r="S137"/>
  <c r="S138" s="1"/>
  <c r="W145"/>
  <c r="W146" s="1"/>
  <c r="V131"/>
  <c r="V132" s="1"/>
  <c r="Y139"/>
  <c r="Y140" s="1"/>
  <c r="U135"/>
  <c r="U136" s="1"/>
  <c r="X143"/>
  <c r="X144" s="1"/>
  <c r="R135"/>
  <c r="R136" s="1"/>
  <c r="U143"/>
  <c r="U144" s="1"/>
  <c r="Z133"/>
  <c r="Z134" s="1"/>
  <c r="R143"/>
  <c r="R144" s="1"/>
  <c r="S141"/>
  <c r="S142" s="1"/>
  <c r="P137"/>
  <c r="P138" s="1"/>
  <c r="P135"/>
  <c r="P136" s="1"/>
  <c r="P133"/>
  <c r="P134" s="1"/>
  <c r="X137"/>
  <c r="X138" s="1"/>
  <c r="T133"/>
  <c r="T134" s="1"/>
  <c r="W141"/>
  <c r="W142" s="1"/>
  <c r="Q133"/>
  <c r="Q134" s="1"/>
  <c r="T141"/>
  <c r="T142" s="1"/>
  <c r="Y131"/>
  <c r="Y132" s="1"/>
  <c r="Q141"/>
  <c r="Q142" s="1"/>
  <c r="AA139"/>
  <c r="AA140" s="1"/>
  <c r="X145"/>
  <c r="X146" s="1"/>
  <c r="T145"/>
  <c r="T146" s="1"/>
  <c r="S145"/>
  <c r="S146" s="1"/>
  <c r="W135"/>
  <c r="W136" s="1"/>
  <c r="S131"/>
  <c r="S132" s="1"/>
  <c r="V139"/>
  <c r="V140" s="1"/>
  <c r="P145"/>
  <c r="P146" s="1"/>
  <c r="S139"/>
  <c r="S140" s="1"/>
  <c r="P139"/>
  <c r="P140" s="1"/>
  <c r="AA137"/>
  <c r="AA138" s="1"/>
  <c r="X131"/>
  <c r="X132" s="1"/>
  <c r="Z137"/>
  <c r="Z138" s="1"/>
  <c r="AA179"/>
  <c r="AA180" s="1"/>
  <c r="Z177"/>
  <c r="Z178" s="1"/>
  <c r="Y175"/>
  <c r="Y176" s="1"/>
  <c r="Y173"/>
  <c r="Y174" s="1"/>
  <c r="Y171"/>
  <c r="Y172" s="1"/>
  <c r="Z169"/>
  <c r="Z170" s="1"/>
  <c r="Y167"/>
  <c r="Y168" s="1"/>
  <c r="P175"/>
  <c r="P176" s="1"/>
  <c r="T163"/>
  <c r="T164" s="1"/>
  <c r="S161"/>
  <c r="S162" s="1"/>
  <c r="R159"/>
  <c r="R160" s="1"/>
  <c r="R157"/>
  <c r="R158" s="1"/>
  <c r="S155"/>
  <c r="S156" s="1"/>
  <c r="T153"/>
  <c r="T154" s="1"/>
  <c r="S151"/>
  <c r="S152" s="1"/>
  <c r="S149"/>
  <c r="S150" s="1"/>
  <c r="Q181"/>
  <c r="Q182" s="1"/>
  <c r="AA177"/>
  <c r="AA178" s="1"/>
  <c r="Z175"/>
  <c r="Z176" s="1"/>
  <c r="Z173"/>
  <c r="Z174" s="1"/>
  <c r="Z171"/>
  <c r="Z172" s="1"/>
  <c r="AA169"/>
  <c r="AA170" s="1"/>
  <c r="Z167"/>
  <c r="Z168" s="1"/>
  <c r="P177"/>
  <c r="P178" s="1"/>
  <c r="U163"/>
  <c r="U164" s="1"/>
  <c r="T161"/>
  <c r="T162" s="1"/>
  <c r="S159"/>
  <c r="S160" s="1"/>
  <c r="S157"/>
  <c r="S158" s="1"/>
  <c r="T155"/>
  <c r="T156" s="1"/>
  <c r="U153"/>
  <c r="U154" s="1"/>
  <c r="T151"/>
  <c r="T152" s="1"/>
  <c r="T149"/>
  <c r="T150" s="1"/>
  <c r="P149"/>
  <c r="P150" s="1"/>
  <c r="R181"/>
  <c r="R182" s="1"/>
  <c r="Q179"/>
  <c r="Q180" s="1"/>
  <c r="AA175"/>
  <c r="AA176" s="1"/>
  <c r="AA173"/>
  <c r="AA174" s="1"/>
  <c r="AA171"/>
  <c r="AA172" s="1"/>
  <c r="AA167"/>
  <c r="AA168" s="1"/>
  <c r="P179"/>
  <c r="P180" s="1"/>
  <c r="V163"/>
  <c r="V164" s="1"/>
  <c r="U161"/>
  <c r="U162" s="1"/>
  <c r="T159"/>
  <c r="T160" s="1"/>
  <c r="T157"/>
  <c r="T158" s="1"/>
  <c r="U155"/>
  <c r="U156" s="1"/>
  <c r="V153"/>
  <c r="V154" s="1"/>
  <c r="U151"/>
  <c r="U152" s="1"/>
  <c r="U149"/>
  <c r="U150" s="1"/>
  <c r="S181"/>
  <c r="S182" s="1"/>
  <c r="R179"/>
  <c r="R180" s="1"/>
  <c r="Q177"/>
  <c r="Q178" s="1"/>
  <c r="Q169"/>
  <c r="Q170" s="1"/>
  <c r="P181"/>
  <c r="P182" s="1"/>
  <c r="W163"/>
  <c r="W164" s="1"/>
  <c r="V161"/>
  <c r="V162" s="1"/>
  <c r="U159"/>
  <c r="U160" s="1"/>
  <c r="U157"/>
  <c r="U158" s="1"/>
  <c r="V155"/>
  <c r="V156" s="1"/>
  <c r="W153"/>
  <c r="W154" s="1"/>
  <c r="V151"/>
  <c r="V152" s="1"/>
  <c r="V149"/>
  <c r="V150" s="1"/>
  <c r="P151"/>
  <c r="P152" s="1"/>
  <c r="T181"/>
  <c r="T182" s="1"/>
  <c r="S179"/>
  <c r="S180" s="1"/>
  <c r="R177"/>
  <c r="R178" s="1"/>
  <c r="Q175"/>
  <c r="Q176" s="1"/>
  <c r="Q173"/>
  <c r="Q174" s="1"/>
  <c r="Q171"/>
  <c r="Q172" s="1"/>
  <c r="R169"/>
  <c r="R170" s="1"/>
  <c r="Q167"/>
  <c r="Q168" s="1"/>
  <c r="X163"/>
  <c r="X164" s="1"/>
  <c r="W161"/>
  <c r="W162" s="1"/>
  <c r="V159"/>
  <c r="V160" s="1"/>
  <c r="V157"/>
  <c r="V158" s="1"/>
  <c r="W155"/>
  <c r="W156" s="1"/>
  <c r="X153"/>
  <c r="X154" s="1"/>
  <c r="W151"/>
  <c r="W152" s="1"/>
  <c r="W149"/>
  <c r="W150" s="1"/>
  <c r="P153"/>
  <c r="P154" s="1"/>
  <c r="U181"/>
  <c r="U182" s="1"/>
  <c r="T179"/>
  <c r="T180" s="1"/>
  <c r="S177"/>
  <c r="S178" s="1"/>
  <c r="R175"/>
  <c r="R176" s="1"/>
  <c r="R173"/>
  <c r="R174" s="1"/>
  <c r="R171"/>
  <c r="R172" s="1"/>
  <c r="S169"/>
  <c r="S170" s="1"/>
  <c r="R167"/>
  <c r="R168" s="1"/>
  <c r="Y163"/>
  <c r="Y164" s="1"/>
  <c r="X161"/>
  <c r="X162" s="1"/>
  <c r="W159"/>
  <c r="W160" s="1"/>
  <c r="W157"/>
  <c r="W158" s="1"/>
  <c r="X155"/>
  <c r="X156" s="1"/>
  <c r="Y153"/>
  <c r="Y154" s="1"/>
  <c r="X151"/>
  <c r="X152" s="1"/>
  <c r="X149"/>
  <c r="X150" s="1"/>
  <c r="P155"/>
  <c r="P156" s="1"/>
  <c r="V181"/>
  <c r="V182" s="1"/>
  <c r="U179"/>
  <c r="U180" s="1"/>
  <c r="T177"/>
  <c r="T178" s="1"/>
  <c r="S175"/>
  <c r="S176" s="1"/>
  <c r="S173"/>
  <c r="S174" s="1"/>
  <c r="S171"/>
  <c r="S172" s="1"/>
  <c r="T169"/>
  <c r="T170" s="1"/>
  <c r="S167"/>
  <c r="S168" s="1"/>
  <c r="Z163"/>
  <c r="Z164" s="1"/>
  <c r="Y161"/>
  <c r="Y162" s="1"/>
  <c r="X159"/>
  <c r="X160" s="1"/>
  <c r="X157"/>
  <c r="X158" s="1"/>
  <c r="Y155"/>
  <c r="Y156" s="1"/>
  <c r="Z153"/>
  <c r="Z154" s="1"/>
  <c r="Y151"/>
  <c r="Y152" s="1"/>
  <c r="Y149"/>
  <c r="Y150" s="1"/>
  <c r="P157"/>
  <c r="P158" s="1"/>
  <c r="W181"/>
  <c r="W182" s="1"/>
  <c r="V179"/>
  <c r="V180" s="1"/>
  <c r="U177"/>
  <c r="U178" s="1"/>
  <c r="T175"/>
  <c r="T176" s="1"/>
  <c r="T173"/>
  <c r="T174" s="1"/>
  <c r="T171"/>
  <c r="T172" s="1"/>
  <c r="U169"/>
  <c r="U170" s="1"/>
  <c r="T167"/>
  <c r="T168" s="1"/>
  <c r="AA163"/>
  <c r="AA164" s="1"/>
  <c r="Z161"/>
  <c r="Z162" s="1"/>
  <c r="Y159"/>
  <c r="Y160" s="1"/>
  <c r="Y157"/>
  <c r="Y158" s="1"/>
  <c r="Z155"/>
  <c r="Z156" s="1"/>
  <c r="AA153"/>
  <c r="AA154" s="1"/>
  <c r="Z151"/>
  <c r="Z152" s="1"/>
  <c r="Z149"/>
  <c r="Z150" s="1"/>
  <c r="P159"/>
  <c r="P160" s="1"/>
  <c r="X181"/>
  <c r="X182" s="1"/>
  <c r="W179"/>
  <c r="W180" s="1"/>
  <c r="V177"/>
  <c r="V178" s="1"/>
  <c r="U175"/>
  <c r="U176" s="1"/>
  <c r="U173"/>
  <c r="U174" s="1"/>
  <c r="U171"/>
  <c r="U172" s="1"/>
  <c r="V169"/>
  <c r="V170" s="1"/>
  <c r="U167"/>
  <c r="U168" s="1"/>
  <c r="P167"/>
  <c r="P168" s="1"/>
  <c r="AA161"/>
  <c r="AA162" s="1"/>
  <c r="Z159"/>
  <c r="Z160" s="1"/>
  <c r="Z157"/>
  <c r="Z158" s="1"/>
  <c r="AA155"/>
  <c r="AA156" s="1"/>
  <c r="AA151"/>
  <c r="AA152" s="1"/>
  <c r="AA149"/>
  <c r="AA150" s="1"/>
  <c r="P161"/>
  <c r="P162" s="1"/>
  <c r="Y181"/>
  <c r="Y182" s="1"/>
  <c r="X179"/>
  <c r="X180" s="1"/>
  <c r="W177"/>
  <c r="W178" s="1"/>
  <c r="V175"/>
  <c r="V176" s="1"/>
  <c r="V173"/>
  <c r="V174" s="1"/>
  <c r="V171"/>
  <c r="V172" s="1"/>
  <c r="W169"/>
  <c r="W170" s="1"/>
  <c r="V167"/>
  <c r="V168" s="1"/>
  <c r="P169"/>
  <c r="P170" s="1"/>
  <c r="Q163"/>
  <c r="Q164" s="1"/>
  <c r="AA159"/>
  <c r="AA160" s="1"/>
  <c r="AA157"/>
  <c r="AA158" s="1"/>
  <c r="Q153"/>
  <c r="Q154" s="1"/>
  <c r="P163"/>
  <c r="P164" s="1"/>
  <c r="Z181"/>
  <c r="Z182" s="1"/>
  <c r="Y179"/>
  <c r="Y180" s="1"/>
  <c r="X177"/>
  <c r="X178" s="1"/>
  <c r="W175"/>
  <c r="W176" s="1"/>
  <c r="W173"/>
  <c r="W174" s="1"/>
  <c r="W171"/>
  <c r="W172" s="1"/>
  <c r="X169"/>
  <c r="X170" s="1"/>
  <c r="W167"/>
  <c r="W168" s="1"/>
  <c r="P171"/>
  <c r="P172" s="1"/>
  <c r="R163"/>
  <c r="R164" s="1"/>
  <c r="Q161"/>
  <c r="Q162" s="1"/>
  <c r="Q155"/>
  <c r="Q156" s="1"/>
  <c r="R153"/>
  <c r="R154" s="1"/>
  <c r="Q151"/>
  <c r="Q152" s="1"/>
  <c r="Q149"/>
  <c r="Q150" s="1"/>
  <c r="AA181"/>
  <c r="AA182" s="1"/>
  <c r="Z179"/>
  <c r="Z180" s="1"/>
  <c r="Y177"/>
  <c r="Y178" s="1"/>
  <c r="X175"/>
  <c r="X176" s="1"/>
  <c r="X173"/>
  <c r="X174" s="1"/>
  <c r="X171"/>
  <c r="X172" s="1"/>
  <c r="Y169"/>
  <c r="Y170" s="1"/>
  <c r="X167"/>
  <c r="X168" s="1"/>
  <c r="P173"/>
  <c r="P174" s="1"/>
  <c r="S163"/>
  <c r="S164" s="1"/>
  <c r="R161"/>
  <c r="R162" s="1"/>
  <c r="Q159"/>
  <c r="Q160" s="1"/>
  <c r="Q157"/>
  <c r="Q158" s="1"/>
  <c r="R155"/>
  <c r="R156" s="1"/>
  <c r="S153"/>
  <c r="S154" s="1"/>
  <c r="R151"/>
  <c r="R152" s="1"/>
  <c r="R149"/>
  <c r="R150" s="1"/>
  <c r="X16" i="2"/>
  <c r="AG16"/>
  <c r="B16"/>
  <c r="O16"/>
  <c r="M7" i="4"/>
  <c r="M6"/>
  <c r="M5"/>
  <c r="M4"/>
  <c r="M3"/>
  <c r="M2"/>
  <c r="K7"/>
  <c r="K6"/>
  <c r="K5"/>
  <c r="K4"/>
  <c r="K3"/>
  <c r="K2"/>
  <c r="I7"/>
  <c r="I6"/>
  <c r="I5"/>
  <c r="I4"/>
  <c r="I3"/>
  <c r="I2"/>
  <c r="G7"/>
  <c r="G6"/>
  <c r="G5"/>
  <c r="G4"/>
  <c r="G3"/>
  <c r="G2"/>
  <c r="E7"/>
  <c r="E6"/>
  <c r="E5"/>
  <c r="E4"/>
  <c r="E3"/>
  <c r="E2"/>
  <c r="C7"/>
  <c r="C6"/>
  <c r="C5"/>
  <c r="C4"/>
  <c r="C3"/>
  <c r="C2"/>
  <c r="E15"/>
  <c r="C15" s="1"/>
  <c r="H17"/>
  <c r="B17"/>
  <c r="J17"/>
  <c r="R17"/>
  <c r="V17"/>
  <c r="L17"/>
  <c r="T17"/>
  <c r="N17"/>
  <c r="X17"/>
  <c r="F17"/>
  <c r="D17"/>
  <c r="P17"/>
  <c r="AA15" i="1" l="1"/>
  <c r="AA16" s="1"/>
  <c r="Z15"/>
  <c r="Z16" s="1"/>
  <c r="Y15"/>
  <c r="Y16" s="1"/>
  <c r="Q15"/>
  <c r="Q16" s="1"/>
  <c r="R15"/>
  <c r="R16" s="1"/>
  <c r="S15"/>
  <c r="S16" s="1"/>
  <c r="T15"/>
  <c r="T16" s="1"/>
  <c r="U15"/>
  <c r="U16" s="1"/>
  <c r="V15"/>
  <c r="V16" s="1"/>
  <c r="W15"/>
  <c r="W16" s="1"/>
  <c r="X15"/>
  <c r="X16" s="1"/>
  <c r="P15"/>
  <c r="P16" s="1"/>
  <c r="E15" i="2"/>
  <c r="C15" s="1"/>
  <c r="C7"/>
  <c r="C6"/>
  <c r="C4"/>
  <c r="C3"/>
  <c r="BZ17"/>
  <c r="BQ17"/>
  <c r="BH17"/>
  <c r="AY17"/>
  <c r="AP17"/>
  <c r="AG17"/>
  <c r="X17"/>
  <c r="O17"/>
  <c r="B17"/>
  <c r="J165" i="1" l="1"/>
  <c r="K165"/>
  <c r="I165"/>
  <c r="M165"/>
  <c r="N165"/>
  <c r="O165"/>
  <c r="L165"/>
  <c r="I129"/>
  <c r="I147"/>
  <c r="M129"/>
  <c r="M147"/>
  <c r="N129"/>
  <c r="N147"/>
  <c r="O129"/>
  <c r="O147"/>
  <c r="J129"/>
  <c r="J147"/>
  <c r="K129"/>
  <c r="K147"/>
  <c r="L129"/>
  <c r="L147"/>
  <c r="I93"/>
  <c r="I111"/>
  <c r="N93"/>
  <c r="N111"/>
  <c r="J93"/>
  <c r="J111"/>
  <c r="O93"/>
  <c r="O111"/>
  <c r="M93"/>
  <c r="M111"/>
  <c r="K93"/>
  <c r="K111"/>
  <c r="L93"/>
  <c r="L111"/>
  <c r="M57"/>
  <c r="M75"/>
  <c r="N57"/>
  <c r="N75"/>
  <c r="J57"/>
  <c r="J75"/>
  <c r="O57"/>
  <c r="O75"/>
  <c r="I57"/>
  <c r="I75"/>
  <c r="K57"/>
  <c r="K75"/>
  <c r="L57"/>
  <c r="L75"/>
  <c r="I13"/>
  <c r="I39"/>
  <c r="J13"/>
  <c r="J39"/>
  <c r="N13"/>
  <c r="N39"/>
  <c r="K13"/>
  <c r="K39"/>
  <c r="O13"/>
  <c r="O39"/>
  <c r="M13"/>
  <c r="M39"/>
  <c r="L13"/>
  <c r="L39"/>
  <c r="M5"/>
  <c r="G6"/>
  <c r="M7"/>
  <c r="M6"/>
  <c r="I7"/>
  <c r="K6"/>
  <c r="K5"/>
  <c r="I6"/>
  <c r="K7"/>
  <c r="G165" l="1"/>
  <c r="H165"/>
  <c r="F165"/>
  <c r="G129"/>
  <c r="G147"/>
  <c r="F129"/>
  <c r="F147"/>
  <c r="H129"/>
  <c r="H147"/>
  <c r="H93"/>
  <c r="H111"/>
  <c r="F93"/>
  <c r="F111"/>
  <c r="G93"/>
  <c r="G111"/>
  <c r="F57"/>
  <c r="F75"/>
  <c r="G57"/>
  <c r="G75"/>
  <c r="H57"/>
  <c r="H75"/>
  <c r="H13"/>
  <c r="H39"/>
  <c r="F13"/>
  <c r="F39"/>
  <c r="G13"/>
  <c r="G39"/>
</calcChain>
</file>

<file path=xl/sharedStrings.xml><?xml version="1.0" encoding="utf-8"?>
<sst xmlns="http://schemas.openxmlformats.org/spreadsheetml/2006/main" count="798" uniqueCount="332">
  <si>
    <t>CD금리</t>
    <phoneticPr fontId="1" type="noConversion"/>
  </si>
  <si>
    <t>국고1Y</t>
    <phoneticPr fontId="1" type="noConversion"/>
  </si>
  <si>
    <t>국고2Y</t>
    <phoneticPr fontId="1" type="noConversion"/>
  </si>
  <si>
    <t>국고3Y</t>
    <phoneticPr fontId="1" type="noConversion"/>
  </si>
  <si>
    <t>통안1Y</t>
    <phoneticPr fontId="1" type="noConversion"/>
  </si>
  <si>
    <t>통안1.5Y</t>
    <phoneticPr fontId="1" type="noConversion"/>
  </si>
  <si>
    <t>통안2Y</t>
    <phoneticPr fontId="1" type="noConversion"/>
  </si>
  <si>
    <t>IRS 1Y</t>
    <phoneticPr fontId="1" type="noConversion"/>
  </si>
  <si>
    <t>IRS 2Y</t>
    <phoneticPr fontId="1" type="noConversion"/>
  </si>
  <si>
    <t>IRS 3Y</t>
    <phoneticPr fontId="1" type="noConversion"/>
  </si>
  <si>
    <t>BONDAVG01</t>
  </si>
  <si>
    <t>1년이하(당일)</t>
  </si>
  <si>
    <t>2년이하(당일)</t>
  </si>
  <si>
    <t>3년이하(당일)</t>
  </si>
  <si>
    <t>BONDAVG14</t>
  </si>
  <si>
    <t>1.5년이하(당일)</t>
  </si>
  <si>
    <t>BONDKSDCAL08</t>
  </si>
  <si>
    <t>대표수익률</t>
  </si>
  <si>
    <t>IRSTP1KRW01Y</t>
  </si>
  <si>
    <t>IRSTP1KRW02Y</t>
  </si>
  <si>
    <t>IRSTP1KRW03Y</t>
  </si>
  <si>
    <t>Ave</t>
    <phoneticPr fontId="1" type="noConversion"/>
  </si>
  <si>
    <t>Min</t>
    <phoneticPr fontId="1" type="noConversion"/>
  </si>
  <si>
    <t>Max</t>
    <phoneticPr fontId="1" type="noConversion"/>
  </si>
  <si>
    <t>6월이하(당일)</t>
    <phoneticPr fontId="1" type="noConversion"/>
  </si>
  <si>
    <t>9월이하(당일)</t>
    <phoneticPr fontId="1" type="noConversion"/>
  </si>
  <si>
    <t>1년이하(당일)</t>
    <phoneticPr fontId="1" type="noConversion"/>
  </si>
  <si>
    <t>2년이하(당일)</t>
    <phoneticPr fontId="1" type="noConversion"/>
  </si>
  <si>
    <t>3년이하(당일)</t>
    <phoneticPr fontId="1" type="noConversion"/>
  </si>
  <si>
    <t>1.5년이하(당일)</t>
    <phoneticPr fontId="1" type="noConversion"/>
  </si>
  <si>
    <t>Date</t>
    <phoneticPr fontId="1" type="noConversion"/>
  </si>
  <si>
    <t>시작</t>
  </si>
  <si>
    <t>종료</t>
  </si>
  <si>
    <t>Data 개수</t>
  </si>
  <si>
    <t>주기</t>
  </si>
  <si>
    <t>일</t>
  </si>
  <si>
    <t>정렬</t>
  </si>
  <si>
    <t>D</t>
  </si>
  <si>
    <t>영업일</t>
  </si>
  <si>
    <t>시세산출</t>
  </si>
  <si>
    <t>종가</t>
  </si>
  <si>
    <t>일자</t>
    <phoneticPr fontId="1" type="noConversion"/>
  </si>
  <si>
    <t>Ave(20D)</t>
    <phoneticPr fontId="1" type="noConversion"/>
  </si>
  <si>
    <t>Min(20D)</t>
    <phoneticPr fontId="1" type="noConversion"/>
  </si>
  <si>
    <t>Max(20D)</t>
    <phoneticPr fontId="1" type="noConversion"/>
  </si>
  <si>
    <t>Ave(60D)</t>
    <phoneticPr fontId="1" type="noConversion"/>
  </si>
  <si>
    <t>Min(60D)</t>
    <phoneticPr fontId="1" type="noConversion"/>
  </si>
  <si>
    <t>Max(60D)</t>
    <phoneticPr fontId="1" type="noConversion"/>
  </si>
  <si>
    <t>IRSTP1KRW06M</t>
    <phoneticPr fontId="1" type="noConversion"/>
  </si>
  <si>
    <t>매도매수MID</t>
  </si>
  <si>
    <t>IRSTP1KRW09M</t>
    <phoneticPr fontId="1" type="noConversion"/>
  </si>
  <si>
    <t>IRSTP1KRW01Y</t>
    <phoneticPr fontId="1" type="noConversion"/>
  </si>
  <si>
    <t>IRSTP1KRW18M</t>
    <phoneticPr fontId="1" type="noConversion"/>
  </si>
  <si>
    <t>IRSTP1KRW02Y</t>
    <phoneticPr fontId="1" type="noConversion"/>
  </si>
  <si>
    <t>IRSTP1KRW03Y</t>
    <phoneticPr fontId="1" type="noConversion"/>
  </si>
  <si>
    <t>20D</t>
    <phoneticPr fontId="1" type="noConversion"/>
  </si>
  <si>
    <t>60D</t>
    <phoneticPr fontId="1" type="noConversion"/>
  </si>
  <si>
    <t>BOND&amp;IRS SPREAD</t>
    <phoneticPr fontId="1" type="noConversion"/>
  </si>
  <si>
    <t>수협</t>
    <phoneticPr fontId="1" type="noConversion"/>
  </si>
  <si>
    <t>통안</t>
    <phoneticPr fontId="1" type="noConversion"/>
  </si>
  <si>
    <t>국고</t>
    <phoneticPr fontId="1" type="noConversion"/>
  </si>
  <si>
    <t>국고채권</t>
  </si>
  <si>
    <t>국민주택1종</t>
  </si>
  <si>
    <t>BONDAVG02</t>
  </si>
  <si>
    <t>국민주택2종</t>
  </si>
  <si>
    <t>BONDAVG03</t>
  </si>
  <si>
    <t>국민주택3종</t>
  </si>
  <si>
    <t>BONDAVG04</t>
  </si>
  <si>
    <t>서울도시철도</t>
  </si>
  <si>
    <t>BONDAVG05</t>
  </si>
  <si>
    <t>지역개발채</t>
  </si>
  <si>
    <t>BONDAVG06</t>
  </si>
  <si>
    <t>정금채</t>
  </si>
  <si>
    <t>BONDAVG83</t>
  </si>
  <si>
    <t>한전채</t>
  </si>
  <si>
    <t>BONDAVG07</t>
  </si>
  <si>
    <t>도로수자원</t>
  </si>
  <si>
    <t>BONDAVG08</t>
  </si>
  <si>
    <t>특수채 공사채 AAA</t>
  </si>
  <si>
    <t>BONDAVG09</t>
  </si>
  <si>
    <t>특수채 공사채 AA+</t>
  </si>
  <si>
    <t>BONDAVG10</t>
  </si>
  <si>
    <t>특수채 공사채 AA</t>
  </si>
  <si>
    <t>BONDAVG11</t>
  </si>
  <si>
    <t>특수채 공사채 AA-</t>
  </si>
  <si>
    <t>BONDAVG12</t>
  </si>
  <si>
    <t>특수채(정부보증)</t>
  </si>
  <si>
    <t>BONDAVG13</t>
  </si>
  <si>
    <t>통안증권</t>
  </si>
  <si>
    <t>이표채외통안채</t>
  </si>
  <si>
    <t>BONDAVG15</t>
  </si>
  <si>
    <t>금융채 산금채 AAA</t>
  </si>
  <si>
    <t>BONDAVG16</t>
  </si>
  <si>
    <t>금융채I-이표채외산금채</t>
  </si>
  <si>
    <t>BONDAVG17</t>
  </si>
  <si>
    <t>금융채 중금채 AAA</t>
  </si>
  <si>
    <t>BONDAVG18</t>
  </si>
  <si>
    <t>금융채I-이표채외중기채</t>
  </si>
  <si>
    <t>BONDAVG19</t>
  </si>
  <si>
    <t>금융채 은행채 AAA</t>
  </si>
  <si>
    <t>BONDAVG20</t>
  </si>
  <si>
    <t>금융채 은행채 AA+</t>
  </si>
  <si>
    <t>BONDAVG21</t>
  </si>
  <si>
    <t>금융채 은행채 AA</t>
  </si>
  <si>
    <t>BONDAVG22</t>
  </si>
  <si>
    <t>금융채 은행채 AA-</t>
  </si>
  <si>
    <t>BONDAVG23</t>
  </si>
  <si>
    <t>금융채 은행채 A+</t>
  </si>
  <si>
    <t>BONDAVG24</t>
  </si>
  <si>
    <t>금융채 은행채 A</t>
  </si>
  <si>
    <t>BONDAVG25</t>
  </si>
  <si>
    <t>금융채 은행채 A-</t>
  </si>
  <si>
    <t>BONDAVG26</t>
  </si>
  <si>
    <t>금융채 카드채 AAA</t>
  </si>
  <si>
    <t>BONDAVG80</t>
  </si>
  <si>
    <t>금융채 카드채 AA+</t>
  </si>
  <si>
    <t>BONDAVG81</t>
  </si>
  <si>
    <t>금융채 카드채 AA</t>
  </si>
  <si>
    <t>BONDAVG27</t>
  </si>
  <si>
    <t>금융채 카드채 AA-</t>
  </si>
  <si>
    <t>BONDAVG28</t>
  </si>
  <si>
    <t>금융채 카드채 A+</t>
  </si>
  <si>
    <t>BONDAVG29</t>
  </si>
  <si>
    <t>금융채 카드채 A</t>
  </si>
  <si>
    <t>BONDAVG30</t>
  </si>
  <si>
    <t>금융채 카드채 A-</t>
  </si>
  <si>
    <t>BONDAVG31</t>
  </si>
  <si>
    <t>금융채 카드채 BBB+</t>
  </si>
  <si>
    <t>BONDAVG32</t>
  </si>
  <si>
    <t>금융채 카드채 BBB0</t>
  </si>
  <si>
    <t>BONDAVG33</t>
  </si>
  <si>
    <t>금융채 카드채 BBB-</t>
  </si>
  <si>
    <t>BONDAVG34</t>
  </si>
  <si>
    <t>기타금융채AAA</t>
  </si>
  <si>
    <t>BONDAVG35</t>
  </si>
  <si>
    <t>기타금융채AA+</t>
  </si>
  <si>
    <t>BONDAVG82</t>
  </si>
  <si>
    <t>기타금융채AA0</t>
  </si>
  <si>
    <t>BONDAVG36</t>
  </si>
  <si>
    <t>기타금융채AA-</t>
  </si>
  <si>
    <t>BONDAVG37</t>
  </si>
  <si>
    <t>기타금융채A+</t>
  </si>
  <si>
    <t>BONDAVG38</t>
  </si>
  <si>
    <t>기타금융채A0</t>
  </si>
  <si>
    <t>BONDAVG39</t>
  </si>
  <si>
    <t>기타금융채A-</t>
  </si>
  <si>
    <t>BONDAVG40</t>
  </si>
  <si>
    <t>기타금융채BBB+</t>
  </si>
  <si>
    <t>BONDAVG41</t>
  </si>
  <si>
    <t>기타금융채BBB0</t>
  </si>
  <si>
    <t>BONDAVG42</t>
  </si>
  <si>
    <t>기타금융채BBB-</t>
  </si>
  <si>
    <t>BONDAVG43</t>
  </si>
  <si>
    <t>회사채 공모/보증 특수은행보증</t>
  </si>
  <si>
    <t>BONDAVG44</t>
  </si>
  <si>
    <t>회사채 공모/보증 시중은행보증</t>
  </si>
  <si>
    <t>BONDAVG45</t>
  </si>
  <si>
    <t>회사채 공모/보증 우량지방은행보증</t>
  </si>
  <si>
    <t>BONDAVG46</t>
  </si>
  <si>
    <t>회사채 공모/보증 기타금융기관보증</t>
  </si>
  <si>
    <t>BONDAVG47</t>
  </si>
  <si>
    <t>회사채 공모/보증 AAA</t>
  </si>
  <si>
    <t>BONDAVG48</t>
  </si>
  <si>
    <t>회사채 공모/보증 AA+</t>
  </si>
  <si>
    <t>BONDAVG49</t>
  </si>
  <si>
    <t>회사채 공모/보증 AA</t>
  </si>
  <si>
    <t>BONDAVG50</t>
  </si>
  <si>
    <t>회사채 공모/보증 AA-</t>
  </si>
  <si>
    <t>BONDAVG51</t>
  </si>
  <si>
    <t>회사채 공모/보증 A+</t>
  </si>
  <si>
    <t>BONDAVG52</t>
  </si>
  <si>
    <t>회사채 공모/보증 A</t>
  </si>
  <si>
    <t>BONDAVG53</t>
  </si>
  <si>
    <t>회사채 공모/보증 A-</t>
  </si>
  <si>
    <t>BONDAVG54</t>
  </si>
  <si>
    <t>회사채AAA(공모/무보증)</t>
  </si>
  <si>
    <t>BONDAVG55</t>
  </si>
  <si>
    <t>회사채AA+(공모/무보증)</t>
  </si>
  <si>
    <t>BONDAVG56</t>
  </si>
  <si>
    <t>회사채AA0(공모/무보증)</t>
  </si>
  <si>
    <t>BONDAVG57</t>
  </si>
  <si>
    <t>회사채AA-(공모/무보증)</t>
  </si>
  <si>
    <t>BONDAVG58</t>
  </si>
  <si>
    <t>회사채A+(공모/무보증)</t>
  </si>
  <si>
    <t>BONDAVG59</t>
  </si>
  <si>
    <t>회사채A0(공모/무보증)</t>
  </si>
  <si>
    <t>BONDAVG60</t>
  </si>
  <si>
    <t>회사채A-(공모/무보증)</t>
  </si>
  <si>
    <t>BONDAVG61</t>
  </si>
  <si>
    <t>회사채BBB+(공모/무보증)</t>
  </si>
  <si>
    <t>BONDAVG62</t>
  </si>
  <si>
    <t>회사채BBB0(공모/무보증)</t>
  </si>
  <si>
    <t>BONDAVG63</t>
  </si>
  <si>
    <t>회사채BBB-(공모/무보증)</t>
  </si>
  <si>
    <t>BONDAVG64</t>
  </si>
  <si>
    <t>회사채BB+(공모/무보증)</t>
  </si>
  <si>
    <t>BONDAVG65</t>
  </si>
  <si>
    <t>회사채BB0(공모/무보증)</t>
  </si>
  <si>
    <t>BONDAVG66</t>
  </si>
  <si>
    <t>회사채BB-(공모/무보증)</t>
  </si>
  <si>
    <t>BONDAVG67</t>
  </si>
  <si>
    <t>회사채B(공모/무보증)</t>
  </si>
  <si>
    <t>BONDAVG68</t>
  </si>
  <si>
    <t>회사채AAA(사모/무)</t>
  </si>
  <si>
    <t>BONDAVG69</t>
  </si>
  <si>
    <t>회사채AA+(사모/무)</t>
  </si>
  <si>
    <t>BONDAVG70</t>
  </si>
  <si>
    <t>회사채AA0(사모/무)</t>
  </si>
  <si>
    <t>BONDAVG71</t>
  </si>
  <si>
    <t>회사채AA-(사모/무)</t>
  </si>
  <si>
    <t>BONDAVG72</t>
  </si>
  <si>
    <t>회사채A+(사모/무)</t>
  </si>
  <si>
    <t>BONDAVG73</t>
  </si>
  <si>
    <t>회사채A0(사모/무)</t>
  </si>
  <si>
    <t>BONDAVG74</t>
  </si>
  <si>
    <t>회사채A-(사모/무)</t>
  </si>
  <si>
    <t>BONDAVG75</t>
  </si>
  <si>
    <t>회사채BBB+(사모/무)</t>
  </si>
  <si>
    <t>BONDAVG76</t>
  </si>
  <si>
    <t>회사채BBB0(사모/무)</t>
  </si>
  <si>
    <t>BONDAVG77</t>
  </si>
  <si>
    <t>회사채BBB-(사모/무)</t>
  </si>
  <si>
    <t>BONDAVG78</t>
  </si>
  <si>
    <t>유동화증권 KHFC MBS/SLBS AAA</t>
  </si>
  <si>
    <t>BONDAVG79</t>
  </si>
  <si>
    <t>BOND</t>
    <phoneticPr fontId="1" type="noConversion"/>
  </si>
  <si>
    <t>주요금리</t>
    <phoneticPr fontId="1" type="noConversion"/>
  </si>
  <si>
    <t>CP금리</t>
    <phoneticPr fontId="1" type="noConversion"/>
  </si>
  <si>
    <t>BONDKSDCAL09</t>
    <phoneticPr fontId="1" type="noConversion"/>
  </si>
  <si>
    <t>CP금리</t>
    <phoneticPr fontId="1" type="noConversion"/>
  </si>
  <si>
    <t>3년이하(당일)</t>
    <phoneticPr fontId="1" type="noConversion"/>
  </si>
  <si>
    <t>한은 기준금리</t>
    <phoneticPr fontId="1" type="noConversion"/>
  </si>
  <si>
    <t>CD-한은 기준금리</t>
    <phoneticPr fontId="1" type="noConversion"/>
  </si>
  <si>
    <t>국고채권</t>
    <phoneticPr fontId="1" type="noConversion"/>
  </si>
  <si>
    <t>IRS 4Y</t>
    <phoneticPr fontId="1" type="noConversion"/>
  </si>
  <si>
    <t>IRS 5Y</t>
    <phoneticPr fontId="1" type="noConversion"/>
  </si>
  <si>
    <t>IRS 7Y</t>
    <phoneticPr fontId="1" type="noConversion"/>
  </si>
  <si>
    <t>IRS 10Y</t>
    <phoneticPr fontId="1" type="noConversion"/>
  </si>
  <si>
    <t>IRS 20Y</t>
    <phoneticPr fontId="1" type="noConversion"/>
  </si>
  <si>
    <t>4년이하(당일)</t>
    <phoneticPr fontId="1" type="noConversion"/>
  </si>
  <si>
    <t>7년이하(당일)</t>
    <phoneticPr fontId="1" type="noConversion"/>
  </si>
  <si>
    <t>5년이하(당일)</t>
    <phoneticPr fontId="1" type="noConversion"/>
  </si>
  <si>
    <t>10년이하(당일)</t>
    <phoneticPr fontId="1" type="noConversion"/>
  </si>
  <si>
    <t>20년이하(당일)</t>
    <phoneticPr fontId="1" type="noConversion"/>
  </si>
  <si>
    <t>IRSTP1KRW04Y</t>
  </si>
  <si>
    <t>IRSTP1KRW05Y</t>
  </si>
  <si>
    <t>IRSTP1KRW07Y</t>
    <phoneticPr fontId="1" type="noConversion"/>
  </si>
  <si>
    <t>IRSTP1KRW10Y</t>
    <phoneticPr fontId="1" type="noConversion"/>
  </si>
  <si>
    <t>IRSTP1KRW20Y</t>
    <phoneticPr fontId="1" type="noConversion"/>
  </si>
  <si>
    <t>06M</t>
    <phoneticPr fontId="1" type="noConversion"/>
  </si>
  <si>
    <t>09M</t>
    <phoneticPr fontId="1" type="noConversion"/>
  </si>
  <si>
    <t>01Y</t>
    <phoneticPr fontId="1" type="noConversion"/>
  </si>
  <si>
    <t>1.5Y</t>
    <phoneticPr fontId="1" type="noConversion"/>
  </si>
  <si>
    <t>02Y</t>
    <phoneticPr fontId="1" type="noConversion"/>
  </si>
  <si>
    <t>03Y</t>
    <phoneticPr fontId="1" type="noConversion"/>
  </si>
  <si>
    <t>04Y</t>
    <phoneticPr fontId="1" type="noConversion"/>
  </si>
  <si>
    <t>05Y</t>
    <phoneticPr fontId="1" type="noConversion"/>
  </si>
  <si>
    <t>07Y</t>
    <phoneticPr fontId="1" type="noConversion"/>
  </si>
  <si>
    <t>10Y</t>
    <phoneticPr fontId="1" type="noConversion"/>
  </si>
  <si>
    <t>20Y</t>
    <phoneticPr fontId="1" type="noConversion"/>
  </si>
  <si>
    <t>1.5Y</t>
    <phoneticPr fontId="1" type="noConversion"/>
  </si>
  <si>
    <t>09M</t>
    <phoneticPr fontId="1" type="noConversion"/>
  </si>
  <si>
    <t>IRSTP1KRW04Y</t>
    <phoneticPr fontId="1" type="noConversion"/>
  </si>
  <si>
    <t>IRSTP1KRW05Y</t>
    <phoneticPr fontId="1" type="noConversion"/>
  </si>
  <si>
    <t>IRSTP1KRW07Y</t>
    <phoneticPr fontId="1" type="noConversion"/>
  </si>
  <si>
    <t>IRSTP1KRW10Y</t>
    <phoneticPr fontId="1" type="noConversion"/>
  </si>
  <si>
    <t>IRSTP1KRW20Y</t>
    <phoneticPr fontId="1" type="noConversion"/>
  </si>
  <si>
    <t>스프레드</t>
  </si>
  <si>
    <t>06M</t>
    <phoneticPr fontId="1" type="noConversion"/>
  </si>
  <si>
    <t>RP금리</t>
    <phoneticPr fontId="1" type="noConversion"/>
  </si>
  <si>
    <t>ECO</t>
    <phoneticPr fontId="1" type="noConversion"/>
  </si>
  <si>
    <t>68</t>
    <phoneticPr fontId="1" type="noConversion"/>
  </si>
  <si>
    <t>현재가</t>
    <phoneticPr fontId="1" type="noConversion"/>
  </si>
  <si>
    <t>국고1Y</t>
    <phoneticPr fontId="1" type="noConversion"/>
  </si>
  <si>
    <t>IR</t>
    <phoneticPr fontId="1" type="noConversion"/>
  </si>
  <si>
    <t>국고2Y</t>
    <phoneticPr fontId="1" type="noConversion"/>
  </si>
  <si>
    <t>국고3Y</t>
    <phoneticPr fontId="1" type="noConversion"/>
  </si>
  <si>
    <t>통안1Y</t>
    <phoneticPr fontId="1" type="noConversion"/>
  </si>
  <si>
    <t>통안1.5Y</t>
    <phoneticPr fontId="1" type="noConversion"/>
  </si>
  <si>
    <t>통안2Y</t>
    <phoneticPr fontId="1" type="noConversion"/>
  </si>
  <si>
    <t>CD금리</t>
    <phoneticPr fontId="1" type="noConversion"/>
  </si>
  <si>
    <t>IRS 1Y</t>
    <phoneticPr fontId="1" type="noConversion"/>
  </si>
  <si>
    <t>MID</t>
    <phoneticPr fontId="1" type="noConversion"/>
  </si>
  <si>
    <t>IRS 2Y</t>
    <phoneticPr fontId="1" type="noConversion"/>
  </si>
  <si>
    <t>IRS 3Y</t>
    <phoneticPr fontId="1" type="noConversion"/>
  </si>
  <si>
    <t>IRS 06M</t>
    <phoneticPr fontId="1" type="noConversion"/>
  </si>
  <si>
    <t>IRSTP1KRW06M</t>
    <phoneticPr fontId="1" type="noConversion"/>
  </si>
  <si>
    <t>매도매수MID</t>
    <phoneticPr fontId="1" type="noConversion"/>
  </si>
  <si>
    <t>6월이하(당일)</t>
    <phoneticPr fontId="1" type="noConversion"/>
  </si>
  <si>
    <t>IRS 09M</t>
    <phoneticPr fontId="1" type="noConversion"/>
  </si>
  <si>
    <t>IRSTP1KRW09M</t>
    <phoneticPr fontId="1" type="noConversion"/>
  </si>
  <si>
    <t>9월이하(당일)</t>
    <phoneticPr fontId="1" type="noConversion"/>
  </si>
  <si>
    <t>1년이하(당일)</t>
    <phoneticPr fontId="1" type="noConversion"/>
  </si>
  <si>
    <t>IRS 1.5Y</t>
    <phoneticPr fontId="1" type="noConversion"/>
  </si>
  <si>
    <t>IRSTP1KRW18M</t>
    <phoneticPr fontId="1" type="noConversion"/>
  </si>
  <si>
    <t>1.5년이하(당일)</t>
    <phoneticPr fontId="1" type="noConversion"/>
  </si>
  <si>
    <t>2년이하(당일)</t>
    <phoneticPr fontId="1" type="noConversion"/>
  </si>
  <si>
    <t>6월이하(당일)</t>
    <phoneticPr fontId="1" type="noConversion"/>
  </si>
  <si>
    <t>9월이하(당일)</t>
    <phoneticPr fontId="1" type="noConversion"/>
  </si>
  <si>
    <t>1년이하(당일)</t>
    <phoneticPr fontId="1" type="noConversion"/>
  </si>
  <si>
    <t>1.5년이하(당일)</t>
    <phoneticPr fontId="1" type="noConversion"/>
  </si>
  <si>
    <t>2년이하(당일)</t>
    <phoneticPr fontId="1" type="noConversion"/>
  </si>
  <si>
    <t>3년이하(당일)</t>
    <phoneticPr fontId="1" type="noConversion"/>
  </si>
  <si>
    <t>120D</t>
    <phoneticPr fontId="1" type="noConversion"/>
  </si>
  <si>
    <t>250D</t>
    <phoneticPr fontId="1" type="noConversion"/>
  </si>
  <si>
    <t>Ave(120D)</t>
    <phoneticPr fontId="1" type="noConversion"/>
  </si>
  <si>
    <t>Min(120D)</t>
    <phoneticPr fontId="1" type="noConversion"/>
  </si>
  <si>
    <t>Max(120D)</t>
    <phoneticPr fontId="1" type="noConversion"/>
  </si>
  <si>
    <t>Ave(250D)</t>
    <phoneticPr fontId="1" type="noConversion"/>
  </si>
  <si>
    <t>Min(250D)</t>
    <phoneticPr fontId="1" type="noConversion"/>
  </si>
  <si>
    <t>Max(250D)</t>
    <phoneticPr fontId="1" type="noConversion"/>
  </si>
  <si>
    <t>30년이하(당일)</t>
    <phoneticPr fontId="1" type="noConversion"/>
  </si>
  <si>
    <t>4년이하(당일)</t>
    <phoneticPr fontId="1" type="noConversion"/>
  </si>
  <si>
    <t>5년이하(당일)</t>
    <phoneticPr fontId="1" type="noConversion"/>
  </si>
  <si>
    <t>IRSTP1KRW30Y</t>
    <phoneticPr fontId="1" type="noConversion"/>
  </si>
  <si>
    <t>30년이하(당일)</t>
    <phoneticPr fontId="1" type="noConversion"/>
  </si>
  <si>
    <t>30Y</t>
    <phoneticPr fontId="1" type="noConversion"/>
  </si>
  <si>
    <t>IRS 30Y</t>
    <phoneticPr fontId="1" type="noConversion"/>
  </si>
  <si>
    <t>04Y</t>
    <phoneticPr fontId="1" type="noConversion"/>
  </si>
  <si>
    <t>05Y</t>
    <phoneticPr fontId="1" type="noConversion"/>
  </si>
  <si>
    <t>1.5Y</t>
    <phoneticPr fontId="1" type="noConversion"/>
  </si>
  <si>
    <t>06M</t>
  </si>
  <si>
    <t>09M</t>
  </si>
  <si>
    <t>01Y</t>
  </si>
  <si>
    <t>02Y</t>
  </si>
  <si>
    <t>03Y</t>
  </si>
  <si>
    <t>04Y</t>
  </si>
  <si>
    <t>05Y</t>
  </si>
  <si>
    <t>07Y</t>
  </si>
  <si>
    <t>10Y</t>
  </si>
  <si>
    <t>20Y</t>
  </si>
  <si>
    <t>30Y</t>
  </si>
</sst>
</file>

<file path=xl/styles.xml><?xml version="1.0" encoding="utf-8"?>
<styleSheet xmlns="http://schemas.openxmlformats.org/spreadsheetml/2006/main">
  <numFmts count="2">
    <numFmt numFmtId="176" formatCode="0.0000"/>
    <numFmt numFmtId="178" formatCode="#,##0.0000_ "/>
  </numFmts>
  <fonts count="15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0" tint="-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2"/>
      <charset val="129"/>
      <scheme val="minor"/>
    </font>
    <font>
      <sz val="10"/>
      <color theme="0" tint="-0.14999847407452621"/>
      <name val="맑은 고딕"/>
      <family val="2"/>
      <charset val="129"/>
      <scheme val="minor"/>
    </font>
    <font>
      <b/>
      <i/>
      <sz val="12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color theme="0"/>
      <name val="맑은 고딕"/>
      <family val="2"/>
      <charset val="129"/>
      <scheme val="minor"/>
    </font>
    <font>
      <sz val="9"/>
      <color rgb="FF000000"/>
      <name val="굴림"/>
      <family val="3"/>
      <charset val="129"/>
    </font>
    <font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4659260841701"/>
        <bgColor indexed="64"/>
      </patternFill>
    </fill>
    <fill>
      <gradientFill degree="180">
        <stop position="0">
          <color theme="0"/>
        </stop>
        <stop position="1">
          <color theme="3" tint="-0.25098422193060094"/>
        </stop>
      </gradientFill>
    </fill>
    <fill>
      <patternFill patternType="solid">
        <fgColor theme="3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6EFCE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double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/>
      <top style="thin">
        <color theme="0" tint="-0.24994659260841701"/>
      </top>
      <bottom/>
      <diagonal/>
    </border>
    <border>
      <left style="double">
        <color theme="0" tint="-0.24994659260841701"/>
      </left>
      <right/>
      <top/>
      <bottom/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/>
      <diagonal/>
    </border>
    <border>
      <left style="double">
        <color theme="0" tint="-0.24994659260841701"/>
      </left>
      <right style="thin">
        <color theme="0" tint="-0.24994659260841701"/>
      </right>
      <top style="thin">
        <color indexed="64"/>
      </top>
      <bottom/>
      <diagonal/>
    </border>
    <border>
      <left style="double">
        <color theme="0" tint="-0.24994659260841701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double">
        <color theme="0" tint="-0.24994659260841701"/>
      </left>
      <right style="thin">
        <color theme="0" tint="-0.24994659260841701"/>
      </right>
      <top/>
      <bottom style="thin">
        <color indexed="64"/>
      </bottom>
      <diagonal/>
    </border>
    <border>
      <left style="double">
        <color theme="0" tint="-0.24994659260841701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4" fillId="15" borderId="0" applyNumberFormat="0" applyBorder="0" applyAlignment="0" applyProtection="0">
      <alignment vertical="center"/>
    </xf>
  </cellStyleXfs>
  <cellXfs count="90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>
      <alignment vertical="center"/>
    </xf>
    <xf numFmtId="49" fontId="3" fillId="0" borderId="0" xfId="0" applyNumberFormat="1" applyFont="1" applyFill="1">
      <alignment vertical="center"/>
    </xf>
    <xf numFmtId="0" fontId="2" fillId="0" borderId="0" xfId="0" applyFont="1" applyBorder="1">
      <alignment vertical="center"/>
    </xf>
    <xf numFmtId="0" fontId="0" fillId="0" borderId="0" xfId="0" applyBorder="1">
      <alignment vertical="center"/>
    </xf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5" borderId="1" xfId="0" applyFill="1" applyBorder="1">
      <alignment vertical="center"/>
    </xf>
    <xf numFmtId="176" fontId="0" fillId="5" borderId="2" xfId="0" applyNumberFormat="1" applyFill="1" applyBorder="1">
      <alignment vertical="center"/>
    </xf>
    <xf numFmtId="0" fontId="0" fillId="5" borderId="2" xfId="0" applyFill="1" applyBorder="1">
      <alignment vertical="center"/>
    </xf>
    <xf numFmtId="176" fontId="0" fillId="5" borderId="3" xfId="0" applyNumberFormat="1" applyFill="1" applyBorder="1">
      <alignment vertical="center"/>
    </xf>
    <xf numFmtId="0" fontId="0" fillId="6" borderId="6" xfId="0" applyFill="1" applyBorder="1">
      <alignment vertical="center"/>
    </xf>
    <xf numFmtId="176" fontId="0" fillId="6" borderId="7" xfId="0" applyNumberFormat="1" applyFill="1" applyBorder="1">
      <alignment vertical="center"/>
    </xf>
    <xf numFmtId="0" fontId="0" fillId="6" borderId="7" xfId="0" applyFill="1" applyBorder="1">
      <alignment vertical="center"/>
    </xf>
    <xf numFmtId="176" fontId="0" fillId="6" borderId="8" xfId="0" applyNumberFormat="1" applyFill="1" applyBorder="1">
      <alignment vertical="center"/>
    </xf>
    <xf numFmtId="176" fontId="0" fillId="0" borderId="0" xfId="0" applyNumberFormat="1" applyFill="1" applyBorder="1">
      <alignment vertical="center"/>
    </xf>
    <xf numFmtId="0" fontId="0" fillId="0" borderId="0" xfId="0" applyFill="1" applyBorder="1">
      <alignment vertical="center"/>
    </xf>
    <xf numFmtId="0" fontId="0" fillId="7" borderId="4" xfId="0" applyFill="1" applyBorder="1">
      <alignment vertical="center"/>
    </xf>
    <xf numFmtId="176" fontId="0" fillId="7" borderId="0" xfId="0" applyNumberFormat="1" applyFill="1" applyBorder="1">
      <alignment vertical="center"/>
    </xf>
    <xf numFmtId="0" fontId="0" fillId="7" borderId="0" xfId="0" applyFill="1" applyBorder="1">
      <alignment vertical="center"/>
    </xf>
    <xf numFmtId="176" fontId="0" fillId="7" borderId="5" xfId="0" applyNumberFormat="1" applyFill="1" applyBorder="1">
      <alignment vertical="center"/>
    </xf>
    <xf numFmtId="0" fontId="5" fillId="0" borderId="0" xfId="0" applyFont="1">
      <alignment vertical="center"/>
    </xf>
    <xf numFmtId="0" fontId="0" fillId="2" borderId="9" xfId="0" applyFill="1" applyBorder="1">
      <alignment vertical="center"/>
    </xf>
    <xf numFmtId="14" fontId="0" fillId="0" borderId="9" xfId="0" applyNumberFormat="1" applyBorder="1">
      <alignment vertical="center"/>
    </xf>
    <xf numFmtId="0" fontId="0" fillId="0" borderId="9" xfId="0" applyBorder="1">
      <alignment vertical="center"/>
    </xf>
    <xf numFmtId="0" fontId="0" fillId="3" borderId="9" xfId="0" applyFill="1" applyBorder="1">
      <alignment vertical="center"/>
    </xf>
    <xf numFmtId="49" fontId="4" fillId="4" borderId="9" xfId="0" applyNumberFormat="1" applyFont="1" applyFill="1" applyBorder="1">
      <alignment vertical="center"/>
    </xf>
    <xf numFmtId="0" fontId="5" fillId="0" borderId="10" xfId="0" applyFont="1" applyBorder="1">
      <alignment vertical="center"/>
    </xf>
    <xf numFmtId="49" fontId="5" fillId="0" borderId="11" xfId="0" applyNumberFormat="1" applyFont="1" applyBorder="1">
      <alignment vertical="center"/>
    </xf>
    <xf numFmtId="0" fontId="5" fillId="0" borderId="14" xfId="0" applyFont="1" applyBorder="1">
      <alignment vertical="center"/>
    </xf>
    <xf numFmtId="0" fontId="5" fillId="0" borderId="15" xfId="0" applyFont="1" applyBorder="1">
      <alignment vertical="center"/>
    </xf>
    <xf numFmtId="0" fontId="0" fillId="3" borderId="9" xfId="0" applyFill="1" applyBorder="1" applyAlignment="1">
      <alignment horizontal="center" vertical="center"/>
    </xf>
    <xf numFmtId="0" fontId="5" fillId="0" borderId="13" xfId="0" applyFont="1" applyBorder="1">
      <alignment vertical="center"/>
    </xf>
    <xf numFmtId="0" fontId="6" fillId="0" borderId="0" xfId="0" applyFont="1">
      <alignment vertical="center"/>
    </xf>
    <xf numFmtId="0" fontId="5" fillId="0" borderId="11" xfId="0" applyNumberFormat="1" applyFont="1" applyBorder="1">
      <alignment vertical="center"/>
    </xf>
    <xf numFmtId="0" fontId="5" fillId="0" borderId="0" xfId="0" applyNumberFormat="1" applyFont="1">
      <alignment vertical="center"/>
    </xf>
    <xf numFmtId="0" fontId="5" fillId="0" borderId="12" xfId="0" applyNumberFormat="1" applyFont="1" applyBorder="1">
      <alignment vertical="center"/>
    </xf>
    <xf numFmtId="0" fontId="4" fillId="0" borderId="12" xfId="0" applyNumberFormat="1" applyFont="1" applyBorder="1">
      <alignment vertical="center"/>
    </xf>
    <xf numFmtId="0" fontId="4" fillId="0" borderId="13" xfId="0" applyNumberFormat="1" applyFont="1" applyBorder="1">
      <alignment vertical="center"/>
    </xf>
    <xf numFmtId="0" fontId="2" fillId="13" borderId="9" xfId="0" applyFont="1" applyFill="1" applyBorder="1">
      <alignment vertical="center"/>
    </xf>
    <xf numFmtId="0" fontId="8" fillId="11" borderId="17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176" fontId="0" fillId="0" borderId="22" xfId="0" applyNumberFormat="1" applyBorder="1" applyAlignment="1">
      <alignment vertical="center"/>
    </xf>
    <xf numFmtId="176" fontId="0" fillId="0" borderId="23" xfId="0" applyNumberFormat="1" applyBorder="1" applyAlignment="1">
      <alignment vertical="center"/>
    </xf>
    <xf numFmtId="0" fontId="10" fillId="0" borderId="0" xfId="0" applyFont="1">
      <alignment vertical="center"/>
    </xf>
    <xf numFmtId="0" fontId="10" fillId="0" borderId="0" xfId="0" applyFont="1" applyFill="1">
      <alignment vertical="center"/>
    </xf>
    <xf numFmtId="0" fontId="9" fillId="0" borderId="0" xfId="0" applyFont="1" applyFill="1">
      <alignment vertical="center"/>
    </xf>
    <xf numFmtId="0" fontId="13" fillId="0" borderId="0" xfId="0" applyFont="1" applyFill="1" applyBorder="1" applyAlignment="1">
      <alignment horizontal="center" vertical="center"/>
    </xf>
    <xf numFmtId="14" fontId="12" fillId="0" borderId="0" xfId="0" applyNumberFormat="1" applyFont="1" applyFill="1">
      <alignment vertical="center"/>
    </xf>
    <xf numFmtId="0" fontId="9" fillId="0" borderId="0" xfId="0" applyFont="1">
      <alignment vertical="center"/>
    </xf>
    <xf numFmtId="0" fontId="2" fillId="8" borderId="21" xfId="0" applyFont="1" applyFill="1" applyBorder="1" applyAlignment="1">
      <alignment horizontal="right" vertical="center"/>
    </xf>
    <xf numFmtId="0" fontId="2" fillId="8" borderId="21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14" fillId="15" borderId="0" xfId="1">
      <alignment vertical="center"/>
    </xf>
    <xf numFmtId="0" fontId="8" fillId="11" borderId="27" xfId="0" applyFont="1" applyFill="1" applyBorder="1" applyAlignment="1">
      <alignment horizontal="center" vertical="center"/>
    </xf>
    <xf numFmtId="0" fontId="8" fillId="9" borderId="11" xfId="0" applyFont="1" applyFill="1" applyBorder="1" applyAlignment="1">
      <alignment horizontal="center" vertical="center"/>
    </xf>
    <xf numFmtId="0" fontId="8" fillId="9" borderId="14" xfId="0" applyFont="1" applyFill="1" applyBorder="1" applyAlignment="1">
      <alignment horizontal="center" vertical="center"/>
    </xf>
    <xf numFmtId="0" fontId="0" fillId="0" borderId="0" xfId="0" quotePrefix="1">
      <alignment vertical="center"/>
    </xf>
    <xf numFmtId="14" fontId="8" fillId="11" borderId="32" xfId="0" applyNumberFormat="1" applyFont="1" applyFill="1" applyBorder="1" applyAlignment="1">
      <alignment horizontal="center" vertical="center"/>
    </xf>
    <xf numFmtId="0" fontId="8" fillId="11" borderId="35" xfId="0" applyFont="1" applyFill="1" applyBorder="1" applyAlignment="1">
      <alignment horizontal="center" vertical="center"/>
    </xf>
    <xf numFmtId="14" fontId="8" fillId="11" borderId="31" xfId="0" applyNumberFormat="1" applyFont="1" applyFill="1" applyBorder="1" applyAlignment="1">
      <alignment horizontal="center" vertical="center"/>
    </xf>
    <xf numFmtId="0" fontId="8" fillId="11" borderId="34" xfId="0" applyFont="1" applyFill="1" applyBorder="1" applyAlignment="1">
      <alignment horizontal="center" vertical="center"/>
    </xf>
    <xf numFmtId="14" fontId="8" fillId="11" borderId="29" xfId="0" applyNumberFormat="1" applyFont="1" applyFill="1" applyBorder="1" applyAlignment="1">
      <alignment horizontal="center" vertical="center"/>
    </xf>
    <xf numFmtId="0" fontId="8" fillId="11" borderId="26" xfId="0" applyFont="1" applyFill="1" applyBorder="1" applyAlignment="1">
      <alignment horizontal="center" vertical="center"/>
    </xf>
    <xf numFmtId="14" fontId="8" fillId="11" borderId="30" xfId="0" applyNumberFormat="1" applyFont="1" applyFill="1" applyBorder="1" applyAlignment="1">
      <alignment horizontal="center" vertical="center"/>
    </xf>
    <xf numFmtId="0" fontId="8" fillId="11" borderId="33" xfId="0" applyFont="1" applyFill="1" applyBorder="1" applyAlignment="1">
      <alignment horizontal="center" vertical="center"/>
    </xf>
    <xf numFmtId="0" fontId="7" fillId="10" borderId="0" xfId="0" applyFont="1" applyFill="1" applyAlignment="1">
      <alignment horizontal="left" vertical="center"/>
    </xf>
    <xf numFmtId="0" fontId="8" fillId="11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12" borderId="18" xfId="0" applyFont="1" applyFill="1" applyBorder="1" applyAlignment="1">
      <alignment horizontal="center" vertical="center"/>
    </xf>
    <xf numFmtId="0" fontId="2" fillId="12" borderId="19" xfId="0" applyFont="1" applyFill="1" applyBorder="1" applyAlignment="1">
      <alignment horizontal="center" vertical="center"/>
    </xf>
    <xf numFmtId="0" fontId="2" fillId="12" borderId="20" xfId="0" applyFont="1" applyFill="1" applyBorder="1" applyAlignment="1">
      <alignment horizontal="center" vertical="center"/>
    </xf>
    <xf numFmtId="0" fontId="8" fillId="9" borderId="11" xfId="0" applyFont="1" applyFill="1" applyBorder="1" applyAlignment="1">
      <alignment horizontal="center" vertical="center"/>
    </xf>
    <xf numFmtId="0" fontId="8" fillId="9" borderId="14" xfId="0" applyFont="1" applyFill="1" applyBorder="1" applyAlignment="1">
      <alignment horizontal="center" vertical="center"/>
    </xf>
    <xf numFmtId="0" fontId="0" fillId="5" borderId="2" xfId="0" applyNumberFormat="1" applyFill="1" applyBorder="1">
      <alignment vertical="center"/>
    </xf>
    <xf numFmtId="0" fontId="2" fillId="8" borderId="4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178" fontId="0" fillId="0" borderId="38" xfId="0" applyNumberFormat="1" applyBorder="1">
      <alignment vertical="center"/>
    </xf>
    <xf numFmtId="178" fontId="0" fillId="0" borderId="36" xfId="0" applyNumberFormat="1" applyBorder="1">
      <alignment vertical="center"/>
    </xf>
    <xf numFmtId="178" fontId="0" fillId="0" borderId="28" xfId="0" applyNumberFormat="1" applyBorder="1">
      <alignment vertical="center"/>
    </xf>
    <xf numFmtId="178" fontId="0" fillId="14" borderId="39" xfId="0" applyNumberFormat="1" applyFill="1" applyBorder="1">
      <alignment vertical="center"/>
    </xf>
    <xf numFmtId="178" fontId="0" fillId="14" borderId="37" xfId="0" applyNumberFormat="1" applyFill="1" applyBorder="1">
      <alignment vertical="center"/>
    </xf>
    <xf numFmtId="178" fontId="0" fillId="0" borderId="25" xfId="0" applyNumberFormat="1" applyBorder="1">
      <alignment vertical="center"/>
    </xf>
    <xf numFmtId="178" fontId="0" fillId="0" borderId="9" xfId="0" applyNumberFormat="1" applyBorder="1">
      <alignment vertical="center"/>
    </xf>
    <xf numFmtId="178" fontId="0" fillId="0" borderId="24" xfId="0" applyNumberFormat="1" applyBorder="1">
      <alignment vertical="center"/>
    </xf>
    <xf numFmtId="178" fontId="0" fillId="0" borderId="16" xfId="0" applyNumberFormat="1" applyBorder="1">
      <alignment vertical="center"/>
    </xf>
    <xf numFmtId="178" fontId="0" fillId="0" borderId="21" xfId="0" applyNumberFormat="1" applyBorder="1">
      <alignment vertical="center"/>
    </xf>
    <xf numFmtId="178" fontId="0" fillId="0" borderId="39" xfId="0" applyNumberFormat="1" applyBorder="1">
      <alignment vertical="center"/>
    </xf>
    <xf numFmtId="178" fontId="0" fillId="0" borderId="37" xfId="0" applyNumberFormat="1" applyBorder="1">
      <alignment vertical="center"/>
    </xf>
  </cellXfs>
  <cellStyles count="2">
    <cellStyle name="좋음" xfId="1" builtinId="26"/>
    <cellStyle name="표준" xfId="0" builtinId="0"/>
  </cellStyles>
  <dxfs count="1">
    <dxf>
      <font>
        <color theme="0"/>
      </font>
    </dxf>
  </dxfs>
  <tableStyles count="0" defaultTableStyle="TableStyleMedium2" defaultPivotStyle="PivotStyleLight16"/>
  <colors>
    <mruColors>
      <color rgb="FFFFCCCC"/>
      <color rgb="FFFFAFAF"/>
      <color rgb="FF003399"/>
      <color rgb="FFAE025C"/>
      <color rgb="FFFDC7EA"/>
      <color rgb="FF90024C"/>
      <color rgb="FFC9036B"/>
      <color rgb="FFEB2403"/>
      <color rgb="FF9C1802"/>
      <color rgb="FF3333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0</v>
        <stp/>
        <stp>H</stp>
        <stp>x9.2fmm</stp>
        <stp>2054</stp>
        <stp>1125876</stp>
        <tr r="BZ17" s="2"/>
      </tp>
      <tp>
        <v>0</v>
        <stp/>
        <stp>H</stp>
        <stp>x1.lXmm</stp>
        <stp>1892</stp>
        <stp>1125876</stp>
        <tr r="AC38" s="1"/>
      </tp>
      <tp>
        <v>0</v>
        <stp/>
        <stp>H</stp>
        <stp>x8.2fmm</stp>
        <stp>2046</stp>
        <stp>1125876</stp>
        <tr r="B167" s="1"/>
      </tp>
      <tp>
        <v>0</v>
        <stp/>
        <stp>H</stp>
        <stp>x1.fcmm</stp>
        <stp>1966</stp>
        <stp>1125876</stp>
        <tr r="B97" s="1"/>
      </tp>
      <tp>
        <v>0</v>
        <stp/>
        <stp>H</stp>
        <stp>x1.lNmm</stp>
        <stp>1912</stp>
        <stp>1125876</stp>
        <tr r="B25" s="1"/>
      </tp>
      <tp>
        <v>0</v>
        <stp/>
        <stp>H</stp>
        <stp>x1.xTmm</stp>
        <stp>1904</stp>
        <stp>1125876</stp>
        <tr r="B43" s="1"/>
      </tp>
      <tp>
        <v>0</v>
        <stp/>
        <stp>H</stp>
        <stp>x1.Xbmm</stp>
        <stp>1928</stp>
        <stp>1125876</stp>
        <tr r="O17" s="2"/>
      </tp>
      <tp>
        <v>0</v>
        <stp/>
        <stp>H</stp>
        <stp>x1.8fmm</stp>
        <stp>1999</stp>
        <stp>1125876</stp>
        <tr r="B115" s="1"/>
      </tp>
      <tp>
        <v>0</v>
        <stp/>
        <stp>H</stp>
        <stp>x1.4fmm</stp>
        <stp>1983</stp>
        <stp>1125876</stp>
        <tr r="B161" s="1"/>
      </tp>
      <tp>
        <v>0</v>
        <stp/>
        <stp>H</stp>
        <stp>x2.fcmm</stp>
        <stp>1967</stp>
        <stp>1125876</stp>
        <tr r="B95" s="1"/>
      </tp>
      <tp>
        <v>0</v>
        <stp/>
        <stp>H</stp>
        <stp>x2.lNmm</stp>
        <stp>1913</stp>
        <stp>1125876</stp>
        <tr r="B33" s="1"/>
      </tp>
      <tp>
        <v>0</v>
        <stp/>
        <stp>H</stp>
        <stp>x2.xTmm</stp>
        <stp>1905</stp>
        <stp>1125876</stp>
        <tr r="B55" s="1"/>
      </tp>
      <tp>
        <v>0</v>
        <stp/>
        <stp>H</stp>
        <stp>x2.4fmm</stp>
        <stp>1984</stp>
        <stp>1125876</stp>
        <tr r="B163" s="1"/>
      </tp>
      <tp>
        <v>0</v>
        <stp/>
        <stp>H</stp>
        <stp>x3.fcmm</stp>
        <stp>1968</stp>
        <stp>1125876</stp>
        <tr r="B101" s="1"/>
      </tp>
      <tp>
        <v>0</v>
        <stp/>
        <stp>H</stp>
        <stp>x3.lNmm</stp>
        <stp>1914</stp>
        <stp>1125876</stp>
        <tr r="B35" s="1"/>
      </tp>
      <tp>
        <v>0</v>
        <stp/>
        <stp>H</stp>
        <stp>x3.xTmm</stp>
        <stp>1906</stp>
        <stp>1125876</stp>
        <tr r="B51" s="1"/>
      </tp>
      <tp>
        <v>0</v>
        <stp/>
        <stp>H</stp>
        <stp>x3.4fmm</stp>
        <stp>1985</stp>
        <stp>1125876</stp>
        <tr r="B159" s="1"/>
      </tp>
      <tp>
        <v>0</v>
        <stp/>
        <stp>H</stp>
        <stp>x4.fcmm</stp>
        <stp>1969</stp>
        <stp>1125876</stp>
        <tr r="B103" s="1"/>
      </tp>
      <tp>
        <v>0</v>
        <stp/>
        <stp>H</stp>
        <stp>x4.lNmm</stp>
        <stp>1915</stp>
        <stp>1125876</stp>
        <tr r="B17" s="1"/>
      </tp>
      <tp>
        <v>0</v>
        <stp/>
        <stp>H</stp>
        <stp>x4.xTmm</stp>
        <stp>1907</stp>
        <stp>1125876</stp>
        <tr r="B41" s="1"/>
      </tp>
      <tp>
        <v>0</v>
        <stp/>
        <stp>H</stp>
        <stp>x4.4fmm</stp>
        <stp>1986</stp>
        <stp>1125876</stp>
        <tr r="B157" s="1"/>
      </tp>
      <tp>
        <v>0</v>
        <stp/>
        <stp>H</stp>
        <stp>x5.fcmm</stp>
        <stp>1970</stp>
        <stp>1125876</stp>
        <tr r="B99" s="1"/>
      </tp>
      <tp>
        <v>0</v>
        <stp/>
        <stp>H</stp>
        <stp>x5.lNmm</stp>
        <stp>1916</stp>
        <stp>1125876</stp>
        <tr r="B31" s="1"/>
      </tp>
      <tp>
        <v>0</v>
        <stp/>
        <stp>H</stp>
        <stp>x5.xTmm</stp>
        <stp>1908</stp>
        <stp>1125876</stp>
        <tr r="B45" s="1"/>
      </tp>
      <tp>
        <v>0</v>
        <stp/>
        <stp>H</stp>
        <stp>x5.4fmm</stp>
        <stp>1987</stp>
        <stp>1125876</stp>
        <tr r="B155" s="1"/>
      </tp>
      <tp>
        <v>0</v>
        <stp/>
        <stp>H</stp>
        <stp>x6.fcmm</stp>
        <stp>1971</stp>
        <stp>1125876</stp>
        <tr r="B105" s="1"/>
      </tp>
      <tp>
        <v>0</v>
        <stp/>
        <stp>H</stp>
        <stp>x9.57mm</stp>
        <stp>1614</stp>
        <stp>1125876</stp>
        <tr r="X17" s="4"/>
      </tp>
      <tp>
        <v>0</v>
        <stp/>
        <stp>H</stp>
        <stp>x6.lNmm</stp>
        <stp>1917</stp>
        <stp>1125876</stp>
        <tr r="B37" s="1"/>
      </tp>
      <tp>
        <v>0</v>
        <stp/>
        <stp>H</stp>
        <stp>x6.xTmm</stp>
        <stp>1909</stp>
        <stp>1125876</stp>
        <tr r="B47" s="1"/>
      </tp>
      <tp>
        <v>0</v>
        <stp/>
        <stp>H</stp>
        <stp>x6.4fmm</stp>
        <stp>1988</stp>
        <stp>1125876</stp>
        <tr r="B153" s="1"/>
      </tp>
      <tp>
        <v>0</v>
        <stp/>
        <stp>H</stp>
        <stp>x7.Vcmm</stp>
        <stp>1958</stp>
        <stp>1125876</stp>
        <tr r="AG17" s="2"/>
      </tp>
      <tp>
        <v>0</v>
        <stp/>
        <stp>H</stp>
        <stp>x7.Icmm</stp>
        <stp>1943</stp>
        <stp>1125876</stp>
        <tr r="X17" s="2"/>
      </tp>
      <tp>
        <v>0</v>
        <stp/>
        <stp>H</stp>
        <stp>x7.fcmm</stp>
        <stp>1973</stp>
        <stp>1125876</stp>
        <tr r="AP17" s="2"/>
      </tp>
      <tp>
        <v>0</v>
        <stp/>
        <stp>H</stp>
        <stp>x8.57mm</stp>
        <stp>1613</stp>
        <stp>1125876</stp>
        <tr r="N17" s="4"/>
      </tp>
      <tp>
        <v>0</v>
        <stp/>
        <stp>H</stp>
        <stp>x7.lNmm</stp>
        <stp>1918</stp>
        <stp>1125876</stp>
        <tr r="B29" s="1"/>
      </tp>
      <tp>
        <v>0</v>
        <stp/>
        <stp>H</stp>
        <stp>x7.xTmm</stp>
        <stp>1910</stp>
        <stp>1125876</stp>
        <tr r="B49" s="1"/>
      </tp>
      <tp>
        <v>0</v>
        <stp/>
        <stp>H</stp>
        <stp>x7.4fmm</stp>
        <stp>1989</stp>
        <stp>1125876</stp>
        <tr r="B151" s="1"/>
      </tp>
      <tp>
        <v>0</v>
        <stp/>
        <stp>H</stp>
        <stp>x1.2fmm</stp>
        <stp>2053</stp>
        <stp>1125876</stp>
        <tr r="B177" s="1"/>
      </tp>
      <tp>
        <v>0</v>
        <stp/>
        <stp>H</stp>
        <stp>x1.6fmm</stp>
        <stp>2040</stp>
        <stp>1125876</stp>
        <tr r="B133" s="1"/>
      </tp>
      <tp>
        <v>0</v>
        <stp/>
        <stp>H</stp>
        <stp>x7.57mm</stp>
        <stp>1612</stp>
        <stp>1125876</stp>
        <tr r="T17" s="4"/>
      </tp>
      <tp>
        <v>0</v>
        <stp/>
        <stp>H</stp>
        <stp>x1.6gmm</stp>
        <stp>2012</stp>
        <stp>1125876</stp>
        <tr r="B71" s="1"/>
      </tp>
      <tp>
        <v>0</v>
        <stp/>
        <stp>H</stp>
        <stp>x1.7gmm</stp>
        <stp>2013</stp>
        <stp>1125876</stp>
        <tr r="B73" s="1"/>
      </tp>
      <tp>
        <v>0</v>
        <stp/>
        <stp>H</stp>
        <stp>x8.lNmm</stp>
        <stp>1919</stp>
        <stp>1125876</stp>
        <tr r="B15" s="1"/>
      </tp>
      <tp>
        <v>0</v>
        <stp/>
        <stp>H</stp>
        <stp>x8.xTmm</stp>
        <stp>1911</stp>
        <stp>1125876</stp>
        <tr r="B53" s="1"/>
      </tp>
      <tp>
        <v>0</v>
        <stp/>
        <stp>H</stp>
        <stp>x1.Icmm</stp>
        <stp>2010</stp>
        <stp>1125876</stp>
        <tr r="B69" s="1"/>
      </tp>
      <tp>
        <v>0</v>
        <stp/>
        <stp>H</stp>
        <stp>x1.Vcmm</stp>
        <stp>2017</stp>
        <stp>1125876</stp>
        <tr r="B79" s="1"/>
      </tp>
      <tp>
        <v>0</v>
        <stp/>
        <stp>H</stp>
        <stp>x1.ugmm</stp>
        <stp>2038</stp>
        <stp>1125876</stp>
        <tr r="B143" s="1"/>
      </tp>
      <tp>
        <v>0</v>
        <stp/>
        <stp>H</stp>
        <stp>x1.vgmm</stp>
        <stp>2037</stp>
        <stp>1125876</stp>
        <tr r="B145" s="1"/>
      </tp>
      <tp>
        <v>0</v>
        <stp/>
        <stp>H</stp>
        <stp>x1.jgmm</stp>
        <stp>2024</stp>
        <stp>1125876</stp>
        <tr r="B125" s="1"/>
      </tp>
      <tp>
        <v>0</v>
        <stp/>
        <stp>H</stp>
        <stp>x1.kgmm</stp>
        <stp>2025</stp>
        <stp>1125876</stp>
        <tr r="B127" s="1"/>
      </tp>
      <tp>
        <v>0</v>
        <stp/>
        <stp>H</stp>
        <stp>x1.Hgmm</stp>
        <stp>2020</stp>
        <stp>1125876</stp>
        <tr r="B89" s="1"/>
      </tp>
      <tp>
        <v>0</v>
        <stp/>
        <stp>H</stp>
        <stp>x1.Igmm</stp>
        <stp>2021</stp>
        <stp>1125876</stp>
        <tr r="B91" s="1"/>
      </tp>
      <tp>
        <v>0</v>
        <stp/>
        <stp>H</stp>
        <stp>x1.Xgmm</stp>
        <stp>2023</stp>
        <stp>1125876</stp>
        <tr r="B109" s="1"/>
      </tp>
      <tp>
        <v>0</v>
        <stp/>
        <stp>H</stp>
        <stp>x1.Wgmm</stp>
        <stp>2022</stp>
        <stp>1125876</stp>
        <tr r="B107" s="1"/>
      </tp>
      <tp>
        <v>0</v>
        <stp/>
        <stp>H</stp>
        <stp>x8.4fmm</stp>
        <stp>1990</stp>
        <stp>1125876</stp>
        <tr r="B149" s="1"/>
      </tp>
      <tp>
        <v>0</v>
        <stp/>
        <stp>H</stp>
        <stp>x6.57mm</stp>
        <stp>1611</stp>
        <stp>1125876</stp>
        <tr r="L17" s="4"/>
      </tp>
      <tp>
        <v>0</v>
        <stp/>
        <stp>H</stp>
        <stp>x9.lNmm</stp>
        <stp>1920</stp>
        <stp>1125876</stp>
        <tr r="B21" s="1"/>
      </tp>
      <tp>
        <v>0</v>
        <stp/>
        <stp>H</stp>
        <stp>x9.4fmm</stp>
        <stp>1991</stp>
        <stp>1125876</stp>
        <tr r="BQ17" s="2"/>
      </tp>
      <tp>
        <v>0</v>
        <stp/>
        <stp>H</stp>
        <stp>x3.2fmm</stp>
        <stp>2051</stp>
        <stp>1125876</stp>
        <tr r="B179" s="1"/>
      </tp>
      <tp>
        <v>0</v>
        <stp/>
        <stp>H</stp>
        <stp>x3.6fmm</stp>
        <stp>2043</stp>
        <stp>1125876</stp>
        <tr r="B137" s="1"/>
      </tp>
      <tp>
        <v>0</v>
        <stp/>
        <stp>H</stp>
        <stp>x5.57mm</stp>
        <stp>1610</stp>
        <stp>1125876</stp>
        <tr r="V17" s="4"/>
      </tp>
      <tp>
        <v>0</v>
        <stp/>
        <stp>H</stp>
        <stp>x3.Icmm</stp>
        <stp>2011</stp>
        <stp>1125876</stp>
        <tr r="B65" s="1"/>
      </tp>
      <tp>
        <v>0</v>
        <stp/>
        <stp>H</stp>
        <stp>x3.Vcmm</stp>
        <stp>2016</stp>
        <stp>1125876</stp>
        <tr r="B87" s="1"/>
      </tp>
      <tp>
        <v>0</v>
        <stp/>
        <stp>H</stp>
        <stp>x3.8fmm</stp>
        <stp>2001</stp>
        <stp>1125876</stp>
        <tr r="B113" s="1"/>
      </tp>
      <tp>
        <v>0</v>
        <stp/>
        <stp>H</stp>
        <stp>x2.2fmm</stp>
        <stp>2052</stp>
        <stp>1125876</stp>
        <tr r="B181" s="1"/>
      </tp>
      <tp>
        <v>0</v>
        <stp/>
        <stp>H</stp>
        <stp>x2.Vcmm</stp>
        <stp>2018</stp>
        <stp>1125876</stp>
        <tr r="B85" s="1"/>
      </tp>
      <tp>
        <v>0</v>
        <stp/>
        <stp>H</stp>
        <stp>x4.57mm</stp>
        <stp>1609</stp>
        <stp>1125876</stp>
        <tr r="R17" s="4"/>
      </tp>
      <tp>
        <v>0</v>
        <stp/>
        <stp>H</stp>
        <stp>x2.8fmm</stp>
        <stp>2000</stp>
        <stp>1125876</stp>
        <tr r="B123" s="1"/>
      </tp>
      <tp>
        <v>0</v>
        <stp/>
        <stp>H</stp>
        <stp>x2.Icmm</stp>
        <stp>2009</stp>
        <stp>1125876</stp>
        <tr r="B67" s="1"/>
      </tp>
      <tp>
        <v>0</v>
        <stp/>
        <stp>H</stp>
        <stp>x2.6fmm</stp>
        <stp>2039</stp>
        <stp>1125876</stp>
        <tr r="B131" s="1"/>
      </tp>
      <tp>
        <v>0</v>
        <stp/>
        <stp>H</stp>
        <stp>x5.2fmm</stp>
        <stp>2049</stp>
        <stp>1125876</stp>
        <tr r="B173" s="1"/>
      </tp>
      <tp>
        <v>0</v>
        <stp/>
        <stp>H</stp>
        <stp>x5.6fmm</stp>
        <stp>2044</stp>
        <stp>1125876</stp>
        <tr r="B141" s="1"/>
      </tp>
      <tp>
        <v>0</v>
        <stp/>
        <stp>H</stp>
        <stp>x5.Vcmm</stp>
        <stp>2015</stp>
        <stp>1125876</stp>
        <tr r="B83" s="1"/>
      </tp>
      <tp>
        <v>0</v>
        <stp/>
        <stp>H</stp>
        <stp>x3.57mm</stp>
        <stp>1608</stp>
        <stp>1125876</stp>
        <tr r="J17" s="4"/>
      </tp>
      <tp>
        <v>0</v>
        <stp/>
        <stp>H</stp>
        <stp>x5.8fmm</stp>
        <stp>2003</stp>
        <stp>1125876</stp>
        <tr r="B119" s="1"/>
      </tp>
      <tp>
        <v>0</v>
        <stp/>
        <stp>H</stp>
        <stp>x5.Icmm</stp>
        <stp>2006</stp>
        <stp>1125876</stp>
        <tr r="B59" s="1"/>
      </tp>
      <tp>
        <v>0</v>
        <stp/>
        <stp>H</stp>
        <stp>x4.2fmm</stp>
        <stp>2050</stp>
        <stp>1125876</stp>
        <tr r="B175" s="1"/>
      </tp>
      <tp>
        <v>0</v>
        <stp/>
        <stp>H</stp>
        <stp>x4.6fmm</stp>
        <stp>2041</stp>
        <stp>1125876</stp>
        <tr r="B135" s="1"/>
      </tp>
      <tp>
        <v>0</v>
        <stp/>
        <stp>H</stp>
        <stp>x4.Vcmm</stp>
        <stp>2014</stp>
        <stp>1125876</stp>
        <tr r="B77" s="1"/>
      </tp>
      <tp>
        <v>0</v>
        <stp/>
        <stp>H</stp>
        <stp>x4.8fmm</stp>
        <stp>2002</stp>
        <stp>1125876</stp>
        <tr r="B121" s="1"/>
      </tp>
      <tp>
        <v>0</v>
        <stp/>
        <stp>H</stp>
        <stp>x2.57mm</stp>
        <stp>1607</stp>
        <stp>1125876</stp>
        <tr r="B17" s="4"/>
      </tp>
      <tp>
        <v>0</v>
        <stp/>
        <stp>H</stp>
        <stp>x4.Icmm</stp>
        <stp>2007</stp>
        <stp>1125876</stp>
        <tr r="B61" s="1"/>
      </tp>
      <tp>
        <v>0</v>
        <stp/>
        <stp>H</stp>
        <stp>x7.2fmm</stp>
        <stp>2047</stp>
        <stp>1125876</stp>
        <tr r="B169" s="1"/>
      </tp>
      <tp>
        <v>0</v>
        <stp/>
        <stp>H</stp>
        <stp>x7.6fmm</stp>
        <stp>2045</stp>
        <stp>1125876</stp>
        <tr r="BH17" s="2"/>
      </tp>
      <tp>
        <v>0</v>
        <stp/>
        <stp>H</stp>
        <stp>x7.8fmm</stp>
        <stp>2005</stp>
        <stp>1125876</stp>
        <tr r="AY17" s="2"/>
      </tp>
      <tp>
        <v>0</v>
        <stp/>
        <stp>H</stp>
        <stp>x1.57mm</stp>
        <stp>1606</stp>
        <stp>1125876</stp>
        <tr r="H17" s="4"/>
      </tp>
      <tp>
        <v>0</v>
        <stp/>
        <stp>H</stp>
        <stp>x6.2fmm</stp>
        <stp>2048</stp>
        <stp>1125876</stp>
        <tr r="B171" s="1"/>
      </tp>
      <tp>
        <v>0</v>
        <stp/>
        <stp>H</stp>
        <stp>x6.6fmm</stp>
        <stp>2042</stp>
        <stp>1125876</stp>
        <tr r="B139" s="1"/>
      </tp>
      <tp>
        <v>0</v>
        <stp/>
        <stp>H</stp>
        <stp>x6.Vcmm</stp>
        <stp>2019</stp>
        <stp>1125876</stp>
        <tr r="B81" s="1"/>
      </tp>
      <tp>
        <v>0</v>
        <stp/>
        <stp>H</stp>
        <stp>x6.8fmm</stp>
        <stp>2004</stp>
        <stp>1125876</stp>
        <tr r="B117" s="1"/>
      </tp>
      <tp>
        <v>0</v>
        <stp/>
        <stp>H</stp>
        <stp>x6.Icmm</stp>
        <stp>2008</stp>
        <stp>1125876</stp>
        <tr r="B63" s="1"/>
      </tp>
      <tp>
        <v>0</v>
        <stp/>
        <stp>H</stp>
        <stp>x12.57mm</stp>
        <stp>1617</stp>
        <stp>1125876</stp>
        <tr r="P17" s="4"/>
      </tp>
      <tp>
        <v>0</v>
        <stp/>
        <stp>H</stp>
        <stp>x10.57mm</stp>
        <stp>1615</stp>
        <stp>1125876</stp>
        <tr r="F17" s="4"/>
      </tp>
      <tp>
        <v>0</v>
        <stp/>
        <stp>H</stp>
        <stp>x11.57mm</stp>
        <stp>1616</stp>
        <stp>1125876</stp>
        <tr r="D17" s="4"/>
      </tp>
      <tp>
        <v>0</v>
        <stp/>
        <stp>H</stp>
        <stp>x18.57mm</stp>
        <stp>1898</stp>
        <stp>1125876</stp>
        <tr r="AC34" s="1"/>
      </tp>
      <tp>
        <v>0</v>
        <stp/>
        <stp>H</stp>
        <stp>x19.57mm</stp>
        <stp>1899</stp>
        <stp>1125876</stp>
        <tr r="AC22" s="1"/>
      </tp>
      <tp>
        <v>0</v>
        <stp/>
        <stp>H</stp>
        <stp>x14.57mm</stp>
        <stp>1894</stp>
        <stp>1125876</stp>
        <tr r="AC24" s="1"/>
      </tp>
      <tp>
        <v>0</v>
        <stp/>
        <stp>H</stp>
        <stp>x15.57mm</stp>
        <stp>1895</stp>
        <stp>1125876</stp>
        <tr r="AC16" s="1"/>
      </tp>
      <tp>
        <v>0</v>
        <stp/>
        <stp>H</stp>
        <stp>x16.57mm</stp>
        <stp>1896</stp>
        <stp>1125876</stp>
        <tr r="AC36" s="1"/>
      </tp>
      <tp>
        <v>0</v>
        <stp/>
        <stp>H</stp>
        <stp>x17.57mm</stp>
        <stp>1897</stp>
        <stp>1125876</stp>
        <tr r="AC28" s="1"/>
      </tp>
      <tp>
        <v>0</v>
        <stp/>
        <stp>H</stp>
        <stp>x21.57mm</stp>
        <stp>1901</stp>
        <stp>1125876</stp>
        <tr r="AC30" s="1"/>
      </tp>
      <tp>
        <v>0</v>
        <stp/>
        <stp>H</stp>
        <stp>x11.lNmm</stp>
        <stp>1922</stp>
        <stp>1125876</stp>
        <tr r="B27" s="1"/>
      </tp>
      <tp>
        <v>0</v>
        <stp/>
        <stp>H</stp>
        <stp>x20.57mm</stp>
        <stp>1900</stp>
        <stp>1125876</stp>
        <tr r="AC18" s="1"/>
      </tp>
      <tp>
        <v>0</v>
        <stp/>
        <stp>H</stp>
        <stp>x10.lNmm</stp>
        <stp>1921</stp>
        <stp>1125876</stp>
        <tr r="B19" s="1"/>
      </tp>
      <tp>
        <v>0</v>
        <stp/>
        <stp>H</stp>
        <stp>x23.57mm</stp>
        <stp>1903</stp>
        <stp>1125876</stp>
        <tr r="AC26" s="1"/>
      </tp>
      <tp>
        <v>0</v>
        <stp/>
        <stp>H</stp>
        <stp>x13.lNmm</stp>
        <stp>1927</stp>
        <stp>1125876</stp>
        <tr r="B17" s="2"/>
      </tp>
      <tp>
        <v>0</v>
        <stp/>
        <stp>H</stp>
        <stp>x22.57mm</stp>
        <stp>1902</stp>
        <stp>1125876</stp>
        <tr r="AC32" s="1"/>
      </tp>
      <tp>
        <v>0</v>
        <stp/>
        <stp>H</stp>
        <stp>x12.lNmm</stp>
        <stp>1923</stp>
        <stp>1125876</stp>
        <tr r="B23" s="1"/>
      </tp>
      <tp>
        <v>0</v>
        <stp/>
        <stp>H</stp>
        <stp>x13.57mm</stp>
        <stp>1893</stp>
        <stp>1125876</stp>
        <tr r="AC20" s="1"/>
      </tp>
      <tp>
        <v>2.63</v>
        <stp/>
        <stp>P</stp>
        <stp>0</stp>
        <stp>IR</stp>
        <stp>BONDAVG14</stp>
        <stp>1년이하(당일)</stp>
        <stp/>
        <stp/>
        <tr r="K5" s="1"/>
      </tp>
      <tp>
        <v>2.62</v>
        <stp/>
        <stp>P</stp>
        <stp>0</stp>
        <stp>IR</stp>
        <stp>BONDAVG01</stp>
        <stp>1년이하(당일)</stp>
        <stp/>
        <stp/>
        <tr r="I5" s="1"/>
      </tp>
      <tp>
        <v>2.605</v>
        <stp/>
        <stp>P</stp>
        <stp>0</stp>
        <stp>IR</stp>
        <stp>BONDAVG01</stp>
        <stp>3년이하(당일)</stp>
        <stp/>
        <stp/>
        <tr r="I7" s="1"/>
      </tp>
      <tp>
        <v>2.6680000000000001</v>
        <stp/>
        <stp>P</stp>
        <stp>0</stp>
        <stp>IR</stp>
        <stp>BONDAVG14</stp>
        <stp>2년이하(당일)</stp>
        <stp/>
        <stp/>
        <tr r="K7" s="1"/>
      </tp>
      <tp>
        <v>2.677</v>
        <stp/>
        <stp>P</stp>
        <stp>0</stp>
        <stp>IR</stp>
        <stp>BONDAVG01</stp>
        <stp>2년이하(당일)</stp>
        <stp/>
        <stp/>
        <tr r="I6" s="1"/>
      </tp>
      <tp>
        <v>2.625</v>
        <stp/>
        <stp>P</stp>
        <stp>0</stp>
        <stp>IR</stp>
        <stp>IRSTP1KRW02Y</stp>
        <stp>MID</stp>
        <stp/>
        <stp/>
        <tr r="M6" s="1"/>
      </tp>
      <tp>
        <v>2.6150000000000002</v>
        <stp/>
        <stp>P</stp>
        <stp>0</stp>
        <stp>IR</stp>
        <stp>IRSTP1KRW03Y</stp>
        <stp>MID</stp>
        <stp/>
        <stp/>
        <tr r="M7" s="1"/>
      </tp>
      <tp>
        <v>2.69</v>
        <stp/>
        <stp>P</stp>
        <stp>0</stp>
        <stp>IR</stp>
        <stp>IRSTP1KRW01Y</stp>
        <stp>MID</stp>
        <stp/>
        <stp/>
        <tr r="M5" s="1"/>
      </tp>
      <tp>
        <v>2.75</v>
        <stp/>
        <stp>P</stp>
        <stp>0</stp>
        <stp>ECO</stp>
        <stp>68</stp>
        <stp>현재가</stp>
        <stp/>
        <stp/>
        <tr r="G5" s="1"/>
      </tp>
      <tp>
        <v>2.69</v>
        <stp/>
        <stp>P</stp>
        <stp>0</stp>
        <stp>IR</stp>
        <stp>BONDAVG14</stp>
        <stp>1.5년이하(당일)</stp>
        <stp/>
        <stp/>
        <tr r="K6" s="1"/>
      </tp>
      <tp>
        <v>2.98</v>
        <stp/>
        <stp>P</stp>
        <stp>0</stp>
        <stp>IR</stp>
        <stp>BONDKSDCAL09</stp>
        <stp>대표수익률</stp>
        <stp/>
        <stp/>
        <tr r="G7" s="1"/>
      </tp>
      <tp>
        <v>2.85</v>
        <stp/>
        <stp>P</stp>
        <stp>0</stp>
        <stp>IR</stp>
        <stp>BONDKSDCAL08</stp>
        <stp>대표수익률</stp>
        <stp/>
        <stp/>
        <tr r="G6" s="1"/>
      </tp>
      <tp>
        <v>2.75</v>
        <stp/>
        <stp>P</stp>
        <stp>0</stp>
        <stp>ECO</stp>
        <stp>68</stp>
        <stp>현재가</stp>
        <stp>fill=true</stp>
        <stp/>
        <tr r="E12" s="1"/>
      </tp>
      <tp>
        <v>2.85</v>
        <stp/>
        <stp>P</stp>
        <stp>0</stp>
        <stp>IR</stp>
        <stp>BONDKSDCAL08</stp>
        <stp>대표수익률</stp>
        <stp>fill=true</stp>
        <stp/>
        <tr r="E12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Drop" dropLines="20" dropStyle="combo" dx="15" fmlaLink="$G$37" fmlaRange="$B$35:$B$134" sel="15" val="0"/>
</file>

<file path=xl/ctrlProps/ctrlProp2.xml><?xml version="1.0" encoding="utf-8"?>
<formControlPr xmlns="http://schemas.microsoft.com/office/spreadsheetml/2009/9/main" objectType="Drop" dropLines="20" dropStyle="combo" dx="15" fmlaLink="$G$51" fmlaRange="$B$35:$B$134" sel="17" val="16"/>
</file>

<file path=xl/ctrlProps/ctrlProp3.xml><?xml version="1.0" encoding="utf-8"?>
<formControlPr xmlns="http://schemas.microsoft.com/office/spreadsheetml/2009/9/main" objectType="Drop" dropLines="20" dropStyle="combo" dx="15" fmlaLink="$G$65" fmlaRange="$B$35:$B$134" sel="19" val="61"/>
</file>

<file path=xl/ctrlProps/ctrlProp4.xml><?xml version="1.0" encoding="utf-8"?>
<formControlPr xmlns="http://schemas.microsoft.com/office/spreadsheetml/2009/9/main" objectType="Drop" dropLines="20" dropStyle="combo" dx="15" fmlaLink="$G$93" fmlaRange="$B$35:$B$134" sel="88" val="80"/>
</file>

<file path=xl/ctrlProps/ctrlProp5.xml><?xml version="1.0" encoding="utf-8"?>
<formControlPr xmlns="http://schemas.microsoft.com/office/spreadsheetml/2009/9/main" objectType="Drop" dropLines="20" dropStyle="combo" dx="15" fmlaLink="$G$79" fmlaRange="$B$35:$B$134" sel="99" val="80"/>
</file>

<file path=xl/ctrlProps/ctrlProp6.xml><?xml version="1.0" encoding="utf-8"?>
<formControlPr xmlns="http://schemas.microsoft.com/office/spreadsheetml/2009/9/main" objectType="Drop" dropLines="20" dropStyle="combo" dx="15" fmlaLink="$G$107" fmlaRange="$B$35:$B$134" sel="92" val="80"/>
</file>

<file path=xl/ctrlProps/ctrlProp7.xml><?xml version="1.0" encoding="utf-8"?>
<formControlPr xmlns="http://schemas.microsoft.com/office/spreadsheetml/2009/9/main" objectType="Drop" dropLines="20" dropStyle="combo" dx="15" fmlaLink="$G$121" fmlaRange="$B$35:$B$134" sel="87" val="80"/>
</file>

<file path=xl/ctrlProps/ctrlProp8.xml><?xml version="1.0" encoding="utf-8"?>
<formControlPr xmlns="http://schemas.microsoft.com/office/spreadsheetml/2009/9/main" objectType="Drop" dropLines="20" dropStyle="combo" dx="15" fmlaLink="$G$135" fmlaRange="$B$35:$B$134" sel="86" val="80"/>
</file>

<file path=xl/ctrlProps/ctrlProp9.xml><?xml version="1.0" encoding="utf-8"?>
<formControlPr xmlns="http://schemas.microsoft.com/office/spreadsheetml/2009/9/main" objectType="Drop" dropLines="20" dropStyle="combo" dx="15" fmlaLink="$G$13" fmlaRange="$B$35:$B$134" val="0"/>
</file>

<file path=xl/ctrlProps/ctrlProp10.xml><?xml version="1.0" encoding="utf-8"?>
<formControlPr xmlns="http://schemas.microsoft.com/office/spreadsheetml/2009/9/main" objectType="Radio" firstButton="1" fmlaLink="$G$7" lockText="1" noThreeD="1"/>
</file>

<file path=xl/ctrlProps/ctrlProp11.xml><?xml version="1.0" encoding="utf-8"?>
<formControlPr xmlns="http://schemas.microsoft.com/office/spreadsheetml/2009/9/main" objectType="Radio" checked="Checked" lockText="1" noThreeD="1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82"/>
  <sheetViews>
    <sheetView showGridLines="0" showRowColHeaders="0" tabSelected="1" zoomScaleNormal="100" workbookViewId="0"/>
  </sheetViews>
  <sheetFormatPr defaultRowHeight="13.5"/>
  <cols>
    <col min="1" max="1" width="1.7109375" style="53" customWidth="1"/>
    <col min="2" max="2" width="19" style="6" hidden="1" customWidth="1"/>
    <col min="3" max="3" width="15.140625" style="6" hidden="1" customWidth="1"/>
    <col min="4" max="4" width="2.28515625" style="6" hidden="1" customWidth="1"/>
    <col min="5" max="5" width="20.140625" style="6" customWidth="1"/>
    <col min="6" max="15" width="12.5703125" style="6" customWidth="1"/>
    <col min="16" max="28" width="9.28515625" style="6" customWidth="1"/>
    <col min="29" max="29" width="19.7109375" style="6" hidden="1" customWidth="1"/>
    <col min="30" max="39" width="9.140625" style="6" hidden="1" customWidth="1"/>
    <col min="40" max="16384" width="9.140625" style="6"/>
  </cols>
  <sheetData>
    <row r="1" spans="2:39" ht="9" customHeight="1">
      <c r="D1" s="54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 r="2" spans="2:39" hidden="1">
      <c r="D2" s="45"/>
      <c r="P2" s="6">
        <v>1</v>
      </c>
      <c r="Q2" s="6">
        <v>2</v>
      </c>
      <c r="R2" s="6">
        <v>3</v>
      </c>
      <c r="S2" s="6">
        <v>4</v>
      </c>
      <c r="T2" s="6">
        <v>5</v>
      </c>
      <c r="U2" s="6">
        <v>6</v>
      </c>
      <c r="V2" s="6">
        <v>7</v>
      </c>
      <c r="W2" s="6">
        <v>8</v>
      </c>
      <c r="X2" s="6">
        <v>9</v>
      </c>
      <c r="Y2" s="6">
        <v>10</v>
      </c>
      <c r="Z2" s="6">
        <v>11</v>
      </c>
      <c r="AA2" s="6">
        <v>12</v>
      </c>
    </row>
    <row r="3" spans="2:39" ht="25.5" customHeight="1">
      <c r="D3" s="45"/>
      <c r="E3" s="67" t="s">
        <v>57</v>
      </c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</row>
    <row r="4" spans="2:39">
      <c r="D4" s="45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</row>
    <row r="5" spans="2:39">
      <c r="D5" s="46"/>
      <c r="E5" s="70" t="s">
        <v>226</v>
      </c>
      <c r="F5" s="40" t="s">
        <v>231</v>
      </c>
      <c r="G5" s="25">
        <f>_xll.IMDP(BOND!$CN$3,BOND!$CO$3,BOND!$CP$3)</f>
        <v>2.75</v>
      </c>
      <c r="H5" s="40" t="s">
        <v>1</v>
      </c>
      <c r="I5" s="25">
        <f>_xll.IMDP(BOND!$CN$4,BOND!$CO$4,BOND!$CP$4)</f>
        <v>2.62</v>
      </c>
      <c r="J5" s="40" t="s">
        <v>4</v>
      </c>
      <c r="K5" s="25">
        <f>_xll.IMDP(BOND!$CN$7,BOND!$CO$7,BOND!$CP$7)</f>
        <v>2.63</v>
      </c>
      <c r="L5" s="40" t="s">
        <v>7</v>
      </c>
      <c r="M5" s="25">
        <f>_xll.IMDP(BOND!$CN$12,BOND!$CO$12,BOND!$CP$12)</f>
        <v>2.69</v>
      </c>
      <c r="N5"/>
      <c r="O5"/>
      <c r="P5"/>
      <c r="Q5"/>
      <c r="R5"/>
      <c r="S5"/>
      <c r="T5"/>
      <c r="U5"/>
      <c r="V5"/>
      <c r="W5"/>
      <c r="X5"/>
      <c r="Y5"/>
      <c r="Z5"/>
      <c r="AA5"/>
    </row>
    <row r="6" spans="2:39">
      <c r="D6" s="46"/>
      <c r="E6" s="71"/>
      <c r="F6" s="40" t="s">
        <v>0</v>
      </c>
      <c r="G6" s="25">
        <f>_xll.IMDP(BOND!$CN$10,BOND!$CO$10,BOND!$CP$10)</f>
        <v>2.85</v>
      </c>
      <c r="H6" s="40" t="s">
        <v>2</v>
      </c>
      <c r="I6" s="25">
        <f>_xll.IMDP(BOND!$CN$5,BOND!$CO$5,BOND!$CP$5)</f>
        <v>2.677</v>
      </c>
      <c r="J6" s="40" t="s">
        <v>5</v>
      </c>
      <c r="K6" s="25">
        <f>_xll.IMDP(BOND!$CN$8,BOND!$CO$8,BOND!$CP$8)</f>
        <v>2.69</v>
      </c>
      <c r="L6" s="40" t="s">
        <v>8</v>
      </c>
      <c r="M6" s="25">
        <f>_xll.IMDP(BOND!$CN$13,BOND!$CO$13,BOND!$CP$13)</f>
        <v>2.625</v>
      </c>
      <c r="N6"/>
      <c r="O6"/>
      <c r="P6"/>
      <c r="Q6"/>
      <c r="R6"/>
      <c r="S6"/>
      <c r="T6"/>
      <c r="U6"/>
      <c r="V6"/>
      <c r="W6"/>
      <c r="X6"/>
      <c r="Y6"/>
      <c r="Z6"/>
      <c r="AA6"/>
    </row>
    <row r="7" spans="2:39">
      <c r="C7" s="6">
        <v>2</v>
      </c>
      <c r="D7" s="46"/>
      <c r="E7" s="72"/>
      <c r="F7" s="40" t="s">
        <v>229</v>
      </c>
      <c r="G7" s="25">
        <f>_xll.IMDP(BOND!$CN$11,BOND!$CO$11,BOND!$CP$11)</f>
        <v>2.98</v>
      </c>
      <c r="H7" s="40" t="s">
        <v>3</v>
      </c>
      <c r="I7" s="25">
        <f>_xll.IMDP(BOND!$CN$6,BOND!$CO$6,BOND!$CP$6)</f>
        <v>2.605</v>
      </c>
      <c r="J7" s="40" t="s">
        <v>6</v>
      </c>
      <c r="K7" s="25">
        <f>_xll.IMDP(BOND!$CN$9,BOND!$CO$9,BOND!$CP$9)</f>
        <v>2.6680000000000001</v>
      </c>
      <c r="L7" s="40" t="s">
        <v>9</v>
      </c>
      <c r="M7" s="25">
        <f>_xll.IMDP(BOND!$CN$14,BOND!$CO$14,BOND!$CP$14)</f>
        <v>2.6150000000000002</v>
      </c>
      <c r="N7"/>
      <c r="O7"/>
      <c r="P7"/>
      <c r="Q7"/>
      <c r="R7"/>
      <c r="S7"/>
      <c r="T7"/>
      <c r="U7"/>
      <c r="V7"/>
      <c r="W7"/>
      <c r="X7"/>
      <c r="Y7"/>
      <c r="Z7"/>
      <c r="AA7"/>
    </row>
    <row r="8" spans="2:39">
      <c r="D8" s="46"/>
      <c r="E8" s="4"/>
      <c r="F8" s="5"/>
      <c r="G8" s="4"/>
      <c r="H8" s="5"/>
      <c r="I8" s="4"/>
      <c r="J8" s="5"/>
      <c r="K8" s="4"/>
      <c r="M8" s="2"/>
      <c r="N8" s="2"/>
      <c r="O8" s="2"/>
      <c r="P8"/>
      <c r="Q8"/>
      <c r="R8" s="2"/>
      <c r="S8" s="2"/>
      <c r="T8" s="2"/>
      <c r="U8" s="2"/>
      <c r="V8" s="2"/>
      <c r="W8" s="2"/>
      <c r="X8" s="2"/>
      <c r="Y8" s="2"/>
      <c r="Z8" s="2"/>
      <c r="AA8" s="2"/>
    </row>
    <row r="9" spans="2:39" hidden="1">
      <c r="D9" s="47"/>
      <c r="E9" s="48" t="s">
        <v>30</v>
      </c>
      <c r="F9" s="49">
        <f>BOND!$B19</f>
        <v>45741</v>
      </c>
      <c r="G9" s="49">
        <f>BOND!$B20</f>
        <v>45740</v>
      </c>
      <c r="H9" s="49">
        <f>BOND!$B21</f>
        <v>45737</v>
      </c>
      <c r="I9" s="49">
        <f>BOND!$B22</f>
        <v>45736</v>
      </c>
      <c r="J9" s="49">
        <f>BOND!$B23</f>
        <v>45735</v>
      </c>
      <c r="K9" s="49">
        <f>BOND!$B24</f>
        <v>45734</v>
      </c>
      <c r="L9" s="49">
        <f>BOND!$B25</f>
        <v>45733</v>
      </c>
      <c r="M9" s="49">
        <f>BOND!$B26</f>
        <v>45730</v>
      </c>
      <c r="N9" s="49">
        <f>BOND!$B27</f>
        <v>45729</v>
      </c>
      <c r="O9" s="49">
        <f>BOND!$B28</f>
        <v>45728</v>
      </c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</row>
    <row r="10" spans="2:39" hidden="1">
      <c r="B10" s="6" t="s">
        <v>274</v>
      </c>
      <c r="C10" s="6" t="s">
        <v>270</v>
      </c>
      <c r="D10" s="45"/>
      <c r="E10"/>
      <c r="F10"/>
      <c r="G10" s="77"/>
      <c r="H10" s="77"/>
      <c r="I10" s="77"/>
      <c r="J10" s="77"/>
      <c r="K10" s="77"/>
      <c r="L10" s="77"/>
      <c r="M10" s="77"/>
      <c r="N10" s="77"/>
      <c r="O10" s="77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</row>
    <row r="11" spans="2:39">
      <c r="B11" s="6" t="s">
        <v>16</v>
      </c>
      <c r="C11" s="58" t="s">
        <v>271</v>
      </c>
      <c r="D11" s="45"/>
      <c r="E11" s="41" t="s">
        <v>232</v>
      </c>
      <c r="F11" s="44"/>
      <c r="G11" s="77"/>
      <c r="H11" s="77"/>
      <c r="I11" s="77"/>
      <c r="J11" s="77"/>
      <c r="K11" s="77"/>
      <c r="L11" s="77"/>
      <c r="M11" s="77"/>
      <c r="N11" s="77"/>
      <c r="O11" s="77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</row>
    <row r="12" spans="2:39">
      <c r="B12" s="6" t="s">
        <v>17</v>
      </c>
      <c r="C12" s="6" t="s">
        <v>272</v>
      </c>
      <c r="D12" s="45"/>
      <c r="E12" s="43">
        <f>_xll.IMDP($B$10,$B$11,$B$12,"fill=true")-_xll.IMDP($C$10,$C$11,$C$12,"fill=true")</f>
        <v>0.10000000000000009</v>
      </c>
      <c r="F12" s="44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2:39">
      <c r="C13" s="6">
        <v>1</v>
      </c>
      <c r="D13" s="46"/>
      <c r="E13" s="73" t="s">
        <v>233</v>
      </c>
      <c r="F13" s="63">
        <f>F$9</f>
        <v>45741</v>
      </c>
      <c r="G13" s="65">
        <f t="shared" ref="G13:N13" si="0">G$9</f>
        <v>45740</v>
      </c>
      <c r="H13" s="65">
        <f t="shared" si="0"/>
        <v>45737</v>
      </c>
      <c r="I13" s="65">
        <f t="shared" si="0"/>
        <v>45736</v>
      </c>
      <c r="J13" s="65">
        <f t="shared" si="0"/>
        <v>45735</v>
      </c>
      <c r="K13" s="65">
        <f t="shared" si="0"/>
        <v>45734</v>
      </c>
      <c r="L13" s="65">
        <f t="shared" si="0"/>
        <v>45733</v>
      </c>
      <c r="M13" s="65">
        <f t="shared" si="0"/>
        <v>45730</v>
      </c>
      <c r="N13" s="61">
        <f t="shared" si="0"/>
        <v>45729</v>
      </c>
      <c r="O13" s="59">
        <f>O$9</f>
        <v>45728</v>
      </c>
      <c r="P13" s="68" t="s">
        <v>55</v>
      </c>
      <c r="Q13" s="68"/>
      <c r="R13" s="68"/>
      <c r="S13" s="68" t="s">
        <v>56</v>
      </c>
      <c r="T13" s="68"/>
      <c r="U13" s="68"/>
      <c r="V13" s="68" t="s">
        <v>303</v>
      </c>
      <c r="W13" s="68"/>
      <c r="X13" s="68"/>
      <c r="Y13" s="68" t="s">
        <v>304</v>
      </c>
      <c r="Z13" s="68"/>
      <c r="AA13" s="68"/>
    </row>
    <row r="14" spans="2:39">
      <c r="B14" s="6" t="str">
        <f>INDEX(code_list,$C13,1)</f>
        <v>BONDAVG01</v>
      </c>
      <c r="C14" s="6" t="str">
        <f>INDEX(name_list,$C13,1)</f>
        <v>국고채권</v>
      </c>
      <c r="D14" s="46"/>
      <c r="E14" s="74"/>
      <c r="F14" s="64"/>
      <c r="G14" s="66"/>
      <c r="H14" s="66"/>
      <c r="I14" s="66"/>
      <c r="J14" s="66"/>
      <c r="K14" s="66"/>
      <c r="L14" s="66"/>
      <c r="M14" s="66"/>
      <c r="N14" s="62"/>
      <c r="O14" s="60"/>
      <c r="P14" s="55" t="s">
        <v>21</v>
      </c>
      <c r="Q14" s="55" t="s">
        <v>22</v>
      </c>
      <c r="R14" s="55" t="s">
        <v>23</v>
      </c>
      <c r="S14" s="55" t="s">
        <v>21</v>
      </c>
      <c r="T14" s="55" t="s">
        <v>22</v>
      </c>
      <c r="U14" s="55" t="s">
        <v>23</v>
      </c>
      <c r="V14" s="55" t="s">
        <v>21</v>
      </c>
      <c r="W14" s="55" t="s">
        <v>22</v>
      </c>
      <c r="X14" s="55" t="s">
        <v>23</v>
      </c>
      <c r="Y14" s="55" t="s">
        <v>21</v>
      </c>
      <c r="Z14" s="55" t="s">
        <v>22</v>
      </c>
      <c r="AA14" s="55" t="s">
        <v>23</v>
      </c>
    </row>
    <row r="15" spans="2:39">
      <c r="B15" s="6" t="str">
        <f>_xll.IMDH("IR",$B$14,$C15,$O$9,$F$9,10,"Per=일, sort=D, real=true, Bizday=0, Quote=종가,Pos=40,Orient=H,DtFmt=1.TmFmt=1")</f>
        <v>조회[BONDAVG01]</v>
      </c>
      <c r="C15" s="6" t="s">
        <v>288</v>
      </c>
      <c r="D15" s="46"/>
      <c r="E15" s="51" t="s">
        <v>268</v>
      </c>
      <c r="F15" s="78">
        <v>2.6219999999999999</v>
      </c>
      <c r="G15" s="79">
        <v>2.617</v>
      </c>
      <c r="H15" s="79">
        <v>2.61</v>
      </c>
      <c r="I15" s="79">
        <v>2.6030000000000002</v>
      </c>
      <c r="J15" s="79">
        <v>2.605</v>
      </c>
      <c r="K15" s="79">
        <v>2.6030000000000002</v>
      </c>
      <c r="L15" s="79">
        <v>2.605</v>
      </c>
      <c r="M15" s="79">
        <v>2.605</v>
      </c>
      <c r="N15" s="79">
        <v>2.605</v>
      </c>
      <c r="O15" s="79">
        <v>2.6059999999999999</v>
      </c>
      <c r="P15" s="80">
        <f>IF( INDEX(BOND!$B$2:$CH$13, P$2, MATCH($B$14, BOND!$B$16:$CH$16, 0)+MATCH($C15, BOND!$C$18:$N$18,0) )=0,
"",
INDEX(BOND!$B$2:$CH$13, P$2, MATCH($B$14, BOND!$B$16:$CH$16, 0)+MATCH($C15, BOND!$C$18:$N$18,0)) )</f>
        <v>2.62635</v>
      </c>
      <c r="Q15" s="80">
        <f>IF( INDEX(BOND!$B$2:$CH$13, Q$2, MATCH($B$14, BOND!$B$16:$CH$16, 0)+MATCH($C15, BOND!$C$18:$N$18,0) )=0,
"",
INDEX(BOND!$B$2:$CH$13, Q$2, MATCH($B$14, BOND!$B$16:$CH$16, 0)+MATCH($C15, BOND!$C$18:$N$18,0)) )</f>
        <v>2.6030000000000002</v>
      </c>
      <c r="R15" s="80">
        <f>IF( INDEX(BOND!$B$2:$CH$13, R$2, MATCH($B$14, BOND!$B$16:$CH$16, 0)+MATCH($C15, BOND!$C$18:$N$18,0) )=0,
"",
INDEX(BOND!$B$2:$CH$13, R$2, MATCH($B$14, BOND!$B$16:$CH$16, 0)+MATCH($C15, BOND!$C$18:$N$18,0)) )</f>
        <v>2.6659999999999999</v>
      </c>
      <c r="S15" s="80">
        <f>IF( INDEX(BOND!$B$2:$CH$13, S$2, MATCH($B$14, BOND!$B$16:$CH$16, 0)+MATCH($C15, BOND!$C$18:$N$18,0) )=0,
"",
INDEX(BOND!$B$2:$CH$13, S$2, MATCH($B$14, BOND!$B$16:$CH$16, 0)+MATCH($C15, BOND!$C$18:$N$18,0)) )</f>
        <v>2.6998499999999992</v>
      </c>
      <c r="T15" s="80">
        <f>IF( INDEX(BOND!$B$2:$CH$13, T$2, MATCH($B$14, BOND!$B$16:$CH$16, 0)+MATCH($C15, BOND!$C$18:$N$18,0) )=0,
"",
INDEX(BOND!$B$2:$CH$13, T$2, MATCH($B$14, BOND!$B$16:$CH$16, 0)+MATCH($C15, BOND!$C$18:$N$18,0)) )</f>
        <v>2.6030000000000002</v>
      </c>
      <c r="U15" s="80">
        <f>IF( INDEX(BOND!$B$2:$CH$13, U$2, MATCH($B$14, BOND!$B$16:$CH$16, 0)+MATCH($C15, BOND!$C$18:$N$18,0) )=0,
"",
INDEX(BOND!$B$2:$CH$13, U$2, MATCH($B$14, BOND!$B$16:$CH$16, 0)+MATCH($C15, BOND!$C$18:$N$18,0)) )</f>
        <v>2.7949999999999999</v>
      </c>
      <c r="V15" s="80">
        <f>IF( INDEX(BOND!$B$2:$CH$13, V$2, MATCH($B$14, BOND!$B$16:$CH$16, 0)+MATCH($C15, BOND!$C$18:$N$18,0) )=0,
"",
INDEX(BOND!$B$2:$CH$13, V$2, MATCH($B$14, BOND!$B$16:$CH$16, 0)+MATCH($C15, BOND!$C$18:$N$18,0)) )</f>
        <v>2.809658333333334</v>
      </c>
      <c r="W15" s="80">
        <f>IF( INDEX(BOND!$B$2:$CH$13, W$2, MATCH($B$14, BOND!$B$16:$CH$16, 0)+MATCH($C15, BOND!$C$18:$N$18,0) )=0,
"",
INDEX(BOND!$B$2:$CH$13, W$2, MATCH($B$14, BOND!$B$16:$CH$16, 0)+MATCH($C15, BOND!$C$18:$N$18,0)) )</f>
        <v>2.6030000000000002</v>
      </c>
      <c r="X15" s="80">
        <f>IF( INDEX(BOND!$B$2:$CH$13, X$2, MATCH($B$14, BOND!$B$16:$CH$16, 0)+MATCH($C15, BOND!$C$18:$N$18,0) )=0,
"",
INDEX(BOND!$B$2:$CH$13, X$2, MATCH($B$14, BOND!$B$16:$CH$16, 0)+MATCH($C15, BOND!$C$18:$N$18,0)) )</f>
        <v>2.9780000000000002</v>
      </c>
      <c r="Y15" s="80">
        <f>IF( INDEX(BOND!$B$2:$CH$13, Y$2, MATCH($B$14, BOND!$B$16:$CH$16, 0)+MATCH($C15, BOND!$C$18:$N$18,0) )=0,
"",
INDEX(BOND!$B$2:$CH$13, Y$2, MATCH($B$14, BOND!$B$16:$CH$16, 0)+MATCH($C15, BOND!$C$18:$N$18,0)) )</f>
        <v>3.0798760000000023</v>
      </c>
      <c r="Z15" s="80">
        <f>IF( INDEX(BOND!$B$2:$CH$13, Z$2, MATCH($B$14, BOND!$B$16:$CH$16, 0)+MATCH($C15, BOND!$C$18:$N$18,0) )=0,
"",
INDEX(BOND!$B$2:$CH$13, Z$2, MATCH($B$14, BOND!$B$16:$CH$16, 0)+MATCH($C15, BOND!$C$18:$N$18,0)) )</f>
        <v>2.6030000000000002</v>
      </c>
      <c r="AA15" s="80">
        <f>IF( INDEX(BOND!$B$2:$CH$13, AA$2, MATCH($B$14, BOND!$B$16:$CH$16, 0)+MATCH($C15, BOND!$C$18:$N$18,0) )=0,
"",
INDEX(BOND!$B$2:$CH$13, AA$2, MATCH($B$14, BOND!$B$16:$CH$16, 0)+MATCH($C15, BOND!$C$18:$N$18,0)) )</f>
        <v>3.468</v>
      </c>
    </row>
    <row r="16" spans="2:39">
      <c r="D16" s="46"/>
      <c r="E16" s="52" t="s">
        <v>267</v>
      </c>
      <c r="F16" s="81">
        <f>IF(F15=0,"",(F15-AD16)*IF($C$7=1,-1,1))</f>
        <v>-0.15050000000000008</v>
      </c>
      <c r="G16" s="82">
        <f>IF(G15=0,"",(G15-AE16)*IF($C$7=1,-1,1))</f>
        <v>-0.14800000000000013</v>
      </c>
      <c r="H16" s="82">
        <f>IF(H15=0,"",(H15-AF16)*IF($C$7=1,-1,1))</f>
        <v>-0.1525000000000003</v>
      </c>
      <c r="I16" s="82">
        <f>IF(I15=0,"",(I15-AG16)*IF($C$7=1,-1,1))</f>
        <v>-0.15699999999999958</v>
      </c>
      <c r="J16" s="82">
        <f>IF(J15=0,"",(J15-AH16)*IF($C$7=1,-1,1))</f>
        <v>-0.16250000000000009</v>
      </c>
      <c r="K16" s="82">
        <f>IF(K15=0,"",(K15-AI16)*IF($C$7=1,-1,1))</f>
        <v>-0.16199999999999992</v>
      </c>
      <c r="L16" s="82">
        <f>IF(L15=0,"",(L15-AJ16)*IF($C$7=1,-1,1))</f>
        <v>-0.16000000000000014</v>
      </c>
      <c r="M16" s="82">
        <f>IF(M15=0,"",(M15-AK16)*IF($C$7=1,-1,1))</f>
        <v>-0.1549999999999998</v>
      </c>
      <c r="N16" s="82">
        <f>IF(N15=0,"",(N15-AL16)*IF($C$7=1,-1,1))</f>
        <v>-0.15249999999999986</v>
      </c>
      <c r="O16" s="82">
        <f>IF(O15=0,"",(O15-AM16)*IF($C$7=1,-1,1))</f>
        <v>-0.13900000000000023</v>
      </c>
      <c r="P16" s="83">
        <f>IF(   P15="", "", (P15 - INDEX(IRS!$B$2:$Y$13, P$2, MATCH($E15,IRS!$B$1:$Y$1, 0)) ) * IF($C$7=1,-1,1)   )</f>
        <v>-0.13940000000000019</v>
      </c>
      <c r="Q16" s="84">
        <f>IF(   Q15="", "", (Q15 - INDEX(IRS!$B$2:$Y$13, Q$2, MATCH($E15,IRS!$B$1:$Y$1, 0)) ) * IF($C$7=1,-1,1)   )</f>
        <v>-0.1419999999999999</v>
      </c>
      <c r="R16" s="85">
        <f>IF(   R15="", "", (R15 - INDEX(IRS!$B$2:$Y$13, R$2, MATCH($E15,IRS!$B$1:$Y$1, 0)) ) * IF($C$7=1,-1,1)   )</f>
        <v>-0.1339999999999999</v>
      </c>
      <c r="S16" s="86">
        <f>IF(   S15="", "", (S15 - INDEX(IRS!$B$2:$Y$13, S$2, MATCH($E15,IRS!$B$1:$Y$1, 0)) ) * IF($C$7=1,-1,1)   )</f>
        <v>-0.17802500000000121</v>
      </c>
      <c r="T16" s="84">
        <f>IF(   T15="", "", (T15 - INDEX(IRS!$B$2:$Y$13, T$2, MATCH($E15,IRS!$B$1:$Y$1, 0)) ) * IF($C$7=1,-1,1)   )</f>
        <v>-0.1419999999999999</v>
      </c>
      <c r="U16" s="87">
        <f>IF(   U15="", "", (U15 - INDEX(IRS!$B$2:$Y$13, U$2, MATCH($E15,IRS!$B$1:$Y$1, 0)) ) * IF($C$7=1,-1,1)   )</f>
        <v>-0.39250000000000007</v>
      </c>
      <c r="V16" s="83">
        <f>IF(   V15="", "", (V15 - INDEX(IRS!$B$2:$Y$13, V$2, MATCH($E15,IRS!$B$1:$Y$1, 0)) ) * IF($C$7=1,-1,1)   )</f>
        <v>-0.25498750000000037</v>
      </c>
      <c r="W16" s="84">
        <f>IF(   W15="", "", (W15 - INDEX(IRS!$B$2:$Y$13, W$2, MATCH($E15,IRS!$B$1:$Y$1, 0)) ) * IF($C$7=1,-1,1)   )</f>
        <v>-0.1419999999999999</v>
      </c>
      <c r="X16" s="85">
        <f>IF(   X15="", "", (X15 - INDEX(IRS!$B$2:$Y$13, X$2, MATCH($E15,IRS!$B$1:$Y$1, 0)) ) * IF($C$7=1,-1,1)   )</f>
        <v>-0.43449999999999989</v>
      </c>
      <c r="Y16" s="83">
        <f>IF(   Y15="", "", (Y15 - INDEX(IRS!$B$2:$Y$13, Y$2, MATCH($E15,IRS!$B$1:$Y$1, 0)) ) * IF($C$7=1,-1,1)   )</f>
        <v>-0.21991399999999972</v>
      </c>
      <c r="Z16" s="84">
        <f>IF(   Z15="", "", (Z15 - INDEX(IRS!$B$2:$Y$13, Z$2, MATCH($E15,IRS!$B$1:$Y$1, 0)) ) * IF($C$7=1,-1,1)   )</f>
        <v>-0.1419999999999999</v>
      </c>
      <c r="AA16" s="85">
        <f>IF(   AA15="", "", (AA15 - INDEX(IRS!$B$2:$Y$13, AA$2, MATCH($E15,IRS!$B$1:$Y$1, 0)) ) * IF($C$7=1,-1,1)   )</f>
        <v>-0.16950000000000021</v>
      </c>
      <c r="AC16" s="6" t="str">
        <f>_xll.IMDH("IR",BOND!$CO15,BOND!$CP15,$O$9,$F$9,10,"Per=일, sort=D, real=true, Bizday=0, Quote=종가,Pos=10,Orient=H,DtFmt=1.TmFmt=1")</f>
        <v>조회[IRSTP1KRW06M]</v>
      </c>
      <c r="AD16" s="6">
        <v>2.7725</v>
      </c>
      <c r="AE16" s="6">
        <v>2.7650000000000001</v>
      </c>
      <c r="AF16" s="6">
        <v>2.7625000000000002</v>
      </c>
      <c r="AG16" s="6">
        <v>2.76</v>
      </c>
      <c r="AH16" s="6">
        <v>2.7675000000000001</v>
      </c>
      <c r="AI16" s="6">
        <v>2.7650000000000001</v>
      </c>
      <c r="AJ16" s="6">
        <v>2.7650000000000001</v>
      </c>
      <c r="AK16" s="6">
        <v>2.76</v>
      </c>
      <c r="AL16" s="6">
        <v>2.7574999999999998</v>
      </c>
      <c r="AM16" s="6">
        <v>2.7450000000000001</v>
      </c>
    </row>
    <row r="17" spans="2:39">
      <c r="B17" s="6" t="str">
        <f>_xll.IMDH("IR",$B$14,$C17,$O$9,$F$9,10,"Per=일, sort=D, real=true, Bizday=0, Quote=종가,Pos=40,Orient=H,DtFmt=1.TmFmt=1")</f>
        <v>조회[BONDAVG01]</v>
      </c>
      <c r="C17" s="6" t="s">
        <v>291</v>
      </c>
      <c r="D17" s="46"/>
      <c r="E17" s="51" t="s">
        <v>250</v>
      </c>
      <c r="F17" s="88">
        <v>2.6320000000000001</v>
      </c>
      <c r="G17" s="89">
        <v>2.6269999999999998</v>
      </c>
      <c r="H17" s="89">
        <v>2.6179999999999999</v>
      </c>
      <c r="I17" s="89">
        <v>2.61</v>
      </c>
      <c r="J17" s="89">
        <v>2.6110000000000002</v>
      </c>
      <c r="K17" s="89">
        <v>2.6059999999999999</v>
      </c>
      <c r="L17" s="89">
        <v>2.6080000000000001</v>
      </c>
      <c r="M17" s="89">
        <v>2.6080000000000001</v>
      </c>
      <c r="N17" s="89">
        <v>2.593</v>
      </c>
      <c r="O17" s="89">
        <v>2.5880000000000001</v>
      </c>
      <c r="P17" s="80">
        <f>IF( INDEX(BOND!$B$2:$CH$13, P$2, MATCH($B$14, BOND!$B$16:$CH$16, 0)+MATCH($C17, BOND!$C$18:$N$18,0) )=0,
"",
INDEX(BOND!$B$2:$CH$13, P$2, MATCH($B$14, BOND!$B$16:$CH$16, 0)+MATCH($C17, BOND!$C$18:$N$18,0)) )</f>
        <v>2.6142500000000002</v>
      </c>
      <c r="Q17" s="80">
        <f>IF( INDEX(BOND!$B$2:$CH$13, Q$2, MATCH($B$14, BOND!$B$16:$CH$16, 0)+MATCH($C17, BOND!$C$18:$N$18,0) )=0,
"",
INDEX(BOND!$B$2:$CH$13, Q$2, MATCH($B$14, BOND!$B$16:$CH$16, 0)+MATCH($C17, BOND!$C$18:$N$18,0)) )</f>
        <v>2.5880000000000001</v>
      </c>
      <c r="R17" s="80">
        <f>IF( INDEX(BOND!$B$2:$CH$13, R$2, MATCH($B$14, BOND!$B$16:$CH$16, 0)+MATCH($C17, BOND!$C$18:$N$18,0) )=0,
"",
INDEX(BOND!$B$2:$CH$13, R$2, MATCH($B$14, BOND!$B$16:$CH$16, 0)+MATCH($C17, BOND!$C$18:$N$18,0)) )</f>
        <v>2.6320000000000001</v>
      </c>
      <c r="S17" s="80">
        <f>IF( INDEX(BOND!$B$2:$CH$13, S$2, MATCH($B$14, BOND!$B$16:$CH$16, 0)+MATCH($C17, BOND!$C$18:$N$18,0) )=0,
"",
INDEX(BOND!$B$2:$CH$13, S$2, MATCH($B$14, BOND!$B$16:$CH$16, 0)+MATCH($C17, BOND!$C$18:$N$18,0)) )</f>
        <v>2.6387833333333335</v>
      </c>
      <c r="T17" s="80">
        <f>IF( INDEX(BOND!$B$2:$CH$13, T$2, MATCH($B$14, BOND!$B$16:$CH$16, 0)+MATCH($C17, BOND!$C$18:$N$18,0) )=0,
"",
INDEX(BOND!$B$2:$CH$13, T$2, MATCH($B$14, BOND!$B$16:$CH$16, 0)+MATCH($C17, BOND!$C$18:$N$18,0)) )</f>
        <v>2.5880000000000001</v>
      </c>
      <c r="U17" s="80">
        <f>IF( INDEX(BOND!$B$2:$CH$13, U$2, MATCH($B$14, BOND!$B$16:$CH$16, 0)+MATCH($C17, BOND!$C$18:$N$18,0) )=0,
"",
INDEX(BOND!$B$2:$CH$13, U$2, MATCH($B$14, BOND!$B$16:$CH$16, 0)+MATCH($C17, BOND!$C$18:$N$18,0)) )</f>
        <v>2.7130000000000001</v>
      </c>
      <c r="V17" s="80">
        <f>IF( INDEX(BOND!$B$2:$CH$13, V$2, MATCH($B$14, BOND!$B$16:$CH$16, 0)+MATCH($C17, BOND!$C$18:$N$18,0) )=0,
"",
INDEX(BOND!$B$2:$CH$13, V$2, MATCH($B$14, BOND!$B$16:$CH$16, 0)+MATCH($C17, BOND!$C$18:$N$18,0)) )</f>
        <v>2.7674999999999992</v>
      </c>
      <c r="W17" s="80">
        <f>IF( INDEX(BOND!$B$2:$CH$13, W$2, MATCH($B$14, BOND!$B$16:$CH$16, 0)+MATCH($C17, BOND!$C$18:$N$18,0) )=0,
"",
INDEX(BOND!$B$2:$CH$13, W$2, MATCH($B$14, BOND!$B$16:$CH$16, 0)+MATCH($C17, BOND!$C$18:$N$18,0)) )</f>
        <v>2.5880000000000001</v>
      </c>
      <c r="X17" s="80">
        <f>IF( INDEX(BOND!$B$2:$CH$13, X$2, MATCH($B$14, BOND!$B$16:$CH$16, 0)+MATCH($C17, BOND!$C$18:$N$18,0) )=0,
"",
INDEX(BOND!$B$2:$CH$13, X$2, MATCH($B$14, BOND!$B$16:$CH$16, 0)+MATCH($C17, BOND!$C$18:$N$18,0)) )</f>
        <v>2.98</v>
      </c>
      <c r="Y17" s="80">
        <f>IF( INDEX(BOND!$B$2:$CH$13, Y$2, MATCH($B$14, BOND!$B$16:$CH$16, 0)+MATCH($C17, BOND!$C$18:$N$18,0) )=0,
"",
INDEX(BOND!$B$2:$CH$13, Y$2, MATCH($B$14, BOND!$B$16:$CH$16, 0)+MATCH($C17, BOND!$C$18:$N$18,0)) )</f>
        <v>3.032528000000001</v>
      </c>
      <c r="Z17" s="80">
        <f>IF( INDEX(BOND!$B$2:$CH$13, Z$2, MATCH($B$14, BOND!$B$16:$CH$16, 0)+MATCH($C17, BOND!$C$18:$N$18,0) )=0,
"",
INDEX(BOND!$B$2:$CH$13, Z$2, MATCH($B$14, BOND!$B$16:$CH$16, 0)+MATCH($C17, BOND!$C$18:$N$18,0)) )</f>
        <v>2.5880000000000001</v>
      </c>
      <c r="AA17" s="80">
        <f>IF( INDEX(BOND!$B$2:$CH$13, AA$2, MATCH($B$14, BOND!$B$16:$CH$16, 0)+MATCH($C17, BOND!$C$18:$N$18,0) )=0,
"",
INDEX(BOND!$B$2:$CH$13, AA$2, MATCH($B$14, BOND!$B$16:$CH$16, 0)+MATCH($C17, BOND!$C$18:$N$18,0)) )</f>
        <v>3.4510000000000001</v>
      </c>
    </row>
    <row r="18" spans="2:39">
      <c r="D18" s="46"/>
      <c r="E18" s="52" t="s">
        <v>267</v>
      </c>
      <c r="F18" s="81">
        <f>IF(F17=0,"",(F17-AD18)*IF($C$7=1,-1,1))</f>
        <v>-8.0499999999999794E-2</v>
      </c>
      <c r="G18" s="82">
        <f>IF(G17=0,"",(G17-AE18)*IF($C$7=1,-1,1))</f>
        <v>-7.5500000000000345E-2</v>
      </c>
      <c r="H18" s="82">
        <f>IF(H17=0,"",(H17-AF18)*IF($C$7=1,-1,1))</f>
        <v>-8.2000000000000295E-2</v>
      </c>
      <c r="I18" s="82">
        <f>IF(I17=0,"",(I17-AG18)*IF($C$7=1,-1,1))</f>
        <v>-8.7499999999999911E-2</v>
      </c>
      <c r="J18" s="82">
        <f>IF(J17=0,"",(J17-AH18)*IF($C$7=1,-1,1))</f>
        <v>-9.3999999999999861E-2</v>
      </c>
      <c r="K18" s="82">
        <f>IF(K17=0,"",(K17-AI18)*IF($C$7=1,-1,1))</f>
        <v>-9.4000000000000306E-2</v>
      </c>
      <c r="L18" s="82">
        <f>IF(L17=0,"",(L17-AJ18)*IF($C$7=1,-1,1))</f>
        <v>-9.2000000000000082E-2</v>
      </c>
      <c r="M18" s="82">
        <f>IF(M17=0,"",(M17-AK18)*IF($C$7=1,-1,1))</f>
        <v>-8.6999999999999744E-2</v>
      </c>
      <c r="N18" s="82">
        <f>IF(N17=0,"",(N17-AL18)*IF($C$7=1,-1,1))</f>
        <v>-9.4500000000000028E-2</v>
      </c>
      <c r="O18" s="82">
        <f>IF(O17=0,"",(O17-AM18)*IF($C$7=1,-1,1))</f>
        <v>-8.4499999999999797E-2</v>
      </c>
      <c r="P18" s="83">
        <f>IF(   P17="", "", (P17 - INDEX(IRS!$B$2:$Y$13, P$2, MATCH($E17,IRS!$B$1:$Y$1, 0)) ) * IF($C$7=1,-1,1)   )</f>
        <v>-8.2749999999998991E-2</v>
      </c>
      <c r="Q18" s="84">
        <f>IF(   Q17="", "", (Q17 - INDEX(IRS!$B$2:$Y$13, Q$2, MATCH($E17,IRS!$B$1:$Y$1, 0)) ) * IF($C$7=1,-1,1)   )</f>
        <v>-8.4499999999999797E-2</v>
      </c>
      <c r="R18" s="85">
        <f>IF(   R17="", "", (R17 - INDEX(IRS!$B$2:$Y$13, R$2, MATCH($E17,IRS!$B$1:$Y$1, 0)) ) * IF($C$7=1,-1,1)   )</f>
        <v>-9.7999999999999865E-2</v>
      </c>
      <c r="S18" s="86">
        <f>IF(   S17="", "", (S17 - INDEX(IRS!$B$2:$Y$13, S$2, MATCH($E17,IRS!$B$1:$Y$1, 0)) ) * IF($C$7=1,-1,1)   )</f>
        <v>-0.14163333333333261</v>
      </c>
      <c r="T18" s="84">
        <f>IF(   T17="", "", (T17 - INDEX(IRS!$B$2:$Y$13, T$2, MATCH($E17,IRS!$B$1:$Y$1, 0)) ) * IF($C$7=1,-1,1)   )</f>
        <v>-8.4499999999999797E-2</v>
      </c>
      <c r="U18" s="87">
        <f>IF(   U17="", "", (U17 - INDEX(IRS!$B$2:$Y$13, U$2, MATCH($E17,IRS!$B$1:$Y$1, 0)) ) * IF($C$7=1,-1,1)   )</f>
        <v>-0.29449999999999976</v>
      </c>
      <c r="V18" s="83">
        <f>IF(   V17="", "", (V17 - INDEX(IRS!$B$2:$Y$13, V$2, MATCH($E17,IRS!$B$1:$Y$1, 0)) ) * IF($C$7=1,-1,1)   )</f>
        <v>-0.18577083333333277</v>
      </c>
      <c r="W18" s="84">
        <f>IF(   W17="", "", (W17 - INDEX(IRS!$B$2:$Y$13, W$2, MATCH($E17,IRS!$B$1:$Y$1, 0)) ) * IF($C$7=1,-1,1)   )</f>
        <v>-8.4499999999999797E-2</v>
      </c>
      <c r="X18" s="85">
        <f>IF(   X17="", "", (X17 - INDEX(IRS!$B$2:$Y$13, X$2, MATCH($E17,IRS!$B$1:$Y$1, 0)) ) * IF($C$7=1,-1,1)   )</f>
        <v>-0.3125</v>
      </c>
      <c r="Y18" s="83">
        <f>IF(   Y17="", "", (Y17 - INDEX(IRS!$B$2:$Y$13, Y$2, MATCH($E17,IRS!$B$1:$Y$1, 0)) ) * IF($C$7=1,-1,1)   )</f>
        <v>-0.18061199999999777</v>
      </c>
      <c r="Z18" s="84">
        <f>IF(   Z17="", "", (Z17 - INDEX(IRS!$B$2:$Y$13, Z$2, MATCH($E17,IRS!$B$1:$Y$1, 0)) ) * IF($C$7=1,-1,1)   )</f>
        <v>-8.4499999999999797E-2</v>
      </c>
      <c r="AA18" s="85">
        <f>IF(   AA17="", "", (AA17 - INDEX(IRS!$B$2:$Y$13, AA$2, MATCH($E17,IRS!$B$1:$Y$1, 0)) ) * IF($C$7=1,-1,1)   )</f>
        <v>-0.15899999999999981</v>
      </c>
      <c r="AC18" s="6" t="str">
        <f>_xll.IMDH("IR",BOND!$CO16,BOND!$CP16,$O$9,$F$9,10,"Per=일, sort=D, real=true, Bizday=0, Quote=종가,Pos=10,Orient=H,DtFmt=1.TmFmt=1")</f>
        <v>조회[IRSTP1KRW09M]</v>
      </c>
      <c r="AD18" s="6">
        <v>2.7124999999999999</v>
      </c>
      <c r="AE18" s="6">
        <v>2.7025000000000001</v>
      </c>
      <c r="AF18" s="6">
        <v>2.7</v>
      </c>
      <c r="AG18" s="6">
        <v>2.6974999999999998</v>
      </c>
      <c r="AH18" s="6">
        <v>2.7050000000000001</v>
      </c>
      <c r="AI18" s="6">
        <v>2.7</v>
      </c>
      <c r="AJ18" s="6">
        <v>2.7</v>
      </c>
      <c r="AK18" s="6">
        <v>2.6949999999999998</v>
      </c>
      <c r="AL18" s="6">
        <v>2.6875</v>
      </c>
      <c r="AM18" s="6">
        <v>2.6724999999999999</v>
      </c>
    </row>
    <row r="19" spans="2:39">
      <c r="B19" s="6" t="str">
        <f>_xll.IMDH("IR",$B$14,$C19,$O$9,$F$9,10,"Per=일, sort=D, real=true, Bizday=0, Quote=종가,Pos=40,Orient=H,DtFmt=1.TmFmt=1")</f>
        <v>조회[BONDAVG01]</v>
      </c>
      <c r="C19" s="6" t="s">
        <v>292</v>
      </c>
      <c r="D19" s="45"/>
      <c r="E19" s="51" t="s">
        <v>251</v>
      </c>
      <c r="F19" s="88">
        <v>2.62</v>
      </c>
      <c r="G19" s="89">
        <v>2.6150000000000002</v>
      </c>
      <c r="H19" s="89">
        <v>2.6019999999999999</v>
      </c>
      <c r="I19" s="89">
        <v>2.59</v>
      </c>
      <c r="J19" s="89">
        <v>2.5910000000000002</v>
      </c>
      <c r="K19" s="89">
        <v>2.5830000000000002</v>
      </c>
      <c r="L19" s="89">
        <v>2.58</v>
      </c>
      <c r="M19" s="89">
        <v>2.5830000000000002</v>
      </c>
      <c r="N19" s="89">
        <v>2.57</v>
      </c>
      <c r="O19" s="89">
        <v>2.5499999999999998</v>
      </c>
      <c r="P19" s="80">
        <f>IF( INDEX(BOND!$B$2:$CH$13, P$2, MATCH($B$14, BOND!$B$16:$CH$16, 0)+MATCH($C19, BOND!$C$18:$N$18,0) )=0,
"",
INDEX(BOND!$B$2:$CH$13, P$2, MATCH($B$14, BOND!$B$16:$CH$16, 0)+MATCH($C19, BOND!$C$18:$N$18,0)) )</f>
        <v>2.5995499999999998</v>
      </c>
      <c r="Q19" s="80">
        <f>IF( INDEX(BOND!$B$2:$CH$13, Q$2, MATCH($B$14, BOND!$B$16:$CH$16, 0)+MATCH($C19, BOND!$C$18:$N$18,0) )=0,
"",
INDEX(BOND!$B$2:$CH$13, Q$2, MATCH($B$14, BOND!$B$16:$CH$16, 0)+MATCH($C19, BOND!$C$18:$N$18,0)) )</f>
        <v>2.5499999999999998</v>
      </c>
      <c r="R19" s="80">
        <f>IF( INDEX(BOND!$B$2:$CH$13, R$2, MATCH($B$14, BOND!$B$16:$CH$16, 0)+MATCH($C19, BOND!$C$18:$N$18,0) )=0,
"",
INDEX(BOND!$B$2:$CH$13, R$2, MATCH($B$14, BOND!$B$16:$CH$16, 0)+MATCH($C19, BOND!$C$18:$N$18,0)) )</f>
        <v>2.6230000000000002</v>
      </c>
      <c r="S19" s="80">
        <f>IF( INDEX(BOND!$B$2:$CH$13, S$2, MATCH($B$14, BOND!$B$16:$CH$16, 0)+MATCH($C19, BOND!$C$18:$N$18,0) )=0,
"",
INDEX(BOND!$B$2:$CH$13, S$2, MATCH($B$14, BOND!$B$16:$CH$16, 0)+MATCH($C19, BOND!$C$18:$N$18,0)) )</f>
        <v>2.6362666666666681</v>
      </c>
      <c r="T19" s="80">
        <f>IF( INDEX(BOND!$B$2:$CH$13, T$2, MATCH($B$14, BOND!$B$16:$CH$16, 0)+MATCH($C19, BOND!$C$18:$N$18,0) )=0,
"",
INDEX(BOND!$B$2:$CH$13, T$2, MATCH($B$14, BOND!$B$16:$CH$16, 0)+MATCH($C19, BOND!$C$18:$N$18,0)) )</f>
        <v>2.5499999999999998</v>
      </c>
      <c r="U19" s="80">
        <f>IF( INDEX(BOND!$B$2:$CH$13, U$2, MATCH($B$14, BOND!$B$16:$CH$16, 0)+MATCH($C19, BOND!$C$18:$N$18,0) )=0,
"",
INDEX(BOND!$B$2:$CH$13, U$2, MATCH($B$14, BOND!$B$16:$CH$16, 0)+MATCH($C19, BOND!$C$18:$N$18,0)) )</f>
        <v>2.7029999999999998</v>
      </c>
      <c r="V19" s="80">
        <f>IF( INDEX(BOND!$B$2:$CH$13, V$2, MATCH($B$14, BOND!$B$16:$CH$16, 0)+MATCH($C19, BOND!$C$18:$N$18,0) )=0,
"",
INDEX(BOND!$B$2:$CH$13, V$2, MATCH($B$14, BOND!$B$16:$CH$16, 0)+MATCH($C19, BOND!$C$18:$N$18,0)) )</f>
        <v>2.7272666666666674</v>
      </c>
      <c r="W19" s="80">
        <f>IF( INDEX(BOND!$B$2:$CH$13, W$2, MATCH($B$14, BOND!$B$16:$CH$16, 0)+MATCH($C19, BOND!$C$18:$N$18,0) )=0,
"",
INDEX(BOND!$B$2:$CH$13, W$2, MATCH($B$14, BOND!$B$16:$CH$16, 0)+MATCH($C19, BOND!$C$18:$N$18,0)) )</f>
        <v>2.5499999999999998</v>
      </c>
      <c r="X19" s="80">
        <f>IF( INDEX(BOND!$B$2:$CH$13, X$2, MATCH($B$14, BOND!$B$16:$CH$16, 0)+MATCH($C19, BOND!$C$18:$N$18,0) )=0,
"",
INDEX(BOND!$B$2:$CH$13, X$2, MATCH($B$14, BOND!$B$16:$CH$16, 0)+MATCH($C19, BOND!$C$18:$N$18,0)) )</f>
        <v>2.903</v>
      </c>
      <c r="Y19" s="80">
        <f>IF( INDEX(BOND!$B$2:$CH$13, Y$2, MATCH($B$14, BOND!$B$16:$CH$16, 0)+MATCH($C19, BOND!$C$18:$N$18,0) )=0,
"",
INDEX(BOND!$B$2:$CH$13, Y$2, MATCH($B$14, BOND!$B$16:$CH$16, 0)+MATCH($C19, BOND!$C$18:$N$18,0)) )</f>
        <v>3.0041880000000027</v>
      </c>
      <c r="Z19" s="80">
        <f>IF( INDEX(BOND!$B$2:$CH$13, Z$2, MATCH($B$14, BOND!$B$16:$CH$16, 0)+MATCH($C19, BOND!$C$18:$N$18,0) )=0,
"",
INDEX(BOND!$B$2:$CH$13, Z$2, MATCH($B$14, BOND!$B$16:$CH$16, 0)+MATCH($C19, BOND!$C$18:$N$18,0)) )</f>
        <v>2.5499999999999998</v>
      </c>
      <c r="AA19" s="80">
        <f>IF( INDEX(BOND!$B$2:$CH$13, AA$2, MATCH($B$14, BOND!$B$16:$CH$16, 0)+MATCH($C19, BOND!$C$18:$N$18,0) )=0,
"",
INDEX(BOND!$B$2:$CH$13, AA$2, MATCH($B$14, BOND!$B$16:$CH$16, 0)+MATCH($C19, BOND!$C$18:$N$18,0)) )</f>
        <v>3.476</v>
      </c>
    </row>
    <row r="20" spans="2:39">
      <c r="D20" s="45"/>
      <c r="E20" s="52" t="s">
        <v>267</v>
      </c>
      <c r="F20" s="81">
        <f>IF(F19=0,"",(F19-AD20)*IF($C$7=1,-1,1))</f>
        <v>-6.0000000000000053E-2</v>
      </c>
      <c r="G20" s="82">
        <f>IF(G19=0,"",(G19-AE20)*IF($C$7=1,-1,1))</f>
        <v>-4.9999999999999822E-2</v>
      </c>
      <c r="H20" s="82">
        <f>IF(H19=0,"",(H19-AF20)*IF($C$7=1,-1,1))</f>
        <v>-6.050000000000022E-2</v>
      </c>
      <c r="I20" s="82">
        <f>IF(I19=0,"",(I19-AG20)*IF($C$7=1,-1,1))</f>
        <v>-7.0000000000000284E-2</v>
      </c>
      <c r="J20" s="82">
        <f>IF(J19=0,"",(J19-AH20)*IF($C$7=1,-1,1))</f>
        <v>-7.649999999999979E-2</v>
      </c>
      <c r="K20" s="82">
        <f>IF(K19=0,"",(K19-AI20)*IF($C$7=1,-1,1))</f>
        <v>-7.6999999999999957E-2</v>
      </c>
      <c r="L20" s="82">
        <f>IF(L19=0,"",(L19-AJ20)*IF($C$7=1,-1,1))</f>
        <v>-8.0000000000000071E-2</v>
      </c>
      <c r="M20" s="82">
        <f>IF(M19=0,"",(M19-AK20)*IF($C$7=1,-1,1))</f>
        <v>-6.9499999999999673E-2</v>
      </c>
      <c r="N20" s="82">
        <f>IF(N19=0,"",(N19-AL20)*IF($C$7=1,-1,1))</f>
        <v>-7.2500000000000231E-2</v>
      </c>
      <c r="O20" s="82">
        <f>IF(O19=0,"",(O19-AM20)*IF($C$7=1,-1,1))</f>
        <v>-7.5000000000000178E-2</v>
      </c>
      <c r="P20" s="83">
        <f>IF(   P19="", "", (P19 - INDEX(IRS!$B$2:$Y$13, P$2, MATCH($E19,IRS!$B$1:$Y$1, 0)) ) * IF($C$7=1,-1,1)   )</f>
        <v>-5.3200000000000358E-2</v>
      </c>
      <c r="Q20" s="84">
        <f>IF(   Q19="", "", (Q19 - INDEX(IRS!$B$2:$Y$13, Q$2, MATCH($E19,IRS!$B$1:$Y$1, 0)) ) * IF($C$7=1,-1,1)   )</f>
        <v>-7.5000000000000178E-2</v>
      </c>
      <c r="R20" s="85">
        <f>IF(   R19="", "", (R19 - INDEX(IRS!$B$2:$Y$13, R$2, MATCH($E19,IRS!$B$1:$Y$1, 0)) ) * IF($C$7=1,-1,1)   )</f>
        <v>-5.699999999999994E-2</v>
      </c>
      <c r="S20" s="86">
        <f>IF(   S19="", "", (S19 - INDEX(IRS!$B$2:$Y$13, S$2, MATCH($E19,IRS!$B$1:$Y$1, 0)) ) * IF($C$7=1,-1,1)   )</f>
        <v>-7.7483333333332016E-2</v>
      </c>
      <c r="T20" s="84">
        <f>IF(   T19="", "", (T19 - INDEX(IRS!$B$2:$Y$13, T$2, MATCH($E19,IRS!$B$1:$Y$1, 0)) ) * IF($C$7=1,-1,1)   )</f>
        <v>-7.5000000000000178E-2</v>
      </c>
      <c r="U20" s="87">
        <f>IF(   U19="", "", (U19 - INDEX(IRS!$B$2:$Y$13, U$2, MATCH($E19,IRS!$B$1:$Y$1, 0)) ) * IF($C$7=1,-1,1)   )</f>
        <v>-0.1745000000000001</v>
      </c>
      <c r="V20" s="83">
        <f>IF(   V19="", "", (V19 - INDEX(IRS!$B$2:$Y$13, V$2, MATCH($E19,IRS!$B$1:$Y$1, 0)) ) * IF($C$7=1,-1,1)   )</f>
        <v>-0.14350416666666499</v>
      </c>
      <c r="W20" s="84">
        <f>IF(   W19="", "", (W19 - INDEX(IRS!$B$2:$Y$13, W$2, MATCH($E19,IRS!$B$1:$Y$1, 0)) ) * IF($C$7=1,-1,1)   )</f>
        <v>-7.5000000000000178E-2</v>
      </c>
      <c r="X20" s="85">
        <f>IF(   X19="", "", (X19 - INDEX(IRS!$B$2:$Y$13, X$2, MATCH($E19,IRS!$B$1:$Y$1, 0)) ) * IF($C$7=1,-1,1)   )</f>
        <v>-0.29449999999999976</v>
      </c>
      <c r="Y20" s="83">
        <f>IF(   Y19="", "", (Y19 - INDEX(IRS!$B$2:$Y$13, Y$2, MATCH($E19,IRS!$B$1:$Y$1, 0)) ) * IF($C$7=1,-1,1)   )</f>
        <v>-0.13848199999999844</v>
      </c>
      <c r="Z20" s="84">
        <f>IF(   Z19="", "", (Z19 - INDEX(IRS!$B$2:$Y$13, Z$2, MATCH($E19,IRS!$B$1:$Y$1, 0)) ) * IF($C$7=1,-1,1)   )</f>
        <v>-7.5000000000000178E-2</v>
      </c>
      <c r="AA20" s="85">
        <f>IF(   AA19="", "", (AA19 - INDEX(IRS!$B$2:$Y$13, AA$2, MATCH($E19,IRS!$B$1:$Y$1, 0)) ) * IF($C$7=1,-1,1)   )</f>
        <v>-0.14400000000000013</v>
      </c>
      <c r="AC20" s="6" t="str">
        <f>_xll.IMDH("IR",BOND!$CO17,BOND!$CP17,$O$9,$F$9,10,"Per=일, sort=D, real=true, Bizday=0, Quote=종가,Pos=10,Orient=H,DtFmt=1.TmFmt=1")</f>
        <v>조회[IRSTP1KRW01Y]</v>
      </c>
      <c r="AD20" s="6">
        <v>2.68</v>
      </c>
      <c r="AE20" s="6">
        <v>2.665</v>
      </c>
      <c r="AF20" s="6">
        <v>2.6625000000000001</v>
      </c>
      <c r="AG20" s="6">
        <v>2.66</v>
      </c>
      <c r="AH20" s="6">
        <v>2.6675</v>
      </c>
      <c r="AI20" s="6">
        <v>2.66</v>
      </c>
      <c r="AJ20" s="6">
        <v>2.66</v>
      </c>
      <c r="AK20" s="6">
        <v>2.6524999999999999</v>
      </c>
      <c r="AL20" s="6">
        <v>2.6425000000000001</v>
      </c>
      <c r="AM20" s="6">
        <v>2.625</v>
      </c>
    </row>
    <row r="21" spans="2:39">
      <c r="B21" s="6" t="str">
        <f>_xll.IMDH("IR",$B$14,$C21,$O$9,$F$9,10,"Per=일, sort=D, real=true, Bizday=0, Quote=종가,Pos=40,Orient=H,DtFmt=1.TmFmt=1")</f>
        <v>조회[BONDAVG01]</v>
      </c>
      <c r="C21" s="6" t="s">
        <v>295</v>
      </c>
      <c r="D21" s="45"/>
      <c r="E21" s="51" t="s">
        <v>252</v>
      </c>
      <c r="F21" s="88">
        <v>2.6890000000000001</v>
      </c>
      <c r="G21" s="89">
        <v>2.6840000000000002</v>
      </c>
      <c r="H21" s="89">
        <v>2.673</v>
      </c>
      <c r="I21" s="89">
        <v>2.669</v>
      </c>
      <c r="J21" s="89">
        <v>2.6760000000000002</v>
      </c>
      <c r="K21" s="89">
        <v>2.657</v>
      </c>
      <c r="L21" s="89">
        <v>2.6640000000000001</v>
      </c>
      <c r="M21" s="89">
        <v>2.6659999999999999</v>
      </c>
      <c r="N21" s="89">
        <v>2.6579999999999999</v>
      </c>
      <c r="O21" s="89">
        <v>2.65</v>
      </c>
      <c r="P21" s="80">
        <f>IF( INDEX(BOND!$B$2:$CH$13, P$2, MATCH($B$14, BOND!$B$16:$CH$16, 0)+MATCH($C21, BOND!$C$18:$N$18,0) )=0,
"",
INDEX(BOND!$B$2:$CH$13, P$2, MATCH($B$14, BOND!$B$16:$CH$16, 0)+MATCH($C21, BOND!$C$18:$N$18,0)) )</f>
        <v>2.6629500000000004</v>
      </c>
      <c r="Q21" s="80">
        <f>IF( INDEX(BOND!$B$2:$CH$13, Q$2, MATCH($B$14, BOND!$B$16:$CH$16, 0)+MATCH($C21, BOND!$C$18:$N$18,0) )=0,
"",
INDEX(BOND!$B$2:$CH$13, Q$2, MATCH($B$14, BOND!$B$16:$CH$16, 0)+MATCH($C21, BOND!$C$18:$N$18,0)) )</f>
        <v>2.637</v>
      </c>
      <c r="R21" s="80">
        <f>IF( INDEX(BOND!$B$2:$CH$13, R$2, MATCH($B$14, BOND!$B$16:$CH$16, 0)+MATCH($C21, BOND!$C$18:$N$18,0) )=0,
"",
INDEX(BOND!$B$2:$CH$13, R$2, MATCH($B$14, BOND!$B$16:$CH$16, 0)+MATCH($C21, BOND!$C$18:$N$18,0)) )</f>
        <v>2.694</v>
      </c>
      <c r="S21" s="80">
        <f>IF( INDEX(BOND!$B$2:$CH$13, S$2, MATCH($B$14, BOND!$B$16:$CH$16, 0)+MATCH($C21, BOND!$C$18:$N$18,0) )=0,
"",
INDEX(BOND!$B$2:$CH$13, S$2, MATCH($B$14, BOND!$B$16:$CH$16, 0)+MATCH($C21, BOND!$C$18:$N$18,0)) )</f>
        <v>2.6728499999999999</v>
      </c>
      <c r="T21" s="80">
        <f>IF( INDEX(BOND!$B$2:$CH$13, T$2, MATCH($B$14, BOND!$B$16:$CH$16, 0)+MATCH($C21, BOND!$C$18:$N$18,0) )=0,
"",
INDEX(BOND!$B$2:$CH$13, T$2, MATCH($B$14, BOND!$B$16:$CH$16, 0)+MATCH($C21, BOND!$C$18:$N$18,0)) )</f>
        <v>2.621</v>
      </c>
      <c r="U21" s="80">
        <f>IF( INDEX(BOND!$B$2:$CH$13, U$2, MATCH($B$14, BOND!$B$16:$CH$16, 0)+MATCH($C21, BOND!$C$18:$N$18,0) )=0,
"",
INDEX(BOND!$B$2:$CH$13, U$2, MATCH($B$14, BOND!$B$16:$CH$16, 0)+MATCH($C21, BOND!$C$18:$N$18,0)) )</f>
        <v>2.7810000000000001</v>
      </c>
      <c r="V21" s="80">
        <f>IF( INDEX(BOND!$B$2:$CH$13, V$2, MATCH($B$14, BOND!$B$16:$CH$16, 0)+MATCH($C21, BOND!$C$18:$N$18,0) )=0,
"",
INDEX(BOND!$B$2:$CH$13, V$2, MATCH($B$14, BOND!$B$16:$CH$16, 0)+MATCH($C21, BOND!$C$18:$N$18,0)) )</f>
        <v>2.7657999999999987</v>
      </c>
      <c r="W21" s="80">
        <f>IF( INDEX(BOND!$B$2:$CH$13, W$2, MATCH($B$14, BOND!$B$16:$CH$16, 0)+MATCH($C21, BOND!$C$18:$N$18,0) )=0,
"",
INDEX(BOND!$B$2:$CH$13, W$2, MATCH($B$14, BOND!$B$16:$CH$16, 0)+MATCH($C21, BOND!$C$18:$N$18,0)) )</f>
        <v>2.621</v>
      </c>
      <c r="X21" s="80">
        <f>IF( INDEX(BOND!$B$2:$CH$13, X$2, MATCH($B$14, BOND!$B$16:$CH$16, 0)+MATCH($C21, BOND!$C$18:$N$18,0) )=0,
"",
INDEX(BOND!$B$2:$CH$13, X$2, MATCH($B$14, BOND!$B$16:$CH$16, 0)+MATCH($C21, BOND!$C$18:$N$18,0)) )</f>
        <v>2.9950000000000001</v>
      </c>
      <c r="Y21" s="80">
        <f>IF( INDEX(BOND!$B$2:$CH$13, Y$2, MATCH($B$14, BOND!$B$16:$CH$16, 0)+MATCH($C21, BOND!$C$18:$N$18,0) )=0,
"",
INDEX(BOND!$B$2:$CH$13, Y$2, MATCH($B$14, BOND!$B$16:$CH$16, 0)+MATCH($C21, BOND!$C$18:$N$18,0)) )</f>
        <v>3.021183999999999</v>
      </c>
      <c r="Z21" s="80">
        <f>IF( INDEX(BOND!$B$2:$CH$13, Z$2, MATCH($B$14, BOND!$B$16:$CH$16, 0)+MATCH($C21, BOND!$C$18:$N$18,0) )=0,
"",
INDEX(BOND!$B$2:$CH$13, Z$2, MATCH($B$14, BOND!$B$16:$CH$16, 0)+MATCH($C21, BOND!$C$18:$N$18,0)) )</f>
        <v>2.621</v>
      </c>
      <c r="AA21" s="80">
        <f>IF( INDEX(BOND!$B$2:$CH$13, AA$2, MATCH($B$14, BOND!$B$16:$CH$16, 0)+MATCH($C21, BOND!$C$18:$N$18,0) )=0,
"",
INDEX(BOND!$B$2:$CH$13, AA$2, MATCH($B$14, BOND!$B$16:$CH$16, 0)+MATCH($C21, BOND!$C$18:$N$18,0)) )</f>
        <v>3.4820000000000002</v>
      </c>
    </row>
    <row r="22" spans="2:39">
      <c r="D22" s="45"/>
      <c r="E22" s="52" t="s">
        <v>267</v>
      </c>
      <c r="F22" s="81">
        <f>IF(F21=0,"",(F21-AD22)*IF($C$7=1,-1,1))</f>
        <v>5.400000000000027E-2</v>
      </c>
      <c r="G22" s="82">
        <f>IF(G21=0,"",(G21-AE22)*IF($C$7=1,-1,1))</f>
        <v>6.150000000000011E-2</v>
      </c>
      <c r="H22" s="82">
        <f>IF(H21=0,"",(H21-AF22)*IF($C$7=1,-1,1))</f>
        <v>5.7999999999999829E-2</v>
      </c>
      <c r="I22" s="82">
        <f>IF(I21=0,"",(I21-AG22)*IF($C$7=1,-1,1))</f>
        <v>5.9000000000000163E-2</v>
      </c>
      <c r="J22" s="82">
        <f>IF(J21=0,"",(J21-AH22)*IF($C$7=1,-1,1))</f>
        <v>5.600000000000005E-2</v>
      </c>
      <c r="K22" s="82">
        <f>IF(K21=0,"",(K21-AI22)*IF($C$7=1,-1,1))</f>
        <v>4.7000000000000153E-2</v>
      </c>
      <c r="L22" s="82">
        <f>IF(L21=0,"",(L21-AJ22)*IF($C$7=1,-1,1))</f>
        <v>5.400000000000027E-2</v>
      </c>
      <c r="M22" s="82">
        <f>IF(M21=0,"",(M21-AK22)*IF($C$7=1,-1,1))</f>
        <v>6.0999999999999943E-2</v>
      </c>
      <c r="N22" s="82">
        <f>IF(N21=0,"",(N21-AL22)*IF($C$7=1,-1,1))</f>
        <v>6.800000000000006E-2</v>
      </c>
      <c r="O22" s="82">
        <f>IF(O21=0,"",(O21-AM22)*IF($C$7=1,-1,1))</f>
        <v>7.7500000000000124E-2</v>
      </c>
      <c r="P22" s="83">
        <f>IF(   P21="", "", (P21 - INDEX(IRS!$B$2:$Y$13, P$2, MATCH($E21,IRS!$B$1:$Y$1, 0)) ) * IF($C$7=1,-1,1)   )</f>
        <v>5.6200000000000916E-2</v>
      </c>
      <c r="Q22" s="84">
        <f>IF(   Q21="", "", (Q21 - INDEX(IRS!$B$2:$Y$13, Q$2, MATCH($E21,IRS!$B$1:$Y$1, 0)) ) * IF($C$7=1,-1,1)   )</f>
        <v>6.4500000000000224E-2</v>
      </c>
      <c r="R22" s="85">
        <f>IF(   R21="", "", (R21 - INDEX(IRS!$B$2:$Y$13, R$2, MATCH($E21,IRS!$B$1:$Y$1, 0)) ) * IF($C$7=1,-1,1)   )</f>
        <v>5.9000000000000163E-2</v>
      </c>
      <c r="S22" s="86">
        <f>IF(   S21="", "", (S21 - INDEX(IRS!$B$2:$Y$13, S$2, MATCH($E21,IRS!$B$1:$Y$1, 0)) ) * IF($C$7=1,-1,1)   )</f>
        <v>1.5850000000000808E-2</v>
      </c>
      <c r="T22" s="84">
        <f>IF(   T21="", "", (T21 - INDEX(IRS!$B$2:$Y$13, T$2, MATCH($E21,IRS!$B$1:$Y$1, 0)) ) * IF($C$7=1,-1,1)   )</f>
        <v>4.850000000000021E-2</v>
      </c>
      <c r="U22" s="87">
        <f>IF(   U21="", "", (U21 - INDEX(IRS!$B$2:$Y$13, U$2, MATCH($E21,IRS!$B$1:$Y$1, 0)) ) * IF($C$7=1,-1,1)   )</f>
        <v>-2.1500000000000075E-2</v>
      </c>
      <c r="V22" s="83">
        <f>IF(   V21="", "", (V21 - INDEX(IRS!$B$2:$Y$13, V$2, MATCH($E21,IRS!$B$1:$Y$1, 0)) ) * IF($C$7=1,-1,1)   )</f>
        <v>-2.4804166666667626E-2</v>
      </c>
      <c r="W22" s="84">
        <f>IF(   W21="", "", (W21 - INDEX(IRS!$B$2:$Y$13, W$2, MATCH($E21,IRS!$B$1:$Y$1, 0)) ) * IF($C$7=1,-1,1)   )</f>
        <v>4.850000000000021E-2</v>
      </c>
      <c r="X22" s="85">
        <f>IF(   X21="", "", (X21 - INDEX(IRS!$B$2:$Y$13, X$2, MATCH($E21,IRS!$B$1:$Y$1, 0)) ) * IF($C$7=1,-1,1)   )</f>
        <v>-0.10499999999999998</v>
      </c>
      <c r="Y22" s="83">
        <f>IF(   Y21="", "", (Y21 - INDEX(IRS!$B$2:$Y$13, Y$2, MATCH($E21,IRS!$B$1:$Y$1, 0)) ) * IF($C$7=1,-1,1)   )</f>
        <v>-4.0646000000001958E-2</v>
      </c>
      <c r="Z22" s="84">
        <f>IF(   Z21="", "", (Z21 - INDEX(IRS!$B$2:$Y$13, Z$2, MATCH($E21,IRS!$B$1:$Y$1, 0)) ) * IF($C$7=1,-1,1)   )</f>
        <v>4.850000000000021E-2</v>
      </c>
      <c r="AA22" s="85">
        <f>IF(   AA21="", "", (AA21 - INDEX(IRS!$B$2:$Y$13, AA$2, MATCH($E21,IRS!$B$1:$Y$1, 0)) ) * IF($C$7=1,-1,1)   )</f>
        <v>-0.11799999999999988</v>
      </c>
      <c r="AC22" s="6" t="str">
        <f>_xll.IMDH("IR",BOND!$CO18,BOND!$CP18,$O$9,$F$9,10,"Per=일, sort=D, real=true, Bizday=0, Quote=종가,Pos=10,Orient=H,DtFmt=1.TmFmt=1")</f>
        <v>조회[IRSTP1KRW18M]</v>
      </c>
      <c r="AD22" s="6">
        <v>2.6349999999999998</v>
      </c>
      <c r="AE22" s="6">
        <v>2.6225000000000001</v>
      </c>
      <c r="AF22" s="6">
        <v>2.6150000000000002</v>
      </c>
      <c r="AG22" s="6">
        <v>2.61</v>
      </c>
      <c r="AH22" s="6">
        <v>2.62</v>
      </c>
      <c r="AI22" s="6">
        <v>2.61</v>
      </c>
      <c r="AJ22" s="6">
        <v>2.61</v>
      </c>
      <c r="AK22" s="6">
        <v>2.605</v>
      </c>
      <c r="AL22" s="6">
        <v>2.59</v>
      </c>
      <c r="AM22" s="6">
        <v>2.5724999999999998</v>
      </c>
    </row>
    <row r="23" spans="2:39">
      <c r="B23" s="6" t="str">
        <f>_xll.IMDH("IR",$B$14,$C23,$O$9,$F$9,10,"Per=일, sort=D, real=true, Bizday=0, Quote=종가,Pos=40,Orient=H,DtFmt=1.TmFmt=1")</f>
        <v>조회[BONDAVG01]</v>
      </c>
      <c r="C23" s="6" t="s">
        <v>296</v>
      </c>
      <c r="D23" s="45"/>
      <c r="E23" s="51" t="s">
        <v>253</v>
      </c>
      <c r="F23" s="88">
        <v>2.677</v>
      </c>
      <c r="G23" s="89">
        <v>2.6709999999999998</v>
      </c>
      <c r="H23" s="89">
        <v>2.6640000000000001</v>
      </c>
      <c r="I23" s="89">
        <v>2.657</v>
      </c>
      <c r="J23" s="89">
        <v>2.6739999999999999</v>
      </c>
      <c r="K23" s="89">
        <v>2.6640000000000001</v>
      </c>
      <c r="L23" s="89">
        <v>2.665</v>
      </c>
      <c r="M23" s="89">
        <v>2.6539999999999999</v>
      </c>
      <c r="N23" s="89">
        <v>2.64</v>
      </c>
      <c r="O23" s="89">
        <v>2.625</v>
      </c>
      <c r="P23" s="80">
        <f>IF( INDEX(BOND!$B$2:$CH$13, P$2, MATCH($B$14, BOND!$B$16:$CH$16, 0)+MATCH($C23, BOND!$C$18:$N$18,0) )=0,
"",
INDEX(BOND!$B$2:$CH$13, P$2, MATCH($B$14, BOND!$B$16:$CH$16, 0)+MATCH($C23, BOND!$C$18:$N$18,0)) )</f>
        <v>2.6610500000000004</v>
      </c>
      <c r="Q23" s="80">
        <f>IF( INDEX(BOND!$B$2:$CH$13, Q$2, MATCH($B$14, BOND!$B$16:$CH$16, 0)+MATCH($C23, BOND!$C$18:$N$18,0) )=0,
"",
INDEX(BOND!$B$2:$CH$13, Q$2, MATCH($B$14, BOND!$B$16:$CH$16, 0)+MATCH($C23, BOND!$C$18:$N$18,0)) )</f>
        <v>2.625</v>
      </c>
      <c r="R23" s="80">
        <f>IF( INDEX(BOND!$B$2:$CH$13, R$2, MATCH($B$14, BOND!$B$16:$CH$16, 0)+MATCH($C23, BOND!$C$18:$N$18,0) )=0,
"",
INDEX(BOND!$B$2:$CH$13, R$2, MATCH($B$14, BOND!$B$16:$CH$16, 0)+MATCH($C23, BOND!$C$18:$N$18,0)) )</f>
        <v>2.6960000000000002</v>
      </c>
      <c r="S23" s="80">
        <f>IF( INDEX(BOND!$B$2:$CH$13, S$2, MATCH($B$14, BOND!$B$16:$CH$16, 0)+MATCH($C23, BOND!$C$18:$N$18,0) )=0,
"",
INDEX(BOND!$B$2:$CH$13, S$2, MATCH($B$14, BOND!$B$16:$CH$16, 0)+MATCH($C23, BOND!$C$18:$N$18,0)) )</f>
        <v>2.6796666666666664</v>
      </c>
      <c r="T23" s="80">
        <f>IF( INDEX(BOND!$B$2:$CH$13, T$2, MATCH($B$14, BOND!$B$16:$CH$16, 0)+MATCH($C23, BOND!$C$18:$N$18,0) )=0,
"",
INDEX(BOND!$B$2:$CH$13, T$2, MATCH($B$14, BOND!$B$16:$CH$16, 0)+MATCH($C23, BOND!$C$18:$N$18,0)) )</f>
        <v>2.62</v>
      </c>
      <c r="U23" s="80">
        <f>IF( INDEX(BOND!$B$2:$CH$13, U$2, MATCH($B$14, BOND!$B$16:$CH$16, 0)+MATCH($C23, BOND!$C$18:$N$18,0) )=0,
"",
INDEX(BOND!$B$2:$CH$13, U$2, MATCH($B$14, BOND!$B$16:$CH$16, 0)+MATCH($C23, BOND!$C$18:$N$18,0)) )</f>
        <v>2.7970000000000002</v>
      </c>
      <c r="V23" s="80">
        <f>IF( INDEX(BOND!$B$2:$CH$13, V$2, MATCH($B$14, BOND!$B$16:$CH$16, 0)+MATCH($C23, BOND!$C$18:$N$18,0) )=0,
"",
INDEX(BOND!$B$2:$CH$13, V$2, MATCH($B$14, BOND!$B$16:$CH$16, 0)+MATCH($C23, BOND!$C$18:$N$18,0)) )</f>
        <v>2.7616166666666664</v>
      </c>
      <c r="W23" s="80">
        <f>IF( INDEX(BOND!$B$2:$CH$13, W$2, MATCH($B$14, BOND!$B$16:$CH$16, 0)+MATCH($C23, BOND!$C$18:$N$18,0) )=0,
"",
INDEX(BOND!$B$2:$CH$13, W$2, MATCH($B$14, BOND!$B$16:$CH$16, 0)+MATCH($C23, BOND!$C$18:$N$18,0)) )</f>
        <v>2.62</v>
      </c>
      <c r="X23" s="80">
        <f>IF( INDEX(BOND!$B$2:$CH$13, X$2, MATCH($B$14, BOND!$B$16:$CH$16, 0)+MATCH($C23, BOND!$C$18:$N$18,0) )=0,
"",
INDEX(BOND!$B$2:$CH$13, X$2, MATCH($B$14, BOND!$B$16:$CH$16, 0)+MATCH($C23, BOND!$C$18:$N$18,0)) )</f>
        <v>2.98</v>
      </c>
      <c r="Y23" s="80">
        <f>IF( INDEX(BOND!$B$2:$CH$13, Y$2, MATCH($B$14, BOND!$B$16:$CH$16, 0)+MATCH($C23, BOND!$C$18:$N$18,0) )=0,
"",
INDEX(BOND!$B$2:$CH$13, Y$2, MATCH($B$14, BOND!$B$16:$CH$16, 0)+MATCH($C23, BOND!$C$18:$N$18,0)) )</f>
        <v>3.0138319999999981</v>
      </c>
      <c r="Z23" s="80">
        <f>IF( INDEX(BOND!$B$2:$CH$13, Z$2, MATCH($B$14, BOND!$B$16:$CH$16, 0)+MATCH($C23, BOND!$C$18:$N$18,0) )=0,
"",
INDEX(BOND!$B$2:$CH$13, Z$2, MATCH($B$14, BOND!$B$16:$CH$16, 0)+MATCH($C23, BOND!$C$18:$N$18,0)) )</f>
        <v>2.62</v>
      </c>
      <c r="AA23" s="80">
        <f>IF( INDEX(BOND!$B$2:$CH$13, AA$2, MATCH($B$14, BOND!$B$16:$CH$16, 0)+MATCH($C23, BOND!$C$18:$N$18,0) )=0,
"",
INDEX(BOND!$B$2:$CH$13, AA$2, MATCH($B$14, BOND!$B$16:$CH$16, 0)+MATCH($C23, BOND!$C$18:$N$18,0)) )</f>
        <v>3.5249999999999999</v>
      </c>
    </row>
    <row r="24" spans="2:39">
      <c r="D24" s="45"/>
      <c r="E24" s="52" t="s">
        <v>267</v>
      </c>
      <c r="F24" s="81">
        <f>IF(F23=0,"",(F23-AD24)*IF($C$7=1,-1,1))</f>
        <v>6.7000000000000171E-2</v>
      </c>
      <c r="G24" s="82">
        <f>IF(G23=0,"",(G23-AE24)*IF($C$7=1,-1,1))</f>
        <v>7.3499999999999677E-2</v>
      </c>
      <c r="H24" s="82">
        <f>IF(H23=0,"",(H23-AF24)*IF($C$7=1,-1,1))</f>
        <v>7.6500000000000234E-2</v>
      </c>
      <c r="I24" s="82">
        <f>IF(I23=0,"",(I23-AG24)*IF($C$7=1,-1,1))</f>
        <v>7.9499999999999904E-2</v>
      </c>
      <c r="J24" s="82">
        <f>IF(J23=0,"",(J23-AH24)*IF($C$7=1,-1,1))</f>
        <v>8.8999999999999968E-2</v>
      </c>
      <c r="K24" s="82">
        <f>IF(K23=0,"",(K23-AI24)*IF($C$7=1,-1,1))</f>
        <v>9.4000000000000306E-2</v>
      </c>
      <c r="L24" s="82">
        <f>IF(L23=0,"",(L23-AJ24)*IF($C$7=1,-1,1))</f>
        <v>9.5000000000000195E-2</v>
      </c>
      <c r="M24" s="82">
        <f>IF(M23=0,"",(M23-AK24)*IF($C$7=1,-1,1))</f>
        <v>8.6500000000000021E-2</v>
      </c>
      <c r="N24" s="82">
        <f>IF(N23=0,"",(N23-AL24)*IF($C$7=1,-1,1))</f>
        <v>9.2500000000000249E-2</v>
      </c>
      <c r="O24" s="82">
        <f>IF(O23=0,"",(O23-AM24)*IF($C$7=1,-1,1))</f>
        <v>9.5000000000000195E-2</v>
      </c>
      <c r="P24" s="83">
        <f>IF(   P23="", "", (P23 - INDEX(IRS!$B$2:$Y$13, P$2, MATCH($E23,IRS!$B$1:$Y$1, 0)) ) * IF($C$7=1,-1,1)   )</f>
        <v>8.6550000000000349E-2</v>
      </c>
      <c r="Q24" s="84">
        <f>IF(   Q23="", "", (Q23 - INDEX(IRS!$B$2:$Y$13, Q$2, MATCH($E23,IRS!$B$1:$Y$1, 0)) ) * IF($C$7=1,-1,1)   )</f>
        <v>9.5000000000000195E-2</v>
      </c>
      <c r="R24" s="85">
        <f>IF(   R23="", "", (R23 - INDEX(IRS!$B$2:$Y$13, R$2, MATCH($E23,IRS!$B$1:$Y$1, 0)) ) * IF($C$7=1,-1,1)   )</f>
        <v>8.6000000000000298E-2</v>
      </c>
      <c r="S24" s="86">
        <f>IF(   S23="", "", (S23 - INDEX(IRS!$B$2:$Y$13, S$2, MATCH($E23,IRS!$B$1:$Y$1, 0)) ) * IF($C$7=1,-1,1)   )</f>
        <v>5.3958333333333108E-2</v>
      </c>
      <c r="T24" s="84">
        <f>IF(   T23="", "", (T23 - INDEX(IRS!$B$2:$Y$13, T$2, MATCH($E23,IRS!$B$1:$Y$1, 0)) ) * IF($C$7=1,-1,1)   )</f>
        <v>9.0000000000000302E-2</v>
      </c>
      <c r="U24" s="87">
        <f>IF(   U23="", "", (U23 - INDEX(IRS!$B$2:$Y$13, U$2, MATCH($E23,IRS!$B$1:$Y$1, 0)) ) * IF($C$7=1,-1,1)   )</f>
        <v>2.2000000000000242E-2</v>
      </c>
      <c r="V24" s="83">
        <f>IF(   V23="", "", (V23 - INDEX(IRS!$B$2:$Y$13, V$2, MATCH($E23,IRS!$B$1:$Y$1, 0)) ) * IF($C$7=1,-1,1)   )</f>
        <v>1.292916666666688E-2</v>
      </c>
      <c r="W24" s="84">
        <f>IF(   W23="", "", (W23 - INDEX(IRS!$B$2:$Y$13, W$2, MATCH($E23,IRS!$B$1:$Y$1, 0)) ) * IF($C$7=1,-1,1)   )</f>
        <v>9.0000000000000302E-2</v>
      </c>
      <c r="X24" s="85">
        <f>IF(   X23="", "", (X23 - INDEX(IRS!$B$2:$Y$13, X$2, MATCH($E23,IRS!$B$1:$Y$1, 0)) ) * IF($C$7=1,-1,1)   )</f>
        <v>-6.999999999999984E-2</v>
      </c>
      <c r="Y24" s="83">
        <f>IF(   Y23="", "", (Y23 - INDEX(IRS!$B$2:$Y$13, Y$2, MATCH($E23,IRS!$B$1:$Y$1, 0)) ) * IF($C$7=1,-1,1)   )</f>
        <v>4.1119999999970069E-3</v>
      </c>
      <c r="Z24" s="84">
        <f>IF(   Z23="", "", (Z23 - INDEX(IRS!$B$2:$Y$13, Z$2, MATCH($E23,IRS!$B$1:$Y$1, 0)) ) * IF($C$7=1,-1,1)   )</f>
        <v>9.0000000000000302E-2</v>
      </c>
      <c r="AA24" s="85">
        <f>IF(   AA23="", "", (AA23 - INDEX(IRS!$B$2:$Y$13, AA$2, MATCH($E23,IRS!$B$1:$Y$1, 0)) ) * IF($C$7=1,-1,1)   )</f>
        <v>-5.500000000000016E-2</v>
      </c>
      <c r="AC24" s="6" t="str">
        <f>_xll.IMDH("IR",BOND!$CO19,BOND!$CP19,$O$9,$F$9,10,"Per=일, sort=D, real=true, Bizday=0, Quote=종가,Pos=10,Orient=H,DtFmt=1.TmFmt=1")</f>
        <v>조회[IRSTP1KRW02Y]</v>
      </c>
      <c r="AD24" s="6">
        <v>2.61</v>
      </c>
      <c r="AE24" s="6">
        <v>2.5975000000000001</v>
      </c>
      <c r="AF24" s="6">
        <v>2.5874999999999999</v>
      </c>
      <c r="AG24" s="6">
        <v>2.5775000000000001</v>
      </c>
      <c r="AH24" s="6">
        <v>2.585</v>
      </c>
      <c r="AI24" s="6">
        <v>2.57</v>
      </c>
      <c r="AJ24" s="6">
        <v>2.57</v>
      </c>
      <c r="AK24" s="6">
        <v>2.5674999999999999</v>
      </c>
      <c r="AL24" s="6">
        <v>2.5474999999999999</v>
      </c>
      <c r="AM24" s="6">
        <v>2.5299999999999998</v>
      </c>
    </row>
    <row r="25" spans="2:39">
      <c r="B25" s="6" t="str">
        <f>_xll.IMDH("IR",$B$14,$C25,$O$9,$F$9,10,"Per=일, sort=D, real=true, Bizday=0, Quote=종가,Pos=40,Orient=H,DtFmt=1.TmFmt=1")</f>
        <v>조회[BONDAVG01]</v>
      </c>
      <c r="C25" s="6" t="s">
        <v>230</v>
      </c>
      <c r="D25" s="45"/>
      <c r="E25" s="51" t="s">
        <v>254</v>
      </c>
      <c r="F25" s="88">
        <v>2.605</v>
      </c>
      <c r="G25" s="89">
        <v>2.597</v>
      </c>
      <c r="H25" s="89">
        <v>2.59</v>
      </c>
      <c r="I25" s="89">
        <v>2.597</v>
      </c>
      <c r="J25" s="89">
        <v>2.6160000000000001</v>
      </c>
      <c r="K25" s="89">
        <v>2.6</v>
      </c>
      <c r="L25" s="89">
        <v>2.597</v>
      </c>
      <c r="M25" s="89">
        <v>2.5870000000000002</v>
      </c>
      <c r="N25" s="89">
        <v>2.5670000000000002</v>
      </c>
      <c r="O25" s="89">
        <v>2.5449999999999999</v>
      </c>
      <c r="P25" s="80">
        <f>IF( INDEX(BOND!$B$2:$CH$13, P$2, MATCH($B$14, BOND!$B$16:$CH$16, 0)+MATCH($C25, BOND!$C$18:$N$18,0) )=0,
"",
INDEX(BOND!$B$2:$CH$13, P$2, MATCH($B$14, BOND!$B$16:$CH$16, 0)+MATCH($C25, BOND!$C$18:$N$18,0)) )</f>
        <v>2.58345</v>
      </c>
      <c r="Q25" s="80">
        <f>IF( INDEX(BOND!$B$2:$CH$13, Q$2, MATCH($B$14, BOND!$B$16:$CH$16, 0)+MATCH($C25, BOND!$C$18:$N$18,0) )=0,
"",
INDEX(BOND!$B$2:$CH$13, Q$2, MATCH($B$14, BOND!$B$16:$CH$16, 0)+MATCH($C25, BOND!$C$18:$N$18,0)) )</f>
        <v>2.5419999999999998</v>
      </c>
      <c r="R25" s="80">
        <f>IF( INDEX(BOND!$B$2:$CH$13, R$2, MATCH($B$14, BOND!$B$16:$CH$16, 0)+MATCH($C25, BOND!$C$18:$N$18,0) )=0,
"",
INDEX(BOND!$B$2:$CH$13, R$2, MATCH($B$14, BOND!$B$16:$CH$16, 0)+MATCH($C25, BOND!$C$18:$N$18,0)) )</f>
        <v>2.6160000000000001</v>
      </c>
      <c r="S25" s="80">
        <f>IF( INDEX(BOND!$B$2:$CH$13, S$2, MATCH($B$14, BOND!$B$16:$CH$16, 0)+MATCH($C25, BOND!$C$18:$N$18,0) )=0,
"",
INDEX(BOND!$B$2:$CH$13, S$2, MATCH($B$14, BOND!$B$16:$CH$16, 0)+MATCH($C25, BOND!$C$18:$N$18,0)) )</f>
        <v>2.5910833333333327</v>
      </c>
      <c r="T25" s="80">
        <f>IF( INDEX(BOND!$B$2:$CH$13, T$2, MATCH($B$14, BOND!$B$16:$CH$16, 0)+MATCH($C25, BOND!$C$18:$N$18,0) )=0,
"",
INDEX(BOND!$B$2:$CH$13, T$2, MATCH($B$14, BOND!$B$16:$CH$16, 0)+MATCH($C25, BOND!$C$18:$N$18,0)) )</f>
        <v>2.4700000000000002</v>
      </c>
      <c r="U25" s="80">
        <f>IF( INDEX(BOND!$B$2:$CH$13, U$2, MATCH($B$14, BOND!$B$16:$CH$16, 0)+MATCH($C25, BOND!$C$18:$N$18,0) )=0,
"",
INDEX(BOND!$B$2:$CH$13, U$2, MATCH($B$14, BOND!$B$16:$CH$16, 0)+MATCH($C25, BOND!$C$18:$N$18,0)) )</f>
        <v>2.68</v>
      </c>
      <c r="V25" s="80">
        <f>IF( INDEX(BOND!$B$2:$CH$13, V$2, MATCH($B$14, BOND!$B$16:$CH$16, 0)+MATCH($C25, BOND!$C$18:$N$18,0) )=0,
"",
INDEX(BOND!$B$2:$CH$13, V$2, MATCH($B$14, BOND!$B$16:$CH$16, 0)+MATCH($C25, BOND!$C$18:$N$18,0)) )</f>
        <v>2.6963916666666661</v>
      </c>
      <c r="W25" s="80">
        <f>IF( INDEX(BOND!$B$2:$CH$13, W$2, MATCH($B$14, BOND!$B$16:$CH$16, 0)+MATCH($C25, BOND!$C$18:$N$18,0) )=0,
"",
INDEX(BOND!$B$2:$CH$13, W$2, MATCH($B$14, BOND!$B$16:$CH$16, 0)+MATCH($C25, BOND!$C$18:$N$18,0)) )</f>
        <v>2.4700000000000002</v>
      </c>
      <c r="X25" s="80">
        <f>IF( INDEX(BOND!$B$2:$CH$13, X$2, MATCH($B$14, BOND!$B$16:$CH$16, 0)+MATCH($C25, BOND!$C$18:$N$18,0) )=0,
"",
INDEX(BOND!$B$2:$CH$13, X$2, MATCH($B$14, BOND!$B$16:$CH$16, 0)+MATCH($C25, BOND!$C$18:$N$18,0)) )</f>
        <v>2.9620000000000002</v>
      </c>
      <c r="Y25" s="80">
        <f>IF( INDEX(BOND!$B$2:$CH$13, Y$2, MATCH($B$14, BOND!$B$16:$CH$16, 0)+MATCH($C25, BOND!$C$18:$N$18,0) )=0,
"",
INDEX(BOND!$B$2:$CH$13, Y$2, MATCH($B$14, BOND!$B$16:$CH$16, 0)+MATCH($C25, BOND!$C$18:$N$18,0)) )</f>
        <v>2.9541999999999993</v>
      </c>
      <c r="Z25" s="80">
        <f>IF( INDEX(BOND!$B$2:$CH$13, Z$2, MATCH($B$14, BOND!$B$16:$CH$16, 0)+MATCH($C25, BOND!$C$18:$N$18,0) )=0,
"",
INDEX(BOND!$B$2:$CH$13, Z$2, MATCH($B$14, BOND!$B$16:$CH$16, 0)+MATCH($C25, BOND!$C$18:$N$18,0)) )</f>
        <v>2.4700000000000002</v>
      </c>
      <c r="AA25" s="80">
        <f>IF( INDEX(BOND!$B$2:$CH$13, AA$2, MATCH($B$14, BOND!$B$16:$CH$16, 0)+MATCH($C25, BOND!$C$18:$N$18,0) )=0,
"",
INDEX(BOND!$B$2:$CH$13, AA$2, MATCH($B$14, BOND!$B$16:$CH$16, 0)+MATCH($C25, BOND!$C$18:$N$18,0)) )</f>
        <v>3.54</v>
      </c>
    </row>
    <row r="26" spans="2:39">
      <c r="D26" s="45"/>
      <c r="E26" s="52" t="s">
        <v>267</v>
      </c>
      <c r="F26" s="81">
        <f>IF(F25=0,"",(F25-AD26)*IF($C$7=1,-1,1))</f>
        <v>9.9999999999997868E-3</v>
      </c>
      <c r="G26" s="82">
        <f>IF(G25=0,"",(G25-AE26)*IF($C$7=1,-1,1))</f>
        <v>1.4499999999999957E-2</v>
      </c>
      <c r="H26" s="82">
        <f>IF(H25=0,"",(H25-AF26)*IF($C$7=1,-1,1))</f>
        <v>1.7500000000000071E-2</v>
      </c>
      <c r="I26" s="82">
        <f>IF(I25=0,"",(I25-AG26)*IF($C$7=1,-1,1))</f>
        <v>3.4499999999999975E-2</v>
      </c>
      <c r="J26" s="82">
        <f>IF(J25=0,"",(J25-AH26)*IF($C$7=1,-1,1))</f>
        <v>4.6000000000000263E-2</v>
      </c>
      <c r="K26" s="82">
        <f>IF(K25=0,"",(K25-AI26)*IF($C$7=1,-1,1))</f>
        <v>4.7499999999999876E-2</v>
      </c>
      <c r="L26" s="82">
        <f>IF(L25=0,"",(L25-AJ26)*IF($C$7=1,-1,1))</f>
        <v>4.1999999999999815E-2</v>
      </c>
      <c r="M26" s="82">
        <f>IF(M25=0,"",(M25-AK26)*IF($C$7=1,-1,1))</f>
        <v>3.4499999999999975E-2</v>
      </c>
      <c r="N26" s="82">
        <f>IF(N25=0,"",(N25-AL26)*IF($C$7=1,-1,1))</f>
        <v>3.4499999999999975E-2</v>
      </c>
      <c r="O26" s="82">
        <f>IF(O25=0,"",(O25-AM26)*IF($C$7=1,-1,1))</f>
        <v>3.2499999999999751E-2</v>
      </c>
      <c r="P26" s="83">
        <f>IF(   P25="", "", (P25 - INDEX(IRS!$B$2:$Y$13, P$2, MATCH($E25,IRS!$B$1:$Y$1, 0)) ) * IF($C$7=1,-1,1)   )</f>
        <v>2.4324999999999264E-2</v>
      </c>
      <c r="Q26" s="84">
        <f>IF(   Q25="", "", (Q25 - INDEX(IRS!$B$2:$Y$13, Q$2, MATCH($E25,IRS!$B$1:$Y$1, 0)) ) * IF($C$7=1,-1,1)   )</f>
        <v>2.9499999999999638E-2</v>
      </c>
      <c r="R26" s="85">
        <f>IF(   R25="", "", (R25 - INDEX(IRS!$B$2:$Y$13, R$2, MATCH($E25,IRS!$B$1:$Y$1, 0)) ) * IF($C$7=1,-1,1)   )</f>
        <v>1.6000000000000014E-2</v>
      </c>
      <c r="S26" s="86">
        <f>IF(   S25="", "", (S25 - INDEX(IRS!$B$2:$Y$13, S$2, MATCH($E25,IRS!$B$1:$Y$1, 0)) ) * IF($C$7=1,-1,1)   )</f>
        <v>-1.8708333333334437E-2</v>
      </c>
      <c r="T26" s="84">
        <f>IF(   T25="", "", (T25 - INDEX(IRS!$B$2:$Y$13, T$2, MATCH($E25,IRS!$B$1:$Y$1, 0)) ) * IF($C$7=1,-1,1)   )</f>
        <v>-4.2499999999999982E-2</v>
      </c>
      <c r="U26" s="87">
        <f>IF(   U25="", "", (U25 - INDEX(IRS!$B$2:$Y$13, U$2, MATCH($E25,IRS!$B$1:$Y$1, 0)) ) * IF($C$7=1,-1,1)   )</f>
        <v>-6.4999999999999947E-2</v>
      </c>
      <c r="V26" s="83">
        <f>IF(   V25="", "", (V25 - INDEX(IRS!$B$2:$Y$13, V$2, MATCH($E25,IRS!$B$1:$Y$1, 0)) ) * IF($C$7=1,-1,1)   )</f>
        <v>-1.9545833333334706E-2</v>
      </c>
      <c r="W26" s="84">
        <f>IF(   W25="", "", (W25 - INDEX(IRS!$B$2:$Y$13, W$2, MATCH($E25,IRS!$B$1:$Y$1, 0)) ) * IF($C$7=1,-1,1)   )</f>
        <v>-4.2499999999999982E-2</v>
      </c>
      <c r="X26" s="85">
        <f>IF(   X25="", "", (X25 - INDEX(IRS!$B$2:$Y$13, X$2, MATCH($E25,IRS!$B$1:$Y$1, 0)) ) * IF($C$7=1,-1,1)   )</f>
        <v>-5.2999999999999936E-2</v>
      </c>
      <c r="Y26" s="83">
        <f>IF(   Y25="", "", (Y25 - INDEX(IRS!$B$2:$Y$13, Y$2, MATCH($E25,IRS!$B$1:$Y$1, 0)) ) * IF($C$7=1,-1,1)   )</f>
        <v>-5.6200000000021788E-3</v>
      </c>
      <c r="Z26" s="84">
        <f>IF(   Z25="", "", (Z25 - INDEX(IRS!$B$2:$Y$13, Z$2, MATCH($E25,IRS!$B$1:$Y$1, 0)) ) * IF($C$7=1,-1,1)   )</f>
        <v>-4.2499999999999982E-2</v>
      </c>
      <c r="AA26" s="85">
        <f>IF(   AA25="", "", (AA25 - INDEX(IRS!$B$2:$Y$13, AA$2, MATCH($E25,IRS!$B$1:$Y$1, 0)) ) * IF($C$7=1,-1,1)   )</f>
        <v>-2.0000000000000018E-2</v>
      </c>
      <c r="AC26" s="6" t="str">
        <f>_xll.IMDH("IR",BOND!$CO20,BOND!$CP20,$O$9,$F$9,10,"Per=일, sort=D, real=true, Bizday=0, Quote=종가,Pos=10,Orient=H,DtFmt=1.TmFmt=1")</f>
        <v>조회[IRSTP1KRW03Y]</v>
      </c>
      <c r="AD26" s="6">
        <v>2.5950000000000002</v>
      </c>
      <c r="AE26" s="6">
        <v>2.5825</v>
      </c>
      <c r="AF26" s="6">
        <v>2.5724999999999998</v>
      </c>
      <c r="AG26" s="6">
        <v>2.5625</v>
      </c>
      <c r="AH26" s="6">
        <v>2.57</v>
      </c>
      <c r="AI26" s="6">
        <v>2.5525000000000002</v>
      </c>
      <c r="AJ26" s="6">
        <v>2.5550000000000002</v>
      </c>
      <c r="AK26" s="6">
        <v>2.5525000000000002</v>
      </c>
      <c r="AL26" s="6">
        <v>2.5325000000000002</v>
      </c>
      <c r="AM26" s="6">
        <v>2.5125000000000002</v>
      </c>
    </row>
    <row r="27" spans="2:39">
      <c r="B27" s="6" t="str">
        <f>_xll.IMDH("IR",$B$14,$C27,$O$9,$F$9,10,"Per=일, sort=D, real=true, Bizday=0, Quote=종가,Pos=40,Orient=H,DtFmt=1.TmFmt=1")</f>
        <v>조회[BONDAVG01]</v>
      </c>
      <c r="C27" s="6" t="s">
        <v>239</v>
      </c>
      <c r="D27" s="45"/>
      <c r="E27" s="51" t="s">
        <v>255</v>
      </c>
      <c r="F27" s="88">
        <v>2.7330000000000001</v>
      </c>
      <c r="G27" s="89">
        <v>2.7149999999999999</v>
      </c>
      <c r="H27" s="89">
        <v>2.7050000000000001</v>
      </c>
      <c r="I27" s="89">
        <v>2.7050000000000001</v>
      </c>
      <c r="J27" s="89">
        <v>2.7189999999999999</v>
      </c>
      <c r="K27" s="89">
        <v>2.71</v>
      </c>
      <c r="L27" s="89">
        <v>2.7090000000000001</v>
      </c>
      <c r="M27" s="89">
        <v>2.6989999999999998</v>
      </c>
      <c r="N27" s="89">
        <v>2.6829999999999998</v>
      </c>
      <c r="O27" s="89">
        <v>2.6669999999999998</v>
      </c>
      <c r="P27" s="80">
        <f>IF( INDEX(BOND!$B$2:$CH$13, P$2, MATCH($B$14, BOND!$B$16:$CH$16, 0)+MATCH($C27, BOND!$C$18:$N$18,0) )=0,
"",
INDEX(BOND!$B$2:$CH$13, P$2, MATCH($B$14, BOND!$B$16:$CH$16, 0)+MATCH($C27, BOND!$C$18:$N$18,0)) )</f>
        <v>2.6926000000000001</v>
      </c>
      <c r="Q27" s="80">
        <f>IF( INDEX(BOND!$B$2:$CH$13, Q$2, MATCH($B$14, BOND!$B$16:$CH$16, 0)+MATCH($C27, BOND!$C$18:$N$18,0) )=0,
"",
INDEX(BOND!$B$2:$CH$13, Q$2, MATCH($B$14, BOND!$B$16:$CH$16, 0)+MATCH($C27, BOND!$C$18:$N$18,0)) )</f>
        <v>2.64</v>
      </c>
      <c r="R27" s="80">
        <f>IF( INDEX(BOND!$B$2:$CH$13, R$2, MATCH($B$14, BOND!$B$16:$CH$16, 0)+MATCH($C27, BOND!$C$18:$N$18,0) )=0,
"",
INDEX(BOND!$B$2:$CH$13, R$2, MATCH($B$14, BOND!$B$16:$CH$16, 0)+MATCH($C27, BOND!$C$18:$N$18,0)) )</f>
        <v>2.7330000000000001</v>
      </c>
      <c r="S27" s="80">
        <f>IF( INDEX(BOND!$B$2:$CH$13, S$2, MATCH($B$14, BOND!$B$16:$CH$16, 0)+MATCH($C27, BOND!$C$18:$N$18,0) )=0,
"",
INDEX(BOND!$B$2:$CH$13, S$2, MATCH($B$14, BOND!$B$16:$CH$16, 0)+MATCH($C27, BOND!$C$18:$N$18,0)) )</f>
        <v>2.7178999999999989</v>
      </c>
      <c r="T27" s="80">
        <f>IF( INDEX(BOND!$B$2:$CH$13, T$2, MATCH($B$14, BOND!$B$16:$CH$16, 0)+MATCH($C27, BOND!$C$18:$N$18,0) )=0,
"",
INDEX(BOND!$B$2:$CH$13, T$2, MATCH($B$14, BOND!$B$16:$CH$16, 0)+MATCH($C27, BOND!$C$18:$N$18,0)) )</f>
        <v>2.64</v>
      </c>
      <c r="U27" s="80">
        <f>IF( INDEX(BOND!$B$2:$CH$13, U$2, MATCH($B$14, BOND!$B$16:$CH$16, 0)+MATCH($C27, BOND!$C$18:$N$18,0) )=0,
"",
INDEX(BOND!$B$2:$CH$13, U$2, MATCH($B$14, BOND!$B$16:$CH$16, 0)+MATCH($C27, BOND!$C$18:$N$18,0)) )</f>
        <v>2.8650000000000002</v>
      </c>
      <c r="V27" s="80">
        <f>IF( INDEX(BOND!$B$2:$CH$13, V$2, MATCH($B$14, BOND!$B$16:$CH$16, 0)+MATCH($C27, BOND!$C$18:$N$18,0) )=0,
"",
INDEX(BOND!$B$2:$CH$13, V$2, MATCH($B$14, BOND!$B$16:$CH$16, 0)+MATCH($C27, BOND!$C$18:$N$18,0)) )</f>
        <v>2.8065499999999997</v>
      </c>
      <c r="W27" s="80">
        <f>IF( INDEX(BOND!$B$2:$CH$13, W$2, MATCH($B$14, BOND!$B$16:$CH$16, 0)+MATCH($C27, BOND!$C$18:$N$18,0) )=0,
"",
INDEX(BOND!$B$2:$CH$13, W$2, MATCH($B$14, BOND!$B$16:$CH$16, 0)+MATCH($C27, BOND!$C$18:$N$18,0)) )</f>
        <v>2.6309999999999998</v>
      </c>
      <c r="X27" s="80">
        <f>IF( INDEX(BOND!$B$2:$CH$13, X$2, MATCH($B$14, BOND!$B$16:$CH$16, 0)+MATCH($C27, BOND!$C$18:$N$18,0) )=0,
"",
INDEX(BOND!$B$2:$CH$13, X$2, MATCH($B$14, BOND!$B$16:$CH$16, 0)+MATCH($C27, BOND!$C$18:$N$18,0)) )</f>
        <v>3.0590000000000002</v>
      </c>
      <c r="Y27" s="80">
        <f>IF( INDEX(BOND!$B$2:$CH$13, Y$2, MATCH($B$14, BOND!$B$16:$CH$16, 0)+MATCH($C27, BOND!$C$18:$N$18,0) )=0,
"",
INDEX(BOND!$B$2:$CH$13, Y$2, MATCH($B$14, BOND!$B$16:$CH$16, 0)+MATCH($C27, BOND!$C$18:$N$18,0)) )</f>
        <v>3.028960000000001</v>
      </c>
      <c r="Z27" s="80">
        <f>IF( INDEX(BOND!$B$2:$CH$13, Z$2, MATCH($B$14, BOND!$B$16:$CH$16, 0)+MATCH($C27, BOND!$C$18:$N$18,0) )=0,
"",
INDEX(BOND!$B$2:$CH$13, Z$2, MATCH($B$14, BOND!$B$16:$CH$16, 0)+MATCH($C27, BOND!$C$18:$N$18,0)) )</f>
        <v>2.6309999999999998</v>
      </c>
      <c r="AA27" s="80">
        <f>IF( INDEX(BOND!$B$2:$CH$13, AA$2, MATCH($B$14, BOND!$B$16:$CH$16, 0)+MATCH($C27, BOND!$C$18:$N$18,0) )=0,
"",
INDEX(BOND!$B$2:$CH$13, AA$2, MATCH($B$14, BOND!$B$16:$CH$16, 0)+MATCH($C27, BOND!$C$18:$N$18,0)) )</f>
        <v>3.61</v>
      </c>
    </row>
    <row r="28" spans="2:39">
      <c r="D28" s="45"/>
      <c r="E28" s="52" t="s">
        <v>267</v>
      </c>
      <c r="F28" s="81">
        <f>IF(F27=0,"",(F27-AD28)*IF($C$7=1,-1,1))</f>
        <v>0.13050000000000006</v>
      </c>
      <c r="G28" s="82">
        <f>IF(G27=0,"",(G27-AE28)*IF($C$7=1,-1,1))</f>
        <v>0.12250000000000005</v>
      </c>
      <c r="H28" s="82">
        <f>IF(H27=0,"",(H27-AF28)*IF($C$7=1,-1,1))</f>
        <v>0.12000000000000011</v>
      </c>
      <c r="I28" s="82">
        <f>IF(I27=0,"",(I27-AG28)*IF($C$7=1,-1,1))</f>
        <v>0.12999999999999989</v>
      </c>
      <c r="J28" s="82">
        <f>IF(J27=0,"",(J27-AH28)*IF($C$7=1,-1,1))</f>
        <v>0.1339999999999999</v>
      </c>
      <c r="K28" s="82">
        <f>IF(K27=0,"",(K27-AI28)*IF($C$7=1,-1,1))</f>
        <v>0.14749999999999996</v>
      </c>
      <c r="L28" s="82">
        <f>IF(L27=0,"",(L27-AJ28)*IF($C$7=1,-1,1))</f>
        <v>0.13900000000000023</v>
      </c>
      <c r="M28" s="82">
        <f>IF(M27=0,"",(M27-AK28)*IF($C$7=1,-1,1))</f>
        <v>0.12650000000000006</v>
      </c>
      <c r="N28" s="82">
        <f>IF(N27=0,"",(N27-AL28)*IF($C$7=1,-1,1))</f>
        <v>0.13549999999999995</v>
      </c>
      <c r="O28" s="82">
        <f>IF(O27=0,"",(O27-AM28)*IF($C$7=1,-1,1))</f>
        <v>0.13949999999999996</v>
      </c>
      <c r="P28" s="83">
        <f>IF(   P27="", "", (P27 - INDEX(IRS!$B$2:$Y$13, P$2, MATCH($E27,IRS!$B$1:$Y$1, 0)) ) * IF($C$7=1,-1,1)   )</f>
        <v>0.12072499999999975</v>
      </c>
      <c r="Q28" s="84">
        <f>IF(   Q27="", "", (Q27 - INDEX(IRS!$B$2:$Y$13, Q$2, MATCH($E27,IRS!$B$1:$Y$1, 0)) ) * IF($C$7=1,-1,1)   )</f>
        <v>0.11250000000000027</v>
      </c>
      <c r="R28" s="85">
        <f>IF(   R27="", "", (R27 - INDEX(IRS!$B$2:$Y$13, R$2, MATCH($E27,IRS!$B$1:$Y$1, 0)) ) * IF($C$7=1,-1,1)   )</f>
        <v>0.11799999999999988</v>
      </c>
      <c r="S28" s="86">
        <f>IF(   S27="", "", (S27 - INDEX(IRS!$B$2:$Y$13, S$2, MATCH($E27,IRS!$B$1:$Y$1, 0)) ) * IF($C$7=1,-1,1)   )</f>
        <v>9.2191666666665562E-2</v>
      </c>
      <c r="T28" s="84">
        <f>IF(   T27="", "", (T27 - INDEX(IRS!$B$2:$Y$13, T$2, MATCH($E27,IRS!$B$1:$Y$1, 0)) ) * IF($C$7=1,-1,1)   )</f>
        <v>0.11250000000000027</v>
      </c>
      <c r="U28" s="87">
        <f>IF(   U27="", "", (U27 - INDEX(IRS!$B$2:$Y$13, U$2, MATCH($E27,IRS!$B$1:$Y$1, 0)) ) * IF($C$7=1,-1,1)   )</f>
        <v>0.11000000000000032</v>
      </c>
      <c r="V28" s="83">
        <f>IF(   V27="", "", (V27 - INDEX(IRS!$B$2:$Y$13, V$2, MATCH($E27,IRS!$B$1:$Y$1, 0)) ) * IF($C$7=1,-1,1)   )</f>
        <v>8.7175000000001113E-2</v>
      </c>
      <c r="W28" s="84">
        <f>IF(   W27="", "", (W27 - INDEX(IRS!$B$2:$Y$13, W$2, MATCH($E27,IRS!$B$1:$Y$1, 0)) ) * IF($C$7=1,-1,1)   )</f>
        <v>0.11099999999999977</v>
      </c>
      <c r="X28" s="85">
        <f>IF(   X27="", "", (X27 - INDEX(IRS!$B$2:$Y$13, X$2, MATCH($E27,IRS!$B$1:$Y$1, 0)) ) * IF($C$7=1,-1,1)   )</f>
        <v>4.4000000000000039E-2</v>
      </c>
      <c r="Y28" s="83">
        <f>IF(   Y27="", "", (Y27 - INDEX(IRS!$B$2:$Y$13, Y$2, MATCH($E27,IRS!$B$1:$Y$1, 0)) ) * IF($C$7=1,-1,1)   )</f>
        <v>7.9100000000002613E-2</v>
      </c>
      <c r="Z28" s="84">
        <f>IF(   Z27="", "", (Z27 - INDEX(IRS!$B$2:$Y$13, Z$2, MATCH($E27,IRS!$B$1:$Y$1, 0)) ) * IF($C$7=1,-1,1)   )</f>
        <v>0.11099999999999977</v>
      </c>
      <c r="AA28" s="85">
        <f>IF(   AA27="", "", (AA27 - INDEX(IRS!$B$2:$Y$13, AA$2, MATCH($E27,IRS!$B$1:$Y$1, 0)) ) * IF($C$7=1,-1,1)   )</f>
        <v>4.4999999999999929E-2</v>
      </c>
      <c r="AC28" s="6" t="str">
        <f>_xll.IMDH("IR",BOND!$CO21,BOND!$CP21,$O$9,$F$9,10,"Per=일, sort=D, real=true, Bizday=0, Quote=종가,Pos=10,Orient=H,DtFmt=1.TmFmt=1")</f>
        <v>조회[IRSTP1KRW04Y]</v>
      </c>
      <c r="AD28" s="6">
        <v>2.6025</v>
      </c>
      <c r="AE28" s="6">
        <v>2.5924999999999998</v>
      </c>
      <c r="AF28" s="6">
        <v>2.585</v>
      </c>
      <c r="AG28" s="6">
        <v>2.5750000000000002</v>
      </c>
      <c r="AH28" s="6">
        <v>2.585</v>
      </c>
      <c r="AI28" s="6">
        <v>2.5625</v>
      </c>
      <c r="AJ28" s="6">
        <v>2.57</v>
      </c>
      <c r="AK28" s="6">
        <v>2.5724999999999998</v>
      </c>
      <c r="AL28" s="6">
        <v>2.5474999999999999</v>
      </c>
      <c r="AM28" s="6">
        <v>2.5274999999999999</v>
      </c>
    </row>
    <row r="29" spans="2:39">
      <c r="B29" s="6" t="str">
        <f>_xll.IMDH("IR",$B$14,$C29,$O$9,$F$9,10,"Per=일, sort=D, real=true, Bizday=0, Quote=종가,Pos=40,Orient=H,DtFmt=1.TmFmt=1")</f>
        <v>조회[BONDAVG01]</v>
      </c>
      <c r="C29" s="6" t="s">
        <v>241</v>
      </c>
      <c r="D29" s="45"/>
      <c r="E29" s="51" t="s">
        <v>256</v>
      </c>
      <c r="F29" s="88">
        <v>2.6930000000000001</v>
      </c>
      <c r="G29" s="89">
        <v>2.68</v>
      </c>
      <c r="H29" s="89">
        <v>2.6539999999999999</v>
      </c>
      <c r="I29" s="89">
        <v>2.665</v>
      </c>
      <c r="J29" s="89">
        <v>2.6669999999999998</v>
      </c>
      <c r="K29" s="89">
        <v>2.645</v>
      </c>
      <c r="L29" s="89">
        <v>2.633</v>
      </c>
      <c r="M29" s="89">
        <v>2.6389999999999998</v>
      </c>
      <c r="N29" s="89">
        <v>2.6280000000000001</v>
      </c>
      <c r="O29" s="89">
        <v>2.6150000000000002</v>
      </c>
      <c r="P29" s="80">
        <f>IF( INDEX(BOND!$B$2:$CH$13, P$2, MATCH($B$14, BOND!$B$16:$CH$16, 0)+MATCH($C29, BOND!$C$18:$N$18,0) )=0,
"",
INDEX(BOND!$B$2:$CH$13, P$2, MATCH($B$14, BOND!$B$16:$CH$16, 0)+MATCH($C29, BOND!$C$18:$N$18,0)) )</f>
        <v>2.6602999999999994</v>
      </c>
      <c r="Q29" s="80">
        <f>IF( INDEX(BOND!$B$2:$CH$13, Q$2, MATCH($B$14, BOND!$B$16:$CH$16, 0)+MATCH($C29, BOND!$C$18:$N$18,0) )=0,
"",
INDEX(BOND!$B$2:$CH$13, Q$2, MATCH($B$14, BOND!$B$16:$CH$16, 0)+MATCH($C29, BOND!$C$18:$N$18,0)) )</f>
        <v>2.6150000000000002</v>
      </c>
      <c r="R29" s="80">
        <f>IF( INDEX(BOND!$B$2:$CH$13, R$2, MATCH($B$14, BOND!$B$16:$CH$16, 0)+MATCH($C29, BOND!$C$18:$N$18,0) )=0,
"",
INDEX(BOND!$B$2:$CH$13, R$2, MATCH($B$14, BOND!$B$16:$CH$16, 0)+MATCH($C29, BOND!$C$18:$N$18,0)) )</f>
        <v>2.7109999999999999</v>
      </c>
      <c r="S29" s="80">
        <f>IF( INDEX(BOND!$B$2:$CH$13, S$2, MATCH($B$14, BOND!$B$16:$CH$16, 0)+MATCH($C29, BOND!$C$18:$N$18,0) )=0,
"",
INDEX(BOND!$B$2:$CH$13, S$2, MATCH($B$14, BOND!$B$16:$CH$16, 0)+MATCH($C29, BOND!$C$18:$N$18,0)) )</f>
        <v>2.6979833333333323</v>
      </c>
      <c r="T29" s="80">
        <f>IF( INDEX(BOND!$B$2:$CH$13, T$2, MATCH($B$14, BOND!$B$16:$CH$16, 0)+MATCH($C29, BOND!$C$18:$N$18,0) )=0,
"",
INDEX(BOND!$B$2:$CH$13, T$2, MATCH($B$14, BOND!$B$16:$CH$16, 0)+MATCH($C29, BOND!$C$18:$N$18,0)) )</f>
        <v>2.6150000000000002</v>
      </c>
      <c r="U29" s="80">
        <f>IF( INDEX(BOND!$B$2:$CH$13, U$2, MATCH($B$14, BOND!$B$16:$CH$16, 0)+MATCH($C29, BOND!$C$18:$N$18,0) )=0,
"",
INDEX(BOND!$B$2:$CH$13, U$2, MATCH($B$14, BOND!$B$16:$CH$16, 0)+MATCH($C29, BOND!$C$18:$N$18,0)) )</f>
        <v>2.8250000000000002</v>
      </c>
      <c r="V29" s="80">
        <f>IF( INDEX(BOND!$B$2:$CH$13, V$2, MATCH($B$14, BOND!$B$16:$CH$16, 0)+MATCH($C29, BOND!$C$18:$N$18,0) )=0,
"",
INDEX(BOND!$B$2:$CH$13, V$2, MATCH($B$14, BOND!$B$16:$CH$16, 0)+MATCH($C29, BOND!$C$18:$N$18,0)) )</f>
        <v>2.7797333333333323</v>
      </c>
      <c r="W29" s="80">
        <f>IF( INDEX(BOND!$B$2:$CH$13, W$2, MATCH($B$14, BOND!$B$16:$CH$16, 0)+MATCH($C29, BOND!$C$18:$N$18,0) )=0,
"",
INDEX(BOND!$B$2:$CH$13, W$2, MATCH($B$14, BOND!$B$16:$CH$16, 0)+MATCH($C29, BOND!$C$18:$N$18,0)) )</f>
        <v>2.5720000000000001</v>
      </c>
      <c r="X29" s="80">
        <f>IF( INDEX(BOND!$B$2:$CH$13, X$2, MATCH($B$14, BOND!$B$16:$CH$16, 0)+MATCH($C29, BOND!$C$18:$N$18,0) )=0,
"",
INDEX(BOND!$B$2:$CH$13, X$2, MATCH($B$14, BOND!$B$16:$CH$16, 0)+MATCH($C29, BOND!$C$18:$N$18,0)) )</f>
        <v>3.02</v>
      </c>
      <c r="Y29" s="80">
        <f>IF( INDEX(BOND!$B$2:$CH$13, Y$2, MATCH($B$14, BOND!$B$16:$CH$16, 0)+MATCH($C29, BOND!$C$18:$N$18,0) )=0,
"",
INDEX(BOND!$B$2:$CH$13, Y$2, MATCH($B$14, BOND!$B$16:$CH$16, 0)+MATCH($C29, BOND!$C$18:$N$18,0)) )</f>
        <v>3.0123200000000012</v>
      </c>
      <c r="Z29" s="80">
        <f>IF( INDEX(BOND!$B$2:$CH$13, Z$2, MATCH($B$14, BOND!$B$16:$CH$16, 0)+MATCH($C29, BOND!$C$18:$N$18,0) )=0,
"",
INDEX(BOND!$B$2:$CH$13, Z$2, MATCH($B$14, BOND!$B$16:$CH$16, 0)+MATCH($C29, BOND!$C$18:$N$18,0)) )</f>
        <v>2.5720000000000001</v>
      </c>
      <c r="AA29" s="80">
        <f>IF( INDEX(BOND!$B$2:$CH$13, AA$2, MATCH($B$14, BOND!$B$16:$CH$16, 0)+MATCH($C29, BOND!$C$18:$N$18,0) )=0,
"",
INDEX(BOND!$B$2:$CH$13, AA$2, MATCH($B$14, BOND!$B$16:$CH$16, 0)+MATCH($C29, BOND!$C$18:$N$18,0)) )</f>
        <v>3.625</v>
      </c>
    </row>
    <row r="30" spans="2:39">
      <c r="D30" s="45"/>
      <c r="E30" s="52" t="s">
        <v>267</v>
      </c>
      <c r="F30" s="81">
        <f>IF(F29=0,"",(F29-AD30)*IF($C$7=1,-1,1))</f>
        <v>8.0500000000000238E-2</v>
      </c>
      <c r="G30" s="82">
        <f>IF(G29=0,"",(G29-AE30)*IF($C$7=1,-1,1))</f>
        <v>7.7500000000000124E-2</v>
      </c>
      <c r="H30" s="82">
        <f>IF(H29=0,"",(H29-AF30)*IF($C$7=1,-1,1))</f>
        <v>5.8999999999999719E-2</v>
      </c>
      <c r="I30" s="82">
        <f>IF(I29=0,"",(I29-AG30)*IF($C$7=1,-1,1))</f>
        <v>8.2500000000000018E-2</v>
      </c>
      <c r="J30" s="82">
        <f>IF(J29=0,"",(J29-AH30)*IF($C$7=1,-1,1))</f>
        <v>7.4500000000000011E-2</v>
      </c>
      <c r="K30" s="82">
        <f>IF(K29=0,"",(K29-AI30)*IF($C$7=1,-1,1))</f>
        <v>7.2500000000000231E-2</v>
      </c>
      <c r="L30" s="82">
        <f>IF(L29=0,"",(L29-AJ30)*IF($C$7=1,-1,1))</f>
        <v>5.0499999999999989E-2</v>
      </c>
      <c r="M30" s="82">
        <f>IF(M29=0,"",(M29-AK30)*IF($C$7=1,-1,1))</f>
        <v>5.3999999999999826E-2</v>
      </c>
      <c r="N30" s="82">
        <f>IF(N29=0,"",(N29-AL30)*IF($C$7=1,-1,1))</f>
        <v>7.0500000000000007E-2</v>
      </c>
      <c r="O30" s="82">
        <f>IF(O29=0,"",(O29-AM30)*IF($C$7=1,-1,1))</f>
        <v>7.7500000000000124E-2</v>
      </c>
      <c r="P30" s="83">
        <f>IF(   P29="", "", (P29 - INDEX(IRS!$B$2:$Y$13, P$2, MATCH($E29,IRS!$B$1:$Y$1, 0)) ) * IF($C$7=1,-1,1)   )</f>
        <v>8.0174999999999663E-2</v>
      </c>
      <c r="Q30" s="84">
        <f>IF(   Q29="", "", (Q29 - INDEX(IRS!$B$2:$Y$13, Q$2, MATCH($E29,IRS!$B$1:$Y$1, 0)) ) * IF($C$7=1,-1,1)   )</f>
        <v>8.0000000000000071E-2</v>
      </c>
      <c r="R30" s="85">
        <f>IF(   R29="", "", (R29 - INDEX(IRS!$B$2:$Y$13, R$2, MATCH($E29,IRS!$B$1:$Y$1, 0)) ) * IF($C$7=1,-1,1)   )</f>
        <v>8.5999999999999854E-2</v>
      </c>
      <c r="S30" s="86">
        <f>IF(   S29="", "", (S29 - INDEX(IRS!$B$2:$Y$13, S$2, MATCH($E29,IRS!$B$1:$Y$1, 0)) ) * IF($C$7=1,-1,1)   )</f>
        <v>6.364999999999954E-2</v>
      </c>
      <c r="T30" s="84">
        <f>IF(   T29="", "", (T29 - INDEX(IRS!$B$2:$Y$13, T$2, MATCH($E29,IRS!$B$1:$Y$1, 0)) ) * IF($C$7=1,-1,1)   )</f>
        <v>8.0000000000000071E-2</v>
      </c>
      <c r="U30" s="87">
        <f>IF(   U29="", "", (U29 - INDEX(IRS!$B$2:$Y$13, U$2, MATCH($E29,IRS!$B$1:$Y$1, 0)) ) * IF($C$7=1,-1,1)   )</f>
        <v>6.5000000000000391E-2</v>
      </c>
      <c r="V30" s="83">
        <f>IF(   V29="", "", (V29 - INDEX(IRS!$B$2:$Y$13, V$2, MATCH($E29,IRS!$B$1:$Y$1, 0)) ) * IF($C$7=1,-1,1)   )</f>
        <v>5.831666666666635E-2</v>
      </c>
      <c r="W30" s="84">
        <f>IF(   W29="", "", (W29 - INDEX(IRS!$B$2:$Y$13, W$2, MATCH($E29,IRS!$B$1:$Y$1, 0)) ) * IF($C$7=1,-1,1)   )</f>
        <v>6.4500000000000224E-2</v>
      </c>
      <c r="X30" s="85">
        <f>IF(   X29="", "", (X29 - INDEX(IRS!$B$2:$Y$13, X$2, MATCH($E29,IRS!$B$1:$Y$1, 0)) ) * IF($C$7=1,-1,1)   )</f>
        <v>0</v>
      </c>
      <c r="Y30" s="83">
        <f>IF(   Y29="", "", (Y29 - INDEX(IRS!$B$2:$Y$13, Y$2, MATCH($E29,IRS!$B$1:$Y$1, 0)) ) * IF($C$7=1,-1,1)   )</f>
        <v>6.7500000000003446E-2</v>
      </c>
      <c r="Z30" s="84">
        <f>IF(   Z29="", "", (Z29 - INDEX(IRS!$B$2:$Y$13, Z$2, MATCH($E29,IRS!$B$1:$Y$1, 0)) ) * IF($C$7=1,-1,1)   )</f>
        <v>6.4500000000000224E-2</v>
      </c>
      <c r="AA30" s="85">
        <f>IF(   AA29="", "", (AA29 - INDEX(IRS!$B$2:$Y$13, AA$2, MATCH($E29,IRS!$B$1:$Y$1, 0)) ) * IF($C$7=1,-1,1)   )</f>
        <v>5.2500000000000213E-2</v>
      </c>
      <c r="AC30" s="6" t="str">
        <f>_xll.IMDH("IR",BOND!$CO22,BOND!$CP22,$O$9,$F$9,10,"Per=일, sort=D, real=true, Bizday=0, Quote=종가,Pos=10,Orient=H,DtFmt=1.TmFmt=1")</f>
        <v>조회[IRSTP1KRW05Y]</v>
      </c>
      <c r="AD30" s="6">
        <v>2.6124999999999998</v>
      </c>
      <c r="AE30" s="6">
        <v>2.6025</v>
      </c>
      <c r="AF30" s="6">
        <v>2.5950000000000002</v>
      </c>
      <c r="AG30" s="6">
        <v>2.5825</v>
      </c>
      <c r="AH30" s="6">
        <v>2.5924999999999998</v>
      </c>
      <c r="AI30" s="6">
        <v>2.5724999999999998</v>
      </c>
      <c r="AJ30" s="6">
        <v>2.5825</v>
      </c>
      <c r="AK30" s="6">
        <v>2.585</v>
      </c>
      <c r="AL30" s="6">
        <v>2.5575000000000001</v>
      </c>
      <c r="AM30" s="6">
        <v>2.5375000000000001</v>
      </c>
    </row>
    <row r="31" spans="2:39">
      <c r="B31" s="6" t="str">
        <f>_xll.IMDH("IR",$B$14,$C31,$O$9,$F$9,10,"Per=일, sort=D, real=true, Bizday=0, Quote=종가,Pos=40,Orient=H,DtFmt=1.TmFmt=1")</f>
        <v>조회[BONDAVG01]</v>
      </c>
      <c r="C31" s="6" t="s">
        <v>240</v>
      </c>
      <c r="D31" s="45"/>
      <c r="E31" s="51" t="s">
        <v>257</v>
      </c>
      <c r="F31" s="88">
        <v>2.84</v>
      </c>
      <c r="G31" s="89">
        <v>2.831</v>
      </c>
      <c r="H31" s="89">
        <v>2.8250000000000002</v>
      </c>
      <c r="I31" s="89">
        <v>2.8210000000000002</v>
      </c>
      <c r="J31" s="89">
        <v>2.83</v>
      </c>
      <c r="K31" s="89">
        <v>2.8159999999999998</v>
      </c>
      <c r="L31" s="89">
        <v>2.8159999999999998</v>
      </c>
      <c r="M31" s="89">
        <v>2.8220000000000001</v>
      </c>
      <c r="N31" s="89">
        <v>2.7949999999999999</v>
      </c>
      <c r="O31" s="89">
        <v>2.7810000000000001</v>
      </c>
      <c r="P31" s="80">
        <f>IF( INDEX(BOND!$B$2:$CH$13, P$2, MATCH($B$14, BOND!$B$16:$CH$16, 0)+MATCH($C31, BOND!$C$18:$N$18,0) )=0,
"",
INDEX(BOND!$B$2:$CH$13, P$2, MATCH($B$14, BOND!$B$16:$CH$16, 0)+MATCH($C31, BOND!$C$18:$N$18,0)) )</f>
        <v>2.8072499999999994</v>
      </c>
      <c r="Q31" s="80">
        <f>IF( INDEX(BOND!$B$2:$CH$13, Q$2, MATCH($B$14, BOND!$B$16:$CH$16, 0)+MATCH($C31, BOND!$C$18:$N$18,0) )=0,
"",
INDEX(BOND!$B$2:$CH$13, Q$2, MATCH($B$14, BOND!$B$16:$CH$16, 0)+MATCH($C31, BOND!$C$18:$N$18,0)) )</f>
        <v>2.7490000000000001</v>
      </c>
      <c r="R31" s="80">
        <f>IF( INDEX(BOND!$B$2:$CH$13, R$2, MATCH($B$14, BOND!$B$16:$CH$16, 0)+MATCH($C31, BOND!$C$18:$N$18,0) )=0,
"",
INDEX(BOND!$B$2:$CH$13, R$2, MATCH($B$14, BOND!$B$16:$CH$16, 0)+MATCH($C31, BOND!$C$18:$N$18,0)) )</f>
        <v>2.84</v>
      </c>
      <c r="S31" s="80">
        <f>IF( INDEX(BOND!$B$2:$CH$13, S$2, MATCH($B$14, BOND!$B$16:$CH$16, 0)+MATCH($C31, BOND!$C$18:$N$18,0) )=0,
"",
INDEX(BOND!$B$2:$CH$13, S$2, MATCH($B$14, BOND!$B$16:$CH$16, 0)+MATCH($C31, BOND!$C$18:$N$18,0)) )</f>
        <v>2.8652333333333337</v>
      </c>
      <c r="T31" s="80">
        <f>IF( INDEX(BOND!$B$2:$CH$13, T$2, MATCH($B$14, BOND!$B$16:$CH$16, 0)+MATCH($C31, BOND!$C$18:$N$18,0) )=0,
"",
INDEX(BOND!$B$2:$CH$13, T$2, MATCH($B$14, BOND!$B$16:$CH$16, 0)+MATCH($C31, BOND!$C$18:$N$18,0)) )</f>
        <v>2.7490000000000001</v>
      </c>
      <c r="U31" s="80">
        <f>IF( INDEX(BOND!$B$2:$CH$13, U$2, MATCH($B$14, BOND!$B$16:$CH$16, 0)+MATCH($C31, BOND!$C$18:$N$18,0) )=0,
"",
INDEX(BOND!$B$2:$CH$13, U$2, MATCH($B$14, BOND!$B$16:$CH$16, 0)+MATCH($C31, BOND!$C$18:$N$18,0)) )</f>
        <v>3.0270000000000001</v>
      </c>
      <c r="V31" s="80">
        <f>IF( INDEX(BOND!$B$2:$CH$13, V$2, MATCH($B$14, BOND!$B$16:$CH$16, 0)+MATCH($C31, BOND!$C$18:$N$18,0) )=0,
"",
INDEX(BOND!$B$2:$CH$13, V$2, MATCH($B$14, BOND!$B$16:$CH$16, 0)+MATCH($C31, BOND!$C$18:$N$18,0)) )</f>
        <v>2.9274916666666679</v>
      </c>
      <c r="W31" s="80">
        <f>IF( INDEX(BOND!$B$2:$CH$13, W$2, MATCH($B$14, BOND!$B$16:$CH$16, 0)+MATCH($C31, BOND!$C$18:$N$18,0) )=0,
"",
INDEX(BOND!$B$2:$CH$13, W$2, MATCH($B$14, BOND!$B$16:$CH$16, 0)+MATCH($C31, BOND!$C$18:$N$18,0)) )</f>
        <v>2.7029999999999998</v>
      </c>
      <c r="X31" s="80">
        <f>IF( INDEX(BOND!$B$2:$CH$13, X$2, MATCH($B$14, BOND!$B$16:$CH$16, 0)+MATCH($C31, BOND!$C$18:$N$18,0) )=0,
"",
INDEX(BOND!$B$2:$CH$13, X$2, MATCH($B$14, BOND!$B$16:$CH$16, 0)+MATCH($C31, BOND!$C$18:$N$18,0)) )</f>
        <v>3.1429999999999998</v>
      </c>
      <c r="Y31" s="80">
        <f>IF( INDEX(BOND!$B$2:$CH$13, Y$2, MATCH($B$14, BOND!$B$16:$CH$16, 0)+MATCH($C31, BOND!$C$18:$N$18,0) )=0,
"",
INDEX(BOND!$B$2:$CH$13, Y$2, MATCH($B$14, BOND!$B$16:$CH$16, 0)+MATCH($C31, BOND!$C$18:$N$18,0)) )</f>
        <v>3.117599999999999</v>
      </c>
      <c r="Z31" s="80">
        <f>IF( INDEX(BOND!$B$2:$CH$13, Z$2, MATCH($B$14, BOND!$B$16:$CH$16, 0)+MATCH($C31, BOND!$C$18:$N$18,0) )=0,
"",
INDEX(BOND!$B$2:$CH$13, Z$2, MATCH($B$14, BOND!$B$16:$CH$16, 0)+MATCH($C31, BOND!$C$18:$N$18,0)) )</f>
        <v>2.7029999999999998</v>
      </c>
      <c r="AA31" s="80">
        <f>IF( INDEX(BOND!$B$2:$CH$13, AA$2, MATCH($B$14, BOND!$B$16:$CH$16, 0)+MATCH($C31, BOND!$C$18:$N$18,0) )=0,
"",
INDEX(BOND!$B$2:$CH$13, AA$2, MATCH($B$14, BOND!$B$16:$CH$16, 0)+MATCH($C31, BOND!$C$18:$N$18,0)) )</f>
        <v>3.7</v>
      </c>
    </row>
    <row r="32" spans="2:39">
      <c r="D32" s="45"/>
      <c r="E32" s="52" t="s">
        <v>267</v>
      </c>
      <c r="F32" s="81">
        <f>IF(F31=0,"",(F31-AD32)*IF($C$7=1,-1,1))</f>
        <v>0.20249999999999968</v>
      </c>
      <c r="G32" s="82">
        <f>IF(G31=0,"",(G31-AE32)*IF($C$7=1,-1,1))</f>
        <v>0.20350000000000001</v>
      </c>
      <c r="H32" s="82">
        <f>IF(H31=0,"",(H31-AF32)*IF($C$7=1,-1,1))</f>
        <v>0.20500000000000007</v>
      </c>
      <c r="I32" s="82">
        <f>IF(I31=0,"",(I31-AG32)*IF($C$7=1,-1,1))</f>
        <v>0.2110000000000003</v>
      </c>
      <c r="J32" s="82">
        <f>IF(J31=0,"",(J31-AH32)*IF($C$7=1,-1,1))</f>
        <v>0.20750000000000002</v>
      </c>
      <c r="K32" s="82">
        <f>IF(K31=0,"",(K31-AI32)*IF($C$7=1,-1,1))</f>
        <v>0.20599999999999996</v>
      </c>
      <c r="L32" s="82">
        <f>IF(L31=0,"",(L31-AJ32)*IF($C$7=1,-1,1))</f>
        <v>0.19599999999999973</v>
      </c>
      <c r="M32" s="82">
        <f>IF(M31=0,"",(M31-AK32)*IF($C$7=1,-1,1))</f>
        <v>0.19700000000000006</v>
      </c>
      <c r="N32" s="82">
        <f>IF(N31=0,"",(N31-AL32)*IF($C$7=1,-1,1))</f>
        <v>0.20750000000000002</v>
      </c>
      <c r="O32" s="82">
        <f>IF(O31=0,"",(O31-AM32)*IF($C$7=1,-1,1))</f>
        <v>0.21600000000000019</v>
      </c>
      <c r="P32" s="83">
        <f>IF(   P31="", "", (P31 - INDEX(IRS!$B$2:$Y$13, P$2, MATCH($E31,IRS!$B$1:$Y$1, 0)) ) * IF($C$7=1,-1,1)   )</f>
        <v>0.19937499999999941</v>
      </c>
      <c r="Q32" s="84">
        <f>IF(   Q31="", "", (Q31 - INDEX(IRS!$B$2:$Y$13, Q$2, MATCH($E31,IRS!$B$1:$Y$1, 0)) ) * IF($C$7=1,-1,1)   )</f>
        <v>0.1915</v>
      </c>
      <c r="R32" s="85">
        <f>IF(   R31="", "", (R31 - INDEX(IRS!$B$2:$Y$13, R$2, MATCH($E31,IRS!$B$1:$Y$1, 0)) ) * IF($C$7=1,-1,1)   )</f>
        <v>0.19249999999999989</v>
      </c>
      <c r="S32" s="86">
        <f>IF(   S31="", "", (S31 - INDEX(IRS!$B$2:$Y$13, S$2, MATCH($E31,IRS!$B$1:$Y$1, 0)) ) * IF($C$7=1,-1,1)   )</f>
        <v>0.203650000000001</v>
      </c>
      <c r="T32" s="84">
        <f>IF(   T31="", "", (T31 - INDEX(IRS!$B$2:$Y$13, T$2, MATCH($E31,IRS!$B$1:$Y$1, 0)) ) * IF($C$7=1,-1,1)   )</f>
        <v>0.1915</v>
      </c>
      <c r="U32" s="87">
        <f>IF(   U31="", "", (U31 - INDEX(IRS!$B$2:$Y$13, U$2, MATCH($E31,IRS!$B$1:$Y$1, 0)) ) * IF($C$7=1,-1,1)   )</f>
        <v>0.23950000000000005</v>
      </c>
      <c r="V32" s="83">
        <f>IF(   V31="", "", (V31 - INDEX(IRS!$B$2:$Y$13, V$2, MATCH($E31,IRS!$B$1:$Y$1, 0)) ) * IF($C$7=1,-1,1)   )</f>
        <v>0.18730416666666594</v>
      </c>
      <c r="W32" s="84">
        <f>IF(   W31="", "", (W31 - INDEX(IRS!$B$2:$Y$13, W$2, MATCH($E31,IRS!$B$1:$Y$1, 0)) ) * IF($C$7=1,-1,1)   )</f>
        <v>0.18799999999999972</v>
      </c>
      <c r="X32" s="85">
        <f>IF(   X31="", "", (X31 - INDEX(IRS!$B$2:$Y$13, X$2, MATCH($E31,IRS!$B$1:$Y$1, 0)) ) * IF($C$7=1,-1,1)   )</f>
        <v>0.11299999999999999</v>
      </c>
      <c r="Y32" s="83">
        <f>IF(   Y31="", "", (Y31 - INDEX(IRS!$B$2:$Y$13, Y$2, MATCH($E31,IRS!$B$1:$Y$1, 0)) ) * IF($C$7=1,-1,1)   )</f>
        <v>0.16387999999999847</v>
      </c>
      <c r="Z32" s="84">
        <f>IF(   Z31="", "", (Z31 - INDEX(IRS!$B$2:$Y$13, Z$2, MATCH($E31,IRS!$B$1:$Y$1, 0)) ) * IF($C$7=1,-1,1)   )</f>
        <v>0.18799999999999972</v>
      </c>
      <c r="AA32" s="85">
        <f>IF(   AA31="", "", (AA31 - INDEX(IRS!$B$2:$Y$13, AA$2, MATCH($E31,IRS!$B$1:$Y$1, 0)) ) * IF($C$7=1,-1,1)   )</f>
        <v>0.12750000000000039</v>
      </c>
      <c r="AC32" s="6" t="str">
        <f>_xll.IMDH("IR",BOND!$CO23,BOND!$CP23,$O$9,$F$9,10,"Per=일, sort=D, real=true, Bizday=0, Quote=종가,Pos=10,Orient=H,DtFmt=1.TmFmt=1")</f>
        <v>조회[IRSTP1KRW07Y]</v>
      </c>
      <c r="AD32" s="6">
        <v>2.6375000000000002</v>
      </c>
      <c r="AE32" s="6">
        <v>2.6274999999999999</v>
      </c>
      <c r="AF32" s="6">
        <v>2.62</v>
      </c>
      <c r="AG32" s="6">
        <v>2.61</v>
      </c>
      <c r="AH32" s="6">
        <v>2.6225000000000001</v>
      </c>
      <c r="AI32" s="6">
        <v>2.61</v>
      </c>
      <c r="AJ32" s="6">
        <v>2.62</v>
      </c>
      <c r="AK32" s="6">
        <v>2.625</v>
      </c>
      <c r="AL32" s="6">
        <v>2.5874999999999999</v>
      </c>
      <c r="AM32" s="6">
        <v>2.5649999999999999</v>
      </c>
    </row>
    <row r="33" spans="2:39">
      <c r="B33" s="6" t="str">
        <f>_xll.IMDH("IR",$B$14,$C33,$O$9,$F$9,10,"Per=일, sort=D, real=true, Bizday=0, Quote=종가,Pos=40,Orient=H,DtFmt=1.TmFmt=1")</f>
        <v>조회[BONDAVG01]</v>
      </c>
      <c r="C33" s="6" t="s">
        <v>242</v>
      </c>
      <c r="D33" s="45"/>
      <c r="E33" s="51" t="s">
        <v>258</v>
      </c>
      <c r="F33" s="88">
        <v>2.8130000000000002</v>
      </c>
      <c r="G33" s="89">
        <v>2.8149999999999999</v>
      </c>
      <c r="H33" s="89">
        <v>2.8050000000000002</v>
      </c>
      <c r="I33" s="89">
        <v>2.7949999999999999</v>
      </c>
      <c r="J33" s="89">
        <v>2.8</v>
      </c>
      <c r="K33" s="89">
        <v>2.7919999999999998</v>
      </c>
      <c r="L33" s="89">
        <v>2.8050000000000002</v>
      </c>
      <c r="M33" s="89">
        <v>2.8149999999999999</v>
      </c>
      <c r="N33" s="89">
        <v>2.7770000000000001</v>
      </c>
      <c r="O33" s="89">
        <v>2.76</v>
      </c>
      <c r="P33" s="80">
        <f>IF( INDEX(BOND!$B$2:$CH$13, P$2, MATCH($B$14, BOND!$B$16:$CH$16, 0)+MATCH($C33, BOND!$C$18:$N$18,0) )=0,
"",
INDEX(BOND!$B$2:$CH$13, P$2, MATCH($B$14, BOND!$B$16:$CH$16, 0)+MATCH($C33, BOND!$C$18:$N$18,0)) )</f>
        <v>2.7794000000000003</v>
      </c>
      <c r="Q33" s="80">
        <f>IF( INDEX(BOND!$B$2:$CH$13, Q$2, MATCH($B$14, BOND!$B$16:$CH$16, 0)+MATCH($C33, BOND!$C$18:$N$18,0) )=0,
"",
INDEX(BOND!$B$2:$CH$13, Q$2, MATCH($B$14, BOND!$B$16:$CH$16, 0)+MATCH($C33, BOND!$C$18:$N$18,0)) )</f>
        <v>2.7</v>
      </c>
      <c r="R33" s="80">
        <f>IF( INDEX(BOND!$B$2:$CH$13, R$2, MATCH($B$14, BOND!$B$16:$CH$16, 0)+MATCH($C33, BOND!$C$18:$N$18,0) )=0,
"",
INDEX(BOND!$B$2:$CH$13, R$2, MATCH($B$14, BOND!$B$16:$CH$16, 0)+MATCH($C33, BOND!$C$18:$N$18,0)) )</f>
        <v>2.8149999999999999</v>
      </c>
      <c r="S33" s="80">
        <f>IF( INDEX(BOND!$B$2:$CH$13, S$2, MATCH($B$14, BOND!$B$16:$CH$16, 0)+MATCH($C33, BOND!$C$18:$N$18,0) )=0,
"",
INDEX(BOND!$B$2:$CH$13, S$2, MATCH($B$14, BOND!$B$16:$CH$16, 0)+MATCH($C33, BOND!$C$18:$N$18,0)) )</f>
        <v>2.8207999999999998</v>
      </c>
      <c r="T33" s="80">
        <f>IF( INDEX(BOND!$B$2:$CH$13, T$2, MATCH($B$14, BOND!$B$16:$CH$16, 0)+MATCH($C33, BOND!$C$18:$N$18,0) )=0,
"",
INDEX(BOND!$B$2:$CH$13, T$2, MATCH($B$14, BOND!$B$16:$CH$16, 0)+MATCH($C33, BOND!$C$18:$N$18,0)) )</f>
        <v>2.7</v>
      </c>
      <c r="U33" s="80">
        <f>IF( INDEX(BOND!$B$2:$CH$13, U$2, MATCH($B$14, BOND!$B$16:$CH$16, 0)+MATCH($C33, BOND!$C$18:$N$18,0) )=0,
"",
INDEX(BOND!$B$2:$CH$13, U$2, MATCH($B$14, BOND!$B$16:$CH$16, 0)+MATCH($C33, BOND!$C$18:$N$18,0)) )</f>
        <v>2.9140000000000001</v>
      </c>
      <c r="V33" s="80">
        <f>IF( INDEX(BOND!$B$2:$CH$13, V$2, MATCH($B$14, BOND!$B$16:$CH$16, 0)+MATCH($C33, BOND!$C$18:$N$18,0) )=0,
"",
INDEX(BOND!$B$2:$CH$13, V$2, MATCH($B$14, BOND!$B$16:$CH$16, 0)+MATCH($C33, BOND!$C$18:$N$18,0)) )</f>
        <v>2.8891249999999995</v>
      </c>
      <c r="W33" s="80">
        <f>IF( INDEX(BOND!$B$2:$CH$13, W$2, MATCH($B$14, BOND!$B$16:$CH$16, 0)+MATCH($C33, BOND!$C$18:$N$18,0) )=0,
"",
INDEX(BOND!$B$2:$CH$13, W$2, MATCH($B$14, BOND!$B$16:$CH$16, 0)+MATCH($C33, BOND!$C$18:$N$18,0)) )</f>
        <v>2.64</v>
      </c>
      <c r="X33" s="80">
        <f>IF( INDEX(BOND!$B$2:$CH$13, X$2, MATCH($B$14, BOND!$B$16:$CH$16, 0)+MATCH($C33, BOND!$C$18:$N$18,0) )=0,
"",
INDEX(BOND!$B$2:$CH$13, X$2, MATCH($B$14, BOND!$B$16:$CH$16, 0)+MATCH($C33, BOND!$C$18:$N$18,0)) )</f>
        <v>3.137</v>
      </c>
      <c r="Y33" s="80">
        <f>IF( INDEX(BOND!$B$2:$CH$13, Y$2, MATCH($B$14, BOND!$B$16:$CH$16, 0)+MATCH($C33, BOND!$C$18:$N$18,0) )=0,
"",
INDEX(BOND!$B$2:$CH$13, Y$2, MATCH($B$14, BOND!$B$16:$CH$16, 0)+MATCH($C33, BOND!$C$18:$N$18,0)) )</f>
        <v>3.0975359999999998</v>
      </c>
      <c r="Z33" s="80">
        <f>IF( INDEX(BOND!$B$2:$CH$13, Z$2, MATCH($B$14, BOND!$B$16:$CH$16, 0)+MATCH($C33, BOND!$C$18:$N$18,0) )=0,
"",
INDEX(BOND!$B$2:$CH$13, Z$2, MATCH($B$14, BOND!$B$16:$CH$16, 0)+MATCH($C33, BOND!$C$18:$N$18,0)) )</f>
        <v>2.64</v>
      </c>
      <c r="AA33" s="80">
        <f>IF( INDEX(BOND!$B$2:$CH$13, AA$2, MATCH($B$14, BOND!$B$16:$CH$16, 0)+MATCH($C33, BOND!$C$18:$N$18,0) )=0,
"",
INDEX(BOND!$B$2:$CH$13, AA$2, MATCH($B$14, BOND!$B$16:$CH$16, 0)+MATCH($C33, BOND!$C$18:$N$18,0)) )</f>
        <v>3.7109999999999999</v>
      </c>
    </row>
    <row r="34" spans="2:39">
      <c r="D34" s="45"/>
      <c r="E34" s="52" t="s">
        <v>267</v>
      </c>
      <c r="F34" s="81">
        <f>IF(F33=0,"",(F33-AD34)*IF($C$7=1,-1,1))</f>
        <v>0.14050000000000029</v>
      </c>
      <c r="G34" s="82">
        <f>IF(G33=0,"",(G33-AE34)*IF($C$7=1,-1,1))</f>
        <v>0.15249999999999986</v>
      </c>
      <c r="H34" s="82">
        <f>IF(H33=0,"",(H33-AF34)*IF($C$7=1,-1,1))</f>
        <v>0.15000000000000036</v>
      </c>
      <c r="I34" s="82">
        <f>IF(I33=0,"",(I33-AG34)*IF($C$7=1,-1,1))</f>
        <v>0.14999999999999991</v>
      </c>
      <c r="J34" s="82">
        <f>IF(J33=0,"",(J33-AH34)*IF($C$7=1,-1,1))</f>
        <v>0.14249999999999963</v>
      </c>
      <c r="K34" s="82">
        <f>IF(K33=0,"",(K33-AI34)*IF($C$7=1,-1,1))</f>
        <v>0.1469999999999998</v>
      </c>
      <c r="L34" s="82">
        <f>IF(L33=0,"",(L33-AJ34)*IF($C$7=1,-1,1))</f>
        <v>0.15000000000000036</v>
      </c>
      <c r="M34" s="82">
        <f>IF(M33=0,"",(M33-AK34)*IF($C$7=1,-1,1))</f>
        <v>0.14999999999999991</v>
      </c>
      <c r="N34" s="82">
        <f>IF(N33=0,"",(N33-AL34)*IF($C$7=1,-1,1))</f>
        <v>0.15200000000000014</v>
      </c>
      <c r="O34" s="82">
        <f>IF(O33=0,"",(O33-AM34)*IF($C$7=1,-1,1))</f>
        <v>0.1599999999999997</v>
      </c>
      <c r="P34" s="83">
        <f>IF(   P33="", "", (P33 - INDEX(IRS!$B$2:$Y$13, P$2, MATCH($E33,IRS!$B$1:$Y$1, 0)) ) * IF($C$7=1,-1,1)   )</f>
        <v>0.13740000000000041</v>
      </c>
      <c r="Q34" s="84">
        <f>IF(   Q33="", "", (Q33 - INDEX(IRS!$B$2:$Y$13, Q$2, MATCH($E33,IRS!$B$1:$Y$1, 0)) ) * IF($C$7=1,-1,1)   )</f>
        <v>0.11500000000000021</v>
      </c>
      <c r="R34" s="85">
        <f>IF(   R33="", "", (R33 - INDEX(IRS!$B$2:$Y$13, R$2, MATCH($E33,IRS!$B$1:$Y$1, 0)) ) * IF($C$7=1,-1,1)   )</f>
        <v>0.13249999999999984</v>
      </c>
      <c r="S34" s="86">
        <f>IF(   S33="", "", (S33 - INDEX(IRS!$B$2:$Y$13, S$2, MATCH($E33,IRS!$B$1:$Y$1, 0)) ) * IF($C$7=1,-1,1)   )</f>
        <v>0.12321666666666653</v>
      </c>
      <c r="T34" s="84">
        <f>IF(   T33="", "", (T33 - INDEX(IRS!$B$2:$Y$13, T$2, MATCH($E33,IRS!$B$1:$Y$1, 0)) ) * IF($C$7=1,-1,1)   )</f>
        <v>0.11500000000000021</v>
      </c>
      <c r="U34" s="87">
        <f>IF(   U33="", "", (U33 - INDEX(IRS!$B$2:$Y$13, U$2, MATCH($E33,IRS!$B$1:$Y$1, 0)) ) * IF($C$7=1,-1,1)   )</f>
        <v>8.1500000000000128E-2</v>
      </c>
      <c r="V34" s="83">
        <f>IF(   V33="", "", (V33 - INDEX(IRS!$B$2:$Y$13, V$2, MATCH($E33,IRS!$B$1:$Y$1, 0)) ) * IF($C$7=1,-1,1)   )</f>
        <v>0.11820833333333303</v>
      </c>
      <c r="W34" s="84">
        <f>IF(   W33="", "", (W33 - INDEX(IRS!$B$2:$Y$13, W$2, MATCH($E33,IRS!$B$1:$Y$1, 0)) ) * IF($C$7=1,-1,1)   )</f>
        <v>0.10499999999999998</v>
      </c>
      <c r="X34" s="85">
        <f>IF(   X33="", "", (X33 - INDEX(IRS!$B$2:$Y$13, X$2, MATCH($E33,IRS!$B$1:$Y$1, 0)) ) * IF($C$7=1,-1,1)   )</f>
        <v>8.1999999999999851E-2</v>
      </c>
      <c r="Y34" s="83">
        <f>IF(   Y33="", "", (Y33 - INDEX(IRS!$B$2:$Y$13, Y$2, MATCH($E33,IRS!$B$1:$Y$1, 0)) ) * IF($C$7=1,-1,1)   )</f>
        <v>0.12057600000000024</v>
      </c>
      <c r="Z34" s="84">
        <f>IF(   Z33="", "", (Z33 - INDEX(IRS!$B$2:$Y$13, Z$2, MATCH($E33,IRS!$B$1:$Y$1, 0)) ) * IF($C$7=1,-1,1)   )</f>
        <v>0.10499999999999998</v>
      </c>
      <c r="AA34" s="85">
        <f>IF(   AA33="", "", (AA33 - INDEX(IRS!$B$2:$Y$13, AA$2, MATCH($E33,IRS!$B$1:$Y$1, 0)) ) * IF($C$7=1,-1,1)   )</f>
        <v>0.12349999999999994</v>
      </c>
      <c r="AC34" s="6" t="str">
        <f>_xll.IMDH("IR",BOND!$CO24,BOND!$CP24,$O$9,$F$9,10,"Per=일, sort=D, real=true, Bizday=0, Quote=종가,Pos=10,Orient=H,DtFmt=1.TmFmt=1")</f>
        <v>조회[IRSTP1KRW10Y]</v>
      </c>
      <c r="AD34" s="6">
        <v>2.6724999999999999</v>
      </c>
      <c r="AE34" s="6">
        <v>2.6625000000000001</v>
      </c>
      <c r="AF34" s="6">
        <v>2.6549999999999998</v>
      </c>
      <c r="AG34" s="6">
        <v>2.645</v>
      </c>
      <c r="AH34" s="6">
        <v>2.6575000000000002</v>
      </c>
      <c r="AI34" s="6">
        <v>2.645</v>
      </c>
      <c r="AJ34" s="6">
        <v>2.6549999999999998</v>
      </c>
      <c r="AK34" s="6">
        <v>2.665</v>
      </c>
      <c r="AL34" s="6">
        <v>2.625</v>
      </c>
      <c r="AM34" s="6">
        <v>2.6</v>
      </c>
    </row>
    <row r="35" spans="2:39">
      <c r="B35" s="6" t="str">
        <f>_xll.IMDH("IR",$B$14,$C35,$O$9,$F$9,10,"Per=일, sort=D, real=true, Bizday=0, Quote=종가,Pos=40,Orient=H,DtFmt=1.TmFmt=1")</f>
        <v>조회[BONDAVG01]</v>
      </c>
      <c r="C35" s="6" t="s">
        <v>243</v>
      </c>
      <c r="D35" s="45"/>
      <c r="E35" s="51" t="s">
        <v>259</v>
      </c>
      <c r="F35" s="88">
        <v>2.7</v>
      </c>
      <c r="G35" s="89">
        <v>2.69</v>
      </c>
      <c r="H35" s="89">
        <v>2.665</v>
      </c>
      <c r="I35" s="89">
        <v>2.66</v>
      </c>
      <c r="J35" s="89">
        <v>2.66</v>
      </c>
      <c r="K35" s="89">
        <v>2.6749999999999998</v>
      </c>
      <c r="L35" s="89">
        <v>2.6880000000000002</v>
      </c>
      <c r="M35" s="89">
        <v>2.694</v>
      </c>
      <c r="N35" s="89">
        <v>2.6840000000000002</v>
      </c>
      <c r="O35" s="89">
        <v>2.6709999999999998</v>
      </c>
      <c r="P35" s="80">
        <f>IF( INDEX(BOND!$B$2:$CH$13, P$2, MATCH($B$14, BOND!$B$16:$CH$16, 0)+MATCH($C35, BOND!$C$18:$N$18,0) )=0,
"",
INDEX(BOND!$B$2:$CH$13, P$2, MATCH($B$14, BOND!$B$16:$CH$16, 0)+MATCH($C35, BOND!$C$18:$N$18,0)) )</f>
        <v>2.6848000000000001</v>
      </c>
      <c r="Q35" s="80">
        <f>IF( INDEX(BOND!$B$2:$CH$13, Q$2, MATCH($B$14, BOND!$B$16:$CH$16, 0)+MATCH($C35, BOND!$C$18:$N$18,0) )=0,
"",
INDEX(BOND!$B$2:$CH$13, Q$2, MATCH($B$14, BOND!$B$16:$CH$16, 0)+MATCH($C35, BOND!$C$18:$N$18,0)) )</f>
        <v>2.64</v>
      </c>
      <c r="R35" s="80">
        <f>IF( INDEX(BOND!$B$2:$CH$13, R$2, MATCH($B$14, BOND!$B$16:$CH$16, 0)+MATCH($C35, BOND!$C$18:$N$18,0) )=0,
"",
INDEX(BOND!$B$2:$CH$13, R$2, MATCH($B$14, BOND!$B$16:$CH$16, 0)+MATCH($C35, BOND!$C$18:$N$18,0)) )</f>
        <v>2.7440000000000002</v>
      </c>
      <c r="S35" s="80">
        <f>IF( INDEX(BOND!$B$2:$CH$13, S$2, MATCH($B$14, BOND!$B$16:$CH$16, 0)+MATCH($C35, BOND!$C$18:$N$18,0) )=0,
"",
INDEX(BOND!$B$2:$CH$13, S$2, MATCH($B$14, BOND!$B$16:$CH$16, 0)+MATCH($C35, BOND!$C$18:$N$18,0)) )</f>
        <v>2.7412333333333341</v>
      </c>
      <c r="T35" s="80">
        <f>IF( INDEX(BOND!$B$2:$CH$13, T$2, MATCH($B$14, BOND!$B$16:$CH$16, 0)+MATCH($C35, BOND!$C$18:$N$18,0) )=0,
"",
INDEX(BOND!$B$2:$CH$13, T$2, MATCH($B$14, BOND!$B$16:$CH$16, 0)+MATCH($C35, BOND!$C$18:$N$18,0)) )</f>
        <v>2.64</v>
      </c>
      <c r="U35" s="80">
        <f>IF( INDEX(BOND!$B$2:$CH$13, U$2, MATCH($B$14, BOND!$B$16:$CH$16, 0)+MATCH($C35, BOND!$C$18:$N$18,0) )=0,
"",
INDEX(BOND!$B$2:$CH$13, U$2, MATCH($B$14, BOND!$B$16:$CH$16, 0)+MATCH($C35, BOND!$C$18:$N$18,0)) )</f>
        <v>2.875</v>
      </c>
      <c r="V35" s="80">
        <f>IF( INDEX(BOND!$B$2:$CH$13, V$2, MATCH($B$14, BOND!$B$16:$CH$16, 0)+MATCH($C35, BOND!$C$18:$N$18,0) )=0,
"",
INDEX(BOND!$B$2:$CH$13, V$2, MATCH($B$14, BOND!$B$16:$CH$16, 0)+MATCH($C35, BOND!$C$18:$N$18,0)) )</f>
        <v>2.809150000000002</v>
      </c>
      <c r="W35" s="80">
        <f>IF( INDEX(BOND!$B$2:$CH$13, W$2, MATCH($B$14, BOND!$B$16:$CH$16, 0)+MATCH($C35, BOND!$C$18:$N$18,0) )=0,
"",
INDEX(BOND!$B$2:$CH$13, W$2, MATCH($B$14, BOND!$B$16:$CH$16, 0)+MATCH($C35, BOND!$C$18:$N$18,0)) )</f>
        <v>2.5649999999999999</v>
      </c>
      <c r="X35" s="80">
        <f>IF( INDEX(BOND!$B$2:$CH$13, X$2, MATCH($B$14, BOND!$B$16:$CH$16, 0)+MATCH($C35, BOND!$C$18:$N$18,0) )=0,
"",
INDEX(BOND!$B$2:$CH$13, X$2, MATCH($B$14, BOND!$B$16:$CH$16, 0)+MATCH($C35, BOND!$C$18:$N$18,0)) )</f>
        <v>3.04</v>
      </c>
      <c r="Y35" s="80">
        <f>IF( INDEX(BOND!$B$2:$CH$13, Y$2, MATCH($B$14, BOND!$B$16:$CH$16, 0)+MATCH($C35, BOND!$C$18:$N$18,0) )=0,
"",
INDEX(BOND!$B$2:$CH$13, Y$2, MATCH($B$14, BOND!$B$16:$CH$16, 0)+MATCH($C35, BOND!$C$18:$N$18,0)) )</f>
        <v>3.0372280000000016</v>
      </c>
      <c r="Z35" s="80">
        <f>IF( INDEX(BOND!$B$2:$CH$13, Z$2, MATCH($B$14, BOND!$B$16:$CH$16, 0)+MATCH($C35, BOND!$C$18:$N$18,0) )=0,
"",
INDEX(BOND!$B$2:$CH$13, Z$2, MATCH($B$14, BOND!$B$16:$CH$16, 0)+MATCH($C35, BOND!$C$18:$N$18,0)) )</f>
        <v>2.5649999999999999</v>
      </c>
      <c r="AA35" s="80">
        <f>IF( INDEX(BOND!$B$2:$CH$13, AA$2, MATCH($B$14, BOND!$B$16:$CH$16, 0)+MATCH($C35, BOND!$C$18:$N$18,0) )=0,
"",
INDEX(BOND!$B$2:$CH$13, AA$2, MATCH($B$14, BOND!$B$16:$CH$16, 0)+MATCH($C35, BOND!$C$18:$N$18,0)) )</f>
        <v>3.6150000000000002</v>
      </c>
    </row>
    <row r="36" spans="2:39">
      <c r="D36" s="45"/>
      <c r="E36" s="52" t="s">
        <v>267</v>
      </c>
      <c r="F36" s="81">
        <f>IF(F35=0,"",(F35-AD36)*IF($C$7=1,-1,1))</f>
        <v>0.16749999999999998</v>
      </c>
      <c r="G36" s="82">
        <f>IF(G35=0,"",(G35-AE36)*IF($C$7=1,-1,1))</f>
        <v>0.16500000000000004</v>
      </c>
      <c r="H36" s="82">
        <f>IF(H35=0,"",(H35-AF36)*IF($C$7=1,-1,1))</f>
        <v>0.14749999999999996</v>
      </c>
      <c r="I36" s="82">
        <f>IF(I35=0,"",(I35-AG36)*IF($C$7=1,-1,1))</f>
        <v>0.15500000000000025</v>
      </c>
      <c r="J36" s="82">
        <f>IF(J35=0,"",(J35-AH36)*IF($C$7=1,-1,1))</f>
        <v>0.14250000000000007</v>
      </c>
      <c r="K36" s="82">
        <f>IF(K35=0,"",(K35-AI36)*IF($C$7=1,-1,1))</f>
        <v>0.16999999999999993</v>
      </c>
      <c r="L36" s="82">
        <f>IF(L35=0,"",(L35-AJ36)*IF($C$7=1,-1,1))</f>
        <v>0.17300000000000004</v>
      </c>
      <c r="M36" s="82">
        <f>IF(M35=0,"",(M35-AK36)*IF($C$7=1,-1,1))</f>
        <v>0.16900000000000004</v>
      </c>
      <c r="N36" s="82">
        <f>IF(N35=0,"",(N35-AL36)*IF($C$7=1,-1,1))</f>
        <v>0.19900000000000029</v>
      </c>
      <c r="O36" s="82">
        <f>IF(O35=0,"",(O35-AM36)*IF($C$7=1,-1,1))</f>
        <v>0.21099999999999985</v>
      </c>
      <c r="P36" s="83">
        <f>IF(   P35="", "", (P35 - INDEX(IRS!$B$2:$Y$13, P$2, MATCH($E35,IRS!$B$1:$Y$1, 0)) ) * IF($C$7=1,-1,1)   )</f>
        <v>0.17892499999999956</v>
      </c>
      <c r="Q36" s="84">
        <f>IF(   Q35="", "", (Q35 - INDEX(IRS!$B$2:$Y$13, Q$2, MATCH($E35,IRS!$B$1:$Y$1, 0)) ) * IF($C$7=1,-1,1)   )</f>
        <v>0.18999999999999995</v>
      </c>
      <c r="R36" s="85">
        <f>IF(   R35="", "", (R35 - INDEX(IRS!$B$2:$Y$13, R$2, MATCH($E35,IRS!$B$1:$Y$1, 0)) ) * IF($C$7=1,-1,1)   )</f>
        <v>0.15900000000000025</v>
      </c>
      <c r="S36" s="86">
        <f>IF(   S35="", "", (S35 - INDEX(IRS!$B$2:$Y$13, S$2, MATCH($E35,IRS!$B$1:$Y$1, 0)) ) * IF($C$7=1,-1,1)   )</f>
        <v>0.20502500000000046</v>
      </c>
      <c r="T36" s="84">
        <f>IF(   T35="", "", (T35 - INDEX(IRS!$B$2:$Y$13, T$2, MATCH($E35,IRS!$B$1:$Y$1, 0)) ) * IF($C$7=1,-1,1)   )</f>
        <v>0.18999999999999995</v>
      </c>
      <c r="U36" s="87">
        <f>IF(   U35="", "", (U35 - INDEX(IRS!$B$2:$Y$13, U$2, MATCH($E35,IRS!$B$1:$Y$1, 0)) ) * IF($C$7=1,-1,1)   )</f>
        <v>0.24250000000000016</v>
      </c>
      <c r="V36" s="83">
        <f>IF(   V35="", "", (V35 - INDEX(IRS!$B$2:$Y$13, V$2, MATCH($E35,IRS!$B$1:$Y$1, 0)) ) * IF($C$7=1,-1,1)   )</f>
        <v>0.19187916666666816</v>
      </c>
      <c r="W36" s="84">
        <f>IF(   W35="", "", (W35 - INDEX(IRS!$B$2:$Y$13, W$2, MATCH($E35,IRS!$B$1:$Y$1, 0)) ) * IF($C$7=1,-1,1)   )</f>
        <v>0.20500000000000007</v>
      </c>
      <c r="X36" s="85">
        <f>IF(   X35="", "", (X35 - INDEX(IRS!$B$2:$Y$13, X$2, MATCH($E35,IRS!$B$1:$Y$1, 0)) ) * IF($C$7=1,-1,1)   )</f>
        <v>0.15249999999999986</v>
      </c>
      <c r="Y36" s="83">
        <f>IF(   Y35="", "", (Y35 - INDEX(IRS!$B$2:$Y$13, Y$2, MATCH($E35,IRS!$B$1:$Y$1, 0)) ) * IF($C$7=1,-1,1)   )</f>
        <v>0.18485800000000152</v>
      </c>
      <c r="Z36" s="84">
        <f>IF(   Z35="", "", (Z35 - INDEX(IRS!$B$2:$Y$13, Z$2, MATCH($E35,IRS!$B$1:$Y$1, 0)) ) * IF($C$7=1,-1,1)   )</f>
        <v>0.20500000000000007</v>
      </c>
      <c r="AA36" s="85">
        <f>IF(   AA35="", "", (AA35 - INDEX(IRS!$B$2:$Y$13, AA$2, MATCH($E35,IRS!$B$1:$Y$1, 0)) ) * IF($C$7=1,-1,1)   )</f>
        <v>0.13750000000000018</v>
      </c>
      <c r="AC36" s="6" t="str">
        <f>_xll.IMDH("IR",BOND!$CO25,BOND!$CP25,$O$9,$F$9,10,"Per=일, sort=D, real=true, Bizday=0, Quote=종가,Pos=10,Orient=H,DtFmt=1.TmFmt=1")</f>
        <v>조회[IRSTP1KRW20Y]</v>
      </c>
      <c r="AD36" s="6">
        <v>2.5325000000000002</v>
      </c>
      <c r="AE36" s="6">
        <v>2.5249999999999999</v>
      </c>
      <c r="AF36" s="6">
        <v>2.5175000000000001</v>
      </c>
      <c r="AG36" s="6">
        <v>2.5049999999999999</v>
      </c>
      <c r="AH36" s="6">
        <v>2.5175000000000001</v>
      </c>
      <c r="AI36" s="6">
        <v>2.5049999999999999</v>
      </c>
      <c r="AJ36" s="6">
        <v>2.5150000000000001</v>
      </c>
      <c r="AK36" s="6">
        <v>2.5249999999999999</v>
      </c>
      <c r="AL36" s="6">
        <v>2.4849999999999999</v>
      </c>
      <c r="AM36" s="6">
        <v>2.46</v>
      </c>
    </row>
    <row r="37" spans="2:39">
      <c r="B37" s="6" t="str">
        <f>_xll.IMDH("IR",$B$14,$C37,$O$9,$F$9,10,"Per=일, sort=D, real=true, Bizday=0, Quote=종가,Pos=40,Orient=H,DtFmt=1.TmFmt=1")</f>
        <v>조회[BONDAVG01]</v>
      </c>
      <c r="C37" s="6" t="s">
        <v>315</v>
      </c>
      <c r="D37" s="53"/>
      <c r="E37" s="51" t="s">
        <v>316</v>
      </c>
      <c r="F37" s="88">
        <v>2.58</v>
      </c>
      <c r="G37" s="89">
        <v>2.5670000000000002</v>
      </c>
      <c r="H37" s="89">
        <v>2.5470000000000002</v>
      </c>
      <c r="I37" s="89">
        <v>2.5470000000000002</v>
      </c>
      <c r="J37" s="89">
        <v>2.5569999999999999</v>
      </c>
      <c r="K37" s="89">
        <v>2.5750000000000002</v>
      </c>
      <c r="L37" s="89">
        <v>2.59</v>
      </c>
      <c r="M37" s="89">
        <v>2.59</v>
      </c>
      <c r="N37" s="89">
        <v>2.58</v>
      </c>
      <c r="O37" s="89">
        <v>2.5649999999999999</v>
      </c>
      <c r="P37" s="80">
        <f>IF( INDEX(BOND!$B$2:$CH$13, P$2, MATCH($B$14, BOND!$B$16:$CH$16, 0)+MATCH($C37, BOND!$C$18:$N$18,0) )=0,
"",
INDEX(BOND!$B$2:$CH$13, P$2, MATCH($B$14, BOND!$B$16:$CH$16, 0)+MATCH($C37, BOND!$C$18:$N$18,0)) )</f>
        <v>2.5786500000000006</v>
      </c>
      <c r="Q37" s="80">
        <f>IF( INDEX(BOND!$B$2:$CH$13, Q$2, MATCH($B$14, BOND!$B$16:$CH$16, 0)+MATCH($C37, BOND!$C$18:$N$18,0) )=0,
"",
INDEX(BOND!$B$2:$CH$13, Q$2, MATCH($B$14, BOND!$B$16:$CH$16, 0)+MATCH($C37, BOND!$C$18:$N$18,0)) )</f>
        <v>2.5419999999999998</v>
      </c>
      <c r="R37" s="80">
        <f>IF( INDEX(BOND!$B$2:$CH$13, R$2, MATCH($B$14, BOND!$B$16:$CH$16, 0)+MATCH($C37, BOND!$C$18:$N$18,0) )=0,
"",
INDEX(BOND!$B$2:$CH$13, R$2, MATCH($B$14, BOND!$B$16:$CH$16, 0)+MATCH($C37, BOND!$C$18:$N$18,0)) )</f>
        <v>2.645</v>
      </c>
      <c r="S37" s="80">
        <f>IF( INDEX(BOND!$B$2:$CH$13, S$2, MATCH($B$14, BOND!$B$16:$CH$16, 0)+MATCH($C37, BOND!$C$18:$N$18,0) )=0,
"",
INDEX(BOND!$B$2:$CH$13, S$2, MATCH($B$14, BOND!$B$16:$CH$16, 0)+MATCH($C37, BOND!$C$18:$N$18,0)) )</f>
        <v>2.6634833333333336</v>
      </c>
      <c r="T37" s="80">
        <f>IF( INDEX(BOND!$B$2:$CH$13, T$2, MATCH($B$14, BOND!$B$16:$CH$16, 0)+MATCH($C37, BOND!$C$18:$N$18,0) )=0,
"",
INDEX(BOND!$B$2:$CH$13, T$2, MATCH($B$14, BOND!$B$16:$CH$16, 0)+MATCH($C37, BOND!$C$18:$N$18,0)) )</f>
        <v>2.5419999999999998</v>
      </c>
      <c r="U37" s="80">
        <f>IF( INDEX(BOND!$B$2:$CH$13, U$2, MATCH($B$14, BOND!$B$16:$CH$16, 0)+MATCH($C37, BOND!$C$18:$N$18,0) )=0,
"",
INDEX(BOND!$B$2:$CH$13, U$2, MATCH($B$14, BOND!$B$16:$CH$16, 0)+MATCH($C37, BOND!$C$18:$N$18,0)) )</f>
        <v>2.81</v>
      </c>
      <c r="V37" s="80">
        <f>IF( INDEX(BOND!$B$2:$CH$13, V$2, MATCH($B$14, BOND!$B$16:$CH$16, 0)+MATCH($C37, BOND!$C$18:$N$18,0) )=0,
"",
INDEX(BOND!$B$2:$CH$13, V$2, MATCH($B$14, BOND!$B$16:$CH$16, 0)+MATCH($C37, BOND!$C$18:$N$18,0)) )</f>
        <v>2.7388833333333324</v>
      </c>
      <c r="W37" s="80">
        <f>IF( INDEX(BOND!$B$2:$CH$13, W$2, MATCH($B$14, BOND!$B$16:$CH$16, 0)+MATCH($C37, BOND!$C$18:$N$18,0) )=0,
"",
INDEX(BOND!$B$2:$CH$13, W$2, MATCH($B$14, BOND!$B$16:$CH$16, 0)+MATCH($C37, BOND!$C$18:$N$18,0)) )</f>
        <v>2.4769999999999999</v>
      </c>
      <c r="X37" s="80">
        <f>IF( INDEX(BOND!$B$2:$CH$13, X$2, MATCH($B$14, BOND!$B$16:$CH$16, 0)+MATCH($C37, BOND!$C$18:$N$18,0) )=0,
"",
INDEX(BOND!$B$2:$CH$13, X$2, MATCH($B$14, BOND!$B$16:$CH$16, 0)+MATCH($C37, BOND!$C$18:$N$18,0)) )</f>
        <v>2.972</v>
      </c>
      <c r="Y37" s="80">
        <f>IF( INDEX(BOND!$B$2:$CH$13, Y$2, MATCH($B$14, BOND!$B$16:$CH$16, 0)+MATCH($C37, BOND!$C$18:$N$18,0) )=0,
"",
INDEX(BOND!$B$2:$CH$13, Y$2, MATCH($B$14, BOND!$B$16:$CH$16, 0)+MATCH($C37, BOND!$C$18:$N$18,0)) )</f>
        <v>2.9623199999999996</v>
      </c>
      <c r="Z37" s="80">
        <f>IF( INDEX(BOND!$B$2:$CH$13, Z$2, MATCH($B$14, BOND!$B$16:$CH$16, 0)+MATCH($C37, BOND!$C$18:$N$18,0) )=0,
"",
INDEX(BOND!$B$2:$CH$13, Z$2, MATCH($B$14, BOND!$B$16:$CH$16, 0)+MATCH($C37, BOND!$C$18:$N$18,0)) )</f>
        <v>2.4769999999999999</v>
      </c>
      <c r="AA37" s="80">
        <f>IF( INDEX(BOND!$B$2:$CH$13, AA$2, MATCH($B$14, BOND!$B$16:$CH$16, 0)+MATCH($C37, BOND!$C$18:$N$18,0) )=0,
"",
INDEX(BOND!$B$2:$CH$13, AA$2, MATCH($B$14, BOND!$B$16:$CH$16, 0)+MATCH($C37, BOND!$C$18:$N$18,0)) )</f>
        <v>3.5230000000000001</v>
      </c>
    </row>
    <row r="38" spans="2:39">
      <c r="D38" s="53"/>
      <c r="E38" s="52" t="s">
        <v>267</v>
      </c>
      <c r="F38" s="81">
        <f>IF(F37=0,"",(F37-AD38)*IF($C$7=1,-1,1))</f>
        <v>0.32750000000000012</v>
      </c>
      <c r="G38" s="82">
        <f>IF(G37=0,"",(G37-AE38)*IF($C$7=1,-1,1))</f>
        <v>0.29700000000000015</v>
      </c>
      <c r="H38" s="82">
        <f>IF(H37=0,"",(H37-AF38)*IF($C$7=1,-1,1))</f>
        <v>0.28449999999999998</v>
      </c>
      <c r="I38" s="82">
        <f>IF(I37=0,"",(I37-AG38)*IF($C$7=1,-1,1))</f>
        <v>0.29700000000000015</v>
      </c>
      <c r="J38" s="82">
        <f>IF(J37=0,"",(J37-AH38)*IF($C$7=1,-1,1))</f>
        <v>0.29449999999999976</v>
      </c>
      <c r="K38" s="82">
        <f>IF(K37=0,"",(K37-AI38)*IF($C$7=1,-1,1))</f>
        <v>0.32500000000000018</v>
      </c>
      <c r="L38" s="82">
        <f>IF(L37=0,"",(L37-AJ38)*IF($C$7=1,-1,1))</f>
        <v>0.33000000000000007</v>
      </c>
      <c r="M38" s="82">
        <f>IF(M37=0,"",(M37-AK38)*IF($C$7=1,-1,1))</f>
        <v>0.31999999999999984</v>
      </c>
      <c r="N38" s="82">
        <f>IF(N37=0,"",(N37-AL38)*IF($C$7=1,-1,1))</f>
        <v>0.35000000000000009</v>
      </c>
      <c r="O38" s="82">
        <f>IF(O37=0,"",(O37-AM38)*IF($C$7=1,-1,1))</f>
        <v>0.35999999999999988</v>
      </c>
      <c r="P38" s="83">
        <f>IF(   P37="", "", (P37 - INDEX(IRS!$B$2:$Y$13, P$2, MATCH($E37,IRS!$B$1:$Y$1, 0)) ) * IF($C$7=1,-1,1)   )</f>
        <v>0.32902500000000012</v>
      </c>
      <c r="Q38" s="84">
        <f>IF(   Q37="", "", (Q37 - INDEX(IRS!$B$2:$Y$13, Q$2, MATCH($E37,IRS!$B$1:$Y$1, 0)) ) * IF($C$7=1,-1,1)   )</f>
        <v>0.34699999999999998</v>
      </c>
      <c r="R38" s="85">
        <f>IF(   R37="", "", (R37 - INDEX(IRS!$B$2:$Y$13, R$2, MATCH($E37,IRS!$B$1:$Y$1, 0)) ) * IF($C$7=1,-1,1)   )</f>
        <v>0.31499999999999995</v>
      </c>
      <c r="S38" s="86">
        <f>IF(   S37="", "", (S37 - INDEX(IRS!$B$2:$Y$13, S$2, MATCH($E37,IRS!$B$1:$Y$1, 0)) ) * IF($C$7=1,-1,1)   )</f>
        <v>0.39056666666666695</v>
      </c>
      <c r="T38" s="84">
        <f>IF(   T37="", "", (T37 - INDEX(IRS!$B$2:$Y$13, T$2, MATCH($E37,IRS!$B$1:$Y$1, 0)) ) * IF($C$7=1,-1,1)   )</f>
        <v>0.34699999999999998</v>
      </c>
      <c r="U38" s="87">
        <f>IF(   U37="", "", (U37 - INDEX(IRS!$B$2:$Y$13, U$2, MATCH($E37,IRS!$B$1:$Y$1, 0)) ) * IF($C$7=1,-1,1)   )</f>
        <v>0.44249999999999989</v>
      </c>
      <c r="V38" s="83">
        <f>IF(   V37="", "", (V37 - INDEX(IRS!$B$2:$Y$13, V$2, MATCH($E37,IRS!$B$1:$Y$1, 0)) ) * IF($C$7=1,-1,1)   )</f>
        <v>0.39534166666666515</v>
      </c>
      <c r="W38" s="84">
        <f>IF(   W37="", "", (W37 - INDEX(IRS!$B$2:$Y$13, W$2, MATCH($E37,IRS!$B$1:$Y$1, 0)) ) * IF($C$7=1,-1,1)   )</f>
        <v>0.38700000000000001</v>
      </c>
      <c r="X38" s="85">
        <f>IF(   X37="", "", (X37 - INDEX(IRS!$B$2:$Y$13, X$2, MATCH($E37,IRS!$B$1:$Y$1, 0)) ) * IF($C$7=1,-1,1)   )</f>
        <v>0.35449999999999982</v>
      </c>
      <c r="Y38" s="83">
        <f>IF(   Y37="", "", (Y37 - INDEX(IRS!$B$2:$Y$13, Y$2, MATCH($E37,IRS!$B$1:$Y$1, 0)) ) * IF($C$7=1,-1,1)   )</f>
        <v>0.39389999999999903</v>
      </c>
      <c r="Z38" s="84">
        <f>IF(   Z37="", "", (Z37 - INDEX(IRS!$B$2:$Y$13, Z$2, MATCH($E37,IRS!$B$1:$Y$1, 0)) ) * IF($C$7=1,-1,1)   )</f>
        <v>0.38700000000000001</v>
      </c>
      <c r="AA38" s="85">
        <f>IF(   AA37="", "", (AA37 - INDEX(IRS!$B$2:$Y$13, AA$2, MATCH($E37,IRS!$B$1:$Y$1, 0)) ) * IF($C$7=1,-1,1)   )</f>
        <v>0.30550000000000033</v>
      </c>
      <c r="AC38" s="6" t="str">
        <f>_xll.IMDH("IR",BOND!$CO26,BOND!$CP26,$O$9,$F$9,10,"Per=일, sort=D, real=true, Bizday=0, Quote=종가,Pos=10,Orient=H,DtFmt=1.TmFmt=1")</f>
        <v>조회[IRSTP1KRW30Y]</v>
      </c>
      <c r="AD38" s="6">
        <v>2.2524999999999999</v>
      </c>
      <c r="AE38" s="6">
        <v>2.27</v>
      </c>
      <c r="AF38" s="6">
        <v>2.2625000000000002</v>
      </c>
      <c r="AG38" s="6">
        <v>2.25</v>
      </c>
      <c r="AH38" s="6">
        <v>2.2625000000000002</v>
      </c>
      <c r="AI38" s="6">
        <v>2.25</v>
      </c>
      <c r="AJ38" s="6">
        <v>2.2599999999999998</v>
      </c>
      <c r="AK38" s="6">
        <v>2.27</v>
      </c>
      <c r="AL38" s="6">
        <v>2.23</v>
      </c>
      <c r="AM38" s="6">
        <v>2.2050000000000001</v>
      </c>
    </row>
    <row r="39" spans="2:39">
      <c r="C39" s="6">
        <v>15</v>
      </c>
      <c r="D39" s="45"/>
      <c r="E39" s="56" t="s">
        <v>225</v>
      </c>
      <c r="F39" s="63">
        <f>F$9</f>
        <v>45741</v>
      </c>
      <c r="G39" s="65">
        <f t="shared" ref="G39:N39" si="1">G$9</f>
        <v>45740</v>
      </c>
      <c r="H39" s="65">
        <f t="shared" si="1"/>
        <v>45737</v>
      </c>
      <c r="I39" s="65">
        <f t="shared" si="1"/>
        <v>45736</v>
      </c>
      <c r="J39" s="65">
        <f t="shared" si="1"/>
        <v>45735</v>
      </c>
      <c r="K39" s="65">
        <f t="shared" si="1"/>
        <v>45734</v>
      </c>
      <c r="L39" s="65">
        <f t="shared" si="1"/>
        <v>45733</v>
      </c>
      <c r="M39" s="65">
        <f t="shared" si="1"/>
        <v>45730</v>
      </c>
      <c r="N39" s="61">
        <f t="shared" si="1"/>
        <v>45729</v>
      </c>
      <c r="O39" s="59">
        <f>O$9</f>
        <v>45728</v>
      </c>
      <c r="P39" s="68" t="str">
        <f>$P$13</f>
        <v>20D</v>
      </c>
      <c r="Q39" s="68"/>
      <c r="R39" s="68"/>
      <c r="S39" s="68" t="str">
        <f>$S$13</f>
        <v>60D</v>
      </c>
      <c r="T39" s="68"/>
      <c r="U39" s="68"/>
      <c r="V39" s="68" t="str">
        <f>$V$13</f>
        <v>120D</v>
      </c>
      <c r="W39" s="68"/>
      <c r="X39" s="68"/>
      <c r="Y39" s="68" t="str">
        <f>$Y$13</f>
        <v>250D</v>
      </c>
      <c r="Z39" s="68"/>
      <c r="AA39" s="68"/>
    </row>
    <row r="40" spans="2:39">
      <c r="B40" s="6" t="str">
        <f>INDEX(code_list,$C39,1)</f>
        <v>BONDAVG14</v>
      </c>
      <c r="C40" s="6" t="str">
        <f>INDEX(name_list,$C39,1)</f>
        <v>통안증권</v>
      </c>
      <c r="D40" s="45"/>
      <c r="E40" s="57"/>
      <c r="F40" s="64"/>
      <c r="G40" s="66"/>
      <c r="H40" s="66"/>
      <c r="I40" s="66"/>
      <c r="J40" s="66"/>
      <c r="K40" s="66"/>
      <c r="L40" s="66"/>
      <c r="M40" s="66"/>
      <c r="N40" s="62"/>
      <c r="O40" s="60"/>
      <c r="P40" s="55" t="s">
        <v>21</v>
      </c>
      <c r="Q40" s="55" t="s">
        <v>22</v>
      </c>
      <c r="R40" s="55" t="s">
        <v>23</v>
      </c>
      <c r="S40" s="55" t="s">
        <v>21</v>
      </c>
      <c r="T40" s="55" t="s">
        <v>22</v>
      </c>
      <c r="U40" s="55" t="s">
        <v>23</v>
      </c>
      <c r="V40" s="55" t="s">
        <v>21</v>
      </c>
      <c r="W40" s="55" t="s">
        <v>22</v>
      </c>
      <c r="X40" s="55" t="s">
        <v>23</v>
      </c>
      <c r="Y40" s="55" t="s">
        <v>21</v>
      </c>
      <c r="Z40" s="55" t="s">
        <v>22</v>
      </c>
      <c r="AA40" s="55" t="s">
        <v>23</v>
      </c>
    </row>
    <row r="41" spans="2:39">
      <c r="B41" s="6" t="str">
        <f>_xll.IMDH("IR",$B$40,$C41,$O$9,$F$9,10,"Per=일, sort=D, real=true, Bizday=0, Quote=종가,Pos=40,Orient=H,DtFmt=1.TmFmt=1")</f>
        <v>조회[BONDAVG14]</v>
      </c>
      <c r="C41" s="6" t="s">
        <v>297</v>
      </c>
      <c r="D41" s="45"/>
      <c r="E41" s="51" t="s">
        <v>249</v>
      </c>
      <c r="F41" s="88">
        <v>2.6640000000000001</v>
      </c>
      <c r="G41" s="89">
        <v>2.6659999999999999</v>
      </c>
      <c r="H41" s="89">
        <v>2.661</v>
      </c>
      <c r="I41" s="89">
        <v>2.6549999999999998</v>
      </c>
      <c r="J41" s="89">
        <v>2.6560000000000001</v>
      </c>
      <c r="K41" s="89">
        <v>2.6560000000000001</v>
      </c>
      <c r="L41" s="89">
        <v>2.6560000000000001</v>
      </c>
      <c r="M41" s="89">
        <v>2.66</v>
      </c>
      <c r="N41" s="89">
        <v>2.66</v>
      </c>
      <c r="O41" s="89">
        <v>2.6560000000000001</v>
      </c>
      <c r="P41" s="80">
        <f>IF( INDEX(BOND!$B$2:$CH$13, P$2, MATCH($B$40, BOND!$B$16:$CH$16, 0)+MATCH($C41, BOND!$C$18:$N$18,0) )=0,
"",
INDEX(BOND!$B$2:$CH$13, P$2, MATCH($B$40, BOND!$B$16:$CH$16, 0)+MATCH($C41, BOND!$C$18:$N$18,0)) )</f>
        <v>2.6650999999999998</v>
      </c>
      <c r="Q41" s="80">
        <f>IF( INDEX(BOND!$B$2:$CH$13, Q$2, MATCH($B$40, BOND!$B$16:$CH$16, 0)+MATCH($C41, BOND!$C$18:$N$18,0) )=0,
"",
INDEX(BOND!$B$2:$CH$13, Q$2, MATCH($B$40, BOND!$B$16:$CH$16, 0)+MATCH($C41, BOND!$C$18:$N$18,0)) )</f>
        <v>2.6549999999999998</v>
      </c>
      <c r="R41" s="80">
        <f>IF( INDEX(BOND!$B$2:$CH$13, R$2, MATCH($B$40, BOND!$B$16:$CH$16, 0)+MATCH($C41, BOND!$C$18:$N$18,0) )=0,
"",
INDEX(BOND!$B$2:$CH$13, R$2, MATCH($B$40, BOND!$B$16:$CH$16, 0)+MATCH($C41, BOND!$C$18:$N$18,0)) )</f>
        <v>2.681</v>
      </c>
      <c r="S41" s="80">
        <f>IF( INDEX(BOND!$B$2:$CH$13, S$2, MATCH($B$40, BOND!$B$16:$CH$16, 0)+MATCH($C41, BOND!$C$18:$N$18,0) )=0,
"",
INDEX(BOND!$B$2:$CH$13, S$2, MATCH($B$40, BOND!$B$16:$CH$16, 0)+MATCH($C41, BOND!$C$18:$N$18,0)) )</f>
        <v>2.7153666666666658</v>
      </c>
      <c r="T41" s="80">
        <f>IF( INDEX(BOND!$B$2:$CH$13, T$2, MATCH($B$40, BOND!$B$16:$CH$16, 0)+MATCH($C41, BOND!$C$18:$N$18,0) )=0,
"",
INDEX(BOND!$B$2:$CH$13, T$2, MATCH($B$40, BOND!$B$16:$CH$16, 0)+MATCH($C41, BOND!$C$18:$N$18,0)) )</f>
        <v>2.6549999999999998</v>
      </c>
      <c r="U41" s="80">
        <f>IF( INDEX(BOND!$B$2:$CH$13, U$2, MATCH($B$40, BOND!$B$16:$CH$16, 0)+MATCH($C41, BOND!$C$18:$N$18,0) )=0,
"",
INDEX(BOND!$B$2:$CH$13, U$2, MATCH($B$40, BOND!$B$16:$CH$16, 0)+MATCH($C41, BOND!$C$18:$N$18,0)) )</f>
        <v>2.843</v>
      </c>
      <c r="V41" s="80">
        <f>IF( INDEX(BOND!$B$2:$CH$13, V$2, MATCH($B$40, BOND!$B$16:$CH$16, 0)+MATCH($C41, BOND!$C$18:$N$18,0) )=0,
"",
INDEX(BOND!$B$2:$CH$13, V$2, MATCH($B$40, BOND!$B$16:$CH$16, 0)+MATCH($C41, BOND!$C$18:$N$18,0)) )</f>
        <v>2.8161083333333328</v>
      </c>
      <c r="W41" s="80">
        <f>IF( INDEX(BOND!$B$2:$CH$13, W$2, MATCH($B$40, BOND!$B$16:$CH$16, 0)+MATCH($C41, BOND!$C$18:$N$18,0) )=0,
"",
INDEX(BOND!$B$2:$CH$13, W$2, MATCH($B$40, BOND!$B$16:$CH$16, 0)+MATCH($C41, BOND!$C$18:$N$18,0)) )</f>
        <v>2.6549999999999998</v>
      </c>
      <c r="X41" s="80">
        <f>IF( INDEX(BOND!$B$2:$CH$13, X$2, MATCH($B$40, BOND!$B$16:$CH$16, 0)+MATCH($C41, BOND!$C$18:$N$18,0) )=0,
"",
INDEX(BOND!$B$2:$CH$13, X$2, MATCH($B$40, BOND!$B$16:$CH$16, 0)+MATCH($C41, BOND!$C$18:$N$18,0)) )</f>
        <v>3.0259999999999998</v>
      </c>
      <c r="Y41" s="80">
        <f>IF( INDEX(BOND!$B$2:$CH$13, Y$2, MATCH($B$40, BOND!$B$16:$CH$16, 0)+MATCH($C41, BOND!$C$18:$N$18,0) )=0,
"",
INDEX(BOND!$B$2:$CH$13, Y$2, MATCH($B$40, BOND!$B$16:$CH$16, 0)+MATCH($C41, BOND!$C$18:$N$18,0)) )</f>
        <v>3.0799599999999958</v>
      </c>
      <c r="Z41" s="80">
        <f>IF( INDEX(BOND!$B$2:$CH$13, Z$2, MATCH($B$40, BOND!$B$16:$CH$16, 0)+MATCH($C41, BOND!$C$18:$N$18,0) )=0,
"",
INDEX(BOND!$B$2:$CH$13, Z$2, MATCH($B$40, BOND!$B$16:$CH$16, 0)+MATCH($C41, BOND!$C$18:$N$18,0)) )</f>
        <v>2.6549999999999998</v>
      </c>
      <c r="AA41" s="80">
        <f>IF( INDEX(BOND!$B$2:$CH$13, AA$2, MATCH($B$40, BOND!$B$16:$CH$16, 0)+MATCH($C41, BOND!$C$18:$N$18,0) )=0,
"",
INDEX(BOND!$B$2:$CH$13, AA$2, MATCH($B$40, BOND!$B$16:$CH$16, 0)+MATCH($C41, BOND!$C$18:$N$18,0)) )</f>
        <v>3.448</v>
      </c>
    </row>
    <row r="42" spans="2:39">
      <c r="D42" s="45"/>
      <c r="E42" s="52" t="s">
        <v>267</v>
      </c>
      <c r="F42" s="81">
        <f>IF(F41=0,"",(F41-AD16)*IF($C$7=1,-1,1))</f>
        <v>-0.10849999999999982</v>
      </c>
      <c r="G42" s="82">
        <f>IF(G41=0,"",(G41-AE16)*IF($C$7=1,-1,1))</f>
        <v>-9.9000000000000199E-2</v>
      </c>
      <c r="H42" s="82">
        <f>IF(H41=0,"",(H41-AF16)*IF($C$7=1,-1,1))</f>
        <v>-0.10150000000000015</v>
      </c>
      <c r="I42" s="82">
        <f>IF(I41=0,"",(I41-AG16)*IF($C$7=1,-1,1))</f>
        <v>-0.10499999999999998</v>
      </c>
      <c r="J42" s="82">
        <f>IF(J41=0,"",(J41-AH16)*IF($C$7=1,-1,1))</f>
        <v>-0.11149999999999993</v>
      </c>
      <c r="K42" s="82">
        <f>IF(K41=0,"",(K41-AI16)*IF($C$7=1,-1,1))</f>
        <v>-0.10899999999999999</v>
      </c>
      <c r="L42" s="82">
        <f>IF(L41=0,"",(L41-AJ16)*IF($C$7=1,-1,1))</f>
        <v>-0.10899999999999999</v>
      </c>
      <c r="M42" s="82">
        <f>IF(M41=0,"",(M41-AK16)*IF($C$7=1,-1,1))</f>
        <v>-9.9999999999999645E-2</v>
      </c>
      <c r="N42" s="82">
        <f>IF(N41=0,"",(N41-AL16)*IF($C$7=1,-1,1))</f>
        <v>-9.7499999999999698E-2</v>
      </c>
      <c r="O42" s="82">
        <f>IF(O41=0,"",(O41-AM16)*IF($C$7=1,-1,1))</f>
        <v>-8.8999999999999968E-2</v>
      </c>
      <c r="P42" s="83">
        <f>IF(   P41="", "", (P41 - INDEX(IRS!$B$2:$Y$13, P$2, MATCH($E41,IRS!$B$1:$Y$1, 0)) ) * IF($C$7=1,-1,1)   )</f>
        <v>-0.10065000000000035</v>
      </c>
      <c r="Q42" s="84">
        <f>IF(   Q41="", "", (Q41 - INDEX(IRS!$B$2:$Y$13, Q$2, MATCH($E41,IRS!$B$1:$Y$1, 0)) ) * IF($C$7=1,-1,1)   )</f>
        <v>-9.0000000000000302E-2</v>
      </c>
      <c r="R42" s="85">
        <f>IF(   R41="", "", (R41 - INDEX(IRS!$B$2:$Y$13, R$2, MATCH($E41,IRS!$B$1:$Y$1, 0)) ) * IF($C$7=1,-1,1)   )</f>
        <v>-0.11899999999999977</v>
      </c>
      <c r="S42" s="86">
        <f>IF(   S41="", "", (S41 - INDEX(IRS!$B$2:$Y$13, S$2, MATCH($E41,IRS!$B$1:$Y$1, 0)) ) * IF($C$7=1,-1,1)   )</f>
        <v>-0.16250833333333459</v>
      </c>
      <c r="T42" s="84">
        <f>IF(   T41="", "", (T41 - INDEX(IRS!$B$2:$Y$13, T$2, MATCH($E41,IRS!$B$1:$Y$1, 0)) ) * IF($C$7=1,-1,1)   )</f>
        <v>-9.0000000000000302E-2</v>
      </c>
      <c r="U42" s="87">
        <f>IF(   U41="", "", (U41 - INDEX(IRS!$B$2:$Y$13, U$2, MATCH($E41,IRS!$B$1:$Y$1, 0)) ) * IF($C$7=1,-1,1)   )</f>
        <v>-0.34450000000000003</v>
      </c>
      <c r="V42" s="83">
        <f>IF(   V41="", "", (V41 - INDEX(IRS!$B$2:$Y$13, V$2, MATCH($E41,IRS!$B$1:$Y$1, 0)) ) * IF($C$7=1,-1,1)   )</f>
        <v>-0.24853750000000163</v>
      </c>
      <c r="W42" s="84">
        <f>IF(   W41="", "", (W41 - INDEX(IRS!$B$2:$Y$13, W$2, MATCH($E41,IRS!$B$1:$Y$1, 0)) ) * IF($C$7=1,-1,1)   )</f>
        <v>-9.0000000000000302E-2</v>
      </c>
      <c r="X42" s="85">
        <f>IF(   X41="", "", (X41 - INDEX(IRS!$B$2:$Y$13, X$2, MATCH($E41,IRS!$B$1:$Y$1, 0)) ) * IF($C$7=1,-1,1)   )</f>
        <v>-0.38650000000000029</v>
      </c>
      <c r="Y42" s="83">
        <f>IF(   Y41="", "", (Y41 - INDEX(IRS!$B$2:$Y$13, Y$2, MATCH($E41,IRS!$B$1:$Y$1, 0)) ) * IF($C$7=1,-1,1)   )</f>
        <v>-0.21983000000000619</v>
      </c>
      <c r="Z42" s="84">
        <f>IF(   Z41="", "", (Z41 - INDEX(IRS!$B$2:$Y$13, Z$2, MATCH($E41,IRS!$B$1:$Y$1, 0)) ) * IF($C$7=1,-1,1)   )</f>
        <v>-9.0000000000000302E-2</v>
      </c>
      <c r="AA42" s="85">
        <f>IF(   AA41="", "", (AA41 - INDEX(IRS!$B$2:$Y$13, AA$2, MATCH($E41,IRS!$B$1:$Y$1, 0)) ) * IF($C$7=1,-1,1)   )</f>
        <v>-0.18950000000000022</v>
      </c>
    </row>
    <row r="43" spans="2:39">
      <c r="B43" s="6" t="str">
        <f>_xll.IMDH("IR",$B$40,$C43,$O$9,$F$9,10,"Per=일, sort=D, real=true, Bizday=0, Quote=종가,Pos=40,Orient=H,DtFmt=1.TmFmt=1")</f>
        <v>조회[BONDAVG14]</v>
      </c>
      <c r="C43" s="6" t="s">
        <v>298</v>
      </c>
      <c r="D43" s="45"/>
      <c r="E43" s="51" t="s">
        <v>250</v>
      </c>
      <c r="F43" s="88">
        <v>2.6190000000000002</v>
      </c>
      <c r="G43" s="89">
        <v>2.6219999999999999</v>
      </c>
      <c r="H43" s="89">
        <v>2.6150000000000002</v>
      </c>
      <c r="I43" s="89">
        <v>2.6080000000000001</v>
      </c>
      <c r="J43" s="89">
        <v>2.61</v>
      </c>
      <c r="K43" s="89">
        <v>2.61</v>
      </c>
      <c r="L43" s="89">
        <v>2.6110000000000002</v>
      </c>
      <c r="M43" s="89">
        <v>2.6150000000000002</v>
      </c>
      <c r="N43" s="89">
        <v>2.613</v>
      </c>
      <c r="O43" s="89">
        <v>2.6080000000000001</v>
      </c>
      <c r="P43" s="80">
        <f>IF( INDEX(BOND!$B$2:$CH$13, P$2, MATCH($B$40, BOND!$B$16:$CH$16, 0)+MATCH($C43, BOND!$C$18:$N$18,0) )=0,
"",
INDEX(BOND!$B$2:$CH$13, P$2, MATCH($B$40, BOND!$B$16:$CH$16, 0)+MATCH($C43, BOND!$C$18:$N$18,0)) )</f>
        <v>2.6151999999999993</v>
      </c>
      <c r="Q43" s="80">
        <f>IF( INDEX(BOND!$B$2:$CH$13, Q$2, MATCH($B$40, BOND!$B$16:$CH$16, 0)+MATCH($C43, BOND!$C$18:$N$18,0) )=0,
"",
INDEX(BOND!$B$2:$CH$13, Q$2, MATCH($B$40, BOND!$B$16:$CH$16, 0)+MATCH($C43, BOND!$C$18:$N$18,0)) )</f>
        <v>2.6080000000000001</v>
      </c>
      <c r="R43" s="80">
        <f>IF( INDEX(BOND!$B$2:$CH$13, R$2, MATCH($B$40, BOND!$B$16:$CH$16, 0)+MATCH($C43, BOND!$C$18:$N$18,0) )=0,
"",
INDEX(BOND!$B$2:$CH$13, R$2, MATCH($B$40, BOND!$B$16:$CH$16, 0)+MATCH($C43, BOND!$C$18:$N$18,0)) )</f>
        <v>2.6230000000000002</v>
      </c>
      <c r="S43" s="80">
        <f>IF( INDEX(BOND!$B$2:$CH$13, S$2, MATCH($B$40, BOND!$B$16:$CH$16, 0)+MATCH($C43, BOND!$C$18:$N$18,0) )=0,
"",
INDEX(BOND!$B$2:$CH$13, S$2, MATCH($B$40, BOND!$B$16:$CH$16, 0)+MATCH($C43, BOND!$C$18:$N$18,0)) )</f>
        <v>2.6370166666666672</v>
      </c>
      <c r="T43" s="80">
        <f>IF( INDEX(BOND!$B$2:$CH$13, T$2, MATCH($B$40, BOND!$B$16:$CH$16, 0)+MATCH($C43, BOND!$C$18:$N$18,0) )=0,
"",
INDEX(BOND!$B$2:$CH$13, T$2, MATCH($B$40, BOND!$B$16:$CH$16, 0)+MATCH($C43, BOND!$C$18:$N$18,0)) )</f>
        <v>2.6080000000000001</v>
      </c>
      <c r="U43" s="80">
        <f>IF( INDEX(BOND!$B$2:$CH$13, U$2, MATCH($B$40, BOND!$B$16:$CH$16, 0)+MATCH($C43, BOND!$C$18:$N$18,0) )=0,
"",
INDEX(BOND!$B$2:$CH$13, U$2, MATCH($B$40, BOND!$B$16:$CH$16, 0)+MATCH($C43, BOND!$C$18:$N$18,0)) )</f>
        <v>2.758</v>
      </c>
      <c r="V43" s="80">
        <f>IF( INDEX(BOND!$B$2:$CH$13, V$2, MATCH($B$40, BOND!$B$16:$CH$16, 0)+MATCH($C43, BOND!$C$18:$N$18,0) )=0,
"",
INDEX(BOND!$B$2:$CH$13, V$2, MATCH($B$40, BOND!$B$16:$CH$16, 0)+MATCH($C43, BOND!$C$18:$N$18,0)) )</f>
        <v>2.7359583333333339</v>
      </c>
      <c r="W43" s="80">
        <f>IF( INDEX(BOND!$B$2:$CH$13, W$2, MATCH($B$40, BOND!$B$16:$CH$16, 0)+MATCH($C43, BOND!$C$18:$N$18,0) )=0,
"",
INDEX(BOND!$B$2:$CH$13, W$2, MATCH($B$40, BOND!$B$16:$CH$16, 0)+MATCH($C43, BOND!$C$18:$N$18,0)) )</f>
        <v>2.6080000000000001</v>
      </c>
      <c r="X43" s="80">
        <f>IF( INDEX(BOND!$B$2:$CH$13, X$2, MATCH($B$40, BOND!$B$16:$CH$16, 0)+MATCH($C43, BOND!$C$18:$N$18,0) )=0,
"",
INDEX(BOND!$B$2:$CH$13, X$2, MATCH($B$40, BOND!$B$16:$CH$16, 0)+MATCH($C43, BOND!$C$18:$N$18,0)) )</f>
        <v>2.9169999999999998</v>
      </c>
      <c r="Y43" s="80">
        <f>IF( INDEX(BOND!$B$2:$CH$13, Y$2, MATCH($B$40, BOND!$B$16:$CH$16, 0)+MATCH($C43, BOND!$C$18:$N$18,0) )=0,
"",
INDEX(BOND!$B$2:$CH$13, Y$2, MATCH($B$40, BOND!$B$16:$CH$16, 0)+MATCH($C43, BOND!$C$18:$N$18,0)) )</f>
        <v>3.0168960000000009</v>
      </c>
      <c r="Z43" s="80">
        <f>IF( INDEX(BOND!$B$2:$CH$13, Z$2, MATCH($B$40, BOND!$B$16:$CH$16, 0)+MATCH($C43, BOND!$C$18:$N$18,0) )=0,
"",
INDEX(BOND!$B$2:$CH$13, Z$2, MATCH($B$40, BOND!$B$16:$CH$16, 0)+MATCH($C43, BOND!$C$18:$N$18,0)) )</f>
        <v>2.6080000000000001</v>
      </c>
      <c r="AA43" s="80">
        <f>IF( INDEX(BOND!$B$2:$CH$13, AA$2, MATCH($B$40, BOND!$B$16:$CH$16, 0)+MATCH($C43, BOND!$C$18:$N$18,0) )=0,
"",
INDEX(BOND!$B$2:$CH$13, AA$2, MATCH($B$40, BOND!$B$16:$CH$16, 0)+MATCH($C43, BOND!$C$18:$N$18,0)) )</f>
        <v>3.4340000000000002</v>
      </c>
    </row>
    <row r="44" spans="2:39">
      <c r="D44" s="45"/>
      <c r="E44" s="52" t="s">
        <v>267</v>
      </c>
      <c r="F44" s="81">
        <f>IF(F43=0,"",(F43-AD18)*IF($C$7=1,-1,1))</f>
        <v>-9.3499999999999694E-2</v>
      </c>
      <c r="G44" s="82">
        <f>IF(G43=0,"",(G43-AE18)*IF($C$7=1,-1,1))</f>
        <v>-8.0500000000000238E-2</v>
      </c>
      <c r="H44" s="82">
        <f>IF(H43=0,"",(H43-AF18)*IF($C$7=1,-1,1))</f>
        <v>-8.4999999999999964E-2</v>
      </c>
      <c r="I44" s="82">
        <f>IF(I43=0,"",(I43-AG18)*IF($C$7=1,-1,1))</f>
        <v>-8.9499999999999691E-2</v>
      </c>
      <c r="J44" s="82">
        <f>IF(J43=0,"",(J43-AH18)*IF($C$7=1,-1,1))</f>
        <v>-9.5000000000000195E-2</v>
      </c>
      <c r="K44" s="82">
        <f>IF(K43=0,"",(K43-AI18)*IF($C$7=1,-1,1))</f>
        <v>-9.0000000000000302E-2</v>
      </c>
      <c r="L44" s="82">
        <f>IF(L43=0,"",(L43-AJ18)*IF($C$7=1,-1,1))</f>
        <v>-8.8999999999999968E-2</v>
      </c>
      <c r="M44" s="82">
        <f>IF(M43=0,"",(M43-AK18)*IF($C$7=1,-1,1))</f>
        <v>-7.9999999999999627E-2</v>
      </c>
      <c r="N44" s="82">
        <f>IF(N43=0,"",(N43-AL18)*IF($C$7=1,-1,1))</f>
        <v>-7.4500000000000011E-2</v>
      </c>
      <c r="O44" s="82">
        <f>IF(O43=0,"",(O43-AM18)*IF($C$7=1,-1,1))</f>
        <v>-6.449999999999978E-2</v>
      </c>
      <c r="P44" s="83">
        <f>IF(   P43="", "", (P43 - INDEX(IRS!$B$2:$Y$13, P$2, MATCH($E43,IRS!$B$1:$Y$1, 0)) ) * IF($C$7=1,-1,1)   )</f>
        <v>-8.1799999999999873E-2</v>
      </c>
      <c r="Q44" s="84">
        <f>IF(   Q43="", "", (Q43 - INDEX(IRS!$B$2:$Y$13, Q$2, MATCH($E43,IRS!$B$1:$Y$1, 0)) ) * IF($C$7=1,-1,1)   )</f>
        <v>-6.449999999999978E-2</v>
      </c>
      <c r="R44" s="85">
        <f>IF(   R43="", "", (R43 - INDEX(IRS!$B$2:$Y$13, R$2, MATCH($E43,IRS!$B$1:$Y$1, 0)) ) * IF($C$7=1,-1,1)   )</f>
        <v>-0.10699999999999976</v>
      </c>
      <c r="S44" s="86">
        <f>IF(   S43="", "", (S43 - INDEX(IRS!$B$2:$Y$13, S$2, MATCH($E43,IRS!$B$1:$Y$1, 0)) ) * IF($C$7=1,-1,1)   )</f>
        <v>-0.14339999999999886</v>
      </c>
      <c r="T44" s="84">
        <f>IF(   T43="", "", (T43 - INDEX(IRS!$B$2:$Y$13, T$2, MATCH($E43,IRS!$B$1:$Y$1, 0)) ) * IF($C$7=1,-1,1)   )</f>
        <v>-6.449999999999978E-2</v>
      </c>
      <c r="U44" s="87">
        <f>IF(   U43="", "", (U43 - INDEX(IRS!$B$2:$Y$13, U$2, MATCH($E43,IRS!$B$1:$Y$1, 0)) ) * IF($C$7=1,-1,1)   )</f>
        <v>-0.24949999999999983</v>
      </c>
      <c r="V44" s="83">
        <f>IF(   V43="", "", (V43 - INDEX(IRS!$B$2:$Y$13, V$2, MATCH($E43,IRS!$B$1:$Y$1, 0)) ) * IF($C$7=1,-1,1)   )</f>
        <v>-0.21731249999999802</v>
      </c>
      <c r="W44" s="84">
        <f>IF(   W43="", "", (W43 - INDEX(IRS!$B$2:$Y$13, W$2, MATCH($E43,IRS!$B$1:$Y$1, 0)) ) * IF($C$7=1,-1,1)   )</f>
        <v>-6.449999999999978E-2</v>
      </c>
      <c r="X44" s="85">
        <f>IF(   X43="", "", (X43 - INDEX(IRS!$B$2:$Y$13, X$2, MATCH($E43,IRS!$B$1:$Y$1, 0)) ) * IF($C$7=1,-1,1)   )</f>
        <v>-0.37550000000000017</v>
      </c>
      <c r="Y44" s="83">
        <f>IF(   Y43="", "", (Y43 - INDEX(IRS!$B$2:$Y$13, Y$2, MATCH($E43,IRS!$B$1:$Y$1, 0)) ) * IF($C$7=1,-1,1)   )</f>
        <v>-0.19624399999999786</v>
      </c>
      <c r="Z44" s="84">
        <f>IF(   Z43="", "", (Z43 - INDEX(IRS!$B$2:$Y$13, Z$2, MATCH($E43,IRS!$B$1:$Y$1, 0)) ) * IF($C$7=1,-1,1)   )</f>
        <v>-6.449999999999978E-2</v>
      </c>
      <c r="AA44" s="85">
        <f>IF(   AA43="", "", (AA43 - INDEX(IRS!$B$2:$Y$13, AA$2, MATCH($E43,IRS!$B$1:$Y$1, 0)) ) * IF($C$7=1,-1,1)   )</f>
        <v>-0.17599999999999971</v>
      </c>
    </row>
    <row r="45" spans="2:39">
      <c r="B45" s="6" t="str">
        <f>_xll.IMDH("IR",$B$40,$C45,$O$9,$F$9,10,"Per=일, sort=D, real=true, Bizday=0, Quote=종가,Pos=40,Orient=H,DtFmt=1.TmFmt=1")</f>
        <v>조회[BONDAVG14]</v>
      </c>
      <c r="C45" s="6" t="s">
        <v>299</v>
      </c>
      <c r="D45" s="45"/>
      <c r="E45" s="51" t="s">
        <v>251</v>
      </c>
      <c r="F45" s="88">
        <v>2.63</v>
      </c>
      <c r="G45" s="89">
        <v>2.6339999999999999</v>
      </c>
      <c r="H45" s="89">
        <v>2.6219999999999999</v>
      </c>
      <c r="I45" s="89">
        <v>2.6120000000000001</v>
      </c>
      <c r="J45" s="89">
        <v>2.6139999999999999</v>
      </c>
      <c r="K45" s="89">
        <v>2.6139999999999999</v>
      </c>
      <c r="L45" s="89">
        <v>2.6150000000000002</v>
      </c>
      <c r="M45" s="89">
        <v>2.6240000000000001</v>
      </c>
      <c r="N45" s="89">
        <v>2.621</v>
      </c>
      <c r="O45" s="89">
        <v>2.6160000000000001</v>
      </c>
      <c r="P45" s="80">
        <f>IF( INDEX(BOND!$B$2:$CH$13, P$2, MATCH($B$40, BOND!$B$16:$CH$16, 0)+MATCH($C45, BOND!$C$18:$N$18,0) )=0,
"",
INDEX(BOND!$B$2:$CH$13, P$2, MATCH($B$40, BOND!$B$16:$CH$16, 0)+MATCH($C45, BOND!$C$18:$N$18,0)) )</f>
        <v>2.6233499999999998</v>
      </c>
      <c r="Q45" s="80">
        <f>IF( INDEX(BOND!$B$2:$CH$13, Q$2, MATCH($B$40, BOND!$B$16:$CH$16, 0)+MATCH($C45, BOND!$C$18:$N$18,0) )=0,
"",
INDEX(BOND!$B$2:$CH$13, Q$2, MATCH($B$40, BOND!$B$16:$CH$16, 0)+MATCH($C45, BOND!$C$18:$N$18,0)) )</f>
        <v>2.61</v>
      </c>
      <c r="R45" s="80">
        <f>IF( INDEX(BOND!$B$2:$CH$13, R$2, MATCH($B$40, BOND!$B$16:$CH$16, 0)+MATCH($C45, BOND!$C$18:$N$18,0) )=0,
"",
INDEX(BOND!$B$2:$CH$13, R$2, MATCH($B$40, BOND!$B$16:$CH$16, 0)+MATCH($C45, BOND!$C$18:$N$18,0)) )</f>
        <v>2.6360000000000001</v>
      </c>
      <c r="S45" s="80">
        <f>IF( INDEX(BOND!$B$2:$CH$13, S$2, MATCH($B$40, BOND!$B$16:$CH$16, 0)+MATCH($C45, BOND!$C$18:$N$18,0) )=0,
"",
INDEX(BOND!$B$2:$CH$13, S$2, MATCH($B$40, BOND!$B$16:$CH$16, 0)+MATCH($C45, BOND!$C$18:$N$18,0)) )</f>
        <v>2.6334166666666659</v>
      </c>
      <c r="T45" s="80">
        <f>IF( INDEX(BOND!$B$2:$CH$13, T$2, MATCH($B$40, BOND!$B$16:$CH$16, 0)+MATCH($C45, BOND!$C$18:$N$18,0) )=0,
"",
INDEX(BOND!$B$2:$CH$13, T$2, MATCH($B$40, BOND!$B$16:$CH$16, 0)+MATCH($C45, BOND!$C$18:$N$18,0)) )</f>
        <v>2.585</v>
      </c>
      <c r="U45" s="80">
        <f>IF( INDEX(BOND!$B$2:$CH$13, U$2, MATCH($B$40, BOND!$B$16:$CH$16, 0)+MATCH($C45, BOND!$C$18:$N$18,0) )=0,
"",
INDEX(BOND!$B$2:$CH$13, U$2, MATCH($B$40, BOND!$B$16:$CH$16, 0)+MATCH($C45, BOND!$C$18:$N$18,0)) )</f>
        <v>2.706</v>
      </c>
      <c r="V45" s="80">
        <f>IF( INDEX(BOND!$B$2:$CH$13, V$2, MATCH($B$40, BOND!$B$16:$CH$16, 0)+MATCH($C45, BOND!$C$18:$N$18,0) )=0,
"",
INDEX(BOND!$B$2:$CH$13, V$2, MATCH($B$40, BOND!$B$16:$CH$16, 0)+MATCH($C45, BOND!$C$18:$N$18,0)) )</f>
        <v>2.7170500000000017</v>
      </c>
      <c r="W45" s="80">
        <f>IF( INDEX(BOND!$B$2:$CH$13, W$2, MATCH($B$40, BOND!$B$16:$CH$16, 0)+MATCH($C45, BOND!$C$18:$N$18,0) )=0,
"",
INDEX(BOND!$B$2:$CH$13, W$2, MATCH($B$40, BOND!$B$16:$CH$16, 0)+MATCH($C45, BOND!$C$18:$N$18,0)) )</f>
        <v>2.585</v>
      </c>
      <c r="X45" s="80">
        <f>IF( INDEX(BOND!$B$2:$CH$13, X$2, MATCH($B$40, BOND!$B$16:$CH$16, 0)+MATCH($C45, BOND!$C$18:$N$18,0) )=0,
"",
INDEX(BOND!$B$2:$CH$13, X$2, MATCH($B$40, BOND!$B$16:$CH$16, 0)+MATCH($C45, BOND!$C$18:$N$18,0)) )</f>
        <v>2.8849999999999998</v>
      </c>
      <c r="Y45" s="80">
        <f>IF( INDEX(BOND!$B$2:$CH$13, Y$2, MATCH($B$40, BOND!$B$16:$CH$16, 0)+MATCH($C45, BOND!$C$18:$N$18,0) )=0,
"",
INDEX(BOND!$B$2:$CH$13, Y$2, MATCH($B$40, BOND!$B$16:$CH$16, 0)+MATCH($C45, BOND!$C$18:$N$18,0)) )</f>
        <v>2.9882839999999997</v>
      </c>
      <c r="Z45" s="80">
        <f>IF( INDEX(BOND!$B$2:$CH$13, Z$2, MATCH($B$40, BOND!$B$16:$CH$16, 0)+MATCH($C45, BOND!$C$18:$N$18,0) )=0,
"",
INDEX(BOND!$B$2:$CH$13, Z$2, MATCH($B$40, BOND!$B$16:$CH$16, 0)+MATCH($C45, BOND!$C$18:$N$18,0)) )</f>
        <v>2.585</v>
      </c>
      <c r="AA45" s="80">
        <f>IF( INDEX(BOND!$B$2:$CH$13, AA$2, MATCH($B$40, BOND!$B$16:$CH$16, 0)+MATCH($C45, BOND!$C$18:$N$18,0) )=0,
"",
INDEX(BOND!$B$2:$CH$13, AA$2, MATCH($B$40, BOND!$B$16:$CH$16, 0)+MATCH($C45, BOND!$C$18:$N$18,0)) )</f>
        <v>3.45</v>
      </c>
    </row>
    <row r="46" spans="2:39">
      <c r="D46" s="45"/>
      <c r="E46" s="52" t="s">
        <v>267</v>
      </c>
      <c r="F46" s="81">
        <f>IF(F45=0,"",(F45-AD20)*IF($C$7=1,-1,1))</f>
        <v>-5.0000000000000266E-2</v>
      </c>
      <c r="G46" s="82">
        <f>IF(G45=0,"",(G45-AE20)*IF($C$7=1,-1,1))</f>
        <v>-3.1000000000000139E-2</v>
      </c>
      <c r="H46" s="82">
        <f>IF(H45=0,"",(H45-AF20)*IF($C$7=1,-1,1))</f>
        <v>-4.0500000000000203E-2</v>
      </c>
      <c r="I46" s="82">
        <f>IF(I45=0,"",(I45-AG20)*IF($C$7=1,-1,1))</f>
        <v>-4.8000000000000043E-2</v>
      </c>
      <c r="J46" s="82">
        <f>IF(J45=0,"",(J45-AH20)*IF($C$7=1,-1,1))</f>
        <v>-5.3500000000000103E-2</v>
      </c>
      <c r="K46" s="82">
        <f>IF(K45=0,"",(K45-AI20)*IF($C$7=1,-1,1))</f>
        <v>-4.6000000000000263E-2</v>
      </c>
      <c r="L46" s="82">
        <f>IF(L45=0,"",(L45-AJ20)*IF($C$7=1,-1,1))</f>
        <v>-4.4999999999999929E-2</v>
      </c>
      <c r="M46" s="82">
        <f>IF(M45=0,"",(M45-AK20)*IF($C$7=1,-1,1))</f>
        <v>-2.8499999999999748E-2</v>
      </c>
      <c r="N46" s="82">
        <f>IF(N45=0,"",(N45-AL20)*IF($C$7=1,-1,1))</f>
        <v>-2.1500000000000075E-2</v>
      </c>
      <c r="O46" s="82">
        <f>IF(O45=0,"",(O45-AM20)*IF($C$7=1,-1,1))</f>
        <v>-8.999999999999897E-3</v>
      </c>
      <c r="P46" s="83">
        <f>IF(   P45="", "", (P45 - INDEX(IRS!$B$2:$Y$13, P$2, MATCH($E45,IRS!$B$1:$Y$1, 0)) ) * IF($C$7=1,-1,1)   )</f>
        <v>-2.9400000000000315E-2</v>
      </c>
      <c r="Q46" s="84">
        <f>IF(   Q45="", "", (Q45 - INDEX(IRS!$B$2:$Y$13, Q$2, MATCH($E45,IRS!$B$1:$Y$1, 0)) ) * IF($C$7=1,-1,1)   )</f>
        <v>-1.5000000000000124E-2</v>
      </c>
      <c r="R46" s="85">
        <f>IF(   R45="", "", (R45 - INDEX(IRS!$B$2:$Y$13, R$2, MATCH($E45,IRS!$B$1:$Y$1, 0)) ) * IF($C$7=1,-1,1)   )</f>
        <v>-4.4000000000000039E-2</v>
      </c>
      <c r="S46" s="86">
        <f>IF(   S45="", "", (S45 - INDEX(IRS!$B$2:$Y$13, S$2, MATCH($E45,IRS!$B$1:$Y$1, 0)) ) * IF($C$7=1,-1,1)   )</f>
        <v>-8.0333333333334256E-2</v>
      </c>
      <c r="T46" s="84">
        <f>IF(   T45="", "", (T45 - INDEX(IRS!$B$2:$Y$13, T$2, MATCH($E45,IRS!$B$1:$Y$1, 0)) ) * IF($C$7=1,-1,1)   )</f>
        <v>-4.0000000000000036E-2</v>
      </c>
      <c r="U46" s="87">
        <f>IF(   U45="", "", (U45 - INDEX(IRS!$B$2:$Y$13, U$2, MATCH($E45,IRS!$B$1:$Y$1, 0)) ) * IF($C$7=1,-1,1)   )</f>
        <v>-0.17149999999999999</v>
      </c>
      <c r="V46" s="83">
        <f>IF(   V45="", "", (V45 - INDEX(IRS!$B$2:$Y$13, V$2, MATCH($E45,IRS!$B$1:$Y$1, 0)) ) * IF($C$7=1,-1,1)   )</f>
        <v>-0.15372083333333064</v>
      </c>
      <c r="W46" s="84">
        <f>IF(   W45="", "", (W45 - INDEX(IRS!$B$2:$Y$13, W$2, MATCH($E45,IRS!$B$1:$Y$1, 0)) ) * IF($C$7=1,-1,1)   )</f>
        <v>-4.0000000000000036E-2</v>
      </c>
      <c r="X46" s="85">
        <f>IF(   X45="", "", (X45 - INDEX(IRS!$B$2:$Y$13, X$2, MATCH($E45,IRS!$B$1:$Y$1, 0)) ) * IF($C$7=1,-1,1)   )</f>
        <v>-0.3125</v>
      </c>
      <c r="Y46" s="83">
        <f>IF(   Y45="", "", (Y45 - INDEX(IRS!$B$2:$Y$13, Y$2, MATCH($E45,IRS!$B$1:$Y$1, 0)) ) * IF($C$7=1,-1,1)   )</f>
        <v>-0.15438600000000147</v>
      </c>
      <c r="Z46" s="84">
        <f>IF(   Z45="", "", (Z45 - INDEX(IRS!$B$2:$Y$13, Z$2, MATCH($E45,IRS!$B$1:$Y$1, 0)) ) * IF($C$7=1,-1,1)   )</f>
        <v>-4.0000000000000036E-2</v>
      </c>
      <c r="AA46" s="85">
        <f>IF(   AA45="", "", (AA45 - INDEX(IRS!$B$2:$Y$13, AA$2, MATCH($E45,IRS!$B$1:$Y$1, 0)) ) * IF($C$7=1,-1,1)   )</f>
        <v>-0.16999999999999993</v>
      </c>
    </row>
    <row r="47" spans="2:39">
      <c r="B47" s="6" t="str">
        <f>_xll.IMDH("IR",$B$40,$C47,$O$9,$F$9,10,"Per=일, sort=D, real=true, Bizday=0, Quote=종가,Pos=40,Orient=H,DtFmt=1.TmFmt=1")</f>
        <v>조회[BONDAVG14]</v>
      </c>
      <c r="C47" s="6" t="s">
        <v>300</v>
      </c>
      <c r="D47" s="45"/>
      <c r="E47" s="51" t="s">
        <v>252</v>
      </c>
      <c r="F47" s="88">
        <v>2.69</v>
      </c>
      <c r="G47" s="89">
        <v>2.6890000000000001</v>
      </c>
      <c r="H47" s="89">
        <v>2.6760000000000002</v>
      </c>
      <c r="I47" s="89">
        <v>2.67</v>
      </c>
      <c r="J47" s="89">
        <v>2.6739999999999999</v>
      </c>
      <c r="K47" s="89">
        <v>2.6669999999999998</v>
      </c>
      <c r="L47" s="89">
        <v>2.6680000000000001</v>
      </c>
      <c r="M47" s="89">
        <v>2.6709999999999998</v>
      </c>
      <c r="N47" s="89">
        <v>2.6629999999999998</v>
      </c>
      <c r="O47" s="89">
        <v>2.6549999999999998</v>
      </c>
      <c r="P47" s="80">
        <f>IF( INDEX(BOND!$B$2:$CH$13, P$2, MATCH($B$40, BOND!$B$16:$CH$16, 0)+MATCH($C47, BOND!$C$18:$N$18,0) )=0,
"",
INDEX(BOND!$B$2:$CH$13, P$2, MATCH($B$40, BOND!$B$16:$CH$16, 0)+MATCH($C47, BOND!$C$18:$N$18,0)) )</f>
        <v>2.6680999999999995</v>
      </c>
      <c r="Q47" s="80">
        <f>IF( INDEX(BOND!$B$2:$CH$13, Q$2, MATCH($B$40, BOND!$B$16:$CH$16, 0)+MATCH($C47, BOND!$C$18:$N$18,0) )=0,
"",
INDEX(BOND!$B$2:$CH$13, Q$2, MATCH($B$40, BOND!$B$16:$CH$16, 0)+MATCH($C47, BOND!$C$18:$N$18,0)) )</f>
        <v>2.653</v>
      </c>
      <c r="R47" s="80">
        <f>IF( INDEX(BOND!$B$2:$CH$13, R$2, MATCH($B$40, BOND!$B$16:$CH$16, 0)+MATCH($C47, BOND!$C$18:$N$18,0) )=0,
"",
INDEX(BOND!$B$2:$CH$13, R$2, MATCH($B$40, BOND!$B$16:$CH$16, 0)+MATCH($C47, BOND!$C$18:$N$18,0)) )</f>
        <v>2.69</v>
      </c>
      <c r="S47" s="80">
        <f>IF( INDEX(BOND!$B$2:$CH$13, S$2, MATCH($B$40, BOND!$B$16:$CH$16, 0)+MATCH($C47, BOND!$C$18:$N$18,0) )=0,
"",
INDEX(BOND!$B$2:$CH$13, S$2, MATCH($B$40, BOND!$B$16:$CH$16, 0)+MATCH($C47, BOND!$C$18:$N$18,0)) )</f>
        <v>2.6804166666666664</v>
      </c>
      <c r="T47" s="80">
        <f>IF( INDEX(BOND!$B$2:$CH$13, T$2, MATCH($B$40, BOND!$B$16:$CH$16, 0)+MATCH($C47, BOND!$C$18:$N$18,0) )=0,
"",
INDEX(BOND!$B$2:$CH$13, T$2, MATCH($B$40, BOND!$B$16:$CH$16, 0)+MATCH($C47, BOND!$C$18:$N$18,0)) )</f>
        <v>2.6240000000000001</v>
      </c>
      <c r="U47" s="80">
        <f>IF( INDEX(BOND!$B$2:$CH$13, U$2, MATCH($B$40, BOND!$B$16:$CH$16, 0)+MATCH($C47, BOND!$C$18:$N$18,0) )=0,
"",
INDEX(BOND!$B$2:$CH$13, U$2, MATCH($B$40, BOND!$B$16:$CH$16, 0)+MATCH($C47, BOND!$C$18:$N$18,0)) )</f>
        <v>2.762</v>
      </c>
      <c r="V47" s="80">
        <f>IF( INDEX(BOND!$B$2:$CH$13, V$2, MATCH($B$40, BOND!$B$16:$CH$16, 0)+MATCH($C47, BOND!$C$18:$N$18,0) )=0,
"",
INDEX(BOND!$B$2:$CH$13, V$2, MATCH($B$40, BOND!$B$16:$CH$16, 0)+MATCH($C47, BOND!$C$18:$N$18,0)) )</f>
        <v>2.7835250000000005</v>
      </c>
      <c r="W47" s="80">
        <f>IF( INDEX(BOND!$B$2:$CH$13, W$2, MATCH($B$40, BOND!$B$16:$CH$16, 0)+MATCH($C47, BOND!$C$18:$N$18,0) )=0,
"",
INDEX(BOND!$B$2:$CH$13, W$2, MATCH($B$40, BOND!$B$16:$CH$16, 0)+MATCH($C47, BOND!$C$18:$N$18,0)) )</f>
        <v>2.6240000000000001</v>
      </c>
      <c r="X47" s="80">
        <f>IF( INDEX(BOND!$B$2:$CH$13, X$2, MATCH($B$40, BOND!$B$16:$CH$16, 0)+MATCH($C47, BOND!$C$18:$N$18,0) )=0,
"",
INDEX(BOND!$B$2:$CH$13, X$2, MATCH($B$40, BOND!$B$16:$CH$16, 0)+MATCH($C47, BOND!$C$18:$N$18,0)) )</f>
        <v>3.0150000000000001</v>
      </c>
      <c r="Y47" s="80">
        <f>IF( INDEX(BOND!$B$2:$CH$13, Y$2, MATCH($B$40, BOND!$B$16:$CH$16, 0)+MATCH($C47, BOND!$C$18:$N$18,0) )=0,
"",
INDEX(BOND!$B$2:$CH$13, Y$2, MATCH($B$40, BOND!$B$16:$CH$16, 0)+MATCH($C47, BOND!$C$18:$N$18,0)) )</f>
        <v>3.0319880000000015</v>
      </c>
      <c r="Z47" s="80">
        <f>IF( INDEX(BOND!$B$2:$CH$13, Z$2, MATCH($B$40, BOND!$B$16:$CH$16, 0)+MATCH($C47, BOND!$C$18:$N$18,0) )=0,
"",
INDEX(BOND!$B$2:$CH$13, Z$2, MATCH($B$40, BOND!$B$16:$CH$16, 0)+MATCH($C47, BOND!$C$18:$N$18,0)) )</f>
        <v>2.6240000000000001</v>
      </c>
      <c r="AA47" s="80">
        <f>IF( INDEX(BOND!$B$2:$CH$13, AA$2, MATCH($B$40, BOND!$B$16:$CH$16, 0)+MATCH($C47, BOND!$C$18:$N$18,0) )=0,
"",
INDEX(BOND!$B$2:$CH$13, AA$2, MATCH($B$40, BOND!$B$16:$CH$16, 0)+MATCH($C47, BOND!$C$18:$N$18,0)) )</f>
        <v>3.508</v>
      </c>
    </row>
    <row r="48" spans="2:39">
      <c r="D48" s="45"/>
      <c r="E48" s="52" t="s">
        <v>267</v>
      </c>
      <c r="F48" s="81">
        <f>IF(F47=0,"",(F47-AD22)*IF($C$7=1,-1,1))</f>
        <v>5.500000000000016E-2</v>
      </c>
      <c r="G48" s="82">
        <f>IF(G47=0,"",(G47-AE22)*IF($C$7=1,-1,1))</f>
        <v>6.6500000000000004E-2</v>
      </c>
      <c r="H48" s="82">
        <f>IF(H47=0,"",(H47-AF22)*IF($C$7=1,-1,1))</f>
        <v>6.0999999999999943E-2</v>
      </c>
      <c r="I48" s="82">
        <f>IF(I47=0,"",(I47-AG22)*IF($C$7=1,-1,1))</f>
        <v>6.0000000000000053E-2</v>
      </c>
      <c r="J48" s="82">
        <f>IF(J47=0,"",(J47-AH22)*IF($C$7=1,-1,1))</f>
        <v>5.3999999999999826E-2</v>
      </c>
      <c r="K48" s="82">
        <f>IF(K47=0,"",(K47-AI22)*IF($C$7=1,-1,1))</f>
        <v>5.699999999999994E-2</v>
      </c>
      <c r="L48" s="82">
        <f>IF(L47=0,"",(L47-AJ22)*IF($C$7=1,-1,1))</f>
        <v>5.8000000000000274E-2</v>
      </c>
      <c r="M48" s="82">
        <f>IF(M47=0,"",(M47-AK22)*IF($C$7=1,-1,1))</f>
        <v>6.5999999999999837E-2</v>
      </c>
      <c r="N48" s="82">
        <f>IF(N47=0,"",(N47-AL22)*IF($C$7=1,-1,1))</f>
        <v>7.2999999999999954E-2</v>
      </c>
      <c r="O48" s="82">
        <f>IF(O47=0,"",(O47-AM22)*IF($C$7=1,-1,1))</f>
        <v>8.2500000000000018E-2</v>
      </c>
      <c r="P48" s="83">
        <f>IF(   P47="", "", (P47 - INDEX(IRS!$B$2:$Y$13, P$2, MATCH($E47,IRS!$B$1:$Y$1, 0)) ) * IF($C$7=1,-1,1)   )</f>
        <v>6.1350000000000016E-2</v>
      </c>
      <c r="Q48" s="84">
        <f>IF(   Q47="", "", (Q47 - INDEX(IRS!$B$2:$Y$13, Q$2, MATCH($E47,IRS!$B$1:$Y$1, 0)) ) * IF($C$7=1,-1,1)   )</f>
        <v>8.0500000000000238E-2</v>
      </c>
      <c r="R48" s="85">
        <f>IF(   R47="", "", (R47 - INDEX(IRS!$B$2:$Y$13, R$2, MATCH($E47,IRS!$B$1:$Y$1, 0)) ) * IF($C$7=1,-1,1)   )</f>
        <v>5.500000000000016E-2</v>
      </c>
      <c r="S48" s="86">
        <f>IF(   S47="", "", (S47 - INDEX(IRS!$B$2:$Y$13, S$2, MATCH($E47,IRS!$B$1:$Y$1, 0)) ) * IF($C$7=1,-1,1)   )</f>
        <v>2.3416666666667307E-2</v>
      </c>
      <c r="T48" s="84">
        <f>IF(   T47="", "", (T47 - INDEX(IRS!$B$2:$Y$13, T$2, MATCH($E47,IRS!$B$1:$Y$1, 0)) ) * IF($C$7=1,-1,1)   )</f>
        <v>5.1500000000000323E-2</v>
      </c>
      <c r="U48" s="87">
        <f>IF(   U47="", "", (U47 - INDEX(IRS!$B$2:$Y$13, U$2, MATCH($E47,IRS!$B$1:$Y$1, 0)) ) * IF($C$7=1,-1,1)   )</f>
        <v>-4.0500000000000203E-2</v>
      </c>
      <c r="V48" s="83">
        <f>IF(   V47="", "", (V47 - INDEX(IRS!$B$2:$Y$13, V$2, MATCH($E47,IRS!$B$1:$Y$1, 0)) ) * IF($C$7=1,-1,1)   )</f>
        <v>-7.0791666666658593E-3</v>
      </c>
      <c r="W48" s="84">
        <f>IF(   W47="", "", (W47 - INDEX(IRS!$B$2:$Y$13, W$2, MATCH($E47,IRS!$B$1:$Y$1, 0)) ) * IF($C$7=1,-1,1)   )</f>
        <v>5.1500000000000323E-2</v>
      </c>
      <c r="X48" s="85">
        <f>IF(   X47="", "", (X47 - INDEX(IRS!$B$2:$Y$13, X$2, MATCH($E47,IRS!$B$1:$Y$1, 0)) ) * IF($C$7=1,-1,1)   )</f>
        <v>-8.4999999999999964E-2</v>
      </c>
      <c r="Y48" s="83">
        <f>IF(   Y47="", "", (Y47 - INDEX(IRS!$B$2:$Y$13, Y$2, MATCH($E47,IRS!$B$1:$Y$1, 0)) ) * IF($C$7=1,-1,1)   )</f>
        <v>-2.984199999999948E-2</v>
      </c>
      <c r="Z48" s="84">
        <f>IF(   Z47="", "", (Z47 - INDEX(IRS!$B$2:$Y$13, Z$2, MATCH($E47,IRS!$B$1:$Y$1, 0)) ) * IF($C$7=1,-1,1)   )</f>
        <v>5.1500000000000323E-2</v>
      </c>
      <c r="AA48" s="85">
        <f>IF(   AA47="", "", (AA47 - INDEX(IRS!$B$2:$Y$13, AA$2, MATCH($E47,IRS!$B$1:$Y$1, 0)) ) * IF($C$7=1,-1,1)   )</f>
        <v>-9.2000000000000082E-2</v>
      </c>
    </row>
    <row r="49" spans="2:27">
      <c r="B49" s="6" t="str">
        <f>_xll.IMDH("IR",$B$40,$C49,$O$9,$F$9,10,"Per=일, sort=D, real=true, Bizday=0, Quote=종가,Pos=40,Orient=H,DtFmt=1.TmFmt=1")</f>
        <v>조회[BONDAVG14]</v>
      </c>
      <c r="C49" s="6" t="s">
        <v>301</v>
      </c>
      <c r="D49" s="45"/>
      <c r="E49" s="51" t="s">
        <v>253</v>
      </c>
      <c r="F49" s="88">
        <v>2.6680000000000001</v>
      </c>
      <c r="G49" s="89">
        <v>2.6589999999999998</v>
      </c>
      <c r="H49" s="89">
        <v>2.657</v>
      </c>
      <c r="I49" s="89">
        <v>2.6520000000000001</v>
      </c>
      <c r="J49" s="89">
        <v>2.6549999999999998</v>
      </c>
      <c r="K49" s="89">
        <v>2.6419999999999999</v>
      </c>
      <c r="L49" s="89">
        <v>2.6419999999999999</v>
      </c>
      <c r="M49" s="89">
        <v>2.6419999999999999</v>
      </c>
      <c r="N49" s="89">
        <v>2.6280000000000001</v>
      </c>
      <c r="O49" s="89">
        <v>2.617</v>
      </c>
      <c r="P49" s="80">
        <f>IF( INDEX(BOND!$B$2:$CH$13, P$2, MATCH($B$40, BOND!$B$16:$CH$16, 0)+MATCH($C49, BOND!$C$18:$N$18,0) )=0,
"",
INDEX(BOND!$B$2:$CH$13, P$2, MATCH($B$40, BOND!$B$16:$CH$16, 0)+MATCH($C49, BOND!$C$18:$N$18,0)) )</f>
        <v>2.6432500000000001</v>
      </c>
      <c r="Q49" s="80">
        <f>IF( INDEX(BOND!$B$2:$CH$13, Q$2, MATCH($B$40, BOND!$B$16:$CH$16, 0)+MATCH($C49, BOND!$C$18:$N$18,0) )=0,
"",
INDEX(BOND!$B$2:$CH$13, Q$2, MATCH($B$40, BOND!$B$16:$CH$16, 0)+MATCH($C49, BOND!$C$18:$N$18,0)) )</f>
        <v>2.617</v>
      </c>
      <c r="R49" s="80">
        <f>IF( INDEX(BOND!$B$2:$CH$13, R$2, MATCH($B$40, BOND!$B$16:$CH$16, 0)+MATCH($C49, BOND!$C$18:$N$18,0) )=0,
"",
INDEX(BOND!$B$2:$CH$13, R$2, MATCH($B$40, BOND!$B$16:$CH$16, 0)+MATCH($C49, BOND!$C$18:$N$18,0)) )</f>
        <v>2.6680000000000001</v>
      </c>
      <c r="S49" s="80">
        <f>IF( INDEX(BOND!$B$2:$CH$13, S$2, MATCH($B$40, BOND!$B$16:$CH$16, 0)+MATCH($C49, BOND!$C$18:$N$18,0) )=0,
"",
INDEX(BOND!$B$2:$CH$13, S$2, MATCH($B$40, BOND!$B$16:$CH$16, 0)+MATCH($C49, BOND!$C$18:$N$18,0)) )</f>
        <v>2.6572000000000013</v>
      </c>
      <c r="T49" s="80">
        <f>IF( INDEX(BOND!$B$2:$CH$13, T$2, MATCH($B$40, BOND!$B$16:$CH$16, 0)+MATCH($C49, BOND!$C$18:$N$18,0) )=0,
"",
INDEX(BOND!$B$2:$CH$13, T$2, MATCH($B$40, BOND!$B$16:$CH$16, 0)+MATCH($C49, BOND!$C$18:$N$18,0)) )</f>
        <v>2.58</v>
      </c>
      <c r="U49" s="80">
        <f>IF( INDEX(BOND!$B$2:$CH$13, U$2, MATCH($B$40, BOND!$B$16:$CH$16, 0)+MATCH($C49, BOND!$C$18:$N$18,0) )=0,
"",
INDEX(BOND!$B$2:$CH$13, U$2, MATCH($B$40, BOND!$B$16:$CH$16, 0)+MATCH($C49, BOND!$C$18:$N$18,0)) )</f>
        <v>2.7919999999999998</v>
      </c>
      <c r="V49" s="80">
        <f>IF( INDEX(BOND!$B$2:$CH$13, V$2, MATCH($B$40, BOND!$B$16:$CH$16, 0)+MATCH($C49, BOND!$C$18:$N$18,0) )=0,
"",
INDEX(BOND!$B$2:$CH$13, V$2, MATCH($B$40, BOND!$B$16:$CH$16, 0)+MATCH($C49, BOND!$C$18:$N$18,0)) )</f>
        <v>2.7524250000000001</v>
      </c>
      <c r="W49" s="80">
        <f>IF( INDEX(BOND!$B$2:$CH$13, W$2, MATCH($B$40, BOND!$B$16:$CH$16, 0)+MATCH($C49, BOND!$C$18:$N$18,0) )=0,
"",
INDEX(BOND!$B$2:$CH$13, W$2, MATCH($B$40, BOND!$B$16:$CH$16, 0)+MATCH($C49, BOND!$C$18:$N$18,0)) )</f>
        <v>2.58</v>
      </c>
      <c r="X49" s="80">
        <f>IF( INDEX(BOND!$B$2:$CH$13, X$2, MATCH($B$40, BOND!$B$16:$CH$16, 0)+MATCH($C49, BOND!$C$18:$N$18,0) )=0,
"",
INDEX(BOND!$B$2:$CH$13, X$2, MATCH($B$40, BOND!$B$16:$CH$16, 0)+MATCH($C49, BOND!$C$18:$N$18,0)) )</f>
        <v>2.98</v>
      </c>
      <c r="Y49" s="80">
        <f>IF( INDEX(BOND!$B$2:$CH$13, Y$2, MATCH($B$40, BOND!$B$16:$CH$16, 0)+MATCH($C49, BOND!$C$18:$N$18,0) )=0,
"",
INDEX(BOND!$B$2:$CH$13, Y$2, MATCH($B$40, BOND!$B$16:$CH$16, 0)+MATCH($C49, BOND!$C$18:$N$18,0)) )</f>
        <v>3.0032920000000005</v>
      </c>
      <c r="Z49" s="80">
        <f>IF( INDEX(BOND!$B$2:$CH$13, Z$2, MATCH($B$40, BOND!$B$16:$CH$16, 0)+MATCH($C49, BOND!$C$18:$N$18,0) )=0,
"",
INDEX(BOND!$B$2:$CH$13, Z$2, MATCH($B$40, BOND!$B$16:$CH$16, 0)+MATCH($C49, BOND!$C$18:$N$18,0)) )</f>
        <v>2.58</v>
      </c>
      <c r="AA49" s="80">
        <f>IF( INDEX(BOND!$B$2:$CH$13, AA$2, MATCH($B$40, BOND!$B$16:$CH$16, 0)+MATCH($C49, BOND!$C$18:$N$18,0) )=0,
"",
INDEX(BOND!$B$2:$CH$13, AA$2, MATCH($B$40, BOND!$B$16:$CH$16, 0)+MATCH($C49, BOND!$C$18:$N$18,0)) )</f>
        <v>3.5249999999999999</v>
      </c>
    </row>
    <row r="50" spans="2:27">
      <c r="D50" s="45"/>
      <c r="E50" s="52" t="s">
        <v>267</v>
      </c>
      <c r="F50" s="81">
        <f>IF(F49=0,"",(F49-AD24)*IF($C$7=1,-1,1))</f>
        <v>5.8000000000000274E-2</v>
      </c>
      <c r="G50" s="82">
        <f>IF(G49=0,"",(G49-AE24)*IF($C$7=1,-1,1))</f>
        <v>6.1499999999999666E-2</v>
      </c>
      <c r="H50" s="82">
        <f>IF(H49=0,"",(H49-AF24)*IF($C$7=1,-1,1))</f>
        <v>6.9500000000000117E-2</v>
      </c>
      <c r="I50" s="82">
        <f>IF(I49=0,"",(I49-AG24)*IF($C$7=1,-1,1))</f>
        <v>7.4500000000000011E-2</v>
      </c>
      <c r="J50" s="82">
        <f>IF(J49=0,"",(J49-AH24)*IF($C$7=1,-1,1))</f>
        <v>6.999999999999984E-2</v>
      </c>
      <c r="K50" s="82">
        <f>IF(K49=0,"",(K49-AI24)*IF($C$7=1,-1,1))</f>
        <v>7.2000000000000064E-2</v>
      </c>
      <c r="L50" s="82">
        <f>IF(L49=0,"",(L49-AJ24)*IF($C$7=1,-1,1))</f>
        <v>7.2000000000000064E-2</v>
      </c>
      <c r="M50" s="82">
        <f>IF(M49=0,"",(M49-AK24)*IF($C$7=1,-1,1))</f>
        <v>7.4500000000000011E-2</v>
      </c>
      <c r="N50" s="82">
        <f>IF(N49=0,"",(N49-AL24)*IF($C$7=1,-1,1))</f>
        <v>8.0500000000000238E-2</v>
      </c>
      <c r="O50" s="82">
        <f>IF(O49=0,"",(O49-AM24)*IF($C$7=1,-1,1))</f>
        <v>8.7000000000000188E-2</v>
      </c>
      <c r="P50" s="83">
        <f>IF(   P49="", "", (P49 - INDEX(IRS!$B$2:$Y$13, P$2, MATCH($E49,IRS!$B$1:$Y$1, 0)) ) * IF($C$7=1,-1,1)   )</f>
        <v>6.8750000000000089E-2</v>
      </c>
      <c r="Q50" s="84">
        <f>IF(   Q49="", "", (Q49 - INDEX(IRS!$B$2:$Y$13, Q$2, MATCH($E49,IRS!$B$1:$Y$1, 0)) ) * IF($C$7=1,-1,1)   )</f>
        <v>8.7000000000000188E-2</v>
      </c>
      <c r="R50" s="85">
        <f>IF(   R49="", "", (R49 - INDEX(IRS!$B$2:$Y$13, R$2, MATCH($E49,IRS!$B$1:$Y$1, 0)) ) * IF($C$7=1,-1,1)   )</f>
        <v>5.8000000000000274E-2</v>
      </c>
      <c r="S50" s="86">
        <f>IF(   S49="", "", (S49 - INDEX(IRS!$B$2:$Y$13, S$2, MATCH($E49,IRS!$B$1:$Y$1, 0)) ) * IF($C$7=1,-1,1)   )</f>
        <v>3.1491666666668028E-2</v>
      </c>
      <c r="T50" s="84">
        <f>IF(   T49="", "", (T49 - INDEX(IRS!$B$2:$Y$13, T$2, MATCH($E49,IRS!$B$1:$Y$1, 0)) ) * IF($C$7=1,-1,1)   )</f>
        <v>5.0000000000000266E-2</v>
      </c>
      <c r="U50" s="87">
        <f>IF(   U49="", "", (U49 - INDEX(IRS!$B$2:$Y$13, U$2, MATCH($E49,IRS!$B$1:$Y$1, 0)) ) * IF($C$7=1,-1,1)   )</f>
        <v>1.6999999999999904E-2</v>
      </c>
      <c r="V50" s="83">
        <f>IF(   V49="", "", (V49 - INDEX(IRS!$B$2:$Y$13, V$2, MATCH($E49,IRS!$B$1:$Y$1, 0)) ) * IF($C$7=1,-1,1)   )</f>
        <v>3.7375000000006153E-3</v>
      </c>
      <c r="W50" s="84">
        <f>IF(   W49="", "", (W49 - INDEX(IRS!$B$2:$Y$13, W$2, MATCH($E49,IRS!$B$1:$Y$1, 0)) ) * IF($C$7=1,-1,1)   )</f>
        <v>5.0000000000000266E-2</v>
      </c>
      <c r="X50" s="85">
        <f>IF(   X49="", "", (X49 - INDEX(IRS!$B$2:$Y$13, X$2, MATCH($E49,IRS!$B$1:$Y$1, 0)) ) * IF($C$7=1,-1,1)   )</f>
        <v>-6.999999999999984E-2</v>
      </c>
      <c r="Y50" s="83">
        <f>IF(   Y49="", "", (Y49 - INDEX(IRS!$B$2:$Y$13, Y$2, MATCH($E49,IRS!$B$1:$Y$1, 0)) ) * IF($C$7=1,-1,1)   )</f>
        <v>-6.4280000000005444E-3</v>
      </c>
      <c r="Z50" s="84">
        <f>IF(   Z49="", "", (Z49 - INDEX(IRS!$B$2:$Y$13, Z$2, MATCH($E49,IRS!$B$1:$Y$1, 0)) ) * IF($C$7=1,-1,1)   )</f>
        <v>5.0000000000000266E-2</v>
      </c>
      <c r="AA50" s="85">
        <f>IF(   AA49="", "", (AA49 - INDEX(IRS!$B$2:$Y$13, AA$2, MATCH($E49,IRS!$B$1:$Y$1, 0)) ) * IF($C$7=1,-1,1)   )</f>
        <v>-5.500000000000016E-2</v>
      </c>
    </row>
    <row r="51" spans="2:27">
      <c r="B51" s="6" t="str">
        <f>_xll.IMDH("IR",$B$40,$C51,$O$9,$F$9,10,"Per=일, sort=D, real=true, Bizday=0, Quote=종가,Pos=40,Orient=H,DtFmt=1.TmFmt=1")</f>
        <v>조회[BONDAVG14]</v>
      </c>
      <c r="C51" s="6" t="s">
        <v>302</v>
      </c>
      <c r="D51" s="45"/>
      <c r="E51" s="51" t="s">
        <v>254</v>
      </c>
      <c r="F51" s="88">
        <v>2.6850000000000001</v>
      </c>
      <c r="G51" s="89">
        <v>2.677</v>
      </c>
      <c r="H51" s="89">
        <v>2.6640000000000001</v>
      </c>
      <c r="I51" s="89">
        <v>2.6659999999999999</v>
      </c>
      <c r="J51" s="89">
        <v>2.6869999999999998</v>
      </c>
      <c r="K51" s="89">
        <v>2.6789999999999998</v>
      </c>
      <c r="L51" s="89">
        <v>2.677</v>
      </c>
      <c r="M51" s="89">
        <v>2.67</v>
      </c>
      <c r="N51" s="89">
        <v>2.65</v>
      </c>
      <c r="O51" s="89">
        <v>2.6349999999999998</v>
      </c>
      <c r="P51" s="80">
        <f>IF( INDEX(BOND!$B$2:$CH$13, P$2, MATCH($B$40, BOND!$B$16:$CH$16, 0)+MATCH($C51, BOND!$C$18:$N$18,0) )=0,
"",
INDEX(BOND!$B$2:$CH$13, P$2, MATCH($B$40, BOND!$B$16:$CH$16, 0)+MATCH($C51, BOND!$C$18:$N$18,0)) )</f>
        <v>2.6640499999999996</v>
      </c>
      <c r="Q51" s="80">
        <f>IF( INDEX(BOND!$B$2:$CH$13, Q$2, MATCH($B$40, BOND!$B$16:$CH$16, 0)+MATCH($C51, BOND!$C$18:$N$18,0) )=0,
"",
INDEX(BOND!$B$2:$CH$13, Q$2, MATCH($B$40, BOND!$B$16:$CH$16, 0)+MATCH($C51, BOND!$C$18:$N$18,0)) )</f>
        <v>2.6320000000000001</v>
      </c>
      <c r="R51" s="80">
        <f>IF( INDEX(BOND!$B$2:$CH$13, R$2, MATCH($B$40, BOND!$B$16:$CH$16, 0)+MATCH($C51, BOND!$C$18:$N$18,0) )=0,
"",
INDEX(BOND!$B$2:$CH$13, R$2, MATCH($B$40, BOND!$B$16:$CH$16, 0)+MATCH($C51, BOND!$C$18:$N$18,0)) )</f>
        <v>2.6869999999999998</v>
      </c>
      <c r="S51" s="80">
        <f>IF( INDEX(BOND!$B$2:$CH$13, S$2, MATCH($B$40, BOND!$B$16:$CH$16, 0)+MATCH($C51, BOND!$C$18:$N$18,0) )=0,
"",
INDEX(BOND!$B$2:$CH$13, S$2, MATCH($B$40, BOND!$B$16:$CH$16, 0)+MATCH($C51, BOND!$C$18:$N$18,0)) )</f>
        <v>2.6811333333333329</v>
      </c>
      <c r="T51" s="80">
        <f>IF( INDEX(BOND!$B$2:$CH$13, T$2, MATCH($B$40, BOND!$B$16:$CH$16, 0)+MATCH($C51, BOND!$C$18:$N$18,0) )=0,
"",
INDEX(BOND!$B$2:$CH$13, T$2, MATCH($B$40, BOND!$B$16:$CH$16, 0)+MATCH($C51, BOND!$C$18:$N$18,0)) )</f>
        <v>2.5979999999999999</v>
      </c>
      <c r="U51" s="80">
        <f>IF( INDEX(BOND!$B$2:$CH$13, U$2, MATCH($B$40, BOND!$B$16:$CH$16, 0)+MATCH($C51, BOND!$C$18:$N$18,0) )=0,
"",
INDEX(BOND!$B$2:$CH$13, U$2, MATCH($B$40, BOND!$B$16:$CH$16, 0)+MATCH($C51, BOND!$C$18:$N$18,0)) )</f>
        <v>2.8010000000000002</v>
      </c>
      <c r="V51" s="80">
        <f>IF( INDEX(BOND!$B$2:$CH$13, V$2, MATCH($B$40, BOND!$B$16:$CH$16, 0)+MATCH($C51, BOND!$C$18:$N$18,0) )=0,
"",
INDEX(BOND!$B$2:$CH$13, V$2, MATCH($B$40, BOND!$B$16:$CH$16, 0)+MATCH($C51, BOND!$C$18:$N$18,0)) )</f>
        <v>2.7775999999999992</v>
      </c>
      <c r="W51" s="80">
        <f>IF( INDEX(BOND!$B$2:$CH$13, W$2, MATCH($B$40, BOND!$B$16:$CH$16, 0)+MATCH($C51, BOND!$C$18:$N$18,0) )=0,
"",
INDEX(BOND!$B$2:$CH$13, W$2, MATCH($B$40, BOND!$B$16:$CH$16, 0)+MATCH($C51, BOND!$C$18:$N$18,0)) )</f>
        <v>2.5979999999999999</v>
      </c>
      <c r="X51" s="80">
        <f>IF( INDEX(BOND!$B$2:$CH$13, X$2, MATCH($B$40, BOND!$B$16:$CH$16, 0)+MATCH($C51, BOND!$C$18:$N$18,0) )=0,
"",
INDEX(BOND!$B$2:$CH$13, X$2, MATCH($B$40, BOND!$B$16:$CH$16, 0)+MATCH($C51, BOND!$C$18:$N$18,0)) )</f>
        <v>3.0310000000000001</v>
      </c>
      <c r="Y51" s="80">
        <f>IF( INDEX(BOND!$B$2:$CH$13, Y$2, MATCH($B$40, BOND!$B$16:$CH$16, 0)+MATCH($C51, BOND!$C$18:$N$18,0) )=0,
"",
INDEX(BOND!$B$2:$CH$13, Y$2, MATCH($B$40, BOND!$B$16:$CH$16, 0)+MATCH($C51, BOND!$C$18:$N$18,0)) )</f>
        <v>3.0226439999999992</v>
      </c>
      <c r="Z51" s="80">
        <f>IF( INDEX(BOND!$B$2:$CH$13, Z$2, MATCH($B$40, BOND!$B$16:$CH$16, 0)+MATCH($C51, BOND!$C$18:$N$18,0) )=0,
"",
INDEX(BOND!$B$2:$CH$13, Z$2, MATCH($B$40, BOND!$B$16:$CH$16, 0)+MATCH($C51, BOND!$C$18:$N$18,0)) )</f>
        <v>2.5979999999999999</v>
      </c>
      <c r="AA51" s="80">
        <f>IF( INDEX(BOND!$B$2:$CH$13, AA$2, MATCH($B$40, BOND!$B$16:$CH$16, 0)+MATCH($C51, BOND!$C$18:$N$18,0) )=0,
"",
INDEX(BOND!$B$2:$CH$13, AA$2, MATCH($B$40, BOND!$B$16:$CH$16, 0)+MATCH($C51, BOND!$C$18:$N$18,0)) )</f>
        <v>3.5640000000000001</v>
      </c>
    </row>
    <row r="52" spans="2:27">
      <c r="D52" s="45"/>
      <c r="E52" s="52" t="s">
        <v>267</v>
      </c>
      <c r="F52" s="81">
        <f>IF(F51=0,"",(F51-AD26)*IF($C$7=1,-1,1))</f>
        <v>8.9999999999999858E-2</v>
      </c>
      <c r="G52" s="82">
        <f>IF(G51=0,"",(G51-AE26)*IF($C$7=1,-1,1))</f>
        <v>9.4500000000000028E-2</v>
      </c>
      <c r="H52" s="82">
        <f>IF(H51=0,"",(H51-AF26)*IF($C$7=1,-1,1))</f>
        <v>9.1500000000000359E-2</v>
      </c>
      <c r="I52" s="82">
        <f>IF(I51=0,"",(I51-AG26)*IF($C$7=1,-1,1))</f>
        <v>0.10349999999999993</v>
      </c>
      <c r="J52" s="82">
        <f>IF(J51=0,"",(J51-AH26)*IF($C$7=1,-1,1))</f>
        <v>0.11699999999999999</v>
      </c>
      <c r="K52" s="82">
        <f>IF(K51=0,"",(K51-AI26)*IF($C$7=1,-1,1))</f>
        <v>0.12649999999999961</v>
      </c>
      <c r="L52" s="82">
        <f>IF(L51=0,"",(L51-AJ26)*IF($C$7=1,-1,1))</f>
        <v>0.12199999999999989</v>
      </c>
      <c r="M52" s="82">
        <f>IF(M51=0,"",(M51-AK26)*IF($C$7=1,-1,1))</f>
        <v>0.11749999999999972</v>
      </c>
      <c r="N52" s="82">
        <f>IF(N51=0,"",(N51-AL26)*IF($C$7=1,-1,1))</f>
        <v>0.11749999999999972</v>
      </c>
      <c r="O52" s="82">
        <f>IF(O51=0,"",(O51-AM26)*IF($C$7=1,-1,1))</f>
        <v>0.12249999999999961</v>
      </c>
      <c r="P52" s="83">
        <f>IF(   P51="", "", (P51 - INDEX(IRS!$B$2:$Y$13, P$2, MATCH($E51,IRS!$B$1:$Y$1, 0)) ) * IF($C$7=1,-1,1)   )</f>
        <v>0.10492499999999882</v>
      </c>
      <c r="Q52" s="84">
        <f>IF(   Q51="", "", (Q51 - INDEX(IRS!$B$2:$Y$13, Q$2, MATCH($E51,IRS!$B$1:$Y$1, 0)) ) * IF($C$7=1,-1,1)   )</f>
        <v>0.11949999999999994</v>
      </c>
      <c r="R52" s="85">
        <f>IF(   R51="", "", (R51 - INDEX(IRS!$B$2:$Y$13, R$2, MATCH($E51,IRS!$B$1:$Y$1, 0)) ) * IF($C$7=1,-1,1)   )</f>
        <v>8.6999999999999744E-2</v>
      </c>
      <c r="S52" s="86">
        <f>IF(   S51="", "", (S51 - INDEX(IRS!$B$2:$Y$13, S$2, MATCH($E51,IRS!$B$1:$Y$1, 0)) ) * IF($C$7=1,-1,1)   )</f>
        <v>7.1341666666665748E-2</v>
      </c>
      <c r="T52" s="84">
        <f>IF(   T51="", "", (T51 - INDEX(IRS!$B$2:$Y$13, T$2, MATCH($E51,IRS!$B$1:$Y$1, 0)) ) * IF($C$7=1,-1,1)   )</f>
        <v>8.5499999999999687E-2</v>
      </c>
      <c r="U52" s="87">
        <f>IF(   U51="", "", (U51 - INDEX(IRS!$B$2:$Y$13, U$2, MATCH($E51,IRS!$B$1:$Y$1, 0)) ) * IF($C$7=1,-1,1)   )</f>
        <v>5.600000000000005E-2</v>
      </c>
      <c r="V52" s="83">
        <f>IF(   V51="", "", (V51 - INDEX(IRS!$B$2:$Y$13, V$2, MATCH($E51,IRS!$B$1:$Y$1, 0)) ) * IF($C$7=1,-1,1)   )</f>
        <v>6.1662499999998399E-2</v>
      </c>
      <c r="W52" s="84">
        <f>IF(   W51="", "", (W51 - INDEX(IRS!$B$2:$Y$13, W$2, MATCH($E51,IRS!$B$1:$Y$1, 0)) ) * IF($C$7=1,-1,1)   )</f>
        <v>8.5499999999999687E-2</v>
      </c>
      <c r="X52" s="85">
        <f>IF(   X51="", "", (X51 - INDEX(IRS!$B$2:$Y$13, X$2, MATCH($E51,IRS!$B$1:$Y$1, 0)) ) * IF($C$7=1,-1,1)   )</f>
        <v>1.6000000000000014E-2</v>
      </c>
      <c r="Y52" s="83">
        <f>IF(   Y51="", "", (Y51 - INDEX(IRS!$B$2:$Y$13, Y$2, MATCH($E51,IRS!$B$1:$Y$1, 0)) ) * IF($C$7=1,-1,1)   )</f>
        <v>6.2823999999997771E-2</v>
      </c>
      <c r="Z52" s="84">
        <f>IF(   Z51="", "", (Z51 - INDEX(IRS!$B$2:$Y$13, Z$2, MATCH($E51,IRS!$B$1:$Y$1, 0)) ) * IF($C$7=1,-1,1)   )</f>
        <v>8.5499999999999687E-2</v>
      </c>
      <c r="AA52" s="85">
        <f>IF(   AA51="", "", (AA51 - INDEX(IRS!$B$2:$Y$13, AA$2, MATCH($E51,IRS!$B$1:$Y$1, 0)) ) * IF($C$7=1,-1,1)   )</f>
        <v>4.0000000000000036E-3</v>
      </c>
    </row>
    <row r="53" spans="2:27">
      <c r="B53" s="6" t="str">
        <f>_xll.IMDH("IR",$B$40,$C53,$O$9,$F$9,10,"Per=일, sort=D, real=true, Bizday=0, Quote=종가,Pos=40,Orient=H,DtFmt=1.TmFmt=1")</f>
        <v>조회[BONDAVG14]</v>
      </c>
      <c r="C53" s="6" t="s">
        <v>239</v>
      </c>
      <c r="D53" s="53"/>
      <c r="E53" s="51" t="s">
        <v>255</v>
      </c>
      <c r="F53" s="88">
        <v>0</v>
      </c>
      <c r="G53" s="89">
        <v>0</v>
      </c>
      <c r="H53" s="89">
        <v>0</v>
      </c>
      <c r="I53" s="89">
        <v>0</v>
      </c>
      <c r="J53" s="89">
        <v>0</v>
      </c>
      <c r="K53" s="89">
        <v>0</v>
      </c>
      <c r="L53" s="89">
        <v>0</v>
      </c>
      <c r="M53" s="89">
        <v>0</v>
      </c>
      <c r="N53" s="89">
        <v>0</v>
      </c>
      <c r="O53" s="89">
        <v>0</v>
      </c>
      <c r="P53" s="80" t="str">
        <f>IF( INDEX(BOND!$B$2:$CH$13, P$2, MATCH($B$40, BOND!$B$16:$CH$16, 0)+MATCH($C53, BOND!$C$18:$N$18,0) )=0,
"",
INDEX(BOND!$B$2:$CH$13, P$2, MATCH($B$40, BOND!$B$16:$CH$16, 0)+MATCH($C53, BOND!$C$18:$N$18,0)) )</f>
        <v/>
      </c>
      <c r="Q53" s="80" t="str">
        <f>IF( INDEX(BOND!$B$2:$CH$13, Q$2, MATCH($B$40, BOND!$B$16:$CH$16, 0)+MATCH($C53, BOND!$C$18:$N$18,0) )=0,
"",
INDEX(BOND!$B$2:$CH$13, Q$2, MATCH($B$40, BOND!$B$16:$CH$16, 0)+MATCH($C53, BOND!$C$18:$N$18,0)) )</f>
        <v/>
      </c>
      <c r="R53" s="80" t="str">
        <f>IF( INDEX(BOND!$B$2:$CH$13, R$2, MATCH($B$40, BOND!$B$16:$CH$16, 0)+MATCH($C53, BOND!$C$18:$N$18,0) )=0,
"",
INDEX(BOND!$B$2:$CH$13, R$2, MATCH($B$40, BOND!$B$16:$CH$16, 0)+MATCH($C53, BOND!$C$18:$N$18,0)) )</f>
        <v/>
      </c>
      <c r="S53" s="80" t="str">
        <f>IF( INDEX(BOND!$B$2:$CH$13, S$2, MATCH($B$40, BOND!$B$16:$CH$16, 0)+MATCH($C53, BOND!$C$18:$N$18,0) )=0,
"",
INDEX(BOND!$B$2:$CH$13, S$2, MATCH($B$40, BOND!$B$16:$CH$16, 0)+MATCH($C53, BOND!$C$18:$N$18,0)) )</f>
        <v/>
      </c>
      <c r="T53" s="80" t="str">
        <f>IF( INDEX(BOND!$B$2:$CH$13, T$2, MATCH($B$40, BOND!$B$16:$CH$16, 0)+MATCH($C53, BOND!$C$18:$N$18,0) )=0,
"",
INDEX(BOND!$B$2:$CH$13, T$2, MATCH($B$40, BOND!$B$16:$CH$16, 0)+MATCH($C53, BOND!$C$18:$N$18,0)) )</f>
        <v/>
      </c>
      <c r="U53" s="80" t="str">
        <f>IF( INDEX(BOND!$B$2:$CH$13, U$2, MATCH($B$40, BOND!$B$16:$CH$16, 0)+MATCH($C53, BOND!$C$18:$N$18,0) )=0,
"",
INDEX(BOND!$B$2:$CH$13, U$2, MATCH($B$40, BOND!$B$16:$CH$16, 0)+MATCH($C53, BOND!$C$18:$N$18,0)) )</f>
        <v/>
      </c>
      <c r="V53" s="80" t="str">
        <f>IF( INDEX(BOND!$B$2:$CH$13, V$2, MATCH($B$40, BOND!$B$16:$CH$16, 0)+MATCH($C53, BOND!$C$18:$N$18,0) )=0,
"",
INDEX(BOND!$B$2:$CH$13, V$2, MATCH($B$40, BOND!$B$16:$CH$16, 0)+MATCH($C53, BOND!$C$18:$N$18,0)) )</f>
        <v/>
      </c>
      <c r="W53" s="80" t="str">
        <f>IF( INDEX(BOND!$B$2:$CH$13, W$2, MATCH($B$40, BOND!$B$16:$CH$16, 0)+MATCH($C53, BOND!$C$18:$N$18,0) )=0,
"",
INDEX(BOND!$B$2:$CH$13, W$2, MATCH($B$40, BOND!$B$16:$CH$16, 0)+MATCH($C53, BOND!$C$18:$N$18,0)) )</f>
        <v/>
      </c>
      <c r="X53" s="80" t="str">
        <f>IF( INDEX(BOND!$B$2:$CH$13, X$2, MATCH($B$40, BOND!$B$16:$CH$16, 0)+MATCH($C53, BOND!$C$18:$N$18,0) )=0,
"",
INDEX(BOND!$B$2:$CH$13, X$2, MATCH($B$40, BOND!$B$16:$CH$16, 0)+MATCH($C53, BOND!$C$18:$N$18,0)) )</f>
        <v/>
      </c>
      <c r="Y53" s="80" t="str">
        <f>IF( INDEX(BOND!$B$2:$CH$13, Y$2, MATCH($B$40, BOND!$B$16:$CH$16, 0)+MATCH($C53, BOND!$C$18:$N$18,0) )=0,
"",
INDEX(BOND!$B$2:$CH$13, Y$2, MATCH($B$40, BOND!$B$16:$CH$16, 0)+MATCH($C53, BOND!$C$18:$N$18,0)) )</f>
        <v/>
      </c>
      <c r="Z53" s="80" t="str">
        <f>IF( INDEX(BOND!$B$2:$CH$13, Z$2, MATCH($B$40, BOND!$B$16:$CH$16, 0)+MATCH($C53, BOND!$C$18:$N$18,0) )=0,
"",
INDEX(BOND!$B$2:$CH$13, Z$2, MATCH($B$40, BOND!$B$16:$CH$16, 0)+MATCH($C53, BOND!$C$18:$N$18,0)) )</f>
        <v/>
      </c>
      <c r="AA53" s="80" t="str">
        <f>IF( INDEX(BOND!$B$2:$CH$13, AA$2, MATCH($B$40, BOND!$B$16:$CH$16, 0)+MATCH($C53, BOND!$C$18:$N$18,0) )=0,
"",
INDEX(BOND!$B$2:$CH$13, AA$2, MATCH($B$40, BOND!$B$16:$CH$16, 0)+MATCH($C53, BOND!$C$18:$N$18,0)) )</f>
        <v/>
      </c>
    </row>
    <row r="54" spans="2:27">
      <c r="D54" s="53"/>
      <c r="E54" s="52" t="s">
        <v>267</v>
      </c>
      <c r="F54" s="81" t="str">
        <f>IF(F53=0,"",(F53-AD28)*IF($C$7=1,-1,1))</f>
        <v/>
      </c>
      <c r="G54" s="82" t="str">
        <f>IF(G53=0,"",(G53-AE28)*IF($C$7=1,-1,1))</f>
        <v/>
      </c>
      <c r="H54" s="82" t="str">
        <f>IF(H53=0,"",(H53-AF28)*IF($C$7=1,-1,1))</f>
        <v/>
      </c>
      <c r="I54" s="82" t="str">
        <f>IF(I53=0,"",(I53-AG28)*IF($C$7=1,-1,1))</f>
        <v/>
      </c>
      <c r="J54" s="82" t="str">
        <f>IF(J53=0,"",(J53-AH28)*IF($C$7=1,-1,1))</f>
        <v/>
      </c>
      <c r="K54" s="82" t="str">
        <f>IF(K53=0,"",(K53-AI28)*IF($C$7=1,-1,1))</f>
        <v/>
      </c>
      <c r="L54" s="82" t="str">
        <f>IF(L53=0,"",(L53-AJ28)*IF($C$7=1,-1,1))</f>
        <v/>
      </c>
      <c r="M54" s="82" t="str">
        <f>IF(M53=0,"",(M53-AK28)*IF($C$7=1,-1,1))</f>
        <v/>
      </c>
      <c r="N54" s="82" t="str">
        <f>IF(N53=0,"",(N53-AL28)*IF($C$7=1,-1,1))</f>
        <v/>
      </c>
      <c r="O54" s="82" t="str">
        <f>IF(O53=0,"",(O53-AM28)*IF($C$7=1,-1,1))</f>
        <v/>
      </c>
      <c r="P54" s="83" t="str">
        <f>IF(   P53="", "", (P53 - INDEX(IRS!$B$2:$Y$13, P$2, MATCH($E53,IRS!$B$1:$Y$1, 0)) ) * IF($C$7=1,-1,1)   )</f>
        <v/>
      </c>
      <c r="Q54" s="84" t="str">
        <f>IF(   Q53="", "", (Q53 - INDEX(IRS!$B$2:$Y$13, Q$2, MATCH($E53,IRS!$B$1:$Y$1, 0)) ) * IF($C$7=1,-1,1)   )</f>
        <v/>
      </c>
      <c r="R54" s="85" t="str">
        <f>IF(   R53="", "", (R53 - INDEX(IRS!$B$2:$Y$13, R$2, MATCH($E53,IRS!$B$1:$Y$1, 0)) ) * IF($C$7=1,-1,1)   )</f>
        <v/>
      </c>
      <c r="S54" s="86" t="str">
        <f>IF(   S53="", "", (S53 - INDEX(IRS!$B$2:$Y$13, S$2, MATCH($E53,IRS!$B$1:$Y$1, 0)) ) * IF($C$7=1,-1,1)   )</f>
        <v/>
      </c>
      <c r="T54" s="84" t="str">
        <f>IF(   T53="", "", (T53 - INDEX(IRS!$B$2:$Y$13, T$2, MATCH($E53,IRS!$B$1:$Y$1, 0)) ) * IF($C$7=1,-1,1)   )</f>
        <v/>
      </c>
      <c r="U54" s="87" t="str">
        <f>IF(   U53="", "", (U53 - INDEX(IRS!$B$2:$Y$13, U$2, MATCH($E53,IRS!$B$1:$Y$1, 0)) ) * IF($C$7=1,-1,1)   )</f>
        <v/>
      </c>
      <c r="V54" s="83" t="str">
        <f>IF(   V53="", "", (V53 - INDEX(IRS!$B$2:$Y$13, V$2, MATCH($E53,IRS!$B$1:$Y$1, 0)) ) * IF($C$7=1,-1,1)   )</f>
        <v/>
      </c>
      <c r="W54" s="84" t="str">
        <f>IF(   W53="", "", (W53 - INDEX(IRS!$B$2:$Y$13, W$2, MATCH($E53,IRS!$B$1:$Y$1, 0)) ) * IF($C$7=1,-1,1)   )</f>
        <v/>
      </c>
      <c r="X54" s="85" t="str">
        <f>IF(   X53="", "", (X53 - INDEX(IRS!$B$2:$Y$13, X$2, MATCH($E53,IRS!$B$1:$Y$1, 0)) ) * IF($C$7=1,-1,1)   )</f>
        <v/>
      </c>
      <c r="Y54" s="83" t="str">
        <f>IF(   Y53="", "", (Y53 - INDEX(IRS!$B$2:$Y$13, Y$2, MATCH($E53,IRS!$B$1:$Y$1, 0)) ) * IF($C$7=1,-1,1)   )</f>
        <v/>
      </c>
      <c r="Z54" s="84" t="str">
        <f>IF(   Z53="", "", (Z53 - INDEX(IRS!$B$2:$Y$13, Z$2, MATCH($E53,IRS!$B$1:$Y$1, 0)) ) * IF($C$7=1,-1,1)   )</f>
        <v/>
      </c>
      <c r="AA54" s="85" t="str">
        <f>IF(   AA53="", "", (AA53 - INDEX(IRS!$B$2:$Y$13, AA$2, MATCH($E53,IRS!$B$1:$Y$1, 0)) ) * IF($C$7=1,-1,1)   )</f>
        <v/>
      </c>
    </row>
    <row r="55" spans="2:27">
      <c r="B55" s="6" t="str">
        <f>_xll.IMDH("IR",$B$40,$C55,$O$9,$F$9,10,"Per=일, sort=D, real=true, Bizday=0, Quote=종가,Pos=40,Orient=H,DtFmt=1.TmFmt=1")</f>
        <v>조회[BONDAVG14]</v>
      </c>
      <c r="C55" s="6" t="s">
        <v>241</v>
      </c>
      <c r="D55" s="53"/>
      <c r="E55" s="51" t="s">
        <v>256</v>
      </c>
      <c r="F55" s="88">
        <v>0</v>
      </c>
      <c r="G55" s="89">
        <v>0</v>
      </c>
      <c r="H55" s="89">
        <v>0</v>
      </c>
      <c r="I55" s="89">
        <v>0</v>
      </c>
      <c r="J55" s="89">
        <v>0</v>
      </c>
      <c r="K55" s="89">
        <v>0</v>
      </c>
      <c r="L55" s="89">
        <v>0</v>
      </c>
      <c r="M55" s="89">
        <v>0</v>
      </c>
      <c r="N55" s="89">
        <v>0</v>
      </c>
      <c r="O55" s="89">
        <v>0</v>
      </c>
      <c r="P55" s="80" t="str">
        <f>IF( INDEX(BOND!$B$2:$CH$13, P$2, MATCH($B$40, BOND!$B$16:$CH$16, 0)+MATCH($C55, BOND!$C$18:$N$18,0) )=0,
"",
INDEX(BOND!$B$2:$CH$13, P$2, MATCH($B$40, BOND!$B$16:$CH$16, 0)+MATCH($C55, BOND!$C$18:$N$18,0)) )</f>
        <v/>
      </c>
      <c r="Q55" s="80" t="str">
        <f>IF( INDEX(BOND!$B$2:$CH$13, Q$2, MATCH($B$40, BOND!$B$16:$CH$16, 0)+MATCH($C55, BOND!$C$18:$N$18,0) )=0,
"",
INDEX(BOND!$B$2:$CH$13, Q$2, MATCH($B$40, BOND!$B$16:$CH$16, 0)+MATCH($C55, BOND!$C$18:$N$18,0)) )</f>
        <v/>
      </c>
      <c r="R55" s="80" t="str">
        <f>IF( INDEX(BOND!$B$2:$CH$13, R$2, MATCH($B$40, BOND!$B$16:$CH$16, 0)+MATCH($C55, BOND!$C$18:$N$18,0) )=0,
"",
INDEX(BOND!$B$2:$CH$13, R$2, MATCH($B$40, BOND!$B$16:$CH$16, 0)+MATCH($C55, BOND!$C$18:$N$18,0)) )</f>
        <v/>
      </c>
      <c r="S55" s="80" t="str">
        <f>IF( INDEX(BOND!$B$2:$CH$13, S$2, MATCH($B$40, BOND!$B$16:$CH$16, 0)+MATCH($C55, BOND!$C$18:$N$18,0) )=0,
"",
INDEX(BOND!$B$2:$CH$13, S$2, MATCH($B$40, BOND!$B$16:$CH$16, 0)+MATCH($C55, BOND!$C$18:$N$18,0)) )</f>
        <v/>
      </c>
      <c r="T55" s="80" t="str">
        <f>IF( INDEX(BOND!$B$2:$CH$13, T$2, MATCH($B$40, BOND!$B$16:$CH$16, 0)+MATCH($C55, BOND!$C$18:$N$18,0) )=0,
"",
INDEX(BOND!$B$2:$CH$13, T$2, MATCH($B$40, BOND!$B$16:$CH$16, 0)+MATCH($C55, BOND!$C$18:$N$18,0)) )</f>
        <v/>
      </c>
      <c r="U55" s="80" t="str">
        <f>IF( INDEX(BOND!$B$2:$CH$13, U$2, MATCH($B$40, BOND!$B$16:$CH$16, 0)+MATCH($C55, BOND!$C$18:$N$18,0) )=0,
"",
INDEX(BOND!$B$2:$CH$13, U$2, MATCH($B$40, BOND!$B$16:$CH$16, 0)+MATCH($C55, BOND!$C$18:$N$18,0)) )</f>
        <v/>
      </c>
      <c r="V55" s="80" t="str">
        <f>IF( INDEX(BOND!$B$2:$CH$13, V$2, MATCH($B$40, BOND!$B$16:$CH$16, 0)+MATCH($C55, BOND!$C$18:$N$18,0) )=0,
"",
INDEX(BOND!$B$2:$CH$13, V$2, MATCH($B$40, BOND!$B$16:$CH$16, 0)+MATCH($C55, BOND!$C$18:$N$18,0)) )</f>
        <v/>
      </c>
      <c r="W55" s="80" t="str">
        <f>IF( INDEX(BOND!$B$2:$CH$13, W$2, MATCH($B$40, BOND!$B$16:$CH$16, 0)+MATCH($C55, BOND!$C$18:$N$18,0) )=0,
"",
INDEX(BOND!$B$2:$CH$13, W$2, MATCH($B$40, BOND!$B$16:$CH$16, 0)+MATCH($C55, BOND!$C$18:$N$18,0)) )</f>
        <v/>
      </c>
      <c r="X55" s="80" t="str">
        <f>IF( INDEX(BOND!$B$2:$CH$13, X$2, MATCH($B$40, BOND!$B$16:$CH$16, 0)+MATCH($C55, BOND!$C$18:$N$18,0) )=0,
"",
INDEX(BOND!$B$2:$CH$13, X$2, MATCH($B$40, BOND!$B$16:$CH$16, 0)+MATCH($C55, BOND!$C$18:$N$18,0)) )</f>
        <v/>
      </c>
      <c r="Y55" s="80" t="str">
        <f>IF( INDEX(BOND!$B$2:$CH$13, Y$2, MATCH($B$40, BOND!$B$16:$CH$16, 0)+MATCH($C55, BOND!$C$18:$N$18,0) )=0,
"",
INDEX(BOND!$B$2:$CH$13, Y$2, MATCH($B$40, BOND!$B$16:$CH$16, 0)+MATCH($C55, BOND!$C$18:$N$18,0)) )</f>
        <v/>
      </c>
      <c r="Z55" s="80" t="str">
        <f>IF( INDEX(BOND!$B$2:$CH$13, Z$2, MATCH($B$40, BOND!$B$16:$CH$16, 0)+MATCH($C55, BOND!$C$18:$N$18,0) )=0,
"",
INDEX(BOND!$B$2:$CH$13, Z$2, MATCH($B$40, BOND!$B$16:$CH$16, 0)+MATCH($C55, BOND!$C$18:$N$18,0)) )</f>
        <v/>
      </c>
      <c r="AA55" s="80" t="str">
        <f>IF( INDEX(BOND!$B$2:$CH$13, AA$2, MATCH($B$40, BOND!$B$16:$CH$16, 0)+MATCH($C55, BOND!$C$18:$N$18,0) )=0,
"",
INDEX(BOND!$B$2:$CH$13, AA$2, MATCH($B$40, BOND!$B$16:$CH$16, 0)+MATCH($C55, BOND!$C$18:$N$18,0)) )</f>
        <v/>
      </c>
    </row>
    <row r="56" spans="2:27">
      <c r="D56" s="53"/>
      <c r="E56" s="52" t="s">
        <v>267</v>
      </c>
      <c r="F56" s="81" t="str">
        <f>IF(F55=0,"",(F55-AD30)*IF($C$7=1,-1,1))</f>
        <v/>
      </c>
      <c r="G56" s="82" t="str">
        <f>IF(G55=0,"",(G55-AE30)*IF($C$7=1,-1,1))</f>
        <v/>
      </c>
      <c r="H56" s="82" t="str">
        <f>IF(H55=0,"",(H55-AF30)*IF($C$7=1,-1,1))</f>
        <v/>
      </c>
      <c r="I56" s="82" t="str">
        <f>IF(I55=0,"",(I55-AG30)*IF($C$7=1,-1,1))</f>
        <v/>
      </c>
      <c r="J56" s="82" t="str">
        <f>IF(J55=0,"",(J55-AH30)*IF($C$7=1,-1,1))</f>
        <v/>
      </c>
      <c r="K56" s="82" t="str">
        <f>IF(K55=0,"",(K55-AI30)*IF($C$7=1,-1,1))</f>
        <v/>
      </c>
      <c r="L56" s="82" t="str">
        <f>IF(L55=0,"",(L55-AJ30)*IF($C$7=1,-1,1))</f>
        <v/>
      </c>
      <c r="M56" s="82" t="str">
        <f>IF(M55=0,"",(M55-AK30)*IF($C$7=1,-1,1))</f>
        <v/>
      </c>
      <c r="N56" s="82" t="str">
        <f>IF(N55=0,"",(N55-AL30)*IF($C$7=1,-1,1))</f>
        <v/>
      </c>
      <c r="O56" s="82" t="str">
        <f>IF(O55=0,"",(O55-AM30)*IF($C$7=1,-1,1))</f>
        <v/>
      </c>
      <c r="P56" s="83" t="str">
        <f>IF(   P55="", "", (P55 - INDEX(IRS!$B$2:$Y$13, P$2, MATCH($E55,IRS!$B$1:$Y$1, 0)) ) * IF($C$7=1,-1,1)   )</f>
        <v/>
      </c>
      <c r="Q56" s="84" t="str">
        <f>IF(   Q55="", "", (Q55 - INDEX(IRS!$B$2:$Y$13, Q$2, MATCH($E55,IRS!$B$1:$Y$1, 0)) ) * IF($C$7=1,-1,1)   )</f>
        <v/>
      </c>
      <c r="R56" s="85" t="str">
        <f>IF(   R55="", "", (R55 - INDEX(IRS!$B$2:$Y$13, R$2, MATCH($E55,IRS!$B$1:$Y$1, 0)) ) * IF($C$7=1,-1,1)   )</f>
        <v/>
      </c>
      <c r="S56" s="86" t="str">
        <f>IF(   S55="", "", (S55 - INDEX(IRS!$B$2:$Y$13, S$2, MATCH($E55,IRS!$B$1:$Y$1, 0)) ) * IF($C$7=1,-1,1)   )</f>
        <v/>
      </c>
      <c r="T56" s="84" t="str">
        <f>IF(   T55="", "", (T55 - INDEX(IRS!$B$2:$Y$13, T$2, MATCH($E55,IRS!$B$1:$Y$1, 0)) ) * IF($C$7=1,-1,1)   )</f>
        <v/>
      </c>
      <c r="U56" s="87" t="str">
        <f>IF(   U55="", "", (U55 - INDEX(IRS!$B$2:$Y$13, U$2, MATCH($E55,IRS!$B$1:$Y$1, 0)) ) * IF($C$7=1,-1,1)   )</f>
        <v/>
      </c>
      <c r="V56" s="83" t="str">
        <f>IF(   V55="", "", (V55 - INDEX(IRS!$B$2:$Y$13, V$2, MATCH($E55,IRS!$B$1:$Y$1, 0)) ) * IF($C$7=1,-1,1)   )</f>
        <v/>
      </c>
      <c r="W56" s="84" t="str">
        <f>IF(   W55="", "", (W55 - INDEX(IRS!$B$2:$Y$13, W$2, MATCH($E55,IRS!$B$1:$Y$1, 0)) ) * IF($C$7=1,-1,1)   )</f>
        <v/>
      </c>
      <c r="X56" s="85" t="str">
        <f>IF(   X55="", "", (X55 - INDEX(IRS!$B$2:$Y$13, X$2, MATCH($E55,IRS!$B$1:$Y$1, 0)) ) * IF($C$7=1,-1,1)   )</f>
        <v/>
      </c>
      <c r="Y56" s="83" t="str">
        <f>IF(   Y55="", "", (Y55 - INDEX(IRS!$B$2:$Y$13, Y$2, MATCH($E55,IRS!$B$1:$Y$1, 0)) ) * IF($C$7=1,-1,1)   )</f>
        <v/>
      </c>
      <c r="Z56" s="84" t="str">
        <f>IF(   Z55="", "", (Z55 - INDEX(IRS!$B$2:$Y$13, Z$2, MATCH($E55,IRS!$B$1:$Y$1, 0)) ) * IF($C$7=1,-1,1)   )</f>
        <v/>
      </c>
      <c r="AA56" s="85" t="str">
        <f>IF(   AA55="", "", (AA55 - INDEX(IRS!$B$2:$Y$13, AA$2, MATCH($E55,IRS!$B$1:$Y$1, 0)) ) * IF($C$7=1,-1,1)   )</f>
        <v/>
      </c>
    </row>
    <row r="57" spans="2:27">
      <c r="C57" s="6">
        <v>2</v>
      </c>
      <c r="D57" s="45"/>
      <c r="E57" s="56" t="s">
        <v>225</v>
      </c>
      <c r="F57" s="63">
        <f>F$9</f>
        <v>45741</v>
      </c>
      <c r="G57" s="65">
        <f t="shared" ref="G57:N57" si="2">G$9</f>
        <v>45740</v>
      </c>
      <c r="H57" s="65">
        <f t="shared" si="2"/>
        <v>45737</v>
      </c>
      <c r="I57" s="65">
        <f t="shared" si="2"/>
        <v>45736</v>
      </c>
      <c r="J57" s="65">
        <f t="shared" si="2"/>
        <v>45735</v>
      </c>
      <c r="K57" s="65">
        <f t="shared" si="2"/>
        <v>45734</v>
      </c>
      <c r="L57" s="65">
        <f t="shared" si="2"/>
        <v>45733</v>
      </c>
      <c r="M57" s="65">
        <f t="shared" si="2"/>
        <v>45730</v>
      </c>
      <c r="N57" s="61">
        <f t="shared" si="2"/>
        <v>45729</v>
      </c>
      <c r="O57" s="59">
        <f>O$9</f>
        <v>45728</v>
      </c>
      <c r="P57" s="68" t="str">
        <f>$P$13</f>
        <v>20D</v>
      </c>
      <c r="Q57" s="68"/>
      <c r="R57" s="68"/>
      <c r="S57" s="68" t="str">
        <f>$S$13</f>
        <v>60D</v>
      </c>
      <c r="T57" s="68"/>
      <c r="U57" s="68"/>
      <c r="V57" s="68" t="str">
        <f>$V$13</f>
        <v>120D</v>
      </c>
      <c r="W57" s="68"/>
      <c r="X57" s="68"/>
      <c r="Y57" s="68" t="str">
        <f>$Y$13</f>
        <v>250D</v>
      </c>
      <c r="Z57" s="68"/>
      <c r="AA57" s="68"/>
    </row>
    <row r="58" spans="2:27">
      <c r="B58" s="6" t="str">
        <f>INDEX(code_list,$C57,1)</f>
        <v>BONDAVG02</v>
      </c>
      <c r="C58" s="6" t="str">
        <f>INDEX(name_list,$C57,1)</f>
        <v>국민주택1종</v>
      </c>
      <c r="D58" s="45"/>
      <c r="E58" s="57"/>
      <c r="F58" s="64"/>
      <c r="G58" s="66"/>
      <c r="H58" s="66"/>
      <c r="I58" s="66"/>
      <c r="J58" s="66"/>
      <c r="K58" s="66"/>
      <c r="L58" s="66"/>
      <c r="M58" s="66"/>
      <c r="N58" s="62"/>
      <c r="O58" s="60"/>
      <c r="P58" s="55" t="s">
        <v>21</v>
      </c>
      <c r="Q58" s="55" t="s">
        <v>22</v>
      </c>
      <c r="R58" s="55" t="s">
        <v>23</v>
      </c>
      <c r="S58" s="55" t="s">
        <v>21</v>
      </c>
      <c r="T58" s="55" t="s">
        <v>22</v>
      </c>
      <c r="U58" s="55" t="s">
        <v>23</v>
      </c>
      <c r="V58" s="55" t="s">
        <v>21</v>
      </c>
      <c r="W58" s="55" t="s">
        <v>22</v>
      </c>
      <c r="X58" s="55" t="s">
        <v>23</v>
      </c>
      <c r="Y58" s="55" t="s">
        <v>21</v>
      </c>
      <c r="Z58" s="55" t="s">
        <v>22</v>
      </c>
      <c r="AA58" s="55" t="s">
        <v>23</v>
      </c>
    </row>
    <row r="59" spans="2:27">
      <c r="B59" s="6" t="str">
        <f>_xll.IMDH("IR",$B$58,$C59,$O$9,$F$9,10,"Per=일, sort=D, real=true, Bizday=0, Quote=종가,Pos=40,Orient=H,DtFmt=1.TmFmt=1")</f>
        <v>조회[BONDAVG02]</v>
      </c>
      <c r="C59" s="6" t="s">
        <v>297</v>
      </c>
      <c r="D59" s="45"/>
      <c r="E59" s="51" t="s">
        <v>249</v>
      </c>
      <c r="F59" s="88">
        <v>2.6859999999999999</v>
      </c>
      <c r="G59" s="89">
        <v>2.6869999999999998</v>
      </c>
      <c r="H59" s="89">
        <v>2.6779999999999999</v>
      </c>
      <c r="I59" s="89">
        <v>2.665</v>
      </c>
      <c r="J59" s="89">
        <v>2.6669999999999998</v>
      </c>
      <c r="K59" s="89">
        <v>2.665</v>
      </c>
      <c r="L59" s="89">
        <v>2.6680000000000001</v>
      </c>
      <c r="M59" s="89">
        <v>2.6680000000000001</v>
      </c>
      <c r="N59" s="89">
        <v>2.6720000000000002</v>
      </c>
      <c r="O59" s="89">
        <v>2.6749999999999998</v>
      </c>
      <c r="P59" s="80">
        <f>IF( INDEX(BOND!$B$2:$CH$13, P$2, MATCH($B$58, BOND!$B$16:$CH$16, 0)+MATCH($C59, BOND!$C$18:$N$18,0) )=0,
"",
INDEX(BOND!$B$2:$CH$13, P$2, MATCH($B$58, BOND!$B$16:$CH$16, 0)+MATCH($C59, BOND!$C$18:$N$18,0)) )</f>
        <v>2.6907000000000005</v>
      </c>
      <c r="Q59" s="80">
        <f>IF( INDEX(BOND!$B$2:$CH$13, Q$2, MATCH($B$58, BOND!$B$16:$CH$16, 0)+MATCH($C59, BOND!$C$18:$N$18,0) )=0,
"",
INDEX(BOND!$B$2:$CH$13, Q$2, MATCH($B$58, BOND!$B$16:$CH$16, 0)+MATCH($C59, BOND!$C$18:$N$18,0)) )</f>
        <v>2.665</v>
      </c>
      <c r="R59" s="80">
        <f>IF( INDEX(BOND!$B$2:$CH$13, R$2, MATCH($B$58, BOND!$B$16:$CH$16, 0)+MATCH($C59, BOND!$C$18:$N$18,0) )=0,
"",
INDEX(BOND!$B$2:$CH$13, R$2, MATCH($B$58, BOND!$B$16:$CH$16, 0)+MATCH($C59, BOND!$C$18:$N$18,0)) )</f>
        <v>2.7269999999999999</v>
      </c>
      <c r="S59" s="80">
        <f>IF( INDEX(BOND!$B$2:$CH$13, S$2, MATCH($B$58, BOND!$B$16:$CH$16, 0)+MATCH($C59, BOND!$C$18:$N$18,0) )=0,
"",
INDEX(BOND!$B$2:$CH$13, S$2, MATCH($B$58, BOND!$B$16:$CH$16, 0)+MATCH($C59, BOND!$C$18:$N$18,0)) )</f>
        <v>2.7598666666666669</v>
      </c>
      <c r="T59" s="80">
        <f>IF( INDEX(BOND!$B$2:$CH$13, T$2, MATCH($B$58, BOND!$B$16:$CH$16, 0)+MATCH($C59, BOND!$C$18:$N$18,0) )=0,
"",
INDEX(BOND!$B$2:$CH$13, T$2, MATCH($B$58, BOND!$B$16:$CH$16, 0)+MATCH($C59, BOND!$C$18:$N$18,0)) )</f>
        <v>2.665</v>
      </c>
      <c r="U59" s="80">
        <f>IF( INDEX(BOND!$B$2:$CH$13, U$2, MATCH($B$58, BOND!$B$16:$CH$16, 0)+MATCH($C59, BOND!$C$18:$N$18,0) )=0,
"",
INDEX(BOND!$B$2:$CH$13, U$2, MATCH($B$58, BOND!$B$16:$CH$16, 0)+MATCH($C59, BOND!$C$18:$N$18,0)) )</f>
        <v>2.859</v>
      </c>
      <c r="V59" s="80">
        <f>IF( INDEX(BOND!$B$2:$CH$13, V$2, MATCH($B$58, BOND!$B$16:$CH$16, 0)+MATCH($C59, BOND!$C$18:$N$18,0) )=0,
"",
INDEX(BOND!$B$2:$CH$13, V$2, MATCH($B$58, BOND!$B$16:$CH$16, 0)+MATCH($C59, BOND!$C$18:$N$18,0)) )</f>
        <v>2.8780333333333332</v>
      </c>
      <c r="W59" s="80">
        <f>IF( INDEX(BOND!$B$2:$CH$13, W$2, MATCH($B$58, BOND!$B$16:$CH$16, 0)+MATCH($C59, BOND!$C$18:$N$18,0) )=0,
"",
INDEX(BOND!$B$2:$CH$13, W$2, MATCH($B$58, BOND!$B$16:$CH$16, 0)+MATCH($C59, BOND!$C$18:$N$18,0)) )</f>
        <v>2.665</v>
      </c>
      <c r="X59" s="80">
        <f>IF( INDEX(BOND!$B$2:$CH$13, X$2, MATCH($B$58, BOND!$B$16:$CH$16, 0)+MATCH($C59, BOND!$C$18:$N$18,0) )=0,
"",
INDEX(BOND!$B$2:$CH$13, X$2, MATCH($B$58, BOND!$B$16:$CH$16, 0)+MATCH($C59, BOND!$C$18:$N$18,0)) )</f>
        <v>3.0590000000000002</v>
      </c>
      <c r="Y59" s="80">
        <f>IF( INDEX(BOND!$B$2:$CH$13, Y$2, MATCH($B$58, BOND!$B$16:$CH$16, 0)+MATCH($C59, BOND!$C$18:$N$18,0) )=0,
"",
INDEX(BOND!$B$2:$CH$13, Y$2, MATCH($B$58, BOND!$B$16:$CH$16, 0)+MATCH($C59, BOND!$C$18:$N$18,0)) )</f>
        <v>3.1412159999999987</v>
      </c>
      <c r="Z59" s="80">
        <f>IF( INDEX(BOND!$B$2:$CH$13, Z$2, MATCH($B$58, BOND!$B$16:$CH$16, 0)+MATCH($C59, BOND!$C$18:$N$18,0) )=0,
"",
INDEX(BOND!$B$2:$CH$13, Z$2, MATCH($B$58, BOND!$B$16:$CH$16, 0)+MATCH($C59, BOND!$C$18:$N$18,0)) )</f>
        <v>2.665</v>
      </c>
      <c r="AA59" s="80">
        <f>IF( INDEX(BOND!$B$2:$CH$13, AA$2, MATCH($B$58, BOND!$B$16:$CH$16, 0)+MATCH($C59, BOND!$C$18:$N$18,0) )=0,
"",
INDEX(BOND!$B$2:$CH$13, AA$2, MATCH($B$58, BOND!$B$16:$CH$16, 0)+MATCH($C59, BOND!$C$18:$N$18,0)) )</f>
        <v>3.5</v>
      </c>
    </row>
    <row r="60" spans="2:27">
      <c r="D60" s="45"/>
      <c r="E60" s="52" t="s">
        <v>267</v>
      </c>
      <c r="F60" s="81">
        <f>IF(F59=0,"",(F59-AD16)*IF($C$7=1,-1,1))</f>
        <v>-8.6500000000000021E-2</v>
      </c>
      <c r="G60" s="82">
        <f>IF(G59=0,"",(G59-AE16)*IF($C$7=1,-1,1))</f>
        <v>-7.8000000000000291E-2</v>
      </c>
      <c r="H60" s="82">
        <f>IF(H59=0,"",(H59-AF16)*IF($C$7=1,-1,1))</f>
        <v>-8.4500000000000242E-2</v>
      </c>
      <c r="I60" s="82">
        <f>IF(I59=0,"",(I59-AG16)*IF($C$7=1,-1,1))</f>
        <v>-9.4999999999999751E-2</v>
      </c>
      <c r="J60" s="82">
        <f>IF(J59=0,"",(J59-AH16)*IF($C$7=1,-1,1))</f>
        <v>-0.10050000000000026</v>
      </c>
      <c r="K60" s="82">
        <f>IF(K59=0,"",(K59-AI16)*IF($C$7=1,-1,1))</f>
        <v>-0.10000000000000009</v>
      </c>
      <c r="L60" s="82">
        <f>IF(L59=0,"",(L59-AJ16)*IF($C$7=1,-1,1))</f>
        <v>-9.6999999999999975E-2</v>
      </c>
      <c r="M60" s="82">
        <f>IF(M59=0,"",(M59-AK16)*IF($C$7=1,-1,1))</f>
        <v>-9.1999999999999638E-2</v>
      </c>
      <c r="N60" s="82">
        <f>IF(N59=0,"",(N59-AL16)*IF($C$7=1,-1,1))</f>
        <v>-8.5499999999999687E-2</v>
      </c>
      <c r="O60" s="82">
        <f>IF(O59=0,"",(O59-AM16)*IF($C$7=1,-1,1))</f>
        <v>-7.0000000000000284E-2</v>
      </c>
      <c r="P60" s="83">
        <f>IF(   P59="", "", (P59 - INDEX(IRS!$B$2:$Y$13, P$2, MATCH($E59,IRS!$B$1:$Y$1, 0)) ) * IF($C$7=1,-1,1)   )</f>
        <v>-7.5049999999999617E-2</v>
      </c>
      <c r="Q60" s="84">
        <f>IF(   Q59="", "", (Q59 - INDEX(IRS!$B$2:$Y$13, Q$2, MATCH($E59,IRS!$B$1:$Y$1, 0)) ) * IF($C$7=1,-1,1)   )</f>
        <v>-8.0000000000000071E-2</v>
      </c>
      <c r="R60" s="85">
        <f>IF(   R59="", "", (R59 - INDEX(IRS!$B$2:$Y$13, R$2, MATCH($E59,IRS!$B$1:$Y$1, 0)) ) * IF($C$7=1,-1,1)   )</f>
        <v>-7.2999999999999954E-2</v>
      </c>
      <c r="S60" s="86">
        <f>IF(   S59="", "", (S59 - INDEX(IRS!$B$2:$Y$13, S$2, MATCH($E59,IRS!$B$1:$Y$1, 0)) ) * IF($C$7=1,-1,1)   )</f>
        <v>-0.11800833333333349</v>
      </c>
      <c r="T60" s="84">
        <f>IF(   T59="", "", (T59 - INDEX(IRS!$B$2:$Y$13, T$2, MATCH($E59,IRS!$B$1:$Y$1, 0)) ) * IF($C$7=1,-1,1)   )</f>
        <v>-8.0000000000000071E-2</v>
      </c>
      <c r="U60" s="87">
        <f>IF(   U59="", "", (U59 - INDEX(IRS!$B$2:$Y$13, U$2, MATCH($E59,IRS!$B$1:$Y$1, 0)) ) * IF($C$7=1,-1,1)   )</f>
        <v>-0.32850000000000001</v>
      </c>
      <c r="V60" s="83">
        <f>IF(   V59="", "", (V59 - INDEX(IRS!$B$2:$Y$13, V$2, MATCH($E59,IRS!$B$1:$Y$1, 0)) ) * IF($C$7=1,-1,1)   )</f>
        <v>-0.18661250000000118</v>
      </c>
      <c r="W60" s="84">
        <f>IF(   W59="", "", (W59 - INDEX(IRS!$B$2:$Y$13, W$2, MATCH($E59,IRS!$B$1:$Y$1, 0)) ) * IF($C$7=1,-1,1)   )</f>
        <v>-8.0000000000000071E-2</v>
      </c>
      <c r="X60" s="85">
        <f>IF(   X59="", "", (X59 - INDEX(IRS!$B$2:$Y$13, X$2, MATCH($E59,IRS!$B$1:$Y$1, 0)) ) * IF($C$7=1,-1,1)   )</f>
        <v>-0.35349999999999993</v>
      </c>
      <c r="Y60" s="83">
        <f>IF(   Y59="", "", (Y59 - INDEX(IRS!$B$2:$Y$13, Y$2, MATCH($E59,IRS!$B$1:$Y$1, 0)) ) * IF($C$7=1,-1,1)   )</f>
        <v>-0.15857400000000332</v>
      </c>
      <c r="Z60" s="84">
        <f>IF(   Z59="", "", (Z59 - INDEX(IRS!$B$2:$Y$13, Z$2, MATCH($E59,IRS!$B$1:$Y$1, 0)) ) * IF($C$7=1,-1,1)   )</f>
        <v>-8.0000000000000071E-2</v>
      </c>
      <c r="AA60" s="85">
        <f>IF(   AA59="", "", (AA59 - INDEX(IRS!$B$2:$Y$13, AA$2, MATCH($E59,IRS!$B$1:$Y$1, 0)) ) * IF($C$7=1,-1,1)   )</f>
        <v>-0.13750000000000018</v>
      </c>
    </row>
    <row r="61" spans="2:27">
      <c r="B61" s="6" t="str">
        <f>_xll.IMDH("IR",$B$58,$C61,$O$9,$F$9,10,"Per=일, sort=D, real=true, Bizday=0, Quote=종가,Pos=40,Orient=H,DtFmt=1.TmFmt=1")</f>
        <v>조회[BONDAVG02]</v>
      </c>
      <c r="C61" s="6" t="s">
        <v>298</v>
      </c>
      <c r="D61" s="45"/>
      <c r="E61" s="51" t="s">
        <v>250</v>
      </c>
      <c r="F61" s="88">
        <v>2.72</v>
      </c>
      <c r="G61" s="89">
        <v>2.718</v>
      </c>
      <c r="H61" s="89">
        <v>2.7090000000000001</v>
      </c>
      <c r="I61" s="89">
        <v>2.7040000000000002</v>
      </c>
      <c r="J61" s="89">
        <v>2.7040000000000002</v>
      </c>
      <c r="K61" s="89">
        <v>2.6960000000000002</v>
      </c>
      <c r="L61" s="89">
        <v>2.6970000000000001</v>
      </c>
      <c r="M61" s="89">
        <v>2.6960000000000002</v>
      </c>
      <c r="N61" s="89">
        <v>2.6909999999999998</v>
      </c>
      <c r="O61" s="89">
        <v>2.6869999999999998</v>
      </c>
      <c r="P61" s="80">
        <f>IF( INDEX(BOND!$B$2:$CH$13, P$2, MATCH($B$58, BOND!$B$16:$CH$16, 0)+MATCH($C61, BOND!$C$18:$N$18,0) )=0,
"",
INDEX(BOND!$B$2:$CH$13, P$2, MATCH($B$58, BOND!$B$16:$CH$16, 0)+MATCH($C61, BOND!$C$18:$N$18,0)) )</f>
        <v>2.7112500000000002</v>
      </c>
      <c r="Q61" s="80">
        <f>IF( INDEX(BOND!$B$2:$CH$13, Q$2, MATCH($B$58, BOND!$B$16:$CH$16, 0)+MATCH($C61, BOND!$C$18:$N$18,0) )=0,
"",
INDEX(BOND!$B$2:$CH$13, Q$2, MATCH($B$58, BOND!$B$16:$CH$16, 0)+MATCH($C61, BOND!$C$18:$N$18,0)) )</f>
        <v>2.6869999999999998</v>
      </c>
      <c r="R61" s="80">
        <f>IF( INDEX(BOND!$B$2:$CH$13, R$2, MATCH($B$58, BOND!$B$16:$CH$16, 0)+MATCH($C61, BOND!$C$18:$N$18,0) )=0,
"",
INDEX(BOND!$B$2:$CH$13, R$2, MATCH($B$58, BOND!$B$16:$CH$16, 0)+MATCH($C61, BOND!$C$18:$N$18,0)) )</f>
        <v>2.7290000000000001</v>
      </c>
      <c r="S61" s="80">
        <f>IF( INDEX(BOND!$B$2:$CH$13, S$2, MATCH($B$58, BOND!$B$16:$CH$16, 0)+MATCH($C61, BOND!$C$18:$N$18,0) )=0,
"",
INDEX(BOND!$B$2:$CH$13, S$2, MATCH($B$58, BOND!$B$16:$CH$16, 0)+MATCH($C61, BOND!$C$18:$N$18,0)) )</f>
        <v>2.7411166666666653</v>
      </c>
      <c r="T61" s="80">
        <f>IF( INDEX(BOND!$B$2:$CH$13, T$2, MATCH($B$58, BOND!$B$16:$CH$16, 0)+MATCH($C61, BOND!$C$18:$N$18,0) )=0,
"",
INDEX(BOND!$B$2:$CH$13, T$2, MATCH($B$58, BOND!$B$16:$CH$16, 0)+MATCH($C61, BOND!$C$18:$N$18,0)) )</f>
        <v>2.6869999999999998</v>
      </c>
      <c r="U61" s="80">
        <f>IF( INDEX(BOND!$B$2:$CH$13, U$2, MATCH($B$58, BOND!$B$16:$CH$16, 0)+MATCH($C61, BOND!$C$18:$N$18,0) )=0,
"",
INDEX(BOND!$B$2:$CH$13, U$2, MATCH($B$58, BOND!$B$16:$CH$16, 0)+MATCH($C61, BOND!$C$18:$N$18,0)) )</f>
        <v>2.8220000000000001</v>
      </c>
      <c r="V61" s="80">
        <f>IF( INDEX(BOND!$B$2:$CH$13, V$2, MATCH($B$58, BOND!$B$16:$CH$16, 0)+MATCH($C61, BOND!$C$18:$N$18,0) )=0,
"",
INDEX(BOND!$B$2:$CH$13, V$2, MATCH($B$58, BOND!$B$16:$CH$16, 0)+MATCH($C61, BOND!$C$18:$N$18,0)) )</f>
        <v>2.8590500000000003</v>
      </c>
      <c r="W61" s="80">
        <f>IF( INDEX(BOND!$B$2:$CH$13, W$2, MATCH($B$58, BOND!$B$16:$CH$16, 0)+MATCH($C61, BOND!$C$18:$N$18,0) )=0,
"",
INDEX(BOND!$B$2:$CH$13, W$2, MATCH($B$58, BOND!$B$16:$CH$16, 0)+MATCH($C61, BOND!$C$18:$N$18,0)) )</f>
        <v>2.6869999999999998</v>
      </c>
      <c r="X61" s="80">
        <f>IF( INDEX(BOND!$B$2:$CH$13, X$2, MATCH($B$58, BOND!$B$16:$CH$16, 0)+MATCH($C61, BOND!$C$18:$N$18,0) )=0,
"",
INDEX(BOND!$B$2:$CH$13, X$2, MATCH($B$58, BOND!$B$16:$CH$16, 0)+MATCH($C61, BOND!$C$18:$N$18,0)) )</f>
        <v>3.0539999999999998</v>
      </c>
      <c r="Y61" s="80">
        <f>IF( INDEX(BOND!$B$2:$CH$13, Y$2, MATCH($B$58, BOND!$B$16:$CH$16, 0)+MATCH($C61, BOND!$C$18:$N$18,0) )=0,
"",
INDEX(BOND!$B$2:$CH$13, Y$2, MATCH($B$58, BOND!$B$16:$CH$16, 0)+MATCH($C61, BOND!$C$18:$N$18,0)) )</f>
        <v>3.1132440000000012</v>
      </c>
      <c r="Z61" s="80">
        <f>IF( INDEX(BOND!$B$2:$CH$13, Z$2, MATCH($B$58, BOND!$B$16:$CH$16, 0)+MATCH($C61, BOND!$C$18:$N$18,0) )=0,
"",
INDEX(BOND!$B$2:$CH$13, Z$2, MATCH($B$58, BOND!$B$16:$CH$16, 0)+MATCH($C61, BOND!$C$18:$N$18,0)) )</f>
        <v>2.6869999999999998</v>
      </c>
      <c r="AA61" s="80">
        <f>IF( INDEX(BOND!$B$2:$CH$13, AA$2, MATCH($B$58, BOND!$B$16:$CH$16, 0)+MATCH($C61, BOND!$C$18:$N$18,0) )=0,
"",
INDEX(BOND!$B$2:$CH$13, AA$2, MATCH($B$58, BOND!$B$16:$CH$16, 0)+MATCH($C61, BOND!$C$18:$N$18,0)) )</f>
        <v>3.5070000000000001</v>
      </c>
    </row>
    <row r="62" spans="2:27">
      <c r="D62" s="45"/>
      <c r="E62" s="52" t="s">
        <v>267</v>
      </c>
      <c r="F62" s="81">
        <f>IF(F61=0,"",(F61-AD18)*IF($C$7=1,-1,1))</f>
        <v>7.5000000000002842E-3</v>
      </c>
      <c r="G62" s="82">
        <f>IF(G61=0,"",(G61-AE18)*IF($C$7=1,-1,1))</f>
        <v>1.5499999999999847E-2</v>
      </c>
      <c r="H62" s="82">
        <f>IF(H61=0,"",(H61-AF18)*IF($C$7=1,-1,1))</f>
        <v>8.999999999999897E-3</v>
      </c>
      <c r="I62" s="82">
        <f>IF(I61=0,"",(I61-AG18)*IF($C$7=1,-1,1))</f>
        <v>6.5000000000003944E-3</v>
      </c>
      <c r="J62" s="82">
        <f>IF(J61=0,"",(J61-AH18)*IF($C$7=1,-1,1))</f>
        <v>-9.9999999999988987E-4</v>
      </c>
      <c r="K62" s="82">
        <f>IF(K61=0,"",(K61-AI18)*IF($C$7=1,-1,1))</f>
        <v>-4.0000000000000036E-3</v>
      </c>
      <c r="L62" s="82">
        <f>IF(L61=0,"",(L61-AJ18)*IF($C$7=1,-1,1))</f>
        <v>-3.0000000000001137E-3</v>
      </c>
      <c r="M62" s="82">
        <f>IF(M61=0,"",(M61-AK18)*IF($C$7=1,-1,1))</f>
        <v>1.000000000000334E-3</v>
      </c>
      <c r="N62" s="82">
        <f>IF(N61=0,"",(N61-AL18)*IF($C$7=1,-1,1))</f>
        <v>3.4999999999998366E-3</v>
      </c>
      <c r="O62" s="82">
        <f>IF(O61=0,"",(O61-AM18)*IF($C$7=1,-1,1))</f>
        <v>1.4499999999999957E-2</v>
      </c>
      <c r="P62" s="83">
        <f>IF(   P61="", "", (P61 - INDEX(IRS!$B$2:$Y$13, P$2, MATCH($E61,IRS!$B$1:$Y$1, 0)) ) * IF($C$7=1,-1,1)   )</f>
        <v>1.4250000000000984E-2</v>
      </c>
      <c r="Q62" s="84">
        <f>IF(   Q61="", "", (Q61 - INDEX(IRS!$B$2:$Y$13, Q$2, MATCH($E61,IRS!$B$1:$Y$1, 0)) ) * IF($C$7=1,-1,1)   )</f>
        <v>1.4499999999999957E-2</v>
      </c>
      <c r="R62" s="85">
        <f>IF(   R61="", "", (R61 - INDEX(IRS!$B$2:$Y$13, R$2, MATCH($E61,IRS!$B$1:$Y$1, 0)) ) * IF($C$7=1,-1,1)   )</f>
        <v>-9.9999999999988987E-4</v>
      </c>
      <c r="S62" s="86">
        <f>IF(   S61="", "", (S61 - INDEX(IRS!$B$2:$Y$13, S$2, MATCH($E61,IRS!$B$1:$Y$1, 0)) ) * IF($C$7=1,-1,1)   )</f>
        <v>-3.9300000000000779E-2</v>
      </c>
      <c r="T62" s="84">
        <f>IF(   T61="", "", (T61 - INDEX(IRS!$B$2:$Y$13, T$2, MATCH($E61,IRS!$B$1:$Y$1, 0)) ) * IF($C$7=1,-1,1)   )</f>
        <v>1.4499999999999957E-2</v>
      </c>
      <c r="U62" s="87">
        <f>IF(   U61="", "", (U61 - INDEX(IRS!$B$2:$Y$13, U$2, MATCH($E61,IRS!$B$1:$Y$1, 0)) ) * IF($C$7=1,-1,1)   )</f>
        <v>-0.18549999999999978</v>
      </c>
      <c r="V62" s="83">
        <f>IF(   V61="", "", (V61 - INDEX(IRS!$B$2:$Y$13, V$2, MATCH($E61,IRS!$B$1:$Y$1, 0)) ) * IF($C$7=1,-1,1)   )</f>
        <v>-9.4220833333331644E-2</v>
      </c>
      <c r="W62" s="84">
        <f>IF(   W61="", "", (W61 - INDEX(IRS!$B$2:$Y$13, W$2, MATCH($E61,IRS!$B$1:$Y$1, 0)) ) * IF($C$7=1,-1,1)   )</f>
        <v>1.4499999999999957E-2</v>
      </c>
      <c r="X62" s="85">
        <f>IF(   X61="", "", (X61 - INDEX(IRS!$B$2:$Y$13, X$2, MATCH($E61,IRS!$B$1:$Y$1, 0)) ) * IF($C$7=1,-1,1)   )</f>
        <v>-0.23850000000000016</v>
      </c>
      <c r="Y62" s="83">
        <f>IF(   Y61="", "", (Y61 - INDEX(IRS!$B$2:$Y$13, Y$2, MATCH($E61,IRS!$B$1:$Y$1, 0)) ) * IF($C$7=1,-1,1)   )</f>
        <v>-9.9895999999997542E-2</v>
      </c>
      <c r="Z62" s="84">
        <f>IF(   Z61="", "", (Z61 - INDEX(IRS!$B$2:$Y$13, Z$2, MATCH($E61,IRS!$B$1:$Y$1, 0)) ) * IF($C$7=1,-1,1)   )</f>
        <v>1.4499999999999957E-2</v>
      </c>
      <c r="AA62" s="85">
        <f>IF(   AA61="", "", (AA61 - INDEX(IRS!$B$2:$Y$13, AA$2, MATCH($E61,IRS!$B$1:$Y$1, 0)) ) * IF($C$7=1,-1,1)   )</f>
        <v>-0.10299999999999976</v>
      </c>
    </row>
    <row r="63" spans="2:27">
      <c r="B63" s="6" t="str">
        <f>_xll.IMDH("IR",$B$58,$C63,$O$9,$F$9,10,"Per=일, sort=D, real=true, Bizday=0, Quote=종가,Pos=40,Orient=H,DtFmt=1.TmFmt=1")</f>
        <v>조회[BONDAVG02]</v>
      </c>
      <c r="C63" s="6" t="s">
        <v>299</v>
      </c>
      <c r="D63" s="45"/>
      <c r="E63" s="51" t="s">
        <v>251</v>
      </c>
      <c r="F63" s="88">
        <v>2.6709999999999998</v>
      </c>
      <c r="G63" s="89">
        <v>2.6709999999999998</v>
      </c>
      <c r="H63" s="89">
        <v>2.6579999999999999</v>
      </c>
      <c r="I63" s="89">
        <v>2.649</v>
      </c>
      <c r="J63" s="89">
        <v>2.6509999999999998</v>
      </c>
      <c r="K63" s="89">
        <v>2.6440000000000001</v>
      </c>
      <c r="L63" s="89">
        <v>2.641</v>
      </c>
      <c r="M63" s="89">
        <v>2.6440000000000001</v>
      </c>
      <c r="N63" s="89">
        <v>2.629</v>
      </c>
      <c r="O63" s="89">
        <v>2.6120000000000001</v>
      </c>
      <c r="P63" s="80">
        <f>IF( INDEX(BOND!$B$2:$CH$13, P$2, MATCH($B$58, BOND!$B$16:$CH$16, 0)+MATCH($C63, BOND!$C$18:$N$18,0) )=0,
"",
INDEX(BOND!$B$2:$CH$13, P$2, MATCH($B$58, BOND!$B$16:$CH$16, 0)+MATCH($C63, BOND!$C$18:$N$18,0)) )</f>
        <v>2.6625499999999995</v>
      </c>
      <c r="Q63" s="80">
        <f>IF( INDEX(BOND!$B$2:$CH$13, Q$2, MATCH($B$58, BOND!$B$16:$CH$16, 0)+MATCH($C63, BOND!$C$18:$N$18,0) )=0,
"",
INDEX(BOND!$B$2:$CH$13, Q$2, MATCH($B$58, BOND!$B$16:$CH$16, 0)+MATCH($C63, BOND!$C$18:$N$18,0)) )</f>
        <v>2.6120000000000001</v>
      </c>
      <c r="R63" s="80">
        <f>IF( INDEX(BOND!$B$2:$CH$13, R$2, MATCH($B$58, BOND!$B$16:$CH$16, 0)+MATCH($C63, BOND!$C$18:$N$18,0) )=0,
"",
INDEX(BOND!$B$2:$CH$13, R$2, MATCH($B$58, BOND!$B$16:$CH$16, 0)+MATCH($C63, BOND!$C$18:$N$18,0)) )</f>
        <v>2.6920000000000002</v>
      </c>
      <c r="S63" s="80">
        <f>IF( INDEX(BOND!$B$2:$CH$13, S$2, MATCH($B$58, BOND!$B$16:$CH$16, 0)+MATCH($C63, BOND!$C$18:$N$18,0) )=0,
"",
INDEX(BOND!$B$2:$CH$13, S$2, MATCH($B$58, BOND!$B$16:$CH$16, 0)+MATCH($C63, BOND!$C$18:$N$18,0)) )</f>
        <v>2.7056666666666658</v>
      </c>
      <c r="T63" s="80">
        <f>IF( INDEX(BOND!$B$2:$CH$13, T$2, MATCH($B$58, BOND!$B$16:$CH$16, 0)+MATCH($C63, BOND!$C$18:$N$18,0) )=0,
"",
INDEX(BOND!$B$2:$CH$13, T$2, MATCH($B$58, BOND!$B$16:$CH$16, 0)+MATCH($C63, BOND!$C$18:$N$18,0)) )</f>
        <v>2.6120000000000001</v>
      </c>
      <c r="U63" s="80">
        <f>IF( INDEX(BOND!$B$2:$CH$13, U$2, MATCH($B$58, BOND!$B$16:$CH$16, 0)+MATCH($C63, BOND!$C$18:$N$18,0) )=0,
"",
INDEX(BOND!$B$2:$CH$13, U$2, MATCH($B$58, BOND!$B$16:$CH$16, 0)+MATCH($C63, BOND!$C$18:$N$18,0)) )</f>
        <v>2.786</v>
      </c>
      <c r="V63" s="80">
        <f>IF( INDEX(BOND!$B$2:$CH$13, V$2, MATCH($B$58, BOND!$B$16:$CH$16, 0)+MATCH($C63, BOND!$C$18:$N$18,0) )=0,
"",
INDEX(BOND!$B$2:$CH$13, V$2, MATCH($B$58, BOND!$B$16:$CH$16, 0)+MATCH($C63, BOND!$C$18:$N$18,0)) )</f>
        <v>2.8010499999999983</v>
      </c>
      <c r="W63" s="80">
        <f>IF( INDEX(BOND!$B$2:$CH$13, W$2, MATCH($B$58, BOND!$B$16:$CH$16, 0)+MATCH($C63, BOND!$C$18:$N$18,0) )=0,
"",
INDEX(BOND!$B$2:$CH$13, W$2, MATCH($B$58, BOND!$B$16:$CH$16, 0)+MATCH($C63, BOND!$C$18:$N$18,0)) )</f>
        <v>2.6120000000000001</v>
      </c>
      <c r="X63" s="80">
        <f>IF( INDEX(BOND!$B$2:$CH$13, X$2, MATCH($B$58, BOND!$B$16:$CH$16, 0)+MATCH($C63, BOND!$C$18:$N$18,0) )=0,
"",
INDEX(BOND!$B$2:$CH$13, X$2, MATCH($B$58, BOND!$B$16:$CH$16, 0)+MATCH($C63, BOND!$C$18:$N$18,0)) )</f>
        <v>2.9780000000000002</v>
      </c>
      <c r="Y63" s="80">
        <f>IF( INDEX(BOND!$B$2:$CH$13, Y$2, MATCH($B$58, BOND!$B$16:$CH$16, 0)+MATCH($C63, BOND!$C$18:$N$18,0) )=0,
"",
INDEX(BOND!$B$2:$CH$13, Y$2, MATCH($B$58, BOND!$B$16:$CH$16, 0)+MATCH($C63, BOND!$C$18:$N$18,0)) )</f>
        <v>3.0626079999999973</v>
      </c>
      <c r="Z63" s="80">
        <f>IF( INDEX(BOND!$B$2:$CH$13, Z$2, MATCH($B$58, BOND!$B$16:$CH$16, 0)+MATCH($C63, BOND!$C$18:$N$18,0) )=0,
"",
INDEX(BOND!$B$2:$CH$13, Z$2, MATCH($B$58, BOND!$B$16:$CH$16, 0)+MATCH($C63, BOND!$C$18:$N$18,0)) )</f>
        <v>2.6120000000000001</v>
      </c>
      <c r="AA63" s="80">
        <f>IF( INDEX(BOND!$B$2:$CH$13, AA$2, MATCH($B$58, BOND!$B$16:$CH$16, 0)+MATCH($C63, BOND!$C$18:$N$18,0) )=0,
"",
INDEX(BOND!$B$2:$CH$13, AA$2, MATCH($B$58, BOND!$B$16:$CH$16, 0)+MATCH($C63, BOND!$C$18:$N$18,0)) )</f>
        <v>3.5139999999999998</v>
      </c>
    </row>
    <row r="64" spans="2:27">
      <c r="D64" s="45"/>
      <c r="E64" s="52" t="s">
        <v>267</v>
      </c>
      <c r="F64" s="81">
        <f>IF(F63=0,"",(F63-AD20)*IF($C$7=1,-1,1))</f>
        <v>-9.0000000000003411E-3</v>
      </c>
      <c r="G64" s="82">
        <f>IF(G63=0,"",(G63-AE20)*IF($C$7=1,-1,1))</f>
        <v>5.9999999999997833E-3</v>
      </c>
      <c r="H64" s="82">
        <f>IF(H63=0,"",(H63-AF20)*IF($C$7=1,-1,1))</f>
        <v>-4.5000000000001705E-3</v>
      </c>
      <c r="I64" s="82">
        <f>IF(I63=0,"",(I63-AG20)*IF($C$7=1,-1,1))</f>
        <v>-1.1000000000000121E-2</v>
      </c>
      <c r="J64" s="82">
        <f>IF(J63=0,"",(J63-AH20)*IF($C$7=1,-1,1))</f>
        <v>-1.6500000000000181E-2</v>
      </c>
      <c r="K64" s="82">
        <f>IF(K63=0,"",(K63-AI20)*IF($C$7=1,-1,1))</f>
        <v>-1.6000000000000014E-2</v>
      </c>
      <c r="L64" s="82">
        <f>IF(L63=0,"",(L63-AJ20)*IF($C$7=1,-1,1))</f>
        <v>-1.9000000000000128E-2</v>
      </c>
      <c r="M64" s="82">
        <f>IF(M63=0,"",(M63-AK20)*IF($C$7=1,-1,1))</f>
        <v>-8.49999999999973E-3</v>
      </c>
      <c r="N64" s="82">
        <f>IF(N63=0,"",(N63-AL20)*IF($C$7=1,-1,1))</f>
        <v>-1.3500000000000068E-2</v>
      </c>
      <c r="O64" s="82">
        <f>IF(O63=0,"",(O63-AM20)*IF($C$7=1,-1,1))</f>
        <v>-1.2999999999999901E-2</v>
      </c>
      <c r="P64" s="83">
        <f>IF(   P63="", "", (P63 - INDEX(IRS!$B$2:$Y$13, P$2, MATCH($E63,IRS!$B$1:$Y$1, 0)) ) * IF($C$7=1,-1,1)   )</f>
        <v>9.7999999999993648E-3</v>
      </c>
      <c r="Q64" s="84">
        <f>IF(   Q63="", "", (Q63 - INDEX(IRS!$B$2:$Y$13, Q$2, MATCH($E63,IRS!$B$1:$Y$1, 0)) ) * IF($C$7=1,-1,1)   )</f>
        <v>-1.2999999999999901E-2</v>
      </c>
      <c r="R64" s="85">
        <f>IF(   R63="", "", (R63 - INDEX(IRS!$B$2:$Y$13, R$2, MATCH($E63,IRS!$B$1:$Y$1, 0)) ) * IF($C$7=1,-1,1)   )</f>
        <v>1.2000000000000011E-2</v>
      </c>
      <c r="S64" s="86">
        <f>IF(   S63="", "", (S63 - INDEX(IRS!$B$2:$Y$13, S$2, MATCH($E63,IRS!$B$1:$Y$1, 0)) ) * IF($C$7=1,-1,1)   )</f>
        <v>-8.0833333333343305E-3</v>
      </c>
      <c r="T64" s="84">
        <f>IF(   T63="", "", (T63 - INDEX(IRS!$B$2:$Y$13, T$2, MATCH($E63,IRS!$B$1:$Y$1, 0)) ) * IF($C$7=1,-1,1)   )</f>
        <v>-1.2999999999999901E-2</v>
      </c>
      <c r="U64" s="87">
        <f>IF(   U63="", "", (U63 - INDEX(IRS!$B$2:$Y$13, U$2, MATCH($E63,IRS!$B$1:$Y$1, 0)) ) * IF($C$7=1,-1,1)   )</f>
        <v>-9.1499999999999915E-2</v>
      </c>
      <c r="V64" s="83">
        <f>IF(   V63="", "", (V63 - INDEX(IRS!$B$2:$Y$13, V$2, MATCH($E63,IRS!$B$1:$Y$1, 0)) ) * IF($C$7=1,-1,1)   )</f>
        <v>-6.972083333333412E-2</v>
      </c>
      <c r="W64" s="84">
        <f>IF(   W63="", "", (W63 - INDEX(IRS!$B$2:$Y$13, W$2, MATCH($E63,IRS!$B$1:$Y$1, 0)) ) * IF($C$7=1,-1,1)   )</f>
        <v>-1.2999999999999901E-2</v>
      </c>
      <c r="X64" s="85">
        <f>IF(   X63="", "", (X63 - INDEX(IRS!$B$2:$Y$13, X$2, MATCH($E63,IRS!$B$1:$Y$1, 0)) ) * IF($C$7=1,-1,1)   )</f>
        <v>-0.21949999999999958</v>
      </c>
      <c r="Y64" s="83">
        <f>IF(   Y63="", "", (Y63 - INDEX(IRS!$B$2:$Y$13, Y$2, MATCH($E63,IRS!$B$1:$Y$1, 0)) ) * IF($C$7=1,-1,1)   )</f>
        <v>-8.0062000000003852E-2</v>
      </c>
      <c r="Z64" s="84">
        <f>IF(   Z63="", "", (Z63 - INDEX(IRS!$B$2:$Y$13, Z$2, MATCH($E63,IRS!$B$1:$Y$1, 0)) ) * IF($C$7=1,-1,1)   )</f>
        <v>-1.2999999999999901E-2</v>
      </c>
      <c r="AA64" s="85">
        <f>IF(   AA63="", "", (AA63 - INDEX(IRS!$B$2:$Y$13, AA$2, MATCH($E63,IRS!$B$1:$Y$1, 0)) ) * IF($C$7=1,-1,1)   )</f>
        <v>-0.10600000000000032</v>
      </c>
    </row>
    <row r="65" spans="2:27">
      <c r="B65" s="6" t="str">
        <f>_xll.IMDH("IR",$B$58,$C65,$O$9,$F$9,10,"Per=일, sort=D, real=true, Bizday=0, Quote=종가,Pos=40,Orient=H,DtFmt=1.TmFmt=1")</f>
        <v>조회[BONDAVG02]</v>
      </c>
      <c r="C65" s="6" t="s">
        <v>300</v>
      </c>
      <c r="D65" s="45"/>
      <c r="E65" s="51" t="s">
        <v>252</v>
      </c>
      <c r="F65" s="88">
        <v>2.702</v>
      </c>
      <c r="G65" s="89">
        <v>2.7</v>
      </c>
      <c r="H65" s="89">
        <v>2.6890000000000001</v>
      </c>
      <c r="I65" s="89">
        <v>2.6869999999999998</v>
      </c>
      <c r="J65" s="89">
        <v>2.6930000000000001</v>
      </c>
      <c r="K65" s="89">
        <v>2.6779999999999999</v>
      </c>
      <c r="L65" s="89">
        <v>2.6819999999999999</v>
      </c>
      <c r="M65" s="89">
        <v>2.6840000000000002</v>
      </c>
      <c r="N65" s="89">
        <v>2.6760000000000002</v>
      </c>
      <c r="O65" s="89">
        <v>2.6680000000000001</v>
      </c>
      <c r="P65" s="80">
        <f>IF( INDEX(BOND!$B$2:$CH$13, P$2, MATCH($B$58, BOND!$B$16:$CH$16, 0)+MATCH($C65, BOND!$C$18:$N$18,0) )=0,
"",
INDEX(BOND!$B$2:$CH$13, P$2, MATCH($B$58, BOND!$B$16:$CH$16, 0)+MATCH($C65, BOND!$C$18:$N$18,0)) )</f>
        <v>2.6850499999999995</v>
      </c>
      <c r="Q65" s="80">
        <f>IF( INDEX(BOND!$B$2:$CH$13, Q$2, MATCH($B$58, BOND!$B$16:$CH$16, 0)+MATCH($C65, BOND!$C$18:$N$18,0) )=0,
"",
INDEX(BOND!$B$2:$CH$13, Q$2, MATCH($B$58, BOND!$B$16:$CH$16, 0)+MATCH($C65, BOND!$C$18:$N$18,0)) )</f>
        <v>2.665</v>
      </c>
      <c r="R65" s="80">
        <f>IF( INDEX(BOND!$B$2:$CH$13, R$2, MATCH($B$58, BOND!$B$16:$CH$16, 0)+MATCH($C65, BOND!$C$18:$N$18,0) )=0,
"",
INDEX(BOND!$B$2:$CH$13, R$2, MATCH($B$58, BOND!$B$16:$CH$16, 0)+MATCH($C65, BOND!$C$18:$N$18,0)) )</f>
        <v>2.718</v>
      </c>
      <c r="S65" s="80">
        <f>IF( INDEX(BOND!$B$2:$CH$13, S$2, MATCH($B$58, BOND!$B$16:$CH$16, 0)+MATCH($C65, BOND!$C$18:$N$18,0) )=0,
"",
INDEX(BOND!$B$2:$CH$13, S$2, MATCH($B$58, BOND!$B$16:$CH$16, 0)+MATCH($C65, BOND!$C$18:$N$18,0)) )</f>
        <v>2.6980499999999998</v>
      </c>
      <c r="T65" s="80">
        <f>IF( INDEX(BOND!$B$2:$CH$13, T$2, MATCH($B$58, BOND!$B$16:$CH$16, 0)+MATCH($C65, BOND!$C$18:$N$18,0) )=0,
"",
INDEX(BOND!$B$2:$CH$13, T$2, MATCH($B$58, BOND!$B$16:$CH$16, 0)+MATCH($C65, BOND!$C$18:$N$18,0)) )</f>
        <v>2.6509999999999998</v>
      </c>
      <c r="U65" s="80">
        <f>IF( INDEX(BOND!$B$2:$CH$13, U$2, MATCH($B$58, BOND!$B$16:$CH$16, 0)+MATCH($C65, BOND!$C$18:$N$18,0) )=0,
"",
INDEX(BOND!$B$2:$CH$13, U$2, MATCH($B$58, BOND!$B$16:$CH$16, 0)+MATCH($C65, BOND!$C$18:$N$18,0)) )</f>
        <v>2.8090000000000002</v>
      </c>
      <c r="V65" s="80">
        <f>IF( INDEX(BOND!$B$2:$CH$13, V$2, MATCH($B$58, BOND!$B$16:$CH$16, 0)+MATCH($C65, BOND!$C$18:$N$18,0) )=0,
"",
INDEX(BOND!$B$2:$CH$13, V$2, MATCH($B$58, BOND!$B$16:$CH$16, 0)+MATCH($C65, BOND!$C$18:$N$18,0)) )</f>
        <v>2.7861833333333341</v>
      </c>
      <c r="W65" s="80">
        <f>IF( INDEX(BOND!$B$2:$CH$13, W$2, MATCH($B$58, BOND!$B$16:$CH$16, 0)+MATCH($C65, BOND!$C$18:$N$18,0) )=0,
"",
INDEX(BOND!$B$2:$CH$13, W$2, MATCH($B$58, BOND!$B$16:$CH$16, 0)+MATCH($C65, BOND!$C$18:$N$18,0)) )</f>
        <v>2.6509999999999998</v>
      </c>
      <c r="X65" s="80">
        <f>IF( INDEX(BOND!$B$2:$CH$13, X$2, MATCH($B$58, BOND!$B$16:$CH$16, 0)+MATCH($C65, BOND!$C$18:$N$18,0) )=0,
"",
INDEX(BOND!$B$2:$CH$13, X$2, MATCH($B$58, BOND!$B$16:$CH$16, 0)+MATCH($C65, BOND!$C$18:$N$18,0)) )</f>
        <v>3.0059999999999998</v>
      </c>
      <c r="Y65" s="80">
        <f>IF( INDEX(BOND!$B$2:$CH$13, Y$2, MATCH($B$58, BOND!$B$16:$CH$16, 0)+MATCH($C65, BOND!$C$18:$N$18,0) )=0,
"",
INDEX(BOND!$B$2:$CH$13, Y$2, MATCH($B$58, BOND!$B$16:$CH$16, 0)+MATCH($C65, BOND!$C$18:$N$18,0)) )</f>
        <v>3.0468439999999957</v>
      </c>
      <c r="Z65" s="80">
        <f>IF( INDEX(BOND!$B$2:$CH$13, Z$2, MATCH($B$58, BOND!$B$16:$CH$16, 0)+MATCH($C65, BOND!$C$18:$N$18,0) )=0,
"",
INDEX(BOND!$B$2:$CH$13, Z$2, MATCH($B$58, BOND!$B$16:$CH$16, 0)+MATCH($C65, BOND!$C$18:$N$18,0)) )</f>
        <v>2.6509999999999998</v>
      </c>
      <c r="AA65" s="80">
        <f>IF( INDEX(BOND!$B$2:$CH$13, AA$2, MATCH($B$58, BOND!$B$16:$CH$16, 0)+MATCH($C65, BOND!$C$18:$N$18,0) )=0,
"",
INDEX(BOND!$B$2:$CH$13, AA$2, MATCH($B$58, BOND!$B$16:$CH$16, 0)+MATCH($C65, BOND!$C$18:$N$18,0)) )</f>
        <v>3.5310000000000001</v>
      </c>
    </row>
    <row r="66" spans="2:27">
      <c r="D66" s="45"/>
      <c r="E66" s="52" t="s">
        <v>267</v>
      </c>
      <c r="F66" s="81">
        <f>IF(F65=0,"",(F65-AD22)*IF($C$7=1,-1,1))</f>
        <v>6.7000000000000171E-2</v>
      </c>
      <c r="G66" s="82">
        <f>IF(G65=0,"",(G65-AE22)*IF($C$7=1,-1,1))</f>
        <v>7.7500000000000124E-2</v>
      </c>
      <c r="H66" s="82">
        <f>IF(H65=0,"",(H65-AF22)*IF($C$7=1,-1,1))</f>
        <v>7.3999999999999844E-2</v>
      </c>
      <c r="I66" s="82">
        <f>IF(I65=0,"",(I65-AG22)*IF($C$7=1,-1,1))</f>
        <v>7.6999999999999957E-2</v>
      </c>
      <c r="J66" s="82">
        <f>IF(J65=0,"",(J65-AH22)*IF($C$7=1,-1,1))</f>
        <v>7.2999999999999954E-2</v>
      </c>
      <c r="K66" s="82">
        <f>IF(K65=0,"",(K65-AI22)*IF($C$7=1,-1,1))</f>
        <v>6.800000000000006E-2</v>
      </c>
      <c r="L66" s="82">
        <f>IF(L65=0,"",(L65-AJ22)*IF($C$7=1,-1,1))</f>
        <v>7.2000000000000064E-2</v>
      </c>
      <c r="M66" s="82">
        <f>IF(M65=0,"",(M65-AK22)*IF($C$7=1,-1,1))</f>
        <v>7.9000000000000181E-2</v>
      </c>
      <c r="N66" s="82">
        <f>IF(N65=0,"",(N65-AL22)*IF($C$7=1,-1,1))</f>
        <v>8.6000000000000298E-2</v>
      </c>
      <c r="O66" s="82">
        <f>IF(O65=0,"",(O65-AM22)*IF($C$7=1,-1,1))</f>
        <v>9.5500000000000362E-2</v>
      </c>
      <c r="P66" s="83">
        <f>IF(   P65="", "", (P65 - INDEX(IRS!$B$2:$Y$13, P$2, MATCH($E65,IRS!$B$1:$Y$1, 0)) ) * IF($C$7=1,-1,1)   )</f>
        <v>7.8300000000000036E-2</v>
      </c>
      <c r="Q66" s="84">
        <f>IF(   Q65="", "", (Q65 - INDEX(IRS!$B$2:$Y$13, Q$2, MATCH($E65,IRS!$B$1:$Y$1, 0)) ) * IF($C$7=1,-1,1)   )</f>
        <v>9.2500000000000249E-2</v>
      </c>
      <c r="R66" s="85">
        <f>IF(   R65="", "", (R65 - INDEX(IRS!$B$2:$Y$13, R$2, MATCH($E65,IRS!$B$1:$Y$1, 0)) ) * IF($C$7=1,-1,1)   )</f>
        <v>8.3000000000000185E-2</v>
      </c>
      <c r="S66" s="86">
        <f>IF(   S65="", "", (S65 - INDEX(IRS!$B$2:$Y$13, S$2, MATCH($E65,IRS!$B$1:$Y$1, 0)) ) * IF($C$7=1,-1,1)   )</f>
        <v>4.1050000000000697E-2</v>
      </c>
      <c r="T66" s="84">
        <f>IF(   T65="", "", (T65 - INDEX(IRS!$B$2:$Y$13, T$2, MATCH($E65,IRS!$B$1:$Y$1, 0)) ) * IF($C$7=1,-1,1)   )</f>
        <v>7.8500000000000014E-2</v>
      </c>
      <c r="U66" s="87">
        <f>IF(   U65="", "", (U65 - INDEX(IRS!$B$2:$Y$13, U$2, MATCH($E65,IRS!$B$1:$Y$1, 0)) ) * IF($C$7=1,-1,1)   )</f>
        <v>6.4999999999999503E-3</v>
      </c>
      <c r="V66" s="83">
        <f>IF(   V65="", "", (V65 - INDEX(IRS!$B$2:$Y$13, V$2, MATCH($E65,IRS!$B$1:$Y$1, 0)) ) * IF($C$7=1,-1,1)   )</f>
        <v>-4.4208333333322081E-3</v>
      </c>
      <c r="W66" s="84">
        <f>IF(   W65="", "", (W65 - INDEX(IRS!$B$2:$Y$13, W$2, MATCH($E65,IRS!$B$1:$Y$1, 0)) ) * IF($C$7=1,-1,1)   )</f>
        <v>7.8500000000000014E-2</v>
      </c>
      <c r="X66" s="85">
        <f>IF(   X65="", "", (X65 - INDEX(IRS!$B$2:$Y$13, X$2, MATCH($E65,IRS!$B$1:$Y$1, 0)) ) * IF($C$7=1,-1,1)   )</f>
        <v>-9.4000000000000306E-2</v>
      </c>
      <c r="Y66" s="83">
        <f>IF(   Y65="", "", (Y65 - INDEX(IRS!$B$2:$Y$13, Y$2, MATCH($E65,IRS!$B$1:$Y$1, 0)) ) * IF($C$7=1,-1,1)   )</f>
        <v>-1.4986000000005273E-2</v>
      </c>
      <c r="Z66" s="84">
        <f>IF(   Z65="", "", (Z65 - INDEX(IRS!$B$2:$Y$13, Z$2, MATCH($E65,IRS!$B$1:$Y$1, 0)) ) * IF($C$7=1,-1,1)   )</f>
        <v>7.8500000000000014E-2</v>
      </c>
      <c r="AA66" s="85">
        <f>IF(   AA65="", "", (AA65 - INDEX(IRS!$B$2:$Y$13, AA$2, MATCH($E65,IRS!$B$1:$Y$1, 0)) ) * IF($C$7=1,-1,1)   )</f>
        <v>-6.899999999999995E-2</v>
      </c>
    </row>
    <row r="67" spans="2:27">
      <c r="B67" s="6" t="str">
        <f>_xll.IMDH("IR",$B$58,$C67,$O$9,$F$9,10,"Per=일, sort=D, real=true, Bizday=0, Quote=종가,Pos=40,Orient=H,DtFmt=1.TmFmt=1")</f>
        <v>조회[BONDAVG02]</v>
      </c>
      <c r="C67" s="6" t="s">
        <v>301</v>
      </c>
      <c r="D67" s="45"/>
      <c r="E67" s="51" t="s">
        <v>253</v>
      </c>
      <c r="F67" s="88">
        <v>2.7160000000000002</v>
      </c>
      <c r="G67" s="89">
        <v>2.71</v>
      </c>
      <c r="H67" s="89">
        <v>2.7029999999999998</v>
      </c>
      <c r="I67" s="89">
        <v>2.6970000000000001</v>
      </c>
      <c r="J67" s="89">
        <v>2.714</v>
      </c>
      <c r="K67" s="89">
        <v>2.7040000000000002</v>
      </c>
      <c r="L67" s="89">
        <v>2.706</v>
      </c>
      <c r="M67" s="89">
        <v>2.6960000000000002</v>
      </c>
      <c r="N67" s="89">
        <v>2.681</v>
      </c>
      <c r="O67" s="89">
        <v>2.6669999999999998</v>
      </c>
      <c r="P67" s="80">
        <f>IF( INDEX(BOND!$B$2:$CH$13, P$2, MATCH($B$58, BOND!$B$16:$CH$16, 0)+MATCH($C67, BOND!$C$18:$N$18,0) )=0,
"",
INDEX(BOND!$B$2:$CH$13, P$2, MATCH($B$58, BOND!$B$16:$CH$16, 0)+MATCH($C67, BOND!$C$18:$N$18,0)) )</f>
        <v>2.7003999999999997</v>
      </c>
      <c r="Q67" s="80">
        <f>IF( INDEX(BOND!$B$2:$CH$13, Q$2, MATCH($B$58, BOND!$B$16:$CH$16, 0)+MATCH($C67, BOND!$C$18:$N$18,0) )=0,
"",
INDEX(BOND!$B$2:$CH$13, Q$2, MATCH($B$58, BOND!$B$16:$CH$16, 0)+MATCH($C67, BOND!$C$18:$N$18,0)) )</f>
        <v>2.6669999999999998</v>
      </c>
      <c r="R67" s="80">
        <f>IF( INDEX(BOND!$B$2:$CH$13, R$2, MATCH($B$58, BOND!$B$16:$CH$16, 0)+MATCH($C67, BOND!$C$18:$N$18,0) )=0,
"",
INDEX(BOND!$B$2:$CH$13, R$2, MATCH($B$58, BOND!$B$16:$CH$16, 0)+MATCH($C67, BOND!$C$18:$N$18,0)) )</f>
        <v>2.734</v>
      </c>
      <c r="S67" s="80">
        <f>IF( INDEX(BOND!$B$2:$CH$13, S$2, MATCH($B$58, BOND!$B$16:$CH$16, 0)+MATCH($C67, BOND!$C$18:$N$18,0) )=0,
"",
INDEX(BOND!$B$2:$CH$13, S$2, MATCH($B$58, BOND!$B$16:$CH$16, 0)+MATCH($C67, BOND!$C$18:$N$18,0)) )</f>
        <v>2.7177499999999997</v>
      </c>
      <c r="T67" s="80">
        <f>IF( INDEX(BOND!$B$2:$CH$13, T$2, MATCH($B$58, BOND!$B$16:$CH$16, 0)+MATCH($C67, BOND!$C$18:$N$18,0) )=0,
"",
INDEX(BOND!$B$2:$CH$13, T$2, MATCH($B$58, BOND!$B$16:$CH$16, 0)+MATCH($C67, BOND!$C$18:$N$18,0)) )</f>
        <v>2.6669999999999998</v>
      </c>
      <c r="U67" s="80">
        <f>IF( INDEX(BOND!$B$2:$CH$13, U$2, MATCH($B$58, BOND!$B$16:$CH$16, 0)+MATCH($C67, BOND!$C$18:$N$18,0) )=0,
"",
INDEX(BOND!$B$2:$CH$13, U$2, MATCH($B$58, BOND!$B$16:$CH$16, 0)+MATCH($C67, BOND!$C$18:$N$18,0)) )</f>
        <v>2.8439999999999999</v>
      </c>
      <c r="V67" s="80">
        <f>IF( INDEX(BOND!$B$2:$CH$13, V$2, MATCH($B$58, BOND!$B$16:$CH$16, 0)+MATCH($C67, BOND!$C$18:$N$18,0) )=0,
"",
INDEX(BOND!$B$2:$CH$13, V$2, MATCH($B$58, BOND!$B$16:$CH$16, 0)+MATCH($C67, BOND!$C$18:$N$18,0)) )</f>
        <v>2.8074999999999983</v>
      </c>
      <c r="W67" s="80">
        <f>IF( INDEX(BOND!$B$2:$CH$13, W$2, MATCH($B$58, BOND!$B$16:$CH$16, 0)+MATCH($C67, BOND!$C$18:$N$18,0) )=0,
"",
INDEX(BOND!$B$2:$CH$13, W$2, MATCH($B$58, BOND!$B$16:$CH$16, 0)+MATCH($C67, BOND!$C$18:$N$18,0)) )</f>
        <v>2.6669999999999998</v>
      </c>
      <c r="X67" s="80">
        <f>IF( INDEX(BOND!$B$2:$CH$13, X$2, MATCH($B$58, BOND!$B$16:$CH$16, 0)+MATCH($C67, BOND!$C$18:$N$18,0) )=0,
"",
INDEX(BOND!$B$2:$CH$13, X$2, MATCH($B$58, BOND!$B$16:$CH$16, 0)+MATCH($C67, BOND!$C$18:$N$18,0)) )</f>
        <v>3.0369999999999999</v>
      </c>
      <c r="Y67" s="80">
        <f>IF( INDEX(BOND!$B$2:$CH$13, Y$2, MATCH($B$58, BOND!$B$16:$CH$16, 0)+MATCH($C67, BOND!$C$18:$N$18,0) )=0,
"",
INDEX(BOND!$B$2:$CH$13, Y$2, MATCH($B$58, BOND!$B$16:$CH$16, 0)+MATCH($C67, BOND!$C$18:$N$18,0)) )</f>
        <v>3.0637399999999975</v>
      </c>
      <c r="Z67" s="80">
        <f>IF( INDEX(BOND!$B$2:$CH$13, Z$2, MATCH($B$58, BOND!$B$16:$CH$16, 0)+MATCH($C67, BOND!$C$18:$N$18,0) )=0,
"",
INDEX(BOND!$B$2:$CH$13, Z$2, MATCH($B$58, BOND!$B$16:$CH$16, 0)+MATCH($C67, BOND!$C$18:$N$18,0)) )</f>
        <v>2.6669999999999998</v>
      </c>
      <c r="AA67" s="80">
        <f>IF( INDEX(BOND!$B$2:$CH$13, AA$2, MATCH($B$58, BOND!$B$16:$CH$16, 0)+MATCH($C67, BOND!$C$18:$N$18,0) )=0,
"",
INDEX(BOND!$B$2:$CH$13, AA$2, MATCH($B$58, BOND!$B$16:$CH$16, 0)+MATCH($C67, BOND!$C$18:$N$18,0)) )</f>
        <v>3.5950000000000002</v>
      </c>
    </row>
    <row r="68" spans="2:27">
      <c r="D68" s="45"/>
      <c r="E68" s="52" t="s">
        <v>267</v>
      </c>
      <c r="F68" s="81">
        <f>IF(F67=0,"",(F67-AD24)*IF($C$7=1,-1,1))</f>
        <v>0.10600000000000032</v>
      </c>
      <c r="G68" s="82">
        <f>IF(G67=0,"",(G67-AE24)*IF($C$7=1,-1,1))</f>
        <v>0.11249999999999982</v>
      </c>
      <c r="H68" s="82">
        <f>IF(H67=0,"",(H67-AF24)*IF($C$7=1,-1,1))</f>
        <v>0.11549999999999994</v>
      </c>
      <c r="I68" s="82">
        <f>IF(I67=0,"",(I67-AG24)*IF($C$7=1,-1,1))</f>
        <v>0.11949999999999994</v>
      </c>
      <c r="J68" s="82">
        <f>IF(J67=0,"",(J67-AH24)*IF($C$7=1,-1,1))</f>
        <v>0.129</v>
      </c>
      <c r="K68" s="82">
        <f>IF(K67=0,"",(K67-AI24)*IF($C$7=1,-1,1))</f>
        <v>0.13400000000000034</v>
      </c>
      <c r="L68" s="82">
        <f>IF(L67=0,"",(L67-AJ24)*IF($C$7=1,-1,1))</f>
        <v>0.13600000000000012</v>
      </c>
      <c r="M68" s="82">
        <f>IF(M67=0,"",(M67-AK24)*IF($C$7=1,-1,1))</f>
        <v>0.12850000000000028</v>
      </c>
      <c r="N68" s="82">
        <f>IF(N67=0,"",(N67-AL24)*IF($C$7=1,-1,1))</f>
        <v>0.13350000000000017</v>
      </c>
      <c r="O68" s="82">
        <f>IF(O67=0,"",(O67-AM24)*IF($C$7=1,-1,1))</f>
        <v>0.13700000000000001</v>
      </c>
      <c r="P68" s="83">
        <f>IF(   P67="", "", (P67 - INDEX(IRS!$B$2:$Y$13, P$2, MATCH($E67,IRS!$B$1:$Y$1, 0)) ) * IF($C$7=1,-1,1)   )</f>
        <v>0.12589999999999968</v>
      </c>
      <c r="Q68" s="84">
        <f>IF(   Q67="", "", (Q67 - INDEX(IRS!$B$2:$Y$13, Q$2, MATCH($E67,IRS!$B$1:$Y$1, 0)) ) * IF($C$7=1,-1,1)   )</f>
        <v>0.13700000000000001</v>
      </c>
      <c r="R68" s="85">
        <f>IF(   R67="", "", (R67 - INDEX(IRS!$B$2:$Y$13, R$2, MATCH($E67,IRS!$B$1:$Y$1, 0)) ) * IF($C$7=1,-1,1)   )</f>
        <v>0.12400000000000011</v>
      </c>
      <c r="S68" s="86">
        <f>IF(   S67="", "", (S67 - INDEX(IRS!$B$2:$Y$13, S$2, MATCH($E67,IRS!$B$1:$Y$1, 0)) ) * IF($C$7=1,-1,1)   )</f>
        <v>9.2041666666666355E-2</v>
      </c>
      <c r="T68" s="84">
        <f>IF(   T67="", "", (T67 - INDEX(IRS!$B$2:$Y$13, T$2, MATCH($E67,IRS!$B$1:$Y$1, 0)) ) * IF($C$7=1,-1,1)   )</f>
        <v>0.13700000000000001</v>
      </c>
      <c r="U68" s="87">
        <f>IF(   U67="", "", (U67 - INDEX(IRS!$B$2:$Y$13, U$2, MATCH($E67,IRS!$B$1:$Y$1, 0)) ) * IF($C$7=1,-1,1)   )</f>
        <v>6.899999999999995E-2</v>
      </c>
      <c r="V68" s="83">
        <f>IF(   V67="", "", (V67 - INDEX(IRS!$B$2:$Y$13, V$2, MATCH($E67,IRS!$B$1:$Y$1, 0)) ) * IF($C$7=1,-1,1)   )</f>
        <v>5.8812499999998824E-2</v>
      </c>
      <c r="W68" s="84">
        <f>IF(   W67="", "", (W67 - INDEX(IRS!$B$2:$Y$13, W$2, MATCH($E67,IRS!$B$1:$Y$1, 0)) ) * IF($C$7=1,-1,1)   )</f>
        <v>0.13700000000000001</v>
      </c>
      <c r="X68" s="85">
        <f>IF(   X67="", "", (X67 - INDEX(IRS!$B$2:$Y$13, X$2, MATCH($E67,IRS!$B$1:$Y$1, 0)) ) * IF($C$7=1,-1,1)   )</f>
        <v>-1.2999999999999901E-2</v>
      </c>
      <c r="Y68" s="83">
        <f>IF(   Y67="", "", (Y67 - INDEX(IRS!$B$2:$Y$13, Y$2, MATCH($E67,IRS!$B$1:$Y$1, 0)) ) * IF($C$7=1,-1,1)   )</f>
        <v>5.4019999999996404E-2</v>
      </c>
      <c r="Z68" s="84">
        <f>IF(   Z67="", "", (Z67 - INDEX(IRS!$B$2:$Y$13, Z$2, MATCH($E67,IRS!$B$1:$Y$1, 0)) ) * IF($C$7=1,-1,1)   )</f>
        <v>0.13700000000000001</v>
      </c>
      <c r="AA68" s="85">
        <f>IF(   AA67="", "", (AA67 - INDEX(IRS!$B$2:$Y$13, AA$2, MATCH($E67,IRS!$B$1:$Y$1, 0)) ) * IF($C$7=1,-1,1)   )</f>
        <v>1.5000000000000124E-2</v>
      </c>
    </row>
    <row r="69" spans="2:27">
      <c r="B69" s="6" t="str">
        <f>_xll.IMDH("IR",$B$58,$C69,$O$9,$F$9,10,"Per=일, sort=D, real=true, Bizday=0, Quote=종가,Pos=40,Orient=H,DtFmt=1.TmFmt=1")</f>
        <v>조회[BONDAVG02]</v>
      </c>
      <c r="C69" s="6" t="s">
        <v>302</v>
      </c>
      <c r="D69" s="45"/>
      <c r="E69" s="51" t="s">
        <v>254</v>
      </c>
      <c r="F69" s="88">
        <v>2.7349999999999999</v>
      </c>
      <c r="G69" s="89">
        <v>2.7269999999999999</v>
      </c>
      <c r="H69" s="89">
        <v>2.7210000000000001</v>
      </c>
      <c r="I69" s="89">
        <v>2.7229999999999999</v>
      </c>
      <c r="J69" s="89">
        <v>2.7429999999999999</v>
      </c>
      <c r="K69" s="89">
        <v>2.7330000000000001</v>
      </c>
      <c r="L69" s="89">
        <v>2.7309999999999999</v>
      </c>
      <c r="M69" s="89">
        <v>2.7210000000000001</v>
      </c>
      <c r="N69" s="89">
        <v>2.7029999999999998</v>
      </c>
      <c r="O69" s="89">
        <v>2.68</v>
      </c>
      <c r="P69" s="80">
        <f>IF( INDEX(BOND!$B$2:$CH$13, P$2, MATCH($B$58, BOND!$B$16:$CH$16, 0)+MATCH($C69, BOND!$C$18:$N$18,0) )=0,
"",
INDEX(BOND!$B$2:$CH$13, P$2, MATCH($B$58, BOND!$B$16:$CH$16, 0)+MATCH($C69, BOND!$C$18:$N$18,0)) )</f>
        <v>2.7155499999999999</v>
      </c>
      <c r="Q69" s="80">
        <f>IF( INDEX(BOND!$B$2:$CH$13, Q$2, MATCH($B$58, BOND!$B$16:$CH$16, 0)+MATCH($C69, BOND!$C$18:$N$18,0) )=0,
"",
INDEX(BOND!$B$2:$CH$13, Q$2, MATCH($B$58, BOND!$B$16:$CH$16, 0)+MATCH($C69, BOND!$C$18:$N$18,0)) )</f>
        <v>2.6760000000000002</v>
      </c>
      <c r="R69" s="80">
        <f>IF( INDEX(BOND!$B$2:$CH$13, R$2, MATCH($B$58, BOND!$B$16:$CH$16, 0)+MATCH($C69, BOND!$C$18:$N$18,0) )=0,
"",
INDEX(BOND!$B$2:$CH$13, R$2, MATCH($B$58, BOND!$B$16:$CH$16, 0)+MATCH($C69, BOND!$C$18:$N$18,0)) )</f>
        <v>2.7429999999999999</v>
      </c>
      <c r="S69" s="80">
        <f>IF( INDEX(BOND!$B$2:$CH$13, S$2, MATCH($B$58, BOND!$B$16:$CH$16, 0)+MATCH($C69, BOND!$C$18:$N$18,0) )=0,
"",
INDEX(BOND!$B$2:$CH$13, S$2, MATCH($B$58, BOND!$B$16:$CH$16, 0)+MATCH($C69, BOND!$C$18:$N$18,0)) )</f>
        <v>2.7251666666666674</v>
      </c>
      <c r="T69" s="80">
        <f>IF( INDEX(BOND!$B$2:$CH$13, T$2, MATCH($B$58, BOND!$B$16:$CH$16, 0)+MATCH($C69, BOND!$C$18:$N$18,0) )=0,
"",
INDEX(BOND!$B$2:$CH$13, T$2, MATCH($B$58, BOND!$B$16:$CH$16, 0)+MATCH($C69, BOND!$C$18:$N$18,0)) )</f>
        <v>2.621</v>
      </c>
      <c r="U69" s="80">
        <f>IF( INDEX(BOND!$B$2:$CH$13, U$2, MATCH($B$58, BOND!$B$16:$CH$16, 0)+MATCH($C69, BOND!$C$18:$N$18,0) )=0,
"",
INDEX(BOND!$B$2:$CH$13, U$2, MATCH($B$58, BOND!$B$16:$CH$16, 0)+MATCH($C69, BOND!$C$18:$N$18,0)) )</f>
        <v>2.8149999999999999</v>
      </c>
      <c r="V69" s="80">
        <f>IF( INDEX(BOND!$B$2:$CH$13, V$2, MATCH($B$58, BOND!$B$16:$CH$16, 0)+MATCH($C69, BOND!$C$18:$N$18,0) )=0,
"",
INDEX(BOND!$B$2:$CH$13, V$2, MATCH($B$58, BOND!$B$16:$CH$16, 0)+MATCH($C69, BOND!$C$18:$N$18,0)) )</f>
        <v>2.8160500000000019</v>
      </c>
      <c r="W69" s="80">
        <f>IF( INDEX(BOND!$B$2:$CH$13, W$2, MATCH($B$58, BOND!$B$16:$CH$16, 0)+MATCH($C69, BOND!$C$18:$N$18,0) )=0,
"",
INDEX(BOND!$B$2:$CH$13, W$2, MATCH($B$58, BOND!$B$16:$CH$16, 0)+MATCH($C69, BOND!$C$18:$N$18,0)) )</f>
        <v>2.621</v>
      </c>
      <c r="X69" s="80">
        <f>IF( INDEX(BOND!$B$2:$CH$13, X$2, MATCH($B$58, BOND!$B$16:$CH$16, 0)+MATCH($C69, BOND!$C$18:$N$18,0) )=0,
"",
INDEX(BOND!$B$2:$CH$13, X$2, MATCH($B$58, BOND!$B$16:$CH$16, 0)+MATCH($C69, BOND!$C$18:$N$18,0)) )</f>
        <v>3.0630000000000002</v>
      </c>
      <c r="Y69" s="80">
        <f>IF( INDEX(BOND!$B$2:$CH$13, Y$2, MATCH($B$58, BOND!$B$16:$CH$16, 0)+MATCH($C69, BOND!$C$18:$N$18,0) )=0,
"",
INDEX(BOND!$B$2:$CH$13, Y$2, MATCH($B$58, BOND!$B$16:$CH$16, 0)+MATCH($C69, BOND!$C$18:$N$18,0)) )</f>
        <v>3.0739520000000016</v>
      </c>
      <c r="Z69" s="80">
        <f>IF( INDEX(BOND!$B$2:$CH$13, Z$2, MATCH($B$58, BOND!$B$16:$CH$16, 0)+MATCH($C69, BOND!$C$18:$N$18,0) )=0,
"",
INDEX(BOND!$B$2:$CH$13, Z$2, MATCH($B$58, BOND!$B$16:$CH$16, 0)+MATCH($C69, BOND!$C$18:$N$18,0)) )</f>
        <v>2.621</v>
      </c>
      <c r="AA69" s="80">
        <f>IF( INDEX(BOND!$B$2:$CH$13, AA$2, MATCH($B$58, BOND!$B$16:$CH$16, 0)+MATCH($C69, BOND!$C$18:$N$18,0) )=0,
"",
INDEX(BOND!$B$2:$CH$13, AA$2, MATCH($B$58, BOND!$B$16:$CH$16, 0)+MATCH($C69, BOND!$C$18:$N$18,0)) )</f>
        <v>3.6850000000000001</v>
      </c>
    </row>
    <row r="70" spans="2:27">
      <c r="D70" s="45"/>
      <c r="E70" s="52" t="s">
        <v>267</v>
      </c>
      <c r="F70" s="81">
        <f>IF(F69=0,"",(F69-AD26)*IF($C$7=1,-1,1))</f>
        <v>0.13999999999999968</v>
      </c>
      <c r="G70" s="82">
        <f>IF(G69=0,"",(G69-AE26)*IF($C$7=1,-1,1))</f>
        <v>0.14449999999999985</v>
      </c>
      <c r="H70" s="82">
        <f>IF(H69=0,"",(H69-AF26)*IF($C$7=1,-1,1))</f>
        <v>0.1485000000000003</v>
      </c>
      <c r="I70" s="82">
        <f>IF(I69=0,"",(I69-AG26)*IF($C$7=1,-1,1))</f>
        <v>0.16049999999999986</v>
      </c>
      <c r="J70" s="82">
        <f>IF(J69=0,"",(J69-AH26)*IF($C$7=1,-1,1))</f>
        <v>0.17300000000000004</v>
      </c>
      <c r="K70" s="82">
        <f>IF(K69=0,"",(K69-AI26)*IF($C$7=1,-1,1))</f>
        <v>0.18049999999999988</v>
      </c>
      <c r="L70" s="82">
        <f>IF(L69=0,"",(L69-AJ26)*IF($C$7=1,-1,1))</f>
        <v>0.17599999999999971</v>
      </c>
      <c r="M70" s="82">
        <f>IF(M69=0,"",(M69-AK26)*IF($C$7=1,-1,1))</f>
        <v>0.16849999999999987</v>
      </c>
      <c r="N70" s="82">
        <f>IF(N69=0,"",(N69-AL26)*IF($C$7=1,-1,1))</f>
        <v>0.17049999999999965</v>
      </c>
      <c r="O70" s="82">
        <f>IF(O69=0,"",(O69-AM26)*IF($C$7=1,-1,1))</f>
        <v>0.16749999999999998</v>
      </c>
      <c r="P70" s="83">
        <f>IF(   P69="", "", (P69 - INDEX(IRS!$B$2:$Y$13, P$2, MATCH($E69,IRS!$B$1:$Y$1, 0)) ) * IF($C$7=1,-1,1)   )</f>
        <v>0.15642499999999915</v>
      </c>
      <c r="Q70" s="84">
        <f>IF(   Q69="", "", (Q69 - INDEX(IRS!$B$2:$Y$13, Q$2, MATCH($E69,IRS!$B$1:$Y$1, 0)) ) * IF($C$7=1,-1,1)   )</f>
        <v>0.16349999999999998</v>
      </c>
      <c r="R70" s="85">
        <f>IF(   R69="", "", (R69 - INDEX(IRS!$B$2:$Y$13, R$2, MATCH($E69,IRS!$B$1:$Y$1, 0)) ) * IF($C$7=1,-1,1)   )</f>
        <v>0.14299999999999979</v>
      </c>
      <c r="S70" s="86">
        <f>IF(   S69="", "", (S69 - INDEX(IRS!$B$2:$Y$13, S$2, MATCH($E69,IRS!$B$1:$Y$1, 0)) ) * IF($C$7=1,-1,1)   )</f>
        <v>0.11537500000000023</v>
      </c>
      <c r="T70" s="84">
        <f>IF(   T69="", "", (T69 - INDEX(IRS!$B$2:$Y$13, T$2, MATCH($E69,IRS!$B$1:$Y$1, 0)) ) * IF($C$7=1,-1,1)   )</f>
        <v>0.10849999999999982</v>
      </c>
      <c r="U70" s="87">
        <f>IF(   U69="", "", (U69 - INDEX(IRS!$B$2:$Y$13, U$2, MATCH($E69,IRS!$B$1:$Y$1, 0)) ) * IF($C$7=1,-1,1)   )</f>
        <v>6.999999999999984E-2</v>
      </c>
      <c r="V70" s="83">
        <f>IF(   V69="", "", (V69 - INDEX(IRS!$B$2:$Y$13, V$2, MATCH($E69,IRS!$B$1:$Y$1, 0)) ) * IF($C$7=1,-1,1)   )</f>
        <v>0.10011250000000116</v>
      </c>
      <c r="W70" s="84">
        <f>IF(   W69="", "", (W69 - INDEX(IRS!$B$2:$Y$13, W$2, MATCH($E69,IRS!$B$1:$Y$1, 0)) ) * IF($C$7=1,-1,1)   )</f>
        <v>0.10849999999999982</v>
      </c>
      <c r="X70" s="85">
        <f>IF(   X69="", "", (X69 - INDEX(IRS!$B$2:$Y$13, X$2, MATCH($E69,IRS!$B$1:$Y$1, 0)) ) * IF($C$7=1,-1,1)   )</f>
        <v>4.8000000000000043E-2</v>
      </c>
      <c r="Y70" s="83">
        <f>IF(   Y69="", "", (Y69 - INDEX(IRS!$B$2:$Y$13, Y$2, MATCH($E69,IRS!$B$1:$Y$1, 0)) ) * IF($C$7=1,-1,1)   )</f>
        <v>0.11413200000000012</v>
      </c>
      <c r="Z70" s="84">
        <f>IF(   Z69="", "", (Z69 - INDEX(IRS!$B$2:$Y$13, Z$2, MATCH($E69,IRS!$B$1:$Y$1, 0)) ) * IF($C$7=1,-1,1)   )</f>
        <v>0.10849999999999982</v>
      </c>
      <c r="AA70" s="85">
        <f>IF(   AA69="", "", (AA69 - INDEX(IRS!$B$2:$Y$13, AA$2, MATCH($E69,IRS!$B$1:$Y$1, 0)) ) * IF($C$7=1,-1,1)   )</f>
        <v>0.125</v>
      </c>
    </row>
    <row r="71" spans="2:27">
      <c r="B71" s="6" t="str">
        <f>_xll.IMDH("IR",$B$58,$C71,$O$9,$F$9,10,"Per=일, sort=D, real=true, Bizday=0, Quote=종가,Pos=40,Orient=H,DtFmt=1.TmFmt=1")</f>
        <v>조회[BONDAVG02]</v>
      </c>
      <c r="C71" s="6" t="s">
        <v>239</v>
      </c>
      <c r="D71" s="53"/>
      <c r="E71" s="51" t="s">
        <v>255</v>
      </c>
      <c r="F71" s="88">
        <v>2.7650000000000001</v>
      </c>
      <c r="G71" s="89">
        <v>2.75</v>
      </c>
      <c r="H71" s="89">
        <v>2.74</v>
      </c>
      <c r="I71" s="89">
        <v>2.7429999999999999</v>
      </c>
      <c r="J71" s="89">
        <v>2.7570000000000001</v>
      </c>
      <c r="K71" s="89">
        <v>2.7469999999999999</v>
      </c>
      <c r="L71" s="89">
        <v>2.7469999999999999</v>
      </c>
      <c r="M71" s="89">
        <v>2.7370000000000001</v>
      </c>
      <c r="N71" s="89">
        <v>2.7210000000000001</v>
      </c>
      <c r="O71" s="89">
        <v>2.7080000000000002</v>
      </c>
      <c r="P71" s="80">
        <f>IF( INDEX(BOND!$B$2:$CH$13, P$2, MATCH($B$58, BOND!$B$16:$CH$16, 0)+MATCH($C71, BOND!$C$18:$N$18,0) )=0,
"",
INDEX(BOND!$B$2:$CH$13, P$2, MATCH($B$58, BOND!$B$16:$CH$16, 0)+MATCH($C71, BOND!$C$18:$N$18,0)) )</f>
        <v>2.7343999999999995</v>
      </c>
      <c r="Q71" s="80">
        <f>IF( INDEX(BOND!$B$2:$CH$13, Q$2, MATCH($B$58, BOND!$B$16:$CH$16, 0)+MATCH($C71, BOND!$C$18:$N$18,0) )=0,
"",
INDEX(BOND!$B$2:$CH$13, Q$2, MATCH($B$58, BOND!$B$16:$CH$16, 0)+MATCH($C71, BOND!$C$18:$N$18,0)) )</f>
        <v>2.69</v>
      </c>
      <c r="R71" s="80">
        <f>IF( INDEX(BOND!$B$2:$CH$13, R$2, MATCH($B$58, BOND!$B$16:$CH$16, 0)+MATCH($C71, BOND!$C$18:$N$18,0) )=0,
"",
INDEX(BOND!$B$2:$CH$13, R$2, MATCH($B$58, BOND!$B$16:$CH$16, 0)+MATCH($C71, BOND!$C$18:$N$18,0)) )</f>
        <v>2.7650000000000001</v>
      </c>
      <c r="S71" s="80">
        <f>IF( INDEX(BOND!$B$2:$CH$13, S$2, MATCH($B$58, BOND!$B$16:$CH$16, 0)+MATCH($C71, BOND!$C$18:$N$18,0) )=0,
"",
INDEX(BOND!$B$2:$CH$13, S$2, MATCH($B$58, BOND!$B$16:$CH$16, 0)+MATCH($C71, BOND!$C$18:$N$18,0)) )</f>
        <v>2.763783333333333</v>
      </c>
      <c r="T71" s="80">
        <f>IF( INDEX(BOND!$B$2:$CH$13, T$2, MATCH($B$58, BOND!$B$16:$CH$16, 0)+MATCH($C71, BOND!$C$18:$N$18,0) )=0,
"",
INDEX(BOND!$B$2:$CH$13, T$2, MATCH($B$58, BOND!$B$16:$CH$16, 0)+MATCH($C71, BOND!$C$18:$N$18,0)) )</f>
        <v>2.69</v>
      </c>
      <c r="U71" s="80">
        <f>IF( INDEX(BOND!$B$2:$CH$13, U$2, MATCH($B$58, BOND!$B$16:$CH$16, 0)+MATCH($C71, BOND!$C$18:$N$18,0) )=0,
"",
INDEX(BOND!$B$2:$CH$13, U$2, MATCH($B$58, BOND!$B$16:$CH$16, 0)+MATCH($C71, BOND!$C$18:$N$18,0)) )</f>
        <v>2.9119999999999999</v>
      </c>
      <c r="V71" s="80">
        <f>IF( INDEX(BOND!$B$2:$CH$13, V$2, MATCH($B$58, BOND!$B$16:$CH$16, 0)+MATCH($C71, BOND!$C$18:$N$18,0) )=0,
"",
INDEX(BOND!$B$2:$CH$13, V$2, MATCH($B$58, BOND!$B$16:$CH$16, 0)+MATCH($C71, BOND!$C$18:$N$18,0)) )</f>
        <v>2.855741666666666</v>
      </c>
      <c r="W71" s="80">
        <f>IF( INDEX(BOND!$B$2:$CH$13, W$2, MATCH($B$58, BOND!$B$16:$CH$16, 0)+MATCH($C71, BOND!$C$18:$N$18,0) )=0,
"",
INDEX(BOND!$B$2:$CH$13, W$2, MATCH($B$58, BOND!$B$16:$CH$16, 0)+MATCH($C71, BOND!$C$18:$N$18,0)) )</f>
        <v>2.6819999999999999</v>
      </c>
      <c r="X71" s="80">
        <f>IF( INDEX(BOND!$B$2:$CH$13, X$2, MATCH($B$58, BOND!$B$16:$CH$16, 0)+MATCH($C71, BOND!$C$18:$N$18,0) )=0,
"",
INDEX(BOND!$B$2:$CH$13, X$2, MATCH($B$58, BOND!$B$16:$CH$16, 0)+MATCH($C71, BOND!$C$18:$N$18,0)) )</f>
        <v>3.1160000000000001</v>
      </c>
      <c r="Y71" s="80">
        <f>IF( INDEX(BOND!$B$2:$CH$13, Y$2, MATCH($B$58, BOND!$B$16:$CH$16, 0)+MATCH($C71, BOND!$C$18:$N$18,0) )=0,
"",
INDEX(BOND!$B$2:$CH$13, Y$2, MATCH($B$58, BOND!$B$16:$CH$16, 0)+MATCH($C71, BOND!$C$18:$N$18,0)) )</f>
        <v>3.0988479999999989</v>
      </c>
      <c r="Z71" s="80">
        <f>IF( INDEX(BOND!$B$2:$CH$13, Z$2, MATCH($B$58, BOND!$B$16:$CH$16, 0)+MATCH($C71, BOND!$C$18:$N$18,0) )=0,
"",
INDEX(BOND!$B$2:$CH$13, Z$2, MATCH($B$58, BOND!$B$16:$CH$16, 0)+MATCH($C71, BOND!$C$18:$N$18,0)) )</f>
        <v>2.6819999999999999</v>
      </c>
      <c r="AA71" s="80">
        <f>IF( INDEX(BOND!$B$2:$CH$13, AA$2, MATCH($B$58, BOND!$B$16:$CH$16, 0)+MATCH($C71, BOND!$C$18:$N$18,0) )=0,
"",
INDEX(BOND!$B$2:$CH$13, AA$2, MATCH($B$58, BOND!$B$16:$CH$16, 0)+MATCH($C71, BOND!$C$18:$N$18,0)) )</f>
        <v>3.718</v>
      </c>
    </row>
    <row r="72" spans="2:27">
      <c r="D72" s="53"/>
      <c r="E72" s="52" t="s">
        <v>267</v>
      </c>
      <c r="F72" s="81">
        <f>IF(F71=0,"",(F71-AD28)*IF($C$7=1,-1,1))</f>
        <v>0.16250000000000009</v>
      </c>
      <c r="G72" s="82">
        <f>IF(G71=0,"",(G71-AE28)*IF($C$7=1,-1,1))</f>
        <v>0.1575000000000002</v>
      </c>
      <c r="H72" s="82">
        <f>IF(H71=0,"",(H71-AF28)*IF($C$7=1,-1,1))</f>
        <v>0.15500000000000025</v>
      </c>
      <c r="I72" s="82">
        <f>IF(I71=0,"",(I71-AG28)*IF($C$7=1,-1,1))</f>
        <v>0.16799999999999971</v>
      </c>
      <c r="J72" s="82">
        <f>IF(J71=0,"",(J71-AH28)*IF($C$7=1,-1,1))</f>
        <v>0.17200000000000015</v>
      </c>
      <c r="K72" s="82">
        <f>IF(K71=0,"",(K71-AI28)*IF($C$7=1,-1,1))</f>
        <v>0.18449999999999989</v>
      </c>
      <c r="L72" s="82">
        <f>IF(L71=0,"",(L71-AJ28)*IF($C$7=1,-1,1))</f>
        <v>0.17700000000000005</v>
      </c>
      <c r="M72" s="82">
        <f>IF(M71=0,"",(M71-AK28)*IF($C$7=1,-1,1))</f>
        <v>0.16450000000000031</v>
      </c>
      <c r="N72" s="82">
        <f>IF(N71=0,"",(N71-AL28)*IF($C$7=1,-1,1))</f>
        <v>0.17350000000000021</v>
      </c>
      <c r="O72" s="82">
        <f>IF(O71=0,"",(O71-AM28)*IF($C$7=1,-1,1))</f>
        <v>0.18050000000000033</v>
      </c>
      <c r="P72" s="83">
        <f>IF(   P71="", "", (P71 - INDEX(IRS!$B$2:$Y$13, P$2, MATCH($E71,IRS!$B$1:$Y$1, 0)) ) * IF($C$7=1,-1,1)   )</f>
        <v>0.16252499999999914</v>
      </c>
      <c r="Q72" s="84">
        <f>IF(   Q71="", "", (Q71 - INDEX(IRS!$B$2:$Y$13, Q$2, MATCH($E71,IRS!$B$1:$Y$1, 0)) ) * IF($C$7=1,-1,1)   )</f>
        <v>0.16250000000000009</v>
      </c>
      <c r="R72" s="85">
        <f>IF(   R71="", "", (R71 - INDEX(IRS!$B$2:$Y$13, R$2, MATCH($E71,IRS!$B$1:$Y$1, 0)) ) * IF($C$7=1,-1,1)   )</f>
        <v>0.14999999999999991</v>
      </c>
      <c r="S72" s="86">
        <f>IF(   S71="", "", (S71 - INDEX(IRS!$B$2:$Y$13, S$2, MATCH($E71,IRS!$B$1:$Y$1, 0)) ) * IF($C$7=1,-1,1)   )</f>
        <v>0.13807499999999973</v>
      </c>
      <c r="T72" s="84">
        <f>IF(   T71="", "", (T71 - INDEX(IRS!$B$2:$Y$13, T$2, MATCH($E71,IRS!$B$1:$Y$1, 0)) ) * IF($C$7=1,-1,1)   )</f>
        <v>0.16250000000000009</v>
      </c>
      <c r="U72" s="87">
        <f>IF(   U71="", "", (U71 - INDEX(IRS!$B$2:$Y$13, U$2, MATCH($E71,IRS!$B$1:$Y$1, 0)) ) * IF($C$7=1,-1,1)   )</f>
        <v>0.15700000000000003</v>
      </c>
      <c r="V72" s="83">
        <f>IF(   V71="", "", (V71 - INDEX(IRS!$B$2:$Y$13, V$2, MATCH($E71,IRS!$B$1:$Y$1, 0)) ) * IF($C$7=1,-1,1)   )</f>
        <v>0.13636666666666741</v>
      </c>
      <c r="W72" s="84">
        <f>IF(   W71="", "", (W71 - INDEX(IRS!$B$2:$Y$13, W$2, MATCH($E71,IRS!$B$1:$Y$1, 0)) ) * IF($C$7=1,-1,1)   )</f>
        <v>0.16199999999999992</v>
      </c>
      <c r="X72" s="85">
        <f>IF(   X71="", "", (X71 - INDEX(IRS!$B$2:$Y$13, X$2, MATCH($E71,IRS!$B$1:$Y$1, 0)) ) * IF($C$7=1,-1,1)   )</f>
        <v>0.10099999999999998</v>
      </c>
      <c r="Y72" s="83">
        <f>IF(   Y71="", "", (Y71 - INDEX(IRS!$B$2:$Y$13, Y$2, MATCH($E71,IRS!$B$1:$Y$1, 0)) ) * IF($C$7=1,-1,1)   )</f>
        <v>0.14898800000000056</v>
      </c>
      <c r="Z72" s="84">
        <f>IF(   Z71="", "", (Z71 - INDEX(IRS!$B$2:$Y$13, Z$2, MATCH($E71,IRS!$B$1:$Y$1, 0)) ) * IF($C$7=1,-1,1)   )</f>
        <v>0.16199999999999992</v>
      </c>
      <c r="AA72" s="85">
        <f>IF(   AA71="", "", (AA71 - INDEX(IRS!$B$2:$Y$13, AA$2, MATCH($E71,IRS!$B$1:$Y$1, 0)) ) * IF($C$7=1,-1,1)   )</f>
        <v>0.15300000000000002</v>
      </c>
    </row>
    <row r="73" spans="2:27">
      <c r="B73" s="6" t="str">
        <f>_xll.IMDH("IR",$B$58,$C73,$O$9,$F$9,10,"Per=일, sort=D, real=true, Bizday=0, Quote=종가,Pos=40,Orient=H,DtFmt=1.TmFmt=1")</f>
        <v>조회[BONDAVG02]</v>
      </c>
      <c r="C73" s="6" t="s">
        <v>241</v>
      </c>
      <c r="D73" s="53"/>
      <c r="E73" s="51" t="s">
        <v>256</v>
      </c>
      <c r="F73" s="88">
        <v>2.879</v>
      </c>
      <c r="G73" s="89">
        <v>2.8639999999999999</v>
      </c>
      <c r="H73" s="89">
        <v>2.8530000000000002</v>
      </c>
      <c r="I73" s="89">
        <v>2.85</v>
      </c>
      <c r="J73" s="89">
        <v>2.8620000000000001</v>
      </c>
      <c r="K73" s="89">
        <v>2.855</v>
      </c>
      <c r="L73" s="89">
        <v>2.8540000000000001</v>
      </c>
      <c r="M73" s="89">
        <v>2.85</v>
      </c>
      <c r="N73" s="89">
        <v>2.8279999999999998</v>
      </c>
      <c r="O73" s="89">
        <v>2.81</v>
      </c>
      <c r="P73" s="80">
        <f>IF( INDEX(BOND!$B$2:$CH$13, P$2, MATCH($B$58, BOND!$B$16:$CH$16, 0)+MATCH($C73, BOND!$C$18:$N$18,0) )=0,
"",
INDEX(BOND!$B$2:$CH$13, P$2, MATCH($B$58, BOND!$B$16:$CH$16, 0)+MATCH($C73, BOND!$C$18:$N$18,0)) )</f>
        <v>2.8434499999999998</v>
      </c>
      <c r="Q73" s="80">
        <f>IF( INDEX(BOND!$B$2:$CH$13, Q$2, MATCH($B$58, BOND!$B$16:$CH$16, 0)+MATCH($C73, BOND!$C$18:$N$18,0) )=0,
"",
INDEX(BOND!$B$2:$CH$13, Q$2, MATCH($B$58, BOND!$B$16:$CH$16, 0)+MATCH($C73, BOND!$C$18:$N$18,0)) )</f>
        <v>2.7930000000000001</v>
      </c>
      <c r="R73" s="80">
        <f>IF( INDEX(BOND!$B$2:$CH$13, R$2, MATCH($B$58, BOND!$B$16:$CH$16, 0)+MATCH($C73, BOND!$C$18:$N$18,0) )=0,
"",
INDEX(BOND!$B$2:$CH$13, R$2, MATCH($B$58, BOND!$B$16:$CH$16, 0)+MATCH($C73, BOND!$C$18:$N$18,0)) )</f>
        <v>2.879</v>
      </c>
      <c r="S73" s="80">
        <f>IF( INDEX(BOND!$B$2:$CH$13, S$2, MATCH($B$58, BOND!$B$16:$CH$16, 0)+MATCH($C73, BOND!$C$18:$N$18,0) )=0,
"",
INDEX(BOND!$B$2:$CH$13, S$2, MATCH($B$58, BOND!$B$16:$CH$16, 0)+MATCH($C73, BOND!$C$18:$N$18,0)) )</f>
        <v>2.8659000000000008</v>
      </c>
      <c r="T73" s="80">
        <f>IF( INDEX(BOND!$B$2:$CH$13, T$2, MATCH($B$58, BOND!$B$16:$CH$16, 0)+MATCH($C73, BOND!$C$18:$N$18,0) )=0,
"",
INDEX(BOND!$B$2:$CH$13, T$2, MATCH($B$58, BOND!$B$16:$CH$16, 0)+MATCH($C73, BOND!$C$18:$N$18,0)) )</f>
        <v>2.7930000000000001</v>
      </c>
      <c r="U73" s="80">
        <f>IF( INDEX(BOND!$B$2:$CH$13, U$2, MATCH($B$58, BOND!$B$16:$CH$16, 0)+MATCH($C73, BOND!$C$18:$N$18,0) )=0,
"",
INDEX(BOND!$B$2:$CH$13, U$2, MATCH($B$58, BOND!$B$16:$CH$16, 0)+MATCH($C73, BOND!$C$18:$N$18,0)) )</f>
        <v>3.01</v>
      </c>
      <c r="V73" s="80">
        <f>IF( INDEX(BOND!$B$2:$CH$13, V$2, MATCH($B$58, BOND!$B$16:$CH$16, 0)+MATCH($C73, BOND!$C$18:$N$18,0) )=0,
"",
INDEX(BOND!$B$2:$CH$13, V$2, MATCH($B$58, BOND!$B$16:$CH$16, 0)+MATCH($C73, BOND!$C$18:$N$18,0)) )</f>
        <v>2.9498250000000015</v>
      </c>
      <c r="W73" s="80">
        <f>IF( INDEX(BOND!$B$2:$CH$13, W$2, MATCH($B$58, BOND!$B$16:$CH$16, 0)+MATCH($C73, BOND!$C$18:$N$18,0) )=0,
"",
INDEX(BOND!$B$2:$CH$13, W$2, MATCH($B$58, BOND!$B$16:$CH$16, 0)+MATCH($C73, BOND!$C$18:$N$18,0)) )</f>
        <v>2.74</v>
      </c>
      <c r="X73" s="80">
        <f>IF( INDEX(BOND!$B$2:$CH$13, X$2, MATCH($B$58, BOND!$B$16:$CH$16, 0)+MATCH($C73, BOND!$C$18:$N$18,0) )=0,
"",
INDEX(BOND!$B$2:$CH$13, X$2, MATCH($B$58, BOND!$B$16:$CH$16, 0)+MATCH($C73, BOND!$C$18:$N$18,0)) )</f>
        <v>3.1970000000000001</v>
      </c>
      <c r="Y73" s="80">
        <f>IF( INDEX(BOND!$B$2:$CH$13, Y$2, MATCH($B$58, BOND!$B$16:$CH$16, 0)+MATCH($C73, BOND!$C$18:$N$18,0) )=0,
"",
INDEX(BOND!$B$2:$CH$13, Y$2, MATCH($B$58, BOND!$B$16:$CH$16, 0)+MATCH($C73, BOND!$C$18:$N$18,0)) )</f>
        <v>3.1605760000000021</v>
      </c>
      <c r="Z73" s="80">
        <f>IF( INDEX(BOND!$B$2:$CH$13, Z$2, MATCH($B$58, BOND!$B$16:$CH$16, 0)+MATCH($C73, BOND!$C$18:$N$18,0) )=0,
"",
INDEX(BOND!$B$2:$CH$13, Z$2, MATCH($B$58, BOND!$B$16:$CH$16, 0)+MATCH($C73, BOND!$C$18:$N$18,0)) )</f>
        <v>2.74</v>
      </c>
      <c r="AA73" s="80">
        <f>IF( INDEX(BOND!$B$2:$CH$13, AA$2, MATCH($B$58, BOND!$B$16:$CH$16, 0)+MATCH($C73, BOND!$C$18:$N$18,0) )=0,
"",
INDEX(BOND!$B$2:$CH$13, AA$2, MATCH($B$58, BOND!$B$16:$CH$16, 0)+MATCH($C73, BOND!$C$18:$N$18,0)) )</f>
        <v>3.7349999999999999</v>
      </c>
    </row>
    <row r="74" spans="2:27">
      <c r="D74" s="53"/>
      <c r="E74" s="52" t="s">
        <v>267</v>
      </c>
      <c r="F74" s="81">
        <f>IF(F73=0,"",(F73-AD30)*IF($C$7=1,-1,1))</f>
        <v>0.26650000000000018</v>
      </c>
      <c r="G74" s="82">
        <f>IF(G73=0,"",(G73-AE30)*IF($C$7=1,-1,1))</f>
        <v>0.26149999999999984</v>
      </c>
      <c r="H74" s="82">
        <f>IF(H73=0,"",(H73-AF30)*IF($C$7=1,-1,1))</f>
        <v>0.25800000000000001</v>
      </c>
      <c r="I74" s="82">
        <f>IF(I73=0,"",(I73-AG30)*IF($C$7=1,-1,1))</f>
        <v>0.26750000000000007</v>
      </c>
      <c r="J74" s="82">
        <f>IF(J73=0,"",(J73-AH30)*IF($C$7=1,-1,1))</f>
        <v>0.26950000000000029</v>
      </c>
      <c r="K74" s="82">
        <f>IF(K73=0,"",(K73-AI30)*IF($C$7=1,-1,1))</f>
        <v>0.2825000000000002</v>
      </c>
      <c r="L74" s="82">
        <f>IF(L73=0,"",(L73-AJ30)*IF($C$7=1,-1,1))</f>
        <v>0.27150000000000007</v>
      </c>
      <c r="M74" s="82">
        <f>IF(M73=0,"",(M73-AK30)*IF($C$7=1,-1,1))</f>
        <v>0.26500000000000012</v>
      </c>
      <c r="N74" s="82">
        <f>IF(N73=0,"",(N73-AL30)*IF($C$7=1,-1,1))</f>
        <v>0.27049999999999974</v>
      </c>
      <c r="O74" s="82">
        <f>IF(O73=0,"",(O73-AM30)*IF($C$7=1,-1,1))</f>
        <v>0.27249999999999996</v>
      </c>
      <c r="P74" s="83">
        <f>IF(   P73="", "", (P73 - INDEX(IRS!$B$2:$Y$13, P$2, MATCH($E73,IRS!$B$1:$Y$1, 0)) ) * IF($C$7=1,-1,1)   )</f>
        <v>0.26332500000000003</v>
      </c>
      <c r="Q74" s="84">
        <f>IF(   Q73="", "", (Q73 - INDEX(IRS!$B$2:$Y$13, Q$2, MATCH($E73,IRS!$B$1:$Y$1, 0)) ) * IF($C$7=1,-1,1)   )</f>
        <v>0.25800000000000001</v>
      </c>
      <c r="R74" s="85">
        <f>IF(   R73="", "", (R73 - INDEX(IRS!$B$2:$Y$13, R$2, MATCH($E73,IRS!$B$1:$Y$1, 0)) ) * IF($C$7=1,-1,1)   )</f>
        <v>0.254</v>
      </c>
      <c r="S74" s="86">
        <f>IF(   S73="", "", (S73 - INDEX(IRS!$B$2:$Y$13, S$2, MATCH($E73,IRS!$B$1:$Y$1, 0)) ) * IF($C$7=1,-1,1)   )</f>
        <v>0.23156666666666803</v>
      </c>
      <c r="T74" s="84">
        <f>IF(   T73="", "", (T73 - INDEX(IRS!$B$2:$Y$13, T$2, MATCH($E73,IRS!$B$1:$Y$1, 0)) ) * IF($C$7=1,-1,1)   )</f>
        <v>0.25800000000000001</v>
      </c>
      <c r="U74" s="87">
        <f>IF(   U73="", "", (U73 - INDEX(IRS!$B$2:$Y$13, U$2, MATCH($E73,IRS!$B$1:$Y$1, 0)) ) * IF($C$7=1,-1,1)   )</f>
        <v>0.25</v>
      </c>
      <c r="V74" s="83">
        <f>IF(   V73="", "", (V73 - INDEX(IRS!$B$2:$Y$13, V$2, MATCH($E73,IRS!$B$1:$Y$1, 0)) ) * IF($C$7=1,-1,1)   )</f>
        <v>0.22840833333333554</v>
      </c>
      <c r="W74" s="84">
        <f>IF(   W73="", "", (W73 - INDEX(IRS!$B$2:$Y$13, W$2, MATCH($E73,IRS!$B$1:$Y$1, 0)) ) * IF($C$7=1,-1,1)   )</f>
        <v>0.23250000000000037</v>
      </c>
      <c r="X74" s="85">
        <f>IF(   X73="", "", (X73 - INDEX(IRS!$B$2:$Y$13, X$2, MATCH($E73,IRS!$B$1:$Y$1, 0)) ) * IF($C$7=1,-1,1)   )</f>
        <v>0.17700000000000005</v>
      </c>
      <c r="Y74" s="83">
        <f>IF(   Y73="", "", (Y73 - INDEX(IRS!$B$2:$Y$13, Y$2, MATCH($E73,IRS!$B$1:$Y$1, 0)) ) * IF($C$7=1,-1,1)   )</f>
        <v>0.21575600000000428</v>
      </c>
      <c r="Z74" s="84">
        <f>IF(   Z73="", "", (Z73 - INDEX(IRS!$B$2:$Y$13, Z$2, MATCH($E73,IRS!$B$1:$Y$1, 0)) ) * IF($C$7=1,-1,1)   )</f>
        <v>0.23250000000000037</v>
      </c>
      <c r="AA74" s="85">
        <f>IF(   AA73="", "", (AA73 - INDEX(IRS!$B$2:$Y$13, AA$2, MATCH($E73,IRS!$B$1:$Y$1, 0)) ) * IF($C$7=1,-1,1)   )</f>
        <v>0.16250000000000009</v>
      </c>
    </row>
    <row r="75" spans="2:27">
      <c r="C75" s="6">
        <v>17</v>
      </c>
      <c r="D75" s="45"/>
      <c r="E75" s="56" t="s">
        <v>225</v>
      </c>
      <c r="F75" s="63">
        <f>F$9</f>
        <v>45741</v>
      </c>
      <c r="G75" s="65">
        <f t="shared" ref="G75:N75" si="3">G$9</f>
        <v>45740</v>
      </c>
      <c r="H75" s="65">
        <f t="shared" si="3"/>
        <v>45737</v>
      </c>
      <c r="I75" s="65">
        <f t="shared" si="3"/>
        <v>45736</v>
      </c>
      <c r="J75" s="65">
        <f t="shared" si="3"/>
        <v>45735</v>
      </c>
      <c r="K75" s="65">
        <f t="shared" si="3"/>
        <v>45734</v>
      </c>
      <c r="L75" s="65">
        <f t="shared" si="3"/>
        <v>45733</v>
      </c>
      <c r="M75" s="65">
        <f t="shared" si="3"/>
        <v>45730</v>
      </c>
      <c r="N75" s="61">
        <f t="shared" si="3"/>
        <v>45729</v>
      </c>
      <c r="O75" s="59">
        <f>O$9</f>
        <v>45728</v>
      </c>
      <c r="P75" s="68" t="str">
        <f>$P$13</f>
        <v>20D</v>
      </c>
      <c r="Q75" s="68"/>
      <c r="R75" s="68"/>
      <c r="S75" s="68" t="str">
        <f>$S$13</f>
        <v>60D</v>
      </c>
      <c r="T75" s="68"/>
      <c r="U75" s="68"/>
      <c r="V75" s="68" t="str">
        <f>$V$13</f>
        <v>120D</v>
      </c>
      <c r="W75" s="68"/>
      <c r="X75" s="68"/>
      <c r="Y75" s="68" t="str">
        <f>$Y$13</f>
        <v>250D</v>
      </c>
      <c r="Z75" s="68"/>
      <c r="AA75" s="68"/>
    </row>
    <row r="76" spans="2:27">
      <c r="B76" s="6" t="str">
        <f>INDEX(code_list,$C75,1)</f>
        <v>BONDAVG16</v>
      </c>
      <c r="C76" s="6" t="str">
        <f>INDEX(name_list,$C75,1)</f>
        <v>금융채 산금채 AAA</v>
      </c>
      <c r="D76" s="45"/>
      <c r="E76" s="57"/>
      <c r="F76" s="64"/>
      <c r="G76" s="66"/>
      <c r="H76" s="66"/>
      <c r="I76" s="66"/>
      <c r="J76" s="66"/>
      <c r="K76" s="66"/>
      <c r="L76" s="66"/>
      <c r="M76" s="66"/>
      <c r="N76" s="62"/>
      <c r="O76" s="60"/>
      <c r="P76" s="55" t="s">
        <v>21</v>
      </c>
      <c r="Q76" s="55" t="s">
        <v>22</v>
      </c>
      <c r="R76" s="55" t="s">
        <v>23</v>
      </c>
      <c r="S76" s="55" t="s">
        <v>21</v>
      </c>
      <c r="T76" s="55" t="s">
        <v>22</v>
      </c>
      <c r="U76" s="55" t="s">
        <v>23</v>
      </c>
      <c r="V76" s="55" t="s">
        <v>21</v>
      </c>
      <c r="W76" s="55" t="s">
        <v>22</v>
      </c>
      <c r="X76" s="55" t="s">
        <v>23</v>
      </c>
      <c r="Y76" s="55" t="s">
        <v>21</v>
      </c>
      <c r="Z76" s="55" t="s">
        <v>22</v>
      </c>
      <c r="AA76" s="55" t="s">
        <v>23</v>
      </c>
    </row>
    <row r="77" spans="2:27">
      <c r="B77" s="6" t="str">
        <f>_xll.IMDH("IR",$B$76,$C77,$O$9,$F$9,10,"Per=일, sort=D, real=true, Bizday=0, Quote=종가,Pos=40,Orient=H,DtFmt=1.TmFmt=1")</f>
        <v>조회[BONDAVG16]</v>
      </c>
      <c r="C77" s="6" t="s">
        <v>297</v>
      </c>
      <c r="D77" s="45"/>
      <c r="E77" s="51" t="s">
        <v>249</v>
      </c>
      <c r="F77" s="88">
        <v>2.8330000000000002</v>
      </c>
      <c r="G77" s="89">
        <v>2.8380000000000001</v>
      </c>
      <c r="H77" s="89">
        <v>2.8359999999999999</v>
      </c>
      <c r="I77" s="89">
        <v>2.8359999999999999</v>
      </c>
      <c r="J77" s="89">
        <v>2.839</v>
      </c>
      <c r="K77" s="89">
        <v>2.84</v>
      </c>
      <c r="L77" s="89">
        <v>2.8420000000000001</v>
      </c>
      <c r="M77" s="89">
        <v>2.84</v>
      </c>
      <c r="N77" s="89">
        <v>2.84</v>
      </c>
      <c r="O77" s="89">
        <v>2.8370000000000002</v>
      </c>
      <c r="P77" s="80">
        <f>IF( INDEX(BOND!$B$2:$CH$13, P$2, MATCH($B$76, BOND!$B$16:$CH$16, 0)+MATCH($C77, BOND!$C$18:$N$18,0) )=0,
"",
INDEX(BOND!$B$2:$CH$13, P$2, MATCH($B$76, BOND!$B$16:$CH$16, 0)+MATCH($C77, BOND!$C$18:$N$18,0)) )</f>
        <v>2.8431999999999999</v>
      </c>
      <c r="Q77" s="80">
        <f>IF( INDEX(BOND!$B$2:$CH$13, Q$2, MATCH($B$76, BOND!$B$16:$CH$16, 0)+MATCH($C77, BOND!$C$18:$N$18,0) )=0,
"",
INDEX(BOND!$B$2:$CH$13, Q$2, MATCH($B$76, BOND!$B$16:$CH$16, 0)+MATCH($C77, BOND!$C$18:$N$18,0)) )</f>
        <v>2.8330000000000002</v>
      </c>
      <c r="R77" s="80">
        <f>IF( INDEX(BOND!$B$2:$CH$13, R$2, MATCH($B$76, BOND!$B$16:$CH$16, 0)+MATCH($C77, BOND!$C$18:$N$18,0) )=0,
"",
INDEX(BOND!$B$2:$CH$13, R$2, MATCH($B$76, BOND!$B$16:$CH$16, 0)+MATCH($C77, BOND!$C$18:$N$18,0)) )</f>
        <v>2.8530000000000002</v>
      </c>
      <c r="S77" s="80">
        <f>IF( INDEX(BOND!$B$2:$CH$13, S$2, MATCH($B$76, BOND!$B$16:$CH$16, 0)+MATCH($C77, BOND!$C$18:$N$18,0) )=0,
"",
INDEX(BOND!$B$2:$CH$13, S$2, MATCH($B$76, BOND!$B$16:$CH$16, 0)+MATCH($C77, BOND!$C$18:$N$18,0)) )</f>
        <v>2.972633333333333</v>
      </c>
      <c r="T77" s="80">
        <f>IF( INDEX(BOND!$B$2:$CH$13, T$2, MATCH($B$76, BOND!$B$16:$CH$16, 0)+MATCH($C77, BOND!$C$18:$N$18,0) )=0,
"",
INDEX(BOND!$B$2:$CH$13, T$2, MATCH($B$76, BOND!$B$16:$CH$16, 0)+MATCH($C77, BOND!$C$18:$N$18,0)) )</f>
        <v>2.8330000000000002</v>
      </c>
      <c r="U77" s="80">
        <f>IF( INDEX(BOND!$B$2:$CH$13, U$2, MATCH($B$76, BOND!$B$16:$CH$16, 0)+MATCH($C77, BOND!$C$18:$N$18,0) )=0,
"",
INDEX(BOND!$B$2:$CH$13, U$2, MATCH($B$76, BOND!$B$16:$CH$16, 0)+MATCH($C77, BOND!$C$18:$N$18,0)) )</f>
        <v>3.3090000000000002</v>
      </c>
      <c r="V77" s="80">
        <f>IF( INDEX(BOND!$B$2:$CH$13, V$2, MATCH($B$76, BOND!$B$16:$CH$16, 0)+MATCH($C77, BOND!$C$18:$N$18,0) )=0,
"",
INDEX(BOND!$B$2:$CH$13, V$2, MATCH($B$76, BOND!$B$16:$CH$16, 0)+MATCH($C77, BOND!$C$18:$N$18,0)) )</f>
        <v>3.1499833333333345</v>
      </c>
      <c r="W77" s="80">
        <f>IF( INDEX(BOND!$B$2:$CH$13, W$2, MATCH($B$76, BOND!$B$16:$CH$16, 0)+MATCH($C77, BOND!$C$18:$N$18,0) )=0,
"",
INDEX(BOND!$B$2:$CH$13, W$2, MATCH($B$76, BOND!$B$16:$CH$16, 0)+MATCH($C77, BOND!$C$18:$N$18,0)) )</f>
        <v>2.8330000000000002</v>
      </c>
      <c r="X77" s="80">
        <f>IF( INDEX(BOND!$B$2:$CH$13, X$2, MATCH($B$76, BOND!$B$16:$CH$16, 0)+MATCH($C77, BOND!$C$18:$N$18,0) )=0,
"",
INDEX(BOND!$B$2:$CH$13, X$2, MATCH($B$76, BOND!$B$16:$CH$16, 0)+MATCH($C77, BOND!$C$18:$N$18,0)) )</f>
        <v>3.391</v>
      </c>
      <c r="Y77" s="80">
        <f>IF( INDEX(BOND!$B$2:$CH$13, Y$2, MATCH($B$76, BOND!$B$16:$CH$16, 0)+MATCH($C77, BOND!$C$18:$N$18,0) )=0,
"",
INDEX(BOND!$B$2:$CH$13, Y$2, MATCH($B$76, BOND!$B$16:$CH$16, 0)+MATCH($C77, BOND!$C$18:$N$18,0)) )</f>
        <v>3.3301039999999982</v>
      </c>
      <c r="Z77" s="80">
        <f>IF( INDEX(BOND!$B$2:$CH$13, Z$2, MATCH($B$76, BOND!$B$16:$CH$16, 0)+MATCH($C77, BOND!$C$18:$N$18,0) )=0,
"",
INDEX(BOND!$B$2:$CH$13, Z$2, MATCH($B$76, BOND!$B$16:$CH$16, 0)+MATCH($C77, BOND!$C$18:$N$18,0)) )</f>
        <v>2.8330000000000002</v>
      </c>
      <c r="AA77" s="80">
        <f>IF( INDEX(BOND!$B$2:$CH$13, AA$2, MATCH($B$76, BOND!$B$16:$CH$16, 0)+MATCH($C77, BOND!$C$18:$N$18,0) )=0,
"",
INDEX(BOND!$B$2:$CH$13, AA$2, MATCH($B$76, BOND!$B$16:$CH$16, 0)+MATCH($C77, BOND!$C$18:$N$18,0)) )</f>
        <v>3.6219999999999999</v>
      </c>
    </row>
    <row r="78" spans="2:27">
      <c r="D78" s="45"/>
      <c r="E78" s="52" t="s">
        <v>267</v>
      </c>
      <c r="F78" s="81">
        <f>IF(F77=0,"",(F77-AD16)*IF($C$7=1,-1,1))</f>
        <v>6.050000000000022E-2</v>
      </c>
      <c r="G78" s="82">
        <f>IF(G77=0,"",(G77-AE16)*IF($C$7=1,-1,1))</f>
        <v>7.2999999999999954E-2</v>
      </c>
      <c r="H78" s="82">
        <f>IF(H77=0,"",(H77-AF16)*IF($C$7=1,-1,1))</f>
        <v>7.3499999999999677E-2</v>
      </c>
      <c r="I78" s="82">
        <f>IF(I77=0,"",(I77-AG16)*IF($C$7=1,-1,1))</f>
        <v>7.6000000000000068E-2</v>
      </c>
      <c r="J78" s="82">
        <f>IF(J77=0,"",(J77-AH16)*IF($C$7=1,-1,1))</f>
        <v>7.1499999999999897E-2</v>
      </c>
      <c r="K78" s="82">
        <f>IF(K77=0,"",(K77-AI16)*IF($C$7=1,-1,1))</f>
        <v>7.4999999999999734E-2</v>
      </c>
      <c r="L78" s="82">
        <f>IF(L77=0,"",(L77-AJ16)*IF($C$7=1,-1,1))</f>
        <v>7.6999999999999957E-2</v>
      </c>
      <c r="M78" s="82">
        <f>IF(M77=0,"",(M77-AK16)*IF($C$7=1,-1,1))</f>
        <v>8.0000000000000071E-2</v>
      </c>
      <c r="N78" s="82">
        <f>IF(N77=0,"",(N77-AL16)*IF($C$7=1,-1,1))</f>
        <v>8.2500000000000018E-2</v>
      </c>
      <c r="O78" s="82">
        <f>IF(O77=0,"",(O77-AM16)*IF($C$7=1,-1,1))</f>
        <v>9.2000000000000082E-2</v>
      </c>
      <c r="P78" s="83">
        <f>IF(   P77="", "", (P77 - INDEX(IRS!$B$2:$Y$13, P$2, MATCH($E77,IRS!$B$1:$Y$1, 0)) ) * IF($C$7=1,-1,1)   )</f>
        <v>7.7449999999999797E-2</v>
      </c>
      <c r="Q78" s="84">
        <f>IF(   Q77="", "", (Q77 - INDEX(IRS!$B$2:$Y$13, Q$2, MATCH($E77,IRS!$B$1:$Y$1, 0)) ) * IF($C$7=1,-1,1)   )</f>
        <v>8.8000000000000078E-2</v>
      </c>
      <c r="R78" s="85">
        <f>IF(   R77="", "", (R77 - INDEX(IRS!$B$2:$Y$13, R$2, MATCH($E77,IRS!$B$1:$Y$1, 0)) ) * IF($C$7=1,-1,1)   )</f>
        <v>5.300000000000038E-2</v>
      </c>
      <c r="S78" s="86">
        <f>IF(   S77="", "", (S77 - INDEX(IRS!$B$2:$Y$13, S$2, MATCH($E77,IRS!$B$1:$Y$1, 0)) ) * IF($C$7=1,-1,1)   )</f>
        <v>9.4758333333332612E-2</v>
      </c>
      <c r="T78" s="84">
        <f>IF(   T77="", "", (T77 - INDEX(IRS!$B$2:$Y$13, T$2, MATCH($E77,IRS!$B$1:$Y$1, 0)) ) * IF($C$7=1,-1,1)   )</f>
        <v>8.8000000000000078E-2</v>
      </c>
      <c r="U78" s="87">
        <f>IF(   U77="", "", (U77 - INDEX(IRS!$B$2:$Y$13, U$2, MATCH($E77,IRS!$B$1:$Y$1, 0)) ) * IF($C$7=1,-1,1)   )</f>
        <v>0.12150000000000016</v>
      </c>
      <c r="V78" s="83">
        <f>IF(   V77="", "", (V77 - INDEX(IRS!$B$2:$Y$13, V$2, MATCH($E77,IRS!$B$1:$Y$1, 0)) ) * IF($C$7=1,-1,1)   )</f>
        <v>8.5337500000000066E-2</v>
      </c>
      <c r="W78" s="84">
        <f>IF(   W77="", "", (W77 - INDEX(IRS!$B$2:$Y$13, W$2, MATCH($E77,IRS!$B$1:$Y$1, 0)) ) * IF($C$7=1,-1,1)   )</f>
        <v>8.8000000000000078E-2</v>
      </c>
      <c r="X78" s="85">
        <f>IF(   X77="", "", (X77 - INDEX(IRS!$B$2:$Y$13, X$2, MATCH($E77,IRS!$B$1:$Y$1, 0)) ) * IF($C$7=1,-1,1)   )</f>
        <v>-2.1500000000000075E-2</v>
      </c>
      <c r="Y78" s="83">
        <f>IF(   Y77="", "", (Y77 - INDEX(IRS!$B$2:$Y$13, Y$2, MATCH($E77,IRS!$B$1:$Y$1, 0)) ) * IF($C$7=1,-1,1)   )</f>
        <v>3.0313999999996177E-2</v>
      </c>
      <c r="Z78" s="84">
        <f>IF(   Z77="", "", (Z77 - INDEX(IRS!$B$2:$Y$13, Z$2, MATCH($E77,IRS!$B$1:$Y$1, 0)) ) * IF($C$7=1,-1,1)   )</f>
        <v>8.8000000000000078E-2</v>
      </c>
      <c r="AA78" s="85">
        <f>IF(   AA77="", "", (AA77 - INDEX(IRS!$B$2:$Y$13, AA$2, MATCH($E77,IRS!$B$1:$Y$1, 0)) ) * IF($C$7=1,-1,1)   )</f>
        <v>-1.5500000000000291E-2</v>
      </c>
    </row>
    <row r="79" spans="2:27">
      <c r="B79" s="6" t="str">
        <f>_xll.IMDH("IR",$B$76,$C79,$O$9,$F$9,10,"Per=일, sort=D, real=true, Bizday=0, Quote=종가,Pos=40,Orient=H,DtFmt=1.TmFmt=1")</f>
        <v>조회[BONDAVG16]</v>
      </c>
      <c r="C79" s="6" t="s">
        <v>298</v>
      </c>
      <c r="D79" s="45"/>
      <c r="E79" s="51" t="s">
        <v>261</v>
      </c>
      <c r="F79" s="88">
        <v>2.8130000000000002</v>
      </c>
      <c r="G79" s="89">
        <v>2.8180000000000001</v>
      </c>
      <c r="H79" s="89">
        <v>2.8149999999999999</v>
      </c>
      <c r="I79" s="89">
        <v>2.8119999999999998</v>
      </c>
      <c r="J79" s="89">
        <v>2.8149999999999999</v>
      </c>
      <c r="K79" s="89">
        <v>2.8140000000000001</v>
      </c>
      <c r="L79" s="89">
        <v>2.8149999999999999</v>
      </c>
      <c r="M79" s="89">
        <v>2.8140000000000001</v>
      </c>
      <c r="N79" s="89">
        <v>2.81</v>
      </c>
      <c r="O79" s="89">
        <v>2.8039999999999998</v>
      </c>
      <c r="P79" s="80">
        <f>IF( INDEX(BOND!$B$2:$CH$13, P$2, MATCH($B$76, BOND!$B$16:$CH$16, 0)+MATCH($C79, BOND!$C$18:$N$18,0) )=0,
"",
INDEX(BOND!$B$2:$CH$13, P$2, MATCH($B$76, BOND!$B$16:$CH$16, 0)+MATCH($C79, BOND!$C$18:$N$18,0)) )</f>
        <v>2.8056999999999994</v>
      </c>
      <c r="Q79" s="80">
        <f>IF( INDEX(BOND!$B$2:$CH$13, Q$2, MATCH($B$76, BOND!$B$16:$CH$16, 0)+MATCH($C79, BOND!$C$18:$N$18,0) )=0,
"",
INDEX(BOND!$B$2:$CH$13, Q$2, MATCH($B$76, BOND!$B$16:$CH$16, 0)+MATCH($C79, BOND!$C$18:$N$18,0)) )</f>
        <v>2.782</v>
      </c>
      <c r="R79" s="80">
        <f>IF( INDEX(BOND!$B$2:$CH$13, R$2, MATCH($B$76, BOND!$B$16:$CH$16, 0)+MATCH($C79, BOND!$C$18:$N$18,0) )=0,
"",
INDEX(BOND!$B$2:$CH$13, R$2, MATCH($B$76, BOND!$B$16:$CH$16, 0)+MATCH($C79, BOND!$C$18:$N$18,0)) )</f>
        <v>2.8180000000000001</v>
      </c>
      <c r="S79" s="80">
        <f>IF( INDEX(BOND!$B$2:$CH$13, S$2, MATCH($B$76, BOND!$B$16:$CH$16, 0)+MATCH($C79, BOND!$C$18:$N$18,0) )=0,
"",
INDEX(BOND!$B$2:$CH$13, S$2, MATCH($B$76, BOND!$B$16:$CH$16, 0)+MATCH($C79, BOND!$C$18:$N$18,0)) )</f>
        <v>2.867916666666666</v>
      </c>
      <c r="T79" s="80">
        <f>IF( INDEX(BOND!$B$2:$CH$13, T$2, MATCH($B$76, BOND!$B$16:$CH$16, 0)+MATCH($C79, BOND!$C$18:$N$18,0) )=0,
"",
INDEX(BOND!$B$2:$CH$13, T$2, MATCH($B$76, BOND!$B$16:$CH$16, 0)+MATCH($C79, BOND!$C$18:$N$18,0)) )</f>
        <v>2.782</v>
      </c>
      <c r="U79" s="80">
        <f>IF( INDEX(BOND!$B$2:$CH$13, U$2, MATCH($B$76, BOND!$B$16:$CH$16, 0)+MATCH($C79, BOND!$C$18:$N$18,0) )=0,
"",
INDEX(BOND!$B$2:$CH$13, U$2, MATCH($B$76, BOND!$B$16:$CH$16, 0)+MATCH($C79, BOND!$C$18:$N$18,0)) )</f>
        <v>3.157</v>
      </c>
      <c r="V79" s="80">
        <f>IF( INDEX(BOND!$B$2:$CH$13, V$2, MATCH($B$76, BOND!$B$16:$CH$16, 0)+MATCH($C79, BOND!$C$18:$N$18,0) )=0,
"",
INDEX(BOND!$B$2:$CH$13, V$2, MATCH($B$76, BOND!$B$16:$CH$16, 0)+MATCH($C79, BOND!$C$18:$N$18,0)) )</f>
        <v>3.0493916666666658</v>
      </c>
      <c r="W79" s="80">
        <f>IF( INDEX(BOND!$B$2:$CH$13, W$2, MATCH($B$76, BOND!$B$16:$CH$16, 0)+MATCH($C79, BOND!$C$18:$N$18,0) )=0,
"",
INDEX(BOND!$B$2:$CH$13, W$2, MATCH($B$76, BOND!$B$16:$CH$16, 0)+MATCH($C79, BOND!$C$18:$N$18,0)) )</f>
        <v>2.782</v>
      </c>
      <c r="X79" s="80">
        <f>IF( INDEX(BOND!$B$2:$CH$13, X$2, MATCH($B$76, BOND!$B$16:$CH$16, 0)+MATCH($C79, BOND!$C$18:$N$18,0) )=0,
"",
INDEX(BOND!$B$2:$CH$13, X$2, MATCH($B$76, BOND!$B$16:$CH$16, 0)+MATCH($C79, BOND!$C$18:$N$18,0)) )</f>
        <v>3.3260000000000001</v>
      </c>
      <c r="Y79" s="80">
        <f>IF( INDEX(BOND!$B$2:$CH$13, Y$2, MATCH($B$76, BOND!$B$16:$CH$16, 0)+MATCH($C79, BOND!$C$18:$N$18,0) )=0,
"",
INDEX(BOND!$B$2:$CH$13, Y$2, MATCH($B$76, BOND!$B$16:$CH$16, 0)+MATCH($C79, BOND!$C$18:$N$18,0)) )</f>
        <v>3.2698799999999988</v>
      </c>
      <c r="Z79" s="80">
        <f>IF( INDEX(BOND!$B$2:$CH$13, Z$2, MATCH($B$76, BOND!$B$16:$CH$16, 0)+MATCH($C79, BOND!$C$18:$N$18,0) )=0,
"",
INDEX(BOND!$B$2:$CH$13, Z$2, MATCH($B$76, BOND!$B$16:$CH$16, 0)+MATCH($C79, BOND!$C$18:$N$18,0)) )</f>
        <v>2.782</v>
      </c>
      <c r="AA79" s="80">
        <f>IF( INDEX(BOND!$B$2:$CH$13, AA$2, MATCH($B$76, BOND!$B$16:$CH$16, 0)+MATCH($C79, BOND!$C$18:$N$18,0) )=0,
"",
INDEX(BOND!$B$2:$CH$13, AA$2, MATCH($B$76, BOND!$B$16:$CH$16, 0)+MATCH($C79, BOND!$C$18:$N$18,0)) )</f>
        <v>3.63</v>
      </c>
    </row>
    <row r="80" spans="2:27">
      <c r="D80" s="45"/>
      <c r="E80" s="52" t="s">
        <v>267</v>
      </c>
      <c r="F80" s="81">
        <f>IF(F79=0,"",(F79-AD18)*IF($C$7=1,-1,1))</f>
        <v>0.10050000000000026</v>
      </c>
      <c r="G80" s="82">
        <f>IF(G79=0,"",(G79-AE18)*IF($C$7=1,-1,1))</f>
        <v>0.11549999999999994</v>
      </c>
      <c r="H80" s="82">
        <f>IF(H79=0,"",(H79-AF18)*IF($C$7=1,-1,1))</f>
        <v>0.11499999999999977</v>
      </c>
      <c r="I80" s="82">
        <f>IF(I79=0,"",(I79-AG18)*IF($C$7=1,-1,1))</f>
        <v>0.11450000000000005</v>
      </c>
      <c r="J80" s="82">
        <f>IF(J79=0,"",(J79-AH18)*IF($C$7=1,-1,1))</f>
        <v>0.10999999999999988</v>
      </c>
      <c r="K80" s="82">
        <f>IF(K79=0,"",(K79-AI18)*IF($C$7=1,-1,1))</f>
        <v>0.11399999999999988</v>
      </c>
      <c r="L80" s="82">
        <f>IF(L79=0,"",(L79-AJ18)*IF($C$7=1,-1,1))</f>
        <v>0.11499999999999977</v>
      </c>
      <c r="M80" s="82">
        <f>IF(M79=0,"",(M79-AK18)*IF($C$7=1,-1,1))</f>
        <v>0.11900000000000022</v>
      </c>
      <c r="N80" s="82">
        <f>IF(N79=0,"",(N79-AL18)*IF($C$7=1,-1,1))</f>
        <v>0.12250000000000005</v>
      </c>
      <c r="O80" s="82">
        <f>IF(O79=0,"",(O79-AM18)*IF($C$7=1,-1,1))</f>
        <v>0.13149999999999995</v>
      </c>
      <c r="P80" s="83">
        <f>IF(   P79="", "", (P79 - INDEX(IRS!$B$2:$Y$13, P$2, MATCH($E79,IRS!$B$1:$Y$1, 0)) ) * IF($C$7=1,-1,1)   )</f>
        <v>0.10870000000000024</v>
      </c>
      <c r="Q80" s="84">
        <f>IF(   Q79="", "", (Q79 - INDEX(IRS!$B$2:$Y$13, Q$2, MATCH($E79,IRS!$B$1:$Y$1, 0)) ) * IF($C$7=1,-1,1)   )</f>
        <v>0.10950000000000015</v>
      </c>
      <c r="R80" s="85">
        <f>IF(   R79="", "", (R79 - INDEX(IRS!$B$2:$Y$13, R$2, MATCH($E79,IRS!$B$1:$Y$1, 0)) ) * IF($C$7=1,-1,1)   )</f>
        <v>8.8000000000000078E-2</v>
      </c>
      <c r="S80" s="86">
        <f>IF(   S79="", "", (S79 - INDEX(IRS!$B$2:$Y$13, S$2, MATCH($E79,IRS!$B$1:$Y$1, 0)) ) * IF($C$7=1,-1,1)   )</f>
        <v>8.7499999999999911E-2</v>
      </c>
      <c r="T80" s="84">
        <f>IF(   T79="", "", (T79 - INDEX(IRS!$B$2:$Y$13, T$2, MATCH($E79,IRS!$B$1:$Y$1, 0)) ) * IF($C$7=1,-1,1)   )</f>
        <v>0.10950000000000015</v>
      </c>
      <c r="U80" s="87">
        <f>IF(   U79="", "", (U79 - INDEX(IRS!$B$2:$Y$13, U$2, MATCH($E79,IRS!$B$1:$Y$1, 0)) ) * IF($C$7=1,-1,1)   )</f>
        <v>0.14950000000000019</v>
      </c>
      <c r="V80" s="83">
        <f>IF(   V79="", "", (V79 - INDEX(IRS!$B$2:$Y$13, V$2, MATCH($E79,IRS!$B$1:$Y$1, 0)) ) * IF($C$7=1,-1,1)   )</f>
        <v>9.6120833333333877E-2</v>
      </c>
      <c r="W80" s="84">
        <f>IF(   W79="", "", (W79 - INDEX(IRS!$B$2:$Y$13, W$2, MATCH($E79,IRS!$B$1:$Y$1, 0)) ) * IF($C$7=1,-1,1)   )</f>
        <v>0.10950000000000015</v>
      </c>
      <c r="X80" s="85">
        <f>IF(   X79="", "", (X79 - INDEX(IRS!$B$2:$Y$13, X$2, MATCH($E79,IRS!$B$1:$Y$1, 0)) ) * IF($C$7=1,-1,1)   )</f>
        <v>3.3500000000000085E-2</v>
      </c>
      <c r="Y80" s="83">
        <f>IF(   Y79="", "", (Y79 - INDEX(IRS!$B$2:$Y$13, Y$2, MATCH($E79,IRS!$B$1:$Y$1, 0)) ) * IF($C$7=1,-1,1)   )</f>
        <v>5.6740000000000013E-2</v>
      </c>
      <c r="Z80" s="84">
        <f>IF(   Z79="", "", (Z79 - INDEX(IRS!$B$2:$Y$13, Z$2, MATCH($E79,IRS!$B$1:$Y$1, 0)) ) * IF($C$7=1,-1,1)   )</f>
        <v>0.10950000000000015</v>
      </c>
      <c r="AA80" s="85">
        <f>IF(   AA79="", "", (AA79 - INDEX(IRS!$B$2:$Y$13, AA$2, MATCH($E79,IRS!$B$1:$Y$1, 0)) ) * IF($C$7=1,-1,1)   )</f>
        <v>2.0000000000000018E-2</v>
      </c>
    </row>
    <row r="81" spans="2:27">
      <c r="B81" s="6" t="str">
        <f>_xll.IMDH("IR",$B$76,$C81,$O$9,$F$9,10,"Per=일, sort=D, real=true, Bizday=0, Quote=종가,Pos=40,Orient=H,DtFmt=1.TmFmt=1")</f>
        <v>조회[BONDAVG16]</v>
      </c>
      <c r="C81" s="6" t="s">
        <v>299</v>
      </c>
      <c r="D81" s="45"/>
      <c r="E81" s="51" t="s">
        <v>251</v>
      </c>
      <c r="F81" s="88">
        <v>2.8130000000000002</v>
      </c>
      <c r="G81" s="89">
        <v>2.823</v>
      </c>
      <c r="H81" s="89">
        <v>2.8210000000000002</v>
      </c>
      <c r="I81" s="89">
        <v>2.8180000000000001</v>
      </c>
      <c r="J81" s="89">
        <v>2.8239999999999998</v>
      </c>
      <c r="K81" s="89">
        <v>2.8220000000000001</v>
      </c>
      <c r="L81" s="89">
        <v>2.823</v>
      </c>
      <c r="M81" s="89">
        <v>2.8279999999999998</v>
      </c>
      <c r="N81" s="89">
        <v>2.8239999999999998</v>
      </c>
      <c r="O81" s="89">
        <v>2.8170000000000002</v>
      </c>
      <c r="P81" s="80">
        <f>IF( INDEX(BOND!$B$2:$CH$13, P$2, MATCH($B$76, BOND!$B$16:$CH$16, 0)+MATCH($C81, BOND!$C$18:$N$18,0) )=0,
"",
INDEX(BOND!$B$2:$CH$13, P$2, MATCH($B$76, BOND!$B$16:$CH$16, 0)+MATCH($C81, BOND!$C$18:$N$18,0)) )</f>
        <v>2.8165</v>
      </c>
      <c r="Q81" s="80">
        <f>IF( INDEX(BOND!$B$2:$CH$13, Q$2, MATCH($B$76, BOND!$B$16:$CH$16, 0)+MATCH($C81, BOND!$C$18:$N$18,0) )=0,
"",
INDEX(BOND!$B$2:$CH$13, Q$2, MATCH($B$76, BOND!$B$16:$CH$16, 0)+MATCH($C81, BOND!$C$18:$N$18,0)) )</f>
        <v>2.7879999999999998</v>
      </c>
      <c r="R81" s="80">
        <f>IF( INDEX(BOND!$B$2:$CH$13, R$2, MATCH($B$76, BOND!$B$16:$CH$16, 0)+MATCH($C81, BOND!$C$18:$N$18,0) )=0,
"",
INDEX(BOND!$B$2:$CH$13, R$2, MATCH($B$76, BOND!$B$16:$CH$16, 0)+MATCH($C81, BOND!$C$18:$N$18,0)) )</f>
        <v>2.83</v>
      </c>
      <c r="S81" s="80">
        <f>IF( INDEX(BOND!$B$2:$CH$13, S$2, MATCH($B$76, BOND!$B$16:$CH$16, 0)+MATCH($C81, BOND!$C$18:$N$18,0) )=0,
"",
INDEX(BOND!$B$2:$CH$13, S$2, MATCH($B$76, BOND!$B$16:$CH$16, 0)+MATCH($C81, BOND!$C$18:$N$18,0)) )</f>
        <v>2.8352500000000007</v>
      </c>
      <c r="T81" s="80">
        <f>IF( INDEX(BOND!$B$2:$CH$13, T$2, MATCH($B$76, BOND!$B$16:$CH$16, 0)+MATCH($C81, BOND!$C$18:$N$18,0) )=0,
"",
INDEX(BOND!$B$2:$CH$13, T$2, MATCH($B$76, BOND!$B$16:$CH$16, 0)+MATCH($C81, BOND!$C$18:$N$18,0)) )</f>
        <v>2.78</v>
      </c>
      <c r="U81" s="80">
        <f>IF( INDEX(BOND!$B$2:$CH$13, U$2, MATCH($B$76, BOND!$B$16:$CH$16, 0)+MATCH($C81, BOND!$C$18:$N$18,0) )=0,
"",
INDEX(BOND!$B$2:$CH$13, U$2, MATCH($B$76, BOND!$B$16:$CH$16, 0)+MATCH($C81, BOND!$C$18:$N$18,0)) )</f>
        <v>3.0150000000000001</v>
      </c>
      <c r="V81" s="80">
        <f>IF( INDEX(BOND!$B$2:$CH$13, V$2, MATCH($B$76, BOND!$B$16:$CH$16, 0)+MATCH($C81, BOND!$C$18:$N$18,0) )=0,
"",
INDEX(BOND!$B$2:$CH$13, V$2, MATCH($B$76, BOND!$B$16:$CH$16, 0)+MATCH($C81, BOND!$C$18:$N$18,0)) )</f>
        <v>2.9833666666666669</v>
      </c>
      <c r="W81" s="80">
        <f>IF( INDEX(BOND!$B$2:$CH$13, W$2, MATCH($B$76, BOND!$B$16:$CH$16, 0)+MATCH($C81, BOND!$C$18:$N$18,0) )=0,
"",
INDEX(BOND!$B$2:$CH$13, W$2, MATCH($B$76, BOND!$B$16:$CH$16, 0)+MATCH($C81, BOND!$C$18:$N$18,0)) )</f>
        <v>2.78</v>
      </c>
      <c r="X81" s="80">
        <f>IF( INDEX(BOND!$B$2:$CH$13, X$2, MATCH($B$76, BOND!$B$16:$CH$16, 0)+MATCH($C81, BOND!$C$18:$N$18,0) )=0,
"",
INDEX(BOND!$B$2:$CH$13, X$2, MATCH($B$76, BOND!$B$16:$CH$16, 0)+MATCH($C81, BOND!$C$18:$N$18,0)) )</f>
        <v>3.2320000000000002</v>
      </c>
      <c r="Y81" s="80">
        <f>IF( INDEX(BOND!$B$2:$CH$13, Y$2, MATCH($B$76, BOND!$B$16:$CH$16, 0)+MATCH($C81, BOND!$C$18:$N$18,0) )=0,
"",
INDEX(BOND!$B$2:$CH$13, Y$2, MATCH($B$76, BOND!$B$16:$CH$16, 0)+MATCH($C81, BOND!$C$18:$N$18,0)) )</f>
        <v>3.2211240000000014</v>
      </c>
      <c r="Z81" s="80">
        <f>IF( INDEX(BOND!$B$2:$CH$13, Z$2, MATCH($B$76, BOND!$B$16:$CH$16, 0)+MATCH($C81, BOND!$C$18:$N$18,0) )=0,
"",
INDEX(BOND!$B$2:$CH$13, Z$2, MATCH($B$76, BOND!$B$16:$CH$16, 0)+MATCH($C81, BOND!$C$18:$N$18,0)) )</f>
        <v>2.78</v>
      </c>
      <c r="AA81" s="80">
        <f>IF( INDEX(BOND!$B$2:$CH$13, AA$2, MATCH($B$76, BOND!$B$16:$CH$16, 0)+MATCH($C81, BOND!$C$18:$N$18,0) )=0,
"",
INDEX(BOND!$B$2:$CH$13, AA$2, MATCH($B$76, BOND!$B$16:$CH$16, 0)+MATCH($C81, BOND!$C$18:$N$18,0)) )</f>
        <v>3.657</v>
      </c>
    </row>
    <row r="82" spans="2:27">
      <c r="D82" s="45"/>
      <c r="E82" s="52" t="s">
        <v>267</v>
      </c>
      <c r="F82" s="81">
        <f>IF(F81=0,"",(F81-AD20)*IF($C$7=1,-1,1))</f>
        <v>0.13300000000000001</v>
      </c>
      <c r="G82" s="82">
        <f>IF(G81=0,"",(G81-AE20)*IF($C$7=1,-1,1))</f>
        <v>0.15799999999999992</v>
      </c>
      <c r="H82" s="82">
        <f>IF(H81=0,"",(H81-AF20)*IF($C$7=1,-1,1))</f>
        <v>0.15850000000000009</v>
      </c>
      <c r="I82" s="82">
        <f>IF(I81=0,"",(I81-AG20)*IF($C$7=1,-1,1))</f>
        <v>0.15799999999999992</v>
      </c>
      <c r="J82" s="82">
        <f>IF(J81=0,"",(J81-AH20)*IF($C$7=1,-1,1))</f>
        <v>0.15649999999999986</v>
      </c>
      <c r="K82" s="82">
        <f>IF(K81=0,"",(K81-AI20)*IF($C$7=1,-1,1))</f>
        <v>0.16199999999999992</v>
      </c>
      <c r="L82" s="82">
        <f>IF(L81=0,"",(L81-AJ20)*IF($C$7=1,-1,1))</f>
        <v>0.16299999999999981</v>
      </c>
      <c r="M82" s="82">
        <f>IF(M81=0,"",(M81-AK20)*IF($C$7=1,-1,1))</f>
        <v>0.17549999999999999</v>
      </c>
      <c r="N82" s="82">
        <f>IF(N81=0,"",(N81-AL20)*IF($C$7=1,-1,1))</f>
        <v>0.18149999999999977</v>
      </c>
      <c r="O82" s="82">
        <f>IF(O81=0,"",(O81-AM20)*IF($C$7=1,-1,1))</f>
        <v>0.19200000000000017</v>
      </c>
      <c r="P82" s="83">
        <f>IF(   P81="", "", (P81 - INDEX(IRS!$B$2:$Y$13, P$2, MATCH($E81,IRS!$B$1:$Y$1, 0)) ) * IF($C$7=1,-1,1)   )</f>
        <v>0.16374999999999984</v>
      </c>
      <c r="Q82" s="84">
        <f>IF(   Q81="", "", (Q81 - INDEX(IRS!$B$2:$Y$13, Q$2, MATCH($E81,IRS!$B$1:$Y$1, 0)) ) * IF($C$7=1,-1,1)   )</f>
        <v>0.16299999999999981</v>
      </c>
      <c r="R82" s="85">
        <f>IF(   R81="", "", (R81 - INDEX(IRS!$B$2:$Y$13, R$2, MATCH($E81,IRS!$B$1:$Y$1, 0)) ) * IF($C$7=1,-1,1)   )</f>
        <v>0.14999999999999991</v>
      </c>
      <c r="S82" s="86">
        <f>IF(   S81="", "", (S81 - INDEX(IRS!$B$2:$Y$13, S$2, MATCH($E81,IRS!$B$1:$Y$1, 0)) ) * IF($C$7=1,-1,1)   )</f>
        <v>0.12150000000000061</v>
      </c>
      <c r="T82" s="84">
        <f>IF(   T81="", "", (T81 - INDEX(IRS!$B$2:$Y$13, T$2, MATCH($E81,IRS!$B$1:$Y$1, 0)) ) * IF($C$7=1,-1,1)   )</f>
        <v>0.1549999999999998</v>
      </c>
      <c r="U82" s="87">
        <f>IF(   U81="", "", (U81 - INDEX(IRS!$B$2:$Y$13, U$2, MATCH($E81,IRS!$B$1:$Y$1, 0)) ) * IF($C$7=1,-1,1)   )</f>
        <v>0.13750000000000018</v>
      </c>
      <c r="V82" s="83">
        <f>IF(   V81="", "", (V81 - INDEX(IRS!$B$2:$Y$13, V$2, MATCH($E81,IRS!$B$1:$Y$1, 0)) ) * IF($C$7=1,-1,1)   )</f>
        <v>0.11259583333333456</v>
      </c>
      <c r="W82" s="84">
        <f>IF(   W81="", "", (W81 - INDEX(IRS!$B$2:$Y$13, W$2, MATCH($E81,IRS!$B$1:$Y$1, 0)) ) * IF($C$7=1,-1,1)   )</f>
        <v>0.1549999999999998</v>
      </c>
      <c r="X82" s="85">
        <f>IF(   X81="", "", (X81 - INDEX(IRS!$B$2:$Y$13, X$2, MATCH($E81,IRS!$B$1:$Y$1, 0)) ) * IF($C$7=1,-1,1)   )</f>
        <v>3.4500000000000419E-2</v>
      </c>
      <c r="Y82" s="83">
        <f>IF(   Y81="", "", (Y81 - INDEX(IRS!$B$2:$Y$13, Y$2, MATCH($E81,IRS!$B$1:$Y$1, 0)) ) * IF($C$7=1,-1,1)   )</f>
        <v>7.8454000000000246E-2</v>
      </c>
      <c r="Z82" s="84">
        <f>IF(   Z81="", "", (Z81 - INDEX(IRS!$B$2:$Y$13, Z$2, MATCH($E81,IRS!$B$1:$Y$1, 0)) ) * IF($C$7=1,-1,1)   )</f>
        <v>0.1549999999999998</v>
      </c>
      <c r="AA82" s="85">
        <f>IF(   AA81="", "", (AA81 - INDEX(IRS!$B$2:$Y$13, AA$2, MATCH($E81,IRS!$B$1:$Y$1, 0)) ) * IF($C$7=1,-1,1)   )</f>
        <v>3.6999999999999922E-2</v>
      </c>
    </row>
    <row r="83" spans="2:27">
      <c r="B83" s="6" t="str">
        <f>_xll.IMDH("IR",$B$76,$C83,$O$9,$F$9,10,"Per=일, sort=D, real=true, Bizday=0, Quote=종가,Pos=40,Orient=H,DtFmt=1.TmFmt=1")</f>
        <v>조회[BONDAVG16]</v>
      </c>
      <c r="C83" s="6" t="s">
        <v>300</v>
      </c>
      <c r="D83" s="45"/>
      <c r="E83" s="51" t="s">
        <v>252</v>
      </c>
      <c r="F83" s="88">
        <v>2.8130000000000002</v>
      </c>
      <c r="G83" s="89">
        <v>2.8210000000000002</v>
      </c>
      <c r="H83" s="89">
        <v>2.8170000000000002</v>
      </c>
      <c r="I83" s="89">
        <v>2.8159999999999998</v>
      </c>
      <c r="J83" s="89">
        <v>2.823</v>
      </c>
      <c r="K83" s="89">
        <v>2.8140000000000001</v>
      </c>
      <c r="L83" s="89">
        <v>2.8159999999999998</v>
      </c>
      <c r="M83" s="89">
        <v>2.8130000000000002</v>
      </c>
      <c r="N83" s="89">
        <v>2.8039999999999998</v>
      </c>
      <c r="O83" s="89">
        <v>2.794</v>
      </c>
      <c r="P83" s="80">
        <f>IF( INDEX(BOND!$B$2:$CH$13, P$2, MATCH($B$76, BOND!$B$16:$CH$16, 0)+MATCH($C83, BOND!$C$18:$N$18,0) )=0,
"",
INDEX(BOND!$B$2:$CH$13, P$2, MATCH($B$76, BOND!$B$16:$CH$16, 0)+MATCH($C83, BOND!$C$18:$N$18,0)) )</f>
        <v>2.8005</v>
      </c>
      <c r="Q83" s="80">
        <f>IF( INDEX(BOND!$B$2:$CH$13, Q$2, MATCH($B$76, BOND!$B$16:$CH$16, 0)+MATCH($C83, BOND!$C$18:$N$18,0) )=0,
"",
INDEX(BOND!$B$2:$CH$13, Q$2, MATCH($B$76, BOND!$B$16:$CH$16, 0)+MATCH($C83, BOND!$C$18:$N$18,0)) )</f>
        <v>2.7679999999999998</v>
      </c>
      <c r="R83" s="80">
        <f>IF( INDEX(BOND!$B$2:$CH$13, R$2, MATCH($B$76, BOND!$B$16:$CH$16, 0)+MATCH($C83, BOND!$C$18:$N$18,0) )=0,
"",
INDEX(BOND!$B$2:$CH$13, R$2, MATCH($B$76, BOND!$B$16:$CH$16, 0)+MATCH($C83, BOND!$C$18:$N$18,0)) )</f>
        <v>2.823</v>
      </c>
      <c r="S83" s="80">
        <f>IF( INDEX(BOND!$B$2:$CH$13, S$2, MATCH($B$76, BOND!$B$16:$CH$16, 0)+MATCH($C83, BOND!$C$18:$N$18,0) )=0,
"",
INDEX(BOND!$B$2:$CH$13, S$2, MATCH($B$76, BOND!$B$16:$CH$16, 0)+MATCH($C83, BOND!$C$18:$N$18,0)) )</f>
        <v>2.8054666666666668</v>
      </c>
      <c r="T83" s="80">
        <f>IF( INDEX(BOND!$B$2:$CH$13, T$2, MATCH($B$76, BOND!$B$16:$CH$16, 0)+MATCH($C83, BOND!$C$18:$N$18,0) )=0,
"",
INDEX(BOND!$B$2:$CH$13, T$2, MATCH($B$76, BOND!$B$16:$CH$16, 0)+MATCH($C83, BOND!$C$18:$N$18,0)) )</f>
        <v>2.7229999999999999</v>
      </c>
      <c r="U83" s="80">
        <f>IF( INDEX(BOND!$B$2:$CH$13, U$2, MATCH($B$76, BOND!$B$16:$CH$16, 0)+MATCH($C83, BOND!$C$18:$N$18,0) )=0,
"",
INDEX(BOND!$B$2:$CH$13, U$2, MATCH($B$76, BOND!$B$16:$CH$16, 0)+MATCH($C83, BOND!$C$18:$N$18,0)) )</f>
        <v>2.9540000000000002</v>
      </c>
      <c r="V83" s="80">
        <f>IF( INDEX(BOND!$B$2:$CH$13, V$2, MATCH($B$76, BOND!$B$16:$CH$16, 0)+MATCH($C83, BOND!$C$18:$N$18,0) )=0,
"",
INDEX(BOND!$B$2:$CH$13, V$2, MATCH($B$76, BOND!$B$16:$CH$16, 0)+MATCH($C83, BOND!$C$18:$N$18,0)) )</f>
        <v>2.9494416666666647</v>
      </c>
      <c r="W83" s="80">
        <f>IF( INDEX(BOND!$B$2:$CH$13, W$2, MATCH($B$76, BOND!$B$16:$CH$16, 0)+MATCH($C83, BOND!$C$18:$N$18,0) )=0,
"",
INDEX(BOND!$B$2:$CH$13, W$2, MATCH($B$76, BOND!$B$16:$CH$16, 0)+MATCH($C83, BOND!$C$18:$N$18,0)) )</f>
        <v>2.7229999999999999</v>
      </c>
      <c r="X83" s="80">
        <f>IF( INDEX(BOND!$B$2:$CH$13, X$2, MATCH($B$76, BOND!$B$16:$CH$16, 0)+MATCH($C83, BOND!$C$18:$N$18,0) )=0,
"",
INDEX(BOND!$B$2:$CH$13, X$2, MATCH($B$76, BOND!$B$16:$CH$16, 0)+MATCH($C83, BOND!$C$18:$N$18,0)) )</f>
        <v>3.2330000000000001</v>
      </c>
      <c r="Y83" s="80">
        <f>IF( INDEX(BOND!$B$2:$CH$13, Y$2, MATCH($B$76, BOND!$B$16:$CH$16, 0)+MATCH($C83, BOND!$C$18:$N$18,0) )=0,
"",
INDEX(BOND!$B$2:$CH$13, Y$2, MATCH($B$76, BOND!$B$16:$CH$16, 0)+MATCH($C83, BOND!$C$18:$N$18,0)) )</f>
        <v>3.1858439999999999</v>
      </c>
      <c r="Z83" s="80">
        <f>IF( INDEX(BOND!$B$2:$CH$13, Z$2, MATCH($B$76, BOND!$B$16:$CH$16, 0)+MATCH($C83, BOND!$C$18:$N$18,0) )=0,
"",
INDEX(BOND!$B$2:$CH$13, Z$2, MATCH($B$76, BOND!$B$16:$CH$16, 0)+MATCH($C83, BOND!$C$18:$N$18,0)) )</f>
        <v>2.7229999999999999</v>
      </c>
      <c r="AA83" s="80">
        <f>IF( INDEX(BOND!$B$2:$CH$13, AA$2, MATCH($B$76, BOND!$B$16:$CH$16, 0)+MATCH($C83, BOND!$C$18:$N$18,0) )=0,
"",
INDEX(BOND!$B$2:$CH$13, AA$2, MATCH($B$76, BOND!$B$16:$CH$16, 0)+MATCH($C83, BOND!$C$18:$N$18,0)) )</f>
        <v>3.665</v>
      </c>
    </row>
    <row r="84" spans="2:27">
      <c r="D84" s="45"/>
      <c r="E84" s="52" t="s">
        <v>267</v>
      </c>
      <c r="F84" s="81">
        <f>IF(F83=0,"",(F83-AD22)*IF($C$7=1,-1,1))</f>
        <v>0.17800000000000038</v>
      </c>
      <c r="G84" s="82">
        <f>IF(G83=0,"",(G83-AE22)*IF($C$7=1,-1,1))</f>
        <v>0.19850000000000012</v>
      </c>
      <c r="H84" s="82">
        <f>IF(H83=0,"",(H83-AF22)*IF($C$7=1,-1,1))</f>
        <v>0.20199999999999996</v>
      </c>
      <c r="I84" s="82">
        <f>IF(I83=0,"",(I83-AG22)*IF($C$7=1,-1,1))</f>
        <v>0.20599999999999996</v>
      </c>
      <c r="J84" s="82">
        <f>IF(J83=0,"",(J83-AH22)*IF($C$7=1,-1,1))</f>
        <v>0.20299999999999985</v>
      </c>
      <c r="K84" s="82">
        <f>IF(K83=0,"",(K83-AI22)*IF($C$7=1,-1,1))</f>
        <v>0.20400000000000018</v>
      </c>
      <c r="L84" s="82">
        <f>IF(L83=0,"",(L83-AJ22)*IF($C$7=1,-1,1))</f>
        <v>0.20599999999999996</v>
      </c>
      <c r="M84" s="82">
        <f>IF(M83=0,"",(M83-AK22)*IF($C$7=1,-1,1))</f>
        <v>0.20800000000000018</v>
      </c>
      <c r="N84" s="82">
        <f>IF(N83=0,"",(N83-AL22)*IF($C$7=1,-1,1))</f>
        <v>0.21399999999999997</v>
      </c>
      <c r="O84" s="82">
        <f>IF(O83=0,"",(O83-AM22)*IF($C$7=1,-1,1))</f>
        <v>0.22150000000000025</v>
      </c>
      <c r="P84" s="83">
        <f>IF(   P83="", "", (P83 - INDEX(IRS!$B$2:$Y$13, P$2, MATCH($E83,IRS!$B$1:$Y$1, 0)) ) * IF($C$7=1,-1,1)   )</f>
        <v>0.19375000000000053</v>
      </c>
      <c r="Q84" s="84">
        <f>IF(   Q83="", "", (Q83 - INDEX(IRS!$B$2:$Y$13, Q$2, MATCH($E83,IRS!$B$1:$Y$1, 0)) ) * IF($C$7=1,-1,1)   )</f>
        <v>0.19550000000000001</v>
      </c>
      <c r="R84" s="85">
        <f>IF(   R83="", "", (R83 - INDEX(IRS!$B$2:$Y$13, R$2, MATCH($E83,IRS!$B$1:$Y$1, 0)) ) * IF($C$7=1,-1,1)   )</f>
        <v>0.18800000000000017</v>
      </c>
      <c r="S84" s="86">
        <f>IF(   S83="", "", (S83 - INDEX(IRS!$B$2:$Y$13, S$2, MATCH($E83,IRS!$B$1:$Y$1, 0)) ) * IF($C$7=1,-1,1)   )</f>
        <v>0.14846666666666763</v>
      </c>
      <c r="T84" s="84">
        <f>IF(   T83="", "", (T83 - INDEX(IRS!$B$2:$Y$13, T$2, MATCH($E83,IRS!$B$1:$Y$1, 0)) ) * IF($C$7=1,-1,1)   )</f>
        <v>0.15050000000000008</v>
      </c>
      <c r="U84" s="87">
        <f>IF(   U83="", "", (U83 - INDEX(IRS!$B$2:$Y$13, U$2, MATCH($E83,IRS!$B$1:$Y$1, 0)) ) * IF($C$7=1,-1,1)   )</f>
        <v>0.15149999999999997</v>
      </c>
      <c r="V84" s="83">
        <f>IF(   V83="", "", (V83 - INDEX(IRS!$B$2:$Y$13, V$2, MATCH($E83,IRS!$B$1:$Y$1, 0)) ) * IF($C$7=1,-1,1)   )</f>
        <v>0.15883749999999841</v>
      </c>
      <c r="W84" s="84">
        <f>IF(   W83="", "", (W83 - INDEX(IRS!$B$2:$Y$13, W$2, MATCH($E83,IRS!$B$1:$Y$1, 0)) ) * IF($C$7=1,-1,1)   )</f>
        <v>0.15050000000000008</v>
      </c>
      <c r="X84" s="85">
        <f>IF(   X83="", "", (X83 - INDEX(IRS!$B$2:$Y$13, X$2, MATCH($E83,IRS!$B$1:$Y$1, 0)) ) * IF($C$7=1,-1,1)   )</f>
        <v>0.13300000000000001</v>
      </c>
      <c r="Y84" s="83">
        <f>IF(   Y83="", "", (Y83 - INDEX(IRS!$B$2:$Y$13, Y$2, MATCH($E83,IRS!$B$1:$Y$1, 0)) ) * IF($C$7=1,-1,1)   )</f>
        <v>0.12401399999999896</v>
      </c>
      <c r="Z84" s="84">
        <f>IF(   Z83="", "", (Z83 - INDEX(IRS!$B$2:$Y$13, Z$2, MATCH($E83,IRS!$B$1:$Y$1, 0)) ) * IF($C$7=1,-1,1)   )</f>
        <v>0.15050000000000008</v>
      </c>
      <c r="AA84" s="85">
        <f>IF(   AA83="", "", (AA83 - INDEX(IRS!$B$2:$Y$13, AA$2, MATCH($E83,IRS!$B$1:$Y$1, 0)) ) * IF($C$7=1,-1,1)   )</f>
        <v>6.4999999999999947E-2</v>
      </c>
    </row>
    <row r="85" spans="2:27">
      <c r="B85" s="6" t="str">
        <f>_xll.IMDH("IR",$B$76,$C85,$O$9,$F$9,10,"Per=일, sort=D, real=true, Bizday=0, Quote=종가,Pos=40,Orient=H,DtFmt=1.TmFmt=1")</f>
        <v>조회[BONDAVG16]</v>
      </c>
      <c r="C85" s="6" t="s">
        <v>301</v>
      </c>
      <c r="D85" s="45"/>
      <c r="E85" s="51" t="s">
        <v>253</v>
      </c>
      <c r="F85" s="88">
        <v>2.782</v>
      </c>
      <c r="G85" s="89">
        <v>2.7730000000000001</v>
      </c>
      <c r="H85" s="89">
        <v>2.7730000000000001</v>
      </c>
      <c r="I85" s="89">
        <v>2.7679999999999998</v>
      </c>
      <c r="J85" s="89">
        <v>2.774</v>
      </c>
      <c r="K85" s="89">
        <v>2.7610000000000001</v>
      </c>
      <c r="L85" s="89">
        <v>2.762</v>
      </c>
      <c r="M85" s="89">
        <v>2.758</v>
      </c>
      <c r="N85" s="89">
        <v>2.7429999999999999</v>
      </c>
      <c r="O85" s="89">
        <v>2.73</v>
      </c>
      <c r="P85" s="80">
        <f>IF( INDEX(BOND!$B$2:$CH$13, P$2, MATCH($B$76, BOND!$B$16:$CH$16, 0)+MATCH($C85, BOND!$C$18:$N$18,0) )=0,
"",
INDEX(BOND!$B$2:$CH$13, P$2, MATCH($B$76, BOND!$B$16:$CH$16, 0)+MATCH($C85, BOND!$C$18:$N$18,0)) )</f>
        <v>2.7519999999999998</v>
      </c>
      <c r="Q85" s="80">
        <f>IF( INDEX(BOND!$B$2:$CH$13, Q$2, MATCH($B$76, BOND!$B$16:$CH$16, 0)+MATCH($C85, BOND!$C$18:$N$18,0) )=0,
"",
INDEX(BOND!$B$2:$CH$13, Q$2, MATCH($B$76, BOND!$B$16:$CH$16, 0)+MATCH($C85, BOND!$C$18:$N$18,0)) )</f>
        <v>2.722</v>
      </c>
      <c r="R85" s="80">
        <f>IF( INDEX(BOND!$B$2:$CH$13, R$2, MATCH($B$76, BOND!$B$16:$CH$16, 0)+MATCH($C85, BOND!$C$18:$N$18,0) )=0,
"",
INDEX(BOND!$B$2:$CH$13, R$2, MATCH($B$76, BOND!$B$16:$CH$16, 0)+MATCH($C85, BOND!$C$18:$N$18,0)) )</f>
        <v>2.782</v>
      </c>
      <c r="S85" s="80">
        <f>IF( INDEX(BOND!$B$2:$CH$13, S$2, MATCH($B$76, BOND!$B$16:$CH$16, 0)+MATCH($C85, BOND!$C$18:$N$18,0) )=0,
"",
INDEX(BOND!$B$2:$CH$13, S$2, MATCH($B$76, BOND!$B$16:$CH$16, 0)+MATCH($C85, BOND!$C$18:$N$18,0)) )</f>
        <v>2.778433333333334</v>
      </c>
      <c r="T85" s="80">
        <f>IF( INDEX(BOND!$B$2:$CH$13, T$2, MATCH($B$76, BOND!$B$16:$CH$16, 0)+MATCH($C85, BOND!$C$18:$N$18,0) )=0,
"",
INDEX(BOND!$B$2:$CH$13, T$2, MATCH($B$76, BOND!$B$16:$CH$16, 0)+MATCH($C85, BOND!$C$18:$N$18,0)) )</f>
        <v>2.7210000000000001</v>
      </c>
      <c r="U85" s="80">
        <f>IF( INDEX(BOND!$B$2:$CH$13, U$2, MATCH($B$76, BOND!$B$16:$CH$16, 0)+MATCH($C85, BOND!$C$18:$N$18,0) )=0,
"",
INDEX(BOND!$B$2:$CH$13, U$2, MATCH($B$76, BOND!$B$16:$CH$16, 0)+MATCH($C85, BOND!$C$18:$N$18,0)) )</f>
        <v>2.9670000000000001</v>
      </c>
      <c r="V85" s="80">
        <f>IF( INDEX(BOND!$B$2:$CH$13, V$2, MATCH($B$76, BOND!$B$16:$CH$16, 0)+MATCH($C85, BOND!$C$18:$N$18,0) )=0,
"",
INDEX(BOND!$B$2:$CH$13, V$2, MATCH($B$76, BOND!$B$16:$CH$16, 0)+MATCH($C85, BOND!$C$18:$N$18,0)) )</f>
        <v>2.919775</v>
      </c>
      <c r="W85" s="80">
        <f>IF( INDEX(BOND!$B$2:$CH$13, W$2, MATCH($B$76, BOND!$B$16:$CH$16, 0)+MATCH($C85, BOND!$C$18:$N$18,0) )=0,
"",
INDEX(BOND!$B$2:$CH$13, W$2, MATCH($B$76, BOND!$B$16:$CH$16, 0)+MATCH($C85, BOND!$C$18:$N$18,0)) )</f>
        <v>2.7210000000000001</v>
      </c>
      <c r="X85" s="80">
        <f>IF( INDEX(BOND!$B$2:$CH$13, X$2, MATCH($B$76, BOND!$B$16:$CH$16, 0)+MATCH($C85, BOND!$C$18:$N$18,0) )=0,
"",
INDEX(BOND!$B$2:$CH$13, X$2, MATCH($B$76, BOND!$B$16:$CH$16, 0)+MATCH($C85, BOND!$C$18:$N$18,0)) )</f>
        <v>3.202</v>
      </c>
      <c r="Y85" s="80">
        <f>IF( INDEX(BOND!$B$2:$CH$13, Y$2, MATCH($B$76, BOND!$B$16:$CH$16, 0)+MATCH($C85, BOND!$C$18:$N$18,0) )=0,
"",
INDEX(BOND!$B$2:$CH$13, Y$2, MATCH($B$76, BOND!$B$16:$CH$16, 0)+MATCH($C85, BOND!$C$18:$N$18,0)) )</f>
        <v>3.1545519999999994</v>
      </c>
      <c r="Z85" s="80">
        <f>IF( INDEX(BOND!$B$2:$CH$13, Z$2, MATCH($B$76, BOND!$B$16:$CH$16, 0)+MATCH($C85, BOND!$C$18:$N$18,0) )=0,
"",
INDEX(BOND!$B$2:$CH$13, Z$2, MATCH($B$76, BOND!$B$16:$CH$16, 0)+MATCH($C85, BOND!$C$18:$N$18,0)) )</f>
        <v>2.7210000000000001</v>
      </c>
      <c r="AA85" s="80">
        <f>IF( INDEX(BOND!$B$2:$CH$13, AA$2, MATCH($B$76, BOND!$B$16:$CH$16, 0)+MATCH($C85, BOND!$C$18:$N$18,0) )=0,
"",
INDEX(BOND!$B$2:$CH$13, AA$2, MATCH($B$76, BOND!$B$16:$CH$16, 0)+MATCH($C85, BOND!$C$18:$N$18,0)) )</f>
        <v>3.665</v>
      </c>
    </row>
    <row r="86" spans="2:27">
      <c r="D86" s="45"/>
      <c r="E86" s="52" t="s">
        <v>267</v>
      </c>
      <c r="F86" s="81">
        <f>IF(F85=0,"",(F85-AD24)*IF($C$7=1,-1,1))</f>
        <v>0.17200000000000015</v>
      </c>
      <c r="G86" s="82">
        <f>IF(G85=0,"",(G85-AE24)*IF($C$7=1,-1,1))</f>
        <v>0.17549999999999999</v>
      </c>
      <c r="H86" s="82">
        <f>IF(H85=0,"",(H85-AF24)*IF($C$7=1,-1,1))</f>
        <v>0.18550000000000022</v>
      </c>
      <c r="I86" s="82">
        <f>IF(I85=0,"",(I85-AG24)*IF($C$7=1,-1,1))</f>
        <v>0.19049999999999967</v>
      </c>
      <c r="J86" s="82">
        <f>IF(J85=0,"",(J85-AH24)*IF($C$7=1,-1,1))</f>
        <v>0.18900000000000006</v>
      </c>
      <c r="K86" s="82">
        <f>IF(K85=0,"",(K85-AI24)*IF($C$7=1,-1,1))</f>
        <v>0.19100000000000028</v>
      </c>
      <c r="L86" s="82">
        <f>IF(L85=0,"",(L85-AJ24)*IF($C$7=1,-1,1))</f>
        <v>0.19200000000000017</v>
      </c>
      <c r="M86" s="82">
        <f>IF(M85=0,"",(M85-AK24)*IF($C$7=1,-1,1))</f>
        <v>0.19050000000000011</v>
      </c>
      <c r="N86" s="82">
        <f>IF(N85=0,"",(N85-AL24)*IF($C$7=1,-1,1))</f>
        <v>0.19550000000000001</v>
      </c>
      <c r="O86" s="82">
        <f>IF(O85=0,"",(O85-AM24)*IF($C$7=1,-1,1))</f>
        <v>0.20000000000000018</v>
      </c>
      <c r="P86" s="83">
        <f>IF(   P85="", "", (P85 - INDEX(IRS!$B$2:$Y$13, P$2, MATCH($E85,IRS!$B$1:$Y$1, 0)) ) * IF($C$7=1,-1,1)   )</f>
        <v>0.17749999999999977</v>
      </c>
      <c r="Q86" s="84">
        <f>IF(   Q85="", "", (Q85 - INDEX(IRS!$B$2:$Y$13, Q$2, MATCH($E85,IRS!$B$1:$Y$1, 0)) ) * IF($C$7=1,-1,1)   )</f>
        <v>0.19200000000000017</v>
      </c>
      <c r="R86" s="85">
        <f>IF(   R85="", "", (R85 - INDEX(IRS!$B$2:$Y$13, R$2, MATCH($E85,IRS!$B$1:$Y$1, 0)) ) * IF($C$7=1,-1,1)   )</f>
        <v>0.17200000000000015</v>
      </c>
      <c r="S86" s="86">
        <f>IF(   S85="", "", (S85 - INDEX(IRS!$B$2:$Y$13, S$2, MATCH($E85,IRS!$B$1:$Y$1, 0)) ) * IF($C$7=1,-1,1)   )</f>
        <v>0.15272500000000067</v>
      </c>
      <c r="T86" s="84">
        <f>IF(   T85="", "", (T85 - INDEX(IRS!$B$2:$Y$13, T$2, MATCH($E85,IRS!$B$1:$Y$1, 0)) ) * IF($C$7=1,-1,1)   )</f>
        <v>0.19100000000000028</v>
      </c>
      <c r="U86" s="87">
        <f>IF(   U85="", "", (U85 - INDEX(IRS!$B$2:$Y$13, U$2, MATCH($E85,IRS!$B$1:$Y$1, 0)) ) * IF($C$7=1,-1,1)   )</f>
        <v>0.19200000000000017</v>
      </c>
      <c r="V86" s="83">
        <f>IF(   V85="", "", (V85 - INDEX(IRS!$B$2:$Y$13, V$2, MATCH($E85,IRS!$B$1:$Y$1, 0)) ) * IF($C$7=1,-1,1)   )</f>
        <v>0.1710875000000005</v>
      </c>
      <c r="W86" s="84">
        <f>IF(   W85="", "", (W85 - INDEX(IRS!$B$2:$Y$13, W$2, MATCH($E85,IRS!$B$1:$Y$1, 0)) ) * IF($C$7=1,-1,1)   )</f>
        <v>0.19100000000000028</v>
      </c>
      <c r="X86" s="85">
        <f>IF(   X85="", "", (X85 - INDEX(IRS!$B$2:$Y$13, X$2, MATCH($E85,IRS!$B$1:$Y$1, 0)) ) * IF($C$7=1,-1,1)   )</f>
        <v>0.15200000000000014</v>
      </c>
      <c r="Y86" s="83">
        <f>IF(   Y85="", "", (Y85 - INDEX(IRS!$B$2:$Y$13, Y$2, MATCH($E85,IRS!$B$1:$Y$1, 0)) ) * IF($C$7=1,-1,1)   )</f>
        <v>0.1448319999999983</v>
      </c>
      <c r="Z86" s="84">
        <f>IF(   Z85="", "", (Z85 - INDEX(IRS!$B$2:$Y$13, Z$2, MATCH($E85,IRS!$B$1:$Y$1, 0)) ) * IF($C$7=1,-1,1)   )</f>
        <v>0.19100000000000028</v>
      </c>
      <c r="AA86" s="85">
        <f>IF(   AA85="", "", (AA85 - INDEX(IRS!$B$2:$Y$13, AA$2, MATCH($E85,IRS!$B$1:$Y$1, 0)) ) * IF($C$7=1,-1,1)   )</f>
        <v>8.4999999999999964E-2</v>
      </c>
    </row>
    <row r="87" spans="2:27">
      <c r="B87" s="6" t="str">
        <f>_xll.IMDH("IR",$B$76,$C87,$O$9,$F$9,10,"Per=일, sort=D, real=true, Bizday=0, Quote=종가,Pos=40,Orient=H,DtFmt=1.TmFmt=1")</f>
        <v>조회[BONDAVG16]</v>
      </c>
      <c r="C87" s="6" t="s">
        <v>302</v>
      </c>
      <c r="D87" s="45"/>
      <c r="E87" s="51" t="s">
        <v>254</v>
      </c>
      <c r="F87" s="88">
        <v>2.774</v>
      </c>
      <c r="G87" s="89">
        <v>2.766</v>
      </c>
      <c r="H87" s="89">
        <v>2.7589999999999999</v>
      </c>
      <c r="I87" s="89">
        <v>2.766</v>
      </c>
      <c r="J87" s="89">
        <v>2.7850000000000001</v>
      </c>
      <c r="K87" s="89">
        <v>2.7690000000000001</v>
      </c>
      <c r="L87" s="89">
        <v>2.766</v>
      </c>
      <c r="M87" s="89">
        <v>2.7559999999999998</v>
      </c>
      <c r="N87" s="89">
        <v>2.7349999999999999</v>
      </c>
      <c r="O87" s="89">
        <v>2.7130000000000001</v>
      </c>
      <c r="P87" s="80">
        <f>IF( INDEX(BOND!$B$2:$CH$13, P$2, MATCH($B$76, BOND!$B$16:$CH$16, 0)+MATCH($C87, BOND!$C$18:$N$18,0) )=0,
"",
INDEX(BOND!$B$2:$CH$13, P$2, MATCH($B$76, BOND!$B$16:$CH$16, 0)+MATCH($C87, BOND!$C$18:$N$18,0)) )</f>
        <v>2.7504500000000003</v>
      </c>
      <c r="Q87" s="80">
        <f>IF( INDEX(BOND!$B$2:$CH$13, Q$2, MATCH($B$76, BOND!$B$16:$CH$16, 0)+MATCH($C87, BOND!$C$18:$N$18,0) )=0,
"",
INDEX(BOND!$B$2:$CH$13, Q$2, MATCH($B$76, BOND!$B$16:$CH$16, 0)+MATCH($C87, BOND!$C$18:$N$18,0)) )</f>
        <v>2.7069999999999999</v>
      </c>
      <c r="R87" s="80">
        <f>IF( INDEX(BOND!$B$2:$CH$13, R$2, MATCH($B$76, BOND!$B$16:$CH$16, 0)+MATCH($C87, BOND!$C$18:$N$18,0) )=0,
"",
INDEX(BOND!$B$2:$CH$13, R$2, MATCH($B$76, BOND!$B$16:$CH$16, 0)+MATCH($C87, BOND!$C$18:$N$18,0)) )</f>
        <v>2.7850000000000001</v>
      </c>
      <c r="S87" s="80">
        <f>IF( INDEX(BOND!$B$2:$CH$13, S$2, MATCH($B$76, BOND!$B$16:$CH$16, 0)+MATCH($C87, BOND!$C$18:$N$18,0) )=0,
"",
INDEX(BOND!$B$2:$CH$13, S$2, MATCH($B$76, BOND!$B$16:$CH$16, 0)+MATCH($C87, BOND!$C$18:$N$18,0)) )</f>
        <v>2.7723166666666677</v>
      </c>
      <c r="T87" s="80">
        <f>IF( INDEX(BOND!$B$2:$CH$13, T$2, MATCH($B$76, BOND!$B$16:$CH$16, 0)+MATCH($C87, BOND!$C$18:$N$18,0) )=0,
"",
INDEX(BOND!$B$2:$CH$13, T$2, MATCH($B$76, BOND!$B$16:$CH$16, 0)+MATCH($C87, BOND!$C$18:$N$18,0)) )</f>
        <v>2.6960000000000002</v>
      </c>
      <c r="U87" s="80">
        <f>IF( INDEX(BOND!$B$2:$CH$13, U$2, MATCH($B$76, BOND!$B$16:$CH$16, 0)+MATCH($C87, BOND!$C$18:$N$18,0) )=0,
"",
INDEX(BOND!$B$2:$CH$13, U$2, MATCH($B$76, BOND!$B$16:$CH$16, 0)+MATCH($C87, BOND!$C$18:$N$18,0)) )</f>
        <v>2.899</v>
      </c>
      <c r="V87" s="80">
        <f>IF( INDEX(BOND!$B$2:$CH$13, V$2, MATCH($B$76, BOND!$B$16:$CH$16, 0)+MATCH($C87, BOND!$C$18:$N$18,0) )=0,
"",
INDEX(BOND!$B$2:$CH$13, V$2, MATCH($B$76, BOND!$B$16:$CH$16, 0)+MATCH($C87, BOND!$C$18:$N$18,0)) )</f>
        <v>2.8784416666666663</v>
      </c>
      <c r="W87" s="80">
        <f>IF( INDEX(BOND!$B$2:$CH$13, W$2, MATCH($B$76, BOND!$B$16:$CH$16, 0)+MATCH($C87, BOND!$C$18:$N$18,0) )=0,
"",
INDEX(BOND!$B$2:$CH$13, W$2, MATCH($B$76, BOND!$B$16:$CH$16, 0)+MATCH($C87, BOND!$C$18:$N$18,0)) )</f>
        <v>2.6960000000000002</v>
      </c>
      <c r="X87" s="80">
        <f>IF( INDEX(BOND!$B$2:$CH$13, X$2, MATCH($B$76, BOND!$B$16:$CH$16, 0)+MATCH($C87, BOND!$C$18:$N$18,0) )=0,
"",
INDEX(BOND!$B$2:$CH$13, X$2, MATCH($B$76, BOND!$B$16:$CH$16, 0)+MATCH($C87, BOND!$C$18:$N$18,0)) )</f>
        <v>3.137</v>
      </c>
      <c r="Y87" s="80">
        <f>IF( INDEX(BOND!$B$2:$CH$13, Y$2, MATCH($B$76, BOND!$B$16:$CH$16, 0)+MATCH($C87, BOND!$C$18:$N$18,0) )=0,
"",
INDEX(BOND!$B$2:$CH$13, Y$2, MATCH($B$76, BOND!$B$16:$CH$16, 0)+MATCH($C87, BOND!$C$18:$N$18,0)) )</f>
        <v>3.1171679999999991</v>
      </c>
      <c r="Z87" s="80">
        <f>IF( INDEX(BOND!$B$2:$CH$13, Z$2, MATCH($B$76, BOND!$B$16:$CH$16, 0)+MATCH($C87, BOND!$C$18:$N$18,0) )=0,
"",
INDEX(BOND!$B$2:$CH$13, Z$2, MATCH($B$76, BOND!$B$16:$CH$16, 0)+MATCH($C87, BOND!$C$18:$N$18,0)) )</f>
        <v>2.6960000000000002</v>
      </c>
      <c r="AA87" s="80">
        <f>IF( INDEX(BOND!$B$2:$CH$13, AA$2, MATCH($B$76, BOND!$B$16:$CH$16, 0)+MATCH($C87, BOND!$C$18:$N$18,0) )=0,
"",
INDEX(BOND!$B$2:$CH$13, AA$2, MATCH($B$76, BOND!$B$16:$CH$16, 0)+MATCH($C87, BOND!$C$18:$N$18,0)) )</f>
        <v>3.6669999999999998</v>
      </c>
    </row>
    <row r="88" spans="2:27">
      <c r="D88" s="45"/>
      <c r="E88" s="52" t="s">
        <v>267</v>
      </c>
      <c r="F88" s="81">
        <f>IF(F87=0,"",(F87-AD26)*IF($C$7=1,-1,1))</f>
        <v>0.17899999999999983</v>
      </c>
      <c r="G88" s="82">
        <f>IF(G87=0,"",(G87-AE26)*IF($C$7=1,-1,1))</f>
        <v>0.1835</v>
      </c>
      <c r="H88" s="82">
        <f>IF(H87=0,"",(H87-AF26)*IF($C$7=1,-1,1))</f>
        <v>0.18650000000000011</v>
      </c>
      <c r="I88" s="82">
        <f>IF(I87=0,"",(I87-AG26)*IF($C$7=1,-1,1))</f>
        <v>0.20350000000000001</v>
      </c>
      <c r="J88" s="82">
        <f>IF(J87=0,"",(J87-AH26)*IF($C$7=1,-1,1))</f>
        <v>0.2150000000000003</v>
      </c>
      <c r="K88" s="82">
        <f>IF(K87=0,"",(K87-AI26)*IF($C$7=1,-1,1))</f>
        <v>0.21649999999999991</v>
      </c>
      <c r="L88" s="82">
        <f>IF(L87=0,"",(L87-AJ26)*IF($C$7=1,-1,1))</f>
        <v>0.21099999999999985</v>
      </c>
      <c r="M88" s="82">
        <f>IF(M87=0,"",(M87-AK26)*IF($C$7=1,-1,1))</f>
        <v>0.20349999999999957</v>
      </c>
      <c r="N88" s="82">
        <f>IF(N87=0,"",(N87-AL26)*IF($C$7=1,-1,1))</f>
        <v>0.20249999999999968</v>
      </c>
      <c r="O88" s="82">
        <f>IF(O87=0,"",(O87-AM26)*IF($C$7=1,-1,1))</f>
        <v>0.2004999999999999</v>
      </c>
      <c r="P88" s="83">
        <f>IF(   P87="", "", (P87 - INDEX(IRS!$B$2:$Y$13, P$2, MATCH($E87,IRS!$B$1:$Y$1, 0)) ) * IF($C$7=1,-1,1)   )</f>
        <v>0.19132499999999952</v>
      </c>
      <c r="Q88" s="84">
        <f>IF(   Q87="", "", (Q87 - INDEX(IRS!$B$2:$Y$13, Q$2, MATCH($E87,IRS!$B$1:$Y$1, 0)) ) * IF($C$7=1,-1,1)   )</f>
        <v>0.19449999999999967</v>
      </c>
      <c r="R88" s="85">
        <f>IF(   R87="", "", (R87 - INDEX(IRS!$B$2:$Y$13, R$2, MATCH($E87,IRS!$B$1:$Y$1, 0)) ) * IF($C$7=1,-1,1)   )</f>
        <v>0.18500000000000005</v>
      </c>
      <c r="S88" s="86">
        <f>IF(   S87="", "", (S87 - INDEX(IRS!$B$2:$Y$13, S$2, MATCH($E87,IRS!$B$1:$Y$1, 0)) ) * IF($C$7=1,-1,1)   )</f>
        <v>0.16252500000000047</v>
      </c>
      <c r="T88" s="84">
        <f>IF(   T87="", "", (T87 - INDEX(IRS!$B$2:$Y$13, T$2, MATCH($E87,IRS!$B$1:$Y$1, 0)) ) * IF($C$7=1,-1,1)   )</f>
        <v>0.1835</v>
      </c>
      <c r="U88" s="87">
        <f>IF(   U87="", "", (U87 - INDEX(IRS!$B$2:$Y$13, U$2, MATCH($E87,IRS!$B$1:$Y$1, 0)) ) * IF($C$7=1,-1,1)   )</f>
        <v>0.15399999999999991</v>
      </c>
      <c r="V88" s="83">
        <f>IF(   V87="", "", (V87 - INDEX(IRS!$B$2:$Y$13, V$2, MATCH($E87,IRS!$B$1:$Y$1, 0)) ) * IF($C$7=1,-1,1)   )</f>
        <v>0.16250416666666556</v>
      </c>
      <c r="W88" s="84">
        <f>IF(   W87="", "", (W87 - INDEX(IRS!$B$2:$Y$13, W$2, MATCH($E87,IRS!$B$1:$Y$1, 0)) ) * IF($C$7=1,-1,1)   )</f>
        <v>0.1835</v>
      </c>
      <c r="X88" s="85">
        <f>IF(   X87="", "", (X87 - INDEX(IRS!$B$2:$Y$13, X$2, MATCH($E87,IRS!$B$1:$Y$1, 0)) ) * IF($C$7=1,-1,1)   )</f>
        <v>0.12199999999999989</v>
      </c>
      <c r="Y88" s="83">
        <f>IF(   Y87="", "", (Y87 - INDEX(IRS!$B$2:$Y$13, Y$2, MATCH($E87,IRS!$B$1:$Y$1, 0)) ) * IF($C$7=1,-1,1)   )</f>
        <v>0.1573479999999976</v>
      </c>
      <c r="Z88" s="84">
        <f>IF(   Z87="", "", (Z87 - INDEX(IRS!$B$2:$Y$13, Z$2, MATCH($E87,IRS!$B$1:$Y$1, 0)) ) * IF($C$7=1,-1,1)   )</f>
        <v>0.1835</v>
      </c>
      <c r="AA88" s="85">
        <f>IF(   AA87="", "", (AA87 - INDEX(IRS!$B$2:$Y$13, AA$2, MATCH($E87,IRS!$B$1:$Y$1, 0)) ) * IF($C$7=1,-1,1)   )</f>
        <v>0.10699999999999976</v>
      </c>
    </row>
    <row r="89" spans="2:27">
      <c r="B89" s="6" t="str">
        <f>_xll.IMDH("IR",$B$76,$C89,$O$9,$F$9,10,"Per=일, sort=D, real=true, Bizday=0, Quote=종가,Pos=40,Orient=H,DtFmt=1.TmFmt=1")</f>
        <v>조회[BONDAVG16]</v>
      </c>
      <c r="C89" s="6" t="s">
        <v>239</v>
      </c>
      <c r="D89" s="53"/>
      <c r="E89" s="51" t="s">
        <v>255</v>
      </c>
      <c r="F89" s="88">
        <v>2.79</v>
      </c>
      <c r="G89" s="89">
        <v>2.774</v>
      </c>
      <c r="H89" s="89">
        <v>2.7629999999999999</v>
      </c>
      <c r="I89" s="89">
        <v>2.7639999999999998</v>
      </c>
      <c r="J89" s="89">
        <v>2.7770000000000001</v>
      </c>
      <c r="K89" s="89">
        <v>2.7679999999999998</v>
      </c>
      <c r="L89" s="89">
        <v>2.7650000000000001</v>
      </c>
      <c r="M89" s="89">
        <v>2.7549999999999999</v>
      </c>
      <c r="N89" s="89">
        <v>2.7389999999999999</v>
      </c>
      <c r="O89" s="89">
        <v>2.7229999999999999</v>
      </c>
      <c r="P89" s="80">
        <f>IF( INDEX(BOND!$B$2:$CH$13, P$2, MATCH($B$76, BOND!$B$16:$CH$16, 0)+MATCH($C89, BOND!$C$18:$N$18,0) )=0,
"",
INDEX(BOND!$B$2:$CH$13, P$2, MATCH($B$76, BOND!$B$16:$CH$16, 0)+MATCH($C89, BOND!$C$18:$N$18,0)) )</f>
        <v>2.7566499999999996</v>
      </c>
      <c r="Q89" s="80">
        <f>IF( INDEX(BOND!$B$2:$CH$13, Q$2, MATCH($B$76, BOND!$B$16:$CH$16, 0)+MATCH($C89, BOND!$C$18:$N$18,0) )=0,
"",
INDEX(BOND!$B$2:$CH$13, Q$2, MATCH($B$76, BOND!$B$16:$CH$16, 0)+MATCH($C89, BOND!$C$18:$N$18,0)) )</f>
        <v>2.7149999999999999</v>
      </c>
      <c r="R89" s="80">
        <f>IF( INDEX(BOND!$B$2:$CH$13, R$2, MATCH($B$76, BOND!$B$16:$CH$16, 0)+MATCH($C89, BOND!$C$18:$N$18,0) )=0,
"",
INDEX(BOND!$B$2:$CH$13, R$2, MATCH($B$76, BOND!$B$16:$CH$16, 0)+MATCH($C89, BOND!$C$18:$N$18,0)) )</f>
        <v>2.79</v>
      </c>
      <c r="S89" s="80">
        <f>IF( INDEX(BOND!$B$2:$CH$13, S$2, MATCH($B$76, BOND!$B$16:$CH$16, 0)+MATCH($C89, BOND!$C$18:$N$18,0) )=0,
"",
INDEX(BOND!$B$2:$CH$13, S$2, MATCH($B$76, BOND!$B$16:$CH$16, 0)+MATCH($C89, BOND!$C$18:$N$18,0)) )</f>
        <v>2.8061500000000015</v>
      </c>
      <c r="T89" s="80">
        <f>IF( INDEX(BOND!$B$2:$CH$13, T$2, MATCH($B$76, BOND!$B$16:$CH$16, 0)+MATCH($C89, BOND!$C$18:$N$18,0) )=0,
"",
INDEX(BOND!$B$2:$CH$13, T$2, MATCH($B$76, BOND!$B$16:$CH$16, 0)+MATCH($C89, BOND!$C$18:$N$18,0)) )</f>
        <v>2.7149999999999999</v>
      </c>
      <c r="U89" s="80">
        <f>IF( INDEX(BOND!$B$2:$CH$13, U$2, MATCH($B$76, BOND!$B$16:$CH$16, 0)+MATCH($C89, BOND!$C$18:$N$18,0) )=0,
"",
INDEX(BOND!$B$2:$CH$13, U$2, MATCH($B$76, BOND!$B$16:$CH$16, 0)+MATCH($C89, BOND!$C$18:$N$18,0)) )</f>
        <v>2.9910000000000001</v>
      </c>
      <c r="V89" s="80">
        <f>IF( INDEX(BOND!$B$2:$CH$13, V$2, MATCH($B$76, BOND!$B$16:$CH$16, 0)+MATCH($C89, BOND!$C$18:$N$18,0) )=0,
"",
INDEX(BOND!$B$2:$CH$13, V$2, MATCH($B$76, BOND!$B$16:$CH$16, 0)+MATCH($C89, BOND!$C$18:$N$18,0)) )</f>
        <v>2.9112166666666672</v>
      </c>
      <c r="W89" s="80">
        <f>IF( INDEX(BOND!$B$2:$CH$13, W$2, MATCH($B$76, BOND!$B$16:$CH$16, 0)+MATCH($C89, BOND!$C$18:$N$18,0) )=0,
"",
INDEX(BOND!$B$2:$CH$13, W$2, MATCH($B$76, BOND!$B$16:$CH$16, 0)+MATCH($C89, BOND!$C$18:$N$18,0)) )</f>
        <v>2.7149999999999999</v>
      </c>
      <c r="X89" s="80">
        <f>IF( INDEX(BOND!$B$2:$CH$13, X$2, MATCH($B$76, BOND!$B$16:$CH$16, 0)+MATCH($C89, BOND!$C$18:$N$18,0) )=0,
"",
INDEX(BOND!$B$2:$CH$13, X$2, MATCH($B$76, BOND!$B$16:$CH$16, 0)+MATCH($C89, BOND!$C$18:$N$18,0)) )</f>
        <v>3.18</v>
      </c>
      <c r="Y89" s="80">
        <f>IF( INDEX(BOND!$B$2:$CH$13, Y$2, MATCH($B$76, BOND!$B$16:$CH$16, 0)+MATCH($C89, BOND!$C$18:$N$18,0) )=0,
"",
INDEX(BOND!$B$2:$CH$13, Y$2, MATCH($B$76, BOND!$B$16:$CH$16, 0)+MATCH($C89, BOND!$C$18:$N$18,0)) )</f>
        <v>3.1398320000000002</v>
      </c>
      <c r="Z89" s="80">
        <f>IF( INDEX(BOND!$B$2:$CH$13, Z$2, MATCH($B$76, BOND!$B$16:$CH$16, 0)+MATCH($C89, BOND!$C$18:$N$18,0) )=0,
"",
INDEX(BOND!$B$2:$CH$13, Z$2, MATCH($B$76, BOND!$B$16:$CH$16, 0)+MATCH($C89, BOND!$C$18:$N$18,0)) )</f>
        <v>2.7149999999999999</v>
      </c>
      <c r="AA89" s="80">
        <f>IF( INDEX(BOND!$B$2:$CH$13, AA$2, MATCH($B$76, BOND!$B$16:$CH$16, 0)+MATCH($C89, BOND!$C$18:$N$18,0) )=0,
"",
INDEX(BOND!$B$2:$CH$13, AA$2, MATCH($B$76, BOND!$B$16:$CH$16, 0)+MATCH($C89, BOND!$C$18:$N$18,0)) )</f>
        <v>3.72</v>
      </c>
    </row>
    <row r="90" spans="2:27">
      <c r="D90" s="53"/>
      <c r="E90" s="52" t="s">
        <v>267</v>
      </c>
      <c r="F90" s="81">
        <f>IF(F89=0,"",(F89-AD28)*IF($C$7=1,-1,1))</f>
        <v>0.1875</v>
      </c>
      <c r="G90" s="82">
        <f>IF(G89=0,"",(G89-AE28)*IF($C$7=1,-1,1))</f>
        <v>0.18150000000000022</v>
      </c>
      <c r="H90" s="82">
        <f>IF(H89=0,"",(H89-AF28)*IF($C$7=1,-1,1))</f>
        <v>0.17799999999999994</v>
      </c>
      <c r="I90" s="82">
        <f>IF(I89=0,"",(I89-AG28)*IF($C$7=1,-1,1))</f>
        <v>0.18899999999999961</v>
      </c>
      <c r="J90" s="82">
        <f>IF(J89=0,"",(J89-AH28)*IF($C$7=1,-1,1))</f>
        <v>0.19200000000000017</v>
      </c>
      <c r="K90" s="82">
        <f>IF(K89=0,"",(K89-AI28)*IF($C$7=1,-1,1))</f>
        <v>0.20549999999999979</v>
      </c>
      <c r="L90" s="82">
        <f>IF(L89=0,"",(L89-AJ28)*IF($C$7=1,-1,1))</f>
        <v>0.19500000000000028</v>
      </c>
      <c r="M90" s="82">
        <f>IF(M89=0,"",(M89-AK28)*IF($C$7=1,-1,1))</f>
        <v>0.18250000000000011</v>
      </c>
      <c r="N90" s="82">
        <f>IF(N89=0,"",(N89-AL28)*IF($C$7=1,-1,1))</f>
        <v>0.1915</v>
      </c>
      <c r="O90" s="82">
        <f>IF(O89=0,"",(O89-AM28)*IF($C$7=1,-1,1))</f>
        <v>0.19550000000000001</v>
      </c>
      <c r="P90" s="83">
        <f>IF(   P89="", "", (P89 - INDEX(IRS!$B$2:$Y$13, P$2, MATCH($E89,IRS!$B$1:$Y$1, 0)) ) * IF($C$7=1,-1,1)   )</f>
        <v>0.18477499999999925</v>
      </c>
      <c r="Q90" s="84">
        <f>IF(   Q89="", "", (Q89 - INDEX(IRS!$B$2:$Y$13, Q$2, MATCH($E89,IRS!$B$1:$Y$1, 0)) ) * IF($C$7=1,-1,1)   )</f>
        <v>0.1875</v>
      </c>
      <c r="R90" s="85">
        <f>IF(   R89="", "", (R89 - INDEX(IRS!$B$2:$Y$13, R$2, MATCH($E89,IRS!$B$1:$Y$1, 0)) ) * IF($C$7=1,-1,1)   )</f>
        <v>0.17499999999999982</v>
      </c>
      <c r="S90" s="86">
        <f>IF(   S89="", "", (S89 - INDEX(IRS!$B$2:$Y$13, S$2, MATCH($E89,IRS!$B$1:$Y$1, 0)) ) * IF($C$7=1,-1,1)   )</f>
        <v>0.18044166666666817</v>
      </c>
      <c r="T90" s="84">
        <f>IF(   T89="", "", (T89 - INDEX(IRS!$B$2:$Y$13, T$2, MATCH($E89,IRS!$B$1:$Y$1, 0)) ) * IF($C$7=1,-1,1)   )</f>
        <v>0.1875</v>
      </c>
      <c r="U90" s="87">
        <f>IF(   U89="", "", (U89 - INDEX(IRS!$B$2:$Y$13, U$2, MATCH($E89,IRS!$B$1:$Y$1, 0)) ) * IF($C$7=1,-1,1)   )</f>
        <v>0.23600000000000021</v>
      </c>
      <c r="V90" s="83">
        <f>IF(   V89="", "", (V89 - INDEX(IRS!$B$2:$Y$13, V$2, MATCH($E89,IRS!$B$1:$Y$1, 0)) ) * IF($C$7=1,-1,1)   )</f>
        <v>0.19184166666666869</v>
      </c>
      <c r="W90" s="84">
        <f>IF(   W89="", "", (W89 - INDEX(IRS!$B$2:$Y$13, W$2, MATCH($E89,IRS!$B$1:$Y$1, 0)) ) * IF($C$7=1,-1,1)   )</f>
        <v>0.19499999999999984</v>
      </c>
      <c r="X90" s="85">
        <f>IF(   X89="", "", (X89 - INDEX(IRS!$B$2:$Y$13, X$2, MATCH($E89,IRS!$B$1:$Y$1, 0)) ) * IF($C$7=1,-1,1)   )</f>
        <v>0.16500000000000004</v>
      </c>
      <c r="Y90" s="83">
        <f>IF(   Y89="", "", (Y89 - INDEX(IRS!$B$2:$Y$13, Y$2, MATCH($E89,IRS!$B$1:$Y$1, 0)) ) * IF($C$7=1,-1,1)   )</f>
        <v>0.18997200000000181</v>
      </c>
      <c r="Z90" s="84">
        <f>IF(   Z89="", "", (Z89 - INDEX(IRS!$B$2:$Y$13, Z$2, MATCH($E89,IRS!$B$1:$Y$1, 0)) ) * IF($C$7=1,-1,1)   )</f>
        <v>0.19499999999999984</v>
      </c>
      <c r="AA90" s="85">
        <f>IF(   AA89="", "", (AA89 - INDEX(IRS!$B$2:$Y$13, AA$2, MATCH($E89,IRS!$B$1:$Y$1, 0)) ) * IF($C$7=1,-1,1)   )</f>
        <v>0.15500000000000025</v>
      </c>
    </row>
    <row r="91" spans="2:27">
      <c r="B91" s="6" t="str">
        <f>_xll.IMDH("IR",$B$76,$C91,$O$9,$F$9,10,"Per=일, sort=D, real=true, Bizday=0, Quote=종가,Pos=40,Orient=H,DtFmt=1.TmFmt=1")</f>
        <v>조회[BONDAVG16]</v>
      </c>
      <c r="C91" s="6" t="s">
        <v>241</v>
      </c>
      <c r="D91" s="53"/>
      <c r="E91" s="51" t="s">
        <v>256</v>
      </c>
      <c r="F91" s="88">
        <v>2.9159999999999999</v>
      </c>
      <c r="G91" s="89">
        <v>2.903</v>
      </c>
      <c r="H91" s="89">
        <v>2.8769999999999998</v>
      </c>
      <c r="I91" s="89">
        <v>2.8879999999999999</v>
      </c>
      <c r="J91" s="89">
        <v>2.8879999999999999</v>
      </c>
      <c r="K91" s="89">
        <v>2.867</v>
      </c>
      <c r="L91" s="89">
        <v>2.8540000000000001</v>
      </c>
      <c r="M91" s="89">
        <v>2.855</v>
      </c>
      <c r="N91" s="89">
        <v>2.843</v>
      </c>
      <c r="O91" s="89">
        <v>2.8290000000000002</v>
      </c>
      <c r="P91" s="80">
        <f>IF( INDEX(BOND!$B$2:$CH$13, P$2, MATCH($B$76, BOND!$B$16:$CH$16, 0)+MATCH($C91, BOND!$C$18:$N$18,0) )=0,
"",
INDEX(BOND!$B$2:$CH$13, P$2, MATCH($B$76, BOND!$B$16:$CH$16, 0)+MATCH($C91, BOND!$C$18:$N$18,0)) )</f>
        <v>2.8592000000000004</v>
      </c>
      <c r="Q91" s="80">
        <f>IF( INDEX(BOND!$B$2:$CH$13, Q$2, MATCH($B$76, BOND!$B$16:$CH$16, 0)+MATCH($C91, BOND!$C$18:$N$18,0) )=0,
"",
INDEX(BOND!$B$2:$CH$13, Q$2, MATCH($B$76, BOND!$B$16:$CH$16, 0)+MATCH($C91, BOND!$C$18:$N$18,0)) )</f>
        <v>2.8050000000000002</v>
      </c>
      <c r="R91" s="80">
        <f>IF( INDEX(BOND!$B$2:$CH$13, R$2, MATCH($B$76, BOND!$B$16:$CH$16, 0)+MATCH($C91, BOND!$C$18:$N$18,0) )=0,
"",
INDEX(BOND!$B$2:$CH$13, R$2, MATCH($B$76, BOND!$B$16:$CH$16, 0)+MATCH($C91, BOND!$C$18:$N$18,0)) )</f>
        <v>2.9159999999999999</v>
      </c>
      <c r="S91" s="80">
        <f>IF( INDEX(BOND!$B$2:$CH$13, S$2, MATCH($B$76, BOND!$B$16:$CH$16, 0)+MATCH($C91, BOND!$C$18:$N$18,0) )=0,
"",
INDEX(BOND!$B$2:$CH$13, S$2, MATCH($B$76, BOND!$B$16:$CH$16, 0)+MATCH($C91, BOND!$C$18:$N$18,0)) )</f>
        <v>2.8935833333333334</v>
      </c>
      <c r="T91" s="80">
        <f>IF( INDEX(BOND!$B$2:$CH$13, T$2, MATCH($B$76, BOND!$B$16:$CH$16, 0)+MATCH($C91, BOND!$C$18:$N$18,0) )=0,
"",
INDEX(BOND!$B$2:$CH$13, T$2, MATCH($B$76, BOND!$B$16:$CH$16, 0)+MATCH($C91, BOND!$C$18:$N$18,0)) )</f>
        <v>2.8050000000000002</v>
      </c>
      <c r="U91" s="80">
        <f>IF( INDEX(BOND!$B$2:$CH$13, U$2, MATCH($B$76, BOND!$B$16:$CH$16, 0)+MATCH($C91, BOND!$C$18:$N$18,0) )=0,
"",
INDEX(BOND!$B$2:$CH$13, U$2, MATCH($B$76, BOND!$B$16:$CH$16, 0)+MATCH($C91, BOND!$C$18:$N$18,0)) )</f>
        <v>3.0419999999999998</v>
      </c>
      <c r="V91" s="80">
        <f>IF( INDEX(BOND!$B$2:$CH$13, V$2, MATCH($B$76, BOND!$B$16:$CH$16, 0)+MATCH($C91, BOND!$C$18:$N$18,0) )=0,
"",
INDEX(BOND!$B$2:$CH$13, V$2, MATCH($B$76, BOND!$B$16:$CH$16, 0)+MATCH($C91, BOND!$C$18:$N$18,0)) )</f>
        <v>2.9797250000000015</v>
      </c>
      <c r="W91" s="80">
        <f>IF( INDEX(BOND!$B$2:$CH$13, W$2, MATCH($B$76, BOND!$B$16:$CH$16, 0)+MATCH($C91, BOND!$C$18:$N$18,0) )=0,
"",
INDEX(BOND!$B$2:$CH$13, W$2, MATCH($B$76, BOND!$B$16:$CH$16, 0)+MATCH($C91, BOND!$C$18:$N$18,0)) )</f>
        <v>2.7839999999999998</v>
      </c>
      <c r="X91" s="80">
        <f>IF( INDEX(BOND!$B$2:$CH$13, X$2, MATCH($B$76, BOND!$B$16:$CH$16, 0)+MATCH($C91, BOND!$C$18:$N$18,0) )=0,
"",
INDEX(BOND!$B$2:$CH$13, X$2, MATCH($B$76, BOND!$B$16:$CH$16, 0)+MATCH($C91, BOND!$C$18:$N$18,0)) )</f>
        <v>3.22</v>
      </c>
      <c r="Y91" s="80">
        <f>IF( INDEX(BOND!$B$2:$CH$13, Y$2, MATCH($B$76, BOND!$B$16:$CH$16, 0)+MATCH($C91, BOND!$C$18:$N$18,0) )=0,
"",
INDEX(BOND!$B$2:$CH$13, Y$2, MATCH($B$76, BOND!$B$16:$CH$16, 0)+MATCH($C91, BOND!$C$18:$N$18,0)) )</f>
        <v>3.1938720000000016</v>
      </c>
      <c r="Z91" s="80">
        <f>IF( INDEX(BOND!$B$2:$CH$13, Z$2, MATCH($B$76, BOND!$B$16:$CH$16, 0)+MATCH($C91, BOND!$C$18:$N$18,0) )=0,
"",
INDEX(BOND!$B$2:$CH$13, Z$2, MATCH($B$76, BOND!$B$16:$CH$16, 0)+MATCH($C91, BOND!$C$18:$N$18,0)) )</f>
        <v>2.7839999999999998</v>
      </c>
      <c r="AA91" s="80">
        <f>IF( INDEX(BOND!$B$2:$CH$13, AA$2, MATCH($B$76, BOND!$B$16:$CH$16, 0)+MATCH($C91, BOND!$C$18:$N$18,0) )=0,
"",
INDEX(BOND!$B$2:$CH$13, AA$2, MATCH($B$76, BOND!$B$16:$CH$16, 0)+MATCH($C91, BOND!$C$18:$N$18,0)) )</f>
        <v>3.8</v>
      </c>
    </row>
    <row r="92" spans="2:27">
      <c r="D92" s="53"/>
      <c r="E92" s="52" t="s">
        <v>267</v>
      </c>
      <c r="F92" s="81">
        <f>IF(F91=0,"",(F91-AD30)*IF($C$7=1,-1,1))</f>
        <v>0.3035000000000001</v>
      </c>
      <c r="G92" s="82">
        <f>IF(G91=0,"",(G91-AE30)*IF($C$7=1,-1,1))</f>
        <v>0.30049999999999999</v>
      </c>
      <c r="H92" s="82">
        <f>IF(H91=0,"",(H91-AF30)*IF($C$7=1,-1,1))</f>
        <v>0.28199999999999958</v>
      </c>
      <c r="I92" s="82">
        <f>IF(I91=0,"",(I91-AG30)*IF($C$7=1,-1,1))</f>
        <v>0.30549999999999988</v>
      </c>
      <c r="J92" s="82">
        <f>IF(J91=0,"",(J91-AH30)*IF($C$7=1,-1,1))</f>
        <v>0.2955000000000001</v>
      </c>
      <c r="K92" s="82">
        <f>IF(K91=0,"",(K91-AI30)*IF($C$7=1,-1,1))</f>
        <v>0.29450000000000021</v>
      </c>
      <c r="L92" s="82">
        <f>IF(L91=0,"",(L91-AJ30)*IF($C$7=1,-1,1))</f>
        <v>0.27150000000000007</v>
      </c>
      <c r="M92" s="82">
        <f>IF(M91=0,"",(M91-AK30)*IF($C$7=1,-1,1))</f>
        <v>0.27</v>
      </c>
      <c r="N92" s="82">
        <f>IF(N91=0,"",(N91-AL30)*IF($C$7=1,-1,1))</f>
        <v>0.28549999999999986</v>
      </c>
      <c r="O92" s="82">
        <f>IF(O91=0,"",(O91-AM30)*IF($C$7=1,-1,1))</f>
        <v>0.29150000000000009</v>
      </c>
      <c r="P92" s="83">
        <f>IF(   P91="", "", (P91 - INDEX(IRS!$B$2:$Y$13, P$2, MATCH($E91,IRS!$B$1:$Y$1, 0)) ) * IF($C$7=1,-1,1)   )</f>
        <v>0.27907500000000063</v>
      </c>
      <c r="Q92" s="84">
        <f>IF(   Q91="", "", (Q91 - INDEX(IRS!$B$2:$Y$13, Q$2, MATCH($E91,IRS!$B$1:$Y$1, 0)) ) * IF($C$7=1,-1,1)   )</f>
        <v>0.27</v>
      </c>
      <c r="R92" s="85">
        <f>IF(   R91="", "", (R91 - INDEX(IRS!$B$2:$Y$13, R$2, MATCH($E91,IRS!$B$1:$Y$1, 0)) ) * IF($C$7=1,-1,1)   )</f>
        <v>0.29099999999999993</v>
      </c>
      <c r="S92" s="86">
        <f>IF(   S91="", "", (S91 - INDEX(IRS!$B$2:$Y$13, S$2, MATCH($E91,IRS!$B$1:$Y$1, 0)) ) * IF($C$7=1,-1,1)   )</f>
        <v>0.25925000000000065</v>
      </c>
      <c r="T92" s="84">
        <f>IF(   T91="", "", (T91 - INDEX(IRS!$B$2:$Y$13, T$2, MATCH($E91,IRS!$B$1:$Y$1, 0)) ) * IF($C$7=1,-1,1)   )</f>
        <v>0.27</v>
      </c>
      <c r="U92" s="87">
        <f>IF(   U91="", "", (U91 - INDEX(IRS!$B$2:$Y$13, U$2, MATCH($E91,IRS!$B$1:$Y$1, 0)) ) * IF($C$7=1,-1,1)   )</f>
        <v>0.28200000000000003</v>
      </c>
      <c r="V92" s="83">
        <f>IF(   V91="", "", (V91 - INDEX(IRS!$B$2:$Y$13, V$2, MATCH($E91,IRS!$B$1:$Y$1, 0)) ) * IF($C$7=1,-1,1)   )</f>
        <v>0.25830833333333558</v>
      </c>
      <c r="W92" s="84">
        <f>IF(   W91="", "", (W91 - INDEX(IRS!$B$2:$Y$13, W$2, MATCH($E91,IRS!$B$1:$Y$1, 0)) ) * IF($C$7=1,-1,1)   )</f>
        <v>0.27649999999999997</v>
      </c>
      <c r="X92" s="85">
        <f>IF(   X91="", "", (X91 - INDEX(IRS!$B$2:$Y$13, X$2, MATCH($E91,IRS!$B$1:$Y$1, 0)) ) * IF($C$7=1,-1,1)   )</f>
        <v>0.20000000000000018</v>
      </c>
      <c r="Y92" s="83">
        <f>IF(   Y91="", "", (Y91 - INDEX(IRS!$B$2:$Y$13, Y$2, MATCH($E91,IRS!$B$1:$Y$1, 0)) ) * IF($C$7=1,-1,1)   )</f>
        <v>0.24905200000000383</v>
      </c>
      <c r="Z92" s="84">
        <f>IF(   Z91="", "", (Z91 - INDEX(IRS!$B$2:$Y$13, Z$2, MATCH($E91,IRS!$B$1:$Y$1, 0)) ) * IF($C$7=1,-1,1)   )</f>
        <v>0.27649999999999997</v>
      </c>
      <c r="AA92" s="85">
        <f>IF(   AA91="", "", (AA91 - INDEX(IRS!$B$2:$Y$13, AA$2, MATCH($E91,IRS!$B$1:$Y$1, 0)) ) * IF($C$7=1,-1,1)   )</f>
        <v>0.22750000000000004</v>
      </c>
    </row>
    <row r="93" spans="2:27">
      <c r="C93" s="6">
        <v>62</v>
      </c>
      <c r="D93" s="45"/>
      <c r="E93" s="56" t="s">
        <v>225</v>
      </c>
      <c r="F93" s="63">
        <f>F$9</f>
        <v>45741</v>
      </c>
      <c r="G93" s="65">
        <f t="shared" ref="G93:N93" si="4">G$9</f>
        <v>45740</v>
      </c>
      <c r="H93" s="65">
        <f t="shared" si="4"/>
        <v>45737</v>
      </c>
      <c r="I93" s="65">
        <f t="shared" si="4"/>
        <v>45736</v>
      </c>
      <c r="J93" s="65">
        <f t="shared" si="4"/>
        <v>45735</v>
      </c>
      <c r="K93" s="65">
        <f t="shared" si="4"/>
        <v>45734</v>
      </c>
      <c r="L93" s="65">
        <f t="shared" si="4"/>
        <v>45733</v>
      </c>
      <c r="M93" s="65">
        <f t="shared" si="4"/>
        <v>45730</v>
      </c>
      <c r="N93" s="61">
        <f t="shared" si="4"/>
        <v>45729</v>
      </c>
      <c r="O93" s="59">
        <f>O$9</f>
        <v>45728</v>
      </c>
      <c r="P93" s="68" t="str">
        <f>$P$13</f>
        <v>20D</v>
      </c>
      <c r="Q93" s="68"/>
      <c r="R93" s="68"/>
      <c r="S93" s="68" t="str">
        <f>$S$13</f>
        <v>60D</v>
      </c>
      <c r="T93" s="68"/>
      <c r="U93" s="68"/>
      <c r="V93" s="68" t="str">
        <f>$V$13</f>
        <v>120D</v>
      </c>
      <c r="W93" s="68"/>
      <c r="X93" s="68"/>
      <c r="Y93" s="68" t="str">
        <f>$Y$13</f>
        <v>250D</v>
      </c>
      <c r="Z93" s="68"/>
      <c r="AA93" s="68"/>
    </row>
    <row r="94" spans="2:27">
      <c r="B94" s="6" t="str">
        <f>INDEX(code_list,$C93,1)</f>
        <v>BONDAVG58</v>
      </c>
      <c r="C94" s="6" t="str">
        <f>INDEX(name_list,$C93,1)</f>
        <v>회사채AA-(공모/무보증)</v>
      </c>
      <c r="D94" s="45"/>
      <c r="E94" s="57"/>
      <c r="F94" s="64"/>
      <c r="G94" s="66"/>
      <c r="H94" s="66"/>
      <c r="I94" s="66"/>
      <c r="J94" s="66"/>
      <c r="K94" s="66"/>
      <c r="L94" s="66"/>
      <c r="M94" s="66"/>
      <c r="N94" s="62"/>
      <c r="O94" s="60"/>
      <c r="P94" s="55" t="s">
        <v>21</v>
      </c>
      <c r="Q94" s="55" t="s">
        <v>22</v>
      </c>
      <c r="R94" s="55" t="s">
        <v>23</v>
      </c>
      <c r="S94" s="55" t="s">
        <v>21</v>
      </c>
      <c r="T94" s="55" t="s">
        <v>22</v>
      </c>
      <c r="U94" s="55" t="s">
        <v>23</v>
      </c>
      <c r="V94" s="55" t="s">
        <v>21</v>
      </c>
      <c r="W94" s="55" t="s">
        <v>22</v>
      </c>
      <c r="X94" s="55" t="s">
        <v>23</v>
      </c>
      <c r="Y94" s="55" t="s">
        <v>21</v>
      </c>
      <c r="Z94" s="55" t="s">
        <v>22</v>
      </c>
      <c r="AA94" s="55" t="s">
        <v>23</v>
      </c>
    </row>
    <row r="95" spans="2:27">
      <c r="B95" s="6" t="str">
        <f>_xll.IMDH("IR",$B$94,$C95,$O$9,$F$9,10,"Per=일, sort=D, real=true, Bizday=0, Quote=종가,Pos=40,Orient=H,DtFmt=1.TmFmt=1")</f>
        <v>조회[BONDAVG58]</v>
      </c>
      <c r="C95" s="6" t="s">
        <v>297</v>
      </c>
      <c r="D95" s="45"/>
      <c r="E95" s="51" t="s">
        <v>249</v>
      </c>
      <c r="F95" s="88">
        <v>3.0510000000000002</v>
      </c>
      <c r="G95" s="89">
        <v>3.056</v>
      </c>
      <c r="H95" s="89">
        <v>3.0510000000000002</v>
      </c>
      <c r="I95" s="89">
        <v>3.0510000000000002</v>
      </c>
      <c r="J95" s="89">
        <v>3.052</v>
      </c>
      <c r="K95" s="89">
        <v>3.0539999999999998</v>
      </c>
      <c r="L95" s="89">
        <v>3.056</v>
      </c>
      <c r="M95" s="89">
        <v>3.0579999999999998</v>
      </c>
      <c r="N95" s="89">
        <v>3.0579999999999998</v>
      </c>
      <c r="O95" s="89">
        <v>3.0529999999999999</v>
      </c>
      <c r="P95" s="80">
        <f>IF( INDEX(BOND!$B$2:$CH$13, P$2, MATCH($B$94, BOND!$B$16:$CH$16, 0)+MATCH($C95, BOND!$C$18:$N$18,0) )=0,
"",
INDEX(BOND!$B$2:$CH$13, P$2, MATCH($B$94, BOND!$B$16:$CH$16, 0)+MATCH($C95, BOND!$C$18:$N$18,0)) )</f>
        <v>3.0693499999999996</v>
      </c>
      <c r="Q95" s="80">
        <f>IF( INDEX(BOND!$B$2:$CH$13, Q$2, MATCH($B$94, BOND!$B$16:$CH$16, 0)+MATCH($C95, BOND!$C$18:$N$18,0) )=0,
"",
INDEX(BOND!$B$2:$CH$13, Q$2, MATCH($B$94, BOND!$B$16:$CH$16, 0)+MATCH($C95, BOND!$C$18:$N$18,0)) )</f>
        <v>3.0510000000000002</v>
      </c>
      <c r="R95" s="80">
        <f>IF( INDEX(BOND!$B$2:$CH$13, R$2, MATCH($B$94, BOND!$B$16:$CH$16, 0)+MATCH($C95, BOND!$C$18:$N$18,0) )=0,
"",
INDEX(BOND!$B$2:$CH$13, R$2, MATCH($B$94, BOND!$B$16:$CH$16, 0)+MATCH($C95, BOND!$C$18:$N$18,0)) )</f>
        <v>3.1080000000000001</v>
      </c>
      <c r="S95" s="80">
        <f>IF( INDEX(BOND!$B$2:$CH$13, S$2, MATCH($B$94, BOND!$B$16:$CH$16, 0)+MATCH($C95, BOND!$C$18:$N$18,0) )=0,
"",
INDEX(BOND!$B$2:$CH$13, S$2, MATCH($B$94, BOND!$B$16:$CH$16, 0)+MATCH($C95, BOND!$C$18:$N$18,0)) )</f>
        <v>3.1908000000000003</v>
      </c>
      <c r="T95" s="80">
        <f>IF( INDEX(BOND!$B$2:$CH$13, T$2, MATCH($B$94, BOND!$B$16:$CH$16, 0)+MATCH($C95, BOND!$C$18:$N$18,0) )=0,
"",
INDEX(BOND!$B$2:$CH$13, T$2, MATCH($B$94, BOND!$B$16:$CH$16, 0)+MATCH($C95, BOND!$C$18:$N$18,0)) )</f>
        <v>3.0510000000000002</v>
      </c>
      <c r="U95" s="80">
        <f>IF( INDEX(BOND!$B$2:$CH$13, U$2, MATCH($B$94, BOND!$B$16:$CH$16, 0)+MATCH($C95, BOND!$C$18:$N$18,0) )=0,
"",
INDEX(BOND!$B$2:$CH$13, U$2, MATCH($B$94, BOND!$B$16:$CH$16, 0)+MATCH($C95, BOND!$C$18:$N$18,0)) )</f>
        <v>3.4359999999999999</v>
      </c>
      <c r="V95" s="80">
        <f>IF( INDEX(BOND!$B$2:$CH$13, V$2, MATCH($B$94, BOND!$B$16:$CH$16, 0)+MATCH($C95, BOND!$C$18:$N$18,0) )=0,
"",
INDEX(BOND!$B$2:$CH$13, V$2, MATCH($B$94, BOND!$B$16:$CH$16, 0)+MATCH($C95, BOND!$C$18:$N$18,0)) )</f>
        <v>3.3205666666666667</v>
      </c>
      <c r="W95" s="80">
        <f>IF( INDEX(BOND!$B$2:$CH$13, W$2, MATCH($B$94, BOND!$B$16:$CH$16, 0)+MATCH($C95, BOND!$C$18:$N$18,0) )=0,
"",
INDEX(BOND!$B$2:$CH$13, W$2, MATCH($B$94, BOND!$B$16:$CH$16, 0)+MATCH($C95, BOND!$C$18:$N$18,0)) )</f>
        <v>3.0510000000000002</v>
      </c>
      <c r="X95" s="80">
        <f>IF( INDEX(BOND!$B$2:$CH$13, X$2, MATCH($B$94, BOND!$B$16:$CH$16, 0)+MATCH($C95, BOND!$C$18:$N$18,0) )=0,
"",
INDEX(BOND!$B$2:$CH$13, X$2, MATCH($B$94, BOND!$B$16:$CH$16, 0)+MATCH($C95, BOND!$C$18:$N$18,0)) )</f>
        <v>3.4980000000000002</v>
      </c>
      <c r="Y95" s="80">
        <f>IF( INDEX(BOND!$B$2:$CH$13, Y$2, MATCH($B$94, BOND!$B$16:$CH$16, 0)+MATCH($C95, BOND!$C$18:$N$18,0) )=0,
"",
INDEX(BOND!$B$2:$CH$13, Y$2, MATCH($B$94, BOND!$B$16:$CH$16, 0)+MATCH($C95, BOND!$C$18:$N$18,0)) )</f>
        <v>3.4697880000000025</v>
      </c>
      <c r="Z95" s="80">
        <f>IF( INDEX(BOND!$B$2:$CH$13, Z$2, MATCH($B$94, BOND!$B$16:$CH$16, 0)+MATCH($C95, BOND!$C$18:$N$18,0) )=0,
"",
INDEX(BOND!$B$2:$CH$13, Z$2, MATCH($B$94, BOND!$B$16:$CH$16, 0)+MATCH($C95, BOND!$C$18:$N$18,0)) )</f>
        <v>3.0510000000000002</v>
      </c>
      <c r="AA95" s="80">
        <f>IF( INDEX(BOND!$B$2:$CH$13, AA$2, MATCH($B$94, BOND!$B$16:$CH$16, 0)+MATCH($C95, BOND!$C$18:$N$18,0) )=0,
"",
INDEX(BOND!$B$2:$CH$13, AA$2, MATCH($B$94, BOND!$B$16:$CH$16, 0)+MATCH($C95, BOND!$C$18:$N$18,0)) )</f>
        <v>3.762</v>
      </c>
    </row>
    <row r="96" spans="2:27">
      <c r="D96" s="45"/>
      <c r="E96" s="52" t="s">
        <v>267</v>
      </c>
      <c r="F96" s="81">
        <f>IF(F95=0,"",(F95-AD16)*IF($C$7=1,-1,1))</f>
        <v>0.27850000000000019</v>
      </c>
      <c r="G96" s="82">
        <f>IF(G95=0,"",(G95-AE16)*IF($C$7=1,-1,1))</f>
        <v>0.29099999999999993</v>
      </c>
      <c r="H96" s="82">
        <f>IF(H95=0,"",(H95-AF16)*IF($C$7=1,-1,1))</f>
        <v>0.28849999999999998</v>
      </c>
      <c r="I96" s="82">
        <f>IF(I95=0,"",(I95-AG16)*IF($C$7=1,-1,1))</f>
        <v>0.29100000000000037</v>
      </c>
      <c r="J96" s="82">
        <f>IF(J95=0,"",(J95-AH16)*IF($C$7=1,-1,1))</f>
        <v>0.28449999999999998</v>
      </c>
      <c r="K96" s="82">
        <f>IF(K95=0,"",(K95-AI16)*IF($C$7=1,-1,1))</f>
        <v>0.2889999999999997</v>
      </c>
      <c r="L96" s="82">
        <f>IF(L95=0,"",(L95-AJ16)*IF($C$7=1,-1,1))</f>
        <v>0.29099999999999993</v>
      </c>
      <c r="M96" s="82">
        <f>IF(M95=0,"",(M95-AK16)*IF($C$7=1,-1,1))</f>
        <v>0.29800000000000004</v>
      </c>
      <c r="N96" s="82">
        <f>IF(N95=0,"",(N95-AL16)*IF($C$7=1,-1,1))</f>
        <v>0.30049999999999999</v>
      </c>
      <c r="O96" s="82">
        <f>IF(O95=0,"",(O95-AM16)*IF($C$7=1,-1,1))</f>
        <v>0.30799999999999983</v>
      </c>
      <c r="P96" s="83">
        <f>IF(   P95="", "", (P95 - INDEX(IRS!$B$2:$Y$13, P$2, MATCH($E95,IRS!$B$1:$Y$1, 0)) ) * IF($C$7=1,-1,1)   )</f>
        <v>0.30359999999999943</v>
      </c>
      <c r="Q96" s="84">
        <f>IF(   Q95="", "", (Q95 - INDEX(IRS!$B$2:$Y$13, Q$2, MATCH($E95,IRS!$B$1:$Y$1, 0)) ) * IF($C$7=1,-1,1)   )</f>
        <v>0.30600000000000005</v>
      </c>
      <c r="R96" s="85">
        <f>IF(   R95="", "", (R95 - INDEX(IRS!$B$2:$Y$13, R$2, MATCH($E95,IRS!$B$1:$Y$1, 0)) ) * IF($C$7=1,-1,1)   )</f>
        <v>0.30800000000000027</v>
      </c>
      <c r="S96" s="86">
        <f>IF(   S95="", "", (S95 - INDEX(IRS!$B$2:$Y$13, S$2, MATCH($E95,IRS!$B$1:$Y$1, 0)) ) * IF($C$7=1,-1,1)   )</f>
        <v>0.3129249999999999</v>
      </c>
      <c r="T96" s="84">
        <f>IF(   T95="", "", (T95 - INDEX(IRS!$B$2:$Y$13, T$2, MATCH($E95,IRS!$B$1:$Y$1, 0)) ) * IF($C$7=1,-1,1)   )</f>
        <v>0.30600000000000005</v>
      </c>
      <c r="U96" s="87">
        <f>IF(   U95="", "", (U95 - INDEX(IRS!$B$2:$Y$13, U$2, MATCH($E95,IRS!$B$1:$Y$1, 0)) ) * IF($C$7=1,-1,1)   )</f>
        <v>0.24849999999999994</v>
      </c>
      <c r="V96" s="83">
        <f>IF(   V95="", "", (V95 - INDEX(IRS!$B$2:$Y$13, V$2, MATCH($E95,IRS!$B$1:$Y$1, 0)) ) * IF($C$7=1,-1,1)   )</f>
        <v>0.25592083333333226</v>
      </c>
      <c r="W96" s="84">
        <f>IF(   W95="", "", (W95 - INDEX(IRS!$B$2:$Y$13, W$2, MATCH($E95,IRS!$B$1:$Y$1, 0)) ) * IF($C$7=1,-1,1)   )</f>
        <v>0.30600000000000005</v>
      </c>
      <c r="X96" s="85">
        <f>IF(   X95="", "", (X95 - INDEX(IRS!$B$2:$Y$13, X$2, MATCH($E95,IRS!$B$1:$Y$1, 0)) ) * IF($C$7=1,-1,1)   )</f>
        <v>8.5500000000000131E-2</v>
      </c>
      <c r="Y96" s="83">
        <f>IF(   Y95="", "", (Y95 - INDEX(IRS!$B$2:$Y$13, Y$2, MATCH($E95,IRS!$B$1:$Y$1, 0)) ) * IF($C$7=1,-1,1)   )</f>
        <v>0.16999800000000054</v>
      </c>
      <c r="Z96" s="84">
        <f>IF(   Z95="", "", (Z95 - INDEX(IRS!$B$2:$Y$13, Z$2, MATCH($E95,IRS!$B$1:$Y$1, 0)) ) * IF($C$7=1,-1,1)   )</f>
        <v>0.30600000000000005</v>
      </c>
      <c r="AA96" s="85">
        <f>IF(   AA95="", "", (AA95 - INDEX(IRS!$B$2:$Y$13, AA$2, MATCH($E95,IRS!$B$1:$Y$1, 0)) ) * IF($C$7=1,-1,1)   )</f>
        <v>0.12449999999999983</v>
      </c>
    </row>
    <row r="97" spans="2:27">
      <c r="B97" s="6" t="str">
        <f>_xll.IMDH("IR",$B$94,$C97,$O$9,$F$9,10,"Per=일, sort=D, real=true, Bizday=0, Quote=종가,Pos=40,Orient=H,DtFmt=1.TmFmt=1")</f>
        <v>조회[BONDAVG58]</v>
      </c>
      <c r="C97" s="6" t="s">
        <v>298</v>
      </c>
      <c r="D97" s="45"/>
      <c r="E97" s="51" t="s">
        <v>250</v>
      </c>
      <c r="F97" s="88">
        <v>3.0569999999999999</v>
      </c>
      <c r="G97" s="89">
        <v>3.0609999999999999</v>
      </c>
      <c r="H97" s="89">
        <v>3.0539999999999998</v>
      </c>
      <c r="I97" s="89">
        <v>3.0489999999999999</v>
      </c>
      <c r="J97" s="89">
        <v>3.0510000000000002</v>
      </c>
      <c r="K97" s="89">
        <v>3.0510000000000002</v>
      </c>
      <c r="L97" s="89">
        <v>3.0539999999999998</v>
      </c>
      <c r="M97" s="89">
        <v>3.052</v>
      </c>
      <c r="N97" s="89">
        <v>3.0510000000000002</v>
      </c>
      <c r="O97" s="89">
        <v>3.0459999999999998</v>
      </c>
      <c r="P97" s="80">
        <f>IF( INDEX(BOND!$B$2:$CH$13, P$2, MATCH($B$94, BOND!$B$16:$CH$16, 0)+MATCH($C97, BOND!$C$18:$N$18,0) )=0,
"",
INDEX(BOND!$B$2:$CH$13, P$2, MATCH($B$94, BOND!$B$16:$CH$16, 0)+MATCH($C97, BOND!$C$18:$N$18,0)) )</f>
        <v>3.0546000000000002</v>
      </c>
      <c r="Q97" s="80">
        <f>IF( INDEX(BOND!$B$2:$CH$13, Q$2, MATCH($B$94, BOND!$B$16:$CH$16, 0)+MATCH($C97, BOND!$C$18:$N$18,0) )=0,
"",
INDEX(BOND!$B$2:$CH$13, Q$2, MATCH($B$94, BOND!$B$16:$CH$16, 0)+MATCH($C97, BOND!$C$18:$N$18,0)) )</f>
        <v>3.0459999999999998</v>
      </c>
      <c r="R97" s="80">
        <f>IF( INDEX(BOND!$B$2:$CH$13, R$2, MATCH($B$94, BOND!$B$16:$CH$16, 0)+MATCH($C97, BOND!$C$18:$N$18,0) )=0,
"",
INDEX(BOND!$B$2:$CH$13, R$2, MATCH($B$94, BOND!$B$16:$CH$16, 0)+MATCH($C97, BOND!$C$18:$N$18,0)) )</f>
        <v>3.0630000000000002</v>
      </c>
      <c r="S97" s="80">
        <f>IF( INDEX(BOND!$B$2:$CH$13, S$2, MATCH($B$94, BOND!$B$16:$CH$16, 0)+MATCH($C97, BOND!$C$18:$N$18,0) )=0,
"",
INDEX(BOND!$B$2:$CH$13, S$2, MATCH($B$94, BOND!$B$16:$CH$16, 0)+MATCH($C97, BOND!$C$18:$N$18,0)) )</f>
        <v>3.1316333333333328</v>
      </c>
      <c r="T97" s="80">
        <f>IF( INDEX(BOND!$B$2:$CH$13, T$2, MATCH($B$94, BOND!$B$16:$CH$16, 0)+MATCH($C97, BOND!$C$18:$N$18,0) )=0,
"",
INDEX(BOND!$B$2:$CH$13, T$2, MATCH($B$94, BOND!$B$16:$CH$16, 0)+MATCH($C97, BOND!$C$18:$N$18,0)) )</f>
        <v>3.0459999999999998</v>
      </c>
      <c r="U97" s="80">
        <f>IF( INDEX(BOND!$B$2:$CH$13, U$2, MATCH($B$94, BOND!$B$16:$CH$16, 0)+MATCH($C97, BOND!$C$18:$N$18,0) )=0,
"",
INDEX(BOND!$B$2:$CH$13, U$2, MATCH($B$94, BOND!$B$16:$CH$16, 0)+MATCH($C97, BOND!$C$18:$N$18,0)) )</f>
        <v>3.3290000000000002</v>
      </c>
      <c r="V97" s="80">
        <f>IF( INDEX(BOND!$B$2:$CH$13, V$2, MATCH($B$94, BOND!$B$16:$CH$16, 0)+MATCH($C97, BOND!$C$18:$N$18,0) )=0,
"",
INDEX(BOND!$B$2:$CH$13, V$2, MATCH($B$94, BOND!$B$16:$CH$16, 0)+MATCH($C97, BOND!$C$18:$N$18,0)) )</f>
        <v>3.2529416666666648</v>
      </c>
      <c r="W97" s="80">
        <f>IF( INDEX(BOND!$B$2:$CH$13, W$2, MATCH($B$94, BOND!$B$16:$CH$16, 0)+MATCH($C97, BOND!$C$18:$N$18,0) )=0,
"",
INDEX(BOND!$B$2:$CH$13, W$2, MATCH($B$94, BOND!$B$16:$CH$16, 0)+MATCH($C97, BOND!$C$18:$N$18,0)) )</f>
        <v>3.0459999999999998</v>
      </c>
      <c r="X97" s="80">
        <f>IF( INDEX(BOND!$B$2:$CH$13, X$2, MATCH($B$94, BOND!$B$16:$CH$16, 0)+MATCH($C97, BOND!$C$18:$N$18,0) )=0,
"",
INDEX(BOND!$B$2:$CH$13, X$2, MATCH($B$94, BOND!$B$16:$CH$16, 0)+MATCH($C97, BOND!$C$18:$N$18,0)) )</f>
        <v>3.4430000000000001</v>
      </c>
      <c r="Y97" s="80">
        <f>IF( INDEX(BOND!$B$2:$CH$13, Y$2, MATCH($B$94, BOND!$B$16:$CH$16, 0)+MATCH($C97, BOND!$C$18:$N$18,0) )=0,
"",
INDEX(BOND!$B$2:$CH$13, Y$2, MATCH($B$94, BOND!$B$16:$CH$16, 0)+MATCH($C97, BOND!$C$18:$N$18,0)) )</f>
        <v>3.4355319999999971</v>
      </c>
      <c r="Z97" s="80">
        <f>IF( INDEX(BOND!$B$2:$CH$13, Z$2, MATCH($B$94, BOND!$B$16:$CH$16, 0)+MATCH($C97, BOND!$C$18:$N$18,0) )=0,
"",
INDEX(BOND!$B$2:$CH$13, Z$2, MATCH($B$94, BOND!$B$16:$CH$16, 0)+MATCH($C97, BOND!$C$18:$N$18,0)) )</f>
        <v>3.0459999999999998</v>
      </c>
      <c r="AA97" s="80">
        <f>IF( INDEX(BOND!$B$2:$CH$13, AA$2, MATCH($B$94, BOND!$B$16:$CH$16, 0)+MATCH($C97, BOND!$C$18:$N$18,0) )=0,
"",
INDEX(BOND!$B$2:$CH$13, AA$2, MATCH($B$94, BOND!$B$16:$CH$16, 0)+MATCH($C97, BOND!$C$18:$N$18,0)) )</f>
        <v>3.778</v>
      </c>
    </row>
    <row r="98" spans="2:27">
      <c r="D98" s="45"/>
      <c r="E98" s="52" t="s">
        <v>267</v>
      </c>
      <c r="F98" s="81">
        <f>IF(F97=0,"",(F97-AD18)*IF($C$7=1,-1,1))</f>
        <v>0.34450000000000003</v>
      </c>
      <c r="G98" s="82">
        <f>IF(G97=0,"",(G97-AE18)*IF($C$7=1,-1,1))</f>
        <v>0.35849999999999982</v>
      </c>
      <c r="H98" s="82">
        <f>IF(H97=0,"",(H97-AF18)*IF($C$7=1,-1,1))</f>
        <v>0.35399999999999965</v>
      </c>
      <c r="I98" s="82">
        <f>IF(I97=0,"",(I97-AG18)*IF($C$7=1,-1,1))</f>
        <v>0.35150000000000015</v>
      </c>
      <c r="J98" s="82">
        <f>IF(J97=0,"",(J97-AH18)*IF($C$7=1,-1,1))</f>
        <v>0.34600000000000009</v>
      </c>
      <c r="K98" s="82">
        <f>IF(K97=0,"",(K97-AI18)*IF($C$7=1,-1,1))</f>
        <v>0.35099999999999998</v>
      </c>
      <c r="L98" s="82">
        <f>IF(L97=0,"",(L97-AJ18)*IF($C$7=1,-1,1))</f>
        <v>0.35399999999999965</v>
      </c>
      <c r="M98" s="82">
        <f>IF(M97=0,"",(M97-AK18)*IF($C$7=1,-1,1))</f>
        <v>0.35700000000000021</v>
      </c>
      <c r="N98" s="82">
        <f>IF(N97=0,"",(N97-AL18)*IF($C$7=1,-1,1))</f>
        <v>0.36350000000000016</v>
      </c>
      <c r="O98" s="82">
        <f>IF(O97=0,"",(O97-AM18)*IF($C$7=1,-1,1))</f>
        <v>0.37349999999999994</v>
      </c>
      <c r="P98" s="83">
        <f>IF(   P97="", "", (P97 - INDEX(IRS!$B$2:$Y$13, P$2, MATCH($E97,IRS!$B$1:$Y$1, 0)) ) * IF($C$7=1,-1,1)   )</f>
        <v>0.35760000000000103</v>
      </c>
      <c r="Q98" s="84">
        <f>IF(   Q97="", "", (Q97 - INDEX(IRS!$B$2:$Y$13, Q$2, MATCH($E97,IRS!$B$1:$Y$1, 0)) ) * IF($C$7=1,-1,1)   )</f>
        <v>0.37349999999999994</v>
      </c>
      <c r="R98" s="85">
        <f>IF(   R97="", "", (R97 - INDEX(IRS!$B$2:$Y$13, R$2, MATCH($E97,IRS!$B$1:$Y$1, 0)) ) * IF($C$7=1,-1,1)   )</f>
        <v>0.33300000000000018</v>
      </c>
      <c r="S98" s="86">
        <f>IF(   S97="", "", (S97 - INDEX(IRS!$B$2:$Y$13, S$2, MATCH($E97,IRS!$B$1:$Y$1, 0)) ) * IF($C$7=1,-1,1)   )</f>
        <v>0.35121666666666673</v>
      </c>
      <c r="T98" s="84">
        <f>IF(   T97="", "", (T97 - INDEX(IRS!$B$2:$Y$13, T$2, MATCH($E97,IRS!$B$1:$Y$1, 0)) ) * IF($C$7=1,-1,1)   )</f>
        <v>0.37349999999999994</v>
      </c>
      <c r="U98" s="87">
        <f>IF(   U97="", "", (U97 - INDEX(IRS!$B$2:$Y$13, U$2, MATCH($E97,IRS!$B$1:$Y$1, 0)) ) * IF($C$7=1,-1,1)   )</f>
        <v>0.32150000000000034</v>
      </c>
      <c r="V98" s="83">
        <f>IF(   V97="", "", (V97 - INDEX(IRS!$B$2:$Y$13, V$2, MATCH($E97,IRS!$B$1:$Y$1, 0)) ) * IF($C$7=1,-1,1)   )</f>
        <v>0.29967083333333289</v>
      </c>
      <c r="W98" s="84">
        <f>IF(   W97="", "", (W97 - INDEX(IRS!$B$2:$Y$13, W$2, MATCH($E97,IRS!$B$1:$Y$1, 0)) ) * IF($C$7=1,-1,1)   )</f>
        <v>0.37349999999999994</v>
      </c>
      <c r="X98" s="85">
        <f>IF(   X97="", "", (X97 - INDEX(IRS!$B$2:$Y$13, X$2, MATCH($E97,IRS!$B$1:$Y$1, 0)) ) * IF($C$7=1,-1,1)   )</f>
        <v>0.15050000000000008</v>
      </c>
      <c r="Y98" s="83">
        <f>IF(   Y97="", "", (Y97 - INDEX(IRS!$B$2:$Y$13, Y$2, MATCH($E97,IRS!$B$1:$Y$1, 0)) ) * IF($C$7=1,-1,1)   )</f>
        <v>0.22239199999999837</v>
      </c>
      <c r="Z98" s="84">
        <f>IF(   Z97="", "", (Z97 - INDEX(IRS!$B$2:$Y$13, Z$2, MATCH($E97,IRS!$B$1:$Y$1, 0)) ) * IF($C$7=1,-1,1)   )</f>
        <v>0.37349999999999994</v>
      </c>
      <c r="AA98" s="85">
        <f>IF(   AA97="", "", (AA97 - INDEX(IRS!$B$2:$Y$13, AA$2, MATCH($E97,IRS!$B$1:$Y$1, 0)) ) * IF($C$7=1,-1,1)   )</f>
        <v>0.16800000000000015</v>
      </c>
    </row>
    <row r="99" spans="2:27">
      <c r="B99" s="6" t="str">
        <f>_xll.IMDH("IR",$B$94,$C99,$O$9,$F$9,10,"Per=일, sort=D, real=true, Bizday=0, Quote=종가,Pos=40,Orient=H,DtFmt=1.TmFmt=1")</f>
        <v>조회[BONDAVG58]</v>
      </c>
      <c r="C99" s="6" t="s">
        <v>299</v>
      </c>
      <c r="D99" s="45"/>
      <c r="E99" s="51" t="s">
        <v>251</v>
      </c>
      <c r="F99" s="88">
        <v>3.044</v>
      </c>
      <c r="G99" s="89">
        <v>3.0470000000000002</v>
      </c>
      <c r="H99" s="89">
        <v>3.0339999999999998</v>
      </c>
      <c r="I99" s="89">
        <v>3.0249999999999999</v>
      </c>
      <c r="J99" s="89">
        <v>3.0219999999999998</v>
      </c>
      <c r="K99" s="89">
        <v>3.0139999999999998</v>
      </c>
      <c r="L99" s="89">
        <v>3.01</v>
      </c>
      <c r="M99" s="89">
        <v>3.0110000000000001</v>
      </c>
      <c r="N99" s="89">
        <v>3.0110000000000001</v>
      </c>
      <c r="O99" s="89">
        <v>3.0049999999999999</v>
      </c>
      <c r="P99" s="80">
        <f>IF( INDEX(BOND!$B$2:$CH$13, P$2, MATCH($B$94, BOND!$B$16:$CH$16, 0)+MATCH($C99, BOND!$C$18:$N$18,0) )=0,
"",
INDEX(BOND!$B$2:$CH$13, P$2, MATCH($B$94, BOND!$B$16:$CH$16, 0)+MATCH($C99, BOND!$C$18:$N$18,0)) )</f>
        <v>3.0158000000000005</v>
      </c>
      <c r="Q99" s="80">
        <f>IF( INDEX(BOND!$B$2:$CH$13, Q$2, MATCH($B$94, BOND!$B$16:$CH$16, 0)+MATCH($C99, BOND!$C$18:$N$18,0) )=0,
"",
INDEX(BOND!$B$2:$CH$13, Q$2, MATCH($B$94, BOND!$B$16:$CH$16, 0)+MATCH($C99, BOND!$C$18:$N$18,0)) )</f>
        <v>2.9990000000000001</v>
      </c>
      <c r="R99" s="80">
        <f>IF( INDEX(BOND!$B$2:$CH$13, R$2, MATCH($B$94, BOND!$B$16:$CH$16, 0)+MATCH($C99, BOND!$C$18:$N$18,0) )=0,
"",
INDEX(BOND!$B$2:$CH$13, R$2, MATCH($B$94, BOND!$B$16:$CH$16, 0)+MATCH($C99, BOND!$C$18:$N$18,0)) )</f>
        <v>3.0470000000000002</v>
      </c>
      <c r="S99" s="80">
        <f>IF( INDEX(BOND!$B$2:$CH$13, S$2, MATCH($B$94, BOND!$B$16:$CH$16, 0)+MATCH($C99, BOND!$C$18:$N$18,0) )=0,
"",
INDEX(BOND!$B$2:$CH$13, S$2, MATCH($B$94, BOND!$B$16:$CH$16, 0)+MATCH($C99, BOND!$C$18:$N$18,0)) )</f>
        <v>3.0609500000000005</v>
      </c>
      <c r="T99" s="80">
        <f>IF( INDEX(BOND!$B$2:$CH$13, T$2, MATCH($B$94, BOND!$B$16:$CH$16, 0)+MATCH($C99, BOND!$C$18:$N$18,0) )=0,
"",
INDEX(BOND!$B$2:$CH$13, T$2, MATCH($B$94, BOND!$B$16:$CH$16, 0)+MATCH($C99, BOND!$C$18:$N$18,0)) )</f>
        <v>2.976</v>
      </c>
      <c r="U99" s="80">
        <f>IF( INDEX(BOND!$B$2:$CH$13, U$2, MATCH($B$94, BOND!$B$16:$CH$16, 0)+MATCH($C99, BOND!$C$18:$N$18,0) )=0,
"",
INDEX(BOND!$B$2:$CH$13, U$2, MATCH($B$94, BOND!$B$16:$CH$16, 0)+MATCH($C99, BOND!$C$18:$N$18,0)) )</f>
        <v>3.2480000000000002</v>
      </c>
      <c r="V99" s="80">
        <f>IF( INDEX(BOND!$B$2:$CH$13, V$2, MATCH($B$94, BOND!$B$16:$CH$16, 0)+MATCH($C99, BOND!$C$18:$N$18,0) )=0,
"",
INDEX(BOND!$B$2:$CH$13, V$2, MATCH($B$94, BOND!$B$16:$CH$16, 0)+MATCH($C99, BOND!$C$18:$N$18,0)) )</f>
        <v>3.1725500000000015</v>
      </c>
      <c r="W99" s="80">
        <f>IF( INDEX(BOND!$B$2:$CH$13, W$2, MATCH($B$94, BOND!$B$16:$CH$16, 0)+MATCH($C99, BOND!$C$18:$N$18,0) )=0,
"",
INDEX(BOND!$B$2:$CH$13, W$2, MATCH($B$94, BOND!$B$16:$CH$16, 0)+MATCH($C99, BOND!$C$18:$N$18,0)) )</f>
        <v>2.976</v>
      </c>
      <c r="X99" s="80">
        <f>IF( INDEX(BOND!$B$2:$CH$13, X$2, MATCH($B$94, BOND!$B$16:$CH$16, 0)+MATCH($C99, BOND!$C$18:$N$18,0) )=0,
"",
INDEX(BOND!$B$2:$CH$13, X$2, MATCH($B$94, BOND!$B$16:$CH$16, 0)+MATCH($C99, BOND!$C$18:$N$18,0)) )</f>
        <v>3.3479999999999999</v>
      </c>
      <c r="Y99" s="80">
        <f>IF( INDEX(BOND!$B$2:$CH$13, Y$2, MATCH($B$94, BOND!$B$16:$CH$16, 0)+MATCH($C99, BOND!$C$18:$N$18,0) )=0,
"",
INDEX(BOND!$B$2:$CH$13, Y$2, MATCH($B$94, BOND!$B$16:$CH$16, 0)+MATCH($C99, BOND!$C$18:$N$18,0)) )</f>
        <v>3.3949360000000022</v>
      </c>
      <c r="Z99" s="80">
        <f>IF( INDEX(BOND!$B$2:$CH$13, Z$2, MATCH($B$94, BOND!$B$16:$CH$16, 0)+MATCH($C99, BOND!$C$18:$N$18,0) )=0,
"",
INDEX(BOND!$B$2:$CH$13, Z$2, MATCH($B$94, BOND!$B$16:$CH$16, 0)+MATCH($C99, BOND!$C$18:$N$18,0)) )</f>
        <v>2.976</v>
      </c>
      <c r="AA99" s="80">
        <f>IF( INDEX(BOND!$B$2:$CH$13, AA$2, MATCH($B$94, BOND!$B$16:$CH$16, 0)+MATCH($C99, BOND!$C$18:$N$18,0) )=0,
"",
INDEX(BOND!$B$2:$CH$13, AA$2, MATCH($B$94, BOND!$B$16:$CH$16, 0)+MATCH($C99, BOND!$C$18:$N$18,0)) )</f>
        <v>3.8029999999999999</v>
      </c>
    </row>
    <row r="100" spans="2:27">
      <c r="D100" s="45"/>
      <c r="E100" s="52" t="s">
        <v>267</v>
      </c>
      <c r="F100" s="81">
        <f>IF(F99=0,"",(F99-AD20)*IF($C$7=1,-1,1))</f>
        <v>0.36399999999999988</v>
      </c>
      <c r="G100" s="82">
        <f>IF(G99=0,"",(G99-AE20)*IF($C$7=1,-1,1))</f>
        <v>0.38200000000000012</v>
      </c>
      <c r="H100" s="82">
        <f>IF(H99=0,"",(H99-AF20)*IF($C$7=1,-1,1))</f>
        <v>0.37149999999999972</v>
      </c>
      <c r="I100" s="82">
        <f>IF(I99=0,"",(I99-AG20)*IF($C$7=1,-1,1))</f>
        <v>0.36499999999999977</v>
      </c>
      <c r="J100" s="82">
        <f>IF(J99=0,"",(J99-AH20)*IF($C$7=1,-1,1))</f>
        <v>0.35449999999999982</v>
      </c>
      <c r="K100" s="82">
        <f>IF(K99=0,"",(K99-AI20)*IF($C$7=1,-1,1))</f>
        <v>0.35399999999999965</v>
      </c>
      <c r="L100" s="82">
        <f>IF(L99=0,"",(L99-AJ20)*IF($C$7=1,-1,1))</f>
        <v>0.34999999999999964</v>
      </c>
      <c r="M100" s="82">
        <f>IF(M99=0,"",(M99-AK20)*IF($C$7=1,-1,1))</f>
        <v>0.35850000000000026</v>
      </c>
      <c r="N100" s="82">
        <f>IF(N99=0,"",(N99-AL20)*IF($C$7=1,-1,1))</f>
        <v>0.36850000000000005</v>
      </c>
      <c r="O100" s="82">
        <f>IF(O99=0,"",(O99-AM20)*IF($C$7=1,-1,1))</f>
        <v>0.37999999999999989</v>
      </c>
      <c r="P100" s="83">
        <f>IF(   P99="", "", (P99 - INDEX(IRS!$B$2:$Y$13, P$2, MATCH($E99,IRS!$B$1:$Y$1, 0)) ) * IF($C$7=1,-1,1)   )</f>
        <v>0.36305000000000032</v>
      </c>
      <c r="Q100" s="84">
        <f>IF(   Q99="", "", (Q99 - INDEX(IRS!$B$2:$Y$13, Q$2, MATCH($E99,IRS!$B$1:$Y$1, 0)) ) * IF($C$7=1,-1,1)   )</f>
        <v>0.37400000000000011</v>
      </c>
      <c r="R100" s="85">
        <f>IF(   R99="", "", (R99 - INDEX(IRS!$B$2:$Y$13, R$2, MATCH($E99,IRS!$B$1:$Y$1, 0)) ) * IF($C$7=1,-1,1)   )</f>
        <v>0.36699999999999999</v>
      </c>
      <c r="S100" s="86">
        <f>IF(   S99="", "", (S99 - INDEX(IRS!$B$2:$Y$13, S$2, MATCH($E99,IRS!$B$1:$Y$1, 0)) ) * IF($C$7=1,-1,1)   )</f>
        <v>0.3472000000000004</v>
      </c>
      <c r="T100" s="84">
        <f>IF(   T99="", "", (T99 - INDEX(IRS!$B$2:$Y$13, T$2, MATCH($E99,IRS!$B$1:$Y$1, 0)) ) * IF($C$7=1,-1,1)   )</f>
        <v>0.35099999999999998</v>
      </c>
      <c r="U100" s="87">
        <f>IF(   U99="", "", (U99 - INDEX(IRS!$B$2:$Y$13, U$2, MATCH($E99,IRS!$B$1:$Y$1, 0)) ) * IF($C$7=1,-1,1)   )</f>
        <v>0.37050000000000027</v>
      </c>
      <c r="V100" s="83">
        <f>IF(   V99="", "", (V99 - INDEX(IRS!$B$2:$Y$13, V$2, MATCH($E99,IRS!$B$1:$Y$1, 0)) ) * IF($C$7=1,-1,1)   )</f>
        <v>0.30177916666666915</v>
      </c>
      <c r="W100" s="84">
        <f>IF(   W99="", "", (W99 - INDEX(IRS!$B$2:$Y$13, W$2, MATCH($E99,IRS!$B$1:$Y$1, 0)) ) * IF($C$7=1,-1,1)   )</f>
        <v>0.35099999999999998</v>
      </c>
      <c r="X100" s="85">
        <f>IF(   X99="", "", (X99 - INDEX(IRS!$B$2:$Y$13, X$2, MATCH($E99,IRS!$B$1:$Y$1, 0)) ) * IF($C$7=1,-1,1)   )</f>
        <v>0.15050000000000008</v>
      </c>
      <c r="Y100" s="83">
        <f>IF(   Y99="", "", (Y99 - INDEX(IRS!$B$2:$Y$13, Y$2, MATCH($E99,IRS!$B$1:$Y$1, 0)) ) * IF($C$7=1,-1,1)   )</f>
        <v>0.25226600000000099</v>
      </c>
      <c r="Z100" s="84">
        <f>IF(   Z99="", "", (Z99 - INDEX(IRS!$B$2:$Y$13, Z$2, MATCH($E99,IRS!$B$1:$Y$1, 0)) ) * IF($C$7=1,-1,1)   )</f>
        <v>0.35099999999999998</v>
      </c>
      <c r="AA100" s="85">
        <f>IF(   AA99="", "", (AA99 - INDEX(IRS!$B$2:$Y$13, AA$2, MATCH($E99,IRS!$B$1:$Y$1, 0)) ) * IF($C$7=1,-1,1)   )</f>
        <v>0.18299999999999983</v>
      </c>
    </row>
    <row r="101" spans="2:27">
      <c r="B101" s="6" t="str">
        <f>_xll.IMDH("IR",$B$94,$C101,$O$9,$F$9,10,"Per=일, sort=D, real=true, Bizday=0, Quote=종가,Pos=40,Orient=H,DtFmt=1.TmFmt=1")</f>
        <v>조회[BONDAVG58]</v>
      </c>
      <c r="C101" s="6" t="s">
        <v>300</v>
      </c>
      <c r="D101" s="45"/>
      <c r="E101" s="51" t="s">
        <v>252</v>
      </c>
      <c r="F101" s="88">
        <v>3.0750000000000002</v>
      </c>
      <c r="G101" s="89">
        <v>3.0739999999999998</v>
      </c>
      <c r="H101" s="89">
        <v>3.06</v>
      </c>
      <c r="I101" s="89">
        <v>3.0609999999999999</v>
      </c>
      <c r="J101" s="89">
        <v>3.0590000000000002</v>
      </c>
      <c r="K101" s="89">
        <v>3.044</v>
      </c>
      <c r="L101" s="89">
        <v>3.0409999999999999</v>
      </c>
      <c r="M101" s="89">
        <v>3.04</v>
      </c>
      <c r="N101" s="89">
        <v>3.0339999999999998</v>
      </c>
      <c r="O101" s="89">
        <v>3.02</v>
      </c>
      <c r="P101" s="80">
        <f>IF( INDEX(BOND!$B$2:$CH$13, P$2, MATCH($B$94, BOND!$B$16:$CH$16, 0)+MATCH($C101, BOND!$C$18:$N$18,0) )=0,
"",
INDEX(BOND!$B$2:$CH$13, P$2, MATCH($B$94, BOND!$B$16:$CH$16, 0)+MATCH($C101, BOND!$C$18:$N$18,0)) )</f>
        <v>3.0369999999999999</v>
      </c>
      <c r="Q101" s="80">
        <f>IF( INDEX(BOND!$B$2:$CH$13, Q$2, MATCH($B$94, BOND!$B$16:$CH$16, 0)+MATCH($C101, BOND!$C$18:$N$18,0) )=0,
"",
INDEX(BOND!$B$2:$CH$13, Q$2, MATCH($B$94, BOND!$B$16:$CH$16, 0)+MATCH($C101, BOND!$C$18:$N$18,0)) )</f>
        <v>3.0110000000000001</v>
      </c>
      <c r="R101" s="80">
        <f>IF( INDEX(BOND!$B$2:$CH$13, R$2, MATCH($B$94, BOND!$B$16:$CH$16, 0)+MATCH($C101, BOND!$C$18:$N$18,0) )=0,
"",
INDEX(BOND!$B$2:$CH$13, R$2, MATCH($B$94, BOND!$B$16:$CH$16, 0)+MATCH($C101, BOND!$C$18:$N$18,0)) )</f>
        <v>3.0750000000000002</v>
      </c>
      <c r="S101" s="80">
        <f>IF( INDEX(BOND!$B$2:$CH$13, S$2, MATCH($B$94, BOND!$B$16:$CH$16, 0)+MATCH($C101, BOND!$C$18:$N$18,0) )=0,
"",
INDEX(BOND!$B$2:$CH$13, S$2, MATCH($B$94, BOND!$B$16:$CH$16, 0)+MATCH($C101, BOND!$C$18:$N$18,0)) )</f>
        <v>3.0591166666666667</v>
      </c>
      <c r="T101" s="80">
        <f>IF( INDEX(BOND!$B$2:$CH$13, T$2, MATCH($B$94, BOND!$B$16:$CH$16, 0)+MATCH($C101, BOND!$C$18:$N$18,0) )=0,
"",
INDEX(BOND!$B$2:$CH$13, T$2, MATCH($B$94, BOND!$B$16:$CH$16, 0)+MATCH($C101, BOND!$C$18:$N$18,0)) )</f>
        <v>3.0110000000000001</v>
      </c>
      <c r="U101" s="80">
        <f>IF( INDEX(BOND!$B$2:$CH$13, U$2, MATCH($B$94, BOND!$B$16:$CH$16, 0)+MATCH($C101, BOND!$C$18:$N$18,0) )=0,
"",
INDEX(BOND!$B$2:$CH$13, U$2, MATCH($B$94, BOND!$B$16:$CH$16, 0)+MATCH($C101, BOND!$C$18:$N$18,0)) )</f>
        <v>3.226</v>
      </c>
      <c r="V101" s="80">
        <f>IF( INDEX(BOND!$B$2:$CH$13, V$2, MATCH($B$94, BOND!$B$16:$CH$16, 0)+MATCH($C101, BOND!$C$18:$N$18,0) )=0,
"",
INDEX(BOND!$B$2:$CH$13, V$2, MATCH($B$94, BOND!$B$16:$CH$16, 0)+MATCH($C101, BOND!$C$18:$N$18,0)) )</f>
        <v>3.1747666666666654</v>
      </c>
      <c r="W101" s="80">
        <f>IF( INDEX(BOND!$B$2:$CH$13, W$2, MATCH($B$94, BOND!$B$16:$CH$16, 0)+MATCH($C101, BOND!$C$18:$N$18,0) )=0,
"",
INDEX(BOND!$B$2:$CH$13, W$2, MATCH($B$94, BOND!$B$16:$CH$16, 0)+MATCH($C101, BOND!$C$18:$N$18,0)) )</f>
        <v>3.0110000000000001</v>
      </c>
      <c r="X101" s="80">
        <f>IF( INDEX(BOND!$B$2:$CH$13, X$2, MATCH($B$94, BOND!$B$16:$CH$16, 0)+MATCH($C101, BOND!$C$18:$N$18,0) )=0,
"",
INDEX(BOND!$B$2:$CH$13, X$2, MATCH($B$94, BOND!$B$16:$CH$16, 0)+MATCH($C101, BOND!$C$18:$N$18,0)) )</f>
        <v>3.4119999999999999</v>
      </c>
      <c r="Y101" s="80">
        <f>IF( INDEX(BOND!$B$2:$CH$13, Y$2, MATCH($B$94, BOND!$B$16:$CH$16, 0)+MATCH($C101, BOND!$C$18:$N$18,0) )=0,
"",
INDEX(BOND!$B$2:$CH$13, Y$2, MATCH($B$94, BOND!$B$16:$CH$16, 0)+MATCH($C101, BOND!$C$18:$N$18,0)) )</f>
        <v>3.4039880000000009</v>
      </c>
      <c r="Z101" s="80">
        <f>IF( INDEX(BOND!$B$2:$CH$13, Z$2, MATCH($B$94, BOND!$B$16:$CH$16, 0)+MATCH($C101, BOND!$C$18:$N$18,0) )=0,
"",
INDEX(BOND!$B$2:$CH$13, Z$2, MATCH($B$94, BOND!$B$16:$CH$16, 0)+MATCH($C101, BOND!$C$18:$N$18,0)) )</f>
        <v>3.0110000000000001</v>
      </c>
      <c r="AA101" s="80">
        <f>IF( INDEX(BOND!$B$2:$CH$13, AA$2, MATCH($B$94, BOND!$B$16:$CH$16, 0)+MATCH($C101, BOND!$C$18:$N$18,0) )=0,
"",
INDEX(BOND!$B$2:$CH$13, AA$2, MATCH($B$94, BOND!$B$16:$CH$16, 0)+MATCH($C101, BOND!$C$18:$N$18,0)) )</f>
        <v>3.9060000000000001</v>
      </c>
    </row>
    <row r="102" spans="2:27">
      <c r="D102" s="45"/>
      <c r="E102" s="52" t="s">
        <v>267</v>
      </c>
      <c r="F102" s="81">
        <f>IF(F101=0,"",(F101-AD22)*IF($C$7=1,-1,1))</f>
        <v>0.44000000000000039</v>
      </c>
      <c r="G102" s="82">
        <f>IF(G101=0,"",(G101-AE22)*IF($C$7=1,-1,1))</f>
        <v>0.45149999999999979</v>
      </c>
      <c r="H102" s="82">
        <f>IF(H101=0,"",(H101-AF22)*IF($C$7=1,-1,1))</f>
        <v>0.44499999999999984</v>
      </c>
      <c r="I102" s="82">
        <f>IF(I101=0,"",(I101-AG22)*IF($C$7=1,-1,1))</f>
        <v>0.45100000000000007</v>
      </c>
      <c r="J102" s="82">
        <f>IF(J101=0,"",(J101-AH22)*IF($C$7=1,-1,1))</f>
        <v>0.43900000000000006</v>
      </c>
      <c r="K102" s="82">
        <f>IF(K101=0,"",(K101-AI22)*IF($C$7=1,-1,1))</f>
        <v>0.43400000000000016</v>
      </c>
      <c r="L102" s="82">
        <f>IF(L101=0,"",(L101-AJ22)*IF($C$7=1,-1,1))</f>
        <v>0.43100000000000005</v>
      </c>
      <c r="M102" s="82">
        <f>IF(M101=0,"",(M101-AK22)*IF($C$7=1,-1,1))</f>
        <v>0.43500000000000005</v>
      </c>
      <c r="N102" s="82">
        <f>IF(N101=0,"",(N101-AL22)*IF($C$7=1,-1,1))</f>
        <v>0.44399999999999995</v>
      </c>
      <c r="O102" s="82">
        <f>IF(O101=0,"",(O101-AM22)*IF($C$7=1,-1,1))</f>
        <v>0.44750000000000023</v>
      </c>
      <c r="P102" s="83">
        <f>IF(   P101="", "", (P101 - INDEX(IRS!$B$2:$Y$13, P$2, MATCH($E101,IRS!$B$1:$Y$1, 0)) ) * IF($C$7=1,-1,1)   )</f>
        <v>0.43025000000000047</v>
      </c>
      <c r="Q102" s="84">
        <f>IF(   Q101="", "", (Q101 - INDEX(IRS!$B$2:$Y$13, Q$2, MATCH($E101,IRS!$B$1:$Y$1, 0)) ) * IF($C$7=1,-1,1)   )</f>
        <v>0.43850000000000033</v>
      </c>
      <c r="R102" s="85">
        <f>IF(   R101="", "", (R101 - INDEX(IRS!$B$2:$Y$13, R$2, MATCH($E101,IRS!$B$1:$Y$1, 0)) ) * IF($C$7=1,-1,1)   )</f>
        <v>0.44000000000000039</v>
      </c>
      <c r="S102" s="86">
        <f>IF(   S101="", "", (S101 - INDEX(IRS!$B$2:$Y$13, S$2, MATCH($E101,IRS!$B$1:$Y$1, 0)) ) * IF($C$7=1,-1,1)   )</f>
        <v>0.40211666666666757</v>
      </c>
      <c r="T102" s="84">
        <f>IF(   T101="", "", (T101 - INDEX(IRS!$B$2:$Y$13, T$2, MATCH($E101,IRS!$B$1:$Y$1, 0)) ) * IF($C$7=1,-1,1)   )</f>
        <v>0.43850000000000033</v>
      </c>
      <c r="U102" s="87">
        <f>IF(   U101="", "", (U101 - INDEX(IRS!$B$2:$Y$13, U$2, MATCH($E101,IRS!$B$1:$Y$1, 0)) ) * IF($C$7=1,-1,1)   )</f>
        <v>0.42349999999999977</v>
      </c>
      <c r="V102" s="83">
        <f>IF(   V101="", "", (V101 - INDEX(IRS!$B$2:$Y$13, V$2, MATCH($E101,IRS!$B$1:$Y$1, 0)) ) * IF($C$7=1,-1,1)   )</f>
        <v>0.38416249999999907</v>
      </c>
      <c r="W102" s="84">
        <f>IF(   W101="", "", (W101 - INDEX(IRS!$B$2:$Y$13, W$2, MATCH($E101,IRS!$B$1:$Y$1, 0)) ) * IF($C$7=1,-1,1)   )</f>
        <v>0.43850000000000033</v>
      </c>
      <c r="X102" s="85">
        <f>IF(   X101="", "", (X101 - INDEX(IRS!$B$2:$Y$13, X$2, MATCH($E101,IRS!$B$1:$Y$1, 0)) ) * IF($C$7=1,-1,1)   )</f>
        <v>0.31199999999999983</v>
      </c>
      <c r="Y102" s="83">
        <f>IF(   Y101="", "", (Y101 - INDEX(IRS!$B$2:$Y$13, Y$2, MATCH($E101,IRS!$B$1:$Y$1, 0)) ) * IF($C$7=1,-1,1)   )</f>
        <v>0.34215799999999996</v>
      </c>
      <c r="Z102" s="84">
        <f>IF(   Z101="", "", (Z101 - INDEX(IRS!$B$2:$Y$13, Z$2, MATCH($E101,IRS!$B$1:$Y$1, 0)) ) * IF($C$7=1,-1,1)   )</f>
        <v>0.43850000000000033</v>
      </c>
      <c r="AA102" s="85">
        <f>IF(   AA101="", "", (AA101 - INDEX(IRS!$B$2:$Y$13, AA$2, MATCH($E101,IRS!$B$1:$Y$1, 0)) ) * IF($C$7=1,-1,1)   )</f>
        <v>0.30600000000000005</v>
      </c>
    </row>
    <row r="103" spans="2:27">
      <c r="B103" s="6" t="str">
        <f>_xll.IMDH("IR",$B$94,$C103,$O$9,$F$9,10,"Per=일, sort=D, real=true, Bizday=0, Quote=종가,Pos=40,Orient=H,DtFmt=1.TmFmt=1")</f>
        <v>조회[BONDAVG58]</v>
      </c>
      <c r="C103" s="6" t="s">
        <v>301</v>
      </c>
      <c r="D103" s="45"/>
      <c r="E103" s="51" t="s">
        <v>253</v>
      </c>
      <c r="F103" s="88">
        <v>3.1179999999999999</v>
      </c>
      <c r="G103" s="89">
        <v>3.1080000000000001</v>
      </c>
      <c r="H103" s="89">
        <v>3.1040000000000001</v>
      </c>
      <c r="I103" s="89">
        <v>3.1040000000000001</v>
      </c>
      <c r="J103" s="89">
        <v>3.1019999999999999</v>
      </c>
      <c r="K103" s="89">
        <v>3.0859999999999999</v>
      </c>
      <c r="L103" s="89">
        <v>3.0859999999999999</v>
      </c>
      <c r="M103" s="89">
        <v>3.0859999999999999</v>
      </c>
      <c r="N103" s="89">
        <v>3.0750000000000002</v>
      </c>
      <c r="O103" s="89">
        <v>3.0609999999999999</v>
      </c>
      <c r="P103" s="80">
        <f>IF( INDEX(BOND!$B$2:$CH$13, P$2, MATCH($B$94, BOND!$B$16:$CH$16, 0)+MATCH($C103, BOND!$C$18:$N$18,0) )=0,
"",
INDEX(BOND!$B$2:$CH$13, P$2, MATCH($B$94, BOND!$B$16:$CH$16, 0)+MATCH($C103, BOND!$C$18:$N$18,0)) )</f>
        <v>3.0862999999999996</v>
      </c>
      <c r="Q103" s="80">
        <f>IF( INDEX(BOND!$B$2:$CH$13, Q$2, MATCH($B$94, BOND!$B$16:$CH$16, 0)+MATCH($C103, BOND!$C$18:$N$18,0) )=0,
"",
INDEX(BOND!$B$2:$CH$13, Q$2, MATCH($B$94, BOND!$B$16:$CH$16, 0)+MATCH($C103, BOND!$C$18:$N$18,0)) )</f>
        <v>3.0609999999999999</v>
      </c>
      <c r="R103" s="80">
        <f>IF( INDEX(BOND!$B$2:$CH$13, R$2, MATCH($B$94, BOND!$B$16:$CH$16, 0)+MATCH($C103, BOND!$C$18:$N$18,0) )=0,
"",
INDEX(BOND!$B$2:$CH$13, R$2, MATCH($B$94, BOND!$B$16:$CH$16, 0)+MATCH($C103, BOND!$C$18:$N$18,0)) )</f>
        <v>3.1179999999999999</v>
      </c>
      <c r="S103" s="80">
        <f>IF( INDEX(BOND!$B$2:$CH$13, S$2, MATCH($B$94, BOND!$B$16:$CH$16, 0)+MATCH($C103, BOND!$C$18:$N$18,0) )=0,
"",
INDEX(BOND!$B$2:$CH$13, S$2, MATCH($B$94, BOND!$B$16:$CH$16, 0)+MATCH($C103, BOND!$C$18:$N$18,0)) )</f>
        <v>3.1182666666666665</v>
      </c>
      <c r="T103" s="80">
        <f>IF( INDEX(BOND!$B$2:$CH$13, T$2, MATCH($B$94, BOND!$B$16:$CH$16, 0)+MATCH($C103, BOND!$C$18:$N$18,0) )=0,
"",
INDEX(BOND!$B$2:$CH$13, T$2, MATCH($B$94, BOND!$B$16:$CH$16, 0)+MATCH($C103, BOND!$C$18:$N$18,0)) )</f>
        <v>3.0609999999999999</v>
      </c>
      <c r="U103" s="80">
        <f>IF( INDEX(BOND!$B$2:$CH$13, U$2, MATCH($B$94, BOND!$B$16:$CH$16, 0)+MATCH($C103, BOND!$C$18:$N$18,0) )=0,
"",
INDEX(BOND!$B$2:$CH$13, U$2, MATCH($B$94, BOND!$B$16:$CH$16, 0)+MATCH($C103, BOND!$C$18:$N$18,0)) )</f>
        <v>3.2869999999999999</v>
      </c>
      <c r="V103" s="80">
        <f>IF( INDEX(BOND!$B$2:$CH$13, V$2, MATCH($B$94, BOND!$B$16:$CH$16, 0)+MATCH($C103, BOND!$C$18:$N$18,0) )=0,
"",
INDEX(BOND!$B$2:$CH$13, V$2, MATCH($B$94, BOND!$B$16:$CH$16, 0)+MATCH($C103, BOND!$C$18:$N$18,0)) )</f>
        <v>3.2231833333333335</v>
      </c>
      <c r="W103" s="80">
        <f>IF( INDEX(BOND!$B$2:$CH$13, W$2, MATCH($B$94, BOND!$B$16:$CH$16, 0)+MATCH($C103, BOND!$C$18:$N$18,0) )=0,
"",
INDEX(BOND!$B$2:$CH$13, W$2, MATCH($B$94, BOND!$B$16:$CH$16, 0)+MATCH($C103, BOND!$C$18:$N$18,0)) )</f>
        <v>3.0609999999999999</v>
      </c>
      <c r="X103" s="80">
        <f>IF( INDEX(BOND!$B$2:$CH$13, X$2, MATCH($B$94, BOND!$B$16:$CH$16, 0)+MATCH($C103, BOND!$C$18:$N$18,0) )=0,
"",
INDEX(BOND!$B$2:$CH$13, X$2, MATCH($B$94, BOND!$B$16:$CH$16, 0)+MATCH($C103, BOND!$C$18:$N$18,0)) )</f>
        <v>3.4550000000000001</v>
      </c>
      <c r="Y103" s="80">
        <f>IF( INDEX(BOND!$B$2:$CH$13, Y$2, MATCH($B$94, BOND!$B$16:$CH$16, 0)+MATCH($C103, BOND!$C$18:$N$18,0) )=0,
"",
INDEX(BOND!$B$2:$CH$13, Y$2, MATCH($B$94, BOND!$B$16:$CH$16, 0)+MATCH($C103, BOND!$C$18:$N$18,0)) )</f>
        <v>3.4358199999999992</v>
      </c>
      <c r="Z103" s="80">
        <f>IF( INDEX(BOND!$B$2:$CH$13, Z$2, MATCH($B$94, BOND!$B$16:$CH$16, 0)+MATCH($C103, BOND!$C$18:$N$18,0) )=0,
"",
INDEX(BOND!$B$2:$CH$13, Z$2, MATCH($B$94, BOND!$B$16:$CH$16, 0)+MATCH($C103, BOND!$C$18:$N$18,0)) )</f>
        <v>3.0609999999999999</v>
      </c>
      <c r="AA103" s="80">
        <f>IF( INDEX(BOND!$B$2:$CH$13, AA$2, MATCH($B$94, BOND!$B$16:$CH$16, 0)+MATCH($C103, BOND!$C$18:$N$18,0) )=0,
"",
INDEX(BOND!$B$2:$CH$13, AA$2, MATCH($B$94, BOND!$B$16:$CH$16, 0)+MATCH($C103, BOND!$C$18:$N$18,0)) )</f>
        <v>3.95</v>
      </c>
    </row>
    <row r="104" spans="2:27">
      <c r="D104" s="45"/>
      <c r="E104" s="52" t="s">
        <v>267</v>
      </c>
      <c r="F104" s="81">
        <f>IF(F103=0,"",(F103-AD24)*IF($C$7=1,-1,1))</f>
        <v>0.50800000000000001</v>
      </c>
      <c r="G104" s="82">
        <f>IF(G103=0,"",(G103-AE24)*IF($C$7=1,-1,1))</f>
        <v>0.51049999999999995</v>
      </c>
      <c r="H104" s="82">
        <f>IF(H103=0,"",(H103-AF24)*IF($C$7=1,-1,1))</f>
        <v>0.51650000000000018</v>
      </c>
      <c r="I104" s="82">
        <f>IF(I103=0,"",(I103-AG24)*IF($C$7=1,-1,1))</f>
        <v>0.52649999999999997</v>
      </c>
      <c r="J104" s="82">
        <f>IF(J103=0,"",(J103-AH24)*IF($C$7=1,-1,1))</f>
        <v>0.5169999999999999</v>
      </c>
      <c r="K104" s="82">
        <f>IF(K103=0,"",(K103-AI24)*IF($C$7=1,-1,1))</f>
        <v>0.51600000000000001</v>
      </c>
      <c r="L104" s="82">
        <f>IF(L103=0,"",(L103-AJ24)*IF($C$7=1,-1,1))</f>
        <v>0.51600000000000001</v>
      </c>
      <c r="M104" s="82">
        <f>IF(M103=0,"",(M103-AK24)*IF($C$7=1,-1,1))</f>
        <v>0.51849999999999996</v>
      </c>
      <c r="N104" s="82">
        <f>IF(N103=0,"",(N103-AL24)*IF($C$7=1,-1,1))</f>
        <v>0.5275000000000003</v>
      </c>
      <c r="O104" s="82">
        <f>IF(O103=0,"",(O103-AM24)*IF($C$7=1,-1,1))</f>
        <v>0.53100000000000014</v>
      </c>
      <c r="P104" s="83">
        <f>IF(   P103="", "", (P103 - INDEX(IRS!$B$2:$Y$13, P$2, MATCH($E103,IRS!$B$1:$Y$1, 0)) ) * IF($C$7=1,-1,1)   )</f>
        <v>0.51179999999999959</v>
      </c>
      <c r="Q104" s="84">
        <f>IF(   Q103="", "", (Q103 - INDEX(IRS!$B$2:$Y$13, Q$2, MATCH($E103,IRS!$B$1:$Y$1, 0)) ) * IF($C$7=1,-1,1)   )</f>
        <v>0.53100000000000014</v>
      </c>
      <c r="R104" s="85">
        <f>IF(   R103="", "", (R103 - INDEX(IRS!$B$2:$Y$13, R$2, MATCH($E103,IRS!$B$1:$Y$1, 0)) ) * IF($C$7=1,-1,1)   )</f>
        <v>0.50800000000000001</v>
      </c>
      <c r="S104" s="86">
        <f>IF(   S103="", "", (S103 - INDEX(IRS!$B$2:$Y$13, S$2, MATCH($E103,IRS!$B$1:$Y$1, 0)) ) * IF($C$7=1,-1,1)   )</f>
        <v>0.49255833333333321</v>
      </c>
      <c r="T104" s="84">
        <f>IF(   T103="", "", (T103 - INDEX(IRS!$B$2:$Y$13, T$2, MATCH($E103,IRS!$B$1:$Y$1, 0)) ) * IF($C$7=1,-1,1)   )</f>
        <v>0.53100000000000014</v>
      </c>
      <c r="U104" s="87">
        <f>IF(   U103="", "", (U103 - INDEX(IRS!$B$2:$Y$13, U$2, MATCH($E103,IRS!$B$1:$Y$1, 0)) ) * IF($C$7=1,-1,1)   )</f>
        <v>0.51200000000000001</v>
      </c>
      <c r="V104" s="83">
        <f>IF(   V103="", "", (V103 - INDEX(IRS!$B$2:$Y$13, V$2, MATCH($E103,IRS!$B$1:$Y$1, 0)) ) * IF($C$7=1,-1,1)   )</f>
        <v>0.47449583333333401</v>
      </c>
      <c r="W104" s="84">
        <f>IF(   W103="", "", (W103 - INDEX(IRS!$B$2:$Y$13, W$2, MATCH($E103,IRS!$B$1:$Y$1, 0)) ) * IF($C$7=1,-1,1)   )</f>
        <v>0.53100000000000014</v>
      </c>
      <c r="X104" s="85">
        <f>IF(   X103="", "", (X103 - INDEX(IRS!$B$2:$Y$13, X$2, MATCH($E103,IRS!$B$1:$Y$1, 0)) ) * IF($C$7=1,-1,1)   )</f>
        <v>0.40500000000000025</v>
      </c>
      <c r="Y104" s="83">
        <f>IF(   Y103="", "", (Y103 - INDEX(IRS!$B$2:$Y$13, Y$2, MATCH($E103,IRS!$B$1:$Y$1, 0)) ) * IF($C$7=1,-1,1)   )</f>
        <v>0.42609999999999815</v>
      </c>
      <c r="Z104" s="84">
        <f>IF(   Z103="", "", (Z103 - INDEX(IRS!$B$2:$Y$13, Z$2, MATCH($E103,IRS!$B$1:$Y$1, 0)) ) * IF($C$7=1,-1,1)   )</f>
        <v>0.53100000000000014</v>
      </c>
      <c r="AA104" s="85">
        <f>IF(   AA103="", "", (AA103 - INDEX(IRS!$B$2:$Y$13, AA$2, MATCH($E103,IRS!$B$1:$Y$1, 0)) ) * IF($C$7=1,-1,1)   )</f>
        <v>0.37000000000000011</v>
      </c>
    </row>
    <row r="105" spans="2:27">
      <c r="B105" s="6" t="str">
        <f>_xll.IMDH("IR",$B$94,$C105,$O$9,$F$9,10,"Per=일, sort=D, real=true, Bizday=0, Quote=종가,Pos=40,Orient=H,DtFmt=1.TmFmt=1")</f>
        <v>조회[BONDAVG58]</v>
      </c>
      <c r="C105" s="6" t="s">
        <v>302</v>
      </c>
      <c r="D105" s="45"/>
      <c r="E105" s="51" t="s">
        <v>254</v>
      </c>
      <c r="F105" s="88">
        <v>3.1659999999999999</v>
      </c>
      <c r="G105" s="89">
        <v>3.1560000000000001</v>
      </c>
      <c r="H105" s="89">
        <v>3.15</v>
      </c>
      <c r="I105" s="89">
        <v>3.16</v>
      </c>
      <c r="J105" s="89">
        <v>3.1819999999999999</v>
      </c>
      <c r="K105" s="89">
        <v>3.1659999999999999</v>
      </c>
      <c r="L105" s="89">
        <v>3.1629999999999998</v>
      </c>
      <c r="M105" s="89">
        <v>3.1560000000000001</v>
      </c>
      <c r="N105" s="89">
        <v>3.141</v>
      </c>
      <c r="O105" s="89">
        <v>3.121</v>
      </c>
      <c r="P105" s="80">
        <f>IF( INDEX(BOND!$B$2:$CH$13, P$2, MATCH($B$94, BOND!$B$16:$CH$16, 0)+MATCH($C105, BOND!$C$18:$N$18,0) )=0,
"",
INDEX(BOND!$B$2:$CH$13, P$2, MATCH($B$94, BOND!$B$16:$CH$16, 0)+MATCH($C105, BOND!$C$18:$N$18,0)) )</f>
        <v>3.1552499999999997</v>
      </c>
      <c r="Q105" s="80">
        <f>IF( INDEX(BOND!$B$2:$CH$13, Q$2, MATCH($B$94, BOND!$B$16:$CH$16, 0)+MATCH($C105, BOND!$C$18:$N$18,0) )=0,
"",
INDEX(BOND!$B$2:$CH$13, Q$2, MATCH($B$94, BOND!$B$16:$CH$16, 0)+MATCH($C105, BOND!$C$18:$N$18,0)) )</f>
        <v>3.121</v>
      </c>
      <c r="R105" s="80">
        <f>IF( INDEX(BOND!$B$2:$CH$13, R$2, MATCH($B$94, BOND!$B$16:$CH$16, 0)+MATCH($C105, BOND!$C$18:$N$18,0) )=0,
"",
INDEX(BOND!$B$2:$CH$13, R$2, MATCH($B$94, BOND!$B$16:$CH$16, 0)+MATCH($C105, BOND!$C$18:$N$18,0)) )</f>
        <v>3.1819999999999999</v>
      </c>
      <c r="S105" s="80">
        <f>IF( INDEX(BOND!$B$2:$CH$13, S$2, MATCH($B$94, BOND!$B$16:$CH$16, 0)+MATCH($C105, BOND!$C$18:$N$18,0) )=0,
"",
INDEX(BOND!$B$2:$CH$13, S$2, MATCH($B$94, BOND!$B$16:$CH$16, 0)+MATCH($C105, BOND!$C$18:$N$18,0)) )</f>
        <v>3.1976166666666668</v>
      </c>
      <c r="T105" s="80">
        <f>IF( INDEX(BOND!$B$2:$CH$13, T$2, MATCH($B$94, BOND!$B$16:$CH$16, 0)+MATCH($C105, BOND!$C$18:$N$18,0) )=0,
"",
INDEX(BOND!$B$2:$CH$13, T$2, MATCH($B$94, BOND!$B$16:$CH$16, 0)+MATCH($C105, BOND!$C$18:$N$18,0)) )</f>
        <v>3.121</v>
      </c>
      <c r="U105" s="80">
        <f>IF( INDEX(BOND!$B$2:$CH$13, U$2, MATCH($B$94, BOND!$B$16:$CH$16, 0)+MATCH($C105, BOND!$C$18:$N$18,0) )=0,
"",
INDEX(BOND!$B$2:$CH$13, U$2, MATCH($B$94, BOND!$B$16:$CH$16, 0)+MATCH($C105, BOND!$C$18:$N$18,0)) )</f>
        <v>3.3479999999999999</v>
      </c>
      <c r="V105" s="80">
        <f>IF( INDEX(BOND!$B$2:$CH$13, V$2, MATCH($B$94, BOND!$B$16:$CH$16, 0)+MATCH($C105, BOND!$C$18:$N$18,0) )=0,
"",
INDEX(BOND!$B$2:$CH$13, V$2, MATCH($B$94, BOND!$B$16:$CH$16, 0)+MATCH($C105, BOND!$C$18:$N$18,0)) )</f>
        <v>3.2942416666666676</v>
      </c>
      <c r="W105" s="80">
        <f>IF( INDEX(BOND!$B$2:$CH$13, W$2, MATCH($B$94, BOND!$B$16:$CH$16, 0)+MATCH($C105, BOND!$C$18:$N$18,0) )=0,
"",
INDEX(BOND!$B$2:$CH$13, W$2, MATCH($B$94, BOND!$B$16:$CH$16, 0)+MATCH($C105, BOND!$C$18:$N$18,0)) )</f>
        <v>3.121</v>
      </c>
      <c r="X105" s="80">
        <f>IF( INDEX(BOND!$B$2:$CH$13, X$2, MATCH($B$94, BOND!$B$16:$CH$16, 0)+MATCH($C105, BOND!$C$18:$N$18,0) )=0,
"",
INDEX(BOND!$B$2:$CH$13, X$2, MATCH($B$94, BOND!$B$16:$CH$16, 0)+MATCH($C105, BOND!$C$18:$N$18,0)) )</f>
        <v>3.5379999999999998</v>
      </c>
      <c r="Y105" s="80">
        <f>IF( INDEX(BOND!$B$2:$CH$13, Y$2, MATCH($B$94, BOND!$B$16:$CH$16, 0)+MATCH($C105, BOND!$C$18:$N$18,0) )=0,
"",
INDEX(BOND!$B$2:$CH$13, Y$2, MATCH($B$94, BOND!$B$16:$CH$16, 0)+MATCH($C105, BOND!$C$18:$N$18,0)) )</f>
        <v>3.5002800000000009</v>
      </c>
      <c r="Z105" s="80">
        <f>IF( INDEX(BOND!$B$2:$CH$13, Z$2, MATCH($B$94, BOND!$B$16:$CH$16, 0)+MATCH($C105, BOND!$C$18:$N$18,0) )=0,
"",
INDEX(BOND!$B$2:$CH$13, Z$2, MATCH($B$94, BOND!$B$16:$CH$16, 0)+MATCH($C105, BOND!$C$18:$N$18,0)) )</f>
        <v>3.121</v>
      </c>
      <c r="AA105" s="80">
        <f>IF( INDEX(BOND!$B$2:$CH$13, AA$2, MATCH($B$94, BOND!$B$16:$CH$16, 0)+MATCH($C105, BOND!$C$18:$N$18,0) )=0,
"",
INDEX(BOND!$B$2:$CH$13, AA$2, MATCH($B$94, BOND!$B$16:$CH$16, 0)+MATCH($C105, BOND!$C$18:$N$18,0)) )</f>
        <v>4.0259999999999998</v>
      </c>
    </row>
    <row r="106" spans="2:27">
      <c r="D106" s="45"/>
      <c r="E106" s="52" t="s">
        <v>267</v>
      </c>
      <c r="F106" s="81">
        <f>IF(F105=0,"",(F105-AD26)*IF($C$7=1,-1,1))</f>
        <v>0.57099999999999973</v>
      </c>
      <c r="G106" s="82">
        <f>IF(G105=0,"",(G105-AE26)*IF($C$7=1,-1,1))</f>
        <v>0.57350000000000012</v>
      </c>
      <c r="H106" s="82">
        <f>IF(H105=0,"",(H105-AF26)*IF($C$7=1,-1,1))</f>
        <v>0.57750000000000012</v>
      </c>
      <c r="I106" s="82">
        <f>IF(I105=0,"",(I105-AG26)*IF($C$7=1,-1,1))</f>
        <v>0.59750000000000014</v>
      </c>
      <c r="J106" s="82">
        <f>IF(J105=0,"",(J105-AH26)*IF($C$7=1,-1,1))</f>
        <v>0.6120000000000001</v>
      </c>
      <c r="K106" s="82">
        <f>IF(K105=0,"",(K105-AI26)*IF($C$7=1,-1,1))</f>
        <v>0.61349999999999971</v>
      </c>
      <c r="L106" s="82">
        <f>IF(L105=0,"",(L105-AJ26)*IF($C$7=1,-1,1))</f>
        <v>0.60799999999999965</v>
      </c>
      <c r="M106" s="82">
        <f>IF(M105=0,"",(M105-AK26)*IF($C$7=1,-1,1))</f>
        <v>0.60349999999999993</v>
      </c>
      <c r="N106" s="82">
        <f>IF(N105=0,"",(N105-AL26)*IF($C$7=1,-1,1))</f>
        <v>0.60849999999999982</v>
      </c>
      <c r="O106" s="82">
        <f>IF(O105=0,"",(O105-AM26)*IF($C$7=1,-1,1))</f>
        <v>0.60849999999999982</v>
      </c>
      <c r="P106" s="83">
        <f>IF(   P105="", "", (P105 - INDEX(IRS!$B$2:$Y$13, P$2, MATCH($E105,IRS!$B$1:$Y$1, 0)) ) * IF($C$7=1,-1,1)   )</f>
        <v>0.59612499999999891</v>
      </c>
      <c r="Q106" s="84">
        <f>IF(   Q105="", "", (Q105 - INDEX(IRS!$B$2:$Y$13, Q$2, MATCH($E105,IRS!$B$1:$Y$1, 0)) ) * IF($C$7=1,-1,1)   )</f>
        <v>0.60849999999999982</v>
      </c>
      <c r="R106" s="85">
        <f>IF(   R105="", "", (R105 - INDEX(IRS!$B$2:$Y$13, R$2, MATCH($E105,IRS!$B$1:$Y$1, 0)) ) * IF($C$7=1,-1,1)   )</f>
        <v>0.58199999999999985</v>
      </c>
      <c r="S106" s="86">
        <f>IF(   S105="", "", (S105 - INDEX(IRS!$B$2:$Y$13, S$2, MATCH($E105,IRS!$B$1:$Y$1, 0)) ) * IF($C$7=1,-1,1)   )</f>
        <v>0.5878249999999996</v>
      </c>
      <c r="T106" s="84">
        <f>IF(   T105="", "", (T105 - INDEX(IRS!$B$2:$Y$13, T$2, MATCH($E105,IRS!$B$1:$Y$1, 0)) ) * IF($C$7=1,-1,1)   )</f>
        <v>0.60849999999999982</v>
      </c>
      <c r="U106" s="87">
        <f>IF(   U105="", "", (U105 - INDEX(IRS!$B$2:$Y$13, U$2, MATCH($E105,IRS!$B$1:$Y$1, 0)) ) * IF($C$7=1,-1,1)   )</f>
        <v>0.60299999999999976</v>
      </c>
      <c r="V106" s="83">
        <f>IF(   V105="", "", (V105 - INDEX(IRS!$B$2:$Y$13, V$2, MATCH($E105,IRS!$B$1:$Y$1, 0)) ) * IF($C$7=1,-1,1)   )</f>
        <v>0.57830416666666684</v>
      </c>
      <c r="W106" s="84">
        <f>IF(   W105="", "", (W105 - INDEX(IRS!$B$2:$Y$13, W$2, MATCH($E105,IRS!$B$1:$Y$1, 0)) ) * IF($C$7=1,-1,1)   )</f>
        <v>0.60849999999999982</v>
      </c>
      <c r="X106" s="85">
        <f>IF(   X105="", "", (X105 - INDEX(IRS!$B$2:$Y$13, X$2, MATCH($E105,IRS!$B$1:$Y$1, 0)) ) * IF($C$7=1,-1,1)   )</f>
        <v>0.52299999999999969</v>
      </c>
      <c r="Y106" s="83">
        <f>IF(   Y105="", "", (Y105 - INDEX(IRS!$B$2:$Y$13, Y$2, MATCH($E105,IRS!$B$1:$Y$1, 0)) ) * IF($C$7=1,-1,1)   )</f>
        <v>0.5404599999999995</v>
      </c>
      <c r="Z106" s="84">
        <f>IF(   Z105="", "", (Z105 - INDEX(IRS!$B$2:$Y$13, Z$2, MATCH($E105,IRS!$B$1:$Y$1, 0)) ) * IF($C$7=1,-1,1)   )</f>
        <v>0.60849999999999982</v>
      </c>
      <c r="AA106" s="85">
        <f>IF(   AA105="", "", (AA105 - INDEX(IRS!$B$2:$Y$13, AA$2, MATCH($E105,IRS!$B$1:$Y$1, 0)) ) * IF($C$7=1,-1,1)   )</f>
        <v>0.46599999999999975</v>
      </c>
    </row>
    <row r="107" spans="2:27">
      <c r="B107" s="6" t="str">
        <f>_xll.IMDH("IR",$B$94,$C107,$O$9,$F$9,10,"Per=일, sort=D, real=true, Bizday=0, Quote=종가,Pos=40,Orient=H,DtFmt=1.TmFmt=1")</f>
        <v>조회[BONDAVG58]</v>
      </c>
      <c r="C107" s="6" t="s">
        <v>239</v>
      </c>
      <c r="D107" s="53"/>
      <c r="E107" s="51" t="s">
        <v>255</v>
      </c>
      <c r="F107" s="88">
        <v>3.2290000000000001</v>
      </c>
      <c r="G107" s="89">
        <v>3.2120000000000002</v>
      </c>
      <c r="H107" s="89">
        <v>3.2010000000000001</v>
      </c>
      <c r="I107" s="89">
        <v>3.2040000000000002</v>
      </c>
      <c r="J107" s="89">
        <v>3.22</v>
      </c>
      <c r="K107" s="89">
        <v>3.2109999999999999</v>
      </c>
      <c r="L107" s="89">
        <v>3.21</v>
      </c>
      <c r="M107" s="89">
        <v>3.202</v>
      </c>
      <c r="N107" s="89">
        <v>3.1859999999999999</v>
      </c>
      <c r="O107" s="89">
        <v>3.17</v>
      </c>
      <c r="P107" s="80">
        <f>IF( INDEX(BOND!$B$2:$CH$13, P$2, MATCH($B$94, BOND!$B$16:$CH$16, 0)+MATCH($C107, BOND!$C$18:$N$18,0) )=0,
"",
INDEX(BOND!$B$2:$CH$13, P$2, MATCH($B$94, BOND!$B$16:$CH$16, 0)+MATCH($C107, BOND!$C$18:$N$18,0)) )</f>
        <v>3.2023500000000005</v>
      </c>
      <c r="Q107" s="80">
        <f>IF( INDEX(BOND!$B$2:$CH$13, Q$2, MATCH($B$94, BOND!$B$16:$CH$16, 0)+MATCH($C107, BOND!$C$18:$N$18,0) )=0,
"",
INDEX(BOND!$B$2:$CH$13, Q$2, MATCH($B$94, BOND!$B$16:$CH$16, 0)+MATCH($C107, BOND!$C$18:$N$18,0)) )</f>
        <v>3.1659999999999999</v>
      </c>
      <c r="R107" s="80">
        <f>IF( INDEX(BOND!$B$2:$CH$13, R$2, MATCH($B$94, BOND!$B$16:$CH$16, 0)+MATCH($C107, BOND!$C$18:$N$18,0) )=0,
"",
INDEX(BOND!$B$2:$CH$13, R$2, MATCH($B$94, BOND!$B$16:$CH$16, 0)+MATCH($C107, BOND!$C$18:$N$18,0)) )</f>
        <v>3.2290000000000001</v>
      </c>
      <c r="S107" s="80">
        <f>IF( INDEX(BOND!$B$2:$CH$13, S$2, MATCH($B$94, BOND!$B$16:$CH$16, 0)+MATCH($C107, BOND!$C$18:$N$18,0) )=0,
"",
INDEX(BOND!$B$2:$CH$13, S$2, MATCH($B$94, BOND!$B$16:$CH$16, 0)+MATCH($C107, BOND!$C$18:$N$18,0)) )</f>
        <v>3.2532500000000013</v>
      </c>
      <c r="T107" s="80">
        <f>IF( INDEX(BOND!$B$2:$CH$13, T$2, MATCH($B$94, BOND!$B$16:$CH$16, 0)+MATCH($C107, BOND!$C$18:$N$18,0) )=0,
"",
INDEX(BOND!$B$2:$CH$13, T$2, MATCH($B$94, BOND!$B$16:$CH$16, 0)+MATCH($C107, BOND!$C$18:$N$18,0)) )</f>
        <v>3.1659999999999999</v>
      </c>
      <c r="U107" s="80">
        <f>IF( INDEX(BOND!$B$2:$CH$13, U$2, MATCH($B$94, BOND!$B$16:$CH$16, 0)+MATCH($C107, BOND!$C$18:$N$18,0) )=0,
"",
INDEX(BOND!$B$2:$CH$13, U$2, MATCH($B$94, BOND!$B$16:$CH$16, 0)+MATCH($C107, BOND!$C$18:$N$18,0)) )</f>
        <v>3.4329999999999998</v>
      </c>
      <c r="V107" s="80">
        <f>IF( INDEX(BOND!$B$2:$CH$13, V$2, MATCH($B$94, BOND!$B$16:$CH$16, 0)+MATCH($C107, BOND!$C$18:$N$18,0) )=0,
"",
INDEX(BOND!$B$2:$CH$13, V$2, MATCH($B$94, BOND!$B$16:$CH$16, 0)+MATCH($C107, BOND!$C$18:$N$18,0)) )</f>
        <v>3.3464583333333349</v>
      </c>
      <c r="W107" s="80">
        <f>IF( INDEX(BOND!$B$2:$CH$13, W$2, MATCH($B$94, BOND!$B$16:$CH$16, 0)+MATCH($C107, BOND!$C$18:$N$18,0) )=0,
"",
INDEX(BOND!$B$2:$CH$13, W$2, MATCH($B$94, BOND!$B$16:$CH$16, 0)+MATCH($C107, BOND!$C$18:$N$18,0)) )</f>
        <v>3.1659999999999999</v>
      </c>
      <c r="X107" s="80">
        <f>IF( INDEX(BOND!$B$2:$CH$13, X$2, MATCH($B$94, BOND!$B$16:$CH$16, 0)+MATCH($C107, BOND!$C$18:$N$18,0) )=0,
"",
INDEX(BOND!$B$2:$CH$13, X$2, MATCH($B$94, BOND!$B$16:$CH$16, 0)+MATCH($C107, BOND!$C$18:$N$18,0)) )</f>
        <v>3.6040000000000001</v>
      </c>
      <c r="Y107" s="80">
        <f>IF( INDEX(BOND!$B$2:$CH$13, Y$2, MATCH($B$94, BOND!$B$16:$CH$16, 0)+MATCH($C107, BOND!$C$18:$N$18,0) )=0,
"",
INDEX(BOND!$B$2:$CH$13, Y$2, MATCH($B$94, BOND!$B$16:$CH$16, 0)+MATCH($C107, BOND!$C$18:$N$18,0)) )</f>
        <v>3.5516760000000005</v>
      </c>
      <c r="Z107" s="80">
        <f>IF( INDEX(BOND!$B$2:$CH$13, Z$2, MATCH($B$94, BOND!$B$16:$CH$16, 0)+MATCH($C107, BOND!$C$18:$N$18,0) )=0,
"",
INDEX(BOND!$B$2:$CH$13, Z$2, MATCH($B$94, BOND!$B$16:$CH$16, 0)+MATCH($C107, BOND!$C$18:$N$18,0)) )</f>
        <v>3.1659999999999999</v>
      </c>
      <c r="AA107" s="80">
        <f>IF( INDEX(BOND!$B$2:$CH$13, AA$2, MATCH($B$94, BOND!$B$16:$CH$16, 0)+MATCH($C107, BOND!$C$18:$N$18,0) )=0,
"",
INDEX(BOND!$B$2:$CH$13, AA$2, MATCH($B$94, BOND!$B$16:$CH$16, 0)+MATCH($C107, BOND!$C$18:$N$18,0)) )</f>
        <v>4.101</v>
      </c>
    </row>
    <row r="108" spans="2:27">
      <c r="D108" s="53"/>
      <c r="E108" s="52" t="s">
        <v>267</v>
      </c>
      <c r="F108" s="81">
        <f>IF(F107=0,"",(F107-AD28)*IF($C$7=1,-1,1))</f>
        <v>0.62650000000000006</v>
      </c>
      <c r="G108" s="82">
        <f>IF(G107=0,"",(G107-AE28)*IF($C$7=1,-1,1))</f>
        <v>0.61950000000000038</v>
      </c>
      <c r="H108" s="82">
        <f>IF(H107=0,"",(H107-AF28)*IF($C$7=1,-1,1))</f>
        <v>0.6160000000000001</v>
      </c>
      <c r="I108" s="82">
        <f>IF(I107=0,"",(I107-AG28)*IF($C$7=1,-1,1))</f>
        <v>0.629</v>
      </c>
      <c r="J108" s="82">
        <f>IF(J107=0,"",(J107-AH28)*IF($C$7=1,-1,1))</f>
        <v>0.63500000000000023</v>
      </c>
      <c r="K108" s="82">
        <f>IF(K107=0,"",(K107-AI28)*IF($C$7=1,-1,1))</f>
        <v>0.64849999999999985</v>
      </c>
      <c r="L108" s="82">
        <f>IF(L107=0,"",(L107-AJ28)*IF($C$7=1,-1,1))</f>
        <v>0.64000000000000012</v>
      </c>
      <c r="M108" s="82">
        <f>IF(M107=0,"",(M107-AK28)*IF($C$7=1,-1,1))</f>
        <v>0.62950000000000017</v>
      </c>
      <c r="N108" s="82">
        <f>IF(N107=0,"",(N107-AL28)*IF($C$7=1,-1,1))</f>
        <v>0.63850000000000007</v>
      </c>
      <c r="O108" s="82">
        <f>IF(O107=0,"",(O107-AM28)*IF($C$7=1,-1,1))</f>
        <v>0.64250000000000007</v>
      </c>
      <c r="P108" s="83">
        <f>IF(   P107="", "", (P107 - INDEX(IRS!$B$2:$Y$13, P$2, MATCH($E107,IRS!$B$1:$Y$1, 0)) ) * IF($C$7=1,-1,1)   )</f>
        <v>0.63047500000000012</v>
      </c>
      <c r="Q108" s="84">
        <f>IF(   Q107="", "", (Q107 - INDEX(IRS!$B$2:$Y$13, Q$2, MATCH($E107,IRS!$B$1:$Y$1, 0)) ) * IF($C$7=1,-1,1)   )</f>
        <v>0.63850000000000007</v>
      </c>
      <c r="R108" s="85">
        <f>IF(   R107="", "", (R107 - INDEX(IRS!$B$2:$Y$13, R$2, MATCH($E107,IRS!$B$1:$Y$1, 0)) ) * IF($C$7=1,-1,1)   )</f>
        <v>0.61399999999999988</v>
      </c>
      <c r="S108" s="86">
        <f>IF(   S107="", "", (S107 - INDEX(IRS!$B$2:$Y$13, S$2, MATCH($E107,IRS!$B$1:$Y$1, 0)) ) * IF($C$7=1,-1,1)   )</f>
        <v>0.627541666666668</v>
      </c>
      <c r="T108" s="84">
        <f>IF(   T107="", "", (T107 - INDEX(IRS!$B$2:$Y$13, T$2, MATCH($E107,IRS!$B$1:$Y$1, 0)) ) * IF($C$7=1,-1,1)   )</f>
        <v>0.63850000000000007</v>
      </c>
      <c r="U108" s="87">
        <f>IF(   U107="", "", (U107 - INDEX(IRS!$B$2:$Y$13, U$2, MATCH($E107,IRS!$B$1:$Y$1, 0)) ) * IF($C$7=1,-1,1)   )</f>
        <v>0.67799999999999994</v>
      </c>
      <c r="V108" s="83">
        <f>IF(   V107="", "", (V107 - INDEX(IRS!$B$2:$Y$13, V$2, MATCH($E107,IRS!$B$1:$Y$1, 0)) ) * IF($C$7=1,-1,1)   )</f>
        <v>0.62708333333333632</v>
      </c>
      <c r="W108" s="84">
        <f>IF(   W107="", "", (W107 - INDEX(IRS!$B$2:$Y$13, W$2, MATCH($E107,IRS!$B$1:$Y$1, 0)) ) * IF($C$7=1,-1,1)   )</f>
        <v>0.64599999999999991</v>
      </c>
      <c r="X108" s="85">
        <f>IF(   X107="", "", (X107 - INDEX(IRS!$B$2:$Y$13, X$2, MATCH($E107,IRS!$B$1:$Y$1, 0)) ) * IF($C$7=1,-1,1)   )</f>
        <v>0.58899999999999997</v>
      </c>
      <c r="Y108" s="83">
        <f>IF(   Y107="", "", (Y107 - INDEX(IRS!$B$2:$Y$13, Y$2, MATCH($E107,IRS!$B$1:$Y$1, 0)) ) * IF($C$7=1,-1,1)   )</f>
        <v>0.60181600000000213</v>
      </c>
      <c r="Z108" s="84">
        <f>IF(   Z107="", "", (Z107 - INDEX(IRS!$B$2:$Y$13, Z$2, MATCH($E107,IRS!$B$1:$Y$1, 0)) ) * IF($C$7=1,-1,1)   )</f>
        <v>0.64599999999999991</v>
      </c>
      <c r="AA108" s="85">
        <f>IF(   AA107="", "", (AA107 - INDEX(IRS!$B$2:$Y$13, AA$2, MATCH($E107,IRS!$B$1:$Y$1, 0)) ) * IF($C$7=1,-1,1)   )</f>
        <v>0.53600000000000003</v>
      </c>
    </row>
    <row r="109" spans="2:27">
      <c r="B109" s="6" t="str">
        <f>_xll.IMDH("IR",$B$94,$C109,$O$9,$F$9,10,"Per=일, sort=D, real=true, Bizday=0, Quote=종가,Pos=40,Orient=H,DtFmt=1.TmFmt=1")</f>
        <v>조회[BONDAVG58]</v>
      </c>
      <c r="C109" s="6" t="s">
        <v>241</v>
      </c>
      <c r="D109" s="53"/>
      <c r="E109" s="51" t="s">
        <v>256</v>
      </c>
      <c r="F109" s="88">
        <v>3.35</v>
      </c>
      <c r="G109" s="89">
        <v>3.3380000000000001</v>
      </c>
      <c r="H109" s="89">
        <v>3.3159999999999998</v>
      </c>
      <c r="I109" s="89">
        <v>3.327</v>
      </c>
      <c r="J109" s="89">
        <v>3.3290000000000002</v>
      </c>
      <c r="K109" s="89">
        <v>3.3109999999999999</v>
      </c>
      <c r="L109" s="89">
        <v>3.298</v>
      </c>
      <c r="M109" s="89">
        <v>3.302</v>
      </c>
      <c r="N109" s="89">
        <v>3.2919999999999998</v>
      </c>
      <c r="O109" s="89">
        <v>3.278</v>
      </c>
      <c r="P109" s="80">
        <f>IF( INDEX(BOND!$B$2:$CH$13, P$2, MATCH($B$94, BOND!$B$16:$CH$16, 0)+MATCH($C109, BOND!$C$18:$N$18,0) )=0,
"",
INDEX(BOND!$B$2:$CH$13, P$2, MATCH($B$94, BOND!$B$16:$CH$16, 0)+MATCH($C109, BOND!$C$18:$N$18,0)) )</f>
        <v>3.3054499999999996</v>
      </c>
      <c r="Q109" s="80">
        <f>IF( INDEX(BOND!$B$2:$CH$13, Q$2, MATCH($B$94, BOND!$B$16:$CH$16, 0)+MATCH($C109, BOND!$C$18:$N$18,0) )=0,
"",
INDEX(BOND!$B$2:$CH$13, Q$2, MATCH($B$94, BOND!$B$16:$CH$16, 0)+MATCH($C109, BOND!$C$18:$N$18,0)) )</f>
        <v>3.2559999999999998</v>
      </c>
      <c r="R109" s="80">
        <f>IF( INDEX(BOND!$B$2:$CH$13, R$2, MATCH($B$94, BOND!$B$16:$CH$16, 0)+MATCH($C109, BOND!$C$18:$N$18,0) )=0,
"",
INDEX(BOND!$B$2:$CH$13, R$2, MATCH($B$94, BOND!$B$16:$CH$16, 0)+MATCH($C109, BOND!$C$18:$N$18,0)) )</f>
        <v>3.35</v>
      </c>
      <c r="S109" s="80">
        <f>IF( INDEX(BOND!$B$2:$CH$13, S$2, MATCH($B$94, BOND!$B$16:$CH$16, 0)+MATCH($C109, BOND!$C$18:$N$18,0) )=0,
"",
INDEX(BOND!$B$2:$CH$13, S$2, MATCH($B$94, BOND!$B$16:$CH$16, 0)+MATCH($C109, BOND!$C$18:$N$18,0)) )</f>
        <v>3.3520333333333312</v>
      </c>
      <c r="T109" s="80">
        <f>IF( INDEX(BOND!$B$2:$CH$13, T$2, MATCH($B$94, BOND!$B$16:$CH$16, 0)+MATCH($C109, BOND!$C$18:$N$18,0) )=0,
"",
INDEX(BOND!$B$2:$CH$13, T$2, MATCH($B$94, BOND!$B$16:$CH$16, 0)+MATCH($C109, BOND!$C$18:$N$18,0)) )</f>
        <v>3.2559999999999998</v>
      </c>
      <c r="U109" s="80">
        <f>IF( INDEX(BOND!$B$2:$CH$13, U$2, MATCH($B$94, BOND!$B$16:$CH$16, 0)+MATCH($C109, BOND!$C$18:$N$18,0) )=0,
"",
INDEX(BOND!$B$2:$CH$13, U$2, MATCH($B$94, BOND!$B$16:$CH$16, 0)+MATCH($C109, BOND!$C$18:$N$18,0)) )</f>
        <v>3.5230000000000001</v>
      </c>
      <c r="V109" s="80">
        <f>IF( INDEX(BOND!$B$2:$CH$13, V$2, MATCH($B$94, BOND!$B$16:$CH$16, 0)+MATCH($C109, BOND!$C$18:$N$18,0) )=0,
"",
INDEX(BOND!$B$2:$CH$13, V$2, MATCH($B$94, BOND!$B$16:$CH$16, 0)+MATCH($C109, BOND!$C$18:$N$18,0)) )</f>
        <v>3.4387749999999992</v>
      </c>
      <c r="W109" s="80">
        <f>IF( INDEX(BOND!$B$2:$CH$13, W$2, MATCH($B$94, BOND!$B$16:$CH$16, 0)+MATCH($C109, BOND!$C$18:$N$18,0) )=0,
"",
INDEX(BOND!$B$2:$CH$13, W$2, MATCH($B$94, BOND!$B$16:$CH$16, 0)+MATCH($C109, BOND!$C$18:$N$18,0)) )</f>
        <v>3.2559999999999998</v>
      </c>
      <c r="X109" s="80">
        <f>IF( INDEX(BOND!$B$2:$CH$13, X$2, MATCH($B$94, BOND!$B$16:$CH$16, 0)+MATCH($C109, BOND!$C$18:$N$18,0) )=0,
"",
INDEX(BOND!$B$2:$CH$13, X$2, MATCH($B$94, BOND!$B$16:$CH$16, 0)+MATCH($C109, BOND!$C$18:$N$18,0)) )</f>
        <v>3.68</v>
      </c>
      <c r="Y109" s="80">
        <f>IF( INDEX(BOND!$B$2:$CH$13, Y$2, MATCH($B$94, BOND!$B$16:$CH$16, 0)+MATCH($C109, BOND!$C$18:$N$18,0) )=0,
"",
INDEX(BOND!$B$2:$CH$13, Y$2, MATCH($B$94, BOND!$B$16:$CH$16, 0)+MATCH($C109, BOND!$C$18:$N$18,0)) )</f>
        <v>3.6603680000000027</v>
      </c>
      <c r="Z109" s="80">
        <f>IF( INDEX(BOND!$B$2:$CH$13, Z$2, MATCH($B$94, BOND!$B$16:$CH$16, 0)+MATCH($C109, BOND!$C$18:$N$18,0) )=0,
"",
INDEX(BOND!$B$2:$CH$13, Z$2, MATCH($B$94, BOND!$B$16:$CH$16, 0)+MATCH($C109, BOND!$C$18:$N$18,0)) )</f>
        <v>3.2559999999999998</v>
      </c>
      <c r="AA109" s="80">
        <f>IF( INDEX(BOND!$B$2:$CH$13, AA$2, MATCH($B$94, BOND!$B$16:$CH$16, 0)+MATCH($C109, BOND!$C$18:$N$18,0) )=0,
"",
INDEX(BOND!$B$2:$CH$13, AA$2, MATCH($B$94, BOND!$B$16:$CH$16, 0)+MATCH($C109, BOND!$C$18:$N$18,0)) )</f>
        <v>4.2789999999999999</v>
      </c>
    </row>
    <row r="110" spans="2:27">
      <c r="D110" s="53"/>
      <c r="E110" s="52" t="s">
        <v>267</v>
      </c>
      <c r="F110" s="81">
        <f>IF(F109=0,"",(F109-AD30)*IF($C$7=1,-1,1))</f>
        <v>0.73750000000000027</v>
      </c>
      <c r="G110" s="82">
        <f>IF(G109=0,"",(G109-AE30)*IF($C$7=1,-1,1))</f>
        <v>0.73550000000000004</v>
      </c>
      <c r="H110" s="82">
        <f>IF(H109=0,"",(H109-AF30)*IF($C$7=1,-1,1))</f>
        <v>0.72099999999999964</v>
      </c>
      <c r="I110" s="82">
        <f>IF(I109=0,"",(I109-AG30)*IF($C$7=1,-1,1))</f>
        <v>0.74449999999999994</v>
      </c>
      <c r="J110" s="82">
        <f>IF(J109=0,"",(J109-AH30)*IF($C$7=1,-1,1))</f>
        <v>0.73650000000000038</v>
      </c>
      <c r="K110" s="82">
        <f>IF(K109=0,"",(K109-AI30)*IF($C$7=1,-1,1))</f>
        <v>0.73850000000000016</v>
      </c>
      <c r="L110" s="82">
        <f>IF(L109=0,"",(L109-AJ30)*IF($C$7=1,-1,1))</f>
        <v>0.71550000000000002</v>
      </c>
      <c r="M110" s="82">
        <f>IF(M109=0,"",(M109-AK30)*IF($C$7=1,-1,1))</f>
        <v>0.71700000000000008</v>
      </c>
      <c r="N110" s="82">
        <f>IF(N109=0,"",(N109-AL30)*IF($C$7=1,-1,1))</f>
        <v>0.73449999999999971</v>
      </c>
      <c r="O110" s="82">
        <f>IF(O109=0,"",(O109-AM30)*IF($C$7=1,-1,1))</f>
        <v>0.74049999999999994</v>
      </c>
      <c r="P110" s="83">
        <f>IF(   P109="", "", (P109 - INDEX(IRS!$B$2:$Y$13, P$2, MATCH($E109,IRS!$B$1:$Y$1, 0)) ) * IF($C$7=1,-1,1)   )</f>
        <v>0.72532499999999978</v>
      </c>
      <c r="Q110" s="84">
        <f>IF(   Q109="", "", (Q109 - INDEX(IRS!$B$2:$Y$13, Q$2, MATCH($E109,IRS!$B$1:$Y$1, 0)) ) * IF($C$7=1,-1,1)   )</f>
        <v>0.72099999999999964</v>
      </c>
      <c r="R110" s="85">
        <f>IF(   R109="", "", (R109 - INDEX(IRS!$B$2:$Y$13, R$2, MATCH($E109,IRS!$B$1:$Y$1, 0)) ) * IF($C$7=1,-1,1)   )</f>
        <v>0.72500000000000009</v>
      </c>
      <c r="S110" s="86">
        <f>IF(   S109="", "", (S109 - INDEX(IRS!$B$2:$Y$13, S$2, MATCH($E109,IRS!$B$1:$Y$1, 0)) ) * IF($C$7=1,-1,1)   )</f>
        <v>0.71769999999999845</v>
      </c>
      <c r="T110" s="84">
        <f>IF(   T109="", "", (T109 - INDEX(IRS!$B$2:$Y$13, T$2, MATCH($E109,IRS!$B$1:$Y$1, 0)) ) * IF($C$7=1,-1,1)   )</f>
        <v>0.72099999999999964</v>
      </c>
      <c r="U110" s="87">
        <f>IF(   U109="", "", (U109 - INDEX(IRS!$B$2:$Y$13, U$2, MATCH($E109,IRS!$B$1:$Y$1, 0)) ) * IF($C$7=1,-1,1)   )</f>
        <v>0.76300000000000034</v>
      </c>
      <c r="V110" s="83">
        <f>IF(   V109="", "", (V109 - INDEX(IRS!$B$2:$Y$13, V$2, MATCH($E109,IRS!$B$1:$Y$1, 0)) ) * IF($C$7=1,-1,1)   )</f>
        <v>0.71735833333333332</v>
      </c>
      <c r="W110" s="84">
        <f>IF(   W109="", "", (W109 - INDEX(IRS!$B$2:$Y$13, W$2, MATCH($E109,IRS!$B$1:$Y$1, 0)) ) * IF($C$7=1,-1,1)   )</f>
        <v>0.74849999999999994</v>
      </c>
      <c r="X110" s="85">
        <f>IF(   X109="", "", (X109 - INDEX(IRS!$B$2:$Y$13, X$2, MATCH($E109,IRS!$B$1:$Y$1, 0)) ) * IF($C$7=1,-1,1)   )</f>
        <v>0.66000000000000014</v>
      </c>
      <c r="Y110" s="83">
        <f>IF(   Y109="", "", (Y109 - INDEX(IRS!$B$2:$Y$13, Y$2, MATCH($E109,IRS!$B$1:$Y$1, 0)) ) * IF($C$7=1,-1,1)   )</f>
        <v>0.71554800000000496</v>
      </c>
      <c r="Z110" s="84">
        <f>IF(   Z109="", "", (Z109 - INDEX(IRS!$B$2:$Y$13, Z$2, MATCH($E109,IRS!$B$1:$Y$1, 0)) ) * IF($C$7=1,-1,1)   )</f>
        <v>0.74849999999999994</v>
      </c>
      <c r="AA110" s="85">
        <f>IF(   AA109="", "", (AA109 - INDEX(IRS!$B$2:$Y$13, AA$2, MATCH($E109,IRS!$B$1:$Y$1, 0)) ) * IF($C$7=1,-1,1)   )</f>
        <v>0.70650000000000013</v>
      </c>
    </row>
    <row r="111" spans="2:27">
      <c r="C111" s="6">
        <v>10</v>
      </c>
      <c r="D111" s="45"/>
      <c r="E111" s="56" t="s">
        <v>225</v>
      </c>
      <c r="F111" s="63">
        <f>F$9</f>
        <v>45741</v>
      </c>
      <c r="G111" s="65">
        <f t="shared" ref="G111:N111" si="5">G$9</f>
        <v>45740</v>
      </c>
      <c r="H111" s="65">
        <f t="shared" si="5"/>
        <v>45737</v>
      </c>
      <c r="I111" s="65">
        <f t="shared" si="5"/>
        <v>45736</v>
      </c>
      <c r="J111" s="65">
        <f t="shared" si="5"/>
        <v>45735</v>
      </c>
      <c r="K111" s="65">
        <f t="shared" si="5"/>
        <v>45734</v>
      </c>
      <c r="L111" s="65">
        <f t="shared" si="5"/>
        <v>45733</v>
      </c>
      <c r="M111" s="65">
        <f t="shared" si="5"/>
        <v>45730</v>
      </c>
      <c r="N111" s="61">
        <f t="shared" si="5"/>
        <v>45729</v>
      </c>
      <c r="O111" s="59">
        <f>O$9</f>
        <v>45728</v>
      </c>
      <c r="P111" s="68" t="str">
        <f>$P$13</f>
        <v>20D</v>
      </c>
      <c r="Q111" s="68"/>
      <c r="R111" s="68"/>
      <c r="S111" s="68" t="str">
        <f>$S$13</f>
        <v>60D</v>
      </c>
      <c r="T111" s="68"/>
      <c r="U111" s="68"/>
      <c r="V111" s="68" t="str">
        <f>$V$13</f>
        <v>120D</v>
      </c>
      <c r="W111" s="68"/>
      <c r="X111" s="68"/>
      <c r="Y111" s="68" t="str">
        <f>$Y$13</f>
        <v>250D</v>
      </c>
      <c r="Z111" s="68"/>
      <c r="AA111" s="68"/>
    </row>
    <row r="112" spans="2:27">
      <c r="B112" s="6" t="str">
        <f>INDEX(code_list,$C111,1)</f>
        <v>BONDAVG09</v>
      </c>
      <c r="C112" s="6" t="str">
        <f>INDEX(name_list,$C111,1)</f>
        <v>특수채 공사채 AAA</v>
      </c>
      <c r="D112" s="45"/>
      <c r="E112" s="57"/>
      <c r="F112" s="64"/>
      <c r="G112" s="66"/>
      <c r="H112" s="66"/>
      <c r="I112" s="66"/>
      <c r="J112" s="66"/>
      <c r="K112" s="66"/>
      <c r="L112" s="66"/>
      <c r="M112" s="66"/>
      <c r="N112" s="62"/>
      <c r="O112" s="60"/>
      <c r="P112" s="55" t="s">
        <v>21</v>
      </c>
      <c r="Q112" s="55" t="s">
        <v>22</v>
      </c>
      <c r="R112" s="55" t="s">
        <v>23</v>
      </c>
      <c r="S112" s="55" t="s">
        <v>21</v>
      </c>
      <c r="T112" s="55" t="s">
        <v>22</v>
      </c>
      <c r="U112" s="55" t="s">
        <v>23</v>
      </c>
      <c r="V112" s="55" t="s">
        <v>21</v>
      </c>
      <c r="W112" s="55" t="s">
        <v>22</v>
      </c>
      <c r="X112" s="55" t="s">
        <v>23</v>
      </c>
      <c r="Y112" s="55" t="s">
        <v>21</v>
      </c>
      <c r="Z112" s="55" t="s">
        <v>22</v>
      </c>
      <c r="AA112" s="55" t="s">
        <v>23</v>
      </c>
    </row>
    <row r="113" spans="1:27">
      <c r="B113" s="6" t="str">
        <f>_xll.IMDH("IR",$B$112,$C113,$O$9,$F$9,10,"Per=일, sort=D, real=true, Bizday=0, Quote=종가,Pos=40,Orient=H,DtFmt=1.TmFmt=1")</f>
        <v>조회[BONDAVG09]</v>
      </c>
      <c r="C113" s="6" t="s">
        <v>297</v>
      </c>
      <c r="D113" s="45"/>
      <c r="E113" s="51" t="s">
        <v>249</v>
      </c>
      <c r="F113" s="88">
        <v>2.8679999999999999</v>
      </c>
      <c r="G113" s="89">
        <v>2.8769999999999998</v>
      </c>
      <c r="H113" s="89">
        <v>2.8679999999999999</v>
      </c>
      <c r="I113" s="89">
        <v>2.8650000000000002</v>
      </c>
      <c r="J113" s="89">
        <v>2.8660000000000001</v>
      </c>
      <c r="K113" s="89">
        <v>2.8660000000000001</v>
      </c>
      <c r="L113" s="89">
        <v>2.8660000000000001</v>
      </c>
      <c r="M113" s="89">
        <v>2.8679999999999999</v>
      </c>
      <c r="N113" s="89">
        <v>2.8660000000000001</v>
      </c>
      <c r="O113" s="89">
        <v>2.8610000000000002</v>
      </c>
      <c r="P113" s="80">
        <f>IF( INDEX(BOND!$B$2:$CH$13, P$2, MATCH($B$112, BOND!$B$16:$CH$16, 0)+MATCH($C113, BOND!$C$18:$N$18,0) )=0,
"",
INDEX(BOND!$B$2:$CH$13, P$2, MATCH($B$112, BOND!$B$16:$CH$16, 0)+MATCH($C113, BOND!$C$18:$N$18,0)) )</f>
        <v>2.8747999999999996</v>
      </c>
      <c r="Q113" s="80">
        <f>IF( INDEX(BOND!$B$2:$CH$13, Q$2, MATCH($B$112, BOND!$B$16:$CH$16, 0)+MATCH($C113, BOND!$C$18:$N$18,0) )=0,
"",
INDEX(BOND!$B$2:$CH$13, Q$2, MATCH($B$112, BOND!$B$16:$CH$16, 0)+MATCH($C113, BOND!$C$18:$N$18,0)) )</f>
        <v>2.8610000000000002</v>
      </c>
      <c r="R113" s="80">
        <f>IF( INDEX(BOND!$B$2:$CH$13, R$2, MATCH($B$112, BOND!$B$16:$CH$16, 0)+MATCH($C113, BOND!$C$18:$N$18,0) )=0,
"",
INDEX(BOND!$B$2:$CH$13, R$2, MATCH($B$112, BOND!$B$16:$CH$16, 0)+MATCH($C113, BOND!$C$18:$N$18,0)) )</f>
        <v>2.8940000000000001</v>
      </c>
      <c r="S113" s="80">
        <f>IF( INDEX(BOND!$B$2:$CH$13, S$2, MATCH($B$112, BOND!$B$16:$CH$16, 0)+MATCH($C113, BOND!$C$18:$N$18,0) )=0,
"",
INDEX(BOND!$B$2:$CH$13, S$2, MATCH($B$112, BOND!$B$16:$CH$16, 0)+MATCH($C113, BOND!$C$18:$N$18,0)) )</f>
        <v>2.991099999999999</v>
      </c>
      <c r="T113" s="80">
        <f>IF( INDEX(BOND!$B$2:$CH$13, T$2, MATCH($B$112, BOND!$B$16:$CH$16, 0)+MATCH($C113, BOND!$C$18:$N$18,0) )=0,
"",
INDEX(BOND!$B$2:$CH$13, T$2, MATCH($B$112, BOND!$B$16:$CH$16, 0)+MATCH($C113, BOND!$C$18:$N$18,0)) )</f>
        <v>2.8610000000000002</v>
      </c>
      <c r="U113" s="80">
        <f>IF( INDEX(BOND!$B$2:$CH$13, U$2, MATCH($B$112, BOND!$B$16:$CH$16, 0)+MATCH($C113, BOND!$C$18:$N$18,0) )=0,
"",
INDEX(BOND!$B$2:$CH$13, U$2, MATCH($B$112, BOND!$B$16:$CH$16, 0)+MATCH($C113, BOND!$C$18:$N$18,0)) )</f>
        <v>3.3210000000000002</v>
      </c>
      <c r="V113" s="80">
        <f>IF( INDEX(BOND!$B$2:$CH$13, V$2, MATCH($B$112, BOND!$B$16:$CH$16, 0)+MATCH($C113, BOND!$C$18:$N$18,0) )=0,
"",
INDEX(BOND!$B$2:$CH$13, V$2, MATCH($B$112, BOND!$B$16:$CH$16, 0)+MATCH($C113, BOND!$C$18:$N$18,0)) )</f>
        <v>3.1622916666666656</v>
      </c>
      <c r="W113" s="80">
        <f>IF( INDEX(BOND!$B$2:$CH$13, W$2, MATCH($B$112, BOND!$B$16:$CH$16, 0)+MATCH($C113, BOND!$C$18:$N$18,0) )=0,
"",
INDEX(BOND!$B$2:$CH$13, W$2, MATCH($B$112, BOND!$B$16:$CH$16, 0)+MATCH($C113, BOND!$C$18:$N$18,0)) )</f>
        <v>2.8610000000000002</v>
      </c>
      <c r="X113" s="80">
        <f>IF( INDEX(BOND!$B$2:$CH$13, X$2, MATCH($B$112, BOND!$B$16:$CH$16, 0)+MATCH($C113, BOND!$C$18:$N$18,0) )=0,
"",
INDEX(BOND!$B$2:$CH$13, X$2, MATCH($B$112, BOND!$B$16:$CH$16, 0)+MATCH($C113, BOND!$C$18:$N$18,0)) )</f>
        <v>3.4</v>
      </c>
      <c r="Y113" s="80">
        <f>IF( INDEX(BOND!$B$2:$CH$13, Y$2, MATCH($B$112, BOND!$B$16:$CH$16, 0)+MATCH($C113, BOND!$C$18:$N$18,0) )=0,
"",
INDEX(BOND!$B$2:$CH$13, Y$2, MATCH($B$112, BOND!$B$16:$CH$16, 0)+MATCH($C113, BOND!$C$18:$N$18,0)) )</f>
        <v>3.331595999999998</v>
      </c>
      <c r="Z113" s="80">
        <f>IF( INDEX(BOND!$B$2:$CH$13, Z$2, MATCH($B$112, BOND!$B$16:$CH$16, 0)+MATCH($C113, BOND!$C$18:$N$18,0) )=0,
"",
INDEX(BOND!$B$2:$CH$13, Z$2, MATCH($B$112, BOND!$B$16:$CH$16, 0)+MATCH($C113, BOND!$C$18:$N$18,0)) )</f>
        <v>2.8610000000000002</v>
      </c>
      <c r="AA113" s="80">
        <f>IF( INDEX(BOND!$B$2:$CH$13, AA$2, MATCH($B$112, BOND!$B$16:$CH$16, 0)+MATCH($C113, BOND!$C$18:$N$18,0) )=0,
"",
INDEX(BOND!$B$2:$CH$13, AA$2, MATCH($B$112, BOND!$B$16:$CH$16, 0)+MATCH($C113, BOND!$C$18:$N$18,0)) )</f>
        <v>3.605</v>
      </c>
    </row>
    <row r="114" spans="1:27">
      <c r="D114" s="45"/>
      <c r="E114" s="52" t="s">
        <v>267</v>
      </c>
      <c r="F114" s="81">
        <f>IF(F113=0,"",(F113-AD16)*IF($C$7=1,-1,1))</f>
        <v>9.5499999999999918E-2</v>
      </c>
      <c r="G114" s="82">
        <f>IF(G113=0,"",(G113-AE16)*IF($C$7=1,-1,1))</f>
        <v>0.11199999999999966</v>
      </c>
      <c r="H114" s="82">
        <f>IF(H113=0,"",(H113-AF16)*IF($C$7=1,-1,1))</f>
        <v>0.10549999999999971</v>
      </c>
      <c r="I114" s="82">
        <f>IF(I113=0,"",(I113-AG16)*IF($C$7=1,-1,1))</f>
        <v>0.10500000000000043</v>
      </c>
      <c r="J114" s="82">
        <f>IF(J113=0,"",(J113-AH16)*IF($C$7=1,-1,1))</f>
        <v>9.8500000000000032E-2</v>
      </c>
      <c r="K114" s="82">
        <f>IF(K113=0,"",(K113-AI16)*IF($C$7=1,-1,1))</f>
        <v>0.10099999999999998</v>
      </c>
      <c r="L114" s="82">
        <f>IF(L113=0,"",(L113-AJ16)*IF($C$7=1,-1,1))</f>
        <v>0.10099999999999998</v>
      </c>
      <c r="M114" s="82">
        <f>IF(M113=0,"",(M113-AK16)*IF($C$7=1,-1,1))</f>
        <v>0.1080000000000001</v>
      </c>
      <c r="N114" s="82">
        <f>IF(N113=0,"",(N113-AL16)*IF($C$7=1,-1,1))</f>
        <v>0.10850000000000026</v>
      </c>
      <c r="O114" s="82">
        <f>IF(O113=0,"",(O113-AM16)*IF($C$7=1,-1,1))</f>
        <v>0.1160000000000001</v>
      </c>
      <c r="P114" s="83">
        <f>IF(   P113="", "", (P113 - INDEX(IRS!$B$2:$Y$13, P$2, MATCH($E113,IRS!$B$1:$Y$1, 0)) ) * IF($C$7=1,-1,1)   )</f>
        <v>0.10904999999999943</v>
      </c>
      <c r="Q114" s="84">
        <f>IF(   Q113="", "", (Q113 - INDEX(IRS!$B$2:$Y$13, Q$2, MATCH($E113,IRS!$B$1:$Y$1, 0)) ) * IF($C$7=1,-1,1)   )</f>
        <v>0.1160000000000001</v>
      </c>
      <c r="R114" s="85">
        <f>IF(   R113="", "", (R113 - INDEX(IRS!$B$2:$Y$13, R$2, MATCH($E113,IRS!$B$1:$Y$1, 0)) ) * IF($C$7=1,-1,1)   )</f>
        <v>9.4000000000000306E-2</v>
      </c>
      <c r="S114" s="86">
        <f>IF(   S113="", "", (S113 - INDEX(IRS!$B$2:$Y$13, S$2, MATCH($E113,IRS!$B$1:$Y$1, 0)) ) * IF($C$7=1,-1,1)   )</f>
        <v>0.11322499999999858</v>
      </c>
      <c r="T114" s="84">
        <f>IF(   T113="", "", (T113 - INDEX(IRS!$B$2:$Y$13, T$2, MATCH($E113,IRS!$B$1:$Y$1, 0)) ) * IF($C$7=1,-1,1)   )</f>
        <v>0.1160000000000001</v>
      </c>
      <c r="U114" s="87">
        <f>IF(   U113="", "", (U113 - INDEX(IRS!$B$2:$Y$13, U$2, MATCH($E113,IRS!$B$1:$Y$1, 0)) ) * IF($C$7=1,-1,1)   )</f>
        <v>0.13350000000000017</v>
      </c>
      <c r="V114" s="83">
        <f>IF(   V113="", "", (V113 - INDEX(IRS!$B$2:$Y$13, V$2, MATCH($E113,IRS!$B$1:$Y$1, 0)) ) * IF($C$7=1,-1,1)   )</f>
        <v>9.7645833333331211E-2</v>
      </c>
      <c r="W114" s="84">
        <f>IF(   W113="", "", (W113 - INDEX(IRS!$B$2:$Y$13, W$2, MATCH($E113,IRS!$B$1:$Y$1, 0)) ) * IF($C$7=1,-1,1)   )</f>
        <v>0.1160000000000001</v>
      </c>
      <c r="X114" s="85">
        <f>IF(   X113="", "", (X113 - INDEX(IRS!$B$2:$Y$13, X$2, MATCH($E113,IRS!$B$1:$Y$1, 0)) ) * IF($C$7=1,-1,1)   )</f>
        <v>-1.2500000000000178E-2</v>
      </c>
      <c r="Y114" s="83">
        <f>IF(   Y113="", "", (Y113 - INDEX(IRS!$B$2:$Y$13, Y$2, MATCH($E113,IRS!$B$1:$Y$1, 0)) ) * IF($C$7=1,-1,1)   )</f>
        <v>3.1805999999996004E-2</v>
      </c>
      <c r="Z114" s="84">
        <f>IF(   Z113="", "", (Z113 - INDEX(IRS!$B$2:$Y$13, Z$2, MATCH($E113,IRS!$B$1:$Y$1, 0)) ) * IF($C$7=1,-1,1)   )</f>
        <v>0.1160000000000001</v>
      </c>
      <c r="AA114" s="85">
        <f>IF(   AA113="", "", (AA113 - INDEX(IRS!$B$2:$Y$13, AA$2, MATCH($E113,IRS!$B$1:$Y$1, 0)) ) * IF($C$7=1,-1,1)   )</f>
        <v>-3.2500000000000195E-2</v>
      </c>
    </row>
    <row r="115" spans="1:27">
      <c r="B115" s="6" t="str">
        <f>_xll.IMDH("IR",$B$112,$C115,$O$9,$F$9,10,"Per=일, sort=D, real=true, Bizday=0, Quote=종가,Pos=40,Orient=H,DtFmt=1.TmFmt=1")</f>
        <v>조회[BONDAVG09]</v>
      </c>
      <c r="C115" s="6" t="s">
        <v>298</v>
      </c>
      <c r="D115" s="45"/>
      <c r="E115" s="51" t="s">
        <v>250</v>
      </c>
      <c r="F115" s="88">
        <v>2.8490000000000002</v>
      </c>
      <c r="G115" s="89">
        <v>2.8570000000000002</v>
      </c>
      <c r="H115" s="89">
        <v>2.843</v>
      </c>
      <c r="I115" s="89">
        <v>2.839</v>
      </c>
      <c r="J115" s="89">
        <v>2.84</v>
      </c>
      <c r="K115" s="89">
        <v>2.84</v>
      </c>
      <c r="L115" s="89">
        <v>2.8420000000000001</v>
      </c>
      <c r="M115" s="89">
        <v>2.84</v>
      </c>
      <c r="N115" s="89">
        <v>2.8380000000000001</v>
      </c>
      <c r="O115" s="89">
        <v>2.83</v>
      </c>
      <c r="P115" s="80">
        <f>IF( INDEX(BOND!$B$2:$CH$13, P$2, MATCH($B$112, BOND!$B$16:$CH$16, 0)+MATCH($C115, BOND!$C$18:$N$18,0) )=0,
"",
INDEX(BOND!$B$2:$CH$13, P$2, MATCH($B$112, BOND!$B$16:$CH$16, 0)+MATCH($C115, BOND!$C$18:$N$18,0)) )</f>
        <v>2.8378000000000005</v>
      </c>
      <c r="Q115" s="80">
        <f>IF( INDEX(BOND!$B$2:$CH$13, Q$2, MATCH($B$112, BOND!$B$16:$CH$16, 0)+MATCH($C115, BOND!$C$18:$N$18,0) )=0,
"",
INDEX(BOND!$B$2:$CH$13, Q$2, MATCH($B$112, BOND!$B$16:$CH$16, 0)+MATCH($C115, BOND!$C$18:$N$18,0)) )</f>
        <v>2.8250000000000002</v>
      </c>
      <c r="R115" s="80">
        <f>IF( INDEX(BOND!$B$2:$CH$13, R$2, MATCH($B$112, BOND!$B$16:$CH$16, 0)+MATCH($C115, BOND!$C$18:$N$18,0) )=0,
"",
INDEX(BOND!$B$2:$CH$13, R$2, MATCH($B$112, BOND!$B$16:$CH$16, 0)+MATCH($C115, BOND!$C$18:$N$18,0)) )</f>
        <v>2.8570000000000002</v>
      </c>
      <c r="S115" s="80">
        <f>IF( INDEX(BOND!$B$2:$CH$13, S$2, MATCH($B$112, BOND!$B$16:$CH$16, 0)+MATCH($C115, BOND!$C$18:$N$18,0) )=0,
"",
INDEX(BOND!$B$2:$CH$13, S$2, MATCH($B$112, BOND!$B$16:$CH$16, 0)+MATCH($C115, BOND!$C$18:$N$18,0)) )</f>
        <v>2.8904499999999995</v>
      </c>
      <c r="T115" s="80">
        <f>IF( INDEX(BOND!$B$2:$CH$13, T$2, MATCH($B$112, BOND!$B$16:$CH$16, 0)+MATCH($C115, BOND!$C$18:$N$18,0) )=0,
"",
INDEX(BOND!$B$2:$CH$13, T$2, MATCH($B$112, BOND!$B$16:$CH$16, 0)+MATCH($C115, BOND!$C$18:$N$18,0)) )</f>
        <v>2.823</v>
      </c>
      <c r="U115" s="80">
        <f>IF( INDEX(BOND!$B$2:$CH$13, U$2, MATCH($B$112, BOND!$B$16:$CH$16, 0)+MATCH($C115, BOND!$C$18:$N$18,0) )=0,
"",
INDEX(BOND!$B$2:$CH$13, U$2, MATCH($B$112, BOND!$B$16:$CH$16, 0)+MATCH($C115, BOND!$C$18:$N$18,0)) )</f>
        <v>3.1589999999999998</v>
      </c>
      <c r="V115" s="80">
        <f>IF( INDEX(BOND!$B$2:$CH$13, V$2, MATCH($B$112, BOND!$B$16:$CH$16, 0)+MATCH($C115, BOND!$C$18:$N$18,0) )=0,
"",
INDEX(BOND!$B$2:$CH$13, V$2, MATCH($B$112, BOND!$B$16:$CH$16, 0)+MATCH($C115, BOND!$C$18:$N$18,0)) )</f>
        <v>3.0570250000000012</v>
      </c>
      <c r="W115" s="80">
        <f>IF( INDEX(BOND!$B$2:$CH$13, W$2, MATCH($B$112, BOND!$B$16:$CH$16, 0)+MATCH($C115, BOND!$C$18:$N$18,0) )=0,
"",
INDEX(BOND!$B$2:$CH$13, W$2, MATCH($B$112, BOND!$B$16:$CH$16, 0)+MATCH($C115, BOND!$C$18:$N$18,0)) )</f>
        <v>2.823</v>
      </c>
      <c r="X115" s="80">
        <f>IF( INDEX(BOND!$B$2:$CH$13, X$2, MATCH($B$112, BOND!$B$16:$CH$16, 0)+MATCH($C115, BOND!$C$18:$N$18,0) )=0,
"",
INDEX(BOND!$B$2:$CH$13, X$2, MATCH($B$112, BOND!$B$16:$CH$16, 0)+MATCH($C115, BOND!$C$18:$N$18,0)) )</f>
        <v>3.302</v>
      </c>
      <c r="Y115" s="80">
        <f>IF( INDEX(BOND!$B$2:$CH$13, Y$2, MATCH($B$112, BOND!$B$16:$CH$16, 0)+MATCH($C115, BOND!$C$18:$N$18,0) )=0,
"",
INDEX(BOND!$B$2:$CH$13, Y$2, MATCH($B$112, BOND!$B$16:$CH$16, 0)+MATCH($C115, BOND!$C$18:$N$18,0)) )</f>
        <v>3.2690359999999981</v>
      </c>
      <c r="Z115" s="80">
        <f>IF( INDEX(BOND!$B$2:$CH$13, Z$2, MATCH($B$112, BOND!$B$16:$CH$16, 0)+MATCH($C115, BOND!$C$18:$N$18,0) )=0,
"",
INDEX(BOND!$B$2:$CH$13, Z$2, MATCH($B$112, BOND!$B$16:$CH$16, 0)+MATCH($C115, BOND!$C$18:$N$18,0)) )</f>
        <v>2.823</v>
      </c>
      <c r="AA115" s="80">
        <f>IF( INDEX(BOND!$B$2:$CH$13, AA$2, MATCH($B$112, BOND!$B$16:$CH$16, 0)+MATCH($C115, BOND!$C$18:$N$18,0) )=0,
"",
INDEX(BOND!$B$2:$CH$13, AA$2, MATCH($B$112, BOND!$B$16:$CH$16, 0)+MATCH($C115, BOND!$C$18:$N$18,0)) )</f>
        <v>3.62</v>
      </c>
    </row>
    <row r="116" spans="1:27">
      <c r="D116" s="45"/>
      <c r="E116" s="52" t="s">
        <v>267</v>
      </c>
      <c r="F116" s="81">
        <f>IF(F115=0,"",(F115-AD18)*IF($C$7=1,-1,1))</f>
        <v>0.13650000000000029</v>
      </c>
      <c r="G116" s="82">
        <f>IF(G115=0,"",(G115-AE18)*IF($C$7=1,-1,1))</f>
        <v>0.15450000000000008</v>
      </c>
      <c r="H116" s="82">
        <f>IF(H115=0,"",(H115-AF18)*IF($C$7=1,-1,1))</f>
        <v>0.14299999999999979</v>
      </c>
      <c r="I116" s="82">
        <f>IF(I115=0,"",(I115-AG18)*IF($C$7=1,-1,1))</f>
        <v>0.14150000000000018</v>
      </c>
      <c r="J116" s="82">
        <f>IF(J115=0,"",(J115-AH18)*IF($C$7=1,-1,1))</f>
        <v>0.13499999999999979</v>
      </c>
      <c r="K116" s="82">
        <f>IF(K115=0,"",(K115-AI18)*IF($C$7=1,-1,1))</f>
        <v>0.13999999999999968</v>
      </c>
      <c r="L116" s="82">
        <f>IF(L115=0,"",(L115-AJ18)*IF($C$7=1,-1,1))</f>
        <v>0.1419999999999999</v>
      </c>
      <c r="M116" s="82">
        <f>IF(M115=0,"",(M115-AK18)*IF($C$7=1,-1,1))</f>
        <v>0.14500000000000002</v>
      </c>
      <c r="N116" s="82">
        <f>IF(N115=0,"",(N115-AL18)*IF($C$7=1,-1,1))</f>
        <v>0.15050000000000008</v>
      </c>
      <c r="O116" s="82">
        <f>IF(O115=0,"",(O115-AM18)*IF($C$7=1,-1,1))</f>
        <v>0.1575000000000002</v>
      </c>
      <c r="P116" s="83">
        <f>IF(   P115="", "", (P115 - INDEX(IRS!$B$2:$Y$13, P$2, MATCH($E115,IRS!$B$1:$Y$1, 0)) ) * IF($C$7=1,-1,1)   )</f>
        <v>0.14080000000000137</v>
      </c>
      <c r="Q116" s="84">
        <f>IF(   Q115="", "", (Q115 - INDEX(IRS!$B$2:$Y$13, Q$2, MATCH($E115,IRS!$B$1:$Y$1, 0)) ) * IF($C$7=1,-1,1)   )</f>
        <v>0.1525000000000003</v>
      </c>
      <c r="R116" s="85">
        <f>IF(   R115="", "", (R115 - INDEX(IRS!$B$2:$Y$13, R$2, MATCH($E115,IRS!$B$1:$Y$1, 0)) ) * IF($C$7=1,-1,1)   )</f>
        <v>0.12700000000000022</v>
      </c>
      <c r="S116" s="86">
        <f>IF(   S115="", "", (S115 - INDEX(IRS!$B$2:$Y$13, S$2, MATCH($E115,IRS!$B$1:$Y$1, 0)) ) * IF($C$7=1,-1,1)   )</f>
        <v>0.11003333333333343</v>
      </c>
      <c r="T116" s="84">
        <f>IF(   T115="", "", (T115 - INDEX(IRS!$B$2:$Y$13, T$2, MATCH($E115,IRS!$B$1:$Y$1, 0)) ) * IF($C$7=1,-1,1)   )</f>
        <v>0.15050000000000008</v>
      </c>
      <c r="U116" s="87">
        <f>IF(   U115="", "", (U115 - INDEX(IRS!$B$2:$Y$13, U$2, MATCH($E115,IRS!$B$1:$Y$1, 0)) ) * IF($C$7=1,-1,1)   )</f>
        <v>0.15149999999999997</v>
      </c>
      <c r="V116" s="83">
        <f>IF(   V115="", "", (V115 - INDEX(IRS!$B$2:$Y$13, V$2, MATCH($E115,IRS!$B$1:$Y$1, 0)) ) * IF($C$7=1,-1,1)   )</f>
        <v>0.10375416666666926</v>
      </c>
      <c r="W116" s="84">
        <f>IF(   W115="", "", (W115 - INDEX(IRS!$B$2:$Y$13, W$2, MATCH($E115,IRS!$B$1:$Y$1, 0)) ) * IF($C$7=1,-1,1)   )</f>
        <v>0.15050000000000008</v>
      </c>
      <c r="X116" s="85">
        <f>IF(   X115="", "", (X115 - INDEX(IRS!$B$2:$Y$13, X$2, MATCH($E115,IRS!$B$1:$Y$1, 0)) ) * IF($C$7=1,-1,1)   )</f>
        <v>9.5000000000000639E-3</v>
      </c>
      <c r="Y116" s="83">
        <f>IF(   Y115="", "", (Y115 - INDEX(IRS!$B$2:$Y$13, Y$2, MATCH($E115,IRS!$B$1:$Y$1, 0)) ) * IF($C$7=1,-1,1)   )</f>
        <v>5.589599999999928E-2</v>
      </c>
      <c r="Z116" s="84">
        <f>IF(   Z115="", "", (Z115 - INDEX(IRS!$B$2:$Y$13, Z$2, MATCH($E115,IRS!$B$1:$Y$1, 0)) ) * IF($C$7=1,-1,1)   )</f>
        <v>0.15050000000000008</v>
      </c>
      <c r="AA116" s="85">
        <f>IF(   AA115="", "", (AA115 - INDEX(IRS!$B$2:$Y$13, AA$2, MATCH($E115,IRS!$B$1:$Y$1, 0)) ) * IF($C$7=1,-1,1)   )</f>
        <v>1.0000000000000231E-2</v>
      </c>
    </row>
    <row r="117" spans="1:27">
      <c r="B117" s="6" t="str">
        <f>_xll.IMDH("IR",$B$112,$C117,$O$9,$F$9,10,"Per=일, sort=D, real=true, Bizday=0, Quote=종가,Pos=40,Orient=H,DtFmt=1.TmFmt=1")</f>
        <v>조회[BONDAVG09]</v>
      </c>
      <c r="C117" s="6" t="s">
        <v>299</v>
      </c>
      <c r="D117" s="45"/>
      <c r="E117" s="51" t="s">
        <v>251</v>
      </c>
      <c r="F117" s="88">
        <v>2.827</v>
      </c>
      <c r="G117" s="89">
        <v>2.8330000000000002</v>
      </c>
      <c r="H117" s="89">
        <v>2.8140000000000001</v>
      </c>
      <c r="I117" s="89">
        <v>2.806</v>
      </c>
      <c r="J117" s="89">
        <v>2.81</v>
      </c>
      <c r="K117" s="89">
        <v>2.8090000000000002</v>
      </c>
      <c r="L117" s="89">
        <v>2.81</v>
      </c>
      <c r="M117" s="89">
        <v>2.8130000000000002</v>
      </c>
      <c r="N117" s="89">
        <v>2.8090000000000002</v>
      </c>
      <c r="O117" s="89">
        <v>2.798</v>
      </c>
      <c r="P117" s="80">
        <f>IF( INDEX(BOND!$B$2:$CH$13, P$2, MATCH($B$112, BOND!$B$16:$CH$16, 0)+MATCH($C117, BOND!$C$18:$N$18,0) )=0,
"",
INDEX(BOND!$B$2:$CH$13, P$2, MATCH($B$112, BOND!$B$16:$CH$16, 0)+MATCH($C117, BOND!$C$18:$N$18,0)) )</f>
        <v>2.8060999999999998</v>
      </c>
      <c r="Q117" s="80">
        <f>IF( INDEX(BOND!$B$2:$CH$13, Q$2, MATCH($B$112, BOND!$B$16:$CH$16, 0)+MATCH($C117, BOND!$C$18:$N$18,0) )=0,
"",
INDEX(BOND!$B$2:$CH$13, Q$2, MATCH($B$112, BOND!$B$16:$CH$16, 0)+MATCH($C117, BOND!$C$18:$N$18,0)) )</f>
        <v>2.78</v>
      </c>
      <c r="R117" s="80">
        <f>IF( INDEX(BOND!$B$2:$CH$13, R$2, MATCH($B$112, BOND!$B$16:$CH$16, 0)+MATCH($C117, BOND!$C$18:$N$18,0) )=0,
"",
INDEX(BOND!$B$2:$CH$13, R$2, MATCH($B$112, BOND!$B$16:$CH$16, 0)+MATCH($C117, BOND!$C$18:$N$18,0)) )</f>
        <v>2.8330000000000002</v>
      </c>
      <c r="S117" s="80">
        <f>IF( INDEX(BOND!$B$2:$CH$13, S$2, MATCH($B$112, BOND!$B$16:$CH$16, 0)+MATCH($C117, BOND!$C$18:$N$18,0) )=0,
"",
INDEX(BOND!$B$2:$CH$13, S$2, MATCH($B$112, BOND!$B$16:$CH$16, 0)+MATCH($C117, BOND!$C$18:$N$18,0)) )</f>
        <v>2.8324499999999997</v>
      </c>
      <c r="T117" s="80">
        <f>IF( INDEX(BOND!$B$2:$CH$13, T$2, MATCH($B$112, BOND!$B$16:$CH$16, 0)+MATCH($C117, BOND!$C$18:$N$18,0) )=0,
"",
INDEX(BOND!$B$2:$CH$13, T$2, MATCH($B$112, BOND!$B$16:$CH$16, 0)+MATCH($C117, BOND!$C$18:$N$18,0)) )</f>
        <v>2.7650000000000001</v>
      </c>
      <c r="U117" s="80">
        <f>IF( INDEX(BOND!$B$2:$CH$13, U$2, MATCH($B$112, BOND!$B$16:$CH$16, 0)+MATCH($C117, BOND!$C$18:$N$18,0) )=0,
"",
INDEX(BOND!$B$2:$CH$13, U$2, MATCH($B$112, BOND!$B$16:$CH$16, 0)+MATCH($C117, BOND!$C$18:$N$18,0)) )</f>
        <v>3.0409999999999999</v>
      </c>
      <c r="V117" s="80">
        <f>IF( INDEX(BOND!$B$2:$CH$13, V$2, MATCH($B$112, BOND!$B$16:$CH$16, 0)+MATCH($C117, BOND!$C$18:$N$18,0) )=0,
"",
INDEX(BOND!$B$2:$CH$13, V$2, MATCH($B$112, BOND!$B$16:$CH$16, 0)+MATCH($C117, BOND!$C$18:$N$18,0)) )</f>
        <v>2.9893250000000009</v>
      </c>
      <c r="W117" s="80">
        <f>IF( INDEX(BOND!$B$2:$CH$13, W$2, MATCH($B$112, BOND!$B$16:$CH$16, 0)+MATCH($C117, BOND!$C$18:$N$18,0) )=0,
"",
INDEX(BOND!$B$2:$CH$13, W$2, MATCH($B$112, BOND!$B$16:$CH$16, 0)+MATCH($C117, BOND!$C$18:$N$18,0)) )</f>
        <v>2.7650000000000001</v>
      </c>
      <c r="X117" s="80">
        <f>IF( INDEX(BOND!$B$2:$CH$13, X$2, MATCH($B$112, BOND!$B$16:$CH$16, 0)+MATCH($C117, BOND!$C$18:$N$18,0) )=0,
"",
INDEX(BOND!$B$2:$CH$13, X$2, MATCH($B$112, BOND!$B$16:$CH$16, 0)+MATCH($C117, BOND!$C$18:$N$18,0)) )</f>
        <v>3.234</v>
      </c>
      <c r="Y117" s="80">
        <f>IF( INDEX(BOND!$B$2:$CH$13, Y$2, MATCH($B$112, BOND!$B$16:$CH$16, 0)+MATCH($C117, BOND!$C$18:$N$18,0) )=0,
"",
INDEX(BOND!$B$2:$CH$13, Y$2, MATCH($B$112, BOND!$B$16:$CH$16, 0)+MATCH($C117, BOND!$C$18:$N$18,0)) )</f>
        <v>3.2268280000000011</v>
      </c>
      <c r="Z117" s="80">
        <f>IF( INDEX(BOND!$B$2:$CH$13, Z$2, MATCH($B$112, BOND!$B$16:$CH$16, 0)+MATCH($C117, BOND!$C$18:$N$18,0) )=0,
"",
INDEX(BOND!$B$2:$CH$13, Z$2, MATCH($B$112, BOND!$B$16:$CH$16, 0)+MATCH($C117, BOND!$C$18:$N$18,0)) )</f>
        <v>2.7650000000000001</v>
      </c>
      <c r="AA117" s="80">
        <f>IF( INDEX(BOND!$B$2:$CH$13, AA$2, MATCH($B$112, BOND!$B$16:$CH$16, 0)+MATCH($C117, BOND!$C$18:$N$18,0) )=0,
"",
INDEX(BOND!$B$2:$CH$13, AA$2, MATCH($B$112, BOND!$B$16:$CH$16, 0)+MATCH($C117, BOND!$C$18:$N$18,0)) )</f>
        <v>3.64</v>
      </c>
    </row>
    <row r="118" spans="1:27">
      <c r="D118" s="45"/>
      <c r="E118" s="52" t="s">
        <v>267</v>
      </c>
      <c r="F118" s="81">
        <f>IF(F117=0,"",(F117-AD20)*IF($C$7=1,-1,1))</f>
        <v>0.1469999999999998</v>
      </c>
      <c r="G118" s="82">
        <f>IF(G117=0,"",(G117-AE20)*IF($C$7=1,-1,1))</f>
        <v>0.16800000000000015</v>
      </c>
      <c r="H118" s="82">
        <f>IF(H117=0,"",(H117-AF20)*IF($C$7=1,-1,1))</f>
        <v>0.15149999999999997</v>
      </c>
      <c r="I118" s="82">
        <f>IF(I117=0,"",(I117-AG20)*IF($C$7=1,-1,1))</f>
        <v>0.14599999999999991</v>
      </c>
      <c r="J118" s="82">
        <f>IF(J117=0,"",(J117-AH20)*IF($C$7=1,-1,1))</f>
        <v>0.14250000000000007</v>
      </c>
      <c r="K118" s="82">
        <f>IF(K117=0,"",(K117-AI20)*IF($C$7=1,-1,1))</f>
        <v>0.14900000000000002</v>
      </c>
      <c r="L118" s="82">
        <f>IF(L117=0,"",(L117-AJ20)*IF($C$7=1,-1,1))</f>
        <v>0.14999999999999991</v>
      </c>
      <c r="M118" s="82">
        <f>IF(M117=0,"",(M117-AK20)*IF($C$7=1,-1,1))</f>
        <v>0.16050000000000031</v>
      </c>
      <c r="N118" s="82">
        <f>IF(N117=0,"",(N117-AL20)*IF($C$7=1,-1,1))</f>
        <v>0.16650000000000009</v>
      </c>
      <c r="O118" s="82">
        <f>IF(O117=0,"",(O117-AM20)*IF($C$7=1,-1,1))</f>
        <v>0.17300000000000004</v>
      </c>
      <c r="P118" s="83">
        <f>IF(   P117="", "", (P117 - INDEX(IRS!$B$2:$Y$13, P$2, MATCH($E117,IRS!$B$1:$Y$1, 0)) ) * IF($C$7=1,-1,1)   )</f>
        <v>0.15334999999999965</v>
      </c>
      <c r="Q118" s="84">
        <f>IF(   Q117="", "", (Q117 - INDEX(IRS!$B$2:$Y$13, Q$2, MATCH($E117,IRS!$B$1:$Y$1, 0)) ) * IF($C$7=1,-1,1)   )</f>
        <v>0.1549999999999998</v>
      </c>
      <c r="R118" s="85">
        <f>IF(   R117="", "", (R117 - INDEX(IRS!$B$2:$Y$13, R$2, MATCH($E117,IRS!$B$1:$Y$1, 0)) ) * IF($C$7=1,-1,1)   )</f>
        <v>0.15300000000000002</v>
      </c>
      <c r="S118" s="86">
        <f>IF(   S117="", "", (S117 - INDEX(IRS!$B$2:$Y$13, S$2, MATCH($E117,IRS!$B$1:$Y$1, 0)) ) * IF($C$7=1,-1,1)   )</f>
        <v>0.11869999999999958</v>
      </c>
      <c r="T118" s="84">
        <f>IF(   T117="", "", (T117 - INDEX(IRS!$B$2:$Y$13, T$2, MATCH($E117,IRS!$B$1:$Y$1, 0)) ) * IF($C$7=1,-1,1)   )</f>
        <v>0.14000000000000012</v>
      </c>
      <c r="U118" s="87">
        <f>IF(   U117="", "", (U117 - INDEX(IRS!$B$2:$Y$13, U$2, MATCH($E117,IRS!$B$1:$Y$1, 0)) ) * IF($C$7=1,-1,1)   )</f>
        <v>0.16349999999999998</v>
      </c>
      <c r="V118" s="83">
        <f>IF(   V117="", "", (V117 - INDEX(IRS!$B$2:$Y$13, V$2, MATCH($E117,IRS!$B$1:$Y$1, 0)) ) * IF($C$7=1,-1,1)   )</f>
        <v>0.11855416666666851</v>
      </c>
      <c r="W118" s="84">
        <f>IF(   W117="", "", (W117 - INDEX(IRS!$B$2:$Y$13, W$2, MATCH($E117,IRS!$B$1:$Y$1, 0)) ) * IF($C$7=1,-1,1)   )</f>
        <v>0.14000000000000012</v>
      </c>
      <c r="X118" s="85">
        <f>IF(   X117="", "", (X117 - INDEX(IRS!$B$2:$Y$13, X$2, MATCH($E117,IRS!$B$1:$Y$1, 0)) ) * IF($C$7=1,-1,1)   )</f>
        <v>3.6500000000000199E-2</v>
      </c>
      <c r="Y118" s="83">
        <f>IF(   Y117="", "", (Y117 - INDEX(IRS!$B$2:$Y$13, Y$2, MATCH($E117,IRS!$B$1:$Y$1, 0)) ) * IF($C$7=1,-1,1)   )</f>
        <v>8.4157999999999955E-2</v>
      </c>
      <c r="Z118" s="84">
        <f>IF(   Z117="", "", (Z117 - INDEX(IRS!$B$2:$Y$13, Z$2, MATCH($E117,IRS!$B$1:$Y$1, 0)) ) * IF($C$7=1,-1,1)   )</f>
        <v>0.14000000000000012</v>
      </c>
      <c r="AA118" s="85">
        <f>IF(   AA117="", "", (AA117 - INDEX(IRS!$B$2:$Y$13, AA$2, MATCH($E117,IRS!$B$1:$Y$1, 0)) ) * IF($C$7=1,-1,1)   )</f>
        <v>2.0000000000000018E-2</v>
      </c>
    </row>
    <row r="119" spans="1:27">
      <c r="B119" s="6" t="str">
        <f>_xll.IMDH("IR",$B$112,$C119,$O$9,$F$9,10,"Per=일, sort=D, real=true, Bizday=0, Quote=종가,Pos=40,Orient=H,DtFmt=1.TmFmt=1")</f>
        <v>조회[BONDAVG09]</v>
      </c>
      <c r="C119" s="6" t="s">
        <v>300</v>
      </c>
      <c r="D119" s="45"/>
      <c r="E119" s="51" t="s">
        <v>252</v>
      </c>
      <c r="F119" s="88">
        <v>2.8370000000000002</v>
      </c>
      <c r="G119" s="89">
        <v>2.835</v>
      </c>
      <c r="H119" s="89">
        <v>2.8250000000000002</v>
      </c>
      <c r="I119" s="89">
        <v>2.8180000000000001</v>
      </c>
      <c r="J119" s="89">
        <v>2.823</v>
      </c>
      <c r="K119" s="89">
        <v>2.8130000000000002</v>
      </c>
      <c r="L119" s="89">
        <v>2.8140000000000001</v>
      </c>
      <c r="M119" s="89">
        <v>2.8130000000000002</v>
      </c>
      <c r="N119" s="89">
        <v>2.806</v>
      </c>
      <c r="O119" s="89">
        <v>2.7930000000000001</v>
      </c>
      <c r="P119" s="80">
        <f>IF( INDEX(BOND!$B$2:$CH$13, P$2, MATCH($B$112, BOND!$B$16:$CH$16, 0)+MATCH($C119, BOND!$C$18:$N$18,0) )=0,
"",
INDEX(BOND!$B$2:$CH$13, P$2, MATCH($B$112, BOND!$B$16:$CH$16, 0)+MATCH($C119, BOND!$C$18:$N$18,0)) )</f>
        <v>2.8067499999999996</v>
      </c>
      <c r="Q119" s="80">
        <f>IF( INDEX(BOND!$B$2:$CH$13, Q$2, MATCH($B$112, BOND!$B$16:$CH$16, 0)+MATCH($C119, BOND!$C$18:$N$18,0) )=0,
"",
INDEX(BOND!$B$2:$CH$13, Q$2, MATCH($B$112, BOND!$B$16:$CH$16, 0)+MATCH($C119, BOND!$C$18:$N$18,0)) )</f>
        <v>2.7770000000000001</v>
      </c>
      <c r="R119" s="80">
        <f>IF( INDEX(BOND!$B$2:$CH$13, R$2, MATCH($B$112, BOND!$B$16:$CH$16, 0)+MATCH($C119, BOND!$C$18:$N$18,0) )=0,
"",
INDEX(BOND!$B$2:$CH$13, R$2, MATCH($B$112, BOND!$B$16:$CH$16, 0)+MATCH($C119, BOND!$C$18:$N$18,0)) )</f>
        <v>2.8370000000000002</v>
      </c>
      <c r="S119" s="80">
        <f>IF( INDEX(BOND!$B$2:$CH$13, S$2, MATCH($B$112, BOND!$B$16:$CH$16, 0)+MATCH($C119, BOND!$C$18:$N$18,0) )=0,
"",
INDEX(BOND!$B$2:$CH$13, S$2, MATCH($B$112, BOND!$B$16:$CH$16, 0)+MATCH($C119, BOND!$C$18:$N$18,0)) )</f>
        <v>2.8237833333333331</v>
      </c>
      <c r="T119" s="80">
        <f>IF( INDEX(BOND!$B$2:$CH$13, T$2, MATCH($B$112, BOND!$B$16:$CH$16, 0)+MATCH($C119, BOND!$C$18:$N$18,0) )=0,
"",
INDEX(BOND!$B$2:$CH$13, T$2, MATCH($B$112, BOND!$B$16:$CH$16, 0)+MATCH($C119, BOND!$C$18:$N$18,0)) )</f>
        <v>2.7559999999999998</v>
      </c>
      <c r="U119" s="80">
        <f>IF( INDEX(BOND!$B$2:$CH$13, U$2, MATCH($B$112, BOND!$B$16:$CH$16, 0)+MATCH($C119, BOND!$C$18:$N$18,0) )=0,
"",
INDEX(BOND!$B$2:$CH$13, U$2, MATCH($B$112, BOND!$B$16:$CH$16, 0)+MATCH($C119, BOND!$C$18:$N$18,0)) )</f>
        <v>2.9870000000000001</v>
      </c>
      <c r="V119" s="80">
        <f>IF( INDEX(BOND!$B$2:$CH$13, V$2, MATCH($B$112, BOND!$B$16:$CH$16, 0)+MATCH($C119, BOND!$C$18:$N$18,0) )=0,
"",
INDEX(BOND!$B$2:$CH$13, V$2, MATCH($B$112, BOND!$B$16:$CH$16, 0)+MATCH($C119, BOND!$C$18:$N$18,0)) )</f>
        <v>2.966991666666666</v>
      </c>
      <c r="W119" s="80">
        <f>IF( INDEX(BOND!$B$2:$CH$13, W$2, MATCH($B$112, BOND!$B$16:$CH$16, 0)+MATCH($C119, BOND!$C$18:$N$18,0) )=0,
"",
INDEX(BOND!$B$2:$CH$13, W$2, MATCH($B$112, BOND!$B$16:$CH$16, 0)+MATCH($C119, BOND!$C$18:$N$18,0)) )</f>
        <v>2.7559999999999998</v>
      </c>
      <c r="X119" s="80">
        <f>IF( INDEX(BOND!$B$2:$CH$13, X$2, MATCH($B$112, BOND!$B$16:$CH$16, 0)+MATCH($C119, BOND!$C$18:$N$18,0) )=0,
"",
INDEX(BOND!$B$2:$CH$13, X$2, MATCH($B$112, BOND!$B$16:$CH$16, 0)+MATCH($C119, BOND!$C$18:$N$18,0)) )</f>
        <v>3.2429999999999999</v>
      </c>
      <c r="Y119" s="80">
        <f>IF( INDEX(BOND!$B$2:$CH$13, Y$2, MATCH($B$112, BOND!$B$16:$CH$16, 0)+MATCH($C119, BOND!$C$18:$N$18,0) )=0,
"",
INDEX(BOND!$B$2:$CH$13, Y$2, MATCH($B$112, BOND!$B$16:$CH$16, 0)+MATCH($C119, BOND!$C$18:$N$18,0)) )</f>
        <v>3.1944839999999988</v>
      </c>
      <c r="Z119" s="80">
        <f>IF( INDEX(BOND!$B$2:$CH$13, Z$2, MATCH($B$112, BOND!$B$16:$CH$16, 0)+MATCH($C119, BOND!$C$18:$N$18,0) )=0,
"",
INDEX(BOND!$B$2:$CH$13, Z$2, MATCH($B$112, BOND!$B$16:$CH$16, 0)+MATCH($C119, BOND!$C$18:$N$18,0)) )</f>
        <v>2.7559999999999998</v>
      </c>
      <c r="AA119" s="80">
        <f>IF( INDEX(BOND!$B$2:$CH$13, AA$2, MATCH($B$112, BOND!$B$16:$CH$16, 0)+MATCH($C119, BOND!$C$18:$N$18,0) )=0,
"",
INDEX(BOND!$B$2:$CH$13, AA$2, MATCH($B$112, BOND!$B$16:$CH$16, 0)+MATCH($C119, BOND!$C$18:$N$18,0)) )</f>
        <v>3.6469999999999998</v>
      </c>
    </row>
    <row r="120" spans="1:27">
      <c r="D120" s="45"/>
      <c r="E120" s="52" t="s">
        <v>267</v>
      </c>
      <c r="F120" s="81">
        <f>IF(F119=0,"",(F119-AD22)*IF($C$7=1,-1,1))</f>
        <v>0.2020000000000004</v>
      </c>
      <c r="G120" s="82">
        <f>IF(G119=0,"",(G119-AE22)*IF($C$7=1,-1,1))</f>
        <v>0.21249999999999991</v>
      </c>
      <c r="H120" s="82">
        <f>IF(H119=0,"",(H119-AF22)*IF($C$7=1,-1,1))</f>
        <v>0.20999999999999996</v>
      </c>
      <c r="I120" s="82">
        <f>IF(I119=0,"",(I119-AG22)*IF($C$7=1,-1,1))</f>
        <v>0.20800000000000018</v>
      </c>
      <c r="J120" s="82">
        <f>IF(J119=0,"",(J119-AH22)*IF($C$7=1,-1,1))</f>
        <v>0.20299999999999985</v>
      </c>
      <c r="K120" s="82">
        <f>IF(K119=0,"",(K119-AI22)*IF($C$7=1,-1,1))</f>
        <v>0.20300000000000029</v>
      </c>
      <c r="L120" s="82">
        <f>IF(L119=0,"",(L119-AJ22)*IF($C$7=1,-1,1))</f>
        <v>0.20400000000000018</v>
      </c>
      <c r="M120" s="82">
        <f>IF(M119=0,"",(M119-AK22)*IF($C$7=1,-1,1))</f>
        <v>0.20800000000000018</v>
      </c>
      <c r="N120" s="82">
        <f>IF(N119=0,"",(N119-AL22)*IF($C$7=1,-1,1))</f>
        <v>0.21600000000000019</v>
      </c>
      <c r="O120" s="82">
        <f>IF(O119=0,"",(O119-AM22)*IF($C$7=1,-1,1))</f>
        <v>0.22050000000000036</v>
      </c>
      <c r="P120" s="83">
        <f>IF(   P119="", "", (P119 - INDEX(IRS!$B$2:$Y$13, P$2, MATCH($E119,IRS!$B$1:$Y$1, 0)) ) * IF($C$7=1,-1,1)   )</f>
        <v>0.20000000000000018</v>
      </c>
      <c r="Q120" s="84">
        <f>IF(   Q119="", "", (Q119 - INDEX(IRS!$B$2:$Y$13, Q$2, MATCH($E119,IRS!$B$1:$Y$1, 0)) ) * IF($C$7=1,-1,1)   )</f>
        <v>0.20450000000000035</v>
      </c>
      <c r="R120" s="85">
        <f>IF(   R119="", "", (R119 - INDEX(IRS!$B$2:$Y$13, R$2, MATCH($E119,IRS!$B$1:$Y$1, 0)) ) * IF($C$7=1,-1,1)   )</f>
        <v>0.2020000000000004</v>
      </c>
      <c r="S120" s="86">
        <f>IF(   S119="", "", (S119 - INDEX(IRS!$B$2:$Y$13, S$2, MATCH($E119,IRS!$B$1:$Y$1, 0)) ) * IF($C$7=1,-1,1)   )</f>
        <v>0.16678333333333395</v>
      </c>
      <c r="T120" s="84">
        <f>IF(   T119="", "", (T119 - INDEX(IRS!$B$2:$Y$13, T$2, MATCH($E119,IRS!$B$1:$Y$1, 0)) ) * IF($C$7=1,-1,1)   )</f>
        <v>0.1835</v>
      </c>
      <c r="U120" s="87">
        <f>IF(   U119="", "", (U119 - INDEX(IRS!$B$2:$Y$13, U$2, MATCH($E119,IRS!$B$1:$Y$1, 0)) ) * IF($C$7=1,-1,1)   )</f>
        <v>0.18449999999999989</v>
      </c>
      <c r="V120" s="83">
        <f>IF(   V119="", "", (V119 - INDEX(IRS!$B$2:$Y$13, V$2, MATCH($E119,IRS!$B$1:$Y$1, 0)) ) * IF($C$7=1,-1,1)   )</f>
        <v>0.1763874999999997</v>
      </c>
      <c r="W120" s="84">
        <f>IF(   W119="", "", (W119 - INDEX(IRS!$B$2:$Y$13, W$2, MATCH($E119,IRS!$B$1:$Y$1, 0)) ) * IF($C$7=1,-1,1)   )</f>
        <v>0.1835</v>
      </c>
      <c r="X120" s="85">
        <f>IF(   X119="", "", (X119 - INDEX(IRS!$B$2:$Y$13, X$2, MATCH($E119,IRS!$B$1:$Y$1, 0)) ) * IF($C$7=1,-1,1)   )</f>
        <v>0.14299999999999979</v>
      </c>
      <c r="Y120" s="83">
        <f>IF(   Y119="", "", (Y119 - INDEX(IRS!$B$2:$Y$13, Y$2, MATCH($E119,IRS!$B$1:$Y$1, 0)) ) * IF($C$7=1,-1,1)   )</f>
        <v>0.13265399999999783</v>
      </c>
      <c r="Z120" s="84">
        <f>IF(   Z119="", "", (Z119 - INDEX(IRS!$B$2:$Y$13, Z$2, MATCH($E119,IRS!$B$1:$Y$1, 0)) ) * IF($C$7=1,-1,1)   )</f>
        <v>0.1835</v>
      </c>
      <c r="AA120" s="85">
        <f>IF(   AA119="", "", (AA119 - INDEX(IRS!$B$2:$Y$13, AA$2, MATCH($E119,IRS!$B$1:$Y$1, 0)) ) * IF($C$7=1,-1,1)   )</f>
        <v>4.6999999999999709E-2</v>
      </c>
    </row>
    <row r="121" spans="1:27">
      <c r="A121" s="50"/>
      <c r="B121" s="6" t="str">
        <f>_xll.IMDH("IR",$B$112,$C121,$O$9,$F$9,10,"Per=일, sort=D, real=true, Bizday=0, Quote=종가,Pos=40,Orient=H,DtFmt=1.TmFmt=1")</f>
        <v>조회[BONDAVG09]</v>
      </c>
      <c r="C121" s="6" t="s">
        <v>301</v>
      </c>
      <c r="D121" s="45"/>
      <c r="E121" s="51" t="s">
        <v>253</v>
      </c>
      <c r="F121" s="88">
        <v>2.851</v>
      </c>
      <c r="G121" s="89">
        <v>2.8420000000000001</v>
      </c>
      <c r="H121" s="89">
        <v>2.8380000000000001</v>
      </c>
      <c r="I121" s="89">
        <v>2.83</v>
      </c>
      <c r="J121" s="89">
        <v>2.8330000000000002</v>
      </c>
      <c r="K121" s="89">
        <v>2.82</v>
      </c>
      <c r="L121" s="89">
        <v>2.82</v>
      </c>
      <c r="M121" s="89">
        <v>2.8180000000000001</v>
      </c>
      <c r="N121" s="89">
        <v>2.8050000000000002</v>
      </c>
      <c r="O121" s="89">
        <v>2.794</v>
      </c>
      <c r="P121" s="80">
        <f>IF( INDEX(BOND!$B$2:$CH$13, P$2, MATCH($B$112, BOND!$B$16:$CH$16, 0)+MATCH($C121, BOND!$C$18:$N$18,0) )=0,
"",
INDEX(BOND!$B$2:$CH$13, P$2, MATCH($B$112, BOND!$B$16:$CH$16, 0)+MATCH($C121, BOND!$C$18:$N$18,0)) )</f>
        <v>2.8156500000000002</v>
      </c>
      <c r="Q121" s="80">
        <f>IF( INDEX(BOND!$B$2:$CH$13, Q$2, MATCH($B$112, BOND!$B$16:$CH$16, 0)+MATCH($C121, BOND!$C$18:$N$18,0) )=0,
"",
INDEX(BOND!$B$2:$CH$13, Q$2, MATCH($B$112, BOND!$B$16:$CH$16, 0)+MATCH($C121, BOND!$C$18:$N$18,0)) )</f>
        <v>2.7839999999999998</v>
      </c>
      <c r="R121" s="80">
        <f>IF( INDEX(BOND!$B$2:$CH$13, R$2, MATCH($B$112, BOND!$B$16:$CH$16, 0)+MATCH($C121, BOND!$C$18:$N$18,0) )=0,
"",
INDEX(BOND!$B$2:$CH$13, R$2, MATCH($B$112, BOND!$B$16:$CH$16, 0)+MATCH($C121, BOND!$C$18:$N$18,0)) )</f>
        <v>2.851</v>
      </c>
      <c r="S121" s="80">
        <f>IF( INDEX(BOND!$B$2:$CH$13, S$2, MATCH($B$112, BOND!$B$16:$CH$16, 0)+MATCH($C121, BOND!$C$18:$N$18,0) )=0,
"",
INDEX(BOND!$B$2:$CH$13, S$2, MATCH($B$112, BOND!$B$16:$CH$16, 0)+MATCH($C121, BOND!$C$18:$N$18,0)) )</f>
        <v>2.8434499999999994</v>
      </c>
      <c r="T121" s="80">
        <f>IF( INDEX(BOND!$B$2:$CH$13, T$2, MATCH($B$112, BOND!$B$16:$CH$16, 0)+MATCH($C121, BOND!$C$18:$N$18,0) )=0,
"",
INDEX(BOND!$B$2:$CH$13, T$2, MATCH($B$112, BOND!$B$16:$CH$16, 0)+MATCH($C121, BOND!$C$18:$N$18,0)) )</f>
        <v>2.774</v>
      </c>
      <c r="U121" s="80">
        <f>IF( INDEX(BOND!$B$2:$CH$13, U$2, MATCH($B$112, BOND!$B$16:$CH$16, 0)+MATCH($C121, BOND!$C$18:$N$18,0) )=0,
"",
INDEX(BOND!$B$2:$CH$13, U$2, MATCH($B$112, BOND!$B$16:$CH$16, 0)+MATCH($C121, BOND!$C$18:$N$18,0)) )</f>
        <v>3.0339999999999998</v>
      </c>
      <c r="V121" s="80">
        <f>IF( INDEX(BOND!$B$2:$CH$13, V$2, MATCH($B$112, BOND!$B$16:$CH$16, 0)+MATCH($C121, BOND!$C$18:$N$18,0) )=0,
"",
INDEX(BOND!$B$2:$CH$13, V$2, MATCH($B$112, BOND!$B$16:$CH$16, 0)+MATCH($C121, BOND!$C$18:$N$18,0)) )</f>
        <v>2.9756166666666677</v>
      </c>
      <c r="W121" s="80">
        <f>IF( INDEX(BOND!$B$2:$CH$13, W$2, MATCH($B$112, BOND!$B$16:$CH$16, 0)+MATCH($C121, BOND!$C$18:$N$18,0) )=0,
"",
INDEX(BOND!$B$2:$CH$13, W$2, MATCH($B$112, BOND!$B$16:$CH$16, 0)+MATCH($C121, BOND!$C$18:$N$18,0)) )</f>
        <v>2.774</v>
      </c>
      <c r="X121" s="80">
        <f>IF( INDEX(BOND!$B$2:$CH$13, X$2, MATCH($B$112, BOND!$B$16:$CH$16, 0)+MATCH($C121, BOND!$C$18:$N$18,0) )=0,
"",
INDEX(BOND!$B$2:$CH$13, X$2, MATCH($B$112, BOND!$B$16:$CH$16, 0)+MATCH($C121, BOND!$C$18:$N$18,0)) )</f>
        <v>3.2429999999999999</v>
      </c>
      <c r="Y121" s="80">
        <f>IF( INDEX(BOND!$B$2:$CH$13, Y$2, MATCH($B$112, BOND!$B$16:$CH$16, 0)+MATCH($C121, BOND!$C$18:$N$18,0) )=0,
"",
INDEX(BOND!$B$2:$CH$13, Y$2, MATCH($B$112, BOND!$B$16:$CH$16, 0)+MATCH($C121, BOND!$C$18:$N$18,0)) )</f>
        <v>3.1929439999999993</v>
      </c>
      <c r="Z121" s="80">
        <f>IF( INDEX(BOND!$B$2:$CH$13, Z$2, MATCH($B$112, BOND!$B$16:$CH$16, 0)+MATCH($C121, BOND!$C$18:$N$18,0) )=0,
"",
INDEX(BOND!$B$2:$CH$13, Z$2, MATCH($B$112, BOND!$B$16:$CH$16, 0)+MATCH($C121, BOND!$C$18:$N$18,0)) )</f>
        <v>2.774</v>
      </c>
      <c r="AA121" s="80">
        <f>IF( INDEX(BOND!$B$2:$CH$13, AA$2, MATCH($B$112, BOND!$B$16:$CH$16, 0)+MATCH($C121, BOND!$C$18:$N$18,0) )=0,
"",
INDEX(BOND!$B$2:$CH$13, AA$2, MATCH($B$112, BOND!$B$16:$CH$16, 0)+MATCH($C121, BOND!$C$18:$N$18,0)) )</f>
        <v>3.673</v>
      </c>
    </row>
    <row r="122" spans="1:27">
      <c r="A122" s="50"/>
      <c r="D122" s="45"/>
      <c r="E122" s="52" t="s">
        <v>267</v>
      </c>
      <c r="F122" s="81">
        <f>IF(F121=0,"",(F121-AD24)*IF($C$7=1,-1,1))</f>
        <v>0.2410000000000001</v>
      </c>
      <c r="G122" s="82">
        <f>IF(G121=0,"",(G121-AE24)*IF($C$7=1,-1,1))</f>
        <v>0.24449999999999994</v>
      </c>
      <c r="H122" s="82">
        <f>IF(H121=0,"",(H121-AF24)*IF($C$7=1,-1,1))</f>
        <v>0.25050000000000017</v>
      </c>
      <c r="I122" s="82">
        <f>IF(I121=0,"",(I121-AG24)*IF($C$7=1,-1,1))</f>
        <v>0.25249999999999995</v>
      </c>
      <c r="J122" s="82">
        <f>IF(J121=0,"",(J121-AH24)*IF($C$7=1,-1,1))</f>
        <v>0.24800000000000022</v>
      </c>
      <c r="K122" s="82">
        <f>IF(K121=0,"",(K121-AI24)*IF($C$7=1,-1,1))</f>
        <v>0.25</v>
      </c>
      <c r="L122" s="82">
        <f>IF(L121=0,"",(L121-AJ24)*IF($C$7=1,-1,1))</f>
        <v>0.25</v>
      </c>
      <c r="M122" s="82">
        <f>IF(M121=0,"",(M121-AK24)*IF($C$7=1,-1,1))</f>
        <v>0.25050000000000017</v>
      </c>
      <c r="N122" s="82">
        <f>IF(N121=0,"",(N121-AL24)*IF($C$7=1,-1,1))</f>
        <v>0.25750000000000028</v>
      </c>
      <c r="O122" s="82">
        <f>IF(O121=0,"",(O121-AM24)*IF($C$7=1,-1,1))</f>
        <v>0.26400000000000023</v>
      </c>
      <c r="P122" s="83">
        <f>IF(   P121="", "", (P121 - INDEX(IRS!$B$2:$Y$13, P$2, MATCH($E121,IRS!$B$1:$Y$1, 0)) ) * IF($C$7=1,-1,1)   )</f>
        <v>0.2411500000000002</v>
      </c>
      <c r="Q122" s="84">
        <f>IF(   Q121="", "", (Q121 - INDEX(IRS!$B$2:$Y$13, Q$2, MATCH($E121,IRS!$B$1:$Y$1, 0)) ) * IF($C$7=1,-1,1)   )</f>
        <v>0.254</v>
      </c>
      <c r="R122" s="85">
        <f>IF(   R121="", "", (R121 - INDEX(IRS!$B$2:$Y$13, R$2, MATCH($E121,IRS!$B$1:$Y$1, 0)) ) * IF($C$7=1,-1,1)   )</f>
        <v>0.2410000000000001</v>
      </c>
      <c r="S122" s="86">
        <f>IF(   S121="", "", (S121 - INDEX(IRS!$B$2:$Y$13, S$2, MATCH($E121,IRS!$B$1:$Y$1, 0)) ) * IF($C$7=1,-1,1)   )</f>
        <v>0.21774166666666606</v>
      </c>
      <c r="T122" s="84">
        <f>IF(   T121="", "", (T121 - INDEX(IRS!$B$2:$Y$13, T$2, MATCH($E121,IRS!$B$1:$Y$1, 0)) ) * IF($C$7=1,-1,1)   )</f>
        <v>0.24400000000000022</v>
      </c>
      <c r="U122" s="87">
        <f>IF(   U121="", "", (U121 - INDEX(IRS!$B$2:$Y$13, U$2, MATCH($E121,IRS!$B$1:$Y$1, 0)) ) * IF($C$7=1,-1,1)   )</f>
        <v>0.2589999999999999</v>
      </c>
      <c r="V122" s="83">
        <f>IF(   V121="", "", (V121 - INDEX(IRS!$B$2:$Y$13, V$2, MATCH($E121,IRS!$B$1:$Y$1, 0)) ) * IF($C$7=1,-1,1)   )</f>
        <v>0.22692916666666818</v>
      </c>
      <c r="W122" s="84">
        <f>IF(   W121="", "", (W121 - INDEX(IRS!$B$2:$Y$13, W$2, MATCH($E121,IRS!$B$1:$Y$1, 0)) ) * IF($C$7=1,-1,1)   )</f>
        <v>0.24400000000000022</v>
      </c>
      <c r="X122" s="85">
        <f>IF(   X121="", "", (X121 - INDEX(IRS!$B$2:$Y$13, X$2, MATCH($E121,IRS!$B$1:$Y$1, 0)) ) * IF($C$7=1,-1,1)   )</f>
        <v>0.19300000000000006</v>
      </c>
      <c r="Y122" s="83">
        <f>IF(   Y121="", "", (Y121 - INDEX(IRS!$B$2:$Y$13, Y$2, MATCH($E121,IRS!$B$1:$Y$1, 0)) ) * IF($C$7=1,-1,1)   )</f>
        <v>0.18322399999999828</v>
      </c>
      <c r="Z122" s="84">
        <f>IF(   Z121="", "", (Z121 - INDEX(IRS!$B$2:$Y$13, Z$2, MATCH($E121,IRS!$B$1:$Y$1, 0)) ) * IF($C$7=1,-1,1)   )</f>
        <v>0.24400000000000022</v>
      </c>
      <c r="AA122" s="85">
        <f>IF(   AA121="", "", (AA121 - INDEX(IRS!$B$2:$Y$13, AA$2, MATCH($E121,IRS!$B$1:$Y$1, 0)) ) * IF($C$7=1,-1,1)   )</f>
        <v>9.2999999999999972E-2</v>
      </c>
    </row>
    <row r="123" spans="1:27">
      <c r="A123" s="50"/>
      <c r="B123" s="6" t="str">
        <f>_xll.IMDH("IR",$B$112,$C123,$O$9,$F$9,10,"Per=일, sort=D, real=true, Bizday=0, Quote=종가,Pos=40,Orient=H,DtFmt=1.TmFmt=1")</f>
        <v>조회[BONDAVG09]</v>
      </c>
      <c r="C123" s="6" t="s">
        <v>302</v>
      </c>
      <c r="D123" s="45"/>
      <c r="E123" s="51" t="s">
        <v>254</v>
      </c>
      <c r="F123" s="88">
        <v>2.8570000000000002</v>
      </c>
      <c r="G123" s="89">
        <v>2.8479999999999999</v>
      </c>
      <c r="H123" s="89">
        <v>2.8420000000000001</v>
      </c>
      <c r="I123" s="89">
        <v>2.8460000000000001</v>
      </c>
      <c r="J123" s="89">
        <v>2.8650000000000002</v>
      </c>
      <c r="K123" s="89">
        <v>2.8460000000000001</v>
      </c>
      <c r="L123" s="89">
        <v>2.847</v>
      </c>
      <c r="M123" s="89">
        <v>2.8340000000000001</v>
      </c>
      <c r="N123" s="89">
        <v>2.8159999999999998</v>
      </c>
      <c r="O123" s="89">
        <v>2.7970000000000002</v>
      </c>
      <c r="P123" s="80">
        <f>IF( INDEX(BOND!$B$2:$CH$13, P$2, MATCH($B$112, BOND!$B$16:$CH$16, 0)+MATCH($C123, BOND!$C$18:$N$18,0) )=0,
"",
INDEX(BOND!$B$2:$CH$13, P$2, MATCH($B$112, BOND!$B$16:$CH$16, 0)+MATCH($C123, BOND!$C$18:$N$18,0)) )</f>
        <v>2.8285499999999999</v>
      </c>
      <c r="Q123" s="80">
        <f>IF( INDEX(BOND!$B$2:$CH$13, Q$2, MATCH($B$112, BOND!$B$16:$CH$16, 0)+MATCH($C123, BOND!$C$18:$N$18,0) )=0,
"",
INDEX(BOND!$B$2:$CH$13, Q$2, MATCH($B$112, BOND!$B$16:$CH$16, 0)+MATCH($C123, BOND!$C$18:$N$18,0)) )</f>
        <v>2.78</v>
      </c>
      <c r="R123" s="80">
        <f>IF( INDEX(BOND!$B$2:$CH$13, R$2, MATCH($B$112, BOND!$B$16:$CH$16, 0)+MATCH($C123, BOND!$C$18:$N$18,0) )=0,
"",
INDEX(BOND!$B$2:$CH$13, R$2, MATCH($B$112, BOND!$B$16:$CH$16, 0)+MATCH($C123, BOND!$C$18:$N$18,0)) )</f>
        <v>2.8650000000000002</v>
      </c>
      <c r="S123" s="80">
        <f>IF( INDEX(BOND!$B$2:$CH$13, S$2, MATCH($B$112, BOND!$B$16:$CH$16, 0)+MATCH($C123, BOND!$C$18:$N$18,0) )=0,
"",
INDEX(BOND!$B$2:$CH$13, S$2, MATCH($B$112, BOND!$B$16:$CH$16, 0)+MATCH($C123, BOND!$C$18:$N$18,0)) )</f>
        <v>2.8502000000000001</v>
      </c>
      <c r="T123" s="80">
        <f>IF( INDEX(BOND!$B$2:$CH$13, T$2, MATCH($B$112, BOND!$B$16:$CH$16, 0)+MATCH($C123, BOND!$C$18:$N$18,0) )=0,
"",
INDEX(BOND!$B$2:$CH$13, T$2, MATCH($B$112, BOND!$B$16:$CH$16, 0)+MATCH($C123, BOND!$C$18:$N$18,0)) )</f>
        <v>2.78</v>
      </c>
      <c r="U123" s="80">
        <f>IF( INDEX(BOND!$B$2:$CH$13, U$2, MATCH($B$112, BOND!$B$16:$CH$16, 0)+MATCH($C123, BOND!$C$18:$N$18,0) )=0,
"",
INDEX(BOND!$B$2:$CH$13, U$2, MATCH($B$112, BOND!$B$16:$CH$16, 0)+MATCH($C123, BOND!$C$18:$N$18,0)) )</f>
        <v>2.9889999999999999</v>
      </c>
      <c r="V123" s="80">
        <f>IF( INDEX(BOND!$B$2:$CH$13, V$2, MATCH($B$112, BOND!$B$16:$CH$16, 0)+MATCH($C123, BOND!$C$18:$N$18,0) )=0,
"",
INDEX(BOND!$B$2:$CH$13, V$2, MATCH($B$112, BOND!$B$16:$CH$16, 0)+MATCH($C123, BOND!$C$18:$N$18,0)) )</f>
        <v>2.9613000000000005</v>
      </c>
      <c r="W123" s="80">
        <f>IF( INDEX(BOND!$B$2:$CH$13, W$2, MATCH($B$112, BOND!$B$16:$CH$16, 0)+MATCH($C123, BOND!$C$18:$N$18,0) )=0,
"",
INDEX(BOND!$B$2:$CH$13, W$2, MATCH($B$112, BOND!$B$16:$CH$16, 0)+MATCH($C123, BOND!$C$18:$N$18,0)) )</f>
        <v>2.78</v>
      </c>
      <c r="X123" s="80">
        <f>IF( INDEX(BOND!$B$2:$CH$13, X$2, MATCH($B$112, BOND!$B$16:$CH$16, 0)+MATCH($C123, BOND!$C$18:$N$18,0) )=0,
"",
INDEX(BOND!$B$2:$CH$13, X$2, MATCH($B$112, BOND!$B$16:$CH$16, 0)+MATCH($C123, BOND!$C$18:$N$18,0)) )</f>
        <v>3.2269999999999999</v>
      </c>
      <c r="Y123" s="80">
        <f>IF( INDEX(BOND!$B$2:$CH$13, Y$2, MATCH($B$112, BOND!$B$16:$CH$16, 0)+MATCH($C123, BOND!$C$18:$N$18,0) )=0,
"",
INDEX(BOND!$B$2:$CH$13, Y$2, MATCH($B$112, BOND!$B$16:$CH$16, 0)+MATCH($C123, BOND!$C$18:$N$18,0)) )</f>
        <v>3.182755999999999</v>
      </c>
      <c r="Z123" s="80">
        <f>IF( INDEX(BOND!$B$2:$CH$13, Z$2, MATCH($B$112, BOND!$B$16:$CH$16, 0)+MATCH($C123, BOND!$C$18:$N$18,0) )=0,
"",
INDEX(BOND!$B$2:$CH$13, Z$2, MATCH($B$112, BOND!$B$16:$CH$16, 0)+MATCH($C123, BOND!$C$18:$N$18,0)) )</f>
        <v>2.78</v>
      </c>
      <c r="AA123" s="80">
        <f>IF( INDEX(BOND!$B$2:$CH$13, AA$2, MATCH($B$112, BOND!$B$16:$CH$16, 0)+MATCH($C123, BOND!$C$18:$N$18,0) )=0,
"",
INDEX(BOND!$B$2:$CH$13, AA$2, MATCH($B$112, BOND!$B$16:$CH$16, 0)+MATCH($C123, BOND!$C$18:$N$18,0)) )</f>
        <v>3.7050000000000001</v>
      </c>
    </row>
    <row r="124" spans="1:27">
      <c r="A124" s="50"/>
      <c r="D124" s="45"/>
      <c r="E124" s="52" t="s">
        <v>267</v>
      </c>
      <c r="F124" s="81">
        <f>IF(F123=0,"",(F123-AD26)*IF($C$7=1,-1,1))</f>
        <v>0.26200000000000001</v>
      </c>
      <c r="G124" s="82">
        <f>IF(G123=0,"",(G123-AE26)*IF($C$7=1,-1,1))</f>
        <v>0.26549999999999985</v>
      </c>
      <c r="H124" s="82">
        <f>IF(H123=0,"",(H123-AF26)*IF($C$7=1,-1,1))</f>
        <v>0.26950000000000029</v>
      </c>
      <c r="I124" s="82">
        <f>IF(I123=0,"",(I123-AG26)*IF($C$7=1,-1,1))</f>
        <v>0.28350000000000009</v>
      </c>
      <c r="J124" s="82">
        <f>IF(J123=0,"",(J123-AH26)*IF($C$7=1,-1,1))</f>
        <v>0.29500000000000037</v>
      </c>
      <c r="K124" s="82">
        <f>IF(K123=0,"",(K123-AI26)*IF($C$7=1,-1,1))</f>
        <v>0.29349999999999987</v>
      </c>
      <c r="L124" s="82">
        <f>IF(L123=0,"",(L123-AJ26)*IF($C$7=1,-1,1))</f>
        <v>0.29199999999999982</v>
      </c>
      <c r="M124" s="82">
        <f>IF(M123=0,"",(M123-AK26)*IF($C$7=1,-1,1))</f>
        <v>0.28149999999999986</v>
      </c>
      <c r="N124" s="82">
        <f>IF(N123=0,"",(N123-AL26)*IF($C$7=1,-1,1))</f>
        <v>0.28349999999999964</v>
      </c>
      <c r="O124" s="82">
        <f>IF(O123=0,"",(O123-AM26)*IF($C$7=1,-1,1))</f>
        <v>0.28449999999999998</v>
      </c>
      <c r="P124" s="83">
        <f>IF(   P123="", "", (P123 - INDEX(IRS!$B$2:$Y$13, P$2, MATCH($E123,IRS!$B$1:$Y$1, 0)) ) * IF($C$7=1,-1,1)   )</f>
        <v>0.26942499999999914</v>
      </c>
      <c r="Q124" s="84">
        <f>IF(   Q123="", "", (Q123 - INDEX(IRS!$B$2:$Y$13, Q$2, MATCH($E123,IRS!$B$1:$Y$1, 0)) ) * IF($C$7=1,-1,1)   )</f>
        <v>0.26749999999999963</v>
      </c>
      <c r="R124" s="85">
        <f>IF(   R123="", "", (R123 - INDEX(IRS!$B$2:$Y$13, R$2, MATCH($E123,IRS!$B$1:$Y$1, 0)) ) * IF($C$7=1,-1,1)   )</f>
        <v>0.26500000000000012</v>
      </c>
      <c r="S124" s="86">
        <f>IF(   S123="", "", (S123 - INDEX(IRS!$B$2:$Y$13, S$2, MATCH($E123,IRS!$B$1:$Y$1, 0)) ) * IF($C$7=1,-1,1)   )</f>
        <v>0.24040833333333289</v>
      </c>
      <c r="T124" s="84">
        <f>IF(   T123="", "", (T123 - INDEX(IRS!$B$2:$Y$13, T$2, MATCH($E123,IRS!$B$1:$Y$1, 0)) ) * IF($C$7=1,-1,1)   )</f>
        <v>0.26749999999999963</v>
      </c>
      <c r="U124" s="87">
        <f>IF(   U123="", "", (U123 - INDEX(IRS!$B$2:$Y$13, U$2, MATCH($E123,IRS!$B$1:$Y$1, 0)) ) * IF($C$7=1,-1,1)   )</f>
        <v>0.24399999999999977</v>
      </c>
      <c r="V124" s="83">
        <f>IF(   V123="", "", (V123 - INDEX(IRS!$B$2:$Y$13, V$2, MATCH($E123,IRS!$B$1:$Y$1, 0)) ) * IF($C$7=1,-1,1)   )</f>
        <v>0.24536249999999971</v>
      </c>
      <c r="W124" s="84">
        <f>IF(   W123="", "", (W123 - INDEX(IRS!$B$2:$Y$13, W$2, MATCH($E123,IRS!$B$1:$Y$1, 0)) ) * IF($C$7=1,-1,1)   )</f>
        <v>0.26749999999999963</v>
      </c>
      <c r="X124" s="85">
        <f>IF(   X123="", "", (X123 - INDEX(IRS!$B$2:$Y$13, X$2, MATCH($E123,IRS!$B$1:$Y$1, 0)) ) * IF($C$7=1,-1,1)   )</f>
        <v>0.21199999999999974</v>
      </c>
      <c r="Y124" s="83">
        <f>IF(   Y123="", "", (Y123 - INDEX(IRS!$B$2:$Y$13, Y$2, MATCH($E123,IRS!$B$1:$Y$1, 0)) ) * IF($C$7=1,-1,1)   )</f>
        <v>0.22293599999999758</v>
      </c>
      <c r="Z124" s="84">
        <f>IF(   Z123="", "", (Z123 - INDEX(IRS!$B$2:$Y$13, Z$2, MATCH($E123,IRS!$B$1:$Y$1, 0)) ) * IF($C$7=1,-1,1)   )</f>
        <v>0.26749999999999963</v>
      </c>
      <c r="AA124" s="85">
        <f>IF(   AA123="", "", (AA123 - INDEX(IRS!$B$2:$Y$13, AA$2, MATCH($E123,IRS!$B$1:$Y$1, 0)) ) * IF($C$7=1,-1,1)   )</f>
        <v>0.14500000000000002</v>
      </c>
    </row>
    <row r="125" spans="1:27">
      <c r="A125" s="50"/>
      <c r="B125" s="6" t="str">
        <f>_xll.IMDH("IR",$B$112,$C125,$O$9,$F$9,10,"Per=일, sort=D, real=true, Bizday=0, Quote=종가,Pos=40,Orient=H,DtFmt=1.TmFmt=1")</f>
        <v>조회[BONDAVG09]</v>
      </c>
      <c r="C125" s="6" t="s">
        <v>239</v>
      </c>
      <c r="D125" s="53"/>
      <c r="E125" s="51" t="s">
        <v>255</v>
      </c>
      <c r="F125" s="88">
        <v>2.8849999999999998</v>
      </c>
      <c r="G125" s="89">
        <v>2.867</v>
      </c>
      <c r="H125" s="89">
        <v>2.8570000000000002</v>
      </c>
      <c r="I125" s="89">
        <v>2.8610000000000002</v>
      </c>
      <c r="J125" s="89">
        <v>2.8740000000000001</v>
      </c>
      <c r="K125" s="89">
        <v>2.8660000000000001</v>
      </c>
      <c r="L125" s="89">
        <v>2.859</v>
      </c>
      <c r="M125" s="89">
        <v>2.8460000000000001</v>
      </c>
      <c r="N125" s="89">
        <v>2.831</v>
      </c>
      <c r="O125" s="89">
        <v>2.8170000000000002</v>
      </c>
      <c r="P125" s="80">
        <f>IF( INDEX(BOND!$B$2:$CH$13, P$2, MATCH($B$112, BOND!$B$16:$CH$16, 0)+MATCH($C125, BOND!$C$18:$N$18,0) )=0,
"",
INDEX(BOND!$B$2:$CH$13, P$2, MATCH($B$112, BOND!$B$16:$CH$16, 0)+MATCH($C125, BOND!$C$18:$N$18,0)) )</f>
        <v>2.8478500000000002</v>
      </c>
      <c r="Q125" s="80">
        <f>IF( INDEX(BOND!$B$2:$CH$13, Q$2, MATCH($B$112, BOND!$B$16:$CH$16, 0)+MATCH($C125, BOND!$C$18:$N$18,0) )=0,
"",
INDEX(BOND!$B$2:$CH$13, Q$2, MATCH($B$112, BOND!$B$16:$CH$16, 0)+MATCH($C125, BOND!$C$18:$N$18,0)) )</f>
        <v>2.802</v>
      </c>
      <c r="R125" s="80">
        <f>IF( INDEX(BOND!$B$2:$CH$13, R$2, MATCH($B$112, BOND!$B$16:$CH$16, 0)+MATCH($C125, BOND!$C$18:$N$18,0) )=0,
"",
INDEX(BOND!$B$2:$CH$13, R$2, MATCH($B$112, BOND!$B$16:$CH$16, 0)+MATCH($C125, BOND!$C$18:$N$18,0)) )</f>
        <v>2.8849999999999998</v>
      </c>
      <c r="S125" s="80">
        <f>IF( INDEX(BOND!$B$2:$CH$13, S$2, MATCH($B$112, BOND!$B$16:$CH$16, 0)+MATCH($C125, BOND!$C$18:$N$18,0) )=0,
"",
INDEX(BOND!$B$2:$CH$13, S$2, MATCH($B$112, BOND!$B$16:$CH$16, 0)+MATCH($C125, BOND!$C$18:$N$18,0)) )</f>
        <v>2.8937499999999998</v>
      </c>
      <c r="T125" s="80">
        <f>IF( INDEX(BOND!$B$2:$CH$13, T$2, MATCH($B$112, BOND!$B$16:$CH$16, 0)+MATCH($C125, BOND!$C$18:$N$18,0) )=0,
"",
INDEX(BOND!$B$2:$CH$13, T$2, MATCH($B$112, BOND!$B$16:$CH$16, 0)+MATCH($C125, BOND!$C$18:$N$18,0)) )</f>
        <v>2.802</v>
      </c>
      <c r="U125" s="80">
        <f>IF( INDEX(BOND!$B$2:$CH$13, U$2, MATCH($B$112, BOND!$B$16:$CH$16, 0)+MATCH($C125, BOND!$C$18:$N$18,0) )=0,
"",
INDEX(BOND!$B$2:$CH$13, U$2, MATCH($B$112, BOND!$B$16:$CH$16, 0)+MATCH($C125, BOND!$C$18:$N$18,0)) )</f>
        <v>3.0830000000000002</v>
      </c>
      <c r="V125" s="80">
        <f>IF( INDEX(BOND!$B$2:$CH$13, V$2, MATCH($B$112, BOND!$B$16:$CH$16, 0)+MATCH($C125, BOND!$C$18:$N$18,0) )=0,
"",
INDEX(BOND!$B$2:$CH$13, V$2, MATCH($B$112, BOND!$B$16:$CH$16, 0)+MATCH($C125, BOND!$C$18:$N$18,0)) )</f>
        <v>2.9991500000000002</v>
      </c>
      <c r="W125" s="80">
        <f>IF( INDEX(BOND!$B$2:$CH$13, W$2, MATCH($B$112, BOND!$B$16:$CH$16, 0)+MATCH($C125, BOND!$C$18:$N$18,0) )=0,
"",
INDEX(BOND!$B$2:$CH$13, W$2, MATCH($B$112, BOND!$B$16:$CH$16, 0)+MATCH($C125, BOND!$C$18:$N$18,0)) )</f>
        <v>2.802</v>
      </c>
      <c r="X125" s="80">
        <f>IF( INDEX(BOND!$B$2:$CH$13, X$2, MATCH($B$112, BOND!$B$16:$CH$16, 0)+MATCH($C125, BOND!$C$18:$N$18,0) )=0,
"",
INDEX(BOND!$B$2:$CH$13, X$2, MATCH($B$112, BOND!$B$16:$CH$16, 0)+MATCH($C125, BOND!$C$18:$N$18,0)) )</f>
        <v>3.2690000000000001</v>
      </c>
      <c r="Y125" s="80">
        <f>IF( INDEX(BOND!$B$2:$CH$13, Y$2, MATCH($B$112, BOND!$B$16:$CH$16, 0)+MATCH($C125, BOND!$C$18:$N$18,0) )=0,
"",
INDEX(BOND!$B$2:$CH$13, Y$2, MATCH($B$112, BOND!$B$16:$CH$16, 0)+MATCH($C125, BOND!$C$18:$N$18,0)) )</f>
        <v>3.203328</v>
      </c>
      <c r="Z125" s="80">
        <f>IF( INDEX(BOND!$B$2:$CH$13, Z$2, MATCH($B$112, BOND!$B$16:$CH$16, 0)+MATCH($C125, BOND!$C$18:$N$18,0) )=0,
"",
INDEX(BOND!$B$2:$CH$13, Z$2, MATCH($B$112, BOND!$B$16:$CH$16, 0)+MATCH($C125, BOND!$C$18:$N$18,0)) )</f>
        <v>2.802</v>
      </c>
      <c r="AA125" s="80">
        <f>IF( INDEX(BOND!$B$2:$CH$13, AA$2, MATCH($B$112, BOND!$B$16:$CH$16, 0)+MATCH($C125, BOND!$C$18:$N$18,0) )=0,
"",
INDEX(BOND!$B$2:$CH$13, AA$2, MATCH($B$112, BOND!$B$16:$CH$16, 0)+MATCH($C125, BOND!$C$18:$N$18,0)) )</f>
        <v>3.7229999999999999</v>
      </c>
    </row>
    <row r="126" spans="1:27">
      <c r="A126" s="50"/>
      <c r="D126" s="53"/>
      <c r="E126" s="52" t="s">
        <v>267</v>
      </c>
      <c r="F126" s="81">
        <f>IF(F125=0,"",(F125-AD28)*IF($C$7=1,-1,1))</f>
        <v>0.28249999999999975</v>
      </c>
      <c r="G126" s="82">
        <f>IF(G125=0,"",(G125-AE28)*IF($C$7=1,-1,1))</f>
        <v>0.27450000000000019</v>
      </c>
      <c r="H126" s="82">
        <f>IF(H125=0,"",(H125-AF28)*IF($C$7=1,-1,1))</f>
        <v>0.27200000000000024</v>
      </c>
      <c r="I126" s="82">
        <f>IF(I125=0,"",(I125-AG28)*IF($C$7=1,-1,1))</f>
        <v>0.28600000000000003</v>
      </c>
      <c r="J126" s="82">
        <f>IF(J125=0,"",(J125-AH28)*IF($C$7=1,-1,1))</f>
        <v>0.28900000000000015</v>
      </c>
      <c r="K126" s="82">
        <f>IF(K125=0,"",(K125-AI28)*IF($C$7=1,-1,1))</f>
        <v>0.3035000000000001</v>
      </c>
      <c r="L126" s="82">
        <f>IF(L125=0,"",(L125-AJ28)*IF($C$7=1,-1,1))</f>
        <v>0.28900000000000015</v>
      </c>
      <c r="M126" s="82">
        <f>IF(M125=0,"",(M125-AK28)*IF($C$7=1,-1,1))</f>
        <v>0.2735000000000003</v>
      </c>
      <c r="N126" s="82">
        <f>IF(N125=0,"",(N125-AL28)*IF($C$7=1,-1,1))</f>
        <v>0.28350000000000009</v>
      </c>
      <c r="O126" s="82">
        <f>IF(O125=0,"",(O125-AM28)*IF($C$7=1,-1,1))</f>
        <v>0.28950000000000031</v>
      </c>
      <c r="P126" s="83">
        <f>IF(   P125="", "", (P125 - INDEX(IRS!$B$2:$Y$13, P$2, MATCH($E125,IRS!$B$1:$Y$1, 0)) ) * IF($C$7=1,-1,1)   )</f>
        <v>0.27597499999999986</v>
      </c>
      <c r="Q126" s="84">
        <f>IF(   Q125="", "", (Q125 - INDEX(IRS!$B$2:$Y$13, Q$2, MATCH($E125,IRS!$B$1:$Y$1, 0)) ) * IF($C$7=1,-1,1)   )</f>
        <v>0.27450000000000019</v>
      </c>
      <c r="R126" s="85">
        <f>IF(   R125="", "", (R125 - INDEX(IRS!$B$2:$Y$13, R$2, MATCH($E125,IRS!$B$1:$Y$1, 0)) ) * IF($C$7=1,-1,1)   )</f>
        <v>0.26999999999999957</v>
      </c>
      <c r="S126" s="86">
        <f>IF(   S125="", "", (S125 - INDEX(IRS!$B$2:$Y$13, S$2, MATCH($E125,IRS!$B$1:$Y$1, 0)) ) * IF($C$7=1,-1,1)   )</f>
        <v>0.26804166666666651</v>
      </c>
      <c r="T126" s="84">
        <f>IF(   T125="", "", (T125 - INDEX(IRS!$B$2:$Y$13, T$2, MATCH($E125,IRS!$B$1:$Y$1, 0)) ) * IF($C$7=1,-1,1)   )</f>
        <v>0.27450000000000019</v>
      </c>
      <c r="U126" s="87">
        <f>IF(   U125="", "", (U125 - INDEX(IRS!$B$2:$Y$13, U$2, MATCH($E125,IRS!$B$1:$Y$1, 0)) ) * IF($C$7=1,-1,1)   )</f>
        <v>0.32800000000000029</v>
      </c>
      <c r="V126" s="83">
        <f>IF(   V125="", "", (V125 - INDEX(IRS!$B$2:$Y$13, V$2, MATCH($E125,IRS!$B$1:$Y$1, 0)) ) * IF($C$7=1,-1,1)   )</f>
        <v>0.27977500000000166</v>
      </c>
      <c r="W126" s="84">
        <f>IF(   W125="", "", (W125 - INDEX(IRS!$B$2:$Y$13, W$2, MATCH($E125,IRS!$B$1:$Y$1, 0)) ) * IF($C$7=1,-1,1)   )</f>
        <v>0.28200000000000003</v>
      </c>
      <c r="X126" s="85">
        <f>IF(   X125="", "", (X125 - INDEX(IRS!$B$2:$Y$13, X$2, MATCH($E125,IRS!$B$1:$Y$1, 0)) ) * IF($C$7=1,-1,1)   )</f>
        <v>0.254</v>
      </c>
      <c r="Y126" s="83">
        <f>IF(   Y125="", "", (Y125 - INDEX(IRS!$B$2:$Y$13, Y$2, MATCH($E125,IRS!$B$1:$Y$1, 0)) ) * IF($C$7=1,-1,1)   )</f>
        <v>0.25346800000000158</v>
      </c>
      <c r="Z126" s="84">
        <f>IF(   Z125="", "", (Z125 - INDEX(IRS!$B$2:$Y$13, Z$2, MATCH($E125,IRS!$B$1:$Y$1, 0)) ) * IF($C$7=1,-1,1)   )</f>
        <v>0.28200000000000003</v>
      </c>
      <c r="AA126" s="85">
        <f>IF(   AA125="", "", (AA125 - INDEX(IRS!$B$2:$Y$13, AA$2, MATCH($E125,IRS!$B$1:$Y$1, 0)) ) * IF($C$7=1,-1,1)   )</f>
        <v>0.15799999999999992</v>
      </c>
    </row>
    <row r="127" spans="1:27">
      <c r="A127" s="50"/>
      <c r="B127" s="6" t="str">
        <f>_xll.IMDH("IR",$B$112,$C127,$O$9,$F$9,10,"Per=일, sort=D, real=true, Bizday=0, Quote=종가,Pos=40,Orient=H,DtFmt=1.TmFmt=1")</f>
        <v>조회[BONDAVG09]</v>
      </c>
      <c r="C127" s="6" t="s">
        <v>241</v>
      </c>
      <c r="D127" s="53"/>
      <c r="E127" s="51" t="s">
        <v>256</v>
      </c>
      <c r="F127" s="88">
        <v>2.9430000000000001</v>
      </c>
      <c r="G127" s="89">
        <v>2.93</v>
      </c>
      <c r="H127" s="89">
        <v>2.9060000000000001</v>
      </c>
      <c r="I127" s="89">
        <v>2.9159999999999999</v>
      </c>
      <c r="J127" s="89">
        <v>2.919</v>
      </c>
      <c r="K127" s="89">
        <v>2.9</v>
      </c>
      <c r="L127" s="89">
        <v>2.887</v>
      </c>
      <c r="M127" s="89">
        <v>2.8879999999999999</v>
      </c>
      <c r="N127" s="89">
        <v>2.879</v>
      </c>
      <c r="O127" s="89">
        <v>2.8650000000000002</v>
      </c>
      <c r="P127" s="80">
        <f>IF( INDEX(BOND!$B$2:$CH$13, P$2, MATCH($B$112, BOND!$B$16:$CH$16, 0)+MATCH($C127, BOND!$C$18:$N$18,0) )=0,
"",
INDEX(BOND!$B$2:$CH$13, P$2, MATCH($B$112, BOND!$B$16:$CH$16, 0)+MATCH($C127, BOND!$C$18:$N$18,0)) )</f>
        <v>2.8902000000000001</v>
      </c>
      <c r="Q127" s="80">
        <f>IF( INDEX(BOND!$B$2:$CH$13, Q$2, MATCH($B$112, BOND!$B$16:$CH$16, 0)+MATCH($C127, BOND!$C$18:$N$18,0) )=0,
"",
INDEX(BOND!$B$2:$CH$13, Q$2, MATCH($B$112, BOND!$B$16:$CH$16, 0)+MATCH($C127, BOND!$C$18:$N$18,0)) )</f>
        <v>2.8330000000000002</v>
      </c>
      <c r="R127" s="80">
        <f>IF( INDEX(BOND!$B$2:$CH$13, R$2, MATCH($B$112, BOND!$B$16:$CH$16, 0)+MATCH($C127, BOND!$C$18:$N$18,0) )=0,
"",
INDEX(BOND!$B$2:$CH$13, R$2, MATCH($B$112, BOND!$B$16:$CH$16, 0)+MATCH($C127, BOND!$C$18:$N$18,0)) )</f>
        <v>2.9430000000000001</v>
      </c>
      <c r="S127" s="80">
        <f>IF( INDEX(BOND!$B$2:$CH$13, S$2, MATCH($B$112, BOND!$B$16:$CH$16, 0)+MATCH($C127, BOND!$C$18:$N$18,0) )=0,
"",
INDEX(BOND!$B$2:$CH$13, S$2, MATCH($B$112, BOND!$B$16:$CH$16, 0)+MATCH($C127, BOND!$C$18:$N$18,0)) )</f>
        <v>2.9391333333333334</v>
      </c>
      <c r="T127" s="80">
        <f>IF( INDEX(BOND!$B$2:$CH$13, T$2, MATCH($B$112, BOND!$B$16:$CH$16, 0)+MATCH($C127, BOND!$C$18:$N$18,0) )=0,
"",
INDEX(BOND!$B$2:$CH$13, T$2, MATCH($B$112, BOND!$B$16:$CH$16, 0)+MATCH($C127, BOND!$C$18:$N$18,0)) )</f>
        <v>2.8330000000000002</v>
      </c>
      <c r="U127" s="80">
        <f>IF( INDEX(BOND!$B$2:$CH$13, U$2, MATCH($B$112, BOND!$B$16:$CH$16, 0)+MATCH($C127, BOND!$C$18:$N$18,0) )=0,
"",
INDEX(BOND!$B$2:$CH$13, U$2, MATCH($B$112, BOND!$B$16:$CH$16, 0)+MATCH($C127, BOND!$C$18:$N$18,0)) )</f>
        <v>3.1070000000000002</v>
      </c>
      <c r="V127" s="80">
        <f>IF( INDEX(BOND!$B$2:$CH$13, V$2, MATCH($B$112, BOND!$B$16:$CH$16, 0)+MATCH($C127, BOND!$C$18:$N$18,0) )=0,
"",
INDEX(BOND!$B$2:$CH$13, V$2, MATCH($B$112, BOND!$B$16:$CH$16, 0)+MATCH($C127, BOND!$C$18:$N$18,0)) )</f>
        <v>3.030875</v>
      </c>
      <c r="W127" s="80">
        <f>IF( INDEX(BOND!$B$2:$CH$13, W$2, MATCH($B$112, BOND!$B$16:$CH$16, 0)+MATCH($C127, BOND!$C$18:$N$18,0) )=0,
"",
INDEX(BOND!$B$2:$CH$13, W$2, MATCH($B$112, BOND!$B$16:$CH$16, 0)+MATCH($C127, BOND!$C$18:$N$18,0)) )</f>
        <v>2.8330000000000002</v>
      </c>
      <c r="X127" s="80">
        <f>IF( INDEX(BOND!$B$2:$CH$13, X$2, MATCH($B$112, BOND!$B$16:$CH$16, 0)+MATCH($C127, BOND!$C$18:$N$18,0) )=0,
"",
INDEX(BOND!$B$2:$CH$13, X$2, MATCH($B$112, BOND!$B$16:$CH$16, 0)+MATCH($C127, BOND!$C$18:$N$18,0)) )</f>
        <v>3.2770000000000001</v>
      </c>
      <c r="Y127" s="80">
        <f>IF( INDEX(BOND!$B$2:$CH$13, Y$2, MATCH($B$112, BOND!$B$16:$CH$16, 0)+MATCH($C127, BOND!$C$18:$N$18,0) )=0,
"",
INDEX(BOND!$B$2:$CH$13, Y$2, MATCH($B$112, BOND!$B$16:$CH$16, 0)+MATCH($C127, BOND!$C$18:$N$18,0)) )</f>
        <v>3.2237519999999993</v>
      </c>
      <c r="Z127" s="80">
        <f>IF( INDEX(BOND!$B$2:$CH$13, Z$2, MATCH($B$112, BOND!$B$16:$CH$16, 0)+MATCH($C127, BOND!$C$18:$N$18,0) )=0,
"",
INDEX(BOND!$B$2:$CH$13, Z$2, MATCH($B$112, BOND!$B$16:$CH$16, 0)+MATCH($C127, BOND!$C$18:$N$18,0)) )</f>
        <v>2.8330000000000002</v>
      </c>
      <c r="AA127" s="80">
        <f>IF( INDEX(BOND!$B$2:$CH$13, AA$2, MATCH($B$112, BOND!$B$16:$CH$16, 0)+MATCH($C127, BOND!$C$18:$N$18,0) )=0,
"",
INDEX(BOND!$B$2:$CH$13, AA$2, MATCH($B$112, BOND!$B$16:$CH$16, 0)+MATCH($C127, BOND!$C$18:$N$18,0)) )</f>
        <v>3.754</v>
      </c>
    </row>
    <row r="128" spans="1:27">
      <c r="A128" s="50"/>
      <c r="D128" s="53"/>
      <c r="E128" s="52" t="s">
        <v>267</v>
      </c>
      <c r="F128" s="81">
        <f>IF(F127=0,"",(F127-AD30)*IF($C$7=1,-1,1))</f>
        <v>0.33050000000000024</v>
      </c>
      <c r="G128" s="82">
        <f>IF(G127=0,"",(G127-AE30)*IF($C$7=1,-1,1))</f>
        <v>0.32750000000000012</v>
      </c>
      <c r="H128" s="82">
        <f>IF(H127=0,"",(H127-AF30)*IF($C$7=1,-1,1))</f>
        <v>0.31099999999999994</v>
      </c>
      <c r="I128" s="82">
        <f>IF(I127=0,"",(I127-AG30)*IF($C$7=1,-1,1))</f>
        <v>0.33349999999999991</v>
      </c>
      <c r="J128" s="82">
        <f>IF(J127=0,"",(J127-AH30)*IF($C$7=1,-1,1))</f>
        <v>0.32650000000000023</v>
      </c>
      <c r="K128" s="82">
        <f>IF(K127=0,"",(K127-AI30)*IF($C$7=1,-1,1))</f>
        <v>0.32750000000000012</v>
      </c>
      <c r="L128" s="82">
        <f>IF(L127=0,"",(L127-AJ30)*IF($C$7=1,-1,1))</f>
        <v>0.30449999999999999</v>
      </c>
      <c r="M128" s="82">
        <f>IF(M127=0,"",(M127-AK30)*IF($C$7=1,-1,1))</f>
        <v>0.30299999999999994</v>
      </c>
      <c r="N128" s="82">
        <f>IF(N127=0,"",(N127-AL30)*IF($C$7=1,-1,1))</f>
        <v>0.3214999999999999</v>
      </c>
      <c r="O128" s="82">
        <f>IF(O127=0,"",(O127-AM30)*IF($C$7=1,-1,1))</f>
        <v>0.32750000000000012</v>
      </c>
      <c r="P128" s="83">
        <f>IF(   P127="", "", (P127 - INDEX(IRS!$B$2:$Y$13, P$2, MATCH($E127,IRS!$B$1:$Y$1, 0)) ) * IF($C$7=1,-1,1)   )</f>
        <v>0.31007500000000032</v>
      </c>
      <c r="Q128" s="84">
        <f>IF(   Q127="", "", (Q127 - INDEX(IRS!$B$2:$Y$13, Q$2, MATCH($E127,IRS!$B$1:$Y$1, 0)) ) * IF($C$7=1,-1,1)   )</f>
        <v>0.29800000000000004</v>
      </c>
      <c r="R128" s="85">
        <f>IF(   R127="", "", (R127 - INDEX(IRS!$B$2:$Y$13, R$2, MATCH($E127,IRS!$B$1:$Y$1, 0)) ) * IF($C$7=1,-1,1)   )</f>
        <v>0.31800000000000006</v>
      </c>
      <c r="S128" s="86">
        <f>IF(   S127="", "", (S127 - INDEX(IRS!$B$2:$Y$13, S$2, MATCH($E127,IRS!$B$1:$Y$1, 0)) ) * IF($C$7=1,-1,1)   )</f>
        <v>0.30480000000000063</v>
      </c>
      <c r="T128" s="84">
        <f>IF(   T127="", "", (T127 - INDEX(IRS!$B$2:$Y$13, T$2, MATCH($E127,IRS!$B$1:$Y$1, 0)) ) * IF($C$7=1,-1,1)   )</f>
        <v>0.29800000000000004</v>
      </c>
      <c r="U128" s="87">
        <f>IF(   U127="", "", (U127 - INDEX(IRS!$B$2:$Y$13, U$2, MATCH($E127,IRS!$B$1:$Y$1, 0)) ) * IF($C$7=1,-1,1)   )</f>
        <v>0.34700000000000042</v>
      </c>
      <c r="V128" s="83">
        <f>IF(   V127="", "", (V127 - INDEX(IRS!$B$2:$Y$13, V$2, MATCH($E127,IRS!$B$1:$Y$1, 0)) ) * IF($C$7=1,-1,1)   )</f>
        <v>0.30945833333333406</v>
      </c>
      <c r="W128" s="84">
        <f>IF(   W127="", "", (W127 - INDEX(IRS!$B$2:$Y$13, W$2, MATCH($E127,IRS!$B$1:$Y$1, 0)) ) * IF($C$7=1,-1,1)   )</f>
        <v>0.32550000000000034</v>
      </c>
      <c r="X128" s="85">
        <f>IF(   X127="", "", (X127 - INDEX(IRS!$B$2:$Y$13, X$2, MATCH($E127,IRS!$B$1:$Y$1, 0)) ) * IF($C$7=1,-1,1)   )</f>
        <v>0.25700000000000012</v>
      </c>
      <c r="Y128" s="83">
        <f>IF(   Y127="", "", (Y127 - INDEX(IRS!$B$2:$Y$13, Y$2, MATCH($E127,IRS!$B$1:$Y$1, 0)) ) * IF($C$7=1,-1,1)   )</f>
        <v>0.27893200000000151</v>
      </c>
      <c r="Z128" s="84">
        <f>IF(   Z127="", "", (Z127 - INDEX(IRS!$B$2:$Y$13, Z$2, MATCH($E127,IRS!$B$1:$Y$1, 0)) ) * IF($C$7=1,-1,1)   )</f>
        <v>0.32550000000000034</v>
      </c>
      <c r="AA128" s="85">
        <f>IF(   AA127="", "", (AA127 - INDEX(IRS!$B$2:$Y$13, AA$2, MATCH($E127,IRS!$B$1:$Y$1, 0)) ) * IF($C$7=1,-1,1)   )</f>
        <v>0.18150000000000022</v>
      </c>
    </row>
    <row r="129" spans="1:27">
      <c r="A129" s="50"/>
      <c r="C129" s="6">
        <v>14</v>
      </c>
      <c r="D129" s="45"/>
      <c r="E129" s="56" t="s">
        <v>58</v>
      </c>
      <c r="F129" s="63">
        <f>F$9</f>
        <v>45741</v>
      </c>
      <c r="G129" s="65">
        <f t="shared" ref="G129:N129" si="6">G$9</f>
        <v>45740</v>
      </c>
      <c r="H129" s="65">
        <f t="shared" si="6"/>
        <v>45737</v>
      </c>
      <c r="I129" s="65">
        <f t="shared" si="6"/>
        <v>45736</v>
      </c>
      <c r="J129" s="65">
        <f t="shared" si="6"/>
        <v>45735</v>
      </c>
      <c r="K129" s="65">
        <f t="shared" si="6"/>
        <v>45734</v>
      </c>
      <c r="L129" s="65">
        <f t="shared" si="6"/>
        <v>45733</v>
      </c>
      <c r="M129" s="65">
        <f t="shared" si="6"/>
        <v>45730</v>
      </c>
      <c r="N129" s="61">
        <f t="shared" si="6"/>
        <v>45729</v>
      </c>
      <c r="O129" s="59">
        <f>O$9</f>
        <v>45728</v>
      </c>
      <c r="P129" s="68" t="str">
        <f>$P$13</f>
        <v>20D</v>
      </c>
      <c r="Q129" s="68"/>
      <c r="R129" s="68"/>
      <c r="S129" s="68" t="str">
        <f>$S$13</f>
        <v>60D</v>
      </c>
      <c r="T129" s="68"/>
      <c r="U129" s="68"/>
      <c r="V129" s="68" t="str">
        <f>$V$13</f>
        <v>120D</v>
      </c>
      <c r="W129" s="68"/>
      <c r="X129" s="68"/>
      <c r="Y129" s="68" t="str">
        <f>$Y$13</f>
        <v>250D</v>
      </c>
      <c r="Z129" s="68"/>
      <c r="AA129" s="68"/>
    </row>
    <row r="130" spans="1:27">
      <c r="A130" s="50"/>
      <c r="B130" s="6" t="str">
        <f>INDEX(code_list,$C129,1)</f>
        <v>BONDAVG13</v>
      </c>
      <c r="C130" s="6" t="str">
        <f>INDEX(name_list,$C129,1)</f>
        <v>특수채(정부보증)</v>
      </c>
      <c r="D130" s="45"/>
      <c r="E130" s="57"/>
      <c r="F130" s="64"/>
      <c r="G130" s="66"/>
      <c r="H130" s="66"/>
      <c r="I130" s="66"/>
      <c r="J130" s="66"/>
      <c r="K130" s="66"/>
      <c r="L130" s="66"/>
      <c r="M130" s="66"/>
      <c r="N130" s="62"/>
      <c r="O130" s="60"/>
      <c r="P130" s="55" t="s">
        <v>21</v>
      </c>
      <c r="Q130" s="55" t="s">
        <v>22</v>
      </c>
      <c r="R130" s="55" t="s">
        <v>23</v>
      </c>
      <c r="S130" s="55" t="s">
        <v>21</v>
      </c>
      <c r="T130" s="55" t="s">
        <v>22</v>
      </c>
      <c r="U130" s="55" t="s">
        <v>23</v>
      </c>
      <c r="V130" s="55" t="s">
        <v>21</v>
      </c>
      <c r="W130" s="55" t="s">
        <v>22</v>
      </c>
      <c r="X130" s="55" t="s">
        <v>23</v>
      </c>
      <c r="Y130" s="55" t="s">
        <v>21</v>
      </c>
      <c r="Z130" s="55" t="s">
        <v>22</v>
      </c>
      <c r="AA130" s="55" t="s">
        <v>23</v>
      </c>
    </row>
    <row r="131" spans="1:27">
      <c r="A131" s="50"/>
      <c r="B131" s="6" t="str">
        <f>_xll.IMDH("IR",$B$130,$C131,$O$9,$F$9,10,"Per=일, sort=D, real=true, Bizday=0, Quote=종가,Pos=40,Orient=H,DtFmt=1.TmFmt=1")</f>
        <v>조회[BONDAVG13]</v>
      </c>
      <c r="C131" s="6" t="s">
        <v>297</v>
      </c>
      <c r="D131" s="45"/>
      <c r="E131" s="51" t="s">
        <v>249</v>
      </c>
      <c r="F131" s="88">
        <v>2.8159999999999998</v>
      </c>
      <c r="G131" s="89">
        <v>2.8239999999999998</v>
      </c>
      <c r="H131" s="89">
        <v>2.8149999999999999</v>
      </c>
      <c r="I131" s="89">
        <v>2.8109999999999999</v>
      </c>
      <c r="J131" s="89">
        <v>2.8130000000000002</v>
      </c>
      <c r="K131" s="89">
        <v>2.8130000000000002</v>
      </c>
      <c r="L131" s="89">
        <v>2.8130000000000002</v>
      </c>
      <c r="M131" s="89">
        <v>2.8140000000000001</v>
      </c>
      <c r="N131" s="89">
        <v>2.8130000000000002</v>
      </c>
      <c r="O131" s="89">
        <v>2.806</v>
      </c>
      <c r="P131" s="80">
        <f>IF( INDEX(BOND!$B$2:$CH$13, P$2, MATCH($B$130, BOND!$B$16:$CH$16, 0)+MATCH($C131, BOND!$C$18:$N$18,0) )=0,
"",
INDEX(BOND!$B$2:$CH$13, P$2, MATCH($B$130, BOND!$B$16:$CH$16, 0)+MATCH($C131, BOND!$C$18:$N$18,0)) )</f>
        <v>2.82</v>
      </c>
      <c r="Q131" s="80">
        <f>IF( INDEX(BOND!$B$2:$CH$13, Q$2, MATCH($B$130, BOND!$B$16:$CH$16, 0)+MATCH($C131, BOND!$C$18:$N$18,0) )=0,
"",
INDEX(BOND!$B$2:$CH$13, Q$2, MATCH($B$130, BOND!$B$16:$CH$16, 0)+MATCH($C131, BOND!$C$18:$N$18,0)) )</f>
        <v>2.806</v>
      </c>
      <c r="R131" s="80">
        <f>IF( INDEX(BOND!$B$2:$CH$13, R$2, MATCH($B$130, BOND!$B$16:$CH$16, 0)+MATCH($C131, BOND!$C$18:$N$18,0) )=0,
"",
INDEX(BOND!$B$2:$CH$13, R$2, MATCH($B$130, BOND!$B$16:$CH$16, 0)+MATCH($C131, BOND!$C$18:$N$18,0)) )</f>
        <v>2.8370000000000002</v>
      </c>
      <c r="S131" s="80">
        <f>IF( INDEX(BOND!$B$2:$CH$13, S$2, MATCH($B$130, BOND!$B$16:$CH$16, 0)+MATCH($C131, BOND!$C$18:$N$18,0) )=0,
"",
INDEX(BOND!$B$2:$CH$13, S$2, MATCH($B$130, BOND!$B$16:$CH$16, 0)+MATCH($C131, BOND!$C$18:$N$18,0)) )</f>
        <v>2.9314666666666676</v>
      </c>
      <c r="T131" s="80">
        <f>IF( INDEX(BOND!$B$2:$CH$13, T$2, MATCH($B$130, BOND!$B$16:$CH$16, 0)+MATCH($C131, BOND!$C$18:$N$18,0) )=0,
"",
INDEX(BOND!$B$2:$CH$13, T$2, MATCH($B$130, BOND!$B$16:$CH$16, 0)+MATCH($C131, BOND!$C$18:$N$18,0)) )</f>
        <v>2.806</v>
      </c>
      <c r="U131" s="80">
        <f>IF( INDEX(BOND!$B$2:$CH$13, U$2, MATCH($B$130, BOND!$B$16:$CH$16, 0)+MATCH($C131, BOND!$C$18:$N$18,0) )=0,
"",
INDEX(BOND!$B$2:$CH$13, U$2, MATCH($B$130, BOND!$B$16:$CH$16, 0)+MATCH($C131, BOND!$C$18:$N$18,0)) )</f>
        <v>3.2629999999999999</v>
      </c>
      <c r="V131" s="80">
        <f>IF( INDEX(BOND!$B$2:$CH$13, V$2, MATCH($B$130, BOND!$B$16:$CH$16, 0)+MATCH($C131, BOND!$C$18:$N$18,0) )=0,
"",
INDEX(BOND!$B$2:$CH$13, V$2, MATCH($B$130, BOND!$B$16:$CH$16, 0)+MATCH($C131, BOND!$C$18:$N$18,0)) )</f>
        <v>3.1042916666666662</v>
      </c>
      <c r="W131" s="80">
        <f>IF( INDEX(BOND!$B$2:$CH$13, W$2, MATCH($B$130, BOND!$B$16:$CH$16, 0)+MATCH($C131, BOND!$C$18:$N$18,0) )=0,
"",
INDEX(BOND!$B$2:$CH$13, W$2, MATCH($B$130, BOND!$B$16:$CH$16, 0)+MATCH($C131, BOND!$C$18:$N$18,0)) )</f>
        <v>2.806</v>
      </c>
      <c r="X131" s="80">
        <f>IF( INDEX(BOND!$B$2:$CH$13, X$2, MATCH($B$130, BOND!$B$16:$CH$16, 0)+MATCH($C131, BOND!$C$18:$N$18,0) )=0,
"",
INDEX(BOND!$B$2:$CH$13, X$2, MATCH($B$130, BOND!$B$16:$CH$16, 0)+MATCH($C131, BOND!$C$18:$N$18,0)) )</f>
        <v>3.3439999999999999</v>
      </c>
      <c r="Y131" s="80">
        <f>IF( INDEX(BOND!$B$2:$CH$13, Y$2, MATCH($B$130, BOND!$B$16:$CH$16, 0)+MATCH($C131, BOND!$C$18:$N$18,0) )=0,
"",
INDEX(BOND!$B$2:$CH$13, Y$2, MATCH($B$130, BOND!$B$16:$CH$16, 0)+MATCH($C131, BOND!$C$18:$N$18,0)) )</f>
        <v>3.2709599999999996</v>
      </c>
      <c r="Z131" s="80">
        <f>IF( INDEX(BOND!$B$2:$CH$13, Z$2, MATCH($B$130, BOND!$B$16:$CH$16, 0)+MATCH($C131, BOND!$C$18:$N$18,0) )=0,
"",
INDEX(BOND!$B$2:$CH$13, Z$2, MATCH($B$130, BOND!$B$16:$CH$16, 0)+MATCH($C131, BOND!$C$18:$N$18,0)) )</f>
        <v>2.806</v>
      </c>
      <c r="AA131" s="80">
        <f>IF( INDEX(BOND!$B$2:$CH$13, AA$2, MATCH($B$130, BOND!$B$16:$CH$16, 0)+MATCH($C131, BOND!$C$18:$N$18,0) )=0,
"",
INDEX(BOND!$B$2:$CH$13, AA$2, MATCH($B$130, BOND!$B$16:$CH$16, 0)+MATCH($C131, BOND!$C$18:$N$18,0)) )</f>
        <v>3.51</v>
      </c>
    </row>
    <row r="132" spans="1:27">
      <c r="A132" s="50"/>
      <c r="D132" s="45"/>
      <c r="E132" s="52" t="s">
        <v>267</v>
      </c>
      <c r="F132" s="81">
        <f>IF(F131=0,"",(F131-AD16)*IF($C$7=1,-1,1))</f>
        <v>4.3499999999999872E-2</v>
      </c>
      <c r="G132" s="82">
        <f>IF(G131=0,"",(G131-AE16)*IF($C$7=1,-1,1))</f>
        <v>5.8999999999999719E-2</v>
      </c>
      <c r="H132" s="82">
        <f>IF(H131=0,"",(H131-AF16)*IF($C$7=1,-1,1))</f>
        <v>5.2499999999999769E-2</v>
      </c>
      <c r="I132" s="82">
        <f>IF(I131=0,"",(I131-AG16)*IF($C$7=1,-1,1))</f>
        <v>5.1000000000000156E-2</v>
      </c>
      <c r="J132" s="82">
        <f>IF(J131=0,"",(J131-AH16)*IF($C$7=1,-1,1))</f>
        <v>4.5500000000000096E-2</v>
      </c>
      <c r="K132" s="82">
        <f>IF(K131=0,"",(K131-AI16)*IF($C$7=1,-1,1))</f>
        <v>4.8000000000000043E-2</v>
      </c>
      <c r="L132" s="82">
        <f>IF(L131=0,"",(L131-AJ16)*IF($C$7=1,-1,1))</f>
        <v>4.8000000000000043E-2</v>
      </c>
      <c r="M132" s="82">
        <f>IF(M131=0,"",(M131-AK16)*IF($C$7=1,-1,1))</f>
        <v>5.400000000000027E-2</v>
      </c>
      <c r="N132" s="82">
        <f>IF(N131=0,"",(N131-AL16)*IF($C$7=1,-1,1))</f>
        <v>5.5500000000000327E-2</v>
      </c>
      <c r="O132" s="82">
        <f>IF(O131=0,"",(O131-AM16)*IF($C$7=1,-1,1))</f>
        <v>6.0999999999999943E-2</v>
      </c>
      <c r="P132" s="83">
        <f>IF(   P131="", "", (P131 - INDEX(IRS!$B$2:$Y$13, P$2, MATCH($E131,IRS!$B$1:$Y$1, 0)) ) * IF($C$7=1,-1,1)   )</f>
        <v>5.4249999999999687E-2</v>
      </c>
      <c r="Q132" s="84">
        <f>IF(   Q131="", "", (Q131 - INDEX(IRS!$B$2:$Y$13, Q$2, MATCH($E131,IRS!$B$1:$Y$1, 0)) ) * IF($C$7=1,-1,1)   )</f>
        <v>6.0999999999999943E-2</v>
      </c>
      <c r="R132" s="85">
        <f>IF(   R131="", "", (R131 - INDEX(IRS!$B$2:$Y$13, R$2, MATCH($E131,IRS!$B$1:$Y$1, 0)) ) * IF($C$7=1,-1,1)   )</f>
        <v>3.7000000000000366E-2</v>
      </c>
      <c r="S132" s="86">
        <f>IF(   S131="", "", (S131 - INDEX(IRS!$B$2:$Y$13, S$2, MATCH($E131,IRS!$B$1:$Y$1, 0)) ) * IF($C$7=1,-1,1)   )</f>
        <v>5.3591666666667148E-2</v>
      </c>
      <c r="T132" s="84">
        <f>IF(   T131="", "", (T131 - INDEX(IRS!$B$2:$Y$13, T$2, MATCH($E131,IRS!$B$1:$Y$1, 0)) ) * IF($C$7=1,-1,1)   )</f>
        <v>6.0999999999999943E-2</v>
      </c>
      <c r="U132" s="87">
        <f>IF(   U131="", "", (U131 - INDEX(IRS!$B$2:$Y$13, U$2, MATCH($E131,IRS!$B$1:$Y$1, 0)) ) * IF($C$7=1,-1,1)   )</f>
        <v>7.5499999999999901E-2</v>
      </c>
      <c r="V132" s="83">
        <f>IF(   V131="", "", (V131 - INDEX(IRS!$B$2:$Y$13, V$2, MATCH($E131,IRS!$B$1:$Y$1, 0)) ) * IF($C$7=1,-1,1)   )</f>
        <v>3.9645833333331826E-2</v>
      </c>
      <c r="W132" s="84">
        <f>IF(   W131="", "", (W131 - INDEX(IRS!$B$2:$Y$13, W$2, MATCH($E131,IRS!$B$1:$Y$1, 0)) ) * IF($C$7=1,-1,1)   )</f>
        <v>6.0999999999999943E-2</v>
      </c>
      <c r="X132" s="85">
        <f>IF(   X131="", "", (X131 - INDEX(IRS!$B$2:$Y$13, X$2, MATCH($E131,IRS!$B$1:$Y$1, 0)) ) * IF($C$7=1,-1,1)   )</f>
        <v>-6.8500000000000227E-2</v>
      </c>
      <c r="Y132" s="83">
        <f>IF(   Y131="", "", (Y131 - INDEX(IRS!$B$2:$Y$13, Y$2, MATCH($E131,IRS!$B$1:$Y$1, 0)) ) * IF($C$7=1,-1,1)   )</f>
        <v>-2.8830000000002354E-2</v>
      </c>
      <c r="Z132" s="84">
        <f>IF(   Z131="", "", (Z131 - INDEX(IRS!$B$2:$Y$13, Z$2, MATCH($E131,IRS!$B$1:$Y$1, 0)) ) * IF($C$7=1,-1,1)   )</f>
        <v>6.0999999999999943E-2</v>
      </c>
      <c r="AA132" s="85">
        <f>IF(   AA131="", "", (AA131 - INDEX(IRS!$B$2:$Y$13, AA$2, MATCH($E131,IRS!$B$1:$Y$1, 0)) ) * IF($C$7=1,-1,1)   )</f>
        <v>-0.12750000000000039</v>
      </c>
    </row>
    <row r="133" spans="1:27">
      <c r="A133" s="50"/>
      <c r="B133" s="6" t="str">
        <f>_xll.IMDH("IR",$B$130,$C133,$O$9,$F$9,10,"Per=일, sort=D, real=true, Bizday=0, Quote=종가,Pos=40,Orient=H,DtFmt=1.TmFmt=1")</f>
        <v>조회[BONDAVG13]</v>
      </c>
      <c r="C133" s="6" t="s">
        <v>298</v>
      </c>
      <c r="D133" s="45"/>
      <c r="E133" s="51" t="s">
        <v>261</v>
      </c>
      <c r="F133" s="88">
        <v>2.7669999999999999</v>
      </c>
      <c r="G133" s="89">
        <v>2.7759999999999998</v>
      </c>
      <c r="H133" s="89">
        <v>2.7610000000000001</v>
      </c>
      <c r="I133" s="89">
        <v>2.7570000000000001</v>
      </c>
      <c r="J133" s="89">
        <v>2.7589999999999999</v>
      </c>
      <c r="K133" s="89">
        <v>2.7589999999999999</v>
      </c>
      <c r="L133" s="89">
        <v>2.76</v>
      </c>
      <c r="M133" s="89">
        <v>2.7589999999999999</v>
      </c>
      <c r="N133" s="89">
        <v>2.7559999999999998</v>
      </c>
      <c r="O133" s="89">
        <v>2.7490000000000001</v>
      </c>
      <c r="P133" s="80">
        <f>IF( INDEX(BOND!$B$2:$CH$13, P$2, MATCH($B$130, BOND!$B$16:$CH$16, 0)+MATCH($C133, BOND!$C$18:$N$18,0) )=0,
"",
INDEX(BOND!$B$2:$CH$13, P$2, MATCH($B$130, BOND!$B$16:$CH$16, 0)+MATCH($C133, BOND!$C$18:$N$18,0)) )</f>
        <v>2.75725</v>
      </c>
      <c r="Q133" s="80">
        <f>IF( INDEX(BOND!$B$2:$CH$13, Q$2, MATCH($B$130, BOND!$B$16:$CH$16, 0)+MATCH($C133, BOND!$C$18:$N$18,0) )=0,
"",
INDEX(BOND!$B$2:$CH$13, Q$2, MATCH($B$130, BOND!$B$16:$CH$16, 0)+MATCH($C133, BOND!$C$18:$N$18,0)) )</f>
        <v>2.7480000000000002</v>
      </c>
      <c r="R133" s="80">
        <f>IF( INDEX(BOND!$B$2:$CH$13, R$2, MATCH($B$130, BOND!$B$16:$CH$16, 0)+MATCH($C133, BOND!$C$18:$N$18,0) )=0,
"",
INDEX(BOND!$B$2:$CH$13, R$2, MATCH($B$130, BOND!$B$16:$CH$16, 0)+MATCH($C133, BOND!$C$18:$N$18,0)) )</f>
        <v>2.7759999999999998</v>
      </c>
      <c r="S133" s="80">
        <f>IF( INDEX(BOND!$B$2:$CH$13, S$2, MATCH($B$130, BOND!$B$16:$CH$16, 0)+MATCH($C133, BOND!$C$18:$N$18,0) )=0,
"",
INDEX(BOND!$B$2:$CH$13, S$2, MATCH($B$130, BOND!$B$16:$CH$16, 0)+MATCH($C133, BOND!$C$18:$N$18,0)) )</f>
        <v>2.8117333333333336</v>
      </c>
      <c r="T133" s="80">
        <f>IF( INDEX(BOND!$B$2:$CH$13, T$2, MATCH($B$130, BOND!$B$16:$CH$16, 0)+MATCH($C133, BOND!$C$18:$N$18,0) )=0,
"",
INDEX(BOND!$B$2:$CH$13, T$2, MATCH($B$130, BOND!$B$16:$CH$16, 0)+MATCH($C133, BOND!$C$18:$N$18,0)) )</f>
        <v>2.7450000000000001</v>
      </c>
      <c r="U133" s="80">
        <f>IF( INDEX(BOND!$B$2:$CH$13, U$2, MATCH($B$130, BOND!$B$16:$CH$16, 0)+MATCH($C133, BOND!$C$18:$N$18,0) )=0,
"",
INDEX(BOND!$B$2:$CH$13, U$2, MATCH($B$130, BOND!$B$16:$CH$16, 0)+MATCH($C133, BOND!$C$18:$N$18,0)) )</f>
        <v>3.0880000000000001</v>
      </c>
      <c r="V133" s="80">
        <f>IF( INDEX(BOND!$B$2:$CH$13, V$2, MATCH($B$130, BOND!$B$16:$CH$16, 0)+MATCH($C133, BOND!$C$18:$N$18,0) )=0,
"",
INDEX(BOND!$B$2:$CH$13, V$2, MATCH($B$130, BOND!$B$16:$CH$16, 0)+MATCH($C133, BOND!$C$18:$N$18,0)) )</f>
        <v>2.9831249999999994</v>
      </c>
      <c r="W133" s="80">
        <f>IF( INDEX(BOND!$B$2:$CH$13, W$2, MATCH($B$130, BOND!$B$16:$CH$16, 0)+MATCH($C133, BOND!$C$18:$N$18,0) )=0,
"",
INDEX(BOND!$B$2:$CH$13, W$2, MATCH($B$130, BOND!$B$16:$CH$16, 0)+MATCH($C133, BOND!$C$18:$N$18,0)) )</f>
        <v>2.7450000000000001</v>
      </c>
      <c r="X133" s="80">
        <f>IF( INDEX(BOND!$B$2:$CH$13, X$2, MATCH($B$130, BOND!$B$16:$CH$16, 0)+MATCH($C133, BOND!$C$18:$N$18,0) )=0,
"",
INDEX(BOND!$B$2:$CH$13, X$2, MATCH($B$130, BOND!$B$16:$CH$16, 0)+MATCH($C133, BOND!$C$18:$N$18,0)) )</f>
        <v>3.234</v>
      </c>
      <c r="Y133" s="80">
        <f>IF( INDEX(BOND!$B$2:$CH$13, Y$2, MATCH($B$130, BOND!$B$16:$CH$16, 0)+MATCH($C133, BOND!$C$18:$N$18,0) )=0,
"",
INDEX(BOND!$B$2:$CH$13, Y$2, MATCH($B$130, BOND!$B$16:$CH$16, 0)+MATCH($C133, BOND!$C$18:$N$18,0)) )</f>
        <v>3.1989119999999973</v>
      </c>
      <c r="Z133" s="80">
        <f>IF( INDEX(BOND!$B$2:$CH$13, Z$2, MATCH($B$130, BOND!$B$16:$CH$16, 0)+MATCH($C133, BOND!$C$18:$N$18,0) )=0,
"",
INDEX(BOND!$B$2:$CH$13, Z$2, MATCH($B$130, BOND!$B$16:$CH$16, 0)+MATCH($C133, BOND!$C$18:$N$18,0)) )</f>
        <v>2.7450000000000001</v>
      </c>
      <c r="AA133" s="80">
        <f>IF( INDEX(BOND!$B$2:$CH$13, AA$2, MATCH($B$130, BOND!$B$16:$CH$16, 0)+MATCH($C133, BOND!$C$18:$N$18,0) )=0,
"",
INDEX(BOND!$B$2:$CH$13, AA$2, MATCH($B$130, BOND!$B$16:$CH$16, 0)+MATCH($C133, BOND!$C$18:$N$18,0)) )</f>
        <v>3.5569999999999999</v>
      </c>
    </row>
    <row r="134" spans="1:27">
      <c r="A134" s="50"/>
      <c r="D134" s="45"/>
      <c r="E134" s="52" t="s">
        <v>267</v>
      </c>
      <c r="F134" s="81">
        <f>IF(F133=0,"",(F133-AD18)*IF($C$7=1,-1,1))</f>
        <v>5.4499999999999993E-2</v>
      </c>
      <c r="G134" s="82">
        <f>IF(G133=0,"",(G133-AE18)*IF($C$7=1,-1,1))</f>
        <v>7.3499999999999677E-2</v>
      </c>
      <c r="H134" s="82">
        <f>IF(H133=0,"",(H133-AF18)*IF($C$7=1,-1,1))</f>
        <v>6.0999999999999943E-2</v>
      </c>
      <c r="I134" s="82">
        <f>IF(I133=0,"",(I133-AG18)*IF($C$7=1,-1,1))</f>
        <v>5.950000000000033E-2</v>
      </c>
      <c r="J134" s="82">
        <f>IF(J133=0,"",(J133-AH18)*IF($C$7=1,-1,1))</f>
        <v>5.3999999999999826E-2</v>
      </c>
      <c r="K134" s="82">
        <f>IF(K133=0,"",(K133-AI18)*IF($C$7=1,-1,1))</f>
        <v>5.8999999999999719E-2</v>
      </c>
      <c r="L134" s="82">
        <f>IF(L133=0,"",(L133-AJ18)*IF($C$7=1,-1,1))</f>
        <v>5.9999999999999609E-2</v>
      </c>
      <c r="M134" s="82">
        <f>IF(M133=0,"",(M133-AK18)*IF($C$7=1,-1,1))</f>
        <v>6.4000000000000057E-2</v>
      </c>
      <c r="N134" s="82">
        <f>IF(N133=0,"",(N133-AL18)*IF($C$7=1,-1,1))</f>
        <v>6.8499999999999783E-2</v>
      </c>
      <c r="O134" s="82">
        <f>IF(O133=0,"",(O133-AM18)*IF($C$7=1,-1,1))</f>
        <v>7.6500000000000234E-2</v>
      </c>
      <c r="P134" s="83">
        <f>IF(   P133="", "", (P133 - INDEX(IRS!$B$2:$Y$13, P$2, MATCH($E133,IRS!$B$1:$Y$1, 0)) ) * IF($C$7=1,-1,1)   )</f>
        <v>6.0250000000000803E-2</v>
      </c>
      <c r="Q134" s="84">
        <f>IF(   Q133="", "", (Q133 - INDEX(IRS!$B$2:$Y$13, Q$2, MATCH($E133,IRS!$B$1:$Y$1, 0)) ) * IF($C$7=1,-1,1)   )</f>
        <v>7.5500000000000345E-2</v>
      </c>
      <c r="R134" s="85">
        <f>IF(   R133="", "", (R133 - INDEX(IRS!$B$2:$Y$13, R$2, MATCH($E133,IRS!$B$1:$Y$1, 0)) ) * IF($C$7=1,-1,1)   )</f>
        <v>4.5999999999999819E-2</v>
      </c>
      <c r="S134" s="86">
        <f>IF(   S133="", "", (S133 - INDEX(IRS!$B$2:$Y$13, S$2, MATCH($E133,IRS!$B$1:$Y$1, 0)) ) * IF($C$7=1,-1,1)   )</f>
        <v>3.1316666666667548E-2</v>
      </c>
      <c r="T134" s="84">
        <f>IF(   T133="", "", (T133 - INDEX(IRS!$B$2:$Y$13, T$2, MATCH($E133,IRS!$B$1:$Y$1, 0)) ) * IF($C$7=1,-1,1)   )</f>
        <v>7.2500000000000231E-2</v>
      </c>
      <c r="U134" s="87">
        <f>IF(   U133="", "", (U133 - INDEX(IRS!$B$2:$Y$13, U$2, MATCH($E133,IRS!$B$1:$Y$1, 0)) ) * IF($C$7=1,-1,1)   )</f>
        <v>8.0500000000000238E-2</v>
      </c>
      <c r="V134" s="83">
        <f>IF(   V133="", "", (V133 - INDEX(IRS!$B$2:$Y$13, V$2, MATCH($E133,IRS!$B$1:$Y$1, 0)) ) * IF($C$7=1,-1,1)   )</f>
        <v>2.9854166666667403E-2</v>
      </c>
      <c r="W134" s="84">
        <f>IF(   W133="", "", (W133 - INDEX(IRS!$B$2:$Y$13, W$2, MATCH($E133,IRS!$B$1:$Y$1, 0)) ) * IF($C$7=1,-1,1)   )</f>
        <v>7.2500000000000231E-2</v>
      </c>
      <c r="X134" s="85">
        <f>IF(   X133="", "", (X133 - INDEX(IRS!$B$2:$Y$13, X$2, MATCH($E133,IRS!$B$1:$Y$1, 0)) ) * IF($C$7=1,-1,1)   )</f>
        <v>-5.8499999999999996E-2</v>
      </c>
      <c r="Y134" s="83">
        <f>IF(   Y133="", "", (Y133 - INDEX(IRS!$B$2:$Y$13, Y$2, MATCH($E133,IRS!$B$1:$Y$1, 0)) ) * IF($C$7=1,-1,1)   )</f>
        <v>-1.4228000000001462E-2</v>
      </c>
      <c r="Z134" s="84">
        <f>IF(   Z133="", "", (Z133 - INDEX(IRS!$B$2:$Y$13, Z$2, MATCH($E133,IRS!$B$1:$Y$1, 0)) ) * IF($C$7=1,-1,1)   )</f>
        <v>7.2500000000000231E-2</v>
      </c>
      <c r="AA134" s="85">
        <f>IF(   AA133="", "", (AA133 - INDEX(IRS!$B$2:$Y$13, AA$2, MATCH($E133,IRS!$B$1:$Y$1, 0)) ) * IF($C$7=1,-1,1)   )</f>
        <v>-5.2999999999999936E-2</v>
      </c>
    </row>
    <row r="135" spans="1:27">
      <c r="A135" s="50"/>
      <c r="B135" s="6" t="str">
        <f>_xll.IMDH("IR",$B$130,$C135,$O$9,$F$9,10,"Per=일, sort=D, real=true, Bizday=0, Quote=종가,Pos=40,Orient=H,DtFmt=1.TmFmt=1")</f>
        <v>조회[BONDAVG13]</v>
      </c>
      <c r="C135" s="6" t="s">
        <v>299</v>
      </c>
      <c r="D135" s="45"/>
      <c r="E135" s="51" t="s">
        <v>251</v>
      </c>
      <c r="F135" s="88">
        <v>2.7610000000000001</v>
      </c>
      <c r="G135" s="89">
        <v>2.7669999999999999</v>
      </c>
      <c r="H135" s="89">
        <v>2.7480000000000002</v>
      </c>
      <c r="I135" s="89">
        <v>2.74</v>
      </c>
      <c r="J135" s="89">
        <v>2.7440000000000002</v>
      </c>
      <c r="K135" s="89">
        <v>2.7429999999999999</v>
      </c>
      <c r="L135" s="89">
        <v>2.7440000000000002</v>
      </c>
      <c r="M135" s="89">
        <v>2.7469999999999999</v>
      </c>
      <c r="N135" s="89">
        <v>2.7429999999999999</v>
      </c>
      <c r="O135" s="89">
        <v>2.7320000000000002</v>
      </c>
      <c r="P135" s="80">
        <f>IF( INDEX(BOND!$B$2:$CH$13, P$2, MATCH($B$130, BOND!$B$16:$CH$16, 0)+MATCH($C135, BOND!$C$18:$N$18,0) )=0,
"",
INDEX(BOND!$B$2:$CH$13, P$2, MATCH($B$130, BOND!$B$16:$CH$16, 0)+MATCH($C135, BOND!$C$18:$N$18,0)) )</f>
        <v>2.7421999999999995</v>
      </c>
      <c r="Q135" s="80">
        <f>IF( INDEX(BOND!$B$2:$CH$13, Q$2, MATCH($B$130, BOND!$B$16:$CH$16, 0)+MATCH($C135, BOND!$C$18:$N$18,0) )=0,
"",
INDEX(BOND!$B$2:$CH$13, Q$2, MATCH($B$130, BOND!$B$16:$CH$16, 0)+MATCH($C135, BOND!$C$18:$N$18,0)) )</f>
        <v>2.7210000000000001</v>
      </c>
      <c r="R135" s="80">
        <f>IF( INDEX(BOND!$B$2:$CH$13, R$2, MATCH($B$130, BOND!$B$16:$CH$16, 0)+MATCH($C135, BOND!$C$18:$N$18,0) )=0,
"",
INDEX(BOND!$B$2:$CH$13, R$2, MATCH($B$130, BOND!$B$16:$CH$16, 0)+MATCH($C135, BOND!$C$18:$N$18,0)) )</f>
        <v>2.7669999999999999</v>
      </c>
      <c r="S135" s="80">
        <f>IF( INDEX(BOND!$B$2:$CH$13, S$2, MATCH($B$130, BOND!$B$16:$CH$16, 0)+MATCH($C135, BOND!$C$18:$N$18,0) )=0,
"",
INDEX(BOND!$B$2:$CH$13, S$2, MATCH($B$130, BOND!$B$16:$CH$16, 0)+MATCH($C135, BOND!$C$18:$N$18,0)) )</f>
        <v>2.7580666666666662</v>
      </c>
      <c r="T135" s="80">
        <f>IF( INDEX(BOND!$B$2:$CH$13, T$2, MATCH($B$130, BOND!$B$16:$CH$16, 0)+MATCH($C135, BOND!$C$18:$N$18,0) )=0,
"",
INDEX(BOND!$B$2:$CH$13, T$2, MATCH($B$130, BOND!$B$16:$CH$16, 0)+MATCH($C135, BOND!$C$18:$N$18,0)) )</f>
        <v>2.6930000000000001</v>
      </c>
      <c r="U135" s="80">
        <f>IF( INDEX(BOND!$B$2:$CH$13, U$2, MATCH($B$130, BOND!$B$16:$CH$16, 0)+MATCH($C135, BOND!$C$18:$N$18,0) )=0,
"",
INDEX(BOND!$B$2:$CH$13, U$2, MATCH($B$130, BOND!$B$16:$CH$16, 0)+MATCH($C135, BOND!$C$18:$N$18,0)) )</f>
        <v>2.9529999999999998</v>
      </c>
      <c r="V135" s="80">
        <f>IF( INDEX(BOND!$B$2:$CH$13, V$2, MATCH($B$130, BOND!$B$16:$CH$16, 0)+MATCH($C135, BOND!$C$18:$N$18,0) )=0,
"",
INDEX(BOND!$B$2:$CH$13, V$2, MATCH($B$130, BOND!$B$16:$CH$16, 0)+MATCH($C135, BOND!$C$18:$N$18,0)) )</f>
        <v>2.9075166666666674</v>
      </c>
      <c r="W135" s="80">
        <f>IF( INDEX(BOND!$B$2:$CH$13, W$2, MATCH($B$130, BOND!$B$16:$CH$16, 0)+MATCH($C135, BOND!$C$18:$N$18,0) )=0,
"",
INDEX(BOND!$B$2:$CH$13, W$2, MATCH($B$130, BOND!$B$16:$CH$16, 0)+MATCH($C135, BOND!$C$18:$N$18,0)) )</f>
        <v>2.6930000000000001</v>
      </c>
      <c r="X135" s="80">
        <f>IF( INDEX(BOND!$B$2:$CH$13, X$2, MATCH($B$130, BOND!$B$16:$CH$16, 0)+MATCH($C135, BOND!$C$18:$N$18,0) )=0,
"",
INDEX(BOND!$B$2:$CH$13, X$2, MATCH($B$130, BOND!$B$16:$CH$16, 0)+MATCH($C135, BOND!$C$18:$N$18,0)) )</f>
        <v>3.145</v>
      </c>
      <c r="Y135" s="80">
        <f>IF( INDEX(BOND!$B$2:$CH$13, Y$2, MATCH($B$130, BOND!$B$16:$CH$16, 0)+MATCH($C135, BOND!$C$18:$N$18,0) )=0,
"",
INDEX(BOND!$B$2:$CH$13, Y$2, MATCH($B$130, BOND!$B$16:$CH$16, 0)+MATCH($C135, BOND!$C$18:$N$18,0)) )</f>
        <v>3.1478120000000018</v>
      </c>
      <c r="Z135" s="80">
        <f>IF( INDEX(BOND!$B$2:$CH$13, Z$2, MATCH($B$130, BOND!$B$16:$CH$16, 0)+MATCH($C135, BOND!$C$18:$N$18,0) )=0,
"",
INDEX(BOND!$B$2:$CH$13, Z$2, MATCH($B$130, BOND!$B$16:$CH$16, 0)+MATCH($C135, BOND!$C$18:$N$18,0)) )</f>
        <v>2.6930000000000001</v>
      </c>
      <c r="AA135" s="80">
        <f>IF( INDEX(BOND!$B$2:$CH$13, AA$2, MATCH($B$130, BOND!$B$16:$CH$16, 0)+MATCH($C135, BOND!$C$18:$N$18,0) )=0,
"",
INDEX(BOND!$B$2:$CH$13, AA$2, MATCH($B$130, BOND!$B$16:$CH$16, 0)+MATCH($C135, BOND!$C$18:$N$18,0)) )</f>
        <v>3.569</v>
      </c>
    </row>
    <row r="136" spans="1:27">
      <c r="A136" s="50"/>
      <c r="D136" s="45"/>
      <c r="E136" s="52" t="s">
        <v>267</v>
      </c>
      <c r="F136" s="81">
        <f>IF(F135=0,"",(F135-AD20)*IF($C$7=1,-1,1))</f>
        <v>8.0999999999999961E-2</v>
      </c>
      <c r="G136" s="82">
        <f>IF(G135=0,"",(G135-AE20)*IF($C$7=1,-1,1))</f>
        <v>0.10199999999999987</v>
      </c>
      <c r="H136" s="82">
        <f>IF(H135=0,"",(H135-AF20)*IF($C$7=1,-1,1))</f>
        <v>8.5500000000000131E-2</v>
      </c>
      <c r="I136" s="82">
        <f>IF(I135=0,"",(I135-AG20)*IF($C$7=1,-1,1))</f>
        <v>8.0000000000000071E-2</v>
      </c>
      <c r="J136" s="82">
        <f>IF(J135=0,"",(J135-AH20)*IF($C$7=1,-1,1))</f>
        <v>7.6500000000000234E-2</v>
      </c>
      <c r="K136" s="82">
        <f>IF(K135=0,"",(K135-AI20)*IF($C$7=1,-1,1))</f>
        <v>8.2999999999999741E-2</v>
      </c>
      <c r="L136" s="82">
        <f>IF(L135=0,"",(L135-AJ20)*IF($C$7=1,-1,1))</f>
        <v>8.4000000000000075E-2</v>
      </c>
      <c r="M136" s="82">
        <f>IF(M135=0,"",(M135-AK20)*IF($C$7=1,-1,1))</f>
        <v>9.4500000000000028E-2</v>
      </c>
      <c r="N136" s="82">
        <f>IF(N135=0,"",(N135-AL20)*IF($C$7=1,-1,1))</f>
        <v>0.10049999999999981</v>
      </c>
      <c r="O136" s="82">
        <f>IF(O135=0,"",(O135-AM20)*IF($C$7=1,-1,1))</f>
        <v>0.10700000000000021</v>
      </c>
      <c r="P136" s="83">
        <f>IF(   P135="", "", (P135 - INDEX(IRS!$B$2:$Y$13, P$2, MATCH($E135,IRS!$B$1:$Y$1, 0)) ) * IF($C$7=1,-1,1)   )</f>
        <v>8.9449999999999363E-2</v>
      </c>
      <c r="Q136" s="84">
        <f>IF(   Q135="", "", (Q135 - INDEX(IRS!$B$2:$Y$13, Q$2, MATCH($E135,IRS!$B$1:$Y$1, 0)) ) * IF($C$7=1,-1,1)   )</f>
        <v>9.6000000000000085E-2</v>
      </c>
      <c r="R136" s="85">
        <f>IF(   R135="", "", (R135 - INDEX(IRS!$B$2:$Y$13, R$2, MATCH($E135,IRS!$B$1:$Y$1, 0)) ) * IF($C$7=1,-1,1)   )</f>
        <v>8.6999999999999744E-2</v>
      </c>
      <c r="S136" s="86">
        <f>IF(   S135="", "", (S135 - INDEX(IRS!$B$2:$Y$13, S$2, MATCH($E135,IRS!$B$1:$Y$1, 0)) ) * IF($C$7=1,-1,1)   )</f>
        <v>4.4316666666666116E-2</v>
      </c>
      <c r="T136" s="84">
        <f>IF(   T135="", "", (T135 - INDEX(IRS!$B$2:$Y$13, T$2, MATCH($E135,IRS!$B$1:$Y$1, 0)) ) * IF($C$7=1,-1,1)   )</f>
        <v>6.800000000000006E-2</v>
      </c>
      <c r="U136" s="87">
        <f>IF(   U135="", "", (U135 - INDEX(IRS!$B$2:$Y$13, U$2, MATCH($E135,IRS!$B$1:$Y$1, 0)) ) * IF($C$7=1,-1,1)   )</f>
        <v>7.5499999999999901E-2</v>
      </c>
      <c r="V136" s="83">
        <f>IF(   V135="", "", (V135 - INDEX(IRS!$B$2:$Y$13, V$2, MATCH($E135,IRS!$B$1:$Y$1, 0)) ) * IF($C$7=1,-1,1)   )</f>
        <v>3.6745833333335032E-2</v>
      </c>
      <c r="W136" s="84">
        <f>IF(   W135="", "", (W135 - INDEX(IRS!$B$2:$Y$13, W$2, MATCH($E135,IRS!$B$1:$Y$1, 0)) ) * IF($C$7=1,-1,1)   )</f>
        <v>6.800000000000006E-2</v>
      </c>
      <c r="X136" s="85">
        <f>IF(   X135="", "", (X135 - INDEX(IRS!$B$2:$Y$13, X$2, MATCH($E135,IRS!$B$1:$Y$1, 0)) ) * IF($C$7=1,-1,1)   )</f>
        <v>-5.2499999999999769E-2</v>
      </c>
      <c r="Y136" s="83">
        <f>IF(   Y135="", "", (Y135 - INDEX(IRS!$B$2:$Y$13, Y$2, MATCH($E135,IRS!$B$1:$Y$1, 0)) ) * IF($C$7=1,-1,1)   )</f>
        <v>5.1420000000006461E-3</v>
      </c>
      <c r="Z136" s="84">
        <f>IF(   Z135="", "", (Z135 - INDEX(IRS!$B$2:$Y$13, Z$2, MATCH($E135,IRS!$B$1:$Y$1, 0)) ) * IF($C$7=1,-1,1)   )</f>
        <v>6.800000000000006E-2</v>
      </c>
      <c r="AA136" s="85">
        <f>IF(   AA135="", "", (AA135 - INDEX(IRS!$B$2:$Y$13, AA$2, MATCH($E135,IRS!$B$1:$Y$1, 0)) ) * IF($C$7=1,-1,1)   )</f>
        <v>-5.1000000000000156E-2</v>
      </c>
    </row>
    <row r="137" spans="1:27">
      <c r="A137" s="50"/>
      <c r="B137" s="6" t="str">
        <f>_xll.IMDH("IR",$B$130,$C137,$O$9,$F$9,10,"Per=일, sort=D, real=true, Bizday=0, Quote=종가,Pos=40,Orient=H,DtFmt=1.TmFmt=1")</f>
        <v>조회[BONDAVG13]</v>
      </c>
      <c r="C137" s="6" t="s">
        <v>300</v>
      </c>
      <c r="D137" s="45"/>
      <c r="E137" s="51" t="s">
        <v>252</v>
      </c>
      <c r="F137" s="88">
        <v>2.7589999999999999</v>
      </c>
      <c r="G137" s="89">
        <v>2.7570000000000001</v>
      </c>
      <c r="H137" s="89">
        <v>2.746</v>
      </c>
      <c r="I137" s="89">
        <v>2.7410000000000001</v>
      </c>
      <c r="J137" s="89">
        <v>2.7440000000000002</v>
      </c>
      <c r="K137" s="89">
        <v>2.734</v>
      </c>
      <c r="L137" s="89">
        <v>2.734</v>
      </c>
      <c r="M137" s="89">
        <v>2.7330000000000001</v>
      </c>
      <c r="N137" s="89">
        <v>2.726</v>
      </c>
      <c r="O137" s="89">
        <v>2.714</v>
      </c>
      <c r="P137" s="80">
        <f>IF( INDEX(BOND!$B$2:$CH$13, P$2, MATCH($B$130, BOND!$B$16:$CH$16, 0)+MATCH($C137, BOND!$C$18:$N$18,0) )=0,
"",
INDEX(BOND!$B$2:$CH$13, P$2, MATCH($B$130, BOND!$B$16:$CH$16, 0)+MATCH($C137, BOND!$C$18:$N$18,0)) )</f>
        <v>2.7303999999999995</v>
      </c>
      <c r="Q137" s="80">
        <f>IF( INDEX(BOND!$B$2:$CH$13, Q$2, MATCH($B$130, BOND!$B$16:$CH$16, 0)+MATCH($C137, BOND!$C$18:$N$18,0) )=0,
"",
INDEX(BOND!$B$2:$CH$13, Q$2, MATCH($B$130, BOND!$B$16:$CH$16, 0)+MATCH($C137, BOND!$C$18:$N$18,0)) )</f>
        <v>2.7050000000000001</v>
      </c>
      <c r="R137" s="80">
        <f>IF( INDEX(BOND!$B$2:$CH$13, R$2, MATCH($B$130, BOND!$B$16:$CH$16, 0)+MATCH($C137, BOND!$C$18:$N$18,0) )=0,
"",
INDEX(BOND!$B$2:$CH$13, R$2, MATCH($B$130, BOND!$B$16:$CH$16, 0)+MATCH($C137, BOND!$C$18:$N$18,0)) )</f>
        <v>2.7589999999999999</v>
      </c>
      <c r="S137" s="80">
        <f>IF( INDEX(BOND!$B$2:$CH$13, S$2, MATCH($B$130, BOND!$B$16:$CH$16, 0)+MATCH($C137, BOND!$C$18:$N$18,0) )=0,
"",
INDEX(BOND!$B$2:$CH$13, S$2, MATCH($B$130, BOND!$B$16:$CH$16, 0)+MATCH($C137, BOND!$C$18:$N$18,0)) )</f>
        <v>2.7529499999999998</v>
      </c>
      <c r="T137" s="80">
        <f>IF( INDEX(BOND!$B$2:$CH$13, T$2, MATCH($B$130, BOND!$B$16:$CH$16, 0)+MATCH($C137, BOND!$C$18:$N$18,0) )=0,
"",
INDEX(BOND!$B$2:$CH$13, T$2, MATCH($B$130, BOND!$B$16:$CH$16, 0)+MATCH($C137, BOND!$C$18:$N$18,0)) )</f>
        <v>2.69</v>
      </c>
      <c r="U137" s="80">
        <f>IF( INDEX(BOND!$B$2:$CH$13, U$2, MATCH($B$130, BOND!$B$16:$CH$16, 0)+MATCH($C137, BOND!$C$18:$N$18,0) )=0,
"",
INDEX(BOND!$B$2:$CH$13, U$2, MATCH($B$130, BOND!$B$16:$CH$16, 0)+MATCH($C137, BOND!$C$18:$N$18,0)) )</f>
        <v>2.9209999999999998</v>
      </c>
      <c r="V137" s="80">
        <f>IF( INDEX(BOND!$B$2:$CH$13, V$2, MATCH($B$130, BOND!$B$16:$CH$16, 0)+MATCH($C137, BOND!$C$18:$N$18,0) )=0,
"",
INDEX(BOND!$B$2:$CH$13, V$2, MATCH($B$130, BOND!$B$16:$CH$16, 0)+MATCH($C137, BOND!$C$18:$N$18,0)) )</f>
        <v>2.8989250000000002</v>
      </c>
      <c r="W137" s="80">
        <f>IF( INDEX(BOND!$B$2:$CH$13, W$2, MATCH($B$130, BOND!$B$16:$CH$16, 0)+MATCH($C137, BOND!$C$18:$N$18,0) )=0,
"",
INDEX(BOND!$B$2:$CH$13, W$2, MATCH($B$130, BOND!$B$16:$CH$16, 0)+MATCH($C137, BOND!$C$18:$N$18,0)) )</f>
        <v>2.69</v>
      </c>
      <c r="X137" s="80">
        <f>IF( INDEX(BOND!$B$2:$CH$13, X$2, MATCH($B$130, BOND!$B$16:$CH$16, 0)+MATCH($C137, BOND!$C$18:$N$18,0) )=0,
"",
INDEX(BOND!$B$2:$CH$13, X$2, MATCH($B$130, BOND!$B$16:$CH$16, 0)+MATCH($C137, BOND!$C$18:$N$18,0)) )</f>
        <v>3.181</v>
      </c>
      <c r="Y137" s="80">
        <f>IF( INDEX(BOND!$B$2:$CH$13, Y$2, MATCH($B$130, BOND!$B$16:$CH$16, 0)+MATCH($C137, BOND!$C$18:$N$18,0) )=0,
"",
INDEX(BOND!$B$2:$CH$13, Y$2, MATCH($B$130, BOND!$B$16:$CH$16, 0)+MATCH($C137, BOND!$C$18:$N$18,0)) )</f>
        <v>3.1299279999999969</v>
      </c>
      <c r="Z137" s="80">
        <f>IF( INDEX(BOND!$B$2:$CH$13, Z$2, MATCH($B$130, BOND!$B$16:$CH$16, 0)+MATCH($C137, BOND!$C$18:$N$18,0) )=0,
"",
INDEX(BOND!$B$2:$CH$13, Z$2, MATCH($B$130, BOND!$B$16:$CH$16, 0)+MATCH($C137, BOND!$C$18:$N$18,0)) )</f>
        <v>2.69</v>
      </c>
      <c r="AA137" s="80">
        <f>IF( INDEX(BOND!$B$2:$CH$13, AA$2, MATCH($B$130, BOND!$B$16:$CH$16, 0)+MATCH($C137, BOND!$C$18:$N$18,0) )=0,
"",
INDEX(BOND!$B$2:$CH$13, AA$2, MATCH($B$130, BOND!$B$16:$CH$16, 0)+MATCH($C137, BOND!$C$18:$N$18,0)) )</f>
        <v>3.5939999999999999</v>
      </c>
    </row>
    <row r="138" spans="1:27">
      <c r="A138" s="50"/>
      <c r="D138" s="45"/>
      <c r="E138" s="52" t="s">
        <v>267</v>
      </c>
      <c r="F138" s="81">
        <f>IF(F137=0,"",(F137-AD22)*IF($C$7=1,-1,1))</f>
        <v>0.12400000000000011</v>
      </c>
      <c r="G138" s="82">
        <f>IF(G137=0,"",(G137-AE22)*IF($C$7=1,-1,1))</f>
        <v>0.13450000000000006</v>
      </c>
      <c r="H138" s="82">
        <f>IF(H137=0,"",(H137-AF22)*IF($C$7=1,-1,1))</f>
        <v>0.13099999999999978</v>
      </c>
      <c r="I138" s="82">
        <f>IF(I137=0,"",(I137-AG22)*IF($C$7=1,-1,1))</f>
        <v>0.13100000000000023</v>
      </c>
      <c r="J138" s="82">
        <f>IF(J137=0,"",(J137-AH22)*IF($C$7=1,-1,1))</f>
        <v>0.12400000000000011</v>
      </c>
      <c r="K138" s="82">
        <f>IF(K137=0,"",(K137-AI22)*IF($C$7=1,-1,1))</f>
        <v>0.12400000000000011</v>
      </c>
      <c r="L138" s="82">
        <f>IF(L137=0,"",(L137-AJ22)*IF($C$7=1,-1,1))</f>
        <v>0.12400000000000011</v>
      </c>
      <c r="M138" s="82">
        <f>IF(M137=0,"",(M137-AK22)*IF($C$7=1,-1,1))</f>
        <v>0.12800000000000011</v>
      </c>
      <c r="N138" s="82">
        <f>IF(N137=0,"",(N137-AL22)*IF($C$7=1,-1,1))</f>
        <v>0.13600000000000012</v>
      </c>
      <c r="O138" s="82">
        <f>IF(O137=0,"",(O137-AM22)*IF($C$7=1,-1,1))</f>
        <v>0.14150000000000018</v>
      </c>
      <c r="P138" s="83">
        <f>IF(   P137="", "", (P137 - INDEX(IRS!$B$2:$Y$13, P$2, MATCH($E137,IRS!$B$1:$Y$1, 0)) ) * IF($C$7=1,-1,1)   )</f>
        <v>0.12365000000000004</v>
      </c>
      <c r="Q138" s="84">
        <f>IF(   Q137="", "", (Q137 - INDEX(IRS!$B$2:$Y$13, Q$2, MATCH($E137,IRS!$B$1:$Y$1, 0)) ) * IF($C$7=1,-1,1)   )</f>
        <v>0.13250000000000028</v>
      </c>
      <c r="R138" s="85">
        <f>IF(   R137="", "", (R137 - INDEX(IRS!$B$2:$Y$13, R$2, MATCH($E137,IRS!$B$1:$Y$1, 0)) ) * IF($C$7=1,-1,1)   )</f>
        <v>0.12400000000000011</v>
      </c>
      <c r="S138" s="86">
        <f>IF(   S137="", "", (S137 - INDEX(IRS!$B$2:$Y$13, S$2, MATCH($E137,IRS!$B$1:$Y$1, 0)) ) * IF($C$7=1,-1,1)   )</f>
        <v>9.5950000000000646E-2</v>
      </c>
      <c r="T138" s="84">
        <f>IF(   T137="", "", (T137 - INDEX(IRS!$B$2:$Y$13, T$2, MATCH($E137,IRS!$B$1:$Y$1, 0)) ) * IF($C$7=1,-1,1)   )</f>
        <v>0.11750000000000016</v>
      </c>
      <c r="U138" s="87">
        <f>IF(   U137="", "", (U137 - INDEX(IRS!$B$2:$Y$13, U$2, MATCH($E137,IRS!$B$1:$Y$1, 0)) ) * IF($C$7=1,-1,1)   )</f>
        <v>0.11849999999999961</v>
      </c>
      <c r="V138" s="83">
        <f>IF(   V137="", "", (V137 - INDEX(IRS!$B$2:$Y$13, V$2, MATCH($E137,IRS!$B$1:$Y$1, 0)) ) * IF($C$7=1,-1,1)   )</f>
        <v>0.10832083333333387</v>
      </c>
      <c r="W138" s="84">
        <f>IF(   W137="", "", (W137 - INDEX(IRS!$B$2:$Y$13, W$2, MATCH($E137,IRS!$B$1:$Y$1, 0)) ) * IF($C$7=1,-1,1)   )</f>
        <v>0.11750000000000016</v>
      </c>
      <c r="X138" s="85">
        <f>IF(   X137="", "", (X137 - INDEX(IRS!$B$2:$Y$13, X$2, MATCH($E137,IRS!$B$1:$Y$1, 0)) ) * IF($C$7=1,-1,1)   )</f>
        <v>8.0999999999999961E-2</v>
      </c>
      <c r="Y138" s="83">
        <f>IF(   Y137="", "", (Y137 - INDEX(IRS!$B$2:$Y$13, Y$2, MATCH($E137,IRS!$B$1:$Y$1, 0)) ) * IF($C$7=1,-1,1)   )</f>
        <v>6.8097999999995995E-2</v>
      </c>
      <c r="Z138" s="84">
        <f>IF(   Z137="", "", (Z137 - INDEX(IRS!$B$2:$Y$13, Z$2, MATCH($E137,IRS!$B$1:$Y$1, 0)) ) * IF($C$7=1,-1,1)   )</f>
        <v>0.11750000000000016</v>
      </c>
      <c r="AA138" s="85">
        <f>IF(   AA137="", "", (AA137 - INDEX(IRS!$B$2:$Y$13, AA$2, MATCH($E137,IRS!$B$1:$Y$1, 0)) ) * IF($C$7=1,-1,1)   )</f>
        <v>-6.0000000000002274E-3</v>
      </c>
    </row>
    <row r="139" spans="1:27">
      <c r="B139" s="6" t="str">
        <f>_xll.IMDH("IR",$B$130,$C139,$O$9,$F$9,10,"Per=일, sort=D, real=true, Bizday=0, Quote=종가,Pos=40,Orient=H,DtFmt=1.TmFmt=1")</f>
        <v>조회[BONDAVG13]</v>
      </c>
      <c r="C139" s="6" t="s">
        <v>301</v>
      </c>
      <c r="D139" s="45"/>
      <c r="E139" s="51" t="s">
        <v>253</v>
      </c>
      <c r="F139" s="88">
        <v>2.762</v>
      </c>
      <c r="G139" s="89">
        <v>2.7530000000000001</v>
      </c>
      <c r="H139" s="89">
        <v>2.7509999999999999</v>
      </c>
      <c r="I139" s="89">
        <v>2.7440000000000002</v>
      </c>
      <c r="J139" s="89">
        <v>2.7480000000000002</v>
      </c>
      <c r="K139" s="89">
        <v>2.7349999999999999</v>
      </c>
      <c r="L139" s="89">
        <v>2.7349999999999999</v>
      </c>
      <c r="M139" s="89">
        <v>2.7320000000000002</v>
      </c>
      <c r="N139" s="89">
        <v>2.7189999999999999</v>
      </c>
      <c r="O139" s="89">
        <v>2.7080000000000002</v>
      </c>
      <c r="P139" s="80">
        <f>IF( INDEX(BOND!$B$2:$CH$13, P$2, MATCH($B$130, BOND!$B$16:$CH$16, 0)+MATCH($C139, BOND!$C$18:$N$18,0) )=0,
"",
INDEX(BOND!$B$2:$CH$13, P$2, MATCH($B$130, BOND!$B$16:$CH$16, 0)+MATCH($C139, BOND!$C$18:$N$18,0)) )</f>
        <v>2.7313499999999999</v>
      </c>
      <c r="Q139" s="80">
        <f>IF( INDEX(BOND!$B$2:$CH$13, Q$2, MATCH($B$130, BOND!$B$16:$CH$16, 0)+MATCH($C139, BOND!$C$18:$N$18,0) )=0,
"",
INDEX(BOND!$B$2:$CH$13, Q$2, MATCH($B$130, BOND!$B$16:$CH$16, 0)+MATCH($C139, BOND!$C$18:$N$18,0)) )</f>
        <v>2.702</v>
      </c>
      <c r="R139" s="80">
        <f>IF( INDEX(BOND!$B$2:$CH$13, R$2, MATCH($B$130, BOND!$B$16:$CH$16, 0)+MATCH($C139, BOND!$C$18:$N$18,0) )=0,
"",
INDEX(BOND!$B$2:$CH$13, R$2, MATCH($B$130, BOND!$B$16:$CH$16, 0)+MATCH($C139, BOND!$C$18:$N$18,0)) )</f>
        <v>2.762</v>
      </c>
      <c r="S139" s="80">
        <f>IF( INDEX(BOND!$B$2:$CH$13, S$2, MATCH($B$130, BOND!$B$16:$CH$16, 0)+MATCH($C139, BOND!$C$18:$N$18,0) )=0,
"",
INDEX(BOND!$B$2:$CH$13, S$2, MATCH($B$130, BOND!$B$16:$CH$16, 0)+MATCH($C139, BOND!$C$18:$N$18,0)) )</f>
        <v>2.7615999999999996</v>
      </c>
      <c r="T139" s="80">
        <f>IF( INDEX(BOND!$B$2:$CH$13, T$2, MATCH($B$130, BOND!$B$16:$CH$16, 0)+MATCH($C139, BOND!$C$18:$N$18,0) )=0,
"",
INDEX(BOND!$B$2:$CH$13, T$2, MATCH($B$130, BOND!$B$16:$CH$16, 0)+MATCH($C139, BOND!$C$18:$N$18,0)) )</f>
        <v>2.694</v>
      </c>
      <c r="U139" s="80">
        <f>IF( INDEX(BOND!$B$2:$CH$13, U$2, MATCH($B$130, BOND!$B$16:$CH$16, 0)+MATCH($C139, BOND!$C$18:$N$18,0) )=0,
"",
INDEX(BOND!$B$2:$CH$13, U$2, MATCH($B$130, BOND!$B$16:$CH$16, 0)+MATCH($C139, BOND!$C$18:$N$18,0)) )</f>
        <v>2.9580000000000002</v>
      </c>
      <c r="V139" s="80">
        <f>IF( INDEX(BOND!$B$2:$CH$13, V$2, MATCH($B$130, BOND!$B$16:$CH$16, 0)+MATCH($C139, BOND!$C$18:$N$18,0) )=0,
"",
INDEX(BOND!$B$2:$CH$13, V$2, MATCH($B$130, BOND!$B$16:$CH$16, 0)+MATCH($C139, BOND!$C$18:$N$18,0)) )</f>
        <v>2.9004333333333316</v>
      </c>
      <c r="W139" s="80">
        <f>IF( INDEX(BOND!$B$2:$CH$13, W$2, MATCH($B$130, BOND!$B$16:$CH$16, 0)+MATCH($C139, BOND!$C$18:$N$18,0) )=0,
"",
INDEX(BOND!$B$2:$CH$13, W$2, MATCH($B$130, BOND!$B$16:$CH$16, 0)+MATCH($C139, BOND!$C$18:$N$18,0)) )</f>
        <v>2.694</v>
      </c>
      <c r="X139" s="80">
        <f>IF( INDEX(BOND!$B$2:$CH$13, X$2, MATCH($B$130, BOND!$B$16:$CH$16, 0)+MATCH($C139, BOND!$C$18:$N$18,0) )=0,
"",
INDEX(BOND!$B$2:$CH$13, X$2, MATCH($B$130, BOND!$B$16:$CH$16, 0)+MATCH($C139, BOND!$C$18:$N$18,0)) )</f>
        <v>3.1760000000000002</v>
      </c>
      <c r="Y139" s="80">
        <f>IF( INDEX(BOND!$B$2:$CH$13, Y$2, MATCH($B$130, BOND!$B$16:$CH$16, 0)+MATCH($C139, BOND!$C$18:$N$18,0) )=0,
"",
INDEX(BOND!$B$2:$CH$13, Y$2, MATCH($B$130, BOND!$B$16:$CH$16, 0)+MATCH($C139, BOND!$C$18:$N$18,0)) )</f>
        <v>3.1253519999999977</v>
      </c>
      <c r="Z139" s="80">
        <f>IF( INDEX(BOND!$B$2:$CH$13, Z$2, MATCH($B$130, BOND!$B$16:$CH$16, 0)+MATCH($C139, BOND!$C$18:$N$18,0) )=0,
"",
INDEX(BOND!$B$2:$CH$13, Z$2, MATCH($B$130, BOND!$B$16:$CH$16, 0)+MATCH($C139, BOND!$C$18:$N$18,0)) )</f>
        <v>2.694</v>
      </c>
      <c r="AA139" s="80">
        <f>IF( INDEX(BOND!$B$2:$CH$13, AA$2, MATCH($B$130, BOND!$B$16:$CH$16, 0)+MATCH($C139, BOND!$C$18:$N$18,0) )=0,
"",
INDEX(BOND!$B$2:$CH$13, AA$2, MATCH($B$130, BOND!$B$16:$CH$16, 0)+MATCH($C139, BOND!$C$18:$N$18,0)) )</f>
        <v>3.6150000000000002</v>
      </c>
    </row>
    <row r="140" spans="1:27">
      <c r="D140" s="45"/>
      <c r="E140" s="52" t="s">
        <v>267</v>
      </c>
      <c r="F140" s="81">
        <f>IF(F139=0,"",(F139-AD24)*IF($C$7=1,-1,1))</f>
        <v>0.15200000000000014</v>
      </c>
      <c r="G140" s="82">
        <f>IF(G139=0,"",(G139-AE24)*IF($C$7=1,-1,1))</f>
        <v>0.15549999999999997</v>
      </c>
      <c r="H140" s="82">
        <f>IF(H139=0,"",(H139-AF24)*IF($C$7=1,-1,1))</f>
        <v>0.16349999999999998</v>
      </c>
      <c r="I140" s="82">
        <f>IF(I139=0,"",(I139-AG24)*IF($C$7=1,-1,1))</f>
        <v>0.16650000000000009</v>
      </c>
      <c r="J140" s="82">
        <f>IF(J139=0,"",(J139-AH24)*IF($C$7=1,-1,1))</f>
        <v>0.16300000000000026</v>
      </c>
      <c r="K140" s="82">
        <f>IF(K139=0,"",(K139-AI24)*IF($C$7=1,-1,1))</f>
        <v>0.16500000000000004</v>
      </c>
      <c r="L140" s="82">
        <f>IF(L139=0,"",(L139-AJ24)*IF($C$7=1,-1,1))</f>
        <v>0.16500000000000004</v>
      </c>
      <c r="M140" s="82">
        <f>IF(M139=0,"",(M139-AK24)*IF($C$7=1,-1,1))</f>
        <v>0.16450000000000031</v>
      </c>
      <c r="N140" s="82">
        <f>IF(N139=0,"",(N139-AL24)*IF($C$7=1,-1,1))</f>
        <v>0.17149999999999999</v>
      </c>
      <c r="O140" s="82">
        <f>IF(O139=0,"",(O139-AM24)*IF($C$7=1,-1,1))</f>
        <v>0.17800000000000038</v>
      </c>
      <c r="P140" s="83">
        <f>IF(   P139="", "", (P139 - INDEX(IRS!$B$2:$Y$13, P$2, MATCH($E139,IRS!$B$1:$Y$1, 0)) ) * IF($C$7=1,-1,1)   )</f>
        <v>0.15684999999999993</v>
      </c>
      <c r="Q140" s="84">
        <f>IF(   Q139="", "", (Q139 - INDEX(IRS!$B$2:$Y$13, Q$2, MATCH($E139,IRS!$B$1:$Y$1, 0)) ) * IF($C$7=1,-1,1)   )</f>
        <v>0.17200000000000015</v>
      </c>
      <c r="R140" s="85">
        <f>IF(   R139="", "", (R139 - INDEX(IRS!$B$2:$Y$13, R$2, MATCH($E139,IRS!$B$1:$Y$1, 0)) ) * IF($C$7=1,-1,1)   )</f>
        <v>0.15200000000000014</v>
      </c>
      <c r="S140" s="86">
        <f>IF(   S139="", "", (S139 - INDEX(IRS!$B$2:$Y$13, S$2, MATCH($E139,IRS!$B$1:$Y$1, 0)) ) * IF($C$7=1,-1,1)   )</f>
        <v>0.1358916666666663</v>
      </c>
      <c r="T140" s="84">
        <f>IF(   T139="", "", (T139 - INDEX(IRS!$B$2:$Y$13, T$2, MATCH($E139,IRS!$B$1:$Y$1, 0)) ) * IF($C$7=1,-1,1)   )</f>
        <v>0.16400000000000015</v>
      </c>
      <c r="U140" s="87">
        <f>IF(   U139="", "", (U139 - INDEX(IRS!$B$2:$Y$13, U$2, MATCH($E139,IRS!$B$1:$Y$1, 0)) ) * IF($C$7=1,-1,1)   )</f>
        <v>0.18300000000000027</v>
      </c>
      <c r="V140" s="83">
        <f>IF(   V139="", "", (V139 - INDEX(IRS!$B$2:$Y$13, V$2, MATCH($E139,IRS!$B$1:$Y$1, 0)) ) * IF($C$7=1,-1,1)   )</f>
        <v>0.15174583333333214</v>
      </c>
      <c r="W140" s="84">
        <f>IF(   W139="", "", (W139 - INDEX(IRS!$B$2:$Y$13, W$2, MATCH($E139,IRS!$B$1:$Y$1, 0)) ) * IF($C$7=1,-1,1)   )</f>
        <v>0.16400000000000015</v>
      </c>
      <c r="X140" s="85">
        <f>IF(   X139="", "", (X139 - INDEX(IRS!$B$2:$Y$13, X$2, MATCH($E139,IRS!$B$1:$Y$1, 0)) ) * IF($C$7=1,-1,1)   )</f>
        <v>0.12600000000000033</v>
      </c>
      <c r="Y140" s="83">
        <f>IF(   Y139="", "", (Y139 - INDEX(IRS!$B$2:$Y$13, Y$2, MATCH($E139,IRS!$B$1:$Y$1, 0)) ) * IF($C$7=1,-1,1)   )</f>
        <v>0.11563199999999663</v>
      </c>
      <c r="Z140" s="84">
        <f>IF(   Z139="", "", (Z139 - INDEX(IRS!$B$2:$Y$13, Z$2, MATCH($E139,IRS!$B$1:$Y$1, 0)) ) * IF($C$7=1,-1,1)   )</f>
        <v>0.16400000000000015</v>
      </c>
      <c r="AA140" s="85">
        <f>IF(   AA139="", "", (AA139 - INDEX(IRS!$B$2:$Y$13, AA$2, MATCH($E139,IRS!$B$1:$Y$1, 0)) ) * IF($C$7=1,-1,1)   )</f>
        <v>3.5000000000000142E-2</v>
      </c>
    </row>
    <row r="141" spans="1:27">
      <c r="B141" s="6" t="str">
        <f>_xll.IMDH("IR",$B$130,$C141,$O$9,$F$9,10,"Per=일, sort=D, real=true, Bizday=0, Quote=종가,Pos=40,Orient=H,DtFmt=1.TmFmt=1")</f>
        <v>조회[BONDAVG13]</v>
      </c>
      <c r="C141" s="6" t="s">
        <v>302</v>
      </c>
      <c r="D141" s="45"/>
      <c r="E141" s="51" t="s">
        <v>254</v>
      </c>
      <c r="F141" s="88">
        <v>2.7570000000000001</v>
      </c>
      <c r="G141" s="89">
        <v>2.7480000000000002</v>
      </c>
      <c r="H141" s="89">
        <v>2.7410000000000001</v>
      </c>
      <c r="I141" s="89">
        <v>2.746</v>
      </c>
      <c r="J141" s="89">
        <v>2.766</v>
      </c>
      <c r="K141" s="89">
        <v>2.754</v>
      </c>
      <c r="L141" s="89">
        <v>2.754</v>
      </c>
      <c r="M141" s="89">
        <v>2.7440000000000002</v>
      </c>
      <c r="N141" s="89">
        <v>2.726</v>
      </c>
      <c r="O141" s="89">
        <v>2.7069999999999999</v>
      </c>
      <c r="P141" s="80">
        <f>IF( INDEX(BOND!$B$2:$CH$13, P$2, MATCH($B$130, BOND!$B$16:$CH$16, 0)+MATCH($C141, BOND!$C$18:$N$18,0) )=0,
"",
INDEX(BOND!$B$2:$CH$13, P$2, MATCH($B$130, BOND!$B$16:$CH$16, 0)+MATCH($C141, BOND!$C$18:$N$18,0)) )</f>
        <v>2.7363000000000004</v>
      </c>
      <c r="Q141" s="80">
        <f>IF( INDEX(BOND!$B$2:$CH$13, Q$2, MATCH($B$130, BOND!$B$16:$CH$16, 0)+MATCH($C141, BOND!$C$18:$N$18,0) )=0,
"",
INDEX(BOND!$B$2:$CH$13, Q$2, MATCH($B$130, BOND!$B$16:$CH$16, 0)+MATCH($C141, BOND!$C$18:$N$18,0)) )</f>
        <v>2.6920000000000002</v>
      </c>
      <c r="R141" s="80">
        <f>IF( INDEX(BOND!$B$2:$CH$13, R$2, MATCH($B$130, BOND!$B$16:$CH$16, 0)+MATCH($C141, BOND!$C$18:$N$18,0) )=0,
"",
INDEX(BOND!$B$2:$CH$13, R$2, MATCH($B$130, BOND!$B$16:$CH$16, 0)+MATCH($C141, BOND!$C$18:$N$18,0)) )</f>
        <v>2.766</v>
      </c>
      <c r="S141" s="80">
        <f>IF( INDEX(BOND!$B$2:$CH$13, S$2, MATCH($B$130, BOND!$B$16:$CH$16, 0)+MATCH($C141, BOND!$C$18:$N$18,0) )=0,
"",
INDEX(BOND!$B$2:$CH$13, S$2, MATCH($B$130, BOND!$B$16:$CH$16, 0)+MATCH($C141, BOND!$C$18:$N$18,0)) )</f>
        <v>2.7552333333333334</v>
      </c>
      <c r="T141" s="80">
        <f>IF( INDEX(BOND!$B$2:$CH$13, T$2, MATCH($B$130, BOND!$B$16:$CH$16, 0)+MATCH($C141, BOND!$C$18:$N$18,0) )=0,
"",
INDEX(BOND!$B$2:$CH$13, T$2, MATCH($B$130, BOND!$B$16:$CH$16, 0)+MATCH($C141, BOND!$C$18:$N$18,0)) )</f>
        <v>2.6850000000000001</v>
      </c>
      <c r="U141" s="80">
        <f>IF( INDEX(BOND!$B$2:$CH$13, U$2, MATCH($B$130, BOND!$B$16:$CH$16, 0)+MATCH($C141, BOND!$C$18:$N$18,0) )=0,
"",
INDEX(BOND!$B$2:$CH$13, U$2, MATCH($B$130, BOND!$B$16:$CH$16, 0)+MATCH($C141, BOND!$C$18:$N$18,0)) )</f>
        <v>2.89</v>
      </c>
      <c r="V141" s="80">
        <f>IF( INDEX(BOND!$B$2:$CH$13, V$2, MATCH($B$130, BOND!$B$16:$CH$16, 0)+MATCH($C141, BOND!$C$18:$N$18,0) )=0,
"",
INDEX(BOND!$B$2:$CH$13, V$2, MATCH($B$130, BOND!$B$16:$CH$16, 0)+MATCH($C141, BOND!$C$18:$N$18,0)) )</f>
        <v>2.8657083333333322</v>
      </c>
      <c r="W141" s="80">
        <f>IF( INDEX(BOND!$B$2:$CH$13, W$2, MATCH($B$130, BOND!$B$16:$CH$16, 0)+MATCH($C141, BOND!$C$18:$N$18,0) )=0,
"",
INDEX(BOND!$B$2:$CH$13, W$2, MATCH($B$130, BOND!$B$16:$CH$16, 0)+MATCH($C141, BOND!$C$18:$N$18,0)) )</f>
        <v>2.6850000000000001</v>
      </c>
      <c r="X141" s="80">
        <f>IF( INDEX(BOND!$B$2:$CH$13, X$2, MATCH($B$130, BOND!$B$16:$CH$16, 0)+MATCH($C141, BOND!$C$18:$N$18,0) )=0,
"",
INDEX(BOND!$B$2:$CH$13, X$2, MATCH($B$130, BOND!$B$16:$CH$16, 0)+MATCH($C141, BOND!$C$18:$N$18,0)) )</f>
        <v>3.1309999999999998</v>
      </c>
      <c r="Y141" s="80">
        <f>IF( INDEX(BOND!$B$2:$CH$13, Y$2, MATCH($B$130, BOND!$B$16:$CH$16, 0)+MATCH($C141, BOND!$C$18:$N$18,0) )=0,
"",
INDEX(BOND!$B$2:$CH$13, Y$2, MATCH($B$130, BOND!$B$16:$CH$16, 0)+MATCH($C141, BOND!$C$18:$N$18,0)) )</f>
        <v>3.105</v>
      </c>
      <c r="Z141" s="80">
        <f>IF( INDEX(BOND!$B$2:$CH$13, Z$2, MATCH($B$130, BOND!$B$16:$CH$16, 0)+MATCH($C141, BOND!$C$18:$N$18,0) )=0,
"",
INDEX(BOND!$B$2:$CH$13, Z$2, MATCH($B$130, BOND!$B$16:$CH$16, 0)+MATCH($C141, BOND!$C$18:$N$18,0)) )</f>
        <v>2.6850000000000001</v>
      </c>
      <c r="AA141" s="80">
        <f>IF( INDEX(BOND!$B$2:$CH$13, AA$2, MATCH($B$130, BOND!$B$16:$CH$16, 0)+MATCH($C141, BOND!$C$18:$N$18,0) )=0,
"",
INDEX(BOND!$B$2:$CH$13, AA$2, MATCH($B$130, BOND!$B$16:$CH$16, 0)+MATCH($C141, BOND!$C$18:$N$18,0)) )</f>
        <v>3.6629999999999998</v>
      </c>
    </row>
    <row r="142" spans="1:27">
      <c r="D142" s="45"/>
      <c r="E142" s="52" t="s">
        <v>267</v>
      </c>
      <c r="F142" s="81">
        <f>IF(F141=0,"",(F141-AD26)*IF($C$7=1,-1,1))</f>
        <v>0.16199999999999992</v>
      </c>
      <c r="G142" s="82">
        <f>IF(G141=0,"",(G141-AE26)*IF($C$7=1,-1,1))</f>
        <v>0.1655000000000002</v>
      </c>
      <c r="H142" s="82">
        <f>IF(H141=0,"",(H141-AF26)*IF($C$7=1,-1,1))</f>
        <v>0.16850000000000032</v>
      </c>
      <c r="I142" s="82">
        <f>IF(I141=0,"",(I141-AG26)*IF($C$7=1,-1,1))</f>
        <v>0.1835</v>
      </c>
      <c r="J142" s="82">
        <f>IF(J141=0,"",(J141-AH26)*IF($C$7=1,-1,1))</f>
        <v>0.19600000000000017</v>
      </c>
      <c r="K142" s="82">
        <f>IF(K141=0,"",(K141-AI26)*IF($C$7=1,-1,1))</f>
        <v>0.20149999999999979</v>
      </c>
      <c r="L142" s="82">
        <f>IF(L141=0,"",(L141-AJ26)*IF($C$7=1,-1,1))</f>
        <v>0.19899999999999984</v>
      </c>
      <c r="M142" s="82">
        <f>IF(M141=0,"",(M141-AK26)*IF($C$7=1,-1,1))</f>
        <v>0.1915</v>
      </c>
      <c r="N142" s="82">
        <f>IF(N141=0,"",(N141-AL26)*IF($C$7=1,-1,1))</f>
        <v>0.19349999999999978</v>
      </c>
      <c r="O142" s="82">
        <f>IF(O141=0,"",(O141-AM26)*IF($C$7=1,-1,1))</f>
        <v>0.19449999999999967</v>
      </c>
      <c r="P142" s="83">
        <f>IF(   P141="", "", (P141 - INDEX(IRS!$B$2:$Y$13, P$2, MATCH($E141,IRS!$B$1:$Y$1, 0)) ) * IF($C$7=1,-1,1)   )</f>
        <v>0.17717499999999964</v>
      </c>
      <c r="Q142" s="84">
        <f>IF(   Q141="", "", (Q141 - INDEX(IRS!$B$2:$Y$13, Q$2, MATCH($E141,IRS!$B$1:$Y$1, 0)) ) * IF($C$7=1,-1,1)   )</f>
        <v>0.17949999999999999</v>
      </c>
      <c r="R142" s="85">
        <f>IF(   R141="", "", (R141 - INDEX(IRS!$B$2:$Y$13, R$2, MATCH($E141,IRS!$B$1:$Y$1, 0)) ) * IF($C$7=1,-1,1)   )</f>
        <v>0.16599999999999993</v>
      </c>
      <c r="S142" s="86">
        <f>IF(   S141="", "", (S141 - INDEX(IRS!$B$2:$Y$13, S$2, MATCH($E141,IRS!$B$1:$Y$1, 0)) ) * IF($C$7=1,-1,1)   )</f>
        <v>0.14544166666666625</v>
      </c>
      <c r="T142" s="84">
        <f>IF(   T141="", "", (T141 - INDEX(IRS!$B$2:$Y$13, T$2, MATCH($E141,IRS!$B$1:$Y$1, 0)) ) * IF($C$7=1,-1,1)   )</f>
        <v>0.17249999999999988</v>
      </c>
      <c r="U142" s="87">
        <f>IF(   U141="", "", (U141 - INDEX(IRS!$B$2:$Y$13, U$2, MATCH($E141,IRS!$B$1:$Y$1, 0)) ) * IF($C$7=1,-1,1)   )</f>
        <v>0.14500000000000002</v>
      </c>
      <c r="V142" s="83">
        <f>IF(   V141="", "", (V141 - INDEX(IRS!$B$2:$Y$13, V$2, MATCH($E141,IRS!$B$1:$Y$1, 0)) ) * IF($C$7=1,-1,1)   )</f>
        <v>0.14977083333333141</v>
      </c>
      <c r="W142" s="84">
        <f>IF(   W141="", "", (W141 - INDEX(IRS!$B$2:$Y$13, W$2, MATCH($E141,IRS!$B$1:$Y$1, 0)) ) * IF($C$7=1,-1,1)   )</f>
        <v>0.17249999999999988</v>
      </c>
      <c r="X142" s="85">
        <f>IF(   X141="", "", (X141 - INDEX(IRS!$B$2:$Y$13, X$2, MATCH($E141,IRS!$B$1:$Y$1, 0)) ) * IF($C$7=1,-1,1)   )</f>
        <v>0.11599999999999966</v>
      </c>
      <c r="Y142" s="83">
        <f>IF(   Y141="", "", (Y141 - INDEX(IRS!$B$2:$Y$13, Y$2, MATCH($E141,IRS!$B$1:$Y$1, 0)) ) * IF($C$7=1,-1,1)   )</f>
        <v>0.14517999999999853</v>
      </c>
      <c r="Z142" s="84">
        <f>IF(   Z141="", "", (Z141 - INDEX(IRS!$B$2:$Y$13, Z$2, MATCH($E141,IRS!$B$1:$Y$1, 0)) ) * IF($C$7=1,-1,1)   )</f>
        <v>0.17249999999999988</v>
      </c>
      <c r="AA142" s="85">
        <f>IF(   AA141="", "", (AA141 - INDEX(IRS!$B$2:$Y$13, AA$2, MATCH($E141,IRS!$B$1:$Y$1, 0)) ) * IF($C$7=1,-1,1)   )</f>
        <v>0.10299999999999976</v>
      </c>
    </row>
    <row r="143" spans="1:27">
      <c r="B143" s="6" t="str">
        <f>_xll.IMDH("IR",$B$130,$C143,$O$9,$F$9,10,"Per=일, sort=D, real=true, Bizday=0, Quote=종가,Pos=40,Orient=H,DtFmt=1.TmFmt=1")</f>
        <v>조회[BONDAVG13]</v>
      </c>
      <c r="C143" s="6" t="s">
        <v>239</v>
      </c>
      <c r="D143" s="53"/>
      <c r="E143" s="51" t="s">
        <v>255</v>
      </c>
      <c r="F143" s="88">
        <v>2.7810000000000001</v>
      </c>
      <c r="G143" s="89">
        <v>2.7629999999999999</v>
      </c>
      <c r="H143" s="89">
        <v>2.7519999999999998</v>
      </c>
      <c r="I143" s="89">
        <v>2.7559999999999998</v>
      </c>
      <c r="J143" s="89">
        <v>2.7690000000000001</v>
      </c>
      <c r="K143" s="89">
        <v>2.7629999999999999</v>
      </c>
      <c r="L143" s="89">
        <v>2.7610000000000001</v>
      </c>
      <c r="M143" s="89">
        <v>2.7490000000000001</v>
      </c>
      <c r="N143" s="89">
        <v>2.734</v>
      </c>
      <c r="O143" s="89">
        <v>2.718</v>
      </c>
      <c r="P143" s="80">
        <f>IF( INDEX(BOND!$B$2:$CH$13, P$2, MATCH($B$130, BOND!$B$16:$CH$16, 0)+MATCH($C143, BOND!$C$18:$N$18,0) )=0,
"",
INDEX(BOND!$B$2:$CH$13, P$2, MATCH($B$130, BOND!$B$16:$CH$16, 0)+MATCH($C143, BOND!$C$18:$N$18,0)) )</f>
        <v>2.7487000000000004</v>
      </c>
      <c r="Q143" s="80">
        <f>IF( INDEX(BOND!$B$2:$CH$13, Q$2, MATCH($B$130, BOND!$B$16:$CH$16, 0)+MATCH($C143, BOND!$C$18:$N$18,0) )=0,
"",
INDEX(BOND!$B$2:$CH$13, Q$2, MATCH($B$130, BOND!$B$16:$CH$16, 0)+MATCH($C143, BOND!$C$18:$N$18,0)) )</f>
        <v>2.706</v>
      </c>
      <c r="R143" s="80">
        <f>IF( INDEX(BOND!$B$2:$CH$13, R$2, MATCH($B$130, BOND!$B$16:$CH$16, 0)+MATCH($C143, BOND!$C$18:$N$18,0) )=0,
"",
INDEX(BOND!$B$2:$CH$13, R$2, MATCH($B$130, BOND!$B$16:$CH$16, 0)+MATCH($C143, BOND!$C$18:$N$18,0)) )</f>
        <v>2.7810000000000001</v>
      </c>
      <c r="S143" s="80">
        <f>IF( INDEX(BOND!$B$2:$CH$13, S$2, MATCH($B$130, BOND!$B$16:$CH$16, 0)+MATCH($C143, BOND!$C$18:$N$18,0) )=0,
"",
INDEX(BOND!$B$2:$CH$13, S$2, MATCH($B$130, BOND!$B$16:$CH$16, 0)+MATCH($C143, BOND!$C$18:$N$18,0)) )</f>
        <v>2.7911500000000009</v>
      </c>
      <c r="T143" s="80">
        <f>IF( INDEX(BOND!$B$2:$CH$13, T$2, MATCH($B$130, BOND!$B$16:$CH$16, 0)+MATCH($C143, BOND!$C$18:$N$18,0) )=0,
"",
INDEX(BOND!$B$2:$CH$13, T$2, MATCH($B$130, BOND!$B$16:$CH$16, 0)+MATCH($C143, BOND!$C$18:$N$18,0)) )</f>
        <v>2.706</v>
      </c>
      <c r="U143" s="80">
        <f>IF( INDEX(BOND!$B$2:$CH$13, U$2, MATCH($B$130, BOND!$B$16:$CH$16, 0)+MATCH($C143, BOND!$C$18:$N$18,0) )=0,
"",
INDEX(BOND!$B$2:$CH$13, U$2, MATCH($B$130, BOND!$B$16:$CH$16, 0)+MATCH($C143, BOND!$C$18:$N$18,0)) )</f>
        <v>2.9750000000000001</v>
      </c>
      <c r="V143" s="80">
        <f>IF( INDEX(BOND!$B$2:$CH$13, V$2, MATCH($B$130, BOND!$B$16:$CH$16, 0)+MATCH($C143, BOND!$C$18:$N$18,0) )=0,
"",
INDEX(BOND!$B$2:$CH$13, V$2, MATCH($B$130, BOND!$B$16:$CH$16, 0)+MATCH($C143, BOND!$C$18:$N$18,0)) )</f>
        <v>2.8995416666666682</v>
      </c>
      <c r="W143" s="80">
        <f>IF( INDEX(BOND!$B$2:$CH$13, W$2, MATCH($B$130, BOND!$B$16:$CH$16, 0)+MATCH($C143, BOND!$C$18:$N$18,0) )=0,
"",
INDEX(BOND!$B$2:$CH$13, W$2, MATCH($B$130, BOND!$B$16:$CH$16, 0)+MATCH($C143, BOND!$C$18:$N$18,0)) )</f>
        <v>2.706</v>
      </c>
      <c r="X143" s="80">
        <f>IF( INDEX(BOND!$B$2:$CH$13, X$2, MATCH($B$130, BOND!$B$16:$CH$16, 0)+MATCH($C143, BOND!$C$18:$N$18,0) )=0,
"",
INDEX(BOND!$B$2:$CH$13, X$2, MATCH($B$130, BOND!$B$16:$CH$16, 0)+MATCH($C143, BOND!$C$18:$N$18,0)) )</f>
        <v>3.177</v>
      </c>
      <c r="Y143" s="80">
        <f>IF( INDEX(BOND!$B$2:$CH$13, Y$2, MATCH($B$130, BOND!$B$16:$CH$16, 0)+MATCH($C143, BOND!$C$18:$N$18,0) )=0,
"",
INDEX(BOND!$B$2:$CH$13, Y$2, MATCH($B$130, BOND!$B$16:$CH$16, 0)+MATCH($C143, BOND!$C$18:$N$18,0)) )</f>
        <v>3.1262159999999999</v>
      </c>
      <c r="Z143" s="80">
        <f>IF( INDEX(BOND!$B$2:$CH$13, Z$2, MATCH($B$130, BOND!$B$16:$CH$16, 0)+MATCH($C143, BOND!$C$18:$N$18,0) )=0,
"",
INDEX(BOND!$B$2:$CH$13, Z$2, MATCH($B$130, BOND!$B$16:$CH$16, 0)+MATCH($C143, BOND!$C$18:$N$18,0)) )</f>
        <v>2.706</v>
      </c>
      <c r="AA143" s="80">
        <f>IF( INDEX(BOND!$B$2:$CH$13, AA$2, MATCH($B$130, BOND!$B$16:$CH$16, 0)+MATCH($C143, BOND!$C$18:$N$18,0) )=0,
"",
INDEX(BOND!$B$2:$CH$13, AA$2, MATCH($B$130, BOND!$B$16:$CH$16, 0)+MATCH($C143, BOND!$C$18:$N$18,0)) )</f>
        <v>3.7040000000000002</v>
      </c>
    </row>
    <row r="144" spans="1:27">
      <c r="D144" s="53"/>
      <c r="E144" s="52" t="s">
        <v>267</v>
      </c>
      <c r="F144" s="81">
        <f>IF(F143=0,"",(F143-AD28)*IF($C$7=1,-1,1))</f>
        <v>0.1785000000000001</v>
      </c>
      <c r="G144" s="82">
        <f>IF(G143=0,"",(G143-AE28)*IF($C$7=1,-1,1))</f>
        <v>0.1705000000000001</v>
      </c>
      <c r="H144" s="82">
        <f>IF(H143=0,"",(H143-AF28)*IF($C$7=1,-1,1))</f>
        <v>0.16699999999999982</v>
      </c>
      <c r="I144" s="82">
        <f>IF(I143=0,"",(I143-AG28)*IF($C$7=1,-1,1))</f>
        <v>0.18099999999999961</v>
      </c>
      <c r="J144" s="82">
        <f>IF(J143=0,"",(J143-AH28)*IF($C$7=1,-1,1))</f>
        <v>0.18400000000000016</v>
      </c>
      <c r="K144" s="82">
        <f>IF(K143=0,"",(K143-AI28)*IF($C$7=1,-1,1))</f>
        <v>0.2004999999999999</v>
      </c>
      <c r="L144" s="82">
        <f>IF(L143=0,"",(L143-AJ28)*IF($C$7=1,-1,1))</f>
        <v>0.19100000000000028</v>
      </c>
      <c r="M144" s="82">
        <f>IF(M143=0,"",(M143-AK28)*IF($C$7=1,-1,1))</f>
        <v>0.17650000000000032</v>
      </c>
      <c r="N144" s="82">
        <f>IF(N143=0,"",(N143-AL28)*IF($C$7=1,-1,1))</f>
        <v>0.18650000000000011</v>
      </c>
      <c r="O144" s="82">
        <f>IF(O143=0,"",(O143-AM28)*IF($C$7=1,-1,1))</f>
        <v>0.19050000000000011</v>
      </c>
      <c r="P144" s="83">
        <f>IF(   P143="", "", (P143 - INDEX(IRS!$B$2:$Y$13, P$2, MATCH($E143,IRS!$B$1:$Y$1, 0)) ) * IF($C$7=1,-1,1)   )</f>
        <v>0.17682500000000001</v>
      </c>
      <c r="Q144" s="84">
        <f>IF(   Q143="", "", (Q143 - INDEX(IRS!$B$2:$Y$13, Q$2, MATCH($E143,IRS!$B$1:$Y$1, 0)) ) * IF($C$7=1,-1,1)   )</f>
        <v>0.1785000000000001</v>
      </c>
      <c r="R144" s="85">
        <f>IF(   R143="", "", (R143 - INDEX(IRS!$B$2:$Y$13, R$2, MATCH($E143,IRS!$B$1:$Y$1, 0)) ) * IF($C$7=1,-1,1)   )</f>
        <v>0.16599999999999993</v>
      </c>
      <c r="S144" s="86">
        <f>IF(   S143="", "", (S143 - INDEX(IRS!$B$2:$Y$13, S$2, MATCH($E143,IRS!$B$1:$Y$1, 0)) ) * IF($C$7=1,-1,1)   )</f>
        <v>0.1654416666666676</v>
      </c>
      <c r="T144" s="84">
        <f>IF(   T143="", "", (T143 - INDEX(IRS!$B$2:$Y$13, T$2, MATCH($E143,IRS!$B$1:$Y$1, 0)) ) * IF($C$7=1,-1,1)   )</f>
        <v>0.1785000000000001</v>
      </c>
      <c r="U144" s="87">
        <f>IF(   U143="", "", (U143 - INDEX(IRS!$B$2:$Y$13, U$2, MATCH($E143,IRS!$B$1:$Y$1, 0)) ) * IF($C$7=1,-1,1)   )</f>
        <v>0.2200000000000002</v>
      </c>
      <c r="V144" s="83">
        <f>IF(   V143="", "", (V143 - INDEX(IRS!$B$2:$Y$13, V$2, MATCH($E143,IRS!$B$1:$Y$1, 0)) ) * IF($C$7=1,-1,1)   )</f>
        <v>0.18016666666666969</v>
      </c>
      <c r="W144" s="84">
        <f>IF(   W143="", "", (W143 - INDEX(IRS!$B$2:$Y$13, W$2, MATCH($E143,IRS!$B$1:$Y$1, 0)) ) * IF($C$7=1,-1,1)   )</f>
        <v>0.18599999999999994</v>
      </c>
      <c r="X144" s="85">
        <f>IF(   X143="", "", (X143 - INDEX(IRS!$B$2:$Y$13, X$2, MATCH($E143,IRS!$B$1:$Y$1, 0)) ) * IF($C$7=1,-1,1)   )</f>
        <v>0.16199999999999992</v>
      </c>
      <c r="Y144" s="83">
        <f>IF(   Y143="", "", (Y143 - INDEX(IRS!$B$2:$Y$13, Y$2, MATCH($E143,IRS!$B$1:$Y$1, 0)) ) * IF($C$7=1,-1,1)   )</f>
        <v>0.17635600000000151</v>
      </c>
      <c r="Z144" s="84">
        <f>IF(   Z143="", "", (Z143 - INDEX(IRS!$B$2:$Y$13, Z$2, MATCH($E143,IRS!$B$1:$Y$1, 0)) ) * IF($C$7=1,-1,1)   )</f>
        <v>0.18599999999999994</v>
      </c>
      <c r="AA144" s="85">
        <f>IF(   AA143="", "", (AA143 - INDEX(IRS!$B$2:$Y$13, AA$2, MATCH($E143,IRS!$B$1:$Y$1, 0)) ) * IF($C$7=1,-1,1)   )</f>
        <v>0.13900000000000023</v>
      </c>
    </row>
    <row r="145" spans="2:27">
      <c r="B145" s="6" t="str">
        <f>_xll.IMDH("IR",$B$130,$C145,$O$9,$F$9,10,"Per=일, sort=D, real=true, Bizday=0, Quote=종가,Pos=40,Orient=H,DtFmt=1.TmFmt=1")</f>
        <v>조회[BONDAVG13]</v>
      </c>
      <c r="C145" s="6" t="s">
        <v>241</v>
      </c>
      <c r="D145" s="53"/>
      <c r="E145" s="51" t="s">
        <v>256</v>
      </c>
      <c r="F145" s="88">
        <v>2.903</v>
      </c>
      <c r="G145" s="89">
        <v>2.89</v>
      </c>
      <c r="H145" s="89">
        <v>2.8639999999999999</v>
      </c>
      <c r="I145" s="89">
        <v>2.8719999999999999</v>
      </c>
      <c r="J145" s="89">
        <v>2.883</v>
      </c>
      <c r="K145" s="89">
        <v>2.8639999999999999</v>
      </c>
      <c r="L145" s="89">
        <v>2.8530000000000002</v>
      </c>
      <c r="M145" s="89">
        <v>2.851</v>
      </c>
      <c r="N145" s="89">
        <v>2.84</v>
      </c>
      <c r="O145" s="89">
        <v>2.8279999999999998</v>
      </c>
      <c r="P145" s="80">
        <f>IF( INDEX(BOND!$B$2:$CH$13, P$2, MATCH($B$130, BOND!$B$16:$CH$16, 0)+MATCH($C145, BOND!$C$18:$N$18,0) )=0,
"",
INDEX(BOND!$B$2:$CH$13, P$2, MATCH($B$130, BOND!$B$16:$CH$16, 0)+MATCH($C145, BOND!$C$18:$N$18,0)) )</f>
        <v>2.8543499999999997</v>
      </c>
      <c r="Q145" s="80">
        <f>IF( INDEX(BOND!$B$2:$CH$13, Q$2, MATCH($B$130, BOND!$B$16:$CH$16, 0)+MATCH($C145, BOND!$C$18:$N$18,0) )=0,
"",
INDEX(BOND!$B$2:$CH$13, Q$2, MATCH($B$130, BOND!$B$16:$CH$16, 0)+MATCH($C145, BOND!$C$18:$N$18,0)) )</f>
        <v>2.8039999999999998</v>
      </c>
      <c r="R145" s="80">
        <f>IF( INDEX(BOND!$B$2:$CH$13, R$2, MATCH($B$130, BOND!$B$16:$CH$16, 0)+MATCH($C145, BOND!$C$18:$N$18,0) )=0,
"",
INDEX(BOND!$B$2:$CH$13, R$2, MATCH($B$130, BOND!$B$16:$CH$16, 0)+MATCH($C145, BOND!$C$18:$N$18,0)) )</f>
        <v>2.903</v>
      </c>
      <c r="S145" s="80">
        <f>IF( INDEX(BOND!$B$2:$CH$13, S$2, MATCH($B$130, BOND!$B$16:$CH$16, 0)+MATCH($C145, BOND!$C$18:$N$18,0) )=0,
"",
INDEX(BOND!$B$2:$CH$13, S$2, MATCH($B$130, BOND!$B$16:$CH$16, 0)+MATCH($C145, BOND!$C$18:$N$18,0)) )</f>
        <v>2.8755833333333327</v>
      </c>
      <c r="T145" s="80">
        <f>IF( INDEX(BOND!$B$2:$CH$13, T$2, MATCH($B$130, BOND!$B$16:$CH$16, 0)+MATCH($C145, BOND!$C$18:$N$18,0) )=0,
"",
INDEX(BOND!$B$2:$CH$13, T$2, MATCH($B$130, BOND!$B$16:$CH$16, 0)+MATCH($C145, BOND!$C$18:$N$18,0)) )</f>
        <v>2.8039999999999998</v>
      </c>
      <c r="U145" s="80">
        <f>IF( INDEX(BOND!$B$2:$CH$13, U$2, MATCH($B$130, BOND!$B$16:$CH$16, 0)+MATCH($C145, BOND!$C$18:$N$18,0) )=0,
"",
INDEX(BOND!$B$2:$CH$13, U$2, MATCH($B$130, BOND!$B$16:$CH$16, 0)+MATCH($C145, BOND!$C$18:$N$18,0)) )</f>
        <v>3.0219999999999998</v>
      </c>
      <c r="V145" s="80">
        <f>IF( INDEX(BOND!$B$2:$CH$13, V$2, MATCH($B$130, BOND!$B$16:$CH$16, 0)+MATCH($C145, BOND!$C$18:$N$18,0) )=0,
"",
INDEX(BOND!$B$2:$CH$13, V$2, MATCH($B$130, BOND!$B$16:$CH$16, 0)+MATCH($C145, BOND!$C$18:$N$18,0)) )</f>
        <v>2.9679333333333324</v>
      </c>
      <c r="W145" s="80">
        <f>IF( INDEX(BOND!$B$2:$CH$13, W$2, MATCH($B$130, BOND!$B$16:$CH$16, 0)+MATCH($C145, BOND!$C$18:$N$18,0) )=0,
"",
INDEX(BOND!$B$2:$CH$13, W$2, MATCH($B$130, BOND!$B$16:$CH$16, 0)+MATCH($C145, BOND!$C$18:$N$18,0)) )</f>
        <v>2.7810000000000001</v>
      </c>
      <c r="X145" s="80">
        <f>IF( INDEX(BOND!$B$2:$CH$13, X$2, MATCH($B$130, BOND!$B$16:$CH$16, 0)+MATCH($C145, BOND!$C$18:$N$18,0) )=0,
"",
INDEX(BOND!$B$2:$CH$13, X$2, MATCH($B$130, BOND!$B$16:$CH$16, 0)+MATCH($C145, BOND!$C$18:$N$18,0)) )</f>
        <v>3.218</v>
      </c>
      <c r="Y145" s="80">
        <f>IF( INDEX(BOND!$B$2:$CH$13, Y$2, MATCH($B$130, BOND!$B$16:$CH$16, 0)+MATCH($C145, BOND!$C$18:$N$18,0) )=0,
"",
INDEX(BOND!$B$2:$CH$13, Y$2, MATCH($B$130, BOND!$B$16:$CH$16, 0)+MATCH($C145, BOND!$C$18:$N$18,0)) )</f>
        <v>3.1736559999999998</v>
      </c>
      <c r="Z145" s="80">
        <f>IF( INDEX(BOND!$B$2:$CH$13, Z$2, MATCH($B$130, BOND!$B$16:$CH$16, 0)+MATCH($C145, BOND!$C$18:$N$18,0) )=0,
"",
INDEX(BOND!$B$2:$CH$13, Z$2, MATCH($B$130, BOND!$B$16:$CH$16, 0)+MATCH($C145, BOND!$C$18:$N$18,0)) )</f>
        <v>2.7810000000000001</v>
      </c>
      <c r="AA145" s="80">
        <f>IF( INDEX(BOND!$B$2:$CH$13, AA$2, MATCH($B$130, BOND!$B$16:$CH$16, 0)+MATCH($C145, BOND!$C$18:$N$18,0) )=0,
"",
INDEX(BOND!$B$2:$CH$13, AA$2, MATCH($B$130, BOND!$B$16:$CH$16, 0)+MATCH($C145, BOND!$C$18:$N$18,0)) )</f>
        <v>3.7389999999999999</v>
      </c>
    </row>
    <row r="146" spans="2:27">
      <c r="D146" s="53"/>
      <c r="E146" s="52" t="s">
        <v>267</v>
      </c>
      <c r="F146" s="81">
        <f>IF(F145=0,"",(F145-AD30)*IF($C$7=1,-1,1))</f>
        <v>0.2905000000000002</v>
      </c>
      <c r="G146" s="82">
        <f>IF(G145=0,"",(G145-AE30)*IF($C$7=1,-1,1))</f>
        <v>0.28750000000000009</v>
      </c>
      <c r="H146" s="82">
        <f>IF(H145=0,"",(H145-AF30)*IF($C$7=1,-1,1))</f>
        <v>0.26899999999999968</v>
      </c>
      <c r="I146" s="82">
        <f>IF(I145=0,"",(I145-AG30)*IF($C$7=1,-1,1))</f>
        <v>0.28949999999999987</v>
      </c>
      <c r="J146" s="82">
        <f>IF(J145=0,"",(J145-AH30)*IF($C$7=1,-1,1))</f>
        <v>0.2905000000000002</v>
      </c>
      <c r="K146" s="82">
        <f>IF(K145=0,"",(K145-AI30)*IF($C$7=1,-1,1))</f>
        <v>0.29150000000000009</v>
      </c>
      <c r="L146" s="82">
        <f>IF(L145=0,"",(L145-AJ30)*IF($C$7=1,-1,1))</f>
        <v>0.27050000000000018</v>
      </c>
      <c r="M146" s="82">
        <f>IF(M145=0,"",(M145-AK30)*IF($C$7=1,-1,1))</f>
        <v>0.26600000000000001</v>
      </c>
      <c r="N146" s="82">
        <f>IF(N145=0,"",(N145-AL30)*IF($C$7=1,-1,1))</f>
        <v>0.28249999999999975</v>
      </c>
      <c r="O146" s="82">
        <f>IF(O145=0,"",(O145-AM30)*IF($C$7=1,-1,1))</f>
        <v>0.29049999999999976</v>
      </c>
      <c r="P146" s="83">
        <f>IF(   P145="", "", (P145 - INDEX(IRS!$B$2:$Y$13, P$2, MATCH($E145,IRS!$B$1:$Y$1, 0)) ) * IF($C$7=1,-1,1)   )</f>
        <v>0.27422499999999994</v>
      </c>
      <c r="Q146" s="84">
        <f>IF(   Q145="", "", (Q145 - INDEX(IRS!$B$2:$Y$13, Q$2, MATCH($E145,IRS!$B$1:$Y$1, 0)) ) * IF($C$7=1,-1,1)   )</f>
        <v>0.26899999999999968</v>
      </c>
      <c r="R146" s="85">
        <f>IF(   R145="", "", (R145 - INDEX(IRS!$B$2:$Y$13, R$2, MATCH($E145,IRS!$B$1:$Y$1, 0)) ) * IF($C$7=1,-1,1)   )</f>
        <v>0.27800000000000002</v>
      </c>
      <c r="S146" s="86">
        <f>IF(   S145="", "", (S145 - INDEX(IRS!$B$2:$Y$13, S$2, MATCH($E145,IRS!$B$1:$Y$1, 0)) ) * IF($C$7=1,-1,1)   )</f>
        <v>0.24124999999999996</v>
      </c>
      <c r="T146" s="84">
        <f>IF(   T145="", "", (T145 - INDEX(IRS!$B$2:$Y$13, T$2, MATCH($E145,IRS!$B$1:$Y$1, 0)) ) * IF($C$7=1,-1,1)   )</f>
        <v>0.26899999999999968</v>
      </c>
      <c r="U146" s="87">
        <f>IF(   U145="", "", (U145 - INDEX(IRS!$B$2:$Y$13, U$2, MATCH($E145,IRS!$B$1:$Y$1, 0)) ) * IF($C$7=1,-1,1)   )</f>
        <v>0.26200000000000001</v>
      </c>
      <c r="V146" s="83">
        <f>IF(   V145="", "", (V145 - INDEX(IRS!$B$2:$Y$13, V$2, MATCH($E145,IRS!$B$1:$Y$1, 0)) ) * IF($C$7=1,-1,1)   )</f>
        <v>0.2465166666666665</v>
      </c>
      <c r="W146" s="84">
        <f>IF(   W145="", "", (W145 - INDEX(IRS!$B$2:$Y$13, W$2, MATCH($E145,IRS!$B$1:$Y$1, 0)) ) * IF($C$7=1,-1,1)   )</f>
        <v>0.2735000000000003</v>
      </c>
      <c r="X146" s="85">
        <f>IF(   X145="", "", (X145 - INDEX(IRS!$B$2:$Y$13, X$2, MATCH($E145,IRS!$B$1:$Y$1, 0)) ) * IF($C$7=1,-1,1)   )</f>
        <v>0.19799999999999995</v>
      </c>
      <c r="Y146" s="83">
        <f>IF(   Y145="", "", (Y145 - INDEX(IRS!$B$2:$Y$13, Y$2, MATCH($E145,IRS!$B$1:$Y$1, 0)) ) * IF($C$7=1,-1,1)   )</f>
        <v>0.22883600000000204</v>
      </c>
      <c r="Z146" s="84">
        <f>IF(   Z145="", "", (Z145 - INDEX(IRS!$B$2:$Y$13, Z$2, MATCH($E145,IRS!$B$1:$Y$1, 0)) ) * IF($C$7=1,-1,1)   )</f>
        <v>0.2735000000000003</v>
      </c>
      <c r="AA146" s="85">
        <f>IF(   AA145="", "", (AA145 - INDEX(IRS!$B$2:$Y$13, AA$2, MATCH($E145,IRS!$B$1:$Y$1, 0)) ) * IF($C$7=1,-1,1)   )</f>
        <v>0.16650000000000009</v>
      </c>
    </row>
    <row r="147" spans="2:27">
      <c r="C147" s="6">
        <v>13</v>
      </c>
      <c r="D147" s="45"/>
      <c r="E147" s="56" t="s">
        <v>59</v>
      </c>
      <c r="F147" s="63">
        <f>F$9</f>
        <v>45741</v>
      </c>
      <c r="G147" s="65">
        <f t="shared" ref="G147:N147" si="7">G$9</f>
        <v>45740</v>
      </c>
      <c r="H147" s="65">
        <f t="shared" si="7"/>
        <v>45737</v>
      </c>
      <c r="I147" s="65">
        <f t="shared" si="7"/>
        <v>45736</v>
      </c>
      <c r="J147" s="65">
        <f t="shared" si="7"/>
        <v>45735</v>
      </c>
      <c r="K147" s="65">
        <f t="shared" si="7"/>
        <v>45734</v>
      </c>
      <c r="L147" s="65">
        <f t="shared" si="7"/>
        <v>45733</v>
      </c>
      <c r="M147" s="65">
        <f t="shared" si="7"/>
        <v>45730</v>
      </c>
      <c r="N147" s="61">
        <f t="shared" si="7"/>
        <v>45729</v>
      </c>
      <c r="O147" s="59">
        <f>O$9</f>
        <v>45728</v>
      </c>
      <c r="P147" s="68" t="str">
        <f>$P$13</f>
        <v>20D</v>
      </c>
      <c r="Q147" s="68"/>
      <c r="R147" s="68"/>
      <c r="S147" s="68" t="str">
        <f>$S$13</f>
        <v>60D</v>
      </c>
      <c r="T147" s="68"/>
      <c r="U147" s="68"/>
      <c r="V147" s="68" t="str">
        <f>$V$13</f>
        <v>120D</v>
      </c>
      <c r="W147" s="68"/>
      <c r="X147" s="68"/>
      <c r="Y147" s="68" t="str">
        <f>$Y$13</f>
        <v>250D</v>
      </c>
      <c r="Z147" s="68"/>
      <c r="AA147" s="68"/>
    </row>
    <row r="148" spans="2:27">
      <c r="B148" s="6" t="str">
        <f>INDEX(code_list,$C147,1)</f>
        <v>BONDAVG12</v>
      </c>
      <c r="C148" s="6" t="str">
        <f>INDEX(name_list,$C147,1)</f>
        <v>특수채 공사채 AA-</v>
      </c>
      <c r="D148" s="45"/>
      <c r="E148" s="57"/>
      <c r="F148" s="64"/>
      <c r="G148" s="66"/>
      <c r="H148" s="66"/>
      <c r="I148" s="66"/>
      <c r="J148" s="66"/>
      <c r="K148" s="66"/>
      <c r="L148" s="66"/>
      <c r="M148" s="66"/>
      <c r="N148" s="62"/>
      <c r="O148" s="60"/>
      <c r="P148" s="55" t="s">
        <v>21</v>
      </c>
      <c r="Q148" s="55" t="s">
        <v>22</v>
      </c>
      <c r="R148" s="55" t="s">
        <v>23</v>
      </c>
      <c r="S148" s="55" t="s">
        <v>21</v>
      </c>
      <c r="T148" s="55" t="s">
        <v>22</v>
      </c>
      <c r="U148" s="55" t="s">
        <v>23</v>
      </c>
      <c r="V148" s="55" t="s">
        <v>21</v>
      </c>
      <c r="W148" s="55" t="s">
        <v>22</v>
      </c>
      <c r="X148" s="55" t="s">
        <v>23</v>
      </c>
      <c r="Y148" s="55" t="s">
        <v>21</v>
      </c>
      <c r="Z148" s="55" t="s">
        <v>22</v>
      </c>
      <c r="AA148" s="55" t="s">
        <v>23</v>
      </c>
    </row>
    <row r="149" spans="2:27" ht="13.5" customHeight="1">
      <c r="B149" s="6" t="str">
        <f>_xll.IMDH("IR", $B$148,$B148,$O$9,$F$9,10,"Per=일, sort=D, real=true, Bizday=0, Quote=종가,Pos=40,Orient=H,DtFmt=1.TmFmt=1")</f>
        <v>조회[BONDAVG12]</v>
      </c>
      <c r="C149" s="6" t="s">
        <v>297</v>
      </c>
      <c r="D149" s="45"/>
      <c r="E149" s="51" t="s">
        <v>249</v>
      </c>
      <c r="F149" s="88"/>
      <c r="G149" s="89"/>
      <c r="H149" s="89"/>
      <c r="I149" s="89"/>
      <c r="J149" s="89"/>
      <c r="K149" s="89"/>
      <c r="L149" s="89"/>
      <c r="M149" s="89"/>
      <c r="N149" s="89"/>
      <c r="O149" s="89"/>
      <c r="P149" s="80">
        <f>IF( INDEX(BOND!$B$2:$CH$13, P$2, MATCH($B$148, BOND!$B$16:$CH$16, 0)+MATCH($C149, BOND!$C$18:$N$18,0) )=0,
"",
INDEX(BOND!$B$2:$CH$13, P$2, MATCH($B$148, BOND!$B$16:$CH$16, 0)+MATCH($C149, BOND!$C$18:$N$18,0)) )</f>
        <v>3.1422500000000002</v>
      </c>
      <c r="Q149" s="80">
        <f>IF( INDEX(BOND!$B$2:$CH$13, Q$2, MATCH($B$148, BOND!$B$16:$CH$16, 0)+MATCH($C149, BOND!$C$18:$N$18,0) )=0,
"",
INDEX(BOND!$B$2:$CH$13, Q$2, MATCH($B$148, BOND!$B$16:$CH$16, 0)+MATCH($C149, BOND!$C$18:$N$18,0)) )</f>
        <v>3.13</v>
      </c>
      <c r="R149" s="80">
        <f>IF( INDEX(BOND!$B$2:$CH$13, R$2, MATCH($B$148, BOND!$B$16:$CH$16, 0)+MATCH($C149, BOND!$C$18:$N$18,0) )=0,
"",
INDEX(BOND!$B$2:$CH$13, R$2, MATCH($B$148, BOND!$B$16:$CH$16, 0)+MATCH($C149, BOND!$C$18:$N$18,0)) )</f>
        <v>3.1619999999999999</v>
      </c>
      <c r="S149" s="80">
        <f>IF( INDEX(BOND!$B$2:$CH$13, S$2, MATCH($B$148, BOND!$B$16:$CH$16, 0)+MATCH($C149, BOND!$C$18:$N$18,0) )=0,
"",
INDEX(BOND!$B$2:$CH$13, S$2, MATCH($B$148, BOND!$B$16:$CH$16, 0)+MATCH($C149, BOND!$C$18:$N$18,0)) )</f>
        <v>3.2567499999999998</v>
      </c>
      <c r="T149" s="80">
        <f>IF( INDEX(BOND!$B$2:$CH$13, T$2, MATCH($B$148, BOND!$B$16:$CH$16, 0)+MATCH($C149, BOND!$C$18:$N$18,0) )=0,
"",
INDEX(BOND!$B$2:$CH$13, T$2, MATCH($B$148, BOND!$B$16:$CH$16, 0)+MATCH($C149, BOND!$C$18:$N$18,0)) )</f>
        <v>3.13</v>
      </c>
      <c r="U149" s="80">
        <f>IF( INDEX(BOND!$B$2:$CH$13, U$2, MATCH($B$148, BOND!$B$16:$CH$16, 0)+MATCH($C149, BOND!$C$18:$N$18,0) )=0,
"",
INDEX(BOND!$B$2:$CH$13, U$2, MATCH($B$148, BOND!$B$16:$CH$16, 0)+MATCH($C149, BOND!$C$18:$N$18,0)) )</f>
        <v>3.5739999999999998</v>
      </c>
      <c r="V149" s="80">
        <f>IF( INDEX(BOND!$B$2:$CH$13, V$2, MATCH($B$148, BOND!$B$16:$CH$16, 0)+MATCH($C149, BOND!$C$18:$N$18,0) )=0,
"",
INDEX(BOND!$B$2:$CH$13, V$2, MATCH($B$148, BOND!$B$16:$CH$16, 0)+MATCH($C149, BOND!$C$18:$N$18,0)) )</f>
        <v>3.4196750000000007</v>
      </c>
      <c r="W149" s="80">
        <f>IF( INDEX(BOND!$B$2:$CH$13, W$2, MATCH($B$148, BOND!$B$16:$CH$16, 0)+MATCH($C149, BOND!$C$18:$N$18,0) )=0,
"",
INDEX(BOND!$B$2:$CH$13, W$2, MATCH($B$148, BOND!$B$16:$CH$16, 0)+MATCH($C149, BOND!$C$18:$N$18,0)) )</f>
        <v>3.13</v>
      </c>
      <c r="X149" s="80">
        <f>IF( INDEX(BOND!$B$2:$CH$13, X$2, MATCH($B$148, BOND!$B$16:$CH$16, 0)+MATCH($C149, BOND!$C$18:$N$18,0) )=0,
"",
INDEX(BOND!$B$2:$CH$13, X$2, MATCH($B$148, BOND!$B$16:$CH$16, 0)+MATCH($C149, BOND!$C$18:$N$18,0)) )</f>
        <v>3.6480000000000001</v>
      </c>
      <c r="Y149" s="80">
        <f>IF( INDEX(BOND!$B$2:$CH$13, Y$2, MATCH($B$148, BOND!$B$16:$CH$16, 0)+MATCH($C149, BOND!$C$18:$N$18,0) )=0,
"",
INDEX(BOND!$B$2:$CH$13, Y$2, MATCH($B$148, BOND!$B$16:$CH$16, 0)+MATCH($C149, BOND!$C$18:$N$18,0)) )</f>
        <v>3.5845640000000007</v>
      </c>
      <c r="Z149" s="80">
        <f>IF( INDEX(BOND!$B$2:$CH$13, Z$2, MATCH($B$148, BOND!$B$16:$CH$16, 0)+MATCH($C149, BOND!$C$18:$N$18,0) )=0,
"",
INDEX(BOND!$B$2:$CH$13, Z$2, MATCH($B$148, BOND!$B$16:$CH$16, 0)+MATCH($C149, BOND!$C$18:$N$18,0)) )</f>
        <v>3.13</v>
      </c>
      <c r="AA149" s="80">
        <f>IF( INDEX(BOND!$B$2:$CH$13, AA$2, MATCH($B$148, BOND!$B$16:$CH$16, 0)+MATCH($C149, BOND!$C$18:$N$18,0) )=0,
"",
INDEX(BOND!$B$2:$CH$13, AA$2, MATCH($B$148, BOND!$B$16:$CH$16, 0)+MATCH($C149, BOND!$C$18:$N$18,0)) )</f>
        <v>3.867</v>
      </c>
    </row>
    <row r="150" spans="2:27">
      <c r="D150" s="45"/>
      <c r="E150" s="52" t="s">
        <v>267</v>
      </c>
      <c r="F150" s="81" t="str">
        <f>IF(F149=0,"",(F149-AD16)*IF($C$7=1,-1,1))</f>
        <v/>
      </c>
      <c r="G150" s="82" t="str">
        <f>IF(G149=0,"",(G149-AE16)*IF($C$7=1,-1,1))</f>
        <v/>
      </c>
      <c r="H150" s="82" t="str">
        <f>IF(H149=0,"",(H149-AF16)*IF($C$7=1,-1,1))</f>
        <v/>
      </c>
      <c r="I150" s="82" t="str">
        <f>IF(I149=0,"",(I149-AG16)*IF($C$7=1,-1,1))</f>
        <v/>
      </c>
      <c r="J150" s="82" t="str">
        <f>IF(J149=0,"",(J149-AH16)*IF($C$7=1,-1,1))</f>
        <v/>
      </c>
      <c r="K150" s="82" t="str">
        <f>IF(K149=0,"",(K149-AI16)*IF($C$7=1,-1,1))</f>
        <v/>
      </c>
      <c r="L150" s="82" t="str">
        <f>IF(L149=0,"",(L149-AJ16)*IF($C$7=1,-1,1))</f>
        <v/>
      </c>
      <c r="M150" s="82" t="str">
        <f>IF(M149=0,"",(M149-AK16)*IF($C$7=1,-1,1))</f>
        <v/>
      </c>
      <c r="N150" s="82" t="str">
        <f>IF(N149=0,"",(N149-AL16)*IF($C$7=1,-1,1))</f>
        <v/>
      </c>
      <c r="O150" s="82" t="str">
        <f>IF(O149=0,"",(O149-AM16)*IF($C$7=1,-1,1))</f>
        <v/>
      </c>
      <c r="P150" s="83">
        <f>IF(   P149="", "", (P149 - INDEX(IRS!$B$2:$Y$13, P$2, MATCH($E149,IRS!$B$1:$Y$1, 0)) ) * IF($C$7=1,-1,1)   )</f>
        <v>0.37650000000000006</v>
      </c>
      <c r="Q150" s="84">
        <f>IF(   Q149="", "", (Q149 - INDEX(IRS!$B$2:$Y$13, Q$2, MATCH($E149,IRS!$B$1:$Y$1, 0)) ) * IF($C$7=1,-1,1)   )</f>
        <v>0.38499999999999979</v>
      </c>
      <c r="R150" s="85">
        <f>IF(   R149="", "", (R149 - INDEX(IRS!$B$2:$Y$13, R$2, MATCH($E149,IRS!$B$1:$Y$1, 0)) ) * IF($C$7=1,-1,1)   )</f>
        <v>0.3620000000000001</v>
      </c>
      <c r="S150" s="86">
        <f>IF(   S149="", "", (S149 - INDEX(IRS!$B$2:$Y$13, S$2, MATCH($E149,IRS!$B$1:$Y$1, 0)) ) * IF($C$7=1,-1,1)   )</f>
        <v>0.37887499999999941</v>
      </c>
      <c r="T150" s="84">
        <f>IF(   T149="", "", (T149 - INDEX(IRS!$B$2:$Y$13, T$2, MATCH($E149,IRS!$B$1:$Y$1, 0)) ) * IF($C$7=1,-1,1)   )</f>
        <v>0.38499999999999979</v>
      </c>
      <c r="U150" s="87">
        <f>IF(   U149="", "", (U149 - INDEX(IRS!$B$2:$Y$13, U$2, MATCH($E149,IRS!$B$1:$Y$1, 0)) ) * IF($C$7=1,-1,1)   )</f>
        <v>0.38649999999999984</v>
      </c>
      <c r="V150" s="83">
        <f>IF(   V149="", "", (V149 - INDEX(IRS!$B$2:$Y$13, V$2, MATCH($E149,IRS!$B$1:$Y$1, 0)) ) * IF($C$7=1,-1,1)   )</f>
        <v>0.35502916666666628</v>
      </c>
      <c r="W150" s="84">
        <f>IF(   W149="", "", (W149 - INDEX(IRS!$B$2:$Y$13, W$2, MATCH($E149,IRS!$B$1:$Y$1, 0)) ) * IF($C$7=1,-1,1)   )</f>
        <v>0.38499999999999979</v>
      </c>
      <c r="X150" s="85">
        <f>IF(   X149="", "", (X149 - INDEX(IRS!$B$2:$Y$13, X$2, MATCH($E149,IRS!$B$1:$Y$1, 0)) ) * IF($C$7=1,-1,1)   )</f>
        <v>0.23550000000000004</v>
      </c>
      <c r="Y150" s="83">
        <f>IF(   Y149="", "", (Y149 - INDEX(IRS!$B$2:$Y$13, Y$2, MATCH($E149,IRS!$B$1:$Y$1, 0)) ) * IF($C$7=1,-1,1)   )</f>
        <v>0.28477399999999875</v>
      </c>
      <c r="Z150" s="84">
        <f>IF(   Z149="", "", (Z149 - INDEX(IRS!$B$2:$Y$13, Z$2, MATCH($E149,IRS!$B$1:$Y$1, 0)) ) * IF($C$7=1,-1,1)   )</f>
        <v>0.38499999999999979</v>
      </c>
      <c r="AA150" s="85">
        <f>IF(   AA149="", "", (AA149 - INDEX(IRS!$B$2:$Y$13, AA$2, MATCH($E149,IRS!$B$1:$Y$1, 0)) ) * IF($C$7=1,-1,1)   )</f>
        <v>0.22949999999999982</v>
      </c>
    </row>
    <row r="151" spans="2:27" ht="13.5" customHeight="1">
      <c r="B151" s="6" t="str">
        <f>_xll.IMDH("IR", $B$148,$C149,$O$9,$F$9,10,"Per=일, sort=D, real=true, Bizday=0, Quote=종가,Pos=40,Orient=H,DtFmt=1.TmFmt=1")</f>
        <v>조회[BONDAVG12]</v>
      </c>
      <c r="C151" s="6" t="s">
        <v>298</v>
      </c>
      <c r="D151" s="45"/>
      <c r="E151" s="51" t="s">
        <v>250</v>
      </c>
      <c r="F151" s="88">
        <v>3.1320000000000001</v>
      </c>
      <c r="G151" s="89">
        <v>3.141</v>
      </c>
      <c r="H151" s="89">
        <v>3.1349999999999998</v>
      </c>
      <c r="I151" s="89">
        <v>3.1320000000000001</v>
      </c>
      <c r="J151" s="89">
        <v>3.1339999999999999</v>
      </c>
      <c r="K151" s="89">
        <v>3.1339999999999999</v>
      </c>
      <c r="L151" s="89">
        <v>3.1339999999999999</v>
      </c>
      <c r="M151" s="89">
        <v>3.1349999999999998</v>
      </c>
      <c r="N151" s="89">
        <v>3.1339999999999999</v>
      </c>
      <c r="O151" s="89">
        <v>3.13</v>
      </c>
      <c r="P151" s="80">
        <f>IF( INDEX(BOND!$B$2:$CH$13, P$2, MATCH($B$148, BOND!$B$16:$CH$16, 0)+MATCH($C151, BOND!$C$18:$N$18,0) )=0,
"",
INDEX(BOND!$B$2:$CH$13, P$2, MATCH($B$148, BOND!$B$16:$CH$16, 0)+MATCH($C151, BOND!$C$18:$N$18,0)) )</f>
        <v>3.1332</v>
      </c>
      <c r="Q151" s="80">
        <f>IF( INDEX(BOND!$B$2:$CH$13, Q$2, MATCH($B$148, BOND!$B$16:$CH$16, 0)+MATCH($C151, BOND!$C$18:$N$18,0) )=0,
"",
INDEX(BOND!$B$2:$CH$13, Q$2, MATCH($B$148, BOND!$B$16:$CH$16, 0)+MATCH($C151, BOND!$C$18:$N$18,0)) )</f>
        <v>3.1230000000000002</v>
      </c>
      <c r="R151" s="80">
        <f>IF( INDEX(BOND!$B$2:$CH$13, R$2, MATCH($B$148, BOND!$B$16:$CH$16, 0)+MATCH($C151, BOND!$C$18:$N$18,0) )=0,
"",
INDEX(BOND!$B$2:$CH$13, R$2, MATCH($B$148, BOND!$B$16:$CH$16, 0)+MATCH($C151, BOND!$C$18:$N$18,0)) )</f>
        <v>3.1509999999999998</v>
      </c>
      <c r="S151" s="80">
        <f>IF( INDEX(BOND!$B$2:$CH$13, S$2, MATCH($B$148, BOND!$B$16:$CH$16, 0)+MATCH($C151, BOND!$C$18:$N$18,0) )=0,
"",
INDEX(BOND!$B$2:$CH$13, S$2, MATCH($B$148, BOND!$B$16:$CH$16, 0)+MATCH($C151, BOND!$C$18:$N$18,0)) )</f>
        <v>3.1849166666666657</v>
      </c>
      <c r="T151" s="80">
        <f>IF( INDEX(BOND!$B$2:$CH$13, T$2, MATCH($B$148, BOND!$B$16:$CH$16, 0)+MATCH($C151, BOND!$C$18:$N$18,0) )=0,
"",
INDEX(BOND!$B$2:$CH$13, T$2, MATCH($B$148, BOND!$B$16:$CH$16, 0)+MATCH($C151, BOND!$C$18:$N$18,0)) )</f>
        <v>3.121</v>
      </c>
      <c r="U151" s="80">
        <f>IF( INDEX(BOND!$B$2:$CH$13, U$2, MATCH($B$148, BOND!$B$16:$CH$16, 0)+MATCH($C151, BOND!$C$18:$N$18,0) )=0,
"",
INDEX(BOND!$B$2:$CH$13, U$2, MATCH($B$148, BOND!$B$16:$CH$16, 0)+MATCH($C151, BOND!$C$18:$N$18,0)) )</f>
        <v>3.4460000000000002</v>
      </c>
      <c r="V151" s="80">
        <f>IF( INDEX(BOND!$B$2:$CH$13, V$2, MATCH($B$148, BOND!$B$16:$CH$16, 0)+MATCH($C151, BOND!$C$18:$N$18,0) )=0,
"",
INDEX(BOND!$B$2:$CH$13, V$2, MATCH($B$148, BOND!$B$16:$CH$16, 0)+MATCH($C151, BOND!$C$18:$N$18,0)) )</f>
        <v>3.3489333333333335</v>
      </c>
      <c r="W151" s="80">
        <f>IF( INDEX(BOND!$B$2:$CH$13, W$2, MATCH($B$148, BOND!$B$16:$CH$16, 0)+MATCH($C151, BOND!$C$18:$N$18,0) )=0,
"",
INDEX(BOND!$B$2:$CH$13, W$2, MATCH($B$148, BOND!$B$16:$CH$16, 0)+MATCH($C151, BOND!$C$18:$N$18,0)) )</f>
        <v>3.121</v>
      </c>
      <c r="X151" s="80">
        <f>IF( INDEX(BOND!$B$2:$CH$13, X$2, MATCH($B$148, BOND!$B$16:$CH$16, 0)+MATCH($C151, BOND!$C$18:$N$18,0) )=0,
"",
INDEX(BOND!$B$2:$CH$13, X$2, MATCH($B$148, BOND!$B$16:$CH$16, 0)+MATCH($C151, BOND!$C$18:$N$18,0)) )</f>
        <v>3.5910000000000002</v>
      </c>
      <c r="Y151" s="80">
        <f>IF( INDEX(BOND!$B$2:$CH$13, Y$2, MATCH($B$148, BOND!$B$16:$CH$16, 0)+MATCH($C151, BOND!$C$18:$N$18,0) )=0,
"",
INDEX(BOND!$B$2:$CH$13, Y$2, MATCH($B$148, BOND!$B$16:$CH$16, 0)+MATCH($C151, BOND!$C$18:$N$18,0)) )</f>
        <v>3.5573799999999998</v>
      </c>
      <c r="Z151" s="80">
        <f>IF( INDEX(BOND!$B$2:$CH$13, Z$2, MATCH($B$148, BOND!$B$16:$CH$16, 0)+MATCH($C151, BOND!$C$18:$N$18,0) )=0,
"",
INDEX(BOND!$B$2:$CH$13, Z$2, MATCH($B$148, BOND!$B$16:$CH$16, 0)+MATCH($C151, BOND!$C$18:$N$18,0)) )</f>
        <v>3.121</v>
      </c>
      <c r="AA151" s="80">
        <f>IF( INDEX(BOND!$B$2:$CH$13, AA$2, MATCH($B$148, BOND!$B$16:$CH$16, 0)+MATCH($C151, BOND!$C$18:$N$18,0) )=0,
"",
INDEX(BOND!$B$2:$CH$13, AA$2, MATCH($B$148, BOND!$B$16:$CH$16, 0)+MATCH($C151, BOND!$C$18:$N$18,0)) )</f>
        <v>3.915</v>
      </c>
    </row>
    <row r="152" spans="2:27">
      <c r="D152" s="45"/>
      <c r="E152" s="52" t="s">
        <v>267</v>
      </c>
      <c r="F152" s="81">
        <f>IF(F151=0,"",(F151-AD18)*IF($C$7=1,-1,1))</f>
        <v>0.41950000000000021</v>
      </c>
      <c r="G152" s="82">
        <f>IF(G151=0,"",(G151-AE18)*IF($C$7=1,-1,1))</f>
        <v>0.43849999999999989</v>
      </c>
      <c r="H152" s="82">
        <f>IF(H151=0,"",(H151-AF18)*IF($C$7=1,-1,1))</f>
        <v>0.43499999999999961</v>
      </c>
      <c r="I152" s="82">
        <f>IF(I151=0,"",(I151-AG18)*IF($C$7=1,-1,1))</f>
        <v>0.43450000000000033</v>
      </c>
      <c r="J152" s="82">
        <f>IF(J151=0,"",(J151-AH18)*IF($C$7=1,-1,1))</f>
        <v>0.42899999999999983</v>
      </c>
      <c r="K152" s="82">
        <f>IF(K151=0,"",(K151-AI18)*IF($C$7=1,-1,1))</f>
        <v>0.43399999999999972</v>
      </c>
      <c r="L152" s="82">
        <f>IF(L151=0,"",(L151-AJ18)*IF($C$7=1,-1,1))</f>
        <v>0.43399999999999972</v>
      </c>
      <c r="M152" s="82">
        <f>IF(M151=0,"",(M151-AK18)*IF($C$7=1,-1,1))</f>
        <v>0.43999999999999995</v>
      </c>
      <c r="N152" s="82">
        <f>IF(N151=0,"",(N151-AL18)*IF($C$7=1,-1,1))</f>
        <v>0.4464999999999999</v>
      </c>
      <c r="O152" s="82">
        <f>IF(O151=0,"",(O151-AM18)*IF($C$7=1,-1,1))</f>
        <v>0.45750000000000002</v>
      </c>
      <c r="P152" s="83">
        <f>IF(   P151="", "", (P151 - INDEX(IRS!$B$2:$Y$13, P$2, MATCH($E151,IRS!$B$1:$Y$1, 0)) ) * IF($C$7=1,-1,1)   )</f>
        <v>0.43620000000000081</v>
      </c>
      <c r="Q152" s="84">
        <f>IF(   Q151="", "", (Q151 - INDEX(IRS!$B$2:$Y$13, Q$2, MATCH($E151,IRS!$B$1:$Y$1, 0)) ) * IF($C$7=1,-1,1)   )</f>
        <v>0.45050000000000034</v>
      </c>
      <c r="R152" s="85">
        <f>IF(   R151="", "", (R151 - INDEX(IRS!$B$2:$Y$13, R$2, MATCH($E151,IRS!$B$1:$Y$1, 0)) ) * IF($C$7=1,-1,1)   )</f>
        <v>0.42099999999999982</v>
      </c>
      <c r="S152" s="86">
        <f>IF(   S151="", "", (S151 - INDEX(IRS!$B$2:$Y$13, S$2, MATCH($E151,IRS!$B$1:$Y$1, 0)) ) * IF($C$7=1,-1,1)   )</f>
        <v>0.40449999999999964</v>
      </c>
      <c r="T152" s="84">
        <f>IF(   T151="", "", (T151 - INDEX(IRS!$B$2:$Y$13, T$2, MATCH($E151,IRS!$B$1:$Y$1, 0)) ) * IF($C$7=1,-1,1)   )</f>
        <v>0.44850000000000012</v>
      </c>
      <c r="U152" s="87">
        <f>IF(   U151="", "", (U151 - INDEX(IRS!$B$2:$Y$13, U$2, MATCH($E151,IRS!$B$1:$Y$1, 0)) ) * IF($C$7=1,-1,1)   )</f>
        <v>0.43850000000000033</v>
      </c>
      <c r="V152" s="83">
        <f>IF(   V151="", "", (V151 - INDEX(IRS!$B$2:$Y$13, V$2, MATCH($E151,IRS!$B$1:$Y$1, 0)) ) * IF($C$7=1,-1,1)   )</f>
        <v>0.39566250000000158</v>
      </c>
      <c r="W152" s="84">
        <f>IF(   W151="", "", (W151 - INDEX(IRS!$B$2:$Y$13, W$2, MATCH($E151,IRS!$B$1:$Y$1, 0)) ) * IF($C$7=1,-1,1)   )</f>
        <v>0.44850000000000012</v>
      </c>
      <c r="X152" s="85">
        <f>IF(   X151="", "", (X151 - INDEX(IRS!$B$2:$Y$13, X$2, MATCH($E151,IRS!$B$1:$Y$1, 0)) ) * IF($C$7=1,-1,1)   )</f>
        <v>0.29850000000000021</v>
      </c>
      <c r="Y152" s="83">
        <f>IF(   Y151="", "", (Y151 - INDEX(IRS!$B$2:$Y$13, Y$2, MATCH($E151,IRS!$B$1:$Y$1, 0)) ) * IF($C$7=1,-1,1)   )</f>
        <v>0.34424000000000099</v>
      </c>
      <c r="Z152" s="84">
        <f>IF(   Z151="", "", (Z151 - INDEX(IRS!$B$2:$Y$13, Z$2, MATCH($E151,IRS!$B$1:$Y$1, 0)) ) * IF($C$7=1,-1,1)   )</f>
        <v>0.44850000000000012</v>
      </c>
      <c r="AA152" s="85">
        <f>IF(   AA151="", "", (AA151 - INDEX(IRS!$B$2:$Y$13, AA$2, MATCH($E151,IRS!$B$1:$Y$1, 0)) ) * IF($C$7=1,-1,1)   )</f>
        <v>0.30500000000000016</v>
      </c>
    </row>
    <row r="153" spans="2:27" ht="13.5" customHeight="1">
      <c r="B153" s="6" t="str">
        <f>_xll.IMDH("IR", $B$148,$C153,$O$9,$F$9,10,"Per=일, sort=D, real=true, Bizday=0, Quote=종가,Pos=40,Orient=H,DtFmt=1.TmFmt=1")</f>
        <v>조회[BONDAVG12]</v>
      </c>
      <c r="C153" s="6" t="s">
        <v>299</v>
      </c>
      <c r="D153" s="45"/>
      <c r="E153" s="51" t="s">
        <v>251</v>
      </c>
      <c r="F153" s="88">
        <v>3.1429999999999998</v>
      </c>
      <c r="G153" s="89">
        <v>3.149</v>
      </c>
      <c r="H153" s="89">
        <v>3.13</v>
      </c>
      <c r="I153" s="89">
        <v>3.1219999999999999</v>
      </c>
      <c r="J153" s="89">
        <v>3.1259999999999999</v>
      </c>
      <c r="K153" s="89">
        <v>3.125</v>
      </c>
      <c r="L153" s="89">
        <v>3.1259999999999999</v>
      </c>
      <c r="M153" s="89">
        <v>3.1309999999999998</v>
      </c>
      <c r="N153" s="89">
        <v>3.1269999999999998</v>
      </c>
      <c r="O153" s="89">
        <v>3.117</v>
      </c>
      <c r="P153" s="80">
        <f>IF( INDEX(BOND!$B$2:$CH$13, P$2, MATCH($B$148, BOND!$B$16:$CH$16, 0)+MATCH($C153, BOND!$C$18:$N$18,0) )=0,
"",
INDEX(BOND!$B$2:$CH$13, P$2, MATCH($B$148, BOND!$B$16:$CH$16, 0)+MATCH($C153, BOND!$C$18:$N$18,0)) )</f>
        <v>3.1245500000000002</v>
      </c>
      <c r="Q153" s="80">
        <f>IF( INDEX(BOND!$B$2:$CH$13, Q$2, MATCH($B$148, BOND!$B$16:$CH$16, 0)+MATCH($C153, BOND!$C$18:$N$18,0) )=0,
"",
INDEX(BOND!$B$2:$CH$13, Q$2, MATCH($B$148, BOND!$B$16:$CH$16, 0)+MATCH($C153, BOND!$C$18:$N$18,0)) )</f>
        <v>3.101</v>
      </c>
      <c r="R153" s="80">
        <f>IF( INDEX(BOND!$B$2:$CH$13, R$2, MATCH($B$148, BOND!$B$16:$CH$16, 0)+MATCH($C153, BOND!$C$18:$N$18,0) )=0,
"",
INDEX(BOND!$B$2:$CH$13, R$2, MATCH($B$148, BOND!$B$16:$CH$16, 0)+MATCH($C153, BOND!$C$18:$N$18,0)) )</f>
        <v>3.149</v>
      </c>
      <c r="S153" s="80">
        <f>IF( INDEX(BOND!$B$2:$CH$13, S$2, MATCH($B$148, BOND!$B$16:$CH$16, 0)+MATCH($C153, BOND!$C$18:$N$18,0) )=0,
"",
INDEX(BOND!$B$2:$CH$13, S$2, MATCH($B$148, BOND!$B$16:$CH$16, 0)+MATCH($C153, BOND!$C$18:$N$18,0)) )</f>
        <v>3.1513166666666668</v>
      </c>
      <c r="T153" s="80">
        <f>IF( INDEX(BOND!$B$2:$CH$13, T$2, MATCH($B$148, BOND!$B$16:$CH$16, 0)+MATCH($C153, BOND!$C$18:$N$18,0) )=0,
"",
INDEX(BOND!$B$2:$CH$13, T$2, MATCH($B$148, BOND!$B$16:$CH$16, 0)+MATCH($C153, BOND!$C$18:$N$18,0)) )</f>
        <v>3.085</v>
      </c>
      <c r="U153" s="80">
        <f>IF( INDEX(BOND!$B$2:$CH$13, U$2, MATCH($B$148, BOND!$B$16:$CH$16, 0)+MATCH($C153, BOND!$C$18:$N$18,0) )=0,
"",
INDEX(BOND!$B$2:$CH$13, U$2, MATCH($B$148, BOND!$B$16:$CH$16, 0)+MATCH($C153, BOND!$C$18:$N$18,0)) )</f>
        <v>3.35</v>
      </c>
      <c r="V153" s="80">
        <f>IF( INDEX(BOND!$B$2:$CH$13, V$2, MATCH($B$148, BOND!$B$16:$CH$16, 0)+MATCH($C153, BOND!$C$18:$N$18,0) )=0,
"",
INDEX(BOND!$B$2:$CH$13, V$2, MATCH($B$148, BOND!$B$16:$CH$16, 0)+MATCH($C153, BOND!$C$18:$N$18,0)) )</f>
        <v>3.3029999999999999</v>
      </c>
      <c r="W153" s="80">
        <f>IF( INDEX(BOND!$B$2:$CH$13, W$2, MATCH($B$148, BOND!$B$16:$CH$16, 0)+MATCH($C153, BOND!$C$18:$N$18,0) )=0,
"",
INDEX(BOND!$B$2:$CH$13, W$2, MATCH($B$148, BOND!$B$16:$CH$16, 0)+MATCH($C153, BOND!$C$18:$N$18,0)) )</f>
        <v>3.085</v>
      </c>
      <c r="X153" s="80">
        <f>IF( INDEX(BOND!$B$2:$CH$13, X$2, MATCH($B$148, BOND!$B$16:$CH$16, 0)+MATCH($C153, BOND!$C$18:$N$18,0) )=0,
"",
INDEX(BOND!$B$2:$CH$13, X$2, MATCH($B$148, BOND!$B$16:$CH$16, 0)+MATCH($C153, BOND!$C$18:$N$18,0)) )</f>
        <v>3.5430000000000001</v>
      </c>
      <c r="Y153" s="80">
        <f>IF( INDEX(BOND!$B$2:$CH$13, Y$2, MATCH($B$148, BOND!$B$16:$CH$16, 0)+MATCH($C153, BOND!$C$18:$N$18,0) )=0,
"",
INDEX(BOND!$B$2:$CH$13, Y$2, MATCH($B$148, BOND!$B$16:$CH$16, 0)+MATCH($C153, BOND!$C$18:$N$18,0)) )</f>
        <v>3.5450280000000021</v>
      </c>
      <c r="Z153" s="80">
        <f>IF( INDEX(BOND!$B$2:$CH$13, Z$2, MATCH($B$148, BOND!$B$16:$CH$16, 0)+MATCH($C153, BOND!$C$18:$N$18,0) )=0,
"",
INDEX(BOND!$B$2:$CH$13, Z$2, MATCH($B$148, BOND!$B$16:$CH$16, 0)+MATCH($C153, BOND!$C$18:$N$18,0)) )</f>
        <v>3.085</v>
      </c>
      <c r="AA153" s="80">
        <f>IF( INDEX(BOND!$B$2:$CH$13, AA$2, MATCH($B$148, BOND!$B$16:$CH$16, 0)+MATCH($C153, BOND!$C$18:$N$18,0) )=0,
"",
INDEX(BOND!$B$2:$CH$13, AA$2, MATCH($B$148, BOND!$B$16:$CH$16, 0)+MATCH($C153, BOND!$C$18:$N$18,0)) )</f>
        <v>3.9750000000000001</v>
      </c>
    </row>
    <row r="154" spans="2:27">
      <c r="D154" s="45"/>
      <c r="E154" s="52" t="s">
        <v>267</v>
      </c>
      <c r="F154" s="81">
        <f>IF(F153=0,"",(F153-AD20)*IF($C$7=1,-1,1))</f>
        <v>0.46299999999999963</v>
      </c>
      <c r="G154" s="82">
        <f>IF(G153=0,"",(G153-AE20)*IF($C$7=1,-1,1))</f>
        <v>0.48399999999999999</v>
      </c>
      <c r="H154" s="82">
        <f>IF(H153=0,"",(H153-AF20)*IF($C$7=1,-1,1))</f>
        <v>0.4674999999999998</v>
      </c>
      <c r="I154" s="82">
        <f>IF(I153=0,"",(I153-AG20)*IF($C$7=1,-1,1))</f>
        <v>0.46199999999999974</v>
      </c>
      <c r="J154" s="82">
        <f>IF(J153=0,"",(J153-AH20)*IF($C$7=1,-1,1))</f>
        <v>0.45849999999999991</v>
      </c>
      <c r="K154" s="82">
        <f>IF(K153=0,"",(K153-AI20)*IF($C$7=1,-1,1))</f>
        <v>0.46499999999999986</v>
      </c>
      <c r="L154" s="82">
        <f>IF(L153=0,"",(L153-AJ20)*IF($C$7=1,-1,1))</f>
        <v>0.46599999999999975</v>
      </c>
      <c r="M154" s="82">
        <f>IF(M153=0,"",(M153-AK20)*IF($C$7=1,-1,1))</f>
        <v>0.47849999999999993</v>
      </c>
      <c r="N154" s="82">
        <f>IF(N153=0,"",(N153-AL20)*IF($C$7=1,-1,1))</f>
        <v>0.48449999999999971</v>
      </c>
      <c r="O154" s="82">
        <f>IF(O153=0,"",(O153-AM20)*IF($C$7=1,-1,1))</f>
        <v>0.49199999999999999</v>
      </c>
      <c r="P154" s="83">
        <f>IF(   P153="", "", (P153 - INDEX(IRS!$B$2:$Y$13, P$2, MATCH($E153,IRS!$B$1:$Y$1, 0)) ) * IF($C$7=1,-1,1)   )</f>
        <v>0.4718</v>
      </c>
      <c r="Q154" s="84">
        <f>IF(   Q153="", "", (Q153 - INDEX(IRS!$B$2:$Y$13, Q$2, MATCH($E153,IRS!$B$1:$Y$1, 0)) ) * IF($C$7=1,-1,1)   )</f>
        <v>0.47599999999999998</v>
      </c>
      <c r="R154" s="85">
        <f>IF(   R153="", "", (R153 - INDEX(IRS!$B$2:$Y$13, R$2, MATCH($E153,IRS!$B$1:$Y$1, 0)) ) * IF($C$7=1,-1,1)   )</f>
        <v>0.46899999999999986</v>
      </c>
      <c r="S154" s="86">
        <f>IF(   S153="", "", (S153 - INDEX(IRS!$B$2:$Y$13, S$2, MATCH($E153,IRS!$B$1:$Y$1, 0)) ) * IF($C$7=1,-1,1)   )</f>
        <v>0.43756666666666666</v>
      </c>
      <c r="T154" s="84">
        <f>IF(   T153="", "", (T153 - INDEX(IRS!$B$2:$Y$13, T$2, MATCH($E153,IRS!$B$1:$Y$1, 0)) ) * IF($C$7=1,-1,1)   )</f>
        <v>0.45999999999999996</v>
      </c>
      <c r="U154" s="87">
        <f>IF(   U153="", "", (U153 - INDEX(IRS!$B$2:$Y$13, U$2, MATCH($E153,IRS!$B$1:$Y$1, 0)) ) * IF($C$7=1,-1,1)   )</f>
        <v>0.47250000000000014</v>
      </c>
      <c r="V154" s="83">
        <f>IF(   V153="", "", (V153 - INDEX(IRS!$B$2:$Y$13, V$2, MATCH($E153,IRS!$B$1:$Y$1, 0)) ) * IF($C$7=1,-1,1)   )</f>
        <v>0.43222916666666755</v>
      </c>
      <c r="W154" s="84">
        <f>IF(   W153="", "", (W153 - INDEX(IRS!$B$2:$Y$13, W$2, MATCH($E153,IRS!$B$1:$Y$1, 0)) ) * IF($C$7=1,-1,1)   )</f>
        <v>0.45999999999999996</v>
      </c>
      <c r="X154" s="85">
        <f>IF(   X153="", "", (X153 - INDEX(IRS!$B$2:$Y$13, X$2, MATCH($E153,IRS!$B$1:$Y$1, 0)) ) * IF($C$7=1,-1,1)   )</f>
        <v>0.34550000000000036</v>
      </c>
      <c r="Y154" s="83">
        <f>IF(   Y153="", "", (Y153 - INDEX(IRS!$B$2:$Y$13, Y$2, MATCH($E153,IRS!$B$1:$Y$1, 0)) ) * IF($C$7=1,-1,1)   )</f>
        <v>0.40235800000000088</v>
      </c>
      <c r="Z154" s="84">
        <f>IF(   Z153="", "", (Z153 - INDEX(IRS!$B$2:$Y$13, Z$2, MATCH($E153,IRS!$B$1:$Y$1, 0)) ) * IF($C$7=1,-1,1)   )</f>
        <v>0.45999999999999996</v>
      </c>
      <c r="AA154" s="85">
        <f>IF(   AA153="", "", (AA153 - INDEX(IRS!$B$2:$Y$13, AA$2, MATCH($E153,IRS!$B$1:$Y$1, 0)) ) * IF($C$7=1,-1,1)   )</f>
        <v>0.35499999999999998</v>
      </c>
    </row>
    <row r="155" spans="2:27" ht="13.5" customHeight="1">
      <c r="B155" s="6" t="str">
        <f>_xll.IMDH("IR", $B$148,$C155,$O$9,$F$9,10,"Per=일, sort=D, real=true, Bizday=0, Quote=종가,Pos=40,Orient=H,DtFmt=1.TmFmt=1")</f>
        <v>조회[BONDAVG12]</v>
      </c>
      <c r="C155" s="6" t="s">
        <v>300</v>
      </c>
      <c r="D155" s="45"/>
      <c r="E155" s="51" t="s">
        <v>260</v>
      </c>
      <c r="F155" s="88">
        <v>3.1880000000000002</v>
      </c>
      <c r="G155" s="89">
        <v>3.1859999999999999</v>
      </c>
      <c r="H155" s="89">
        <v>3.1749999999999998</v>
      </c>
      <c r="I155" s="89">
        <v>3.17</v>
      </c>
      <c r="J155" s="89">
        <v>3.1749999999999998</v>
      </c>
      <c r="K155" s="89">
        <v>3.1640000000000001</v>
      </c>
      <c r="L155" s="89">
        <v>3.165</v>
      </c>
      <c r="M155" s="89">
        <v>3.1640000000000001</v>
      </c>
      <c r="N155" s="89">
        <v>3.157</v>
      </c>
      <c r="O155" s="89">
        <v>3.145</v>
      </c>
      <c r="P155" s="80">
        <f>IF( INDEX(BOND!$B$2:$CH$13, P$2, MATCH($B$148, BOND!$B$16:$CH$16, 0)+MATCH($C155, BOND!$C$18:$N$18,0) )=0,
"",
INDEX(BOND!$B$2:$CH$13, P$2, MATCH($B$148, BOND!$B$16:$CH$16, 0)+MATCH($C155, BOND!$C$18:$N$18,0)) )</f>
        <v>3.1589999999999998</v>
      </c>
      <c r="Q155" s="80">
        <f>IF( INDEX(BOND!$B$2:$CH$13, Q$2, MATCH($B$148, BOND!$B$16:$CH$16, 0)+MATCH($C155, BOND!$C$18:$N$18,0) )=0,
"",
INDEX(BOND!$B$2:$CH$13, Q$2, MATCH($B$148, BOND!$B$16:$CH$16, 0)+MATCH($C155, BOND!$C$18:$N$18,0)) )</f>
        <v>3.1309999999999998</v>
      </c>
      <c r="R155" s="80">
        <f>IF( INDEX(BOND!$B$2:$CH$13, R$2, MATCH($B$148, BOND!$B$16:$CH$16, 0)+MATCH($C155, BOND!$C$18:$N$18,0) )=0,
"",
INDEX(BOND!$B$2:$CH$13, R$2, MATCH($B$148, BOND!$B$16:$CH$16, 0)+MATCH($C155, BOND!$C$18:$N$18,0)) )</f>
        <v>3.1880000000000002</v>
      </c>
      <c r="S155" s="80">
        <f>IF( INDEX(BOND!$B$2:$CH$13, S$2, MATCH($B$148, BOND!$B$16:$CH$16, 0)+MATCH($C155, BOND!$C$18:$N$18,0) )=0,
"",
INDEX(BOND!$B$2:$CH$13, S$2, MATCH($B$148, BOND!$B$16:$CH$16, 0)+MATCH($C155, BOND!$C$18:$N$18,0)) )</f>
        <v>3.1828000000000003</v>
      </c>
      <c r="T155" s="80">
        <f>IF( INDEX(BOND!$B$2:$CH$13, T$2, MATCH($B$148, BOND!$B$16:$CH$16, 0)+MATCH($C155, BOND!$C$18:$N$18,0) )=0,
"",
INDEX(BOND!$B$2:$CH$13, T$2, MATCH($B$148, BOND!$B$16:$CH$16, 0)+MATCH($C155, BOND!$C$18:$N$18,0)) )</f>
        <v>3.12</v>
      </c>
      <c r="U155" s="80">
        <f>IF( INDEX(BOND!$B$2:$CH$13, U$2, MATCH($B$148, BOND!$B$16:$CH$16, 0)+MATCH($C155, BOND!$C$18:$N$18,0) )=0,
"",
INDEX(BOND!$B$2:$CH$13, U$2, MATCH($B$148, BOND!$B$16:$CH$16, 0)+MATCH($C155, BOND!$C$18:$N$18,0)) )</f>
        <v>3.3519999999999999</v>
      </c>
      <c r="V155" s="80">
        <f>IF( INDEX(BOND!$B$2:$CH$13, V$2, MATCH($B$148, BOND!$B$16:$CH$16, 0)+MATCH($C155, BOND!$C$18:$N$18,0) )=0,
"",
INDEX(BOND!$B$2:$CH$13, V$2, MATCH($B$148, BOND!$B$16:$CH$16, 0)+MATCH($C155, BOND!$C$18:$N$18,0)) )</f>
        <v>3.3243083333333336</v>
      </c>
      <c r="W155" s="80">
        <f>IF( INDEX(BOND!$B$2:$CH$13, W$2, MATCH($B$148, BOND!$B$16:$CH$16, 0)+MATCH($C155, BOND!$C$18:$N$18,0) )=0,
"",
INDEX(BOND!$B$2:$CH$13, W$2, MATCH($B$148, BOND!$B$16:$CH$16, 0)+MATCH($C155, BOND!$C$18:$N$18,0)) )</f>
        <v>3.12</v>
      </c>
      <c r="X155" s="80">
        <f>IF( INDEX(BOND!$B$2:$CH$13, X$2, MATCH($B$148, BOND!$B$16:$CH$16, 0)+MATCH($C155, BOND!$C$18:$N$18,0) )=0,
"",
INDEX(BOND!$B$2:$CH$13, X$2, MATCH($B$148, BOND!$B$16:$CH$16, 0)+MATCH($C155, BOND!$C$18:$N$18,0)) )</f>
        <v>3.5950000000000002</v>
      </c>
      <c r="Y155" s="80">
        <f>IF( INDEX(BOND!$B$2:$CH$13, Y$2, MATCH($B$148, BOND!$B$16:$CH$16, 0)+MATCH($C155, BOND!$C$18:$N$18,0) )=0,
"",
INDEX(BOND!$B$2:$CH$13, Y$2, MATCH($B$148, BOND!$B$16:$CH$16, 0)+MATCH($C155, BOND!$C$18:$N$18,0)) )</f>
        <v>3.5538480000000008</v>
      </c>
      <c r="Z155" s="80">
        <f>IF( INDEX(BOND!$B$2:$CH$13, Z$2, MATCH($B$148, BOND!$B$16:$CH$16, 0)+MATCH($C155, BOND!$C$18:$N$18,0) )=0,
"",
INDEX(BOND!$B$2:$CH$13, Z$2, MATCH($B$148, BOND!$B$16:$CH$16, 0)+MATCH($C155, BOND!$C$18:$N$18,0)) )</f>
        <v>3.12</v>
      </c>
      <c r="AA155" s="80">
        <f>IF( INDEX(BOND!$B$2:$CH$13, AA$2, MATCH($B$148, BOND!$B$16:$CH$16, 0)+MATCH($C155, BOND!$C$18:$N$18,0) )=0,
"",
INDEX(BOND!$B$2:$CH$13, AA$2, MATCH($B$148, BOND!$B$16:$CH$16, 0)+MATCH($C155, BOND!$C$18:$N$18,0)) )</f>
        <v>4.0190000000000001</v>
      </c>
    </row>
    <row r="156" spans="2:27">
      <c r="D156" s="45"/>
      <c r="E156" s="52" t="s">
        <v>267</v>
      </c>
      <c r="F156" s="81">
        <f>IF(F155=0,"",(F155-AD22)*IF($C$7=1,-1,1))</f>
        <v>0.55300000000000038</v>
      </c>
      <c r="G156" s="82">
        <f>IF(G155=0,"",(G155-AE22)*IF($C$7=1,-1,1))</f>
        <v>0.56349999999999989</v>
      </c>
      <c r="H156" s="82">
        <f>IF(H155=0,"",(H155-AF22)*IF($C$7=1,-1,1))</f>
        <v>0.55999999999999961</v>
      </c>
      <c r="I156" s="82">
        <f>IF(I155=0,"",(I155-AG22)*IF($C$7=1,-1,1))</f>
        <v>0.56000000000000005</v>
      </c>
      <c r="J156" s="82">
        <f>IF(J155=0,"",(J155-AH22)*IF($C$7=1,-1,1))</f>
        <v>0.55499999999999972</v>
      </c>
      <c r="K156" s="82">
        <f>IF(K155=0,"",(K155-AI22)*IF($C$7=1,-1,1))</f>
        <v>0.55400000000000027</v>
      </c>
      <c r="L156" s="82">
        <f>IF(L155=0,"",(L155-AJ22)*IF($C$7=1,-1,1))</f>
        <v>0.55500000000000016</v>
      </c>
      <c r="M156" s="82">
        <f>IF(M155=0,"",(M155-AK22)*IF($C$7=1,-1,1))</f>
        <v>0.55900000000000016</v>
      </c>
      <c r="N156" s="82">
        <f>IF(N155=0,"",(N155-AL22)*IF($C$7=1,-1,1))</f>
        <v>0.56700000000000017</v>
      </c>
      <c r="O156" s="82">
        <f>IF(O155=0,"",(O155-AM22)*IF($C$7=1,-1,1))</f>
        <v>0.57250000000000023</v>
      </c>
      <c r="P156" s="83">
        <f>IF(   P155="", "", (P155 - INDEX(IRS!$B$2:$Y$13, P$2, MATCH($E155,IRS!$B$1:$Y$1, 0)) ) * IF($C$7=1,-1,1)   )</f>
        <v>0.55225000000000035</v>
      </c>
      <c r="Q156" s="84">
        <f>IF(   Q155="", "", (Q155 - INDEX(IRS!$B$2:$Y$13, Q$2, MATCH($E155,IRS!$B$1:$Y$1, 0)) ) * IF($C$7=1,-1,1)   )</f>
        <v>0.5585</v>
      </c>
      <c r="R156" s="85">
        <f>IF(   R155="", "", (R155 - INDEX(IRS!$B$2:$Y$13, R$2, MATCH($E155,IRS!$B$1:$Y$1, 0)) ) * IF($C$7=1,-1,1)   )</f>
        <v>0.55300000000000038</v>
      </c>
      <c r="S156" s="86">
        <f>IF(   S155="", "", (S155 - INDEX(IRS!$B$2:$Y$13, S$2, MATCH($E155,IRS!$B$1:$Y$1, 0)) ) * IF($C$7=1,-1,1)   )</f>
        <v>0.52580000000000116</v>
      </c>
      <c r="T156" s="84">
        <f>IF(   T155="", "", (T155 - INDEX(IRS!$B$2:$Y$13, T$2, MATCH($E155,IRS!$B$1:$Y$1, 0)) ) * IF($C$7=1,-1,1)   )</f>
        <v>0.54750000000000032</v>
      </c>
      <c r="U156" s="87">
        <f>IF(   U155="", "", (U155 - INDEX(IRS!$B$2:$Y$13, U$2, MATCH($E155,IRS!$B$1:$Y$1, 0)) ) * IF($C$7=1,-1,1)   )</f>
        <v>0.54949999999999966</v>
      </c>
      <c r="V156" s="83">
        <f>IF(   V155="", "", (V155 - INDEX(IRS!$B$2:$Y$13, V$2, MATCH($E155,IRS!$B$1:$Y$1, 0)) ) * IF($C$7=1,-1,1)   )</f>
        <v>0.53370416666666731</v>
      </c>
      <c r="W156" s="84">
        <f>IF(   W155="", "", (W155 - INDEX(IRS!$B$2:$Y$13, W$2, MATCH($E155,IRS!$B$1:$Y$1, 0)) ) * IF($C$7=1,-1,1)   )</f>
        <v>0.54750000000000032</v>
      </c>
      <c r="X156" s="85">
        <f>IF(   X155="", "", (X155 - INDEX(IRS!$B$2:$Y$13, X$2, MATCH($E155,IRS!$B$1:$Y$1, 0)) ) * IF($C$7=1,-1,1)   )</f>
        <v>0.49500000000000011</v>
      </c>
      <c r="Y156" s="83">
        <f>IF(   Y155="", "", (Y155 - INDEX(IRS!$B$2:$Y$13, Y$2, MATCH($E155,IRS!$B$1:$Y$1, 0)) ) * IF($C$7=1,-1,1)   )</f>
        <v>0.49201799999999984</v>
      </c>
      <c r="Z156" s="84">
        <f>IF(   Z155="", "", (Z155 - INDEX(IRS!$B$2:$Y$13, Z$2, MATCH($E155,IRS!$B$1:$Y$1, 0)) ) * IF($C$7=1,-1,1)   )</f>
        <v>0.54750000000000032</v>
      </c>
      <c r="AA156" s="85">
        <f>IF(   AA155="", "", (AA155 - INDEX(IRS!$B$2:$Y$13, AA$2, MATCH($E155,IRS!$B$1:$Y$1, 0)) ) * IF($C$7=1,-1,1)   )</f>
        <v>0.41900000000000004</v>
      </c>
    </row>
    <row r="157" spans="2:27" ht="13.5" customHeight="1">
      <c r="B157" s="6" t="str">
        <f>_xll.IMDH("IR", $B$148,$C157,$O$9,$F$9,10,"Per=일, sort=D, real=true, Bizday=0, Quote=종가,Pos=40,Orient=H,DtFmt=1.TmFmt=1")</f>
        <v>조회[BONDAVG12]</v>
      </c>
      <c r="C157" s="6" t="s">
        <v>301</v>
      </c>
      <c r="D157" s="45"/>
      <c r="E157" s="51" t="s">
        <v>253</v>
      </c>
      <c r="F157" s="88">
        <v>3.2130000000000001</v>
      </c>
      <c r="G157" s="89">
        <v>3.2040000000000002</v>
      </c>
      <c r="H157" s="89">
        <v>3.202</v>
      </c>
      <c r="I157" s="89">
        <v>3.1930000000000001</v>
      </c>
      <c r="J157" s="89">
        <v>3.1960000000000002</v>
      </c>
      <c r="K157" s="89">
        <v>3.1829999999999998</v>
      </c>
      <c r="L157" s="89">
        <v>3.1829999999999998</v>
      </c>
      <c r="M157" s="89">
        <v>3.181</v>
      </c>
      <c r="N157" s="89">
        <v>3.1680000000000001</v>
      </c>
      <c r="O157" s="89">
        <v>3.157</v>
      </c>
      <c r="P157" s="80">
        <f>IF( INDEX(BOND!$B$2:$CH$13, P$2, MATCH($B$148, BOND!$B$16:$CH$16, 0)+MATCH($C157, BOND!$C$18:$N$18,0) )=0,
"",
INDEX(BOND!$B$2:$CH$13, P$2, MATCH($B$148, BOND!$B$16:$CH$16, 0)+MATCH($C157, BOND!$C$18:$N$18,0)) )</f>
        <v>3.1849000000000003</v>
      </c>
      <c r="Q157" s="80">
        <f>IF( INDEX(BOND!$B$2:$CH$13, Q$2, MATCH($B$148, BOND!$B$16:$CH$16, 0)+MATCH($C157, BOND!$C$18:$N$18,0) )=0,
"",
INDEX(BOND!$B$2:$CH$13, Q$2, MATCH($B$148, BOND!$B$16:$CH$16, 0)+MATCH($C157, BOND!$C$18:$N$18,0)) )</f>
        <v>3.157</v>
      </c>
      <c r="R157" s="80">
        <f>IF( INDEX(BOND!$B$2:$CH$13, R$2, MATCH($B$148, BOND!$B$16:$CH$16, 0)+MATCH($C157, BOND!$C$18:$N$18,0) )=0,
"",
INDEX(BOND!$B$2:$CH$13, R$2, MATCH($B$148, BOND!$B$16:$CH$16, 0)+MATCH($C157, BOND!$C$18:$N$18,0)) )</f>
        <v>3.2130000000000001</v>
      </c>
      <c r="S157" s="80">
        <f>IF( INDEX(BOND!$B$2:$CH$13, S$2, MATCH($B$148, BOND!$B$16:$CH$16, 0)+MATCH($C157, BOND!$C$18:$N$18,0) )=0,
"",
INDEX(BOND!$B$2:$CH$13, S$2, MATCH($B$148, BOND!$B$16:$CH$16, 0)+MATCH($C157, BOND!$C$18:$N$18,0)) )</f>
        <v>3.2203666666666662</v>
      </c>
      <c r="T157" s="80">
        <f>IF( INDEX(BOND!$B$2:$CH$13, T$2, MATCH($B$148, BOND!$B$16:$CH$16, 0)+MATCH($C157, BOND!$C$18:$N$18,0) )=0,
"",
INDEX(BOND!$B$2:$CH$13, T$2, MATCH($B$148, BOND!$B$16:$CH$16, 0)+MATCH($C157, BOND!$C$18:$N$18,0)) )</f>
        <v>3.1549999999999998</v>
      </c>
      <c r="U157" s="80">
        <f>IF( INDEX(BOND!$B$2:$CH$13, U$2, MATCH($B$148, BOND!$B$16:$CH$16, 0)+MATCH($C157, BOND!$C$18:$N$18,0) )=0,
"",
INDEX(BOND!$B$2:$CH$13, U$2, MATCH($B$148, BOND!$B$16:$CH$16, 0)+MATCH($C157, BOND!$C$18:$N$18,0)) )</f>
        <v>3.419</v>
      </c>
      <c r="V157" s="80">
        <f>IF( INDEX(BOND!$B$2:$CH$13, V$2, MATCH($B$148, BOND!$B$16:$CH$16, 0)+MATCH($C157, BOND!$C$18:$N$18,0) )=0,
"",
INDEX(BOND!$B$2:$CH$13, V$2, MATCH($B$148, BOND!$B$16:$CH$16, 0)+MATCH($C157, BOND!$C$18:$N$18,0)) )</f>
        <v>3.3525</v>
      </c>
      <c r="W157" s="80">
        <f>IF( INDEX(BOND!$B$2:$CH$13, W$2, MATCH($B$148, BOND!$B$16:$CH$16, 0)+MATCH($C157, BOND!$C$18:$N$18,0) )=0,
"",
INDEX(BOND!$B$2:$CH$13, W$2, MATCH($B$148, BOND!$B$16:$CH$16, 0)+MATCH($C157, BOND!$C$18:$N$18,0)) )</f>
        <v>3.1549999999999998</v>
      </c>
      <c r="X157" s="80">
        <f>IF( INDEX(BOND!$B$2:$CH$13, X$2, MATCH($B$148, BOND!$B$16:$CH$16, 0)+MATCH($C157, BOND!$C$18:$N$18,0) )=0,
"",
INDEX(BOND!$B$2:$CH$13, X$2, MATCH($B$148, BOND!$B$16:$CH$16, 0)+MATCH($C157, BOND!$C$18:$N$18,0)) )</f>
        <v>3.6179999999999999</v>
      </c>
      <c r="Y157" s="80">
        <f>IF( INDEX(BOND!$B$2:$CH$13, Y$2, MATCH($B$148, BOND!$B$16:$CH$16, 0)+MATCH($C157, BOND!$C$18:$N$18,0) )=0,
"",
INDEX(BOND!$B$2:$CH$13, Y$2, MATCH($B$148, BOND!$B$16:$CH$16, 0)+MATCH($C157, BOND!$C$18:$N$18,0)) )</f>
        <v>3.5697960000000002</v>
      </c>
      <c r="Z157" s="80">
        <f>IF( INDEX(BOND!$B$2:$CH$13, Z$2, MATCH($B$148, BOND!$B$16:$CH$16, 0)+MATCH($C157, BOND!$C$18:$N$18,0) )=0,
"",
INDEX(BOND!$B$2:$CH$13, Z$2, MATCH($B$148, BOND!$B$16:$CH$16, 0)+MATCH($C157, BOND!$C$18:$N$18,0)) )</f>
        <v>3.1549999999999998</v>
      </c>
      <c r="AA157" s="80">
        <f>IF( INDEX(BOND!$B$2:$CH$13, AA$2, MATCH($B$148, BOND!$B$16:$CH$16, 0)+MATCH($C157, BOND!$C$18:$N$18,0) )=0,
"",
INDEX(BOND!$B$2:$CH$13, AA$2, MATCH($B$148, BOND!$B$16:$CH$16, 0)+MATCH($C157, BOND!$C$18:$N$18,0)) )</f>
        <v>4.0579999999999998</v>
      </c>
    </row>
    <row r="158" spans="2:27">
      <c r="D158" s="45"/>
      <c r="E158" s="52" t="s">
        <v>267</v>
      </c>
      <c r="F158" s="81">
        <f>IF(F157=0,"",(F157-AD24)*IF($C$7=1,-1,1))</f>
        <v>0.6030000000000002</v>
      </c>
      <c r="G158" s="82">
        <f>IF(G157=0,"",(G157-AE24)*IF($C$7=1,-1,1))</f>
        <v>0.60650000000000004</v>
      </c>
      <c r="H158" s="82">
        <f>IF(H157=0,"",(H157-AF24)*IF($C$7=1,-1,1))</f>
        <v>0.61450000000000005</v>
      </c>
      <c r="I158" s="82">
        <f>IF(I157=0,"",(I157-AG24)*IF($C$7=1,-1,1))</f>
        <v>0.61549999999999994</v>
      </c>
      <c r="J158" s="82">
        <f>IF(J157=0,"",(J157-AH24)*IF($C$7=1,-1,1))</f>
        <v>0.61100000000000021</v>
      </c>
      <c r="K158" s="82">
        <f>IF(K157=0,"",(K157-AI24)*IF($C$7=1,-1,1))</f>
        <v>0.61299999999999999</v>
      </c>
      <c r="L158" s="82">
        <f>IF(L157=0,"",(L157-AJ24)*IF($C$7=1,-1,1))</f>
        <v>0.61299999999999999</v>
      </c>
      <c r="M158" s="82">
        <f>IF(M157=0,"",(M157-AK24)*IF($C$7=1,-1,1))</f>
        <v>0.61350000000000016</v>
      </c>
      <c r="N158" s="82">
        <f>IF(N157=0,"",(N157-AL24)*IF($C$7=1,-1,1))</f>
        <v>0.62050000000000027</v>
      </c>
      <c r="O158" s="82">
        <f>IF(O157=0,"",(O157-AM24)*IF($C$7=1,-1,1))</f>
        <v>0.62700000000000022</v>
      </c>
      <c r="P158" s="83">
        <f>IF(   P157="", "", (P157 - INDEX(IRS!$B$2:$Y$13, P$2, MATCH($E157,IRS!$B$1:$Y$1, 0)) ) * IF($C$7=1,-1,1)   )</f>
        <v>0.61040000000000028</v>
      </c>
      <c r="Q158" s="84">
        <f>IF(   Q157="", "", (Q157 - INDEX(IRS!$B$2:$Y$13, Q$2, MATCH($E157,IRS!$B$1:$Y$1, 0)) ) * IF($C$7=1,-1,1)   )</f>
        <v>0.62700000000000022</v>
      </c>
      <c r="R158" s="85">
        <f>IF(   R157="", "", (R157 - INDEX(IRS!$B$2:$Y$13, R$2, MATCH($E157,IRS!$B$1:$Y$1, 0)) ) * IF($C$7=1,-1,1)   )</f>
        <v>0.6030000000000002</v>
      </c>
      <c r="S158" s="86">
        <f>IF(   S157="", "", (S157 - INDEX(IRS!$B$2:$Y$13, S$2, MATCH($E157,IRS!$B$1:$Y$1, 0)) ) * IF($C$7=1,-1,1)   )</f>
        <v>0.59465833333333284</v>
      </c>
      <c r="T158" s="84">
        <f>IF(   T157="", "", (T157 - INDEX(IRS!$B$2:$Y$13, T$2, MATCH($E157,IRS!$B$1:$Y$1, 0)) ) * IF($C$7=1,-1,1)   )</f>
        <v>0.625</v>
      </c>
      <c r="U158" s="87">
        <f>IF(   U157="", "", (U157 - INDEX(IRS!$B$2:$Y$13, U$2, MATCH($E157,IRS!$B$1:$Y$1, 0)) ) * IF($C$7=1,-1,1)   )</f>
        <v>0.64400000000000013</v>
      </c>
      <c r="V158" s="83">
        <f>IF(   V157="", "", (V157 - INDEX(IRS!$B$2:$Y$13, V$2, MATCH($E157,IRS!$B$1:$Y$1, 0)) ) * IF($C$7=1,-1,1)   )</f>
        <v>0.60381250000000053</v>
      </c>
      <c r="W158" s="84">
        <f>IF(   W157="", "", (W157 - INDEX(IRS!$B$2:$Y$13, W$2, MATCH($E157,IRS!$B$1:$Y$1, 0)) ) * IF($C$7=1,-1,1)   )</f>
        <v>0.625</v>
      </c>
      <c r="X158" s="85">
        <f>IF(   X157="", "", (X157 - INDEX(IRS!$B$2:$Y$13, X$2, MATCH($E157,IRS!$B$1:$Y$1, 0)) ) * IF($C$7=1,-1,1)   )</f>
        <v>0.56800000000000006</v>
      </c>
      <c r="Y158" s="83">
        <f>IF(   Y157="", "", (Y157 - INDEX(IRS!$B$2:$Y$13, Y$2, MATCH($E157,IRS!$B$1:$Y$1, 0)) ) * IF($C$7=1,-1,1)   )</f>
        <v>0.56007599999999913</v>
      </c>
      <c r="Z158" s="84">
        <f>IF(   Z157="", "", (Z157 - INDEX(IRS!$B$2:$Y$13, Z$2, MATCH($E157,IRS!$B$1:$Y$1, 0)) ) * IF($C$7=1,-1,1)   )</f>
        <v>0.625</v>
      </c>
      <c r="AA158" s="85">
        <f>IF(   AA157="", "", (AA157 - INDEX(IRS!$B$2:$Y$13, AA$2, MATCH($E157,IRS!$B$1:$Y$1, 0)) ) * IF($C$7=1,-1,1)   )</f>
        <v>0.47799999999999976</v>
      </c>
    </row>
    <row r="159" spans="2:27">
      <c r="B159" s="6" t="str">
        <f>_xll.IMDH("IR", $B$148,$C159,$O$9,$F$9,10,"Per=일, sort=D, real=true, Bizday=0, Quote=종가,Pos=40,Orient=H,DtFmt=1.TmFmt=1")</f>
        <v>조회[BONDAVG12]</v>
      </c>
      <c r="C159" s="6" t="s">
        <v>302</v>
      </c>
      <c r="D159" s="45"/>
      <c r="E159" s="51" t="s">
        <v>254</v>
      </c>
      <c r="F159" s="88">
        <v>3.238</v>
      </c>
      <c r="G159" s="89">
        <v>3.2290000000000001</v>
      </c>
      <c r="H159" s="89">
        <v>3.222</v>
      </c>
      <c r="I159" s="89">
        <v>3.2290000000000001</v>
      </c>
      <c r="J159" s="89">
        <v>3.2490000000000001</v>
      </c>
      <c r="K159" s="89">
        <v>3.23</v>
      </c>
      <c r="L159" s="89">
        <v>3.2330000000000001</v>
      </c>
      <c r="M159" s="89">
        <v>3.2189999999999999</v>
      </c>
      <c r="N159" s="89">
        <v>3.202</v>
      </c>
      <c r="O159" s="89">
        <v>3.1829999999999998</v>
      </c>
      <c r="P159" s="80">
        <f>IF( INDEX(BOND!$B$2:$CH$13, P$2, MATCH($B$148, BOND!$B$16:$CH$16, 0)+MATCH($C159, BOND!$C$18:$N$18,0) )=0,
"",
INDEX(BOND!$B$2:$CH$13, P$2, MATCH($B$148, BOND!$B$16:$CH$16, 0)+MATCH($C159, BOND!$C$18:$N$18,0)) )</f>
        <v>3.2136000000000005</v>
      </c>
      <c r="Q159" s="80">
        <f>IF( INDEX(BOND!$B$2:$CH$13, Q$2, MATCH($B$148, BOND!$B$16:$CH$16, 0)+MATCH($C159, BOND!$C$18:$N$18,0) )=0,
"",
INDEX(BOND!$B$2:$CH$13, Q$2, MATCH($B$148, BOND!$B$16:$CH$16, 0)+MATCH($C159, BOND!$C$18:$N$18,0)) )</f>
        <v>3.1669999999999998</v>
      </c>
      <c r="R159" s="80">
        <f>IF( INDEX(BOND!$B$2:$CH$13, R$2, MATCH($B$148, BOND!$B$16:$CH$16, 0)+MATCH($C159, BOND!$C$18:$N$18,0) )=0,
"",
INDEX(BOND!$B$2:$CH$13, R$2, MATCH($B$148, BOND!$B$16:$CH$16, 0)+MATCH($C159, BOND!$C$18:$N$18,0)) )</f>
        <v>3.2490000000000001</v>
      </c>
      <c r="S159" s="80">
        <f>IF( INDEX(BOND!$B$2:$CH$13, S$2, MATCH($B$148, BOND!$B$16:$CH$16, 0)+MATCH($C159, BOND!$C$18:$N$18,0) )=0,
"",
INDEX(BOND!$B$2:$CH$13, S$2, MATCH($B$148, BOND!$B$16:$CH$16, 0)+MATCH($C159, BOND!$C$18:$N$18,0)) )</f>
        <v>3.2277166666666668</v>
      </c>
      <c r="T159" s="80">
        <f>IF( INDEX(BOND!$B$2:$CH$13, T$2, MATCH($B$148, BOND!$B$16:$CH$16, 0)+MATCH($C159, BOND!$C$18:$N$18,0) )=0,
"",
INDEX(BOND!$B$2:$CH$13, T$2, MATCH($B$148, BOND!$B$16:$CH$16, 0)+MATCH($C159, BOND!$C$18:$N$18,0)) )</f>
        <v>3.1579999999999999</v>
      </c>
      <c r="U159" s="80">
        <f>IF( INDEX(BOND!$B$2:$CH$13, U$2, MATCH($B$148, BOND!$B$16:$CH$16, 0)+MATCH($C159, BOND!$C$18:$N$18,0) )=0,
"",
INDEX(BOND!$B$2:$CH$13, U$2, MATCH($B$148, BOND!$B$16:$CH$16, 0)+MATCH($C159, BOND!$C$18:$N$18,0)) )</f>
        <v>3.3620000000000001</v>
      </c>
      <c r="V159" s="80">
        <f>IF( INDEX(BOND!$B$2:$CH$13, V$2, MATCH($B$148, BOND!$B$16:$CH$16, 0)+MATCH($C159, BOND!$C$18:$N$18,0) )=0,
"",
INDEX(BOND!$B$2:$CH$13, V$2, MATCH($B$148, BOND!$B$16:$CH$16, 0)+MATCH($C159, BOND!$C$18:$N$18,0)) )</f>
        <v>3.3393166666666683</v>
      </c>
      <c r="W159" s="80">
        <f>IF( INDEX(BOND!$B$2:$CH$13, W$2, MATCH($B$148, BOND!$B$16:$CH$16, 0)+MATCH($C159, BOND!$C$18:$N$18,0) )=0,
"",
INDEX(BOND!$B$2:$CH$13, W$2, MATCH($B$148, BOND!$B$16:$CH$16, 0)+MATCH($C159, BOND!$C$18:$N$18,0)) )</f>
        <v>3.1579999999999999</v>
      </c>
      <c r="X159" s="80">
        <f>IF( INDEX(BOND!$B$2:$CH$13, X$2, MATCH($B$148, BOND!$B$16:$CH$16, 0)+MATCH($C159, BOND!$C$18:$N$18,0) )=0,
"",
INDEX(BOND!$B$2:$CH$13, X$2, MATCH($B$148, BOND!$B$16:$CH$16, 0)+MATCH($C159, BOND!$C$18:$N$18,0)) )</f>
        <v>3.6059999999999999</v>
      </c>
      <c r="Y159" s="80">
        <f>IF( INDEX(BOND!$B$2:$CH$13, Y$2, MATCH($B$148, BOND!$B$16:$CH$16, 0)+MATCH($C159, BOND!$C$18:$N$18,0) )=0,
"",
INDEX(BOND!$B$2:$CH$13, Y$2, MATCH($B$148, BOND!$B$16:$CH$16, 0)+MATCH($C159, BOND!$C$18:$N$18,0)) )</f>
        <v>3.5728760000000004</v>
      </c>
      <c r="Z159" s="80">
        <f>IF( INDEX(BOND!$B$2:$CH$13, Z$2, MATCH($B$148, BOND!$B$16:$CH$16, 0)+MATCH($C159, BOND!$C$18:$N$18,0) )=0,
"",
INDEX(BOND!$B$2:$CH$13, Z$2, MATCH($B$148, BOND!$B$16:$CH$16, 0)+MATCH($C159, BOND!$C$18:$N$18,0)) )</f>
        <v>3.1579999999999999</v>
      </c>
      <c r="AA159" s="80">
        <f>IF( INDEX(BOND!$B$2:$CH$13, AA$2, MATCH($B$148, BOND!$B$16:$CH$16, 0)+MATCH($C159, BOND!$C$18:$N$18,0) )=0,
"",
INDEX(BOND!$B$2:$CH$13, AA$2, MATCH($B$148, BOND!$B$16:$CH$16, 0)+MATCH($C159, BOND!$C$18:$N$18,0)) )</f>
        <v>4.1239999999999997</v>
      </c>
    </row>
    <row r="160" spans="2:27">
      <c r="D160" s="45"/>
      <c r="E160" s="52" t="s">
        <v>267</v>
      </c>
      <c r="F160" s="81">
        <f>IF(F159=0,"",(F159-AD26)*IF($C$7=1,-1,1))</f>
        <v>0.64299999999999979</v>
      </c>
      <c r="G160" s="82">
        <f>IF(G159=0,"",(G159-AE26)*IF($C$7=1,-1,1))</f>
        <v>0.64650000000000007</v>
      </c>
      <c r="H160" s="82">
        <f>IF(H159=0,"",(H159-AF26)*IF($C$7=1,-1,1))</f>
        <v>0.64950000000000019</v>
      </c>
      <c r="I160" s="82">
        <f>IF(I159=0,"",(I159-AG26)*IF($C$7=1,-1,1))</f>
        <v>0.66650000000000009</v>
      </c>
      <c r="J160" s="82">
        <f>IF(J159=0,"",(J159-AH26)*IF($C$7=1,-1,1))</f>
        <v>0.67900000000000027</v>
      </c>
      <c r="K160" s="82">
        <f>IF(K159=0,"",(K159-AI26)*IF($C$7=1,-1,1))</f>
        <v>0.67749999999999977</v>
      </c>
      <c r="L160" s="82">
        <f>IF(L159=0,"",(L159-AJ26)*IF($C$7=1,-1,1))</f>
        <v>0.67799999999999994</v>
      </c>
      <c r="M160" s="82">
        <f>IF(M159=0,"",(M159-AK26)*IF($C$7=1,-1,1))</f>
        <v>0.66649999999999965</v>
      </c>
      <c r="N160" s="82">
        <f>IF(N159=0,"",(N159-AL26)*IF($C$7=1,-1,1))</f>
        <v>0.66949999999999976</v>
      </c>
      <c r="O160" s="82">
        <f>IF(O159=0,"",(O159-AM26)*IF($C$7=1,-1,1))</f>
        <v>0.67049999999999965</v>
      </c>
      <c r="P160" s="83">
        <f>IF(   P159="", "", (P159 - INDEX(IRS!$B$2:$Y$13, P$2, MATCH($E159,IRS!$B$1:$Y$1, 0)) ) * IF($C$7=1,-1,1)   )</f>
        <v>0.6544749999999997</v>
      </c>
      <c r="Q160" s="84">
        <f>IF(   Q159="", "", (Q159 - INDEX(IRS!$B$2:$Y$13, Q$2, MATCH($E159,IRS!$B$1:$Y$1, 0)) ) * IF($C$7=1,-1,1)   )</f>
        <v>0.65449999999999964</v>
      </c>
      <c r="R160" s="85">
        <f>IF(   R159="", "", (R159 - INDEX(IRS!$B$2:$Y$13, R$2, MATCH($E159,IRS!$B$1:$Y$1, 0)) ) * IF($C$7=1,-1,1)   )</f>
        <v>0.64900000000000002</v>
      </c>
      <c r="S160" s="86">
        <f>IF(   S159="", "", (S159 - INDEX(IRS!$B$2:$Y$13, S$2, MATCH($E159,IRS!$B$1:$Y$1, 0)) ) * IF($C$7=1,-1,1)   )</f>
        <v>0.61792499999999961</v>
      </c>
      <c r="T160" s="84">
        <f>IF(   T159="", "", (T159 - INDEX(IRS!$B$2:$Y$13, T$2, MATCH($E159,IRS!$B$1:$Y$1, 0)) ) * IF($C$7=1,-1,1)   )</f>
        <v>0.64549999999999974</v>
      </c>
      <c r="U160" s="87">
        <f>IF(   U159="", "", (U159 - INDEX(IRS!$B$2:$Y$13, U$2, MATCH($E159,IRS!$B$1:$Y$1, 0)) ) * IF($C$7=1,-1,1)   )</f>
        <v>0.61699999999999999</v>
      </c>
      <c r="V160" s="83">
        <f>IF(   V159="", "", (V159 - INDEX(IRS!$B$2:$Y$13, V$2, MATCH($E159,IRS!$B$1:$Y$1, 0)) ) * IF($C$7=1,-1,1)   )</f>
        <v>0.62337916666666748</v>
      </c>
      <c r="W160" s="84">
        <f>IF(   W159="", "", (W159 - INDEX(IRS!$B$2:$Y$13, W$2, MATCH($E159,IRS!$B$1:$Y$1, 0)) ) * IF($C$7=1,-1,1)   )</f>
        <v>0.64549999999999974</v>
      </c>
      <c r="X160" s="85">
        <f>IF(   X159="", "", (X159 - INDEX(IRS!$B$2:$Y$13, X$2, MATCH($E159,IRS!$B$1:$Y$1, 0)) ) * IF($C$7=1,-1,1)   )</f>
        <v>0.59099999999999975</v>
      </c>
      <c r="Y160" s="83">
        <f>IF(   Y159="", "", (Y159 - INDEX(IRS!$B$2:$Y$13, Y$2, MATCH($E159,IRS!$B$1:$Y$1, 0)) ) * IF($C$7=1,-1,1)   )</f>
        <v>0.61305599999999894</v>
      </c>
      <c r="Z160" s="84">
        <f>IF(   Z159="", "", (Z159 - INDEX(IRS!$B$2:$Y$13, Z$2, MATCH($E159,IRS!$B$1:$Y$1, 0)) ) * IF($C$7=1,-1,1)   )</f>
        <v>0.64549999999999974</v>
      </c>
      <c r="AA160" s="85">
        <f>IF(   AA159="", "", (AA159 - INDEX(IRS!$B$2:$Y$13, AA$2, MATCH($E159,IRS!$B$1:$Y$1, 0)) ) * IF($C$7=1,-1,1)   )</f>
        <v>0.56399999999999961</v>
      </c>
    </row>
    <row r="161" spans="2:27">
      <c r="B161" s="6" t="str">
        <f>_xll.IMDH("IR", $B$148,$C161,$O$9,$F$9,10,"Per=일, sort=D, real=true, Bizday=0, Quote=종가,Pos=40,Orient=H,DtFmt=1.TmFmt=1")</f>
        <v>조회[BONDAVG12]</v>
      </c>
      <c r="C161" s="6" t="s">
        <v>239</v>
      </c>
      <c r="D161" s="53"/>
      <c r="E161" s="51" t="s">
        <v>255</v>
      </c>
      <c r="F161" s="88">
        <v>3.2650000000000001</v>
      </c>
      <c r="G161" s="89">
        <v>3.2469999999999999</v>
      </c>
      <c r="H161" s="89">
        <v>3.2389999999999999</v>
      </c>
      <c r="I161" s="89">
        <v>3.2429999999999999</v>
      </c>
      <c r="J161" s="89">
        <v>3.2559999999999998</v>
      </c>
      <c r="K161" s="89">
        <v>3.2490000000000001</v>
      </c>
      <c r="L161" s="89">
        <v>3.242</v>
      </c>
      <c r="M161" s="89">
        <v>3.2290000000000001</v>
      </c>
      <c r="N161" s="89">
        <v>3.214</v>
      </c>
      <c r="O161" s="89">
        <v>3.2</v>
      </c>
      <c r="P161" s="80">
        <f>IF( INDEX(BOND!$B$2:$CH$13, P$2, MATCH($B$148, BOND!$B$16:$CH$16, 0)+MATCH($C161, BOND!$C$18:$N$18,0) )=0,
"",
INDEX(BOND!$B$2:$CH$13, P$2, MATCH($B$148, BOND!$B$16:$CH$16, 0)+MATCH($C161, BOND!$C$18:$N$18,0)) )</f>
        <v>3.2313499999999999</v>
      </c>
      <c r="Q161" s="80">
        <f>IF( INDEX(BOND!$B$2:$CH$13, Q$2, MATCH($B$148, BOND!$B$16:$CH$16, 0)+MATCH($C161, BOND!$C$18:$N$18,0) )=0,
"",
INDEX(BOND!$B$2:$CH$13, Q$2, MATCH($B$148, BOND!$B$16:$CH$16, 0)+MATCH($C161, BOND!$C$18:$N$18,0)) )</f>
        <v>3.1880000000000002</v>
      </c>
      <c r="R161" s="80">
        <f>IF( INDEX(BOND!$B$2:$CH$13, R$2, MATCH($B$148, BOND!$B$16:$CH$16, 0)+MATCH($C161, BOND!$C$18:$N$18,0) )=0,
"",
INDEX(BOND!$B$2:$CH$13, R$2, MATCH($B$148, BOND!$B$16:$CH$16, 0)+MATCH($C161, BOND!$C$18:$N$18,0)) )</f>
        <v>3.2650000000000001</v>
      </c>
      <c r="S161" s="80">
        <f>IF( INDEX(BOND!$B$2:$CH$13, S$2, MATCH($B$148, BOND!$B$16:$CH$16, 0)+MATCH($C161, BOND!$C$18:$N$18,0) )=0,
"",
INDEX(BOND!$B$2:$CH$13, S$2, MATCH($B$148, BOND!$B$16:$CH$16, 0)+MATCH($C161, BOND!$C$18:$N$18,0)) )</f>
        <v>3.2762999999999995</v>
      </c>
      <c r="T161" s="80">
        <f>IF( INDEX(BOND!$B$2:$CH$13, T$2, MATCH($B$148, BOND!$B$16:$CH$16, 0)+MATCH($C161, BOND!$C$18:$N$18,0) )=0,
"",
INDEX(BOND!$B$2:$CH$13, T$2, MATCH($B$148, BOND!$B$16:$CH$16, 0)+MATCH($C161, BOND!$C$18:$N$18,0)) )</f>
        <v>3.1880000000000002</v>
      </c>
      <c r="U161" s="80">
        <f>IF( INDEX(BOND!$B$2:$CH$13, U$2, MATCH($B$148, BOND!$B$16:$CH$16, 0)+MATCH($C161, BOND!$C$18:$N$18,0) )=0,
"",
INDEX(BOND!$B$2:$CH$13, U$2, MATCH($B$148, BOND!$B$16:$CH$16, 0)+MATCH($C161, BOND!$C$18:$N$18,0)) )</f>
        <v>3.464</v>
      </c>
      <c r="V161" s="80">
        <f>IF( INDEX(BOND!$B$2:$CH$13, V$2, MATCH($B$148, BOND!$B$16:$CH$16, 0)+MATCH($C161, BOND!$C$18:$N$18,0) )=0,
"",
INDEX(BOND!$B$2:$CH$13, V$2, MATCH($B$148, BOND!$B$16:$CH$16, 0)+MATCH($C161, BOND!$C$18:$N$18,0)) )</f>
        <v>3.3819166666666658</v>
      </c>
      <c r="W161" s="80">
        <f>IF( INDEX(BOND!$B$2:$CH$13, W$2, MATCH($B$148, BOND!$B$16:$CH$16, 0)+MATCH($C161, BOND!$C$18:$N$18,0) )=0,
"",
INDEX(BOND!$B$2:$CH$13, W$2, MATCH($B$148, BOND!$B$16:$CH$16, 0)+MATCH($C161, BOND!$C$18:$N$18,0)) )</f>
        <v>3.1880000000000002</v>
      </c>
      <c r="X161" s="80">
        <f>IF( INDEX(BOND!$B$2:$CH$13, X$2, MATCH($B$148, BOND!$B$16:$CH$16, 0)+MATCH($C161, BOND!$C$18:$N$18,0) )=0,
"",
INDEX(BOND!$B$2:$CH$13, X$2, MATCH($B$148, BOND!$B$16:$CH$16, 0)+MATCH($C161, BOND!$C$18:$N$18,0)) )</f>
        <v>3.6520000000000001</v>
      </c>
      <c r="Y161" s="80">
        <f>IF( INDEX(BOND!$B$2:$CH$13, Y$2, MATCH($B$148, BOND!$B$16:$CH$16, 0)+MATCH($C161, BOND!$C$18:$N$18,0) )=0,
"",
INDEX(BOND!$B$2:$CH$13, Y$2, MATCH($B$148, BOND!$B$16:$CH$16, 0)+MATCH($C161, BOND!$C$18:$N$18,0)) )</f>
        <v>3.5970759999999982</v>
      </c>
      <c r="Z161" s="80">
        <f>IF( INDEX(BOND!$B$2:$CH$13, Z$2, MATCH($B$148, BOND!$B$16:$CH$16, 0)+MATCH($C161, BOND!$C$18:$N$18,0) )=0,
"",
INDEX(BOND!$B$2:$CH$13, Z$2, MATCH($B$148, BOND!$B$16:$CH$16, 0)+MATCH($C161, BOND!$C$18:$N$18,0)) )</f>
        <v>3.1880000000000002</v>
      </c>
      <c r="AA161" s="80">
        <f>IF( INDEX(BOND!$B$2:$CH$13, AA$2, MATCH($B$148, BOND!$B$16:$CH$16, 0)+MATCH($C161, BOND!$C$18:$N$18,0) )=0,
"",
INDEX(BOND!$B$2:$CH$13, AA$2, MATCH($B$148, BOND!$B$16:$CH$16, 0)+MATCH($C161, BOND!$C$18:$N$18,0)) )</f>
        <v>4.1429999999999998</v>
      </c>
    </row>
    <row r="162" spans="2:27">
      <c r="D162" s="53"/>
      <c r="E162" s="52" t="s">
        <v>267</v>
      </c>
      <c r="F162" s="81">
        <f>IF(F161=0,"",(F161-AD28)*IF($C$7=1,-1,1))</f>
        <v>0.66250000000000009</v>
      </c>
      <c r="G162" s="82">
        <f>IF(G161=0,"",(G161-AE28)*IF($C$7=1,-1,1))</f>
        <v>0.65450000000000008</v>
      </c>
      <c r="H162" s="82">
        <f>IF(H161=0,"",(H161-AF28)*IF($C$7=1,-1,1))</f>
        <v>0.65399999999999991</v>
      </c>
      <c r="I162" s="82">
        <f>IF(I161=0,"",(I161-AG28)*IF($C$7=1,-1,1))</f>
        <v>0.66799999999999971</v>
      </c>
      <c r="J162" s="82">
        <f>IF(J161=0,"",(J161-AH28)*IF($C$7=1,-1,1))</f>
        <v>0.67099999999999982</v>
      </c>
      <c r="K162" s="82">
        <f>IF(K161=0,"",(K161-AI28)*IF($C$7=1,-1,1))</f>
        <v>0.68650000000000011</v>
      </c>
      <c r="L162" s="82">
        <f>IF(L161=0,"",(L161-AJ28)*IF($C$7=1,-1,1))</f>
        <v>0.67200000000000015</v>
      </c>
      <c r="M162" s="82">
        <f>IF(M161=0,"",(M161-AK28)*IF($C$7=1,-1,1))</f>
        <v>0.65650000000000031</v>
      </c>
      <c r="N162" s="82">
        <f>IF(N161=0,"",(N161-AL28)*IF($C$7=1,-1,1))</f>
        <v>0.66650000000000009</v>
      </c>
      <c r="O162" s="82">
        <f>IF(O161=0,"",(O161-AM28)*IF($C$7=1,-1,1))</f>
        <v>0.67250000000000032</v>
      </c>
      <c r="P162" s="83">
        <f>IF(   P161="", "", (P161 - INDEX(IRS!$B$2:$Y$13, P$2, MATCH($E161,IRS!$B$1:$Y$1, 0)) ) * IF($C$7=1,-1,1)   )</f>
        <v>0.65947499999999959</v>
      </c>
      <c r="Q162" s="84">
        <f>IF(   Q161="", "", (Q161 - INDEX(IRS!$B$2:$Y$13, Q$2, MATCH($E161,IRS!$B$1:$Y$1, 0)) ) * IF($C$7=1,-1,1)   )</f>
        <v>0.66050000000000031</v>
      </c>
      <c r="R162" s="85">
        <f>IF(   R161="", "", (R161 - INDEX(IRS!$B$2:$Y$13, R$2, MATCH($E161,IRS!$B$1:$Y$1, 0)) ) * IF($C$7=1,-1,1)   )</f>
        <v>0.64999999999999991</v>
      </c>
      <c r="S162" s="86">
        <f>IF(   S161="", "", (S161 - INDEX(IRS!$B$2:$Y$13, S$2, MATCH($E161,IRS!$B$1:$Y$1, 0)) ) * IF($C$7=1,-1,1)   )</f>
        <v>0.65059166666666624</v>
      </c>
      <c r="T162" s="84">
        <f>IF(   T161="", "", (T161 - INDEX(IRS!$B$2:$Y$13, T$2, MATCH($E161,IRS!$B$1:$Y$1, 0)) ) * IF($C$7=1,-1,1)   )</f>
        <v>0.66050000000000031</v>
      </c>
      <c r="U162" s="87">
        <f>IF(   U161="", "", (U161 - INDEX(IRS!$B$2:$Y$13, U$2, MATCH($E161,IRS!$B$1:$Y$1, 0)) ) * IF($C$7=1,-1,1)   )</f>
        <v>0.70900000000000007</v>
      </c>
      <c r="V162" s="83">
        <f>IF(   V161="", "", (V161 - INDEX(IRS!$B$2:$Y$13, V$2, MATCH($E161,IRS!$B$1:$Y$1, 0)) ) * IF($C$7=1,-1,1)   )</f>
        <v>0.66254166666666725</v>
      </c>
      <c r="W162" s="84">
        <f>IF(   W161="", "", (W161 - INDEX(IRS!$B$2:$Y$13, W$2, MATCH($E161,IRS!$B$1:$Y$1, 0)) ) * IF($C$7=1,-1,1)   )</f>
        <v>0.66800000000000015</v>
      </c>
      <c r="X162" s="85">
        <f>IF(   X161="", "", (X161 - INDEX(IRS!$B$2:$Y$13, X$2, MATCH($E161,IRS!$B$1:$Y$1, 0)) ) * IF($C$7=1,-1,1)   )</f>
        <v>0.63700000000000001</v>
      </c>
      <c r="Y162" s="83">
        <f>IF(   Y161="", "", (Y161 - INDEX(IRS!$B$2:$Y$13, Y$2, MATCH($E161,IRS!$B$1:$Y$1, 0)) ) * IF($C$7=1,-1,1)   )</f>
        <v>0.64721599999999979</v>
      </c>
      <c r="Z162" s="84">
        <f>IF(   Z161="", "", (Z161 - INDEX(IRS!$B$2:$Y$13, Z$2, MATCH($E161,IRS!$B$1:$Y$1, 0)) ) * IF($C$7=1,-1,1)   )</f>
        <v>0.66800000000000015</v>
      </c>
      <c r="AA162" s="85">
        <f>IF(   AA161="", "", (AA161 - INDEX(IRS!$B$2:$Y$13, AA$2, MATCH($E161,IRS!$B$1:$Y$1, 0)) ) * IF($C$7=1,-1,1)   )</f>
        <v>0.57799999999999985</v>
      </c>
    </row>
    <row r="163" spans="2:27">
      <c r="B163" s="6" t="str">
        <f>_xll.IMDH("IR", $B$148,$C163,$O$9,$F$9,10,"Per=일, sort=D, real=true, Bizday=0, Quote=종가,Pos=40,Orient=H,DtFmt=1.TmFmt=1")</f>
        <v>조회[BONDAVG12]</v>
      </c>
      <c r="C163" s="6" t="s">
        <v>241</v>
      </c>
      <c r="D163" s="53"/>
      <c r="E163" s="51" t="s">
        <v>256</v>
      </c>
      <c r="F163" s="88">
        <v>3.3380000000000001</v>
      </c>
      <c r="G163" s="89">
        <v>3.3250000000000002</v>
      </c>
      <c r="H163" s="89">
        <v>3.3</v>
      </c>
      <c r="I163" s="89">
        <v>3.3109999999999999</v>
      </c>
      <c r="J163" s="89">
        <v>3.3140000000000001</v>
      </c>
      <c r="K163" s="89">
        <v>3.2949999999999999</v>
      </c>
      <c r="L163" s="89">
        <v>3.282</v>
      </c>
      <c r="M163" s="89">
        <v>3.2829999999999999</v>
      </c>
      <c r="N163" s="89">
        <v>3.274</v>
      </c>
      <c r="O163" s="89">
        <v>3.2610000000000001</v>
      </c>
      <c r="P163" s="80">
        <f>IF( INDEX(BOND!$B$2:$CH$13, P$2, MATCH($B$148, BOND!$B$16:$CH$16, 0)+MATCH($C163, BOND!$C$18:$N$18,0) )=0,
"",
INDEX(BOND!$B$2:$CH$13, P$2, MATCH($B$148, BOND!$B$16:$CH$16, 0)+MATCH($C163, BOND!$C$18:$N$18,0)) )</f>
        <v>3.2860000000000005</v>
      </c>
      <c r="Q163" s="80">
        <f>IF( INDEX(BOND!$B$2:$CH$13, Q$2, MATCH($B$148, BOND!$B$16:$CH$16, 0)+MATCH($C163, BOND!$C$18:$N$18,0) )=0,
"",
INDEX(BOND!$B$2:$CH$13, Q$2, MATCH($B$148, BOND!$B$16:$CH$16, 0)+MATCH($C163, BOND!$C$18:$N$18,0)) )</f>
        <v>3.23</v>
      </c>
      <c r="R163" s="80">
        <f>IF( INDEX(BOND!$B$2:$CH$13, R$2, MATCH($B$148, BOND!$B$16:$CH$16, 0)+MATCH($C163, BOND!$C$18:$N$18,0) )=0,
"",
INDEX(BOND!$B$2:$CH$13, R$2, MATCH($B$148, BOND!$B$16:$CH$16, 0)+MATCH($C163, BOND!$C$18:$N$18,0)) )</f>
        <v>3.3380000000000001</v>
      </c>
      <c r="S163" s="80">
        <f>IF( INDEX(BOND!$B$2:$CH$13, S$2, MATCH($B$148, BOND!$B$16:$CH$16, 0)+MATCH($C163, BOND!$C$18:$N$18,0) )=0,
"",
INDEX(BOND!$B$2:$CH$13, S$2, MATCH($B$148, BOND!$B$16:$CH$16, 0)+MATCH($C163, BOND!$C$18:$N$18,0)) )</f>
        <v>3.3310833333333334</v>
      </c>
      <c r="T163" s="80">
        <f>IF( INDEX(BOND!$B$2:$CH$13, T$2, MATCH($B$148, BOND!$B$16:$CH$16, 0)+MATCH($C163, BOND!$C$18:$N$18,0) )=0,
"",
INDEX(BOND!$B$2:$CH$13, T$2, MATCH($B$148, BOND!$B$16:$CH$16, 0)+MATCH($C163, BOND!$C$18:$N$18,0)) )</f>
        <v>3.23</v>
      </c>
      <c r="U163" s="80">
        <f>IF( INDEX(BOND!$B$2:$CH$13, U$2, MATCH($B$148, BOND!$B$16:$CH$16, 0)+MATCH($C163, BOND!$C$18:$N$18,0) )=0,
"",
INDEX(BOND!$B$2:$CH$13, U$2, MATCH($B$148, BOND!$B$16:$CH$16, 0)+MATCH($C163, BOND!$C$18:$N$18,0)) )</f>
        <v>3.4969999999999999</v>
      </c>
      <c r="V163" s="80">
        <f>IF( INDEX(BOND!$B$2:$CH$13, V$2, MATCH($B$148, BOND!$B$16:$CH$16, 0)+MATCH($C163, BOND!$C$18:$N$18,0) )=0,
"",
INDEX(BOND!$B$2:$CH$13, V$2, MATCH($B$148, BOND!$B$16:$CH$16, 0)+MATCH($C163, BOND!$C$18:$N$18,0)) )</f>
        <v>3.4264500000000004</v>
      </c>
      <c r="W163" s="80">
        <f>IF( INDEX(BOND!$B$2:$CH$13, W$2, MATCH($B$148, BOND!$B$16:$CH$16, 0)+MATCH($C163, BOND!$C$18:$N$18,0) )=0,
"",
INDEX(BOND!$B$2:$CH$13, W$2, MATCH($B$148, BOND!$B$16:$CH$16, 0)+MATCH($C163, BOND!$C$18:$N$18,0)) )</f>
        <v>3.23</v>
      </c>
      <c r="X163" s="80">
        <f>IF( INDEX(BOND!$B$2:$CH$13, X$2, MATCH($B$148, BOND!$B$16:$CH$16, 0)+MATCH($C163, BOND!$C$18:$N$18,0) )=0,
"",
INDEX(BOND!$B$2:$CH$13, X$2, MATCH($B$148, BOND!$B$16:$CH$16, 0)+MATCH($C163, BOND!$C$18:$N$18,0)) )</f>
        <v>3.6789999999999998</v>
      </c>
      <c r="Y163" s="80">
        <f>IF( INDEX(BOND!$B$2:$CH$13, Y$2, MATCH($B$148, BOND!$B$16:$CH$16, 0)+MATCH($C163, BOND!$C$18:$N$18,0) )=0,
"",
INDEX(BOND!$B$2:$CH$13, Y$2, MATCH($B$148, BOND!$B$16:$CH$16, 0)+MATCH($C163, BOND!$C$18:$N$18,0)) )</f>
        <v>3.6299680000000007</v>
      </c>
      <c r="Z163" s="80">
        <f>IF( INDEX(BOND!$B$2:$CH$13, Z$2, MATCH($B$148, BOND!$B$16:$CH$16, 0)+MATCH($C163, BOND!$C$18:$N$18,0) )=0,
"",
INDEX(BOND!$B$2:$CH$13, Z$2, MATCH($B$148, BOND!$B$16:$CH$16, 0)+MATCH($C163, BOND!$C$18:$N$18,0)) )</f>
        <v>3.23</v>
      </c>
      <c r="AA163" s="80">
        <f>IF( INDEX(BOND!$B$2:$CH$13, AA$2, MATCH($B$148, BOND!$B$16:$CH$16, 0)+MATCH($C163, BOND!$C$18:$N$18,0) )=0,
"",
INDEX(BOND!$B$2:$CH$13, AA$2, MATCH($B$148, BOND!$B$16:$CH$16, 0)+MATCH($C163, BOND!$C$18:$N$18,0)) )</f>
        <v>4.1829999999999998</v>
      </c>
    </row>
    <row r="164" spans="2:27">
      <c r="D164" s="53"/>
      <c r="E164" s="52" t="s">
        <v>267</v>
      </c>
      <c r="F164" s="81">
        <f>IF(F163=0,"",(F163-AD30)*IF($C$7=1,-1,1))</f>
        <v>0.72550000000000026</v>
      </c>
      <c r="G164" s="82">
        <f>IF(G163=0,"",(G163-AE30)*IF($C$7=1,-1,1))</f>
        <v>0.72250000000000014</v>
      </c>
      <c r="H164" s="82">
        <f>IF(H163=0,"",(H163-AF30)*IF($C$7=1,-1,1))</f>
        <v>0.70499999999999963</v>
      </c>
      <c r="I164" s="82">
        <f>IF(I163=0,"",(I163-AG30)*IF($C$7=1,-1,1))</f>
        <v>0.72849999999999993</v>
      </c>
      <c r="J164" s="82">
        <f>IF(J163=0,"",(J163-AH30)*IF($C$7=1,-1,1))</f>
        <v>0.72150000000000025</v>
      </c>
      <c r="K164" s="82">
        <f>IF(K163=0,"",(K163-AI30)*IF($C$7=1,-1,1))</f>
        <v>0.72250000000000014</v>
      </c>
      <c r="L164" s="82">
        <f>IF(L163=0,"",(L163-AJ30)*IF($C$7=1,-1,1))</f>
        <v>0.69950000000000001</v>
      </c>
      <c r="M164" s="82">
        <f>IF(M163=0,"",(M163-AK30)*IF($C$7=1,-1,1))</f>
        <v>0.69799999999999995</v>
      </c>
      <c r="N164" s="82">
        <f>IF(N163=0,"",(N163-AL30)*IF($C$7=1,-1,1))</f>
        <v>0.71649999999999991</v>
      </c>
      <c r="O164" s="82">
        <f>IF(O163=0,"",(O163-AM30)*IF($C$7=1,-1,1))</f>
        <v>0.72350000000000003</v>
      </c>
      <c r="P164" s="83">
        <f>IF(   P163="", "", (P163 - INDEX(IRS!$B$2:$Y$13, P$2, MATCH($E163,IRS!$B$1:$Y$1, 0)) ) * IF($C$7=1,-1,1)   )</f>
        <v>0.7058750000000007</v>
      </c>
      <c r="Q164" s="84">
        <f>IF(   Q163="", "", (Q163 - INDEX(IRS!$B$2:$Y$13, Q$2, MATCH($E163,IRS!$B$1:$Y$1, 0)) ) * IF($C$7=1,-1,1)   )</f>
        <v>0.69499999999999984</v>
      </c>
      <c r="R164" s="85">
        <f>IF(   R163="", "", (R163 - INDEX(IRS!$B$2:$Y$13, R$2, MATCH($E163,IRS!$B$1:$Y$1, 0)) ) * IF($C$7=1,-1,1)   )</f>
        <v>0.71300000000000008</v>
      </c>
      <c r="S164" s="86">
        <f>IF(   S163="", "", (S163 - INDEX(IRS!$B$2:$Y$13, S$2, MATCH($E163,IRS!$B$1:$Y$1, 0)) ) * IF($C$7=1,-1,1)   )</f>
        <v>0.69675000000000065</v>
      </c>
      <c r="T164" s="84">
        <f>IF(   T163="", "", (T163 - INDEX(IRS!$B$2:$Y$13, T$2, MATCH($E163,IRS!$B$1:$Y$1, 0)) ) * IF($C$7=1,-1,1)   )</f>
        <v>0.69499999999999984</v>
      </c>
      <c r="U164" s="87">
        <f>IF(   U163="", "", (U163 - INDEX(IRS!$B$2:$Y$13, U$2, MATCH($E163,IRS!$B$1:$Y$1, 0)) ) * IF($C$7=1,-1,1)   )</f>
        <v>0.7370000000000001</v>
      </c>
      <c r="V164" s="83">
        <f>IF(   V163="", "", (V163 - INDEX(IRS!$B$2:$Y$13, V$2, MATCH($E163,IRS!$B$1:$Y$1, 0)) ) * IF($C$7=1,-1,1)   )</f>
        <v>0.70503333333333451</v>
      </c>
      <c r="W164" s="84">
        <f>IF(   W163="", "", (W163 - INDEX(IRS!$B$2:$Y$13, W$2, MATCH($E163,IRS!$B$1:$Y$1, 0)) ) * IF($C$7=1,-1,1)   )</f>
        <v>0.72250000000000014</v>
      </c>
      <c r="X164" s="85">
        <f>IF(   X163="", "", (X163 - INDEX(IRS!$B$2:$Y$13, X$2, MATCH($E163,IRS!$B$1:$Y$1, 0)) ) * IF($C$7=1,-1,1)   )</f>
        <v>0.65899999999999981</v>
      </c>
      <c r="Y164" s="83">
        <f>IF(   Y163="", "", (Y163 - INDEX(IRS!$B$2:$Y$13, Y$2, MATCH($E163,IRS!$B$1:$Y$1, 0)) ) * IF($C$7=1,-1,1)   )</f>
        <v>0.68514800000000298</v>
      </c>
      <c r="Z164" s="84">
        <f>IF(   Z163="", "", (Z163 - INDEX(IRS!$B$2:$Y$13, Z$2, MATCH($E163,IRS!$B$1:$Y$1, 0)) ) * IF($C$7=1,-1,1)   )</f>
        <v>0.72250000000000014</v>
      </c>
      <c r="AA164" s="85">
        <f>IF(   AA163="", "", (AA163 - INDEX(IRS!$B$2:$Y$13, AA$2, MATCH($E163,IRS!$B$1:$Y$1, 0)) ) * IF($C$7=1,-1,1)   )</f>
        <v>0.61050000000000004</v>
      </c>
    </row>
    <row r="165" spans="2:27">
      <c r="C165" s="6">
        <v>5</v>
      </c>
      <c r="D165" s="45"/>
      <c r="E165" s="56" t="s">
        <v>60</v>
      </c>
      <c r="F165" s="63">
        <f>F$9</f>
        <v>45741</v>
      </c>
      <c r="G165" s="65">
        <f t="shared" ref="G165:N165" si="8">G$9</f>
        <v>45740</v>
      </c>
      <c r="H165" s="65">
        <f t="shared" si="8"/>
        <v>45737</v>
      </c>
      <c r="I165" s="65">
        <f t="shared" si="8"/>
        <v>45736</v>
      </c>
      <c r="J165" s="65">
        <f t="shared" si="8"/>
        <v>45735</v>
      </c>
      <c r="K165" s="65">
        <f t="shared" si="8"/>
        <v>45734</v>
      </c>
      <c r="L165" s="65">
        <f t="shared" si="8"/>
        <v>45733</v>
      </c>
      <c r="M165" s="65">
        <f t="shared" si="8"/>
        <v>45730</v>
      </c>
      <c r="N165" s="61">
        <f t="shared" si="8"/>
        <v>45729</v>
      </c>
      <c r="O165" s="59">
        <f>O$9</f>
        <v>45728</v>
      </c>
      <c r="P165" s="68" t="str">
        <f>$P$13</f>
        <v>20D</v>
      </c>
      <c r="Q165" s="68"/>
      <c r="R165" s="68"/>
      <c r="S165" s="68" t="str">
        <f>$S$13</f>
        <v>60D</v>
      </c>
      <c r="T165" s="68"/>
      <c r="U165" s="68"/>
      <c r="V165" s="68" t="str">
        <f>$V$13</f>
        <v>120D</v>
      </c>
      <c r="W165" s="68"/>
      <c r="X165" s="68"/>
      <c r="Y165" s="68" t="str">
        <f>$Y$13</f>
        <v>250D</v>
      </c>
      <c r="Z165" s="68"/>
      <c r="AA165" s="68"/>
    </row>
    <row r="166" spans="2:27">
      <c r="B166" s="6" t="str">
        <f>INDEX(code_list,$C165,1)</f>
        <v>BONDAVG05</v>
      </c>
      <c r="C166" s="6" t="str">
        <f>INDEX(name_list,$C165,1)</f>
        <v>서울도시철도</v>
      </c>
      <c r="D166" s="45"/>
      <c r="E166" s="57"/>
      <c r="F166" s="64"/>
      <c r="G166" s="66"/>
      <c r="H166" s="66"/>
      <c r="I166" s="66"/>
      <c r="J166" s="66"/>
      <c r="K166" s="66"/>
      <c r="L166" s="66"/>
      <c r="M166" s="66"/>
      <c r="N166" s="62"/>
      <c r="O166" s="60"/>
      <c r="P166" s="55" t="s">
        <v>21</v>
      </c>
      <c r="Q166" s="55" t="s">
        <v>22</v>
      </c>
      <c r="R166" s="55" t="s">
        <v>23</v>
      </c>
      <c r="S166" s="55" t="s">
        <v>21</v>
      </c>
      <c r="T166" s="55" t="s">
        <v>22</v>
      </c>
      <c r="U166" s="55" t="s">
        <v>23</v>
      </c>
      <c r="V166" s="55" t="s">
        <v>21</v>
      </c>
      <c r="W166" s="55" t="s">
        <v>22</v>
      </c>
      <c r="X166" s="55" t="s">
        <v>23</v>
      </c>
      <c r="Y166" s="55" t="s">
        <v>21</v>
      </c>
      <c r="Z166" s="55" t="s">
        <v>22</v>
      </c>
      <c r="AA166" s="55" t="s">
        <v>23</v>
      </c>
    </row>
    <row r="167" spans="2:27" ht="13.5" customHeight="1">
      <c r="B167" s="6" t="str">
        <f>_xll.IMDH("IR",$B$166,$B166,$O$9,$F$9,10,"Per=일, sort=D, real=true, Bizday=0, Quote=종가,Pos=40,Orient=H,DtFmt=1.TmFmt=1")</f>
        <v>조회[BONDAVG05]</v>
      </c>
      <c r="C167" s="6" t="s">
        <v>297</v>
      </c>
      <c r="D167" s="45"/>
      <c r="E167" s="51" t="s">
        <v>249</v>
      </c>
      <c r="F167" s="88"/>
      <c r="G167" s="89"/>
      <c r="H167" s="89"/>
      <c r="I167" s="89"/>
      <c r="J167" s="89"/>
      <c r="K167" s="89"/>
      <c r="L167" s="89"/>
      <c r="M167" s="89"/>
      <c r="N167" s="89"/>
      <c r="O167" s="89"/>
      <c r="P167" s="80">
        <f>IF( INDEX(BOND!$B$2:$CH$13, P$2, MATCH($B$166, BOND!$B$16:$CH$16, 0)+MATCH($C167, BOND!$C$18:$N$18,0) )=0,
"",
INDEX(BOND!$B$2:$CH$13, P$2, MATCH($B$166, BOND!$B$16:$CH$16, 0)+MATCH($C167, BOND!$C$18:$N$18,0)) )</f>
        <v>2.7725999999999997</v>
      </c>
      <c r="Q167" s="80">
        <f>IF( INDEX(BOND!$B$2:$CH$13, Q$2, MATCH($B$166, BOND!$B$16:$CH$16, 0)+MATCH($C167, BOND!$C$18:$N$18,0) )=0,
"",
INDEX(BOND!$B$2:$CH$13, Q$2, MATCH($B$166, BOND!$B$16:$CH$16, 0)+MATCH($C167, BOND!$C$18:$N$18,0)) )</f>
        <v>2.7469999999999999</v>
      </c>
      <c r="R167" s="80">
        <f>IF( INDEX(BOND!$B$2:$CH$13, R$2, MATCH($B$166, BOND!$B$16:$CH$16, 0)+MATCH($C167, BOND!$C$18:$N$18,0) )=0,
"",
INDEX(BOND!$B$2:$CH$13, R$2, MATCH($B$166, BOND!$B$16:$CH$16, 0)+MATCH($C167, BOND!$C$18:$N$18,0)) )</f>
        <v>2.8079999999999998</v>
      </c>
      <c r="S167" s="80">
        <f>IF( INDEX(BOND!$B$2:$CH$13, S$2, MATCH($B$166, BOND!$B$16:$CH$16, 0)+MATCH($C167, BOND!$C$18:$N$18,0) )=0,
"",
INDEX(BOND!$B$2:$CH$13, S$2, MATCH($B$166, BOND!$B$16:$CH$16, 0)+MATCH($C167, BOND!$C$18:$N$18,0)) )</f>
        <v>2.8423499999999993</v>
      </c>
      <c r="T167" s="80">
        <f>IF( INDEX(BOND!$B$2:$CH$13, T$2, MATCH($B$166, BOND!$B$16:$CH$16, 0)+MATCH($C167, BOND!$C$18:$N$18,0) )=0,
"",
INDEX(BOND!$B$2:$CH$13, T$2, MATCH($B$166, BOND!$B$16:$CH$16, 0)+MATCH($C167, BOND!$C$18:$N$18,0)) )</f>
        <v>2.7469999999999999</v>
      </c>
      <c r="U167" s="80">
        <f>IF( INDEX(BOND!$B$2:$CH$13, U$2, MATCH($B$166, BOND!$B$16:$CH$16, 0)+MATCH($C167, BOND!$C$18:$N$18,0) )=0,
"",
INDEX(BOND!$B$2:$CH$13, U$2, MATCH($B$166, BOND!$B$16:$CH$16, 0)+MATCH($C167, BOND!$C$18:$N$18,0)) )</f>
        <v>2.944</v>
      </c>
      <c r="V167" s="80">
        <f>IF( INDEX(BOND!$B$2:$CH$13, V$2, MATCH($B$166, BOND!$B$16:$CH$16, 0)+MATCH($C167, BOND!$C$18:$N$18,0) )=0,
"",
INDEX(BOND!$B$2:$CH$13, V$2, MATCH($B$166, BOND!$B$16:$CH$16, 0)+MATCH($C167, BOND!$C$18:$N$18,0)) )</f>
        <v>2.962541666666668</v>
      </c>
      <c r="W167" s="80">
        <f>IF( INDEX(BOND!$B$2:$CH$13, W$2, MATCH($B$166, BOND!$B$16:$CH$16, 0)+MATCH($C167, BOND!$C$18:$N$18,0) )=0,
"",
INDEX(BOND!$B$2:$CH$13, W$2, MATCH($B$166, BOND!$B$16:$CH$16, 0)+MATCH($C167, BOND!$C$18:$N$18,0)) )</f>
        <v>2.7469999999999999</v>
      </c>
      <c r="X167" s="80">
        <f>IF( INDEX(BOND!$B$2:$CH$13, X$2, MATCH($B$166, BOND!$B$16:$CH$16, 0)+MATCH($C167, BOND!$C$18:$N$18,0) )=0,
"",
INDEX(BOND!$B$2:$CH$13, X$2, MATCH($B$166, BOND!$B$16:$CH$16, 0)+MATCH($C167, BOND!$C$18:$N$18,0)) )</f>
        <v>3.1459999999999999</v>
      </c>
      <c r="Y167" s="80">
        <f>IF( INDEX(BOND!$B$2:$CH$13, Y$2, MATCH($B$166, BOND!$B$16:$CH$16, 0)+MATCH($C167, BOND!$C$18:$N$18,0) )=0,
"",
INDEX(BOND!$B$2:$CH$13, Y$2, MATCH($B$166, BOND!$B$16:$CH$16, 0)+MATCH($C167, BOND!$C$18:$N$18,0)) )</f>
        <v>3.2225800000000016</v>
      </c>
      <c r="Z167" s="80">
        <f>IF( INDEX(BOND!$B$2:$CH$13, Z$2, MATCH($B$166, BOND!$B$16:$CH$16, 0)+MATCH($C167, BOND!$C$18:$N$18,0) )=0,
"",
INDEX(BOND!$B$2:$CH$13, Z$2, MATCH($B$166, BOND!$B$16:$CH$16, 0)+MATCH($C167, BOND!$C$18:$N$18,0)) )</f>
        <v>2.7469999999999999</v>
      </c>
      <c r="AA167" s="80">
        <f>IF( INDEX(BOND!$B$2:$CH$13, AA$2, MATCH($B$166, BOND!$B$16:$CH$16, 0)+MATCH($C167, BOND!$C$18:$N$18,0) )=0,
"",
INDEX(BOND!$B$2:$CH$13, AA$2, MATCH($B$166, BOND!$B$16:$CH$16, 0)+MATCH($C167, BOND!$C$18:$N$18,0)) )</f>
        <v>3.5760000000000001</v>
      </c>
    </row>
    <row r="168" spans="2:27">
      <c r="D168" s="45"/>
      <c r="E168" s="52" t="s">
        <v>267</v>
      </c>
      <c r="F168" s="81" t="str">
        <f>IF(F167=0,"",(F167-AD16)*IF($C$7=1,-1,1))</f>
        <v/>
      </c>
      <c r="G168" s="82" t="str">
        <f>IF(G167=0,"",(G167-AE16)*IF($C$7=1,-1,1))</f>
        <v/>
      </c>
      <c r="H168" s="82" t="str">
        <f>IF(H167=0,"",(H167-AF16)*IF($C$7=1,-1,1))</f>
        <v/>
      </c>
      <c r="I168" s="82" t="str">
        <f>IF(I167=0,"",(I167-AG16)*IF($C$7=1,-1,1))</f>
        <v/>
      </c>
      <c r="J168" s="82" t="str">
        <f>IF(J167=0,"",(J167-AH16)*IF($C$7=1,-1,1))</f>
        <v/>
      </c>
      <c r="K168" s="82" t="str">
        <f>IF(K167=0,"",(K167-AI16)*IF($C$7=1,-1,1))</f>
        <v/>
      </c>
      <c r="L168" s="82" t="str">
        <f>IF(L167=0,"",(L167-AJ16)*IF($C$7=1,-1,1))</f>
        <v/>
      </c>
      <c r="M168" s="82" t="str">
        <f>IF(M167=0,"",(M167-AK16)*IF($C$7=1,-1,1))</f>
        <v/>
      </c>
      <c r="N168" s="82" t="str">
        <f>IF(N167=0,"",(N167-AL16)*IF($C$7=1,-1,1))</f>
        <v/>
      </c>
      <c r="O168" s="82" t="str">
        <f>IF(O167=0,"",(O167-AM16)*IF($C$7=1,-1,1))</f>
        <v/>
      </c>
      <c r="P168" s="83">
        <f>IF(   P167="", "", (P167 - INDEX(IRS!$B$2:$Y$13, P$2, MATCH($E167,IRS!$B$1:$Y$1, 0)) ) * IF($C$7=1,-1,1)   )</f>
        <v>6.8499999999995786E-3</v>
      </c>
      <c r="Q168" s="84">
        <f>IF(   Q167="", "", (Q167 - INDEX(IRS!$B$2:$Y$13, Q$2, MATCH($E167,IRS!$B$1:$Y$1, 0)) ) * IF($C$7=1,-1,1)   )</f>
        <v>1.9999999999997797E-3</v>
      </c>
      <c r="R168" s="85">
        <f>IF(   R167="", "", (R167 - INDEX(IRS!$B$2:$Y$13, R$2, MATCH($E167,IRS!$B$1:$Y$1, 0)) ) * IF($C$7=1,-1,1)   )</f>
        <v>8.0000000000000071E-3</v>
      </c>
      <c r="S168" s="86">
        <f>IF(   S167="", "", (S167 - INDEX(IRS!$B$2:$Y$13, S$2, MATCH($E167,IRS!$B$1:$Y$1, 0)) ) * IF($C$7=1,-1,1)   )</f>
        <v>-3.5525000000001139E-2</v>
      </c>
      <c r="T168" s="84">
        <f>IF(   T167="", "", (T167 - INDEX(IRS!$B$2:$Y$13, T$2, MATCH($E167,IRS!$B$1:$Y$1, 0)) ) * IF($C$7=1,-1,1)   )</f>
        <v>1.9999999999997797E-3</v>
      </c>
      <c r="U168" s="87">
        <f>IF(   U167="", "", (U167 - INDEX(IRS!$B$2:$Y$13, U$2, MATCH($E167,IRS!$B$1:$Y$1, 0)) ) * IF($C$7=1,-1,1)   )</f>
        <v>-0.24350000000000005</v>
      </c>
      <c r="V168" s="83">
        <f>IF(   V167="", "", (V167 - INDEX(IRS!$B$2:$Y$13, V$2, MATCH($E167,IRS!$B$1:$Y$1, 0)) ) * IF($C$7=1,-1,1)   )</f>
        <v>-0.10210416666666644</v>
      </c>
      <c r="W168" s="84">
        <f>IF(   W167="", "", (W167 - INDEX(IRS!$B$2:$Y$13, W$2, MATCH($E167,IRS!$B$1:$Y$1, 0)) ) * IF($C$7=1,-1,1)   )</f>
        <v>1.9999999999997797E-3</v>
      </c>
      <c r="X168" s="85">
        <f>IF(   X167="", "", (X167 - INDEX(IRS!$B$2:$Y$13, X$2, MATCH($E167,IRS!$B$1:$Y$1, 0)) ) * IF($C$7=1,-1,1)   )</f>
        <v>-0.26650000000000018</v>
      </c>
      <c r="Y168" s="83">
        <f>IF(   Y167="", "", (Y167 - INDEX(IRS!$B$2:$Y$13, Y$2, MATCH($E167,IRS!$B$1:$Y$1, 0)) ) * IF($C$7=1,-1,1)   )</f>
        <v>-7.7210000000000445E-2</v>
      </c>
      <c r="Z168" s="84">
        <f>IF(   Z167="", "", (Z167 - INDEX(IRS!$B$2:$Y$13, Z$2, MATCH($E167,IRS!$B$1:$Y$1, 0)) ) * IF($C$7=1,-1,1)   )</f>
        <v>1.9999999999997797E-3</v>
      </c>
      <c r="AA168" s="85">
        <f>IF(   AA167="", "", (AA167 - INDEX(IRS!$B$2:$Y$13, AA$2, MATCH($E167,IRS!$B$1:$Y$1, 0)) ) * IF($C$7=1,-1,1)   )</f>
        <v>-6.150000000000011E-2</v>
      </c>
    </row>
    <row r="169" spans="2:27">
      <c r="B169" s="6" t="str">
        <f>_xll.IMDH("IR",$B$166,$C167,$O$9,$F$9,10,"Per=일, sort=D, real=true, Bizday=0, Quote=종가,Pos=40,Orient=H,DtFmt=1.TmFmt=1")</f>
        <v>조회[BONDAVG05]</v>
      </c>
      <c r="C169" s="6" t="s">
        <v>298</v>
      </c>
      <c r="D169" s="45"/>
      <c r="E169" s="51" t="s">
        <v>250</v>
      </c>
      <c r="F169" s="88">
        <v>2.7679999999999998</v>
      </c>
      <c r="G169" s="89">
        <v>2.77</v>
      </c>
      <c r="H169" s="89">
        <v>2.7610000000000001</v>
      </c>
      <c r="I169" s="89">
        <v>2.7469999999999999</v>
      </c>
      <c r="J169" s="89">
        <v>2.7490000000000001</v>
      </c>
      <c r="K169" s="89">
        <v>2.7469999999999999</v>
      </c>
      <c r="L169" s="89">
        <v>2.7509999999999999</v>
      </c>
      <c r="M169" s="89">
        <v>2.7509999999999999</v>
      </c>
      <c r="N169" s="89">
        <v>2.7509999999999999</v>
      </c>
      <c r="O169" s="89">
        <v>2.7570000000000001</v>
      </c>
      <c r="P169" s="80">
        <f>IF( INDEX(BOND!$B$2:$CH$13, P$2, MATCH($B$166, BOND!$B$16:$CH$16, 0)+MATCH($C169, BOND!$C$18:$N$18,0) )=0,
"",
INDEX(BOND!$B$2:$CH$13, P$2, MATCH($B$166, BOND!$B$16:$CH$16, 0)+MATCH($C169, BOND!$C$18:$N$18,0)) )</f>
        <v>2.7923999999999998</v>
      </c>
      <c r="Q169" s="80">
        <f>IF( INDEX(BOND!$B$2:$CH$13, Q$2, MATCH($B$166, BOND!$B$16:$CH$16, 0)+MATCH($C169, BOND!$C$18:$N$18,0) )=0,
"",
INDEX(BOND!$B$2:$CH$13, Q$2, MATCH($B$166, BOND!$B$16:$CH$16, 0)+MATCH($C169, BOND!$C$18:$N$18,0)) )</f>
        <v>2.7679999999999998</v>
      </c>
      <c r="R169" s="80">
        <f>IF( INDEX(BOND!$B$2:$CH$13, R$2, MATCH($B$166, BOND!$B$16:$CH$16, 0)+MATCH($C169, BOND!$C$18:$N$18,0) )=0,
"",
INDEX(BOND!$B$2:$CH$13, R$2, MATCH($B$166, BOND!$B$16:$CH$16, 0)+MATCH($C169, BOND!$C$18:$N$18,0)) )</f>
        <v>2.8119999999999998</v>
      </c>
      <c r="S169" s="80">
        <f>IF( INDEX(BOND!$B$2:$CH$13, S$2, MATCH($B$166, BOND!$B$16:$CH$16, 0)+MATCH($C169, BOND!$C$18:$N$18,0) )=0,
"",
INDEX(BOND!$B$2:$CH$13, S$2, MATCH($B$166, BOND!$B$16:$CH$16, 0)+MATCH($C169, BOND!$C$18:$N$18,0)) )</f>
        <v>2.8232333333333322</v>
      </c>
      <c r="T169" s="80">
        <f>IF( INDEX(BOND!$B$2:$CH$13, T$2, MATCH($B$166, BOND!$B$16:$CH$16, 0)+MATCH($C169, BOND!$C$18:$N$18,0) )=0,
"",
INDEX(BOND!$B$2:$CH$13, T$2, MATCH($B$166, BOND!$B$16:$CH$16, 0)+MATCH($C169, BOND!$C$18:$N$18,0)) )</f>
        <v>2.7679999999999998</v>
      </c>
      <c r="U169" s="80">
        <f>IF( INDEX(BOND!$B$2:$CH$13, U$2, MATCH($B$166, BOND!$B$16:$CH$16, 0)+MATCH($C169, BOND!$C$18:$N$18,0) )=0,
"",
INDEX(BOND!$B$2:$CH$13, U$2, MATCH($B$166, BOND!$B$16:$CH$16, 0)+MATCH($C169, BOND!$C$18:$N$18,0)) )</f>
        <v>2.9049999999999998</v>
      </c>
      <c r="V169" s="80">
        <f>IF( INDEX(BOND!$B$2:$CH$13, V$2, MATCH($B$166, BOND!$B$16:$CH$16, 0)+MATCH($C169, BOND!$C$18:$N$18,0) )=0,
"",
INDEX(BOND!$B$2:$CH$13, V$2, MATCH($B$166, BOND!$B$16:$CH$16, 0)+MATCH($C169, BOND!$C$18:$N$18,0)) )</f>
        <v>2.9427250000000016</v>
      </c>
      <c r="W169" s="80">
        <f>IF( INDEX(BOND!$B$2:$CH$13, W$2, MATCH($B$166, BOND!$B$16:$CH$16, 0)+MATCH($C169, BOND!$C$18:$N$18,0) )=0,
"",
INDEX(BOND!$B$2:$CH$13, W$2, MATCH($B$166, BOND!$B$16:$CH$16, 0)+MATCH($C169, BOND!$C$18:$N$18,0)) )</f>
        <v>2.7679999999999998</v>
      </c>
      <c r="X169" s="80">
        <f>IF( INDEX(BOND!$B$2:$CH$13, X$2, MATCH($B$166, BOND!$B$16:$CH$16, 0)+MATCH($C169, BOND!$C$18:$N$18,0) )=0,
"",
INDEX(BOND!$B$2:$CH$13, X$2, MATCH($B$166, BOND!$B$16:$CH$16, 0)+MATCH($C169, BOND!$C$18:$N$18,0)) )</f>
        <v>3.14</v>
      </c>
      <c r="Y169" s="80">
        <f>IF( INDEX(BOND!$B$2:$CH$13, Y$2, MATCH($B$166, BOND!$B$16:$CH$16, 0)+MATCH($C169, BOND!$C$18:$N$18,0) )=0,
"",
INDEX(BOND!$B$2:$CH$13, Y$2, MATCH($B$166, BOND!$B$16:$CH$16, 0)+MATCH($C169, BOND!$C$18:$N$18,0)) )</f>
        <v>3.1981199999999981</v>
      </c>
      <c r="Z169" s="80">
        <f>IF( INDEX(BOND!$B$2:$CH$13, Z$2, MATCH($B$166, BOND!$B$16:$CH$16, 0)+MATCH($C169, BOND!$C$18:$N$18,0) )=0,
"",
INDEX(BOND!$B$2:$CH$13, Z$2, MATCH($B$166, BOND!$B$16:$CH$16, 0)+MATCH($C169, BOND!$C$18:$N$18,0)) )</f>
        <v>2.7679999999999998</v>
      </c>
      <c r="AA169" s="80">
        <f>IF( INDEX(BOND!$B$2:$CH$13, AA$2, MATCH($B$166, BOND!$B$16:$CH$16, 0)+MATCH($C169, BOND!$C$18:$N$18,0) )=0,
"",
INDEX(BOND!$B$2:$CH$13, AA$2, MATCH($B$166, BOND!$B$16:$CH$16, 0)+MATCH($C169, BOND!$C$18:$N$18,0)) )</f>
        <v>3.5979999999999999</v>
      </c>
    </row>
    <row r="170" spans="2:27">
      <c r="D170" s="45"/>
      <c r="E170" s="52" t="s">
        <v>267</v>
      </c>
      <c r="F170" s="81">
        <f>IF(F169=0,"",(F169-AD18)*IF($C$7=1,-1,1))</f>
        <v>5.5499999999999883E-2</v>
      </c>
      <c r="G170" s="82">
        <f>IF(G169=0,"",(G169-AE18)*IF($C$7=1,-1,1))</f>
        <v>6.7499999999999893E-2</v>
      </c>
      <c r="H170" s="82">
        <f>IF(H169=0,"",(H169-AF18)*IF($C$7=1,-1,1))</f>
        <v>6.0999999999999943E-2</v>
      </c>
      <c r="I170" s="82">
        <f>IF(I169=0,"",(I169-AG18)*IF($C$7=1,-1,1))</f>
        <v>4.9500000000000099E-2</v>
      </c>
      <c r="J170" s="82">
        <f>IF(J169=0,"",(J169-AH18)*IF($C$7=1,-1,1))</f>
        <v>4.4000000000000039E-2</v>
      </c>
      <c r="K170" s="82">
        <f>IF(K169=0,"",(K169-AI18)*IF($C$7=1,-1,1))</f>
        <v>4.6999999999999709E-2</v>
      </c>
      <c r="L170" s="82">
        <f>IF(L169=0,"",(L169-AJ18)*IF($C$7=1,-1,1))</f>
        <v>5.0999999999999712E-2</v>
      </c>
      <c r="M170" s="82">
        <f>IF(M169=0,"",(M169-AK18)*IF($C$7=1,-1,1))</f>
        <v>5.600000000000005E-2</v>
      </c>
      <c r="N170" s="82">
        <f>IF(N169=0,"",(N169-AL18)*IF($C$7=1,-1,1))</f>
        <v>6.349999999999989E-2</v>
      </c>
      <c r="O170" s="82">
        <f>IF(O169=0,"",(O169-AM18)*IF($C$7=1,-1,1))</f>
        <v>8.4500000000000242E-2</v>
      </c>
      <c r="P170" s="83">
        <f>IF(   P169="", "", (P169 - INDEX(IRS!$B$2:$Y$13, P$2, MATCH($E169,IRS!$B$1:$Y$1, 0)) ) * IF($C$7=1,-1,1)   )</f>
        <v>9.5400000000000595E-2</v>
      </c>
      <c r="Q170" s="84">
        <f>IF(   Q169="", "", (Q169 - INDEX(IRS!$B$2:$Y$13, Q$2, MATCH($E169,IRS!$B$1:$Y$1, 0)) ) * IF($C$7=1,-1,1)   )</f>
        <v>9.5499999999999918E-2</v>
      </c>
      <c r="R170" s="85">
        <f>IF(   R169="", "", (R169 - INDEX(IRS!$B$2:$Y$13, R$2, MATCH($E169,IRS!$B$1:$Y$1, 0)) ) * IF($C$7=1,-1,1)   )</f>
        <v>8.1999999999999851E-2</v>
      </c>
      <c r="S170" s="86">
        <f>IF(   S169="", "", (S169 - INDEX(IRS!$B$2:$Y$13, S$2, MATCH($E169,IRS!$B$1:$Y$1, 0)) ) * IF($C$7=1,-1,1)   )</f>
        <v>4.2816666666666059E-2</v>
      </c>
      <c r="T170" s="84">
        <f>IF(   T169="", "", (T169 - INDEX(IRS!$B$2:$Y$13, T$2, MATCH($E169,IRS!$B$1:$Y$1, 0)) ) * IF($C$7=1,-1,1)   )</f>
        <v>9.5499999999999918E-2</v>
      </c>
      <c r="U170" s="87">
        <f>IF(   U169="", "", (U169 - INDEX(IRS!$B$2:$Y$13, U$2, MATCH($E169,IRS!$B$1:$Y$1, 0)) ) * IF($C$7=1,-1,1)   )</f>
        <v>-0.10250000000000004</v>
      </c>
      <c r="V170" s="83">
        <f>IF(   V169="", "", (V169 - INDEX(IRS!$B$2:$Y$13, V$2, MATCH($E169,IRS!$B$1:$Y$1, 0)) ) * IF($C$7=1,-1,1)   )</f>
        <v>-1.0545833333330368E-2</v>
      </c>
      <c r="W170" s="84">
        <f>IF(   W169="", "", (W169 - INDEX(IRS!$B$2:$Y$13, W$2, MATCH($E169,IRS!$B$1:$Y$1, 0)) ) * IF($C$7=1,-1,1)   )</f>
        <v>9.5499999999999918E-2</v>
      </c>
      <c r="X170" s="85">
        <f>IF(   X169="", "", (X169 - INDEX(IRS!$B$2:$Y$13, X$2, MATCH($E169,IRS!$B$1:$Y$1, 0)) ) * IF($C$7=1,-1,1)   )</f>
        <v>-0.15249999999999986</v>
      </c>
      <c r="Y170" s="83">
        <f>IF(   Y169="", "", (Y169 - INDEX(IRS!$B$2:$Y$13, Y$2, MATCH($E169,IRS!$B$1:$Y$1, 0)) ) * IF($C$7=1,-1,1)   )</f>
        <v>-1.5020000000000699E-2</v>
      </c>
      <c r="Z170" s="84">
        <f>IF(   Z169="", "", (Z169 - INDEX(IRS!$B$2:$Y$13, Z$2, MATCH($E169,IRS!$B$1:$Y$1, 0)) ) * IF($C$7=1,-1,1)   )</f>
        <v>9.5499999999999918E-2</v>
      </c>
      <c r="AA170" s="85">
        <f>IF(   AA169="", "", (AA169 - INDEX(IRS!$B$2:$Y$13, AA$2, MATCH($E169,IRS!$B$1:$Y$1, 0)) ) * IF($C$7=1,-1,1)   )</f>
        <v>-1.2000000000000011E-2</v>
      </c>
    </row>
    <row r="171" spans="2:27">
      <c r="B171" s="6" t="str">
        <f>_xll.IMDH("IR",$B$166,$C171,$O$9,$F$9,10,"Per=일, sort=D, real=true, Bizday=0, Quote=종가,Pos=40,Orient=H,DtFmt=1.TmFmt=1")</f>
        <v>조회[BONDAVG05]</v>
      </c>
      <c r="C171" s="6" t="s">
        <v>299</v>
      </c>
      <c r="D171" s="45"/>
      <c r="E171" s="51" t="s">
        <v>251</v>
      </c>
      <c r="F171" s="88">
        <v>2.7629999999999999</v>
      </c>
      <c r="G171" s="89">
        <v>2.7629999999999999</v>
      </c>
      <c r="H171" s="89">
        <v>2.7490000000000001</v>
      </c>
      <c r="I171" s="89">
        <v>2.74</v>
      </c>
      <c r="J171" s="89">
        <v>2.742</v>
      </c>
      <c r="K171" s="89">
        <v>2.7349999999999999</v>
      </c>
      <c r="L171" s="89">
        <v>2.7320000000000002</v>
      </c>
      <c r="M171" s="89">
        <v>2.7349999999999999</v>
      </c>
      <c r="N171" s="89">
        <v>2.72</v>
      </c>
      <c r="O171" s="89">
        <v>2.7040000000000002</v>
      </c>
      <c r="P171" s="80">
        <f>IF( INDEX(BOND!$B$2:$CH$13, P$2, MATCH($B$166, BOND!$B$16:$CH$16, 0)+MATCH($C171, BOND!$C$18:$N$18,0) )=0,
"",
INDEX(BOND!$B$2:$CH$13, P$2, MATCH($B$166, BOND!$B$16:$CH$16, 0)+MATCH($C171, BOND!$C$18:$N$18,0)) )</f>
        <v>2.7545500000000001</v>
      </c>
      <c r="Q171" s="80">
        <f>IF( INDEX(BOND!$B$2:$CH$13, Q$2, MATCH($B$166, BOND!$B$16:$CH$16, 0)+MATCH($C171, BOND!$C$18:$N$18,0) )=0,
"",
INDEX(BOND!$B$2:$CH$13, Q$2, MATCH($B$166, BOND!$B$16:$CH$16, 0)+MATCH($C171, BOND!$C$18:$N$18,0)) )</f>
        <v>2.7040000000000002</v>
      </c>
      <c r="R171" s="80">
        <f>IF( INDEX(BOND!$B$2:$CH$13, R$2, MATCH($B$166, BOND!$B$16:$CH$16, 0)+MATCH($C171, BOND!$C$18:$N$18,0) )=0,
"",
INDEX(BOND!$B$2:$CH$13, R$2, MATCH($B$166, BOND!$B$16:$CH$16, 0)+MATCH($C171, BOND!$C$18:$N$18,0)) )</f>
        <v>2.7850000000000001</v>
      </c>
      <c r="S171" s="80">
        <f>IF( INDEX(BOND!$B$2:$CH$13, S$2, MATCH($B$166, BOND!$B$16:$CH$16, 0)+MATCH($C171, BOND!$C$18:$N$18,0) )=0,
"",
INDEX(BOND!$B$2:$CH$13, S$2, MATCH($B$166, BOND!$B$16:$CH$16, 0)+MATCH($C171, BOND!$C$18:$N$18,0)) )</f>
        <v>2.7960333333333329</v>
      </c>
      <c r="T171" s="80">
        <f>IF( INDEX(BOND!$B$2:$CH$13, T$2, MATCH($B$166, BOND!$B$16:$CH$16, 0)+MATCH($C171, BOND!$C$18:$N$18,0) )=0,
"",
INDEX(BOND!$B$2:$CH$13, T$2, MATCH($B$166, BOND!$B$16:$CH$16, 0)+MATCH($C171, BOND!$C$18:$N$18,0)) )</f>
        <v>2.7040000000000002</v>
      </c>
      <c r="U171" s="80">
        <f>IF( INDEX(BOND!$B$2:$CH$13, U$2, MATCH($B$166, BOND!$B$16:$CH$16, 0)+MATCH($C171, BOND!$C$18:$N$18,0) )=0,
"",
INDEX(BOND!$B$2:$CH$13, U$2, MATCH($B$166, BOND!$B$16:$CH$16, 0)+MATCH($C171, BOND!$C$18:$N$18,0)) )</f>
        <v>2.8740000000000001</v>
      </c>
      <c r="V171" s="80">
        <f>IF( INDEX(BOND!$B$2:$CH$13, V$2, MATCH($B$166, BOND!$B$16:$CH$16, 0)+MATCH($C171, BOND!$C$18:$N$18,0) )=0,
"",
INDEX(BOND!$B$2:$CH$13, V$2, MATCH($B$166, BOND!$B$16:$CH$16, 0)+MATCH($C171, BOND!$C$18:$N$18,0)) )</f>
        <v>2.8879999999999999</v>
      </c>
      <c r="W171" s="80">
        <f>IF( INDEX(BOND!$B$2:$CH$13, W$2, MATCH($B$166, BOND!$B$16:$CH$16, 0)+MATCH($C171, BOND!$C$18:$N$18,0) )=0,
"",
INDEX(BOND!$B$2:$CH$13, W$2, MATCH($B$166, BOND!$B$16:$CH$16, 0)+MATCH($C171, BOND!$C$18:$N$18,0)) )</f>
        <v>2.7040000000000002</v>
      </c>
      <c r="X171" s="80">
        <f>IF( INDEX(BOND!$B$2:$CH$13, X$2, MATCH($B$166, BOND!$B$16:$CH$16, 0)+MATCH($C171, BOND!$C$18:$N$18,0) )=0,
"",
INDEX(BOND!$B$2:$CH$13, X$2, MATCH($B$166, BOND!$B$16:$CH$16, 0)+MATCH($C171, BOND!$C$18:$N$18,0)) )</f>
        <v>3.0590000000000002</v>
      </c>
      <c r="Y171" s="80">
        <f>IF( INDEX(BOND!$B$2:$CH$13, Y$2, MATCH($B$166, BOND!$B$16:$CH$16, 0)+MATCH($C171, BOND!$C$18:$N$18,0) )=0,
"",
INDEX(BOND!$B$2:$CH$13, Y$2, MATCH($B$166, BOND!$B$16:$CH$16, 0)+MATCH($C171, BOND!$C$18:$N$18,0)) )</f>
        <v>3.1484039999999989</v>
      </c>
      <c r="Z171" s="80">
        <f>IF( INDEX(BOND!$B$2:$CH$13, Z$2, MATCH($B$166, BOND!$B$16:$CH$16, 0)+MATCH($C171, BOND!$C$18:$N$18,0) )=0,
"",
INDEX(BOND!$B$2:$CH$13, Z$2, MATCH($B$166, BOND!$B$16:$CH$16, 0)+MATCH($C171, BOND!$C$18:$N$18,0)) )</f>
        <v>2.7040000000000002</v>
      </c>
      <c r="AA171" s="80">
        <f>IF( INDEX(BOND!$B$2:$CH$13, AA$2, MATCH($B$166, BOND!$B$16:$CH$16, 0)+MATCH($C171, BOND!$C$18:$N$18,0) )=0,
"",
INDEX(BOND!$B$2:$CH$13, AA$2, MATCH($B$166, BOND!$B$16:$CH$16, 0)+MATCH($C171, BOND!$C$18:$N$18,0)) )</f>
        <v>3.6040000000000001</v>
      </c>
    </row>
    <row r="172" spans="2:27">
      <c r="D172" s="45"/>
      <c r="E172" s="52" t="s">
        <v>267</v>
      </c>
      <c r="F172" s="81">
        <f>IF(F171=0,"",(F171-AD20)*IF($C$7=1,-1,1))</f>
        <v>8.2999999999999741E-2</v>
      </c>
      <c r="G172" s="82">
        <f>IF(G171=0,"",(G171-AE20)*IF($C$7=1,-1,1))</f>
        <v>9.7999999999999865E-2</v>
      </c>
      <c r="H172" s="82">
        <f>IF(H171=0,"",(H171-AF20)*IF($C$7=1,-1,1))</f>
        <v>8.6500000000000021E-2</v>
      </c>
      <c r="I172" s="82">
        <f>IF(I171=0,"",(I171-AG20)*IF($C$7=1,-1,1))</f>
        <v>8.0000000000000071E-2</v>
      </c>
      <c r="J172" s="82">
        <f>IF(J171=0,"",(J171-AH20)*IF($C$7=1,-1,1))</f>
        <v>7.4500000000000011E-2</v>
      </c>
      <c r="K172" s="82">
        <f>IF(K171=0,"",(K171-AI20)*IF($C$7=1,-1,1))</f>
        <v>7.4999999999999734E-2</v>
      </c>
      <c r="L172" s="82">
        <f>IF(L171=0,"",(L171-AJ20)*IF($C$7=1,-1,1))</f>
        <v>7.2000000000000064E-2</v>
      </c>
      <c r="M172" s="82">
        <f>IF(M171=0,"",(M171-AK20)*IF($C$7=1,-1,1))</f>
        <v>8.2500000000000018E-2</v>
      </c>
      <c r="N172" s="82">
        <f>IF(N171=0,"",(N171-AL20)*IF($C$7=1,-1,1))</f>
        <v>7.7500000000000124E-2</v>
      </c>
      <c r="O172" s="82">
        <f>IF(O171=0,"",(O171-AM20)*IF($C$7=1,-1,1))</f>
        <v>7.9000000000000181E-2</v>
      </c>
      <c r="P172" s="83">
        <f>IF(   P171="", "", (P171 - INDEX(IRS!$B$2:$Y$13, P$2, MATCH($E171,IRS!$B$1:$Y$1, 0)) ) * IF($C$7=1,-1,1)   )</f>
        <v>0.10179999999999989</v>
      </c>
      <c r="Q172" s="84">
        <f>IF(   Q171="", "", (Q171 - INDEX(IRS!$B$2:$Y$13, Q$2, MATCH($E171,IRS!$B$1:$Y$1, 0)) ) * IF($C$7=1,-1,1)   )</f>
        <v>7.9000000000000181E-2</v>
      </c>
      <c r="R172" s="85">
        <f>IF(   R171="", "", (R171 - INDEX(IRS!$B$2:$Y$13, R$2, MATCH($E171,IRS!$B$1:$Y$1, 0)) ) * IF($C$7=1,-1,1)   )</f>
        <v>0.10499999999999998</v>
      </c>
      <c r="S172" s="86">
        <f>IF(   S171="", "", (S171 - INDEX(IRS!$B$2:$Y$13, S$2, MATCH($E171,IRS!$B$1:$Y$1, 0)) ) * IF($C$7=1,-1,1)   )</f>
        <v>8.228333333333282E-2</v>
      </c>
      <c r="T172" s="84">
        <f>IF(   T171="", "", (T171 - INDEX(IRS!$B$2:$Y$13, T$2, MATCH($E171,IRS!$B$1:$Y$1, 0)) ) * IF($C$7=1,-1,1)   )</f>
        <v>7.9000000000000181E-2</v>
      </c>
      <c r="U172" s="87">
        <f>IF(   U171="", "", (U171 - INDEX(IRS!$B$2:$Y$13, U$2, MATCH($E171,IRS!$B$1:$Y$1, 0)) ) * IF($C$7=1,-1,1)   )</f>
        <v>-3.4999999999998366E-3</v>
      </c>
      <c r="V172" s="83">
        <f>IF(   V171="", "", (V171 - INDEX(IRS!$B$2:$Y$13, V$2, MATCH($E171,IRS!$B$1:$Y$1, 0)) ) * IF($C$7=1,-1,1)   )</f>
        <v>1.7229166666667517E-2</v>
      </c>
      <c r="W172" s="84">
        <f>IF(   W171="", "", (W171 - INDEX(IRS!$B$2:$Y$13, W$2, MATCH($E171,IRS!$B$1:$Y$1, 0)) ) * IF($C$7=1,-1,1)   )</f>
        <v>7.9000000000000181E-2</v>
      </c>
      <c r="X172" s="85">
        <f>IF(   X171="", "", (X171 - INDEX(IRS!$B$2:$Y$13, X$2, MATCH($E171,IRS!$B$1:$Y$1, 0)) ) * IF($C$7=1,-1,1)   )</f>
        <v>-0.13849999999999962</v>
      </c>
      <c r="Y172" s="83">
        <f>IF(   Y171="", "", (Y171 - INDEX(IRS!$B$2:$Y$13, Y$2, MATCH($E171,IRS!$B$1:$Y$1, 0)) ) * IF($C$7=1,-1,1)   )</f>
        <v>5.7339999999976854E-3</v>
      </c>
      <c r="Z172" s="84">
        <f>IF(   Z171="", "", (Z171 - INDEX(IRS!$B$2:$Y$13, Z$2, MATCH($E171,IRS!$B$1:$Y$1, 0)) ) * IF($C$7=1,-1,1)   )</f>
        <v>7.9000000000000181E-2</v>
      </c>
      <c r="AA172" s="85">
        <f>IF(   AA171="", "", (AA171 - INDEX(IRS!$B$2:$Y$13, AA$2, MATCH($E171,IRS!$B$1:$Y$1, 0)) ) * IF($C$7=1,-1,1)   )</f>
        <v>-1.6000000000000014E-2</v>
      </c>
    </row>
    <row r="173" spans="2:27">
      <c r="B173" s="6" t="str">
        <f>_xll.IMDH("IR",$B$166,$C173,$O$9,$F$9,10,"Per=일, sort=D, real=true, Bizday=0, Quote=종가,Pos=40,Orient=H,DtFmt=1.TmFmt=1")</f>
        <v>조회[BONDAVG05]</v>
      </c>
      <c r="C173" s="6" t="s">
        <v>300</v>
      </c>
      <c r="D173" s="45"/>
      <c r="E173" s="51" t="s">
        <v>252</v>
      </c>
      <c r="F173" s="88">
        <v>2.782</v>
      </c>
      <c r="G173" s="89">
        <v>2.78</v>
      </c>
      <c r="H173" s="89">
        <v>2.7690000000000001</v>
      </c>
      <c r="I173" s="89">
        <v>2.7669999999999999</v>
      </c>
      <c r="J173" s="89">
        <v>2.7730000000000001</v>
      </c>
      <c r="K173" s="89">
        <v>2.758</v>
      </c>
      <c r="L173" s="89">
        <v>2.762</v>
      </c>
      <c r="M173" s="89">
        <v>2.7639999999999998</v>
      </c>
      <c r="N173" s="89">
        <v>2.7559999999999998</v>
      </c>
      <c r="O173" s="89">
        <v>2.7480000000000002</v>
      </c>
      <c r="P173" s="80">
        <f>IF( INDEX(BOND!$B$2:$CH$13, P$2, MATCH($B$166, BOND!$B$16:$CH$16, 0)+MATCH($C173, BOND!$C$18:$N$18,0) )=0,
"",
INDEX(BOND!$B$2:$CH$13, P$2, MATCH($B$166, BOND!$B$16:$CH$16, 0)+MATCH($C173, BOND!$C$18:$N$18,0)) )</f>
        <v>2.7685999999999997</v>
      </c>
      <c r="Q173" s="80">
        <f>IF( INDEX(BOND!$B$2:$CH$13, Q$2, MATCH($B$166, BOND!$B$16:$CH$16, 0)+MATCH($C173, BOND!$C$18:$N$18,0) )=0,
"",
INDEX(BOND!$B$2:$CH$13, Q$2, MATCH($B$166, BOND!$B$16:$CH$16, 0)+MATCH($C173, BOND!$C$18:$N$18,0)) )</f>
        <v>2.7480000000000002</v>
      </c>
      <c r="R173" s="80">
        <f>IF( INDEX(BOND!$B$2:$CH$13, R$2, MATCH($B$166, BOND!$B$16:$CH$16, 0)+MATCH($C173, BOND!$C$18:$N$18,0) )=0,
"",
INDEX(BOND!$B$2:$CH$13, R$2, MATCH($B$166, BOND!$B$16:$CH$16, 0)+MATCH($C173, BOND!$C$18:$N$18,0)) )</f>
        <v>2.798</v>
      </c>
      <c r="S173" s="80">
        <f>IF( INDEX(BOND!$B$2:$CH$13, S$2, MATCH($B$166, BOND!$B$16:$CH$16, 0)+MATCH($C173, BOND!$C$18:$N$18,0) )=0,
"",
INDEX(BOND!$B$2:$CH$13, S$2, MATCH($B$166, BOND!$B$16:$CH$16, 0)+MATCH($C173, BOND!$C$18:$N$18,0)) )</f>
        <v>2.785533333333333</v>
      </c>
      <c r="T173" s="80">
        <f>IF( INDEX(BOND!$B$2:$CH$13, T$2, MATCH($B$166, BOND!$B$16:$CH$16, 0)+MATCH($C173, BOND!$C$18:$N$18,0) )=0,
"",
INDEX(BOND!$B$2:$CH$13, T$2, MATCH($B$166, BOND!$B$16:$CH$16, 0)+MATCH($C173, BOND!$C$18:$N$18,0)) )</f>
        <v>2.738</v>
      </c>
      <c r="U173" s="80">
        <f>IF( INDEX(BOND!$B$2:$CH$13, U$2, MATCH($B$166, BOND!$B$16:$CH$16, 0)+MATCH($C173, BOND!$C$18:$N$18,0) )=0,
"",
INDEX(BOND!$B$2:$CH$13, U$2, MATCH($B$166, BOND!$B$16:$CH$16, 0)+MATCH($C173, BOND!$C$18:$N$18,0)) )</f>
        <v>2.9</v>
      </c>
      <c r="V173" s="80">
        <f>IF( INDEX(BOND!$B$2:$CH$13, V$2, MATCH($B$166, BOND!$B$16:$CH$16, 0)+MATCH($C173, BOND!$C$18:$N$18,0) )=0,
"",
INDEX(BOND!$B$2:$CH$13, V$2, MATCH($B$166, BOND!$B$16:$CH$16, 0)+MATCH($C173, BOND!$C$18:$N$18,0)) )</f>
        <v>2.8743249999999989</v>
      </c>
      <c r="W173" s="80">
        <f>IF( INDEX(BOND!$B$2:$CH$13, W$2, MATCH($B$166, BOND!$B$16:$CH$16, 0)+MATCH($C173, BOND!$C$18:$N$18,0) )=0,
"",
INDEX(BOND!$B$2:$CH$13, W$2, MATCH($B$166, BOND!$B$16:$CH$16, 0)+MATCH($C173, BOND!$C$18:$N$18,0)) )</f>
        <v>2.738</v>
      </c>
      <c r="X173" s="80">
        <f>IF( INDEX(BOND!$B$2:$CH$13, X$2, MATCH($B$166, BOND!$B$16:$CH$16, 0)+MATCH($C173, BOND!$C$18:$N$18,0) )=0,
"",
INDEX(BOND!$B$2:$CH$13, X$2, MATCH($B$166, BOND!$B$16:$CH$16, 0)+MATCH($C173, BOND!$C$18:$N$18,0)) )</f>
        <v>3.0939999999999999</v>
      </c>
      <c r="Y173" s="80">
        <f>IF( INDEX(BOND!$B$2:$CH$13, Y$2, MATCH($B$166, BOND!$B$16:$CH$16, 0)+MATCH($C173, BOND!$C$18:$N$18,0) )=0,
"",
INDEX(BOND!$B$2:$CH$13, Y$2, MATCH($B$166, BOND!$B$16:$CH$16, 0)+MATCH($C173, BOND!$C$18:$N$18,0)) )</f>
        <v>3.1346559999999979</v>
      </c>
      <c r="Z173" s="80">
        <f>IF( INDEX(BOND!$B$2:$CH$13, Z$2, MATCH($B$166, BOND!$B$16:$CH$16, 0)+MATCH($C173, BOND!$C$18:$N$18,0) )=0,
"",
INDEX(BOND!$B$2:$CH$13, Z$2, MATCH($B$166, BOND!$B$16:$CH$16, 0)+MATCH($C173, BOND!$C$18:$N$18,0)) )</f>
        <v>2.738</v>
      </c>
      <c r="AA173" s="80">
        <f>IF( INDEX(BOND!$B$2:$CH$13, AA$2, MATCH($B$166, BOND!$B$16:$CH$16, 0)+MATCH($C173, BOND!$C$18:$N$18,0) )=0,
"",
INDEX(BOND!$B$2:$CH$13, AA$2, MATCH($B$166, BOND!$B$16:$CH$16, 0)+MATCH($C173, BOND!$C$18:$N$18,0)) )</f>
        <v>3.613</v>
      </c>
    </row>
    <row r="174" spans="2:27">
      <c r="D174" s="45"/>
      <c r="E174" s="52" t="s">
        <v>267</v>
      </c>
      <c r="F174" s="81">
        <f>IF(F173=0,"",(F173-AD22)*IF($C$7=1,-1,1))</f>
        <v>0.14700000000000024</v>
      </c>
      <c r="G174" s="82">
        <f>IF(G173=0,"",(G173-AE22)*IF($C$7=1,-1,1))</f>
        <v>0.15749999999999975</v>
      </c>
      <c r="H174" s="82">
        <f>IF(H173=0,"",(H173-AF22)*IF($C$7=1,-1,1))</f>
        <v>0.15399999999999991</v>
      </c>
      <c r="I174" s="82">
        <f>IF(I173=0,"",(I173-AG22)*IF($C$7=1,-1,1))</f>
        <v>0.15700000000000003</v>
      </c>
      <c r="J174" s="82">
        <f>IF(J173=0,"",(J173-AH22)*IF($C$7=1,-1,1))</f>
        <v>0.15300000000000002</v>
      </c>
      <c r="K174" s="82">
        <f>IF(K173=0,"",(K173-AI22)*IF($C$7=1,-1,1))</f>
        <v>0.14800000000000013</v>
      </c>
      <c r="L174" s="82">
        <f>IF(L173=0,"",(L173-AJ22)*IF($C$7=1,-1,1))</f>
        <v>0.15200000000000014</v>
      </c>
      <c r="M174" s="82">
        <f>IF(M173=0,"",(M173-AK22)*IF($C$7=1,-1,1))</f>
        <v>0.15899999999999981</v>
      </c>
      <c r="N174" s="82">
        <f>IF(N173=0,"",(N173-AL22)*IF($C$7=1,-1,1))</f>
        <v>0.16599999999999993</v>
      </c>
      <c r="O174" s="82">
        <f>IF(O173=0,"",(O173-AM22)*IF($C$7=1,-1,1))</f>
        <v>0.17550000000000043</v>
      </c>
      <c r="P174" s="83">
        <f>IF(   P173="", "", (P173 - INDEX(IRS!$B$2:$Y$13, P$2, MATCH($E173,IRS!$B$1:$Y$1, 0)) ) * IF($C$7=1,-1,1)   )</f>
        <v>0.16185000000000027</v>
      </c>
      <c r="Q174" s="84">
        <f>IF(   Q173="", "", (Q173 - INDEX(IRS!$B$2:$Y$13, Q$2, MATCH($E173,IRS!$B$1:$Y$1, 0)) ) * IF($C$7=1,-1,1)   )</f>
        <v>0.17550000000000043</v>
      </c>
      <c r="R174" s="85">
        <f>IF(   R173="", "", (R173 - INDEX(IRS!$B$2:$Y$13, R$2, MATCH($E173,IRS!$B$1:$Y$1, 0)) ) * IF($C$7=1,-1,1)   )</f>
        <v>0.16300000000000026</v>
      </c>
      <c r="S174" s="86">
        <f>IF(   S173="", "", (S173 - INDEX(IRS!$B$2:$Y$13, S$2, MATCH($E173,IRS!$B$1:$Y$1, 0)) ) * IF($C$7=1,-1,1)   )</f>
        <v>0.12853333333333383</v>
      </c>
      <c r="T174" s="84">
        <f>IF(   T173="", "", (T173 - INDEX(IRS!$B$2:$Y$13, T$2, MATCH($E173,IRS!$B$1:$Y$1, 0)) ) * IF($C$7=1,-1,1)   )</f>
        <v>0.1655000000000002</v>
      </c>
      <c r="U174" s="87">
        <f>IF(   U173="", "", (U173 - INDEX(IRS!$B$2:$Y$13, U$2, MATCH($E173,IRS!$B$1:$Y$1, 0)) ) * IF($C$7=1,-1,1)   )</f>
        <v>9.7499999999999698E-2</v>
      </c>
      <c r="V174" s="83">
        <f>IF(   V173="", "", (V173 - INDEX(IRS!$B$2:$Y$13, V$2, MATCH($E173,IRS!$B$1:$Y$1, 0)) ) * IF($C$7=1,-1,1)   )</f>
        <v>8.3720833333332578E-2</v>
      </c>
      <c r="W174" s="84">
        <f>IF(   W173="", "", (W173 - INDEX(IRS!$B$2:$Y$13, W$2, MATCH($E173,IRS!$B$1:$Y$1, 0)) ) * IF($C$7=1,-1,1)   )</f>
        <v>0.1655000000000002</v>
      </c>
      <c r="X174" s="85">
        <f>IF(   X173="", "", (X173 - INDEX(IRS!$B$2:$Y$13, X$2, MATCH($E173,IRS!$B$1:$Y$1, 0)) ) * IF($C$7=1,-1,1)   )</f>
        <v>-6.0000000000002274E-3</v>
      </c>
      <c r="Y174" s="83">
        <f>IF(   Y173="", "", (Y173 - INDEX(IRS!$B$2:$Y$13, Y$2, MATCH($E173,IRS!$B$1:$Y$1, 0)) ) * IF($C$7=1,-1,1)   )</f>
        <v>7.2825999999996949E-2</v>
      </c>
      <c r="Z174" s="84">
        <f>IF(   Z173="", "", (Z173 - INDEX(IRS!$B$2:$Y$13, Z$2, MATCH($E173,IRS!$B$1:$Y$1, 0)) ) * IF($C$7=1,-1,1)   )</f>
        <v>0.1655000000000002</v>
      </c>
      <c r="AA174" s="85">
        <f>IF(   AA173="", "", (AA173 - INDEX(IRS!$B$2:$Y$13, AA$2, MATCH($E173,IRS!$B$1:$Y$1, 0)) ) * IF($C$7=1,-1,1)   )</f>
        <v>1.2999999999999901E-2</v>
      </c>
    </row>
    <row r="175" spans="2:27">
      <c r="B175" s="6" t="str">
        <f>_xll.IMDH("IR",$B$166,$C175,$O$9,$F$9,10,"Per=일, sort=D, real=true, Bizday=0, Quote=종가,Pos=40,Orient=H,DtFmt=1.TmFmt=1")</f>
        <v>조회[BONDAVG05]</v>
      </c>
      <c r="C175" s="6" t="s">
        <v>301</v>
      </c>
      <c r="D175" s="45"/>
      <c r="E175" s="51" t="s">
        <v>253</v>
      </c>
      <c r="F175" s="88">
        <v>2.8050000000000002</v>
      </c>
      <c r="G175" s="89">
        <v>2.7989999999999999</v>
      </c>
      <c r="H175" s="89">
        <v>2.7909999999999999</v>
      </c>
      <c r="I175" s="89">
        <v>2.786</v>
      </c>
      <c r="J175" s="89">
        <v>2.8029999999999999</v>
      </c>
      <c r="K175" s="89">
        <v>2.7930000000000001</v>
      </c>
      <c r="L175" s="89">
        <v>2.7949999999999999</v>
      </c>
      <c r="M175" s="89">
        <v>2.7850000000000001</v>
      </c>
      <c r="N175" s="89">
        <v>2.77</v>
      </c>
      <c r="O175" s="89">
        <v>2.7559999999999998</v>
      </c>
      <c r="P175" s="80">
        <f>IF( INDEX(BOND!$B$2:$CH$13, P$2, MATCH($B$166, BOND!$B$16:$CH$16, 0)+MATCH($C175, BOND!$C$18:$N$18,0) )=0,
"",
INDEX(BOND!$B$2:$CH$13, P$2, MATCH($B$166, BOND!$B$16:$CH$16, 0)+MATCH($C175, BOND!$C$18:$N$18,0)) )</f>
        <v>2.7912499999999998</v>
      </c>
      <c r="Q175" s="80">
        <f>IF( INDEX(BOND!$B$2:$CH$13, Q$2, MATCH($B$166, BOND!$B$16:$CH$16, 0)+MATCH($C175, BOND!$C$18:$N$18,0) )=0,
"",
INDEX(BOND!$B$2:$CH$13, Q$2, MATCH($B$166, BOND!$B$16:$CH$16, 0)+MATCH($C175, BOND!$C$18:$N$18,0)) )</f>
        <v>2.7559999999999998</v>
      </c>
      <c r="R175" s="80">
        <f>IF( INDEX(BOND!$B$2:$CH$13, R$2, MATCH($B$166, BOND!$B$16:$CH$16, 0)+MATCH($C175, BOND!$C$18:$N$18,0) )=0,
"",
INDEX(BOND!$B$2:$CH$13, R$2, MATCH($B$166, BOND!$B$16:$CH$16, 0)+MATCH($C175, BOND!$C$18:$N$18,0)) )</f>
        <v>2.8279999999999998</v>
      </c>
      <c r="S175" s="80">
        <f>IF( INDEX(BOND!$B$2:$CH$13, S$2, MATCH($B$166, BOND!$B$16:$CH$16, 0)+MATCH($C175, BOND!$C$18:$N$18,0) )=0,
"",
INDEX(BOND!$B$2:$CH$13, S$2, MATCH($B$166, BOND!$B$16:$CH$16, 0)+MATCH($C175, BOND!$C$18:$N$18,0)) )</f>
        <v>2.812416666666667</v>
      </c>
      <c r="T175" s="80">
        <f>IF( INDEX(BOND!$B$2:$CH$13, T$2, MATCH($B$166, BOND!$B$16:$CH$16, 0)+MATCH($C175, BOND!$C$18:$N$18,0) )=0,
"",
INDEX(BOND!$B$2:$CH$13, T$2, MATCH($B$166, BOND!$B$16:$CH$16, 0)+MATCH($C175, BOND!$C$18:$N$18,0)) )</f>
        <v>2.7559999999999998</v>
      </c>
      <c r="U175" s="80">
        <f>IF( INDEX(BOND!$B$2:$CH$13, U$2, MATCH($B$166, BOND!$B$16:$CH$16, 0)+MATCH($C175, BOND!$C$18:$N$18,0) )=0,
"",
INDEX(BOND!$B$2:$CH$13, U$2, MATCH($B$166, BOND!$B$16:$CH$16, 0)+MATCH($C175, BOND!$C$18:$N$18,0)) )</f>
        <v>2.9420000000000002</v>
      </c>
      <c r="V175" s="80">
        <f>IF( INDEX(BOND!$B$2:$CH$13, V$2, MATCH($B$166, BOND!$B$16:$CH$16, 0)+MATCH($C175, BOND!$C$18:$N$18,0) )=0,
"",
INDEX(BOND!$B$2:$CH$13, V$2, MATCH($B$166, BOND!$B$16:$CH$16, 0)+MATCH($C175, BOND!$C$18:$N$18,0)) )</f>
        <v>2.9002416666666671</v>
      </c>
      <c r="W175" s="80">
        <f>IF( INDEX(BOND!$B$2:$CH$13, W$2, MATCH($B$166, BOND!$B$16:$CH$16, 0)+MATCH($C175, BOND!$C$18:$N$18,0) )=0,
"",
INDEX(BOND!$B$2:$CH$13, W$2, MATCH($B$166, BOND!$B$16:$CH$16, 0)+MATCH($C175, BOND!$C$18:$N$18,0)) )</f>
        <v>2.7559999999999998</v>
      </c>
      <c r="X175" s="80">
        <f>IF( INDEX(BOND!$B$2:$CH$13, X$2, MATCH($B$166, BOND!$B$16:$CH$16, 0)+MATCH($C175, BOND!$C$18:$N$18,0) )=0,
"",
INDEX(BOND!$B$2:$CH$13, X$2, MATCH($B$166, BOND!$B$16:$CH$16, 0)+MATCH($C175, BOND!$C$18:$N$18,0)) )</f>
        <v>3.1259999999999999</v>
      </c>
      <c r="Y175" s="80">
        <f>IF( INDEX(BOND!$B$2:$CH$13, Y$2, MATCH($B$166, BOND!$B$16:$CH$16, 0)+MATCH($C175, BOND!$C$18:$N$18,0) )=0,
"",
INDEX(BOND!$B$2:$CH$13, Y$2, MATCH($B$166, BOND!$B$16:$CH$16, 0)+MATCH($C175, BOND!$C$18:$N$18,0)) )</f>
        <v>3.1558079999999973</v>
      </c>
      <c r="Z175" s="80">
        <f>IF( INDEX(BOND!$B$2:$CH$13, Z$2, MATCH($B$166, BOND!$B$16:$CH$16, 0)+MATCH($C175, BOND!$C$18:$N$18,0) )=0,
"",
INDEX(BOND!$B$2:$CH$13, Z$2, MATCH($B$166, BOND!$B$16:$CH$16, 0)+MATCH($C175, BOND!$C$18:$N$18,0)) )</f>
        <v>2.7559999999999998</v>
      </c>
      <c r="AA175" s="80">
        <f>IF( INDEX(BOND!$B$2:$CH$13, AA$2, MATCH($B$166, BOND!$B$16:$CH$16, 0)+MATCH($C175, BOND!$C$18:$N$18,0) )=0,
"",
INDEX(BOND!$B$2:$CH$13, AA$2, MATCH($B$166, BOND!$B$16:$CH$16, 0)+MATCH($C175, BOND!$C$18:$N$18,0)) )</f>
        <v>3.6970000000000001</v>
      </c>
    </row>
    <row r="176" spans="2:27">
      <c r="D176" s="45"/>
      <c r="E176" s="52" t="s">
        <v>267</v>
      </c>
      <c r="F176" s="81">
        <f>IF(F175=0,"",(F175-AD24)*IF($C$7=1,-1,1))</f>
        <v>0.19500000000000028</v>
      </c>
      <c r="G176" s="82">
        <f>IF(G175=0,"",(G175-AE24)*IF($C$7=1,-1,1))</f>
        <v>0.20149999999999979</v>
      </c>
      <c r="H176" s="82">
        <f>IF(H175=0,"",(H175-AF24)*IF($C$7=1,-1,1))</f>
        <v>0.20350000000000001</v>
      </c>
      <c r="I176" s="82">
        <f>IF(I175=0,"",(I175-AG24)*IF($C$7=1,-1,1))</f>
        <v>0.20849999999999991</v>
      </c>
      <c r="J176" s="82">
        <f>IF(J175=0,"",(J175-AH24)*IF($C$7=1,-1,1))</f>
        <v>0.21799999999999997</v>
      </c>
      <c r="K176" s="82">
        <f>IF(K175=0,"",(K175-AI24)*IF($C$7=1,-1,1))</f>
        <v>0.22300000000000031</v>
      </c>
      <c r="L176" s="82">
        <f>IF(L175=0,"",(L175-AJ24)*IF($C$7=1,-1,1))</f>
        <v>0.22500000000000009</v>
      </c>
      <c r="M176" s="82">
        <f>IF(M175=0,"",(M175-AK24)*IF($C$7=1,-1,1))</f>
        <v>0.21750000000000025</v>
      </c>
      <c r="N176" s="82">
        <f>IF(N175=0,"",(N175-AL24)*IF($C$7=1,-1,1))</f>
        <v>0.22250000000000014</v>
      </c>
      <c r="O176" s="82">
        <f>IF(O175=0,"",(O175-AM24)*IF($C$7=1,-1,1))</f>
        <v>0.22599999999999998</v>
      </c>
      <c r="P176" s="83">
        <f>IF(   P175="", "", (P175 - INDEX(IRS!$B$2:$Y$13, P$2, MATCH($E175,IRS!$B$1:$Y$1, 0)) ) * IF($C$7=1,-1,1)   )</f>
        <v>0.21674999999999978</v>
      </c>
      <c r="Q176" s="84">
        <f>IF(   Q175="", "", (Q175 - INDEX(IRS!$B$2:$Y$13, Q$2, MATCH($E175,IRS!$B$1:$Y$1, 0)) ) * IF($C$7=1,-1,1)   )</f>
        <v>0.22599999999999998</v>
      </c>
      <c r="R176" s="85">
        <f>IF(   R175="", "", (R175 - INDEX(IRS!$B$2:$Y$13, R$2, MATCH($E175,IRS!$B$1:$Y$1, 0)) ) * IF($C$7=1,-1,1)   )</f>
        <v>0.21799999999999997</v>
      </c>
      <c r="S176" s="86">
        <f>IF(   S175="", "", (S175 - INDEX(IRS!$B$2:$Y$13, S$2, MATCH($E175,IRS!$B$1:$Y$1, 0)) ) * IF($C$7=1,-1,1)   )</f>
        <v>0.1867083333333337</v>
      </c>
      <c r="T176" s="84">
        <f>IF(   T175="", "", (T175 - INDEX(IRS!$B$2:$Y$13, T$2, MATCH($E175,IRS!$B$1:$Y$1, 0)) ) * IF($C$7=1,-1,1)   )</f>
        <v>0.22599999999999998</v>
      </c>
      <c r="U176" s="87">
        <f>IF(   U175="", "", (U175 - INDEX(IRS!$B$2:$Y$13, U$2, MATCH($E175,IRS!$B$1:$Y$1, 0)) ) * IF($C$7=1,-1,1)   )</f>
        <v>0.16700000000000026</v>
      </c>
      <c r="V176" s="83">
        <f>IF(   V175="", "", (V175 - INDEX(IRS!$B$2:$Y$13, V$2, MATCH($E175,IRS!$B$1:$Y$1, 0)) ) * IF($C$7=1,-1,1)   )</f>
        <v>0.15155416666666754</v>
      </c>
      <c r="W176" s="84">
        <f>IF(   W175="", "", (W175 - INDEX(IRS!$B$2:$Y$13, W$2, MATCH($E175,IRS!$B$1:$Y$1, 0)) ) * IF($C$7=1,-1,1)   )</f>
        <v>0.22599999999999998</v>
      </c>
      <c r="X176" s="85">
        <f>IF(   X175="", "", (X175 - INDEX(IRS!$B$2:$Y$13, X$2, MATCH($E175,IRS!$B$1:$Y$1, 0)) ) * IF($C$7=1,-1,1)   )</f>
        <v>7.6000000000000068E-2</v>
      </c>
      <c r="Y176" s="83">
        <f>IF(   Y175="", "", (Y175 - INDEX(IRS!$B$2:$Y$13, Y$2, MATCH($E175,IRS!$B$1:$Y$1, 0)) ) * IF($C$7=1,-1,1)   )</f>
        <v>0.14608799999999622</v>
      </c>
      <c r="Z176" s="84">
        <f>IF(   Z175="", "", (Z175 - INDEX(IRS!$B$2:$Y$13, Z$2, MATCH($E175,IRS!$B$1:$Y$1, 0)) ) * IF($C$7=1,-1,1)   )</f>
        <v>0.22599999999999998</v>
      </c>
      <c r="AA176" s="85">
        <f>IF(   AA175="", "", (AA175 - INDEX(IRS!$B$2:$Y$13, AA$2, MATCH($E175,IRS!$B$1:$Y$1, 0)) ) * IF($C$7=1,-1,1)   )</f>
        <v>0.11699999999999999</v>
      </c>
    </row>
    <row r="177" spans="2:27">
      <c r="B177" s="6" t="str">
        <f>_xll.IMDH("IR",$B$166,$C177,$O$9,$F$9,10,"Per=일, sort=D, real=true, Bizday=0, Quote=종가,Pos=40,Orient=H,DtFmt=1.TmFmt=1")</f>
        <v>조회[BONDAVG05]</v>
      </c>
      <c r="C177" s="6" t="s">
        <v>302</v>
      </c>
      <c r="D177" s="45"/>
      <c r="E177" s="51" t="s">
        <v>254</v>
      </c>
      <c r="F177" s="88">
        <v>2.8559999999999999</v>
      </c>
      <c r="G177" s="89">
        <v>2.8479999999999999</v>
      </c>
      <c r="H177" s="89">
        <v>2.8420000000000001</v>
      </c>
      <c r="I177" s="89">
        <v>2.8439999999999999</v>
      </c>
      <c r="J177" s="89">
        <v>2.863</v>
      </c>
      <c r="K177" s="89">
        <v>2.8519999999999999</v>
      </c>
      <c r="L177" s="89">
        <v>2.85</v>
      </c>
      <c r="M177" s="89">
        <v>2.84</v>
      </c>
      <c r="N177" s="89">
        <v>2.8220000000000001</v>
      </c>
      <c r="O177" s="89">
        <v>2.8</v>
      </c>
      <c r="P177" s="80">
        <f>IF( INDEX(BOND!$B$2:$CH$13, P$2, MATCH($B$166, BOND!$B$16:$CH$16, 0)+MATCH($C177, BOND!$C$18:$N$18,0) )=0,
"",
INDEX(BOND!$B$2:$CH$13, P$2, MATCH($B$166, BOND!$B$16:$CH$16, 0)+MATCH($C177, BOND!$C$18:$N$18,0)) )</f>
        <v>2.8357000000000001</v>
      </c>
      <c r="Q177" s="80">
        <f>IF( INDEX(BOND!$B$2:$CH$13, Q$2, MATCH($B$166, BOND!$B$16:$CH$16, 0)+MATCH($C177, BOND!$C$18:$N$18,0) )=0,
"",
INDEX(BOND!$B$2:$CH$13, Q$2, MATCH($B$166, BOND!$B$16:$CH$16, 0)+MATCH($C177, BOND!$C$18:$N$18,0)) )</f>
        <v>2.7959999999999998</v>
      </c>
      <c r="R177" s="80">
        <f>IF( INDEX(BOND!$B$2:$CH$13, R$2, MATCH($B$166, BOND!$B$16:$CH$16, 0)+MATCH($C177, BOND!$C$18:$N$18,0) )=0,
"",
INDEX(BOND!$B$2:$CH$13, R$2, MATCH($B$166, BOND!$B$16:$CH$16, 0)+MATCH($C177, BOND!$C$18:$N$18,0)) )</f>
        <v>2.863</v>
      </c>
      <c r="S177" s="80">
        <f>IF( INDEX(BOND!$B$2:$CH$13, S$2, MATCH($B$166, BOND!$B$16:$CH$16, 0)+MATCH($C177, BOND!$C$18:$N$18,0) )=0,
"",
INDEX(BOND!$B$2:$CH$13, S$2, MATCH($B$166, BOND!$B$16:$CH$16, 0)+MATCH($C177, BOND!$C$18:$N$18,0)) )</f>
        <v>2.8477500000000004</v>
      </c>
      <c r="T177" s="80">
        <f>IF( INDEX(BOND!$B$2:$CH$13, T$2, MATCH($B$166, BOND!$B$16:$CH$16, 0)+MATCH($C177, BOND!$C$18:$N$18,0) )=0,
"",
INDEX(BOND!$B$2:$CH$13, T$2, MATCH($B$166, BOND!$B$16:$CH$16, 0)+MATCH($C177, BOND!$C$18:$N$18,0)) )</f>
        <v>2.7509999999999999</v>
      </c>
      <c r="U177" s="80">
        <f>IF( INDEX(BOND!$B$2:$CH$13, U$2, MATCH($B$166, BOND!$B$16:$CH$16, 0)+MATCH($C177, BOND!$C$18:$N$18,0) )=0,
"",
INDEX(BOND!$B$2:$CH$13, U$2, MATCH($B$166, BOND!$B$16:$CH$16, 0)+MATCH($C177, BOND!$C$18:$N$18,0)) )</f>
        <v>2.944</v>
      </c>
      <c r="V177" s="80">
        <f>IF( INDEX(BOND!$B$2:$CH$13, V$2, MATCH($B$166, BOND!$B$16:$CH$16, 0)+MATCH($C177, BOND!$C$18:$N$18,0) )=0,
"",
INDEX(BOND!$B$2:$CH$13, V$2, MATCH($B$166, BOND!$B$16:$CH$16, 0)+MATCH($C177, BOND!$C$18:$N$18,0)) )</f>
        <v>2.9367250000000005</v>
      </c>
      <c r="W177" s="80">
        <f>IF( INDEX(BOND!$B$2:$CH$13, W$2, MATCH($B$166, BOND!$B$16:$CH$16, 0)+MATCH($C177, BOND!$C$18:$N$18,0) )=0,
"",
INDEX(BOND!$B$2:$CH$13, W$2, MATCH($B$166, BOND!$B$16:$CH$16, 0)+MATCH($C177, BOND!$C$18:$N$18,0)) )</f>
        <v>2.7509999999999999</v>
      </c>
      <c r="X177" s="80">
        <f>IF( INDEX(BOND!$B$2:$CH$13, X$2, MATCH($B$166, BOND!$B$16:$CH$16, 0)+MATCH($C177, BOND!$C$18:$N$18,0) )=0,
"",
INDEX(BOND!$B$2:$CH$13, X$2, MATCH($B$166, BOND!$B$16:$CH$16, 0)+MATCH($C177, BOND!$C$18:$N$18,0)) )</f>
        <v>3.181</v>
      </c>
      <c r="Y177" s="80">
        <f>IF( INDEX(BOND!$B$2:$CH$13, Y$2, MATCH($B$166, BOND!$B$16:$CH$16, 0)+MATCH($C177, BOND!$C$18:$N$18,0) )=0,
"",
INDEX(BOND!$B$2:$CH$13, Y$2, MATCH($B$166, BOND!$B$16:$CH$16, 0)+MATCH($C177, BOND!$C$18:$N$18,0)) )</f>
        <v>3.1928240000000021</v>
      </c>
      <c r="Z177" s="80">
        <f>IF( INDEX(BOND!$B$2:$CH$13, Z$2, MATCH($B$166, BOND!$B$16:$CH$16, 0)+MATCH($C177, BOND!$C$18:$N$18,0) )=0,
"",
INDEX(BOND!$B$2:$CH$13, Z$2, MATCH($B$166, BOND!$B$16:$CH$16, 0)+MATCH($C177, BOND!$C$18:$N$18,0)) )</f>
        <v>2.7509999999999999</v>
      </c>
      <c r="AA177" s="80">
        <f>IF( INDEX(BOND!$B$2:$CH$13, AA$2, MATCH($B$166, BOND!$B$16:$CH$16, 0)+MATCH($C177, BOND!$C$18:$N$18,0) )=0,
"",
INDEX(BOND!$B$2:$CH$13, AA$2, MATCH($B$166, BOND!$B$16:$CH$16, 0)+MATCH($C177, BOND!$C$18:$N$18,0)) )</f>
        <v>3.8159999999999998</v>
      </c>
    </row>
    <row r="178" spans="2:27">
      <c r="D178" s="45"/>
      <c r="E178" s="52" t="s">
        <v>267</v>
      </c>
      <c r="F178" s="81">
        <f>IF(F177=0,"",(F177-AD26)*IF($C$7=1,-1,1))</f>
        <v>0.26099999999999968</v>
      </c>
      <c r="G178" s="82">
        <f>IF(G177=0,"",(G177-AE26)*IF($C$7=1,-1,1))</f>
        <v>0.26549999999999985</v>
      </c>
      <c r="H178" s="82">
        <f>IF(H177=0,"",(H177-AF26)*IF($C$7=1,-1,1))</f>
        <v>0.26950000000000029</v>
      </c>
      <c r="I178" s="82">
        <f>IF(I177=0,"",(I177-AG26)*IF($C$7=1,-1,1))</f>
        <v>0.28149999999999986</v>
      </c>
      <c r="J178" s="82">
        <f>IF(J177=0,"",(J177-AH26)*IF($C$7=1,-1,1))</f>
        <v>0.29300000000000015</v>
      </c>
      <c r="K178" s="82">
        <f>IF(K177=0,"",(K177-AI26)*IF($C$7=1,-1,1))</f>
        <v>0.29949999999999966</v>
      </c>
      <c r="L178" s="82">
        <f>IF(L177=0,"",(L177-AJ26)*IF($C$7=1,-1,1))</f>
        <v>0.29499999999999993</v>
      </c>
      <c r="M178" s="82">
        <f>IF(M177=0,"",(M177-AK26)*IF($C$7=1,-1,1))</f>
        <v>0.28749999999999964</v>
      </c>
      <c r="N178" s="82">
        <f>IF(N177=0,"",(N177-AL26)*IF($C$7=1,-1,1))</f>
        <v>0.28949999999999987</v>
      </c>
      <c r="O178" s="82">
        <f>IF(O177=0,"",(O177-AM26)*IF($C$7=1,-1,1))</f>
        <v>0.28749999999999964</v>
      </c>
      <c r="P178" s="83">
        <f>IF(   P177="", "", (P177 - INDEX(IRS!$B$2:$Y$13, P$2, MATCH($E177,IRS!$B$1:$Y$1, 0)) ) * IF($C$7=1,-1,1)   )</f>
        <v>0.27657499999999935</v>
      </c>
      <c r="Q178" s="84">
        <f>IF(   Q177="", "", (Q177 - INDEX(IRS!$B$2:$Y$13, Q$2, MATCH($E177,IRS!$B$1:$Y$1, 0)) ) * IF($C$7=1,-1,1)   )</f>
        <v>0.28349999999999964</v>
      </c>
      <c r="R178" s="85">
        <f>IF(   R177="", "", (R177 - INDEX(IRS!$B$2:$Y$13, R$2, MATCH($E177,IRS!$B$1:$Y$1, 0)) ) * IF($C$7=1,-1,1)   )</f>
        <v>0.2629999999999999</v>
      </c>
      <c r="S178" s="86">
        <f>IF(   S177="", "", (S177 - INDEX(IRS!$B$2:$Y$13, S$2, MATCH($E177,IRS!$B$1:$Y$1, 0)) ) * IF($C$7=1,-1,1)   )</f>
        <v>0.23795833333333327</v>
      </c>
      <c r="T178" s="84">
        <f>IF(   T177="", "", (T177 - INDEX(IRS!$B$2:$Y$13, T$2, MATCH($E177,IRS!$B$1:$Y$1, 0)) ) * IF($C$7=1,-1,1)   )</f>
        <v>0.23849999999999971</v>
      </c>
      <c r="U178" s="87">
        <f>IF(   U177="", "", (U177 - INDEX(IRS!$B$2:$Y$13, U$2, MATCH($E177,IRS!$B$1:$Y$1, 0)) ) * IF($C$7=1,-1,1)   )</f>
        <v>0.19899999999999984</v>
      </c>
      <c r="V178" s="83">
        <f>IF(   V177="", "", (V177 - INDEX(IRS!$B$2:$Y$13, V$2, MATCH($E177,IRS!$B$1:$Y$1, 0)) ) * IF($C$7=1,-1,1)   )</f>
        <v>0.22078749999999969</v>
      </c>
      <c r="W178" s="84">
        <f>IF(   W177="", "", (W177 - INDEX(IRS!$B$2:$Y$13, W$2, MATCH($E177,IRS!$B$1:$Y$1, 0)) ) * IF($C$7=1,-1,1)   )</f>
        <v>0.23849999999999971</v>
      </c>
      <c r="X178" s="85">
        <f>IF(   X177="", "", (X177 - INDEX(IRS!$B$2:$Y$13, X$2, MATCH($E177,IRS!$B$1:$Y$1, 0)) ) * IF($C$7=1,-1,1)   )</f>
        <v>0.16599999999999993</v>
      </c>
      <c r="Y178" s="83">
        <f>IF(   Y177="", "", (Y177 - INDEX(IRS!$B$2:$Y$13, Y$2, MATCH($E177,IRS!$B$1:$Y$1, 0)) ) * IF($C$7=1,-1,1)   )</f>
        <v>0.23300400000000066</v>
      </c>
      <c r="Z178" s="84">
        <f>IF(   Z177="", "", (Z177 - INDEX(IRS!$B$2:$Y$13, Z$2, MATCH($E177,IRS!$B$1:$Y$1, 0)) ) * IF($C$7=1,-1,1)   )</f>
        <v>0.23849999999999971</v>
      </c>
      <c r="AA178" s="85">
        <f>IF(   AA177="", "", (AA177 - INDEX(IRS!$B$2:$Y$13, AA$2, MATCH($E177,IRS!$B$1:$Y$1, 0)) ) * IF($C$7=1,-1,1)   )</f>
        <v>0.25599999999999978</v>
      </c>
    </row>
    <row r="179" spans="2:27">
      <c r="B179" s="6" t="str">
        <f>_xll.IMDH("IR",$B$166,$C179,$O$9,$F$9,10,"Per=일, sort=D, real=true, Bizday=0, Quote=종가,Pos=40,Orient=H,DtFmt=1.TmFmt=1")</f>
        <v>조회[BONDAVG05]</v>
      </c>
      <c r="C179" s="6" t="s">
        <v>239</v>
      </c>
      <c r="E179" s="51" t="s">
        <v>318</v>
      </c>
      <c r="F179" s="88">
        <v>2.8759999999999999</v>
      </c>
      <c r="G179" s="89">
        <v>2.86</v>
      </c>
      <c r="H179" s="89">
        <v>2.851</v>
      </c>
      <c r="I179" s="89">
        <v>2.8540000000000001</v>
      </c>
      <c r="J179" s="89">
        <v>2.867</v>
      </c>
      <c r="K179" s="89">
        <v>2.8580000000000001</v>
      </c>
      <c r="L179" s="89">
        <v>2.8570000000000002</v>
      </c>
      <c r="M179" s="89">
        <v>2.847</v>
      </c>
      <c r="N179" s="89">
        <v>2.831</v>
      </c>
      <c r="O179" s="89">
        <v>2.819</v>
      </c>
      <c r="P179" s="80">
        <f>IF( INDEX(BOND!$B$2:$CH$13, P$2, MATCH($B$166, BOND!$B$16:$CH$16, 0)+MATCH($C179, BOND!$C$18:$N$18,0) )=0,
"",
INDEX(BOND!$B$2:$CH$13, P$2, MATCH($B$166, BOND!$B$16:$CH$16, 0)+MATCH($C179, BOND!$C$18:$N$18,0)) )</f>
        <v>2.8455000000000004</v>
      </c>
      <c r="Q179" s="80">
        <f>IF( INDEX(BOND!$B$2:$CH$13, Q$2, MATCH($B$166, BOND!$B$16:$CH$16, 0)+MATCH($C179, BOND!$C$18:$N$18,0) )=0,
"",
INDEX(BOND!$B$2:$CH$13, Q$2, MATCH($B$166, BOND!$B$16:$CH$16, 0)+MATCH($C179, BOND!$C$18:$N$18,0)) )</f>
        <v>2.8</v>
      </c>
      <c r="R179" s="80">
        <f>IF( INDEX(BOND!$B$2:$CH$13, R$2, MATCH($B$166, BOND!$B$16:$CH$16, 0)+MATCH($C179, BOND!$C$18:$N$18,0) )=0,
"",
INDEX(BOND!$B$2:$CH$13, R$2, MATCH($B$166, BOND!$B$16:$CH$16, 0)+MATCH($C179, BOND!$C$18:$N$18,0)) )</f>
        <v>2.8759999999999999</v>
      </c>
      <c r="S179" s="80">
        <f>IF( INDEX(BOND!$B$2:$CH$13, S$2, MATCH($B$166, BOND!$B$16:$CH$16, 0)+MATCH($C179, BOND!$C$18:$N$18,0) )=0,
"",
INDEX(BOND!$B$2:$CH$13, S$2, MATCH($B$166, BOND!$B$16:$CH$16, 0)+MATCH($C179, BOND!$C$18:$N$18,0)) )</f>
        <v>2.8789666666666673</v>
      </c>
      <c r="T179" s="80">
        <f>IF( INDEX(BOND!$B$2:$CH$13, T$2, MATCH($B$166, BOND!$B$16:$CH$16, 0)+MATCH($C179, BOND!$C$18:$N$18,0) )=0,
"",
INDEX(BOND!$B$2:$CH$13, T$2, MATCH($B$166, BOND!$B$16:$CH$16, 0)+MATCH($C179, BOND!$C$18:$N$18,0)) )</f>
        <v>2.8</v>
      </c>
      <c r="U179" s="80">
        <f>IF( INDEX(BOND!$B$2:$CH$13, U$2, MATCH($B$166, BOND!$B$16:$CH$16, 0)+MATCH($C179, BOND!$C$18:$N$18,0) )=0,
"",
INDEX(BOND!$B$2:$CH$13, U$2, MATCH($B$166, BOND!$B$16:$CH$16, 0)+MATCH($C179, BOND!$C$18:$N$18,0)) )</f>
        <v>3.03</v>
      </c>
      <c r="V179" s="80">
        <f>IF( INDEX(BOND!$B$2:$CH$13, V$2, MATCH($B$166, BOND!$B$16:$CH$16, 0)+MATCH($C179, BOND!$C$18:$N$18,0) )=0,
"",
INDEX(BOND!$B$2:$CH$13, V$2, MATCH($B$166, BOND!$B$16:$CH$16, 0)+MATCH($C179, BOND!$C$18:$N$18,0)) )</f>
        <v>2.969766666666668</v>
      </c>
      <c r="W179" s="80">
        <f>IF( INDEX(BOND!$B$2:$CH$13, W$2, MATCH($B$166, BOND!$B$16:$CH$16, 0)+MATCH($C179, BOND!$C$18:$N$18,0) )=0,
"",
INDEX(BOND!$B$2:$CH$13, W$2, MATCH($B$166, BOND!$B$16:$CH$16, 0)+MATCH($C179, BOND!$C$18:$N$18,0)) )</f>
        <v>2.798</v>
      </c>
      <c r="X179" s="80">
        <f>IF( INDEX(BOND!$B$2:$CH$13, X$2, MATCH($B$166, BOND!$B$16:$CH$16, 0)+MATCH($C179, BOND!$C$18:$N$18,0) )=0,
"",
INDEX(BOND!$B$2:$CH$13, X$2, MATCH($B$166, BOND!$B$16:$CH$16, 0)+MATCH($C179, BOND!$C$18:$N$18,0)) )</f>
        <v>3.226</v>
      </c>
      <c r="Y179" s="80">
        <f>IF( INDEX(BOND!$B$2:$CH$13, Y$2, MATCH($B$166, BOND!$B$16:$CH$16, 0)+MATCH($C179, BOND!$C$18:$N$18,0) )=0,
"",
INDEX(BOND!$B$2:$CH$13, Y$2, MATCH($B$166, BOND!$B$16:$CH$16, 0)+MATCH($C179, BOND!$C$18:$N$18,0)) )</f>
        <v>3.2130480000000001</v>
      </c>
      <c r="Z179" s="80">
        <f>IF( INDEX(BOND!$B$2:$CH$13, Z$2, MATCH($B$166, BOND!$B$16:$CH$16, 0)+MATCH($C179, BOND!$C$18:$N$18,0) )=0,
"",
INDEX(BOND!$B$2:$CH$13, Z$2, MATCH($B$166, BOND!$B$16:$CH$16, 0)+MATCH($C179, BOND!$C$18:$N$18,0)) )</f>
        <v>2.798</v>
      </c>
      <c r="AA179" s="80">
        <f>IF( INDEX(BOND!$B$2:$CH$13, AA$2, MATCH($B$166, BOND!$B$16:$CH$16, 0)+MATCH($C179, BOND!$C$18:$N$18,0) )=0,
"",
INDEX(BOND!$B$2:$CH$13, AA$2, MATCH($B$166, BOND!$B$16:$CH$16, 0)+MATCH($C179, BOND!$C$18:$N$18,0)) )</f>
        <v>3.8410000000000002</v>
      </c>
    </row>
    <row r="180" spans="2:27">
      <c r="E180" s="52" t="s">
        <v>267</v>
      </c>
      <c r="F180" s="81">
        <f>IF(F179=0,"",(F179-AD28)*IF($C$7=1,-1,1))</f>
        <v>0.27349999999999985</v>
      </c>
      <c r="G180" s="82">
        <f>IF(G179=0,"",(G179-AE28)*IF($C$7=1,-1,1))</f>
        <v>0.26750000000000007</v>
      </c>
      <c r="H180" s="82">
        <f>IF(H179=0,"",(H179-AF28)*IF($C$7=1,-1,1))</f>
        <v>0.26600000000000001</v>
      </c>
      <c r="I180" s="82">
        <f>IF(I179=0,"",(I179-AG28)*IF($C$7=1,-1,1))</f>
        <v>0.27899999999999991</v>
      </c>
      <c r="J180" s="82">
        <f>IF(J179=0,"",(J179-AH28)*IF($C$7=1,-1,1))</f>
        <v>0.28200000000000003</v>
      </c>
      <c r="K180" s="82">
        <f>IF(K179=0,"",(K179-AI28)*IF($C$7=1,-1,1))</f>
        <v>0.2955000000000001</v>
      </c>
      <c r="L180" s="82">
        <f>IF(L179=0,"",(L179-AJ28)*IF($C$7=1,-1,1))</f>
        <v>0.28700000000000037</v>
      </c>
      <c r="M180" s="82">
        <f>IF(M179=0,"",(M179-AK28)*IF($C$7=1,-1,1))</f>
        <v>0.27450000000000019</v>
      </c>
      <c r="N180" s="82">
        <f>IF(N179=0,"",(N179-AL28)*IF($C$7=1,-1,1))</f>
        <v>0.28350000000000009</v>
      </c>
      <c r="O180" s="82">
        <f>IF(O179=0,"",(O179-AM28)*IF($C$7=1,-1,1))</f>
        <v>0.29150000000000009</v>
      </c>
      <c r="P180" s="83">
        <f>IF(   P179="", "", (P179 - INDEX(IRS!$B$2:$Y$13, P$2, MATCH($E179,IRS!$B$1:$Y$1, 0)) ) * IF($C$7=1,-1,1)   )</f>
        <v>0.27362500000000001</v>
      </c>
      <c r="Q180" s="84">
        <f>IF(   Q179="", "", (Q179 - INDEX(IRS!$B$2:$Y$13, Q$2, MATCH($E179,IRS!$B$1:$Y$1, 0)) ) * IF($C$7=1,-1,1)   )</f>
        <v>0.27249999999999996</v>
      </c>
      <c r="R180" s="85">
        <f>IF(   R179="", "", (R179 - INDEX(IRS!$B$2:$Y$13, R$2, MATCH($E179,IRS!$B$1:$Y$1, 0)) ) * IF($C$7=1,-1,1)   )</f>
        <v>0.26099999999999968</v>
      </c>
      <c r="S180" s="86">
        <f>IF(   S179="", "", (S179 - INDEX(IRS!$B$2:$Y$13, S$2, MATCH($E179,IRS!$B$1:$Y$1, 0)) ) * IF($C$7=1,-1,1)   )</f>
        <v>0.25325833333333403</v>
      </c>
      <c r="T180" s="84">
        <f>IF(   T179="", "", (T179 - INDEX(IRS!$B$2:$Y$13, T$2, MATCH($E179,IRS!$B$1:$Y$1, 0)) ) * IF($C$7=1,-1,1)   )</f>
        <v>0.27249999999999996</v>
      </c>
      <c r="U180" s="87">
        <f>IF(   U179="", "", (U179 - INDEX(IRS!$B$2:$Y$13, U$2, MATCH($E179,IRS!$B$1:$Y$1, 0)) ) * IF($C$7=1,-1,1)   )</f>
        <v>0.27499999999999991</v>
      </c>
      <c r="V180" s="83">
        <f>IF(   V179="", "", (V179 - INDEX(IRS!$B$2:$Y$13, V$2, MATCH($E179,IRS!$B$1:$Y$1, 0)) ) * IF($C$7=1,-1,1)   )</f>
        <v>0.25039166666666945</v>
      </c>
      <c r="W180" s="84">
        <f>IF(   W179="", "", (W179 - INDEX(IRS!$B$2:$Y$13, W$2, MATCH($E179,IRS!$B$1:$Y$1, 0)) ) * IF($C$7=1,-1,1)   )</f>
        <v>0.27800000000000002</v>
      </c>
      <c r="X180" s="85">
        <f>IF(   X179="", "", (X179 - INDEX(IRS!$B$2:$Y$13, X$2, MATCH($E179,IRS!$B$1:$Y$1, 0)) ) * IF($C$7=1,-1,1)   )</f>
        <v>0.21099999999999985</v>
      </c>
      <c r="Y180" s="83">
        <f>IF(   Y179="", "", (Y179 - INDEX(IRS!$B$2:$Y$13, Y$2, MATCH($E179,IRS!$B$1:$Y$1, 0)) ) * IF($C$7=1,-1,1)   )</f>
        <v>0.26318800000000175</v>
      </c>
      <c r="Z180" s="84">
        <f>IF(   Z179="", "", (Z179 - INDEX(IRS!$B$2:$Y$13, Z$2, MATCH($E179,IRS!$B$1:$Y$1, 0)) ) * IF($C$7=1,-1,1)   )</f>
        <v>0.27800000000000002</v>
      </c>
      <c r="AA180" s="85">
        <f>IF(   AA179="", "", (AA179 - INDEX(IRS!$B$2:$Y$13, AA$2, MATCH($E179,IRS!$B$1:$Y$1, 0)) ) * IF($C$7=1,-1,1)   )</f>
        <v>0.27600000000000025</v>
      </c>
    </row>
    <row r="181" spans="2:27">
      <c r="B181" s="6" t="str">
        <f>_xll.IMDH("IR",$B$166,$C181,$O$9,$F$9,10,"Per=일, sort=D, real=true, Bizday=0, Quote=종가,Pos=40,Orient=H,DtFmt=1.TmFmt=1")</f>
        <v>조회[BONDAVG05]</v>
      </c>
      <c r="C181" s="6" t="s">
        <v>241</v>
      </c>
      <c r="E181" s="51" t="s">
        <v>319</v>
      </c>
      <c r="F181" s="88">
        <v>2.9350000000000001</v>
      </c>
      <c r="G181" s="89">
        <v>2.92</v>
      </c>
      <c r="H181" s="89">
        <v>2.9089999999999998</v>
      </c>
      <c r="I181" s="89">
        <v>2.9060000000000001</v>
      </c>
      <c r="J181" s="89">
        <v>2.9180000000000001</v>
      </c>
      <c r="K181" s="89">
        <v>2.911</v>
      </c>
      <c r="L181" s="89">
        <v>2.91</v>
      </c>
      <c r="M181" s="89">
        <v>2.9060000000000001</v>
      </c>
      <c r="N181" s="89">
        <v>2.8839999999999999</v>
      </c>
      <c r="O181" s="89">
        <v>2.8660000000000001</v>
      </c>
      <c r="P181" s="80">
        <f>IF( INDEX(BOND!$B$2:$CH$13, P$2, MATCH($B$166, BOND!$B$16:$CH$16, 0)+MATCH($C181, BOND!$C$18:$N$18,0) )=0,
"",
INDEX(BOND!$B$2:$CH$13, P$2, MATCH($B$166, BOND!$B$16:$CH$16, 0)+MATCH($C181, BOND!$C$18:$N$18,0)) )</f>
        <v>2.8994499999999999</v>
      </c>
      <c r="Q181" s="80">
        <f>IF( INDEX(BOND!$B$2:$CH$13, Q$2, MATCH($B$166, BOND!$B$16:$CH$16, 0)+MATCH($C181, BOND!$C$18:$N$18,0) )=0,
"",
INDEX(BOND!$B$2:$CH$13, Q$2, MATCH($B$166, BOND!$B$16:$CH$16, 0)+MATCH($C181, BOND!$C$18:$N$18,0)) )</f>
        <v>2.8490000000000002</v>
      </c>
      <c r="R181" s="80">
        <f>IF( INDEX(BOND!$B$2:$CH$13, R$2, MATCH($B$166, BOND!$B$16:$CH$16, 0)+MATCH($C181, BOND!$C$18:$N$18,0) )=0,
"",
INDEX(BOND!$B$2:$CH$13, R$2, MATCH($B$166, BOND!$B$16:$CH$16, 0)+MATCH($C181, BOND!$C$18:$N$18,0)) )</f>
        <v>2.9350000000000001</v>
      </c>
      <c r="S181" s="80">
        <f>IF( INDEX(BOND!$B$2:$CH$13, S$2, MATCH($B$166, BOND!$B$16:$CH$16, 0)+MATCH($C181, BOND!$C$18:$N$18,0) )=0,
"",
INDEX(BOND!$B$2:$CH$13, S$2, MATCH($B$166, BOND!$B$16:$CH$16, 0)+MATCH($C181, BOND!$C$18:$N$18,0)) )</f>
        <v>2.9240833333333347</v>
      </c>
      <c r="T181" s="80">
        <f>IF( INDEX(BOND!$B$2:$CH$13, T$2, MATCH($B$166, BOND!$B$16:$CH$16, 0)+MATCH($C181, BOND!$C$18:$N$18,0) )=0,
"",
INDEX(BOND!$B$2:$CH$13, T$2, MATCH($B$166, BOND!$B$16:$CH$16, 0)+MATCH($C181, BOND!$C$18:$N$18,0)) )</f>
        <v>2.8490000000000002</v>
      </c>
      <c r="U181" s="80">
        <f>IF( INDEX(BOND!$B$2:$CH$13, U$2, MATCH($B$166, BOND!$B$16:$CH$16, 0)+MATCH($C181, BOND!$C$18:$N$18,0) )=0,
"",
INDEX(BOND!$B$2:$CH$13, U$2, MATCH($B$166, BOND!$B$16:$CH$16, 0)+MATCH($C181, BOND!$C$18:$N$18,0)) )</f>
        <v>3.069</v>
      </c>
      <c r="V181" s="80">
        <f>IF( INDEX(BOND!$B$2:$CH$13, V$2, MATCH($B$166, BOND!$B$16:$CH$16, 0)+MATCH($C181, BOND!$C$18:$N$18,0) )=0,
"",
INDEX(BOND!$B$2:$CH$13, V$2, MATCH($B$166, BOND!$B$16:$CH$16, 0)+MATCH($C181, BOND!$C$18:$N$18,0)) )</f>
        <v>3.0063500000000003</v>
      </c>
      <c r="W181" s="80">
        <f>IF( INDEX(BOND!$B$2:$CH$13, W$2, MATCH($B$166, BOND!$B$16:$CH$16, 0)+MATCH($C181, BOND!$C$18:$N$18,0) )=0,
"",
INDEX(BOND!$B$2:$CH$13, W$2, MATCH($B$166, BOND!$B$16:$CH$16, 0)+MATCH($C181, BOND!$C$18:$N$18,0)) )</f>
        <v>2.7919999999999998</v>
      </c>
      <c r="X181" s="80">
        <f>IF( INDEX(BOND!$B$2:$CH$13, X$2, MATCH($B$166, BOND!$B$16:$CH$16, 0)+MATCH($C181, BOND!$C$18:$N$18,0) )=0,
"",
INDEX(BOND!$B$2:$CH$13, X$2, MATCH($B$166, BOND!$B$16:$CH$16, 0)+MATCH($C181, BOND!$C$18:$N$18,0)) )</f>
        <v>3.2509999999999999</v>
      </c>
      <c r="Y181" s="80">
        <f>IF( INDEX(BOND!$B$2:$CH$13, Y$2, MATCH($B$166, BOND!$B$16:$CH$16, 0)+MATCH($C181, BOND!$C$18:$N$18,0) )=0,
"",
INDEX(BOND!$B$2:$CH$13, Y$2, MATCH($B$166, BOND!$B$16:$CH$16, 0)+MATCH($C181, BOND!$C$18:$N$18,0)) )</f>
        <v>3.2190160000000003</v>
      </c>
      <c r="Z181" s="80">
        <f>IF( INDEX(BOND!$B$2:$CH$13, Z$2, MATCH($B$166, BOND!$B$16:$CH$16, 0)+MATCH($C181, BOND!$C$18:$N$18,0) )=0,
"",
INDEX(BOND!$B$2:$CH$13, Z$2, MATCH($B$166, BOND!$B$16:$CH$16, 0)+MATCH($C181, BOND!$C$18:$N$18,0)) )</f>
        <v>2.7919999999999998</v>
      </c>
      <c r="AA181" s="80">
        <f>IF( INDEX(BOND!$B$2:$CH$13, AA$2, MATCH($B$166, BOND!$B$16:$CH$16, 0)+MATCH($C181, BOND!$C$18:$N$18,0) )=0,
"",
INDEX(BOND!$B$2:$CH$13, AA$2, MATCH($B$166, BOND!$B$16:$CH$16, 0)+MATCH($C181, BOND!$C$18:$N$18,0)) )</f>
        <v>3.7959999999999998</v>
      </c>
    </row>
    <row r="182" spans="2:27">
      <c r="E182" s="76" t="s">
        <v>267</v>
      </c>
      <c r="F182" s="81">
        <f>IF(F181=0,"",(F181-AD30)*IF($C$7=1,-1,1))</f>
        <v>0.32250000000000023</v>
      </c>
      <c r="G182" s="82">
        <f>IF(G181=0,"",(G181-AE30)*IF($C$7=1,-1,1))</f>
        <v>0.31749999999999989</v>
      </c>
      <c r="H182" s="82">
        <f>IF(H181=0,"",(H181-AF30)*IF($C$7=1,-1,1))</f>
        <v>0.31399999999999961</v>
      </c>
      <c r="I182" s="82">
        <f>IF(I181=0,"",(I181-AG30)*IF($C$7=1,-1,1))</f>
        <v>0.32350000000000012</v>
      </c>
      <c r="J182" s="82">
        <f>IF(J181=0,"",(J181-AH30)*IF($C$7=1,-1,1))</f>
        <v>0.32550000000000034</v>
      </c>
      <c r="K182" s="82">
        <f>IF(K181=0,"",(K181-AI30)*IF($C$7=1,-1,1))</f>
        <v>0.33850000000000025</v>
      </c>
      <c r="L182" s="82">
        <f>IF(L181=0,"",(L181-AJ30)*IF($C$7=1,-1,1))</f>
        <v>0.32750000000000012</v>
      </c>
      <c r="M182" s="82">
        <f>IF(M181=0,"",(M181-AK30)*IF($C$7=1,-1,1))</f>
        <v>0.32100000000000017</v>
      </c>
      <c r="N182" s="82">
        <f>IF(N181=0,"",(N181-AL30)*IF($C$7=1,-1,1))</f>
        <v>0.32649999999999979</v>
      </c>
      <c r="O182" s="82">
        <f>IF(O181=0,"",(O181-AM30)*IF($C$7=1,-1,1))</f>
        <v>0.32850000000000001</v>
      </c>
      <c r="P182" s="83">
        <f>IF(   P181="", "", (P181 - INDEX(IRS!$B$2:$Y$13, P$2, MATCH($E181,IRS!$B$1:$Y$1, 0)) ) * IF($C$7=1,-1,1)   )</f>
        <v>0.31932500000000008</v>
      </c>
      <c r="Q182" s="84">
        <f>IF(   Q181="", "", (Q181 - INDEX(IRS!$B$2:$Y$13, Q$2, MATCH($E181,IRS!$B$1:$Y$1, 0)) ) * IF($C$7=1,-1,1)   )</f>
        <v>0.31400000000000006</v>
      </c>
      <c r="R182" s="85">
        <f>IF(   R181="", "", (R181 - INDEX(IRS!$B$2:$Y$13, R$2, MATCH($E181,IRS!$B$1:$Y$1, 0)) ) * IF($C$7=1,-1,1)   )</f>
        <v>0.31000000000000005</v>
      </c>
      <c r="S182" s="86">
        <f>IF(   S181="", "", (S181 - INDEX(IRS!$B$2:$Y$13, S$2, MATCH($E181,IRS!$B$1:$Y$1, 0)) ) * IF($C$7=1,-1,1)   )</f>
        <v>0.28975000000000195</v>
      </c>
      <c r="T182" s="84">
        <f>IF(   T181="", "", (T181 - INDEX(IRS!$B$2:$Y$13, T$2, MATCH($E181,IRS!$B$1:$Y$1, 0)) ) * IF($C$7=1,-1,1)   )</f>
        <v>0.31400000000000006</v>
      </c>
      <c r="U182" s="87">
        <f>IF(   U181="", "", (U181 - INDEX(IRS!$B$2:$Y$13, U$2, MATCH($E181,IRS!$B$1:$Y$1, 0)) ) * IF($C$7=1,-1,1)   )</f>
        <v>0.30900000000000016</v>
      </c>
      <c r="V182" s="83">
        <f>IF(   V181="", "", (V181 - INDEX(IRS!$B$2:$Y$13, V$2, MATCH($E181,IRS!$B$1:$Y$1, 0)) ) * IF($C$7=1,-1,1)   )</f>
        <v>0.28493333333333437</v>
      </c>
      <c r="W182" s="84">
        <f>IF(   W181="", "", (W181 - INDEX(IRS!$B$2:$Y$13, W$2, MATCH($E181,IRS!$B$1:$Y$1, 0)) ) * IF($C$7=1,-1,1)   )</f>
        <v>0.28449999999999998</v>
      </c>
      <c r="X182" s="85">
        <f>IF(   X181="", "", (X181 - INDEX(IRS!$B$2:$Y$13, X$2, MATCH($E181,IRS!$B$1:$Y$1, 0)) ) * IF($C$7=1,-1,1)   )</f>
        <v>0.23099999999999987</v>
      </c>
      <c r="Y182" s="83">
        <f>IF(   Y181="", "", (Y181 - INDEX(IRS!$B$2:$Y$13, Y$2, MATCH($E181,IRS!$B$1:$Y$1, 0)) ) * IF($C$7=1,-1,1)   )</f>
        <v>0.27419600000000255</v>
      </c>
      <c r="Z182" s="84">
        <f>IF(   Z181="", "", (Z181 - INDEX(IRS!$B$2:$Y$13, Z$2, MATCH($E181,IRS!$B$1:$Y$1, 0)) ) * IF($C$7=1,-1,1)   )</f>
        <v>0.28449999999999998</v>
      </c>
      <c r="AA182" s="85">
        <f>IF(   AA181="", "", (AA181 - INDEX(IRS!$B$2:$Y$13, AA$2, MATCH($E181,IRS!$B$1:$Y$1, 0)) ) * IF($C$7=1,-1,1)   )</f>
        <v>0.22350000000000003</v>
      </c>
    </row>
  </sheetData>
  <mergeCells count="133">
    <mergeCell ref="V39:X39"/>
    <mergeCell ref="V57:X57"/>
    <mergeCell ref="V75:X75"/>
    <mergeCell ref="V93:X93"/>
    <mergeCell ref="V111:X111"/>
    <mergeCell ref="V129:X129"/>
    <mergeCell ref="V147:X147"/>
    <mergeCell ref="V165:X165"/>
    <mergeCell ref="Y39:AA39"/>
    <mergeCell ref="Y57:AA57"/>
    <mergeCell ref="Y75:AA75"/>
    <mergeCell ref="Y93:AA93"/>
    <mergeCell ref="Y111:AA111"/>
    <mergeCell ref="Y129:AA129"/>
    <mergeCell ref="Y147:AA147"/>
    <mergeCell ref="Y165:AA165"/>
    <mergeCell ref="S147:U147"/>
    <mergeCell ref="S165:U165"/>
    <mergeCell ref="P57:R57"/>
    <mergeCell ref="P75:R75"/>
    <mergeCell ref="P93:R93"/>
    <mergeCell ref="P111:R111"/>
    <mergeCell ref="P129:R129"/>
    <mergeCell ref="P147:R147"/>
    <mergeCell ref="P165:R165"/>
    <mergeCell ref="E13:E14"/>
    <mergeCell ref="P39:R39"/>
    <mergeCell ref="S39:U39"/>
    <mergeCell ref="S57:U57"/>
    <mergeCell ref="S75:U75"/>
    <mergeCell ref="S93:U93"/>
    <mergeCell ref="S111:U111"/>
    <mergeCell ref="S129:U129"/>
    <mergeCell ref="H129:H130"/>
    <mergeCell ref="I129:I130"/>
    <mergeCell ref="J129:J130"/>
    <mergeCell ref="K129:K130"/>
    <mergeCell ref="L129:L130"/>
    <mergeCell ref="M129:M130"/>
    <mergeCell ref="N129:N130"/>
    <mergeCell ref="L39:L40"/>
    <mergeCell ref="M39:M40"/>
    <mergeCell ref="N39:N40"/>
    <mergeCell ref="M75:M76"/>
    <mergeCell ref="N75:N76"/>
    <mergeCell ref="O75:O76"/>
    <mergeCell ref="F93:F94"/>
    <mergeCell ref="G93:G94"/>
    <mergeCell ref="H93:H94"/>
    <mergeCell ref="F147:F148"/>
    <mergeCell ref="G147:G148"/>
    <mergeCell ref="H147:H148"/>
    <mergeCell ref="I147:I148"/>
    <mergeCell ref="J147:J148"/>
    <mergeCell ref="K147:K148"/>
    <mergeCell ref="L147:L148"/>
    <mergeCell ref="M147:M148"/>
    <mergeCell ref="N147:N148"/>
    <mergeCell ref="I93:I94"/>
    <mergeCell ref="J93:J94"/>
    <mergeCell ref="K93:K94"/>
    <mergeCell ref="L93:L94"/>
    <mergeCell ref="M93:M94"/>
    <mergeCell ref="N93:N94"/>
    <mergeCell ref="O93:O94"/>
    <mergeCell ref="F75:F76"/>
    <mergeCell ref="G75:G76"/>
    <mergeCell ref="H75:H76"/>
    <mergeCell ref="I75:I76"/>
    <mergeCell ref="J75:J76"/>
    <mergeCell ref="K75:K76"/>
    <mergeCell ref="L75:L76"/>
    <mergeCell ref="O39:O40"/>
    <mergeCell ref="F57:F58"/>
    <mergeCell ref="G57:G58"/>
    <mergeCell ref="H57:H58"/>
    <mergeCell ref="I57:I58"/>
    <mergeCell ref="J57:J58"/>
    <mergeCell ref="K57:K58"/>
    <mergeCell ref="L57:L58"/>
    <mergeCell ref="M57:M58"/>
    <mergeCell ref="N57:N58"/>
    <mergeCell ref="O57:O58"/>
    <mergeCell ref="F39:F40"/>
    <mergeCell ref="G39:G40"/>
    <mergeCell ref="H39:H40"/>
    <mergeCell ref="I39:I40"/>
    <mergeCell ref="J39:J40"/>
    <mergeCell ref="K39:K40"/>
    <mergeCell ref="E3:AA3"/>
    <mergeCell ref="P13:R13"/>
    <mergeCell ref="V13:X13"/>
    <mergeCell ref="Y13:AA13"/>
    <mergeCell ref="V9:X9"/>
    <mergeCell ref="Y9:AA9"/>
    <mergeCell ref="E5:E7"/>
    <mergeCell ref="F13:F14"/>
    <mergeCell ref="G13:G14"/>
    <mergeCell ref="H13:H14"/>
    <mergeCell ref="I13:I14"/>
    <mergeCell ref="J13:J14"/>
    <mergeCell ref="K13:K14"/>
    <mergeCell ref="L13:L14"/>
    <mergeCell ref="S9:U9"/>
    <mergeCell ref="P9:R9"/>
    <mergeCell ref="S13:U13"/>
    <mergeCell ref="M13:M14"/>
    <mergeCell ref="N13:N14"/>
    <mergeCell ref="O13:O14"/>
    <mergeCell ref="O111:O112"/>
    <mergeCell ref="O129:O130"/>
    <mergeCell ref="O147:O148"/>
    <mergeCell ref="N165:N166"/>
    <mergeCell ref="O165:O166"/>
    <mergeCell ref="F165:F166"/>
    <mergeCell ref="G165:G166"/>
    <mergeCell ref="H165:H166"/>
    <mergeCell ref="I165:I166"/>
    <mergeCell ref="J165:J166"/>
    <mergeCell ref="K165:K166"/>
    <mergeCell ref="L165:L166"/>
    <mergeCell ref="M165:M166"/>
    <mergeCell ref="F111:F112"/>
    <mergeCell ref="G111:G112"/>
    <mergeCell ref="H111:H112"/>
    <mergeCell ref="I111:I112"/>
    <mergeCell ref="J111:J112"/>
    <mergeCell ref="K111:K112"/>
    <mergeCell ref="L111:L112"/>
    <mergeCell ref="M111:M112"/>
    <mergeCell ref="N111:N112"/>
    <mergeCell ref="F129:F130"/>
    <mergeCell ref="G129:G130"/>
  </mergeCells>
  <phoneticPr fontId="1" type="noConversion"/>
  <conditionalFormatting sqref="F13:O182">
    <cfRule type="expression" dxfId="0" priority="1">
      <formula>F13=0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CP10017"/>
  <sheetViews>
    <sheetView showGridLines="0" workbookViewId="0"/>
  </sheetViews>
  <sheetFormatPr defaultRowHeight="13.5"/>
  <cols>
    <col min="1" max="1" width="1.42578125" style="6" customWidth="1"/>
    <col min="2" max="2" width="12.42578125" style="6" customWidth="1"/>
    <col min="3" max="3" width="12.85546875" style="6" customWidth="1"/>
    <col min="4" max="4" width="12.42578125" style="6" customWidth="1"/>
    <col min="5" max="5" width="13.140625" style="6" customWidth="1"/>
    <col min="6" max="6" width="14.7109375" style="6" customWidth="1"/>
    <col min="7" max="7" width="13.42578125" style="6" customWidth="1"/>
    <col min="8" max="14" width="13.85546875" style="6" customWidth="1"/>
    <col min="15" max="15" width="11.28515625" style="6" bestFit="1" customWidth="1"/>
    <col min="16" max="23" width="9.140625" style="6"/>
    <col min="24" max="24" width="11.28515625" style="6" bestFit="1" customWidth="1"/>
    <col min="25" max="32" width="9.140625" style="6"/>
    <col min="33" max="33" width="11.28515625" style="6" bestFit="1" customWidth="1"/>
    <col min="34" max="41" width="9.140625" style="6"/>
    <col min="42" max="42" width="11.28515625" style="6" bestFit="1" customWidth="1"/>
    <col min="43" max="50" width="9.140625" style="6"/>
    <col min="51" max="51" width="11.28515625" style="6" bestFit="1" customWidth="1"/>
    <col min="52" max="59" width="9.140625" style="6"/>
    <col min="60" max="60" width="11.28515625" style="6" bestFit="1" customWidth="1"/>
    <col min="61" max="68" width="9.140625" style="6"/>
    <col min="69" max="69" width="11.28515625" style="6" bestFit="1" customWidth="1"/>
    <col min="70" max="77" width="9.140625" style="6"/>
    <col min="78" max="78" width="11.28515625" style="6" customWidth="1"/>
    <col min="79" max="16384" width="9.140625" style="6"/>
  </cols>
  <sheetData>
    <row r="1" spans="1:94" ht="6.75" customHeight="1" thickBot="1"/>
    <row r="2" spans="1:94">
      <c r="B2" s="8" t="s">
        <v>42</v>
      </c>
      <c r="C2" s="75">
        <f>IFERROR(AVERAGE(C$19:C$38),0)</f>
        <v>2.62635</v>
      </c>
      <c r="D2" s="9">
        <f t="shared" ref="D2:N2" si="0">IFERROR(AVERAGE(D$19:D$38),0)</f>
        <v>2.6142500000000002</v>
      </c>
      <c r="E2" s="9">
        <f t="shared" si="0"/>
        <v>2.5995499999999998</v>
      </c>
      <c r="F2" s="9">
        <f t="shared" si="0"/>
        <v>2.6629500000000004</v>
      </c>
      <c r="G2" s="9">
        <f t="shared" si="0"/>
        <v>2.6610500000000004</v>
      </c>
      <c r="H2" s="9">
        <f t="shared" si="0"/>
        <v>2.58345</v>
      </c>
      <c r="I2" s="9">
        <f t="shared" si="0"/>
        <v>2.6926000000000001</v>
      </c>
      <c r="J2" s="9">
        <f t="shared" si="0"/>
        <v>2.6602999999999994</v>
      </c>
      <c r="K2" s="9">
        <f t="shared" si="0"/>
        <v>2.8072499999999994</v>
      </c>
      <c r="L2" s="9">
        <f t="shared" si="0"/>
        <v>2.7794000000000003</v>
      </c>
      <c r="M2" s="9">
        <f t="shared" si="0"/>
        <v>2.6848000000000001</v>
      </c>
      <c r="N2" s="9">
        <f t="shared" si="0"/>
        <v>2.5786500000000006</v>
      </c>
      <c r="O2" s="10" t="str">
        <f>$B2</f>
        <v>Ave(20D)</v>
      </c>
      <c r="P2" s="75">
        <f>IFERROR(AVERAGE(P$19:P$38),0)</f>
        <v>2.6650999999999998</v>
      </c>
      <c r="Q2" s="9">
        <f t="shared" ref="Q2:W2" si="1">IFERROR(AVERAGE(Q$19:Q$38),0)</f>
        <v>2.6151999999999993</v>
      </c>
      <c r="R2" s="9">
        <f t="shared" si="1"/>
        <v>2.6233499999999998</v>
      </c>
      <c r="S2" s="9">
        <f t="shared" si="1"/>
        <v>2.6680999999999995</v>
      </c>
      <c r="T2" s="9">
        <f t="shared" si="1"/>
        <v>2.6432500000000001</v>
      </c>
      <c r="U2" s="9">
        <f t="shared" si="1"/>
        <v>2.6640499999999996</v>
      </c>
      <c r="V2" s="9">
        <f t="shared" si="1"/>
        <v>0</v>
      </c>
      <c r="W2" s="9">
        <f t="shared" si="1"/>
        <v>0</v>
      </c>
      <c r="X2" s="10" t="str">
        <f t="shared" ref="X2:BC13" si="2">$B2</f>
        <v>Ave(20D)</v>
      </c>
      <c r="Y2" s="75">
        <f t="shared" ref="Y2:CH2" si="3">IFERROR(AVERAGE(Y$19:Y$38),0)</f>
        <v>2.6907000000000005</v>
      </c>
      <c r="Z2" s="9">
        <f t="shared" si="3"/>
        <v>2.7112500000000002</v>
      </c>
      <c r="AA2" s="9">
        <f t="shared" si="3"/>
        <v>2.6625499999999995</v>
      </c>
      <c r="AB2" s="9">
        <f t="shared" si="3"/>
        <v>2.6850499999999995</v>
      </c>
      <c r="AC2" s="9">
        <f t="shared" si="3"/>
        <v>2.7003999999999997</v>
      </c>
      <c r="AD2" s="9">
        <f t="shared" si="3"/>
        <v>2.7155499999999999</v>
      </c>
      <c r="AE2" s="9">
        <f t="shared" si="3"/>
        <v>2.7343999999999995</v>
      </c>
      <c r="AF2" s="9">
        <f t="shared" si="3"/>
        <v>2.8434499999999998</v>
      </c>
      <c r="AG2" s="10" t="str">
        <f t="shared" ref="AG2:BL2" si="4">$B2</f>
        <v>Ave(20D)</v>
      </c>
      <c r="AH2" s="75">
        <f t="shared" ref="AH2:BM2" si="5">IFERROR(AVERAGE(AH$19:AH$38),0)</f>
        <v>2.8431999999999999</v>
      </c>
      <c r="AI2" s="9">
        <f t="shared" si="3"/>
        <v>2.8056999999999994</v>
      </c>
      <c r="AJ2" s="9">
        <f t="shared" si="3"/>
        <v>2.8165</v>
      </c>
      <c r="AK2" s="9">
        <f t="shared" si="3"/>
        <v>2.8005</v>
      </c>
      <c r="AL2" s="9">
        <f t="shared" si="3"/>
        <v>2.7519999999999998</v>
      </c>
      <c r="AM2" s="9">
        <f t="shared" si="3"/>
        <v>2.7504500000000003</v>
      </c>
      <c r="AN2" s="9">
        <f t="shared" si="3"/>
        <v>2.7566499999999996</v>
      </c>
      <c r="AO2" s="9">
        <f t="shared" si="3"/>
        <v>2.8592000000000004</v>
      </c>
      <c r="AP2" s="10" t="str">
        <f t="shared" ref="AP2:CH2" si="6">$B2</f>
        <v>Ave(20D)</v>
      </c>
      <c r="AQ2" s="75">
        <f t="shared" ref="AQ2:CH2" si="7">IFERROR(AVERAGE(AQ$19:AQ$38),0)</f>
        <v>3.0693499999999996</v>
      </c>
      <c r="AR2" s="9">
        <f t="shared" si="3"/>
        <v>3.0546000000000002</v>
      </c>
      <c r="AS2" s="9">
        <f t="shared" si="3"/>
        <v>3.0158000000000005</v>
      </c>
      <c r="AT2" s="9">
        <f t="shared" si="3"/>
        <v>3.0369999999999999</v>
      </c>
      <c r="AU2" s="9">
        <f t="shared" si="3"/>
        <v>3.0862999999999996</v>
      </c>
      <c r="AV2" s="9">
        <f t="shared" si="3"/>
        <v>3.1552499999999997</v>
      </c>
      <c r="AW2" s="9">
        <f t="shared" si="3"/>
        <v>3.2023500000000005</v>
      </c>
      <c r="AX2" s="9">
        <f t="shared" si="3"/>
        <v>3.3054499999999996</v>
      </c>
      <c r="AY2" s="10" t="str">
        <f t="shared" ref="AY2:CH2" si="8">$B2</f>
        <v>Ave(20D)</v>
      </c>
      <c r="AZ2" s="75">
        <f t="shared" ref="AZ2:CH2" si="9">IFERROR(AVERAGE(AZ$19:AZ$38),0)</f>
        <v>2.8747999999999996</v>
      </c>
      <c r="BA2" s="9">
        <f t="shared" si="3"/>
        <v>2.8378000000000005</v>
      </c>
      <c r="BB2" s="9">
        <f t="shared" si="3"/>
        <v>2.8060999999999998</v>
      </c>
      <c r="BC2" s="9">
        <f t="shared" si="3"/>
        <v>2.8067499999999996</v>
      </c>
      <c r="BD2" s="9">
        <f t="shared" si="3"/>
        <v>2.8156500000000002</v>
      </c>
      <c r="BE2" s="9">
        <f t="shared" si="3"/>
        <v>2.8285499999999999</v>
      </c>
      <c r="BF2" s="9">
        <f t="shared" si="3"/>
        <v>2.8478500000000002</v>
      </c>
      <c r="BG2" s="9">
        <f t="shared" si="3"/>
        <v>2.8902000000000001</v>
      </c>
      <c r="BH2" s="10" t="str">
        <f t="shared" ref="BH2:CH13" si="10">$B2</f>
        <v>Ave(20D)</v>
      </c>
      <c r="BI2" s="75">
        <f t="shared" ref="BI2:CH2" si="11">IFERROR(AVERAGE(BI$19:BI$38),0)</f>
        <v>2.82</v>
      </c>
      <c r="BJ2" s="9">
        <f t="shared" si="3"/>
        <v>2.75725</v>
      </c>
      <c r="BK2" s="9">
        <f t="shared" si="3"/>
        <v>2.7421999999999995</v>
      </c>
      <c r="BL2" s="9">
        <f t="shared" si="3"/>
        <v>2.7303999999999995</v>
      </c>
      <c r="BM2" s="9">
        <f t="shared" si="3"/>
        <v>2.7313499999999999</v>
      </c>
      <c r="BN2" s="9">
        <f t="shared" si="3"/>
        <v>2.7363000000000004</v>
      </c>
      <c r="BO2" s="9">
        <f t="shared" si="3"/>
        <v>2.7487000000000004</v>
      </c>
      <c r="BP2" s="9">
        <f t="shared" si="3"/>
        <v>2.8543499999999997</v>
      </c>
      <c r="BQ2" s="10" t="str">
        <f t="shared" ref="BQ2:CH2" si="12">$B2</f>
        <v>Ave(20D)</v>
      </c>
      <c r="BR2" s="75">
        <f t="shared" ref="BR2:CH2" si="13">IFERROR(AVERAGE(BR$19:BR$38),0)</f>
        <v>3.1422500000000002</v>
      </c>
      <c r="BS2" s="9">
        <f t="shared" si="3"/>
        <v>3.1332</v>
      </c>
      <c r="BT2" s="9">
        <f t="shared" si="3"/>
        <v>3.1245500000000002</v>
      </c>
      <c r="BU2" s="9">
        <f t="shared" si="3"/>
        <v>3.1589999999999998</v>
      </c>
      <c r="BV2" s="9">
        <f t="shared" si="3"/>
        <v>3.1849000000000003</v>
      </c>
      <c r="BW2" s="9">
        <f t="shared" si="3"/>
        <v>3.2136000000000005</v>
      </c>
      <c r="BX2" s="9">
        <f t="shared" si="3"/>
        <v>3.2313499999999999</v>
      </c>
      <c r="BY2" s="9">
        <f t="shared" si="3"/>
        <v>3.2860000000000005</v>
      </c>
      <c r="BZ2" s="10" t="str">
        <f t="shared" ref="BZ2:CH2" si="14">$B2</f>
        <v>Ave(20D)</v>
      </c>
      <c r="CA2" s="75">
        <f t="shared" ref="CA2:CH2" si="15">IFERROR(AVERAGE(CA$19:CA$38),0)</f>
        <v>2.7725999999999997</v>
      </c>
      <c r="CB2" s="9">
        <f t="shared" si="3"/>
        <v>2.7923999999999998</v>
      </c>
      <c r="CC2" s="9">
        <f t="shared" si="3"/>
        <v>2.7545500000000001</v>
      </c>
      <c r="CD2" s="9">
        <f t="shared" si="3"/>
        <v>2.7685999999999997</v>
      </c>
      <c r="CE2" s="9">
        <f t="shared" si="3"/>
        <v>2.7912499999999998</v>
      </c>
      <c r="CF2" s="9">
        <f t="shared" si="3"/>
        <v>2.8357000000000001</v>
      </c>
      <c r="CG2" s="9">
        <f t="shared" si="3"/>
        <v>2.8455000000000004</v>
      </c>
      <c r="CH2" s="9">
        <f t="shared" si="3"/>
        <v>2.8994499999999999</v>
      </c>
      <c r="CJ2" s="6" t="s">
        <v>61</v>
      </c>
      <c r="CK2" s="6" t="s">
        <v>10</v>
      </c>
    </row>
    <row r="3" spans="1:94">
      <c r="B3" s="18" t="s">
        <v>43</v>
      </c>
      <c r="C3" s="19">
        <f>MIN(C$19:C$38)</f>
        <v>2.6030000000000002</v>
      </c>
      <c r="D3" s="19">
        <f t="shared" ref="D3:N3" si="16">MIN(D$19:D$38)</f>
        <v>2.5880000000000001</v>
      </c>
      <c r="E3" s="19">
        <f t="shared" si="16"/>
        <v>2.5499999999999998</v>
      </c>
      <c r="F3" s="19">
        <f t="shared" si="16"/>
        <v>2.637</v>
      </c>
      <c r="G3" s="19">
        <f t="shared" si="16"/>
        <v>2.625</v>
      </c>
      <c r="H3" s="19">
        <f t="shared" si="16"/>
        <v>2.5419999999999998</v>
      </c>
      <c r="I3" s="19">
        <f t="shared" si="16"/>
        <v>2.64</v>
      </c>
      <c r="J3" s="19">
        <f t="shared" si="16"/>
        <v>2.6150000000000002</v>
      </c>
      <c r="K3" s="19">
        <f t="shared" si="16"/>
        <v>2.7490000000000001</v>
      </c>
      <c r="L3" s="19">
        <f t="shared" si="16"/>
        <v>2.7</v>
      </c>
      <c r="M3" s="19">
        <f t="shared" si="16"/>
        <v>2.64</v>
      </c>
      <c r="N3" s="19">
        <f t="shared" si="16"/>
        <v>2.5419999999999998</v>
      </c>
      <c r="O3" s="20" t="str">
        <f t="shared" ref="O3:O13" si="17">$B3</f>
        <v>Min(20D)</v>
      </c>
      <c r="P3" s="19">
        <f>MIN(P$19:P$38)</f>
        <v>2.6549999999999998</v>
      </c>
      <c r="Q3" s="19">
        <f t="shared" ref="Q3:W3" si="18">MIN(Q$19:Q$38)</f>
        <v>2.6080000000000001</v>
      </c>
      <c r="R3" s="19">
        <f t="shared" si="18"/>
        <v>2.61</v>
      </c>
      <c r="S3" s="19">
        <f t="shared" si="18"/>
        <v>2.653</v>
      </c>
      <c r="T3" s="19">
        <f t="shared" si="18"/>
        <v>2.617</v>
      </c>
      <c r="U3" s="19">
        <f t="shared" si="18"/>
        <v>2.6320000000000001</v>
      </c>
      <c r="V3" s="19">
        <f t="shared" si="18"/>
        <v>0</v>
      </c>
      <c r="W3" s="19">
        <f t="shared" si="18"/>
        <v>0</v>
      </c>
      <c r="X3" s="20" t="str">
        <f t="shared" si="2"/>
        <v>Min(20D)</v>
      </c>
      <c r="Y3" s="19">
        <f t="shared" ref="Y3:CH3" si="19">MIN(Y$19:Y$38)</f>
        <v>2.665</v>
      </c>
      <c r="Z3" s="19">
        <f t="shared" si="19"/>
        <v>2.6869999999999998</v>
      </c>
      <c r="AA3" s="19">
        <f t="shared" si="19"/>
        <v>2.6120000000000001</v>
      </c>
      <c r="AB3" s="19">
        <f t="shared" si="19"/>
        <v>2.665</v>
      </c>
      <c r="AC3" s="19">
        <f t="shared" si="19"/>
        <v>2.6669999999999998</v>
      </c>
      <c r="AD3" s="19">
        <f t="shared" si="19"/>
        <v>2.6760000000000002</v>
      </c>
      <c r="AE3" s="19">
        <f t="shared" si="19"/>
        <v>2.69</v>
      </c>
      <c r="AF3" s="19">
        <f t="shared" si="19"/>
        <v>2.7930000000000001</v>
      </c>
      <c r="AG3" s="20" t="str">
        <f t="shared" si="2"/>
        <v>Min(20D)</v>
      </c>
      <c r="AH3" s="19">
        <f t="shared" ref="AH3:BM3" si="20">MIN(AH$19:AH$38)</f>
        <v>2.8330000000000002</v>
      </c>
      <c r="AI3" s="19">
        <f t="shared" si="19"/>
        <v>2.782</v>
      </c>
      <c r="AJ3" s="19">
        <f t="shared" si="19"/>
        <v>2.7879999999999998</v>
      </c>
      <c r="AK3" s="19">
        <f t="shared" si="19"/>
        <v>2.7679999999999998</v>
      </c>
      <c r="AL3" s="19">
        <f t="shared" si="19"/>
        <v>2.722</v>
      </c>
      <c r="AM3" s="19">
        <f t="shared" si="19"/>
        <v>2.7069999999999999</v>
      </c>
      <c r="AN3" s="19">
        <f t="shared" si="19"/>
        <v>2.7149999999999999</v>
      </c>
      <c r="AO3" s="19">
        <f t="shared" si="19"/>
        <v>2.8050000000000002</v>
      </c>
      <c r="AP3" s="20" t="str">
        <f t="shared" si="2"/>
        <v>Min(20D)</v>
      </c>
      <c r="AQ3" s="19">
        <f t="shared" ref="AQ3:CH3" si="21">MIN(AQ$19:AQ$38)</f>
        <v>3.0510000000000002</v>
      </c>
      <c r="AR3" s="19">
        <f t="shared" si="19"/>
        <v>3.0459999999999998</v>
      </c>
      <c r="AS3" s="19">
        <f t="shared" si="19"/>
        <v>2.9990000000000001</v>
      </c>
      <c r="AT3" s="19">
        <f t="shared" si="19"/>
        <v>3.0110000000000001</v>
      </c>
      <c r="AU3" s="19">
        <f t="shared" si="19"/>
        <v>3.0609999999999999</v>
      </c>
      <c r="AV3" s="19">
        <f t="shared" si="19"/>
        <v>3.121</v>
      </c>
      <c r="AW3" s="19">
        <f t="shared" si="19"/>
        <v>3.1659999999999999</v>
      </c>
      <c r="AX3" s="19">
        <f t="shared" si="19"/>
        <v>3.2559999999999998</v>
      </c>
      <c r="AY3" s="20" t="str">
        <f t="shared" si="2"/>
        <v>Min(20D)</v>
      </c>
      <c r="AZ3" s="19">
        <f t="shared" ref="AZ3:CH3" si="22">MIN(AZ$19:AZ$38)</f>
        <v>2.8610000000000002</v>
      </c>
      <c r="BA3" s="19">
        <f t="shared" si="19"/>
        <v>2.8250000000000002</v>
      </c>
      <c r="BB3" s="19">
        <f t="shared" si="19"/>
        <v>2.78</v>
      </c>
      <c r="BC3" s="19">
        <f t="shared" si="19"/>
        <v>2.7770000000000001</v>
      </c>
      <c r="BD3" s="19">
        <f t="shared" si="19"/>
        <v>2.7839999999999998</v>
      </c>
      <c r="BE3" s="19">
        <f t="shared" si="19"/>
        <v>2.78</v>
      </c>
      <c r="BF3" s="19">
        <f t="shared" si="19"/>
        <v>2.802</v>
      </c>
      <c r="BG3" s="19">
        <f t="shared" si="19"/>
        <v>2.8330000000000002</v>
      </c>
      <c r="BH3" s="20" t="str">
        <f t="shared" si="10"/>
        <v>Min(20D)</v>
      </c>
      <c r="BI3" s="19">
        <f t="shared" ref="BI3:CH3" si="23">MIN(BI$19:BI$38)</f>
        <v>2.806</v>
      </c>
      <c r="BJ3" s="19">
        <f t="shared" si="19"/>
        <v>2.7480000000000002</v>
      </c>
      <c r="BK3" s="19">
        <f t="shared" si="19"/>
        <v>2.7210000000000001</v>
      </c>
      <c r="BL3" s="19">
        <f t="shared" si="19"/>
        <v>2.7050000000000001</v>
      </c>
      <c r="BM3" s="19">
        <f t="shared" si="19"/>
        <v>2.702</v>
      </c>
      <c r="BN3" s="19">
        <f t="shared" si="19"/>
        <v>2.6920000000000002</v>
      </c>
      <c r="BO3" s="19">
        <f t="shared" si="19"/>
        <v>2.706</v>
      </c>
      <c r="BP3" s="19">
        <f t="shared" si="19"/>
        <v>2.8039999999999998</v>
      </c>
      <c r="BQ3" s="20" t="str">
        <f t="shared" si="10"/>
        <v>Min(20D)</v>
      </c>
      <c r="BR3" s="19">
        <f t="shared" ref="BR3:CH3" si="24">MIN(BR$19:BR$38)</f>
        <v>3.13</v>
      </c>
      <c r="BS3" s="19">
        <f t="shared" si="19"/>
        <v>3.1230000000000002</v>
      </c>
      <c r="BT3" s="19">
        <f t="shared" si="19"/>
        <v>3.101</v>
      </c>
      <c r="BU3" s="19">
        <f t="shared" si="19"/>
        <v>3.1309999999999998</v>
      </c>
      <c r="BV3" s="19">
        <f t="shared" si="19"/>
        <v>3.157</v>
      </c>
      <c r="BW3" s="19">
        <f t="shared" si="19"/>
        <v>3.1669999999999998</v>
      </c>
      <c r="BX3" s="19">
        <f t="shared" si="19"/>
        <v>3.1880000000000002</v>
      </c>
      <c r="BY3" s="19">
        <f t="shared" si="19"/>
        <v>3.23</v>
      </c>
      <c r="BZ3" s="20" t="str">
        <f t="shared" si="10"/>
        <v>Min(20D)</v>
      </c>
      <c r="CA3" s="19">
        <f t="shared" ref="CA3:CH3" si="25">MIN(CA$19:CA$38)</f>
        <v>2.7469999999999999</v>
      </c>
      <c r="CB3" s="19">
        <f t="shared" si="19"/>
        <v>2.7679999999999998</v>
      </c>
      <c r="CC3" s="19">
        <f t="shared" si="19"/>
        <v>2.7040000000000002</v>
      </c>
      <c r="CD3" s="19">
        <f t="shared" si="19"/>
        <v>2.7480000000000002</v>
      </c>
      <c r="CE3" s="19">
        <f t="shared" si="19"/>
        <v>2.7559999999999998</v>
      </c>
      <c r="CF3" s="19">
        <f t="shared" si="19"/>
        <v>2.7959999999999998</v>
      </c>
      <c r="CG3" s="19">
        <f t="shared" si="19"/>
        <v>2.8</v>
      </c>
      <c r="CH3" s="19">
        <f t="shared" si="19"/>
        <v>2.8490000000000002</v>
      </c>
      <c r="CJ3" s="6" t="s">
        <v>62</v>
      </c>
      <c r="CK3" s="6" t="s">
        <v>63</v>
      </c>
      <c r="CM3" s="6" t="s">
        <v>269</v>
      </c>
      <c r="CN3" s="6" t="s">
        <v>270</v>
      </c>
      <c r="CO3" s="58" t="s">
        <v>271</v>
      </c>
      <c r="CP3" s="6" t="s">
        <v>272</v>
      </c>
    </row>
    <row r="4" spans="1:94" ht="14.25" thickBot="1">
      <c r="B4" s="12" t="s">
        <v>44</v>
      </c>
      <c r="C4" s="13">
        <f>MAX(C$19:C$38)</f>
        <v>2.6659999999999999</v>
      </c>
      <c r="D4" s="13">
        <f t="shared" ref="D4:N4" si="26">MAX(D$19:D$38)</f>
        <v>2.6320000000000001</v>
      </c>
      <c r="E4" s="13">
        <f t="shared" si="26"/>
        <v>2.6230000000000002</v>
      </c>
      <c r="F4" s="13">
        <f t="shared" si="26"/>
        <v>2.694</v>
      </c>
      <c r="G4" s="13">
        <f t="shared" si="26"/>
        <v>2.6960000000000002</v>
      </c>
      <c r="H4" s="13">
        <f t="shared" si="26"/>
        <v>2.6160000000000001</v>
      </c>
      <c r="I4" s="13">
        <f t="shared" si="26"/>
        <v>2.7330000000000001</v>
      </c>
      <c r="J4" s="13">
        <f t="shared" si="26"/>
        <v>2.7109999999999999</v>
      </c>
      <c r="K4" s="13">
        <f t="shared" si="26"/>
        <v>2.84</v>
      </c>
      <c r="L4" s="13">
        <f t="shared" si="26"/>
        <v>2.8149999999999999</v>
      </c>
      <c r="M4" s="13">
        <f t="shared" si="26"/>
        <v>2.7440000000000002</v>
      </c>
      <c r="N4" s="13">
        <f t="shared" si="26"/>
        <v>2.645</v>
      </c>
      <c r="O4" s="14" t="str">
        <f t="shared" si="17"/>
        <v>Max(20D)</v>
      </c>
      <c r="P4" s="13">
        <f>MAX(P$19:P$38)</f>
        <v>2.681</v>
      </c>
      <c r="Q4" s="13">
        <f t="shared" ref="Q4:W4" si="27">MAX(Q$19:Q$38)</f>
        <v>2.6230000000000002</v>
      </c>
      <c r="R4" s="13">
        <f t="shared" si="27"/>
        <v>2.6360000000000001</v>
      </c>
      <c r="S4" s="13">
        <f t="shared" si="27"/>
        <v>2.69</v>
      </c>
      <c r="T4" s="13">
        <f t="shared" si="27"/>
        <v>2.6680000000000001</v>
      </c>
      <c r="U4" s="13">
        <f t="shared" si="27"/>
        <v>2.6869999999999998</v>
      </c>
      <c r="V4" s="13">
        <f t="shared" si="27"/>
        <v>0</v>
      </c>
      <c r="W4" s="13">
        <f t="shared" si="27"/>
        <v>0</v>
      </c>
      <c r="X4" s="14" t="str">
        <f t="shared" si="2"/>
        <v>Max(20D)</v>
      </c>
      <c r="Y4" s="13">
        <f t="shared" ref="Y4:CH4" si="28">MAX(Y$19:Y$38)</f>
        <v>2.7269999999999999</v>
      </c>
      <c r="Z4" s="13">
        <f t="shared" si="28"/>
        <v>2.7290000000000001</v>
      </c>
      <c r="AA4" s="13">
        <f t="shared" si="28"/>
        <v>2.6920000000000002</v>
      </c>
      <c r="AB4" s="13">
        <f t="shared" si="28"/>
        <v>2.718</v>
      </c>
      <c r="AC4" s="13">
        <f t="shared" si="28"/>
        <v>2.734</v>
      </c>
      <c r="AD4" s="13">
        <f t="shared" si="28"/>
        <v>2.7429999999999999</v>
      </c>
      <c r="AE4" s="13">
        <f t="shared" si="28"/>
        <v>2.7650000000000001</v>
      </c>
      <c r="AF4" s="13">
        <f t="shared" si="28"/>
        <v>2.879</v>
      </c>
      <c r="AG4" s="14" t="str">
        <f t="shared" si="2"/>
        <v>Max(20D)</v>
      </c>
      <c r="AH4" s="13">
        <f t="shared" ref="AH4:BM4" si="29">MAX(AH$19:AH$38)</f>
        <v>2.8530000000000002</v>
      </c>
      <c r="AI4" s="13">
        <f t="shared" si="28"/>
        <v>2.8180000000000001</v>
      </c>
      <c r="AJ4" s="13">
        <f t="shared" si="28"/>
        <v>2.83</v>
      </c>
      <c r="AK4" s="13">
        <f t="shared" si="28"/>
        <v>2.823</v>
      </c>
      <c r="AL4" s="13">
        <f t="shared" si="28"/>
        <v>2.782</v>
      </c>
      <c r="AM4" s="13">
        <f t="shared" si="28"/>
        <v>2.7850000000000001</v>
      </c>
      <c r="AN4" s="13">
        <f t="shared" si="28"/>
        <v>2.79</v>
      </c>
      <c r="AO4" s="13">
        <f t="shared" si="28"/>
        <v>2.9159999999999999</v>
      </c>
      <c r="AP4" s="14" t="str">
        <f t="shared" si="2"/>
        <v>Max(20D)</v>
      </c>
      <c r="AQ4" s="13">
        <f t="shared" ref="AQ4:CH4" si="30">MAX(AQ$19:AQ$38)</f>
        <v>3.1080000000000001</v>
      </c>
      <c r="AR4" s="13">
        <f t="shared" si="28"/>
        <v>3.0630000000000002</v>
      </c>
      <c r="AS4" s="13">
        <f t="shared" si="28"/>
        <v>3.0470000000000002</v>
      </c>
      <c r="AT4" s="13">
        <f t="shared" si="28"/>
        <v>3.0750000000000002</v>
      </c>
      <c r="AU4" s="13">
        <f t="shared" si="28"/>
        <v>3.1179999999999999</v>
      </c>
      <c r="AV4" s="13">
        <f t="shared" si="28"/>
        <v>3.1819999999999999</v>
      </c>
      <c r="AW4" s="13">
        <f t="shared" si="28"/>
        <v>3.2290000000000001</v>
      </c>
      <c r="AX4" s="13">
        <f t="shared" si="28"/>
        <v>3.35</v>
      </c>
      <c r="AY4" s="14" t="str">
        <f t="shared" si="2"/>
        <v>Max(20D)</v>
      </c>
      <c r="AZ4" s="13">
        <f t="shared" ref="AZ4:CH4" si="31">MAX(AZ$19:AZ$38)</f>
        <v>2.8940000000000001</v>
      </c>
      <c r="BA4" s="13">
        <f t="shared" si="28"/>
        <v>2.8570000000000002</v>
      </c>
      <c r="BB4" s="13">
        <f t="shared" si="28"/>
        <v>2.8330000000000002</v>
      </c>
      <c r="BC4" s="13">
        <f t="shared" si="28"/>
        <v>2.8370000000000002</v>
      </c>
      <c r="BD4" s="13">
        <f t="shared" si="28"/>
        <v>2.851</v>
      </c>
      <c r="BE4" s="13">
        <f t="shared" si="28"/>
        <v>2.8650000000000002</v>
      </c>
      <c r="BF4" s="13">
        <f t="shared" si="28"/>
        <v>2.8849999999999998</v>
      </c>
      <c r="BG4" s="13">
        <f t="shared" si="28"/>
        <v>2.9430000000000001</v>
      </c>
      <c r="BH4" s="14" t="str">
        <f t="shared" si="10"/>
        <v>Max(20D)</v>
      </c>
      <c r="BI4" s="13">
        <f t="shared" ref="BI4:CH4" si="32">MAX(BI$19:BI$38)</f>
        <v>2.8370000000000002</v>
      </c>
      <c r="BJ4" s="13">
        <f t="shared" si="28"/>
        <v>2.7759999999999998</v>
      </c>
      <c r="BK4" s="13">
        <f t="shared" si="28"/>
        <v>2.7669999999999999</v>
      </c>
      <c r="BL4" s="13">
        <f t="shared" si="28"/>
        <v>2.7589999999999999</v>
      </c>
      <c r="BM4" s="13">
        <f t="shared" si="28"/>
        <v>2.762</v>
      </c>
      <c r="BN4" s="13">
        <f t="shared" si="28"/>
        <v>2.766</v>
      </c>
      <c r="BO4" s="13">
        <f t="shared" si="28"/>
        <v>2.7810000000000001</v>
      </c>
      <c r="BP4" s="13">
        <f t="shared" si="28"/>
        <v>2.903</v>
      </c>
      <c r="BQ4" s="14" t="str">
        <f t="shared" si="10"/>
        <v>Max(20D)</v>
      </c>
      <c r="BR4" s="13">
        <f t="shared" ref="BR4:CH4" si="33">MAX(BR$19:BR$38)</f>
        <v>3.1619999999999999</v>
      </c>
      <c r="BS4" s="13">
        <f t="shared" si="28"/>
        <v>3.1509999999999998</v>
      </c>
      <c r="BT4" s="13">
        <f t="shared" si="28"/>
        <v>3.149</v>
      </c>
      <c r="BU4" s="13">
        <f t="shared" si="28"/>
        <v>3.1880000000000002</v>
      </c>
      <c r="BV4" s="13">
        <f t="shared" si="28"/>
        <v>3.2130000000000001</v>
      </c>
      <c r="BW4" s="13">
        <f t="shared" si="28"/>
        <v>3.2490000000000001</v>
      </c>
      <c r="BX4" s="13">
        <f t="shared" si="28"/>
        <v>3.2650000000000001</v>
      </c>
      <c r="BY4" s="13">
        <f t="shared" si="28"/>
        <v>3.3380000000000001</v>
      </c>
      <c r="BZ4" s="14" t="str">
        <f t="shared" si="10"/>
        <v>Max(20D)</v>
      </c>
      <c r="CA4" s="13">
        <f t="shared" ref="CA4:CH4" si="34">MAX(CA$19:CA$38)</f>
        <v>2.8079999999999998</v>
      </c>
      <c r="CB4" s="13">
        <f t="shared" si="28"/>
        <v>2.8119999999999998</v>
      </c>
      <c r="CC4" s="13">
        <f t="shared" si="28"/>
        <v>2.7850000000000001</v>
      </c>
      <c r="CD4" s="13">
        <f t="shared" si="28"/>
        <v>2.798</v>
      </c>
      <c r="CE4" s="13">
        <f t="shared" si="28"/>
        <v>2.8279999999999998</v>
      </c>
      <c r="CF4" s="13">
        <f t="shared" si="28"/>
        <v>2.863</v>
      </c>
      <c r="CG4" s="13">
        <f t="shared" si="28"/>
        <v>2.8759999999999999</v>
      </c>
      <c r="CH4" s="13">
        <f t="shared" si="28"/>
        <v>2.9350000000000001</v>
      </c>
      <c r="CJ4" s="6" t="s">
        <v>64</v>
      </c>
      <c r="CK4" s="6" t="s">
        <v>65</v>
      </c>
      <c r="CM4" s="6" t="s">
        <v>273</v>
      </c>
      <c r="CN4" s="6" t="s">
        <v>274</v>
      </c>
      <c r="CO4" s="6" t="s">
        <v>10</v>
      </c>
      <c r="CP4" s="6" t="s">
        <v>11</v>
      </c>
    </row>
    <row r="5" spans="1:94">
      <c r="B5" s="8" t="s">
        <v>45</v>
      </c>
      <c r="C5" s="9">
        <f>IFERROR(AVERAGE(C$19:C$78), 0)</f>
        <v>2.6998499999999992</v>
      </c>
      <c r="D5" s="9">
        <f t="shared" ref="D5:N5" si="35">IFERROR(AVERAGE(D$19:D$78), 0)</f>
        <v>2.6387833333333335</v>
      </c>
      <c r="E5" s="9">
        <f t="shared" si="35"/>
        <v>2.6362666666666681</v>
      </c>
      <c r="F5" s="9">
        <f t="shared" si="35"/>
        <v>2.6728499999999999</v>
      </c>
      <c r="G5" s="9">
        <f t="shared" si="35"/>
        <v>2.6796666666666664</v>
      </c>
      <c r="H5" s="9">
        <f t="shared" si="35"/>
        <v>2.5910833333333327</v>
      </c>
      <c r="I5" s="9">
        <f t="shared" si="35"/>
        <v>2.7178999999999989</v>
      </c>
      <c r="J5" s="9">
        <f t="shared" si="35"/>
        <v>2.6979833333333323</v>
      </c>
      <c r="K5" s="9">
        <f t="shared" si="35"/>
        <v>2.8652333333333337</v>
      </c>
      <c r="L5" s="9">
        <f t="shared" si="35"/>
        <v>2.8207999999999998</v>
      </c>
      <c r="M5" s="9">
        <f t="shared" si="35"/>
        <v>2.7412333333333341</v>
      </c>
      <c r="N5" s="9">
        <f t="shared" si="35"/>
        <v>2.6634833333333336</v>
      </c>
      <c r="O5" s="10" t="str">
        <f t="shared" si="17"/>
        <v>Ave(60D)</v>
      </c>
      <c r="P5" s="9">
        <f>IFERROR(AVERAGE(P$19:P$78), 0)</f>
        <v>2.7153666666666658</v>
      </c>
      <c r="Q5" s="9">
        <f t="shared" ref="Q5:W5" si="36">IFERROR(AVERAGE(Q$19:Q$78), 0)</f>
        <v>2.6370166666666672</v>
      </c>
      <c r="R5" s="9">
        <f t="shared" si="36"/>
        <v>2.6334166666666659</v>
      </c>
      <c r="S5" s="9">
        <f t="shared" si="36"/>
        <v>2.6804166666666664</v>
      </c>
      <c r="T5" s="9">
        <f t="shared" si="36"/>
        <v>2.6572000000000013</v>
      </c>
      <c r="U5" s="9">
        <f t="shared" si="36"/>
        <v>2.6811333333333329</v>
      </c>
      <c r="V5" s="9">
        <f t="shared" si="36"/>
        <v>0</v>
      </c>
      <c r="W5" s="9">
        <f t="shared" si="36"/>
        <v>0</v>
      </c>
      <c r="X5" s="10" t="str">
        <f t="shared" si="2"/>
        <v>Ave(60D)</v>
      </c>
      <c r="Y5" s="9">
        <f t="shared" ref="Y5:CH5" si="37">IFERROR(AVERAGE(Y$19:Y$78), 0)</f>
        <v>2.7598666666666669</v>
      </c>
      <c r="Z5" s="9">
        <f t="shared" si="37"/>
        <v>2.7411166666666653</v>
      </c>
      <c r="AA5" s="9">
        <f t="shared" si="37"/>
        <v>2.7056666666666658</v>
      </c>
      <c r="AB5" s="9">
        <f t="shared" si="37"/>
        <v>2.6980499999999998</v>
      </c>
      <c r="AC5" s="9">
        <f t="shared" si="37"/>
        <v>2.7177499999999997</v>
      </c>
      <c r="AD5" s="9">
        <f t="shared" si="37"/>
        <v>2.7251666666666674</v>
      </c>
      <c r="AE5" s="9">
        <f t="shared" si="37"/>
        <v>2.763783333333333</v>
      </c>
      <c r="AF5" s="9">
        <f t="shared" si="37"/>
        <v>2.8659000000000008</v>
      </c>
      <c r="AG5" s="10" t="str">
        <f t="shared" si="2"/>
        <v>Ave(60D)</v>
      </c>
      <c r="AH5" s="9">
        <f t="shared" ref="AH5:BM5" si="38">IFERROR(AVERAGE(AH$19:AH$78), 0)</f>
        <v>2.972633333333333</v>
      </c>
      <c r="AI5" s="9">
        <f t="shared" si="37"/>
        <v>2.867916666666666</v>
      </c>
      <c r="AJ5" s="9">
        <f t="shared" si="37"/>
        <v>2.8352500000000007</v>
      </c>
      <c r="AK5" s="9">
        <f t="shared" si="37"/>
        <v>2.8054666666666668</v>
      </c>
      <c r="AL5" s="9">
        <f t="shared" si="37"/>
        <v>2.778433333333334</v>
      </c>
      <c r="AM5" s="9">
        <f t="shared" si="37"/>
        <v>2.7723166666666677</v>
      </c>
      <c r="AN5" s="9">
        <f t="shared" si="37"/>
        <v>2.8061500000000015</v>
      </c>
      <c r="AO5" s="9">
        <f t="shared" si="37"/>
        <v>2.8935833333333334</v>
      </c>
      <c r="AP5" s="10" t="str">
        <f t="shared" si="2"/>
        <v>Ave(60D)</v>
      </c>
      <c r="AQ5" s="9">
        <f t="shared" ref="AQ5:CH5" si="39">IFERROR(AVERAGE(AQ$19:AQ$78), 0)</f>
        <v>3.1908000000000003</v>
      </c>
      <c r="AR5" s="9">
        <f t="shared" si="37"/>
        <v>3.1316333333333328</v>
      </c>
      <c r="AS5" s="9">
        <f t="shared" si="37"/>
        <v>3.0609500000000005</v>
      </c>
      <c r="AT5" s="9">
        <f t="shared" si="37"/>
        <v>3.0591166666666667</v>
      </c>
      <c r="AU5" s="9">
        <f t="shared" si="37"/>
        <v>3.1182666666666665</v>
      </c>
      <c r="AV5" s="9">
        <f t="shared" si="37"/>
        <v>3.1976166666666668</v>
      </c>
      <c r="AW5" s="9">
        <f t="shared" si="37"/>
        <v>3.2532500000000013</v>
      </c>
      <c r="AX5" s="9">
        <f t="shared" si="37"/>
        <v>3.3520333333333312</v>
      </c>
      <c r="AY5" s="10" t="str">
        <f t="shared" si="2"/>
        <v>Ave(60D)</v>
      </c>
      <c r="AZ5" s="9">
        <f t="shared" ref="AZ5:CH5" si="40">IFERROR(AVERAGE(AZ$19:AZ$78), 0)</f>
        <v>2.991099999999999</v>
      </c>
      <c r="BA5" s="9">
        <f t="shared" si="37"/>
        <v>2.8904499999999995</v>
      </c>
      <c r="BB5" s="9">
        <f t="shared" si="37"/>
        <v>2.8324499999999997</v>
      </c>
      <c r="BC5" s="9">
        <f t="shared" si="37"/>
        <v>2.8237833333333331</v>
      </c>
      <c r="BD5" s="9">
        <f t="shared" si="37"/>
        <v>2.8434499999999994</v>
      </c>
      <c r="BE5" s="9">
        <f t="shared" si="37"/>
        <v>2.8502000000000001</v>
      </c>
      <c r="BF5" s="9">
        <f t="shared" si="37"/>
        <v>2.8937499999999998</v>
      </c>
      <c r="BG5" s="9">
        <f t="shared" si="37"/>
        <v>2.9391333333333334</v>
      </c>
      <c r="BH5" s="10" t="str">
        <f t="shared" si="10"/>
        <v>Ave(60D)</v>
      </c>
      <c r="BI5" s="9">
        <f t="shared" ref="BI5:CH5" si="41">IFERROR(AVERAGE(BI$19:BI$78), 0)</f>
        <v>2.9314666666666676</v>
      </c>
      <c r="BJ5" s="9">
        <f t="shared" si="37"/>
        <v>2.8117333333333336</v>
      </c>
      <c r="BK5" s="9">
        <f t="shared" si="37"/>
        <v>2.7580666666666662</v>
      </c>
      <c r="BL5" s="9">
        <f t="shared" si="37"/>
        <v>2.7529499999999998</v>
      </c>
      <c r="BM5" s="9">
        <f t="shared" si="37"/>
        <v>2.7615999999999996</v>
      </c>
      <c r="BN5" s="9">
        <f t="shared" si="37"/>
        <v>2.7552333333333334</v>
      </c>
      <c r="BO5" s="9">
        <f t="shared" si="37"/>
        <v>2.7911500000000009</v>
      </c>
      <c r="BP5" s="9">
        <f t="shared" si="37"/>
        <v>2.8755833333333327</v>
      </c>
      <c r="BQ5" s="10" t="str">
        <f t="shared" si="10"/>
        <v>Ave(60D)</v>
      </c>
      <c r="BR5" s="9">
        <f t="shared" ref="BR5:CH5" si="42">IFERROR(AVERAGE(BR$19:BR$78), 0)</f>
        <v>3.2567499999999998</v>
      </c>
      <c r="BS5" s="9">
        <f t="shared" si="37"/>
        <v>3.1849166666666657</v>
      </c>
      <c r="BT5" s="9">
        <f t="shared" si="37"/>
        <v>3.1513166666666668</v>
      </c>
      <c r="BU5" s="9">
        <f t="shared" si="37"/>
        <v>3.1828000000000003</v>
      </c>
      <c r="BV5" s="9">
        <f t="shared" si="37"/>
        <v>3.2203666666666662</v>
      </c>
      <c r="BW5" s="9">
        <f t="shared" si="37"/>
        <v>3.2277166666666668</v>
      </c>
      <c r="BX5" s="9">
        <f t="shared" si="37"/>
        <v>3.2762999999999995</v>
      </c>
      <c r="BY5" s="9">
        <f t="shared" si="37"/>
        <v>3.3310833333333334</v>
      </c>
      <c r="BZ5" s="10" t="str">
        <f t="shared" si="10"/>
        <v>Ave(60D)</v>
      </c>
      <c r="CA5" s="9">
        <f t="shared" ref="CA5:CH5" si="43">IFERROR(AVERAGE(CA$19:CA$78), 0)</f>
        <v>2.8423499999999993</v>
      </c>
      <c r="CB5" s="9">
        <f t="shared" si="37"/>
        <v>2.8232333333333322</v>
      </c>
      <c r="CC5" s="9">
        <f t="shared" si="37"/>
        <v>2.7960333333333329</v>
      </c>
      <c r="CD5" s="9">
        <f t="shared" si="37"/>
        <v>2.785533333333333</v>
      </c>
      <c r="CE5" s="9">
        <f t="shared" si="37"/>
        <v>2.812416666666667</v>
      </c>
      <c r="CF5" s="9">
        <f t="shared" si="37"/>
        <v>2.8477500000000004</v>
      </c>
      <c r="CG5" s="9">
        <f t="shared" si="37"/>
        <v>2.8789666666666673</v>
      </c>
      <c r="CH5" s="9">
        <f t="shared" si="37"/>
        <v>2.9240833333333347</v>
      </c>
      <c r="CJ5" s="6" t="s">
        <v>66</v>
      </c>
      <c r="CK5" s="6" t="s">
        <v>67</v>
      </c>
      <c r="CM5" s="6" t="s">
        <v>275</v>
      </c>
      <c r="CN5" s="6" t="s">
        <v>274</v>
      </c>
      <c r="CO5" s="6" t="s">
        <v>10</v>
      </c>
      <c r="CP5" s="6" t="s">
        <v>12</v>
      </c>
    </row>
    <row r="6" spans="1:94">
      <c r="B6" s="18" t="s">
        <v>46</v>
      </c>
      <c r="C6" s="19">
        <f>MIN(C$19:C$78)</f>
        <v>2.6030000000000002</v>
      </c>
      <c r="D6" s="19">
        <f t="shared" ref="D6:N6" si="44">MIN(D$19:D$78)</f>
        <v>2.5880000000000001</v>
      </c>
      <c r="E6" s="19">
        <f t="shared" si="44"/>
        <v>2.5499999999999998</v>
      </c>
      <c r="F6" s="19">
        <f t="shared" si="44"/>
        <v>2.621</v>
      </c>
      <c r="G6" s="19">
        <f t="shared" si="44"/>
        <v>2.62</v>
      </c>
      <c r="H6" s="19">
        <f t="shared" si="44"/>
        <v>2.4700000000000002</v>
      </c>
      <c r="I6" s="19">
        <f t="shared" si="44"/>
        <v>2.64</v>
      </c>
      <c r="J6" s="19">
        <f t="shared" si="44"/>
        <v>2.6150000000000002</v>
      </c>
      <c r="K6" s="19">
        <f t="shared" si="44"/>
        <v>2.7490000000000001</v>
      </c>
      <c r="L6" s="19">
        <f t="shared" si="44"/>
        <v>2.7</v>
      </c>
      <c r="M6" s="19">
        <f t="shared" si="44"/>
        <v>2.64</v>
      </c>
      <c r="N6" s="19">
        <f t="shared" si="44"/>
        <v>2.5419999999999998</v>
      </c>
      <c r="O6" s="20" t="str">
        <f t="shared" si="17"/>
        <v>Min(60D)</v>
      </c>
      <c r="P6" s="19">
        <f>MIN(P$19:P$78)</f>
        <v>2.6549999999999998</v>
      </c>
      <c r="Q6" s="19">
        <f t="shared" ref="Q6:W6" si="45">MIN(Q$19:Q$78)</f>
        <v>2.6080000000000001</v>
      </c>
      <c r="R6" s="19">
        <f t="shared" si="45"/>
        <v>2.585</v>
      </c>
      <c r="S6" s="19">
        <f t="shared" si="45"/>
        <v>2.6240000000000001</v>
      </c>
      <c r="T6" s="19">
        <f t="shared" si="45"/>
        <v>2.58</v>
      </c>
      <c r="U6" s="19">
        <f t="shared" si="45"/>
        <v>2.5979999999999999</v>
      </c>
      <c r="V6" s="19">
        <f t="shared" si="45"/>
        <v>0</v>
      </c>
      <c r="W6" s="19">
        <f t="shared" si="45"/>
        <v>0</v>
      </c>
      <c r="X6" s="20" t="str">
        <f t="shared" si="2"/>
        <v>Min(60D)</v>
      </c>
      <c r="Y6" s="19">
        <f t="shared" ref="Y6:CH6" si="46">MIN(Y$19:Y$78)</f>
        <v>2.665</v>
      </c>
      <c r="Z6" s="19">
        <f t="shared" si="46"/>
        <v>2.6869999999999998</v>
      </c>
      <c r="AA6" s="19">
        <f t="shared" si="46"/>
        <v>2.6120000000000001</v>
      </c>
      <c r="AB6" s="19">
        <f t="shared" si="46"/>
        <v>2.6509999999999998</v>
      </c>
      <c r="AC6" s="19">
        <f t="shared" si="46"/>
        <v>2.6669999999999998</v>
      </c>
      <c r="AD6" s="19">
        <f t="shared" si="46"/>
        <v>2.621</v>
      </c>
      <c r="AE6" s="19">
        <f t="shared" si="46"/>
        <v>2.69</v>
      </c>
      <c r="AF6" s="19">
        <f t="shared" si="46"/>
        <v>2.7930000000000001</v>
      </c>
      <c r="AG6" s="20" t="str">
        <f t="shared" si="2"/>
        <v>Min(60D)</v>
      </c>
      <c r="AH6" s="19">
        <f t="shared" ref="AH6:BM6" si="47">MIN(AH$19:AH$78)</f>
        <v>2.8330000000000002</v>
      </c>
      <c r="AI6" s="19">
        <f t="shared" si="46"/>
        <v>2.782</v>
      </c>
      <c r="AJ6" s="19">
        <f t="shared" si="46"/>
        <v>2.78</v>
      </c>
      <c r="AK6" s="19">
        <f t="shared" si="46"/>
        <v>2.7229999999999999</v>
      </c>
      <c r="AL6" s="19">
        <f t="shared" si="46"/>
        <v>2.7210000000000001</v>
      </c>
      <c r="AM6" s="19">
        <f t="shared" si="46"/>
        <v>2.6960000000000002</v>
      </c>
      <c r="AN6" s="19">
        <f t="shared" si="46"/>
        <v>2.7149999999999999</v>
      </c>
      <c r="AO6" s="19">
        <f t="shared" si="46"/>
        <v>2.8050000000000002</v>
      </c>
      <c r="AP6" s="20" t="str">
        <f t="shared" si="2"/>
        <v>Min(60D)</v>
      </c>
      <c r="AQ6" s="19">
        <f t="shared" ref="AQ6:CH6" si="48">MIN(AQ$19:AQ$78)</f>
        <v>3.0510000000000002</v>
      </c>
      <c r="AR6" s="19">
        <f t="shared" si="46"/>
        <v>3.0459999999999998</v>
      </c>
      <c r="AS6" s="19">
        <f t="shared" si="46"/>
        <v>2.976</v>
      </c>
      <c r="AT6" s="19">
        <f t="shared" si="46"/>
        <v>3.0110000000000001</v>
      </c>
      <c r="AU6" s="19">
        <f t="shared" si="46"/>
        <v>3.0609999999999999</v>
      </c>
      <c r="AV6" s="19">
        <f t="shared" si="46"/>
        <v>3.121</v>
      </c>
      <c r="AW6" s="19">
        <f t="shared" si="46"/>
        <v>3.1659999999999999</v>
      </c>
      <c r="AX6" s="19">
        <f t="shared" si="46"/>
        <v>3.2559999999999998</v>
      </c>
      <c r="AY6" s="20" t="str">
        <f t="shared" si="2"/>
        <v>Min(60D)</v>
      </c>
      <c r="AZ6" s="19">
        <f t="shared" ref="AZ6:CH6" si="49">MIN(AZ$19:AZ$78)</f>
        <v>2.8610000000000002</v>
      </c>
      <c r="BA6" s="19">
        <f t="shared" si="46"/>
        <v>2.823</v>
      </c>
      <c r="BB6" s="19">
        <f t="shared" si="46"/>
        <v>2.7650000000000001</v>
      </c>
      <c r="BC6" s="19">
        <f t="shared" si="46"/>
        <v>2.7559999999999998</v>
      </c>
      <c r="BD6" s="19">
        <f t="shared" si="46"/>
        <v>2.774</v>
      </c>
      <c r="BE6" s="19">
        <f t="shared" si="46"/>
        <v>2.78</v>
      </c>
      <c r="BF6" s="19">
        <f t="shared" si="46"/>
        <v>2.802</v>
      </c>
      <c r="BG6" s="19">
        <f t="shared" si="46"/>
        <v>2.8330000000000002</v>
      </c>
      <c r="BH6" s="20" t="str">
        <f t="shared" si="10"/>
        <v>Min(60D)</v>
      </c>
      <c r="BI6" s="19">
        <f t="shared" ref="BI6:CH6" si="50">MIN(BI$19:BI$78)</f>
        <v>2.806</v>
      </c>
      <c r="BJ6" s="19">
        <f t="shared" si="46"/>
        <v>2.7450000000000001</v>
      </c>
      <c r="BK6" s="19">
        <f t="shared" si="46"/>
        <v>2.6930000000000001</v>
      </c>
      <c r="BL6" s="19">
        <f t="shared" si="46"/>
        <v>2.69</v>
      </c>
      <c r="BM6" s="19">
        <f t="shared" si="46"/>
        <v>2.694</v>
      </c>
      <c r="BN6" s="19">
        <f t="shared" si="46"/>
        <v>2.6850000000000001</v>
      </c>
      <c r="BO6" s="19">
        <f t="shared" si="46"/>
        <v>2.706</v>
      </c>
      <c r="BP6" s="19">
        <f t="shared" si="46"/>
        <v>2.8039999999999998</v>
      </c>
      <c r="BQ6" s="20" t="str">
        <f t="shared" si="10"/>
        <v>Min(60D)</v>
      </c>
      <c r="BR6" s="19">
        <f t="shared" ref="BR6:CH6" si="51">MIN(BR$19:BR$78)</f>
        <v>3.13</v>
      </c>
      <c r="BS6" s="19">
        <f t="shared" si="46"/>
        <v>3.121</v>
      </c>
      <c r="BT6" s="19">
        <f t="shared" si="46"/>
        <v>3.085</v>
      </c>
      <c r="BU6" s="19">
        <f t="shared" si="46"/>
        <v>3.12</v>
      </c>
      <c r="BV6" s="19">
        <f t="shared" si="46"/>
        <v>3.1549999999999998</v>
      </c>
      <c r="BW6" s="19">
        <f t="shared" si="46"/>
        <v>3.1579999999999999</v>
      </c>
      <c r="BX6" s="19">
        <f t="shared" si="46"/>
        <v>3.1880000000000002</v>
      </c>
      <c r="BY6" s="19">
        <f t="shared" si="46"/>
        <v>3.23</v>
      </c>
      <c r="BZ6" s="20" t="str">
        <f t="shared" si="10"/>
        <v>Min(60D)</v>
      </c>
      <c r="CA6" s="19">
        <f t="shared" ref="CA6:CH6" si="52">MIN(CA$19:CA$78)</f>
        <v>2.7469999999999999</v>
      </c>
      <c r="CB6" s="19">
        <f t="shared" si="46"/>
        <v>2.7679999999999998</v>
      </c>
      <c r="CC6" s="19">
        <f t="shared" si="46"/>
        <v>2.7040000000000002</v>
      </c>
      <c r="CD6" s="19">
        <f t="shared" si="46"/>
        <v>2.738</v>
      </c>
      <c r="CE6" s="19">
        <f t="shared" si="46"/>
        <v>2.7559999999999998</v>
      </c>
      <c r="CF6" s="19">
        <f t="shared" si="46"/>
        <v>2.7509999999999999</v>
      </c>
      <c r="CG6" s="19">
        <f t="shared" si="46"/>
        <v>2.8</v>
      </c>
      <c r="CH6" s="19">
        <f t="shared" si="46"/>
        <v>2.8490000000000002</v>
      </c>
      <c r="CJ6" s="6" t="s">
        <v>68</v>
      </c>
      <c r="CK6" s="6" t="s">
        <v>69</v>
      </c>
      <c r="CM6" s="6" t="s">
        <v>276</v>
      </c>
      <c r="CN6" s="6" t="s">
        <v>274</v>
      </c>
      <c r="CO6" s="6" t="s">
        <v>10</v>
      </c>
      <c r="CP6" s="6" t="s">
        <v>13</v>
      </c>
    </row>
    <row r="7" spans="1:94" ht="14.25" thickBot="1">
      <c r="B7" s="12" t="s">
        <v>47</v>
      </c>
      <c r="C7" s="13">
        <f>MAX(C$19:C$78)</f>
        <v>2.7949999999999999</v>
      </c>
      <c r="D7" s="13">
        <f t="shared" ref="D7:N7" si="53">MAX(D$19:D$78)</f>
        <v>2.7130000000000001</v>
      </c>
      <c r="E7" s="13">
        <f t="shared" si="53"/>
        <v>2.7029999999999998</v>
      </c>
      <c r="F7" s="13">
        <f t="shared" si="53"/>
        <v>2.7810000000000001</v>
      </c>
      <c r="G7" s="13">
        <f t="shared" si="53"/>
        <v>2.7970000000000002</v>
      </c>
      <c r="H7" s="13">
        <f t="shared" si="53"/>
        <v>2.68</v>
      </c>
      <c r="I7" s="13">
        <f t="shared" si="53"/>
        <v>2.8650000000000002</v>
      </c>
      <c r="J7" s="13">
        <f t="shared" si="53"/>
        <v>2.8250000000000002</v>
      </c>
      <c r="K7" s="13">
        <f t="shared" si="53"/>
        <v>3.0270000000000001</v>
      </c>
      <c r="L7" s="13">
        <f t="shared" si="53"/>
        <v>2.9140000000000001</v>
      </c>
      <c r="M7" s="13">
        <f t="shared" si="53"/>
        <v>2.875</v>
      </c>
      <c r="N7" s="13">
        <f t="shared" si="53"/>
        <v>2.81</v>
      </c>
      <c r="O7" s="14" t="str">
        <f t="shared" si="17"/>
        <v>Max(60D)</v>
      </c>
      <c r="P7" s="13">
        <f>MAX(P$19:P$78)</f>
        <v>2.843</v>
      </c>
      <c r="Q7" s="13">
        <f t="shared" ref="Q7:W7" si="54">MAX(Q$19:Q$78)</f>
        <v>2.758</v>
      </c>
      <c r="R7" s="13">
        <f t="shared" si="54"/>
        <v>2.706</v>
      </c>
      <c r="S7" s="13">
        <f t="shared" si="54"/>
        <v>2.762</v>
      </c>
      <c r="T7" s="13">
        <f t="shared" si="54"/>
        <v>2.7919999999999998</v>
      </c>
      <c r="U7" s="13">
        <f t="shared" si="54"/>
        <v>2.8010000000000002</v>
      </c>
      <c r="V7" s="13">
        <f t="shared" si="54"/>
        <v>0</v>
      </c>
      <c r="W7" s="13">
        <f t="shared" si="54"/>
        <v>0</v>
      </c>
      <c r="X7" s="14" t="str">
        <f t="shared" si="2"/>
        <v>Max(60D)</v>
      </c>
      <c r="Y7" s="13">
        <f t="shared" ref="Y7:CH7" si="55">MAX(Y$19:Y$78)</f>
        <v>2.859</v>
      </c>
      <c r="Z7" s="13">
        <f t="shared" si="55"/>
        <v>2.8220000000000001</v>
      </c>
      <c r="AA7" s="13">
        <f t="shared" si="55"/>
        <v>2.786</v>
      </c>
      <c r="AB7" s="13">
        <f t="shared" si="55"/>
        <v>2.8090000000000002</v>
      </c>
      <c r="AC7" s="13">
        <f t="shared" si="55"/>
        <v>2.8439999999999999</v>
      </c>
      <c r="AD7" s="13">
        <f t="shared" si="55"/>
        <v>2.8149999999999999</v>
      </c>
      <c r="AE7" s="13">
        <f t="shared" si="55"/>
        <v>2.9119999999999999</v>
      </c>
      <c r="AF7" s="13">
        <f t="shared" si="55"/>
        <v>3.01</v>
      </c>
      <c r="AG7" s="14" t="str">
        <f t="shared" si="2"/>
        <v>Max(60D)</v>
      </c>
      <c r="AH7" s="13">
        <f t="shared" ref="AH7:BM7" si="56">MAX(AH$19:AH$78)</f>
        <v>3.3090000000000002</v>
      </c>
      <c r="AI7" s="13">
        <f t="shared" si="55"/>
        <v>3.157</v>
      </c>
      <c r="AJ7" s="13">
        <f t="shared" si="55"/>
        <v>3.0150000000000001</v>
      </c>
      <c r="AK7" s="13">
        <f t="shared" si="55"/>
        <v>2.9540000000000002</v>
      </c>
      <c r="AL7" s="13">
        <f t="shared" si="55"/>
        <v>2.9670000000000001</v>
      </c>
      <c r="AM7" s="13">
        <f t="shared" si="55"/>
        <v>2.899</v>
      </c>
      <c r="AN7" s="13">
        <f t="shared" si="55"/>
        <v>2.9910000000000001</v>
      </c>
      <c r="AO7" s="13">
        <f t="shared" si="55"/>
        <v>3.0419999999999998</v>
      </c>
      <c r="AP7" s="14" t="str">
        <f t="shared" si="2"/>
        <v>Max(60D)</v>
      </c>
      <c r="AQ7" s="13">
        <f t="shared" ref="AQ7:CH7" si="57">MAX(AQ$19:AQ$78)</f>
        <v>3.4359999999999999</v>
      </c>
      <c r="AR7" s="13">
        <f t="shared" si="55"/>
        <v>3.3290000000000002</v>
      </c>
      <c r="AS7" s="13">
        <f t="shared" si="55"/>
        <v>3.2480000000000002</v>
      </c>
      <c r="AT7" s="13">
        <f t="shared" si="55"/>
        <v>3.226</v>
      </c>
      <c r="AU7" s="13">
        <f t="shared" si="55"/>
        <v>3.2869999999999999</v>
      </c>
      <c r="AV7" s="13">
        <f t="shared" si="55"/>
        <v>3.3479999999999999</v>
      </c>
      <c r="AW7" s="13">
        <f t="shared" si="55"/>
        <v>3.4329999999999998</v>
      </c>
      <c r="AX7" s="13">
        <f t="shared" si="55"/>
        <v>3.5230000000000001</v>
      </c>
      <c r="AY7" s="14" t="str">
        <f t="shared" si="2"/>
        <v>Max(60D)</v>
      </c>
      <c r="AZ7" s="13">
        <f t="shared" ref="AZ7:CH7" si="58">MAX(AZ$19:AZ$78)</f>
        <v>3.3210000000000002</v>
      </c>
      <c r="BA7" s="13">
        <f t="shared" si="55"/>
        <v>3.1589999999999998</v>
      </c>
      <c r="BB7" s="13">
        <f t="shared" si="55"/>
        <v>3.0409999999999999</v>
      </c>
      <c r="BC7" s="13">
        <f t="shared" si="55"/>
        <v>2.9870000000000001</v>
      </c>
      <c r="BD7" s="13">
        <f t="shared" si="55"/>
        <v>3.0339999999999998</v>
      </c>
      <c r="BE7" s="13">
        <f t="shared" si="55"/>
        <v>2.9889999999999999</v>
      </c>
      <c r="BF7" s="13">
        <f t="shared" si="55"/>
        <v>3.0830000000000002</v>
      </c>
      <c r="BG7" s="13">
        <f t="shared" si="55"/>
        <v>3.1070000000000002</v>
      </c>
      <c r="BH7" s="14" t="str">
        <f t="shared" si="10"/>
        <v>Max(60D)</v>
      </c>
      <c r="BI7" s="13">
        <f t="shared" ref="BI7:CH7" si="59">MAX(BI$19:BI$78)</f>
        <v>3.2629999999999999</v>
      </c>
      <c r="BJ7" s="13">
        <f t="shared" si="55"/>
        <v>3.0880000000000001</v>
      </c>
      <c r="BK7" s="13">
        <f t="shared" si="55"/>
        <v>2.9529999999999998</v>
      </c>
      <c r="BL7" s="13">
        <f t="shared" si="55"/>
        <v>2.9209999999999998</v>
      </c>
      <c r="BM7" s="13">
        <f t="shared" si="55"/>
        <v>2.9580000000000002</v>
      </c>
      <c r="BN7" s="13">
        <f t="shared" si="55"/>
        <v>2.89</v>
      </c>
      <c r="BO7" s="13">
        <f t="shared" si="55"/>
        <v>2.9750000000000001</v>
      </c>
      <c r="BP7" s="13">
        <f t="shared" si="55"/>
        <v>3.0219999999999998</v>
      </c>
      <c r="BQ7" s="14" t="str">
        <f t="shared" si="10"/>
        <v>Max(60D)</v>
      </c>
      <c r="BR7" s="13">
        <f t="shared" ref="BR7:CH7" si="60">MAX(BR$19:BR$78)</f>
        <v>3.5739999999999998</v>
      </c>
      <c r="BS7" s="13">
        <f t="shared" si="55"/>
        <v>3.4460000000000002</v>
      </c>
      <c r="BT7" s="13">
        <f t="shared" si="55"/>
        <v>3.35</v>
      </c>
      <c r="BU7" s="13">
        <f t="shared" si="55"/>
        <v>3.3519999999999999</v>
      </c>
      <c r="BV7" s="13">
        <f t="shared" si="55"/>
        <v>3.419</v>
      </c>
      <c r="BW7" s="13">
        <f t="shared" si="55"/>
        <v>3.3620000000000001</v>
      </c>
      <c r="BX7" s="13">
        <f t="shared" si="55"/>
        <v>3.464</v>
      </c>
      <c r="BY7" s="13">
        <f t="shared" si="55"/>
        <v>3.4969999999999999</v>
      </c>
      <c r="BZ7" s="14" t="str">
        <f t="shared" si="10"/>
        <v>Max(60D)</v>
      </c>
      <c r="CA7" s="13">
        <f t="shared" ref="CA7:CH7" si="61">MAX(CA$19:CA$78)</f>
        <v>2.944</v>
      </c>
      <c r="CB7" s="13">
        <f t="shared" si="55"/>
        <v>2.9049999999999998</v>
      </c>
      <c r="CC7" s="13">
        <f t="shared" si="55"/>
        <v>2.8740000000000001</v>
      </c>
      <c r="CD7" s="13">
        <f t="shared" si="55"/>
        <v>2.9</v>
      </c>
      <c r="CE7" s="13">
        <f t="shared" si="55"/>
        <v>2.9420000000000002</v>
      </c>
      <c r="CF7" s="13">
        <f t="shared" si="55"/>
        <v>2.944</v>
      </c>
      <c r="CG7" s="13">
        <f t="shared" si="55"/>
        <v>3.03</v>
      </c>
      <c r="CH7" s="13">
        <f t="shared" si="55"/>
        <v>3.069</v>
      </c>
      <c r="CJ7" s="6" t="s">
        <v>70</v>
      </c>
      <c r="CK7" s="6" t="s">
        <v>71</v>
      </c>
      <c r="CM7" s="6" t="s">
        <v>277</v>
      </c>
      <c r="CN7" s="6" t="s">
        <v>274</v>
      </c>
      <c r="CO7" s="6" t="s">
        <v>14</v>
      </c>
      <c r="CP7" s="6" t="s">
        <v>11</v>
      </c>
    </row>
    <row r="8" spans="1:94">
      <c r="B8" s="8" t="s">
        <v>305</v>
      </c>
      <c r="C8" s="9">
        <f>IFERROR( AVERAGE(C$19:C$138), 0)</f>
        <v>2.809658333333334</v>
      </c>
      <c r="D8" s="9">
        <f t="shared" ref="D8:N8" si="62">IFERROR( AVERAGE(D$19:D$138), 0)</f>
        <v>2.7674999999999992</v>
      </c>
      <c r="E8" s="9">
        <f t="shared" si="62"/>
        <v>2.7272666666666674</v>
      </c>
      <c r="F8" s="9">
        <f t="shared" si="62"/>
        <v>2.7657999999999987</v>
      </c>
      <c r="G8" s="9">
        <f t="shared" si="62"/>
        <v>2.7616166666666664</v>
      </c>
      <c r="H8" s="9">
        <f t="shared" si="62"/>
        <v>2.6963916666666661</v>
      </c>
      <c r="I8" s="9">
        <f t="shared" si="62"/>
        <v>2.8065499999999997</v>
      </c>
      <c r="J8" s="9">
        <f t="shared" si="62"/>
        <v>2.7797333333333323</v>
      </c>
      <c r="K8" s="9">
        <f t="shared" si="62"/>
        <v>2.9274916666666679</v>
      </c>
      <c r="L8" s="9">
        <f t="shared" si="62"/>
        <v>2.8891249999999995</v>
      </c>
      <c r="M8" s="9">
        <f t="shared" si="62"/>
        <v>2.809150000000002</v>
      </c>
      <c r="N8" s="9">
        <f t="shared" si="62"/>
        <v>2.7388833333333324</v>
      </c>
      <c r="O8" s="10" t="str">
        <f t="shared" si="17"/>
        <v>Ave(120D)</v>
      </c>
      <c r="P8" s="9">
        <f>IFERROR( AVERAGE(P$19:P$138), 0)</f>
        <v>2.8161083333333328</v>
      </c>
      <c r="Q8" s="9">
        <f t="shared" ref="Q8:W8" si="63">IFERROR( AVERAGE(Q$19:Q$138), 0)</f>
        <v>2.7359583333333339</v>
      </c>
      <c r="R8" s="9">
        <f t="shared" si="63"/>
        <v>2.7170500000000017</v>
      </c>
      <c r="S8" s="9">
        <f t="shared" si="63"/>
        <v>2.7835250000000005</v>
      </c>
      <c r="T8" s="9">
        <f t="shared" si="63"/>
        <v>2.7524250000000001</v>
      </c>
      <c r="U8" s="9">
        <f t="shared" si="63"/>
        <v>2.7775999999999992</v>
      </c>
      <c r="V8" s="9">
        <f t="shared" si="63"/>
        <v>0</v>
      </c>
      <c r="W8" s="9">
        <f t="shared" si="63"/>
        <v>0</v>
      </c>
      <c r="X8" s="10" t="str">
        <f t="shared" si="2"/>
        <v>Ave(120D)</v>
      </c>
      <c r="Y8" s="9">
        <f t="shared" ref="Y8:CH8" si="64">IFERROR( AVERAGE(Y$19:Y$138), 0)</f>
        <v>2.8780333333333332</v>
      </c>
      <c r="Z8" s="9">
        <f t="shared" si="64"/>
        <v>2.8590500000000003</v>
      </c>
      <c r="AA8" s="9">
        <f t="shared" si="64"/>
        <v>2.8010499999999983</v>
      </c>
      <c r="AB8" s="9">
        <f t="shared" si="64"/>
        <v>2.7861833333333341</v>
      </c>
      <c r="AC8" s="9">
        <f t="shared" si="64"/>
        <v>2.8074999999999983</v>
      </c>
      <c r="AD8" s="9">
        <f t="shared" si="64"/>
        <v>2.8160500000000019</v>
      </c>
      <c r="AE8" s="9">
        <f t="shared" si="64"/>
        <v>2.855741666666666</v>
      </c>
      <c r="AF8" s="9">
        <f t="shared" si="64"/>
        <v>2.9498250000000015</v>
      </c>
      <c r="AG8" s="10" t="str">
        <f t="shared" si="2"/>
        <v>Ave(120D)</v>
      </c>
      <c r="AH8" s="9">
        <f t="shared" ref="AH8:BM8" si="65">IFERROR( AVERAGE(AH$19:AH$138), 0)</f>
        <v>3.1499833333333345</v>
      </c>
      <c r="AI8" s="9">
        <f t="shared" si="64"/>
        <v>3.0493916666666658</v>
      </c>
      <c r="AJ8" s="9">
        <f t="shared" si="64"/>
        <v>2.9833666666666669</v>
      </c>
      <c r="AK8" s="9">
        <f t="shared" si="64"/>
        <v>2.9494416666666647</v>
      </c>
      <c r="AL8" s="9">
        <f t="shared" si="64"/>
        <v>2.919775</v>
      </c>
      <c r="AM8" s="9">
        <f t="shared" si="64"/>
        <v>2.8784416666666663</v>
      </c>
      <c r="AN8" s="9">
        <f t="shared" si="64"/>
        <v>2.9112166666666672</v>
      </c>
      <c r="AO8" s="9">
        <f t="shared" si="64"/>
        <v>2.9797250000000015</v>
      </c>
      <c r="AP8" s="10" t="str">
        <f t="shared" si="2"/>
        <v>Ave(120D)</v>
      </c>
      <c r="AQ8" s="9">
        <f t="shared" ref="AQ8:CH8" si="66">IFERROR( AVERAGE(AQ$19:AQ$138), 0)</f>
        <v>3.3205666666666667</v>
      </c>
      <c r="AR8" s="9">
        <f t="shared" si="64"/>
        <v>3.2529416666666648</v>
      </c>
      <c r="AS8" s="9">
        <f t="shared" si="64"/>
        <v>3.1725500000000015</v>
      </c>
      <c r="AT8" s="9">
        <f t="shared" si="64"/>
        <v>3.1747666666666654</v>
      </c>
      <c r="AU8" s="9">
        <f t="shared" si="64"/>
        <v>3.2231833333333335</v>
      </c>
      <c r="AV8" s="9">
        <f t="shared" si="64"/>
        <v>3.2942416666666676</v>
      </c>
      <c r="AW8" s="9">
        <f t="shared" si="64"/>
        <v>3.3464583333333349</v>
      </c>
      <c r="AX8" s="9">
        <f t="shared" si="64"/>
        <v>3.4387749999999992</v>
      </c>
      <c r="AY8" s="10" t="str">
        <f t="shared" si="2"/>
        <v>Ave(120D)</v>
      </c>
      <c r="AZ8" s="9">
        <f t="shared" ref="AZ8:CH8" si="67">IFERROR( AVERAGE(AZ$19:AZ$138), 0)</f>
        <v>3.1622916666666656</v>
      </c>
      <c r="BA8" s="9">
        <f t="shared" si="64"/>
        <v>3.0570250000000012</v>
      </c>
      <c r="BB8" s="9">
        <f t="shared" si="64"/>
        <v>2.9893250000000009</v>
      </c>
      <c r="BC8" s="9">
        <f t="shared" si="64"/>
        <v>2.966991666666666</v>
      </c>
      <c r="BD8" s="9">
        <f t="shared" si="64"/>
        <v>2.9756166666666677</v>
      </c>
      <c r="BE8" s="9">
        <f t="shared" si="64"/>
        <v>2.9613000000000005</v>
      </c>
      <c r="BF8" s="9">
        <f t="shared" si="64"/>
        <v>2.9991500000000002</v>
      </c>
      <c r="BG8" s="9">
        <f t="shared" si="64"/>
        <v>3.030875</v>
      </c>
      <c r="BH8" s="10" t="str">
        <f t="shared" si="10"/>
        <v>Ave(120D)</v>
      </c>
      <c r="BI8" s="9">
        <f t="shared" ref="BI8:CH8" si="68">IFERROR( AVERAGE(BI$19:BI$138), 0)</f>
        <v>3.1042916666666662</v>
      </c>
      <c r="BJ8" s="9">
        <f t="shared" si="64"/>
        <v>2.9831249999999994</v>
      </c>
      <c r="BK8" s="9">
        <f t="shared" si="64"/>
        <v>2.9075166666666674</v>
      </c>
      <c r="BL8" s="9">
        <f t="shared" si="64"/>
        <v>2.8989250000000002</v>
      </c>
      <c r="BM8" s="9">
        <f t="shared" si="64"/>
        <v>2.9004333333333316</v>
      </c>
      <c r="BN8" s="9">
        <f t="shared" si="64"/>
        <v>2.8657083333333322</v>
      </c>
      <c r="BO8" s="9">
        <f t="shared" si="64"/>
        <v>2.8995416666666682</v>
      </c>
      <c r="BP8" s="9">
        <f t="shared" si="64"/>
        <v>2.9679333333333324</v>
      </c>
      <c r="BQ8" s="10" t="str">
        <f t="shared" si="10"/>
        <v>Ave(120D)</v>
      </c>
      <c r="BR8" s="9">
        <f t="shared" ref="BR8:CH8" si="69">IFERROR( AVERAGE(BR$19:BR$138), 0)</f>
        <v>3.4196750000000007</v>
      </c>
      <c r="BS8" s="9">
        <f t="shared" si="64"/>
        <v>3.3489333333333335</v>
      </c>
      <c r="BT8" s="9">
        <f t="shared" si="64"/>
        <v>3.3029999999999999</v>
      </c>
      <c r="BU8" s="9">
        <f t="shared" si="64"/>
        <v>3.3243083333333336</v>
      </c>
      <c r="BV8" s="9">
        <f t="shared" si="64"/>
        <v>3.3525</v>
      </c>
      <c r="BW8" s="9">
        <f t="shared" si="64"/>
        <v>3.3393166666666683</v>
      </c>
      <c r="BX8" s="9">
        <f t="shared" si="64"/>
        <v>3.3819166666666658</v>
      </c>
      <c r="BY8" s="9">
        <f t="shared" si="64"/>
        <v>3.4264500000000004</v>
      </c>
      <c r="BZ8" s="10" t="str">
        <f t="shared" si="10"/>
        <v>Ave(120D)</v>
      </c>
      <c r="CA8" s="9">
        <f t="shared" ref="CA8:CH8" si="70">IFERROR( AVERAGE(CA$19:CA$138), 0)</f>
        <v>2.962541666666668</v>
      </c>
      <c r="CB8" s="9">
        <f t="shared" si="64"/>
        <v>2.9427250000000016</v>
      </c>
      <c r="CC8" s="9">
        <f t="shared" si="64"/>
        <v>2.8879999999999999</v>
      </c>
      <c r="CD8" s="9">
        <f t="shared" si="64"/>
        <v>2.8743249999999989</v>
      </c>
      <c r="CE8" s="9">
        <f t="shared" si="64"/>
        <v>2.9002416666666671</v>
      </c>
      <c r="CF8" s="9">
        <f t="shared" si="64"/>
        <v>2.9367250000000005</v>
      </c>
      <c r="CG8" s="9">
        <f t="shared" si="64"/>
        <v>2.969766666666668</v>
      </c>
      <c r="CH8" s="9">
        <f t="shared" si="64"/>
        <v>3.0063500000000003</v>
      </c>
      <c r="CJ8" s="6" t="s">
        <v>72</v>
      </c>
      <c r="CK8" s="6" t="s">
        <v>73</v>
      </c>
      <c r="CM8" s="6" t="s">
        <v>278</v>
      </c>
      <c r="CN8" s="6" t="s">
        <v>274</v>
      </c>
      <c r="CO8" s="6" t="s">
        <v>14</v>
      </c>
      <c r="CP8" s="6" t="s">
        <v>15</v>
      </c>
    </row>
    <row r="9" spans="1:94">
      <c r="B9" s="18" t="s">
        <v>306</v>
      </c>
      <c r="C9" s="19">
        <f>MIN(C$19:C$138)</f>
        <v>2.6030000000000002</v>
      </c>
      <c r="D9" s="19">
        <f t="shared" ref="D9:N9" si="71">MIN(D$19:D$138)</f>
        <v>2.5880000000000001</v>
      </c>
      <c r="E9" s="19">
        <f t="shared" si="71"/>
        <v>2.5499999999999998</v>
      </c>
      <c r="F9" s="19">
        <f t="shared" si="71"/>
        <v>2.621</v>
      </c>
      <c r="G9" s="19">
        <f t="shared" si="71"/>
        <v>2.62</v>
      </c>
      <c r="H9" s="19">
        <f t="shared" si="71"/>
        <v>2.4700000000000002</v>
      </c>
      <c r="I9" s="19">
        <f t="shared" si="71"/>
        <v>2.6309999999999998</v>
      </c>
      <c r="J9" s="19">
        <f t="shared" si="71"/>
        <v>2.5720000000000001</v>
      </c>
      <c r="K9" s="19">
        <f t="shared" si="71"/>
        <v>2.7029999999999998</v>
      </c>
      <c r="L9" s="19">
        <f t="shared" si="71"/>
        <v>2.64</v>
      </c>
      <c r="M9" s="19">
        <f t="shared" si="71"/>
        <v>2.5649999999999999</v>
      </c>
      <c r="N9" s="19">
        <f t="shared" si="71"/>
        <v>2.4769999999999999</v>
      </c>
      <c r="O9" s="20" t="str">
        <f t="shared" si="17"/>
        <v>Min(120D)</v>
      </c>
      <c r="P9" s="19">
        <f>MIN(P$19:P$138)</f>
        <v>2.6549999999999998</v>
      </c>
      <c r="Q9" s="19">
        <f t="shared" ref="Q9:W9" si="72">MIN(Q$19:Q$138)</f>
        <v>2.6080000000000001</v>
      </c>
      <c r="R9" s="19">
        <f t="shared" si="72"/>
        <v>2.585</v>
      </c>
      <c r="S9" s="19">
        <f t="shared" si="72"/>
        <v>2.6240000000000001</v>
      </c>
      <c r="T9" s="19">
        <f t="shared" si="72"/>
        <v>2.58</v>
      </c>
      <c r="U9" s="19">
        <f t="shared" si="72"/>
        <v>2.5979999999999999</v>
      </c>
      <c r="V9" s="19">
        <f t="shared" si="72"/>
        <v>0</v>
      </c>
      <c r="W9" s="19">
        <f t="shared" si="72"/>
        <v>0</v>
      </c>
      <c r="X9" s="20" t="str">
        <f t="shared" si="2"/>
        <v>Min(120D)</v>
      </c>
      <c r="Y9" s="19">
        <f t="shared" ref="Y9:CH9" si="73">MIN(Y$19:Y$138)</f>
        <v>2.665</v>
      </c>
      <c r="Z9" s="19">
        <f t="shared" si="73"/>
        <v>2.6869999999999998</v>
      </c>
      <c r="AA9" s="19">
        <f t="shared" si="73"/>
        <v>2.6120000000000001</v>
      </c>
      <c r="AB9" s="19">
        <f t="shared" si="73"/>
        <v>2.6509999999999998</v>
      </c>
      <c r="AC9" s="19">
        <f t="shared" si="73"/>
        <v>2.6669999999999998</v>
      </c>
      <c r="AD9" s="19">
        <f t="shared" si="73"/>
        <v>2.621</v>
      </c>
      <c r="AE9" s="19">
        <f t="shared" si="73"/>
        <v>2.6819999999999999</v>
      </c>
      <c r="AF9" s="19">
        <f t="shared" si="73"/>
        <v>2.74</v>
      </c>
      <c r="AG9" s="20" t="str">
        <f t="shared" si="2"/>
        <v>Min(120D)</v>
      </c>
      <c r="AH9" s="19">
        <f t="shared" ref="AH9:BM9" si="74">MIN(AH$19:AH$138)</f>
        <v>2.8330000000000002</v>
      </c>
      <c r="AI9" s="19">
        <f t="shared" si="73"/>
        <v>2.782</v>
      </c>
      <c r="AJ9" s="19">
        <f t="shared" si="73"/>
        <v>2.78</v>
      </c>
      <c r="AK9" s="19">
        <f t="shared" si="73"/>
        <v>2.7229999999999999</v>
      </c>
      <c r="AL9" s="19">
        <f t="shared" si="73"/>
        <v>2.7210000000000001</v>
      </c>
      <c r="AM9" s="19">
        <f t="shared" si="73"/>
        <v>2.6960000000000002</v>
      </c>
      <c r="AN9" s="19">
        <f t="shared" si="73"/>
        <v>2.7149999999999999</v>
      </c>
      <c r="AO9" s="19">
        <f t="shared" si="73"/>
        <v>2.7839999999999998</v>
      </c>
      <c r="AP9" s="20" t="str">
        <f t="shared" si="2"/>
        <v>Min(120D)</v>
      </c>
      <c r="AQ9" s="19">
        <f t="shared" ref="AQ9:CH9" si="75">MIN(AQ$19:AQ$138)</f>
        <v>3.0510000000000002</v>
      </c>
      <c r="AR9" s="19">
        <f t="shared" si="73"/>
        <v>3.0459999999999998</v>
      </c>
      <c r="AS9" s="19">
        <f t="shared" si="73"/>
        <v>2.976</v>
      </c>
      <c r="AT9" s="19">
        <f t="shared" si="73"/>
        <v>3.0110000000000001</v>
      </c>
      <c r="AU9" s="19">
        <f t="shared" si="73"/>
        <v>3.0609999999999999</v>
      </c>
      <c r="AV9" s="19">
        <f t="shared" si="73"/>
        <v>3.121</v>
      </c>
      <c r="AW9" s="19">
        <f t="shared" si="73"/>
        <v>3.1659999999999999</v>
      </c>
      <c r="AX9" s="19">
        <f t="shared" si="73"/>
        <v>3.2559999999999998</v>
      </c>
      <c r="AY9" s="20" t="str">
        <f t="shared" si="2"/>
        <v>Min(120D)</v>
      </c>
      <c r="AZ9" s="19">
        <f t="shared" ref="AZ9:CH9" si="76">MIN(AZ$19:AZ$138)</f>
        <v>2.8610000000000002</v>
      </c>
      <c r="BA9" s="19">
        <f t="shared" si="73"/>
        <v>2.823</v>
      </c>
      <c r="BB9" s="19">
        <f t="shared" si="73"/>
        <v>2.7650000000000001</v>
      </c>
      <c r="BC9" s="19">
        <f t="shared" si="73"/>
        <v>2.7559999999999998</v>
      </c>
      <c r="BD9" s="19">
        <f t="shared" si="73"/>
        <v>2.774</v>
      </c>
      <c r="BE9" s="19">
        <f t="shared" si="73"/>
        <v>2.78</v>
      </c>
      <c r="BF9" s="19">
        <f t="shared" si="73"/>
        <v>2.802</v>
      </c>
      <c r="BG9" s="19">
        <f t="shared" si="73"/>
        <v>2.8330000000000002</v>
      </c>
      <c r="BH9" s="20" t="str">
        <f t="shared" si="10"/>
        <v>Min(120D)</v>
      </c>
      <c r="BI9" s="19">
        <f t="shared" ref="BI9:CH9" si="77">MIN(BI$19:BI$138)</f>
        <v>2.806</v>
      </c>
      <c r="BJ9" s="19">
        <f t="shared" si="73"/>
        <v>2.7450000000000001</v>
      </c>
      <c r="BK9" s="19">
        <f t="shared" si="73"/>
        <v>2.6930000000000001</v>
      </c>
      <c r="BL9" s="19">
        <f t="shared" si="73"/>
        <v>2.69</v>
      </c>
      <c r="BM9" s="19">
        <f t="shared" si="73"/>
        <v>2.694</v>
      </c>
      <c r="BN9" s="19">
        <f t="shared" si="73"/>
        <v>2.6850000000000001</v>
      </c>
      <c r="BO9" s="19">
        <f t="shared" si="73"/>
        <v>2.706</v>
      </c>
      <c r="BP9" s="19">
        <f t="shared" si="73"/>
        <v>2.7810000000000001</v>
      </c>
      <c r="BQ9" s="20" t="str">
        <f t="shared" si="10"/>
        <v>Min(120D)</v>
      </c>
      <c r="BR9" s="19">
        <f t="shared" ref="BR9:CH9" si="78">MIN(BR$19:BR$138)</f>
        <v>3.13</v>
      </c>
      <c r="BS9" s="19">
        <f t="shared" si="73"/>
        <v>3.121</v>
      </c>
      <c r="BT9" s="19">
        <f t="shared" si="73"/>
        <v>3.085</v>
      </c>
      <c r="BU9" s="19">
        <f t="shared" si="73"/>
        <v>3.12</v>
      </c>
      <c r="BV9" s="19">
        <f t="shared" si="73"/>
        <v>3.1549999999999998</v>
      </c>
      <c r="BW9" s="19">
        <f t="shared" si="73"/>
        <v>3.1579999999999999</v>
      </c>
      <c r="BX9" s="19">
        <f t="shared" si="73"/>
        <v>3.1880000000000002</v>
      </c>
      <c r="BY9" s="19">
        <f t="shared" si="73"/>
        <v>3.23</v>
      </c>
      <c r="BZ9" s="20" t="str">
        <f t="shared" si="10"/>
        <v>Min(120D)</v>
      </c>
      <c r="CA9" s="19">
        <f t="shared" ref="CA9:CH9" si="79">MIN(CA$19:CA$138)</f>
        <v>2.7469999999999999</v>
      </c>
      <c r="CB9" s="19">
        <f t="shared" si="73"/>
        <v>2.7679999999999998</v>
      </c>
      <c r="CC9" s="19">
        <f t="shared" si="73"/>
        <v>2.7040000000000002</v>
      </c>
      <c r="CD9" s="19">
        <f t="shared" si="73"/>
        <v>2.738</v>
      </c>
      <c r="CE9" s="19">
        <f t="shared" si="73"/>
        <v>2.7559999999999998</v>
      </c>
      <c r="CF9" s="19">
        <f t="shared" si="73"/>
        <v>2.7509999999999999</v>
      </c>
      <c r="CG9" s="19">
        <f t="shared" si="73"/>
        <v>2.798</v>
      </c>
      <c r="CH9" s="19">
        <f t="shared" si="73"/>
        <v>2.7919999999999998</v>
      </c>
      <c r="CJ9" s="6" t="s">
        <v>74</v>
      </c>
      <c r="CK9" s="6" t="s">
        <v>75</v>
      </c>
      <c r="CM9" s="6" t="s">
        <v>279</v>
      </c>
      <c r="CN9" s="6" t="s">
        <v>274</v>
      </c>
      <c r="CO9" s="6" t="s">
        <v>14</v>
      </c>
      <c r="CP9" s="6" t="s">
        <v>12</v>
      </c>
    </row>
    <row r="10" spans="1:94" ht="14.25" thickBot="1">
      <c r="B10" s="12" t="s">
        <v>307</v>
      </c>
      <c r="C10" s="13">
        <f>MAX(C$19:C$138)</f>
        <v>2.9780000000000002</v>
      </c>
      <c r="D10" s="13">
        <f t="shared" ref="D10:N10" si="80">MAX(D$19:D$138)</f>
        <v>2.98</v>
      </c>
      <c r="E10" s="13">
        <f t="shared" si="80"/>
        <v>2.903</v>
      </c>
      <c r="F10" s="13">
        <f t="shared" si="80"/>
        <v>2.9950000000000001</v>
      </c>
      <c r="G10" s="13">
        <f t="shared" si="80"/>
        <v>2.98</v>
      </c>
      <c r="H10" s="13">
        <f t="shared" si="80"/>
        <v>2.9620000000000002</v>
      </c>
      <c r="I10" s="13">
        <f t="shared" si="80"/>
        <v>3.0590000000000002</v>
      </c>
      <c r="J10" s="13">
        <f t="shared" si="80"/>
        <v>3.02</v>
      </c>
      <c r="K10" s="13">
        <f t="shared" si="80"/>
        <v>3.1429999999999998</v>
      </c>
      <c r="L10" s="13">
        <f t="shared" si="80"/>
        <v>3.137</v>
      </c>
      <c r="M10" s="13">
        <f t="shared" si="80"/>
        <v>3.04</v>
      </c>
      <c r="N10" s="13">
        <f t="shared" si="80"/>
        <v>2.972</v>
      </c>
      <c r="O10" s="14" t="str">
        <f t="shared" si="17"/>
        <v>Max(120D)</v>
      </c>
      <c r="P10" s="13">
        <f>MAX(P$19:P$138)</f>
        <v>3.0259999999999998</v>
      </c>
      <c r="Q10" s="13">
        <f t="shared" ref="Q10:W10" si="81">MAX(Q$19:Q$138)</f>
        <v>2.9169999999999998</v>
      </c>
      <c r="R10" s="13">
        <f t="shared" si="81"/>
        <v>2.8849999999999998</v>
      </c>
      <c r="S10" s="13">
        <f t="shared" si="81"/>
        <v>3.0150000000000001</v>
      </c>
      <c r="T10" s="13">
        <f t="shared" si="81"/>
        <v>2.98</v>
      </c>
      <c r="U10" s="13">
        <f t="shared" si="81"/>
        <v>3.0310000000000001</v>
      </c>
      <c r="V10" s="13">
        <f t="shared" si="81"/>
        <v>0</v>
      </c>
      <c r="W10" s="13">
        <f t="shared" si="81"/>
        <v>0</v>
      </c>
      <c r="X10" s="14" t="str">
        <f t="shared" si="2"/>
        <v>Max(120D)</v>
      </c>
      <c r="Y10" s="13">
        <f t="shared" ref="Y10:CH10" si="82">MAX(Y$19:Y$138)</f>
        <v>3.0590000000000002</v>
      </c>
      <c r="Z10" s="13">
        <f t="shared" si="82"/>
        <v>3.0539999999999998</v>
      </c>
      <c r="AA10" s="13">
        <f t="shared" si="82"/>
        <v>2.9780000000000002</v>
      </c>
      <c r="AB10" s="13">
        <f t="shared" si="82"/>
        <v>3.0059999999999998</v>
      </c>
      <c r="AC10" s="13">
        <f t="shared" si="82"/>
        <v>3.0369999999999999</v>
      </c>
      <c r="AD10" s="13">
        <f t="shared" si="82"/>
        <v>3.0630000000000002</v>
      </c>
      <c r="AE10" s="13">
        <f t="shared" si="82"/>
        <v>3.1160000000000001</v>
      </c>
      <c r="AF10" s="13">
        <f t="shared" si="82"/>
        <v>3.1970000000000001</v>
      </c>
      <c r="AG10" s="14" t="str">
        <f t="shared" si="2"/>
        <v>Max(120D)</v>
      </c>
      <c r="AH10" s="13">
        <f t="shared" ref="AH10:BM10" si="83">MAX(AH$19:AH$138)</f>
        <v>3.391</v>
      </c>
      <c r="AI10" s="13">
        <f t="shared" si="82"/>
        <v>3.3260000000000001</v>
      </c>
      <c r="AJ10" s="13">
        <f t="shared" si="82"/>
        <v>3.2320000000000002</v>
      </c>
      <c r="AK10" s="13">
        <f t="shared" si="82"/>
        <v>3.2330000000000001</v>
      </c>
      <c r="AL10" s="13">
        <f t="shared" si="82"/>
        <v>3.202</v>
      </c>
      <c r="AM10" s="13">
        <f t="shared" si="82"/>
        <v>3.137</v>
      </c>
      <c r="AN10" s="13">
        <f t="shared" si="82"/>
        <v>3.18</v>
      </c>
      <c r="AO10" s="13">
        <f t="shared" si="82"/>
        <v>3.22</v>
      </c>
      <c r="AP10" s="14" t="str">
        <f t="shared" si="2"/>
        <v>Max(120D)</v>
      </c>
      <c r="AQ10" s="13">
        <f t="shared" ref="AQ10:CH10" si="84">MAX(AQ$19:AQ$138)</f>
        <v>3.4980000000000002</v>
      </c>
      <c r="AR10" s="13">
        <f t="shared" si="82"/>
        <v>3.4430000000000001</v>
      </c>
      <c r="AS10" s="13">
        <f t="shared" si="82"/>
        <v>3.3479999999999999</v>
      </c>
      <c r="AT10" s="13">
        <f t="shared" si="82"/>
        <v>3.4119999999999999</v>
      </c>
      <c r="AU10" s="13">
        <f t="shared" si="82"/>
        <v>3.4550000000000001</v>
      </c>
      <c r="AV10" s="13">
        <f t="shared" si="82"/>
        <v>3.5379999999999998</v>
      </c>
      <c r="AW10" s="13">
        <f t="shared" si="82"/>
        <v>3.6040000000000001</v>
      </c>
      <c r="AX10" s="13">
        <f t="shared" si="82"/>
        <v>3.68</v>
      </c>
      <c r="AY10" s="14" t="str">
        <f t="shared" si="2"/>
        <v>Max(120D)</v>
      </c>
      <c r="AZ10" s="13">
        <f t="shared" ref="AZ10:CH10" si="85">MAX(AZ$19:AZ$138)</f>
        <v>3.4</v>
      </c>
      <c r="BA10" s="13">
        <f t="shared" si="82"/>
        <v>3.302</v>
      </c>
      <c r="BB10" s="13">
        <f t="shared" si="82"/>
        <v>3.234</v>
      </c>
      <c r="BC10" s="13">
        <f t="shared" si="82"/>
        <v>3.2429999999999999</v>
      </c>
      <c r="BD10" s="13">
        <f t="shared" si="82"/>
        <v>3.2429999999999999</v>
      </c>
      <c r="BE10" s="13">
        <f t="shared" si="82"/>
        <v>3.2269999999999999</v>
      </c>
      <c r="BF10" s="13">
        <f t="shared" si="82"/>
        <v>3.2690000000000001</v>
      </c>
      <c r="BG10" s="13">
        <f t="shared" si="82"/>
        <v>3.2770000000000001</v>
      </c>
      <c r="BH10" s="14" t="str">
        <f t="shared" si="10"/>
        <v>Max(120D)</v>
      </c>
      <c r="BI10" s="13">
        <f t="shared" ref="BI10:CH10" si="86">MAX(BI$19:BI$138)</f>
        <v>3.3439999999999999</v>
      </c>
      <c r="BJ10" s="13">
        <f t="shared" si="82"/>
        <v>3.234</v>
      </c>
      <c r="BK10" s="13">
        <f t="shared" si="82"/>
        <v>3.145</v>
      </c>
      <c r="BL10" s="13">
        <f t="shared" si="82"/>
        <v>3.181</v>
      </c>
      <c r="BM10" s="13">
        <f t="shared" si="82"/>
        <v>3.1760000000000002</v>
      </c>
      <c r="BN10" s="13">
        <f t="shared" si="82"/>
        <v>3.1309999999999998</v>
      </c>
      <c r="BO10" s="13">
        <f t="shared" si="82"/>
        <v>3.177</v>
      </c>
      <c r="BP10" s="13">
        <f t="shared" si="82"/>
        <v>3.218</v>
      </c>
      <c r="BQ10" s="14" t="str">
        <f t="shared" si="10"/>
        <v>Max(120D)</v>
      </c>
      <c r="BR10" s="13">
        <f t="shared" ref="BR10:CH10" si="87">MAX(BR$19:BR$138)</f>
        <v>3.6480000000000001</v>
      </c>
      <c r="BS10" s="13">
        <f t="shared" si="82"/>
        <v>3.5910000000000002</v>
      </c>
      <c r="BT10" s="13">
        <f t="shared" si="82"/>
        <v>3.5430000000000001</v>
      </c>
      <c r="BU10" s="13">
        <f t="shared" si="82"/>
        <v>3.5950000000000002</v>
      </c>
      <c r="BV10" s="13">
        <f t="shared" si="82"/>
        <v>3.6179999999999999</v>
      </c>
      <c r="BW10" s="13">
        <f t="shared" si="82"/>
        <v>3.6059999999999999</v>
      </c>
      <c r="BX10" s="13">
        <f t="shared" si="82"/>
        <v>3.6520000000000001</v>
      </c>
      <c r="BY10" s="13">
        <f t="shared" si="82"/>
        <v>3.6789999999999998</v>
      </c>
      <c r="BZ10" s="14" t="str">
        <f t="shared" si="10"/>
        <v>Max(120D)</v>
      </c>
      <c r="CA10" s="13">
        <f t="shared" ref="CA10:CH10" si="88">MAX(CA$19:CA$138)</f>
        <v>3.1459999999999999</v>
      </c>
      <c r="CB10" s="13">
        <f t="shared" si="82"/>
        <v>3.14</v>
      </c>
      <c r="CC10" s="13">
        <f t="shared" si="82"/>
        <v>3.0590000000000002</v>
      </c>
      <c r="CD10" s="13">
        <f t="shared" si="82"/>
        <v>3.0939999999999999</v>
      </c>
      <c r="CE10" s="13">
        <f t="shared" si="82"/>
        <v>3.1259999999999999</v>
      </c>
      <c r="CF10" s="13">
        <f t="shared" si="82"/>
        <v>3.181</v>
      </c>
      <c r="CG10" s="13">
        <f t="shared" si="82"/>
        <v>3.226</v>
      </c>
      <c r="CH10" s="13">
        <f t="shared" si="82"/>
        <v>3.2509999999999999</v>
      </c>
      <c r="CJ10" s="6" t="s">
        <v>76</v>
      </c>
      <c r="CK10" s="6" t="s">
        <v>77</v>
      </c>
      <c r="CM10" s="6" t="s">
        <v>280</v>
      </c>
      <c r="CN10" s="6" t="s">
        <v>274</v>
      </c>
      <c r="CO10" s="6" t="s">
        <v>16</v>
      </c>
      <c r="CP10" s="6" t="s">
        <v>17</v>
      </c>
    </row>
    <row r="11" spans="1:94">
      <c r="B11" s="8" t="s">
        <v>308</v>
      </c>
      <c r="C11" s="9">
        <f>IFERROR( AVERAGE(C$19:C$268), 0)</f>
        <v>3.0798760000000023</v>
      </c>
      <c r="D11" s="9">
        <f t="shared" ref="D11:N11" si="89">IFERROR( AVERAGE(D$19:D$268), 0)</f>
        <v>3.032528000000001</v>
      </c>
      <c r="E11" s="9">
        <f t="shared" si="89"/>
        <v>3.0041880000000027</v>
      </c>
      <c r="F11" s="9">
        <f t="shared" si="89"/>
        <v>3.021183999999999</v>
      </c>
      <c r="G11" s="9">
        <f t="shared" si="89"/>
        <v>3.0138319999999981</v>
      </c>
      <c r="H11" s="9">
        <f t="shared" si="89"/>
        <v>2.9541999999999993</v>
      </c>
      <c r="I11" s="9">
        <f t="shared" si="89"/>
        <v>3.028960000000001</v>
      </c>
      <c r="J11" s="9">
        <f t="shared" si="89"/>
        <v>3.0123200000000012</v>
      </c>
      <c r="K11" s="9">
        <f t="shared" si="89"/>
        <v>3.117599999999999</v>
      </c>
      <c r="L11" s="9">
        <f t="shared" si="89"/>
        <v>3.0975359999999998</v>
      </c>
      <c r="M11" s="9">
        <f t="shared" si="89"/>
        <v>3.0372280000000016</v>
      </c>
      <c r="N11" s="9">
        <f t="shared" si="89"/>
        <v>2.9623199999999996</v>
      </c>
      <c r="O11" s="10" t="str">
        <f t="shared" si="17"/>
        <v>Ave(250D)</v>
      </c>
      <c r="P11" s="9">
        <f>IFERROR( AVERAGE(P$19:P$268), 0)</f>
        <v>3.0799599999999958</v>
      </c>
      <c r="Q11" s="9">
        <f t="shared" ref="Q11:W11" si="90">IFERROR( AVERAGE(Q$19:Q$268), 0)</f>
        <v>3.0168960000000009</v>
      </c>
      <c r="R11" s="9">
        <f t="shared" si="90"/>
        <v>2.9882839999999997</v>
      </c>
      <c r="S11" s="9">
        <f t="shared" si="90"/>
        <v>3.0319880000000015</v>
      </c>
      <c r="T11" s="9">
        <f t="shared" si="90"/>
        <v>3.0032920000000005</v>
      </c>
      <c r="U11" s="9">
        <f t="shared" si="90"/>
        <v>3.0226439999999992</v>
      </c>
      <c r="V11" s="9">
        <f t="shared" si="90"/>
        <v>0</v>
      </c>
      <c r="W11" s="9">
        <f t="shared" si="90"/>
        <v>0</v>
      </c>
      <c r="X11" s="10" t="str">
        <f t="shared" si="2"/>
        <v>Ave(250D)</v>
      </c>
      <c r="Y11" s="9">
        <f t="shared" ref="Y11:CH11" si="91">IFERROR( AVERAGE(Y$19:Y$268), 0)</f>
        <v>3.1412159999999987</v>
      </c>
      <c r="Z11" s="9">
        <f t="shared" si="91"/>
        <v>3.1132440000000012</v>
      </c>
      <c r="AA11" s="9">
        <f t="shared" si="91"/>
        <v>3.0626079999999973</v>
      </c>
      <c r="AB11" s="9">
        <f t="shared" si="91"/>
        <v>3.0468439999999957</v>
      </c>
      <c r="AC11" s="9">
        <f t="shared" si="91"/>
        <v>3.0637399999999975</v>
      </c>
      <c r="AD11" s="9">
        <f t="shared" si="91"/>
        <v>3.0739520000000016</v>
      </c>
      <c r="AE11" s="9">
        <f t="shared" si="91"/>
        <v>3.0988479999999989</v>
      </c>
      <c r="AF11" s="9">
        <f t="shared" si="91"/>
        <v>3.1605760000000021</v>
      </c>
      <c r="AG11" s="10" t="str">
        <f t="shared" si="2"/>
        <v>Ave(250D)</v>
      </c>
      <c r="AH11" s="9">
        <f t="shared" ref="AH11:BM11" si="92">IFERROR( AVERAGE(AH$19:AH$268), 0)</f>
        <v>3.3301039999999982</v>
      </c>
      <c r="AI11" s="9">
        <f t="shared" si="91"/>
        <v>3.2698799999999988</v>
      </c>
      <c r="AJ11" s="9">
        <f t="shared" si="91"/>
        <v>3.2211240000000014</v>
      </c>
      <c r="AK11" s="9">
        <f t="shared" si="91"/>
        <v>3.1858439999999999</v>
      </c>
      <c r="AL11" s="9">
        <f t="shared" si="91"/>
        <v>3.1545519999999994</v>
      </c>
      <c r="AM11" s="9">
        <f t="shared" si="91"/>
        <v>3.1171679999999991</v>
      </c>
      <c r="AN11" s="9">
        <f t="shared" si="91"/>
        <v>3.1398320000000002</v>
      </c>
      <c r="AO11" s="9">
        <f t="shared" si="91"/>
        <v>3.1938720000000016</v>
      </c>
      <c r="AP11" s="10" t="str">
        <f t="shared" si="2"/>
        <v>Ave(250D)</v>
      </c>
      <c r="AQ11" s="9">
        <f t="shared" ref="AQ11:CH11" si="93">IFERROR( AVERAGE(AQ$19:AQ$268), 0)</f>
        <v>3.4697880000000025</v>
      </c>
      <c r="AR11" s="9">
        <f t="shared" si="91"/>
        <v>3.4355319999999971</v>
      </c>
      <c r="AS11" s="9">
        <f t="shared" si="91"/>
        <v>3.3949360000000022</v>
      </c>
      <c r="AT11" s="9">
        <f t="shared" si="91"/>
        <v>3.4039880000000009</v>
      </c>
      <c r="AU11" s="9">
        <f t="shared" si="91"/>
        <v>3.4358199999999992</v>
      </c>
      <c r="AV11" s="9">
        <f t="shared" si="91"/>
        <v>3.5002800000000009</v>
      </c>
      <c r="AW11" s="9">
        <f t="shared" si="91"/>
        <v>3.5516760000000005</v>
      </c>
      <c r="AX11" s="9">
        <f t="shared" si="91"/>
        <v>3.6603680000000027</v>
      </c>
      <c r="AY11" s="10" t="str">
        <f t="shared" si="2"/>
        <v>Ave(250D)</v>
      </c>
      <c r="AZ11" s="9">
        <f t="shared" ref="AZ11:CH11" si="94">IFERROR( AVERAGE(AZ$19:AZ$268), 0)</f>
        <v>3.331595999999998</v>
      </c>
      <c r="BA11" s="9">
        <f t="shared" si="91"/>
        <v>3.2690359999999981</v>
      </c>
      <c r="BB11" s="9">
        <f t="shared" si="91"/>
        <v>3.2268280000000011</v>
      </c>
      <c r="BC11" s="9">
        <f t="shared" si="91"/>
        <v>3.1944839999999988</v>
      </c>
      <c r="BD11" s="9">
        <f t="shared" si="91"/>
        <v>3.1929439999999993</v>
      </c>
      <c r="BE11" s="9">
        <f t="shared" si="91"/>
        <v>3.182755999999999</v>
      </c>
      <c r="BF11" s="9">
        <f t="shared" si="91"/>
        <v>3.203328</v>
      </c>
      <c r="BG11" s="9">
        <f t="shared" si="91"/>
        <v>3.2237519999999993</v>
      </c>
      <c r="BH11" s="10" t="str">
        <f t="shared" si="10"/>
        <v>Ave(250D)</v>
      </c>
      <c r="BI11" s="9">
        <f t="shared" ref="BI11:CH11" si="95">IFERROR( AVERAGE(BI$19:BI$268), 0)</f>
        <v>3.2709599999999996</v>
      </c>
      <c r="BJ11" s="9">
        <f t="shared" si="91"/>
        <v>3.1989119999999973</v>
      </c>
      <c r="BK11" s="9">
        <f t="shared" si="91"/>
        <v>3.1478120000000018</v>
      </c>
      <c r="BL11" s="9">
        <f t="shared" si="91"/>
        <v>3.1299279999999969</v>
      </c>
      <c r="BM11" s="9">
        <f t="shared" si="91"/>
        <v>3.1253519999999977</v>
      </c>
      <c r="BN11" s="9">
        <f t="shared" si="91"/>
        <v>3.105</v>
      </c>
      <c r="BO11" s="9">
        <f t="shared" si="91"/>
        <v>3.1262159999999999</v>
      </c>
      <c r="BP11" s="9">
        <f t="shared" si="91"/>
        <v>3.1736559999999998</v>
      </c>
      <c r="BQ11" s="10" t="str">
        <f t="shared" si="10"/>
        <v>Ave(250D)</v>
      </c>
      <c r="BR11" s="9">
        <f t="shared" ref="BR11:CH11" si="96">IFERROR( AVERAGE(BR$19:BR$268), 0)</f>
        <v>3.5845640000000007</v>
      </c>
      <c r="BS11" s="9">
        <f t="shared" si="91"/>
        <v>3.5573799999999998</v>
      </c>
      <c r="BT11" s="9">
        <f t="shared" si="91"/>
        <v>3.5450280000000021</v>
      </c>
      <c r="BU11" s="9">
        <f t="shared" si="91"/>
        <v>3.5538480000000008</v>
      </c>
      <c r="BV11" s="9">
        <f t="shared" si="91"/>
        <v>3.5697960000000002</v>
      </c>
      <c r="BW11" s="9">
        <f t="shared" si="91"/>
        <v>3.5728760000000004</v>
      </c>
      <c r="BX11" s="9">
        <f t="shared" si="91"/>
        <v>3.5970759999999982</v>
      </c>
      <c r="BY11" s="9">
        <f t="shared" si="91"/>
        <v>3.6299680000000007</v>
      </c>
      <c r="BZ11" s="10" t="str">
        <f t="shared" si="10"/>
        <v>Ave(250D)</v>
      </c>
      <c r="CA11" s="9">
        <f t="shared" ref="CA11:CH11" si="97">IFERROR( AVERAGE(CA$19:CA$268), 0)</f>
        <v>3.2225800000000016</v>
      </c>
      <c r="CB11" s="9">
        <f t="shared" si="91"/>
        <v>3.1981199999999981</v>
      </c>
      <c r="CC11" s="9">
        <f t="shared" si="91"/>
        <v>3.1484039999999989</v>
      </c>
      <c r="CD11" s="9">
        <f t="shared" si="91"/>
        <v>3.1346559999999979</v>
      </c>
      <c r="CE11" s="9">
        <f t="shared" si="91"/>
        <v>3.1558079999999973</v>
      </c>
      <c r="CF11" s="9">
        <f t="shared" si="91"/>
        <v>3.1928240000000021</v>
      </c>
      <c r="CG11" s="9">
        <f t="shared" si="91"/>
        <v>3.2130480000000001</v>
      </c>
      <c r="CH11" s="9">
        <f t="shared" si="91"/>
        <v>3.2190160000000003</v>
      </c>
      <c r="CJ11" s="6" t="s">
        <v>78</v>
      </c>
      <c r="CK11" s="6" t="s">
        <v>79</v>
      </c>
      <c r="CM11" s="6" t="s">
        <v>227</v>
      </c>
      <c r="CN11" s="6" t="s">
        <v>274</v>
      </c>
      <c r="CO11" s="6" t="s">
        <v>228</v>
      </c>
      <c r="CP11" s="6" t="s">
        <v>17</v>
      </c>
    </row>
    <row r="12" spans="1:94">
      <c r="B12" s="18" t="s">
        <v>309</v>
      </c>
      <c r="C12" s="19">
        <f>MIN(C$19:C$268)</f>
        <v>2.6030000000000002</v>
      </c>
      <c r="D12" s="19">
        <f t="shared" ref="D12:N12" si="98">MIN(D$19:D$268)</f>
        <v>2.5880000000000001</v>
      </c>
      <c r="E12" s="19">
        <f t="shared" si="98"/>
        <v>2.5499999999999998</v>
      </c>
      <c r="F12" s="19">
        <f t="shared" si="98"/>
        <v>2.621</v>
      </c>
      <c r="G12" s="19">
        <f t="shared" si="98"/>
        <v>2.62</v>
      </c>
      <c r="H12" s="19">
        <f t="shared" si="98"/>
        <v>2.4700000000000002</v>
      </c>
      <c r="I12" s="19">
        <f t="shared" si="98"/>
        <v>2.6309999999999998</v>
      </c>
      <c r="J12" s="19">
        <f t="shared" si="98"/>
        <v>2.5720000000000001</v>
      </c>
      <c r="K12" s="19">
        <f t="shared" si="98"/>
        <v>2.7029999999999998</v>
      </c>
      <c r="L12" s="19">
        <f t="shared" si="98"/>
        <v>2.64</v>
      </c>
      <c r="M12" s="19">
        <f t="shared" si="98"/>
        <v>2.5649999999999999</v>
      </c>
      <c r="N12" s="19">
        <f t="shared" si="98"/>
        <v>2.4769999999999999</v>
      </c>
      <c r="O12" s="20" t="str">
        <f t="shared" si="17"/>
        <v>Min(250D)</v>
      </c>
      <c r="P12" s="19">
        <f>MIN(P$19:P$268)</f>
        <v>2.6549999999999998</v>
      </c>
      <c r="Q12" s="19">
        <f t="shared" ref="Q12:W12" si="99">MIN(Q$19:Q$268)</f>
        <v>2.6080000000000001</v>
      </c>
      <c r="R12" s="19">
        <f t="shared" si="99"/>
        <v>2.585</v>
      </c>
      <c r="S12" s="19">
        <f t="shared" si="99"/>
        <v>2.6240000000000001</v>
      </c>
      <c r="T12" s="19">
        <f t="shared" si="99"/>
        <v>2.58</v>
      </c>
      <c r="U12" s="19">
        <f t="shared" si="99"/>
        <v>2.5979999999999999</v>
      </c>
      <c r="V12" s="19">
        <f t="shared" si="99"/>
        <v>0</v>
      </c>
      <c r="W12" s="19">
        <f t="shared" si="99"/>
        <v>0</v>
      </c>
      <c r="X12" s="20" t="str">
        <f t="shared" si="2"/>
        <v>Min(250D)</v>
      </c>
      <c r="Y12" s="19">
        <f t="shared" ref="Y12:CH12" si="100">MIN(Y$19:Y$268)</f>
        <v>2.665</v>
      </c>
      <c r="Z12" s="19">
        <f t="shared" si="100"/>
        <v>2.6869999999999998</v>
      </c>
      <c r="AA12" s="19">
        <f t="shared" si="100"/>
        <v>2.6120000000000001</v>
      </c>
      <c r="AB12" s="19">
        <f t="shared" si="100"/>
        <v>2.6509999999999998</v>
      </c>
      <c r="AC12" s="19">
        <f t="shared" si="100"/>
        <v>2.6669999999999998</v>
      </c>
      <c r="AD12" s="19">
        <f t="shared" si="100"/>
        <v>2.621</v>
      </c>
      <c r="AE12" s="19">
        <f t="shared" si="100"/>
        <v>2.6819999999999999</v>
      </c>
      <c r="AF12" s="19">
        <f t="shared" si="100"/>
        <v>2.74</v>
      </c>
      <c r="AG12" s="20" t="str">
        <f t="shared" si="2"/>
        <v>Min(250D)</v>
      </c>
      <c r="AH12" s="19">
        <f t="shared" ref="AH12:BM12" si="101">MIN(AH$19:AH$268)</f>
        <v>2.8330000000000002</v>
      </c>
      <c r="AI12" s="19">
        <f t="shared" si="100"/>
        <v>2.782</v>
      </c>
      <c r="AJ12" s="19">
        <f t="shared" si="100"/>
        <v>2.78</v>
      </c>
      <c r="AK12" s="19">
        <f t="shared" si="100"/>
        <v>2.7229999999999999</v>
      </c>
      <c r="AL12" s="19">
        <f t="shared" si="100"/>
        <v>2.7210000000000001</v>
      </c>
      <c r="AM12" s="19">
        <f t="shared" si="100"/>
        <v>2.6960000000000002</v>
      </c>
      <c r="AN12" s="19">
        <f t="shared" si="100"/>
        <v>2.7149999999999999</v>
      </c>
      <c r="AO12" s="19">
        <f t="shared" si="100"/>
        <v>2.7839999999999998</v>
      </c>
      <c r="AP12" s="20" t="str">
        <f t="shared" si="2"/>
        <v>Min(250D)</v>
      </c>
      <c r="AQ12" s="19">
        <f t="shared" ref="AQ12:CH12" si="102">MIN(AQ$19:AQ$268)</f>
        <v>3.0510000000000002</v>
      </c>
      <c r="AR12" s="19">
        <f t="shared" si="100"/>
        <v>3.0459999999999998</v>
      </c>
      <c r="AS12" s="19">
        <f t="shared" si="100"/>
        <v>2.976</v>
      </c>
      <c r="AT12" s="19">
        <f t="shared" si="100"/>
        <v>3.0110000000000001</v>
      </c>
      <c r="AU12" s="19">
        <f t="shared" si="100"/>
        <v>3.0609999999999999</v>
      </c>
      <c r="AV12" s="19">
        <f t="shared" si="100"/>
        <v>3.121</v>
      </c>
      <c r="AW12" s="19">
        <f t="shared" si="100"/>
        <v>3.1659999999999999</v>
      </c>
      <c r="AX12" s="19">
        <f t="shared" si="100"/>
        <v>3.2559999999999998</v>
      </c>
      <c r="AY12" s="20" t="str">
        <f t="shared" si="2"/>
        <v>Min(250D)</v>
      </c>
      <c r="AZ12" s="19">
        <f t="shared" ref="AZ12:CH12" si="103">MIN(AZ$19:AZ$268)</f>
        <v>2.8610000000000002</v>
      </c>
      <c r="BA12" s="19">
        <f t="shared" si="100"/>
        <v>2.823</v>
      </c>
      <c r="BB12" s="19">
        <f t="shared" si="100"/>
        <v>2.7650000000000001</v>
      </c>
      <c r="BC12" s="19">
        <f t="shared" si="100"/>
        <v>2.7559999999999998</v>
      </c>
      <c r="BD12" s="19">
        <f t="shared" si="100"/>
        <v>2.774</v>
      </c>
      <c r="BE12" s="19">
        <f t="shared" si="100"/>
        <v>2.78</v>
      </c>
      <c r="BF12" s="19">
        <f t="shared" si="100"/>
        <v>2.802</v>
      </c>
      <c r="BG12" s="19">
        <f t="shared" si="100"/>
        <v>2.8330000000000002</v>
      </c>
      <c r="BH12" s="20" t="str">
        <f t="shared" si="10"/>
        <v>Min(250D)</v>
      </c>
      <c r="BI12" s="19">
        <f t="shared" ref="BI12:CH12" si="104">MIN(BI$19:BI$268)</f>
        <v>2.806</v>
      </c>
      <c r="BJ12" s="19">
        <f t="shared" si="100"/>
        <v>2.7450000000000001</v>
      </c>
      <c r="BK12" s="19">
        <f t="shared" si="100"/>
        <v>2.6930000000000001</v>
      </c>
      <c r="BL12" s="19">
        <f t="shared" si="100"/>
        <v>2.69</v>
      </c>
      <c r="BM12" s="19">
        <f t="shared" si="100"/>
        <v>2.694</v>
      </c>
      <c r="BN12" s="19">
        <f t="shared" si="100"/>
        <v>2.6850000000000001</v>
      </c>
      <c r="BO12" s="19">
        <f t="shared" si="100"/>
        <v>2.706</v>
      </c>
      <c r="BP12" s="19">
        <f t="shared" si="100"/>
        <v>2.7810000000000001</v>
      </c>
      <c r="BQ12" s="20" t="str">
        <f t="shared" si="10"/>
        <v>Min(250D)</v>
      </c>
      <c r="BR12" s="19">
        <f t="shared" ref="BR12:CH12" si="105">MIN(BR$19:BR$268)</f>
        <v>3.13</v>
      </c>
      <c r="BS12" s="19">
        <f t="shared" si="100"/>
        <v>3.121</v>
      </c>
      <c r="BT12" s="19">
        <f t="shared" si="100"/>
        <v>3.085</v>
      </c>
      <c r="BU12" s="19">
        <f t="shared" si="100"/>
        <v>3.12</v>
      </c>
      <c r="BV12" s="19">
        <f t="shared" si="100"/>
        <v>3.1549999999999998</v>
      </c>
      <c r="BW12" s="19">
        <f t="shared" si="100"/>
        <v>3.1579999999999999</v>
      </c>
      <c r="BX12" s="19">
        <f t="shared" si="100"/>
        <v>3.1880000000000002</v>
      </c>
      <c r="BY12" s="19">
        <f t="shared" si="100"/>
        <v>3.23</v>
      </c>
      <c r="BZ12" s="20" t="str">
        <f t="shared" si="10"/>
        <v>Min(250D)</v>
      </c>
      <c r="CA12" s="19">
        <f t="shared" ref="CA12:CH12" si="106">MIN(CA$19:CA$268)</f>
        <v>2.7469999999999999</v>
      </c>
      <c r="CB12" s="19">
        <f t="shared" si="100"/>
        <v>2.7679999999999998</v>
      </c>
      <c r="CC12" s="19">
        <f t="shared" si="100"/>
        <v>2.7040000000000002</v>
      </c>
      <c r="CD12" s="19">
        <f t="shared" si="100"/>
        <v>2.738</v>
      </c>
      <c r="CE12" s="19">
        <f t="shared" si="100"/>
        <v>2.7559999999999998</v>
      </c>
      <c r="CF12" s="19">
        <f t="shared" si="100"/>
        <v>2.7509999999999999</v>
      </c>
      <c r="CG12" s="19">
        <f t="shared" si="100"/>
        <v>2.798</v>
      </c>
      <c r="CH12" s="19">
        <f t="shared" si="100"/>
        <v>2.7919999999999998</v>
      </c>
      <c r="CJ12" s="6" t="s">
        <v>80</v>
      </c>
      <c r="CK12" s="6" t="s">
        <v>81</v>
      </c>
      <c r="CM12" s="6" t="s">
        <v>281</v>
      </c>
      <c r="CN12" s="6" t="s">
        <v>274</v>
      </c>
      <c r="CO12" s="6" t="s">
        <v>18</v>
      </c>
      <c r="CP12" s="6" t="s">
        <v>282</v>
      </c>
    </row>
    <row r="13" spans="1:94" ht="14.25" thickBot="1">
      <c r="B13" s="12" t="s">
        <v>310</v>
      </c>
      <c r="C13" s="13">
        <f>MAX(C$19:C$268)</f>
        <v>3.468</v>
      </c>
      <c r="D13" s="13">
        <f t="shared" ref="D13:N13" si="107">MAX(D$19:D$268)</f>
        <v>3.4510000000000001</v>
      </c>
      <c r="E13" s="13">
        <f t="shared" si="107"/>
        <v>3.476</v>
      </c>
      <c r="F13" s="13">
        <f t="shared" si="107"/>
        <v>3.4820000000000002</v>
      </c>
      <c r="G13" s="13">
        <f t="shared" si="107"/>
        <v>3.5249999999999999</v>
      </c>
      <c r="H13" s="13">
        <f t="shared" si="107"/>
        <v>3.54</v>
      </c>
      <c r="I13" s="13">
        <f t="shared" si="107"/>
        <v>3.61</v>
      </c>
      <c r="J13" s="13">
        <f t="shared" si="107"/>
        <v>3.625</v>
      </c>
      <c r="K13" s="13">
        <f t="shared" si="107"/>
        <v>3.7</v>
      </c>
      <c r="L13" s="13">
        <f t="shared" si="107"/>
        <v>3.7109999999999999</v>
      </c>
      <c r="M13" s="13">
        <f t="shared" si="107"/>
        <v>3.6150000000000002</v>
      </c>
      <c r="N13" s="13">
        <f t="shared" si="107"/>
        <v>3.5230000000000001</v>
      </c>
      <c r="O13" s="14" t="str">
        <f t="shared" si="17"/>
        <v>Max(250D)</v>
      </c>
      <c r="P13" s="13">
        <f>MAX(P$19:P$268)</f>
        <v>3.448</v>
      </c>
      <c r="Q13" s="13">
        <f t="shared" ref="Q13:W13" si="108">MAX(Q$19:Q$268)</f>
        <v>3.4340000000000002</v>
      </c>
      <c r="R13" s="13">
        <f t="shared" si="108"/>
        <v>3.45</v>
      </c>
      <c r="S13" s="13">
        <f t="shared" si="108"/>
        <v>3.508</v>
      </c>
      <c r="T13" s="13">
        <f t="shared" si="108"/>
        <v>3.5249999999999999</v>
      </c>
      <c r="U13" s="13">
        <f t="shared" si="108"/>
        <v>3.5640000000000001</v>
      </c>
      <c r="V13" s="13">
        <f t="shared" si="108"/>
        <v>0</v>
      </c>
      <c r="W13" s="13">
        <f t="shared" si="108"/>
        <v>0</v>
      </c>
      <c r="X13" s="14" t="str">
        <f t="shared" si="2"/>
        <v>Max(250D)</v>
      </c>
      <c r="Y13" s="13">
        <f t="shared" ref="Y13:CH13" si="109">MAX(Y$19:Y$268)</f>
        <v>3.5</v>
      </c>
      <c r="Z13" s="13">
        <f t="shared" si="109"/>
        <v>3.5070000000000001</v>
      </c>
      <c r="AA13" s="13">
        <f t="shared" si="109"/>
        <v>3.5139999999999998</v>
      </c>
      <c r="AB13" s="13">
        <f t="shared" si="109"/>
        <v>3.5310000000000001</v>
      </c>
      <c r="AC13" s="13">
        <f t="shared" si="109"/>
        <v>3.5950000000000002</v>
      </c>
      <c r="AD13" s="13">
        <f t="shared" si="109"/>
        <v>3.6850000000000001</v>
      </c>
      <c r="AE13" s="13">
        <f t="shared" si="109"/>
        <v>3.718</v>
      </c>
      <c r="AF13" s="13">
        <f t="shared" si="109"/>
        <v>3.7349999999999999</v>
      </c>
      <c r="AG13" s="14" t="str">
        <f t="shared" si="2"/>
        <v>Max(250D)</v>
      </c>
      <c r="AH13" s="13">
        <f t="shared" ref="AH13:BM13" si="110">MAX(AH$19:AH$268)</f>
        <v>3.6219999999999999</v>
      </c>
      <c r="AI13" s="13">
        <f t="shared" si="109"/>
        <v>3.63</v>
      </c>
      <c r="AJ13" s="13">
        <f t="shared" si="109"/>
        <v>3.657</v>
      </c>
      <c r="AK13" s="13">
        <f t="shared" si="109"/>
        <v>3.665</v>
      </c>
      <c r="AL13" s="13">
        <f t="shared" si="109"/>
        <v>3.665</v>
      </c>
      <c r="AM13" s="13">
        <f t="shared" si="109"/>
        <v>3.6669999999999998</v>
      </c>
      <c r="AN13" s="13">
        <f t="shared" si="109"/>
        <v>3.72</v>
      </c>
      <c r="AO13" s="13">
        <f t="shared" si="109"/>
        <v>3.8</v>
      </c>
      <c r="AP13" s="14" t="str">
        <f t="shared" si="2"/>
        <v>Max(250D)</v>
      </c>
      <c r="AQ13" s="13">
        <f t="shared" ref="AQ13:CH13" si="111">MAX(AQ$19:AQ$268)</f>
        <v>3.762</v>
      </c>
      <c r="AR13" s="13">
        <f t="shared" si="109"/>
        <v>3.778</v>
      </c>
      <c r="AS13" s="13">
        <f t="shared" si="109"/>
        <v>3.8029999999999999</v>
      </c>
      <c r="AT13" s="13">
        <f t="shared" si="109"/>
        <v>3.9060000000000001</v>
      </c>
      <c r="AU13" s="13">
        <f t="shared" si="109"/>
        <v>3.95</v>
      </c>
      <c r="AV13" s="13">
        <f t="shared" si="109"/>
        <v>4.0259999999999998</v>
      </c>
      <c r="AW13" s="13">
        <f t="shared" si="109"/>
        <v>4.101</v>
      </c>
      <c r="AX13" s="13">
        <f t="shared" si="109"/>
        <v>4.2789999999999999</v>
      </c>
      <c r="AY13" s="14" t="str">
        <f t="shared" si="2"/>
        <v>Max(250D)</v>
      </c>
      <c r="AZ13" s="13">
        <f t="shared" ref="AZ13:CH13" si="112">MAX(AZ$19:AZ$268)</f>
        <v>3.605</v>
      </c>
      <c r="BA13" s="13">
        <f t="shared" si="109"/>
        <v>3.62</v>
      </c>
      <c r="BB13" s="13">
        <f t="shared" si="109"/>
        <v>3.64</v>
      </c>
      <c r="BC13" s="13">
        <f t="shared" si="109"/>
        <v>3.6469999999999998</v>
      </c>
      <c r="BD13" s="13">
        <f t="shared" si="109"/>
        <v>3.673</v>
      </c>
      <c r="BE13" s="13">
        <f t="shared" si="109"/>
        <v>3.7050000000000001</v>
      </c>
      <c r="BF13" s="13">
        <f t="shared" si="109"/>
        <v>3.7229999999999999</v>
      </c>
      <c r="BG13" s="13">
        <f t="shared" si="109"/>
        <v>3.754</v>
      </c>
      <c r="BH13" s="14" t="str">
        <f t="shared" si="10"/>
        <v>Max(250D)</v>
      </c>
      <c r="BI13" s="13">
        <f t="shared" ref="BI13:CH13" si="113">MAX(BI$19:BI$268)</f>
        <v>3.51</v>
      </c>
      <c r="BJ13" s="13">
        <f t="shared" si="109"/>
        <v>3.5569999999999999</v>
      </c>
      <c r="BK13" s="13">
        <f t="shared" si="109"/>
        <v>3.569</v>
      </c>
      <c r="BL13" s="13">
        <f t="shared" si="109"/>
        <v>3.5939999999999999</v>
      </c>
      <c r="BM13" s="13">
        <f t="shared" si="109"/>
        <v>3.6150000000000002</v>
      </c>
      <c r="BN13" s="13">
        <f t="shared" si="109"/>
        <v>3.6629999999999998</v>
      </c>
      <c r="BO13" s="13">
        <f t="shared" si="109"/>
        <v>3.7040000000000002</v>
      </c>
      <c r="BP13" s="13">
        <f t="shared" si="109"/>
        <v>3.7389999999999999</v>
      </c>
      <c r="BQ13" s="14" t="str">
        <f t="shared" si="10"/>
        <v>Max(250D)</v>
      </c>
      <c r="BR13" s="13">
        <f t="shared" ref="BR13:CH13" si="114">MAX(BR$19:BR$268)</f>
        <v>3.867</v>
      </c>
      <c r="BS13" s="13">
        <f t="shared" si="109"/>
        <v>3.915</v>
      </c>
      <c r="BT13" s="13">
        <f t="shared" si="109"/>
        <v>3.9750000000000001</v>
      </c>
      <c r="BU13" s="13">
        <f t="shared" si="109"/>
        <v>4.0190000000000001</v>
      </c>
      <c r="BV13" s="13">
        <f t="shared" si="109"/>
        <v>4.0579999999999998</v>
      </c>
      <c r="BW13" s="13">
        <f t="shared" si="109"/>
        <v>4.1239999999999997</v>
      </c>
      <c r="BX13" s="13">
        <f t="shared" si="109"/>
        <v>4.1429999999999998</v>
      </c>
      <c r="BY13" s="13">
        <f t="shared" si="109"/>
        <v>4.1829999999999998</v>
      </c>
      <c r="BZ13" s="14" t="str">
        <f t="shared" si="10"/>
        <v>Max(250D)</v>
      </c>
      <c r="CA13" s="13">
        <f t="shared" ref="CA13:CH13" si="115">MAX(CA$19:CA$268)</f>
        <v>3.5760000000000001</v>
      </c>
      <c r="CB13" s="13">
        <f t="shared" si="109"/>
        <v>3.5979999999999999</v>
      </c>
      <c r="CC13" s="13">
        <f t="shared" si="109"/>
        <v>3.6040000000000001</v>
      </c>
      <c r="CD13" s="13">
        <f t="shared" si="109"/>
        <v>3.613</v>
      </c>
      <c r="CE13" s="13">
        <f t="shared" si="109"/>
        <v>3.6970000000000001</v>
      </c>
      <c r="CF13" s="13">
        <f t="shared" si="109"/>
        <v>3.8159999999999998</v>
      </c>
      <c r="CG13" s="13">
        <f t="shared" si="109"/>
        <v>3.8410000000000002</v>
      </c>
      <c r="CH13" s="13">
        <f t="shared" si="109"/>
        <v>3.7959999999999998</v>
      </c>
      <c r="CJ13" s="6" t="s">
        <v>82</v>
      </c>
      <c r="CK13" s="6" t="s">
        <v>83</v>
      </c>
      <c r="CM13" s="6" t="s">
        <v>283</v>
      </c>
      <c r="CN13" s="6" t="s">
        <v>274</v>
      </c>
      <c r="CO13" s="6" t="s">
        <v>19</v>
      </c>
      <c r="CP13" s="6" t="s">
        <v>282</v>
      </c>
    </row>
    <row r="14" spans="1:94">
      <c r="A14" s="1"/>
      <c r="B14" s="17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7"/>
      <c r="P14" s="16"/>
      <c r="Q14" s="16"/>
      <c r="R14" s="16"/>
      <c r="S14" s="16"/>
      <c r="T14" s="16"/>
      <c r="U14" s="16"/>
      <c r="V14" s="16"/>
      <c r="W14" s="16"/>
      <c r="X14" s="17"/>
      <c r="Y14" s="16"/>
      <c r="Z14" s="16"/>
      <c r="AA14" s="16"/>
      <c r="AB14" s="16"/>
      <c r="AC14" s="16"/>
      <c r="AD14" s="16"/>
      <c r="AE14" s="16"/>
      <c r="AF14" s="16"/>
      <c r="AG14" s="17"/>
      <c r="AH14" s="16"/>
      <c r="AI14" s="16"/>
      <c r="AJ14" s="16"/>
      <c r="AK14" s="16"/>
      <c r="AL14" s="16"/>
      <c r="AM14" s="16"/>
      <c r="AN14" s="16"/>
      <c r="AO14" s="16"/>
      <c r="AP14" s="17"/>
      <c r="AQ14" s="16"/>
      <c r="AR14" s="16"/>
      <c r="AS14" s="16"/>
      <c r="AT14" s="16"/>
      <c r="AU14" s="16"/>
      <c r="AV14" s="16"/>
      <c r="AW14" s="16"/>
      <c r="AX14" s="16"/>
      <c r="AY14" s="17"/>
      <c r="AZ14" s="16"/>
      <c r="BA14" s="16"/>
      <c r="BB14" s="16"/>
      <c r="BC14" s="16"/>
      <c r="BD14" s="16"/>
      <c r="BE14" s="16"/>
      <c r="BF14" s="16"/>
      <c r="BG14" s="16"/>
      <c r="BH14" s="17"/>
      <c r="BI14" s="16"/>
      <c r="BJ14" s="16"/>
      <c r="BK14" s="16"/>
      <c r="BL14" s="16"/>
      <c r="BM14" s="16"/>
      <c r="BN14" s="16"/>
      <c r="BO14" s="16"/>
      <c r="BP14" s="16"/>
      <c r="BQ14" s="1"/>
      <c r="BR14" s="1"/>
      <c r="BS14" s="1"/>
      <c r="BT14" s="1"/>
      <c r="BU14" s="1"/>
      <c r="BV14" s="1"/>
      <c r="BW14" s="16"/>
      <c r="BX14" s="16"/>
      <c r="BY14" s="1"/>
      <c r="BZ14" s="1"/>
      <c r="CA14" s="1"/>
      <c r="CB14" s="1"/>
      <c r="CC14" s="1"/>
      <c r="CD14" s="1"/>
      <c r="CE14" s="1"/>
      <c r="CF14" s="16"/>
      <c r="CG14" s="16"/>
      <c r="CH14" s="1"/>
      <c r="CJ14" s="6" t="s">
        <v>84</v>
      </c>
      <c r="CK14" s="6" t="s">
        <v>85</v>
      </c>
      <c r="CM14" s="6" t="s">
        <v>284</v>
      </c>
      <c r="CN14" s="6" t="s">
        <v>274</v>
      </c>
      <c r="CO14" s="6" t="s">
        <v>20</v>
      </c>
      <c r="CP14" s="6" t="s">
        <v>282</v>
      </c>
    </row>
    <row r="15" spans="1:94">
      <c r="B15" s="23" t="s">
        <v>31</v>
      </c>
      <c r="C15" s="24">
        <f ca="1">EDATE(E15,-13)</f>
        <v>45347</v>
      </c>
      <c r="D15" s="23" t="s">
        <v>32</v>
      </c>
      <c r="E15" s="24">
        <f ca="1">TODAY()-1</f>
        <v>45741</v>
      </c>
      <c r="F15" s="23" t="s">
        <v>33</v>
      </c>
      <c r="G15" s="25">
        <v>400</v>
      </c>
      <c r="H15" s="23" t="s">
        <v>34</v>
      </c>
      <c r="I15" s="25" t="s">
        <v>35</v>
      </c>
      <c r="J15" s="23" t="s">
        <v>36</v>
      </c>
      <c r="K15" s="25" t="s">
        <v>37</v>
      </c>
      <c r="L15" s="23" t="s">
        <v>38</v>
      </c>
      <c r="M15" s="25">
        <v>0</v>
      </c>
      <c r="N15" s="23" t="s">
        <v>39</v>
      </c>
      <c r="O15" s="25" t="s">
        <v>40</v>
      </c>
      <c r="Q15"/>
      <c r="R15"/>
      <c r="S15"/>
      <c r="T15"/>
      <c r="W15"/>
      <c r="X15"/>
      <c r="Y15"/>
      <c r="Z15"/>
      <c r="AA15"/>
      <c r="AB15"/>
      <c r="AC15"/>
      <c r="AF15"/>
      <c r="AG15"/>
      <c r="AH15"/>
      <c r="AI15"/>
      <c r="AJ15"/>
      <c r="AK15"/>
      <c r="AL15"/>
      <c r="AO15"/>
      <c r="AP15"/>
      <c r="AQ15"/>
      <c r="AR15"/>
      <c r="AS15"/>
      <c r="AT15"/>
      <c r="AU15"/>
      <c r="AX15"/>
      <c r="AY15"/>
      <c r="AZ15"/>
      <c r="BA15"/>
      <c r="BB15"/>
      <c r="BC15"/>
      <c r="BD15"/>
      <c r="BG15"/>
      <c r="BH15"/>
      <c r="BI15"/>
      <c r="BJ15"/>
      <c r="BK15"/>
      <c r="BL15"/>
      <c r="BM15"/>
      <c r="BP15"/>
      <c r="BQ15"/>
      <c r="BR15"/>
      <c r="BS15"/>
      <c r="BT15"/>
      <c r="BU15"/>
      <c r="BV15"/>
      <c r="BY15"/>
      <c r="BZ15"/>
      <c r="CA15"/>
      <c r="CB15"/>
      <c r="CC15"/>
      <c r="CD15"/>
      <c r="CE15"/>
      <c r="CH15"/>
      <c r="CJ15" s="6" t="s">
        <v>86</v>
      </c>
      <c r="CK15" s="6" t="s">
        <v>87</v>
      </c>
      <c r="CM15" s="6" t="s">
        <v>285</v>
      </c>
      <c r="CN15" s="6" t="s">
        <v>274</v>
      </c>
      <c r="CO15" s="6" t="s">
        <v>286</v>
      </c>
      <c r="CP15" s="6" t="s">
        <v>287</v>
      </c>
    </row>
    <row r="16" spans="1:94">
      <c r="A16" s="36"/>
      <c r="B16" s="35" t="str">
        <f>'BOND&amp;IRS_SP'!$B$14</f>
        <v>BONDAVG01</v>
      </c>
      <c r="C16" s="37" t="str">
        <f>'BOND&amp;IRS_SP'!$C$14</f>
        <v>국고채권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5" t="str">
        <f>'BOND&amp;IRS_SP'!$B$40</f>
        <v>BONDAVG14</v>
      </c>
      <c r="P16" s="37" t="str">
        <f>'BOND&amp;IRS_SP'!$C$40</f>
        <v>통안증권</v>
      </c>
      <c r="Q16" s="38"/>
      <c r="R16" s="38"/>
      <c r="S16" s="38"/>
      <c r="T16" s="38"/>
      <c r="U16" s="38"/>
      <c r="V16" s="38"/>
      <c r="W16" s="39"/>
      <c r="X16" s="35" t="str">
        <f>'BOND&amp;IRS_SP'!$B$58</f>
        <v>BONDAVG02</v>
      </c>
      <c r="Y16" s="37" t="str">
        <f>'BOND&amp;IRS_SP'!$C$58</f>
        <v>국민주택1종</v>
      </c>
      <c r="Z16" s="38"/>
      <c r="AA16" s="38"/>
      <c r="AB16" s="38"/>
      <c r="AC16" s="38"/>
      <c r="AD16" s="38"/>
      <c r="AE16" s="38"/>
      <c r="AF16" s="39"/>
      <c r="AG16" s="35" t="str">
        <f>'BOND&amp;IRS_SP'!$B$76</f>
        <v>BONDAVG16</v>
      </c>
      <c r="AH16" s="37" t="str">
        <f>'BOND&amp;IRS_SP'!$C$76</f>
        <v>금융채 산금채 AAA</v>
      </c>
      <c r="AI16" s="38"/>
      <c r="AJ16" s="38"/>
      <c r="AK16" s="38"/>
      <c r="AL16" s="38"/>
      <c r="AM16" s="38"/>
      <c r="AN16" s="38"/>
      <c r="AO16" s="39"/>
      <c r="AP16" s="35" t="str">
        <f>'BOND&amp;IRS_SP'!$B$94</f>
        <v>BONDAVG58</v>
      </c>
      <c r="AQ16" s="37" t="str">
        <f>'BOND&amp;IRS_SP'!$C$94</f>
        <v>회사채AA-(공모/무보증)</v>
      </c>
      <c r="AR16" s="38"/>
      <c r="AS16" s="38"/>
      <c r="AT16" s="38"/>
      <c r="AU16" s="38"/>
      <c r="AV16" s="38"/>
      <c r="AW16" s="38"/>
      <c r="AX16" s="39"/>
      <c r="AY16" s="35" t="str">
        <f>'BOND&amp;IRS_SP'!$B$112</f>
        <v>BONDAVG09</v>
      </c>
      <c r="AZ16" s="37" t="str">
        <f>'BOND&amp;IRS_SP'!$C$112</f>
        <v>특수채 공사채 AAA</v>
      </c>
      <c r="BA16" s="38"/>
      <c r="BB16" s="38"/>
      <c r="BC16" s="38"/>
      <c r="BD16" s="38"/>
      <c r="BE16" s="38"/>
      <c r="BF16" s="38"/>
      <c r="BG16" s="39"/>
      <c r="BH16" s="35" t="str">
        <f>'BOND&amp;IRS_SP'!$B$130</f>
        <v>BONDAVG13</v>
      </c>
      <c r="BI16" s="37" t="str">
        <f>'BOND&amp;IRS_SP'!$C$130</f>
        <v>특수채(정부보증)</v>
      </c>
      <c r="BJ16" s="38"/>
      <c r="BK16" s="38"/>
      <c r="BL16" s="38"/>
      <c r="BM16" s="38"/>
      <c r="BN16" s="38"/>
      <c r="BO16" s="38"/>
      <c r="BP16" s="39"/>
      <c r="BQ16" s="35" t="str">
        <f>'BOND&amp;IRS_SP'!$B$148</f>
        <v>BONDAVG12</v>
      </c>
      <c r="BR16" s="37" t="str">
        <f>'BOND&amp;IRS_SP'!$C$148</f>
        <v>특수채 공사채 AA-</v>
      </c>
      <c r="BS16" s="38"/>
      <c r="BT16" s="38"/>
      <c r="BU16" s="38"/>
      <c r="BV16" s="38"/>
      <c r="BW16" s="38"/>
      <c r="BX16" s="38"/>
      <c r="BY16" s="39"/>
      <c r="BZ16" s="35" t="str">
        <f>'BOND&amp;IRS_SP'!$B$166</f>
        <v>BONDAVG05</v>
      </c>
      <c r="CA16" s="37" t="str">
        <f>'BOND&amp;IRS_SP'!$C$166</f>
        <v>서울도시철도</v>
      </c>
      <c r="CB16" s="38"/>
      <c r="CC16" s="38"/>
      <c r="CD16" s="38"/>
      <c r="CE16" s="38"/>
      <c r="CF16" s="38"/>
      <c r="CG16" s="38"/>
      <c r="CH16" s="39"/>
      <c r="CJ16" s="6" t="s">
        <v>88</v>
      </c>
      <c r="CK16" s="6" t="s">
        <v>14</v>
      </c>
      <c r="CM16" s="6" t="s">
        <v>289</v>
      </c>
      <c r="CN16" s="6" t="s">
        <v>274</v>
      </c>
      <c r="CO16" s="6" t="s">
        <v>290</v>
      </c>
      <c r="CP16" s="6" t="s">
        <v>287</v>
      </c>
    </row>
    <row r="17" spans="1:94">
      <c r="A17" s="22"/>
      <c r="B17" s="30" t="str">
        <f ca="1">_xll.IMDH("IR",$B$16,B18:N18,$C$15,$E$15,$G$15,"Per="&amp;$I$15&amp;",sort="&amp;$K$15&amp;",real=true,Bizday="&amp;$M$15&amp;",Quote="&amp;$O$15&amp;",Pos=20,Orient=V,Title=3사평균 "&amp;C16&amp;",DtFmt=1,TmFmt=1,unit=true")</f>
        <v>3사평균 국고채권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30" t="str">
        <f ca="1">_xll.IMDH("IR",O$16,O$18:W$18,$C$15,$E$15,$G$15,"Per="&amp;$I$15&amp;",sort="&amp;$K$15&amp;",real=true,Bizday="&amp;$M$15&amp;",Quote="&amp;$O$15&amp;",Pos=20,Orient=V,Title=3사평균 "&amp;P$16&amp;",DtFmt=1,TmFmt=1,unit=true")</f>
        <v>3사평균 통안증권</v>
      </c>
      <c r="P17" s="28"/>
      <c r="Q17" s="28"/>
      <c r="R17" s="28"/>
      <c r="S17" s="28"/>
      <c r="T17" s="28"/>
      <c r="U17" s="28"/>
      <c r="V17" s="28"/>
      <c r="W17" s="30"/>
      <c r="X17" s="30" t="str">
        <f ca="1">_xll.IMDH("IR",X$16,X$18:AF$18,$C$15,$E$15,$G$15,"Per="&amp;$I$15&amp;",sort="&amp;$K$15&amp;",real=true,Bizday="&amp;$M$15&amp;",Quote="&amp;$O$15&amp;",Pos=20,Orient=V,Title=3사평균 "&amp;Y$16&amp;",DtFmt=1,TmFmt=1,unit=true")</f>
        <v>3사평균 국민주택1종</v>
      </c>
      <c r="Y17" s="28"/>
      <c r="Z17" s="28"/>
      <c r="AA17" s="28"/>
      <c r="AB17" s="28"/>
      <c r="AC17" s="28"/>
      <c r="AD17" s="28"/>
      <c r="AE17" s="28"/>
      <c r="AF17" s="31"/>
      <c r="AG17" s="30" t="str">
        <f ca="1">_xll.IMDH("IR",AG$16,AG$18:AO$18,$C$15,$E$15,$G$15,"Per="&amp;$I$15&amp;",sort="&amp;$K$15&amp;",real=true,Bizday="&amp;$M$15&amp;",Quote="&amp;$O$15&amp;",Pos=20,Orient=V,Title=3사평균 "&amp;AH$16&amp;",DtFmt=1,TmFmt=1,unit=true")</f>
        <v>3사평균 금융채 산금채 AAA</v>
      </c>
      <c r="AH17" s="28"/>
      <c r="AI17" s="28"/>
      <c r="AJ17" s="28"/>
      <c r="AK17" s="28"/>
      <c r="AL17" s="28"/>
      <c r="AM17" s="28"/>
      <c r="AN17" s="28"/>
      <c r="AO17" s="31"/>
      <c r="AP17" s="30" t="str">
        <f ca="1">_xll.IMDH("IR",AP$16,AP$18:AX$18,$C$15,$E$15,$G$15,"Per="&amp;$I$15&amp;",sort="&amp;$K$15&amp;",real=true,Bizday="&amp;$M$15&amp;",Quote="&amp;$O$15&amp;",Pos=20,Orient=V,Title=3사평균 "&amp;AQ$16&amp;",DtFmt=1,TmFmt=1,unit=true")</f>
        <v>3사평균 회사채AA-(공모/무보증)</v>
      </c>
      <c r="AQ17" s="28"/>
      <c r="AR17" s="28"/>
      <c r="AS17" s="28"/>
      <c r="AT17" s="28"/>
      <c r="AU17" s="28"/>
      <c r="AV17" s="28"/>
      <c r="AW17" s="28"/>
      <c r="AX17" s="31"/>
      <c r="AY17" s="30" t="str">
        <f ca="1">_xll.IMDH("IR",AY$16,AY$18:BG$18,$C$15,$E$15,$G$15,"Per="&amp;$I$15&amp;",sort="&amp;$K$15&amp;",real=true,Bizday="&amp;$M$15&amp;",Quote="&amp;$O$15&amp;",Pos=20,Orient=V,Title=3사평균 "&amp;AZ$16&amp;",DtFmt=1,TmFmt=1,unit=true")</f>
        <v>3사평균 특수채 공사채 AAA</v>
      </c>
      <c r="AZ17" s="28"/>
      <c r="BA17" s="28"/>
      <c r="BB17" s="28"/>
      <c r="BC17" s="28"/>
      <c r="BD17" s="28"/>
      <c r="BE17" s="28"/>
      <c r="BF17" s="28"/>
      <c r="BG17" s="31"/>
      <c r="BH17" s="30" t="str">
        <f ca="1">_xll.IMDH("IR",BH$16,BH$18:BP$18,$C$15,$E$15,$G$15,"Per="&amp;$I$15&amp;",sort="&amp;$K$15&amp;",real=true,Bizday="&amp;$M$15&amp;",Quote="&amp;$O$15&amp;",Pos=20,Orient=V,Title=3사평균 "&amp;BI$16&amp;",DtFmt=1,TmFmt=1,unit=true")</f>
        <v>3사평균 특수채(정부보증)</v>
      </c>
      <c r="BI17" s="28"/>
      <c r="BJ17" s="28"/>
      <c r="BK17" s="28"/>
      <c r="BL17" s="28"/>
      <c r="BM17" s="28"/>
      <c r="BN17" s="28"/>
      <c r="BO17" s="28"/>
      <c r="BP17" s="31"/>
      <c r="BQ17" s="30" t="str">
        <f ca="1">_xll.IMDH("IR",BQ$16,BQ$18:BY$18,$C$15,$E$15,$G$15,"Per="&amp;$I$15&amp;",sort="&amp;$K$15&amp;",real=true,Bizday="&amp;$M$15&amp;",Quote="&amp;$O$15&amp;",Pos=20,Orient=V,Title=3사평균 "&amp;BR$16&amp;",DtFmt=1,TmFmt=1,unit=true")</f>
        <v>3사평균 특수채 공사채 AA-</v>
      </c>
      <c r="BR17" s="28"/>
      <c r="BS17" s="28"/>
      <c r="BT17" s="28"/>
      <c r="BU17" s="28"/>
      <c r="BV17" s="28"/>
      <c r="BW17" s="28"/>
      <c r="BX17" s="28"/>
      <c r="BY17" s="31"/>
      <c r="BZ17" s="30" t="str">
        <f ca="1">_xll.IMDH("IR",BZ$16,BZ$18:CH$18,$C$15,$E$15,$G$15,"Per="&amp;$I$15&amp;",sort="&amp;$K$15&amp;",real=true,Bizday="&amp;$M$15&amp;",Quote="&amp;$O$15&amp;",Pos=20,Orient=V,Title=3사평균 "&amp;CA$16&amp;",DtFmt=1,TmFmt=1,unit=true")</f>
        <v>3사평균 서울도시철도</v>
      </c>
      <c r="CA17" s="28"/>
      <c r="CB17" s="28"/>
      <c r="CC17" s="28"/>
      <c r="CD17" s="28"/>
      <c r="CE17" s="28"/>
      <c r="CF17" s="28"/>
      <c r="CG17" s="28"/>
      <c r="CH17" s="31"/>
      <c r="CJ17" s="6" t="s">
        <v>89</v>
      </c>
      <c r="CK17" s="6" t="s">
        <v>90</v>
      </c>
      <c r="CM17" s="6" t="s">
        <v>281</v>
      </c>
      <c r="CN17" s="6" t="s">
        <v>274</v>
      </c>
      <c r="CO17" s="6" t="s">
        <v>18</v>
      </c>
      <c r="CP17" s="6" t="s">
        <v>287</v>
      </c>
    </row>
    <row r="18" spans="1:94">
      <c r="B18" s="26" t="s">
        <v>41</v>
      </c>
      <c r="C18" s="27" t="s">
        <v>24</v>
      </c>
      <c r="D18" s="27" t="s">
        <v>25</v>
      </c>
      <c r="E18" s="27" t="s">
        <v>26</v>
      </c>
      <c r="F18" s="27" t="s">
        <v>29</v>
      </c>
      <c r="G18" s="27" t="s">
        <v>27</v>
      </c>
      <c r="H18" s="27" t="s">
        <v>28</v>
      </c>
      <c r="I18" s="27" t="s">
        <v>239</v>
      </c>
      <c r="J18" s="27" t="s">
        <v>241</v>
      </c>
      <c r="K18" s="27" t="s">
        <v>240</v>
      </c>
      <c r="L18" s="27" t="s">
        <v>242</v>
      </c>
      <c r="M18" s="27" t="s">
        <v>243</v>
      </c>
      <c r="N18" s="27" t="s">
        <v>311</v>
      </c>
      <c r="O18" s="26" t="s">
        <v>41</v>
      </c>
      <c r="P18" s="27" t="s">
        <v>24</v>
      </c>
      <c r="Q18" s="27" t="s">
        <v>25</v>
      </c>
      <c r="R18" s="27" t="s">
        <v>26</v>
      </c>
      <c r="S18" s="27" t="s">
        <v>29</v>
      </c>
      <c r="T18" s="27" t="s">
        <v>27</v>
      </c>
      <c r="U18" s="27" t="s">
        <v>28</v>
      </c>
      <c r="V18" s="27" t="s">
        <v>312</v>
      </c>
      <c r="W18" s="27" t="s">
        <v>313</v>
      </c>
      <c r="X18" s="26" t="s">
        <v>41</v>
      </c>
      <c r="Y18" s="27" t="s">
        <v>24</v>
      </c>
      <c r="Z18" s="27" t="s">
        <v>25</v>
      </c>
      <c r="AA18" s="27" t="s">
        <v>26</v>
      </c>
      <c r="AB18" s="27" t="s">
        <v>29</v>
      </c>
      <c r="AC18" s="27" t="s">
        <v>27</v>
      </c>
      <c r="AD18" s="27" t="s">
        <v>28</v>
      </c>
      <c r="AE18" s="27" t="s">
        <v>312</v>
      </c>
      <c r="AF18" s="27" t="s">
        <v>313</v>
      </c>
      <c r="AG18" s="26" t="s">
        <v>41</v>
      </c>
      <c r="AH18" s="27" t="s">
        <v>24</v>
      </c>
      <c r="AI18" s="27" t="s">
        <v>25</v>
      </c>
      <c r="AJ18" s="27" t="s">
        <v>26</v>
      </c>
      <c r="AK18" s="27" t="s">
        <v>29</v>
      </c>
      <c r="AL18" s="27" t="s">
        <v>27</v>
      </c>
      <c r="AM18" s="27" t="s">
        <v>28</v>
      </c>
      <c r="AN18" s="27" t="s">
        <v>312</v>
      </c>
      <c r="AO18" s="27" t="s">
        <v>313</v>
      </c>
      <c r="AP18" s="26" t="s">
        <v>41</v>
      </c>
      <c r="AQ18" s="27" t="s">
        <v>24</v>
      </c>
      <c r="AR18" s="27" t="s">
        <v>25</v>
      </c>
      <c r="AS18" s="27" t="s">
        <v>26</v>
      </c>
      <c r="AT18" s="27" t="s">
        <v>29</v>
      </c>
      <c r="AU18" s="27" t="s">
        <v>27</v>
      </c>
      <c r="AV18" s="27" t="s">
        <v>28</v>
      </c>
      <c r="AW18" s="27" t="s">
        <v>312</v>
      </c>
      <c r="AX18" s="27" t="s">
        <v>313</v>
      </c>
      <c r="AY18" s="26" t="s">
        <v>41</v>
      </c>
      <c r="AZ18" s="27" t="s">
        <v>24</v>
      </c>
      <c r="BA18" s="27" t="s">
        <v>25</v>
      </c>
      <c r="BB18" s="27" t="s">
        <v>26</v>
      </c>
      <c r="BC18" s="27" t="s">
        <v>29</v>
      </c>
      <c r="BD18" s="27" t="s">
        <v>27</v>
      </c>
      <c r="BE18" s="27" t="s">
        <v>28</v>
      </c>
      <c r="BF18" s="27" t="s">
        <v>312</v>
      </c>
      <c r="BG18" s="27" t="s">
        <v>313</v>
      </c>
      <c r="BH18" s="26" t="s">
        <v>41</v>
      </c>
      <c r="BI18" s="27" t="s">
        <v>24</v>
      </c>
      <c r="BJ18" s="27" t="s">
        <v>25</v>
      </c>
      <c r="BK18" s="27" t="s">
        <v>26</v>
      </c>
      <c r="BL18" s="27" t="s">
        <v>29</v>
      </c>
      <c r="BM18" s="27" t="s">
        <v>27</v>
      </c>
      <c r="BN18" s="27" t="s">
        <v>28</v>
      </c>
      <c r="BO18" s="27" t="s">
        <v>312</v>
      </c>
      <c r="BP18" s="27" t="s">
        <v>313</v>
      </c>
      <c r="BQ18" s="26" t="s">
        <v>41</v>
      </c>
      <c r="BR18" s="27" t="s">
        <v>24</v>
      </c>
      <c r="BS18" s="27" t="s">
        <v>25</v>
      </c>
      <c r="BT18" s="27" t="s">
        <v>26</v>
      </c>
      <c r="BU18" s="27" t="s">
        <v>29</v>
      </c>
      <c r="BV18" s="27" t="s">
        <v>27</v>
      </c>
      <c r="BW18" s="27" t="s">
        <v>28</v>
      </c>
      <c r="BX18" s="27" t="s">
        <v>312</v>
      </c>
      <c r="BY18" s="27" t="s">
        <v>313</v>
      </c>
      <c r="BZ18" s="26" t="s">
        <v>41</v>
      </c>
      <c r="CA18" s="27" t="s">
        <v>24</v>
      </c>
      <c r="CB18" s="27" t="s">
        <v>25</v>
      </c>
      <c r="CC18" s="27" t="s">
        <v>26</v>
      </c>
      <c r="CD18" s="27" t="s">
        <v>29</v>
      </c>
      <c r="CE18" s="27" t="s">
        <v>27</v>
      </c>
      <c r="CF18" s="27" t="s">
        <v>28</v>
      </c>
      <c r="CG18" s="27" t="s">
        <v>312</v>
      </c>
      <c r="CH18" s="27" t="s">
        <v>313</v>
      </c>
      <c r="CJ18" s="6" t="s">
        <v>91</v>
      </c>
      <c r="CK18" s="6" t="s">
        <v>92</v>
      </c>
      <c r="CM18" s="6" t="s">
        <v>293</v>
      </c>
      <c r="CN18" s="6" t="s">
        <v>274</v>
      </c>
      <c r="CO18" s="6" t="s">
        <v>294</v>
      </c>
      <c r="CP18" s="6" t="s">
        <v>287</v>
      </c>
    </row>
    <row r="19" spans="1:94">
      <c r="B19" s="7">
        <v>45741</v>
      </c>
      <c r="C19">
        <v>2.6219999999999999</v>
      </c>
      <c r="D19">
        <v>2.6320000000000001</v>
      </c>
      <c r="E19">
        <v>2.62</v>
      </c>
      <c r="F19">
        <v>2.6890000000000001</v>
      </c>
      <c r="G19">
        <v>2.677</v>
      </c>
      <c r="H19">
        <v>2.605</v>
      </c>
      <c r="I19" s="6">
        <v>2.7330000000000001</v>
      </c>
      <c r="J19" s="6">
        <v>2.6930000000000001</v>
      </c>
      <c r="K19" s="6">
        <v>2.84</v>
      </c>
      <c r="L19" s="6">
        <v>2.8130000000000002</v>
      </c>
      <c r="M19" s="6">
        <v>2.7</v>
      </c>
      <c r="N19" s="6">
        <v>2.58</v>
      </c>
      <c r="O19" s="7">
        <v>45741</v>
      </c>
      <c r="P19">
        <v>2.6640000000000001</v>
      </c>
      <c r="Q19">
        <v>2.6190000000000002</v>
      </c>
      <c r="R19">
        <v>2.63</v>
      </c>
      <c r="S19">
        <v>2.69</v>
      </c>
      <c r="T19">
        <v>2.6680000000000001</v>
      </c>
      <c r="U19" s="6">
        <v>2.6850000000000001</v>
      </c>
      <c r="V19" s="6">
        <v>0</v>
      </c>
      <c r="W19">
        <v>0</v>
      </c>
      <c r="X19" s="7">
        <v>45741</v>
      </c>
      <c r="Y19">
        <v>2.6859999999999999</v>
      </c>
      <c r="Z19">
        <v>2.72</v>
      </c>
      <c r="AA19">
        <v>2.6709999999999998</v>
      </c>
      <c r="AB19">
        <v>2.702</v>
      </c>
      <c r="AC19">
        <v>2.7160000000000002</v>
      </c>
      <c r="AD19" s="6">
        <v>2.7349999999999999</v>
      </c>
      <c r="AE19" s="6">
        <v>2.7650000000000001</v>
      </c>
      <c r="AF19">
        <v>2.879</v>
      </c>
      <c r="AG19" s="7">
        <v>45741</v>
      </c>
      <c r="AH19">
        <v>2.8330000000000002</v>
      </c>
      <c r="AI19">
        <v>2.8130000000000002</v>
      </c>
      <c r="AJ19">
        <v>2.8130000000000002</v>
      </c>
      <c r="AK19">
        <v>2.8130000000000002</v>
      </c>
      <c r="AL19">
        <v>2.782</v>
      </c>
      <c r="AM19" s="6">
        <v>2.774</v>
      </c>
      <c r="AN19" s="6">
        <v>2.79</v>
      </c>
      <c r="AO19">
        <v>2.9159999999999999</v>
      </c>
      <c r="AP19" s="7">
        <v>45741</v>
      </c>
      <c r="AQ19">
        <v>3.0510000000000002</v>
      </c>
      <c r="AR19">
        <v>3.0569999999999999</v>
      </c>
      <c r="AS19">
        <v>3.044</v>
      </c>
      <c r="AT19">
        <v>3.0750000000000002</v>
      </c>
      <c r="AU19">
        <v>3.1179999999999999</v>
      </c>
      <c r="AV19" s="6">
        <v>3.1659999999999999</v>
      </c>
      <c r="AW19" s="6">
        <v>3.2290000000000001</v>
      </c>
      <c r="AX19">
        <v>3.35</v>
      </c>
      <c r="AY19" s="7">
        <v>45741</v>
      </c>
      <c r="AZ19">
        <v>2.8679999999999999</v>
      </c>
      <c r="BA19">
        <v>2.8490000000000002</v>
      </c>
      <c r="BB19">
        <v>2.827</v>
      </c>
      <c r="BC19">
        <v>2.8370000000000002</v>
      </c>
      <c r="BD19">
        <v>2.851</v>
      </c>
      <c r="BE19" s="6">
        <v>2.8570000000000002</v>
      </c>
      <c r="BF19" s="6">
        <v>2.8849999999999998</v>
      </c>
      <c r="BG19">
        <v>2.9430000000000001</v>
      </c>
      <c r="BH19" s="7">
        <v>45741</v>
      </c>
      <c r="BI19">
        <v>2.8159999999999998</v>
      </c>
      <c r="BJ19">
        <v>2.7669999999999999</v>
      </c>
      <c r="BK19">
        <v>2.7610000000000001</v>
      </c>
      <c r="BL19">
        <v>2.7589999999999999</v>
      </c>
      <c r="BM19">
        <v>2.762</v>
      </c>
      <c r="BN19" s="6">
        <v>2.7570000000000001</v>
      </c>
      <c r="BO19" s="6">
        <v>2.7810000000000001</v>
      </c>
      <c r="BP19">
        <v>2.903</v>
      </c>
      <c r="BQ19" s="7">
        <v>45741</v>
      </c>
      <c r="BR19">
        <v>3.1320000000000001</v>
      </c>
      <c r="BS19">
        <v>3.1429999999999998</v>
      </c>
      <c r="BT19">
        <v>3.1429999999999998</v>
      </c>
      <c r="BU19">
        <v>3.1880000000000002</v>
      </c>
      <c r="BV19">
        <v>3.2130000000000001</v>
      </c>
      <c r="BW19" s="6">
        <v>3.238</v>
      </c>
      <c r="BX19" s="6">
        <v>3.2650000000000001</v>
      </c>
      <c r="BY19">
        <v>3.3380000000000001</v>
      </c>
      <c r="BZ19" s="7">
        <v>45741</v>
      </c>
      <c r="CA19">
        <v>2.7679999999999998</v>
      </c>
      <c r="CB19">
        <v>2.8</v>
      </c>
      <c r="CC19">
        <v>2.7629999999999999</v>
      </c>
      <c r="CD19">
        <v>2.782</v>
      </c>
      <c r="CE19">
        <v>2.8050000000000002</v>
      </c>
      <c r="CF19" s="6">
        <v>2.8559999999999999</v>
      </c>
      <c r="CG19" s="6">
        <v>2.8759999999999999</v>
      </c>
      <c r="CH19">
        <v>2.9350000000000001</v>
      </c>
      <c r="CJ19" s="6" t="s">
        <v>93</v>
      </c>
      <c r="CK19" s="6" t="s">
        <v>94</v>
      </c>
      <c r="CM19" s="6" t="s">
        <v>283</v>
      </c>
      <c r="CN19" s="6" t="s">
        <v>274</v>
      </c>
      <c r="CO19" s="6" t="s">
        <v>19</v>
      </c>
      <c r="CP19" s="6" t="s">
        <v>287</v>
      </c>
    </row>
    <row r="20" spans="1:94">
      <c r="B20" s="7">
        <v>45740</v>
      </c>
      <c r="C20">
        <v>2.617</v>
      </c>
      <c r="D20">
        <v>2.6269999999999998</v>
      </c>
      <c r="E20">
        <v>2.6150000000000002</v>
      </c>
      <c r="F20">
        <v>2.6840000000000002</v>
      </c>
      <c r="G20">
        <v>2.6709999999999998</v>
      </c>
      <c r="H20">
        <v>2.597</v>
      </c>
      <c r="I20" s="6">
        <v>2.7149999999999999</v>
      </c>
      <c r="J20" s="6">
        <v>2.68</v>
      </c>
      <c r="K20" s="6">
        <v>2.831</v>
      </c>
      <c r="L20" s="6">
        <v>2.8149999999999999</v>
      </c>
      <c r="M20" s="6">
        <v>2.69</v>
      </c>
      <c r="N20" s="6">
        <v>2.5670000000000002</v>
      </c>
      <c r="O20" s="7">
        <v>45740</v>
      </c>
      <c r="P20">
        <v>2.6659999999999999</v>
      </c>
      <c r="Q20">
        <v>2.6219999999999999</v>
      </c>
      <c r="R20">
        <v>2.6339999999999999</v>
      </c>
      <c r="S20">
        <v>2.6890000000000001</v>
      </c>
      <c r="T20">
        <v>2.6589999999999998</v>
      </c>
      <c r="U20" s="6">
        <v>2.677</v>
      </c>
      <c r="V20" s="6">
        <v>0</v>
      </c>
      <c r="W20">
        <v>0</v>
      </c>
      <c r="X20" s="7">
        <v>45740</v>
      </c>
      <c r="Y20">
        <v>2.6869999999999998</v>
      </c>
      <c r="Z20">
        <v>2.718</v>
      </c>
      <c r="AA20">
        <v>2.6709999999999998</v>
      </c>
      <c r="AB20">
        <v>2.7</v>
      </c>
      <c r="AC20">
        <v>2.71</v>
      </c>
      <c r="AD20" s="6">
        <v>2.7269999999999999</v>
      </c>
      <c r="AE20" s="6">
        <v>2.75</v>
      </c>
      <c r="AF20">
        <v>2.8639999999999999</v>
      </c>
      <c r="AG20" s="7">
        <v>45740</v>
      </c>
      <c r="AH20">
        <v>2.8380000000000001</v>
      </c>
      <c r="AI20">
        <v>2.8180000000000001</v>
      </c>
      <c r="AJ20">
        <v>2.823</v>
      </c>
      <c r="AK20">
        <v>2.8210000000000002</v>
      </c>
      <c r="AL20">
        <v>2.7730000000000001</v>
      </c>
      <c r="AM20" s="6">
        <v>2.766</v>
      </c>
      <c r="AN20" s="6">
        <v>2.774</v>
      </c>
      <c r="AO20">
        <v>2.903</v>
      </c>
      <c r="AP20" s="7">
        <v>45740</v>
      </c>
      <c r="AQ20">
        <v>3.056</v>
      </c>
      <c r="AR20">
        <v>3.0609999999999999</v>
      </c>
      <c r="AS20">
        <v>3.0470000000000002</v>
      </c>
      <c r="AT20">
        <v>3.0739999999999998</v>
      </c>
      <c r="AU20">
        <v>3.1080000000000001</v>
      </c>
      <c r="AV20" s="6">
        <v>3.1560000000000001</v>
      </c>
      <c r="AW20" s="6">
        <v>3.2120000000000002</v>
      </c>
      <c r="AX20">
        <v>3.3380000000000001</v>
      </c>
      <c r="AY20" s="7">
        <v>45740</v>
      </c>
      <c r="AZ20">
        <v>2.8769999999999998</v>
      </c>
      <c r="BA20">
        <v>2.8570000000000002</v>
      </c>
      <c r="BB20">
        <v>2.8330000000000002</v>
      </c>
      <c r="BC20">
        <v>2.835</v>
      </c>
      <c r="BD20">
        <v>2.8420000000000001</v>
      </c>
      <c r="BE20" s="6">
        <v>2.8479999999999999</v>
      </c>
      <c r="BF20" s="6">
        <v>2.867</v>
      </c>
      <c r="BG20">
        <v>2.93</v>
      </c>
      <c r="BH20" s="7">
        <v>45740</v>
      </c>
      <c r="BI20">
        <v>2.8239999999999998</v>
      </c>
      <c r="BJ20">
        <v>2.7759999999999998</v>
      </c>
      <c r="BK20">
        <v>2.7669999999999999</v>
      </c>
      <c r="BL20">
        <v>2.7570000000000001</v>
      </c>
      <c r="BM20">
        <v>2.7530000000000001</v>
      </c>
      <c r="BN20" s="6">
        <v>2.7480000000000002</v>
      </c>
      <c r="BO20" s="6">
        <v>2.7629999999999999</v>
      </c>
      <c r="BP20">
        <v>2.89</v>
      </c>
      <c r="BQ20" s="7">
        <v>45740</v>
      </c>
      <c r="BR20">
        <v>3.141</v>
      </c>
      <c r="BS20">
        <v>3.1509999999999998</v>
      </c>
      <c r="BT20">
        <v>3.149</v>
      </c>
      <c r="BU20">
        <v>3.1859999999999999</v>
      </c>
      <c r="BV20">
        <v>3.2040000000000002</v>
      </c>
      <c r="BW20" s="6">
        <v>3.2290000000000001</v>
      </c>
      <c r="BX20" s="6">
        <v>3.2469999999999999</v>
      </c>
      <c r="BY20">
        <v>3.3250000000000002</v>
      </c>
      <c r="BZ20" s="7">
        <v>45740</v>
      </c>
      <c r="CA20">
        <v>2.77</v>
      </c>
      <c r="CB20">
        <v>2.798</v>
      </c>
      <c r="CC20">
        <v>2.7629999999999999</v>
      </c>
      <c r="CD20">
        <v>2.78</v>
      </c>
      <c r="CE20">
        <v>2.7989999999999999</v>
      </c>
      <c r="CF20" s="6">
        <v>2.8479999999999999</v>
      </c>
      <c r="CG20" s="6">
        <v>2.86</v>
      </c>
      <c r="CH20">
        <v>2.92</v>
      </c>
      <c r="CJ20" s="6" t="s">
        <v>95</v>
      </c>
      <c r="CK20" s="6" t="s">
        <v>96</v>
      </c>
      <c r="CM20" s="6" t="s">
        <v>284</v>
      </c>
      <c r="CN20" s="6" t="s">
        <v>274</v>
      </c>
      <c r="CO20" s="6" t="s">
        <v>20</v>
      </c>
      <c r="CP20" s="6" t="s">
        <v>287</v>
      </c>
    </row>
    <row r="21" spans="1:94">
      <c r="B21" s="7">
        <v>45737</v>
      </c>
      <c r="C21">
        <v>2.61</v>
      </c>
      <c r="D21">
        <v>2.6179999999999999</v>
      </c>
      <c r="E21">
        <v>2.6019999999999999</v>
      </c>
      <c r="F21">
        <v>2.673</v>
      </c>
      <c r="G21">
        <v>2.6640000000000001</v>
      </c>
      <c r="H21">
        <v>2.59</v>
      </c>
      <c r="I21" s="6">
        <v>2.7050000000000001</v>
      </c>
      <c r="J21" s="6">
        <v>2.6539999999999999</v>
      </c>
      <c r="K21" s="6">
        <v>2.8250000000000002</v>
      </c>
      <c r="L21" s="6">
        <v>2.8050000000000002</v>
      </c>
      <c r="M21" s="6">
        <v>2.665</v>
      </c>
      <c r="N21" s="6">
        <v>2.5470000000000002</v>
      </c>
      <c r="O21" s="7">
        <v>45737</v>
      </c>
      <c r="P21">
        <v>2.661</v>
      </c>
      <c r="Q21">
        <v>2.6150000000000002</v>
      </c>
      <c r="R21">
        <v>2.6219999999999999</v>
      </c>
      <c r="S21">
        <v>2.6760000000000002</v>
      </c>
      <c r="T21">
        <v>2.657</v>
      </c>
      <c r="U21" s="6">
        <v>2.6640000000000001</v>
      </c>
      <c r="V21" s="6">
        <v>0</v>
      </c>
      <c r="W21">
        <v>0</v>
      </c>
      <c r="X21" s="7">
        <v>45737</v>
      </c>
      <c r="Y21">
        <v>2.6779999999999999</v>
      </c>
      <c r="Z21">
        <v>2.7090000000000001</v>
      </c>
      <c r="AA21">
        <v>2.6579999999999999</v>
      </c>
      <c r="AB21">
        <v>2.6890000000000001</v>
      </c>
      <c r="AC21">
        <v>2.7029999999999998</v>
      </c>
      <c r="AD21" s="6">
        <v>2.7210000000000001</v>
      </c>
      <c r="AE21" s="6">
        <v>2.74</v>
      </c>
      <c r="AF21">
        <v>2.8530000000000002</v>
      </c>
      <c r="AG21" s="7">
        <v>45737</v>
      </c>
      <c r="AH21">
        <v>2.8359999999999999</v>
      </c>
      <c r="AI21">
        <v>2.8149999999999999</v>
      </c>
      <c r="AJ21">
        <v>2.8210000000000002</v>
      </c>
      <c r="AK21">
        <v>2.8170000000000002</v>
      </c>
      <c r="AL21">
        <v>2.7730000000000001</v>
      </c>
      <c r="AM21" s="6">
        <v>2.7589999999999999</v>
      </c>
      <c r="AN21" s="6">
        <v>2.7629999999999999</v>
      </c>
      <c r="AO21">
        <v>2.8769999999999998</v>
      </c>
      <c r="AP21" s="7">
        <v>45737</v>
      </c>
      <c r="AQ21">
        <v>3.0510000000000002</v>
      </c>
      <c r="AR21">
        <v>3.0539999999999998</v>
      </c>
      <c r="AS21">
        <v>3.0339999999999998</v>
      </c>
      <c r="AT21">
        <v>3.06</v>
      </c>
      <c r="AU21">
        <v>3.1040000000000001</v>
      </c>
      <c r="AV21" s="6">
        <v>3.15</v>
      </c>
      <c r="AW21" s="6">
        <v>3.2010000000000001</v>
      </c>
      <c r="AX21">
        <v>3.3159999999999998</v>
      </c>
      <c r="AY21" s="7">
        <v>45737</v>
      </c>
      <c r="AZ21">
        <v>2.8679999999999999</v>
      </c>
      <c r="BA21">
        <v>2.843</v>
      </c>
      <c r="BB21">
        <v>2.8140000000000001</v>
      </c>
      <c r="BC21">
        <v>2.8250000000000002</v>
      </c>
      <c r="BD21">
        <v>2.8380000000000001</v>
      </c>
      <c r="BE21" s="6">
        <v>2.8420000000000001</v>
      </c>
      <c r="BF21" s="6">
        <v>2.8570000000000002</v>
      </c>
      <c r="BG21">
        <v>2.9060000000000001</v>
      </c>
      <c r="BH21" s="7">
        <v>45737</v>
      </c>
      <c r="BI21">
        <v>2.8149999999999999</v>
      </c>
      <c r="BJ21">
        <v>2.7610000000000001</v>
      </c>
      <c r="BK21">
        <v>2.7480000000000002</v>
      </c>
      <c r="BL21">
        <v>2.746</v>
      </c>
      <c r="BM21">
        <v>2.7509999999999999</v>
      </c>
      <c r="BN21" s="6">
        <v>2.7410000000000001</v>
      </c>
      <c r="BO21" s="6">
        <v>2.7519999999999998</v>
      </c>
      <c r="BP21">
        <v>2.8639999999999999</v>
      </c>
      <c r="BQ21" s="7">
        <v>45737</v>
      </c>
      <c r="BR21">
        <v>3.1349999999999998</v>
      </c>
      <c r="BS21">
        <v>3.1360000000000001</v>
      </c>
      <c r="BT21">
        <v>3.13</v>
      </c>
      <c r="BU21">
        <v>3.1749999999999998</v>
      </c>
      <c r="BV21">
        <v>3.202</v>
      </c>
      <c r="BW21" s="6">
        <v>3.222</v>
      </c>
      <c r="BX21" s="6">
        <v>3.2389999999999999</v>
      </c>
      <c r="BY21">
        <v>3.3</v>
      </c>
      <c r="BZ21" s="7">
        <v>45737</v>
      </c>
      <c r="CA21">
        <v>2.7610000000000001</v>
      </c>
      <c r="CB21">
        <v>2.7890000000000001</v>
      </c>
      <c r="CC21">
        <v>2.7490000000000001</v>
      </c>
      <c r="CD21">
        <v>2.7690000000000001</v>
      </c>
      <c r="CE21">
        <v>2.7909999999999999</v>
      </c>
      <c r="CF21" s="6">
        <v>2.8420000000000001</v>
      </c>
      <c r="CG21" s="6">
        <v>2.851</v>
      </c>
      <c r="CH21">
        <v>2.9089999999999998</v>
      </c>
      <c r="CJ21" s="6" t="s">
        <v>97</v>
      </c>
      <c r="CK21" s="6" t="s">
        <v>98</v>
      </c>
      <c r="CM21" s="6" t="s">
        <v>234</v>
      </c>
      <c r="CN21" s="6" t="s">
        <v>274</v>
      </c>
      <c r="CO21" s="6" t="s">
        <v>244</v>
      </c>
      <c r="CP21" s="6" t="s">
        <v>287</v>
      </c>
    </row>
    <row r="22" spans="1:94">
      <c r="B22" s="7">
        <v>45736</v>
      </c>
      <c r="C22">
        <v>2.6030000000000002</v>
      </c>
      <c r="D22">
        <v>2.61</v>
      </c>
      <c r="E22">
        <v>2.59</v>
      </c>
      <c r="F22">
        <v>2.669</v>
      </c>
      <c r="G22">
        <v>2.657</v>
      </c>
      <c r="H22">
        <v>2.597</v>
      </c>
      <c r="I22" s="6">
        <v>2.7050000000000001</v>
      </c>
      <c r="J22" s="6">
        <v>2.665</v>
      </c>
      <c r="K22" s="6">
        <v>2.8210000000000002</v>
      </c>
      <c r="L22" s="6">
        <v>2.7949999999999999</v>
      </c>
      <c r="M22" s="6">
        <v>2.66</v>
      </c>
      <c r="N22" s="6">
        <v>2.5470000000000002</v>
      </c>
      <c r="O22" s="7">
        <v>45736</v>
      </c>
      <c r="P22">
        <v>2.6549999999999998</v>
      </c>
      <c r="Q22">
        <v>2.6080000000000001</v>
      </c>
      <c r="R22">
        <v>2.6120000000000001</v>
      </c>
      <c r="S22">
        <v>2.67</v>
      </c>
      <c r="T22">
        <v>2.6520000000000001</v>
      </c>
      <c r="U22" s="6">
        <v>2.6659999999999999</v>
      </c>
      <c r="V22" s="6">
        <v>0</v>
      </c>
      <c r="W22">
        <v>0</v>
      </c>
      <c r="X22" s="7">
        <v>45736</v>
      </c>
      <c r="Y22">
        <v>2.665</v>
      </c>
      <c r="Z22">
        <v>2.7040000000000002</v>
      </c>
      <c r="AA22">
        <v>2.649</v>
      </c>
      <c r="AB22">
        <v>2.6869999999999998</v>
      </c>
      <c r="AC22">
        <v>2.6970000000000001</v>
      </c>
      <c r="AD22" s="6">
        <v>2.7229999999999999</v>
      </c>
      <c r="AE22" s="6">
        <v>2.7429999999999999</v>
      </c>
      <c r="AF22">
        <v>2.85</v>
      </c>
      <c r="AG22" s="7">
        <v>45736</v>
      </c>
      <c r="AH22">
        <v>2.8359999999999999</v>
      </c>
      <c r="AI22">
        <v>2.8119999999999998</v>
      </c>
      <c r="AJ22">
        <v>2.8180000000000001</v>
      </c>
      <c r="AK22">
        <v>2.8159999999999998</v>
      </c>
      <c r="AL22">
        <v>2.7679999999999998</v>
      </c>
      <c r="AM22" s="6">
        <v>2.766</v>
      </c>
      <c r="AN22" s="6">
        <v>2.7639999999999998</v>
      </c>
      <c r="AO22">
        <v>2.8879999999999999</v>
      </c>
      <c r="AP22" s="7">
        <v>45736</v>
      </c>
      <c r="AQ22">
        <v>3.0510000000000002</v>
      </c>
      <c r="AR22">
        <v>3.0489999999999999</v>
      </c>
      <c r="AS22">
        <v>3.0249999999999999</v>
      </c>
      <c r="AT22">
        <v>3.0609999999999999</v>
      </c>
      <c r="AU22">
        <v>3.1040000000000001</v>
      </c>
      <c r="AV22" s="6">
        <v>3.16</v>
      </c>
      <c r="AW22" s="6">
        <v>3.2040000000000002</v>
      </c>
      <c r="AX22">
        <v>3.327</v>
      </c>
      <c r="AY22" s="7">
        <v>45736</v>
      </c>
      <c r="AZ22">
        <v>2.8650000000000002</v>
      </c>
      <c r="BA22">
        <v>2.839</v>
      </c>
      <c r="BB22">
        <v>2.806</v>
      </c>
      <c r="BC22">
        <v>2.8180000000000001</v>
      </c>
      <c r="BD22">
        <v>2.83</v>
      </c>
      <c r="BE22" s="6">
        <v>2.8460000000000001</v>
      </c>
      <c r="BF22" s="6">
        <v>2.8610000000000002</v>
      </c>
      <c r="BG22">
        <v>2.9159999999999999</v>
      </c>
      <c r="BH22" s="7">
        <v>45736</v>
      </c>
      <c r="BI22">
        <v>2.8109999999999999</v>
      </c>
      <c r="BJ22">
        <v>2.7570000000000001</v>
      </c>
      <c r="BK22">
        <v>2.74</v>
      </c>
      <c r="BL22">
        <v>2.7410000000000001</v>
      </c>
      <c r="BM22">
        <v>2.7440000000000002</v>
      </c>
      <c r="BN22" s="6">
        <v>2.746</v>
      </c>
      <c r="BO22" s="6">
        <v>2.7559999999999998</v>
      </c>
      <c r="BP22">
        <v>2.8719999999999999</v>
      </c>
      <c r="BQ22" s="7">
        <v>45736</v>
      </c>
      <c r="BR22">
        <v>3.1320000000000001</v>
      </c>
      <c r="BS22">
        <v>3.1320000000000001</v>
      </c>
      <c r="BT22">
        <v>3.1219999999999999</v>
      </c>
      <c r="BU22">
        <v>3.17</v>
      </c>
      <c r="BV22">
        <v>3.1930000000000001</v>
      </c>
      <c r="BW22" s="6">
        <v>3.2290000000000001</v>
      </c>
      <c r="BX22" s="6">
        <v>3.2429999999999999</v>
      </c>
      <c r="BY22">
        <v>3.3109999999999999</v>
      </c>
      <c r="BZ22" s="7">
        <v>45736</v>
      </c>
      <c r="CA22">
        <v>2.7469999999999999</v>
      </c>
      <c r="CB22">
        <v>2.7839999999999998</v>
      </c>
      <c r="CC22">
        <v>2.74</v>
      </c>
      <c r="CD22">
        <v>2.7669999999999999</v>
      </c>
      <c r="CE22">
        <v>2.786</v>
      </c>
      <c r="CF22" s="6">
        <v>2.8439999999999999</v>
      </c>
      <c r="CG22" s="6">
        <v>2.8540000000000001</v>
      </c>
      <c r="CH22">
        <v>2.9060000000000001</v>
      </c>
      <c r="CJ22" s="6" t="s">
        <v>99</v>
      </c>
      <c r="CK22" s="6" t="s">
        <v>100</v>
      </c>
      <c r="CM22" s="6" t="s">
        <v>235</v>
      </c>
      <c r="CN22" s="6" t="s">
        <v>274</v>
      </c>
      <c r="CO22" s="6" t="s">
        <v>245</v>
      </c>
      <c r="CP22" s="6" t="s">
        <v>287</v>
      </c>
    </row>
    <row r="23" spans="1:94">
      <c r="B23" s="7">
        <v>45735</v>
      </c>
      <c r="C23">
        <v>2.605</v>
      </c>
      <c r="D23">
        <v>2.6110000000000002</v>
      </c>
      <c r="E23">
        <v>2.5910000000000002</v>
      </c>
      <c r="F23">
        <v>2.6760000000000002</v>
      </c>
      <c r="G23">
        <v>2.6739999999999999</v>
      </c>
      <c r="H23">
        <v>2.6160000000000001</v>
      </c>
      <c r="I23" s="6">
        <v>2.7189999999999999</v>
      </c>
      <c r="J23" s="6">
        <v>2.6669999999999998</v>
      </c>
      <c r="K23" s="6">
        <v>2.83</v>
      </c>
      <c r="L23" s="6">
        <v>2.8</v>
      </c>
      <c r="M23" s="6">
        <v>2.66</v>
      </c>
      <c r="N23" s="6">
        <v>2.5569999999999999</v>
      </c>
      <c r="O23" s="7">
        <v>45735</v>
      </c>
      <c r="P23">
        <v>2.6560000000000001</v>
      </c>
      <c r="Q23">
        <v>2.61</v>
      </c>
      <c r="R23">
        <v>2.6139999999999999</v>
      </c>
      <c r="S23">
        <v>2.6739999999999999</v>
      </c>
      <c r="T23">
        <v>2.6549999999999998</v>
      </c>
      <c r="U23" s="6">
        <v>2.6869999999999998</v>
      </c>
      <c r="V23" s="6">
        <v>0</v>
      </c>
      <c r="W23">
        <v>0</v>
      </c>
      <c r="X23" s="7">
        <v>45735</v>
      </c>
      <c r="Y23">
        <v>2.6669999999999998</v>
      </c>
      <c r="Z23">
        <v>2.7040000000000002</v>
      </c>
      <c r="AA23">
        <v>2.6509999999999998</v>
      </c>
      <c r="AB23">
        <v>2.6930000000000001</v>
      </c>
      <c r="AC23">
        <v>2.714</v>
      </c>
      <c r="AD23" s="6">
        <v>2.7429999999999999</v>
      </c>
      <c r="AE23" s="6">
        <v>2.7570000000000001</v>
      </c>
      <c r="AF23">
        <v>2.8620000000000001</v>
      </c>
      <c r="AG23" s="7">
        <v>45735</v>
      </c>
      <c r="AH23">
        <v>2.839</v>
      </c>
      <c r="AI23">
        <v>2.8149999999999999</v>
      </c>
      <c r="AJ23">
        <v>2.8239999999999998</v>
      </c>
      <c r="AK23">
        <v>2.823</v>
      </c>
      <c r="AL23">
        <v>2.774</v>
      </c>
      <c r="AM23" s="6">
        <v>2.7850000000000001</v>
      </c>
      <c r="AN23" s="6">
        <v>2.7770000000000001</v>
      </c>
      <c r="AO23">
        <v>2.8879999999999999</v>
      </c>
      <c r="AP23" s="7">
        <v>45735</v>
      </c>
      <c r="AQ23">
        <v>3.052</v>
      </c>
      <c r="AR23">
        <v>3.0510000000000002</v>
      </c>
      <c r="AS23">
        <v>3.0219999999999998</v>
      </c>
      <c r="AT23">
        <v>3.0590000000000002</v>
      </c>
      <c r="AU23">
        <v>3.1019999999999999</v>
      </c>
      <c r="AV23" s="6">
        <v>3.1819999999999999</v>
      </c>
      <c r="AW23" s="6">
        <v>3.22</v>
      </c>
      <c r="AX23">
        <v>3.3290000000000002</v>
      </c>
      <c r="AY23" s="7">
        <v>45735</v>
      </c>
      <c r="AZ23">
        <v>2.8660000000000001</v>
      </c>
      <c r="BA23">
        <v>2.84</v>
      </c>
      <c r="BB23">
        <v>2.81</v>
      </c>
      <c r="BC23">
        <v>2.823</v>
      </c>
      <c r="BD23">
        <v>2.8330000000000002</v>
      </c>
      <c r="BE23" s="6">
        <v>2.8650000000000002</v>
      </c>
      <c r="BF23" s="6">
        <v>2.8740000000000001</v>
      </c>
      <c r="BG23">
        <v>2.919</v>
      </c>
      <c r="BH23" s="7">
        <v>45735</v>
      </c>
      <c r="BI23">
        <v>2.8130000000000002</v>
      </c>
      <c r="BJ23">
        <v>2.7589999999999999</v>
      </c>
      <c r="BK23">
        <v>2.7440000000000002</v>
      </c>
      <c r="BL23">
        <v>2.7440000000000002</v>
      </c>
      <c r="BM23">
        <v>2.7480000000000002</v>
      </c>
      <c r="BN23" s="6">
        <v>2.766</v>
      </c>
      <c r="BO23" s="6">
        <v>2.7690000000000001</v>
      </c>
      <c r="BP23">
        <v>2.883</v>
      </c>
      <c r="BQ23" s="7">
        <v>45735</v>
      </c>
      <c r="BR23">
        <v>3.1339999999999999</v>
      </c>
      <c r="BS23">
        <v>3.1339999999999999</v>
      </c>
      <c r="BT23">
        <v>3.1259999999999999</v>
      </c>
      <c r="BU23">
        <v>3.1749999999999998</v>
      </c>
      <c r="BV23">
        <v>3.1960000000000002</v>
      </c>
      <c r="BW23" s="6">
        <v>3.2490000000000001</v>
      </c>
      <c r="BX23" s="6">
        <v>3.2559999999999998</v>
      </c>
      <c r="BY23">
        <v>3.3140000000000001</v>
      </c>
      <c r="BZ23" s="7">
        <v>45735</v>
      </c>
      <c r="CA23">
        <v>2.7490000000000001</v>
      </c>
      <c r="CB23">
        <v>2.7839999999999998</v>
      </c>
      <c r="CC23">
        <v>2.742</v>
      </c>
      <c r="CD23">
        <v>2.7730000000000001</v>
      </c>
      <c r="CE23">
        <v>2.8029999999999999</v>
      </c>
      <c r="CF23" s="6">
        <v>2.863</v>
      </c>
      <c r="CG23" s="6">
        <v>2.867</v>
      </c>
      <c r="CH23">
        <v>2.9180000000000001</v>
      </c>
      <c r="CJ23" s="6" t="s">
        <v>101</v>
      </c>
      <c r="CK23" s="6" t="s">
        <v>102</v>
      </c>
      <c r="CM23" s="6" t="s">
        <v>236</v>
      </c>
      <c r="CN23" s="6" t="s">
        <v>274</v>
      </c>
      <c r="CO23" s="6" t="s">
        <v>246</v>
      </c>
      <c r="CP23" s="6" t="s">
        <v>287</v>
      </c>
    </row>
    <row r="24" spans="1:94">
      <c r="B24" s="7">
        <v>45734</v>
      </c>
      <c r="C24">
        <v>2.6030000000000002</v>
      </c>
      <c r="D24">
        <v>2.6059999999999999</v>
      </c>
      <c r="E24">
        <v>2.5830000000000002</v>
      </c>
      <c r="F24">
        <v>2.657</v>
      </c>
      <c r="G24">
        <v>2.6640000000000001</v>
      </c>
      <c r="H24">
        <v>2.6</v>
      </c>
      <c r="I24" s="6">
        <v>2.71</v>
      </c>
      <c r="J24" s="6">
        <v>2.645</v>
      </c>
      <c r="K24" s="6">
        <v>2.8159999999999998</v>
      </c>
      <c r="L24" s="6">
        <v>2.7919999999999998</v>
      </c>
      <c r="M24" s="6">
        <v>2.6749999999999998</v>
      </c>
      <c r="N24" s="6">
        <v>2.5750000000000002</v>
      </c>
      <c r="O24" s="7">
        <v>45734</v>
      </c>
      <c r="P24">
        <v>2.6560000000000001</v>
      </c>
      <c r="Q24">
        <v>2.61</v>
      </c>
      <c r="R24">
        <v>2.6139999999999999</v>
      </c>
      <c r="S24">
        <v>2.6669999999999998</v>
      </c>
      <c r="T24">
        <v>2.6419999999999999</v>
      </c>
      <c r="U24" s="6">
        <v>2.6789999999999998</v>
      </c>
      <c r="V24" s="6">
        <v>0</v>
      </c>
      <c r="W24">
        <v>0</v>
      </c>
      <c r="X24" s="7">
        <v>45734</v>
      </c>
      <c r="Y24">
        <v>2.665</v>
      </c>
      <c r="Z24">
        <v>2.6960000000000002</v>
      </c>
      <c r="AA24">
        <v>2.6440000000000001</v>
      </c>
      <c r="AB24">
        <v>2.6779999999999999</v>
      </c>
      <c r="AC24">
        <v>2.7040000000000002</v>
      </c>
      <c r="AD24" s="6">
        <v>2.7330000000000001</v>
      </c>
      <c r="AE24" s="6">
        <v>2.7469999999999999</v>
      </c>
      <c r="AF24">
        <v>2.855</v>
      </c>
      <c r="AG24" s="7">
        <v>45734</v>
      </c>
      <c r="AH24">
        <v>2.84</v>
      </c>
      <c r="AI24">
        <v>2.8140000000000001</v>
      </c>
      <c r="AJ24">
        <v>2.8220000000000001</v>
      </c>
      <c r="AK24">
        <v>2.8140000000000001</v>
      </c>
      <c r="AL24">
        <v>2.7610000000000001</v>
      </c>
      <c r="AM24" s="6">
        <v>2.7690000000000001</v>
      </c>
      <c r="AN24" s="6">
        <v>2.7679999999999998</v>
      </c>
      <c r="AO24">
        <v>2.867</v>
      </c>
      <c r="AP24" s="7">
        <v>45734</v>
      </c>
      <c r="AQ24">
        <v>3.0539999999999998</v>
      </c>
      <c r="AR24">
        <v>3.0510000000000002</v>
      </c>
      <c r="AS24">
        <v>3.0139999999999998</v>
      </c>
      <c r="AT24">
        <v>3.044</v>
      </c>
      <c r="AU24">
        <v>3.0859999999999999</v>
      </c>
      <c r="AV24" s="6">
        <v>3.1659999999999999</v>
      </c>
      <c r="AW24" s="6">
        <v>3.2109999999999999</v>
      </c>
      <c r="AX24">
        <v>3.3109999999999999</v>
      </c>
      <c r="AY24" s="7">
        <v>45734</v>
      </c>
      <c r="AZ24">
        <v>2.8660000000000001</v>
      </c>
      <c r="BA24">
        <v>2.84</v>
      </c>
      <c r="BB24">
        <v>2.8090000000000002</v>
      </c>
      <c r="BC24">
        <v>2.8130000000000002</v>
      </c>
      <c r="BD24">
        <v>2.82</v>
      </c>
      <c r="BE24" s="6">
        <v>2.8460000000000001</v>
      </c>
      <c r="BF24" s="6">
        <v>2.8660000000000001</v>
      </c>
      <c r="BG24">
        <v>2.9</v>
      </c>
      <c r="BH24" s="7">
        <v>45734</v>
      </c>
      <c r="BI24">
        <v>2.8130000000000002</v>
      </c>
      <c r="BJ24">
        <v>2.7589999999999999</v>
      </c>
      <c r="BK24">
        <v>2.7429999999999999</v>
      </c>
      <c r="BL24">
        <v>2.734</v>
      </c>
      <c r="BM24">
        <v>2.7349999999999999</v>
      </c>
      <c r="BN24" s="6">
        <v>2.754</v>
      </c>
      <c r="BO24" s="6">
        <v>2.7629999999999999</v>
      </c>
      <c r="BP24">
        <v>2.8639999999999999</v>
      </c>
      <c r="BQ24" s="7">
        <v>45734</v>
      </c>
      <c r="BR24">
        <v>3.1339999999999999</v>
      </c>
      <c r="BS24">
        <v>3.1339999999999999</v>
      </c>
      <c r="BT24">
        <v>3.125</v>
      </c>
      <c r="BU24">
        <v>3.1640000000000001</v>
      </c>
      <c r="BV24">
        <v>3.1829999999999998</v>
      </c>
      <c r="BW24" s="6">
        <v>3.23</v>
      </c>
      <c r="BX24" s="6">
        <v>3.2490000000000001</v>
      </c>
      <c r="BY24">
        <v>3.2949999999999999</v>
      </c>
      <c r="BZ24" s="7">
        <v>45734</v>
      </c>
      <c r="CA24">
        <v>2.7469999999999999</v>
      </c>
      <c r="CB24">
        <v>2.7759999999999998</v>
      </c>
      <c r="CC24">
        <v>2.7349999999999999</v>
      </c>
      <c r="CD24">
        <v>2.758</v>
      </c>
      <c r="CE24">
        <v>2.7930000000000001</v>
      </c>
      <c r="CF24" s="6">
        <v>2.8519999999999999</v>
      </c>
      <c r="CG24" s="6">
        <v>2.8580000000000001</v>
      </c>
      <c r="CH24">
        <v>2.911</v>
      </c>
      <c r="CJ24" s="6" t="s">
        <v>103</v>
      </c>
      <c r="CK24" s="6" t="s">
        <v>104</v>
      </c>
      <c r="CM24" s="6" t="s">
        <v>237</v>
      </c>
      <c r="CN24" s="6" t="s">
        <v>274</v>
      </c>
      <c r="CO24" s="6" t="s">
        <v>247</v>
      </c>
      <c r="CP24" s="6" t="s">
        <v>287</v>
      </c>
    </row>
    <row r="25" spans="1:94">
      <c r="B25" s="7">
        <v>45733</v>
      </c>
      <c r="C25">
        <v>2.605</v>
      </c>
      <c r="D25">
        <v>2.6080000000000001</v>
      </c>
      <c r="E25">
        <v>2.58</v>
      </c>
      <c r="F25">
        <v>2.6640000000000001</v>
      </c>
      <c r="G25">
        <v>2.665</v>
      </c>
      <c r="H25">
        <v>2.597</v>
      </c>
      <c r="I25" s="6">
        <v>2.7090000000000001</v>
      </c>
      <c r="J25" s="6">
        <v>2.633</v>
      </c>
      <c r="K25" s="6">
        <v>2.8159999999999998</v>
      </c>
      <c r="L25" s="6">
        <v>2.8050000000000002</v>
      </c>
      <c r="M25" s="6">
        <v>2.6880000000000002</v>
      </c>
      <c r="N25" s="6">
        <v>2.59</v>
      </c>
      <c r="O25" s="7">
        <v>45733</v>
      </c>
      <c r="P25">
        <v>2.6560000000000001</v>
      </c>
      <c r="Q25">
        <v>2.6110000000000002</v>
      </c>
      <c r="R25">
        <v>2.6150000000000002</v>
      </c>
      <c r="S25">
        <v>2.6680000000000001</v>
      </c>
      <c r="T25">
        <v>2.6419999999999999</v>
      </c>
      <c r="U25" s="6">
        <v>2.677</v>
      </c>
      <c r="V25" s="6">
        <v>0</v>
      </c>
      <c r="W25">
        <v>0</v>
      </c>
      <c r="X25" s="7">
        <v>45733</v>
      </c>
      <c r="Y25">
        <v>2.6680000000000001</v>
      </c>
      <c r="Z25">
        <v>2.6970000000000001</v>
      </c>
      <c r="AA25">
        <v>2.641</v>
      </c>
      <c r="AB25">
        <v>2.6819999999999999</v>
      </c>
      <c r="AC25">
        <v>2.706</v>
      </c>
      <c r="AD25" s="6">
        <v>2.7309999999999999</v>
      </c>
      <c r="AE25" s="6">
        <v>2.7469999999999999</v>
      </c>
      <c r="AF25">
        <v>2.8540000000000001</v>
      </c>
      <c r="AG25" s="7">
        <v>45733</v>
      </c>
      <c r="AH25">
        <v>2.8420000000000001</v>
      </c>
      <c r="AI25">
        <v>2.8149999999999999</v>
      </c>
      <c r="AJ25">
        <v>2.823</v>
      </c>
      <c r="AK25">
        <v>2.8159999999999998</v>
      </c>
      <c r="AL25">
        <v>2.762</v>
      </c>
      <c r="AM25" s="6">
        <v>2.766</v>
      </c>
      <c r="AN25" s="6">
        <v>2.7650000000000001</v>
      </c>
      <c r="AO25">
        <v>2.8540000000000001</v>
      </c>
      <c r="AP25" s="7">
        <v>45733</v>
      </c>
      <c r="AQ25">
        <v>3.056</v>
      </c>
      <c r="AR25">
        <v>3.0539999999999998</v>
      </c>
      <c r="AS25">
        <v>3.01</v>
      </c>
      <c r="AT25">
        <v>3.0409999999999999</v>
      </c>
      <c r="AU25">
        <v>3.0859999999999999</v>
      </c>
      <c r="AV25" s="6">
        <v>3.1629999999999998</v>
      </c>
      <c r="AW25" s="6">
        <v>3.21</v>
      </c>
      <c r="AX25">
        <v>3.298</v>
      </c>
      <c r="AY25" s="7">
        <v>45733</v>
      </c>
      <c r="AZ25">
        <v>2.8660000000000001</v>
      </c>
      <c r="BA25">
        <v>2.8420000000000001</v>
      </c>
      <c r="BB25">
        <v>2.81</v>
      </c>
      <c r="BC25">
        <v>2.8140000000000001</v>
      </c>
      <c r="BD25">
        <v>2.82</v>
      </c>
      <c r="BE25" s="6">
        <v>2.847</v>
      </c>
      <c r="BF25" s="6">
        <v>2.859</v>
      </c>
      <c r="BG25">
        <v>2.887</v>
      </c>
      <c r="BH25" s="7">
        <v>45733</v>
      </c>
      <c r="BI25">
        <v>2.8130000000000002</v>
      </c>
      <c r="BJ25">
        <v>2.76</v>
      </c>
      <c r="BK25">
        <v>2.7440000000000002</v>
      </c>
      <c r="BL25">
        <v>2.734</v>
      </c>
      <c r="BM25">
        <v>2.7349999999999999</v>
      </c>
      <c r="BN25" s="6">
        <v>2.754</v>
      </c>
      <c r="BO25" s="6">
        <v>2.7610000000000001</v>
      </c>
      <c r="BP25">
        <v>2.8530000000000002</v>
      </c>
      <c r="BQ25" s="7">
        <v>45733</v>
      </c>
      <c r="BR25">
        <v>3.1339999999999999</v>
      </c>
      <c r="BS25">
        <v>3.1360000000000001</v>
      </c>
      <c r="BT25">
        <v>3.1259999999999999</v>
      </c>
      <c r="BU25">
        <v>3.165</v>
      </c>
      <c r="BV25">
        <v>3.1829999999999998</v>
      </c>
      <c r="BW25" s="6">
        <v>3.2330000000000001</v>
      </c>
      <c r="BX25" s="6">
        <v>3.242</v>
      </c>
      <c r="BY25">
        <v>3.282</v>
      </c>
      <c r="BZ25" s="7">
        <v>45733</v>
      </c>
      <c r="CA25">
        <v>2.7509999999999999</v>
      </c>
      <c r="CB25">
        <v>2.778</v>
      </c>
      <c r="CC25">
        <v>2.7320000000000002</v>
      </c>
      <c r="CD25">
        <v>2.762</v>
      </c>
      <c r="CE25">
        <v>2.7949999999999999</v>
      </c>
      <c r="CF25" s="6">
        <v>2.85</v>
      </c>
      <c r="CG25" s="6">
        <v>2.8570000000000002</v>
      </c>
      <c r="CH25">
        <v>2.91</v>
      </c>
      <c r="CJ25" s="6" t="s">
        <v>105</v>
      </c>
      <c r="CK25" s="6" t="s">
        <v>106</v>
      </c>
      <c r="CM25" s="6" t="s">
        <v>238</v>
      </c>
      <c r="CN25" s="6" t="s">
        <v>274</v>
      </c>
      <c r="CO25" s="6" t="s">
        <v>248</v>
      </c>
      <c r="CP25" s="6" t="s">
        <v>287</v>
      </c>
    </row>
    <row r="26" spans="1:94">
      <c r="B26" s="7">
        <v>45730</v>
      </c>
      <c r="C26">
        <v>2.605</v>
      </c>
      <c r="D26">
        <v>2.6080000000000001</v>
      </c>
      <c r="E26">
        <v>2.5830000000000002</v>
      </c>
      <c r="F26">
        <v>2.6659999999999999</v>
      </c>
      <c r="G26">
        <v>2.6539999999999999</v>
      </c>
      <c r="H26">
        <v>2.5870000000000002</v>
      </c>
      <c r="I26" s="6">
        <v>2.6989999999999998</v>
      </c>
      <c r="J26" s="6">
        <v>2.6389999999999998</v>
      </c>
      <c r="K26" s="6">
        <v>2.8220000000000001</v>
      </c>
      <c r="L26" s="6">
        <v>2.8149999999999999</v>
      </c>
      <c r="M26" s="6">
        <v>2.694</v>
      </c>
      <c r="N26" s="6">
        <v>2.59</v>
      </c>
      <c r="O26" s="7">
        <v>45730</v>
      </c>
      <c r="P26">
        <v>2.66</v>
      </c>
      <c r="Q26">
        <v>2.6150000000000002</v>
      </c>
      <c r="R26">
        <v>2.6240000000000001</v>
      </c>
      <c r="S26">
        <v>2.6709999999999998</v>
      </c>
      <c r="T26">
        <v>2.6419999999999999</v>
      </c>
      <c r="U26" s="6">
        <v>2.67</v>
      </c>
      <c r="V26" s="6">
        <v>0</v>
      </c>
      <c r="W26">
        <v>0</v>
      </c>
      <c r="X26" s="7">
        <v>45730</v>
      </c>
      <c r="Y26">
        <v>2.6680000000000001</v>
      </c>
      <c r="Z26">
        <v>2.6960000000000002</v>
      </c>
      <c r="AA26">
        <v>2.6440000000000001</v>
      </c>
      <c r="AB26">
        <v>2.6840000000000002</v>
      </c>
      <c r="AC26">
        <v>2.6960000000000002</v>
      </c>
      <c r="AD26" s="6">
        <v>2.7210000000000001</v>
      </c>
      <c r="AE26" s="6">
        <v>2.7370000000000001</v>
      </c>
      <c r="AF26">
        <v>2.85</v>
      </c>
      <c r="AG26" s="7">
        <v>45730</v>
      </c>
      <c r="AH26">
        <v>2.84</v>
      </c>
      <c r="AI26">
        <v>2.8140000000000001</v>
      </c>
      <c r="AJ26">
        <v>2.8279999999999998</v>
      </c>
      <c r="AK26">
        <v>2.8130000000000002</v>
      </c>
      <c r="AL26">
        <v>2.758</v>
      </c>
      <c r="AM26" s="6">
        <v>2.7559999999999998</v>
      </c>
      <c r="AN26" s="6">
        <v>2.7549999999999999</v>
      </c>
      <c r="AO26">
        <v>2.855</v>
      </c>
      <c r="AP26" s="7">
        <v>45730</v>
      </c>
      <c r="AQ26">
        <v>3.0579999999999998</v>
      </c>
      <c r="AR26">
        <v>3.052</v>
      </c>
      <c r="AS26">
        <v>3.0110000000000001</v>
      </c>
      <c r="AT26">
        <v>3.04</v>
      </c>
      <c r="AU26">
        <v>3.0859999999999999</v>
      </c>
      <c r="AV26" s="6">
        <v>3.1560000000000001</v>
      </c>
      <c r="AW26" s="6">
        <v>3.202</v>
      </c>
      <c r="AX26">
        <v>3.302</v>
      </c>
      <c r="AY26" s="7">
        <v>45730</v>
      </c>
      <c r="AZ26">
        <v>2.8679999999999999</v>
      </c>
      <c r="BA26">
        <v>2.84</v>
      </c>
      <c r="BB26">
        <v>2.8130000000000002</v>
      </c>
      <c r="BC26">
        <v>2.8130000000000002</v>
      </c>
      <c r="BD26">
        <v>2.8180000000000001</v>
      </c>
      <c r="BE26" s="6">
        <v>2.8340000000000001</v>
      </c>
      <c r="BF26" s="6">
        <v>2.8460000000000001</v>
      </c>
      <c r="BG26">
        <v>2.8879999999999999</v>
      </c>
      <c r="BH26" s="7">
        <v>45730</v>
      </c>
      <c r="BI26">
        <v>2.8140000000000001</v>
      </c>
      <c r="BJ26">
        <v>2.7589999999999999</v>
      </c>
      <c r="BK26">
        <v>2.7469999999999999</v>
      </c>
      <c r="BL26">
        <v>2.7330000000000001</v>
      </c>
      <c r="BM26">
        <v>2.7320000000000002</v>
      </c>
      <c r="BN26" s="6">
        <v>2.7440000000000002</v>
      </c>
      <c r="BO26" s="6">
        <v>2.7490000000000001</v>
      </c>
      <c r="BP26">
        <v>2.851</v>
      </c>
      <c r="BQ26" s="7">
        <v>45730</v>
      </c>
      <c r="BR26">
        <v>3.1349999999999998</v>
      </c>
      <c r="BS26">
        <v>3.1360000000000001</v>
      </c>
      <c r="BT26">
        <v>3.1309999999999998</v>
      </c>
      <c r="BU26">
        <v>3.1640000000000001</v>
      </c>
      <c r="BV26">
        <v>3.181</v>
      </c>
      <c r="BW26" s="6">
        <v>3.2189999999999999</v>
      </c>
      <c r="BX26" s="6">
        <v>3.2290000000000001</v>
      </c>
      <c r="BY26">
        <v>3.2829999999999999</v>
      </c>
      <c r="BZ26" s="7">
        <v>45730</v>
      </c>
      <c r="CA26">
        <v>2.7509999999999999</v>
      </c>
      <c r="CB26">
        <v>2.7759999999999998</v>
      </c>
      <c r="CC26">
        <v>2.7349999999999999</v>
      </c>
      <c r="CD26">
        <v>2.7639999999999998</v>
      </c>
      <c r="CE26">
        <v>2.7850000000000001</v>
      </c>
      <c r="CF26" s="6">
        <v>2.84</v>
      </c>
      <c r="CG26" s="6">
        <v>2.847</v>
      </c>
      <c r="CH26">
        <v>2.9060000000000001</v>
      </c>
      <c r="CJ26" s="6" t="s">
        <v>107</v>
      </c>
      <c r="CK26" s="6" t="s">
        <v>108</v>
      </c>
      <c r="CM26" s="6" t="s">
        <v>317</v>
      </c>
      <c r="CN26" s="6" t="s">
        <v>274</v>
      </c>
      <c r="CO26" s="6" t="s">
        <v>314</v>
      </c>
      <c r="CP26" s="6" t="s">
        <v>287</v>
      </c>
    </row>
    <row r="27" spans="1:94">
      <c r="B27" s="7">
        <v>45729</v>
      </c>
      <c r="C27">
        <v>2.605</v>
      </c>
      <c r="D27">
        <v>2.593</v>
      </c>
      <c r="E27">
        <v>2.57</v>
      </c>
      <c r="F27">
        <v>2.6579999999999999</v>
      </c>
      <c r="G27">
        <v>2.64</v>
      </c>
      <c r="H27">
        <v>2.5670000000000002</v>
      </c>
      <c r="I27" s="6">
        <v>2.6829999999999998</v>
      </c>
      <c r="J27" s="6">
        <v>2.6280000000000001</v>
      </c>
      <c r="K27" s="6">
        <v>2.7949999999999999</v>
      </c>
      <c r="L27" s="6">
        <v>2.7770000000000001</v>
      </c>
      <c r="M27" s="6">
        <v>2.6840000000000002</v>
      </c>
      <c r="N27" s="6">
        <v>2.58</v>
      </c>
      <c r="O27" s="7">
        <v>45729</v>
      </c>
      <c r="P27">
        <v>2.66</v>
      </c>
      <c r="Q27">
        <v>2.613</v>
      </c>
      <c r="R27">
        <v>2.621</v>
      </c>
      <c r="S27">
        <v>2.6629999999999998</v>
      </c>
      <c r="T27">
        <v>2.6280000000000001</v>
      </c>
      <c r="U27" s="6">
        <v>2.65</v>
      </c>
      <c r="V27" s="6">
        <v>0</v>
      </c>
      <c r="W27">
        <v>0</v>
      </c>
      <c r="X27" s="7">
        <v>45729</v>
      </c>
      <c r="Y27">
        <v>2.6720000000000002</v>
      </c>
      <c r="Z27">
        <v>2.6909999999999998</v>
      </c>
      <c r="AA27">
        <v>2.629</v>
      </c>
      <c r="AB27">
        <v>2.6760000000000002</v>
      </c>
      <c r="AC27">
        <v>2.681</v>
      </c>
      <c r="AD27" s="6">
        <v>2.7029999999999998</v>
      </c>
      <c r="AE27" s="6">
        <v>2.7210000000000001</v>
      </c>
      <c r="AF27">
        <v>2.8279999999999998</v>
      </c>
      <c r="AG27" s="7">
        <v>45729</v>
      </c>
      <c r="AH27">
        <v>2.84</v>
      </c>
      <c r="AI27">
        <v>2.81</v>
      </c>
      <c r="AJ27">
        <v>2.8239999999999998</v>
      </c>
      <c r="AK27">
        <v>2.8039999999999998</v>
      </c>
      <c r="AL27">
        <v>2.7429999999999999</v>
      </c>
      <c r="AM27" s="6">
        <v>2.7349999999999999</v>
      </c>
      <c r="AN27" s="6">
        <v>2.7389999999999999</v>
      </c>
      <c r="AO27">
        <v>2.843</v>
      </c>
      <c r="AP27" s="7">
        <v>45729</v>
      </c>
      <c r="AQ27">
        <v>3.0579999999999998</v>
      </c>
      <c r="AR27">
        <v>3.0510000000000002</v>
      </c>
      <c r="AS27">
        <v>3.0110000000000001</v>
      </c>
      <c r="AT27">
        <v>3.0339999999999998</v>
      </c>
      <c r="AU27">
        <v>3.0750000000000002</v>
      </c>
      <c r="AV27" s="6">
        <v>3.141</v>
      </c>
      <c r="AW27" s="6">
        <v>3.1859999999999999</v>
      </c>
      <c r="AX27">
        <v>3.2919999999999998</v>
      </c>
      <c r="AY27" s="7">
        <v>45729</v>
      </c>
      <c r="AZ27">
        <v>2.8660000000000001</v>
      </c>
      <c r="BA27">
        <v>2.8380000000000001</v>
      </c>
      <c r="BB27">
        <v>2.8090000000000002</v>
      </c>
      <c r="BC27">
        <v>2.806</v>
      </c>
      <c r="BD27">
        <v>2.8050000000000002</v>
      </c>
      <c r="BE27" s="6">
        <v>2.8159999999999998</v>
      </c>
      <c r="BF27" s="6">
        <v>2.831</v>
      </c>
      <c r="BG27">
        <v>2.879</v>
      </c>
      <c r="BH27" s="7">
        <v>45729</v>
      </c>
      <c r="BI27">
        <v>2.8130000000000002</v>
      </c>
      <c r="BJ27">
        <v>2.7559999999999998</v>
      </c>
      <c r="BK27">
        <v>2.7429999999999999</v>
      </c>
      <c r="BL27">
        <v>2.726</v>
      </c>
      <c r="BM27">
        <v>2.7189999999999999</v>
      </c>
      <c r="BN27" s="6">
        <v>2.726</v>
      </c>
      <c r="BO27" s="6">
        <v>2.734</v>
      </c>
      <c r="BP27">
        <v>2.84</v>
      </c>
      <c r="BQ27" s="7">
        <v>45729</v>
      </c>
      <c r="BR27">
        <v>3.1339999999999999</v>
      </c>
      <c r="BS27">
        <v>3.133</v>
      </c>
      <c r="BT27">
        <v>3.1269999999999998</v>
      </c>
      <c r="BU27">
        <v>3.157</v>
      </c>
      <c r="BV27">
        <v>3.1680000000000001</v>
      </c>
      <c r="BW27" s="6">
        <v>3.202</v>
      </c>
      <c r="BX27" s="6">
        <v>3.214</v>
      </c>
      <c r="BY27">
        <v>3.274</v>
      </c>
      <c r="BZ27" s="7">
        <v>45729</v>
      </c>
      <c r="CA27">
        <v>2.7509999999999999</v>
      </c>
      <c r="CB27">
        <v>2.7709999999999999</v>
      </c>
      <c r="CC27">
        <v>2.72</v>
      </c>
      <c r="CD27">
        <v>2.7559999999999998</v>
      </c>
      <c r="CE27">
        <v>2.77</v>
      </c>
      <c r="CF27" s="6">
        <v>2.8220000000000001</v>
      </c>
      <c r="CG27" s="6">
        <v>2.831</v>
      </c>
      <c r="CH27">
        <v>2.8839999999999999</v>
      </c>
      <c r="CJ27" s="6" t="s">
        <v>109</v>
      </c>
      <c r="CK27" s="6" t="s">
        <v>110</v>
      </c>
    </row>
    <row r="28" spans="1:94">
      <c r="B28" s="7">
        <v>45728</v>
      </c>
      <c r="C28">
        <v>2.6059999999999999</v>
      </c>
      <c r="D28">
        <v>2.5880000000000001</v>
      </c>
      <c r="E28">
        <v>2.5499999999999998</v>
      </c>
      <c r="F28">
        <v>2.65</v>
      </c>
      <c r="G28">
        <v>2.625</v>
      </c>
      <c r="H28">
        <v>2.5449999999999999</v>
      </c>
      <c r="I28" s="6">
        <v>2.6669999999999998</v>
      </c>
      <c r="J28" s="6">
        <v>2.6150000000000002</v>
      </c>
      <c r="K28" s="6">
        <v>2.7810000000000001</v>
      </c>
      <c r="L28" s="6">
        <v>2.76</v>
      </c>
      <c r="M28" s="6">
        <v>2.6709999999999998</v>
      </c>
      <c r="N28" s="6">
        <v>2.5649999999999999</v>
      </c>
      <c r="O28" s="7">
        <v>45728</v>
      </c>
      <c r="P28">
        <v>2.6560000000000001</v>
      </c>
      <c r="Q28">
        <v>2.6080000000000001</v>
      </c>
      <c r="R28">
        <v>2.6160000000000001</v>
      </c>
      <c r="S28">
        <v>2.6549999999999998</v>
      </c>
      <c r="T28">
        <v>2.617</v>
      </c>
      <c r="U28" s="6">
        <v>2.6349999999999998</v>
      </c>
      <c r="V28" s="6">
        <v>0</v>
      </c>
      <c r="W28">
        <v>0</v>
      </c>
      <c r="X28" s="7">
        <v>45728</v>
      </c>
      <c r="Y28">
        <v>2.6749999999999998</v>
      </c>
      <c r="Z28">
        <v>2.6869999999999998</v>
      </c>
      <c r="AA28">
        <v>2.6120000000000001</v>
      </c>
      <c r="AB28">
        <v>2.6680000000000001</v>
      </c>
      <c r="AC28">
        <v>2.6669999999999998</v>
      </c>
      <c r="AD28" s="6">
        <v>2.68</v>
      </c>
      <c r="AE28" s="6">
        <v>2.7080000000000002</v>
      </c>
      <c r="AF28">
        <v>2.81</v>
      </c>
      <c r="AG28" s="7">
        <v>45728</v>
      </c>
      <c r="AH28">
        <v>2.8370000000000002</v>
      </c>
      <c r="AI28">
        <v>2.8039999999999998</v>
      </c>
      <c r="AJ28">
        <v>2.8170000000000002</v>
      </c>
      <c r="AK28">
        <v>2.794</v>
      </c>
      <c r="AL28">
        <v>2.73</v>
      </c>
      <c r="AM28" s="6">
        <v>2.7130000000000001</v>
      </c>
      <c r="AN28" s="6">
        <v>2.7229999999999999</v>
      </c>
      <c r="AO28">
        <v>2.8290000000000002</v>
      </c>
      <c r="AP28" s="7">
        <v>45728</v>
      </c>
      <c r="AQ28">
        <v>3.0529999999999999</v>
      </c>
      <c r="AR28">
        <v>3.0459999999999998</v>
      </c>
      <c r="AS28">
        <v>3.0049999999999999</v>
      </c>
      <c r="AT28">
        <v>3.02</v>
      </c>
      <c r="AU28">
        <v>3.0609999999999999</v>
      </c>
      <c r="AV28" s="6">
        <v>3.121</v>
      </c>
      <c r="AW28" s="6">
        <v>3.17</v>
      </c>
      <c r="AX28">
        <v>3.278</v>
      </c>
      <c r="AY28" s="7">
        <v>45728</v>
      </c>
      <c r="AZ28">
        <v>2.8610000000000002</v>
      </c>
      <c r="BA28">
        <v>2.83</v>
      </c>
      <c r="BB28">
        <v>2.798</v>
      </c>
      <c r="BC28">
        <v>2.7930000000000001</v>
      </c>
      <c r="BD28">
        <v>2.794</v>
      </c>
      <c r="BE28" s="6">
        <v>2.7970000000000002</v>
      </c>
      <c r="BF28" s="6">
        <v>2.8170000000000002</v>
      </c>
      <c r="BG28">
        <v>2.8650000000000002</v>
      </c>
      <c r="BH28" s="7">
        <v>45728</v>
      </c>
      <c r="BI28">
        <v>2.806</v>
      </c>
      <c r="BJ28">
        <v>2.7490000000000001</v>
      </c>
      <c r="BK28">
        <v>2.7320000000000002</v>
      </c>
      <c r="BL28">
        <v>2.714</v>
      </c>
      <c r="BM28">
        <v>2.7080000000000002</v>
      </c>
      <c r="BN28" s="6">
        <v>2.7069999999999999</v>
      </c>
      <c r="BO28" s="6">
        <v>2.718</v>
      </c>
      <c r="BP28">
        <v>2.8279999999999998</v>
      </c>
      <c r="BQ28" s="7">
        <v>45728</v>
      </c>
      <c r="BR28">
        <v>3.13</v>
      </c>
      <c r="BS28">
        <v>3.1259999999999999</v>
      </c>
      <c r="BT28">
        <v>3.117</v>
      </c>
      <c r="BU28">
        <v>3.145</v>
      </c>
      <c r="BV28">
        <v>3.157</v>
      </c>
      <c r="BW28" s="6">
        <v>3.1829999999999998</v>
      </c>
      <c r="BX28" s="6">
        <v>3.2</v>
      </c>
      <c r="BY28">
        <v>3.2610000000000001</v>
      </c>
      <c r="BZ28" s="7">
        <v>45728</v>
      </c>
      <c r="CA28">
        <v>2.7570000000000001</v>
      </c>
      <c r="CB28">
        <v>2.7679999999999998</v>
      </c>
      <c r="CC28">
        <v>2.7040000000000002</v>
      </c>
      <c r="CD28">
        <v>2.7480000000000002</v>
      </c>
      <c r="CE28">
        <v>2.7559999999999998</v>
      </c>
      <c r="CF28" s="6">
        <v>2.8</v>
      </c>
      <c r="CG28" s="6">
        <v>2.819</v>
      </c>
      <c r="CH28">
        <v>2.8660000000000001</v>
      </c>
      <c r="CJ28" s="6" t="s">
        <v>111</v>
      </c>
      <c r="CK28" s="6" t="s">
        <v>112</v>
      </c>
    </row>
    <row r="29" spans="1:94">
      <c r="B29" s="7">
        <v>45727</v>
      </c>
      <c r="C29">
        <v>2.61</v>
      </c>
      <c r="D29">
        <v>2.5979999999999999</v>
      </c>
      <c r="E29">
        <v>2.581</v>
      </c>
      <c r="F29">
        <v>2.669</v>
      </c>
      <c r="G29">
        <v>2.645</v>
      </c>
      <c r="H29">
        <v>2.5499999999999998</v>
      </c>
      <c r="I29" s="6">
        <v>2.68</v>
      </c>
      <c r="J29" s="6">
        <v>2.625</v>
      </c>
      <c r="K29" s="6">
        <v>2.7839999999999998</v>
      </c>
      <c r="L29" s="6">
        <v>2.7570000000000001</v>
      </c>
      <c r="M29" s="6">
        <v>2.6720000000000002</v>
      </c>
      <c r="N29" s="6">
        <v>2.5579999999999998</v>
      </c>
      <c r="O29" s="7">
        <v>45727</v>
      </c>
      <c r="P29">
        <v>2.6579999999999999</v>
      </c>
      <c r="Q29">
        <v>2.61</v>
      </c>
      <c r="R29">
        <v>2.62</v>
      </c>
      <c r="S29">
        <v>2.6629999999999998</v>
      </c>
      <c r="T29">
        <v>2.62</v>
      </c>
      <c r="U29" s="6">
        <v>2.641</v>
      </c>
      <c r="V29" s="6">
        <v>0</v>
      </c>
      <c r="W29">
        <v>0</v>
      </c>
      <c r="X29" s="7">
        <v>45727</v>
      </c>
      <c r="Y29">
        <v>2.6850000000000001</v>
      </c>
      <c r="Z29">
        <v>2.7029999999999998</v>
      </c>
      <c r="AA29">
        <v>2.6389999999999998</v>
      </c>
      <c r="AB29">
        <v>2.69</v>
      </c>
      <c r="AC29">
        <v>2.6859999999999999</v>
      </c>
      <c r="AD29" s="6">
        <v>2.6829999999999998</v>
      </c>
      <c r="AE29" s="6">
        <v>2.7170000000000001</v>
      </c>
      <c r="AF29">
        <v>2.8239999999999998</v>
      </c>
      <c r="AG29" s="7">
        <v>45727</v>
      </c>
      <c r="AH29">
        <v>2.839</v>
      </c>
      <c r="AI29">
        <v>2.8039999999999998</v>
      </c>
      <c r="AJ29">
        <v>2.819</v>
      </c>
      <c r="AK29">
        <v>2.802</v>
      </c>
      <c r="AL29">
        <v>2.7320000000000002</v>
      </c>
      <c r="AM29" s="6">
        <v>2.7170000000000001</v>
      </c>
      <c r="AN29" s="6">
        <v>2.7349999999999999</v>
      </c>
      <c r="AO29">
        <v>2.84</v>
      </c>
      <c r="AP29" s="7">
        <v>45727</v>
      </c>
      <c r="AQ29">
        <v>3.0609999999999999</v>
      </c>
      <c r="AR29">
        <v>3.0489999999999999</v>
      </c>
      <c r="AS29">
        <v>3.0070000000000001</v>
      </c>
      <c r="AT29">
        <v>3.0259999999999998</v>
      </c>
      <c r="AU29">
        <v>3.0619999999999998</v>
      </c>
      <c r="AV29" s="6">
        <v>3.1259999999999999</v>
      </c>
      <c r="AW29" s="6">
        <v>3.1829999999999998</v>
      </c>
      <c r="AX29">
        <v>3.2890000000000001</v>
      </c>
      <c r="AY29" s="7">
        <v>45727</v>
      </c>
      <c r="AZ29">
        <v>2.8660000000000001</v>
      </c>
      <c r="BA29">
        <v>2.8330000000000002</v>
      </c>
      <c r="BB29">
        <v>2.8029999999999999</v>
      </c>
      <c r="BC29">
        <v>2.8039999999999998</v>
      </c>
      <c r="BD29">
        <v>2.8</v>
      </c>
      <c r="BE29" s="6">
        <v>2.798</v>
      </c>
      <c r="BF29" s="6">
        <v>2.827</v>
      </c>
      <c r="BG29">
        <v>2.8740000000000001</v>
      </c>
      <c r="BH29" s="7">
        <v>45727</v>
      </c>
      <c r="BI29">
        <v>2.8109999999999999</v>
      </c>
      <c r="BJ29">
        <v>2.7509999999999999</v>
      </c>
      <c r="BK29">
        <v>2.738</v>
      </c>
      <c r="BL29">
        <v>2.726</v>
      </c>
      <c r="BM29">
        <v>2.7160000000000002</v>
      </c>
      <c r="BN29" s="6">
        <v>2.7080000000000002</v>
      </c>
      <c r="BO29" s="6">
        <v>2.7280000000000002</v>
      </c>
      <c r="BP29">
        <v>2.8370000000000002</v>
      </c>
      <c r="BQ29" s="7">
        <v>45727</v>
      </c>
      <c r="BR29">
        <v>3.1349999999999998</v>
      </c>
      <c r="BS29">
        <v>3.1280000000000001</v>
      </c>
      <c r="BT29">
        <v>3.1230000000000002</v>
      </c>
      <c r="BU29">
        <v>3.1560000000000001</v>
      </c>
      <c r="BV29">
        <v>3.1739999999999999</v>
      </c>
      <c r="BW29" s="6">
        <v>3.1850000000000001</v>
      </c>
      <c r="BX29" s="6">
        <v>3.21</v>
      </c>
      <c r="BY29">
        <v>3.2690000000000001</v>
      </c>
      <c r="BZ29" s="7">
        <v>45727</v>
      </c>
      <c r="CA29">
        <v>2.7669999999999999</v>
      </c>
      <c r="CB29">
        <v>2.7839999999999998</v>
      </c>
      <c r="CC29">
        <v>2.73</v>
      </c>
      <c r="CD29">
        <v>2.77</v>
      </c>
      <c r="CE29">
        <v>2.7749999999999999</v>
      </c>
      <c r="CF29" s="6">
        <v>2.8029999999999999</v>
      </c>
      <c r="CG29" s="6">
        <v>2.8279999999999998</v>
      </c>
      <c r="CH29">
        <v>2.88</v>
      </c>
      <c r="CJ29" s="6" t="s">
        <v>113</v>
      </c>
      <c r="CK29" s="6" t="s">
        <v>114</v>
      </c>
    </row>
    <row r="30" spans="1:94">
      <c r="B30" s="7">
        <v>45726</v>
      </c>
      <c r="C30">
        <v>2.621</v>
      </c>
      <c r="D30">
        <v>2.6059999999999999</v>
      </c>
      <c r="E30">
        <v>2.62</v>
      </c>
      <c r="F30">
        <v>2.694</v>
      </c>
      <c r="G30">
        <v>2.6720000000000002</v>
      </c>
      <c r="H30" s="6">
        <v>2.5950000000000002</v>
      </c>
      <c r="I30" s="6">
        <v>2.7210000000000001</v>
      </c>
      <c r="J30" s="6">
        <v>2.66</v>
      </c>
      <c r="K30" s="6">
        <v>2.8319999999999999</v>
      </c>
      <c r="L30" s="6">
        <v>2.8069999999999999</v>
      </c>
      <c r="M30" s="6">
        <v>2.7050000000000001</v>
      </c>
      <c r="N30" s="6">
        <v>2.597</v>
      </c>
      <c r="O30" s="7">
        <v>45726</v>
      </c>
      <c r="P30">
        <v>2.67</v>
      </c>
      <c r="Q30">
        <v>2.621</v>
      </c>
      <c r="R30">
        <v>2.6309999999999998</v>
      </c>
      <c r="S30">
        <v>2.68</v>
      </c>
      <c r="T30">
        <v>2.6589999999999998</v>
      </c>
      <c r="U30" s="6">
        <v>2.681</v>
      </c>
      <c r="V30" s="6">
        <v>0</v>
      </c>
      <c r="W30">
        <v>0</v>
      </c>
      <c r="X30" s="7">
        <v>45726</v>
      </c>
      <c r="Y30">
        <v>2.7</v>
      </c>
      <c r="Z30">
        <v>2.718</v>
      </c>
      <c r="AA30">
        <v>2.677</v>
      </c>
      <c r="AB30">
        <v>2.718</v>
      </c>
      <c r="AC30">
        <v>2.7149999999999999</v>
      </c>
      <c r="AD30" s="6">
        <v>2.7280000000000002</v>
      </c>
      <c r="AE30" s="6">
        <v>2.7589999999999999</v>
      </c>
      <c r="AF30">
        <v>2.8639999999999999</v>
      </c>
      <c r="AG30" s="7">
        <v>45726</v>
      </c>
      <c r="AH30">
        <v>2.8479999999999999</v>
      </c>
      <c r="AI30">
        <v>2.8130000000000002</v>
      </c>
      <c r="AJ30">
        <v>2.83</v>
      </c>
      <c r="AK30">
        <v>2.8149999999999999</v>
      </c>
      <c r="AL30">
        <v>2.7690000000000001</v>
      </c>
      <c r="AM30" s="6">
        <v>2.762</v>
      </c>
      <c r="AN30" s="6">
        <v>2.7759999999999998</v>
      </c>
      <c r="AO30">
        <v>2.875</v>
      </c>
      <c r="AP30" s="7">
        <v>45726</v>
      </c>
      <c r="AQ30">
        <v>3.073</v>
      </c>
      <c r="AR30">
        <v>3.056</v>
      </c>
      <c r="AS30">
        <v>3.0150000000000001</v>
      </c>
      <c r="AT30">
        <v>3.04</v>
      </c>
      <c r="AU30">
        <v>3.0960000000000001</v>
      </c>
      <c r="AV30" s="6">
        <v>3.1659999999999999</v>
      </c>
      <c r="AW30" s="6">
        <v>3.2229999999999999</v>
      </c>
      <c r="AX30">
        <v>3.3239999999999998</v>
      </c>
      <c r="AY30" s="7">
        <v>45726</v>
      </c>
      <c r="AZ30">
        <v>2.8759999999999999</v>
      </c>
      <c r="BA30">
        <v>2.8439999999999999</v>
      </c>
      <c r="BB30">
        <v>2.8119999999999998</v>
      </c>
      <c r="BC30">
        <v>2.819</v>
      </c>
      <c r="BD30">
        <v>2.827</v>
      </c>
      <c r="BE30" s="6">
        <v>2.8420000000000001</v>
      </c>
      <c r="BF30" s="6">
        <v>2.8660000000000001</v>
      </c>
      <c r="BG30">
        <v>2.9049999999999998</v>
      </c>
      <c r="BH30" s="7">
        <v>45726</v>
      </c>
      <c r="BI30">
        <v>2.8210000000000002</v>
      </c>
      <c r="BJ30">
        <v>2.762</v>
      </c>
      <c r="BK30">
        <v>2.7480000000000002</v>
      </c>
      <c r="BL30">
        <v>2.7410000000000001</v>
      </c>
      <c r="BM30">
        <v>2.7450000000000001</v>
      </c>
      <c r="BN30" s="6">
        <v>2.7519999999999998</v>
      </c>
      <c r="BO30" s="6">
        <v>2.77</v>
      </c>
      <c r="BP30">
        <v>2.87</v>
      </c>
      <c r="BQ30" s="7">
        <v>45726</v>
      </c>
      <c r="BR30">
        <v>3.145</v>
      </c>
      <c r="BS30">
        <v>3.1389999999999998</v>
      </c>
      <c r="BT30">
        <v>3.1320000000000001</v>
      </c>
      <c r="BU30">
        <v>3.1709999999999998</v>
      </c>
      <c r="BV30">
        <v>3.2029999999999998</v>
      </c>
      <c r="BW30" s="6">
        <v>3.2290000000000001</v>
      </c>
      <c r="BX30" s="6">
        <v>3.2509999999999999</v>
      </c>
      <c r="BY30">
        <v>3.302</v>
      </c>
      <c r="BZ30" s="7">
        <v>45726</v>
      </c>
      <c r="CA30">
        <v>2.782</v>
      </c>
      <c r="CB30">
        <v>2.7989999999999999</v>
      </c>
      <c r="CC30">
        <v>2.7690000000000001</v>
      </c>
      <c r="CD30">
        <v>2.798</v>
      </c>
      <c r="CE30">
        <v>2.8029999999999999</v>
      </c>
      <c r="CF30" s="6">
        <v>2.8479999999999999</v>
      </c>
      <c r="CG30" s="6">
        <v>2.8690000000000002</v>
      </c>
      <c r="CH30">
        <v>2.92</v>
      </c>
      <c r="CJ30" s="6" t="s">
        <v>115</v>
      </c>
      <c r="CK30" s="6" t="s">
        <v>116</v>
      </c>
    </row>
    <row r="31" spans="1:94">
      <c r="B31" s="7">
        <v>45723</v>
      </c>
      <c r="C31">
        <v>2.64</v>
      </c>
      <c r="D31">
        <v>2.621</v>
      </c>
      <c r="E31">
        <v>2.6150000000000002</v>
      </c>
      <c r="F31">
        <v>2.657</v>
      </c>
      <c r="G31">
        <v>2.6669999999999998</v>
      </c>
      <c r="H31" s="6">
        <v>2.5649999999999999</v>
      </c>
      <c r="I31" s="6">
        <v>2.6669999999999998</v>
      </c>
      <c r="J31" s="6">
        <v>2.673</v>
      </c>
      <c r="K31" s="6">
        <v>2.7930000000000001</v>
      </c>
      <c r="L31" s="6">
        <v>2.762</v>
      </c>
      <c r="M31" s="6">
        <v>2.6819999999999999</v>
      </c>
      <c r="N31" s="6">
        <v>2.5750000000000002</v>
      </c>
      <c r="O31" s="7">
        <v>45723</v>
      </c>
      <c r="P31">
        <v>2.6680000000000001</v>
      </c>
      <c r="Q31">
        <v>2.6179999999999999</v>
      </c>
      <c r="R31">
        <v>2.6240000000000001</v>
      </c>
      <c r="S31">
        <v>2.6629999999999998</v>
      </c>
      <c r="T31">
        <v>2.63</v>
      </c>
      <c r="U31" s="6">
        <v>2.6549999999999998</v>
      </c>
      <c r="V31" s="6">
        <v>0</v>
      </c>
      <c r="W31">
        <v>0</v>
      </c>
      <c r="X31" s="7">
        <v>45723</v>
      </c>
      <c r="Y31">
        <v>2.7</v>
      </c>
      <c r="Z31">
        <v>2.72</v>
      </c>
      <c r="AA31">
        <v>2.6779999999999999</v>
      </c>
      <c r="AB31">
        <v>2.6850000000000001</v>
      </c>
      <c r="AC31">
        <v>2.7029999999999998</v>
      </c>
      <c r="AD31" s="6">
        <v>2.6989999999999998</v>
      </c>
      <c r="AE31" s="6">
        <v>2.7170000000000001</v>
      </c>
      <c r="AF31">
        <v>2.8260000000000001</v>
      </c>
      <c r="AG31" s="7">
        <v>45723</v>
      </c>
      <c r="AH31">
        <v>2.847</v>
      </c>
      <c r="AI31">
        <v>2.8050000000000002</v>
      </c>
      <c r="AJ31">
        <v>2.8149999999999999</v>
      </c>
      <c r="AK31">
        <v>2.794</v>
      </c>
      <c r="AL31">
        <v>2.7389999999999999</v>
      </c>
      <c r="AM31" s="6">
        <v>2.7320000000000002</v>
      </c>
      <c r="AN31" s="6">
        <v>2.742</v>
      </c>
      <c r="AO31">
        <v>2.8460000000000001</v>
      </c>
      <c r="AP31" s="7">
        <v>45723</v>
      </c>
      <c r="AQ31">
        <v>3.073</v>
      </c>
      <c r="AR31">
        <v>3.0510000000000002</v>
      </c>
      <c r="AS31">
        <v>3.0049999999999999</v>
      </c>
      <c r="AT31">
        <v>3.024</v>
      </c>
      <c r="AU31">
        <v>3.07</v>
      </c>
      <c r="AV31" s="6">
        <v>3.1389999999999998</v>
      </c>
      <c r="AW31" s="6">
        <v>3.1880000000000002</v>
      </c>
      <c r="AX31">
        <v>3.2879999999999998</v>
      </c>
      <c r="AY31" s="7">
        <v>45723</v>
      </c>
      <c r="AZ31">
        <v>2.8780000000000001</v>
      </c>
      <c r="BA31">
        <v>2.843</v>
      </c>
      <c r="BB31">
        <v>2.8050000000000002</v>
      </c>
      <c r="BC31">
        <v>2.7989999999999999</v>
      </c>
      <c r="BD31">
        <v>2.798</v>
      </c>
      <c r="BE31" s="6">
        <v>2.81</v>
      </c>
      <c r="BF31" s="6">
        <v>2.831</v>
      </c>
      <c r="BG31">
        <v>2.871</v>
      </c>
      <c r="BH31" s="7">
        <v>45723</v>
      </c>
      <c r="BI31">
        <v>2.8220000000000001</v>
      </c>
      <c r="BJ31">
        <v>2.7610000000000001</v>
      </c>
      <c r="BK31">
        <v>2.7410000000000001</v>
      </c>
      <c r="BL31">
        <v>2.7229999999999999</v>
      </c>
      <c r="BM31">
        <v>2.7149999999999999</v>
      </c>
      <c r="BN31" s="6">
        <v>2.722</v>
      </c>
      <c r="BO31" s="6">
        <v>2.7349999999999999</v>
      </c>
      <c r="BP31">
        <v>2.8410000000000002</v>
      </c>
      <c r="BQ31" s="7">
        <v>45723</v>
      </c>
      <c r="BR31">
        <v>3.1459999999999999</v>
      </c>
      <c r="BS31">
        <v>3.1379999999999999</v>
      </c>
      <c r="BT31">
        <v>3.125</v>
      </c>
      <c r="BU31">
        <v>3.1520000000000001</v>
      </c>
      <c r="BV31">
        <v>3.173</v>
      </c>
      <c r="BW31" s="6">
        <v>3.1970000000000001</v>
      </c>
      <c r="BX31" s="6">
        <v>3.2170000000000001</v>
      </c>
      <c r="BY31">
        <v>3.2679999999999998</v>
      </c>
      <c r="BZ31" s="7">
        <v>45723</v>
      </c>
      <c r="CA31">
        <v>2.782</v>
      </c>
      <c r="CB31">
        <v>2.8029999999999999</v>
      </c>
      <c r="CC31">
        <v>2.7709999999999999</v>
      </c>
      <c r="CD31">
        <v>2.7709999999999999</v>
      </c>
      <c r="CE31">
        <v>2.7970000000000002</v>
      </c>
      <c r="CF31" s="6">
        <v>2.819</v>
      </c>
      <c r="CG31" s="6">
        <v>2.8279999999999998</v>
      </c>
      <c r="CH31">
        <v>2.8820000000000001</v>
      </c>
      <c r="CJ31" s="6" t="s">
        <v>117</v>
      </c>
      <c r="CK31" s="6" t="s">
        <v>118</v>
      </c>
    </row>
    <row r="32" spans="1:94">
      <c r="B32" s="7">
        <v>45722</v>
      </c>
      <c r="C32">
        <v>2.6480000000000001</v>
      </c>
      <c r="D32">
        <v>2.6280000000000001</v>
      </c>
      <c r="E32">
        <v>2.62</v>
      </c>
      <c r="F32">
        <v>2.6709999999999998</v>
      </c>
      <c r="G32">
        <v>2.6960000000000002</v>
      </c>
      <c r="H32" s="6">
        <v>2.5950000000000002</v>
      </c>
      <c r="I32" s="6">
        <v>2.7010000000000001</v>
      </c>
      <c r="J32" s="6">
        <v>2.7109999999999999</v>
      </c>
      <c r="K32" s="6">
        <v>2.8330000000000002</v>
      </c>
      <c r="L32" s="6">
        <v>2.8050000000000002</v>
      </c>
      <c r="M32" s="6">
        <v>2.7250000000000001</v>
      </c>
      <c r="N32" s="6">
        <v>2.6120000000000001</v>
      </c>
      <c r="O32" s="7">
        <v>45722</v>
      </c>
      <c r="P32">
        <v>2.67</v>
      </c>
      <c r="Q32">
        <v>2.62</v>
      </c>
      <c r="R32">
        <v>2.6280000000000001</v>
      </c>
      <c r="S32">
        <v>2.6739999999999999</v>
      </c>
      <c r="T32">
        <v>2.6659999999999999</v>
      </c>
      <c r="U32" s="6">
        <v>2.6850000000000001</v>
      </c>
      <c r="V32" s="6">
        <v>0</v>
      </c>
      <c r="W32">
        <v>0</v>
      </c>
      <c r="X32" s="7">
        <v>45722</v>
      </c>
      <c r="Y32">
        <v>2.7080000000000002</v>
      </c>
      <c r="Z32">
        <v>2.7280000000000002</v>
      </c>
      <c r="AA32">
        <v>2.6920000000000002</v>
      </c>
      <c r="AB32">
        <v>2.6989999999999998</v>
      </c>
      <c r="AC32">
        <v>2.734</v>
      </c>
      <c r="AD32" s="6">
        <v>2.7290000000000001</v>
      </c>
      <c r="AE32" s="6">
        <v>2.7480000000000002</v>
      </c>
      <c r="AF32">
        <v>2.8620000000000001</v>
      </c>
      <c r="AG32" s="7">
        <v>45722</v>
      </c>
      <c r="AH32">
        <v>2.847</v>
      </c>
      <c r="AI32">
        <v>2.8050000000000002</v>
      </c>
      <c r="AJ32">
        <v>2.8170000000000002</v>
      </c>
      <c r="AK32">
        <v>2.8029999999999999</v>
      </c>
      <c r="AL32">
        <v>2.7690000000000001</v>
      </c>
      <c r="AM32" s="6">
        <v>2.7610000000000001</v>
      </c>
      <c r="AN32" s="6">
        <v>2.7749999999999999</v>
      </c>
      <c r="AO32">
        <v>2.8809999999999998</v>
      </c>
      <c r="AP32" s="7">
        <v>45722</v>
      </c>
      <c r="AQ32">
        <v>3.0760000000000001</v>
      </c>
      <c r="AR32">
        <v>3.0529999999999999</v>
      </c>
      <c r="AS32">
        <v>3.0070000000000001</v>
      </c>
      <c r="AT32">
        <v>3.0329999999999999</v>
      </c>
      <c r="AU32">
        <v>3.1</v>
      </c>
      <c r="AV32" s="6">
        <v>3.169</v>
      </c>
      <c r="AW32" s="6">
        <v>3.222</v>
      </c>
      <c r="AX32">
        <v>3.3260000000000001</v>
      </c>
      <c r="AY32" s="7">
        <v>45722</v>
      </c>
      <c r="AZ32">
        <v>2.8740000000000001</v>
      </c>
      <c r="BA32">
        <v>2.839</v>
      </c>
      <c r="BB32">
        <v>2.806</v>
      </c>
      <c r="BC32">
        <v>2.8039999999999998</v>
      </c>
      <c r="BD32">
        <v>2.8279999999999998</v>
      </c>
      <c r="BE32" s="6">
        <v>2.8359999999999999</v>
      </c>
      <c r="BF32" s="6">
        <v>2.863</v>
      </c>
      <c r="BG32">
        <v>2.9079999999999999</v>
      </c>
      <c r="BH32" s="7">
        <v>45722</v>
      </c>
      <c r="BI32">
        <v>2.8180000000000001</v>
      </c>
      <c r="BJ32">
        <v>2.758</v>
      </c>
      <c r="BK32">
        <v>2.7429999999999999</v>
      </c>
      <c r="BL32">
        <v>2.73</v>
      </c>
      <c r="BM32">
        <v>2.7450000000000001</v>
      </c>
      <c r="BN32" s="6">
        <v>2.7469999999999999</v>
      </c>
      <c r="BO32" s="6">
        <v>2.7669999999999999</v>
      </c>
      <c r="BP32">
        <v>2.8780000000000001</v>
      </c>
      <c r="BQ32" s="7">
        <v>45722</v>
      </c>
      <c r="BR32">
        <v>3.1419999999999999</v>
      </c>
      <c r="BS32">
        <v>3.1339999999999999</v>
      </c>
      <c r="BT32">
        <v>3.1259999999999999</v>
      </c>
      <c r="BU32">
        <v>3.1560000000000001</v>
      </c>
      <c r="BV32">
        <v>3.2029999999999998</v>
      </c>
      <c r="BW32" s="6">
        <v>3.2229999999999999</v>
      </c>
      <c r="BX32" s="6">
        <v>3.2480000000000002</v>
      </c>
      <c r="BY32">
        <v>3.3050000000000002</v>
      </c>
      <c r="BZ32" s="7">
        <v>45722</v>
      </c>
      <c r="CA32">
        <v>2.79</v>
      </c>
      <c r="CB32">
        <v>2.8109999999999999</v>
      </c>
      <c r="CC32">
        <v>2.7850000000000001</v>
      </c>
      <c r="CD32">
        <v>2.7879999999999998</v>
      </c>
      <c r="CE32">
        <v>2.8279999999999998</v>
      </c>
      <c r="CF32" s="6">
        <v>2.8490000000000002</v>
      </c>
      <c r="CG32" s="6">
        <v>2.859</v>
      </c>
      <c r="CH32">
        <v>2.9180000000000001</v>
      </c>
      <c r="CJ32" s="6" t="s">
        <v>119</v>
      </c>
      <c r="CK32" s="6" t="s">
        <v>120</v>
      </c>
    </row>
    <row r="33" spans="2:89">
      <c r="B33" s="7">
        <v>45721</v>
      </c>
      <c r="C33">
        <v>2.6579999999999999</v>
      </c>
      <c r="D33">
        <v>2.629</v>
      </c>
      <c r="E33">
        <v>2.6150000000000002</v>
      </c>
      <c r="F33">
        <v>2.661</v>
      </c>
      <c r="G33">
        <v>2.6779999999999999</v>
      </c>
      <c r="H33" s="6">
        <v>2.5739999999999998</v>
      </c>
      <c r="I33" s="6">
        <v>2.68</v>
      </c>
      <c r="J33" s="6">
        <v>2.6840000000000002</v>
      </c>
      <c r="K33" s="6">
        <v>2.8039999999999998</v>
      </c>
      <c r="L33" s="6">
        <v>2.7749999999999999</v>
      </c>
      <c r="M33" s="6">
        <v>2.7029999999999998</v>
      </c>
      <c r="N33" s="6">
        <v>2.6070000000000002</v>
      </c>
      <c r="O33" s="7">
        <v>45721</v>
      </c>
      <c r="P33">
        <v>2.67</v>
      </c>
      <c r="Q33">
        <v>2.6230000000000002</v>
      </c>
      <c r="R33">
        <v>2.6360000000000001</v>
      </c>
      <c r="S33">
        <v>2.6720000000000002</v>
      </c>
      <c r="T33">
        <v>2.6549999999999998</v>
      </c>
      <c r="U33" s="6">
        <v>2.6669999999999998</v>
      </c>
      <c r="V33" s="6">
        <v>0</v>
      </c>
      <c r="W33">
        <v>0</v>
      </c>
      <c r="X33" s="7">
        <v>45721</v>
      </c>
      <c r="Y33">
        <v>2.718</v>
      </c>
      <c r="Z33">
        <v>2.7290000000000001</v>
      </c>
      <c r="AA33">
        <v>2.6859999999999999</v>
      </c>
      <c r="AB33">
        <v>2.6859999999999999</v>
      </c>
      <c r="AC33">
        <v>2.7149999999999999</v>
      </c>
      <c r="AD33" s="6">
        <v>2.7080000000000002</v>
      </c>
      <c r="AE33" s="6">
        <v>2.7269999999999999</v>
      </c>
      <c r="AF33">
        <v>2.8420000000000001</v>
      </c>
      <c r="AG33" s="7">
        <v>45721</v>
      </c>
      <c r="AH33">
        <v>2.8479999999999999</v>
      </c>
      <c r="AI33">
        <v>2.8029999999999999</v>
      </c>
      <c r="AJ33">
        <v>2.8159999999999998</v>
      </c>
      <c r="AK33">
        <v>2.794</v>
      </c>
      <c r="AL33">
        <v>2.7519999999999998</v>
      </c>
      <c r="AM33" s="6">
        <v>2.74</v>
      </c>
      <c r="AN33" s="6">
        <v>2.754</v>
      </c>
      <c r="AO33">
        <v>2.8540000000000001</v>
      </c>
      <c r="AP33" s="7">
        <v>45721</v>
      </c>
      <c r="AQ33">
        <v>3.08</v>
      </c>
      <c r="AR33">
        <v>3.0539999999999998</v>
      </c>
      <c r="AS33">
        <v>3.0110000000000001</v>
      </c>
      <c r="AT33">
        <v>3.0270000000000001</v>
      </c>
      <c r="AU33">
        <v>3.089</v>
      </c>
      <c r="AV33" s="6">
        <v>3.1509999999999998</v>
      </c>
      <c r="AW33" s="6">
        <v>3.2029999999999998</v>
      </c>
      <c r="AX33">
        <v>3.302</v>
      </c>
      <c r="AY33" s="7">
        <v>45721</v>
      </c>
      <c r="AZ33">
        <v>2.879</v>
      </c>
      <c r="BA33">
        <v>2.8359999999999999</v>
      </c>
      <c r="BB33">
        <v>2.8039999999999998</v>
      </c>
      <c r="BC33">
        <v>2.7970000000000002</v>
      </c>
      <c r="BD33">
        <v>2.8130000000000002</v>
      </c>
      <c r="BE33" s="6">
        <v>2.8130000000000002</v>
      </c>
      <c r="BF33" s="6">
        <v>2.8420000000000001</v>
      </c>
      <c r="BG33">
        <v>2.883</v>
      </c>
      <c r="BH33" s="7">
        <v>45721</v>
      </c>
      <c r="BI33">
        <v>2.823</v>
      </c>
      <c r="BJ33">
        <v>2.7570000000000001</v>
      </c>
      <c r="BK33">
        <v>2.7429999999999999</v>
      </c>
      <c r="BL33">
        <v>2.7240000000000002</v>
      </c>
      <c r="BM33">
        <v>2.7309999999999999</v>
      </c>
      <c r="BN33" s="6">
        <v>2.7250000000000001</v>
      </c>
      <c r="BO33" s="6">
        <v>2.746</v>
      </c>
      <c r="BP33">
        <v>2.8530000000000002</v>
      </c>
      <c r="BQ33" s="7">
        <v>45721</v>
      </c>
      <c r="BR33">
        <v>3.1469999999999998</v>
      </c>
      <c r="BS33">
        <v>3.133</v>
      </c>
      <c r="BT33">
        <v>3.125</v>
      </c>
      <c r="BU33">
        <v>3.15</v>
      </c>
      <c r="BV33">
        <v>3.1880000000000002</v>
      </c>
      <c r="BW33" s="6">
        <v>3.2</v>
      </c>
      <c r="BX33" s="6">
        <v>3.2280000000000002</v>
      </c>
      <c r="BY33">
        <v>3.28</v>
      </c>
      <c r="BZ33" s="7">
        <v>45721</v>
      </c>
      <c r="CA33">
        <v>2.8</v>
      </c>
      <c r="CB33">
        <v>2.8119999999999998</v>
      </c>
      <c r="CC33">
        <v>2.7789999999999999</v>
      </c>
      <c r="CD33">
        <v>2.7749999999999999</v>
      </c>
      <c r="CE33">
        <v>2.8090000000000002</v>
      </c>
      <c r="CF33" s="6">
        <v>2.8279999999999998</v>
      </c>
      <c r="CG33" s="6">
        <v>2.8380000000000001</v>
      </c>
      <c r="CH33">
        <v>2.8980000000000001</v>
      </c>
      <c r="CJ33" s="6" t="s">
        <v>121</v>
      </c>
      <c r="CK33" s="6" t="s">
        <v>122</v>
      </c>
    </row>
    <row r="34" spans="2:89">
      <c r="B34" s="7">
        <v>45720</v>
      </c>
      <c r="C34">
        <v>2.6560000000000001</v>
      </c>
      <c r="D34">
        <v>2.621</v>
      </c>
      <c r="E34">
        <v>2.6030000000000002</v>
      </c>
      <c r="F34">
        <v>2.637</v>
      </c>
      <c r="G34">
        <v>2.6480000000000001</v>
      </c>
      <c r="H34" s="6">
        <v>2.5419999999999998</v>
      </c>
      <c r="I34" s="6">
        <v>2.64</v>
      </c>
      <c r="J34" s="6">
        <v>2.6349999999999998</v>
      </c>
      <c r="K34" s="6">
        <v>2.7530000000000001</v>
      </c>
      <c r="L34" s="6">
        <v>2.7069999999999999</v>
      </c>
      <c r="M34" s="6">
        <v>2.653</v>
      </c>
      <c r="N34" s="6">
        <v>2.5590000000000002</v>
      </c>
      <c r="O34" s="7">
        <v>45720</v>
      </c>
      <c r="P34">
        <v>2.67</v>
      </c>
      <c r="Q34">
        <v>2.617</v>
      </c>
      <c r="R34">
        <v>2.6280000000000001</v>
      </c>
      <c r="S34">
        <v>2.653</v>
      </c>
      <c r="T34">
        <v>2.6259999999999999</v>
      </c>
      <c r="U34" s="6">
        <v>2.6349999999999998</v>
      </c>
      <c r="V34" s="6">
        <v>0</v>
      </c>
      <c r="W34">
        <v>0</v>
      </c>
      <c r="X34" s="7">
        <v>45720</v>
      </c>
      <c r="Y34">
        <v>2.7170000000000001</v>
      </c>
      <c r="Z34">
        <v>2.722</v>
      </c>
      <c r="AA34">
        <v>2.6749999999999998</v>
      </c>
      <c r="AB34">
        <v>2.665</v>
      </c>
      <c r="AC34">
        <v>2.6859999999999999</v>
      </c>
      <c r="AD34" s="6">
        <v>2.6760000000000002</v>
      </c>
      <c r="AE34" s="6">
        <v>2.69</v>
      </c>
      <c r="AF34">
        <v>2.7930000000000001</v>
      </c>
      <c r="AG34" s="7">
        <v>45720</v>
      </c>
      <c r="AH34">
        <v>2.85</v>
      </c>
      <c r="AI34">
        <v>2.7970000000000002</v>
      </c>
      <c r="AJ34">
        <v>2.8090000000000002</v>
      </c>
      <c r="AK34">
        <v>2.774</v>
      </c>
      <c r="AL34">
        <v>2.7229999999999999</v>
      </c>
      <c r="AM34" s="6">
        <v>2.7069999999999999</v>
      </c>
      <c r="AN34" s="6">
        <v>2.7149999999999999</v>
      </c>
      <c r="AO34">
        <v>2.8050000000000002</v>
      </c>
      <c r="AP34" s="7">
        <v>45720</v>
      </c>
      <c r="AQ34">
        <v>3.0859999999999999</v>
      </c>
      <c r="AR34">
        <v>3.0569999999999999</v>
      </c>
      <c r="AS34">
        <v>3.0110000000000001</v>
      </c>
      <c r="AT34">
        <v>3.0110000000000001</v>
      </c>
      <c r="AU34">
        <v>3.0640000000000001</v>
      </c>
      <c r="AV34" s="6">
        <v>3.1230000000000002</v>
      </c>
      <c r="AW34" s="6">
        <v>3.1659999999999999</v>
      </c>
      <c r="AX34">
        <v>3.258</v>
      </c>
      <c r="AY34" s="7">
        <v>45720</v>
      </c>
      <c r="AZ34">
        <v>2.8839999999999999</v>
      </c>
      <c r="BA34">
        <v>2.831</v>
      </c>
      <c r="BB34">
        <v>2.794</v>
      </c>
      <c r="BC34">
        <v>2.7770000000000001</v>
      </c>
      <c r="BD34">
        <v>2.7839999999999998</v>
      </c>
      <c r="BE34" s="6">
        <v>2.78</v>
      </c>
      <c r="BF34" s="6">
        <v>2.802</v>
      </c>
      <c r="BG34">
        <v>2.8340000000000001</v>
      </c>
      <c r="BH34" s="7">
        <v>45720</v>
      </c>
      <c r="BI34">
        <v>2.8279999999999998</v>
      </c>
      <c r="BJ34">
        <v>2.7519999999999998</v>
      </c>
      <c r="BK34">
        <v>2.7330000000000001</v>
      </c>
      <c r="BL34">
        <v>2.7050000000000001</v>
      </c>
      <c r="BM34">
        <v>2.702</v>
      </c>
      <c r="BN34" s="6">
        <v>2.6920000000000002</v>
      </c>
      <c r="BO34" s="6">
        <v>2.706</v>
      </c>
      <c r="BP34">
        <v>2.8039999999999998</v>
      </c>
      <c r="BQ34" s="7">
        <v>45720</v>
      </c>
      <c r="BR34">
        <v>3.1520000000000001</v>
      </c>
      <c r="BS34">
        <v>3.1280000000000001</v>
      </c>
      <c r="BT34">
        <v>3.1150000000000002</v>
      </c>
      <c r="BU34">
        <v>3.1309999999999998</v>
      </c>
      <c r="BV34">
        <v>3.16</v>
      </c>
      <c r="BW34" s="6">
        <v>3.1669999999999998</v>
      </c>
      <c r="BX34" s="6">
        <v>3.1880000000000002</v>
      </c>
      <c r="BY34">
        <v>3.2309999999999999</v>
      </c>
      <c r="BZ34" s="7">
        <v>45720</v>
      </c>
      <c r="CA34">
        <v>2.798</v>
      </c>
      <c r="CB34">
        <v>2.8039999999999998</v>
      </c>
      <c r="CC34">
        <v>2.7679999999999998</v>
      </c>
      <c r="CD34">
        <v>2.754</v>
      </c>
      <c r="CE34">
        <v>2.7789999999999999</v>
      </c>
      <c r="CF34" s="6">
        <v>2.7959999999999998</v>
      </c>
      <c r="CG34" s="6">
        <v>2.8</v>
      </c>
      <c r="CH34">
        <v>2.8490000000000002</v>
      </c>
      <c r="CJ34" s="6" t="s">
        <v>123</v>
      </c>
      <c r="CK34" s="6" t="s">
        <v>124</v>
      </c>
    </row>
    <row r="35" spans="2:89">
      <c r="B35" s="7">
        <v>45716</v>
      </c>
      <c r="C35">
        <v>2.6579999999999999</v>
      </c>
      <c r="D35">
        <v>2.621</v>
      </c>
      <c r="E35">
        <v>2.6059999999999999</v>
      </c>
      <c r="F35">
        <v>2.6419999999999999</v>
      </c>
      <c r="G35">
        <v>2.65</v>
      </c>
      <c r="H35" s="6">
        <v>2.56</v>
      </c>
      <c r="I35" s="6">
        <v>2.6459999999999999</v>
      </c>
      <c r="J35" s="6">
        <v>2.6339999999999999</v>
      </c>
      <c r="K35" s="6">
        <v>2.7490000000000001</v>
      </c>
      <c r="L35" s="6">
        <v>2.7</v>
      </c>
      <c r="M35" s="6">
        <v>2.64</v>
      </c>
      <c r="N35" s="6">
        <v>2.5419999999999998</v>
      </c>
      <c r="O35" s="7">
        <v>45716</v>
      </c>
      <c r="P35">
        <v>2.6749999999999998</v>
      </c>
      <c r="Q35">
        <v>2.617</v>
      </c>
      <c r="R35">
        <v>2.6309999999999998</v>
      </c>
      <c r="S35">
        <v>2.6539999999999999</v>
      </c>
      <c r="T35">
        <v>2.625</v>
      </c>
      <c r="U35" s="6">
        <v>2.6320000000000001</v>
      </c>
      <c r="V35" s="6">
        <v>0</v>
      </c>
      <c r="W35">
        <v>0</v>
      </c>
      <c r="X35" s="7">
        <v>45716</v>
      </c>
      <c r="Y35">
        <v>2.718</v>
      </c>
      <c r="Z35">
        <v>2.722</v>
      </c>
      <c r="AA35">
        <v>2.6779999999999999</v>
      </c>
      <c r="AB35">
        <v>2.6720000000000002</v>
      </c>
      <c r="AC35">
        <v>2.69</v>
      </c>
      <c r="AD35" s="6">
        <v>2.6909999999999998</v>
      </c>
      <c r="AE35" s="6">
        <v>2.6960000000000002</v>
      </c>
      <c r="AF35">
        <v>2.81</v>
      </c>
      <c r="AG35" s="7">
        <v>45716</v>
      </c>
      <c r="AH35">
        <v>2.8530000000000002</v>
      </c>
      <c r="AI35">
        <v>2.7949999999999999</v>
      </c>
      <c r="AJ35">
        <v>2.8109999999999999</v>
      </c>
      <c r="AK35">
        <v>2.7759999999999998</v>
      </c>
      <c r="AL35">
        <v>2.722</v>
      </c>
      <c r="AM35" s="6">
        <v>2.7240000000000002</v>
      </c>
      <c r="AN35" s="6">
        <v>2.7210000000000001</v>
      </c>
      <c r="AO35">
        <v>2.806</v>
      </c>
      <c r="AP35" s="7">
        <v>45716</v>
      </c>
      <c r="AQ35">
        <v>3.0960000000000001</v>
      </c>
      <c r="AR35">
        <v>3.0630000000000002</v>
      </c>
      <c r="AS35">
        <v>3.0169999999999999</v>
      </c>
      <c r="AT35">
        <v>3.0169999999999999</v>
      </c>
      <c r="AU35">
        <v>3.069</v>
      </c>
      <c r="AV35" s="6">
        <v>3.1389999999999998</v>
      </c>
      <c r="AW35" s="6">
        <v>3.1709999999999998</v>
      </c>
      <c r="AX35">
        <v>3.2559999999999998</v>
      </c>
      <c r="AY35" s="7">
        <v>45716</v>
      </c>
      <c r="AZ35">
        <v>2.891</v>
      </c>
      <c r="BA35">
        <v>2.831</v>
      </c>
      <c r="BB35">
        <v>2.7959999999999998</v>
      </c>
      <c r="BC35">
        <v>2.7810000000000001</v>
      </c>
      <c r="BD35">
        <v>2.7850000000000001</v>
      </c>
      <c r="BE35" s="6">
        <v>2.7970000000000002</v>
      </c>
      <c r="BF35" s="6">
        <v>2.8090000000000002</v>
      </c>
      <c r="BG35">
        <v>2.8330000000000002</v>
      </c>
      <c r="BH35" s="7">
        <v>45716</v>
      </c>
      <c r="BI35">
        <v>2.8330000000000002</v>
      </c>
      <c r="BJ35">
        <v>2.7519999999999998</v>
      </c>
      <c r="BK35">
        <v>2.7349999999999999</v>
      </c>
      <c r="BL35">
        <v>2.7080000000000002</v>
      </c>
      <c r="BM35">
        <v>2.7029999999999998</v>
      </c>
      <c r="BN35" s="6">
        <v>2.7080000000000002</v>
      </c>
      <c r="BO35" s="6">
        <v>2.7130000000000001</v>
      </c>
      <c r="BP35">
        <v>2.8050000000000002</v>
      </c>
      <c r="BQ35" s="7">
        <v>45716</v>
      </c>
      <c r="BR35">
        <v>3.157</v>
      </c>
      <c r="BS35">
        <v>3.1280000000000001</v>
      </c>
      <c r="BT35">
        <v>3.1160000000000001</v>
      </c>
      <c r="BU35">
        <v>3.1339999999999999</v>
      </c>
      <c r="BV35">
        <v>3.161</v>
      </c>
      <c r="BW35" s="6">
        <v>3.1829999999999998</v>
      </c>
      <c r="BX35" s="6">
        <v>3.194</v>
      </c>
      <c r="BY35">
        <v>3.23</v>
      </c>
      <c r="BZ35" s="7">
        <v>45716</v>
      </c>
      <c r="CA35">
        <v>2.8</v>
      </c>
      <c r="CB35">
        <v>2.8039999999999998</v>
      </c>
      <c r="CC35">
        <v>2.7709999999999999</v>
      </c>
      <c r="CD35">
        <v>2.762</v>
      </c>
      <c r="CE35">
        <v>2.7839999999999998</v>
      </c>
      <c r="CF35" s="6">
        <v>2.8109999999999999</v>
      </c>
      <c r="CG35" s="6">
        <v>2.8069999999999999</v>
      </c>
      <c r="CH35">
        <v>2.8660000000000001</v>
      </c>
      <c r="CJ35" s="6" t="s">
        <v>125</v>
      </c>
      <c r="CK35" s="6" t="s">
        <v>126</v>
      </c>
    </row>
    <row r="36" spans="2:89">
      <c r="B36" s="7">
        <v>45715</v>
      </c>
      <c r="C36">
        <v>2.6659999999999999</v>
      </c>
      <c r="D36">
        <v>2.621</v>
      </c>
      <c r="E36">
        <v>2.613</v>
      </c>
      <c r="F36">
        <v>2.65</v>
      </c>
      <c r="G36">
        <v>2.665</v>
      </c>
      <c r="H36" s="6">
        <v>2.5920000000000001</v>
      </c>
      <c r="I36" s="6">
        <v>2.6850000000000001</v>
      </c>
      <c r="J36" s="6">
        <v>2.68</v>
      </c>
      <c r="K36" s="6">
        <v>2.794</v>
      </c>
      <c r="L36" s="6">
        <v>2.75</v>
      </c>
      <c r="M36" s="6">
        <v>2.69</v>
      </c>
      <c r="N36" s="6">
        <v>2.585</v>
      </c>
      <c r="O36" s="7">
        <v>45715</v>
      </c>
      <c r="P36">
        <v>2.6749999999999998</v>
      </c>
      <c r="Q36">
        <v>2.617</v>
      </c>
      <c r="R36">
        <v>2.6309999999999998</v>
      </c>
      <c r="S36">
        <v>2.6680000000000001</v>
      </c>
      <c r="T36">
        <v>2.6419999999999999</v>
      </c>
      <c r="U36" s="6">
        <v>2.6629999999999998</v>
      </c>
      <c r="V36" s="6">
        <v>0</v>
      </c>
      <c r="W36">
        <v>0</v>
      </c>
      <c r="X36" s="7">
        <v>45715</v>
      </c>
      <c r="Y36">
        <v>2.7269999999999999</v>
      </c>
      <c r="Z36">
        <v>2.722</v>
      </c>
      <c r="AA36">
        <v>2.6850000000000001</v>
      </c>
      <c r="AB36">
        <v>2.681</v>
      </c>
      <c r="AC36">
        <v>2.7040000000000002</v>
      </c>
      <c r="AD36" s="6">
        <v>2.7250000000000001</v>
      </c>
      <c r="AE36" s="6">
        <v>2.7360000000000002</v>
      </c>
      <c r="AF36">
        <v>2.8450000000000002</v>
      </c>
      <c r="AG36" s="7">
        <v>45715</v>
      </c>
      <c r="AH36">
        <v>2.851</v>
      </c>
      <c r="AI36">
        <v>2.7930000000000001</v>
      </c>
      <c r="AJ36">
        <v>2.81</v>
      </c>
      <c r="AK36">
        <v>2.78</v>
      </c>
      <c r="AL36">
        <v>2.738</v>
      </c>
      <c r="AM36" s="6">
        <v>2.7549999999999999</v>
      </c>
      <c r="AN36" s="6">
        <v>2.76</v>
      </c>
      <c r="AO36">
        <v>2.8439999999999999</v>
      </c>
      <c r="AP36" s="7">
        <v>45715</v>
      </c>
      <c r="AQ36">
        <v>3.0960000000000001</v>
      </c>
      <c r="AR36">
        <v>3.06</v>
      </c>
      <c r="AS36">
        <v>3.012</v>
      </c>
      <c r="AT36">
        <v>3.028</v>
      </c>
      <c r="AU36">
        <v>3.0859999999999999</v>
      </c>
      <c r="AV36" s="6">
        <v>3.1739999999999999</v>
      </c>
      <c r="AW36" s="6">
        <v>3.2109999999999999</v>
      </c>
      <c r="AX36">
        <v>3.302</v>
      </c>
      <c r="AY36" s="7">
        <v>45715</v>
      </c>
      <c r="AZ36">
        <v>2.891</v>
      </c>
      <c r="BA36">
        <v>2.83</v>
      </c>
      <c r="BB36">
        <v>2.8010000000000002</v>
      </c>
      <c r="BC36">
        <v>2.8010000000000002</v>
      </c>
      <c r="BD36">
        <v>2.8090000000000002</v>
      </c>
      <c r="BE36" s="6">
        <v>2.83</v>
      </c>
      <c r="BF36" s="6">
        <v>2.8460000000000001</v>
      </c>
      <c r="BG36">
        <v>2.8759999999999999</v>
      </c>
      <c r="BH36" s="7">
        <v>45715</v>
      </c>
      <c r="BI36">
        <v>2.8330000000000002</v>
      </c>
      <c r="BJ36">
        <v>2.7509999999999999</v>
      </c>
      <c r="BK36">
        <v>2.74</v>
      </c>
      <c r="BL36">
        <v>2.7290000000000001</v>
      </c>
      <c r="BM36">
        <v>2.7269999999999999</v>
      </c>
      <c r="BN36" s="6">
        <v>2.74</v>
      </c>
      <c r="BO36" s="6">
        <v>2.7490000000000001</v>
      </c>
      <c r="BP36">
        <v>2.8420000000000001</v>
      </c>
      <c r="BQ36" s="7">
        <v>45715</v>
      </c>
      <c r="BR36">
        <v>3.1579999999999999</v>
      </c>
      <c r="BS36">
        <v>3.1269999999999998</v>
      </c>
      <c r="BT36">
        <v>3.12</v>
      </c>
      <c r="BU36">
        <v>3.1549999999999998</v>
      </c>
      <c r="BV36">
        <v>3.1840000000000002</v>
      </c>
      <c r="BW36" s="6">
        <v>3.2149999999999999</v>
      </c>
      <c r="BX36" s="6">
        <v>3.23</v>
      </c>
      <c r="BY36">
        <v>3.2730000000000001</v>
      </c>
      <c r="BZ36" s="7">
        <v>45715</v>
      </c>
      <c r="CA36">
        <v>2.8079999999999998</v>
      </c>
      <c r="CB36">
        <v>2.8039999999999998</v>
      </c>
      <c r="CC36">
        <v>2.778</v>
      </c>
      <c r="CD36">
        <v>2.77</v>
      </c>
      <c r="CE36">
        <v>2.798</v>
      </c>
      <c r="CF36" s="6">
        <v>2.8439999999999999</v>
      </c>
      <c r="CG36" s="6">
        <v>2.847</v>
      </c>
      <c r="CH36">
        <v>2.9009999999999998</v>
      </c>
      <c r="CJ36" s="6" t="s">
        <v>127</v>
      </c>
      <c r="CK36" s="6" t="s">
        <v>128</v>
      </c>
    </row>
    <row r="37" spans="2:89">
      <c r="B37" s="7">
        <v>45714</v>
      </c>
      <c r="C37">
        <v>2.6429999999999998</v>
      </c>
      <c r="D37">
        <v>2.6160000000000001</v>
      </c>
      <c r="E37">
        <v>2.6110000000000002</v>
      </c>
      <c r="F37">
        <v>2.645</v>
      </c>
      <c r="G37">
        <v>2.6549999999999998</v>
      </c>
      <c r="H37" s="6">
        <v>2.5950000000000002</v>
      </c>
      <c r="I37" s="6">
        <v>2.6850000000000001</v>
      </c>
      <c r="J37" s="6">
        <v>2.68</v>
      </c>
      <c r="K37" s="6">
        <v>2.794</v>
      </c>
      <c r="L37" s="6">
        <v>2.7530000000000001</v>
      </c>
      <c r="M37" s="6">
        <v>2.6949999999999998</v>
      </c>
      <c r="N37" s="6">
        <v>2.5950000000000002</v>
      </c>
      <c r="O37" s="7">
        <v>45714</v>
      </c>
      <c r="P37">
        <v>2.6749999999999998</v>
      </c>
      <c r="Q37">
        <v>2.6150000000000002</v>
      </c>
      <c r="R37">
        <v>2.6259999999999999</v>
      </c>
      <c r="S37">
        <v>2.6560000000000001</v>
      </c>
      <c r="T37">
        <v>2.64</v>
      </c>
      <c r="U37" s="6">
        <v>2.6640000000000001</v>
      </c>
      <c r="V37" s="6">
        <v>0</v>
      </c>
      <c r="W37">
        <v>0</v>
      </c>
      <c r="X37" s="7">
        <v>45714</v>
      </c>
      <c r="Y37">
        <v>2.7029999999999998</v>
      </c>
      <c r="Z37">
        <v>2.7170000000000001</v>
      </c>
      <c r="AA37">
        <v>2.681</v>
      </c>
      <c r="AB37">
        <v>2.6720000000000002</v>
      </c>
      <c r="AC37">
        <v>2.6909999999999998</v>
      </c>
      <c r="AD37" s="6">
        <v>2.7250000000000001</v>
      </c>
      <c r="AE37" s="6">
        <v>2.7330000000000001</v>
      </c>
      <c r="AF37">
        <v>2.835</v>
      </c>
      <c r="AG37" s="7">
        <v>45714</v>
      </c>
      <c r="AH37">
        <v>2.8479999999999999</v>
      </c>
      <c r="AI37">
        <v>2.7869999999999999</v>
      </c>
      <c r="AJ37">
        <v>2.802</v>
      </c>
      <c r="AK37">
        <v>2.7679999999999998</v>
      </c>
      <c r="AL37">
        <v>2.7349999999999999</v>
      </c>
      <c r="AM37" s="6">
        <v>2.758</v>
      </c>
      <c r="AN37" s="6">
        <v>2.76</v>
      </c>
      <c r="AO37">
        <v>2.8439999999999999</v>
      </c>
      <c r="AP37" s="7">
        <v>45714</v>
      </c>
      <c r="AQ37">
        <v>3.0979999999999999</v>
      </c>
      <c r="AR37">
        <v>3.06</v>
      </c>
      <c r="AS37">
        <v>3.0089999999999999</v>
      </c>
      <c r="AT37">
        <v>3.0129999999999999</v>
      </c>
      <c r="AU37">
        <v>3.08</v>
      </c>
      <c r="AV37" s="6">
        <v>3.1749999999999998</v>
      </c>
      <c r="AW37" s="6">
        <v>3.2090000000000001</v>
      </c>
      <c r="AX37">
        <v>3.298</v>
      </c>
      <c r="AY37" s="7">
        <v>45714</v>
      </c>
      <c r="AZ37">
        <v>2.8919999999999999</v>
      </c>
      <c r="BA37">
        <v>2.8260000000000001</v>
      </c>
      <c r="BB37">
        <v>2.7919999999999998</v>
      </c>
      <c r="BC37">
        <v>2.7879999999999998</v>
      </c>
      <c r="BD37">
        <v>2.8090000000000002</v>
      </c>
      <c r="BE37" s="6">
        <v>2.831</v>
      </c>
      <c r="BF37" s="6">
        <v>2.8460000000000001</v>
      </c>
      <c r="BG37">
        <v>2.8809999999999998</v>
      </c>
      <c r="BH37" s="7">
        <v>45714</v>
      </c>
      <c r="BI37">
        <v>2.8359999999999999</v>
      </c>
      <c r="BJ37">
        <v>2.75</v>
      </c>
      <c r="BK37">
        <v>2.7330000000000001</v>
      </c>
      <c r="BL37">
        <v>2.7170000000000001</v>
      </c>
      <c r="BM37">
        <v>2.7280000000000002</v>
      </c>
      <c r="BN37" s="6">
        <v>2.742</v>
      </c>
      <c r="BO37" s="6">
        <v>2.7490000000000001</v>
      </c>
      <c r="BP37">
        <v>2.8420000000000001</v>
      </c>
      <c r="BQ37" s="7">
        <v>45714</v>
      </c>
      <c r="BR37">
        <v>3.16</v>
      </c>
      <c r="BS37">
        <v>3.125</v>
      </c>
      <c r="BT37">
        <v>3.1120000000000001</v>
      </c>
      <c r="BU37">
        <v>3.1429999999999998</v>
      </c>
      <c r="BV37">
        <v>3.1859999999999999</v>
      </c>
      <c r="BW37" s="6">
        <v>3.2170000000000001</v>
      </c>
      <c r="BX37" s="6">
        <v>3.23</v>
      </c>
      <c r="BY37">
        <v>3.2770000000000001</v>
      </c>
      <c r="BZ37" s="7">
        <v>45714</v>
      </c>
      <c r="CA37">
        <v>2.7850000000000001</v>
      </c>
      <c r="CB37">
        <v>2.7989999999999999</v>
      </c>
      <c r="CC37">
        <v>2.774</v>
      </c>
      <c r="CD37">
        <v>2.762</v>
      </c>
      <c r="CE37">
        <v>2.7850000000000001</v>
      </c>
      <c r="CF37" s="6">
        <v>2.8460000000000001</v>
      </c>
      <c r="CG37" s="6">
        <v>2.847</v>
      </c>
      <c r="CH37">
        <v>2.891</v>
      </c>
      <c r="CJ37" s="6" t="s">
        <v>129</v>
      </c>
      <c r="CK37" s="6" t="s">
        <v>130</v>
      </c>
    </row>
    <row r="38" spans="2:89">
      <c r="B38" s="7">
        <v>45713</v>
      </c>
      <c r="C38">
        <v>2.6459999999999999</v>
      </c>
      <c r="D38">
        <v>2.6230000000000002</v>
      </c>
      <c r="E38">
        <v>2.6230000000000002</v>
      </c>
      <c r="F38">
        <v>2.6469999999999998</v>
      </c>
      <c r="G38">
        <v>2.6539999999999999</v>
      </c>
      <c r="H38" s="6">
        <v>2.6</v>
      </c>
      <c r="I38" s="6">
        <v>2.702</v>
      </c>
      <c r="J38" s="6">
        <v>2.7050000000000001</v>
      </c>
      <c r="K38" s="6">
        <v>2.8319999999999999</v>
      </c>
      <c r="L38" s="6">
        <v>2.7949999999999999</v>
      </c>
      <c r="M38" s="6">
        <v>2.7440000000000002</v>
      </c>
      <c r="N38" s="6">
        <v>2.645</v>
      </c>
      <c r="O38" s="7">
        <v>45713</v>
      </c>
      <c r="P38">
        <v>2.681</v>
      </c>
      <c r="Q38">
        <v>2.6150000000000002</v>
      </c>
      <c r="R38">
        <v>2.61</v>
      </c>
      <c r="S38">
        <v>2.6560000000000001</v>
      </c>
      <c r="T38">
        <v>2.64</v>
      </c>
      <c r="U38" s="6">
        <v>2.6680000000000001</v>
      </c>
      <c r="V38" s="6">
        <v>0</v>
      </c>
      <c r="W38">
        <v>0</v>
      </c>
      <c r="X38" s="7">
        <v>45713</v>
      </c>
      <c r="Y38">
        <v>2.7069999999999999</v>
      </c>
      <c r="Z38">
        <v>2.722</v>
      </c>
      <c r="AA38">
        <v>2.69</v>
      </c>
      <c r="AB38">
        <v>2.6739999999999999</v>
      </c>
      <c r="AC38">
        <v>2.69</v>
      </c>
      <c r="AD38" s="6">
        <v>2.73</v>
      </c>
      <c r="AE38" s="6">
        <v>2.75</v>
      </c>
      <c r="AF38">
        <v>2.863</v>
      </c>
      <c r="AG38" s="7">
        <v>45713</v>
      </c>
      <c r="AH38">
        <v>2.8519999999999999</v>
      </c>
      <c r="AI38">
        <v>2.782</v>
      </c>
      <c r="AJ38">
        <v>2.7879999999999998</v>
      </c>
      <c r="AK38">
        <v>2.7730000000000001</v>
      </c>
      <c r="AL38">
        <v>2.7370000000000001</v>
      </c>
      <c r="AM38" s="6">
        <v>2.7639999999999998</v>
      </c>
      <c r="AN38" s="6">
        <v>2.7770000000000001</v>
      </c>
      <c r="AO38">
        <v>2.8690000000000002</v>
      </c>
      <c r="AP38" s="7">
        <v>45713</v>
      </c>
      <c r="AQ38">
        <v>3.1080000000000001</v>
      </c>
      <c r="AR38">
        <v>3.0630000000000002</v>
      </c>
      <c r="AS38">
        <v>2.9990000000000001</v>
      </c>
      <c r="AT38">
        <v>3.0129999999999999</v>
      </c>
      <c r="AU38">
        <v>3.08</v>
      </c>
      <c r="AV38" s="6">
        <v>3.1819999999999999</v>
      </c>
      <c r="AW38" s="6">
        <v>3.226</v>
      </c>
      <c r="AX38">
        <v>3.3250000000000002</v>
      </c>
      <c r="AY38" s="7">
        <v>45713</v>
      </c>
      <c r="AZ38">
        <v>2.8940000000000001</v>
      </c>
      <c r="BA38">
        <v>2.8250000000000002</v>
      </c>
      <c r="BB38">
        <v>2.78</v>
      </c>
      <c r="BC38">
        <v>2.7879999999999998</v>
      </c>
      <c r="BD38">
        <v>2.8090000000000002</v>
      </c>
      <c r="BE38" s="6">
        <v>2.8359999999999999</v>
      </c>
      <c r="BF38" s="6">
        <v>2.8620000000000001</v>
      </c>
      <c r="BG38">
        <v>2.9060000000000001</v>
      </c>
      <c r="BH38" s="7">
        <v>45713</v>
      </c>
      <c r="BI38">
        <v>2.8370000000000002</v>
      </c>
      <c r="BJ38">
        <v>2.7480000000000002</v>
      </c>
      <c r="BK38">
        <v>2.7210000000000001</v>
      </c>
      <c r="BL38">
        <v>2.7170000000000001</v>
      </c>
      <c r="BM38">
        <v>2.7280000000000002</v>
      </c>
      <c r="BN38" s="6">
        <v>2.7469999999999999</v>
      </c>
      <c r="BO38" s="6">
        <v>2.7650000000000001</v>
      </c>
      <c r="BP38">
        <v>2.867</v>
      </c>
      <c r="BQ38" s="7">
        <v>45713</v>
      </c>
      <c r="BR38">
        <v>3.1619999999999999</v>
      </c>
      <c r="BS38">
        <v>3.1230000000000002</v>
      </c>
      <c r="BT38">
        <v>3.101</v>
      </c>
      <c r="BU38">
        <v>3.1429999999999998</v>
      </c>
      <c r="BV38">
        <v>3.1859999999999999</v>
      </c>
      <c r="BW38" s="6">
        <v>3.222</v>
      </c>
      <c r="BX38" s="6">
        <v>3.2469999999999999</v>
      </c>
      <c r="BY38">
        <v>3.302</v>
      </c>
      <c r="BZ38" s="7">
        <v>45713</v>
      </c>
      <c r="CA38">
        <v>2.7879999999999998</v>
      </c>
      <c r="CB38">
        <v>2.8039999999999998</v>
      </c>
      <c r="CC38">
        <v>2.7829999999999999</v>
      </c>
      <c r="CD38">
        <v>2.7629999999999999</v>
      </c>
      <c r="CE38">
        <v>2.7839999999999998</v>
      </c>
      <c r="CF38" s="6">
        <v>2.8530000000000002</v>
      </c>
      <c r="CG38" s="6">
        <v>2.867</v>
      </c>
      <c r="CH38">
        <v>2.919</v>
      </c>
      <c r="CJ38" s="6" t="s">
        <v>131</v>
      </c>
      <c r="CK38" s="6" t="s">
        <v>132</v>
      </c>
    </row>
    <row r="39" spans="2:89">
      <c r="B39" s="7">
        <v>45712</v>
      </c>
      <c r="C39">
        <v>2.67</v>
      </c>
      <c r="D39">
        <v>2.6379999999999999</v>
      </c>
      <c r="E39">
        <v>2.633</v>
      </c>
      <c r="F39">
        <v>2.657</v>
      </c>
      <c r="G39">
        <v>2.6640000000000001</v>
      </c>
      <c r="H39" s="6">
        <v>2.61</v>
      </c>
      <c r="I39" s="6">
        <v>2.72</v>
      </c>
      <c r="J39" s="6">
        <v>2.7170000000000001</v>
      </c>
      <c r="K39" s="6">
        <v>2.851</v>
      </c>
      <c r="L39" s="6">
        <v>2.8220000000000001</v>
      </c>
      <c r="M39" s="6">
        <v>2.74</v>
      </c>
      <c r="N39" s="6">
        <v>2.65</v>
      </c>
      <c r="O39" s="7">
        <v>45712</v>
      </c>
      <c r="P39">
        <v>2.7109999999999999</v>
      </c>
      <c r="Q39">
        <v>2.62</v>
      </c>
      <c r="R39">
        <v>2.6150000000000002</v>
      </c>
      <c r="S39">
        <v>2.67</v>
      </c>
      <c r="T39">
        <v>2.6480000000000001</v>
      </c>
      <c r="U39" s="6">
        <v>2.6779999999999999</v>
      </c>
      <c r="V39" s="6">
        <v>0</v>
      </c>
      <c r="W39">
        <v>0</v>
      </c>
      <c r="X39" s="7">
        <v>45712</v>
      </c>
      <c r="Y39">
        <v>2.73</v>
      </c>
      <c r="Z39">
        <v>2.7370000000000001</v>
      </c>
      <c r="AA39">
        <v>2.7</v>
      </c>
      <c r="AB39">
        <v>2.6840000000000002</v>
      </c>
      <c r="AC39">
        <v>2.7010000000000001</v>
      </c>
      <c r="AD39" s="6">
        <v>2.738</v>
      </c>
      <c r="AE39" s="6">
        <v>2.77</v>
      </c>
      <c r="AF39">
        <v>2.8759999999999999</v>
      </c>
      <c r="AG39" s="7">
        <v>45712</v>
      </c>
      <c r="AH39">
        <v>2.8860000000000001</v>
      </c>
      <c r="AI39">
        <v>2.794</v>
      </c>
      <c r="AJ39">
        <v>2.8010000000000002</v>
      </c>
      <c r="AK39">
        <v>2.7879999999999998</v>
      </c>
      <c r="AL39">
        <v>2.7480000000000002</v>
      </c>
      <c r="AM39" s="6">
        <v>2.774</v>
      </c>
      <c r="AN39" s="6">
        <v>2.7949999999999999</v>
      </c>
      <c r="AO39">
        <v>2.8809999999999998</v>
      </c>
      <c r="AP39" s="7">
        <v>45712</v>
      </c>
      <c r="AQ39">
        <v>3.1480000000000001</v>
      </c>
      <c r="AR39">
        <v>3.0779999999999998</v>
      </c>
      <c r="AS39">
        <v>3.0070000000000001</v>
      </c>
      <c r="AT39">
        <v>3.028</v>
      </c>
      <c r="AU39">
        <v>3.0920000000000001</v>
      </c>
      <c r="AV39" s="6">
        <v>3.1920000000000002</v>
      </c>
      <c r="AW39" s="6">
        <v>3.2440000000000002</v>
      </c>
      <c r="AX39">
        <v>3.34</v>
      </c>
      <c r="AY39" s="7">
        <v>45712</v>
      </c>
      <c r="AZ39">
        <v>2.93</v>
      </c>
      <c r="BA39">
        <v>2.8330000000000002</v>
      </c>
      <c r="BB39">
        <v>2.7890000000000001</v>
      </c>
      <c r="BC39">
        <v>2.8029999999999999</v>
      </c>
      <c r="BD39">
        <v>2.819</v>
      </c>
      <c r="BE39" s="6">
        <v>2.8460000000000001</v>
      </c>
      <c r="BF39" s="6">
        <v>2.8780000000000001</v>
      </c>
      <c r="BG39">
        <v>2.9159999999999999</v>
      </c>
      <c r="BH39" s="7">
        <v>45712</v>
      </c>
      <c r="BI39">
        <v>2.8740000000000001</v>
      </c>
      <c r="BJ39">
        <v>2.7559999999999998</v>
      </c>
      <c r="BK39">
        <v>2.7280000000000002</v>
      </c>
      <c r="BL39">
        <v>2.7320000000000002</v>
      </c>
      <c r="BM39">
        <v>2.738</v>
      </c>
      <c r="BN39" s="6">
        <v>2.7570000000000001</v>
      </c>
      <c r="BO39" s="6">
        <v>2.7829999999999999</v>
      </c>
      <c r="BP39">
        <v>2.8769999999999998</v>
      </c>
      <c r="BQ39" s="7">
        <v>45712</v>
      </c>
      <c r="BR39">
        <v>3.1989999999999998</v>
      </c>
      <c r="BS39">
        <v>3.1320000000000001</v>
      </c>
      <c r="BT39">
        <v>3.109</v>
      </c>
      <c r="BU39">
        <v>3.1579999999999999</v>
      </c>
      <c r="BV39">
        <v>3.1949999999999998</v>
      </c>
      <c r="BW39" s="6">
        <v>3.2320000000000002</v>
      </c>
      <c r="BX39" s="6">
        <v>3.2629999999999999</v>
      </c>
      <c r="BY39">
        <v>3.3119999999999998</v>
      </c>
      <c r="BZ39" s="7">
        <v>45712</v>
      </c>
      <c r="CA39">
        <v>2.8119999999999998</v>
      </c>
      <c r="CB39">
        <v>2.819</v>
      </c>
      <c r="CC39">
        <v>2.7930000000000001</v>
      </c>
      <c r="CD39">
        <v>2.7730000000000001</v>
      </c>
      <c r="CE39">
        <v>2.794</v>
      </c>
      <c r="CF39" s="6">
        <v>2.8580000000000001</v>
      </c>
      <c r="CG39" s="6">
        <v>2.8860000000000001</v>
      </c>
      <c r="CH39">
        <v>2.9319999999999999</v>
      </c>
      <c r="CJ39" s="6" t="s">
        <v>133</v>
      </c>
      <c r="CK39" s="6" t="s">
        <v>134</v>
      </c>
    </row>
    <row r="40" spans="2:89">
      <c r="B40" s="7">
        <v>45709</v>
      </c>
      <c r="C40">
        <v>2.6869999999999998</v>
      </c>
      <c r="D40">
        <v>2.6469999999999998</v>
      </c>
      <c r="E40">
        <v>2.641</v>
      </c>
      <c r="F40">
        <v>2.6659999999999999</v>
      </c>
      <c r="G40">
        <v>2.6720000000000002</v>
      </c>
      <c r="H40" s="6">
        <v>2.6150000000000002</v>
      </c>
      <c r="I40" s="6">
        <v>2.7290000000000001</v>
      </c>
      <c r="J40" s="6">
        <v>2.73</v>
      </c>
      <c r="K40" s="6">
        <v>2.8690000000000002</v>
      </c>
      <c r="L40" s="6">
        <v>2.8519999999999999</v>
      </c>
      <c r="M40" s="6">
        <v>2.7589999999999999</v>
      </c>
      <c r="N40" s="6">
        <v>2.677</v>
      </c>
      <c r="O40" s="7">
        <v>45709</v>
      </c>
      <c r="P40">
        <v>2.7109999999999999</v>
      </c>
      <c r="Q40">
        <v>2.62</v>
      </c>
      <c r="R40">
        <v>2.6150000000000002</v>
      </c>
      <c r="S40">
        <v>2.67</v>
      </c>
      <c r="T40">
        <v>2.6560000000000001</v>
      </c>
      <c r="U40" s="6">
        <v>2.6829999999999998</v>
      </c>
      <c r="V40" s="6">
        <v>0</v>
      </c>
      <c r="W40">
        <v>0</v>
      </c>
      <c r="X40" s="7">
        <v>45709</v>
      </c>
      <c r="Y40">
        <v>2.7469999999999999</v>
      </c>
      <c r="Z40">
        <v>2.746</v>
      </c>
      <c r="AA40">
        <v>2.7080000000000002</v>
      </c>
      <c r="AB40">
        <v>2.6930000000000001</v>
      </c>
      <c r="AC40">
        <v>2.7090000000000001</v>
      </c>
      <c r="AD40" s="6">
        <v>2.746</v>
      </c>
      <c r="AE40" s="6">
        <v>2.7770000000000001</v>
      </c>
      <c r="AF40">
        <v>2.895</v>
      </c>
      <c r="AG40" s="7">
        <v>45709</v>
      </c>
      <c r="AH40">
        <v>2.8959999999999999</v>
      </c>
      <c r="AI40">
        <v>2.8039999999999998</v>
      </c>
      <c r="AJ40">
        <v>2.8109999999999999</v>
      </c>
      <c r="AK40">
        <v>2.798</v>
      </c>
      <c r="AL40">
        <v>2.7589999999999999</v>
      </c>
      <c r="AM40" s="6">
        <v>2.7789999999999999</v>
      </c>
      <c r="AN40" s="6">
        <v>2.8039999999999998</v>
      </c>
      <c r="AO40">
        <v>2.8940000000000001</v>
      </c>
      <c r="AP40" s="7">
        <v>45709</v>
      </c>
      <c r="AQ40">
        <v>3.1459999999999999</v>
      </c>
      <c r="AR40">
        <v>3.077</v>
      </c>
      <c r="AS40">
        <v>3.004</v>
      </c>
      <c r="AT40">
        <v>3.0249999999999999</v>
      </c>
      <c r="AU40">
        <v>3.0990000000000002</v>
      </c>
      <c r="AV40" s="6">
        <v>3.1960000000000002</v>
      </c>
      <c r="AW40" s="6">
        <v>3.2530000000000001</v>
      </c>
      <c r="AX40">
        <v>3.3530000000000002</v>
      </c>
      <c r="AY40" s="7">
        <v>45709</v>
      </c>
      <c r="AZ40">
        <v>2.9350000000000001</v>
      </c>
      <c r="BA40">
        <v>2.835</v>
      </c>
      <c r="BB40">
        <v>2.7909999999999999</v>
      </c>
      <c r="BC40">
        <v>2.8050000000000002</v>
      </c>
      <c r="BD40">
        <v>2.827</v>
      </c>
      <c r="BE40" s="6">
        <v>2.8540000000000001</v>
      </c>
      <c r="BF40" s="6">
        <v>2.89</v>
      </c>
      <c r="BG40">
        <v>2.93</v>
      </c>
      <c r="BH40" s="7">
        <v>45709</v>
      </c>
      <c r="BI40">
        <v>2.8769999999999998</v>
      </c>
      <c r="BJ40">
        <v>2.7589999999999999</v>
      </c>
      <c r="BK40">
        <v>2.73</v>
      </c>
      <c r="BL40">
        <v>2.734</v>
      </c>
      <c r="BM40">
        <v>2.746</v>
      </c>
      <c r="BN40" s="6">
        <v>2.7629999999999999</v>
      </c>
      <c r="BO40" s="6">
        <v>2.7930000000000001</v>
      </c>
      <c r="BP40">
        <v>2.8889999999999998</v>
      </c>
      <c r="BQ40" s="7">
        <v>45709</v>
      </c>
      <c r="BR40">
        <v>3.2040000000000002</v>
      </c>
      <c r="BS40">
        <v>3.1339999999999999</v>
      </c>
      <c r="BT40">
        <v>3.1110000000000002</v>
      </c>
      <c r="BU40">
        <v>3.16</v>
      </c>
      <c r="BV40">
        <v>3.2040000000000002</v>
      </c>
      <c r="BW40" s="6">
        <v>3.2389999999999999</v>
      </c>
      <c r="BX40" s="6">
        <v>3.2749999999999999</v>
      </c>
      <c r="BY40">
        <v>3.3260000000000001</v>
      </c>
      <c r="BZ40" s="7">
        <v>45709</v>
      </c>
      <c r="CA40">
        <v>2.8290000000000002</v>
      </c>
      <c r="CB40">
        <v>2.8279999999999998</v>
      </c>
      <c r="CC40">
        <v>2.8010000000000002</v>
      </c>
      <c r="CD40">
        <v>2.782</v>
      </c>
      <c r="CE40">
        <v>2.802</v>
      </c>
      <c r="CF40" s="6">
        <v>2.8660000000000001</v>
      </c>
      <c r="CG40" s="6">
        <v>2.8940000000000001</v>
      </c>
      <c r="CH40">
        <v>2.9510000000000001</v>
      </c>
      <c r="CJ40" s="6" t="s">
        <v>135</v>
      </c>
      <c r="CK40" s="6" t="s">
        <v>136</v>
      </c>
    </row>
    <row r="41" spans="2:89">
      <c r="B41" s="7">
        <v>45708</v>
      </c>
      <c r="C41">
        <v>2.6859999999999999</v>
      </c>
      <c r="D41">
        <v>2.6480000000000001</v>
      </c>
      <c r="E41">
        <v>2.6419999999999999</v>
      </c>
      <c r="F41">
        <v>2.6739999999999999</v>
      </c>
      <c r="G41">
        <v>2.69</v>
      </c>
      <c r="H41" s="6">
        <v>2.6269999999999998</v>
      </c>
      <c r="I41" s="6">
        <v>2.742</v>
      </c>
      <c r="J41" s="6">
        <v>2.7480000000000002</v>
      </c>
      <c r="K41" s="6">
        <v>2.8940000000000001</v>
      </c>
      <c r="L41" s="6">
        <v>2.8849999999999998</v>
      </c>
      <c r="M41" s="6">
        <v>2.78</v>
      </c>
      <c r="N41" s="6">
        <v>2.69</v>
      </c>
      <c r="O41" s="7">
        <v>45708</v>
      </c>
      <c r="P41">
        <v>2.7109999999999999</v>
      </c>
      <c r="Q41">
        <v>2.62</v>
      </c>
      <c r="R41">
        <v>2.6139999999999999</v>
      </c>
      <c r="S41">
        <v>2.6819999999999999</v>
      </c>
      <c r="T41">
        <v>2.6760000000000002</v>
      </c>
      <c r="U41" s="6">
        <v>2.7</v>
      </c>
      <c r="V41" s="6">
        <v>0</v>
      </c>
      <c r="W41">
        <v>0</v>
      </c>
      <c r="X41" s="7">
        <v>45708</v>
      </c>
      <c r="Y41">
        <v>2.7469999999999999</v>
      </c>
      <c r="Z41">
        <v>2.7469999999999999</v>
      </c>
      <c r="AA41">
        <v>2.7090000000000001</v>
      </c>
      <c r="AB41">
        <v>2.6989999999999998</v>
      </c>
      <c r="AC41">
        <v>2.7229999999999999</v>
      </c>
      <c r="AD41" s="6">
        <v>2.758</v>
      </c>
      <c r="AE41" s="6">
        <v>2.79</v>
      </c>
      <c r="AF41">
        <v>2.9119999999999999</v>
      </c>
      <c r="AG41" s="7">
        <v>45708</v>
      </c>
      <c r="AH41">
        <v>2.9060000000000001</v>
      </c>
      <c r="AI41">
        <v>2.8140000000000001</v>
      </c>
      <c r="AJ41">
        <v>2.8210000000000002</v>
      </c>
      <c r="AK41">
        <v>2.8109999999999999</v>
      </c>
      <c r="AL41">
        <v>2.778</v>
      </c>
      <c r="AM41" s="6">
        <v>2.7909999999999999</v>
      </c>
      <c r="AN41" s="6">
        <v>2.8170000000000002</v>
      </c>
      <c r="AO41">
        <v>2.9119999999999999</v>
      </c>
      <c r="AP41" s="7">
        <v>45708</v>
      </c>
      <c r="AQ41">
        <v>3.1459999999999999</v>
      </c>
      <c r="AR41">
        <v>3.077</v>
      </c>
      <c r="AS41">
        <v>3.0030000000000001</v>
      </c>
      <c r="AT41">
        <v>3.0339999999999998</v>
      </c>
      <c r="AU41">
        <v>3.117</v>
      </c>
      <c r="AV41" s="6">
        <v>3.2069999999999999</v>
      </c>
      <c r="AW41" s="6">
        <v>3.2650000000000001</v>
      </c>
      <c r="AX41">
        <v>3.371</v>
      </c>
      <c r="AY41" s="7">
        <v>45708</v>
      </c>
      <c r="AZ41">
        <v>2.94</v>
      </c>
      <c r="BA41">
        <v>2.84</v>
      </c>
      <c r="BB41">
        <v>2.794</v>
      </c>
      <c r="BC41">
        <v>2.8170000000000002</v>
      </c>
      <c r="BD41">
        <v>2.847</v>
      </c>
      <c r="BE41" s="6">
        <v>2.87</v>
      </c>
      <c r="BF41" s="6">
        <v>2.903</v>
      </c>
      <c r="BG41">
        <v>2.948</v>
      </c>
      <c r="BH41" s="7">
        <v>45708</v>
      </c>
      <c r="BI41">
        <v>2.8809999999999998</v>
      </c>
      <c r="BJ41">
        <v>2.7629999999999999</v>
      </c>
      <c r="BK41">
        <v>2.73</v>
      </c>
      <c r="BL41">
        <v>2.746</v>
      </c>
      <c r="BM41">
        <v>2.766</v>
      </c>
      <c r="BN41" s="6">
        <v>2.7770000000000001</v>
      </c>
      <c r="BO41" s="6">
        <v>2.806</v>
      </c>
      <c r="BP41">
        <v>2.907</v>
      </c>
      <c r="BQ41" s="7">
        <v>45708</v>
      </c>
      <c r="BR41">
        <v>3.2090000000000001</v>
      </c>
      <c r="BS41">
        <v>3.1379999999999999</v>
      </c>
      <c r="BT41">
        <v>3.1150000000000002</v>
      </c>
      <c r="BU41">
        <v>3.1749999999999998</v>
      </c>
      <c r="BV41">
        <v>3.2269999999999999</v>
      </c>
      <c r="BW41" s="6">
        <v>3.254</v>
      </c>
      <c r="BX41" s="6">
        <v>3.2879999999999998</v>
      </c>
      <c r="BY41">
        <v>3.3439999999999999</v>
      </c>
      <c r="BZ41" s="7">
        <v>45708</v>
      </c>
      <c r="CA41">
        <v>2.8279999999999998</v>
      </c>
      <c r="CB41">
        <v>2.8290000000000002</v>
      </c>
      <c r="CC41">
        <v>2.802</v>
      </c>
      <c r="CD41">
        <v>2.7879999999999998</v>
      </c>
      <c r="CE41">
        <v>2.8170000000000002</v>
      </c>
      <c r="CF41" s="6">
        <v>2.8780000000000001</v>
      </c>
      <c r="CG41" s="6">
        <v>2.907</v>
      </c>
      <c r="CH41">
        <v>2.968</v>
      </c>
      <c r="CJ41" s="6" t="s">
        <v>137</v>
      </c>
      <c r="CK41" s="6" t="s">
        <v>138</v>
      </c>
    </row>
    <row r="42" spans="2:89">
      <c r="B42" s="7">
        <v>45707</v>
      </c>
      <c r="C42">
        <v>2.6880000000000002</v>
      </c>
      <c r="D42">
        <v>2.65</v>
      </c>
      <c r="E42">
        <v>2.641</v>
      </c>
      <c r="F42">
        <v>2.681</v>
      </c>
      <c r="G42">
        <v>2.7</v>
      </c>
      <c r="H42" s="6">
        <v>2.63</v>
      </c>
      <c r="I42" s="6">
        <v>2.7440000000000002</v>
      </c>
      <c r="J42" s="6">
        <v>2.7469999999999999</v>
      </c>
      <c r="K42" s="6">
        <v>2.887</v>
      </c>
      <c r="L42" s="6">
        <v>2.875</v>
      </c>
      <c r="M42" s="6">
        <v>2.7749999999999999</v>
      </c>
      <c r="N42" s="6">
        <v>2.6850000000000001</v>
      </c>
      <c r="O42" s="7">
        <v>45707</v>
      </c>
      <c r="P42">
        <v>2.7109999999999999</v>
      </c>
      <c r="Q42">
        <v>2.62</v>
      </c>
      <c r="R42">
        <v>2.609</v>
      </c>
      <c r="S42">
        <v>2.6850000000000001</v>
      </c>
      <c r="T42">
        <v>2.6840000000000002</v>
      </c>
      <c r="U42" s="6">
        <v>2.7120000000000002</v>
      </c>
      <c r="V42" s="6">
        <v>0</v>
      </c>
      <c r="W42">
        <v>0</v>
      </c>
      <c r="X42" s="7">
        <v>45707</v>
      </c>
      <c r="Y42">
        <v>2.7480000000000002</v>
      </c>
      <c r="Z42">
        <v>2.7480000000000002</v>
      </c>
      <c r="AA42">
        <v>2.7109999999999999</v>
      </c>
      <c r="AB42">
        <v>2.7069999999999999</v>
      </c>
      <c r="AC42">
        <v>2.7330000000000001</v>
      </c>
      <c r="AD42" s="6">
        <v>2.7610000000000001</v>
      </c>
      <c r="AE42" s="6">
        <v>2.7919999999999998</v>
      </c>
      <c r="AF42">
        <v>2.91</v>
      </c>
      <c r="AG42" s="7">
        <v>45707</v>
      </c>
      <c r="AH42">
        <v>2.9119999999999999</v>
      </c>
      <c r="AI42">
        <v>2.819</v>
      </c>
      <c r="AJ42">
        <v>2.8250000000000002</v>
      </c>
      <c r="AK42">
        <v>2.8149999999999999</v>
      </c>
      <c r="AL42">
        <v>2.7850000000000001</v>
      </c>
      <c r="AM42" s="6">
        <v>2.794</v>
      </c>
      <c r="AN42" s="6">
        <v>2.819</v>
      </c>
      <c r="AO42">
        <v>2.91</v>
      </c>
      <c r="AP42" s="7">
        <v>45707</v>
      </c>
      <c r="AQ42">
        <v>3.1459999999999999</v>
      </c>
      <c r="AR42">
        <v>3.077</v>
      </c>
      <c r="AS42">
        <v>2.996</v>
      </c>
      <c r="AT42">
        <v>3.0310000000000001</v>
      </c>
      <c r="AU42">
        <v>3.12</v>
      </c>
      <c r="AV42" s="6">
        <v>3.2069999999999999</v>
      </c>
      <c r="AW42" s="6">
        <v>3.2669999999999999</v>
      </c>
      <c r="AX42">
        <v>3.375</v>
      </c>
      <c r="AY42" s="7">
        <v>45707</v>
      </c>
      <c r="AZ42">
        <v>2.9489999999999998</v>
      </c>
      <c r="BA42">
        <v>2.843</v>
      </c>
      <c r="BB42">
        <v>2.794</v>
      </c>
      <c r="BC42">
        <v>2.823</v>
      </c>
      <c r="BD42">
        <v>2.8559999999999999</v>
      </c>
      <c r="BE42" s="6">
        <v>2.875</v>
      </c>
      <c r="BF42" s="6">
        <v>2.9049999999999998</v>
      </c>
      <c r="BG42">
        <v>2.9510000000000001</v>
      </c>
      <c r="BH42" s="7">
        <v>45707</v>
      </c>
      <c r="BI42">
        <v>2.8889999999999998</v>
      </c>
      <c r="BJ42">
        <v>2.766</v>
      </c>
      <c r="BK42">
        <v>2.7280000000000002</v>
      </c>
      <c r="BL42">
        <v>2.7509999999999999</v>
      </c>
      <c r="BM42">
        <v>2.7749999999999999</v>
      </c>
      <c r="BN42" s="6">
        <v>2.782</v>
      </c>
      <c r="BO42" s="6">
        <v>2.8079999999999998</v>
      </c>
      <c r="BP42">
        <v>2.9060000000000001</v>
      </c>
      <c r="BQ42" s="7">
        <v>45707</v>
      </c>
      <c r="BR42">
        <v>3.218</v>
      </c>
      <c r="BS42">
        <v>3.1429999999999998</v>
      </c>
      <c r="BT42">
        <v>3.113</v>
      </c>
      <c r="BU42">
        <v>3.1789999999999998</v>
      </c>
      <c r="BV42">
        <v>3.2349999999999999</v>
      </c>
      <c r="BW42" s="6">
        <v>3.254</v>
      </c>
      <c r="BX42" s="6">
        <v>3.29</v>
      </c>
      <c r="BY42">
        <v>3.347</v>
      </c>
      <c r="BZ42" s="7">
        <v>45707</v>
      </c>
      <c r="CA42">
        <v>2.83</v>
      </c>
      <c r="CB42">
        <v>2.831</v>
      </c>
      <c r="CC42">
        <v>2.8039999999999998</v>
      </c>
      <c r="CD42">
        <v>2.7959999999999998</v>
      </c>
      <c r="CE42">
        <v>2.827</v>
      </c>
      <c r="CF42" s="6">
        <v>2.8809999999999998</v>
      </c>
      <c r="CG42" s="6">
        <v>2.9089999999999998</v>
      </c>
      <c r="CH42">
        <v>2.9660000000000002</v>
      </c>
      <c r="CJ42" s="6" t="s">
        <v>139</v>
      </c>
      <c r="CK42" s="6" t="s">
        <v>140</v>
      </c>
    </row>
    <row r="43" spans="2:89">
      <c r="B43" s="7">
        <v>45706</v>
      </c>
      <c r="C43">
        <v>2.6909999999999998</v>
      </c>
      <c r="D43">
        <v>2.641</v>
      </c>
      <c r="E43">
        <v>2.6509999999999998</v>
      </c>
      <c r="F43">
        <v>2.69</v>
      </c>
      <c r="G43">
        <v>2.714</v>
      </c>
      <c r="H43" s="6">
        <v>2.6419999999999999</v>
      </c>
      <c r="I43" s="6">
        <v>2.7549999999999999</v>
      </c>
      <c r="J43" s="6">
        <v>2.7549999999999999</v>
      </c>
      <c r="K43" s="6">
        <v>2.8929999999999998</v>
      </c>
      <c r="L43" s="6">
        <v>2.88</v>
      </c>
      <c r="M43" s="6">
        <v>2.7850000000000001</v>
      </c>
      <c r="N43" s="6">
        <v>2.6880000000000002</v>
      </c>
      <c r="O43" s="7">
        <v>45706</v>
      </c>
      <c r="P43">
        <v>2.7109999999999999</v>
      </c>
      <c r="Q43">
        <v>2.62</v>
      </c>
      <c r="R43">
        <v>2.6040000000000001</v>
      </c>
      <c r="S43">
        <v>2.6949999999999998</v>
      </c>
      <c r="T43">
        <v>2.69</v>
      </c>
      <c r="U43" s="6">
        <v>2.726</v>
      </c>
      <c r="V43" s="6">
        <v>0</v>
      </c>
      <c r="W43">
        <v>0</v>
      </c>
      <c r="X43" s="7">
        <v>45706</v>
      </c>
      <c r="Y43">
        <v>2.7429999999999999</v>
      </c>
      <c r="Z43">
        <v>2.74</v>
      </c>
      <c r="AA43">
        <v>2.722</v>
      </c>
      <c r="AB43">
        <v>2.7160000000000002</v>
      </c>
      <c r="AC43">
        <v>2.7469999999999999</v>
      </c>
      <c r="AD43" s="6">
        <v>2.77</v>
      </c>
      <c r="AE43" s="6">
        <v>2.8029999999999999</v>
      </c>
      <c r="AF43">
        <v>2.915</v>
      </c>
      <c r="AG43" s="7">
        <v>45706</v>
      </c>
      <c r="AH43">
        <v>2.9209999999999998</v>
      </c>
      <c r="AI43">
        <v>2.8180000000000001</v>
      </c>
      <c r="AJ43">
        <v>2.8220000000000001</v>
      </c>
      <c r="AK43">
        <v>2.8210000000000002</v>
      </c>
      <c r="AL43">
        <v>2.7909999999999999</v>
      </c>
      <c r="AM43" s="6">
        <v>2.806</v>
      </c>
      <c r="AN43" s="6">
        <v>2.83</v>
      </c>
      <c r="AO43">
        <v>2.9169999999999998</v>
      </c>
      <c r="AP43" s="7">
        <v>45706</v>
      </c>
      <c r="AQ43">
        <v>3.1429999999999998</v>
      </c>
      <c r="AR43">
        <v>3.073</v>
      </c>
      <c r="AS43">
        <v>2.9860000000000002</v>
      </c>
      <c r="AT43">
        <v>3.036</v>
      </c>
      <c r="AU43">
        <v>3.1219999999999999</v>
      </c>
      <c r="AV43" s="6">
        <v>3.214</v>
      </c>
      <c r="AW43" s="6">
        <v>3.278</v>
      </c>
      <c r="AX43">
        <v>3.3839999999999999</v>
      </c>
      <c r="AY43" s="7">
        <v>45706</v>
      </c>
      <c r="AZ43">
        <v>2.9449999999999998</v>
      </c>
      <c r="BA43">
        <v>2.8370000000000002</v>
      </c>
      <c r="BB43">
        <v>2.7879999999999998</v>
      </c>
      <c r="BC43">
        <v>2.831</v>
      </c>
      <c r="BD43">
        <v>2.8580000000000001</v>
      </c>
      <c r="BE43" s="6">
        <v>2.8820000000000001</v>
      </c>
      <c r="BF43" s="6">
        <v>2.911</v>
      </c>
      <c r="BG43">
        <v>2.9580000000000002</v>
      </c>
      <c r="BH43" s="7">
        <v>45706</v>
      </c>
      <c r="BI43">
        <v>2.8860000000000001</v>
      </c>
      <c r="BJ43">
        <v>2.76</v>
      </c>
      <c r="BK43">
        <v>2.722</v>
      </c>
      <c r="BL43">
        <v>2.7589999999999999</v>
      </c>
      <c r="BM43">
        <v>2.778</v>
      </c>
      <c r="BN43" s="6">
        <v>2.7890000000000001</v>
      </c>
      <c r="BO43" s="6">
        <v>2.8149999999999999</v>
      </c>
      <c r="BP43">
        <v>2.9089999999999998</v>
      </c>
      <c r="BQ43" s="7">
        <v>45706</v>
      </c>
      <c r="BR43">
        <v>3.214</v>
      </c>
      <c r="BS43">
        <v>3.1360000000000001</v>
      </c>
      <c r="BT43">
        <v>3.1070000000000002</v>
      </c>
      <c r="BU43">
        <v>3.1880000000000002</v>
      </c>
      <c r="BV43">
        <v>3.238</v>
      </c>
      <c r="BW43" s="6">
        <v>3.258</v>
      </c>
      <c r="BX43" s="6">
        <v>3.2970000000000002</v>
      </c>
      <c r="BY43">
        <v>3.3540000000000001</v>
      </c>
      <c r="BZ43" s="7">
        <v>45706</v>
      </c>
      <c r="CA43">
        <v>2.8250000000000002</v>
      </c>
      <c r="CB43">
        <v>2.823</v>
      </c>
      <c r="CC43">
        <v>2.8149999999999999</v>
      </c>
      <c r="CD43">
        <v>2.8050000000000002</v>
      </c>
      <c r="CE43">
        <v>2.8410000000000002</v>
      </c>
      <c r="CF43" s="6">
        <v>2.89</v>
      </c>
      <c r="CG43" s="6">
        <v>2.92</v>
      </c>
      <c r="CH43">
        <v>2.9710000000000001</v>
      </c>
      <c r="CJ43" s="6" t="s">
        <v>141</v>
      </c>
      <c r="CK43" s="6" t="s">
        <v>142</v>
      </c>
    </row>
    <row r="44" spans="2:89">
      <c r="B44" s="7">
        <v>45705</v>
      </c>
      <c r="C44">
        <v>2.6909999999999998</v>
      </c>
      <c r="D44">
        <v>2.64</v>
      </c>
      <c r="E44">
        <v>2.653</v>
      </c>
      <c r="F44">
        <v>2.673</v>
      </c>
      <c r="G44">
        <v>2.6949999999999998</v>
      </c>
      <c r="H44">
        <v>2.6219999999999999</v>
      </c>
      <c r="I44" s="6">
        <v>2.7389999999999999</v>
      </c>
      <c r="J44" s="6">
        <v>2.73</v>
      </c>
      <c r="K44" s="6">
        <v>2.8809999999999998</v>
      </c>
      <c r="L44" s="6">
        <v>2.867</v>
      </c>
      <c r="M44" s="6">
        <v>2.7829999999999999</v>
      </c>
      <c r="N44" s="6">
        <v>2.702</v>
      </c>
      <c r="O44" s="7">
        <v>45705</v>
      </c>
      <c r="P44">
        <v>2.7109999999999999</v>
      </c>
      <c r="Q44">
        <v>2.6139999999999999</v>
      </c>
      <c r="R44">
        <v>2.5870000000000002</v>
      </c>
      <c r="S44">
        <v>2.69</v>
      </c>
      <c r="T44">
        <v>2.6720000000000002</v>
      </c>
      <c r="U44" s="6">
        <v>2.71</v>
      </c>
      <c r="V44" s="6">
        <v>0</v>
      </c>
      <c r="W44">
        <v>0</v>
      </c>
      <c r="X44" s="7">
        <v>45705</v>
      </c>
      <c r="Y44">
        <v>2.7410000000000001</v>
      </c>
      <c r="Z44">
        <v>2.7370000000000001</v>
      </c>
      <c r="AA44">
        <v>2.718</v>
      </c>
      <c r="AB44">
        <v>2.702</v>
      </c>
      <c r="AC44">
        <v>2.7280000000000002</v>
      </c>
      <c r="AD44" s="6">
        <v>2.75</v>
      </c>
      <c r="AE44" s="6">
        <v>2.7869999999999999</v>
      </c>
      <c r="AF44">
        <v>2.8849999999999998</v>
      </c>
      <c r="AG44" s="7">
        <v>45705</v>
      </c>
      <c r="AH44">
        <v>2.923</v>
      </c>
      <c r="AI44">
        <v>2.8130000000000002</v>
      </c>
      <c r="AJ44">
        <v>2.806</v>
      </c>
      <c r="AK44">
        <v>2.8149999999999999</v>
      </c>
      <c r="AL44">
        <v>2.7770000000000001</v>
      </c>
      <c r="AM44" s="6">
        <v>2.786</v>
      </c>
      <c r="AN44" s="6">
        <v>2.8140000000000001</v>
      </c>
      <c r="AO44">
        <v>2.8959999999999999</v>
      </c>
      <c r="AP44" s="7">
        <v>45705</v>
      </c>
      <c r="AQ44">
        <v>3.14</v>
      </c>
      <c r="AR44">
        <v>3.07</v>
      </c>
      <c r="AS44">
        <v>2.976</v>
      </c>
      <c r="AT44">
        <v>3.0310000000000001</v>
      </c>
      <c r="AU44">
        <v>3.1030000000000002</v>
      </c>
      <c r="AV44" s="6">
        <v>3.194</v>
      </c>
      <c r="AW44" s="6">
        <v>3.262</v>
      </c>
      <c r="AX44">
        <v>3.359</v>
      </c>
      <c r="AY44" s="7">
        <v>45705</v>
      </c>
      <c r="AZ44">
        <v>2.9470000000000001</v>
      </c>
      <c r="BA44">
        <v>2.8279999999999998</v>
      </c>
      <c r="BB44">
        <v>2.7719999999999998</v>
      </c>
      <c r="BC44">
        <v>2.82</v>
      </c>
      <c r="BD44">
        <v>2.8410000000000002</v>
      </c>
      <c r="BE44" s="6">
        <v>2.867</v>
      </c>
      <c r="BF44" s="6">
        <v>2.895</v>
      </c>
      <c r="BG44">
        <v>2.94</v>
      </c>
      <c r="BH44" s="7">
        <v>45705</v>
      </c>
      <c r="BI44">
        <v>2.887</v>
      </c>
      <c r="BJ44">
        <v>2.75</v>
      </c>
      <c r="BK44">
        <v>2.706</v>
      </c>
      <c r="BL44">
        <v>2.7480000000000002</v>
      </c>
      <c r="BM44">
        <v>2.7610000000000001</v>
      </c>
      <c r="BN44" s="6">
        <v>2.7730000000000001</v>
      </c>
      <c r="BO44" s="6">
        <v>2.798</v>
      </c>
      <c r="BP44">
        <v>2.8839999999999999</v>
      </c>
      <c r="BQ44" s="7">
        <v>45705</v>
      </c>
      <c r="BR44">
        <v>3.2160000000000002</v>
      </c>
      <c r="BS44">
        <v>3.1259999999999999</v>
      </c>
      <c r="BT44">
        <v>3.09</v>
      </c>
      <c r="BU44">
        <v>3.177</v>
      </c>
      <c r="BV44">
        <v>3.2210000000000001</v>
      </c>
      <c r="BW44" s="6">
        <v>3.242</v>
      </c>
      <c r="BX44" s="6">
        <v>3.28</v>
      </c>
      <c r="BY44">
        <v>3.3340000000000001</v>
      </c>
      <c r="BZ44" s="7">
        <v>45705</v>
      </c>
      <c r="CA44">
        <v>2.8220000000000001</v>
      </c>
      <c r="CB44">
        <v>2.819</v>
      </c>
      <c r="CC44">
        <v>2.8109999999999999</v>
      </c>
      <c r="CD44">
        <v>2.7909999999999999</v>
      </c>
      <c r="CE44">
        <v>2.8220000000000001</v>
      </c>
      <c r="CF44" s="6">
        <v>2.87</v>
      </c>
      <c r="CG44" s="6">
        <v>2.9039999999999999</v>
      </c>
      <c r="CH44">
        <v>2.9409999999999998</v>
      </c>
      <c r="CJ44" s="6" t="s">
        <v>143</v>
      </c>
      <c r="CK44" s="6" t="s">
        <v>144</v>
      </c>
    </row>
    <row r="45" spans="2:89">
      <c r="B45" s="7">
        <v>45702</v>
      </c>
      <c r="C45">
        <v>2.6909999999999998</v>
      </c>
      <c r="D45">
        <v>2.63</v>
      </c>
      <c r="E45">
        <v>2.6509999999999998</v>
      </c>
      <c r="F45">
        <v>2.6640000000000001</v>
      </c>
      <c r="G45">
        <v>2.6819999999999999</v>
      </c>
      <c r="H45">
        <v>2.6080000000000001</v>
      </c>
      <c r="I45" s="6">
        <v>2.7269999999999999</v>
      </c>
      <c r="J45" s="6">
        <v>2.7080000000000002</v>
      </c>
      <c r="K45" s="6">
        <v>2.8610000000000002</v>
      </c>
      <c r="L45" s="6">
        <v>2.8460000000000001</v>
      </c>
      <c r="M45" s="6">
        <v>2.7639999999999998</v>
      </c>
      <c r="N45" s="6">
        <v>2.6920000000000002</v>
      </c>
      <c r="O45" s="7">
        <v>45702</v>
      </c>
      <c r="P45">
        <v>2.7130000000000001</v>
      </c>
      <c r="Q45">
        <v>2.61</v>
      </c>
      <c r="R45">
        <v>2.585</v>
      </c>
      <c r="S45">
        <v>2.6819999999999999</v>
      </c>
      <c r="T45">
        <v>2.6619999999999999</v>
      </c>
      <c r="U45" s="6">
        <v>2.6930000000000001</v>
      </c>
      <c r="V45" s="6">
        <v>0</v>
      </c>
      <c r="W45">
        <v>0</v>
      </c>
      <c r="X45" s="7">
        <v>45702</v>
      </c>
      <c r="Y45">
        <v>2.7370000000000001</v>
      </c>
      <c r="Z45">
        <v>2.7250000000000001</v>
      </c>
      <c r="AA45">
        <v>2.7109999999999999</v>
      </c>
      <c r="AB45">
        <v>2.6930000000000001</v>
      </c>
      <c r="AC45">
        <v>2.7149999999999999</v>
      </c>
      <c r="AD45" s="6">
        <v>2.7360000000000002</v>
      </c>
      <c r="AE45" s="6">
        <v>2.7749999999999999</v>
      </c>
      <c r="AF45">
        <v>2.8610000000000002</v>
      </c>
      <c r="AG45" s="7">
        <v>45702</v>
      </c>
      <c r="AH45">
        <v>2.9260000000000002</v>
      </c>
      <c r="AI45">
        <v>2.8109999999999999</v>
      </c>
      <c r="AJ45">
        <v>2.8010000000000002</v>
      </c>
      <c r="AK45">
        <v>2.8069999999999999</v>
      </c>
      <c r="AL45">
        <v>2.7679999999999998</v>
      </c>
      <c r="AM45" s="6">
        <v>2.7730000000000001</v>
      </c>
      <c r="AN45" s="6">
        <v>2.8029999999999999</v>
      </c>
      <c r="AO45">
        <v>2.8769999999999998</v>
      </c>
      <c r="AP45" s="7">
        <v>45702</v>
      </c>
      <c r="AQ45">
        <v>3.145</v>
      </c>
      <c r="AR45">
        <v>3.0720000000000001</v>
      </c>
      <c r="AS45">
        <v>2.9790000000000001</v>
      </c>
      <c r="AT45">
        <v>3.0230000000000001</v>
      </c>
      <c r="AU45">
        <v>3.0990000000000002</v>
      </c>
      <c r="AV45" s="6">
        <v>3.1819999999999999</v>
      </c>
      <c r="AW45" s="6">
        <v>3.25</v>
      </c>
      <c r="AX45">
        <v>3.3370000000000002</v>
      </c>
      <c r="AY45" s="7">
        <v>45702</v>
      </c>
      <c r="AZ45">
        <v>2.95</v>
      </c>
      <c r="BA45">
        <v>2.823</v>
      </c>
      <c r="BB45">
        <v>2.7650000000000001</v>
      </c>
      <c r="BC45">
        <v>2.8109999999999999</v>
      </c>
      <c r="BD45">
        <v>2.8330000000000002</v>
      </c>
      <c r="BE45" s="6">
        <v>2.8540000000000001</v>
      </c>
      <c r="BF45" s="6">
        <v>2.8849999999999998</v>
      </c>
      <c r="BG45">
        <v>2.9239999999999999</v>
      </c>
      <c r="BH45" s="7">
        <v>45702</v>
      </c>
      <c r="BI45">
        <v>2.89</v>
      </c>
      <c r="BJ45">
        <v>2.7450000000000001</v>
      </c>
      <c r="BK45">
        <v>2.7010000000000001</v>
      </c>
      <c r="BL45">
        <v>2.74</v>
      </c>
      <c r="BM45">
        <v>2.75</v>
      </c>
      <c r="BN45" s="6">
        <v>2.758</v>
      </c>
      <c r="BO45" s="6">
        <v>2.786</v>
      </c>
      <c r="BP45">
        <v>2.8650000000000002</v>
      </c>
      <c r="BQ45" s="7">
        <v>45702</v>
      </c>
      <c r="BR45">
        <v>3.2189999999999999</v>
      </c>
      <c r="BS45">
        <v>3.121</v>
      </c>
      <c r="BT45">
        <v>3.085</v>
      </c>
      <c r="BU45">
        <v>3.1680000000000001</v>
      </c>
      <c r="BV45">
        <v>3.2109999999999999</v>
      </c>
      <c r="BW45" s="6">
        <v>3.2280000000000002</v>
      </c>
      <c r="BX45" s="6">
        <v>3.2690000000000001</v>
      </c>
      <c r="BY45">
        <v>3.3180000000000001</v>
      </c>
      <c r="BZ45" s="7">
        <v>45702</v>
      </c>
      <c r="CA45">
        <v>2.819</v>
      </c>
      <c r="CB45">
        <v>2.8079999999999998</v>
      </c>
      <c r="CC45">
        <v>2.8039999999999998</v>
      </c>
      <c r="CD45">
        <v>2.782</v>
      </c>
      <c r="CE45">
        <v>2.8090000000000002</v>
      </c>
      <c r="CF45" s="6">
        <v>2.8559999999999999</v>
      </c>
      <c r="CG45" s="6">
        <v>2.8919999999999999</v>
      </c>
      <c r="CH45">
        <v>2.9169999999999998</v>
      </c>
      <c r="CJ45" s="6" t="s">
        <v>145</v>
      </c>
      <c r="CK45" s="6" t="s">
        <v>146</v>
      </c>
    </row>
    <row r="46" spans="2:89">
      <c r="B46" s="7">
        <v>45701</v>
      </c>
      <c r="C46">
        <v>2.7</v>
      </c>
      <c r="D46">
        <v>2.6429999999999998</v>
      </c>
      <c r="E46">
        <v>2.66</v>
      </c>
      <c r="F46">
        <v>2.6789999999999998</v>
      </c>
      <c r="G46">
        <v>2.6909999999999998</v>
      </c>
      <c r="H46">
        <v>2.625</v>
      </c>
      <c r="I46" s="6">
        <v>2.74</v>
      </c>
      <c r="J46" s="6">
        <v>2.7269999999999999</v>
      </c>
      <c r="K46" s="6">
        <v>2.8820000000000001</v>
      </c>
      <c r="L46" s="6">
        <v>2.8719999999999999</v>
      </c>
      <c r="M46" s="6">
        <v>2.7839999999999998</v>
      </c>
      <c r="N46" s="6">
        <v>2.714</v>
      </c>
      <c r="O46" s="7">
        <v>45701</v>
      </c>
      <c r="P46">
        <v>2.7160000000000002</v>
      </c>
      <c r="Q46">
        <v>2.625</v>
      </c>
      <c r="R46">
        <v>2.5990000000000002</v>
      </c>
      <c r="S46">
        <v>2.6920000000000002</v>
      </c>
      <c r="T46">
        <v>2.68</v>
      </c>
      <c r="U46" s="6">
        <v>2.7050000000000001</v>
      </c>
      <c r="V46" s="6">
        <v>0</v>
      </c>
      <c r="W46">
        <v>0</v>
      </c>
      <c r="X46" s="7">
        <v>45701</v>
      </c>
      <c r="Y46">
        <v>2.746</v>
      </c>
      <c r="Z46">
        <v>2.738</v>
      </c>
      <c r="AA46">
        <v>2.72</v>
      </c>
      <c r="AB46">
        <v>2.7069999999999999</v>
      </c>
      <c r="AC46">
        <v>2.72</v>
      </c>
      <c r="AD46" s="6">
        <v>2.7530000000000001</v>
      </c>
      <c r="AE46" s="6">
        <v>2.7890000000000001</v>
      </c>
      <c r="AF46">
        <v>2.89</v>
      </c>
      <c r="AG46" s="7">
        <v>45701</v>
      </c>
      <c r="AH46">
        <v>2.9289999999999998</v>
      </c>
      <c r="AI46">
        <v>2.8159999999999998</v>
      </c>
      <c r="AJ46">
        <v>2.8079999999999998</v>
      </c>
      <c r="AK46">
        <v>2.8149999999999999</v>
      </c>
      <c r="AL46">
        <v>2.7850000000000001</v>
      </c>
      <c r="AM46" s="6">
        <v>2.79</v>
      </c>
      <c r="AN46" s="6">
        <v>2.8170000000000002</v>
      </c>
      <c r="AO46">
        <v>2.8969999999999998</v>
      </c>
      <c r="AP46" s="7">
        <v>45701</v>
      </c>
      <c r="AQ46">
        <v>3.1480000000000001</v>
      </c>
      <c r="AR46">
        <v>3.085</v>
      </c>
      <c r="AS46">
        <v>2.9910000000000001</v>
      </c>
      <c r="AT46">
        <v>3.0329999999999999</v>
      </c>
      <c r="AU46">
        <v>3.1160000000000001</v>
      </c>
      <c r="AV46" s="6">
        <v>3.1989999999999998</v>
      </c>
      <c r="AW46" s="6">
        <v>3.2629999999999999</v>
      </c>
      <c r="AX46">
        <v>3.3559999999999999</v>
      </c>
      <c r="AY46" s="7">
        <v>45701</v>
      </c>
      <c r="AZ46">
        <v>2.9489999999999998</v>
      </c>
      <c r="BA46">
        <v>2.8370000000000002</v>
      </c>
      <c r="BB46">
        <v>2.774</v>
      </c>
      <c r="BC46">
        <v>2.8210000000000002</v>
      </c>
      <c r="BD46">
        <v>2.85</v>
      </c>
      <c r="BE46" s="6">
        <v>2.871</v>
      </c>
      <c r="BF46" s="6">
        <v>2.9</v>
      </c>
      <c r="BG46">
        <v>2.9460000000000002</v>
      </c>
      <c r="BH46" s="7">
        <v>45701</v>
      </c>
      <c r="BI46">
        <v>2.8889999999999998</v>
      </c>
      <c r="BJ46">
        <v>2.7589999999999999</v>
      </c>
      <c r="BK46">
        <v>2.7069999999999999</v>
      </c>
      <c r="BL46">
        <v>2.75</v>
      </c>
      <c r="BM46">
        <v>2.7669999999999999</v>
      </c>
      <c r="BN46" s="6">
        <v>2.7759999999999998</v>
      </c>
      <c r="BO46" s="6">
        <v>2.802</v>
      </c>
      <c r="BP46">
        <v>2.8860000000000001</v>
      </c>
      <c r="BQ46" s="7">
        <v>45701</v>
      </c>
      <c r="BR46">
        <v>3.218</v>
      </c>
      <c r="BS46">
        <v>3.1349999999999998</v>
      </c>
      <c r="BT46">
        <v>3.0939999999999999</v>
      </c>
      <c r="BU46">
        <v>3.1779999999999999</v>
      </c>
      <c r="BV46">
        <v>3.2280000000000002</v>
      </c>
      <c r="BW46" s="6">
        <v>3.2450000000000001</v>
      </c>
      <c r="BX46" s="6">
        <v>3.2839999999999998</v>
      </c>
      <c r="BY46">
        <v>3.34</v>
      </c>
      <c r="BZ46" s="7">
        <v>45701</v>
      </c>
      <c r="CA46">
        <v>2.827</v>
      </c>
      <c r="CB46">
        <v>2.8210000000000002</v>
      </c>
      <c r="CC46">
        <v>2.8130000000000002</v>
      </c>
      <c r="CD46">
        <v>2.7970000000000002</v>
      </c>
      <c r="CE46">
        <v>2.8170000000000002</v>
      </c>
      <c r="CF46" s="6">
        <v>2.8730000000000002</v>
      </c>
      <c r="CG46" s="6">
        <v>2.9049999999999998</v>
      </c>
      <c r="CH46">
        <v>2.9460000000000002</v>
      </c>
      <c r="CJ46" s="6" t="s">
        <v>147</v>
      </c>
      <c r="CK46" s="6" t="s">
        <v>148</v>
      </c>
    </row>
    <row r="47" spans="2:89">
      <c r="B47" s="7">
        <v>45700</v>
      </c>
      <c r="C47">
        <v>2.7160000000000002</v>
      </c>
      <c r="D47">
        <v>2.6459999999999999</v>
      </c>
      <c r="E47">
        <v>2.6709999999999998</v>
      </c>
      <c r="F47">
        <v>2.694</v>
      </c>
      <c r="G47">
        <v>2.7040000000000002</v>
      </c>
      <c r="H47">
        <v>2.645</v>
      </c>
      <c r="I47" s="6">
        <v>2.7549999999999999</v>
      </c>
      <c r="J47" s="6">
        <v>2.742</v>
      </c>
      <c r="K47" s="6">
        <v>2.8919999999999999</v>
      </c>
      <c r="L47" s="6">
        <v>2.88</v>
      </c>
      <c r="M47" s="6">
        <v>2.7730000000000001</v>
      </c>
      <c r="N47" s="6">
        <v>2.6970000000000001</v>
      </c>
      <c r="O47" s="7">
        <v>45700</v>
      </c>
      <c r="P47">
        <v>2.72</v>
      </c>
      <c r="Q47">
        <v>2.6309999999999998</v>
      </c>
      <c r="R47">
        <v>2.6059999999999999</v>
      </c>
      <c r="S47">
        <v>2.7090000000000001</v>
      </c>
      <c r="T47">
        <v>2.6970000000000001</v>
      </c>
      <c r="U47" s="6">
        <v>2.7250000000000001</v>
      </c>
      <c r="V47" s="6">
        <v>0</v>
      </c>
      <c r="W47">
        <v>0</v>
      </c>
      <c r="X47" s="7">
        <v>45700</v>
      </c>
      <c r="Y47">
        <v>2.7690000000000001</v>
      </c>
      <c r="Z47">
        <v>2.7450000000000001</v>
      </c>
      <c r="AA47">
        <v>2.7280000000000002</v>
      </c>
      <c r="AB47">
        <v>2.7229999999999999</v>
      </c>
      <c r="AC47">
        <v>2.734</v>
      </c>
      <c r="AD47" s="6">
        <v>2.7730000000000001</v>
      </c>
      <c r="AE47" s="6">
        <v>2.8050000000000002</v>
      </c>
      <c r="AF47">
        <v>2.91</v>
      </c>
      <c r="AG47" s="7">
        <v>45700</v>
      </c>
      <c r="AH47">
        <v>2.9289999999999998</v>
      </c>
      <c r="AI47">
        <v>2.8210000000000002</v>
      </c>
      <c r="AJ47">
        <v>2.81</v>
      </c>
      <c r="AK47">
        <v>2.8210000000000002</v>
      </c>
      <c r="AL47">
        <v>2.7959999999999998</v>
      </c>
      <c r="AM47" s="6">
        <v>2.81</v>
      </c>
      <c r="AN47" s="6">
        <v>2.831</v>
      </c>
      <c r="AO47">
        <v>2.9119999999999999</v>
      </c>
      <c r="AP47" s="7">
        <v>45700</v>
      </c>
      <c r="AQ47">
        <v>3.1509999999999998</v>
      </c>
      <c r="AR47">
        <v>3.0910000000000002</v>
      </c>
      <c r="AS47">
        <v>2.9980000000000002</v>
      </c>
      <c r="AT47">
        <v>3.0489999999999999</v>
      </c>
      <c r="AU47">
        <v>3.1309999999999998</v>
      </c>
      <c r="AV47" s="6">
        <v>3.2210000000000001</v>
      </c>
      <c r="AW47" s="6">
        <v>3.2850000000000001</v>
      </c>
      <c r="AX47">
        <v>3.3769999999999998</v>
      </c>
      <c r="AY47" s="7">
        <v>45700</v>
      </c>
      <c r="AZ47">
        <v>2.95</v>
      </c>
      <c r="BA47">
        <v>2.843</v>
      </c>
      <c r="BB47">
        <v>2.7759999999999998</v>
      </c>
      <c r="BC47">
        <v>2.83</v>
      </c>
      <c r="BD47">
        <v>2.8650000000000002</v>
      </c>
      <c r="BE47" s="6">
        <v>2.8860000000000001</v>
      </c>
      <c r="BF47" s="6">
        <v>2.9159999999999999</v>
      </c>
      <c r="BG47">
        <v>2.9620000000000002</v>
      </c>
      <c r="BH47" s="7">
        <v>45700</v>
      </c>
      <c r="BI47">
        <v>2.891</v>
      </c>
      <c r="BJ47">
        <v>2.766</v>
      </c>
      <c r="BK47">
        <v>2.7109999999999999</v>
      </c>
      <c r="BL47">
        <v>2.76</v>
      </c>
      <c r="BM47">
        <v>2.7829999999999999</v>
      </c>
      <c r="BN47" s="6">
        <v>2.7919999999999998</v>
      </c>
      <c r="BO47" s="6">
        <v>2.8170000000000002</v>
      </c>
      <c r="BP47">
        <v>2.9009999999999998</v>
      </c>
      <c r="BQ47" s="7">
        <v>45700</v>
      </c>
      <c r="BR47">
        <v>3.2189999999999999</v>
      </c>
      <c r="BS47">
        <v>3.1419999999999999</v>
      </c>
      <c r="BT47">
        <v>3.0990000000000002</v>
      </c>
      <c r="BU47">
        <v>3.1880000000000002</v>
      </c>
      <c r="BV47">
        <v>3.2429999999999999</v>
      </c>
      <c r="BW47" s="6">
        <v>3.2610000000000001</v>
      </c>
      <c r="BX47" s="6">
        <v>3.2989999999999999</v>
      </c>
      <c r="BY47">
        <v>3.3559999999999999</v>
      </c>
      <c r="BZ47" s="7">
        <v>45700</v>
      </c>
      <c r="CA47">
        <v>2.851</v>
      </c>
      <c r="CB47">
        <v>2.8279999999999998</v>
      </c>
      <c r="CC47">
        <v>2.8210000000000002</v>
      </c>
      <c r="CD47">
        <v>2.8119999999999998</v>
      </c>
      <c r="CE47">
        <v>2.83</v>
      </c>
      <c r="CF47" s="6">
        <v>2.8929999999999998</v>
      </c>
      <c r="CG47" s="6">
        <v>2.9209999999999998</v>
      </c>
      <c r="CH47">
        <v>2.9660000000000002</v>
      </c>
      <c r="CJ47" s="6" t="s">
        <v>149</v>
      </c>
      <c r="CK47" s="6" t="s">
        <v>150</v>
      </c>
    </row>
    <row r="48" spans="2:89">
      <c r="B48" s="7">
        <v>45699</v>
      </c>
      <c r="C48">
        <v>2.7280000000000002</v>
      </c>
      <c r="D48">
        <v>2.6480000000000001</v>
      </c>
      <c r="E48">
        <v>2.6680000000000001</v>
      </c>
      <c r="F48">
        <v>2.6880000000000002</v>
      </c>
      <c r="G48">
        <v>2.6949999999999998</v>
      </c>
      <c r="H48">
        <v>2.637</v>
      </c>
      <c r="I48" s="6">
        <v>2.74</v>
      </c>
      <c r="J48" s="6">
        <v>2.72</v>
      </c>
      <c r="K48" s="6">
        <v>2.8679999999999999</v>
      </c>
      <c r="L48" s="6">
        <v>2.8519999999999999</v>
      </c>
      <c r="M48" s="6">
        <v>2.7549999999999999</v>
      </c>
      <c r="N48" s="6">
        <v>2.6859999999999999</v>
      </c>
      <c r="O48" s="7">
        <v>45699</v>
      </c>
      <c r="P48">
        <v>2.72</v>
      </c>
      <c r="Q48">
        <v>2.6269999999999998</v>
      </c>
      <c r="R48">
        <v>2.6</v>
      </c>
      <c r="S48">
        <v>2.7050000000000001</v>
      </c>
      <c r="T48">
        <v>2.6850000000000001</v>
      </c>
      <c r="U48" s="6">
        <v>2.71</v>
      </c>
      <c r="V48" s="6">
        <v>0</v>
      </c>
      <c r="W48">
        <v>0</v>
      </c>
      <c r="X48" s="7">
        <v>45699</v>
      </c>
      <c r="Y48">
        <v>2.7839999999999998</v>
      </c>
      <c r="Z48">
        <v>2.7490000000000001</v>
      </c>
      <c r="AA48">
        <v>2.726</v>
      </c>
      <c r="AB48">
        <v>2.718</v>
      </c>
      <c r="AC48">
        <v>2.7250000000000001</v>
      </c>
      <c r="AD48" s="6">
        <v>2.7650000000000001</v>
      </c>
      <c r="AE48" s="6">
        <v>2.7890000000000001</v>
      </c>
      <c r="AF48">
        <v>2.89</v>
      </c>
      <c r="AG48" s="7">
        <v>45699</v>
      </c>
      <c r="AH48">
        <v>2.927</v>
      </c>
      <c r="AI48">
        <v>2.8140000000000001</v>
      </c>
      <c r="AJ48">
        <v>2.7989999999999999</v>
      </c>
      <c r="AK48">
        <v>2.8109999999999999</v>
      </c>
      <c r="AL48">
        <v>2.7829999999999999</v>
      </c>
      <c r="AM48" s="6">
        <v>2.8039999999999998</v>
      </c>
      <c r="AN48" s="6">
        <v>2.819</v>
      </c>
      <c r="AO48">
        <v>2.8959999999999999</v>
      </c>
      <c r="AP48" s="7">
        <v>45699</v>
      </c>
      <c r="AQ48">
        <v>3.153</v>
      </c>
      <c r="AR48">
        <v>3.0880000000000001</v>
      </c>
      <c r="AS48">
        <v>2.992</v>
      </c>
      <c r="AT48">
        <v>3.0470000000000002</v>
      </c>
      <c r="AU48">
        <v>3.121</v>
      </c>
      <c r="AV48" s="6">
        <v>3.2130000000000001</v>
      </c>
      <c r="AW48" s="6">
        <v>3.27</v>
      </c>
      <c r="AX48">
        <v>3.355</v>
      </c>
      <c r="AY48" s="7">
        <v>45699</v>
      </c>
      <c r="AZ48">
        <v>2.95</v>
      </c>
      <c r="BA48">
        <v>2.8410000000000002</v>
      </c>
      <c r="BB48">
        <v>2.7690000000000001</v>
      </c>
      <c r="BC48">
        <v>2.8260000000000001</v>
      </c>
      <c r="BD48">
        <v>2.8519999999999999</v>
      </c>
      <c r="BE48" s="6">
        <v>2.88</v>
      </c>
      <c r="BF48" s="6">
        <v>2.907</v>
      </c>
      <c r="BG48">
        <v>2.95</v>
      </c>
      <c r="BH48" s="7">
        <v>45699</v>
      </c>
      <c r="BI48">
        <v>2.891</v>
      </c>
      <c r="BJ48">
        <v>2.7629999999999999</v>
      </c>
      <c r="BK48">
        <v>2.7040000000000002</v>
      </c>
      <c r="BL48">
        <v>2.7559999999999998</v>
      </c>
      <c r="BM48">
        <v>2.7690000000000001</v>
      </c>
      <c r="BN48" s="6">
        <v>2.786</v>
      </c>
      <c r="BO48" s="6">
        <v>2.8079999999999998</v>
      </c>
      <c r="BP48">
        <v>2.8820000000000001</v>
      </c>
      <c r="BQ48" s="7">
        <v>45699</v>
      </c>
      <c r="BR48">
        <v>3.2189999999999999</v>
      </c>
      <c r="BS48">
        <v>3.1389999999999998</v>
      </c>
      <c r="BT48">
        <v>3.0910000000000002</v>
      </c>
      <c r="BU48">
        <v>3.1840000000000002</v>
      </c>
      <c r="BV48">
        <v>3.23</v>
      </c>
      <c r="BW48" s="6">
        <v>3.2549999999999999</v>
      </c>
      <c r="BX48" s="6">
        <v>3.29</v>
      </c>
      <c r="BY48">
        <v>3.3439999999999999</v>
      </c>
      <c r="BZ48" s="7">
        <v>45699</v>
      </c>
      <c r="CA48">
        <v>2.8660000000000001</v>
      </c>
      <c r="CB48">
        <v>2.8319999999999999</v>
      </c>
      <c r="CC48">
        <v>2.819</v>
      </c>
      <c r="CD48">
        <v>2.8069999999999999</v>
      </c>
      <c r="CE48">
        <v>2.8210000000000002</v>
      </c>
      <c r="CF48" s="6">
        <v>2.8849999999999998</v>
      </c>
      <c r="CG48" s="6">
        <v>2.9049999999999998</v>
      </c>
      <c r="CH48">
        <v>2.9460000000000002</v>
      </c>
      <c r="CJ48" s="6" t="s">
        <v>151</v>
      </c>
      <c r="CK48" s="6" t="s">
        <v>152</v>
      </c>
    </row>
    <row r="49" spans="2:89">
      <c r="B49" s="7">
        <v>45698</v>
      </c>
      <c r="C49">
        <v>2.7280000000000002</v>
      </c>
      <c r="D49">
        <v>2.64</v>
      </c>
      <c r="E49">
        <v>2.6779999999999999</v>
      </c>
      <c r="F49">
        <v>2.6850000000000001</v>
      </c>
      <c r="G49">
        <v>2.6960000000000002</v>
      </c>
      <c r="H49">
        <v>2.6320000000000001</v>
      </c>
      <c r="I49" s="6">
        <v>2.7250000000000001</v>
      </c>
      <c r="J49" s="6">
        <v>2.7120000000000002</v>
      </c>
      <c r="K49" s="6">
        <v>2.8580000000000001</v>
      </c>
      <c r="L49" s="6">
        <v>2.8370000000000002</v>
      </c>
      <c r="M49" s="6">
        <v>2.7480000000000002</v>
      </c>
      <c r="N49" s="6">
        <v>2.6819999999999999</v>
      </c>
      <c r="O49" s="7">
        <v>45698</v>
      </c>
      <c r="P49">
        <v>2.7250000000000001</v>
      </c>
      <c r="Q49">
        <v>2.6320000000000001</v>
      </c>
      <c r="R49">
        <v>2.6139999999999999</v>
      </c>
      <c r="S49">
        <v>2.71</v>
      </c>
      <c r="T49">
        <v>2.68</v>
      </c>
      <c r="U49" s="6">
        <v>2.698</v>
      </c>
      <c r="V49" s="6">
        <v>0</v>
      </c>
      <c r="W49">
        <v>0</v>
      </c>
      <c r="X49" s="7">
        <v>45698</v>
      </c>
      <c r="Y49">
        <v>2.7839999999999998</v>
      </c>
      <c r="Z49">
        <v>2.7410000000000001</v>
      </c>
      <c r="AA49">
        <v>2.7360000000000002</v>
      </c>
      <c r="AB49">
        <v>2.7160000000000002</v>
      </c>
      <c r="AC49">
        <v>2.726</v>
      </c>
      <c r="AD49" s="6">
        <v>2.758</v>
      </c>
      <c r="AE49" s="6">
        <v>2.7749999999999999</v>
      </c>
      <c r="AF49">
        <v>2.875</v>
      </c>
      <c r="AG49" s="7">
        <v>45698</v>
      </c>
      <c r="AH49">
        <v>2.9319999999999999</v>
      </c>
      <c r="AI49">
        <v>2.8140000000000001</v>
      </c>
      <c r="AJ49">
        <v>2.8050000000000002</v>
      </c>
      <c r="AK49">
        <v>2.8119999999999998</v>
      </c>
      <c r="AL49">
        <v>2.7810000000000001</v>
      </c>
      <c r="AM49" s="6">
        <v>2.802</v>
      </c>
      <c r="AN49" s="6">
        <v>2.8109999999999999</v>
      </c>
      <c r="AO49">
        <v>2.8940000000000001</v>
      </c>
      <c r="AP49" s="7">
        <v>45698</v>
      </c>
      <c r="AQ49">
        <v>3.161</v>
      </c>
      <c r="AR49">
        <v>3.0950000000000002</v>
      </c>
      <c r="AS49">
        <v>3.0059999999999998</v>
      </c>
      <c r="AT49">
        <v>3.052</v>
      </c>
      <c r="AU49">
        <v>3.1179999999999999</v>
      </c>
      <c r="AV49" s="6">
        <v>3.21</v>
      </c>
      <c r="AW49" s="6">
        <v>3.2570000000000001</v>
      </c>
      <c r="AX49">
        <v>3.347</v>
      </c>
      <c r="AY49" s="7">
        <v>45698</v>
      </c>
      <c r="AZ49">
        <v>2.9569999999999999</v>
      </c>
      <c r="BA49">
        <v>2.84</v>
      </c>
      <c r="BB49">
        <v>2.7789999999999999</v>
      </c>
      <c r="BC49">
        <v>2.8330000000000002</v>
      </c>
      <c r="BD49">
        <v>2.851</v>
      </c>
      <c r="BE49" s="6">
        <v>2.8780000000000001</v>
      </c>
      <c r="BF49" s="6">
        <v>2.895</v>
      </c>
      <c r="BG49">
        <v>2.9489999999999998</v>
      </c>
      <c r="BH49" s="7">
        <v>45698</v>
      </c>
      <c r="BI49">
        <v>2.8969999999999998</v>
      </c>
      <c r="BJ49">
        <v>2.7629999999999999</v>
      </c>
      <c r="BK49">
        <v>2.714</v>
      </c>
      <c r="BL49">
        <v>2.762</v>
      </c>
      <c r="BM49">
        <v>2.7679999999999998</v>
      </c>
      <c r="BN49" s="6">
        <v>2.7829999999999999</v>
      </c>
      <c r="BO49" s="6">
        <v>2.7959999999999998</v>
      </c>
      <c r="BP49">
        <v>2.871</v>
      </c>
      <c r="BQ49" s="7">
        <v>45698</v>
      </c>
      <c r="BR49">
        <v>3.226</v>
      </c>
      <c r="BS49">
        <v>3.1389999999999998</v>
      </c>
      <c r="BT49">
        <v>3.101</v>
      </c>
      <c r="BU49">
        <v>3.1909999999999998</v>
      </c>
      <c r="BV49">
        <v>3.2290000000000001</v>
      </c>
      <c r="BW49" s="6">
        <v>3.2519999999999998</v>
      </c>
      <c r="BX49" s="6">
        <v>3.2789999999999999</v>
      </c>
      <c r="BY49">
        <v>3.3410000000000002</v>
      </c>
      <c r="BZ49" s="7">
        <v>45698</v>
      </c>
      <c r="CA49">
        <v>2.8660000000000001</v>
      </c>
      <c r="CB49">
        <v>2.823</v>
      </c>
      <c r="CC49">
        <v>2.8290000000000002</v>
      </c>
      <c r="CD49">
        <v>2.8050000000000002</v>
      </c>
      <c r="CE49">
        <v>2.8220000000000001</v>
      </c>
      <c r="CF49" s="6">
        <v>2.8780000000000001</v>
      </c>
      <c r="CG49" s="6">
        <v>2.8919999999999999</v>
      </c>
      <c r="CH49">
        <v>2.9359999999999999</v>
      </c>
      <c r="CJ49" s="6" t="s">
        <v>153</v>
      </c>
      <c r="CK49" s="6" t="s">
        <v>154</v>
      </c>
    </row>
    <row r="50" spans="2:89">
      <c r="B50" s="7">
        <v>45695</v>
      </c>
      <c r="C50">
        <v>2.7280000000000002</v>
      </c>
      <c r="D50">
        <v>2.64</v>
      </c>
      <c r="E50">
        <v>2.6880000000000002</v>
      </c>
      <c r="F50">
        <v>2.7</v>
      </c>
      <c r="G50">
        <v>2.7050000000000001</v>
      </c>
      <c r="H50">
        <v>2.645</v>
      </c>
      <c r="I50" s="6">
        <v>2.7360000000000002</v>
      </c>
      <c r="J50" s="6">
        <v>2.722</v>
      </c>
      <c r="K50" s="6">
        <v>2.8610000000000002</v>
      </c>
      <c r="L50" s="6">
        <v>2.84</v>
      </c>
      <c r="M50" s="6">
        <v>2.7389999999999999</v>
      </c>
      <c r="N50" s="6">
        <v>2.677</v>
      </c>
      <c r="O50" s="7">
        <v>45695</v>
      </c>
      <c r="P50">
        <v>2.7250000000000001</v>
      </c>
      <c r="Q50">
        <v>2.6349999999999998</v>
      </c>
      <c r="R50">
        <v>2.6259999999999999</v>
      </c>
      <c r="S50">
        <v>2.726</v>
      </c>
      <c r="T50">
        <v>2.69</v>
      </c>
      <c r="U50" s="6">
        <v>2.71</v>
      </c>
      <c r="V50" s="6">
        <v>0</v>
      </c>
      <c r="W50">
        <v>0</v>
      </c>
      <c r="X50" s="7">
        <v>45695</v>
      </c>
      <c r="Y50">
        <v>2.7839999999999998</v>
      </c>
      <c r="Z50">
        <v>2.7410000000000001</v>
      </c>
      <c r="AA50">
        <v>2.746</v>
      </c>
      <c r="AB50">
        <v>2.7280000000000002</v>
      </c>
      <c r="AC50">
        <v>2.7349999999999999</v>
      </c>
      <c r="AD50" s="6">
        <v>2.7709999999999999</v>
      </c>
      <c r="AE50" s="6">
        <v>2.7850000000000001</v>
      </c>
      <c r="AF50">
        <v>2.875</v>
      </c>
      <c r="AG50" s="7">
        <v>45695</v>
      </c>
      <c r="AH50">
        <v>2.9350000000000001</v>
      </c>
      <c r="AI50">
        <v>2.8149999999999999</v>
      </c>
      <c r="AJ50">
        <v>2.8109999999999999</v>
      </c>
      <c r="AK50">
        <v>2.8220000000000001</v>
      </c>
      <c r="AL50">
        <v>2.7879999999999998</v>
      </c>
      <c r="AM50" s="6">
        <v>2.8159999999999998</v>
      </c>
      <c r="AN50" s="6">
        <v>2.8250000000000002</v>
      </c>
      <c r="AO50">
        <v>2.9079999999999999</v>
      </c>
      <c r="AP50" s="7">
        <v>45695</v>
      </c>
      <c r="AQ50">
        <v>3.173</v>
      </c>
      <c r="AR50">
        <v>3.1070000000000002</v>
      </c>
      <c r="AS50">
        <v>3.0230000000000001</v>
      </c>
      <c r="AT50">
        <v>3.07</v>
      </c>
      <c r="AU50">
        <v>3.133</v>
      </c>
      <c r="AV50" s="6">
        <v>3.226</v>
      </c>
      <c r="AW50" s="6">
        <v>3.27</v>
      </c>
      <c r="AX50">
        <v>3.359</v>
      </c>
      <c r="AY50" s="7">
        <v>45695</v>
      </c>
      <c r="AZ50">
        <v>2.9550000000000001</v>
      </c>
      <c r="BA50">
        <v>2.8410000000000002</v>
      </c>
      <c r="BB50">
        <v>2.7890000000000001</v>
      </c>
      <c r="BC50">
        <v>2.85</v>
      </c>
      <c r="BD50">
        <v>2.863</v>
      </c>
      <c r="BE50" s="6">
        <v>2.891</v>
      </c>
      <c r="BF50" s="6">
        <v>2.9060000000000001</v>
      </c>
      <c r="BG50">
        <v>2.9580000000000002</v>
      </c>
      <c r="BH50" s="7">
        <v>45695</v>
      </c>
      <c r="BI50">
        <v>2.8969999999999998</v>
      </c>
      <c r="BJ50">
        <v>2.766</v>
      </c>
      <c r="BK50">
        <v>2.7240000000000002</v>
      </c>
      <c r="BL50">
        <v>2.78</v>
      </c>
      <c r="BM50">
        <v>2.7810000000000001</v>
      </c>
      <c r="BN50" s="6">
        <v>2.798</v>
      </c>
      <c r="BO50" s="6">
        <v>2.8079999999999998</v>
      </c>
      <c r="BP50">
        <v>2.8780000000000001</v>
      </c>
      <c r="BQ50" s="7">
        <v>45695</v>
      </c>
      <c r="BR50">
        <v>3.2240000000000002</v>
      </c>
      <c r="BS50">
        <v>3.1389999999999998</v>
      </c>
      <c r="BT50">
        <v>3.1110000000000002</v>
      </c>
      <c r="BU50">
        <v>3.2080000000000002</v>
      </c>
      <c r="BV50">
        <v>3.2410000000000001</v>
      </c>
      <c r="BW50" s="6">
        <v>3.266</v>
      </c>
      <c r="BX50" s="6">
        <v>3.2890000000000001</v>
      </c>
      <c r="BY50">
        <v>3.351</v>
      </c>
      <c r="BZ50" s="7">
        <v>45695</v>
      </c>
      <c r="CA50">
        <v>2.8660000000000001</v>
      </c>
      <c r="CB50">
        <v>2.823</v>
      </c>
      <c r="CC50">
        <v>2.839</v>
      </c>
      <c r="CD50">
        <v>2.8180000000000001</v>
      </c>
      <c r="CE50">
        <v>2.831</v>
      </c>
      <c r="CF50" s="6">
        <v>2.891</v>
      </c>
      <c r="CG50" s="6">
        <v>2.9020000000000001</v>
      </c>
      <c r="CH50">
        <v>2.9359999999999999</v>
      </c>
      <c r="CJ50" s="6" t="s">
        <v>155</v>
      </c>
      <c r="CK50" s="6" t="s">
        <v>156</v>
      </c>
    </row>
    <row r="51" spans="2:89">
      <c r="B51" s="7">
        <v>45694</v>
      </c>
      <c r="C51">
        <v>2.7250000000000001</v>
      </c>
      <c r="D51">
        <v>2.6360000000000001</v>
      </c>
      <c r="E51">
        <v>2.6840000000000002</v>
      </c>
      <c r="F51">
        <v>2.67</v>
      </c>
      <c r="G51">
        <v>2.67</v>
      </c>
      <c r="H51">
        <v>2.5880000000000001</v>
      </c>
      <c r="I51" s="6">
        <v>2.6960000000000002</v>
      </c>
      <c r="J51" s="6">
        <v>2.68</v>
      </c>
      <c r="K51" s="6">
        <v>2.8210000000000002</v>
      </c>
      <c r="L51" s="6">
        <v>2.8029999999999999</v>
      </c>
      <c r="M51" s="6">
        <v>2.7360000000000002</v>
      </c>
      <c r="N51" s="6">
        <v>2.6749999999999998</v>
      </c>
      <c r="O51" s="7">
        <v>45694</v>
      </c>
      <c r="P51">
        <v>2.7229999999999999</v>
      </c>
      <c r="Q51">
        <v>2.6339999999999999</v>
      </c>
      <c r="R51">
        <v>2.6269999999999998</v>
      </c>
      <c r="S51">
        <v>2.6989999999999998</v>
      </c>
      <c r="T51">
        <v>2.66</v>
      </c>
      <c r="U51" s="6">
        <v>2.6739999999999999</v>
      </c>
      <c r="V51" s="6">
        <v>0</v>
      </c>
      <c r="W51">
        <v>0</v>
      </c>
      <c r="X51" s="7">
        <v>45694</v>
      </c>
      <c r="Y51">
        <v>2.7810000000000001</v>
      </c>
      <c r="Z51">
        <v>2.7370000000000001</v>
      </c>
      <c r="AA51">
        <v>2.746</v>
      </c>
      <c r="AB51">
        <v>2.694</v>
      </c>
      <c r="AC51">
        <v>2.6989999999999998</v>
      </c>
      <c r="AD51" s="6">
        <v>2.714</v>
      </c>
      <c r="AE51" s="6">
        <v>2.7450000000000001</v>
      </c>
      <c r="AF51">
        <v>2.83</v>
      </c>
      <c r="AG51" s="7">
        <v>45694</v>
      </c>
      <c r="AH51">
        <v>2.94</v>
      </c>
      <c r="AI51">
        <v>2.8149999999999999</v>
      </c>
      <c r="AJ51">
        <v>2.802</v>
      </c>
      <c r="AK51">
        <v>2.8050000000000002</v>
      </c>
      <c r="AL51">
        <v>2.7650000000000001</v>
      </c>
      <c r="AM51" s="6">
        <v>2.7629999999999999</v>
      </c>
      <c r="AN51" s="6">
        <v>2.7869999999999999</v>
      </c>
      <c r="AO51">
        <v>2.87</v>
      </c>
      <c r="AP51" s="7">
        <v>45694</v>
      </c>
      <c r="AQ51">
        <v>3.181</v>
      </c>
      <c r="AR51">
        <v>3.117</v>
      </c>
      <c r="AS51">
        <v>3.0270000000000001</v>
      </c>
      <c r="AT51">
        <v>3.048</v>
      </c>
      <c r="AU51">
        <v>3.1080000000000001</v>
      </c>
      <c r="AV51" s="6">
        <v>3.173</v>
      </c>
      <c r="AW51" s="6">
        <v>3.2330000000000001</v>
      </c>
      <c r="AX51">
        <v>3.32</v>
      </c>
      <c r="AY51" s="7">
        <v>45694</v>
      </c>
      <c r="AZ51">
        <v>2.9540000000000002</v>
      </c>
      <c r="BA51">
        <v>2.8380000000000001</v>
      </c>
      <c r="BB51">
        <v>2.7879999999999998</v>
      </c>
      <c r="BC51">
        <v>2.827</v>
      </c>
      <c r="BD51">
        <v>2.8330000000000002</v>
      </c>
      <c r="BE51" s="6">
        <v>2.839</v>
      </c>
      <c r="BF51" s="6">
        <v>2.8690000000000002</v>
      </c>
      <c r="BG51">
        <v>2.9180000000000001</v>
      </c>
      <c r="BH51" s="7">
        <v>45694</v>
      </c>
      <c r="BI51">
        <v>2.8969999999999998</v>
      </c>
      <c r="BJ51">
        <v>2.7629999999999999</v>
      </c>
      <c r="BK51">
        <v>2.7210000000000001</v>
      </c>
      <c r="BL51">
        <v>2.7559999999999998</v>
      </c>
      <c r="BM51">
        <v>2.75</v>
      </c>
      <c r="BN51" s="6">
        <v>2.746</v>
      </c>
      <c r="BO51" s="6">
        <v>2.7669999999999999</v>
      </c>
      <c r="BP51">
        <v>2.8380000000000001</v>
      </c>
      <c r="BQ51" s="7">
        <v>45694</v>
      </c>
      <c r="BR51">
        <v>3.2229999999999999</v>
      </c>
      <c r="BS51">
        <v>3.137</v>
      </c>
      <c r="BT51">
        <v>3.1110000000000002</v>
      </c>
      <c r="BU51">
        <v>3.1840000000000002</v>
      </c>
      <c r="BV51">
        <v>3.2109999999999999</v>
      </c>
      <c r="BW51" s="6">
        <v>3.214</v>
      </c>
      <c r="BX51" s="6">
        <v>3.2519999999999998</v>
      </c>
      <c r="BY51">
        <v>3.31</v>
      </c>
      <c r="BZ51" s="7">
        <v>45694</v>
      </c>
      <c r="CA51">
        <v>2.8620000000000001</v>
      </c>
      <c r="CB51">
        <v>2.82</v>
      </c>
      <c r="CC51">
        <v>2.835</v>
      </c>
      <c r="CD51">
        <v>2.7829999999999999</v>
      </c>
      <c r="CE51">
        <v>2.7949999999999999</v>
      </c>
      <c r="CF51" s="6">
        <v>2.8340000000000001</v>
      </c>
      <c r="CG51" s="6">
        <v>2.8620000000000001</v>
      </c>
      <c r="CH51">
        <v>2.891</v>
      </c>
      <c r="CJ51" s="6" t="s">
        <v>157</v>
      </c>
      <c r="CK51" s="6" t="s">
        <v>158</v>
      </c>
    </row>
    <row r="52" spans="2:89">
      <c r="B52" s="7">
        <v>45693</v>
      </c>
      <c r="C52">
        <v>2.72</v>
      </c>
      <c r="D52">
        <v>2.6320000000000001</v>
      </c>
      <c r="E52">
        <v>2.6829999999999998</v>
      </c>
      <c r="F52">
        <v>2.657</v>
      </c>
      <c r="G52">
        <v>2.6640000000000001</v>
      </c>
      <c r="H52">
        <v>2.5720000000000001</v>
      </c>
      <c r="I52" s="6">
        <v>2.6859999999999999</v>
      </c>
      <c r="J52" s="6">
        <v>2.6749999999999998</v>
      </c>
      <c r="K52" s="6">
        <v>2.8279999999999998</v>
      </c>
      <c r="L52" s="6">
        <v>2.8119999999999998</v>
      </c>
      <c r="M52" s="6">
        <v>2.7389999999999999</v>
      </c>
      <c r="N52" s="6">
        <v>2.66</v>
      </c>
      <c r="O52" s="7">
        <v>45693</v>
      </c>
      <c r="P52">
        <v>2.7240000000000002</v>
      </c>
      <c r="Q52">
        <v>2.637</v>
      </c>
      <c r="R52">
        <v>2.6309999999999998</v>
      </c>
      <c r="S52">
        <v>2.6869999999999998</v>
      </c>
      <c r="T52">
        <v>2.645</v>
      </c>
      <c r="U52" s="6">
        <v>2.6549999999999998</v>
      </c>
      <c r="V52" s="6">
        <v>0</v>
      </c>
      <c r="W52">
        <v>0</v>
      </c>
      <c r="X52" s="7">
        <v>45693</v>
      </c>
      <c r="Y52">
        <v>2.7759999999999998</v>
      </c>
      <c r="Z52">
        <v>2.7330000000000001</v>
      </c>
      <c r="AA52">
        <v>2.7450000000000001</v>
      </c>
      <c r="AB52">
        <v>2.6819999999999999</v>
      </c>
      <c r="AC52">
        <v>2.6930000000000001</v>
      </c>
      <c r="AD52" s="6">
        <v>2.6970000000000001</v>
      </c>
      <c r="AE52" s="6">
        <v>2.7349999999999999</v>
      </c>
      <c r="AF52">
        <v>2.83</v>
      </c>
      <c r="AG52" s="7">
        <v>45693</v>
      </c>
      <c r="AH52">
        <v>2.9460000000000002</v>
      </c>
      <c r="AI52">
        <v>2.82</v>
      </c>
      <c r="AJ52">
        <v>2.8079999999999998</v>
      </c>
      <c r="AK52">
        <v>2.7949999999999999</v>
      </c>
      <c r="AL52">
        <v>2.7549999999999999</v>
      </c>
      <c r="AM52" s="6">
        <v>2.7480000000000002</v>
      </c>
      <c r="AN52" s="6">
        <v>2.7789999999999999</v>
      </c>
      <c r="AO52">
        <v>2.8660000000000001</v>
      </c>
      <c r="AP52" s="7">
        <v>45693</v>
      </c>
      <c r="AQ52">
        <v>3.1949999999999998</v>
      </c>
      <c r="AR52">
        <v>3.1309999999999998</v>
      </c>
      <c r="AS52">
        <v>3.0430000000000001</v>
      </c>
      <c r="AT52">
        <v>3.0379999999999998</v>
      </c>
      <c r="AU52">
        <v>3.1</v>
      </c>
      <c r="AV52" s="6">
        <v>3.161</v>
      </c>
      <c r="AW52" s="6">
        <v>3.2229999999999999</v>
      </c>
      <c r="AX52">
        <v>3.3140000000000001</v>
      </c>
      <c r="AY52" s="7">
        <v>45693</v>
      </c>
      <c r="AZ52">
        <v>2.9660000000000002</v>
      </c>
      <c r="BA52">
        <v>2.8420000000000001</v>
      </c>
      <c r="BB52">
        <v>2.7919999999999998</v>
      </c>
      <c r="BC52">
        <v>2.8170000000000002</v>
      </c>
      <c r="BD52">
        <v>2.819</v>
      </c>
      <c r="BE52" s="6">
        <v>2.823</v>
      </c>
      <c r="BF52" s="6">
        <v>2.8610000000000002</v>
      </c>
      <c r="BG52">
        <v>2.9180000000000001</v>
      </c>
      <c r="BH52" s="7">
        <v>45693</v>
      </c>
      <c r="BI52">
        <v>2.9079999999999999</v>
      </c>
      <c r="BJ52">
        <v>2.7669999999999999</v>
      </c>
      <c r="BK52">
        <v>2.7240000000000002</v>
      </c>
      <c r="BL52">
        <v>2.7469999999999999</v>
      </c>
      <c r="BM52">
        <v>2.7370000000000001</v>
      </c>
      <c r="BN52" s="6">
        <v>2.73</v>
      </c>
      <c r="BO52" s="6">
        <v>2.7570000000000001</v>
      </c>
      <c r="BP52">
        <v>2.8359999999999999</v>
      </c>
      <c r="BQ52" s="7">
        <v>45693</v>
      </c>
      <c r="BR52">
        <v>3.2349999999999999</v>
      </c>
      <c r="BS52">
        <v>3.141</v>
      </c>
      <c r="BT52">
        <v>3.1150000000000002</v>
      </c>
      <c r="BU52">
        <v>3.1749999999999998</v>
      </c>
      <c r="BV52">
        <v>3.1970000000000001</v>
      </c>
      <c r="BW52" s="6">
        <v>3.1960000000000002</v>
      </c>
      <c r="BX52" s="6">
        <v>3.2429999999999999</v>
      </c>
      <c r="BY52">
        <v>3.3050000000000002</v>
      </c>
      <c r="BZ52" s="7">
        <v>45693</v>
      </c>
      <c r="CA52">
        <v>2.8580000000000001</v>
      </c>
      <c r="CB52">
        <v>2.8159999999999998</v>
      </c>
      <c r="CC52">
        <v>2.8340000000000001</v>
      </c>
      <c r="CD52">
        <v>2.7709999999999999</v>
      </c>
      <c r="CE52">
        <v>2.7890000000000001</v>
      </c>
      <c r="CF52" s="6">
        <v>2.8180000000000001</v>
      </c>
      <c r="CG52" s="6">
        <v>2.8519999999999999</v>
      </c>
      <c r="CH52">
        <v>2.891</v>
      </c>
      <c r="CJ52" s="6" t="s">
        <v>159</v>
      </c>
      <c r="CK52" s="6" t="s">
        <v>160</v>
      </c>
    </row>
    <row r="53" spans="2:89">
      <c r="B53" s="7">
        <v>45692</v>
      </c>
      <c r="C53">
        <v>2.7210000000000001</v>
      </c>
      <c r="D53">
        <v>2.6379999999999999</v>
      </c>
      <c r="E53">
        <v>2.6760000000000002</v>
      </c>
      <c r="F53">
        <v>2.66</v>
      </c>
      <c r="G53">
        <v>2.673</v>
      </c>
      <c r="H53">
        <v>2.58</v>
      </c>
      <c r="I53" s="6">
        <v>2.6989999999999998</v>
      </c>
      <c r="J53" s="6">
        <v>2.702</v>
      </c>
      <c r="K53" s="6">
        <v>2.859</v>
      </c>
      <c r="L53" s="6">
        <v>2.84</v>
      </c>
      <c r="M53" s="6">
        <v>2.79</v>
      </c>
      <c r="N53" s="6">
        <v>2.7050000000000001</v>
      </c>
      <c r="O53" s="7">
        <v>45692</v>
      </c>
      <c r="P53">
        <v>2.726</v>
      </c>
      <c r="Q53">
        <v>2.6389999999999998</v>
      </c>
      <c r="R53">
        <v>2.6389999999999998</v>
      </c>
      <c r="S53">
        <v>2.6890000000000001</v>
      </c>
      <c r="T53">
        <v>2.6469999999999998</v>
      </c>
      <c r="U53" s="6">
        <v>2.665</v>
      </c>
      <c r="V53" s="6">
        <v>0</v>
      </c>
      <c r="W53">
        <v>0</v>
      </c>
      <c r="X53" s="7">
        <v>45692</v>
      </c>
      <c r="Y53">
        <v>2.7770000000000001</v>
      </c>
      <c r="Z53">
        <v>2.7389999999999999</v>
      </c>
      <c r="AA53">
        <v>2.7440000000000002</v>
      </c>
      <c r="AB53">
        <v>2.6850000000000001</v>
      </c>
      <c r="AC53">
        <v>2.702</v>
      </c>
      <c r="AD53" s="6">
        <v>2.706</v>
      </c>
      <c r="AE53" s="6">
        <v>2.7480000000000002</v>
      </c>
      <c r="AF53">
        <v>2.859</v>
      </c>
      <c r="AG53" s="7">
        <v>45692</v>
      </c>
      <c r="AH53">
        <v>2.9580000000000002</v>
      </c>
      <c r="AI53">
        <v>2.831</v>
      </c>
      <c r="AJ53">
        <v>2.8170000000000002</v>
      </c>
      <c r="AK53">
        <v>2.7989999999999999</v>
      </c>
      <c r="AL53">
        <v>2.7589999999999999</v>
      </c>
      <c r="AM53" s="6">
        <v>2.7570000000000001</v>
      </c>
      <c r="AN53" s="6">
        <v>2.794</v>
      </c>
      <c r="AO53">
        <v>2.8929999999999998</v>
      </c>
      <c r="AP53" s="7">
        <v>45692</v>
      </c>
      <c r="AQ53">
        <v>3.2050000000000001</v>
      </c>
      <c r="AR53">
        <v>3.14</v>
      </c>
      <c r="AS53">
        <v>3.0550000000000002</v>
      </c>
      <c r="AT53">
        <v>3.044</v>
      </c>
      <c r="AU53">
        <v>3.1059999999999999</v>
      </c>
      <c r="AV53" s="6">
        <v>3.173</v>
      </c>
      <c r="AW53" s="6">
        <v>3.2370000000000001</v>
      </c>
      <c r="AX53">
        <v>3.3410000000000002</v>
      </c>
      <c r="AY53" s="7">
        <v>45692</v>
      </c>
      <c r="AZ53">
        <v>2.97</v>
      </c>
      <c r="BA53">
        <v>2.8490000000000002</v>
      </c>
      <c r="BB53">
        <v>2.8010000000000002</v>
      </c>
      <c r="BC53">
        <v>2.8180000000000001</v>
      </c>
      <c r="BD53">
        <v>2.8210000000000002</v>
      </c>
      <c r="BE53" s="6">
        <v>2.831</v>
      </c>
      <c r="BF53" s="6">
        <v>2.8759999999999999</v>
      </c>
      <c r="BG53">
        <v>2.9470000000000001</v>
      </c>
      <c r="BH53" s="7">
        <v>45692</v>
      </c>
      <c r="BI53">
        <v>2.911</v>
      </c>
      <c r="BJ53">
        <v>2.774</v>
      </c>
      <c r="BK53">
        <v>2.726</v>
      </c>
      <c r="BL53">
        <v>2.7509999999999999</v>
      </c>
      <c r="BM53">
        <v>2.7429999999999999</v>
      </c>
      <c r="BN53" s="6">
        <v>2.738</v>
      </c>
      <c r="BO53" s="6">
        <v>2.7749999999999999</v>
      </c>
      <c r="BP53">
        <v>2.863</v>
      </c>
      <c r="BQ53" s="7">
        <v>45692</v>
      </c>
      <c r="BR53">
        <v>3.2370000000000001</v>
      </c>
      <c r="BS53">
        <v>3.1480000000000001</v>
      </c>
      <c r="BT53">
        <v>3.1269999999999998</v>
      </c>
      <c r="BU53">
        <v>3.18</v>
      </c>
      <c r="BV53">
        <v>3.1989999999999998</v>
      </c>
      <c r="BW53" s="6">
        <v>3.2040000000000002</v>
      </c>
      <c r="BX53" s="6">
        <v>3.2570000000000001</v>
      </c>
      <c r="BY53">
        <v>3.335</v>
      </c>
      <c r="BZ53" s="7">
        <v>45692</v>
      </c>
      <c r="CA53">
        <v>2.859</v>
      </c>
      <c r="CB53">
        <v>2.8220000000000001</v>
      </c>
      <c r="CC53">
        <v>2.8319999999999999</v>
      </c>
      <c r="CD53">
        <v>2.774</v>
      </c>
      <c r="CE53">
        <v>2.7989999999999999</v>
      </c>
      <c r="CF53" s="6">
        <v>2.8260000000000001</v>
      </c>
      <c r="CG53" s="6">
        <v>2.8639999999999999</v>
      </c>
      <c r="CH53">
        <v>2.92</v>
      </c>
      <c r="CJ53" s="6" t="s">
        <v>161</v>
      </c>
      <c r="CK53" s="6" t="s">
        <v>162</v>
      </c>
    </row>
    <row r="54" spans="2:89">
      <c r="B54" s="7">
        <v>45691</v>
      </c>
      <c r="C54">
        <v>2.7160000000000002</v>
      </c>
      <c r="D54">
        <v>2.633</v>
      </c>
      <c r="E54">
        <v>2.66</v>
      </c>
      <c r="F54">
        <v>2.65</v>
      </c>
      <c r="G54">
        <v>2.65</v>
      </c>
      <c r="H54">
        <v>2.5630000000000002</v>
      </c>
      <c r="I54" s="6">
        <v>2.681</v>
      </c>
      <c r="J54" s="6">
        <v>2.6819999999999999</v>
      </c>
      <c r="K54" s="6">
        <v>2.84</v>
      </c>
      <c r="L54" s="6">
        <v>2.8220000000000001</v>
      </c>
      <c r="M54" s="6">
        <v>2.7730000000000001</v>
      </c>
      <c r="N54" s="6">
        <v>2.72</v>
      </c>
      <c r="O54" s="7">
        <v>45691</v>
      </c>
      <c r="P54">
        <v>2.7240000000000002</v>
      </c>
      <c r="Q54">
        <v>2.637</v>
      </c>
      <c r="R54">
        <v>2.6469999999999998</v>
      </c>
      <c r="S54">
        <v>2.6789999999999998</v>
      </c>
      <c r="T54">
        <v>2.6259999999999999</v>
      </c>
      <c r="U54" s="6">
        <v>2.6440000000000001</v>
      </c>
      <c r="V54" s="6">
        <v>0</v>
      </c>
      <c r="W54">
        <v>0</v>
      </c>
      <c r="X54" s="7">
        <v>45691</v>
      </c>
      <c r="Y54">
        <v>2.7719999999999998</v>
      </c>
      <c r="Z54">
        <v>2.734</v>
      </c>
      <c r="AA54">
        <v>2.7309999999999999</v>
      </c>
      <c r="AB54">
        <v>2.6739999999999999</v>
      </c>
      <c r="AC54">
        <v>2.6789999999999998</v>
      </c>
      <c r="AD54" s="6">
        <v>2.6880000000000002</v>
      </c>
      <c r="AE54" s="6">
        <v>2.73</v>
      </c>
      <c r="AF54">
        <v>2.835</v>
      </c>
      <c r="AG54" s="7">
        <v>45691</v>
      </c>
      <c r="AH54">
        <v>2.9630000000000001</v>
      </c>
      <c r="AI54">
        <v>2.827</v>
      </c>
      <c r="AJ54">
        <v>2.8180000000000001</v>
      </c>
      <c r="AK54">
        <v>2.7879999999999998</v>
      </c>
      <c r="AL54">
        <v>2.7480000000000002</v>
      </c>
      <c r="AM54" s="6">
        <v>2.7410000000000001</v>
      </c>
      <c r="AN54" s="6">
        <v>2.778</v>
      </c>
      <c r="AO54">
        <v>2.875</v>
      </c>
      <c r="AP54" s="7">
        <v>45691</v>
      </c>
      <c r="AQ54">
        <v>3.2130000000000001</v>
      </c>
      <c r="AR54">
        <v>3.1469999999999998</v>
      </c>
      <c r="AS54">
        <v>3.0659999999999998</v>
      </c>
      <c r="AT54">
        <v>3.036</v>
      </c>
      <c r="AU54">
        <v>3.089</v>
      </c>
      <c r="AV54" s="6">
        <v>3.1589999999999998</v>
      </c>
      <c r="AW54" s="6">
        <v>3.22</v>
      </c>
      <c r="AX54">
        <v>3.3210000000000002</v>
      </c>
      <c r="AY54" s="7">
        <v>45691</v>
      </c>
      <c r="AZ54">
        <v>2.9740000000000002</v>
      </c>
      <c r="BA54">
        <v>2.8479999999999999</v>
      </c>
      <c r="BB54">
        <v>2.806</v>
      </c>
      <c r="BC54">
        <v>2.81</v>
      </c>
      <c r="BD54">
        <v>2.8119999999999998</v>
      </c>
      <c r="BE54" s="6">
        <v>2.8109999999999999</v>
      </c>
      <c r="BF54" s="6">
        <v>2.863</v>
      </c>
      <c r="BG54">
        <v>2.931</v>
      </c>
      <c r="BH54" s="7">
        <v>45691</v>
      </c>
      <c r="BI54">
        <v>2.9119999999999999</v>
      </c>
      <c r="BJ54">
        <v>2.7730000000000001</v>
      </c>
      <c r="BK54">
        <v>2.7240000000000002</v>
      </c>
      <c r="BL54">
        <v>2.7429999999999999</v>
      </c>
      <c r="BM54">
        <v>2.7349999999999999</v>
      </c>
      <c r="BN54" s="6">
        <v>2.7189999999999999</v>
      </c>
      <c r="BO54" s="6">
        <v>2.7610000000000001</v>
      </c>
      <c r="BP54">
        <v>2.8479999999999999</v>
      </c>
      <c r="BQ54" s="7">
        <v>45691</v>
      </c>
      <c r="BR54">
        <v>3.2429999999999999</v>
      </c>
      <c r="BS54">
        <v>3.1459999999999999</v>
      </c>
      <c r="BT54">
        <v>3.1320000000000001</v>
      </c>
      <c r="BU54">
        <v>3.173</v>
      </c>
      <c r="BV54">
        <v>3.19</v>
      </c>
      <c r="BW54" s="6">
        <v>3.1850000000000001</v>
      </c>
      <c r="BX54" s="6">
        <v>3.2440000000000002</v>
      </c>
      <c r="BY54">
        <v>3.3180000000000001</v>
      </c>
      <c r="BZ54" s="7">
        <v>45691</v>
      </c>
      <c r="CA54">
        <v>2.8540000000000001</v>
      </c>
      <c r="CB54">
        <v>2.8170000000000002</v>
      </c>
      <c r="CC54">
        <v>2.819</v>
      </c>
      <c r="CD54">
        <v>2.7629999999999999</v>
      </c>
      <c r="CE54">
        <v>2.7749999999999999</v>
      </c>
      <c r="CF54" s="6">
        <v>2.8090000000000002</v>
      </c>
      <c r="CG54" s="6">
        <v>2.847</v>
      </c>
      <c r="CH54">
        <v>2.8959999999999999</v>
      </c>
      <c r="CJ54" s="6" t="s">
        <v>163</v>
      </c>
      <c r="CK54" s="6" t="s">
        <v>164</v>
      </c>
    </row>
    <row r="55" spans="2:89">
      <c r="B55" s="7">
        <v>45688</v>
      </c>
      <c r="C55">
        <v>2.71</v>
      </c>
      <c r="D55">
        <v>2.63</v>
      </c>
      <c r="E55">
        <v>2.653</v>
      </c>
      <c r="F55">
        <v>2.6480000000000001</v>
      </c>
      <c r="G55">
        <v>2.645</v>
      </c>
      <c r="H55">
        <v>2.57</v>
      </c>
      <c r="I55" s="6">
        <v>2.6949999999999998</v>
      </c>
      <c r="J55" s="6">
        <v>2.702</v>
      </c>
      <c r="K55" s="6">
        <v>2.8660000000000001</v>
      </c>
      <c r="L55" s="6">
        <v>2.8570000000000002</v>
      </c>
      <c r="M55" s="6">
        <v>2.79</v>
      </c>
      <c r="N55" s="6">
        <v>2.7469999999999999</v>
      </c>
      <c r="O55" s="7">
        <v>45688</v>
      </c>
      <c r="P55">
        <v>2.7250000000000001</v>
      </c>
      <c r="Q55">
        <v>2.6379999999999999</v>
      </c>
      <c r="R55">
        <v>2.6539999999999999</v>
      </c>
      <c r="S55">
        <v>2.67</v>
      </c>
      <c r="T55">
        <v>2.621</v>
      </c>
      <c r="U55" s="6">
        <v>2.6520000000000001</v>
      </c>
      <c r="V55" s="6">
        <v>0</v>
      </c>
      <c r="W55">
        <v>0</v>
      </c>
      <c r="X55" s="7">
        <v>45688</v>
      </c>
      <c r="Y55">
        <v>2.7669999999999999</v>
      </c>
      <c r="Z55">
        <v>2.7320000000000002</v>
      </c>
      <c r="AA55">
        <v>2.722</v>
      </c>
      <c r="AB55">
        <v>2.6739999999999999</v>
      </c>
      <c r="AC55">
        <v>2.6739999999999999</v>
      </c>
      <c r="AD55" s="6">
        <v>2.6949999999999998</v>
      </c>
      <c r="AE55" s="6">
        <v>2.7440000000000002</v>
      </c>
      <c r="AF55">
        <v>2.86</v>
      </c>
      <c r="AG55" s="7">
        <v>45688</v>
      </c>
      <c r="AH55">
        <v>2.9689999999999999</v>
      </c>
      <c r="AI55">
        <v>2.831</v>
      </c>
      <c r="AJ55">
        <v>2.8220000000000001</v>
      </c>
      <c r="AK55">
        <v>2.7890000000000001</v>
      </c>
      <c r="AL55">
        <v>2.7490000000000001</v>
      </c>
      <c r="AM55" s="6">
        <v>2.7469999999999999</v>
      </c>
      <c r="AN55" s="6">
        <v>2.7919999999999998</v>
      </c>
      <c r="AO55">
        <v>2.895</v>
      </c>
      <c r="AP55" s="7">
        <v>45688</v>
      </c>
      <c r="AQ55">
        <v>3.22</v>
      </c>
      <c r="AR55">
        <v>3.1539999999999999</v>
      </c>
      <c r="AS55">
        <v>3.0739999999999998</v>
      </c>
      <c r="AT55">
        <v>3.032</v>
      </c>
      <c r="AU55">
        <v>3.0880000000000001</v>
      </c>
      <c r="AV55" s="6">
        <v>3.1659999999999999</v>
      </c>
      <c r="AW55" s="6">
        <v>3.2330000000000001</v>
      </c>
      <c r="AX55">
        <v>3.339</v>
      </c>
      <c r="AY55" s="7">
        <v>45688</v>
      </c>
      <c r="AZ55">
        <v>2.9780000000000002</v>
      </c>
      <c r="BA55">
        <v>2.851</v>
      </c>
      <c r="BB55">
        <v>2.8109999999999999</v>
      </c>
      <c r="BC55">
        <v>2.8050000000000002</v>
      </c>
      <c r="BD55">
        <v>2.81</v>
      </c>
      <c r="BE55" s="6">
        <v>2.8170000000000002</v>
      </c>
      <c r="BF55" s="6">
        <v>2.8759999999999999</v>
      </c>
      <c r="BG55">
        <v>2.9470000000000001</v>
      </c>
      <c r="BH55" s="7">
        <v>45688</v>
      </c>
      <c r="BI55">
        <v>2.9159999999999999</v>
      </c>
      <c r="BJ55">
        <v>2.7759999999999998</v>
      </c>
      <c r="BK55">
        <v>2.7250000000000001</v>
      </c>
      <c r="BL55">
        <v>2.738</v>
      </c>
      <c r="BM55">
        <v>2.7320000000000002</v>
      </c>
      <c r="BN55" s="6">
        <v>2.726</v>
      </c>
      <c r="BO55" s="6">
        <v>2.774</v>
      </c>
      <c r="BP55">
        <v>2.863</v>
      </c>
      <c r="BQ55" s="7">
        <v>45688</v>
      </c>
      <c r="BR55">
        <v>3.2469999999999999</v>
      </c>
      <c r="BS55">
        <v>3.15</v>
      </c>
      <c r="BT55">
        <v>3.137</v>
      </c>
      <c r="BU55">
        <v>3.1680000000000001</v>
      </c>
      <c r="BV55">
        <v>3.1880000000000002</v>
      </c>
      <c r="BW55" s="6">
        <v>3.1920000000000002</v>
      </c>
      <c r="BX55" s="6">
        <v>3.2570000000000001</v>
      </c>
      <c r="BY55">
        <v>3.3340000000000001</v>
      </c>
      <c r="BZ55" s="7">
        <v>45688</v>
      </c>
      <c r="CA55">
        <v>2.8490000000000002</v>
      </c>
      <c r="CB55">
        <v>2.8149999999999999</v>
      </c>
      <c r="CC55">
        <v>2.81</v>
      </c>
      <c r="CD55">
        <v>2.7629999999999999</v>
      </c>
      <c r="CE55">
        <v>2.77</v>
      </c>
      <c r="CF55" s="6">
        <v>2.8159999999999998</v>
      </c>
      <c r="CG55" s="6">
        <v>2.8610000000000002</v>
      </c>
      <c r="CH55">
        <v>2.9209999999999998</v>
      </c>
      <c r="CJ55" s="6" t="s">
        <v>165</v>
      </c>
      <c r="CK55" s="6" t="s">
        <v>166</v>
      </c>
    </row>
    <row r="56" spans="2:89">
      <c r="B56" s="7">
        <v>45681</v>
      </c>
      <c r="C56">
        <v>2.738</v>
      </c>
      <c r="D56">
        <v>2.6379999999999999</v>
      </c>
      <c r="E56">
        <v>2.6549999999999998</v>
      </c>
      <c r="F56">
        <v>2.6480000000000001</v>
      </c>
      <c r="G56">
        <v>2.6429999999999998</v>
      </c>
      <c r="H56">
        <v>2.56</v>
      </c>
      <c r="I56" s="6">
        <v>2.6949999999999998</v>
      </c>
      <c r="J56" s="6">
        <v>2.7</v>
      </c>
      <c r="K56" s="6">
        <v>2.87</v>
      </c>
      <c r="L56" s="6">
        <v>2.8610000000000002</v>
      </c>
      <c r="M56" s="6">
        <v>2.8</v>
      </c>
      <c r="N56" s="6">
        <v>2.742</v>
      </c>
      <c r="O56" s="7">
        <v>45681</v>
      </c>
      <c r="P56">
        <v>2.7280000000000002</v>
      </c>
      <c r="Q56">
        <v>2.6389999999999998</v>
      </c>
      <c r="R56">
        <v>2.6549999999999998</v>
      </c>
      <c r="S56">
        <v>2.669</v>
      </c>
      <c r="T56">
        <v>2.62</v>
      </c>
      <c r="U56" s="6">
        <v>2.6509999999999998</v>
      </c>
      <c r="V56" s="6">
        <v>0</v>
      </c>
      <c r="W56">
        <v>0</v>
      </c>
      <c r="X56" s="7">
        <v>45681</v>
      </c>
      <c r="Y56">
        <v>2.7909999999999999</v>
      </c>
      <c r="Z56">
        <v>2.7410000000000001</v>
      </c>
      <c r="AA56">
        <v>2.7240000000000002</v>
      </c>
      <c r="AB56">
        <v>2.6739999999999999</v>
      </c>
      <c r="AC56">
        <v>2.6720000000000002</v>
      </c>
      <c r="AD56" s="6">
        <v>2.69</v>
      </c>
      <c r="AE56" s="6">
        <v>2.7440000000000002</v>
      </c>
      <c r="AF56">
        <v>2.8580000000000001</v>
      </c>
      <c r="AG56" s="7">
        <v>45681</v>
      </c>
      <c r="AH56">
        <v>2.9729999999999999</v>
      </c>
      <c r="AI56">
        <v>2.8319999999999999</v>
      </c>
      <c r="AJ56">
        <v>2.823</v>
      </c>
      <c r="AK56">
        <v>2.7890000000000001</v>
      </c>
      <c r="AL56">
        <v>2.7490000000000001</v>
      </c>
      <c r="AM56" s="6">
        <v>2.7370000000000001</v>
      </c>
      <c r="AN56" s="6">
        <v>2.7909999999999999</v>
      </c>
      <c r="AO56">
        <v>2.8929999999999998</v>
      </c>
      <c r="AP56" s="7">
        <v>45681</v>
      </c>
      <c r="AQ56">
        <v>3.2240000000000002</v>
      </c>
      <c r="AR56">
        <v>3.157</v>
      </c>
      <c r="AS56">
        <v>3.0760000000000001</v>
      </c>
      <c r="AT56">
        <v>3.0310000000000001</v>
      </c>
      <c r="AU56">
        <v>3.0880000000000001</v>
      </c>
      <c r="AV56" s="6">
        <v>3.1560000000000001</v>
      </c>
      <c r="AW56" s="6">
        <v>3.2320000000000002</v>
      </c>
      <c r="AX56">
        <v>3.3370000000000002</v>
      </c>
      <c r="AY56" s="7">
        <v>45681</v>
      </c>
      <c r="AZ56">
        <v>2.984</v>
      </c>
      <c r="BA56">
        <v>2.8519999999999999</v>
      </c>
      <c r="BB56">
        <v>2.8130000000000002</v>
      </c>
      <c r="BC56">
        <v>2.8050000000000002</v>
      </c>
      <c r="BD56">
        <v>2.81</v>
      </c>
      <c r="BE56" s="6">
        <v>2.8109999999999999</v>
      </c>
      <c r="BF56" s="6">
        <v>2.88</v>
      </c>
      <c r="BG56">
        <v>2.9470000000000001</v>
      </c>
      <c r="BH56" s="7">
        <v>45681</v>
      </c>
      <c r="BI56">
        <v>2.9220000000000002</v>
      </c>
      <c r="BJ56">
        <v>2.7749999999999999</v>
      </c>
      <c r="BK56">
        <v>2.7269999999999999</v>
      </c>
      <c r="BL56">
        <v>2.738</v>
      </c>
      <c r="BM56">
        <v>2.7320000000000002</v>
      </c>
      <c r="BN56" s="6">
        <v>2.7189999999999999</v>
      </c>
      <c r="BO56" s="6">
        <v>2.7759999999999998</v>
      </c>
      <c r="BP56">
        <v>2.8620000000000001</v>
      </c>
      <c r="BQ56" s="7">
        <v>45681</v>
      </c>
      <c r="BR56">
        <v>3.2530000000000001</v>
      </c>
      <c r="BS56">
        <v>3.1509999999999998</v>
      </c>
      <c r="BT56">
        <v>3.1389999999999998</v>
      </c>
      <c r="BU56">
        <v>3.1680000000000001</v>
      </c>
      <c r="BV56">
        <v>3.1880000000000002</v>
      </c>
      <c r="BW56" s="6">
        <v>3.1850000000000001</v>
      </c>
      <c r="BX56" s="6">
        <v>3.2610000000000001</v>
      </c>
      <c r="BY56">
        <v>3.3330000000000002</v>
      </c>
      <c r="BZ56" s="7">
        <v>45681</v>
      </c>
      <c r="CA56">
        <v>2.8719999999999999</v>
      </c>
      <c r="CB56">
        <v>2.823</v>
      </c>
      <c r="CC56">
        <v>2.8119999999999998</v>
      </c>
      <c r="CD56">
        <v>2.7629999999999999</v>
      </c>
      <c r="CE56">
        <v>2.7690000000000001</v>
      </c>
      <c r="CF56" s="6">
        <v>2.8109999999999999</v>
      </c>
      <c r="CG56" s="6">
        <v>2.86</v>
      </c>
      <c r="CH56">
        <v>2.919</v>
      </c>
      <c r="CJ56" s="6" t="s">
        <v>167</v>
      </c>
      <c r="CK56" s="6" t="s">
        <v>168</v>
      </c>
    </row>
    <row r="57" spans="2:89">
      <c r="B57" s="7">
        <v>45680</v>
      </c>
      <c r="C57">
        <v>2.7450000000000001</v>
      </c>
      <c r="D57">
        <v>2.6379999999999999</v>
      </c>
      <c r="E57">
        <v>2.653</v>
      </c>
      <c r="F57">
        <v>2.6549999999999998</v>
      </c>
      <c r="G57">
        <v>2.6549999999999998</v>
      </c>
      <c r="H57">
        <v>2.5649999999999999</v>
      </c>
      <c r="I57" s="6">
        <v>2.694</v>
      </c>
      <c r="J57" s="6">
        <v>2.6869999999999998</v>
      </c>
      <c r="K57" s="6">
        <v>2.8519999999999999</v>
      </c>
      <c r="L57" s="6">
        <v>2.83</v>
      </c>
      <c r="M57" s="6">
        <v>2.78</v>
      </c>
      <c r="N57" s="6">
        <v>2.7170000000000001</v>
      </c>
      <c r="O57" s="7">
        <v>45680</v>
      </c>
      <c r="P57">
        <v>2.7280000000000002</v>
      </c>
      <c r="Q57">
        <v>2.6389999999999998</v>
      </c>
      <c r="R57">
        <v>2.6539999999999999</v>
      </c>
      <c r="S57">
        <v>2.6739999999999999</v>
      </c>
      <c r="T57">
        <v>2.633</v>
      </c>
      <c r="U57" s="6">
        <v>2.66</v>
      </c>
      <c r="V57" s="6">
        <v>0</v>
      </c>
      <c r="W57">
        <v>0</v>
      </c>
      <c r="X57" s="7">
        <v>45680</v>
      </c>
      <c r="Y57">
        <v>2.7970000000000002</v>
      </c>
      <c r="Z57">
        <v>2.7410000000000001</v>
      </c>
      <c r="AA57">
        <v>2.722</v>
      </c>
      <c r="AB57">
        <v>2.681</v>
      </c>
      <c r="AC57">
        <v>2.6840000000000002</v>
      </c>
      <c r="AD57" s="6">
        <v>2.6949999999999998</v>
      </c>
      <c r="AE57" s="6">
        <v>2.7429999999999999</v>
      </c>
      <c r="AF57">
        <v>2.8450000000000002</v>
      </c>
      <c r="AG57" s="7">
        <v>45680</v>
      </c>
      <c r="AH57">
        <v>2.98</v>
      </c>
      <c r="AI57">
        <v>2.8330000000000002</v>
      </c>
      <c r="AJ57">
        <v>2.8210000000000002</v>
      </c>
      <c r="AK57">
        <v>2.79</v>
      </c>
      <c r="AL57">
        <v>2.76</v>
      </c>
      <c r="AM57" s="6">
        <v>2.7410000000000001</v>
      </c>
      <c r="AN57" s="6">
        <v>2.79</v>
      </c>
      <c r="AO57">
        <v>2.88</v>
      </c>
      <c r="AP57" s="7">
        <v>45680</v>
      </c>
      <c r="AQ57">
        <v>3.226</v>
      </c>
      <c r="AR57">
        <v>3.1579999999999999</v>
      </c>
      <c r="AS57">
        <v>3.0760000000000001</v>
      </c>
      <c r="AT57">
        <v>3.0409999999999999</v>
      </c>
      <c r="AU57">
        <v>3.1019999999999999</v>
      </c>
      <c r="AV57" s="6">
        <v>3.169</v>
      </c>
      <c r="AW57" s="6">
        <v>3.2330000000000001</v>
      </c>
      <c r="AX57">
        <v>3.3279999999999998</v>
      </c>
      <c r="AY57" s="7">
        <v>45680</v>
      </c>
      <c r="AZ57">
        <v>2.9830000000000001</v>
      </c>
      <c r="BA57">
        <v>2.8519999999999999</v>
      </c>
      <c r="BB57">
        <v>2.8079999999999998</v>
      </c>
      <c r="BC57">
        <v>2.802</v>
      </c>
      <c r="BD57">
        <v>2.8159999999999998</v>
      </c>
      <c r="BE57" s="6">
        <v>2.8140000000000001</v>
      </c>
      <c r="BF57" s="6">
        <v>2.879</v>
      </c>
      <c r="BG57">
        <v>2.9340000000000002</v>
      </c>
      <c r="BH57" s="7">
        <v>45680</v>
      </c>
      <c r="BI57">
        <v>2.919</v>
      </c>
      <c r="BJ57">
        <v>2.7719999999999998</v>
      </c>
      <c r="BK57">
        <v>2.7250000000000001</v>
      </c>
      <c r="BL57">
        <v>2.7349999999999999</v>
      </c>
      <c r="BM57">
        <v>2.74</v>
      </c>
      <c r="BN57" s="6">
        <v>2.7229999999999999</v>
      </c>
      <c r="BO57" s="6">
        <v>2.7749999999999999</v>
      </c>
      <c r="BP57">
        <v>2.85</v>
      </c>
      <c r="BQ57" s="7">
        <v>45680</v>
      </c>
      <c r="BR57">
        <v>3.2509999999999999</v>
      </c>
      <c r="BS57">
        <v>3.149</v>
      </c>
      <c r="BT57">
        <v>3.1360000000000001</v>
      </c>
      <c r="BU57">
        <v>3.1659999999999999</v>
      </c>
      <c r="BV57">
        <v>3.1989999999999998</v>
      </c>
      <c r="BW57" s="6">
        <v>3.1880000000000002</v>
      </c>
      <c r="BX57" s="6">
        <v>3.26</v>
      </c>
      <c r="BY57">
        <v>3.3210000000000002</v>
      </c>
      <c r="BZ57" s="7">
        <v>45680</v>
      </c>
      <c r="CA57">
        <v>2.879</v>
      </c>
      <c r="CB57">
        <v>2.823</v>
      </c>
      <c r="CC57">
        <v>2.81</v>
      </c>
      <c r="CD57">
        <v>2.77</v>
      </c>
      <c r="CE57">
        <v>2.78</v>
      </c>
      <c r="CF57" s="6">
        <v>2.8159999999999998</v>
      </c>
      <c r="CG57" s="6">
        <v>2.859</v>
      </c>
      <c r="CH57">
        <v>2.9060000000000001</v>
      </c>
      <c r="CJ57" s="6" t="s">
        <v>169</v>
      </c>
      <c r="CK57" s="6" t="s">
        <v>170</v>
      </c>
    </row>
    <row r="58" spans="2:89">
      <c r="B58" s="7">
        <v>45679</v>
      </c>
      <c r="C58">
        <v>2.7450000000000001</v>
      </c>
      <c r="D58">
        <v>2.6379999999999999</v>
      </c>
      <c r="E58">
        <v>2.645</v>
      </c>
      <c r="F58">
        <v>2.645</v>
      </c>
      <c r="G58">
        <v>2.641</v>
      </c>
      <c r="H58">
        <v>2.577</v>
      </c>
      <c r="I58" s="6">
        <v>2.6789999999999998</v>
      </c>
      <c r="J58" s="6">
        <v>2.69</v>
      </c>
      <c r="K58" s="6">
        <v>2.8490000000000002</v>
      </c>
      <c r="L58" s="6">
        <v>2.8239999999999998</v>
      </c>
      <c r="M58" s="6">
        <v>2.7549999999999999</v>
      </c>
      <c r="N58" s="6">
        <v>2.69</v>
      </c>
      <c r="O58" s="7">
        <v>45679</v>
      </c>
      <c r="P58">
        <v>2.73</v>
      </c>
      <c r="Q58">
        <v>2.6379999999999999</v>
      </c>
      <c r="R58">
        <v>2.65</v>
      </c>
      <c r="S58">
        <v>2.6680000000000001</v>
      </c>
      <c r="T58">
        <v>2.6349999999999998</v>
      </c>
      <c r="U58" s="6">
        <v>2.6539999999999999</v>
      </c>
      <c r="V58" s="6">
        <v>0</v>
      </c>
      <c r="W58">
        <v>0</v>
      </c>
      <c r="X58" s="7">
        <v>45679</v>
      </c>
      <c r="Y58">
        <v>2.7970000000000002</v>
      </c>
      <c r="Z58">
        <v>2.7410000000000001</v>
      </c>
      <c r="AA58">
        <v>2.714</v>
      </c>
      <c r="AB58">
        <v>2.669</v>
      </c>
      <c r="AC58">
        <v>2.677</v>
      </c>
      <c r="AD58" s="6">
        <v>2.7069999999999999</v>
      </c>
      <c r="AE58" s="6">
        <v>2.7280000000000002</v>
      </c>
      <c r="AF58">
        <v>2.835</v>
      </c>
      <c r="AG58" s="7">
        <v>45679</v>
      </c>
      <c r="AH58">
        <v>2.9870000000000001</v>
      </c>
      <c r="AI58">
        <v>2.835</v>
      </c>
      <c r="AJ58">
        <v>2.8170000000000002</v>
      </c>
      <c r="AK58">
        <v>2.782</v>
      </c>
      <c r="AL58">
        <v>2.76</v>
      </c>
      <c r="AM58" s="6">
        <v>2.75</v>
      </c>
      <c r="AN58" s="6">
        <v>2.7770000000000001</v>
      </c>
      <c r="AO58">
        <v>2.8820000000000001</v>
      </c>
      <c r="AP58" s="7">
        <v>45679</v>
      </c>
      <c r="AQ58">
        <v>3.2290000000000001</v>
      </c>
      <c r="AR58">
        <v>3.1629999999999998</v>
      </c>
      <c r="AS58">
        <v>3.0760000000000001</v>
      </c>
      <c r="AT58">
        <v>3.0379999999999998</v>
      </c>
      <c r="AU58">
        <v>3.1019999999999999</v>
      </c>
      <c r="AV58" s="6">
        <v>3.1829999999999998</v>
      </c>
      <c r="AW58" s="6">
        <v>3.2229999999999999</v>
      </c>
      <c r="AX58">
        <v>3.3330000000000002</v>
      </c>
      <c r="AY58" s="7">
        <v>45679</v>
      </c>
      <c r="AZ58">
        <v>2.984</v>
      </c>
      <c r="BA58">
        <v>2.8490000000000002</v>
      </c>
      <c r="BB58">
        <v>2.8050000000000002</v>
      </c>
      <c r="BC58">
        <v>2.794</v>
      </c>
      <c r="BD58">
        <v>2.8119999999999998</v>
      </c>
      <c r="BE58" s="6">
        <v>2.8220000000000001</v>
      </c>
      <c r="BF58" s="6">
        <v>2.8639999999999999</v>
      </c>
      <c r="BG58">
        <v>2.9359999999999999</v>
      </c>
      <c r="BH58" s="7">
        <v>45679</v>
      </c>
      <c r="BI58">
        <v>2.919</v>
      </c>
      <c r="BJ58">
        <v>2.7690000000000001</v>
      </c>
      <c r="BK58">
        <v>2.722</v>
      </c>
      <c r="BL58">
        <v>2.7269999999999999</v>
      </c>
      <c r="BM58">
        <v>2.7360000000000002</v>
      </c>
      <c r="BN58" s="6">
        <v>2.7309999999999999</v>
      </c>
      <c r="BO58" s="6">
        <v>2.76</v>
      </c>
      <c r="BP58">
        <v>2.85</v>
      </c>
      <c r="BQ58" s="7">
        <v>45679</v>
      </c>
      <c r="BR58">
        <v>3.2509999999999999</v>
      </c>
      <c r="BS58">
        <v>3.1459999999999999</v>
      </c>
      <c r="BT58">
        <v>3.1320000000000001</v>
      </c>
      <c r="BU58">
        <v>3.1579999999999999</v>
      </c>
      <c r="BV58">
        <v>3.1949999999999998</v>
      </c>
      <c r="BW58" s="6">
        <v>3.1949999999999998</v>
      </c>
      <c r="BX58" s="6">
        <v>3.2450000000000001</v>
      </c>
      <c r="BY58">
        <v>3.323</v>
      </c>
      <c r="BZ58" s="7">
        <v>45679</v>
      </c>
      <c r="CA58">
        <v>2.879</v>
      </c>
      <c r="CB58">
        <v>2.823</v>
      </c>
      <c r="CC58">
        <v>2.802</v>
      </c>
      <c r="CD58">
        <v>2.7570000000000001</v>
      </c>
      <c r="CE58">
        <v>2.7730000000000001</v>
      </c>
      <c r="CF58" s="6">
        <v>2.8279999999999998</v>
      </c>
      <c r="CG58" s="6">
        <v>2.8439999999999999</v>
      </c>
      <c r="CH58">
        <v>2.8959999999999999</v>
      </c>
      <c r="CJ58" s="6" t="s">
        <v>171</v>
      </c>
      <c r="CK58" s="6" t="s">
        <v>172</v>
      </c>
    </row>
    <row r="59" spans="2:89">
      <c r="B59" s="7">
        <v>45678</v>
      </c>
      <c r="C59">
        <v>2.7330000000000001</v>
      </c>
      <c r="D59">
        <v>2.625</v>
      </c>
      <c r="E59">
        <v>2.625</v>
      </c>
      <c r="F59">
        <v>2.63</v>
      </c>
      <c r="G59">
        <v>2.633</v>
      </c>
      <c r="H59">
        <v>2.57</v>
      </c>
      <c r="I59" s="6">
        <v>2.6640000000000001</v>
      </c>
      <c r="J59" s="6">
        <v>2.6749999999999998</v>
      </c>
      <c r="K59" s="6">
        <v>2.8380000000000001</v>
      </c>
      <c r="L59" s="6">
        <v>2.81</v>
      </c>
      <c r="M59" s="6">
        <v>2.7280000000000002</v>
      </c>
      <c r="N59" s="6">
        <v>2.68</v>
      </c>
      <c r="O59" s="7">
        <v>45678</v>
      </c>
      <c r="P59">
        <v>2.72</v>
      </c>
      <c r="Q59">
        <v>2.6259999999999999</v>
      </c>
      <c r="R59">
        <v>2.629</v>
      </c>
      <c r="S59">
        <v>2.6509999999999998</v>
      </c>
      <c r="T59">
        <v>2.62</v>
      </c>
      <c r="U59" s="6">
        <v>2.6349999999999998</v>
      </c>
      <c r="V59" s="6">
        <v>0</v>
      </c>
      <c r="W59">
        <v>0</v>
      </c>
      <c r="X59" s="7">
        <v>45678</v>
      </c>
      <c r="Y59">
        <v>2.786</v>
      </c>
      <c r="Z59">
        <v>2.7269999999999999</v>
      </c>
      <c r="AA59">
        <v>2.694</v>
      </c>
      <c r="AB59">
        <v>2.6539999999999999</v>
      </c>
      <c r="AC59">
        <v>2.6680000000000001</v>
      </c>
      <c r="AD59" s="6">
        <v>2.7</v>
      </c>
      <c r="AE59" s="6">
        <v>2.7130000000000001</v>
      </c>
      <c r="AF59">
        <v>2.798</v>
      </c>
      <c r="AG59" s="7">
        <v>45678</v>
      </c>
      <c r="AH59">
        <v>2.9849999999999999</v>
      </c>
      <c r="AI59">
        <v>2.8340000000000001</v>
      </c>
      <c r="AJ59">
        <v>2.7970000000000002</v>
      </c>
      <c r="AK59">
        <v>2.7629999999999999</v>
      </c>
      <c r="AL59">
        <v>2.7440000000000002</v>
      </c>
      <c r="AM59" s="6">
        <v>2.7429999999999999</v>
      </c>
      <c r="AN59" s="6">
        <v>2.7639999999999998</v>
      </c>
      <c r="AO59">
        <v>2.867</v>
      </c>
      <c r="AP59" s="7">
        <v>45678</v>
      </c>
      <c r="AQ59">
        <v>3.2309999999999999</v>
      </c>
      <c r="AR59">
        <v>3.1619999999999999</v>
      </c>
      <c r="AS59">
        <v>3.069</v>
      </c>
      <c r="AT59">
        <v>3.0259999999999998</v>
      </c>
      <c r="AU59">
        <v>3.093</v>
      </c>
      <c r="AV59" s="6">
        <v>3.1840000000000002</v>
      </c>
      <c r="AW59" s="6">
        <v>3.2130000000000001</v>
      </c>
      <c r="AX59">
        <v>3.323</v>
      </c>
      <c r="AY59" s="7">
        <v>45678</v>
      </c>
      <c r="AZ59">
        <v>2.976</v>
      </c>
      <c r="BA59">
        <v>2.84</v>
      </c>
      <c r="BB59">
        <v>2.7850000000000001</v>
      </c>
      <c r="BC59">
        <v>2.774</v>
      </c>
      <c r="BD59">
        <v>2.7970000000000002</v>
      </c>
      <c r="BE59" s="6">
        <v>2.8069999999999999</v>
      </c>
      <c r="BF59" s="6">
        <v>2.8490000000000002</v>
      </c>
      <c r="BG59">
        <v>2.9209999999999998</v>
      </c>
      <c r="BH59" s="7">
        <v>45678</v>
      </c>
      <c r="BI59">
        <v>2.911</v>
      </c>
      <c r="BJ59">
        <v>2.76</v>
      </c>
      <c r="BK59">
        <v>2.702</v>
      </c>
      <c r="BL59">
        <v>2.7090000000000001</v>
      </c>
      <c r="BM59">
        <v>2.7189999999999999</v>
      </c>
      <c r="BN59" s="6">
        <v>2.7149999999999999</v>
      </c>
      <c r="BO59" s="6">
        <v>2.7410000000000001</v>
      </c>
      <c r="BP59">
        <v>2.83</v>
      </c>
      <c r="BQ59" s="7">
        <v>45678</v>
      </c>
      <c r="BR59">
        <v>3.2429999999999999</v>
      </c>
      <c r="BS59">
        <v>3.137</v>
      </c>
      <c r="BT59">
        <v>3.1120000000000001</v>
      </c>
      <c r="BU59">
        <v>3.1379999999999999</v>
      </c>
      <c r="BV59">
        <v>3.1789999999999998</v>
      </c>
      <c r="BW59" s="6">
        <v>3.181</v>
      </c>
      <c r="BX59" s="6">
        <v>3.23</v>
      </c>
      <c r="BY59">
        <v>3.3079999999999998</v>
      </c>
      <c r="BZ59" s="7">
        <v>45678</v>
      </c>
      <c r="CA59">
        <v>2.8690000000000002</v>
      </c>
      <c r="CB59">
        <v>2.81</v>
      </c>
      <c r="CC59">
        <v>2.782</v>
      </c>
      <c r="CD59">
        <v>2.7429999999999999</v>
      </c>
      <c r="CE59">
        <v>2.766</v>
      </c>
      <c r="CF59" s="6">
        <v>2.8220000000000001</v>
      </c>
      <c r="CG59" s="6">
        <v>2.8290000000000002</v>
      </c>
      <c r="CH59">
        <v>2.8610000000000002</v>
      </c>
      <c r="CJ59" s="6" t="s">
        <v>173</v>
      </c>
      <c r="CK59" s="6" t="s">
        <v>174</v>
      </c>
    </row>
    <row r="60" spans="2:89">
      <c r="B60" s="7">
        <v>45677</v>
      </c>
      <c r="C60">
        <v>2.7360000000000002</v>
      </c>
      <c r="D60">
        <v>2.629</v>
      </c>
      <c r="E60">
        <v>2.63</v>
      </c>
      <c r="F60">
        <v>2.65</v>
      </c>
      <c r="G60">
        <v>2.67</v>
      </c>
      <c r="H60">
        <v>2.621</v>
      </c>
      <c r="I60" s="6">
        <v>2.7069999999999999</v>
      </c>
      <c r="J60" s="6">
        <v>2.7149999999999999</v>
      </c>
      <c r="K60" s="6">
        <v>2.8860000000000001</v>
      </c>
      <c r="L60" s="6">
        <v>2.8650000000000002</v>
      </c>
      <c r="M60" s="6">
        <v>2.7450000000000001</v>
      </c>
      <c r="N60" s="6">
        <v>2.6859999999999999</v>
      </c>
      <c r="O60" s="7">
        <v>45677</v>
      </c>
      <c r="P60">
        <v>2.7240000000000002</v>
      </c>
      <c r="Q60">
        <v>2.63</v>
      </c>
      <c r="R60">
        <v>2.6360000000000001</v>
      </c>
      <c r="S60">
        <v>2.6640000000000001</v>
      </c>
      <c r="T60">
        <v>2.6309999999999998</v>
      </c>
      <c r="U60" s="6">
        <v>2.6680000000000001</v>
      </c>
      <c r="V60" s="6">
        <v>0</v>
      </c>
      <c r="W60">
        <v>0</v>
      </c>
      <c r="X60" s="7">
        <v>45677</v>
      </c>
      <c r="Y60">
        <v>2.7890000000000001</v>
      </c>
      <c r="Z60">
        <v>2.7320000000000002</v>
      </c>
      <c r="AA60">
        <v>2.7</v>
      </c>
      <c r="AB60">
        <v>2.6739999999999999</v>
      </c>
      <c r="AC60">
        <v>2.7050000000000001</v>
      </c>
      <c r="AD60" s="6">
        <v>2.7519999999999998</v>
      </c>
      <c r="AE60" s="6">
        <v>2.7559999999999998</v>
      </c>
      <c r="AF60">
        <v>2.8359999999999999</v>
      </c>
      <c r="AG60" s="7">
        <v>45677</v>
      </c>
      <c r="AH60">
        <v>2.9870000000000001</v>
      </c>
      <c r="AI60">
        <v>2.8359999999999999</v>
      </c>
      <c r="AJ60">
        <v>2.7970000000000002</v>
      </c>
      <c r="AK60">
        <v>2.766</v>
      </c>
      <c r="AL60">
        <v>2.754</v>
      </c>
      <c r="AM60" s="6">
        <v>2.794</v>
      </c>
      <c r="AN60" s="6">
        <v>2.8069999999999999</v>
      </c>
      <c r="AO60">
        <v>2.907</v>
      </c>
      <c r="AP60" s="7">
        <v>45677</v>
      </c>
      <c r="AQ60">
        <v>3.238</v>
      </c>
      <c r="AR60">
        <v>3.169</v>
      </c>
      <c r="AS60">
        <v>3.08</v>
      </c>
      <c r="AT60">
        <v>3.0409999999999999</v>
      </c>
      <c r="AU60">
        <v>3.109</v>
      </c>
      <c r="AV60" s="6">
        <v>3.242</v>
      </c>
      <c r="AW60" s="6">
        <v>3.2610000000000001</v>
      </c>
      <c r="AX60">
        <v>3.3679999999999999</v>
      </c>
      <c r="AY60" s="7">
        <v>45677</v>
      </c>
      <c r="AZ60">
        <v>2.9830000000000001</v>
      </c>
      <c r="BA60">
        <v>2.8460000000000001</v>
      </c>
      <c r="BB60">
        <v>2.7919999999999998</v>
      </c>
      <c r="BC60">
        <v>2.7829999999999999</v>
      </c>
      <c r="BD60">
        <v>2.8069999999999999</v>
      </c>
      <c r="BE60" s="6">
        <v>2.851</v>
      </c>
      <c r="BF60" s="6">
        <v>2.8839999999999999</v>
      </c>
      <c r="BG60">
        <v>2.9529999999999998</v>
      </c>
      <c r="BH60" s="7">
        <v>45677</v>
      </c>
      <c r="BI60">
        <v>2.9169999999999998</v>
      </c>
      <c r="BJ60">
        <v>2.7639999999999998</v>
      </c>
      <c r="BK60">
        <v>2.7090000000000001</v>
      </c>
      <c r="BL60">
        <v>2.718</v>
      </c>
      <c r="BM60">
        <v>2.7269999999999999</v>
      </c>
      <c r="BN60" s="6">
        <v>2.76</v>
      </c>
      <c r="BO60" s="6">
        <v>2.7759999999999998</v>
      </c>
      <c r="BP60">
        <v>2.8620000000000001</v>
      </c>
      <c r="BQ60" s="7">
        <v>45677</v>
      </c>
      <c r="BR60">
        <v>3.25</v>
      </c>
      <c r="BS60">
        <v>3.141</v>
      </c>
      <c r="BT60">
        <v>3.12</v>
      </c>
      <c r="BU60">
        <v>3.1469999999999998</v>
      </c>
      <c r="BV60">
        <v>3.1880000000000002</v>
      </c>
      <c r="BW60" s="6">
        <v>3.2240000000000002</v>
      </c>
      <c r="BX60" s="6">
        <v>3.2650000000000001</v>
      </c>
      <c r="BY60">
        <v>3.34</v>
      </c>
      <c r="BZ60" s="7">
        <v>45677</v>
      </c>
      <c r="CA60">
        <v>2.8719999999999999</v>
      </c>
      <c r="CB60">
        <v>2.8140000000000001</v>
      </c>
      <c r="CC60">
        <v>2.7879999999999998</v>
      </c>
      <c r="CD60">
        <v>2.7629999999999999</v>
      </c>
      <c r="CE60">
        <v>2.8029999999999999</v>
      </c>
      <c r="CF60" s="6">
        <v>2.875</v>
      </c>
      <c r="CG60" s="6">
        <v>2.8730000000000002</v>
      </c>
      <c r="CH60">
        <v>2.899</v>
      </c>
      <c r="CJ60" s="6" t="s">
        <v>175</v>
      </c>
      <c r="CK60" s="6" t="s">
        <v>176</v>
      </c>
    </row>
    <row r="61" spans="2:89">
      <c r="B61" s="7">
        <v>45674</v>
      </c>
      <c r="C61">
        <v>2.7349999999999999</v>
      </c>
      <c r="D61">
        <v>2.625</v>
      </c>
      <c r="E61">
        <v>2.6190000000000002</v>
      </c>
      <c r="F61">
        <v>2.63</v>
      </c>
      <c r="G61">
        <v>2.6459999999999999</v>
      </c>
      <c r="H61">
        <v>2.5870000000000002</v>
      </c>
      <c r="I61" s="6">
        <v>2.681</v>
      </c>
      <c r="J61" s="6">
        <v>2.69</v>
      </c>
      <c r="K61" s="6">
        <v>2.8780000000000001</v>
      </c>
      <c r="L61" s="6">
        <v>2.8140000000000001</v>
      </c>
      <c r="M61" s="6">
        <v>2.7269999999999999</v>
      </c>
      <c r="N61" s="6">
        <v>2.677</v>
      </c>
      <c r="O61" s="7">
        <v>45674</v>
      </c>
      <c r="P61">
        <v>2.722</v>
      </c>
      <c r="Q61">
        <v>2.6259999999999999</v>
      </c>
      <c r="R61">
        <v>2.62</v>
      </c>
      <c r="S61">
        <v>2.6360000000000001</v>
      </c>
      <c r="T61">
        <v>2.5979999999999999</v>
      </c>
      <c r="U61" s="6">
        <v>2.645</v>
      </c>
      <c r="V61" s="6">
        <v>0</v>
      </c>
      <c r="W61">
        <v>0</v>
      </c>
      <c r="X61" s="7">
        <v>45674</v>
      </c>
      <c r="Y61">
        <v>2.7890000000000001</v>
      </c>
      <c r="Z61">
        <v>2.7290000000000001</v>
      </c>
      <c r="AA61">
        <v>2.6880000000000002</v>
      </c>
      <c r="AB61">
        <v>2.6509999999999998</v>
      </c>
      <c r="AC61">
        <v>2.6819999999999999</v>
      </c>
      <c r="AD61" s="6">
        <v>2.72</v>
      </c>
      <c r="AE61" s="6">
        <v>2.7290000000000001</v>
      </c>
      <c r="AF61">
        <v>2.8109999999999999</v>
      </c>
      <c r="AG61" s="7">
        <v>45674</v>
      </c>
      <c r="AH61">
        <v>2.9889999999999999</v>
      </c>
      <c r="AI61">
        <v>2.8340000000000001</v>
      </c>
      <c r="AJ61">
        <v>2.78</v>
      </c>
      <c r="AK61">
        <v>2.738</v>
      </c>
      <c r="AL61">
        <v>2.7240000000000002</v>
      </c>
      <c r="AM61" s="6">
        <v>2.76</v>
      </c>
      <c r="AN61" s="6">
        <v>2.7810000000000001</v>
      </c>
      <c r="AO61">
        <v>2.8839999999999999</v>
      </c>
      <c r="AP61" s="7">
        <v>45674</v>
      </c>
      <c r="AQ61">
        <v>3.2410000000000001</v>
      </c>
      <c r="AR61">
        <v>3.165</v>
      </c>
      <c r="AS61">
        <v>3.0670000000000002</v>
      </c>
      <c r="AT61">
        <v>3.0190000000000001</v>
      </c>
      <c r="AU61">
        <v>3.081</v>
      </c>
      <c r="AV61" s="6">
        <v>3.2250000000000001</v>
      </c>
      <c r="AW61" s="6">
        <v>3.24</v>
      </c>
      <c r="AX61">
        <v>3.35</v>
      </c>
      <c r="AY61" s="7">
        <v>45674</v>
      </c>
      <c r="AZ61">
        <v>2.9849999999999999</v>
      </c>
      <c r="BA61">
        <v>2.847</v>
      </c>
      <c r="BB61">
        <v>2.778</v>
      </c>
      <c r="BC61">
        <v>2.7559999999999998</v>
      </c>
      <c r="BD61">
        <v>2.774</v>
      </c>
      <c r="BE61" s="6">
        <v>2.83</v>
      </c>
      <c r="BF61" s="6">
        <v>2.863</v>
      </c>
      <c r="BG61">
        <v>2.9279999999999999</v>
      </c>
      <c r="BH61" s="7">
        <v>45674</v>
      </c>
      <c r="BI61">
        <v>2.9169999999999998</v>
      </c>
      <c r="BJ61">
        <v>2.7639999999999998</v>
      </c>
      <c r="BK61">
        <v>2.6930000000000001</v>
      </c>
      <c r="BL61">
        <v>2.6909999999999998</v>
      </c>
      <c r="BM61">
        <v>2.694</v>
      </c>
      <c r="BN61" s="6">
        <v>2.7309999999999999</v>
      </c>
      <c r="BO61" s="6">
        <v>2.754</v>
      </c>
      <c r="BP61">
        <v>2.8370000000000002</v>
      </c>
      <c r="BQ61" s="7">
        <v>45674</v>
      </c>
      <c r="BR61">
        <v>3.25</v>
      </c>
      <c r="BS61">
        <v>3.141</v>
      </c>
      <c r="BT61">
        <v>3.1040000000000001</v>
      </c>
      <c r="BU61">
        <v>3.12</v>
      </c>
      <c r="BV61">
        <v>3.1549999999999998</v>
      </c>
      <c r="BW61" s="6">
        <v>3.2029999999999998</v>
      </c>
      <c r="BX61" s="6">
        <v>3.2440000000000002</v>
      </c>
      <c r="BY61">
        <v>3.3149999999999999</v>
      </c>
      <c r="BZ61" s="7">
        <v>45674</v>
      </c>
      <c r="CA61">
        <v>2.8719999999999999</v>
      </c>
      <c r="CB61">
        <v>2.8119999999999998</v>
      </c>
      <c r="CC61">
        <v>2.7759999999999998</v>
      </c>
      <c r="CD61">
        <v>2.738</v>
      </c>
      <c r="CE61">
        <v>2.78</v>
      </c>
      <c r="CF61" s="6">
        <v>2.8420000000000001</v>
      </c>
      <c r="CG61" s="6">
        <v>2.847</v>
      </c>
      <c r="CH61">
        <v>2.8740000000000001</v>
      </c>
      <c r="CJ61" s="6" t="s">
        <v>177</v>
      </c>
      <c r="CK61" s="6" t="s">
        <v>178</v>
      </c>
    </row>
    <row r="62" spans="2:89">
      <c r="B62" s="7">
        <v>45673</v>
      </c>
      <c r="C62">
        <v>2.7360000000000002</v>
      </c>
      <c r="D62">
        <v>2.6280000000000001</v>
      </c>
      <c r="E62">
        <v>2.625</v>
      </c>
      <c r="F62">
        <v>2.6459999999999999</v>
      </c>
      <c r="G62">
        <v>2.68</v>
      </c>
      <c r="H62">
        <v>2.625</v>
      </c>
      <c r="I62" s="6">
        <v>2.72</v>
      </c>
      <c r="J62" s="6">
        <v>2.7250000000000001</v>
      </c>
      <c r="K62" s="6">
        <v>2.9129999999999998</v>
      </c>
      <c r="L62" s="6">
        <v>2.81</v>
      </c>
      <c r="M62" s="6">
        <v>2.72</v>
      </c>
      <c r="N62" s="6">
        <v>2.6749999999999998</v>
      </c>
      <c r="O62" s="7">
        <v>45673</v>
      </c>
      <c r="P62">
        <v>2.7240000000000002</v>
      </c>
      <c r="Q62">
        <v>2.6280000000000001</v>
      </c>
      <c r="R62">
        <v>2.6320000000000001</v>
      </c>
      <c r="S62">
        <v>2.6539999999999999</v>
      </c>
      <c r="T62">
        <v>2.625</v>
      </c>
      <c r="U62" s="6">
        <v>2.6840000000000002</v>
      </c>
      <c r="V62" s="6">
        <v>0</v>
      </c>
      <c r="W62">
        <v>0</v>
      </c>
      <c r="X62" s="7">
        <v>45673</v>
      </c>
      <c r="Y62">
        <v>2.7909999999999999</v>
      </c>
      <c r="Z62">
        <v>2.7320000000000002</v>
      </c>
      <c r="AA62">
        <v>2.698</v>
      </c>
      <c r="AB62">
        <v>2.6680000000000001</v>
      </c>
      <c r="AC62">
        <v>2.7149999999999999</v>
      </c>
      <c r="AD62" s="6">
        <v>2.7589999999999999</v>
      </c>
      <c r="AE62" s="6">
        <v>2.7669999999999999</v>
      </c>
      <c r="AF62">
        <v>2.85</v>
      </c>
      <c r="AG62" s="7">
        <v>45673</v>
      </c>
      <c r="AH62">
        <v>2.9969999999999999</v>
      </c>
      <c r="AI62">
        <v>2.843</v>
      </c>
      <c r="AJ62">
        <v>2.7919999999999998</v>
      </c>
      <c r="AK62">
        <v>2.75</v>
      </c>
      <c r="AL62">
        <v>2.7490000000000001</v>
      </c>
      <c r="AM62" s="6">
        <v>2.798</v>
      </c>
      <c r="AN62" s="6">
        <v>2.8210000000000002</v>
      </c>
      <c r="AO62">
        <v>2.92</v>
      </c>
      <c r="AP62" s="7">
        <v>45673</v>
      </c>
      <c r="AQ62">
        <v>3.258</v>
      </c>
      <c r="AR62">
        <v>3.1779999999999999</v>
      </c>
      <c r="AS62">
        <v>3.0840000000000001</v>
      </c>
      <c r="AT62">
        <v>3.04</v>
      </c>
      <c r="AU62">
        <v>3.1070000000000002</v>
      </c>
      <c r="AV62" s="6">
        <v>3.2679999999999998</v>
      </c>
      <c r="AW62" s="6">
        <v>3.2789999999999999</v>
      </c>
      <c r="AX62">
        <v>3.3849999999999998</v>
      </c>
      <c r="AY62" s="7">
        <v>45673</v>
      </c>
      <c r="AZ62">
        <v>2.9910000000000001</v>
      </c>
      <c r="BA62">
        <v>2.8540000000000001</v>
      </c>
      <c r="BB62">
        <v>2.7909999999999999</v>
      </c>
      <c r="BC62">
        <v>2.7730000000000001</v>
      </c>
      <c r="BD62">
        <v>2.8010000000000002</v>
      </c>
      <c r="BE62" s="6">
        <v>2.867</v>
      </c>
      <c r="BF62" s="6">
        <v>2.9</v>
      </c>
      <c r="BG62">
        <v>2.9649999999999999</v>
      </c>
      <c r="BH62" s="7">
        <v>45673</v>
      </c>
      <c r="BI62">
        <v>2.923</v>
      </c>
      <c r="BJ62">
        <v>2.77</v>
      </c>
      <c r="BK62">
        <v>2.702</v>
      </c>
      <c r="BL62">
        <v>2.7080000000000002</v>
      </c>
      <c r="BM62">
        <v>2.7210000000000001</v>
      </c>
      <c r="BN62" s="6">
        <v>2.7679999999999998</v>
      </c>
      <c r="BO62" s="6">
        <v>2.7909999999999999</v>
      </c>
      <c r="BP62">
        <v>2.8730000000000002</v>
      </c>
      <c r="BQ62" s="7">
        <v>45673</v>
      </c>
      <c r="BR62">
        <v>3.2570000000000001</v>
      </c>
      <c r="BS62">
        <v>3.1469999999999998</v>
      </c>
      <c r="BT62">
        <v>3.117</v>
      </c>
      <c r="BU62">
        <v>3.1360000000000001</v>
      </c>
      <c r="BV62">
        <v>3.1829999999999998</v>
      </c>
      <c r="BW62" s="6">
        <v>3.24</v>
      </c>
      <c r="BX62" s="6">
        <v>3.2810000000000001</v>
      </c>
      <c r="BY62">
        <v>3.351</v>
      </c>
      <c r="BZ62" s="7">
        <v>45673</v>
      </c>
      <c r="CA62">
        <v>2.8740000000000001</v>
      </c>
      <c r="CB62">
        <v>2.8149999999999999</v>
      </c>
      <c r="CC62">
        <v>2.786</v>
      </c>
      <c r="CD62">
        <v>2.7549999999999999</v>
      </c>
      <c r="CE62">
        <v>2.8130000000000002</v>
      </c>
      <c r="CF62" s="6">
        <v>2.8809999999999998</v>
      </c>
      <c r="CG62" s="6">
        <v>2.8849999999999998</v>
      </c>
      <c r="CH62">
        <v>2.9129999999999998</v>
      </c>
      <c r="CJ62" s="6" t="s">
        <v>179</v>
      </c>
      <c r="CK62" s="6" t="s">
        <v>180</v>
      </c>
    </row>
    <row r="63" spans="2:89">
      <c r="B63" s="7">
        <v>45672</v>
      </c>
      <c r="C63">
        <v>2.7490000000000001</v>
      </c>
      <c r="D63">
        <v>2.6440000000000001</v>
      </c>
      <c r="E63">
        <v>2.64</v>
      </c>
      <c r="F63">
        <v>2.68</v>
      </c>
      <c r="G63">
        <v>2.73</v>
      </c>
      <c r="H63">
        <v>2.68</v>
      </c>
      <c r="I63" s="6">
        <v>2.7770000000000001</v>
      </c>
      <c r="J63" s="6">
        <v>2.782</v>
      </c>
      <c r="K63" s="6">
        <v>2.98</v>
      </c>
      <c r="L63" s="6">
        <v>2.8740000000000001</v>
      </c>
      <c r="M63" s="6">
        <v>2.7440000000000002</v>
      </c>
      <c r="N63" s="6">
        <v>2.7</v>
      </c>
      <c r="O63" s="7">
        <v>45672</v>
      </c>
      <c r="P63">
        <v>2.73</v>
      </c>
      <c r="Q63">
        <v>2.64</v>
      </c>
      <c r="R63">
        <v>2.649</v>
      </c>
      <c r="S63">
        <v>2.69</v>
      </c>
      <c r="T63">
        <v>2.6779999999999999</v>
      </c>
      <c r="U63" s="6">
        <v>2.75</v>
      </c>
      <c r="V63" s="6">
        <v>0</v>
      </c>
      <c r="W63">
        <v>0</v>
      </c>
      <c r="X63" s="7">
        <v>45672</v>
      </c>
      <c r="Y63">
        <v>2.8029999999999999</v>
      </c>
      <c r="Z63">
        <v>2.7480000000000002</v>
      </c>
      <c r="AA63">
        <v>2.7160000000000002</v>
      </c>
      <c r="AB63">
        <v>2.7010000000000001</v>
      </c>
      <c r="AC63">
        <v>2.7650000000000001</v>
      </c>
      <c r="AD63" s="6">
        <v>2.8140000000000001</v>
      </c>
      <c r="AE63" s="6">
        <v>2.8220000000000001</v>
      </c>
      <c r="AF63">
        <v>2.911</v>
      </c>
      <c r="AG63" s="7">
        <v>45672</v>
      </c>
      <c r="AH63">
        <v>3.0139999999999998</v>
      </c>
      <c r="AI63">
        <v>2.8660000000000001</v>
      </c>
      <c r="AJ63">
        <v>2.8109999999999999</v>
      </c>
      <c r="AK63">
        <v>2.7770000000000001</v>
      </c>
      <c r="AL63">
        <v>2.7970000000000002</v>
      </c>
      <c r="AM63" s="6">
        <v>2.855</v>
      </c>
      <c r="AN63" s="6">
        <v>2.88</v>
      </c>
      <c r="AO63">
        <v>2.9780000000000002</v>
      </c>
      <c r="AP63" s="7">
        <v>45672</v>
      </c>
      <c r="AQ63">
        <v>3.266</v>
      </c>
      <c r="AR63">
        <v>3.1909999999999998</v>
      </c>
      <c r="AS63">
        <v>3.101</v>
      </c>
      <c r="AT63">
        <v>3.0720000000000001</v>
      </c>
      <c r="AU63">
        <v>3.165</v>
      </c>
      <c r="AV63" s="6">
        <v>3.3279999999999998</v>
      </c>
      <c r="AW63" s="6">
        <v>3.34</v>
      </c>
      <c r="AX63">
        <v>3.448</v>
      </c>
      <c r="AY63" s="7">
        <v>45672</v>
      </c>
      <c r="AZ63">
        <v>3.0049999999999999</v>
      </c>
      <c r="BA63">
        <v>2.8740000000000001</v>
      </c>
      <c r="BB63">
        <v>2.819</v>
      </c>
      <c r="BC63">
        <v>2.8079999999999998</v>
      </c>
      <c r="BD63">
        <v>2.8540000000000001</v>
      </c>
      <c r="BE63" s="6">
        <v>2.9239999999999999</v>
      </c>
      <c r="BF63" s="6">
        <v>2.9620000000000002</v>
      </c>
      <c r="BG63">
        <v>3.0249999999999999</v>
      </c>
      <c r="BH63" s="7">
        <v>45672</v>
      </c>
      <c r="BI63">
        <v>2.9369999999999998</v>
      </c>
      <c r="BJ63">
        <v>2.7909999999999999</v>
      </c>
      <c r="BK63">
        <v>2.7269999999999999</v>
      </c>
      <c r="BL63">
        <v>2.7429999999999999</v>
      </c>
      <c r="BM63">
        <v>2.7730000000000001</v>
      </c>
      <c r="BN63" s="6">
        <v>2.8220000000000001</v>
      </c>
      <c r="BO63" s="6">
        <v>2.85</v>
      </c>
      <c r="BP63">
        <v>2.9350000000000001</v>
      </c>
      <c r="BQ63" s="7">
        <v>45672</v>
      </c>
      <c r="BR63">
        <v>3.2690000000000001</v>
      </c>
      <c r="BS63">
        <v>3.1659999999999999</v>
      </c>
      <c r="BT63">
        <v>3.1360000000000001</v>
      </c>
      <c r="BU63">
        <v>3.1720000000000002</v>
      </c>
      <c r="BV63">
        <v>3.2320000000000002</v>
      </c>
      <c r="BW63" s="6">
        <v>3.2930000000000001</v>
      </c>
      <c r="BX63" s="6">
        <v>3.343</v>
      </c>
      <c r="BY63">
        <v>3.4119999999999999</v>
      </c>
      <c r="BZ63" s="7">
        <v>45672</v>
      </c>
      <c r="CA63">
        <v>2.8860000000000001</v>
      </c>
      <c r="CB63">
        <v>2.831</v>
      </c>
      <c r="CC63">
        <v>2.8039999999999998</v>
      </c>
      <c r="CD63">
        <v>2.7879999999999998</v>
      </c>
      <c r="CE63">
        <v>2.863</v>
      </c>
      <c r="CF63" s="6">
        <v>2.9359999999999999</v>
      </c>
      <c r="CG63" s="6">
        <v>2.94</v>
      </c>
      <c r="CH63">
        <v>2.9710000000000001</v>
      </c>
      <c r="CJ63" s="6" t="s">
        <v>181</v>
      </c>
      <c r="CK63" s="6" t="s">
        <v>182</v>
      </c>
    </row>
    <row r="64" spans="2:89">
      <c r="B64" s="7">
        <v>45671</v>
      </c>
      <c r="C64">
        <v>2.7450000000000001</v>
      </c>
      <c r="D64">
        <v>2.64</v>
      </c>
      <c r="E64">
        <v>2.6280000000000001</v>
      </c>
      <c r="F64">
        <v>2.6560000000000001</v>
      </c>
      <c r="G64">
        <v>2.706</v>
      </c>
      <c r="H64">
        <v>2.6469999999999998</v>
      </c>
      <c r="I64" s="6">
        <v>2.7450000000000001</v>
      </c>
      <c r="J64" s="6">
        <v>2.7370000000000001</v>
      </c>
      <c r="K64" s="6">
        <v>2.9350000000000001</v>
      </c>
      <c r="L64" s="6">
        <v>2.8450000000000002</v>
      </c>
      <c r="M64" s="6">
        <v>2.7320000000000002</v>
      </c>
      <c r="N64" s="6">
        <v>2.6869999999999998</v>
      </c>
      <c r="O64" s="7">
        <v>45671</v>
      </c>
      <c r="P64">
        <v>2.7229999999999999</v>
      </c>
      <c r="Q64">
        <v>2.6309999999999998</v>
      </c>
      <c r="R64">
        <v>2.6389999999999998</v>
      </c>
      <c r="S64">
        <v>2.673</v>
      </c>
      <c r="T64">
        <v>2.6549999999999998</v>
      </c>
      <c r="U64" s="6">
        <v>2.7170000000000001</v>
      </c>
      <c r="V64" s="6">
        <v>0</v>
      </c>
      <c r="W64">
        <v>0</v>
      </c>
      <c r="X64" s="7">
        <v>45671</v>
      </c>
      <c r="Y64">
        <v>2.8069999999999999</v>
      </c>
      <c r="Z64">
        <v>2.7519999999999998</v>
      </c>
      <c r="AA64">
        <v>2.7120000000000002</v>
      </c>
      <c r="AB64">
        <v>2.6859999999999999</v>
      </c>
      <c r="AC64">
        <v>2.746</v>
      </c>
      <c r="AD64" s="6">
        <v>2.7810000000000001</v>
      </c>
      <c r="AE64" s="6">
        <v>2.79</v>
      </c>
      <c r="AF64">
        <v>2.8759999999999999</v>
      </c>
      <c r="AG64" s="7">
        <v>45671</v>
      </c>
      <c r="AH64">
        <v>3.0169999999999999</v>
      </c>
      <c r="AI64">
        <v>2.867</v>
      </c>
      <c r="AJ64">
        <v>2.802</v>
      </c>
      <c r="AK64">
        <v>2.754</v>
      </c>
      <c r="AL64">
        <v>2.7719999999999998</v>
      </c>
      <c r="AM64" s="6">
        <v>2.823</v>
      </c>
      <c r="AN64" s="6">
        <v>2.8479999999999999</v>
      </c>
      <c r="AO64">
        <v>2.9359999999999999</v>
      </c>
      <c r="AP64" s="7">
        <v>45671</v>
      </c>
      <c r="AQ64">
        <v>3.2589999999999999</v>
      </c>
      <c r="AR64">
        <v>3.1829999999999998</v>
      </c>
      <c r="AS64">
        <v>3.0920000000000001</v>
      </c>
      <c r="AT64">
        <v>3.0590000000000002</v>
      </c>
      <c r="AU64">
        <v>3.1440000000000001</v>
      </c>
      <c r="AV64" s="6">
        <v>3.2959999999999998</v>
      </c>
      <c r="AW64" s="6">
        <v>3.3109999999999999</v>
      </c>
      <c r="AX64">
        <v>3.4140000000000001</v>
      </c>
      <c r="AY64" s="7">
        <v>45671</v>
      </c>
      <c r="AZ64">
        <v>3.01</v>
      </c>
      <c r="BA64">
        <v>2.875</v>
      </c>
      <c r="BB64">
        <v>2.819</v>
      </c>
      <c r="BC64">
        <v>2.7869999999999999</v>
      </c>
      <c r="BD64">
        <v>2.83</v>
      </c>
      <c r="BE64" s="6">
        <v>2.895</v>
      </c>
      <c r="BF64" s="6">
        <v>2.9329999999999998</v>
      </c>
      <c r="BG64">
        <v>2.9849999999999999</v>
      </c>
      <c r="BH64" s="7">
        <v>45671</v>
      </c>
      <c r="BI64">
        <v>2.9420000000000002</v>
      </c>
      <c r="BJ64">
        <v>2.7919999999999998</v>
      </c>
      <c r="BK64">
        <v>2.7269999999999999</v>
      </c>
      <c r="BL64">
        <v>2.7210000000000001</v>
      </c>
      <c r="BM64">
        <v>2.7490000000000001</v>
      </c>
      <c r="BN64" s="6">
        <v>2.7930000000000001</v>
      </c>
      <c r="BO64" s="6">
        <v>2.8210000000000002</v>
      </c>
      <c r="BP64">
        <v>2.895</v>
      </c>
      <c r="BQ64" s="7">
        <v>45671</v>
      </c>
      <c r="BR64">
        <v>3.274</v>
      </c>
      <c r="BS64">
        <v>3.1669999999999998</v>
      </c>
      <c r="BT64">
        <v>3.1360000000000001</v>
      </c>
      <c r="BU64">
        <v>3.1509999999999998</v>
      </c>
      <c r="BV64">
        <v>3.2080000000000002</v>
      </c>
      <c r="BW64" s="6">
        <v>3.2650000000000001</v>
      </c>
      <c r="BX64" s="6">
        <v>3.3140000000000001</v>
      </c>
      <c r="BY64">
        <v>3.3719999999999999</v>
      </c>
      <c r="BZ64" s="7">
        <v>45671</v>
      </c>
      <c r="CA64">
        <v>2.891</v>
      </c>
      <c r="CB64">
        <v>2.835</v>
      </c>
      <c r="CC64">
        <v>2.8</v>
      </c>
      <c r="CD64">
        <v>2.7770000000000001</v>
      </c>
      <c r="CE64">
        <v>2.8439999999999999</v>
      </c>
      <c r="CF64" s="6">
        <v>2.9089999999999998</v>
      </c>
      <c r="CG64" s="6">
        <v>2.9079999999999999</v>
      </c>
      <c r="CH64">
        <v>2.9359999999999999</v>
      </c>
      <c r="CJ64" s="6" t="s">
        <v>183</v>
      </c>
      <c r="CK64" s="6" t="s">
        <v>184</v>
      </c>
    </row>
    <row r="65" spans="2:89">
      <c r="B65" s="7">
        <v>45670</v>
      </c>
      <c r="C65">
        <v>2.7530000000000001</v>
      </c>
      <c r="D65">
        <v>2.6480000000000001</v>
      </c>
      <c r="E65">
        <v>2.6349999999999998</v>
      </c>
      <c r="F65">
        <v>2.6779999999999999</v>
      </c>
      <c r="G65">
        <v>2.7280000000000002</v>
      </c>
      <c r="H65">
        <v>2.665</v>
      </c>
      <c r="I65" s="6">
        <v>2.7610000000000001</v>
      </c>
      <c r="J65" s="6">
        <v>2.7549999999999999</v>
      </c>
      <c r="K65" s="6">
        <v>2.96</v>
      </c>
      <c r="L65" s="6">
        <v>2.875</v>
      </c>
      <c r="M65" s="6">
        <v>2.7759999999999998</v>
      </c>
      <c r="N65" s="6">
        <v>2.7349999999999999</v>
      </c>
      <c r="O65" s="7">
        <v>45670</v>
      </c>
      <c r="P65">
        <v>2.7280000000000002</v>
      </c>
      <c r="Q65">
        <v>2.6339999999999999</v>
      </c>
      <c r="R65">
        <v>2.6520000000000001</v>
      </c>
      <c r="S65">
        <v>2.6890000000000001</v>
      </c>
      <c r="T65">
        <v>2.681</v>
      </c>
      <c r="U65" s="6">
        <v>2.7349999999999999</v>
      </c>
      <c r="V65" s="6">
        <v>0</v>
      </c>
      <c r="W65">
        <v>0</v>
      </c>
      <c r="X65" s="7">
        <v>45670</v>
      </c>
      <c r="Y65">
        <v>2.8159999999999998</v>
      </c>
      <c r="Z65">
        <v>2.7610000000000001</v>
      </c>
      <c r="AA65">
        <v>2.7189999999999999</v>
      </c>
      <c r="AB65">
        <v>2.7080000000000002</v>
      </c>
      <c r="AC65">
        <v>2.7690000000000001</v>
      </c>
      <c r="AD65" s="6">
        <v>2.8</v>
      </c>
      <c r="AE65" s="6">
        <v>2.8090000000000002</v>
      </c>
      <c r="AF65">
        <v>2.9</v>
      </c>
      <c r="AG65" s="7">
        <v>45670</v>
      </c>
      <c r="AH65">
        <v>3.03</v>
      </c>
      <c r="AI65">
        <v>2.871</v>
      </c>
      <c r="AJ65">
        <v>2.8069999999999999</v>
      </c>
      <c r="AK65">
        <v>2.7650000000000001</v>
      </c>
      <c r="AL65">
        <v>2.7890000000000001</v>
      </c>
      <c r="AM65" s="6">
        <v>2.843</v>
      </c>
      <c r="AN65" s="6">
        <v>2.8679999999999999</v>
      </c>
      <c r="AO65">
        <v>2.956</v>
      </c>
      <c r="AP65" s="7">
        <v>45670</v>
      </c>
      <c r="AQ65">
        <v>3.2709999999999999</v>
      </c>
      <c r="AR65">
        <v>3.19</v>
      </c>
      <c r="AS65">
        <v>3.109</v>
      </c>
      <c r="AT65">
        <v>3.0790000000000002</v>
      </c>
      <c r="AU65">
        <v>3.17</v>
      </c>
      <c r="AV65" s="6">
        <v>3.3109999999999999</v>
      </c>
      <c r="AW65" s="6">
        <v>3.3239999999999998</v>
      </c>
      <c r="AX65">
        <v>3.4340000000000002</v>
      </c>
      <c r="AY65" s="7">
        <v>45670</v>
      </c>
      <c r="AZ65">
        <v>3.02</v>
      </c>
      <c r="BA65">
        <v>2.8889999999999998</v>
      </c>
      <c r="BB65">
        <v>2.84</v>
      </c>
      <c r="BC65">
        <v>2.7989999999999999</v>
      </c>
      <c r="BD65">
        <v>2.855</v>
      </c>
      <c r="BE65" s="6">
        <v>2.9220000000000002</v>
      </c>
      <c r="BF65" s="6">
        <v>2.9510000000000001</v>
      </c>
      <c r="BG65">
        <v>3.0059999999999998</v>
      </c>
      <c r="BH65" s="7">
        <v>45670</v>
      </c>
      <c r="BI65">
        <v>2.952</v>
      </c>
      <c r="BJ65">
        <v>2.8050000000000002</v>
      </c>
      <c r="BK65">
        <v>2.7490000000000001</v>
      </c>
      <c r="BL65">
        <v>2.7330000000000001</v>
      </c>
      <c r="BM65">
        <v>2.77</v>
      </c>
      <c r="BN65" s="6">
        <v>2.819</v>
      </c>
      <c r="BO65" s="6">
        <v>2.839</v>
      </c>
      <c r="BP65">
        <v>2.9159999999999999</v>
      </c>
      <c r="BQ65" s="7">
        <v>45670</v>
      </c>
      <c r="BR65">
        <v>3.2839999999999998</v>
      </c>
      <c r="BS65">
        <v>3.181</v>
      </c>
      <c r="BT65">
        <v>3.1579999999999999</v>
      </c>
      <c r="BU65">
        <v>3.1629999999999998</v>
      </c>
      <c r="BV65">
        <v>3.2330000000000001</v>
      </c>
      <c r="BW65" s="6">
        <v>3.29</v>
      </c>
      <c r="BX65" s="6">
        <v>3.3319999999999999</v>
      </c>
      <c r="BY65">
        <v>3.3929999999999998</v>
      </c>
      <c r="BZ65" s="7">
        <v>45670</v>
      </c>
      <c r="CA65">
        <v>2.899</v>
      </c>
      <c r="CB65">
        <v>2.843</v>
      </c>
      <c r="CC65">
        <v>2.8069999999999999</v>
      </c>
      <c r="CD65">
        <v>2.798</v>
      </c>
      <c r="CE65">
        <v>2.867</v>
      </c>
      <c r="CF65" s="6">
        <v>2.9279999999999999</v>
      </c>
      <c r="CG65" s="6">
        <v>2.927</v>
      </c>
      <c r="CH65">
        <v>2.96</v>
      </c>
      <c r="CJ65" s="6" t="s">
        <v>185</v>
      </c>
      <c r="CK65" s="6" t="s">
        <v>186</v>
      </c>
    </row>
    <row r="66" spans="2:89">
      <c r="B66" s="7">
        <v>45667</v>
      </c>
      <c r="C66">
        <v>2.75</v>
      </c>
      <c r="D66">
        <v>2.6459999999999999</v>
      </c>
      <c r="E66">
        <v>2.621</v>
      </c>
      <c r="F66">
        <v>2.6459999999999999</v>
      </c>
      <c r="G66">
        <v>2.6539999999999999</v>
      </c>
      <c r="H66">
        <v>2.57</v>
      </c>
      <c r="I66" s="6">
        <v>2.69</v>
      </c>
      <c r="J66" s="6">
        <v>2.6819999999999999</v>
      </c>
      <c r="K66" s="6">
        <v>2.9020000000000001</v>
      </c>
      <c r="L66" s="6">
        <v>2.84</v>
      </c>
      <c r="M66" s="6">
        <v>2.7480000000000002</v>
      </c>
      <c r="N66" s="6">
        <v>2.7149999999999999</v>
      </c>
      <c r="O66" s="7">
        <v>45667</v>
      </c>
      <c r="P66">
        <v>2.7250000000000001</v>
      </c>
      <c r="Q66">
        <v>2.6280000000000001</v>
      </c>
      <c r="R66">
        <v>2.6389999999999998</v>
      </c>
      <c r="S66">
        <v>2.6440000000000001</v>
      </c>
      <c r="T66">
        <v>2.61</v>
      </c>
      <c r="U66" s="6">
        <v>2.6549999999999998</v>
      </c>
      <c r="V66" s="6">
        <v>0</v>
      </c>
      <c r="W66">
        <v>0</v>
      </c>
      <c r="X66" s="7">
        <v>45667</v>
      </c>
      <c r="Y66">
        <v>2.8119999999999998</v>
      </c>
      <c r="Z66">
        <v>2.7589999999999999</v>
      </c>
      <c r="AA66">
        <v>2.706</v>
      </c>
      <c r="AB66">
        <v>2.6760000000000002</v>
      </c>
      <c r="AC66">
        <v>2.6960000000000002</v>
      </c>
      <c r="AD66" s="6">
        <v>2.7109999999999999</v>
      </c>
      <c r="AE66" s="6">
        <v>2.738</v>
      </c>
      <c r="AF66">
        <v>2.84</v>
      </c>
      <c r="AG66" s="7">
        <v>45667</v>
      </c>
      <c r="AH66">
        <v>3.0419999999999998</v>
      </c>
      <c r="AI66">
        <v>2.871</v>
      </c>
      <c r="AJ66">
        <v>2.794</v>
      </c>
      <c r="AK66">
        <v>2.7229999999999999</v>
      </c>
      <c r="AL66">
        <v>2.734</v>
      </c>
      <c r="AM66" s="6">
        <v>2.7650000000000001</v>
      </c>
      <c r="AN66" s="6">
        <v>2.8090000000000002</v>
      </c>
      <c r="AO66">
        <v>2.895</v>
      </c>
      <c r="AP66" s="7">
        <v>45667</v>
      </c>
      <c r="AQ66">
        <v>3.2770000000000001</v>
      </c>
      <c r="AR66">
        <v>3.1869999999999998</v>
      </c>
      <c r="AS66">
        <v>3.1</v>
      </c>
      <c r="AT66">
        <v>3.0409999999999999</v>
      </c>
      <c r="AU66">
        <v>3.105</v>
      </c>
      <c r="AV66" s="6">
        <v>3.2290000000000001</v>
      </c>
      <c r="AW66" s="6">
        <v>3.258</v>
      </c>
      <c r="AX66">
        <v>3.3679999999999999</v>
      </c>
      <c r="AY66" s="7">
        <v>45667</v>
      </c>
      <c r="AZ66">
        <v>3.0310000000000001</v>
      </c>
      <c r="BA66">
        <v>2.8959999999999999</v>
      </c>
      <c r="BB66">
        <v>2.8279999999999998</v>
      </c>
      <c r="BC66">
        <v>2.7610000000000001</v>
      </c>
      <c r="BD66">
        <v>2.7949999999999999</v>
      </c>
      <c r="BE66" s="6">
        <v>2.843</v>
      </c>
      <c r="BF66" s="6">
        <v>2.8889999999999998</v>
      </c>
      <c r="BG66">
        <v>2.944</v>
      </c>
      <c r="BH66" s="7">
        <v>45667</v>
      </c>
      <c r="BI66">
        <v>2.9630000000000001</v>
      </c>
      <c r="BJ66">
        <v>2.8130000000000002</v>
      </c>
      <c r="BK66">
        <v>2.7360000000000002</v>
      </c>
      <c r="BL66">
        <v>2.6949999999999998</v>
      </c>
      <c r="BM66">
        <v>2.71</v>
      </c>
      <c r="BN66" s="6">
        <v>2.74</v>
      </c>
      <c r="BO66" s="6">
        <v>2.7810000000000001</v>
      </c>
      <c r="BP66">
        <v>2.8570000000000002</v>
      </c>
      <c r="BQ66" s="7">
        <v>45667</v>
      </c>
      <c r="BR66">
        <v>3.2949999999999999</v>
      </c>
      <c r="BS66">
        <v>3.1880000000000002</v>
      </c>
      <c r="BT66">
        <v>3.145</v>
      </c>
      <c r="BU66">
        <v>3.125</v>
      </c>
      <c r="BV66">
        <v>3.173</v>
      </c>
      <c r="BW66" s="6">
        <v>3.21</v>
      </c>
      <c r="BX66" s="6">
        <v>3.27</v>
      </c>
      <c r="BY66">
        <v>3.331</v>
      </c>
      <c r="BZ66" s="7">
        <v>45667</v>
      </c>
      <c r="CA66">
        <v>2.8959999999999999</v>
      </c>
      <c r="CB66">
        <v>2.8420000000000001</v>
      </c>
      <c r="CC66">
        <v>2.794</v>
      </c>
      <c r="CD66">
        <v>2.7669999999999999</v>
      </c>
      <c r="CE66">
        <v>2.794</v>
      </c>
      <c r="CF66" s="6">
        <v>2.84</v>
      </c>
      <c r="CG66" s="6">
        <v>2.8559999999999999</v>
      </c>
      <c r="CH66">
        <v>2.899</v>
      </c>
      <c r="CJ66" s="6" t="s">
        <v>187</v>
      </c>
      <c r="CK66" s="6" t="s">
        <v>188</v>
      </c>
    </row>
    <row r="67" spans="2:89">
      <c r="B67" s="7">
        <v>45666</v>
      </c>
      <c r="C67">
        <v>2.75</v>
      </c>
      <c r="D67">
        <v>2.6419999999999999</v>
      </c>
      <c r="E67">
        <v>2.609</v>
      </c>
      <c r="F67">
        <v>2.621</v>
      </c>
      <c r="G67">
        <v>2.62</v>
      </c>
      <c r="H67">
        <v>2.496</v>
      </c>
      <c r="I67" s="6">
        <v>2.6429999999999998</v>
      </c>
      <c r="J67" s="6">
        <v>2.6349999999999998</v>
      </c>
      <c r="K67" s="6">
        <v>2.8540000000000001</v>
      </c>
      <c r="L67" s="6">
        <v>2.794</v>
      </c>
      <c r="M67" s="6">
        <v>2.71</v>
      </c>
      <c r="N67" s="6">
        <v>2.6819999999999999</v>
      </c>
      <c r="O67" s="7">
        <v>45666</v>
      </c>
      <c r="P67">
        <v>2.7229999999999999</v>
      </c>
      <c r="Q67">
        <v>2.625</v>
      </c>
      <c r="R67">
        <v>2.625</v>
      </c>
      <c r="S67">
        <v>2.6240000000000001</v>
      </c>
      <c r="T67">
        <v>2.58</v>
      </c>
      <c r="U67" s="6">
        <v>2.5979999999999999</v>
      </c>
      <c r="V67" s="6">
        <v>0</v>
      </c>
      <c r="W67">
        <v>0</v>
      </c>
      <c r="X67" s="7">
        <v>45666</v>
      </c>
      <c r="Y67">
        <v>2.8119999999999998</v>
      </c>
      <c r="Z67">
        <v>2.7549999999999999</v>
      </c>
      <c r="AA67">
        <v>2.6930000000000001</v>
      </c>
      <c r="AB67">
        <v>2.653</v>
      </c>
      <c r="AC67">
        <v>2.6680000000000001</v>
      </c>
      <c r="AD67" s="6">
        <v>2.64</v>
      </c>
      <c r="AE67" s="6">
        <v>2.69</v>
      </c>
      <c r="AF67">
        <v>2.798</v>
      </c>
      <c r="AG67" s="7">
        <v>45666</v>
      </c>
      <c r="AH67">
        <v>3.0649999999999999</v>
      </c>
      <c r="AI67">
        <v>2.8940000000000001</v>
      </c>
      <c r="AJ67">
        <v>2.8029999999999999</v>
      </c>
      <c r="AK67">
        <v>2.7229999999999999</v>
      </c>
      <c r="AL67">
        <v>2.7210000000000001</v>
      </c>
      <c r="AM67" s="6">
        <v>2.7090000000000001</v>
      </c>
      <c r="AN67" s="6">
        <v>2.7650000000000001</v>
      </c>
      <c r="AO67">
        <v>2.851</v>
      </c>
      <c r="AP67" s="7">
        <v>45666</v>
      </c>
      <c r="AQ67">
        <v>3.2869999999999999</v>
      </c>
      <c r="AR67">
        <v>3.1920000000000002</v>
      </c>
      <c r="AS67">
        <v>3.097</v>
      </c>
      <c r="AT67">
        <v>3.0259999999999998</v>
      </c>
      <c r="AU67">
        <v>3.08</v>
      </c>
      <c r="AV67" s="6">
        <v>3.165</v>
      </c>
      <c r="AW67" s="6">
        <v>3.2090000000000001</v>
      </c>
      <c r="AX67">
        <v>3.3239999999999998</v>
      </c>
      <c r="AY67" s="7">
        <v>45666</v>
      </c>
      <c r="AZ67">
        <v>3.0459999999999998</v>
      </c>
      <c r="BA67">
        <v>2.91</v>
      </c>
      <c r="BB67">
        <v>2.8319999999999999</v>
      </c>
      <c r="BC67">
        <v>2.758</v>
      </c>
      <c r="BD67">
        <v>2.7869999999999999</v>
      </c>
      <c r="BE67" s="6">
        <v>2.7909999999999999</v>
      </c>
      <c r="BF67" s="6">
        <v>2.8479999999999999</v>
      </c>
      <c r="BG67">
        <v>2.9049999999999998</v>
      </c>
      <c r="BH67" s="7">
        <v>45666</v>
      </c>
      <c r="BI67">
        <v>2.9780000000000002</v>
      </c>
      <c r="BJ67">
        <v>2.827</v>
      </c>
      <c r="BK67">
        <v>2.74</v>
      </c>
      <c r="BL67">
        <v>2.69</v>
      </c>
      <c r="BM67">
        <v>2.7010000000000001</v>
      </c>
      <c r="BN67" s="6">
        <v>2.6890000000000001</v>
      </c>
      <c r="BO67" s="6">
        <v>2.74</v>
      </c>
      <c r="BP67">
        <v>2.8180000000000001</v>
      </c>
      <c r="BQ67" s="7">
        <v>45666</v>
      </c>
      <c r="BR67">
        <v>3.31</v>
      </c>
      <c r="BS67">
        <v>3.202</v>
      </c>
      <c r="BT67">
        <v>3.149</v>
      </c>
      <c r="BU67">
        <v>3.1219999999999999</v>
      </c>
      <c r="BV67">
        <v>3.165</v>
      </c>
      <c r="BW67" s="6">
        <v>3.1579999999999999</v>
      </c>
      <c r="BX67" s="6">
        <v>3.2290000000000001</v>
      </c>
      <c r="BY67">
        <v>3.2919999999999998</v>
      </c>
      <c r="BZ67" s="7">
        <v>45666</v>
      </c>
      <c r="CA67">
        <v>2.8959999999999999</v>
      </c>
      <c r="CB67">
        <v>2.8380000000000001</v>
      </c>
      <c r="CC67">
        <v>2.7810000000000001</v>
      </c>
      <c r="CD67">
        <v>2.7429999999999999</v>
      </c>
      <c r="CE67">
        <v>2.7629999999999999</v>
      </c>
      <c r="CF67" s="6">
        <v>2.766</v>
      </c>
      <c r="CG67" s="6">
        <v>2.8079999999999998</v>
      </c>
      <c r="CH67">
        <v>2.8570000000000002</v>
      </c>
      <c r="CJ67" s="6" t="s">
        <v>189</v>
      </c>
      <c r="CK67" s="6" t="s">
        <v>190</v>
      </c>
    </row>
    <row r="68" spans="2:89">
      <c r="B68" s="7">
        <v>45665</v>
      </c>
      <c r="C68">
        <v>2.758</v>
      </c>
      <c r="D68">
        <v>2.645</v>
      </c>
      <c r="E68">
        <v>2.6219999999999999</v>
      </c>
      <c r="F68">
        <v>2.641</v>
      </c>
      <c r="G68">
        <v>2.64</v>
      </c>
      <c r="H68">
        <v>2.5</v>
      </c>
      <c r="I68" s="6">
        <v>2.665</v>
      </c>
      <c r="J68" s="6">
        <v>2.6469999999999998</v>
      </c>
      <c r="K68" s="6">
        <v>2.8650000000000002</v>
      </c>
      <c r="L68" s="6">
        <v>2.7850000000000001</v>
      </c>
      <c r="M68" s="6">
        <v>2.7240000000000002</v>
      </c>
      <c r="N68" s="6">
        <v>2.6850000000000001</v>
      </c>
      <c r="O68" s="7">
        <v>45665</v>
      </c>
      <c r="P68">
        <v>2.7330000000000001</v>
      </c>
      <c r="Q68">
        <v>2.6280000000000001</v>
      </c>
      <c r="R68">
        <v>2.637</v>
      </c>
      <c r="S68">
        <v>2.6379999999999999</v>
      </c>
      <c r="T68">
        <v>2.6040000000000001</v>
      </c>
      <c r="U68" s="6">
        <v>2.6259999999999999</v>
      </c>
      <c r="V68" s="6">
        <v>0</v>
      </c>
      <c r="W68">
        <v>0</v>
      </c>
      <c r="X68" s="7">
        <v>45665</v>
      </c>
      <c r="Y68">
        <v>2.8170000000000002</v>
      </c>
      <c r="Z68">
        <v>2.754</v>
      </c>
      <c r="AA68">
        <v>2.7029999999999998</v>
      </c>
      <c r="AB68">
        <v>2.6680000000000001</v>
      </c>
      <c r="AC68">
        <v>2.6890000000000001</v>
      </c>
      <c r="AD68" s="6">
        <v>2.6509999999999998</v>
      </c>
      <c r="AE68" s="6">
        <v>2.7120000000000002</v>
      </c>
      <c r="AF68">
        <v>2.81</v>
      </c>
      <c r="AG68" s="7">
        <v>45665</v>
      </c>
      <c r="AH68">
        <v>3.0939999999999999</v>
      </c>
      <c r="AI68">
        <v>2.9239999999999999</v>
      </c>
      <c r="AJ68">
        <v>2.83</v>
      </c>
      <c r="AK68">
        <v>2.7429999999999999</v>
      </c>
      <c r="AL68">
        <v>2.746</v>
      </c>
      <c r="AM68" s="6">
        <v>2.714</v>
      </c>
      <c r="AN68" s="6">
        <v>2.7869999999999999</v>
      </c>
      <c r="AO68">
        <v>2.8639999999999999</v>
      </c>
      <c r="AP68" s="7">
        <v>45665</v>
      </c>
      <c r="AQ68">
        <v>3.3069999999999999</v>
      </c>
      <c r="AR68">
        <v>3.198</v>
      </c>
      <c r="AS68">
        <v>3.1139999999999999</v>
      </c>
      <c r="AT68">
        <v>3.0419999999999998</v>
      </c>
      <c r="AU68">
        <v>3.1019999999999999</v>
      </c>
      <c r="AV68" s="6">
        <v>3.1720000000000002</v>
      </c>
      <c r="AW68" s="6">
        <v>3.2349999999999999</v>
      </c>
      <c r="AX68">
        <v>3.3380000000000001</v>
      </c>
      <c r="AY68" s="7">
        <v>45665</v>
      </c>
      <c r="AZ68">
        <v>3.093</v>
      </c>
      <c r="BA68">
        <v>2.9510000000000001</v>
      </c>
      <c r="BB68">
        <v>2.8730000000000002</v>
      </c>
      <c r="BC68">
        <v>2.7869999999999999</v>
      </c>
      <c r="BD68">
        <v>2.819</v>
      </c>
      <c r="BE68" s="6">
        <v>2.7959999999999998</v>
      </c>
      <c r="BF68" s="6">
        <v>2.87</v>
      </c>
      <c r="BG68">
        <v>2.9169999999999998</v>
      </c>
      <c r="BH68" s="7">
        <v>45665</v>
      </c>
      <c r="BI68">
        <v>3.0249999999999999</v>
      </c>
      <c r="BJ68">
        <v>2.8679999999999999</v>
      </c>
      <c r="BK68">
        <v>2.7810000000000001</v>
      </c>
      <c r="BL68">
        <v>2.7189999999999999</v>
      </c>
      <c r="BM68">
        <v>2.734</v>
      </c>
      <c r="BN68" s="6">
        <v>2.6949999999999998</v>
      </c>
      <c r="BO68" s="6">
        <v>2.762</v>
      </c>
      <c r="BP68">
        <v>2.83</v>
      </c>
      <c r="BQ68" s="7">
        <v>45665</v>
      </c>
      <c r="BR68">
        <v>3.3519999999999999</v>
      </c>
      <c r="BS68">
        <v>3.2330000000000001</v>
      </c>
      <c r="BT68">
        <v>3.1840000000000002</v>
      </c>
      <c r="BU68">
        <v>3.1539999999999999</v>
      </c>
      <c r="BV68">
        <v>3.202</v>
      </c>
      <c r="BW68" s="6">
        <v>3.1680000000000001</v>
      </c>
      <c r="BX68" s="6">
        <v>3.2509999999999999</v>
      </c>
      <c r="BY68">
        <v>3.3039999999999998</v>
      </c>
      <c r="BZ68" s="7">
        <v>45665</v>
      </c>
      <c r="CA68">
        <v>2.9009999999999998</v>
      </c>
      <c r="CB68">
        <v>2.8370000000000002</v>
      </c>
      <c r="CC68">
        <v>2.7909999999999999</v>
      </c>
      <c r="CD68">
        <v>2.758</v>
      </c>
      <c r="CE68">
        <v>2.786</v>
      </c>
      <c r="CF68" s="6">
        <v>2.7810000000000001</v>
      </c>
      <c r="CG68" s="6">
        <v>2.83</v>
      </c>
      <c r="CH68">
        <v>2.8690000000000002</v>
      </c>
      <c r="CJ68" s="6" t="s">
        <v>191</v>
      </c>
      <c r="CK68" s="6" t="s">
        <v>192</v>
      </c>
    </row>
    <row r="69" spans="2:89">
      <c r="B69" s="7">
        <v>45664</v>
      </c>
      <c r="C69">
        <v>2.7629999999999999</v>
      </c>
      <c r="D69">
        <v>2.65</v>
      </c>
      <c r="E69">
        <v>2.6379999999999999</v>
      </c>
      <c r="F69">
        <v>2.6640000000000001</v>
      </c>
      <c r="G69">
        <v>2.673</v>
      </c>
      <c r="H69">
        <v>2.5110000000000001</v>
      </c>
      <c r="I69" s="6">
        <v>2.6949999999999998</v>
      </c>
      <c r="J69" s="6">
        <v>2.6619999999999999</v>
      </c>
      <c r="K69" s="6">
        <v>2.8769999999999998</v>
      </c>
      <c r="L69" s="6">
        <v>2.794</v>
      </c>
      <c r="M69" s="6">
        <v>2.738</v>
      </c>
      <c r="N69" s="6">
        <v>2.6920000000000002</v>
      </c>
      <c r="O69" s="7">
        <v>45664</v>
      </c>
      <c r="P69">
        <v>2.7309999999999999</v>
      </c>
      <c r="Q69">
        <v>2.6280000000000001</v>
      </c>
      <c r="R69">
        <v>2.637</v>
      </c>
      <c r="S69">
        <v>2.6709999999999998</v>
      </c>
      <c r="T69">
        <v>2.625</v>
      </c>
      <c r="U69" s="6">
        <v>2.6539999999999999</v>
      </c>
      <c r="V69" s="6">
        <v>0</v>
      </c>
      <c r="W69">
        <v>0</v>
      </c>
      <c r="X69" s="7">
        <v>45664</v>
      </c>
      <c r="Y69">
        <v>2.8260000000000001</v>
      </c>
      <c r="Z69">
        <v>2.762</v>
      </c>
      <c r="AA69">
        <v>2.7189999999999999</v>
      </c>
      <c r="AB69">
        <v>2.69</v>
      </c>
      <c r="AC69">
        <v>2.72</v>
      </c>
      <c r="AD69" s="6">
        <v>2.6629999999999998</v>
      </c>
      <c r="AE69" s="6">
        <v>2.742</v>
      </c>
      <c r="AF69">
        <v>2.83</v>
      </c>
      <c r="AG69" s="7">
        <v>45664</v>
      </c>
      <c r="AH69">
        <v>3.1219999999999999</v>
      </c>
      <c r="AI69">
        <v>2.9510000000000001</v>
      </c>
      <c r="AJ69">
        <v>2.85</v>
      </c>
      <c r="AK69">
        <v>2.7709999999999999</v>
      </c>
      <c r="AL69">
        <v>2.7669999999999999</v>
      </c>
      <c r="AM69" s="6">
        <v>2.7269999999999999</v>
      </c>
      <c r="AN69" s="6">
        <v>2.8170000000000002</v>
      </c>
      <c r="AO69">
        <v>2.879</v>
      </c>
      <c r="AP69" s="7">
        <v>45664</v>
      </c>
      <c r="AQ69">
        <v>3.3119999999999998</v>
      </c>
      <c r="AR69">
        <v>3.2029999999999998</v>
      </c>
      <c r="AS69">
        <v>3.121</v>
      </c>
      <c r="AT69">
        <v>3.077</v>
      </c>
      <c r="AU69">
        <v>3.1230000000000002</v>
      </c>
      <c r="AV69" s="6">
        <v>3.1890000000000001</v>
      </c>
      <c r="AW69" s="6">
        <v>3.2650000000000001</v>
      </c>
      <c r="AX69">
        <v>3.355</v>
      </c>
      <c r="AY69" s="7">
        <v>45664</v>
      </c>
      <c r="AZ69">
        <v>3.1349999999999998</v>
      </c>
      <c r="BA69">
        <v>2.9780000000000002</v>
      </c>
      <c r="BB69">
        <v>2.8860000000000001</v>
      </c>
      <c r="BC69">
        <v>2.8170000000000002</v>
      </c>
      <c r="BD69">
        <v>2.847</v>
      </c>
      <c r="BE69" s="6">
        <v>2.8119999999999998</v>
      </c>
      <c r="BF69" s="6">
        <v>2.9020000000000001</v>
      </c>
      <c r="BG69">
        <v>2.9359999999999999</v>
      </c>
      <c r="BH69" s="7">
        <v>45664</v>
      </c>
      <c r="BI69">
        <v>3.0670000000000002</v>
      </c>
      <c r="BJ69">
        <v>2.8940000000000001</v>
      </c>
      <c r="BK69">
        <v>2.7949999999999999</v>
      </c>
      <c r="BL69">
        <v>2.7490000000000001</v>
      </c>
      <c r="BM69">
        <v>2.76</v>
      </c>
      <c r="BN69" s="6">
        <v>2.7109999999999999</v>
      </c>
      <c r="BO69" s="6">
        <v>2.794</v>
      </c>
      <c r="BP69">
        <v>2.8490000000000002</v>
      </c>
      <c r="BQ69" s="7">
        <v>45664</v>
      </c>
      <c r="BR69">
        <v>3.3940000000000001</v>
      </c>
      <c r="BS69">
        <v>3.26</v>
      </c>
      <c r="BT69">
        <v>3.1989999999999998</v>
      </c>
      <c r="BU69">
        <v>3.1890000000000001</v>
      </c>
      <c r="BV69">
        <v>3.2320000000000002</v>
      </c>
      <c r="BW69" s="6">
        <v>3.1840000000000002</v>
      </c>
      <c r="BX69" s="6">
        <v>3.2829999999999999</v>
      </c>
      <c r="BY69">
        <v>3.3220000000000001</v>
      </c>
      <c r="BZ69" s="7">
        <v>45664</v>
      </c>
      <c r="CA69">
        <v>2.9089999999999998</v>
      </c>
      <c r="CB69">
        <v>2.8450000000000002</v>
      </c>
      <c r="CC69">
        <v>2.8069999999999999</v>
      </c>
      <c r="CD69">
        <v>2.7810000000000001</v>
      </c>
      <c r="CE69">
        <v>2.8180000000000001</v>
      </c>
      <c r="CF69" s="6">
        <v>2.7919999999999998</v>
      </c>
      <c r="CG69" s="6">
        <v>2.86</v>
      </c>
      <c r="CH69">
        <v>2.8889999999999998</v>
      </c>
      <c r="CJ69" s="6" t="s">
        <v>193</v>
      </c>
      <c r="CK69" s="6" t="s">
        <v>194</v>
      </c>
    </row>
    <row r="70" spans="2:89">
      <c r="B70" s="7">
        <v>45663</v>
      </c>
      <c r="C70">
        <v>2.7650000000000001</v>
      </c>
      <c r="D70">
        <v>2.6579999999999999</v>
      </c>
      <c r="E70">
        <v>2.6509999999999998</v>
      </c>
      <c r="F70">
        <v>2.681</v>
      </c>
      <c r="G70">
        <v>2.694</v>
      </c>
      <c r="H70">
        <v>2.5219999999999998</v>
      </c>
      <c r="I70" s="6">
        <v>2.73</v>
      </c>
      <c r="J70" s="6">
        <v>2.6850000000000001</v>
      </c>
      <c r="K70" s="6">
        <v>2.91</v>
      </c>
      <c r="L70" s="6">
        <v>2.82</v>
      </c>
      <c r="M70" s="6">
        <v>2.7639999999999998</v>
      </c>
      <c r="N70" s="6">
        <v>2.71</v>
      </c>
      <c r="O70" s="7">
        <v>45663</v>
      </c>
      <c r="P70">
        <v>2.7429999999999999</v>
      </c>
      <c r="Q70">
        <v>2.6440000000000001</v>
      </c>
      <c r="R70">
        <v>2.6480000000000001</v>
      </c>
      <c r="S70">
        <v>2.6930000000000001</v>
      </c>
      <c r="T70">
        <v>2.645</v>
      </c>
      <c r="U70" s="6">
        <v>2.6760000000000002</v>
      </c>
      <c r="V70" s="6">
        <v>0</v>
      </c>
      <c r="W70">
        <v>0</v>
      </c>
      <c r="X70" s="7">
        <v>45663</v>
      </c>
      <c r="Y70">
        <v>2.8290000000000002</v>
      </c>
      <c r="Z70">
        <v>2.7709999999999999</v>
      </c>
      <c r="AA70">
        <v>2.7320000000000002</v>
      </c>
      <c r="AB70">
        <v>2.7080000000000002</v>
      </c>
      <c r="AC70">
        <v>2.7410000000000001</v>
      </c>
      <c r="AD70" s="6">
        <v>2.6739999999999999</v>
      </c>
      <c r="AE70" s="6">
        <v>2.7770000000000001</v>
      </c>
      <c r="AF70">
        <v>2.86</v>
      </c>
      <c r="AG70" s="7">
        <v>45663</v>
      </c>
      <c r="AH70">
        <v>3.1640000000000001</v>
      </c>
      <c r="AI70">
        <v>2.996</v>
      </c>
      <c r="AJ70">
        <v>2.8740000000000001</v>
      </c>
      <c r="AK70">
        <v>2.7919999999999998</v>
      </c>
      <c r="AL70">
        <v>2.7869999999999999</v>
      </c>
      <c r="AM70" s="6">
        <v>2.7450000000000001</v>
      </c>
      <c r="AN70" s="6">
        <v>2.8519999999999999</v>
      </c>
      <c r="AO70">
        <v>2.9020000000000001</v>
      </c>
      <c r="AP70" s="7">
        <v>45663</v>
      </c>
      <c r="AQ70">
        <v>3.3370000000000002</v>
      </c>
      <c r="AR70">
        <v>3.2250000000000001</v>
      </c>
      <c r="AS70">
        <v>3.141</v>
      </c>
      <c r="AT70">
        <v>3.1</v>
      </c>
      <c r="AU70">
        <v>3.1459999999999999</v>
      </c>
      <c r="AV70" s="6">
        <v>3.2029999999999998</v>
      </c>
      <c r="AW70" s="6">
        <v>3.3</v>
      </c>
      <c r="AX70">
        <v>3.3780000000000001</v>
      </c>
      <c r="AY70" s="7">
        <v>45663</v>
      </c>
      <c r="AZ70">
        <v>3.1859999999999999</v>
      </c>
      <c r="BA70">
        <v>3.028</v>
      </c>
      <c r="BB70">
        <v>2.9079999999999999</v>
      </c>
      <c r="BC70">
        <v>2.8420000000000001</v>
      </c>
      <c r="BD70">
        <v>2.8679999999999999</v>
      </c>
      <c r="BE70" s="6">
        <v>2.8279999999999998</v>
      </c>
      <c r="BF70" s="6">
        <v>2.9390000000000001</v>
      </c>
      <c r="BG70">
        <v>2.9590000000000001</v>
      </c>
      <c r="BH70" s="7">
        <v>45663</v>
      </c>
      <c r="BI70">
        <v>3.1179999999999999</v>
      </c>
      <c r="BJ70">
        <v>2.9460000000000002</v>
      </c>
      <c r="BK70">
        <v>2.8170000000000002</v>
      </c>
      <c r="BL70">
        <v>2.774</v>
      </c>
      <c r="BM70">
        <v>2.7829999999999999</v>
      </c>
      <c r="BN70" s="6">
        <v>2.7269999999999999</v>
      </c>
      <c r="BO70" s="6">
        <v>2.83</v>
      </c>
      <c r="BP70">
        <v>2.8730000000000002</v>
      </c>
      <c r="BQ70" s="7">
        <v>45663</v>
      </c>
      <c r="BR70">
        <v>3.4449999999999998</v>
      </c>
      <c r="BS70">
        <v>3.3109999999999999</v>
      </c>
      <c r="BT70">
        <v>3.2210000000000001</v>
      </c>
      <c r="BU70">
        <v>3.214</v>
      </c>
      <c r="BV70">
        <v>3.2530000000000001</v>
      </c>
      <c r="BW70" s="6">
        <v>3.2</v>
      </c>
      <c r="BX70" s="6">
        <v>3.32</v>
      </c>
      <c r="BY70">
        <v>3.3490000000000002</v>
      </c>
      <c r="BZ70" s="7">
        <v>45663</v>
      </c>
      <c r="CA70">
        <v>2.911</v>
      </c>
      <c r="CB70">
        <v>2.8530000000000002</v>
      </c>
      <c r="CC70">
        <v>2.82</v>
      </c>
      <c r="CD70">
        <v>2.798</v>
      </c>
      <c r="CE70">
        <v>2.839</v>
      </c>
      <c r="CF70" s="6">
        <v>2.8029999999999999</v>
      </c>
      <c r="CG70" s="6">
        <v>2.895</v>
      </c>
      <c r="CH70">
        <v>2.919</v>
      </c>
      <c r="CJ70" s="6" t="s">
        <v>195</v>
      </c>
      <c r="CK70" s="6" t="s">
        <v>196</v>
      </c>
    </row>
    <row r="71" spans="2:89">
      <c r="B71" s="7">
        <v>45660</v>
      </c>
      <c r="C71">
        <v>2.758</v>
      </c>
      <c r="D71">
        <v>2.6560000000000001</v>
      </c>
      <c r="E71">
        <v>2.641</v>
      </c>
      <c r="F71">
        <v>2.6680000000000001</v>
      </c>
      <c r="G71">
        <v>2.6619999999999999</v>
      </c>
      <c r="H71">
        <v>2.4700000000000002</v>
      </c>
      <c r="I71" s="6">
        <v>2.68</v>
      </c>
      <c r="J71" s="6">
        <v>2.6349999999999998</v>
      </c>
      <c r="K71" s="6">
        <v>2.8570000000000002</v>
      </c>
      <c r="L71" s="6">
        <v>2.7650000000000001</v>
      </c>
      <c r="M71" s="6">
        <v>2.7389999999999999</v>
      </c>
      <c r="N71" s="6">
        <v>2.6749999999999998</v>
      </c>
      <c r="O71" s="7">
        <v>45660</v>
      </c>
      <c r="P71">
        <v>2.7280000000000002</v>
      </c>
      <c r="Q71">
        <v>2.6320000000000001</v>
      </c>
      <c r="R71">
        <v>2.6339999999999999</v>
      </c>
      <c r="S71">
        <v>2.6789999999999998</v>
      </c>
      <c r="T71">
        <v>2.6160000000000001</v>
      </c>
      <c r="U71" s="6">
        <v>2.63</v>
      </c>
      <c r="V71" s="6">
        <v>0</v>
      </c>
      <c r="W71">
        <v>0</v>
      </c>
      <c r="X71" s="7">
        <v>45660</v>
      </c>
      <c r="Y71">
        <v>2.8220000000000001</v>
      </c>
      <c r="Z71">
        <v>2.7690000000000001</v>
      </c>
      <c r="AA71">
        <v>2.722</v>
      </c>
      <c r="AB71">
        <v>2.694</v>
      </c>
      <c r="AC71">
        <v>2.7090000000000001</v>
      </c>
      <c r="AD71" s="6">
        <v>2.621</v>
      </c>
      <c r="AE71" s="6">
        <v>2.7269999999999999</v>
      </c>
      <c r="AF71">
        <v>2.82</v>
      </c>
      <c r="AG71" s="7">
        <v>45660</v>
      </c>
      <c r="AH71">
        <v>3.1890000000000001</v>
      </c>
      <c r="AI71">
        <v>3.0209999999999999</v>
      </c>
      <c r="AJ71">
        <v>2.8740000000000001</v>
      </c>
      <c r="AK71">
        <v>2.7839999999999998</v>
      </c>
      <c r="AL71">
        <v>2.7690000000000001</v>
      </c>
      <c r="AM71" s="6">
        <v>2.6960000000000002</v>
      </c>
      <c r="AN71" s="6">
        <v>2.8039999999999998</v>
      </c>
      <c r="AO71">
        <v>2.8519999999999999</v>
      </c>
      <c r="AP71" s="7">
        <v>45660</v>
      </c>
      <c r="AQ71">
        <v>3.3420000000000001</v>
      </c>
      <c r="AR71">
        <v>3.2309999999999999</v>
      </c>
      <c r="AS71">
        <v>3.1360000000000001</v>
      </c>
      <c r="AT71">
        <v>3.0920000000000001</v>
      </c>
      <c r="AU71">
        <v>3.12</v>
      </c>
      <c r="AV71" s="6">
        <v>3.1509999999999998</v>
      </c>
      <c r="AW71" s="6">
        <v>3.25</v>
      </c>
      <c r="AX71">
        <v>3.3279999999999998</v>
      </c>
      <c r="AY71" s="7">
        <v>45660</v>
      </c>
      <c r="AZ71">
        <v>3.2160000000000002</v>
      </c>
      <c r="BA71">
        <v>3.0529999999999999</v>
      </c>
      <c r="BB71">
        <v>2.9180000000000001</v>
      </c>
      <c r="BC71">
        <v>2.8359999999999999</v>
      </c>
      <c r="BD71">
        <v>2.85</v>
      </c>
      <c r="BE71" s="6">
        <v>2.7869999999999999</v>
      </c>
      <c r="BF71" s="6">
        <v>2.8969999999999998</v>
      </c>
      <c r="BG71">
        <v>2.9169999999999998</v>
      </c>
      <c r="BH71" s="7">
        <v>45660</v>
      </c>
      <c r="BI71">
        <v>3.1480000000000001</v>
      </c>
      <c r="BJ71">
        <v>2.972</v>
      </c>
      <c r="BK71">
        <v>2.827</v>
      </c>
      <c r="BL71">
        <v>2.7669999999999999</v>
      </c>
      <c r="BM71">
        <v>2.7650000000000001</v>
      </c>
      <c r="BN71" s="6">
        <v>2.6850000000000001</v>
      </c>
      <c r="BO71" s="6">
        <v>2.7890000000000001</v>
      </c>
      <c r="BP71">
        <v>2.8319999999999999</v>
      </c>
      <c r="BQ71" s="7">
        <v>45660</v>
      </c>
      <c r="BR71">
        <v>3.48</v>
      </c>
      <c r="BS71">
        <v>3.3420000000000001</v>
      </c>
      <c r="BT71">
        <v>3.2290000000000001</v>
      </c>
      <c r="BU71">
        <v>3.2029999999999998</v>
      </c>
      <c r="BV71">
        <v>3.234</v>
      </c>
      <c r="BW71" s="6">
        <v>3.1579999999999999</v>
      </c>
      <c r="BX71" s="6">
        <v>3.278</v>
      </c>
      <c r="BY71">
        <v>3.3069999999999999</v>
      </c>
      <c r="BZ71" s="7">
        <v>45660</v>
      </c>
      <c r="CA71">
        <v>2.9039999999999999</v>
      </c>
      <c r="CB71">
        <v>2.8519999999999999</v>
      </c>
      <c r="CC71">
        <v>2.81</v>
      </c>
      <c r="CD71">
        <v>2.7850000000000001</v>
      </c>
      <c r="CE71">
        <v>2.8069999999999999</v>
      </c>
      <c r="CF71" s="6">
        <v>2.7509999999999999</v>
      </c>
      <c r="CG71" s="6">
        <v>2.8450000000000002</v>
      </c>
      <c r="CH71">
        <v>2.879</v>
      </c>
      <c r="CJ71" s="6" t="s">
        <v>197</v>
      </c>
      <c r="CK71" s="6" t="s">
        <v>198</v>
      </c>
    </row>
    <row r="72" spans="2:89">
      <c r="B72" s="7">
        <v>45659</v>
      </c>
      <c r="C72">
        <v>2.7610000000000001</v>
      </c>
      <c r="D72">
        <v>2.665</v>
      </c>
      <c r="E72">
        <v>2.6560000000000001</v>
      </c>
      <c r="F72">
        <v>2.69</v>
      </c>
      <c r="G72">
        <v>2.677</v>
      </c>
      <c r="H72">
        <v>2.5009999999999999</v>
      </c>
      <c r="I72" s="6">
        <v>2.7130000000000001</v>
      </c>
      <c r="J72" s="6">
        <v>2.6749999999999998</v>
      </c>
      <c r="K72" s="6">
        <v>2.891</v>
      </c>
      <c r="L72" s="6">
        <v>2.742</v>
      </c>
      <c r="M72" s="6">
        <v>2.7690000000000001</v>
      </c>
      <c r="N72" s="6">
        <v>2.6920000000000002</v>
      </c>
      <c r="O72" s="7">
        <v>45659</v>
      </c>
      <c r="P72">
        <v>2.7429999999999999</v>
      </c>
      <c r="Q72">
        <v>2.6459999999999999</v>
      </c>
      <c r="R72">
        <v>2.657</v>
      </c>
      <c r="S72">
        <v>2.6829999999999998</v>
      </c>
      <c r="T72">
        <v>2.64</v>
      </c>
      <c r="U72" s="6">
        <v>2.6549999999999998</v>
      </c>
      <c r="V72" s="6">
        <v>0</v>
      </c>
      <c r="W72">
        <v>0</v>
      </c>
      <c r="X72" s="7">
        <v>45659</v>
      </c>
      <c r="Y72">
        <v>2.8260000000000001</v>
      </c>
      <c r="Z72">
        <v>2.7789999999999999</v>
      </c>
      <c r="AA72">
        <v>2.7389999999999999</v>
      </c>
      <c r="AB72">
        <v>2.7170000000000001</v>
      </c>
      <c r="AC72">
        <v>2.7240000000000002</v>
      </c>
      <c r="AD72" s="6">
        <v>2.653</v>
      </c>
      <c r="AE72" s="6">
        <v>2.76</v>
      </c>
      <c r="AF72">
        <v>2.87</v>
      </c>
      <c r="AG72" s="7">
        <v>45659</v>
      </c>
      <c r="AH72">
        <v>3.2410000000000001</v>
      </c>
      <c r="AI72">
        <v>3.077</v>
      </c>
      <c r="AJ72">
        <v>2.9169999999999998</v>
      </c>
      <c r="AK72">
        <v>2.82</v>
      </c>
      <c r="AL72">
        <v>2.8069999999999999</v>
      </c>
      <c r="AM72" s="6">
        <v>2.7280000000000002</v>
      </c>
      <c r="AN72" s="6">
        <v>2.8359999999999999</v>
      </c>
      <c r="AO72">
        <v>2.8919999999999999</v>
      </c>
      <c r="AP72" s="7">
        <v>45659</v>
      </c>
      <c r="AQ72">
        <v>3.3759999999999999</v>
      </c>
      <c r="AR72">
        <v>3.2610000000000001</v>
      </c>
      <c r="AS72">
        <v>3.1709999999999998</v>
      </c>
      <c r="AT72">
        <v>3.1230000000000002</v>
      </c>
      <c r="AU72">
        <v>3.145</v>
      </c>
      <c r="AV72" s="6">
        <v>3.1850000000000001</v>
      </c>
      <c r="AW72" s="6">
        <v>3.2810000000000001</v>
      </c>
      <c r="AX72">
        <v>3.3679999999999999</v>
      </c>
      <c r="AY72" s="7">
        <v>45659</v>
      </c>
      <c r="AZ72">
        <v>3.26</v>
      </c>
      <c r="BA72">
        <v>3.0960000000000001</v>
      </c>
      <c r="BB72">
        <v>2.9590000000000001</v>
      </c>
      <c r="BC72">
        <v>2.8690000000000002</v>
      </c>
      <c r="BD72">
        <v>2.8860000000000001</v>
      </c>
      <c r="BE72" s="6">
        <v>2.82</v>
      </c>
      <c r="BF72" s="6">
        <v>2.9319999999999999</v>
      </c>
      <c r="BG72">
        <v>2.96</v>
      </c>
      <c r="BH72" s="7">
        <v>45659</v>
      </c>
      <c r="BI72">
        <v>3.202</v>
      </c>
      <c r="BJ72">
        <v>3.024</v>
      </c>
      <c r="BK72">
        <v>2.871</v>
      </c>
      <c r="BL72">
        <v>2.8029999999999999</v>
      </c>
      <c r="BM72">
        <v>2.8050000000000002</v>
      </c>
      <c r="BN72" s="6">
        <v>2.718</v>
      </c>
      <c r="BO72" s="6">
        <v>2.823</v>
      </c>
      <c r="BP72">
        <v>2.875</v>
      </c>
      <c r="BQ72" s="7">
        <v>45659</v>
      </c>
      <c r="BR72">
        <v>3.524</v>
      </c>
      <c r="BS72">
        <v>3.3849999999999998</v>
      </c>
      <c r="BT72">
        <v>3.27</v>
      </c>
      <c r="BU72">
        <v>3.2360000000000002</v>
      </c>
      <c r="BV72">
        <v>3.2709999999999999</v>
      </c>
      <c r="BW72" s="6">
        <v>3.1909999999999998</v>
      </c>
      <c r="BX72" s="6">
        <v>3.3130000000000002</v>
      </c>
      <c r="BY72">
        <v>3.35</v>
      </c>
      <c r="BZ72" s="7">
        <v>45659</v>
      </c>
      <c r="CA72">
        <v>2.911</v>
      </c>
      <c r="CB72">
        <v>2.8620000000000001</v>
      </c>
      <c r="CC72">
        <v>2.827</v>
      </c>
      <c r="CD72">
        <v>2.8079999999999998</v>
      </c>
      <c r="CE72">
        <v>2.8220000000000001</v>
      </c>
      <c r="CF72" s="6">
        <v>2.782</v>
      </c>
      <c r="CG72" s="6">
        <v>2.8780000000000001</v>
      </c>
      <c r="CH72">
        <v>2.9289999999999998</v>
      </c>
      <c r="CJ72" s="6" t="s">
        <v>199</v>
      </c>
      <c r="CK72" s="6" t="s">
        <v>200</v>
      </c>
    </row>
    <row r="73" spans="2:89">
      <c r="B73" s="7">
        <v>45657</v>
      </c>
      <c r="C73">
        <v>2.7949999999999999</v>
      </c>
      <c r="D73">
        <v>2.706</v>
      </c>
      <c r="E73">
        <v>2.7029999999999998</v>
      </c>
      <c r="F73">
        <v>2.7610000000000001</v>
      </c>
      <c r="G73">
        <v>2.7650000000000001</v>
      </c>
      <c r="H73">
        <v>2.5950000000000002</v>
      </c>
      <c r="I73" s="6">
        <v>2.82</v>
      </c>
      <c r="J73" s="6">
        <v>2.7650000000000001</v>
      </c>
      <c r="K73" s="6">
        <v>2.984</v>
      </c>
      <c r="L73" s="6">
        <v>2.871</v>
      </c>
      <c r="M73" s="6">
        <v>2.875</v>
      </c>
      <c r="N73" s="6">
        <v>2.7959999999999998</v>
      </c>
      <c r="O73" s="7">
        <v>45657</v>
      </c>
      <c r="P73">
        <v>2.8380000000000001</v>
      </c>
      <c r="Q73">
        <v>2.746</v>
      </c>
      <c r="R73">
        <v>2.694</v>
      </c>
      <c r="S73">
        <v>2.7349999999999999</v>
      </c>
      <c r="T73">
        <v>2.7519999999999998</v>
      </c>
      <c r="U73" s="6">
        <v>2.7450000000000001</v>
      </c>
      <c r="V73" s="6">
        <v>0</v>
      </c>
      <c r="W73">
        <v>0</v>
      </c>
      <c r="X73" s="7">
        <v>45657</v>
      </c>
      <c r="Y73">
        <v>2.859</v>
      </c>
      <c r="Z73">
        <v>2.8210000000000002</v>
      </c>
      <c r="AA73">
        <v>2.786</v>
      </c>
      <c r="AB73">
        <v>2.7879999999999998</v>
      </c>
      <c r="AC73">
        <v>2.8130000000000002</v>
      </c>
      <c r="AD73" s="6">
        <v>2.74</v>
      </c>
      <c r="AE73" s="6">
        <v>2.867</v>
      </c>
      <c r="AF73">
        <v>2.9460000000000002</v>
      </c>
      <c r="AG73" s="7">
        <v>45657</v>
      </c>
      <c r="AH73">
        <v>3.3010000000000002</v>
      </c>
      <c r="AI73">
        <v>3.1459999999999999</v>
      </c>
      <c r="AJ73">
        <v>2.9940000000000002</v>
      </c>
      <c r="AK73">
        <v>2.915</v>
      </c>
      <c r="AL73">
        <v>2.92</v>
      </c>
      <c r="AM73" s="6">
        <v>2.823</v>
      </c>
      <c r="AN73" s="6">
        <v>2.9430000000000001</v>
      </c>
      <c r="AO73">
        <v>2.9820000000000002</v>
      </c>
      <c r="AP73" s="7">
        <v>45657</v>
      </c>
      <c r="AQ73">
        <v>3.4239999999999999</v>
      </c>
      <c r="AR73">
        <v>3.3140000000000001</v>
      </c>
      <c r="AS73">
        <v>3.2309999999999999</v>
      </c>
      <c r="AT73">
        <v>3.1949999999999998</v>
      </c>
      <c r="AU73">
        <v>3.246</v>
      </c>
      <c r="AV73" s="6">
        <v>3.2789999999999999</v>
      </c>
      <c r="AW73" s="6">
        <v>3.3879999999999999</v>
      </c>
      <c r="AX73">
        <v>3.4630000000000001</v>
      </c>
      <c r="AY73" s="7">
        <v>45657</v>
      </c>
      <c r="AZ73">
        <v>3.3149999999999999</v>
      </c>
      <c r="BA73">
        <v>3.149</v>
      </c>
      <c r="BB73">
        <v>3.0289999999999999</v>
      </c>
      <c r="BC73">
        <v>2.956</v>
      </c>
      <c r="BD73">
        <v>2.9889999999999999</v>
      </c>
      <c r="BE73" s="6">
        <v>2.91</v>
      </c>
      <c r="BF73" s="6">
        <v>3.0350000000000001</v>
      </c>
      <c r="BG73">
        <v>3.0470000000000002</v>
      </c>
      <c r="BH73" s="7">
        <v>45657</v>
      </c>
      <c r="BI73">
        <v>3.2570000000000001</v>
      </c>
      <c r="BJ73">
        <v>3.0779999999999998</v>
      </c>
      <c r="BK73">
        <v>2.9409999999999998</v>
      </c>
      <c r="BL73">
        <v>2.8889999999999998</v>
      </c>
      <c r="BM73">
        <v>2.9119999999999999</v>
      </c>
      <c r="BN73" s="6">
        <v>2.81</v>
      </c>
      <c r="BO73" s="6">
        <v>2.9260000000000002</v>
      </c>
      <c r="BP73">
        <v>2.9620000000000002</v>
      </c>
      <c r="BQ73" s="7">
        <v>45657</v>
      </c>
      <c r="BR73">
        <v>3.5739999999999998</v>
      </c>
      <c r="BS73">
        <v>3.4380000000000002</v>
      </c>
      <c r="BT73">
        <v>3.34</v>
      </c>
      <c r="BU73">
        <v>3.3239999999999998</v>
      </c>
      <c r="BV73">
        <v>3.3769999999999998</v>
      </c>
      <c r="BW73" s="6">
        <v>3.282</v>
      </c>
      <c r="BX73" s="6">
        <v>3.4159999999999999</v>
      </c>
      <c r="BY73">
        <v>3.4369999999999998</v>
      </c>
      <c r="BZ73" s="7">
        <v>45657</v>
      </c>
      <c r="CA73">
        <v>2.944</v>
      </c>
      <c r="CB73">
        <v>2.903</v>
      </c>
      <c r="CC73">
        <v>2.8740000000000001</v>
      </c>
      <c r="CD73">
        <v>2.8780000000000001</v>
      </c>
      <c r="CE73">
        <v>2.911</v>
      </c>
      <c r="CF73" s="6">
        <v>2.87</v>
      </c>
      <c r="CG73" s="6">
        <v>2.9849999999999999</v>
      </c>
      <c r="CH73">
        <v>3.0059999999999998</v>
      </c>
      <c r="CJ73" s="6" t="s">
        <v>201</v>
      </c>
      <c r="CK73" s="6" t="s">
        <v>202</v>
      </c>
    </row>
    <row r="74" spans="2:89">
      <c r="B74" s="7">
        <v>45656</v>
      </c>
      <c r="C74">
        <v>2.7949999999999999</v>
      </c>
      <c r="D74">
        <v>2.706</v>
      </c>
      <c r="E74">
        <v>2.7029999999999998</v>
      </c>
      <c r="F74">
        <v>2.7610000000000001</v>
      </c>
      <c r="G74">
        <v>2.7650000000000001</v>
      </c>
      <c r="H74">
        <v>2.5950000000000002</v>
      </c>
      <c r="I74" s="6">
        <v>2.82</v>
      </c>
      <c r="J74" s="6">
        <v>2.7650000000000001</v>
      </c>
      <c r="K74" s="6">
        <v>2.984</v>
      </c>
      <c r="L74" s="6">
        <v>2.871</v>
      </c>
      <c r="M74" s="6">
        <v>2.875</v>
      </c>
      <c r="N74" s="6">
        <v>2.7959999999999998</v>
      </c>
      <c r="O74" s="7">
        <v>45656</v>
      </c>
      <c r="P74">
        <v>2.8380000000000001</v>
      </c>
      <c r="Q74">
        <v>2.746</v>
      </c>
      <c r="R74">
        <v>2.694</v>
      </c>
      <c r="S74">
        <v>2.7349999999999999</v>
      </c>
      <c r="T74">
        <v>2.7519999999999998</v>
      </c>
      <c r="U74" s="6">
        <v>2.7450000000000001</v>
      </c>
      <c r="V74" s="6">
        <v>0</v>
      </c>
      <c r="W74">
        <v>0</v>
      </c>
      <c r="X74" s="7">
        <v>45656</v>
      </c>
      <c r="Y74">
        <v>2.859</v>
      </c>
      <c r="Z74">
        <v>2.8210000000000002</v>
      </c>
      <c r="AA74">
        <v>2.786</v>
      </c>
      <c r="AB74">
        <v>2.7879999999999998</v>
      </c>
      <c r="AC74">
        <v>2.8130000000000002</v>
      </c>
      <c r="AD74" s="6">
        <v>2.74</v>
      </c>
      <c r="AE74" s="6">
        <v>2.867</v>
      </c>
      <c r="AF74">
        <v>2.9460000000000002</v>
      </c>
      <c r="AG74" s="7">
        <v>45656</v>
      </c>
      <c r="AH74">
        <v>3.3010000000000002</v>
      </c>
      <c r="AI74">
        <v>3.1459999999999999</v>
      </c>
      <c r="AJ74">
        <v>2.9940000000000002</v>
      </c>
      <c r="AK74">
        <v>2.915</v>
      </c>
      <c r="AL74">
        <v>2.92</v>
      </c>
      <c r="AM74" s="6">
        <v>2.823</v>
      </c>
      <c r="AN74" s="6">
        <v>2.9430000000000001</v>
      </c>
      <c r="AO74">
        <v>2.9820000000000002</v>
      </c>
      <c r="AP74" s="7">
        <v>45656</v>
      </c>
      <c r="AQ74">
        <v>3.4239999999999999</v>
      </c>
      <c r="AR74">
        <v>3.3140000000000001</v>
      </c>
      <c r="AS74">
        <v>3.2309999999999999</v>
      </c>
      <c r="AT74">
        <v>3.1949999999999998</v>
      </c>
      <c r="AU74">
        <v>3.246</v>
      </c>
      <c r="AV74" s="6">
        <v>3.2789999999999999</v>
      </c>
      <c r="AW74" s="6">
        <v>3.3879999999999999</v>
      </c>
      <c r="AX74">
        <v>3.4630000000000001</v>
      </c>
      <c r="AY74" s="7">
        <v>45656</v>
      </c>
      <c r="AZ74">
        <v>3.3149999999999999</v>
      </c>
      <c r="BA74">
        <v>3.149</v>
      </c>
      <c r="BB74">
        <v>3.0289999999999999</v>
      </c>
      <c r="BC74">
        <v>2.956</v>
      </c>
      <c r="BD74">
        <v>2.9889999999999999</v>
      </c>
      <c r="BE74" s="6">
        <v>2.91</v>
      </c>
      <c r="BF74" s="6">
        <v>3.0350000000000001</v>
      </c>
      <c r="BG74">
        <v>3.0470000000000002</v>
      </c>
      <c r="BH74" s="7">
        <v>45656</v>
      </c>
      <c r="BI74">
        <v>3.2570000000000001</v>
      </c>
      <c r="BJ74">
        <v>3.0779999999999998</v>
      </c>
      <c r="BK74">
        <v>2.9409999999999998</v>
      </c>
      <c r="BL74">
        <v>2.8889999999999998</v>
      </c>
      <c r="BM74">
        <v>2.9119999999999999</v>
      </c>
      <c r="BN74" s="6">
        <v>2.81</v>
      </c>
      <c r="BO74" s="6">
        <v>2.9260000000000002</v>
      </c>
      <c r="BP74">
        <v>2.9620000000000002</v>
      </c>
      <c r="BQ74" s="7">
        <v>45656</v>
      </c>
      <c r="BR74">
        <v>3.5739999999999998</v>
      </c>
      <c r="BS74">
        <v>3.4380000000000002</v>
      </c>
      <c r="BT74">
        <v>3.34</v>
      </c>
      <c r="BU74">
        <v>3.3239999999999998</v>
      </c>
      <c r="BV74">
        <v>3.3769999999999998</v>
      </c>
      <c r="BW74" s="6">
        <v>3.282</v>
      </c>
      <c r="BX74" s="6">
        <v>3.4159999999999999</v>
      </c>
      <c r="BY74">
        <v>3.4369999999999998</v>
      </c>
      <c r="BZ74" s="7">
        <v>45656</v>
      </c>
      <c r="CA74">
        <v>2.944</v>
      </c>
      <c r="CB74">
        <v>2.903</v>
      </c>
      <c r="CC74">
        <v>2.8740000000000001</v>
      </c>
      <c r="CD74">
        <v>2.8780000000000001</v>
      </c>
      <c r="CE74">
        <v>2.911</v>
      </c>
      <c r="CF74" s="6">
        <v>2.87</v>
      </c>
      <c r="CG74" s="6">
        <v>2.9849999999999999</v>
      </c>
      <c r="CH74">
        <v>3.0059999999999998</v>
      </c>
      <c r="CJ74" s="6" t="s">
        <v>203</v>
      </c>
      <c r="CK74" s="6" t="s">
        <v>204</v>
      </c>
    </row>
    <row r="75" spans="2:89">
      <c r="B75" s="7">
        <v>45653</v>
      </c>
      <c r="C75">
        <v>2.7909999999999999</v>
      </c>
      <c r="D75">
        <v>2.706</v>
      </c>
      <c r="E75">
        <v>2.6949999999999998</v>
      </c>
      <c r="F75">
        <v>2.7610000000000001</v>
      </c>
      <c r="G75">
        <v>2.77</v>
      </c>
      <c r="H75">
        <v>2.625</v>
      </c>
      <c r="I75" s="6">
        <v>2.819</v>
      </c>
      <c r="J75" s="6">
        <v>2.7850000000000001</v>
      </c>
      <c r="K75" s="6">
        <v>2.9980000000000002</v>
      </c>
      <c r="L75" s="6">
        <v>2.8849999999999998</v>
      </c>
      <c r="M75" s="6">
        <v>2.871</v>
      </c>
      <c r="N75" s="6">
        <v>2.81</v>
      </c>
      <c r="O75" s="7">
        <v>45653</v>
      </c>
      <c r="P75">
        <v>2.8380000000000001</v>
      </c>
      <c r="Q75">
        <v>2.746</v>
      </c>
      <c r="R75">
        <v>2.694</v>
      </c>
      <c r="S75">
        <v>2.7360000000000002</v>
      </c>
      <c r="T75">
        <v>2.7570000000000001</v>
      </c>
      <c r="U75" s="6">
        <v>2.7629999999999999</v>
      </c>
      <c r="V75" s="6">
        <v>0</v>
      </c>
      <c r="W75">
        <v>0</v>
      </c>
      <c r="X75" s="7">
        <v>45653</v>
      </c>
      <c r="Y75">
        <v>2.8559999999999999</v>
      </c>
      <c r="Z75">
        <v>2.8210000000000002</v>
      </c>
      <c r="AA75">
        <v>2.7770000000000001</v>
      </c>
      <c r="AB75">
        <v>2.7879999999999998</v>
      </c>
      <c r="AC75">
        <v>2.8180000000000001</v>
      </c>
      <c r="AD75" s="6">
        <v>2.77</v>
      </c>
      <c r="AE75" s="6">
        <v>2.8660000000000001</v>
      </c>
      <c r="AF75">
        <v>2.9670000000000001</v>
      </c>
      <c r="AG75" s="7">
        <v>45653</v>
      </c>
      <c r="AH75">
        <v>3.3039999999999998</v>
      </c>
      <c r="AI75">
        <v>3.149</v>
      </c>
      <c r="AJ75">
        <v>2.9980000000000002</v>
      </c>
      <c r="AK75">
        <v>2.9239999999999999</v>
      </c>
      <c r="AL75">
        <v>2.93</v>
      </c>
      <c r="AM75" s="6">
        <v>2.8530000000000002</v>
      </c>
      <c r="AN75" s="6">
        <v>2.9420000000000002</v>
      </c>
      <c r="AO75">
        <v>3.0009999999999999</v>
      </c>
      <c r="AP75" s="7">
        <v>45653</v>
      </c>
      <c r="AQ75">
        <v>3.4289999999999998</v>
      </c>
      <c r="AR75">
        <v>3.3170000000000002</v>
      </c>
      <c r="AS75">
        <v>3.234</v>
      </c>
      <c r="AT75">
        <v>3.2</v>
      </c>
      <c r="AU75">
        <v>3.2530000000000001</v>
      </c>
      <c r="AV75" s="6">
        <v>3.306</v>
      </c>
      <c r="AW75" s="6">
        <v>3.387</v>
      </c>
      <c r="AX75">
        <v>3.4830000000000001</v>
      </c>
      <c r="AY75" s="7">
        <v>45653</v>
      </c>
      <c r="AZ75">
        <v>3.3109999999999999</v>
      </c>
      <c r="BA75">
        <v>3.1480000000000001</v>
      </c>
      <c r="BB75">
        <v>3.0289999999999999</v>
      </c>
      <c r="BC75">
        <v>2.9609999999999999</v>
      </c>
      <c r="BD75">
        <v>2.996</v>
      </c>
      <c r="BE75" s="6">
        <v>2.94</v>
      </c>
      <c r="BF75" s="6">
        <v>3.0339999999999998</v>
      </c>
      <c r="BG75">
        <v>3.0649999999999999</v>
      </c>
      <c r="BH75" s="7">
        <v>45653</v>
      </c>
      <c r="BI75">
        <v>3.2530000000000001</v>
      </c>
      <c r="BJ75">
        <v>3.0760000000000001</v>
      </c>
      <c r="BK75">
        <v>2.9409999999999998</v>
      </c>
      <c r="BL75">
        <v>2.895</v>
      </c>
      <c r="BM75">
        <v>2.92</v>
      </c>
      <c r="BN75" s="6">
        <v>2.84</v>
      </c>
      <c r="BO75" s="6">
        <v>2.9249999999999998</v>
      </c>
      <c r="BP75">
        <v>2.98</v>
      </c>
      <c r="BQ75" s="7">
        <v>45653</v>
      </c>
      <c r="BR75">
        <v>3.5630000000000002</v>
      </c>
      <c r="BS75">
        <v>3.4350000000000001</v>
      </c>
      <c r="BT75">
        <v>3.339</v>
      </c>
      <c r="BU75">
        <v>3.327</v>
      </c>
      <c r="BV75">
        <v>3.3820000000000001</v>
      </c>
      <c r="BW75" s="6">
        <v>3.3119999999999998</v>
      </c>
      <c r="BX75" s="6">
        <v>3.415</v>
      </c>
      <c r="BY75">
        <v>3.4550000000000001</v>
      </c>
      <c r="BZ75" s="7">
        <v>45653</v>
      </c>
      <c r="CA75">
        <v>2.9409999999999998</v>
      </c>
      <c r="CB75">
        <v>2.903</v>
      </c>
      <c r="CC75">
        <v>2.8650000000000002</v>
      </c>
      <c r="CD75">
        <v>2.8780000000000001</v>
      </c>
      <c r="CE75">
        <v>2.9159999999999999</v>
      </c>
      <c r="CF75" s="6">
        <v>2.9</v>
      </c>
      <c r="CG75" s="6">
        <v>2.984</v>
      </c>
      <c r="CH75">
        <v>3.0259999999999998</v>
      </c>
      <c r="CJ75" s="6" t="s">
        <v>205</v>
      </c>
      <c r="CK75" s="6" t="s">
        <v>206</v>
      </c>
    </row>
    <row r="76" spans="2:89">
      <c r="B76" s="7">
        <v>45652</v>
      </c>
      <c r="C76">
        <v>2.7909999999999999</v>
      </c>
      <c r="D76">
        <v>2.7130000000000001</v>
      </c>
      <c r="E76">
        <v>2.698</v>
      </c>
      <c r="F76">
        <v>2.7810000000000001</v>
      </c>
      <c r="G76">
        <v>2.7970000000000002</v>
      </c>
      <c r="H76">
        <v>2.67</v>
      </c>
      <c r="I76" s="6">
        <v>2.8650000000000002</v>
      </c>
      <c r="J76" s="6">
        <v>2.8250000000000002</v>
      </c>
      <c r="K76" s="6">
        <v>3.0270000000000001</v>
      </c>
      <c r="L76" s="6">
        <v>2.9140000000000001</v>
      </c>
      <c r="M76" s="6">
        <v>2.85</v>
      </c>
      <c r="N76" s="6">
        <v>2.78</v>
      </c>
      <c r="O76" s="7">
        <v>45652</v>
      </c>
      <c r="P76">
        <v>2.843</v>
      </c>
      <c r="Q76">
        <v>2.758</v>
      </c>
      <c r="R76">
        <v>2.706</v>
      </c>
      <c r="S76">
        <v>2.762</v>
      </c>
      <c r="T76">
        <v>2.7919999999999998</v>
      </c>
      <c r="U76" s="6">
        <v>2.8010000000000002</v>
      </c>
      <c r="V76" s="6">
        <v>0</v>
      </c>
      <c r="W76">
        <v>0</v>
      </c>
      <c r="X76" s="7">
        <v>45652</v>
      </c>
      <c r="Y76">
        <v>2.8559999999999999</v>
      </c>
      <c r="Z76">
        <v>2.8220000000000001</v>
      </c>
      <c r="AA76">
        <v>2.7839999999999998</v>
      </c>
      <c r="AB76">
        <v>2.8090000000000002</v>
      </c>
      <c r="AC76">
        <v>2.8439999999999999</v>
      </c>
      <c r="AD76" s="6">
        <v>2.8149999999999999</v>
      </c>
      <c r="AE76" s="6">
        <v>2.9119999999999999</v>
      </c>
      <c r="AF76">
        <v>3.01</v>
      </c>
      <c r="AG76" s="7">
        <v>45652</v>
      </c>
      <c r="AH76">
        <v>3.3090000000000002</v>
      </c>
      <c r="AI76">
        <v>3.157</v>
      </c>
      <c r="AJ76">
        <v>3.0150000000000001</v>
      </c>
      <c r="AK76">
        <v>2.9540000000000002</v>
      </c>
      <c r="AL76">
        <v>2.9670000000000001</v>
      </c>
      <c r="AM76" s="6">
        <v>2.899</v>
      </c>
      <c r="AN76" s="6">
        <v>2.9910000000000001</v>
      </c>
      <c r="AO76">
        <v>3.0419999999999998</v>
      </c>
      <c r="AP76" s="7">
        <v>45652</v>
      </c>
      <c r="AQ76">
        <v>3.4359999999999999</v>
      </c>
      <c r="AR76">
        <v>3.3290000000000002</v>
      </c>
      <c r="AS76">
        <v>3.2480000000000002</v>
      </c>
      <c r="AT76">
        <v>3.226</v>
      </c>
      <c r="AU76">
        <v>3.2869999999999999</v>
      </c>
      <c r="AV76" s="6">
        <v>3.3479999999999999</v>
      </c>
      <c r="AW76" s="6">
        <v>3.4329999999999998</v>
      </c>
      <c r="AX76">
        <v>3.5230000000000001</v>
      </c>
      <c r="AY76" s="7">
        <v>45652</v>
      </c>
      <c r="AZ76">
        <v>3.3210000000000002</v>
      </c>
      <c r="BA76">
        <v>3.1589999999999998</v>
      </c>
      <c r="BB76">
        <v>3.0409999999999999</v>
      </c>
      <c r="BC76">
        <v>2.9870000000000001</v>
      </c>
      <c r="BD76">
        <v>3.0339999999999998</v>
      </c>
      <c r="BE76" s="6">
        <v>2.9889999999999999</v>
      </c>
      <c r="BF76" s="6">
        <v>3.0830000000000002</v>
      </c>
      <c r="BG76">
        <v>3.1070000000000002</v>
      </c>
      <c r="BH76" s="7">
        <v>45652</v>
      </c>
      <c r="BI76">
        <v>3.2629999999999999</v>
      </c>
      <c r="BJ76">
        <v>3.0880000000000001</v>
      </c>
      <c r="BK76">
        <v>2.9529999999999998</v>
      </c>
      <c r="BL76">
        <v>2.9209999999999998</v>
      </c>
      <c r="BM76">
        <v>2.9580000000000002</v>
      </c>
      <c r="BN76" s="6">
        <v>2.89</v>
      </c>
      <c r="BO76" s="6">
        <v>2.9750000000000001</v>
      </c>
      <c r="BP76">
        <v>3.0219999999999998</v>
      </c>
      <c r="BQ76" s="7">
        <v>45652</v>
      </c>
      <c r="BR76">
        <v>3.573</v>
      </c>
      <c r="BS76">
        <v>3.4460000000000002</v>
      </c>
      <c r="BT76">
        <v>3.35</v>
      </c>
      <c r="BU76">
        <v>3.3519999999999999</v>
      </c>
      <c r="BV76">
        <v>3.419</v>
      </c>
      <c r="BW76" s="6">
        <v>3.3620000000000001</v>
      </c>
      <c r="BX76" s="6">
        <v>3.464</v>
      </c>
      <c r="BY76">
        <v>3.4969999999999999</v>
      </c>
      <c r="BZ76" s="7">
        <v>45652</v>
      </c>
      <c r="CA76">
        <v>2.9409999999999998</v>
      </c>
      <c r="CB76">
        <v>2.9049999999999998</v>
      </c>
      <c r="CC76">
        <v>2.8719999999999999</v>
      </c>
      <c r="CD76">
        <v>2.9</v>
      </c>
      <c r="CE76">
        <v>2.9420000000000002</v>
      </c>
      <c r="CF76" s="6">
        <v>2.944</v>
      </c>
      <c r="CG76" s="6">
        <v>3.03</v>
      </c>
      <c r="CH76">
        <v>3.069</v>
      </c>
      <c r="CJ76" s="6" t="s">
        <v>207</v>
      </c>
      <c r="CK76" s="6" t="s">
        <v>208</v>
      </c>
    </row>
    <row r="77" spans="2:89">
      <c r="B77" s="7">
        <v>45650</v>
      </c>
      <c r="C77">
        <v>2.7909999999999999</v>
      </c>
      <c r="D77">
        <v>2.7109999999999999</v>
      </c>
      <c r="E77">
        <v>2.6850000000000001</v>
      </c>
      <c r="F77">
        <v>2.7559999999999998</v>
      </c>
      <c r="G77">
        <v>2.7650000000000001</v>
      </c>
      <c r="H77">
        <v>2.6240000000000001</v>
      </c>
      <c r="I77" s="6">
        <v>2.8450000000000002</v>
      </c>
      <c r="J77" s="6">
        <v>2.8</v>
      </c>
      <c r="K77" s="6">
        <v>2.996</v>
      </c>
      <c r="L77" s="6">
        <v>2.8839999999999999</v>
      </c>
      <c r="M77" s="6">
        <v>2.827</v>
      </c>
      <c r="N77" s="6">
        <v>2.7650000000000001</v>
      </c>
      <c r="O77" s="7">
        <v>45650</v>
      </c>
      <c r="P77">
        <v>2.84</v>
      </c>
      <c r="Q77">
        <v>2.7549999999999999</v>
      </c>
      <c r="R77">
        <v>2.7010000000000001</v>
      </c>
      <c r="S77">
        <v>2.74</v>
      </c>
      <c r="T77">
        <v>2.7650000000000001</v>
      </c>
      <c r="U77" s="6">
        <v>2.7690000000000001</v>
      </c>
      <c r="V77" s="6">
        <v>0</v>
      </c>
      <c r="W77">
        <v>0</v>
      </c>
      <c r="X77" s="7">
        <v>45650</v>
      </c>
      <c r="Y77">
        <v>2.8559999999999999</v>
      </c>
      <c r="Z77">
        <v>2.8210000000000002</v>
      </c>
      <c r="AA77">
        <v>2.7709999999999999</v>
      </c>
      <c r="AB77">
        <v>2.7839999999999998</v>
      </c>
      <c r="AC77">
        <v>2.8130000000000002</v>
      </c>
      <c r="AD77" s="6">
        <v>2.77</v>
      </c>
      <c r="AE77" s="6">
        <v>2.8919999999999999</v>
      </c>
      <c r="AF77">
        <v>3</v>
      </c>
      <c r="AG77" s="7">
        <v>45650</v>
      </c>
      <c r="AH77">
        <v>3.3079999999999998</v>
      </c>
      <c r="AI77">
        <v>3.1560000000000001</v>
      </c>
      <c r="AJ77">
        <v>3.0129999999999999</v>
      </c>
      <c r="AK77">
        <v>2.9449999999999998</v>
      </c>
      <c r="AL77">
        <v>2.9550000000000001</v>
      </c>
      <c r="AM77" s="6">
        <v>2.8690000000000002</v>
      </c>
      <c r="AN77" s="6">
        <v>2.972</v>
      </c>
      <c r="AO77">
        <v>3.0169999999999999</v>
      </c>
      <c r="AP77" s="7">
        <v>45650</v>
      </c>
      <c r="AQ77">
        <v>3.43</v>
      </c>
      <c r="AR77">
        <v>3.3250000000000002</v>
      </c>
      <c r="AS77">
        <v>3.24</v>
      </c>
      <c r="AT77">
        <v>3.2050000000000001</v>
      </c>
      <c r="AU77">
        <v>3.2610000000000001</v>
      </c>
      <c r="AV77" s="6">
        <v>3.3050000000000002</v>
      </c>
      <c r="AW77" s="6">
        <v>3.4129999999999998</v>
      </c>
      <c r="AX77">
        <v>3.4980000000000002</v>
      </c>
      <c r="AY77" s="7">
        <v>45650</v>
      </c>
      <c r="AZ77">
        <v>3.32</v>
      </c>
      <c r="BA77">
        <v>3.1589999999999998</v>
      </c>
      <c r="BB77">
        <v>3.0390000000000001</v>
      </c>
      <c r="BC77">
        <v>2.9780000000000002</v>
      </c>
      <c r="BD77">
        <v>3.0249999999999999</v>
      </c>
      <c r="BE77" s="6">
        <v>2.9580000000000002</v>
      </c>
      <c r="BF77" s="6">
        <v>3.0720000000000001</v>
      </c>
      <c r="BG77">
        <v>3.0939999999999999</v>
      </c>
      <c r="BH77" s="7">
        <v>45650</v>
      </c>
      <c r="BI77">
        <v>3.262</v>
      </c>
      <c r="BJ77">
        <v>3.0880000000000001</v>
      </c>
      <c r="BK77">
        <v>2.9510000000000001</v>
      </c>
      <c r="BL77">
        <v>2.9119999999999999</v>
      </c>
      <c r="BM77">
        <v>2.9489999999999998</v>
      </c>
      <c r="BN77" s="6">
        <v>2.859</v>
      </c>
      <c r="BO77" s="6">
        <v>2.964</v>
      </c>
      <c r="BP77">
        <v>3.008</v>
      </c>
      <c r="BQ77" s="7">
        <v>45650</v>
      </c>
      <c r="BR77">
        <v>3.5710000000000002</v>
      </c>
      <c r="BS77">
        <v>3.4460000000000002</v>
      </c>
      <c r="BT77">
        <v>3.3490000000000002</v>
      </c>
      <c r="BU77">
        <v>3.343</v>
      </c>
      <c r="BV77">
        <v>3.41</v>
      </c>
      <c r="BW77" s="6">
        <v>3.331</v>
      </c>
      <c r="BX77" s="6">
        <v>3.4529999999999998</v>
      </c>
      <c r="BY77">
        <v>3.484</v>
      </c>
      <c r="BZ77" s="7">
        <v>45650</v>
      </c>
      <c r="CA77">
        <v>2.9409999999999998</v>
      </c>
      <c r="CB77">
        <v>2.903</v>
      </c>
      <c r="CC77">
        <v>2.859</v>
      </c>
      <c r="CD77">
        <v>2.875</v>
      </c>
      <c r="CE77">
        <v>2.911</v>
      </c>
      <c r="CF77" s="6">
        <v>2.899</v>
      </c>
      <c r="CG77" s="6">
        <v>3.01</v>
      </c>
      <c r="CH77">
        <v>3.0590000000000002</v>
      </c>
      <c r="CJ77" s="6" t="s">
        <v>209</v>
      </c>
      <c r="CK77" s="6" t="s">
        <v>210</v>
      </c>
    </row>
    <row r="78" spans="2:89">
      <c r="B78" s="7">
        <v>45649</v>
      </c>
      <c r="C78">
        <v>2.7850000000000001</v>
      </c>
      <c r="D78">
        <v>2.7050000000000001</v>
      </c>
      <c r="E78">
        <v>2.6749999999999998</v>
      </c>
      <c r="F78">
        <v>2.7269999999999999</v>
      </c>
      <c r="G78">
        <v>2.7349999999999999</v>
      </c>
      <c r="H78">
        <v>2.609</v>
      </c>
      <c r="I78" s="6">
        <v>2.8050000000000002</v>
      </c>
      <c r="J78" s="6">
        <v>2.7570000000000001</v>
      </c>
      <c r="K78" s="6">
        <v>2.952</v>
      </c>
      <c r="L78" s="6">
        <v>2.8450000000000002</v>
      </c>
      <c r="M78" s="6">
        <v>2.7679999999999998</v>
      </c>
      <c r="N78" s="6">
        <v>2.702</v>
      </c>
      <c r="O78" s="7">
        <v>45649</v>
      </c>
      <c r="P78">
        <v>2.8330000000000002</v>
      </c>
      <c r="Q78">
        <v>2.7450000000000001</v>
      </c>
      <c r="R78">
        <v>2.6840000000000002</v>
      </c>
      <c r="S78">
        <v>2.7149999999999999</v>
      </c>
      <c r="T78">
        <v>2.734</v>
      </c>
      <c r="U78" s="6">
        <v>2.7309999999999999</v>
      </c>
      <c r="V78" s="6">
        <v>0</v>
      </c>
      <c r="W78">
        <v>0</v>
      </c>
      <c r="X78" s="7">
        <v>45649</v>
      </c>
      <c r="Y78">
        <v>2.8490000000000002</v>
      </c>
      <c r="Z78">
        <v>2.8140000000000001</v>
      </c>
      <c r="AA78">
        <v>2.7610000000000001</v>
      </c>
      <c r="AB78">
        <v>2.758</v>
      </c>
      <c r="AC78">
        <v>2.7829999999999999</v>
      </c>
      <c r="AD78" s="6">
        <v>2.754</v>
      </c>
      <c r="AE78" s="6">
        <v>2.8490000000000002</v>
      </c>
      <c r="AF78">
        <v>2.96</v>
      </c>
      <c r="AG78" s="7">
        <v>45649</v>
      </c>
      <c r="AH78">
        <v>3.2970000000000002</v>
      </c>
      <c r="AI78">
        <v>3.145</v>
      </c>
      <c r="AJ78">
        <v>2.9950000000000001</v>
      </c>
      <c r="AK78">
        <v>2.923</v>
      </c>
      <c r="AL78">
        <v>2.93</v>
      </c>
      <c r="AM78" s="6">
        <v>2.8540000000000001</v>
      </c>
      <c r="AN78" s="6">
        <v>2.9329999999999998</v>
      </c>
      <c r="AO78">
        <v>2.976</v>
      </c>
      <c r="AP78" s="7">
        <v>45649</v>
      </c>
      <c r="AQ78">
        <v>3.423</v>
      </c>
      <c r="AR78">
        <v>3.3149999999999999</v>
      </c>
      <c r="AS78">
        <v>3.2210000000000001</v>
      </c>
      <c r="AT78">
        <v>3.1819999999999999</v>
      </c>
      <c r="AU78">
        <v>3.2330000000000001</v>
      </c>
      <c r="AV78" s="6">
        <v>3.286</v>
      </c>
      <c r="AW78" s="6">
        <v>3.375</v>
      </c>
      <c r="AX78">
        <v>3.456</v>
      </c>
      <c r="AY78" s="7">
        <v>45649</v>
      </c>
      <c r="AZ78">
        <v>3.3010000000000002</v>
      </c>
      <c r="BA78">
        <v>3.1480000000000001</v>
      </c>
      <c r="BB78">
        <v>3.0259999999999998</v>
      </c>
      <c r="BC78">
        <v>2.956</v>
      </c>
      <c r="BD78">
        <v>2.996</v>
      </c>
      <c r="BE78" s="6">
        <v>2.9390000000000001</v>
      </c>
      <c r="BF78" s="6">
        <v>3.0310000000000001</v>
      </c>
      <c r="BG78">
        <v>3.0529999999999999</v>
      </c>
      <c r="BH78" s="7">
        <v>45649</v>
      </c>
      <c r="BI78">
        <v>3.2429999999999999</v>
      </c>
      <c r="BJ78">
        <v>3.0760000000000001</v>
      </c>
      <c r="BK78">
        <v>2.9380000000000002</v>
      </c>
      <c r="BL78">
        <v>2.89</v>
      </c>
      <c r="BM78">
        <v>2.92</v>
      </c>
      <c r="BN78" s="6">
        <v>2.84</v>
      </c>
      <c r="BO78" s="6">
        <v>2.923</v>
      </c>
      <c r="BP78">
        <v>2.9670000000000001</v>
      </c>
      <c r="BQ78" s="7">
        <v>45649</v>
      </c>
      <c r="BR78">
        <v>3.5529999999999999</v>
      </c>
      <c r="BS78">
        <v>3.4350000000000001</v>
      </c>
      <c r="BT78">
        <v>3.335</v>
      </c>
      <c r="BU78">
        <v>3.3220000000000001</v>
      </c>
      <c r="BV78">
        <v>3.3820000000000001</v>
      </c>
      <c r="BW78" s="6">
        <v>3.3119999999999998</v>
      </c>
      <c r="BX78" s="6">
        <v>3.4119999999999999</v>
      </c>
      <c r="BY78">
        <v>3.4430000000000001</v>
      </c>
      <c r="BZ78" s="7">
        <v>45649</v>
      </c>
      <c r="CA78">
        <v>2.9340000000000002</v>
      </c>
      <c r="CB78">
        <v>2.8969999999999998</v>
      </c>
      <c r="CC78">
        <v>2.8490000000000002</v>
      </c>
      <c r="CD78">
        <v>2.8490000000000002</v>
      </c>
      <c r="CE78">
        <v>2.8809999999999998</v>
      </c>
      <c r="CF78" s="6">
        <v>2.883</v>
      </c>
      <c r="CG78" s="6">
        <v>2.9670000000000001</v>
      </c>
      <c r="CH78">
        <v>3.0190000000000001</v>
      </c>
      <c r="CJ78" s="6" t="s">
        <v>211</v>
      </c>
      <c r="CK78" s="6" t="s">
        <v>212</v>
      </c>
    </row>
    <row r="79" spans="2:89">
      <c r="B79" s="7">
        <v>45646</v>
      </c>
      <c r="C79">
        <v>2.8130000000000002</v>
      </c>
      <c r="D79">
        <v>2.7080000000000002</v>
      </c>
      <c r="E79">
        <v>2.681</v>
      </c>
      <c r="F79">
        <v>2.7290000000000001</v>
      </c>
      <c r="G79">
        <v>2.73</v>
      </c>
      <c r="H79">
        <v>2.6120000000000001</v>
      </c>
      <c r="I79" s="6">
        <v>2.8090000000000002</v>
      </c>
      <c r="J79" s="6">
        <v>2.76</v>
      </c>
      <c r="K79" s="6">
        <v>2.9620000000000002</v>
      </c>
      <c r="L79" s="6">
        <v>2.86</v>
      </c>
      <c r="M79" s="6">
        <v>2.7909999999999999</v>
      </c>
      <c r="N79" s="6">
        <v>2.72</v>
      </c>
      <c r="O79" s="7">
        <v>45646</v>
      </c>
      <c r="P79">
        <v>2.835</v>
      </c>
      <c r="Q79">
        <v>2.7450000000000001</v>
      </c>
      <c r="R79">
        <v>2.6840000000000002</v>
      </c>
      <c r="S79">
        <v>2.7130000000000001</v>
      </c>
      <c r="T79">
        <v>2.7250000000000001</v>
      </c>
      <c r="U79" s="6">
        <v>2.7240000000000002</v>
      </c>
      <c r="V79" s="6">
        <v>0</v>
      </c>
      <c r="W79">
        <v>0</v>
      </c>
      <c r="X79" s="7">
        <v>45646</v>
      </c>
      <c r="Y79">
        <v>2.8769999999999998</v>
      </c>
      <c r="Z79">
        <v>2.8170000000000002</v>
      </c>
      <c r="AA79">
        <v>2.7669999999999999</v>
      </c>
      <c r="AB79">
        <v>2.76</v>
      </c>
      <c r="AC79">
        <v>2.778</v>
      </c>
      <c r="AD79" s="6">
        <v>2.7570000000000001</v>
      </c>
      <c r="AE79" s="6">
        <v>2.8530000000000002</v>
      </c>
      <c r="AF79">
        <v>2.9550000000000001</v>
      </c>
      <c r="AG79" s="7">
        <v>45646</v>
      </c>
      <c r="AH79">
        <v>3.2919999999999998</v>
      </c>
      <c r="AI79">
        <v>3.1379999999999999</v>
      </c>
      <c r="AJ79">
        <v>2.99</v>
      </c>
      <c r="AK79">
        <v>2.9209999999999998</v>
      </c>
      <c r="AL79">
        <v>2.9249999999999998</v>
      </c>
      <c r="AM79" s="6">
        <v>2.8559999999999999</v>
      </c>
      <c r="AN79" s="6">
        <v>2.9350000000000001</v>
      </c>
      <c r="AO79">
        <v>2.9790000000000001</v>
      </c>
      <c r="AP79" s="7">
        <v>45646</v>
      </c>
      <c r="AQ79">
        <v>3.4209999999999998</v>
      </c>
      <c r="AR79">
        <v>3.3109999999999999</v>
      </c>
      <c r="AS79">
        <v>3.218</v>
      </c>
      <c r="AT79">
        <v>3.1779999999999999</v>
      </c>
      <c r="AU79">
        <v>3.2240000000000002</v>
      </c>
      <c r="AV79" s="6">
        <v>3.282</v>
      </c>
      <c r="AW79" s="6">
        <v>3.379</v>
      </c>
      <c r="AX79">
        <v>3.4590000000000001</v>
      </c>
      <c r="AY79" s="7">
        <v>45646</v>
      </c>
      <c r="AZ79">
        <v>3.2959999999999998</v>
      </c>
      <c r="BA79">
        <v>3.1429999999999998</v>
      </c>
      <c r="BB79">
        <v>3.0259999999999998</v>
      </c>
      <c r="BC79">
        <v>2.9550000000000001</v>
      </c>
      <c r="BD79">
        <v>2.9889999999999999</v>
      </c>
      <c r="BE79" s="6">
        <v>2.9430000000000001</v>
      </c>
      <c r="BF79" s="6">
        <v>3.0350000000000001</v>
      </c>
      <c r="BG79">
        <v>3.0569999999999999</v>
      </c>
      <c r="BH79" s="7">
        <v>45646</v>
      </c>
      <c r="BI79">
        <v>3.238</v>
      </c>
      <c r="BJ79">
        <v>3.0710000000000002</v>
      </c>
      <c r="BK79">
        <v>2.9380000000000002</v>
      </c>
      <c r="BL79">
        <v>2.8879999999999999</v>
      </c>
      <c r="BM79">
        <v>2.9129999999999998</v>
      </c>
      <c r="BN79" s="6">
        <v>2.8450000000000002</v>
      </c>
      <c r="BO79" s="6">
        <v>2.927</v>
      </c>
      <c r="BP79">
        <v>2.9689999999999999</v>
      </c>
      <c r="BQ79" s="7">
        <v>45646</v>
      </c>
      <c r="BR79">
        <v>3.548</v>
      </c>
      <c r="BS79">
        <v>3.43</v>
      </c>
      <c r="BT79">
        <v>3.335</v>
      </c>
      <c r="BU79">
        <v>3.32</v>
      </c>
      <c r="BV79">
        <v>3.375</v>
      </c>
      <c r="BW79" s="6">
        <v>3.3170000000000002</v>
      </c>
      <c r="BX79" s="6">
        <v>3.4159999999999999</v>
      </c>
      <c r="BY79">
        <v>3.4470000000000001</v>
      </c>
      <c r="BZ79" s="7">
        <v>45646</v>
      </c>
      <c r="CA79">
        <v>2.9620000000000002</v>
      </c>
      <c r="CB79">
        <v>2.9</v>
      </c>
      <c r="CC79">
        <v>2.855</v>
      </c>
      <c r="CD79">
        <v>2.851</v>
      </c>
      <c r="CE79">
        <v>2.8759999999999999</v>
      </c>
      <c r="CF79" s="6">
        <v>2.8860000000000001</v>
      </c>
      <c r="CG79" s="6">
        <v>2.9710000000000001</v>
      </c>
      <c r="CH79">
        <v>3.0139999999999998</v>
      </c>
      <c r="CJ79" s="6" t="s">
        <v>213</v>
      </c>
      <c r="CK79" s="6" t="s">
        <v>214</v>
      </c>
    </row>
    <row r="80" spans="2:89">
      <c r="B80" s="7">
        <v>45645</v>
      </c>
      <c r="C80">
        <v>2.8260000000000001</v>
      </c>
      <c r="D80">
        <v>2.7149999999999999</v>
      </c>
      <c r="E80">
        <v>2.677</v>
      </c>
      <c r="F80">
        <v>2.7149999999999999</v>
      </c>
      <c r="G80">
        <v>2.7</v>
      </c>
      <c r="H80">
        <v>2.6</v>
      </c>
      <c r="I80" s="6">
        <v>2.7829999999999999</v>
      </c>
      <c r="J80" s="6">
        <v>2.73</v>
      </c>
      <c r="K80" s="6">
        <v>2.9039999999999999</v>
      </c>
      <c r="L80" s="6">
        <v>2.81</v>
      </c>
      <c r="M80" s="6">
        <v>2.7519999999999998</v>
      </c>
      <c r="N80" s="6">
        <v>2.6869999999999998</v>
      </c>
      <c r="O80" s="7">
        <v>45645</v>
      </c>
      <c r="P80">
        <v>2.835</v>
      </c>
      <c r="Q80">
        <v>2.7410000000000001</v>
      </c>
      <c r="R80">
        <v>2.6829999999999998</v>
      </c>
      <c r="S80">
        <v>2.7050000000000001</v>
      </c>
      <c r="T80">
        <v>2.7050000000000001</v>
      </c>
      <c r="U80" s="6">
        <v>2.7109999999999999</v>
      </c>
      <c r="V80" s="6">
        <v>0</v>
      </c>
      <c r="W80">
        <v>0</v>
      </c>
      <c r="X80" s="7">
        <v>45645</v>
      </c>
      <c r="Y80">
        <v>2.891</v>
      </c>
      <c r="Z80">
        <v>2.8239999999999998</v>
      </c>
      <c r="AA80">
        <v>2.7629999999999999</v>
      </c>
      <c r="AB80">
        <v>2.7429999999999999</v>
      </c>
      <c r="AC80">
        <v>2.7429999999999999</v>
      </c>
      <c r="AD80" s="6">
        <v>2.7450000000000001</v>
      </c>
      <c r="AE80" s="6">
        <v>2.83</v>
      </c>
      <c r="AF80">
        <v>2.9129999999999998</v>
      </c>
      <c r="AG80" s="7">
        <v>45645</v>
      </c>
      <c r="AH80">
        <v>3.2810000000000001</v>
      </c>
      <c r="AI80">
        <v>3.1269999999999998</v>
      </c>
      <c r="AJ80">
        <v>2.98</v>
      </c>
      <c r="AK80">
        <v>2.911</v>
      </c>
      <c r="AL80">
        <v>2.907</v>
      </c>
      <c r="AM80" s="6">
        <v>2.843</v>
      </c>
      <c r="AN80" s="6">
        <v>2.9089999999999998</v>
      </c>
      <c r="AO80">
        <v>2.9489999999999998</v>
      </c>
      <c r="AP80" s="7">
        <v>45645</v>
      </c>
      <c r="AQ80">
        <v>3.415</v>
      </c>
      <c r="AR80">
        <v>3.306</v>
      </c>
      <c r="AS80">
        <v>3.2130000000000001</v>
      </c>
      <c r="AT80">
        <v>3.1720000000000002</v>
      </c>
      <c r="AU80">
        <v>3.2069999999999999</v>
      </c>
      <c r="AV80" s="6">
        <v>3.2679999999999998</v>
      </c>
      <c r="AW80" s="6">
        <v>3.3530000000000002</v>
      </c>
      <c r="AX80">
        <v>3.4289999999999998</v>
      </c>
      <c r="AY80" s="7">
        <v>45645</v>
      </c>
      <c r="AZ80">
        <v>3.2930000000000001</v>
      </c>
      <c r="BA80">
        <v>3.1379999999999999</v>
      </c>
      <c r="BB80">
        <v>3.0190000000000001</v>
      </c>
      <c r="BC80">
        <v>2.9430000000000001</v>
      </c>
      <c r="BD80">
        <v>2.9660000000000002</v>
      </c>
      <c r="BE80" s="6">
        <v>2.93</v>
      </c>
      <c r="BF80" s="6">
        <v>3.0089999999999999</v>
      </c>
      <c r="BG80">
        <v>3.0270000000000001</v>
      </c>
      <c r="BH80" s="7">
        <v>45645</v>
      </c>
      <c r="BI80">
        <v>3.2349999999999999</v>
      </c>
      <c r="BJ80">
        <v>3.0659999999999998</v>
      </c>
      <c r="BK80">
        <v>2.931</v>
      </c>
      <c r="BL80">
        <v>2.8769999999999998</v>
      </c>
      <c r="BM80">
        <v>2.89</v>
      </c>
      <c r="BN80" s="6">
        <v>2.83</v>
      </c>
      <c r="BO80" s="6">
        <v>2.9009999999999998</v>
      </c>
      <c r="BP80">
        <v>2.9390000000000001</v>
      </c>
      <c r="BQ80" s="7">
        <v>45645</v>
      </c>
      <c r="BR80">
        <v>3.544</v>
      </c>
      <c r="BS80">
        <v>3.4249999999999998</v>
      </c>
      <c r="BT80">
        <v>3.3290000000000002</v>
      </c>
      <c r="BU80">
        <v>3.3079999999999998</v>
      </c>
      <c r="BV80">
        <v>3.351</v>
      </c>
      <c r="BW80" s="6">
        <v>3.302</v>
      </c>
      <c r="BX80" s="6">
        <v>3.39</v>
      </c>
      <c r="BY80">
        <v>3.4169999999999998</v>
      </c>
      <c r="BZ80" s="7">
        <v>45645</v>
      </c>
      <c r="CA80">
        <v>2.976</v>
      </c>
      <c r="CB80">
        <v>2.907</v>
      </c>
      <c r="CC80">
        <v>2.851</v>
      </c>
      <c r="CD80">
        <v>2.8330000000000002</v>
      </c>
      <c r="CE80">
        <v>2.8450000000000002</v>
      </c>
      <c r="CF80" s="6">
        <v>2.8740000000000001</v>
      </c>
      <c r="CG80" s="6">
        <v>2.948</v>
      </c>
      <c r="CH80">
        <v>2.972</v>
      </c>
      <c r="CJ80" s="6" t="s">
        <v>215</v>
      </c>
      <c r="CK80" s="6" t="s">
        <v>216</v>
      </c>
    </row>
    <row r="81" spans="2:89">
      <c r="B81" s="7">
        <v>45644</v>
      </c>
      <c r="C81">
        <v>2.823</v>
      </c>
      <c r="D81">
        <v>2.7160000000000002</v>
      </c>
      <c r="E81">
        <v>2.6579999999999999</v>
      </c>
      <c r="F81">
        <v>2.6760000000000002</v>
      </c>
      <c r="G81">
        <v>2.6379999999999999</v>
      </c>
      <c r="H81">
        <v>2.54</v>
      </c>
      <c r="I81" s="6">
        <v>2.7080000000000002</v>
      </c>
      <c r="J81" s="6">
        <v>2.6549999999999998</v>
      </c>
      <c r="K81" s="6">
        <v>2.8250000000000002</v>
      </c>
      <c r="L81" s="6">
        <v>2.7349999999999999</v>
      </c>
      <c r="M81" s="6">
        <v>2.71</v>
      </c>
      <c r="N81" s="6">
        <v>2.6480000000000001</v>
      </c>
      <c r="O81" s="7">
        <v>45644</v>
      </c>
      <c r="P81">
        <v>2.831</v>
      </c>
      <c r="Q81">
        <v>2.7360000000000002</v>
      </c>
      <c r="R81">
        <v>2.6659999999999999</v>
      </c>
      <c r="S81">
        <v>2.6709999999999998</v>
      </c>
      <c r="T81">
        <v>2.65</v>
      </c>
      <c r="U81" s="6">
        <v>2.6520000000000001</v>
      </c>
      <c r="V81" s="6">
        <v>0</v>
      </c>
      <c r="W81">
        <v>0</v>
      </c>
      <c r="X81" s="7">
        <v>45644</v>
      </c>
      <c r="Y81">
        <v>2.887</v>
      </c>
      <c r="Z81">
        <v>2.8260000000000001</v>
      </c>
      <c r="AA81">
        <v>2.7440000000000002</v>
      </c>
      <c r="AB81">
        <v>2.7120000000000002</v>
      </c>
      <c r="AC81">
        <v>2.6890000000000001</v>
      </c>
      <c r="AD81" s="6">
        <v>2.6880000000000002</v>
      </c>
      <c r="AE81" s="6">
        <v>2.7549999999999999</v>
      </c>
      <c r="AF81">
        <v>2.8109999999999999</v>
      </c>
      <c r="AG81" s="7">
        <v>45644</v>
      </c>
      <c r="AH81">
        <v>3.2709999999999999</v>
      </c>
      <c r="AI81">
        <v>3.1179999999999999</v>
      </c>
      <c r="AJ81">
        <v>2.96</v>
      </c>
      <c r="AK81">
        <v>2.8809999999999998</v>
      </c>
      <c r="AL81">
        <v>2.855</v>
      </c>
      <c r="AM81" s="6">
        <v>2.7829999999999999</v>
      </c>
      <c r="AN81" s="6">
        <v>2.8359999999999999</v>
      </c>
      <c r="AO81">
        <v>2.8759999999999999</v>
      </c>
      <c r="AP81" s="7">
        <v>45644</v>
      </c>
      <c r="AQ81">
        <v>3.4049999999999998</v>
      </c>
      <c r="AR81">
        <v>3.2959999999999998</v>
      </c>
      <c r="AS81">
        <v>3.1930000000000001</v>
      </c>
      <c r="AT81">
        <v>3.133</v>
      </c>
      <c r="AU81">
        <v>3.1619999999999999</v>
      </c>
      <c r="AV81" s="6">
        <v>3.2160000000000002</v>
      </c>
      <c r="AW81" s="6">
        <v>3.278</v>
      </c>
      <c r="AX81">
        <v>3.3530000000000002</v>
      </c>
      <c r="AY81" s="7">
        <v>45644</v>
      </c>
      <c r="AZ81">
        <v>3.2879999999999998</v>
      </c>
      <c r="BA81">
        <v>3.1309999999999998</v>
      </c>
      <c r="BB81">
        <v>3.0009999999999999</v>
      </c>
      <c r="BC81">
        <v>2.9089999999999998</v>
      </c>
      <c r="BD81">
        <v>2.9119999999999999</v>
      </c>
      <c r="BE81" s="6">
        <v>2.871</v>
      </c>
      <c r="BF81" s="6">
        <v>2.9359999999999999</v>
      </c>
      <c r="BG81">
        <v>2.9540000000000002</v>
      </c>
      <c r="BH81" s="7">
        <v>45644</v>
      </c>
      <c r="BI81">
        <v>3.2320000000000002</v>
      </c>
      <c r="BJ81">
        <v>3.0609999999999999</v>
      </c>
      <c r="BK81">
        <v>2.9129999999999998</v>
      </c>
      <c r="BL81">
        <v>2.843</v>
      </c>
      <c r="BM81">
        <v>2.8359999999999999</v>
      </c>
      <c r="BN81" s="6">
        <v>2.7709999999999999</v>
      </c>
      <c r="BO81" s="6">
        <v>2.8279999999999998</v>
      </c>
      <c r="BP81">
        <v>2.8650000000000002</v>
      </c>
      <c r="BQ81" s="7">
        <v>45644</v>
      </c>
      <c r="BR81">
        <v>3.54</v>
      </c>
      <c r="BS81">
        <v>3.42</v>
      </c>
      <c r="BT81">
        <v>3.31</v>
      </c>
      <c r="BU81">
        <v>3.274</v>
      </c>
      <c r="BV81">
        <v>3.2970000000000002</v>
      </c>
      <c r="BW81" s="6">
        <v>3.2429999999999999</v>
      </c>
      <c r="BX81" s="6">
        <v>3.3170000000000002</v>
      </c>
      <c r="BY81">
        <v>3.3439999999999999</v>
      </c>
      <c r="BZ81" s="7">
        <v>45644</v>
      </c>
      <c r="CA81">
        <v>2.976</v>
      </c>
      <c r="CB81">
        <v>2.9119999999999999</v>
      </c>
      <c r="CC81">
        <v>2.835</v>
      </c>
      <c r="CD81">
        <v>2.8029999999999999</v>
      </c>
      <c r="CE81">
        <v>2.7919999999999998</v>
      </c>
      <c r="CF81" s="6">
        <v>2.819</v>
      </c>
      <c r="CG81" s="6">
        <v>2.875</v>
      </c>
      <c r="CH81">
        <v>2.871</v>
      </c>
      <c r="CJ81" s="6" t="s">
        <v>217</v>
      </c>
      <c r="CK81" s="6" t="s">
        <v>218</v>
      </c>
    </row>
    <row r="82" spans="2:89">
      <c r="B82" s="7">
        <v>45643</v>
      </c>
      <c r="C82">
        <v>2.8330000000000002</v>
      </c>
      <c r="D82">
        <v>2.7330000000000001</v>
      </c>
      <c r="E82">
        <v>2.6850000000000001</v>
      </c>
      <c r="F82">
        <v>2.7250000000000001</v>
      </c>
      <c r="G82">
        <v>2.714</v>
      </c>
      <c r="H82">
        <v>2.6179999999999999</v>
      </c>
      <c r="I82" s="6">
        <v>2.7850000000000001</v>
      </c>
      <c r="J82" s="6">
        <v>2.7320000000000002</v>
      </c>
      <c r="K82" s="6">
        <v>2.89</v>
      </c>
      <c r="L82" s="6">
        <v>2.79</v>
      </c>
      <c r="M82" s="6">
        <v>2.7360000000000002</v>
      </c>
      <c r="N82" s="6">
        <v>2.653</v>
      </c>
      <c r="O82" s="7">
        <v>45643</v>
      </c>
      <c r="P82">
        <v>2.8330000000000002</v>
      </c>
      <c r="Q82">
        <v>2.7440000000000002</v>
      </c>
      <c r="R82">
        <v>2.681</v>
      </c>
      <c r="S82">
        <v>2.7250000000000001</v>
      </c>
      <c r="T82">
        <v>2.7149999999999999</v>
      </c>
      <c r="U82" s="6">
        <v>2.7309999999999999</v>
      </c>
      <c r="V82" s="6">
        <v>0</v>
      </c>
      <c r="W82">
        <v>0</v>
      </c>
      <c r="X82" s="7">
        <v>45643</v>
      </c>
      <c r="Y82">
        <v>2.8969999999999998</v>
      </c>
      <c r="Z82">
        <v>2.8420000000000001</v>
      </c>
      <c r="AA82">
        <v>2.7709999999999999</v>
      </c>
      <c r="AB82">
        <v>2.76</v>
      </c>
      <c r="AC82">
        <v>2.7639999999999998</v>
      </c>
      <c r="AD82" s="6">
        <v>2.7639999999999998</v>
      </c>
      <c r="AE82" s="6">
        <v>2.8319999999999999</v>
      </c>
      <c r="AF82">
        <v>2.8969999999999998</v>
      </c>
      <c r="AG82" s="7">
        <v>45643</v>
      </c>
      <c r="AH82">
        <v>3.2639999999999998</v>
      </c>
      <c r="AI82">
        <v>3.1230000000000002</v>
      </c>
      <c r="AJ82">
        <v>2.968</v>
      </c>
      <c r="AK82">
        <v>2.927</v>
      </c>
      <c r="AL82">
        <v>2.915</v>
      </c>
      <c r="AM82" s="6">
        <v>2.8559999999999999</v>
      </c>
      <c r="AN82" s="6">
        <v>2.9089999999999998</v>
      </c>
      <c r="AO82">
        <v>2.9489999999999998</v>
      </c>
      <c r="AP82" s="7">
        <v>45643</v>
      </c>
      <c r="AQ82">
        <v>3.4060000000000001</v>
      </c>
      <c r="AR82">
        <v>3.3010000000000002</v>
      </c>
      <c r="AS82">
        <v>3.2050000000000001</v>
      </c>
      <c r="AT82">
        <v>3.177</v>
      </c>
      <c r="AU82">
        <v>3.2210000000000001</v>
      </c>
      <c r="AV82" s="6">
        <v>3.2839999999999998</v>
      </c>
      <c r="AW82" s="6">
        <v>3.3450000000000002</v>
      </c>
      <c r="AX82">
        <v>3.4209999999999998</v>
      </c>
      <c r="AY82" s="7">
        <v>45643</v>
      </c>
      <c r="AZ82">
        <v>3.2879999999999998</v>
      </c>
      <c r="BA82">
        <v>3.137</v>
      </c>
      <c r="BB82">
        <v>3.0110000000000001</v>
      </c>
      <c r="BC82">
        <v>2.9609999999999999</v>
      </c>
      <c r="BD82">
        <v>2.9729999999999999</v>
      </c>
      <c r="BE82" s="6">
        <v>2.944</v>
      </c>
      <c r="BF82" s="6">
        <v>3.0089999999999999</v>
      </c>
      <c r="BG82">
        <v>3.028</v>
      </c>
      <c r="BH82" s="7">
        <v>45643</v>
      </c>
      <c r="BI82">
        <v>3.2320000000000002</v>
      </c>
      <c r="BJ82">
        <v>3.0670000000000002</v>
      </c>
      <c r="BK82">
        <v>2.923</v>
      </c>
      <c r="BL82">
        <v>2.8940000000000001</v>
      </c>
      <c r="BM82">
        <v>2.8969999999999998</v>
      </c>
      <c r="BN82" s="6">
        <v>2.843</v>
      </c>
      <c r="BO82" s="6">
        <v>2.9009999999999998</v>
      </c>
      <c r="BP82">
        <v>2.9390000000000001</v>
      </c>
      <c r="BQ82" s="7">
        <v>45643</v>
      </c>
      <c r="BR82">
        <v>3.54</v>
      </c>
      <c r="BS82">
        <v>3.4249999999999998</v>
      </c>
      <c r="BT82">
        <v>3.32</v>
      </c>
      <c r="BU82">
        <v>3.3260000000000001</v>
      </c>
      <c r="BV82">
        <v>3.359</v>
      </c>
      <c r="BW82" s="6">
        <v>3.32</v>
      </c>
      <c r="BX82" s="6">
        <v>3.3879999999999999</v>
      </c>
      <c r="BY82">
        <v>3.4159999999999999</v>
      </c>
      <c r="BZ82" s="7">
        <v>45643</v>
      </c>
      <c r="CA82">
        <v>2.9860000000000002</v>
      </c>
      <c r="CB82">
        <v>2.9279999999999999</v>
      </c>
      <c r="CC82">
        <v>2.8620000000000001</v>
      </c>
      <c r="CD82">
        <v>2.851</v>
      </c>
      <c r="CE82">
        <v>2.867</v>
      </c>
      <c r="CF82" s="6">
        <v>2.8919999999999999</v>
      </c>
      <c r="CG82" s="6">
        <v>2.9529999999999998</v>
      </c>
      <c r="CH82">
        <v>2.9550000000000001</v>
      </c>
      <c r="CJ82" s="6" t="s">
        <v>219</v>
      </c>
      <c r="CK82" s="6" t="s">
        <v>220</v>
      </c>
    </row>
    <row r="83" spans="2:89">
      <c r="B83" s="7">
        <v>45642</v>
      </c>
      <c r="C83">
        <v>2.8380000000000001</v>
      </c>
      <c r="D83">
        <v>2.7309999999999999</v>
      </c>
      <c r="E83">
        <v>2.6709999999999998</v>
      </c>
      <c r="F83">
        <v>2.6949999999999998</v>
      </c>
      <c r="G83">
        <v>2.661</v>
      </c>
      <c r="H83">
        <v>2.5510000000000002</v>
      </c>
      <c r="I83" s="6">
        <v>2.7050000000000001</v>
      </c>
      <c r="J83" s="6">
        <v>2.65</v>
      </c>
      <c r="K83" s="6">
        <v>2.8109999999999999</v>
      </c>
      <c r="L83" s="6">
        <v>2.7120000000000002</v>
      </c>
      <c r="M83" s="6">
        <v>2.6349999999999998</v>
      </c>
      <c r="N83" s="6">
        <v>2.57</v>
      </c>
      <c r="O83" s="7">
        <v>45642</v>
      </c>
      <c r="P83">
        <v>2.835</v>
      </c>
      <c r="Q83">
        <v>2.7469999999999999</v>
      </c>
      <c r="R83">
        <v>2.6840000000000002</v>
      </c>
      <c r="S83">
        <v>2.7</v>
      </c>
      <c r="T83">
        <v>2.6640000000000001</v>
      </c>
      <c r="U83" s="6">
        <v>2.669</v>
      </c>
      <c r="V83" s="6">
        <v>0</v>
      </c>
      <c r="W83">
        <v>0</v>
      </c>
      <c r="X83" s="7">
        <v>45642</v>
      </c>
      <c r="Y83">
        <v>2.9020000000000001</v>
      </c>
      <c r="Z83">
        <v>2.8410000000000002</v>
      </c>
      <c r="AA83">
        <v>2.7570000000000001</v>
      </c>
      <c r="AB83">
        <v>2.7269999999999999</v>
      </c>
      <c r="AC83">
        <v>2.7120000000000002</v>
      </c>
      <c r="AD83" s="6">
        <v>2.6970000000000001</v>
      </c>
      <c r="AE83" s="6">
        <v>2.7530000000000001</v>
      </c>
      <c r="AF83">
        <v>2.8250000000000002</v>
      </c>
      <c r="AG83" s="7">
        <v>45642</v>
      </c>
      <c r="AH83">
        <v>3.258</v>
      </c>
      <c r="AI83">
        <v>3.12</v>
      </c>
      <c r="AJ83">
        <v>2.9649999999999999</v>
      </c>
      <c r="AK83">
        <v>2.8959999999999999</v>
      </c>
      <c r="AL83">
        <v>2.867</v>
      </c>
      <c r="AM83" s="6">
        <v>2.7890000000000001</v>
      </c>
      <c r="AN83" s="6">
        <v>2.8290000000000002</v>
      </c>
      <c r="AO83">
        <v>2.867</v>
      </c>
      <c r="AP83" s="7">
        <v>45642</v>
      </c>
      <c r="AQ83">
        <v>3.3980000000000001</v>
      </c>
      <c r="AR83">
        <v>3.2959999999999998</v>
      </c>
      <c r="AS83">
        <v>3.2</v>
      </c>
      <c r="AT83">
        <v>3.1469999999999998</v>
      </c>
      <c r="AU83">
        <v>3.1669999999999998</v>
      </c>
      <c r="AV83" s="6">
        <v>3.214</v>
      </c>
      <c r="AW83" s="6">
        <v>3.2679999999999998</v>
      </c>
      <c r="AX83">
        <v>3.3410000000000002</v>
      </c>
      <c r="AY83" s="7">
        <v>45642</v>
      </c>
      <c r="AZ83">
        <v>3.286</v>
      </c>
      <c r="BA83">
        <v>3.137</v>
      </c>
      <c r="BB83">
        <v>3.008</v>
      </c>
      <c r="BC83">
        <v>2.9340000000000002</v>
      </c>
      <c r="BD83">
        <v>2.9220000000000002</v>
      </c>
      <c r="BE83" s="6">
        <v>2.8759999999999999</v>
      </c>
      <c r="BF83" s="6">
        <v>2.93</v>
      </c>
      <c r="BG83">
        <v>2.9460000000000002</v>
      </c>
      <c r="BH83" s="7">
        <v>45642</v>
      </c>
      <c r="BI83">
        <v>3.23</v>
      </c>
      <c r="BJ83">
        <v>3.0670000000000002</v>
      </c>
      <c r="BK83">
        <v>2.92</v>
      </c>
      <c r="BL83">
        <v>2.8690000000000002</v>
      </c>
      <c r="BM83">
        <v>2.8479999999999999</v>
      </c>
      <c r="BN83" s="6">
        <v>2.7770000000000001</v>
      </c>
      <c r="BO83" s="6">
        <v>2.8239999999999998</v>
      </c>
      <c r="BP83">
        <v>2.859</v>
      </c>
      <c r="BQ83" s="7">
        <v>45642</v>
      </c>
      <c r="BR83">
        <v>3.5379999999999998</v>
      </c>
      <c r="BS83">
        <v>3.4260000000000002</v>
      </c>
      <c r="BT83">
        <v>3.3170000000000002</v>
      </c>
      <c r="BU83">
        <v>3.2989999999999999</v>
      </c>
      <c r="BV83">
        <v>3.3079999999999998</v>
      </c>
      <c r="BW83" s="6">
        <v>3.2530000000000001</v>
      </c>
      <c r="BX83" s="6">
        <v>3.3090000000000002</v>
      </c>
      <c r="BY83">
        <v>3.3340000000000001</v>
      </c>
      <c r="BZ83" s="7">
        <v>45642</v>
      </c>
      <c r="CA83">
        <v>2.9910000000000001</v>
      </c>
      <c r="CB83">
        <v>2.927</v>
      </c>
      <c r="CC83">
        <v>2.8490000000000002</v>
      </c>
      <c r="CD83">
        <v>2.8180000000000001</v>
      </c>
      <c r="CE83">
        <v>2.8149999999999999</v>
      </c>
      <c r="CF83" s="6">
        <v>2.8250000000000002</v>
      </c>
      <c r="CG83" s="6">
        <v>2.875</v>
      </c>
      <c r="CH83">
        <v>2.883</v>
      </c>
      <c r="CJ83" s="6" t="s">
        <v>221</v>
      </c>
      <c r="CK83" s="6" t="s">
        <v>222</v>
      </c>
    </row>
    <row r="84" spans="2:89">
      <c r="B84" s="7">
        <v>45639</v>
      </c>
      <c r="C84">
        <v>2.8380000000000001</v>
      </c>
      <c r="D84">
        <v>2.7309999999999999</v>
      </c>
      <c r="E84">
        <v>2.669</v>
      </c>
      <c r="F84">
        <v>2.6880000000000002</v>
      </c>
      <c r="G84">
        <v>2.653</v>
      </c>
      <c r="H84">
        <v>2.536</v>
      </c>
      <c r="I84" s="6">
        <v>2.681</v>
      </c>
      <c r="J84" s="6">
        <v>2.6150000000000002</v>
      </c>
      <c r="K84" s="6">
        <v>2.7759999999999998</v>
      </c>
      <c r="L84" s="6">
        <v>2.6749999999999998</v>
      </c>
      <c r="M84" s="6">
        <v>2.573</v>
      </c>
      <c r="N84" s="6">
        <v>2.4929999999999999</v>
      </c>
      <c r="O84" s="7">
        <v>45639</v>
      </c>
      <c r="P84">
        <v>2.835</v>
      </c>
      <c r="Q84">
        <v>2.7480000000000002</v>
      </c>
      <c r="R84">
        <v>2.6829999999999998</v>
      </c>
      <c r="S84">
        <v>2.69</v>
      </c>
      <c r="T84">
        <v>2.6549999999999998</v>
      </c>
      <c r="U84" s="6">
        <v>2.661</v>
      </c>
      <c r="V84" s="6">
        <v>0</v>
      </c>
      <c r="W84">
        <v>0</v>
      </c>
      <c r="X84" s="7">
        <v>45639</v>
      </c>
      <c r="Y84">
        <v>2.9020000000000001</v>
      </c>
      <c r="Z84">
        <v>2.8410000000000002</v>
      </c>
      <c r="AA84">
        <v>2.7549999999999999</v>
      </c>
      <c r="AB84">
        <v>2.72</v>
      </c>
      <c r="AC84">
        <v>2.7040000000000002</v>
      </c>
      <c r="AD84" s="6">
        <v>2.6819999999999999</v>
      </c>
      <c r="AE84" s="6">
        <v>2.7290000000000001</v>
      </c>
      <c r="AF84">
        <v>2.7869999999999999</v>
      </c>
      <c r="AG84" s="7">
        <v>45639</v>
      </c>
      <c r="AH84">
        <v>3.2490000000000001</v>
      </c>
      <c r="AI84">
        <v>3.1120000000000001</v>
      </c>
      <c r="AJ84">
        <v>2.956</v>
      </c>
      <c r="AK84">
        <v>2.8839999999999999</v>
      </c>
      <c r="AL84">
        <v>2.8559999999999999</v>
      </c>
      <c r="AM84" s="6">
        <v>2.7749999999999999</v>
      </c>
      <c r="AN84" s="6">
        <v>2.8069999999999999</v>
      </c>
      <c r="AO84">
        <v>2.835</v>
      </c>
      <c r="AP84" s="7">
        <v>45639</v>
      </c>
      <c r="AQ84">
        <v>3.3929999999999998</v>
      </c>
      <c r="AR84">
        <v>3.2930000000000001</v>
      </c>
      <c r="AS84">
        <v>3.1960000000000002</v>
      </c>
      <c r="AT84">
        <v>3.1349999999999998</v>
      </c>
      <c r="AU84">
        <v>3.157</v>
      </c>
      <c r="AV84" s="6">
        <v>3.1989999999999998</v>
      </c>
      <c r="AW84" s="6">
        <v>3.2440000000000002</v>
      </c>
      <c r="AX84">
        <v>3.3069999999999999</v>
      </c>
      <c r="AY84" s="7">
        <v>45639</v>
      </c>
      <c r="AZ84">
        <v>3.28</v>
      </c>
      <c r="BA84">
        <v>3.1349999999999998</v>
      </c>
      <c r="BB84">
        <v>3.0030000000000001</v>
      </c>
      <c r="BC84">
        <v>2.9220000000000002</v>
      </c>
      <c r="BD84">
        <v>2.9140000000000001</v>
      </c>
      <c r="BE84" s="6">
        <v>2.863</v>
      </c>
      <c r="BF84" s="6">
        <v>2.9060000000000001</v>
      </c>
      <c r="BG84">
        <v>2.9119999999999999</v>
      </c>
      <c r="BH84" s="7">
        <v>45639</v>
      </c>
      <c r="BI84">
        <v>3.2240000000000002</v>
      </c>
      <c r="BJ84">
        <v>3.0649999999999999</v>
      </c>
      <c r="BK84">
        <v>2.915</v>
      </c>
      <c r="BL84">
        <v>2.8570000000000002</v>
      </c>
      <c r="BM84">
        <v>2.84</v>
      </c>
      <c r="BN84" s="6">
        <v>2.762</v>
      </c>
      <c r="BO84" s="6">
        <v>2.8010000000000002</v>
      </c>
      <c r="BP84">
        <v>2.8279999999999998</v>
      </c>
      <c r="BQ84" s="7">
        <v>45639</v>
      </c>
      <c r="BR84">
        <v>3.5310000000000001</v>
      </c>
      <c r="BS84">
        <v>3.4239999999999999</v>
      </c>
      <c r="BT84">
        <v>3.3130000000000002</v>
      </c>
      <c r="BU84">
        <v>3.2850000000000001</v>
      </c>
      <c r="BV84">
        <v>3.3</v>
      </c>
      <c r="BW84" s="6">
        <v>3.238</v>
      </c>
      <c r="BX84" s="6">
        <v>3.2850000000000001</v>
      </c>
      <c r="BY84">
        <v>3.302</v>
      </c>
      <c r="BZ84" s="7">
        <v>45639</v>
      </c>
      <c r="CA84">
        <v>2.9910000000000001</v>
      </c>
      <c r="CB84">
        <v>2.927</v>
      </c>
      <c r="CC84">
        <v>2.8460000000000001</v>
      </c>
      <c r="CD84">
        <v>2.8109999999999999</v>
      </c>
      <c r="CE84">
        <v>2.8069999999999999</v>
      </c>
      <c r="CF84" s="6">
        <v>2.8109999999999999</v>
      </c>
      <c r="CG84" s="6">
        <v>2.851</v>
      </c>
      <c r="CH84">
        <v>2.847</v>
      </c>
      <c r="CJ84" s="6" t="s">
        <v>223</v>
      </c>
      <c r="CK84" s="6" t="s">
        <v>224</v>
      </c>
    </row>
    <row r="85" spans="2:89">
      <c r="B85" s="7">
        <v>45638</v>
      </c>
      <c r="C85">
        <v>2.8380000000000001</v>
      </c>
      <c r="D85">
        <v>2.7330000000000001</v>
      </c>
      <c r="E85">
        <v>2.677</v>
      </c>
      <c r="F85">
        <v>2.6960000000000002</v>
      </c>
      <c r="G85">
        <v>2.665</v>
      </c>
      <c r="H85">
        <v>2.5470000000000002</v>
      </c>
      <c r="I85" s="6">
        <v>2.6949999999999998</v>
      </c>
      <c r="J85" s="6">
        <v>2.63</v>
      </c>
      <c r="K85" s="6">
        <v>2.79</v>
      </c>
      <c r="L85" s="6">
        <v>2.7</v>
      </c>
      <c r="M85" s="6">
        <v>2.5979999999999999</v>
      </c>
      <c r="N85" s="6">
        <v>2.5299999999999998</v>
      </c>
      <c r="O85" s="7">
        <v>45638</v>
      </c>
      <c r="P85">
        <v>2.84</v>
      </c>
      <c r="Q85">
        <v>2.7530000000000001</v>
      </c>
      <c r="R85">
        <v>2.6890000000000001</v>
      </c>
      <c r="S85">
        <v>2.698</v>
      </c>
      <c r="T85">
        <v>2.67</v>
      </c>
      <c r="U85" s="6">
        <v>2.6739999999999999</v>
      </c>
      <c r="V85" s="6">
        <v>0</v>
      </c>
      <c r="W85">
        <v>0</v>
      </c>
      <c r="X85" s="7">
        <v>45638</v>
      </c>
      <c r="Y85">
        <v>2.9020000000000001</v>
      </c>
      <c r="Z85">
        <v>2.8420000000000001</v>
      </c>
      <c r="AA85">
        <v>2.7629999999999999</v>
      </c>
      <c r="AB85">
        <v>2.7280000000000002</v>
      </c>
      <c r="AC85">
        <v>2.7149999999999999</v>
      </c>
      <c r="AD85" s="6">
        <v>2.6930000000000001</v>
      </c>
      <c r="AE85" s="6">
        <v>2.742</v>
      </c>
      <c r="AF85">
        <v>2.8</v>
      </c>
      <c r="AG85" s="7">
        <v>45638</v>
      </c>
      <c r="AH85">
        <v>3.2450000000000001</v>
      </c>
      <c r="AI85">
        <v>3.1070000000000002</v>
      </c>
      <c r="AJ85">
        <v>2.9550000000000001</v>
      </c>
      <c r="AK85">
        <v>2.8849999999999998</v>
      </c>
      <c r="AL85">
        <v>2.8620000000000001</v>
      </c>
      <c r="AM85" s="6">
        <v>2.7810000000000001</v>
      </c>
      <c r="AN85" s="6">
        <v>2.8170000000000002</v>
      </c>
      <c r="AO85">
        <v>2.8460000000000001</v>
      </c>
      <c r="AP85" s="7">
        <v>45638</v>
      </c>
      <c r="AQ85">
        <v>3.391</v>
      </c>
      <c r="AR85">
        <v>3.2949999999999999</v>
      </c>
      <c r="AS85">
        <v>3.2010000000000001</v>
      </c>
      <c r="AT85">
        <v>3.14</v>
      </c>
      <c r="AU85">
        <v>3.1659999999999999</v>
      </c>
      <c r="AV85" s="6">
        <v>3.2109999999999999</v>
      </c>
      <c r="AW85" s="6">
        <v>3.2549999999999999</v>
      </c>
      <c r="AX85">
        <v>3.3180000000000001</v>
      </c>
      <c r="AY85" s="7">
        <v>45638</v>
      </c>
      <c r="AZ85">
        <v>3.2749999999999999</v>
      </c>
      <c r="BA85">
        <v>3.13</v>
      </c>
      <c r="BB85">
        <v>3.0030000000000001</v>
      </c>
      <c r="BC85">
        <v>2.9249999999999998</v>
      </c>
      <c r="BD85">
        <v>2.923</v>
      </c>
      <c r="BE85" s="6">
        <v>2.8679999999999999</v>
      </c>
      <c r="BF85" s="6">
        <v>2.9159999999999999</v>
      </c>
      <c r="BG85">
        <v>2.9249999999999998</v>
      </c>
      <c r="BH85" s="7">
        <v>45638</v>
      </c>
      <c r="BI85">
        <v>3.2189999999999999</v>
      </c>
      <c r="BJ85">
        <v>3.06</v>
      </c>
      <c r="BK85">
        <v>2.915</v>
      </c>
      <c r="BL85">
        <v>2.86</v>
      </c>
      <c r="BM85">
        <v>2.8490000000000002</v>
      </c>
      <c r="BN85" s="6">
        <v>2.7669999999999999</v>
      </c>
      <c r="BO85" s="6">
        <v>2.8109999999999999</v>
      </c>
      <c r="BP85">
        <v>2.8420000000000001</v>
      </c>
      <c r="BQ85" s="7">
        <v>45638</v>
      </c>
      <c r="BR85">
        <v>3.5259999999999998</v>
      </c>
      <c r="BS85">
        <v>3.419</v>
      </c>
      <c r="BT85">
        <v>3.3130000000000002</v>
      </c>
      <c r="BU85">
        <v>3.2890000000000001</v>
      </c>
      <c r="BV85">
        <v>3.3090000000000002</v>
      </c>
      <c r="BW85" s="6">
        <v>3.2429999999999999</v>
      </c>
      <c r="BX85" s="6">
        <v>3.2949999999999999</v>
      </c>
      <c r="BY85">
        <v>3.3149999999999999</v>
      </c>
      <c r="BZ85" s="7">
        <v>45638</v>
      </c>
      <c r="CA85">
        <v>2.9910000000000001</v>
      </c>
      <c r="CB85">
        <v>2.9279999999999999</v>
      </c>
      <c r="CC85">
        <v>2.8530000000000002</v>
      </c>
      <c r="CD85">
        <v>2.8180000000000001</v>
      </c>
      <c r="CE85">
        <v>2.806</v>
      </c>
      <c r="CF85" s="6">
        <v>2.8109999999999999</v>
      </c>
      <c r="CG85" s="6">
        <v>2.8519999999999999</v>
      </c>
      <c r="CH85">
        <v>2.8530000000000002</v>
      </c>
    </row>
    <row r="86" spans="2:89">
      <c r="B86" s="7">
        <v>45637</v>
      </c>
      <c r="C86">
        <v>2.8330000000000002</v>
      </c>
      <c r="D86">
        <v>2.746</v>
      </c>
      <c r="E86">
        <v>2.69</v>
      </c>
      <c r="F86">
        <v>2.681</v>
      </c>
      <c r="G86">
        <v>2.6579999999999999</v>
      </c>
      <c r="H86">
        <v>2.5350000000000001</v>
      </c>
      <c r="I86" s="6">
        <v>2.6760000000000002</v>
      </c>
      <c r="J86" s="6">
        <v>2.6150000000000002</v>
      </c>
      <c r="K86" s="6">
        <v>2.7709999999999999</v>
      </c>
      <c r="L86" s="6">
        <v>2.6869999999999998</v>
      </c>
      <c r="M86" s="6">
        <v>2.61</v>
      </c>
      <c r="N86" s="6">
        <v>2.54</v>
      </c>
      <c r="O86" s="7">
        <v>45637</v>
      </c>
      <c r="P86">
        <v>2.8410000000000002</v>
      </c>
      <c r="Q86">
        <v>2.7559999999999998</v>
      </c>
      <c r="R86">
        <v>2.6930000000000001</v>
      </c>
      <c r="S86">
        <v>2.6949999999999998</v>
      </c>
      <c r="T86">
        <v>2.669</v>
      </c>
      <c r="U86" s="6">
        <v>2.6629999999999998</v>
      </c>
      <c r="V86" s="6">
        <v>0</v>
      </c>
      <c r="W86">
        <v>0</v>
      </c>
      <c r="X86" s="7">
        <v>45637</v>
      </c>
      <c r="Y86">
        <v>2.899</v>
      </c>
      <c r="Z86">
        <v>2.8540000000000001</v>
      </c>
      <c r="AA86">
        <v>2.7749999999999999</v>
      </c>
      <c r="AB86">
        <v>2.7120000000000002</v>
      </c>
      <c r="AC86">
        <v>2.7069999999999999</v>
      </c>
      <c r="AD86" s="6">
        <v>2.681</v>
      </c>
      <c r="AE86" s="6">
        <v>2.7250000000000001</v>
      </c>
      <c r="AF86">
        <v>2.7869999999999999</v>
      </c>
      <c r="AG86" s="7">
        <v>45637</v>
      </c>
      <c r="AH86">
        <v>3.24</v>
      </c>
      <c r="AI86">
        <v>3.1030000000000002</v>
      </c>
      <c r="AJ86">
        <v>2.9569999999999999</v>
      </c>
      <c r="AK86">
        <v>2.8769999999999998</v>
      </c>
      <c r="AL86">
        <v>2.8559999999999999</v>
      </c>
      <c r="AM86" s="6">
        <v>2.7669999999999999</v>
      </c>
      <c r="AN86" s="6">
        <v>2.798</v>
      </c>
      <c r="AO86">
        <v>2.8290000000000002</v>
      </c>
      <c r="AP86" s="7">
        <v>45637</v>
      </c>
      <c r="AQ86">
        <v>3.3849999999999998</v>
      </c>
      <c r="AR86">
        <v>3.2949999999999999</v>
      </c>
      <c r="AS86">
        <v>3.2010000000000001</v>
      </c>
      <c r="AT86">
        <v>3.133</v>
      </c>
      <c r="AU86">
        <v>3.16</v>
      </c>
      <c r="AV86" s="6">
        <v>3.1989999999999998</v>
      </c>
      <c r="AW86" s="6">
        <v>3.238</v>
      </c>
      <c r="AX86">
        <v>3.3039999999999998</v>
      </c>
      <c r="AY86" s="7">
        <v>45637</v>
      </c>
      <c r="AZ86">
        <v>3.27</v>
      </c>
      <c r="BA86">
        <v>3.1269999999999998</v>
      </c>
      <c r="BB86">
        <v>3.0059999999999998</v>
      </c>
      <c r="BC86">
        <v>2.9220000000000002</v>
      </c>
      <c r="BD86">
        <v>2.923</v>
      </c>
      <c r="BE86" s="6">
        <v>2.8570000000000002</v>
      </c>
      <c r="BF86" s="6">
        <v>2.8969999999999998</v>
      </c>
      <c r="BG86">
        <v>2.9020000000000001</v>
      </c>
      <c r="BH86" s="7">
        <v>45637</v>
      </c>
      <c r="BI86">
        <v>3.2160000000000002</v>
      </c>
      <c r="BJ86">
        <v>3.056</v>
      </c>
      <c r="BK86">
        <v>2.9159999999999999</v>
      </c>
      <c r="BL86">
        <v>2.855</v>
      </c>
      <c r="BM86">
        <v>2.8490000000000002</v>
      </c>
      <c r="BN86" s="6">
        <v>2.7549999999999999</v>
      </c>
      <c r="BO86" s="6">
        <v>2.7930000000000001</v>
      </c>
      <c r="BP86">
        <v>2.82</v>
      </c>
      <c r="BQ86" s="7">
        <v>45637</v>
      </c>
      <c r="BR86">
        <v>3.5209999999999999</v>
      </c>
      <c r="BS86">
        <v>3.4159999999999999</v>
      </c>
      <c r="BT86">
        <v>3.3130000000000002</v>
      </c>
      <c r="BU86">
        <v>3.2850000000000001</v>
      </c>
      <c r="BV86">
        <v>3.3090000000000002</v>
      </c>
      <c r="BW86" s="6">
        <v>3.2320000000000002</v>
      </c>
      <c r="BX86" s="6">
        <v>3.2759999999999998</v>
      </c>
      <c r="BY86">
        <v>3.294</v>
      </c>
      <c r="BZ86" s="7">
        <v>45637</v>
      </c>
      <c r="CA86">
        <v>2.9889999999999999</v>
      </c>
      <c r="CB86">
        <v>2.94</v>
      </c>
      <c r="CC86">
        <v>2.8639999999999999</v>
      </c>
      <c r="CD86">
        <v>2.8010000000000002</v>
      </c>
      <c r="CE86">
        <v>2.798</v>
      </c>
      <c r="CF86" s="6">
        <v>2.8</v>
      </c>
      <c r="CG86" s="6">
        <v>2.8359999999999999</v>
      </c>
      <c r="CH86">
        <v>2.84</v>
      </c>
    </row>
    <row r="87" spans="2:89">
      <c r="B87" s="7">
        <v>45636</v>
      </c>
      <c r="C87">
        <v>2.8260000000000001</v>
      </c>
      <c r="D87">
        <v>2.746</v>
      </c>
      <c r="E87">
        <v>2.6890000000000001</v>
      </c>
      <c r="F87">
        <v>2.67</v>
      </c>
      <c r="G87">
        <v>2.6360000000000001</v>
      </c>
      <c r="H87">
        <v>2.516</v>
      </c>
      <c r="I87" s="6">
        <v>2.6429999999999998</v>
      </c>
      <c r="J87" s="6">
        <v>2.5819999999999999</v>
      </c>
      <c r="K87" s="6">
        <v>2.7210000000000001</v>
      </c>
      <c r="L87" s="6">
        <v>2.64</v>
      </c>
      <c r="M87" s="6">
        <v>2.5670000000000002</v>
      </c>
      <c r="N87" s="6">
        <v>2.4870000000000001</v>
      </c>
      <c r="O87" s="7">
        <v>45636</v>
      </c>
      <c r="P87">
        <v>2.8410000000000002</v>
      </c>
      <c r="Q87">
        <v>2.7559999999999998</v>
      </c>
      <c r="R87">
        <v>2.6930000000000001</v>
      </c>
      <c r="S87">
        <v>2.6920000000000002</v>
      </c>
      <c r="T87">
        <v>2.657</v>
      </c>
      <c r="U87" s="6">
        <v>2.6469999999999998</v>
      </c>
      <c r="V87" s="6">
        <v>0</v>
      </c>
      <c r="W87">
        <v>0</v>
      </c>
      <c r="X87" s="7">
        <v>45636</v>
      </c>
      <c r="Y87">
        <v>2.899</v>
      </c>
      <c r="Z87">
        <v>2.851</v>
      </c>
      <c r="AA87">
        <v>2.7759999999999998</v>
      </c>
      <c r="AB87">
        <v>2.6930000000000001</v>
      </c>
      <c r="AC87">
        <v>2.6840000000000002</v>
      </c>
      <c r="AD87" s="6">
        <v>2.6629999999999998</v>
      </c>
      <c r="AE87" s="6">
        <v>2.6930000000000001</v>
      </c>
      <c r="AF87">
        <v>2.75</v>
      </c>
      <c r="AG87" s="7">
        <v>45636</v>
      </c>
      <c r="AH87">
        <v>3.2349999999999999</v>
      </c>
      <c r="AI87">
        <v>3.0979999999999999</v>
      </c>
      <c r="AJ87">
        <v>2.9529999999999998</v>
      </c>
      <c r="AK87">
        <v>2.87</v>
      </c>
      <c r="AL87">
        <v>2.843</v>
      </c>
      <c r="AM87" s="6">
        <v>2.7480000000000002</v>
      </c>
      <c r="AN87" s="6">
        <v>2.7650000000000001</v>
      </c>
      <c r="AO87">
        <v>2.794</v>
      </c>
      <c r="AP87" s="7">
        <v>45636</v>
      </c>
      <c r="AQ87">
        <v>3.3839999999999999</v>
      </c>
      <c r="AR87">
        <v>3.294</v>
      </c>
      <c r="AS87">
        <v>3.2010000000000001</v>
      </c>
      <c r="AT87">
        <v>3.1230000000000002</v>
      </c>
      <c r="AU87">
        <v>3.1440000000000001</v>
      </c>
      <c r="AV87" s="6">
        <v>3.1749999999999998</v>
      </c>
      <c r="AW87" s="6">
        <v>3.2050000000000001</v>
      </c>
      <c r="AX87">
        <v>3.2679999999999998</v>
      </c>
      <c r="AY87" s="7">
        <v>45636</v>
      </c>
      <c r="AZ87">
        <v>3.262</v>
      </c>
      <c r="BA87">
        <v>3.1240000000000001</v>
      </c>
      <c r="BB87">
        <v>3.0070000000000001</v>
      </c>
      <c r="BC87">
        <v>2.9159999999999999</v>
      </c>
      <c r="BD87">
        <v>2.911</v>
      </c>
      <c r="BE87" s="6">
        <v>2.8380000000000001</v>
      </c>
      <c r="BF87" s="6">
        <v>2.8639999999999999</v>
      </c>
      <c r="BG87">
        <v>2.871</v>
      </c>
      <c r="BH87" s="7">
        <v>45636</v>
      </c>
      <c r="BI87">
        <v>3.21</v>
      </c>
      <c r="BJ87">
        <v>3.052</v>
      </c>
      <c r="BK87">
        <v>2.9169999999999998</v>
      </c>
      <c r="BL87">
        <v>2.8490000000000002</v>
      </c>
      <c r="BM87">
        <v>2.8370000000000002</v>
      </c>
      <c r="BN87" s="6">
        <v>2.7360000000000002</v>
      </c>
      <c r="BO87" s="6">
        <v>2.7589999999999999</v>
      </c>
      <c r="BP87">
        <v>2.7909999999999999</v>
      </c>
      <c r="BQ87" s="7">
        <v>45636</v>
      </c>
      <c r="BR87">
        <v>3.512</v>
      </c>
      <c r="BS87">
        <v>3.4129999999999998</v>
      </c>
      <c r="BT87">
        <v>3.3140000000000001</v>
      </c>
      <c r="BU87">
        <v>3.2789999999999999</v>
      </c>
      <c r="BV87">
        <v>3.2970000000000002</v>
      </c>
      <c r="BW87" s="6">
        <v>3.2130000000000001</v>
      </c>
      <c r="BX87" s="6">
        <v>3.2429999999999999</v>
      </c>
      <c r="BY87">
        <v>3.2629999999999999</v>
      </c>
      <c r="BZ87" s="7">
        <v>45636</v>
      </c>
      <c r="CA87">
        <v>2.9889999999999999</v>
      </c>
      <c r="CB87">
        <v>2.9369999999999998</v>
      </c>
      <c r="CC87">
        <v>2.8660000000000001</v>
      </c>
      <c r="CD87">
        <v>2.782</v>
      </c>
      <c r="CE87">
        <v>2.774</v>
      </c>
      <c r="CF87" s="6">
        <v>2.782</v>
      </c>
      <c r="CG87" s="6">
        <v>2.8039999999999998</v>
      </c>
      <c r="CH87">
        <v>2.802</v>
      </c>
    </row>
    <row r="88" spans="2:89">
      <c r="B88" s="7">
        <v>45635</v>
      </c>
      <c r="C88">
        <v>2.855</v>
      </c>
      <c r="D88">
        <v>2.7949999999999999</v>
      </c>
      <c r="E88">
        <v>2.7250000000000001</v>
      </c>
      <c r="F88">
        <v>2.69</v>
      </c>
      <c r="G88">
        <v>2.6280000000000001</v>
      </c>
      <c r="H88">
        <v>2.5739999999999998</v>
      </c>
      <c r="I88" s="6">
        <v>2.6349999999999998</v>
      </c>
      <c r="J88" s="6">
        <v>2.5720000000000001</v>
      </c>
      <c r="K88" s="6">
        <v>2.7029999999999998</v>
      </c>
      <c r="L88" s="6">
        <v>2.6720000000000002</v>
      </c>
      <c r="M88" s="6">
        <v>2.5649999999999999</v>
      </c>
      <c r="N88" s="6">
        <v>2.4769999999999999</v>
      </c>
      <c r="O88" s="7">
        <v>45635</v>
      </c>
      <c r="P88">
        <v>2.843</v>
      </c>
      <c r="Q88">
        <v>2.758</v>
      </c>
      <c r="R88">
        <v>2.6949999999999998</v>
      </c>
      <c r="S88">
        <v>2.69</v>
      </c>
      <c r="T88">
        <v>2.65</v>
      </c>
      <c r="U88" s="6">
        <v>2.6419999999999999</v>
      </c>
      <c r="V88" s="6">
        <v>0</v>
      </c>
      <c r="W88">
        <v>0</v>
      </c>
      <c r="X88" s="7">
        <v>45635</v>
      </c>
      <c r="Y88">
        <v>2.9140000000000001</v>
      </c>
      <c r="Z88">
        <v>2.8660000000000001</v>
      </c>
      <c r="AA88">
        <v>2.8029999999999999</v>
      </c>
      <c r="AB88">
        <v>2.7069999999999999</v>
      </c>
      <c r="AC88">
        <v>2.6789999999999998</v>
      </c>
      <c r="AD88" s="6">
        <v>2.669</v>
      </c>
      <c r="AE88" s="6">
        <v>2.6850000000000001</v>
      </c>
      <c r="AF88">
        <v>2.74</v>
      </c>
      <c r="AG88" s="7">
        <v>45635</v>
      </c>
      <c r="AH88">
        <v>3.2290000000000001</v>
      </c>
      <c r="AI88">
        <v>3.0939999999999999</v>
      </c>
      <c r="AJ88">
        <v>2.9529999999999998</v>
      </c>
      <c r="AK88">
        <v>2.8660000000000001</v>
      </c>
      <c r="AL88">
        <v>2.8370000000000002</v>
      </c>
      <c r="AM88" s="6">
        <v>2.7480000000000002</v>
      </c>
      <c r="AN88" s="6">
        <v>2.7570000000000001</v>
      </c>
      <c r="AO88">
        <v>2.7839999999999998</v>
      </c>
      <c r="AP88" s="7">
        <v>45635</v>
      </c>
      <c r="AQ88">
        <v>3.3820000000000001</v>
      </c>
      <c r="AR88">
        <v>3.294</v>
      </c>
      <c r="AS88">
        <v>3.202</v>
      </c>
      <c r="AT88">
        <v>3.121</v>
      </c>
      <c r="AU88">
        <v>3.1360000000000001</v>
      </c>
      <c r="AV88" s="6">
        <v>3.1709999999999998</v>
      </c>
      <c r="AW88" s="6">
        <v>3.1970000000000001</v>
      </c>
      <c r="AX88">
        <v>3.2559999999999998</v>
      </c>
      <c r="AY88" s="7">
        <v>45635</v>
      </c>
      <c r="AZ88">
        <v>3.2570000000000001</v>
      </c>
      <c r="BA88">
        <v>3.1219999999999999</v>
      </c>
      <c r="BB88">
        <v>3.0059999999999998</v>
      </c>
      <c r="BC88">
        <v>2.907</v>
      </c>
      <c r="BD88">
        <v>2.8969999999999998</v>
      </c>
      <c r="BE88" s="6">
        <v>2.835</v>
      </c>
      <c r="BF88" s="6">
        <v>2.8540000000000001</v>
      </c>
      <c r="BG88">
        <v>2.8580000000000001</v>
      </c>
      <c r="BH88" s="7">
        <v>45635</v>
      </c>
      <c r="BI88">
        <v>3.2069999999999999</v>
      </c>
      <c r="BJ88">
        <v>3.0510000000000002</v>
      </c>
      <c r="BK88">
        <v>2.9159999999999999</v>
      </c>
      <c r="BL88">
        <v>2.84</v>
      </c>
      <c r="BM88">
        <v>2.831</v>
      </c>
      <c r="BN88" s="6">
        <v>2.734</v>
      </c>
      <c r="BO88" s="6">
        <v>2.7509999999999999</v>
      </c>
      <c r="BP88">
        <v>2.7810000000000001</v>
      </c>
      <c r="BQ88" s="7">
        <v>45635</v>
      </c>
      <c r="BR88">
        <v>3.5070000000000001</v>
      </c>
      <c r="BS88">
        <v>3.411</v>
      </c>
      <c r="BT88">
        <v>3.3140000000000001</v>
      </c>
      <c r="BU88">
        <v>3.27</v>
      </c>
      <c r="BV88">
        <v>3.2850000000000001</v>
      </c>
      <c r="BW88" s="6">
        <v>3.21</v>
      </c>
      <c r="BX88" s="6">
        <v>3.2349999999999999</v>
      </c>
      <c r="BY88">
        <v>3.2509999999999999</v>
      </c>
      <c r="BZ88" s="7">
        <v>45635</v>
      </c>
      <c r="CA88">
        <v>3.004</v>
      </c>
      <c r="CB88">
        <v>2.952</v>
      </c>
      <c r="CC88">
        <v>2.8929999999999998</v>
      </c>
      <c r="CD88">
        <v>2.7959999999999998</v>
      </c>
      <c r="CE88">
        <v>2.7690000000000001</v>
      </c>
      <c r="CF88" s="6">
        <v>2.7879999999999998</v>
      </c>
      <c r="CG88" s="6">
        <v>2.8</v>
      </c>
      <c r="CH88">
        <v>2.7919999999999998</v>
      </c>
    </row>
    <row r="89" spans="2:89">
      <c r="B89" s="7">
        <v>45632</v>
      </c>
      <c r="C89">
        <v>2.863</v>
      </c>
      <c r="D89">
        <v>2.8029999999999999</v>
      </c>
      <c r="E89">
        <v>2.7349999999999999</v>
      </c>
      <c r="F89">
        <v>2.7109999999999999</v>
      </c>
      <c r="G89">
        <v>2.67</v>
      </c>
      <c r="H89">
        <v>2.6219999999999999</v>
      </c>
      <c r="I89" s="6">
        <v>2.6850000000000001</v>
      </c>
      <c r="J89" s="6">
        <v>2.6339999999999999</v>
      </c>
      <c r="K89" s="6">
        <v>2.77</v>
      </c>
      <c r="L89" s="6">
        <v>2.7440000000000002</v>
      </c>
      <c r="M89" s="6">
        <v>2.645</v>
      </c>
      <c r="N89" s="6">
        <v>2.5569999999999999</v>
      </c>
      <c r="O89" s="7">
        <v>45632</v>
      </c>
      <c r="P89">
        <v>2.851</v>
      </c>
      <c r="Q89">
        <v>2.7679999999999998</v>
      </c>
      <c r="R89">
        <v>2.7040000000000002</v>
      </c>
      <c r="S89">
        <v>2.7250000000000001</v>
      </c>
      <c r="T89">
        <v>2.6920000000000002</v>
      </c>
      <c r="U89" s="6">
        <v>2.6859999999999999</v>
      </c>
      <c r="V89" s="6">
        <v>0</v>
      </c>
      <c r="W89">
        <v>0</v>
      </c>
      <c r="X89" s="7">
        <v>45632</v>
      </c>
      <c r="Y89">
        <v>2.9260000000000002</v>
      </c>
      <c r="Z89">
        <v>2.8740000000000001</v>
      </c>
      <c r="AA89">
        <v>2.8149999999999999</v>
      </c>
      <c r="AB89">
        <v>2.7280000000000002</v>
      </c>
      <c r="AC89">
        <v>2.7210000000000001</v>
      </c>
      <c r="AD89" s="6">
        <v>2.7149999999999999</v>
      </c>
      <c r="AE89" s="6">
        <v>2.7349999999999999</v>
      </c>
      <c r="AF89">
        <v>2.8</v>
      </c>
      <c r="AG89" s="7">
        <v>45632</v>
      </c>
      <c r="AH89">
        <v>3.226</v>
      </c>
      <c r="AI89">
        <v>3.0979999999999999</v>
      </c>
      <c r="AJ89">
        <v>2.9590000000000001</v>
      </c>
      <c r="AK89">
        <v>2.8959999999999999</v>
      </c>
      <c r="AL89">
        <v>2.871</v>
      </c>
      <c r="AM89" s="6">
        <v>2.794</v>
      </c>
      <c r="AN89" s="6">
        <v>2.806</v>
      </c>
      <c r="AO89">
        <v>2.8410000000000002</v>
      </c>
      <c r="AP89" s="7">
        <v>45632</v>
      </c>
      <c r="AQ89">
        <v>3.3940000000000001</v>
      </c>
      <c r="AR89">
        <v>3.3039999999999998</v>
      </c>
      <c r="AS89">
        <v>3.2090000000000001</v>
      </c>
      <c r="AT89">
        <v>3.15</v>
      </c>
      <c r="AU89">
        <v>3.173</v>
      </c>
      <c r="AV89" s="6">
        <v>3.2160000000000002</v>
      </c>
      <c r="AW89" s="6">
        <v>3.2410000000000001</v>
      </c>
      <c r="AX89">
        <v>3.3119999999999998</v>
      </c>
      <c r="AY89" s="7">
        <v>45632</v>
      </c>
      <c r="AZ89">
        <v>3.2490000000000001</v>
      </c>
      <c r="BA89">
        <v>3.1240000000000001</v>
      </c>
      <c r="BB89">
        <v>3.0089999999999999</v>
      </c>
      <c r="BC89">
        <v>2.9359999999999999</v>
      </c>
      <c r="BD89">
        <v>2.931</v>
      </c>
      <c r="BE89" s="6">
        <v>2.8889999999999998</v>
      </c>
      <c r="BF89" s="6">
        <v>2.903</v>
      </c>
      <c r="BG89">
        <v>2.9119999999999999</v>
      </c>
      <c r="BH89" s="7">
        <v>45632</v>
      </c>
      <c r="BI89">
        <v>3.198</v>
      </c>
      <c r="BJ89">
        <v>3.052</v>
      </c>
      <c r="BK89">
        <v>2.92</v>
      </c>
      <c r="BL89">
        <v>2.8690000000000002</v>
      </c>
      <c r="BM89">
        <v>2.8650000000000002</v>
      </c>
      <c r="BN89" s="6">
        <v>2.7919999999999998</v>
      </c>
      <c r="BO89" s="6">
        <v>2.8</v>
      </c>
      <c r="BP89">
        <v>2.839</v>
      </c>
      <c r="BQ89" s="7">
        <v>45632</v>
      </c>
      <c r="BR89">
        <v>3.4990000000000001</v>
      </c>
      <c r="BS89">
        <v>3.4129999999999998</v>
      </c>
      <c r="BT89">
        <v>3.3170000000000002</v>
      </c>
      <c r="BU89">
        <v>3.2989999999999999</v>
      </c>
      <c r="BV89">
        <v>3.3180000000000001</v>
      </c>
      <c r="BW89" s="6">
        <v>3.2669999999999999</v>
      </c>
      <c r="BX89" s="6">
        <v>3.2839999999999998</v>
      </c>
      <c r="BY89">
        <v>3.3050000000000002</v>
      </c>
      <c r="BZ89" s="7">
        <v>45632</v>
      </c>
      <c r="CA89">
        <v>3.012</v>
      </c>
      <c r="CB89">
        <v>2.96</v>
      </c>
      <c r="CC89">
        <v>2.903</v>
      </c>
      <c r="CD89">
        <v>2.8180000000000001</v>
      </c>
      <c r="CE89">
        <v>2.8109999999999999</v>
      </c>
      <c r="CF89" s="6">
        <v>2.835</v>
      </c>
      <c r="CG89" s="6">
        <v>2.851</v>
      </c>
      <c r="CH89">
        <v>2.8519999999999999</v>
      </c>
    </row>
    <row r="90" spans="2:89">
      <c r="B90" s="7">
        <v>45631</v>
      </c>
      <c r="C90">
        <v>2.863</v>
      </c>
      <c r="D90">
        <v>2.806</v>
      </c>
      <c r="E90">
        <v>2.7349999999999999</v>
      </c>
      <c r="F90">
        <v>2.6949999999999998</v>
      </c>
      <c r="G90">
        <v>2.65</v>
      </c>
      <c r="H90">
        <v>2.6</v>
      </c>
      <c r="I90" s="6">
        <v>2.665</v>
      </c>
      <c r="J90" s="6">
        <v>2.6150000000000002</v>
      </c>
      <c r="K90" s="6">
        <v>2.7549999999999999</v>
      </c>
      <c r="L90" s="6">
        <v>2.7349999999999999</v>
      </c>
      <c r="M90" s="6">
        <v>2.6539999999999999</v>
      </c>
      <c r="N90" s="6">
        <v>2.5720000000000001</v>
      </c>
      <c r="O90" s="7">
        <v>45631</v>
      </c>
      <c r="P90">
        <v>2.851</v>
      </c>
      <c r="Q90">
        <v>2.7679999999999998</v>
      </c>
      <c r="R90">
        <v>2.702</v>
      </c>
      <c r="S90">
        <v>2.71</v>
      </c>
      <c r="T90">
        <v>2.6720000000000002</v>
      </c>
      <c r="U90" s="6">
        <v>2.6659999999999999</v>
      </c>
      <c r="V90" s="6">
        <v>0</v>
      </c>
      <c r="W90">
        <v>0</v>
      </c>
      <c r="X90" s="7">
        <v>45631</v>
      </c>
      <c r="Y90">
        <v>2.9260000000000002</v>
      </c>
      <c r="Z90">
        <v>2.8769999999999998</v>
      </c>
      <c r="AA90">
        <v>2.8149999999999999</v>
      </c>
      <c r="AB90">
        <v>2.7120000000000002</v>
      </c>
      <c r="AC90">
        <v>2.7010000000000001</v>
      </c>
      <c r="AD90" s="6">
        <v>2.694</v>
      </c>
      <c r="AE90" s="6">
        <v>2.7149999999999999</v>
      </c>
      <c r="AF90">
        <v>2.78</v>
      </c>
      <c r="AG90" s="7">
        <v>45631</v>
      </c>
      <c r="AH90">
        <v>3.222</v>
      </c>
      <c r="AI90">
        <v>3.093</v>
      </c>
      <c r="AJ90">
        <v>2.9569999999999999</v>
      </c>
      <c r="AK90">
        <v>2.8860000000000001</v>
      </c>
      <c r="AL90">
        <v>2.855</v>
      </c>
      <c r="AM90" s="6">
        <v>2.7709999999999999</v>
      </c>
      <c r="AN90" s="6">
        <v>2.7850000000000001</v>
      </c>
      <c r="AO90">
        <v>2.8220000000000001</v>
      </c>
      <c r="AP90" s="7">
        <v>45631</v>
      </c>
      <c r="AQ90">
        <v>3.3959999999999999</v>
      </c>
      <c r="AR90">
        <v>3.3039999999999998</v>
      </c>
      <c r="AS90">
        <v>3.2050000000000001</v>
      </c>
      <c r="AT90">
        <v>3.133</v>
      </c>
      <c r="AU90">
        <v>3.1549999999999998</v>
      </c>
      <c r="AV90" s="6">
        <v>3.1949999999999998</v>
      </c>
      <c r="AW90" s="6">
        <v>3.2229999999999999</v>
      </c>
      <c r="AX90">
        <v>3.2930000000000001</v>
      </c>
      <c r="AY90" s="7">
        <v>45631</v>
      </c>
      <c r="AZ90">
        <v>3.2480000000000002</v>
      </c>
      <c r="BA90">
        <v>3.1259999999999999</v>
      </c>
      <c r="BB90">
        <v>3.008</v>
      </c>
      <c r="BC90">
        <v>2.9220000000000002</v>
      </c>
      <c r="BD90">
        <v>2.9140000000000001</v>
      </c>
      <c r="BE90" s="6">
        <v>2.867</v>
      </c>
      <c r="BF90" s="6">
        <v>2.8820000000000001</v>
      </c>
      <c r="BG90">
        <v>2.8929999999999998</v>
      </c>
      <c r="BH90" s="7">
        <v>45631</v>
      </c>
      <c r="BI90">
        <v>3.1970000000000001</v>
      </c>
      <c r="BJ90">
        <v>3.0550000000000002</v>
      </c>
      <c r="BK90">
        <v>2.9169999999999998</v>
      </c>
      <c r="BL90">
        <v>2.8519999999999999</v>
      </c>
      <c r="BM90">
        <v>2.8420000000000001</v>
      </c>
      <c r="BN90" s="6">
        <v>2.76</v>
      </c>
      <c r="BO90" s="6">
        <v>2.7730000000000001</v>
      </c>
      <c r="BP90">
        <v>2.8159999999999998</v>
      </c>
      <c r="BQ90" s="7">
        <v>45631</v>
      </c>
      <c r="BR90">
        <v>3.4980000000000002</v>
      </c>
      <c r="BS90">
        <v>3.415</v>
      </c>
      <c r="BT90">
        <v>3.3159999999999998</v>
      </c>
      <c r="BU90">
        <v>3.286</v>
      </c>
      <c r="BV90">
        <v>3.302</v>
      </c>
      <c r="BW90" s="6">
        <v>3.2450000000000001</v>
      </c>
      <c r="BX90" s="6">
        <v>3.2629999999999999</v>
      </c>
      <c r="BY90">
        <v>3.286</v>
      </c>
      <c r="BZ90" s="7">
        <v>45631</v>
      </c>
      <c r="CA90">
        <v>3.012</v>
      </c>
      <c r="CB90">
        <v>2.9630000000000001</v>
      </c>
      <c r="CC90">
        <v>2.903</v>
      </c>
      <c r="CD90">
        <v>2.8010000000000002</v>
      </c>
      <c r="CE90">
        <v>2.7909999999999999</v>
      </c>
      <c r="CF90" s="6">
        <v>2.8140000000000001</v>
      </c>
      <c r="CG90" s="6">
        <v>2.83</v>
      </c>
      <c r="CH90">
        <v>2.8319999999999999</v>
      </c>
    </row>
    <row r="91" spans="2:89">
      <c r="B91" s="7">
        <v>45630</v>
      </c>
      <c r="C91">
        <v>2.8660000000000001</v>
      </c>
      <c r="D91">
        <v>2.81</v>
      </c>
      <c r="E91">
        <v>2.738</v>
      </c>
      <c r="F91">
        <v>2.7080000000000002</v>
      </c>
      <c r="G91">
        <v>2.6779999999999999</v>
      </c>
      <c r="H91">
        <v>2.625</v>
      </c>
      <c r="I91" s="6">
        <v>2.6859999999999999</v>
      </c>
      <c r="J91" s="6">
        <v>2.6419999999999999</v>
      </c>
      <c r="K91" s="6">
        <v>2.7839999999999998</v>
      </c>
      <c r="L91" s="6">
        <v>2.7650000000000001</v>
      </c>
      <c r="M91" s="6">
        <v>2.6749999999999998</v>
      </c>
      <c r="N91" s="6">
        <v>2.59</v>
      </c>
      <c r="O91" s="7">
        <v>45630</v>
      </c>
      <c r="P91">
        <v>2.851</v>
      </c>
      <c r="Q91">
        <v>2.7679999999999998</v>
      </c>
      <c r="R91">
        <v>2.702</v>
      </c>
      <c r="S91">
        <v>2.7210000000000001</v>
      </c>
      <c r="T91">
        <v>2.698</v>
      </c>
      <c r="U91" s="6">
        <v>2.6909999999999998</v>
      </c>
      <c r="V91" s="6">
        <v>0</v>
      </c>
      <c r="W91">
        <v>0</v>
      </c>
      <c r="X91" s="7">
        <v>45630</v>
      </c>
      <c r="Y91">
        <v>2.9319999999999999</v>
      </c>
      <c r="Z91">
        <v>2.8820000000000001</v>
      </c>
      <c r="AA91">
        <v>2.8180000000000001</v>
      </c>
      <c r="AB91">
        <v>2.7250000000000001</v>
      </c>
      <c r="AC91">
        <v>2.73</v>
      </c>
      <c r="AD91" s="6">
        <v>2.7189999999999999</v>
      </c>
      <c r="AE91" s="6">
        <v>2.7389999999999999</v>
      </c>
      <c r="AF91">
        <v>2.8149999999999999</v>
      </c>
      <c r="AG91" s="7">
        <v>45630</v>
      </c>
      <c r="AH91">
        <v>3.2170000000000001</v>
      </c>
      <c r="AI91">
        <v>3.093</v>
      </c>
      <c r="AJ91">
        <v>2.96</v>
      </c>
      <c r="AK91">
        <v>2.8969999999999998</v>
      </c>
      <c r="AL91">
        <v>2.8780000000000001</v>
      </c>
      <c r="AM91" s="6">
        <v>2.7959999999999998</v>
      </c>
      <c r="AN91" s="6">
        <v>2.8069999999999999</v>
      </c>
      <c r="AO91">
        <v>2.8490000000000002</v>
      </c>
      <c r="AP91" s="7">
        <v>45630</v>
      </c>
      <c r="AQ91">
        <v>3.399</v>
      </c>
      <c r="AR91">
        <v>3.3109999999999999</v>
      </c>
      <c r="AS91">
        <v>3.2069999999999999</v>
      </c>
      <c r="AT91">
        <v>3.1389999999999998</v>
      </c>
      <c r="AU91">
        <v>3.18</v>
      </c>
      <c r="AV91" s="6">
        <v>3.2210000000000001</v>
      </c>
      <c r="AW91" s="6">
        <v>3.2450000000000001</v>
      </c>
      <c r="AX91">
        <v>3.319</v>
      </c>
      <c r="AY91" s="7">
        <v>45630</v>
      </c>
      <c r="AZ91">
        <v>3.2480000000000002</v>
      </c>
      <c r="BA91">
        <v>3.1259999999999999</v>
      </c>
      <c r="BB91">
        <v>3.01</v>
      </c>
      <c r="BC91">
        <v>2.9340000000000002</v>
      </c>
      <c r="BD91">
        <v>2.9409999999999998</v>
      </c>
      <c r="BE91" s="6">
        <v>2.8919999999999999</v>
      </c>
      <c r="BF91" s="6">
        <v>2.9039999999999999</v>
      </c>
      <c r="BG91">
        <v>2.92</v>
      </c>
      <c r="BH91" s="7">
        <v>45630</v>
      </c>
      <c r="BI91">
        <v>3.1970000000000001</v>
      </c>
      <c r="BJ91">
        <v>3.0550000000000002</v>
      </c>
      <c r="BK91">
        <v>2.915</v>
      </c>
      <c r="BL91">
        <v>2.863</v>
      </c>
      <c r="BM91">
        <v>2.8690000000000002</v>
      </c>
      <c r="BN91" s="6">
        <v>2.7850000000000001</v>
      </c>
      <c r="BO91" s="6">
        <v>2.794</v>
      </c>
      <c r="BP91">
        <v>2.843</v>
      </c>
      <c r="BQ91" s="7">
        <v>45630</v>
      </c>
      <c r="BR91">
        <v>3.4980000000000002</v>
      </c>
      <c r="BS91">
        <v>3.415</v>
      </c>
      <c r="BT91">
        <v>3.3180000000000001</v>
      </c>
      <c r="BU91">
        <v>3.2909999999999999</v>
      </c>
      <c r="BV91">
        <v>3.323</v>
      </c>
      <c r="BW91" s="6">
        <v>3.27</v>
      </c>
      <c r="BX91" s="6">
        <v>3.2850000000000001</v>
      </c>
      <c r="BY91">
        <v>3.3130000000000002</v>
      </c>
      <c r="BZ91" s="7">
        <v>45630</v>
      </c>
      <c r="CA91">
        <v>3.0190000000000001</v>
      </c>
      <c r="CB91">
        <v>2.968</v>
      </c>
      <c r="CC91">
        <v>2.9060000000000001</v>
      </c>
      <c r="CD91">
        <v>2.8140000000000001</v>
      </c>
      <c r="CE91">
        <v>2.819</v>
      </c>
      <c r="CF91" s="6">
        <v>2.839</v>
      </c>
      <c r="CG91" s="6">
        <v>2.8540000000000001</v>
      </c>
      <c r="CH91">
        <v>2.867</v>
      </c>
    </row>
    <row r="92" spans="2:89">
      <c r="B92" s="7">
        <v>45629</v>
      </c>
      <c r="C92">
        <v>2.8660000000000001</v>
      </c>
      <c r="D92">
        <v>2.81</v>
      </c>
      <c r="E92">
        <v>2.738</v>
      </c>
      <c r="F92">
        <v>2.706</v>
      </c>
      <c r="G92">
        <v>2.64</v>
      </c>
      <c r="H92">
        <v>2.585</v>
      </c>
      <c r="I92" s="6">
        <v>2.645</v>
      </c>
      <c r="J92" s="6">
        <v>2.6</v>
      </c>
      <c r="K92" s="6">
        <v>2.738</v>
      </c>
      <c r="L92" s="6">
        <v>2.7120000000000002</v>
      </c>
      <c r="M92" s="6">
        <v>2.645</v>
      </c>
      <c r="N92" s="6">
        <v>2.5750000000000002</v>
      </c>
      <c r="O92" s="7">
        <v>45629</v>
      </c>
      <c r="P92">
        <v>2.851</v>
      </c>
      <c r="Q92">
        <v>2.7629999999999999</v>
      </c>
      <c r="R92">
        <v>2.6920000000000002</v>
      </c>
      <c r="S92">
        <v>2.71</v>
      </c>
      <c r="T92">
        <v>2.6579999999999999</v>
      </c>
      <c r="U92" s="6">
        <v>2.6560000000000001</v>
      </c>
      <c r="V92" s="6">
        <v>0</v>
      </c>
      <c r="W92">
        <v>0</v>
      </c>
      <c r="X92" s="7">
        <v>45629</v>
      </c>
      <c r="Y92">
        <v>2.9319999999999999</v>
      </c>
      <c r="Z92">
        <v>2.8820000000000001</v>
      </c>
      <c r="AA92">
        <v>2.8180000000000001</v>
      </c>
      <c r="AB92">
        <v>2.722</v>
      </c>
      <c r="AC92">
        <v>2.6909999999999998</v>
      </c>
      <c r="AD92" s="6">
        <v>2.6789999999999998</v>
      </c>
      <c r="AE92" s="6">
        <v>2.698</v>
      </c>
      <c r="AF92">
        <v>2.7810000000000001</v>
      </c>
      <c r="AG92" s="7">
        <v>45629</v>
      </c>
      <c r="AH92">
        <v>3.2160000000000002</v>
      </c>
      <c r="AI92">
        <v>3.089</v>
      </c>
      <c r="AJ92">
        <v>2.9569999999999999</v>
      </c>
      <c r="AK92">
        <v>2.8940000000000001</v>
      </c>
      <c r="AL92">
        <v>2.85</v>
      </c>
      <c r="AM92" s="6">
        <v>2.7559999999999998</v>
      </c>
      <c r="AN92" s="6">
        <v>2.766</v>
      </c>
      <c r="AO92">
        <v>2.8090000000000002</v>
      </c>
      <c r="AP92" s="7">
        <v>45629</v>
      </c>
      <c r="AQ92">
        <v>3.399</v>
      </c>
      <c r="AR92">
        <v>3.3069999999999999</v>
      </c>
      <c r="AS92">
        <v>3.1989999999999998</v>
      </c>
      <c r="AT92">
        <v>3.1280000000000001</v>
      </c>
      <c r="AU92">
        <v>3.145</v>
      </c>
      <c r="AV92" s="6">
        <v>3.181</v>
      </c>
      <c r="AW92" s="6">
        <v>3.2029999999999998</v>
      </c>
      <c r="AX92">
        <v>3.2770000000000001</v>
      </c>
      <c r="AY92" s="7">
        <v>45629</v>
      </c>
      <c r="AZ92">
        <v>3.2480000000000002</v>
      </c>
      <c r="BA92">
        <v>3.121</v>
      </c>
      <c r="BB92">
        <v>3.0019999999999998</v>
      </c>
      <c r="BC92">
        <v>2.9209999999999998</v>
      </c>
      <c r="BD92">
        <v>2.907</v>
      </c>
      <c r="BE92" s="6">
        <v>2.8519999999999999</v>
      </c>
      <c r="BF92" s="6">
        <v>2.8639999999999999</v>
      </c>
      <c r="BG92">
        <v>2.8780000000000001</v>
      </c>
      <c r="BH92" s="7">
        <v>45629</v>
      </c>
      <c r="BI92">
        <v>3.194</v>
      </c>
      <c r="BJ92">
        <v>3.0459999999999998</v>
      </c>
      <c r="BK92">
        <v>2.9020000000000001</v>
      </c>
      <c r="BL92">
        <v>2.85</v>
      </c>
      <c r="BM92">
        <v>2.8370000000000002</v>
      </c>
      <c r="BN92" s="6">
        <v>2.7450000000000001</v>
      </c>
      <c r="BO92" s="6">
        <v>2.7549999999999999</v>
      </c>
      <c r="BP92">
        <v>2.8029999999999999</v>
      </c>
      <c r="BQ92" s="7">
        <v>45629</v>
      </c>
      <c r="BR92">
        <v>3.4980000000000002</v>
      </c>
      <c r="BS92">
        <v>3.41</v>
      </c>
      <c r="BT92">
        <v>3.3090000000000002</v>
      </c>
      <c r="BU92">
        <v>3.2749999999999999</v>
      </c>
      <c r="BV92">
        <v>3.29</v>
      </c>
      <c r="BW92" s="6">
        <v>3.23</v>
      </c>
      <c r="BX92" s="6">
        <v>3.2450000000000001</v>
      </c>
      <c r="BY92">
        <v>3.2719999999999998</v>
      </c>
      <c r="BZ92" s="7">
        <v>45629</v>
      </c>
      <c r="CA92">
        <v>3.0190000000000001</v>
      </c>
      <c r="CB92">
        <v>2.968</v>
      </c>
      <c r="CC92">
        <v>2.9060000000000001</v>
      </c>
      <c r="CD92">
        <v>2.8109999999999999</v>
      </c>
      <c r="CE92">
        <v>2.7810000000000001</v>
      </c>
      <c r="CF92" s="6">
        <v>2.7989999999999999</v>
      </c>
      <c r="CG92" s="6">
        <v>2.8140000000000001</v>
      </c>
      <c r="CH92">
        <v>2.8340000000000001</v>
      </c>
    </row>
    <row r="93" spans="2:89">
      <c r="B93" s="7">
        <v>45628</v>
      </c>
      <c r="C93">
        <v>2.87</v>
      </c>
      <c r="D93">
        <v>2.8180000000000001</v>
      </c>
      <c r="E93">
        <v>2.746</v>
      </c>
      <c r="F93">
        <v>2.7069999999999999</v>
      </c>
      <c r="G93">
        <v>2.6230000000000002</v>
      </c>
      <c r="H93">
        <v>2.5649999999999999</v>
      </c>
      <c r="I93" s="6">
        <v>2.6309999999999998</v>
      </c>
      <c r="J93" s="6">
        <v>2.59</v>
      </c>
      <c r="K93" s="6">
        <v>2.7290000000000001</v>
      </c>
      <c r="L93" s="6">
        <v>2.7</v>
      </c>
      <c r="M93" s="6">
        <v>2.6520000000000001</v>
      </c>
      <c r="N93" s="6">
        <v>2.5870000000000002</v>
      </c>
      <c r="O93" s="7">
        <v>45628</v>
      </c>
      <c r="P93">
        <v>2.8460000000000001</v>
      </c>
      <c r="Q93">
        <v>2.7559999999999998</v>
      </c>
      <c r="R93">
        <v>2.6789999999999998</v>
      </c>
      <c r="S93">
        <v>2.7109999999999999</v>
      </c>
      <c r="T93">
        <v>2.6429999999999998</v>
      </c>
      <c r="U93" s="6">
        <v>2.64</v>
      </c>
      <c r="V93" s="6">
        <v>0</v>
      </c>
      <c r="W93">
        <v>0</v>
      </c>
      <c r="X93" s="7">
        <v>45628</v>
      </c>
      <c r="Y93">
        <v>2.9369999999999998</v>
      </c>
      <c r="Z93">
        <v>2.8919999999999999</v>
      </c>
      <c r="AA93">
        <v>2.8260000000000001</v>
      </c>
      <c r="AB93">
        <v>2.7229999999999999</v>
      </c>
      <c r="AC93">
        <v>2.6749999999999998</v>
      </c>
      <c r="AD93" s="6">
        <v>2.6589999999999998</v>
      </c>
      <c r="AE93" s="6">
        <v>2.6819999999999999</v>
      </c>
      <c r="AF93">
        <v>2.78</v>
      </c>
      <c r="AG93" s="7">
        <v>45628</v>
      </c>
      <c r="AH93">
        <v>3.214</v>
      </c>
      <c r="AI93">
        <v>3.0939999999999999</v>
      </c>
      <c r="AJ93">
        <v>2.9609999999999999</v>
      </c>
      <c r="AK93">
        <v>2.9</v>
      </c>
      <c r="AL93">
        <v>2.8410000000000002</v>
      </c>
      <c r="AM93" s="6">
        <v>2.7360000000000002</v>
      </c>
      <c r="AN93" s="6">
        <v>2.7519999999999998</v>
      </c>
      <c r="AO93">
        <v>2.7989999999999999</v>
      </c>
      <c r="AP93" s="7">
        <v>45628</v>
      </c>
      <c r="AQ93">
        <v>3.3940000000000001</v>
      </c>
      <c r="AR93">
        <v>3.302</v>
      </c>
      <c r="AS93">
        <v>3.1850000000000001</v>
      </c>
      <c r="AT93">
        <v>3.13</v>
      </c>
      <c r="AU93">
        <v>3.1309999999999998</v>
      </c>
      <c r="AV93" s="6">
        <v>3.161</v>
      </c>
      <c r="AW93" s="6">
        <v>3.1890000000000001</v>
      </c>
      <c r="AX93">
        <v>3.2669999999999999</v>
      </c>
      <c r="AY93" s="7">
        <v>45628</v>
      </c>
      <c r="AZ93">
        <v>3.2429999999999999</v>
      </c>
      <c r="BA93">
        <v>3.1160000000000001</v>
      </c>
      <c r="BB93">
        <v>2.9940000000000002</v>
      </c>
      <c r="BC93">
        <v>2.923</v>
      </c>
      <c r="BD93">
        <v>2.8969999999999998</v>
      </c>
      <c r="BE93" s="6">
        <v>2.8319999999999999</v>
      </c>
      <c r="BF93" s="6">
        <v>2.851</v>
      </c>
      <c r="BG93">
        <v>2.8660000000000001</v>
      </c>
      <c r="BH93" s="7">
        <v>45628</v>
      </c>
      <c r="BI93">
        <v>3.1890000000000001</v>
      </c>
      <c r="BJ93">
        <v>3.0409999999999999</v>
      </c>
      <c r="BK93">
        <v>2.895</v>
      </c>
      <c r="BL93">
        <v>2.8530000000000002</v>
      </c>
      <c r="BM93">
        <v>2.827</v>
      </c>
      <c r="BN93" s="6">
        <v>2.7250000000000001</v>
      </c>
      <c r="BO93" s="6">
        <v>2.742</v>
      </c>
      <c r="BP93">
        <v>2.7949999999999999</v>
      </c>
      <c r="BQ93" s="7">
        <v>45628</v>
      </c>
      <c r="BR93">
        <v>3.4929999999999999</v>
      </c>
      <c r="BS93">
        <v>3.403</v>
      </c>
      <c r="BT93">
        <v>3.3</v>
      </c>
      <c r="BU93">
        <v>3.278</v>
      </c>
      <c r="BV93">
        <v>3.2749999999999999</v>
      </c>
      <c r="BW93" s="6">
        <v>3.2069999999999999</v>
      </c>
      <c r="BX93" s="6">
        <v>3.2320000000000002</v>
      </c>
      <c r="BY93">
        <v>3.2639999999999998</v>
      </c>
      <c r="BZ93" s="7">
        <v>45628</v>
      </c>
      <c r="CA93">
        <v>3.024</v>
      </c>
      <c r="CB93">
        <v>2.9780000000000002</v>
      </c>
      <c r="CC93">
        <v>2.9140000000000001</v>
      </c>
      <c r="CD93">
        <v>2.8119999999999998</v>
      </c>
      <c r="CE93">
        <v>2.7639999999999998</v>
      </c>
      <c r="CF93" s="6">
        <v>2.7789999999999999</v>
      </c>
      <c r="CG93" s="6">
        <v>2.798</v>
      </c>
      <c r="CH93">
        <v>2.8319999999999999</v>
      </c>
    </row>
    <row r="94" spans="2:89">
      <c r="B94" s="7">
        <v>45625</v>
      </c>
      <c r="C94">
        <v>2.8809999999999998</v>
      </c>
      <c r="D94">
        <v>2.8410000000000002</v>
      </c>
      <c r="E94">
        <v>2.7629999999999999</v>
      </c>
      <c r="F94">
        <v>2.7330000000000001</v>
      </c>
      <c r="G94">
        <v>2.669</v>
      </c>
      <c r="H94">
        <v>2.6110000000000002</v>
      </c>
      <c r="I94" s="6">
        <v>2.6850000000000001</v>
      </c>
      <c r="J94" s="6">
        <v>2.6520000000000001</v>
      </c>
      <c r="K94" s="6">
        <v>2.79</v>
      </c>
      <c r="L94" s="6">
        <v>2.76</v>
      </c>
      <c r="M94" s="6">
        <v>2.7080000000000002</v>
      </c>
      <c r="N94" s="6">
        <v>2.6349999999999998</v>
      </c>
      <c r="O94" s="7">
        <v>45625</v>
      </c>
      <c r="P94">
        <v>2.85</v>
      </c>
      <c r="Q94">
        <v>2.7650000000000001</v>
      </c>
      <c r="R94">
        <v>2.6920000000000002</v>
      </c>
      <c r="S94">
        <v>2.7440000000000002</v>
      </c>
      <c r="T94">
        <v>2.6850000000000001</v>
      </c>
      <c r="U94" s="6">
        <v>2.6859999999999999</v>
      </c>
      <c r="V94" s="6">
        <v>0</v>
      </c>
      <c r="W94">
        <v>0</v>
      </c>
      <c r="X94" s="7">
        <v>45625</v>
      </c>
      <c r="Y94">
        <v>2.952</v>
      </c>
      <c r="Z94">
        <v>2.9159999999999999</v>
      </c>
      <c r="AA94">
        <v>2.84</v>
      </c>
      <c r="AB94">
        <v>2.7480000000000002</v>
      </c>
      <c r="AC94">
        <v>2.7210000000000001</v>
      </c>
      <c r="AD94" s="6">
        <v>2.706</v>
      </c>
      <c r="AE94" s="6">
        <v>2.7360000000000002</v>
      </c>
      <c r="AF94">
        <v>2.8450000000000002</v>
      </c>
      <c r="AG94" s="7">
        <v>45625</v>
      </c>
      <c r="AH94">
        <v>3.2269999999999999</v>
      </c>
      <c r="AI94">
        <v>3.1230000000000002</v>
      </c>
      <c r="AJ94">
        <v>2.9969999999999999</v>
      </c>
      <c r="AK94">
        <v>2.9340000000000002</v>
      </c>
      <c r="AL94">
        <v>2.883</v>
      </c>
      <c r="AM94" s="6">
        <v>2.7829999999999999</v>
      </c>
      <c r="AN94" s="6">
        <v>2.806</v>
      </c>
      <c r="AO94">
        <v>2.859</v>
      </c>
      <c r="AP94" s="7">
        <v>45625</v>
      </c>
      <c r="AQ94">
        <v>3.399</v>
      </c>
      <c r="AR94">
        <v>3.3109999999999999</v>
      </c>
      <c r="AS94">
        <v>3.1989999999999998</v>
      </c>
      <c r="AT94">
        <v>3.161</v>
      </c>
      <c r="AU94">
        <v>3.1680000000000001</v>
      </c>
      <c r="AV94" s="6">
        <v>3.202</v>
      </c>
      <c r="AW94" s="6">
        <v>3.24</v>
      </c>
      <c r="AX94">
        <v>3.3220000000000001</v>
      </c>
      <c r="AY94" s="7">
        <v>45625</v>
      </c>
      <c r="AZ94">
        <v>3.2629999999999999</v>
      </c>
      <c r="BA94">
        <v>3.1419999999999999</v>
      </c>
      <c r="BB94">
        <v>3.0179999999999998</v>
      </c>
      <c r="BC94">
        <v>2.9609999999999999</v>
      </c>
      <c r="BD94">
        <v>2.9460000000000002</v>
      </c>
      <c r="BE94" s="6">
        <v>2.883</v>
      </c>
      <c r="BF94" s="6">
        <v>2.9089999999999998</v>
      </c>
      <c r="BG94">
        <v>2.93</v>
      </c>
      <c r="BH94" s="7">
        <v>45625</v>
      </c>
      <c r="BI94">
        <v>3.2090000000000001</v>
      </c>
      <c r="BJ94">
        <v>3.0670000000000002</v>
      </c>
      <c r="BK94">
        <v>2.919</v>
      </c>
      <c r="BL94">
        <v>2.891</v>
      </c>
      <c r="BM94">
        <v>2.8719999999999999</v>
      </c>
      <c r="BN94" s="6">
        <v>2.778</v>
      </c>
      <c r="BO94" s="6">
        <v>2.7989999999999999</v>
      </c>
      <c r="BP94">
        <v>2.8570000000000002</v>
      </c>
      <c r="BQ94" s="7">
        <v>45625</v>
      </c>
      <c r="BR94">
        <v>3.5129999999999999</v>
      </c>
      <c r="BS94">
        <v>3.4289999999999998</v>
      </c>
      <c r="BT94">
        <v>3.3239999999999998</v>
      </c>
      <c r="BU94">
        <v>3.3159999999999998</v>
      </c>
      <c r="BV94">
        <v>3.32</v>
      </c>
      <c r="BW94" s="6">
        <v>3.2570000000000001</v>
      </c>
      <c r="BX94" s="6">
        <v>3.29</v>
      </c>
      <c r="BY94">
        <v>3.3279999999999998</v>
      </c>
      <c r="BZ94" s="7">
        <v>45625</v>
      </c>
      <c r="CA94">
        <v>3.0390000000000001</v>
      </c>
      <c r="CB94">
        <v>3.0019999999999998</v>
      </c>
      <c r="CC94">
        <v>2.9279999999999999</v>
      </c>
      <c r="CD94">
        <v>2.8380000000000001</v>
      </c>
      <c r="CE94">
        <v>2.81</v>
      </c>
      <c r="CF94" s="6">
        <v>2.8260000000000001</v>
      </c>
      <c r="CG94" s="6">
        <v>2.851</v>
      </c>
      <c r="CH94">
        <v>2.8969999999999998</v>
      </c>
    </row>
    <row r="95" spans="2:89">
      <c r="B95" s="7">
        <v>45624</v>
      </c>
      <c r="C95">
        <v>2.8860000000000001</v>
      </c>
      <c r="D95">
        <v>2.88</v>
      </c>
      <c r="E95">
        <v>2.79</v>
      </c>
      <c r="F95">
        <v>2.7610000000000001</v>
      </c>
      <c r="G95">
        <v>2.6960000000000002</v>
      </c>
      <c r="H95">
        <v>2.64</v>
      </c>
      <c r="I95" s="6">
        <v>2.7149999999999999</v>
      </c>
      <c r="J95" s="6">
        <v>2.6859999999999999</v>
      </c>
      <c r="K95" s="6">
        <v>2.82</v>
      </c>
      <c r="L95" s="6">
        <v>2.7850000000000001</v>
      </c>
      <c r="M95" s="6">
        <v>2.7440000000000002</v>
      </c>
      <c r="N95" s="6">
        <v>2.6850000000000001</v>
      </c>
      <c r="O95" s="7">
        <v>45624</v>
      </c>
      <c r="P95">
        <v>2.851</v>
      </c>
      <c r="Q95">
        <v>2.7679999999999998</v>
      </c>
      <c r="R95">
        <v>2.702</v>
      </c>
      <c r="S95">
        <v>2.77</v>
      </c>
      <c r="T95">
        <v>2.7240000000000002</v>
      </c>
      <c r="U95" s="6">
        <v>2.714</v>
      </c>
      <c r="V95" s="6">
        <v>0</v>
      </c>
      <c r="W95">
        <v>0</v>
      </c>
      <c r="X95" s="7">
        <v>45624</v>
      </c>
      <c r="Y95">
        <v>2.9609999999999999</v>
      </c>
      <c r="Z95">
        <v>2.952</v>
      </c>
      <c r="AA95">
        <v>2.8650000000000002</v>
      </c>
      <c r="AB95">
        <v>2.7749999999999999</v>
      </c>
      <c r="AC95">
        <v>2.7480000000000002</v>
      </c>
      <c r="AD95" s="6">
        <v>2.734</v>
      </c>
      <c r="AE95" s="6">
        <v>2.766</v>
      </c>
      <c r="AF95">
        <v>2.8759999999999999</v>
      </c>
      <c r="AG95" s="7">
        <v>45624</v>
      </c>
      <c r="AH95">
        <v>3.2669999999999999</v>
      </c>
      <c r="AI95">
        <v>3.1789999999999998</v>
      </c>
      <c r="AJ95">
        <v>3.0489999999999999</v>
      </c>
      <c r="AK95">
        <v>2.9740000000000002</v>
      </c>
      <c r="AL95">
        <v>2.9329999999999998</v>
      </c>
      <c r="AM95" s="6">
        <v>2.8159999999999998</v>
      </c>
      <c r="AN95" s="6">
        <v>2.8380000000000001</v>
      </c>
      <c r="AO95">
        <v>2.895</v>
      </c>
      <c r="AP95" s="7">
        <v>45624</v>
      </c>
      <c r="AQ95">
        <v>3.4089999999999998</v>
      </c>
      <c r="AR95">
        <v>3.3220000000000001</v>
      </c>
      <c r="AS95">
        <v>3.2120000000000002</v>
      </c>
      <c r="AT95">
        <v>3.1909999999999998</v>
      </c>
      <c r="AU95">
        <v>3.2090000000000001</v>
      </c>
      <c r="AV95" s="6">
        <v>3.2309999999999999</v>
      </c>
      <c r="AW95" s="6">
        <v>3.2690000000000001</v>
      </c>
      <c r="AX95">
        <v>3.3559999999999999</v>
      </c>
      <c r="AY95" s="7">
        <v>45624</v>
      </c>
      <c r="AZ95">
        <v>3.2989999999999999</v>
      </c>
      <c r="BA95">
        <v>3.1949999999999998</v>
      </c>
      <c r="BB95">
        <v>3.0819999999999999</v>
      </c>
      <c r="BC95">
        <v>3</v>
      </c>
      <c r="BD95">
        <v>2.9910000000000001</v>
      </c>
      <c r="BE95" s="6">
        <v>2.92</v>
      </c>
      <c r="BF95" s="6">
        <v>2.9460000000000002</v>
      </c>
      <c r="BG95">
        <v>2.964</v>
      </c>
      <c r="BH95" s="7">
        <v>45624</v>
      </c>
      <c r="BI95">
        <v>3.246</v>
      </c>
      <c r="BJ95">
        <v>3.1269999999999998</v>
      </c>
      <c r="BK95">
        <v>2.9870000000000001</v>
      </c>
      <c r="BL95">
        <v>2.9289999999999998</v>
      </c>
      <c r="BM95">
        <v>2.9209999999999998</v>
      </c>
      <c r="BN95" s="6">
        <v>2.8159999999999998</v>
      </c>
      <c r="BO95" s="6">
        <v>2.8359999999999999</v>
      </c>
      <c r="BP95">
        <v>2.8929999999999998</v>
      </c>
      <c r="BQ95" s="7">
        <v>45624</v>
      </c>
      <c r="BR95">
        <v>3.55</v>
      </c>
      <c r="BS95">
        <v>3.4820000000000002</v>
      </c>
      <c r="BT95">
        <v>3.3879999999999999</v>
      </c>
      <c r="BU95">
        <v>3.3540000000000001</v>
      </c>
      <c r="BV95">
        <v>3.3650000000000002</v>
      </c>
      <c r="BW95" s="6">
        <v>3.294</v>
      </c>
      <c r="BX95" s="6">
        <v>3.327</v>
      </c>
      <c r="BY95">
        <v>3.3620000000000001</v>
      </c>
      <c r="BZ95" s="7">
        <v>45624</v>
      </c>
      <c r="CA95">
        <v>3.0470000000000002</v>
      </c>
      <c r="CB95">
        <v>3.0379999999999998</v>
      </c>
      <c r="CC95">
        <v>2.9529999999999998</v>
      </c>
      <c r="CD95">
        <v>2.8639999999999999</v>
      </c>
      <c r="CE95">
        <v>2.8380000000000001</v>
      </c>
      <c r="CF95" s="6">
        <v>2.8540000000000001</v>
      </c>
      <c r="CG95" s="6">
        <v>2.8820000000000001</v>
      </c>
      <c r="CH95">
        <v>2.9289999999999998</v>
      </c>
    </row>
    <row r="96" spans="2:89">
      <c r="B96" s="7">
        <v>45623</v>
      </c>
      <c r="C96">
        <v>2.9329999999999998</v>
      </c>
      <c r="D96">
        <v>2.931</v>
      </c>
      <c r="E96">
        <v>2.855</v>
      </c>
      <c r="F96">
        <v>2.82</v>
      </c>
      <c r="G96">
        <v>2.8</v>
      </c>
      <c r="H96">
        <v>2.74</v>
      </c>
      <c r="I96" s="6">
        <v>2.8119999999999998</v>
      </c>
      <c r="J96" s="6">
        <v>2.78</v>
      </c>
      <c r="K96" s="6">
        <v>2.9159999999999999</v>
      </c>
      <c r="L96" s="6">
        <v>2.8809999999999998</v>
      </c>
      <c r="M96" s="6">
        <v>2.83</v>
      </c>
      <c r="N96" s="6">
        <v>2.7749999999999999</v>
      </c>
      <c r="O96" s="7">
        <v>45623</v>
      </c>
      <c r="P96">
        <v>2.931</v>
      </c>
      <c r="Q96">
        <v>2.8580000000000001</v>
      </c>
      <c r="R96">
        <v>2.8069999999999999</v>
      </c>
      <c r="S96">
        <v>2.87</v>
      </c>
      <c r="T96">
        <v>2.8170000000000002</v>
      </c>
      <c r="U96" s="6">
        <v>2.8140000000000001</v>
      </c>
      <c r="V96" s="6">
        <v>0</v>
      </c>
      <c r="W96">
        <v>0</v>
      </c>
      <c r="X96" s="7">
        <v>45623</v>
      </c>
      <c r="Y96">
        <v>3.0070000000000001</v>
      </c>
      <c r="Z96">
        <v>3.004</v>
      </c>
      <c r="AA96">
        <v>2.93</v>
      </c>
      <c r="AB96">
        <v>2.8330000000000002</v>
      </c>
      <c r="AC96">
        <v>2.851</v>
      </c>
      <c r="AD96" s="6">
        <v>2.8340000000000001</v>
      </c>
      <c r="AE96" s="6">
        <v>2.863</v>
      </c>
      <c r="AF96">
        <v>2.98</v>
      </c>
      <c r="AG96" s="7">
        <v>45623</v>
      </c>
      <c r="AH96">
        <v>3.3769999999999998</v>
      </c>
      <c r="AI96">
        <v>3.2930000000000001</v>
      </c>
      <c r="AJ96">
        <v>3.177</v>
      </c>
      <c r="AK96">
        <v>3.09</v>
      </c>
      <c r="AL96">
        <v>3.0350000000000001</v>
      </c>
      <c r="AM96" s="6">
        <v>2.9159999999999999</v>
      </c>
      <c r="AN96" s="6">
        <v>2.9350000000000001</v>
      </c>
      <c r="AO96">
        <v>2.9889999999999999</v>
      </c>
      <c r="AP96" s="7">
        <v>45623</v>
      </c>
      <c r="AQ96">
        <v>3.496</v>
      </c>
      <c r="AR96">
        <v>3.419</v>
      </c>
      <c r="AS96">
        <v>3.3090000000000002</v>
      </c>
      <c r="AT96">
        <v>3.2829999999999999</v>
      </c>
      <c r="AU96">
        <v>3.298</v>
      </c>
      <c r="AV96" s="6">
        <v>3.3170000000000002</v>
      </c>
      <c r="AW96" s="6">
        <v>3.355</v>
      </c>
      <c r="AX96">
        <v>3.4420000000000002</v>
      </c>
      <c r="AY96" s="7">
        <v>45623</v>
      </c>
      <c r="AZ96">
        <v>3.399</v>
      </c>
      <c r="BA96">
        <v>3.3</v>
      </c>
      <c r="BB96">
        <v>3.1930000000000001</v>
      </c>
      <c r="BC96">
        <v>3.1040000000000001</v>
      </c>
      <c r="BD96">
        <v>3.085</v>
      </c>
      <c r="BE96" s="6">
        <v>3.0179999999999998</v>
      </c>
      <c r="BF96" s="6">
        <v>3.0390000000000001</v>
      </c>
      <c r="BG96">
        <v>3.05</v>
      </c>
      <c r="BH96" s="7">
        <v>45623</v>
      </c>
      <c r="BI96">
        <v>3.3420000000000001</v>
      </c>
      <c r="BJ96">
        <v>3.2320000000000002</v>
      </c>
      <c r="BK96">
        <v>3.105</v>
      </c>
      <c r="BL96">
        <v>3.04</v>
      </c>
      <c r="BM96">
        <v>3.016</v>
      </c>
      <c r="BN96" s="6">
        <v>2.9140000000000001</v>
      </c>
      <c r="BO96" s="6">
        <v>2.9329999999999998</v>
      </c>
      <c r="BP96">
        <v>2.9870000000000001</v>
      </c>
      <c r="BQ96" s="7">
        <v>45623</v>
      </c>
      <c r="BR96">
        <v>3.6459999999999999</v>
      </c>
      <c r="BS96">
        <v>3.5870000000000002</v>
      </c>
      <c r="BT96">
        <v>3.4980000000000002</v>
      </c>
      <c r="BU96">
        <v>3.4590000000000001</v>
      </c>
      <c r="BV96">
        <v>3.4590000000000001</v>
      </c>
      <c r="BW96" s="6">
        <v>3.3919999999999999</v>
      </c>
      <c r="BX96" s="6">
        <v>3.42</v>
      </c>
      <c r="BY96">
        <v>3.448</v>
      </c>
      <c r="BZ96" s="7">
        <v>45623</v>
      </c>
      <c r="CA96">
        <v>3.0939999999999999</v>
      </c>
      <c r="CB96">
        <v>3.09</v>
      </c>
      <c r="CC96">
        <v>3.0110000000000001</v>
      </c>
      <c r="CD96">
        <v>2.923</v>
      </c>
      <c r="CE96">
        <v>2.9409999999999998</v>
      </c>
      <c r="CF96" s="6">
        <v>2.9540000000000002</v>
      </c>
      <c r="CG96" s="6">
        <v>2.9790000000000001</v>
      </c>
      <c r="CH96">
        <v>3.032</v>
      </c>
    </row>
    <row r="97" spans="2:86">
      <c r="B97" s="7">
        <v>45622</v>
      </c>
      <c r="C97">
        <v>2.9329999999999998</v>
      </c>
      <c r="D97">
        <v>2.9329999999999998</v>
      </c>
      <c r="E97">
        <v>2.8580000000000001</v>
      </c>
      <c r="F97">
        <v>2.835</v>
      </c>
      <c r="G97">
        <v>2.8239999999999998</v>
      </c>
      <c r="H97">
        <v>2.7719999999999998</v>
      </c>
      <c r="I97" s="6">
        <v>2.8410000000000002</v>
      </c>
      <c r="J97" s="6">
        <v>2.81</v>
      </c>
      <c r="K97" s="6">
        <v>2.9319999999999999</v>
      </c>
      <c r="L97" s="6">
        <v>2.9020000000000001</v>
      </c>
      <c r="M97" s="6">
        <v>2.8540000000000001</v>
      </c>
      <c r="N97" s="6">
        <v>2.8</v>
      </c>
      <c r="O97" s="7">
        <v>45622</v>
      </c>
      <c r="P97">
        <v>2.9350000000000001</v>
      </c>
      <c r="Q97">
        <v>2.8620000000000001</v>
      </c>
      <c r="R97">
        <v>2.8140000000000001</v>
      </c>
      <c r="S97">
        <v>2.8889999999999998</v>
      </c>
      <c r="T97">
        <v>2.8420000000000001</v>
      </c>
      <c r="U97" s="6">
        <v>2.84</v>
      </c>
      <c r="V97" s="6">
        <v>0</v>
      </c>
      <c r="W97">
        <v>0</v>
      </c>
      <c r="X97" s="7">
        <v>45622</v>
      </c>
      <c r="Y97">
        <v>3.0089999999999999</v>
      </c>
      <c r="Z97">
        <v>3.0059999999999998</v>
      </c>
      <c r="AA97">
        <v>2.9329999999999998</v>
      </c>
      <c r="AB97">
        <v>2.8479999999999999</v>
      </c>
      <c r="AC97">
        <v>2.879</v>
      </c>
      <c r="AD97" s="6">
        <v>2.87</v>
      </c>
      <c r="AE97" s="6">
        <v>2.8919999999999999</v>
      </c>
      <c r="AF97">
        <v>3.01</v>
      </c>
      <c r="AG97" s="7">
        <v>45622</v>
      </c>
      <c r="AH97">
        <v>3.3860000000000001</v>
      </c>
      <c r="AI97">
        <v>3.3090000000000002</v>
      </c>
      <c r="AJ97">
        <v>3.19</v>
      </c>
      <c r="AK97">
        <v>3.109</v>
      </c>
      <c r="AL97">
        <v>3.0619999999999998</v>
      </c>
      <c r="AM97" s="6">
        <v>2.9470000000000001</v>
      </c>
      <c r="AN97" s="6">
        <v>2.9630000000000001</v>
      </c>
      <c r="AO97">
        <v>3.016</v>
      </c>
      <c r="AP97" s="7">
        <v>45622</v>
      </c>
      <c r="AQ97">
        <v>3.4969999999999999</v>
      </c>
      <c r="AR97">
        <v>3.423</v>
      </c>
      <c r="AS97">
        <v>3.3140000000000001</v>
      </c>
      <c r="AT97">
        <v>3.2959999999999998</v>
      </c>
      <c r="AU97">
        <v>3.3220000000000001</v>
      </c>
      <c r="AV97" s="6">
        <v>3.3479999999999999</v>
      </c>
      <c r="AW97" s="6">
        <v>3.3809999999999998</v>
      </c>
      <c r="AX97">
        <v>3.47</v>
      </c>
      <c r="AY97" s="7">
        <v>45622</v>
      </c>
      <c r="AZ97">
        <v>3.3980000000000001</v>
      </c>
      <c r="BA97">
        <v>3.2930000000000001</v>
      </c>
      <c r="BB97">
        <v>3.2</v>
      </c>
      <c r="BC97">
        <v>3.117</v>
      </c>
      <c r="BD97">
        <v>3.1019999999999999</v>
      </c>
      <c r="BE97" s="6">
        <v>3.0459999999999998</v>
      </c>
      <c r="BF97" s="6">
        <v>3.0630000000000002</v>
      </c>
      <c r="BG97">
        <v>3.0739999999999998</v>
      </c>
      <c r="BH97" s="7">
        <v>45622</v>
      </c>
      <c r="BI97">
        <v>3.3410000000000002</v>
      </c>
      <c r="BJ97">
        <v>3.2240000000000002</v>
      </c>
      <c r="BK97">
        <v>3.113</v>
      </c>
      <c r="BL97">
        <v>3.0529999999999999</v>
      </c>
      <c r="BM97">
        <v>3.032</v>
      </c>
      <c r="BN97" s="6">
        <v>2.9460000000000002</v>
      </c>
      <c r="BO97" s="6">
        <v>2.9620000000000002</v>
      </c>
      <c r="BP97">
        <v>3.0150000000000001</v>
      </c>
      <c r="BQ97" s="7">
        <v>45622</v>
      </c>
      <c r="BR97">
        <v>3.645</v>
      </c>
      <c r="BS97">
        <v>3.58</v>
      </c>
      <c r="BT97">
        <v>3.5049999999999999</v>
      </c>
      <c r="BU97">
        <v>3.472</v>
      </c>
      <c r="BV97">
        <v>3.476</v>
      </c>
      <c r="BW97" s="6">
        <v>3.4220000000000002</v>
      </c>
      <c r="BX97" s="6">
        <v>3.4460000000000002</v>
      </c>
      <c r="BY97">
        <v>3.4729999999999999</v>
      </c>
      <c r="BZ97" s="7">
        <v>45622</v>
      </c>
      <c r="CA97">
        <v>3.0960000000000001</v>
      </c>
      <c r="CB97">
        <v>3.0920000000000001</v>
      </c>
      <c r="CC97">
        <v>3.0139999999999998</v>
      </c>
      <c r="CD97">
        <v>2.9380000000000002</v>
      </c>
      <c r="CE97">
        <v>2.968</v>
      </c>
      <c r="CF97" s="6">
        <v>2.99</v>
      </c>
      <c r="CG97" s="6">
        <v>3.0070000000000001</v>
      </c>
      <c r="CH97">
        <v>3.0609999999999999</v>
      </c>
    </row>
    <row r="98" spans="2:86">
      <c r="B98" s="7">
        <v>45621</v>
      </c>
      <c r="C98">
        <v>2.9350000000000001</v>
      </c>
      <c r="D98">
        <v>2.9239999999999999</v>
      </c>
      <c r="E98">
        <v>2.86</v>
      </c>
      <c r="F98">
        <v>2.8380000000000001</v>
      </c>
      <c r="G98">
        <v>2.83</v>
      </c>
      <c r="H98">
        <v>2.7709999999999999</v>
      </c>
      <c r="I98" s="6">
        <v>2.8450000000000002</v>
      </c>
      <c r="J98" s="6">
        <v>2.819</v>
      </c>
      <c r="K98" s="6">
        <v>2.9449999999999998</v>
      </c>
      <c r="L98" s="6">
        <v>2.92</v>
      </c>
      <c r="M98" s="6">
        <v>2.8740000000000001</v>
      </c>
      <c r="N98" s="6">
        <v>2.82</v>
      </c>
      <c r="O98" s="7">
        <v>45621</v>
      </c>
      <c r="P98">
        <v>2.9359999999999999</v>
      </c>
      <c r="Q98">
        <v>2.8650000000000002</v>
      </c>
      <c r="R98">
        <v>2.8180000000000001</v>
      </c>
      <c r="S98">
        <v>2.895</v>
      </c>
      <c r="T98">
        <v>2.843</v>
      </c>
      <c r="U98" s="6">
        <v>2.84</v>
      </c>
      <c r="V98" s="6">
        <v>0</v>
      </c>
      <c r="W98">
        <v>0</v>
      </c>
      <c r="X98" s="7">
        <v>45621</v>
      </c>
      <c r="Y98">
        <v>3.0110000000000001</v>
      </c>
      <c r="Z98">
        <v>2.9980000000000002</v>
      </c>
      <c r="AA98">
        <v>2.9350000000000001</v>
      </c>
      <c r="AB98">
        <v>2.8519999999999999</v>
      </c>
      <c r="AC98">
        <v>2.8849999999999998</v>
      </c>
      <c r="AD98" s="6">
        <v>2.871</v>
      </c>
      <c r="AE98" s="6">
        <v>2.895</v>
      </c>
      <c r="AF98">
        <v>3.0150000000000001</v>
      </c>
      <c r="AG98" s="7">
        <v>45621</v>
      </c>
      <c r="AH98">
        <v>3.3860000000000001</v>
      </c>
      <c r="AI98">
        <v>3.3090000000000002</v>
      </c>
      <c r="AJ98">
        <v>3.1909999999999998</v>
      </c>
      <c r="AK98">
        <v>3.1150000000000002</v>
      </c>
      <c r="AL98">
        <v>3.0649999999999999</v>
      </c>
      <c r="AM98" s="6">
        <v>2.9470000000000001</v>
      </c>
      <c r="AN98" s="6">
        <v>2.9670000000000001</v>
      </c>
      <c r="AO98">
        <v>3.0219999999999998</v>
      </c>
      <c r="AP98" s="7">
        <v>45621</v>
      </c>
      <c r="AQ98">
        <v>3.496</v>
      </c>
      <c r="AR98">
        <v>3.4220000000000002</v>
      </c>
      <c r="AS98">
        <v>3.3159999999999998</v>
      </c>
      <c r="AT98">
        <v>3.3029999999999999</v>
      </c>
      <c r="AU98">
        <v>3.323</v>
      </c>
      <c r="AV98" s="6">
        <v>3.347</v>
      </c>
      <c r="AW98" s="6">
        <v>3.3809999999999998</v>
      </c>
      <c r="AX98">
        <v>3.476</v>
      </c>
      <c r="AY98" s="7">
        <v>45621</v>
      </c>
      <c r="AZ98">
        <v>3.3980000000000001</v>
      </c>
      <c r="BA98">
        <v>3.294</v>
      </c>
      <c r="BB98">
        <v>3.2010000000000001</v>
      </c>
      <c r="BC98">
        <v>3.1230000000000002</v>
      </c>
      <c r="BD98">
        <v>3.1040000000000001</v>
      </c>
      <c r="BE98" s="6">
        <v>3.044</v>
      </c>
      <c r="BF98" s="6">
        <v>3.0649999999999999</v>
      </c>
      <c r="BG98">
        <v>3.08</v>
      </c>
      <c r="BH98" s="7">
        <v>45621</v>
      </c>
      <c r="BI98">
        <v>3.3410000000000002</v>
      </c>
      <c r="BJ98">
        <v>3.2250000000000001</v>
      </c>
      <c r="BK98">
        <v>3.113</v>
      </c>
      <c r="BL98">
        <v>3.0590000000000002</v>
      </c>
      <c r="BM98">
        <v>3.0339999999999998</v>
      </c>
      <c r="BN98" s="6">
        <v>2.944</v>
      </c>
      <c r="BO98" s="6">
        <v>2.964</v>
      </c>
      <c r="BP98">
        <v>3.0219999999999998</v>
      </c>
      <c r="BQ98" s="7">
        <v>45621</v>
      </c>
      <c r="BR98">
        <v>3.645</v>
      </c>
      <c r="BS98">
        <v>3.581</v>
      </c>
      <c r="BT98">
        <v>3.5049999999999999</v>
      </c>
      <c r="BU98">
        <v>3.4780000000000002</v>
      </c>
      <c r="BV98">
        <v>3.4780000000000002</v>
      </c>
      <c r="BW98" s="6">
        <v>3.42</v>
      </c>
      <c r="BX98" s="6">
        <v>3.448</v>
      </c>
      <c r="BY98">
        <v>3.4790000000000001</v>
      </c>
      <c r="BZ98" s="7">
        <v>45621</v>
      </c>
      <c r="CA98">
        <v>3.097</v>
      </c>
      <c r="CB98">
        <v>3.0840000000000001</v>
      </c>
      <c r="CC98">
        <v>3.016</v>
      </c>
      <c r="CD98">
        <v>2.9409999999999998</v>
      </c>
      <c r="CE98">
        <v>2.9740000000000002</v>
      </c>
      <c r="CF98" s="6">
        <v>2.9889999999999999</v>
      </c>
      <c r="CG98" s="6">
        <v>3.0110000000000001</v>
      </c>
      <c r="CH98">
        <v>3.0659999999999998</v>
      </c>
    </row>
    <row r="99" spans="2:86">
      <c r="B99" s="7">
        <v>45618</v>
      </c>
      <c r="C99">
        <v>2.9430000000000001</v>
      </c>
      <c r="D99">
        <v>2.9350000000000001</v>
      </c>
      <c r="E99">
        <v>2.871</v>
      </c>
      <c r="F99">
        <v>2.863</v>
      </c>
      <c r="G99">
        <v>2.87</v>
      </c>
      <c r="H99">
        <v>2.8170000000000002</v>
      </c>
      <c r="I99" s="6">
        <v>2.9020000000000001</v>
      </c>
      <c r="J99" s="6">
        <v>2.8769999999999998</v>
      </c>
      <c r="K99" s="6">
        <v>3.004</v>
      </c>
      <c r="L99" s="6">
        <v>2.98</v>
      </c>
      <c r="M99" s="6">
        <v>2.91</v>
      </c>
      <c r="N99" s="6">
        <v>2.8650000000000002</v>
      </c>
      <c r="O99" s="7">
        <v>45618</v>
      </c>
      <c r="P99">
        <v>2.9350000000000001</v>
      </c>
      <c r="Q99">
        <v>2.8650000000000002</v>
      </c>
      <c r="R99">
        <v>2.823</v>
      </c>
      <c r="S99">
        <v>2.92</v>
      </c>
      <c r="T99">
        <v>2.8809999999999998</v>
      </c>
      <c r="U99" s="6">
        <v>2.8849999999999998</v>
      </c>
      <c r="V99" s="6">
        <v>0</v>
      </c>
      <c r="W99">
        <v>0</v>
      </c>
      <c r="X99" s="7">
        <v>45618</v>
      </c>
      <c r="Y99">
        <v>3.0190000000000001</v>
      </c>
      <c r="Z99">
        <v>3.01</v>
      </c>
      <c r="AA99">
        <v>2.9460000000000002</v>
      </c>
      <c r="AB99">
        <v>2.8769999999999998</v>
      </c>
      <c r="AC99">
        <v>2.9249999999999998</v>
      </c>
      <c r="AD99" s="6">
        <v>2.9159999999999999</v>
      </c>
      <c r="AE99" s="6">
        <v>2.9510000000000001</v>
      </c>
      <c r="AF99">
        <v>3.056</v>
      </c>
      <c r="AG99" s="7">
        <v>45618</v>
      </c>
      <c r="AH99">
        <v>3.3809999999999998</v>
      </c>
      <c r="AI99">
        <v>3.3069999999999999</v>
      </c>
      <c r="AJ99">
        <v>3.1949999999999998</v>
      </c>
      <c r="AK99">
        <v>3.1379999999999999</v>
      </c>
      <c r="AL99">
        <v>3.0979999999999999</v>
      </c>
      <c r="AM99" s="6">
        <v>2.988</v>
      </c>
      <c r="AN99" s="6">
        <v>3.0209999999999999</v>
      </c>
      <c r="AO99">
        <v>3.0779999999999998</v>
      </c>
      <c r="AP99" s="7">
        <v>45618</v>
      </c>
      <c r="AQ99">
        <v>3.4969999999999999</v>
      </c>
      <c r="AR99">
        <v>3.4239999999999999</v>
      </c>
      <c r="AS99">
        <v>3.3210000000000002</v>
      </c>
      <c r="AT99">
        <v>3.3239999999999998</v>
      </c>
      <c r="AU99">
        <v>3.355</v>
      </c>
      <c r="AV99" s="6">
        <v>3.3860000000000001</v>
      </c>
      <c r="AW99" s="6">
        <v>3.4350000000000001</v>
      </c>
      <c r="AX99">
        <v>3.53</v>
      </c>
      <c r="AY99" s="7">
        <v>45618</v>
      </c>
      <c r="AZ99">
        <v>3.3959999999999999</v>
      </c>
      <c r="BA99">
        <v>3.294</v>
      </c>
      <c r="BB99">
        <v>3.2040000000000002</v>
      </c>
      <c r="BC99">
        <v>3.15</v>
      </c>
      <c r="BD99">
        <v>3.1429999999999998</v>
      </c>
      <c r="BE99" s="6">
        <v>3.0859999999999999</v>
      </c>
      <c r="BF99" s="6">
        <v>3.1110000000000002</v>
      </c>
      <c r="BG99">
        <v>3.129</v>
      </c>
      <c r="BH99" s="7">
        <v>45618</v>
      </c>
      <c r="BI99">
        <v>3.339</v>
      </c>
      <c r="BJ99">
        <v>3.2250000000000001</v>
      </c>
      <c r="BK99">
        <v>3.1160000000000001</v>
      </c>
      <c r="BL99">
        <v>3.0870000000000002</v>
      </c>
      <c r="BM99">
        <v>3.073</v>
      </c>
      <c r="BN99" s="6">
        <v>2.9860000000000002</v>
      </c>
      <c r="BO99" s="6">
        <v>3.016</v>
      </c>
      <c r="BP99">
        <v>3.077</v>
      </c>
      <c r="BQ99" s="7">
        <v>45618</v>
      </c>
      <c r="BR99">
        <v>3.6429999999999998</v>
      </c>
      <c r="BS99">
        <v>3.581</v>
      </c>
      <c r="BT99">
        <v>3.5089999999999999</v>
      </c>
      <c r="BU99">
        <v>3.5049999999999999</v>
      </c>
      <c r="BV99">
        <v>3.5169999999999999</v>
      </c>
      <c r="BW99" s="6">
        <v>3.4620000000000002</v>
      </c>
      <c r="BX99" s="6">
        <v>3.4929999999999999</v>
      </c>
      <c r="BY99">
        <v>3.528</v>
      </c>
      <c r="BZ99" s="7">
        <v>45618</v>
      </c>
      <c r="CA99">
        <v>3.1059999999999999</v>
      </c>
      <c r="CB99">
        <v>3.0960000000000001</v>
      </c>
      <c r="CC99">
        <v>3.028</v>
      </c>
      <c r="CD99">
        <v>2.9660000000000002</v>
      </c>
      <c r="CE99">
        <v>3.0139999999999998</v>
      </c>
      <c r="CF99" s="6">
        <v>3.0350000000000001</v>
      </c>
      <c r="CG99" s="6">
        <v>3.0659999999999998</v>
      </c>
      <c r="CH99">
        <v>3.1070000000000002</v>
      </c>
    </row>
    <row r="100" spans="2:86">
      <c r="B100" s="7">
        <v>45617</v>
      </c>
      <c r="C100">
        <v>2.9430000000000001</v>
      </c>
      <c r="D100">
        <v>2.9350000000000001</v>
      </c>
      <c r="E100">
        <v>2.871</v>
      </c>
      <c r="F100">
        <v>2.8650000000000002</v>
      </c>
      <c r="G100">
        <v>2.8929999999999998</v>
      </c>
      <c r="H100">
        <v>2.83</v>
      </c>
      <c r="I100" s="6">
        <v>2.91</v>
      </c>
      <c r="J100" s="6">
        <v>2.8849999999999998</v>
      </c>
      <c r="K100" s="6">
        <v>3.0089999999999999</v>
      </c>
      <c r="L100" s="6">
        <v>2.98</v>
      </c>
      <c r="M100" s="6">
        <v>2.899</v>
      </c>
      <c r="N100" s="6">
        <v>2.855</v>
      </c>
      <c r="O100" s="7">
        <v>45617</v>
      </c>
      <c r="P100">
        <v>2.9350000000000001</v>
      </c>
      <c r="Q100">
        <v>2.867</v>
      </c>
      <c r="R100">
        <v>2.8260000000000001</v>
      </c>
      <c r="S100">
        <v>2.923</v>
      </c>
      <c r="T100">
        <v>2.8919999999999999</v>
      </c>
      <c r="U100" s="6">
        <v>2.9</v>
      </c>
      <c r="V100" s="6">
        <v>0</v>
      </c>
      <c r="W100">
        <v>0</v>
      </c>
      <c r="X100" s="7">
        <v>45617</v>
      </c>
      <c r="Y100">
        <v>3.0190000000000001</v>
      </c>
      <c r="Z100">
        <v>3.012</v>
      </c>
      <c r="AA100">
        <v>2.9460000000000002</v>
      </c>
      <c r="AB100">
        <v>2.8780000000000001</v>
      </c>
      <c r="AC100">
        <v>2.948</v>
      </c>
      <c r="AD100" s="6">
        <v>2.9279999999999999</v>
      </c>
      <c r="AE100" s="6">
        <v>2.9590000000000001</v>
      </c>
      <c r="AF100">
        <v>3.05</v>
      </c>
      <c r="AG100" s="7">
        <v>45617</v>
      </c>
      <c r="AH100">
        <v>3.38</v>
      </c>
      <c r="AI100">
        <v>3.31</v>
      </c>
      <c r="AJ100">
        <v>3.2029999999999998</v>
      </c>
      <c r="AK100">
        <v>3.1440000000000001</v>
      </c>
      <c r="AL100">
        <v>3.113</v>
      </c>
      <c r="AM100" s="6">
        <v>3.0009999999999999</v>
      </c>
      <c r="AN100" s="6">
        <v>3.028</v>
      </c>
      <c r="AO100">
        <v>3.0859999999999999</v>
      </c>
      <c r="AP100" s="7">
        <v>45617</v>
      </c>
      <c r="AQ100">
        <v>3.4940000000000002</v>
      </c>
      <c r="AR100">
        <v>3.43</v>
      </c>
      <c r="AS100">
        <v>3.3279999999999998</v>
      </c>
      <c r="AT100">
        <v>3.327</v>
      </c>
      <c r="AU100">
        <v>3.3620000000000001</v>
      </c>
      <c r="AV100" s="6">
        <v>3.3969999999999998</v>
      </c>
      <c r="AW100" s="6">
        <v>3.4430000000000001</v>
      </c>
      <c r="AX100">
        <v>3.5379999999999998</v>
      </c>
      <c r="AY100" s="7">
        <v>45617</v>
      </c>
      <c r="AZ100">
        <v>3.3919999999999999</v>
      </c>
      <c r="BA100">
        <v>3.294</v>
      </c>
      <c r="BB100">
        <v>3.206</v>
      </c>
      <c r="BC100">
        <v>3.153</v>
      </c>
      <c r="BD100">
        <v>3.1539999999999999</v>
      </c>
      <c r="BE100" s="6">
        <v>3.0939999999999999</v>
      </c>
      <c r="BF100" s="6">
        <v>3.1139999999999999</v>
      </c>
      <c r="BG100">
        <v>3.1349999999999998</v>
      </c>
      <c r="BH100" s="7">
        <v>45617</v>
      </c>
      <c r="BI100">
        <v>3.3340000000000001</v>
      </c>
      <c r="BJ100">
        <v>3.226</v>
      </c>
      <c r="BK100">
        <v>3.1179999999999999</v>
      </c>
      <c r="BL100">
        <v>3.089</v>
      </c>
      <c r="BM100">
        <v>3.0870000000000002</v>
      </c>
      <c r="BN100" s="6">
        <v>2.9980000000000002</v>
      </c>
      <c r="BO100" s="6">
        <v>3.0190000000000001</v>
      </c>
      <c r="BP100">
        <v>3.0830000000000002</v>
      </c>
      <c r="BQ100" s="7">
        <v>45617</v>
      </c>
      <c r="BR100">
        <v>3.6379999999999999</v>
      </c>
      <c r="BS100">
        <v>3.581</v>
      </c>
      <c r="BT100">
        <v>3.51</v>
      </c>
      <c r="BU100">
        <v>3.508</v>
      </c>
      <c r="BV100">
        <v>3.528</v>
      </c>
      <c r="BW100" s="6">
        <v>3.47</v>
      </c>
      <c r="BX100" s="6">
        <v>3.4969999999999999</v>
      </c>
      <c r="BY100">
        <v>3.5350000000000001</v>
      </c>
      <c r="BZ100" s="7">
        <v>45617</v>
      </c>
      <c r="CA100">
        <v>3.1059999999999999</v>
      </c>
      <c r="CB100">
        <v>3.0979999999999999</v>
      </c>
      <c r="CC100">
        <v>3.028</v>
      </c>
      <c r="CD100">
        <v>2.968</v>
      </c>
      <c r="CE100">
        <v>3.0379999999999998</v>
      </c>
      <c r="CF100" s="6">
        <v>3.0470000000000002</v>
      </c>
      <c r="CG100" s="6">
        <v>3.0739999999999998</v>
      </c>
      <c r="CH100">
        <v>3.1040000000000001</v>
      </c>
    </row>
    <row r="101" spans="2:86">
      <c r="B101" s="7">
        <v>45616</v>
      </c>
      <c r="C101">
        <v>2.9460000000000002</v>
      </c>
      <c r="D101">
        <v>2.9449999999999998</v>
      </c>
      <c r="E101">
        <v>2.8879999999999999</v>
      </c>
      <c r="F101">
        <v>2.89</v>
      </c>
      <c r="G101">
        <v>2.9289999999999998</v>
      </c>
      <c r="H101">
        <v>2.875</v>
      </c>
      <c r="I101" s="6">
        <v>2.9470000000000001</v>
      </c>
      <c r="J101" s="6">
        <v>2.92</v>
      </c>
      <c r="K101" s="6">
        <v>3.0430000000000001</v>
      </c>
      <c r="L101" s="6">
        <v>3.0129999999999999</v>
      </c>
      <c r="M101" s="6">
        <v>2.96</v>
      </c>
      <c r="N101" s="6">
        <v>2.89</v>
      </c>
      <c r="O101" s="7">
        <v>45616</v>
      </c>
      <c r="P101">
        <v>2.9359999999999999</v>
      </c>
      <c r="Q101">
        <v>2.8719999999999999</v>
      </c>
      <c r="R101">
        <v>2.835</v>
      </c>
      <c r="S101">
        <v>2.95</v>
      </c>
      <c r="T101">
        <v>2.9279999999999999</v>
      </c>
      <c r="U101" s="6">
        <v>2.9430000000000001</v>
      </c>
      <c r="V101" s="6">
        <v>0</v>
      </c>
      <c r="W101">
        <v>0</v>
      </c>
      <c r="X101" s="7">
        <v>45616</v>
      </c>
      <c r="Y101">
        <v>3.0219999999999998</v>
      </c>
      <c r="Z101">
        <v>3.0209999999999999</v>
      </c>
      <c r="AA101">
        <v>2.9630000000000001</v>
      </c>
      <c r="AB101">
        <v>2.9079999999999999</v>
      </c>
      <c r="AC101">
        <v>2.984</v>
      </c>
      <c r="AD101" s="6">
        <v>2.9710000000000001</v>
      </c>
      <c r="AE101" s="6">
        <v>2.9950000000000001</v>
      </c>
      <c r="AF101">
        <v>3.0739999999999998</v>
      </c>
      <c r="AG101" s="7">
        <v>45616</v>
      </c>
      <c r="AH101">
        <v>3.38</v>
      </c>
      <c r="AI101">
        <v>3.3170000000000002</v>
      </c>
      <c r="AJ101">
        <v>3.2130000000000001</v>
      </c>
      <c r="AK101">
        <v>3.1680000000000001</v>
      </c>
      <c r="AL101">
        <v>3.1440000000000001</v>
      </c>
      <c r="AM101" s="6">
        <v>3.044</v>
      </c>
      <c r="AN101" s="6">
        <v>3.0640000000000001</v>
      </c>
      <c r="AO101">
        <v>3.121</v>
      </c>
      <c r="AP101" s="7">
        <v>45616</v>
      </c>
      <c r="AQ101">
        <v>3.4940000000000002</v>
      </c>
      <c r="AR101">
        <v>3.4350000000000001</v>
      </c>
      <c r="AS101">
        <v>3.3359999999999999</v>
      </c>
      <c r="AT101">
        <v>3.35</v>
      </c>
      <c r="AU101">
        <v>3.3969999999999998</v>
      </c>
      <c r="AV101" s="6">
        <v>3.4359999999999999</v>
      </c>
      <c r="AW101" s="6">
        <v>3.4790000000000001</v>
      </c>
      <c r="AX101">
        <v>3.573</v>
      </c>
      <c r="AY101" s="7">
        <v>45616</v>
      </c>
      <c r="AZ101">
        <v>3.3820000000000001</v>
      </c>
      <c r="BA101">
        <v>3.2909999999999999</v>
      </c>
      <c r="BB101">
        <v>3.2109999999999999</v>
      </c>
      <c r="BC101">
        <v>3.1779999999999999</v>
      </c>
      <c r="BD101">
        <v>3.1890000000000001</v>
      </c>
      <c r="BE101" s="6">
        <v>3.1339999999999999</v>
      </c>
      <c r="BF101" s="6">
        <v>3.1480000000000001</v>
      </c>
      <c r="BG101">
        <v>3.1669999999999998</v>
      </c>
      <c r="BH101" s="7">
        <v>45616</v>
      </c>
      <c r="BI101">
        <v>3.3239999999999998</v>
      </c>
      <c r="BJ101">
        <v>3.2229999999999999</v>
      </c>
      <c r="BK101">
        <v>3.1240000000000001</v>
      </c>
      <c r="BL101">
        <v>3.1139999999999999</v>
      </c>
      <c r="BM101">
        <v>3.1219999999999999</v>
      </c>
      <c r="BN101" s="6">
        <v>3.04</v>
      </c>
      <c r="BO101" s="6">
        <v>3.056</v>
      </c>
      <c r="BP101">
        <v>3.1179999999999999</v>
      </c>
      <c r="BQ101" s="7">
        <v>45616</v>
      </c>
      <c r="BR101">
        <v>3.63</v>
      </c>
      <c r="BS101">
        <v>3.58</v>
      </c>
      <c r="BT101">
        <v>3.5179999999999998</v>
      </c>
      <c r="BU101">
        <v>3.5339999999999998</v>
      </c>
      <c r="BV101">
        <v>3.5640000000000001</v>
      </c>
      <c r="BW101" s="6">
        <v>3.512</v>
      </c>
      <c r="BX101" s="6">
        <v>3.53</v>
      </c>
      <c r="BY101">
        <v>3.5680000000000001</v>
      </c>
      <c r="BZ101" s="7">
        <v>45616</v>
      </c>
      <c r="CA101">
        <v>3.109</v>
      </c>
      <c r="CB101">
        <v>3.1070000000000002</v>
      </c>
      <c r="CC101">
        <v>3.044</v>
      </c>
      <c r="CD101">
        <v>2.9969999999999999</v>
      </c>
      <c r="CE101">
        <v>3.073</v>
      </c>
      <c r="CF101" s="6">
        <v>3.089</v>
      </c>
      <c r="CG101" s="6">
        <v>3.1110000000000002</v>
      </c>
      <c r="CH101">
        <v>3.1280000000000001</v>
      </c>
    </row>
    <row r="102" spans="2:86">
      <c r="B102" s="7">
        <v>45615</v>
      </c>
      <c r="C102">
        <v>2.9430000000000001</v>
      </c>
      <c r="D102">
        <v>2.9460000000000002</v>
      </c>
      <c r="E102">
        <v>2.891</v>
      </c>
      <c r="F102">
        <v>2.8959999999999999</v>
      </c>
      <c r="G102">
        <v>2.9380000000000002</v>
      </c>
      <c r="H102">
        <v>2.887</v>
      </c>
      <c r="I102" s="6">
        <v>2.96</v>
      </c>
      <c r="J102" s="6">
        <v>2.9350000000000001</v>
      </c>
      <c r="K102" s="6">
        <v>3.0609999999999999</v>
      </c>
      <c r="L102" s="6">
        <v>3.0350000000000001</v>
      </c>
      <c r="M102" s="6">
        <v>2.9830000000000001</v>
      </c>
      <c r="N102" s="6">
        <v>2.91</v>
      </c>
      <c r="O102" s="7">
        <v>45615</v>
      </c>
      <c r="P102">
        <v>2.9380000000000002</v>
      </c>
      <c r="Q102">
        <v>2.875</v>
      </c>
      <c r="R102">
        <v>2.8410000000000002</v>
      </c>
      <c r="S102">
        <v>2.9540000000000002</v>
      </c>
      <c r="T102">
        <v>2.94</v>
      </c>
      <c r="U102" s="6">
        <v>2.96</v>
      </c>
      <c r="V102" s="6">
        <v>0</v>
      </c>
      <c r="W102">
        <v>0</v>
      </c>
      <c r="X102" s="7">
        <v>45615</v>
      </c>
      <c r="Y102">
        <v>3.0209999999999999</v>
      </c>
      <c r="Z102">
        <v>3.0219999999999998</v>
      </c>
      <c r="AA102">
        <v>2.9660000000000002</v>
      </c>
      <c r="AB102">
        <v>2.9119999999999999</v>
      </c>
      <c r="AC102">
        <v>2.9929999999999999</v>
      </c>
      <c r="AD102" s="6">
        <v>2.9820000000000002</v>
      </c>
      <c r="AE102" s="6">
        <v>3.0089999999999999</v>
      </c>
      <c r="AF102">
        <v>3.09</v>
      </c>
      <c r="AG102" s="7">
        <v>45615</v>
      </c>
      <c r="AH102">
        <v>3.38</v>
      </c>
      <c r="AI102">
        <v>3.3170000000000002</v>
      </c>
      <c r="AJ102">
        <v>3.2149999999999999</v>
      </c>
      <c r="AK102">
        <v>3.17</v>
      </c>
      <c r="AL102">
        <v>3.1549999999999998</v>
      </c>
      <c r="AM102" s="6">
        <v>3.0550000000000002</v>
      </c>
      <c r="AN102" s="6">
        <v>3.0779999999999998</v>
      </c>
      <c r="AO102">
        <v>3.1349999999999998</v>
      </c>
      <c r="AP102" s="7">
        <v>45615</v>
      </c>
      <c r="AQ102">
        <v>3.492</v>
      </c>
      <c r="AR102">
        <v>3.4380000000000002</v>
      </c>
      <c r="AS102">
        <v>3.3380000000000001</v>
      </c>
      <c r="AT102">
        <v>3.3530000000000002</v>
      </c>
      <c r="AU102">
        <v>3.41</v>
      </c>
      <c r="AV102" s="6">
        <v>3.448</v>
      </c>
      <c r="AW102" s="6">
        <v>3.4929999999999999</v>
      </c>
      <c r="AX102">
        <v>3.5880000000000001</v>
      </c>
      <c r="AY102" s="7">
        <v>45615</v>
      </c>
      <c r="AZ102">
        <v>3.3820000000000001</v>
      </c>
      <c r="BA102">
        <v>3.2919999999999998</v>
      </c>
      <c r="BB102">
        <v>3.2160000000000002</v>
      </c>
      <c r="BC102">
        <v>3.1779999999999999</v>
      </c>
      <c r="BD102">
        <v>3.202</v>
      </c>
      <c r="BE102" s="6">
        <v>3.1459999999999999</v>
      </c>
      <c r="BF102" s="6">
        <v>3.1640000000000001</v>
      </c>
      <c r="BG102">
        <v>3.1819999999999999</v>
      </c>
      <c r="BH102" s="7">
        <v>45615</v>
      </c>
      <c r="BI102">
        <v>3.3239999999999998</v>
      </c>
      <c r="BJ102">
        <v>3.2240000000000002</v>
      </c>
      <c r="BK102">
        <v>3.129</v>
      </c>
      <c r="BL102">
        <v>3.1139999999999999</v>
      </c>
      <c r="BM102">
        <v>3.1339999999999999</v>
      </c>
      <c r="BN102" s="6">
        <v>3.052</v>
      </c>
      <c r="BO102" s="6">
        <v>3.0720000000000001</v>
      </c>
      <c r="BP102">
        <v>3.133</v>
      </c>
      <c r="BQ102" s="7">
        <v>45615</v>
      </c>
      <c r="BR102">
        <v>3.63</v>
      </c>
      <c r="BS102">
        <v>3.581</v>
      </c>
      <c r="BT102">
        <v>3.5230000000000001</v>
      </c>
      <c r="BU102">
        <v>3.5310000000000001</v>
      </c>
      <c r="BV102">
        <v>3.5760000000000001</v>
      </c>
      <c r="BW102" s="6">
        <v>3.524</v>
      </c>
      <c r="BX102" s="6">
        <v>3.5459999999999998</v>
      </c>
      <c r="BY102">
        <v>3.5830000000000002</v>
      </c>
      <c r="BZ102" s="7">
        <v>45615</v>
      </c>
      <c r="CA102">
        <v>3.1070000000000002</v>
      </c>
      <c r="CB102">
        <v>3.1080000000000001</v>
      </c>
      <c r="CC102">
        <v>3.048</v>
      </c>
      <c r="CD102">
        <v>3.0009999999999999</v>
      </c>
      <c r="CE102">
        <v>3.0830000000000002</v>
      </c>
      <c r="CF102" s="6">
        <v>3.101</v>
      </c>
      <c r="CG102" s="6">
        <v>3.1240000000000001</v>
      </c>
      <c r="CH102">
        <v>3.145</v>
      </c>
    </row>
    <row r="103" spans="2:86">
      <c r="B103" s="7">
        <v>45614</v>
      </c>
      <c r="C103">
        <v>2.948</v>
      </c>
      <c r="D103">
        <v>2.9529999999999998</v>
      </c>
      <c r="E103">
        <v>2.9009999999999998</v>
      </c>
      <c r="F103">
        <v>2.9079999999999999</v>
      </c>
      <c r="G103">
        <v>2.9620000000000002</v>
      </c>
      <c r="H103">
        <v>2.915</v>
      </c>
      <c r="I103" s="6">
        <v>2.99</v>
      </c>
      <c r="J103" s="6">
        <v>2.9649999999999999</v>
      </c>
      <c r="K103" s="6">
        <v>3.09</v>
      </c>
      <c r="L103" s="6">
        <v>3.06</v>
      </c>
      <c r="M103" s="6">
        <v>2.9990000000000001</v>
      </c>
      <c r="N103" s="6">
        <v>2.9220000000000002</v>
      </c>
      <c r="O103" s="7">
        <v>45614</v>
      </c>
      <c r="P103">
        <v>2.94</v>
      </c>
      <c r="Q103">
        <v>2.8780000000000001</v>
      </c>
      <c r="R103">
        <v>2.851</v>
      </c>
      <c r="S103">
        <v>2.97</v>
      </c>
      <c r="T103">
        <v>2.96</v>
      </c>
      <c r="U103" s="6">
        <v>2.99</v>
      </c>
      <c r="V103" s="6">
        <v>0</v>
      </c>
      <c r="W103">
        <v>0</v>
      </c>
      <c r="X103" s="7">
        <v>45614</v>
      </c>
      <c r="Y103">
        <v>3.0259999999999998</v>
      </c>
      <c r="Z103">
        <v>3.0289999999999999</v>
      </c>
      <c r="AA103">
        <v>2.976</v>
      </c>
      <c r="AB103">
        <v>2.923</v>
      </c>
      <c r="AC103">
        <v>3.0169999999999999</v>
      </c>
      <c r="AD103" s="6">
        <v>3.01</v>
      </c>
      <c r="AE103" s="6">
        <v>3.0379999999999998</v>
      </c>
      <c r="AF103">
        <v>3.1150000000000002</v>
      </c>
      <c r="AG103" s="7">
        <v>45614</v>
      </c>
      <c r="AH103">
        <v>3.383</v>
      </c>
      <c r="AI103">
        <v>3.3220000000000001</v>
      </c>
      <c r="AJ103">
        <v>3.2240000000000002</v>
      </c>
      <c r="AK103">
        <v>3.1829999999999998</v>
      </c>
      <c r="AL103">
        <v>3.1749999999999998</v>
      </c>
      <c r="AM103" s="6">
        <v>3.0819999999999999</v>
      </c>
      <c r="AN103" s="6">
        <v>3.1070000000000002</v>
      </c>
      <c r="AO103">
        <v>3.165</v>
      </c>
      <c r="AP103" s="7">
        <v>45614</v>
      </c>
      <c r="AQ103">
        <v>3.4929999999999999</v>
      </c>
      <c r="AR103">
        <v>3.4409999999999998</v>
      </c>
      <c r="AS103">
        <v>3.3450000000000002</v>
      </c>
      <c r="AT103">
        <v>3.367</v>
      </c>
      <c r="AU103">
        <v>3.4279999999999999</v>
      </c>
      <c r="AV103" s="6">
        <v>3.4750000000000001</v>
      </c>
      <c r="AW103" s="6">
        <v>3.5209999999999999</v>
      </c>
      <c r="AX103">
        <v>3.6160000000000001</v>
      </c>
      <c r="AY103" s="7">
        <v>45614</v>
      </c>
      <c r="AZ103">
        <v>3.38</v>
      </c>
      <c r="BA103">
        <v>3.2970000000000002</v>
      </c>
      <c r="BB103">
        <v>3.2269999999999999</v>
      </c>
      <c r="BC103">
        <v>3.1960000000000002</v>
      </c>
      <c r="BD103">
        <v>3.222</v>
      </c>
      <c r="BE103" s="6">
        <v>3.1720000000000002</v>
      </c>
      <c r="BF103" s="6">
        <v>3.1930000000000001</v>
      </c>
      <c r="BG103">
        <v>3.2120000000000002</v>
      </c>
      <c r="BH103" s="7">
        <v>45614</v>
      </c>
      <c r="BI103">
        <v>3.3220000000000001</v>
      </c>
      <c r="BJ103">
        <v>3.2290000000000001</v>
      </c>
      <c r="BK103">
        <v>3.1379999999999999</v>
      </c>
      <c r="BL103">
        <v>3.1320000000000001</v>
      </c>
      <c r="BM103">
        <v>3.1539999999999999</v>
      </c>
      <c r="BN103" s="6">
        <v>3.0779999999999998</v>
      </c>
      <c r="BO103" s="6">
        <v>3.1</v>
      </c>
      <c r="BP103">
        <v>3.1619999999999999</v>
      </c>
      <c r="BQ103" s="7">
        <v>45614</v>
      </c>
      <c r="BR103">
        <v>3.6280000000000001</v>
      </c>
      <c r="BS103">
        <v>3.5859999999999999</v>
      </c>
      <c r="BT103">
        <v>3.532</v>
      </c>
      <c r="BU103">
        <v>3.5489999999999999</v>
      </c>
      <c r="BV103">
        <v>3.5960000000000001</v>
      </c>
      <c r="BW103" s="6">
        <v>3.55</v>
      </c>
      <c r="BX103" s="6">
        <v>3.5760000000000001</v>
      </c>
      <c r="BY103">
        <v>3.613</v>
      </c>
      <c r="BZ103" s="7">
        <v>45614</v>
      </c>
      <c r="CA103">
        <v>3.1120000000000001</v>
      </c>
      <c r="CB103">
        <v>3.1150000000000002</v>
      </c>
      <c r="CC103">
        <v>3.0579999999999998</v>
      </c>
      <c r="CD103">
        <v>3.0129999999999999</v>
      </c>
      <c r="CE103">
        <v>3.1059999999999999</v>
      </c>
      <c r="CF103" s="6">
        <v>3.129</v>
      </c>
      <c r="CG103" s="6">
        <v>3.1539999999999999</v>
      </c>
      <c r="CH103">
        <v>3.169</v>
      </c>
    </row>
    <row r="104" spans="2:86">
      <c r="B104" s="7">
        <v>45611</v>
      </c>
      <c r="C104">
        <v>2.96</v>
      </c>
      <c r="D104">
        <v>2.9710000000000001</v>
      </c>
      <c r="E104">
        <v>2.903</v>
      </c>
      <c r="F104">
        <v>2.9209999999999998</v>
      </c>
      <c r="G104">
        <v>2.9750000000000001</v>
      </c>
      <c r="H104">
        <v>2.9369999999999998</v>
      </c>
      <c r="I104" s="6">
        <v>3.0110000000000001</v>
      </c>
      <c r="J104" s="6">
        <v>2.99</v>
      </c>
      <c r="K104" s="6">
        <v>3.113</v>
      </c>
      <c r="L104" s="6">
        <v>3.08</v>
      </c>
      <c r="M104" s="6">
        <v>3.004</v>
      </c>
      <c r="N104" s="6">
        <v>2.92</v>
      </c>
      <c r="O104" s="7">
        <v>45611</v>
      </c>
      <c r="P104">
        <v>2.9409999999999998</v>
      </c>
      <c r="Q104">
        <v>2.8809999999999998</v>
      </c>
      <c r="R104">
        <v>2.8580000000000001</v>
      </c>
      <c r="S104">
        <v>2.98</v>
      </c>
      <c r="T104">
        <v>2.976</v>
      </c>
      <c r="U104" s="6">
        <v>2.99</v>
      </c>
      <c r="V104" s="6">
        <v>0</v>
      </c>
      <c r="W104">
        <v>0</v>
      </c>
      <c r="X104" s="7">
        <v>45611</v>
      </c>
      <c r="Y104">
        <v>3.0369999999999999</v>
      </c>
      <c r="Z104">
        <v>3.044</v>
      </c>
      <c r="AA104">
        <v>2.9780000000000002</v>
      </c>
      <c r="AB104">
        <v>2.9369999999999998</v>
      </c>
      <c r="AC104">
        <v>3.03</v>
      </c>
      <c r="AD104" s="6">
        <v>3.032</v>
      </c>
      <c r="AE104" s="6">
        <v>3.0590000000000002</v>
      </c>
      <c r="AF104">
        <v>3.1360000000000001</v>
      </c>
      <c r="AG104" s="7">
        <v>45611</v>
      </c>
      <c r="AH104">
        <v>3.3839999999999999</v>
      </c>
      <c r="AI104">
        <v>3.3260000000000001</v>
      </c>
      <c r="AJ104">
        <v>3.2320000000000002</v>
      </c>
      <c r="AK104">
        <v>3.1930000000000001</v>
      </c>
      <c r="AL104">
        <v>3.19</v>
      </c>
      <c r="AM104" s="6">
        <v>3.1030000000000002</v>
      </c>
      <c r="AN104" s="6">
        <v>3.1280000000000001</v>
      </c>
      <c r="AO104">
        <v>3.19</v>
      </c>
      <c r="AP104" s="7">
        <v>45611</v>
      </c>
      <c r="AQ104">
        <v>3.4929999999999999</v>
      </c>
      <c r="AR104">
        <v>3.4430000000000001</v>
      </c>
      <c r="AS104">
        <v>3.3479999999999999</v>
      </c>
      <c r="AT104">
        <v>3.3759999999999999</v>
      </c>
      <c r="AU104">
        <v>3.4460000000000002</v>
      </c>
      <c r="AV104" s="6">
        <v>3.5009999999999999</v>
      </c>
      <c r="AW104" s="6">
        <v>3.5459999999999998</v>
      </c>
      <c r="AX104">
        <v>3.6440000000000001</v>
      </c>
      <c r="AY104" s="7">
        <v>45611</v>
      </c>
      <c r="AZ104">
        <v>3.38</v>
      </c>
      <c r="BA104">
        <v>3.302</v>
      </c>
      <c r="BB104">
        <v>3.234</v>
      </c>
      <c r="BC104">
        <v>3.206</v>
      </c>
      <c r="BD104">
        <v>3.24</v>
      </c>
      <c r="BE104" s="6">
        <v>3.1930000000000001</v>
      </c>
      <c r="BF104" s="6">
        <v>3.214</v>
      </c>
      <c r="BG104">
        <v>3.2349999999999999</v>
      </c>
      <c r="BH104" s="7">
        <v>45611</v>
      </c>
      <c r="BI104">
        <v>3.3220000000000001</v>
      </c>
      <c r="BJ104">
        <v>3.234</v>
      </c>
      <c r="BK104">
        <v>3.145</v>
      </c>
      <c r="BL104">
        <v>3.1419999999999999</v>
      </c>
      <c r="BM104">
        <v>3.1720000000000002</v>
      </c>
      <c r="BN104" s="6">
        <v>3.0990000000000002</v>
      </c>
      <c r="BO104" s="6">
        <v>3.121</v>
      </c>
      <c r="BP104">
        <v>3.1850000000000001</v>
      </c>
      <c r="BQ104" s="7">
        <v>45611</v>
      </c>
      <c r="BR104">
        <v>3.6280000000000001</v>
      </c>
      <c r="BS104">
        <v>3.5910000000000002</v>
      </c>
      <c r="BT104">
        <v>3.5390000000000001</v>
      </c>
      <c r="BU104">
        <v>3.5590000000000002</v>
      </c>
      <c r="BV104">
        <v>3.6139999999999999</v>
      </c>
      <c r="BW104" s="6">
        <v>3.5710000000000002</v>
      </c>
      <c r="BX104" s="6">
        <v>3.5960000000000001</v>
      </c>
      <c r="BY104">
        <v>3.6360000000000001</v>
      </c>
      <c r="BZ104" s="7">
        <v>45611</v>
      </c>
      <c r="CA104">
        <v>3.1240000000000001</v>
      </c>
      <c r="CB104">
        <v>3.13</v>
      </c>
      <c r="CC104">
        <v>3.0590000000000002</v>
      </c>
      <c r="CD104">
        <v>3.0259999999999998</v>
      </c>
      <c r="CE104">
        <v>3.1190000000000002</v>
      </c>
      <c r="CF104" s="6">
        <v>3.1509999999999998</v>
      </c>
      <c r="CG104" s="6">
        <v>3.1749999999999998</v>
      </c>
      <c r="CH104">
        <v>3.19</v>
      </c>
    </row>
    <row r="105" spans="2:86">
      <c r="B105" s="7">
        <v>45610</v>
      </c>
      <c r="C105">
        <v>2.9630000000000001</v>
      </c>
      <c r="D105">
        <v>2.9649999999999999</v>
      </c>
      <c r="E105">
        <v>2.89</v>
      </c>
      <c r="F105">
        <v>2.91</v>
      </c>
      <c r="G105">
        <v>2.9550000000000001</v>
      </c>
      <c r="H105">
        <v>2.927</v>
      </c>
      <c r="I105" s="6">
        <v>3.0049999999999999</v>
      </c>
      <c r="J105" s="6">
        <v>2.984</v>
      </c>
      <c r="K105" s="6">
        <v>3.1070000000000002</v>
      </c>
      <c r="L105" s="6">
        <v>3.0750000000000002</v>
      </c>
      <c r="M105" s="6">
        <v>3.0019999999999998</v>
      </c>
      <c r="N105" s="6">
        <v>2.92</v>
      </c>
      <c r="O105" s="7">
        <v>45610</v>
      </c>
      <c r="P105">
        <v>2.94</v>
      </c>
      <c r="Q105">
        <v>2.8780000000000001</v>
      </c>
      <c r="R105">
        <v>2.8530000000000002</v>
      </c>
      <c r="S105">
        <v>2.97</v>
      </c>
      <c r="T105">
        <v>2.9649999999999999</v>
      </c>
      <c r="U105" s="6">
        <v>2.98</v>
      </c>
      <c r="V105" s="6">
        <v>0</v>
      </c>
      <c r="W105">
        <v>0</v>
      </c>
      <c r="X105" s="7">
        <v>45610</v>
      </c>
      <c r="Y105">
        <v>3.0409999999999999</v>
      </c>
      <c r="Z105">
        <v>3.0369999999999999</v>
      </c>
      <c r="AA105">
        <v>2.9649999999999999</v>
      </c>
      <c r="AB105">
        <v>2.9249999999999998</v>
      </c>
      <c r="AC105">
        <v>3.01</v>
      </c>
      <c r="AD105" s="6">
        <v>3.0219999999999998</v>
      </c>
      <c r="AE105" s="6">
        <v>3.0529999999999999</v>
      </c>
      <c r="AF105">
        <v>3.13</v>
      </c>
      <c r="AG105" s="7">
        <v>45610</v>
      </c>
      <c r="AH105">
        <v>3.3820000000000001</v>
      </c>
      <c r="AI105">
        <v>3.3220000000000001</v>
      </c>
      <c r="AJ105">
        <v>3.2240000000000002</v>
      </c>
      <c r="AK105">
        <v>3.1840000000000002</v>
      </c>
      <c r="AL105">
        <v>3.1789999999999998</v>
      </c>
      <c r="AM105" s="6">
        <v>3.0950000000000002</v>
      </c>
      <c r="AN105" s="6">
        <v>3.1219999999999999</v>
      </c>
      <c r="AO105">
        <v>3.1840000000000002</v>
      </c>
      <c r="AP105" s="7">
        <v>45610</v>
      </c>
      <c r="AQ105">
        <v>3.4910000000000001</v>
      </c>
      <c r="AR105">
        <v>3.4409999999999998</v>
      </c>
      <c r="AS105">
        <v>3.343</v>
      </c>
      <c r="AT105">
        <v>3.3610000000000002</v>
      </c>
      <c r="AU105">
        <v>3.4350000000000001</v>
      </c>
      <c r="AV105" s="6">
        <v>3.4940000000000002</v>
      </c>
      <c r="AW105" s="6">
        <v>3.5379999999999998</v>
      </c>
      <c r="AX105">
        <v>3.6379999999999999</v>
      </c>
      <c r="AY105" s="7">
        <v>45610</v>
      </c>
      <c r="AZ105">
        <v>3.3730000000000002</v>
      </c>
      <c r="BA105">
        <v>3.29</v>
      </c>
      <c r="BB105">
        <v>3.22</v>
      </c>
      <c r="BC105">
        <v>3.1930000000000001</v>
      </c>
      <c r="BD105">
        <v>3.222</v>
      </c>
      <c r="BE105" s="6">
        <v>3.1779999999999999</v>
      </c>
      <c r="BF105" s="6">
        <v>3.2010000000000001</v>
      </c>
      <c r="BG105">
        <v>3.2290000000000001</v>
      </c>
      <c r="BH105" s="7">
        <v>45610</v>
      </c>
      <c r="BI105">
        <v>3.3159999999999998</v>
      </c>
      <c r="BJ105">
        <v>3.222</v>
      </c>
      <c r="BK105">
        <v>3.13</v>
      </c>
      <c r="BL105">
        <v>3.129</v>
      </c>
      <c r="BM105">
        <v>3.1539999999999999</v>
      </c>
      <c r="BN105" s="6">
        <v>3.0880000000000001</v>
      </c>
      <c r="BO105" s="6">
        <v>3.11</v>
      </c>
      <c r="BP105">
        <v>3.18</v>
      </c>
      <c r="BQ105" s="7">
        <v>45610</v>
      </c>
      <c r="BR105">
        <v>3.6230000000000002</v>
      </c>
      <c r="BS105">
        <v>3.581</v>
      </c>
      <c r="BT105">
        <v>3.5259999999999998</v>
      </c>
      <c r="BU105">
        <v>3.548</v>
      </c>
      <c r="BV105">
        <v>3.5979999999999999</v>
      </c>
      <c r="BW105" s="6">
        <v>3.5609999999999999</v>
      </c>
      <c r="BX105" s="6">
        <v>3.5859999999999999</v>
      </c>
      <c r="BY105">
        <v>3.6309999999999998</v>
      </c>
      <c r="BZ105" s="7">
        <v>45610</v>
      </c>
      <c r="CA105">
        <v>3.1269999999999998</v>
      </c>
      <c r="CB105">
        <v>3.1230000000000002</v>
      </c>
      <c r="CC105">
        <v>3.0459999999999998</v>
      </c>
      <c r="CD105">
        <v>3.0139999999999998</v>
      </c>
      <c r="CE105">
        <v>3.0990000000000002</v>
      </c>
      <c r="CF105" s="6">
        <v>3.141</v>
      </c>
      <c r="CG105" s="6">
        <v>3.169</v>
      </c>
      <c r="CH105">
        <v>3.1840000000000002</v>
      </c>
    </row>
    <row r="106" spans="2:86">
      <c r="B106" s="7">
        <v>45609</v>
      </c>
      <c r="C106">
        <v>2.9630000000000001</v>
      </c>
      <c r="D106">
        <v>2.9769999999999999</v>
      </c>
      <c r="E106">
        <v>2.8809999999999998</v>
      </c>
      <c r="F106">
        <v>2.93</v>
      </c>
      <c r="G106">
        <v>2.98</v>
      </c>
      <c r="H106">
        <v>2.9420000000000002</v>
      </c>
      <c r="I106" s="6">
        <v>3.0139999999999998</v>
      </c>
      <c r="J106" s="6">
        <v>2.9849999999999999</v>
      </c>
      <c r="K106" s="6">
        <v>3.1019999999999999</v>
      </c>
      <c r="L106" s="6">
        <v>3.0619999999999998</v>
      </c>
      <c r="M106" s="6">
        <v>2.9860000000000002</v>
      </c>
      <c r="N106" s="6">
        <v>2.9</v>
      </c>
      <c r="O106" s="7">
        <v>45609</v>
      </c>
      <c r="P106">
        <v>2.94</v>
      </c>
      <c r="Q106">
        <v>2.8780000000000001</v>
      </c>
      <c r="R106">
        <v>2.851</v>
      </c>
      <c r="S106">
        <v>2.9830000000000001</v>
      </c>
      <c r="T106">
        <v>2.9780000000000002</v>
      </c>
      <c r="U106" s="6">
        <v>2.9950000000000001</v>
      </c>
      <c r="V106" s="6">
        <v>0</v>
      </c>
      <c r="W106">
        <v>0</v>
      </c>
      <c r="X106" s="7">
        <v>45609</v>
      </c>
      <c r="Y106">
        <v>3.0409999999999999</v>
      </c>
      <c r="Z106">
        <v>3.05</v>
      </c>
      <c r="AA106">
        <v>2.956</v>
      </c>
      <c r="AB106">
        <v>2.9449999999999998</v>
      </c>
      <c r="AC106">
        <v>3.0310000000000001</v>
      </c>
      <c r="AD106" s="6">
        <v>3.0369999999999999</v>
      </c>
      <c r="AE106" s="6">
        <v>3.0649999999999999</v>
      </c>
      <c r="AF106">
        <v>3.1349999999999998</v>
      </c>
      <c r="AG106" s="7">
        <v>45609</v>
      </c>
      <c r="AH106">
        <v>3.379</v>
      </c>
      <c r="AI106">
        <v>3.3210000000000002</v>
      </c>
      <c r="AJ106">
        <v>3.2229999999999999</v>
      </c>
      <c r="AK106">
        <v>3.194</v>
      </c>
      <c r="AL106">
        <v>3.1920000000000002</v>
      </c>
      <c r="AM106" s="6">
        <v>3.11</v>
      </c>
      <c r="AN106" s="6">
        <v>3.1309999999999998</v>
      </c>
      <c r="AO106">
        <v>3.1850000000000001</v>
      </c>
      <c r="AP106" s="7">
        <v>45609</v>
      </c>
      <c r="AQ106">
        <v>3.488</v>
      </c>
      <c r="AR106">
        <v>3.44</v>
      </c>
      <c r="AS106">
        <v>3.3380000000000001</v>
      </c>
      <c r="AT106">
        <v>3.371</v>
      </c>
      <c r="AU106">
        <v>3.4449999999999998</v>
      </c>
      <c r="AV106" s="6">
        <v>3.5070000000000001</v>
      </c>
      <c r="AW106" s="6">
        <v>3.5459999999999998</v>
      </c>
      <c r="AX106">
        <v>3.6389999999999998</v>
      </c>
      <c r="AY106" s="7">
        <v>45609</v>
      </c>
      <c r="AZ106">
        <v>3.3650000000000002</v>
      </c>
      <c r="BA106">
        <v>3.2839999999999998</v>
      </c>
      <c r="BB106">
        <v>3.2160000000000002</v>
      </c>
      <c r="BC106">
        <v>3.206</v>
      </c>
      <c r="BD106">
        <v>3.2349999999999999</v>
      </c>
      <c r="BE106" s="6">
        <v>3.1930000000000001</v>
      </c>
      <c r="BF106" s="6">
        <v>3.21</v>
      </c>
      <c r="BG106">
        <v>3.2309999999999999</v>
      </c>
      <c r="BH106" s="7">
        <v>45609</v>
      </c>
      <c r="BI106">
        <v>3.3069999999999999</v>
      </c>
      <c r="BJ106">
        <v>3.2149999999999999</v>
      </c>
      <c r="BK106">
        <v>3.125</v>
      </c>
      <c r="BL106">
        <v>3.1419999999999999</v>
      </c>
      <c r="BM106">
        <v>3.1669999999999998</v>
      </c>
      <c r="BN106" s="6">
        <v>3.1030000000000002</v>
      </c>
      <c r="BO106" s="6">
        <v>3.1190000000000002</v>
      </c>
      <c r="BP106">
        <v>3.181</v>
      </c>
      <c r="BQ106" s="7">
        <v>45609</v>
      </c>
      <c r="BR106">
        <v>3.6150000000000002</v>
      </c>
      <c r="BS106">
        <v>3.5739999999999998</v>
      </c>
      <c r="BT106">
        <v>3.5230000000000001</v>
      </c>
      <c r="BU106">
        <v>3.56</v>
      </c>
      <c r="BV106">
        <v>3.6110000000000002</v>
      </c>
      <c r="BW106" s="6">
        <v>3.5760000000000001</v>
      </c>
      <c r="BX106" s="6">
        <v>3.5950000000000002</v>
      </c>
      <c r="BY106">
        <v>3.6320000000000001</v>
      </c>
      <c r="BZ106" s="7">
        <v>45609</v>
      </c>
      <c r="CA106">
        <v>3.1269999999999998</v>
      </c>
      <c r="CB106">
        <v>3.1360000000000001</v>
      </c>
      <c r="CC106">
        <v>3.0379999999999998</v>
      </c>
      <c r="CD106">
        <v>3.0339999999999998</v>
      </c>
      <c r="CE106">
        <v>3.121</v>
      </c>
      <c r="CF106" s="6">
        <v>3.1560000000000001</v>
      </c>
      <c r="CG106" s="6">
        <v>3.1779999999999999</v>
      </c>
      <c r="CH106">
        <v>3.1890000000000001</v>
      </c>
    </row>
    <row r="107" spans="2:86">
      <c r="B107" s="7">
        <v>45608</v>
      </c>
      <c r="C107">
        <v>2.9550000000000001</v>
      </c>
      <c r="D107">
        <v>2.9580000000000002</v>
      </c>
      <c r="E107">
        <v>2.8650000000000002</v>
      </c>
      <c r="F107">
        <v>2.91</v>
      </c>
      <c r="G107">
        <v>2.9369999999999998</v>
      </c>
      <c r="H107">
        <v>2.9</v>
      </c>
      <c r="I107" s="6">
        <v>2.9630000000000001</v>
      </c>
      <c r="J107" s="6">
        <v>2.94</v>
      </c>
      <c r="K107" s="6">
        <v>3.056</v>
      </c>
      <c r="L107" s="6">
        <v>3.0150000000000001</v>
      </c>
      <c r="M107" s="6">
        <v>2.964</v>
      </c>
      <c r="N107" s="6">
        <v>2.8650000000000002</v>
      </c>
      <c r="O107" s="7">
        <v>45608</v>
      </c>
      <c r="P107">
        <v>2.93</v>
      </c>
      <c r="Q107">
        <v>2.863</v>
      </c>
      <c r="R107">
        <v>2.83</v>
      </c>
      <c r="S107">
        <v>2.9649999999999999</v>
      </c>
      <c r="T107">
        <v>2.9460000000000002</v>
      </c>
      <c r="U107" s="6">
        <v>2.9540000000000002</v>
      </c>
      <c r="V107" s="6">
        <v>0</v>
      </c>
      <c r="W107">
        <v>0</v>
      </c>
      <c r="X107" s="7">
        <v>45608</v>
      </c>
      <c r="Y107">
        <v>3.032</v>
      </c>
      <c r="Z107">
        <v>3.0310000000000001</v>
      </c>
      <c r="AA107">
        <v>2.9430000000000001</v>
      </c>
      <c r="AB107">
        <v>2.92</v>
      </c>
      <c r="AC107">
        <v>2.988</v>
      </c>
      <c r="AD107" s="6">
        <v>2.9950000000000001</v>
      </c>
      <c r="AE107" s="6">
        <v>3.0150000000000001</v>
      </c>
      <c r="AF107">
        <v>3.09</v>
      </c>
      <c r="AG107" s="7">
        <v>45608</v>
      </c>
      <c r="AH107">
        <v>3.3690000000000002</v>
      </c>
      <c r="AI107">
        <v>3.3079999999999998</v>
      </c>
      <c r="AJ107">
        <v>3.2029999999999998</v>
      </c>
      <c r="AK107">
        <v>3.1739999999999999</v>
      </c>
      <c r="AL107">
        <v>3.161</v>
      </c>
      <c r="AM107" s="6">
        <v>3.069</v>
      </c>
      <c r="AN107" s="6">
        <v>3.0779999999999998</v>
      </c>
      <c r="AO107">
        <v>3.1379999999999999</v>
      </c>
      <c r="AP107" s="7">
        <v>45608</v>
      </c>
      <c r="AQ107">
        <v>3.48</v>
      </c>
      <c r="AR107">
        <v>3.4279999999999999</v>
      </c>
      <c r="AS107">
        <v>3.3180000000000001</v>
      </c>
      <c r="AT107">
        <v>3.3519999999999999</v>
      </c>
      <c r="AU107">
        <v>3.415</v>
      </c>
      <c r="AV107" s="6">
        <v>3.4649999999999999</v>
      </c>
      <c r="AW107" s="6">
        <v>3.4950000000000001</v>
      </c>
      <c r="AX107">
        <v>3.5939999999999999</v>
      </c>
      <c r="AY107" s="7">
        <v>45608</v>
      </c>
      <c r="AZ107">
        <v>3.3479999999999999</v>
      </c>
      <c r="BA107">
        <v>3.266</v>
      </c>
      <c r="BB107">
        <v>3.194</v>
      </c>
      <c r="BC107">
        <v>3.1890000000000001</v>
      </c>
      <c r="BD107">
        <v>3.2029999999999998</v>
      </c>
      <c r="BE107" s="6">
        <v>3.15</v>
      </c>
      <c r="BF107" s="6">
        <v>3.16</v>
      </c>
      <c r="BG107">
        <v>3.1850000000000001</v>
      </c>
      <c r="BH107" s="7">
        <v>45608</v>
      </c>
      <c r="BI107">
        <v>3.2909999999999999</v>
      </c>
      <c r="BJ107">
        <v>3.198</v>
      </c>
      <c r="BK107">
        <v>3.1030000000000002</v>
      </c>
      <c r="BL107">
        <v>3.125</v>
      </c>
      <c r="BM107">
        <v>3.1339999999999999</v>
      </c>
      <c r="BN107" s="6">
        <v>3.06</v>
      </c>
      <c r="BO107" s="6">
        <v>3.069</v>
      </c>
      <c r="BP107">
        <v>3.1360000000000001</v>
      </c>
      <c r="BQ107" s="7">
        <v>45608</v>
      </c>
      <c r="BR107">
        <v>3.5979999999999999</v>
      </c>
      <c r="BS107">
        <v>3.5569999999999999</v>
      </c>
      <c r="BT107">
        <v>3.5</v>
      </c>
      <c r="BU107">
        <v>3.544</v>
      </c>
      <c r="BV107">
        <v>3.5790000000000002</v>
      </c>
      <c r="BW107" s="6">
        <v>3.5329999999999999</v>
      </c>
      <c r="BX107" s="6">
        <v>3.5449999999999999</v>
      </c>
      <c r="BY107">
        <v>3.5870000000000002</v>
      </c>
      <c r="BZ107" s="7">
        <v>45608</v>
      </c>
      <c r="CA107">
        <v>3.1190000000000002</v>
      </c>
      <c r="CB107">
        <v>3.117</v>
      </c>
      <c r="CC107">
        <v>3.024</v>
      </c>
      <c r="CD107">
        <v>3.0089999999999999</v>
      </c>
      <c r="CE107">
        <v>3.077</v>
      </c>
      <c r="CF107" s="6">
        <v>3.1139999999999999</v>
      </c>
      <c r="CG107" s="6">
        <v>3.1280000000000001</v>
      </c>
      <c r="CH107">
        <v>3.145</v>
      </c>
    </row>
    <row r="108" spans="2:86">
      <c r="B108" s="7">
        <v>45607</v>
      </c>
      <c r="C108">
        <v>2.9550000000000001</v>
      </c>
      <c r="D108">
        <v>2.95</v>
      </c>
      <c r="E108">
        <v>2.86</v>
      </c>
      <c r="F108">
        <v>2.9060000000000001</v>
      </c>
      <c r="G108">
        <v>2.93</v>
      </c>
      <c r="H108">
        <v>2.9</v>
      </c>
      <c r="I108" s="6">
        <v>2.9670000000000001</v>
      </c>
      <c r="J108" s="6">
        <v>2.9489999999999998</v>
      </c>
      <c r="K108" s="6">
        <v>3.069</v>
      </c>
      <c r="L108" s="6">
        <v>3.0350000000000001</v>
      </c>
      <c r="M108" s="6">
        <v>2.9750000000000001</v>
      </c>
      <c r="N108" s="6">
        <v>2.8849999999999998</v>
      </c>
      <c r="O108" s="7">
        <v>45607</v>
      </c>
      <c r="P108">
        <v>2.9279999999999999</v>
      </c>
      <c r="Q108">
        <v>2.86</v>
      </c>
      <c r="R108">
        <v>2.83</v>
      </c>
      <c r="S108">
        <v>2.9649999999999999</v>
      </c>
      <c r="T108">
        <v>2.9420000000000002</v>
      </c>
      <c r="U108" s="6">
        <v>2.9540000000000002</v>
      </c>
      <c r="V108" s="6">
        <v>0</v>
      </c>
      <c r="W108">
        <v>0</v>
      </c>
      <c r="X108" s="7">
        <v>45607</v>
      </c>
      <c r="Y108">
        <v>3.032</v>
      </c>
      <c r="Z108">
        <v>3.0219999999999998</v>
      </c>
      <c r="AA108">
        <v>2.9390000000000001</v>
      </c>
      <c r="AB108">
        <v>2.9169999999999998</v>
      </c>
      <c r="AC108">
        <v>2.9809999999999999</v>
      </c>
      <c r="AD108" s="6">
        <v>2.9980000000000002</v>
      </c>
      <c r="AE108" s="6">
        <v>3.0190000000000001</v>
      </c>
      <c r="AF108">
        <v>3.105</v>
      </c>
      <c r="AG108" s="7">
        <v>45607</v>
      </c>
      <c r="AH108">
        <v>3.3660000000000001</v>
      </c>
      <c r="AI108">
        <v>3.3050000000000002</v>
      </c>
      <c r="AJ108">
        <v>3.202</v>
      </c>
      <c r="AK108">
        <v>3.1749999999999998</v>
      </c>
      <c r="AL108">
        <v>3.157</v>
      </c>
      <c r="AM108" s="6">
        <v>3.069</v>
      </c>
      <c r="AN108" s="6">
        <v>3.0819999999999999</v>
      </c>
      <c r="AO108">
        <v>3.1469999999999998</v>
      </c>
      <c r="AP108" s="7">
        <v>45607</v>
      </c>
      <c r="AQ108">
        <v>3.476</v>
      </c>
      <c r="AR108">
        <v>3.423</v>
      </c>
      <c r="AS108">
        <v>3.3159999999999998</v>
      </c>
      <c r="AT108">
        <v>3.351</v>
      </c>
      <c r="AU108">
        <v>3.4119999999999999</v>
      </c>
      <c r="AV108" s="6">
        <v>3.468</v>
      </c>
      <c r="AW108" s="6">
        <v>3.5</v>
      </c>
      <c r="AX108">
        <v>3.6019999999999999</v>
      </c>
      <c r="AY108" s="7">
        <v>45607</v>
      </c>
      <c r="AZ108">
        <v>3.3420000000000001</v>
      </c>
      <c r="BA108">
        <v>3.2650000000000001</v>
      </c>
      <c r="BB108">
        <v>3.1930000000000001</v>
      </c>
      <c r="BC108">
        <v>3.1859999999999999</v>
      </c>
      <c r="BD108">
        <v>3.2</v>
      </c>
      <c r="BE108" s="6">
        <v>3.1520000000000001</v>
      </c>
      <c r="BF108" s="6">
        <v>3.1659999999999999</v>
      </c>
      <c r="BG108">
        <v>3.1960000000000002</v>
      </c>
      <c r="BH108" s="7">
        <v>45607</v>
      </c>
      <c r="BI108">
        <v>3.2839999999999998</v>
      </c>
      <c r="BJ108">
        <v>3.1960000000000002</v>
      </c>
      <c r="BK108">
        <v>3.1019999999999999</v>
      </c>
      <c r="BL108">
        <v>3.1219999999999999</v>
      </c>
      <c r="BM108">
        <v>3.133</v>
      </c>
      <c r="BN108" s="6">
        <v>3.06</v>
      </c>
      <c r="BO108" s="6">
        <v>3.073</v>
      </c>
      <c r="BP108">
        <v>3.145</v>
      </c>
      <c r="BQ108" s="7">
        <v>45607</v>
      </c>
      <c r="BR108">
        <v>3.5910000000000002</v>
      </c>
      <c r="BS108">
        <v>3.5550000000000002</v>
      </c>
      <c r="BT108">
        <v>3.4990000000000001</v>
      </c>
      <c r="BU108">
        <v>3.54</v>
      </c>
      <c r="BV108">
        <v>3.5750000000000002</v>
      </c>
      <c r="BW108" s="6">
        <v>3.5339999999999998</v>
      </c>
      <c r="BX108" s="6">
        <v>3.5489999999999999</v>
      </c>
      <c r="BY108">
        <v>3.5960000000000001</v>
      </c>
      <c r="BZ108" s="7">
        <v>45607</v>
      </c>
      <c r="CA108">
        <v>3.1190000000000002</v>
      </c>
      <c r="CB108">
        <v>3.1080000000000001</v>
      </c>
      <c r="CC108">
        <v>3.02</v>
      </c>
      <c r="CD108">
        <v>3.0059999999999998</v>
      </c>
      <c r="CE108">
        <v>3.0710000000000002</v>
      </c>
      <c r="CF108" s="6">
        <v>3.1139999999999999</v>
      </c>
      <c r="CG108" s="6">
        <v>3.1320000000000001</v>
      </c>
      <c r="CH108">
        <v>3.1589999999999998</v>
      </c>
    </row>
    <row r="109" spans="2:86">
      <c r="B109" s="7">
        <v>45604</v>
      </c>
      <c r="C109">
        <v>2.9550000000000001</v>
      </c>
      <c r="D109">
        <v>2.95</v>
      </c>
      <c r="E109">
        <v>2.8540000000000001</v>
      </c>
      <c r="F109">
        <v>2.9009999999999998</v>
      </c>
      <c r="G109">
        <v>2.915</v>
      </c>
      <c r="H109">
        <v>2.8820000000000001</v>
      </c>
      <c r="I109" s="6">
        <v>2.9550000000000001</v>
      </c>
      <c r="J109" s="6">
        <v>2.9369999999999998</v>
      </c>
      <c r="K109" s="6">
        <v>3.0609999999999999</v>
      </c>
      <c r="L109" s="6">
        <v>3.0369999999999999</v>
      </c>
      <c r="M109" s="6">
        <v>2.988</v>
      </c>
      <c r="N109" s="6">
        <v>2.895</v>
      </c>
      <c r="O109" s="7">
        <v>45604</v>
      </c>
      <c r="P109">
        <v>2.9279999999999999</v>
      </c>
      <c r="Q109">
        <v>2.8580000000000001</v>
      </c>
      <c r="R109">
        <v>2.827</v>
      </c>
      <c r="S109">
        <v>2.956</v>
      </c>
      <c r="T109">
        <v>2.9249999999999998</v>
      </c>
      <c r="U109" s="6">
        <v>2.9369999999999998</v>
      </c>
      <c r="V109" s="6">
        <v>0</v>
      </c>
      <c r="W109">
        <v>0</v>
      </c>
      <c r="X109" s="7">
        <v>45604</v>
      </c>
      <c r="Y109">
        <v>3.032</v>
      </c>
      <c r="Z109">
        <v>3.0219999999999998</v>
      </c>
      <c r="AA109">
        <v>2.9319999999999999</v>
      </c>
      <c r="AB109">
        <v>2.9119999999999999</v>
      </c>
      <c r="AC109">
        <v>2.9660000000000002</v>
      </c>
      <c r="AD109" s="6">
        <v>2.9809999999999999</v>
      </c>
      <c r="AE109" s="6">
        <v>3.0059999999999998</v>
      </c>
      <c r="AF109">
        <v>3.0950000000000002</v>
      </c>
      <c r="AG109" s="7">
        <v>45604</v>
      </c>
      <c r="AH109">
        <v>3.363</v>
      </c>
      <c r="AI109">
        <v>3.3029999999999999</v>
      </c>
      <c r="AJ109">
        <v>3.198</v>
      </c>
      <c r="AK109">
        <v>3.1680000000000001</v>
      </c>
      <c r="AL109">
        <v>3.145</v>
      </c>
      <c r="AM109" s="6">
        <v>3.0529999999999999</v>
      </c>
      <c r="AN109" s="6">
        <v>3.07</v>
      </c>
      <c r="AO109">
        <v>3.1360000000000001</v>
      </c>
      <c r="AP109" s="7">
        <v>45604</v>
      </c>
      <c r="AQ109">
        <v>3.476</v>
      </c>
      <c r="AR109">
        <v>3.42</v>
      </c>
      <c r="AS109">
        <v>3.3119999999999998</v>
      </c>
      <c r="AT109">
        <v>3.3420000000000001</v>
      </c>
      <c r="AU109">
        <v>3.3969999999999998</v>
      </c>
      <c r="AV109" s="6">
        <v>3.45</v>
      </c>
      <c r="AW109" s="6">
        <v>3.4870000000000001</v>
      </c>
      <c r="AX109">
        <v>3.5880000000000001</v>
      </c>
      <c r="AY109" s="7">
        <v>45604</v>
      </c>
      <c r="AZ109">
        <v>3.3420000000000001</v>
      </c>
      <c r="BA109">
        <v>3.2629999999999999</v>
      </c>
      <c r="BB109">
        <v>3.1869999999999998</v>
      </c>
      <c r="BC109">
        <v>3.1779999999999999</v>
      </c>
      <c r="BD109">
        <v>3.1859999999999999</v>
      </c>
      <c r="BE109" s="6">
        <v>3.1360000000000001</v>
      </c>
      <c r="BF109" s="6">
        <v>3.1539999999999999</v>
      </c>
      <c r="BG109">
        <v>3.1840000000000002</v>
      </c>
      <c r="BH109" s="7">
        <v>45604</v>
      </c>
      <c r="BI109">
        <v>3.2839999999999998</v>
      </c>
      <c r="BJ109">
        <v>3.1949999999999998</v>
      </c>
      <c r="BK109">
        <v>3.0960000000000001</v>
      </c>
      <c r="BL109">
        <v>3.113</v>
      </c>
      <c r="BM109">
        <v>3.1190000000000002</v>
      </c>
      <c r="BN109" s="6">
        <v>3.044</v>
      </c>
      <c r="BO109" s="6">
        <v>3.0609999999999999</v>
      </c>
      <c r="BP109">
        <v>3.133</v>
      </c>
      <c r="BQ109" s="7">
        <v>45604</v>
      </c>
      <c r="BR109">
        <v>3.5910000000000002</v>
      </c>
      <c r="BS109">
        <v>3.5529999999999999</v>
      </c>
      <c r="BT109">
        <v>3.4929999999999999</v>
      </c>
      <c r="BU109">
        <v>3.532</v>
      </c>
      <c r="BV109">
        <v>3.5609999999999999</v>
      </c>
      <c r="BW109" s="6">
        <v>3.5179999999999998</v>
      </c>
      <c r="BX109" s="6">
        <v>3.5369999999999999</v>
      </c>
      <c r="BY109">
        <v>3.5840000000000001</v>
      </c>
      <c r="BZ109" s="7">
        <v>45604</v>
      </c>
      <c r="CA109">
        <v>3.1190000000000002</v>
      </c>
      <c r="CB109">
        <v>3.1080000000000001</v>
      </c>
      <c r="CC109">
        <v>3.0129999999999999</v>
      </c>
      <c r="CD109">
        <v>3.0009999999999999</v>
      </c>
      <c r="CE109">
        <v>3.056</v>
      </c>
      <c r="CF109" s="6">
        <v>3.097</v>
      </c>
      <c r="CG109" s="6">
        <v>3.1190000000000002</v>
      </c>
      <c r="CH109">
        <v>3.149</v>
      </c>
    </row>
    <row r="110" spans="2:86">
      <c r="B110" s="7">
        <v>45603</v>
      </c>
      <c r="C110">
        <v>2.956</v>
      </c>
      <c r="D110">
        <v>2.95</v>
      </c>
      <c r="E110">
        <v>2.8610000000000002</v>
      </c>
      <c r="F110">
        <v>2.9279999999999999</v>
      </c>
      <c r="G110">
        <v>2.9489999999999998</v>
      </c>
      <c r="H110">
        <v>2.9220000000000002</v>
      </c>
      <c r="I110" s="6">
        <v>3</v>
      </c>
      <c r="J110" s="6">
        <v>2.9769999999999999</v>
      </c>
      <c r="K110" s="6">
        <v>3.1070000000000002</v>
      </c>
      <c r="L110" s="6">
        <v>3.0939999999999999</v>
      </c>
      <c r="M110" s="6">
        <v>3.0190000000000001</v>
      </c>
      <c r="N110" s="6">
        <v>2.9249999999999998</v>
      </c>
      <c r="O110" s="7">
        <v>45603</v>
      </c>
      <c r="P110">
        <v>2.9249999999999998</v>
      </c>
      <c r="Q110">
        <v>2.8450000000000002</v>
      </c>
      <c r="R110">
        <v>2.84</v>
      </c>
      <c r="S110">
        <v>2.9849999999999999</v>
      </c>
      <c r="T110">
        <v>2.95</v>
      </c>
      <c r="U110" s="6">
        <v>2.9769999999999999</v>
      </c>
      <c r="V110" s="6">
        <v>0</v>
      </c>
      <c r="W110">
        <v>0</v>
      </c>
      <c r="X110" s="7">
        <v>45603</v>
      </c>
      <c r="Y110">
        <v>3.0339999999999998</v>
      </c>
      <c r="Z110">
        <v>3.0219999999999998</v>
      </c>
      <c r="AA110">
        <v>2.9359999999999999</v>
      </c>
      <c r="AB110">
        <v>2.9380000000000002</v>
      </c>
      <c r="AC110">
        <v>3</v>
      </c>
      <c r="AD110" s="6">
        <v>3.0209999999999999</v>
      </c>
      <c r="AE110" s="6">
        <v>3.0510000000000002</v>
      </c>
      <c r="AF110">
        <v>3.1339999999999999</v>
      </c>
      <c r="AG110" s="7">
        <v>45603</v>
      </c>
      <c r="AH110">
        <v>3.3580000000000001</v>
      </c>
      <c r="AI110">
        <v>3.2909999999999999</v>
      </c>
      <c r="AJ110">
        <v>3.2080000000000002</v>
      </c>
      <c r="AK110">
        <v>3.1970000000000001</v>
      </c>
      <c r="AL110">
        <v>3.1720000000000002</v>
      </c>
      <c r="AM110" s="6">
        <v>3.093</v>
      </c>
      <c r="AN110" s="6">
        <v>3.1150000000000002</v>
      </c>
      <c r="AO110">
        <v>3.1760000000000002</v>
      </c>
      <c r="AP110" s="7">
        <v>45603</v>
      </c>
      <c r="AQ110">
        <v>3.4710000000000001</v>
      </c>
      <c r="AR110">
        <v>3.4049999999999998</v>
      </c>
      <c r="AS110">
        <v>3.3250000000000002</v>
      </c>
      <c r="AT110">
        <v>3.37</v>
      </c>
      <c r="AU110">
        <v>3.423</v>
      </c>
      <c r="AV110" s="6">
        <v>3.484</v>
      </c>
      <c r="AW110" s="6">
        <v>3.5289999999999999</v>
      </c>
      <c r="AX110">
        <v>3.6280000000000001</v>
      </c>
      <c r="AY110" s="7">
        <v>45603</v>
      </c>
      <c r="AZ110">
        <v>3.3380000000000001</v>
      </c>
      <c r="BA110">
        <v>3.2490000000000001</v>
      </c>
      <c r="BB110">
        <v>3.1960000000000002</v>
      </c>
      <c r="BC110">
        <v>3.2090000000000001</v>
      </c>
      <c r="BD110">
        <v>3.2130000000000001</v>
      </c>
      <c r="BE110" s="6">
        <v>3.173</v>
      </c>
      <c r="BF110" s="6">
        <v>3.1970000000000001</v>
      </c>
      <c r="BG110">
        <v>3.2189999999999999</v>
      </c>
      <c r="BH110" s="7">
        <v>45603</v>
      </c>
      <c r="BI110">
        <v>3.2810000000000001</v>
      </c>
      <c r="BJ110">
        <v>3.18</v>
      </c>
      <c r="BK110">
        <v>3.1059999999999999</v>
      </c>
      <c r="BL110">
        <v>3.1440000000000001</v>
      </c>
      <c r="BM110">
        <v>3.1459999999999999</v>
      </c>
      <c r="BN110" s="6">
        <v>3.081</v>
      </c>
      <c r="BO110" s="6">
        <v>3.105</v>
      </c>
      <c r="BP110">
        <v>3.1709999999999998</v>
      </c>
      <c r="BQ110" s="7">
        <v>45603</v>
      </c>
      <c r="BR110">
        <v>3.5880000000000001</v>
      </c>
      <c r="BS110">
        <v>3.5390000000000001</v>
      </c>
      <c r="BT110">
        <v>3.5030000000000001</v>
      </c>
      <c r="BU110">
        <v>3.5619999999999998</v>
      </c>
      <c r="BV110">
        <v>3.5880000000000001</v>
      </c>
      <c r="BW110" s="6">
        <v>3.5550000000000002</v>
      </c>
      <c r="BX110" s="6">
        <v>3.581</v>
      </c>
      <c r="BY110">
        <v>3.62</v>
      </c>
      <c r="BZ110" s="7">
        <v>45603</v>
      </c>
      <c r="CA110">
        <v>3.121</v>
      </c>
      <c r="CB110">
        <v>3.1080000000000001</v>
      </c>
      <c r="CC110">
        <v>3.0179999999999998</v>
      </c>
      <c r="CD110">
        <v>3.028</v>
      </c>
      <c r="CE110">
        <v>3.089</v>
      </c>
      <c r="CF110" s="6">
        <v>3.137</v>
      </c>
      <c r="CG110" s="6">
        <v>3.1640000000000001</v>
      </c>
      <c r="CH110">
        <v>3.1880000000000002</v>
      </c>
    </row>
    <row r="111" spans="2:86">
      <c r="B111" s="7">
        <v>45602</v>
      </c>
      <c r="C111">
        <v>2.956</v>
      </c>
      <c r="D111">
        <v>2.9510000000000001</v>
      </c>
      <c r="E111">
        <v>2.8730000000000002</v>
      </c>
      <c r="F111">
        <v>2.9550000000000001</v>
      </c>
      <c r="G111">
        <v>2.9750000000000001</v>
      </c>
      <c r="H111">
        <v>2.956</v>
      </c>
      <c r="I111" s="6">
        <v>3.0350000000000001</v>
      </c>
      <c r="J111" s="6">
        <v>3.02</v>
      </c>
      <c r="K111" s="6">
        <v>3.1429999999999998</v>
      </c>
      <c r="L111" s="6">
        <v>3.137</v>
      </c>
      <c r="M111" s="6">
        <v>3.04</v>
      </c>
      <c r="N111" s="6">
        <v>2.95</v>
      </c>
      <c r="O111" s="7">
        <v>45602</v>
      </c>
      <c r="P111">
        <v>2.9329999999999998</v>
      </c>
      <c r="Q111">
        <v>2.8559999999999999</v>
      </c>
      <c r="R111">
        <v>2.8559999999999999</v>
      </c>
      <c r="S111">
        <v>3.0129999999999999</v>
      </c>
      <c r="T111">
        <v>2.98</v>
      </c>
      <c r="U111" s="6">
        <v>3.016</v>
      </c>
      <c r="V111" s="6">
        <v>0</v>
      </c>
      <c r="W111">
        <v>0</v>
      </c>
      <c r="X111" s="7">
        <v>45602</v>
      </c>
      <c r="Y111">
        <v>3.0339999999999998</v>
      </c>
      <c r="Z111">
        <v>3.0259999999999998</v>
      </c>
      <c r="AA111">
        <v>2.948</v>
      </c>
      <c r="AB111">
        <v>2.9660000000000002</v>
      </c>
      <c r="AC111">
        <v>3.0259999999999998</v>
      </c>
      <c r="AD111" s="6">
        <v>3.0550000000000002</v>
      </c>
      <c r="AE111" s="6">
        <v>3.0859999999999999</v>
      </c>
      <c r="AF111">
        <v>3.181</v>
      </c>
      <c r="AG111" s="7">
        <v>45602</v>
      </c>
      <c r="AH111">
        <v>3.36</v>
      </c>
      <c r="AI111">
        <v>3.294</v>
      </c>
      <c r="AJ111">
        <v>3.2240000000000002</v>
      </c>
      <c r="AK111">
        <v>3.2240000000000002</v>
      </c>
      <c r="AL111">
        <v>3.202</v>
      </c>
      <c r="AM111" s="6">
        <v>3.129</v>
      </c>
      <c r="AN111" s="6">
        <v>3.1520000000000001</v>
      </c>
      <c r="AO111">
        <v>3.22</v>
      </c>
      <c r="AP111" s="7">
        <v>45602</v>
      </c>
      <c r="AQ111">
        <v>3.4710000000000001</v>
      </c>
      <c r="AR111">
        <v>3.4079999999999999</v>
      </c>
      <c r="AS111">
        <v>3.3340000000000001</v>
      </c>
      <c r="AT111">
        <v>3.3940000000000001</v>
      </c>
      <c r="AU111">
        <v>3.4550000000000001</v>
      </c>
      <c r="AV111" s="6">
        <v>3.5190000000000001</v>
      </c>
      <c r="AW111" s="6">
        <v>3.5640000000000001</v>
      </c>
      <c r="AX111">
        <v>3.6709999999999998</v>
      </c>
      <c r="AY111" s="7">
        <v>45602</v>
      </c>
      <c r="AZ111">
        <v>3.3420000000000001</v>
      </c>
      <c r="BA111">
        <v>3.2549999999999999</v>
      </c>
      <c r="BB111">
        <v>3.206</v>
      </c>
      <c r="BC111">
        <v>3.2370000000000001</v>
      </c>
      <c r="BD111">
        <v>3.2429999999999999</v>
      </c>
      <c r="BE111" s="6">
        <v>3.206</v>
      </c>
      <c r="BF111" s="6">
        <v>3.2320000000000002</v>
      </c>
      <c r="BG111">
        <v>3.262</v>
      </c>
      <c r="BH111" s="7">
        <v>45602</v>
      </c>
      <c r="BI111">
        <v>3.2839999999999998</v>
      </c>
      <c r="BJ111">
        <v>3.1859999999999999</v>
      </c>
      <c r="BK111">
        <v>3.1179999999999999</v>
      </c>
      <c r="BL111">
        <v>3.1720000000000002</v>
      </c>
      <c r="BM111">
        <v>3.1760000000000002</v>
      </c>
      <c r="BN111" s="6">
        <v>3.1150000000000002</v>
      </c>
      <c r="BO111" s="6">
        <v>3.141</v>
      </c>
      <c r="BP111">
        <v>3.2160000000000002</v>
      </c>
      <c r="BQ111" s="7">
        <v>45602</v>
      </c>
      <c r="BR111">
        <v>3.5910000000000002</v>
      </c>
      <c r="BS111">
        <v>3.5449999999999999</v>
      </c>
      <c r="BT111">
        <v>3.5150000000000001</v>
      </c>
      <c r="BU111">
        <v>3.5910000000000002</v>
      </c>
      <c r="BV111">
        <v>3.6179999999999999</v>
      </c>
      <c r="BW111" s="6">
        <v>3.5880000000000001</v>
      </c>
      <c r="BX111" s="6">
        <v>3.6179999999999999</v>
      </c>
      <c r="BY111">
        <v>3.6640000000000001</v>
      </c>
      <c r="BZ111" s="7">
        <v>45602</v>
      </c>
      <c r="CA111">
        <v>3.121</v>
      </c>
      <c r="CB111">
        <v>3.1120000000000001</v>
      </c>
      <c r="CC111">
        <v>3.0289999999999999</v>
      </c>
      <c r="CD111">
        <v>3.0550000000000002</v>
      </c>
      <c r="CE111">
        <v>3.1150000000000002</v>
      </c>
      <c r="CF111" s="6">
        <v>3.1709999999999998</v>
      </c>
      <c r="CG111" s="6">
        <v>3.1960000000000002</v>
      </c>
      <c r="CH111">
        <v>3.2360000000000002</v>
      </c>
    </row>
    <row r="112" spans="2:86">
      <c r="B112" s="7">
        <v>45601</v>
      </c>
      <c r="C112">
        <v>2.9510000000000001</v>
      </c>
      <c r="D112">
        <v>2.95</v>
      </c>
      <c r="E112">
        <v>2.8530000000000002</v>
      </c>
      <c r="F112">
        <v>2.9359999999999999</v>
      </c>
      <c r="G112">
        <v>2.9369999999999998</v>
      </c>
      <c r="H112">
        <v>2.9169999999999998</v>
      </c>
      <c r="I112" s="6">
        <v>2.992</v>
      </c>
      <c r="J112" s="6">
        <v>2.972</v>
      </c>
      <c r="K112" s="6">
        <v>3.0920000000000001</v>
      </c>
      <c r="L112" s="6">
        <v>3.0750000000000002</v>
      </c>
      <c r="M112" s="6">
        <v>3.004</v>
      </c>
      <c r="N112" s="6">
        <v>2.9119999999999999</v>
      </c>
      <c r="O112" s="7">
        <v>45601</v>
      </c>
      <c r="P112">
        <v>2.93</v>
      </c>
      <c r="Q112">
        <v>2.8460000000000001</v>
      </c>
      <c r="R112">
        <v>2.84</v>
      </c>
      <c r="S112">
        <v>2.9870000000000001</v>
      </c>
      <c r="T112">
        <v>2.9420000000000002</v>
      </c>
      <c r="U112" s="6">
        <v>2.98</v>
      </c>
      <c r="V112" s="6">
        <v>0</v>
      </c>
      <c r="W112">
        <v>0</v>
      </c>
      <c r="X112" s="7">
        <v>45601</v>
      </c>
      <c r="Y112">
        <v>3.0310000000000001</v>
      </c>
      <c r="Z112">
        <v>3.024</v>
      </c>
      <c r="AA112">
        <v>2.9279999999999999</v>
      </c>
      <c r="AB112">
        <v>2.9470000000000001</v>
      </c>
      <c r="AC112">
        <v>2.988</v>
      </c>
      <c r="AD112" s="6">
        <v>3.016</v>
      </c>
      <c r="AE112" s="6">
        <v>3.0449999999999999</v>
      </c>
      <c r="AF112">
        <v>3.1549999999999998</v>
      </c>
      <c r="AG112" s="7">
        <v>45601</v>
      </c>
      <c r="AH112">
        <v>3.3570000000000002</v>
      </c>
      <c r="AI112">
        <v>3.2839999999999998</v>
      </c>
      <c r="AJ112">
        <v>3.2069999999999999</v>
      </c>
      <c r="AK112">
        <v>3.2040000000000002</v>
      </c>
      <c r="AL112">
        <v>3.1680000000000001</v>
      </c>
      <c r="AM112" s="6">
        <v>3.09</v>
      </c>
      <c r="AN112" s="6">
        <v>3.1110000000000002</v>
      </c>
      <c r="AO112">
        <v>3.1739999999999999</v>
      </c>
      <c r="AP112" s="7">
        <v>45601</v>
      </c>
      <c r="AQ112">
        <v>3.4649999999999999</v>
      </c>
      <c r="AR112">
        <v>3.395</v>
      </c>
      <c r="AS112">
        <v>3.3140000000000001</v>
      </c>
      <c r="AT112">
        <v>3.37</v>
      </c>
      <c r="AU112">
        <v>3.423</v>
      </c>
      <c r="AV112" s="6">
        <v>3.4830000000000001</v>
      </c>
      <c r="AW112" s="6">
        <v>3.5230000000000001</v>
      </c>
      <c r="AX112">
        <v>3.6230000000000002</v>
      </c>
      <c r="AY112" s="7">
        <v>45601</v>
      </c>
      <c r="AZ112">
        <v>3.3380000000000001</v>
      </c>
      <c r="BA112">
        <v>3.2450000000000001</v>
      </c>
      <c r="BB112">
        <v>3.1890000000000001</v>
      </c>
      <c r="BC112">
        <v>3.2109999999999999</v>
      </c>
      <c r="BD112">
        <v>3.2069999999999999</v>
      </c>
      <c r="BE112" s="6">
        <v>3.17</v>
      </c>
      <c r="BF112" s="6">
        <v>3.19</v>
      </c>
      <c r="BG112">
        <v>3.2170000000000001</v>
      </c>
      <c r="BH112" s="7">
        <v>45601</v>
      </c>
      <c r="BI112">
        <v>3.2810000000000001</v>
      </c>
      <c r="BJ112">
        <v>3.1760000000000002</v>
      </c>
      <c r="BK112">
        <v>3.101</v>
      </c>
      <c r="BL112">
        <v>3.1469999999999998</v>
      </c>
      <c r="BM112">
        <v>3.14</v>
      </c>
      <c r="BN112" s="6">
        <v>3.0790000000000002</v>
      </c>
      <c r="BO112" s="6">
        <v>3.0990000000000002</v>
      </c>
      <c r="BP112">
        <v>3.1720000000000002</v>
      </c>
      <c r="BQ112" s="7">
        <v>45601</v>
      </c>
      <c r="BR112">
        <v>3.5880000000000001</v>
      </c>
      <c r="BS112">
        <v>3.5350000000000001</v>
      </c>
      <c r="BT112">
        <v>3.4980000000000002</v>
      </c>
      <c r="BU112">
        <v>3.5649999999999999</v>
      </c>
      <c r="BV112">
        <v>3.5819999999999999</v>
      </c>
      <c r="BW112" s="6">
        <v>3.552</v>
      </c>
      <c r="BX112" s="6">
        <v>3.5760000000000001</v>
      </c>
      <c r="BY112">
        <v>3.6190000000000002</v>
      </c>
      <c r="BZ112" s="7">
        <v>45601</v>
      </c>
      <c r="CA112">
        <v>3.117</v>
      </c>
      <c r="CB112">
        <v>3.11</v>
      </c>
      <c r="CC112">
        <v>3.0089999999999999</v>
      </c>
      <c r="CD112">
        <v>3.036</v>
      </c>
      <c r="CE112">
        <v>3.0779999999999998</v>
      </c>
      <c r="CF112" s="6">
        <v>3.1320000000000001</v>
      </c>
      <c r="CG112" s="6">
        <v>3.1539999999999999</v>
      </c>
      <c r="CH112">
        <v>3.2090000000000001</v>
      </c>
    </row>
    <row r="113" spans="2:86">
      <c r="B113" s="7">
        <v>45600</v>
      </c>
      <c r="C113">
        <v>2.9510000000000001</v>
      </c>
      <c r="D113">
        <v>2.9510000000000001</v>
      </c>
      <c r="E113">
        <v>2.8580000000000001</v>
      </c>
      <c r="F113">
        <v>2.948</v>
      </c>
      <c r="G113">
        <v>2.952</v>
      </c>
      <c r="H113">
        <v>2.9319999999999999</v>
      </c>
      <c r="I113" s="6">
        <v>3.01</v>
      </c>
      <c r="J113" s="6">
        <v>2.992</v>
      </c>
      <c r="K113" s="6">
        <v>3.11</v>
      </c>
      <c r="L113" s="6">
        <v>3.0950000000000002</v>
      </c>
      <c r="M113" s="6">
        <v>3.03</v>
      </c>
      <c r="N113" s="6">
        <v>2.9359999999999999</v>
      </c>
      <c r="O113" s="7">
        <v>45600</v>
      </c>
      <c r="P113">
        <v>2.93</v>
      </c>
      <c r="Q113">
        <v>2.8479999999999999</v>
      </c>
      <c r="R113">
        <v>2.843</v>
      </c>
      <c r="S113">
        <v>2.9950000000000001</v>
      </c>
      <c r="T113">
        <v>2.9550000000000001</v>
      </c>
      <c r="U113" s="6">
        <v>2.9910000000000001</v>
      </c>
      <c r="V113" s="6">
        <v>0</v>
      </c>
      <c r="W113">
        <v>0</v>
      </c>
      <c r="X113" s="7">
        <v>45600</v>
      </c>
      <c r="Y113">
        <v>3.0310000000000001</v>
      </c>
      <c r="Z113">
        <v>3.0259999999999998</v>
      </c>
      <c r="AA113">
        <v>2.9329999999999998</v>
      </c>
      <c r="AB113">
        <v>2.9580000000000002</v>
      </c>
      <c r="AC113">
        <v>3.0030000000000001</v>
      </c>
      <c r="AD113" s="6">
        <v>3.0310000000000001</v>
      </c>
      <c r="AE113" s="6">
        <v>3.0630000000000002</v>
      </c>
      <c r="AF113">
        <v>3.18</v>
      </c>
      <c r="AG113" s="7">
        <v>45600</v>
      </c>
      <c r="AH113">
        <v>3.3519999999999999</v>
      </c>
      <c r="AI113">
        <v>3.2810000000000001</v>
      </c>
      <c r="AJ113">
        <v>3.2120000000000002</v>
      </c>
      <c r="AK113">
        <v>3.2120000000000002</v>
      </c>
      <c r="AL113">
        <v>3.181</v>
      </c>
      <c r="AM113" s="6">
        <v>3.1059999999999999</v>
      </c>
      <c r="AN113" s="6">
        <v>3.129</v>
      </c>
      <c r="AO113">
        <v>3.1930000000000001</v>
      </c>
      <c r="AP113" s="7">
        <v>45600</v>
      </c>
      <c r="AQ113">
        <v>3.46</v>
      </c>
      <c r="AR113">
        <v>3.3919999999999999</v>
      </c>
      <c r="AS113">
        <v>3.3140000000000001</v>
      </c>
      <c r="AT113">
        <v>3.3759999999999999</v>
      </c>
      <c r="AU113">
        <v>3.4340000000000002</v>
      </c>
      <c r="AV113" s="6">
        <v>3.5009999999999999</v>
      </c>
      <c r="AW113" s="6">
        <v>3.544</v>
      </c>
      <c r="AX113">
        <v>3.6429999999999998</v>
      </c>
      <c r="AY113" s="7">
        <v>45600</v>
      </c>
      <c r="AZ113">
        <v>3.3370000000000002</v>
      </c>
      <c r="BA113">
        <v>3.2429999999999999</v>
      </c>
      <c r="BB113">
        <v>3.1890000000000001</v>
      </c>
      <c r="BC113">
        <v>3.2170000000000001</v>
      </c>
      <c r="BD113">
        <v>3.222</v>
      </c>
      <c r="BE113" s="6">
        <v>3.1840000000000002</v>
      </c>
      <c r="BF113" s="6">
        <v>3.206</v>
      </c>
      <c r="BG113">
        <v>3.234</v>
      </c>
      <c r="BH113" s="7">
        <v>45600</v>
      </c>
      <c r="BI113">
        <v>3.2789999999999999</v>
      </c>
      <c r="BJ113">
        <v>3.1749999999999998</v>
      </c>
      <c r="BK113">
        <v>3.101</v>
      </c>
      <c r="BL113">
        <v>3.153</v>
      </c>
      <c r="BM113">
        <v>3.1549999999999998</v>
      </c>
      <c r="BN113" s="6">
        <v>3.093</v>
      </c>
      <c r="BO113" s="6">
        <v>3.117</v>
      </c>
      <c r="BP113">
        <v>3.1909999999999998</v>
      </c>
      <c r="BQ113" s="7">
        <v>45600</v>
      </c>
      <c r="BR113">
        <v>3.5859999999999999</v>
      </c>
      <c r="BS113">
        <v>3.5329999999999999</v>
      </c>
      <c r="BT113">
        <v>3.4980000000000002</v>
      </c>
      <c r="BU113">
        <v>3.5710000000000002</v>
      </c>
      <c r="BV113">
        <v>3.597</v>
      </c>
      <c r="BW113" s="6">
        <v>3.5659999999999998</v>
      </c>
      <c r="BX113" s="6">
        <v>3.5920000000000001</v>
      </c>
      <c r="BY113">
        <v>3.6360000000000001</v>
      </c>
      <c r="BZ113" s="7">
        <v>45600</v>
      </c>
      <c r="CA113">
        <v>3.117</v>
      </c>
      <c r="CB113">
        <v>3.1120000000000001</v>
      </c>
      <c r="CC113">
        <v>3.0139999999999998</v>
      </c>
      <c r="CD113">
        <v>3.048</v>
      </c>
      <c r="CE113">
        <v>3.093</v>
      </c>
      <c r="CF113" s="6">
        <v>3.1469999999999998</v>
      </c>
      <c r="CG113" s="6">
        <v>3.173</v>
      </c>
      <c r="CH113">
        <v>3.234</v>
      </c>
    </row>
    <row r="114" spans="2:86">
      <c r="B114" s="7">
        <v>45597</v>
      </c>
      <c r="C114">
        <v>2.9510000000000001</v>
      </c>
      <c r="D114">
        <v>2.9620000000000002</v>
      </c>
      <c r="E114">
        <v>2.87</v>
      </c>
      <c r="F114">
        <v>2.96</v>
      </c>
      <c r="G114">
        <v>2.96</v>
      </c>
      <c r="H114">
        <v>2.9420000000000002</v>
      </c>
      <c r="I114" s="6">
        <v>3.0169999999999999</v>
      </c>
      <c r="J114" s="6">
        <v>2.9969999999999999</v>
      </c>
      <c r="K114" s="6">
        <v>3.11</v>
      </c>
      <c r="L114" s="6">
        <v>3.09</v>
      </c>
      <c r="M114" s="6">
        <v>3.0209999999999999</v>
      </c>
      <c r="N114" s="6">
        <v>2.93</v>
      </c>
      <c r="O114" s="7">
        <v>45597</v>
      </c>
      <c r="P114">
        <v>2.93</v>
      </c>
      <c r="Q114">
        <v>2.8479999999999999</v>
      </c>
      <c r="R114">
        <v>2.843</v>
      </c>
      <c r="S114">
        <v>2.9950000000000001</v>
      </c>
      <c r="T114">
        <v>2.95</v>
      </c>
      <c r="U114" s="6">
        <v>2.99</v>
      </c>
      <c r="V114" s="6">
        <v>0</v>
      </c>
      <c r="W114">
        <v>0</v>
      </c>
      <c r="X114" s="7">
        <v>45597</v>
      </c>
      <c r="Y114">
        <v>3.0310000000000001</v>
      </c>
      <c r="Z114">
        <v>3.0369999999999999</v>
      </c>
      <c r="AA114">
        <v>2.9449999999999998</v>
      </c>
      <c r="AB114">
        <v>2.97</v>
      </c>
      <c r="AC114">
        <v>3.0110000000000001</v>
      </c>
      <c r="AD114" s="6">
        <v>3.0409999999999999</v>
      </c>
      <c r="AE114" s="6">
        <v>3.07</v>
      </c>
      <c r="AF114">
        <v>3.1869999999999998</v>
      </c>
      <c r="AG114" s="7">
        <v>45597</v>
      </c>
      <c r="AH114">
        <v>3.35</v>
      </c>
      <c r="AI114">
        <v>3.278</v>
      </c>
      <c r="AJ114">
        <v>3.2069999999999999</v>
      </c>
      <c r="AK114">
        <v>3.21</v>
      </c>
      <c r="AL114">
        <v>3.177</v>
      </c>
      <c r="AM114" s="6">
        <v>3.1160000000000001</v>
      </c>
      <c r="AN114" s="6">
        <v>3.1360000000000001</v>
      </c>
      <c r="AO114">
        <v>3.1989999999999998</v>
      </c>
      <c r="AP114" s="7">
        <v>45597</v>
      </c>
      <c r="AQ114">
        <v>3.4540000000000002</v>
      </c>
      <c r="AR114">
        <v>3.3839999999999999</v>
      </c>
      <c r="AS114">
        <v>3.3119999999999998</v>
      </c>
      <c r="AT114">
        <v>3.3759999999999999</v>
      </c>
      <c r="AU114">
        <v>3.431</v>
      </c>
      <c r="AV114" s="6">
        <v>3.516</v>
      </c>
      <c r="AW114" s="6">
        <v>3.5550000000000002</v>
      </c>
      <c r="AX114">
        <v>3.6509999999999998</v>
      </c>
      <c r="AY114" s="7">
        <v>45597</v>
      </c>
      <c r="AZ114">
        <v>3.3319999999999999</v>
      </c>
      <c r="BA114">
        <v>3.2360000000000002</v>
      </c>
      <c r="BB114">
        <v>3.1869999999999998</v>
      </c>
      <c r="BC114">
        <v>3.2160000000000002</v>
      </c>
      <c r="BD114">
        <v>3.2170000000000001</v>
      </c>
      <c r="BE114" s="6">
        <v>3.194</v>
      </c>
      <c r="BF114" s="6">
        <v>3.2130000000000001</v>
      </c>
      <c r="BG114">
        <v>3.2389999999999999</v>
      </c>
      <c r="BH114" s="7">
        <v>45597</v>
      </c>
      <c r="BI114">
        <v>3.274</v>
      </c>
      <c r="BJ114">
        <v>3.1680000000000001</v>
      </c>
      <c r="BK114">
        <v>3.0990000000000002</v>
      </c>
      <c r="BL114">
        <v>3.1509999999999998</v>
      </c>
      <c r="BM114">
        <v>3.15</v>
      </c>
      <c r="BN114" s="6">
        <v>3.1030000000000002</v>
      </c>
      <c r="BO114" s="6">
        <v>3.1240000000000001</v>
      </c>
      <c r="BP114">
        <v>3.1960000000000002</v>
      </c>
      <c r="BQ114" s="7">
        <v>45597</v>
      </c>
      <c r="BR114">
        <v>3.581</v>
      </c>
      <c r="BS114">
        <v>3.5270000000000001</v>
      </c>
      <c r="BT114">
        <v>3.496</v>
      </c>
      <c r="BU114">
        <v>3.569</v>
      </c>
      <c r="BV114">
        <v>3.5920000000000001</v>
      </c>
      <c r="BW114" s="6">
        <v>3.5760000000000001</v>
      </c>
      <c r="BX114" s="6">
        <v>3.5990000000000002</v>
      </c>
      <c r="BY114">
        <v>3.641</v>
      </c>
      <c r="BZ114" s="7">
        <v>45597</v>
      </c>
      <c r="CA114">
        <v>3.117</v>
      </c>
      <c r="CB114">
        <v>3.1230000000000002</v>
      </c>
      <c r="CC114">
        <v>3.0259999999999998</v>
      </c>
      <c r="CD114">
        <v>3.0590000000000002</v>
      </c>
      <c r="CE114">
        <v>3.1</v>
      </c>
      <c r="CF114" s="6">
        <v>3.157</v>
      </c>
      <c r="CG114" s="6">
        <v>3.18</v>
      </c>
      <c r="CH114">
        <v>3.2410000000000001</v>
      </c>
    </row>
    <row r="115" spans="2:86">
      <c r="B115" s="7">
        <v>45596</v>
      </c>
      <c r="C115">
        <v>2.9460000000000002</v>
      </c>
      <c r="D115">
        <v>2.9750000000000001</v>
      </c>
      <c r="E115">
        <v>2.875</v>
      </c>
      <c r="F115">
        <v>2.964</v>
      </c>
      <c r="G115">
        <v>2.9710000000000001</v>
      </c>
      <c r="H115">
        <v>2.93</v>
      </c>
      <c r="I115" s="6">
        <v>3.01</v>
      </c>
      <c r="J115" s="6">
        <v>2.9849999999999999</v>
      </c>
      <c r="K115" s="6">
        <v>3.1080000000000001</v>
      </c>
      <c r="L115" s="6">
        <v>3.0950000000000002</v>
      </c>
      <c r="M115" s="6">
        <v>3.012</v>
      </c>
      <c r="N115" s="6">
        <v>2.9249999999999998</v>
      </c>
      <c r="O115" s="7">
        <v>45596</v>
      </c>
      <c r="P115">
        <v>2.93</v>
      </c>
      <c r="Q115">
        <v>2.8479999999999999</v>
      </c>
      <c r="R115">
        <v>2.8410000000000002</v>
      </c>
      <c r="S115">
        <v>2.9849999999999999</v>
      </c>
      <c r="T115">
        <v>2.95</v>
      </c>
      <c r="U115" s="6">
        <v>2.9849999999999999</v>
      </c>
      <c r="V115" s="6">
        <v>0</v>
      </c>
      <c r="W115">
        <v>0</v>
      </c>
      <c r="X115" s="7">
        <v>45596</v>
      </c>
      <c r="Y115">
        <v>3.0259999999999998</v>
      </c>
      <c r="Z115">
        <v>3.0489999999999999</v>
      </c>
      <c r="AA115">
        <v>2.95</v>
      </c>
      <c r="AB115">
        <v>2.9740000000000002</v>
      </c>
      <c r="AC115">
        <v>3.0219999999999998</v>
      </c>
      <c r="AD115" s="6">
        <v>3.028</v>
      </c>
      <c r="AE115" s="6">
        <v>3.0640000000000001</v>
      </c>
      <c r="AF115">
        <v>3.1850000000000001</v>
      </c>
      <c r="AG115" s="7">
        <v>45596</v>
      </c>
      <c r="AH115">
        <v>3.347</v>
      </c>
      <c r="AI115">
        <v>3.2759999999999998</v>
      </c>
      <c r="AJ115">
        <v>3.206</v>
      </c>
      <c r="AK115">
        <v>3.2</v>
      </c>
      <c r="AL115">
        <v>3.1760000000000002</v>
      </c>
      <c r="AM115" s="6">
        <v>3.1040000000000001</v>
      </c>
      <c r="AN115" s="6">
        <v>3.129</v>
      </c>
      <c r="AO115">
        <v>3.1869999999999998</v>
      </c>
      <c r="AP115" s="7">
        <v>45596</v>
      </c>
      <c r="AQ115">
        <v>3.456</v>
      </c>
      <c r="AR115">
        <v>3.3860000000000001</v>
      </c>
      <c r="AS115">
        <v>3.3079999999999998</v>
      </c>
      <c r="AT115">
        <v>3.3679999999999999</v>
      </c>
      <c r="AU115">
        <v>3.4319999999999999</v>
      </c>
      <c r="AV115" s="6">
        <v>3.504</v>
      </c>
      <c r="AW115" s="6">
        <v>3.548</v>
      </c>
      <c r="AX115">
        <v>3.6389999999999998</v>
      </c>
      <c r="AY115" s="7">
        <v>45596</v>
      </c>
      <c r="AZ115">
        <v>3.3260000000000001</v>
      </c>
      <c r="BA115">
        <v>3.23</v>
      </c>
      <c r="BB115">
        <v>3.1819999999999999</v>
      </c>
      <c r="BC115">
        <v>3.2090000000000001</v>
      </c>
      <c r="BD115">
        <v>3.2160000000000002</v>
      </c>
      <c r="BE115" s="6">
        <v>3.1819999999999999</v>
      </c>
      <c r="BF115" s="6">
        <v>3.206</v>
      </c>
      <c r="BG115">
        <v>3.2290000000000001</v>
      </c>
      <c r="BH115" s="7">
        <v>45596</v>
      </c>
      <c r="BI115">
        <v>3.2679999999999998</v>
      </c>
      <c r="BJ115">
        <v>3.1619999999999999</v>
      </c>
      <c r="BK115">
        <v>3.0939999999999999</v>
      </c>
      <c r="BL115">
        <v>3.1440000000000001</v>
      </c>
      <c r="BM115">
        <v>3.15</v>
      </c>
      <c r="BN115" s="6">
        <v>3.0910000000000002</v>
      </c>
      <c r="BO115" s="6">
        <v>3.117</v>
      </c>
      <c r="BP115">
        <v>3.1859999999999999</v>
      </c>
      <c r="BQ115" s="7">
        <v>45596</v>
      </c>
      <c r="BR115">
        <v>3.5750000000000002</v>
      </c>
      <c r="BS115">
        <v>3.5209999999999999</v>
      </c>
      <c r="BT115">
        <v>3.4910000000000001</v>
      </c>
      <c r="BU115">
        <v>3.5630000000000002</v>
      </c>
      <c r="BV115">
        <v>3.5920000000000001</v>
      </c>
      <c r="BW115" s="6">
        <v>3.5640000000000001</v>
      </c>
      <c r="BX115" s="6">
        <v>3.5920000000000001</v>
      </c>
      <c r="BY115">
        <v>3.6309999999999998</v>
      </c>
      <c r="BZ115" s="7">
        <v>45596</v>
      </c>
      <c r="CA115">
        <v>3.1120000000000001</v>
      </c>
      <c r="CB115">
        <v>3.1349999999999998</v>
      </c>
      <c r="CC115">
        <v>3.0310000000000001</v>
      </c>
      <c r="CD115">
        <v>3.0630000000000002</v>
      </c>
      <c r="CE115">
        <v>3.1120000000000001</v>
      </c>
      <c r="CF115" s="6">
        <v>3.145</v>
      </c>
      <c r="CG115" s="6">
        <v>3.173</v>
      </c>
      <c r="CH115">
        <v>3.2389999999999999</v>
      </c>
    </row>
    <row r="116" spans="2:86">
      <c r="B116" s="7">
        <v>45595</v>
      </c>
      <c r="C116">
        <v>2.931</v>
      </c>
      <c r="D116">
        <v>2.98</v>
      </c>
      <c r="E116">
        <v>2.8730000000000002</v>
      </c>
      <c r="F116">
        <v>2.964</v>
      </c>
      <c r="G116">
        <v>2.9630000000000001</v>
      </c>
      <c r="H116">
        <v>2.9350000000000001</v>
      </c>
      <c r="I116" s="6">
        <v>3.02</v>
      </c>
      <c r="J116" s="6">
        <v>3</v>
      </c>
      <c r="K116" s="6">
        <v>3.117</v>
      </c>
      <c r="L116" s="6">
        <v>3.1019999999999999</v>
      </c>
      <c r="M116" s="6">
        <v>3.0270000000000001</v>
      </c>
      <c r="N116" s="6">
        <v>2.95</v>
      </c>
      <c r="O116" s="7">
        <v>45595</v>
      </c>
      <c r="P116">
        <v>2.93</v>
      </c>
      <c r="Q116">
        <v>2.8479999999999999</v>
      </c>
      <c r="R116">
        <v>2.8410000000000002</v>
      </c>
      <c r="S116">
        <v>2.9849999999999999</v>
      </c>
      <c r="T116">
        <v>2.95</v>
      </c>
      <c r="U116" s="6">
        <v>2.99</v>
      </c>
      <c r="V116" s="6">
        <v>0</v>
      </c>
      <c r="W116">
        <v>0</v>
      </c>
      <c r="X116" s="7">
        <v>45595</v>
      </c>
      <c r="Y116">
        <v>3.0139999999999998</v>
      </c>
      <c r="Z116">
        <v>3.0539999999999998</v>
      </c>
      <c r="AA116">
        <v>2.948</v>
      </c>
      <c r="AB116">
        <v>2.9740000000000002</v>
      </c>
      <c r="AC116">
        <v>3.0139999999999998</v>
      </c>
      <c r="AD116" s="6">
        <v>3.0329999999999999</v>
      </c>
      <c r="AE116" s="6">
        <v>3.0739999999999998</v>
      </c>
      <c r="AF116">
        <v>3.1949999999999998</v>
      </c>
      <c r="AG116" s="7">
        <v>45595</v>
      </c>
      <c r="AH116">
        <v>3.3439999999999999</v>
      </c>
      <c r="AI116">
        <v>3.2709999999999999</v>
      </c>
      <c r="AJ116">
        <v>3.2</v>
      </c>
      <c r="AK116">
        <v>3.198</v>
      </c>
      <c r="AL116">
        <v>3.177</v>
      </c>
      <c r="AM116" s="6">
        <v>3.109</v>
      </c>
      <c r="AN116" s="6">
        <v>3.1389999999999998</v>
      </c>
      <c r="AO116">
        <v>3.198</v>
      </c>
      <c r="AP116" s="7">
        <v>45595</v>
      </c>
      <c r="AQ116">
        <v>3.4540000000000002</v>
      </c>
      <c r="AR116">
        <v>3.3839999999999999</v>
      </c>
      <c r="AS116">
        <v>3.3029999999999999</v>
      </c>
      <c r="AT116">
        <v>3.37</v>
      </c>
      <c r="AU116">
        <v>3.4350000000000001</v>
      </c>
      <c r="AV116" s="6">
        <v>3.5110000000000001</v>
      </c>
      <c r="AW116" s="6">
        <v>3.5579999999999998</v>
      </c>
      <c r="AX116">
        <v>3.6549999999999998</v>
      </c>
      <c r="AY116" s="7">
        <v>45595</v>
      </c>
      <c r="AZ116">
        <v>3.3250000000000002</v>
      </c>
      <c r="BA116">
        <v>3.2290000000000001</v>
      </c>
      <c r="BB116">
        <v>3.1789999999999998</v>
      </c>
      <c r="BC116">
        <v>3.2050000000000001</v>
      </c>
      <c r="BD116">
        <v>3.2160000000000002</v>
      </c>
      <c r="BE116" s="6">
        <v>3.1850000000000001</v>
      </c>
      <c r="BF116" s="6">
        <v>3.214</v>
      </c>
      <c r="BG116">
        <v>3.24</v>
      </c>
      <c r="BH116" s="7">
        <v>45595</v>
      </c>
      <c r="BI116">
        <v>3.2669999999999999</v>
      </c>
      <c r="BJ116">
        <v>3.161</v>
      </c>
      <c r="BK116">
        <v>3.0910000000000002</v>
      </c>
      <c r="BL116">
        <v>3.14</v>
      </c>
      <c r="BM116">
        <v>3.15</v>
      </c>
      <c r="BN116" s="6">
        <v>3.0939999999999999</v>
      </c>
      <c r="BO116" s="6">
        <v>3.1259999999999999</v>
      </c>
      <c r="BP116">
        <v>3.1960000000000002</v>
      </c>
      <c r="BQ116" s="7">
        <v>45595</v>
      </c>
      <c r="BR116">
        <v>3.5739999999999998</v>
      </c>
      <c r="BS116">
        <v>3.52</v>
      </c>
      <c r="BT116">
        <v>3.49</v>
      </c>
      <c r="BU116">
        <v>3.5579999999999998</v>
      </c>
      <c r="BV116">
        <v>3.5920000000000001</v>
      </c>
      <c r="BW116" s="6">
        <v>3.5670000000000002</v>
      </c>
      <c r="BX116" s="6">
        <v>3.601</v>
      </c>
      <c r="BY116">
        <v>3.645</v>
      </c>
      <c r="BZ116" s="7">
        <v>45595</v>
      </c>
      <c r="CA116">
        <v>3.101</v>
      </c>
      <c r="CB116">
        <v>3.14</v>
      </c>
      <c r="CC116">
        <v>3.0289999999999999</v>
      </c>
      <c r="CD116">
        <v>3.0630000000000002</v>
      </c>
      <c r="CE116">
        <v>3.1040000000000001</v>
      </c>
      <c r="CF116" s="6">
        <v>3.15</v>
      </c>
      <c r="CG116" s="6">
        <v>3.1829999999999998</v>
      </c>
      <c r="CH116">
        <v>3.2490000000000001</v>
      </c>
    </row>
    <row r="117" spans="2:86">
      <c r="B117" s="7">
        <v>45594</v>
      </c>
      <c r="C117">
        <v>2.931</v>
      </c>
      <c r="D117">
        <v>2.976</v>
      </c>
      <c r="E117">
        <v>2.87</v>
      </c>
      <c r="F117">
        <v>2.948</v>
      </c>
      <c r="G117">
        <v>2.9329999999999998</v>
      </c>
      <c r="H117">
        <v>2.9319999999999999</v>
      </c>
      <c r="I117" s="6">
        <v>3.0219999999999998</v>
      </c>
      <c r="J117" s="6">
        <v>3.0070000000000001</v>
      </c>
      <c r="K117" s="6">
        <v>3.129</v>
      </c>
      <c r="L117" s="6">
        <v>3.12</v>
      </c>
      <c r="M117" s="6">
        <v>3.0379999999999998</v>
      </c>
      <c r="N117" s="6">
        <v>2.972</v>
      </c>
      <c r="O117" s="7">
        <v>45594</v>
      </c>
      <c r="P117">
        <v>2.93</v>
      </c>
      <c r="Q117">
        <v>2.8479999999999999</v>
      </c>
      <c r="R117">
        <v>2.84</v>
      </c>
      <c r="S117">
        <v>2.9750000000000001</v>
      </c>
      <c r="T117">
        <v>2.9460000000000002</v>
      </c>
      <c r="U117" s="6">
        <v>2.9870000000000001</v>
      </c>
      <c r="V117" s="6">
        <v>0</v>
      </c>
      <c r="W117">
        <v>0</v>
      </c>
      <c r="X117" s="7">
        <v>45594</v>
      </c>
      <c r="Y117">
        <v>3.0139999999999998</v>
      </c>
      <c r="Z117">
        <v>3.0510000000000002</v>
      </c>
      <c r="AA117">
        <v>2.9449999999999998</v>
      </c>
      <c r="AB117">
        <v>2.9580000000000002</v>
      </c>
      <c r="AC117">
        <v>2.9889999999999999</v>
      </c>
      <c r="AD117" s="6">
        <v>3.0310000000000001</v>
      </c>
      <c r="AE117" s="6">
        <v>3.0760000000000001</v>
      </c>
      <c r="AF117">
        <v>3.1970000000000001</v>
      </c>
      <c r="AG117" s="7">
        <v>45594</v>
      </c>
      <c r="AH117">
        <v>3.3410000000000002</v>
      </c>
      <c r="AI117">
        <v>3.266</v>
      </c>
      <c r="AJ117">
        <v>3.1930000000000001</v>
      </c>
      <c r="AK117">
        <v>3.1880000000000002</v>
      </c>
      <c r="AL117">
        <v>3.173</v>
      </c>
      <c r="AM117" s="6">
        <v>3.1070000000000002</v>
      </c>
      <c r="AN117" s="6">
        <v>3.1419999999999999</v>
      </c>
      <c r="AO117">
        <v>3.202</v>
      </c>
      <c r="AP117" s="7">
        <v>45594</v>
      </c>
      <c r="AQ117">
        <v>3.4510000000000001</v>
      </c>
      <c r="AR117">
        <v>3.383</v>
      </c>
      <c r="AS117">
        <v>3.3</v>
      </c>
      <c r="AT117">
        <v>3.3559999999999999</v>
      </c>
      <c r="AU117">
        <v>3.4289999999999998</v>
      </c>
      <c r="AV117" s="6">
        <v>3.504</v>
      </c>
      <c r="AW117" s="6">
        <v>3.56</v>
      </c>
      <c r="AX117">
        <v>3.661</v>
      </c>
      <c r="AY117" s="7">
        <v>45594</v>
      </c>
      <c r="AZ117">
        <v>3.3210000000000002</v>
      </c>
      <c r="BA117">
        <v>3.2280000000000002</v>
      </c>
      <c r="BB117">
        <v>3.173</v>
      </c>
      <c r="BC117">
        <v>3.1909999999999998</v>
      </c>
      <c r="BD117">
        <v>3.2130000000000001</v>
      </c>
      <c r="BE117" s="6">
        <v>3.1819999999999999</v>
      </c>
      <c r="BF117" s="6">
        <v>3.2170000000000001</v>
      </c>
      <c r="BG117">
        <v>3.2469999999999999</v>
      </c>
      <c r="BH117" s="7">
        <v>45594</v>
      </c>
      <c r="BI117">
        <v>3.2639999999999998</v>
      </c>
      <c r="BJ117">
        <v>3.1589999999999998</v>
      </c>
      <c r="BK117">
        <v>3.0840000000000001</v>
      </c>
      <c r="BL117">
        <v>3.1269999999999998</v>
      </c>
      <c r="BM117">
        <v>3.1469999999999998</v>
      </c>
      <c r="BN117" s="6">
        <v>3.0910000000000002</v>
      </c>
      <c r="BO117" s="6">
        <v>3.129</v>
      </c>
      <c r="BP117">
        <v>3.198</v>
      </c>
      <c r="BQ117" s="7">
        <v>45594</v>
      </c>
      <c r="BR117">
        <v>3.5710000000000002</v>
      </c>
      <c r="BS117">
        <v>3.5179999999999998</v>
      </c>
      <c r="BT117">
        <v>3.4830000000000001</v>
      </c>
      <c r="BU117">
        <v>3.5449999999999999</v>
      </c>
      <c r="BV117">
        <v>3.59</v>
      </c>
      <c r="BW117" s="6">
        <v>3.5640000000000001</v>
      </c>
      <c r="BX117" s="6">
        <v>3.6040000000000001</v>
      </c>
      <c r="BY117">
        <v>3.6509999999999998</v>
      </c>
      <c r="BZ117" s="7">
        <v>45594</v>
      </c>
      <c r="CA117">
        <v>3.0990000000000002</v>
      </c>
      <c r="CB117">
        <v>3.1349999999999998</v>
      </c>
      <c r="CC117">
        <v>3.0259999999999998</v>
      </c>
      <c r="CD117">
        <v>3.0459999999999998</v>
      </c>
      <c r="CE117">
        <v>3.0750000000000002</v>
      </c>
      <c r="CF117" s="6">
        <v>3.1480000000000001</v>
      </c>
      <c r="CG117" s="6">
        <v>3.1859999999999999</v>
      </c>
      <c r="CH117">
        <v>3.2509999999999999</v>
      </c>
    </row>
    <row r="118" spans="2:86">
      <c r="B118" s="7">
        <v>45593</v>
      </c>
      <c r="C118">
        <v>2.93</v>
      </c>
      <c r="D118">
        <v>2.9630000000000001</v>
      </c>
      <c r="E118">
        <v>2.8650000000000002</v>
      </c>
      <c r="F118">
        <v>2.948</v>
      </c>
      <c r="G118">
        <v>2.9289999999999998</v>
      </c>
      <c r="H118">
        <v>2.9319999999999999</v>
      </c>
      <c r="I118" s="6">
        <v>3.03</v>
      </c>
      <c r="J118" s="6">
        <v>3.0150000000000001</v>
      </c>
      <c r="K118" s="6">
        <v>3.1360000000000001</v>
      </c>
      <c r="L118" s="6">
        <v>3.1269999999999998</v>
      </c>
      <c r="M118" s="6">
        <v>3.03</v>
      </c>
      <c r="N118" s="6">
        <v>2.972</v>
      </c>
      <c r="O118" s="7">
        <v>45593</v>
      </c>
      <c r="P118">
        <v>2.931</v>
      </c>
      <c r="Q118">
        <v>2.85</v>
      </c>
      <c r="R118">
        <v>2.8380000000000001</v>
      </c>
      <c r="S118">
        <v>2.9740000000000002</v>
      </c>
      <c r="T118">
        <v>2.9350000000000001</v>
      </c>
      <c r="U118" s="6">
        <v>2.984</v>
      </c>
      <c r="V118" s="6">
        <v>0</v>
      </c>
      <c r="W118">
        <v>0</v>
      </c>
      <c r="X118" s="7">
        <v>45593</v>
      </c>
      <c r="Y118">
        <v>3.012</v>
      </c>
      <c r="Z118">
        <v>3.0390000000000001</v>
      </c>
      <c r="AA118">
        <v>2.94</v>
      </c>
      <c r="AB118">
        <v>2.9580000000000002</v>
      </c>
      <c r="AC118">
        <v>2.9870000000000001</v>
      </c>
      <c r="AD118" s="6">
        <v>3.0310000000000001</v>
      </c>
      <c r="AE118" s="6">
        <v>3.0859999999999999</v>
      </c>
      <c r="AF118">
        <v>3.19</v>
      </c>
      <c r="AG118" s="7">
        <v>45593</v>
      </c>
      <c r="AH118">
        <v>3.3370000000000002</v>
      </c>
      <c r="AI118">
        <v>3.26</v>
      </c>
      <c r="AJ118">
        <v>3.1859999999999999</v>
      </c>
      <c r="AK118">
        <v>3.1829999999999998</v>
      </c>
      <c r="AL118">
        <v>3.161</v>
      </c>
      <c r="AM118" s="6">
        <v>3.105</v>
      </c>
      <c r="AN118" s="6">
        <v>3.1509999999999998</v>
      </c>
      <c r="AO118">
        <v>3.2090000000000001</v>
      </c>
      <c r="AP118" s="7">
        <v>45593</v>
      </c>
      <c r="AQ118">
        <v>3.4489999999999998</v>
      </c>
      <c r="AR118">
        <v>3.3809999999999998</v>
      </c>
      <c r="AS118">
        <v>3.2930000000000001</v>
      </c>
      <c r="AT118">
        <v>3.3540000000000001</v>
      </c>
      <c r="AU118">
        <v>3.4140000000000001</v>
      </c>
      <c r="AV118" s="6">
        <v>3.5030000000000001</v>
      </c>
      <c r="AW118" s="6">
        <v>3.569</v>
      </c>
      <c r="AX118">
        <v>3.669</v>
      </c>
      <c r="AY118" s="7">
        <v>45593</v>
      </c>
      <c r="AZ118">
        <v>3.3210000000000002</v>
      </c>
      <c r="BA118">
        <v>3.2280000000000002</v>
      </c>
      <c r="BB118">
        <v>3.1709999999999998</v>
      </c>
      <c r="BC118">
        <v>3.1890000000000001</v>
      </c>
      <c r="BD118">
        <v>3.2010000000000001</v>
      </c>
      <c r="BE118" s="6">
        <v>3.1819999999999999</v>
      </c>
      <c r="BF118" s="6">
        <v>3.2240000000000002</v>
      </c>
      <c r="BG118">
        <v>3.2549999999999999</v>
      </c>
      <c r="BH118" s="7">
        <v>45593</v>
      </c>
      <c r="BI118">
        <v>3.2639999999999998</v>
      </c>
      <c r="BJ118">
        <v>3.1589999999999998</v>
      </c>
      <c r="BK118">
        <v>3.0830000000000002</v>
      </c>
      <c r="BL118">
        <v>3.1240000000000001</v>
      </c>
      <c r="BM118">
        <v>3.1349999999999998</v>
      </c>
      <c r="BN118" s="6">
        <v>3.0910000000000002</v>
      </c>
      <c r="BO118" s="6">
        <v>3.1360000000000001</v>
      </c>
      <c r="BP118">
        <v>3.1949999999999998</v>
      </c>
      <c r="BQ118" s="7">
        <v>45593</v>
      </c>
      <c r="BR118">
        <v>3.5710000000000002</v>
      </c>
      <c r="BS118">
        <v>3.5179999999999998</v>
      </c>
      <c r="BT118">
        <v>3.4820000000000002</v>
      </c>
      <c r="BU118">
        <v>3.5419999999999998</v>
      </c>
      <c r="BV118">
        <v>3.577</v>
      </c>
      <c r="BW118" s="6">
        <v>3.5640000000000001</v>
      </c>
      <c r="BX118" s="6">
        <v>3.6110000000000002</v>
      </c>
      <c r="BY118">
        <v>3.6589999999999998</v>
      </c>
      <c r="BZ118" s="7">
        <v>45593</v>
      </c>
      <c r="CA118">
        <v>3.097</v>
      </c>
      <c r="CB118">
        <v>3.1230000000000002</v>
      </c>
      <c r="CC118">
        <v>3.0209999999999999</v>
      </c>
      <c r="CD118">
        <v>3.0459999999999998</v>
      </c>
      <c r="CE118">
        <v>3.073</v>
      </c>
      <c r="CF118" s="6">
        <v>3.1480000000000001</v>
      </c>
      <c r="CG118" s="6">
        <v>3.1960000000000002</v>
      </c>
      <c r="CH118">
        <v>3.2440000000000002</v>
      </c>
    </row>
    <row r="119" spans="2:86">
      <c r="B119" s="7">
        <v>45590</v>
      </c>
      <c r="C119">
        <v>2.9279999999999999</v>
      </c>
      <c r="D119">
        <v>2.948</v>
      </c>
      <c r="E119">
        <v>2.8530000000000002</v>
      </c>
      <c r="F119">
        <v>2.92</v>
      </c>
      <c r="G119">
        <v>2.8879999999999999</v>
      </c>
      <c r="H119">
        <v>2.88</v>
      </c>
      <c r="I119" s="6">
        <v>2.9729999999999999</v>
      </c>
      <c r="J119" s="6">
        <v>2.95</v>
      </c>
      <c r="K119" s="6">
        <v>3.0710000000000002</v>
      </c>
      <c r="L119" s="6">
        <v>3.06</v>
      </c>
      <c r="M119" s="6">
        <v>2.988</v>
      </c>
      <c r="N119" s="6">
        <v>2.9220000000000002</v>
      </c>
      <c r="O119" s="7">
        <v>45590</v>
      </c>
      <c r="P119">
        <v>2.931</v>
      </c>
      <c r="Q119">
        <v>2.8460000000000001</v>
      </c>
      <c r="R119">
        <v>2.8330000000000002</v>
      </c>
      <c r="S119">
        <v>2.944</v>
      </c>
      <c r="T119">
        <v>2.8809999999999998</v>
      </c>
      <c r="U119" s="6">
        <v>2.9319999999999999</v>
      </c>
      <c r="V119" s="6">
        <v>0</v>
      </c>
      <c r="W119">
        <v>0</v>
      </c>
      <c r="X119" s="7">
        <v>45590</v>
      </c>
      <c r="Y119">
        <v>3.0110000000000001</v>
      </c>
      <c r="Z119">
        <v>3.024</v>
      </c>
      <c r="AA119">
        <v>2.9279999999999999</v>
      </c>
      <c r="AB119">
        <v>2.93</v>
      </c>
      <c r="AC119">
        <v>2.9449999999999998</v>
      </c>
      <c r="AD119" s="6">
        <v>2.9780000000000002</v>
      </c>
      <c r="AE119" s="6">
        <v>3.028</v>
      </c>
      <c r="AF119">
        <v>3.12</v>
      </c>
      <c r="AG119" s="7">
        <v>45590</v>
      </c>
      <c r="AH119">
        <v>3.327</v>
      </c>
      <c r="AI119">
        <v>3.25</v>
      </c>
      <c r="AJ119">
        <v>3.1739999999999999</v>
      </c>
      <c r="AK119">
        <v>3.1549999999999998</v>
      </c>
      <c r="AL119">
        <v>3.1080000000000001</v>
      </c>
      <c r="AM119" s="6">
        <v>3.0529999999999999</v>
      </c>
      <c r="AN119" s="6">
        <v>3.0950000000000002</v>
      </c>
      <c r="AO119">
        <v>3.1459999999999999</v>
      </c>
      <c r="AP119" s="7">
        <v>45590</v>
      </c>
      <c r="AQ119">
        <v>3.444</v>
      </c>
      <c r="AR119">
        <v>3.3740000000000001</v>
      </c>
      <c r="AS119">
        <v>3.282</v>
      </c>
      <c r="AT119">
        <v>3.3239999999999998</v>
      </c>
      <c r="AU119">
        <v>3.359</v>
      </c>
      <c r="AV119" s="6">
        <v>3.4510000000000001</v>
      </c>
      <c r="AW119" s="6">
        <v>3.5110000000000001</v>
      </c>
      <c r="AX119">
        <v>3.6040000000000001</v>
      </c>
      <c r="AY119" s="7">
        <v>45590</v>
      </c>
      <c r="AZ119">
        <v>3.3210000000000002</v>
      </c>
      <c r="BA119">
        <v>3.2240000000000002</v>
      </c>
      <c r="BB119">
        <v>3.1680000000000001</v>
      </c>
      <c r="BC119">
        <v>3.1589999999999998</v>
      </c>
      <c r="BD119">
        <v>3.1480000000000001</v>
      </c>
      <c r="BE119" s="6">
        <v>3.13</v>
      </c>
      <c r="BF119" s="6">
        <v>3.1680000000000001</v>
      </c>
      <c r="BG119">
        <v>3.1909999999999998</v>
      </c>
      <c r="BH119" s="7">
        <v>45590</v>
      </c>
      <c r="BI119">
        <v>3.2639999999999998</v>
      </c>
      <c r="BJ119">
        <v>3.1560000000000001</v>
      </c>
      <c r="BK119">
        <v>3.0790000000000002</v>
      </c>
      <c r="BL119">
        <v>3.0939999999999999</v>
      </c>
      <c r="BM119">
        <v>3.081</v>
      </c>
      <c r="BN119" s="6">
        <v>3.0390000000000001</v>
      </c>
      <c r="BO119" s="6">
        <v>3.08</v>
      </c>
      <c r="BP119">
        <v>3.1309999999999998</v>
      </c>
      <c r="BQ119" s="7">
        <v>45590</v>
      </c>
      <c r="BR119">
        <v>3.5710000000000002</v>
      </c>
      <c r="BS119">
        <v>3.5150000000000001</v>
      </c>
      <c r="BT119">
        <v>3.4780000000000002</v>
      </c>
      <c r="BU119">
        <v>3.512</v>
      </c>
      <c r="BV119">
        <v>3.524</v>
      </c>
      <c r="BW119" s="6">
        <v>3.512</v>
      </c>
      <c r="BX119" s="6">
        <v>3.5550000000000002</v>
      </c>
      <c r="BY119">
        <v>3.5960000000000001</v>
      </c>
      <c r="BZ119" s="7">
        <v>45590</v>
      </c>
      <c r="CA119">
        <v>3.0960000000000001</v>
      </c>
      <c r="CB119">
        <v>3.1080000000000001</v>
      </c>
      <c r="CC119">
        <v>3.0089999999999999</v>
      </c>
      <c r="CD119">
        <v>3.0179999999999998</v>
      </c>
      <c r="CE119">
        <v>3.0310000000000001</v>
      </c>
      <c r="CF119" s="6">
        <v>3.0960000000000001</v>
      </c>
      <c r="CG119" s="6">
        <v>3.1379999999999999</v>
      </c>
      <c r="CH119">
        <v>3.1739999999999999</v>
      </c>
    </row>
    <row r="120" spans="2:86">
      <c r="B120" s="7">
        <v>45589</v>
      </c>
      <c r="C120">
        <v>2.9279999999999999</v>
      </c>
      <c r="D120">
        <v>2.9449999999999998</v>
      </c>
      <c r="E120">
        <v>2.855</v>
      </c>
      <c r="F120">
        <v>2.9260000000000002</v>
      </c>
      <c r="G120">
        <v>2.8929999999999998</v>
      </c>
      <c r="H120">
        <v>2.89</v>
      </c>
      <c r="I120" s="6">
        <v>2.9809999999999999</v>
      </c>
      <c r="J120" s="6">
        <v>2.9529999999999998</v>
      </c>
      <c r="K120" s="6">
        <v>3.0790000000000002</v>
      </c>
      <c r="L120" s="6">
        <v>3.07</v>
      </c>
      <c r="M120" s="6">
        <v>2.9950000000000001</v>
      </c>
      <c r="N120" s="6">
        <v>2.9239999999999999</v>
      </c>
      <c r="O120" s="7">
        <v>45589</v>
      </c>
      <c r="P120">
        <v>2.931</v>
      </c>
      <c r="Q120">
        <v>2.851</v>
      </c>
      <c r="R120">
        <v>2.8410000000000002</v>
      </c>
      <c r="S120">
        <v>2.9510000000000001</v>
      </c>
      <c r="T120">
        <v>2.88</v>
      </c>
      <c r="U120" s="6">
        <v>2.9390000000000001</v>
      </c>
      <c r="V120" s="6">
        <v>0</v>
      </c>
      <c r="W120">
        <v>0</v>
      </c>
      <c r="X120" s="7">
        <v>45589</v>
      </c>
      <c r="Y120">
        <v>3.0110000000000001</v>
      </c>
      <c r="Z120">
        <v>3.0209999999999999</v>
      </c>
      <c r="AA120">
        <v>2.93</v>
      </c>
      <c r="AB120">
        <v>2.9369999999999998</v>
      </c>
      <c r="AC120">
        <v>2.95</v>
      </c>
      <c r="AD120" s="6">
        <v>2.988</v>
      </c>
      <c r="AE120" s="6">
        <v>3.0369999999999999</v>
      </c>
      <c r="AF120">
        <v>3.1240000000000001</v>
      </c>
      <c r="AG120" s="7">
        <v>45589</v>
      </c>
      <c r="AH120">
        <v>3.3239999999999998</v>
      </c>
      <c r="AI120">
        <v>3.2490000000000001</v>
      </c>
      <c r="AJ120">
        <v>3.1739999999999999</v>
      </c>
      <c r="AK120">
        <v>3.157</v>
      </c>
      <c r="AL120">
        <v>3.1059999999999999</v>
      </c>
      <c r="AM120" s="6">
        <v>3.0619999999999998</v>
      </c>
      <c r="AN120" s="6">
        <v>3.1019999999999999</v>
      </c>
      <c r="AO120">
        <v>3.149</v>
      </c>
      <c r="AP120" s="7">
        <v>45589</v>
      </c>
      <c r="AQ120">
        <v>3.4430000000000001</v>
      </c>
      <c r="AR120">
        <v>3.3780000000000001</v>
      </c>
      <c r="AS120">
        <v>3.2869999999999999</v>
      </c>
      <c r="AT120">
        <v>3.331</v>
      </c>
      <c r="AU120">
        <v>3.3570000000000002</v>
      </c>
      <c r="AV120" s="6">
        <v>3.4590000000000001</v>
      </c>
      <c r="AW120" s="6">
        <v>3.5179999999999998</v>
      </c>
      <c r="AX120">
        <v>3.6070000000000002</v>
      </c>
      <c r="AY120" s="7">
        <v>45589</v>
      </c>
      <c r="AZ120">
        <v>3.3180000000000001</v>
      </c>
      <c r="BA120">
        <v>3.2280000000000002</v>
      </c>
      <c r="BB120">
        <v>3.1739999999999999</v>
      </c>
      <c r="BC120">
        <v>3.1640000000000001</v>
      </c>
      <c r="BD120">
        <v>3.1440000000000001</v>
      </c>
      <c r="BE120" s="6">
        <v>3.1379999999999999</v>
      </c>
      <c r="BF120" s="6">
        <v>3.1779999999999999</v>
      </c>
      <c r="BG120">
        <v>3.1960000000000002</v>
      </c>
      <c r="BH120" s="7">
        <v>45589</v>
      </c>
      <c r="BI120">
        <v>3.26</v>
      </c>
      <c r="BJ120">
        <v>3.1589999999999998</v>
      </c>
      <c r="BK120">
        <v>3.0859999999999999</v>
      </c>
      <c r="BL120">
        <v>3.1</v>
      </c>
      <c r="BM120">
        <v>3.0779999999999998</v>
      </c>
      <c r="BN120" s="6">
        <v>3.0459999999999998</v>
      </c>
      <c r="BO120" s="6">
        <v>3.0870000000000002</v>
      </c>
      <c r="BP120">
        <v>3.1339999999999999</v>
      </c>
      <c r="BQ120" s="7">
        <v>45589</v>
      </c>
      <c r="BR120">
        <v>3.5680000000000001</v>
      </c>
      <c r="BS120">
        <v>3.5179999999999998</v>
      </c>
      <c r="BT120">
        <v>3.4849999999999999</v>
      </c>
      <c r="BU120">
        <v>3.5179999999999998</v>
      </c>
      <c r="BV120">
        <v>3.5209999999999999</v>
      </c>
      <c r="BW120" s="6">
        <v>3.5190000000000001</v>
      </c>
      <c r="BX120" s="6">
        <v>3.5630000000000002</v>
      </c>
      <c r="BY120">
        <v>3.5990000000000002</v>
      </c>
      <c r="BZ120" s="7">
        <v>45589</v>
      </c>
      <c r="CA120">
        <v>3.0960000000000001</v>
      </c>
      <c r="CB120">
        <v>3.105</v>
      </c>
      <c r="CC120">
        <v>3.0110000000000001</v>
      </c>
      <c r="CD120">
        <v>3.024</v>
      </c>
      <c r="CE120">
        <v>3.0390000000000001</v>
      </c>
      <c r="CF120" s="6">
        <v>3.1059999999999999</v>
      </c>
      <c r="CG120" s="6">
        <v>3.1469999999999998</v>
      </c>
      <c r="CH120">
        <v>3.18</v>
      </c>
    </row>
    <row r="121" spans="2:86">
      <c r="B121" s="7">
        <v>45588</v>
      </c>
      <c r="C121">
        <v>2.9359999999999999</v>
      </c>
      <c r="D121">
        <v>2.9550000000000001</v>
      </c>
      <c r="E121">
        <v>2.87</v>
      </c>
      <c r="F121">
        <v>2.948</v>
      </c>
      <c r="G121">
        <v>2.93</v>
      </c>
      <c r="H121">
        <v>2.9319999999999999</v>
      </c>
      <c r="I121" s="6">
        <v>3.03</v>
      </c>
      <c r="J121" s="6">
        <v>3.0070000000000001</v>
      </c>
      <c r="K121" s="6">
        <v>3.1339999999999999</v>
      </c>
      <c r="L121" s="6">
        <v>3.1269999999999998</v>
      </c>
      <c r="M121" s="6">
        <v>3.0230000000000001</v>
      </c>
      <c r="N121" s="6">
        <v>2.96</v>
      </c>
      <c r="O121" s="7">
        <v>45588</v>
      </c>
      <c r="P121">
        <v>2.9329999999999998</v>
      </c>
      <c r="Q121">
        <v>2.8530000000000002</v>
      </c>
      <c r="R121">
        <v>2.85</v>
      </c>
      <c r="S121">
        <v>2.992</v>
      </c>
      <c r="T121">
        <v>2.92</v>
      </c>
      <c r="U121" s="6">
        <v>2.9830000000000001</v>
      </c>
      <c r="V121" s="6">
        <v>0</v>
      </c>
      <c r="W121">
        <v>0</v>
      </c>
      <c r="X121" s="7">
        <v>45588</v>
      </c>
      <c r="Y121">
        <v>3.0190000000000001</v>
      </c>
      <c r="Z121">
        <v>3.0310000000000001</v>
      </c>
      <c r="AA121">
        <v>2.9449999999999998</v>
      </c>
      <c r="AB121">
        <v>2.9620000000000002</v>
      </c>
      <c r="AC121">
        <v>2.988</v>
      </c>
      <c r="AD121" s="6">
        <v>3.0310000000000001</v>
      </c>
      <c r="AE121" s="6">
        <v>3.0819999999999999</v>
      </c>
      <c r="AF121">
        <v>3.17</v>
      </c>
      <c r="AG121" s="7">
        <v>45588</v>
      </c>
      <c r="AH121">
        <v>3.323</v>
      </c>
      <c r="AI121">
        <v>3.2469999999999999</v>
      </c>
      <c r="AJ121">
        <v>3.1760000000000002</v>
      </c>
      <c r="AK121">
        <v>3.19</v>
      </c>
      <c r="AL121">
        <v>3.141</v>
      </c>
      <c r="AM121" s="6">
        <v>3.1019999999999999</v>
      </c>
      <c r="AN121" s="6">
        <v>3.149</v>
      </c>
      <c r="AO121">
        <v>3.202</v>
      </c>
      <c r="AP121" s="7">
        <v>45588</v>
      </c>
      <c r="AQ121">
        <v>3.448</v>
      </c>
      <c r="AR121">
        <v>3.3839999999999999</v>
      </c>
      <c r="AS121">
        <v>3.298</v>
      </c>
      <c r="AT121">
        <v>3.3740000000000001</v>
      </c>
      <c r="AU121">
        <v>3.399</v>
      </c>
      <c r="AV121" s="6">
        <v>3.5009999999999999</v>
      </c>
      <c r="AW121" s="6">
        <v>3.5649999999999999</v>
      </c>
      <c r="AX121">
        <v>3.66</v>
      </c>
      <c r="AY121" s="7">
        <v>45588</v>
      </c>
      <c r="AZ121">
        <v>3.3159999999999998</v>
      </c>
      <c r="BA121">
        <v>3.2330000000000001</v>
      </c>
      <c r="BB121">
        <v>3.1829999999999998</v>
      </c>
      <c r="BC121">
        <v>3.2040000000000002</v>
      </c>
      <c r="BD121">
        <v>3.18</v>
      </c>
      <c r="BE121" s="6">
        <v>3.18</v>
      </c>
      <c r="BF121" s="6">
        <v>3.2269999999999999</v>
      </c>
      <c r="BG121">
        <v>3.2490000000000001</v>
      </c>
      <c r="BH121" s="7">
        <v>45588</v>
      </c>
      <c r="BI121">
        <v>3.2589999999999999</v>
      </c>
      <c r="BJ121">
        <v>3.1640000000000001</v>
      </c>
      <c r="BK121">
        <v>3.0939999999999999</v>
      </c>
      <c r="BL121">
        <v>3.1389999999999998</v>
      </c>
      <c r="BM121">
        <v>3.1160000000000001</v>
      </c>
      <c r="BN121" s="6">
        <v>3.0870000000000002</v>
      </c>
      <c r="BO121" s="6">
        <v>3.1360000000000001</v>
      </c>
      <c r="BP121">
        <v>3.1880000000000002</v>
      </c>
      <c r="BQ121" s="7">
        <v>45588</v>
      </c>
      <c r="BR121">
        <v>3.5659999999999998</v>
      </c>
      <c r="BS121">
        <v>3.5230000000000001</v>
      </c>
      <c r="BT121">
        <v>3.4929999999999999</v>
      </c>
      <c r="BU121">
        <v>3.5569999999999999</v>
      </c>
      <c r="BV121">
        <v>3.5569999999999999</v>
      </c>
      <c r="BW121" s="6">
        <v>3.56</v>
      </c>
      <c r="BX121" s="6">
        <v>3.6120000000000001</v>
      </c>
      <c r="BY121">
        <v>3.6520000000000001</v>
      </c>
      <c r="BZ121" s="7">
        <v>45588</v>
      </c>
      <c r="CA121">
        <v>3.1040000000000001</v>
      </c>
      <c r="CB121">
        <v>3.1150000000000002</v>
      </c>
      <c r="CC121">
        <v>3.0259999999999998</v>
      </c>
      <c r="CD121">
        <v>3.0489999999999999</v>
      </c>
      <c r="CE121">
        <v>3.0760000000000001</v>
      </c>
      <c r="CF121" s="6">
        <v>3.1480000000000001</v>
      </c>
      <c r="CG121" s="6">
        <v>3.1920000000000002</v>
      </c>
      <c r="CH121">
        <v>3.2269999999999999</v>
      </c>
    </row>
    <row r="122" spans="2:86">
      <c r="B122" s="7">
        <v>45587</v>
      </c>
      <c r="C122">
        <v>2.9380000000000002</v>
      </c>
      <c r="D122">
        <v>2.9430000000000001</v>
      </c>
      <c r="E122">
        <v>2.87</v>
      </c>
      <c r="F122">
        <v>2.948</v>
      </c>
      <c r="G122">
        <v>2.9359999999999999</v>
      </c>
      <c r="H122">
        <v>2.9420000000000002</v>
      </c>
      <c r="I122" s="6">
        <v>3.0350000000000001</v>
      </c>
      <c r="J122" s="6">
        <v>3.012</v>
      </c>
      <c r="K122" s="6">
        <v>3.1349999999999998</v>
      </c>
      <c r="L122" s="6">
        <v>3.1269999999999998</v>
      </c>
      <c r="M122" s="6">
        <v>3.03</v>
      </c>
      <c r="N122" s="6">
        <v>2.9649999999999999</v>
      </c>
      <c r="O122" s="7">
        <v>45587</v>
      </c>
      <c r="P122">
        <v>2.93</v>
      </c>
      <c r="Q122">
        <v>2.85</v>
      </c>
      <c r="R122">
        <v>2.8479999999999999</v>
      </c>
      <c r="S122">
        <v>2.9830000000000001</v>
      </c>
      <c r="T122">
        <v>2.9169999999999998</v>
      </c>
      <c r="U122" s="6">
        <v>2.992</v>
      </c>
      <c r="V122" s="6">
        <v>0</v>
      </c>
      <c r="W122">
        <v>0</v>
      </c>
      <c r="X122" s="7">
        <v>45587</v>
      </c>
      <c r="Y122">
        <v>3.0209999999999999</v>
      </c>
      <c r="Z122">
        <v>3.0190000000000001</v>
      </c>
      <c r="AA122">
        <v>2.9449999999999998</v>
      </c>
      <c r="AB122">
        <v>2.9620000000000002</v>
      </c>
      <c r="AC122">
        <v>2.9929999999999999</v>
      </c>
      <c r="AD122" s="6">
        <v>3.0430000000000001</v>
      </c>
      <c r="AE122" s="6">
        <v>3.0870000000000002</v>
      </c>
      <c r="AF122">
        <v>3.1709999999999998</v>
      </c>
      <c r="AG122" s="7">
        <v>45587</v>
      </c>
      <c r="AH122">
        <v>3.3170000000000002</v>
      </c>
      <c r="AI122">
        <v>3.2410000000000001</v>
      </c>
      <c r="AJ122">
        <v>3.1709999999999998</v>
      </c>
      <c r="AK122">
        <v>3.18</v>
      </c>
      <c r="AL122">
        <v>3.1379999999999999</v>
      </c>
      <c r="AM122" s="6">
        <v>3.1120000000000001</v>
      </c>
      <c r="AN122" s="6">
        <v>3.1539999999999999</v>
      </c>
      <c r="AO122">
        <v>3.2069999999999999</v>
      </c>
      <c r="AP122" s="7">
        <v>45587</v>
      </c>
      <c r="AQ122">
        <v>3.4390000000000001</v>
      </c>
      <c r="AR122">
        <v>3.3759999999999999</v>
      </c>
      <c r="AS122">
        <v>3.298</v>
      </c>
      <c r="AT122">
        <v>3.3660000000000001</v>
      </c>
      <c r="AU122">
        <v>3.3980000000000001</v>
      </c>
      <c r="AV122" s="6">
        <v>3.5139999999999998</v>
      </c>
      <c r="AW122" s="6">
        <v>3.573</v>
      </c>
      <c r="AX122">
        <v>3.6659999999999999</v>
      </c>
      <c r="AY122" s="7">
        <v>45587</v>
      </c>
      <c r="AZ122">
        <v>3.3149999999999999</v>
      </c>
      <c r="BA122">
        <v>3.2290000000000001</v>
      </c>
      <c r="BB122">
        <v>3.1829999999999998</v>
      </c>
      <c r="BC122">
        <v>3.1960000000000002</v>
      </c>
      <c r="BD122">
        <v>3.1749999999999998</v>
      </c>
      <c r="BE122" s="6">
        <v>3.1909999999999998</v>
      </c>
      <c r="BF122" s="6">
        <v>3.234</v>
      </c>
      <c r="BG122">
        <v>3.254</v>
      </c>
      <c r="BH122" s="7">
        <v>45587</v>
      </c>
      <c r="BI122">
        <v>3.2570000000000001</v>
      </c>
      <c r="BJ122">
        <v>3.161</v>
      </c>
      <c r="BK122">
        <v>3.0939999999999999</v>
      </c>
      <c r="BL122">
        <v>3.1309999999999998</v>
      </c>
      <c r="BM122">
        <v>3.11</v>
      </c>
      <c r="BN122" s="6">
        <v>3.097</v>
      </c>
      <c r="BO122" s="6">
        <v>3.1419999999999999</v>
      </c>
      <c r="BP122">
        <v>3.1930000000000001</v>
      </c>
      <c r="BQ122" s="7">
        <v>45587</v>
      </c>
      <c r="BR122">
        <v>3.5640000000000001</v>
      </c>
      <c r="BS122">
        <v>3.52</v>
      </c>
      <c r="BT122">
        <v>3.4929999999999999</v>
      </c>
      <c r="BU122">
        <v>3.55</v>
      </c>
      <c r="BV122">
        <v>3.5510000000000002</v>
      </c>
      <c r="BW122" s="6">
        <v>3.5720000000000001</v>
      </c>
      <c r="BX122" s="6">
        <v>3.6179999999999999</v>
      </c>
      <c r="BY122">
        <v>3.657</v>
      </c>
      <c r="BZ122" s="7">
        <v>45587</v>
      </c>
      <c r="CA122">
        <v>3.1059999999999999</v>
      </c>
      <c r="CB122">
        <v>3.1030000000000002</v>
      </c>
      <c r="CC122">
        <v>3.0259999999999998</v>
      </c>
      <c r="CD122">
        <v>3.0489999999999999</v>
      </c>
      <c r="CE122">
        <v>3.0819999999999999</v>
      </c>
      <c r="CF122" s="6">
        <v>3.161</v>
      </c>
      <c r="CG122" s="6">
        <v>3.1970000000000001</v>
      </c>
      <c r="CH122">
        <v>3.2280000000000002</v>
      </c>
    </row>
    <row r="123" spans="2:86">
      <c r="B123" s="7">
        <v>45586</v>
      </c>
      <c r="C123">
        <v>2.9350000000000001</v>
      </c>
      <c r="D123">
        <v>2.9449999999999998</v>
      </c>
      <c r="E123">
        <v>2.8639999999999999</v>
      </c>
      <c r="F123">
        <v>2.9279999999999999</v>
      </c>
      <c r="G123">
        <v>2.9159999999999999</v>
      </c>
      <c r="H123">
        <v>2.9049999999999998</v>
      </c>
      <c r="I123" s="6">
        <v>2.9950000000000001</v>
      </c>
      <c r="J123" s="6">
        <v>2.9649999999999999</v>
      </c>
      <c r="K123" s="6">
        <v>3.077</v>
      </c>
      <c r="L123" s="6">
        <v>3.0569999999999999</v>
      </c>
      <c r="M123" s="6">
        <v>2.9780000000000002</v>
      </c>
      <c r="N123" s="6">
        <v>2.9249999999999998</v>
      </c>
      <c r="O123" s="7">
        <v>45586</v>
      </c>
      <c r="P123">
        <v>2.9260000000000002</v>
      </c>
      <c r="Q123">
        <v>2.8479999999999999</v>
      </c>
      <c r="R123">
        <v>2.8450000000000002</v>
      </c>
      <c r="S123">
        <v>2.9649999999999999</v>
      </c>
      <c r="T123">
        <v>2.8969999999999998</v>
      </c>
      <c r="U123" s="6">
        <v>2.9550000000000001</v>
      </c>
      <c r="V123" s="6">
        <v>0</v>
      </c>
      <c r="W123">
        <v>0</v>
      </c>
      <c r="X123" s="7">
        <v>45586</v>
      </c>
      <c r="Y123">
        <v>3.0179999999999998</v>
      </c>
      <c r="Z123">
        <v>3.0219999999999998</v>
      </c>
      <c r="AA123">
        <v>2.9390000000000001</v>
      </c>
      <c r="AB123">
        <v>2.9420000000000002</v>
      </c>
      <c r="AC123">
        <v>2.9729999999999999</v>
      </c>
      <c r="AD123" s="6">
        <v>3.0059999999999998</v>
      </c>
      <c r="AE123" s="6">
        <v>3.05</v>
      </c>
      <c r="AF123">
        <v>3.1160000000000001</v>
      </c>
      <c r="AG123" s="7">
        <v>45586</v>
      </c>
      <c r="AH123">
        <v>3.3069999999999999</v>
      </c>
      <c r="AI123">
        <v>3.2320000000000002</v>
      </c>
      <c r="AJ123">
        <v>3.1629999999999998</v>
      </c>
      <c r="AK123">
        <v>3.1589999999999998</v>
      </c>
      <c r="AL123">
        <v>3.1160000000000001</v>
      </c>
      <c r="AM123" s="6">
        <v>3.0750000000000002</v>
      </c>
      <c r="AN123" s="6">
        <v>3.1139999999999999</v>
      </c>
      <c r="AO123">
        <v>3.1629999999999998</v>
      </c>
      <c r="AP123" s="7">
        <v>45586</v>
      </c>
      <c r="AQ123">
        <v>3.4380000000000002</v>
      </c>
      <c r="AR123">
        <v>3.3730000000000002</v>
      </c>
      <c r="AS123">
        <v>3.2930000000000001</v>
      </c>
      <c r="AT123">
        <v>3.3479999999999999</v>
      </c>
      <c r="AU123">
        <v>3.3769999999999998</v>
      </c>
      <c r="AV123" s="6">
        <v>3.476</v>
      </c>
      <c r="AW123" s="6">
        <v>3.53</v>
      </c>
      <c r="AX123">
        <v>3.6190000000000002</v>
      </c>
      <c r="AY123" s="7">
        <v>45586</v>
      </c>
      <c r="AZ123">
        <v>3.3109999999999999</v>
      </c>
      <c r="BA123">
        <v>3.2280000000000002</v>
      </c>
      <c r="BB123">
        <v>3.1789999999999998</v>
      </c>
      <c r="BC123">
        <v>3.1760000000000002</v>
      </c>
      <c r="BD123">
        <v>3.1549999999999998</v>
      </c>
      <c r="BE123" s="6">
        <v>3.1579999999999999</v>
      </c>
      <c r="BF123" s="6">
        <v>3.1949999999999998</v>
      </c>
      <c r="BG123">
        <v>3.2130000000000001</v>
      </c>
      <c r="BH123" s="7">
        <v>45586</v>
      </c>
      <c r="BI123">
        <v>3.254</v>
      </c>
      <c r="BJ123">
        <v>3.1589999999999998</v>
      </c>
      <c r="BK123">
        <v>3.0910000000000002</v>
      </c>
      <c r="BL123">
        <v>3.1110000000000002</v>
      </c>
      <c r="BM123">
        <v>3.09</v>
      </c>
      <c r="BN123" s="6">
        <v>3.0640000000000001</v>
      </c>
      <c r="BO123" s="6">
        <v>3.1030000000000002</v>
      </c>
      <c r="BP123">
        <v>3.1520000000000001</v>
      </c>
      <c r="BQ123" s="7">
        <v>45586</v>
      </c>
      <c r="BR123">
        <v>3.5609999999999999</v>
      </c>
      <c r="BS123">
        <v>3.5179999999999998</v>
      </c>
      <c r="BT123">
        <v>3.49</v>
      </c>
      <c r="BU123">
        <v>3.53</v>
      </c>
      <c r="BV123">
        <v>3.5310000000000001</v>
      </c>
      <c r="BW123" s="6">
        <v>3.5379999999999998</v>
      </c>
      <c r="BX123" s="6">
        <v>3.5790000000000002</v>
      </c>
      <c r="BY123">
        <v>3.617</v>
      </c>
      <c r="BZ123" s="7">
        <v>45586</v>
      </c>
      <c r="CA123">
        <v>3.1030000000000002</v>
      </c>
      <c r="CB123">
        <v>3.1059999999999999</v>
      </c>
      <c r="CC123">
        <v>3.02</v>
      </c>
      <c r="CD123">
        <v>3.0289999999999999</v>
      </c>
      <c r="CE123">
        <v>3.0619999999999998</v>
      </c>
      <c r="CF123" s="6">
        <v>3.1230000000000002</v>
      </c>
      <c r="CG123" s="6">
        <v>3.1589999999999998</v>
      </c>
      <c r="CH123">
        <v>3.173</v>
      </c>
    </row>
    <row r="124" spans="2:86">
      <c r="B124" s="7">
        <v>45583</v>
      </c>
      <c r="C124">
        <v>2.944</v>
      </c>
      <c r="D124">
        <v>2.9550000000000001</v>
      </c>
      <c r="E124">
        <v>2.87</v>
      </c>
      <c r="F124">
        <v>2.9449999999999998</v>
      </c>
      <c r="G124">
        <v>2.927</v>
      </c>
      <c r="H124">
        <v>2.915</v>
      </c>
      <c r="I124" s="6">
        <v>3.01</v>
      </c>
      <c r="J124" s="6">
        <v>2.9849999999999999</v>
      </c>
      <c r="K124" s="6">
        <v>3.0979999999999999</v>
      </c>
      <c r="L124" s="6">
        <v>3.08</v>
      </c>
      <c r="M124" s="6">
        <v>2.9809999999999999</v>
      </c>
      <c r="N124" s="6">
        <v>2.9319999999999999</v>
      </c>
      <c r="O124" s="7">
        <v>45583</v>
      </c>
      <c r="P124">
        <v>2.948</v>
      </c>
      <c r="Q124">
        <v>2.8679999999999999</v>
      </c>
      <c r="R124">
        <v>2.8849999999999998</v>
      </c>
      <c r="S124">
        <v>2.9750000000000001</v>
      </c>
      <c r="T124">
        <v>2.9119999999999999</v>
      </c>
      <c r="U124" s="6">
        <v>2.97</v>
      </c>
      <c r="V124" s="6">
        <v>0</v>
      </c>
      <c r="W124">
        <v>0</v>
      </c>
      <c r="X124" s="7">
        <v>45583</v>
      </c>
      <c r="Y124">
        <v>3.03</v>
      </c>
      <c r="Z124">
        <v>3.0350000000000001</v>
      </c>
      <c r="AA124">
        <v>2.9470000000000001</v>
      </c>
      <c r="AB124">
        <v>2.9580000000000002</v>
      </c>
      <c r="AC124">
        <v>2.9860000000000002</v>
      </c>
      <c r="AD124" s="6">
        <v>3.016</v>
      </c>
      <c r="AE124" s="6">
        <v>3.0659999999999998</v>
      </c>
      <c r="AF124">
        <v>3.133</v>
      </c>
      <c r="AG124" s="7">
        <v>45583</v>
      </c>
      <c r="AH124">
        <v>3.327</v>
      </c>
      <c r="AI124">
        <v>3.246</v>
      </c>
      <c r="AJ124">
        <v>3.1920000000000002</v>
      </c>
      <c r="AK124">
        <v>3.169</v>
      </c>
      <c r="AL124">
        <v>3.1309999999999998</v>
      </c>
      <c r="AM124" s="6">
        <v>3.085</v>
      </c>
      <c r="AN124" s="6">
        <v>3.129</v>
      </c>
      <c r="AO124">
        <v>3.1840000000000002</v>
      </c>
      <c r="AP124" s="7">
        <v>45583</v>
      </c>
      <c r="AQ124">
        <v>3.4580000000000002</v>
      </c>
      <c r="AR124">
        <v>3.391</v>
      </c>
      <c r="AS124">
        <v>3.3290000000000002</v>
      </c>
      <c r="AT124">
        <v>3.3580000000000001</v>
      </c>
      <c r="AU124">
        <v>3.3940000000000001</v>
      </c>
      <c r="AV124" s="6">
        <v>3.4860000000000002</v>
      </c>
      <c r="AW124" s="6">
        <v>3.5430000000000001</v>
      </c>
      <c r="AX124">
        <v>3.6379999999999999</v>
      </c>
      <c r="AY124" s="7">
        <v>45583</v>
      </c>
      <c r="AZ124">
        <v>3.335</v>
      </c>
      <c r="BA124">
        <v>3.2440000000000002</v>
      </c>
      <c r="BB124">
        <v>3.2120000000000002</v>
      </c>
      <c r="BC124">
        <v>3.1880000000000002</v>
      </c>
      <c r="BD124">
        <v>3.1760000000000002</v>
      </c>
      <c r="BE124" s="6">
        <v>3.173</v>
      </c>
      <c r="BF124" s="6">
        <v>3.2130000000000001</v>
      </c>
      <c r="BG124">
        <v>3.2349999999999999</v>
      </c>
      <c r="BH124" s="7">
        <v>45583</v>
      </c>
      <c r="BI124">
        <v>3.2770000000000001</v>
      </c>
      <c r="BJ124">
        <v>3.1760000000000002</v>
      </c>
      <c r="BK124">
        <v>3.1230000000000002</v>
      </c>
      <c r="BL124">
        <v>3.1230000000000002</v>
      </c>
      <c r="BM124">
        <v>3.1110000000000002</v>
      </c>
      <c r="BN124" s="6">
        <v>3.0790000000000002</v>
      </c>
      <c r="BO124" s="6">
        <v>3.1219999999999999</v>
      </c>
      <c r="BP124">
        <v>3.1749999999999998</v>
      </c>
      <c r="BQ124" s="7">
        <v>45583</v>
      </c>
      <c r="BR124">
        <v>3.5840000000000001</v>
      </c>
      <c r="BS124">
        <v>3.5350000000000001</v>
      </c>
      <c r="BT124">
        <v>3.5219999999999998</v>
      </c>
      <c r="BU124">
        <v>3.5409999999999999</v>
      </c>
      <c r="BV124">
        <v>3.55</v>
      </c>
      <c r="BW124" s="6">
        <v>3.5539999999999998</v>
      </c>
      <c r="BX124" s="6">
        <v>3.5979999999999999</v>
      </c>
      <c r="BY124">
        <v>3.6389999999999998</v>
      </c>
      <c r="BZ124" s="7">
        <v>45583</v>
      </c>
      <c r="CA124">
        <v>3.1150000000000002</v>
      </c>
      <c r="CB124">
        <v>3.1190000000000002</v>
      </c>
      <c r="CC124">
        <v>3.028</v>
      </c>
      <c r="CD124">
        <v>3.0459999999999998</v>
      </c>
      <c r="CE124">
        <v>3.0739999999999998</v>
      </c>
      <c r="CF124" s="6">
        <v>3.133</v>
      </c>
      <c r="CG124" s="6">
        <v>3.1760000000000002</v>
      </c>
      <c r="CH124">
        <v>3.19</v>
      </c>
    </row>
    <row r="125" spans="2:86">
      <c r="B125" s="7">
        <v>45582</v>
      </c>
      <c r="C125">
        <v>2.9449999999999998</v>
      </c>
      <c r="D125">
        <v>2.9449999999999998</v>
      </c>
      <c r="E125">
        <v>2.86</v>
      </c>
      <c r="F125">
        <v>2.9319999999999999</v>
      </c>
      <c r="G125">
        <v>2.9140000000000001</v>
      </c>
      <c r="H125">
        <v>2.8980000000000001</v>
      </c>
      <c r="I125" s="6">
        <v>2.9849999999999999</v>
      </c>
      <c r="J125" s="6">
        <v>2.9529999999999998</v>
      </c>
      <c r="K125" s="6">
        <v>3.0630000000000002</v>
      </c>
      <c r="L125" s="6">
        <v>3.0369999999999999</v>
      </c>
      <c r="M125" s="6">
        <v>2.9420000000000002</v>
      </c>
      <c r="N125" s="6">
        <v>2.907</v>
      </c>
      <c r="O125" s="7">
        <v>45582</v>
      </c>
      <c r="P125">
        <v>2.9449999999999998</v>
      </c>
      <c r="Q125">
        <v>2.863</v>
      </c>
      <c r="R125">
        <v>2.867</v>
      </c>
      <c r="S125">
        <v>2.964</v>
      </c>
      <c r="T125">
        <v>2.9</v>
      </c>
      <c r="U125" s="6">
        <v>2.9550000000000001</v>
      </c>
      <c r="V125" s="6">
        <v>0</v>
      </c>
      <c r="W125">
        <v>0</v>
      </c>
      <c r="X125" s="7">
        <v>45582</v>
      </c>
      <c r="Y125">
        <v>3.0310000000000001</v>
      </c>
      <c r="Z125">
        <v>3.024</v>
      </c>
      <c r="AA125">
        <v>2.9359999999999999</v>
      </c>
      <c r="AB125">
        <v>2.9460000000000002</v>
      </c>
      <c r="AC125">
        <v>2.972</v>
      </c>
      <c r="AD125" s="6">
        <v>2.9990000000000001</v>
      </c>
      <c r="AE125" s="6">
        <v>3.0409999999999999</v>
      </c>
      <c r="AF125">
        <v>3.1059999999999999</v>
      </c>
      <c r="AG125" s="7">
        <v>45582</v>
      </c>
      <c r="AH125">
        <v>3.327</v>
      </c>
      <c r="AI125">
        <v>3.242</v>
      </c>
      <c r="AJ125">
        <v>3.177</v>
      </c>
      <c r="AK125">
        <v>3.1589999999999998</v>
      </c>
      <c r="AL125">
        <v>3.12</v>
      </c>
      <c r="AM125" s="6">
        <v>3.069</v>
      </c>
      <c r="AN125" s="6">
        <v>3.1040000000000001</v>
      </c>
      <c r="AO125">
        <v>3.1509999999999998</v>
      </c>
      <c r="AP125" s="7">
        <v>45582</v>
      </c>
      <c r="AQ125">
        <v>3.4569999999999999</v>
      </c>
      <c r="AR125">
        <v>3.3879999999999999</v>
      </c>
      <c r="AS125">
        <v>3.3140000000000001</v>
      </c>
      <c r="AT125">
        <v>3.3439999999999999</v>
      </c>
      <c r="AU125">
        <v>3.3780000000000001</v>
      </c>
      <c r="AV125" s="6">
        <v>3.468</v>
      </c>
      <c r="AW125" s="6">
        <v>3.5179999999999998</v>
      </c>
      <c r="AX125">
        <v>3.6059999999999999</v>
      </c>
      <c r="AY125" s="7">
        <v>45582</v>
      </c>
      <c r="AZ125">
        <v>3.3370000000000002</v>
      </c>
      <c r="BA125">
        <v>3.2410000000000001</v>
      </c>
      <c r="BB125">
        <v>3.202</v>
      </c>
      <c r="BC125">
        <v>3.177</v>
      </c>
      <c r="BD125">
        <v>3.161</v>
      </c>
      <c r="BE125" s="6">
        <v>3.1579999999999999</v>
      </c>
      <c r="BF125" s="6">
        <v>3.1880000000000002</v>
      </c>
      <c r="BG125">
        <v>3.2040000000000002</v>
      </c>
      <c r="BH125" s="7">
        <v>45582</v>
      </c>
      <c r="BI125">
        <v>3.2789999999999999</v>
      </c>
      <c r="BJ125">
        <v>3.173</v>
      </c>
      <c r="BK125">
        <v>3.113</v>
      </c>
      <c r="BL125">
        <v>3.1120000000000001</v>
      </c>
      <c r="BM125">
        <v>3.0960000000000001</v>
      </c>
      <c r="BN125" s="6">
        <v>3.0640000000000001</v>
      </c>
      <c r="BO125" s="6">
        <v>3.097</v>
      </c>
      <c r="BP125">
        <v>3.1440000000000001</v>
      </c>
      <c r="BQ125" s="7">
        <v>45582</v>
      </c>
      <c r="BR125">
        <v>3.5870000000000002</v>
      </c>
      <c r="BS125">
        <v>3.5310000000000001</v>
      </c>
      <c r="BT125">
        <v>3.512</v>
      </c>
      <c r="BU125">
        <v>3.53</v>
      </c>
      <c r="BV125">
        <v>3.536</v>
      </c>
      <c r="BW125" s="6">
        <v>3.5379999999999998</v>
      </c>
      <c r="BX125" s="6">
        <v>3.573</v>
      </c>
      <c r="BY125">
        <v>3.6080000000000001</v>
      </c>
      <c r="BZ125" s="7">
        <v>45582</v>
      </c>
      <c r="CA125">
        <v>3.1160000000000001</v>
      </c>
      <c r="CB125">
        <v>3.1080000000000001</v>
      </c>
      <c r="CC125">
        <v>3.0179999999999998</v>
      </c>
      <c r="CD125">
        <v>3.0329999999999999</v>
      </c>
      <c r="CE125">
        <v>3.0609999999999999</v>
      </c>
      <c r="CF125" s="6">
        <v>3.117</v>
      </c>
      <c r="CG125" s="6">
        <v>3.1509999999999998</v>
      </c>
      <c r="CH125">
        <v>3.1629999999999998</v>
      </c>
    </row>
    <row r="126" spans="2:86">
      <c r="B126" s="7">
        <v>45581</v>
      </c>
      <c r="C126">
        <v>2.9409999999999998</v>
      </c>
      <c r="D126">
        <v>2.9329999999999998</v>
      </c>
      <c r="E126">
        <v>2.8479999999999999</v>
      </c>
      <c r="F126">
        <v>2.9140000000000001</v>
      </c>
      <c r="G126">
        <v>2.8969999999999998</v>
      </c>
      <c r="H126">
        <v>2.875</v>
      </c>
      <c r="I126" s="6">
        <v>2.9590000000000001</v>
      </c>
      <c r="J126" s="6">
        <v>2.92</v>
      </c>
      <c r="K126" s="6">
        <v>3.028</v>
      </c>
      <c r="L126" s="6">
        <v>3.0049999999999999</v>
      </c>
      <c r="M126" s="6">
        <v>2.91</v>
      </c>
      <c r="N126" s="6">
        <v>2.8849999999999998</v>
      </c>
      <c r="O126" s="7">
        <v>45581</v>
      </c>
      <c r="P126">
        <v>2.9430000000000001</v>
      </c>
      <c r="Q126">
        <v>2.86</v>
      </c>
      <c r="R126">
        <v>2.8559999999999999</v>
      </c>
      <c r="S126">
        <v>2.9550000000000001</v>
      </c>
      <c r="T126">
        <v>2.8839999999999999</v>
      </c>
      <c r="U126" s="6">
        <v>2.9409999999999998</v>
      </c>
      <c r="V126" s="6">
        <v>0</v>
      </c>
      <c r="W126">
        <v>0</v>
      </c>
      <c r="X126" s="7">
        <v>45581</v>
      </c>
      <c r="Y126">
        <v>3.0270000000000001</v>
      </c>
      <c r="Z126">
        <v>3.012</v>
      </c>
      <c r="AA126">
        <v>2.9249999999999998</v>
      </c>
      <c r="AB126">
        <v>2.927</v>
      </c>
      <c r="AC126">
        <v>2.956</v>
      </c>
      <c r="AD126" s="6">
        <v>2.976</v>
      </c>
      <c r="AE126" s="6">
        <v>3.0169999999999999</v>
      </c>
      <c r="AF126">
        <v>3.085</v>
      </c>
      <c r="AG126" s="7">
        <v>45581</v>
      </c>
      <c r="AH126">
        <v>3.33</v>
      </c>
      <c r="AI126">
        <v>3.2410000000000001</v>
      </c>
      <c r="AJ126">
        <v>3.1720000000000002</v>
      </c>
      <c r="AK126">
        <v>3.1560000000000001</v>
      </c>
      <c r="AL126">
        <v>3.1059999999999999</v>
      </c>
      <c r="AM126" s="6">
        <v>3.0470000000000002</v>
      </c>
      <c r="AN126" s="6">
        <v>3.0779999999999998</v>
      </c>
      <c r="AO126">
        <v>3.12</v>
      </c>
      <c r="AP126" s="7">
        <v>45581</v>
      </c>
      <c r="AQ126">
        <v>3.4550000000000001</v>
      </c>
      <c r="AR126">
        <v>3.3849999999999998</v>
      </c>
      <c r="AS126">
        <v>3.3090000000000002</v>
      </c>
      <c r="AT126">
        <v>3.339</v>
      </c>
      <c r="AU126">
        <v>3.3639999999999999</v>
      </c>
      <c r="AV126" s="6">
        <v>3.4470000000000001</v>
      </c>
      <c r="AW126" s="6">
        <v>3.4910000000000001</v>
      </c>
      <c r="AX126">
        <v>3.573</v>
      </c>
      <c r="AY126" s="7">
        <v>45581</v>
      </c>
      <c r="AZ126">
        <v>3.3490000000000002</v>
      </c>
      <c r="BA126">
        <v>3.24</v>
      </c>
      <c r="BB126">
        <v>3.1960000000000002</v>
      </c>
      <c r="BC126">
        <v>3.1709999999999998</v>
      </c>
      <c r="BD126">
        <v>3.1469999999999998</v>
      </c>
      <c r="BE126" s="6">
        <v>3.137</v>
      </c>
      <c r="BF126" s="6">
        <v>3.1619999999999999</v>
      </c>
      <c r="BG126">
        <v>3.1709999999999998</v>
      </c>
      <c r="BH126" s="7">
        <v>45581</v>
      </c>
      <c r="BI126">
        <v>3.2919999999999998</v>
      </c>
      <c r="BJ126">
        <v>3.1720000000000002</v>
      </c>
      <c r="BK126">
        <v>3.1070000000000002</v>
      </c>
      <c r="BL126">
        <v>3.105</v>
      </c>
      <c r="BM126">
        <v>3.0819999999999999</v>
      </c>
      <c r="BN126" s="6">
        <v>3.0430000000000001</v>
      </c>
      <c r="BO126" s="6">
        <v>3.0710000000000002</v>
      </c>
      <c r="BP126">
        <v>3.1110000000000002</v>
      </c>
      <c r="BQ126" s="7">
        <v>45581</v>
      </c>
      <c r="BR126">
        <v>3.5990000000000002</v>
      </c>
      <c r="BS126">
        <v>3.53</v>
      </c>
      <c r="BT126">
        <v>3.5059999999999998</v>
      </c>
      <c r="BU126">
        <v>3.5230000000000001</v>
      </c>
      <c r="BV126">
        <v>3.5209999999999999</v>
      </c>
      <c r="BW126" s="6">
        <v>3.5169999999999999</v>
      </c>
      <c r="BX126" s="6">
        <v>3.5470000000000002</v>
      </c>
      <c r="BY126">
        <v>3.5750000000000002</v>
      </c>
      <c r="BZ126" s="7">
        <v>45581</v>
      </c>
      <c r="CA126">
        <v>3.1120000000000001</v>
      </c>
      <c r="CB126">
        <v>3.097</v>
      </c>
      <c r="CC126">
        <v>3.0059999999999998</v>
      </c>
      <c r="CD126">
        <v>3.0150000000000001</v>
      </c>
      <c r="CE126">
        <v>3.044</v>
      </c>
      <c r="CF126" s="6">
        <v>3.093</v>
      </c>
      <c r="CG126" s="6">
        <v>3.1269999999999998</v>
      </c>
      <c r="CH126">
        <v>3.141</v>
      </c>
    </row>
    <row r="127" spans="2:86">
      <c r="B127" s="7">
        <v>45580</v>
      </c>
      <c r="C127">
        <v>2.9409999999999998</v>
      </c>
      <c r="D127">
        <v>2.9359999999999999</v>
      </c>
      <c r="E127">
        <v>2.8530000000000002</v>
      </c>
      <c r="F127">
        <v>2.9340000000000002</v>
      </c>
      <c r="G127">
        <v>2.9249999999999998</v>
      </c>
      <c r="H127">
        <v>2.9049999999999998</v>
      </c>
      <c r="I127" s="6">
        <v>2.9910000000000001</v>
      </c>
      <c r="J127" s="6">
        <v>2.9590000000000001</v>
      </c>
      <c r="K127" s="6">
        <v>3.0680000000000001</v>
      </c>
      <c r="L127" s="6">
        <v>3.0470000000000002</v>
      </c>
      <c r="M127" s="6">
        <v>2.9390000000000001</v>
      </c>
      <c r="N127" s="6">
        <v>2.915</v>
      </c>
      <c r="O127" s="7">
        <v>45580</v>
      </c>
      <c r="P127">
        <v>2.9430000000000001</v>
      </c>
      <c r="Q127">
        <v>2.8580000000000001</v>
      </c>
      <c r="R127">
        <v>2.8570000000000002</v>
      </c>
      <c r="S127">
        <v>2.9689999999999999</v>
      </c>
      <c r="T127">
        <v>2.9049999999999998</v>
      </c>
      <c r="U127" s="6">
        <v>2.972</v>
      </c>
      <c r="V127" s="6">
        <v>0</v>
      </c>
      <c r="W127">
        <v>0</v>
      </c>
      <c r="X127" s="7">
        <v>45580</v>
      </c>
      <c r="Y127">
        <v>3.0270000000000001</v>
      </c>
      <c r="Z127">
        <v>3.016</v>
      </c>
      <c r="AA127">
        <v>2.93</v>
      </c>
      <c r="AB127">
        <v>2.944</v>
      </c>
      <c r="AC127">
        <v>2.984</v>
      </c>
      <c r="AD127" s="6">
        <v>3.0070000000000001</v>
      </c>
      <c r="AE127" s="6">
        <v>3.0489999999999999</v>
      </c>
      <c r="AF127">
        <v>3.125</v>
      </c>
      <c r="AG127" s="7">
        <v>45580</v>
      </c>
      <c r="AH127">
        <v>3.3359999999999999</v>
      </c>
      <c r="AI127">
        <v>3.2450000000000001</v>
      </c>
      <c r="AJ127">
        <v>3.177</v>
      </c>
      <c r="AK127">
        <v>3.1709999999999998</v>
      </c>
      <c r="AL127">
        <v>3.1269999999999998</v>
      </c>
      <c r="AM127" s="6">
        <v>3.0779999999999998</v>
      </c>
      <c r="AN127" s="6">
        <v>3.11</v>
      </c>
      <c r="AO127">
        <v>3.16</v>
      </c>
      <c r="AP127" s="7">
        <v>45580</v>
      </c>
      <c r="AQ127">
        <v>3.4569999999999999</v>
      </c>
      <c r="AR127">
        <v>3.3839999999999999</v>
      </c>
      <c r="AS127">
        <v>3.3140000000000001</v>
      </c>
      <c r="AT127">
        <v>3.3540000000000001</v>
      </c>
      <c r="AU127">
        <v>3.3839999999999999</v>
      </c>
      <c r="AV127" s="6">
        <v>3.476</v>
      </c>
      <c r="AW127" s="6">
        <v>3.5230000000000001</v>
      </c>
      <c r="AX127">
        <v>3.6120000000000001</v>
      </c>
      <c r="AY127" s="7">
        <v>45580</v>
      </c>
      <c r="AZ127">
        <v>3.3490000000000002</v>
      </c>
      <c r="BA127">
        <v>3.2429999999999999</v>
      </c>
      <c r="BB127">
        <v>3.202</v>
      </c>
      <c r="BC127">
        <v>3.1859999999999999</v>
      </c>
      <c r="BD127">
        <v>3.1680000000000001</v>
      </c>
      <c r="BE127" s="6">
        <v>3.1669999999999998</v>
      </c>
      <c r="BF127" s="6">
        <v>3.194</v>
      </c>
      <c r="BG127">
        <v>3.2120000000000002</v>
      </c>
      <c r="BH127" s="7">
        <v>45580</v>
      </c>
      <c r="BI127">
        <v>3.2919999999999998</v>
      </c>
      <c r="BJ127">
        <v>3.1739999999999999</v>
      </c>
      <c r="BK127">
        <v>3.113</v>
      </c>
      <c r="BL127">
        <v>3.12</v>
      </c>
      <c r="BM127">
        <v>3.1030000000000002</v>
      </c>
      <c r="BN127" s="6">
        <v>3.073</v>
      </c>
      <c r="BO127" s="6">
        <v>3.1030000000000002</v>
      </c>
      <c r="BP127">
        <v>3.1509999999999998</v>
      </c>
      <c r="BQ127" s="7">
        <v>45580</v>
      </c>
      <c r="BR127">
        <v>3.5960000000000001</v>
      </c>
      <c r="BS127">
        <v>3.5329999999999999</v>
      </c>
      <c r="BT127">
        <v>3.512</v>
      </c>
      <c r="BU127">
        <v>3.5379999999999998</v>
      </c>
      <c r="BV127">
        <v>3.5419999999999998</v>
      </c>
      <c r="BW127" s="6">
        <v>3.548</v>
      </c>
      <c r="BX127" s="6">
        <v>3.5790000000000002</v>
      </c>
      <c r="BY127">
        <v>3.6160000000000001</v>
      </c>
      <c r="BZ127" s="7">
        <v>45580</v>
      </c>
      <c r="CA127">
        <v>3.1120000000000001</v>
      </c>
      <c r="CB127">
        <v>3.1</v>
      </c>
      <c r="CC127">
        <v>3.0110000000000001</v>
      </c>
      <c r="CD127">
        <v>3.032</v>
      </c>
      <c r="CE127">
        <v>3.073</v>
      </c>
      <c r="CF127" s="6">
        <v>3.1240000000000001</v>
      </c>
      <c r="CG127" s="6">
        <v>3.1589999999999998</v>
      </c>
      <c r="CH127">
        <v>3.181</v>
      </c>
    </row>
    <row r="128" spans="2:86">
      <c r="B128" s="7">
        <v>45579</v>
      </c>
      <c r="C128">
        <v>2.9460000000000002</v>
      </c>
      <c r="D128">
        <v>2.9430000000000001</v>
      </c>
      <c r="E128">
        <v>2.8610000000000002</v>
      </c>
      <c r="F128">
        <v>2.952</v>
      </c>
      <c r="G128">
        <v>2.952</v>
      </c>
      <c r="H128">
        <v>2.9340000000000002</v>
      </c>
      <c r="I128" s="6">
        <v>3.03</v>
      </c>
      <c r="J128" s="6">
        <v>2.9950000000000001</v>
      </c>
      <c r="K128" s="6">
        <v>3.1030000000000002</v>
      </c>
      <c r="L128" s="6">
        <v>3.0840000000000001</v>
      </c>
      <c r="M128" s="6">
        <v>2.9540000000000002</v>
      </c>
      <c r="N128" s="6">
        <v>2.9369999999999998</v>
      </c>
      <c r="O128" s="7">
        <v>45579</v>
      </c>
      <c r="P128">
        <v>2.9470000000000001</v>
      </c>
      <c r="Q128">
        <v>2.8610000000000002</v>
      </c>
      <c r="R128">
        <v>2.859</v>
      </c>
      <c r="S128">
        <v>2.984</v>
      </c>
      <c r="T128">
        <v>2.9220000000000002</v>
      </c>
      <c r="U128" s="6">
        <v>3.0009999999999999</v>
      </c>
      <c r="V128" s="6">
        <v>0</v>
      </c>
      <c r="W128">
        <v>0</v>
      </c>
      <c r="X128" s="7">
        <v>45579</v>
      </c>
      <c r="Y128">
        <v>3.032</v>
      </c>
      <c r="Z128">
        <v>3.0219999999999998</v>
      </c>
      <c r="AA128">
        <v>2.9380000000000002</v>
      </c>
      <c r="AB128">
        <v>2.9620000000000002</v>
      </c>
      <c r="AC128">
        <v>3.0110000000000001</v>
      </c>
      <c r="AD128" s="6">
        <v>3.0350000000000001</v>
      </c>
      <c r="AE128" s="6">
        <v>3.085</v>
      </c>
      <c r="AF128">
        <v>3.1509999999999998</v>
      </c>
      <c r="AG128" s="7">
        <v>45579</v>
      </c>
      <c r="AH128">
        <v>3.347</v>
      </c>
      <c r="AI128">
        <v>3.2530000000000001</v>
      </c>
      <c r="AJ128">
        <v>3.1850000000000001</v>
      </c>
      <c r="AK128">
        <v>3.1890000000000001</v>
      </c>
      <c r="AL128">
        <v>3.145</v>
      </c>
      <c r="AM128" s="6">
        <v>3.1059999999999999</v>
      </c>
      <c r="AN128" s="6">
        <v>3.149</v>
      </c>
      <c r="AO128">
        <v>3.1960000000000002</v>
      </c>
      <c r="AP128" s="7">
        <v>45579</v>
      </c>
      <c r="AQ128">
        <v>3.4660000000000002</v>
      </c>
      <c r="AR128">
        <v>3.3940000000000001</v>
      </c>
      <c r="AS128">
        <v>3.3210000000000002</v>
      </c>
      <c r="AT128">
        <v>3.3690000000000002</v>
      </c>
      <c r="AU128">
        <v>3.395</v>
      </c>
      <c r="AV128" s="6">
        <v>3.5019999999999998</v>
      </c>
      <c r="AW128" s="6">
        <v>3.56</v>
      </c>
      <c r="AX128">
        <v>3.6480000000000001</v>
      </c>
      <c r="AY128" s="7">
        <v>45579</v>
      </c>
      <c r="AZ128">
        <v>3.3690000000000002</v>
      </c>
      <c r="BA128">
        <v>3.2549999999999999</v>
      </c>
      <c r="BB128">
        <v>3.2130000000000001</v>
      </c>
      <c r="BC128">
        <v>3.2040000000000002</v>
      </c>
      <c r="BD128">
        <v>3.1869999999999998</v>
      </c>
      <c r="BE128" s="6">
        <v>3.198</v>
      </c>
      <c r="BF128" s="6">
        <v>3.2349999999999999</v>
      </c>
      <c r="BG128">
        <v>3.25</v>
      </c>
      <c r="BH128" s="7">
        <v>45579</v>
      </c>
      <c r="BI128">
        <v>3.3130000000000002</v>
      </c>
      <c r="BJ128">
        <v>3.1869999999999998</v>
      </c>
      <c r="BK128">
        <v>3.125</v>
      </c>
      <c r="BL128">
        <v>3.137</v>
      </c>
      <c r="BM128">
        <v>3.12</v>
      </c>
      <c r="BN128" s="6">
        <v>3.1019999999999999</v>
      </c>
      <c r="BO128" s="6">
        <v>3.1419999999999999</v>
      </c>
      <c r="BP128">
        <v>3.1880000000000002</v>
      </c>
      <c r="BQ128" s="7">
        <v>45579</v>
      </c>
      <c r="BR128">
        <v>3.6150000000000002</v>
      </c>
      <c r="BS128">
        <v>3.5459999999999998</v>
      </c>
      <c r="BT128">
        <v>3.524</v>
      </c>
      <c r="BU128">
        <v>3.556</v>
      </c>
      <c r="BV128">
        <v>3.56</v>
      </c>
      <c r="BW128" s="6">
        <v>3.577</v>
      </c>
      <c r="BX128" s="6">
        <v>3.6179999999999999</v>
      </c>
      <c r="BY128">
        <v>3.6520000000000001</v>
      </c>
      <c r="BZ128" s="7">
        <v>45579</v>
      </c>
      <c r="CA128">
        <v>3.117</v>
      </c>
      <c r="CB128">
        <v>3.1070000000000002</v>
      </c>
      <c r="CC128">
        <v>3.0190000000000001</v>
      </c>
      <c r="CD128">
        <v>3.0489999999999999</v>
      </c>
      <c r="CE128">
        <v>3.0990000000000002</v>
      </c>
      <c r="CF128" s="6">
        <v>3.153</v>
      </c>
      <c r="CG128" s="6">
        <v>3.1949999999999998</v>
      </c>
      <c r="CH128">
        <v>3.2080000000000002</v>
      </c>
    </row>
    <row r="129" spans="2:86">
      <c r="B129" s="7">
        <v>45576</v>
      </c>
      <c r="C129">
        <v>2.948</v>
      </c>
      <c r="D129">
        <v>2.9409999999999998</v>
      </c>
      <c r="E129">
        <v>2.8650000000000002</v>
      </c>
      <c r="F129">
        <v>2.9670000000000001</v>
      </c>
      <c r="G129">
        <v>2.9630000000000001</v>
      </c>
      <c r="H129">
        <v>2.948</v>
      </c>
      <c r="I129" s="6">
        <v>3.04</v>
      </c>
      <c r="J129" s="6">
        <v>2.9950000000000001</v>
      </c>
      <c r="K129" s="6">
        <v>3.1</v>
      </c>
      <c r="L129" s="6">
        <v>3.077</v>
      </c>
      <c r="M129" s="6">
        <v>2.9279999999999999</v>
      </c>
      <c r="N129" s="6">
        <v>2.9060000000000001</v>
      </c>
      <c r="O129" s="7">
        <v>45576</v>
      </c>
      <c r="P129">
        <v>2.9489999999999998</v>
      </c>
      <c r="Q129">
        <v>2.8610000000000002</v>
      </c>
      <c r="R129">
        <v>2.863</v>
      </c>
      <c r="S129">
        <v>2.9950000000000001</v>
      </c>
      <c r="T129">
        <v>2.9350000000000001</v>
      </c>
      <c r="U129" s="6">
        <v>3.0150000000000001</v>
      </c>
      <c r="V129" s="6">
        <v>0</v>
      </c>
      <c r="W129">
        <v>0</v>
      </c>
      <c r="X129" s="7">
        <v>45576</v>
      </c>
      <c r="Y129">
        <v>3.036</v>
      </c>
      <c r="Z129">
        <v>3.0209999999999999</v>
      </c>
      <c r="AA129">
        <v>2.9409999999999998</v>
      </c>
      <c r="AB129">
        <v>2.9769999999999999</v>
      </c>
      <c r="AC129">
        <v>3.0209999999999999</v>
      </c>
      <c r="AD129" s="6">
        <v>3.0489999999999999</v>
      </c>
      <c r="AE129" s="6">
        <v>3.0950000000000002</v>
      </c>
      <c r="AF129">
        <v>3.161</v>
      </c>
      <c r="AG129" s="7">
        <v>45576</v>
      </c>
      <c r="AH129">
        <v>3.36</v>
      </c>
      <c r="AI129">
        <v>3.2629999999999999</v>
      </c>
      <c r="AJ129">
        <v>3.1949999999999998</v>
      </c>
      <c r="AK129">
        <v>3.2050000000000001</v>
      </c>
      <c r="AL129">
        <v>3.157</v>
      </c>
      <c r="AM129" s="6">
        <v>3.1219999999999999</v>
      </c>
      <c r="AN129" s="6">
        <v>3.1589999999999998</v>
      </c>
      <c r="AO129">
        <v>3.1970000000000001</v>
      </c>
      <c r="AP129" s="7">
        <v>45576</v>
      </c>
      <c r="AQ129">
        <v>3.4729999999999999</v>
      </c>
      <c r="AR129">
        <v>3.4009999999999998</v>
      </c>
      <c r="AS129">
        <v>3.33</v>
      </c>
      <c r="AT129">
        <v>3.3809999999999998</v>
      </c>
      <c r="AU129">
        <v>3.4049999999999998</v>
      </c>
      <c r="AV129" s="6">
        <v>3.5150000000000001</v>
      </c>
      <c r="AW129" s="6">
        <v>3.569</v>
      </c>
      <c r="AX129">
        <v>3.6469999999999998</v>
      </c>
      <c r="AY129" s="7">
        <v>45576</v>
      </c>
      <c r="AZ129">
        <v>3.3759999999999999</v>
      </c>
      <c r="BA129">
        <v>3.262</v>
      </c>
      <c r="BB129">
        <v>3.218</v>
      </c>
      <c r="BC129">
        <v>3.218</v>
      </c>
      <c r="BD129">
        <v>3.2029999999999998</v>
      </c>
      <c r="BE129" s="6">
        <v>3.214</v>
      </c>
      <c r="BF129" s="6">
        <v>3.2480000000000002</v>
      </c>
      <c r="BG129">
        <v>3.2530000000000001</v>
      </c>
      <c r="BH129" s="7">
        <v>45576</v>
      </c>
      <c r="BI129">
        <v>3.32</v>
      </c>
      <c r="BJ129">
        <v>3.194</v>
      </c>
      <c r="BK129">
        <v>3.13</v>
      </c>
      <c r="BL129">
        <v>3.1520000000000001</v>
      </c>
      <c r="BM129">
        <v>3.1360000000000001</v>
      </c>
      <c r="BN129" s="6">
        <v>3.1179999999999999</v>
      </c>
      <c r="BO129" s="6">
        <v>3.1549999999999998</v>
      </c>
      <c r="BP129">
        <v>3.19</v>
      </c>
      <c r="BQ129" s="7">
        <v>45576</v>
      </c>
      <c r="BR129">
        <v>3.6230000000000002</v>
      </c>
      <c r="BS129">
        <v>3.552</v>
      </c>
      <c r="BT129">
        <v>3.5289999999999999</v>
      </c>
      <c r="BU129">
        <v>3.57</v>
      </c>
      <c r="BV129">
        <v>3.5760000000000001</v>
      </c>
      <c r="BW129" s="6">
        <v>3.5920000000000001</v>
      </c>
      <c r="BX129" s="6">
        <v>3.6309999999999998</v>
      </c>
      <c r="BY129">
        <v>3.6549999999999998</v>
      </c>
      <c r="BZ129" s="7">
        <v>45576</v>
      </c>
      <c r="CA129">
        <v>3.121</v>
      </c>
      <c r="CB129">
        <v>3.105</v>
      </c>
      <c r="CC129">
        <v>3.0230000000000001</v>
      </c>
      <c r="CD129">
        <v>3.0640000000000001</v>
      </c>
      <c r="CE129">
        <v>3.11</v>
      </c>
      <c r="CF129" s="6">
        <v>3.1669999999999998</v>
      </c>
      <c r="CG129" s="6">
        <v>3.2050000000000001</v>
      </c>
      <c r="CH129">
        <v>3.218</v>
      </c>
    </row>
    <row r="130" spans="2:86">
      <c r="B130" s="7">
        <v>45575</v>
      </c>
      <c r="C130">
        <v>2.9510000000000001</v>
      </c>
      <c r="D130">
        <v>2.9460000000000002</v>
      </c>
      <c r="E130">
        <v>2.863</v>
      </c>
      <c r="F130">
        <v>2.99</v>
      </c>
      <c r="G130">
        <v>2.9790000000000001</v>
      </c>
      <c r="H130">
        <v>2.9620000000000002</v>
      </c>
      <c r="I130" s="6">
        <v>3.0590000000000002</v>
      </c>
      <c r="J130" s="6">
        <v>3.0089999999999999</v>
      </c>
      <c r="K130" s="6">
        <v>3.113</v>
      </c>
      <c r="L130" s="6">
        <v>3.0870000000000002</v>
      </c>
      <c r="M130" s="6">
        <v>2.9340000000000002</v>
      </c>
      <c r="N130" s="6">
        <v>2.9049999999999998</v>
      </c>
      <c r="O130" s="7">
        <v>45575</v>
      </c>
      <c r="P130">
        <v>2.9590000000000001</v>
      </c>
      <c r="Q130">
        <v>2.8780000000000001</v>
      </c>
      <c r="R130">
        <v>2.875</v>
      </c>
      <c r="S130">
        <v>3.0150000000000001</v>
      </c>
      <c r="T130">
        <v>2.9550000000000001</v>
      </c>
      <c r="U130" s="6">
        <v>3.0310000000000001</v>
      </c>
      <c r="V130" s="6">
        <v>0</v>
      </c>
      <c r="W130">
        <v>0</v>
      </c>
      <c r="X130" s="7">
        <v>45575</v>
      </c>
      <c r="Y130">
        <v>3.0390000000000001</v>
      </c>
      <c r="Z130">
        <v>3.0259999999999998</v>
      </c>
      <c r="AA130">
        <v>2.9409999999999998</v>
      </c>
      <c r="AB130">
        <v>2.9990000000000001</v>
      </c>
      <c r="AC130">
        <v>3.0369999999999999</v>
      </c>
      <c r="AD130" s="6">
        <v>3.0630000000000002</v>
      </c>
      <c r="AE130" s="6">
        <v>3.1139999999999999</v>
      </c>
      <c r="AF130">
        <v>3.18</v>
      </c>
      <c r="AG130" s="7">
        <v>45575</v>
      </c>
      <c r="AH130">
        <v>3.3889999999999998</v>
      </c>
      <c r="AI130">
        <v>3.2869999999999999</v>
      </c>
      <c r="AJ130">
        <v>3.2130000000000001</v>
      </c>
      <c r="AK130">
        <v>3.2250000000000001</v>
      </c>
      <c r="AL130">
        <v>3.177</v>
      </c>
      <c r="AM130" s="6">
        <v>3.137</v>
      </c>
      <c r="AN130" s="6">
        <v>3.18</v>
      </c>
      <c r="AO130">
        <v>3.2109999999999999</v>
      </c>
      <c r="AP130" s="7">
        <v>45575</v>
      </c>
      <c r="AQ130">
        <v>3.4980000000000002</v>
      </c>
      <c r="AR130">
        <v>3.4239999999999999</v>
      </c>
      <c r="AS130">
        <v>3.3460000000000001</v>
      </c>
      <c r="AT130">
        <v>3.4</v>
      </c>
      <c r="AU130">
        <v>3.4260000000000002</v>
      </c>
      <c r="AV130" s="6">
        <v>3.536</v>
      </c>
      <c r="AW130" s="6">
        <v>3.5960000000000001</v>
      </c>
      <c r="AX130">
        <v>3.6629999999999998</v>
      </c>
      <c r="AY130" s="7">
        <v>45575</v>
      </c>
      <c r="AZ130">
        <v>3.4</v>
      </c>
      <c r="BA130">
        <v>3.2850000000000001</v>
      </c>
      <c r="BB130">
        <v>3.2330000000000001</v>
      </c>
      <c r="BC130">
        <v>3.2410000000000001</v>
      </c>
      <c r="BD130">
        <v>3.22</v>
      </c>
      <c r="BE130" s="6">
        <v>3.2269999999999999</v>
      </c>
      <c r="BF130" s="6">
        <v>3.2690000000000001</v>
      </c>
      <c r="BG130">
        <v>3.2679999999999998</v>
      </c>
      <c r="BH130" s="7">
        <v>45575</v>
      </c>
      <c r="BI130">
        <v>3.3439999999999999</v>
      </c>
      <c r="BJ130">
        <v>3.218</v>
      </c>
      <c r="BK130">
        <v>3.1440000000000001</v>
      </c>
      <c r="BL130">
        <v>3.1739999999999999</v>
      </c>
      <c r="BM130">
        <v>3.1539999999999999</v>
      </c>
      <c r="BN130" s="6">
        <v>3.1309999999999998</v>
      </c>
      <c r="BO130" s="6">
        <v>3.1760000000000002</v>
      </c>
      <c r="BP130">
        <v>3.2080000000000002</v>
      </c>
      <c r="BQ130" s="7">
        <v>45575</v>
      </c>
      <c r="BR130">
        <v>3.6480000000000001</v>
      </c>
      <c r="BS130">
        <v>3.5750000000000002</v>
      </c>
      <c r="BT130">
        <v>3.5430000000000001</v>
      </c>
      <c r="BU130">
        <v>3.593</v>
      </c>
      <c r="BV130">
        <v>3.593</v>
      </c>
      <c r="BW130" s="6">
        <v>3.6059999999999999</v>
      </c>
      <c r="BX130" s="6">
        <v>3.6520000000000001</v>
      </c>
      <c r="BY130">
        <v>3.67</v>
      </c>
      <c r="BZ130" s="7">
        <v>45575</v>
      </c>
      <c r="CA130">
        <v>3.1240000000000001</v>
      </c>
      <c r="CB130">
        <v>3.11</v>
      </c>
      <c r="CC130">
        <v>3.0230000000000001</v>
      </c>
      <c r="CD130">
        <v>3.0870000000000002</v>
      </c>
      <c r="CE130">
        <v>3.1259999999999999</v>
      </c>
      <c r="CF130" s="6">
        <v>3.181</v>
      </c>
      <c r="CG130" s="6">
        <v>3.2240000000000002</v>
      </c>
      <c r="CH130">
        <v>3.2360000000000002</v>
      </c>
    </row>
    <row r="131" spans="2:86">
      <c r="B131" s="7">
        <v>45573</v>
      </c>
      <c r="C131">
        <v>2.9529999999999998</v>
      </c>
      <c r="D131">
        <v>2.9430000000000001</v>
      </c>
      <c r="E131">
        <v>2.8580000000000001</v>
      </c>
      <c r="F131">
        <v>2.976</v>
      </c>
      <c r="G131">
        <v>2.956</v>
      </c>
      <c r="H131">
        <v>2.9350000000000001</v>
      </c>
      <c r="I131" s="6">
        <v>3.0369999999999999</v>
      </c>
      <c r="J131" s="6">
        <v>3.0009999999999999</v>
      </c>
      <c r="K131" s="6">
        <v>3.105</v>
      </c>
      <c r="L131" s="6">
        <v>3.08</v>
      </c>
      <c r="M131" s="6">
        <v>2.9470000000000001</v>
      </c>
      <c r="N131" s="6">
        <v>2.9220000000000002</v>
      </c>
      <c r="O131" s="7">
        <v>45573</v>
      </c>
      <c r="P131">
        <v>2.9550000000000001</v>
      </c>
      <c r="Q131">
        <v>2.875</v>
      </c>
      <c r="R131">
        <v>2.87</v>
      </c>
      <c r="S131">
        <v>2.992</v>
      </c>
      <c r="T131">
        <v>2.9380000000000002</v>
      </c>
      <c r="U131" s="6">
        <v>3.0059999999999998</v>
      </c>
      <c r="V131" s="6">
        <v>0</v>
      </c>
      <c r="W131">
        <v>0</v>
      </c>
      <c r="X131" s="7">
        <v>45573</v>
      </c>
      <c r="Y131">
        <v>3.0409999999999999</v>
      </c>
      <c r="Z131">
        <v>3.0219999999999998</v>
      </c>
      <c r="AA131">
        <v>2.9359999999999999</v>
      </c>
      <c r="AB131">
        <v>2.9860000000000002</v>
      </c>
      <c r="AC131">
        <v>3.0150000000000001</v>
      </c>
      <c r="AD131" s="6">
        <v>3.036</v>
      </c>
      <c r="AE131" s="6">
        <v>3.0960000000000001</v>
      </c>
      <c r="AF131">
        <v>3.1709999999999998</v>
      </c>
      <c r="AG131" s="7">
        <v>45573</v>
      </c>
      <c r="AH131">
        <v>3.3860000000000001</v>
      </c>
      <c r="AI131">
        <v>3.282</v>
      </c>
      <c r="AJ131">
        <v>3.2090000000000001</v>
      </c>
      <c r="AK131">
        <v>3.21</v>
      </c>
      <c r="AL131">
        <v>3.1669999999999998</v>
      </c>
      <c r="AM131" s="6">
        <v>3.1120000000000001</v>
      </c>
      <c r="AN131" s="6">
        <v>3.1589999999999998</v>
      </c>
      <c r="AO131">
        <v>3.2029999999999998</v>
      </c>
      <c r="AP131" s="7">
        <v>45573</v>
      </c>
      <c r="AQ131">
        <v>3.492</v>
      </c>
      <c r="AR131">
        <v>3.4169999999999998</v>
      </c>
      <c r="AS131">
        <v>3.3370000000000002</v>
      </c>
      <c r="AT131">
        <v>3.3849999999999998</v>
      </c>
      <c r="AU131">
        <v>3.411</v>
      </c>
      <c r="AV131" s="6">
        <v>3.5070000000000001</v>
      </c>
      <c r="AW131" s="6">
        <v>3.5790000000000002</v>
      </c>
      <c r="AX131">
        <v>3.657</v>
      </c>
      <c r="AY131" s="7">
        <v>45573</v>
      </c>
      <c r="AZ131">
        <v>3.3959999999999999</v>
      </c>
      <c r="BA131">
        <v>3.2810000000000001</v>
      </c>
      <c r="BB131">
        <v>3.2280000000000002</v>
      </c>
      <c r="BC131">
        <v>3.2229999999999999</v>
      </c>
      <c r="BD131">
        <v>3.2040000000000002</v>
      </c>
      <c r="BE131" s="6">
        <v>3.2010000000000001</v>
      </c>
      <c r="BF131" s="6">
        <v>3.2469999999999999</v>
      </c>
      <c r="BG131">
        <v>3.26</v>
      </c>
      <c r="BH131" s="7">
        <v>45573</v>
      </c>
      <c r="BI131">
        <v>3.34</v>
      </c>
      <c r="BJ131">
        <v>3.2149999999999999</v>
      </c>
      <c r="BK131">
        <v>3.1389999999999998</v>
      </c>
      <c r="BL131">
        <v>3.1560000000000001</v>
      </c>
      <c r="BM131">
        <v>3.137</v>
      </c>
      <c r="BN131" s="6">
        <v>3.1059999999999999</v>
      </c>
      <c r="BO131" s="6">
        <v>3.157</v>
      </c>
      <c r="BP131">
        <v>3.2010000000000001</v>
      </c>
      <c r="BQ131" s="7">
        <v>45573</v>
      </c>
      <c r="BR131">
        <v>3.6440000000000001</v>
      </c>
      <c r="BS131">
        <v>3.5720000000000001</v>
      </c>
      <c r="BT131">
        <v>3.5379999999999998</v>
      </c>
      <c r="BU131">
        <v>3.5750000000000002</v>
      </c>
      <c r="BV131">
        <v>3.577</v>
      </c>
      <c r="BW131" s="6">
        <v>3.58</v>
      </c>
      <c r="BX131" s="6">
        <v>3.63</v>
      </c>
      <c r="BY131">
        <v>3.6619999999999999</v>
      </c>
      <c r="BZ131" s="7">
        <v>45573</v>
      </c>
      <c r="CA131">
        <v>3.1269999999999998</v>
      </c>
      <c r="CB131">
        <v>3.1070000000000002</v>
      </c>
      <c r="CC131">
        <v>3.0179999999999998</v>
      </c>
      <c r="CD131">
        <v>3.0739999999999998</v>
      </c>
      <c r="CE131">
        <v>3.1070000000000002</v>
      </c>
      <c r="CF131" s="6">
        <v>3.153</v>
      </c>
      <c r="CG131" s="6">
        <v>3.2050000000000001</v>
      </c>
      <c r="CH131">
        <v>3.2280000000000002</v>
      </c>
    </row>
    <row r="132" spans="2:86">
      <c r="B132" s="7">
        <v>45572</v>
      </c>
      <c r="C132">
        <v>2.97</v>
      </c>
      <c r="D132">
        <v>2.95</v>
      </c>
      <c r="E132">
        <v>2.8610000000000002</v>
      </c>
      <c r="F132">
        <v>2.9950000000000001</v>
      </c>
      <c r="G132">
        <v>2.9750000000000001</v>
      </c>
      <c r="H132">
        <v>2.9569999999999999</v>
      </c>
      <c r="I132" s="6">
        <v>3.0569999999999999</v>
      </c>
      <c r="J132" s="6">
        <v>3.0179999999999998</v>
      </c>
      <c r="K132" s="6">
        <v>3.125</v>
      </c>
      <c r="L132" s="6">
        <v>3.101</v>
      </c>
      <c r="M132" s="6">
        <v>2.9649999999999999</v>
      </c>
      <c r="N132" s="6">
        <v>2.9409999999999998</v>
      </c>
      <c r="O132" s="7">
        <v>45572</v>
      </c>
      <c r="P132">
        <v>2.9569999999999999</v>
      </c>
      <c r="Q132">
        <v>2.891</v>
      </c>
      <c r="R132">
        <v>2.8769999999999998</v>
      </c>
      <c r="S132">
        <v>3.0150000000000001</v>
      </c>
      <c r="T132">
        <v>2.9649999999999999</v>
      </c>
      <c r="U132" s="6">
        <v>3.028</v>
      </c>
      <c r="V132" s="6">
        <v>0</v>
      </c>
      <c r="W132">
        <v>0</v>
      </c>
      <c r="X132" s="7">
        <v>45572</v>
      </c>
      <c r="Y132">
        <v>3.052</v>
      </c>
      <c r="Z132">
        <v>3.0289999999999999</v>
      </c>
      <c r="AA132">
        <v>2.9409999999999998</v>
      </c>
      <c r="AB132">
        <v>3.0059999999999998</v>
      </c>
      <c r="AC132">
        <v>3.03</v>
      </c>
      <c r="AD132" s="6">
        <v>3.0579999999999998</v>
      </c>
      <c r="AE132" s="6">
        <v>3.1160000000000001</v>
      </c>
      <c r="AF132">
        <v>3.194</v>
      </c>
      <c r="AG132" s="7">
        <v>45572</v>
      </c>
      <c r="AH132">
        <v>3.391</v>
      </c>
      <c r="AI132">
        <v>3.2909999999999999</v>
      </c>
      <c r="AJ132">
        <v>3.2160000000000002</v>
      </c>
      <c r="AK132">
        <v>3.2330000000000001</v>
      </c>
      <c r="AL132">
        <v>3.1909999999999998</v>
      </c>
      <c r="AM132" s="6">
        <v>3.133</v>
      </c>
      <c r="AN132" s="6">
        <v>3.1789999999999998</v>
      </c>
      <c r="AO132">
        <v>3.22</v>
      </c>
      <c r="AP132" s="7">
        <v>45572</v>
      </c>
      <c r="AQ132">
        <v>3.4950000000000001</v>
      </c>
      <c r="AR132">
        <v>3.4220000000000002</v>
      </c>
      <c r="AS132">
        <v>3.3439999999999999</v>
      </c>
      <c r="AT132">
        <v>3.4119999999999999</v>
      </c>
      <c r="AU132">
        <v>3.4420000000000002</v>
      </c>
      <c r="AV132" s="6">
        <v>3.5379999999999998</v>
      </c>
      <c r="AW132" s="6">
        <v>3.6040000000000001</v>
      </c>
      <c r="AX132">
        <v>3.68</v>
      </c>
      <c r="AY132" s="7">
        <v>45572</v>
      </c>
      <c r="AZ132">
        <v>3.3980000000000001</v>
      </c>
      <c r="BA132">
        <v>3.286</v>
      </c>
      <c r="BB132">
        <v>3.2309999999999999</v>
      </c>
      <c r="BC132">
        <v>3.2429999999999999</v>
      </c>
      <c r="BD132">
        <v>3.2330000000000001</v>
      </c>
      <c r="BE132" s="6">
        <v>3.222</v>
      </c>
      <c r="BF132" s="6">
        <v>3.2669999999999999</v>
      </c>
      <c r="BG132">
        <v>3.2770000000000001</v>
      </c>
      <c r="BH132" s="7">
        <v>45572</v>
      </c>
      <c r="BI132">
        <v>3.3420000000000001</v>
      </c>
      <c r="BJ132">
        <v>3.22</v>
      </c>
      <c r="BK132">
        <v>3.1440000000000001</v>
      </c>
      <c r="BL132">
        <v>3.181</v>
      </c>
      <c r="BM132">
        <v>3.1659999999999999</v>
      </c>
      <c r="BN132" s="6">
        <v>3.1280000000000001</v>
      </c>
      <c r="BO132" s="6">
        <v>3.177</v>
      </c>
      <c r="BP132">
        <v>3.218</v>
      </c>
      <c r="BQ132" s="7">
        <v>45572</v>
      </c>
      <c r="BR132">
        <v>3.6459999999999999</v>
      </c>
      <c r="BS132">
        <v>3.577</v>
      </c>
      <c r="BT132">
        <v>3.5419999999999998</v>
      </c>
      <c r="BU132">
        <v>3.5950000000000002</v>
      </c>
      <c r="BV132">
        <v>3.6030000000000002</v>
      </c>
      <c r="BW132" s="6">
        <v>3.6</v>
      </c>
      <c r="BX132" s="6">
        <v>3.65</v>
      </c>
      <c r="BY132">
        <v>3.6789999999999998</v>
      </c>
      <c r="BZ132" s="7">
        <v>45572</v>
      </c>
      <c r="CA132">
        <v>3.1389999999999998</v>
      </c>
      <c r="CB132">
        <v>3.113</v>
      </c>
      <c r="CC132">
        <v>3.0230000000000001</v>
      </c>
      <c r="CD132">
        <v>3.0939999999999999</v>
      </c>
      <c r="CE132">
        <v>3.1219999999999999</v>
      </c>
      <c r="CF132" s="6">
        <v>3.1760000000000002</v>
      </c>
      <c r="CG132" s="6">
        <v>3.226</v>
      </c>
      <c r="CH132">
        <v>3.25</v>
      </c>
    </row>
    <row r="133" spans="2:86">
      <c r="B133" s="7">
        <v>45569</v>
      </c>
      <c r="C133">
        <v>2.9510000000000001</v>
      </c>
      <c r="D133">
        <v>2.9049999999999998</v>
      </c>
      <c r="E133">
        <v>2.81</v>
      </c>
      <c r="F133">
        <v>2.8919999999999999</v>
      </c>
      <c r="G133">
        <v>2.8460000000000001</v>
      </c>
      <c r="H133">
        <v>2.8250000000000002</v>
      </c>
      <c r="I133" s="6">
        <v>2.9249999999999998</v>
      </c>
      <c r="J133" s="6">
        <v>2.8959999999999999</v>
      </c>
      <c r="K133" s="6">
        <v>3.0150000000000001</v>
      </c>
      <c r="L133" s="6">
        <v>2.9950000000000001</v>
      </c>
      <c r="M133" s="6">
        <v>2.8860000000000001</v>
      </c>
      <c r="N133" s="6">
        <v>2.86</v>
      </c>
      <c r="O133" s="7">
        <v>45569</v>
      </c>
      <c r="P133">
        <v>2.9580000000000002</v>
      </c>
      <c r="Q133">
        <v>2.8580000000000001</v>
      </c>
      <c r="R133">
        <v>2.8220000000000001</v>
      </c>
      <c r="S133">
        <v>2.8919999999999999</v>
      </c>
      <c r="T133">
        <v>2.8450000000000002</v>
      </c>
      <c r="U133" s="6">
        <v>2.9</v>
      </c>
      <c r="V133" s="6">
        <v>0</v>
      </c>
      <c r="W133">
        <v>0</v>
      </c>
      <c r="X133" s="7">
        <v>45569</v>
      </c>
      <c r="Y133">
        <v>3.0339999999999998</v>
      </c>
      <c r="Z133">
        <v>2.984</v>
      </c>
      <c r="AA133">
        <v>2.89</v>
      </c>
      <c r="AB133">
        <v>2.9039999999999999</v>
      </c>
      <c r="AC133">
        <v>2.9020000000000001</v>
      </c>
      <c r="AD133" s="6">
        <v>2.927</v>
      </c>
      <c r="AE133" s="6">
        <v>2.984</v>
      </c>
      <c r="AF133">
        <v>3.0880000000000001</v>
      </c>
      <c r="AG133" s="7">
        <v>45569</v>
      </c>
      <c r="AH133">
        <v>3.371</v>
      </c>
      <c r="AI133">
        <v>3.242</v>
      </c>
      <c r="AJ133">
        <v>3.1640000000000001</v>
      </c>
      <c r="AK133">
        <v>3.121</v>
      </c>
      <c r="AL133">
        <v>3.08</v>
      </c>
      <c r="AM133" s="6">
        <v>3.0089999999999999</v>
      </c>
      <c r="AN133" s="6">
        <v>3.0550000000000002</v>
      </c>
      <c r="AO133">
        <v>3.1030000000000002</v>
      </c>
      <c r="AP133" s="7">
        <v>45569</v>
      </c>
      <c r="AQ133">
        <v>3.4670000000000001</v>
      </c>
      <c r="AR133">
        <v>3.3759999999999999</v>
      </c>
      <c r="AS133">
        <v>3.2909999999999999</v>
      </c>
      <c r="AT133">
        <v>3.298</v>
      </c>
      <c r="AU133">
        <v>3.3340000000000001</v>
      </c>
      <c r="AV133" s="6">
        <v>3.415</v>
      </c>
      <c r="AW133" s="6">
        <v>3.4790000000000001</v>
      </c>
      <c r="AX133">
        <v>3.56</v>
      </c>
      <c r="AY133" s="7">
        <v>45569</v>
      </c>
      <c r="AZ133">
        <v>3.3759999999999999</v>
      </c>
      <c r="BA133">
        <v>3.2410000000000001</v>
      </c>
      <c r="BB133">
        <v>3.1760000000000002</v>
      </c>
      <c r="BC133">
        <v>3.1230000000000002</v>
      </c>
      <c r="BD133">
        <v>3.1179999999999999</v>
      </c>
      <c r="BE133" s="6">
        <v>3.1</v>
      </c>
      <c r="BF133" s="6">
        <v>3.1419999999999999</v>
      </c>
      <c r="BG133">
        <v>3.1619999999999999</v>
      </c>
      <c r="BH133" s="7">
        <v>45569</v>
      </c>
      <c r="BI133">
        <v>3.32</v>
      </c>
      <c r="BJ133">
        <v>3.1749999999999998</v>
      </c>
      <c r="BK133">
        <v>3.089</v>
      </c>
      <c r="BL133">
        <v>3.0609999999999999</v>
      </c>
      <c r="BM133">
        <v>3.0510000000000002</v>
      </c>
      <c r="BN133" s="6">
        <v>3.0059999999999998</v>
      </c>
      <c r="BO133" s="6">
        <v>3.048</v>
      </c>
      <c r="BP133">
        <v>3.0990000000000002</v>
      </c>
      <c r="BQ133" s="7">
        <v>45569</v>
      </c>
      <c r="BR133">
        <v>3.6240000000000001</v>
      </c>
      <c r="BS133">
        <v>3.532</v>
      </c>
      <c r="BT133">
        <v>3.4870000000000001</v>
      </c>
      <c r="BU133">
        <v>3.4750000000000001</v>
      </c>
      <c r="BV133">
        <v>3.488</v>
      </c>
      <c r="BW133" s="6">
        <v>3.4790000000000001</v>
      </c>
      <c r="BX133" s="6">
        <v>3.5249999999999999</v>
      </c>
      <c r="BY133">
        <v>3.5640000000000001</v>
      </c>
      <c r="BZ133" s="7">
        <v>45569</v>
      </c>
      <c r="CA133">
        <v>3.121</v>
      </c>
      <c r="CB133">
        <v>3.0680000000000001</v>
      </c>
      <c r="CC133">
        <v>2.9710000000000001</v>
      </c>
      <c r="CD133">
        <v>2.9910000000000001</v>
      </c>
      <c r="CE133">
        <v>2.9940000000000002</v>
      </c>
      <c r="CF133" s="6">
        <v>3.044</v>
      </c>
      <c r="CG133" s="6">
        <v>3.0939999999999999</v>
      </c>
      <c r="CH133">
        <v>3.1440000000000001</v>
      </c>
    </row>
    <row r="134" spans="2:86">
      <c r="B134" s="7">
        <v>45567</v>
      </c>
      <c r="C134">
        <v>2.9510000000000001</v>
      </c>
      <c r="D134">
        <v>2.9079999999999999</v>
      </c>
      <c r="E134">
        <v>2.81</v>
      </c>
      <c r="F134">
        <v>2.8639999999999999</v>
      </c>
      <c r="G134">
        <v>2.802</v>
      </c>
      <c r="H134">
        <v>2.782</v>
      </c>
      <c r="I134" s="6">
        <v>2.8780000000000001</v>
      </c>
      <c r="J134" s="6">
        <v>2.8420000000000001</v>
      </c>
      <c r="K134" s="6">
        <v>2.9590000000000001</v>
      </c>
      <c r="L134" s="6">
        <v>2.9350000000000001</v>
      </c>
      <c r="M134" s="6">
        <v>2.8359999999999999</v>
      </c>
      <c r="N134" s="6">
        <v>2.8130000000000002</v>
      </c>
      <c r="O134" s="7">
        <v>45567</v>
      </c>
      <c r="P134">
        <v>2.9809999999999999</v>
      </c>
      <c r="Q134">
        <v>2.8780000000000001</v>
      </c>
      <c r="R134">
        <v>2.83</v>
      </c>
      <c r="S134">
        <v>2.87</v>
      </c>
      <c r="T134">
        <v>2.81</v>
      </c>
      <c r="U134" s="6">
        <v>2.859</v>
      </c>
      <c r="V134" s="6">
        <v>0</v>
      </c>
      <c r="W134">
        <v>0</v>
      </c>
      <c r="X134" s="7">
        <v>45567</v>
      </c>
      <c r="Y134">
        <v>3.0339999999999998</v>
      </c>
      <c r="Z134">
        <v>2.9870000000000001</v>
      </c>
      <c r="AA134">
        <v>2.89</v>
      </c>
      <c r="AB134">
        <v>2.875</v>
      </c>
      <c r="AC134">
        <v>2.8610000000000002</v>
      </c>
      <c r="AD134" s="6">
        <v>2.883</v>
      </c>
      <c r="AE134" s="6">
        <v>2.9369999999999998</v>
      </c>
      <c r="AF134">
        <v>3.0329999999999999</v>
      </c>
      <c r="AG134" s="7">
        <v>45567</v>
      </c>
      <c r="AH134">
        <v>3.371</v>
      </c>
      <c r="AI134">
        <v>3.2389999999999999</v>
      </c>
      <c r="AJ134">
        <v>3.165</v>
      </c>
      <c r="AK134">
        <v>3.101</v>
      </c>
      <c r="AL134">
        <v>3.0449999999999999</v>
      </c>
      <c r="AM134" s="6">
        <v>2.9649999999999999</v>
      </c>
      <c r="AN134" s="6">
        <v>3.008</v>
      </c>
      <c r="AO134">
        <v>3.0489999999999999</v>
      </c>
      <c r="AP134" s="7">
        <v>45567</v>
      </c>
      <c r="AQ134">
        <v>3.4649999999999999</v>
      </c>
      <c r="AR134">
        <v>3.3759999999999999</v>
      </c>
      <c r="AS134">
        <v>3.294</v>
      </c>
      <c r="AT134">
        <v>3.2770000000000001</v>
      </c>
      <c r="AU134">
        <v>3.3039999999999998</v>
      </c>
      <c r="AV134" s="6">
        <v>3.3780000000000001</v>
      </c>
      <c r="AW134" s="6">
        <v>3.4369999999999998</v>
      </c>
      <c r="AX134">
        <v>3.5110000000000001</v>
      </c>
      <c r="AY134" s="7">
        <v>45567</v>
      </c>
      <c r="AZ134">
        <v>3.3759999999999999</v>
      </c>
      <c r="BA134">
        <v>3.2429999999999999</v>
      </c>
      <c r="BB134">
        <v>3.1840000000000002</v>
      </c>
      <c r="BC134">
        <v>3.1019999999999999</v>
      </c>
      <c r="BD134">
        <v>3.0830000000000002</v>
      </c>
      <c r="BE134" s="6">
        <v>3.056</v>
      </c>
      <c r="BF134" s="6">
        <v>3.0950000000000002</v>
      </c>
      <c r="BG134">
        <v>3.1059999999999999</v>
      </c>
      <c r="BH134" s="7">
        <v>45567</v>
      </c>
      <c r="BI134">
        <v>3.32</v>
      </c>
      <c r="BJ134">
        <v>3.1760000000000002</v>
      </c>
      <c r="BK134">
        <v>3.0979999999999999</v>
      </c>
      <c r="BL134">
        <v>3.0390000000000001</v>
      </c>
      <c r="BM134">
        <v>3.016</v>
      </c>
      <c r="BN134" s="6">
        <v>2.9609999999999999</v>
      </c>
      <c r="BO134" s="6">
        <v>3</v>
      </c>
      <c r="BP134">
        <v>3.0430000000000001</v>
      </c>
      <c r="BQ134" s="7">
        <v>45567</v>
      </c>
      <c r="BR134">
        <v>3.6240000000000001</v>
      </c>
      <c r="BS134">
        <v>3.5329999999999999</v>
      </c>
      <c r="BT134">
        <v>3.4950000000000001</v>
      </c>
      <c r="BU134">
        <v>3.4540000000000002</v>
      </c>
      <c r="BV134">
        <v>3.4529999999999998</v>
      </c>
      <c r="BW134" s="6">
        <v>3.4350000000000001</v>
      </c>
      <c r="BX134" s="6">
        <v>3.4780000000000002</v>
      </c>
      <c r="BY134">
        <v>3.508</v>
      </c>
      <c r="BZ134" s="7">
        <v>45567</v>
      </c>
      <c r="CA134">
        <v>3.121</v>
      </c>
      <c r="CB134">
        <v>3.0720000000000001</v>
      </c>
      <c r="CC134">
        <v>2.9710000000000001</v>
      </c>
      <c r="CD134">
        <v>2.9630000000000001</v>
      </c>
      <c r="CE134">
        <v>2.9529999999999998</v>
      </c>
      <c r="CF134" s="6">
        <v>3</v>
      </c>
      <c r="CG134" s="6">
        <v>3.0470000000000002</v>
      </c>
      <c r="CH134">
        <v>3.09</v>
      </c>
    </row>
    <row r="135" spans="2:86">
      <c r="B135" s="7">
        <v>45565</v>
      </c>
      <c r="C135">
        <v>2.9580000000000002</v>
      </c>
      <c r="D135">
        <v>2.92</v>
      </c>
      <c r="E135">
        <v>2.8159999999999998</v>
      </c>
      <c r="F135">
        <v>2.8839999999999999</v>
      </c>
      <c r="G135">
        <v>2.8170000000000002</v>
      </c>
      <c r="H135">
        <v>2.8050000000000002</v>
      </c>
      <c r="I135" s="6">
        <v>2.91</v>
      </c>
      <c r="J135" s="6">
        <v>2.8849999999999998</v>
      </c>
      <c r="K135" s="6">
        <v>3.0089999999999999</v>
      </c>
      <c r="L135" s="6">
        <v>2.992</v>
      </c>
      <c r="M135" s="6">
        <v>2.911</v>
      </c>
      <c r="N135" s="6">
        <v>2.867</v>
      </c>
      <c r="O135" s="7">
        <v>45565</v>
      </c>
      <c r="P135">
        <v>3.0190000000000001</v>
      </c>
      <c r="Q135">
        <v>2.9089999999999998</v>
      </c>
      <c r="R135">
        <v>2.8450000000000002</v>
      </c>
      <c r="S135">
        <v>2.8889999999999998</v>
      </c>
      <c r="T135">
        <v>2.85</v>
      </c>
      <c r="U135" s="6">
        <v>2.8849999999999998</v>
      </c>
      <c r="V135" s="6">
        <v>0</v>
      </c>
      <c r="W135">
        <v>0</v>
      </c>
      <c r="X135" s="7">
        <v>45565</v>
      </c>
      <c r="Y135">
        <v>3.0409999999999999</v>
      </c>
      <c r="Z135">
        <v>2.9990000000000001</v>
      </c>
      <c r="AA135">
        <v>2.8959999999999999</v>
      </c>
      <c r="AB135">
        <v>2.8959999999999999</v>
      </c>
      <c r="AC135">
        <v>2.8759999999999999</v>
      </c>
      <c r="AD135" s="6">
        <v>2.9060000000000001</v>
      </c>
      <c r="AE135" s="6">
        <v>2.9689999999999999</v>
      </c>
      <c r="AF135">
        <v>3.07</v>
      </c>
      <c r="AG135" s="7">
        <v>45565</v>
      </c>
      <c r="AH135">
        <v>3.3769999999999998</v>
      </c>
      <c r="AI135">
        <v>3.2509999999999999</v>
      </c>
      <c r="AJ135">
        <v>3.181</v>
      </c>
      <c r="AK135">
        <v>3.1179999999999999</v>
      </c>
      <c r="AL135">
        <v>3.0630000000000002</v>
      </c>
      <c r="AM135" s="6">
        <v>2.9860000000000002</v>
      </c>
      <c r="AN135" s="6">
        <v>3.0390000000000001</v>
      </c>
      <c r="AO135">
        <v>3.0920000000000001</v>
      </c>
      <c r="AP135" s="7">
        <v>45565</v>
      </c>
      <c r="AQ135">
        <v>3.468</v>
      </c>
      <c r="AR135">
        <v>3.3809999999999998</v>
      </c>
      <c r="AS135">
        <v>3.3069999999999999</v>
      </c>
      <c r="AT135">
        <v>3.2949999999999999</v>
      </c>
      <c r="AU135">
        <v>3.3210000000000002</v>
      </c>
      <c r="AV135" s="6">
        <v>3.3959999999999999</v>
      </c>
      <c r="AW135" s="6">
        <v>3.468</v>
      </c>
      <c r="AX135">
        <v>3.5539999999999998</v>
      </c>
      <c r="AY135" s="7">
        <v>45565</v>
      </c>
      <c r="AZ135">
        <v>3.379</v>
      </c>
      <c r="BA135">
        <v>3.2480000000000002</v>
      </c>
      <c r="BB135">
        <v>3.1970000000000001</v>
      </c>
      <c r="BC135">
        <v>3.12</v>
      </c>
      <c r="BD135">
        <v>3.1040000000000001</v>
      </c>
      <c r="BE135" s="6">
        <v>3.0779999999999998</v>
      </c>
      <c r="BF135" s="6">
        <v>3.125</v>
      </c>
      <c r="BG135">
        <v>3.149</v>
      </c>
      <c r="BH135" s="7">
        <v>45565</v>
      </c>
      <c r="BI135">
        <v>3.323</v>
      </c>
      <c r="BJ135">
        <v>3.181</v>
      </c>
      <c r="BK135">
        <v>3.11</v>
      </c>
      <c r="BL135">
        <v>3.0579999999999998</v>
      </c>
      <c r="BM135">
        <v>3.036</v>
      </c>
      <c r="BN135" s="6">
        <v>2.9820000000000002</v>
      </c>
      <c r="BO135" s="6">
        <v>3.03</v>
      </c>
      <c r="BP135">
        <v>3.085</v>
      </c>
      <c r="BQ135" s="7">
        <v>45565</v>
      </c>
      <c r="BR135">
        <v>3.6269999999999998</v>
      </c>
      <c r="BS135">
        <v>3.5379999999999998</v>
      </c>
      <c r="BT135">
        <v>3.508</v>
      </c>
      <c r="BU135">
        <v>3.472</v>
      </c>
      <c r="BV135">
        <v>3.4740000000000002</v>
      </c>
      <c r="BW135" s="6">
        <v>3.456</v>
      </c>
      <c r="BX135" s="6">
        <v>3.508</v>
      </c>
      <c r="BY135">
        <v>3.55</v>
      </c>
      <c r="BZ135" s="7">
        <v>45565</v>
      </c>
      <c r="CA135">
        <v>3.1269999999999998</v>
      </c>
      <c r="CB135">
        <v>3.0830000000000002</v>
      </c>
      <c r="CC135">
        <v>2.9780000000000002</v>
      </c>
      <c r="CD135">
        <v>2.9830000000000001</v>
      </c>
      <c r="CE135">
        <v>2.968</v>
      </c>
      <c r="CF135" s="6">
        <v>3.0209999999999999</v>
      </c>
      <c r="CG135" s="6">
        <v>3.0790000000000002</v>
      </c>
      <c r="CH135">
        <v>3.1259999999999999</v>
      </c>
    </row>
    <row r="136" spans="2:86">
      <c r="B136" s="7">
        <v>45562</v>
      </c>
      <c r="C136">
        <v>2.9670000000000001</v>
      </c>
      <c r="D136">
        <v>2.9249999999999998</v>
      </c>
      <c r="E136">
        <v>2.8250000000000002</v>
      </c>
      <c r="F136">
        <v>2.8959999999999999</v>
      </c>
      <c r="G136">
        <v>2.8330000000000002</v>
      </c>
      <c r="H136">
        <v>2.82</v>
      </c>
      <c r="I136" s="6">
        <v>2.9169999999999998</v>
      </c>
      <c r="J136" s="6">
        <v>2.89</v>
      </c>
      <c r="K136" s="6">
        <v>3.0139999999999998</v>
      </c>
      <c r="L136" s="6">
        <v>2.9969999999999999</v>
      </c>
      <c r="M136" s="6">
        <v>2.9129999999999998</v>
      </c>
      <c r="N136" s="6">
        <v>2.8839999999999999</v>
      </c>
      <c r="O136" s="7">
        <v>45562</v>
      </c>
      <c r="P136">
        <v>3.024</v>
      </c>
      <c r="Q136">
        <v>2.915</v>
      </c>
      <c r="R136">
        <v>2.8530000000000002</v>
      </c>
      <c r="S136">
        <v>2.9039999999999999</v>
      </c>
      <c r="T136">
        <v>2.8780000000000001</v>
      </c>
      <c r="U136" s="6">
        <v>2.9049999999999998</v>
      </c>
      <c r="V136" s="6">
        <v>0</v>
      </c>
      <c r="W136">
        <v>0</v>
      </c>
      <c r="X136" s="7">
        <v>45562</v>
      </c>
      <c r="Y136">
        <v>3.05</v>
      </c>
      <c r="Z136">
        <v>3.0059999999999998</v>
      </c>
      <c r="AA136">
        <v>2.9049999999999998</v>
      </c>
      <c r="AB136">
        <v>2.9079999999999999</v>
      </c>
      <c r="AC136">
        <v>2.89</v>
      </c>
      <c r="AD136" s="6">
        <v>2.9220000000000002</v>
      </c>
      <c r="AE136" s="6">
        <v>2.9769999999999999</v>
      </c>
      <c r="AF136">
        <v>3.0750000000000002</v>
      </c>
      <c r="AG136" s="7">
        <v>45562</v>
      </c>
      <c r="AH136">
        <v>3.379</v>
      </c>
      <c r="AI136">
        <v>3.2570000000000001</v>
      </c>
      <c r="AJ136">
        <v>3.19</v>
      </c>
      <c r="AK136">
        <v>3.133</v>
      </c>
      <c r="AL136">
        <v>3.0910000000000002</v>
      </c>
      <c r="AM136" s="6">
        <v>3.0009999999999999</v>
      </c>
      <c r="AN136" s="6">
        <v>3.0459999999999998</v>
      </c>
      <c r="AO136">
        <v>3.0979999999999999</v>
      </c>
      <c r="AP136" s="7">
        <v>45562</v>
      </c>
      <c r="AQ136">
        <v>3.4649999999999999</v>
      </c>
      <c r="AR136">
        <v>3.379</v>
      </c>
      <c r="AS136">
        <v>3.3090000000000002</v>
      </c>
      <c r="AT136">
        <v>3.302</v>
      </c>
      <c r="AU136">
        <v>3.34</v>
      </c>
      <c r="AV136" s="6">
        <v>3.4079999999999999</v>
      </c>
      <c r="AW136" s="6">
        <v>3.4750000000000001</v>
      </c>
      <c r="AX136">
        <v>3.5590000000000002</v>
      </c>
      <c r="AY136" s="7">
        <v>45562</v>
      </c>
      <c r="AZ136">
        <v>3.383</v>
      </c>
      <c r="BA136">
        <v>3.2549999999999999</v>
      </c>
      <c r="BB136">
        <v>3.2050000000000001</v>
      </c>
      <c r="BC136">
        <v>3.133</v>
      </c>
      <c r="BD136">
        <v>3.129</v>
      </c>
      <c r="BE136" s="6">
        <v>3.0920000000000001</v>
      </c>
      <c r="BF136" s="6">
        <v>3.1320000000000001</v>
      </c>
      <c r="BG136">
        <v>3.1539999999999999</v>
      </c>
      <c r="BH136" s="7">
        <v>45562</v>
      </c>
      <c r="BI136">
        <v>3.3250000000000002</v>
      </c>
      <c r="BJ136">
        <v>3.1859999999999999</v>
      </c>
      <c r="BK136">
        <v>3.1190000000000002</v>
      </c>
      <c r="BL136">
        <v>3.0710000000000002</v>
      </c>
      <c r="BM136">
        <v>3.0619999999999998</v>
      </c>
      <c r="BN136" s="6">
        <v>2.9980000000000002</v>
      </c>
      <c r="BO136" s="6">
        <v>3.0379999999999998</v>
      </c>
      <c r="BP136">
        <v>3.0920000000000001</v>
      </c>
      <c r="BQ136" s="7">
        <v>45562</v>
      </c>
      <c r="BR136">
        <v>3.629</v>
      </c>
      <c r="BS136">
        <v>3.5430000000000001</v>
      </c>
      <c r="BT136">
        <v>3.516</v>
      </c>
      <c r="BU136">
        <v>3.4849999999999999</v>
      </c>
      <c r="BV136">
        <v>3.4980000000000002</v>
      </c>
      <c r="BW136" s="6">
        <v>3.47</v>
      </c>
      <c r="BX136" s="6">
        <v>3.5139999999999998</v>
      </c>
      <c r="BY136">
        <v>3.5550000000000002</v>
      </c>
      <c r="BZ136" s="7">
        <v>45562</v>
      </c>
      <c r="CA136">
        <v>3.1360000000000001</v>
      </c>
      <c r="CB136">
        <v>3.09</v>
      </c>
      <c r="CC136">
        <v>2.9860000000000002</v>
      </c>
      <c r="CD136">
        <v>2.9950000000000001</v>
      </c>
      <c r="CE136">
        <v>2.9820000000000002</v>
      </c>
      <c r="CF136" s="6">
        <v>3.0339999999999998</v>
      </c>
      <c r="CG136" s="6">
        <v>3.0859999999999999</v>
      </c>
      <c r="CH136">
        <v>3.1320000000000001</v>
      </c>
    </row>
    <row r="137" spans="2:86">
      <c r="B137" s="7">
        <v>45561</v>
      </c>
      <c r="C137">
        <v>2.9630000000000001</v>
      </c>
      <c r="D137">
        <v>2.915</v>
      </c>
      <c r="E137">
        <v>2.83</v>
      </c>
      <c r="F137">
        <v>2.8849999999999998</v>
      </c>
      <c r="G137">
        <v>2.82</v>
      </c>
      <c r="H137">
        <v>2.81</v>
      </c>
      <c r="I137" s="6">
        <v>2.9060000000000001</v>
      </c>
      <c r="J137" s="6">
        <v>2.8780000000000001</v>
      </c>
      <c r="K137" s="6">
        <v>3.0049999999999999</v>
      </c>
      <c r="L137" s="6">
        <v>3</v>
      </c>
      <c r="M137" s="6">
        <v>2.9249999999999998</v>
      </c>
      <c r="N137" s="6">
        <v>2.895</v>
      </c>
      <c r="O137" s="7">
        <v>45561</v>
      </c>
      <c r="P137">
        <v>3.024</v>
      </c>
      <c r="Q137">
        <v>2.9169999999999998</v>
      </c>
      <c r="R137">
        <v>2.85</v>
      </c>
      <c r="S137">
        <v>2.89</v>
      </c>
      <c r="T137">
        <v>2.8650000000000002</v>
      </c>
      <c r="U137" s="6">
        <v>2.89</v>
      </c>
      <c r="V137" s="6">
        <v>0</v>
      </c>
      <c r="W137">
        <v>0</v>
      </c>
      <c r="X137" s="7">
        <v>45561</v>
      </c>
      <c r="Y137">
        <v>3.0470000000000002</v>
      </c>
      <c r="Z137">
        <v>2.9990000000000001</v>
      </c>
      <c r="AA137">
        <v>2.91</v>
      </c>
      <c r="AB137">
        <v>2.9</v>
      </c>
      <c r="AC137">
        <v>2.8730000000000002</v>
      </c>
      <c r="AD137" s="6">
        <v>2.9060000000000001</v>
      </c>
      <c r="AE137" s="6">
        <v>2.9660000000000002</v>
      </c>
      <c r="AF137">
        <v>3.0649999999999999</v>
      </c>
      <c r="AG137" s="7">
        <v>45561</v>
      </c>
      <c r="AH137">
        <v>3.379</v>
      </c>
      <c r="AI137">
        <v>3.2559999999999998</v>
      </c>
      <c r="AJ137">
        <v>3.19</v>
      </c>
      <c r="AK137">
        <v>3.121</v>
      </c>
      <c r="AL137">
        <v>3.0779999999999998</v>
      </c>
      <c r="AM137" s="6">
        <v>2.9910000000000001</v>
      </c>
      <c r="AN137" s="6">
        <v>3.0350000000000001</v>
      </c>
      <c r="AO137">
        <v>3.0859999999999999</v>
      </c>
      <c r="AP137" s="7">
        <v>45561</v>
      </c>
      <c r="AQ137">
        <v>3.4649999999999999</v>
      </c>
      <c r="AR137">
        <v>3.3809999999999998</v>
      </c>
      <c r="AS137">
        <v>3.3039999999999998</v>
      </c>
      <c r="AT137">
        <v>3.2869999999999999</v>
      </c>
      <c r="AU137">
        <v>3.3290000000000002</v>
      </c>
      <c r="AV137" s="6">
        <v>3.395</v>
      </c>
      <c r="AW137" s="6">
        <v>3.4630000000000001</v>
      </c>
      <c r="AX137">
        <v>3.5470000000000002</v>
      </c>
      <c r="AY137" s="7">
        <v>45561</v>
      </c>
      <c r="AZ137">
        <v>3.379</v>
      </c>
      <c r="BA137">
        <v>3.254</v>
      </c>
      <c r="BB137">
        <v>3.202</v>
      </c>
      <c r="BC137">
        <v>3.121</v>
      </c>
      <c r="BD137">
        <v>3.1160000000000001</v>
      </c>
      <c r="BE137" s="6">
        <v>3.081</v>
      </c>
      <c r="BF137" s="6">
        <v>3.12</v>
      </c>
      <c r="BG137">
        <v>3.141</v>
      </c>
      <c r="BH137" s="7">
        <v>45561</v>
      </c>
      <c r="BI137">
        <v>3.3220000000000001</v>
      </c>
      <c r="BJ137">
        <v>3.1859999999999999</v>
      </c>
      <c r="BK137">
        <v>3.1150000000000002</v>
      </c>
      <c r="BL137">
        <v>3.0590000000000002</v>
      </c>
      <c r="BM137">
        <v>3.0489999999999999</v>
      </c>
      <c r="BN137" s="6">
        <v>2.9870000000000001</v>
      </c>
      <c r="BO137" s="6">
        <v>3.0259999999999998</v>
      </c>
      <c r="BP137">
        <v>3.08</v>
      </c>
      <c r="BQ137" s="7">
        <v>45561</v>
      </c>
      <c r="BR137">
        <v>3.6259999999999999</v>
      </c>
      <c r="BS137">
        <v>3.5430000000000001</v>
      </c>
      <c r="BT137">
        <v>3.5129999999999999</v>
      </c>
      <c r="BU137">
        <v>3.4729999999999999</v>
      </c>
      <c r="BV137">
        <v>3.4849999999999999</v>
      </c>
      <c r="BW137" s="6">
        <v>3.4590000000000001</v>
      </c>
      <c r="BX137" s="6">
        <v>3.5030000000000001</v>
      </c>
      <c r="BY137">
        <v>3.5430000000000001</v>
      </c>
      <c r="BZ137" s="7">
        <v>45561</v>
      </c>
      <c r="CA137">
        <v>3.1339999999999999</v>
      </c>
      <c r="CB137">
        <v>3.0830000000000002</v>
      </c>
      <c r="CC137">
        <v>2.9910000000000001</v>
      </c>
      <c r="CD137">
        <v>2.988</v>
      </c>
      <c r="CE137">
        <v>2.9649999999999999</v>
      </c>
      <c r="CF137" s="6">
        <v>3.0169999999999999</v>
      </c>
      <c r="CG137" s="6">
        <v>3.0760000000000001</v>
      </c>
      <c r="CH137">
        <v>3.121</v>
      </c>
    </row>
    <row r="138" spans="2:86">
      <c r="B138" s="7">
        <v>45560</v>
      </c>
      <c r="C138">
        <v>2.9780000000000002</v>
      </c>
      <c r="D138">
        <v>2.919</v>
      </c>
      <c r="E138">
        <v>2.8410000000000002</v>
      </c>
      <c r="F138">
        <v>2.899</v>
      </c>
      <c r="G138">
        <v>2.8290000000000002</v>
      </c>
      <c r="H138">
        <v>2.8119999999999998</v>
      </c>
      <c r="I138" s="6">
        <v>2.9039999999999999</v>
      </c>
      <c r="J138" s="6">
        <v>2.875</v>
      </c>
      <c r="K138" s="6">
        <v>2.9849999999999999</v>
      </c>
      <c r="L138" s="6">
        <v>2.9969999999999999</v>
      </c>
      <c r="M138" s="6">
        <v>2.93</v>
      </c>
      <c r="N138" s="6">
        <v>2.8919999999999999</v>
      </c>
      <c r="O138" s="7">
        <v>45560</v>
      </c>
      <c r="P138">
        <v>3.0259999999999998</v>
      </c>
      <c r="Q138">
        <v>2.9169999999999998</v>
      </c>
      <c r="R138">
        <v>2.8450000000000002</v>
      </c>
      <c r="S138">
        <v>2.9</v>
      </c>
      <c r="T138">
        <v>2.875</v>
      </c>
      <c r="U138" s="6">
        <v>2.89</v>
      </c>
      <c r="V138" s="6">
        <v>0</v>
      </c>
      <c r="W138">
        <v>0</v>
      </c>
      <c r="X138" s="7">
        <v>45560</v>
      </c>
      <c r="Y138">
        <v>3.0590000000000002</v>
      </c>
      <c r="Z138">
        <v>3.0049999999999999</v>
      </c>
      <c r="AA138">
        <v>2.9209999999999998</v>
      </c>
      <c r="AB138">
        <v>2.9129999999999998</v>
      </c>
      <c r="AC138">
        <v>2.8820000000000001</v>
      </c>
      <c r="AD138" s="6">
        <v>2.9079999999999999</v>
      </c>
      <c r="AE138" s="6">
        <v>2.964</v>
      </c>
      <c r="AF138">
        <v>3.06</v>
      </c>
      <c r="AG138" s="7">
        <v>45560</v>
      </c>
      <c r="AH138">
        <v>3.3769999999999998</v>
      </c>
      <c r="AI138">
        <v>3.2589999999999999</v>
      </c>
      <c r="AJ138">
        <v>3.1949999999999998</v>
      </c>
      <c r="AK138">
        <v>3.133</v>
      </c>
      <c r="AL138">
        <v>3.0880000000000001</v>
      </c>
      <c r="AM138" s="6">
        <v>2.9929999999999999</v>
      </c>
      <c r="AN138" s="6">
        <v>3.0329999999999999</v>
      </c>
      <c r="AO138">
        <v>3.0830000000000002</v>
      </c>
      <c r="AP138" s="7">
        <v>45560</v>
      </c>
      <c r="AQ138">
        <v>3.4630000000000001</v>
      </c>
      <c r="AR138">
        <v>3.3839999999999999</v>
      </c>
      <c r="AS138">
        <v>3.3109999999999999</v>
      </c>
      <c r="AT138">
        <v>3.3</v>
      </c>
      <c r="AU138">
        <v>3.343</v>
      </c>
      <c r="AV138" s="6">
        <v>3.3940000000000001</v>
      </c>
      <c r="AW138" s="6">
        <v>3.456</v>
      </c>
      <c r="AX138">
        <v>3.54</v>
      </c>
      <c r="AY138" s="7">
        <v>45560</v>
      </c>
      <c r="AZ138">
        <v>3.3759999999999999</v>
      </c>
      <c r="BA138">
        <v>3.254</v>
      </c>
      <c r="BB138">
        <v>3.1989999999999998</v>
      </c>
      <c r="BC138">
        <v>3.1309999999999998</v>
      </c>
      <c r="BD138">
        <v>3.1240000000000001</v>
      </c>
      <c r="BE138" s="6">
        <v>3.0830000000000002</v>
      </c>
      <c r="BF138" s="6">
        <v>3.1179999999999999</v>
      </c>
      <c r="BG138">
        <v>3.1379999999999999</v>
      </c>
      <c r="BH138" s="7">
        <v>45560</v>
      </c>
      <c r="BI138">
        <v>3.3180000000000001</v>
      </c>
      <c r="BJ138">
        <v>3.1859999999999999</v>
      </c>
      <c r="BK138">
        <v>3.1120000000000001</v>
      </c>
      <c r="BL138">
        <v>3.069</v>
      </c>
      <c r="BM138">
        <v>3.0590000000000002</v>
      </c>
      <c r="BN138" s="6">
        <v>2.9889999999999999</v>
      </c>
      <c r="BO138" s="6">
        <v>3.0219999999999998</v>
      </c>
      <c r="BP138">
        <v>3.077</v>
      </c>
      <c r="BQ138" s="7">
        <v>45560</v>
      </c>
      <c r="BR138">
        <v>3.6219999999999999</v>
      </c>
      <c r="BS138">
        <v>3.5430000000000001</v>
      </c>
      <c r="BT138">
        <v>3.5089999999999999</v>
      </c>
      <c r="BU138">
        <v>3.4830000000000001</v>
      </c>
      <c r="BV138">
        <v>3.4950000000000001</v>
      </c>
      <c r="BW138" s="6">
        <v>3.4609999999999999</v>
      </c>
      <c r="BX138" s="6">
        <v>3.5009999999999999</v>
      </c>
      <c r="BY138">
        <v>3.54</v>
      </c>
      <c r="BZ138" s="7">
        <v>45560</v>
      </c>
      <c r="CA138">
        <v>3.1459999999999999</v>
      </c>
      <c r="CB138">
        <v>3.089</v>
      </c>
      <c r="CC138">
        <v>3.0030000000000001</v>
      </c>
      <c r="CD138">
        <v>3.0009999999999999</v>
      </c>
      <c r="CE138">
        <v>2.9740000000000002</v>
      </c>
      <c r="CF138" s="6">
        <v>3.0190000000000001</v>
      </c>
      <c r="CG138" s="6">
        <v>3.0739999999999998</v>
      </c>
      <c r="CH138">
        <v>3.1160000000000001</v>
      </c>
    </row>
    <row r="139" spans="2:86">
      <c r="B139" s="7">
        <v>45559</v>
      </c>
      <c r="C139">
        <v>2.988</v>
      </c>
      <c r="D139">
        <v>2.9350000000000001</v>
      </c>
      <c r="E139">
        <v>2.8759999999999999</v>
      </c>
      <c r="F139">
        <v>2.944</v>
      </c>
      <c r="G139">
        <v>2.8730000000000002</v>
      </c>
      <c r="H139">
        <v>2.86</v>
      </c>
      <c r="I139" s="6">
        <v>2.94</v>
      </c>
      <c r="J139" s="6">
        <v>2.91</v>
      </c>
      <c r="K139" s="6">
        <v>3.024</v>
      </c>
      <c r="L139" s="6">
        <v>3.032</v>
      </c>
      <c r="M139" s="6">
        <v>2.948</v>
      </c>
      <c r="N139" s="6">
        <v>2.915</v>
      </c>
      <c r="O139" s="7">
        <v>45559</v>
      </c>
      <c r="P139">
        <v>3.044</v>
      </c>
      <c r="Q139">
        <v>2.9340000000000002</v>
      </c>
      <c r="R139">
        <v>2.8650000000000002</v>
      </c>
      <c r="S139">
        <v>2.9390000000000001</v>
      </c>
      <c r="T139">
        <v>2.915</v>
      </c>
      <c r="U139" s="6">
        <v>2.9350000000000001</v>
      </c>
      <c r="V139" s="6">
        <v>0</v>
      </c>
      <c r="W139">
        <v>0</v>
      </c>
      <c r="X139" s="7">
        <v>45559</v>
      </c>
      <c r="Y139">
        <v>3.069</v>
      </c>
      <c r="Z139">
        <v>3.0209999999999999</v>
      </c>
      <c r="AA139">
        <v>2.956</v>
      </c>
      <c r="AB139">
        <v>2.9569999999999999</v>
      </c>
      <c r="AC139">
        <v>2.927</v>
      </c>
      <c r="AD139" s="6">
        <v>2.956</v>
      </c>
      <c r="AE139" s="6">
        <v>3.0030000000000001</v>
      </c>
      <c r="AF139">
        <v>3.097</v>
      </c>
      <c r="AG139" s="7">
        <v>45559</v>
      </c>
      <c r="AH139">
        <v>3.387</v>
      </c>
      <c r="AI139">
        <v>3.2759999999999998</v>
      </c>
      <c r="AJ139">
        <v>3.2120000000000002</v>
      </c>
      <c r="AK139">
        <v>3.1680000000000001</v>
      </c>
      <c r="AL139">
        <v>3.1269999999999998</v>
      </c>
      <c r="AM139" s="6">
        <v>3.0409999999999999</v>
      </c>
      <c r="AN139" s="6">
        <v>3.07</v>
      </c>
      <c r="AO139">
        <v>3.1179999999999999</v>
      </c>
      <c r="AP139" s="7">
        <v>45559</v>
      </c>
      <c r="AQ139">
        <v>3.472</v>
      </c>
      <c r="AR139">
        <v>3.3929999999999998</v>
      </c>
      <c r="AS139">
        <v>3.327</v>
      </c>
      <c r="AT139">
        <v>3.335</v>
      </c>
      <c r="AU139">
        <v>3.3809999999999998</v>
      </c>
      <c r="AV139" s="6">
        <v>3.4390000000000001</v>
      </c>
      <c r="AW139" s="6">
        <v>3.4870000000000001</v>
      </c>
      <c r="AX139">
        <v>3.57</v>
      </c>
      <c r="AY139" s="7">
        <v>45559</v>
      </c>
      <c r="AZ139">
        <v>3.3879999999999999</v>
      </c>
      <c r="BA139">
        <v>3.2679999999999998</v>
      </c>
      <c r="BB139">
        <v>3.2170000000000001</v>
      </c>
      <c r="BC139">
        <v>3.1680000000000001</v>
      </c>
      <c r="BD139">
        <v>3.1619999999999999</v>
      </c>
      <c r="BE139" s="6">
        <v>3.13</v>
      </c>
      <c r="BF139" s="6">
        <v>3.1539999999999999</v>
      </c>
      <c r="BG139">
        <v>3.173</v>
      </c>
      <c r="BH139" s="7">
        <v>45559</v>
      </c>
      <c r="BI139">
        <v>3.33</v>
      </c>
      <c r="BJ139">
        <v>3.2010000000000001</v>
      </c>
      <c r="BK139">
        <v>3.13</v>
      </c>
      <c r="BL139">
        <v>3.1059999999999999</v>
      </c>
      <c r="BM139">
        <v>3.097</v>
      </c>
      <c r="BN139" s="6">
        <v>3.0369999999999999</v>
      </c>
      <c r="BO139" s="6">
        <v>3.0579999999999998</v>
      </c>
      <c r="BP139">
        <v>3.1120000000000001</v>
      </c>
      <c r="BQ139" s="7">
        <v>45559</v>
      </c>
      <c r="BR139">
        <v>3.6309999999999998</v>
      </c>
      <c r="BS139">
        <v>3.5550000000000002</v>
      </c>
      <c r="BT139">
        <v>3.528</v>
      </c>
      <c r="BU139">
        <v>3.52</v>
      </c>
      <c r="BV139">
        <v>3.5329999999999999</v>
      </c>
      <c r="BW139" s="6">
        <v>3.5089999999999999</v>
      </c>
      <c r="BX139" s="6">
        <v>3.5369999999999999</v>
      </c>
      <c r="BY139">
        <v>3.5750000000000002</v>
      </c>
      <c r="BZ139" s="7">
        <v>45559</v>
      </c>
      <c r="CA139">
        <v>3.1560000000000001</v>
      </c>
      <c r="CB139">
        <v>3.105</v>
      </c>
      <c r="CC139">
        <v>3.0379999999999998</v>
      </c>
      <c r="CD139">
        <v>3.044</v>
      </c>
      <c r="CE139">
        <v>3.0179999999999998</v>
      </c>
      <c r="CF139" s="6">
        <v>3.0670000000000002</v>
      </c>
      <c r="CG139" s="6">
        <v>3.1120000000000001</v>
      </c>
      <c r="CH139">
        <v>3.1539999999999999</v>
      </c>
    </row>
    <row r="140" spans="2:86">
      <c r="B140" s="7">
        <v>45558</v>
      </c>
      <c r="C140">
        <v>3.0009999999999999</v>
      </c>
      <c r="D140">
        <v>2.9460000000000002</v>
      </c>
      <c r="E140">
        <v>2.8809999999999998</v>
      </c>
      <c r="F140">
        <v>2.9510000000000001</v>
      </c>
      <c r="G140">
        <v>2.875</v>
      </c>
      <c r="H140">
        <v>2.86</v>
      </c>
      <c r="I140" s="6">
        <v>2.9350000000000001</v>
      </c>
      <c r="J140" s="6">
        <v>2.903</v>
      </c>
      <c r="K140" s="6">
        <v>3.0139999999999998</v>
      </c>
      <c r="L140" s="6">
        <v>3.0249999999999999</v>
      </c>
      <c r="M140" s="6">
        <v>2.94</v>
      </c>
      <c r="N140" s="6">
        <v>2.91</v>
      </c>
      <c r="O140" s="7">
        <v>45558</v>
      </c>
      <c r="P140">
        <v>3.0529999999999999</v>
      </c>
      <c r="Q140">
        <v>2.94</v>
      </c>
      <c r="R140">
        <v>2.8690000000000002</v>
      </c>
      <c r="S140">
        <v>2.948</v>
      </c>
      <c r="T140">
        <v>2.92</v>
      </c>
      <c r="U140" s="6">
        <v>2.9350000000000001</v>
      </c>
      <c r="V140" s="6">
        <v>0</v>
      </c>
      <c r="W140">
        <v>0</v>
      </c>
      <c r="X140" s="7">
        <v>45558</v>
      </c>
      <c r="Y140">
        <v>3.0819999999999999</v>
      </c>
      <c r="Z140">
        <v>3.032</v>
      </c>
      <c r="AA140">
        <v>2.9609999999999999</v>
      </c>
      <c r="AB140">
        <v>2.964</v>
      </c>
      <c r="AC140">
        <v>2.927</v>
      </c>
      <c r="AD140" s="6">
        <v>2.956</v>
      </c>
      <c r="AE140" s="6">
        <v>2.9969999999999999</v>
      </c>
      <c r="AF140">
        <v>3.0920000000000001</v>
      </c>
      <c r="AG140" s="7">
        <v>45558</v>
      </c>
      <c r="AH140">
        <v>3.391</v>
      </c>
      <c r="AI140">
        <v>3.282</v>
      </c>
      <c r="AJ140">
        <v>3.2170000000000001</v>
      </c>
      <c r="AK140">
        <v>3.1779999999999999</v>
      </c>
      <c r="AL140">
        <v>3.1349999999999998</v>
      </c>
      <c r="AM140" s="6">
        <v>3.0409999999999999</v>
      </c>
      <c r="AN140" s="6">
        <v>3.0640000000000001</v>
      </c>
      <c r="AO140">
        <v>3.1120000000000001</v>
      </c>
      <c r="AP140" s="7">
        <v>45558</v>
      </c>
      <c r="AQ140">
        <v>3.472</v>
      </c>
      <c r="AR140">
        <v>3.3959999999999999</v>
      </c>
      <c r="AS140">
        <v>3.3260000000000001</v>
      </c>
      <c r="AT140">
        <v>3.343</v>
      </c>
      <c r="AU140">
        <v>3.3839999999999999</v>
      </c>
      <c r="AV140" s="6">
        <v>3.444</v>
      </c>
      <c r="AW140" s="6">
        <v>3.4830000000000001</v>
      </c>
      <c r="AX140">
        <v>3.5670000000000002</v>
      </c>
      <c r="AY140" s="7">
        <v>45558</v>
      </c>
      <c r="AZ140">
        <v>3.39</v>
      </c>
      <c r="BA140">
        <v>3.2709999999999999</v>
      </c>
      <c r="BB140">
        <v>3.22</v>
      </c>
      <c r="BC140">
        <v>3.177</v>
      </c>
      <c r="BD140">
        <v>3.1669999999999998</v>
      </c>
      <c r="BE140" s="6">
        <v>3.13</v>
      </c>
      <c r="BF140" s="6">
        <v>3.149</v>
      </c>
      <c r="BG140">
        <v>3.1680000000000001</v>
      </c>
      <c r="BH140" s="7">
        <v>45558</v>
      </c>
      <c r="BI140">
        <v>3.3319999999999999</v>
      </c>
      <c r="BJ140">
        <v>3.2040000000000002</v>
      </c>
      <c r="BK140">
        <v>3.133</v>
      </c>
      <c r="BL140">
        <v>3.1139999999999999</v>
      </c>
      <c r="BM140">
        <v>3.1019999999999999</v>
      </c>
      <c r="BN140" s="6">
        <v>3.0369999999999999</v>
      </c>
      <c r="BO140" s="6">
        <v>3.052</v>
      </c>
      <c r="BP140">
        <v>3.1070000000000002</v>
      </c>
      <c r="BQ140" s="7">
        <v>45558</v>
      </c>
      <c r="BR140">
        <v>3.6309999999999998</v>
      </c>
      <c r="BS140">
        <v>3.556</v>
      </c>
      <c r="BT140">
        <v>3.5310000000000001</v>
      </c>
      <c r="BU140">
        <v>3.5289999999999999</v>
      </c>
      <c r="BV140">
        <v>3.5379999999999998</v>
      </c>
      <c r="BW140" s="6">
        <v>3.5089999999999999</v>
      </c>
      <c r="BX140" s="6">
        <v>3.5310000000000001</v>
      </c>
      <c r="BY140">
        <v>3.569</v>
      </c>
      <c r="BZ140" s="7">
        <v>45558</v>
      </c>
      <c r="CA140">
        <v>3.169</v>
      </c>
      <c r="CB140">
        <v>3.117</v>
      </c>
      <c r="CC140">
        <v>3.0430000000000001</v>
      </c>
      <c r="CD140">
        <v>3.052</v>
      </c>
      <c r="CE140">
        <v>3.02</v>
      </c>
      <c r="CF140" s="6">
        <v>3.069</v>
      </c>
      <c r="CG140" s="6">
        <v>3.1080000000000001</v>
      </c>
      <c r="CH140">
        <v>3.149</v>
      </c>
    </row>
    <row r="141" spans="2:86">
      <c r="B141" s="7">
        <v>45555</v>
      </c>
      <c r="C141">
        <v>3.008</v>
      </c>
      <c r="D141">
        <v>2.9550000000000001</v>
      </c>
      <c r="E141">
        <v>2.8759999999999999</v>
      </c>
      <c r="F141">
        <v>2.9409999999999998</v>
      </c>
      <c r="G141">
        <v>2.86</v>
      </c>
      <c r="H141">
        <v>2.8370000000000002</v>
      </c>
      <c r="I141" s="6">
        <v>2.9079999999999999</v>
      </c>
      <c r="J141" s="6">
        <v>2.87</v>
      </c>
      <c r="K141" s="6">
        <v>2.98</v>
      </c>
      <c r="L141" s="6">
        <v>2.992</v>
      </c>
      <c r="M141" s="6">
        <v>2.9119999999999999</v>
      </c>
      <c r="N141" s="6">
        <v>2.871</v>
      </c>
      <c r="O141" s="7">
        <v>45555</v>
      </c>
      <c r="P141">
        <v>3.0529999999999999</v>
      </c>
      <c r="Q141">
        <v>2.94</v>
      </c>
      <c r="R141">
        <v>2.867</v>
      </c>
      <c r="S141">
        <v>2.9449999999999998</v>
      </c>
      <c r="T141">
        <v>2.9</v>
      </c>
      <c r="U141" s="6">
        <v>2.9159999999999999</v>
      </c>
      <c r="V141" s="6">
        <v>0</v>
      </c>
      <c r="W141">
        <v>0</v>
      </c>
      <c r="X141" s="7">
        <v>45555</v>
      </c>
      <c r="Y141">
        <v>3.0910000000000002</v>
      </c>
      <c r="Z141">
        <v>3.0390000000000001</v>
      </c>
      <c r="AA141">
        <v>2.956</v>
      </c>
      <c r="AB141">
        <v>2.9540000000000002</v>
      </c>
      <c r="AC141">
        <v>2.9119999999999999</v>
      </c>
      <c r="AD141" s="6">
        <v>2.9329999999999998</v>
      </c>
      <c r="AE141" s="6">
        <v>2.9710000000000001</v>
      </c>
      <c r="AF141">
        <v>3.0630000000000002</v>
      </c>
      <c r="AG141" s="7">
        <v>45555</v>
      </c>
      <c r="AH141">
        <v>3.3889999999999998</v>
      </c>
      <c r="AI141">
        <v>3.2789999999999999</v>
      </c>
      <c r="AJ141">
        <v>3.2160000000000002</v>
      </c>
      <c r="AK141">
        <v>3.1789999999999998</v>
      </c>
      <c r="AL141">
        <v>3.12</v>
      </c>
      <c r="AM141" s="6">
        <v>3.0190000000000001</v>
      </c>
      <c r="AN141" s="6">
        <v>3.0390000000000001</v>
      </c>
      <c r="AO141">
        <v>3.0790000000000002</v>
      </c>
      <c r="AP141" s="7">
        <v>45555</v>
      </c>
      <c r="AQ141">
        <v>3.47</v>
      </c>
      <c r="AR141">
        <v>3.395</v>
      </c>
      <c r="AS141">
        <v>3.3260000000000001</v>
      </c>
      <c r="AT141">
        <v>3.3380000000000001</v>
      </c>
      <c r="AU141">
        <v>3.3660000000000001</v>
      </c>
      <c r="AV141" s="6">
        <v>3.4220000000000002</v>
      </c>
      <c r="AW141" s="6">
        <v>3.4580000000000002</v>
      </c>
      <c r="AX141">
        <v>3.5369999999999999</v>
      </c>
      <c r="AY141" s="7">
        <v>45555</v>
      </c>
      <c r="AZ141">
        <v>3.39</v>
      </c>
      <c r="BA141">
        <v>3.2709999999999999</v>
      </c>
      <c r="BB141">
        <v>3.2210000000000001</v>
      </c>
      <c r="BC141">
        <v>3.1739999999999999</v>
      </c>
      <c r="BD141">
        <v>3.15</v>
      </c>
      <c r="BE141" s="6">
        <v>3.1080000000000001</v>
      </c>
      <c r="BF141" s="6">
        <v>3.1240000000000001</v>
      </c>
      <c r="BG141">
        <v>3.1349999999999998</v>
      </c>
      <c r="BH141" s="7">
        <v>45555</v>
      </c>
      <c r="BI141">
        <v>3.3319999999999999</v>
      </c>
      <c r="BJ141">
        <v>3.2040000000000002</v>
      </c>
      <c r="BK141">
        <v>3.1339999999999999</v>
      </c>
      <c r="BL141">
        <v>3.1120000000000001</v>
      </c>
      <c r="BM141">
        <v>3.0840000000000001</v>
      </c>
      <c r="BN141" s="6">
        <v>3.0150000000000001</v>
      </c>
      <c r="BO141" s="6">
        <v>3.03</v>
      </c>
      <c r="BP141">
        <v>3.0739999999999998</v>
      </c>
      <c r="BQ141" s="7">
        <v>45555</v>
      </c>
      <c r="BR141">
        <v>3.6309999999999998</v>
      </c>
      <c r="BS141">
        <v>3.556</v>
      </c>
      <c r="BT141">
        <v>3.5310000000000001</v>
      </c>
      <c r="BU141">
        <v>3.5259999999999998</v>
      </c>
      <c r="BV141">
        <v>3.52</v>
      </c>
      <c r="BW141" s="6">
        <v>3.4870000000000001</v>
      </c>
      <c r="BX141" s="6">
        <v>3.5070000000000001</v>
      </c>
      <c r="BY141">
        <v>3.5369999999999999</v>
      </c>
      <c r="BZ141" s="7">
        <v>45555</v>
      </c>
      <c r="CA141">
        <v>3.177</v>
      </c>
      <c r="CB141">
        <v>3.1230000000000002</v>
      </c>
      <c r="CC141">
        <v>3.0379999999999998</v>
      </c>
      <c r="CD141">
        <v>3.0419999999999998</v>
      </c>
      <c r="CE141">
        <v>3.0059999999999998</v>
      </c>
      <c r="CF141" s="6">
        <v>3.0459999999999998</v>
      </c>
      <c r="CG141" s="6">
        <v>3.0819999999999999</v>
      </c>
      <c r="CH141">
        <v>3.12</v>
      </c>
    </row>
    <row r="142" spans="2:86">
      <c r="B142" s="7">
        <v>45554</v>
      </c>
      <c r="C142">
        <v>3.016</v>
      </c>
      <c r="D142">
        <v>2.9660000000000002</v>
      </c>
      <c r="E142">
        <v>2.88</v>
      </c>
      <c r="F142">
        <v>2.948</v>
      </c>
      <c r="G142">
        <v>2.859</v>
      </c>
      <c r="H142">
        <v>2.835</v>
      </c>
      <c r="I142" s="6">
        <v>2.9</v>
      </c>
      <c r="J142" s="6">
        <v>2.8540000000000001</v>
      </c>
      <c r="K142" s="6">
        <v>2.9649999999999999</v>
      </c>
      <c r="L142" s="6">
        <v>2.9689999999999999</v>
      </c>
      <c r="M142" s="6">
        <v>2.9020000000000001</v>
      </c>
      <c r="N142" s="6">
        <v>2.855</v>
      </c>
      <c r="O142" s="7">
        <v>45554</v>
      </c>
      <c r="P142">
        <v>3.056</v>
      </c>
      <c r="Q142">
        <v>2.944</v>
      </c>
      <c r="R142">
        <v>2.8730000000000002</v>
      </c>
      <c r="S142">
        <v>2.9540000000000002</v>
      </c>
      <c r="T142">
        <v>2.91</v>
      </c>
      <c r="U142" s="6">
        <v>2.9239999999999999</v>
      </c>
      <c r="V142" s="6">
        <v>0</v>
      </c>
      <c r="W142">
        <v>0</v>
      </c>
      <c r="X142" s="7">
        <v>45554</v>
      </c>
      <c r="Y142">
        <v>3.0990000000000002</v>
      </c>
      <c r="Z142">
        <v>3.0510000000000002</v>
      </c>
      <c r="AA142">
        <v>2.96</v>
      </c>
      <c r="AB142">
        <v>2.9609999999999999</v>
      </c>
      <c r="AC142">
        <v>2.9129999999999998</v>
      </c>
      <c r="AD142" s="6">
        <v>2.931</v>
      </c>
      <c r="AE142" s="6">
        <v>2.96</v>
      </c>
      <c r="AF142">
        <v>3.05</v>
      </c>
      <c r="AG142" s="7">
        <v>45554</v>
      </c>
      <c r="AH142">
        <v>3.39</v>
      </c>
      <c r="AI142">
        <v>3.282</v>
      </c>
      <c r="AJ142">
        <v>3.2210000000000001</v>
      </c>
      <c r="AK142">
        <v>3.1890000000000001</v>
      </c>
      <c r="AL142">
        <v>3.13</v>
      </c>
      <c r="AM142" s="6">
        <v>3.0179999999999998</v>
      </c>
      <c r="AN142" s="6">
        <v>3.028</v>
      </c>
      <c r="AO142">
        <v>3.0609999999999999</v>
      </c>
      <c r="AP142" s="7">
        <v>45554</v>
      </c>
      <c r="AQ142">
        <v>3.468</v>
      </c>
      <c r="AR142">
        <v>3.3929999999999998</v>
      </c>
      <c r="AS142">
        <v>3.3290000000000002</v>
      </c>
      <c r="AT142">
        <v>3.3450000000000002</v>
      </c>
      <c r="AU142">
        <v>3.3719999999999999</v>
      </c>
      <c r="AV142" s="6">
        <v>3.419</v>
      </c>
      <c r="AW142" s="6">
        <v>3.4460000000000002</v>
      </c>
      <c r="AX142">
        <v>3.5190000000000001</v>
      </c>
      <c r="AY142" s="7">
        <v>45554</v>
      </c>
      <c r="AZ142">
        <v>3.3919999999999999</v>
      </c>
      <c r="BA142">
        <v>3.2709999999999999</v>
      </c>
      <c r="BB142">
        <v>3.2229999999999999</v>
      </c>
      <c r="BC142">
        <v>3.181</v>
      </c>
      <c r="BD142">
        <v>3.16</v>
      </c>
      <c r="BE142" s="6">
        <v>3.109</v>
      </c>
      <c r="BF142" s="6">
        <v>3.1190000000000002</v>
      </c>
      <c r="BG142">
        <v>3.12</v>
      </c>
      <c r="BH142" s="7">
        <v>45554</v>
      </c>
      <c r="BI142">
        <v>3.3340000000000001</v>
      </c>
      <c r="BJ142">
        <v>3.2040000000000002</v>
      </c>
      <c r="BK142">
        <v>3.137</v>
      </c>
      <c r="BL142">
        <v>3.1179999999999999</v>
      </c>
      <c r="BM142">
        <v>3.0939999999999999</v>
      </c>
      <c r="BN142" s="6">
        <v>3.0150000000000001</v>
      </c>
      <c r="BO142" s="6">
        <v>3.024</v>
      </c>
      <c r="BP142">
        <v>3.0579999999999998</v>
      </c>
      <c r="BQ142" s="7">
        <v>45554</v>
      </c>
      <c r="BR142">
        <v>3.633</v>
      </c>
      <c r="BS142">
        <v>3.556</v>
      </c>
      <c r="BT142">
        <v>3.5339999999999998</v>
      </c>
      <c r="BU142">
        <v>3.5329999999999999</v>
      </c>
      <c r="BV142">
        <v>3.53</v>
      </c>
      <c r="BW142" s="6">
        <v>3.4870000000000001</v>
      </c>
      <c r="BX142" s="6">
        <v>3.5009999999999999</v>
      </c>
      <c r="BY142">
        <v>3.5219999999999998</v>
      </c>
      <c r="BZ142" s="7">
        <v>45554</v>
      </c>
      <c r="CA142">
        <v>3.1859999999999999</v>
      </c>
      <c r="CB142">
        <v>3.1349999999999998</v>
      </c>
      <c r="CC142">
        <v>3.0409999999999999</v>
      </c>
      <c r="CD142">
        <v>3.0489999999999999</v>
      </c>
      <c r="CE142">
        <v>3.0059999999999998</v>
      </c>
      <c r="CF142" s="6">
        <v>3.044</v>
      </c>
      <c r="CG142" s="6">
        <v>3.0710000000000002</v>
      </c>
      <c r="CH142">
        <v>3.1059999999999999</v>
      </c>
    </row>
    <row r="143" spans="2:86">
      <c r="B143" s="7">
        <v>45548</v>
      </c>
      <c r="C143">
        <v>3.03</v>
      </c>
      <c r="D143">
        <v>2.9809999999999999</v>
      </c>
      <c r="E143">
        <v>2.88</v>
      </c>
      <c r="F143">
        <v>2.9289999999999998</v>
      </c>
      <c r="G143">
        <v>2.8540000000000001</v>
      </c>
      <c r="H143">
        <v>2.82</v>
      </c>
      <c r="I143" s="6">
        <v>2.88</v>
      </c>
      <c r="J143" s="6">
        <v>2.83</v>
      </c>
      <c r="K143" s="6">
        <v>2.9319999999999999</v>
      </c>
      <c r="L143" s="6">
        <v>2.927</v>
      </c>
      <c r="M143" s="6">
        <v>2.82</v>
      </c>
      <c r="N143" s="6">
        <v>2.839</v>
      </c>
      <c r="O143" s="7">
        <v>45548</v>
      </c>
      <c r="P143">
        <v>3.0539999999999998</v>
      </c>
      <c r="Q143">
        <v>2.9420000000000002</v>
      </c>
      <c r="R143">
        <v>2.871</v>
      </c>
      <c r="S143">
        <v>2.9510000000000001</v>
      </c>
      <c r="T143">
        <v>2.91</v>
      </c>
      <c r="U143" s="6">
        <v>2.9180000000000001</v>
      </c>
      <c r="V143" s="6">
        <v>0</v>
      </c>
      <c r="W143">
        <v>0</v>
      </c>
      <c r="X143" s="7">
        <v>45548</v>
      </c>
      <c r="Y143">
        <v>3.109</v>
      </c>
      <c r="Z143">
        <v>3.0590000000000002</v>
      </c>
      <c r="AA143">
        <v>2.956</v>
      </c>
      <c r="AB143">
        <v>2.9420000000000002</v>
      </c>
      <c r="AC143">
        <v>2.907</v>
      </c>
      <c r="AD143" s="6">
        <v>2.9159999999999999</v>
      </c>
      <c r="AE143" s="6">
        <v>2.94</v>
      </c>
      <c r="AF143">
        <v>3.0249999999999999</v>
      </c>
      <c r="AG143" s="7">
        <v>45548</v>
      </c>
      <c r="AH143">
        <v>3.387</v>
      </c>
      <c r="AI143">
        <v>3.2789999999999999</v>
      </c>
      <c r="AJ143">
        <v>3.2170000000000001</v>
      </c>
      <c r="AK143">
        <v>3.1869999999999998</v>
      </c>
      <c r="AL143">
        <v>3.13</v>
      </c>
      <c r="AM143" s="6">
        <v>3.0030000000000001</v>
      </c>
      <c r="AN143" s="6">
        <v>3.008</v>
      </c>
      <c r="AO143">
        <v>3.0369999999999999</v>
      </c>
      <c r="AP143" s="7">
        <v>45548</v>
      </c>
      <c r="AQ143">
        <v>3.4649999999999999</v>
      </c>
      <c r="AR143">
        <v>3.39</v>
      </c>
      <c r="AS143">
        <v>3.3239999999999998</v>
      </c>
      <c r="AT143">
        <v>3.3410000000000002</v>
      </c>
      <c r="AU143">
        <v>3.3690000000000002</v>
      </c>
      <c r="AV143" s="6">
        <v>3.4039999999999999</v>
      </c>
      <c r="AW143" s="6">
        <v>3.4260000000000002</v>
      </c>
      <c r="AX143">
        <v>3.4969999999999999</v>
      </c>
      <c r="AY143" s="7">
        <v>45548</v>
      </c>
      <c r="AZ143">
        <v>3.3889999999999998</v>
      </c>
      <c r="BA143">
        <v>3.2679999999999998</v>
      </c>
      <c r="BB143">
        <v>3.218</v>
      </c>
      <c r="BC143">
        <v>3.177</v>
      </c>
      <c r="BD143">
        <v>3.1579999999999999</v>
      </c>
      <c r="BE143" s="6">
        <v>3.0939999999999999</v>
      </c>
      <c r="BF143" s="6">
        <v>3.0990000000000002</v>
      </c>
      <c r="BG143">
        <v>3.0950000000000002</v>
      </c>
      <c r="BH143" s="7">
        <v>45548</v>
      </c>
      <c r="BI143">
        <v>3.331</v>
      </c>
      <c r="BJ143">
        <v>3.2010000000000001</v>
      </c>
      <c r="BK143">
        <v>3.1320000000000001</v>
      </c>
      <c r="BL143">
        <v>3.1139999999999999</v>
      </c>
      <c r="BM143">
        <v>3.0920000000000001</v>
      </c>
      <c r="BN143" s="6">
        <v>3</v>
      </c>
      <c r="BO143" s="6">
        <v>3.004</v>
      </c>
      <c r="BP143">
        <v>3.0339999999999998</v>
      </c>
      <c r="BQ143" s="7">
        <v>45548</v>
      </c>
      <c r="BR143">
        <v>3.63</v>
      </c>
      <c r="BS143">
        <v>3.55</v>
      </c>
      <c r="BT143">
        <v>3.5259999999999998</v>
      </c>
      <c r="BU143">
        <v>3.5289999999999999</v>
      </c>
      <c r="BV143">
        <v>3.5289999999999999</v>
      </c>
      <c r="BW143" s="6">
        <v>3.472</v>
      </c>
      <c r="BX143" s="6">
        <v>3.4809999999999999</v>
      </c>
      <c r="BY143">
        <v>3.496</v>
      </c>
      <c r="BZ143" s="7">
        <v>45548</v>
      </c>
      <c r="CA143">
        <v>3.1960000000000002</v>
      </c>
      <c r="CB143">
        <v>3.1429999999999998</v>
      </c>
      <c r="CC143">
        <v>3.0379999999999998</v>
      </c>
      <c r="CD143">
        <v>3.0289999999999999</v>
      </c>
      <c r="CE143">
        <v>3.0009999999999999</v>
      </c>
      <c r="CF143" s="6">
        <v>3.0289999999999999</v>
      </c>
      <c r="CG143" s="6">
        <v>3.0510000000000002</v>
      </c>
      <c r="CH143">
        <v>3.081</v>
      </c>
    </row>
    <row r="144" spans="2:86">
      <c r="B144" s="7">
        <v>45547</v>
      </c>
      <c r="C144">
        <v>3.0449999999999999</v>
      </c>
      <c r="D144">
        <v>2.9990000000000001</v>
      </c>
      <c r="E144">
        <v>2.9049999999999998</v>
      </c>
      <c r="F144">
        <v>2.9849999999999999</v>
      </c>
      <c r="G144">
        <v>2.9350000000000001</v>
      </c>
      <c r="H144">
        <v>2.8679999999999999</v>
      </c>
      <c r="I144" s="6">
        <v>2.94</v>
      </c>
      <c r="J144" s="6">
        <v>2.895</v>
      </c>
      <c r="K144" s="6">
        <v>2.99</v>
      </c>
      <c r="L144" s="6">
        <v>2.97</v>
      </c>
      <c r="M144" s="6">
        <v>2.8519999999999999</v>
      </c>
      <c r="N144" s="6">
        <v>2.8639999999999999</v>
      </c>
      <c r="O144" s="7">
        <v>45547</v>
      </c>
      <c r="P144">
        <v>3.0779999999999998</v>
      </c>
      <c r="Q144">
        <v>2.9710000000000001</v>
      </c>
      <c r="R144">
        <v>2.9</v>
      </c>
      <c r="S144">
        <v>2.9950000000000001</v>
      </c>
      <c r="T144">
        <v>2.96</v>
      </c>
      <c r="U144" s="6">
        <v>2.968</v>
      </c>
      <c r="V144" s="6">
        <v>0</v>
      </c>
      <c r="W144">
        <v>0</v>
      </c>
      <c r="X144" s="7">
        <v>45547</v>
      </c>
      <c r="Y144">
        <v>3.1259999999999999</v>
      </c>
      <c r="Z144">
        <v>3.0779999999999998</v>
      </c>
      <c r="AA144">
        <v>2.9820000000000002</v>
      </c>
      <c r="AB144">
        <v>2.9980000000000002</v>
      </c>
      <c r="AC144">
        <v>2.9889999999999999</v>
      </c>
      <c r="AD144" s="6">
        <v>2.9609999999999999</v>
      </c>
      <c r="AE144" s="6">
        <v>3</v>
      </c>
      <c r="AF144">
        <v>3.0880000000000001</v>
      </c>
      <c r="AG144" s="7">
        <v>45547</v>
      </c>
      <c r="AH144">
        <v>3.4</v>
      </c>
      <c r="AI144">
        <v>3.3</v>
      </c>
      <c r="AJ144">
        <v>3.2370000000000001</v>
      </c>
      <c r="AK144">
        <v>3.2309999999999999</v>
      </c>
      <c r="AL144">
        <v>3.1819999999999999</v>
      </c>
      <c r="AM144" s="6">
        <v>3.0489999999999999</v>
      </c>
      <c r="AN144" s="6">
        <v>3.0680000000000001</v>
      </c>
      <c r="AO144">
        <v>3.1</v>
      </c>
      <c r="AP144" s="7">
        <v>45547</v>
      </c>
      <c r="AQ144">
        <v>3.4809999999999999</v>
      </c>
      <c r="AR144">
        <v>3.4039999999999999</v>
      </c>
      <c r="AS144">
        <v>3.3410000000000002</v>
      </c>
      <c r="AT144">
        <v>3.3809999999999998</v>
      </c>
      <c r="AU144">
        <v>3.4159999999999999</v>
      </c>
      <c r="AV144" s="6">
        <v>3.448</v>
      </c>
      <c r="AW144" s="6">
        <v>3.48</v>
      </c>
      <c r="AX144">
        <v>3.5569999999999999</v>
      </c>
      <c r="AY144" s="7">
        <v>45547</v>
      </c>
      <c r="AZ144">
        <v>3.4009999999999998</v>
      </c>
      <c r="BA144">
        <v>3.2850000000000001</v>
      </c>
      <c r="BB144">
        <v>3.2349999999999999</v>
      </c>
      <c r="BC144">
        <v>3.218</v>
      </c>
      <c r="BD144">
        <v>3.2040000000000002</v>
      </c>
      <c r="BE144" s="6">
        <v>3.1389999999999998</v>
      </c>
      <c r="BF144" s="6">
        <v>3.1560000000000001</v>
      </c>
      <c r="BG144">
        <v>3.1549999999999998</v>
      </c>
      <c r="BH144" s="7">
        <v>45547</v>
      </c>
      <c r="BI144">
        <v>3.3460000000000001</v>
      </c>
      <c r="BJ144">
        <v>3.222</v>
      </c>
      <c r="BK144">
        <v>3.1520000000000001</v>
      </c>
      <c r="BL144">
        <v>3.1560000000000001</v>
      </c>
      <c r="BM144">
        <v>3.1379999999999999</v>
      </c>
      <c r="BN144" s="6">
        <v>3.0459999999999998</v>
      </c>
      <c r="BO144" s="6">
        <v>3.0609999999999999</v>
      </c>
      <c r="BP144">
        <v>3.097</v>
      </c>
      <c r="BQ144" s="7">
        <v>45547</v>
      </c>
      <c r="BR144">
        <v>3.6440000000000001</v>
      </c>
      <c r="BS144">
        <v>3.5670000000000002</v>
      </c>
      <c r="BT144">
        <v>3.5419999999999998</v>
      </c>
      <c r="BU144">
        <v>3.5670000000000002</v>
      </c>
      <c r="BV144">
        <v>3.5739999999999998</v>
      </c>
      <c r="BW144" s="6">
        <v>3.5179999999999998</v>
      </c>
      <c r="BX144" s="6">
        <v>3.5379999999999998</v>
      </c>
      <c r="BY144">
        <v>3.5569999999999999</v>
      </c>
      <c r="BZ144" s="7">
        <v>45547</v>
      </c>
      <c r="CA144">
        <v>3.2130000000000001</v>
      </c>
      <c r="CB144">
        <v>3.1629999999999998</v>
      </c>
      <c r="CC144">
        <v>3.0630000000000002</v>
      </c>
      <c r="CD144">
        <v>3.085</v>
      </c>
      <c r="CE144">
        <v>3.0819999999999999</v>
      </c>
      <c r="CF144" s="6">
        <v>3.0739999999999998</v>
      </c>
      <c r="CG144" s="6">
        <v>3.1110000000000002</v>
      </c>
      <c r="CH144">
        <v>3.145</v>
      </c>
    </row>
    <row r="145" spans="2:86">
      <c r="B145" s="7">
        <v>45546</v>
      </c>
      <c r="C145">
        <v>3.0259999999999998</v>
      </c>
      <c r="D145">
        <v>2.98</v>
      </c>
      <c r="E145">
        <v>2.8809999999999998</v>
      </c>
      <c r="F145">
        <v>2.9529999999999998</v>
      </c>
      <c r="G145">
        <v>2.9079999999999999</v>
      </c>
      <c r="H145">
        <v>2.8149999999999999</v>
      </c>
      <c r="I145" s="6">
        <v>2.895</v>
      </c>
      <c r="J145" s="6">
        <v>2.847</v>
      </c>
      <c r="K145" s="6">
        <v>2.9489999999999998</v>
      </c>
      <c r="L145" s="6">
        <v>2.9380000000000002</v>
      </c>
      <c r="M145" s="6">
        <v>2.855</v>
      </c>
      <c r="N145" s="6">
        <v>2.8479999999999999</v>
      </c>
      <c r="O145" s="7">
        <v>45546</v>
      </c>
      <c r="P145">
        <v>3.0659999999999998</v>
      </c>
      <c r="Q145">
        <v>2.9540000000000002</v>
      </c>
      <c r="R145">
        <v>2.8809999999999998</v>
      </c>
      <c r="S145">
        <v>2.9630000000000001</v>
      </c>
      <c r="T145">
        <v>2.92</v>
      </c>
      <c r="U145" s="6">
        <v>2.9209999999999998</v>
      </c>
      <c r="V145" s="6">
        <v>0</v>
      </c>
      <c r="W145">
        <v>0</v>
      </c>
      <c r="X145" s="7">
        <v>45546</v>
      </c>
      <c r="Y145">
        <v>3.1110000000000002</v>
      </c>
      <c r="Z145">
        <v>3.0590000000000002</v>
      </c>
      <c r="AA145">
        <v>2.9550000000000001</v>
      </c>
      <c r="AB145">
        <v>2.964</v>
      </c>
      <c r="AC145">
        <v>2.9580000000000002</v>
      </c>
      <c r="AD145" s="6">
        <v>2.9079999999999999</v>
      </c>
      <c r="AE145" s="6">
        <v>2.9569999999999999</v>
      </c>
      <c r="AF145">
        <v>3.0459999999999998</v>
      </c>
      <c r="AG145" s="7">
        <v>45546</v>
      </c>
      <c r="AH145">
        <v>3.3889999999999998</v>
      </c>
      <c r="AI145">
        <v>3.2879999999999998</v>
      </c>
      <c r="AJ145">
        <v>3.2210000000000001</v>
      </c>
      <c r="AK145">
        <v>3.2069999999999999</v>
      </c>
      <c r="AL145">
        <v>3.15</v>
      </c>
      <c r="AM145" s="6">
        <v>2.9990000000000001</v>
      </c>
      <c r="AN145" s="6">
        <v>3.0230000000000001</v>
      </c>
      <c r="AO145">
        <v>3.052</v>
      </c>
      <c r="AP145" s="7">
        <v>45546</v>
      </c>
      <c r="AQ145">
        <v>3.4649999999999999</v>
      </c>
      <c r="AR145">
        <v>3.3839999999999999</v>
      </c>
      <c r="AS145">
        <v>3.3220000000000001</v>
      </c>
      <c r="AT145">
        <v>3.3460000000000001</v>
      </c>
      <c r="AU145">
        <v>3.379</v>
      </c>
      <c r="AV145" s="6">
        <v>3.399</v>
      </c>
      <c r="AW145" s="6">
        <v>3.4380000000000002</v>
      </c>
      <c r="AX145">
        <v>3.5150000000000001</v>
      </c>
      <c r="AY145" s="7">
        <v>45546</v>
      </c>
      <c r="AZ145">
        <v>3.3860000000000001</v>
      </c>
      <c r="BA145">
        <v>3.2629999999999999</v>
      </c>
      <c r="BB145">
        <v>3.2149999999999999</v>
      </c>
      <c r="BC145">
        <v>3.18</v>
      </c>
      <c r="BD145">
        <v>3.1579999999999999</v>
      </c>
      <c r="BE145" s="6">
        <v>3.085</v>
      </c>
      <c r="BF145" s="6">
        <v>3.1120000000000001</v>
      </c>
      <c r="BG145">
        <v>3.1059999999999999</v>
      </c>
      <c r="BH145" s="7">
        <v>45546</v>
      </c>
      <c r="BI145">
        <v>3.331</v>
      </c>
      <c r="BJ145">
        <v>3.2</v>
      </c>
      <c r="BK145">
        <v>3.1320000000000001</v>
      </c>
      <c r="BL145">
        <v>3.117</v>
      </c>
      <c r="BM145">
        <v>3.0920000000000001</v>
      </c>
      <c r="BN145" s="6">
        <v>2.992</v>
      </c>
      <c r="BO145" s="6">
        <v>3.0169999999999999</v>
      </c>
      <c r="BP145">
        <v>3.0489999999999999</v>
      </c>
      <c r="BQ145" s="7">
        <v>45546</v>
      </c>
      <c r="BR145">
        <v>3.629</v>
      </c>
      <c r="BS145">
        <v>3.5449999999999999</v>
      </c>
      <c r="BT145">
        <v>3.5219999999999998</v>
      </c>
      <c r="BU145">
        <v>3.528</v>
      </c>
      <c r="BV145">
        <v>3.5289999999999999</v>
      </c>
      <c r="BW145" s="6">
        <v>3.464</v>
      </c>
      <c r="BX145" s="6">
        <v>3.4940000000000002</v>
      </c>
      <c r="BY145">
        <v>3.5070000000000001</v>
      </c>
      <c r="BZ145" s="7">
        <v>45546</v>
      </c>
      <c r="CA145">
        <v>3.1970000000000001</v>
      </c>
      <c r="CB145">
        <v>3.1429999999999998</v>
      </c>
      <c r="CC145">
        <v>3.036</v>
      </c>
      <c r="CD145">
        <v>3.052</v>
      </c>
      <c r="CE145">
        <v>3.052</v>
      </c>
      <c r="CF145" s="6">
        <v>3.02</v>
      </c>
      <c r="CG145" s="6">
        <v>3.0680000000000001</v>
      </c>
      <c r="CH145">
        <v>3.1030000000000002</v>
      </c>
    </row>
    <row r="146" spans="2:86">
      <c r="B146" s="7">
        <v>45545</v>
      </c>
      <c r="C146">
        <v>3.0430000000000001</v>
      </c>
      <c r="D146">
        <v>2.9889999999999999</v>
      </c>
      <c r="E146">
        <v>2.915</v>
      </c>
      <c r="F146">
        <v>3</v>
      </c>
      <c r="G146">
        <v>2.956</v>
      </c>
      <c r="H146">
        <v>2.875</v>
      </c>
      <c r="I146" s="6">
        <v>2.9420000000000002</v>
      </c>
      <c r="J146" s="6">
        <v>2.9079999999999999</v>
      </c>
      <c r="K146" s="6">
        <v>3.004</v>
      </c>
      <c r="L146" s="6">
        <v>3.0070000000000001</v>
      </c>
      <c r="M146" s="6">
        <v>2.9239999999999999</v>
      </c>
      <c r="N146" s="6">
        <v>2.9129999999999998</v>
      </c>
      <c r="O146" s="7">
        <v>45545</v>
      </c>
      <c r="P146">
        <v>3.0830000000000002</v>
      </c>
      <c r="Q146">
        <v>2.9750000000000001</v>
      </c>
      <c r="R146">
        <v>2.9049999999999998</v>
      </c>
      <c r="S146">
        <v>3.0009999999999999</v>
      </c>
      <c r="T146">
        <v>2.9569999999999999</v>
      </c>
      <c r="U146" s="6">
        <v>2.9620000000000002</v>
      </c>
      <c r="V146" s="6">
        <v>0</v>
      </c>
      <c r="W146">
        <v>0</v>
      </c>
      <c r="X146" s="7">
        <v>45545</v>
      </c>
      <c r="Y146">
        <v>3.1269999999999998</v>
      </c>
      <c r="Z146">
        <v>3.0720000000000001</v>
      </c>
      <c r="AA146">
        <v>2.9830000000000001</v>
      </c>
      <c r="AB146">
        <v>3.0110000000000001</v>
      </c>
      <c r="AC146">
        <v>3.008</v>
      </c>
      <c r="AD146" s="6">
        <v>2.9620000000000002</v>
      </c>
      <c r="AE146" s="6">
        <v>3.0019999999999998</v>
      </c>
      <c r="AF146">
        <v>3.0990000000000002</v>
      </c>
      <c r="AG146" s="7">
        <v>45545</v>
      </c>
      <c r="AH146">
        <v>3.3969999999999998</v>
      </c>
      <c r="AI146">
        <v>3.306</v>
      </c>
      <c r="AJ146">
        <v>3.2440000000000002</v>
      </c>
      <c r="AK146">
        <v>3.2450000000000001</v>
      </c>
      <c r="AL146">
        <v>3.1869999999999998</v>
      </c>
      <c r="AM146" s="6">
        <v>3.0550000000000002</v>
      </c>
      <c r="AN146" s="6">
        <v>3.0670000000000002</v>
      </c>
      <c r="AO146">
        <v>3.1070000000000002</v>
      </c>
      <c r="AP146" s="7">
        <v>45545</v>
      </c>
      <c r="AQ146">
        <v>3.4750000000000001</v>
      </c>
      <c r="AR146">
        <v>3.4</v>
      </c>
      <c r="AS146">
        <v>3.3439999999999999</v>
      </c>
      <c r="AT146">
        <v>3.3839999999999999</v>
      </c>
      <c r="AU146">
        <v>3.4140000000000001</v>
      </c>
      <c r="AV146" s="6">
        <v>3.4470000000000001</v>
      </c>
      <c r="AW146" s="6">
        <v>3.4849999999999999</v>
      </c>
      <c r="AX146">
        <v>3.5710000000000002</v>
      </c>
      <c r="AY146" s="7">
        <v>45545</v>
      </c>
      <c r="AZ146">
        <v>3.3959999999999999</v>
      </c>
      <c r="BA146">
        <v>3.2759999999999998</v>
      </c>
      <c r="BB146">
        <v>3.2330000000000001</v>
      </c>
      <c r="BC146">
        <v>3.2160000000000002</v>
      </c>
      <c r="BD146">
        <v>3.1869999999999998</v>
      </c>
      <c r="BE146" s="6">
        <v>3.14</v>
      </c>
      <c r="BF146" s="6">
        <v>3.1560000000000001</v>
      </c>
      <c r="BG146">
        <v>3.1619999999999999</v>
      </c>
      <c r="BH146" s="7">
        <v>45545</v>
      </c>
      <c r="BI146">
        <v>3.3410000000000002</v>
      </c>
      <c r="BJ146">
        <v>3.2130000000000001</v>
      </c>
      <c r="BK146">
        <v>3.15</v>
      </c>
      <c r="BL146">
        <v>3.153</v>
      </c>
      <c r="BM146">
        <v>3.121</v>
      </c>
      <c r="BN146" s="6">
        <v>3.0470000000000002</v>
      </c>
      <c r="BO146" s="6">
        <v>3.0640000000000001</v>
      </c>
      <c r="BP146">
        <v>3.101</v>
      </c>
      <c r="BQ146" s="7">
        <v>45545</v>
      </c>
      <c r="BR146">
        <v>3.6389999999999998</v>
      </c>
      <c r="BS146">
        <v>3.5579999999999998</v>
      </c>
      <c r="BT146">
        <v>3.5409999999999999</v>
      </c>
      <c r="BU146">
        <v>3.5640000000000001</v>
      </c>
      <c r="BV146">
        <v>3.556</v>
      </c>
      <c r="BW146" s="6">
        <v>3.5190000000000001</v>
      </c>
      <c r="BX146" s="6">
        <v>3.5409999999999999</v>
      </c>
      <c r="BY146">
        <v>3.5630000000000002</v>
      </c>
      <c r="BZ146" s="7">
        <v>45545</v>
      </c>
      <c r="CA146">
        <v>3.214</v>
      </c>
      <c r="CB146">
        <v>3.1560000000000001</v>
      </c>
      <c r="CC146">
        <v>3.0640000000000001</v>
      </c>
      <c r="CD146">
        <v>3.0990000000000002</v>
      </c>
      <c r="CE146">
        <v>3.101</v>
      </c>
      <c r="CF146" s="6">
        <v>3.0750000000000002</v>
      </c>
      <c r="CG146" s="6">
        <v>3.1139999999999999</v>
      </c>
      <c r="CH146">
        <v>3.1560000000000001</v>
      </c>
    </row>
    <row r="147" spans="2:86">
      <c r="B147" s="7">
        <v>45544</v>
      </c>
      <c r="C147">
        <v>3.1019999999999999</v>
      </c>
      <c r="D147">
        <v>3.0369999999999999</v>
      </c>
      <c r="E147">
        <v>2.9820000000000002</v>
      </c>
      <c r="F147">
        <v>2.9870000000000001</v>
      </c>
      <c r="G147">
        <v>3.0179999999999998</v>
      </c>
      <c r="H147">
        <v>2.895</v>
      </c>
      <c r="I147" s="6">
        <v>2.9529999999999998</v>
      </c>
      <c r="J147" s="6">
        <v>2.96</v>
      </c>
      <c r="K147" s="6">
        <v>3.028</v>
      </c>
      <c r="L147" s="6">
        <v>3.03</v>
      </c>
      <c r="M147" s="6">
        <v>3.0449999999999999</v>
      </c>
      <c r="N147" s="6">
        <v>2.9649999999999999</v>
      </c>
      <c r="O147" s="7">
        <v>45544</v>
      </c>
      <c r="P147">
        <v>3.089</v>
      </c>
      <c r="Q147">
        <v>2.9910000000000001</v>
      </c>
      <c r="R147">
        <v>2.9319999999999999</v>
      </c>
      <c r="S147">
        <v>3.0129999999999999</v>
      </c>
      <c r="T147">
        <v>2.9580000000000002</v>
      </c>
      <c r="U147" s="6">
        <v>2.972</v>
      </c>
      <c r="V147" s="6">
        <v>0</v>
      </c>
      <c r="W147">
        <v>0</v>
      </c>
      <c r="X147" s="7">
        <v>45544</v>
      </c>
      <c r="Y147">
        <v>3.1659999999999999</v>
      </c>
      <c r="Z147">
        <v>3.0950000000000002</v>
      </c>
      <c r="AA147">
        <v>3.0169999999999999</v>
      </c>
      <c r="AB147">
        <v>3.0139999999999998</v>
      </c>
      <c r="AC147">
        <v>3.0419999999999998</v>
      </c>
      <c r="AD147" s="6">
        <v>2.9820000000000002</v>
      </c>
      <c r="AE147" s="6">
        <v>3.0150000000000001</v>
      </c>
      <c r="AF147">
        <v>3.1190000000000002</v>
      </c>
      <c r="AG147" s="7">
        <v>45544</v>
      </c>
      <c r="AH147">
        <v>3.4020000000000001</v>
      </c>
      <c r="AI147">
        <v>3.3159999999999998</v>
      </c>
      <c r="AJ147">
        <v>3.2629999999999999</v>
      </c>
      <c r="AK147">
        <v>3.2549999999999999</v>
      </c>
      <c r="AL147">
        <v>3.1890000000000001</v>
      </c>
      <c r="AM147" s="6">
        <v>3.0750000000000002</v>
      </c>
      <c r="AN147" s="6">
        <v>3.0870000000000002</v>
      </c>
      <c r="AO147">
        <v>3.1259999999999999</v>
      </c>
      <c r="AP147" s="7">
        <v>45544</v>
      </c>
      <c r="AQ147">
        <v>3.4780000000000002</v>
      </c>
      <c r="AR147">
        <v>3.41</v>
      </c>
      <c r="AS147">
        <v>3.3660000000000001</v>
      </c>
      <c r="AT147">
        <v>3.399</v>
      </c>
      <c r="AU147">
        <v>3.4209999999999998</v>
      </c>
      <c r="AV147" s="6">
        <v>3.4670000000000001</v>
      </c>
      <c r="AW147" s="6">
        <v>3.5059999999999998</v>
      </c>
      <c r="AX147">
        <v>3.5950000000000002</v>
      </c>
      <c r="AY147" s="7">
        <v>45544</v>
      </c>
      <c r="AZ147">
        <v>3.399</v>
      </c>
      <c r="BA147">
        <v>3.2919999999999998</v>
      </c>
      <c r="BB147">
        <v>3.262</v>
      </c>
      <c r="BC147">
        <v>3.23</v>
      </c>
      <c r="BD147">
        <v>3.1930000000000001</v>
      </c>
      <c r="BE147" s="6">
        <v>3.1640000000000001</v>
      </c>
      <c r="BF147" s="6">
        <v>3.1760000000000002</v>
      </c>
      <c r="BG147">
        <v>3.1840000000000002</v>
      </c>
      <c r="BH147" s="7">
        <v>45544</v>
      </c>
      <c r="BI147">
        <v>3.3450000000000002</v>
      </c>
      <c r="BJ147">
        <v>3.2280000000000002</v>
      </c>
      <c r="BK147">
        <v>3.1789999999999998</v>
      </c>
      <c r="BL147">
        <v>3.1659999999999999</v>
      </c>
      <c r="BM147">
        <v>3.1269999999999998</v>
      </c>
      <c r="BN147" s="6">
        <v>3.07</v>
      </c>
      <c r="BO147" s="6">
        <v>3.0840000000000001</v>
      </c>
      <c r="BP147">
        <v>3.121</v>
      </c>
      <c r="BQ147" s="7">
        <v>45544</v>
      </c>
      <c r="BR147">
        <v>3.6419999999999999</v>
      </c>
      <c r="BS147">
        <v>3.5739999999999998</v>
      </c>
      <c r="BT147">
        <v>3.57</v>
      </c>
      <c r="BU147">
        <v>3.5790000000000002</v>
      </c>
      <c r="BV147">
        <v>3.5619999999999998</v>
      </c>
      <c r="BW147" s="6">
        <v>3.5419999999999998</v>
      </c>
      <c r="BX147" s="6">
        <v>3.5609999999999999</v>
      </c>
      <c r="BY147">
        <v>3.585</v>
      </c>
      <c r="BZ147" s="7">
        <v>45544</v>
      </c>
      <c r="CA147">
        <v>3.2530000000000001</v>
      </c>
      <c r="CB147">
        <v>3.1789999999999998</v>
      </c>
      <c r="CC147">
        <v>3.0979999999999999</v>
      </c>
      <c r="CD147">
        <v>3.1040000000000001</v>
      </c>
      <c r="CE147">
        <v>3.1360000000000001</v>
      </c>
      <c r="CF147" s="6">
        <v>3.0950000000000002</v>
      </c>
      <c r="CG147" s="6">
        <v>3.1269999999999998</v>
      </c>
      <c r="CH147">
        <v>3.1749999999999998</v>
      </c>
    </row>
    <row r="148" spans="2:86">
      <c r="B148" s="7">
        <v>45541</v>
      </c>
      <c r="C148">
        <v>3.1360000000000001</v>
      </c>
      <c r="D148">
        <v>3.0569999999999999</v>
      </c>
      <c r="E148">
        <v>3.0019999999999998</v>
      </c>
      <c r="F148">
        <v>2.9950000000000001</v>
      </c>
      <c r="G148">
        <v>3.004</v>
      </c>
      <c r="H148">
        <v>2.88</v>
      </c>
      <c r="I148" s="6">
        <v>2.9249999999999998</v>
      </c>
      <c r="J148" s="6">
        <v>2.93</v>
      </c>
      <c r="K148" s="6">
        <v>2.9910000000000001</v>
      </c>
      <c r="L148" s="6">
        <v>2.9870000000000001</v>
      </c>
      <c r="M148" s="6">
        <v>3.01</v>
      </c>
      <c r="N148" s="6">
        <v>2.923</v>
      </c>
      <c r="O148" s="7">
        <v>45541</v>
      </c>
      <c r="P148">
        <v>3.0979999999999999</v>
      </c>
      <c r="Q148">
        <v>3.0049999999999999</v>
      </c>
      <c r="R148">
        <v>2.9540000000000002</v>
      </c>
      <c r="S148">
        <v>2.9990000000000001</v>
      </c>
      <c r="T148">
        <v>2.9449999999999998</v>
      </c>
      <c r="U148" s="6">
        <v>2.956</v>
      </c>
      <c r="V148" s="6">
        <v>0</v>
      </c>
      <c r="W148">
        <v>0</v>
      </c>
      <c r="X148" s="7">
        <v>45541</v>
      </c>
      <c r="Y148">
        <v>3.194</v>
      </c>
      <c r="Z148">
        <v>3.117</v>
      </c>
      <c r="AA148">
        <v>3.0369999999999999</v>
      </c>
      <c r="AB148">
        <v>3.0190000000000001</v>
      </c>
      <c r="AC148">
        <v>3.028</v>
      </c>
      <c r="AD148" s="6">
        <v>2.9670000000000001</v>
      </c>
      <c r="AE148" s="6">
        <v>2.9870000000000001</v>
      </c>
      <c r="AF148">
        <v>3.0870000000000002</v>
      </c>
      <c r="AG148" s="7">
        <v>45541</v>
      </c>
      <c r="AH148">
        <v>3.4060000000000001</v>
      </c>
      <c r="AI148">
        <v>3.3260000000000001</v>
      </c>
      <c r="AJ148">
        <v>3.2789999999999999</v>
      </c>
      <c r="AK148">
        <v>3.2440000000000002</v>
      </c>
      <c r="AL148">
        <v>3.1779999999999999</v>
      </c>
      <c r="AM148" s="6">
        <v>3.0609999999999999</v>
      </c>
      <c r="AN148" s="6">
        <v>3.06</v>
      </c>
      <c r="AO148">
        <v>3.097</v>
      </c>
      <c r="AP148" s="7">
        <v>45541</v>
      </c>
      <c r="AQ148">
        <v>3.4849999999999999</v>
      </c>
      <c r="AR148">
        <v>3.4159999999999999</v>
      </c>
      <c r="AS148">
        <v>3.3769999999999998</v>
      </c>
      <c r="AT148">
        <v>3.383</v>
      </c>
      <c r="AU148">
        <v>3.4060000000000001</v>
      </c>
      <c r="AV148" s="6">
        <v>3.452</v>
      </c>
      <c r="AW148" s="6">
        <v>3.4780000000000002</v>
      </c>
      <c r="AX148">
        <v>3.5659999999999998</v>
      </c>
      <c r="AY148" s="7">
        <v>45541</v>
      </c>
      <c r="AZ148">
        <v>3.4049999999999998</v>
      </c>
      <c r="BA148">
        <v>3.3029999999999999</v>
      </c>
      <c r="BB148">
        <v>3.2810000000000001</v>
      </c>
      <c r="BC148">
        <v>3.2170000000000001</v>
      </c>
      <c r="BD148">
        <v>3.1829999999999998</v>
      </c>
      <c r="BE148" s="6">
        <v>3.1509999999999998</v>
      </c>
      <c r="BF148" s="6">
        <v>3.1509999999999998</v>
      </c>
      <c r="BG148">
        <v>3.1549999999999998</v>
      </c>
      <c r="BH148" s="7">
        <v>45541</v>
      </c>
      <c r="BI148">
        <v>3.35</v>
      </c>
      <c r="BJ148">
        <v>3.2389999999999999</v>
      </c>
      <c r="BK148">
        <v>3.1970000000000001</v>
      </c>
      <c r="BL148">
        <v>3.153</v>
      </c>
      <c r="BM148">
        <v>3.117</v>
      </c>
      <c r="BN148" s="6">
        <v>3.0569999999999999</v>
      </c>
      <c r="BO148" s="6">
        <v>3.0590000000000002</v>
      </c>
      <c r="BP148">
        <v>3.0920000000000001</v>
      </c>
      <c r="BQ148" s="7">
        <v>45541</v>
      </c>
      <c r="BR148">
        <v>3.6480000000000001</v>
      </c>
      <c r="BS148">
        <v>3.585</v>
      </c>
      <c r="BT148">
        <v>3.5880000000000001</v>
      </c>
      <c r="BU148">
        <v>3.5659999999999998</v>
      </c>
      <c r="BV148">
        <v>3.5510000000000002</v>
      </c>
      <c r="BW148" s="6">
        <v>3.5289999999999999</v>
      </c>
      <c r="BX148" s="6">
        <v>3.536</v>
      </c>
      <c r="BY148">
        <v>3.556</v>
      </c>
      <c r="BZ148" s="7">
        <v>45541</v>
      </c>
      <c r="CA148">
        <v>3.2810000000000001</v>
      </c>
      <c r="CB148">
        <v>3.2010000000000001</v>
      </c>
      <c r="CC148">
        <v>3.1179999999999999</v>
      </c>
      <c r="CD148">
        <v>3.109</v>
      </c>
      <c r="CE148">
        <v>3.121</v>
      </c>
      <c r="CF148" s="6">
        <v>3.08</v>
      </c>
      <c r="CG148" s="6">
        <v>3.0979999999999999</v>
      </c>
      <c r="CH148">
        <v>3.1440000000000001</v>
      </c>
    </row>
    <row r="149" spans="2:86">
      <c r="B149" s="7">
        <v>45540</v>
      </c>
      <c r="C149">
        <v>3.1549999999999998</v>
      </c>
      <c r="D149">
        <v>3.073</v>
      </c>
      <c r="E149">
        <v>3.0179999999999998</v>
      </c>
      <c r="F149">
        <v>3.02</v>
      </c>
      <c r="G149">
        <v>3.0209999999999999</v>
      </c>
      <c r="H149">
        <v>2.91</v>
      </c>
      <c r="I149" s="6">
        <v>2.96</v>
      </c>
      <c r="J149" s="6">
        <v>2.972</v>
      </c>
      <c r="K149" s="6">
        <v>3.0339999999999998</v>
      </c>
      <c r="L149" s="6">
        <v>3.032</v>
      </c>
      <c r="M149" s="6">
        <v>3.07</v>
      </c>
      <c r="N149" s="6">
        <v>2.9740000000000002</v>
      </c>
      <c r="O149" s="7">
        <v>45540</v>
      </c>
      <c r="P149">
        <v>3.1070000000000002</v>
      </c>
      <c r="Q149">
        <v>3.0209999999999999</v>
      </c>
      <c r="R149">
        <v>2.9769999999999999</v>
      </c>
      <c r="S149">
        <v>3.024</v>
      </c>
      <c r="T149">
        <v>2.9670000000000001</v>
      </c>
      <c r="U149" s="6">
        <v>2.9849999999999999</v>
      </c>
      <c r="V149" s="6">
        <v>0</v>
      </c>
      <c r="W149">
        <v>0</v>
      </c>
      <c r="X149" s="7">
        <v>45540</v>
      </c>
      <c r="Y149">
        <v>3.2109999999999999</v>
      </c>
      <c r="Z149">
        <v>3.1309999999999998</v>
      </c>
      <c r="AA149">
        <v>3.0529999999999999</v>
      </c>
      <c r="AB149">
        <v>3.044</v>
      </c>
      <c r="AC149">
        <v>3.0459999999999998</v>
      </c>
      <c r="AD149" s="6">
        <v>2.9969999999999999</v>
      </c>
      <c r="AE149" s="6">
        <v>3.0230000000000001</v>
      </c>
      <c r="AF149">
        <v>3.129</v>
      </c>
      <c r="AG149" s="7">
        <v>45540</v>
      </c>
      <c r="AH149">
        <v>3.4089999999999998</v>
      </c>
      <c r="AI149">
        <v>3.3319999999999999</v>
      </c>
      <c r="AJ149">
        <v>3.3</v>
      </c>
      <c r="AK149">
        <v>3.27</v>
      </c>
      <c r="AL149">
        <v>3.2</v>
      </c>
      <c r="AM149" s="6">
        <v>3.0910000000000002</v>
      </c>
      <c r="AN149" s="6">
        <v>3.0960000000000001</v>
      </c>
      <c r="AO149">
        <v>3.137</v>
      </c>
      <c r="AP149" s="7">
        <v>45540</v>
      </c>
      <c r="AQ149">
        <v>3.4889999999999999</v>
      </c>
      <c r="AR149">
        <v>3.4209999999999998</v>
      </c>
      <c r="AS149">
        <v>3.395</v>
      </c>
      <c r="AT149">
        <v>3.4119999999999999</v>
      </c>
      <c r="AU149">
        <v>3.4329999999999998</v>
      </c>
      <c r="AV149" s="6">
        <v>3.484</v>
      </c>
      <c r="AW149" s="6">
        <v>3.512</v>
      </c>
      <c r="AX149">
        <v>3.6040000000000001</v>
      </c>
      <c r="AY149" s="7">
        <v>45540</v>
      </c>
      <c r="AZ149">
        <v>3.4049999999999998</v>
      </c>
      <c r="BA149">
        <v>3.31</v>
      </c>
      <c r="BB149">
        <v>3.3</v>
      </c>
      <c r="BC149">
        <v>3.24</v>
      </c>
      <c r="BD149">
        <v>3.2040000000000002</v>
      </c>
      <c r="BE149" s="6">
        <v>3.1789999999999998</v>
      </c>
      <c r="BF149" s="6">
        <v>3.1869999999999998</v>
      </c>
      <c r="BG149">
        <v>3.1949999999999998</v>
      </c>
      <c r="BH149" s="7">
        <v>45540</v>
      </c>
      <c r="BI149">
        <v>3.35</v>
      </c>
      <c r="BJ149">
        <v>3.2469999999999999</v>
      </c>
      <c r="BK149">
        <v>3.2170000000000001</v>
      </c>
      <c r="BL149">
        <v>3.1760000000000002</v>
      </c>
      <c r="BM149">
        <v>3.1379999999999999</v>
      </c>
      <c r="BN149" s="6">
        <v>3.0870000000000002</v>
      </c>
      <c r="BO149" s="6">
        <v>3.0950000000000002</v>
      </c>
      <c r="BP149">
        <v>3.1320000000000001</v>
      </c>
      <c r="BQ149" s="7">
        <v>45540</v>
      </c>
      <c r="BR149">
        <v>3.6480000000000001</v>
      </c>
      <c r="BS149">
        <v>3.5920000000000001</v>
      </c>
      <c r="BT149">
        <v>3.6070000000000002</v>
      </c>
      <c r="BU149">
        <v>3.589</v>
      </c>
      <c r="BV149">
        <v>3.5720000000000001</v>
      </c>
      <c r="BW149" s="6">
        <v>3.556</v>
      </c>
      <c r="BX149" s="6">
        <v>3.57</v>
      </c>
      <c r="BY149">
        <v>3.597</v>
      </c>
      <c r="BZ149" s="7">
        <v>45540</v>
      </c>
      <c r="CA149">
        <v>3.2970000000000002</v>
      </c>
      <c r="CB149">
        <v>3.2149999999999999</v>
      </c>
      <c r="CC149">
        <v>3.1339999999999999</v>
      </c>
      <c r="CD149">
        <v>3.1339999999999999</v>
      </c>
      <c r="CE149">
        <v>3.1389999999999998</v>
      </c>
      <c r="CF149" s="6">
        <v>3.11</v>
      </c>
      <c r="CG149" s="6">
        <v>3.1339999999999999</v>
      </c>
      <c r="CH149">
        <v>3.1850000000000001</v>
      </c>
    </row>
    <row r="150" spans="2:86">
      <c r="B150" s="7">
        <v>45539</v>
      </c>
      <c r="C150">
        <v>3.1749999999999998</v>
      </c>
      <c r="D150">
        <v>3.09</v>
      </c>
      <c r="E150">
        <v>3.0289999999999999</v>
      </c>
      <c r="F150">
        <v>3.04</v>
      </c>
      <c r="G150">
        <v>3.0369999999999999</v>
      </c>
      <c r="H150">
        <v>2.927</v>
      </c>
      <c r="I150" s="6">
        <v>2.9790000000000001</v>
      </c>
      <c r="J150" s="6">
        <v>2.99</v>
      </c>
      <c r="K150" s="6">
        <v>3.05</v>
      </c>
      <c r="L150" s="6">
        <v>3.0470000000000002</v>
      </c>
      <c r="M150" s="6">
        <v>3.085</v>
      </c>
      <c r="N150" s="6">
        <v>2.972</v>
      </c>
      <c r="O150" s="7">
        <v>45539</v>
      </c>
      <c r="P150">
        <v>3.1240000000000001</v>
      </c>
      <c r="Q150">
        <v>3.0379999999999998</v>
      </c>
      <c r="R150">
        <v>2.9910000000000001</v>
      </c>
      <c r="S150">
        <v>3.0369999999999999</v>
      </c>
      <c r="T150">
        <v>2.9849999999999999</v>
      </c>
      <c r="U150" s="6">
        <v>3.0019999999999998</v>
      </c>
      <c r="V150" s="6">
        <v>0</v>
      </c>
      <c r="W150">
        <v>0</v>
      </c>
      <c r="X150" s="7">
        <v>45539</v>
      </c>
      <c r="Y150">
        <v>3.2290000000000001</v>
      </c>
      <c r="Z150">
        <v>3.1469999999999998</v>
      </c>
      <c r="AA150">
        <v>3.0640000000000001</v>
      </c>
      <c r="AB150">
        <v>3.0609999999999999</v>
      </c>
      <c r="AC150">
        <v>3.0609999999999999</v>
      </c>
      <c r="AD150" s="6">
        <v>3.0139999999999998</v>
      </c>
      <c r="AE150" s="6">
        <v>3.0409999999999999</v>
      </c>
      <c r="AF150">
        <v>3.14</v>
      </c>
      <c r="AG150" s="7">
        <v>45539</v>
      </c>
      <c r="AH150">
        <v>3.4220000000000002</v>
      </c>
      <c r="AI150">
        <v>3.3439999999999999</v>
      </c>
      <c r="AJ150">
        <v>3.3180000000000001</v>
      </c>
      <c r="AK150">
        <v>3.2890000000000001</v>
      </c>
      <c r="AL150">
        <v>3.2189999999999999</v>
      </c>
      <c r="AM150" s="6">
        <v>3.109</v>
      </c>
      <c r="AN150" s="6">
        <v>3.1139999999999999</v>
      </c>
      <c r="AO150">
        <v>3.1509999999999998</v>
      </c>
      <c r="AP150" s="7">
        <v>45539</v>
      </c>
      <c r="AQ150">
        <v>3.5</v>
      </c>
      <c r="AR150">
        <v>3.431</v>
      </c>
      <c r="AS150">
        <v>3.403</v>
      </c>
      <c r="AT150">
        <v>3.423</v>
      </c>
      <c r="AU150">
        <v>3.4470000000000001</v>
      </c>
      <c r="AV150" s="6">
        <v>3.5059999999999998</v>
      </c>
      <c r="AW150" s="6">
        <v>3.5329999999999999</v>
      </c>
      <c r="AX150">
        <v>3.621</v>
      </c>
      <c r="AY150" s="7">
        <v>45539</v>
      </c>
      <c r="AZ150">
        <v>3.4220000000000002</v>
      </c>
      <c r="BA150">
        <v>3.3250000000000002</v>
      </c>
      <c r="BB150">
        <v>3.3119999999999998</v>
      </c>
      <c r="BC150">
        <v>3.2490000000000001</v>
      </c>
      <c r="BD150">
        <v>3.2189999999999999</v>
      </c>
      <c r="BE150" s="6">
        <v>3.194</v>
      </c>
      <c r="BF150" s="6">
        <v>3.2</v>
      </c>
      <c r="BG150">
        <v>3.2120000000000002</v>
      </c>
      <c r="BH150" s="7">
        <v>45539</v>
      </c>
      <c r="BI150">
        <v>3.3679999999999999</v>
      </c>
      <c r="BJ150">
        <v>3.262</v>
      </c>
      <c r="BK150">
        <v>3.2290000000000001</v>
      </c>
      <c r="BL150">
        <v>3.1850000000000001</v>
      </c>
      <c r="BM150">
        <v>3.153</v>
      </c>
      <c r="BN150" s="6">
        <v>3.105</v>
      </c>
      <c r="BO150" s="6">
        <v>3.1110000000000002</v>
      </c>
      <c r="BP150">
        <v>3.1469999999999998</v>
      </c>
      <c r="BQ150" s="7">
        <v>45539</v>
      </c>
      <c r="BR150">
        <v>3.665</v>
      </c>
      <c r="BS150">
        <v>3.6070000000000002</v>
      </c>
      <c r="BT150">
        <v>3.621</v>
      </c>
      <c r="BU150">
        <v>3.597</v>
      </c>
      <c r="BV150">
        <v>3.5870000000000002</v>
      </c>
      <c r="BW150" s="6">
        <v>3.5710000000000002</v>
      </c>
      <c r="BX150" s="6">
        <v>3.5830000000000002</v>
      </c>
      <c r="BY150">
        <v>3.6150000000000002</v>
      </c>
      <c r="BZ150" s="7">
        <v>45539</v>
      </c>
      <c r="CA150">
        <v>3.3159999999999998</v>
      </c>
      <c r="CB150">
        <v>3.2309999999999999</v>
      </c>
      <c r="CC150">
        <v>3.145</v>
      </c>
      <c r="CD150">
        <v>3.1520000000000001</v>
      </c>
      <c r="CE150">
        <v>3.1539999999999999</v>
      </c>
      <c r="CF150" s="6">
        <v>3.1269999999999998</v>
      </c>
      <c r="CG150" s="6">
        <v>3.1520000000000001</v>
      </c>
      <c r="CH150">
        <v>3.1960000000000002</v>
      </c>
    </row>
    <row r="151" spans="2:86">
      <c r="B151" s="7">
        <v>45538</v>
      </c>
      <c r="C151">
        <v>3.2</v>
      </c>
      <c r="D151">
        <v>3.1040000000000001</v>
      </c>
      <c r="E151">
        <v>3.044</v>
      </c>
      <c r="F151">
        <v>3.0670000000000002</v>
      </c>
      <c r="G151">
        <v>3.0790000000000002</v>
      </c>
      <c r="H151">
        <v>2.98</v>
      </c>
      <c r="I151" s="6">
        <v>3.0350000000000001</v>
      </c>
      <c r="J151" s="6">
        <v>3.0510000000000002</v>
      </c>
      <c r="K151" s="6">
        <v>3.1179999999999999</v>
      </c>
      <c r="L151" s="6">
        <v>3.12</v>
      </c>
      <c r="M151" s="6">
        <v>3.1349999999999998</v>
      </c>
      <c r="N151" s="6">
        <v>3.016</v>
      </c>
      <c r="O151" s="7">
        <v>45538</v>
      </c>
      <c r="P151">
        <v>3.1520000000000001</v>
      </c>
      <c r="Q151">
        <v>3.0720000000000001</v>
      </c>
      <c r="R151">
        <v>3.0169999999999999</v>
      </c>
      <c r="S151">
        <v>3.0779999999999998</v>
      </c>
      <c r="T151">
        <v>3.0350000000000001</v>
      </c>
      <c r="U151" s="6">
        <v>3.052</v>
      </c>
      <c r="V151" s="6">
        <v>0</v>
      </c>
      <c r="W151">
        <v>0</v>
      </c>
      <c r="X151" s="7">
        <v>45538</v>
      </c>
      <c r="Y151">
        <v>3.2509999999999999</v>
      </c>
      <c r="Z151">
        <v>3.1669999999999998</v>
      </c>
      <c r="AA151">
        <v>3.08</v>
      </c>
      <c r="AB151">
        <v>3.0880000000000001</v>
      </c>
      <c r="AC151">
        <v>3.1030000000000002</v>
      </c>
      <c r="AD151" s="6">
        <v>3.0670000000000002</v>
      </c>
      <c r="AE151" s="6">
        <v>3.0979999999999999</v>
      </c>
      <c r="AF151">
        <v>3.198</v>
      </c>
      <c r="AG151" s="7">
        <v>45538</v>
      </c>
      <c r="AH151">
        <v>3.4390000000000001</v>
      </c>
      <c r="AI151">
        <v>3.3650000000000002</v>
      </c>
      <c r="AJ151">
        <v>3.3370000000000002</v>
      </c>
      <c r="AK151">
        <v>3.3210000000000002</v>
      </c>
      <c r="AL151">
        <v>3.2629999999999999</v>
      </c>
      <c r="AM151" s="6">
        <v>3.16</v>
      </c>
      <c r="AN151" s="6">
        <v>3.1680000000000001</v>
      </c>
      <c r="AO151">
        <v>3.2109999999999999</v>
      </c>
      <c r="AP151" s="7">
        <v>45538</v>
      </c>
      <c r="AQ151">
        <v>3.52</v>
      </c>
      <c r="AR151">
        <v>3.4550000000000001</v>
      </c>
      <c r="AS151">
        <v>3.42</v>
      </c>
      <c r="AT151">
        <v>3.4540000000000002</v>
      </c>
      <c r="AU151">
        <v>3.4860000000000002</v>
      </c>
      <c r="AV151" s="6">
        <v>3.5449999999999999</v>
      </c>
      <c r="AW151" s="6">
        <v>3.5779999999999998</v>
      </c>
      <c r="AX151">
        <v>3.6760000000000002</v>
      </c>
      <c r="AY151" s="7">
        <v>45538</v>
      </c>
      <c r="AZ151">
        <v>3.4359999999999999</v>
      </c>
      <c r="BA151">
        <v>3.3460000000000001</v>
      </c>
      <c r="BB151">
        <v>3.327</v>
      </c>
      <c r="BC151">
        <v>3.278</v>
      </c>
      <c r="BD151">
        <v>3.258</v>
      </c>
      <c r="BE151" s="6">
        <v>3.238</v>
      </c>
      <c r="BF151" s="6">
        <v>3.2509999999999999</v>
      </c>
      <c r="BG151">
        <v>3.2719999999999998</v>
      </c>
      <c r="BH151" s="7">
        <v>45538</v>
      </c>
      <c r="BI151">
        <v>3.3809999999999998</v>
      </c>
      <c r="BJ151">
        <v>3.2829999999999999</v>
      </c>
      <c r="BK151">
        <v>3.2440000000000002</v>
      </c>
      <c r="BL151">
        <v>3.214</v>
      </c>
      <c r="BM151">
        <v>3.1920000000000002</v>
      </c>
      <c r="BN151" s="6">
        <v>3.15</v>
      </c>
      <c r="BO151" s="6">
        <v>3.1629999999999998</v>
      </c>
      <c r="BP151">
        <v>3.2069999999999999</v>
      </c>
      <c r="BQ151" s="7">
        <v>45538</v>
      </c>
      <c r="BR151">
        <v>3.6789999999999998</v>
      </c>
      <c r="BS151">
        <v>3.6259999999999999</v>
      </c>
      <c r="BT151">
        <v>3.6360000000000001</v>
      </c>
      <c r="BU151">
        <v>3.6259999999999999</v>
      </c>
      <c r="BV151">
        <v>3.6259999999999999</v>
      </c>
      <c r="BW151" s="6">
        <v>3.6139999999999999</v>
      </c>
      <c r="BX151" s="6">
        <v>3.6339999999999999</v>
      </c>
      <c r="BY151">
        <v>3.6749999999999998</v>
      </c>
      <c r="BZ151" s="7">
        <v>45538</v>
      </c>
      <c r="CA151">
        <v>3.3370000000000002</v>
      </c>
      <c r="CB151">
        <v>3.2509999999999999</v>
      </c>
      <c r="CC151">
        <v>3.1619999999999999</v>
      </c>
      <c r="CD151">
        <v>3.1789999999999998</v>
      </c>
      <c r="CE151">
        <v>3.1960000000000002</v>
      </c>
      <c r="CF151" s="6">
        <v>3.1819999999999999</v>
      </c>
      <c r="CG151" s="6">
        <v>3.21</v>
      </c>
      <c r="CH151">
        <v>3.2549999999999999</v>
      </c>
    </row>
    <row r="152" spans="2:86">
      <c r="B152" s="7">
        <v>45537</v>
      </c>
      <c r="C152">
        <v>3.2109999999999999</v>
      </c>
      <c r="D152">
        <v>3.1120000000000001</v>
      </c>
      <c r="E152">
        <v>3.0539999999999998</v>
      </c>
      <c r="F152">
        <v>3.0779999999999998</v>
      </c>
      <c r="G152">
        <v>3.0910000000000002</v>
      </c>
      <c r="H152">
        <v>2.992</v>
      </c>
      <c r="I152" s="6">
        <v>3.0390000000000001</v>
      </c>
      <c r="J152" s="6">
        <v>3.052</v>
      </c>
      <c r="K152" s="6">
        <v>3.121</v>
      </c>
      <c r="L152" s="6">
        <v>3.125</v>
      </c>
      <c r="M152" s="6">
        <v>3.125</v>
      </c>
      <c r="N152" s="6">
        <v>3.0049999999999999</v>
      </c>
      <c r="O152" s="7">
        <v>45537</v>
      </c>
      <c r="P152">
        <v>3.1520000000000001</v>
      </c>
      <c r="Q152">
        <v>3.0779999999999998</v>
      </c>
      <c r="R152">
        <v>3.028</v>
      </c>
      <c r="S152">
        <v>3.09</v>
      </c>
      <c r="T152">
        <v>3.05</v>
      </c>
      <c r="U152" s="6">
        <v>3.0640000000000001</v>
      </c>
      <c r="V152" s="6">
        <v>0</v>
      </c>
      <c r="W152">
        <v>0</v>
      </c>
      <c r="X152" s="7">
        <v>45537</v>
      </c>
      <c r="Y152">
        <v>3.2610000000000001</v>
      </c>
      <c r="Z152">
        <v>3.173</v>
      </c>
      <c r="AA152">
        <v>3.09</v>
      </c>
      <c r="AB152">
        <v>3.0990000000000002</v>
      </c>
      <c r="AC152">
        <v>3.1139999999999999</v>
      </c>
      <c r="AD152" s="6">
        <v>3.0790000000000002</v>
      </c>
      <c r="AE152" s="6">
        <v>3.1019999999999999</v>
      </c>
      <c r="AF152">
        <v>3.2</v>
      </c>
      <c r="AG152" s="7">
        <v>45537</v>
      </c>
      <c r="AH152">
        <v>3.4350000000000001</v>
      </c>
      <c r="AI152">
        <v>3.3650000000000002</v>
      </c>
      <c r="AJ152">
        <v>3.3410000000000002</v>
      </c>
      <c r="AK152">
        <v>3.327</v>
      </c>
      <c r="AL152">
        <v>3.274</v>
      </c>
      <c r="AM152" s="6">
        <v>3.169</v>
      </c>
      <c r="AN152" s="6">
        <v>3.1720000000000002</v>
      </c>
      <c r="AO152">
        <v>3.2109999999999999</v>
      </c>
      <c r="AP152" s="7">
        <v>45537</v>
      </c>
      <c r="AQ152">
        <v>3.5139999999999998</v>
      </c>
      <c r="AR152">
        <v>3.4529999999999998</v>
      </c>
      <c r="AS152">
        <v>3.4239999999999999</v>
      </c>
      <c r="AT152">
        <v>3.4630000000000001</v>
      </c>
      <c r="AU152">
        <v>3.4940000000000002</v>
      </c>
      <c r="AV152" s="6">
        <v>3.5539999999999998</v>
      </c>
      <c r="AW152" s="6">
        <v>3.581</v>
      </c>
      <c r="AX152">
        <v>3.6760000000000002</v>
      </c>
      <c r="AY152" s="7">
        <v>45537</v>
      </c>
      <c r="AZ152">
        <v>3.4319999999999999</v>
      </c>
      <c r="BA152">
        <v>3.347</v>
      </c>
      <c r="BB152">
        <v>3.3279999999999998</v>
      </c>
      <c r="BC152">
        <v>3.286</v>
      </c>
      <c r="BD152">
        <v>3.2679999999999998</v>
      </c>
      <c r="BE152" s="6">
        <v>3.246</v>
      </c>
      <c r="BF152" s="6">
        <v>3.2549999999999999</v>
      </c>
      <c r="BG152">
        <v>3.2719999999999998</v>
      </c>
      <c r="BH152" s="7">
        <v>45537</v>
      </c>
      <c r="BI152">
        <v>3.3780000000000001</v>
      </c>
      <c r="BJ152">
        <v>3.2829999999999999</v>
      </c>
      <c r="BK152">
        <v>3.2469999999999999</v>
      </c>
      <c r="BL152">
        <v>3.222</v>
      </c>
      <c r="BM152">
        <v>3.202</v>
      </c>
      <c r="BN152" s="6">
        <v>3.1579999999999999</v>
      </c>
      <c r="BO152" s="6">
        <v>3.1669999999999998</v>
      </c>
      <c r="BP152">
        <v>3.2069999999999999</v>
      </c>
      <c r="BQ152" s="7">
        <v>45537</v>
      </c>
      <c r="BR152">
        <v>3.6749999999999998</v>
      </c>
      <c r="BS152">
        <v>3.6269999999999998</v>
      </c>
      <c r="BT152">
        <v>3.637</v>
      </c>
      <c r="BU152">
        <v>3.6349999999999998</v>
      </c>
      <c r="BV152">
        <v>3.6360000000000001</v>
      </c>
      <c r="BW152" s="6">
        <v>3.6219999999999999</v>
      </c>
      <c r="BX152" s="6">
        <v>3.6379999999999999</v>
      </c>
      <c r="BY152">
        <v>3.6749999999999998</v>
      </c>
      <c r="BZ152" s="7">
        <v>45537</v>
      </c>
      <c r="CA152">
        <v>3.347</v>
      </c>
      <c r="CB152">
        <v>3.258</v>
      </c>
      <c r="CC152">
        <v>3.1720000000000002</v>
      </c>
      <c r="CD152">
        <v>3.19</v>
      </c>
      <c r="CE152">
        <v>3.2069999999999999</v>
      </c>
      <c r="CF152" s="6">
        <v>3.194</v>
      </c>
      <c r="CG152" s="6">
        <v>3.214</v>
      </c>
      <c r="CH152">
        <v>3.2559999999999998</v>
      </c>
    </row>
    <row r="153" spans="2:86">
      <c r="B153" s="7">
        <v>45534</v>
      </c>
      <c r="C153">
        <v>3.2160000000000002</v>
      </c>
      <c r="D153">
        <v>3.1059999999999999</v>
      </c>
      <c r="E153">
        <v>3.0510000000000002</v>
      </c>
      <c r="F153">
        <v>3.0640000000000001</v>
      </c>
      <c r="G153">
        <v>3.0680000000000001</v>
      </c>
      <c r="H153">
        <v>2.9550000000000001</v>
      </c>
      <c r="I153" s="6">
        <v>3</v>
      </c>
      <c r="J153" s="6">
        <v>3.012</v>
      </c>
      <c r="K153" s="6">
        <v>3.0819999999999999</v>
      </c>
      <c r="L153" s="6">
        <v>3.0880000000000001</v>
      </c>
      <c r="M153" s="6">
        <v>3.0819999999999999</v>
      </c>
      <c r="N153" s="6">
        <v>2.9820000000000002</v>
      </c>
      <c r="O153" s="7">
        <v>45534</v>
      </c>
      <c r="P153">
        <v>3.1539999999999999</v>
      </c>
      <c r="Q153">
        <v>3.08</v>
      </c>
      <c r="R153">
        <v>3.03</v>
      </c>
      <c r="S153">
        <v>3.0659999999999998</v>
      </c>
      <c r="T153">
        <v>3.0249999999999999</v>
      </c>
      <c r="U153" s="6">
        <v>3.0350000000000001</v>
      </c>
      <c r="V153" s="6">
        <v>0</v>
      </c>
      <c r="W153">
        <v>0</v>
      </c>
      <c r="X153" s="7">
        <v>45534</v>
      </c>
      <c r="Y153">
        <v>3.266</v>
      </c>
      <c r="Z153">
        <v>3.1669999999999998</v>
      </c>
      <c r="AA153">
        <v>3.0880000000000001</v>
      </c>
      <c r="AB153">
        <v>3.0840000000000001</v>
      </c>
      <c r="AC153">
        <v>3.0920000000000001</v>
      </c>
      <c r="AD153" s="6">
        <v>3.0419999999999998</v>
      </c>
      <c r="AE153" s="6">
        <v>3.0630000000000002</v>
      </c>
      <c r="AF153">
        <v>3.16</v>
      </c>
      <c r="AG153" s="7">
        <v>45534</v>
      </c>
      <c r="AH153">
        <v>3.431</v>
      </c>
      <c r="AI153">
        <v>3.3610000000000002</v>
      </c>
      <c r="AJ153">
        <v>3.3359999999999999</v>
      </c>
      <c r="AK153">
        <v>3.3029999999999999</v>
      </c>
      <c r="AL153">
        <v>3.2480000000000002</v>
      </c>
      <c r="AM153" s="6">
        <v>3.133</v>
      </c>
      <c r="AN153" s="6">
        <v>3.1349999999999998</v>
      </c>
      <c r="AO153">
        <v>3.173</v>
      </c>
      <c r="AP153" s="7">
        <v>45534</v>
      </c>
      <c r="AQ153">
        <v>3.51</v>
      </c>
      <c r="AR153">
        <v>3.448</v>
      </c>
      <c r="AS153">
        <v>3.4180000000000001</v>
      </c>
      <c r="AT153">
        <v>3.4409999999999998</v>
      </c>
      <c r="AU153">
        <v>3.4630000000000001</v>
      </c>
      <c r="AV153" s="6">
        <v>3.516</v>
      </c>
      <c r="AW153" s="6">
        <v>3.5419999999999998</v>
      </c>
      <c r="AX153">
        <v>3.6360000000000001</v>
      </c>
      <c r="AY153" s="7">
        <v>45534</v>
      </c>
      <c r="AZ153">
        <v>3.423</v>
      </c>
      <c r="BA153">
        <v>3.3380000000000001</v>
      </c>
      <c r="BB153">
        <v>3.31</v>
      </c>
      <c r="BC153">
        <v>3.262</v>
      </c>
      <c r="BD153">
        <v>3.2410000000000001</v>
      </c>
      <c r="BE153" s="6">
        <v>3.2090000000000001</v>
      </c>
      <c r="BF153" s="6">
        <v>3.2160000000000002</v>
      </c>
      <c r="BG153">
        <v>3.2320000000000002</v>
      </c>
      <c r="BH153" s="7">
        <v>45534</v>
      </c>
      <c r="BI153">
        <v>3.371</v>
      </c>
      <c r="BJ153">
        <v>3.2719999999999998</v>
      </c>
      <c r="BK153">
        <v>3.2280000000000002</v>
      </c>
      <c r="BL153">
        <v>3.198</v>
      </c>
      <c r="BM153">
        <v>3.1749999999999998</v>
      </c>
      <c r="BN153" s="6">
        <v>3.121</v>
      </c>
      <c r="BO153" s="6">
        <v>3.1280000000000001</v>
      </c>
      <c r="BP153">
        <v>3.17</v>
      </c>
      <c r="BQ153" s="7">
        <v>45534</v>
      </c>
      <c r="BR153">
        <v>3.6659999999999999</v>
      </c>
      <c r="BS153">
        <v>3.6190000000000002</v>
      </c>
      <c r="BT153">
        <v>3.6190000000000002</v>
      </c>
      <c r="BU153">
        <v>3.61</v>
      </c>
      <c r="BV153">
        <v>3.609</v>
      </c>
      <c r="BW153" s="6">
        <v>3.585</v>
      </c>
      <c r="BX153" s="6">
        <v>3.5990000000000002</v>
      </c>
      <c r="BY153">
        <v>3.6349999999999998</v>
      </c>
      <c r="BZ153" s="7">
        <v>45534</v>
      </c>
      <c r="CA153">
        <v>3.3519999999999999</v>
      </c>
      <c r="CB153">
        <v>3.2519999999999998</v>
      </c>
      <c r="CC153">
        <v>3.169</v>
      </c>
      <c r="CD153">
        <v>3.1749999999999998</v>
      </c>
      <c r="CE153">
        <v>3.1859999999999999</v>
      </c>
      <c r="CF153" s="6">
        <v>3.157</v>
      </c>
      <c r="CG153" s="6">
        <v>3.1749999999999998</v>
      </c>
      <c r="CH153">
        <v>3.2160000000000002</v>
      </c>
    </row>
    <row r="154" spans="2:86">
      <c r="B154" s="7">
        <v>45533</v>
      </c>
      <c r="C154">
        <v>3.22</v>
      </c>
      <c r="D154">
        <v>3.113</v>
      </c>
      <c r="E154">
        <v>3.0550000000000002</v>
      </c>
      <c r="F154">
        <v>3.0590000000000002</v>
      </c>
      <c r="G154">
        <v>3.0539999999999998</v>
      </c>
      <c r="H154">
        <v>2.9390000000000001</v>
      </c>
      <c r="I154" s="6">
        <v>2.9849999999999999</v>
      </c>
      <c r="J154" s="6">
        <v>2.9969999999999999</v>
      </c>
      <c r="K154" s="6">
        <v>3.0659999999999998</v>
      </c>
      <c r="L154" s="6">
        <v>3.0720000000000001</v>
      </c>
      <c r="M154" s="6">
        <v>3.077</v>
      </c>
      <c r="N154" s="6">
        <v>2.9849999999999999</v>
      </c>
      <c r="O154" s="7">
        <v>45533</v>
      </c>
      <c r="P154">
        <v>3.1560000000000001</v>
      </c>
      <c r="Q154">
        <v>3.0819999999999999</v>
      </c>
      <c r="R154">
        <v>3.0310000000000001</v>
      </c>
      <c r="S154">
        <v>3.0569999999999999</v>
      </c>
      <c r="T154">
        <v>3.008</v>
      </c>
      <c r="U154" s="6">
        <v>3.02</v>
      </c>
      <c r="V154" s="6">
        <v>0</v>
      </c>
      <c r="W154">
        <v>0</v>
      </c>
      <c r="X154" s="7">
        <v>45533</v>
      </c>
      <c r="Y154">
        <v>3.2690000000000001</v>
      </c>
      <c r="Z154">
        <v>3.1739999999999999</v>
      </c>
      <c r="AA154">
        <v>3.0910000000000002</v>
      </c>
      <c r="AB154">
        <v>3.0779999999999998</v>
      </c>
      <c r="AC154">
        <v>3.0779999999999998</v>
      </c>
      <c r="AD154" s="6">
        <v>3.0259999999999998</v>
      </c>
      <c r="AE154" s="6">
        <v>3.048</v>
      </c>
      <c r="AF154">
        <v>3.145</v>
      </c>
      <c r="AG154" s="7">
        <v>45533</v>
      </c>
      <c r="AH154">
        <v>3.4279999999999999</v>
      </c>
      <c r="AI154">
        <v>3.359</v>
      </c>
      <c r="AJ154">
        <v>3.3340000000000001</v>
      </c>
      <c r="AK154">
        <v>3.2949999999999999</v>
      </c>
      <c r="AL154">
        <v>3.2309999999999999</v>
      </c>
      <c r="AM154" s="6">
        <v>3.117</v>
      </c>
      <c r="AN154" s="6">
        <v>3.12</v>
      </c>
      <c r="AO154">
        <v>3.1579999999999999</v>
      </c>
      <c r="AP154" s="7">
        <v>45533</v>
      </c>
      <c r="AQ154">
        <v>3.5070000000000001</v>
      </c>
      <c r="AR154">
        <v>3.4460000000000002</v>
      </c>
      <c r="AS154">
        <v>3.42</v>
      </c>
      <c r="AT154">
        <v>3.431</v>
      </c>
      <c r="AU154">
        <v>3.4460000000000002</v>
      </c>
      <c r="AV154" s="6">
        <v>3.4969999999999999</v>
      </c>
      <c r="AW154" s="6">
        <v>3.5230000000000001</v>
      </c>
      <c r="AX154">
        <v>3.621</v>
      </c>
      <c r="AY154" s="7">
        <v>45533</v>
      </c>
      <c r="AZ154">
        <v>3.42</v>
      </c>
      <c r="BA154">
        <v>3.335</v>
      </c>
      <c r="BB154">
        <v>3.3069999999999999</v>
      </c>
      <c r="BC154">
        <v>3.2509999999999999</v>
      </c>
      <c r="BD154">
        <v>3.2240000000000002</v>
      </c>
      <c r="BE154" s="6">
        <v>3.1880000000000002</v>
      </c>
      <c r="BF154" s="6">
        <v>3.198</v>
      </c>
      <c r="BG154">
        <v>3.2170000000000001</v>
      </c>
      <c r="BH154" s="7">
        <v>45533</v>
      </c>
      <c r="BI154">
        <v>3.3690000000000002</v>
      </c>
      <c r="BJ154">
        <v>3.27</v>
      </c>
      <c r="BK154">
        <v>3.2269999999999999</v>
      </c>
      <c r="BL154">
        <v>3.1869999999999998</v>
      </c>
      <c r="BM154">
        <v>3.1549999999999998</v>
      </c>
      <c r="BN154" s="6">
        <v>3.1</v>
      </c>
      <c r="BO154" s="6">
        <v>3.11</v>
      </c>
      <c r="BP154">
        <v>3.1549999999999998</v>
      </c>
      <c r="BQ154" s="7">
        <v>45533</v>
      </c>
      <c r="BR154">
        <v>3.6629999999999998</v>
      </c>
      <c r="BS154">
        <v>3.6150000000000002</v>
      </c>
      <c r="BT154">
        <v>3.617</v>
      </c>
      <c r="BU154">
        <v>3.5990000000000002</v>
      </c>
      <c r="BV154">
        <v>3.589</v>
      </c>
      <c r="BW154" s="6">
        <v>3.5649999999999999</v>
      </c>
      <c r="BX154" s="6">
        <v>3.5819999999999999</v>
      </c>
      <c r="BY154">
        <v>3.62</v>
      </c>
      <c r="BZ154" s="7">
        <v>45533</v>
      </c>
      <c r="CA154">
        <v>3.3559999999999999</v>
      </c>
      <c r="CB154">
        <v>3.258</v>
      </c>
      <c r="CC154">
        <v>3.173</v>
      </c>
      <c r="CD154">
        <v>3.169</v>
      </c>
      <c r="CE154">
        <v>3.1709999999999998</v>
      </c>
      <c r="CF154" s="6">
        <v>3.141</v>
      </c>
      <c r="CG154" s="6">
        <v>3.16</v>
      </c>
      <c r="CH154">
        <v>3.202</v>
      </c>
    </row>
    <row r="155" spans="2:86">
      <c r="B155" s="7">
        <v>45532</v>
      </c>
      <c r="C155">
        <v>3.218</v>
      </c>
      <c r="D155">
        <v>3.113</v>
      </c>
      <c r="E155">
        <v>3.0489999999999999</v>
      </c>
      <c r="F155">
        <v>3.044</v>
      </c>
      <c r="G155">
        <v>3.024</v>
      </c>
      <c r="H155">
        <v>2.915</v>
      </c>
      <c r="I155" s="6">
        <v>2.9609999999999999</v>
      </c>
      <c r="J155" s="6">
        <v>2.972</v>
      </c>
      <c r="K155" s="6">
        <v>3.0419999999999998</v>
      </c>
      <c r="L155" s="6">
        <v>3.05</v>
      </c>
      <c r="M155" s="6">
        <v>3.056</v>
      </c>
      <c r="N155" s="6">
        <v>2.9670000000000001</v>
      </c>
      <c r="O155" s="7">
        <v>45532</v>
      </c>
      <c r="P155">
        <v>3.157</v>
      </c>
      <c r="Q155">
        <v>3.0830000000000002</v>
      </c>
      <c r="R155">
        <v>3.0310000000000001</v>
      </c>
      <c r="S155">
        <v>3.04</v>
      </c>
      <c r="T155">
        <v>2.99</v>
      </c>
      <c r="U155" s="6">
        <v>2.9950000000000001</v>
      </c>
      <c r="V155" s="6">
        <v>0</v>
      </c>
      <c r="W155">
        <v>0</v>
      </c>
      <c r="X155" s="7">
        <v>45532</v>
      </c>
      <c r="Y155">
        <v>3.2669999999999999</v>
      </c>
      <c r="Z155">
        <v>3.1739999999999999</v>
      </c>
      <c r="AA155">
        <v>3.085</v>
      </c>
      <c r="AB155">
        <v>3.0640000000000001</v>
      </c>
      <c r="AC155">
        <v>3.05</v>
      </c>
      <c r="AD155" s="6">
        <v>3.0030000000000001</v>
      </c>
      <c r="AE155" s="6">
        <v>3.0259999999999998</v>
      </c>
      <c r="AF155">
        <v>3.1190000000000002</v>
      </c>
      <c r="AG155" s="7">
        <v>45532</v>
      </c>
      <c r="AH155">
        <v>3.4220000000000002</v>
      </c>
      <c r="AI155">
        <v>3.3519999999999999</v>
      </c>
      <c r="AJ155">
        <v>3.3260000000000001</v>
      </c>
      <c r="AK155">
        <v>3.2759999999999998</v>
      </c>
      <c r="AL155">
        <v>3.2109999999999999</v>
      </c>
      <c r="AM155" s="6">
        <v>3.0910000000000002</v>
      </c>
      <c r="AN155" s="6">
        <v>3.0939999999999999</v>
      </c>
      <c r="AO155">
        <v>3.1309999999999998</v>
      </c>
      <c r="AP155" s="7">
        <v>45532</v>
      </c>
      <c r="AQ155">
        <v>3.5</v>
      </c>
      <c r="AR155">
        <v>3.44</v>
      </c>
      <c r="AS155">
        <v>3.415</v>
      </c>
      <c r="AT155">
        <v>3.4119999999999999</v>
      </c>
      <c r="AU155">
        <v>3.4220000000000002</v>
      </c>
      <c r="AV155" s="6">
        <v>3.4649999999999999</v>
      </c>
      <c r="AW155" s="6">
        <v>3.4940000000000002</v>
      </c>
      <c r="AX155">
        <v>3.5910000000000002</v>
      </c>
      <c r="AY155" s="7">
        <v>45532</v>
      </c>
      <c r="AZ155">
        <v>3.411</v>
      </c>
      <c r="BA155">
        <v>3.3260000000000001</v>
      </c>
      <c r="BB155">
        <v>3.2949999999999999</v>
      </c>
      <c r="BC155">
        <v>3.2280000000000002</v>
      </c>
      <c r="BD155">
        <v>3.206</v>
      </c>
      <c r="BE155" s="6">
        <v>3.161</v>
      </c>
      <c r="BF155" s="6">
        <v>3.1680000000000001</v>
      </c>
      <c r="BG155">
        <v>3.1920000000000002</v>
      </c>
      <c r="BH155" s="7">
        <v>45532</v>
      </c>
      <c r="BI155">
        <v>3.36</v>
      </c>
      <c r="BJ155">
        <v>3.2610000000000001</v>
      </c>
      <c r="BK155">
        <v>3.2149999999999999</v>
      </c>
      <c r="BL155">
        <v>3.1640000000000001</v>
      </c>
      <c r="BM155">
        <v>3.137</v>
      </c>
      <c r="BN155" s="6">
        <v>3.0760000000000001</v>
      </c>
      <c r="BO155" s="6">
        <v>3.085</v>
      </c>
      <c r="BP155">
        <v>3.1280000000000001</v>
      </c>
      <c r="BQ155" s="7">
        <v>45532</v>
      </c>
      <c r="BR155">
        <v>3.6509999999999998</v>
      </c>
      <c r="BS155">
        <v>3.6030000000000002</v>
      </c>
      <c r="BT155">
        <v>3.6019999999999999</v>
      </c>
      <c r="BU155">
        <v>3.5750000000000002</v>
      </c>
      <c r="BV155">
        <v>3.569</v>
      </c>
      <c r="BW155" s="6">
        <v>3.54</v>
      </c>
      <c r="BX155" s="6">
        <v>3.556</v>
      </c>
      <c r="BY155">
        <v>3.5910000000000002</v>
      </c>
      <c r="BZ155" s="7">
        <v>45532</v>
      </c>
      <c r="CA155">
        <v>3.3540000000000001</v>
      </c>
      <c r="CB155">
        <v>3.258</v>
      </c>
      <c r="CC155">
        <v>3.1669999999999998</v>
      </c>
      <c r="CD155">
        <v>3.1539999999999999</v>
      </c>
      <c r="CE155">
        <v>3.1429999999999998</v>
      </c>
      <c r="CF155" s="6">
        <v>3.1190000000000002</v>
      </c>
      <c r="CG155" s="6">
        <v>3.1389999999999998</v>
      </c>
      <c r="CH155">
        <v>3.1760000000000002</v>
      </c>
    </row>
    <row r="156" spans="2:86">
      <c r="B156" s="7">
        <v>45531</v>
      </c>
      <c r="C156">
        <v>3.2149999999999999</v>
      </c>
      <c r="D156">
        <v>3.1120000000000001</v>
      </c>
      <c r="E156">
        <v>3.0529999999999999</v>
      </c>
      <c r="F156">
        <v>3.044</v>
      </c>
      <c r="G156">
        <v>3.04</v>
      </c>
      <c r="H156">
        <v>2.9350000000000001</v>
      </c>
      <c r="I156" s="6">
        <v>2.98</v>
      </c>
      <c r="J156" s="6">
        <v>2.9889999999999999</v>
      </c>
      <c r="K156" s="6">
        <v>3.0579999999999998</v>
      </c>
      <c r="L156" s="6">
        <v>3.0649999999999999</v>
      </c>
      <c r="M156" s="6">
        <v>3.06</v>
      </c>
      <c r="N156" s="6">
        <v>2.9750000000000001</v>
      </c>
      <c r="O156" s="7">
        <v>45531</v>
      </c>
      <c r="P156">
        <v>3.1640000000000001</v>
      </c>
      <c r="Q156">
        <v>3.0950000000000002</v>
      </c>
      <c r="R156">
        <v>3.04</v>
      </c>
      <c r="S156">
        <v>3.0550000000000002</v>
      </c>
      <c r="T156">
        <v>3.0049999999999999</v>
      </c>
      <c r="U156" s="6">
        <v>3.0129999999999999</v>
      </c>
      <c r="V156" s="6">
        <v>0</v>
      </c>
      <c r="W156">
        <v>0</v>
      </c>
      <c r="X156" s="7">
        <v>45531</v>
      </c>
      <c r="Y156">
        <v>3.2639999999999998</v>
      </c>
      <c r="Z156">
        <v>3.173</v>
      </c>
      <c r="AA156">
        <v>3.0910000000000002</v>
      </c>
      <c r="AB156">
        <v>3.0659999999999998</v>
      </c>
      <c r="AC156">
        <v>3.0649999999999999</v>
      </c>
      <c r="AD156" s="6">
        <v>3.0230000000000001</v>
      </c>
      <c r="AE156" s="6">
        <v>3.044</v>
      </c>
      <c r="AF156">
        <v>3.1360000000000001</v>
      </c>
      <c r="AG156" s="7">
        <v>45531</v>
      </c>
      <c r="AH156">
        <v>3.4180000000000001</v>
      </c>
      <c r="AI156">
        <v>3.3540000000000001</v>
      </c>
      <c r="AJ156">
        <v>3.3239999999999998</v>
      </c>
      <c r="AK156">
        <v>3.282</v>
      </c>
      <c r="AL156">
        <v>3.2189999999999999</v>
      </c>
      <c r="AM156" s="6">
        <v>3.1080000000000001</v>
      </c>
      <c r="AN156" s="6">
        <v>3.11</v>
      </c>
      <c r="AO156">
        <v>3.1459999999999999</v>
      </c>
      <c r="AP156" s="7">
        <v>45531</v>
      </c>
      <c r="AQ156">
        <v>3.4980000000000002</v>
      </c>
      <c r="AR156">
        <v>3.444</v>
      </c>
      <c r="AS156">
        <v>3.4169999999999998</v>
      </c>
      <c r="AT156">
        <v>3.419</v>
      </c>
      <c r="AU156">
        <v>3.4289999999999998</v>
      </c>
      <c r="AV156" s="6">
        <v>3.4740000000000002</v>
      </c>
      <c r="AW156" s="6">
        <v>3.5</v>
      </c>
      <c r="AX156">
        <v>3.5979999999999999</v>
      </c>
      <c r="AY156" s="7">
        <v>45531</v>
      </c>
      <c r="AZ156">
        <v>3.4079999999999999</v>
      </c>
      <c r="BA156">
        <v>3.3279999999999998</v>
      </c>
      <c r="BB156">
        <v>3.2970000000000002</v>
      </c>
      <c r="BC156">
        <v>3.2349999999999999</v>
      </c>
      <c r="BD156">
        <v>3.22</v>
      </c>
      <c r="BE156" s="6">
        <v>3.1779999999999999</v>
      </c>
      <c r="BF156" s="6">
        <v>3.1829999999999998</v>
      </c>
      <c r="BG156">
        <v>3.206</v>
      </c>
      <c r="BH156" s="7">
        <v>45531</v>
      </c>
      <c r="BI156">
        <v>3.3570000000000002</v>
      </c>
      <c r="BJ156">
        <v>3.2629999999999999</v>
      </c>
      <c r="BK156">
        <v>3.218</v>
      </c>
      <c r="BL156">
        <v>3.1709999999999998</v>
      </c>
      <c r="BM156">
        <v>3.15</v>
      </c>
      <c r="BN156" s="6">
        <v>3.0920000000000001</v>
      </c>
      <c r="BO156" s="6">
        <v>3.0990000000000002</v>
      </c>
      <c r="BP156">
        <v>3.1419999999999999</v>
      </c>
      <c r="BQ156" s="7">
        <v>45531</v>
      </c>
      <c r="BR156">
        <v>3.6459999999999999</v>
      </c>
      <c r="BS156">
        <v>3.6030000000000002</v>
      </c>
      <c r="BT156">
        <v>3.6059999999999999</v>
      </c>
      <c r="BU156">
        <v>3.58</v>
      </c>
      <c r="BV156">
        <v>3.5830000000000002</v>
      </c>
      <c r="BW156" s="6">
        <v>3.556</v>
      </c>
      <c r="BX156" s="6">
        <v>3.5720000000000001</v>
      </c>
      <c r="BY156">
        <v>3.605</v>
      </c>
      <c r="BZ156" s="7">
        <v>45531</v>
      </c>
      <c r="CA156">
        <v>3.351</v>
      </c>
      <c r="CB156">
        <v>3.258</v>
      </c>
      <c r="CC156">
        <v>3.173</v>
      </c>
      <c r="CD156">
        <v>3.1560000000000001</v>
      </c>
      <c r="CE156">
        <v>3.157</v>
      </c>
      <c r="CF156" s="6">
        <v>3.1389999999999998</v>
      </c>
      <c r="CG156" s="6">
        <v>3.1560000000000001</v>
      </c>
      <c r="CH156">
        <v>3.1930000000000001</v>
      </c>
    </row>
    <row r="157" spans="2:86">
      <c r="B157" s="7">
        <v>45530</v>
      </c>
      <c r="C157">
        <v>3.2050000000000001</v>
      </c>
      <c r="D157">
        <v>3.0990000000000002</v>
      </c>
      <c r="E157">
        <v>3.036</v>
      </c>
      <c r="F157">
        <v>3.024</v>
      </c>
      <c r="G157">
        <v>3.01</v>
      </c>
      <c r="H157">
        <v>2.89</v>
      </c>
      <c r="I157" s="6">
        <v>2.9369999999999998</v>
      </c>
      <c r="J157" s="6">
        <v>2.927</v>
      </c>
      <c r="K157" s="6">
        <v>2.9809999999999999</v>
      </c>
      <c r="L157" s="6">
        <v>2.9750000000000001</v>
      </c>
      <c r="M157" s="6">
        <v>2.992</v>
      </c>
      <c r="N157" s="6">
        <v>2.9049999999999998</v>
      </c>
      <c r="O157" s="7">
        <v>45530</v>
      </c>
      <c r="P157">
        <v>3.16</v>
      </c>
      <c r="Q157">
        <v>3.085</v>
      </c>
      <c r="R157">
        <v>3.03</v>
      </c>
      <c r="S157">
        <v>3.0150000000000001</v>
      </c>
      <c r="T157">
        <v>2.9670000000000001</v>
      </c>
      <c r="U157" s="6">
        <v>2.9689999999999999</v>
      </c>
      <c r="V157" s="6">
        <v>0</v>
      </c>
      <c r="W157">
        <v>0</v>
      </c>
      <c r="X157" s="7">
        <v>45530</v>
      </c>
      <c r="Y157">
        <v>3.2559999999999998</v>
      </c>
      <c r="Z157">
        <v>3.16</v>
      </c>
      <c r="AA157">
        <v>3.0750000000000002</v>
      </c>
      <c r="AB157">
        <v>3.0449999999999999</v>
      </c>
      <c r="AC157">
        <v>3.0350000000000001</v>
      </c>
      <c r="AD157" s="6">
        <v>2.9780000000000002</v>
      </c>
      <c r="AE157" s="6">
        <v>3.0009999999999999</v>
      </c>
      <c r="AF157">
        <v>3.0760000000000001</v>
      </c>
      <c r="AG157" s="7">
        <v>45530</v>
      </c>
      <c r="AH157">
        <v>3.4119999999999999</v>
      </c>
      <c r="AI157">
        <v>3.3410000000000002</v>
      </c>
      <c r="AJ157">
        <v>3.3109999999999999</v>
      </c>
      <c r="AK157">
        <v>3.24</v>
      </c>
      <c r="AL157">
        <v>3.18</v>
      </c>
      <c r="AM157" s="6">
        <v>3.0640000000000001</v>
      </c>
      <c r="AN157" s="6">
        <v>3.0680000000000001</v>
      </c>
      <c r="AO157">
        <v>3.0859999999999999</v>
      </c>
      <c r="AP157" s="7">
        <v>45530</v>
      </c>
      <c r="AQ157">
        <v>3.4860000000000002</v>
      </c>
      <c r="AR157">
        <v>3.43</v>
      </c>
      <c r="AS157">
        <v>3.4049999999999998</v>
      </c>
      <c r="AT157">
        <v>3.3769999999999998</v>
      </c>
      <c r="AU157">
        <v>3.3860000000000001</v>
      </c>
      <c r="AV157" s="6">
        <v>3.423</v>
      </c>
      <c r="AW157" s="6">
        <v>3.4550000000000001</v>
      </c>
      <c r="AX157">
        <v>3.5369999999999999</v>
      </c>
      <c r="AY157" s="7">
        <v>45530</v>
      </c>
      <c r="AZ157">
        <v>3.4039999999999999</v>
      </c>
      <c r="BA157">
        <v>3.319</v>
      </c>
      <c r="BB157">
        <v>3.282</v>
      </c>
      <c r="BC157">
        <v>3.1930000000000001</v>
      </c>
      <c r="BD157">
        <v>3.1789999999999998</v>
      </c>
      <c r="BE157" s="6">
        <v>3.1309999999999998</v>
      </c>
      <c r="BF157" s="6">
        <v>3.1429999999999998</v>
      </c>
      <c r="BG157">
        <v>3.145</v>
      </c>
      <c r="BH157" s="7">
        <v>45530</v>
      </c>
      <c r="BI157">
        <v>3.3530000000000002</v>
      </c>
      <c r="BJ157">
        <v>3.254</v>
      </c>
      <c r="BK157">
        <v>3.2040000000000002</v>
      </c>
      <c r="BL157">
        <v>3.129</v>
      </c>
      <c r="BM157">
        <v>3.1120000000000001</v>
      </c>
      <c r="BN157" s="6">
        <v>3.0470000000000002</v>
      </c>
      <c r="BO157" s="6">
        <v>3.0579999999999998</v>
      </c>
      <c r="BP157">
        <v>3.0819999999999999</v>
      </c>
      <c r="BQ157" s="7">
        <v>45530</v>
      </c>
      <c r="BR157">
        <v>3.6419999999999999</v>
      </c>
      <c r="BS157">
        <v>3.5950000000000002</v>
      </c>
      <c r="BT157">
        <v>3.5910000000000002</v>
      </c>
      <c r="BU157">
        <v>3.5390000000000001</v>
      </c>
      <c r="BV157">
        <v>3.5449999999999999</v>
      </c>
      <c r="BW157" s="6">
        <v>3.5110000000000001</v>
      </c>
      <c r="BX157" s="6">
        <v>3.53</v>
      </c>
      <c r="BY157">
        <v>3.5449999999999999</v>
      </c>
      <c r="BZ157" s="7">
        <v>45530</v>
      </c>
      <c r="CA157">
        <v>3.3420000000000001</v>
      </c>
      <c r="CB157">
        <v>3.2440000000000002</v>
      </c>
      <c r="CC157">
        <v>3.1560000000000001</v>
      </c>
      <c r="CD157">
        <v>3.1349999999999998</v>
      </c>
      <c r="CE157">
        <v>3.1269999999999998</v>
      </c>
      <c r="CF157" s="6">
        <v>3.0939999999999999</v>
      </c>
      <c r="CG157" s="6">
        <v>3.1139999999999999</v>
      </c>
      <c r="CH157">
        <v>3.133</v>
      </c>
    </row>
    <row r="158" spans="2:86">
      <c r="B158" s="7">
        <v>45527</v>
      </c>
      <c r="C158">
        <v>3.2050000000000001</v>
      </c>
      <c r="D158">
        <v>3.1059999999999999</v>
      </c>
      <c r="E158">
        <v>3.0449999999999999</v>
      </c>
      <c r="F158">
        <v>3.0409999999999999</v>
      </c>
      <c r="G158">
        <v>3.0329999999999999</v>
      </c>
      <c r="H158">
        <v>2.9169999999999998</v>
      </c>
      <c r="I158" s="6">
        <v>2.9580000000000002</v>
      </c>
      <c r="J158" s="6">
        <v>2.952</v>
      </c>
      <c r="K158" s="6">
        <v>3.0089999999999999</v>
      </c>
      <c r="L158" s="6">
        <v>3.0049999999999999</v>
      </c>
      <c r="M158" s="6">
        <v>3.012</v>
      </c>
      <c r="N158" s="6">
        <v>2.9220000000000002</v>
      </c>
      <c r="O158" s="7">
        <v>45527</v>
      </c>
      <c r="P158">
        <v>3.161</v>
      </c>
      <c r="Q158">
        <v>3.089</v>
      </c>
      <c r="R158">
        <v>3.0350000000000001</v>
      </c>
      <c r="S158">
        <v>3.03</v>
      </c>
      <c r="T158">
        <v>2.992</v>
      </c>
      <c r="U158" s="6">
        <v>2.9950000000000001</v>
      </c>
      <c r="V158" s="6">
        <v>0</v>
      </c>
      <c r="W158">
        <v>0</v>
      </c>
      <c r="X158" s="7">
        <v>45527</v>
      </c>
      <c r="Y158">
        <v>3.2559999999999998</v>
      </c>
      <c r="Z158">
        <v>3.1669999999999998</v>
      </c>
      <c r="AA158">
        <v>3.0830000000000002</v>
      </c>
      <c r="AB158">
        <v>3.0630000000000002</v>
      </c>
      <c r="AC158">
        <v>3.0579999999999998</v>
      </c>
      <c r="AD158" s="6">
        <v>3.0049999999999999</v>
      </c>
      <c r="AE158" s="6">
        <v>3.0219999999999998</v>
      </c>
      <c r="AF158">
        <v>3.1</v>
      </c>
      <c r="AG158" s="7">
        <v>45527</v>
      </c>
      <c r="AH158">
        <v>3.407</v>
      </c>
      <c r="AI158">
        <v>3.34</v>
      </c>
      <c r="AJ158">
        <v>3.3149999999999999</v>
      </c>
      <c r="AK158">
        <v>3.2530000000000001</v>
      </c>
      <c r="AL158">
        <v>3.2</v>
      </c>
      <c r="AM158" s="6">
        <v>3.09</v>
      </c>
      <c r="AN158" s="6">
        <v>3.089</v>
      </c>
      <c r="AO158">
        <v>3.1080000000000001</v>
      </c>
      <c r="AP158" s="7">
        <v>45527</v>
      </c>
      <c r="AQ158">
        <v>3.484</v>
      </c>
      <c r="AR158">
        <v>3.4329999999999998</v>
      </c>
      <c r="AS158">
        <v>3.407</v>
      </c>
      <c r="AT158">
        <v>3.387</v>
      </c>
      <c r="AU158">
        <v>3.41</v>
      </c>
      <c r="AV158" s="6">
        <v>3.4430000000000001</v>
      </c>
      <c r="AW158" s="6">
        <v>3.4740000000000002</v>
      </c>
      <c r="AX158">
        <v>3.5619999999999998</v>
      </c>
      <c r="AY158" s="7">
        <v>45527</v>
      </c>
      <c r="AZ158">
        <v>3.4020000000000001</v>
      </c>
      <c r="BA158">
        <v>3.32</v>
      </c>
      <c r="BB158">
        <v>3.2850000000000001</v>
      </c>
      <c r="BC158">
        <v>3.2040000000000002</v>
      </c>
      <c r="BD158">
        <v>3.2029999999999998</v>
      </c>
      <c r="BE158" s="6">
        <v>3.1560000000000001</v>
      </c>
      <c r="BF158" s="6">
        <v>3.1640000000000001</v>
      </c>
      <c r="BG158">
        <v>3.17</v>
      </c>
      <c r="BH158" s="7">
        <v>45527</v>
      </c>
      <c r="BI158">
        <v>3.351</v>
      </c>
      <c r="BJ158">
        <v>3.2549999999999999</v>
      </c>
      <c r="BK158">
        <v>3.2069999999999999</v>
      </c>
      <c r="BL158">
        <v>3.14</v>
      </c>
      <c r="BM158">
        <v>3.1360000000000001</v>
      </c>
      <c r="BN158" s="6">
        <v>3.0710000000000002</v>
      </c>
      <c r="BO158" s="6">
        <v>3.0790000000000002</v>
      </c>
      <c r="BP158">
        <v>3.105</v>
      </c>
      <c r="BQ158" s="7">
        <v>45527</v>
      </c>
      <c r="BR158">
        <v>3.64</v>
      </c>
      <c r="BS158">
        <v>3.5950000000000002</v>
      </c>
      <c r="BT158">
        <v>3.5939999999999999</v>
      </c>
      <c r="BU158">
        <v>3.55</v>
      </c>
      <c r="BV158">
        <v>3.5680000000000001</v>
      </c>
      <c r="BW158" s="6">
        <v>3.5350000000000001</v>
      </c>
      <c r="BX158" s="6">
        <v>3.5510000000000002</v>
      </c>
      <c r="BY158">
        <v>3.57</v>
      </c>
      <c r="BZ158" s="7">
        <v>45527</v>
      </c>
      <c r="CA158">
        <v>3.3420000000000001</v>
      </c>
      <c r="CB158">
        <v>3.2519999999999998</v>
      </c>
      <c r="CC158">
        <v>3.1640000000000001</v>
      </c>
      <c r="CD158">
        <v>3.153</v>
      </c>
      <c r="CE158">
        <v>3.15</v>
      </c>
      <c r="CF158" s="6">
        <v>3.121</v>
      </c>
      <c r="CG158" s="6">
        <v>3.133</v>
      </c>
      <c r="CH158">
        <v>3.1560000000000001</v>
      </c>
    </row>
    <row r="159" spans="2:86">
      <c r="B159" s="7">
        <v>45526</v>
      </c>
      <c r="C159">
        <v>3.2050000000000001</v>
      </c>
      <c r="D159">
        <v>3.105</v>
      </c>
      <c r="E159">
        <v>3.0449999999999999</v>
      </c>
      <c r="F159">
        <v>3.03</v>
      </c>
      <c r="G159">
        <v>3.02</v>
      </c>
      <c r="H159">
        <v>2.9049999999999998</v>
      </c>
      <c r="I159" s="6">
        <v>2.9369999999999998</v>
      </c>
      <c r="J159" s="6">
        <v>2.9350000000000001</v>
      </c>
      <c r="K159" s="6">
        <v>2.9889999999999999</v>
      </c>
      <c r="L159" s="6">
        <v>2.9820000000000002</v>
      </c>
      <c r="M159" s="6">
        <v>2.9950000000000001</v>
      </c>
      <c r="N159" s="6">
        <v>2.907</v>
      </c>
      <c r="O159" s="7">
        <v>45526</v>
      </c>
      <c r="P159">
        <v>3.1589999999999998</v>
      </c>
      <c r="Q159">
        <v>3.081</v>
      </c>
      <c r="R159">
        <v>3.0150000000000001</v>
      </c>
      <c r="S159">
        <v>3.0049999999999999</v>
      </c>
      <c r="T159">
        <v>2.9780000000000002</v>
      </c>
      <c r="U159" s="6">
        <v>2.9820000000000002</v>
      </c>
      <c r="V159" s="6">
        <v>0</v>
      </c>
      <c r="W159">
        <v>0</v>
      </c>
      <c r="X159" s="7">
        <v>45526</v>
      </c>
      <c r="Y159">
        <v>3.2559999999999998</v>
      </c>
      <c r="Z159">
        <v>3.1659999999999999</v>
      </c>
      <c r="AA159">
        <v>3.0830000000000002</v>
      </c>
      <c r="AB159">
        <v>3.0510000000000002</v>
      </c>
      <c r="AC159">
        <v>3.0449999999999999</v>
      </c>
      <c r="AD159" s="6">
        <v>2.9929999999999999</v>
      </c>
      <c r="AE159" s="6">
        <v>3.0019999999999998</v>
      </c>
      <c r="AF159">
        <v>3.081</v>
      </c>
      <c r="AG159" s="7">
        <v>45526</v>
      </c>
      <c r="AH159">
        <v>3.4</v>
      </c>
      <c r="AI159">
        <v>3.3290000000000002</v>
      </c>
      <c r="AJ159">
        <v>3.2970000000000002</v>
      </c>
      <c r="AK159">
        <v>3.2280000000000002</v>
      </c>
      <c r="AL159">
        <v>3.1859999999999999</v>
      </c>
      <c r="AM159" s="6">
        <v>3.0760000000000001</v>
      </c>
      <c r="AN159" s="6">
        <v>3.0680000000000001</v>
      </c>
      <c r="AO159">
        <v>3.09</v>
      </c>
      <c r="AP159" s="7">
        <v>45526</v>
      </c>
      <c r="AQ159">
        <v>3.4729999999999999</v>
      </c>
      <c r="AR159">
        <v>3.42</v>
      </c>
      <c r="AS159">
        <v>3.383</v>
      </c>
      <c r="AT159">
        <v>3.3570000000000002</v>
      </c>
      <c r="AU159">
        <v>3.391</v>
      </c>
      <c r="AV159" s="6">
        <v>3.4239999999999999</v>
      </c>
      <c r="AW159" s="6">
        <v>3.4540000000000002</v>
      </c>
      <c r="AX159">
        <v>3.5449999999999999</v>
      </c>
      <c r="AY159" s="7">
        <v>45526</v>
      </c>
      <c r="AZ159">
        <v>3.3889999999999998</v>
      </c>
      <c r="BA159">
        <v>3.3079999999999998</v>
      </c>
      <c r="BB159">
        <v>3.262</v>
      </c>
      <c r="BC159">
        <v>3.1779999999999999</v>
      </c>
      <c r="BD159">
        <v>3.1869999999999998</v>
      </c>
      <c r="BE159" s="6">
        <v>3.141</v>
      </c>
      <c r="BF159" s="6">
        <v>3.1429999999999998</v>
      </c>
      <c r="BG159">
        <v>3.1509999999999998</v>
      </c>
      <c r="BH159" s="7">
        <v>45526</v>
      </c>
      <c r="BI159">
        <v>3.3380000000000001</v>
      </c>
      <c r="BJ159">
        <v>3.2429999999999999</v>
      </c>
      <c r="BK159">
        <v>3.1850000000000001</v>
      </c>
      <c r="BL159">
        <v>3.1150000000000002</v>
      </c>
      <c r="BM159">
        <v>3.1219999999999999</v>
      </c>
      <c r="BN159" s="6">
        <v>3.0569999999999999</v>
      </c>
      <c r="BO159" s="6">
        <v>3.0579999999999998</v>
      </c>
      <c r="BP159">
        <v>3.0870000000000002</v>
      </c>
      <c r="BQ159" s="7">
        <v>45526</v>
      </c>
      <c r="BR159">
        <v>3.6269999999999998</v>
      </c>
      <c r="BS159">
        <v>3.5830000000000002</v>
      </c>
      <c r="BT159">
        <v>3.573</v>
      </c>
      <c r="BU159">
        <v>3.5249999999999999</v>
      </c>
      <c r="BV159">
        <v>3.5539999999999998</v>
      </c>
      <c r="BW159" s="6">
        <v>3.5209999999999999</v>
      </c>
      <c r="BX159" s="6">
        <v>3.5310000000000001</v>
      </c>
      <c r="BY159">
        <v>3.5529999999999999</v>
      </c>
      <c r="BZ159" s="7">
        <v>45526</v>
      </c>
      <c r="CA159">
        <v>3.3420000000000001</v>
      </c>
      <c r="CB159">
        <v>3.25</v>
      </c>
      <c r="CC159">
        <v>3.1640000000000001</v>
      </c>
      <c r="CD159">
        <v>3.141</v>
      </c>
      <c r="CE159">
        <v>3.137</v>
      </c>
      <c r="CF159" s="6">
        <v>3.109</v>
      </c>
      <c r="CG159" s="6">
        <v>3.1120000000000001</v>
      </c>
      <c r="CH159">
        <v>3.1379999999999999</v>
      </c>
    </row>
    <row r="160" spans="2:86">
      <c r="B160" s="7">
        <v>45525</v>
      </c>
      <c r="C160">
        <v>3.2050000000000001</v>
      </c>
      <c r="D160">
        <v>3.1059999999999999</v>
      </c>
      <c r="E160">
        <v>3.048</v>
      </c>
      <c r="F160">
        <v>3.0529999999999999</v>
      </c>
      <c r="G160">
        <v>3.0449999999999999</v>
      </c>
      <c r="H160">
        <v>2.94</v>
      </c>
      <c r="I160" s="6">
        <v>2.9689999999999999</v>
      </c>
      <c r="J160" s="6">
        <v>2.9609999999999999</v>
      </c>
      <c r="K160" s="6">
        <v>3.0089999999999999</v>
      </c>
      <c r="L160" s="6">
        <v>2.9969999999999999</v>
      </c>
      <c r="M160" s="6">
        <v>2.9969999999999999</v>
      </c>
      <c r="N160" s="6">
        <v>2.9049999999999998</v>
      </c>
      <c r="O160" s="7">
        <v>45525</v>
      </c>
      <c r="P160">
        <v>3.161</v>
      </c>
      <c r="Q160">
        <v>3.0840000000000001</v>
      </c>
      <c r="R160">
        <v>3.0110000000000001</v>
      </c>
      <c r="S160">
        <v>3.0459999999999998</v>
      </c>
      <c r="T160">
        <v>3.004</v>
      </c>
      <c r="U160" s="6">
        <v>3.01</v>
      </c>
      <c r="V160" s="6">
        <v>0</v>
      </c>
      <c r="W160">
        <v>0</v>
      </c>
      <c r="X160" s="7">
        <v>45525</v>
      </c>
      <c r="Y160">
        <v>3.2559999999999998</v>
      </c>
      <c r="Z160">
        <v>3.1659999999999999</v>
      </c>
      <c r="AA160">
        <v>3.085</v>
      </c>
      <c r="AB160">
        <v>3.0750000000000002</v>
      </c>
      <c r="AC160">
        <v>3.07</v>
      </c>
      <c r="AD160" s="6">
        <v>3.028</v>
      </c>
      <c r="AE160" s="6">
        <v>3.0350000000000001</v>
      </c>
      <c r="AF160">
        <v>3.0979999999999999</v>
      </c>
      <c r="AG160" s="7">
        <v>45525</v>
      </c>
      <c r="AH160">
        <v>3.403</v>
      </c>
      <c r="AI160">
        <v>3.3359999999999999</v>
      </c>
      <c r="AJ160">
        <v>3.298</v>
      </c>
      <c r="AK160">
        <v>3.258</v>
      </c>
      <c r="AL160">
        <v>3.2090000000000001</v>
      </c>
      <c r="AM160" s="6">
        <v>3.109</v>
      </c>
      <c r="AN160" s="6">
        <v>3.1</v>
      </c>
      <c r="AO160">
        <v>3.1150000000000002</v>
      </c>
      <c r="AP160" s="7">
        <v>45525</v>
      </c>
      <c r="AQ160">
        <v>3.4750000000000001</v>
      </c>
      <c r="AR160">
        <v>3.4180000000000001</v>
      </c>
      <c r="AS160">
        <v>3.3769999999999998</v>
      </c>
      <c r="AT160">
        <v>3.3959999999999999</v>
      </c>
      <c r="AU160">
        <v>3.4129999999999998</v>
      </c>
      <c r="AV160" s="6">
        <v>3.4580000000000002</v>
      </c>
      <c r="AW160" s="6">
        <v>3.4849999999999999</v>
      </c>
      <c r="AX160">
        <v>3.5710000000000002</v>
      </c>
      <c r="AY160" s="7">
        <v>45525</v>
      </c>
      <c r="AZ160">
        <v>3.39</v>
      </c>
      <c r="BA160">
        <v>3.3090000000000002</v>
      </c>
      <c r="BB160">
        <v>3.2589999999999999</v>
      </c>
      <c r="BC160">
        <v>3.2080000000000002</v>
      </c>
      <c r="BD160">
        <v>3.2109999999999999</v>
      </c>
      <c r="BE160" s="6">
        <v>3.1709999999999998</v>
      </c>
      <c r="BF160" s="6">
        <v>3.1709999999999998</v>
      </c>
      <c r="BG160">
        <v>3.1760000000000002</v>
      </c>
      <c r="BH160" s="7">
        <v>45525</v>
      </c>
      <c r="BI160">
        <v>3.339</v>
      </c>
      <c r="BJ160">
        <v>3.2440000000000002</v>
      </c>
      <c r="BK160">
        <v>3.1819999999999999</v>
      </c>
      <c r="BL160">
        <v>3.145</v>
      </c>
      <c r="BM160">
        <v>3.1459999999999999</v>
      </c>
      <c r="BN160" s="6">
        <v>3.0870000000000002</v>
      </c>
      <c r="BO160" s="6">
        <v>3.0859999999999999</v>
      </c>
      <c r="BP160">
        <v>3.1059999999999999</v>
      </c>
      <c r="BQ160" s="7">
        <v>45525</v>
      </c>
      <c r="BR160">
        <v>3.6280000000000001</v>
      </c>
      <c r="BS160">
        <v>3.5840000000000001</v>
      </c>
      <c r="BT160">
        <v>3.569</v>
      </c>
      <c r="BU160">
        <v>3.5550000000000002</v>
      </c>
      <c r="BV160">
        <v>3.5779999999999998</v>
      </c>
      <c r="BW160" s="6">
        <v>3.5510000000000002</v>
      </c>
      <c r="BX160" s="6">
        <v>3.5590000000000002</v>
      </c>
      <c r="BY160">
        <v>3.577</v>
      </c>
      <c r="BZ160" s="7">
        <v>45525</v>
      </c>
      <c r="CA160">
        <v>3.3420000000000001</v>
      </c>
      <c r="CB160">
        <v>3.25</v>
      </c>
      <c r="CC160">
        <v>3.1659999999999999</v>
      </c>
      <c r="CD160">
        <v>3.165</v>
      </c>
      <c r="CE160">
        <v>3.1619999999999999</v>
      </c>
      <c r="CF160" s="6">
        <v>3.1440000000000001</v>
      </c>
      <c r="CG160" s="6">
        <v>3.145</v>
      </c>
      <c r="CH160">
        <v>3.1549999999999998</v>
      </c>
    </row>
    <row r="161" spans="2:86">
      <c r="B161" s="7">
        <v>45524</v>
      </c>
      <c r="C161">
        <v>3.2050000000000001</v>
      </c>
      <c r="D161">
        <v>3.11</v>
      </c>
      <c r="E161">
        <v>3.0550000000000002</v>
      </c>
      <c r="F161">
        <v>3.0569999999999999</v>
      </c>
      <c r="G161">
        <v>3.0489999999999999</v>
      </c>
      <c r="H161">
        <v>2.9430000000000001</v>
      </c>
      <c r="I161" s="6">
        <v>2.97</v>
      </c>
      <c r="J161" s="6">
        <v>2.96</v>
      </c>
      <c r="K161" s="6">
        <v>3.0089999999999999</v>
      </c>
      <c r="L161" s="6">
        <v>3</v>
      </c>
      <c r="M161" s="6">
        <v>2.9950000000000001</v>
      </c>
      <c r="N161" s="6">
        <v>2.9</v>
      </c>
      <c r="O161" s="7">
        <v>45524</v>
      </c>
      <c r="P161">
        <v>3.1640000000000001</v>
      </c>
      <c r="Q161">
        <v>3.089</v>
      </c>
      <c r="R161">
        <v>3.0219999999999998</v>
      </c>
      <c r="S161">
        <v>3.0539999999999998</v>
      </c>
      <c r="T161">
        <v>3.0030000000000001</v>
      </c>
      <c r="U161" s="6">
        <v>3.012</v>
      </c>
      <c r="V161" s="6">
        <v>0</v>
      </c>
      <c r="W161">
        <v>0</v>
      </c>
      <c r="X161" s="7">
        <v>45524</v>
      </c>
      <c r="Y161">
        <v>3.2559999999999998</v>
      </c>
      <c r="Z161">
        <v>3.169</v>
      </c>
      <c r="AA161">
        <v>3.0910000000000002</v>
      </c>
      <c r="AB161">
        <v>3.0790000000000002</v>
      </c>
      <c r="AC161">
        <v>3.0739999999999998</v>
      </c>
      <c r="AD161" s="6">
        <v>3.0310000000000001</v>
      </c>
      <c r="AE161" s="6">
        <v>3.036</v>
      </c>
      <c r="AF161">
        <v>3.0870000000000002</v>
      </c>
      <c r="AG161" s="7">
        <v>45524</v>
      </c>
      <c r="AH161">
        <v>3.4</v>
      </c>
      <c r="AI161">
        <v>3.3340000000000001</v>
      </c>
      <c r="AJ161">
        <v>3.298</v>
      </c>
      <c r="AK161">
        <v>3.2570000000000001</v>
      </c>
      <c r="AL161">
        <v>3.206</v>
      </c>
      <c r="AM161" s="6">
        <v>3.1120000000000001</v>
      </c>
      <c r="AN161" s="6">
        <v>3.101</v>
      </c>
      <c r="AO161">
        <v>3.1139999999999999</v>
      </c>
      <c r="AP161" s="7">
        <v>45524</v>
      </c>
      <c r="AQ161">
        <v>3.468</v>
      </c>
      <c r="AR161">
        <v>3.4169999999999998</v>
      </c>
      <c r="AS161">
        <v>3.38</v>
      </c>
      <c r="AT161">
        <v>3.403</v>
      </c>
      <c r="AU161">
        <v>3.411</v>
      </c>
      <c r="AV161" s="6">
        <v>3.4620000000000002</v>
      </c>
      <c r="AW161" s="6">
        <v>3.4870000000000001</v>
      </c>
      <c r="AX161">
        <v>3.5710000000000002</v>
      </c>
      <c r="AY161" s="7">
        <v>45524</v>
      </c>
      <c r="AZ161">
        <v>3.3879999999999999</v>
      </c>
      <c r="BA161">
        <v>3.3109999999999999</v>
      </c>
      <c r="BB161">
        <v>3.266</v>
      </c>
      <c r="BC161">
        <v>3.2130000000000001</v>
      </c>
      <c r="BD161">
        <v>3.2090000000000001</v>
      </c>
      <c r="BE161" s="6">
        <v>3.1760000000000002</v>
      </c>
      <c r="BF161" s="6">
        <v>3.1720000000000002</v>
      </c>
      <c r="BG161">
        <v>3.1749999999999998</v>
      </c>
      <c r="BH161" s="7">
        <v>45524</v>
      </c>
      <c r="BI161">
        <v>3.3370000000000002</v>
      </c>
      <c r="BJ161">
        <v>3.246</v>
      </c>
      <c r="BK161">
        <v>3.1890000000000001</v>
      </c>
      <c r="BL161">
        <v>3.1509999999999998</v>
      </c>
      <c r="BM161">
        <v>3.1440000000000001</v>
      </c>
      <c r="BN161" s="6">
        <v>3.093</v>
      </c>
      <c r="BO161" s="6">
        <v>3.0870000000000002</v>
      </c>
      <c r="BP161">
        <v>3.1030000000000002</v>
      </c>
      <c r="BQ161" s="7">
        <v>45524</v>
      </c>
      <c r="BR161">
        <v>3.6259999999999999</v>
      </c>
      <c r="BS161">
        <v>3.5859999999999999</v>
      </c>
      <c r="BT161">
        <v>3.577</v>
      </c>
      <c r="BU161">
        <v>3.56</v>
      </c>
      <c r="BV161">
        <v>3.5760000000000001</v>
      </c>
      <c r="BW161" s="6">
        <v>3.5569999999999999</v>
      </c>
      <c r="BX161" s="6">
        <v>3.56</v>
      </c>
      <c r="BY161">
        <v>3.5760000000000001</v>
      </c>
      <c r="BZ161" s="7">
        <v>45524</v>
      </c>
      <c r="CA161">
        <v>3.3420000000000001</v>
      </c>
      <c r="CB161">
        <v>3.2530000000000001</v>
      </c>
      <c r="CC161">
        <v>3.173</v>
      </c>
      <c r="CD161">
        <v>3.169</v>
      </c>
      <c r="CE161">
        <v>3.1659999999999999</v>
      </c>
      <c r="CF161" s="6">
        <v>3.1469999999999998</v>
      </c>
      <c r="CG161" s="6">
        <v>3.1459999999999999</v>
      </c>
      <c r="CH161">
        <v>3.1440000000000001</v>
      </c>
    </row>
    <row r="162" spans="2:86">
      <c r="B162" s="7">
        <v>45523</v>
      </c>
      <c r="C162">
        <v>3.2029999999999998</v>
      </c>
      <c r="D162">
        <v>3.1080000000000001</v>
      </c>
      <c r="E162">
        <v>3.05</v>
      </c>
      <c r="F162">
        <v>3.0529999999999999</v>
      </c>
      <c r="G162">
        <v>3.032</v>
      </c>
      <c r="H162">
        <v>2.9220000000000002</v>
      </c>
      <c r="I162" s="6">
        <v>2.95</v>
      </c>
      <c r="J162" s="6">
        <v>2.9390000000000001</v>
      </c>
      <c r="K162" s="6">
        <v>2.9910000000000001</v>
      </c>
      <c r="L162" s="6">
        <v>2.9849999999999999</v>
      </c>
      <c r="M162" s="6">
        <v>2.9670000000000001</v>
      </c>
      <c r="N162" s="6">
        <v>2.8660000000000001</v>
      </c>
      <c r="O162" s="7">
        <v>45523</v>
      </c>
      <c r="P162">
        <v>3.1669999999999998</v>
      </c>
      <c r="Q162">
        <v>3.0920000000000001</v>
      </c>
      <c r="R162">
        <v>3.0219999999999998</v>
      </c>
      <c r="S162">
        <v>3.0449999999999999</v>
      </c>
      <c r="T162">
        <v>2.99</v>
      </c>
      <c r="U162" s="6">
        <v>2.996</v>
      </c>
      <c r="V162" s="6">
        <v>0</v>
      </c>
      <c r="W162">
        <v>0</v>
      </c>
      <c r="X162" s="7">
        <v>45523</v>
      </c>
      <c r="Y162">
        <v>3.254</v>
      </c>
      <c r="Z162">
        <v>3.1669999999999998</v>
      </c>
      <c r="AA162">
        <v>3.089</v>
      </c>
      <c r="AB162">
        <v>3.073</v>
      </c>
      <c r="AC162">
        <v>3.0569999999999999</v>
      </c>
      <c r="AD162" s="6">
        <v>3.01</v>
      </c>
      <c r="AE162" s="6">
        <v>3.016</v>
      </c>
      <c r="AF162">
        <v>3.0590000000000002</v>
      </c>
      <c r="AG162" s="7">
        <v>45523</v>
      </c>
      <c r="AH162">
        <v>3.3959999999999999</v>
      </c>
      <c r="AI162">
        <v>3.3279999999999998</v>
      </c>
      <c r="AJ162">
        <v>3.2890000000000001</v>
      </c>
      <c r="AK162">
        <v>3.2440000000000002</v>
      </c>
      <c r="AL162">
        <v>3.1909999999999998</v>
      </c>
      <c r="AM162" s="6">
        <v>3.093</v>
      </c>
      <c r="AN162" s="6">
        <v>3.081</v>
      </c>
      <c r="AO162">
        <v>3.093</v>
      </c>
      <c r="AP162" s="7">
        <v>45523</v>
      </c>
      <c r="AQ162">
        <v>3.452</v>
      </c>
      <c r="AR162">
        <v>3.403</v>
      </c>
      <c r="AS162">
        <v>3.3650000000000002</v>
      </c>
      <c r="AT162">
        <v>3.391</v>
      </c>
      <c r="AU162">
        <v>3.3919999999999999</v>
      </c>
      <c r="AV162" s="6">
        <v>3.4359999999999999</v>
      </c>
      <c r="AW162" s="6">
        <v>3.4620000000000002</v>
      </c>
      <c r="AX162">
        <v>3.5449999999999999</v>
      </c>
      <c r="AY162" s="7">
        <v>45523</v>
      </c>
      <c r="AZ162">
        <v>3.379</v>
      </c>
      <c r="BA162">
        <v>3.3069999999999999</v>
      </c>
      <c r="BB162">
        <v>3.2639999999999998</v>
      </c>
      <c r="BC162">
        <v>3.2050000000000001</v>
      </c>
      <c r="BD162">
        <v>3.1949999999999998</v>
      </c>
      <c r="BE162" s="6">
        <v>3.1589999999999998</v>
      </c>
      <c r="BF162" s="6">
        <v>3.1539999999999999</v>
      </c>
      <c r="BG162">
        <v>3.1549999999999998</v>
      </c>
      <c r="BH162" s="7">
        <v>45523</v>
      </c>
      <c r="BI162">
        <v>3.3319999999999999</v>
      </c>
      <c r="BJ162">
        <v>3.242</v>
      </c>
      <c r="BK162">
        <v>3.1880000000000002</v>
      </c>
      <c r="BL162">
        <v>3.1429999999999998</v>
      </c>
      <c r="BM162">
        <v>3.13</v>
      </c>
      <c r="BN162" s="6">
        <v>3.0750000000000002</v>
      </c>
      <c r="BO162" s="6">
        <v>3.07</v>
      </c>
      <c r="BP162">
        <v>3.085</v>
      </c>
      <c r="BQ162" s="7">
        <v>45523</v>
      </c>
      <c r="BR162">
        <v>3.617</v>
      </c>
      <c r="BS162">
        <v>3.5819999999999999</v>
      </c>
      <c r="BT162">
        <v>3.5750000000000002</v>
      </c>
      <c r="BU162">
        <v>3.552</v>
      </c>
      <c r="BV162">
        <v>3.5619999999999998</v>
      </c>
      <c r="BW162" s="6">
        <v>3.5390000000000001</v>
      </c>
      <c r="BX162" s="6">
        <v>3.5419999999999998</v>
      </c>
      <c r="BY162">
        <v>3.556</v>
      </c>
      <c r="BZ162" s="7">
        <v>45523</v>
      </c>
      <c r="CA162">
        <v>3.3410000000000002</v>
      </c>
      <c r="CB162">
        <v>3.2519999999999998</v>
      </c>
      <c r="CC162">
        <v>3.17</v>
      </c>
      <c r="CD162">
        <v>3.1629999999999998</v>
      </c>
      <c r="CE162">
        <v>3.149</v>
      </c>
      <c r="CF162" s="6">
        <v>3.1259999999999999</v>
      </c>
      <c r="CG162" s="6">
        <v>3.1259999999999999</v>
      </c>
      <c r="CH162">
        <v>3.1150000000000002</v>
      </c>
    </row>
    <row r="163" spans="2:86">
      <c r="B163" s="7">
        <v>45520</v>
      </c>
      <c r="C163">
        <v>3.2029999999999998</v>
      </c>
      <c r="D163">
        <v>3.1120000000000001</v>
      </c>
      <c r="E163">
        <v>3.052</v>
      </c>
      <c r="F163">
        <v>3.0550000000000002</v>
      </c>
      <c r="G163">
        <v>3.03</v>
      </c>
      <c r="H163">
        <v>2.9220000000000002</v>
      </c>
      <c r="I163" s="6">
        <v>2.9430000000000001</v>
      </c>
      <c r="J163" s="6">
        <v>2.93</v>
      </c>
      <c r="K163" s="6">
        <v>2.9809999999999999</v>
      </c>
      <c r="L163" s="6">
        <v>2.9750000000000001</v>
      </c>
      <c r="M163" s="6">
        <v>2.952</v>
      </c>
      <c r="N163" s="6">
        <v>2.8519999999999999</v>
      </c>
      <c r="O163" s="7">
        <v>45520</v>
      </c>
      <c r="P163">
        <v>3.169</v>
      </c>
      <c r="Q163">
        <v>3.097</v>
      </c>
      <c r="R163">
        <v>3.0249999999999999</v>
      </c>
      <c r="S163">
        <v>3.0430000000000001</v>
      </c>
      <c r="T163">
        <v>2.9870000000000001</v>
      </c>
      <c r="U163" s="6">
        <v>2.9940000000000002</v>
      </c>
      <c r="V163" s="6">
        <v>0</v>
      </c>
      <c r="W163">
        <v>0</v>
      </c>
      <c r="X163" s="7">
        <v>45520</v>
      </c>
      <c r="Y163">
        <v>3.254</v>
      </c>
      <c r="Z163">
        <v>3.1720000000000002</v>
      </c>
      <c r="AA163">
        <v>3.089</v>
      </c>
      <c r="AB163">
        <v>3.077</v>
      </c>
      <c r="AC163">
        <v>3.0539999999999998</v>
      </c>
      <c r="AD163" s="6">
        <v>3.01</v>
      </c>
      <c r="AE163" s="6">
        <v>3.0110000000000001</v>
      </c>
      <c r="AF163">
        <v>3.052</v>
      </c>
      <c r="AG163" s="7">
        <v>45520</v>
      </c>
      <c r="AH163">
        <v>3.3929999999999998</v>
      </c>
      <c r="AI163">
        <v>3.323</v>
      </c>
      <c r="AJ163">
        <v>3.2839999999999998</v>
      </c>
      <c r="AK163">
        <v>3.2360000000000002</v>
      </c>
      <c r="AL163">
        <v>3.1850000000000001</v>
      </c>
      <c r="AM163" s="6">
        <v>3.093</v>
      </c>
      <c r="AN163" s="6">
        <v>3.0739999999999998</v>
      </c>
      <c r="AO163">
        <v>3.0870000000000002</v>
      </c>
      <c r="AP163" s="7">
        <v>45520</v>
      </c>
      <c r="AQ163">
        <v>3.444</v>
      </c>
      <c r="AR163">
        <v>3.3929999999999998</v>
      </c>
      <c r="AS163">
        <v>3.3570000000000002</v>
      </c>
      <c r="AT163">
        <v>3.3820000000000001</v>
      </c>
      <c r="AU163">
        <v>3.3820000000000001</v>
      </c>
      <c r="AV163" s="6">
        <v>3.4279999999999999</v>
      </c>
      <c r="AW163" s="6">
        <v>3.45</v>
      </c>
      <c r="AX163">
        <v>3.5310000000000001</v>
      </c>
      <c r="AY163" s="7">
        <v>45520</v>
      </c>
      <c r="AZ163">
        <v>3.3610000000000002</v>
      </c>
      <c r="BA163">
        <v>3.298</v>
      </c>
      <c r="BB163">
        <v>3.2589999999999999</v>
      </c>
      <c r="BC163">
        <v>3.1970000000000001</v>
      </c>
      <c r="BD163">
        <v>3.1859999999999999</v>
      </c>
      <c r="BE163" s="6">
        <v>3.1539999999999999</v>
      </c>
      <c r="BF163" s="6">
        <v>3.1459999999999999</v>
      </c>
      <c r="BG163">
        <v>3.1459999999999999</v>
      </c>
      <c r="BH163" s="7">
        <v>45520</v>
      </c>
      <c r="BI163">
        <v>3.3130000000000002</v>
      </c>
      <c r="BJ163">
        <v>3.2330000000000001</v>
      </c>
      <c r="BK163">
        <v>3.1819999999999999</v>
      </c>
      <c r="BL163">
        <v>3.1349999999999998</v>
      </c>
      <c r="BM163">
        <v>3.121</v>
      </c>
      <c r="BN163" s="6">
        <v>3.07</v>
      </c>
      <c r="BO163" s="6">
        <v>3.0619999999999998</v>
      </c>
      <c r="BP163">
        <v>3.0760000000000001</v>
      </c>
      <c r="BQ163" s="7">
        <v>45520</v>
      </c>
      <c r="BR163">
        <v>3.5990000000000002</v>
      </c>
      <c r="BS163">
        <v>3.5739999999999998</v>
      </c>
      <c r="BT163">
        <v>3.569</v>
      </c>
      <c r="BU163">
        <v>3.544</v>
      </c>
      <c r="BV163">
        <v>3.5529999999999999</v>
      </c>
      <c r="BW163" s="6">
        <v>3.5339999999999998</v>
      </c>
      <c r="BX163" s="6">
        <v>3.5339999999999998</v>
      </c>
      <c r="BY163">
        <v>3.548</v>
      </c>
      <c r="BZ163" s="7">
        <v>45520</v>
      </c>
      <c r="CA163">
        <v>3.3410000000000002</v>
      </c>
      <c r="CB163">
        <v>3.2559999999999998</v>
      </c>
      <c r="CC163">
        <v>3.17</v>
      </c>
      <c r="CD163">
        <v>3.1680000000000001</v>
      </c>
      <c r="CE163">
        <v>3.1469999999999998</v>
      </c>
      <c r="CF163" s="6">
        <v>3.1259999999999999</v>
      </c>
      <c r="CG163" s="6">
        <v>3.121</v>
      </c>
      <c r="CH163">
        <v>3.109</v>
      </c>
    </row>
    <row r="164" spans="2:86">
      <c r="B164" s="7">
        <v>45518</v>
      </c>
      <c r="C164">
        <v>3.2029999999999998</v>
      </c>
      <c r="D164">
        <v>3.1110000000000002</v>
      </c>
      <c r="E164">
        <v>3.0449999999999999</v>
      </c>
      <c r="F164">
        <v>3.0350000000000001</v>
      </c>
      <c r="G164">
        <v>3.0009999999999999</v>
      </c>
      <c r="H164">
        <v>2.887</v>
      </c>
      <c r="I164" s="6">
        <v>2.915</v>
      </c>
      <c r="J164" s="6">
        <v>2.8980000000000001</v>
      </c>
      <c r="K164" s="6">
        <v>2.9489999999999998</v>
      </c>
      <c r="L164" s="6">
        <v>2.94</v>
      </c>
      <c r="M164" s="6">
        <v>2.93</v>
      </c>
      <c r="N164" s="6">
        <v>2.83</v>
      </c>
      <c r="O164" s="7">
        <v>45518</v>
      </c>
      <c r="P164">
        <v>3.1669999999999998</v>
      </c>
      <c r="Q164">
        <v>3.0939999999999999</v>
      </c>
      <c r="R164">
        <v>3.02</v>
      </c>
      <c r="S164">
        <v>3.01</v>
      </c>
      <c r="T164">
        <v>2.9529999999999998</v>
      </c>
      <c r="U164" s="6">
        <v>2.9590000000000001</v>
      </c>
      <c r="V164" s="6">
        <v>0</v>
      </c>
      <c r="W164">
        <v>0</v>
      </c>
      <c r="X164" s="7">
        <v>45518</v>
      </c>
      <c r="Y164">
        <v>3.254</v>
      </c>
      <c r="Z164">
        <v>3.1709999999999998</v>
      </c>
      <c r="AA164">
        <v>3.081</v>
      </c>
      <c r="AB164">
        <v>3.0550000000000002</v>
      </c>
      <c r="AC164">
        <v>3.024</v>
      </c>
      <c r="AD164" s="6">
        <v>2.9750000000000001</v>
      </c>
      <c r="AE164" s="6">
        <v>2.9809999999999999</v>
      </c>
      <c r="AF164">
        <v>3.016</v>
      </c>
      <c r="AG164" s="7">
        <v>45518</v>
      </c>
      <c r="AH164">
        <v>3.3809999999999998</v>
      </c>
      <c r="AI164">
        <v>3.3039999999999998</v>
      </c>
      <c r="AJ164">
        <v>3.2629999999999999</v>
      </c>
      <c r="AK164">
        <v>3.1949999999999998</v>
      </c>
      <c r="AL164">
        <v>3.141</v>
      </c>
      <c r="AM164" s="6">
        <v>3.0550000000000002</v>
      </c>
      <c r="AN164" s="6">
        <v>3.044</v>
      </c>
      <c r="AO164">
        <v>3.0529999999999999</v>
      </c>
      <c r="AP164" s="7">
        <v>45518</v>
      </c>
      <c r="AQ164">
        <v>3.4359999999999999</v>
      </c>
      <c r="AR164">
        <v>3.379</v>
      </c>
      <c r="AS164">
        <v>3.3410000000000002</v>
      </c>
      <c r="AT164">
        <v>3.351</v>
      </c>
      <c r="AU164">
        <v>3.3490000000000002</v>
      </c>
      <c r="AV164" s="6">
        <v>3.3889999999999998</v>
      </c>
      <c r="AW164" s="6">
        <v>3.4169999999999998</v>
      </c>
      <c r="AX164">
        <v>3.4950000000000001</v>
      </c>
      <c r="AY164" s="7">
        <v>45518</v>
      </c>
      <c r="AZ164">
        <v>3.3479999999999999</v>
      </c>
      <c r="BA164">
        <v>3.2829999999999999</v>
      </c>
      <c r="BB164">
        <v>3.246</v>
      </c>
      <c r="BC164">
        <v>3.16</v>
      </c>
      <c r="BD164">
        <v>3.1440000000000001</v>
      </c>
      <c r="BE164" s="6">
        <v>3.109</v>
      </c>
      <c r="BF164" s="6">
        <v>3.1120000000000001</v>
      </c>
      <c r="BG164">
        <v>3.1139999999999999</v>
      </c>
      <c r="BH164" s="7">
        <v>45518</v>
      </c>
      <c r="BI164">
        <v>3.3029999999999999</v>
      </c>
      <c r="BJ164">
        <v>3.222</v>
      </c>
      <c r="BK164">
        <v>3.169</v>
      </c>
      <c r="BL164">
        <v>3.0979999999999999</v>
      </c>
      <c r="BM164">
        <v>3.081</v>
      </c>
      <c r="BN164" s="6">
        <v>3.03</v>
      </c>
      <c r="BO164" s="6">
        <v>3.028</v>
      </c>
      <c r="BP164">
        <v>3.044</v>
      </c>
      <c r="BQ164" s="7">
        <v>45518</v>
      </c>
      <c r="BR164">
        <v>3.5859999999999999</v>
      </c>
      <c r="BS164">
        <v>3.5590000000000002</v>
      </c>
      <c r="BT164">
        <v>3.5569999999999999</v>
      </c>
      <c r="BU164">
        <v>3.5070000000000001</v>
      </c>
      <c r="BV164">
        <v>3.5110000000000001</v>
      </c>
      <c r="BW164" s="6">
        <v>3.49</v>
      </c>
      <c r="BX164" s="6">
        <v>3.5</v>
      </c>
      <c r="BY164">
        <v>3.516</v>
      </c>
      <c r="BZ164" s="7">
        <v>45518</v>
      </c>
      <c r="CA164">
        <v>3.3410000000000002</v>
      </c>
      <c r="CB164">
        <v>3.2549999999999999</v>
      </c>
      <c r="CC164">
        <v>3.1629999999999998</v>
      </c>
      <c r="CD164">
        <v>3.145</v>
      </c>
      <c r="CE164">
        <v>3.117</v>
      </c>
      <c r="CF164" s="6">
        <v>3.0920000000000001</v>
      </c>
      <c r="CG164" s="6">
        <v>3.0939999999999999</v>
      </c>
      <c r="CH164">
        <v>3.0760000000000001</v>
      </c>
    </row>
    <row r="165" spans="2:86">
      <c r="B165" s="7">
        <v>45517</v>
      </c>
      <c r="C165">
        <v>3.206</v>
      </c>
      <c r="D165">
        <v>3.1160000000000001</v>
      </c>
      <c r="E165">
        <v>3.0550000000000002</v>
      </c>
      <c r="F165">
        <v>3.048</v>
      </c>
      <c r="G165">
        <v>3.02</v>
      </c>
      <c r="H165">
        <v>2.915</v>
      </c>
      <c r="I165" s="6">
        <v>2.9449999999999998</v>
      </c>
      <c r="J165" s="6">
        <v>2.93</v>
      </c>
      <c r="K165" s="6">
        <v>2.98</v>
      </c>
      <c r="L165" s="6">
        <v>2.9750000000000001</v>
      </c>
      <c r="M165" s="6">
        <v>2.9620000000000002</v>
      </c>
      <c r="N165" s="6">
        <v>2.8719999999999999</v>
      </c>
      <c r="O165" s="7">
        <v>45517</v>
      </c>
      <c r="P165">
        <v>3.177</v>
      </c>
      <c r="Q165">
        <v>3.1059999999999999</v>
      </c>
      <c r="R165">
        <v>3.03</v>
      </c>
      <c r="S165">
        <v>3.0249999999999999</v>
      </c>
      <c r="T165">
        <v>2.9710000000000001</v>
      </c>
      <c r="U165" s="6">
        <v>2.988</v>
      </c>
      <c r="V165" s="6">
        <v>0</v>
      </c>
      <c r="W165">
        <v>0</v>
      </c>
      <c r="X165" s="7">
        <v>45517</v>
      </c>
      <c r="Y165">
        <v>3.2570000000000001</v>
      </c>
      <c r="Z165">
        <v>3.177</v>
      </c>
      <c r="AA165">
        <v>3.0910000000000002</v>
      </c>
      <c r="AB165">
        <v>3.0659999999999998</v>
      </c>
      <c r="AC165">
        <v>3.0430000000000001</v>
      </c>
      <c r="AD165" s="6">
        <v>3.0030000000000001</v>
      </c>
      <c r="AE165" s="6">
        <v>3.0110000000000001</v>
      </c>
      <c r="AF165">
        <v>3.044</v>
      </c>
      <c r="AG165" s="7">
        <v>45517</v>
      </c>
      <c r="AH165">
        <v>3.3780000000000001</v>
      </c>
      <c r="AI165">
        <v>3.3039999999999998</v>
      </c>
      <c r="AJ165">
        <v>3.2589999999999999</v>
      </c>
      <c r="AK165">
        <v>3.1930000000000001</v>
      </c>
      <c r="AL165">
        <v>3.141</v>
      </c>
      <c r="AM165" s="6">
        <v>3.07</v>
      </c>
      <c r="AN165" s="6">
        <v>3.0659999999999998</v>
      </c>
      <c r="AO165">
        <v>3.0779999999999998</v>
      </c>
      <c r="AP165" s="7">
        <v>45517</v>
      </c>
      <c r="AQ165">
        <v>3.4390000000000001</v>
      </c>
      <c r="AR165">
        <v>3.3879999999999999</v>
      </c>
      <c r="AS165">
        <v>3.3490000000000002</v>
      </c>
      <c r="AT165">
        <v>3.3610000000000002</v>
      </c>
      <c r="AU165">
        <v>3.3660000000000001</v>
      </c>
      <c r="AV165" s="6">
        <v>3.4039999999999999</v>
      </c>
      <c r="AW165" s="6">
        <v>3.4369999999999998</v>
      </c>
      <c r="AX165">
        <v>3.5169999999999999</v>
      </c>
      <c r="AY165" s="7">
        <v>45517</v>
      </c>
      <c r="AZ165">
        <v>3.3479999999999999</v>
      </c>
      <c r="BA165">
        <v>3.2839999999999998</v>
      </c>
      <c r="BB165">
        <v>3.2429999999999999</v>
      </c>
      <c r="BC165">
        <v>3.161</v>
      </c>
      <c r="BD165">
        <v>3.1429999999999998</v>
      </c>
      <c r="BE165" s="6">
        <v>3.1269999999999998</v>
      </c>
      <c r="BF165" s="6">
        <v>3.1360000000000001</v>
      </c>
      <c r="BG165">
        <v>3.1389999999999998</v>
      </c>
      <c r="BH165" s="7">
        <v>45517</v>
      </c>
      <c r="BI165">
        <v>3.3029999999999999</v>
      </c>
      <c r="BJ165">
        <v>3.222</v>
      </c>
      <c r="BK165">
        <v>3.1659999999999999</v>
      </c>
      <c r="BL165">
        <v>3.0990000000000002</v>
      </c>
      <c r="BM165">
        <v>3.08</v>
      </c>
      <c r="BN165" s="6">
        <v>3.0489999999999999</v>
      </c>
      <c r="BO165" s="6">
        <v>3.0510000000000002</v>
      </c>
      <c r="BP165">
        <v>3.069</v>
      </c>
      <c r="BQ165" s="7">
        <v>45517</v>
      </c>
      <c r="BR165">
        <v>3.5840000000000001</v>
      </c>
      <c r="BS165">
        <v>3.5579999999999998</v>
      </c>
      <c r="BT165">
        <v>3.552</v>
      </c>
      <c r="BU165">
        <v>3.5059999999999998</v>
      </c>
      <c r="BV165">
        <v>3.508</v>
      </c>
      <c r="BW165" s="6">
        <v>3.5059999999999998</v>
      </c>
      <c r="BX165" s="6">
        <v>3.5219999999999998</v>
      </c>
      <c r="BY165">
        <v>3.5379999999999998</v>
      </c>
      <c r="BZ165" s="7">
        <v>45517</v>
      </c>
      <c r="CA165">
        <v>3.3439999999999999</v>
      </c>
      <c r="CB165">
        <v>3.262</v>
      </c>
      <c r="CC165">
        <v>3.173</v>
      </c>
      <c r="CD165">
        <v>3.157</v>
      </c>
      <c r="CE165">
        <v>3.1349999999999998</v>
      </c>
      <c r="CF165" s="6">
        <v>3.1190000000000002</v>
      </c>
      <c r="CG165" s="6">
        <v>3.1219999999999999</v>
      </c>
      <c r="CH165">
        <v>3.1040000000000001</v>
      </c>
    </row>
    <row r="166" spans="2:86">
      <c r="B166" s="7">
        <v>45516</v>
      </c>
      <c r="C166">
        <v>3.2160000000000002</v>
      </c>
      <c r="D166">
        <v>3.13</v>
      </c>
      <c r="E166">
        <v>3.08</v>
      </c>
      <c r="F166">
        <v>3.06</v>
      </c>
      <c r="G166">
        <v>3.0350000000000001</v>
      </c>
      <c r="H166">
        <v>2.9449999999999998</v>
      </c>
      <c r="I166" s="6">
        <v>2.9729999999999999</v>
      </c>
      <c r="J166" s="6">
        <v>2.9590000000000001</v>
      </c>
      <c r="K166" s="6">
        <v>3.01</v>
      </c>
      <c r="L166" s="6">
        <v>3.0019999999999998</v>
      </c>
      <c r="M166" s="6">
        <v>2.99</v>
      </c>
      <c r="N166" s="6">
        <v>2.9</v>
      </c>
      <c r="O166" s="7">
        <v>45516</v>
      </c>
      <c r="P166">
        <v>3.1880000000000002</v>
      </c>
      <c r="Q166">
        <v>3.121</v>
      </c>
      <c r="R166">
        <v>3.044</v>
      </c>
      <c r="S166">
        <v>3.0459999999999998</v>
      </c>
      <c r="T166">
        <v>2.9969999999999999</v>
      </c>
      <c r="U166" s="6">
        <v>3.01</v>
      </c>
      <c r="V166" s="6">
        <v>0</v>
      </c>
      <c r="W166">
        <v>0</v>
      </c>
      <c r="X166" s="7">
        <v>45516</v>
      </c>
      <c r="Y166">
        <v>3.2639999999999998</v>
      </c>
      <c r="Z166">
        <v>3.1869999999999998</v>
      </c>
      <c r="AA166">
        <v>3.1139999999999999</v>
      </c>
      <c r="AB166">
        <v>3.0790000000000002</v>
      </c>
      <c r="AC166">
        <v>3.0579999999999998</v>
      </c>
      <c r="AD166" s="6">
        <v>3.028</v>
      </c>
      <c r="AE166" s="6">
        <v>3.0390000000000001</v>
      </c>
      <c r="AF166">
        <v>3.073</v>
      </c>
      <c r="AG166" s="7">
        <v>45516</v>
      </c>
      <c r="AH166">
        <v>3.3780000000000001</v>
      </c>
      <c r="AI166">
        <v>3.3039999999999998</v>
      </c>
      <c r="AJ166">
        <v>3.2589999999999999</v>
      </c>
      <c r="AK166">
        <v>3.198</v>
      </c>
      <c r="AL166">
        <v>3.149</v>
      </c>
      <c r="AM166" s="6">
        <v>3.089</v>
      </c>
      <c r="AN166" s="6">
        <v>3.0880000000000001</v>
      </c>
      <c r="AO166">
        <v>3.1</v>
      </c>
      <c r="AP166" s="7">
        <v>45516</v>
      </c>
      <c r="AQ166">
        <v>3.4359999999999999</v>
      </c>
      <c r="AR166">
        <v>3.3929999999999998</v>
      </c>
      <c r="AS166">
        <v>3.3530000000000002</v>
      </c>
      <c r="AT166">
        <v>3.3679999999999999</v>
      </c>
      <c r="AU166">
        <v>3.3809999999999998</v>
      </c>
      <c r="AV166" s="6">
        <v>3.4260000000000002</v>
      </c>
      <c r="AW166" s="6">
        <v>3.456</v>
      </c>
      <c r="AX166">
        <v>3.5369999999999999</v>
      </c>
      <c r="AY166" s="7">
        <v>45516</v>
      </c>
      <c r="AZ166">
        <v>3.3479999999999999</v>
      </c>
      <c r="BA166">
        <v>3.2869999999999999</v>
      </c>
      <c r="BB166">
        <v>3.2440000000000002</v>
      </c>
      <c r="BC166">
        <v>3.1709999999999998</v>
      </c>
      <c r="BD166">
        <v>3.1539999999999999</v>
      </c>
      <c r="BE166" s="6">
        <v>3.145</v>
      </c>
      <c r="BF166" s="6">
        <v>3.1539999999999999</v>
      </c>
      <c r="BG166">
        <v>3.1539999999999999</v>
      </c>
      <c r="BH166" s="7">
        <v>45516</v>
      </c>
      <c r="BI166">
        <v>3.3039999999999998</v>
      </c>
      <c r="BJ166">
        <v>3.226</v>
      </c>
      <c r="BK166">
        <v>3.1680000000000001</v>
      </c>
      <c r="BL166">
        <v>3.109</v>
      </c>
      <c r="BM166">
        <v>3.0910000000000002</v>
      </c>
      <c r="BN166" s="6">
        <v>3.0680000000000001</v>
      </c>
      <c r="BO166" s="6">
        <v>3.073</v>
      </c>
      <c r="BP166">
        <v>3.0880000000000001</v>
      </c>
      <c r="BQ166" s="7">
        <v>45516</v>
      </c>
      <c r="BR166">
        <v>3.5830000000000002</v>
      </c>
      <c r="BS166">
        <v>3.5590000000000002</v>
      </c>
      <c r="BT166">
        <v>3.552</v>
      </c>
      <c r="BU166">
        <v>3.5150000000000001</v>
      </c>
      <c r="BV166">
        <v>3.5169999999999999</v>
      </c>
      <c r="BW166" s="6">
        <v>3.524</v>
      </c>
      <c r="BX166" s="6">
        <v>3.54</v>
      </c>
      <c r="BY166">
        <v>3.5539999999999998</v>
      </c>
      <c r="BZ166" s="7">
        <v>45516</v>
      </c>
      <c r="CA166">
        <v>3.351</v>
      </c>
      <c r="CB166">
        <v>3.2709999999999999</v>
      </c>
      <c r="CC166">
        <v>3.1949999999999998</v>
      </c>
      <c r="CD166">
        <v>3.17</v>
      </c>
      <c r="CE166">
        <v>3.15</v>
      </c>
      <c r="CF166" s="6">
        <v>3.1440000000000001</v>
      </c>
      <c r="CG166" s="6">
        <v>3.1480000000000001</v>
      </c>
      <c r="CH166">
        <v>3.1309999999999998</v>
      </c>
    </row>
    <row r="167" spans="2:86">
      <c r="B167" s="7">
        <v>45513</v>
      </c>
      <c r="C167">
        <v>3.2160000000000002</v>
      </c>
      <c r="D167">
        <v>3.13</v>
      </c>
      <c r="E167">
        <v>3.08</v>
      </c>
      <c r="F167">
        <v>3.0579999999999998</v>
      </c>
      <c r="G167">
        <v>3.0310000000000001</v>
      </c>
      <c r="H167">
        <v>2.94</v>
      </c>
      <c r="I167" s="6">
        <v>2.97</v>
      </c>
      <c r="J167" s="6">
        <v>2.9569999999999999</v>
      </c>
      <c r="K167" s="6">
        <v>3.0129999999999999</v>
      </c>
      <c r="L167" s="6">
        <v>3.012</v>
      </c>
      <c r="M167" s="6">
        <v>3</v>
      </c>
      <c r="N167" s="6">
        <v>2.91</v>
      </c>
      <c r="O167" s="7">
        <v>45513</v>
      </c>
      <c r="P167">
        <v>3.1880000000000002</v>
      </c>
      <c r="Q167">
        <v>3.121</v>
      </c>
      <c r="R167">
        <v>3.0470000000000002</v>
      </c>
      <c r="S167">
        <v>3.05</v>
      </c>
      <c r="T167">
        <v>2.99</v>
      </c>
      <c r="U167" s="6">
        <v>3.0049999999999999</v>
      </c>
      <c r="V167" s="6">
        <v>0</v>
      </c>
      <c r="W167">
        <v>0</v>
      </c>
      <c r="X167" s="7">
        <v>45513</v>
      </c>
      <c r="Y167">
        <v>3.2639999999999998</v>
      </c>
      <c r="Z167">
        <v>3.1859999999999999</v>
      </c>
      <c r="AA167">
        <v>3.1139999999999999</v>
      </c>
      <c r="AB167">
        <v>3.0760000000000001</v>
      </c>
      <c r="AC167">
        <v>3.0529999999999999</v>
      </c>
      <c r="AD167" s="6">
        <v>3.0230000000000001</v>
      </c>
      <c r="AE167" s="6">
        <v>3.0369999999999999</v>
      </c>
      <c r="AF167">
        <v>3.0670000000000002</v>
      </c>
      <c r="AG167" s="7">
        <v>45513</v>
      </c>
      <c r="AH167">
        <v>3.3690000000000002</v>
      </c>
      <c r="AI167">
        <v>3.298</v>
      </c>
      <c r="AJ167">
        <v>3.2530000000000001</v>
      </c>
      <c r="AK167">
        <v>3.1920000000000002</v>
      </c>
      <c r="AL167">
        <v>3.1419999999999999</v>
      </c>
      <c r="AM167" s="6">
        <v>3.0840000000000001</v>
      </c>
      <c r="AN167" s="6">
        <v>3.0840000000000001</v>
      </c>
      <c r="AO167">
        <v>3.0990000000000002</v>
      </c>
      <c r="AP167" s="7">
        <v>45513</v>
      </c>
      <c r="AQ167">
        <v>3.4350000000000001</v>
      </c>
      <c r="AR167">
        <v>3.391</v>
      </c>
      <c r="AS167">
        <v>3.3519999999999999</v>
      </c>
      <c r="AT167">
        <v>3.371</v>
      </c>
      <c r="AU167">
        <v>3.3719999999999999</v>
      </c>
      <c r="AV167" s="6">
        <v>3.4180000000000001</v>
      </c>
      <c r="AW167" s="6">
        <v>3.4489999999999998</v>
      </c>
      <c r="AX167">
        <v>3.5339999999999998</v>
      </c>
      <c r="AY167" s="7">
        <v>45513</v>
      </c>
      <c r="AZ167">
        <v>3.3420000000000001</v>
      </c>
      <c r="BA167">
        <v>3.2810000000000001</v>
      </c>
      <c r="BB167">
        <v>3.238</v>
      </c>
      <c r="BC167">
        <v>3.1680000000000001</v>
      </c>
      <c r="BD167">
        <v>3.1429999999999998</v>
      </c>
      <c r="BE167" s="6">
        <v>3.1389999999999998</v>
      </c>
      <c r="BF167" s="6">
        <v>3.15</v>
      </c>
      <c r="BG167">
        <v>3.1520000000000001</v>
      </c>
      <c r="BH167" s="7">
        <v>45513</v>
      </c>
      <c r="BI167">
        <v>3.2989999999999999</v>
      </c>
      <c r="BJ167">
        <v>3.2210000000000001</v>
      </c>
      <c r="BK167">
        <v>3.1640000000000001</v>
      </c>
      <c r="BL167">
        <v>3.109</v>
      </c>
      <c r="BM167">
        <v>3.0840000000000001</v>
      </c>
      <c r="BN167" s="6">
        <v>3.0630000000000002</v>
      </c>
      <c r="BO167" s="6">
        <v>3.0710000000000002</v>
      </c>
      <c r="BP167">
        <v>3.0870000000000002</v>
      </c>
      <c r="BQ167" s="7">
        <v>45513</v>
      </c>
      <c r="BR167">
        <v>3.5760000000000001</v>
      </c>
      <c r="BS167">
        <v>3.5529999999999999</v>
      </c>
      <c r="BT167">
        <v>3.5449999999999999</v>
      </c>
      <c r="BU167">
        <v>3.5110000000000001</v>
      </c>
      <c r="BV167">
        <v>3.5070000000000001</v>
      </c>
      <c r="BW167" s="6">
        <v>3.5169999999999999</v>
      </c>
      <c r="BX167" s="6">
        <v>3.536</v>
      </c>
      <c r="BY167">
        <v>3.552</v>
      </c>
      <c r="BZ167" s="7">
        <v>45513</v>
      </c>
      <c r="CA167">
        <v>3.351</v>
      </c>
      <c r="CB167">
        <v>3.27</v>
      </c>
      <c r="CC167">
        <v>3.1949999999999998</v>
      </c>
      <c r="CD167">
        <v>3.1669999999999998</v>
      </c>
      <c r="CE167">
        <v>3.145</v>
      </c>
      <c r="CF167" s="6">
        <v>3.1389999999999998</v>
      </c>
      <c r="CG167" s="6">
        <v>3.1459999999999999</v>
      </c>
      <c r="CH167">
        <v>3.125</v>
      </c>
    </row>
    <row r="168" spans="2:86">
      <c r="B168" s="7">
        <v>45512</v>
      </c>
      <c r="C168">
        <v>3.2160000000000002</v>
      </c>
      <c r="D168">
        <v>3.1259999999999999</v>
      </c>
      <c r="E168">
        <v>3.0790000000000002</v>
      </c>
      <c r="F168">
        <v>3.0550000000000002</v>
      </c>
      <c r="G168">
        <v>3.0150000000000001</v>
      </c>
      <c r="H168">
        <v>2.919</v>
      </c>
      <c r="I168" s="6">
        <v>2.9449999999999998</v>
      </c>
      <c r="J168" s="6">
        <v>2.9390000000000001</v>
      </c>
      <c r="K168" s="6">
        <v>2.9980000000000002</v>
      </c>
      <c r="L168" s="6">
        <v>3</v>
      </c>
      <c r="M168" s="6">
        <v>2.9950000000000001</v>
      </c>
      <c r="N168" s="6">
        <v>2.9</v>
      </c>
      <c r="O168" s="7">
        <v>45512</v>
      </c>
      <c r="P168">
        <v>3.1880000000000002</v>
      </c>
      <c r="Q168">
        <v>3.121</v>
      </c>
      <c r="R168">
        <v>3.0489999999999999</v>
      </c>
      <c r="S168">
        <v>3.044</v>
      </c>
      <c r="T168">
        <v>2.97</v>
      </c>
      <c r="U168" s="6">
        <v>2.9849999999999999</v>
      </c>
      <c r="V168" s="6">
        <v>0</v>
      </c>
      <c r="W168">
        <v>0</v>
      </c>
      <c r="X168" s="7">
        <v>45512</v>
      </c>
      <c r="Y168">
        <v>3.2639999999999998</v>
      </c>
      <c r="Z168">
        <v>3.1819999999999999</v>
      </c>
      <c r="AA168">
        <v>3.1120000000000001</v>
      </c>
      <c r="AB168">
        <v>3.073</v>
      </c>
      <c r="AC168">
        <v>3.0369999999999999</v>
      </c>
      <c r="AD168" s="6">
        <v>3.0019999999999998</v>
      </c>
      <c r="AE168" s="6">
        <v>3.012</v>
      </c>
      <c r="AF168">
        <v>3.0510000000000002</v>
      </c>
      <c r="AG168" s="7">
        <v>45512</v>
      </c>
      <c r="AH168">
        <v>3.3679999999999999</v>
      </c>
      <c r="AI168">
        <v>3.2919999999999998</v>
      </c>
      <c r="AJ168">
        <v>3.246</v>
      </c>
      <c r="AK168">
        <v>3.181</v>
      </c>
      <c r="AL168">
        <v>3.12</v>
      </c>
      <c r="AM168" s="6">
        <v>3.0630000000000002</v>
      </c>
      <c r="AN168" s="6">
        <v>3.0590000000000002</v>
      </c>
      <c r="AO168">
        <v>3.081</v>
      </c>
      <c r="AP168" s="7">
        <v>45512</v>
      </c>
      <c r="AQ168">
        <v>3.4329999999999998</v>
      </c>
      <c r="AR168">
        <v>3.3849999999999998</v>
      </c>
      <c r="AS168">
        <v>3.3540000000000001</v>
      </c>
      <c r="AT168">
        <v>3.371</v>
      </c>
      <c r="AU168">
        <v>3.3519999999999999</v>
      </c>
      <c r="AV168" s="6">
        <v>3.3929999999999998</v>
      </c>
      <c r="AW168" s="6">
        <v>3.4209999999999998</v>
      </c>
      <c r="AX168">
        <v>3.5129999999999999</v>
      </c>
      <c r="AY168" s="7">
        <v>45512</v>
      </c>
      <c r="AZ168">
        <v>3.3420000000000001</v>
      </c>
      <c r="BA168">
        <v>3.2789999999999999</v>
      </c>
      <c r="BB168">
        <v>3.2360000000000002</v>
      </c>
      <c r="BC168">
        <v>3.1629999999999998</v>
      </c>
      <c r="BD168">
        <v>3.1230000000000002</v>
      </c>
      <c r="BE168" s="6">
        <v>3.1190000000000002</v>
      </c>
      <c r="BF168" s="6">
        <v>3.125</v>
      </c>
      <c r="BG168">
        <v>3.1309999999999998</v>
      </c>
      <c r="BH168" s="7">
        <v>45512</v>
      </c>
      <c r="BI168">
        <v>3.2989999999999999</v>
      </c>
      <c r="BJ168">
        <v>3.2189999999999999</v>
      </c>
      <c r="BK168">
        <v>3.1629999999999998</v>
      </c>
      <c r="BL168">
        <v>3.1040000000000001</v>
      </c>
      <c r="BM168">
        <v>3.0640000000000001</v>
      </c>
      <c r="BN168" s="6">
        <v>3.0430000000000001</v>
      </c>
      <c r="BO168" s="6">
        <v>3.0489999999999999</v>
      </c>
      <c r="BP168">
        <v>3.069</v>
      </c>
      <c r="BQ168" s="7">
        <v>45512</v>
      </c>
      <c r="BR168">
        <v>3.5760000000000001</v>
      </c>
      <c r="BS168">
        <v>3.5510000000000002</v>
      </c>
      <c r="BT168">
        <v>3.5430000000000001</v>
      </c>
      <c r="BU168">
        <v>3.5070000000000001</v>
      </c>
      <c r="BV168">
        <v>3.4870000000000001</v>
      </c>
      <c r="BW168" s="6">
        <v>3.4980000000000002</v>
      </c>
      <c r="BX168" s="6">
        <v>3.5110000000000001</v>
      </c>
      <c r="BY168">
        <v>3.532</v>
      </c>
      <c r="BZ168" s="7">
        <v>45512</v>
      </c>
      <c r="CA168">
        <v>3.351</v>
      </c>
      <c r="CB168">
        <v>3.2669999999999999</v>
      </c>
      <c r="CC168">
        <v>3.1930000000000001</v>
      </c>
      <c r="CD168">
        <v>3.1640000000000001</v>
      </c>
      <c r="CE168">
        <v>3.1280000000000001</v>
      </c>
      <c r="CF168" s="6">
        <v>3.117</v>
      </c>
      <c r="CG168" s="6">
        <v>3.121</v>
      </c>
      <c r="CH168">
        <v>3.11</v>
      </c>
    </row>
    <row r="169" spans="2:86">
      <c r="B169" s="7">
        <v>45511</v>
      </c>
      <c r="C169">
        <v>3.2309999999999999</v>
      </c>
      <c r="D169">
        <v>3.1379999999999999</v>
      </c>
      <c r="E169">
        <v>3.1019999999999999</v>
      </c>
      <c r="F169">
        <v>3.07</v>
      </c>
      <c r="G169">
        <v>3.0310000000000001</v>
      </c>
      <c r="H169">
        <v>2.931</v>
      </c>
      <c r="I169" s="6">
        <v>2.956</v>
      </c>
      <c r="J169" s="6">
        <v>2.95</v>
      </c>
      <c r="K169" s="6">
        <v>3.0059999999999998</v>
      </c>
      <c r="L169" s="6">
        <v>3.0019999999999998</v>
      </c>
      <c r="M169" s="6">
        <v>2.9889999999999999</v>
      </c>
      <c r="N169" s="6">
        <v>2.9</v>
      </c>
      <c r="O169" s="7">
        <v>45511</v>
      </c>
      <c r="P169">
        <v>3.19</v>
      </c>
      <c r="Q169">
        <v>3.13</v>
      </c>
      <c r="R169">
        <v>3.07</v>
      </c>
      <c r="S169">
        <v>3.0609999999999999</v>
      </c>
      <c r="T169">
        <v>2.9849999999999999</v>
      </c>
      <c r="U169" s="6">
        <v>2.9969999999999999</v>
      </c>
      <c r="V169" s="6">
        <v>0</v>
      </c>
      <c r="W169">
        <v>0</v>
      </c>
      <c r="X169" s="7">
        <v>45511</v>
      </c>
      <c r="Y169">
        <v>3.2789999999999999</v>
      </c>
      <c r="Z169">
        <v>3.194</v>
      </c>
      <c r="AA169">
        <v>3.1339999999999999</v>
      </c>
      <c r="AB169">
        <v>3.089</v>
      </c>
      <c r="AC169">
        <v>3.0510000000000002</v>
      </c>
      <c r="AD169" s="6">
        <v>3.0139999999999998</v>
      </c>
      <c r="AE169" s="6">
        <v>3.024</v>
      </c>
      <c r="AF169">
        <v>3.0609999999999999</v>
      </c>
      <c r="AG169" s="7">
        <v>45511</v>
      </c>
      <c r="AH169">
        <v>3.3650000000000002</v>
      </c>
      <c r="AI169">
        <v>3.2949999999999999</v>
      </c>
      <c r="AJ169">
        <v>3.2549999999999999</v>
      </c>
      <c r="AK169">
        <v>3.1909999999999998</v>
      </c>
      <c r="AL169">
        <v>3.1320000000000001</v>
      </c>
      <c r="AM169" s="6">
        <v>3.0739999999999998</v>
      </c>
      <c r="AN169" s="6">
        <v>3.0710000000000002</v>
      </c>
      <c r="AO169">
        <v>3.0920000000000001</v>
      </c>
      <c r="AP169" s="7">
        <v>45511</v>
      </c>
      <c r="AQ169">
        <v>3.4359999999999999</v>
      </c>
      <c r="AR169">
        <v>3.395</v>
      </c>
      <c r="AS169">
        <v>3.3769999999999998</v>
      </c>
      <c r="AT169">
        <v>3.3919999999999999</v>
      </c>
      <c r="AU169">
        <v>3.3639999999999999</v>
      </c>
      <c r="AV169" s="6">
        <v>3.4020000000000001</v>
      </c>
      <c r="AW169" s="6">
        <v>3.431</v>
      </c>
      <c r="AX169">
        <v>3.5219999999999998</v>
      </c>
      <c r="AY169" s="7">
        <v>45511</v>
      </c>
      <c r="AZ169">
        <v>3.343</v>
      </c>
      <c r="BA169">
        <v>3.28</v>
      </c>
      <c r="BB169">
        <v>3.2469999999999999</v>
      </c>
      <c r="BC169">
        <v>3.1789999999999998</v>
      </c>
      <c r="BD169">
        <v>3.14</v>
      </c>
      <c r="BE169" s="6">
        <v>3.133</v>
      </c>
      <c r="BF169" s="6">
        <v>3.1389999999999998</v>
      </c>
      <c r="BG169">
        <v>3.1429999999999998</v>
      </c>
      <c r="BH169" s="7">
        <v>45511</v>
      </c>
      <c r="BI169">
        <v>3.3</v>
      </c>
      <c r="BJ169">
        <v>3.22</v>
      </c>
      <c r="BK169">
        <v>3.1739999999999999</v>
      </c>
      <c r="BL169">
        <v>3.12</v>
      </c>
      <c r="BM169">
        <v>3.08</v>
      </c>
      <c r="BN169" s="6">
        <v>3.0569999999999999</v>
      </c>
      <c r="BO169" s="6">
        <v>3.0630000000000002</v>
      </c>
      <c r="BP169">
        <v>3.0819999999999999</v>
      </c>
      <c r="BQ169" s="7">
        <v>45511</v>
      </c>
      <c r="BR169">
        <v>3.577</v>
      </c>
      <c r="BS169">
        <v>3.552</v>
      </c>
      <c r="BT169">
        <v>3.5539999999999998</v>
      </c>
      <c r="BU169">
        <v>3.5230000000000001</v>
      </c>
      <c r="BV169">
        <v>3.504</v>
      </c>
      <c r="BW169" s="6">
        <v>3.5129999999999999</v>
      </c>
      <c r="BX169" s="6">
        <v>3.5249999999999999</v>
      </c>
      <c r="BY169">
        <v>3.5459999999999998</v>
      </c>
      <c r="BZ169" s="7">
        <v>45511</v>
      </c>
      <c r="CA169">
        <v>3.3660000000000001</v>
      </c>
      <c r="CB169">
        <v>3.278</v>
      </c>
      <c r="CC169">
        <v>3.2149999999999999</v>
      </c>
      <c r="CD169">
        <v>3.18</v>
      </c>
      <c r="CE169">
        <v>3.1419999999999999</v>
      </c>
      <c r="CF169" s="6">
        <v>3.1269999999999998</v>
      </c>
      <c r="CG169" s="6">
        <v>3.133</v>
      </c>
      <c r="CH169">
        <v>3.12</v>
      </c>
    </row>
    <row r="170" spans="2:86">
      <c r="B170" s="7">
        <v>45510</v>
      </c>
      <c r="C170">
        <v>3.2330000000000001</v>
      </c>
      <c r="D170">
        <v>3.121</v>
      </c>
      <c r="E170">
        <v>3.1040000000000001</v>
      </c>
      <c r="F170">
        <v>3.0750000000000002</v>
      </c>
      <c r="G170">
        <v>3.04</v>
      </c>
      <c r="H170">
        <v>2.94</v>
      </c>
      <c r="I170" s="6">
        <v>2.96</v>
      </c>
      <c r="J170" s="6">
        <v>2.9550000000000001</v>
      </c>
      <c r="K170" s="6">
        <v>3.0049999999999999</v>
      </c>
      <c r="L170" s="6">
        <v>2.9969999999999999</v>
      </c>
      <c r="M170" s="6">
        <v>2.9950000000000001</v>
      </c>
      <c r="N170" s="6">
        <v>2.915</v>
      </c>
      <c r="O170" s="7">
        <v>45510</v>
      </c>
      <c r="P170">
        <v>3.194</v>
      </c>
      <c r="Q170">
        <v>3.13</v>
      </c>
      <c r="R170">
        <v>3.0670000000000002</v>
      </c>
      <c r="S170">
        <v>3.0609999999999999</v>
      </c>
      <c r="T170">
        <v>2.9990000000000001</v>
      </c>
      <c r="U170" s="6">
        <v>3.0049999999999999</v>
      </c>
      <c r="V170" s="6">
        <v>0</v>
      </c>
      <c r="W170">
        <v>0</v>
      </c>
      <c r="X170" s="7">
        <v>45510</v>
      </c>
      <c r="Y170">
        <v>3.2789999999999999</v>
      </c>
      <c r="Z170">
        <v>3.177</v>
      </c>
      <c r="AA170">
        <v>3.1349999999999998</v>
      </c>
      <c r="AB170">
        <v>3.0910000000000002</v>
      </c>
      <c r="AC170">
        <v>3.0609999999999999</v>
      </c>
      <c r="AD170" s="6">
        <v>3.0230000000000001</v>
      </c>
      <c r="AE170" s="6">
        <v>3.0259999999999998</v>
      </c>
      <c r="AF170">
        <v>3.0659999999999998</v>
      </c>
      <c r="AG170" s="7">
        <v>45510</v>
      </c>
      <c r="AH170">
        <v>3.359</v>
      </c>
      <c r="AI170">
        <v>3.2879999999999998</v>
      </c>
      <c r="AJ170">
        <v>3.2440000000000002</v>
      </c>
      <c r="AK170">
        <v>3.1840000000000002</v>
      </c>
      <c r="AL170">
        <v>3.137</v>
      </c>
      <c r="AM170" s="6">
        <v>3.08</v>
      </c>
      <c r="AN170" s="6">
        <v>3.0680000000000001</v>
      </c>
      <c r="AO170">
        <v>3.093</v>
      </c>
      <c r="AP170" s="7">
        <v>45510</v>
      </c>
      <c r="AQ170">
        <v>3.4319999999999999</v>
      </c>
      <c r="AR170">
        <v>3.3959999999999999</v>
      </c>
      <c r="AS170">
        <v>3.3759999999999999</v>
      </c>
      <c r="AT170">
        <v>3.3919999999999999</v>
      </c>
      <c r="AU170">
        <v>3.3759999999999999</v>
      </c>
      <c r="AV170" s="6">
        <v>3.4089999999999998</v>
      </c>
      <c r="AW170" s="6">
        <v>3.4340000000000002</v>
      </c>
      <c r="AX170">
        <v>3.5270000000000001</v>
      </c>
      <c r="AY170" s="7">
        <v>45510</v>
      </c>
      <c r="AZ170">
        <v>3.3439999999999999</v>
      </c>
      <c r="BA170">
        <v>3.278</v>
      </c>
      <c r="BB170">
        <v>3.2440000000000002</v>
      </c>
      <c r="BC170">
        <v>3.1789999999999998</v>
      </c>
      <c r="BD170">
        <v>3.1539999999999999</v>
      </c>
      <c r="BE170" s="6">
        <v>3.145</v>
      </c>
      <c r="BF170" s="6">
        <v>3.141</v>
      </c>
      <c r="BG170">
        <v>3.1469999999999998</v>
      </c>
      <c r="BH170" s="7">
        <v>45510</v>
      </c>
      <c r="BI170">
        <v>3.3</v>
      </c>
      <c r="BJ170">
        <v>3.218</v>
      </c>
      <c r="BK170">
        <v>3.17</v>
      </c>
      <c r="BL170">
        <v>3.12</v>
      </c>
      <c r="BM170">
        <v>3.0939999999999999</v>
      </c>
      <c r="BN170" s="6">
        <v>3.0640000000000001</v>
      </c>
      <c r="BO170" s="6">
        <v>3.0619999999999998</v>
      </c>
      <c r="BP170">
        <v>3.0880000000000001</v>
      </c>
      <c r="BQ170" s="7">
        <v>45510</v>
      </c>
      <c r="BR170">
        <v>3.5790000000000002</v>
      </c>
      <c r="BS170">
        <v>3.55</v>
      </c>
      <c r="BT170">
        <v>3.5510000000000002</v>
      </c>
      <c r="BU170">
        <v>3.5230000000000001</v>
      </c>
      <c r="BV170">
        <v>3.5179999999999998</v>
      </c>
      <c r="BW170" s="6">
        <v>3.5249999999999999</v>
      </c>
      <c r="BX170" s="6">
        <v>3.528</v>
      </c>
      <c r="BY170">
        <v>3.5489999999999999</v>
      </c>
      <c r="BZ170" s="7">
        <v>45510</v>
      </c>
      <c r="CA170">
        <v>3.3660000000000001</v>
      </c>
      <c r="CB170">
        <v>3.262</v>
      </c>
      <c r="CC170">
        <v>3.2170000000000001</v>
      </c>
      <c r="CD170">
        <v>3.1819999999999999</v>
      </c>
      <c r="CE170">
        <v>3.15</v>
      </c>
      <c r="CF170" s="6">
        <v>3.1339999999999999</v>
      </c>
      <c r="CG170" s="6">
        <v>3.1349999999999998</v>
      </c>
      <c r="CH170">
        <v>3.125</v>
      </c>
    </row>
    <row r="171" spans="2:86">
      <c r="B171" s="7">
        <v>45509</v>
      </c>
      <c r="C171">
        <v>3.1960000000000002</v>
      </c>
      <c r="D171">
        <v>3.0830000000000002</v>
      </c>
      <c r="E171">
        <v>3.06</v>
      </c>
      <c r="F171">
        <v>3.0059999999999998</v>
      </c>
      <c r="G171">
        <v>2.9260000000000002</v>
      </c>
      <c r="H171">
        <v>2.8149999999999999</v>
      </c>
      <c r="I171" s="6">
        <v>2.835</v>
      </c>
      <c r="J171" s="6">
        <v>2.83</v>
      </c>
      <c r="K171" s="6">
        <v>2.89</v>
      </c>
      <c r="L171" s="6">
        <v>2.8919999999999999</v>
      </c>
      <c r="M171" s="6">
        <v>2.907</v>
      </c>
      <c r="N171" s="6">
        <v>2.84</v>
      </c>
      <c r="O171" s="7">
        <v>45509</v>
      </c>
      <c r="P171">
        <v>3.1840000000000002</v>
      </c>
      <c r="Q171">
        <v>3.11</v>
      </c>
      <c r="R171">
        <v>3.0259999999999998</v>
      </c>
      <c r="S171">
        <v>2.9849999999999999</v>
      </c>
      <c r="T171">
        <v>2.89</v>
      </c>
      <c r="U171" s="6">
        <v>2.8849999999999998</v>
      </c>
      <c r="V171" s="6">
        <v>0</v>
      </c>
      <c r="W171">
        <v>0</v>
      </c>
      <c r="X171" s="7">
        <v>45509</v>
      </c>
      <c r="Y171">
        <v>3.2570000000000001</v>
      </c>
      <c r="Z171">
        <v>3.1469999999999998</v>
      </c>
      <c r="AA171">
        <v>3.0920000000000001</v>
      </c>
      <c r="AB171">
        <v>3.02</v>
      </c>
      <c r="AC171">
        <v>2.95</v>
      </c>
      <c r="AD171" s="6">
        <v>2.899</v>
      </c>
      <c r="AE171" s="6">
        <v>2.9020000000000001</v>
      </c>
      <c r="AF171">
        <v>2.9460000000000002</v>
      </c>
      <c r="AG171" s="7">
        <v>45509</v>
      </c>
      <c r="AH171">
        <v>3.3410000000000002</v>
      </c>
      <c r="AI171">
        <v>3.2679999999999998</v>
      </c>
      <c r="AJ171">
        <v>3.2010000000000001</v>
      </c>
      <c r="AK171">
        <v>3.1150000000000002</v>
      </c>
      <c r="AL171">
        <v>3.0379999999999998</v>
      </c>
      <c r="AM171" s="6">
        <v>2.9660000000000002</v>
      </c>
      <c r="AN171" s="6">
        <v>2.952</v>
      </c>
      <c r="AO171">
        <v>2.9769999999999999</v>
      </c>
      <c r="AP171" s="7">
        <v>45509</v>
      </c>
      <c r="AQ171">
        <v>3.4140000000000001</v>
      </c>
      <c r="AR171">
        <v>3.371</v>
      </c>
      <c r="AS171">
        <v>3.335</v>
      </c>
      <c r="AT171">
        <v>3.3159999999999998</v>
      </c>
      <c r="AU171">
        <v>3.266</v>
      </c>
      <c r="AV171" s="6">
        <v>3.2829999999999999</v>
      </c>
      <c r="AW171" s="6">
        <v>3.3079999999999998</v>
      </c>
      <c r="AX171">
        <v>3.4020000000000001</v>
      </c>
      <c r="AY171" s="7">
        <v>45509</v>
      </c>
      <c r="AZ171">
        <v>3.3279999999999998</v>
      </c>
      <c r="BA171">
        <v>3.2530000000000001</v>
      </c>
      <c r="BB171">
        <v>3.2050000000000001</v>
      </c>
      <c r="BC171">
        <v>3.1080000000000001</v>
      </c>
      <c r="BD171">
        <v>3.0489999999999999</v>
      </c>
      <c r="BE171" s="6">
        <v>3.024</v>
      </c>
      <c r="BF171" s="6">
        <v>3.016</v>
      </c>
      <c r="BG171">
        <v>3.0230000000000001</v>
      </c>
      <c r="BH171" s="7">
        <v>45509</v>
      </c>
      <c r="BI171">
        <v>3.2829999999999999</v>
      </c>
      <c r="BJ171">
        <v>3.1930000000000001</v>
      </c>
      <c r="BK171">
        <v>3.1309999999999998</v>
      </c>
      <c r="BL171">
        <v>3.0489999999999999</v>
      </c>
      <c r="BM171">
        <v>2.9889999999999999</v>
      </c>
      <c r="BN171" s="6">
        <v>2.9470000000000001</v>
      </c>
      <c r="BO171" s="6">
        <v>2.9420000000000002</v>
      </c>
      <c r="BP171">
        <v>2.968</v>
      </c>
      <c r="BQ171" s="7">
        <v>45509</v>
      </c>
      <c r="BR171">
        <v>3.5619999999999998</v>
      </c>
      <c r="BS171">
        <v>3.5249999999999999</v>
      </c>
      <c r="BT171">
        <v>3.512</v>
      </c>
      <c r="BU171">
        <v>3.4510000000000001</v>
      </c>
      <c r="BV171">
        <v>3.4129999999999998</v>
      </c>
      <c r="BW171" s="6">
        <v>3.4049999999999998</v>
      </c>
      <c r="BX171" s="6">
        <v>3.403</v>
      </c>
      <c r="BY171">
        <v>3.4239999999999999</v>
      </c>
      <c r="BZ171" s="7">
        <v>45509</v>
      </c>
      <c r="CA171">
        <v>3.3439999999999999</v>
      </c>
      <c r="CB171">
        <v>3.2330000000000001</v>
      </c>
      <c r="CC171">
        <v>3.177</v>
      </c>
      <c r="CD171">
        <v>3.1139999999999999</v>
      </c>
      <c r="CE171">
        <v>3.0390000000000001</v>
      </c>
      <c r="CF171" s="6">
        <v>3.0129999999999999</v>
      </c>
      <c r="CG171" s="6">
        <v>3.0129999999999999</v>
      </c>
      <c r="CH171">
        <v>3.0049999999999999</v>
      </c>
    </row>
    <row r="172" spans="2:86">
      <c r="B172" s="7">
        <v>45506</v>
      </c>
      <c r="C172">
        <v>3.25</v>
      </c>
      <c r="D172">
        <v>3.145</v>
      </c>
      <c r="E172">
        <v>3.1269999999999998</v>
      </c>
      <c r="F172">
        <v>3.09</v>
      </c>
      <c r="G172">
        <v>3.0369999999999999</v>
      </c>
      <c r="H172">
        <v>2.9359999999999999</v>
      </c>
      <c r="I172" s="6">
        <v>2.9590000000000001</v>
      </c>
      <c r="J172" s="6">
        <v>2.9420000000000002</v>
      </c>
      <c r="K172" s="6">
        <v>2.9849999999999999</v>
      </c>
      <c r="L172" s="6">
        <v>2.97</v>
      </c>
      <c r="M172" s="6">
        <v>2.9620000000000002</v>
      </c>
      <c r="N172" s="6">
        <v>2.8730000000000002</v>
      </c>
      <c r="O172" s="7">
        <v>45506</v>
      </c>
      <c r="P172">
        <v>3.2440000000000002</v>
      </c>
      <c r="Q172">
        <v>3.1789999999999998</v>
      </c>
      <c r="R172">
        <v>3.09</v>
      </c>
      <c r="S172">
        <v>3.0750000000000002</v>
      </c>
      <c r="T172">
        <v>3.0049999999999999</v>
      </c>
      <c r="U172" s="6">
        <v>3.0049999999999999</v>
      </c>
      <c r="V172" s="6">
        <v>0</v>
      </c>
      <c r="W172">
        <v>0</v>
      </c>
      <c r="X172" s="7">
        <v>45506</v>
      </c>
      <c r="Y172">
        <v>3.3109999999999999</v>
      </c>
      <c r="Z172">
        <v>3.2090000000000001</v>
      </c>
      <c r="AA172">
        <v>3.157</v>
      </c>
      <c r="AB172">
        <v>3.1</v>
      </c>
      <c r="AC172">
        <v>3.06</v>
      </c>
      <c r="AD172" s="6">
        <v>3.0209999999999999</v>
      </c>
      <c r="AE172" s="6">
        <v>3.0249999999999999</v>
      </c>
      <c r="AF172">
        <v>3.0659999999999998</v>
      </c>
      <c r="AG172" s="7">
        <v>45506</v>
      </c>
      <c r="AH172">
        <v>3.395</v>
      </c>
      <c r="AI172">
        <v>3.323</v>
      </c>
      <c r="AJ172">
        <v>3.2549999999999999</v>
      </c>
      <c r="AK172">
        <v>3.19</v>
      </c>
      <c r="AL172">
        <v>3.1349999999999998</v>
      </c>
      <c r="AM172" s="6">
        <v>3.077</v>
      </c>
      <c r="AN172" s="6">
        <v>3.0670000000000002</v>
      </c>
      <c r="AO172">
        <v>3.08</v>
      </c>
      <c r="AP172" s="7">
        <v>45506</v>
      </c>
      <c r="AQ172">
        <v>3.476</v>
      </c>
      <c r="AR172">
        <v>3.4409999999999998</v>
      </c>
      <c r="AS172">
        <v>3.3980000000000001</v>
      </c>
      <c r="AT172">
        <v>3.3959999999999999</v>
      </c>
      <c r="AU172">
        <v>3.371</v>
      </c>
      <c r="AV172" s="6">
        <v>3.3959999999999999</v>
      </c>
      <c r="AW172" s="6">
        <v>3.4279999999999999</v>
      </c>
      <c r="AX172">
        <v>3.5139999999999998</v>
      </c>
      <c r="AY172" s="7">
        <v>45506</v>
      </c>
      <c r="AZ172">
        <v>3.379</v>
      </c>
      <c r="BA172">
        <v>3.3069999999999999</v>
      </c>
      <c r="BB172">
        <v>3.258</v>
      </c>
      <c r="BC172">
        <v>3.1859999999999999</v>
      </c>
      <c r="BD172">
        <v>3.1549999999999998</v>
      </c>
      <c r="BE172" s="6">
        <v>3.14</v>
      </c>
      <c r="BF172" s="6">
        <v>3.1349999999999998</v>
      </c>
      <c r="BG172">
        <v>3.13</v>
      </c>
      <c r="BH172" s="7">
        <v>45506</v>
      </c>
      <c r="BI172">
        <v>3.335</v>
      </c>
      <c r="BJ172">
        <v>3.2469999999999999</v>
      </c>
      <c r="BK172">
        <v>3.1850000000000001</v>
      </c>
      <c r="BL172">
        <v>3.1269999999999998</v>
      </c>
      <c r="BM172">
        <v>3.0950000000000002</v>
      </c>
      <c r="BN172" s="6">
        <v>3.0630000000000002</v>
      </c>
      <c r="BO172" s="6">
        <v>3.0609999999999999</v>
      </c>
      <c r="BP172">
        <v>3.077</v>
      </c>
      <c r="BQ172" s="7">
        <v>45506</v>
      </c>
      <c r="BR172">
        <v>3.6139999999999999</v>
      </c>
      <c r="BS172">
        <v>3.5790000000000002</v>
      </c>
      <c r="BT172">
        <v>3.5649999999999999</v>
      </c>
      <c r="BU172">
        <v>3.53</v>
      </c>
      <c r="BV172">
        <v>3.5190000000000001</v>
      </c>
      <c r="BW172" s="6">
        <v>3.5209999999999999</v>
      </c>
      <c r="BX172" s="6">
        <v>3.5219999999999998</v>
      </c>
      <c r="BY172">
        <v>3.5310000000000001</v>
      </c>
      <c r="BZ172" s="7">
        <v>45506</v>
      </c>
      <c r="CA172">
        <v>3.3969999999999998</v>
      </c>
      <c r="CB172">
        <v>3.2949999999999999</v>
      </c>
      <c r="CC172">
        <v>3.242</v>
      </c>
      <c r="CD172">
        <v>3.194</v>
      </c>
      <c r="CE172">
        <v>3.149</v>
      </c>
      <c r="CF172" s="6">
        <v>3.1339999999999999</v>
      </c>
      <c r="CG172" s="6">
        <v>3.1360000000000001</v>
      </c>
      <c r="CH172">
        <v>3.125</v>
      </c>
    </row>
    <row r="173" spans="2:86">
      <c r="B173" s="7">
        <v>45505</v>
      </c>
      <c r="C173">
        <v>3.2549999999999999</v>
      </c>
      <c r="D173">
        <v>3.161</v>
      </c>
      <c r="E173">
        <v>3.1389999999999998</v>
      </c>
      <c r="F173">
        <v>3.105</v>
      </c>
      <c r="G173">
        <v>3.06</v>
      </c>
      <c r="H173">
        <v>2.9750000000000001</v>
      </c>
      <c r="I173" s="6">
        <v>2.9990000000000001</v>
      </c>
      <c r="J173" s="6">
        <v>2.9849999999999999</v>
      </c>
      <c r="K173" s="6">
        <v>3.028</v>
      </c>
      <c r="L173" s="6">
        <v>3.012</v>
      </c>
      <c r="M173" s="6">
        <v>3.0049999999999999</v>
      </c>
      <c r="N173" s="6">
        <v>2.9169999999999998</v>
      </c>
      <c r="O173" s="7">
        <v>45505</v>
      </c>
      <c r="P173">
        <v>3.25</v>
      </c>
      <c r="Q173">
        <v>3.1930000000000001</v>
      </c>
      <c r="R173">
        <v>3.1139999999999999</v>
      </c>
      <c r="S173">
        <v>3.1179999999999999</v>
      </c>
      <c r="T173">
        <v>3.0379999999999998</v>
      </c>
      <c r="U173" s="6">
        <v>3.0419999999999998</v>
      </c>
      <c r="V173" s="6">
        <v>0</v>
      </c>
      <c r="W173">
        <v>0</v>
      </c>
      <c r="X173" s="7">
        <v>45505</v>
      </c>
      <c r="Y173">
        <v>3.3159999999999998</v>
      </c>
      <c r="Z173">
        <v>3.226</v>
      </c>
      <c r="AA173">
        <v>3.17</v>
      </c>
      <c r="AB173">
        <v>3.117</v>
      </c>
      <c r="AC173">
        <v>3.0870000000000002</v>
      </c>
      <c r="AD173" s="6">
        <v>3.06</v>
      </c>
      <c r="AE173" s="6">
        <v>3.0649999999999999</v>
      </c>
      <c r="AF173">
        <v>3.109</v>
      </c>
      <c r="AG173" s="7">
        <v>45505</v>
      </c>
      <c r="AH173">
        <v>3.4</v>
      </c>
      <c r="AI173">
        <v>3.3340000000000001</v>
      </c>
      <c r="AJ173">
        <v>3.2669999999999999</v>
      </c>
      <c r="AK173">
        <v>3.218</v>
      </c>
      <c r="AL173">
        <v>3.1579999999999999</v>
      </c>
      <c r="AM173" s="6">
        <v>3.1110000000000002</v>
      </c>
      <c r="AN173" s="6">
        <v>3.1040000000000001</v>
      </c>
      <c r="AO173">
        <v>3.12</v>
      </c>
      <c r="AP173" s="7">
        <v>45505</v>
      </c>
      <c r="AQ173">
        <v>3.4790000000000001</v>
      </c>
      <c r="AR173">
        <v>3.4550000000000001</v>
      </c>
      <c r="AS173">
        <v>3.4209999999999998</v>
      </c>
      <c r="AT173">
        <v>3.4380000000000002</v>
      </c>
      <c r="AU173">
        <v>3.403</v>
      </c>
      <c r="AV173" s="6">
        <v>3.4359999999999999</v>
      </c>
      <c r="AW173" s="6">
        <v>3.468</v>
      </c>
      <c r="AX173">
        <v>3.5569999999999999</v>
      </c>
      <c r="AY173" s="7">
        <v>45505</v>
      </c>
      <c r="AZ173">
        <v>3.3860000000000001</v>
      </c>
      <c r="BA173">
        <v>3.3210000000000002</v>
      </c>
      <c r="BB173">
        <v>3.2770000000000001</v>
      </c>
      <c r="BC173">
        <v>3.2210000000000001</v>
      </c>
      <c r="BD173">
        <v>3.1829999999999998</v>
      </c>
      <c r="BE173" s="6">
        <v>3.1760000000000002</v>
      </c>
      <c r="BF173" s="6">
        <v>3.17</v>
      </c>
      <c r="BG173">
        <v>3.1680000000000001</v>
      </c>
      <c r="BH173" s="7">
        <v>45505</v>
      </c>
      <c r="BI173">
        <v>3.3420000000000001</v>
      </c>
      <c r="BJ173">
        <v>3.2610000000000001</v>
      </c>
      <c r="BK173">
        <v>3.2040000000000002</v>
      </c>
      <c r="BL173">
        <v>3.1619999999999999</v>
      </c>
      <c r="BM173">
        <v>3.1240000000000001</v>
      </c>
      <c r="BN173" s="6">
        <v>3.0990000000000002</v>
      </c>
      <c r="BO173" s="6">
        <v>3.0960000000000001</v>
      </c>
      <c r="BP173">
        <v>3.117</v>
      </c>
      <c r="BQ173" s="7">
        <v>45505</v>
      </c>
      <c r="BR173">
        <v>3.621</v>
      </c>
      <c r="BS173">
        <v>3.593</v>
      </c>
      <c r="BT173">
        <v>3.5840000000000001</v>
      </c>
      <c r="BU173">
        <v>3.5649999999999999</v>
      </c>
      <c r="BV173">
        <v>3.5470000000000002</v>
      </c>
      <c r="BW173" s="6">
        <v>3.5569999999999999</v>
      </c>
      <c r="BX173" s="6">
        <v>3.5579999999999998</v>
      </c>
      <c r="BY173">
        <v>3.569</v>
      </c>
      <c r="BZ173" s="7">
        <v>45505</v>
      </c>
      <c r="CA173">
        <v>3.4020000000000001</v>
      </c>
      <c r="CB173">
        <v>3.3119999999999998</v>
      </c>
      <c r="CC173">
        <v>3.2549999999999999</v>
      </c>
      <c r="CD173">
        <v>3.2109999999999999</v>
      </c>
      <c r="CE173">
        <v>3.1760000000000002</v>
      </c>
      <c r="CF173" s="6">
        <v>3.173</v>
      </c>
      <c r="CG173" s="6">
        <v>3.1760000000000002</v>
      </c>
      <c r="CH173">
        <v>3.1669999999999998</v>
      </c>
    </row>
    <row r="174" spans="2:86">
      <c r="B174" s="7">
        <v>45504</v>
      </c>
      <c r="C174">
        <v>3.2559999999999998</v>
      </c>
      <c r="D174">
        <v>3.165</v>
      </c>
      <c r="E174">
        <v>3.1440000000000001</v>
      </c>
      <c r="F174">
        <v>3.1139999999999999</v>
      </c>
      <c r="G174">
        <v>3.0739999999999998</v>
      </c>
      <c r="H174">
        <v>3</v>
      </c>
      <c r="I174" s="6">
        <v>3.03</v>
      </c>
      <c r="J174" s="6">
        <v>3.02</v>
      </c>
      <c r="K174" s="6">
        <v>3.069</v>
      </c>
      <c r="L174" s="6">
        <v>3.0569999999999999</v>
      </c>
      <c r="M174" s="6">
        <v>3.0369999999999999</v>
      </c>
      <c r="N174" s="6">
        <v>2.9449999999999998</v>
      </c>
      <c r="O174" s="7">
        <v>45504</v>
      </c>
      <c r="P174">
        <v>3.2549999999999999</v>
      </c>
      <c r="Q174">
        <v>3.2040000000000002</v>
      </c>
      <c r="R174">
        <v>3.1360000000000001</v>
      </c>
      <c r="S174">
        <v>3.13</v>
      </c>
      <c r="T174">
        <v>3.06</v>
      </c>
      <c r="U174" s="6">
        <v>3.0659999999999998</v>
      </c>
      <c r="V174" s="6">
        <v>0</v>
      </c>
      <c r="W174">
        <v>0</v>
      </c>
      <c r="X174" s="7">
        <v>45504</v>
      </c>
      <c r="Y174">
        <v>3.3170000000000002</v>
      </c>
      <c r="Z174">
        <v>3.2290000000000001</v>
      </c>
      <c r="AA174">
        <v>3.177</v>
      </c>
      <c r="AB174">
        <v>3.1259999999999999</v>
      </c>
      <c r="AC174">
        <v>3.101</v>
      </c>
      <c r="AD174" s="6">
        <v>3.0840000000000001</v>
      </c>
      <c r="AE174" s="6">
        <v>3.0960000000000001</v>
      </c>
      <c r="AF174">
        <v>3.149</v>
      </c>
      <c r="AG174" s="7">
        <v>45504</v>
      </c>
      <c r="AH174">
        <v>3.4009999999999998</v>
      </c>
      <c r="AI174">
        <v>3.3420000000000001</v>
      </c>
      <c r="AJ174">
        <v>3.278</v>
      </c>
      <c r="AK174">
        <v>3.226</v>
      </c>
      <c r="AL174">
        <v>3.1749999999999998</v>
      </c>
      <c r="AM174" s="6">
        <v>3.1320000000000001</v>
      </c>
      <c r="AN174" s="6">
        <v>3.1320000000000001</v>
      </c>
      <c r="AO174">
        <v>3.153</v>
      </c>
      <c r="AP174" s="7">
        <v>45504</v>
      </c>
      <c r="AQ174">
        <v>3.484</v>
      </c>
      <c r="AR174">
        <v>3.464</v>
      </c>
      <c r="AS174">
        <v>3.4380000000000002</v>
      </c>
      <c r="AT174">
        <v>3.4529999999999998</v>
      </c>
      <c r="AU174">
        <v>3.4260000000000002</v>
      </c>
      <c r="AV174" s="6">
        <v>3.4569999999999999</v>
      </c>
      <c r="AW174" s="6">
        <v>3.4929999999999999</v>
      </c>
      <c r="AX174">
        <v>3.5859999999999999</v>
      </c>
      <c r="AY174" s="7">
        <v>45504</v>
      </c>
      <c r="AZ174">
        <v>3.391</v>
      </c>
      <c r="BA174">
        <v>3.3319999999999999</v>
      </c>
      <c r="BB174">
        <v>3.2959999999999998</v>
      </c>
      <c r="BC174">
        <v>3.2330000000000001</v>
      </c>
      <c r="BD174">
        <v>3.2</v>
      </c>
      <c r="BE174" s="6">
        <v>3.1930000000000001</v>
      </c>
      <c r="BF174" s="6">
        <v>3.1960000000000002</v>
      </c>
      <c r="BG174">
        <v>3.2</v>
      </c>
      <c r="BH174" s="7">
        <v>45504</v>
      </c>
      <c r="BI174">
        <v>3.347</v>
      </c>
      <c r="BJ174">
        <v>3.2719999999999998</v>
      </c>
      <c r="BK174">
        <v>3.2229999999999999</v>
      </c>
      <c r="BL174">
        <v>3.1739999999999999</v>
      </c>
      <c r="BM174">
        <v>3.14</v>
      </c>
      <c r="BN174" s="6">
        <v>3.1160000000000001</v>
      </c>
      <c r="BO174" s="6">
        <v>3.1230000000000002</v>
      </c>
      <c r="BP174">
        <v>3.15</v>
      </c>
      <c r="BQ174" s="7">
        <v>45504</v>
      </c>
      <c r="BR174">
        <v>3.6259999999999999</v>
      </c>
      <c r="BS174">
        <v>3.6040000000000001</v>
      </c>
      <c r="BT174">
        <v>3.6040000000000001</v>
      </c>
      <c r="BU174">
        <v>3.5760000000000001</v>
      </c>
      <c r="BV174">
        <v>3.5640000000000001</v>
      </c>
      <c r="BW174" s="6">
        <v>3.5739999999999998</v>
      </c>
      <c r="BX174" s="6">
        <v>3.5840000000000001</v>
      </c>
      <c r="BY174">
        <v>3.6</v>
      </c>
      <c r="BZ174" s="7">
        <v>45504</v>
      </c>
      <c r="CA174">
        <v>3.4039999999999999</v>
      </c>
      <c r="CB174">
        <v>3.3149999999999999</v>
      </c>
      <c r="CC174">
        <v>3.262</v>
      </c>
      <c r="CD174">
        <v>3.22</v>
      </c>
      <c r="CE174">
        <v>3.19</v>
      </c>
      <c r="CF174" s="6">
        <v>3.198</v>
      </c>
      <c r="CG174" s="6">
        <v>3.206</v>
      </c>
      <c r="CH174">
        <v>3.2069999999999999</v>
      </c>
    </row>
    <row r="175" spans="2:86">
      <c r="B175" s="7">
        <v>45503</v>
      </c>
      <c r="C175">
        <v>3.2559999999999998</v>
      </c>
      <c r="D175">
        <v>3.1680000000000001</v>
      </c>
      <c r="E175">
        <v>3.1469999999999998</v>
      </c>
      <c r="F175">
        <v>3.1150000000000002</v>
      </c>
      <c r="G175">
        <v>3.069</v>
      </c>
      <c r="H175">
        <v>2.9940000000000002</v>
      </c>
      <c r="I175" s="6">
        <v>3.0169999999999999</v>
      </c>
      <c r="J175" s="6">
        <v>3.0089999999999999</v>
      </c>
      <c r="K175" s="6">
        <v>3.0619999999999998</v>
      </c>
      <c r="L175" s="6">
        <v>3.0550000000000002</v>
      </c>
      <c r="M175" s="6">
        <v>3.0350000000000001</v>
      </c>
      <c r="N175" s="6">
        <v>2.9420000000000002</v>
      </c>
      <c r="O175" s="7">
        <v>45503</v>
      </c>
      <c r="P175">
        <v>3.2570000000000001</v>
      </c>
      <c r="Q175">
        <v>3.2090000000000001</v>
      </c>
      <c r="R175">
        <v>3.1480000000000001</v>
      </c>
      <c r="S175">
        <v>3.125</v>
      </c>
      <c r="T175">
        <v>3.06</v>
      </c>
      <c r="U175" s="6">
        <v>3.06</v>
      </c>
      <c r="V175" s="6">
        <v>0</v>
      </c>
      <c r="W175">
        <v>0</v>
      </c>
      <c r="X175" s="7">
        <v>45503</v>
      </c>
      <c r="Y175">
        <v>3.3170000000000002</v>
      </c>
      <c r="Z175">
        <v>3.2320000000000002</v>
      </c>
      <c r="AA175">
        <v>3.18</v>
      </c>
      <c r="AB175">
        <v>3.1280000000000001</v>
      </c>
      <c r="AC175">
        <v>3.0960000000000001</v>
      </c>
      <c r="AD175" s="6">
        <v>3.081</v>
      </c>
      <c r="AE175" s="6">
        <v>3.0830000000000002</v>
      </c>
      <c r="AF175">
        <v>3.1379999999999999</v>
      </c>
      <c r="AG175" s="7">
        <v>45503</v>
      </c>
      <c r="AH175">
        <v>3.4009999999999998</v>
      </c>
      <c r="AI175">
        <v>3.343</v>
      </c>
      <c r="AJ175">
        <v>3.278</v>
      </c>
      <c r="AK175">
        <v>3.22</v>
      </c>
      <c r="AL175">
        <v>3.1720000000000002</v>
      </c>
      <c r="AM175" s="6">
        <v>3.1259999999999999</v>
      </c>
      <c r="AN175" s="6">
        <v>3.117</v>
      </c>
      <c r="AO175">
        <v>3.141</v>
      </c>
      <c r="AP175" s="7">
        <v>45503</v>
      </c>
      <c r="AQ175">
        <v>3.4809999999999999</v>
      </c>
      <c r="AR175">
        <v>3.47</v>
      </c>
      <c r="AS175">
        <v>3.45</v>
      </c>
      <c r="AT175">
        <v>3.45</v>
      </c>
      <c r="AU175">
        <v>3.4260000000000002</v>
      </c>
      <c r="AV175" s="6">
        <v>3.452</v>
      </c>
      <c r="AW175" s="6">
        <v>3.4820000000000002</v>
      </c>
      <c r="AX175">
        <v>3.5760000000000001</v>
      </c>
      <c r="AY175" s="7">
        <v>45503</v>
      </c>
      <c r="AZ175">
        <v>3.3889999999999998</v>
      </c>
      <c r="BA175">
        <v>3.3319999999999999</v>
      </c>
      <c r="BB175">
        <v>3.3</v>
      </c>
      <c r="BC175">
        <v>3.23</v>
      </c>
      <c r="BD175">
        <v>3.2</v>
      </c>
      <c r="BE175" s="6">
        <v>3.1869999999999998</v>
      </c>
      <c r="BF175" s="6">
        <v>3.1819999999999999</v>
      </c>
      <c r="BG175">
        <v>3.1869999999999998</v>
      </c>
      <c r="BH175" s="7">
        <v>45503</v>
      </c>
      <c r="BI175">
        <v>3.3450000000000002</v>
      </c>
      <c r="BJ175">
        <v>3.2719999999999998</v>
      </c>
      <c r="BK175">
        <v>3.226</v>
      </c>
      <c r="BL175">
        <v>3.1709999999999998</v>
      </c>
      <c r="BM175">
        <v>3.14</v>
      </c>
      <c r="BN175" s="6">
        <v>3.11</v>
      </c>
      <c r="BO175" s="6">
        <v>3.109</v>
      </c>
      <c r="BP175">
        <v>3.1389999999999998</v>
      </c>
      <c r="BQ175" s="7">
        <v>45503</v>
      </c>
      <c r="BR175">
        <v>3.6240000000000001</v>
      </c>
      <c r="BS175">
        <v>3.6040000000000001</v>
      </c>
      <c r="BT175">
        <v>3.6070000000000002</v>
      </c>
      <c r="BU175">
        <v>3.5739999999999998</v>
      </c>
      <c r="BV175">
        <v>3.5640000000000001</v>
      </c>
      <c r="BW175" s="6">
        <v>3.5680000000000001</v>
      </c>
      <c r="BX175" s="6">
        <v>3.57</v>
      </c>
      <c r="BY175">
        <v>3.5880000000000001</v>
      </c>
      <c r="BZ175" s="7">
        <v>45503</v>
      </c>
      <c r="CA175">
        <v>3.4039999999999999</v>
      </c>
      <c r="CB175">
        <v>3.3180000000000001</v>
      </c>
      <c r="CC175">
        <v>3.2650000000000001</v>
      </c>
      <c r="CD175">
        <v>3.222</v>
      </c>
      <c r="CE175">
        <v>3.1850000000000001</v>
      </c>
      <c r="CF175" s="6">
        <v>3.194</v>
      </c>
      <c r="CG175" s="6">
        <v>3.194</v>
      </c>
      <c r="CH175">
        <v>3.1960000000000002</v>
      </c>
    </row>
    <row r="176" spans="2:86">
      <c r="B176" s="7">
        <v>45502</v>
      </c>
      <c r="C176">
        <v>3.258</v>
      </c>
      <c r="D176">
        <v>3.165</v>
      </c>
      <c r="E176">
        <v>3.1419999999999999</v>
      </c>
      <c r="F176">
        <v>3.1019999999999999</v>
      </c>
      <c r="G176">
        <v>3.0529999999999999</v>
      </c>
      <c r="H176">
        <v>2.972</v>
      </c>
      <c r="I176" s="6">
        <v>2.9950000000000001</v>
      </c>
      <c r="J176" s="6">
        <v>2.9860000000000002</v>
      </c>
      <c r="K176" s="6">
        <v>3.0430000000000001</v>
      </c>
      <c r="L176" s="6">
        <v>3.0419999999999998</v>
      </c>
      <c r="M176" s="6">
        <v>3.0249999999999999</v>
      </c>
      <c r="N176" s="6">
        <v>2.9369999999999998</v>
      </c>
      <c r="O176" s="7">
        <v>45502</v>
      </c>
      <c r="P176">
        <v>3.2570000000000001</v>
      </c>
      <c r="Q176">
        <v>3.2109999999999999</v>
      </c>
      <c r="R176">
        <v>3.1480000000000001</v>
      </c>
      <c r="S176">
        <v>3.1080000000000001</v>
      </c>
      <c r="T176">
        <v>3.04</v>
      </c>
      <c r="U176" s="6">
        <v>3.0390000000000001</v>
      </c>
      <c r="V176" s="6">
        <v>0</v>
      </c>
      <c r="W176">
        <v>0</v>
      </c>
      <c r="X176" s="7">
        <v>45502</v>
      </c>
      <c r="Y176">
        <v>3.319</v>
      </c>
      <c r="Z176">
        <v>3.2290000000000001</v>
      </c>
      <c r="AA176">
        <v>3.1749999999999998</v>
      </c>
      <c r="AB176">
        <v>3.113</v>
      </c>
      <c r="AC176">
        <v>3.08</v>
      </c>
      <c r="AD176" s="6">
        <v>3.0590000000000002</v>
      </c>
      <c r="AE176" s="6">
        <v>3.0609999999999999</v>
      </c>
      <c r="AF176">
        <v>3.1110000000000002</v>
      </c>
      <c r="AG176" s="7">
        <v>45502</v>
      </c>
      <c r="AH176">
        <v>3.3969999999999998</v>
      </c>
      <c r="AI176">
        <v>3.3410000000000002</v>
      </c>
      <c r="AJ176">
        <v>3.2719999999999998</v>
      </c>
      <c r="AK176">
        <v>3.2</v>
      </c>
      <c r="AL176">
        <v>3.15</v>
      </c>
      <c r="AM176" s="6">
        <v>3.105</v>
      </c>
      <c r="AN176" s="6">
        <v>3.0910000000000002</v>
      </c>
      <c r="AO176">
        <v>3.1139999999999999</v>
      </c>
      <c r="AP176" s="7">
        <v>45502</v>
      </c>
      <c r="AQ176">
        <v>3.4790000000000001</v>
      </c>
      <c r="AR176">
        <v>3.4710000000000001</v>
      </c>
      <c r="AS176">
        <v>3.45</v>
      </c>
      <c r="AT176">
        <v>3.4359999999999999</v>
      </c>
      <c r="AU176">
        <v>3.4060000000000001</v>
      </c>
      <c r="AV176" s="6">
        <v>3.43</v>
      </c>
      <c r="AW176" s="6">
        <v>3.46</v>
      </c>
      <c r="AX176">
        <v>3.5539999999999998</v>
      </c>
      <c r="AY176" s="7">
        <v>45502</v>
      </c>
      <c r="AZ176">
        <v>3.3879999999999999</v>
      </c>
      <c r="BA176">
        <v>3.3279999999999998</v>
      </c>
      <c r="BB176">
        <v>3.2959999999999998</v>
      </c>
      <c r="BC176">
        <v>3.2130000000000001</v>
      </c>
      <c r="BD176">
        <v>3.1749999999999998</v>
      </c>
      <c r="BE176" s="6">
        <v>3.1619999999999999</v>
      </c>
      <c r="BF176" s="6">
        <v>3.1560000000000001</v>
      </c>
      <c r="BG176">
        <v>3.16</v>
      </c>
      <c r="BH176" s="7">
        <v>45502</v>
      </c>
      <c r="BI176">
        <v>3.343</v>
      </c>
      <c r="BJ176">
        <v>3.2679999999999998</v>
      </c>
      <c r="BK176">
        <v>3.2229999999999999</v>
      </c>
      <c r="BL176">
        <v>3.1539999999999999</v>
      </c>
      <c r="BM176">
        <v>3.1139999999999999</v>
      </c>
      <c r="BN176" s="6">
        <v>3.085</v>
      </c>
      <c r="BO176" s="6">
        <v>3.0819999999999999</v>
      </c>
      <c r="BP176">
        <v>3.113</v>
      </c>
      <c r="BQ176" s="7">
        <v>45502</v>
      </c>
      <c r="BR176">
        <v>3.6219999999999999</v>
      </c>
      <c r="BS176">
        <v>3.6</v>
      </c>
      <c r="BT176">
        <v>3.6040000000000001</v>
      </c>
      <c r="BU176">
        <v>3.5569999999999999</v>
      </c>
      <c r="BV176">
        <v>3.5369999999999999</v>
      </c>
      <c r="BW176" s="6">
        <v>3.5430000000000001</v>
      </c>
      <c r="BX176" s="6">
        <v>3.544</v>
      </c>
      <c r="BY176">
        <v>3.56</v>
      </c>
      <c r="BZ176" s="7">
        <v>45502</v>
      </c>
      <c r="CA176">
        <v>3.4060000000000001</v>
      </c>
      <c r="CB176">
        <v>3.3149999999999999</v>
      </c>
      <c r="CC176">
        <v>3.26</v>
      </c>
      <c r="CD176">
        <v>3.2069999999999999</v>
      </c>
      <c r="CE176">
        <v>3.169</v>
      </c>
      <c r="CF176" s="6">
        <v>3.1720000000000002</v>
      </c>
      <c r="CG176" s="6">
        <v>3.1709999999999998</v>
      </c>
      <c r="CH176">
        <v>3.17</v>
      </c>
    </row>
    <row r="177" spans="2:86">
      <c r="B177" s="7">
        <v>45499</v>
      </c>
      <c r="C177">
        <v>3.2749999999999999</v>
      </c>
      <c r="D177">
        <v>3.18</v>
      </c>
      <c r="E177">
        <v>3.165</v>
      </c>
      <c r="F177">
        <v>3.137</v>
      </c>
      <c r="G177">
        <v>3.0880000000000001</v>
      </c>
      <c r="H177">
        <v>3.0169999999999999</v>
      </c>
      <c r="I177" s="6">
        <v>3.048</v>
      </c>
      <c r="J177" s="6">
        <v>3.04</v>
      </c>
      <c r="K177" s="6">
        <v>3.1019999999999999</v>
      </c>
      <c r="L177" s="6">
        <v>3.1040000000000001</v>
      </c>
      <c r="M177" s="6">
        <v>3.0819999999999999</v>
      </c>
      <c r="N177" s="6">
        <v>2.99</v>
      </c>
      <c r="O177" s="7">
        <v>45499</v>
      </c>
      <c r="P177">
        <v>3.2639999999999998</v>
      </c>
      <c r="Q177">
        <v>3.2229999999999999</v>
      </c>
      <c r="R177">
        <v>3.1680000000000001</v>
      </c>
      <c r="S177">
        <v>3.1459999999999999</v>
      </c>
      <c r="T177">
        <v>3.08</v>
      </c>
      <c r="U177" s="6">
        <v>3.0840000000000001</v>
      </c>
      <c r="V177" s="6">
        <v>0</v>
      </c>
      <c r="W177">
        <v>0</v>
      </c>
      <c r="X177" s="7">
        <v>45499</v>
      </c>
      <c r="Y177">
        <v>3.3319999999999999</v>
      </c>
      <c r="Z177">
        <v>3.2440000000000002</v>
      </c>
      <c r="AA177">
        <v>3.1989999999999998</v>
      </c>
      <c r="AB177">
        <v>3.1480000000000001</v>
      </c>
      <c r="AC177">
        <v>3.1160000000000001</v>
      </c>
      <c r="AD177" s="6">
        <v>3.1019999999999999</v>
      </c>
      <c r="AE177" s="6">
        <v>3.109</v>
      </c>
      <c r="AF177">
        <v>3.1539999999999999</v>
      </c>
      <c r="AG177" s="7">
        <v>45499</v>
      </c>
      <c r="AH177">
        <v>3.3969999999999998</v>
      </c>
      <c r="AI177">
        <v>3.3460000000000001</v>
      </c>
      <c r="AJ177">
        <v>3.282</v>
      </c>
      <c r="AK177">
        <v>3.23</v>
      </c>
      <c r="AL177">
        <v>3.1840000000000002</v>
      </c>
      <c r="AM177" s="6">
        <v>3.145</v>
      </c>
      <c r="AN177" s="6">
        <v>3.14</v>
      </c>
      <c r="AO177">
        <v>3.1629999999999998</v>
      </c>
      <c r="AP177" s="7">
        <v>45499</v>
      </c>
      <c r="AQ177">
        <v>3.4889999999999999</v>
      </c>
      <c r="AR177">
        <v>3.488</v>
      </c>
      <c r="AS177">
        <v>3.472</v>
      </c>
      <c r="AT177">
        <v>3.468</v>
      </c>
      <c r="AU177">
        <v>3.4369999999999998</v>
      </c>
      <c r="AV177" s="6">
        <v>3.472</v>
      </c>
      <c r="AW177" s="6">
        <v>3.508</v>
      </c>
      <c r="AX177">
        <v>3.6019999999999999</v>
      </c>
      <c r="AY177" s="7">
        <v>45499</v>
      </c>
      <c r="AZ177">
        <v>3.3929999999999998</v>
      </c>
      <c r="BA177">
        <v>3.3330000000000002</v>
      </c>
      <c r="BB177">
        <v>3.31</v>
      </c>
      <c r="BC177">
        <v>3.2429999999999999</v>
      </c>
      <c r="BD177">
        <v>3.2029999999999998</v>
      </c>
      <c r="BE177" s="6">
        <v>3.198</v>
      </c>
      <c r="BF177" s="6">
        <v>3.206</v>
      </c>
      <c r="BG177">
        <v>3.2109999999999999</v>
      </c>
      <c r="BH177" s="7">
        <v>45499</v>
      </c>
      <c r="BI177">
        <v>3.3479999999999999</v>
      </c>
      <c r="BJ177">
        <v>3.2749999999999999</v>
      </c>
      <c r="BK177">
        <v>3.238</v>
      </c>
      <c r="BL177">
        <v>3.1859999999999999</v>
      </c>
      <c r="BM177">
        <v>3.1469999999999998</v>
      </c>
      <c r="BN177" s="6">
        <v>3.1269999999999998</v>
      </c>
      <c r="BO177" s="6">
        <v>3.133</v>
      </c>
      <c r="BP177">
        <v>3.1579999999999999</v>
      </c>
      <c r="BQ177" s="7">
        <v>45499</v>
      </c>
      <c r="BR177">
        <v>3.6269999999999998</v>
      </c>
      <c r="BS177">
        <v>3.605</v>
      </c>
      <c r="BT177">
        <v>3.617</v>
      </c>
      <c r="BU177">
        <v>3.5870000000000002</v>
      </c>
      <c r="BV177">
        <v>3.569</v>
      </c>
      <c r="BW177" s="6">
        <v>3.5830000000000002</v>
      </c>
      <c r="BX177" s="6">
        <v>3.5939999999999999</v>
      </c>
      <c r="BY177">
        <v>3.6110000000000002</v>
      </c>
      <c r="BZ177" s="7">
        <v>45499</v>
      </c>
      <c r="CA177">
        <v>3.419</v>
      </c>
      <c r="CB177">
        <v>3.33</v>
      </c>
      <c r="CC177">
        <v>3.2829999999999999</v>
      </c>
      <c r="CD177">
        <v>3.242</v>
      </c>
      <c r="CE177">
        <v>3.2050000000000001</v>
      </c>
      <c r="CF177" s="6">
        <v>3.2160000000000002</v>
      </c>
      <c r="CG177" s="6">
        <v>3.22</v>
      </c>
      <c r="CH177">
        <v>3.214</v>
      </c>
    </row>
    <row r="178" spans="2:86">
      <c r="B178" s="7">
        <v>45498</v>
      </c>
      <c r="C178">
        <v>3.28</v>
      </c>
      <c r="D178">
        <v>3.2029999999999998</v>
      </c>
      <c r="E178">
        <v>3.1890000000000001</v>
      </c>
      <c r="F178">
        <v>3.1349999999999998</v>
      </c>
      <c r="G178">
        <v>3.0920000000000001</v>
      </c>
      <c r="H178">
        <v>3.02</v>
      </c>
      <c r="I178" s="6">
        <v>3.0569999999999999</v>
      </c>
      <c r="J178" s="6">
        <v>3.052</v>
      </c>
      <c r="K178" s="6">
        <v>3.1160000000000001</v>
      </c>
      <c r="L178" s="6">
        <v>3.1219999999999999</v>
      </c>
      <c r="M178" s="6">
        <v>3.085</v>
      </c>
      <c r="N178" s="6">
        <v>3</v>
      </c>
      <c r="O178" s="7">
        <v>45498</v>
      </c>
      <c r="P178">
        <v>3.2650000000000001</v>
      </c>
      <c r="Q178">
        <v>3.2280000000000002</v>
      </c>
      <c r="R178">
        <v>3.1819999999999999</v>
      </c>
      <c r="S178">
        <v>3.1480000000000001</v>
      </c>
      <c r="T178">
        <v>3.0750000000000002</v>
      </c>
      <c r="U178" s="6">
        <v>3.0859999999999999</v>
      </c>
      <c r="V178" s="6">
        <v>0</v>
      </c>
      <c r="W178">
        <v>0</v>
      </c>
      <c r="X178" s="7">
        <v>45498</v>
      </c>
      <c r="Y178">
        <v>3.3359999999999999</v>
      </c>
      <c r="Z178">
        <v>3.2669999999999999</v>
      </c>
      <c r="AA178">
        <v>3.22</v>
      </c>
      <c r="AB178">
        <v>3.1459999999999999</v>
      </c>
      <c r="AC178">
        <v>3.12</v>
      </c>
      <c r="AD178" s="6">
        <v>3.105</v>
      </c>
      <c r="AE178" s="6">
        <v>3.117</v>
      </c>
      <c r="AF178">
        <v>3.16</v>
      </c>
      <c r="AG178" s="7">
        <v>45498</v>
      </c>
      <c r="AH178">
        <v>3.399</v>
      </c>
      <c r="AI178">
        <v>3.3490000000000002</v>
      </c>
      <c r="AJ178">
        <v>3.29</v>
      </c>
      <c r="AK178">
        <v>3.23</v>
      </c>
      <c r="AL178">
        <v>3.1760000000000002</v>
      </c>
      <c r="AM178" s="6">
        <v>3.1469999999999998</v>
      </c>
      <c r="AN178" s="6">
        <v>3.1480000000000001</v>
      </c>
      <c r="AO178">
        <v>3.173</v>
      </c>
      <c r="AP178" s="7">
        <v>45498</v>
      </c>
      <c r="AQ178">
        <v>3.4889999999999999</v>
      </c>
      <c r="AR178">
        <v>3.49</v>
      </c>
      <c r="AS178">
        <v>3.484</v>
      </c>
      <c r="AT178">
        <v>3.4630000000000001</v>
      </c>
      <c r="AU178">
        <v>3.4289999999999998</v>
      </c>
      <c r="AV178" s="6">
        <v>3.47</v>
      </c>
      <c r="AW178" s="6">
        <v>3.5139999999999998</v>
      </c>
      <c r="AX178">
        <v>3.613</v>
      </c>
      <c r="AY178" s="7">
        <v>45498</v>
      </c>
      <c r="AZ178">
        <v>3.3889999999999998</v>
      </c>
      <c r="BA178">
        <v>3.3330000000000002</v>
      </c>
      <c r="BB178">
        <v>3.3149999999999999</v>
      </c>
      <c r="BC178">
        <v>3.24</v>
      </c>
      <c r="BD178">
        <v>3.1920000000000002</v>
      </c>
      <c r="BE178" s="6">
        <v>3.1920000000000002</v>
      </c>
      <c r="BF178" s="6">
        <v>3.2120000000000002</v>
      </c>
      <c r="BG178">
        <v>3.22</v>
      </c>
      <c r="BH178" s="7">
        <v>45498</v>
      </c>
      <c r="BI178">
        <v>3.3450000000000002</v>
      </c>
      <c r="BJ178">
        <v>3.2749999999999999</v>
      </c>
      <c r="BK178">
        <v>3.2440000000000002</v>
      </c>
      <c r="BL178">
        <v>3.1819999999999999</v>
      </c>
      <c r="BM178">
        <v>3.1349999999999998</v>
      </c>
      <c r="BN178" s="6">
        <v>3.125</v>
      </c>
      <c r="BO178" s="6">
        <v>3.1389999999999998</v>
      </c>
      <c r="BP178">
        <v>3.1659999999999999</v>
      </c>
      <c r="BQ178" s="7">
        <v>45498</v>
      </c>
      <c r="BR178">
        <v>3.6240000000000001</v>
      </c>
      <c r="BS178">
        <v>3.605</v>
      </c>
      <c r="BT178">
        <v>3.6230000000000002</v>
      </c>
      <c r="BU178">
        <v>3.5830000000000002</v>
      </c>
      <c r="BV178">
        <v>3.5569999999999999</v>
      </c>
      <c r="BW178" s="6">
        <v>3.58</v>
      </c>
      <c r="BX178" s="6">
        <v>3.5950000000000002</v>
      </c>
      <c r="BY178">
        <v>3.62</v>
      </c>
      <c r="BZ178" s="7">
        <v>45498</v>
      </c>
      <c r="CA178">
        <v>3.4220000000000002</v>
      </c>
      <c r="CB178">
        <v>3.3530000000000002</v>
      </c>
      <c r="CC178">
        <v>3.3050000000000002</v>
      </c>
      <c r="CD178">
        <v>3.24</v>
      </c>
      <c r="CE178">
        <v>3.2090000000000001</v>
      </c>
      <c r="CF178" s="6">
        <v>3.218</v>
      </c>
      <c r="CG178" s="6">
        <v>3.2290000000000001</v>
      </c>
      <c r="CH178">
        <v>3.22</v>
      </c>
    </row>
    <row r="179" spans="2:86">
      <c r="B179" s="7">
        <v>45497</v>
      </c>
      <c r="C179">
        <v>3.286</v>
      </c>
      <c r="D179">
        <v>3.214</v>
      </c>
      <c r="E179">
        <v>3.21</v>
      </c>
      <c r="F179">
        <v>3.1589999999999998</v>
      </c>
      <c r="G179">
        <v>3.1150000000000002</v>
      </c>
      <c r="H179">
        <v>3.0449999999999999</v>
      </c>
      <c r="I179" s="6">
        <v>3.085</v>
      </c>
      <c r="J179" s="6">
        <v>3.0739999999999998</v>
      </c>
      <c r="K179" s="6">
        <v>3.1320000000000001</v>
      </c>
      <c r="L179" s="6">
        <v>3.1320000000000001</v>
      </c>
      <c r="M179" s="6">
        <v>3.0870000000000002</v>
      </c>
      <c r="N179" s="6">
        <v>3.0049999999999999</v>
      </c>
      <c r="O179" s="7">
        <v>45497</v>
      </c>
      <c r="P179">
        <v>3.2789999999999999</v>
      </c>
      <c r="Q179">
        <v>3.2429999999999999</v>
      </c>
      <c r="R179">
        <v>3.2040000000000002</v>
      </c>
      <c r="S179">
        <v>3.1739999999999999</v>
      </c>
      <c r="T179">
        <v>3.0979999999999999</v>
      </c>
      <c r="U179" s="6">
        <v>3.11</v>
      </c>
      <c r="V179" s="6">
        <v>0</v>
      </c>
      <c r="W179">
        <v>0</v>
      </c>
      <c r="X179" s="7">
        <v>45497</v>
      </c>
      <c r="Y179">
        <v>3.3439999999999999</v>
      </c>
      <c r="Z179">
        <v>3.278</v>
      </c>
      <c r="AA179">
        <v>3.242</v>
      </c>
      <c r="AB179">
        <v>3.17</v>
      </c>
      <c r="AC179">
        <v>3.1429999999999998</v>
      </c>
      <c r="AD179" s="6">
        <v>3.13</v>
      </c>
      <c r="AE179" s="6">
        <v>3.145</v>
      </c>
      <c r="AF179">
        <v>3.177</v>
      </c>
      <c r="AG179" s="7">
        <v>45497</v>
      </c>
      <c r="AH179">
        <v>3.4089999999999998</v>
      </c>
      <c r="AI179">
        <v>3.3610000000000002</v>
      </c>
      <c r="AJ179">
        <v>3.3079999999999998</v>
      </c>
      <c r="AK179">
        <v>3.25</v>
      </c>
      <c r="AL179">
        <v>3.194</v>
      </c>
      <c r="AM179" s="6">
        <v>3.17</v>
      </c>
      <c r="AN179" s="6">
        <v>3.1760000000000002</v>
      </c>
      <c r="AO179">
        <v>3.1949999999999998</v>
      </c>
      <c r="AP179" s="7">
        <v>45497</v>
      </c>
      <c r="AQ179">
        <v>3.4990000000000001</v>
      </c>
      <c r="AR179">
        <v>3.504</v>
      </c>
      <c r="AS179">
        <v>3.5059999999999998</v>
      </c>
      <c r="AT179">
        <v>3.4889999999999999</v>
      </c>
      <c r="AU179">
        <v>3.4489999999999998</v>
      </c>
      <c r="AV179" s="6">
        <v>3.492</v>
      </c>
      <c r="AW179" s="6">
        <v>3.5409999999999999</v>
      </c>
      <c r="AX179">
        <v>3.633</v>
      </c>
      <c r="AY179" s="7">
        <v>45497</v>
      </c>
      <c r="AZ179">
        <v>3.399</v>
      </c>
      <c r="BA179">
        <v>3.347</v>
      </c>
      <c r="BB179">
        <v>3.3359999999999999</v>
      </c>
      <c r="BC179">
        <v>3.2629999999999999</v>
      </c>
      <c r="BD179">
        <v>3.2149999999999999</v>
      </c>
      <c r="BE179" s="6">
        <v>3.214</v>
      </c>
      <c r="BF179" s="6">
        <v>3.2370000000000001</v>
      </c>
      <c r="BG179">
        <v>3.2370000000000001</v>
      </c>
      <c r="BH179" s="7">
        <v>45497</v>
      </c>
      <c r="BI179">
        <v>3.355</v>
      </c>
      <c r="BJ179">
        <v>3.286</v>
      </c>
      <c r="BK179">
        <v>3.2639999999999998</v>
      </c>
      <c r="BL179">
        <v>3.206</v>
      </c>
      <c r="BM179">
        <v>3.157</v>
      </c>
      <c r="BN179" s="6">
        <v>3.1480000000000001</v>
      </c>
      <c r="BO179" s="6">
        <v>3.165</v>
      </c>
      <c r="BP179">
        <v>3.1859999999999999</v>
      </c>
      <c r="BQ179" s="7">
        <v>45497</v>
      </c>
      <c r="BR179">
        <v>3.6339999999999999</v>
      </c>
      <c r="BS179">
        <v>3.6190000000000002</v>
      </c>
      <c r="BT179">
        <v>3.6429999999999998</v>
      </c>
      <c r="BU179">
        <v>3.6070000000000002</v>
      </c>
      <c r="BV179">
        <v>3.5779999999999998</v>
      </c>
      <c r="BW179" s="6">
        <v>3.6030000000000002</v>
      </c>
      <c r="BX179" s="6">
        <v>3.6219999999999999</v>
      </c>
      <c r="BY179">
        <v>3.64</v>
      </c>
      <c r="BZ179" s="7">
        <v>45497</v>
      </c>
      <c r="CA179">
        <v>3.4289999999999998</v>
      </c>
      <c r="CB179">
        <v>3.3639999999999999</v>
      </c>
      <c r="CC179">
        <v>3.327</v>
      </c>
      <c r="CD179">
        <v>3.2639999999999998</v>
      </c>
      <c r="CE179">
        <v>3.2320000000000002</v>
      </c>
      <c r="CF179" s="6">
        <v>3.2429999999999999</v>
      </c>
      <c r="CG179" s="6">
        <v>3.2559999999999998</v>
      </c>
      <c r="CH179">
        <v>3.2370000000000001</v>
      </c>
    </row>
    <row r="180" spans="2:86">
      <c r="B180" s="7">
        <v>45496</v>
      </c>
      <c r="C180">
        <v>3.2930000000000001</v>
      </c>
      <c r="D180">
        <v>3.22</v>
      </c>
      <c r="E180">
        <v>3.2240000000000002</v>
      </c>
      <c r="F180">
        <v>3.1829999999999998</v>
      </c>
      <c r="G180">
        <v>3.1429999999999998</v>
      </c>
      <c r="H180">
        <v>3.0870000000000002</v>
      </c>
      <c r="I180" s="6">
        <v>3.1219999999999999</v>
      </c>
      <c r="J180" s="6">
        <v>3.1120000000000001</v>
      </c>
      <c r="K180" s="6">
        <v>3.1709999999999998</v>
      </c>
      <c r="L180" s="6">
        <v>3.1720000000000002</v>
      </c>
      <c r="M180" s="6">
        <v>3.117</v>
      </c>
      <c r="N180" s="6">
        <v>3.0350000000000001</v>
      </c>
      <c r="O180" s="7">
        <v>45496</v>
      </c>
      <c r="P180">
        <v>3.2890000000000001</v>
      </c>
      <c r="Q180">
        <v>3.2629999999999999</v>
      </c>
      <c r="R180">
        <v>3.2269999999999999</v>
      </c>
      <c r="S180">
        <v>3.1840000000000002</v>
      </c>
      <c r="T180">
        <v>3.1320000000000001</v>
      </c>
      <c r="U180" s="6">
        <v>3.1520000000000001</v>
      </c>
      <c r="V180" s="6">
        <v>0</v>
      </c>
      <c r="W180">
        <v>0</v>
      </c>
      <c r="X180" s="7">
        <v>45496</v>
      </c>
      <c r="Y180">
        <v>3.351</v>
      </c>
      <c r="Z180">
        <v>3.2850000000000001</v>
      </c>
      <c r="AA180">
        <v>3.2549999999999999</v>
      </c>
      <c r="AB180">
        <v>3.194</v>
      </c>
      <c r="AC180">
        <v>3.1709999999999998</v>
      </c>
      <c r="AD180" s="6">
        <v>3.1709999999999998</v>
      </c>
      <c r="AE180" s="6">
        <v>3.1829999999999998</v>
      </c>
      <c r="AF180">
        <v>3.2130000000000001</v>
      </c>
      <c r="AG180" s="7">
        <v>45496</v>
      </c>
      <c r="AH180">
        <v>3.415</v>
      </c>
      <c r="AI180">
        <v>3.3730000000000002</v>
      </c>
      <c r="AJ180">
        <v>3.3220000000000001</v>
      </c>
      <c r="AK180">
        <v>3.2549999999999999</v>
      </c>
      <c r="AL180">
        <v>3.222</v>
      </c>
      <c r="AM180" s="6">
        <v>3.21</v>
      </c>
      <c r="AN180" s="6">
        <v>3.2130000000000001</v>
      </c>
      <c r="AO180">
        <v>3.2330000000000001</v>
      </c>
      <c r="AP180" s="7">
        <v>45496</v>
      </c>
      <c r="AQ180">
        <v>3.5139999999999998</v>
      </c>
      <c r="AR180">
        <v>3.52</v>
      </c>
      <c r="AS180">
        <v>3.53</v>
      </c>
      <c r="AT180">
        <v>3.5019999999999998</v>
      </c>
      <c r="AU180">
        <v>3.4860000000000002</v>
      </c>
      <c r="AV180" s="6">
        <v>3.5379999999999998</v>
      </c>
      <c r="AW180" s="6">
        <v>3.5779999999999998</v>
      </c>
      <c r="AX180">
        <v>3.6709999999999998</v>
      </c>
      <c r="AY180" s="7">
        <v>45496</v>
      </c>
      <c r="AZ180">
        <v>3.411</v>
      </c>
      <c r="BA180">
        <v>3.3660000000000001</v>
      </c>
      <c r="BB180">
        <v>3.3570000000000002</v>
      </c>
      <c r="BC180">
        <v>3.27</v>
      </c>
      <c r="BD180">
        <v>3.24</v>
      </c>
      <c r="BE180" s="6">
        <v>3.242</v>
      </c>
      <c r="BF180" s="6">
        <v>3.2679999999999998</v>
      </c>
      <c r="BG180">
        <v>3.2730000000000001</v>
      </c>
      <c r="BH180" s="7">
        <v>45496</v>
      </c>
      <c r="BI180">
        <v>3.3650000000000002</v>
      </c>
      <c r="BJ180">
        <v>3.302</v>
      </c>
      <c r="BK180">
        <v>3.2850000000000001</v>
      </c>
      <c r="BL180">
        <v>3.2120000000000002</v>
      </c>
      <c r="BM180">
        <v>3.1819999999999999</v>
      </c>
      <c r="BN180" s="6">
        <v>3.18</v>
      </c>
      <c r="BO180" s="6">
        <v>3.1989999999999998</v>
      </c>
      <c r="BP180">
        <v>3.2229999999999999</v>
      </c>
      <c r="BQ180" s="7">
        <v>45496</v>
      </c>
      <c r="BR180">
        <v>3.6459999999999999</v>
      </c>
      <c r="BS180">
        <v>3.6379999999999999</v>
      </c>
      <c r="BT180">
        <v>3.6640000000000001</v>
      </c>
      <c r="BU180">
        <v>3.613</v>
      </c>
      <c r="BV180">
        <v>3.6059999999999999</v>
      </c>
      <c r="BW180" s="6">
        <v>3.64</v>
      </c>
      <c r="BX180" s="6">
        <v>3.6589999999999998</v>
      </c>
      <c r="BY180">
        <v>3.6779999999999999</v>
      </c>
      <c r="BZ180" s="7">
        <v>45496</v>
      </c>
      <c r="CA180">
        <v>3.4359999999999999</v>
      </c>
      <c r="CB180">
        <v>3.371</v>
      </c>
      <c r="CC180">
        <v>3.34</v>
      </c>
      <c r="CD180">
        <v>3.2879999999999998</v>
      </c>
      <c r="CE180">
        <v>3.26</v>
      </c>
      <c r="CF180" s="6">
        <v>3.286</v>
      </c>
      <c r="CG180" s="6">
        <v>3.2949999999999999</v>
      </c>
      <c r="CH180">
        <v>3.2730000000000001</v>
      </c>
    </row>
    <row r="181" spans="2:86">
      <c r="B181" s="7">
        <v>45495</v>
      </c>
      <c r="C181">
        <v>3.2930000000000001</v>
      </c>
      <c r="D181">
        <v>3.2210000000000001</v>
      </c>
      <c r="E181">
        <v>3.23</v>
      </c>
      <c r="F181">
        <v>3.1789999999999998</v>
      </c>
      <c r="G181">
        <v>3.1259999999999999</v>
      </c>
      <c r="H181">
        <v>3.069</v>
      </c>
      <c r="I181" s="6">
        <v>3.1</v>
      </c>
      <c r="J181" s="6">
        <v>3.085</v>
      </c>
      <c r="K181" s="6">
        <v>3.1429999999999998</v>
      </c>
      <c r="L181" s="6">
        <v>3.1429999999999998</v>
      </c>
      <c r="M181" s="6">
        <v>3.0950000000000002</v>
      </c>
      <c r="N181" s="6">
        <v>3.0139999999999998</v>
      </c>
      <c r="O181" s="7">
        <v>45495</v>
      </c>
      <c r="P181">
        <v>3.2890000000000001</v>
      </c>
      <c r="Q181">
        <v>3.2669999999999999</v>
      </c>
      <c r="R181">
        <v>3.2269999999999999</v>
      </c>
      <c r="S181">
        <v>3.1640000000000001</v>
      </c>
      <c r="T181">
        <v>3.1150000000000002</v>
      </c>
      <c r="U181" s="6">
        <v>3.1339999999999999</v>
      </c>
      <c r="V181" s="6">
        <v>0</v>
      </c>
      <c r="W181">
        <v>0</v>
      </c>
      <c r="X181" s="7">
        <v>45495</v>
      </c>
      <c r="Y181">
        <v>3.351</v>
      </c>
      <c r="Z181">
        <v>3.286</v>
      </c>
      <c r="AA181">
        <v>3.2610000000000001</v>
      </c>
      <c r="AB181">
        <v>3.1859999999999999</v>
      </c>
      <c r="AC181">
        <v>3.1549999999999998</v>
      </c>
      <c r="AD181" s="6">
        <v>3.153</v>
      </c>
      <c r="AE181" s="6">
        <v>3.1619999999999999</v>
      </c>
      <c r="AF181">
        <v>3.1890000000000001</v>
      </c>
      <c r="AG181" s="7">
        <v>45495</v>
      </c>
      <c r="AH181">
        <v>3.4089999999999998</v>
      </c>
      <c r="AI181">
        <v>3.3719999999999999</v>
      </c>
      <c r="AJ181">
        <v>3.3159999999999998</v>
      </c>
      <c r="AK181">
        <v>3.2360000000000002</v>
      </c>
      <c r="AL181">
        <v>3.2050000000000001</v>
      </c>
      <c r="AM181" s="6">
        <v>3.194</v>
      </c>
      <c r="AN181" s="6">
        <v>3.194</v>
      </c>
      <c r="AO181">
        <v>3.206</v>
      </c>
      <c r="AP181" s="7">
        <v>45495</v>
      </c>
      <c r="AQ181">
        <v>3.5129999999999999</v>
      </c>
      <c r="AR181">
        <v>3.5209999999999999</v>
      </c>
      <c r="AS181">
        <v>3.5310000000000001</v>
      </c>
      <c r="AT181">
        <v>3.4849999999999999</v>
      </c>
      <c r="AU181">
        <v>3.472</v>
      </c>
      <c r="AV181" s="6">
        <v>3.5219999999999998</v>
      </c>
      <c r="AW181" s="6">
        <v>3.5569999999999999</v>
      </c>
      <c r="AX181">
        <v>3.645</v>
      </c>
      <c r="AY181" s="7">
        <v>45495</v>
      </c>
      <c r="AZ181">
        <v>3.4079999999999999</v>
      </c>
      <c r="BA181">
        <v>3.3679999999999999</v>
      </c>
      <c r="BB181">
        <v>3.3570000000000002</v>
      </c>
      <c r="BC181">
        <v>3.25</v>
      </c>
      <c r="BD181">
        <v>3.2240000000000002</v>
      </c>
      <c r="BE181" s="6">
        <v>3.226</v>
      </c>
      <c r="BF181" s="6">
        <v>3.2469999999999999</v>
      </c>
      <c r="BG181">
        <v>3.246</v>
      </c>
      <c r="BH181" s="7">
        <v>45495</v>
      </c>
      <c r="BI181">
        <v>3.3620000000000001</v>
      </c>
      <c r="BJ181">
        <v>3.3039999999999998</v>
      </c>
      <c r="BK181">
        <v>3.2850000000000001</v>
      </c>
      <c r="BL181">
        <v>3.1920000000000002</v>
      </c>
      <c r="BM181">
        <v>3.1640000000000001</v>
      </c>
      <c r="BN181" s="6">
        <v>3.1619999999999999</v>
      </c>
      <c r="BO181" s="6">
        <v>3.1789999999999998</v>
      </c>
      <c r="BP181">
        <v>3.198</v>
      </c>
      <c r="BQ181" s="7">
        <v>45495</v>
      </c>
      <c r="BR181">
        <v>3.6459999999999999</v>
      </c>
      <c r="BS181">
        <v>3.64</v>
      </c>
      <c r="BT181">
        <v>3.6640000000000001</v>
      </c>
      <c r="BU181">
        <v>3.593</v>
      </c>
      <c r="BV181">
        <v>3.589</v>
      </c>
      <c r="BW181" s="6">
        <v>3.6219999999999999</v>
      </c>
      <c r="BX181" s="6">
        <v>3.6389999999999998</v>
      </c>
      <c r="BY181">
        <v>3.653</v>
      </c>
      <c r="BZ181" s="7">
        <v>45495</v>
      </c>
      <c r="CA181">
        <v>3.4359999999999999</v>
      </c>
      <c r="CB181">
        <v>3.3719999999999999</v>
      </c>
      <c r="CC181">
        <v>3.3460000000000001</v>
      </c>
      <c r="CD181">
        <v>3.28</v>
      </c>
      <c r="CE181">
        <v>3.2440000000000002</v>
      </c>
      <c r="CF181" s="6">
        <v>3.2679999999999998</v>
      </c>
      <c r="CG181" s="6">
        <v>3.2730000000000001</v>
      </c>
      <c r="CH181">
        <v>3.2490000000000001</v>
      </c>
    </row>
    <row r="182" spans="2:86">
      <c r="B182" s="7">
        <v>45492</v>
      </c>
      <c r="C182">
        <v>3.2930000000000001</v>
      </c>
      <c r="D182">
        <v>3.2210000000000001</v>
      </c>
      <c r="E182">
        <v>3.2280000000000002</v>
      </c>
      <c r="F182">
        <v>3.1819999999999999</v>
      </c>
      <c r="G182">
        <v>3.137</v>
      </c>
      <c r="H182">
        <v>3.0720000000000001</v>
      </c>
      <c r="I182" s="6">
        <v>3.1070000000000002</v>
      </c>
      <c r="J182" s="6">
        <v>3.0950000000000002</v>
      </c>
      <c r="K182" s="6">
        <v>3.153</v>
      </c>
      <c r="L182" s="6">
        <v>3.1520000000000001</v>
      </c>
      <c r="M182" s="6">
        <v>3.105</v>
      </c>
      <c r="N182" s="6">
        <v>3.0249999999999999</v>
      </c>
      <c r="O182" s="7">
        <v>45492</v>
      </c>
      <c r="P182">
        <v>3.2890000000000001</v>
      </c>
      <c r="Q182">
        <v>3.2690000000000001</v>
      </c>
      <c r="R182">
        <v>3.23</v>
      </c>
      <c r="S182">
        <v>3.1680000000000001</v>
      </c>
      <c r="T182">
        <v>3.1230000000000002</v>
      </c>
      <c r="U182" s="6">
        <v>3.14</v>
      </c>
      <c r="V182" s="6">
        <v>0</v>
      </c>
      <c r="W182">
        <v>0</v>
      </c>
      <c r="X182" s="7">
        <v>45492</v>
      </c>
      <c r="Y182">
        <v>3.351</v>
      </c>
      <c r="Z182">
        <v>3.286</v>
      </c>
      <c r="AA182">
        <v>3.2629999999999999</v>
      </c>
      <c r="AB182">
        <v>3.19</v>
      </c>
      <c r="AC182">
        <v>3.1659999999999999</v>
      </c>
      <c r="AD182" s="6">
        <v>3.157</v>
      </c>
      <c r="AE182" s="6">
        <v>3.1680000000000001</v>
      </c>
      <c r="AF182">
        <v>3.198</v>
      </c>
      <c r="AG182" s="7">
        <v>45492</v>
      </c>
      <c r="AH182">
        <v>3.4039999999999999</v>
      </c>
      <c r="AI182">
        <v>3.371</v>
      </c>
      <c r="AJ182">
        <v>3.3149999999999999</v>
      </c>
      <c r="AK182">
        <v>3.2360000000000002</v>
      </c>
      <c r="AL182">
        <v>3.2080000000000002</v>
      </c>
      <c r="AM182" s="6">
        <v>3.1970000000000001</v>
      </c>
      <c r="AN182" s="6">
        <v>3.2</v>
      </c>
      <c r="AO182">
        <v>3.2160000000000002</v>
      </c>
      <c r="AP182" s="7">
        <v>45492</v>
      </c>
      <c r="AQ182">
        <v>3.5129999999999999</v>
      </c>
      <c r="AR182">
        <v>3.5209999999999999</v>
      </c>
      <c r="AS182">
        <v>3.5339999999999998</v>
      </c>
      <c r="AT182">
        <v>3.484</v>
      </c>
      <c r="AU182">
        <v>3.4769999999999999</v>
      </c>
      <c r="AV182" s="6">
        <v>3.5219999999999998</v>
      </c>
      <c r="AW182" s="6">
        <v>3.5640000000000001</v>
      </c>
      <c r="AX182">
        <v>3.6549999999999998</v>
      </c>
      <c r="AY182" s="7">
        <v>45492</v>
      </c>
      <c r="AZ182">
        <v>3.4079999999999999</v>
      </c>
      <c r="BA182">
        <v>3.37</v>
      </c>
      <c r="BB182">
        <v>3.3610000000000002</v>
      </c>
      <c r="BC182">
        <v>3.254</v>
      </c>
      <c r="BD182">
        <v>3.23</v>
      </c>
      <c r="BE182" s="6">
        <v>3.2240000000000002</v>
      </c>
      <c r="BF182" s="6">
        <v>3.2530000000000001</v>
      </c>
      <c r="BG182">
        <v>3.2549999999999999</v>
      </c>
      <c r="BH182" s="7">
        <v>45492</v>
      </c>
      <c r="BI182">
        <v>3.3620000000000001</v>
      </c>
      <c r="BJ182">
        <v>3.306</v>
      </c>
      <c r="BK182">
        <v>3.2890000000000001</v>
      </c>
      <c r="BL182">
        <v>3.1970000000000001</v>
      </c>
      <c r="BM182">
        <v>3.1709999999999998</v>
      </c>
      <c r="BN182" s="6">
        <v>3.16</v>
      </c>
      <c r="BO182" s="6">
        <v>3.1850000000000001</v>
      </c>
      <c r="BP182">
        <v>3.2069999999999999</v>
      </c>
      <c r="BQ182" s="7">
        <v>45492</v>
      </c>
      <c r="BR182">
        <v>3.6459999999999999</v>
      </c>
      <c r="BS182">
        <v>3.6419999999999999</v>
      </c>
      <c r="BT182">
        <v>3.6680000000000001</v>
      </c>
      <c r="BU182">
        <v>3.5979999999999999</v>
      </c>
      <c r="BV182">
        <v>3.597</v>
      </c>
      <c r="BW182" s="6">
        <v>3.6219999999999999</v>
      </c>
      <c r="BX182" s="6">
        <v>3.645</v>
      </c>
      <c r="BY182">
        <v>3.6619999999999999</v>
      </c>
      <c r="BZ182" s="7">
        <v>45492</v>
      </c>
      <c r="CA182">
        <v>3.4359999999999999</v>
      </c>
      <c r="CB182">
        <v>3.3719999999999999</v>
      </c>
      <c r="CC182">
        <v>3.3479999999999999</v>
      </c>
      <c r="CD182">
        <v>3.2839999999999998</v>
      </c>
      <c r="CE182">
        <v>3.2549999999999999</v>
      </c>
      <c r="CF182" s="6">
        <v>3.2719999999999998</v>
      </c>
      <c r="CG182" s="6">
        <v>3.28</v>
      </c>
      <c r="CH182">
        <v>3.258</v>
      </c>
    </row>
    <row r="183" spans="2:86">
      <c r="B183" s="7">
        <v>45491</v>
      </c>
      <c r="C183">
        <v>3.2909999999999999</v>
      </c>
      <c r="D183">
        <v>3.2149999999999999</v>
      </c>
      <c r="E183">
        <v>3.2109999999999999</v>
      </c>
      <c r="F183">
        <v>3.1669999999999998</v>
      </c>
      <c r="G183">
        <v>3.1179999999999999</v>
      </c>
      <c r="H183">
        <v>3.06</v>
      </c>
      <c r="I183" s="6">
        <v>3.0939999999999999</v>
      </c>
      <c r="J183" s="6">
        <v>3.0819999999999999</v>
      </c>
      <c r="K183" s="6">
        <v>3.137</v>
      </c>
      <c r="L183" s="6">
        <v>3.1349999999999998</v>
      </c>
      <c r="M183" s="6">
        <v>3.089</v>
      </c>
      <c r="N183" s="6">
        <v>3.01</v>
      </c>
      <c r="O183" s="7">
        <v>45491</v>
      </c>
      <c r="P183">
        <v>3.2890000000000001</v>
      </c>
      <c r="Q183">
        <v>3.2690000000000001</v>
      </c>
      <c r="R183">
        <v>3.222</v>
      </c>
      <c r="S183">
        <v>3.15</v>
      </c>
      <c r="T183">
        <v>3.11</v>
      </c>
      <c r="U183" s="6">
        <v>3.125</v>
      </c>
      <c r="V183" s="6">
        <v>0</v>
      </c>
      <c r="W183">
        <v>0</v>
      </c>
      <c r="X183" s="7">
        <v>45491</v>
      </c>
      <c r="Y183">
        <v>3.351</v>
      </c>
      <c r="Z183">
        <v>3.2810000000000001</v>
      </c>
      <c r="AA183">
        <v>3.246</v>
      </c>
      <c r="AB183">
        <v>3.1749999999999998</v>
      </c>
      <c r="AC183">
        <v>3.1509999999999998</v>
      </c>
      <c r="AD183" s="6">
        <v>3.1440000000000001</v>
      </c>
      <c r="AE183" s="6">
        <v>3.1549999999999998</v>
      </c>
      <c r="AF183">
        <v>3.18</v>
      </c>
      <c r="AG183" s="7">
        <v>45491</v>
      </c>
      <c r="AH183">
        <v>3.4020000000000001</v>
      </c>
      <c r="AI183">
        <v>3.3690000000000002</v>
      </c>
      <c r="AJ183">
        <v>3.306</v>
      </c>
      <c r="AK183">
        <v>3.22</v>
      </c>
      <c r="AL183">
        <v>3.1960000000000002</v>
      </c>
      <c r="AM183" s="6">
        <v>3.1850000000000001</v>
      </c>
      <c r="AN183" s="6">
        <v>3.1869999999999998</v>
      </c>
      <c r="AO183">
        <v>3.2029999999999998</v>
      </c>
      <c r="AP183" s="7">
        <v>45491</v>
      </c>
      <c r="AQ183">
        <v>3.51</v>
      </c>
      <c r="AR183">
        <v>3.5179999999999998</v>
      </c>
      <c r="AS183">
        <v>3.524</v>
      </c>
      <c r="AT183">
        <v>3.4689999999999999</v>
      </c>
      <c r="AU183">
        <v>3.4649999999999999</v>
      </c>
      <c r="AV183" s="6">
        <v>3.51</v>
      </c>
      <c r="AW183" s="6">
        <v>3.5510000000000002</v>
      </c>
      <c r="AX183">
        <v>3.6419999999999999</v>
      </c>
      <c r="AY183" s="7">
        <v>45491</v>
      </c>
      <c r="AZ183">
        <v>3.4169999999999998</v>
      </c>
      <c r="BA183">
        <v>3.3769999999999998</v>
      </c>
      <c r="BB183">
        <v>3.3570000000000002</v>
      </c>
      <c r="BC183">
        <v>3.24</v>
      </c>
      <c r="BD183">
        <v>3.2210000000000001</v>
      </c>
      <c r="BE183" s="6">
        <v>3.2109999999999999</v>
      </c>
      <c r="BF183" s="6">
        <v>3.2389999999999999</v>
      </c>
      <c r="BG183">
        <v>3.2410000000000001</v>
      </c>
      <c r="BH183" s="7">
        <v>45491</v>
      </c>
      <c r="BI183">
        <v>3.363</v>
      </c>
      <c r="BJ183">
        <v>3.3119999999999998</v>
      </c>
      <c r="BK183">
        <v>3.2850000000000001</v>
      </c>
      <c r="BL183">
        <v>3.1789999999999998</v>
      </c>
      <c r="BM183">
        <v>3.1549999999999998</v>
      </c>
      <c r="BN183" s="6">
        <v>3.1469999999999998</v>
      </c>
      <c r="BO183" s="6">
        <v>3.1709999999999998</v>
      </c>
      <c r="BP183">
        <v>3.194</v>
      </c>
      <c r="BQ183" s="7">
        <v>45491</v>
      </c>
      <c r="BR183">
        <v>3.6549999999999998</v>
      </c>
      <c r="BS183">
        <v>3.649</v>
      </c>
      <c r="BT183">
        <v>3.6619999999999999</v>
      </c>
      <c r="BU183">
        <v>3.5859999999999999</v>
      </c>
      <c r="BV183">
        <v>3.5870000000000002</v>
      </c>
      <c r="BW183" s="6">
        <v>3.609</v>
      </c>
      <c r="BX183" s="6">
        <v>3.6309999999999998</v>
      </c>
      <c r="BY183">
        <v>3.6480000000000001</v>
      </c>
      <c r="BZ183" s="7">
        <v>45491</v>
      </c>
      <c r="CA183">
        <v>3.4340000000000002</v>
      </c>
      <c r="CB183">
        <v>3.367</v>
      </c>
      <c r="CC183">
        <v>3.331</v>
      </c>
      <c r="CD183">
        <v>3.2690000000000001</v>
      </c>
      <c r="CE183">
        <v>3.238</v>
      </c>
      <c r="CF183" s="6">
        <v>3.2589999999999999</v>
      </c>
      <c r="CG183" s="6">
        <v>3.266</v>
      </c>
      <c r="CH183">
        <v>3.24</v>
      </c>
    </row>
    <row r="184" spans="2:86">
      <c r="B184" s="7">
        <v>45490</v>
      </c>
      <c r="C184">
        <v>3.286</v>
      </c>
      <c r="D184">
        <v>3.2080000000000002</v>
      </c>
      <c r="E184">
        <v>3.2010000000000001</v>
      </c>
      <c r="F184">
        <v>3.1579999999999999</v>
      </c>
      <c r="G184">
        <v>3.1110000000000002</v>
      </c>
      <c r="H184">
        <v>3.0529999999999999</v>
      </c>
      <c r="I184" s="6">
        <v>3.0870000000000002</v>
      </c>
      <c r="J184" s="6">
        <v>3.0739999999999998</v>
      </c>
      <c r="K184" s="6">
        <v>3.1349999999999998</v>
      </c>
      <c r="L184" s="6">
        <v>3.14</v>
      </c>
      <c r="M184" s="6">
        <v>3.1019999999999999</v>
      </c>
      <c r="N184" s="6">
        <v>3.0249999999999999</v>
      </c>
      <c r="O184" s="7">
        <v>45490</v>
      </c>
      <c r="P184">
        <v>3.282</v>
      </c>
      <c r="Q184">
        <v>3.26</v>
      </c>
      <c r="R184">
        <v>3.1960000000000002</v>
      </c>
      <c r="S184">
        <v>3.141</v>
      </c>
      <c r="T184">
        <v>3.11</v>
      </c>
      <c r="U184" s="6">
        <v>3.1190000000000002</v>
      </c>
      <c r="V184" s="6">
        <v>0</v>
      </c>
      <c r="W184">
        <v>0</v>
      </c>
      <c r="X184" s="7">
        <v>45490</v>
      </c>
      <c r="Y184">
        <v>3.3460000000000001</v>
      </c>
      <c r="Z184">
        <v>3.274</v>
      </c>
      <c r="AA184">
        <v>3.2349999999999999</v>
      </c>
      <c r="AB184">
        <v>3.1669999999999998</v>
      </c>
      <c r="AC184">
        <v>3.1480000000000001</v>
      </c>
      <c r="AD184" s="6">
        <v>3.14</v>
      </c>
      <c r="AE184" s="6">
        <v>3.1509999999999998</v>
      </c>
      <c r="AF184">
        <v>3.1739999999999999</v>
      </c>
      <c r="AG184" s="7">
        <v>45490</v>
      </c>
      <c r="AH184">
        <v>3.3969999999999998</v>
      </c>
      <c r="AI184">
        <v>3.3620000000000001</v>
      </c>
      <c r="AJ184">
        <v>3.2829999999999999</v>
      </c>
      <c r="AK184">
        <v>3.2109999999999999</v>
      </c>
      <c r="AL184">
        <v>3.198</v>
      </c>
      <c r="AM184" s="6">
        <v>3.1779999999999999</v>
      </c>
      <c r="AN184" s="6">
        <v>3.181</v>
      </c>
      <c r="AO184">
        <v>3.1949999999999998</v>
      </c>
      <c r="AP184" s="7">
        <v>45490</v>
      </c>
      <c r="AQ184">
        <v>3.504</v>
      </c>
      <c r="AR184">
        <v>3.51</v>
      </c>
      <c r="AS184">
        <v>3.5019999999999998</v>
      </c>
      <c r="AT184">
        <v>3.4660000000000002</v>
      </c>
      <c r="AU184">
        <v>3.47</v>
      </c>
      <c r="AV184" s="6">
        <v>3.5049999999999999</v>
      </c>
      <c r="AW184" s="6">
        <v>3.544</v>
      </c>
      <c r="AX184">
        <v>3.641</v>
      </c>
      <c r="AY184" s="7">
        <v>45490</v>
      </c>
      <c r="AZ184">
        <v>3.4089999999999998</v>
      </c>
      <c r="BA184">
        <v>3.37</v>
      </c>
      <c r="BB184">
        <v>3.3380000000000001</v>
      </c>
      <c r="BC184">
        <v>3.2330000000000001</v>
      </c>
      <c r="BD184">
        <v>3.222</v>
      </c>
      <c r="BE184" s="6">
        <v>3.2069999999999999</v>
      </c>
      <c r="BF184" s="6">
        <v>3.2330000000000001</v>
      </c>
      <c r="BG184">
        <v>3.2349999999999999</v>
      </c>
      <c r="BH184" s="7">
        <v>45490</v>
      </c>
      <c r="BI184">
        <v>3.3559999999999999</v>
      </c>
      <c r="BJ184">
        <v>3.3039999999999998</v>
      </c>
      <c r="BK184">
        <v>3.266</v>
      </c>
      <c r="BL184">
        <v>3.1709999999999998</v>
      </c>
      <c r="BM184">
        <v>3.157</v>
      </c>
      <c r="BN184" s="6">
        <v>3.1429999999999998</v>
      </c>
      <c r="BO184" s="6">
        <v>3.165</v>
      </c>
      <c r="BP184">
        <v>3.1869999999999998</v>
      </c>
      <c r="BQ184" s="7">
        <v>45490</v>
      </c>
      <c r="BR184">
        <v>3.6469999999999998</v>
      </c>
      <c r="BS184">
        <v>3.6419999999999999</v>
      </c>
      <c r="BT184">
        <v>3.6429999999999998</v>
      </c>
      <c r="BU184">
        <v>3.5790000000000002</v>
      </c>
      <c r="BV184">
        <v>3.589</v>
      </c>
      <c r="BW184" s="6">
        <v>3.605</v>
      </c>
      <c r="BX184" s="6">
        <v>3.625</v>
      </c>
      <c r="BY184">
        <v>3.6419999999999999</v>
      </c>
      <c r="BZ184" s="7">
        <v>45490</v>
      </c>
      <c r="CA184">
        <v>3.4289999999999998</v>
      </c>
      <c r="CB184">
        <v>3.36</v>
      </c>
      <c r="CC184">
        <v>3.319</v>
      </c>
      <c r="CD184">
        <v>3.26</v>
      </c>
      <c r="CE184">
        <v>3.234</v>
      </c>
      <c r="CF184" s="6">
        <v>3.2530000000000001</v>
      </c>
      <c r="CG184" s="6">
        <v>3.26</v>
      </c>
      <c r="CH184">
        <v>3.234</v>
      </c>
    </row>
    <row r="185" spans="2:86">
      <c r="B185" s="7">
        <v>45489</v>
      </c>
      <c r="C185">
        <v>3.278</v>
      </c>
      <c r="D185">
        <v>3.198</v>
      </c>
      <c r="E185">
        <v>3.19</v>
      </c>
      <c r="F185">
        <v>3.137</v>
      </c>
      <c r="G185">
        <v>3.0950000000000002</v>
      </c>
      <c r="H185">
        <v>3.0350000000000001</v>
      </c>
      <c r="I185" s="6">
        <v>3.07</v>
      </c>
      <c r="J185" s="6">
        <v>3.06</v>
      </c>
      <c r="K185" s="6">
        <v>3.1280000000000001</v>
      </c>
      <c r="L185" s="6">
        <v>3.137</v>
      </c>
      <c r="M185" s="6">
        <v>3.1030000000000002</v>
      </c>
      <c r="N185" s="6">
        <v>3.03</v>
      </c>
      <c r="O185" s="7">
        <v>45489</v>
      </c>
      <c r="P185">
        <v>3.2789999999999999</v>
      </c>
      <c r="Q185">
        <v>3.2570000000000001</v>
      </c>
      <c r="R185">
        <v>3.1859999999999999</v>
      </c>
      <c r="S185">
        <v>3.1259999999999999</v>
      </c>
      <c r="T185">
        <v>3.0870000000000002</v>
      </c>
      <c r="U185" s="6">
        <v>3.1</v>
      </c>
      <c r="V185" s="6">
        <v>0</v>
      </c>
      <c r="W185">
        <v>0</v>
      </c>
      <c r="X185" s="7">
        <v>45489</v>
      </c>
      <c r="Y185">
        <v>3.3420000000000001</v>
      </c>
      <c r="Z185">
        <v>3.2709999999999999</v>
      </c>
      <c r="AA185">
        <v>3.2250000000000001</v>
      </c>
      <c r="AB185">
        <v>3.1480000000000001</v>
      </c>
      <c r="AC185">
        <v>3.1309999999999998</v>
      </c>
      <c r="AD185" s="6">
        <v>3.125</v>
      </c>
      <c r="AE185" s="6">
        <v>3.1339999999999999</v>
      </c>
      <c r="AF185">
        <v>3.1640000000000001</v>
      </c>
      <c r="AG185" s="7">
        <v>45489</v>
      </c>
      <c r="AH185">
        <v>3.399</v>
      </c>
      <c r="AI185">
        <v>3.3650000000000002</v>
      </c>
      <c r="AJ185">
        <v>3.282</v>
      </c>
      <c r="AK185">
        <v>3.198</v>
      </c>
      <c r="AL185">
        <v>3.18</v>
      </c>
      <c r="AM185" s="6">
        <v>3.16</v>
      </c>
      <c r="AN185" s="6">
        <v>3.1640000000000001</v>
      </c>
      <c r="AO185">
        <v>3.181</v>
      </c>
      <c r="AP185" s="7">
        <v>45489</v>
      </c>
      <c r="AQ185">
        <v>3.5019999999999998</v>
      </c>
      <c r="AR185">
        <v>3.508</v>
      </c>
      <c r="AS185">
        <v>3.4929999999999999</v>
      </c>
      <c r="AT185">
        <v>3.4529999999999998</v>
      </c>
      <c r="AU185">
        <v>3.4489999999999998</v>
      </c>
      <c r="AV185" s="6">
        <v>3.488</v>
      </c>
      <c r="AW185" s="6">
        <v>3.5270000000000001</v>
      </c>
      <c r="AX185">
        <v>3.625</v>
      </c>
      <c r="AY185" s="7">
        <v>45489</v>
      </c>
      <c r="AZ185">
        <v>3.4079999999999999</v>
      </c>
      <c r="BA185">
        <v>3.37</v>
      </c>
      <c r="BB185">
        <v>3.3380000000000001</v>
      </c>
      <c r="BC185">
        <v>3.2229999999999999</v>
      </c>
      <c r="BD185">
        <v>3.2010000000000001</v>
      </c>
      <c r="BE185" s="6">
        <v>3.1949999999999998</v>
      </c>
      <c r="BF185" s="6">
        <v>3.2170000000000001</v>
      </c>
      <c r="BG185">
        <v>3.2210000000000001</v>
      </c>
      <c r="BH185" s="7">
        <v>45489</v>
      </c>
      <c r="BI185">
        <v>3.3530000000000002</v>
      </c>
      <c r="BJ185">
        <v>3.3029999999999999</v>
      </c>
      <c r="BK185">
        <v>3.2650000000000001</v>
      </c>
      <c r="BL185">
        <v>3.161</v>
      </c>
      <c r="BM185">
        <v>3.1360000000000001</v>
      </c>
      <c r="BN185" s="6">
        <v>3.129</v>
      </c>
      <c r="BO185" s="6">
        <v>3.149</v>
      </c>
      <c r="BP185">
        <v>3.173</v>
      </c>
      <c r="BQ185" s="7">
        <v>45489</v>
      </c>
      <c r="BR185">
        <v>3.6459999999999999</v>
      </c>
      <c r="BS185">
        <v>3.6419999999999999</v>
      </c>
      <c r="BT185">
        <v>3.6429999999999998</v>
      </c>
      <c r="BU185">
        <v>3.569</v>
      </c>
      <c r="BV185">
        <v>3.5680000000000001</v>
      </c>
      <c r="BW185" s="6">
        <v>3.593</v>
      </c>
      <c r="BX185" s="6">
        <v>3.609</v>
      </c>
      <c r="BY185">
        <v>3.6280000000000001</v>
      </c>
      <c r="BZ185" s="7">
        <v>45489</v>
      </c>
      <c r="CA185">
        <v>3.419</v>
      </c>
      <c r="CB185">
        <v>3.3530000000000002</v>
      </c>
      <c r="CC185">
        <v>3.3090000000000002</v>
      </c>
      <c r="CD185">
        <v>3.24</v>
      </c>
      <c r="CE185">
        <v>3.2170000000000001</v>
      </c>
      <c r="CF185" s="6">
        <v>3.2370000000000001</v>
      </c>
      <c r="CG185" s="6">
        <v>3.2429999999999999</v>
      </c>
      <c r="CH185">
        <v>3.2240000000000002</v>
      </c>
    </row>
    <row r="186" spans="2:86">
      <c r="B186" s="7">
        <v>45488</v>
      </c>
      <c r="C186">
        <v>3.2829999999999999</v>
      </c>
      <c r="D186">
        <v>3.2090000000000001</v>
      </c>
      <c r="E186">
        <v>3.1949999999999998</v>
      </c>
      <c r="F186">
        <v>3.1549999999999998</v>
      </c>
      <c r="G186">
        <v>3.13</v>
      </c>
      <c r="H186">
        <v>3.0720000000000001</v>
      </c>
      <c r="I186" s="6">
        <v>3.1080000000000001</v>
      </c>
      <c r="J186" s="6">
        <v>3.097</v>
      </c>
      <c r="K186" s="6">
        <v>3.1659999999999999</v>
      </c>
      <c r="L186" s="6">
        <v>3.1749999999999998</v>
      </c>
      <c r="M186" s="6">
        <v>3.145</v>
      </c>
      <c r="N186" s="6">
        <v>3.0670000000000002</v>
      </c>
      <c r="O186" s="7">
        <v>45488</v>
      </c>
      <c r="P186">
        <v>3.282</v>
      </c>
      <c r="Q186">
        <v>3.2690000000000001</v>
      </c>
      <c r="R186">
        <v>3.198</v>
      </c>
      <c r="S186">
        <v>3.1469999999999998</v>
      </c>
      <c r="T186">
        <v>3.125</v>
      </c>
      <c r="U186" s="6">
        <v>3.133</v>
      </c>
      <c r="V186" s="6">
        <v>0</v>
      </c>
      <c r="W186">
        <v>0</v>
      </c>
      <c r="X186" s="7">
        <v>45488</v>
      </c>
      <c r="Y186">
        <v>3.347</v>
      </c>
      <c r="Z186">
        <v>3.2829999999999999</v>
      </c>
      <c r="AA186">
        <v>3.2349999999999999</v>
      </c>
      <c r="AB186">
        <v>3.1709999999999998</v>
      </c>
      <c r="AC186">
        <v>3.17</v>
      </c>
      <c r="AD186" s="6">
        <v>3.1640000000000001</v>
      </c>
      <c r="AE186" s="6">
        <v>3.1720000000000002</v>
      </c>
      <c r="AF186">
        <v>3.2029999999999998</v>
      </c>
      <c r="AG186" s="7">
        <v>45488</v>
      </c>
      <c r="AH186">
        <v>3.403</v>
      </c>
      <c r="AI186">
        <v>3.3730000000000002</v>
      </c>
      <c r="AJ186">
        <v>3.298</v>
      </c>
      <c r="AK186">
        <v>3.2170000000000001</v>
      </c>
      <c r="AL186">
        <v>3.2160000000000002</v>
      </c>
      <c r="AM186" s="6">
        <v>3.1960000000000002</v>
      </c>
      <c r="AN186" s="6">
        <v>3.202</v>
      </c>
      <c r="AO186">
        <v>3.218</v>
      </c>
      <c r="AP186" s="7">
        <v>45488</v>
      </c>
      <c r="AQ186">
        <v>3.508</v>
      </c>
      <c r="AR186">
        <v>3.52</v>
      </c>
      <c r="AS186">
        <v>3.5059999999999998</v>
      </c>
      <c r="AT186">
        <v>3.4750000000000001</v>
      </c>
      <c r="AU186">
        <v>3.488</v>
      </c>
      <c r="AV186" s="6">
        <v>3.5219999999999998</v>
      </c>
      <c r="AW186" s="6">
        <v>3.5630000000000002</v>
      </c>
      <c r="AX186">
        <v>3.6619999999999999</v>
      </c>
      <c r="AY186" s="7">
        <v>45488</v>
      </c>
      <c r="AZ186">
        <v>3.411</v>
      </c>
      <c r="BA186">
        <v>3.3820000000000001</v>
      </c>
      <c r="BB186">
        <v>3.3460000000000001</v>
      </c>
      <c r="BC186">
        <v>3.2440000000000002</v>
      </c>
      <c r="BD186">
        <v>3.242</v>
      </c>
      <c r="BE186" s="6">
        <v>3.2360000000000002</v>
      </c>
      <c r="BF186" s="6">
        <v>3.2530000000000001</v>
      </c>
      <c r="BG186">
        <v>3.2570000000000001</v>
      </c>
      <c r="BH186" s="7">
        <v>45488</v>
      </c>
      <c r="BI186">
        <v>3.3570000000000002</v>
      </c>
      <c r="BJ186">
        <v>3.3149999999999999</v>
      </c>
      <c r="BK186">
        <v>3.2730000000000001</v>
      </c>
      <c r="BL186">
        <v>3.1819999999999999</v>
      </c>
      <c r="BM186">
        <v>3.177</v>
      </c>
      <c r="BN186" s="6">
        <v>3.17</v>
      </c>
      <c r="BO186" s="6">
        <v>3.1850000000000001</v>
      </c>
      <c r="BP186">
        <v>3.21</v>
      </c>
      <c r="BQ186" s="7">
        <v>45488</v>
      </c>
      <c r="BR186">
        <v>3.649</v>
      </c>
      <c r="BS186">
        <v>3.6539999999999999</v>
      </c>
      <c r="BT186">
        <v>3.6509999999999998</v>
      </c>
      <c r="BU186">
        <v>3.59</v>
      </c>
      <c r="BV186">
        <v>3.609</v>
      </c>
      <c r="BW186" s="6">
        <v>3.6339999999999999</v>
      </c>
      <c r="BX186" s="6">
        <v>3.645</v>
      </c>
      <c r="BY186">
        <v>3.6640000000000001</v>
      </c>
      <c r="BZ186" s="7">
        <v>45488</v>
      </c>
      <c r="CA186">
        <v>3.4239999999999999</v>
      </c>
      <c r="CB186">
        <v>3.3660000000000001</v>
      </c>
      <c r="CC186">
        <v>3.319</v>
      </c>
      <c r="CD186">
        <v>3.2610000000000001</v>
      </c>
      <c r="CE186">
        <v>3.2519999999999998</v>
      </c>
      <c r="CF186" s="6">
        <v>3.2730000000000001</v>
      </c>
      <c r="CG186" s="6">
        <v>3.2810000000000001</v>
      </c>
      <c r="CH186">
        <v>3.2629999999999999</v>
      </c>
    </row>
    <row r="187" spans="2:86">
      <c r="B187" s="7">
        <v>45485</v>
      </c>
      <c r="C187">
        <v>3.286</v>
      </c>
      <c r="D187">
        <v>3.2109999999999999</v>
      </c>
      <c r="E187">
        <v>3.194</v>
      </c>
      <c r="F187">
        <v>3.165</v>
      </c>
      <c r="G187">
        <v>3.1509999999999998</v>
      </c>
      <c r="H187">
        <v>3.093</v>
      </c>
      <c r="I187" s="6">
        <v>3.121</v>
      </c>
      <c r="J187" s="6">
        <v>3.1040000000000001</v>
      </c>
      <c r="K187" s="6">
        <v>3.1659999999999999</v>
      </c>
      <c r="L187" s="6">
        <v>3.1669999999999998</v>
      </c>
      <c r="M187" s="6">
        <v>3.1389999999999998</v>
      </c>
      <c r="N187" s="6">
        <v>3.0579999999999998</v>
      </c>
      <c r="O187" s="7">
        <v>45485</v>
      </c>
      <c r="P187">
        <v>3.282</v>
      </c>
      <c r="Q187">
        <v>3.2690000000000001</v>
      </c>
      <c r="R187">
        <v>3.2029999999999998</v>
      </c>
      <c r="S187">
        <v>3.1640000000000001</v>
      </c>
      <c r="T187">
        <v>3.1429999999999998</v>
      </c>
      <c r="U187" s="6">
        <v>3.1549999999999998</v>
      </c>
      <c r="V187" s="6">
        <v>0</v>
      </c>
      <c r="W187">
        <v>0</v>
      </c>
      <c r="X187" s="7">
        <v>45485</v>
      </c>
      <c r="Y187">
        <v>3.351</v>
      </c>
      <c r="Z187">
        <v>3.286</v>
      </c>
      <c r="AA187">
        <v>3.234</v>
      </c>
      <c r="AB187">
        <v>3.181</v>
      </c>
      <c r="AC187">
        <v>3.1920000000000002</v>
      </c>
      <c r="AD187" s="6">
        <v>3.1850000000000001</v>
      </c>
      <c r="AE187" s="6">
        <v>3.1869999999999998</v>
      </c>
      <c r="AF187">
        <v>3.2090000000000001</v>
      </c>
      <c r="AG187" s="7">
        <v>45485</v>
      </c>
      <c r="AH187">
        <v>3.4060000000000001</v>
      </c>
      <c r="AI187">
        <v>3.3740000000000001</v>
      </c>
      <c r="AJ187">
        <v>3.3010000000000002</v>
      </c>
      <c r="AK187">
        <v>3.23</v>
      </c>
      <c r="AL187">
        <v>3.2320000000000002</v>
      </c>
      <c r="AM187" s="6">
        <v>3.2170000000000001</v>
      </c>
      <c r="AN187" s="6">
        <v>3.2160000000000002</v>
      </c>
      <c r="AO187">
        <v>3.226</v>
      </c>
      <c r="AP187" s="7">
        <v>45485</v>
      </c>
      <c r="AQ187">
        <v>3.5129999999999999</v>
      </c>
      <c r="AR187">
        <v>3.5249999999999999</v>
      </c>
      <c r="AS187">
        <v>3.5129999999999999</v>
      </c>
      <c r="AT187">
        <v>3.4950000000000001</v>
      </c>
      <c r="AU187">
        <v>3.51</v>
      </c>
      <c r="AV187" s="6">
        <v>3.5449999999999999</v>
      </c>
      <c r="AW187" s="6">
        <v>3.5779999999999998</v>
      </c>
      <c r="AX187">
        <v>3.669</v>
      </c>
      <c r="AY187" s="7">
        <v>45485</v>
      </c>
      <c r="AZ187">
        <v>3.4129999999999998</v>
      </c>
      <c r="BA187">
        <v>3.3839999999999999</v>
      </c>
      <c r="BB187">
        <v>3.3530000000000002</v>
      </c>
      <c r="BC187">
        <v>3.262</v>
      </c>
      <c r="BD187">
        <v>3.262</v>
      </c>
      <c r="BE187" s="6">
        <v>3.2570000000000001</v>
      </c>
      <c r="BF187" s="6">
        <v>3.2669999999999999</v>
      </c>
      <c r="BG187">
        <v>3.2650000000000001</v>
      </c>
      <c r="BH187" s="7">
        <v>45485</v>
      </c>
      <c r="BI187">
        <v>3.3580000000000001</v>
      </c>
      <c r="BJ187">
        <v>3.3170000000000002</v>
      </c>
      <c r="BK187">
        <v>3.28</v>
      </c>
      <c r="BL187">
        <v>3.2</v>
      </c>
      <c r="BM187">
        <v>3.1960000000000002</v>
      </c>
      <c r="BN187" s="6">
        <v>3.1909999999999998</v>
      </c>
      <c r="BO187" s="6">
        <v>3.1989999999999998</v>
      </c>
      <c r="BP187">
        <v>3.2160000000000002</v>
      </c>
      <c r="BQ187" s="7">
        <v>45485</v>
      </c>
      <c r="BR187">
        <v>3.6509999999999998</v>
      </c>
      <c r="BS187">
        <v>3.6560000000000001</v>
      </c>
      <c r="BT187">
        <v>3.6579999999999999</v>
      </c>
      <c r="BU187">
        <v>3.6080000000000001</v>
      </c>
      <c r="BV187">
        <v>3.629</v>
      </c>
      <c r="BW187" s="6">
        <v>3.6549999999999998</v>
      </c>
      <c r="BX187" s="6">
        <v>3.6589999999999998</v>
      </c>
      <c r="BY187">
        <v>3.6720000000000002</v>
      </c>
      <c r="BZ187" s="7">
        <v>45485</v>
      </c>
      <c r="CA187">
        <v>3.427</v>
      </c>
      <c r="CB187">
        <v>3.3679999999999999</v>
      </c>
      <c r="CC187">
        <v>3.3180000000000001</v>
      </c>
      <c r="CD187">
        <v>3.2709999999999999</v>
      </c>
      <c r="CE187">
        <v>3.2749999999999999</v>
      </c>
      <c r="CF187" s="6">
        <v>3.294</v>
      </c>
      <c r="CG187" s="6">
        <v>3.2959999999999998</v>
      </c>
      <c r="CH187">
        <v>3.2690000000000001</v>
      </c>
    </row>
    <row r="188" spans="2:86">
      <c r="B188" s="7">
        <v>45484</v>
      </c>
      <c r="C188">
        <v>3.29</v>
      </c>
      <c r="D188">
        <v>3.2490000000000001</v>
      </c>
      <c r="E188">
        <v>3.226</v>
      </c>
      <c r="F188">
        <v>3.21</v>
      </c>
      <c r="G188">
        <v>3.2069999999999999</v>
      </c>
      <c r="H188">
        <v>3.1579999999999999</v>
      </c>
      <c r="I188" s="6">
        <v>3.1909999999999998</v>
      </c>
      <c r="J188" s="6">
        <v>3.17</v>
      </c>
      <c r="K188" s="6">
        <v>3.2280000000000002</v>
      </c>
      <c r="L188" s="6">
        <v>3.222</v>
      </c>
      <c r="M188" s="6">
        <v>3.1920000000000002</v>
      </c>
      <c r="N188" s="6">
        <v>3.11</v>
      </c>
      <c r="O188" s="7">
        <v>45484</v>
      </c>
      <c r="P188">
        <v>3.2879999999999998</v>
      </c>
      <c r="Q188">
        <v>3.2759999999999998</v>
      </c>
      <c r="R188">
        <v>3.222</v>
      </c>
      <c r="S188">
        <v>3.2080000000000002</v>
      </c>
      <c r="T188">
        <v>3.2</v>
      </c>
      <c r="U188" s="6">
        <v>3.2189999999999999</v>
      </c>
      <c r="V188" s="6">
        <v>0</v>
      </c>
      <c r="W188">
        <v>0</v>
      </c>
      <c r="X188" s="7">
        <v>45484</v>
      </c>
      <c r="Y188">
        <v>3.355</v>
      </c>
      <c r="Z188">
        <v>3.3149999999999999</v>
      </c>
      <c r="AA188">
        <v>3.2610000000000001</v>
      </c>
      <c r="AB188">
        <v>3.2269999999999999</v>
      </c>
      <c r="AC188">
        <v>3.2480000000000002</v>
      </c>
      <c r="AD188" s="6">
        <v>3.2490000000000001</v>
      </c>
      <c r="AE188" s="6">
        <v>3.2559999999999998</v>
      </c>
      <c r="AF188">
        <v>3.27</v>
      </c>
      <c r="AG188" s="7">
        <v>45484</v>
      </c>
      <c r="AH188">
        <v>3.4079999999999999</v>
      </c>
      <c r="AI188">
        <v>3.3759999999999999</v>
      </c>
      <c r="AJ188">
        <v>3.3119999999999998</v>
      </c>
      <c r="AK188">
        <v>3.2690000000000001</v>
      </c>
      <c r="AL188">
        <v>3.2839999999999998</v>
      </c>
      <c r="AM188" s="6">
        <v>3.2810000000000001</v>
      </c>
      <c r="AN188" s="6">
        <v>3.2839999999999998</v>
      </c>
      <c r="AO188">
        <v>3.2919999999999998</v>
      </c>
      <c r="AP188" s="7">
        <v>45484</v>
      </c>
      <c r="AQ188">
        <v>3.5289999999999999</v>
      </c>
      <c r="AR188">
        <v>3.54</v>
      </c>
      <c r="AS188">
        <v>3.53</v>
      </c>
      <c r="AT188">
        <v>3.5379999999999998</v>
      </c>
      <c r="AU188">
        <v>3.5640000000000001</v>
      </c>
      <c r="AV188" s="6">
        <v>3.6059999999999999</v>
      </c>
      <c r="AW188" s="6">
        <v>3.645</v>
      </c>
      <c r="AX188">
        <v>3.7349999999999999</v>
      </c>
      <c r="AY188" s="7">
        <v>45484</v>
      </c>
      <c r="AZ188">
        <v>3.419</v>
      </c>
      <c r="BA188">
        <v>3.391</v>
      </c>
      <c r="BB188">
        <v>3.3719999999999999</v>
      </c>
      <c r="BC188">
        <v>3.3069999999999999</v>
      </c>
      <c r="BD188">
        <v>3.319</v>
      </c>
      <c r="BE188" s="6">
        <v>3.3220000000000001</v>
      </c>
      <c r="BF188" s="6">
        <v>3.335</v>
      </c>
      <c r="BG188">
        <v>3.331</v>
      </c>
      <c r="BH188" s="7">
        <v>45484</v>
      </c>
      <c r="BI188">
        <v>3.3639999999999999</v>
      </c>
      <c r="BJ188">
        <v>3.3239999999999998</v>
      </c>
      <c r="BK188">
        <v>3.2989999999999999</v>
      </c>
      <c r="BL188">
        <v>3.2440000000000002</v>
      </c>
      <c r="BM188">
        <v>3.2530000000000001</v>
      </c>
      <c r="BN188" s="6">
        <v>3.2559999999999998</v>
      </c>
      <c r="BO188" s="6">
        <v>3.2669999999999999</v>
      </c>
      <c r="BP188">
        <v>3.282</v>
      </c>
      <c r="BQ188" s="7">
        <v>45484</v>
      </c>
      <c r="BR188">
        <v>3.657</v>
      </c>
      <c r="BS188">
        <v>3.6629999999999998</v>
      </c>
      <c r="BT188">
        <v>3.677</v>
      </c>
      <c r="BU188">
        <v>3.653</v>
      </c>
      <c r="BV188">
        <v>3.6859999999999999</v>
      </c>
      <c r="BW188" s="6">
        <v>3.72</v>
      </c>
      <c r="BX188" s="6">
        <v>3.7269999999999999</v>
      </c>
      <c r="BY188">
        <v>3.738</v>
      </c>
      <c r="BZ188" s="7">
        <v>45484</v>
      </c>
      <c r="CA188">
        <v>3.431</v>
      </c>
      <c r="CB188">
        <v>3.3969999999999998</v>
      </c>
      <c r="CC188">
        <v>3.3460000000000001</v>
      </c>
      <c r="CD188">
        <v>3.3180000000000001</v>
      </c>
      <c r="CE188">
        <v>3.331</v>
      </c>
      <c r="CF188" s="6">
        <v>3.359</v>
      </c>
      <c r="CG188" s="6">
        <v>3.3639999999999999</v>
      </c>
      <c r="CH188">
        <v>3.33</v>
      </c>
    </row>
    <row r="189" spans="2:86">
      <c r="B189" s="7">
        <v>45483</v>
      </c>
      <c r="C189">
        <v>3.2629999999999999</v>
      </c>
      <c r="D189">
        <v>3.2210000000000001</v>
      </c>
      <c r="E189">
        <v>3.1989999999999998</v>
      </c>
      <c r="F189">
        <v>3.18</v>
      </c>
      <c r="G189">
        <v>3.1549999999999998</v>
      </c>
      <c r="H189">
        <v>3.117</v>
      </c>
      <c r="I189" s="6">
        <v>3.1520000000000001</v>
      </c>
      <c r="J189" s="6">
        <v>3.1339999999999999</v>
      </c>
      <c r="K189" s="6">
        <v>3.1970000000000001</v>
      </c>
      <c r="L189" s="6">
        <v>3.1949999999999998</v>
      </c>
      <c r="M189" s="6">
        <v>3.17</v>
      </c>
      <c r="N189" s="6">
        <v>3.0950000000000002</v>
      </c>
      <c r="O189" s="7">
        <v>45483</v>
      </c>
      <c r="P189">
        <v>3.2650000000000001</v>
      </c>
      <c r="Q189">
        <v>3.25</v>
      </c>
      <c r="R189">
        <v>3.1880000000000002</v>
      </c>
      <c r="S189">
        <v>3.1619999999999999</v>
      </c>
      <c r="T189">
        <v>3.1509999999999998</v>
      </c>
      <c r="U189" s="6">
        <v>3.1749999999999998</v>
      </c>
      <c r="V189" s="6">
        <v>0</v>
      </c>
      <c r="W189">
        <v>0</v>
      </c>
      <c r="X189" s="7">
        <v>45483</v>
      </c>
      <c r="Y189">
        <v>3.331</v>
      </c>
      <c r="Z189">
        <v>3.2890000000000001</v>
      </c>
      <c r="AA189">
        <v>3.2349999999999999</v>
      </c>
      <c r="AB189">
        <v>3.1970000000000001</v>
      </c>
      <c r="AC189">
        <v>3.198</v>
      </c>
      <c r="AD189" s="6">
        <v>3.2080000000000002</v>
      </c>
      <c r="AE189" s="6">
        <v>3.2170000000000001</v>
      </c>
      <c r="AF189">
        <v>3.2349999999999999</v>
      </c>
      <c r="AG189" s="7">
        <v>45483</v>
      </c>
      <c r="AH189">
        <v>3.3860000000000001</v>
      </c>
      <c r="AI189">
        <v>3.3490000000000002</v>
      </c>
      <c r="AJ189">
        <v>3.2770000000000001</v>
      </c>
      <c r="AK189">
        <v>3.2290000000000001</v>
      </c>
      <c r="AL189">
        <v>3.2429999999999999</v>
      </c>
      <c r="AM189" s="6">
        <v>3.24</v>
      </c>
      <c r="AN189" s="6">
        <v>3.2440000000000002</v>
      </c>
      <c r="AO189">
        <v>3.254</v>
      </c>
      <c r="AP189" s="7">
        <v>45483</v>
      </c>
      <c r="AQ189">
        <v>3.516</v>
      </c>
      <c r="AR189">
        <v>3.5230000000000001</v>
      </c>
      <c r="AS189">
        <v>3.5009999999999999</v>
      </c>
      <c r="AT189">
        <v>3.4980000000000002</v>
      </c>
      <c r="AU189">
        <v>3.5259999999999998</v>
      </c>
      <c r="AV189" s="6">
        <v>3.5670000000000002</v>
      </c>
      <c r="AW189" s="6">
        <v>3.605</v>
      </c>
      <c r="AX189">
        <v>3.6989999999999998</v>
      </c>
      <c r="AY189" s="7">
        <v>45483</v>
      </c>
      <c r="AZ189">
        <v>3.3969999999999998</v>
      </c>
      <c r="BA189">
        <v>3.3639999999999999</v>
      </c>
      <c r="BB189">
        <v>3.3380000000000001</v>
      </c>
      <c r="BC189">
        <v>3.2669999999999999</v>
      </c>
      <c r="BD189">
        <v>3.2810000000000001</v>
      </c>
      <c r="BE189" s="6">
        <v>3.2909999999999999</v>
      </c>
      <c r="BF189" s="6">
        <v>3.2959999999999998</v>
      </c>
      <c r="BG189">
        <v>3.2949999999999999</v>
      </c>
      <c r="BH189" s="7">
        <v>45483</v>
      </c>
      <c r="BI189">
        <v>3.3420000000000001</v>
      </c>
      <c r="BJ189">
        <v>3.2970000000000002</v>
      </c>
      <c r="BK189">
        <v>3.2650000000000001</v>
      </c>
      <c r="BL189">
        <v>3.2040000000000002</v>
      </c>
      <c r="BM189">
        <v>3.2160000000000002</v>
      </c>
      <c r="BN189" s="6">
        <v>3.2240000000000002</v>
      </c>
      <c r="BO189" s="6">
        <v>3.2280000000000002</v>
      </c>
      <c r="BP189">
        <v>3.246</v>
      </c>
      <c r="BQ189" s="7">
        <v>45483</v>
      </c>
      <c r="BR189">
        <v>3.6349999999999998</v>
      </c>
      <c r="BS189">
        <v>3.6360000000000001</v>
      </c>
      <c r="BT189">
        <v>3.6429999999999998</v>
      </c>
      <c r="BU189">
        <v>3.609</v>
      </c>
      <c r="BV189">
        <v>3.64</v>
      </c>
      <c r="BW189" s="6">
        <v>3.68</v>
      </c>
      <c r="BX189" s="6">
        <v>3.6880000000000002</v>
      </c>
      <c r="BY189">
        <v>3.702</v>
      </c>
      <c r="BZ189" s="7">
        <v>45483</v>
      </c>
      <c r="CA189">
        <v>3.407</v>
      </c>
      <c r="CB189">
        <v>3.3719999999999999</v>
      </c>
      <c r="CC189">
        <v>3.32</v>
      </c>
      <c r="CD189">
        <v>3.2879999999999998</v>
      </c>
      <c r="CE189">
        <v>3.2810000000000001</v>
      </c>
      <c r="CF189" s="6">
        <v>3.3170000000000002</v>
      </c>
      <c r="CG189" s="6">
        <v>3.3250000000000002</v>
      </c>
      <c r="CH189">
        <v>3.294</v>
      </c>
    </row>
    <row r="190" spans="2:86">
      <c r="B190" s="7">
        <v>45482</v>
      </c>
      <c r="C190">
        <v>3.2610000000000001</v>
      </c>
      <c r="D190">
        <v>3.218</v>
      </c>
      <c r="E190">
        <v>3.1970000000000001</v>
      </c>
      <c r="F190">
        <v>3.173</v>
      </c>
      <c r="G190">
        <v>3.1549999999999998</v>
      </c>
      <c r="H190">
        <v>3.12</v>
      </c>
      <c r="I190" s="6">
        <v>3.15</v>
      </c>
      <c r="J190" s="6">
        <v>3.14</v>
      </c>
      <c r="K190" s="6">
        <v>3.202</v>
      </c>
      <c r="L190" s="6">
        <v>3.2</v>
      </c>
      <c r="M190" s="6">
        <v>3.1739999999999999</v>
      </c>
      <c r="N190" s="6">
        <v>3.1059999999999999</v>
      </c>
      <c r="O190" s="7">
        <v>45482</v>
      </c>
      <c r="P190">
        <v>3.2570000000000001</v>
      </c>
      <c r="Q190">
        <v>3.2440000000000002</v>
      </c>
      <c r="R190">
        <v>3.1760000000000002</v>
      </c>
      <c r="S190">
        <v>3.16</v>
      </c>
      <c r="T190">
        <v>3.1429999999999998</v>
      </c>
      <c r="U190" s="6">
        <v>3.173</v>
      </c>
      <c r="V190" s="6">
        <v>0</v>
      </c>
      <c r="W190">
        <v>0</v>
      </c>
      <c r="X190" s="7">
        <v>45482</v>
      </c>
      <c r="Y190">
        <v>3.331</v>
      </c>
      <c r="Z190">
        <v>3.2869999999999999</v>
      </c>
      <c r="AA190">
        <v>3.234</v>
      </c>
      <c r="AB190">
        <v>3.1920000000000002</v>
      </c>
      <c r="AC190">
        <v>3.198</v>
      </c>
      <c r="AD190" s="6">
        <v>3.2109999999999999</v>
      </c>
      <c r="AE190" s="6">
        <v>3.2170000000000001</v>
      </c>
      <c r="AF190">
        <v>3.24</v>
      </c>
      <c r="AG190" s="7">
        <v>45482</v>
      </c>
      <c r="AH190">
        <v>3.3820000000000001</v>
      </c>
      <c r="AI190">
        <v>3.3410000000000002</v>
      </c>
      <c r="AJ190">
        <v>3.2669999999999999</v>
      </c>
      <c r="AK190">
        <v>3.23</v>
      </c>
      <c r="AL190">
        <v>3.2410000000000001</v>
      </c>
      <c r="AM190" s="6">
        <v>3.2429999999999999</v>
      </c>
      <c r="AN190" s="6">
        <v>3.2429999999999999</v>
      </c>
      <c r="AO190">
        <v>3.26</v>
      </c>
      <c r="AP190" s="7">
        <v>45482</v>
      </c>
      <c r="AQ190">
        <v>3.5139999999999998</v>
      </c>
      <c r="AR190">
        <v>3.52</v>
      </c>
      <c r="AS190">
        <v>3.4929999999999999</v>
      </c>
      <c r="AT190">
        <v>3.4940000000000002</v>
      </c>
      <c r="AU190">
        <v>3.5169999999999999</v>
      </c>
      <c r="AV190" s="6">
        <v>3.57</v>
      </c>
      <c r="AW190" s="6">
        <v>3.605</v>
      </c>
      <c r="AX190">
        <v>3.7050000000000001</v>
      </c>
      <c r="AY190" s="7">
        <v>45482</v>
      </c>
      <c r="AZ190">
        <v>3.3919999999999999</v>
      </c>
      <c r="BA190">
        <v>3.359</v>
      </c>
      <c r="BB190">
        <v>3.3279999999999998</v>
      </c>
      <c r="BC190">
        <v>3.2639999999999998</v>
      </c>
      <c r="BD190">
        <v>3.2770000000000001</v>
      </c>
      <c r="BE190" s="6">
        <v>3.294</v>
      </c>
      <c r="BF190" s="6">
        <v>3.2959999999999998</v>
      </c>
      <c r="BG190">
        <v>3.3</v>
      </c>
      <c r="BH190" s="7">
        <v>45482</v>
      </c>
      <c r="BI190">
        <v>3.3370000000000002</v>
      </c>
      <c r="BJ190">
        <v>3.2919999999999998</v>
      </c>
      <c r="BK190">
        <v>3.2530000000000001</v>
      </c>
      <c r="BL190">
        <v>3.202</v>
      </c>
      <c r="BM190">
        <v>3.2120000000000002</v>
      </c>
      <c r="BN190" s="6">
        <v>3.2280000000000002</v>
      </c>
      <c r="BO190" s="6">
        <v>3.2280000000000002</v>
      </c>
      <c r="BP190">
        <v>3.2509999999999999</v>
      </c>
      <c r="BQ190" s="7">
        <v>45482</v>
      </c>
      <c r="BR190">
        <v>3.63</v>
      </c>
      <c r="BS190">
        <v>3.6309999999999998</v>
      </c>
      <c r="BT190">
        <v>3.633</v>
      </c>
      <c r="BU190">
        <v>3.6070000000000002</v>
      </c>
      <c r="BV190">
        <v>3.6360000000000001</v>
      </c>
      <c r="BW190" s="6">
        <v>3.6840000000000002</v>
      </c>
      <c r="BX190" s="6">
        <v>3.6880000000000002</v>
      </c>
      <c r="BY190">
        <v>3.7069999999999999</v>
      </c>
      <c r="BZ190" s="7">
        <v>45482</v>
      </c>
      <c r="CA190">
        <v>3.4060000000000001</v>
      </c>
      <c r="CB190">
        <v>3.3679999999999999</v>
      </c>
      <c r="CC190">
        <v>3.3180000000000001</v>
      </c>
      <c r="CD190">
        <v>3.2810000000000001</v>
      </c>
      <c r="CE190">
        <v>3.2810000000000001</v>
      </c>
      <c r="CF190" s="6">
        <v>3.32</v>
      </c>
      <c r="CG190" s="6">
        <v>3.3250000000000002</v>
      </c>
      <c r="CH190">
        <v>3.2989999999999999</v>
      </c>
    </row>
    <row r="191" spans="2:86">
      <c r="B191" s="7">
        <v>45481</v>
      </c>
      <c r="C191">
        <v>3.2610000000000001</v>
      </c>
      <c r="D191">
        <v>3.218</v>
      </c>
      <c r="E191">
        <v>3.2</v>
      </c>
      <c r="F191">
        <v>3.173</v>
      </c>
      <c r="G191">
        <v>3.1619999999999999</v>
      </c>
      <c r="H191">
        <v>3.12</v>
      </c>
      <c r="I191" s="6">
        <v>3.153</v>
      </c>
      <c r="J191" s="6">
        <v>3.1419999999999999</v>
      </c>
      <c r="K191" s="6">
        <v>3.2080000000000002</v>
      </c>
      <c r="L191" s="6">
        <v>3.21</v>
      </c>
      <c r="M191" s="6">
        <v>3.18</v>
      </c>
      <c r="N191" s="6">
        <v>3.113</v>
      </c>
      <c r="O191" s="7">
        <v>45481</v>
      </c>
      <c r="P191">
        <v>3.26</v>
      </c>
      <c r="Q191">
        <v>3.2469999999999999</v>
      </c>
      <c r="R191">
        <v>3.18</v>
      </c>
      <c r="S191">
        <v>3.161</v>
      </c>
      <c r="T191">
        <v>3.1419999999999999</v>
      </c>
      <c r="U191" s="6">
        <v>3.1749999999999998</v>
      </c>
      <c r="V191" s="6">
        <v>0</v>
      </c>
      <c r="W191">
        <v>0</v>
      </c>
      <c r="X191" s="7">
        <v>45481</v>
      </c>
      <c r="Y191">
        <v>3.3410000000000002</v>
      </c>
      <c r="Z191">
        <v>3.2909999999999999</v>
      </c>
      <c r="AA191">
        <v>3.24</v>
      </c>
      <c r="AB191">
        <v>3.1920000000000002</v>
      </c>
      <c r="AC191">
        <v>3.206</v>
      </c>
      <c r="AD191" s="6">
        <v>3.214</v>
      </c>
      <c r="AE191" s="6">
        <v>3.22</v>
      </c>
      <c r="AF191">
        <v>3.2410000000000001</v>
      </c>
      <c r="AG191" s="7">
        <v>45481</v>
      </c>
      <c r="AH191">
        <v>3.3860000000000001</v>
      </c>
      <c r="AI191">
        <v>3.3460000000000001</v>
      </c>
      <c r="AJ191">
        <v>3.278</v>
      </c>
      <c r="AK191">
        <v>3.234</v>
      </c>
      <c r="AL191">
        <v>3.2429999999999999</v>
      </c>
      <c r="AM191" s="6">
        <v>3.2440000000000002</v>
      </c>
      <c r="AN191" s="6">
        <v>3.2450000000000001</v>
      </c>
      <c r="AO191">
        <v>3.262</v>
      </c>
      <c r="AP191" s="7">
        <v>45481</v>
      </c>
      <c r="AQ191">
        <v>3.528</v>
      </c>
      <c r="AR191">
        <v>3.5209999999999999</v>
      </c>
      <c r="AS191">
        <v>3.4929999999999999</v>
      </c>
      <c r="AT191">
        <v>3.492</v>
      </c>
      <c r="AU191">
        <v>3.5179999999999998</v>
      </c>
      <c r="AV191" s="6">
        <v>3.5739999999999998</v>
      </c>
      <c r="AW191" s="6">
        <v>3.6110000000000002</v>
      </c>
      <c r="AX191">
        <v>3.71</v>
      </c>
      <c r="AY191" s="7">
        <v>45481</v>
      </c>
      <c r="AZ191">
        <v>3.3980000000000001</v>
      </c>
      <c r="BA191">
        <v>3.367</v>
      </c>
      <c r="BB191">
        <v>3.3330000000000002</v>
      </c>
      <c r="BC191">
        <v>3.27</v>
      </c>
      <c r="BD191">
        <v>3.2839999999999998</v>
      </c>
      <c r="BE191" s="6">
        <v>3.2959999999999998</v>
      </c>
      <c r="BF191" s="6">
        <v>3.3</v>
      </c>
      <c r="BG191">
        <v>3.3029999999999999</v>
      </c>
      <c r="BH191" s="7">
        <v>45481</v>
      </c>
      <c r="BI191">
        <v>3.343</v>
      </c>
      <c r="BJ191">
        <v>3.3</v>
      </c>
      <c r="BK191">
        <v>3.26</v>
      </c>
      <c r="BL191">
        <v>3.2069999999999999</v>
      </c>
      <c r="BM191">
        <v>3.2189999999999999</v>
      </c>
      <c r="BN191" s="6">
        <v>3.2290000000000001</v>
      </c>
      <c r="BO191" s="6">
        <v>3.2320000000000002</v>
      </c>
      <c r="BP191">
        <v>3.254</v>
      </c>
      <c r="BQ191" s="7">
        <v>45481</v>
      </c>
      <c r="BR191">
        <v>3.6360000000000001</v>
      </c>
      <c r="BS191">
        <v>3.641</v>
      </c>
      <c r="BT191">
        <v>3.64</v>
      </c>
      <c r="BU191">
        <v>3.6120000000000001</v>
      </c>
      <c r="BV191">
        <v>3.6429999999999998</v>
      </c>
      <c r="BW191" s="6">
        <v>3.6859999999999999</v>
      </c>
      <c r="BX191" s="6">
        <v>3.6920000000000002</v>
      </c>
      <c r="BY191">
        <v>3.71</v>
      </c>
      <c r="BZ191" s="7">
        <v>45481</v>
      </c>
      <c r="CA191">
        <v>3.4159999999999999</v>
      </c>
      <c r="CB191">
        <v>3.375</v>
      </c>
      <c r="CC191">
        <v>3.3250000000000002</v>
      </c>
      <c r="CD191">
        <v>3.286</v>
      </c>
      <c r="CE191">
        <v>3.2930000000000001</v>
      </c>
      <c r="CF191" s="6">
        <v>3.327</v>
      </c>
      <c r="CG191" s="6">
        <v>3.3319999999999999</v>
      </c>
      <c r="CH191">
        <v>3.3010000000000002</v>
      </c>
    </row>
    <row r="192" spans="2:86">
      <c r="B192" s="7">
        <v>45478</v>
      </c>
      <c r="C192">
        <v>3.2629999999999999</v>
      </c>
      <c r="D192">
        <v>3.2290000000000001</v>
      </c>
      <c r="E192">
        <v>3.21</v>
      </c>
      <c r="F192">
        <v>3.1680000000000001</v>
      </c>
      <c r="G192">
        <v>3.145</v>
      </c>
      <c r="H192">
        <v>3.1150000000000002</v>
      </c>
      <c r="I192" s="6">
        <v>3.1549999999999998</v>
      </c>
      <c r="J192" s="6">
        <v>3.1469999999999998</v>
      </c>
      <c r="K192" s="6">
        <v>3.2130000000000001</v>
      </c>
      <c r="L192" s="6">
        <v>3.2149999999999999</v>
      </c>
      <c r="M192" s="6">
        <v>3.177</v>
      </c>
      <c r="N192" s="6">
        <v>3.1120000000000001</v>
      </c>
      <c r="O192" s="7">
        <v>45478</v>
      </c>
      <c r="P192">
        <v>3.2719999999999998</v>
      </c>
      <c r="Q192">
        <v>3.262</v>
      </c>
      <c r="R192">
        <v>3.1920000000000002</v>
      </c>
      <c r="S192">
        <v>3.1589999999999998</v>
      </c>
      <c r="T192">
        <v>3.13</v>
      </c>
      <c r="U192" s="6">
        <v>3.17</v>
      </c>
      <c r="V192" s="6">
        <v>0</v>
      </c>
      <c r="W192">
        <v>0</v>
      </c>
      <c r="X192" s="7">
        <v>45478</v>
      </c>
      <c r="Y192">
        <v>3.347</v>
      </c>
      <c r="Z192">
        <v>3.3029999999999999</v>
      </c>
      <c r="AA192">
        <v>3.25</v>
      </c>
      <c r="AB192">
        <v>3.1909999999999998</v>
      </c>
      <c r="AC192">
        <v>3.19</v>
      </c>
      <c r="AD192" s="6">
        <v>3.2080000000000002</v>
      </c>
      <c r="AE192" s="6">
        <v>3.222</v>
      </c>
      <c r="AF192">
        <v>3.2469999999999999</v>
      </c>
      <c r="AG192" s="7">
        <v>45478</v>
      </c>
      <c r="AH192">
        <v>3.407</v>
      </c>
      <c r="AI192">
        <v>3.371</v>
      </c>
      <c r="AJ192">
        <v>3.2970000000000002</v>
      </c>
      <c r="AK192">
        <v>3.2349999999999999</v>
      </c>
      <c r="AL192">
        <v>3.2360000000000002</v>
      </c>
      <c r="AM192" s="6">
        <v>3.2389999999999999</v>
      </c>
      <c r="AN192" s="6">
        <v>3.2469999999999999</v>
      </c>
      <c r="AO192">
        <v>3.266</v>
      </c>
      <c r="AP192" s="7">
        <v>45478</v>
      </c>
      <c r="AQ192">
        <v>3.5409999999999999</v>
      </c>
      <c r="AR192">
        <v>3.54</v>
      </c>
      <c r="AS192">
        <v>3.5070000000000001</v>
      </c>
      <c r="AT192">
        <v>3.4910000000000001</v>
      </c>
      <c r="AU192">
        <v>3.508</v>
      </c>
      <c r="AV192" s="6">
        <v>3.5720000000000001</v>
      </c>
      <c r="AW192" s="6">
        <v>3.6139999999999999</v>
      </c>
      <c r="AX192">
        <v>3.7149999999999999</v>
      </c>
      <c r="AY192" s="7">
        <v>45478</v>
      </c>
      <c r="AZ192">
        <v>3.4180000000000001</v>
      </c>
      <c r="BA192">
        <v>3.387</v>
      </c>
      <c r="BB192">
        <v>3.3519999999999999</v>
      </c>
      <c r="BC192">
        <v>3.274</v>
      </c>
      <c r="BD192">
        <v>3.2749999999999999</v>
      </c>
      <c r="BE192" s="6">
        <v>3.294</v>
      </c>
      <c r="BF192" s="6">
        <v>3.302</v>
      </c>
      <c r="BG192">
        <v>3.306</v>
      </c>
      <c r="BH192" s="7">
        <v>45478</v>
      </c>
      <c r="BI192">
        <v>3.3570000000000002</v>
      </c>
      <c r="BJ192">
        <v>3.3149999999999999</v>
      </c>
      <c r="BK192">
        <v>3.274</v>
      </c>
      <c r="BL192">
        <v>3.2080000000000002</v>
      </c>
      <c r="BM192">
        <v>3.21</v>
      </c>
      <c r="BN192" s="6">
        <v>3.2269999999999999</v>
      </c>
      <c r="BO192" s="6">
        <v>3.234</v>
      </c>
      <c r="BP192">
        <v>3.2589999999999999</v>
      </c>
      <c r="BQ192" s="7">
        <v>45478</v>
      </c>
      <c r="BR192">
        <v>3.6560000000000001</v>
      </c>
      <c r="BS192">
        <v>3.661</v>
      </c>
      <c r="BT192">
        <v>3.6589999999999998</v>
      </c>
      <c r="BU192">
        <v>3.6160000000000001</v>
      </c>
      <c r="BV192">
        <v>3.6339999999999999</v>
      </c>
      <c r="BW192" s="6">
        <v>3.6829999999999998</v>
      </c>
      <c r="BX192" s="6">
        <v>3.694</v>
      </c>
      <c r="BY192">
        <v>3.7130000000000001</v>
      </c>
      <c r="BZ192" s="7">
        <v>45478</v>
      </c>
      <c r="CA192">
        <v>3.4220000000000002</v>
      </c>
      <c r="CB192">
        <v>3.387</v>
      </c>
      <c r="CC192">
        <v>3.3340000000000001</v>
      </c>
      <c r="CD192">
        <v>3.2810000000000001</v>
      </c>
      <c r="CE192">
        <v>3.2770000000000001</v>
      </c>
      <c r="CF192" s="6">
        <v>3.3210000000000002</v>
      </c>
      <c r="CG192" s="6">
        <v>3.3340000000000001</v>
      </c>
      <c r="CH192">
        <v>3.306</v>
      </c>
    </row>
    <row r="193" spans="2:86">
      <c r="B193" s="7">
        <v>45477</v>
      </c>
      <c r="C193">
        <v>3.266</v>
      </c>
      <c r="D193">
        <v>3.2360000000000002</v>
      </c>
      <c r="E193">
        <v>3.2130000000000001</v>
      </c>
      <c r="F193">
        <v>3.177</v>
      </c>
      <c r="G193">
        <v>3.15</v>
      </c>
      <c r="H193">
        <v>3.1219999999999999</v>
      </c>
      <c r="I193" s="6">
        <v>3.1659999999999999</v>
      </c>
      <c r="J193" s="6">
        <v>3.16</v>
      </c>
      <c r="K193" s="6">
        <v>3.2280000000000002</v>
      </c>
      <c r="L193" s="6">
        <v>3.2349999999999999</v>
      </c>
      <c r="M193" s="6">
        <v>3.2069999999999999</v>
      </c>
      <c r="N193" s="6">
        <v>3.1469999999999998</v>
      </c>
      <c r="O193" s="7">
        <v>45477</v>
      </c>
      <c r="P193">
        <v>3.2879999999999998</v>
      </c>
      <c r="Q193">
        <v>3.2679999999999998</v>
      </c>
      <c r="R193">
        <v>3.2</v>
      </c>
      <c r="S193">
        <v>3.169</v>
      </c>
      <c r="T193">
        <v>3.1349999999999998</v>
      </c>
      <c r="U193" s="6">
        <v>3.18</v>
      </c>
      <c r="V193" s="6">
        <v>0</v>
      </c>
      <c r="W193">
        <v>0</v>
      </c>
      <c r="X193" s="7">
        <v>45477</v>
      </c>
      <c r="Y193">
        <v>3.3559999999999999</v>
      </c>
      <c r="Z193">
        <v>3.3119999999999998</v>
      </c>
      <c r="AA193">
        <v>3.258</v>
      </c>
      <c r="AB193">
        <v>3.2029999999999998</v>
      </c>
      <c r="AC193">
        <v>3.198</v>
      </c>
      <c r="AD193" s="6">
        <v>3.2229999999999999</v>
      </c>
      <c r="AE193" s="6">
        <v>3.238</v>
      </c>
      <c r="AF193">
        <v>3.2629999999999999</v>
      </c>
      <c r="AG193" s="7">
        <v>45477</v>
      </c>
      <c r="AH193">
        <v>3.4260000000000002</v>
      </c>
      <c r="AI193">
        <v>3.387</v>
      </c>
      <c r="AJ193">
        <v>3.3210000000000002</v>
      </c>
      <c r="AK193">
        <v>3.2509999999999999</v>
      </c>
      <c r="AL193">
        <v>3.242</v>
      </c>
      <c r="AM193" s="6">
        <v>3.2440000000000002</v>
      </c>
      <c r="AN193" s="6">
        <v>3.2589999999999999</v>
      </c>
      <c r="AO193">
        <v>3.2789999999999999</v>
      </c>
      <c r="AP193" s="7">
        <v>45477</v>
      </c>
      <c r="AQ193">
        <v>3.5449999999999999</v>
      </c>
      <c r="AR193">
        <v>3.5449999999999999</v>
      </c>
      <c r="AS193">
        <v>3.5139999999999998</v>
      </c>
      <c r="AT193">
        <v>3.5110000000000001</v>
      </c>
      <c r="AU193">
        <v>3.5150000000000001</v>
      </c>
      <c r="AV193" s="6">
        <v>3.577</v>
      </c>
      <c r="AW193" s="6">
        <v>3.6259999999999999</v>
      </c>
      <c r="AX193">
        <v>3.7280000000000002</v>
      </c>
      <c r="AY193" s="7">
        <v>45477</v>
      </c>
      <c r="AZ193">
        <v>3.4319999999999999</v>
      </c>
      <c r="BA193">
        <v>3.4060000000000001</v>
      </c>
      <c r="BB193">
        <v>3.3690000000000002</v>
      </c>
      <c r="BC193">
        <v>3.2890000000000001</v>
      </c>
      <c r="BD193">
        <v>3.2810000000000001</v>
      </c>
      <c r="BE193" s="6">
        <v>3.2989999999999999</v>
      </c>
      <c r="BF193" s="6">
        <v>3.3119999999999998</v>
      </c>
      <c r="BG193">
        <v>3.32</v>
      </c>
      <c r="BH193" s="7">
        <v>45477</v>
      </c>
      <c r="BI193">
        <v>3.371</v>
      </c>
      <c r="BJ193">
        <v>3.3340000000000001</v>
      </c>
      <c r="BK193">
        <v>3.2959999999999998</v>
      </c>
      <c r="BL193">
        <v>3.226</v>
      </c>
      <c r="BM193">
        <v>3.2210000000000001</v>
      </c>
      <c r="BN193" s="6">
        <v>3.2349999999999999</v>
      </c>
      <c r="BO193" s="6">
        <v>3.2450000000000001</v>
      </c>
      <c r="BP193">
        <v>3.2719999999999998</v>
      </c>
      <c r="BQ193" s="7">
        <v>45477</v>
      </c>
      <c r="BR193">
        <v>3.6720000000000002</v>
      </c>
      <c r="BS193">
        <v>3.68</v>
      </c>
      <c r="BT193">
        <v>3.677</v>
      </c>
      <c r="BU193">
        <v>3.6309999999999998</v>
      </c>
      <c r="BV193">
        <v>3.6429999999999998</v>
      </c>
      <c r="BW193" s="6">
        <v>3.6909999999999998</v>
      </c>
      <c r="BX193" s="6">
        <v>3.7050000000000001</v>
      </c>
      <c r="BY193">
        <v>3.726</v>
      </c>
      <c r="BZ193" s="7">
        <v>45477</v>
      </c>
      <c r="CA193">
        <v>3.427</v>
      </c>
      <c r="CB193">
        <v>3.395</v>
      </c>
      <c r="CC193">
        <v>3.343</v>
      </c>
      <c r="CD193">
        <v>3.294</v>
      </c>
      <c r="CE193">
        <v>3.2850000000000001</v>
      </c>
      <c r="CF193" s="6">
        <v>3.3359999999999999</v>
      </c>
      <c r="CG193" s="6">
        <v>3.351</v>
      </c>
      <c r="CH193">
        <v>3.3220000000000001</v>
      </c>
    </row>
    <row r="194" spans="2:86">
      <c r="B194" s="7">
        <v>45476</v>
      </c>
      <c r="C194">
        <v>3.2810000000000001</v>
      </c>
      <c r="D194">
        <v>3.262</v>
      </c>
      <c r="E194">
        <v>3.2429999999999999</v>
      </c>
      <c r="F194">
        <v>3.2090000000000001</v>
      </c>
      <c r="G194">
        <v>3.194</v>
      </c>
      <c r="H194">
        <v>3.16</v>
      </c>
      <c r="I194" s="6">
        <v>3.1970000000000001</v>
      </c>
      <c r="J194" s="6">
        <v>3.1920000000000002</v>
      </c>
      <c r="K194" s="6">
        <v>3.2629999999999999</v>
      </c>
      <c r="L194" s="6">
        <v>3.2749999999999999</v>
      </c>
      <c r="M194" s="6">
        <v>3.2370000000000001</v>
      </c>
      <c r="N194" s="6">
        <v>3.1760000000000002</v>
      </c>
      <c r="O194" s="7">
        <v>45476</v>
      </c>
      <c r="P194">
        <v>3.327</v>
      </c>
      <c r="Q194">
        <v>3.3</v>
      </c>
      <c r="R194">
        <v>3.24</v>
      </c>
      <c r="S194">
        <v>3.2130000000000001</v>
      </c>
      <c r="T194">
        <v>3.1850000000000001</v>
      </c>
      <c r="U194" s="6">
        <v>3.218</v>
      </c>
      <c r="V194" s="6">
        <v>0</v>
      </c>
      <c r="W194">
        <v>0</v>
      </c>
      <c r="X194" s="7">
        <v>45476</v>
      </c>
      <c r="Y194">
        <v>3.3839999999999999</v>
      </c>
      <c r="Z194">
        <v>3.3359999999999999</v>
      </c>
      <c r="AA194">
        <v>3.2879999999999998</v>
      </c>
      <c r="AB194">
        <v>3.2349999999999999</v>
      </c>
      <c r="AC194">
        <v>3.238</v>
      </c>
      <c r="AD194" s="6">
        <v>3.2610000000000001</v>
      </c>
      <c r="AE194" s="6">
        <v>3.2719999999999998</v>
      </c>
      <c r="AF194">
        <v>3.2959999999999998</v>
      </c>
      <c r="AG194" s="7">
        <v>45476</v>
      </c>
      <c r="AH194">
        <v>3.4660000000000002</v>
      </c>
      <c r="AI194">
        <v>3.4279999999999999</v>
      </c>
      <c r="AJ194">
        <v>3.37</v>
      </c>
      <c r="AK194">
        <v>3.3</v>
      </c>
      <c r="AL194">
        <v>3.2909999999999999</v>
      </c>
      <c r="AM194" s="6">
        <v>3.282</v>
      </c>
      <c r="AN194" s="6">
        <v>3.2890000000000001</v>
      </c>
      <c r="AO194">
        <v>3.3119999999999998</v>
      </c>
      <c r="AP194" s="7">
        <v>45476</v>
      </c>
      <c r="AQ194">
        <v>3.585</v>
      </c>
      <c r="AR194">
        <v>3.5760000000000001</v>
      </c>
      <c r="AS194">
        <v>3.5529999999999999</v>
      </c>
      <c r="AT194">
        <v>3.5579999999999998</v>
      </c>
      <c r="AU194">
        <v>3.5680000000000001</v>
      </c>
      <c r="AV194" s="6">
        <v>3.6179999999999999</v>
      </c>
      <c r="AW194" s="6">
        <v>3.66</v>
      </c>
      <c r="AX194">
        <v>3.7639999999999998</v>
      </c>
      <c r="AY194" s="7">
        <v>45476</v>
      </c>
      <c r="AZ194">
        <v>3.4649999999999999</v>
      </c>
      <c r="BA194">
        <v>3.4369999999999998</v>
      </c>
      <c r="BB194">
        <v>3.4079999999999999</v>
      </c>
      <c r="BC194">
        <v>3.3380000000000001</v>
      </c>
      <c r="BD194">
        <v>3.3359999999999999</v>
      </c>
      <c r="BE194" s="6">
        <v>3.3410000000000002</v>
      </c>
      <c r="BF194" s="6">
        <v>3.347</v>
      </c>
      <c r="BG194">
        <v>3.355</v>
      </c>
      <c r="BH194" s="7">
        <v>45476</v>
      </c>
      <c r="BI194">
        <v>3.399</v>
      </c>
      <c r="BJ194">
        <v>3.3650000000000002</v>
      </c>
      <c r="BK194">
        <v>3.3370000000000002</v>
      </c>
      <c r="BL194">
        <v>3.2759999999999998</v>
      </c>
      <c r="BM194">
        <v>3.2730000000000001</v>
      </c>
      <c r="BN194" s="6">
        <v>3.2730000000000001</v>
      </c>
      <c r="BO194" s="6">
        <v>3.28</v>
      </c>
      <c r="BP194">
        <v>3.306</v>
      </c>
      <c r="BQ194" s="7">
        <v>45476</v>
      </c>
      <c r="BR194">
        <v>3.7050000000000001</v>
      </c>
      <c r="BS194">
        <v>3.7109999999999999</v>
      </c>
      <c r="BT194">
        <v>3.718</v>
      </c>
      <c r="BU194">
        <v>3.6819999999999999</v>
      </c>
      <c r="BV194">
        <v>3.698</v>
      </c>
      <c r="BW194" s="6">
        <v>3.7309999999999999</v>
      </c>
      <c r="BX194" s="6">
        <v>3.74</v>
      </c>
      <c r="BY194">
        <v>3.7610000000000001</v>
      </c>
      <c r="BZ194" s="7">
        <v>45476</v>
      </c>
      <c r="CA194">
        <v>3.456</v>
      </c>
      <c r="CB194">
        <v>3.419</v>
      </c>
      <c r="CC194">
        <v>3.3730000000000002</v>
      </c>
      <c r="CD194">
        <v>3.3250000000000002</v>
      </c>
      <c r="CE194">
        <v>3.3250000000000002</v>
      </c>
      <c r="CF194" s="6">
        <v>3.3740000000000001</v>
      </c>
      <c r="CG194" s="6">
        <v>3.3809999999999998</v>
      </c>
      <c r="CH194">
        <v>3.3559999999999999</v>
      </c>
    </row>
    <row r="195" spans="2:86">
      <c r="B195" s="7">
        <v>45475</v>
      </c>
      <c r="C195">
        <v>3.2959999999999998</v>
      </c>
      <c r="D195">
        <v>3.2810000000000001</v>
      </c>
      <c r="E195">
        <v>3.2559999999999998</v>
      </c>
      <c r="F195">
        <v>3.218</v>
      </c>
      <c r="G195">
        <v>3.1949999999999998</v>
      </c>
      <c r="H195">
        <v>3.165</v>
      </c>
      <c r="I195" s="6">
        <v>3.1949999999999998</v>
      </c>
      <c r="J195" s="6">
        <v>3.1920000000000002</v>
      </c>
      <c r="K195" s="6">
        <v>3.266</v>
      </c>
      <c r="L195" s="6">
        <v>3.28</v>
      </c>
      <c r="M195" s="6">
        <v>3.242</v>
      </c>
      <c r="N195" s="6">
        <v>3.1819999999999999</v>
      </c>
      <c r="O195" s="7">
        <v>45475</v>
      </c>
      <c r="P195">
        <v>3.3620000000000001</v>
      </c>
      <c r="Q195">
        <v>3.319</v>
      </c>
      <c r="R195">
        <v>3.274</v>
      </c>
      <c r="S195">
        <v>3.23</v>
      </c>
      <c r="T195">
        <v>3.2050000000000001</v>
      </c>
      <c r="U195" s="6">
        <v>3.23</v>
      </c>
      <c r="V195" s="6">
        <v>0</v>
      </c>
      <c r="W195">
        <v>0</v>
      </c>
      <c r="X195" s="7">
        <v>45475</v>
      </c>
      <c r="Y195">
        <v>3.399</v>
      </c>
      <c r="Z195">
        <v>3.3559999999999999</v>
      </c>
      <c r="AA195">
        <v>3.3010000000000002</v>
      </c>
      <c r="AB195">
        <v>3.2440000000000002</v>
      </c>
      <c r="AC195">
        <v>3.242</v>
      </c>
      <c r="AD195" s="6">
        <v>3.2690000000000001</v>
      </c>
      <c r="AE195" s="6">
        <v>3.27</v>
      </c>
      <c r="AF195">
        <v>3.3</v>
      </c>
      <c r="AG195" s="7">
        <v>45475</v>
      </c>
      <c r="AH195">
        <v>3.488</v>
      </c>
      <c r="AI195">
        <v>3.452</v>
      </c>
      <c r="AJ195">
        <v>3.4009999999999998</v>
      </c>
      <c r="AK195">
        <v>3.3149999999999999</v>
      </c>
      <c r="AL195">
        <v>3.3</v>
      </c>
      <c r="AM195" s="6">
        <v>3.2869999999999999</v>
      </c>
      <c r="AN195" s="6">
        <v>3.2879999999999998</v>
      </c>
      <c r="AO195">
        <v>3.3140000000000001</v>
      </c>
      <c r="AP195" s="7">
        <v>45475</v>
      </c>
      <c r="AQ195">
        <v>3.6030000000000002</v>
      </c>
      <c r="AR195">
        <v>3.5950000000000002</v>
      </c>
      <c r="AS195">
        <v>3.5779999999999998</v>
      </c>
      <c r="AT195">
        <v>3.5720000000000001</v>
      </c>
      <c r="AU195">
        <v>3.573</v>
      </c>
      <c r="AV195" s="6">
        <v>3.625</v>
      </c>
      <c r="AW195" s="6">
        <v>3.6589999999999998</v>
      </c>
      <c r="AX195">
        <v>3.7650000000000001</v>
      </c>
      <c r="AY195" s="7">
        <v>45475</v>
      </c>
      <c r="AZ195">
        <v>3.4820000000000002</v>
      </c>
      <c r="BA195">
        <v>3.456</v>
      </c>
      <c r="BB195">
        <v>3.4369999999999998</v>
      </c>
      <c r="BC195">
        <v>3.35</v>
      </c>
      <c r="BD195">
        <v>3.3380000000000001</v>
      </c>
      <c r="BE195" s="6">
        <v>3.3460000000000001</v>
      </c>
      <c r="BF195" s="6">
        <v>3.3479999999999999</v>
      </c>
      <c r="BG195">
        <v>3.3570000000000002</v>
      </c>
      <c r="BH195" s="7">
        <v>45475</v>
      </c>
      <c r="BI195">
        <v>3.4159999999999999</v>
      </c>
      <c r="BJ195">
        <v>3.383</v>
      </c>
      <c r="BK195">
        <v>3.3650000000000002</v>
      </c>
      <c r="BL195">
        <v>3.2890000000000001</v>
      </c>
      <c r="BM195">
        <v>3.274</v>
      </c>
      <c r="BN195" s="6">
        <v>3.278</v>
      </c>
      <c r="BO195" s="6">
        <v>3.28</v>
      </c>
      <c r="BP195">
        <v>3.3090000000000002</v>
      </c>
      <c r="BQ195" s="7">
        <v>45475</v>
      </c>
      <c r="BR195">
        <v>3.7210000000000001</v>
      </c>
      <c r="BS195">
        <v>3.7290000000000001</v>
      </c>
      <c r="BT195">
        <v>3.7480000000000002</v>
      </c>
      <c r="BU195">
        <v>3.6960000000000002</v>
      </c>
      <c r="BV195">
        <v>3.7</v>
      </c>
      <c r="BW195" s="6">
        <v>3.7360000000000002</v>
      </c>
      <c r="BX195" s="6">
        <v>3.74</v>
      </c>
      <c r="BY195">
        <v>3.7629999999999999</v>
      </c>
      <c r="BZ195" s="7">
        <v>45475</v>
      </c>
      <c r="CA195">
        <v>3.4710000000000001</v>
      </c>
      <c r="CB195">
        <v>3.4420000000000002</v>
      </c>
      <c r="CC195">
        <v>3.3860000000000001</v>
      </c>
      <c r="CD195">
        <v>3.335</v>
      </c>
      <c r="CE195">
        <v>3.3290000000000002</v>
      </c>
      <c r="CF195" s="6">
        <v>3.3839999999999999</v>
      </c>
      <c r="CG195" s="6">
        <v>3.3849999999999998</v>
      </c>
      <c r="CH195">
        <v>3.359</v>
      </c>
    </row>
    <row r="196" spans="2:86">
      <c r="B196" s="7">
        <v>45474</v>
      </c>
      <c r="C196">
        <v>3.3210000000000002</v>
      </c>
      <c r="D196">
        <v>3.31</v>
      </c>
      <c r="E196">
        <v>3.29</v>
      </c>
      <c r="F196">
        <v>3.2650000000000001</v>
      </c>
      <c r="G196">
        <v>3.2570000000000001</v>
      </c>
      <c r="H196">
        <v>3.2069999999999999</v>
      </c>
      <c r="I196" s="6">
        <v>3.2450000000000001</v>
      </c>
      <c r="J196" s="6">
        <v>3.2349999999999999</v>
      </c>
      <c r="K196" s="6">
        <v>3.3039999999999998</v>
      </c>
      <c r="L196" s="6">
        <v>3.3069999999999999</v>
      </c>
      <c r="M196" s="6">
        <v>3.2650000000000001</v>
      </c>
      <c r="N196" s="6">
        <v>3.2050000000000001</v>
      </c>
      <c r="O196" s="7">
        <v>45474</v>
      </c>
      <c r="P196">
        <v>3.399</v>
      </c>
      <c r="Q196">
        <v>3.363</v>
      </c>
      <c r="R196">
        <v>3.3159999999999998</v>
      </c>
      <c r="S196">
        <v>3.2839999999999998</v>
      </c>
      <c r="T196">
        <v>3.2570000000000001</v>
      </c>
      <c r="U196" s="6">
        <v>3.2789999999999999</v>
      </c>
      <c r="V196" s="6">
        <v>0</v>
      </c>
      <c r="W196">
        <v>0</v>
      </c>
      <c r="X196" s="7">
        <v>45474</v>
      </c>
      <c r="Y196">
        <v>3.4239999999999999</v>
      </c>
      <c r="Z196">
        <v>3.3860000000000001</v>
      </c>
      <c r="AA196">
        <v>3.3370000000000002</v>
      </c>
      <c r="AB196">
        <v>3.2919999999999998</v>
      </c>
      <c r="AC196">
        <v>3.3010000000000002</v>
      </c>
      <c r="AD196" s="6">
        <v>3.3109999999999999</v>
      </c>
      <c r="AE196" s="6">
        <v>3.32</v>
      </c>
      <c r="AF196">
        <v>3.3450000000000002</v>
      </c>
      <c r="AG196" s="7">
        <v>45474</v>
      </c>
      <c r="AH196">
        <v>3.532</v>
      </c>
      <c r="AI196">
        <v>3.4990000000000001</v>
      </c>
      <c r="AJ196">
        <v>3.448</v>
      </c>
      <c r="AK196">
        <v>3.3730000000000002</v>
      </c>
      <c r="AL196">
        <v>3.3519999999999999</v>
      </c>
      <c r="AM196" s="6">
        <v>3.3290000000000002</v>
      </c>
      <c r="AN196" s="6">
        <v>3.3380000000000001</v>
      </c>
      <c r="AO196">
        <v>3.3570000000000002</v>
      </c>
      <c r="AP196" s="7">
        <v>45474</v>
      </c>
      <c r="AQ196">
        <v>3.6320000000000001</v>
      </c>
      <c r="AR196">
        <v>3.6339999999999999</v>
      </c>
      <c r="AS196">
        <v>3.6150000000000002</v>
      </c>
      <c r="AT196">
        <v>3.62</v>
      </c>
      <c r="AU196">
        <v>3.6190000000000002</v>
      </c>
      <c r="AV196" s="6">
        <v>3.6669999999999998</v>
      </c>
      <c r="AW196" s="6">
        <v>3.7090000000000001</v>
      </c>
      <c r="AX196">
        <v>3.8079999999999998</v>
      </c>
      <c r="AY196" s="7">
        <v>45474</v>
      </c>
      <c r="AZ196">
        <v>3.524</v>
      </c>
      <c r="BA196">
        <v>3.5049999999999999</v>
      </c>
      <c r="BB196">
        <v>3.4790000000000001</v>
      </c>
      <c r="BC196">
        <v>3.4020000000000001</v>
      </c>
      <c r="BD196">
        <v>3.39</v>
      </c>
      <c r="BE196" s="6">
        <v>3.391</v>
      </c>
      <c r="BF196" s="6">
        <v>3.3980000000000001</v>
      </c>
      <c r="BG196">
        <v>3.4</v>
      </c>
      <c r="BH196" s="7">
        <v>45474</v>
      </c>
      <c r="BI196">
        <v>3.4580000000000002</v>
      </c>
      <c r="BJ196">
        <v>3.4319999999999999</v>
      </c>
      <c r="BK196">
        <v>3.407</v>
      </c>
      <c r="BL196">
        <v>3.3410000000000002</v>
      </c>
      <c r="BM196">
        <v>3.3260000000000001</v>
      </c>
      <c r="BN196" s="6">
        <v>3.323</v>
      </c>
      <c r="BO196" s="6">
        <v>3.33</v>
      </c>
      <c r="BP196">
        <v>3.3519999999999999</v>
      </c>
      <c r="BQ196" s="7">
        <v>45474</v>
      </c>
      <c r="BR196">
        <v>3.7639999999999998</v>
      </c>
      <c r="BS196">
        <v>3.778</v>
      </c>
      <c r="BT196">
        <v>3.7909999999999999</v>
      </c>
      <c r="BU196">
        <v>3.7480000000000002</v>
      </c>
      <c r="BV196">
        <v>3.7519999999999998</v>
      </c>
      <c r="BW196" s="6">
        <v>3.7810000000000001</v>
      </c>
      <c r="BX196" s="6">
        <v>3.79</v>
      </c>
      <c r="BY196">
        <v>3.806</v>
      </c>
      <c r="BZ196" s="7">
        <v>45474</v>
      </c>
      <c r="CA196">
        <v>3.496</v>
      </c>
      <c r="CB196">
        <v>3.472</v>
      </c>
      <c r="CC196">
        <v>3.4220000000000002</v>
      </c>
      <c r="CD196">
        <v>3.3820000000000001</v>
      </c>
      <c r="CE196">
        <v>3.3879999999999999</v>
      </c>
      <c r="CF196" s="6">
        <v>3.427</v>
      </c>
      <c r="CG196" s="6">
        <v>3.4350000000000001</v>
      </c>
      <c r="CH196">
        <v>3.4039999999999999</v>
      </c>
    </row>
    <row r="197" spans="2:86">
      <c r="B197" s="7">
        <v>45471</v>
      </c>
      <c r="C197">
        <v>3.323</v>
      </c>
      <c r="D197">
        <v>3.3149999999999999</v>
      </c>
      <c r="E197">
        <v>3.2930000000000001</v>
      </c>
      <c r="F197">
        <v>3.262</v>
      </c>
      <c r="G197">
        <v>3.2349999999999999</v>
      </c>
      <c r="H197">
        <v>3.177</v>
      </c>
      <c r="I197" s="6">
        <v>3.2120000000000002</v>
      </c>
      <c r="J197" s="6">
        <v>3.1949999999999998</v>
      </c>
      <c r="K197" s="6">
        <v>3.2610000000000001</v>
      </c>
      <c r="L197" s="6">
        <v>3.26</v>
      </c>
      <c r="M197" s="6">
        <v>3.2429999999999999</v>
      </c>
      <c r="N197" s="6">
        <v>3.1970000000000001</v>
      </c>
      <c r="O197" s="7">
        <v>45471</v>
      </c>
      <c r="P197">
        <v>3.4020000000000001</v>
      </c>
      <c r="Q197">
        <v>3.3650000000000002</v>
      </c>
      <c r="R197">
        <v>3.3239999999999998</v>
      </c>
      <c r="S197">
        <v>3.27</v>
      </c>
      <c r="T197">
        <v>3.2450000000000001</v>
      </c>
      <c r="U197" s="6">
        <v>3.254</v>
      </c>
      <c r="V197" s="6">
        <v>0</v>
      </c>
      <c r="W197">
        <v>0</v>
      </c>
      <c r="X197" s="7">
        <v>45471</v>
      </c>
      <c r="Y197">
        <v>3.4260000000000002</v>
      </c>
      <c r="Z197">
        <v>3.3879999999999999</v>
      </c>
      <c r="AA197">
        <v>3.34</v>
      </c>
      <c r="AB197">
        <v>3.2839999999999998</v>
      </c>
      <c r="AC197">
        <v>3.2789999999999999</v>
      </c>
      <c r="AD197" s="6">
        <v>3.2810000000000001</v>
      </c>
      <c r="AE197" s="6">
        <v>3.2869999999999999</v>
      </c>
      <c r="AF197">
        <v>3.3050000000000002</v>
      </c>
      <c r="AG197" s="7">
        <v>45471</v>
      </c>
      <c r="AH197">
        <v>3.536</v>
      </c>
      <c r="AI197">
        <v>3.504</v>
      </c>
      <c r="AJ197">
        <v>3.46</v>
      </c>
      <c r="AK197">
        <v>3.371</v>
      </c>
      <c r="AL197">
        <v>3.3420000000000001</v>
      </c>
      <c r="AM197" s="6">
        <v>3.302</v>
      </c>
      <c r="AN197" s="6">
        <v>3.3050000000000002</v>
      </c>
      <c r="AO197">
        <v>3.3170000000000002</v>
      </c>
      <c r="AP197" s="7">
        <v>45471</v>
      </c>
      <c r="AQ197">
        <v>3.637</v>
      </c>
      <c r="AR197">
        <v>3.637</v>
      </c>
      <c r="AS197">
        <v>3.6259999999999999</v>
      </c>
      <c r="AT197">
        <v>3.6040000000000001</v>
      </c>
      <c r="AU197">
        <v>3.6070000000000002</v>
      </c>
      <c r="AV197" s="6">
        <v>3.6349999999999998</v>
      </c>
      <c r="AW197" s="6">
        <v>3.6749999999999998</v>
      </c>
      <c r="AX197">
        <v>3.7679999999999998</v>
      </c>
      <c r="AY197" s="7">
        <v>45471</v>
      </c>
      <c r="AZ197">
        <v>3.53</v>
      </c>
      <c r="BA197">
        <v>3.5110000000000001</v>
      </c>
      <c r="BB197">
        <v>3.4950000000000001</v>
      </c>
      <c r="BC197">
        <v>3.395</v>
      </c>
      <c r="BD197">
        <v>3.38</v>
      </c>
      <c r="BE197" s="6">
        <v>3.363</v>
      </c>
      <c r="BF197" s="6">
        <v>3.367</v>
      </c>
      <c r="BG197">
        <v>3.36</v>
      </c>
      <c r="BH197" s="7">
        <v>45471</v>
      </c>
      <c r="BI197">
        <v>3.464</v>
      </c>
      <c r="BJ197">
        <v>3.4380000000000002</v>
      </c>
      <c r="BK197">
        <v>3.423</v>
      </c>
      <c r="BL197">
        <v>3.3340000000000001</v>
      </c>
      <c r="BM197">
        <v>3.3159999999999998</v>
      </c>
      <c r="BN197" s="6">
        <v>3.2930000000000001</v>
      </c>
      <c r="BO197" s="6">
        <v>3.2989999999999999</v>
      </c>
      <c r="BP197">
        <v>3.3119999999999998</v>
      </c>
      <c r="BQ197" s="7">
        <v>45471</v>
      </c>
      <c r="BR197">
        <v>3.77</v>
      </c>
      <c r="BS197">
        <v>3.7839999999999998</v>
      </c>
      <c r="BT197">
        <v>3.8069999999999999</v>
      </c>
      <c r="BU197">
        <v>3.7410000000000001</v>
      </c>
      <c r="BV197">
        <v>3.7410000000000001</v>
      </c>
      <c r="BW197" s="6">
        <v>3.7519999999999998</v>
      </c>
      <c r="BX197" s="6">
        <v>3.76</v>
      </c>
      <c r="BY197">
        <v>3.766</v>
      </c>
      <c r="BZ197" s="7">
        <v>45471</v>
      </c>
      <c r="CA197">
        <v>3.4969999999999999</v>
      </c>
      <c r="CB197">
        <v>3.4740000000000002</v>
      </c>
      <c r="CC197">
        <v>3.4239999999999999</v>
      </c>
      <c r="CD197">
        <v>3.3740000000000001</v>
      </c>
      <c r="CE197">
        <v>3.367</v>
      </c>
      <c r="CF197" s="6">
        <v>3.3969999999999998</v>
      </c>
      <c r="CG197" s="6">
        <v>3.4020000000000001</v>
      </c>
      <c r="CH197">
        <v>3.3639999999999999</v>
      </c>
    </row>
    <row r="198" spans="2:86">
      <c r="B198" s="7">
        <v>45470</v>
      </c>
      <c r="C198">
        <v>3.3359999999999999</v>
      </c>
      <c r="D198">
        <v>3.3559999999999999</v>
      </c>
      <c r="E198">
        <v>3.335</v>
      </c>
      <c r="F198">
        <v>3.298</v>
      </c>
      <c r="G198">
        <v>3.27</v>
      </c>
      <c r="H198">
        <v>3.2120000000000002</v>
      </c>
      <c r="I198" s="6">
        <v>3.2469999999999999</v>
      </c>
      <c r="J198" s="6">
        <v>3.2360000000000002</v>
      </c>
      <c r="K198" s="6">
        <v>3.3010000000000002</v>
      </c>
      <c r="L198" s="6">
        <v>3.2949999999999999</v>
      </c>
      <c r="M198" s="6">
        <v>3.2719999999999998</v>
      </c>
      <c r="N198" s="6">
        <v>3.22</v>
      </c>
      <c r="O198" s="7">
        <v>45470</v>
      </c>
      <c r="P198">
        <v>3.407</v>
      </c>
      <c r="Q198">
        <v>3.375</v>
      </c>
      <c r="R198">
        <v>3.3420000000000001</v>
      </c>
      <c r="S198">
        <v>3.3</v>
      </c>
      <c r="T198">
        <v>3.28</v>
      </c>
      <c r="U198" s="6">
        <v>3.29</v>
      </c>
      <c r="V198" s="6">
        <v>0</v>
      </c>
      <c r="W198">
        <v>0</v>
      </c>
      <c r="X198" s="7">
        <v>45470</v>
      </c>
      <c r="Y198">
        <v>3.4390000000000001</v>
      </c>
      <c r="Z198">
        <v>3.427</v>
      </c>
      <c r="AA198">
        <v>3.38</v>
      </c>
      <c r="AB198">
        <v>3.3180000000000001</v>
      </c>
      <c r="AC198">
        <v>3.3140000000000001</v>
      </c>
      <c r="AD198" s="6">
        <v>3.3159999999999998</v>
      </c>
      <c r="AE198" s="6">
        <v>3.323</v>
      </c>
      <c r="AF198">
        <v>3.34</v>
      </c>
      <c r="AG198" s="7">
        <v>45470</v>
      </c>
      <c r="AH198">
        <v>3.5409999999999999</v>
      </c>
      <c r="AI198">
        <v>3.516</v>
      </c>
      <c r="AJ198">
        <v>3.4849999999999999</v>
      </c>
      <c r="AK198">
        <v>3.399</v>
      </c>
      <c r="AL198">
        <v>3.375</v>
      </c>
      <c r="AM198" s="6">
        <v>3.3359999999999999</v>
      </c>
      <c r="AN198" s="6">
        <v>3.339</v>
      </c>
      <c r="AO198">
        <v>3.3580000000000001</v>
      </c>
      <c r="AP198" s="7">
        <v>45470</v>
      </c>
      <c r="AQ198">
        <v>3.6440000000000001</v>
      </c>
      <c r="AR198">
        <v>3.649</v>
      </c>
      <c r="AS198">
        <v>3.6440000000000001</v>
      </c>
      <c r="AT198">
        <v>3.6339999999999999</v>
      </c>
      <c r="AU198">
        <v>3.6419999999999999</v>
      </c>
      <c r="AV198" s="6">
        <v>3.669</v>
      </c>
      <c r="AW198" s="6">
        <v>3.7080000000000002</v>
      </c>
      <c r="AX198">
        <v>3.81</v>
      </c>
      <c r="AY198" s="7">
        <v>45470</v>
      </c>
      <c r="AZ198">
        <v>3.5350000000000001</v>
      </c>
      <c r="BA198">
        <v>3.5209999999999999</v>
      </c>
      <c r="BB198">
        <v>3.5139999999999998</v>
      </c>
      <c r="BC198">
        <v>3.4249999999999998</v>
      </c>
      <c r="BD198">
        <v>3.415</v>
      </c>
      <c r="BE198" s="6">
        <v>3.3980000000000001</v>
      </c>
      <c r="BF198" s="6">
        <v>3.4020000000000001</v>
      </c>
      <c r="BG198">
        <v>3.4049999999999998</v>
      </c>
      <c r="BH198" s="7">
        <v>45470</v>
      </c>
      <c r="BI198">
        <v>3.4689999999999999</v>
      </c>
      <c r="BJ198">
        <v>3.448</v>
      </c>
      <c r="BK198">
        <v>3.4420000000000002</v>
      </c>
      <c r="BL198">
        <v>3.3639999999999999</v>
      </c>
      <c r="BM198">
        <v>3.351</v>
      </c>
      <c r="BN198" s="6">
        <v>3.3279999999999998</v>
      </c>
      <c r="BO198" s="6">
        <v>3.3340000000000001</v>
      </c>
      <c r="BP198">
        <v>3.3570000000000002</v>
      </c>
      <c r="BQ198" s="7">
        <v>45470</v>
      </c>
      <c r="BR198">
        <v>3.7749999999999999</v>
      </c>
      <c r="BS198">
        <v>3.794</v>
      </c>
      <c r="BT198">
        <v>3.8260000000000001</v>
      </c>
      <c r="BU198">
        <v>3.7709999999999999</v>
      </c>
      <c r="BV198">
        <v>3.778</v>
      </c>
      <c r="BW198" s="6">
        <v>3.7869999999999999</v>
      </c>
      <c r="BX198" s="6">
        <v>3.798</v>
      </c>
      <c r="BY198">
        <v>3.8140000000000001</v>
      </c>
      <c r="BZ198" s="7">
        <v>45470</v>
      </c>
      <c r="CA198">
        <v>3.5110000000000001</v>
      </c>
      <c r="CB198">
        <v>3.5129999999999999</v>
      </c>
      <c r="CC198">
        <v>3.4649999999999999</v>
      </c>
      <c r="CD198">
        <v>3.4089999999999998</v>
      </c>
      <c r="CE198">
        <v>3.4009999999999998</v>
      </c>
      <c r="CF198" s="6">
        <v>3.4340000000000002</v>
      </c>
      <c r="CG198" s="6">
        <v>3.4409999999999998</v>
      </c>
      <c r="CH198">
        <v>3.4049999999999998</v>
      </c>
    </row>
    <row r="199" spans="2:86">
      <c r="B199" s="7">
        <v>45469</v>
      </c>
      <c r="C199">
        <v>3.3359999999999999</v>
      </c>
      <c r="D199">
        <v>3.3559999999999999</v>
      </c>
      <c r="E199">
        <v>3.335</v>
      </c>
      <c r="F199">
        <v>3.2970000000000002</v>
      </c>
      <c r="G199">
        <v>3.258</v>
      </c>
      <c r="H199">
        <v>3.2080000000000002</v>
      </c>
      <c r="I199" s="6">
        <v>3.2349999999999999</v>
      </c>
      <c r="J199" s="6">
        <v>3.2250000000000001</v>
      </c>
      <c r="K199" s="6">
        <v>3.286</v>
      </c>
      <c r="L199" s="6">
        <v>3.2749999999999999</v>
      </c>
      <c r="M199" s="6">
        <v>3.2429999999999999</v>
      </c>
      <c r="N199" s="6">
        <v>3.19</v>
      </c>
      <c r="O199" s="7">
        <v>45469</v>
      </c>
      <c r="P199">
        <v>3.4119999999999999</v>
      </c>
      <c r="Q199">
        <v>3.375</v>
      </c>
      <c r="R199">
        <v>3.3439999999999999</v>
      </c>
      <c r="S199">
        <v>3.2959999999999998</v>
      </c>
      <c r="T199">
        <v>3.27</v>
      </c>
      <c r="U199" s="6">
        <v>3.28</v>
      </c>
      <c r="V199" s="6">
        <v>0</v>
      </c>
      <c r="W199">
        <v>0</v>
      </c>
      <c r="X199" s="7">
        <v>45469</v>
      </c>
      <c r="Y199">
        <v>3.4390000000000001</v>
      </c>
      <c r="Z199">
        <v>3.427</v>
      </c>
      <c r="AA199">
        <v>3.38</v>
      </c>
      <c r="AB199">
        <v>3.3159999999999998</v>
      </c>
      <c r="AC199">
        <v>3.302</v>
      </c>
      <c r="AD199" s="6">
        <v>3.3119999999999998</v>
      </c>
      <c r="AE199" s="6">
        <v>3.31</v>
      </c>
      <c r="AF199">
        <v>3.3260000000000001</v>
      </c>
      <c r="AG199" s="7">
        <v>45469</v>
      </c>
      <c r="AH199">
        <v>3.5419999999999998</v>
      </c>
      <c r="AI199">
        <v>3.516</v>
      </c>
      <c r="AJ199">
        <v>3.484</v>
      </c>
      <c r="AK199">
        <v>3.391</v>
      </c>
      <c r="AL199">
        <v>3.36</v>
      </c>
      <c r="AM199" s="6">
        <v>3.3319999999999999</v>
      </c>
      <c r="AN199" s="6">
        <v>3.327</v>
      </c>
      <c r="AO199">
        <v>3.347</v>
      </c>
      <c r="AP199" s="7">
        <v>45469</v>
      </c>
      <c r="AQ199">
        <v>3.6480000000000001</v>
      </c>
      <c r="AR199">
        <v>3.6560000000000001</v>
      </c>
      <c r="AS199">
        <v>3.653</v>
      </c>
      <c r="AT199">
        <v>3.6349999999999998</v>
      </c>
      <c r="AU199">
        <v>3.637</v>
      </c>
      <c r="AV199" s="6">
        <v>3.6680000000000001</v>
      </c>
      <c r="AW199" s="6">
        <v>3.7010000000000001</v>
      </c>
      <c r="AX199">
        <v>3.8029999999999999</v>
      </c>
      <c r="AY199" s="7">
        <v>45469</v>
      </c>
      <c r="AZ199">
        <v>3.54</v>
      </c>
      <c r="BA199">
        <v>3.5209999999999999</v>
      </c>
      <c r="BB199">
        <v>3.512</v>
      </c>
      <c r="BC199">
        <v>3.4249999999999998</v>
      </c>
      <c r="BD199">
        <v>3.4</v>
      </c>
      <c r="BE199" s="6">
        <v>3.3940000000000001</v>
      </c>
      <c r="BF199" s="6">
        <v>3.387</v>
      </c>
      <c r="BG199">
        <v>3.39</v>
      </c>
      <c r="BH199" s="7">
        <v>45469</v>
      </c>
      <c r="BI199">
        <v>3.4740000000000002</v>
      </c>
      <c r="BJ199">
        <v>3.448</v>
      </c>
      <c r="BK199">
        <v>3.4409999999999998</v>
      </c>
      <c r="BL199">
        <v>3.3639999999999999</v>
      </c>
      <c r="BM199">
        <v>3.3370000000000002</v>
      </c>
      <c r="BN199" s="6">
        <v>3.3239999999999998</v>
      </c>
      <c r="BO199" s="6">
        <v>3.319</v>
      </c>
      <c r="BP199">
        <v>3.3420000000000001</v>
      </c>
      <c r="BQ199" s="7">
        <v>45469</v>
      </c>
      <c r="BR199">
        <v>3.78</v>
      </c>
      <c r="BS199">
        <v>3.794</v>
      </c>
      <c r="BT199">
        <v>3.8239999999999998</v>
      </c>
      <c r="BU199">
        <v>3.7709999999999999</v>
      </c>
      <c r="BV199">
        <v>3.7629999999999999</v>
      </c>
      <c r="BW199" s="6">
        <v>3.7829999999999999</v>
      </c>
      <c r="BX199" s="6">
        <v>3.7879999999999998</v>
      </c>
      <c r="BY199">
        <v>3.8010000000000002</v>
      </c>
      <c r="BZ199" s="7">
        <v>45469</v>
      </c>
      <c r="CA199">
        <v>3.5110000000000001</v>
      </c>
      <c r="CB199">
        <v>3.5129999999999999</v>
      </c>
      <c r="CC199">
        <v>3.4649999999999999</v>
      </c>
      <c r="CD199">
        <v>3.4060000000000001</v>
      </c>
      <c r="CE199">
        <v>3.3889999999999998</v>
      </c>
      <c r="CF199" s="6">
        <v>3.43</v>
      </c>
      <c r="CG199" s="6">
        <v>3.4279999999999999</v>
      </c>
      <c r="CH199">
        <v>3.39</v>
      </c>
    </row>
    <row r="200" spans="2:86">
      <c r="B200" s="7">
        <v>45468</v>
      </c>
      <c r="C200">
        <v>3.3380000000000001</v>
      </c>
      <c r="D200">
        <v>3.3559999999999999</v>
      </c>
      <c r="E200">
        <v>3.3359999999999999</v>
      </c>
      <c r="F200">
        <v>3.2970000000000002</v>
      </c>
      <c r="G200">
        <v>3.2549999999999999</v>
      </c>
      <c r="H200">
        <v>3.2</v>
      </c>
      <c r="I200" s="6">
        <v>3.2269999999999999</v>
      </c>
      <c r="J200" s="6">
        <v>3.2120000000000002</v>
      </c>
      <c r="K200" s="6">
        <v>3.2759999999999998</v>
      </c>
      <c r="L200" s="6">
        <v>3.27</v>
      </c>
      <c r="M200" s="6">
        <v>3.242</v>
      </c>
      <c r="N200" s="6">
        <v>3.18</v>
      </c>
      <c r="O200" s="7">
        <v>45468</v>
      </c>
      <c r="P200">
        <v>3.4119999999999999</v>
      </c>
      <c r="Q200">
        <v>3.379</v>
      </c>
      <c r="R200">
        <v>3.3450000000000002</v>
      </c>
      <c r="S200">
        <v>3.2949999999999999</v>
      </c>
      <c r="T200">
        <v>3.26</v>
      </c>
      <c r="U200" s="6">
        <v>3.2709999999999999</v>
      </c>
      <c r="V200" s="6">
        <v>0</v>
      </c>
      <c r="W200">
        <v>0</v>
      </c>
      <c r="X200" s="7">
        <v>45468</v>
      </c>
      <c r="Y200">
        <v>3.4420000000000002</v>
      </c>
      <c r="Z200">
        <v>3.427</v>
      </c>
      <c r="AA200">
        <v>3.3809999999999998</v>
      </c>
      <c r="AB200">
        <v>3.3159999999999998</v>
      </c>
      <c r="AC200">
        <v>3.2989999999999999</v>
      </c>
      <c r="AD200" s="6">
        <v>3.3039999999999998</v>
      </c>
      <c r="AE200" s="6">
        <v>3.3010000000000002</v>
      </c>
      <c r="AF200">
        <v>3.3140000000000001</v>
      </c>
      <c r="AG200" s="7">
        <v>45468</v>
      </c>
      <c r="AH200">
        <v>3.5419999999999998</v>
      </c>
      <c r="AI200">
        <v>3.516</v>
      </c>
      <c r="AJ200">
        <v>3.484</v>
      </c>
      <c r="AK200">
        <v>3.39</v>
      </c>
      <c r="AL200">
        <v>3.3490000000000002</v>
      </c>
      <c r="AM200" s="6">
        <v>3.3239999999999998</v>
      </c>
      <c r="AN200" s="6">
        <v>3.319</v>
      </c>
      <c r="AO200">
        <v>3.3340000000000001</v>
      </c>
      <c r="AP200" s="7">
        <v>45468</v>
      </c>
      <c r="AQ200">
        <v>3.6480000000000001</v>
      </c>
      <c r="AR200">
        <v>3.6589999999999998</v>
      </c>
      <c r="AS200">
        <v>3.6579999999999999</v>
      </c>
      <c r="AT200">
        <v>3.6320000000000001</v>
      </c>
      <c r="AU200">
        <v>3.6259999999999999</v>
      </c>
      <c r="AV200" s="6">
        <v>3.665</v>
      </c>
      <c r="AW200" s="6">
        <v>3.698</v>
      </c>
      <c r="AX200">
        <v>3.7989999999999999</v>
      </c>
      <c r="AY200" s="7">
        <v>45468</v>
      </c>
      <c r="AZ200">
        <v>3.54</v>
      </c>
      <c r="BA200">
        <v>3.5259999999999998</v>
      </c>
      <c r="BB200">
        <v>3.5169999999999999</v>
      </c>
      <c r="BC200">
        <v>3.4249999999999998</v>
      </c>
      <c r="BD200">
        <v>3.3879999999999999</v>
      </c>
      <c r="BE200" s="6">
        <v>3.3849999999999998</v>
      </c>
      <c r="BF200" s="6">
        <v>3.3820000000000001</v>
      </c>
      <c r="BG200">
        <v>3.379</v>
      </c>
      <c r="BH200" s="7">
        <v>45468</v>
      </c>
      <c r="BI200">
        <v>3.4740000000000002</v>
      </c>
      <c r="BJ200">
        <v>3.4529999999999998</v>
      </c>
      <c r="BK200">
        <v>3.4460000000000002</v>
      </c>
      <c r="BL200">
        <v>3.3660000000000001</v>
      </c>
      <c r="BM200">
        <v>3.3260000000000001</v>
      </c>
      <c r="BN200" s="6">
        <v>3.3159999999999998</v>
      </c>
      <c r="BO200" s="6">
        <v>3.3159999999999998</v>
      </c>
      <c r="BP200">
        <v>3.3319999999999999</v>
      </c>
      <c r="BQ200" s="7">
        <v>45468</v>
      </c>
      <c r="BR200">
        <v>3.79</v>
      </c>
      <c r="BS200">
        <v>3.8090000000000002</v>
      </c>
      <c r="BT200">
        <v>3.8420000000000001</v>
      </c>
      <c r="BU200">
        <v>3.786</v>
      </c>
      <c r="BV200">
        <v>3.76</v>
      </c>
      <c r="BW200" s="6">
        <v>3.7789999999999999</v>
      </c>
      <c r="BX200" s="6">
        <v>3.7839999999999998</v>
      </c>
      <c r="BY200">
        <v>3.7919999999999998</v>
      </c>
      <c r="BZ200" s="7">
        <v>45468</v>
      </c>
      <c r="CA200">
        <v>3.5139999999999998</v>
      </c>
      <c r="CB200">
        <v>3.5129999999999999</v>
      </c>
      <c r="CC200">
        <v>3.4660000000000002</v>
      </c>
      <c r="CD200">
        <v>3.4060000000000001</v>
      </c>
      <c r="CE200">
        <v>3.387</v>
      </c>
      <c r="CF200" s="6">
        <v>3.4209999999999998</v>
      </c>
      <c r="CG200" s="6">
        <v>3.42</v>
      </c>
      <c r="CH200">
        <v>3.3780000000000001</v>
      </c>
    </row>
    <row r="201" spans="2:86">
      <c r="B201" s="7">
        <v>45467</v>
      </c>
      <c r="C201">
        <v>3.3410000000000002</v>
      </c>
      <c r="D201">
        <v>3.3580000000000001</v>
      </c>
      <c r="E201">
        <v>3.3439999999999999</v>
      </c>
      <c r="F201">
        <v>3.302</v>
      </c>
      <c r="G201">
        <v>3.254</v>
      </c>
      <c r="H201">
        <v>3.1920000000000002</v>
      </c>
      <c r="I201" s="6">
        <v>3.22</v>
      </c>
      <c r="J201" s="6">
        <v>3.2120000000000002</v>
      </c>
      <c r="K201" s="6">
        <v>3.2709999999999999</v>
      </c>
      <c r="L201" s="6">
        <v>3.262</v>
      </c>
      <c r="M201" s="6">
        <v>3.24</v>
      </c>
      <c r="N201" s="6">
        <v>3.17</v>
      </c>
      <c r="O201" s="7">
        <v>45467</v>
      </c>
      <c r="P201">
        <v>3.4119999999999999</v>
      </c>
      <c r="Q201">
        <v>3.379</v>
      </c>
      <c r="R201">
        <v>3.3450000000000002</v>
      </c>
      <c r="S201">
        <v>3.2890000000000001</v>
      </c>
      <c r="T201">
        <v>3.2549999999999999</v>
      </c>
      <c r="U201" s="6">
        <v>3.2679999999999998</v>
      </c>
      <c r="V201" s="6">
        <v>0</v>
      </c>
      <c r="W201">
        <v>0</v>
      </c>
      <c r="X201" s="7">
        <v>45467</v>
      </c>
      <c r="Y201">
        <v>3.4460000000000002</v>
      </c>
      <c r="Z201">
        <v>3.4289999999999998</v>
      </c>
      <c r="AA201">
        <v>3.3889999999999998</v>
      </c>
      <c r="AB201">
        <v>3.3170000000000002</v>
      </c>
      <c r="AC201">
        <v>3.298</v>
      </c>
      <c r="AD201" s="6">
        <v>3.2989999999999999</v>
      </c>
      <c r="AE201" s="6">
        <v>3.2970000000000002</v>
      </c>
      <c r="AF201">
        <v>3.3159999999999998</v>
      </c>
      <c r="AG201" s="7">
        <v>45467</v>
      </c>
      <c r="AH201">
        <v>3.544</v>
      </c>
      <c r="AI201">
        <v>3.5179999999999998</v>
      </c>
      <c r="AJ201">
        <v>3.488</v>
      </c>
      <c r="AK201">
        <v>3.3839999999999999</v>
      </c>
      <c r="AL201">
        <v>3.3439999999999999</v>
      </c>
      <c r="AM201" s="6">
        <v>3.3159999999999998</v>
      </c>
      <c r="AN201" s="6">
        <v>3.3119999999999998</v>
      </c>
      <c r="AO201">
        <v>3.335</v>
      </c>
      <c r="AP201" s="7">
        <v>45467</v>
      </c>
      <c r="AQ201">
        <v>3.65</v>
      </c>
      <c r="AR201">
        <v>3.661</v>
      </c>
      <c r="AS201">
        <v>3.66</v>
      </c>
      <c r="AT201">
        <v>3.625</v>
      </c>
      <c r="AU201">
        <v>3.6219999999999999</v>
      </c>
      <c r="AV201" s="6">
        <v>3.657</v>
      </c>
      <c r="AW201" s="6">
        <v>3.694</v>
      </c>
      <c r="AX201">
        <v>3.8</v>
      </c>
      <c r="AY201" s="7">
        <v>45467</v>
      </c>
      <c r="AZ201">
        <v>3.54</v>
      </c>
      <c r="BA201">
        <v>3.5259999999999998</v>
      </c>
      <c r="BB201">
        <v>3.5169999999999999</v>
      </c>
      <c r="BC201">
        <v>3.4220000000000002</v>
      </c>
      <c r="BD201">
        <v>3.3879999999999999</v>
      </c>
      <c r="BE201" s="6">
        <v>3.3780000000000001</v>
      </c>
      <c r="BF201" s="6">
        <v>3.375</v>
      </c>
      <c r="BG201">
        <v>3.3759999999999999</v>
      </c>
      <c r="BH201" s="7">
        <v>45467</v>
      </c>
      <c r="BI201">
        <v>3.472</v>
      </c>
      <c r="BJ201">
        <v>3.4529999999999998</v>
      </c>
      <c r="BK201">
        <v>3.4460000000000002</v>
      </c>
      <c r="BL201">
        <v>3.3610000000000002</v>
      </c>
      <c r="BM201">
        <v>3.3250000000000002</v>
      </c>
      <c r="BN201" s="6">
        <v>3.3109999999999999</v>
      </c>
      <c r="BO201" s="6">
        <v>3.3090000000000002</v>
      </c>
      <c r="BP201">
        <v>3.3340000000000001</v>
      </c>
      <c r="BQ201" s="7">
        <v>45467</v>
      </c>
      <c r="BR201">
        <v>3.7959999999999998</v>
      </c>
      <c r="BS201">
        <v>3.8159999999999998</v>
      </c>
      <c r="BT201">
        <v>3.8490000000000002</v>
      </c>
      <c r="BU201">
        <v>3.7810000000000001</v>
      </c>
      <c r="BV201">
        <v>3.7589999999999999</v>
      </c>
      <c r="BW201" s="6">
        <v>3.7719999999999998</v>
      </c>
      <c r="BX201" s="6">
        <v>3.7770000000000001</v>
      </c>
      <c r="BY201">
        <v>3.7890000000000001</v>
      </c>
      <c r="BZ201" s="7">
        <v>45467</v>
      </c>
      <c r="CA201">
        <v>3.5169999999999999</v>
      </c>
      <c r="CB201">
        <v>3.5150000000000001</v>
      </c>
      <c r="CC201">
        <v>3.4729999999999999</v>
      </c>
      <c r="CD201">
        <v>3.4079999999999999</v>
      </c>
      <c r="CE201">
        <v>3.3849999999999998</v>
      </c>
      <c r="CF201" s="6">
        <v>3.419</v>
      </c>
      <c r="CG201" s="6">
        <v>3.415</v>
      </c>
      <c r="CH201">
        <v>3.379</v>
      </c>
    </row>
    <row r="202" spans="2:86">
      <c r="B202" s="7">
        <v>45464</v>
      </c>
      <c r="C202">
        <v>3.3359999999999999</v>
      </c>
      <c r="D202">
        <v>3.3450000000000002</v>
      </c>
      <c r="E202">
        <v>3.3370000000000002</v>
      </c>
      <c r="F202">
        <v>3.2879999999999998</v>
      </c>
      <c r="G202">
        <v>3.2309999999999999</v>
      </c>
      <c r="H202">
        <v>3.16</v>
      </c>
      <c r="I202" s="6">
        <v>3.19</v>
      </c>
      <c r="J202" s="6">
        <v>3.19</v>
      </c>
      <c r="K202" s="6">
        <v>3.25</v>
      </c>
      <c r="L202" s="6">
        <v>3.242</v>
      </c>
      <c r="M202" s="6">
        <v>3.2269999999999999</v>
      </c>
      <c r="N202" s="6">
        <v>3.157</v>
      </c>
      <c r="O202" s="7">
        <v>45464</v>
      </c>
      <c r="P202">
        <v>3.41</v>
      </c>
      <c r="Q202">
        <v>3.3740000000000001</v>
      </c>
      <c r="R202">
        <v>3.335</v>
      </c>
      <c r="S202">
        <v>3.28</v>
      </c>
      <c r="T202">
        <v>3.2349999999999999</v>
      </c>
      <c r="U202" s="6">
        <v>3.24</v>
      </c>
      <c r="V202" s="6">
        <v>0</v>
      </c>
      <c r="W202">
        <v>0</v>
      </c>
      <c r="X202" s="7">
        <v>45464</v>
      </c>
      <c r="Y202">
        <v>3.4409999999999998</v>
      </c>
      <c r="Z202">
        <v>3.4169999999999998</v>
      </c>
      <c r="AA202">
        <v>3.3839999999999999</v>
      </c>
      <c r="AB202">
        <v>3.3079999999999998</v>
      </c>
      <c r="AC202">
        <v>3.2770000000000001</v>
      </c>
      <c r="AD202" s="6">
        <v>3.2690000000000001</v>
      </c>
      <c r="AE202" s="6">
        <v>3.2679999999999998</v>
      </c>
      <c r="AF202">
        <v>3.2949999999999999</v>
      </c>
      <c r="AG202" s="7">
        <v>45464</v>
      </c>
      <c r="AH202">
        <v>3.5419999999999998</v>
      </c>
      <c r="AI202">
        <v>3.5110000000000001</v>
      </c>
      <c r="AJ202">
        <v>3.4780000000000002</v>
      </c>
      <c r="AK202">
        <v>3.3740000000000001</v>
      </c>
      <c r="AL202">
        <v>3.3239999999999998</v>
      </c>
      <c r="AM202" s="6">
        <v>3.2839999999999998</v>
      </c>
      <c r="AN202" s="6">
        <v>3.2829999999999999</v>
      </c>
      <c r="AO202">
        <v>3.3140000000000001</v>
      </c>
      <c r="AP202" s="7">
        <v>45464</v>
      </c>
      <c r="AQ202">
        <v>3.6469999999999998</v>
      </c>
      <c r="AR202">
        <v>3.6539999999999999</v>
      </c>
      <c r="AS202">
        <v>3.6520000000000001</v>
      </c>
      <c r="AT202">
        <v>3.6150000000000002</v>
      </c>
      <c r="AU202">
        <v>3.605</v>
      </c>
      <c r="AV202" s="6">
        <v>3.629</v>
      </c>
      <c r="AW202" s="6">
        <v>3.6720000000000002</v>
      </c>
      <c r="AX202">
        <v>3.7869999999999999</v>
      </c>
      <c r="AY202" s="7">
        <v>45464</v>
      </c>
      <c r="AZ202">
        <v>3.5379999999999998</v>
      </c>
      <c r="BA202">
        <v>3.5209999999999999</v>
      </c>
      <c r="BB202">
        <v>3.5070000000000001</v>
      </c>
      <c r="BC202">
        <v>3.411</v>
      </c>
      <c r="BD202">
        <v>3.3679999999999999</v>
      </c>
      <c r="BE202" s="6">
        <v>3.343</v>
      </c>
      <c r="BF202" s="6">
        <v>3.3420000000000001</v>
      </c>
      <c r="BG202">
        <v>3.3490000000000002</v>
      </c>
      <c r="BH202" s="7">
        <v>45464</v>
      </c>
      <c r="BI202">
        <v>3.4710000000000001</v>
      </c>
      <c r="BJ202">
        <v>3.4470000000000001</v>
      </c>
      <c r="BK202">
        <v>3.4340000000000002</v>
      </c>
      <c r="BL202">
        <v>3.35</v>
      </c>
      <c r="BM202">
        <v>3.3039999999999998</v>
      </c>
      <c r="BN202" s="6">
        <v>3.2789999999999999</v>
      </c>
      <c r="BO202" s="6">
        <v>3.2789999999999999</v>
      </c>
      <c r="BP202">
        <v>3.3119999999999998</v>
      </c>
      <c r="BQ202" s="7">
        <v>45464</v>
      </c>
      <c r="BR202">
        <v>3.7949999999999999</v>
      </c>
      <c r="BS202">
        <v>3.8109999999999999</v>
      </c>
      <c r="BT202">
        <v>3.8370000000000002</v>
      </c>
      <c r="BU202">
        <v>3.77</v>
      </c>
      <c r="BV202">
        <v>3.738</v>
      </c>
      <c r="BW202" s="6">
        <v>3.74</v>
      </c>
      <c r="BX202" s="6">
        <v>3.7469999999999999</v>
      </c>
      <c r="BY202">
        <v>3.7669999999999999</v>
      </c>
      <c r="BZ202" s="7">
        <v>45464</v>
      </c>
      <c r="CA202">
        <v>3.512</v>
      </c>
      <c r="CB202">
        <v>3.5030000000000001</v>
      </c>
      <c r="CC202">
        <v>3.468</v>
      </c>
      <c r="CD202">
        <v>3.399</v>
      </c>
      <c r="CE202">
        <v>3.3650000000000002</v>
      </c>
      <c r="CF202" s="6">
        <v>3.3889999999999998</v>
      </c>
      <c r="CG202" s="6">
        <v>3.3860000000000001</v>
      </c>
      <c r="CH202">
        <v>3.3580000000000001</v>
      </c>
    </row>
    <row r="203" spans="2:86">
      <c r="B203" s="7">
        <v>45463</v>
      </c>
      <c r="C203">
        <v>3.3380000000000001</v>
      </c>
      <c r="D203">
        <v>3.3450000000000002</v>
      </c>
      <c r="E203">
        <v>3.3439999999999999</v>
      </c>
      <c r="F203">
        <v>3.3079999999999998</v>
      </c>
      <c r="G203">
        <v>3.26</v>
      </c>
      <c r="H203">
        <v>3.1949999999999998</v>
      </c>
      <c r="I203" s="6">
        <v>3.22</v>
      </c>
      <c r="J203" s="6">
        <v>3.22</v>
      </c>
      <c r="K203" s="6">
        <v>3.2789999999999999</v>
      </c>
      <c r="L203" s="6">
        <v>3.27</v>
      </c>
      <c r="M203" s="6">
        <v>3.2349999999999999</v>
      </c>
      <c r="N203" s="6">
        <v>3.16</v>
      </c>
      <c r="O203" s="7">
        <v>45463</v>
      </c>
      <c r="P203">
        <v>3.41</v>
      </c>
      <c r="Q203">
        <v>3.3740000000000001</v>
      </c>
      <c r="R203">
        <v>3.3420000000000001</v>
      </c>
      <c r="S203">
        <v>3.3</v>
      </c>
      <c r="T203">
        <v>3.2559999999999998</v>
      </c>
      <c r="U203" s="6">
        <v>3.2709999999999999</v>
      </c>
      <c r="V203" s="6">
        <v>0</v>
      </c>
      <c r="W203">
        <v>0</v>
      </c>
      <c r="X203" s="7">
        <v>45463</v>
      </c>
      <c r="Y203">
        <v>3.4420000000000002</v>
      </c>
      <c r="Z203">
        <v>3.4140000000000001</v>
      </c>
      <c r="AA203">
        <v>3.39</v>
      </c>
      <c r="AB203">
        <v>3.3279999999999998</v>
      </c>
      <c r="AC203">
        <v>3.3029999999999999</v>
      </c>
      <c r="AD203" s="6">
        <v>3.3029999999999999</v>
      </c>
      <c r="AE203" s="6">
        <v>3.298</v>
      </c>
      <c r="AF203">
        <v>3.33</v>
      </c>
      <c r="AG203" s="7">
        <v>45463</v>
      </c>
      <c r="AH203">
        <v>3.5409999999999999</v>
      </c>
      <c r="AI203">
        <v>3.5150000000000001</v>
      </c>
      <c r="AJ203">
        <v>3.488</v>
      </c>
      <c r="AK203">
        <v>3.39</v>
      </c>
      <c r="AL203">
        <v>3.3439999999999999</v>
      </c>
      <c r="AM203" s="6">
        <v>3.3159999999999998</v>
      </c>
      <c r="AN203" s="6">
        <v>3.3090000000000002</v>
      </c>
      <c r="AO203">
        <v>3.3439999999999999</v>
      </c>
      <c r="AP203" s="7">
        <v>45463</v>
      </c>
      <c r="AQ203">
        <v>3.645</v>
      </c>
      <c r="AR203">
        <v>3.6539999999999999</v>
      </c>
      <c r="AS203">
        <v>3.657</v>
      </c>
      <c r="AT203">
        <v>3.6280000000000001</v>
      </c>
      <c r="AU203">
        <v>3.621</v>
      </c>
      <c r="AV203" s="6">
        <v>3.6659999999999999</v>
      </c>
      <c r="AW203" s="6">
        <v>3.7040000000000002</v>
      </c>
      <c r="AX203">
        <v>3.8149999999999999</v>
      </c>
      <c r="AY203" s="7">
        <v>45463</v>
      </c>
      <c r="AZ203">
        <v>3.5379999999999998</v>
      </c>
      <c r="BA203">
        <v>3.5209999999999999</v>
      </c>
      <c r="BB203">
        <v>3.5179999999999998</v>
      </c>
      <c r="BC203">
        <v>3.4289999999999998</v>
      </c>
      <c r="BD203">
        <v>3.387</v>
      </c>
      <c r="BE203" s="6">
        <v>3.379</v>
      </c>
      <c r="BF203" s="6">
        <v>3.37</v>
      </c>
      <c r="BG203">
        <v>3.3809999999999998</v>
      </c>
      <c r="BH203" s="7">
        <v>45463</v>
      </c>
      <c r="BI203">
        <v>3.4710000000000001</v>
      </c>
      <c r="BJ203">
        <v>3.4470000000000001</v>
      </c>
      <c r="BK203">
        <v>3.4430000000000001</v>
      </c>
      <c r="BL203">
        <v>3.3690000000000002</v>
      </c>
      <c r="BM203">
        <v>3.3239999999999998</v>
      </c>
      <c r="BN203" s="6">
        <v>3.3130000000000002</v>
      </c>
      <c r="BO203" s="6">
        <v>3.306</v>
      </c>
      <c r="BP203">
        <v>3.3420000000000001</v>
      </c>
      <c r="BQ203" s="7">
        <v>45463</v>
      </c>
      <c r="BR203">
        <v>3.7879999999999998</v>
      </c>
      <c r="BS203">
        <v>3.8039999999999998</v>
      </c>
      <c r="BT203">
        <v>3.84</v>
      </c>
      <c r="BU203">
        <v>3.786</v>
      </c>
      <c r="BV203">
        <v>3.754</v>
      </c>
      <c r="BW203" s="6">
        <v>3.7719999999999998</v>
      </c>
      <c r="BX203" s="6">
        <v>3.7719999999999998</v>
      </c>
      <c r="BY203">
        <v>3.7970000000000002</v>
      </c>
      <c r="BZ203" s="7">
        <v>45463</v>
      </c>
      <c r="CA203">
        <v>3.5139999999999998</v>
      </c>
      <c r="CB203">
        <v>3.5030000000000001</v>
      </c>
      <c r="CC203">
        <v>3.4750000000000001</v>
      </c>
      <c r="CD203">
        <v>3.4169999999999998</v>
      </c>
      <c r="CE203">
        <v>3.39</v>
      </c>
      <c r="CF203" s="6">
        <v>3.423</v>
      </c>
      <c r="CG203" s="6">
        <v>3.4159999999999999</v>
      </c>
      <c r="CH203">
        <v>3.3929999999999998</v>
      </c>
    </row>
    <row r="204" spans="2:86">
      <c r="B204" s="7">
        <v>45462</v>
      </c>
      <c r="C204">
        <v>3.335</v>
      </c>
      <c r="D204">
        <v>3.34</v>
      </c>
      <c r="E204">
        <v>3.3319999999999999</v>
      </c>
      <c r="F204">
        <v>3.2930000000000001</v>
      </c>
      <c r="G204">
        <v>3.2250000000000001</v>
      </c>
      <c r="H204">
        <v>3.15</v>
      </c>
      <c r="I204" s="6">
        <v>3.18</v>
      </c>
      <c r="J204" s="6">
        <v>3.18</v>
      </c>
      <c r="K204" s="6">
        <v>3.2370000000000001</v>
      </c>
      <c r="L204" s="6">
        <v>3.2250000000000001</v>
      </c>
      <c r="M204" s="6">
        <v>3.1949999999999998</v>
      </c>
      <c r="N204" s="6">
        <v>3.117</v>
      </c>
      <c r="O204" s="7">
        <v>45462</v>
      </c>
      <c r="P204">
        <v>3.4049999999999998</v>
      </c>
      <c r="Q204">
        <v>3.359</v>
      </c>
      <c r="R204">
        <v>3.3290000000000002</v>
      </c>
      <c r="S204">
        <v>3.286</v>
      </c>
      <c r="T204">
        <v>3.23</v>
      </c>
      <c r="U204" s="6">
        <v>3.238</v>
      </c>
      <c r="V204" s="6">
        <v>0</v>
      </c>
      <c r="W204">
        <v>0</v>
      </c>
      <c r="X204" s="7">
        <v>45462</v>
      </c>
      <c r="Y204">
        <v>3.4390000000000001</v>
      </c>
      <c r="Z204">
        <v>3.407</v>
      </c>
      <c r="AA204">
        <v>3.379</v>
      </c>
      <c r="AB204">
        <v>3.3130000000000002</v>
      </c>
      <c r="AC204">
        <v>3.2709999999999999</v>
      </c>
      <c r="AD204" s="6">
        <v>3.26</v>
      </c>
      <c r="AE204" s="6">
        <v>3.2570000000000001</v>
      </c>
      <c r="AF204">
        <v>3.294</v>
      </c>
      <c r="AG204" s="7">
        <v>45462</v>
      </c>
      <c r="AH204">
        <v>3.54</v>
      </c>
      <c r="AI204">
        <v>3.512</v>
      </c>
      <c r="AJ204">
        <v>3.4870000000000001</v>
      </c>
      <c r="AK204">
        <v>3.3809999999999998</v>
      </c>
      <c r="AL204">
        <v>3.3239999999999998</v>
      </c>
      <c r="AM204" s="6">
        <v>3.2759999999999998</v>
      </c>
      <c r="AN204" s="6">
        <v>3.2709999999999999</v>
      </c>
      <c r="AO204">
        <v>3.306</v>
      </c>
      <c r="AP204" s="7">
        <v>45462</v>
      </c>
      <c r="AQ204">
        <v>3.6379999999999999</v>
      </c>
      <c r="AR204">
        <v>3.6389999999999998</v>
      </c>
      <c r="AS204">
        <v>3.6429999999999998</v>
      </c>
      <c r="AT204">
        <v>3.6230000000000002</v>
      </c>
      <c r="AU204">
        <v>3.6040000000000001</v>
      </c>
      <c r="AV204" s="6">
        <v>3.62</v>
      </c>
      <c r="AW204" s="6">
        <v>3.665</v>
      </c>
      <c r="AX204">
        <v>3.7749999999999999</v>
      </c>
      <c r="AY204" s="7">
        <v>45462</v>
      </c>
      <c r="AZ204">
        <v>3.5350000000000001</v>
      </c>
      <c r="BA204">
        <v>3.5129999999999999</v>
      </c>
      <c r="BB204">
        <v>3.5129999999999999</v>
      </c>
      <c r="BC204">
        <v>3.4220000000000002</v>
      </c>
      <c r="BD204">
        <v>3.3650000000000002</v>
      </c>
      <c r="BE204" s="6">
        <v>3.3340000000000001</v>
      </c>
      <c r="BF204" s="6">
        <v>3.331</v>
      </c>
      <c r="BG204">
        <v>3.3420000000000001</v>
      </c>
      <c r="BH204" s="7">
        <v>45462</v>
      </c>
      <c r="BI204">
        <v>3.4670000000000001</v>
      </c>
      <c r="BJ204">
        <v>3.4390000000000001</v>
      </c>
      <c r="BK204">
        <v>3.4380000000000002</v>
      </c>
      <c r="BL204">
        <v>3.3620000000000001</v>
      </c>
      <c r="BM204">
        <v>3.3010000000000002</v>
      </c>
      <c r="BN204" s="6">
        <v>3.2709999999999999</v>
      </c>
      <c r="BO204" s="6">
        <v>3.2690000000000001</v>
      </c>
      <c r="BP204">
        <v>3.3050000000000002</v>
      </c>
      <c r="BQ204" s="7">
        <v>45462</v>
      </c>
      <c r="BR204">
        <v>3.7850000000000001</v>
      </c>
      <c r="BS204">
        <v>3.7959999999999998</v>
      </c>
      <c r="BT204">
        <v>3.8340000000000001</v>
      </c>
      <c r="BU204">
        <v>3.7789999999999999</v>
      </c>
      <c r="BV204">
        <v>3.7320000000000002</v>
      </c>
      <c r="BW204" s="6">
        <v>3.7269999999999999</v>
      </c>
      <c r="BX204" s="6">
        <v>3.7330000000000001</v>
      </c>
      <c r="BY204">
        <v>3.7589999999999999</v>
      </c>
      <c r="BZ204" s="7">
        <v>45462</v>
      </c>
      <c r="CA204">
        <v>3.5110000000000001</v>
      </c>
      <c r="CB204">
        <v>3.4969999999999999</v>
      </c>
      <c r="CC204">
        <v>3.4630000000000001</v>
      </c>
      <c r="CD204">
        <v>3.4020000000000001</v>
      </c>
      <c r="CE204">
        <v>3.359</v>
      </c>
      <c r="CF204" s="6">
        <v>3.38</v>
      </c>
      <c r="CG204" s="6">
        <v>3.3759999999999999</v>
      </c>
      <c r="CH204">
        <v>3.3580000000000001</v>
      </c>
    </row>
    <row r="205" spans="2:86">
      <c r="B205" s="7">
        <v>45461</v>
      </c>
      <c r="C205">
        <v>3.3359999999999999</v>
      </c>
      <c r="D205">
        <v>3.3439999999999999</v>
      </c>
      <c r="E205">
        <v>3.3359999999999999</v>
      </c>
      <c r="F205">
        <v>3.3159999999999998</v>
      </c>
      <c r="G205">
        <v>3.2749999999999999</v>
      </c>
      <c r="H205">
        <v>3.2069999999999999</v>
      </c>
      <c r="I205" s="6">
        <v>3.2349999999999999</v>
      </c>
      <c r="J205" s="6">
        <v>3.23</v>
      </c>
      <c r="K205" s="6">
        <v>3.2869999999999999</v>
      </c>
      <c r="L205" s="6">
        <v>3.2770000000000001</v>
      </c>
      <c r="M205" s="6">
        <v>3.2349999999999999</v>
      </c>
      <c r="N205" s="6">
        <v>3.15</v>
      </c>
      <c r="O205" s="7">
        <v>45461</v>
      </c>
      <c r="P205">
        <v>3.407</v>
      </c>
      <c r="Q205">
        <v>3.3650000000000002</v>
      </c>
      <c r="R205">
        <v>3.3340000000000001</v>
      </c>
      <c r="S205">
        <v>3.3130000000000002</v>
      </c>
      <c r="T205">
        <v>3.2749999999999999</v>
      </c>
      <c r="U205" s="6">
        <v>3.2810000000000001</v>
      </c>
      <c r="V205" s="6">
        <v>0</v>
      </c>
      <c r="W205">
        <v>0</v>
      </c>
      <c r="X205" s="7">
        <v>45461</v>
      </c>
      <c r="Y205">
        <v>3.4409999999999998</v>
      </c>
      <c r="Z205">
        <v>3.415</v>
      </c>
      <c r="AA205">
        <v>3.3839999999999999</v>
      </c>
      <c r="AB205">
        <v>3.3380000000000001</v>
      </c>
      <c r="AC205">
        <v>3.32</v>
      </c>
      <c r="AD205" s="6">
        <v>3.3170000000000002</v>
      </c>
      <c r="AE205" s="6">
        <v>3.3119999999999998</v>
      </c>
      <c r="AF205">
        <v>3.351</v>
      </c>
      <c r="AG205" s="7">
        <v>45461</v>
      </c>
      <c r="AH205">
        <v>3.5419999999999998</v>
      </c>
      <c r="AI205">
        <v>3.5219999999999998</v>
      </c>
      <c r="AJ205">
        <v>3.4980000000000002</v>
      </c>
      <c r="AK205">
        <v>3.407</v>
      </c>
      <c r="AL205">
        <v>3.367</v>
      </c>
      <c r="AM205" s="6">
        <v>3.3330000000000002</v>
      </c>
      <c r="AN205" s="6">
        <v>3.3239999999999998</v>
      </c>
      <c r="AO205">
        <v>3.3540000000000001</v>
      </c>
      <c r="AP205" s="7">
        <v>45461</v>
      </c>
      <c r="AQ205">
        <v>3.645</v>
      </c>
      <c r="AR205">
        <v>3.6459999999999999</v>
      </c>
      <c r="AS205">
        <v>3.6520000000000001</v>
      </c>
      <c r="AT205">
        <v>3.65</v>
      </c>
      <c r="AU205">
        <v>3.6440000000000001</v>
      </c>
      <c r="AV205" s="6">
        <v>3.6640000000000001</v>
      </c>
      <c r="AW205" s="6">
        <v>3.7090000000000001</v>
      </c>
      <c r="AX205">
        <v>3.823</v>
      </c>
      <c r="AY205" s="7">
        <v>45461</v>
      </c>
      <c r="AZ205">
        <v>3.5350000000000001</v>
      </c>
      <c r="BA205">
        <v>3.516</v>
      </c>
      <c r="BB205">
        <v>3.52</v>
      </c>
      <c r="BC205">
        <v>3.4489999999999998</v>
      </c>
      <c r="BD205">
        <v>3.4079999999999999</v>
      </c>
      <c r="BE205" s="6">
        <v>3.39</v>
      </c>
      <c r="BF205" s="6">
        <v>3.3839999999999999</v>
      </c>
      <c r="BG205">
        <v>3.3860000000000001</v>
      </c>
      <c r="BH205" s="7">
        <v>45461</v>
      </c>
      <c r="BI205">
        <v>3.47</v>
      </c>
      <c r="BJ205">
        <v>3.4430000000000001</v>
      </c>
      <c r="BK205">
        <v>3.444</v>
      </c>
      <c r="BL205">
        <v>3.3889999999999998</v>
      </c>
      <c r="BM205">
        <v>3.3450000000000002</v>
      </c>
      <c r="BN205" s="6">
        <v>3.3279999999999998</v>
      </c>
      <c r="BO205" s="6">
        <v>3.323</v>
      </c>
      <c r="BP205">
        <v>3.3519999999999999</v>
      </c>
      <c r="BQ205" s="7">
        <v>45461</v>
      </c>
      <c r="BR205">
        <v>3.7850000000000001</v>
      </c>
      <c r="BS205">
        <v>3.8010000000000002</v>
      </c>
      <c r="BT205">
        <v>3.8420000000000001</v>
      </c>
      <c r="BU205">
        <v>3.8050000000000002</v>
      </c>
      <c r="BV205">
        <v>3.7749999999999999</v>
      </c>
      <c r="BW205" s="6">
        <v>3.7839999999999998</v>
      </c>
      <c r="BX205" s="6">
        <v>3.786</v>
      </c>
      <c r="BY205">
        <v>3.8029999999999999</v>
      </c>
      <c r="BZ205" s="7">
        <v>45461</v>
      </c>
      <c r="CA205">
        <v>3.512</v>
      </c>
      <c r="CB205">
        <v>3.5059999999999998</v>
      </c>
      <c r="CC205">
        <v>3.4710000000000001</v>
      </c>
      <c r="CD205">
        <v>3.427</v>
      </c>
      <c r="CE205">
        <v>3.41</v>
      </c>
      <c r="CF205" s="6">
        <v>3.4390000000000001</v>
      </c>
      <c r="CG205" s="6">
        <v>3.4319999999999999</v>
      </c>
      <c r="CH205">
        <v>3.4129999999999998</v>
      </c>
    </row>
    <row r="206" spans="2:86">
      <c r="B206" s="7">
        <v>45460</v>
      </c>
      <c r="C206">
        <v>3.3279999999999998</v>
      </c>
      <c r="D206">
        <v>3.3439999999999999</v>
      </c>
      <c r="E206">
        <v>3.3359999999999999</v>
      </c>
      <c r="F206">
        <v>3.3159999999999998</v>
      </c>
      <c r="G206">
        <v>3.28</v>
      </c>
      <c r="H206">
        <v>3.2080000000000002</v>
      </c>
      <c r="I206" s="6">
        <v>3.2349999999999999</v>
      </c>
      <c r="J206" s="6">
        <v>3.23</v>
      </c>
      <c r="K206" s="6">
        <v>3.286</v>
      </c>
      <c r="L206" s="6">
        <v>3.2749999999999999</v>
      </c>
      <c r="M206" s="6">
        <v>3.2469999999999999</v>
      </c>
      <c r="N206" s="6">
        <v>3.1869999999999998</v>
      </c>
      <c r="O206" s="7">
        <v>45460</v>
      </c>
      <c r="P206">
        <v>3.407</v>
      </c>
      <c r="Q206">
        <v>3.3650000000000002</v>
      </c>
      <c r="R206">
        <v>3.3340000000000001</v>
      </c>
      <c r="S206">
        <v>3.3149999999999999</v>
      </c>
      <c r="T206">
        <v>3.2749999999999999</v>
      </c>
      <c r="U206" s="6">
        <v>3.28</v>
      </c>
      <c r="V206" s="6">
        <v>0</v>
      </c>
      <c r="W206">
        <v>0</v>
      </c>
      <c r="X206" s="7">
        <v>45460</v>
      </c>
      <c r="Y206">
        <v>3.4319999999999999</v>
      </c>
      <c r="Z206">
        <v>3.415</v>
      </c>
      <c r="AA206">
        <v>3.3839999999999999</v>
      </c>
      <c r="AB206">
        <v>3.3479999999999999</v>
      </c>
      <c r="AC206">
        <v>3.327</v>
      </c>
      <c r="AD206" s="6">
        <v>3.323</v>
      </c>
      <c r="AE206" s="6">
        <v>3.3159999999999998</v>
      </c>
      <c r="AF206">
        <v>3.3530000000000002</v>
      </c>
      <c r="AG206" s="7">
        <v>45460</v>
      </c>
      <c r="AH206">
        <v>3.5419999999999998</v>
      </c>
      <c r="AI206">
        <v>3.5249999999999999</v>
      </c>
      <c r="AJ206">
        <v>3.5030000000000001</v>
      </c>
      <c r="AK206">
        <v>3.4140000000000001</v>
      </c>
      <c r="AL206">
        <v>3.3679999999999999</v>
      </c>
      <c r="AM206" s="6">
        <v>3.3340000000000001</v>
      </c>
      <c r="AN206" s="6">
        <v>3.3239999999999998</v>
      </c>
      <c r="AO206">
        <v>3.3530000000000002</v>
      </c>
      <c r="AP206" s="7">
        <v>45460</v>
      </c>
      <c r="AQ206">
        <v>3.65</v>
      </c>
      <c r="AR206">
        <v>3.653</v>
      </c>
      <c r="AS206">
        <v>3.6579999999999999</v>
      </c>
      <c r="AT206">
        <v>3.6560000000000001</v>
      </c>
      <c r="AU206">
        <v>3.6459999999999999</v>
      </c>
      <c r="AV206" s="6">
        <v>3.6659999999999999</v>
      </c>
      <c r="AW206" s="6">
        <v>3.71</v>
      </c>
      <c r="AX206">
        <v>3.8279999999999998</v>
      </c>
      <c r="AY206" s="7">
        <v>45460</v>
      </c>
      <c r="AZ206">
        <v>3.5350000000000001</v>
      </c>
      <c r="BA206">
        <v>3.516</v>
      </c>
      <c r="BB206">
        <v>3.5190000000000001</v>
      </c>
      <c r="BC206">
        <v>3.4489999999999998</v>
      </c>
      <c r="BD206">
        <v>3.407</v>
      </c>
      <c r="BE206" s="6">
        <v>3.39</v>
      </c>
      <c r="BF206" s="6">
        <v>3.3809999999999998</v>
      </c>
      <c r="BG206">
        <v>3.3849999999999998</v>
      </c>
      <c r="BH206" s="7">
        <v>45460</v>
      </c>
      <c r="BI206">
        <v>3.47</v>
      </c>
      <c r="BJ206">
        <v>3.444</v>
      </c>
      <c r="BK206">
        <v>3.4420000000000002</v>
      </c>
      <c r="BL206">
        <v>3.3889999999999998</v>
      </c>
      <c r="BM206">
        <v>3.3450000000000002</v>
      </c>
      <c r="BN206" s="6">
        <v>3.3290000000000002</v>
      </c>
      <c r="BO206" s="6">
        <v>3.3210000000000002</v>
      </c>
      <c r="BP206">
        <v>3.351</v>
      </c>
      <c r="BQ206" s="7">
        <v>45460</v>
      </c>
      <c r="BR206">
        <v>3.7850000000000001</v>
      </c>
      <c r="BS206">
        <v>3.8010000000000002</v>
      </c>
      <c r="BT206">
        <v>3.84</v>
      </c>
      <c r="BU206">
        <v>3.8050000000000002</v>
      </c>
      <c r="BV206">
        <v>3.7749999999999999</v>
      </c>
      <c r="BW206" s="6">
        <v>3.7850000000000001</v>
      </c>
      <c r="BX206" s="6">
        <v>3.786</v>
      </c>
      <c r="BY206">
        <v>3.8029999999999999</v>
      </c>
      <c r="BZ206" s="7">
        <v>45460</v>
      </c>
      <c r="CA206">
        <v>3.504</v>
      </c>
      <c r="CB206">
        <v>3.5059999999999998</v>
      </c>
      <c r="CC206">
        <v>3.4710000000000001</v>
      </c>
      <c r="CD206">
        <v>3.4369999999999998</v>
      </c>
      <c r="CE206">
        <v>3.4169999999999998</v>
      </c>
      <c r="CF206" s="6">
        <v>3.4449999999999998</v>
      </c>
      <c r="CG206" s="6">
        <v>3.4359999999999999</v>
      </c>
      <c r="CH206">
        <v>3.4140000000000001</v>
      </c>
    </row>
    <row r="207" spans="2:86">
      <c r="B207" s="7">
        <v>45457</v>
      </c>
      <c r="C207">
        <v>3.335</v>
      </c>
      <c r="D207">
        <v>3.3540000000000001</v>
      </c>
      <c r="E207">
        <v>3.3439999999999999</v>
      </c>
      <c r="F207">
        <v>3.327</v>
      </c>
      <c r="G207">
        <v>3.3180000000000001</v>
      </c>
      <c r="H207">
        <v>3.242</v>
      </c>
      <c r="I207" s="6">
        <v>3.27</v>
      </c>
      <c r="J207" s="6">
        <v>3.262</v>
      </c>
      <c r="K207" s="6">
        <v>3.3149999999999999</v>
      </c>
      <c r="L207" s="6">
        <v>3.3</v>
      </c>
      <c r="M207" s="6">
        <v>3.2669999999999999</v>
      </c>
      <c r="N207" s="6">
        <v>3.2050000000000001</v>
      </c>
      <c r="O207" s="7">
        <v>45457</v>
      </c>
      <c r="P207">
        <v>3.41</v>
      </c>
      <c r="Q207">
        <v>3.375</v>
      </c>
      <c r="R207">
        <v>3.3460000000000001</v>
      </c>
      <c r="S207">
        <v>3.3370000000000002</v>
      </c>
      <c r="T207">
        <v>3.3090000000000002</v>
      </c>
      <c r="U207" s="6">
        <v>3.3090000000000002</v>
      </c>
      <c r="V207" s="6">
        <v>0</v>
      </c>
      <c r="W207">
        <v>0</v>
      </c>
      <c r="X207" s="7">
        <v>45457</v>
      </c>
      <c r="Y207">
        <v>3.4390000000000001</v>
      </c>
      <c r="Z207">
        <v>3.4249999999999998</v>
      </c>
      <c r="AA207">
        <v>3.3929999999999998</v>
      </c>
      <c r="AB207">
        <v>3.359</v>
      </c>
      <c r="AC207">
        <v>3.3650000000000002</v>
      </c>
      <c r="AD207" s="6">
        <v>3.36</v>
      </c>
      <c r="AE207" s="6">
        <v>3.3530000000000002</v>
      </c>
      <c r="AF207">
        <v>3.3849999999999998</v>
      </c>
      <c r="AG207" s="7">
        <v>45457</v>
      </c>
      <c r="AH207">
        <v>3.5470000000000002</v>
      </c>
      <c r="AI207">
        <v>3.5369999999999999</v>
      </c>
      <c r="AJ207">
        <v>3.516</v>
      </c>
      <c r="AK207">
        <v>3.4369999999999998</v>
      </c>
      <c r="AL207">
        <v>3.4009999999999998</v>
      </c>
      <c r="AM207" s="6">
        <v>3.3679999999999999</v>
      </c>
      <c r="AN207" s="6">
        <v>3.3580000000000001</v>
      </c>
      <c r="AO207">
        <v>3.383</v>
      </c>
      <c r="AP207" s="7">
        <v>45457</v>
      </c>
      <c r="AQ207">
        <v>3.657</v>
      </c>
      <c r="AR207">
        <v>3.6640000000000001</v>
      </c>
      <c r="AS207">
        <v>3.6739999999999999</v>
      </c>
      <c r="AT207">
        <v>3.6779999999999999</v>
      </c>
      <c r="AU207">
        <v>3.6789999999999998</v>
      </c>
      <c r="AV207" s="6">
        <v>3.698</v>
      </c>
      <c r="AW207" s="6">
        <v>3.7450000000000001</v>
      </c>
      <c r="AX207">
        <v>3.8639999999999999</v>
      </c>
      <c r="AY207" s="7">
        <v>45457</v>
      </c>
      <c r="AZ207">
        <v>3.5390000000000001</v>
      </c>
      <c r="BA207">
        <v>3.528</v>
      </c>
      <c r="BB207">
        <v>3.53</v>
      </c>
      <c r="BC207">
        <v>3.4689999999999999</v>
      </c>
      <c r="BD207">
        <v>3.4340000000000002</v>
      </c>
      <c r="BE207" s="6">
        <v>3.4159999999999999</v>
      </c>
      <c r="BF207" s="6">
        <v>3.4060000000000001</v>
      </c>
      <c r="BG207">
        <v>3.4079999999999999</v>
      </c>
      <c r="BH207" s="7">
        <v>45457</v>
      </c>
      <c r="BI207">
        <v>3.4769999999999999</v>
      </c>
      <c r="BJ207">
        <v>3.46</v>
      </c>
      <c r="BK207">
        <v>3.4529999999999998</v>
      </c>
      <c r="BL207">
        <v>3.4089999999999998</v>
      </c>
      <c r="BM207">
        <v>3.375</v>
      </c>
      <c r="BN207" s="6">
        <v>3.359</v>
      </c>
      <c r="BO207" s="6">
        <v>3.3530000000000002</v>
      </c>
      <c r="BP207">
        <v>3.3809999999999998</v>
      </c>
      <c r="BQ207" s="7">
        <v>45457</v>
      </c>
      <c r="BR207">
        <v>3.7890000000000001</v>
      </c>
      <c r="BS207">
        <v>3.8130000000000002</v>
      </c>
      <c r="BT207">
        <v>3.851</v>
      </c>
      <c r="BU207">
        <v>3.8260000000000001</v>
      </c>
      <c r="BV207">
        <v>3.8039999999999998</v>
      </c>
      <c r="BW207" s="6">
        <v>3.8119999999999998</v>
      </c>
      <c r="BX207" s="6">
        <v>3.8130000000000002</v>
      </c>
      <c r="BY207">
        <v>3.83</v>
      </c>
      <c r="BZ207" s="7">
        <v>45457</v>
      </c>
      <c r="CA207">
        <v>3.5110000000000001</v>
      </c>
      <c r="CB207">
        <v>3.516</v>
      </c>
      <c r="CC207">
        <v>3.4790000000000001</v>
      </c>
      <c r="CD207">
        <v>3.448</v>
      </c>
      <c r="CE207">
        <v>3.4550000000000001</v>
      </c>
      <c r="CF207" s="6">
        <v>3.4820000000000002</v>
      </c>
      <c r="CG207" s="6">
        <v>3.4729999999999999</v>
      </c>
      <c r="CH207">
        <v>3.4460000000000002</v>
      </c>
    </row>
    <row r="208" spans="2:86">
      <c r="B208" s="7">
        <v>45456</v>
      </c>
      <c r="C208">
        <v>3.343</v>
      </c>
      <c r="D208">
        <v>3.3559999999999999</v>
      </c>
      <c r="E208">
        <v>3.3439999999999999</v>
      </c>
      <c r="F208">
        <v>3.3319999999999999</v>
      </c>
      <c r="G208">
        <v>3.3450000000000002</v>
      </c>
      <c r="H208">
        <v>3.278</v>
      </c>
      <c r="I208" s="6">
        <v>3.3109999999999999</v>
      </c>
      <c r="J208" s="6">
        <v>3.3</v>
      </c>
      <c r="K208" s="6">
        <v>3.36</v>
      </c>
      <c r="L208" s="6">
        <v>3.3519999999999999</v>
      </c>
      <c r="M208" s="6">
        <v>3.29</v>
      </c>
      <c r="N208" s="6">
        <v>3.2250000000000001</v>
      </c>
      <c r="O208" s="7">
        <v>45456</v>
      </c>
      <c r="P208">
        <v>3.415</v>
      </c>
      <c r="Q208">
        <v>3.3889999999999998</v>
      </c>
      <c r="R208">
        <v>3.36</v>
      </c>
      <c r="S208">
        <v>3.3580000000000001</v>
      </c>
      <c r="T208">
        <v>3.335</v>
      </c>
      <c r="U208" s="6">
        <v>3.3420000000000001</v>
      </c>
      <c r="V208" s="6">
        <v>0</v>
      </c>
      <c r="W208">
        <v>0</v>
      </c>
      <c r="X208" s="7">
        <v>45456</v>
      </c>
      <c r="Y208">
        <v>3.444</v>
      </c>
      <c r="Z208">
        <v>3.4319999999999999</v>
      </c>
      <c r="AA208">
        <v>3.3959999999999999</v>
      </c>
      <c r="AB208">
        <v>3.367</v>
      </c>
      <c r="AC208">
        <v>3.395</v>
      </c>
      <c r="AD208" s="6">
        <v>3.4</v>
      </c>
      <c r="AE208" s="6">
        <v>3.399</v>
      </c>
      <c r="AF208">
        <v>3.42</v>
      </c>
      <c r="AG208" s="7">
        <v>45456</v>
      </c>
      <c r="AH208">
        <v>3.5590000000000002</v>
      </c>
      <c r="AI208">
        <v>3.5510000000000002</v>
      </c>
      <c r="AJ208">
        <v>3.5310000000000001</v>
      </c>
      <c r="AK208">
        <v>3.4580000000000002</v>
      </c>
      <c r="AL208">
        <v>3.4279999999999999</v>
      </c>
      <c r="AM208" s="6">
        <v>3.4020000000000001</v>
      </c>
      <c r="AN208" s="6">
        <v>3.3969999999999998</v>
      </c>
      <c r="AO208">
        <v>3.4180000000000001</v>
      </c>
      <c r="AP208" s="7">
        <v>45456</v>
      </c>
      <c r="AQ208">
        <v>3.6669999999999998</v>
      </c>
      <c r="AR208">
        <v>3.6779999999999999</v>
      </c>
      <c r="AS208">
        <v>3.6930000000000001</v>
      </c>
      <c r="AT208">
        <v>3.6989999999999998</v>
      </c>
      <c r="AU208">
        <v>3.7010000000000001</v>
      </c>
      <c r="AV208" s="6">
        <v>3.726</v>
      </c>
      <c r="AW208" s="6">
        <v>3.7770000000000001</v>
      </c>
      <c r="AX208">
        <v>3.8980000000000001</v>
      </c>
      <c r="AY208" s="7">
        <v>45456</v>
      </c>
      <c r="AZ208">
        <v>3.5470000000000002</v>
      </c>
      <c r="BA208">
        <v>3.5449999999999999</v>
      </c>
      <c r="BB208">
        <v>3.5419999999999998</v>
      </c>
      <c r="BC208">
        <v>3.4849999999999999</v>
      </c>
      <c r="BD208">
        <v>3.4620000000000002</v>
      </c>
      <c r="BE208" s="6">
        <v>3.4540000000000002</v>
      </c>
      <c r="BF208" s="6">
        <v>3.4420000000000002</v>
      </c>
      <c r="BG208">
        <v>3.4430000000000001</v>
      </c>
      <c r="BH208" s="7">
        <v>45456</v>
      </c>
      <c r="BI208">
        <v>3.4849999999999999</v>
      </c>
      <c r="BJ208">
        <v>3.4729999999999999</v>
      </c>
      <c r="BK208">
        <v>3.4660000000000002</v>
      </c>
      <c r="BL208">
        <v>3.423</v>
      </c>
      <c r="BM208">
        <v>3.4009999999999998</v>
      </c>
      <c r="BN208" s="6">
        <v>3.3969999999999998</v>
      </c>
      <c r="BO208" s="6">
        <v>3.3919999999999999</v>
      </c>
      <c r="BP208">
        <v>3.4169999999999998</v>
      </c>
      <c r="BQ208" s="7">
        <v>45456</v>
      </c>
      <c r="BR208">
        <v>3.802</v>
      </c>
      <c r="BS208">
        <v>3.8330000000000002</v>
      </c>
      <c r="BT208">
        <v>3.87</v>
      </c>
      <c r="BU208">
        <v>3.847</v>
      </c>
      <c r="BV208">
        <v>3.8370000000000002</v>
      </c>
      <c r="BW208" s="6">
        <v>3.8580000000000001</v>
      </c>
      <c r="BX208" s="6">
        <v>3.855</v>
      </c>
      <c r="BY208">
        <v>3.8650000000000002</v>
      </c>
      <c r="BZ208" s="7">
        <v>45456</v>
      </c>
      <c r="CA208">
        <v>3.516</v>
      </c>
      <c r="CB208">
        <v>3.5230000000000001</v>
      </c>
      <c r="CC208">
        <v>3.4820000000000002</v>
      </c>
      <c r="CD208">
        <v>3.456</v>
      </c>
      <c r="CE208">
        <v>3.484</v>
      </c>
      <c r="CF208" s="6">
        <v>3.5209999999999999</v>
      </c>
      <c r="CG208" s="6">
        <v>3.5190000000000001</v>
      </c>
      <c r="CH208">
        <v>3.4809999999999999</v>
      </c>
    </row>
    <row r="209" spans="2:86">
      <c r="B209" s="7">
        <v>45455</v>
      </c>
      <c r="C209">
        <v>3.351</v>
      </c>
      <c r="D209">
        <v>3.363</v>
      </c>
      <c r="E209">
        <v>3.3439999999999999</v>
      </c>
      <c r="F209">
        <v>3.3340000000000001</v>
      </c>
      <c r="G209">
        <v>3.36</v>
      </c>
      <c r="H209">
        <v>3.2949999999999999</v>
      </c>
      <c r="I209" s="6">
        <v>3.33</v>
      </c>
      <c r="J209" s="6">
        <v>3.3149999999999999</v>
      </c>
      <c r="K209" s="6">
        <v>3.3759999999999999</v>
      </c>
      <c r="L209" s="6">
        <v>3.37</v>
      </c>
      <c r="M209" s="6">
        <v>3.3119999999999998</v>
      </c>
      <c r="N209" s="6">
        <v>3.2370000000000001</v>
      </c>
      <c r="O209" s="7">
        <v>45455</v>
      </c>
      <c r="P209">
        <v>3.4249999999999998</v>
      </c>
      <c r="Q209">
        <v>3.399</v>
      </c>
      <c r="R209">
        <v>3.37</v>
      </c>
      <c r="S209">
        <v>3.3719999999999999</v>
      </c>
      <c r="T209">
        <v>3.35</v>
      </c>
      <c r="U209" s="6">
        <v>3.36</v>
      </c>
      <c r="V209" s="6">
        <v>0</v>
      </c>
      <c r="W209">
        <v>0</v>
      </c>
      <c r="X209" s="7">
        <v>45455</v>
      </c>
      <c r="Y209">
        <v>3.456</v>
      </c>
      <c r="Z209">
        <v>3.4380000000000002</v>
      </c>
      <c r="AA209">
        <v>3.399</v>
      </c>
      <c r="AB209">
        <v>3.3719999999999999</v>
      </c>
      <c r="AC209">
        <v>3.41</v>
      </c>
      <c r="AD209" s="6">
        <v>3.4129999999999998</v>
      </c>
      <c r="AE209" s="6">
        <v>3.4169999999999998</v>
      </c>
      <c r="AF209">
        <v>3.4359999999999999</v>
      </c>
      <c r="AG209" s="7">
        <v>45455</v>
      </c>
      <c r="AH209">
        <v>3.5630000000000002</v>
      </c>
      <c r="AI209">
        <v>3.5630000000000002</v>
      </c>
      <c r="AJ209">
        <v>3.544</v>
      </c>
      <c r="AK209">
        <v>3.476</v>
      </c>
      <c r="AL209">
        <v>3.444</v>
      </c>
      <c r="AM209" s="6">
        <v>3.4180000000000001</v>
      </c>
      <c r="AN209" s="6">
        <v>3.4140000000000001</v>
      </c>
      <c r="AO209">
        <v>3.4350000000000001</v>
      </c>
      <c r="AP209" s="7">
        <v>45455</v>
      </c>
      <c r="AQ209">
        <v>3.6819999999999999</v>
      </c>
      <c r="AR209">
        <v>3.6909999999999998</v>
      </c>
      <c r="AS209">
        <v>3.7069999999999999</v>
      </c>
      <c r="AT209">
        <v>3.7120000000000002</v>
      </c>
      <c r="AU209">
        <v>3.7130000000000001</v>
      </c>
      <c r="AV209" s="6">
        <v>3.7389999999999999</v>
      </c>
      <c r="AW209" s="6">
        <v>3.79</v>
      </c>
      <c r="AX209">
        <v>3.9119999999999999</v>
      </c>
      <c r="AY209" s="7">
        <v>45455</v>
      </c>
      <c r="AZ209">
        <v>3.5579999999999998</v>
      </c>
      <c r="BA209">
        <v>3.5579999999999998</v>
      </c>
      <c r="BB209">
        <v>3.5529999999999999</v>
      </c>
      <c r="BC209">
        <v>3.5009999999999999</v>
      </c>
      <c r="BD209">
        <v>3.4750000000000001</v>
      </c>
      <c r="BE209" s="6">
        <v>3.464</v>
      </c>
      <c r="BF209" s="6">
        <v>3.4590000000000001</v>
      </c>
      <c r="BG209">
        <v>3.4550000000000001</v>
      </c>
      <c r="BH209" s="7">
        <v>45455</v>
      </c>
      <c r="BI209">
        <v>3.4929999999999999</v>
      </c>
      <c r="BJ209">
        <v>3.4870000000000001</v>
      </c>
      <c r="BK209">
        <v>3.4769999999999999</v>
      </c>
      <c r="BL209">
        <v>3.4390000000000001</v>
      </c>
      <c r="BM209">
        <v>3.415</v>
      </c>
      <c r="BN209" s="6">
        <v>3.411</v>
      </c>
      <c r="BO209" s="6">
        <v>3.41</v>
      </c>
      <c r="BP209">
        <v>3.431</v>
      </c>
      <c r="BQ209" s="7">
        <v>45455</v>
      </c>
      <c r="BR209">
        <v>3.8130000000000002</v>
      </c>
      <c r="BS209">
        <v>3.847</v>
      </c>
      <c r="BT209">
        <v>3.8809999999999998</v>
      </c>
      <c r="BU209">
        <v>3.863</v>
      </c>
      <c r="BV209">
        <v>3.85</v>
      </c>
      <c r="BW209" s="6">
        <v>3.87</v>
      </c>
      <c r="BX209" s="6">
        <v>3.8719999999999999</v>
      </c>
      <c r="BY209">
        <v>3.8769999999999998</v>
      </c>
      <c r="BZ209" s="7">
        <v>45455</v>
      </c>
      <c r="CA209">
        <v>3.5270000000000001</v>
      </c>
      <c r="CB209">
        <v>3.5289999999999999</v>
      </c>
      <c r="CC209">
        <v>3.4849999999999999</v>
      </c>
      <c r="CD209">
        <v>3.4609999999999999</v>
      </c>
      <c r="CE209">
        <v>3.4990000000000001</v>
      </c>
      <c r="CF209" s="6">
        <v>3.5350000000000001</v>
      </c>
      <c r="CG209" s="6">
        <v>3.5369999999999999</v>
      </c>
      <c r="CH209">
        <v>3.4980000000000002</v>
      </c>
    </row>
    <row r="210" spans="2:86">
      <c r="B210" s="7">
        <v>45454</v>
      </c>
      <c r="C210">
        <v>3.363</v>
      </c>
      <c r="D210">
        <v>3.3660000000000001</v>
      </c>
      <c r="E210">
        <v>3.3530000000000002</v>
      </c>
      <c r="F210">
        <v>3.3460000000000001</v>
      </c>
      <c r="G210">
        <v>3.39</v>
      </c>
      <c r="H210">
        <v>3.3319999999999999</v>
      </c>
      <c r="I210" s="6">
        <v>3.37</v>
      </c>
      <c r="J210" s="6">
        <v>3.36</v>
      </c>
      <c r="K210" s="6">
        <v>3.4209999999999998</v>
      </c>
      <c r="L210" s="6">
        <v>3.4159999999999999</v>
      </c>
      <c r="M210" s="6">
        <v>3.347</v>
      </c>
      <c r="N210" s="6">
        <v>3.2650000000000001</v>
      </c>
      <c r="O210" s="7">
        <v>45454</v>
      </c>
      <c r="P210">
        <v>3.4289999999999998</v>
      </c>
      <c r="Q210">
        <v>3.4020000000000001</v>
      </c>
      <c r="R210">
        <v>3.375</v>
      </c>
      <c r="S210">
        <v>3.391</v>
      </c>
      <c r="T210">
        <v>3.3759999999999999</v>
      </c>
      <c r="U210" s="6">
        <v>3.395</v>
      </c>
      <c r="V210" s="6">
        <v>0</v>
      </c>
      <c r="W210">
        <v>0</v>
      </c>
      <c r="X210" s="7">
        <v>45454</v>
      </c>
      <c r="Y210">
        <v>3.4540000000000002</v>
      </c>
      <c r="Z210">
        <v>3.44</v>
      </c>
      <c r="AA210">
        <v>3.4060000000000001</v>
      </c>
      <c r="AB210">
        <v>3.39</v>
      </c>
      <c r="AC210">
        <v>3.4390000000000001</v>
      </c>
      <c r="AD210" s="6">
        <v>3.4540000000000002</v>
      </c>
      <c r="AE210" s="6">
        <v>3.4569999999999999</v>
      </c>
      <c r="AF210">
        <v>3.476</v>
      </c>
      <c r="AG210" s="7">
        <v>45454</v>
      </c>
      <c r="AH210">
        <v>3.5670000000000002</v>
      </c>
      <c r="AI210">
        <v>3.5680000000000001</v>
      </c>
      <c r="AJ210">
        <v>3.5510000000000002</v>
      </c>
      <c r="AK210">
        <v>3.4929999999999999</v>
      </c>
      <c r="AL210">
        <v>3.4710000000000001</v>
      </c>
      <c r="AM210" s="6">
        <v>3.4550000000000001</v>
      </c>
      <c r="AN210" s="6">
        <v>3.4540000000000002</v>
      </c>
      <c r="AO210">
        <v>3.48</v>
      </c>
      <c r="AP210" s="7">
        <v>45454</v>
      </c>
      <c r="AQ210">
        <v>3.6850000000000001</v>
      </c>
      <c r="AR210">
        <v>3.6949999999999998</v>
      </c>
      <c r="AS210">
        <v>3.7130000000000001</v>
      </c>
      <c r="AT210">
        <v>3.7240000000000002</v>
      </c>
      <c r="AU210">
        <v>3.734</v>
      </c>
      <c r="AV210" s="6">
        <v>3.7719999999999998</v>
      </c>
      <c r="AW210" s="6">
        <v>3.8250000000000002</v>
      </c>
      <c r="AX210">
        <v>3.9620000000000002</v>
      </c>
      <c r="AY210" s="7">
        <v>45454</v>
      </c>
      <c r="AZ210">
        <v>3.5619999999999998</v>
      </c>
      <c r="BA210">
        <v>3.5619999999999998</v>
      </c>
      <c r="BB210">
        <v>3.5609999999999999</v>
      </c>
      <c r="BC210">
        <v>3.5230000000000001</v>
      </c>
      <c r="BD210">
        <v>3.5059999999999998</v>
      </c>
      <c r="BE210" s="6">
        <v>3.504</v>
      </c>
      <c r="BF210" s="6">
        <v>3.4980000000000002</v>
      </c>
      <c r="BG210">
        <v>3.5</v>
      </c>
      <c r="BH210" s="7">
        <v>45454</v>
      </c>
      <c r="BI210">
        <v>3.4969999999999999</v>
      </c>
      <c r="BJ210">
        <v>3.49</v>
      </c>
      <c r="BK210">
        <v>3.4849999999999999</v>
      </c>
      <c r="BL210">
        <v>3.4620000000000002</v>
      </c>
      <c r="BM210">
        <v>3.4470000000000001</v>
      </c>
      <c r="BN210" s="6">
        <v>3.4510000000000001</v>
      </c>
      <c r="BO210" s="6">
        <v>3.45</v>
      </c>
      <c r="BP210">
        <v>3.4740000000000002</v>
      </c>
      <c r="BQ210" s="7">
        <v>45454</v>
      </c>
      <c r="BR210">
        <v>3.8170000000000002</v>
      </c>
      <c r="BS210">
        <v>3.85</v>
      </c>
      <c r="BT210">
        <v>3.89</v>
      </c>
      <c r="BU210">
        <v>3.8849999999999998</v>
      </c>
      <c r="BV210">
        <v>3.8809999999999998</v>
      </c>
      <c r="BW210" s="6">
        <v>3.91</v>
      </c>
      <c r="BX210" s="6">
        <v>3.9119999999999999</v>
      </c>
      <c r="BY210">
        <v>3.9220000000000002</v>
      </c>
      <c r="BZ210" s="7">
        <v>45454</v>
      </c>
      <c r="CA210">
        <v>3.5259999999999998</v>
      </c>
      <c r="CB210">
        <v>3.5310000000000001</v>
      </c>
      <c r="CC210">
        <v>3.492</v>
      </c>
      <c r="CD210">
        <v>3.4790000000000001</v>
      </c>
      <c r="CE210">
        <v>3.528</v>
      </c>
      <c r="CF210" s="6">
        <v>3.5720000000000001</v>
      </c>
      <c r="CG210" s="6">
        <v>3.577</v>
      </c>
      <c r="CH210">
        <v>3.5379999999999998</v>
      </c>
    </row>
    <row r="211" spans="2:86">
      <c r="B211" s="7">
        <v>45453</v>
      </c>
      <c r="C211">
        <v>3.38</v>
      </c>
      <c r="D211">
        <v>3.3530000000000002</v>
      </c>
      <c r="E211">
        <v>3.347</v>
      </c>
      <c r="F211">
        <v>3.3519999999999999</v>
      </c>
      <c r="G211">
        <v>3.403</v>
      </c>
      <c r="H211">
        <v>3.3450000000000002</v>
      </c>
      <c r="I211" s="6">
        <v>3.3849999999999998</v>
      </c>
      <c r="J211" s="6">
        <v>3.3839999999999999</v>
      </c>
      <c r="K211" s="6">
        <v>3.44</v>
      </c>
      <c r="L211" s="6">
        <v>3.4319999999999999</v>
      </c>
      <c r="M211" s="6">
        <v>3.37</v>
      </c>
      <c r="N211" s="6">
        <v>3.29</v>
      </c>
      <c r="O211" s="7">
        <v>45453</v>
      </c>
      <c r="P211">
        <v>3.4289999999999998</v>
      </c>
      <c r="Q211">
        <v>3.4049999999999998</v>
      </c>
      <c r="R211">
        <v>3.375</v>
      </c>
      <c r="S211">
        <v>3.3980000000000001</v>
      </c>
      <c r="T211">
        <v>3.3849999999999998</v>
      </c>
      <c r="U211" s="6">
        <v>3.4049999999999998</v>
      </c>
      <c r="V211" s="6">
        <v>0</v>
      </c>
      <c r="W211">
        <v>0</v>
      </c>
      <c r="X211" s="7">
        <v>45453</v>
      </c>
      <c r="Y211">
        <v>3.456</v>
      </c>
      <c r="Z211">
        <v>3.4350000000000001</v>
      </c>
      <c r="AA211">
        <v>3.4</v>
      </c>
      <c r="AB211">
        <v>3.4009999999999998</v>
      </c>
      <c r="AC211">
        <v>3.4529999999999998</v>
      </c>
      <c r="AD211" s="6">
        <v>3.472</v>
      </c>
      <c r="AE211" s="6">
        <v>3.4769999999999999</v>
      </c>
      <c r="AF211">
        <v>3.5</v>
      </c>
      <c r="AG211" s="7">
        <v>45453</v>
      </c>
      <c r="AH211">
        <v>3.5680000000000001</v>
      </c>
      <c r="AI211">
        <v>3.573</v>
      </c>
      <c r="AJ211">
        <v>3.5569999999999999</v>
      </c>
      <c r="AK211">
        <v>3.5019999999999998</v>
      </c>
      <c r="AL211">
        <v>3.4809999999999999</v>
      </c>
      <c r="AM211" s="6">
        <v>3.4710000000000001</v>
      </c>
      <c r="AN211" s="6">
        <v>3.4710000000000001</v>
      </c>
      <c r="AO211">
        <v>3.5049999999999999</v>
      </c>
      <c r="AP211" s="7">
        <v>45453</v>
      </c>
      <c r="AQ211">
        <v>3.6850000000000001</v>
      </c>
      <c r="AR211">
        <v>3.6970000000000001</v>
      </c>
      <c r="AS211">
        <v>3.7149999999999999</v>
      </c>
      <c r="AT211">
        <v>3.7280000000000002</v>
      </c>
      <c r="AU211">
        <v>3.7450000000000001</v>
      </c>
      <c r="AV211" s="6">
        <v>3.79</v>
      </c>
      <c r="AW211" s="6">
        <v>3.8450000000000002</v>
      </c>
      <c r="AX211">
        <v>3.9910000000000001</v>
      </c>
      <c r="AY211" s="7">
        <v>45453</v>
      </c>
      <c r="AZ211">
        <v>3.5619999999999998</v>
      </c>
      <c r="BA211">
        <v>3.5640000000000001</v>
      </c>
      <c r="BB211">
        <v>3.5649999999999999</v>
      </c>
      <c r="BC211">
        <v>3.532</v>
      </c>
      <c r="BD211">
        <v>3.5179999999999998</v>
      </c>
      <c r="BE211" s="6">
        <v>3.5190000000000001</v>
      </c>
      <c r="BF211" s="6">
        <v>3.5129999999999999</v>
      </c>
      <c r="BG211">
        <v>3.524</v>
      </c>
      <c r="BH211" s="7">
        <v>45453</v>
      </c>
      <c r="BI211">
        <v>3.4969999999999999</v>
      </c>
      <c r="BJ211">
        <v>3.4929999999999999</v>
      </c>
      <c r="BK211">
        <v>3.4870000000000001</v>
      </c>
      <c r="BL211">
        <v>3.4670000000000001</v>
      </c>
      <c r="BM211">
        <v>3.4590000000000001</v>
      </c>
      <c r="BN211" s="6">
        <v>3.4660000000000002</v>
      </c>
      <c r="BO211" s="6">
        <v>3.468</v>
      </c>
      <c r="BP211">
        <v>3.4980000000000002</v>
      </c>
      <c r="BQ211" s="7">
        <v>45453</v>
      </c>
      <c r="BR211">
        <v>3.8170000000000002</v>
      </c>
      <c r="BS211">
        <v>3.8530000000000002</v>
      </c>
      <c r="BT211">
        <v>3.8929999999999998</v>
      </c>
      <c r="BU211">
        <v>3.8929999999999998</v>
      </c>
      <c r="BV211">
        <v>3.8929999999999998</v>
      </c>
      <c r="BW211" s="6">
        <v>3.9249999999999998</v>
      </c>
      <c r="BX211" s="6">
        <v>3.9279999999999999</v>
      </c>
      <c r="BY211">
        <v>3.9460000000000002</v>
      </c>
      <c r="BZ211" s="7">
        <v>45453</v>
      </c>
      <c r="CA211">
        <v>3.5270000000000001</v>
      </c>
      <c r="CB211">
        <v>3.5259999999999998</v>
      </c>
      <c r="CC211">
        <v>3.4870000000000001</v>
      </c>
      <c r="CD211">
        <v>3.4889999999999999</v>
      </c>
      <c r="CE211">
        <v>3.5419999999999998</v>
      </c>
      <c r="CF211" s="6">
        <v>3.5870000000000002</v>
      </c>
      <c r="CG211" s="6">
        <v>3.5939999999999999</v>
      </c>
      <c r="CH211">
        <v>3.5609999999999999</v>
      </c>
    </row>
    <row r="212" spans="2:86">
      <c r="B212" s="7">
        <v>45450</v>
      </c>
      <c r="C212">
        <v>3.41</v>
      </c>
      <c r="D212">
        <v>3.35</v>
      </c>
      <c r="E212">
        <v>3.3439999999999999</v>
      </c>
      <c r="F212">
        <v>3.339</v>
      </c>
      <c r="G212">
        <v>3.355</v>
      </c>
      <c r="H212">
        <v>3.3079999999999998</v>
      </c>
      <c r="I212" s="6">
        <v>3.3319999999999999</v>
      </c>
      <c r="J212" s="6">
        <v>3.33</v>
      </c>
      <c r="K212" s="6">
        <v>3.3740000000000001</v>
      </c>
      <c r="L212" s="6">
        <v>3.3849999999999998</v>
      </c>
      <c r="M212" s="6">
        <v>3.327</v>
      </c>
      <c r="N212" s="6">
        <v>3.26</v>
      </c>
      <c r="O212" s="7">
        <v>45450</v>
      </c>
      <c r="P212">
        <v>3.427</v>
      </c>
      <c r="Q212">
        <v>3.4009999999999998</v>
      </c>
      <c r="R212">
        <v>3.363</v>
      </c>
      <c r="S212">
        <v>3.3620000000000001</v>
      </c>
      <c r="T212">
        <v>3.34</v>
      </c>
      <c r="U212" s="6">
        <v>3.35</v>
      </c>
      <c r="V212" s="6">
        <v>0</v>
      </c>
      <c r="W212">
        <v>0</v>
      </c>
      <c r="X212" s="7">
        <v>45450</v>
      </c>
      <c r="Y212">
        <v>3.456</v>
      </c>
      <c r="Z212">
        <v>3.4319999999999999</v>
      </c>
      <c r="AA212">
        <v>3.3940000000000001</v>
      </c>
      <c r="AB212">
        <v>3.3769999999999998</v>
      </c>
      <c r="AC212">
        <v>3.4049999999999998</v>
      </c>
      <c r="AD212" s="6">
        <v>3.4249999999999998</v>
      </c>
      <c r="AE212" s="6">
        <v>3.4289999999999998</v>
      </c>
      <c r="AF212">
        <v>3.45</v>
      </c>
      <c r="AG212" s="7">
        <v>45450</v>
      </c>
      <c r="AH212">
        <v>3.5649999999999999</v>
      </c>
      <c r="AI212">
        <v>3.57</v>
      </c>
      <c r="AJ212">
        <v>3.544</v>
      </c>
      <c r="AK212">
        <v>3.47</v>
      </c>
      <c r="AL212">
        <v>3.4390000000000001</v>
      </c>
      <c r="AM212" s="6">
        <v>3.4180000000000001</v>
      </c>
      <c r="AN212" s="6">
        <v>3.4209999999999998</v>
      </c>
      <c r="AO212">
        <v>3.456</v>
      </c>
      <c r="AP212" s="7">
        <v>45450</v>
      </c>
      <c r="AQ212">
        <v>3.6859999999999999</v>
      </c>
      <c r="AR212">
        <v>3.6960000000000002</v>
      </c>
      <c r="AS212">
        <v>3.7050000000000001</v>
      </c>
      <c r="AT212">
        <v>3.694</v>
      </c>
      <c r="AU212">
        <v>3.7010000000000001</v>
      </c>
      <c r="AV212" s="6">
        <v>3.7349999999999999</v>
      </c>
      <c r="AW212" s="6">
        <v>3.7949999999999999</v>
      </c>
      <c r="AX212">
        <v>3.9430000000000001</v>
      </c>
      <c r="AY212" s="7">
        <v>45450</v>
      </c>
      <c r="AZ212">
        <v>3.5579999999999998</v>
      </c>
      <c r="BA212">
        <v>3.5609999999999999</v>
      </c>
      <c r="BB212">
        <v>3.552</v>
      </c>
      <c r="BC212">
        <v>3.4980000000000002</v>
      </c>
      <c r="BD212">
        <v>3.476</v>
      </c>
      <c r="BE212" s="6">
        <v>3.4670000000000001</v>
      </c>
      <c r="BF212" s="6">
        <v>3.468</v>
      </c>
      <c r="BG212">
        <v>3.4769999999999999</v>
      </c>
      <c r="BH212" s="7">
        <v>45450</v>
      </c>
      <c r="BI212">
        <v>3.4929999999999999</v>
      </c>
      <c r="BJ212">
        <v>3.4889999999999999</v>
      </c>
      <c r="BK212">
        <v>3.4740000000000002</v>
      </c>
      <c r="BL212">
        <v>3.4329999999999998</v>
      </c>
      <c r="BM212">
        <v>3.4169999999999998</v>
      </c>
      <c r="BN212" s="6">
        <v>3.4159999999999999</v>
      </c>
      <c r="BO212" s="6">
        <v>3.419</v>
      </c>
      <c r="BP212">
        <v>3.45</v>
      </c>
      <c r="BQ212" s="7">
        <v>45450</v>
      </c>
      <c r="BR212">
        <v>3.8130000000000002</v>
      </c>
      <c r="BS212">
        <v>3.8490000000000002</v>
      </c>
      <c r="BT212">
        <v>3.8809999999999998</v>
      </c>
      <c r="BU212">
        <v>3.859</v>
      </c>
      <c r="BV212">
        <v>3.851</v>
      </c>
      <c r="BW212" s="6">
        <v>3.8719999999999999</v>
      </c>
      <c r="BX212" s="6">
        <v>3.883</v>
      </c>
      <c r="BY212">
        <v>3.8980000000000001</v>
      </c>
      <c r="BZ212" s="7">
        <v>45450</v>
      </c>
      <c r="CA212">
        <v>3.5270000000000001</v>
      </c>
      <c r="CB212">
        <v>3.5230000000000001</v>
      </c>
      <c r="CC212">
        <v>3.48</v>
      </c>
      <c r="CD212">
        <v>3.4660000000000002</v>
      </c>
      <c r="CE212">
        <v>3.4940000000000002</v>
      </c>
      <c r="CF212" s="6">
        <v>3.54</v>
      </c>
      <c r="CG212" s="6">
        <v>3.5449999999999999</v>
      </c>
      <c r="CH212">
        <v>3.5110000000000001</v>
      </c>
    </row>
    <row r="213" spans="2:86">
      <c r="B213" s="7">
        <v>45448</v>
      </c>
      <c r="C213">
        <v>3.4380000000000002</v>
      </c>
      <c r="D213">
        <v>3.363</v>
      </c>
      <c r="E213">
        <v>3.3519999999999999</v>
      </c>
      <c r="F213">
        <v>3.3570000000000002</v>
      </c>
      <c r="G213">
        <v>3.3839999999999999</v>
      </c>
      <c r="H213">
        <v>3.343</v>
      </c>
      <c r="I213" s="6">
        <v>3.3719999999999999</v>
      </c>
      <c r="J213" s="6">
        <v>3.367</v>
      </c>
      <c r="K213" s="6">
        <v>3.4169999999999998</v>
      </c>
      <c r="L213" s="6">
        <v>3.4319999999999999</v>
      </c>
      <c r="M213" s="6">
        <v>3.3650000000000002</v>
      </c>
      <c r="N213" s="6">
        <v>3.2949999999999999</v>
      </c>
      <c r="O213" s="7">
        <v>45448</v>
      </c>
      <c r="P213">
        <v>3.43</v>
      </c>
      <c r="Q213">
        <v>3.4049999999999998</v>
      </c>
      <c r="R213">
        <v>3.3730000000000002</v>
      </c>
      <c r="S213">
        <v>3.38</v>
      </c>
      <c r="T213">
        <v>3.3650000000000002</v>
      </c>
      <c r="U213" s="6">
        <v>3.3849999999999998</v>
      </c>
      <c r="V213" s="6">
        <v>0</v>
      </c>
      <c r="W213">
        <v>0</v>
      </c>
      <c r="X213" s="7">
        <v>45448</v>
      </c>
      <c r="Y213">
        <v>3.4710000000000001</v>
      </c>
      <c r="Z213">
        <v>3.4430000000000001</v>
      </c>
      <c r="AA213">
        <v>3.4039999999999999</v>
      </c>
      <c r="AB213">
        <v>3.3959999999999999</v>
      </c>
      <c r="AC213">
        <v>3.4329999999999998</v>
      </c>
      <c r="AD213" s="6">
        <v>3.4630000000000001</v>
      </c>
      <c r="AE213" s="6">
        <v>3.472</v>
      </c>
      <c r="AF213">
        <v>3.4860000000000002</v>
      </c>
      <c r="AG213" s="7">
        <v>45448</v>
      </c>
      <c r="AH213">
        <v>3.573</v>
      </c>
      <c r="AI213">
        <v>3.5760000000000001</v>
      </c>
      <c r="AJ213">
        <v>3.5539999999999998</v>
      </c>
      <c r="AK213">
        <v>3.4940000000000002</v>
      </c>
      <c r="AL213">
        <v>3.4710000000000001</v>
      </c>
      <c r="AM213" s="6">
        <v>3.456</v>
      </c>
      <c r="AN213" s="6">
        <v>3.464</v>
      </c>
      <c r="AO213">
        <v>3.4950000000000001</v>
      </c>
      <c r="AP213" s="7">
        <v>45448</v>
      </c>
      <c r="AQ213">
        <v>3.6960000000000002</v>
      </c>
      <c r="AR213">
        <v>3.7069999999999999</v>
      </c>
      <c r="AS213">
        <v>3.718</v>
      </c>
      <c r="AT213">
        <v>3.714</v>
      </c>
      <c r="AU213">
        <v>3.7250000000000001</v>
      </c>
      <c r="AV213" s="6">
        <v>3.7690000000000001</v>
      </c>
      <c r="AW213" s="6">
        <v>3.835</v>
      </c>
      <c r="AX213">
        <v>3.98</v>
      </c>
      <c r="AY213" s="7">
        <v>45448</v>
      </c>
      <c r="AZ213">
        <v>3.5619999999999998</v>
      </c>
      <c r="BA213">
        <v>3.5659999999999998</v>
      </c>
      <c r="BB213">
        <v>3.5609999999999999</v>
      </c>
      <c r="BC213">
        <v>3.516</v>
      </c>
      <c r="BD213">
        <v>3.5019999999999998</v>
      </c>
      <c r="BE213" s="6">
        <v>3.5019999999999998</v>
      </c>
      <c r="BF213" s="6">
        <v>3.508</v>
      </c>
      <c r="BG213">
        <v>3.512</v>
      </c>
      <c r="BH213" s="7">
        <v>45448</v>
      </c>
      <c r="BI213">
        <v>3.4950000000000001</v>
      </c>
      <c r="BJ213">
        <v>3.492</v>
      </c>
      <c r="BK213">
        <v>3.4830000000000001</v>
      </c>
      <c r="BL213">
        <v>3.4510000000000001</v>
      </c>
      <c r="BM213">
        <v>3.4430000000000001</v>
      </c>
      <c r="BN213" s="6">
        <v>3.4529999999999998</v>
      </c>
      <c r="BO213" s="6">
        <v>3.4620000000000002</v>
      </c>
      <c r="BP213">
        <v>3.49</v>
      </c>
      <c r="BQ213" s="7">
        <v>45448</v>
      </c>
      <c r="BR213">
        <v>3.8159999999999998</v>
      </c>
      <c r="BS213">
        <v>3.8540000000000001</v>
      </c>
      <c r="BT213">
        <v>3.8889999999999998</v>
      </c>
      <c r="BU213">
        <v>3.8780000000000001</v>
      </c>
      <c r="BV213">
        <v>3.8769999999999998</v>
      </c>
      <c r="BW213" s="6">
        <v>3.907</v>
      </c>
      <c r="BX213" s="6">
        <v>3.923</v>
      </c>
      <c r="BY213">
        <v>3.9329999999999998</v>
      </c>
      <c r="BZ213" s="7">
        <v>45448</v>
      </c>
      <c r="CA213">
        <v>3.5419999999999998</v>
      </c>
      <c r="CB213">
        <v>3.5339999999999998</v>
      </c>
      <c r="CC213">
        <v>3.49</v>
      </c>
      <c r="CD213">
        <v>3.4860000000000002</v>
      </c>
      <c r="CE213">
        <v>3.524</v>
      </c>
      <c r="CF213" s="6">
        <v>3.577</v>
      </c>
      <c r="CG213" s="6">
        <v>3.585</v>
      </c>
      <c r="CH213">
        <v>3.548</v>
      </c>
    </row>
    <row r="214" spans="2:86">
      <c r="B214" s="7">
        <v>45447</v>
      </c>
      <c r="C214">
        <v>3.4529999999999998</v>
      </c>
      <c r="D214">
        <v>3.371</v>
      </c>
      <c r="E214">
        <v>3.3679999999999999</v>
      </c>
      <c r="F214">
        <v>3.375</v>
      </c>
      <c r="G214">
        <v>3.415</v>
      </c>
      <c r="H214">
        <v>3.3919999999999999</v>
      </c>
      <c r="I214" s="6">
        <v>3.4119999999999999</v>
      </c>
      <c r="J214" s="6">
        <v>3.4169999999999998</v>
      </c>
      <c r="K214" s="6">
        <v>3.4620000000000002</v>
      </c>
      <c r="L214" s="6">
        <v>3.472</v>
      </c>
      <c r="M214" s="6">
        <v>3.4</v>
      </c>
      <c r="N214" s="6">
        <v>3.3220000000000001</v>
      </c>
      <c r="O214" s="7">
        <v>45447</v>
      </c>
      <c r="P214">
        <v>3.4340000000000002</v>
      </c>
      <c r="Q214">
        <v>3.41</v>
      </c>
      <c r="R214">
        <v>3.38</v>
      </c>
      <c r="S214">
        <v>3.4129999999999998</v>
      </c>
      <c r="T214">
        <v>3.399</v>
      </c>
      <c r="U214" s="6">
        <v>3.419</v>
      </c>
      <c r="V214" s="6">
        <v>0</v>
      </c>
      <c r="W214">
        <v>0</v>
      </c>
      <c r="X214" s="7">
        <v>45447</v>
      </c>
      <c r="Y214">
        <v>3.4809999999999999</v>
      </c>
      <c r="Z214">
        <v>3.452</v>
      </c>
      <c r="AA214">
        <v>3.4169999999999998</v>
      </c>
      <c r="AB214">
        <v>3.419</v>
      </c>
      <c r="AC214">
        <v>3.4670000000000001</v>
      </c>
      <c r="AD214" s="6">
        <v>3.5110000000000001</v>
      </c>
      <c r="AE214" s="6">
        <v>3.51</v>
      </c>
      <c r="AF214">
        <v>3.5329999999999999</v>
      </c>
      <c r="AG214" s="7">
        <v>45447</v>
      </c>
      <c r="AH214">
        <v>3.5779999999999998</v>
      </c>
      <c r="AI214">
        <v>3.585</v>
      </c>
      <c r="AJ214">
        <v>3.5739999999999998</v>
      </c>
      <c r="AK214">
        <v>3.5249999999999999</v>
      </c>
      <c r="AL214">
        <v>3.5049999999999999</v>
      </c>
      <c r="AM214" s="6">
        <v>3.5049999999999999</v>
      </c>
      <c r="AN214" s="6">
        <v>3.5</v>
      </c>
      <c r="AO214">
        <v>3.5419999999999998</v>
      </c>
      <c r="AP214" s="7">
        <v>45447</v>
      </c>
      <c r="AQ214">
        <v>3.7010000000000001</v>
      </c>
      <c r="AR214">
        <v>3.7170000000000001</v>
      </c>
      <c r="AS214">
        <v>3.73</v>
      </c>
      <c r="AT214">
        <v>3.7389999999999999</v>
      </c>
      <c r="AU214">
        <v>3.7509999999999999</v>
      </c>
      <c r="AV214" s="6">
        <v>3.8140000000000001</v>
      </c>
      <c r="AW214" s="6">
        <v>3.8780000000000001</v>
      </c>
      <c r="AX214">
        <v>4.0339999999999998</v>
      </c>
      <c r="AY214" s="7">
        <v>45447</v>
      </c>
      <c r="AZ214">
        <v>3.57</v>
      </c>
      <c r="BA214">
        <v>3.5760000000000001</v>
      </c>
      <c r="BB214">
        <v>3.5720000000000001</v>
      </c>
      <c r="BC214">
        <v>3.5470000000000002</v>
      </c>
      <c r="BD214">
        <v>3.5339999999999998</v>
      </c>
      <c r="BE214" s="6">
        <v>3.552</v>
      </c>
      <c r="BF214" s="6">
        <v>3.5459999999999998</v>
      </c>
      <c r="BG214">
        <v>3.5569999999999999</v>
      </c>
      <c r="BH214" s="7">
        <v>45447</v>
      </c>
      <c r="BI214">
        <v>3.5</v>
      </c>
      <c r="BJ214">
        <v>3.5019999999999998</v>
      </c>
      <c r="BK214">
        <v>3.4940000000000002</v>
      </c>
      <c r="BL214">
        <v>3.4830000000000001</v>
      </c>
      <c r="BM214">
        <v>3.4769999999999999</v>
      </c>
      <c r="BN214" s="6">
        <v>3.5030000000000001</v>
      </c>
      <c r="BO214" s="6">
        <v>3.4990000000000001</v>
      </c>
      <c r="BP214">
        <v>3.5350000000000001</v>
      </c>
      <c r="BQ214" s="7">
        <v>45447</v>
      </c>
      <c r="BR214">
        <v>3.8250000000000002</v>
      </c>
      <c r="BS214">
        <v>3.8639999999999999</v>
      </c>
      <c r="BT214">
        <v>3.9009999999999998</v>
      </c>
      <c r="BU214">
        <v>3.91</v>
      </c>
      <c r="BV214">
        <v>3.911</v>
      </c>
      <c r="BW214" s="6">
        <v>3.96</v>
      </c>
      <c r="BX214" s="6">
        <v>3.9609999999999999</v>
      </c>
      <c r="BY214">
        <v>3.9809999999999999</v>
      </c>
      <c r="BZ214" s="7">
        <v>45447</v>
      </c>
      <c r="CA214">
        <v>3.556</v>
      </c>
      <c r="CB214">
        <v>3.5430000000000001</v>
      </c>
      <c r="CC214">
        <v>3.5030000000000001</v>
      </c>
      <c r="CD214">
        <v>3.5089999999999999</v>
      </c>
      <c r="CE214">
        <v>3.5569999999999999</v>
      </c>
      <c r="CF214" s="6">
        <v>3.6259999999999999</v>
      </c>
      <c r="CG214" s="6">
        <v>3.6269999999999998</v>
      </c>
      <c r="CH214">
        <v>3.5960000000000001</v>
      </c>
    </row>
    <row r="215" spans="2:86">
      <c r="B215" s="7">
        <v>45446</v>
      </c>
      <c r="C215">
        <v>3.456</v>
      </c>
      <c r="D215">
        <v>3.383</v>
      </c>
      <c r="E215">
        <v>3.3759999999999999</v>
      </c>
      <c r="F215">
        <v>3.395</v>
      </c>
      <c r="G215">
        <v>3.4460000000000002</v>
      </c>
      <c r="H215">
        <v>3.4319999999999999</v>
      </c>
      <c r="I215" s="6">
        <v>3.46</v>
      </c>
      <c r="J215" s="6">
        <v>3.4670000000000001</v>
      </c>
      <c r="K215" s="6">
        <v>3.52</v>
      </c>
      <c r="L215" s="6">
        <v>3.5369999999999999</v>
      </c>
      <c r="M215" s="6">
        <v>3.4470000000000001</v>
      </c>
      <c r="N215" s="6">
        <v>3.367</v>
      </c>
      <c r="O215" s="7">
        <v>45446</v>
      </c>
      <c r="P215">
        <v>3.4340000000000002</v>
      </c>
      <c r="Q215">
        <v>3.415</v>
      </c>
      <c r="R215">
        <v>3.39</v>
      </c>
      <c r="S215">
        <v>3.4449999999999998</v>
      </c>
      <c r="T215">
        <v>3.4350000000000001</v>
      </c>
      <c r="U215" s="6">
        <v>3.456</v>
      </c>
      <c r="V215" s="6">
        <v>0</v>
      </c>
      <c r="W215">
        <v>0</v>
      </c>
      <c r="X215" s="7">
        <v>45446</v>
      </c>
      <c r="Y215">
        <v>3.4849999999999999</v>
      </c>
      <c r="Z215">
        <v>3.4630000000000001</v>
      </c>
      <c r="AA215">
        <v>3.4249999999999998</v>
      </c>
      <c r="AB215">
        <v>3.4430000000000001</v>
      </c>
      <c r="AC215">
        <v>3.5009999999999999</v>
      </c>
      <c r="AD215" s="6">
        <v>3.5579999999999998</v>
      </c>
      <c r="AE215" s="6">
        <v>3.5590000000000002</v>
      </c>
      <c r="AF215">
        <v>3.585</v>
      </c>
      <c r="AG215" s="7">
        <v>45446</v>
      </c>
      <c r="AH215">
        <v>3.577</v>
      </c>
      <c r="AI215">
        <v>3.5920000000000001</v>
      </c>
      <c r="AJ215">
        <v>3.5870000000000002</v>
      </c>
      <c r="AK215">
        <v>3.5590000000000002</v>
      </c>
      <c r="AL215">
        <v>3.5419999999999998</v>
      </c>
      <c r="AM215" s="6">
        <v>3.5470000000000002</v>
      </c>
      <c r="AN215" s="6">
        <v>3.55</v>
      </c>
      <c r="AO215">
        <v>3.5939999999999999</v>
      </c>
      <c r="AP215" s="7">
        <v>45446</v>
      </c>
      <c r="AQ215">
        <v>3.706</v>
      </c>
      <c r="AR215">
        <v>3.73</v>
      </c>
      <c r="AS215">
        <v>3.7469999999999999</v>
      </c>
      <c r="AT215">
        <v>3.7669999999999999</v>
      </c>
      <c r="AU215">
        <v>3.782</v>
      </c>
      <c r="AV215" s="6">
        <v>3.8559999999999999</v>
      </c>
      <c r="AW215" s="6">
        <v>3.9279999999999999</v>
      </c>
      <c r="AX215">
        <v>4.085</v>
      </c>
      <c r="AY215" s="7">
        <v>45446</v>
      </c>
      <c r="AZ215">
        <v>3.58</v>
      </c>
      <c r="BA215">
        <v>3.5859999999999999</v>
      </c>
      <c r="BB215">
        <v>3.5870000000000002</v>
      </c>
      <c r="BC215">
        <v>3.5819999999999999</v>
      </c>
      <c r="BD215">
        <v>3.5720000000000001</v>
      </c>
      <c r="BE215" s="6">
        <v>3.59</v>
      </c>
      <c r="BF215" s="6">
        <v>3.5920000000000001</v>
      </c>
      <c r="BG215">
        <v>3.6059999999999999</v>
      </c>
      <c r="BH215" s="7">
        <v>45446</v>
      </c>
      <c r="BI215">
        <v>3.508</v>
      </c>
      <c r="BJ215">
        <v>3.5110000000000001</v>
      </c>
      <c r="BK215">
        <v>3.508</v>
      </c>
      <c r="BL215">
        <v>3.5179999999999998</v>
      </c>
      <c r="BM215">
        <v>3.512</v>
      </c>
      <c r="BN215" s="6">
        <v>3.544</v>
      </c>
      <c r="BO215" s="6">
        <v>3.5489999999999999</v>
      </c>
      <c r="BP215">
        <v>3.585</v>
      </c>
      <c r="BQ215" s="7">
        <v>45446</v>
      </c>
      <c r="BR215">
        <v>3.835</v>
      </c>
      <c r="BS215">
        <v>3.8740000000000001</v>
      </c>
      <c r="BT215">
        <v>3.9169999999999998</v>
      </c>
      <c r="BU215">
        <v>3.95</v>
      </c>
      <c r="BV215">
        <v>3.9569999999999999</v>
      </c>
      <c r="BW215" s="6">
        <v>4.0069999999999997</v>
      </c>
      <c r="BX215" s="6">
        <v>4.0069999999999997</v>
      </c>
      <c r="BY215">
        <v>4.0309999999999997</v>
      </c>
      <c r="BZ215" s="7">
        <v>45446</v>
      </c>
      <c r="CA215">
        <v>3.5590000000000002</v>
      </c>
      <c r="CB215">
        <v>3.5539999999999998</v>
      </c>
      <c r="CC215">
        <v>3.512</v>
      </c>
      <c r="CD215">
        <v>3.5329999999999999</v>
      </c>
      <c r="CE215">
        <v>3.5920000000000001</v>
      </c>
      <c r="CF215" s="6">
        <v>3.6709999999999998</v>
      </c>
      <c r="CG215" s="6">
        <v>3.6749999999999998</v>
      </c>
      <c r="CH215">
        <v>3.6480000000000001</v>
      </c>
    </row>
    <row r="216" spans="2:86">
      <c r="B216" s="7">
        <v>45443</v>
      </c>
      <c r="C216">
        <v>3.4590000000000001</v>
      </c>
      <c r="D216">
        <v>3.3929999999999998</v>
      </c>
      <c r="E216">
        <v>3.3860000000000001</v>
      </c>
      <c r="F216">
        <v>3.41</v>
      </c>
      <c r="G216">
        <v>3.4630000000000001</v>
      </c>
      <c r="H216">
        <v>3.452</v>
      </c>
      <c r="I216" s="6">
        <v>3.492</v>
      </c>
      <c r="J216" s="6">
        <v>3.5019999999999998</v>
      </c>
      <c r="K216" s="6">
        <v>3.56</v>
      </c>
      <c r="L216" s="6">
        <v>3.58</v>
      </c>
      <c r="M216" s="6">
        <v>3.5049999999999999</v>
      </c>
      <c r="N216" s="6">
        <v>3.43</v>
      </c>
      <c r="O216" s="7">
        <v>45443</v>
      </c>
      <c r="P216">
        <v>3.4350000000000001</v>
      </c>
      <c r="Q216">
        <v>3.4159999999999999</v>
      </c>
      <c r="R216">
        <v>3.391</v>
      </c>
      <c r="S216">
        <v>3.4569999999999999</v>
      </c>
      <c r="T216">
        <v>3.4529999999999998</v>
      </c>
      <c r="U216" s="6">
        <v>3.476</v>
      </c>
      <c r="V216" s="6">
        <v>0</v>
      </c>
      <c r="W216">
        <v>0</v>
      </c>
      <c r="X216" s="7">
        <v>45443</v>
      </c>
      <c r="Y216">
        <v>3.4870000000000001</v>
      </c>
      <c r="Z216">
        <v>3.4729999999999999</v>
      </c>
      <c r="AA216">
        <v>3.4350000000000001</v>
      </c>
      <c r="AB216">
        <v>3.4580000000000002</v>
      </c>
      <c r="AC216">
        <v>3.516</v>
      </c>
      <c r="AD216" s="6">
        <v>3.58</v>
      </c>
      <c r="AE216" s="6">
        <v>3.59</v>
      </c>
      <c r="AF216">
        <v>3.6160000000000001</v>
      </c>
      <c r="AG216" s="7">
        <v>45443</v>
      </c>
      <c r="AH216">
        <v>3.58</v>
      </c>
      <c r="AI216">
        <v>3.597</v>
      </c>
      <c r="AJ216">
        <v>3.593</v>
      </c>
      <c r="AK216">
        <v>3.573</v>
      </c>
      <c r="AL216">
        <v>3.5619999999999998</v>
      </c>
      <c r="AM216" s="6">
        <v>3.5680000000000001</v>
      </c>
      <c r="AN216" s="6">
        <v>3.5819999999999999</v>
      </c>
      <c r="AO216">
        <v>3.6339999999999999</v>
      </c>
      <c r="AP216" s="7">
        <v>45443</v>
      </c>
      <c r="AQ216">
        <v>3.7109999999999999</v>
      </c>
      <c r="AR216">
        <v>3.7330000000000001</v>
      </c>
      <c r="AS216">
        <v>3.7509999999999999</v>
      </c>
      <c r="AT216">
        <v>3.778</v>
      </c>
      <c r="AU216">
        <v>3.802</v>
      </c>
      <c r="AV216" s="6">
        <v>3.8740000000000001</v>
      </c>
      <c r="AW216" s="6">
        <v>3.96</v>
      </c>
      <c r="AX216">
        <v>4.12</v>
      </c>
      <c r="AY216" s="7">
        <v>45443</v>
      </c>
      <c r="AZ216">
        <v>3.5819999999999999</v>
      </c>
      <c r="BA216">
        <v>3.5870000000000002</v>
      </c>
      <c r="BB216">
        <v>3.5910000000000002</v>
      </c>
      <c r="BC216">
        <v>3.6</v>
      </c>
      <c r="BD216">
        <v>3.589</v>
      </c>
      <c r="BE216" s="6">
        <v>3.61</v>
      </c>
      <c r="BF216" s="6">
        <v>3.6240000000000001</v>
      </c>
      <c r="BG216">
        <v>3.641</v>
      </c>
      <c r="BH216" s="7">
        <v>45443</v>
      </c>
      <c r="BI216">
        <v>3.51</v>
      </c>
      <c r="BJ216">
        <v>3.512</v>
      </c>
      <c r="BK216">
        <v>3.5110000000000001</v>
      </c>
      <c r="BL216">
        <v>3.536</v>
      </c>
      <c r="BM216">
        <v>3.53</v>
      </c>
      <c r="BN216" s="6">
        <v>3.5649999999999999</v>
      </c>
      <c r="BO216" s="6">
        <v>3.581</v>
      </c>
      <c r="BP216">
        <v>3.6219999999999999</v>
      </c>
      <c r="BQ216" s="7">
        <v>45443</v>
      </c>
      <c r="BR216">
        <v>3.8359999999999999</v>
      </c>
      <c r="BS216">
        <v>3.8759999999999999</v>
      </c>
      <c r="BT216">
        <v>3.9209999999999998</v>
      </c>
      <c r="BU216">
        <v>3.9689999999999999</v>
      </c>
      <c r="BV216">
        <v>3.976</v>
      </c>
      <c r="BW216" s="6">
        <v>4.0270000000000001</v>
      </c>
      <c r="BX216" s="6">
        <v>4.0389999999999997</v>
      </c>
      <c r="BY216">
        <v>4.0659999999999998</v>
      </c>
      <c r="BZ216" s="7">
        <v>45443</v>
      </c>
      <c r="CA216">
        <v>3.5609999999999999</v>
      </c>
      <c r="CB216">
        <v>3.5640000000000001</v>
      </c>
      <c r="CC216">
        <v>3.52</v>
      </c>
      <c r="CD216">
        <v>3.5449999999999999</v>
      </c>
      <c r="CE216">
        <v>3.6080000000000001</v>
      </c>
      <c r="CF216" s="6">
        <v>3.6949999999999998</v>
      </c>
      <c r="CG216" s="6">
        <v>3.7069999999999999</v>
      </c>
      <c r="CH216">
        <v>3.6789999999999998</v>
      </c>
    </row>
    <row r="217" spans="2:86">
      <c r="B217" s="7">
        <v>45442</v>
      </c>
      <c r="C217">
        <v>3.4550000000000001</v>
      </c>
      <c r="D217">
        <v>3.403</v>
      </c>
      <c r="E217">
        <v>3.403</v>
      </c>
      <c r="F217">
        <v>3.42</v>
      </c>
      <c r="G217">
        <v>3.4590000000000001</v>
      </c>
      <c r="H217">
        <v>3.44</v>
      </c>
      <c r="I217" s="6">
        <v>3.4849999999999999</v>
      </c>
      <c r="J217" s="6">
        <v>3.49</v>
      </c>
      <c r="K217" s="6">
        <v>3.548</v>
      </c>
      <c r="L217" s="6">
        <v>3.5619999999999998</v>
      </c>
      <c r="M217" s="6">
        <v>3.49</v>
      </c>
      <c r="N217" s="6">
        <v>3.41</v>
      </c>
      <c r="O217" s="7">
        <v>45442</v>
      </c>
      <c r="P217">
        <v>3.4350000000000001</v>
      </c>
      <c r="Q217">
        <v>3.4180000000000001</v>
      </c>
      <c r="R217">
        <v>3.3929999999999998</v>
      </c>
      <c r="S217">
        <v>3.4550000000000001</v>
      </c>
      <c r="T217">
        <v>3.4470000000000001</v>
      </c>
      <c r="U217" s="6">
        <v>3.4660000000000002</v>
      </c>
      <c r="V217" s="6">
        <v>0</v>
      </c>
      <c r="W217">
        <v>0</v>
      </c>
      <c r="X217" s="7">
        <v>45442</v>
      </c>
      <c r="Y217">
        <v>3.484</v>
      </c>
      <c r="Z217">
        <v>3.48</v>
      </c>
      <c r="AA217">
        <v>3.4449999999999998</v>
      </c>
      <c r="AB217">
        <v>3.4649999999999999</v>
      </c>
      <c r="AC217">
        <v>3.512</v>
      </c>
      <c r="AD217" s="6">
        <v>3.5670000000000002</v>
      </c>
      <c r="AE217" s="6">
        <v>3.5830000000000002</v>
      </c>
      <c r="AF217">
        <v>3.6150000000000002</v>
      </c>
      <c r="AG217" s="7">
        <v>45442</v>
      </c>
      <c r="AH217">
        <v>3.5779999999999998</v>
      </c>
      <c r="AI217">
        <v>3.6019999999999999</v>
      </c>
      <c r="AJ217">
        <v>3.5979999999999999</v>
      </c>
      <c r="AK217">
        <v>3.5760000000000001</v>
      </c>
      <c r="AL217">
        <v>3.5590000000000002</v>
      </c>
      <c r="AM217" s="6">
        <v>3.5569999999999999</v>
      </c>
      <c r="AN217" s="6">
        <v>3.577</v>
      </c>
      <c r="AO217">
        <v>3.6230000000000002</v>
      </c>
      <c r="AP217" s="7">
        <v>45442</v>
      </c>
      <c r="AQ217">
        <v>3.7109999999999999</v>
      </c>
      <c r="AR217">
        <v>3.7330000000000001</v>
      </c>
      <c r="AS217">
        <v>3.7509999999999999</v>
      </c>
      <c r="AT217">
        <v>3.7770000000000001</v>
      </c>
      <c r="AU217">
        <v>3.7949999999999999</v>
      </c>
      <c r="AV217" s="6">
        <v>3.8610000000000002</v>
      </c>
      <c r="AW217" s="6">
        <v>3.9550000000000001</v>
      </c>
      <c r="AX217">
        <v>4.109</v>
      </c>
      <c r="AY217" s="7">
        <v>45442</v>
      </c>
      <c r="AZ217">
        <v>3.569</v>
      </c>
      <c r="BA217">
        <v>3.5870000000000002</v>
      </c>
      <c r="BB217">
        <v>3.5920000000000001</v>
      </c>
      <c r="BC217">
        <v>3.5979999999999999</v>
      </c>
      <c r="BD217">
        <v>3.585</v>
      </c>
      <c r="BE217" s="6">
        <v>3.5979999999999999</v>
      </c>
      <c r="BF217" s="6">
        <v>3.6160000000000001</v>
      </c>
      <c r="BG217">
        <v>3.6280000000000001</v>
      </c>
      <c r="BH217" s="7">
        <v>45442</v>
      </c>
      <c r="BI217">
        <v>3.4969999999999999</v>
      </c>
      <c r="BJ217">
        <v>3.512</v>
      </c>
      <c r="BK217">
        <v>3.5129999999999999</v>
      </c>
      <c r="BL217">
        <v>3.5339999999999998</v>
      </c>
      <c r="BM217">
        <v>3.5259999999999998</v>
      </c>
      <c r="BN217" s="6">
        <v>3.5550000000000002</v>
      </c>
      <c r="BO217" s="6">
        <v>3.5739999999999998</v>
      </c>
      <c r="BP217">
        <v>3.6110000000000002</v>
      </c>
      <c r="BQ217" s="7">
        <v>45442</v>
      </c>
      <c r="BR217">
        <v>3.8239999999999998</v>
      </c>
      <c r="BS217">
        <v>3.8759999999999999</v>
      </c>
      <c r="BT217">
        <v>3.9220000000000002</v>
      </c>
      <c r="BU217">
        <v>3.9670000000000001</v>
      </c>
      <c r="BV217">
        <v>3.97</v>
      </c>
      <c r="BW217" s="6">
        <v>4.0140000000000002</v>
      </c>
      <c r="BX217" s="6">
        <v>4.032</v>
      </c>
      <c r="BY217">
        <v>4.0529999999999999</v>
      </c>
      <c r="BZ217" s="7">
        <v>45442</v>
      </c>
      <c r="CA217">
        <v>3.5579999999999998</v>
      </c>
      <c r="CB217">
        <v>3.5710000000000002</v>
      </c>
      <c r="CC217">
        <v>3.53</v>
      </c>
      <c r="CD217">
        <v>3.552</v>
      </c>
      <c r="CE217">
        <v>3.6080000000000001</v>
      </c>
      <c r="CF217" s="6">
        <v>3.69</v>
      </c>
      <c r="CG217" s="6">
        <v>3.7029999999999998</v>
      </c>
      <c r="CH217">
        <v>3.6779999999999999</v>
      </c>
    </row>
    <row r="218" spans="2:86">
      <c r="B218" s="7">
        <v>45441</v>
      </c>
      <c r="C218">
        <v>3.4550000000000001</v>
      </c>
      <c r="D218">
        <v>3.4</v>
      </c>
      <c r="E218">
        <v>3.4</v>
      </c>
      <c r="F218">
        <v>3.41</v>
      </c>
      <c r="G218">
        <v>3.4449999999999998</v>
      </c>
      <c r="H218">
        <v>3.42</v>
      </c>
      <c r="I218" s="6">
        <v>3.4569999999999999</v>
      </c>
      <c r="J218" s="6">
        <v>3.4649999999999999</v>
      </c>
      <c r="K218" s="6">
        <v>3.5230000000000001</v>
      </c>
      <c r="L218" s="6">
        <v>3.5350000000000001</v>
      </c>
      <c r="M218" s="6">
        <v>3.4769999999999999</v>
      </c>
      <c r="N218" s="6">
        <v>3.395</v>
      </c>
      <c r="O218" s="7">
        <v>45441</v>
      </c>
      <c r="P218">
        <v>3.4279999999999999</v>
      </c>
      <c r="Q218">
        <v>3.407</v>
      </c>
      <c r="R218">
        <v>3.3809999999999998</v>
      </c>
      <c r="S218">
        <v>3.44</v>
      </c>
      <c r="T218">
        <v>3.4279999999999999</v>
      </c>
      <c r="U218" s="6">
        <v>3.448</v>
      </c>
      <c r="V218" s="6">
        <v>0</v>
      </c>
      <c r="W218">
        <v>0</v>
      </c>
      <c r="X218" s="7">
        <v>45441</v>
      </c>
      <c r="Y218">
        <v>3.4809999999999999</v>
      </c>
      <c r="Z218">
        <v>3.4769999999999999</v>
      </c>
      <c r="AA218">
        <v>3.4420000000000002</v>
      </c>
      <c r="AB218">
        <v>3.456</v>
      </c>
      <c r="AC218">
        <v>3.5019999999999998</v>
      </c>
      <c r="AD218" s="6">
        <v>3.5470000000000002</v>
      </c>
      <c r="AE218" s="6">
        <v>3.5590000000000002</v>
      </c>
      <c r="AF218">
        <v>3.5990000000000002</v>
      </c>
      <c r="AG218" s="7">
        <v>45441</v>
      </c>
      <c r="AH218">
        <v>3.573</v>
      </c>
      <c r="AI218">
        <v>3.5960000000000001</v>
      </c>
      <c r="AJ218">
        <v>3.5920000000000001</v>
      </c>
      <c r="AK218">
        <v>3.5670000000000002</v>
      </c>
      <c r="AL218">
        <v>3.5459999999999998</v>
      </c>
      <c r="AM218" s="6">
        <v>3.5419999999999998</v>
      </c>
      <c r="AN218" s="6">
        <v>3.5539999999999998</v>
      </c>
      <c r="AO218">
        <v>3.6040000000000001</v>
      </c>
      <c r="AP218" s="7">
        <v>45441</v>
      </c>
      <c r="AQ218">
        <v>3.7010000000000001</v>
      </c>
      <c r="AR218">
        <v>3.722</v>
      </c>
      <c r="AS218">
        <v>3.7389999999999999</v>
      </c>
      <c r="AT218">
        <v>3.7629999999999999</v>
      </c>
      <c r="AU218">
        <v>3.7759999999999998</v>
      </c>
      <c r="AV218" s="6">
        <v>3.8439999999999999</v>
      </c>
      <c r="AW218" s="6">
        <v>3.927</v>
      </c>
      <c r="AX218">
        <v>4.0880000000000001</v>
      </c>
      <c r="AY218" s="7">
        <v>45441</v>
      </c>
      <c r="AZ218">
        <v>3.5619999999999998</v>
      </c>
      <c r="BA218">
        <v>3.5760000000000001</v>
      </c>
      <c r="BB218">
        <v>3.581</v>
      </c>
      <c r="BC218">
        <v>3.5870000000000002</v>
      </c>
      <c r="BD218">
        <v>3.5680000000000001</v>
      </c>
      <c r="BE218" s="6">
        <v>3.5739999999999998</v>
      </c>
      <c r="BF218" s="6">
        <v>3.585</v>
      </c>
      <c r="BG218">
        <v>3.5990000000000002</v>
      </c>
      <c r="BH218" s="7">
        <v>45441</v>
      </c>
      <c r="BI218">
        <v>3.49</v>
      </c>
      <c r="BJ218">
        <v>3.5009999999999999</v>
      </c>
      <c r="BK218">
        <v>3.5009999999999999</v>
      </c>
      <c r="BL218">
        <v>3.5230000000000001</v>
      </c>
      <c r="BM218">
        <v>3.5089999999999999</v>
      </c>
      <c r="BN218" s="6">
        <v>3.5369999999999999</v>
      </c>
      <c r="BO218" s="6">
        <v>3.55</v>
      </c>
      <c r="BP218">
        <v>3.5910000000000002</v>
      </c>
      <c r="BQ218" s="7">
        <v>45441</v>
      </c>
      <c r="BR218">
        <v>3.8159999999999998</v>
      </c>
      <c r="BS218">
        <v>3.8650000000000002</v>
      </c>
      <c r="BT218">
        <v>3.911</v>
      </c>
      <c r="BU218">
        <v>3.956</v>
      </c>
      <c r="BV218">
        <v>3.952</v>
      </c>
      <c r="BW218" s="6">
        <v>3.9910000000000001</v>
      </c>
      <c r="BX218" s="6">
        <v>4</v>
      </c>
      <c r="BY218">
        <v>4.024</v>
      </c>
      <c r="BZ218" s="7">
        <v>45441</v>
      </c>
      <c r="CA218">
        <v>3.5550000000000002</v>
      </c>
      <c r="CB218">
        <v>3.5680000000000001</v>
      </c>
      <c r="CC218">
        <v>3.5270000000000001</v>
      </c>
      <c r="CD218">
        <v>3.5430000000000001</v>
      </c>
      <c r="CE218">
        <v>3.5979999999999999</v>
      </c>
      <c r="CF218" s="6">
        <v>3.67</v>
      </c>
      <c r="CG218" s="6">
        <v>3.6760000000000002</v>
      </c>
      <c r="CH218">
        <v>3.6619999999999999</v>
      </c>
    </row>
    <row r="219" spans="2:86">
      <c r="B219" s="7">
        <v>45440</v>
      </c>
      <c r="C219">
        <v>3.4529999999999998</v>
      </c>
      <c r="D219">
        <v>3.4</v>
      </c>
      <c r="E219">
        <v>3.3929999999999998</v>
      </c>
      <c r="F219">
        <v>3.407</v>
      </c>
      <c r="G219">
        <v>3.423</v>
      </c>
      <c r="H219">
        <v>3.387</v>
      </c>
      <c r="I219" s="6">
        <v>3.4169999999999998</v>
      </c>
      <c r="J219" s="6">
        <v>3.415</v>
      </c>
      <c r="K219" s="6">
        <v>3.47</v>
      </c>
      <c r="L219" s="6">
        <v>3.4769999999999999</v>
      </c>
      <c r="M219" s="6">
        <v>3.427</v>
      </c>
      <c r="N219" s="6">
        <v>3.355</v>
      </c>
      <c r="O219" s="7">
        <v>45440</v>
      </c>
      <c r="P219">
        <v>3.4249999999999998</v>
      </c>
      <c r="Q219">
        <v>3.4009999999999998</v>
      </c>
      <c r="R219">
        <v>3.367</v>
      </c>
      <c r="S219">
        <v>3.42</v>
      </c>
      <c r="T219">
        <v>3.4049999999999998</v>
      </c>
      <c r="U219" s="6">
        <v>3.415</v>
      </c>
      <c r="V219" s="6">
        <v>0</v>
      </c>
      <c r="W219">
        <v>0</v>
      </c>
      <c r="X219" s="7">
        <v>45440</v>
      </c>
      <c r="Y219">
        <v>3.4809999999999999</v>
      </c>
      <c r="Z219">
        <v>3.4750000000000001</v>
      </c>
      <c r="AA219">
        <v>3.4340000000000002</v>
      </c>
      <c r="AB219">
        <v>3.448</v>
      </c>
      <c r="AC219">
        <v>3.48</v>
      </c>
      <c r="AD219" s="6">
        <v>3.5150000000000001</v>
      </c>
      <c r="AE219" s="6">
        <v>3.5190000000000001</v>
      </c>
      <c r="AF219">
        <v>3.5579999999999998</v>
      </c>
      <c r="AG219" s="7">
        <v>45440</v>
      </c>
      <c r="AH219">
        <v>3.569</v>
      </c>
      <c r="AI219">
        <v>3.59</v>
      </c>
      <c r="AJ219">
        <v>3.5779999999999998</v>
      </c>
      <c r="AK219">
        <v>3.5470000000000002</v>
      </c>
      <c r="AL219">
        <v>3.524</v>
      </c>
      <c r="AM219" s="6">
        <v>3.51</v>
      </c>
      <c r="AN219" s="6">
        <v>3.5150000000000001</v>
      </c>
      <c r="AO219">
        <v>3.5579999999999998</v>
      </c>
      <c r="AP219" s="7">
        <v>45440</v>
      </c>
      <c r="AQ219">
        <v>3.6960000000000002</v>
      </c>
      <c r="AR219">
        <v>3.718</v>
      </c>
      <c r="AS219">
        <v>3.7290000000000001</v>
      </c>
      <c r="AT219">
        <v>3.7440000000000002</v>
      </c>
      <c r="AU219">
        <v>3.7570000000000001</v>
      </c>
      <c r="AV219" s="6">
        <v>3.8159999999999998</v>
      </c>
      <c r="AW219" s="6">
        <v>3.89</v>
      </c>
      <c r="AX219">
        <v>4.0389999999999997</v>
      </c>
      <c r="AY219" s="7">
        <v>45440</v>
      </c>
      <c r="AZ219">
        <v>3.5659999999999998</v>
      </c>
      <c r="BA219">
        <v>3.5720000000000001</v>
      </c>
      <c r="BB219">
        <v>3.569</v>
      </c>
      <c r="BC219">
        <v>3.5710000000000002</v>
      </c>
      <c r="BD219">
        <v>3.5590000000000002</v>
      </c>
      <c r="BE219" s="6">
        <v>3.55</v>
      </c>
      <c r="BF219" s="6">
        <v>3.548</v>
      </c>
      <c r="BG219">
        <v>3.552</v>
      </c>
      <c r="BH219" s="7">
        <v>45440</v>
      </c>
      <c r="BI219">
        <v>3.4910000000000001</v>
      </c>
      <c r="BJ219">
        <v>3.496</v>
      </c>
      <c r="BK219">
        <v>3.4889999999999999</v>
      </c>
      <c r="BL219">
        <v>3.5059999999999998</v>
      </c>
      <c r="BM219">
        <v>3.4940000000000002</v>
      </c>
      <c r="BN219" s="6">
        <v>3.504</v>
      </c>
      <c r="BO219" s="6">
        <v>3.51</v>
      </c>
      <c r="BP219">
        <v>3.5459999999999998</v>
      </c>
      <c r="BQ219" s="7">
        <v>45440</v>
      </c>
      <c r="BR219">
        <v>3.8210000000000002</v>
      </c>
      <c r="BS219">
        <v>3.8610000000000002</v>
      </c>
      <c r="BT219">
        <v>3.9020000000000001</v>
      </c>
      <c r="BU219">
        <v>3.94</v>
      </c>
      <c r="BV219">
        <v>3.9430000000000001</v>
      </c>
      <c r="BW219" s="6">
        <v>3.9660000000000002</v>
      </c>
      <c r="BX219" s="6">
        <v>3.964</v>
      </c>
      <c r="BY219">
        <v>3.9769999999999999</v>
      </c>
      <c r="BZ219" s="7">
        <v>45440</v>
      </c>
      <c r="CA219">
        <v>3.5550000000000002</v>
      </c>
      <c r="CB219">
        <v>3.5659999999999998</v>
      </c>
      <c r="CC219">
        <v>3.5179999999999998</v>
      </c>
      <c r="CD219">
        <v>3.5350000000000001</v>
      </c>
      <c r="CE219">
        <v>3.5760000000000001</v>
      </c>
      <c r="CF219" s="6">
        <v>3.6379999999999999</v>
      </c>
      <c r="CG219" s="6">
        <v>3.6360000000000001</v>
      </c>
      <c r="CH219">
        <v>3.621</v>
      </c>
    </row>
    <row r="220" spans="2:86">
      <c r="B220" s="7">
        <v>45439</v>
      </c>
      <c r="C220">
        <v>3.456</v>
      </c>
      <c r="D220">
        <v>3.4049999999999998</v>
      </c>
      <c r="E220">
        <v>3.4049999999999998</v>
      </c>
      <c r="F220">
        <v>3.4260000000000002</v>
      </c>
      <c r="G220">
        <v>3.4449999999999998</v>
      </c>
      <c r="H220">
        <v>3.41</v>
      </c>
      <c r="I220" s="6">
        <v>3.4369999999999998</v>
      </c>
      <c r="J220" s="6">
        <v>3.4369999999999998</v>
      </c>
      <c r="K220" s="6">
        <v>3.4910000000000001</v>
      </c>
      <c r="L220" s="6">
        <v>3.4969999999999999</v>
      </c>
      <c r="M220" s="6">
        <v>3.44</v>
      </c>
      <c r="N220" s="6">
        <v>3.36</v>
      </c>
      <c r="O220" s="7">
        <v>45439</v>
      </c>
      <c r="P220">
        <v>3.4319999999999999</v>
      </c>
      <c r="Q220">
        <v>3.41</v>
      </c>
      <c r="R220">
        <v>3.37</v>
      </c>
      <c r="S220">
        <v>3.4319999999999999</v>
      </c>
      <c r="T220">
        <v>3.42</v>
      </c>
      <c r="U220" s="6">
        <v>3.4369999999999998</v>
      </c>
      <c r="V220" s="6">
        <v>0</v>
      </c>
      <c r="W220">
        <v>0</v>
      </c>
      <c r="X220" s="7">
        <v>45439</v>
      </c>
      <c r="Y220">
        <v>3.4860000000000002</v>
      </c>
      <c r="Z220">
        <v>3.4820000000000002</v>
      </c>
      <c r="AA220">
        <v>3.4420000000000002</v>
      </c>
      <c r="AB220">
        <v>3.4660000000000002</v>
      </c>
      <c r="AC220">
        <v>3.4990000000000001</v>
      </c>
      <c r="AD220" s="6">
        <v>3.5379999999999998</v>
      </c>
      <c r="AE220" s="6">
        <v>3.5390000000000001</v>
      </c>
      <c r="AF220">
        <v>3.5750000000000002</v>
      </c>
      <c r="AG220" s="7">
        <v>45439</v>
      </c>
      <c r="AH220">
        <v>3.5760000000000001</v>
      </c>
      <c r="AI220">
        <v>3.5979999999999999</v>
      </c>
      <c r="AJ220">
        <v>3.5840000000000001</v>
      </c>
      <c r="AK220">
        <v>3.5609999999999999</v>
      </c>
      <c r="AL220">
        <v>3.5390000000000001</v>
      </c>
      <c r="AM220" s="6">
        <v>3.5339999999999998</v>
      </c>
      <c r="AN220" s="6">
        <v>3.536</v>
      </c>
      <c r="AO220">
        <v>3.5790000000000002</v>
      </c>
      <c r="AP220" s="7">
        <v>45439</v>
      </c>
      <c r="AQ220">
        <v>3.7040000000000002</v>
      </c>
      <c r="AR220">
        <v>3.7320000000000002</v>
      </c>
      <c r="AS220">
        <v>3.7389999999999999</v>
      </c>
      <c r="AT220">
        <v>3.7589999999999999</v>
      </c>
      <c r="AU220">
        <v>3.7730000000000001</v>
      </c>
      <c r="AV220" s="6">
        <v>3.8410000000000002</v>
      </c>
      <c r="AW220" s="6">
        <v>3.91</v>
      </c>
      <c r="AX220">
        <v>4.0609999999999999</v>
      </c>
      <c r="AY220" s="7">
        <v>45439</v>
      </c>
      <c r="AZ220">
        <v>3.573</v>
      </c>
      <c r="BA220">
        <v>3.581</v>
      </c>
      <c r="BB220">
        <v>3.5750000000000002</v>
      </c>
      <c r="BC220">
        <v>3.577</v>
      </c>
      <c r="BD220">
        <v>3.5670000000000002</v>
      </c>
      <c r="BE220" s="6">
        <v>3.5659999999999998</v>
      </c>
      <c r="BF220" s="6">
        <v>3.5680000000000001</v>
      </c>
      <c r="BG220">
        <v>3.573</v>
      </c>
      <c r="BH220" s="7">
        <v>45439</v>
      </c>
      <c r="BI220">
        <v>3.4980000000000002</v>
      </c>
      <c r="BJ220">
        <v>3.504</v>
      </c>
      <c r="BK220">
        <v>3.4950000000000001</v>
      </c>
      <c r="BL220">
        <v>3.512</v>
      </c>
      <c r="BM220">
        <v>3.5030000000000001</v>
      </c>
      <c r="BN220" s="6">
        <v>3.5249999999999999</v>
      </c>
      <c r="BO220" s="6">
        <v>3.53</v>
      </c>
      <c r="BP220">
        <v>3.5659999999999998</v>
      </c>
      <c r="BQ220" s="7">
        <v>45439</v>
      </c>
      <c r="BR220">
        <v>3.8279999999999998</v>
      </c>
      <c r="BS220">
        <v>3.8690000000000002</v>
      </c>
      <c r="BT220">
        <v>3.9079999999999999</v>
      </c>
      <c r="BU220">
        <v>3.9449999999999998</v>
      </c>
      <c r="BV220">
        <v>3.95</v>
      </c>
      <c r="BW220" s="6">
        <v>3.9830000000000001</v>
      </c>
      <c r="BX220" s="6">
        <v>3.984</v>
      </c>
      <c r="BY220">
        <v>3.9980000000000002</v>
      </c>
      <c r="BZ220" s="7">
        <v>45439</v>
      </c>
      <c r="CA220">
        <v>3.56</v>
      </c>
      <c r="CB220">
        <v>3.573</v>
      </c>
      <c r="CC220">
        <v>3.5270000000000001</v>
      </c>
      <c r="CD220">
        <v>3.5529999999999999</v>
      </c>
      <c r="CE220">
        <v>3.5950000000000002</v>
      </c>
      <c r="CF220" s="6">
        <v>3.661</v>
      </c>
      <c r="CG220" s="6">
        <v>3.6560000000000001</v>
      </c>
      <c r="CH220">
        <v>3.6379999999999999</v>
      </c>
    </row>
    <row r="221" spans="2:86">
      <c r="B221" s="7">
        <v>45436</v>
      </c>
      <c r="C221">
        <v>3.4580000000000002</v>
      </c>
      <c r="D221">
        <v>3.403</v>
      </c>
      <c r="E221">
        <v>3.4129999999999998</v>
      </c>
      <c r="F221">
        <v>3.4350000000000001</v>
      </c>
      <c r="G221">
        <v>3.4489999999999998</v>
      </c>
      <c r="H221">
        <v>3.415</v>
      </c>
      <c r="I221" s="6">
        <v>3.44</v>
      </c>
      <c r="J221" s="6">
        <v>3.44</v>
      </c>
      <c r="K221" s="6">
        <v>3.4980000000000002</v>
      </c>
      <c r="L221" s="6">
        <v>3.5070000000000001</v>
      </c>
      <c r="M221" s="6">
        <v>3.44</v>
      </c>
      <c r="N221" s="6">
        <v>3.36</v>
      </c>
      <c r="O221" s="7">
        <v>45436</v>
      </c>
      <c r="P221">
        <v>3.4340000000000002</v>
      </c>
      <c r="Q221">
        <v>3.4129999999999998</v>
      </c>
      <c r="R221">
        <v>3.375</v>
      </c>
      <c r="S221">
        <v>3.4409999999999998</v>
      </c>
      <c r="T221">
        <v>3.43</v>
      </c>
      <c r="U221" s="6">
        <v>3.4420000000000002</v>
      </c>
      <c r="V221" s="6">
        <v>0</v>
      </c>
      <c r="W221">
        <v>0</v>
      </c>
      <c r="X221" s="7">
        <v>45436</v>
      </c>
      <c r="Y221">
        <v>3.4870000000000001</v>
      </c>
      <c r="Z221">
        <v>3.48</v>
      </c>
      <c r="AA221">
        <v>3.4489999999999998</v>
      </c>
      <c r="AB221">
        <v>3.472</v>
      </c>
      <c r="AC221">
        <v>3.508</v>
      </c>
      <c r="AD221" s="6">
        <v>3.5470000000000002</v>
      </c>
      <c r="AE221" s="6">
        <v>3.5470000000000002</v>
      </c>
      <c r="AF221">
        <v>3.5750000000000002</v>
      </c>
      <c r="AG221" s="7">
        <v>45436</v>
      </c>
      <c r="AH221">
        <v>3.5819999999999999</v>
      </c>
      <c r="AI221">
        <v>3.605</v>
      </c>
      <c r="AJ221">
        <v>3.589</v>
      </c>
      <c r="AK221">
        <v>3.57</v>
      </c>
      <c r="AL221">
        <v>3.5539999999999998</v>
      </c>
      <c r="AM221" s="6">
        <v>3.5430000000000001</v>
      </c>
      <c r="AN221" s="6">
        <v>3.544</v>
      </c>
      <c r="AO221">
        <v>3.5960000000000001</v>
      </c>
      <c r="AP221" s="7">
        <v>45436</v>
      </c>
      <c r="AQ221">
        <v>3.7040000000000002</v>
      </c>
      <c r="AR221">
        <v>3.7330000000000001</v>
      </c>
      <c r="AS221">
        <v>3.7440000000000002</v>
      </c>
      <c r="AT221">
        <v>3.7669999999999999</v>
      </c>
      <c r="AU221">
        <v>3.7890000000000001</v>
      </c>
      <c r="AV221" s="6">
        <v>3.8519999999999999</v>
      </c>
      <c r="AW221" s="6">
        <v>3.9129999999999998</v>
      </c>
      <c r="AX221">
        <v>4.0640000000000001</v>
      </c>
      <c r="AY221" s="7">
        <v>45436</v>
      </c>
      <c r="AZ221">
        <v>3.5830000000000002</v>
      </c>
      <c r="BA221">
        <v>3.5910000000000002</v>
      </c>
      <c r="BB221">
        <v>3.5830000000000002</v>
      </c>
      <c r="BC221">
        <v>3.589</v>
      </c>
      <c r="BD221">
        <v>3.58</v>
      </c>
      <c r="BE221" s="6">
        <v>3.5779999999999998</v>
      </c>
      <c r="BF221" s="6">
        <v>3.577</v>
      </c>
      <c r="BG221">
        <v>3.58</v>
      </c>
      <c r="BH221" s="7">
        <v>45436</v>
      </c>
      <c r="BI221">
        <v>3.508</v>
      </c>
      <c r="BJ221">
        <v>3.5139999999999998</v>
      </c>
      <c r="BK221">
        <v>3.5019999999999998</v>
      </c>
      <c r="BL221">
        <v>3.5259999999999998</v>
      </c>
      <c r="BM221">
        <v>3.5190000000000001</v>
      </c>
      <c r="BN221" s="6">
        <v>3.5369999999999999</v>
      </c>
      <c r="BO221" s="6">
        <v>3.5390000000000001</v>
      </c>
      <c r="BP221">
        <v>3.5680000000000001</v>
      </c>
      <c r="BQ221" s="7">
        <v>45436</v>
      </c>
      <c r="BR221">
        <v>3.84</v>
      </c>
      <c r="BS221">
        <v>3.8809999999999998</v>
      </c>
      <c r="BT221">
        <v>3.9180000000000001</v>
      </c>
      <c r="BU221">
        <v>3.96</v>
      </c>
      <c r="BV221">
        <v>3.968</v>
      </c>
      <c r="BW221" s="6">
        <v>3.9940000000000002</v>
      </c>
      <c r="BX221" s="6">
        <v>3.992</v>
      </c>
      <c r="BY221">
        <v>4.0060000000000002</v>
      </c>
      <c r="BZ221" s="7">
        <v>45436</v>
      </c>
      <c r="CA221">
        <v>3.5609999999999999</v>
      </c>
      <c r="CB221">
        <v>3.5710000000000002</v>
      </c>
      <c r="CC221">
        <v>3.5329999999999999</v>
      </c>
      <c r="CD221">
        <v>3.5590000000000002</v>
      </c>
      <c r="CE221">
        <v>3.601</v>
      </c>
      <c r="CF221" s="6">
        <v>3.6669999999999998</v>
      </c>
      <c r="CG221" s="6">
        <v>3.6629999999999998</v>
      </c>
      <c r="CH221">
        <v>3.6389999999999998</v>
      </c>
    </row>
    <row r="222" spans="2:86">
      <c r="B222" s="7">
        <v>45435</v>
      </c>
      <c r="C222">
        <v>3.448</v>
      </c>
      <c r="D222">
        <v>3.3849999999999998</v>
      </c>
      <c r="E222">
        <v>3.4079999999999999</v>
      </c>
      <c r="F222">
        <v>3.4260000000000002</v>
      </c>
      <c r="G222">
        <v>3.4350000000000001</v>
      </c>
      <c r="H222">
        <v>3.4</v>
      </c>
      <c r="I222" s="6">
        <v>3.42</v>
      </c>
      <c r="J222" s="6">
        <v>3.42</v>
      </c>
      <c r="K222" s="6">
        <v>3.4670000000000001</v>
      </c>
      <c r="L222" s="6">
        <v>3.4649999999999999</v>
      </c>
      <c r="M222" s="6">
        <v>3.415</v>
      </c>
      <c r="N222" s="6">
        <v>3.32</v>
      </c>
      <c r="O222" s="7">
        <v>45435</v>
      </c>
      <c r="P222">
        <v>3.4289999999999998</v>
      </c>
      <c r="Q222">
        <v>3.4060000000000001</v>
      </c>
      <c r="R222">
        <v>3.367</v>
      </c>
      <c r="S222">
        <v>3.43</v>
      </c>
      <c r="T222">
        <v>3.4180000000000001</v>
      </c>
      <c r="U222" s="6">
        <v>3.43</v>
      </c>
      <c r="V222" s="6">
        <v>0</v>
      </c>
      <c r="W222">
        <v>0</v>
      </c>
      <c r="X222" s="7">
        <v>45435</v>
      </c>
      <c r="Y222">
        <v>3.4769999999999999</v>
      </c>
      <c r="Z222">
        <v>3.47</v>
      </c>
      <c r="AA222">
        <v>3.444</v>
      </c>
      <c r="AB222">
        <v>3.4620000000000002</v>
      </c>
      <c r="AC222">
        <v>3.4950000000000001</v>
      </c>
      <c r="AD222" s="6">
        <v>3.532</v>
      </c>
      <c r="AE222" s="6">
        <v>3.5270000000000001</v>
      </c>
      <c r="AF222">
        <v>3.5489999999999999</v>
      </c>
      <c r="AG222" s="7">
        <v>45435</v>
      </c>
      <c r="AH222">
        <v>3.5790000000000002</v>
      </c>
      <c r="AI222">
        <v>3.6019999999999999</v>
      </c>
      <c r="AJ222">
        <v>3.5830000000000002</v>
      </c>
      <c r="AK222">
        <v>3.5640000000000001</v>
      </c>
      <c r="AL222">
        <v>3.5449999999999999</v>
      </c>
      <c r="AM222" s="6">
        <v>3.53</v>
      </c>
      <c r="AN222" s="6">
        <v>3.524</v>
      </c>
      <c r="AO222">
        <v>3.5760000000000001</v>
      </c>
      <c r="AP222" s="7">
        <v>45435</v>
      </c>
      <c r="AQ222">
        <v>3.702</v>
      </c>
      <c r="AR222">
        <v>3.73</v>
      </c>
      <c r="AS222">
        <v>3.738</v>
      </c>
      <c r="AT222">
        <v>3.7559999999999998</v>
      </c>
      <c r="AU222">
        <v>3.774</v>
      </c>
      <c r="AV222" s="6">
        <v>3.8359999999999999</v>
      </c>
      <c r="AW222" s="6">
        <v>3.8929999999999998</v>
      </c>
      <c r="AX222">
        <v>4.0439999999999996</v>
      </c>
      <c r="AY222" s="7">
        <v>45435</v>
      </c>
      <c r="AZ222">
        <v>3.5779999999999998</v>
      </c>
      <c r="BA222">
        <v>3.5840000000000001</v>
      </c>
      <c r="BB222">
        <v>3.5760000000000001</v>
      </c>
      <c r="BC222">
        <v>3.5790000000000002</v>
      </c>
      <c r="BD222">
        <v>3.5680000000000001</v>
      </c>
      <c r="BE222" s="6">
        <v>3.5640000000000001</v>
      </c>
      <c r="BF222" s="6">
        <v>3.56</v>
      </c>
      <c r="BG222">
        <v>3.5619999999999998</v>
      </c>
      <c r="BH222" s="7">
        <v>45435</v>
      </c>
      <c r="BI222">
        <v>3.5030000000000001</v>
      </c>
      <c r="BJ222">
        <v>3.5070000000000001</v>
      </c>
      <c r="BK222">
        <v>3.4950000000000001</v>
      </c>
      <c r="BL222">
        <v>3.516</v>
      </c>
      <c r="BM222">
        <v>3.5070000000000001</v>
      </c>
      <c r="BN222" s="6">
        <v>3.5219999999999998</v>
      </c>
      <c r="BO222" s="6">
        <v>3.5209999999999999</v>
      </c>
      <c r="BP222">
        <v>3.544</v>
      </c>
      <c r="BQ222" s="7">
        <v>45435</v>
      </c>
      <c r="BR222">
        <v>3.835</v>
      </c>
      <c r="BS222">
        <v>3.8740000000000001</v>
      </c>
      <c r="BT222">
        <v>3.911</v>
      </c>
      <c r="BU222">
        <v>3.95</v>
      </c>
      <c r="BV222">
        <v>3.956</v>
      </c>
      <c r="BW222" s="6">
        <v>3.9809999999999999</v>
      </c>
      <c r="BX222" s="6">
        <v>3.976</v>
      </c>
      <c r="BY222">
        <v>3.988</v>
      </c>
      <c r="BZ222" s="7">
        <v>45435</v>
      </c>
      <c r="CA222">
        <v>3.5510000000000002</v>
      </c>
      <c r="CB222">
        <v>3.5609999999999999</v>
      </c>
      <c r="CC222">
        <v>3.528</v>
      </c>
      <c r="CD222">
        <v>3.5489999999999999</v>
      </c>
      <c r="CE222">
        <v>3.5880000000000001</v>
      </c>
      <c r="CF222" s="6">
        <v>3.6520000000000001</v>
      </c>
      <c r="CG222" s="6">
        <v>3.6429999999999998</v>
      </c>
      <c r="CH222">
        <v>3.6120000000000001</v>
      </c>
    </row>
    <row r="223" spans="2:86">
      <c r="B223" s="7">
        <v>45434</v>
      </c>
      <c r="C223">
        <v>3.4510000000000001</v>
      </c>
      <c r="D223">
        <v>3.3849999999999998</v>
      </c>
      <c r="E223">
        <v>3.423</v>
      </c>
      <c r="F223">
        <v>3.4369999999999998</v>
      </c>
      <c r="G223">
        <v>3.4449999999999998</v>
      </c>
      <c r="H223">
        <v>3.415</v>
      </c>
      <c r="I223" s="6">
        <v>3.4449999999999998</v>
      </c>
      <c r="J223" s="6">
        <v>3.4449999999999998</v>
      </c>
      <c r="K223" s="6">
        <v>3.4889999999999999</v>
      </c>
      <c r="L223" s="6">
        <v>3.4849999999999999</v>
      </c>
      <c r="M223" s="6">
        <v>3.4119999999999999</v>
      </c>
      <c r="N223" s="6">
        <v>3.32</v>
      </c>
      <c r="O223" s="7">
        <v>45434</v>
      </c>
      <c r="P223">
        <v>3.4319999999999999</v>
      </c>
      <c r="Q223">
        <v>3.407</v>
      </c>
      <c r="R223">
        <v>3.37</v>
      </c>
      <c r="S223">
        <v>3.44</v>
      </c>
      <c r="T223">
        <v>3.4350000000000001</v>
      </c>
      <c r="U223" s="6">
        <v>3.4449999999999998</v>
      </c>
      <c r="V223" s="6">
        <v>0</v>
      </c>
      <c r="W223">
        <v>0</v>
      </c>
      <c r="X223" s="7">
        <v>45434</v>
      </c>
      <c r="Y223">
        <v>3.4809999999999999</v>
      </c>
      <c r="Z223">
        <v>3.47</v>
      </c>
      <c r="AA223">
        <v>3.4569999999999999</v>
      </c>
      <c r="AB223">
        <v>3.4729999999999999</v>
      </c>
      <c r="AC223">
        <v>3.5070000000000001</v>
      </c>
      <c r="AD223" s="6">
        <v>3.55</v>
      </c>
      <c r="AE223" s="6">
        <v>3.5510000000000002</v>
      </c>
      <c r="AF223">
        <v>3.5659999999999998</v>
      </c>
      <c r="AG223" s="7">
        <v>45434</v>
      </c>
      <c r="AH223">
        <v>3.5830000000000002</v>
      </c>
      <c r="AI223">
        <v>3.6019999999999999</v>
      </c>
      <c r="AJ223">
        <v>3.5870000000000002</v>
      </c>
      <c r="AK223">
        <v>3.5739999999999998</v>
      </c>
      <c r="AL223">
        <v>3.5619999999999998</v>
      </c>
      <c r="AM223" s="6">
        <v>3.5449999999999999</v>
      </c>
      <c r="AN223" s="6">
        <v>3.548</v>
      </c>
      <c r="AO223">
        <v>3.601</v>
      </c>
      <c r="AP223" s="7">
        <v>45434</v>
      </c>
      <c r="AQ223">
        <v>3.7109999999999999</v>
      </c>
      <c r="AR223">
        <v>3.7320000000000002</v>
      </c>
      <c r="AS223">
        <v>3.7410000000000001</v>
      </c>
      <c r="AT223">
        <v>3.766</v>
      </c>
      <c r="AU223">
        <v>3.7879999999999998</v>
      </c>
      <c r="AV223" s="6">
        <v>3.851</v>
      </c>
      <c r="AW223" s="6">
        <v>3.9169999999999998</v>
      </c>
      <c r="AX223">
        <v>4.0750000000000002</v>
      </c>
      <c r="AY223" s="7">
        <v>45434</v>
      </c>
      <c r="AZ223">
        <v>3.5819999999999999</v>
      </c>
      <c r="BA223">
        <v>3.585</v>
      </c>
      <c r="BB223">
        <v>3.58</v>
      </c>
      <c r="BC223">
        <v>3.589</v>
      </c>
      <c r="BD223">
        <v>3.585</v>
      </c>
      <c r="BE223" s="6">
        <v>3.5840000000000001</v>
      </c>
      <c r="BF223" s="6">
        <v>3.5830000000000002</v>
      </c>
      <c r="BG223">
        <v>3.5870000000000002</v>
      </c>
      <c r="BH223" s="7">
        <v>45434</v>
      </c>
      <c r="BI223">
        <v>3.5059999999999998</v>
      </c>
      <c r="BJ223">
        <v>3.5110000000000001</v>
      </c>
      <c r="BK223">
        <v>3.4980000000000002</v>
      </c>
      <c r="BL223">
        <v>3.5259999999999998</v>
      </c>
      <c r="BM223">
        <v>3.5230000000000001</v>
      </c>
      <c r="BN223" s="6">
        <v>3.5390000000000001</v>
      </c>
      <c r="BO223" s="6">
        <v>3.5430000000000001</v>
      </c>
      <c r="BP223">
        <v>3.5670000000000002</v>
      </c>
      <c r="BQ223" s="7">
        <v>45434</v>
      </c>
      <c r="BR223">
        <v>3.8380000000000001</v>
      </c>
      <c r="BS223">
        <v>3.875</v>
      </c>
      <c r="BT223">
        <v>3.915</v>
      </c>
      <c r="BU223">
        <v>3.96</v>
      </c>
      <c r="BV223">
        <v>3.9729999999999999</v>
      </c>
      <c r="BW223" s="6">
        <v>4</v>
      </c>
      <c r="BX223" s="6">
        <v>3.9980000000000002</v>
      </c>
      <c r="BY223">
        <v>4.0129999999999999</v>
      </c>
      <c r="BZ223" s="7">
        <v>45434</v>
      </c>
      <c r="CA223">
        <v>3.5550000000000002</v>
      </c>
      <c r="CB223">
        <v>3.5609999999999999</v>
      </c>
      <c r="CC223">
        <v>3.5419999999999998</v>
      </c>
      <c r="CD223">
        <v>3.56</v>
      </c>
      <c r="CE223">
        <v>3.601</v>
      </c>
      <c r="CF223" s="6">
        <v>3.6720000000000002</v>
      </c>
      <c r="CG223" s="6">
        <v>3.6669999999999998</v>
      </c>
      <c r="CH223">
        <v>3.629</v>
      </c>
    </row>
    <row r="224" spans="2:86">
      <c r="B224" s="7">
        <v>45433</v>
      </c>
      <c r="C224">
        <v>3.4510000000000001</v>
      </c>
      <c r="D224">
        <v>3.3849999999999998</v>
      </c>
      <c r="E224">
        <v>3.431</v>
      </c>
      <c r="F224">
        <v>3.4390000000000001</v>
      </c>
      <c r="G224">
        <v>3.444</v>
      </c>
      <c r="H224">
        <v>3.4119999999999999</v>
      </c>
      <c r="I224" s="6">
        <v>3.4420000000000002</v>
      </c>
      <c r="J224" s="6">
        <v>3.4449999999999998</v>
      </c>
      <c r="K224" s="6">
        <v>3.4940000000000002</v>
      </c>
      <c r="L224" s="6">
        <v>3.4950000000000001</v>
      </c>
      <c r="M224" s="6">
        <v>3.43</v>
      </c>
      <c r="N224" s="6">
        <v>3.34</v>
      </c>
      <c r="O224" s="7">
        <v>45433</v>
      </c>
      <c r="P224">
        <v>3.43</v>
      </c>
      <c r="Q224">
        <v>3.407</v>
      </c>
      <c r="R224">
        <v>3.37</v>
      </c>
      <c r="S224">
        <v>3.4350000000000001</v>
      </c>
      <c r="T224">
        <v>3.43</v>
      </c>
      <c r="U224" s="6">
        <v>3.4420000000000002</v>
      </c>
      <c r="V224" s="6">
        <v>0</v>
      </c>
      <c r="W224">
        <v>0</v>
      </c>
      <c r="X224" s="7">
        <v>45433</v>
      </c>
      <c r="Y224">
        <v>3.4809999999999999</v>
      </c>
      <c r="Z224">
        <v>3.47</v>
      </c>
      <c r="AA224">
        <v>3.464</v>
      </c>
      <c r="AB224">
        <v>3.4729999999999999</v>
      </c>
      <c r="AC224">
        <v>3.5049999999999999</v>
      </c>
      <c r="AD224" s="6">
        <v>3.548</v>
      </c>
      <c r="AE224" s="6">
        <v>3.5489999999999999</v>
      </c>
      <c r="AF224">
        <v>3.569</v>
      </c>
      <c r="AG224" s="7">
        <v>45433</v>
      </c>
      <c r="AH224">
        <v>3.5830000000000002</v>
      </c>
      <c r="AI224">
        <v>3.605</v>
      </c>
      <c r="AJ224">
        <v>3.59</v>
      </c>
      <c r="AK224">
        <v>3.5750000000000002</v>
      </c>
      <c r="AL224">
        <v>3.56</v>
      </c>
      <c r="AM224" s="6">
        <v>3.544</v>
      </c>
      <c r="AN224" s="6">
        <v>3.5459999999999998</v>
      </c>
      <c r="AO224">
        <v>3.601</v>
      </c>
      <c r="AP224" s="7">
        <v>45433</v>
      </c>
      <c r="AQ224">
        <v>3.7069999999999999</v>
      </c>
      <c r="AR224">
        <v>3.7320000000000002</v>
      </c>
      <c r="AS224">
        <v>3.7389999999999999</v>
      </c>
      <c r="AT224">
        <v>3.7629999999999999</v>
      </c>
      <c r="AU224">
        <v>3.7829999999999999</v>
      </c>
      <c r="AV224" s="6">
        <v>3.847</v>
      </c>
      <c r="AW224" s="6">
        <v>3.9140000000000001</v>
      </c>
      <c r="AX224">
        <v>4.0789999999999997</v>
      </c>
      <c r="AY224" s="7">
        <v>45433</v>
      </c>
      <c r="AZ224">
        <v>3.5720000000000001</v>
      </c>
      <c r="BA224">
        <v>3.5819999999999999</v>
      </c>
      <c r="BB224">
        <v>3.5779999999999998</v>
      </c>
      <c r="BC224">
        <v>3.5840000000000001</v>
      </c>
      <c r="BD224">
        <v>3.58</v>
      </c>
      <c r="BE224" s="6">
        <v>3.5819999999999999</v>
      </c>
      <c r="BF224" s="6">
        <v>3.581</v>
      </c>
      <c r="BG224">
        <v>3.5870000000000002</v>
      </c>
      <c r="BH224" s="7">
        <v>45433</v>
      </c>
      <c r="BI224">
        <v>3.496</v>
      </c>
      <c r="BJ224">
        <v>3.5139999999999998</v>
      </c>
      <c r="BK224">
        <v>3.4969999999999999</v>
      </c>
      <c r="BL224">
        <v>3.5209999999999999</v>
      </c>
      <c r="BM224">
        <v>3.5190000000000001</v>
      </c>
      <c r="BN224" s="6">
        <v>3.5369999999999999</v>
      </c>
      <c r="BO224" s="6">
        <v>3.5409999999999999</v>
      </c>
      <c r="BP224">
        <v>3.5670000000000002</v>
      </c>
      <c r="BQ224" s="7">
        <v>45433</v>
      </c>
      <c r="BR224">
        <v>3.8279999999999998</v>
      </c>
      <c r="BS224">
        <v>3.8730000000000002</v>
      </c>
      <c r="BT224">
        <v>3.9129999999999998</v>
      </c>
      <c r="BU224">
        <v>3.9550000000000001</v>
      </c>
      <c r="BV224">
        <v>3.968</v>
      </c>
      <c r="BW224" s="6">
        <v>3.9980000000000002</v>
      </c>
      <c r="BX224" s="6">
        <v>3.996</v>
      </c>
      <c r="BY224">
        <v>4.0129999999999999</v>
      </c>
      <c r="BZ224" s="7">
        <v>45433</v>
      </c>
      <c r="CA224">
        <v>3.5550000000000002</v>
      </c>
      <c r="CB224">
        <v>3.5609999999999999</v>
      </c>
      <c r="CC224">
        <v>3.548</v>
      </c>
      <c r="CD224">
        <v>3.56</v>
      </c>
      <c r="CE224">
        <v>3.5979999999999999</v>
      </c>
      <c r="CF224" s="6">
        <v>3.6709999999999998</v>
      </c>
      <c r="CG224" s="6">
        <v>3.6659999999999999</v>
      </c>
      <c r="CH224">
        <v>3.6320000000000001</v>
      </c>
    </row>
    <row r="225" spans="2:86">
      <c r="B225" s="7">
        <v>45432</v>
      </c>
      <c r="C225">
        <v>3.4510000000000001</v>
      </c>
      <c r="D225">
        <v>3.3849999999999998</v>
      </c>
      <c r="E225">
        <v>3.431</v>
      </c>
      <c r="F225">
        <v>3.44</v>
      </c>
      <c r="G225">
        <v>3.4390000000000001</v>
      </c>
      <c r="H225">
        <v>3.407</v>
      </c>
      <c r="I225" s="6">
        <v>3.44</v>
      </c>
      <c r="J225" s="6">
        <v>3.4420000000000002</v>
      </c>
      <c r="K225" s="6">
        <v>3.4940000000000002</v>
      </c>
      <c r="L225" s="6">
        <v>3.4969999999999999</v>
      </c>
      <c r="M225" s="6">
        <v>3.4529999999999998</v>
      </c>
      <c r="N225" s="6">
        <v>3.36</v>
      </c>
      <c r="O225" s="7">
        <v>45432</v>
      </c>
      <c r="P225">
        <v>3.427</v>
      </c>
      <c r="Q225">
        <v>3.4039999999999999</v>
      </c>
      <c r="R225">
        <v>3.37</v>
      </c>
      <c r="S225">
        <v>3.4340000000000002</v>
      </c>
      <c r="T225">
        <v>3.427</v>
      </c>
      <c r="U225" s="6">
        <v>3.4420000000000002</v>
      </c>
      <c r="V225" s="6">
        <v>0</v>
      </c>
      <c r="W225">
        <v>0</v>
      </c>
      <c r="X225" s="7">
        <v>45432</v>
      </c>
      <c r="Y225">
        <v>3.4809999999999999</v>
      </c>
      <c r="Z225">
        <v>3.47</v>
      </c>
      <c r="AA225">
        <v>3.464</v>
      </c>
      <c r="AB225">
        <v>3.472</v>
      </c>
      <c r="AC225">
        <v>3.5</v>
      </c>
      <c r="AD225" s="6">
        <v>3.544</v>
      </c>
      <c r="AE225" s="6">
        <v>3.5470000000000002</v>
      </c>
      <c r="AF225">
        <v>3.5630000000000002</v>
      </c>
      <c r="AG225" s="7">
        <v>45432</v>
      </c>
      <c r="AH225">
        <v>3.5779999999999998</v>
      </c>
      <c r="AI225">
        <v>3.5979999999999999</v>
      </c>
      <c r="AJ225">
        <v>3.5859999999999999</v>
      </c>
      <c r="AK225">
        <v>3.5760000000000001</v>
      </c>
      <c r="AL225">
        <v>3.5590000000000002</v>
      </c>
      <c r="AM225" s="6">
        <v>3.5390000000000001</v>
      </c>
      <c r="AN225" s="6">
        <v>3.5449999999999999</v>
      </c>
      <c r="AO225">
        <v>3.5990000000000002</v>
      </c>
      <c r="AP225" s="7">
        <v>45432</v>
      </c>
      <c r="AQ225">
        <v>3.7010000000000001</v>
      </c>
      <c r="AR225">
        <v>3.726</v>
      </c>
      <c r="AS225">
        <v>3.7360000000000002</v>
      </c>
      <c r="AT225">
        <v>3.762</v>
      </c>
      <c r="AU225">
        <v>3.7829999999999999</v>
      </c>
      <c r="AV225" s="6">
        <v>3.847</v>
      </c>
      <c r="AW225" s="6">
        <v>3.9140000000000001</v>
      </c>
      <c r="AX225">
        <v>4.077</v>
      </c>
      <c r="AY225" s="7">
        <v>45432</v>
      </c>
      <c r="AZ225">
        <v>3.5680000000000001</v>
      </c>
      <c r="BA225">
        <v>3.5790000000000002</v>
      </c>
      <c r="BB225">
        <v>3.5760000000000001</v>
      </c>
      <c r="BC225">
        <v>3.5840000000000001</v>
      </c>
      <c r="BD225">
        <v>3.5779999999999998</v>
      </c>
      <c r="BE225" s="6">
        <v>3.5790000000000002</v>
      </c>
      <c r="BF225" s="6">
        <v>3.577</v>
      </c>
      <c r="BG225">
        <v>3.5840000000000001</v>
      </c>
      <c r="BH225" s="7">
        <v>45432</v>
      </c>
      <c r="BI225">
        <v>3.4950000000000001</v>
      </c>
      <c r="BJ225">
        <v>3.512</v>
      </c>
      <c r="BK225">
        <v>3.4969999999999999</v>
      </c>
      <c r="BL225">
        <v>3.5209999999999999</v>
      </c>
      <c r="BM225">
        <v>3.5169999999999999</v>
      </c>
      <c r="BN225" s="6">
        <v>3.5350000000000001</v>
      </c>
      <c r="BO225" s="6">
        <v>3.5379999999999998</v>
      </c>
      <c r="BP225">
        <v>3.5630000000000002</v>
      </c>
      <c r="BQ225" s="7">
        <v>45432</v>
      </c>
      <c r="BR225">
        <v>3.8250000000000002</v>
      </c>
      <c r="BS225">
        <v>3.8690000000000002</v>
      </c>
      <c r="BT225">
        <v>3.911</v>
      </c>
      <c r="BU225">
        <v>3.9550000000000001</v>
      </c>
      <c r="BV225">
        <v>3.9660000000000002</v>
      </c>
      <c r="BW225" s="6">
        <v>3.996</v>
      </c>
      <c r="BX225" s="6">
        <v>3.9940000000000002</v>
      </c>
      <c r="BY225">
        <v>4.01</v>
      </c>
      <c r="BZ225" s="7">
        <v>45432</v>
      </c>
      <c r="CA225">
        <v>3.5550000000000002</v>
      </c>
      <c r="CB225">
        <v>3.5609999999999999</v>
      </c>
      <c r="CC225">
        <v>3.548</v>
      </c>
      <c r="CD225">
        <v>3.5590000000000002</v>
      </c>
      <c r="CE225">
        <v>3.593</v>
      </c>
      <c r="CF225" s="6">
        <v>3.6669999999999998</v>
      </c>
      <c r="CG225" s="6">
        <v>3.6629999999999998</v>
      </c>
      <c r="CH225">
        <v>3.6259999999999999</v>
      </c>
    </row>
    <row r="226" spans="2:86">
      <c r="B226" s="7">
        <v>45429</v>
      </c>
      <c r="C226">
        <v>3.45</v>
      </c>
      <c r="D226">
        <v>3.3809999999999998</v>
      </c>
      <c r="E226">
        <v>3.42</v>
      </c>
      <c r="F226">
        <v>3.4279999999999999</v>
      </c>
      <c r="G226">
        <v>3.415</v>
      </c>
      <c r="H226">
        <v>3.375</v>
      </c>
      <c r="I226" s="6">
        <v>3.407</v>
      </c>
      <c r="J226" s="6">
        <v>3.41</v>
      </c>
      <c r="K226" s="6">
        <v>3.4569999999999999</v>
      </c>
      <c r="L226" s="6">
        <v>3.4550000000000001</v>
      </c>
      <c r="M226" s="6">
        <v>3.3969999999999998</v>
      </c>
      <c r="N226" s="6">
        <v>3.32</v>
      </c>
      <c r="O226" s="7">
        <v>45429</v>
      </c>
      <c r="P226">
        <v>3.42</v>
      </c>
      <c r="Q226">
        <v>3.391</v>
      </c>
      <c r="R226">
        <v>3.3540000000000001</v>
      </c>
      <c r="S226">
        <v>3.415</v>
      </c>
      <c r="T226">
        <v>3.4</v>
      </c>
      <c r="U226" s="6">
        <v>3.41</v>
      </c>
      <c r="V226" s="6">
        <v>0</v>
      </c>
      <c r="W226">
        <v>0</v>
      </c>
      <c r="X226" s="7">
        <v>45429</v>
      </c>
      <c r="Y226">
        <v>3.4790000000000001</v>
      </c>
      <c r="Z226">
        <v>3.4620000000000002</v>
      </c>
      <c r="AA226">
        <v>3.4510000000000001</v>
      </c>
      <c r="AB226">
        <v>3.4569999999999999</v>
      </c>
      <c r="AC226">
        <v>3.476</v>
      </c>
      <c r="AD226" s="6">
        <v>3.512</v>
      </c>
      <c r="AE226" s="6">
        <v>3.5139999999999998</v>
      </c>
      <c r="AF226">
        <v>3.53</v>
      </c>
      <c r="AG226" s="7">
        <v>45429</v>
      </c>
      <c r="AH226">
        <v>3.573</v>
      </c>
      <c r="AI226">
        <v>3.59</v>
      </c>
      <c r="AJ226">
        <v>3.5750000000000002</v>
      </c>
      <c r="AK226">
        <v>3.5659999999999998</v>
      </c>
      <c r="AL226">
        <v>3.5369999999999999</v>
      </c>
      <c r="AM226" s="6">
        <v>3.5089999999999999</v>
      </c>
      <c r="AN226" s="6">
        <v>3.5129999999999999</v>
      </c>
      <c r="AO226">
        <v>3.569</v>
      </c>
      <c r="AP226" s="7">
        <v>45429</v>
      </c>
      <c r="AQ226">
        <v>3.6949999999999998</v>
      </c>
      <c r="AR226">
        <v>3.7120000000000002</v>
      </c>
      <c r="AS226">
        <v>3.7189999999999999</v>
      </c>
      <c r="AT226">
        <v>3.7410000000000001</v>
      </c>
      <c r="AU226">
        <v>3.7549999999999999</v>
      </c>
      <c r="AV226" s="6">
        <v>3.8180000000000001</v>
      </c>
      <c r="AW226" s="6">
        <v>3.883</v>
      </c>
      <c r="AX226">
        <v>4.0469999999999997</v>
      </c>
      <c r="AY226" s="7">
        <v>45429</v>
      </c>
      <c r="AZ226">
        <v>3.5590000000000002</v>
      </c>
      <c r="BA226">
        <v>3.5670000000000002</v>
      </c>
      <c r="BB226">
        <v>3.5590000000000002</v>
      </c>
      <c r="BC226">
        <v>3.5649999999999999</v>
      </c>
      <c r="BD226">
        <v>3.552</v>
      </c>
      <c r="BE226" s="6">
        <v>3.548</v>
      </c>
      <c r="BF226" s="6">
        <v>3.544</v>
      </c>
      <c r="BG226">
        <v>3.552</v>
      </c>
      <c r="BH226" s="7">
        <v>45429</v>
      </c>
      <c r="BI226">
        <v>3.4860000000000002</v>
      </c>
      <c r="BJ226">
        <v>3.5</v>
      </c>
      <c r="BK226">
        <v>3.4790000000000001</v>
      </c>
      <c r="BL226">
        <v>3.5019999999999998</v>
      </c>
      <c r="BM226">
        <v>3.4910000000000001</v>
      </c>
      <c r="BN226" s="6">
        <v>3.504</v>
      </c>
      <c r="BO226" s="6">
        <v>3.508</v>
      </c>
      <c r="BP226">
        <v>3.532</v>
      </c>
      <c r="BQ226" s="7">
        <v>45429</v>
      </c>
      <c r="BR226">
        <v>3.8159999999999998</v>
      </c>
      <c r="BS226">
        <v>3.8570000000000002</v>
      </c>
      <c r="BT226">
        <v>3.8940000000000001</v>
      </c>
      <c r="BU226">
        <v>3.9359999999999999</v>
      </c>
      <c r="BV226">
        <v>3.94</v>
      </c>
      <c r="BW226" s="6">
        <v>3.9649999999999999</v>
      </c>
      <c r="BX226" s="6">
        <v>3.96</v>
      </c>
      <c r="BY226">
        <v>3.9790000000000001</v>
      </c>
      <c r="BZ226" s="7">
        <v>45429</v>
      </c>
      <c r="CA226">
        <v>3.5529999999999999</v>
      </c>
      <c r="CB226">
        <v>3.5529999999999999</v>
      </c>
      <c r="CC226">
        <v>3.536</v>
      </c>
      <c r="CD226">
        <v>3.544</v>
      </c>
      <c r="CE226">
        <v>3.569</v>
      </c>
      <c r="CF226" s="6">
        <v>3.6339999999999999</v>
      </c>
      <c r="CG226" s="6">
        <v>3.63</v>
      </c>
      <c r="CH226">
        <v>3.5939999999999999</v>
      </c>
    </row>
    <row r="227" spans="2:86">
      <c r="B227" s="7">
        <v>45428</v>
      </c>
      <c r="C227">
        <v>3.45</v>
      </c>
      <c r="D227">
        <v>3.39</v>
      </c>
      <c r="E227">
        <v>3.42</v>
      </c>
      <c r="F227">
        <v>3.42</v>
      </c>
      <c r="G227">
        <v>3.415</v>
      </c>
      <c r="H227">
        <v>3.3769999999999998</v>
      </c>
      <c r="I227" s="6">
        <v>3.41</v>
      </c>
      <c r="J227" s="6">
        <v>3.415</v>
      </c>
      <c r="K227" s="6">
        <v>3.4649999999999999</v>
      </c>
      <c r="L227" s="6">
        <v>3.4649999999999999</v>
      </c>
      <c r="M227" s="6">
        <v>3.395</v>
      </c>
      <c r="N227" s="6">
        <v>3.3220000000000001</v>
      </c>
      <c r="O227" s="7">
        <v>45428</v>
      </c>
      <c r="P227">
        <v>3.42</v>
      </c>
      <c r="Q227">
        <v>3.391</v>
      </c>
      <c r="R227">
        <v>3.3519999999999999</v>
      </c>
      <c r="S227">
        <v>3.415</v>
      </c>
      <c r="T227">
        <v>3.4049999999999998</v>
      </c>
      <c r="U227" s="6">
        <v>3.41</v>
      </c>
      <c r="V227" s="6">
        <v>0</v>
      </c>
      <c r="W227">
        <v>0</v>
      </c>
      <c r="X227" s="7">
        <v>45428</v>
      </c>
      <c r="Y227">
        <v>3.4790000000000001</v>
      </c>
      <c r="Z227">
        <v>3.47</v>
      </c>
      <c r="AA227">
        <v>3.4510000000000001</v>
      </c>
      <c r="AB227">
        <v>3.4510000000000001</v>
      </c>
      <c r="AC227">
        <v>3.4769999999999999</v>
      </c>
      <c r="AD227" s="6">
        <v>3.5139999999999998</v>
      </c>
      <c r="AE227" s="6">
        <v>3.5169999999999999</v>
      </c>
      <c r="AF227">
        <v>3.5339999999999998</v>
      </c>
      <c r="AG227" s="7">
        <v>45428</v>
      </c>
      <c r="AH227">
        <v>3.5720000000000001</v>
      </c>
      <c r="AI227">
        <v>3.5960000000000001</v>
      </c>
      <c r="AJ227">
        <v>3.58</v>
      </c>
      <c r="AK227">
        <v>3.5720000000000001</v>
      </c>
      <c r="AL227">
        <v>3.548</v>
      </c>
      <c r="AM227" s="6">
        <v>3.5110000000000001</v>
      </c>
      <c r="AN227" s="6">
        <v>3.5179999999999998</v>
      </c>
      <c r="AO227">
        <v>3.5760000000000001</v>
      </c>
      <c r="AP227" s="7">
        <v>45428</v>
      </c>
      <c r="AQ227">
        <v>3.7</v>
      </c>
      <c r="AR227">
        <v>3.7120000000000002</v>
      </c>
      <c r="AS227">
        <v>3.7189999999999999</v>
      </c>
      <c r="AT227">
        <v>3.7429999999999999</v>
      </c>
      <c r="AU227">
        <v>3.76</v>
      </c>
      <c r="AV227" s="6">
        <v>3.8250000000000002</v>
      </c>
      <c r="AW227" s="6">
        <v>3.8860000000000001</v>
      </c>
      <c r="AX227">
        <v>4.0519999999999996</v>
      </c>
      <c r="AY227" s="7">
        <v>45428</v>
      </c>
      <c r="AZ227">
        <v>3.5590000000000002</v>
      </c>
      <c r="BA227">
        <v>3.5710000000000002</v>
      </c>
      <c r="BB227">
        <v>3.5539999999999998</v>
      </c>
      <c r="BC227">
        <v>3.5670000000000002</v>
      </c>
      <c r="BD227">
        <v>3.5579999999999998</v>
      </c>
      <c r="BE227" s="6">
        <v>3.55</v>
      </c>
      <c r="BF227" s="6">
        <v>3.5470000000000002</v>
      </c>
      <c r="BG227">
        <v>3.5569999999999999</v>
      </c>
      <c r="BH227" s="7">
        <v>45428</v>
      </c>
      <c r="BI227">
        <v>3.4860000000000002</v>
      </c>
      <c r="BJ227">
        <v>3.5019999999999998</v>
      </c>
      <c r="BK227">
        <v>3.4740000000000002</v>
      </c>
      <c r="BL227">
        <v>3.504</v>
      </c>
      <c r="BM227">
        <v>3.4969999999999999</v>
      </c>
      <c r="BN227" s="6">
        <v>3.5059999999999998</v>
      </c>
      <c r="BO227" s="6">
        <v>3.5129999999999999</v>
      </c>
      <c r="BP227">
        <v>3.536</v>
      </c>
      <c r="BQ227" s="7">
        <v>45428</v>
      </c>
      <c r="BR227">
        <v>3.8159999999999998</v>
      </c>
      <c r="BS227">
        <v>3.8610000000000002</v>
      </c>
      <c r="BT227">
        <v>3.8889999999999998</v>
      </c>
      <c r="BU227">
        <v>3.9369999999999998</v>
      </c>
      <c r="BV227">
        <v>3.9460000000000002</v>
      </c>
      <c r="BW227" s="6">
        <v>3.9670000000000001</v>
      </c>
      <c r="BX227" s="6">
        <v>3.964</v>
      </c>
      <c r="BY227">
        <v>3.984</v>
      </c>
      <c r="BZ227" s="7">
        <v>45428</v>
      </c>
      <c r="CA227">
        <v>3.556</v>
      </c>
      <c r="CB227">
        <v>3.5579999999999998</v>
      </c>
      <c r="CC227">
        <v>3.5390000000000001</v>
      </c>
      <c r="CD227">
        <v>3.5379999999999998</v>
      </c>
      <c r="CE227">
        <v>3.5739999999999998</v>
      </c>
      <c r="CF227" s="6">
        <v>3.64</v>
      </c>
      <c r="CG227" s="6">
        <v>3.6360000000000001</v>
      </c>
      <c r="CH227">
        <v>3.597</v>
      </c>
    </row>
    <row r="228" spans="2:86">
      <c r="B228" s="7">
        <v>45426</v>
      </c>
      <c r="C228">
        <v>3.4550000000000001</v>
      </c>
      <c r="D228">
        <v>3.4129999999999998</v>
      </c>
      <c r="E228">
        <v>3.456</v>
      </c>
      <c r="F228">
        <v>3.4649999999999999</v>
      </c>
      <c r="G228">
        <v>3.4729999999999999</v>
      </c>
      <c r="H228">
        <v>3.452</v>
      </c>
      <c r="I228" s="6">
        <v>3.4870000000000001</v>
      </c>
      <c r="J228" s="6">
        <v>3.4950000000000001</v>
      </c>
      <c r="K228" s="6">
        <v>3.5449999999999999</v>
      </c>
      <c r="L228" s="6">
        <v>3.5449999999999999</v>
      </c>
      <c r="M228" s="6">
        <v>3.4729999999999999</v>
      </c>
      <c r="N228" s="6">
        <v>3.3919999999999999</v>
      </c>
      <c r="O228" s="7">
        <v>45426</v>
      </c>
      <c r="P228">
        <v>3.4319999999999999</v>
      </c>
      <c r="Q228">
        <v>3.41</v>
      </c>
      <c r="R228">
        <v>3.3759999999999999</v>
      </c>
      <c r="S228">
        <v>3.46</v>
      </c>
      <c r="T228">
        <v>3.4649999999999999</v>
      </c>
      <c r="U228" s="6">
        <v>3.484</v>
      </c>
      <c r="V228" s="6">
        <v>0</v>
      </c>
      <c r="W228">
        <v>0</v>
      </c>
      <c r="X228" s="7">
        <v>45426</v>
      </c>
      <c r="Y228">
        <v>3.4860000000000002</v>
      </c>
      <c r="Z228">
        <v>3.49</v>
      </c>
      <c r="AA228">
        <v>3.4809999999999999</v>
      </c>
      <c r="AB228">
        <v>3.496</v>
      </c>
      <c r="AC228">
        <v>3.536</v>
      </c>
      <c r="AD228" s="6">
        <v>3.589</v>
      </c>
      <c r="AE228" s="6">
        <v>3.593</v>
      </c>
      <c r="AF228">
        <v>3.6139999999999999</v>
      </c>
      <c r="AG228" s="7">
        <v>45426</v>
      </c>
      <c r="AH228">
        <v>3.5840000000000001</v>
      </c>
      <c r="AI228">
        <v>3.6160000000000001</v>
      </c>
      <c r="AJ228">
        <v>3.605</v>
      </c>
      <c r="AK228">
        <v>3.6190000000000002</v>
      </c>
      <c r="AL228">
        <v>3.6059999999999999</v>
      </c>
      <c r="AM228" s="6">
        <v>3.5819999999999999</v>
      </c>
      <c r="AN228" s="6">
        <v>3.589</v>
      </c>
      <c r="AO228">
        <v>3.6560000000000001</v>
      </c>
      <c r="AP228" s="7">
        <v>45426</v>
      </c>
      <c r="AQ228">
        <v>3.706</v>
      </c>
      <c r="AR228">
        <v>3.7250000000000001</v>
      </c>
      <c r="AS228">
        <v>3.7320000000000002</v>
      </c>
      <c r="AT228">
        <v>3.7810000000000001</v>
      </c>
      <c r="AU228">
        <v>3.81</v>
      </c>
      <c r="AV228" s="6">
        <v>3.8929999999999998</v>
      </c>
      <c r="AW228" s="6">
        <v>3.9580000000000002</v>
      </c>
      <c r="AX228">
        <v>4.1319999999999997</v>
      </c>
      <c r="AY228" s="7">
        <v>45426</v>
      </c>
      <c r="AZ228">
        <v>3.5710000000000002</v>
      </c>
      <c r="BA228">
        <v>3.5920000000000001</v>
      </c>
      <c r="BB228">
        <v>3.5779999999999998</v>
      </c>
      <c r="BC228">
        <v>3.6120000000000001</v>
      </c>
      <c r="BD228">
        <v>3.6139999999999999</v>
      </c>
      <c r="BE228" s="6">
        <v>3.62</v>
      </c>
      <c r="BF228" s="6">
        <v>3.62</v>
      </c>
      <c r="BG228">
        <v>3.6339999999999999</v>
      </c>
      <c r="BH228" s="7">
        <v>45426</v>
      </c>
      <c r="BI228">
        <v>3.4969999999999999</v>
      </c>
      <c r="BJ228">
        <v>3.5219999999999998</v>
      </c>
      <c r="BK228">
        <v>3.4980000000000002</v>
      </c>
      <c r="BL228">
        <v>3.5489999999999999</v>
      </c>
      <c r="BM228">
        <v>3.5529999999999999</v>
      </c>
      <c r="BN228" s="6">
        <v>3.5760000000000001</v>
      </c>
      <c r="BO228" s="6">
        <v>3.5859999999999999</v>
      </c>
      <c r="BP228">
        <v>3.6139999999999999</v>
      </c>
      <c r="BQ228" s="7">
        <v>45426</v>
      </c>
      <c r="BR228">
        <v>3.827</v>
      </c>
      <c r="BS228">
        <v>3.8820000000000001</v>
      </c>
      <c r="BT228">
        <v>3.9129999999999998</v>
      </c>
      <c r="BU228">
        <v>3.9820000000000002</v>
      </c>
      <c r="BV228">
        <v>4.0019999999999998</v>
      </c>
      <c r="BW228" s="6">
        <v>4.0369999999999999</v>
      </c>
      <c r="BX228" s="6">
        <v>4.0359999999999996</v>
      </c>
      <c r="BY228">
        <v>4.0599999999999996</v>
      </c>
      <c r="BZ228" s="7">
        <v>45426</v>
      </c>
      <c r="CA228">
        <v>3.5640000000000001</v>
      </c>
      <c r="CB228">
        <v>3.5779999999999998</v>
      </c>
      <c r="CC228">
        <v>3.569</v>
      </c>
      <c r="CD228">
        <v>3.5830000000000002</v>
      </c>
      <c r="CE228">
        <v>3.633</v>
      </c>
      <c r="CF228" s="6">
        <v>3.7149999999999999</v>
      </c>
      <c r="CG228" s="6">
        <v>3.7130000000000001</v>
      </c>
      <c r="CH228">
        <v>3.6779999999999999</v>
      </c>
    </row>
    <row r="229" spans="2:86">
      <c r="B229" s="7">
        <v>45425</v>
      </c>
      <c r="C229">
        <v>3.4580000000000002</v>
      </c>
      <c r="D229">
        <v>3.4129999999999998</v>
      </c>
      <c r="E229">
        <v>3.46</v>
      </c>
      <c r="F229">
        <v>3.4660000000000002</v>
      </c>
      <c r="G229">
        <v>3.472</v>
      </c>
      <c r="H229">
        <v>3.452</v>
      </c>
      <c r="I229" s="6">
        <v>3.4849999999999999</v>
      </c>
      <c r="J229" s="6">
        <v>3.4950000000000001</v>
      </c>
      <c r="K229" s="6">
        <v>3.55</v>
      </c>
      <c r="L229" s="6">
        <v>3.5550000000000002</v>
      </c>
      <c r="M229" s="6">
        <v>3.49</v>
      </c>
      <c r="N229" s="6">
        <v>3.407</v>
      </c>
      <c r="O229" s="7">
        <v>45425</v>
      </c>
      <c r="P229">
        <v>3.4319999999999999</v>
      </c>
      <c r="Q229">
        <v>3.4129999999999998</v>
      </c>
      <c r="R229">
        <v>3.3820000000000001</v>
      </c>
      <c r="S229">
        <v>3.4649999999999999</v>
      </c>
      <c r="T229">
        <v>3.464</v>
      </c>
      <c r="U229" s="6">
        <v>3.48</v>
      </c>
      <c r="V229" s="6">
        <v>0</v>
      </c>
      <c r="W229">
        <v>0</v>
      </c>
      <c r="X229" s="7">
        <v>45425</v>
      </c>
      <c r="Y229">
        <v>3.4889999999999999</v>
      </c>
      <c r="Z229">
        <v>3.49</v>
      </c>
      <c r="AA229">
        <v>3.484</v>
      </c>
      <c r="AB229">
        <v>3.4969999999999999</v>
      </c>
      <c r="AC229">
        <v>3.536</v>
      </c>
      <c r="AD229" s="6">
        <v>3.589</v>
      </c>
      <c r="AE229" s="6">
        <v>3.5920000000000001</v>
      </c>
      <c r="AF229">
        <v>3.6139999999999999</v>
      </c>
      <c r="AG229" s="7">
        <v>45425</v>
      </c>
      <c r="AH229">
        <v>3.5830000000000002</v>
      </c>
      <c r="AI229">
        <v>3.6160000000000001</v>
      </c>
      <c r="AJ229">
        <v>3.605</v>
      </c>
      <c r="AK229">
        <v>3.6219999999999999</v>
      </c>
      <c r="AL229">
        <v>3.6040000000000001</v>
      </c>
      <c r="AM229" s="6">
        <v>3.5819999999999999</v>
      </c>
      <c r="AN229" s="6">
        <v>3.5870000000000002</v>
      </c>
      <c r="AO229">
        <v>3.6579999999999999</v>
      </c>
      <c r="AP229" s="7">
        <v>45425</v>
      </c>
      <c r="AQ229">
        <v>3.7029999999999998</v>
      </c>
      <c r="AR229">
        <v>3.7269999999999999</v>
      </c>
      <c r="AS229">
        <v>3.7349999999999999</v>
      </c>
      <c r="AT229">
        <v>3.7850000000000001</v>
      </c>
      <c r="AU229">
        <v>3.8090000000000002</v>
      </c>
      <c r="AV229" s="6">
        <v>3.8929999999999998</v>
      </c>
      <c r="AW229" s="6">
        <v>3.956</v>
      </c>
      <c r="AX229">
        <v>4.1319999999999997</v>
      </c>
      <c r="AY229" s="7">
        <v>45425</v>
      </c>
      <c r="AZ229">
        <v>3.5710000000000002</v>
      </c>
      <c r="BA229">
        <v>3.5939999999999999</v>
      </c>
      <c r="BB229">
        <v>3.5819999999999999</v>
      </c>
      <c r="BC229">
        <v>3.6160000000000001</v>
      </c>
      <c r="BD229">
        <v>3.6139999999999999</v>
      </c>
      <c r="BE229" s="6">
        <v>3.62</v>
      </c>
      <c r="BF229" s="6">
        <v>3.617</v>
      </c>
      <c r="BG229">
        <v>3.6360000000000001</v>
      </c>
      <c r="BH229" s="7">
        <v>45425</v>
      </c>
      <c r="BI229">
        <v>3.4969999999999999</v>
      </c>
      <c r="BJ229">
        <v>3.5249999999999999</v>
      </c>
      <c r="BK229">
        <v>3.5030000000000001</v>
      </c>
      <c r="BL229">
        <v>3.5529999999999999</v>
      </c>
      <c r="BM229">
        <v>3.5529999999999999</v>
      </c>
      <c r="BN229" s="6">
        <v>3.5760000000000001</v>
      </c>
      <c r="BO229" s="6">
        <v>3.5830000000000002</v>
      </c>
      <c r="BP229">
        <v>3.6139999999999999</v>
      </c>
      <c r="BQ229" s="7">
        <v>45425</v>
      </c>
      <c r="BR229">
        <v>3.827</v>
      </c>
      <c r="BS229">
        <v>3.8849999999999998</v>
      </c>
      <c r="BT229">
        <v>3.9169999999999998</v>
      </c>
      <c r="BU229">
        <v>3.9860000000000002</v>
      </c>
      <c r="BV229">
        <v>4.0019999999999998</v>
      </c>
      <c r="BW229" s="6">
        <v>4.0369999999999999</v>
      </c>
      <c r="BX229" s="6">
        <v>4.0330000000000004</v>
      </c>
      <c r="BY229">
        <v>4.0620000000000003</v>
      </c>
      <c r="BZ229" s="7">
        <v>45425</v>
      </c>
      <c r="CA229">
        <v>3.5670000000000002</v>
      </c>
      <c r="CB229">
        <v>3.5779999999999998</v>
      </c>
      <c r="CC229">
        <v>3.5720000000000001</v>
      </c>
      <c r="CD229">
        <v>3.5840000000000001</v>
      </c>
      <c r="CE229">
        <v>3.6320000000000001</v>
      </c>
      <c r="CF229" s="6">
        <v>3.7149999999999999</v>
      </c>
      <c r="CG229" s="6">
        <v>3.7109999999999999</v>
      </c>
      <c r="CH229">
        <v>3.6779999999999999</v>
      </c>
    </row>
    <row r="230" spans="2:86">
      <c r="B230" s="7">
        <v>45422</v>
      </c>
      <c r="C230">
        <v>3.4550000000000001</v>
      </c>
      <c r="D230">
        <v>3.4180000000000001</v>
      </c>
      <c r="E230">
        <v>3.4550000000000001</v>
      </c>
      <c r="F230">
        <v>3.4550000000000001</v>
      </c>
      <c r="G230">
        <v>3.46</v>
      </c>
      <c r="H230">
        <v>3.4340000000000002</v>
      </c>
      <c r="I230" s="6">
        <v>3.4660000000000002</v>
      </c>
      <c r="J230" s="6">
        <v>3.4750000000000001</v>
      </c>
      <c r="K230" s="6">
        <v>3.53</v>
      </c>
      <c r="L230" s="6">
        <v>3.5350000000000001</v>
      </c>
      <c r="M230" s="6">
        <v>3.47</v>
      </c>
      <c r="N230" s="6">
        <v>3.3919999999999999</v>
      </c>
      <c r="O230" s="7">
        <v>45422</v>
      </c>
      <c r="P230">
        <v>3.43</v>
      </c>
      <c r="Q230">
        <v>3.4129999999999998</v>
      </c>
      <c r="R230">
        <v>3.3820000000000001</v>
      </c>
      <c r="S230">
        <v>3.45</v>
      </c>
      <c r="T230">
        <v>3.4510000000000001</v>
      </c>
      <c r="U230" s="6">
        <v>3.46</v>
      </c>
      <c r="V230" s="6">
        <v>0</v>
      </c>
      <c r="W230">
        <v>0</v>
      </c>
      <c r="X230" s="7">
        <v>45422</v>
      </c>
      <c r="Y230">
        <v>3.4860000000000002</v>
      </c>
      <c r="Z230">
        <v>3.4950000000000001</v>
      </c>
      <c r="AA230">
        <v>3.4830000000000001</v>
      </c>
      <c r="AB230">
        <v>3.4860000000000002</v>
      </c>
      <c r="AC230">
        <v>3.5230000000000001</v>
      </c>
      <c r="AD230" s="6">
        <v>3.5680000000000001</v>
      </c>
      <c r="AE230" s="6">
        <v>3.573</v>
      </c>
      <c r="AF230">
        <v>3.5939999999999999</v>
      </c>
      <c r="AG230" s="7">
        <v>45422</v>
      </c>
      <c r="AH230">
        <v>3.581</v>
      </c>
      <c r="AI230">
        <v>3.6139999999999999</v>
      </c>
      <c r="AJ230">
        <v>3.6030000000000002</v>
      </c>
      <c r="AK230">
        <v>3.6070000000000002</v>
      </c>
      <c r="AL230">
        <v>3.5920000000000001</v>
      </c>
      <c r="AM230" s="6">
        <v>3.5640000000000001</v>
      </c>
      <c r="AN230" s="6">
        <v>3.57</v>
      </c>
      <c r="AO230">
        <v>3.6389999999999998</v>
      </c>
      <c r="AP230" s="7">
        <v>45422</v>
      </c>
      <c r="AQ230">
        <v>3.7</v>
      </c>
      <c r="AR230">
        <v>3.7280000000000002</v>
      </c>
      <c r="AS230">
        <v>3.7349999999999999</v>
      </c>
      <c r="AT230">
        <v>3.7730000000000001</v>
      </c>
      <c r="AU230">
        <v>3.7949999999999999</v>
      </c>
      <c r="AV230" s="6">
        <v>3.8769999999999998</v>
      </c>
      <c r="AW230" s="6">
        <v>3.944</v>
      </c>
      <c r="AX230">
        <v>4.1189999999999998</v>
      </c>
      <c r="AY230" s="7">
        <v>45422</v>
      </c>
      <c r="AZ230">
        <v>3.5710000000000002</v>
      </c>
      <c r="BA230">
        <v>3.5960000000000001</v>
      </c>
      <c r="BB230">
        <v>3.5790000000000002</v>
      </c>
      <c r="BC230">
        <v>3.5979999999999999</v>
      </c>
      <c r="BD230">
        <v>3.6</v>
      </c>
      <c r="BE230" s="6">
        <v>3.6</v>
      </c>
      <c r="BF230" s="6">
        <v>3.5950000000000002</v>
      </c>
      <c r="BG230">
        <v>3.6139999999999999</v>
      </c>
      <c r="BH230" s="7">
        <v>45422</v>
      </c>
      <c r="BI230">
        <v>3.4969999999999999</v>
      </c>
      <c r="BJ230">
        <v>3.5270000000000001</v>
      </c>
      <c r="BK230">
        <v>3.4990000000000001</v>
      </c>
      <c r="BL230">
        <v>3.5379999999999998</v>
      </c>
      <c r="BM230">
        <v>3.5390000000000001</v>
      </c>
      <c r="BN230" s="6">
        <v>3.5569999999999999</v>
      </c>
      <c r="BO230" s="6">
        <v>3.5649999999999999</v>
      </c>
      <c r="BP230">
        <v>3.593</v>
      </c>
      <c r="BQ230" s="7">
        <v>45422</v>
      </c>
      <c r="BR230">
        <v>3.827</v>
      </c>
      <c r="BS230">
        <v>3.8860000000000001</v>
      </c>
      <c r="BT230">
        <v>3.9140000000000001</v>
      </c>
      <c r="BU230">
        <v>3.97</v>
      </c>
      <c r="BV230">
        <v>3.988</v>
      </c>
      <c r="BW230" s="6">
        <v>4.0170000000000003</v>
      </c>
      <c r="BX230" s="6">
        <v>4.0110000000000001</v>
      </c>
      <c r="BY230">
        <v>4.04</v>
      </c>
      <c r="BZ230" s="7">
        <v>45422</v>
      </c>
      <c r="CA230">
        <v>3.5640000000000001</v>
      </c>
      <c r="CB230">
        <v>3.5830000000000002</v>
      </c>
      <c r="CC230">
        <v>3.5710000000000002</v>
      </c>
      <c r="CD230">
        <v>3.573</v>
      </c>
      <c r="CE230">
        <v>3.6219999999999999</v>
      </c>
      <c r="CF230" s="6">
        <v>3.6970000000000001</v>
      </c>
      <c r="CG230" s="6">
        <v>3.6930000000000001</v>
      </c>
      <c r="CH230">
        <v>3.657</v>
      </c>
    </row>
    <row r="231" spans="2:86">
      <c r="B231" s="7">
        <v>45421</v>
      </c>
      <c r="C231">
        <v>3.4550000000000001</v>
      </c>
      <c r="D231">
        <v>3.4159999999999999</v>
      </c>
      <c r="E231">
        <v>3.4550000000000001</v>
      </c>
      <c r="F231">
        <v>3.4529999999999998</v>
      </c>
      <c r="G231">
        <v>3.4729999999999999</v>
      </c>
      <c r="H231">
        <v>3.45</v>
      </c>
      <c r="I231" s="6">
        <v>3.4860000000000002</v>
      </c>
      <c r="J231" s="6">
        <v>3.4950000000000001</v>
      </c>
      <c r="K231" s="6">
        <v>3.552</v>
      </c>
      <c r="L231" s="6">
        <v>3.5569999999999999</v>
      </c>
      <c r="M231" s="6">
        <v>3.5019999999999998</v>
      </c>
      <c r="N231" s="6">
        <v>3.4220000000000002</v>
      </c>
      <c r="O231" s="7">
        <v>45421</v>
      </c>
      <c r="P231">
        <v>3.4340000000000002</v>
      </c>
      <c r="Q231">
        <v>3.4209999999999998</v>
      </c>
      <c r="R231">
        <v>3.395</v>
      </c>
      <c r="S231">
        <v>3.4649999999999999</v>
      </c>
      <c r="T231">
        <v>3.4670000000000001</v>
      </c>
      <c r="U231" s="6">
        <v>3.4740000000000002</v>
      </c>
      <c r="V231" s="6">
        <v>0</v>
      </c>
      <c r="W231">
        <v>0</v>
      </c>
      <c r="X231" s="7">
        <v>45421</v>
      </c>
      <c r="Y231">
        <v>3.4860000000000002</v>
      </c>
      <c r="Z231">
        <v>3.49</v>
      </c>
      <c r="AA231">
        <v>3.4830000000000001</v>
      </c>
      <c r="AB231">
        <v>3.4870000000000001</v>
      </c>
      <c r="AC231">
        <v>3.5369999999999999</v>
      </c>
      <c r="AD231" s="6">
        <v>3.5859999999999999</v>
      </c>
      <c r="AE231" s="6">
        <v>3.593</v>
      </c>
      <c r="AF231">
        <v>3.6150000000000002</v>
      </c>
      <c r="AG231" s="7">
        <v>45421</v>
      </c>
      <c r="AH231">
        <v>3.5779999999999998</v>
      </c>
      <c r="AI231">
        <v>3.6150000000000002</v>
      </c>
      <c r="AJ231">
        <v>3.6059999999999999</v>
      </c>
      <c r="AK231">
        <v>3.6150000000000002</v>
      </c>
      <c r="AL231">
        <v>3.6059999999999999</v>
      </c>
      <c r="AM231" s="6">
        <v>3.58</v>
      </c>
      <c r="AN231" s="6">
        <v>3.59</v>
      </c>
      <c r="AO231">
        <v>3.6589999999999998</v>
      </c>
      <c r="AP231" s="7">
        <v>45421</v>
      </c>
      <c r="AQ231">
        <v>3.7050000000000001</v>
      </c>
      <c r="AR231">
        <v>3.7360000000000002</v>
      </c>
      <c r="AS231">
        <v>3.7450000000000001</v>
      </c>
      <c r="AT231">
        <v>3.7890000000000001</v>
      </c>
      <c r="AU231">
        <v>3.8130000000000002</v>
      </c>
      <c r="AV231" s="6">
        <v>3.9</v>
      </c>
      <c r="AW231" s="6">
        <v>3.9649999999999999</v>
      </c>
      <c r="AX231">
        <v>4.1399999999999997</v>
      </c>
      <c r="AY231" s="7">
        <v>45421</v>
      </c>
      <c r="AZ231">
        <v>3.569</v>
      </c>
      <c r="BA231">
        <v>3.6059999999999999</v>
      </c>
      <c r="BB231">
        <v>3.5870000000000002</v>
      </c>
      <c r="BC231">
        <v>3.61</v>
      </c>
      <c r="BD231">
        <v>3.6150000000000002</v>
      </c>
      <c r="BE231" s="6">
        <v>3.617</v>
      </c>
      <c r="BF231" s="6">
        <v>3.6150000000000002</v>
      </c>
      <c r="BG231">
        <v>3.6339999999999999</v>
      </c>
      <c r="BH231" s="7">
        <v>45421</v>
      </c>
      <c r="BI231">
        <v>3.5009999999999999</v>
      </c>
      <c r="BJ231">
        <v>3.5379999999999998</v>
      </c>
      <c r="BK231">
        <v>3.5110000000000001</v>
      </c>
      <c r="BL231">
        <v>3.552</v>
      </c>
      <c r="BM231">
        <v>3.5539999999999998</v>
      </c>
      <c r="BN231" s="6">
        <v>3.573</v>
      </c>
      <c r="BO231" s="6">
        <v>3.585</v>
      </c>
      <c r="BP231">
        <v>3.613</v>
      </c>
      <c r="BQ231" s="7">
        <v>45421</v>
      </c>
      <c r="BR231">
        <v>3.8260000000000001</v>
      </c>
      <c r="BS231">
        <v>3.8980000000000001</v>
      </c>
      <c r="BT231">
        <v>3.9260000000000002</v>
      </c>
      <c r="BU231">
        <v>3.984</v>
      </c>
      <c r="BV231">
        <v>4.0030000000000001</v>
      </c>
      <c r="BW231" s="6">
        <v>4.0339999999999998</v>
      </c>
      <c r="BX231" s="6">
        <v>4.0309999999999997</v>
      </c>
      <c r="BY231">
        <v>4.0599999999999996</v>
      </c>
      <c r="BZ231" s="7">
        <v>45421</v>
      </c>
      <c r="CA231">
        <v>3.5640000000000001</v>
      </c>
      <c r="CB231">
        <v>3.5779999999999998</v>
      </c>
      <c r="CC231">
        <v>3.5710000000000002</v>
      </c>
      <c r="CD231">
        <v>3.5710000000000002</v>
      </c>
      <c r="CE231">
        <v>3.6360000000000001</v>
      </c>
      <c r="CF231" s="6">
        <v>3.714</v>
      </c>
      <c r="CG231" s="6">
        <v>3.7130000000000001</v>
      </c>
      <c r="CH231">
        <v>3.6779999999999999</v>
      </c>
    </row>
    <row r="232" spans="2:86">
      <c r="B232" s="7">
        <v>45420</v>
      </c>
      <c r="C232">
        <v>3.4580000000000002</v>
      </c>
      <c r="D232">
        <v>3.4180000000000001</v>
      </c>
      <c r="E232">
        <v>3.4489999999999998</v>
      </c>
      <c r="F232">
        <v>3.4449999999999998</v>
      </c>
      <c r="G232">
        <v>3.4649999999999999</v>
      </c>
      <c r="H232">
        <v>3.4369999999999998</v>
      </c>
      <c r="I232" s="6">
        <v>3.47</v>
      </c>
      <c r="J232" s="6">
        <v>3.4750000000000001</v>
      </c>
      <c r="K232" s="6">
        <v>3.53</v>
      </c>
      <c r="L232" s="6">
        <v>3.532</v>
      </c>
      <c r="M232" s="6">
        <v>3.4670000000000001</v>
      </c>
      <c r="N232" s="6">
        <v>3.3849999999999998</v>
      </c>
      <c r="O232" s="7">
        <v>45420</v>
      </c>
      <c r="P232">
        <v>3.4289999999999998</v>
      </c>
      <c r="Q232">
        <v>3.411</v>
      </c>
      <c r="R232">
        <v>3.3929999999999998</v>
      </c>
      <c r="S232">
        <v>3.456</v>
      </c>
      <c r="T232">
        <v>3.4550000000000001</v>
      </c>
      <c r="U232" s="6">
        <v>3.4609999999999999</v>
      </c>
      <c r="V232" s="6">
        <v>0</v>
      </c>
      <c r="W232">
        <v>0</v>
      </c>
      <c r="X232" s="7">
        <v>45420</v>
      </c>
      <c r="Y232">
        <v>3.4870000000000001</v>
      </c>
      <c r="Z232">
        <v>3.492</v>
      </c>
      <c r="AA232">
        <v>3.4769999999999999</v>
      </c>
      <c r="AB232">
        <v>3.48</v>
      </c>
      <c r="AC232">
        <v>3.5289999999999999</v>
      </c>
      <c r="AD232" s="6">
        <v>3.5720000000000001</v>
      </c>
      <c r="AE232" s="6">
        <v>3.577</v>
      </c>
      <c r="AF232">
        <v>3.593</v>
      </c>
      <c r="AG232" s="7">
        <v>45420</v>
      </c>
      <c r="AH232">
        <v>3.5720000000000001</v>
      </c>
      <c r="AI232">
        <v>3.6070000000000002</v>
      </c>
      <c r="AJ232">
        <v>3.6</v>
      </c>
      <c r="AK232">
        <v>3.6080000000000001</v>
      </c>
      <c r="AL232">
        <v>3.5939999999999999</v>
      </c>
      <c r="AM232" s="6">
        <v>3.5670000000000002</v>
      </c>
      <c r="AN232" s="6">
        <v>3.5739999999999998</v>
      </c>
      <c r="AO232">
        <v>3.6389999999999998</v>
      </c>
      <c r="AP232" s="7">
        <v>45420</v>
      </c>
      <c r="AQ232">
        <v>3.7010000000000001</v>
      </c>
      <c r="AR232">
        <v>3.7290000000000001</v>
      </c>
      <c r="AS232">
        <v>3.74</v>
      </c>
      <c r="AT232">
        <v>3.782</v>
      </c>
      <c r="AU232">
        <v>3.802</v>
      </c>
      <c r="AV232" s="6">
        <v>3.89</v>
      </c>
      <c r="AW232" s="6">
        <v>3.9489999999999998</v>
      </c>
      <c r="AX232">
        <v>4.12</v>
      </c>
      <c r="AY232" s="7">
        <v>45420</v>
      </c>
      <c r="AZ232">
        <v>3.5659999999999998</v>
      </c>
      <c r="BA232">
        <v>3.6030000000000002</v>
      </c>
      <c r="BB232">
        <v>3.5859999999999999</v>
      </c>
      <c r="BC232">
        <v>3.6</v>
      </c>
      <c r="BD232">
        <v>3.6070000000000002</v>
      </c>
      <c r="BE232" s="6">
        <v>3.6030000000000002</v>
      </c>
      <c r="BF232" s="6">
        <v>3.5979999999999999</v>
      </c>
      <c r="BG232">
        <v>3.6139999999999999</v>
      </c>
      <c r="BH232" s="7">
        <v>45420</v>
      </c>
      <c r="BI232">
        <v>3.4969999999999999</v>
      </c>
      <c r="BJ232">
        <v>3.5350000000000001</v>
      </c>
      <c r="BK232">
        <v>3.51</v>
      </c>
      <c r="BL232">
        <v>3.54</v>
      </c>
      <c r="BM232">
        <v>3.5449999999999999</v>
      </c>
      <c r="BN232" s="6">
        <v>3.56</v>
      </c>
      <c r="BO232" s="6">
        <v>3.569</v>
      </c>
      <c r="BP232">
        <v>3.593</v>
      </c>
      <c r="BQ232" s="7">
        <v>45420</v>
      </c>
      <c r="BR232">
        <v>3.8220000000000001</v>
      </c>
      <c r="BS232">
        <v>3.895</v>
      </c>
      <c r="BT232">
        <v>3.9239999999999999</v>
      </c>
      <c r="BU232">
        <v>3.972</v>
      </c>
      <c r="BV232">
        <v>3.9940000000000002</v>
      </c>
      <c r="BW232" s="6">
        <v>4.0199999999999996</v>
      </c>
      <c r="BX232" s="6">
        <v>4.0149999999999997</v>
      </c>
      <c r="BY232">
        <v>4.04</v>
      </c>
      <c r="BZ232" s="7">
        <v>45420</v>
      </c>
      <c r="CA232">
        <v>3.5659999999999998</v>
      </c>
      <c r="CB232">
        <v>3.5790000000000002</v>
      </c>
      <c r="CC232">
        <v>3.5649999999999999</v>
      </c>
      <c r="CD232">
        <v>3.5640000000000001</v>
      </c>
      <c r="CE232">
        <v>3.6280000000000001</v>
      </c>
      <c r="CF232" s="6">
        <v>3.7010000000000001</v>
      </c>
      <c r="CG232" s="6">
        <v>3.6960000000000002</v>
      </c>
      <c r="CH232">
        <v>3.6560000000000001</v>
      </c>
    </row>
    <row r="233" spans="2:86">
      <c r="B233" s="7">
        <v>45419</v>
      </c>
      <c r="C233">
        <v>3.468</v>
      </c>
      <c r="D233">
        <v>3.4180000000000001</v>
      </c>
      <c r="E233">
        <v>3.45</v>
      </c>
      <c r="F233">
        <v>3.44</v>
      </c>
      <c r="G233">
        <v>3.4710000000000001</v>
      </c>
      <c r="H233">
        <v>3.4430000000000001</v>
      </c>
      <c r="I233" s="6">
        <v>3.476</v>
      </c>
      <c r="J233" s="6">
        <v>3.48</v>
      </c>
      <c r="K233" s="6">
        <v>3.5350000000000001</v>
      </c>
      <c r="L233" s="6">
        <v>3.5369999999999999</v>
      </c>
      <c r="M233" s="6">
        <v>3.4649999999999999</v>
      </c>
      <c r="N233" s="6">
        <v>3.3769999999999998</v>
      </c>
      <c r="O233" s="7">
        <v>45419</v>
      </c>
      <c r="P233">
        <v>3.4289999999999998</v>
      </c>
      <c r="Q233">
        <v>3.415</v>
      </c>
      <c r="R233">
        <v>3.3929999999999998</v>
      </c>
      <c r="S233">
        <v>3.4620000000000002</v>
      </c>
      <c r="T233">
        <v>3.4620000000000002</v>
      </c>
      <c r="U233" s="6">
        <v>3.4670000000000001</v>
      </c>
      <c r="V233" s="6">
        <v>0</v>
      </c>
      <c r="W233">
        <v>0</v>
      </c>
      <c r="X233" s="7">
        <v>45419</v>
      </c>
      <c r="Y233">
        <v>3.4969999999999999</v>
      </c>
      <c r="Z233">
        <v>3.492</v>
      </c>
      <c r="AA233">
        <v>3.4769999999999999</v>
      </c>
      <c r="AB233">
        <v>3.476</v>
      </c>
      <c r="AC233">
        <v>3.536</v>
      </c>
      <c r="AD233" s="6">
        <v>3.58</v>
      </c>
      <c r="AE233" s="6">
        <v>3.5830000000000002</v>
      </c>
      <c r="AF233">
        <v>3.5960000000000001</v>
      </c>
      <c r="AG233" s="7">
        <v>45419</v>
      </c>
      <c r="AH233">
        <v>3.57</v>
      </c>
      <c r="AI233">
        <v>3.6080000000000001</v>
      </c>
      <c r="AJ233">
        <v>3.6019999999999999</v>
      </c>
      <c r="AK233">
        <v>3.613</v>
      </c>
      <c r="AL233">
        <v>3.601</v>
      </c>
      <c r="AM233" s="6">
        <v>3.573</v>
      </c>
      <c r="AN233" s="6">
        <v>3.581</v>
      </c>
      <c r="AO233">
        <v>3.6459999999999999</v>
      </c>
      <c r="AP233" s="7">
        <v>45419</v>
      </c>
      <c r="AQ233">
        <v>3.6949999999999998</v>
      </c>
      <c r="AR233">
        <v>3.7360000000000002</v>
      </c>
      <c r="AS233">
        <v>3.7410000000000001</v>
      </c>
      <c r="AT233">
        <v>3.7879999999999998</v>
      </c>
      <c r="AU233">
        <v>3.8090000000000002</v>
      </c>
      <c r="AV233" s="6">
        <v>3.8980000000000001</v>
      </c>
      <c r="AW233" s="6">
        <v>3.9590000000000001</v>
      </c>
      <c r="AX233">
        <v>4.1269999999999998</v>
      </c>
      <c r="AY233" s="7">
        <v>45419</v>
      </c>
      <c r="AZ233">
        <v>3.5640000000000001</v>
      </c>
      <c r="BA233">
        <v>3.6059999999999999</v>
      </c>
      <c r="BB233">
        <v>3.589</v>
      </c>
      <c r="BC233">
        <v>3.6070000000000002</v>
      </c>
      <c r="BD233">
        <v>3.6139999999999999</v>
      </c>
      <c r="BE233" s="6">
        <v>3.609</v>
      </c>
      <c r="BF233" s="6">
        <v>3.6030000000000002</v>
      </c>
      <c r="BG233">
        <v>3.6190000000000002</v>
      </c>
      <c r="BH233" s="7">
        <v>45419</v>
      </c>
      <c r="BI233">
        <v>3.496</v>
      </c>
      <c r="BJ233">
        <v>3.5379999999999998</v>
      </c>
      <c r="BK233">
        <v>3.5129999999999999</v>
      </c>
      <c r="BL233">
        <v>3.5470000000000002</v>
      </c>
      <c r="BM233">
        <v>3.552</v>
      </c>
      <c r="BN233" s="6">
        <v>3.5649999999999999</v>
      </c>
      <c r="BO233" s="6">
        <v>3.573</v>
      </c>
      <c r="BP233">
        <v>3.597</v>
      </c>
      <c r="BQ233" s="7">
        <v>45419</v>
      </c>
      <c r="BR233">
        <v>3.8220000000000001</v>
      </c>
      <c r="BS233">
        <v>3.9</v>
      </c>
      <c r="BT233">
        <v>3.927</v>
      </c>
      <c r="BU233">
        <v>3.9790000000000001</v>
      </c>
      <c r="BV233">
        <v>4.0010000000000003</v>
      </c>
      <c r="BW233" s="6">
        <v>4.0250000000000004</v>
      </c>
      <c r="BX233" s="6">
        <v>4.0199999999999996</v>
      </c>
      <c r="BY233">
        <v>4.0449999999999999</v>
      </c>
      <c r="BZ233" s="7">
        <v>45419</v>
      </c>
      <c r="CA233">
        <v>3.5760000000000001</v>
      </c>
      <c r="CB233">
        <v>3.5790000000000002</v>
      </c>
      <c r="CC233">
        <v>3.5659999999999998</v>
      </c>
      <c r="CD233">
        <v>3.5590000000000002</v>
      </c>
      <c r="CE233">
        <v>3.6339999999999999</v>
      </c>
      <c r="CF233" s="6">
        <v>3.7080000000000002</v>
      </c>
      <c r="CG233" s="6">
        <v>3.702</v>
      </c>
      <c r="CH233">
        <v>3.6589999999999998</v>
      </c>
    </row>
    <row r="234" spans="2:86">
      <c r="B234" s="7">
        <v>45415</v>
      </c>
      <c r="C234">
        <v>3.4569999999999999</v>
      </c>
      <c r="D234">
        <v>3.4279999999999999</v>
      </c>
      <c r="E234">
        <v>3.4609999999999999</v>
      </c>
      <c r="F234">
        <v>3.4630000000000001</v>
      </c>
      <c r="G234">
        <v>3.5070000000000001</v>
      </c>
      <c r="H234">
        <v>3.5049999999999999</v>
      </c>
      <c r="I234" s="6">
        <v>3.5449999999999999</v>
      </c>
      <c r="J234" s="6">
        <v>3.552</v>
      </c>
      <c r="K234" s="6">
        <v>3.6110000000000002</v>
      </c>
      <c r="L234" s="6">
        <v>3.617</v>
      </c>
      <c r="M234" s="6">
        <v>3.53</v>
      </c>
      <c r="N234" s="6">
        <v>3.4369999999999998</v>
      </c>
      <c r="O234" s="7">
        <v>45415</v>
      </c>
      <c r="P234">
        <v>3.4380000000000002</v>
      </c>
      <c r="Q234">
        <v>3.4249999999999998</v>
      </c>
      <c r="R234">
        <v>3.431</v>
      </c>
      <c r="S234">
        <v>3.4929999999999999</v>
      </c>
      <c r="T234">
        <v>3.5019999999999998</v>
      </c>
      <c r="U234" s="6">
        <v>3.5289999999999999</v>
      </c>
      <c r="V234" s="6">
        <v>0</v>
      </c>
      <c r="W234">
        <v>0</v>
      </c>
      <c r="X234" s="7">
        <v>45415</v>
      </c>
      <c r="Y234">
        <v>3.4969999999999999</v>
      </c>
      <c r="Z234">
        <v>3.4980000000000002</v>
      </c>
      <c r="AA234">
        <v>3.4969999999999999</v>
      </c>
      <c r="AB234">
        <v>3.5009999999999999</v>
      </c>
      <c r="AC234">
        <v>3.5739999999999998</v>
      </c>
      <c r="AD234" s="6">
        <v>3.6419999999999999</v>
      </c>
      <c r="AE234" s="6">
        <v>3.6520000000000001</v>
      </c>
      <c r="AF234">
        <v>3.6680000000000001</v>
      </c>
      <c r="AG234" s="7">
        <v>45415</v>
      </c>
      <c r="AH234">
        <v>3.5790000000000002</v>
      </c>
      <c r="AI234">
        <v>3.6219999999999999</v>
      </c>
      <c r="AJ234">
        <v>3.641</v>
      </c>
      <c r="AK234">
        <v>3.649</v>
      </c>
      <c r="AL234">
        <v>3.641</v>
      </c>
      <c r="AM234" s="6">
        <v>3.6349999999999998</v>
      </c>
      <c r="AN234" s="6">
        <v>3.65</v>
      </c>
      <c r="AO234">
        <v>3.718</v>
      </c>
      <c r="AP234" s="7">
        <v>45415</v>
      </c>
      <c r="AQ234">
        <v>3.7050000000000001</v>
      </c>
      <c r="AR234">
        <v>3.7509999999999999</v>
      </c>
      <c r="AS234">
        <v>3.774</v>
      </c>
      <c r="AT234">
        <v>3.8210000000000002</v>
      </c>
      <c r="AU234">
        <v>3.8540000000000001</v>
      </c>
      <c r="AV234" s="6">
        <v>3.9649999999999999</v>
      </c>
      <c r="AW234" s="6">
        <v>4.0259999999999998</v>
      </c>
      <c r="AX234">
        <v>4.1989999999999998</v>
      </c>
      <c r="AY234" s="7">
        <v>45415</v>
      </c>
      <c r="AZ234">
        <v>3.5720000000000001</v>
      </c>
      <c r="BA234">
        <v>3.6179999999999999</v>
      </c>
      <c r="BB234">
        <v>3.6240000000000001</v>
      </c>
      <c r="BC234">
        <v>3.6389999999999998</v>
      </c>
      <c r="BD234">
        <v>3.6549999999999998</v>
      </c>
      <c r="BE234" s="6">
        <v>3.6720000000000002</v>
      </c>
      <c r="BF234" s="6">
        <v>3.67</v>
      </c>
      <c r="BG234">
        <v>3.6890000000000001</v>
      </c>
      <c r="BH234" s="7">
        <v>45415</v>
      </c>
      <c r="BI234">
        <v>3.5</v>
      </c>
      <c r="BJ234">
        <v>3.5510000000000002</v>
      </c>
      <c r="BK234">
        <v>3.548</v>
      </c>
      <c r="BL234">
        <v>3.5790000000000002</v>
      </c>
      <c r="BM234">
        <v>3.5910000000000002</v>
      </c>
      <c r="BN234" s="6">
        <v>3.6269999999999998</v>
      </c>
      <c r="BO234" s="6">
        <v>3.64</v>
      </c>
      <c r="BP234">
        <v>3.6659999999999999</v>
      </c>
      <c r="BQ234" s="7">
        <v>45415</v>
      </c>
      <c r="BR234">
        <v>3.83</v>
      </c>
      <c r="BS234">
        <v>3.9119999999999999</v>
      </c>
      <c r="BT234">
        <v>3.9620000000000002</v>
      </c>
      <c r="BU234">
        <v>4.0110000000000001</v>
      </c>
      <c r="BV234">
        <v>4.0419999999999998</v>
      </c>
      <c r="BW234" s="6">
        <v>4.0890000000000004</v>
      </c>
      <c r="BX234" s="6">
        <v>4.0869999999999997</v>
      </c>
      <c r="BY234">
        <v>4.1159999999999997</v>
      </c>
      <c r="BZ234" s="7">
        <v>45415</v>
      </c>
      <c r="CA234">
        <v>3.5760000000000001</v>
      </c>
      <c r="CB234">
        <v>3.5859999999999999</v>
      </c>
      <c r="CC234">
        <v>3.5859999999999999</v>
      </c>
      <c r="CD234">
        <v>3.5840000000000001</v>
      </c>
      <c r="CE234">
        <v>3.673</v>
      </c>
      <c r="CF234" s="6">
        <v>3.77</v>
      </c>
      <c r="CG234" s="6">
        <v>3.77</v>
      </c>
      <c r="CH234">
        <v>3.7309999999999999</v>
      </c>
    </row>
    <row r="235" spans="2:86">
      <c r="B235" s="7">
        <v>45414</v>
      </c>
      <c r="C235">
        <v>3.452</v>
      </c>
      <c r="D235">
        <v>3.43</v>
      </c>
      <c r="E235">
        <v>3.4620000000000002</v>
      </c>
      <c r="F235">
        <v>3.4649999999999999</v>
      </c>
      <c r="G235">
        <v>3.504</v>
      </c>
      <c r="H235">
        <v>3.51</v>
      </c>
      <c r="I235" s="6">
        <v>3.5590000000000002</v>
      </c>
      <c r="J235" s="6">
        <v>3.5649999999999999</v>
      </c>
      <c r="K235" s="6">
        <v>3.63</v>
      </c>
      <c r="L235" s="6">
        <v>3.6419999999999999</v>
      </c>
      <c r="M235" s="6">
        <v>3.552</v>
      </c>
      <c r="N235" s="6">
        <v>3.4649999999999999</v>
      </c>
      <c r="O235" s="7">
        <v>45414</v>
      </c>
      <c r="P235">
        <v>3.4390000000000001</v>
      </c>
      <c r="Q235">
        <v>3.4289999999999998</v>
      </c>
      <c r="R235">
        <v>3.4359999999999999</v>
      </c>
      <c r="S235">
        <v>3.4940000000000002</v>
      </c>
      <c r="T235">
        <v>3.5019999999999998</v>
      </c>
      <c r="U235" s="6">
        <v>3.5339999999999998</v>
      </c>
      <c r="V235" s="6">
        <v>0</v>
      </c>
      <c r="W235">
        <v>0</v>
      </c>
      <c r="X235" s="7">
        <v>45414</v>
      </c>
      <c r="Y235">
        <v>3.496</v>
      </c>
      <c r="Z235">
        <v>3.5</v>
      </c>
      <c r="AA235">
        <v>3.4990000000000001</v>
      </c>
      <c r="AB235">
        <v>3.5019999999999998</v>
      </c>
      <c r="AC235">
        <v>3.5710000000000002</v>
      </c>
      <c r="AD235" s="6">
        <v>3.6480000000000001</v>
      </c>
      <c r="AE235" s="6">
        <v>3.6659999999999999</v>
      </c>
      <c r="AF235">
        <v>3.6779999999999999</v>
      </c>
      <c r="AG235" s="7">
        <v>45414</v>
      </c>
      <c r="AH235">
        <v>3.581</v>
      </c>
      <c r="AI235">
        <v>3.6259999999999999</v>
      </c>
      <c r="AJ235">
        <v>3.6469999999999998</v>
      </c>
      <c r="AK235">
        <v>3.6539999999999999</v>
      </c>
      <c r="AL235">
        <v>3.645</v>
      </c>
      <c r="AM235" s="6">
        <v>3.641</v>
      </c>
      <c r="AN235" s="6">
        <v>3.6640000000000001</v>
      </c>
      <c r="AO235">
        <v>3.734</v>
      </c>
      <c r="AP235" s="7">
        <v>45414</v>
      </c>
      <c r="AQ235">
        <v>3.702</v>
      </c>
      <c r="AR235">
        <v>3.75</v>
      </c>
      <c r="AS235">
        <v>3.782</v>
      </c>
      <c r="AT235">
        <v>3.8250000000000002</v>
      </c>
      <c r="AU235">
        <v>3.8610000000000002</v>
      </c>
      <c r="AV235" s="6">
        <v>3.968</v>
      </c>
      <c r="AW235" s="6">
        <v>4.04</v>
      </c>
      <c r="AX235">
        <v>4.2140000000000004</v>
      </c>
      <c r="AY235" s="7">
        <v>45414</v>
      </c>
      <c r="AZ235">
        <v>3.5680000000000001</v>
      </c>
      <c r="BA235">
        <v>3.62</v>
      </c>
      <c r="BB235">
        <v>3.6269999999999998</v>
      </c>
      <c r="BC235">
        <v>3.6389999999999998</v>
      </c>
      <c r="BD235">
        <v>3.6549999999999998</v>
      </c>
      <c r="BE235" s="6">
        <v>3.6779999999999999</v>
      </c>
      <c r="BF235" s="6">
        <v>3.6819999999999999</v>
      </c>
      <c r="BG235">
        <v>3.702</v>
      </c>
      <c r="BH235" s="7">
        <v>45414</v>
      </c>
      <c r="BI235">
        <v>3.496</v>
      </c>
      <c r="BJ235">
        <v>3.552</v>
      </c>
      <c r="BK235">
        <v>3.5510000000000002</v>
      </c>
      <c r="BL235">
        <v>3.5790000000000002</v>
      </c>
      <c r="BM235">
        <v>3.5910000000000002</v>
      </c>
      <c r="BN235" s="6">
        <v>3.6339999999999999</v>
      </c>
      <c r="BO235" s="6">
        <v>3.653</v>
      </c>
      <c r="BP235">
        <v>3.6779999999999999</v>
      </c>
      <c r="BQ235" s="7">
        <v>45414</v>
      </c>
      <c r="BR235">
        <v>3.8260000000000001</v>
      </c>
      <c r="BS235">
        <v>3.9140000000000001</v>
      </c>
      <c r="BT235">
        <v>3.9660000000000002</v>
      </c>
      <c r="BU235">
        <v>4.0110000000000001</v>
      </c>
      <c r="BV235">
        <v>4.0419999999999998</v>
      </c>
      <c r="BW235" s="6">
        <v>4.0949999999999998</v>
      </c>
      <c r="BX235" s="6">
        <v>4.0990000000000002</v>
      </c>
      <c r="BY235">
        <v>4.1289999999999996</v>
      </c>
      <c r="BZ235" s="7">
        <v>45414</v>
      </c>
      <c r="CA235">
        <v>3.5750000000000002</v>
      </c>
      <c r="CB235">
        <v>3.5880000000000001</v>
      </c>
      <c r="CC235">
        <v>3.5880000000000001</v>
      </c>
      <c r="CD235">
        <v>3.5859999999999999</v>
      </c>
      <c r="CE235">
        <v>3.669</v>
      </c>
      <c r="CF235" s="6">
        <v>3.7770000000000001</v>
      </c>
      <c r="CG235" s="6">
        <v>3.7839999999999998</v>
      </c>
      <c r="CH235">
        <v>3.7410000000000001</v>
      </c>
    </row>
    <row r="236" spans="2:86">
      <c r="B236" s="7">
        <v>45412</v>
      </c>
      <c r="C236">
        <v>3.4420000000000002</v>
      </c>
      <c r="D236">
        <v>3.4350000000000001</v>
      </c>
      <c r="E236">
        <v>3.4689999999999999</v>
      </c>
      <c r="F236">
        <v>3.4740000000000002</v>
      </c>
      <c r="G236">
        <v>3.5190000000000001</v>
      </c>
      <c r="H236">
        <v>3.5249999999999999</v>
      </c>
      <c r="I236" s="6">
        <v>3.577</v>
      </c>
      <c r="J236" s="6">
        <v>3.585</v>
      </c>
      <c r="K236" s="6">
        <v>3.645</v>
      </c>
      <c r="L236" s="6">
        <v>3.65</v>
      </c>
      <c r="M236" s="6">
        <v>3.5619999999999998</v>
      </c>
      <c r="N236" s="6">
        <v>3.4820000000000002</v>
      </c>
      <c r="O236" s="7">
        <v>45412</v>
      </c>
      <c r="P236">
        <v>3.44</v>
      </c>
      <c r="Q236">
        <v>3.431</v>
      </c>
      <c r="R236">
        <v>3.4460000000000002</v>
      </c>
      <c r="S236">
        <v>3.5049999999999999</v>
      </c>
      <c r="T236">
        <v>3.5169999999999999</v>
      </c>
      <c r="U236" s="6">
        <v>3.5489999999999999</v>
      </c>
      <c r="V236" s="6">
        <v>0</v>
      </c>
      <c r="W236">
        <v>0</v>
      </c>
      <c r="X236" s="7">
        <v>45412</v>
      </c>
      <c r="Y236">
        <v>3.4860000000000002</v>
      </c>
      <c r="Z236">
        <v>3.4990000000000001</v>
      </c>
      <c r="AA236">
        <v>3.5059999999999998</v>
      </c>
      <c r="AB236">
        <v>3.51</v>
      </c>
      <c r="AC236">
        <v>3.5859999999999999</v>
      </c>
      <c r="AD236" s="6">
        <v>3.6640000000000001</v>
      </c>
      <c r="AE236" s="6">
        <v>3.6840000000000002</v>
      </c>
      <c r="AF236">
        <v>3.6960000000000002</v>
      </c>
      <c r="AG236" s="7">
        <v>45412</v>
      </c>
      <c r="AH236">
        <v>3.5880000000000001</v>
      </c>
      <c r="AI236">
        <v>3.63</v>
      </c>
      <c r="AJ236">
        <v>3.657</v>
      </c>
      <c r="AK236">
        <v>3.665</v>
      </c>
      <c r="AL236">
        <v>3.6589999999999998</v>
      </c>
      <c r="AM236" s="6">
        <v>3.6539999999999999</v>
      </c>
      <c r="AN236" s="6">
        <v>3.6829999999999998</v>
      </c>
      <c r="AO236">
        <v>3.7559999999999998</v>
      </c>
      <c r="AP236" s="7">
        <v>45412</v>
      </c>
      <c r="AQ236">
        <v>3.7040000000000002</v>
      </c>
      <c r="AR236">
        <v>3.7519999999999998</v>
      </c>
      <c r="AS236">
        <v>3.7959999999999998</v>
      </c>
      <c r="AT236">
        <v>3.84</v>
      </c>
      <c r="AU236">
        <v>3.879</v>
      </c>
      <c r="AV236" s="6">
        <v>3.9870000000000001</v>
      </c>
      <c r="AW236" s="6">
        <v>4.0609999999999999</v>
      </c>
      <c r="AX236">
        <v>4.2350000000000003</v>
      </c>
      <c r="AY236" s="7">
        <v>45412</v>
      </c>
      <c r="AZ236">
        <v>3.5590000000000002</v>
      </c>
      <c r="BA236">
        <v>3.6160000000000001</v>
      </c>
      <c r="BB236">
        <v>3.6389999999999998</v>
      </c>
      <c r="BC236">
        <v>3.6469999999999998</v>
      </c>
      <c r="BD236">
        <v>3.669</v>
      </c>
      <c r="BE236" s="6">
        <v>3.6909999999999998</v>
      </c>
      <c r="BF236" s="6">
        <v>3.6949999999999998</v>
      </c>
      <c r="BG236">
        <v>3.7170000000000001</v>
      </c>
      <c r="BH236" s="7">
        <v>45412</v>
      </c>
      <c r="BI236">
        <v>3.4929999999999999</v>
      </c>
      <c r="BJ236">
        <v>3.5529999999999999</v>
      </c>
      <c r="BK236">
        <v>3.5649999999999999</v>
      </c>
      <c r="BL236">
        <v>3.59</v>
      </c>
      <c r="BM236">
        <v>3.6070000000000002</v>
      </c>
      <c r="BN236" s="6">
        <v>3.649</v>
      </c>
      <c r="BO236" s="6">
        <v>3.6680000000000001</v>
      </c>
      <c r="BP236">
        <v>3.6970000000000001</v>
      </c>
      <c r="BQ236" s="7">
        <v>45412</v>
      </c>
      <c r="BR236">
        <v>3.8210000000000002</v>
      </c>
      <c r="BS236">
        <v>3.91</v>
      </c>
      <c r="BT236">
        <v>3.9740000000000002</v>
      </c>
      <c r="BU236">
        <v>4.0190000000000001</v>
      </c>
      <c r="BV236">
        <v>4.0540000000000003</v>
      </c>
      <c r="BW236" s="6">
        <v>4.1070000000000002</v>
      </c>
      <c r="BX236" s="6">
        <v>4.1109999999999998</v>
      </c>
      <c r="BY236">
        <v>4.1440000000000001</v>
      </c>
      <c r="BZ236" s="7">
        <v>45412</v>
      </c>
      <c r="CA236">
        <v>3.5649999999999999</v>
      </c>
      <c r="CB236">
        <v>3.5880000000000001</v>
      </c>
      <c r="CC236">
        <v>3.597</v>
      </c>
      <c r="CD236">
        <v>3.5950000000000002</v>
      </c>
      <c r="CE236">
        <v>3.6840000000000002</v>
      </c>
      <c r="CF236" s="6">
        <v>3.7930000000000001</v>
      </c>
      <c r="CG236" s="6">
        <v>3.802</v>
      </c>
      <c r="CH236">
        <v>3.7589999999999999</v>
      </c>
    </row>
    <row r="237" spans="2:86">
      <c r="B237" s="7">
        <v>45411</v>
      </c>
      <c r="C237">
        <v>3.4470000000000001</v>
      </c>
      <c r="D237">
        <v>3.44</v>
      </c>
      <c r="E237">
        <v>3.4750000000000001</v>
      </c>
      <c r="F237">
        <v>3.4790000000000001</v>
      </c>
      <c r="G237">
        <v>3.5249999999999999</v>
      </c>
      <c r="H237">
        <v>3.5369999999999999</v>
      </c>
      <c r="I237" s="6">
        <v>3.605</v>
      </c>
      <c r="J237" s="6">
        <v>3.6120000000000001</v>
      </c>
      <c r="K237" s="6">
        <v>3.68</v>
      </c>
      <c r="L237" s="6">
        <v>3.69</v>
      </c>
      <c r="M237" s="6">
        <v>3.6030000000000002</v>
      </c>
      <c r="N237" s="6">
        <v>3.5169999999999999</v>
      </c>
      <c r="O237" s="7">
        <v>45411</v>
      </c>
      <c r="P237">
        <v>3.4430000000000001</v>
      </c>
      <c r="Q237">
        <v>3.4340000000000002</v>
      </c>
      <c r="R237">
        <v>3.45</v>
      </c>
      <c r="S237">
        <v>3.508</v>
      </c>
      <c r="T237">
        <v>3.5249999999999999</v>
      </c>
      <c r="U237" s="6">
        <v>3.5609999999999999</v>
      </c>
      <c r="V237" s="6">
        <v>0</v>
      </c>
      <c r="W237">
        <v>0</v>
      </c>
      <c r="X237" s="7">
        <v>45411</v>
      </c>
      <c r="Y237">
        <v>3.4910000000000001</v>
      </c>
      <c r="Z237">
        <v>3.504</v>
      </c>
      <c r="AA237">
        <v>3.5129999999999999</v>
      </c>
      <c r="AB237">
        <v>3.5150000000000001</v>
      </c>
      <c r="AC237">
        <v>3.593</v>
      </c>
      <c r="AD237" s="6">
        <v>3.6760000000000002</v>
      </c>
      <c r="AE237" s="6">
        <v>3.7120000000000002</v>
      </c>
      <c r="AF237">
        <v>3.7210000000000001</v>
      </c>
      <c r="AG237" s="7">
        <v>45411</v>
      </c>
      <c r="AH237">
        <v>3.5840000000000001</v>
      </c>
      <c r="AI237">
        <v>3.6280000000000001</v>
      </c>
      <c r="AJ237">
        <v>3.6549999999999998</v>
      </c>
      <c r="AK237">
        <v>3.665</v>
      </c>
      <c r="AL237">
        <v>3.665</v>
      </c>
      <c r="AM237" s="6">
        <v>3.665</v>
      </c>
      <c r="AN237" s="6">
        <v>3.7109999999999999</v>
      </c>
      <c r="AO237">
        <v>3.7829999999999999</v>
      </c>
      <c r="AP237" s="7">
        <v>45411</v>
      </c>
      <c r="AQ237">
        <v>3.7050000000000001</v>
      </c>
      <c r="AR237">
        <v>3.7509999999999999</v>
      </c>
      <c r="AS237">
        <v>3.7959999999999998</v>
      </c>
      <c r="AT237">
        <v>3.843</v>
      </c>
      <c r="AU237">
        <v>3.891</v>
      </c>
      <c r="AV237" s="6">
        <v>4</v>
      </c>
      <c r="AW237" s="6">
        <v>4.0910000000000002</v>
      </c>
      <c r="AX237">
        <v>4.2640000000000002</v>
      </c>
      <c r="AY237" s="7">
        <v>45411</v>
      </c>
      <c r="AZ237">
        <v>3.56</v>
      </c>
      <c r="BA237">
        <v>3.6179999999999999</v>
      </c>
      <c r="BB237">
        <v>3.64</v>
      </c>
      <c r="BC237">
        <v>3.6469999999999998</v>
      </c>
      <c r="BD237">
        <v>3.673</v>
      </c>
      <c r="BE237" s="6">
        <v>3.7050000000000001</v>
      </c>
      <c r="BF237" s="6">
        <v>3.7229999999999999</v>
      </c>
      <c r="BG237">
        <v>3.7450000000000001</v>
      </c>
      <c r="BH237" s="7">
        <v>45411</v>
      </c>
      <c r="BI237">
        <v>3.4969999999999999</v>
      </c>
      <c r="BJ237">
        <v>3.5569999999999999</v>
      </c>
      <c r="BK237">
        <v>3.569</v>
      </c>
      <c r="BL237">
        <v>3.5939999999999999</v>
      </c>
      <c r="BM237">
        <v>3.6150000000000002</v>
      </c>
      <c r="BN237" s="6">
        <v>3.661</v>
      </c>
      <c r="BO237" s="6">
        <v>3.6960000000000002</v>
      </c>
      <c r="BP237">
        <v>3.7250000000000001</v>
      </c>
      <c r="BQ237" s="7">
        <v>45411</v>
      </c>
      <c r="BR237">
        <v>3.8210000000000002</v>
      </c>
      <c r="BS237">
        <v>3.9119999999999999</v>
      </c>
      <c r="BT237">
        <v>3.9750000000000001</v>
      </c>
      <c r="BU237">
        <v>4.0190000000000001</v>
      </c>
      <c r="BV237">
        <v>4.0579999999999998</v>
      </c>
      <c r="BW237" s="6">
        <v>4.1219999999999999</v>
      </c>
      <c r="BX237" s="6">
        <v>4.1390000000000002</v>
      </c>
      <c r="BY237">
        <v>4.1719999999999997</v>
      </c>
      <c r="BZ237" s="7">
        <v>45411</v>
      </c>
      <c r="CA237">
        <v>3.57</v>
      </c>
      <c r="CB237">
        <v>3.593</v>
      </c>
      <c r="CC237">
        <v>3.6030000000000002</v>
      </c>
      <c r="CD237">
        <v>3.6</v>
      </c>
      <c r="CE237">
        <v>3.694</v>
      </c>
      <c r="CF237" s="6">
        <v>3.8069999999999999</v>
      </c>
      <c r="CG237" s="6">
        <v>3.8319999999999999</v>
      </c>
      <c r="CH237">
        <v>3.7839999999999998</v>
      </c>
    </row>
    <row r="238" spans="2:86">
      <c r="B238" s="7">
        <v>45408</v>
      </c>
      <c r="C238">
        <v>3.4359999999999999</v>
      </c>
      <c r="D238">
        <v>3.431</v>
      </c>
      <c r="E238">
        <v>3.4660000000000002</v>
      </c>
      <c r="F238">
        <v>3.4649999999999999</v>
      </c>
      <c r="G238">
        <v>3.504</v>
      </c>
      <c r="H238">
        <v>3.5179999999999998</v>
      </c>
      <c r="I238" s="6">
        <v>3.5779999999999998</v>
      </c>
      <c r="J238" s="6">
        <v>3.5840000000000001</v>
      </c>
      <c r="K238" s="6">
        <v>3.6640000000000001</v>
      </c>
      <c r="L238" s="6">
        <v>3.6850000000000001</v>
      </c>
      <c r="M238" s="6">
        <v>3.605</v>
      </c>
      <c r="N238" s="6">
        <v>3.52</v>
      </c>
      <c r="O238" s="7">
        <v>45408</v>
      </c>
      <c r="P238">
        <v>3.4390000000000001</v>
      </c>
      <c r="Q238">
        <v>3.43</v>
      </c>
      <c r="R238">
        <v>3.4350000000000001</v>
      </c>
      <c r="S238">
        <v>3.488</v>
      </c>
      <c r="T238">
        <v>3.4950000000000001</v>
      </c>
      <c r="U238" s="6">
        <v>3.5419999999999998</v>
      </c>
      <c r="V238" s="6">
        <v>0</v>
      </c>
      <c r="W238">
        <v>0</v>
      </c>
      <c r="X238" s="7">
        <v>45408</v>
      </c>
      <c r="Y238">
        <v>3.4809999999999999</v>
      </c>
      <c r="Z238">
        <v>3.4950000000000001</v>
      </c>
      <c r="AA238">
        <v>3.5070000000000001</v>
      </c>
      <c r="AB238">
        <v>3.5009999999999999</v>
      </c>
      <c r="AC238">
        <v>3.5760000000000001</v>
      </c>
      <c r="AD238" s="6">
        <v>3.66</v>
      </c>
      <c r="AE238" s="6">
        <v>3.6850000000000001</v>
      </c>
      <c r="AF238">
        <v>3.6949999999999998</v>
      </c>
      <c r="AG238" s="7">
        <v>45408</v>
      </c>
      <c r="AH238">
        <v>3.5779999999999998</v>
      </c>
      <c r="AI238">
        <v>3.6259999999999999</v>
      </c>
      <c r="AJ238">
        <v>3.64</v>
      </c>
      <c r="AK238">
        <v>3.645</v>
      </c>
      <c r="AL238">
        <v>3.6339999999999999</v>
      </c>
      <c r="AM238" s="6">
        <v>3.6459999999999999</v>
      </c>
      <c r="AN238" s="6">
        <v>3.6869999999999998</v>
      </c>
      <c r="AO238">
        <v>3.758</v>
      </c>
      <c r="AP238" s="7">
        <v>45408</v>
      </c>
      <c r="AQ238">
        <v>3.7</v>
      </c>
      <c r="AR238">
        <v>3.7480000000000002</v>
      </c>
      <c r="AS238">
        <v>3.7829999999999999</v>
      </c>
      <c r="AT238">
        <v>3.8279999999999998</v>
      </c>
      <c r="AU238">
        <v>3.8660000000000001</v>
      </c>
      <c r="AV238" s="6">
        <v>3.9809999999999999</v>
      </c>
      <c r="AW238" s="6">
        <v>4.0640000000000001</v>
      </c>
      <c r="AX238">
        <v>4.2359999999999998</v>
      </c>
      <c r="AY238" s="7">
        <v>45408</v>
      </c>
      <c r="AZ238">
        <v>3.5529999999999999</v>
      </c>
      <c r="BA238">
        <v>3.6110000000000002</v>
      </c>
      <c r="BB238">
        <v>3.6190000000000002</v>
      </c>
      <c r="BC238">
        <v>3.625</v>
      </c>
      <c r="BD238">
        <v>3.6429999999999998</v>
      </c>
      <c r="BE238" s="6">
        <v>3.6859999999999999</v>
      </c>
      <c r="BF238" s="6">
        <v>3.6960000000000002</v>
      </c>
      <c r="BG238">
        <v>3.7170000000000001</v>
      </c>
      <c r="BH238" s="7">
        <v>45408</v>
      </c>
      <c r="BI238">
        <v>3.4929999999999999</v>
      </c>
      <c r="BJ238">
        <v>3.5529999999999999</v>
      </c>
      <c r="BK238">
        <v>3.55</v>
      </c>
      <c r="BL238">
        <v>3.573</v>
      </c>
      <c r="BM238">
        <v>3.5859999999999999</v>
      </c>
      <c r="BN238" s="6">
        <v>3.6419999999999999</v>
      </c>
      <c r="BO238" s="6">
        <v>3.673</v>
      </c>
      <c r="BP238">
        <v>3.7</v>
      </c>
      <c r="BQ238" s="7">
        <v>45408</v>
      </c>
      <c r="BR238">
        <v>3.8140000000000001</v>
      </c>
      <c r="BS238">
        <v>3.9049999999999998</v>
      </c>
      <c r="BT238">
        <v>3.9540000000000002</v>
      </c>
      <c r="BU238">
        <v>3.996</v>
      </c>
      <c r="BV238">
        <v>4.0289999999999999</v>
      </c>
      <c r="BW238" s="6">
        <v>4.1029999999999998</v>
      </c>
      <c r="BX238" s="6">
        <v>4.1120000000000001</v>
      </c>
      <c r="BY238">
        <v>4.1440000000000001</v>
      </c>
      <c r="BZ238" s="7">
        <v>45408</v>
      </c>
      <c r="CA238">
        <v>3.5590000000000002</v>
      </c>
      <c r="CB238">
        <v>3.5830000000000002</v>
      </c>
      <c r="CC238">
        <v>3.597</v>
      </c>
      <c r="CD238">
        <v>3.5840000000000001</v>
      </c>
      <c r="CE238">
        <v>3.6779999999999999</v>
      </c>
      <c r="CF238" s="6">
        <v>3.7909999999999999</v>
      </c>
      <c r="CG238" s="6">
        <v>3.8079999999999998</v>
      </c>
      <c r="CH238">
        <v>3.7559999999999998</v>
      </c>
    </row>
    <row r="239" spans="2:86">
      <c r="B239" s="7">
        <v>45407</v>
      </c>
      <c r="C239">
        <v>3.4329999999999998</v>
      </c>
      <c r="D239">
        <v>3.4329999999999998</v>
      </c>
      <c r="E239">
        <v>3.47</v>
      </c>
      <c r="F239">
        <v>3.468</v>
      </c>
      <c r="G239">
        <v>3.52</v>
      </c>
      <c r="H239">
        <v>3.54</v>
      </c>
      <c r="I239" s="6">
        <v>3.61</v>
      </c>
      <c r="J239" s="6">
        <v>3.625</v>
      </c>
      <c r="K239" s="6">
        <v>3.7</v>
      </c>
      <c r="L239" s="6">
        <v>3.7109999999999999</v>
      </c>
      <c r="M239" s="6">
        <v>3.6150000000000002</v>
      </c>
      <c r="N239" s="6">
        <v>3.5230000000000001</v>
      </c>
      <c r="O239" s="7">
        <v>45407</v>
      </c>
      <c r="P239">
        <v>3.4390000000000001</v>
      </c>
      <c r="Q239">
        <v>3.431</v>
      </c>
      <c r="R239">
        <v>3.4380000000000002</v>
      </c>
      <c r="S239">
        <v>3.5</v>
      </c>
      <c r="T239">
        <v>3.5139999999999998</v>
      </c>
      <c r="U239" s="6">
        <v>3.5640000000000001</v>
      </c>
      <c r="V239" s="6">
        <v>0</v>
      </c>
      <c r="W239">
        <v>0</v>
      </c>
      <c r="X239" s="7">
        <v>45407</v>
      </c>
      <c r="Y239">
        <v>3.4769999999999999</v>
      </c>
      <c r="Z239">
        <v>3.4950000000000001</v>
      </c>
      <c r="AA239">
        <v>3.5089999999999999</v>
      </c>
      <c r="AB239">
        <v>3.5070000000000001</v>
      </c>
      <c r="AC239">
        <v>3.5920000000000001</v>
      </c>
      <c r="AD239" s="6">
        <v>3.6850000000000001</v>
      </c>
      <c r="AE239" s="6">
        <v>3.718</v>
      </c>
      <c r="AF239">
        <v>3.7349999999999999</v>
      </c>
      <c r="AG239" s="7">
        <v>45407</v>
      </c>
      <c r="AH239">
        <v>3.5720000000000001</v>
      </c>
      <c r="AI239">
        <v>3.621</v>
      </c>
      <c r="AJ239">
        <v>3.6349999999999998</v>
      </c>
      <c r="AK239">
        <v>3.65</v>
      </c>
      <c r="AL239">
        <v>3.6440000000000001</v>
      </c>
      <c r="AM239" s="6">
        <v>3.6669999999999998</v>
      </c>
      <c r="AN239" s="6">
        <v>3.72</v>
      </c>
      <c r="AO239">
        <v>3.8</v>
      </c>
      <c r="AP239" s="7">
        <v>45407</v>
      </c>
      <c r="AQ239">
        <v>3.6960000000000002</v>
      </c>
      <c r="AR239">
        <v>3.7480000000000002</v>
      </c>
      <c r="AS239">
        <v>3.7869999999999999</v>
      </c>
      <c r="AT239">
        <v>3.8420000000000001</v>
      </c>
      <c r="AU239">
        <v>3.8839999999999999</v>
      </c>
      <c r="AV239" s="6">
        <v>4.008</v>
      </c>
      <c r="AW239" s="6">
        <v>4.101</v>
      </c>
      <c r="AX239">
        <v>4.2789999999999999</v>
      </c>
      <c r="AY239" s="7">
        <v>45407</v>
      </c>
      <c r="AZ239">
        <v>3.5470000000000002</v>
      </c>
      <c r="BA239">
        <v>3.609</v>
      </c>
      <c r="BB239">
        <v>3.6179999999999999</v>
      </c>
      <c r="BC239">
        <v>3.6320000000000001</v>
      </c>
      <c r="BD239">
        <v>3.6509999999999998</v>
      </c>
      <c r="BE239" s="6">
        <v>3.6989999999999998</v>
      </c>
      <c r="BF239" s="6">
        <v>3.7229999999999999</v>
      </c>
      <c r="BG239">
        <v>3.754</v>
      </c>
      <c r="BH239" s="7">
        <v>45407</v>
      </c>
      <c r="BI239">
        <v>3.488</v>
      </c>
      <c r="BJ239">
        <v>3.552</v>
      </c>
      <c r="BK239">
        <v>3.55</v>
      </c>
      <c r="BL239">
        <v>3.5830000000000002</v>
      </c>
      <c r="BM239">
        <v>3.5990000000000002</v>
      </c>
      <c r="BN239" s="6">
        <v>3.6629999999999998</v>
      </c>
      <c r="BO239" s="6">
        <v>3.7040000000000002</v>
      </c>
      <c r="BP239">
        <v>3.7389999999999999</v>
      </c>
      <c r="BQ239" s="7">
        <v>45407</v>
      </c>
      <c r="BR239">
        <v>3.81</v>
      </c>
      <c r="BS239">
        <v>3.9039999999999999</v>
      </c>
      <c r="BT239">
        <v>3.9550000000000001</v>
      </c>
      <c r="BU239">
        <v>4.0060000000000002</v>
      </c>
      <c r="BV239">
        <v>4.0430000000000001</v>
      </c>
      <c r="BW239" s="6">
        <v>4.1239999999999997</v>
      </c>
      <c r="BX239" s="6">
        <v>4.1429999999999998</v>
      </c>
      <c r="BY239">
        <v>4.1829999999999998</v>
      </c>
      <c r="BZ239" s="7">
        <v>45407</v>
      </c>
      <c r="CA239">
        <v>3.556</v>
      </c>
      <c r="CB239">
        <v>3.5830000000000002</v>
      </c>
      <c r="CC239">
        <v>3.5990000000000002</v>
      </c>
      <c r="CD239">
        <v>3.5910000000000002</v>
      </c>
      <c r="CE239">
        <v>3.694</v>
      </c>
      <c r="CF239" s="6">
        <v>3.8159999999999998</v>
      </c>
      <c r="CG239" s="6">
        <v>3.8410000000000002</v>
      </c>
      <c r="CH239">
        <v>3.7959999999999998</v>
      </c>
    </row>
    <row r="240" spans="2:86">
      <c r="B240" s="7">
        <v>45406</v>
      </c>
      <c r="C240">
        <v>3.4329999999999998</v>
      </c>
      <c r="D240">
        <v>3.4350000000000001</v>
      </c>
      <c r="E240">
        <v>3.468</v>
      </c>
      <c r="F240">
        <v>3.4609999999999999</v>
      </c>
      <c r="G240">
        <v>3.5110000000000001</v>
      </c>
      <c r="H240">
        <v>3.5070000000000001</v>
      </c>
      <c r="I240" s="6">
        <v>3.5739999999999998</v>
      </c>
      <c r="J240" s="6">
        <v>3.5819999999999999</v>
      </c>
      <c r="K240" s="6">
        <v>3.65</v>
      </c>
      <c r="L240" s="6">
        <v>3.6520000000000001</v>
      </c>
      <c r="M240" s="6">
        <v>3.5649999999999999</v>
      </c>
      <c r="N240" s="6">
        <v>3.472</v>
      </c>
      <c r="O240" s="7">
        <v>45406</v>
      </c>
      <c r="P240">
        <v>3.4369999999999998</v>
      </c>
      <c r="Q240">
        <v>3.4279999999999999</v>
      </c>
      <c r="R240">
        <v>3.431</v>
      </c>
      <c r="S240">
        <v>3.4790000000000001</v>
      </c>
      <c r="T240">
        <v>3.4950000000000001</v>
      </c>
      <c r="U240" s="6">
        <v>3.5310000000000001</v>
      </c>
      <c r="V240" s="6">
        <v>0</v>
      </c>
      <c r="W240">
        <v>0</v>
      </c>
      <c r="X240" s="7">
        <v>45406</v>
      </c>
      <c r="Y240">
        <v>3.4769999999999999</v>
      </c>
      <c r="Z240">
        <v>3.4969999999999999</v>
      </c>
      <c r="AA240">
        <v>3.5049999999999999</v>
      </c>
      <c r="AB240">
        <v>3.5009999999999999</v>
      </c>
      <c r="AC240">
        <v>3.5790000000000002</v>
      </c>
      <c r="AD240" s="6">
        <v>3.653</v>
      </c>
      <c r="AE240" s="6">
        <v>3.6819999999999999</v>
      </c>
      <c r="AF240">
        <v>3.69</v>
      </c>
      <c r="AG240" s="7">
        <v>45406</v>
      </c>
      <c r="AH240">
        <v>3.5680000000000001</v>
      </c>
      <c r="AI240">
        <v>3.6160000000000001</v>
      </c>
      <c r="AJ240">
        <v>3.621</v>
      </c>
      <c r="AK240">
        <v>3.6240000000000001</v>
      </c>
      <c r="AL240">
        <v>3.6219999999999999</v>
      </c>
      <c r="AM240" s="6">
        <v>3.6339999999999999</v>
      </c>
      <c r="AN240" s="6">
        <v>3.6829999999999998</v>
      </c>
      <c r="AO240">
        <v>3.7589999999999999</v>
      </c>
      <c r="AP240" s="7">
        <v>45406</v>
      </c>
      <c r="AQ240">
        <v>3.6930000000000001</v>
      </c>
      <c r="AR240">
        <v>3.7429999999999999</v>
      </c>
      <c r="AS240">
        <v>3.78</v>
      </c>
      <c r="AT240">
        <v>3.82</v>
      </c>
      <c r="AU240">
        <v>3.8679999999999999</v>
      </c>
      <c r="AV240" s="6">
        <v>3.9830000000000001</v>
      </c>
      <c r="AW240" s="6">
        <v>4.0750000000000002</v>
      </c>
      <c r="AX240">
        <v>4.2439999999999998</v>
      </c>
      <c r="AY240" s="7">
        <v>45406</v>
      </c>
      <c r="AZ240">
        <v>3.5419999999999998</v>
      </c>
      <c r="BA240">
        <v>3.6040000000000001</v>
      </c>
      <c r="BB240">
        <v>3.6120000000000001</v>
      </c>
      <c r="BC240">
        <v>3.6070000000000002</v>
      </c>
      <c r="BD240">
        <v>3.6269999999999998</v>
      </c>
      <c r="BE240" s="6">
        <v>3.6659999999999999</v>
      </c>
      <c r="BF240" s="6">
        <v>3.6850000000000001</v>
      </c>
      <c r="BG240">
        <v>3.7080000000000002</v>
      </c>
      <c r="BH240" s="7">
        <v>45406</v>
      </c>
      <c r="BI240">
        <v>3.4830000000000001</v>
      </c>
      <c r="BJ240">
        <v>3.5470000000000002</v>
      </c>
      <c r="BK240">
        <v>3.5430000000000001</v>
      </c>
      <c r="BL240">
        <v>3.5590000000000002</v>
      </c>
      <c r="BM240">
        <v>3.577</v>
      </c>
      <c r="BN240" s="6">
        <v>3.63</v>
      </c>
      <c r="BO240" s="6">
        <v>3.6669999999999998</v>
      </c>
      <c r="BP240">
        <v>3.6960000000000002</v>
      </c>
      <c r="BQ240" s="7">
        <v>45406</v>
      </c>
      <c r="BR240">
        <v>3.8050000000000002</v>
      </c>
      <c r="BS240">
        <v>3.899</v>
      </c>
      <c r="BT240">
        <v>3.95</v>
      </c>
      <c r="BU240">
        <v>3.9860000000000002</v>
      </c>
      <c r="BV240">
        <v>4.0209999999999999</v>
      </c>
      <c r="BW240" s="6">
        <v>4.0910000000000002</v>
      </c>
      <c r="BX240" s="6">
        <v>4.1070000000000002</v>
      </c>
      <c r="BY240">
        <v>4.1399999999999997</v>
      </c>
      <c r="BZ240" s="7">
        <v>45406</v>
      </c>
      <c r="CA240">
        <v>3.556</v>
      </c>
      <c r="CB240">
        <v>3.585</v>
      </c>
      <c r="CC240">
        <v>3.5960000000000001</v>
      </c>
      <c r="CD240">
        <v>3.5840000000000001</v>
      </c>
      <c r="CE240">
        <v>3.681</v>
      </c>
      <c r="CF240" s="6">
        <v>3.7839999999999998</v>
      </c>
      <c r="CG240" s="6">
        <v>3.8050000000000002</v>
      </c>
      <c r="CH240">
        <v>3.7509999999999999</v>
      </c>
    </row>
    <row r="241" spans="2:86">
      <c r="B241" s="7">
        <v>45405</v>
      </c>
      <c r="C241">
        <v>3.44</v>
      </c>
      <c r="D241">
        <v>3.4449999999999998</v>
      </c>
      <c r="E241">
        <v>3.468</v>
      </c>
      <c r="F241">
        <v>3.4580000000000002</v>
      </c>
      <c r="G241">
        <v>3.504</v>
      </c>
      <c r="H241">
        <v>3.4870000000000001</v>
      </c>
      <c r="I241" s="6">
        <v>3.5539999999999998</v>
      </c>
      <c r="J241" s="6">
        <v>3.56</v>
      </c>
      <c r="K241" s="6">
        <v>3.6280000000000001</v>
      </c>
      <c r="L241" s="6">
        <v>3.6349999999999998</v>
      </c>
      <c r="M241" s="6">
        <v>3.56</v>
      </c>
      <c r="N241" s="6">
        <v>3.46</v>
      </c>
      <c r="O241" s="7">
        <v>45405</v>
      </c>
      <c r="P241">
        <v>3.444</v>
      </c>
      <c r="Q241">
        <v>3.43</v>
      </c>
      <c r="R241">
        <v>3.4319999999999999</v>
      </c>
      <c r="S241">
        <v>3.4790000000000001</v>
      </c>
      <c r="T241">
        <v>3.4969999999999999</v>
      </c>
      <c r="U241" s="6">
        <v>3.516</v>
      </c>
      <c r="V241" s="6">
        <v>0</v>
      </c>
      <c r="W241">
        <v>0</v>
      </c>
      <c r="X241" s="7">
        <v>45405</v>
      </c>
      <c r="Y241">
        <v>3.4809999999999999</v>
      </c>
      <c r="Z241">
        <v>3.5030000000000001</v>
      </c>
      <c r="AA241">
        <v>3.5049999999999999</v>
      </c>
      <c r="AB241">
        <v>3.4969999999999999</v>
      </c>
      <c r="AC241">
        <v>3.5750000000000002</v>
      </c>
      <c r="AD241" s="6">
        <v>3.6349999999999998</v>
      </c>
      <c r="AE241" s="6">
        <v>3.6629999999999998</v>
      </c>
      <c r="AF241">
        <v>3.665</v>
      </c>
      <c r="AG241" s="7">
        <v>45405</v>
      </c>
      <c r="AH241">
        <v>3.573</v>
      </c>
      <c r="AI241">
        <v>3.6160000000000001</v>
      </c>
      <c r="AJ241">
        <v>3.62</v>
      </c>
      <c r="AK241">
        <v>3.625</v>
      </c>
      <c r="AL241">
        <v>3.617</v>
      </c>
      <c r="AM241" s="6">
        <v>3.6139999999999999</v>
      </c>
      <c r="AN241" s="6">
        <v>3.6640000000000001</v>
      </c>
      <c r="AO241">
        <v>3.7370000000000001</v>
      </c>
      <c r="AP241" s="7">
        <v>45405</v>
      </c>
      <c r="AQ241">
        <v>3.698</v>
      </c>
      <c r="AR241">
        <v>3.742</v>
      </c>
      <c r="AS241">
        <v>3.7839999999999998</v>
      </c>
      <c r="AT241">
        <v>3.819</v>
      </c>
      <c r="AU241">
        <v>3.8719999999999999</v>
      </c>
      <c r="AV241" s="6">
        <v>3.9670000000000001</v>
      </c>
      <c r="AW241" s="6">
        <v>4.0549999999999997</v>
      </c>
      <c r="AX241">
        <v>4.2220000000000004</v>
      </c>
      <c r="AY241" s="7">
        <v>45405</v>
      </c>
      <c r="AZ241">
        <v>3.5489999999999999</v>
      </c>
      <c r="BA241">
        <v>3.605</v>
      </c>
      <c r="BB241">
        <v>3.6120000000000001</v>
      </c>
      <c r="BC241">
        <v>3.6070000000000002</v>
      </c>
      <c r="BD241">
        <v>3.629</v>
      </c>
      <c r="BE241" s="6">
        <v>3.6440000000000001</v>
      </c>
      <c r="BF241" s="6">
        <v>3.665</v>
      </c>
      <c r="BG241">
        <v>3.6859999999999999</v>
      </c>
      <c r="BH241" s="7">
        <v>45405</v>
      </c>
      <c r="BI241">
        <v>3.49</v>
      </c>
      <c r="BJ241">
        <v>3.55</v>
      </c>
      <c r="BK241">
        <v>3.544</v>
      </c>
      <c r="BL241">
        <v>3.5590000000000002</v>
      </c>
      <c r="BM241">
        <v>3.5790000000000002</v>
      </c>
      <c r="BN241" s="6">
        <v>3.61</v>
      </c>
      <c r="BO241" s="6">
        <v>3.6480000000000001</v>
      </c>
      <c r="BP241">
        <v>3.6749999999999998</v>
      </c>
      <c r="BQ241" s="7">
        <v>45405</v>
      </c>
      <c r="BR241">
        <v>3.8119999999999998</v>
      </c>
      <c r="BS241">
        <v>3.9009999999999998</v>
      </c>
      <c r="BT241">
        <v>3.9510000000000001</v>
      </c>
      <c r="BU241">
        <v>3.9860000000000002</v>
      </c>
      <c r="BV241">
        <v>4.0229999999999997</v>
      </c>
      <c r="BW241" s="6">
        <v>4.07</v>
      </c>
      <c r="BX241" s="6">
        <v>4.0869999999999997</v>
      </c>
      <c r="BY241">
        <v>4.1180000000000003</v>
      </c>
      <c r="BZ241" s="7">
        <v>45405</v>
      </c>
      <c r="CA241">
        <v>3.5590000000000002</v>
      </c>
      <c r="CB241">
        <v>3.5920000000000001</v>
      </c>
      <c r="CC241">
        <v>3.5960000000000001</v>
      </c>
      <c r="CD241">
        <v>3.581</v>
      </c>
      <c r="CE241">
        <v>3.6760000000000002</v>
      </c>
      <c r="CF241" s="6">
        <v>3.766</v>
      </c>
      <c r="CG241" s="6">
        <v>3.786</v>
      </c>
      <c r="CH241">
        <v>3.7269999999999999</v>
      </c>
    </row>
    <row r="242" spans="2:86">
      <c r="B242" s="7">
        <v>45404</v>
      </c>
      <c r="C242">
        <v>3.4449999999999998</v>
      </c>
      <c r="D242">
        <v>3.448</v>
      </c>
      <c r="E242">
        <v>3.476</v>
      </c>
      <c r="F242">
        <v>3.4729999999999999</v>
      </c>
      <c r="G242">
        <v>3.5219999999999998</v>
      </c>
      <c r="H242">
        <v>3.51</v>
      </c>
      <c r="I242" s="6">
        <v>3.5779999999999998</v>
      </c>
      <c r="J242" s="6">
        <v>3.585</v>
      </c>
      <c r="K242" s="6">
        <v>3.6480000000000001</v>
      </c>
      <c r="L242" s="6">
        <v>3.6520000000000001</v>
      </c>
      <c r="M242" s="6">
        <v>3.5550000000000002</v>
      </c>
      <c r="N242" s="6">
        <v>3.45</v>
      </c>
      <c r="O242" s="7">
        <v>45404</v>
      </c>
      <c r="P242">
        <v>3.448</v>
      </c>
      <c r="Q242">
        <v>3.4319999999999999</v>
      </c>
      <c r="R242">
        <v>3.4340000000000002</v>
      </c>
      <c r="S242">
        <v>3.4950000000000001</v>
      </c>
      <c r="T242">
        <v>3.52</v>
      </c>
      <c r="U242" s="6">
        <v>3.5310000000000001</v>
      </c>
      <c r="V242" s="6">
        <v>0</v>
      </c>
      <c r="W242">
        <v>0</v>
      </c>
      <c r="X242" s="7">
        <v>45404</v>
      </c>
      <c r="Y242">
        <v>3.484</v>
      </c>
      <c r="Z242">
        <v>3.5070000000000001</v>
      </c>
      <c r="AA242">
        <v>3.5139999999999998</v>
      </c>
      <c r="AB242">
        <v>3.512</v>
      </c>
      <c r="AC242">
        <v>3.5950000000000002</v>
      </c>
      <c r="AD242" s="6">
        <v>3.6579999999999999</v>
      </c>
      <c r="AE242" s="6">
        <v>3.6880000000000002</v>
      </c>
      <c r="AF242">
        <v>3.6880000000000002</v>
      </c>
      <c r="AG242" s="7">
        <v>45404</v>
      </c>
      <c r="AH242">
        <v>3.5680000000000001</v>
      </c>
      <c r="AI242">
        <v>3.61</v>
      </c>
      <c r="AJ242">
        <v>3.613</v>
      </c>
      <c r="AK242">
        <v>3.6309999999999998</v>
      </c>
      <c r="AL242">
        <v>3.6320000000000001</v>
      </c>
      <c r="AM242" s="6">
        <v>3.6360000000000001</v>
      </c>
      <c r="AN242" s="6">
        <v>3.6869999999999998</v>
      </c>
      <c r="AO242">
        <v>3.762</v>
      </c>
      <c r="AP242" s="7">
        <v>45404</v>
      </c>
      <c r="AQ242">
        <v>3.7</v>
      </c>
      <c r="AR242">
        <v>3.746</v>
      </c>
      <c r="AS242">
        <v>3.786</v>
      </c>
      <c r="AT242">
        <v>3.8370000000000002</v>
      </c>
      <c r="AU242">
        <v>3.9</v>
      </c>
      <c r="AV242" s="6">
        <v>4</v>
      </c>
      <c r="AW242" s="6">
        <v>4.08</v>
      </c>
      <c r="AX242">
        <v>4.2469999999999999</v>
      </c>
      <c r="AY242" s="7">
        <v>45404</v>
      </c>
      <c r="AZ242">
        <v>3.5510000000000002</v>
      </c>
      <c r="BA242">
        <v>3.6059999999999999</v>
      </c>
      <c r="BB242">
        <v>3.6120000000000001</v>
      </c>
      <c r="BC242">
        <v>3.6150000000000002</v>
      </c>
      <c r="BD242">
        <v>3.65</v>
      </c>
      <c r="BE242" s="6">
        <v>3.6629999999999998</v>
      </c>
      <c r="BF242" s="6">
        <v>3.6850000000000001</v>
      </c>
      <c r="BG242">
        <v>3.706</v>
      </c>
      <c r="BH242" s="7">
        <v>45404</v>
      </c>
      <c r="BI242">
        <v>3.492</v>
      </c>
      <c r="BJ242">
        <v>3.552</v>
      </c>
      <c r="BK242">
        <v>3.544</v>
      </c>
      <c r="BL242">
        <v>3.5680000000000001</v>
      </c>
      <c r="BM242">
        <v>3.6</v>
      </c>
      <c r="BN242" s="6">
        <v>3.63</v>
      </c>
      <c r="BO242" s="6">
        <v>3.67</v>
      </c>
      <c r="BP242">
        <v>3.6970000000000001</v>
      </c>
      <c r="BQ242" s="7">
        <v>45404</v>
      </c>
      <c r="BR242">
        <v>3.8140000000000001</v>
      </c>
      <c r="BS242">
        <v>3.9009999999999998</v>
      </c>
      <c r="BT242">
        <v>3.9510000000000001</v>
      </c>
      <c r="BU242">
        <v>3.9950000000000001</v>
      </c>
      <c r="BV242">
        <v>4.0439999999999996</v>
      </c>
      <c r="BW242" s="6">
        <v>4.0890000000000004</v>
      </c>
      <c r="BX242" s="6">
        <v>4.1100000000000003</v>
      </c>
      <c r="BY242">
        <v>4.1399999999999997</v>
      </c>
      <c r="BZ242" s="7">
        <v>45404</v>
      </c>
      <c r="CA242">
        <v>3.5609999999999999</v>
      </c>
      <c r="CB242">
        <v>3.5950000000000002</v>
      </c>
      <c r="CC242">
        <v>3.6040000000000001</v>
      </c>
      <c r="CD242">
        <v>3.5960000000000001</v>
      </c>
      <c r="CE242">
        <v>3.6970000000000001</v>
      </c>
      <c r="CF242" s="6">
        <v>3.7890000000000001</v>
      </c>
      <c r="CG242" s="6">
        <v>3.8090000000000002</v>
      </c>
      <c r="CH242">
        <v>3.7490000000000001</v>
      </c>
    </row>
    <row r="243" spans="2:86">
      <c r="B243" s="7">
        <v>45401</v>
      </c>
      <c r="C243">
        <v>3.4460000000000002</v>
      </c>
      <c r="D243">
        <v>3.4510000000000001</v>
      </c>
      <c r="E243">
        <v>3.456</v>
      </c>
      <c r="F243">
        <v>3.448</v>
      </c>
      <c r="G243">
        <v>3.4969999999999999</v>
      </c>
      <c r="H243">
        <v>3.4769999999999999</v>
      </c>
      <c r="I243" s="6">
        <v>3.5430000000000001</v>
      </c>
      <c r="J243" s="6">
        <v>3.55</v>
      </c>
      <c r="K243" s="6">
        <v>3.601</v>
      </c>
      <c r="L243" s="6">
        <v>3.59</v>
      </c>
      <c r="M243" s="6">
        <v>3.49</v>
      </c>
      <c r="N243" s="6">
        <v>3.3919999999999999</v>
      </c>
      <c r="O243" s="7">
        <v>45401</v>
      </c>
      <c r="P243">
        <v>3.444</v>
      </c>
      <c r="Q243">
        <v>3.4209999999999998</v>
      </c>
      <c r="R243">
        <v>3.4180000000000001</v>
      </c>
      <c r="S243">
        <v>3.472</v>
      </c>
      <c r="T243">
        <v>3.4950000000000001</v>
      </c>
      <c r="U243" s="6">
        <v>3.5</v>
      </c>
      <c r="V243" s="6">
        <v>0</v>
      </c>
      <c r="W243">
        <v>0</v>
      </c>
      <c r="X243" s="7">
        <v>45401</v>
      </c>
      <c r="Y243">
        <v>3.4809999999999999</v>
      </c>
      <c r="Z243">
        <v>3.5070000000000001</v>
      </c>
      <c r="AA243">
        <v>3.4940000000000002</v>
      </c>
      <c r="AB243">
        <v>3.4870000000000001</v>
      </c>
      <c r="AC243">
        <v>3.57</v>
      </c>
      <c r="AD243" s="6">
        <v>3.6259999999999999</v>
      </c>
      <c r="AE243" s="6">
        <v>3.6549999999999998</v>
      </c>
      <c r="AF243">
        <v>3.653</v>
      </c>
      <c r="AG243" s="7">
        <v>45401</v>
      </c>
      <c r="AH243">
        <v>3.56</v>
      </c>
      <c r="AI243">
        <v>3.5990000000000002</v>
      </c>
      <c r="AJ243">
        <v>3.5950000000000002</v>
      </c>
      <c r="AK243">
        <v>3.6019999999999999</v>
      </c>
      <c r="AL243">
        <v>3.605</v>
      </c>
      <c r="AM243" s="6">
        <v>3.6030000000000002</v>
      </c>
      <c r="AN243" s="6">
        <v>3.6539999999999999</v>
      </c>
      <c r="AO243">
        <v>3.7290000000000001</v>
      </c>
      <c r="AP243" s="7">
        <v>45401</v>
      </c>
      <c r="AQ243">
        <v>3.7029999999999998</v>
      </c>
      <c r="AR243">
        <v>3.7429999999999999</v>
      </c>
      <c r="AS243">
        <v>3.78</v>
      </c>
      <c r="AT243">
        <v>3.8239999999999998</v>
      </c>
      <c r="AU243">
        <v>3.88</v>
      </c>
      <c r="AV243" s="6">
        <v>3.97</v>
      </c>
      <c r="AW243" s="6">
        <v>4.0490000000000004</v>
      </c>
      <c r="AX243">
        <v>4.2149999999999999</v>
      </c>
      <c r="AY243" s="7">
        <v>45401</v>
      </c>
      <c r="AZ243">
        <v>3.5449999999999999</v>
      </c>
      <c r="BA243">
        <v>3.5939999999999999</v>
      </c>
      <c r="BB243">
        <v>3.597</v>
      </c>
      <c r="BC243">
        <v>3.5880000000000001</v>
      </c>
      <c r="BD243">
        <v>3.6230000000000002</v>
      </c>
      <c r="BE243" s="6">
        <v>3.6280000000000001</v>
      </c>
      <c r="BF243" s="6">
        <v>3.6520000000000001</v>
      </c>
      <c r="BG243">
        <v>3.6749999999999998</v>
      </c>
      <c r="BH243" s="7">
        <v>45401</v>
      </c>
      <c r="BI243">
        <v>3.4870000000000001</v>
      </c>
      <c r="BJ243">
        <v>3.54</v>
      </c>
      <c r="BK243">
        <v>3.528</v>
      </c>
      <c r="BL243">
        <v>3.5409999999999999</v>
      </c>
      <c r="BM243">
        <v>3.573</v>
      </c>
      <c r="BN243" s="6">
        <v>3.597</v>
      </c>
      <c r="BO243" s="6">
        <v>3.637</v>
      </c>
      <c r="BP243">
        <v>3.6659999999999999</v>
      </c>
      <c r="BQ243" s="7">
        <v>45401</v>
      </c>
      <c r="BR243">
        <v>3.8079999999999998</v>
      </c>
      <c r="BS243">
        <v>3.8889999999999998</v>
      </c>
      <c r="BT243">
        <v>3.9350000000000001</v>
      </c>
      <c r="BU243">
        <v>3.968</v>
      </c>
      <c r="BV243">
        <v>4.016</v>
      </c>
      <c r="BW243" s="6">
        <v>4.0529999999999999</v>
      </c>
      <c r="BX243" s="6">
        <v>4.0759999999999996</v>
      </c>
      <c r="BY243">
        <v>4.109</v>
      </c>
      <c r="BZ243" s="7">
        <v>45401</v>
      </c>
      <c r="CA243">
        <v>3.5609999999999999</v>
      </c>
      <c r="CB243">
        <v>3.5979999999999999</v>
      </c>
      <c r="CC243">
        <v>3.5840000000000001</v>
      </c>
      <c r="CD243">
        <v>3.5710000000000002</v>
      </c>
      <c r="CE243">
        <v>3.6720000000000002</v>
      </c>
      <c r="CF243" s="6">
        <v>3.7570000000000001</v>
      </c>
      <c r="CG243" s="6">
        <v>3.774</v>
      </c>
      <c r="CH243">
        <v>3.714</v>
      </c>
    </row>
    <row r="244" spans="2:86">
      <c r="B244" s="7">
        <v>45400</v>
      </c>
      <c r="C244">
        <v>3.4260000000000002</v>
      </c>
      <c r="D244">
        <v>3.4329999999999998</v>
      </c>
      <c r="E244">
        <v>3.4329999999999998</v>
      </c>
      <c r="F244">
        <v>3.42</v>
      </c>
      <c r="G244">
        <v>3.448</v>
      </c>
      <c r="H244">
        <v>3.43</v>
      </c>
      <c r="I244" s="6">
        <v>3.492</v>
      </c>
      <c r="J244" s="6">
        <v>3.4980000000000002</v>
      </c>
      <c r="K244" s="6">
        <v>3.5590000000000002</v>
      </c>
      <c r="L244" s="6">
        <v>3.5649999999999999</v>
      </c>
      <c r="M244" s="6">
        <v>3.4750000000000001</v>
      </c>
      <c r="N244" s="6">
        <v>3.3820000000000001</v>
      </c>
      <c r="O244" s="7">
        <v>45400</v>
      </c>
      <c r="P244">
        <v>3.43</v>
      </c>
      <c r="Q244">
        <v>3.3929999999999998</v>
      </c>
      <c r="R244">
        <v>3.3879999999999999</v>
      </c>
      <c r="S244">
        <v>3.4359999999999999</v>
      </c>
      <c r="T244">
        <v>3.44</v>
      </c>
      <c r="U244" s="6">
        <v>3.452</v>
      </c>
      <c r="V244" s="6">
        <v>0</v>
      </c>
      <c r="W244">
        <v>0</v>
      </c>
      <c r="X244" s="7">
        <v>45400</v>
      </c>
      <c r="Y244">
        <v>3.4660000000000002</v>
      </c>
      <c r="Z244">
        <v>3.488</v>
      </c>
      <c r="AA244">
        <v>3.47</v>
      </c>
      <c r="AB244">
        <v>3.4590000000000001</v>
      </c>
      <c r="AC244">
        <v>3.5209999999999999</v>
      </c>
      <c r="AD244" s="6">
        <v>3.5790000000000002</v>
      </c>
      <c r="AE244" s="6">
        <v>3.6059999999999999</v>
      </c>
      <c r="AF244">
        <v>3.6080000000000001</v>
      </c>
      <c r="AG244" s="7">
        <v>45400</v>
      </c>
      <c r="AH244">
        <v>3.5430000000000001</v>
      </c>
      <c r="AI244">
        <v>3.5720000000000001</v>
      </c>
      <c r="AJ244">
        <v>3.5640000000000001</v>
      </c>
      <c r="AK244">
        <v>3.5649999999999999</v>
      </c>
      <c r="AL244">
        <v>3.55</v>
      </c>
      <c r="AM244" s="6">
        <v>3.556</v>
      </c>
      <c r="AN244" s="6">
        <v>3.6030000000000002</v>
      </c>
      <c r="AO244">
        <v>3.6779999999999999</v>
      </c>
      <c r="AP244" s="7">
        <v>45400</v>
      </c>
      <c r="AQ244">
        <v>3.7010000000000001</v>
      </c>
      <c r="AR244">
        <v>3.73</v>
      </c>
      <c r="AS244">
        <v>3.7650000000000001</v>
      </c>
      <c r="AT244">
        <v>3.7949999999999999</v>
      </c>
      <c r="AU244">
        <v>3.8380000000000001</v>
      </c>
      <c r="AV244" s="6">
        <v>3.9380000000000002</v>
      </c>
      <c r="AW244" s="6">
        <v>4.0179999999999998</v>
      </c>
      <c r="AX244">
        <v>4.1829999999999998</v>
      </c>
      <c r="AY244" s="7">
        <v>45400</v>
      </c>
      <c r="AZ244">
        <v>3.5350000000000001</v>
      </c>
      <c r="BA244">
        <v>3.569</v>
      </c>
      <c r="BB244">
        <v>3.57</v>
      </c>
      <c r="BC244">
        <v>3.5529999999999999</v>
      </c>
      <c r="BD244">
        <v>3.569</v>
      </c>
      <c r="BE244" s="6">
        <v>3.589</v>
      </c>
      <c r="BF244" s="6">
        <v>3.609</v>
      </c>
      <c r="BG244">
        <v>3.63</v>
      </c>
      <c r="BH244" s="7">
        <v>45400</v>
      </c>
      <c r="BI244">
        <v>3.4769999999999999</v>
      </c>
      <c r="BJ244">
        <v>3.5150000000000001</v>
      </c>
      <c r="BK244">
        <v>3.5009999999999999</v>
      </c>
      <c r="BL244">
        <v>3.5049999999999999</v>
      </c>
      <c r="BM244">
        <v>3.5190000000000001</v>
      </c>
      <c r="BN244" s="6">
        <v>3.5510000000000002</v>
      </c>
      <c r="BO244" s="6">
        <v>3.5870000000000002</v>
      </c>
      <c r="BP244">
        <v>3.617</v>
      </c>
      <c r="BQ244" s="7">
        <v>45400</v>
      </c>
      <c r="BR244">
        <v>3.798</v>
      </c>
      <c r="BS244">
        <v>3.8639999999999999</v>
      </c>
      <c r="BT244">
        <v>3.9079999999999999</v>
      </c>
      <c r="BU244">
        <v>3.9319999999999999</v>
      </c>
      <c r="BV244">
        <v>3.9630000000000001</v>
      </c>
      <c r="BW244" s="6">
        <v>4.0110000000000001</v>
      </c>
      <c r="BX244" s="6">
        <v>4.03</v>
      </c>
      <c r="BY244">
        <v>4.0590000000000002</v>
      </c>
      <c r="BZ244" s="7">
        <v>45400</v>
      </c>
      <c r="CA244">
        <v>3.5459999999999998</v>
      </c>
      <c r="CB244">
        <v>3.58</v>
      </c>
      <c r="CC244">
        <v>3.5609999999999999</v>
      </c>
      <c r="CD244">
        <v>3.5430000000000001</v>
      </c>
      <c r="CE244">
        <v>3.6219999999999999</v>
      </c>
      <c r="CF244" s="6">
        <v>3.7109999999999999</v>
      </c>
      <c r="CG244" s="6">
        <v>3.7250000000000001</v>
      </c>
      <c r="CH244">
        <v>3.669</v>
      </c>
    </row>
    <row r="245" spans="2:86">
      <c r="B245" s="7">
        <v>45399</v>
      </c>
      <c r="C245">
        <v>3.4350000000000001</v>
      </c>
      <c r="D245">
        <v>3.44</v>
      </c>
      <c r="E245">
        <v>3.44</v>
      </c>
      <c r="F245">
        <v>3.4529999999999998</v>
      </c>
      <c r="G245">
        <v>3.4820000000000002</v>
      </c>
      <c r="H245">
        <v>3.4649999999999999</v>
      </c>
      <c r="I245" s="6">
        <v>3.524</v>
      </c>
      <c r="J245" s="6">
        <v>3.532</v>
      </c>
      <c r="K245" s="6">
        <v>3.6059999999999999</v>
      </c>
      <c r="L245" s="6">
        <v>3.625</v>
      </c>
      <c r="M245" s="6">
        <v>3.5249999999999999</v>
      </c>
      <c r="N245" s="6">
        <v>3.4249999999999998</v>
      </c>
      <c r="O245" s="7">
        <v>45399</v>
      </c>
      <c r="P245">
        <v>3.4319999999999999</v>
      </c>
      <c r="Q245">
        <v>3.3929999999999998</v>
      </c>
      <c r="R245">
        <v>3.3879999999999999</v>
      </c>
      <c r="S245">
        <v>3.4609999999999999</v>
      </c>
      <c r="T245">
        <v>3.4649999999999999</v>
      </c>
      <c r="U245" s="6">
        <v>3.49</v>
      </c>
      <c r="V245" s="6">
        <v>0</v>
      </c>
      <c r="W245">
        <v>0</v>
      </c>
      <c r="X245" s="7">
        <v>45399</v>
      </c>
      <c r="Y245">
        <v>3.4740000000000002</v>
      </c>
      <c r="Z245">
        <v>3.4980000000000002</v>
      </c>
      <c r="AA245">
        <v>3.4750000000000001</v>
      </c>
      <c r="AB245">
        <v>3.492</v>
      </c>
      <c r="AC245">
        <v>3.5569999999999999</v>
      </c>
      <c r="AD245" s="6">
        <v>3.6160000000000001</v>
      </c>
      <c r="AE245" s="6">
        <v>3.64</v>
      </c>
      <c r="AF245">
        <v>3.6539999999999999</v>
      </c>
      <c r="AG245" s="7">
        <v>45399</v>
      </c>
      <c r="AH245">
        <v>3.5409999999999999</v>
      </c>
      <c r="AI245">
        <v>3.5720000000000001</v>
      </c>
      <c r="AJ245">
        <v>3.56</v>
      </c>
      <c r="AK245">
        <v>3.58</v>
      </c>
      <c r="AL245">
        <v>3.5710000000000002</v>
      </c>
      <c r="AM245" s="6">
        <v>3.5910000000000002</v>
      </c>
      <c r="AN245" s="6">
        <v>3.637</v>
      </c>
      <c r="AO245">
        <v>3.714</v>
      </c>
      <c r="AP245" s="7">
        <v>45399</v>
      </c>
      <c r="AQ245">
        <v>3.7080000000000002</v>
      </c>
      <c r="AR245">
        <v>3.74</v>
      </c>
      <c r="AS245">
        <v>3.7749999999999999</v>
      </c>
      <c r="AT245">
        <v>3.8279999999999998</v>
      </c>
      <c r="AU245">
        <v>3.8719999999999999</v>
      </c>
      <c r="AV245" s="6">
        <v>3.976</v>
      </c>
      <c r="AW245" s="6">
        <v>4.0529999999999999</v>
      </c>
      <c r="AX245">
        <v>4.2190000000000003</v>
      </c>
      <c r="AY245" s="7">
        <v>45399</v>
      </c>
      <c r="AZ245">
        <v>3.5409999999999999</v>
      </c>
      <c r="BA245">
        <v>3.5710000000000002</v>
      </c>
      <c r="BB245">
        <v>3.573</v>
      </c>
      <c r="BC245">
        <v>3.581</v>
      </c>
      <c r="BD245">
        <v>3.5990000000000002</v>
      </c>
      <c r="BE245" s="6">
        <v>3.629</v>
      </c>
      <c r="BF245" s="6">
        <v>3.6389999999999998</v>
      </c>
      <c r="BG245">
        <v>3.6640000000000001</v>
      </c>
      <c r="BH245" s="7">
        <v>45399</v>
      </c>
      <c r="BI245">
        <v>3.48</v>
      </c>
      <c r="BJ245">
        <v>3.5150000000000001</v>
      </c>
      <c r="BK245">
        <v>3.5009999999999999</v>
      </c>
      <c r="BL245">
        <v>3.5339999999999998</v>
      </c>
      <c r="BM245">
        <v>3.5489999999999999</v>
      </c>
      <c r="BN245" s="6">
        <v>3.5859999999999999</v>
      </c>
      <c r="BO245" s="6">
        <v>3.6190000000000002</v>
      </c>
      <c r="BP245">
        <v>3.6539999999999999</v>
      </c>
      <c r="BQ245" s="7">
        <v>45399</v>
      </c>
      <c r="BR245">
        <v>3.802</v>
      </c>
      <c r="BS245">
        <v>3.8639999999999999</v>
      </c>
      <c r="BT245">
        <v>3.9079999999999999</v>
      </c>
      <c r="BU245">
        <v>3.9609999999999999</v>
      </c>
      <c r="BV245">
        <v>3.9929999999999999</v>
      </c>
      <c r="BW245" s="6">
        <v>4.0510000000000002</v>
      </c>
      <c r="BX245" s="6">
        <v>4.0609999999999999</v>
      </c>
      <c r="BY245">
        <v>4.093</v>
      </c>
      <c r="BZ245" s="7">
        <v>45399</v>
      </c>
      <c r="CA245">
        <v>3.5539999999999998</v>
      </c>
      <c r="CB245">
        <v>3.5870000000000002</v>
      </c>
      <c r="CC245">
        <v>3.5670000000000002</v>
      </c>
      <c r="CD245">
        <v>3.5760000000000001</v>
      </c>
      <c r="CE245">
        <v>3.6579999999999999</v>
      </c>
      <c r="CF245" s="6">
        <v>3.7469999999999999</v>
      </c>
      <c r="CG245" s="6">
        <v>3.7589999999999999</v>
      </c>
      <c r="CH245">
        <v>3.7149999999999999</v>
      </c>
    </row>
    <row r="246" spans="2:86">
      <c r="B246" s="7">
        <v>45398</v>
      </c>
      <c r="C246">
        <v>3.4430000000000001</v>
      </c>
      <c r="D246">
        <v>3.44</v>
      </c>
      <c r="E246">
        <v>3.4409999999999998</v>
      </c>
      <c r="F246">
        <v>3.4630000000000001</v>
      </c>
      <c r="G246">
        <v>3.4870000000000001</v>
      </c>
      <c r="H246">
        <v>3.47</v>
      </c>
      <c r="I246" s="6">
        <v>3.5289999999999999</v>
      </c>
      <c r="J246" s="6">
        <v>3.5379999999999998</v>
      </c>
      <c r="K246" s="6">
        <v>3.6110000000000002</v>
      </c>
      <c r="L246" s="6">
        <v>3.6269999999999998</v>
      </c>
      <c r="M246" s="6">
        <v>3.53</v>
      </c>
      <c r="N246" s="6">
        <v>3.4369999999999998</v>
      </c>
      <c r="O246" s="7">
        <v>45398</v>
      </c>
      <c r="P246">
        <v>3.4340000000000002</v>
      </c>
      <c r="Q246">
        <v>3.391</v>
      </c>
      <c r="R246">
        <v>3.3849999999999998</v>
      </c>
      <c r="S246">
        <v>3.4620000000000002</v>
      </c>
      <c r="T246">
        <v>3.472</v>
      </c>
      <c r="U246" s="6">
        <v>3.5</v>
      </c>
      <c r="V246" s="6">
        <v>0</v>
      </c>
      <c r="W246">
        <v>0</v>
      </c>
      <c r="X246" s="7">
        <v>45398</v>
      </c>
      <c r="Y246">
        <v>3.4769999999999999</v>
      </c>
      <c r="Z246">
        <v>3.5</v>
      </c>
      <c r="AA246">
        <v>3.4729999999999999</v>
      </c>
      <c r="AB246">
        <v>3.5019999999999998</v>
      </c>
      <c r="AC246">
        <v>3.5619999999999998</v>
      </c>
      <c r="AD246" s="6">
        <v>3.621</v>
      </c>
      <c r="AE246" s="6">
        <v>3.645</v>
      </c>
      <c r="AF246">
        <v>3.661</v>
      </c>
      <c r="AG246" s="7">
        <v>45398</v>
      </c>
      <c r="AH246">
        <v>3.5430000000000001</v>
      </c>
      <c r="AI246">
        <v>3.5680000000000001</v>
      </c>
      <c r="AJ246">
        <v>3.5550000000000002</v>
      </c>
      <c r="AK246">
        <v>3.577</v>
      </c>
      <c r="AL246">
        <v>3.5750000000000002</v>
      </c>
      <c r="AM246" s="6">
        <v>3.5979999999999999</v>
      </c>
      <c r="AN246" s="6">
        <v>3.6419999999999999</v>
      </c>
      <c r="AO246">
        <v>3.72</v>
      </c>
      <c r="AP246" s="7">
        <v>45398</v>
      </c>
      <c r="AQ246">
        <v>3.71</v>
      </c>
      <c r="AR246">
        <v>3.7440000000000002</v>
      </c>
      <c r="AS246">
        <v>3.7810000000000001</v>
      </c>
      <c r="AT246">
        <v>3.839</v>
      </c>
      <c r="AU246">
        <v>3.89</v>
      </c>
      <c r="AV246" s="6">
        <v>3.9910000000000001</v>
      </c>
      <c r="AW246" s="6">
        <v>4.0659999999999998</v>
      </c>
      <c r="AX246">
        <v>4.234</v>
      </c>
      <c r="AY246" s="7">
        <v>45398</v>
      </c>
      <c r="AZ246">
        <v>3.5409999999999999</v>
      </c>
      <c r="BA246">
        <v>3.573</v>
      </c>
      <c r="BB246">
        <v>3.573</v>
      </c>
      <c r="BC246">
        <v>3.5880000000000001</v>
      </c>
      <c r="BD246">
        <v>3.6040000000000001</v>
      </c>
      <c r="BE246" s="6">
        <v>3.6320000000000001</v>
      </c>
      <c r="BF246" s="6">
        <v>3.6480000000000001</v>
      </c>
      <c r="BG246">
        <v>3.6760000000000002</v>
      </c>
      <c r="BH246" s="7">
        <v>45398</v>
      </c>
      <c r="BI246">
        <v>3.4820000000000002</v>
      </c>
      <c r="BJ246">
        <v>3.5169999999999999</v>
      </c>
      <c r="BK246">
        <v>3.5009999999999999</v>
      </c>
      <c r="BL246">
        <v>3.54</v>
      </c>
      <c r="BM246">
        <v>3.5619999999999998</v>
      </c>
      <c r="BN246" s="6">
        <v>3.5950000000000002</v>
      </c>
      <c r="BO246" s="6">
        <v>3.6240000000000001</v>
      </c>
      <c r="BP246">
        <v>3.6640000000000001</v>
      </c>
      <c r="BQ246" s="7">
        <v>45398</v>
      </c>
      <c r="BR246">
        <v>3.8029999999999999</v>
      </c>
      <c r="BS246">
        <v>3.8660000000000001</v>
      </c>
      <c r="BT246">
        <v>3.9079999999999999</v>
      </c>
      <c r="BU246">
        <v>3.9689999999999999</v>
      </c>
      <c r="BV246">
        <v>3.9980000000000002</v>
      </c>
      <c r="BW246" s="6">
        <v>4.0549999999999997</v>
      </c>
      <c r="BX246" s="6">
        <v>4.069</v>
      </c>
      <c r="BY246">
        <v>4.1050000000000004</v>
      </c>
      <c r="BZ246" s="7">
        <v>45398</v>
      </c>
      <c r="CA246">
        <v>3.556</v>
      </c>
      <c r="CB246">
        <v>3.5880000000000001</v>
      </c>
      <c r="CC246">
        <v>3.5659999999999998</v>
      </c>
      <c r="CD246">
        <v>3.5859999999999999</v>
      </c>
      <c r="CE246">
        <v>3.6629999999999998</v>
      </c>
      <c r="CF246" s="6">
        <v>3.7519999999999998</v>
      </c>
      <c r="CG246" s="6">
        <v>3.7639999999999998</v>
      </c>
      <c r="CH246">
        <v>3.7229999999999999</v>
      </c>
    </row>
    <row r="247" spans="2:86">
      <c r="B247" s="7">
        <v>45397</v>
      </c>
      <c r="C247">
        <v>3.4430000000000001</v>
      </c>
      <c r="D247">
        <v>3.44</v>
      </c>
      <c r="E247">
        <v>3.4350000000000001</v>
      </c>
      <c r="F247">
        <v>3.46</v>
      </c>
      <c r="G247">
        <v>3.4660000000000002</v>
      </c>
      <c r="H247">
        <v>3.4369999999999998</v>
      </c>
      <c r="I247" s="6">
        <v>3.4950000000000001</v>
      </c>
      <c r="J247" s="6">
        <v>3.4940000000000002</v>
      </c>
      <c r="K247" s="6">
        <v>3.5550000000000002</v>
      </c>
      <c r="L247" s="6">
        <v>3.5569999999999999</v>
      </c>
      <c r="M247" s="6">
        <v>3.48</v>
      </c>
      <c r="N247" s="6">
        <v>3.39</v>
      </c>
      <c r="O247" s="7">
        <v>45397</v>
      </c>
      <c r="P247">
        <v>3.42</v>
      </c>
      <c r="Q247">
        <v>3.383</v>
      </c>
      <c r="R247">
        <v>3.3780000000000001</v>
      </c>
      <c r="S247">
        <v>3.4409999999999998</v>
      </c>
      <c r="T247">
        <v>3.4449999999999998</v>
      </c>
      <c r="U247" s="6">
        <v>3.468</v>
      </c>
      <c r="V247" s="6">
        <v>0</v>
      </c>
      <c r="W247">
        <v>0</v>
      </c>
      <c r="X247" s="7">
        <v>45397</v>
      </c>
      <c r="Y247">
        <v>3.4820000000000002</v>
      </c>
      <c r="Z247">
        <v>3.5</v>
      </c>
      <c r="AA247">
        <v>3.4660000000000002</v>
      </c>
      <c r="AB247">
        <v>3.4990000000000001</v>
      </c>
      <c r="AC247">
        <v>3.5409999999999999</v>
      </c>
      <c r="AD247" s="6">
        <v>3.597</v>
      </c>
      <c r="AE247" s="6">
        <v>3.6120000000000001</v>
      </c>
      <c r="AF247">
        <v>3.62</v>
      </c>
      <c r="AG247" s="7">
        <v>45397</v>
      </c>
      <c r="AH247">
        <v>3.536</v>
      </c>
      <c r="AI247">
        <v>3.5619999999999998</v>
      </c>
      <c r="AJ247">
        <v>3.548</v>
      </c>
      <c r="AK247">
        <v>3.5619999999999998</v>
      </c>
      <c r="AL247">
        <v>3.5529999999999999</v>
      </c>
      <c r="AM247" s="6">
        <v>3.5739999999999998</v>
      </c>
      <c r="AN247" s="6">
        <v>3.6139999999999999</v>
      </c>
      <c r="AO247">
        <v>3.6840000000000002</v>
      </c>
      <c r="AP247" s="7">
        <v>45397</v>
      </c>
      <c r="AQ247">
        <v>3.706</v>
      </c>
      <c r="AR247">
        <v>3.7410000000000001</v>
      </c>
      <c r="AS247">
        <v>3.7770000000000001</v>
      </c>
      <c r="AT247">
        <v>3.8210000000000002</v>
      </c>
      <c r="AU247">
        <v>3.8679999999999999</v>
      </c>
      <c r="AV247" s="6">
        <v>3.9649999999999999</v>
      </c>
      <c r="AW247" s="6">
        <v>4.0389999999999997</v>
      </c>
      <c r="AX247">
        <v>4.1980000000000004</v>
      </c>
      <c r="AY247" s="7">
        <v>45397</v>
      </c>
      <c r="AZ247">
        <v>3.5259999999999998</v>
      </c>
      <c r="BA247">
        <v>3.5630000000000002</v>
      </c>
      <c r="BB247">
        <v>3.5649999999999999</v>
      </c>
      <c r="BC247">
        <v>3.569</v>
      </c>
      <c r="BD247">
        <v>3.5859999999999999</v>
      </c>
      <c r="BE247" s="6">
        <v>3.6059999999999999</v>
      </c>
      <c r="BF247" s="6">
        <v>3.6160000000000001</v>
      </c>
      <c r="BG247">
        <v>3.6379999999999999</v>
      </c>
      <c r="BH247" s="7">
        <v>45397</v>
      </c>
      <c r="BI247">
        <v>3.4670000000000001</v>
      </c>
      <c r="BJ247">
        <v>3.512</v>
      </c>
      <c r="BK247">
        <v>3.496</v>
      </c>
      <c r="BL247">
        <v>3.524</v>
      </c>
      <c r="BM247">
        <v>3.544</v>
      </c>
      <c r="BN247" s="6">
        <v>3.569</v>
      </c>
      <c r="BO247" s="6">
        <v>3.5939999999999999</v>
      </c>
      <c r="BP247">
        <v>3.6219999999999999</v>
      </c>
      <c r="BQ247" s="7">
        <v>45397</v>
      </c>
      <c r="BR247">
        <v>3.7850000000000001</v>
      </c>
      <c r="BS247">
        <v>3.8610000000000002</v>
      </c>
      <c r="BT247">
        <v>3.907</v>
      </c>
      <c r="BU247">
        <v>3.956</v>
      </c>
      <c r="BV247">
        <v>3.9830000000000001</v>
      </c>
      <c r="BW247" s="6">
        <v>4.0279999999999996</v>
      </c>
      <c r="BX247" s="6">
        <v>4.0380000000000003</v>
      </c>
      <c r="BY247">
        <v>4.0679999999999996</v>
      </c>
      <c r="BZ247" s="7">
        <v>45397</v>
      </c>
      <c r="CA247">
        <v>3.556</v>
      </c>
      <c r="CB247">
        <v>3.5880000000000001</v>
      </c>
      <c r="CC247">
        <v>3.5590000000000002</v>
      </c>
      <c r="CD247">
        <v>3.5830000000000002</v>
      </c>
      <c r="CE247">
        <v>3.6429999999999998</v>
      </c>
      <c r="CF247" s="6">
        <v>3.722</v>
      </c>
      <c r="CG247" s="6">
        <v>3.7320000000000002</v>
      </c>
      <c r="CH247">
        <v>3.6819999999999999</v>
      </c>
    </row>
    <row r="248" spans="2:86">
      <c r="B248" s="7">
        <v>45394</v>
      </c>
      <c r="C248">
        <v>3.45</v>
      </c>
      <c r="D248">
        <v>3.4279999999999999</v>
      </c>
      <c r="E248">
        <v>3.423</v>
      </c>
      <c r="F248">
        <v>3.448</v>
      </c>
      <c r="G248">
        <v>3.4249999999999998</v>
      </c>
      <c r="H248">
        <v>3.3980000000000001</v>
      </c>
      <c r="I248" s="6">
        <v>3.4470000000000001</v>
      </c>
      <c r="J248" s="6">
        <v>3.452</v>
      </c>
      <c r="K248" s="6">
        <v>3.5259999999999998</v>
      </c>
      <c r="L248" s="6">
        <v>3.5369999999999999</v>
      </c>
      <c r="M248" s="6">
        <v>3.45</v>
      </c>
      <c r="N248" s="6">
        <v>3.359</v>
      </c>
      <c r="O248" s="7">
        <v>45394</v>
      </c>
      <c r="P248">
        <v>3.4220000000000002</v>
      </c>
      <c r="Q248">
        <v>3.3780000000000001</v>
      </c>
      <c r="R248">
        <v>3.3660000000000001</v>
      </c>
      <c r="S248">
        <v>3.4119999999999999</v>
      </c>
      <c r="T248">
        <v>3.41</v>
      </c>
      <c r="U248" s="6">
        <v>3.4329999999999998</v>
      </c>
      <c r="V248" s="6">
        <v>0</v>
      </c>
      <c r="W248">
        <v>0</v>
      </c>
      <c r="X248" s="7">
        <v>45394</v>
      </c>
      <c r="Y248">
        <v>3.4860000000000002</v>
      </c>
      <c r="Z248">
        <v>3.492</v>
      </c>
      <c r="AA248">
        <v>3.4540000000000002</v>
      </c>
      <c r="AB248">
        <v>3.4809999999999999</v>
      </c>
      <c r="AC248">
        <v>3.5030000000000001</v>
      </c>
      <c r="AD248" s="6">
        <v>3.56</v>
      </c>
      <c r="AE248" s="6">
        <v>3.5659999999999998</v>
      </c>
      <c r="AF248">
        <v>3.58</v>
      </c>
      <c r="AG248" s="7">
        <v>45394</v>
      </c>
      <c r="AH248">
        <v>3.5419999999999998</v>
      </c>
      <c r="AI248">
        <v>3.5609999999999999</v>
      </c>
      <c r="AJ248">
        <v>3.5409999999999999</v>
      </c>
      <c r="AK248">
        <v>3.5390000000000001</v>
      </c>
      <c r="AL248">
        <v>3.524</v>
      </c>
      <c r="AM248" s="6">
        <v>3.544</v>
      </c>
      <c r="AN248" s="6">
        <v>3.577</v>
      </c>
      <c r="AO248">
        <v>3.6480000000000001</v>
      </c>
      <c r="AP248" s="7">
        <v>45394</v>
      </c>
      <c r="AQ248">
        <v>3.7149999999999999</v>
      </c>
      <c r="AR248">
        <v>3.7410000000000001</v>
      </c>
      <c r="AS248">
        <v>3.7709999999999999</v>
      </c>
      <c r="AT248">
        <v>3.7949999999999999</v>
      </c>
      <c r="AU248">
        <v>3.839</v>
      </c>
      <c r="AV248" s="6">
        <v>3.9289999999999998</v>
      </c>
      <c r="AW248" s="6">
        <v>3.9929999999999999</v>
      </c>
      <c r="AX248">
        <v>4.157</v>
      </c>
      <c r="AY248" s="7">
        <v>45394</v>
      </c>
      <c r="AZ248">
        <v>3.5339999999999998</v>
      </c>
      <c r="BA248">
        <v>3.5640000000000001</v>
      </c>
      <c r="BB248">
        <v>3.55</v>
      </c>
      <c r="BC248">
        <v>3.5379999999999998</v>
      </c>
      <c r="BD248">
        <v>3.5489999999999999</v>
      </c>
      <c r="BE248" s="6">
        <v>3.57</v>
      </c>
      <c r="BF248" s="6">
        <v>3.5640000000000001</v>
      </c>
      <c r="BG248">
        <v>3.5960000000000001</v>
      </c>
      <c r="BH248" s="7">
        <v>45394</v>
      </c>
      <c r="BI248">
        <v>3.47</v>
      </c>
      <c r="BJ248">
        <v>3.51</v>
      </c>
      <c r="BK248">
        <v>3.4849999999999999</v>
      </c>
      <c r="BL248">
        <v>3.4940000000000002</v>
      </c>
      <c r="BM248">
        <v>3.5110000000000001</v>
      </c>
      <c r="BN248" s="6">
        <v>3.5329999999999999</v>
      </c>
      <c r="BO248" s="6">
        <v>3.5470000000000002</v>
      </c>
      <c r="BP248">
        <v>3.5819999999999999</v>
      </c>
      <c r="BQ248" s="7">
        <v>45394</v>
      </c>
      <c r="BR248">
        <v>3.7930000000000001</v>
      </c>
      <c r="BS248">
        <v>3.8620000000000001</v>
      </c>
      <c r="BT248">
        <v>3.8919999999999999</v>
      </c>
      <c r="BU248">
        <v>3.9239999999999999</v>
      </c>
      <c r="BV248">
        <v>3.9460000000000002</v>
      </c>
      <c r="BW248" s="6">
        <v>3.9929999999999999</v>
      </c>
      <c r="BX248" s="6">
        <v>3.9860000000000002</v>
      </c>
      <c r="BY248">
        <v>4.0259999999999998</v>
      </c>
      <c r="BZ248" s="7">
        <v>45394</v>
      </c>
      <c r="CA248">
        <v>3.56</v>
      </c>
      <c r="CB248">
        <v>3.58</v>
      </c>
      <c r="CC248">
        <v>3.5470000000000002</v>
      </c>
      <c r="CD248">
        <v>3.5640000000000001</v>
      </c>
      <c r="CE248">
        <v>3.6040000000000001</v>
      </c>
      <c r="CF248" s="6">
        <v>3.6850000000000001</v>
      </c>
      <c r="CG248" s="6">
        <v>3.6869999999999998</v>
      </c>
      <c r="CH248">
        <v>3.6389999999999998</v>
      </c>
    </row>
    <row r="249" spans="2:86">
      <c r="B249" s="7">
        <v>45393</v>
      </c>
      <c r="C249">
        <v>3.4630000000000001</v>
      </c>
      <c r="D249">
        <v>3.44</v>
      </c>
      <c r="E249">
        <v>3.4449999999999998</v>
      </c>
      <c r="F249">
        <v>3.4820000000000002</v>
      </c>
      <c r="G249">
        <v>3.4849999999999999</v>
      </c>
      <c r="H249">
        <v>3.46</v>
      </c>
      <c r="I249" s="6">
        <v>3.5169999999999999</v>
      </c>
      <c r="J249" s="6">
        <v>3.51</v>
      </c>
      <c r="K249" s="6">
        <v>3.581</v>
      </c>
      <c r="L249" s="6">
        <v>3.5870000000000002</v>
      </c>
      <c r="M249" s="6">
        <v>3.49</v>
      </c>
      <c r="N249" s="6">
        <v>3.39</v>
      </c>
      <c r="O249" s="7">
        <v>45393</v>
      </c>
      <c r="P249">
        <v>3.4319999999999999</v>
      </c>
      <c r="Q249">
        <v>3.3879999999999999</v>
      </c>
      <c r="R249">
        <v>3.3809999999999998</v>
      </c>
      <c r="S249">
        <v>3.47</v>
      </c>
      <c r="T249">
        <v>3.4750000000000001</v>
      </c>
      <c r="U249" s="6">
        <v>3.4950000000000001</v>
      </c>
      <c r="V249" s="6">
        <v>0</v>
      </c>
      <c r="W249">
        <v>0</v>
      </c>
      <c r="X249" s="7">
        <v>45393</v>
      </c>
      <c r="Y249">
        <v>3.496</v>
      </c>
      <c r="Z249">
        <v>3.5009999999999999</v>
      </c>
      <c r="AA249">
        <v>3.4780000000000002</v>
      </c>
      <c r="AB249">
        <v>3.5310000000000001</v>
      </c>
      <c r="AC249">
        <v>3.5579999999999998</v>
      </c>
      <c r="AD249" s="6">
        <v>3.6219999999999999</v>
      </c>
      <c r="AE249" s="6">
        <v>3.637</v>
      </c>
      <c r="AF249">
        <v>3.6389999999999998</v>
      </c>
      <c r="AG249" s="7">
        <v>45393</v>
      </c>
      <c r="AH249">
        <v>3.5590000000000002</v>
      </c>
      <c r="AI249">
        <v>3.5790000000000002</v>
      </c>
      <c r="AJ249">
        <v>3.5609999999999999</v>
      </c>
      <c r="AK249">
        <v>3.5960000000000001</v>
      </c>
      <c r="AL249">
        <v>3.5880000000000001</v>
      </c>
      <c r="AM249" s="6">
        <v>3.6040000000000001</v>
      </c>
      <c r="AN249" s="6">
        <v>3.6440000000000001</v>
      </c>
      <c r="AO249">
        <v>3.706</v>
      </c>
      <c r="AP249" s="7">
        <v>45393</v>
      </c>
      <c r="AQ249">
        <v>3.7280000000000002</v>
      </c>
      <c r="AR249">
        <v>3.754</v>
      </c>
      <c r="AS249">
        <v>3.7869999999999999</v>
      </c>
      <c r="AT249">
        <v>3.8410000000000002</v>
      </c>
      <c r="AU249">
        <v>3.8940000000000001</v>
      </c>
      <c r="AV249" s="6">
        <v>3.9860000000000002</v>
      </c>
      <c r="AW249" s="6">
        <v>4.0579999999999998</v>
      </c>
      <c r="AX249">
        <v>4.2149999999999999</v>
      </c>
      <c r="AY249" s="7">
        <v>45393</v>
      </c>
      <c r="AZ249">
        <v>3.548</v>
      </c>
      <c r="BA249">
        <v>3.5779999999999998</v>
      </c>
      <c r="BB249">
        <v>3.5680000000000001</v>
      </c>
      <c r="BC249">
        <v>3.5960000000000001</v>
      </c>
      <c r="BD249">
        <v>3.6139999999999999</v>
      </c>
      <c r="BE249" s="6">
        <v>3.6320000000000001</v>
      </c>
      <c r="BF249" s="6">
        <v>3.6339999999999999</v>
      </c>
      <c r="BG249">
        <v>3.6539999999999999</v>
      </c>
      <c r="BH249" s="7">
        <v>45393</v>
      </c>
      <c r="BI249">
        <v>3.4830000000000001</v>
      </c>
      <c r="BJ249">
        <v>3.5230000000000001</v>
      </c>
      <c r="BK249">
        <v>3.5030000000000001</v>
      </c>
      <c r="BL249">
        <v>3.5449999999999999</v>
      </c>
      <c r="BM249">
        <v>3.5760000000000001</v>
      </c>
      <c r="BN249" s="6">
        <v>3.5950000000000002</v>
      </c>
      <c r="BO249" s="6">
        <v>3.617</v>
      </c>
      <c r="BP249">
        <v>3.64</v>
      </c>
      <c r="BQ249" s="7">
        <v>45393</v>
      </c>
      <c r="BR249">
        <v>3.8069999999999999</v>
      </c>
      <c r="BS249">
        <v>3.8759999999999999</v>
      </c>
      <c r="BT249">
        <v>3.9079999999999999</v>
      </c>
      <c r="BU249">
        <v>3.9820000000000002</v>
      </c>
      <c r="BV249">
        <v>4.0110000000000001</v>
      </c>
      <c r="BW249" s="6">
        <v>4.0549999999999997</v>
      </c>
      <c r="BX249" s="6">
        <v>4.0570000000000004</v>
      </c>
      <c r="BY249">
        <v>4.0830000000000002</v>
      </c>
      <c r="BZ249" s="7">
        <v>45393</v>
      </c>
      <c r="CA249">
        <v>3.57</v>
      </c>
      <c r="CB249">
        <v>3.5880000000000001</v>
      </c>
      <c r="CC249">
        <v>3.5710000000000002</v>
      </c>
      <c r="CD249">
        <v>3.613</v>
      </c>
      <c r="CE249">
        <v>3.661</v>
      </c>
      <c r="CF249" s="6">
        <v>3.746</v>
      </c>
      <c r="CG249" s="6">
        <v>3.758</v>
      </c>
      <c r="CH249">
        <v>3.698</v>
      </c>
    </row>
    <row r="250" spans="2:86">
      <c r="B250" s="7">
        <v>45391</v>
      </c>
      <c r="C250">
        <v>3.4409999999999998</v>
      </c>
      <c r="D250">
        <v>3.4159999999999999</v>
      </c>
      <c r="E250">
        <v>3.4060000000000001</v>
      </c>
      <c r="F250">
        <v>3.4209999999999998</v>
      </c>
      <c r="G250">
        <v>3.4249999999999998</v>
      </c>
      <c r="H250">
        <v>3.387</v>
      </c>
      <c r="I250" s="6">
        <v>3.4430000000000001</v>
      </c>
      <c r="J250" s="6">
        <v>3.4350000000000001</v>
      </c>
      <c r="K250" s="6">
        <v>3.504</v>
      </c>
      <c r="L250" s="6">
        <v>3.5049999999999999</v>
      </c>
      <c r="M250" s="6">
        <v>3.431</v>
      </c>
      <c r="N250" s="6">
        <v>3.3380000000000001</v>
      </c>
      <c r="O250" s="7">
        <v>45391</v>
      </c>
      <c r="P250">
        <v>3.419</v>
      </c>
      <c r="Q250">
        <v>3.363</v>
      </c>
      <c r="R250">
        <v>3.347</v>
      </c>
      <c r="S250">
        <v>3.4039999999999999</v>
      </c>
      <c r="T250">
        <v>3.39</v>
      </c>
      <c r="U250" s="6">
        <v>3.4249999999999998</v>
      </c>
      <c r="V250" s="6">
        <v>0</v>
      </c>
      <c r="W250">
        <v>0</v>
      </c>
      <c r="X250" s="7">
        <v>45391</v>
      </c>
      <c r="Y250">
        <v>3.4769999999999999</v>
      </c>
      <c r="Z250">
        <v>3.476</v>
      </c>
      <c r="AA250">
        <v>3.4430000000000001</v>
      </c>
      <c r="AB250">
        <v>3.468</v>
      </c>
      <c r="AC250">
        <v>3.4889999999999999</v>
      </c>
      <c r="AD250" s="6">
        <v>3.5510000000000002</v>
      </c>
      <c r="AE250" s="6">
        <v>3.5630000000000002</v>
      </c>
      <c r="AF250">
        <v>3.5630000000000002</v>
      </c>
      <c r="AG250" s="7">
        <v>45391</v>
      </c>
      <c r="AH250">
        <v>3.5470000000000002</v>
      </c>
      <c r="AI250">
        <v>3.556</v>
      </c>
      <c r="AJ250">
        <v>3.5259999999999998</v>
      </c>
      <c r="AK250">
        <v>3.5369999999999999</v>
      </c>
      <c r="AL250">
        <v>3.5110000000000001</v>
      </c>
      <c r="AM250" s="6">
        <v>3.5329999999999999</v>
      </c>
      <c r="AN250" s="6">
        <v>3.573</v>
      </c>
      <c r="AO250">
        <v>3.637</v>
      </c>
      <c r="AP250" s="7">
        <v>45391</v>
      </c>
      <c r="AQ250">
        <v>3.7130000000000001</v>
      </c>
      <c r="AR250">
        <v>3.7309999999999999</v>
      </c>
      <c r="AS250">
        <v>3.7549999999999999</v>
      </c>
      <c r="AT250">
        <v>3.7869999999999999</v>
      </c>
      <c r="AU250">
        <v>3.8239999999999998</v>
      </c>
      <c r="AV250" s="6">
        <v>3.923</v>
      </c>
      <c r="AW250" s="6">
        <v>3.9940000000000002</v>
      </c>
      <c r="AX250">
        <v>4.149</v>
      </c>
      <c r="AY250" s="7">
        <v>45391</v>
      </c>
      <c r="AZ250">
        <v>3.5390000000000001</v>
      </c>
      <c r="BA250">
        <v>3.56</v>
      </c>
      <c r="BB250">
        <v>3.5339999999999998</v>
      </c>
      <c r="BC250">
        <v>3.5350000000000001</v>
      </c>
      <c r="BD250">
        <v>3.5289999999999999</v>
      </c>
      <c r="BE250" s="6">
        <v>3.56</v>
      </c>
      <c r="BF250" s="6">
        <v>3.5619999999999998</v>
      </c>
      <c r="BG250">
        <v>3.5790000000000002</v>
      </c>
      <c r="BH250" s="7">
        <v>45391</v>
      </c>
      <c r="BI250">
        <v>3.4670000000000001</v>
      </c>
      <c r="BJ250">
        <v>3.4990000000000001</v>
      </c>
      <c r="BK250">
        <v>3.4689999999999999</v>
      </c>
      <c r="BL250">
        <v>3.484</v>
      </c>
      <c r="BM250">
        <v>3.492</v>
      </c>
      <c r="BN250" s="6">
        <v>3.5249999999999999</v>
      </c>
      <c r="BO250" s="6">
        <v>3.5459999999999998</v>
      </c>
      <c r="BP250">
        <v>3.5649999999999999</v>
      </c>
      <c r="BQ250" s="7">
        <v>45391</v>
      </c>
      <c r="BR250">
        <v>3.798</v>
      </c>
      <c r="BS250">
        <v>3.8580000000000001</v>
      </c>
      <c r="BT250">
        <v>3.8740000000000001</v>
      </c>
      <c r="BU250">
        <v>3.9209999999999998</v>
      </c>
      <c r="BV250">
        <v>3.9260000000000002</v>
      </c>
      <c r="BW250" s="6">
        <v>3.9820000000000002</v>
      </c>
      <c r="BX250" s="6">
        <v>3.9849999999999999</v>
      </c>
      <c r="BY250">
        <v>4.008</v>
      </c>
      <c r="BZ250" s="7">
        <v>45391</v>
      </c>
      <c r="CA250">
        <v>3.5510000000000002</v>
      </c>
      <c r="CB250">
        <v>3.5630000000000002</v>
      </c>
      <c r="CC250">
        <v>3.536</v>
      </c>
      <c r="CD250">
        <v>3.55</v>
      </c>
      <c r="CE250">
        <v>3.593</v>
      </c>
      <c r="CF250" s="6">
        <v>3.6739999999999999</v>
      </c>
      <c r="CG250" s="6">
        <v>3.6829999999999998</v>
      </c>
      <c r="CH250">
        <v>3.6219999999999999</v>
      </c>
    </row>
    <row r="251" spans="2:86">
      <c r="B251" s="7">
        <v>45390</v>
      </c>
      <c r="C251">
        <v>3.4409999999999998</v>
      </c>
      <c r="D251">
        <v>3.415</v>
      </c>
      <c r="E251">
        <v>3.403</v>
      </c>
      <c r="F251">
        <v>3.411</v>
      </c>
      <c r="G251">
        <v>3.423</v>
      </c>
      <c r="H251">
        <v>3.3769999999999998</v>
      </c>
      <c r="I251" s="6">
        <v>3.4289999999999998</v>
      </c>
      <c r="J251" s="6">
        <v>3.42</v>
      </c>
      <c r="K251" s="6">
        <v>3.4870000000000001</v>
      </c>
      <c r="L251" s="6">
        <v>3.4870000000000001</v>
      </c>
      <c r="M251" s="6">
        <v>3.4249999999999998</v>
      </c>
      <c r="N251" s="6">
        <v>3.335</v>
      </c>
      <c r="O251" s="7">
        <v>45390</v>
      </c>
      <c r="P251">
        <v>3.419</v>
      </c>
      <c r="Q251">
        <v>3.363</v>
      </c>
      <c r="R251">
        <v>3.3439999999999999</v>
      </c>
      <c r="S251">
        <v>3.3919999999999999</v>
      </c>
      <c r="T251">
        <v>3.3759999999999999</v>
      </c>
      <c r="U251" s="6">
        <v>3.4159999999999999</v>
      </c>
      <c r="V251" s="6">
        <v>0</v>
      </c>
      <c r="W251">
        <v>0</v>
      </c>
      <c r="X251" s="7">
        <v>45390</v>
      </c>
      <c r="Y251">
        <v>3.4769999999999999</v>
      </c>
      <c r="Z251">
        <v>3.4750000000000001</v>
      </c>
      <c r="AA251">
        <v>3.4380000000000002</v>
      </c>
      <c r="AB251">
        <v>3.4580000000000002</v>
      </c>
      <c r="AC251">
        <v>3.484</v>
      </c>
      <c r="AD251" s="6">
        <v>3.544</v>
      </c>
      <c r="AE251" s="6">
        <v>3.5510000000000002</v>
      </c>
      <c r="AF251">
        <v>3.5489999999999999</v>
      </c>
      <c r="AG251" s="7">
        <v>45390</v>
      </c>
      <c r="AH251">
        <v>3.552</v>
      </c>
      <c r="AI251">
        <v>3.5609999999999999</v>
      </c>
      <c r="AJ251">
        <v>3.5219999999999998</v>
      </c>
      <c r="AK251">
        <v>3.5230000000000001</v>
      </c>
      <c r="AL251">
        <v>3.4929999999999999</v>
      </c>
      <c r="AM251" s="6">
        <v>3.5259999999999998</v>
      </c>
      <c r="AN251" s="6">
        <v>3.5649999999999999</v>
      </c>
      <c r="AO251">
        <v>3.6280000000000001</v>
      </c>
      <c r="AP251" s="7">
        <v>45390</v>
      </c>
      <c r="AQ251">
        <v>3.7149999999999999</v>
      </c>
      <c r="AR251">
        <v>3.7290000000000001</v>
      </c>
      <c r="AS251">
        <v>3.75</v>
      </c>
      <c r="AT251">
        <v>3.78</v>
      </c>
      <c r="AU251">
        <v>3.8170000000000002</v>
      </c>
      <c r="AV251" s="6">
        <v>3.9220000000000002</v>
      </c>
      <c r="AW251" s="6">
        <v>3.9849999999999999</v>
      </c>
      <c r="AX251">
        <v>4.1390000000000002</v>
      </c>
      <c r="AY251" s="7">
        <v>45390</v>
      </c>
      <c r="AZ251">
        <v>3.5390000000000001</v>
      </c>
      <c r="BA251">
        <v>3.56</v>
      </c>
      <c r="BB251">
        <v>3.5329999999999999</v>
      </c>
      <c r="BC251">
        <v>3.5209999999999999</v>
      </c>
      <c r="BD251">
        <v>3.5139999999999998</v>
      </c>
      <c r="BE251" s="6">
        <v>3.5510000000000002</v>
      </c>
      <c r="BF251" s="6">
        <v>3.5550000000000002</v>
      </c>
      <c r="BG251">
        <v>3.5680000000000001</v>
      </c>
      <c r="BH251" s="7">
        <v>45390</v>
      </c>
      <c r="BI251">
        <v>3.468</v>
      </c>
      <c r="BJ251">
        <v>3.4990000000000001</v>
      </c>
      <c r="BK251">
        <v>3.4649999999999999</v>
      </c>
      <c r="BL251">
        <v>3.47</v>
      </c>
      <c r="BM251">
        <v>3.4769999999999999</v>
      </c>
      <c r="BN251" s="6">
        <v>3.5179999999999998</v>
      </c>
      <c r="BO251" s="6">
        <v>3.5339999999999998</v>
      </c>
      <c r="BP251">
        <v>3.5539999999999998</v>
      </c>
      <c r="BQ251" s="7">
        <v>45390</v>
      </c>
      <c r="BR251">
        <v>3.798</v>
      </c>
      <c r="BS251">
        <v>3.8580000000000001</v>
      </c>
      <c r="BT251">
        <v>3.87</v>
      </c>
      <c r="BU251">
        <v>3.9079999999999999</v>
      </c>
      <c r="BV251">
        <v>3.911</v>
      </c>
      <c r="BW251" s="6">
        <v>3.9740000000000002</v>
      </c>
      <c r="BX251" s="6">
        <v>3.976</v>
      </c>
      <c r="BY251">
        <v>3.9980000000000002</v>
      </c>
      <c r="BZ251" s="7">
        <v>45390</v>
      </c>
      <c r="CA251">
        <v>3.5510000000000002</v>
      </c>
      <c r="CB251">
        <v>3.5619999999999998</v>
      </c>
      <c r="CC251">
        <v>3.5310000000000001</v>
      </c>
      <c r="CD251">
        <v>3.54</v>
      </c>
      <c r="CE251">
        <v>3.5880000000000001</v>
      </c>
      <c r="CF251" s="6">
        <v>3.6640000000000001</v>
      </c>
      <c r="CG251" s="6">
        <v>3.6709999999999998</v>
      </c>
      <c r="CH251">
        <v>3.6080000000000001</v>
      </c>
    </row>
    <row r="252" spans="2:86">
      <c r="B252" s="7">
        <v>45387</v>
      </c>
      <c r="C252">
        <v>3.4409999999999998</v>
      </c>
      <c r="D252">
        <v>3.41</v>
      </c>
      <c r="E252">
        <v>3.395</v>
      </c>
      <c r="F252">
        <v>3.3730000000000002</v>
      </c>
      <c r="G252">
        <v>3.3660000000000001</v>
      </c>
      <c r="H252">
        <v>3.33</v>
      </c>
      <c r="I252" s="6">
        <v>3.3809999999999998</v>
      </c>
      <c r="J252" s="6">
        <v>3.3719999999999999</v>
      </c>
      <c r="K252" s="6">
        <v>3.4380000000000002</v>
      </c>
      <c r="L252" s="6">
        <v>3.4350000000000001</v>
      </c>
      <c r="M252" s="6">
        <v>3.39</v>
      </c>
      <c r="N252" s="6">
        <v>3.3010000000000002</v>
      </c>
      <c r="O252" s="7">
        <v>45387</v>
      </c>
      <c r="P252">
        <v>3.4119999999999999</v>
      </c>
      <c r="Q252">
        <v>3.351</v>
      </c>
      <c r="R252">
        <v>3.3260000000000001</v>
      </c>
      <c r="S252">
        <v>3.3540000000000001</v>
      </c>
      <c r="T252">
        <v>3.335</v>
      </c>
      <c r="U252" s="6">
        <v>3.371</v>
      </c>
      <c r="V252" s="6">
        <v>0</v>
      </c>
      <c r="W252">
        <v>0</v>
      </c>
      <c r="X252" s="7">
        <v>45387</v>
      </c>
      <c r="Y252">
        <v>3.476</v>
      </c>
      <c r="Z252">
        <v>3.47</v>
      </c>
      <c r="AA252">
        <v>3.4279999999999999</v>
      </c>
      <c r="AB252">
        <v>3.42</v>
      </c>
      <c r="AC252">
        <v>3.444</v>
      </c>
      <c r="AD252" s="6">
        <v>3.4990000000000001</v>
      </c>
      <c r="AE252" s="6">
        <v>3.5030000000000001</v>
      </c>
      <c r="AF252">
        <v>3.5030000000000001</v>
      </c>
      <c r="AG252" s="7">
        <v>45387</v>
      </c>
      <c r="AH252">
        <v>3.5539999999999998</v>
      </c>
      <c r="AI252">
        <v>3.556</v>
      </c>
      <c r="AJ252">
        <v>3.508</v>
      </c>
      <c r="AK252">
        <v>3.488</v>
      </c>
      <c r="AL252">
        <v>3.4540000000000002</v>
      </c>
      <c r="AM252" s="6">
        <v>3.49</v>
      </c>
      <c r="AN252" s="6">
        <v>3.5289999999999999</v>
      </c>
      <c r="AO252">
        <v>3.59</v>
      </c>
      <c r="AP252" s="7">
        <v>45387</v>
      </c>
      <c r="AQ252">
        <v>3.7130000000000001</v>
      </c>
      <c r="AR252">
        <v>3.726</v>
      </c>
      <c r="AS252">
        <v>3.7389999999999999</v>
      </c>
      <c r="AT252">
        <v>3.7549999999999999</v>
      </c>
      <c r="AU252">
        <v>3.7890000000000001</v>
      </c>
      <c r="AV252" s="6">
        <v>3.8879999999999999</v>
      </c>
      <c r="AW252" s="6">
        <v>3.95</v>
      </c>
      <c r="AX252">
        <v>4.0999999999999996</v>
      </c>
      <c r="AY252" s="7">
        <v>45387</v>
      </c>
      <c r="AZ252">
        <v>3.5430000000000001</v>
      </c>
      <c r="BA252">
        <v>3.552</v>
      </c>
      <c r="BB252">
        <v>3.5190000000000001</v>
      </c>
      <c r="BC252">
        <v>3.4780000000000002</v>
      </c>
      <c r="BD252">
        <v>3.4710000000000001</v>
      </c>
      <c r="BE252" s="6">
        <v>3.512</v>
      </c>
      <c r="BF252" s="6">
        <v>3.5110000000000001</v>
      </c>
      <c r="BG252">
        <v>3.5289999999999999</v>
      </c>
      <c r="BH252" s="7">
        <v>45387</v>
      </c>
      <c r="BI252">
        <v>3.468</v>
      </c>
      <c r="BJ252">
        <v>3.4910000000000001</v>
      </c>
      <c r="BK252">
        <v>3.4510000000000001</v>
      </c>
      <c r="BL252">
        <v>3.427</v>
      </c>
      <c r="BM252">
        <v>3.4340000000000002</v>
      </c>
      <c r="BN252" s="6">
        <v>3.4780000000000002</v>
      </c>
      <c r="BO252" s="6">
        <v>3.4889999999999999</v>
      </c>
      <c r="BP252">
        <v>3.5150000000000001</v>
      </c>
      <c r="BQ252" s="7">
        <v>45387</v>
      </c>
      <c r="BR252">
        <v>3.802</v>
      </c>
      <c r="BS252">
        <v>3.85</v>
      </c>
      <c r="BT252">
        <v>3.8559999999999999</v>
      </c>
      <c r="BU252">
        <v>3.8639999999999999</v>
      </c>
      <c r="BV252">
        <v>3.8679999999999999</v>
      </c>
      <c r="BW252" s="6">
        <v>3.9340000000000002</v>
      </c>
      <c r="BX252" s="6">
        <v>3.9319999999999999</v>
      </c>
      <c r="BY252">
        <v>3.9580000000000002</v>
      </c>
      <c r="BZ252" s="7">
        <v>45387</v>
      </c>
      <c r="CA252">
        <v>3.55</v>
      </c>
      <c r="CB252">
        <v>3.5579999999999998</v>
      </c>
      <c r="CC252">
        <v>3.5209999999999999</v>
      </c>
      <c r="CD252">
        <v>3.5019999999999998</v>
      </c>
      <c r="CE252">
        <v>3.5409999999999999</v>
      </c>
      <c r="CF252" s="6">
        <v>3.6190000000000002</v>
      </c>
      <c r="CG252" s="6">
        <v>3.6230000000000002</v>
      </c>
      <c r="CH252">
        <v>3.5619999999999998</v>
      </c>
    </row>
    <row r="253" spans="2:86">
      <c r="B253" s="7">
        <v>45386</v>
      </c>
      <c r="C253">
        <v>3.448</v>
      </c>
      <c r="D253">
        <v>3.4119999999999999</v>
      </c>
      <c r="E253">
        <v>3.3980000000000001</v>
      </c>
      <c r="F253">
        <v>3.375</v>
      </c>
      <c r="G253">
        <v>3.3679999999999999</v>
      </c>
      <c r="H253">
        <v>3.335</v>
      </c>
      <c r="I253" s="6">
        <v>3.3919999999999999</v>
      </c>
      <c r="J253" s="6">
        <v>3.3839999999999999</v>
      </c>
      <c r="K253" s="6">
        <v>3.456</v>
      </c>
      <c r="L253" s="6">
        <v>3.4590000000000001</v>
      </c>
      <c r="M253" s="6">
        <v>3.4039999999999999</v>
      </c>
      <c r="N253" s="6">
        <v>3.32</v>
      </c>
      <c r="O253" s="7">
        <v>45386</v>
      </c>
      <c r="P253">
        <v>3.4129999999999998</v>
      </c>
      <c r="Q253">
        <v>3.355</v>
      </c>
      <c r="R253">
        <v>3.3330000000000002</v>
      </c>
      <c r="S253">
        <v>3.363</v>
      </c>
      <c r="T253">
        <v>3.35</v>
      </c>
      <c r="U253" s="6">
        <v>3.3849999999999998</v>
      </c>
      <c r="V253" s="6">
        <v>0</v>
      </c>
      <c r="W253">
        <v>0</v>
      </c>
      <c r="X253" s="7">
        <v>45386</v>
      </c>
      <c r="Y253">
        <v>3.4809999999999999</v>
      </c>
      <c r="Z253">
        <v>3.4769999999999999</v>
      </c>
      <c r="AA253">
        <v>3.4340000000000002</v>
      </c>
      <c r="AB253">
        <v>3.4220000000000002</v>
      </c>
      <c r="AC253">
        <v>3.4529999999999998</v>
      </c>
      <c r="AD253" s="6">
        <v>3.5049999999999999</v>
      </c>
      <c r="AE253" s="6">
        <v>3.5139999999999998</v>
      </c>
      <c r="AF253">
        <v>3.5139999999999998</v>
      </c>
      <c r="AG253" s="7">
        <v>45386</v>
      </c>
      <c r="AH253">
        <v>3.5619999999999998</v>
      </c>
      <c r="AI253">
        <v>3.5649999999999999</v>
      </c>
      <c r="AJ253">
        <v>3.5179999999999998</v>
      </c>
      <c r="AK253">
        <v>3.4969999999999999</v>
      </c>
      <c r="AL253">
        <v>3.4710000000000001</v>
      </c>
      <c r="AM253" s="6">
        <v>3.4969999999999999</v>
      </c>
      <c r="AN253" s="6">
        <v>3.5409999999999999</v>
      </c>
      <c r="AO253">
        <v>3.6059999999999999</v>
      </c>
      <c r="AP253" s="7">
        <v>45386</v>
      </c>
      <c r="AQ253">
        <v>3.72</v>
      </c>
      <c r="AR253">
        <v>3.7360000000000002</v>
      </c>
      <c r="AS253">
        <v>3.7490000000000001</v>
      </c>
      <c r="AT253">
        <v>3.766</v>
      </c>
      <c r="AU253">
        <v>3.8069999999999999</v>
      </c>
      <c r="AV253" s="6">
        <v>3.9</v>
      </c>
      <c r="AW253" s="6">
        <v>3.9710000000000001</v>
      </c>
      <c r="AX253">
        <v>4.13</v>
      </c>
      <c r="AY253" s="7">
        <v>45386</v>
      </c>
      <c r="AZ253">
        <v>3.5510000000000002</v>
      </c>
      <c r="BA253">
        <v>3.5590000000000002</v>
      </c>
      <c r="BB253">
        <v>3.5259999999999998</v>
      </c>
      <c r="BC253">
        <v>3.4849999999999999</v>
      </c>
      <c r="BD253">
        <v>3.4889999999999999</v>
      </c>
      <c r="BE253" s="6">
        <v>3.516</v>
      </c>
      <c r="BF253" s="6">
        <v>3.5219999999999998</v>
      </c>
      <c r="BG253">
        <v>3.5430000000000001</v>
      </c>
      <c r="BH253" s="7">
        <v>45386</v>
      </c>
      <c r="BI253">
        <v>3.4740000000000002</v>
      </c>
      <c r="BJ253">
        <v>3.496</v>
      </c>
      <c r="BK253">
        <v>3.4529999999999998</v>
      </c>
      <c r="BL253">
        <v>3.4289999999999998</v>
      </c>
      <c r="BM253">
        <v>3.444</v>
      </c>
      <c r="BN253" s="6">
        <v>3.4849999999999999</v>
      </c>
      <c r="BO253" s="6">
        <v>3.5009999999999999</v>
      </c>
      <c r="BP253">
        <v>3.5310000000000001</v>
      </c>
      <c r="BQ253" s="7">
        <v>45386</v>
      </c>
      <c r="BR253">
        <v>3.8119999999999998</v>
      </c>
      <c r="BS253">
        <v>3.859</v>
      </c>
      <c r="BT253">
        <v>3.8620000000000001</v>
      </c>
      <c r="BU253">
        <v>3.8719999999999999</v>
      </c>
      <c r="BV253">
        <v>3.8839999999999999</v>
      </c>
      <c r="BW253" s="6">
        <v>3.9380000000000002</v>
      </c>
      <c r="BX253" s="6">
        <v>3.9390000000000001</v>
      </c>
      <c r="BY253">
        <v>3.9729999999999999</v>
      </c>
      <c r="BZ253" s="7">
        <v>45386</v>
      </c>
      <c r="CA253">
        <v>3.5550000000000002</v>
      </c>
      <c r="CB253">
        <v>3.5640000000000001</v>
      </c>
      <c r="CC253">
        <v>3.5270000000000001</v>
      </c>
      <c r="CD253">
        <v>3.504</v>
      </c>
      <c r="CE253">
        <v>3.55</v>
      </c>
      <c r="CF253" s="6">
        <v>3.625</v>
      </c>
      <c r="CG253" s="6">
        <v>3.6339999999999999</v>
      </c>
      <c r="CH253">
        <v>3.573</v>
      </c>
    </row>
    <row r="254" spans="2:86">
      <c r="B254" s="7">
        <v>45385</v>
      </c>
      <c r="C254">
        <v>3.4449999999999998</v>
      </c>
      <c r="D254">
        <v>3.4039999999999999</v>
      </c>
      <c r="E254">
        <v>3.395</v>
      </c>
      <c r="F254">
        <v>3.371</v>
      </c>
      <c r="G254">
        <v>3.36</v>
      </c>
      <c r="H254">
        <v>3.327</v>
      </c>
      <c r="I254" s="6">
        <v>3.383</v>
      </c>
      <c r="J254" s="6">
        <v>3.3719999999999999</v>
      </c>
      <c r="K254" s="6">
        <v>3.46</v>
      </c>
      <c r="L254" s="6">
        <v>3.45</v>
      </c>
      <c r="M254" s="6">
        <v>3.3889999999999998</v>
      </c>
      <c r="N254" s="6">
        <v>3.31</v>
      </c>
      <c r="O254" s="7">
        <v>45385</v>
      </c>
      <c r="P254">
        <v>3.4129999999999998</v>
      </c>
      <c r="Q254">
        <v>3.355</v>
      </c>
      <c r="R254">
        <v>3.3330000000000002</v>
      </c>
      <c r="S254">
        <v>3.363</v>
      </c>
      <c r="T254">
        <v>3.3519999999999999</v>
      </c>
      <c r="U254" s="6">
        <v>3.379</v>
      </c>
      <c r="V254" s="6">
        <v>0</v>
      </c>
      <c r="W254">
        <v>0</v>
      </c>
      <c r="X254" s="7">
        <v>45385</v>
      </c>
      <c r="Y254">
        <v>3.4809999999999999</v>
      </c>
      <c r="Z254">
        <v>3.4750000000000001</v>
      </c>
      <c r="AA254">
        <v>3.4359999999999999</v>
      </c>
      <c r="AB254">
        <v>3.4249999999999998</v>
      </c>
      <c r="AC254">
        <v>3.4540000000000002</v>
      </c>
      <c r="AD254" s="6">
        <v>3.4969999999999999</v>
      </c>
      <c r="AE254" s="6">
        <v>3.5070000000000001</v>
      </c>
      <c r="AF254">
        <v>3.5169999999999999</v>
      </c>
      <c r="AG254" s="7">
        <v>45385</v>
      </c>
      <c r="AH254">
        <v>3.569</v>
      </c>
      <c r="AI254">
        <v>3.573</v>
      </c>
      <c r="AJ254">
        <v>3.5270000000000001</v>
      </c>
      <c r="AK254">
        <v>3.5009999999999999</v>
      </c>
      <c r="AL254">
        <v>3.476</v>
      </c>
      <c r="AM254" s="6">
        <v>3.492</v>
      </c>
      <c r="AN254" s="6">
        <v>3.5390000000000001</v>
      </c>
      <c r="AO254">
        <v>3.5990000000000002</v>
      </c>
      <c r="AP254" s="7">
        <v>45385</v>
      </c>
      <c r="AQ254">
        <v>3.7280000000000002</v>
      </c>
      <c r="AR254">
        <v>3.7429999999999999</v>
      </c>
      <c r="AS254">
        <v>3.7519999999999998</v>
      </c>
      <c r="AT254">
        <v>3.7669999999999999</v>
      </c>
      <c r="AU254">
        <v>3.8159999999999998</v>
      </c>
      <c r="AV254" s="6">
        <v>3.8940000000000001</v>
      </c>
      <c r="AW254" s="6">
        <v>3.9670000000000001</v>
      </c>
      <c r="AX254">
        <v>4.1230000000000002</v>
      </c>
      <c r="AY254" s="7">
        <v>45385</v>
      </c>
      <c r="AZ254">
        <v>3.5680000000000001</v>
      </c>
      <c r="BA254">
        <v>3.5659999999999998</v>
      </c>
      <c r="BB254">
        <v>3.5390000000000001</v>
      </c>
      <c r="BC254">
        <v>3.4950000000000001</v>
      </c>
      <c r="BD254">
        <v>3.4950000000000001</v>
      </c>
      <c r="BE254" s="6">
        <v>3.508</v>
      </c>
      <c r="BF254" s="6">
        <v>3.5129999999999999</v>
      </c>
      <c r="BG254">
        <v>3.532</v>
      </c>
      <c r="BH254" s="7">
        <v>45385</v>
      </c>
      <c r="BI254">
        <v>3.4870000000000001</v>
      </c>
      <c r="BJ254">
        <v>3.4990000000000001</v>
      </c>
      <c r="BK254">
        <v>3.4590000000000001</v>
      </c>
      <c r="BL254">
        <v>3.4329999999999998</v>
      </c>
      <c r="BM254">
        <v>3.4449999999999998</v>
      </c>
      <c r="BN254" s="6">
        <v>3.476</v>
      </c>
      <c r="BO254" s="6">
        <v>3.492</v>
      </c>
      <c r="BP254">
        <v>3.5190000000000001</v>
      </c>
      <c r="BQ254" s="7">
        <v>45385</v>
      </c>
      <c r="BR254">
        <v>3.8279999999999998</v>
      </c>
      <c r="BS254">
        <v>3.867</v>
      </c>
      <c r="BT254">
        <v>3.8759999999999999</v>
      </c>
      <c r="BU254">
        <v>3.8820000000000001</v>
      </c>
      <c r="BV254">
        <v>3.89</v>
      </c>
      <c r="BW254" s="6">
        <v>3.9319999999999999</v>
      </c>
      <c r="BX254" s="6">
        <v>3.9350000000000001</v>
      </c>
      <c r="BY254">
        <v>3.9670000000000001</v>
      </c>
      <c r="BZ254" s="7">
        <v>45385</v>
      </c>
      <c r="CA254">
        <v>3.5510000000000002</v>
      </c>
      <c r="CB254">
        <v>3.5590000000000002</v>
      </c>
      <c r="CC254">
        <v>3.5289999999999999</v>
      </c>
      <c r="CD254">
        <v>3.5070000000000001</v>
      </c>
      <c r="CE254">
        <v>3.55</v>
      </c>
      <c r="CF254" s="6">
        <v>3.6160000000000001</v>
      </c>
      <c r="CG254" s="6">
        <v>3.6269999999999998</v>
      </c>
      <c r="CH254">
        <v>3.5760000000000001</v>
      </c>
    </row>
    <row r="255" spans="2:86">
      <c r="B255" s="7">
        <v>45384</v>
      </c>
      <c r="C255">
        <v>3.45</v>
      </c>
      <c r="D255">
        <v>3.4039999999999999</v>
      </c>
      <c r="E255">
        <v>3.395</v>
      </c>
      <c r="F255">
        <v>3.371</v>
      </c>
      <c r="G255">
        <v>3.36</v>
      </c>
      <c r="H255">
        <v>3.3250000000000002</v>
      </c>
      <c r="I255" s="6">
        <v>3.3759999999999999</v>
      </c>
      <c r="J255" s="6">
        <v>3.3620000000000001</v>
      </c>
      <c r="K255" s="6">
        <v>3.4420000000000002</v>
      </c>
      <c r="L255" s="6">
        <v>3.4249999999999998</v>
      </c>
      <c r="M255" s="6">
        <v>3.375</v>
      </c>
      <c r="N255" s="6">
        <v>3.3</v>
      </c>
      <c r="O255" s="7">
        <v>45384</v>
      </c>
      <c r="P255">
        <v>3.4319999999999999</v>
      </c>
      <c r="Q255">
        <v>3.36</v>
      </c>
      <c r="R255">
        <v>3.3250000000000002</v>
      </c>
      <c r="S255">
        <v>3.37</v>
      </c>
      <c r="T255">
        <v>3.375</v>
      </c>
      <c r="U255" s="6">
        <v>3.375</v>
      </c>
      <c r="V255" s="6">
        <v>0</v>
      </c>
      <c r="W255">
        <v>0</v>
      </c>
      <c r="X255" s="7">
        <v>45384</v>
      </c>
      <c r="Y255">
        <v>3.4860000000000002</v>
      </c>
      <c r="Z255">
        <v>3.4750000000000001</v>
      </c>
      <c r="AA255">
        <v>3.4329999999999998</v>
      </c>
      <c r="AB255">
        <v>3.427</v>
      </c>
      <c r="AC255">
        <v>3.4550000000000001</v>
      </c>
      <c r="AD255" s="6">
        <v>3.4940000000000002</v>
      </c>
      <c r="AE255" s="6">
        <v>3.5</v>
      </c>
      <c r="AF255">
        <v>3.5070000000000001</v>
      </c>
      <c r="AG255" s="7">
        <v>45384</v>
      </c>
      <c r="AH255">
        <v>3.5790000000000002</v>
      </c>
      <c r="AI255">
        <v>3.5790000000000002</v>
      </c>
      <c r="AJ255">
        <v>3.5249999999999999</v>
      </c>
      <c r="AK255">
        <v>3.508</v>
      </c>
      <c r="AL255">
        <v>3.4809999999999999</v>
      </c>
      <c r="AM255" s="6">
        <v>3.49</v>
      </c>
      <c r="AN255" s="6">
        <v>3.5329999999999999</v>
      </c>
      <c r="AO255">
        <v>3.5910000000000002</v>
      </c>
      <c r="AP255" s="7">
        <v>45384</v>
      </c>
      <c r="AQ255">
        <v>3.7360000000000002</v>
      </c>
      <c r="AR255">
        <v>3.7469999999999999</v>
      </c>
      <c r="AS255">
        <v>3.7490000000000001</v>
      </c>
      <c r="AT255">
        <v>3.7770000000000001</v>
      </c>
      <c r="AU255">
        <v>3.8290000000000002</v>
      </c>
      <c r="AV255" s="6">
        <v>3.8959999999999999</v>
      </c>
      <c r="AW255" s="6">
        <v>3.9670000000000001</v>
      </c>
      <c r="AX255">
        <v>4.1280000000000001</v>
      </c>
      <c r="AY255" s="7">
        <v>45384</v>
      </c>
      <c r="AZ255">
        <v>3.5790000000000002</v>
      </c>
      <c r="BA255">
        <v>3.5739999999999998</v>
      </c>
      <c r="BB255">
        <v>3.5369999999999999</v>
      </c>
      <c r="BC255">
        <v>3.5059999999999998</v>
      </c>
      <c r="BD255">
        <v>3.5049999999999999</v>
      </c>
      <c r="BE255" s="6">
        <v>3.508</v>
      </c>
      <c r="BF255" s="6">
        <v>3.508</v>
      </c>
      <c r="BG255">
        <v>3.5289999999999999</v>
      </c>
      <c r="BH255" s="7">
        <v>45384</v>
      </c>
      <c r="BI255">
        <v>3.4980000000000002</v>
      </c>
      <c r="BJ255">
        <v>3.5070000000000001</v>
      </c>
      <c r="BK255">
        <v>3.4569999999999999</v>
      </c>
      <c r="BL255">
        <v>3.444</v>
      </c>
      <c r="BM255">
        <v>3.4529999999999998</v>
      </c>
      <c r="BN255" s="6">
        <v>3.4740000000000002</v>
      </c>
      <c r="BO255" s="6">
        <v>3.4849999999999999</v>
      </c>
      <c r="BP255">
        <v>3.508</v>
      </c>
      <c r="BQ255" s="7">
        <v>45384</v>
      </c>
      <c r="BR255">
        <v>3.839</v>
      </c>
      <c r="BS255">
        <v>3.875</v>
      </c>
      <c r="BT255">
        <v>3.8740000000000001</v>
      </c>
      <c r="BU255">
        <v>3.8919999999999999</v>
      </c>
      <c r="BV255">
        <v>3.899</v>
      </c>
      <c r="BW255" s="6">
        <v>3.9319999999999999</v>
      </c>
      <c r="BX255" s="6">
        <v>3.931</v>
      </c>
      <c r="BY255">
        <v>3.9630000000000001</v>
      </c>
      <c r="BZ255" s="7">
        <v>45384</v>
      </c>
      <c r="CA255">
        <v>3.556</v>
      </c>
      <c r="CB255">
        <v>3.5590000000000002</v>
      </c>
      <c r="CC255">
        <v>3.5259999999999998</v>
      </c>
      <c r="CD255">
        <v>3.51</v>
      </c>
      <c r="CE255">
        <v>3.5510000000000002</v>
      </c>
      <c r="CF255" s="6">
        <v>3.6139999999999999</v>
      </c>
      <c r="CG255" s="6">
        <v>3.62</v>
      </c>
      <c r="CH255">
        <v>3.5659999999999998</v>
      </c>
    </row>
    <row r="256" spans="2:86">
      <c r="B256" s="7">
        <v>45383</v>
      </c>
      <c r="C256">
        <v>3.4529999999999998</v>
      </c>
      <c r="D256">
        <v>3.403</v>
      </c>
      <c r="E256">
        <v>3.3860000000000001</v>
      </c>
      <c r="F256">
        <v>3.36</v>
      </c>
      <c r="G256">
        <v>3.3460000000000001</v>
      </c>
      <c r="H256">
        <v>3.2919999999999998</v>
      </c>
      <c r="I256" s="6">
        <v>3.3370000000000002</v>
      </c>
      <c r="J256" s="6">
        <v>3.32</v>
      </c>
      <c r="K256" s="6">
        <v>3.3980000000000001</v>
      </c>
      <c r="L256" s="6">
        <v>3.3759999999999999</v>
      </c>
      <c r="M256" s="6">
        <v>3.35</v>
      </c>
      <c r="N256" s="6">
        <v>3.282</v>
      </c>
      <c r="O256" s="7">
        <v>45383</v>
      </c>
      <c r="P256">
        <v>3.42</v>
      </c>
      <c r="Q256">
        <v>3.35</v>
      </c>
      <c r="R256">
        <v>3.323</v>
      </c>
      <c r="S256">
        <v>3.35</v>
      </c>
      <c r="T256">
        <v>3.3439999999999999</v>
      </c>
      <c r="U256" s="6">
        <v>3.3439999999999999</v>
      </c>
      <c r="V256" s="6">
        <v>0</v>
      </c>
      <c r="W256">
        <v>0</v>
      </c>
      <c r="X256" s="7">
        <v>45383</v>
      </c>
      <c r="Y256">
        <v>3.4889999999999999</v>
      </c>
      <c r="Z256">
        <v>3.476</v>
      </c>
      <c r="AA256">
        <v>3.4340000000000002</v>
      </c>
      <c r="AB256">
        <v>3.4119999999999999</v>
      </c>
      <c r="AC256">
        <v>3.44</v>
      </c>
      <c r="AD256" s="6">
        <v>3.4660000000000002</v>
      </c>
      <c r="AE256" s="6">
        <v>3.468</v>
      </c>
      <c r="AF256">
        <v>3.4649999999999999</v>
      </c>
      <c r="AG256" s="7">
        <v>45383</v>
      </c>
      <c r="AH256">
        <v>3.59</v>
      </c>
      <c r="AI256">
        <v>3.581</v>
      </c>
      <c r="AJ256">
        <v>3.528</v>
      </c>
      <c r="AK256">
        <v>3.4950000000000001</v>
      </c>
      <c r="AL256">
        <v>3.4529999999999998</v>
      </c>
      <c r="AM256" s="6">
        <v>3.4590000000000001</v>
      </c>
      <c r="AN256" s="6">
        <v>3.4969999999999999</v>
      </c>
      <c r="AO256">
        <v>3.552</v>
      </c>
      <c r="AP256" s="7">
        <v>45383</v>
      </c>
      <c r="AQ256">
        <v>3.7269999999999999</v>
      </c>
      <c r="AR256">
        <v>3.738</v>
      </c>
      <c r="AS256">
        <v>3.7410000000000001</v>
      </c>
      <c r="AT256">
        <v>3.758</v>
      </c>
      <c r="AU256">
        <v>3.8029999999999999</v>
      </c>
      <c r="AV256" s="6">
        <v>3.8759999999999999</v>
      </c>
      <c r="AW256" s="6">
        <v>3.9329999999999998</v>
      </c>
      <c r="AX256">
        <v>4.0910000000000002</v>
      </c>
      <c r="AY256" s="7">
        <v>45383</v>
      </c>
      <c r="AZ256">
        <v>3.5790000000000002</v>
      </c>
      <c r="BA256">
        <v>3.5720000000000001</v>
      </c>
      <c r="BB256">
        <v>3.5390000000000001</v>
      </c>
      <c r="BC256">
        <v>3.4889999999999999</v>
      </c>
      <c r="BD256">
        <v>3.4910000000000001</v>
      </c>
      <c r="BE256" s="6">
        <v>3.49</v>
      </c>
      <c r="BF256" s="6">
        <v>3.4780000000000002</v>
      </c>
      <c r="BG256">
        <v>3.4950000000000001</v>
      </c>
      <c r="BH256" s="7">
        <v>45383</v>
      </c>
      <c r="BI256">
        <v>3.4929999999999999</v>
      </c>
      <c r="BJ256">
        <v>3.5019999999999998</v>
      </c>
      <c r="BK256">
        <v>3.4550000000000001</v>
      </c>
      <c r="BL256">
        <v>3.4260000000000002</v>
      </c>
      <c r="BM256">
        <v>3.4350000000000001</v>
      </c>
      <c r="BN256" s="6">
        <v>3.448</v>
      </c>
      <c r="BO256" s="6">
        <v>3.4510000000000001</v>
      </c>
      <c r="BP256">
        <v>3.468</v>
      </c>
      <c r="BQ256" s="7">
        <v>45383</v>
      </c>
      <c r="BR256">
        <v>3.839</v>
      </c>
      <c r="BS256">
        <v>3.8740000000000001</v>
      </c>
      <c r="BT256">
        <v>3.8769999999999998</v>
      </c>
      <c r="BU256">
        <v>3.875</v>
      </c>
      <c r="BV256">
        <v>3.8839999999999999</v>
      </c>
      <c r="BW256" s="6">
        <v>3.9140000000000001</v>
      </c>
      <c r="BX256" s="6">
        <v>3.9009999999999998</v>
      </c>
      <c r="BY256">
        <v>3.9319999999999999</v>
      </c>
      <c r="BZ256" s="7">
        <v>45383</v>
      </c>
      <c r="CA256">
        <v>3.56</v>
      </c>
      <c r="CB256">
        <v>3.56</v>
      </c>
      <c r="CC256">
        <v>3.5219999999999998</v>
      </c>
      <c r="CD256">
        <v>3.4950000000000001</v>
      </c>
      <c r="CE256">
        <v>3.5310000000000001</v>
      </c>
      <c r="CF256" s="6">
        <v>3.581</v>
      </c>
      <c r="CG256" s="6">
        <v>3.5819999999999999</v>
      </c>
      <c r="CH256">
        <v>3.524</v>
      </c>
    </row>
    <row r="257" spans="2:86">
      <c r="B257" s="7">
        <v>45380</v>
      </c>
      <c r="C257">
        <v>3.4630000000000001</v>
      </c>
      <c r="D257">
        <v>3.41</v>
      </c>
      <c r="E257">
        <v>3.3959999999999999</v>
      </c>
      <c r="F257">
        <v>3.38</v>
      </c>
      <c r="G257">
        <v>3.36</v>
      </c>
      <c r="H257">
        <v>3.319</v>
      </c>
      <c r="I257" s="6">
        <v>3.363</v>
      </c>
      <c r="J257" s="6">
        <v>3.3450000000000002</v>
      </c>
      <c r="K257" s="6">
        <v>3.423</v>
      </c>
      <c r="L257" s="6">
        <v>3.4020000000000001</v>
      </c>
      <c r="M257" s="6">
        <v>3.3780000000000001</v>
      </c>
      <c r="N257" s="6">
        <v>3.31</v>
      </c>
      <c r="O257" s="7">
        <v>45380</v>
      </c>
      <c r="P257">
        <v>3.427</v>
      </c>
      <c r="Q257">
        <v>3.355</v>
      </c>
      <c r="R257">
        <v>3.3380000000000001</v>
      </c>
      <c r="S257">
        <v>3.3679999999999999</v>
      </c>
      <c r="T257">
        <v>3.363</v>
      </c>
      <c r="U257" s="6">
        <v>3.37</v>
      </c>
      <c r="V257" s="6">
        <v>0</v>
      </c>
      <c r="W257">
        <v>0</v>
      </c>
      <c r="X257" s="7">
        <v>45380</v>
      </c>
      <c r="Y257">
        <v>3.4940000000000002</v>
      </c>
      <c r="Z257">
        <v>3.4830000000000001</v>
      </c>
      <c r="AA257">
        <v>3.4489999999999998</v>
      </c>
      <c r="AB257">
        <v>3.4319999999999999</v>
      </c>
      <c r="AC257">
        <v>3.4609999999999999</v>
      </c>
      <c r="AD257" s="6">
        <v>3.496</v>
      </c>
      <c r="AE257" s="6">
        <v>3.4950000000000001</v>
      </c>
      <c r="AF257">
        <v>3.49</v>
      </c>
      <c r="AG257" s="7">
        <v>45380</v>
      </c>
      <c r="AH257">
        <v>3.6019999999999999</v>
      </c>
      <c r="AI257">
        <v>3.5859999999999999</v>
      </c>
      <c r="AJ257">
        <v>3.5449999999999999</v>
      </c>
      <c r="AK257">
        <v>3.5150000000000001</v>
      </c>
      <c r="AL257">
        <v>3.4729999999999999</v>
      </c>
      <c r="AM257" s="6">
        <v>3.4889999999999999</v>
      </c>
      <c r="AN257" s="6">
        <v>3.5270000000000001</v>
      </c>
      <c r="AO257">
        <v>3.5790000000000002</v>
      </c>
      <c r="AP257" s="7">
        <v>45380</v>
      </c>
      <c r="AQ257">
        <v>3.7360000000000002</v>
      </c>
      <c r="AR257">
        <v>3.75</v>
      </c>
      <c r="AS257">
        <v>3.7589999999999999</v>
      </c>
      <c r="AT257">
        <v>3.78</v>
      </c>
      <c r="AU257">
        <v>3.8239999999999998</v>
      </c>
      <c r="AV257" s="6">
        <v>3.9060000000000001</v>
      </c>
      <c r="AW257" s="6">
        <v>3.9630000000000001</v>
      </c>
      <c r="AX257">
        <v>4.12</v>
      </c>
      <c r="AY257" s="7">
        <v>45380</v>
      </c>
      <c r="AZ257">
        <v>3.5819999999999999</v>
      </c>
      <c r="BA257">
        <v>3.581</v>
      </c>
      <c r="BB257">
        <v>3.552</v>
      </c>
      <c r="BC257">
        <v>3.5110000000000001</v>
      </c>
      <c r="BD257">
        <v>3.5129999999999999</v>
      </c>
      <c r="BE257" s="6">
        <v>3.5179999999999998</v>
      </c>
      <c r="BF257" s="6">
        <v>3.5030000000000001</v>
      </c>
      <c r="BG257">
        <v>3.52</v>
      </c>
      <c r="BH257" s="7">
        <v>45380</v>
      </c>
      <c r="BI257">
        <v>3.496</v>
      </c>
      <c r="BJ257">
        <v>3.5110000000000001</v>
      </c>
      <c r="BK257">
        <v>3.47</v>
      </c>
      <c r="BL257">
        <v>3.444</v>
      </c>
      <c r="BM257">
        <v>3.456</v>
      </c>
      <c r="BN257" s="6">
        <v>3.4790000000000001</v>
      </c>
      <c r="BO257" s="6">
        <v>3.4780000000000002</v>
      </c>
      <c r="BP257">
        <v>3.4929999999999999</v>
      </c>
      <c r="BQ257" s="7">
        <v>45380</v>
      </c>
      <c r="BR257">
        <v>3.8439999999999999</v>
      </c>
      <c r="BS257">
        <v>3.8820000000000001</v>
      </c>
      <c r="BT257">
        <v>3.8919999999999999</v>
      </c>
      <c r="BU257">
        <v>3.8969999999999998</v>
      </c>
      <c r="BV257">
        <v>3.9060000000000001</v>
      </c>
      <c r="BW257" s="6">
        <v>3.9460000000000002</v>
      </c>
      <c r="BX257" s="6">
        <v>3.931</v>
      </c>
      <c r="BY257">
        <v>3.9569999999999999</v>
      </c>
      <c r="BZ257" s="7">
        <v>45380</v>
      </c>
      <c r="CA257">
        <v>3.5649999999999999</v>
      </c>
      <c r="CB257">
        <v>3.5670000000000002</v>
      </c>
      <c r="CC257">
        <v>3.5339999999999998</v>
      </c>
      <c r="CD257">
        <v>3.5129999999999999</v>
      </c>
      <c r="CE257">
        <v>3.548</v>
      </c>
      <c r="CF257" s="6">
        <v>3.6110000000000002</v>
      </c>
      <c r="CG257" s="6">
        <v>3.609</v>
      </c>
      <c r="CH257">
        <v>3.5489999999999999</v>
      </c>
    </row>
    <row r="258" spans="2:86">
      <c r="B258" s="7">
        <v>45379</v>
      </c>
      <c r="C258">
        <v>3.4550000000000001</v>
      </c>
      <c r="D258">
        <v>3.4009999999999998</v>
      </c>
      <c r="E258">
        <v>3.3780000000000001</v>
      </c>
      <c r="F258">
        <v>3.37</v>
      </c>
      <c r="G258">
        <v>3.34</v>
      </c>
      <c r="H258">
        <v>3.3</v>
      </c>
      <c r="I258" s="6">
        <v>3.343</v>
      </c>
      <c r="J258" s="6">
        <v>3.3250000000000002</v>
      </c>
      <c r="K258" s="6">
        <v>3.403</v>
      </c>
      <c r="L258" s="6">
        <v>3.38</v>
      </c>
      <c r="M258" s="6">
        <v>3.37</v>
      </c>
      <c r="N258" s="6">
        <v>3.28</v>
      </c>
      <c r="O258" s="7">
        <v>45379</v>
      </c>
      <c r="P258">
        <v>3.4249999999999998</v>
      </c>
      <c r="Q258">
        <v>3.3530000000000002</v>
      </c>
      <c r="R258">
        <v>3.3380000000000001</v>
      </c>
      <c r="S258">
        <v>3.3650000000000002</v>
      </c>
      <c r="T258">
        <v>3.3540000000000001</v>
      </c>
      <c r="U258" s="6">
        <v>3.3519999999999999</v>
      </c>
      <c r="V258" s="6">
        <v>0</v>
      </c>
      <c r="W258">
        <v>0</v>
      </c>
      <c r="X258" s="7">
        <v>45379</v>
      </c>
      <c r="Y258">
        <v>3.4860000000000002</v>
      </c>
      <c r="Z258">
        <v>3.4790000000000001</v>
      </c>
      <c r="AA258">
        <v>3.4449999999999998</v>
      </c>
      <c r="AB258">
        <v>3.43</v>
      </c>
      <c r="AC258">
        <v>3.4529999999999998</v>
      </c>
      <c r="AD258" s="6">
        <v>3.484</v>
      </c>
      <c r="AE258" s="6">
        <v>3.4740000000000002</v>
      </c>
      <c r="AF258">
        <v>3.47</v>
      </c>
      <c r="AG258" s="7">
        <v>45379</v>
      </c>
      <c r="AH258">
        <v>3.605</v>
      </c>
      <c r="AI258">
        <v>3.5960000000000001</v>
      </c>
      <c r="AJ258">
        <v>3.5510000000000002</v>
      </c>
      <c r="AK258">
        <v>3.52</v>
      </c>
      <c r="AL258">
        <v>3.4689999999999999</v>
      </c>
      <c r="AM258" s="6">
        <v>3.472</v>
      </c>
      <c r="AN258" s="6">
        <v>3.508</v>
      </c>
      <c r="AO258">
        <v>3.5619999999999998</v>
      </c>
      <c r="AP258" s="7">
        <v>45379</v>
      </c>
      <c r="AQ258">
        <v>3.7370000000000001</v>
      </c>
      <c r="AR258">
        <v>3.7530000000000001</v>
      </c>
      <c r="AS258">
        <v>3.762</v>
      </c>
      <c r="AT258">
        <v>3.7839999999999998</v>
      </c>
      <c r="AU258">
        <v>3.823</v>
      </c>
      <c r="AV258" s="6">
        <v>3.8969999999999998</v>
      </c>
      <c r="AW258" s="6">
        <v>3.9550000000000001</v>
      </c>
      <c r="AX258">
        <v>4.1130000000000004</v>
      </c>
      <c r="AY258" s="7">
        <v>45379</v>
      </c>
      <c r="AZ258">
        <v>3.589</v>
      </c>
      <c r="BA258">
        <v>3.5910000000000002</v>
      </c>
      <c r="BB258">
        <v>3.5590000000000002</v>
      </c>
      <c r="BC258">
        <v>3.5110000000000001</v>
      </c>
      <c r="BD258">
        <v>3.508</v>
      </c>
      <c r="BE258" s="6">
        <v>3.504</v>
      </c>
      <c r="BF258" s="6">
        <v>3.4849999999999999</v>
      </c>
      <c r="BG258">
        <v>3.5070000000000001</v>
      </c>
      <c r="BH258" s="7">
        <v>45379</v>
      </c>
      <c r="BI258">
        <v>3.5030000000000001</v>
      </c>
      <c r="BJ258">
        <v>3.5209999999999999</v>
      </c>
      <c r="BK258">
        <v>3.4769999999999999</v>
      </c>
      <c r="BL258">
        <v>3.4390000000000001</v>
      </c>
      <c r="BM258">
        <v>3.452</v>
      </c>
      <c r="BN258" s="6">
        <v>3.4649999999999999</v>
      </c>
      <c r="BO258" s="6">
        <v>3.46</v>
      </c>
      <c r="BP258">
        <v>3.4780000000000002</v>
      </c>
      <c r="BQ258" s="7">
        <v>45379</v>
      </c>
      <c r="BR258">
        <v>3.851</v>
      </c>
      <c r="BS258">
        <v>3.8919999999999999</v>
      </c>
      <c r="BT258">
        <v>3.899</v>
      </c>
      <c r="BU258">
        <v>3.8969999999999998</v>
      </c>
      <c r="BV258">
        <v>3.9020000000000001</v>
      </c>
      <c r="BW258" s="6">
        <v>3.9319999999999999</v>
      </c>
      <c r="BX258" s="6">
        <v>3.9140000000000001</v>
      </c>
      <c r="BY258">
        <v>3.944</v>
      </c>
      <c r="BZ258" s="7">
        <v>45379</v>
      </c>
      <c r="CA258">
        <v>3.556</v>
      </c>
      <c r="CB258">
        <v>3.56</v>
      </c>
      <c r="CC258">
        <v>3.5219999999999998</v>
      </c>
      <c r="CD258">
        <v>3.5059999999999998</v>
      </c>
      <c r="CE258">
        <v>3.5310000000000001</v>
      </c>
      <c r="CF258" s="6">
        <v>3.5939999999999999</v>
      </c>
      <c r="CG258" s="6">
        <v>3.5880000000000001</v>
      </c>
      <c r="CH258">
        <v>3.5289999999999999</v>
      </c>
    </row>
    <row r="259" spans="2:86">
      <c r="B259" s="7">
        <v>45378</v>
      </c>
      <c r="C259">
        <v>3.456</v>
      </c>
      <c r="D259">
        <v>3.3959999999999999</v>
      </c>
      <c r="E259">
        <v>3.3660000000000001</v>
      </c>
      <c r="F259">
        <v>3.36</v>
      </c>
      <c r="G259">
        <v>3.323</v>
      </c>
      <c r="H259">
        <v>3.286</v>
      </c>
      <c r="I259" s="6">
        <v>3.3370000000000002</v>
      </c>
      <c r="J259" s="6">
        <v>3.3140000000000001</v>
      </c>
      <c r="K259" s="6">
        <v>3.395</v>
      </c>
      <c r="L259" s="6">
        <v>3.375</v>
      </c>
      <c r="M259" s="6">
        <v>3.3650000000000002</v>
      </c>
      <c r="N259" s="6">
        <v>3.262</v>
      </c>
      <c r="O259" s="7">
        <v>45378</v>
      </c>
      <c r="P259">
        <v>3.42</v>
      </c>
      <c r="Q259">
        <v>3.35</v>
      </c>
      <c r="R259">
        <v>3.3479999999999999</v>
      </c>
      <c r="S259">
        <v>3.3679999999999999</v>
      </c>
      <c r="T259">
        <v>3.3519999999999999</v>
      </c>
      <c r="U259" s="6">
        <v>3.3450000000000002</v>
      </c>
      <c r="V259" s="6">
        <v>0</v>
      </c>
      <c r="W259">
        <v>0</v>
      </c>
      <c r="X259" s="7">
        <v>45378</v>
      </c>
      <c r="Y259">
        <v>3.4870000000000001</v>
      </c>
      <c r="Z259">
        <v>3.48</v>
      </c>
      <c r="AA259">
        <v>3.4420000000000002</v>
      </c>
      <c r="AB259">
        <v>3.4249999999999998</v>
      </c>
      <c r="AC259">
        <v>3.4430000000000001</v>
      </c>
      <c r="AD259" s="6">
        <v>3.472</v>
      </c>
      <c r="AE259" s="6">
        <v>3.47</v>
      </c>
      <c r="AF259">
        <v>3.46</v>
      </c>
      <c r="AG259" s="7">
        <v>45378</v>
      </c>
      <c r="AH259">
        <v>3.6070000000000002</v>
      </c>
      <c r="AI259">
        <v>3.5979999999999999</v>
      </c>
      <c r="AJ259">
        <v>3.5659999999999998</v>
      </c>
      <c r="AK259">
        <v>3.5270000000000001</v>
      </c>
      <c r="AL259">
        <v>3.4740000000000002</v>
      </c>
      <c r="AM259" s="6">
        <v>3.46</v>
      </c>
      <c r="AN259" s="6">
        <v>3.5059999999999998</v>
      </c>
      <c r="AO259">
        <v>3.5579999999999998</v>
      </c>
      <c r="AP259" s="7">
        <v>45378</v>
      </c>
      <c r="AQ259">
        <v>3.742</v>
      </c>
      <c r="AR259">
        <v>3.76</v>
      </c>
      <c r="AS259">
        <v>3.7690000000000001</v>
      </c>
      <c r="AT259">
        <v>3.7829999999999999</v>
      </c>
      <c r="AU259">
        <v>3.8180000000000001</v>
      </c>
      <c r="AV259" s="6">
        <v>3.8879999999999999</v>
      </c>
      <c r="AW259" s="6">
        <v>3.9460000000000002</v>
      </c>
      <c r="AX259">
        <v>4.0990000000000002</v>
      </c>
      <c r="AY259" s="7">
        <v>45378</v>
      </c>
      <c r="AZ259">
        <v>3.59</v>
      </c>
      <c r="BA259">
        <v>3.5920000000000001</v>
      </c>
      <c r="BB259">
        <v>3.569</v>
      </c>
      <c r="BC259">
        <v>3.516</v>
      </c>
      <c r="BD259">
        <v>3.5110000000000001</v>
      </c>
      <c r="BE259" s="6">
        <v>3.4980000000000002</v>
      </c>
      <c r="BF259" s="6">
        <v>3.4860000000000002</v>
      </c>
      <c r="BG259">
        <v>3.5030000000000001</v>
      </c>
      <c r="BH259" s="7">
        <v>45378</v>
      </c>
      <c r="BI259">
        <v>3.5049999999999999</v>
      </c>
      <c r="BJ259">
        <v>3.5219999999999998</v>
      </c>
      <c r="BK259">
        <v>3.4870000000000001</v>
      </c>
      <c r="BL259">
        <v>3.4430000000000001</v>
      </c>
      <c r="BM259">
        <v>3.4550000000000001</v>
      </c>
      <c r="BN259" s="6">
        <v>3.456</v>
      </c>
      <c r="BO259" s="6">
        <v>3.456</v>
      </c>
      <c r="BP259">
        <v>3.476</v>
      </c>
      <c r="BQ259" s="7">
        <v>45378</v>
      </c>
      <c r="BR259">
        <v>3.8530000000000002</v>
      </c>
      <c r="BS259">
        <v>3.8940000000000001</v>
      </c>
      <c r="BT259">
        <v>3.911</v>
      </c>
      <c r="BU259">
        <v>3.9049999999999998</v>
      </c>
      <c r="BV259">
        <v>3.9039999999999999</v>
      </c>
      <c r="BW259" s="6">
        <v>3.9260000000000002</v>
      </c>
      <c r="BX259" s="6">
        <v>3.9140000000000001</v>
      </c>
      <c r="BY259">
        <v>3.94</v>
      </c>
      <c r="BZ259" s="7">
        <v>45378</v>
      </c>
      <c r="CA259">
        <v>3.5579999999999998</v>
      </c>
      <c r="CB259">
        <v>3.5619999999999998</v>
      </c>
      <c r="CC259">
        <v>3.5190000000000001</v>
      </c>
      <c r="CD259">
        <v>3.5009999999999999</v>
      </c>
      <c r="CE259">
        <v>3.52</v>
      </c>
      <c r="CF259" s="6">
        <v>3.58</v>
      </c>
      <c r="CG259" s="6">
        <v>3.5819999999999999</v>
      </c>
      <c r="CH259">
        <v>3.5190000000000001</v>
      </c>
    </row>
    <row r="260" spans="2:86">
      <c r="B260" s="7">
        <v>45377</v>
      </c>
      <c r="C260">
        <v>3.45</v>
      </c>
      <c r="D260">
        <v>3.39</v>
      </c>
      <c r="E260">
        <v>3.35</v>
      </c>
      <c r="F260">
        <v>3.3570000000000002</v>
      </c>
      <c r="G260">
        <v>3.3250000000000002</v>
      </c>
      <c r="H260">
        <v>3.302</v>
      </c>
      <c r="I260" s="6">
        <v>3.363</v>
      </c>
      <c r="J260" s="6">
        <v>3.3450000000000002</v>
      </c>
      <c r="K260" s="6">
        <v>3.43</v>
      </c>
      <c r="L260" s="6">
        <v>3.4119999999999999</v>
      </c>
      <c r="M260" s="6">
        <v>3.3980000000000001</v>
      </c>
      <c r="N260" s="6">
        <v>3.302</v>
      </c>
      <c r="O260" s="7">
        <v>45377</v>
      </c>
      <c r="P260">
        <v>3.407</v>
      </c>
      <c r="Q260">
        <v>3.3410000000000002</v>
      </c>
      <c r="R260">
        <v>3.343</v>
      </c>
      <c r="S260">
        <v>3.3839999999999999</v>
      </c>
      <c r="T260">
        <v>3.3650000000000002</v>
      </c>
      <c r="U260" s="6">
        <v>3.36</v>
      </c>
      <c r="V260" s="6">
        <v>0</v>
      </c>
      <c r="W260">
        <v>0</v>
      </c>
      <c r="X260" s="7">
        <v>45377</v>
      </c>
      <c r="Y260">
        <v>3.4809999999999999</v>
      </c>
      <c r="Z260">
        <v>3.4740000000000002</v>
      </c>
      <c r="AA260">
        <v>3.43</v>
      </c>
      <c r="AB260">
        <v>3.4279999999999999</v>
      </c>
      <c r="AC260">
        <v>3.4489999999999998</v>
      </c>
      <c r="AD260" s="6">
        <v>3.49</v>
      </c>
      <c r="AE260" s="6">
        <v>3.496</v>
      </c>
      <c r="AF260">
        <v>3.4849999999999999</v>
      </c>
      <c r="AG260" s="7">
        <v>45377</v>
      </c>
      <c r="AH260">
        <v>3.6030000000000002</v>
      </c>
      <c r="AI260">
        <v>3.5939999999999999</v>
      </c>
      <c r="AJ260">
        <v>3.5680000000000001</v>
      </c>
      <c r="AK260">
        <v>3.5449999999999999</v>
      </c>
      <c r="AL260">
        <v>3.4929999999999999</v>
      </c>
      <c r="AM260" s="6">
        <v>3.4780000000000002</v>
      </c>
      <c r="AN260" s="6">
        <v>3.5379999999999998</v>
      </c>
      <c r="AO260">
        <v>3.6019999999999999</v>
      </c>
      <c r="AP260" s="7">
        <v>45377</v>
      </c>
      <c r="AQ260">
        <v>3.7389999999999999</v>
      </c>
      <c r="AR260">
        <v>3.7610000000000001</v>
      </c>
      <c r="AS260">
        <v>3.774</v>
      </c>
      <c r="AT260">
        <v>3.8039999999999998</v>
      </c>
      <c r="AU260">
        <v>3.839</v>
      </c>
      <c r="AV260" s="6">
        <v>3.9140000000000001</v>
      </c>
      <c r="AW260" s="6">
        <v>3.9769999999999999</v>
      </c>
      <c r="AX260">
        <v>4.133</v>
      </c>
      <c r="AY260" s="7">
        <v>45377</v>
      </c>
      <c r="AZ260">
        <v>3.5790000000000002</v>
      </c>
      <c r="BA260">
        <v>3.5870000000000002</v>
      </c>
      <c r="BB260">
        <v>3.5670000000000002</v>
      </c>
      <c r="BC260">
        <v>3.536</v>
      </c>
      <c r="BD260">
        <v>3.528</v>
      </c>
      <c r="BE260" s="6">
        <v>3.5209999999999999</v>
      </c>
      <c r="BF260" s="6">
        <v>3.5139999999999998</v>
      </c>
      <c r="BG260">
        <v>3.5390000000000001</v>
      </c>
      <c r="BH260" s="7">
        <v>45377</v>
      </c>
      <c r="BI260">
        <v>3.49</v>
      </c>
      <c r="BJ260">
        <v>3.5139999999999998</v>
      </c>
      <c r="BK260">
        <v>3.484</v>
      </c>
      <c r="BL260">
        <v>3.4590000000000001</v>
      </c>
      <c r="BM260">
        <v>3.4670000000000001</v>
      </c>
      <c r="BN260" s="6">
        <v>3.472</v>
      </c>
      <c r="BO260" s="6">
        <v>3.4780000000000002</v>
      </c>
      <c r="BP260">
        <v>3.51</v>
      </c>
      <c r="BQ260" s="7">
        <v>45377</v>
      </c>
      <c r="BR260">
        <v>3.8410000000000002</v>
      </c>
      <c r="BS260">
        <v>3.8889999999999998</v>
      </c>
      <c r="BT260">
        <v>3.9089999999999998</v>
      </c>
      <c r="BU260">
        <v>3.9249999999999998</v>
      </c>
      <c r="BV260">
        <v>3.9209999999999998</v>
      </c>
      <c r="BW260" s="6">
        <v>3.9470000000000001</v>
      </c>
      <c r="BX260" s="6">
        <v>3.9420000000000002</v>
      </c>
      <c r="BY260">
        <v>3.9750000000000001</v>
      </c>
      <c r="BZ260" s="7">
        <v>45377</v>
      </c>
      <c r="CA260">
        <v>3.5510000000000002</v>
      </c>
      <c r="CB260">
        <v>3.5550000000000002</v>
      </c>
      <c r="CC260">
        <v>3.5070000000000001</v>
      </c>
      <c r="CD260">
        <v>3.5049999999999999</v>
      </c>
      <c r="CE260">
        <v>3.5259999999999998</v>
      </c>
      <c r="CF260" s="6">
        <v>3.5990000000000002</v>
      </c>
      <c r="CG260" s="6">
        <v>3.609</v>
      </c>
      <c r="CH260">
        <v>3.544</v>
      </c>
    </row>
    <row r="261" spans="2:86">
      <c r="B261" s="7">
        <v>45376</v>
      </c>
      <c r="C261">
        <v>3.4460000000000002</v>
      </c>
      <c r="D261">
        <v>3.3759999999999999</v>
      </c>
      <c r="E261">
        <v>3.34</v>
      </c>
      <c r="F261">
        <v>3.3519999999999999</v>
      </c>
      <c r="G261">
        <v>3.3130000000000002</v>
      </c>
      <c r="H261">
        <v>3.2909999999999999</v>
      </c>
      <c r="I261" s="6">
        <v>3.35</v>
      </c>
      <c r="J261" s="6">
        <v>3.327</v>
      </c>
      <c r="K261" s="6">
        <v>3.4119999999999999</v>
      </c>
      <c r="L261" s="6">
        <v>3.38</v>
      </c>
      <c r="M261" s="6">
        <v>3.37</v>
      </c>
      <c r="N261" s="6">
        <v>3.2770000000000001</v>
      </c>
      <c r="O261" s="7">
        <v>45376</v>
      </c>
      <c r="P261">
        <v>3.4039999999999999</v>
      </c>
      <c r="Q261">
        <v>3.3279999999999998</v>
      </c>
      <c r="R261">
        <v>3.3359999999999999</v>
      </c>
      <c r="S261">
        <v>3.3820000000000001</v>
      </c>
      <c r="T261">
        <v>3.3540000000000001</v>
      </c>
      <c r="U261" s="6">
        <v>3.35</v>
      </c>
      <c r="V261" s="6">
        <v>0</v>
      </c>
      <c r="W261">
        <v>0</v>
      </c>
      <c r="X261" s="7">
        <v>45376</v>
      </c>
      <c r="Y261">
        <v>3.4790000000000001</v>
      </c>
      <c r="Z261">
        <v>3.464</v>
      </c>
      <c r="AA261">
        <v>3.4239999999999999</v>
      </c>
      <c r="AB261">
        <v>3.4249999999999998</v>
      </c>
      <c r="AC261">
        <v>3.4369999999999998</v>
      </c>
      <c r="AD261" s="6">
        <v>3.4769999999999999</v>
      </c>
      <c r="AE261" s="6">
        <v>3.484</v>
      </c>
      <c r="AF261">
        <v>3.472</v>
      </c>
      <c r="AG261" s="7">
        <v>45376</v>
      </c>
      <c r="AH261">
        <v>3.6019999999999999</v>
      </c>
      <c r="AI261">
        <v>3.59</v>
      </c>
      <c r="AJ261">
        <v>3.5680000000000001</v>
      </c>
      <c r="AK261">
        <v>3.5539999999999998</v>
      </c>
      <c r="AL261">
        <v>3.4849999999999999</v>
      </c>
      <c r="AM261" s="6">
        <v>3.4740000000000002</v>
      </c>
      <c r="AN261" s="6">
        <v>3.528</v>
      </c>
      <c r="AO261">
        <v>3.59</v>
      </c>
      <c r="AP261" s="7">
        <v>45376</v>
      </c>
      <c r="AQ261">
        <v>3.734</v>
      </c>
      <c r="AR261">
        <v>3.7519999999999998</v>
      </c>
      <c r="AS261">
        <v>3.7709999999999999</v>
      </c>
      <c r="AT261">
        <v>3.8079999999999998</v>
      </c>
      <c r="AU261">
        <v>3.8330000000000002</v>
      </c>
      <c r="AV261" s="6">
        <v>3.91</v>
      </c>
      <c r="AW261" s="6">
        <v>3.9670000000000001</v>
      </c>
      <c r="AX261">
        <v>4.1180000000000003</v>
      </c>
      <c r="AY261" s="7">
        <v>45376</v>
      </c>
      <c r="AZ261">
        <v>3.577</v>
      </c>
      <c r="BA261">
        <v>3.5790000000000002</v>
      </c>
      <c r="BB261">
        <v>3.569</v>
      </c>
      <c r="BC261">
        <v>3.5369999999999999</v>
      </c>
      <c r="BD261">
        <v>3.5209999999999999</v>
      </c>
      <c r="BE261" s="6">
        <v>3.512</v>
      </c>
      <c r="BF261" s="6">
        <v>3.5070000000000001</v>
      </c>
      <c r="BG261">
        <v>3.528</v>
      </c>
      <c r="BH261" s="7">
        <v>45376</v>
      </c>
      <c r="BI261">
        <v>3.4860000000000002</v>
      </c>
      <c r="BJ261">
        <v>3.5059999999999998</v>
      </c>
      <c r="BK261">
        <v>3.4849999999999999</v>
      </c>
      <c r="BL261">
        <v>3.4609999999999999</v>
      </c>
      <c r="BM261">
        <v>3.46</v>
      </c>
      <c r="BN261" s="6">
        <v>3.4590000000000001</v>
      </c>
      <c r="BO261" s="6">
        <v>3.468</v>
      </c>
      <c r="BP261">
        <v>3.4990000000000001</v>
      </c>
      <c r="BQ261" s="7">
        <v>45376</v>
      </c>
      <c r="BR261">
        <v>3.839</v>
      </c>
      <c r="BS261">
        <v>3.88</v>
      </c>
      <c r="BT261">
        <v>3.911</v>
      </c>
      <c r="BU261">
        <v>3.927</v>
      </c>
      <c r="BV261">
        <v>3.9140000000000001</v>
      </c>
      <c r="BW261" s="6">
        <v>3.9390000000000001</v>
      </c>
      <c r="BX261" s="6">
        <v>3.9350000000000001</v>
      </c>
      <c r="BY261">
        <v>3.9630000000000001</v>
      </c>
      <c r="BZ261" s="7">
        <v>45376</v>
      </c>
      <c r="CA261">
        <v>3.5510000000000002</v>
      </c>
      <c r="CB261">
        <v>3.5430000000000001</v>
      </c>
      <c r="CC261">
        <v>3.5009999999999999</v>
      </c>
      <c r="CD261">
        <v>3.5009999999999999</v>
      </c>
      <c r="CE261">
        <v>3.5139999999999998</v>
      </c>
      <c r="CF261" s="6">
        <v>3.585</v>
      </c>
      <c r="CG261" s="6">
        <v>3.597</v>
      </c>
      <c r="CH261">
        <v>3.5310000000000001</v>
      </c>
    </row>
    <row r="262" spans="2:86">
      <c r="B262" s="7">
        <v>45373</v>
      </c>
      <c r="C262">
        <v>3.4460000000000002</v>
      </c>
      <c r="D262">
        <v>3.3660000000000001</v>
      </c>
      <c r="E262">
        <v>3.34</v>
      </c>
      <c r="F262">
        <v>3.35</v>
      </c>
      <c r="G262">
        <v>3.339</v>
      </c>
      <c r="H262">
        <v>3.2869999999999999</v>
      </c>
      <c r="I262" s="6">
        <v>3.3450000000000002</v>
      </c>
      <c r="J262" s="6">
        <v>3.323</v>
      </c>
      <c r="K262" s="6">
        <v>3.4079999999999999</v>
      </c>
      <c r="L262" s="6">
        <v>3.3639999999999999</v>
      </c>
      <c r="M262" s="6">
        <v>3.3490000000000002</v>
      </c>
      <c r="N262" s="6">
        <v>3.2650000000000001</v>
      </c>
      <c r="O262" s="7">
        <v>45373</v>
      </c>
      <c r="P262">
        <v>3.4039999999999999</v>
      </c>
      <c r="Q262">
        <v>3.3279999999999998</v>
      </c>
      <c r="R262">
        <v>3.3330000000000002</v>
      </c>
      <c r="S262">
        <v>3.38</v>
      </c>
      <c r="T262">
        <v>3.35</v>
      </c>
      <c r="U262" s="6">
        <v>3.347</v>
      </c>
      <c r="V262" s="6">
        <v>0</v>
      </c>
      <c r="W262">
        <v>0</v>
      </c>
      <c r="X262" s="7">
        <v>45373</v>
      </c>
      <c r="Y262">
        <v>3.4790000000000001</v>
      </c>
      <c r="Z262">
        <v>3.4540000000000002</v>
      </c>
      <c r="AA262">
        <v>3.4220000000000002</v>
      </c>
      <c r="AB262">
        <v>3.423</v>
      </c>
      <c r="AC262">
        <v>3.4529999999999998</v>
      </c>
      <c r="AD262" s="6">
        <v>3.4750000000000001</v>
      </c>
      <c r="AE262" s="6">
        <v>3.4830000000000001</v>
      </c>
      <c r="AF262">
        <v>3.4710000000000001</v>
      </c>
      <c r="AG262" s="7">
        <v>45373</v>
      </c>
      <c r="AH262">
        <v>3.6019999999999999</v>
      </c>
      <c r="AI262">
        <v>3.5939999999999999</v>
      </c>
      <c r="AJ262">
        <v>3.5670000000000002</v>
      </c>
      <c r="AK262">
        <v>3.552</v>
      </c>
      <c r="AL262">
        <v>3.4820000000000002</v>
      </c>
      <c r="AM262" s="6">
        <v>3.4710000000000001</v>
      </c>
      <c r="AN262" s="6">
        <v>3.524</v>
      </c>
      <c r="AO262">
        <v>3.5950000000000002</v>
      </c>
      <c r="AP262" s="7">
        <v>45373</v>
      </c>
      <c r="AQ262">
        <v>3.7360000000000002</v>
      </c>
      <c r="AR262">
        <v>3.754</v>
      </c>
      <c r="AS262">
        <v>3.7690000000000001</v>
      </c>
      <c r="AT262">
        <v>3.8119999999999998</v>
      </c>
      <c r="AU262">
        <v>3.831</v>
      </c>
      <c r="AV262" s="6">
        <v>3.907</v>
      </c>
      <c r="AW262" s="6">
        <v>3.97</v>
      </c>
      <c r="AX262">
        <v>4.1189999999999998</v>
      </c>
      <c r="AY262" s="7">
        <v>45373</v>
      </c>
      <c r="AZ262">
        <v>3.5790000000000002</v>
      </c>
      <c r="BA262">
        <v>3.5790000000000002</v>
      </c>
      <c r="BB262">
        <v>3.5670000000000002</v>
      </c>
      <c r="BC262">
        <v>3.5369999999999999</v>
      </c>
      <c r="BD262">
        <v>3.5169999999999999</v>
      </c>
      <c r="BE262" s="6">
        <v>3.51</v>
      </c>
      <c r="BF262" s="6">
        <v>3.504</v>
      </c>
      <c r="BG262">
        <v>3.53</v>
      </c>
      <c r="BH262" s="7">
        <v>45373</v>
      </c>
      <c r="BI262">
        <v>3.488</v>
      </c>
      <c r="BJ262">
        <v>3.5059999999999998</v>
      </c>
      <c r="BK262">
        <v>3.4849999999999999</v>
      </c>
      <c r="BL262">
        <v>3.4609999999999999</v>
      </c>
      <c r="BM262">
        <v>3.4569999999999999</v>
      </c>
      <c r="BN262" s="6">
        <v>3.456</v>
      </c>
      <c r="BO262" s="6">
        <v>3.4649999999999999</v>
      </c>
      <c r="BP262">
        <v>3.5009999999999999</v>
      </c>
      <c r="BQ262" s="7">
        <v>45373</v>
      </c>
      <c r="BR262">
        <v>3.8410000000000002</v>
      </c>
      <c r="BS262">
        <v>3.88</v>
      </c>
      <c r="BT262">
        <v>3.9089999999999998</v>
      </c>
      <c r="BU262">
        <v>3.9260000000000002</v>
      </c>
      <c r="BV262">
        <v>3.91</v>
      </c>
      <c r="BW262" s="6">
        <v>3.9359999999999999</v>
      </c>
      <c r="BX262" s="6">
        <v>3.9329999999999998</v>
      </c>
      <c r="BY262">
        <v>3.9649999999999999</v>
      </c>
      <c r="BZ262" s="7">
        <v>45373</v>
      </c>
      <c r="CA262">
        <v>3.5510000000000002</v>
      </c>
      <c r="CB262">
        <v>3.5329999999999999</v>
      </c>
      <c r="CC262">
        <v>3.4990000000000001</v>
      </c>
      <c r="CD262">
        <v>3.4990000000000001</v>
      </c>
      <c r="CE262">
        <v>3.532</v>
      </c>
      <c r="CF262" s="6">
        <v>3.5819999999999999</v>
      </c>
      <c r="CG262" s="6">
        <v>3.5939999999999999</v>
      </c>
      <c r="CH262">
        <v>3.53</v>
      </c>
    </row>
    <row r="263" spans="2:86">
      <c r="B263" s="7">
        <v>45372</v>
      </c>
      <c r="C263">
        <v>3.4449999999999998</v>
      </c>
      <c r="D263">
        <v>3.3650000000000002</v>
      </c>
      <c r="E263">
        <v>3.3359999999999999</v>
      </c>
      <c r="F263">
        <v>3.3530000000000002</v>
      </c>
      <c r="G263">
        <v>3.3580000000000001</v>
      </c>
      <c r="H263">
        <v>3.3050000000000002</v>
      </c>
      <c r="I263" s="6">
        <v>3.3679999999999999</v>
      </c>
      <c r="J263" s="6">
        <v>3.3450000000000002</v>
      </c>
      <c r="K263" s="6">
        <v>3.448</v>
      </c>
      <c r="L263" s="6">
        <v>3.4079999999999999</v>
      </c>
      <c r="M263" s="6">
        <v>3.3740000000000001</v>
      </c>
      <c r="N263" s="6">
        <v>3.2869999999999999</v>
      </c>
      <c r="O263" s="7">
        <v>45372</v>
      </c>
      <c r="P263">
        <v>3.4020000000000001</v>
      </c>
      <c r="Q263">
        <v>3.323</v>
      </c>
      <c r="R263">
        <v>3.3330000000000002</v>
      </c>
      <c r="S263">
        <v>3.39</v>
      </c>
      <c r="T263">
        <v>3.36</v>
      </c>
      <c r="U263" s="6">
        <v>3.3650000000000002</v>
      </c>
      <c r="V263" s="6">
        <v>0</v>
      </c>
      <c r="W263">
        <v>0</v>
      </c>
      <c r="X263" s="7">
        <v>45372</v>
      </c>
      <c r="Y263">
        <v>3.4769999999999999</v>
      </c>
      <c r="Z263">
        <v>3.452</v>
      </c>
      <c r="AA263">
        <v>3.42</v>
      </c>
      <c r="AB263">
        <v>3.4279999999999999</v>
      </c>
      <c r="AC263">
        <v>3.4689999999999999</v>
      </c>
      <c r="AD263" s="6">
        <v>3.4950000000000001</v>
      </c>
      <c r="AE263" s="6">
        <v>3.51</v>
      </c>
      <c r="AF263">
        <v>3.504</v>
      </c>
      <c r="AG263" s="7">
        <v>45372</v>
      </c>
      <c r="AH263">
        <v>3.5950000000000002</v>
      </c>
      <c r="AI263">
        <v>3.5859999999999999</v>
      </c>
      <c r="AJ263">
        <v>3.5680000000000001</v>
      </c>
      <c r="AK263">
        <v>3.5619999999999998</v>
      </c>
      <c r="AL263">
        <v>3.4969999999999999</v>
      </c>
      <c r="AM263" s="6">
        <v>3.496</v>
      </c>
      <c r="AN263" s="6">
        <v>3.5550000000000002</v>
      </c>
      <c r="AO263">
        <v>3.633</v>
      </c>
      <c r="AP263" s="7">
        <v>45372</v>
      </c>
      <c r="AQ263">
        <v>3.7389999999999999</v>
      </c>
      <c r="AR263">
        <v>3.7519999999999998</v>
      </c>
      <c r="AS263">
        <v>3.7679999999999998</v>
      </c>
      <c r="AT263">
        <v>3.83</v>
      </c>
      <c r="AU263">
        <v>3.8490000000000002</v>
      </c>
      <c r="AV263" s="6">
        <v>3.9350000000000001</v>
      </c>
      <c r="AW263" s="6">
        <v>4.0019999999999998</v>
      </c>
      <c r="AX263">
        <v>4.1559999999999997</v>
      </c>
      <c r="AY263" s="7">
        <v>45372</v>
      </c>
      <c r="AZ263">
        <v>3.5739999999999998</v>
      </c>
      <c r="BA263">
        <v>3.5720000000000001</v>
      </c>
      <c r="BB263">
        <v>3.5670000000000002</v>
      </c>
      <c r="BC263">
        <v>3.5569999999999999</v>
      </c>
      <c r="BD263">
        <v>3.54</v>
      </c>
      <c r="BE263" s="6">
        <v>3.54</v>
      </c>
      <c r="BF263" s="6">
        <v>3.54</v>
      </c>
      <c r="BG263">
        <v>3.5579999999999998</v>
      </c>
      <c r="BH263" s="7">
        <v>45372</v>
      </c>
      <c r="BI263">
        <v>3.4830000000000001</v>
      </c>
      <c r="BJ263">
        <v>3.4990000000000001</v>
      </c>
      <c r="BK263">
        <v>3.4849999999999999</v>
      </c>
      <c r="BL263">
        <v>3.4809999999999999</v>
      </c>
      <c r="BM263">
        <v>3.4780000000000002</v>
      </c>
      <c r="BN263" s="6">
        <v>3.4790000000000001</v>
      </c>
      <c r="BO263" s="6">
        <v>3.4950000000000001</v>
      </c>
      <c r="BP263">
        <v>3.532</v>
      </c>
      <c r="BQ263" s="7">
        <v>45372</v>
      </c>
      <c r="BR263">
        <v>3.8359999999999999</v>
      </c>
      <c r="BS263">
        <v>3.8740000000000001</v>
      </c>
      <c r="BT263">
        <v>3.9089999999999998</v>
      </c>
      <c r="BU263">
        <v>3.9460000000000002</v>
      </c>
      <c r="BV263">
        <v>3.9329999999999998</v>
      </c>
      <c r="BW263" s="6">
        <v>3.9660000000000002</v>
      </c>
      <c r="BX263" s="6">
        <v>3.968</v>
      </c>
      <c r="BY263">
        <v>3.9929999999999999</v>
      </c>
      <c r="BZ263" s="7">
        <v>45372</v>
      </c>
      <c r="CA263">
        <v>3.55</v>
      </c>
      <c r="CB263">
        <v>3.532</v>
      </c>
      <c r="CC263">
        <v>3.4969999999999999</v>
      </c>
      <c r="CD263">
        <v>3.504</v>
      </c>
      <c r="CE263">
        <v>3.548</v>
      </c>
      <c r="CF263" s="6">
        <v>3.6</v>
      </c>
      <c r="CG263" s="6">
        <v>3.617</v>
      </c>
      <c r="CH263">
        <v>3.5630000000000002</v>
      </c>
    </row>
    <row r="264" spans="2:86">
      <c r="B264" s="7">
        <v>45371</v>
      </c>
      <c r="C264">
        <v>3.4510000000000001</v>
      </c>
      <c r="D264">
        <v>3.3759999999999999</v>
      </c>
      <c r="E264">
        <v>3.3450000000000002</v>
      </c>
      <c r="F264">
        <v>3.4060000000000001</v>
      </c>
      <c r="G264">
        <v>3.4289999999999998</v>
      </c>
      <c r="H264">
        <v>3.3650000000000002</v>
      </c>
      <c r="I264" s="6">
        <v>3.423</v>
      </c>
      <c r="J264" s="6">
        <v>3.39</v>
      </c>
      <c r="K264" s="6">
        <v>3.496</v>
      </c>
      <c r="L264" s="6">
        <v>3.44</v>
      </c>
      <c r="M264" s="6">
        <v>3.4</v>
      </c>
      <c r="N264" s="6">
        <v>3.3149999999999999</v>
      </c>
      <c r="O264" s="7">
        <v>45371</v>
      </c>
      <c r="P264">
        <v>3.4089999999999998</v>
      </c>
      <c r="Q264">
        <v>3.33</v>
      </c>
      <c r="R264">
        <v>3.3479999999999999</v>
      </c>
      <c r="S264">
        <v>3.4239999999999999</v>
      </c>
      <c r="T264">
        <v>3.4119999999999999</v>
      </c>
      <c r="U264" s="6">
        <v>3.4260000000000002</v>
      </c>
      <c r="V264" s="6">
        <v>0</v>
      </c>
      <c r="W264">
        <v>0</v>
      </c>
      <c r="X264" s="7">
        <v>45371</v>
      </c>
      <c r="Y264">
        <v>3.484</v>
      </c>
      <c r="Z264">
        <v>3.4670000000000001</v>
      </c>
      <c r="AA264">
        <v>3.4289999999999998</v>
      </c>
      <c r="AB264">
        <v>3.476</v>
      </c>
      <c r="AC264">
        <v>3.532</v>
      </c>
      <c r="AD264" s="6">
        <v>3.5569999999999999</v>
      </c>
      <c r="AE264" s="6">
        <v>3.5649999999999999</v>
      </c>
      <c r="AF264">
        <v>3.5510000000000002</v>
      </c>
      <c r="AG264" s="7">
        <v>45371</v>
      </c>
      <c r="AH264">
        <v>3.6019999999999999</v>
      </c>
      <c r="AI264">
        <v>3.5910000000000002</v>
      </c>
      <c r="AJ264">
        <v>3.581</v>
      </c>
      <c r="AK264">
        <v>3.5910000000000002</v>
      </c>
      <c r="AL264">
        <v>3.5510000000000002</v>
      </c>
      <c r="AM264" s="6">
        <v>3.5569999999999999</v>
      </c>
      <c r="AN264" s="6">
        <v>3.6160000000000001</v>
      </c>
      <c r="AO264">
        <v>3.6819999999999999</v>
      </c>
      <c r="AP264" s="7">
        <v>45371</v>
      </c>
      <c r="AQ264">
        <v>3.7429999999999999</v>
      </c>
      <c r="AR264">
        <v>3.7570000000000001</v>
      </c>
      <c r="AS264">
        <v>3.7879999999999998</v>
      </c>
      <c r="AT264">
        <v>3.8730000000000002</v>
      </c>
      <c r="AU264">
        <v>3.903</v>
      </c>
      <c r="AV264" s="6">
        <v>3.9929999999999999</v>
      </c>
      <c r="AW264" s="6">
        <v>4.0590000000000002</v>
      </c>
      <c r="AX264">
        <v>4.2039999999999997</v>
      </c>
      <c r="AY264" s="7">
        <v>45371</v>
      </c>
      <c r="AZ264">
        <v>3.577</v>
      </c>
      <c r="BA264">
        <v>3.5790000000000002</v>
      </c>
      <c r="BB264">
        <v>3.581</v>
      </c>
      <c r="BC264">
        <v>3.589</v>
      </c>
      <c r="BD264">
        <v>3.597</v>
      </c>
      <c r="BE264" s="6">
        <v>3.6030000000000002</v>
      </c>
      <c r="BF264" s="6">
        <v>3.5979999999999999</v>
      </c>
      <c r="BG264">
        <v>3.61</v>
      </c>
      <c r="BH264" s="7">
        <v>45371</v>
      </c>
      <c r="BI264">
        <v>3.4860000000000002</v>
      </c>
      <c r="BJ264">
        <v>3.5059999999999998</v>
      </c>
      <c r="BK264">
        <v>3.4990000000000001</v>
      </c>
      <c r="BL264">
        <v>3.5129999999999999</v>
      </c>
      <c r="BM264">
        <v>3.532</v>
      </c>
      <c r="BN264" s="6">
        <v>3.54</v>
      </c>
      <c r="BO264" s="6">
        <v>3.5529999999999999</v>
      </c>
      <c r="BP264">
        <v>3.5819999999999999</v>
      </c>
      <c r="BQ264" s="7">
        <v>45371</v>
      </c>
      <c r="BR264">
        <v>3.839</v>
      </c>
      <c r="BS264">
        <v>3.88</v>
      </c>
      <c r="BT264">
        <v>3.9220000000000002</v>
      </c>
      <c r="BU264">
        <v>3.9790000000000001</v>
      </c>
      <c r="BV264">
        <v>3.99</v>
      </c>
      <c r="BW264" s="6">
        <v>4.0279999999999996</v>
      </c>
      <c r="BX264" s="6">
        <v>4.0270000000000001</v>
      </c>
      <c r="BY264">
        <v>4.0439999999999996</v>
      </c>
      <c r="BZ264" s="7">
        <v>45371</v>
      </c>
      <c r="CA264">
        <v>3.556</v>
      </c>
      <c r="CB264">
        <v>3.5430000000000001</v>
      </c>
      <c r="CC264">
        <v>3.5059999999999998</v>
      </c>
      <c r="CD264">
        <v>3.5510000000000002</v>
      </c>
      <c r="CE264">
        <v>3.6110000000000002</v>
      </c>
      <c r="CF264" s="6">
        <v>3.66</v>
      </c>
      <c r="CG264" s="6">
        <v>3.6720000000000002</v>
      </c>
      <c r="CH264">
        <v>3.61</v>
      </c>
    </row>
    <row r="265" spans="2:86">
      <c r="B265" s="7">
        <v>45370</v>
      </c>
      <c r="C265">
        <v>3.4609999999999999</v>
      </c>
      <c r="D265">
        <v>3.37</v>
      </c>
      <c r="E265">
        <v>3.3450000000000002</v>
      </c>
      <c r="F265">
        <v>3.4340000000000002</v>
      </c>
      <c r="G265">
        <v>3.4420000000000002</v>
      </c>
      <c r="H265">
        <v>3.39</v>
      </c>
      <c r="I265" s="6">
        <v>3.452</v>
      </c>
      <c r="J265" s="6">
        <v>3.4220000000000002</v>
      </c>
      <c r="K265" s="6">
        <v>3.5289999999999999</v>
      </c>
      <c r="L265" s="6">
        <v>3.4750000000000001</v>
      </c>
      <c r="M265" s="6">
        <v>3.4249999999999998</v>
      </c>
      <c r="N265" s="6">
        <v>3.3450000000000002</v>
      </c>
      <c r="O265" s="7">
        <v>45370</v>
      </c>
      <c r="P265">
        <v>3.4119999999999999</v>
      </c>
      <c r="Q265">
        <v>3.3359999999999999</v>
      </c>
      <c r="R265">
        <v>3.355</v>
      </c>
      <c r="S265">
        <v>3.4470000000000001</v>
      </c>
      <c r="T265">
        <v>3.4489999999999998</v>
      </c>
      <c r="U265" s="6">
        <v>3.46</v>
      </c>
      <c r="V265" s="6">
        <v>0</v>
      </c>
      <c r="W265">
        <v>0</v>
      </c>
      <c r="X265" s="7">
        <v>45370</v>
      </c>
      <c r="Y265">
        <v>3.492</v>
      </c>
      <c r="Z265">
        <v>3.464</v>
      </c>
      <c r="AA265">
        <v>3.43</v>
      </c>
      <c r="AB265">
        <v>3.4980000000000002</v>
      </c>
      <c r="AC265">
        <v>3.5550000000000002</v>
      </c>
      <c r="AD265" s="6">
        <v>3.5880000000000001</v>
      </c>
      <c r="AE265" s="6">
        <v>3.5979999999999999</v>
      </c>
      <c r="AF265">
        <v>3.5830000000000002</v>
      </c>
      <c r="AG265" s="7">
        <v>45370</v>
      </c>
      <c r="AH265">
        <v>3.6</v>
      </c>
      <c r="AI265">
        <v>3.5960000000000001</v>
      </c>
      <c r="AJ265">
        <v>3.5859999999999999</v>
      </c>
      <c r="AK265">
        <v>3.61</v>
      </c>
      <c r="AL265">
        <v>3.5910000000000002</v>
      </c>
      <c r="AM265" s="6">
        <v>3.59</v>
      </c>
      <c r="AN265" s="6">
        <v>3.649</v>
      </c>
      <c r="AO265">
        <v>3.7160000000000002</v>
      </c>
      <c r="AP265" s="7">
        <v>45370</v>
      </c>
      <c r="AQ265">
        <v>3.7480000000000002</v>
      </c>
      <c r="AR265">
        <v>3.7669999999999999</v>
      </c>
      <c r="AS265">
        <v>3.8029999999999999</v>
      </c>
      <c r="AT265">
        <v>3.9060000000000001</v>
      </c>
      <c r="AU265">
        <v>3.95</v>
      </c>
      <c r="AV265" s="6">
        <v>4.0259999999999998</v>
      </c>
      <c r="AW265" s="6">
        <v>4.0949999999999998</v>
      </c>
      <c r="AX265">
        <v>4.2430000000000003</v>
      </c>
      <c r="AY265" s="7">
        <v>45370</v>
      </c>
      <c r="AZ265">
        <v>3.581</v>
      </c>
      <c r="BA265">
        <v>3.5859999999999999</v>
      </c>
      <c r="BB265">
        <v>3.5880000000000001</v>
      </c>
      <c r="BC265">
        <v>3.6120000000000001</v>
      </c>
      <c r="BD265">
        <v>3.6360000000000001</v>
      </c>
      <c r="BE265" s="6">
        <v>3.63</v>
      </c>
      <c r="BF265" s="6">
        <v>3.633</v>
      </c>
      <c r="BG265">
        <v>3.6429999999999998</v>
      </c>
      <c r="BH265" s="7">
        <v>45370</v>
      </c>
      <c r="BI265">
        <v>3.4870000000000001</v>
      </c>
      <c r="BJ265">
        <v>3.5110000000000001</v>
      </c>
      <c r="BK265">
        <v>3.5070000000000001</v>
      </c>
      <c r="BL265">
        <v>3.5369999999999999</v>
      </c>
      <c r="BM265">
        <v>3.5569999999999999</v>
      </c>
      <c r="BN265" s="6">
        <v>3.573</v>
      </c>
      <c r="BO265" s="6">
        <v>3.5859999999999999</v>
      </c>
      <c r="BP265">
        <v>3.6139999999999999</v>
      </c>
      <c r="BQ265" s="7">
        <v>45370</v>
      </c>
      <c r="BR265">
        <v>3.8439999999999999</v>
      </c>
      <c r="BS265">
        <v>3.887</v>
      </c>
      <c r="BT265">
        <v>3.9289999999999998</v>
      </c>
      <c r="BU265">
        <v>4.0019999999999998</v>
      </c>
      <c r="BV265">
        <v>4.0309999999999997</v>
      </c>
      <c r="BW265" s="6">
        <v>4.0549999999999997</v>
      </c>
      <c r="BX265" s="6">
        <v>4.0599999999999996</v>
      </c>
      <c r="BY265">
        <v>4.077</v>
      </c>
      <c r="BZ265" s="7">
        <v>45370</v>
      </c>
      <c r="CA265">
        <v>3.5649999999999999</v>
      </c>
      <c r="CB265">
        <v>3.54</v>
      </c>
      <c r="CC265">
        <v>3.5070000000000001</v>
      </c>
      <c r="CD265">
        <v>3.5760000000000001</v>
      </c>
      <c r="CE265">
        <v>3.637</v>
      </c>
      <c r="CF265" s="6">
        <v>3.6880000000000002</v>
      </c>
      <c r="CG265" s="6">
        <v>3.7040000000000002</v>
      </c>
      <c r="CH265">
        <v>3.6480000000000001</v>
      </c>
    </row>
    <row r="266" spans="2:86">
      <c r="B266" s="7">
        <v>45369</v>
      </c>
      <c r="C266">
        <v>3.4609999999999999</v>
      </c>
      <c r="D266">
        <v>3.37</v>
      </c>
      <c r="E266">
        <v>3.3450000000000002</v>
      </c>
      <c r="F266">
        <v>3.4159999999999999</v>
      </c>
      <c r="G266">
        <v>3.415</v>
      </c>
      <c r="H266">
        <v>3.35</v>
      </c>
      <c r="I266" s="6">
        <v>3.4140000000000001</v>
      </c>
      <c r="J266" s="6">
        <v>3.3849999999999998</v>
      </c>
      <c r="K266" s="6">
        <v>3.4889999999999999</v>
      </c>
      <c r="L266" s="6">
        <v>3.4319999999999999</v>
      </c>
      <c r="M266" s="6">
        <v>3.419</v>
      </c>
      <c r="N266" s="6">
        <v>3.3250000000000002</v>
      </c>
      <c r="O266" s="7">
        <v>45369</v>
      </c>
      <c r="P266">
        <v>3.4140000000000001</v>
      </c>
      <c r="Q266">
        <v>3.335</v>
      </c>
      <c r="R266">
        <v>3.351</v>
      </c>
      <c r="S266">
        <v>3.43</v>
      </c>
      <c r="T266">
        <v>3.4180000000000001</v>
      </c>
      <c r="U266" s="6">
        <v>3.4220000000000002</v>
      </c>
      <c r="V266" s="6">
        <v>0</v>
      </c>
      <c r="W266">
        <v>0</v>
      </c>
      <c r="X266" s="7">
        <v>45369</v>
      </c>
      <c r="Y266">
        <v>3.4940000000000002</v>
      </c>
      <c r="Z266">
        <v>3.464</v>
      </c>
      <c r="AA266">
        <v>3.43</v>
      </c>
      <c r="AB266">
        <v>3.4809999999999999</v>
      </c>
      <c r="AC266">
        <v>3.528</v>
      </c>
      <c r="AD266" s="6">
        <v>3.552</v>
      </c>
      <c r="AE266" s="6">
        <v>3.5609999999999999</v>
      </c>
      <c r="AF266">
        <v>3.5430000000000001</v>
      </c>
      <c r="AG266" s="7">
        <v>45369</v>
      </c>
      <c r="AH266">
        <v>3.6019999999999999</v>
      </c>
      <c r="AI266">
        <v>3.593</v>
      </c>
      <c r="AJ266">
        <v>3.5840000000000001</v>
      </c>
      <c r="AK266">
        <v>3.5960000000000001</v>
      </c>
      <c r="AL266">
        <v>3.5630000000000002</v>
      </c>
      <c r="AM266" s="6">
        <v>3.5569999999999999</v>
      </c>
      <c r="AN266" s="6">
        <v>3.6139999999999999</v>
      </c>
      <c r="AO266">
        <v>3.681</v>
      </c>
      <c r="AP266" s="7">
        <v>45369</v>
      </c>
      <c r="AQ266">
        <v>3.7509999999999999</v>
      </c>
      <c r="AR266">
        <v>3.7669999999999999</v>
      </c>
      <c r="AS266">
        <v>3.8010000000000002</v>
      </c>
      <c r="AT266">
        <v>3.8919999999999999</v>
      </c>
      <c r="AU266">
        <v>3.9260000000000002</v>
      </c>
      <c r="AV266" s="6">
        <v>3.9910000000000001</v>
      </c>
      <c r="AW266" s="6">
        <v>4.0599999999999996</v>
      </c>
      <c r="AX266">
        <v>4.21</v>
      </c>
      <c r="AY266" s="7">
        <v>45369</v>
      </c>
      <c r="AZ266">
        <v>3.585</v>
      </c>
      <c r="BA266">
        <v>3.5859999999999999</v>
      </c>
      <c r="BB266">
        <v>3.5910000000000002</v>
      </c>
      <c r="BC266">
        <v>3.6</v>
      </c>
      <c r="BD266">
        <v>3.6139999999999999</v>
      </c>
      <c r="BE266" s="6">
        <v>3.601</v>
      </c>
      <c r="BF266" s="6">
        <v>3.6040000000000001</v>
      </c>
      <c r="BG266">
        <v>3.6150000000000002</v>
      </c>
      <c r="BH266" s="7">
        <v>45369</v>
      </c>
      <c r="BI266">
        <v>3.4889999999999999</v>
      </c>
      <c r="BJ266">
        <v>3.5110000000000001</v>
      </c>
      <c r="BK266">
        <v>3.51</v>
      </c>
      <c r="BL266">
        <v>3.524</v>
      </c>
      <c r="BM266">
        <v>3.5350000000000001</v>
      </c>
      <c r="BN266" s="6">
        <v>3.536</v>
      </c>
      <c r="BO266" s="6">
        <v>3.5489999999999999</v>
      </c>
      <c r="BP266">
        <v>3.5859999999999999</v>
      </c>
      <c r="BQ266" s="7">
        <v>45369</v>
      </c>
      <c r="BR266">
        <v>3.847</v>
      </c>
      <c r="BS266">
        <v>3.887</v>
      </c>
      <c r="BT266">
        <v>3.9319999999999999</v>
      </c>
      <c r="BU266">
        <v>3.99</v>
      </c>
      <c r="BV266">
        <v>4.008</v>
      </c>
      <c r="BW266" s="6">
        <v>4.0250000000000004</v>
      </c>
      <c r="BX266" s="6">
        <v>4.0309999999999997</v>
      </c>
      <c r="BY266">
        <v>4.0490000000000004</v>
      </c>
      <c r="BZ266" s="7">
        <v>45369</v>
      </c>
      <c r="CA266">
        <v>3.5649999999999999</v>
      </c>
      <c r="CB266">
        <v>3.54</v>
      </c>
      <c r="CC266">
        <v>3.5070000000000001</v>
      </c>
      <c r="CD266">
        <v>3.5590000000000002</v>
      </c>
      <c r="CE266">
        <v>3.609</v>
      </c>
      <c r="CF266" s="6">
        <v>3.65</v>
      </c>
      <c r="CG266" s="6">
        <v>3.6680000000000001</v>
      </c>
      <c r="CH266">
        <v>3.609</v>
      </c>
    </row>
    <row r="267" spans="2:86">
      <c r="B267" s="7">
        <v>45366</v>
      </c>
      <c r="C267">
        <v>3.4649999999999999</v>
      </c>
      <c r="D267">
        <v>3.36</v>
      </c>
      <c r="E267">
        <v>3.3380000000000001</v>
      </c>
      <c r="F267">
        <v>3.3980000000000001</v>
      </c>
      <c r="G267">
        <v>3.3730000000000002</v>
      </c>
      <c r="H267">
        <v>3.3050000000000002</v>
      </c>
      <c r="I267" s="6">
        <v>3.3690000000000002</v>
      </c>
      <c r="J267" s="6">
        <v>3.34</v>
      </c>
      <c r="K267" s="6">
        <v>3.4540000000000002</v>
      </c>
      <c r="L267" s="6">
        <v>3.41</v>
      </c>
      <c r="M267" s="6">
        <v>3.3849999999999998</v>
      </c>
      <c r="N267" s="6">
        <v>3.31</v>
      </c>
      <c r="O267" s="7">
        <v>45366</v>
      </c>
      <c r="P267">
        <v>3.4220000000000002</v>
      </c>
      <c r="Q267">
        <v>3.3530000000000002</v>
      </c>
      <c r="R267">
        <v>3.35</v>
      </c>
      <c r="S267">
        <v>3.4020000000000001</v>
      </c>
      <c r="T267">
        <v>3.3849999999999998</v>
      </c>
      <c r="U267" s="6">
        <v>3.39</v>
      </c>
      <c r="V267" s="6">
        <v>0</v>
      </c>
      <c r="W267">
        <v>0</v>
      </c>
      <c r="X267" s="7">
        <v>45366</v>
      </c>
      <c r="Y267">
        <v>3.496</v>
      </c>
      <c r="Z267">
        <v>3.4590000000000001</v>
      </c>
      <c r="AA267">
        <v>3.43</v>
      </c>
      <c r="AB267">
        <v>3.4569999999999999</v>
      </c>
      <c r="AC267">
        <v>3.49</v>
      </c>
      <c r="AD267" s="6">
        <v>3.508</v>
      </c>
      <c r="AE267" s="6">
        <v>3.5179999999999998</v>
      </c>
      <c r="AF267">
        <v>3.52</v>
      </c>
      <c r="AG267" s="7">
        <v>45366</v>
      </c>
      <c r="AH267">
        <v>3.6080000000000001</v>
      </c>
      <c r="AI267">
        <v>3.6030000000000002</v>
      </c>
      <c r="AJ267">
        <v>3.5870000000000002</v>
      </c>
      <c r="AK267">
        <v>3.58</v>
      </c>
      <c r="AL267">
        <v>3.544</v>
      </c>
      <c r="AM267" s="6">
        <v>3.5249999999999999</v>
      </c>
      <c r="AN267" s="6">
        <v>3.573</v>
      </c>
      <c r="AO267">
        <v>3.6440000000000001</v>
      </c>
      <c r="AP267" s="7">
        <v>45366</v>
      </c>
      <c r="AQ267">
        <v>3.758</v>
      </c>
      <c r="AR267">
        <v>3.7749999999999999</v>
      </c>
      <c r="AS267">
        <v>3.8029999999999999</v>
      </c>
      <c r="AT267">
        <v>3.8650000000000002</v>
      </c>
      <c r="AU267">
        <v>3.895</v>
      </c>
      <c r="AV267" s="6">
        <v>3.9510000000000001</v>
      </c>
      <c r="AW267" s="6">
        <v>4.0199999999999996</v>
      </c>
      <c r="AX267">
        <v>4.17</v>
      </c>
      <c r="AY267" s="7">
        <v>45366</v>
      </c>
      <c r="AZ267">
        <v>3.593</v>
      </c>
      <c r="BA267">
        <v>3.5990000000000002</v>
      </c>
      <c r="BB267">
        <v>3.5910000000000002</v>
      </c>
      <c r="BC267">
        <v>3.5790000000000002</v>
      </c>
      <c r="BD267">
        <v>3.5830000000000002</v>
      </c>
      <c r="BE267" s="6">
        <v>3.5569999999999999</v>
      </c>
      <c r="BF267" s="6">
        <v>3.5609999999999999</v>
      </c>
      <c r="BG267">
        <v>3.5760000000000001</v>
      </c>
      <c r="BH267" s="7">
        <v>45366</v>
      </c>
      <c r="BI267">
        <v>3.4940000000000002</v>
      </c>
      <c r="BJ267">
        <v>3.5190000000000001</v>
      </c>
      <c r="BK267">
        <v>3.51</v>
      </c>
      <c r="BL267">
        <v>3.5030000000000001</v>
      </c>
      <c r="BM267">
        <v>3.51</v>
      </c>
      <c r="BN267" s="6">
        <v>3.4940000000000002</v>
      </c>
      <c r="BO267" s="6">
        <v>3.5059999999999998</v>
      </c>
      <c r="BP267">
        <v>3.548</v>
      </c>
      <c r="BQ267" s="7">
        <v>45366</v>
      </c>
      <c r="BR267">
        <v>3.8559999999999999</v>
      </c>
      <c r="BS267">
        <v>3.9</v>
      </c>
      <c r="BT267">
        <v>3.9319999999999999</v>
      </c>
      <c r="BU267">
        <v>3.9689999999999999</v>
      </c>
      <c r="BV267">
        <v>3.98</v>
      </c>
      <c r="BW267" s="6">
        <v>3.9830000000000001</v>
      </c>
      <c r="BX267" s="6">
        <v>3.9889999999999999</v>
      </c>
      <c r="BY267">
        <v>4.01</v>
      </c>
      <c r="BZ267" s="7">
        <v>45366</v>
      </c>
      <c r="CA267">
        <v>3.5659999999999998</v>
      </c>
      <c r="CB267">
        <v>3.5350000000000001</v>
      </c>
      <c r="CC267">
        <v>3.5070000000000001</v>
      </c>
      <c r="CD267">
        <v>3.5350000000000001</v>
      </c>
      <c r="CE267">
        <v>3.57</v>
      </c>
      <c r="CF267" s="6">
        <v>3.6059999999999999</v>
      </c>
      <c r="CG267" s="6">
        <v>3.6240000000000001</v>
      </c>
      <c r="CH267">
        <v>3.5859999999999999</v>
      </c>
    </row>
    <row r="268" spans="2:86">
      <c r="B268" s="7">
        <v>45365</v>
      </c>
      <c r="C268">
        <v>3.4649999999999999</v>
      </c>
      <c r="D268">
        <v>3.3650000000000002</v>
      </c>
      <c r="E268">
        <v>3.335</v>
      </c>
      <c r="F268">
        <v>3.3809999999999998</v>
      </c>
      <c r="G268">
        <v>3.35</v>
      </c>
      <c r="H268">
        <v>3.2669999999999999</v>
      </c>
      <c r="I268" s="6">
        <v>3.331</v>
      </c>
      <c r="J268" s="6">
        <v>3.2959999999999998</v>
      </c>
      <c r="K268" s="6">
        <v>3.4039999999999999</v>
      </c>
      <c r="L268" s="6">
        <v>3.355</v>
      </c>
      <c r="M268" s="6">
        <v>3.34</v>
      </c>
      <c r="N268" s="6">
        <v>3.266</v>
      </c>
      <c r="O268" s="7">
        <v>45365</v>
      </c>
      <c r="P268">
        <v>3.4249999999999998</v>
      </c>
      <c r="Q268">
        <v>3.3610000000000002</v>
      </c>
      <c r="R268">
        <v>3.355</v>
      </c>
      <c r="S268">
        <v>3.3820000000000001</v>
      </c>
      <c r="T268">
        <v>3.3570000000000002</v>
      </c>
      <c r="U268" s="6">
        <v>3.355</v>
      </c>
      <c r="V268" s="6">
        <v>0</v>
      </c>
      <c r="W268">
        <v>0</v>
      </c>
      <c r="X268" s="7">
        <v>45365</v>
      </c>
      <c r="Y268">
        <v>3.5</v>
      </c>
      <c r="Z268">
        <v>3.4649999999999999</v>
      </c>
      <c r="AA268">
        <v>3.4249999999999998</v>
      </c>
      <c r="AB268">
        <v>3.4390000000000001</v>
      </c>
      <c r="AC268">
        <v>3.4649999999999999</v>
      </c>
      <c r="AD268" s="6">
        <v>3.472</v>
      </c>
      <c r="AE268" s="6">
        <v>3.48</v>
      </c>
      <c r="AF268">
        <v>3.476</v>
      </c>
      <c r="AG268" s="7">
        <v>45365</v>
      </c>
      <c r="AH268">
        <v>3.6219999999999999</v>
      </c>
      <c r="AI268">
        <v>3.613</v>
      </c>
      <c r="AJ268">
        <v>3.5910000000000002</v>
      </c>
      <c r="AK268">
        <v>3.5640000000000001</v>
      </c>
      <c r="AL268">
        <v>3.5190000000000001</v>
      </c>
      <c r="AM268" s="6">
        <v>3.492</v>
      </c>
      <c r="AN268" s="6">
        <v>3.5369999999999999</v>
      </c>
      <c r="AO268">
        <v>3.601</v>
      </c>
      <c r="AP268" s="7">
        <v>45365</v>
      </c>
      <c r="AQ268">
        <v>3.762</v>
      </c>
      <c r="AR268">
        <v>3.778</v>
      </c>
      <c r="AS268">
        <v>3.8029999999999999</v>
      </c>
      <c r="AT268">
        <v>3.8450000000000002</v>
      </c>
      <c r="AU268">
        <v>3.8719999999999999</v>
      </c>
      <c r="AV268" s="6">
        <v>3.9159999999999999</v>
      </c>
      <c r="AW268" s="6">
        <v>3.9870000000000001</v>
      </c>
      <c r="AX268">
        <v>4.1310000000000002</v>
      </c>
      <c r="AY268" s="7">
        <v>45365</v>
      </c>
      <c r="AZ268">
        <v>3.605</v>
      </c>
      <c r="BA268">
        <v>3.6139999999999999</v>
      </c>
      <c r="BB268">
        <v>3.5990000000000002</v>
      </c>
      <c r="BC268">
        <v>3.5590000000000002</v>
      </c>
      <c r="BD268">
        <v>3.5579999999999998</v>
      </c>
      <c r="BE268" s="6">
        <v>3.524</v>
      </c>
      <c r="BF268" s="6">
        <v>3.528</v>
      </c>
      <c r="BG268">
        <v>3.5390000000000001</v>
      </c>
      <c r="BH268" s="7">
        <v>45365</v>
      </c>
      <c r="BI268">
        <v>3.504</v>
      </c>
      <c r="BJ268">
        <v>3.532</v>
      </c>
      <c r="BK268">
        <v>3.5190000000000001</v>
      </c>
      <c r="BL268">
        <v>3.4820000000000002</v>
      </c>
      <c r="BM268">
        <v>3.4830000000000001</v>
      </c>
      <c r="BN268" s="6">
        <v>3.4609999999999999</v>
      </c>
      <c r="BO268" s="6">
        <v>3.4729999999999999</v>
      </c>
      <c r="BP268">
        <v>3.5110000000000001</v>
      </c>
      <c r="BQ268" s="7">
        <v>45365</v>
      </c>
      <c r="BR268">
        <v>3.867</v>
      </c>
      <c r="BS268">
        <v>3.915</v>
      </c>
      <c r="BT268">
        <v>3.9409999999999998</v>
      </c>
      <c r="BU268">
        <v>3.9489999999999998</v>
      </c>
      <c r="BV268">
        <v>3.9529999999999998</v>
      </c>
      <c r="BW268" s="6">
        <v>3.95</v>
      </c>
      <c r="BX268" s="6">
        <v>3.956</v>
      </c>
      <c r="BY268">
        <v>3.9729999999999999</v>
      </c>
      <c r="BZ268" s="7">
        <v>45365</v>
      </c>
      <c r="CA268">
        <v>3.5680000000000001</v>
      </c>
      <c r="CB268">
        <v>3.5419999999999998</v>
      </c>
      <c r="CC268">
        <v>3.5019999999999998</v>
      </c>
      <c r="CD268">
        <v>3.5169999999999999</v>
      </c>
      <c r="CE268">
        <v>3.5449999999999999</v>
      </c>
      <c r="CF268" s="6">
        <v>3.5680000000000001</v>
      </c>
      <c r="CG268" s="6">
        <v>3.5870000000000002</v>
      </c>
      <c r="CH268">
        <v>3.5419999999999998</v>
      </c>
    </row>
    <row r="269" spans="2:86">
      <c r="B269" s="7">
        <v>45364</v>
      </c>
      <c r="C269">
        <v>3.4630000000000001</v>
      </c>
      <c r="D269">
        <v>3.3679999999999999</v>
      </c>
      <c r="E269">
        <v>3.331</v>
      </c>
      <c r="F269">
        <v>3.367</v>
      </c>
      <c r="G269">
        <v>3.3330000000000002</v>
      </c>
      <c r="H269">
        <v>3.2450000000000001</v>
      </c>
      <c r="I269" s="6">
        <v>3.2959999999999998</v>
      </c>
      <c r="J269" s="6">
        <v>3.2669999999999999</v>
      </c>
      <c r="K269" s="6">
        <v>3.379</v>
      </c>
      <c r="L269" s="6">
        <v>3.327</v>
      </c>
      <c r="M269" s="6">
        <v>3.3090000000000002</v>
      </c>
      <c r="N269" s="6">
        <v>3.2309999999999999</v>
      </c>
      <c r="O269" s="7">
        <v>45364</v>
      </c>
      <c r="P269">
        <v>3.4289999999999998</v>
      </c>
      <c r="Q269">
        <v>3.3639999999999999</v>
      </c>
      <c r="R269">
        <v>3.3650000000000002</v>
      </c>
      <c r="S269">
        <v>3.375</v>
      </c>
      <c r="T269">
        <v>3.3370000000000002</v>
      </c>
      <c r="U269" s="6">
        <v>3.33</v>
      </c>
      <c r="V269" s="6">
        <v>0</v>
      </c>
      <c r="W269">
        <v>0</v>
      </c>
      <c r="X269" s="7">
        <v>45364</v>
      </c>
      <c r="Y269">
        <v>3.5030000000000001</v>
      </c>
      <c r="Z269">
        <v>3.4689999999999999</v>
      </c>
      <c r="AA269">
        <v>3.4239999999999999</v>
      </c>
      <c r="AB269">
        <v>3.4249999999999998</v>
      </c>
      <c r="AC269">
        <v>3.448</v>
      </c>
      <c r="AD269" s="6">
        <v>3.4489999999999998</v>
      </c>
      <c r="AE269" s="6">
        <v>3.4489999999999998</v>
      </c>
      <c r="AF269">
        <v>3.45</v>
      </c>
      <c r="AG269" s="7">
        <v>45364</v>
      </c>
      <c r="AH269">
        <v>3.6280000000000001</v>
      </c>
      <c r="AI269">
        <v>3.6190000000000002</v>
      </c>
      <c r="AJ269">
        <v>3.6019999999999999</v>
      </c>
      <c r="AK269">
        <v>3.5590000000000002</v>
      </c>
      <c r="AL269">
        <v>3.5030000000000001</v>
      </c>
      <c r="AM269" s="6">
        <v>3.4740000000000002</v>
      </c>
      <c r="AN269" s="6">
        <v>3.504</v>
      </c>
      <c r="AO269">
        <v>3.573</v>
      </c>
      <c r="AP269" s="7">
        <v>45364</v>
      </c>
      <c r="AQ269">
        <v>3.7669999999999999</v>
      </c>
      <c r="AR269">
        <v>3.7839999999999998</v>
      </c>
      <c r="AS269">
        <v>3.8119999999999998</v>
      </c>
      <c r="AT269">
        <v>3.8439999999999999</v>
      </c>
      <c r="AU269">
        <v>3.8620000000000001</v>
      </c>
      <c r="AV269" s="6">
        <v>3.899</v>
      </c>
      <c r="AW269" s="6">
        <v>3.96</v>
      </c>
      <c r="AX269">
        <v>4.109</v>
      </c>
      <c r="AY269" s="7">
        <v>45364</v>
      </c>
      <c r="AZ269">
        <v>3.61</v>
      </c>
      <c r="BA269">
        <v>3.62</v>
      </c>
      <c r="BB269">
        <v>3.6120000000000001</v>
      </c>
      <c r="BC269">
        <v>3.552</v>
      </c>
      <c r="BD269">
        <v>3.5379999999999998</v>
      </c>
      <c r="BE269" s="6">
        <v>3.5059999999999998</v>
      </c>
      <c r="BF269" s="6">
        <v>3.4980000000000002</v>
      </c>
      <c r="BG269">
        <v>3.5129999999999999</v>
      </c>
      <c r="BH269" s="7">
        <v>45364</v>
      </c>
      <c r="BI269">
        <v>3.5089999999999999</v>
      </c>
      <c r="BJ269">
        <v>3.5379999999999998</v>
      </c>
      <c r="BK269">
        <v>3.5310000000000001</v>
      </c>
      <c r="BL269">
        <v>3.4740000000000002</v>
      </c>
      <c r="BM269">
        <v>3.4630000000000001</v>
      </c>
      <c r="BN269" s="6">
        <v>3.4409999999999998</v>
      </c>
      <c r="BO269" s="6">
        <v>3.4420000000000002</v>
      </c>
      <c r="BP269">
        <v>3.4849999999999999</v>
      </c>
      <c r="BQ269" s="7">
        <v>45364</v>
      </c>
      <c r="BR269">
        <v>3.8719999999999999</v>
      </c>
      <c r="BS269">
        <v>3.9209999999999998</v>
      </c>
      <c r="BT269">
        <v>3.9529999999999998</v>
      </c>
      <c r="BU269">
        <v>3.9409999999999998</v>
      </c>
      <c r="BV269">
        <v>3.9329999999999998</v>
      </c>
      <c r="BW269" s="6">
        <v>3.9319999999999999</v>
      </c>
      <c r="BX269" s="6">
        <v>3.9249999999999998</v>
      </c>
      <c r="BY269">
        <v>3.9470000000000001</v>
      </c>
      <c r="BZ269" s="7">
        <v>45364</v>
      </c>
      <c r="CA269">
        <v>3.5659999999999998</v>
      </c>
      <c r="CB269">
        <v>3.5449999999999999</v>
      </c>
      <c r="CC269">
        <v>3.5059999999999998</v>
      </c>
      <c r="CD269">
        <v>3.5059999999999998</v>
      </c>
      <c r="CE269">
        <v>3.528</v>
      </c>
      <c r="CF269" s="6">
        <v>3.5449999999999999</v>
      </c>
      <c r="CG269" s="6">
        <v>3.5550000000000002</v>
      </c>
      <c r="CH269">
        <v>3.5150000000000001</v>
      </c>
    </row>
    <row r="270" spans="2:86">
      <c r="B270" s="7">
        <v>45363</v>
      </c>
      <c r="C270">
        <v>3.4660000000000002</v>
      </c>
      <c r="D270">
        <v>3.4009999999999998</v>
      </c>
      <c r="E270">
        <v>3.3450000000000002</v>
      </c>
      <c r="F270">
        <v>3.3780000000000001</v>
      </c>
      <c r="G270">
        <v>3.347</v>
      </c>
      <c r="H270">
        <v>3.27</v>
      </c>
      <c r="I270" s="6">
        <v>3.32</v>
      </c>
      <c r="J270" s="6">
        <v>3.28</v>
      </c>
      <c r="K270" s="6">
        <v>3.3889999999999998</v>
      </c>
      <c r="L270" s="6">
        <v>3.3330000000000002</v>
      </c>
      <c r="M270" s="6">
        <v>3.3159999999999998</v>
      </c>
      <c r="N270" s="6">
        <v>3.2450000000000001</v>
      </c>
      <c r="O270" s="7">
        <v>45363</v>
      </c>
      <c r="P270">
        <v>3.4329999999999998</v>
      </c>
      <c r="Q270">
        <v>3.371</v>
      </c>
      <c r="R270">
        <v>3.3719999999999999</v>
      </c>
      <c r="S270">
        <v>3.3809999999999998</v>
      </c>
      <c r="T270">
        <v>3.347</v>
      </c>
      <c r="U270" s="6">
        <v>3.3439999999999999</v>
      </c>
      <c r="V270" s="6">
        <v>0</v>
      </c>
      <c r="W270">
        <v>0</v>
      </c>
      <c r="X270" s="7">
        <v>45363</v>
      </c>
      <c r="Y270">
        <v>3.5030000000000001</v>
      </c>
      <c r="Z270">
        <v>3.5019999999999998</v>
      </c>
      <c r="AA270">
        <v>3.4369999999999998</v>
      </c>
      <c r="AB270">
        <v>3.4359999999999999</v>
      </c>
      <c r="AC270">
        <v>3.4620000000000002</v>
      </c>
      <c r="AD270" s="6">
        <v>3.4740000000000002</v>
      </c>
      <c r="AE270" s="6">
        <v>3.472</v>
      </c>
      <c r="AF270">
        <v>3.4649999999999999</v>
      </c>
      <c r="AG270" s="7">
        <v>45363</v>
      </c>
      <c r="AH270">
        <v>3.633</v>
      </c>
      <c r="AI270">
        <v>3.6259999999999999</v>
      </c>
      <c r="AJ270">
        <v>3.6059999999999999</v>
      </c>
      <c r="AK270">
        <v>3.5619999999999998</v>
      </c>
      <c r="AL270">
        <v>3.5139999999999998</v>
      </c>
      <c r="AM270" s="6">
        <v>3.4990000000000001</v>
      </c>
      <c r="AN270" s="6">
        <v>3.528</v>
      </c>
      <c r="AO270">
        <v>3.5880000000000001</v>
      </c>
      <c r="AP270" s="7">
        <v>45363</v>
      </c>
      <c r="AQ270">
        <v>3.7669999999999999</v>
      </c>
      <c r="AR270">
        <v>3.786</v>
      </c>
      <c r="AS270">
        <v>3.823</v>
      </c>
      <c r="AT270">
        <v>3.8530000000000002</v>
      </c>
      <c r="AU270">
        <v>3.8730000000000002</v>
      </c>
      <c r="AV270" s="6">
        <v>3.9220000000000002</v>
      </c>
      <c r="AW270" s="6">
        <v>3.9820000000000002</v>
      </c>
      <c r="AX270">
        <v>4.1219999999999999</v>
      </c>
      <c r="AY270" s="7">
        <v>45363</v>
      </c>
      <c r="AZ270">
        <v>3.617</v>
      </c>
      <c r="BA270">
        <v>3.629</v>
      </c>
      <c r="BB270">
        <v>3.621</v>
      </c>
      <c r="BC270">
        <v>3.56</v>
      </c>
      <c r="BD270">
        <v>3.55</v>
      </c>
      <c r="BE270" s="6">
        <v>3.53</v>
      </c>
      <c r="BF270" s="6">
        <v>3.5219999999999998</v>
      </c>
      <c r="BG270">
        <v>3.528</v>
      </c>
      <c r="BH270" s="7">
        <v>45363</v>
      </c>
      <c r="BI270">
        <v>3.516</v>
      </c>
      <c r="BJ270">
        <v>3.5470000000000002</v>
      </c>
      <c r="BK270">
        <v>3.54</v>
      </c>
      <c r="BL270">
        <v>3.4820000000000002</v>
      </c>
      <c r="BM270">
        <v>3.4740000000000002</v>
      </c>
      <c r="BN270" s="6">
        <v>3.4649999999999999</v>
      </c>
      <c r="BO270" s="6">
        <v>3.4660000000000002</v>
      </c>
      <c r="BP270">
        <v>3.5019999999999998</v>
      </c>
      <c r="BQ270" s="7">
        <v>45363</v>
      </c>
      <c r="BR270">
        <v>3.879</v>
      </c>
      <c r="BS270">
        <v>3.93</v>
      </c>
      <c r="BT270">
        <v>3.9620000000000002</v>
      </c>
      <c r="BU270">
        <v>3.9489999999999998</v>
      </c>
      <c r="BV270">
        <v>3.9449999999999998</v>
      </c>
      <c r="BW270" s="6">
        <v>3.956</v>
      </c>
      <c r="BX270" s="6">
        <v>3.9489999999999998</v>
      </c>
      <c r="BY270">
        <v>3.9609999999999999</v>
      </c>
      <c r="BZ270" s="7">
        <v>45363</v>
      </c>
      <c r="CA270">
        <v>3.5659999999999998</v>
      </c>
      <c r="CB270">
        <v>3.5779999999999998</v>
      </c>
      <c r="CC270">
        <v>3.5190000000000001</v>
      </c>
      <c r="CD270">
        <v>3.5169999999999999</v>
      </c>
      <c r="CE270">
        <v>3.5419999999999998</v>
      </c>
      <c r="CF270" s="6">
        <v>3.57</v>
      </c>
      <c r="CG270" s="6">
        <v>3.5790000000000002</v>
      </c>
      <c r="CH270">
        <v>3.5310000000000001</v>
      </c>
    </row>
    <row r="271" spans="2:86">
      <c r="B271" s="7">
        <v>45362</v>
      </c>
      <c r="C271">
        <v>3.4609999999999999</v>
      </c>
      <c r="D271">
        <v>3.411</v>
      </c>
      <c r="E271">
        <v>3.35</v>
      </c>
      <c r="F271">
        <v>3.375</v>
      </c>
      <c r="G271">
        <v>3.3410000000000002</v>
      </c>
      <c r="H271">
        <v>3.2749999999999999</v>
      </c>
      <c r="I271" s="6">
        <v>3.3260000000000001</v>
      </c>
      <c r="J271" s="6">
        <v>3.282</v>
      </c>
      <c r="K271" s="6">
        <v>3.4049999999999998</v>
      </c>
      <c r="L271" s="6">
        <v>3.347</v>
      </c>
      <c r="M271" s="6">
        <v>3.34</v>
      </c>
      <c r="N271" s="6">
        <v>3.27</v>
      </c>
      <c r="O271" s="7">
        <v>45362</v>
      </c>
      <c r="P271">
        <v>3.4329999999999998</v>
      </c>
      <c r="Q271">
        <v>3.3780000000000001</v>
      </c>
      <c r="R271">
        <v>3.3769999999999998</v>
      </c>
      <c r="S271">
        <v>3.375</v>
      </c>
      <c r="T271">
        <v>3.3450000000000002</v>
      </c>
      <c r="U271" s="6">
        <v>3.3460000000000001</v>
      </c>
      <c r="V271" s="6">
        <v>0</v>
      </c>
      <c r="W271">
        <v>0</v>
      </c>
      <c r="X271" s="7">
        <v>45362</v>
      </c>
      <c r="Y271">
        <v>3.4980000000000002</v>
      </c>
      <c r="Z271">
        <v>3.512</v>
      </c>
      <c r="AA271">
        <v>3.4420000000000002</v>
      </c>
      <c r="AB271">
        <v>3.431</v>
      </c>
      <c r="AC271">
        <v>3.4580000000000002</v>
      </c>
      <c r="AD271" s="6">
        <v>3.4780000000000002</v>
      </c>
      <c r="AE271" s="6">
        <v>3.4780000000000002</v>
      </c>
      <c r="AF271">
        <v>3.4750000000000001</v>
      </c>
      <c r="AG271" s="7">
        <v>45362</v>
      </c>
      <c r="AH271">
        <v>3.6360000000000001</v>
      </c>
      <c r="AI271">
        <v>3.6339999999999999</v>
      </c>
      <c r="AJ271">
        <v>3.6110000000000002</v>
      </c>
      <c r="AK271">
        <v>3.5590000000000002</v>
      </c>
      <c r="AL271">
        <v>3.5110000000000001</v>
      </c>
      <c r="AM271" s="6">
        <v>3.504</v>
      </c>
      <c r="AN271" s="6">
        <v>3.5339999999999998</v>
      </c>
      <c r="AO271">
        <v>3.59</v>
      </c>
      <c r="AP271" s="7">
        <v>45362</v>
      </c>
      <c r="AQ271">
        <v>3.7679999999999998</v>
      </c>
      <c r="AR271">
        <v>3.7930000000000001</v>
      </c>
      <c r="AS271">
        <v>3.8290000000000002</v>
      </c>
      <c r="AT271">
        <v>3.85</v>
      </c>
      <c r="AU271">
        <v>3.8719999999999999</v>
      </c>
      <c r="AV271" s="6">
        <v>3.9239999999999999</v>
      </c>
      <c r="AW271" s="6">
        <v>3.988</v>
      </c>
      <c r="AX271">
        <v>4.1239999999999997</v>
      </c>
      <c r="AY271" s="7">
        <v>45362</v>
      </c>
      <c r="AZ271">
        <v>3.6230000000000002</v>
      </c>
      <c r="BA271">
        <v>3.637</v>
      </c>
      <c r="BB271">
        <v>3.6280000000000001</v>
      </c>
      <c r="BC271">
        <v>3.5539999999999998</v>
      </c>
      <c r="BD271">
        <v>3.548</v>
      </c>
      <c r="BE271" s="6">
        <v>3.5379999999999998</v>
      </c>
      <c r="BF271" s="6">
        <v>3.532</v>
      </c>
      <c r="BG271">
        <v>3.536</v>
      </c>
      <c r="BH271" s="7">
        <v>45362</v>
      </c>
      <c r="BI271">
        <v>3.5230000000000001</v>
      </c>
      <c r="BJ271">
        <v>3.556</v>
      </c>
      <c r="BK271">
        <v>3.5470000000000002</v>
      </c>
      <c r="BL271">
        <v>3.4769999999999999</v>
      </c>
      <c r="BM271">
        <v>3.472</v>
      </c>
      <c r="BN271" s="6">
        <v>3.472</v>
      </c>
      <c r="BO271" s="6">
        <v>3.4740000000000002</v>
      </c>
      <c r="BP271">
        <v>3.5110000000000001</v>
      </c>
      <c r="BQ271" s="7">
        <v>45362</v>
      </c>
      <c r="BR271">
        <v>3.8860000000000001</v>
      </c>
      <c r="BS271">
        <v>3.9390000000000001</v>
      </c>
      <c r="BT271">
        <v>3.9689999999999999</v>
      </c>
      <c r="BU271">
        <v>3.944</v>
      </c>
      <c r="BV271">
        <v>3.9430000000000001</v>
      </c>
      <c r="BW271" s="6">
        <v>3.964</v>
      </c>
      <c r="BX271" s="6">
        <v>3.96</v>
      </c>
      <c r="BY271">
        <v>3.97</v>
      </c>
      <c r="BZ271" s="7">
        <v>45362</v>
      </c>
      <c r="CA271">
        <v>3.5609999999999999</v>
      </c>
      <c r="CB271">
        <v>3.5880000000000001</v>
      </c>
      <c r="CC271">
        <v>3.524</v>
      </c>
      <c r="CD271">
        <v>3.512</v>
      </c>
      <c r="CE271">
        <v>3.5379999999999998</v>
      </c>
      <c r="CF271" s="6">
        <v>3.5739999999999998</v>
      </c>
      <c r="CG271" s="6">
        <v>3.5840000000000001</v>
      </c>
      <c r="CH271">
        <v>3.54</v>
      </c>
    </row>
    <row r="272" spans="2:86">
      <c r="B272" s="7">
        <v>45359</v>
      </c>
      <c r="C272">
        <v>3.4449999999999998</v>
      </c>
      <c r="D272">
        <v>3.4710000000000001</v>
      </c>
      <c r="E272">
        <v>3.3959999999999999</v>
      </c>
      <c r="F272">
        <v>3.3450000000000002</v>
      </c>
      <c r="G272">
        <v>3.363</v>
      </c>
      <c r="H272">
        <v>3.2650000000000001</v>
      </c>
      <c r="I272" s="6">
        <v>3.31</v>
      </c>
      <c r="J272" s="6">
        <v>3.2970000000000002</v>
      </c>
      <c r="K272" s="6">
        <v>3.3809999999999998</v>
      </c>
      <c r="L272" s="6">
        <v>3.3210000000000002</v>
      </c>
      <c r="M272" s="6">
        <v>3.33</v>
      </c>
      <c r="N272" s="6">
        <v>3.2719999999999998</v>
      </c>
      <c r="O272" s="7">
        <v>45359</v>
      </c>
      <c r="P272">
        <v>3.4329999999999998</v>
      </c>
      <c r="Q272">
        <v>3.38</v>
      </c>
      <c r="R272">
        <v>3.3769999999999998</v>
      </c>
      <c r="S272">
        <v>3.3639999999999999</v>
      </c>
      <c r="T272">
        <v>3.3340000000000001</v>
      </c>
      <c r="U272" s="6">
        <v>3.3330000000000002</v>
      </c>
      <c r="V272" s="6">
        <v>0</v>
      </c>
      <c r="W272">
        <v>0</v>
      </c>
      <c r="X272" s="7">
        <v>45359</v>
      </c>
      <c r="Y272">
        <v>3.4980000000000002</v>
      </c>
      <c r="Z272">
        <v>3.5270000000000001</v>
      </c>
      <c r="AA272">
        <v>3.4540000000000002</v>
      </c>
      <c r="AB272">
        <v>3.4249999999999998</v>
      </c>
      <c r="AC272">
        <v>3.4540000000000002</v>
      </c>
      <c r="AD272" s="6">
        <v>3.468</v>
      </c>
      <c r="AE272" s="6">
        <v>3.4630000000000001</v>
      </c>
      <c r="AF272">
        <v>3.46</v>
      </c>
      <c r="AG272" s="7">
        <v>45359</v>
      </c>
      <c r="AH272">
        <v>3.6379999999999999</v>
      </c>
      <c r="AI272">
        <v>3.637</v>
      </c>
      <c r="AJ272">
        <v>3.61</v>
      </c>
      <c r="AK272">
        <v>3.552</v>
      </c>
      <c r="AL272">
        <v>3.5019999999999998</v>
      </c>
      <c r="AM272" s="6">
        <v>3.4950000000000001</v>
      </c>
      <c r="AN272" s="6">
        <v>3.5219999999999998</v>
      </c>
      <c r="AO272">
        <v>3.58</v>
      </c>
      <c r="AP272" s="7">
        <v>45359</v>
      </c>
      <c r="AQ272">
        <v>3.7669999999999999</v>
      </c>
      <c r="AR272">
        <v>3.7909999999999999</v>
      </c>
      <c r="AS272">
        <v>3.8279999999999998</v>
      </c>
      <c r="AT272">
        <v>3.8380000000000001</v>
      </c>
      <c r="AU272">
        <v>3.8610000000000002</v>
      </c>
      <c r="AV272" s="6">
        <v>3.907</v>
      </c>
      <c r="AW272" s="6">
        <v>3.9710000000000001</v>
      </c>
      <c r="AX272">
        <v>4.1109999999999998</v>
      </c>
      <c r="AY272" s="7">
        <v>45359</v>
      </c>
      <c r="AZ272">
        <v>3.6219999999999999</v>
      </c>
      <c r="BA272">
        <v>3.6389999999999998</v>
      </c>
      <c r="BB272">
        <v>3.6280000000000001</v>
      </c>
      <c r="BC272">
        <v>3.5419999999999998</v>
      </c>
      <c r="BD272">
        <v>3.5369999999999999</v>
      </c>
      <c r="BE272" s="6">
        <v>3.5310000000000001</v>
      </c>
      <c r="BF272" s="6">
        <v>3.5209999999999999</v>
      </c>
      <c r="BG272">
        <v>3.5259999999999998</v>
      </c>
      <c r="BH272" s="7">
        <v>45359</v>
      </c>
      <c r="BI272">
        <v>3.5209999999999999</v>
      </c>
      <c r="BJ272">
        <v>3.5569999999999999</v>
      </c>
      <c r="BK272">
        <v>3.5470000000000002</v>
      </c>
      <c r="BL272">
        <v>3.4649999999999999</v>
      </c>
      <c r="BM272">
        <v>3.4609999999999999</v>
      </c>
      <c r="BN272" s="6">
        <v>3.4660000000000002</v>
      </c>
      <c r="BO272" s="6">
        <v>3.4630000000000001</v>
      </c>
      <c r="BP272">
        <v>3.504</v>
      </c>
      <c r="BQ272" s="7">
        <v>45359</v>
      </c>
      <c r="BR272">
        <v>3.8839999999999999</v>
      </c>
      <c r="BS272">
        <v>3.94</v>
      </c>
      <c r="BT272">
        <v>3.9689999999999999</v>
      </c>
      <c r="BU272">
        <v>3.9319999999999999</v>
      </c>
      <c r="BV272">
        <v>3.9319999999999999</v>
      </c>
      <c r="BW272" s="6">
        <v>3.9580000000000002</v>
      </c>
      <c r="BX272" s="6">
        <v>3.9489999999999998</v>
      </c>
      <c r="BY272">
        <v>3.96</v>
      </c>
      <c r="BZ272" s="7">
        <v>45359</v>
      </c>
      <c r="CA272">
        <v>3.5609999999999999</v>
      </c>
      <c r="CB272">
        <v>3.6030000000000002</v>
      </c>
      <c r="CC272">
        <v>3.536</v>
      </c>
      <c r="CD272">
        <v>3.5059999999999998</v>
      </c>
      <c r="CE272">
        <v>3.5339999999999998</v>
      </c>
      <c r="CF272" s="6">
        <v>3.5640000000000001</v>
      </c>
      <c r="CG272" s="6">
        <v>3.57</v>
      </c>
      <c r="CH272">
        <v>3.5249999999999999</v>
      </c>
    </row>
    <row r="273" spans="2:86">
      <c r="B273" s="7">
        <v>45358</v>
      </c>
      <c r="C273">
        <v>3.4449999999999998</v>
      </c>
      <c r="D273">
        <v>3.488</v>
      </c>
      <c r="E273">
        <v>3.4279999999999999</v>
      </c>
      <c r="F273">
        <v>3.3889999999999998</v>
      </c>
      <c r="G273">
        <v>3.4140000000000001</v>
      </c>
      <c r="H273">
        <v>3.3170000000000002</v>
      </c>
      <c r="I273" s="6">
        <v>3.37</v>
      </c>
      <c r="J273" s="6">
        <v>3.36</v>
      </c>
      <c r="K273" s="6">
        <v>3.4470000000000001</v>
      </c>
      <c r="L273" s="6">
        <v>3.3969999999999998</v>
      </c>
      <c r="M273" s="6">
        <v>3.4009999999999998</v>
      </c>
      <c r="N273" s="6">
        <v>3.335</v>
      </c>
      <c r="O273" s="7">
        <v>45358</v>
      </c>
      <c r="P273">
        <v>3.4380000000000002</v>
      </c>
      <c r="Q273">
        <v>3.3889999999999998</v>
      </c>
      <c r="R273">
        <v>3.3940000000000001</v>
      </c>
      <c r="S273">
        <v>3.4169999999999998</v>
      </c>
      <c r="T273">
        <v>3.3839999999999999</v>
      </c>
      <c r="U273" s="6">
        <v>3.383</v>
      </c>
      <c r="V273" s="6">
        <v>0</v>
      </c>
      <c r="W273">
        <v>0</v>
      </c>
      <c r="X273" s="7">
        <v>45358</v>
      </c>
      <c r="Y273">
        <v>3.4980000000000002</v>
      </c>
      <c r="Z273">
        <v>3.544</v>
      </c>
      <c r="AA273">
        <v>3.48</v>
      </c>
      <c r="AB273">
        <v>3.4750000000000001</v>
      </c>
      <c r="AC273">
        <v>3.5059999999999998</v>
      </c>
      <c r="AD273" s="6">
        <v>3.52</v>
      </c>
      <c r="AE273" s="6">
        <v>3.5219999999999998</v>
      </c>
      <c r="AF273">
        <v>3.52</v>
      </c>
      <c r="AG273" s="7">
        <v>45358</v>
      </c>
      <c r="AH273">
        <v>3.641</v>
      </c>
      <c r="AI273">
        <v>3.6459999999999999</v>
      </c>
      <c r="AJ273">
        <v>3.6269999999999998</v>
      </c>
      <c r="AK273">
        <v>3.5979999999999999</v>
      </c>
      <c r="AL273">
        <v>3.5470000000000002</v>
      </c>
      <c r="AM273" s="6">
        <v>3.544</v>
      </c>
      <c r="AN273" s="6">
        <v>3.581</v>
      </c>
      <c r="AO273">
        <v>3.6429999999999998</v>
      </c>
      <c r="AP273" s="7">
        <v>45358</v>
      </c>
      <c r="AQ273">
        <v>3.7719999999999998</v>
      </c>
      <c r="AR273">
        <v>3.8</v>
      </c>
      <c r="AS273">
        <v>3.8490000000000002</v>
      </c>
      <c r="AT273">
        <v>3.8759999999999999</v>
      </c>
      <c r="AU273">
        <v>3.9</v>
      </c>
      <c r="AV273" s="6">
        <v>3.9529999999999998</v>
      </c>
      <c r="AW273" s="6">
        <v>4.0220000000000002</v>
      </c>
      <c r="AX273">
        <v>4.1669999999999998</v>
      </c>
      <c r="AY273" s="7">
        <v>45358</v>
      </c>
      <c r="AZ273">
        <v>3.6320000000000001</v>
      </c>
      <c r="BA273">
        <v>3.6459999999999999</v>
      </c>
      <c r="BB273">
        <v>3.6419999999999999</v>
      </c>
      <c r="BC273">
        <v>3.5920000000000001</v>
      </c>
      <c r="BD273">
        <v>3.5840000000000001</v>
      </c>
      <c r="BE273" s="6">
        <v>3.5830000000000002</v>
      </c>
      <c r="BF273" s="6">
        <v>3.5830000000000002</v>
      </c>
      <c r="BG273">
        <v>3.593</v>
      </c>
      <c r="BH273" s="7">
        <v>45358</v>
      </c>
      <c r="BI273">
        <v>3.5310000000000001</v>
      </c>
      <c r="BJ273">
        <v>3.5649999999999999</v>
      </c>
      <c r="BK273">
        <v>3.5609999999999999</v>
      </c>
      <c r="BL273">
        <v>3.5150000000000001</v>
      </c>
      <c r="BM273">
        <v>3.5070000000000001</v>
      </c>
      <c r="BN273" s="6">
        <v>3.5179999999999998</v>
      </c>
      <c r="BO273" s="6">
        <v>3.5249999999999999</v>
      </c>
      <c r="BP273">
        <v>3.5710000000000002</v>
      </c>
      <c r="BQ273" s="7">
        <v>45358</v>
      </c>
      <c r="BR273">
        <v>3.8940000000000001</v>
      </c>
      <c r="BS273">
        <v>3.948</v>
      </c>
      <c r="BT273">
        <v>3.9830000000000001</v>
      </c>
      <c r="BU273">
        <v>3.9820000000000002</v>
      </c>
      <c r="BV273">
        <v>3.9790000000000001</v>
      </c>
      <c r="BW273" s="6">
        <v>4.01</v>
      </c>
      <c r="BX273" s="6">
        <v>4.0110000000000001</v>
      </c>
      <c r="BY273">
        <v>4.0270000000000001</v>
      </c>
      <c r="BZ273" s="7">
        <v>45358</v>
      </c>
      <c r="CA273">
        <v>3.5609999999999999</v>
      </c>
      <c r="CB273">
        <v>3.62</v>
      </c>
      <c r="CC273">
        <v>3.5619999999999998</v>
      </c>
      <c r="CD273">
        <v>3.556</v>
      </c>
      <c r="CE273">
        <v>3.5859999999999999</v>
      </c>
      <c r="CF273" s="6">
        <v>3.6160000000000001</v>
      </c>
      <c r="CG273" s="6">
        <v>3.629</v>
      </c>
      <c r="CH273">
        <v>3.585</v>
      </c>
    </row>
    <row r="274" spans="2:86">
      <c r="B274" s="7">
        <v>45357</v>
      </c>
      <c r="C274">
        <v>3.4449999999999998</v>
      </c>
      <c r="D274">
        <v>3.49</v>
      </c>
      <c r="E274">
        <v>3.4350000000000001</v>
      </c>
      <c r="F274">
        <v>3.4</v>
      </c>
      <c r="G274">
        <v>3.41</v>
      </c>
      <c r="H274">
        <v>3.32</v>
      </c>
      <c r="I274" s="6">
        <v>3.37</v>
      </c>
      <c r="J274" s="6">
        <v>3.355</v>
      </c>
      <c r="K274" s="6">
        <v>3.4319999999999999</v>
      </c>
      <c r="L274" s="6">
        <v>3.3769999999999998</v>
      </c>
      <c r="M274" s="6">
        <v>3.375</v>
      </c>
      <c r="N274" s="6">
        <v>3.31</v>
      </c>
      <c r="O274" s="7">
        <v>45357</v>
      </c>
      <c r="P274">
        <v>3.4390000000000001</v>
      </c>
      <c r="Q274">
        <v>3.39</v>
      </c>
      <c r="R274">
        <v>3.395</v>
      </c>
      <c r="S274">
        <v>3.4180000000000001</v>
      </c>
      <c r="T274">
        <v>3.38</v>
      </c>
      <c r="U274" s="6">
        <v>3.3849999999999998</v>
      </c>
      <c r="V274" s="6">
        <v>0</v>
      </c>
      <c r="W274">
        <v>0</v>
      </c>
      <c r="X274" s="7">
        <v>45357</v>
      </c>
      <c r="Y274">
        <v>3.4980000000000002</v>
      </c>
      <c r="Z274">
        <v>3.5449999999999999</v>
      </c>
      <c r="AA274">
        <v>3.4870000000000001</v>
      </c>
      <c r="AB274">
        <v>3.4849999999999999</v>
      </c>
      <c r="AC274">
        <v>3.5030000000000001</v>
      </c>
      <c r="AD274" s="6">
        <v>3.5230000000000001</v>
      </c>
      <c r="AE274" s="6">
        <v>3.5230000000000001</v>
      </c>
      <c r="AF274">
        <v>3.5150000000000001</v>
      </c>
      <c r="AG274" s="7">
        <v>45357</v>
      </c>
      <c r="AH274">
        <v>3.641</v>
      </c>
      <c r="AI274">
        <v>3.6509999999999998</v>
      </c>
      <c r="AJ274">
        <v>3.63</v>
      </c>
      <c r="AK274">
        <v>3.5979999999999999</v>
      </c>
      <c r="AL274">
        <v>3.5419999999999998</v>
      </c>
      <c r="AM274" s="6">
        <v>3.5470000000000002</v>
      </c>
      <c r="AN274" s="6">
        <v>3.5819999999999999</v>
      </c>
      <c r="AO274">
        <v>3.6379999999999999</v>
      </c>
      <c r="AP274" s="7">
        <v>45357</v>
      </c>
      <c r="AQ274">
        <v>3.7770000000000001</v>
      </c>
      <c r="AR274">
        <v>3.8050000000000002</v>
      </c>
      <c r="AS274">
        <v>3.8530000000000002</v>
      </c>
      <c r="AT274">
        <v>3.8769999999999998</v>
      </c>
      <c r="AU274">
        <v>3.8969999999999998</v>
      </c>
      <c r="AV274" s="6">
        <v>3.956</v>
      </c>
      <c r="AW274" s="6">
        <v>4.0220000000000002</v>
      </c>
      <c r="AX274">
        <v>4.1619999999999999</v>
      </c>
      <c r="AY274" s="7">
        <v>45357</v>
      </c>
      <c r="AZ274">
        <v>3.6320000000000001</v>
      </c>
      <c r="BA274">
        <v>3.6469999999999998</v>
      </c>
      <c r="BB274">
        <v>3.6440000000000001</v>
      </c>
      <c r="BC274">
        <v>3.5960000000000001</v>
      </c>
      <c r="BD274">
        <v>3.59</v>
      </c>
      <c r="BE274" s="6">
        <v>3.59</v>
      </c>
      <c r="BF274" s="6">
        <v>3.585</v>
      </c>
      <c r="BG274">
        <v>3.5939999999999999</v>
      </c>
      <c r="BH274" s="7">
        <v>45357</v>
      </c>
      <c r="BI274">
        <v>3.53</v>
      </c>
      <c r="BJ274">
        <v>3.5649999999999999</v>
      </c>
      <c r="BK274">
        <v>3.56</v>
      </c>
      <c r="BL274">
        <v>3.5190000000000001</v>
      </c>
      <c r="BM274">
        <v>3.5059999999999998</v>
      </c>
      <c r="BN274" s="6">
        <v>3.524</v>
      </c>
      <c r="BO274" s="6">
        <v>3.5270000000000001</v>
      </c>
      <c r="BP274">
        <v>3.5760000000000001</v>
      </c>
      <c r="BQ274" s="7">
        <v>45357</v>
      </c>
      <c r="BR274">
        <v>3.8959999999999999</v>
      </c>
      <c r="BS274">
        <v>3.95</v>
      </c>
      <c r="BT274">
        <v>3.9820000000000002</v>
      </c>
      <c r="BU274">
        <v>3.9860000000000002</v>
      </c>
      <c r="BV274">
        <v>3.9820000000000002</v>
      </c>
      <c r="BW274" s="6">
        <v>4.016</v>
      </c>
      <c r="BX274" s="6">
        <v>4.0129999999999999</v>
      </c>
      <c r="BY274">
        <v>4.0289999999999999</v>
      </c>
      <c r="BZ274" s="7">
        <v>45357</v>
      </c>
      <c r="CA274">
        <v>3.5609999999999999</v>
      </c>
      <c r="CB274">
        <v>3.6219999999999999</v>
      </c>
      <c r="CC274">
        <v>3.569</v>
      </c>
      <c r="CD274">
        <v>3.5670000000000002</v>
      </c>
      <c r="CE274">
        <v>3.5830000000000002</v>
      </c>
      <c r="CF274" s="6">
        <v>3.6190000000000002</v>
      </c>
      <c r="CG274" s="6">
        <v>3.629</v>
      </c>
      <c r="CH274">
        <v>3.581</v>
      </c>
    </row>
    <row r="275" spans="2:86">
      <c r="B275" s="7">
        <v>45356</v>
      </c>
      <c r="C275">
        <v>3.4510000000000001</v>
      </c>
      <c r="D275">
        <v>3.5</v>
      </c>
      <c r="E275">
        <v>3.456</v>
      </c>
      <c r="F275">
        <v>3.4260000000000002</v>
      </c>
      <c r="G275">
        <v>3.4390000000000001</v>
      </c>
      <c r="H275">
        <v>3.3519999999999999</v>
      </c>
      <c r="I275" s="6">
        <v>3.4060000000000001</v>
      </c>
      <c r="J275" s="6">
        <v>3.39</v>
      </c>
      <c r="K275" s="6">
        <v>3.4580000000000002</v>
      </c>
      <c r="L275" s="6">
        <v>3.415</v>
      </c>
      <c r="M275" s="6">
        <v>3.395</v>
      </c>
      <c r="N275" s="6">
        <v>3.3210000000000002</v>
      </c>
      <c r="O275" s="7">
        <v>45356</v>
      </c>
      <c r="P275">
        <v>3.444</v>
      </c>
      <c r="Q275">
        <v>3.4</v>
      </c>
      <c r="R275">
        <v>3.411</v>
      </c>
      <c r="S275">
        <v>3.4460000000000002</v>
      </c>
      <c r="T275">
        <v>3.4169999999999998</v>
      </c>
      <c r="U275" s="6">
        <v>3.4169999999999998</v>
      </c>
      <c r="V275" s="6">
        <v>0</v>
      </c>
      <c r="W275">
        <v>0</v>
      </c>
      <c r="X275" s="7">
        <v>45356</v>
      </c>
      <c r="Y275">
        <v>3.5009999999999999</v>
      </c>
      <c r="Z275">
        <v>3.5569999999999999</v>
      </c>
      <c r="AA275">
        <v>3.5070000000000001</v>
      </c>
      <c r="AB275">
        <v>3.5110000000000001</v>
      </c>
      <c r="AC275">
        <v>3.5339999999999998</v>
      </c>
      <c r="AD275" s="6">
        <v>3.5550000000000002</v>
      </c>
      <c r="AE275" s="6">
        <v>3.5569999999999999</v>
      </c>
      <c r="AF275">
        <v>3.5550000000000002</v>
      </c>
      <c r="AG275" s="7">
        <v>45356</v>
      </c>
      <c r="AH275">
        <v>3.65</v>
      </c>
      <c r="AI275">
        <v>3.6640000000000001</v>
      </c>
      <c r="AJ275">
        <v>3.6459999999999999</v>
      </c>
      <c r="AK275">
        <v>3.6219999999999999</v>
      </c>
      <c r="AL275">
        <v>3.5790000000000002</v>
      </c>
      <c r="AM275" s="6">
        <v>3.5790000000000002</v>
      </c>
      <c r="AN275" s="6">
        <v>3.617</v>
      </c>
      <c r="AO275">
        <v>3.673</v>
      </c>
      <c r="AP275" s="7">
        <v>45356</v>
      </c>
      <c r="AQ275">
        <v>3.7829999999999999</v>
      </c>
      <c r="AR275">
        <v>3.8149999999999999</v>
      </c>
      <c r="AS275">
        <v>3.8660000000000001</v>
      </c>
      <c r="AT275">
        <v>3.9009999999999998</v>
      </c>
      <c r="AU275">
        <v>3.9279999999999999</v>
      </c>
      <c r="AV275" s="6">
        <v>3.988</v>
      </c>
      <c r="AW275" s="6">
        <v>4.0579999999999998</v>
      </c>
      <c r="AX275">
        <v>4.1970000000000001</v>
      </c>
      <c r="AY275" s="7">
        <v>45356</v>
      </c>
      <c r="AZ275">
        <v>3.64</v>
      </c>
      <c r="BA275">
        <v>3.661</v>
      </c>
      <c r="BB275">
        <v>3.6629999999999998</v>
      </c>
      <c r="BC275">
        <v>3.62</v>
      </c>
      <c r="BD275">
        <v>3.6240000000000001</v>
      </c>
      <c r="BE275" s="6">
        <v>3.6179999999999999</v>
      </c>
      <c r="BF275" s="6">
        <v>3.6150000000000002</v>
      </c>
      <c r="BG275">
        <v>3.6269999999999998</v>
      </c>
      <c r="BH275" s="7">
        <v>45356</v>
      </c>
      <c r="BI275">
        <v>3.5390000000000001</v>
      </c>
      <c r="BJ275">
        <v>3.5779999999999998</v>
      </c>
      <c r="BK275">
        <v>3.577</v>
      </c>
      <c r="BL275">
        <v>3.5430000000000001</v>
      </c>
      <c r="BM275">
        <v>3.54</v>
      </c>
      <c r="BN275" s="6">
        <v>3.5529999999999999</v>
      </c>
      <c r="BO275" s="6">
        <v>3.5569999999999999</v>
      </c>
      <c r="BP275">
        <v>3.609</v>
      </c>
      <c r="BQ275" s="7">
        <v>45356</v>
      </c>
      <c r="BR275">
        <v>3.9060000000000001</v>
      </c>
      <c r="BS275">
        <v>3.9630000000000001</v>
      </c>
      <c r="BT275">
        <v>4.0010000000000003</v>
      </c>
      <c r="BU275">
        <v>4.01</v>
      </c>
      <c r="BV275">
        <v>4.016</v>
      </c>
      <c r="BW275" s="6">
        <v>4.0449999999999999</v>
      </c>
      <c r="BX275" s="6">
        <v>4.0430000000000001</v>
      </c>
      <c r="BY275">
        <v>4.0609999999999999</v>
      </c>
      <c r="BZ275" s="7">
        <v>45356</v>
      </c>
      <c r="CA275">
        <v>3.5649999999999999</v>
      </c>
      <c r="CB275">
        <v>3.63</v>
      </c>
      <c r="CC275">
        <v>3.589</v>
      </c>
      <c r="CD275">
        <v>3.5939999999999999</v>
      </c>
      <c r="CE275">
        <v>3.6139999999999999</v>
      </c>
      <c r="CF275" s="6">
        <v>3.6509999999999998</v>
      </c>
      <c r="CG275" s="6">
        <v>3.6629999999999998</v>
      </c>
      <c r="CH275">
        <v>3.617</v>
      </c>
    </row>
    <row r="276" spans="2:86">
      <c r="B276" s="7">
        <v>45355</v>
      </c>
      <c r="C276">
        <v>3.4529999999999998</v>
      </c>
      <c r="D276">
        <v>3.5009999999999999</v>
      </c>
      <c r="E276">
        <v>3.4630000000000001</v>
      </c>
      <c r="F276">
        <v>3.4359999999999999</v>
      </c>
      <c r="G276">
        <v>3.4390000000000001</v>
      </c>
      <c r="H276">
        <v>3.3570000000000002</v>
      </c>
      <c r="I276" s="6">
        <v>3.4180000000000001</v>
      </c>
      <c r="J276" s="6">
        <v>3.4009999999999998</v>
      </c>
      <c r="K276" s="6">
        <v>3.4729999999999999</v>
      </c>
      <c r="L276" s="6">
        <v>3.4350000000000001</v>
      </c>
      <c r="M276" s="6">
        <v>3.427</v>
      </c>
      <c r="N276" s="6">
        <v>3.3570000000000002</v>
      </c>
      <c r="O276" s="7">
        <v>45355</v>
      </c>
      <c r="P276">
        <v>3.444</v>
      </c>
      <c r="Q276">
        <v>3.4</v>
      </c>
      <c r="R276">
        <v>3.4159999999999999</v>
      </c>
      <c r="S276">
        <v>3.448</v>
      </c>
      <c r="T276">
        <v>3.4169999999999998</v>
      </c>
      <c r="U276" s="6">
        <v>3.4289999999999998</v>
      </c>
      <c r="V276" s="6">
        <v>0</v>
      </c>
      <c r="W276">
        <v>0</v>
      </c>
      <c r="X276" s="7">
        <v>45355</v>
      </c>
      <c r="Y276">
        <v>3.4980000000000002</v>
      </c>
      <c r="Z276">
        <v>3.5550000000000002</v>
      </c>
      <c r="AA276">
        <v>3.512</v>
      </c>
      <c r="AB276">
        <v>3.5150000000000001</v>
      </c>
      <c r="AC276">
        <v>3.5350000000000001</v>
      </c>
      <c r="AD276" s="6">
        <v>3.56</v>
      </c>
      <c r="AE276" s="6">
        <v>3.5670000000000002</v>
      </c>
      <c r="AF276">
        <v>3.569</v>
      </c>
      <c r="AG276" s="7">
        <v>45355</v>
      </c>
      <c r="AH276">
        <v>3.657</v>
      </c>
      <c r="AI276">
        <v>3.6669999999999998</v>
      </c>
      <c r="AJ276">
        <v>3.6509999999999998</v>
      </c>
      <c r="AK276">
        <v>3.6230000000000002</v>
      </c>
      <c r="AL276">
        <v>3.58</v>
      </c>
      <c r="AM276" s="6">
        <v>3.5840000000000001</v>
      </c>
      <c r="AN276" s="6">
        <v>3.6309999999999998</v>
      </c>
      <c r="AO276">
        <v>3.6859999999999999</v>
      </c>
      <c r="AP276" s="7">
        <v>45355</v>
      </c>
      <c r="AQ276">
        <v>3.7869999999999999</v>
      </c>
      <c r="AR276">
        <v>3.819</v>
      </c>
      <c r="AS276">
        <v>3.8740000000000001</v>
      </c>
      <c r="AT276">
        <v>3.9039999999999999</v>
      </c>
      <c r="AU276">
        <v>3.9279999999999999</v>
      </c>
      <c r="AV276" s="6">
        <v>3.996</v>
      </c>
      <c r="AW276" s="6">
        <v>4.0730000000000004</v>
      </c>
      <c r="AX276">
        <v>4.2119999999999997</v>
      </c>
      <c r="AY276" s="7">
        <v>45355</v>
      </c>
      <c r="AZ276">
        <v>3.6440000000000001</v>
      </c>
      <c r="BA276">
        <v>3.6640000000000001</v>
      </c>
      <c r="BB276">
        <v>3.6629999999999998</v>
      </c>
      <c r="BC276">
        <v>3.613</v>
      </c>
      <c r="BD276">
        <v>3.621</v>
      </c>
      <c r="BE276" s="6">
        <v>3.62</v>
      </c>
      <c r="BF276" s="6">
        <v>3.6280000000000001</v>
      </c>
      <c r="BG276">
        <v>3.6379999999999999</v>
      </c>
      <c r="BH276" s="7">
        <v>45355</v>
      </c>
      <c r="BI276">
        <v>3.5419999999999998</v>
      </c>
      <c r="BJ276">
        <v>3.581</v>
      </c>
      <c r="BK276">
        <v>3.58</v>
      </c>
      <c r="BL276">
        <v>3.5409999999999999</v>
      </c>
      <c r="BM276">
        <v>3.54</v>
      </c>
      <c r="BN276" s="6">
        <v>3.5579999999999998</v>
      </c>
      <c r="BO276" s="6">
        <v>3.5720000000000001</v>
      </c>
      <c r="BP276">
        <v>3.6219999999999999</v>
      </c>
      <c r="BQ276" s="7">
        <v>45355</v>
      </c>
      <c r="BR276">
        <v>3.9089999999999998</v>
      </c>
      <c r="BS276">
        <v>3.9670000000000001</v>
      </c>
      <c r="BT276">
        <v>4.0010000000000003</v>
      </c>
      <c r="BU276">
        <v>4.0049999999999999</v>
      </c>
      <c r="BV276">
        <v>4.0119999999999996</v>
      </c>
      <c r="BW276" s="6">
        <v>4.048</v>
      </c>
      <c r="BX276" s="6">
        <v>4.056</v>
      </c>
      <c r="BY276">
        <v>4.0720000000000001</v>
      </c>
      <c r="BZ276" s="7">
        <v>45355</v>
      </c>
      <c r="CA276">
        <v>3.5609999999999999</v>
      </c>
      <c r="CB276">
        <v>3.6280000000000001</v>
      </c>
      <c r="CC276">
        <v>3.5939999999999999</v>
      </c>
      <c r="CD276">
        <v>3.597</v>
      </c>
      <c r="CE276">
        <v>3.6150000000000002</v>
      </c>
      <c r="CF276" s="6">
        <v>3.6560000000000001</v>
      </c>
      <c r="CG276" s="6">
        <v>3.673</v>
      </c>
      <c r="CH276">
        <v>3.6309999999999998</v>
      </c>
    </row>
    <row r="277" spans="2:86">
      <c r="B277" s="7">
        <v>45351</v>
      </c>
      <c r="C277">
        <v>3.456</v>
      </c>
      <c r="D277">
        <v>3.508</v>
      </c>
      <c r="E277">
        <v>3.4729999999999999</v>
      </c>
      <c r="F277">
        <v>3.45</v>
      </c>
      <c r="G277">
        <v>3.4649999999999999</v>
      </c>
      <c r="H277">
        <v>3.3820000000000001</v>
      </c>
      <c r="I277" s="6">
        <v>3.4470000000000001</v>
      </c>
      <c r="J277" s="6">
        <v>3.43</v>
      </c>
      <c r="K277" s="6">
        <v>3.51</v>
      </c>
      <c r="L277" s="6">
        <v>3.48</v>
      </c>
      <c r="M277" s="6">
        <v>3.46</v>
      </c>
      <c r="N277" s="6">
        <v>3.39</v>
      </c>
      <c r="O277" s="7">
        <v>45351</v>
      </c>
      <c r="P277">
        <v>3.452</v>
      </c>
      <c r="Q277">
        <v>3.4089999999999998</v>
      </c>
      <c r="R277">
        <v>3.4249999999999998</v>
      </c>
      <c r="S277">
        <v>3.4710000000000001</v>
      </c>
      <c r="T277">
        <v>3.4420000000000002</v>
      </c>
      <c r="U277" s="6">
        <v>3.4580000000000002</v>
      </c>
      <c r="V277" s="6">
        <v>0</v>
      </c>
      <c r="W277">
        <v>0</v>
      </c>
      <c r="X277" s="7">
        <v>45351</v>
      </c>
      <c r="Y277">
        <v>3.5</v>
      </c>
      <c r="Z277">
        <v>3.5619999999999998</v>
      </c>
      <c r="AA277">
        <v>3.5150000000000001</v>
      </c>
      <c r="AB277">
        <v>3.5289999999999999</v>
      </c>
      <c r="AC277">
        <v>3.56</v>
      </c>
      <c r="AD277" s="6">
        <v>3.58</v>
      </c>
      <c r="AE277" s="6">
        <v>3.5920000000000001</v>
      </c>
      <c r="AF277">
        <v>3.6</v>
      </c>
      <c r="AG277" s="7">
        <v>45351</v>
      </c>
      <c r="AH277">
        <v>3.6709999999999998</v>
      </c>
      <c r="AI277">
        <v>3.6840000000000002</v>
      </c>
      <c r="AJ277">
        <v>3.6640000000000001</v>
      </c>
      <c r="AK277">
        <v>3.6459999999999999</v>
      </c>
      <c r="AL277">
        <v>3.6059999999999999</v>
      </c>
      <c r="AM277" s="6">
        <v>3.609</v>
      </c>
      <c r="AN277" s="6">
        <v>3.66</v>
      </c>
      <c r="AO277">
        <v>3.714</v>
      </c>
      <c r="AP277" s="7">
        <v>45351</v>
      </c>
      <c r="AQ277">
        <v>3.7949999999999999</v>
      </c>
      <c r="AR277">
        <v>3.8279999999999998</v>
      </c>
      <c r="AS277">
        <v>3.887</v>
      </c>
      <c r="AT277">
        <v>3.927</v>
      </c>
      <c r="AU277">
        <v>3.9569999999999999</v>
      </c>
      <c r="AV277" s="6">
        <v>4.0229999999999997</v>
      </c>
      <c r="AW277" s="6">
        <v>4.1040000000000001</v>
      </c>
      <c r="AX277">
        <v>4.2409999999999997</v>
      </c>
      <c r="AY277" s="7">
        <v>45351</v>
      </c>
      <c r="AZ277">
        <v>3.65</v>
      </c>
      <c r="BA277">
        <v>3.673</v>
      </c>
      <c r="BB277">
        <v>3.6720000000000002</v>
      </c>
      <c r="BC277">
        <v>3.6360000000000001</v>
      </c>
      <c r="BD277">
        <v>3.6459999999999999</v>
      </c>
      <c r="BE277" s="6">
        <v>3.6429999999999998</v>
      </c>
      <c r="BF277" s="6">
        <v>3.657</v>
      </c>
      <c r="BG277">
        <v>3.6669999999999998</v>
      </c>
      <c r="BH277" s="7">
        <v>45351</v>
      </c>
      <c r="BI277">
        <v>3.5489999999999999</v>
      </c>
      <c r="BJ277">
        <v>3.59</v>
      </c>
      <c r="BK277">
        <v>3.589</v>
      </c>
      <c r="BL277">
        <v>3.5640000000000001</v>
      </c>
      <c r="BM277">
        <v>3.5630000000000002</v>
      </c>
      <c r="BN277" s="6">
        <v>3.581</v>
      </c>
      <c r="BO277" s="6">
        <v>3.601</v>
      </c>
      <c r="BP277">
        <v>3.65</v>
      </c>
      <c r="BQ277" s="7">
        <v>45351</v>
      </c>
      <c r="BR277">
        <v>3.9159999999999999</v>
      </c>
      <c r="BS277">
        <v>3.976</v>
      </c>
      <c r="BT277">
        <v>4.01</v>
      </c>
      <c r="BU277">
        <v>4.0279999999999996</v>
      </c>
      <c r="BV277">
        <v>4.0369999999999999</v>
      </c>
      <c r="BW277" s="6">
        <v>4.0709999999999997</v>
      </c>
      <c r="BX277" s="6">
        <v>4.085</v>
      </c>
      <c r="BY277">
        <v>4.101</v>
      </c>
      <c r="BZ277" s="7">
        <v>45351</v>
      </c>
      <c r="CA277">
        <v>3.5630000000000002</v>
      </c>
      <c r="CB277">
        <v>3.6320000000000001</v>
      </c>
      <c r="CC277">
        <v>3.597</v>
      </c>
      <c r="CD277">
        <v>3.613</v>
      </c>
      <c r="CE277">
        <v>3.6419999999999999</v>
      </c>
      <c r="CF277" s="6">
        <v>3.6789999999999998</v>
      </c>
      <c r="CG277" s="6">
        <v>3.6989999999999998</v>
      </c>
      <c r="CH277">
        <v>3.6629999999999998</v>
      </c>
    </row>
    <row r="278" spans="2:86">
      <c r="B278" s="7">
        <v>45350</v>
      </c>
      <c r="C278">
        <v>3.4529999999999998</v>
      </c>
      <c r="D278">
        <v>3.5179999999999998</v>
      </c>
      <c r="E278">
        <v>3.4830000000000001</v>
      </c>
      <c r="F278">
        <v>3.4569999999999999</v>
      </c>
      <c r="G278">
        <v>3.4550000000000001</v>
      </c>
      <c r="H278">
        <v>3.3650000000000002</v>
      </c>
      <c r="I278" s="6">
        <v>3.4279999999999999</v>
      </c>
      <c r="J278" s="6">
        <v>3.41</v>
      </c>
      <c r="K278" s="6">
        <v>3.4870000000000001</v>
      </c>
      <c r="L278" s="6">
        <v>3.452</v>
      </c>
      <c r="M278" s="6">
        <v>3.4350000000000001</v>
      </c>
      <c r="N278" s="6">
        <v>3.3650000000000002</v>
      </c>
      <c r="O278" s="7">
        <v>45350</v>
      </c>
      <c r="P278">
        <v>3.448</v>
      </c>
      <c r="Q278">
        <v>3.403</v>
      </c>
      <c r="R278">
        <v>3.415</v>
      </c>
      <c r="S278">
        <v>3.46</v>
      </c>
      <c r="T278">
        <v>3.4279999999999999</v>
      </c>
      <c r="U278" s="6">
        <v>3.4460000000000002</v>
      </c>
      <c r="V278" s="6">
        <v>0</v>
      </c>
      <c r="W278">
        <v>0</v>
      </c>
      <c r="X278" s="7">
        <v>45350</v>
      </c>
      <c r="Y278">
        <v>3.496</v>
      </c>
      <c r="Z278">
        <v>3.569</v>
      </c>
      <c r="AA278">
        <v>3.52</v>
      </c>
      <c r="AB278">
        <v>3.5270000000000001</v>
      </c>
      <c r="AC278">
        <v>3.5489999999999999</v>
      </c>
      <c r="AD278" s="6">
        <v>3.5630000000000002</v>
      </c>
      <c r="AE278" s="6">
        <v>3.5739999999999998</v>
      </c>
      <c r="AF278">
        <v>3.5790000000000002</v>
      </c>
      <c r="AG278" s="7">
        <v>45350</v>
      </c>
      <c r="AH278">
        <v>3.6669999999999998</v>
      </c>
      <c r="AI278">
        <v>3.681</v>
      </c>
      <c r="AJ278">
        <v>3.653</v>
      </c>
      <c r="AK278">
        <v>3.6339999999999999</v>
      </c>
      <c r="AL278">
        <v>3.5920000000000001</v>
      </c>
      <c r="AM278" s="6">
        <v>3.5920000000000001</v>
      </c>
      <c r="AN278" s="6">
        <v>3.641</v>
      </c>
      <c r="AO278">
        <v>3.694</v>
      </c>
      <c r="AP278" s="7">
        <v>45350</v>
      </c>
      <c r="AQ278">
        <v>3.7959999999999998</v>
      </c>
      <c r="AR278">
        <v>3.8279999999999998</v>
      </c>
      <c r="AS278">
        <v>3.8820000000000001</v>
      </c>
      <c r="AT278">
        <v>3.9180000000000001</v>
      </c>
      <c r="AU278">
        <v>3.944</v>
      </c>
      <c r="AV278" s="6">
        <v>4.0039999999999996</v>
      </c>
      <c r="AW278" s="6">
        <v>4.0830000000000002</v>
      </c>
      <c r="AX278">
        <v>4.2190000000000003</v>
      </c>
      <c r="AY278" s="7">
        <v>45350</v>
      </c>
      <c r="AZ278">
        <v>3.65</v>
      </c>
      <c r="BA278">
        <v>3.67</v>
      </c>
      <c r="BB278">
        <v>3.6619999999999999</v>
      </c>
      <c r="BC278">
        <v>3.6259999999999999</v>
      </c>
      <c r="BD278">
        <v>3.6309999999999998</v>
      </c>
      <c r="BE278" s="6">
        <v>3.625</v>
      </c>
      <c r="BF278" s="6">
        <v>3.6379999999999999</v>
      </c>
      <c r="BG278">
        <v>3.6459999999999999</v>
      </c>
      <c r="BH278" s="7">
        <v>45350</v>
      </c>
      <c r="BI278">
        <v>3.548</v>
      </c>
      <c r="BJ278">
        <v>3.5870000000000002</v>
      </c>
      <c r="BK278">
        <v>3.58</v>
      </c>
      <c r="BL278">
        <v>3.5529999999999999</v>
      </c>
      <c r="BM278">
        <v>3.5489999999999999</v>
      </c>
      <c r="BN278" s="6">
        <v>3.5630000000000002</v>
      </c>
      <c r="BO278" s="6">
        <v>3.581</v>
      </c>
      <c r="BP278">
        <v>3.629</v>
      </c>
      <c r="BQ278" s="7">
        <v>45350</v>
      </c>
      <c r="BR278">
        <v>3.915</v>
      </c>
      <c r="BS278">
        <v>3.9729999999999999</v>
      </c>
      <c r="BT278">
        <v>4</v>
      </c>
      <c r="BU278">
        <v>4.0170000000000003</v>
      </c>
      <c r="BV278">
        <v>4.0220000000000002</v>
      </c>
      <c r="BW278" s="6">
        <v>4.0529999999999999</v>
      </c>
      <c r="BX278" s="6">
        <v>4.0650000000000004</v>
      </c>
      <c r="BY278">
        <v>4.08</v>
      </c>
      <c r="BZ278" s="7">
        <v>45350</v>
      </c>
      <c r="CA278">
        <v>3.56</v>
      </c>
      <c r="CB278">
        <v>3.6379999999999999</v>
      </c>
      <c r="CC278">
        <v>3.6019999999999999</v>
      </c>
      <c r="CD278">
        <v>3.6110000000000002</v>
      </c>
      <c r="CE278">
        <v>3.6309999999999998</v>
      </c>
      <c r="CF278" s="6">
        <v>3.6619999999999999</v>
      </c>
      <c r="CG278" s="6">
        <v>3.68</v>
      </c>
      <c r="CH278">
        <v>3.641</v>
      </c>
    </row>
    <row r="279" spans="2:86">
      <c r="B279" s="7">
        <v>45349</v>
      </c>
      <c r="C279">
        <v>3.4529999999999998</v>
      </c>
      <c r="D279">
        <v>3.5179999999999998</v>
      </c>
      <c r="E279">
        <v>3.4860000000000002</v>
      </c>
      <c r="F279">
        <v>3.4649999999999999</v>
      </c>
      <c r="G279">
        <v>3.448</v>
      </c>
      <c r="H279">
        <v>3.3650000000000002</v>
      </c>
      <c r="I279" s="6">
        <v>3.423</v>
      </c>
      <c r="J279" s="6">
        <v>3.4</v>
      </c>
      <c r="K279" s="6">
        <v>3.4729999999999999</v>
      </c>
      <c r="L279" s="6">
        <v>3.43</v>
      </c>
      <c r="M279" s="6">
        <v>3.4</v>
      </c>
      <c r="N279" s="6">
        <v>3.3220000000000001</v>
      </c>
      <c r="O279" s="7">
        <v>45349</v>
      </c>
      <c r="P279">
        <v>3.4430000000000001</v>
      </c>
      <c r="Q279">
        <v>3.3959999999999999</v>
      </c>
      <c r="R279">
        <v>3.411</v>
      </c>
      <c r="S279">
        <v>3.464</v>
      </c>
      <c r="T279">
        <v>3.4319999999999999</v>
      </c>
      <c r="U279" s="6">
        <v>3.44</v>
      </c>
      <c r="V279" s="6">
        <v>0</v>
      </c>
      <c r="W279">
        <v>0</v>
      </c>
      <c r="X279" s="7">
        <v>45349</v>
      </c>
      <c r="Y279">
        <v>3.496</v>
      </c>
      <c r="Z279">
        <v>3.5649999999999999</v>
      </c>
      <c r="AA279">
        <v>3.52</v>
      </c>
      <c r="AB279">
        <v>3.5350000000000001</v>
      </c>
      <c r="AC279">
        <v>3.5449999999999999</v>
      </c>
      <c r="AD279" s="6">
        <v>3.5630000000000002</v>
      </c>
      <c r="AE279" s="6">
        <v>3.57</v>
      </c>
      <c r="AF279">
        <v>3.5649999999999999</v>
      </c>
      <c r="AG279" s="7">
        <v>45349</v>
      </c>
      <c r="AH279">
        <v>3.6669999999999998</v>
      </c>
      <c r="AI279">
        <v>3.68</v>
      </c>
      <c r="AJ279">
        <v>3.649</v>
      </c>
      <c r="AK279">
        <v>3.629</v>
      </c>
      <c r="AL279">
        <v>3.59</v>
      </c>
      <c r="AM279" s="6">
        <v>3.5910000000000002</v>
      </c>
      <c r="AN279" s="6">
        <v>3.6360000000000001</v>
      </c>
      <c r="AO279">
        <v>3.6840000000000002</v>
      </c>
      <c r="AP279" s="7">
        <v>45349</v>
      </c>
      <c r="AQ279">
        <v>3.7970000000000002</v>
      </c>
      <c r="AR279">
        <v>3.8239999999999998</v>
      </c>
      <c r="AS279">
        <v>3.883</v>
      </c>
      <c r="AT279">
        <v>3.923</v>
      </c>
      <c r="AU279">
        <v>3.9510000000000001</v>
      </c>
      <c r="AV279" s="6">
        <v>4.0090000000000003</v>
      </c>
      <c r="AW279" s="6">
        <v>4.0819999999999999</v>
      </c>
      <c r="AX279">
        <v>4.2110000000000003</v>
      </c>
      <c r="AY279" s="7">
        <v>45349</v>
      </c>
      <c r="AZ279">
        <v>3.645</v>
      </c>
      <c r="BA279">
        <v>3.665</v>
      </c>
      <c r="BB279">
        <v>3.6619999999999999</v>
      </c>
      <c r="BC279">
        <v>3.6259999999999999</v>
      </c>
      <c r="BD279">
        <v>3.6349999999999998</v>
      </c>
      <c r="BE279" s="6">
        <v>3.6269999999999998</v>
      </c>
      <c r="BF279" s="6">
        <v>3.633</v>
      </c>
      <c r="BG279">
        <v>3.6360000000000001</v>
      </c>
      <c r="BH279" s="7">
        <v>45349</v>
      </c>
      <c r="BI279">
        <v>3.5449999999999999</v>
      </c>
      <c r="BJ279">
        <v>3.5819999999999999</v>
      </c>
      <c r="BK279">
        <v>3.5790000000000002</v>
      </c>
      <c r="BL279">
        <v>3.5529999999999999</v>
      </c>
      <c r="BM279">
        <v>3.552</v>
      </c>
      <c r="BN279" s="6">
        <v>3.5649999999999999</v>
      </c>
      <c r="BO279" s="6">
        <v>3.5760000000000001</v>
      </c>
      <c r="BP279">
        <v>3.6190000000000002</v>
      </c>
      <c r="BQ279" s="7">
        <v>45349</v>
      </c>
      <c r="BR279">
        <v>3.9119999999999999</v>
      </c>
      <c r="BS279">
        <v>3.968</v>
      </c>
      <c r="BT279">
        <v>4</v>
      </c>
      <c r="BU279">
        <v>4.0170000000000003</v>
      </c>
      <c r="BV279">
        <v>4.0259999999999998</v>
      </c>
      <c r="BW279" s="6">
        <v>4.0549999999999997</v>
      </c>
      <c r="BX279" s="6">
        <v>4.0599999999999996</v>
      </c>
      <c r="BY279">
        <v>4.07</v>
      </c>
      <c r="BZ279" s="7">
        <v>45349</v>
      </c>
      <c r="CA279">
        <v>3.56</v>
      </c>
      <c r="CB279">
        <v>3.6349999999999998</v>
      </c>
      <c r="CC279">
        <v>3.6019999999999999</v>
      </c>
      <c r="CD279">
        <v>3.6190000000000002</v>
      </c>
      <c r="CE279">
        <v>3.6269999999999998</v>
      </c>
      <c r="CF279" s="6">
        <v>3.6619999999999999</v>
      </c>
      <c r="CG279" s="6">
        <v>3.677</v>
      </c>
      <c r="CH279">
        <v>3.6269999999999998</v>
      </c>
    </row>
    <row r="280" spans="2:86">
      <c r="B280" s="7">
        <v>45348</v>
      </c>
      <c r="C280">
        <v>3.4529999999999998</v>
      </c>
      <c r="D280">
        <v>3.5150000000000001</v>
      </c>
      <c r="E280">
        <v>3.4830000000000001</v>
      </c>
      <c r="F280">
        <v>3.4649999999999999</v>
      </c>
      <c r="G280">
        <v>3.4249999999999998</v>
      </c>
      <c r="H280">
        <v>3.339</v>
      </c>
      <c r="I280" s="6">
        <v>3.3959999999999999</v>
      </c>
      <c r="J280" s="6">
        <v>3.375</v>
      </c>
      <c r="K280" s="6">
        <v>3.4449999999999998</v>
      </c>
      <c r="L280" s="6">
        <v>3.4009999999999998</v>
      </c>
      <c r="M280" s="6">
        <v>3.38</v>
      </c>
      <c r="N280" s="6">
        <v>3.3069999999999999</v>
      </c>
      <c r="O280" s="7">
        <v>45348</v>
      </c>
      <c r="P280">
        <v>3.44</v>
      </c>
      <c r="Q280">
        <v>3.3940000000000001</v>
      </c>
      <c r="R280">
        <v>3.407</v>
      </c>
      <c r="S280">
        <v>3.4569999999999999</v>
      </c>
      <c r="T280">
        <v>3.415</v>
      </c>
      <c r="U280" s="6">
        <v>3.4129999999999998</v>
      </c>
      <c r="V280" s="6">
        <v>0</v>
      </c>
      <c r="W280">
        <v>0</v>
      </c>
      <c r="X280" s="7">
        <v>45348</v>
      </c>
      <c r="Y280">
        <v>3.496</v>
      </c>
      <c r="Z280">
        <v>3.5619999999999998</v>
      </c>
      <c r="AA280">
        <v>3.5190000000000001</v>
      </c>
      <c r="AB280">
        <v>3.53</v>
      </c>
      <c r="AC280">
        <v>3.5219999999999998</v>
      </c>
      <c r="AD280" s="6">
        <v>3.5369999999999999</v>
      </c>
      <c r="AE280" s="6">
        <v>3.544</v>
      </c>
      <c r="AF280">
        <v>3.54</v>
      </c>
      <c r="AG280" s="7">
        <v>45348</v>
      </c>
      <c r="AH280">
        <v>3.6669999999999998</v>
      </c>
      <c r="AI280">
        <v>3.68</v>
      </c>
      <c r="AJ280">
        <v>3.6419999999999999</v>
      </c>
      <c r="AK280">
        <v>3.6160000000000001</v>
      </c>
      <c r="AL280">
        <v>3.5710000000000002</v>
      </c>
      <c r="AM280" s="6">
        <v>3.5649999999999999</v>
      </c>
      <c r="AN280" s="6">
        <v>3.609</v>
      </c>
      <c r="AO280">
        <v>3.66</v>
      </c>
      <c r="AP280" s="7">
        <v>45348</v>
      </c>
      <c r="AQ280">
        <v>3.7970000000000002</v>
      </c>
      <c r="AR280">
        <v>3.8250000000000002</v>
      </c>
      <c r="AS280">
        <v>3.8809999999999998</v>
      </c>
      <c r="AT280">
        <v>3.92</v>
      </c>
      <c r="AU280">
        <v>3.9409999999999998</v>
      </c>
      <c r="AV280" s="6">
        <v>3.9910000000000001</v>
      </c>
      <c r="AW280" s="6">
        <v>4.0609999999999999</v>
      </c>
      <c r="AX280">
        <v>4.1929999999999996</v>
      </c>
      <c r="AY280" s="7">
        <v>45348</v>
      </c>
      <c r="AZ280">
        <v>3.6509999999999998</v>
      </c>
      <c r="BA280">
        <v>3.669</v>
      </c>
      <c r="BB280">
        <v>3.657</v>
      </c>
      <c r="BC280">
        <v>3.617</v>
      </c>
      <c r="BD280">
        <v>3.6160000000000001</v>
      </c>
      <c r="BE280" s="6">
        <v>3.6019999999999999</v>
      </c>
      <c r="BF280" s="6">
        <v>3.605</v>
      </c>
      <c r="BG280">
        <v>3.61</v>
      </c>
      <c r="BH280" s="7">
        <v>45348</v>
      </c>
      <c r="BI280">
        <v>3.5510000000000002</v>
      </c>
      <c r="BJ280">
        <v>3.5859999999999999</v>
      </c>
      <c r="BK280">
        <v>3.5750000000000002</v>
      </c>
      <c r="BL280">
        <v>3.5459999999999998</v>
      </c>
      <c r="BM280">
        <v>3.536</v>
      </c>
      <c r="BN280" s="6">
        <v>3.5390000000000001</v>
      </c>
      <c r="BO280" s="6">
        <v>3.5489999999999999</v>
      </c>
      <c r="BP280">
        <v>3.593</v>
      </c>
      <c r="BQ280" s="7">
        <v>45348</v>
      </c>
      <c r="BR280">
        <v>3.9180000000000001</v>
      </c>
      <c r="BS280">
        <v>3.972</v>
      </c>
      <c r="BT280">
        <v>3.9950000000000001</v>
      </c>
      <c r="BU280">
        <v>4.0090000000000003</v>
      </c>
      <c r="BV280">
        <v>4.0069999999999997</v>
      </c>
      <c r="BW280" s="6">
        <v>4.03</v>
      </c>
      <c r="BX280" s="6">
        <v>4.0330000000000004</v>
      </c>
      <c r="BY280">
        <v>4.0439999999999996</v>
      </c>
      <c r="BZ280" s="7">
        <v>45348</v>
      </c>
      <c r="CA280">
        <v>3.56</v>
      </c>
      <c r="CB280">
        <v>3.6349999999999998</v>
      </c>
      <c r="CC280">
        <v>3.6040000000000001</v>
      </c>
      <c r="CD280">
        <v>3.6179999999999999</v>
      </c>
      <c r="CE280">
        <v>3.6070000000000002</v>
      </c>
      <c r="CF280" s="6">
        <v>3.6360000000000001</v>
      </c>
      <c r="CG280" s="6">
        <v>3.6509999999999998</v>
      </c>
      <c r="CH280">
        <v>3.6019999999999999</v>
      </c>
    </row>
    <row r="281" spans="2:86">
      <c r="B281" s="7"/>
      <c r="C281"/>
      <c r="D281"/>
      <c r="E281"/>
      <c r="F281"/>
      <c r="G281"/>
      <c r="H281"/>
      <c r="O281" s="7"/>
      <c r="P281"/>
      <c r="Q281"/>
      <c r="R281"/>
      <c r="S281"/>
      <c r="T281"/>
      <c r="W281"/>
      <c r="X281" s="7"/>
      <c r="Y281"/>
      <c r="Z281"/>
      <c r="AA281"/>
      <c r="AB281"/>
      <c r="AC281"/>
      <c r="AF281"/>
      <c r="AG281" s="7"/>
      <c r="AH281"/>
      <c r="AI281"/>
      <c r="AJ281"/>
      <c r="AK281"/>
      <c r="AL281"/>
      <c r="AO281"/>
      <c r="AP281" s="7"/>
      <c r="AQ281"/>
      <c r="AR281"/>
      <c r="AS281"/>
      <c r="AT281"/>
      <c r="AU281"/>
      <c r="AX281"/>
      <c r="AY281" s="7"/>
      <c r="AZ281"/>
      <c r="BA281"/>
      <c r="BB281"/>
      <c r="BC281"/>
      <c r="BD281"/>
      <c r="BG281"/>
      <c r="BH281" s="7"/>
      <c r="BI281"/>
      <c r="BJ281"/>
      <c r="BK281"/>
      <c r="BL281"/>
      <c r="BM281"/>
      <c r="BP281"/>
      <c r="BQ281" s="7"/>
      <c r="BR281"/>
      <c r="BS281"/>
      <c r="BT281"/>
      <c r="BU281"/>
      <c r="BV281"/>
      <c r="BY281"/>
      <c r="BZ281" s="7"/>
      <c r="CA281"/>
      <c r="CB281"/>
      <c r="CC281"/>
      <c r="CD281"/>
      <c r="CE281"/>
      <c r="CH281"/>
    </row>
    <row r="282" spans="2:86">
      <c r="B282" s="7"/>
      <c r="C282"/>
      <c r="D282"/>
      <c r="E282"/>
      <c r="F282"/>
      <c r="G282"/>
      <c r="H282"/>
      <c r="O282" s="7"/>
      <c r="P282"/>
      <c r="Q282"/>
      <c r="R282"/>
      <c r="S282"/>
      <c r="T282"/>
      <c r="W282"/>
      <c r="X282" s="7"/>
      <c r="Y282"/>
      <c r="Z282"/>
      <c r="AA282"/>
      <c r="AB282"/>
      <c r="AC282"/>
      <c r="AF282"/>
      <c r="AG282" s="7"/>
      <c r="AH282"/>
      <c r="AI282"/>
      <c r="AJ282"/>
      <c r="AK282"/>
      <c r="AL282"/>
      <c r="AO282"/>
      <c r="AP282" s="7"/>
      <c r="AQ282"/>
      <c r="AR282"/>
      <c r="AS282"/>
      <c r="AT282"/>
      <c r="AU282"/>
      <c r="AX282"/>
      <c r="AY282" s="7"/>
      <c r="AZ282"/>
      <c r="BA282"/>
      <c r="BB282"/>
      <c r="BC282"/>
      <c r="BD282"/>
      <c r="BG282"/>
      <c r="BH282" s="7"/>
      <c r="BI282"/>
      <c r="BJ282"/>
      <c r="BK282"/>
      <c r="BL282"/>
      <c r="BM282"/>
      <c r="BP282"/>
      <c r="BQ282" s="7"/>
      <c r="BR282"/>
      <c r="BS282"/>
      <c r="BT282"/>
      <c r="BU282"/>
      <c r="BV282"/>
      <c r="BY282"/>
      <c r="BZ282" s="7"/>
      <c r="CA282"/>
      <c r="CB282"/>
      <c r="CC282"/>
      <c r="CD282"/>
      <c r="CE282"/>
      <c r="CH282"/>
    </row>
    <row r="283" spans="2:86">
      <c r="B283" s="7"/>
      <c r="C283"/>
      <c r="D283"/>
      <c r="E283"/>
      <c r="F283"/>
      <c r="G283"/>
      <c r="H283"/>
      <c r="O283" s="7"/>
      <c r="P283"/>
      <c r="Q283"/>
      <c r="R283"/>
      <c r="S283"/>
      <c r="T283"/>
      <c r="W283"/>
      <c r="X283" s="7"/>
      <c r="Y283"/>
      <c r="Z283"/>
      <c r="AA283"/>
      <c r="AB283"/>
      <c r="AC283"/>
      <c r="AF283"/>
      <c r="AG283" s="7"/>
      <c r="AH283"/>
      <c r="AI283"/>
      <c r="AJ283"/>
      <c r="AK283"/>
      <c r="AL283"/>
      <c r="AO283"/>
      <c r="AP283" s="7"/>
      <c r="AQ283"/>
      <c r="AR283"/>
      <c r="AS283"/>
      <c r="AT283"/>
      <c r="AU283"/>
      <c r="AX283"/>
      <c r="AY283" s="7"/>
      <c r="AZ283"/>
      <c r="BA283"/>
      <c r="BB283"/>
      <c r="BC283"/>
      <c r="BD283"/>
      <c r="BG283"/>
      <c r="BH283" s="7"/>
      <c r="BI283"/>
      <c r="BJ283"/>
      <c r="BK283"/>
      <c r="BL283"/>
      <c r="BM283"/>
      <c r="BP283"/>
      <c r="BQ283" s="7"/>
      <c r="BR283"/>
      <c r="BS283"/>
      <c r="BT283"/>
      <c r="BU283"/>
      <c r="BV283"/>
      <c r="BY283"/>
      <c r="BZ283" s="7"/>
      <c r="CA283"/>
      <c r="CB283"/>
      <c r="CC283"/>
      <c r="CD283"/>
      <c r="CE283"/>
      <c r="CH283"/>
    </row>
    <row r="284" spans="2:86">
      <c r="B284" s="7"/>
      <c r="C284"/>
      <c r="D284"/>
      <c r="E284"/>
      <c r="F284"/>
      <c r="G284"/>
      <c r="H284"/>
      <c r="O284" s="7"/>
      <c r="P284"/>
      <c r="Q284"/>
      <c r="R284"/>
      <c r="S284"/>
      <c r="T284"/>
      <c r="W284"/>
      <c r="X284" s="7"/>
      <c r="Y284"/>
      <c r="Z284"/>
      <c r="AA284"/>
      <c r="AB284"/>
      <c r="AC284"/>
      <c r="AF284"/>
      <c r="AG284" s="7"/>
      <c r="AH284"/>
      <c r="AI284"/>
      <c r="AJ284"/>
      <c r="AK284"/>
      <c r="AL284"/>
      <c r="AO284"/>
      <c r="AP284" s="7"/>
      <c r="AQ284"/>
      <c r="AR284"/>
      <c r="AS284"/>
      <c r="AT284"/>
      <c r="AU284"/>
      <c r="AX284"/>
      <c r="AY284" s="7"/>
      <c r="AZ284"/>
      <c r="BA284"/>
      <c r="BB284"/>
      <c r="BC284"/>
      <c r="BD284"/>
      <c r="BG284"/>
      <c r="BH284" s="7"/>
      <c r="BI284"/>
      <c r="BJ284"/>
      <c r="BK284"/>
      <c r="BL284"/>
      <c r="BM284"/>
      <c r="BP284"/>
      <c r="BQ284" s="7"/>
      <c r="BR284"/>
      <c r="BS284"/>
      <c r="BT284"/>
      <c r="BU284"/>
      <c r="BV284"/>
      <c r="BY284"/>
      <c r="BZ284" s="7"/>
      <c r="CA284"/>
      <c r="CB284"/>
      <c r="CC284"/>
      <c r="CD284"/>
      <c r="CE284"/>
      <c r="CH284"/>
    </row>
    <row r="285" spans="2:86">
      <c r="B285" s="7"/>
      <c r="C285"/>
      <c r="D285"/>
      <c r="E285"/>
      <c r="F285"/>
      <c r="G285"/>
      <c r="H285"/>
      <c r="O285" s="7"/>
      <c r="P285"/>
      <c r="Q285"/>
      <c r="R285"/>
      <c r="S285"/>
      <c r="T285"/>
      <c r="W285"/>
      <c r="X285" s="7"/>
      <c r="Y285"/>
      <c r="Z285"/>
      <c r="AA285"/>
      <c r="AB285"/>
      <c r="AC285"/>
      <c r="AF285"/>
      <c r="AG285" s="7"/>
      <c r="AH285"/>
      <c r="AI285"/>
      <c r="AJ285"/>
      <c r="AK285"/>
      <c r="AL285"/>
      <c r="AO285"/>
      <c r="AP285" s="7"/>
      <c r="AQ285"/>
      <c r="AR285"/>
      <c r="AS285"/>
      <c r="AT285"/>
      <c r="AU285"/>
      <c r="AX285"/>
      <c r="AY285" s="7"/>
      <c r="AZ285"/>
      <c r="BA285"/>
      <c r="BB285"/>
      <c r="BC285"/>
      <c r="BD285"/>
      <c r="BG285"/>
      <c r="BH285" s="7"/>
      <c r="BI285"/>
      <c r="BJ285"/>
      <c r="BK285"/>
      <c r="BL285"/>
      <c r="BM285"/>
      <c r="BP285"/>
      <c r="BQ285" s="7"/>
      <c r="BR285"/>
      <c r="BS285"/>
      <c r="BT285"/>
      <c r="BU285"/>
      <c r="BV285"/>
      <c r="BY285"/>
      <c r="BZ285" s="7"/>
      <c r="CA285"/>
      <c r="CB285"/>
      <c r="CC285"/>
      <c r="CD285"/>
      <c r="CE285"/>
      <c r="CH285"/>
    </row>
    <row r="286" spans="2:86">
      <c r="B286" s="7"/>
      <c r="C286"/>
      <c r="D286"/>
      <c r="E286"/>
      <c r="F286"/>
      <c r="G286"/>
      <c r="H286"/>
      <c r="O286" s="7"/>
      <c r="P286"/>
      <c r="Q286"/>
      <c r="R286"/>
      <c r="S286"/>
      <c r="T286"/>
      <c r="W286"/>
      <c r="X286" s="7"/>
      <c r="Y286"/>
      <c r="Z286"/>
      <c r="AA286"/>
      <c r="AB286"/>
      <c r="AC286"/>
      <c r="AF286"/>
      <c r="AG286" s="7"/>
      <c r="AH286"/>
      <c r="AI286"/>
      <c r="AJ286"/>
      <c r="AK286"/>
      <c r="AL286"/>
      <c r="AO286"/>
      <c r="AP286" s="7"/>
      <c r="AQ286"/>
      <c r="AR286"/>
      <c r="AS286"/>
      <c r="AT286"/>
      <c r="AU286"/>
      <c r="AX286"/>
      <c r="AY286" s="7"/>
      <c r="AZ286"/>
      <c r="BA286"/>
      <c r="BB286"/>
      <c r="BC286"/>
      <c r="BD286"/>
      <c r="BG286"/>
      <c r="BH286" s="7"/>
      <c r="BI286"/>
      <c r="BJ286"/>
      <c r="BK286"/>
      <c r="BL286"/>
      <c r="BM286"/>
      <c r="BP286"/>
      <c r="BQ286" s="7"/>
      <c r="BR286"/>
      <c r="BS286"/>
      <c r="BT286"/>
      <c r="BU286"/>
      <c r="BV286"/>
      <c r="BY286"/>
      <c r="BZ286" s="7"/>
      <c r="CA286"/>
      <c r="CB286"/>
      <c r="CC286"/>
      <c r="CD286"/>
      <c r="CE286"/>
      <c r="CH286"/>
    </row>
    <row r="287" spans="2:86">
      <c r="B287" s="7"/>
      <c r="C287"/>
      <c r="D287"/>
      <c r="E287"/>
      <c r="F287"/>
      <c r="G287"/>
      <c r="H287"/>
      <c r="O287" s="7"/>
      <c r="P287"/>
      <c r="Q287"/>
      <c r="R287"/>
      <c r="S287"/>
      <c r="T287"/>
      <c r="W287"/>
      <c r="X287" s="7"/>
      <c r="Y287"/>
      <c r="Z287"/>
      <c r="AA287"/>
      <c r="AB287"/>
      <c r="AC287"/>
      <c r="AF287"/>
      <c r="AG287" s="7"/>
      <c r="AH287"/>
      <c r="AI287"/>
      <c r="AJ287"/>
      <c r="AK287"/>
      <c r="AL287"/>
      <c r="AO287"/>
      <c r="AP287" s="7"/>
      <c r="AQ287"/>
      <c r="AR287"/>
      <c r="AS287"/>
      <c r="AT287"/>
      <c r="AU287"/>
      <c r="AX287"/>
      <c r="AY287" s="7"/>
      <c r="AZ287"/>
      <c r="BA287"/>
      <c r="BB287"/>
      <c r="BC287"/>
      <c r="BD287"/>
      <c r="BG287"/>
      <c r="BH287" s="7"/>
      <c r="BI287"/>
      <c r="BJ287"/>
      <c r="BK287"/>
      <c r="BL287"/>
      <c r="BM287"/>
      <c r="BP287"/>
      <c r="BQ287" s="7"/>
      <c r="BR287"/>
      <c r="BS287"/>
      <c r="BT287"/>
      <c r="BU287"/>
      <c r="BV287"/>
      <c r="BY287"/>
      <c r="BZ287" s="7"/>
      <c r="CA287"/>
      <c r="CB287"/>
      <c r="CC287"/>
      <c r="CD287"/>
      <c r="CE287"/>
      <c r="CH287"/>
    </row>
    <row r="288" spans="2:86">
      <c r="B288" s="7"/>
      <c r="C288"/>
      <c r="D288"/>
      <c r="E288"/>
      <c r="F288"/>
      <c r="G288"/>
      <c r="H288"/>
      <c r="O288" s="7"/>
      <c r="P288"/>
      <c r="Q288"/>
      <c r="R288"/>
      <c r="S288"/>
      <c r="T288"/>
      <c r="W288"/>
      <c r="X288" s="7"/>
      <c r="Y288"/>
      <c r="Z288"/>
      <c r="AA288"/>
      <c r="AB288"/>
      <c r="AC288"/>
      <c r="AF288"/>
      <c r="AG288" s="7"/>
      <c r="AH288"/>
      <c r="AI288"/>
      <c r="AJ288"/>
      <c r="AK288"/>
      <c r="AL288"/>
      <c r="AO288"/>
      <c r="AP288" s="7"/>
      <c r="AQ288"/>
      <c r="AR288"/>
      <c r="AS288"/>
      <c r="AT288"/>
      <c r="AU288"/>
      <c r="AX288"/>
      <c r="AY288" s="7"/>
      <c r="AZ288"/>
      <c r="BA288"/>
      <c r="BB288"/>
      <c r="BC288"/>
      <c r="BD288"/>
      <c r="BG288"/>
      <c r="BH288" s="7"/>
      <c r="BI288"/>
      <c r="BJ288"/>
      <c r="BK288"/>
      <c r="BL288"/>
      <c r="BM288"/>
      <c r="BP288"/>
      <c r="BQ288" s="7"/>
      <c r="BR288"/>
      <c r="BS288"/>
      <c r="BT288"/>
      <c r="BU288"/>
      <c r="BV288"/>
      <c r="BY288"/>
      <c r="BZ288" s="7"/>
      <c r="CA288"/>
      <c r="CB288"/>
      <c r="CC288"/>
      <c r="CD288"/>
      <c r="CE288"/>
      <c r="CH288"/>
    </row>
    <row r="289" spans="2:86">
      <c r="B289" s="7"/>
      <c r="C289"/>
      <c r="D289"/>
      <c r="E289"/>
      <c r="F289"/>
      <c r="G289"/>
      <c r="H289"/>
      <c r="O289" s="7"/>
      <c r="P289"/>
      <c r="Q289"/>
      <c r="R289"/>
      <c r="S289"/>
      <c r="T289"/>
      <c r="W289"/>
      <c r="X289" s="7"/>
      <c r="Y289"/>
      <c r="Z289"/>
      <c r="AA289"/>
      <c r="AB289"/>
      <c r="AC289"/>
      <c r="AF289"/>
      <c r="AG289" s="7"/>
      <c r="AH289"/>
      <c r="AI289"/>
      <c r="AJ289"/>
      <c r="AK289"/>
      <c r="AL289"/>
      <c r="AO289"/>
      <c r="AP289" s="7"/>
      <c r="AQ289"/>
      <c r="AR289"/>
      <c r="AS289"/>
      <c r="AT289"/>
      <c r="AU289"/>
      <c r="AX289"/>
      <c r="AY289" s="7"/>
      <c r="AZ289"/>
      <c r="BA289"/>
      <c r="BB289"/>
      <c r="BC289"/>
      <c r="BD289"/>
      <c r="BG289"/>
      <c r="BH289" s="7"/>
      <c r="BI289"/>
      <c r="BJ289"/>
      <c r="BK289"/>
      <c r="BL289"/>
      <c r="BM289"/>
      <c r="BP289"/>
      <c r="BQ289" s="7"/>
      <c r="BR289"/>
      <c r="BS289"/>
      <c r="BT289"/>
      <c r="BU289"/>
      <c r="BV289"/>
      <c r="BY289"/>
      <c r="BZ289" s="7"/>
      <c r="CA289"/>
      <c r="CB289"/>
      <c r="CC289"/>
      <c r="CD289"/>
      <c r="CE289"/>
      <c r="CH289"/>
    </row>
    <row r="290" spans="2:86">
      <c r="B290" s="7"/>
      <c r="C290"/>
      <c r="D290"/>
      <c r="E290"/>
      <c r="F290"/>
      <c r="G290"/>
      <c r="H290"/>
      <c r="O290" s="7"/>
      <c r="P290"/>
      <c r="Q290"/>
      <c r="R290"/>
      <c r="S290"/>
      <c r="T290"/>
      <c r="W290"/>
      <c r="X290" s="7"/>
      <c r="Y290"/>
      <c r="Z290"/>
      <c r="AA290"/>
      <c r="AB290"/>
      <c r="AC290"/>
      <c r="AF290"/>
      <c r="AG290" s="7"/>
      <c r="AH290"/>
      <c r="AI290"/>
      <c r="AJ290"/>
      <c r="AK290"/>
      <c r="AL290"/>
      <c r="AO290"/>
      <c r="AP290" s="7"/>
      <c r="AQ290"/>
      <c r="AR290"/>
      <c r="AS290"/>
      <c r="AT290"/>
      <c r="AU290"/>
      <c r="AX290"/>
      <c r="AY290" s="7"/>
      <c r="AZ290"/>
      <c r="BA290"/>
      <c r="BB290"/>
      <c r="BC290"/>
      <c r="BD290"/>
      <c r="BG290"/>
      <c r="BH290" s="7"/>
      <c r="BI290"/>
      <c r="BJ290"/>
      <c r="BK290"/>
      <c r="BL290"/>
      <c r="BM290"/>
      <c r="BP290"/>
      <c r="BQ290" s="7"/>
      <c r="BR290"/>
      <c r="BS290"/>
      <c r="BT290"/>
      <c r="BU290"/>
      <c r="BV290"/>
      <c r="BY290"/>
      <c r="BZ290" s="7"/>
      <c r="CA290"/>
      <c r="CB290"/>
      <c r="CC290"/>
      <c r="CD290"/>
      <c r="CE290"/>
      <c r="CH290"/>
    </row>
    <row r="291" spans="2:86">
      <c r="B291" s="7"/>
      <c r="C291"/>
      <c r="D291"/>
      <c r="E291"/>
      <c r="F291"/>
      <c r="G291"/>
      <c r="H291"/>
      <c r="O291" s="7"/>
      <c r="P291"/>
      <c r="Q291"/>
      <c r="R291"/>
      <c r="S291"/>
      <c r="T291"/>
      <c r="W291"/>
      <c r="X291" s="7"/>
      <c r="Y291"/>
      <c r="Z291"/>
      <c r="AA291"/>
      <c r="AB291"/>
      <c r="AC291"/>
      <c r="AF291"/>
      <c r="AG291" s="7"/>
      <c r="AH291"/>
      <c r="AI291"/>
      <c r="AJ291"/>
      <c r="AK291"/>
      <c r="AL291"/>
      <c r="AO291"/>
      <c r="AP291" s="7"/>
      <c r="AQ291"/>
      <c r="AR291"/>
      <c r="AS291"/>
      <c r="AT291"/>
      <c r="AU291"/>
      <c r="AX291"/>
      <c r="AY291" s="7"/>
      <c r="AZ291"/>
      <c r="BA291"/>
      <c r="BB291"/>
      <c r="BC291"/>
      <c r="BD291"/>
      <c r="BG291"/>
      <c r="BH291" s="7"/>
      <c r="BI291"/>
      <c r="BJ291"/>
      <c r="BK291"/>
      <c r="BL291"/>
      <c r="BM291"/>
      <c r="BP291"/>
      <c r="BQ291" s="7"/>
      <c r="BR291"/>
      <c r="BS291"/>
      <c r="BT291"/>
      <c r="BU291"/>
      <c r="BV291"/>
      <c r="BY291"/>
      <c r="BZ291" s="7"/>
      <c r="CA291"/>
      <c r="CB291"/>
      <c r="CC291"/>
      <c r="CD291"/>
      <c r="CE291"/>
      <c r="CH291"/>
    </row>
    <row r="292" spans="2:86">
      <c r="B292" s="7"/>
      <c r="C292"/>
      <c r="D292"/>
      <c r="E292"/>
      <c r="F292"/>
      <c r="G292"/>
      <c r="H292"/>
      <c r="O292" s="7"/>
      <c r="P292"/>
      <c r="Q292"/>
      <c r="R292"/>
      <c r="S292"/>
      <c r="T292"/>
      <c r="W292"/>
      <c r="X292" s="7"/>
      <c r="Y292"/>
      <c r="Z292"/>
      <c r="AA292"/>
      <c r="AB292"/>
      <c r="AC292"/>
      <c r="AF292"/>
      <c r="AG292" s="7"/>
      <c r="AH292"/>
      <c r="AI292"/>
      <c r="AJ292"/>
      <c r="AK292"/>
      <c r="AL292"/>
      <c r="AO292"/>
      <c r="AP292" s="7"/>
      <c r="AQ292"/>
      <c r="AR292"/>
      <c r="AS292"/>
      <c r="AT292"/>
      <c r="AU292"/>
      <c r="AX292"/>
      <c r="AY292" s="7"/>
      <c r="AZ292"/>
      <c r="BA292"/>
      <c r="BB292"/>
      <c r="BC292"/>
      <c r="BD292"/>
      <c r="BG292"/>
      <c r="BH292" s="7"/>
      <c r="BI292"/>
      <c r="BJ292"/>
      <c r="BK292"/>
      <c r="BL292"/>
      <c r="BM292"/>
      <c r="BP292"/>
      <c r="BQ292" s="7"/>
      <c r="BR292"/>
      <c r="BS292"/>
      <c r="BT292"/>
      <c r="BU292"/>
      <c r="BV292"/>
      <c r="BY292"/>
      <c r="BZ292" s="7"/>
      <c r="CA292"/>
      <c r="CB292"/>
      <c r="CC292"/>
      <c r="CD292"/>
      <c r="CE292"/>
      <c r="CH292"/>
    </row>
    <row r="293" spans="2:86">
      <c r="B293" s="7"/>
      <c r="C293"/>
      <c r="D293"/>
      <c r="E293"/>
      <c r="F293"/>
      <c r="G293"/>
      <c r="H293"/>
      <c r="O293" s="7"/>
      <c r="P293"/>
      <c r="Q293"/>
      <c r="R293"/>
      <c r="S293"/>
      <c r="T293"/>
      <c r="W293"/>
      <c r="X293" s="7"/>
      <c r="Y293"/>
      <c r="Z293"/>
      <c r="AA293"/>
      <c r="AB293"/>
      <c r="AC293"/>
      <c r="AF293"/>
      <c r="AG293" s="7"/>
      <c r="AH293"/>
      <c r="AI293"/>
      <c r="AJ293"/>
      <c r="AK293"/>
      <c r="AL293"/>
      <c r="AO293"/>
      <c r="AP293" s="7"/>
      <c r="AQ293"/>
      <c r="AR293"/>
      <c r="AS293"/>
      <c r="AT293"/>
      <c r="AU293"/>
      <c r="AX293"/>
      <c r="AY293" s="7"/>
      <c r="AZ293"/>
      <c r="BA293"/>
      <c r="BB293"/>
      <c r="BC293"/>
      <c r="BD293"/>
      <c r="BG293"/>
      <c r="BH293" s="7"/>
      <c r="BI293"/>
      <c r="BJ293"/>
      <c r="BK293"/>
      <c r="BL293"/>
      <c r="BM293"/>
      <c r="BP293"/>
      <c r="BQ293" s="7"/>
      <c r="BR293"/>
      <c r="BS293"/>
      <c r="BT293"/>
      <c r="BU293"/>
      <c r="BV293"/>
      <c r="BY293"/>
      <c r="BZ293" s="7"/>
      <c r="CA293"/>
      <c r="CB293"/>
      <c r="CC293"/>
      <c r="CD293"/>
      <c r="CE293"/>
      <c r="CH293"/>
    </row>
    <row r="294" spans="2:86">
      <c r="B294" s="7"/>
      <c r="C294"/>
      <c r="D294"/>
      <c r="E294"/>
      <c r="F294"/>
      <c r="G294"/>
      <c r="H294"/>
      <c r="O294" s="7"/>
      <c r="P294"/>
      <c r="Q294"/>
      <c r="R294"/>
      <c r="S294"/>
      <c r="T294"/>
      <c r="W294"/>
      <c r="X294" s="7"/>
      <c r="Y294"/>
      <c r="Z294"/>
      <c r="AA294"/>
      <c r="AB294"/>
      <c r="AC294"/>
      <c r="AF294"/>
      <c r="AG294" s="7"/>
      <c r="AH294"/>
      <c r="AI294"/>
      <c r="AJ294"/>
      <c r="AK294"/>
      <c r="AL294"/>
      <c r="AO294"/>
      <c r="AP294" s="7"/>
      <c r="AQ294"/>
      <c r="AR294"/>
      <c r="AS294"/>
      <c r="AT294"/>
      <c r="AU294"/>
      <c r="AX294"/>
      <c r="AY294" s="7"/>
      <c r="AZ294"/>
      <c r="BA294"/>
      <c r="BB294"/>
      <c r="BC294"/>
      <c r="BD294"/>
      <c r="BG294"/>
      <c r="BH294" s="7"/>
      <c r="BI294"/>
      <c r="BJ294"/>
      <c r="BK294"/>
      <c r="BL294"/>
      <c r="BM294"/>
      <c r="BP294"/>
      <c r="BQ294" s="7"/>
      <c r="BR294"/>
      <c r="BS294"/>
      <c r="BT294"/>
      <c r="BU294"/>
      <c r="BV294"/>
      <c r="BY294"/>
      <c r="BZ294" s="7"/>
      <c r="CA294"/>
      <c r="CB294"/>
      <c r="CC294"/>
      <c r="CD294"/>
      <c r="CE294"/>
      <c r="CH294"/>
    </row>
    <row r="295" spans="2:86">
      <c r="B295" s="7"/>
      <c r="C295"/>
      <c r="D295"/>
      <c r="E295"/>
      <c r="F295"/>
      <c r="G295"/>
      <c r="H295"/>
      <c r="O295" s="7"/>
      <c r="P295"/>
      <c r="Q295"/>
      <c r="R295"/>
      <c r="S295"/>
      <c r="T295"/>
      <c r="W295"/>
      <c r="X295" s="7"/>
      <c r="Y295"/>
      <c r="Z295"/>
      <c r="AA295"/>
      <c r="AB295"/>
      <c r="AC295"/>
      <c r="AF295"/>
      <c r="AG295" s="7"/>
      <c r="AH295"/>
      <c r="AI295"/>
      <c r="AJ295"/>
      <c r="AK295"/>
      <c r="AL295"/>
      <c r="AO295"/>
      <c r="AP295" s="7"/>
      <c r="AQ295"/>
      <c r="AR295"/>
      <c r="AS295"/>
      <c r="AT295"/>
      <c r="AU295"/>
      <c r="AX295"/>
      <c r="AY295" s="7"/>
      <c r="AZ295"/>
      <c r="BA295"/>
      <c r="BB295"/>
      <c r="BC295"/>
      <c r="BD295"/>
      <c r="BG295"/>
      <c r="BH295" s="7"/>
      <c r="BI295"/>
      <c r="BJ295"/>
      <c r="BK295"/>
      <c r="BL295"/>
      <c r="BM295"/>
      <c r="BP295"/>
      <c r="BQ295" s="7"/>
      <c r="BR295"/>
      <c r="BS295"/>
      <c r="BT295"/>
      <c r="BU295"/>
      <c r="BV295"/>
      <c r="BY295"/>
      <c r="BZ295" s="7"/>
      <c r="CA295"/>
      <c r="CB295"/>
      <c r="CC295"/>
      <c r="CD295"/>
      <c r="CE295"/>
      <c r="CH295"/>
    </row>
    <row r="296" spans="2:86">
      <c r="B296" s="7"/>
      <c r="C296"/>
      <c r="D296"/>
      <c r="E296"/>
      <c r="F296"/>
      <c r="G296"/>
      <c r="H296"/>
      <c r="O296" s="7"/>
      <c r="P296"/>
      <c r="Q296"/>
      <c r="R296"/>
      <c r="S296"/>
      <c r="T296"/>
      <c r="W296"/>
      <c r="X296" s="7"/>
      <c r="Y296"/>
      <c r="Z296"/>
      <c r="AA296"/>
      <c r="AB296"/>
      <c r="AC296"/>
      <c r="AF296"/>
      <c r="AG296" s="7"/>
      <c r="AH296"/>
      <c r="AI296"/>
      <c r="AJ296"/>
      <c r="AK296"/>
      <c r="AL296"/>
      <c r="AO296"/>
      <c r="AP296" s="7"/>
      <c r="AQ296"/>
      <c r="AR296"/>
      <c r="AS296"/>
      <c r="AT296"/>
      <c r="AU296"/>
      <c r="AX296"/>
      <c r="AY296" s="7"/>
      <c r="AZ296"/>
      <c r="BA296"/>
      <c r="BB296"/>
      <c r="BC296"/>
      <c r="BD296"/>
      <c r="BG296"/>
      <c r="BH296" s="7"/>
      <c r="BI296"/>
      <c r="BJ296"/>
      <c r="BK296"/>
      <c r="BL296"/>
      <c r="BM296"/>
      <c r="BP296"/>
      <c r="BQ296" s="7"/>
      <c r="BR296"/>
      <c r="BS296"/>
      <c r="BT296"/>
      <c r="BU296"/>
      <c r="BV296"/>
      <c r="BY296"/>
      <c r="BZ296" s="7"/>
      <c r="CA296"/>
      <c r="CB296"/>
      <c r="CC296"/>
      <c r="CD296"/>
      <c r="CE296"/>
      <c r="CH296"/>
    </row>
    <row r="297" spans="2:86">
      <c r="B297" s="7"/>
      <c r="C297"/>
      <c r="D297"/>
      <c r="E297"/>
      <c r="F297"/>
      <c r="G297"/>
      <c r="H297"/>
      <c r="O297" s="7"/>
      <c r="P297"/>
      <c r="Q297"/>
      <c r="R297"/>
      <c r="S297"/>
      <c r="T297"/>
      <c r="W297"/>
      <c r="X297" s="7"/>
      <c r="Y297"/>
      <c r="Z297"/>
      <c r="AA297"/>
      <c r="AB297"/>
      <c r="AC297"/>
      <c r="AF297"/>
      <c r="AG297" s="7"/>
      <c r="AH297"/>
      <c r="AI297"/>
      <c r="AJ297"/>
      <c r="AK297"/>
      <c r="AL297"/>
      <c r="AO297"/>
      <c r="AP297" s="7"/>
      <c r="AQ297"/>
      <c r="AR297"/>
      <c r="AS297"/>
      <c r="AT297"/>
      <c r="AU297"/>
      <c r="AX297"/>
      <c r="AY297" s="7"/>
      <c r="AZ297"/>
      <c r="BA297"/>
      <c r="BB297"/>
      <c r="BC297"/>
      <c r="BD297"/>
      <c r="BG297"/>
      <c r="BH297" s="7"/>
      <c r="BI297"/>
      <c r="BJ297"/>
      <c r="BK297"/>
      <c r="BL297"/>
      <c r="BM297"/>
      <c r="BP297"/>
      <c r="BQ297" s="7"/>
      <c r="BR297"/>
      <c r="BS297"/>
      <c r="BT297"/>
      <c r="BU297"/>
      <c r="BV297"/>
      <c r="BY297"/>
      <c r="BZ297" s="7"/>
      <c r="CA297"/>
      <c r="CB297"/>
      <c r="CC297"/>
      <c r="CD297"/>
      <c r="CE297"/>
      <c r="CH297"/>
    </row>
    <row r="298" spans="2:86">
      <c r="B298" s="7"/>
      <c r="C298"/>
      <c r="D298"/>
      <c r="E298"/>
      <c r="F298"/>
      <c r="G298"/>
      <c r="H298"/>
      <c r="O298" s="7"/>
      <c r="P298"/>
      <c r="Q298"/>
      <c r="R298"/>
      <c r="S298"/>
      <c r="T298"/>
      <c r="W298"/>
      <c r="X298" s="7"/>
      <c r="Y298"/>
      <c r="Z298"/>
      <c r="AA298"/>
      <c r="AB298"/>
      <c r="AC298"/>
      <c r="AF298"/>
      <c r="AG298" s="7"/>
      <c r="AH298"/>
      <c r="AI298"/>
      <c r="AJ298"/>
      <c r="AK298"/>
      <c r="AL298"/>
      <c r="AO298"/>
      <c r="AP298" s="7"/>
      <c r="AQ298"/>
      <c r="AR298"/>
      <c r="AS298"/>
      <c r="AT298"/>
      <c r="AU298"/>
      <c r="AX298"/>
      <c r="AY298" s="7"/>
      <c r="AZ298"/>
      <c r="BA298"/>
      <c r="BB298"/>
      <c r="BC298"/>
      <c r="BD298"/>
      <c r="BG298"/>
      <c r="BH298" s="7"/>
      <c r="BI298"/>
      <c r="BJ298"/>
      <c r="BK298"/>
      <c r="BL298"/>
      <c r="BM298"/>
      <c r="BP298"/>
      <c r="BQ298" s="7"/>
      <c r="BR298"/>
      <c r="BS298"/>
      <c r="BT298"/>
      <c r="BU298"/>
      <c r="BV298"/>
      <c r="BY298"/>
      <c r="BZ298" s="7"/>
      <c r="CA298"/>
      <c r="CB298"/>
      <c r="CC298"/>
      <c r="CD298"/>
      <c r="CE298"/>
      <c r="CH298"/>
    </row>
    <row r="299" spans="2:86">
      <c r="B299" s="7"/>
      <c r="C299"/>
      <c r="D299"/>
      <c r="E299"/>
      <c r="F299"/>
      <c r="G299"/>
      <c r="H299"/>
      <c r="O299" s="7"/>
      <c r="P299"/>
      <c r="Q299"/>
      <c r="R299"/>
      <c r="S299"/>
      <c r="T299"/>
      <c r="W299"/>
      <c r="X299" s="7"/>
      <c r="Y299"/>
      <c r="Z299"/>
      <c r="AA299"/>
      <c r="AB299"/>
      <c r="AC299"/>
      <c r="AF299"/>
      <c r="AG299" s="7"/>
      <c r="AH299"/>
      <c r="AI299"/>
      <c r="AJ299"/>
      <c r="AK299"/>
      <c r="AL299"/>
      <c r="AO299"/>
      <c r="AP299" s="7"/>
      <c r="AQ299"/>
      <c r="AR299"/>
      <c r="AS299"/>
      <c r="AT299"/>
      <c r="AU299"/>
      <c r="AX299"/>
      <c r="AY299" s="7"/>
      <c r="AZ299"/>
      <c r="BA299"/>
      <c r="BB299"/>
      <c r="BC299"/>
      <c r="BD299"/>
      <c r="BG299"/>
      <c r="BH299" s="7"/>
      <c r="BI299"/>
      <c r="BJ299"/>
      <c r="BK299"/>
      <c r="BL299"/>
      <c r="BM299"/>
      <c r="BP299"/>
      <c r="BQ299" s="7"/>
      <c r="BR299"/>
      <c r="BS299"/>
      <c r="BT299"/>
      <c r="BU299"/>
      <c r="BV299"/>
      <c r="BY299"/>
      <c r="BZ299" s="7"/>
      <c r="CA299"/>
      <c r="CB299"/>
      <c r="CC299"/>
      <c r="CD299"/>
      <c r="CE299"/>
      <c r="CH299"/>
    </row>
    <row r="300" spans="2:86">
      <c r="B300" s="7"/>
      <c r="C300"/>
      <c r="D300"/>
      <c r="E300"/>
      <c r="F300"/>
      <c r="G300"/>
      <c r="H300"/>
      <c r="O300" s="7"/>
      <c r="P300"/>
      <c r="Q300"/>
      <c r="R300"/>
      <c r="S300"/>
      <c r="T300"/>
      <c r="W300"/>
      <c r="X300" s="7"/>
      <c r="Y300"/>
      <c r="Z300"/>
      <c r="AA300"/>
      <c r="AB300"/>
      <c r="AC300"/>
      <c r="AF300"/>
      <c r="AG300" s="7"/>
      <c r="AH300"/>
      <c r="AI300"/>
      <c r="AJ300"/>
      <c r="AK300"/>
      <c r="AL300"/>
      <c r="AO300"/>
      <c r="AP300" s="7"/>
      <c r="AQ300"/>
      <c r="AR300"/>
      <c r="AS300"/>
      <c r="AT300"/>
      <c r="AU300"/>
      <c r="AX300"/>
      <c r="AY300" s="7"/>
      <c r="AZ300"/>
      <c r="BA300"/>
      <c r="BB300"/>
      <c r="BC300"/>
      <c r="BD300"/>
      <c r="BG300"/>
      <c r="BH300" s="7"/>
      <c r="BI300"/>
      <c r="BJ300"/>
      <c r="BK300"/>
      <c r="BL300"/>
      <c r="BM300"/>
      <c r="BP300"/>
      <c r="BQ300" s="7"/>
      <c r="BR300"/>
      <c r="BS300"/>
      <c r="BT300"/>
      <c r="BU300"/>
      <c r="BV300"/>
      <c r="BY300"/>
      <c r="BZ300" s="7"/>
      <c r="CA300"/>
      <c r="CB300"/>
      <c r="CC300"/>
      <c r="CD300"/>
      <c r="CE300"/>
      <c r="CH300"/>
    </row>
    <row r="301" spans="2:86">
      <c r="B301" s="7"/>
      <c r="C301"/>
      <c r="D301"/>
      <c r="E301"/>
      <c r="F301"/>
      <c r="G301"/>
      <c r="H301"/>
      <c r="O301" s="7"/>
      <c r="P301"/>
      <c r="Q301"/>
      <c r="R301"/>
      <c r="S301"/>
      <c r="T301"/>
      <c r="W301"/>
      <c r="X301" s="7"/>
      <c r="Y301"/>
      <c r="Z301"/>
      <c r="AA301"/>
      <c r="AB301"/>
      <c r="AC301"/>
      <c r="AF301"/>
      <c r="AG301" s="7"/>
      <c r="AH301"/>
      <c r="AI301"/>
      <c r="AJ301"/>
      <c r="AK301"/>
      <c r="AL301"/>
      <c r="AO301"/>
      <c r="AP301" s="7"/>
      <c r="AQ301"/>
      <c r="AR301"/>
      <c r="AS301"/>
      <c r="AT301"/>
      <c r="AU301"/>
      <c r="AX301"/>
      <c r="AY301" s="7"/>
      <c r="AZ301"/>
      <c r="BA301"/>
      <c r="BB301"/>
      <c r="BC301"/>
      <c r="BD301"/>
      <c r="BG301"/>
      <c r="BH301" s="7"/>
      <c r="BI301"/>
      <c r="BJ301"/>
      <c r="BK301"/>
      <c r="BL301"/>
      <c r="BM301"/>
      <c r="BP301"/>
      <c r="BQ301" s="7"/>
      <c r="BR301"/>
      <c r="BS301"/>
      <c r="BT301"/>
      <c r="BU301"/>
      <c r="BV301"/>
      <c r="BY301"/>
      <c r="BZ301" s="7"/>
      <c r="CA301"/>
      <c r="CB301"/>
      <c r="CC301"/>
      <c r="CD301"/>
      <c r="CE301"/>
      <c r="CH301"/>
    </row>
    <row r="302" spans="2:86">
      <c r="B302" s="7"/>
      <c r="C302"/>
      <c r="D302"/>
      <c r="E302"/>
      <c r="F302"/>
      <c r="G302"/>
      <c r="H302"/>
      <c r="O302" s="7"/>
      <c r="P302"/>
      <c r="Q302"/>
      <c r="R302"/>
      <c r="S302"/>
      <c r="T302"/>
      <c r="W302"/>
      <c r="X302" s="7"/>
      <c r="Y302"/>
      <c r="Z302"/>
      <c r="AA302"/>
      <c r="AB302"/>
      <c r="AC302"/>
      <c r="AF302"/>
      <c r="AG302" s="7"/>
      <c r="AH302"/>
      <c r="AI302"/>
      <c r="AJ302"/>
      <c r="AK302"/>
      <c r="AL302"/>
      <c r="AO302"/>
      <c r="AP302" s="7"/>
      <c r="AQ302"/>
      <c r="AR302"/>
      <c r="AS302"/>
      <c r="AT302"/>
      <c r="AU302"/>
      <c r="AX302"/>
      <c r="AY302" s="7"/>
      <c r="AZ302"/>
      <c r="BA302"/>
      <c r="BB302"/>
      <c r="BC302"/>
      <c r="BD302"/>
      <c r="BG302"/>
      <c r="BH302" s="7"/>
      <c r="BI302"/>
      <c r="BJ302"/>
      <c r="BK302"/>
      <c r="BL302"/>
      <c r="BM302"/>
      <c r="BP302"/>
      <c r="BQ302" s="7"/>
      <c r="BR302"/>
      <c r="BS302"/>
      <c r="BT302"/>
      <c r="BU302"/>
      <c r="BV302"/>
      <c r="BY302"/>
      <c r="BZ302" s="7"/>
      <c r="CA302"/>
      <c r="CB302"/>
      <c r="CC302"/>
      <c r="CD302"/>
      <c r="CE302"/>
      <c r="CH302"/>
    </row>
    <row r="303" spans="2:86">
      <c r="B303" s="7"/>
      <c r="C303"/>
      <c r="D303"/>
      <c r="E303"/>
      <c r="F303"/>
      <c r="G303"/>
      <c r="H303"/>
      <c r="O303" s="7"/>
      <c r="P303"/>
      <c r="Q303"/>
      <c r="R303"/>
      <c r="S303"/>
      <c r="T303"/>
      <c r="W303"/>
      <c r="X303" s="7"/>
      <c r="Y303"/>
      <c r="Z303"/>
      <c r="AA303"/>
      <c r="AB303"/>
      <c r="AC303"/>
      <c r="AF303"/>
      <c r="AG303" s="7"/>
      <c r="AH303"/>
      <c r="AI303"/>
      <c r="AJ303"/>
      <c r="AK303"/>
      <c r="AL303"/>
      <c r="AO303"/>
      <c r="AP303" s="7"/>
      <c r="AQ303"/>
      <c r="AR303"/>
      <c r="AS303"/>
      <c r="AT303"/>
      <c r="AU303"/>
      <c r="AX303"/>
      <c r="AY303" s="7"/>
      <c r="AZ303"/>
      <c r="BA303"/>
      <c r="BB303"/>
      <c r="BC303"/>
      <c r="BD303"/>
      <c r="BG303"/>
      <c r="BH303" s="7"/>
      <c r="BI303"/>
      <c r="BJ303"/>
      <c r="BK303"/>
      <c r="BL303"/>
      <c r="BM303"/>
      <c r="BP303"/>
      <c r="BQ303" s="7"/>
      <c r="BR303"/>
      <c r="BS303"/>
      <c r="BT303"/>
      <c r="BU303"/>
      <c r="BV303"/>
      <c r="BY303"/>
      <c r="BZ303" s="7"/>
      <c r="CA303"/>
      <c r="CB303"/>
      <c r="CC303"/>
      <c r="CD303"/>
      <c r="CE303"/>
      <c r="CH303"/>
    </row>
    <row r="304" spans="2:86">
      <c r="B304" s="7"/>
      <c r="C304"/>
      <c r="D304"/>
      <c r="E304"/>
      <c r="F304"/>
      <c r="G304"/>
      <c r="H304"/>
      <c r="O304" s="7"/>
      <c r="P304"/>
      <c r="Q304"/>
      <c r="R304"/>
      <c r="S304"/>
      <c r="T304"/>
      <c r="W304"/>
      <c r="X304" s="7"/>
      <c r="Y304"/>
      <c r="Z304"/>
      <c r="AA304"/>
      <c r="AB304"/>
      <c r="AC304"/>
      <c r="AF304"/>
      <c r="AG304" s="7"/>
      <c r="AH304"/>
      <c r="AI304"/>
      <c r="AJ304"/>
      <c r="AK304"/>
      <c r="AL304"/>
      <c r="AO304"/>
      <c r="AP304" s="7"/>
      <c r="AQ304"/>
      <c r="AR304"/>
      <c r="AS304"/>
      <c r="AT304"/>
      <c r="AU304"/>
      <c r="AX304"/>
      <c r="AY304" s="7"/>
      <c r="AZ304"/>
      <c r="BA304"/>
      <c r="BB304"/>
      <c r="BC304"/>
      <c r="BD304"/>
      <c r="BG304"/>
      <c r="BH304" s="7"/>
      <c r="BI304"/>
      <c r="BJ304"/>
      <c r="BK304"/>
      <c r="BL304"/>
      <c r="BM304"/>
      <c r="BP304"/>
      <c r="BQ304" s="7"/>
      <c r="BR304"/>
      <c r="BS304"/>
      <c r="BT304"/>
      <c r="BU304"/>
      <c r="BV304"/>
      <c r="BY304"/>
      <c r="BZ304" s="7"/>
      <c r="CA304"/>
      <c r="CB304"/>
      <c r="CC304"/>
      <c r="CD304"/>
      <c r="CE304"/>
      <c r="CH304"/>
    </row>
    <row r="305" spans="2:86">
      <c r="B305" s="7"/>
      <c r="C305"/>
      <c r="D305"/>
      <c r="E305"/>
      <c r="F305"/>
      <c r="G305"/>
      <c r="H305"/>
      <c r="O305" s="7"/>
      <c r="P305"/>
      <c r="Q305"/>
      <c r="R305"/>
      <c r="S305"/>
      <c r="T305"/>
      <c r="W305"/>
      <c r="X305" s="7"/>
      <c r="Y305"/>
      <c r="Z305"/>
      <c r="AA305"/>
      <c r="AB305"/>
      <c r="AC305"/>
      <c r="AF305"/>
      <c r="AG305" s="7"/>
      <c r="AH305"/>
      <c r="AI305"/>
      <c r="AJ305"/>
      <c r="AK305"/>
      <c r="AL305"/>
      <c r="AO305"/>
      <c r="AP305" s="7"/>
      <c r="AQ305"/>
      <c r="AR305"/>
      <c r="AS305"/>
      <c r="AT305"/>
      <c r="AU305"/>
      <c r="AX305"/>
      <c r="AY305" s="7"/>
      <c r="AZ305"/>
      <c r="BA305"/>
      <c r="BB305"/>
      <c r="BC305"/>
      <c r="BD305"/>
      <c r="BG305"/>
      <c r="BH305" s="7"/>
      <c r="BI305"/>
      <c r="BJ305"/>
      <c r="BK305"/>
      <c r="BL305"/>
      <c r="BM305"/>
      <c r="BP305"/>
      <c r="BQ305" s="7"/>
      <c r="BR305"/>
      <c r="BS305"/>
      <c r="BT305"/>
      <c r="BU305"/>
      <c r="BV305"/>
      <c r="BY305"/>
      <c r="BZ305" s="7"/>
      <c r="CA305"/>
      <c r="CB305"/>
      <c r="CC305"/>
      <c r="CD305"/>
      <c r="CE305"/>
      <c r="CH305"/>
    </row>
    <row r="306" spans="2:86">
      <c r="B306" s="7"/>
      <c r="C306"/>
      <c r="D306"/>
      <c r="E306"/>
      <c r="F306"/>
      <c r="G306"/>
      <c r="H306"/>
      <c r="O306" s="7"/>
      <c r="P306"/>
      <c r="Q306"/>
      <c r="R306"/>
      <c r="S306"/>
      <c r="T306"/>
      <c r="W306"/>
      <c r="X306" s="7"/>
      <c r="Y306"/>
      <c r="Z306"/>
      <c r="AA306"/>
      <c r="AB306"/>
      <c r="AC306"/>
      <c r="AF306"/>
      <c r="AG306" s="7"/>
      <c r="AH306"/>
      <c r="AI306"/>
      <c r="AJ306"/>
      <c r="AK306"/>
      <c r="AL306"/>
      <c r="AO306"/>
      <c r="AP306" s="7"/>
      <c r="AQ306"/>
      <c r="AR306"/>
      <c r="AS306"/>
      <c r="AT306"/>
      <c r="AU306"/>
      <c r="AX306"/>
      <c r="AY306" s="7"/>
      <c r="AZ306"/>
      <c r="BA306"/>
      <c r="BB306"/>
      <c r="BC306"/>
      <c r="BD306"/>
      <c r="BG306"/>
      <c r="BH306" s="7"/>
      <c r="BI306"/>
      <c r="BJ306"/>
      <c r="BK306"/>
      <c r="BL306"/>
      <c r="BM306"/>
      <c r="BP306"/>
      <c r="BQ306" s="7"/>
      <c r="BR306"/>
      <c r="BS306"/>
      <c r="BT306"/>
      <c r="BU306"/>
      <c r="BV306"/>
      <c r="BY306"/>
      <c r="BZ306" s="7"/>
      <c r="CA306"/>
      <c r="CB306"/>
      <c r="CC306"/>
      <c r="CD306"/>
      <c r="CE306"/>
      <c r="CH306"/>
    </row>
    <row r="307" spans="2:86">
      <c r="B307" s="7"/>
      <c r="C307"/>
      <c r="D307"/>
      <c r="E307"/>
      <c r="F307"/>
      <c r="G307"/>
      <c r="H307"/>
      <c r="O307" s="7"/>
      <c r="P307"/>
      <c r="Q307"/>
      <c r="R307"/>
      <c r="S307"/>
      <c r="T307"/>
      <c r="W307"/>
      <c r="X307" s="7"/>
      <c r="Y307"/>
      <c r="Z307"/>
      <c r="AA307"/>
      <c r="AB307"/>
      <c r="AC307"/>
      <c r="AF307"/>
      <c r="AG307" s="7"/>
      <c r="AH307"/>
      <c r="AI307"/>
      <c r="AJ307"/>
      <c r="AK307"/>
      <c r="AL307"/>
      <c r="AO307"/>
      <c r="AP307" s="7"/>
      <c r="AQ307"/>
      <c r="AR307"/>
      <c r="AS307"/>
      <c r="AT307"/>
      <c r="AU307"/>
      <c r="AX307"/>
      <c r="AY307" s="7"/>
      <c r="AZ307"/>
      <c r="BA307"/>
      <c r="BB307"/>
      <c r="BC307"/>
      <c r="BD307"/>
      <c r="BG307"/>
      <c r="BH307" s="7"/>
      <c r="BI307"/>
      <c r="BJ307"/>
      <c r="BK307"/>
      <c r="BL307"/>
      <c r="BM307"/>
      <c r="BP307"/>
      <c r="BQ307" s="7"/>
      <c r="BR307"/>
      <c r="BS307"/>
      <c r="BT307"/>
      <c r="BU307"/>
      <c r="BV307"/>
      <c r="BY307"/>
      <c r="BZ307" s="7"/>
      <c r="CA307"/>
      <c r="CB307"/>
      <c r="CC307"/>
      <c r="CD307"/>
      <c r="CE307"/>
      <c r="CH307"/>
    </row>
    <row r="308" spans="2:86">
      <c r="B308" s="7"/>
      <c r="C308"/>
      <c r="D308"/>
      <c r="E308"/>
      <c r="F308"/>
      <c r="G308"/>
      <c r="H308"/>
      <c r="O308" s="7"/>
      <c r="P308"/>
      <c r="Q308"/>
      <c r="R308"/>
      <c r="S308"/>
      <c r="T308"/>
      <c r="W308"/>
      <c r="X308" s="7"/>
      <c r="Y308"/>
      <c r="Z308"/>
      <c r="AA308"/>
      <c r="AB308"/>
      <c r="AC308"/>
      <c r="AF308"/>
      <c r="AG308" s="7"/>
      <c r="AH308"/>
      <c r="AI308"/>
      <c r="AJ308"/>
      <c r="AK308"/>
      <c r="AL308"/>
      <c r="AO308"/>
      <c r="AP308" s="7"/>
      <c r="AQ308"/>
      <c r="AR308"/>
      <c r="AS308"/>
      <c r="AT308"/>
      <c r="AU308"/>
      <c r="AX308"/>
      <c r="AY308" s="7"/>
      <c r="AZ308"/>
      <c r="BA308"/>
      <c r="BB308"/>
      <c r="BC308"/>
      <c r="BD308"/>
      <c r="BG308"/>
      <c r="BH308" s="7"/>
      <c r="BI308"/>
      <c r="BJ308"/>
      <c r="BK308"/>
      <c r="BL308"/>
      <c r="BM308"/>
      <c r="BP308"/>
      <c r="BQ308" s="7"/>
      <c r="BR308"/>
      <c r="BS308"/>
      <c r="BT308"/>
      <c r="BU308"/>
      <c r="BV308"/>
      <c r="BY308"/>
      <c r="BZ308" s="7"/>
      <c r="CA308"/>
      <c r="CB308"/>
      <c r="CC308"/>
      <c r="CD308"/>
      <c r="CE308"/>
      <c r="CH308"/>
    </row>
    <row r="309" spans="2:86">
      <c r="B309" s="7"/>
      <c r="C309"/>
      <c r="D309"/>
      <c r="E309"/>
      <c r="F309"/>
      <c r="G309"/>
      <c r="H309"/>
      <c r="O309" s="7"/>
      <c r="P309"/>
      <c r="Q309"/>
      <c r="R309"/>
      <c r="S309"/>
      <c r="T309"/>
      <c r="W309"/>
      <c r="X309" s="7"/>
      <c r="Y309"/>
      <c r="Z309"/>
      <c r="AA309"/>
      <c r="AB309"/>
      <c r="AC309"/>
      <c r="AF309"/>
      <c r="AG309" s="7"/>
      <c r="AH309"/>
      <c r="AI309"/>
      <c r="AJ309"/>
      <c r="AK309"/>
      <c r="AL309"/>
      <c r="AO309"/>
      <c r="AP309" s="7"/>
      <c r="AQ309"/>
      <c r="AR309"/>
      <c r="AS309"/>
      <c r="AT309"/>
      <c r="AU309"/>
      <c r="AX309"/>
      <c r="AY309" s="7"/>
      <c r="AZ309"/>
      <c r="BA309"/>
      <c r="BB309"/>
      <c r="BC309"/>
      <c r="BD309"/>
      <c r="BG309"/>
      <c r="BH309" s="7"/>
      <c r="BI309"/>
      <c r="BJ309"/>
      <c r="BK309"/>
      <c r="BL309"/>
      <c r="BM309"/>
      <c r="BP309"/>
      <c r="BQ309" s="7"/>
      <c r="BR309"/>
      <c r="BS309"/>
      <c r="BT309"/>
      <c r="BU309"/>
      <c r="BV309"/>
      <c r="BY309"/>
      <c r="BZ309" s="7"/>
      <c r="CA309"/>
      <c r="CB309"/>
      <c r="CC309"/>
      <c r="CD309"/>
      <c r="CE309"/>
      <c r="CH309"/>
    </row>
    <row r="310" spans="2:86">
      <c r="B310" s="7"/>
      <c r="C310"/>
      <c r="D310"/>
      <c r="E310"/>
      <c r="F310"/>
      <c r="G310"/>
      <c r="H310"/>
      <c r="O310" s="7"/>
      <c r="P310"/>
      <c r="Q310"/>
      <c r="R310"/>
      <c r="S310"/>
      <c r="T310"/>
      <c r="W310"/>
      <c r="X310" s="7"/>
      <c r="Y310"/>
      <c r="Z310"/>
      <c r="AA310"/>
      <c r="AB310"/>
      <c r="AC310"/>
      <c r="AF310"/>
      <c r="AG310" s="7"/>
      <c r="AH310"/>
      <c r="AI310"/>
      <c r="AJ310"/>
      <c r="AK310"/>
      <c r="AL310"/>
      <c r="AO310"/>
      <c r="AP310" s="7"/>
      <c r="AQ310"/>
      <c r="AR310"/>
      <c r="AS310"/>
      <c r="AT310"/>
      <c r="AU310"/>
      <c r="AX310"/>
      <c r="AY310" s="7"/>
      <c r="AZ310"/>
      <c r="BA310"/>
      <c r="BB310"/>
      <c r="BC310"/>
      <c r="BD310"/>
      <c r="BG310"/>
      <c r="BH310" s="7"/>
      <c r="BI310"/>
      <c r="BJ310"/>
      <c r="BK310"/>
      <c r="BL310"/>
      <c r="BM310"/>
      <c r="BP310"/>
      <c r="BQ310" s="7"/>
      <c r="BR310"/>
      <c r="BS310"/>
      <c r="BT310"/>
      <c r="BU310"/>
      <c r="BV310"/>
      <c r="BY310"/>
      <c r="BZ310" s="7"/>
      <c r="CA310"/>
      <c r="CB310"/>
      <c r="CC310"/>
      <c r="CD310"/>
      <c r="CE310"/>
      <c r="CH310"/>
    </row>
    <row r="311" spans="2:86">
      <c r="B311" s="7"/>
      <c r="C311"/>
      <c r="D311"/>
      <c r="E311"/>
      <c r="F311"/>
      <c r="G311"/>
      <c r="H311"/>
      <c r="O311" s="7"/>
      <c r="P311"/>
      <c r="Q311"/>
      <c r="R311"/>
      <c r="S311"/>
      <c r="T311"/>
      <c r="W311"/>
      <c r="X311" s="7"/>
      <c r="Y311"/>
      <c r="Z311"/>
      <c r="AA311"/>
      <c r="AB311"/>
      <c r="AC311"/>
      <c r="AF311"/>
      <c r="AG311" s="7"/>
      <c r="AH311"/>
      <c r="AI311"/>
      <c r="AJ311"/>
      <c r="AK311"/>
      <c r="AL311"/>
      <c r="AO311"/>
      <c r="AP311" s="7"/>
      <c r="AQ311"/>
      <c r="AR311"/>
      <c r="AS311"/>
      <c r="AT311"/>
      <c r="AU311"/>
      <c r="AX311"/>
      <c r="AY311" s="7"/>
      <c r="AZ311"/>
      <c r="BA311"/>
      <c r="BB311"/>
      <c r="BC311"/>
      <c r="BD311"/>
      <c r="BG311"/>
      <c r="BH311" s="7"/>
      <c r="BI311"/>
      <c r="BJ311"/>
      <c r="BK311"/>
      <c r="BL311"/>
      <c r="BM311"/>
      <c r="BP311"/>
      <c r="BQ311" s="7"/>
      <c r="BR311"/>
      <c r="BS311"/>
      <c r="BT311"/>
      <c r="BU311"/>
      <c r="BV311"/>
      <c r="BY311"/>
      <c r="BZ311" s="7"/>
      <c r="CA311"/>
      <c r="CB311"/>
      <c r="CC311"/>
      <c r="CD311"/>
      <c r="CE311"/>
      <c r="CH311"/>
    </row>
    <row r="312" spans="2:86">
      <c r="B312" s="7"/>
      <c r="C312"/>
      <c r="D312"/>
      <c r="E312"/>
      <c r="F312"/>
      <c r="G312"/>
      <c r="H312"/>
      <c r="O312" s="7"/>
      <c r="P312"/>
      <c r="Q312"/>
      <c r="R312"/>
      <c r="S312"/>
      <c r="T312"/>
      <c r="W312"/>
      <c r="X312" s="7"/>
      <c r="Y312"/>
      <c r="Z312"/>
      <c r="AA312"/>
      <c r="AB312"/>
      <c r="AC312"/>
      <c r="AF312"/>
      <c r="AG312" s="7"/>
      <c r="AH312"/>
      <c r="AI312"/>
      <c r="AJ312"/>
      <c r="AK312"/>
      <c r="AL312"/>
      <c r="AO312"/>
      <c r="AP312" s="7"/>
      <c r="AQ312"/>
      <c r="AR312"/>
      <c r="AS312"/>
      <c r="AT312"/>
      <c r="AU312"/>
      <c r="AX312"/>
      <c r="AY312" s="7"/>
      <c r="AZ312"/>
      <c r="BA312"/>
      <c r="BB312"/>
      <c r="BC312"/>
      <c r="BD312"/>
      <c r="BG312"/>
      <c r="BH312" s="7"/>
      <c r="BI312"/>
      <c r="BJ312"/>
      <c r="BK312"/>
      <c r="BL312"/>
      <c r="BM312"/>
      <c r="BP312"/>
      <c r="BQ312" s="7"/>
      <c r="BR312"/>
      <c r="BS312"/>
      <c r="BT312"/>
      <c r="BU312"/>
      <c r="BV312"/>
      <c r="BY312"/>
      <c r="BZ312" s="7"/>
      <c r="CA312"/>
      <c r="CB312"/>
      <c r="CC312"/>
      <c r="CD312"/>
      <c r="CE312"/>
      <c r="CH312"/>
    </row>
    <row r="313" spans="2:86">
      <c r="B313" s="7"/>
      <c r="C313"/>
      <c r="D313"/>
      <c r="E313"/>
      <c r="F313"/>
      <c r="G313"/>
      <c r="H313"/>
      <c r="O313" s="7"/>
      <c r="P313"/>
      <c r="Q313"/>
      <c r="R313"/>
      <c r="S313"/>
      <c r="T313"/>
      <c r="W313"/>
      <c r="X313" s="7"/>
      <c r="Y313"/>
      <c r="Z313"/>
      <c r="AA313"/>
      <c r="AB313"/>
      <c r="AC313"/>
      <c r="AF313"/>
      <c r="AG313" s="7"/>
      <c r="AH313"/>
      <c r="AI313"/>
      <c r="AJ313"/>
      <c r="AK313"/>
      <c r="AL313"/>
      <c r="AO313"/>
      <c r="AP313" s="7"/>
      <c r="AQ313"/>
      <c r="AR313"/>
      <c r="AS313"/>
      <c r="AT313"/>
      <c r="AU313"/>
      <c r="AX313"/>
      <c r="AY313" s="7"/>
      <c r="AZ313"/>
      <c r="BA313"/>
      <c r="BB313"/>
      <c r="BC313"/>
      <c r="BD313"/>
      <c r="BG313"/>
      <c r="BH313" s="7"/>
      <c r="BI313"/>
      <c r="BJ313"/>
      <c r="BK313"/>
      <c r="BL313"/>
      <c r="BM313"/>
      <c r="BP313"/>
      <c r="BQ313" s="7"/>
      <c r="BR313"/>
      <c r="BS313"/>
      <c r="BT313"/>
      <c r="BU313"/>
      <c r="BV313"/>
      <c r="BY313"/>
      <c r="BZ313" s="7"/>
      <c r="CA313"/>
      <c r="CB313"/>
      <c r="CC313"/>
      <c r="CD313"/>
      <c r="CE313"/>
      <c r="CH313"/>
    </row>
    <row r="314" spans="2:86">
      <c r="B314" s="7"/>
      <c r="C314"/>
      <c r="D314"/>
      <c r="E314"/>
      <c r="F314"/>
      <c r="G314"/>
      <c r="H314"/>
      <c r="O314" s="7"/>
      <c r="P314"/>
      <c r="Q314"/>
      <c r="R314"/>
      <c r="S314"/>
      <c r="T314"/>
      <c r="W314"/>
      <c r="X314" s="7"/>
      <c r="Y314"/>
      <c r="Z314"/>
      <c r="AA314"/>
      <c r="AB314"/>
      <c r="AC314"/>
      <c r="AF314"/>
      <c r="AG314" s="7"/>
      <c r="AH314"/>
      <c r="AI314"/>
      <c r="AJ314"/>
      <c r="AK314"/>
      <c r="AL314"/>
      <c r="AO314"/>
      <c r="AP314" s="7"/>
      <c r="AQ314"/>
      <c r="AR314"/>
      <c r="AS314"/>
      <c r="AT314"/>
      <c r="AU314"/>
      <c r="AX314"/>
      <c r="AY314" s="7"/>
      <c r="AZ314"/>
      <c r="BA314"/>
      <c r="BB314"/>
      <c r="BC314"/>
      <c r="BD314"/>
      <c r="BG314"/>
      <c r="BH314" s="7"/>
      <c r="BI314"/>
      <c r="BJ314"/>
      <c r="BK314"/>
      <c r="BL314"/>
      <c r="BM314"/>
      <c r="BP314"/>
      <c r="BQ314" s="7"/>
      <c r="BR314"/>
      <c r="BS314"/>
      <c r="BT314"/>
      <c r="BU314"/>
      <c r="BV314"/>
      <c r="BY314"/>
      <c r="BZ314" s="7"/>
      <c r="CA314"/>
      <c r="CB314"/>
      <c r="CC314"/>
      <c r="CD314"/>
      <c r="CE314"/>
      <c r="CH314"/>
    </row>
    <row r="315" spans="2:86">
      <c r="B315" s="7"/>
      <c r="C315"/>
      <c r="D315"/>
      <c r="E315"/>
      <c r="F315"/>
      <c r="G315"/>
      <c r="H315"/>
      <c r="O315" s="7"/>
      <c r="P315"/>
      <c r="Q315"/>
      <c r="R315"/>
      <c r="S315"/>
      <c r="T315"/>
      <c r="W315"/>
      <c r="X315" s="7"/>
      <c r="Y315"/>
      <c r="Z315"/>
      <c r="AA315"/>
      <c r="AB315"/>
      <c r="AC315"/>
      <c r="AF315"/>
      <c r="AG315" s="7"/>
      <c r="AH315"/>
      <c r="AI315"/>
      <c r="AJ315"/>
      <c r="AK315"/>
      <c r="AL315"/>
      <c r="AO315"/>
      <c r="AP315" s="7"/>
      <c r="AQ315"/>
      <c r="AR315"/>
      <c r="AS315"/>
      <c r="AT315"/>
      <c r="AU315"/>
      <c r="AX315"/>
      <c r="AY315" s="7"/>
      <c r="AZ315"/>
      <c r="BA315"/>
      <c r="BB315"/>
      <c r="BC315"/>
      <c r="BD315"/>
      <c r="BG315"/>
      <c r="BH315" s="7"/>
      <c r="BI315"/>
      <c r="BJ315"/>
      <c r="BK315"/>
      <c r="BL315"/>
      <c r="BM315"/>
      <c r="BP315"/>
      <c r="BQ315" s="7"/>
      <c r="BR315"/>
      <c r="BS315"/>
      <c r="BT315"/>
      <c r="BU315"/>
      <c r="BV315"/>
      <c r="BY315"/>
      <c r="BZ315" s="7"/>
      <c r="CA315"/>
      <c r="CB315"/>
      <c r="CC315"/>
      <c r="CD315"/>
      <c r="CE315"/>
      <c r="CH315"/>
    </row>
    <row r="316" spans="2:86">
      <c r="B316" s="7"/>
      <c r="C316"/>
      <c r="D316"/>
      <c r="E316"/>
      <c r="F316"/>
      <c r="G316"/>
      <c r="H316"/>
      <c r="O316" s="7"/>
      <c r="P316"/>
      <c r="Q316"/>
      <c r="R316"/>
      <c r="S316"/>
      <c r="T316"/>
      <c r="W316"/>
      <c r="X316" s="7"/>
      <c r="Y316"/>
      <c r="Z316"/>
      <c r="AA316"/>
      <c r="AB316"/>
      <c r="AC316"/>
      <c r="AF316"/>
      <c r="AG316" s="7"/>
      <c r="AH316"/>
      <c r="AI316"/>
      <c r="AJ316"/>
      <c r="AK316"/>
      <c r="AL316"/>
      <c r="AO316"/>
      <c r="AP316" s="7"/>
      <c r="AQ316"/>
      <c r="AR316"/>
      <c r="AS316"/>
      <c r="AT316"/>
      <c r="AU316"/>
      <c r="AX316"/>
      <c r="AY316" s="7"/>
      <c r="AZ316"/>
      <c r="BA316"/>
      <c r="BB316"/>
      <c r="BC316"/>
      <c r="BD316"/>
      <c r="BG316"/>
      <c r="BH316" s="7"/>
      <c r="BI316"/>
      <c r="BJ316"/>
      <c r="BK316"/>
      <c r="BL316"/>
      <c r="BM316"/>
      <c r="BP316"/>
      <c r="BQ316" s="7"/>
      <c r="BR316"/>
      <c r="BS316"/>
      <c r="BT316"/>
      <c r="BU316"/>
      <c r="BV316"/>
      <c r="BY316"/>
      <c r="BZ316" s="7"/>
      <c r="CA316"/>
      <c r="CB316"/>
      <c r="CC316"/>
      <c r="CD316"/>
      <c r="CE316"/>
      <c r="CH316"/>
    </row>
    <row r="317" spans="2:86">
      <c r="B317" s="7"/>
      <c r="C317"/>
      <c r="D317"/>
      <c r="E317"/>
      <c r="F317"/>
      <c r="G317"/>
      <c r="H317"/>
      <c r="O317" s="7"/>
      <c r="P317"/>
      <c r="Q317"/>
      <c r="R317"/>
      <c r="S317"/>
      <c r="T317"/>
      <c r="W317"/>
      <c r="X317" s="7"/>
      <c r="Y317"/>
      <c r="Z317"/>
      <c r="AA317"/>
      <c r="AB317"/>
      <c r="AC317"/>
      <c r="AF317"/>
      <c r="AG317" s="7"/>
      <c r="AH317"/>
      <c r="AI317"/>
      <c r="AJ317"/>
      <c r="AK317"/>
      <c r="AL317"/>
      <c r="AO317"/>
      <c r="AP317" s="7"/>
      <c r="AQ317"/>
      <c r="AR317"/>
      <c r="AS317"/>
      <c r="AT317"/>
      <c r="AU317"/>
      <c r="AX317"/>
      <c r="AY317" s="7"/>
      <c r="AZ317"/>
      <c r="BA317"/>
      <c r="BB317"/>
      <c r="BC317"/>
      <c r="BD317"/>
      <c r="BG317"/>
      <c r="BH317" s="7"/>
      <c r="BI317"/>
      <c r="BJ317"/>
      <c r="BK317"/>
      <c r="BL317"/>
      <c r="BM317"/>
      <c r="BP317"/>
      <c r="BQ317" s="7"/>
      <c r="BR317"/>
      <c r="BS317"/>
      <c r="BT317"/>
      <c r="BU317"/>
      <c r="BV317"/>
      <c r="BY317"/>
      <c r="BZ317" s="7"/>
      <c r="CA317"/>
      <c r="CB317"/>
      <c r="CC317"/>
      <c r="CD317"/>
      <c r="CE317"/>
      <c r="CH317"/>
    </row>
    <row r="318" spans="2:86">
      <c r="B318" s="7"/>
      <c r="C318"/>
      <c r="D318"/>
      <c r="E318"/>
      <c r="F318"/>
      <c r="G318"/>
      <c r="H318"/>
      <c r="O318" s="7"/>
      <c r="P318"/>
      <c r="Q318"/>
      <c r="R318"/>
      <c r="S318"/>
      <c r="T318"/>
      <c r="W318"/>
      <c r="X318" s="7"/>
      <c r="Y318"/>
      <c r="Z318"/>
      <c r="AA318"/>
      <c r="AB318"/>
      <c r="AC318"/>
      <c r="AF318"/>
      <c r="AG318" s="7"/>
      <c r="AH318"/>
      <c r="AI318"/>
      <c r="AJ318"/>
      <c r="AK318"/>
      <c r="AL318"/>
      <c r="AO318"/>
      <c r="AP318" s="7"/>
      <c r="AQ318"/>
      <c r="AR318"/>
      <c r="AS318"/>
      <c r="AT318"/>
      <c r="AU318"/>
      <c r="AX318"/>
      <c r="AY318" s="7"/>
      <c r="AZ318"/>
      <c r="BA318"/>
      <c r="BB318"/>
      <c r="BC318"/>
      <c r="BD318"/>
      <c r="BG318"/>
      <c r="BH318" s="7"/>
      <c r="BI318"/>
      <c r="BJ318"/>
      <c r="BK318"/>
      <c r="BL318"/>
      <c r="BM318"/>
      <c r="BP318"/>
      <c r="BQ318" s="7"/>
      <c r="BR318"/>
      <c r="BS318"/>
      <c r="BT318"/>
      <c r="BU318"/>
      <c r="BV318"/>
      <c r="BY318"/>
      <c r="BZ318" s="7"/>
      <c r="CA318"/>
      <c r="CB318"/>
      <c r="CC318"/>
      <c r="CD318"/>
      <c r="CE318"/>
      <c r="CH318"/>
    </row>
    <row r="319" spans="2:86">
      <c r="B319" s="7"/>
      <c r="C319"/>
      <c r="D319"/>
      <c r="E319"/>
      <c r="F319"/>
      <c r="G319"/>
      <c r="H319"/>
      <c r="O319" s="7"/>
      <c r="P319"/>
      <c r="Q319"/>
      <c r="R319"/>
      <c r="S319"/>
      <c r="T319"/>
      <c r="W319"/>
      <c r="X319" s="7"/>
      <c r="Y319"/>
      <c r="Z319"/>
      <c r="AA319"/>
      <c r="AB319"/>
      <c r="AC319"/>
      <c r="AF319"/>
      <c r="AG319" s="7"/>
      <c r="AH319"/>
      <c r="AI319"/>
      <c r="AJ319"/>
      <c r="AK319"/>
      <c r="AL319"/>
      <c r="AO319"/>
      <c r="AP319" s="7"/>
      <c r="AQ319"/>
      <c r="AR319"/>
      <c r="AS319"/>
      <c r="AT319"/>
      <c r="AU319"/>
      <c r="AX319"/>
      <c r="AY319" s="7"/>
      <c r="AZ319"/>
      <c r="BA319"/>
      <c r="BB319"/>
      <c r="BC319"/>
      <c r="BD319"/>
      <c r="BG319"/>
      <c r="BH319" s="7"/>
      <c r="BI319"/>
      <c r="BJ319"/>
      <c r="BK319"/>
      <c r="BL319"/>
      <c r="BM319"/>
      <c r="BP319"/>
      <c r="BQ319" s="7"/>
      <c r="BR319"/>
      <c r="BS319"/>
      <c r="BT319"/>
      <c r="BU319"/>
      <c r="BV319"/>
      <c r="BY319"/>
      <c r="BZ319" s="7"/>
      <c r="CA319"/>
      <c r="CB319"/>
      <c r="CC319"/>
      <c r="CD319"/>
      <c r="CE319"/>
      <c r="CH319"/>
    </row>
    <row r="320" spans="2:86">
      <c r="B320" s="7"/>
      <c r="C320"/>
      <c r="D320"/>
      <c r="E320"/>
      <c r="F320"/>
      <c r="G320"/>
      <c r="H320"/>
      <c r="O320" s="7"/>
      <c r="P320"/>
      <c r="Q320"/>
      <c r="R320"/>
      <c r="S320"/>
      <c r="T320"/>
      <c r="W320"/>
      <c r="X320" s="7"/>
      <c r="Y320"/>
      <c r="Z320"/>
      <c r="AA320"/>
      <c r="AB320"/>
      <c r="AC320"/>
      <c r="AF320"/>
      <c r="AG320" s="7"/>
      <c r="AH320"/>
      <c r="AI320"/>
      <c r="AJ320"/>
      <c r="AK320"/>
      <c r="AL320"/>
      <c r="AO320"/>
      <c r="AP320" s="7"/>
      <c r="AQ320"/>
      <c r="AR320"/>
      <c r="AS320"/>
      <c r="AT320"/>
      <c r="AU320"/>
      <c r="AX320"/>
      <c r="AY320" s="7"/>
      <c r="AZ320"/>
      <c r="BA320"/>
      <c r="BB320"/>
      <c r="BC320"/>
      <c r="BD320"/>
      <c r="BG320"/>
      <c r="BH320" s="7"/>
      <c r="BI320"/>
      <c r="BJ320"/>
      <c r="BK320"/>
      <c r="BL320"/>
      <c r="BM320"/>
      <c r="BP320"/>
      <c r="BQ320" s="7"/>
      <c r="BR320"/>
      <c r="BS320"/>
      <c r="BT320"/>
      <c r="BU320"/>
      <c r="BV320"/>
      <c r="BY320"/>
      <c r="BZ320" s="7"/>
      <c r="CA320"/>
      <c r="CB320"/>
      <c r="CC320"/>
      <c r="CD320"/>
      <c r="CE320"/>
      <c r="CH320"/>
    </row>
    <row r="321" spans="2:86">
      <c r="B321" s="7"/>
      <c r="C321"/>
      <c r="D321"/>
      <c r="E321"/>
      <c r="F321"/>
      <c r="G321"/>
      <c r="H321"/>
      <c r="O321" s="7"/>
      <c r="P321"/>
      <c r="Q321"/>
      <c r="R321"/>
      <c r="S321"/>
      <c r="T321"/>
      <c r="W321"/>
      <c r="X321" s="7"/>
      <c r="Y321"/>
      <c r="Z321"/>
      <c r="AA321"/>
      <c r="AB321"/>
      <c r="AC321"/>
      <c r="AF321"/>
      <c r="AG321" s="7"/>
      <c r="AH321"/>
      <c r="AI321"/>
      <c r="AJ321"/>
      <c r="AK321"/>
      <c r="AL321"/>
      <c r="AO321"/>
      <c r="AP321" s="7"/>
      <c r="AQ321"/>
      <c r="AR321"/>
      <c r="AS321"/>
      <c r="AT321"/>
      <c r="AU321"/>
      <c r="AX321"/>
      <c r="AY321" s="7"/>
      <c r="AZ321"/>
      <c r="BA321"/>
      <c r="BB321"/>
      <c r="BC321"/>
      <c r="BD321"/>
      <c r="BG321"/>
      <c r="BH321" s="7"/>
      <c r="BI321"/>
      <c r="BJ321"/>
      <c r="BK321"/>
      <c r="BL321"/>
      <c r="BM321"/>
      <c r="BP321"/>
      <c r="BQ321" s="7"/>
      <c r="BR321"/>
      <c r="BS321"/>
      <c r="BT321"/>
      <c r="BU321"/>
      <c r="BV321"/>
      <c r="BY321"/>
      <c r="BZ321" s="7"/>
      <c r="CA321"/>
      <c r="CB321"/>
      <c r="CC321"/>
      <c r="CD321"/>
      <c r="CE321"/>
      <c r="CH321"/>
    </row>
    <row r="322" spans="2:86">
      <c r="B322" s="7"/>
      <c r="C322"/>
      <c r="D322"/>
      <c r="E322"/>
      <c r="F322"/>
      <c r="G322"/>
      <c r="H322"/>
      <c r="O322" s="7"/>
      <c r="P322"/>
      <c r="Q322"/>
      <c r="R322"/>
      <c r="S322"/>
      <c r="T322"/>
      <c r="W322"/>
      <c r="X322" s="7"/>
      <c r="Y322"/>
      <c r="Z322"/>
      <c r="AA322"/>
      <c r="AB322"/>
      <c r="AC322"/>
      <c r="AF322"/>
      <c r="AG322" s="7"/>
      <c r="AH322"/>
      <c r="AI322"/>
      <c r="AJ322"/>
      <c r="AK322"/>
      <c r="AL322"/>
      <c r="AO322"/>
      <c r="AP322" s="7"/>
      <c r="AQ322"/>
      <c r="AR322"/>
      <c r="AS322"/>
      <c r="AT322"/>
      <c r="AU322"/>
      <c r="AX322"/>
      <c r="AY322" s="7"/>
      <c r="AZ322"/>
      <c r="BA322"/>
      <c r="BB322"/>
      <c r="BC322"/>
      <c r="BD322"/>
      <c r="BG322"/>
      <c r="BH322" s="7"/>
      <c r="BI322"/>
      <c r="BJ322"/>
      <c r="BK322"/>
      <c r="BL322"/>
      <c r="BM322"/>
      <c r="BP322"/>
      <c r="BQ322" s="7"/>
      <c r="BR322"/>
      <c r="BS322"/>
      <c r="BT322"/>
      <c r="BU322"/>
      <c r="BV322"/>
      <c r="BY322"/>
      <c r="BZ322" s="7"/>
      <c r="CA322"/>
      <c r="CB322"/>
      <c r="CC322"/>
      <c r="CD322"/>
      <c r="CE322"/>
      <c r="CH322"/>
    </row>
    <row r="323" spans="2:86">
      <c r="B323" s="7"/>
      <c r="C323"/>
      <c r="D323"/>
      <c r="E323"/>
      <c r="F323"/>
      <c r="G323"/>
      <c r="H323"/>
      <c r="O323" s="7"/>
      <c r="P323"/>
      <c r="Q323"/>
      <c r="R323"/>
      <c r="S323"/>
      <c r="T323"/>
      <c r="W323"/>
      <c r="X323" s="7"/>
      <c r="Y323"/>
      <c r="Z323"/>
      <c r="AA323"/>
      <c r="AB323"/>
      <c r="AC323"/>
      <c r="AF323"/>
      <c r="AG323" s="7"/>
      <c r="AH323"/>
      <c r="AI323"/>
      <c r="AJ323"/>
      <c r="AK323"/>
      <c r="AL323"/>
      <c r="AO323"/>
      <c r="AP323" s="7"/>
      <c r="AQ323"/>
      <c r="AR323"/>
      <c r="AS323"/>
      <c r="AT323"/>
      <c r="AU323"/>
      <c r="AX323"/>
      <c r="AY323" s="7"/>
      <c r="AZ323"/>
      <c r="BA323"/>
      <c r="BB323"/>
      <c r="BC323"/>
      <c r="BD323"/>
      <c r="BG323"/>
      <c r="BH323" s="7"/>
      <c r="BI323"/>
      <c r="BJ323"/>
      <c r="BK323"/>
      <c r="BL323"/>
      <c r="BM323"/>
      <c r="BP323"/>
      <c r="BQ323" s="7"/>
      <c r="BR323"/>
      <c r="BS323"/>
      <c r="BT323"/>
      <c r="BU323"/>
      <c r="BV323"/>
      <c r="BY323"/>
      <c r="BZ323" s="7"/>
      <c r="CA323"/>
      <c r="CB323"/>
      <c r="CC323"/>
      <c r="CD323"/>
      <c r="CE323"/>
      <c r="CH323"/>
    </row>
    <row r="324" spans="2:86">
      <c r="B324" s="7"/>
      <c r="C324"/>
      <c r="D324"/>
      <c r="E324"/>
      <c r="F324"/>
      <c r="G324"/>
      <c r="H324"/>
      <c r="O324" s="7"/>
      <c r="P324"/>
      <c r="Q324"/>
      <c r="R324"/>
      <c r="S324"/>
      <c r="T324"/>
      <c r="W324"/>
      <c r="X324" s="7"/>
      <c r="Y324"/>
      <c r="Z324"/>
      <c r="AA324"/>
      <c r="AB324"/>
      <c r="AC324"/>
      <c r="AF324"/>
      <c r="AG324" s="7"/>
      <c r="AH324"/>
      <c r="AI324"/>
      <c r="AJ324"/>
      <c r="AK324"/>
      <c r="AL324"/>
      <c r="AO324"/>
      <c r="AP324" s="7"/>
      <c r="AQ324"/>
      <c r="AR324"/>
      <c r="AS324"/>
      <c r="AT324"/>
      <c r="AU324"/>
      <c r="AX324"/>
      <c r="AY324" s="7"/>
      <c r="AZ324"/>
      <c r="BA324"/>
      <c r="BB324"/>
      <c r="BC324"/>
      <c r="BD324"/>
      <c r="BG324"/>
      <c r="BH324" s="7"/>
      <c r="BI324"/>
      <c r="BJ324"/>
      <c r="BK324"/>
      <c r="BL324"/>
      <c r="BM324"/>
      <c r="BP324"/>
      <c r="BQ324" s="7"/>
      <c r="BR324"/>
      <c r="BS324"/>
      <c r="BT324"/>
      <c r="BU324"/>
      <c r="BV324"/>
      <c r="BY324"/>
      <c r="BZ324" s="7"/>
      <c r="CA324"/>
      <c r="CB324"/>
      <c r="CC324"/>
      <c r="CD324"/>
      <c r="CE324"/>
      <c r="CH324"/>
    </row>
    <row r="325" spans="2:86">
      <c r="B325" s="7"/>
      <c r="C325"/>
      <c r="D325"/>
      <c r="E325"/>
      <c r="F325"/>
      <c r="G325"/>
      <c r="H325"/>
      <c r="O325" s="7"/>
      <c r="P325"/>
      <c r="Q325"/>
      <c r="R325"/>
      <c r="S325"/>
      <c r="T325"/>
      <c r="W325"/>
      <c r="X325" s="7"/>
      <c r="Y325"/>
      <c r="Z325"/>
      <c r="AA325"/>
      <c r="AB325"/>
      <c r="AC325"/>
      <c r="AF325"/>
      <c r="AG325" s="7"/>
      <c r="AH325"/>
      <c r="AI325"/>
      <c r="AJ325"/>
      <c r="AK325"/>
      <c r="AL325"/>
      <c r="AO325"/>
      <c r="AP325" s="7"/>
      <c r="AQ325"/>
      <c r="AR325"/>
      <c r="AS325"/>
      <c r="AT325"/>
      <c r="AU325"/>
      <c r="AX325"/>
      <c r="AY325" s="7"/>
      <c r="AZ325"/>
      <c r="BA325"/>
      <c r="BB325"/>
      <c r="BC325"/>
      <c r="BD325"/>
      <c r="BG325"/>
      <c r="BH325" s="7"/>
      <c r="BI325"/>
      <c r="BJ325"/>
      <c r="BK325"/>
      <c r="BL325"/>
      <c r="BM325"/>
      <c r="BP325"/>
      <c r="BQ325" s="7"/>
      <c r="BR325"/>
      <c r="BS325"/>
      <c r="BT325"/>
      <c r="BU325"/>
      <c r="BV325"/>
      <c r="BY325"/>
      <c r="BZ325" s="7"/>
      <c r="CA325"/>
      <c r="CB325"/>
      <c r="CC325"/>
      <c r="CD325"/>
      <c r="CE325"/>
      <c r="CH325"/>
    </row>
    <row r="326" spans="2:86">
      <c r="B326" s="7"/>
      <c r="C326"/>
      <c r="D326"/>
      <c r="E326"/>
      <c r="F326"/>
      <c r="G326"/>
      <c r="H326"/>
      <c r="O326" s="7"/>
      <c r="P326"/>
      <c r="Q326"/>
      <c r="R326"/>
      <c r="S326"/>
      <c r="T326"/>
      <c r="W326"/>
      <c r="X326" s="7"/>
      <c r="Y326"/>
      <c r="Z326"/>
      <c r="AA326"/>
      <c r="AB326"/>
      <c r="AC326"/>
      <c r="AF326"/>
      <c r="AG326" s="7"/>
      <c r="AH326"/>
      <c r="AI326"/>
      <c r="AJ326"/>
      <c r="AK326"/>
      <c r="AL326"/>
      <c r="AO326"/>
      <c r="AP326" s="7"/>
      <c r="AQ326"/>
      <c r="AR326"/>
      <c r="AS326"/>
      <c r="AT326"/>
      <c r="AU326"/>
      <c r="AX326"/>
      <c r="AY326" s="7"/>
      <c r="AZ326"/>
      <c r="BA326"/>
      <c r="BB326"/>
      <c r="BC326"/>
      <c r="BD326"/>
      <c r="BG326"/>
      <c r="BH326" s="7"/>
      <c r="BI326"/>
      <c r="BJ326"/>
      <c r="BK326"/>
      <c r="BL326"/>
      <c r="BM326"/>
      <c r="BP326"/>
      <c r="BQ326" s="7"/>
      <c r="BR326"/>
      <c r="BS326"/>
      <c r="BT326"/>
      <c r="BU326"/>
      <c r="BV326"/>
      <c r="BY326"/>
      <c r="BZ326" s="7"/>
      <c r="CA326"/>
      <c r="CB326"/>
      <c r="CC326"/>
      <c r="CD326"/>
      <c r="CE326"/>
      <c r="CH326"/>
    </row>
    <row r="327" spans="2:86">
      <c r="B327" s="7"/>
      <c r="C327"/>
      <c r="D327"/>
      <c r="E327"/>
      <c r="F327"/>
      <c r="G327"/>
      <c r="H327"/>
      <c r="O327" s="7"/>
      <c r="P327"/>
      <c r="Q327"/>
      <c r="R327"/>
      <c r="S327"/>
      <c r="T327"/>
      <c r="W327"/>
      <c r="X327" s="7"/>
      <c r="Y327"/>
      <c r="Z327"/>
      <c r="AA327"/>
      <c r="AB327"/>
      <c r="AC327"/>
      <c r="AF327"/>
      <c r="AG327" s="7"/>
      <c r="AH327"/>
      <c r="AI327"/>
      <c r="AJ327"/>
      <c r="AK327"/>
      <c r="AL327"/>
      <c r="AO327"/>
      <c r="AP327" s="7"/>
      <c r="AQ327"/>
      <c r="AR327"/>
      <c r="AS327"/>
      <c r="AT327"/>
      <c r="AU327"/>
      <c r="AX327"/>
      <c r="AY327" s="7"/>
      <c r="AZ327"/>
      <c r="BA327"/>
      <c r="BB327"/>
      <c r="BC327"/>
      <c r="BD327"/>
      <c r="BG327"/>
      <c r="BH327" s="7"/>
      <c r="BI327"/>
      <c r="BJ327"/>
      <c r="BK327"/>
      <c r="BL327"/>
      <c r="BM327"/>
      <c r="BP327"/>
      <c r="BQ327" s="7"/>
      <c r="BR327"/>
      <c r="BS327"/>
      <c r="BT327"/>
      <c r="BU327"/>
      <c r="BV327"/>
      <c r="BY327"/>
      <c r="BZ327" s="7"/>
      <c r="CA327"/>
      <c r="CB327"/>
      <c r="CC327"/>
      <c r="CD327"/>
      <c r="CE327"/>
      <c r="CH327"/>
    </row>
    <row r="328" spans="2:86">
      <c r="B328" s="7"/>
      <c r="C328"/>
      <c r="D328"/>
      <c r="E328"/>
      <c r="F328"/>
      <c r="G328"/>
      <c r="H328"/>
      <c r="O328" s="7"/>
      <c r="P328"/>
      <c r="Q328"/>
      <c r="R328"/>
      <c r="S328"/>
      <c r="T328"/>
      <c r="W328"/>
      <c r="X328" s="7"/>
      <c r="Y328"/>
      <c r="Z328"/>
      <c r="AA328"/>
      <c r="AB328"/>
      <c r="AC328"/>
      <c r="AF328"/>
      <c r="AG328" s="7"/>
      <c r="AH328"/>
      <c r="AI328"/>
      <c r="AJ328"/>
      <c r="AK328"/>
      <c r="AL328"/>
      <c r="AO328"/>
      <c r="AP328" s="7"/>
      <c r="AQ328"/>
      <c r="AR328"/>
      <c r="AS328"/>
      <c r="AT328"/>
      <c r="AU328"/>
      <c r="AX328"/>
      <c r="AY328" s="7"/>
      <c r="AZ328"/>
      <c r="BA328"/>
      <c r="BB328"/>
      <c r="BC328"/>
      <c r="BD328"/>
      <c r="BG328"/>
      <c r="BH328" s="7"/>
      <c r="BI328"/>
      <c r="BJ328"/>
      <c r="BK328"/>
      <c r="BL328"/>
      <c r="BM328"/>
      <c r="BP328"/>
      <c r="BQ328" s="7"/>
      <c r="BR328"/>
      <c r="BS328"/>
      <c r="BT328"/>
      <c r="BU328"/>
      <c r="BV328"/>
      <c r="BY328"/>
      <c r="BZ328" s="7"/>
      <c r="CA328"/>
      <c r="CB328"/>
      <c r="CC328"/>
      <c r="CD328"/>
      <c r="CE328"/>
      <c r="CH328"/>
    </row>
    <row r="329" spans="2:86">
      <c r="B329" s="7"/>
      <c r="C329"/>
      <c r="D329"/>
      <c r="E329"/>
      <c r="F329"/>
      <c r="G329"/>
      <c r="H329"/>
      <c r="O329" s="7"/>
      <c r="P329"/>
      <c r="Q329"/>
      <c r="R329"/>
      <c r="S329"/>
      <c r="T329"/>
      <c r="W329"/>
      <c r="X329" s="7"/>
      <c r="Y329"/>
      <c r="Z329"/>
      <c r="AA329"/>
      <c r="AB329"/>
      <c r="AC329"/>
      <c r="AF329"/>
      <c r="AG329" s="7"/>
      <c r="AH329"/>
      <c r="AI329"/>
      <c r="AJ329"/>
      <c r="AK329"/>
      <c r="AL329"/>
      <c r="AO329"/>
      <c r="AP329" s="7"/>
      <c r="AQ329"/>
      <c r="AR329"/>
      <c r="AS329"/>
      <c r="AT329"/>
      <c r="AU329"/>
      <c r="AX329"/>
      <c r="AY329" s="7"/>
      <c r="AZ329"/>
      <c r="BA329"/>
      <c r="BB329"/>
      <c r="BC329"/>
      <c r="BD329"/>
      <c r="BG329"/>
      <c r="BH329" s="7"/>
      <c r="BI329"/>
      <c r="BJ329"/>
      <c r="BK329"/>
      <c r="BL329"/>
      <c r="BM329"/>
      <c r="BP329"/>
      <c r="BQ329" s="7"/>
      <c r="BR329"/>
      <c r="BS329"/>
      <c r="BT329"/>
      <c r="BU329"/>
      <c r="BV329"/>
      <c r="BY329"/>
      <c r="BZ329" s="7"/>
      <c r="CA329"/>
      <c r="CB329"/>
      <c r="CC329"/>
      <c r="CD329"/>
      <c r="CE329"/>
      <c r="CH329"/>
    </row>
    <row r="330" spans="2:86">
      <c r="B330" s="7"/>
      <c r="C330"/>
      <c r="D330"/>
      <c r="E330"/>
      <c r="F330"/>
      <c r="G330"/>
      <c r="H330"/>
      <c r="O330" s="7"/>
      <c r="P330"/>
      <c r="Q330"/>
      <c r="R330"/>
      <c r="S330"/>
      <c r="T330"/>
      <c r="W330"/>
      <c r="X330" s="7"/>
      <c r="Y330"/>
      <c r="Z330"/>
      <c r="AA330"/>
      <c r="AB330"/>
      <c r="AC330"/>
      <c r="AF330"/>
      <c r="AG330" s="7"/>
      <c r="AH330"/>
      <c r="AI330"/>
      <c r="AJ330"/>
      <c r="AK330"/>
      <c r="AL330"/>
      <c r="AO330"/>
      <c r="AP330" s="7"/>
      <c r="AQ330"/>
      <c r="AR330"/>
      <c r="AS330"/>
      <c r="AT330"/>
      <c r="AU330"/>
      <c r="AX330"/>
      <c r="AY330" s="7"/>
      <c r="AZ330"/>
      <c r="BA330"/>
      <c r="BB330"/>
      <c r="BC330"/>
      <c r="BD330"/>
      <c r="BG330"/>
      <c r="BH330" s="7"/>
      <c r="BI330"/>
      <c r="BJ330"/>
      <c r="BK330"/>
      <c r="BL330"/>
      <c r="BM330"/>
      <c r="BP330"/>
      <c r="BQ330" s="7"/>
      <c r="BR330"/>
      <c r="BS330"/>
      <c r="BT330"/>
      <c r="BU330"/>
      <c r="BV330"/>
      <c r="BY330"/>
      <c r="BZ330" s="7"/>
      <c r="CA330"/>
      <c r="CB330"/>
      <c r="CC330"/>
      <c r="CD330"/>
      <c r="CE330"/>
      <c r="CH330"/>
    </row>
    <row r="331" spans="2:86">
      <c r="B331" s="7"/>
      <c r="C331"/>
      <c r="D331"/>
      <c r="E331"/>
      <c r="F331"/>
      <c r="G331"/>
      <c r="H331"/>
      <c r="O331" s="7"/>
      <c r="P331"/>
      <c r="Q331"/>
      <c r="R331"/>
      <c r="S331"/>
      <c r="T331"/>
      <c r="W331"/>
      <c r="X331" s="7"/>
      <c r="Y331"/>
      <c r="Z331"/>
      <c r="AA331"/>
      <c r="AB331"/>
      <c r="AC331"/>
      <c r="AF331"/>
      <c r="AG331" s="7"/>
      <c r="AH331"/>
      <c r="AI331"/>
      <c r="AJ331"/>
      <c r="AK331"/>
      <c r="AL331"/>
      <c r="AO331"/>
      <c r="AP331" s="7"/>
      <c r="AQ331"/>
      <c r="AR331"/>
      <c r="AS331"/>
      <c r="AT331"/>
      <c r="AU331"/>
      <c r="AX331"/>
      <c r="AY331" s="7"/>
      <c r="AZ331"/>
      <c r="BA331"/>
      <c r="BB331"/>
      <c r="BC331"/>
      <c r="BD331"/>
      <c r="BG331"/>
      <c r="BH331" s="7"/>
      <c r="BI331"/>
      <c r="BJ331"/>
      <c r="BK331"/>
      <c r="BL331"/>
      <c r="BM331"/>
      <c r="BP331"/>
      <c r="BQ331" s="7"/>
      <c r="BR331"/>
      <c r="BS331"/>
      <c r="BT331"/>
      <c r="BU331"/>
      <c r="BV331"/>
      <c r="BY331"/>
      <c r="BZ331" s="7"/>
      <c r="CA331"/>
      <c r="CB331"/>
      <c r="CC331"/>
      <c r="CD331"/>
      <c r="CE331"/>
      <c r="CH331"/>
    </row>
    <row r="332" spans="2:86">
      <c r="B332" s="7"/>
      <c r="C332"/>
      <c r="D332"/>
      <c r="E332"/>
      <c r="F332"/>
      <c r="G332"/>
      <c r="H332"/>
      <c r="O332" s="7"/>
      <c r="P332"/>
      <c r="Q332"/>
      <c r="R332"/>
      <c r="S332"/>
      <c r="T332"/>
      <c r="W332"/>
      <c r="X332" s="7"/>
      <c r="Y332"/>
      <c r="Z332"/>
      <c r="AA332"/>
      <c r="AB332"/>
      <c r="AC332"/>
      <c r="AF332"/>
      <c r="AG332" s="7"/>
      <c r="AH332"/>
      <c r="AI332"/>
      <c r="AJ332"/>
      <c r="AK332"/>
      <c r="AL332"/>
      <c r="AO332"/>
      <c r="AP332" s="7"/>
      <c r="AQ332"/>
      <c r="AR332"/>
      <c r="AS332"/>
      <c r="AT332"/>
      <c r="AU332"/>
      <c r="AX332"/>
      <c r="AY332" s="7"/>
      <c r="AZ332"/>
      <c r="BA332"/>
      <c r="BB332"/>
      <c r="BC332"/>
      <c r="BD332"/>
      <c r="BG332"/>
      <c r="BH332" s="7"/>
      <c r="BI332"/>
      <c r="BJ332"/>
      <c r="BK332"/>
      <c r="BL332"/>
      <c r="BM332"/>
      <c r="BP332"/>
      <c r="BQ332" s="7"/>
      <c r="BR332"/>
      <c r="BS332"/>
      <c r="BT332"/>
      <c r="BU332"/>
      <c r="BV332"/>
      <c r="BY332"/>
      <c r="BZ332" s="7"/>
      <c r="CA332"/>
      <c r="CB332"/>
      <c r="CC332"/>
      <c r="CD332"/>
      <c r="CE332"/>
      <c r="CH332"/>
    </row>
    <row r="333" spans="2:86">
      <c r="B333" s="7"/>
      <c r="C333"/>
      <c r="D333"/>
      <c r="E333"/>
      <c r="F333"/>
      <c r="G333"/>
      <c r="H333"/>
      <c r="O333" s="7"/>
      <c r="P333"/>
      <c r="Q333"/>
      <c r="R333"/>
      <c r="S333"/>
      <c r="T333"/>
      <c r="W333"/>
      <c r="X333" s="7"/>
      <c r="Y333"/>
      <c r="Z333"/>
      <c r="AA333"/>
      <c r="AB333"/>
      <c r="AC333"/>
      <c r="AF333"/>
      <c r="AG333" s="7"/>
      <c r="AH333"/>
      <c r="AI333"/>
      <c r="AJ333"/>
      <c r="AK333"/>
      <c r="AL333"/>
      <c r="AO333"/>
      <c r="AP333" s="7"/>
      <c r="AQ333"/>
      <c r="AR333"/>
      <c r="AS333"/>
      <c r="AT333"/>
      <c r="AU333"/>
      <c r="AX333"/>
      <c r="AY333" s="7"/>
      <c r="AZ333"/>
      <c r="BA333"/>
      <c r="BB333"/>
      <c r="BC333"/>
      <c r="BD333"/>
      <c r="BG333"/>
      <c r="BH333" s="7"/>
      <c r="BI333"/>
      <c r="BJ333"/>
      <c r="BK333"/>
      <c r="BL333"/>
      <c r="BM333"/>
      <c r="BP333"/>
      <c r="BQ333" s="7"/>
      <c r="BR333"/>
      <c r="BS333"/>
      <c r="BT333"/>
      <c r="BU333"/>
      <c r="BV333"/>
      <c r="BY333"/>
      <c r="BZ333" s="7"/>
      <c r="CA333"/>
      <c r="CB333"/>
      <c r="CC333"/>
      <c r="CD333"/>
      <c r="CE333"/>
      <c r="CH333"/>
    </row>
    <row r="334" spans="2:86">
      <c r="B334" s="7"/>
      <c r="C334"/>
      <c r="D334"/>
      <c r="E334"/>
      <c r="F334"/>
      <c r="G334"/>
      <c r="H334"/>
      <c r="O334" s="7"/>
      <c r="P334"/>
      <c r="Q334"/>
      <c r="R334"/>
      <c r="S334"/>
      <c r="T334"/>
      <c r="W334"/>
      <c r="X334" s="7"/>
      <c r="Y334"/>
      <c r="Z334"/>
      <c r="AA334"/>
      <c r="AB334"/>
      <c r="AC334"/>
      <c r="AF334"/>
      <c r="AG334" s="7"/>
      <c r="AH334"/>
      <c r="AI334"/>
      <c r="AJ334"/>
      <c r="AK334"/>
      <c r="AL334"/>
      <c r="AO334"/>
      <c r="AP334" s="7"/>
      <c r="AQ334"/>
      <c r="AR334"/>
      <c r="AS334"/>
      <c r="AT334"/>
      <c r="AU334"/>
      <c r="AX334"/>
      <c r="AY334" s="7"/>
      <c r="AZ334"/>
      <c r="BA334"/>
      <c r="BB334"/>
      <c r="BC334"/>
      <c r="BD334"/>
      <c r="BG334"/>
      <c r="BH334" s="7"/>
      <c r="BI334"/>
      <c r="BJ334"/>
      <c r="BK334"/>
      <c r="BL334"/>
      <c r="BM334"/>
      <c r="BP334"/>
      <c r="BQ334" s="7"/>
      <c r="BR334"/>
      <c r="BS334"/>
      <c r="BT334"/>
      <c r="BU334"/>
      <c r="BV334"/>
      <c r="BY334"/>
      <c r="BZ334" s="7"/>
      <c r="CA334"/>
      <c r="CB334"/>
      <c r="CC334"/>
      <c r="CD334"/>
      <c r="CE334"/>
      <c r="CH334"/>
    </row>
    <row r="335" spans="2:86">
      <c r="B335" s="7"/>
      <c r="C335"/>
      <c r="D335"/>
      <c r="E335"/>
      <c r="F335"/>
      <c r="G335"/>
      <c r="H335"/>
      <c r="O335" s="7"/>
      <c r="P335"/>
      <c r="Q335"/>
      <c r="R335"/>
      <c r="S335"/>
      <c r="T335"/>
      <c r="W335"/>
      <c r="X335" s="7"/>
      <c r="Y335"/>
      <c r="Z335"/>
      <c r="AA335"/>
      <c r="AB335"/>
      <c r="AC335"/>
      <c r="AF335"/>
      <c r="AG335" s="7"/>
      <c r="AH335"/>
      <c r="AI335"/>
      <c r="AJ335"/>
      <c r="AK335"/>
      <c r="AL335"/>
      <c r="AO335"/>
      <c r="AP335" s="7"/>
      <c r="AQ335"/>
      <c r="AR335"/>
      <c r="AS335"/>
      <c r="AT335"/>
      <c r="AU335"/>
      <c r="AX335"/>
      <c r="AY335" s="7"/>
      <c r="AZ335"/>
      <c r="BA335"/>
      <c r="BB335"/>
      <c r="BC335"/>
      <c r="BD335"/>
      <c r="BG335"/>
      <c r="BH335" s="7"/>
      <c r="BI335"/>
      <c r="BJ335"/>
      <c r="BK335"/>
      <c r="BL335"/>
      <c r="BM335"/>
      <c r="BP335"/>
      <c r="BQ335" s="7"/>
      <c r="BR335"/>
      <c r="BS335"/>
      <c r="BT335"/>
      <c r="BU335"/>
      <c r="BV335"/>
      <c r="BY335"/>
      <c r="BZ335" s="7"/>
      <c r="CA335"/>
      <c r="CB335"/>
      <c r="CC335"/>
      <c r="CD335"/>
      <c r="CE335"/>
      <c r="CH335"/>
    </row>
    <row r="336" spans="2:86">
      <c r="B336" s="7"/>
      <c r="C336"/>
      <c r="D336"/>
      <c r="E336"/>
      <c r="F336"/>
      <c r="G336"/>
      <c r="H336"/>
      <c r="O336" s="7"/>
      <c r="P336"/>
      <c r="Q336"/>
      <c r="R336"/>
      <c r="S336"/>
      <c r="T336"/>
      <c r="W336"/>
      <c r="X336" s="7"/>
      <c r="Y336"/>
      <c r="Z336"/>
      <c r="AA336"/>
      <c r="AB336"/>
      <c r="AC336"/>
      <c r="AF336"/>
      <c r="AG336" s="7"/>
      <c r="AH336"/>
      <c r="AI336"/>
      <c r="AJ336"/>
      <c r="AK336"/>
      <c r="AL336"/>
      <c r="AO336"/>
      <c r="AP336" s="7"/>
      <c r="AQ336"/>
      <c r="AR336"/>
      <c r="AS336"/>
      <c r="AT336"/>
      <c r="AU336"/>
      <c r="AX336"/>
      <c r="AY336" s="7"/>
      <c r="AZ336"/>
      <c r="BA336"/>
      <c r="BB336"/>
      <c r="BC336"/>
      <c r="BD336"/>
      <c r="BG336"/>
      <c r="BH336" s="7"/>
      <c r="BI336"/>
      <c r="BJ336"/>
      <c r="BK336"/>
      <c r="BL336"/>
      <c r="BM336"/>
      <c r="BP336"/>
      <c r="BQ336" s="7"/>
      <c r="BR336"/>
      <c r="BS336"/>
      <c r="BT336"/>
      <c r="BU336"/>
      <c r="BV336"/>
      <c r="BY336"/>
      <c r="BZ336" s="7"/>
      <c r="CA336"/>
      <c r="CB336"/>
      <c r="CC336"/>
      <c r="CD336"/>
      <c r="CE336"/>
      <c r="CH336"/>
    </row>
    <row r="337" spans="2:86">
      <c r="B337" s="7"/>
      <c r="C337"/>
      <c r="D337"/>
      <c r="E337"/>
      <c r="F337"/>
      <c r="G337"/>
      <c r="H337"/>
      <c r="O337" s="7"/>
      <c r="P337"/>
      <c r="Q337"/>
      <c r="R337"/>
      <c r="S337"/>
      <c r="T337"/>
      <c r="W337"/>
      <c r="X337" s="7"/>
      <c r="Y337"/>
      <c r="Z337"/>
      <c r="AA337"/>
      <c r="AB337"/>
      <c r="AC337"/>
      <c r="AF337"/>
      <c r="AG337" s="7"/>
      <c r="AH337"/>
      <c r="AI337"/>
      <c r="AJ337"/>
      <c r="AK337"/>
      <c r="AL337"/>
      <c r="AO337"/>
      <c r="AP337" s="7"/>
      <c r="AQ337"/>
      <c r="AR337"/>
      <c r="AS337"/>
      <c r="AT337"/>
      <c r="AU337"/>
      <c r="AX337"/>
      <c r="AY337" s="7"/>
      <c r="AZ337"/>
      <c r="BA337"/>
      <c r="BB337"/>
      <c r="BC337"/>
      <c r="BD337"/>
      <c r="BG337"/>
      <c r="BH337" s="7"/>
      <c r="BI337"/>
      <c r="BJ337"/>
      <c r="BK337"/>
      <c r="BL337"/>
      <c r="BM337"/>
      <c r="BP337"/>
      <c r="BQ337" s="7"/>
      <c r="BR337"/>
      <c r="BS337"/>
      <c r="BT337"/>
      <c r="BU337"/>
      <c r="BV337"/>
      <c r="BY337"/>
      <c r="BZ337" s="7"/>
      <c r="CA337"/>
      <c r="CB337"/>
      <c r="CC337"/>
      <c r="CD337"/>
      <c r="CE337"/>
      <c r="CH337"/>
    </row>
    <row r="338" spans="2:86">
      <c r="B338" s="7"/>
      <c r="C338"/>
      <c r="D338"/>
      <c r="E338"/>
      <c r="F338"/>
      <c r="G338"/>
      <c r="H338"/>
      <c r="O338" s="7"/>
      <c r="P338"/>
      <c r="Q338"/>
      <c r="R338"/>
      <c r="S338"/>
      <c r="T338"/>
      <c r="W338"/>
      <c r="X338" s="7"/>
      <c r="Y338"/>
      <c r="Z338"/>
      <c r="AA338"/>
      <c r="AB338"/>
      <c r="AC338"/>
      <c r="AF338"/>
      <c r="AG338" s="7"/>
      <c r="AH338"/>
      <c r="AI338"/>
      <c r="AJ338"/>
      <c r="AK338"/>
      <c r="AL338"/>
      <c r="AO338"/>
      <c r="AP338" s="7"/>
      <c r="AQ338"/>
      <c r="AR338"/>
      <c r="AS338"/>
      <c r="AT338"/>
      <c r="AU338"/>
      <c r="AX338"/>
      <c r="AY338" s="7"/>
      <c r="AZ338"/>
      <c r="BA338"/>
      <c r="BB338"/>
      <c r="BC338"/>
      <c r="BD338"/>
      <c r="BG338"/>
      <c r="BH338" s="7"/>
      <c r="BI338"/>
      <c r="BJ338"/>
      <c r="BK338"/>
      <c r="BL338"/>
      <c r="BM338"/>
      <c r="BP338"/>
      <c r="BQ338" s="7"/>
      <c r="BR338"/>
      <c r="BS338"/>
      <c r="BT338"/>
      <c r="BU338"/>
      <c r="BV338"/>
      <c r="BY338"/>
      <c r="BZ338" s="7"/>
      <c r="CA338"/>
      <c r="CB338"/>
      <c r="CC338"/>
      <c r="CD338"/>
      <c r="CE338"/>
      <c r="CH338"/>
    </row>
    <row r="339" spans="2:86">
      <c r="B339" s="7"/>
      <c r="C339"/>
      <c r="D339"/>
      <c r="E339"/>
      <c r="F339"/>
      <c r="G339"/>
      <c r="H339"/>
      <c r="O339" s="7"/>
      <c r="P339"/>
      <c r="Q339"/>
      <c r="R339"/>
      <c r="S339"/>
      <c r="T339"/>
      <c r="W339"/>
      <c r="X339" s="7"/>
      <c r="Y339"/>
      <c r="Z339"/>
      <c r="AA339"/>
      <c r="AB339"/>
      <c r="AC339"/>
      <c r="AF339"/>
      <c r="AG339" s="7"/>
      <c r="AH339"/>
      <c r="AI339"/>
      <c r="AJ339"/>
      <c r="AK339"/>
      <c r="AL339"/>
      <c r="AO339"/>
      <c r="AP339" s="7"/>
      <c r="AQ339"/>
      <c r="AR339"/>
      <c r="AS339"/>
      <c r="AT339"/>
      <c r="AU339"/>
      <c r="AX339"/>
      <c r="AY339" s="7"/>
      <c r="AZ339"/>
      <c r="BA339"/>
      <c r="BB339"/>
      <c r="BC339"/>
      <c r="BD339"/>
      <c r="BG339"/>
      <c r="BH339" s="7"/>
      <c r="BI339"/>
      <c r="BJ339"/>
      <c r="BK339"/>
      <c r="BL339"/>
      <c r="BM339"/>
      <c r="BP339"/>
      <c r="BQ339" s="7"/>
      <c r="BR339"/>
      <c r="BS339"/>
      <c r="BT339"/>
      <c r="BU339"/>
      <c r="BV339"/>
      <c r="BY339"/>
      <c r="BZ339" s="7"/>
      <c r="CA339"/>
      <c r="CB339"/>
      <c r="CC339"/>
      <c r="CD339"/>
      <c r="CE339"/>
      <c r="CH339"/>
    </row>
    <row r="340" spans="2:86">
      <c r="B340" s="7"/>
      <c r="C340"/>
      <c r="D340"/>
      <c r="E340"/>
      <c r="F340"/>
      <c r="G340"/>
      <c r="H340"/>
      <c r="O340" s="7"/>
      <c r="P340"/>
      <c r="Q340"/>
      <c r="R340"/>
      <c r="S340"/>
      <c r="T340"/>
      <c r="W340"/>
      <c r="X340" s="7"/>
      <c r="Y340"/>
      <c r="Z340"/>
      <c r="AA340"/>
      <c r="AB340"/>
      <c r="AC340"/>
      <c r="AF340"/>
      <c r="AG340" s="7"/>
      <c r="AH340"/>
      <c r="AI340"/>
      <c r="AJ340"/>
      <c r="AK340"/>
      <c r="AL340"/>
      <c r="AO340"/>
      <c r="AP340" s="7"/>
      <c r="AQ340"/>
      <c r="AR340"/>
      <c r="AS340"/>
      <c r="AT340"/>
      <c r="AU340"/>
      <c r="AX340"/>
      <c r="AY340" s="7"/>
      <c r="AZ340"/>
      <c r="BA340"/>
      <c r="BB340"/>
      <c r="BC340"/>
      <c r="BD340"/>
      <c r="BG340"/>
      <c r="BH340" s="7"/>
      <c r="BI340"/>
      <c r="BJ340"/>
      <c r="BK340"/>
      <c r="BL340"/>
      <c r="BM340"/>
      <c r="BP340"/>
      <c r="BQ340" s="7"/>
      <c r="BR340"/>
      <c r="BS340"/>
      <c r="BT340"/>
      <c r="BU340"/>
      <c r="BV340"/>
      <c r="BY340"/>
      <c r="BZ340" s="7"/>
      <c r="CA340"/>
      <c r="CB340"/>
      <c r="CC340"/>
      <c r="CD340"/>
      <c r="CE340"/>
      <c r="CH340"/>
    </row>
    <row r="341" spans="2:86">
      <c r="B341" s="7"/>
      <c r="C341"/>
      <c r="D341"/>
      <c r="E341"/>
      <c r="F341"/>
      <c r="G341"/>
      <c r="H341"/>
      <c r="O341" s="7"/>
      <c r="P341"/>
      <c r="Q341"/>
      <c r="R341"/>
      <c r="S341"/>
      <c r="T341"/>
      <c r="W341"/>
      <c r="X341" s="7"/>
      <c r="Y341"/>
      <c r="Z341"/>
      <c r="AA341"/>
      <c r="AB341"/>
      <c r="AC341"/>
      <c r="AF341"/>
      <c r="AG341" s="7"/>
      <c r="AH341"/>
      <c r="AI341"/>
      <c r="AJ341"/>
      <c r="AK341"/>
      <c r="AL341"/>
      <c r="AO341"/>
      <c r="AP341" s="7"/>
      <c r="AQ341"/>
      <c r="AR341"/>
      <c r="AS341"/>
      <c r="AT341"/>
      <c r="AU341"/>
      <c r="AX341"/>
      <c r="AY341" s="7"/>
      <c r="AZ341"/>
      <c r="BA341"/>
      <c r="BB341"/>
      <c r="BC341"/>
      <c r="BD341"/>
      <c r="BG341"/>
      <c r="BH341" s="7"/>
      <c r="BI341"/>
      <c r="BJ341"/>
      <c r="BK341"/>
      <c r="BL341"/>
      <c r="BM341"/>
      <c r="BP341"/>
      <c r="BQ341" s="7"/>
      <c r="BR341"/>
      <c r="BS341"/>
      <c r="BT341"/>
      <c r="BU341"/>
      <c r="BV341"/>
      <c r="BY341"/>
      <c r="BZ341" s="7"/>
      <c r="CA341"/>
      <c r="CB341"/>
      <c r="CC341"/>
      <c r="CD341"/>
      <c r="CE341"/>
      <c r="CH341"/>
    </row>
    <row r="342" spans="2:86">
      <c r="B342" s="7"/>
      <c r="C342"/>
      <c r="D342"/>
      <c r="E342"/>
      <c r="F342"/>
      <c r="G342"/>
      <c r="H342"/>
      <c r="O342" s="7"/>
      <c r="P342"/>
      <c r="Q342"/>
      <c r="R342"/>
      <c r="S342"/>
      <c r="T342"/>
      <c r="W342"/>
      <c r="X342" s="7"/>
      <c r="Y342"/>
      <c r="Z342"/>
      <c r="AA342"/>
      <c r="AB342"/>
      <c r="AC342"/>
      <c r="AF342"/>
      <c r="AG342" s="7"/>
      <c r="AH342"/>
      <c r="AI342"/>
      <c r="AJ342"/>
      <c r="AK342"/>
      <c r="AL342"/>
      <c r="AO342"/>
      <c r="AP342" s="7"/>
      <c r="AQ342"/>
      <c r="AR342"/>
      <c r="AS342"/>
      <c r="AT342"/>
      <c r="AU342"/>
      <c r="AX342"/>
      <c r="AY342" s="7"/>
      <c r="AZ342"/>
      <c r="BA342"/>
      <c r="BB342"/>
      <c r="BC342"/>
      <c r="BD342"/>
      <c r="BG342"/>
      <c r="BH342" s="7"/>
      <c r="BI342"/>
      <c r="BJ342"/>
      <c r="BK342"/>
      <c r="BL342"/>
      <c r="BM342"/>
      <c r="BP342"/>
      <c r="BQ342" s="7"/>
      <c r="BR342"/>
      <c r="BS342"/>
      <c r="BT342"/>
      <c r="BU342"/>
      <c r="BV342"/>
      <c r="BY342"/>
      <c r="BZ342" s="7"/>
      <c r="CA342"/>
      <c r="CB342"/>
      <c r="CC342"/>
      <c r="CD342"/>
      <c r="CE342"/>
      <c r="CH342"/>
    </row>
    <row r="343" spans="2:86">
      <c r="B343" s="7"/>
      <c r="C343"/>
      <c r="D343"/>
      <c r="E343"/>
      <c r="F343"/>
      <c r="G343"/>
      <c r="H343"/>
      <c r="O343" s="7"/>
      <c r="P343"/>
      <c r="Q343"/>
      <c r="R343"/>
      <c r="S343"/>
      <c r="T343"/>
      <c r="W343"/>
      <c r="X343" s="7"/>
      <c r="Y343"/>
      <c r="Z343"/>
      <c r="AA343"/>
      <c r="AB343"/>
      <c r="AC343"/>
      <c r="AF343"/>
      <c r="AG343" s="7"/>
      <c r="AH343"/>
      <c r="AI343"/>
      <c r="AJ343"/>
      <c r="AK343"/>
      <c r="AL343"/>
      <c r="AO343"/>
      <c r="AP343" s="7"/>
      <c r="AQ343"/>
      <c r="AR343"/>
      <c r="AS343"/>
      <c r="AT343"/>
      <c r="AU343"/>
      <c r="AX343"/>
      <c r="AY343" s="7"/>
      <c r="AZ343"/>
      <c r="BA343"/>
      <c r="BB343"/>
      <c r="BC343"/>
      <c r="BD343"/>
      <c r="BG343"/>
      <c r="BH343" s="7"/>
      <c r="BI343"/>
      <c r="BJ343"/>
      <c r="BK343"/>
      <c r="BL343"/>
      <c r="BM343"/>
      <c r="BP343"/>
      <c r="BQ343" s="7"/>
      <c r="BR343"/>
      <c r="BS343"/>
      <c r="BT343"/>
      <c r="BU343"/>
      <c r="BV343"/>
      <c r="BY343"/>
      <c r="BZ343" s="7"/>
      <c r="CA343"/>
      <c r="CB343"/>
      <c r="CC343"/>
      <c r="CD343"/>
      <c r="CE343"/>
      <c r="CH343"/>
    </row>
    <row r="344" spans="2:86">
      <c r="B344" s="7"/>
      <c r="C344"/>
      <c r="D344"/>
      <c r="E344"/>
      <c r="F344"/>
      <c r="G344"/>
      <c r="H344"/>
      <c r="O344" s="7"/>
      <c r="P344"/>
      <c r="Q344"/>
      <c r="R344"/>
      <c r="S344"/>
      <c r="T344"/>
      <c r="W344"/>
      <c r="X344" s="7"/>
      <c r="Y344"/>
      <c r="Z344"/>
      <c r="AA344"/>
      <c r="AB344"/>
      <c r="AC344"/>
      <c r="AF344"/>
      <c r="AG344" s="7"/>
      <c r="AH344"/>
      <c r="AI344"/>
      <c r="AJ344"/>
      <c r="AK344"/>
      <c r="AL344"/>
      <c r="AO344"/>
      <c r="AP344" s="7"/>
      <c r="AQ344"/>
      <c r="AR344"/>
      <c r="AS344"/>
      <c r="AT344"/>
      <c r="AU344"/>
      <c r="AX344"/>
      <c r="AY344" s="7"/>
      <c r="AZ344"/>
      <c r="BA344"/>
      <c r="BB344"/>
      <c r="BC344"/>
      <c r="BD344"/>
      <c r="BG344"/>
      <c r="BH344" s="7"/>
      <c r="BI344"/>
      <c r="BJ344"/>
      <c r="BK344"/>
      <c r="BL344"/>
      <c r="BM344"/>
      <c r="BP344"/>
      <c r="BQ344" s="7"/>
      <c r="BR344"/>
      <c r="BS344"/>
      <c r="BT344"/>
      <c r="BU344"/>
      <c r="BV344"/>
      <c r="BY344"/>
      <c r="BZ344" s="7"/>
      <c r="CA344"/>
      <c r="CB344"/>
      <c r="CC344"/>
      <c r="CD344"/>
      <c r="CE344"/>
      <c r="CH344"/>
    </row>
    <row r="345" spans="2:86">
      <c r="B345" s="7"/>
      <c r="C345"/>
      <c r="D345"/>
      <c r="E345"/>
      <c r="F345"/>
      <c r="G345"/>
      <c r="H345"/>
      <c r="O345" s="7"/>
      <c r="P345"/>
      <c r="Q345"/>
      <c r="R345"/>
      <c r="S345"/>
      <c r="T345"/>
      <c r="W345"/>
      <c r="X345" s="7"/>
      <c r="Y345"/>
      <c r="Z345"/>
      <c r="AA345"/>
      <c r="AB345"/>
      <c r="AC345"/>
      <c r="AF345"/>
      <c r="AG345" s="7"/>
      <c r="AH345"/>
      <c r="AI345"/>
      <c r="AJ345"/>
      <c r="AK345"/>
      <c r="AL345"/>
      <c r="AO345"/>
      <c r="AP345" s="7"/>
      <c r="AQ345"/>
      <c r="AR345"/>
      <c r="AS345"/>
      <c r="AT345"/>
      <c r="AU345"/>
      <c r="AX345"/>
      <c r="AY345" s="7"/>
      <c r="AZ345"/>
      <c r="BA345"/>
      <c r="BB345"/>
      <c r="BC345"/>
      <c r="BD345"/>
      <c r="BG345"/>
      <c r="BH345" s="7"/>
      <c r="BI345"/>
      <c r="BJ345"/>
      <c r="BK345"/>
      <c r="BL345"/>
      <c r="BM345"/>
      <c r="BP345"/>
      <c r="BQ345" s="7"/>
      <c r="BR345"/>
      <c r="BS345"/>
      <c r="BT345"/>
      <c r="BU345"/>
      <c r="BV345"/>
      <c r="BY345"/>
      <c r="BZ345" s="7"/>
      <c r="CA345"/>
      <c r="CB345"/>
      <c r="CC345"/>
      <c r="CD345"/>
      <c r="CE345"/>
      <c r="CH345"/>
    </row>
    <row r="346" spans="2:86">
      <c r="B346" s="7"/>
      <c r="C346"/>
      <c r="D346"/>
      <c r="E346"/>
      <c r="F346"/>
      <c r="G346"/>
      <c r="H346"/>
      <c r="O346" s="7"/>
      <c r="P346"/>
      <c r="Q346"/>
      <c r="R346"/>
      <c r="S346"/>
      <c r="T346"/>
      <c r="W346"/>
      <c r="X346" s="7"/>
      <c r="Y346"/>
      <c r="Z346"/>
      <c r="AA346"/>
      <c r="AB346"/>
      <c r="AC346"/>
      <c r="AF346"/>
      <c r="AG346" s="7"/>
      <c r="AH346"/>
      <c r="AI346"/>
      <c r="AJ346"/>
      <c r="AK346"/>
      <c r="AL346"/>
      <c r="AO346"/>
      <c r="AP346" s="7"/>
      <c r="AQ346"/>
      <c r="AR346"/>
      <c r="AS346"/>
      <c r="AT346"/>
      <c r="AU346"/>
      <c r="AX346"/>
      <c r="AY346" s="7"/>
      <c r="AZ346"/>
      <c r="BA346"/>
      <c r="BB346"/>
      <c r="BC346"/>
      <c r="BD346"/>
      <c r="BG346"/>
      <c r="BH346" s="7"/>
      <c r="BI346"/>
      <c r="BJ346"/>
      <c r="BK346"/>
      <c r="BL346"/>
      <c r="BM346"/>
      <c r="BP346"/>
      <c r="BQ346" s="7"/>
      <c r="BR346"/>
      <c r="BS346"/>
      <c r="BT346"/>
      <c r="BU346"/>
      <c r="BV346"/>
      <c r="BY346"/>
      <c r="BZ346" s="7"/>
      <c r="CA346"/>
      <c r="CB346"/>
      <c r="CC346"/>
      <c r="CD346"/>
      <c r="CE346"/>
      <c r="CH346"/>
    </row>
    <row r="347" spans="2:86">
      <c r="B347" s="7"/>
      <c r="C347"/>
      <c r="D347"/>
      <c r="E347"/>
      <c r="F347"/>
      <c r="G347"/>
      <c r="H347"/>
      <c r="O347" s="7"/>
      <c r="P347"/>
      <c r="Q347"/>
      <c r="R347"/>
      <c r="S347"/>
      <c r="T347"/>
      <c r="W347"/>
      <c r="X347" s="7"/>
      <c r="Y347"/>
      <c r="Z347"/>
      <c r="AA347"/>
      <c r="AB347"/>
      <c r="AC347"/>
      <c r="AF347"/>
      <c r="AG347" s="7"/>
      <c r="AH347"/>
      <c r="AI347"/>
      <c r="AJ347"/>
      <c r="AK347"/>
      <c r="AL347"/>
      <c r="AO347"/>
      <c r="AP347" s="7"/>
      <c r="AQ347"/>
      <c r="AR347"/>
      <c r="AS347"/>
      <c r="AT347"/>
      <c r="AU347"/>
      <c r="AX347"/>
      <c r="AY347" s="7"/>
      <c r="AZ347"/>
      <c r="BA347"/>
      <c r="BB347"/>
      <c r="BC347"/>
      <c r="BD347"/>
      <c r="BG347"/>
      <c r="BH347" s="7"/>
      <c r="BI347"/>
      <c r="BJ347"/>
      <c r="BK347"/>
      <c r="BL347"/>
      <c r="BM347"/>
      <c r="BP347"/>
      <c r="BQ347" s="7"/>
      <c r="BR347"/>
      <c r="BS347"/>
      <c r="BT347"/>
      <c r="BU347"/>
      <c r="BV347"/>
      <c r="BY347"/>
      <c r="BZ347" s="7"/>
      <c r="CA347"/>
      <c r="CB347"/>
      <c r="CC347"/>
      <c r="CD347"/>
      <c r="CE347"/>
      <c r="CH347"/>
    </row>
    <row r="348" spans="2:86">
      <c r="B348" s="7"/>
      <c r="C348"/>
      <c r="D348"/>
      <c r="E348"/>
      <c r="F348"/>
      <c r="G348"/>
      <c r="H348"/>
      <c r="O348" s="7"/>
      <c r="P348"/>
      <c r="Q348"/>
      <c r="R348"/>
      <c r="S348"/>
      <c r="T348"/>
      <c r="W348"/>
      <c r="X348" s="7"/>
      <c r="Y348"/>
      <c r="Z348"/>
      <c r="AA348"/>
      <c r="AB348"/>
      <c r="AC348"/>
      <c r="AF348"/>
      <c r="AG348" s="7"/>
      <c r="AH348"/>
      <c r="AI348"/>
      <c r="AJ348"/>
      <c r="AK348"/>
      <c r="AL348"/>
      <c r="AO348"/>
      <c r="AP348" s="7"/>
      <c r="AQ348"/>
      <c r="AR348"/>
      <c r="AS348"/>
      <c r="AT348"/>
      <c r="AU348"/>
      <c r="AX348"/>
      <c r="AY348" s="7"/>
      <c r="AZ348"/>
      <c r="BA348"/>
      <c r="BB348"/>
      <c r="BC348"/>
      <c r="BD348"/>
      <c r="BG348"/>
      <c r="BH348" s="7"/>
      <c r="BI348"/>
      <c r="BJ348"/>
      <c r="BK348"/>
      <c r="BL348"/>
      <c r="BM348"/>
      <c r="BP348"/>
      <c r="BQ348" s="7"/>
      <c r="BR348"/>
      <c r="BS348"/>
      <c r="BT348"/>
      <c r="BU348"/>
      <c r="BV348"/>
      <c r="BY348"/>
      <c r="BZ348" s="7"/>
      <c r="CA348"/>
      <c r="CB348"/>
      <c r="CC348"/>
      <c r="CD348"/>
      <c r="CE348"/>
      <c r="CH348"/>
    </row>
    <row r="349" spans="2:86">
      <c r="B349" s="7"/>
      <c r="C349"/>
      <c r="D349"/>
      <c r="E349"/>
      <c r="F349"/>
      <c r="G349"/>
      <c r="H349"/>
      <c r="O349" s="7"/>
      <c r="P349"/>
      <c r="Q349"/>
      <c r="R349"/>
      <c r="S349"/>
      <c r="T349"/>
      <c r="W349"/>
      <c r="X349" s="7"/>
      <c r="Y349"/>
      <c r="Z349"/>
      <c r="AA349"/>
      <c r="AB349"/>
      <c r="AC349"/>
      <c r="AF349"/>
      <c r="AG349" s="7"/>
      <c r="AH349"/>
      <c r="AI349"/>
      <c r="AJ349"/>
      <c r="AK349"/>
      <c r="AL349"/>
      <c r="AO349"/>
      <c r="AP349" s="7"/>
      <c r="AQ349"/>
      <c r="AR349"/>
      <c r="AS349"/>
      <c r="AT349"/>
      <c r="AU349"/>
      <c r="AX349"/>
      <c r="AY349" s="7"/>
      <c r="AZ349"/>
      <c r="BA349"/>
      <c r="BB349"/>
      <c r="BC349"/>
      <c r="BD349"/>
      <c r="BG349"/>
      <c r="BH349" s="7"/>
      <c r="BI349"/>
      <c r="BJ349"/>
      <c r="BK349"/>
      <c r="BL349"/>
      <c r="BM349"/>
      <c r="BP349"/>
      <c r="BQ349" s="7"/>
      <c r="BR349"/>
      <c r="BS349"/>
      <c r="BT349"/>
      <c r="BU349"/>
      <c r="BV349"/>
      <c r="BY349"/>
      <c r="BZ349" s="7"/>
      <c r="CA349"/>
      <c r="CB349"/>
      <c r="CC349"/>
      <c r="CD349"/>
      <c r="CE349"/>
      <c r="CH349"/>
    </row>
    <row r="350" spans="2:86">
      <c r="B350" s="7"/>
      <c r="C350"/>
      <c r="D350"/>
      <c r="E350"/>
      <c r="F350"/>
      <c r="G350"/>
      <c r="H350"/>
      <c r="O350" s="7"/>
      <c r="P350"/>
      <c r="Q350"/>
      <c r="R350"/>
      <c r="S350"/>
      <c r="T350"/>
      <c r="W350"/>
      <c r="X350" s="7"/>
      <c r="Y350"/>
      <c r="Z350"/>
      <c r="AA350"/>
      <c r="AB350"/>
      <c r="AC350"/>
      <c r="AF350"/>
      <c r="AG350" s="7"/>
      <c r="AH350"/>
      <c r="AI350"/>
      <c r="AJ350"/>
      <c r="AK350"/>
      <c r="AL350"/>
      <c r="AO350"/>
      <c r="AP350" s="7"/>
      <c r="AQ350"/>
      <c r="AR350"/>
      <c r="AS350"/>
      <c r="AT350"/>
      <c r="AU350"/>
      <c r="AX350"/>
      <c r="AY350" s="7"/>
      <c r="AZ350"/>
      <c r="BA350"/>
      <c r="BB350"/>
      <c r="BC350"/>
      <c r="BD350"/>
      <c r="BG350"/>
      <c r="BH350" s="7"/>
      <c r="BI350"/>
      <c r="BJ350"/>
      <c r="BK350"/>
      <c r="BL350"/>
      <c r="BM350"/>
      <c r="BP350"/>
      <c r="BQ350" s="7"/>
      <c r="BR350"/>
      <c r="BS350"/>
      <c r="BT350"/>
      <c r="BU350"/>
      <c r="BV350"/>
      <c r="BY350"/>
      <c r="BZ350" s="7"/>
      <c r="CA350"/>
      <c r="CB350"/>
      <c r="CC350"/>
      <c r="CD350"/>
      <c r="CE350"/>
      <c r="CH350"/>
    </row>
    <row r="351" spans="2:86">
      <c r="B351" s="7"/>
      <c r="C351"/>
      <c r="D351"/>
      <c r="E351"/>
      <c r="F351"/>
      <c r="G351"/>
      <c r="H351"/>
      <c r="O351" s="7"/>
      <c r="P351"/>
      <c r="Q351"/>
      <c r="R351"/>
      <c r="S351"/>
      <c r="T351"/>
      <c r="W351"/>
      <c r="X351" s="7"/>
      <c r="Y351"/>
      <c r="Z351"/>
      <c r="AA351"/>
      <c r="AB351"/>
      <c r="AC351"/>
      <c r="AF351"/>
      <c r="AG351" s="7"/>
      <c r="AH351"/>
      <c r="AI351"/>
      <c r="AJ351"/>
      <c r="AK351"/>
      <c r="AL351"/>
      <c r="AO351"/>
      <c r="AP351" s="7"/>
      <c r="AQ351"/>
      <c r="AR351"/>
      <c r="AS351"/>
      <c r="AT351"/>
      <c r="AU351"/>
      <c r="AX351"/>
      <c r="AY351" s="7"/>
      <c r="AZ351"/>
      <c r="BA351"/>
      <c r="BB351"/>
      <c r="BC351"/>
      <c r="BD351"/>
      <c r="BG351"/>
      <c r="BH351" s="7"/>
      <c r="BI351"/>
      <c r="BJ351"/>
      <c r="BK351"/>
      <c r="BL351"/>
      <c r="BM351"/>
      <c r="BP351"/>
      <c r="BQ351" s="7"/>
      <c r="BR351"/>
      <c r="BS351"/>
      <c r="BT351"/>
      <c r="BU351"/>
      <c r="BV351"/>
      <c r="BY351"/>
      <c r="BZ351" s="7"/>
      <c r="CA351"/>
      <c r="CB351"/>
      <c r="CC351"/>
      <c r="CD351"/>
      <c r="CE351"/>
      <c r="CH351"/>
    </row>
    <row r="352" spans="2:86">
      <c r="B352" s="7"/>
      <c r="C352"/>
      <c r="D352"/>
      <c r="E352"/>
      <c r="F352"/>
      <c r="G352"/>
      <c r="H352"/>
      <c r="O352" s="7"/>
      <c r="P352"/>
      <c r="Q352"/>
      <c r="R352"/>
      <c r="S352"/>
      <c r="T352"/>
      <c r="W352"/>
      <c r="X352" s="7"/>
      <c r="Y352"/>
      <c r="Z352"/>
      <c r="AA352"/>
      <c r="AB352"/>
      <c r="AC352"/>
      <c r="AF352"/>
      <c r="AG352" s="7"/>
      <c r="AH352"/>
      <c r="AI352"/>
      <c r="AJ352"/>
      <c r="AK352"/>
      <c r="AL352"/>
      <c r="AO352"/>
      <c r="AP352" s="7"/>
      <c r="AQ352"/>
      <c r="AR352"/>
      <c r="AS352"/>
      <c r="AT352"/>
      <c r="AU352"/>
      <c r="AX352"/>
      <c r="AY352" s="7"/>
      <c r="AZ352"/>
      <c r="BA352"/>
      <c r="BB352"/>
      <c r="BC352"/>
      <c r="BD352"/>
      <c r="BG352"/>
      <c r="BH352" s="7"/>
      <c r="BI352"/>
      <c r="BJ352"/>
      <c r="BK352"/>
      <c r="BL352"/>
      <c r="BM352"/>
      <c r="BP352"/>
      <c r="BQ352" s="7"/>
      <c r="BR352"/>
      <c r="BS352"/>
      <c r="BT352"/>
      <c r="BU352"/>
      <c r="BV352"/>
      <c r="BY352"/>
      <c r="BZ352" s="7"/>
      <c r="CA352"/>
      <c r="CB352"/>
      <c r="CC352"/>
      <c r="CD352"/>
      <c r="CE352"/>
      <c r="CH352"/>
    </row>
    <row r="353" spans="2:86">
      <c r="B353" s="7"/>
      <c r="C353"/>
      <c r="D353"/>
      <c r="E353"/>
      <c r="F353"/>
      <c r="G353"/>
      <c r="H353"/>
      <c r="O353" s="7"/>
      <c r="P353"/>
      <c r="Q353"/>
      <c r="R353"/>
      <c r="S353"/>
      <c r="T353"/>
      <c r="W353"/>
      <c r="X353" s="7"/>
      <c r="Y353"/>
      <c r="Z353"/>
      <c r="AA353"/>
      <c r="AB353"/>
      <c r="AC353"/>
      <c r="AF353"/>
      <c r="AG353" s="7"/>
      <c r="AH353"/>
      <c r="AI353"/>
      <c r="AJ353"/>
      <c r="AK353"/>
      <c r="AL353"/>
      <c r="AO353"/>
      <c r="AP353" s="7"/>
      <c r="AQ353"/>
      <c r="AR353"/>
      <c r="AS353"/>
      <c r="AT353"/>
      <c r="AU353"/>
      <c r="AX353"/>
      <c r="AY353" s="7"/>
      <c r="AZ353"/>
      <c r="BA353"/>
      <c r="BB353"/>
      <c r="BC353"/>
      <c r="BD353"/>
      <c r="BG353"/>
      <c r="BH353" s="7"/>
      <c r="BI353"/>
      <c r="BJ353"/>
      <c r="BK353"/>
      <c r="BL353"/>
      <c r="BM353"/>
      <c r="BP353"/>
      <c r="BQ353" s="7"/>
      <c r="BR353"/>
      <c r="BS353"/>
      <c r="BT353"/>
      <c r="BU353"/>
      <c r="BV353"/>
      <c r="BY353"/>
      <c r="BZ353" s="7"/>
      <c r="CA353"/>
      <c r="CB353"/>
      <c r="CC353"/>
      <c r="CD353"/>
      <c r="CE353"/>
      <c r="CH353"/>
    </row>
    <row r="354" spans="2:86">
      <c r="B354" s="7"/>
      <c r="C354"/>
      <c r="D354"/>
      <c r="E354"/>
      <c r="F354"/>
      <c r="G354"/>
      <c r="H354"/>
      <c r="O354" s="7"/>
      <c r="P354"/>
      <c r="Q354"/>
      <c r="R354"/>
      <c r="S354"/>
      <c r="T354"/>
      <c r="W354"/>
      <c r="X354" s="7"/>
      <c r="Y354"/>
      <c r="Z354"/>
      <c r="AA354"/>
      <c r="AB354"/>
      <c r="AC354"/>
      <c r="AF354"/>
      <c r="AG354" s="7"/>
      <c r="AH354"/>
      <c r="AI354"/>
      <c r="AJ354"/>
      <c r="AK354"/>
      <c r="AL354"/>
      <c r="AO354"/>
      <c r="AP354" s="7"/>
      <c r="AQ354"/>
      <c r="AR354"/>
      <c r="AS354"/>
      <c r="AT354"/>
      <c r="AU354"/>
      <c r="AX354"/>
      <c r="AY354" s="7"/>
      <c r="AZ354"/>
      <c r="BA354"/>
      <c r="BB354"/>
      <c r="BC354"/>
      <c r="BD354"/>
      <c r="BG354"/>
      <c r="BH354" s="7"/>
      <c r="BI354"/>
      <c r="BJ354"/>
      <c r="BK354"/>
      <c r="BL354"/>
      <c r="BM354"/>
      <c r="BP354"/>
      <c r="BQ354" s="7"/>
      <c r="BR354"/>
      <c r="BS354"/>
      <c r="BT354"/>
      <c r="BU354"/>
      <c r="BV354"/>
      <c r="BY354"/>
      <c r="BZ354" s="7"/>
      <c r="CA354"/>
      <c r="CB354"/>
      <c r="CC354"/>
      <c r="CD354"/>
      <c r="CE354"/>
      <c r="CH354"/>
    </row>
    <row r="355" spans="2:86">
      <c r="B355" s="7"/>
      <c r="C355"/>
      <c r="D355"/>
      <c r="E355"/>
      <c r="F355"/>
      <c r="G355"/>
      <c r="H355"/>
      <c r="O355" s="7"/>
      <c r="P355"/>
      <c r="Q355"/>
      <c r="R355"/>
      <c r="S355"/>
      <c r="T355"/>
      <c r="W355"/>
      <c r="X355" s="7"/>
      <c r="Y355"/>
      <c r="Z355"/>
      <c r="AA355"/>
      <c r="AB355"/>
      <c r="AC355"/>
      <c r="AF355"/>
      <c r="AG355" s="7"/>
      <c r="AH355"/>
      <c r="AI355"/>
      <c r="AJ355"/>
      <c r="AK355"/>
      <c r="AL355"/>
      <c r="AO355"/>
      <c r="AP355" s="7"/>
      <c r="AQ355"/>
      <c r="AR355"/>
      <c r="AS355"/>
      <c r="AT355"/>
      <c r="AU355"/>
      <c r="AX355"/>
      <c r="AY355" s="7"/>
      <c r="AZ355"/>
      <c r="BA355"/>
      <c r="BB355"/>
      <c r="BC355"/>
      <c r="BD355"/>
      <c r="BG355"/>
      <c r="BH355" s="7"/>
      <c r="BI355"/>
      <c r="BJ355"/>
      <c r="BK355"/>
      <c r="BL355"/>
      <c r="BM355"/>
      <c r="BP355"/>
      <c r="BQ355" s="7"/>
      <c r="BR355"/>
      <c r="BS355"/>
      <c r="BT355"/>
      <c r="BU355"/>
      <c r="BV355"/>
      <c r="BY355"/>
      <c r="BZ355" s="7"/>
      <c r="CA355"/>
      <c r="CB355"/>
      <c r="CC355"/>
      <c r="CD355"/>
      <c r="CE355"/>
      <c r="CH355"/>
    </row>
    <row r="356" spans="2:86">
      <c r="B356" s="7"/>
      <c r="C356"/>
      <c r="D356"/>
      <c r="E356"/>
      <c r="F356"/>
      <c r="G356"/>
      <c r="H356"/>
      <c r="O356" s="7"/>
      <c r="P356"/>
      <c r="Q356"/>
      <c r="R356"/>
      <c r="S356"/>
      <c r="T356"/>
      <c r="W356"/>
      <c r="X356" s="7"/>
      <c r="Y356"/>
      <c r="Z356"/>
      <c r="AA356"/>
      <c r="AB356"/>
      <c r="AC356"/>
      <c r="AF356"/>
      <c r="AG356" s="7"/>
      <c r="AH356"/>
      <c r="AI356"/>
      <c r="AJ356"/>
      <c r="AK356"/>
      <c r="AL356"/>
      <c r="AO356"/>
      <c r="AP356" s="7"/>
      <c r="AQ356"/>
      <c r="AR356"/>
      <c r="AS356"/>
      <c r="AT356"/>
      <c r="AU356"/>
      <c r="AX356"/>
      <c r="AY356" s="7"/>
      <c r="AZ356"/>
      <c r="BA356"/>
      <c r="BB356"/>
      <c r="BC356"/>
      <c r="BD356"/>
      <c r="BG356"/>
      <c r="BH356" s="7"/>
      <c r="BI356"/>
      <c r="BJ356"/>
      <c r="BK356"/>
      <c r="BL356"/>
      <c r="BM356"/>
      <c r="BP356"/>
      <c r="BQ356" s="7"/>
      <c r="BR356"/>
      <c r="BS356"/>
      <c r="BT356"/>
      <c r="BU356"/>
      <c r="BV356"/>
      <c r="BY356"/>
      <c r="BZ356" s="7"/>
      <c r="CA356"/>
      <c r="CB356"/>
      <c r="CC356"/>
      <c r="CD356"/>
      <c r="CE356"/>
      <c r="CH356"/>
    </row>
    <row r="357" spans="2:86">
      <c r="B357" s="7"/>
      <c r="C357"/>
      <c r="D357"/>
      <c r="E357"/>
      <c r="F357"/>
      <c r="G357"/>
      <c r="H357"/>
      <c r="O357" s="7"/>
      <c r="P357"/>
      <c r="Q357"/>
      <c r="R357"/>
      <c r="S357"/>
      <c r="T357"/>
      <c r="W357"/>
      <c r="X357" s="7"/>
      <c r="Y357"/>
      <c r="Z357"/>
      <c r="AA357"/>
      <c r="AB357"/>
      <c r="AC357"/>
      <c r="AF357"/>
      <c r="AG357" s="7"/>
      <c r="AH357"/>
      <c r="AI357"/>
      <c r="AJ357"/>
      <c r="AK357"/>
      <c r="AL357"/>
      <c r="AO357"/>
      <c r="AP357" s="7"/>
      <c r="AQ357"/>
      <c r="AR357"/>
      <c r="AS357"/>
      <c r="AT357"/>
      <c r="AU357"/>
      <c r="AX357"/>
      <c r="AY357" s="7"/>
      <c r="AZ357"/>
      <c r="BA357"/>
      <c r="BB357"/>
      <c r="BC357"/>
      <c r="BD357"/>
      <c r="BG357"/>
      <c r="BH357" s="7"/>
      <c r="BI357"/>
      <c r="BJ357"/>
      <c r="BK357"/>
      <c r="BL357"/>
      <c r="BM357"/>
      <c r="BP357"/>
      <c r="BQ357" s="7"/>
      <c r="BR357"/>
      <c r="BS357"/>
      <c r="BT357"/>
      <c r="BU357"/>
      <c r="BV357"/>
      <c r="BY357"/>
      <c r="BZ357" s="7"/>
      <c r="CA357"/>
      <c r="CB357"/>
      <c r="CC357"/>
      <c r="CD357"/>
      <c r="CE357"/>
      <c r="CH357"/>
    </row>
    <row r="358" spans="2:86">
      <c r="B358" s="7"/>
      <c r="C358"/>
      <c r="D358"/>
      <c r="E358"/>
      <c r="F358"/>
      <c r="G358"/>
      <c r="H358"/>
      <c r="O358" s="7"/>
      <c r="P358"/>
      <c r="Q358"/>
      <c r="R358"/>
      <c r="S358"/>
      <c r="T358"/>
      <c r="W358"/>
      <c r="X358" s="7"/>
      <c r="Y358"/>
      <c r="Z358"/>
      <c r="AA358"/>
      <c r="AB358"/>
      <c r="AC358"/>
      <c r="AF358"/>
      <c r="AG358" s="7"/>
      <c r="AH358"/>
      <c r="AI358"/>
      <c r="AJ358"/>
      <c r="AK358"/>
      <c r="AL358"/>
      <c r="AO358"/>
      <c r="AP358" s="7"/>
      <c r="AQ358"/>
      <c r="AR358"/>
      <c r="AS358"/>
      <c r="AT358"/>
      <c r="AU358"/>
      <c r="AX358"/>
      <c r="AY358" s="7"/>
      <c r="AZ358"/>
      <c r="BA358"/>
      <c r="BB358"/>
      <c r="BC358"/>
      <c r="BD358"/>
      <c r="BG358"/>
      <c r="BH358" s="7"/>
      <c r="BI358"/>
      <c r="BJ358"/>
      <c r="BK358"/>
      <c r="BL358"/>
      <c r="BM358"/>
      <c r="BP358"/>
      <c r="BQ358" s="7"/>
      <c r="BR358"/>
      <c r="BS358"/>
      <c r="BT358"/>
      <c r="BU358"/>
      <c r="BV358"/>
      <c r="BY358"/>
      <c r="BZ358" s="7"/>
      <c r="CA358"/>
      <c r="CB358"/>
      <c r="CC358"/>
      <c r="CD358"/>
      <c r="CE358"/>
      <c r="CH358"/>
    </row>
    <row r="359" spans="2:86">
      <c r="B359" s="7"/>
      <c r="C359"/>
      <c r="D359"/>
      <c r="E359"/>
      <c r="F359"/>
      <c r="G359"/>
      <c r="H359"/>
      <c r="O359" s="7"/>
      <c r="P359"/>
      <c r="Q359"/>
      <c r="R359"/>
      <c r="S359"/>
      <c r="T359"/>
      <c r="W359"/>
      <c r="X359" s="7"/>
      <c r="Y359"/>
      <c r="Z359"/>
      <c r="AA359"/>
      <c r="AB359"/>
      <c r="AC359"/>
      <c r="AF359"/>
      <c r="AG359" s="7"/>
      <c r="AH359"/>
      <c r="AI359"/>
      <c r="AJ359"/>
      <c r="AK359"/>
      <c r="AL359"/>
      <c r="AO359"/>
      <c r="AP359" s="7"/>
      <c r="AQ359"/>
      <c r="AR359"/>
      <c r="AS359"/>
      <c r="AT359"/>
      <c r="AU359"/>
      <c r="AX359"/>
      <c r="AY359" s="7"/>
      <c r="AZ359"/>
      <c r="BA359"/>
      <c r="BB359"/>
      <c r="BC359"/>
      <c r="BD359"/>
      <c r="BG359"/>
      <c r="BH359" s="7"/>
      <c r="BI359"/>
      <c r="BJ359"/>
      <c r="BK359"/>
      <c r="BL359"/>
      <c r="BM359"/>
      <c r="BP359"/>
      <c r="BQ359" s="7"/>
      <c r="BR359"/>
      <c r="BS359"/>
      <c r="BT359"/>
      <c r="BU359"/>
      <c r="BV359"/>
      <c r="BY359"/>
      <c r="BZ359" s="7"/>
      <c r="CA359"/>
      <c r="CB359"/>
      <c r="CC359"/>
      <c r="CD359"/>
      <c r="CE359"/>
      <c r="CH359"/>
    </row>
    <row r="360" spans="2:86">
      <c r="B360" s="7"/>
      <c r="C360"/>
      <c r="D360"/>
      <c r="E360"/>
      <c r="F360"/>
      <c r="G360"/>
      <c r="H360"/>
      <c r="O360" s="7"/>
      <c r="P360"/>
      <c r="Q360"/>
      <c r="R360"/>
      <c r="S360"/>
      <c r="T360"/>
      <c r="W360"/>
      <c r="X360" s="7"/>
      <c r="Y360"/>
      <c r="Z360"/>
      <c r="AA360"/>
      <c r="AB360"/>
      <c r="AC360"/>
      <c r="AF360"/>
      <c r="AG360" s="7"/>
      <c r="AH360"/>
      <c r="AI360"/>
      <c r="AJ360"/>
      <c r="AK360"/>
      <c r="AL360"/>
      <c r="AO360"/>
      <c r="AP360" s="7"/>
      <c r="AQ360"/>
      <c r="AR360"/>
      <c r="AS360"/>
      <c r="AT360"/>
      <c r="AU360"/>
      <c r="AX360"/>
      <c r="AY360" s="7"/>
      <c r="AZ360"/>
      <c r="BA360"/>
      <c r="BB360"/>
      <c r="BC360"/>
      <c r="BD360"/>
      <c r="BG360"/>
      <c r="BH360" s="7"/>
      <c r="BI360"/>
      <c r="BJ360"/>
      <c r="BK360"/>
      <c r="BL360"/>
      <c r="BM360"/>
      <c r="BP360"/>
      <c r="BQ360" s="7"/>
      <c r="BR360"/>
      <c r="BS360"/>
      <c r="BT360"/>
      <c r="BU360"/>
      <c r="BV360"/>
      <c r="BY360"/>
      <c r="BZ360" s="7"/>
      <c r="CA360"/>
      <c r="CB360"/>
      <c r="CC360"/>
      <c r="CD360"/>
      <c r="CE360"/>
      <c r="CH360"/>
    </row>
    <row r="361" spans="2:86">
      <c r="B361" s="7"/>
      <c r="C361"/>
      <c r="D361"/>
      <c r="E361"/>
      <c r="F361"/>
      <c r="G361"/>
      <c r="H361"/>
      <c r="O361" s="7"/>
      <c r="P361"/>
      <c r="Q361"/>
      <c r="R361"/>
      <c r="S361"/>
      <c r="T361"/>
      <c r="W361"/>
      <c r="X361" s="7"/>
      <c r="Y361"/>
      <c r="Z361"/>
      <c r="AA361"/>
      <c r="AB361"/>
      <c r="AC361"/>
      <c r="AF361"/>
      <c r="AG361" s="7"/>
      <c r="AH361"/>
      <c r="AI361"/>
      <c r="AJ361"/>
      <c r="AK361"/>
      <c r="AL361"/>
      <c r="AO361"/>
      <c r="AP361" s="7"/>
      <c r="AQ361"/>
      <c r="AR361"/>
      <c r="AS361"/>
      <c r="AT361"/>
      <c r="AU361"/>
      <c r="AX361"/>
      <c r="AY361" s="7"/>
      <c r="AZ361"/>
      <c r="BA361"/>
      <c r="BB361"/>
      <c r="BC361"/>
      <c r="BD361"/>
      <c r="BG361"/>
      <c r="BH361" s="7"/>
      <c r="BI361"/>
      <c r="BJ361"/>
      <c r="BK361"/>
      <c r="BL361"/>
      <c r="BM361"/>
      <c r="BP361"/>
      <c r="BQ361" s="7"/>
      <c r="BR361"/>
      <c r="BS361"/>
      <c r="BT361"/>
      <c r="BU361"/>
      <c r="BV361"/>
      <c r="BY361"/>
      <c r="BZ361" s="7"/>
      <c r="CA361"/>
      <c r="CB361"/>
      <c r="CC361"/>
      <c r="CD361"/>
      <c r="CE361"/>
      <c r="CH361"/>
    </row>
    <row r="362" spans="2:86">
      <c r="B362" s="7"/>
      <c r="C362"/>
      <c r="D362"/>
      <c r="E362"/>
      <c r="F362"/>
      <c r="G362"/>
      <c r="H362"/>
      <c r="O362" s="7"/>
      <c r="P362"/>
      <c r="Q362"/>
      <c r="R362"/>
      <c r="S362"/>
      <c r="T362"/>
      <c r="W362"/>
      <c r="X362" s="7"/>
      <c r="Y362"/>
      <c r="Z362"/>
      <c r="AA362"/>
      <c r="AB362"/>
      <c r="AC362"/>
      <c r="AF362"/>
      <c r="AG362" s="7"/>
      <c r="AH362"/>
      <c r="AI362"/>
      <c r="AJ362"/>
      <c r="AK362"/>
      <c r="AL362"/>
      <c r="AO362"/>
      <c r="AP362" s="7"/>
      <c r="AQ362"/>
      <c r="AR362"/>
      <c r="AS362"/>
      <c r="AT362"/>
      <c r="AU362"/>
      <c r="AX362"/>
      <c r="AY362" s="7"/>
      <c r="AZ362"/>
      <c r="BA362"/>
      <c r="BB362"/>
      <c r="BC362"/>
      <c r="BD362"/>
      <c r="BG362"/>
      <c r="BH362" s="7"/>
      <c r="BI362"/>
      <c r="BJ362"/>
      <c r="BK362"/>
      <c r="BL362"/>
      <c r="BM362"/>
      <c r="BP362"/>
      <c r="BQ362" s="7"/>
      <c r="BR362"/>
      <c r="BS362"/>
      <c r="BT362"/>
      <c r="BU362"/>
      <c r="BV362"/>
      <c r="BY362"/>
      <c r="BZ362" s="7"/>
      <c r="CA362"/>
      <c r="CB362"/>
      <c r="CC362"/>
      <c r="CD362"/>
      <c r="CE362"/>
      <c r="CH362"/>
    </row>
    <row r="363" spans="2:86">
      <c r="B363" s="7"/>
      <c r="C363"/>
      <c r="D363"/>
      <c r="E363"/>
      <c r="F363"/>
      <c r="G363"/>
      <c r="H363"/>
      <c r="O363" s="7"/>
      <c r="P363"/>
      <c r="Q363"/>
      <c r="R363"/>
      <c r="S363"/>
      <c r="T363"/>
      <c r="W363"/>
      <c r="X363" s="7"/>
      <c r="Y363"/>
      <c r="Z363"/>
      <c r="AA363"/>
      <c r="AB363"/>
      <c r="AC363"/>
      <c r="AF363"/>
      <c r="AG363" s="7"/>
      <c r="AH363"/>
      <c r="AI363"/>
      <c r="AJ363"/>
      <c r="AK363"/>
      <c r="AL363"/>
      <c r="AO363"/>
      <c r="AP363" s="7"/>
      <c r="AQ363"/>
      <c r="AR363"/>
      <c r="AS363"/>
      <c r="AT363"/>
      <c r="AU363"/>
      <c r="AX363"/>
      <c r="AY363" s="7"/>
      <c r="AZ363"/>
      <c r="BA363"/>
      <c r="BB363"/>
      <c r="BC363"/>
      <c r="BD363"/>
      <c r="BG363"/>
      <c r="BH363" s="7"/>
      <c r="BI363"/>
      <c r="BJ363"/>
      <c r="BK363"/>
      <c r="BL363"/>
      <c r="BM363"/>
      <c r="BP363"/>
      <c r="BQ363" s="7"/>
      <c r="BR363"/>
      <c r="BS363"/>
      <c r="BT363"/>
      <c r="BU363"/>
      <c r="BV363"/>
      <c r="BY363"/>
      <c r="BZ363" s="7"/>
      <c r="CA363"/>
      <c r="CB363"/>
      <c r="CC363"/>
      <c r="CD363"/>
      <c r="CE363"/>
      <c r="CH363"/>
    </row>
    <row r="364" spans="2:86">
      <c r="B364" s="7"/>
      <c r="C364"/>
      <c r="D364"/>
      <c r="E364"/>
      <c r="F364"/>
      <c r="G364"/>
      <c r="H364"/>
      <c r="O364" s="7"/>
      <c r="P364"/>
      <c r="Q364"/>
      <c r="R364"/>
      <c r="S364"/>
      <c r="T364"/>
      <c r="W364"/>
      <c r="X364" s="7"/>
      <c r="Y364"/>
      <c r="Z364"/>
      <c r="AA364"/>
      <c r="AB364"/>
      <c r="AC364"/>
      <c r="AF364"/>
      <c r="AG364" s="7"/>
      <c r="AH364"/>
      <c r="AI364"/>
      <c r="AJ364"/>
      <c r="AK364"/>
      <c r="AL364"/>
      <c r="AO364"/>
      <c r="AP364" s="7"/>
      <c r="AQ364"/>
      <c r="AR364"/>
      <c r="AS364"/>
      <c r="AT364"/>
      <c r="AU364"/>
      <c r="AX364"/>
      <c r="AY364" s="7"/>
      <c r="AZ364"/>
      <c r="BA364"/>
      <c r="BB364"/>
      <c r="BC364"/>
      <c r="BD364"/>
      <c r="BG364"/>
      <c r="BH364" s="7"/>
      <c r="BI364"/>
      <c r="BJ364"/>
      <c r="BK364"/>
      <c r="BL364"/>
      <c r="BM364"/>
      <c r="BP364"/>
      <c r="BQ364" s="7"/>
      <c r="BR364"/>
      <c r="BS364"/>
      <c r="BT364"/>
      <c r="BU364"/>
      <c r="BV364"/>
      <c r="BY364"/>
      <c r="BZ364" s="7"/>
      <c r="CA364"/>
      <c r="CB364"/>
      <c r="CC364"/>
      <c r="CD364"/>
      <c r="CE364"/>
      <c r="CH364"/>
    </row>
    <row r="365" spans="2:86">
      <c r="B365" s="7"/>
      <c r="C365"/>
      <c r="D365"/>
      <c r="E365"/>
      <c r="F365"/>
      <c r="G365"/>
      <c r="H365"/>
      <c r="O365" s="7"/>
      <c r="P365"/>
      <c r="Q365"/>
      <c r="R365"/>
      <c r="S365"/>
      <c r="T365"/>
      <c r="W365"/>
      <c r="X365" s="7"/>
      <c r="Y365"/>
      <c r="Z365"/>
      <c r="AA365"/>
      <c r="AB365"/>
      <c r="AC365"/>
      <c r="AF365"/>
      <c r="AG365" s="7"/>
      <c r="AH365"/>
      <c r="AI365"/>
      <c r="AJ365"/>
      <c r="AK365"/>
      <c r="AL365"/>
      <c r="AO365"/>
      <c r="AP365" s="7"/>
      <c r="AQ365"/>
      <c r="AR365"/>
      <c r="AS365"/>
      <c r="AT365"/>
      <c r="AU365"/>
      <c r="AX365"/>
      <c r="AY365" s="7"/>
      <c r="AZ365"/>
      <c r="BA365"/>
      <c r="BB365"/>
      <c r="BC365"/>
      <c r="BD365"/>
      <c r="BG365"/>
      <c r="BH365" s="7"/>
      <c r="BI365"/>
      <c r="BJ365"/>
      <c r="BK365"/>
      <c r="BL365"/>
      <c r="BM365"/>
      <c r="BP365"/>
      <c r="BQ365" s="7"/>
      <c r="BR365"/>
      <c r="BS365"/>
      <c r="BT365"/>
      <c r="BU365"/>
      <c r="BV365"/>
      <c r="BY365"/>
      <c r="BZ365" s="7"/>
      <c r="CA365"/>
      <c r="CB365"/>
      <c r="CC365"/>
      <c r="CD365"/>
      <c r="CE365"/>
      <c r="CH365"/>
    </row>
    <row r="366" spans="2:86">
      <c r="B366" s="7"/>
      <c r="C366"/>
      <c r="D366"/>
      <c r="E366"/>
      <c r="F366"/>
      <c r="G366"/>
      <c r="H366"/>
      <c r="O366" s="7"/>
      <c r="P366"/>
      <c r="Q366"/>
      <c r="R366"/>
      <c r="S366"/>
      <c r="T366"/>
      <c r="W366"/>
      <c r="X366" s="7"/>
      <c r="Y366"/>
      <c r="Z366"/>
      <c r="AA366"/>
      <c r="AB366"/>
      <c r="AC366"/>
      <c r="AF366"/>
      <c r="AG366" s="7"/>
      <c r="AH366"/>
      <c r="AI366"/>
      <c r="AJ366"/>
      <c r="AK366"/>
      <c r="AL366"/>
      <c r="AO366"/>
      <c r="AP366" s="7"/>
      <c r="AQ366"/>
      <c r="AR366"/>
      <c r="AS366"/>
      <c r="AT366"/>
      <c r="AU366"/>
      <c r="AX366"/>
      <c r="AY366" s="7"/>
      <c r="AZ366"/>
      <c r="BA366"/>
      <c r="BB366"/>
      <c r="BC366"/>
      <c r="BD366"/>
      <c r="BG366"/>
      <c r="BH366" s="7"/>
      <c r="BI366"/>
      <c r="BJ366"/>
      <c r="BK366"/>
      <c r="BL366"/>
      <c r="BM366"/>
      <c r="BP366"/>
      <c r="BQ366" s="7"/>
      <c r="BR366"/>
      <c r="BS366"/>
      <c r="BT366"/>
      <c r="BU366"/>
      <c r="BV366"/>
      <c r="BY366"/>
      <c r="BZ366" s="7"/>
      <c r="CA366"/>
      <c r="CB366"/>
      <c r="CC366"/>
      <c r="CD366"/>
      <c r="CE366"/>
      <c r="CH366"/>
    </row>
    <row r="367" spans="2:86">
      <c r="B367" s="7"/>
      <c r="C367"/>
      <c r="D367"/>
      <c r="E367"/>
      <c r="F367"/>
      <c r="G367"/>
      <c r="H367"/>
      <c r="O367" s="7"/>
      <c r="P367"/>
      <c r="Q367"/>
      <c r="R367"/>
      <c r="S367"/>
      <c r="T367"/>
      <c r="W367"/>
      <c r="X367" s="7"/>
      <c r="Y367"/>
      <c r="Z367"/>
      <c r="AA367"/>
      <c r="AB367"/>
      <c r="AC367"/>
      <c r="AF367"/>
      <c r="AG367" s="7"/>
      <c r="AH367"/>
      <c r="AI367"/>
      <c r="AJ367"/>
      <c r="AK367"/>
      <c r="AL367"/>
      <c r="AO367"/>
      <c r="AP367" s="7"/>
      <c r="AQ367"/>
      <c r="AR367"/>
      <c r="AS367"/>
      <c r="AT367"/>
      <c r="AU367"/>
      <c r="AX367"/>
      <c r="AY367" s="7"/>
      <c r="AZ367"/>
      <c r="BA367"/>
      <c r="BB367"/>
      <c r="BC367"/>
      <c r="BD367"/>
      <c r="BG367"/>
      <c r="BH367" s="7"/>
      <c r="BI367"/>
      <c r="BJ367"/>
      <c r="BK367"/>
      <c r="BL367"/>
      <c r="BM367"/>
      <c r="BP367"/>
      <c r="BQ367" s="7"/>
      <c r="BR367"/>
      <c r="BS367"/>
      <c r="BT367"/>
      <c r="BU367"/>
      <c r="BV367"/>
      <c r="BY367"/>
      <c r="BZ367" s="7"/>
      <c r="CA367"/>
      <c r="CB367"/>
      <c r="CC367"/>
      <c r="CD367"/>
      <c r="CE367"/>
      <c r="CH367"/>
    </row>
    <row r="368" spans="2:86">
      <c r="B368" s="7"/>
      <c r="C368"/>
      <c r="D368"/>
      <c r="E368"/>
      <c r="F368"/>
      <c r="G368"/>
      <c r="H368"/>
      <c r="O368" s="7"/>
      <c r="P368"/>
      <c r="Q368"/>
      <c r="R368"/>
      <c r="S368"/>
      <c r="T368"/>
      <c r="W368"/>
      <c r="X368" s="7"/>
      <c r="Y368"/>
      <c r="Z368"/>
      <c r="AA368"/>
      <c r="AB368"/>
      <c r="AC368"/>
      <c r="AF368"/>
      <c r="AG368" s="7"/>
      <c r="AH368"/>
      <c r="AI368"/>
      <c r="AJ368"/>
      <c r="AK368"/>
      <c r="AL368"/>
      <c r="AO368"/>
      <c r="AP368" s="7"/>
      <c r="AQ368"/>
      <c r="AR368"/>
      <c r="AS368"/>
      <c r="AT368"/>
      <c r="AU368"/>
      <c r="AX368"/>
      <c r="AY368" s="7"/>
      <c r="AZ368"/>
      <c r="BA368"/>
      <c r="BB368"/>
      <c r="BC368"/>
      <c r="BD368"/>
      <c r="BG368"/>
      <c r="BH368" s="7"/>
      <c r="BI368"/>
      <c r="BJ368"/>
      <c r="BK368"/>
      <c r="BL368"/>
      <c r="BM368"/>
      <c r="BP368"/>
      <c r="BQ368" s="7"/>
      <c r="BR368"/>
      <c r="BS368"/>
      <c r="BT368"/>
      <c r="BU368"/>
      <c r="BV368"/>
      <c r="BY368"/>
      <c r="BZ368" s="7"/>
      <c r="CA368"/>
      <c r="CB368"/>
      <c r="CC368"/>
      <c r="CD368"/>
      <c r="CE368"/>
      <c r="CH368"/>
    </row>
    <row r="369" spans="2:86">
      <c r="B369" s="7"/>
      <c r="C369"/>
      <c r="D369"/>
      <c r="E369"/>
      <c r="F369"/>
      <c r="G369"/>
      <c r="H369"/>
      <c r="O369" s="7"/>
      <c r="P369"/>
      <c r="Q369"/>
      <c r="R369"/>
      <c r="S369"/>
      <c r="T369"/>
      <c r="W369"/>
      <c r="X369" s="7"/>
      <c r="Y369"/>
      <c r="Z369"/>
      <c r="AA369"/>
      <c r="AB369"/>
      <c r="AC369"/>
      <c r="AF369"/>
      <c r="AG369" s="7"/>
      <c r="AH369"/>
      <c r="AI369"/>
      <c r="AJ369"/>
      <c r="AK369"/>
      <c r="AL369"/>
      <c r="AO369"/>
      <c r="AP369" s="7"/>
      <c r="AQ369"/>
      <c r="AR369"/>
      <c r="AS369"/>
      <c r="AT369"/>
      <c r="AU369"/>
      <c r="AX369"/>
      <c r="AY369" s="7"/>
      <c r="AZ369"/>
      <c r="BA369"/>
      <c r="BB369"/>
      <c r="BC369"/>
      <c r="BD369"/>
      <c r="BG369"/>
      <c r="BH369" s="7"/>
      <c r="BI369"/>
      <c r="BJ369"/>
      <c r="BK369"/>
      <c r="BL369"/>
      <c r="BM369"/>
      <c r="BP369"/>
      <c r="BQ369" s="7"/>
      <c r="BR369"/>
      <c r="BS369"/>
      <c r="BT369"/>
      <c r="BU369"/>
      <c r="BV369"/>
      <c r="BY369"/>
      <c r="BZ369" s="7"/>
      <c r="CA369"/>
      <c r="CB369"/>
      <c r="CC369"/>
      <c r="CD369"/>
      <c r="CE369"/>
      <c r="CH369"/>
    </row>
    <row r="370" spans="2:86">
      <c r="B370" s="7"/>
      <c r="C370"/>
      <c r="D370"/>
      <c r="E370"/>
      <c r="F370"/>
      <c r="G370"/>
      <c r="H370"/>
      <c r="O370" s="7"/>
      <c r="P370"/>
      <c r="Q370"/>
      <c r="R370"/>
      <c r="S370"/>
      <c r="T370"/>
      <c r="W370"/>
      <c r="X370" s="7"/>
      <c r="Y370"/>
      <c r="Z370"/>
      <c r="AA370"/>
      <c r="AB370"/>
      <c r="AC370"/>
      <c r="AF370"/>
      <c r="AG370" s="7"/>
      <c r="AH370"/>
      <c r="AI370"/>
      <c r="AJ370"/>
      <c r="AK370"/>
      <c r="AL370"/>
      <c r="AO370"/>
      <c r="AP370" s="7"/>
      <c r="AQ370"/>
      <c r="AR370"/>
      <c r="AS370"/>
      <c r="AT370"/>
      <c r="AU370"/>
      <c r="AX370"/>
      <c r="AY370" s="7"/>
      <c r="AZ370"/>
      <c r="BA370"/>
      <c r="BB370"/>
      <c r="BC370"/>
      <c r="BD370"/>
      <c r="BG370"/>
      <c r="BH370" s="7"/>
      <c r="BI370"/>
      <c r="BJ370"/>
      <c r="BK370"/>
      <c r="BL370"/>
      <c r="BM370"/>
      <c r="BP370"/>
      <c r="BQ370" s="7"/>
      <c r="BR370"/>
      <c r="BS370"/>
      <c r="BT370"/>
      <c r="BU370"/>
      <c r="BV370"/>
      <c r="BY370"/>
      <c r="BZ370" s="7"/>
      <c r="CA370"/>
      <c r="CB370"/>
      <c r="CC370"/>
      <c r="CD370"/>
      <c r="CE370"/>
      <c r="CH370"/>
    </row>
    <row r="371" spans="2:86">
      <c r="B371" s="7"/>
      <c r="C371"/>
      <c r="D371"/>
      <c r="E371"/>
      <c r="F371"/>
      <c r="G371"/>
      <c r="H371"/>
      <c r="O371" s="7"/>
      <c r="P371"/>
      <c r="Q371"/>
      <c r="R371"/>
      <c r="S371"/>
      <c r="T371"/>
      <c r="W371"/>
      <c r="X371" s="7"/>
      <c r="Y371"/>
      <c r="Z371"/>
      <c r="AA371"/>
      <c r="AB371"/>
      <c r="AC371"/>
      <c r="AF371"/>
      <c r="AG371" s="7"/>
      <c r="AH371"/>
      <c r="AI371"/>
      <c r="AJ371"/>
      <c r="AK371"/>
      <c r="AL371"/>
      <c r="AO371"/>
      <c r="AP371" s="7"/>
      <c r="AQ371"/>
      <c r="AR371"/>
      <c r="AS371"/>
      <c r="AT371"/>
      <c r="AU371"/>
      <c r="AX371"/>
      <c r="AY371" s="7"/>
      <c r="AZ371"/>
      <c r="BA371"/>
      <c r="BB371"/>
      <c r="BC371"/>
      <c r="BD371"/>
      <c r="BG371"/>
      <c r="BH371" s="7"/>
      <c r="BI371"/>
      <c r="BJ371"/>
      <c r="BK371"/>
      <c r="BL371"/>
      <c r="BM371"/>
      <c r="BP371"/>
      <c r="BQ371" s="7"/>
      <c r="BR371"/>
      <c r="BS371"/>
      <c r="BT371"/>
      <c r="BU371"/>
      <c r="BV371"/>
      <c r="BY371"/>
      <c r="BZ371" s="7"/>
      <c r="CA371"/>
      <c r="CB371"/>
      <c r="CC371"/>
      <c r="CD371"/>
      <c r="CE371"/>
      <c r="CH371"/>
    </row>
    <row r="372" spans="2:86">
      <c r="B372" s="7"/>
      <c r="C372"/>
      <c r="D372"/>
      <c r="E372"/>
      <c r="F372"/>
      <c r="G372"/>
      <c r="H372"/>
      <c r="O372" s="7"/>
      <c r="P372"/>
      <c r="Q372"/>
      <c r="R372"/>
      <c r="S372"/>
      <c r="T372"/>
      <c r="W372"/>
      <c r="X372" s="7"/>
      <c r="Y372"/>
      <c r="Z372"/>
      <c r="AA372"/>
      <c r="AB372"/>
      <c r="AC372"/>
      <c r="AF372"/>
      <c r="AG372" s="7"/>
      <c r="AH372"/>
      <c r="AI372"/>
      <c r="AJ372"/>
      <c r="AK372"/>
      <c r="AL372"/>
      <c r="AO372"/>
      <c r="AP372" s="7"/>
      <c r="AQ372"/>
      <c r="AR372"/>
      <c r="AS372"/>
      <c r="AT372"/>
      <c r="AU372"/>
      <c r="AX372"/>
      <c r="AY372" s="7"/>
      <c r="AZ372"/>
      <c r="BA372"/>
      <c r="BB372"/>
      <c r="BC372"/>
      <c r="BD372"/>
      <c r="BG372"/>
      <c r="BH372" s="7"/>
      <c r="BI372"/>
      <c r="BJ372"/>
      <c r="BK372"/>
      <c r="BL372"/>
      <c r="BM372"/>
      <c r="BP372"/>
      <c r="BQ372" s="7"/>
      <c r="BR372"/>
      <c r="BS372"/>
      <c r="BT372"/>
      <c r="BU372"/>
      <c r="BV372"/>
      <c r="BY372"/>
      <c r="BZ372" s="7"/>
      <c r="CA372"/>
      <c r="CB372"/>
      <c r="CC372"/>
      <c r="CD372"/>
      <c r="CE372"/>
      <c r="CH372"/>
    </row>
    <row r="373" spans="2:86">
      <c r="B373" s="7"/>
      <c r="C373"/>
      <c r="D373"/>
      <c r="E373"/>
      <c r="F373"/>
      <c r="G373"/>
      <c r="H373"/>
      <c r="O373" s="7"/>
      <c r="P373"/>
      <c r="Q373"/>
      <c r="R373"/>
      <c r="S373"/>
      <c r="T373"/>
      <c r="W373"/>
      <c r="X373" s="7"/>
      <c r="Y373"/>
      <c r="Z373"/>
      <c r="AA373"/>
      <c r="AB373"/>
      <c r="AC373"/>
      <c r="AF373"/>
      <c r="AG373" s="7"/>
      <c r="AH373"/>
      <c r="AI373"/>
      <c r="AJ373"/>
      <c r="AK373"/>
      <c r="AL373"/>
      <c r="AO373"/>
      <c r="AP373" s="7"/>
      <c r="AQ373"/>
      <c r="AR373"/>
      <c r="AS373"/>
      <c r="AT373"/>
      <c r="AU373"/>
      <c r="AX373"/>
      <c r="AY373" s="7"/>
      <c r="AZ373"/>
      <c r="BA373"/>
      <c r="BB373"/>
      <c r="BC373"/>
      <c r="BD373"/>
      <c r="BG373"/>
      <c r="BH373" s="7"/>
      <c r="BI373"/>
      <c r="BJ373"/>
      <c r="BK373"/>
      <c r="BL373"/>
      <c r="BM373"/>
      <c r="BP373"/>
      <c r="BQ373" s="7"/>
      <c r="BR373"/>
      <c r="BS373"/>
      <c r="BT373"/>
      <c r="BU373"/>
      <c r="BV373"/>
      <c r="BY373"/>
      <c r="BZ373" s="7"/>
      <c r="CA373"/>
      <c r="CB373"/>
      <c r="CC373"/>
      <c r="CD373"/>
      <c r="CE373"/>
      <c r="CH373"/>
    </row>
    <row r="374" spans="2:86">
      <c r="B374" s="7"/>
      <c r="C374"/>
      <c r="D374"/>
      <c r="E374"/>
      <c r="F374"/>
      <c r="G374"/>
      <c r="H374"/>
      <c r="O374" s="7"/>
      <c r="P374"/>
      <c r="Q374"/>
      <c r="R374"/>
      <c r="S374"/>
      <c r="T374"/>
      <c r="W374"/>
      <c r="X374" s="7"/>
      <c r="Y374"/>
      <c r="Z374"/>
      <c r="AA374"/>
      <c r="AB374"/>
      <c r="AC374"/>
      <c r="AF374"/>
      <c r="AG374" s="7"/>
      <c r="AH374"/>
      <c r="AI374"/>
      <c r="AJ374"/>
      <c r="AK374"/>
      <c r="AL374"/>
      <c r="AO374"/>
      <c r="AP374" s="7"/>
      <c r="AQ374"/>
      <c r="AR374"/>
      <c r="AS374"/>
      <c r="AT374"/>
      <c r="AU374"/>
      <c r="AX374"/>
      <c r="AY374" s="7"/>
      <c r="AZ374"/>
      <c r="BA374"/>
      <c r="BB374"/>
      <c r="BC374"/>
      <c r="BD374"/>
      <c r="BG374"/>
      <c r="BH374" s="7"/>
      <c r="BI374"/>
      <c r="BJ374"/>
      <c r="BK374"/>
      <c r="BL374"/>
      <c r="BM374"/>
      <c r="BP374"/>
      <c r="BQ374" s="7"/>
      <c r="BR374"/>
      <c r="BS374"/>
      <c r="BT374"/>
      <c r="BU374"/>
      <c r="BV374"/>
      <c r="BY374"/>
      <c r="BZ374" s="7"/>
      <c r="CA374"/>
      <c r="CB374"/>
      <c r="CC374"/>
      <c r="CD374"/>
      <c r="CE374"/>
      <c r="CH374"/>
    </row>
    <row r="375" spans="2:86">
      <c r="B375" s="7"/>
      <c r="C375"/>
      <c r="D375"/>
      <c r="E375"/>
      <c r="F375"/>
      <c r="G375"/>
      <c r="H375"/>
      <c r="O375" s="7"/>
      <c r="P375"/>
      <c r="Q375"/>
      <c r="R375"/>
      <c r="S375"/>
      <c r="T375"/>
      <c r="W375"/>
      <c r="X375" s="7"/>
      <c r="Y375"/>
      <c r="Z375"/>
      <c r="AA375"/>
      <c r="AB375"/>
      <c r="AC375"/>
      <c r="AF375"/>
      <c r="AG375" s="7"/>
      <c r="AH375"/>
      <c r="AI375"/>
      <c r="AJ375"/>
      <c r="AK375"/>
      <c r="AL375"/>
      <c r="AO375"/>
      <c r="AP375" s="7"/>
      <c r="AQ375"/>
      <c r="AR375"/>
      <c r="AS375"/>
      <c r="AT375"/>
      <c r="AU375"/>
      <c r="AX375"/>
      <c r="AY375" s="7"/>
      <c r="AZ375"/>
      <c r="BA375"/>
      <c r="BB375"/>
      <c r="BC375"/>
      <c r="BD375"/>
      <c r="BG375"/>
      <c r="BH375" s="7"/>
      <c r="BI375"/>
      <c r="BJ375"/>
      <c r="BK375"/>
      <c r="BL375"/>
      <c r="BM375"/>
      <c r="BP375"/>
      <c r="BQ375" s="7"/>
      <c r="BR375"/>
      <c r="BS375"/>
      <c r="BT375"/>
      <c r="BU375"/>
      <c r="BV375"/>
      <c r="BY375"/>
      <c r="BZ375" s="7"/>
      <c r="CA375"/>
      <c r="CB375"/>
      <c r="CC375"/>
      <c r="CD375"/>
      <c r="CE375"/>
      <c r="CH375"/>
    </row>
    <row r="376" spans="2:86">
      <c r="B376" s="7"/>
      <c r="C376"/>
      <c r="D376"/>
      <c r="E376"/>
      <c r="F376"/>
      <c r="G376"/>
      <c r="H376"/>
      <c r="O376" s="7"/>
      <c r="P376"/>
      <c r="Q376"/>
      <c r="R376"/>
      <c r="S376"/>
      <c r="T376"/>
      <c r="W376"/>
      <c r="X376" s="7"/>
      <c r="Y376"/>
      <c r="Z376"/>
      <c r="AA376"/>
      <c r="AB376"/>
      <c r="AC376"/>
      <c r="AF376"/>
      <c r="AG376" s="7"/>
      <c r="AH376"/>
      <c r="AI376"/>
      <c r="AJ376"/>
      <c r="AK376"/>
      <c r="AL376"/>
      <c r="AO376"/>
      <c r="AP376" s="7"/>
      <c r="AQ376"/>
      <c r="AR376"/>
      <c r="AS376"/>
      <c r="AT376"/>
      <c r="AU376"/>
      <c r="AX376"/>
      <c r="AY376" s="7"/>
      <c r="AZ376"/>
      <c r="BA376"/>
      <c r="BB376"/>
      <c r="BC376"/>
      <c r="BD376"/>
      <c r="BG376"/>
      <c r="BH376" s="7"/>
      <c r="BI376"/>
      <c r="BJ376"/>
      <c r="BK376"/>
      <c r="BL376"/>
      <c r="BM376"/>
      <c r="BP376"/>
      <c r="BQ376" s="7"/>
      <c r="BR376"/>
      <c r="BS376"/>
      <c r="BT376"/>
      <c r="BU376"/>
      <c r="BV376"/>
      <c r="BY376"/>
      <c r="BZ376" s="7"/>
      <c r="CA376"/>
      <c r="CB376"/>
      <c r="CC376"/>
      <c r="CD376"/>
      <c r="CE376"/>
      <c r="CH376"/>
    </row>
    <row r="377" spans="2:86">
      <c r="B377" s="7"/>
      <c r="C377"/>
      <c r="D377"/>
      <c r="E377"/>
      <c r="F377"/>
      <c r="G377"/>
      <c r="H377"/>
      <c r="O377" s="7"/>
      <c r="P377"/>
      <c r="Q377"/>
      <c r="R377"/>
      <c r="S377"/>
      <c r="T377"/>
      <c r="W377"/>
      <c r="X377" s="7"/>
      <c r="Y377"/>
      <c r="Z377"/>
      <c r="AA377"/>
      <c r="AB377"/>
      <c r="AC377"/>
      <c r="AF377"/>
      <c r="AG377" s="7"/>
      <c r="AH377"/>
      <c r="AI377"/>
      <c r="AJ377"/>
      <c r="AK377"/>
      <c r="AL377"/>
      <c r="AO377"/>
      <c r="AP377" s="7"/>
      <c r="AQ377"/>
      <c r="AR377"/>
      <c r="AS377"/>
      <c r="AT377"/>
      <c r="AU377"/>
      <c r="AX377"/>
      <c r="AY377" s="7"/>
      <c r="AZ377"/>
      <c r="BA377"/>
      <c r="BB377"/>
      <c r="BC377"/>
      <c r="BD377"/>
      <c r="BG377"/>
      <c r="BH377" s="7"/>
      <c r="BI377"/>
      <c r="BJ377"/>
      <c r="BK377"/>
      <c r="BL377"/>
      <c r="BM377"/>
      <c r="BP377"/>
      <c r="BQ377" s="7"/>
      <c r="BR377"/>
      <c r="BS377"/>
      <c r="BT377"/>
      <c r="BU377"/>
      <c r="BV377"/>
      <c r="BY377"/>
      <c r="BZ377" s="7"/>
      <c r="CA377"/>
      <c r="CB377"/>
      <c r="CC377"/>
      <c r="CD377"/>
      <c r="CE377"/>
      <c r="CH377"/>
    </row>
    <row r="378" spans="2:86">
      <c r="B378" s="7"/>
      <c r="C378"/>
      <c r="D378"/>
      <c r="E378"/>
      <c r="F378"/>
      <c r="G378"/>
      <c r="H378"/>
      <c r="O378" s="7"/>
      <c r="P378"/>
      <c r="Q378"/>
      <c r="R378"/>
      <c r="S378"/>
      <c r="T378"/>
      <c r="W378"/>
      <c r="X378" s="7"/>
      <c r="Y378"/>
      <c r="Z378"/>
      <c r="AA378"/>
      <c r="AB378"/>
      <c r="AC378"/>
      <c r="AF378"/>
      <c r="AG378" s="7"/>
      <c r="AH378"/>
      <c r="AI378"/>
      <c r="AJ378"/>
      <c r="AK378"/>
      <c r="AL378"/>
      <c r="AO378"/>
      <c r="AP378" s="7"/>
      <c r="AQ378"/>
      <c r="AR378"/>
      <c r="AS378"/>
      <c r="AT378"/>
      <c r="AU378"/>
      <c r="AX378"/>
      <c r="AY378" s="7"/>
      <c r="AZ378"/>
      <c r="BA378"/>
      <c r="BB378"/>
      <c r="BC378"/>
      <c r="BD378"/>
      <c r="BG378"/>
      <c r="BH378" s="7"/>
      <c r="BI378"/>
      <c r="BJ378"/>
      <c r="BK378"/>
      <c r="BL378"/>
      <c r="BM378"/>
      <c r="BP378"/>
      <c r="BQ378" s="7"/>
      <c r="BR378"/>
      <c r="BS378"/>
      <c r="BT378"/>
      <c r="BU378"/>
      <c r="BV378"/>
      <c r="BY378"/>
      <c r="BZ378" s="7"/>
      <c r="CA378"/>
      <c r="CB378"/>
      <c r="CC378"/>
      <c r="CD378"/>
      <c r="CE378"/>
      <c r="CH378"/>
    </row>
    <row r="379" spans="2:86">
      <c r="B379" s="7"/>
      <c r="C379"/>
      <c r="D379"/>
      <c r="E379"/>
      <c r="F379"/>
      <c r="G379"/>
      <c r="H379"/>
      <c r="O379" s="7"/>
      <c r="P379"/>
      <c r="Q379"/>
      <c r="R379"/>
      <c r="S379"/>
      <c r="T379"/>
      <c r="W379"/>
      <c r="X379" s="7"/>
      <c r="Y379"/>
      <c r="Z379"/>
      <c r="AA379"/>
      <c r="AB379"/>
      <c r="AC379"/>
      <c r="AF379"/>
      <c r="AG379" s="7"/>
      <c r="AH379"/>
      <c r="AI379"/>
      <c r="AJ379"/>
      <c r="AK379"/>
      <c r="AL379"/>
      <c r="AO379"/>
      <c r="AP379" s="7"/>
      <c r="AQ379"/>
      <c r="AR379"/>
      <c r="AS379"/>
      <c r="AT379"/>
      <c r="AU379"/>
      <c r="AX379"/>
      <c r="AY379" s="7"/>
      <c r="AZ379"/>
      <c r="BA379"/>
      <c r="BB379"/>
      <c r="BC379"/>
      <c r="BD379"/>
      <c r="BG379"/>
      <c r="BH379" s="7"/>
      <c r="BI379"/>
      <c r="BJ379"/>
      <c r="BK379"/>
      <c r="BL379"/>
      <c r="BM379"/>
      <c r="BP379"/>
      <c r="BQ379" s="7"/>
      <c r="BR379"/>
      <c r="BS379"/>
      <c r="BT379"/>
      <c r="BU379"/>
      <c r="BV379"/>
      <c r="BY379"/>
      <c r="BZ379" s="7"/>
      <c r="CA379"/>
      <c r="CB379"/>
      <c r="CC379"/>
      <c r="CD379"/>
      <c r="CE379"/>
      <c r="CH379"/>
    </row>
    <row r="380" spans="2:86">
      <c r="B380" s="7"/>
      <c r="C380"/>
      <c r="D380"/>
      <c r="E380"/>
      <c r="F380"/>
      <c r="G380"/>
      <c r="H380"/>
      <c r="O380" s="7"/>
      <c r="P380"/>
      <c r="Q380"/>
      <c r="R380"/>
      <c r="S380"/>
      <c r="T380"/>
      <c r="W380"/>
      <c r="X380" s="7"/>
      <c r="Y380"/>
      <c r="Z380"/>
      <c r="AA380"/>
      <c r="AB380"/>
      <c r="AC380"/>
      <c r="AF380"/>
      <c r="AG380" s="7"/>
      <c r="AH380"/>
      <c r="AI380"/>
      <c r="AJ380"/>
      <c r="AK380"/>
      <c r="AL380"/>
      <c r="AO380"/>
      <c r="AP380" s="7"/>
      <c r="AQ380"/>
      <c r="AR380"/>
      <c r="AS380"/>
      <c r="AT380"/>
      <c r="AU380"/>
      <c r="AX380"/>
      <c r="AY380" s="7"/>
      <c r="AZ380"/>
      <c r="BA380"/>
      <c r="BB380"/>
      <c r="BC380"/>
      <c r="BD380"/>
      <c r="BG380"/>
      <c r="BH380" s="7"/>
      <c r="BI380"/>
      <c r="BJ380"/>
      <c r="BK380"/>
      <c r="BL380"/>
      <c r="BM380"/>
      <c r="BP380"/>
      <c r="BQ380" s="7"/>
      <c r="BR380"/>
      <c r="BS380"/>
      <c r="BT380"/>
      <c r="BU380"/>
      <c r="BV380"/>
      <c r="BY380"/>
      <c r="BZ380" s="7"/>
      <c r="CA380"/>
      <c r="CB380"/>
      <c r="CC380"/>
      <c r="CD380"/>
      <c r="CE380"/>
      <c r="CH380"/>
    </row>
    <row r="381" spans="2:86">
      <c r="B381" s="7"/>
      <c r="C381"/>
      <c r="D381"/>
      <c r="E381"/>
      <c r="F381"/>
      <c r="G381"/>
      <c r="H381"/>
      <c r="O381" s="7"/>
      <c r="P381"/>
      <c r="Q381"/>
      <c r="R381"/>
      <c r="S381"/>
      <c r="T381"/>
      <c r="W381"/>
      <c r="X381" s="7"/>
      <c r="Y381"/>
      <c r="Z381"/>
      <c r="AA381"/>
      <c r="AB381"/>
      <c r="AC381"/>
      <c r="AF381"/>
      <c r="AG381" s="7"/>
      <c r="AH381"/>
      <c r="AI381"/>
      <c r="AJ381"/>
      <c r="AK381"/>
      <c r="AL381"/>
      <c r="AO381"/>
      <c r="AP381" s="7"/>
      <c r="AQ381"/>
      <c r="AR381"/>
      <c r="AS381"/>
      <c r="AT381"/>
      <c r="AU381"/>
      <c r="AX381"/>
      <c r="AY381" s="7"/>
      <c r="AZ381"/>
      <c r="BA381"/>
      <c r="BB381"/>
      <c r="BC381"/>
      <c r="BD381"/>
      <c r="BG381"/>
      <c r="BH381" s="7"/>
      <c r="BI381"/>
      <c r="BJ381"/>
      <c r="BK381"/>
      <c r="BL381"/>
      <c r="BM381"/>
      <c r="BP381"/>
      <c r="BQ381" s="7"/>
      <c r="BR381"/>
      <c r="BS381"/>
      <c r="BT381"/>
      <c r="BU381"/>
      <c r="BV381"/>
      <c r="BY381"/>
      <c r="BZ381" s="7"/>
      <c r="CA381"/>
      <c r="CB381"/>
      <c r="CC381"/>
      <c r="CD381"/>
      <c r="CE381"/>
      <c r="CH381"/>
    </row>
    <row r="382" spans="2:86">
      <c r="B382" s="7"/>
      <c r="C382"/>
      <c r="D382"/>
      <c r="E382"/>
      <c r="F382"/>
      <c r="G382"/>
      <c r="H382"/>
      <c r="O382" s="7"/>
      <c r="P382"/>
      <c r="Q382"/>
      <c r="R382"/>
      <c r="S382"/>
      <c r="T382"/>
      <c r="W382"/>
      <c r="X382" s="7"/>
      <c r="Y382"/>
      <c r="Z382"/>
      <c r="AA382"/>
      <c r="AB382"/>
      <c r="AC382"/>
      <c r="AF382"/>
      <c r="AG382" s="7"/>
      <c r="AH382"/>
      <c r="AI382"/>
      <c r="AJ382"/>
      <c r="AK382"/>
      <c r="AL382"/>
      <c r="AO382"/>
      <c r="AP382" s="7"/>
      <c r="AQ382"/>
      <c r="AR382"/>
      <c r="AS382"/>
      <c r="AT382"/>
      <c r="AU382"/>
      <c r="AX382"/>
      <c r="AY382" s="7"/>
      <c r="AZ382"/>
      <c r="BA382"/>
      <c r="BB382"/>
      <c r="BC382"/>
      <c r="BD382"/>
      <c r="BG382"/>
      <c r="BH382" s="7"/>
      <c r="BI382"/>
      <c r="BJ382"/>
      <c r="BK382"/>
      <c r="BL382"/>
      <c r="BM382"/>
      <c r="BP382"/>
      <c r="BQ382" s="7"/>
      <c r="BR382"/>
      <c r="BS382"/>
      <c r="BT382"/>
      <c r="BU382"/>
      <c r="BV382"/>
      <c r="BY382"/>
      <c r="BZ382" s="7"/>
      <c r="CA382"/>
      <c r="CB382"/>
      <c r="CC382"/>
      <c r="CD382"/>
      <c r="CE382"/>
      <c r="CH382"/>
    </row>
    <row r="383" spans="2:86">
      <c r="B383" s="7"/>
      <c r="C383"/>
      <c r="D383"/>
      <c r="E383"/>
      <c r="F383"/>
      <c r="G383"/>
      <c r="H383"/>
      <c r="O383" s="7"/>
      <c r="P383"/>
      <c r="Q383"/>
      <c r="R383"/>
      <c r="S383"/>
      <c r="T383"/>
      <c r="W383"/>
      <c r="X383" s="7"/>
      <c r="Y383"/>
      <c r="Z383"/>
      <c r="AA383"/>
      <c r="AB383"/>
      <c r="AC383"/>
      <c r="AF383"/>
      <c r="AG383" s="7"/>
      <c r="AH383"/>
      <c r="AI383"/>
      <c r="AJ383"/>
      <c r="AK383"/>
      <c r="AL383"/>
      <c r="AO383"/>
      <c r="AP383" s="7"/>
      <c r="AQ383"/>
      <c r="AR383"/>
      <c r="AS383"/>
      <c r="AT383"/>
      <c r="AU383"/>
      <c r="AX383"/>
      <c r="AY383" s="7"/>
      <c r="AZ383"/>
      <c r="BA383"/>
      <c r="BB383"/>
      <c r="BC383"/>
      <c r="BD383"/>
      <c r="BG383"/>
      <c r="BH383" s="7"/>
      <c r="BI383"/>
      <c r="BJ383"/>
      <c r="BK383"/>
      <c r="BL383"/>
      <c r="BM383"/>
      <c r="BP383"/>
      <c r="BQ383" s="7"/>
      <c r="BR383"/>
      <c r="BS383"/>
      <c r="BT383"/>
      <c r="BU383"/>
      <c r="BV383"/>
      <c r="BY383"/>
      <c r="BZ383" s="7"/>
      <c r="CA383"/>
      <c r="CB383"/>
      <c r="CC383"/>
      <c r="CD383"/>
      <c r="CE383"/>
      <c r="CH383"/>
    </row>
    <row r="384" spans="2:86">
      <c r="B384" s="7"/>
      <c r="C384"/>
      <c r="D384"/>
      <c r="E384"/>
      <c r="F384"/>
      <c r="G384"/>
      <c r="H384"/>
      <c r="O384" s="7"/>
      <c r="P384"/>
      <c r="Q384"/>
      <c r="R384"/>
      <c r="S384"/>
      <c r="T384"/>
      <c r="W384"/>
      <c r="X384" s="7"/>
      <c r="Y384"/>
      <c r="Z384"/>
      <c r="AA384"/>
      <c r="AB384"/>
      <c r="AC384"/>
      <c r="AF384"/>
      <c r="AG384" s="7"/>
      <c r="AH384"/>
      <c r="AI384"/>
      <c r="AJ384"/>
      <c r="AK384"/>
      <c r="AL384"/>
      <c r="AO384"/>
      <c r="AP384" s="7"/>
      <c r="AQ384"/>
      <c r="AR384"/>
      <c r="AS384"/>
      <c r="AT384"/>
      <c r="AU384"/>
      <c r="AX384"/>
      <c r="AY384" s="7"/>
      <c r="AZ384"/>
      <c r="BA384"/>
      <c r="BB384"/>
      <c r="BC384"/>
      <c r="BD384"/>
      <c r="BG384"/>
      <c r="BH384" s="7"/>
      <c r="BI384"/>
      <c r="BJ384"/>
      <c r="BK384"/>
      <c r="BL384"/>
      <c r="BM384"/>
      <c r="BP384"/>
      <c r="BQ384" s="7"/>
      <c r="BR384"/>
      <c r="BS384"/>
      <c r="BT384"/>
      <c r="BU384"/>
      <c r="BV384"/>
      <c r="BY384"/>
      <c r="BZ384" s="7"/>
      <c r="CA384"/>
      <c r="CB384"/>
      <c r="CC384"/>
      <c r="CD384"/>
      <c r="CE384"/>
      <c r="CH384"/>
    </row>
    <row r="385" spans="2:86">
      <c r="B385" s="7"/>
      <c r="C385"/>
      <c r="D385"/>
      <c r="E385"/>
      <c r="F385"/>
      <c r="G385"/>
      <c r="H385"/>
      <c r="O385" s="7"/>
      <c r="P385"/>
      <c r="Q385"/>
      <c r="R385"/>
      <c r="S385"/>
      <c r="T385"/>
      <c r="W385"/>
      <c r="X385" s="7"/>
      <c r="Y385"/>
      <c r="Z385"/>
      <c r="AA385"/>
      <c r="AB385"/>
      <c r="AC385"/>
      <c r="AF385"/>
      <c r="AG385" s="7"/>
      <c r="AH385"/>
      <c r="AI385"/>
      <c r="AJ385"/>
      <c r="AK385"/>
      <c r="AL385"/>
      <c r="AO385"/>
      <c r="AP385" s="7"/>
      <c r="AQ385"/>
      <c r="AR385"/>
      <c r="AS385"/>
      <c r="AT385"/>
      <c r="AU385"/>
      <c r="AX385"/>
      <c r="AY385" s="7"/>
      <c r="AZ385"/>
      <c r="BA385"/>
      <c r="BB385"/>
      <c r="BC385"/>
      <c r="BD385"/>
      <c r="BG385"/>
      <c r="BH385" s="7"/>
      <c r="BI385"/>
      <c r="BJ385"/>
      <c r="BK385"/>
      <c r="BL385"/>
      <c r="BM385"/>
      <c r="BP385"/>
      <c r="BQ385" s="7"/>
      <c r="BR385"/>
      <c r="BS385"/>
      <c r="BT385"/>
      <c r="BU385"/>
      <c r="BV385"/>
      <c r="BY385"/>
      <c r="BZ385" s="7"/>
      <c r="CA385"/>
      <c r="CB385"/>
      <c r="CC385"/>
      <c r="CD385"/>
      <c r="CE385"/>
      <c r="CH385"/>
    </row>
    <row r="386" spans="2:86">
      <c r="B386" s="7"/>
      <c r="C386"/>
      <c r="D386"/>
      <c r="E386"/>
      <c r="F386"/>
      <c r="G386"/>
      <c r="H386"/>
      <c r="O386" s="7"/>
      <c r="P386"/>
      <c r="Q386"/>
      <c r="R386"/>
      <c r="S386"/>
      <c r="T386"/>
      <c r="W386"/>
      <c r="X386" s="7"/>
      <c r="Y386"/>
      <c r="Z386"/>
      <c r="AA386"/>
      <c r="AB386"/>
      <c r="AC386"/>
      <c r="AF386"/>
      <c r="AG386" s="7"/>
      <c r="AH386"/>
      <c r="AI386"/>
      <c r="AJ386"/>
      <c r="AK386"/>
      <c r="AL386"/>
      <c r="AO386"/>
      <c r="AP386" s="7"/>
      <c r="AQ386"/>
      <c r="AR386"/>
      <c r="AS386"/>
      <c r="AT386"/>
      <c r="AU386"/>
      <c r="AX386"/>
      <c r="AY386" s="7"/>
      <c r="AZ386"/>
      <c r="BA386"/>
      <c r="BB386"/>
      <c r="BC386"/>
      <c r="BD386"/>
      <c r="BG386"/>
      <c r="BH386" s="7"/>
      <c r="BI386"/>
      <c r="BJ386"/>
      <c r="BK386"/>
      <c r="BL386"/>
      <c r="BM386"/>
      <c r="BP386"/>
      <c r="BQ386" s="7"/>
      <c r="BR386"/>
      <c r="BS386"/>
      <c r="BT386"/>
      <c r="BU386"/>
      <c r="BV386"/>
      <c r="BY386"/>
      <c r="BZ386" s="7"/>
      <c r="CA386"/>
      <c r="CB386"/>
      <c r="CC386"/>
      <c r="CD386"/>
      <c r="CE386"/>
      <c r="CH386"/>
    </row>
    <row r="387" spans="2:86">
      <c r="B387" s="7"/>
      <c r="C387"/>
      <c r="D387"/>
      <c r="E387"/>
      <c r="F387"/>
      <c r="G387"/>
      <c r="H387"/>
      <c r="O387" s="7"/>
      <c r="P387"/>
      <c r="Q387"/>
      <c r="R387"/>
      <c r="S387"/>
      <c r="T387"/>
      <c r="W387"/>
      <c r="X387" s="7"/>
      <c r="Y387"/>
      <c r="Z387"/>
      <c r="AA387"/>
      <c r="AB387"/>
      <c r="AC387"/>
      <c r="AF387"/>
      <c r="AG387" s="7"/>
      <c r="AH387"/>
      <c r="AI387"/>
      <c r="AJ387"/>
      <c r="AK387"/>
      <c r="AL387"/>
      <c r="AO387"/>
      <c r="AP387" s="7"/>
      <c r="AQ387"/>
      <c r="AR387"/>
      <c r="AS387"/>
      <c r="AT387"/>
      <c r="AU387"/>
      <c r="AX387"/>
      <c r="AY387" s="7"/>
      <c r="AZ387"/>
      <c r="BA387"/>
      <c r="BB387"/>
      <c r="BC387"/>
      <c r="BD387"/>
      <c r="BG387"/>
      <c r="BH387" s="7"/>
      <c r="BI387"/>
      <c r="BJ387"/>
      <c r="BK387"/>
      <c r="BL387"/>
      <c r="BM387"/>
      <c r="BP387"/>
      <c r="BQ387" s="7"/>
      <c r="BR387"/>
      <c r="BS387"/>
      <c r="BT387"/>
      <c r="BU387"/>
      <c r="BV387"/>
      <c r="BY387"/>
      <c r="BZ387" s="7"/>
      <c r="CA387"/>
      <c r="CB387"/>
      <c r="CC387"/>
      <c r="CD387"/>
      <c r="CE387"/>
      <c r="CH387"/>
    </row>
    <row r="388" spans="2:86">
      <c r="B388" s="7"/>
      <c r="C388"/>
      <c r="D388"/>
      <c r="E388"/>
      <c r="F388"/>
      <c r="G388"/>
      <c r="H388"/>
      <c r="O388" s="7"/>
      <c r="P388"/>
      <c r="Q388"/>
      <c r="R388"/>
      <c r="S388"/>
      <c r="T388"/>
      <c r="W388"/>
      <c r="X388" s="7"/>
      <c r="Y388"/>
      <c r="Z388"/>
      <c r="AA388"/>
      <c r="AB388"/>
      <c r="AC388"/>
      <c r="AF388"/>
      <c r="AG388" s="7"/>
      <c r="AH388"/>
      <c r="AI388"/>
      <c r="AJ388"/>
      <c r="AK388"/>
      <c r="AL388"/>
      <c r="AO388"/>
      <c r="AP388" s="7"/>
      <c r="AQ388"/>
      <c r="AR388"/>
      <c r="AS388"/>
      <c r="AT388"/>
      <c r="AU388"/>
      <c r="AX388"/>
      <c r="AY388" s="7"/>
      <c r="AZ388"/>
      <c r="BA388"/>
      <c r="BB388"/>
      <c r="BC388"/>
      <c r="BD388"/>
      <c r="BG388"/>
      <c r="BH388" s="7"/>
      <c r="BI388"/>
      <c r="BJ388"/>
      <c r="BK388"/>
      <c r="BL388"/>
      <c r="BM388"/>
      <c r="BP388"/>
      <c r="BQ388" s="7"/>
      <c r="BR388"/>
      <c r="BS388"/>
      <c r="BT388"/>
      <c r="BU388"/>
      <c r="BV388"/>
      <c r="BY388"/>
      <c r="BZ388" s="7"/>
      <c r="CA388"/>
      <c r="CB388"/>
      <c r="CC388"/>
      <c r="CD388"/>
      <c r="CE388"/>
      <c r="CH388"/>
    </row>
    <row r="389" spans="2:86">
      <c r="B389" s="7"/>
      <c r="C389"/>
      <c r="D389"/>
      <c r="E389"/>
      <c r="F389"/>
      <c r="G389"/>
      <c r="H389"/>
      <c r="O389" s="7"/>
      <c r="P389"/>
      <c r="Q389"/>
      <c r="R389"/>
      <c r="S389"/>
      <c r="T389"/>
      <c r="W389"/>
      <c r="X389" s="7"/>
      <c r="Y389"/>
      <c r="Z389"/>
      <c r="AA389"/>
      <c r="AB389"/>
      <c r="AC389"/>
      <c r="AF389"/>
      <c r="AG389" s="7"/>
      <c r="AH389"/>
      <c r="AI389"/>
      <c r="AJ389"/>
      <c r="AK389"/>
      <c r="AL389"/>
      <c r="AO389"/>
      <c r="AP389" s="7"/>
      <c r="AQ389"/>
      <c r="AR389"/>
      <c r="AS389"/>
      <c r="AT389"/>
      <c r="AU389"/>
      <c r="AX389"/>
      <c r="AY389" s="7"/>
      <c r="AZ389"/>
      <c r="BA389"/>
      <c r="BB389"/>
      <c r="BC389"/>
      <c r="BD389"/>
      <c r="BG389"/>
      <c r="BH389" s="7"/>
      <c r="BI389"/>
      <c r="BJ389"/>
      <c r="BK389"/>
      <c r="BL389"/>
      <c r="BM389"/>
      <c r="BP389"/>
      <c r="BQ389" s="7"/>
      <c r="BR389"/>
      <c r="BS389"/>
      <c r="BT389"/>
      <c r="BU389"/>
      <c r="BV389"/>
      <c r="BY389"/>
      <c r="BZ389" s="7"/>
      <c r="CA389"/>
      <c r="CB389"/>
      <c r="CC389"/>
      <c r="CD389"/>
      <c r="CE389"/>
      <c r="CH389"/>
    </row>
    <row r="390" spans="2:86">
      <c r="B390" s="7"/>
      <c r="C390"/>
      <c r="D390"/>
      <c r="E390"/>
      <c r="F390"/>
      <c r="G390"/>
      <c r="H390"/>
      <c r="O390" s="7"/>
      <c r="P390"/>
      <c r="Q390"/>
      <c r="R390"/>
      <c r="S390"/>
      <c r="T390"/>
      <c r="W390"/>
      <c r="X390" s="7"/>
      <c r="Y390"/>
      <c r="Z390"/>
      <c r="AA390"/>
      <c r="AB390"/>
      <c r="AC390"/>
      <c r="AF390"/>
      <c r="AG390" s="7"/>
      <c r="AH390"/>
      <c r="AI390"/>
      <c r="AJ390"/>
      <c r="AK390"/>
      <c r="AL390"/>
      <c r="AO390"/>
      <c r="AP390" s="7"/>
      <c r="AQ390"/>
      <c r="AR390"/>
      <c r="AS390"/>
      <c r="AT390"/>
      <c r="AU390"/>
      <c r="AX390"/>
      <c r="AY390" s="7"/>
      <c r="AZ390"/>
      <c r="BA390"/>
      <c r="BB390"/>
      <c r="BC390"/>
      <c r="BD390"/>
      <c r="BG390"/>
      <c r="BH390" s="7"/>
      <c r="BI390"/>
      <c r="BJ390"/>
      <c r="BK390"/>
      <c r="BL390"/>
      <c r="BM390"/>
      <c r="BP390"/>
      <c r="BQ390" s="7"/>
      <c r="BR390"/>
      <c r="BS390"/>
      <c r="BT390"/>
      <c r="BU390"/>
      <c r="BV390"/>
      <c r="BY390"/>
      <c r="BZ390" s="7"/>
      <c r="CA390"/>
      <c r="CB390"/>
      <c r="CC390"/>
      <c r="CD390"/>
      <c r="CE390"/>
      <c r="CH390"/>
    </row>
    <row r="391" spans="2:86">
      <c r="B391" s="7"/>
      <c r="C391"/>
      <c r="D391"/>
      <c r="E391"/>
      <c r="F391"/>
      <c r="G391"/>
      <c r="H391"/>
      <c r="O391" s="7"/>
      <c r="P391"/>
      <c r="Q391"/>
      <c r="R391"/>
      <c r="S391"/>
      <c r="T391"/>
      <c r="W391"/>
      <c r="X391" s="7"/>
      <c r="Y391"/>
      <c r="Z391"/>
      <c r="AA391"/>
      <c r="AB391"/>
      <c r="AC391"/>
      <c r="AF391"/>
      <c r="AG391" s="7"/>
      <c r="AH391"/>
      <c r="AI391"/>
      <c r="AJ391"/>
      <c r="AK391"/>
      <c r="AL391"/>
      <c r="AO391"/>
      <c r="AP391" s="7"/>
      <c r="AQ391"/>
      <c r="AR391"/>
      <c r="AS391"/>
      <c r="AT391"/>
      <c r="AU391"/>
      <c r="AX391"/>
      <c r="AY391" s="7"/>
      <c r="AZ391"/>
      <c r="BA391"/>
      <c r="BB391"/>
      <c r="BC391"/>
      <c r="BD391"/>
      <c r="BG391"/>
      <c r="BH391" s="7"/>
      <c r="BI391"/>
      <c r="BJ391"/>
      <c r="BK391"/>
      <c r="BL391"/>
      <c r="BM391"/>
      <c r="BP391"/>
      <c r="BQ391" s="7"/>
      <c r="BR391"/>
      <c r="BS391"/>
      <c r="BT391"/>
      <c r="BU391"/>
      <c r="BV391"/>
      <c r="BY391"/>
      <c r="BZ391" s="7"/>
      <c r="CA391"/>
      <c r="CB391"/>
      <c r="CC391"/>
      <c r="CD391"/>
      <c r="CE391"/>
      <c r="CH391"/>
    </row>
    <row r="392" spans="2:86">
      <c r="B392" s="7"/>
      <c r="C392"/>
      <c r="D392"/>
      <c r="E392"/>
      <c r="F392"/>
      <c r="G392"/>
      <c r="H392"/>
      <c r="O392" s="7"/>
      <c r="P392"/>
      <c r="Q392"/>
      <c r="R392"/>
      <c r="S392"/>
      <c r="T392"/>
      <c r="W392"/>
      <c r="X392" s="7"/>
      <c r="Y392"/>
      <c r="Z392"/>
      <c r="AA392"/>
      <c r="AB392"/>
      <c r="AC392"/>
      <c r="AF392"/>
      <c r="AG392" s="7"/>
      <c r="AH392"/>
      <c r="AI392"/>
      <c r="AJ392"/>
      <c r="AK392"/>
      <c r="AL392"/>
      <c r="AO392"/>
      <c r="AP392" s="7"/>
      <c r="AQ392"/>
      <c r="AR392"/>
      <c r="AS392"/>
      <c r="AT392"/>
      <c r="AU392"/>
      <c r="AX392"/>
      <c r="AY392" s="7"/>
      <c r="AZ392"/>
      <c r="BA392"/>
      <c r="BB392"/>
      <c r="BC392"/>
      <c r="BD392"/>
      <c r="BG392"/>
      <c r="BH392" s="7"/>
      <c r="BI392"/>
      <c r="BJ392"/>
      <c r="BK392"/>
      <c r="BL392"/>
      <c r="BM392"/>
      <c r="BP392"/>
      <c r="BQ392" s="7"/>
      <c r="BR392"/>
      <c r="BS392"/>
      <c r="BT392"/>
      <c r="BU392"/>
      <c r="BV392"/>
      <c r="BY392"/>
      <c r="BZ392" s="7"/>
      <c r="CA392"/>
      <c r="CB392"/>
      <c r="CC392"/>
      <c r="CD392"/>
      <c r="CE392"/>
      <c r="CH392"/>
    </row>
    <row r="393" spans="2:86">
      <c r="B393" s="7"/>
      <c r="C393"/>
      <c r="D393"/>
      <c r="E393"/>
      <c r="F393"/>
      <c r="G393"/>
      <c r="H393"/>
      <c r="O393" s="7"/>
      <c r="P393"/>
      <c r="Q393"/>
      <c r="R393"/>
      <c r="S393"/>
      <c r="T393"/>
      <c r="W393"/>
      <c r="X393" s="7"/>
      <c r="Y393"/>
      <c r="Z393"/>
      <c r="AA393"/>
      <c r="AB393"/>
      <c r="AC393"/>
      <c r="AF393"/>
      <c r="AG393" s="7"/>
      <c r="AH393"/>
      <c r="AI393"/>
      <c r="AJ393"/>
      <c r="AK393"/>
      <c r="AL393"/>
      <c r="AO393"/>
      <c r="AP393" s="7"/>
      <c r="AQ393"/>
      <c r="AR393"/>
      <c r="AS393"/>
      <c r="AT393"/>
      <c r="AU393"/>
      <c r="AX393"/>
      <c r="AY393" s="7"/>
      <c r="AZ393"/>
      <c r="BA393"/>
      <c r="BB393"/>
      <c r="BC393"/>
      <c r="BD393"/>
      <c r="BG393"/>
      <c r="BH393" s="7"/>
      <c r="BI393"/>
      <c r="BJ393"/>
      <c r="BK393"/>
      <c r="BL393"/>
      <c r="BM393"/>
      <c r="BP393"/>
      <c r="BQ393" s="7"/>
      <c r="BR393"/>
      <c r="BS393"/>
      <c r="BT393"/>
      <c r="BU393"/>
      <c r="BV393"/>
      <c r="BY393"/>
      <c r="BZ393" s="7"/>
      <c r="CA393"/>
      <c r="CB393"/>
      <c r="CC393"/>
      <c r="CD393"/>
      <c r="CE393"/>
      <c r="CH393"/>
    </row>
    <row r="394" spans="2:86">
      <c r="B394" s="7"/>
      <c r="C394"/>
      <c r="D394"/>
      <c r="E394"/>
      <c r="F394"/>
      <c r="G394"/>
      <c r="H394"/>
      <c r="O394" s="7"/>
      <c r="P394"/>
      <c r="Q394"/>
      <c r="R394"/>
      <c r="S394"/>
      <c r="T394"/>
      <c r="W394"/>
      <c r="X394" s="7"/>
      <c r="Y394"/>
      <c r="Z394"/>
      <c r="AA394"/>
      <c r="AB394"/>
      <c r="AC394"/>
      <c r="AF394"/>
      <c r="AG394" s="7"/>
      <c r="AH394"/>
      <c r="AI394"/>
      <c r="AJ394"/>
      <c r="AK394"/>
      <c r="AL394"/>
      <c r="AO394"/>
      <c r="AP394" s="7"/>
      <c r="AQ394"/>
      <c r="AR394"/>
      <c r="AS394"/>
      <c r="AT394"/>
      <c r="AU394"/>
      <c r="AX394"/>
      <c r="AY394" s="7"/>
      <c r="AZ394"/>
      <c r="BA394"/>
      <c r="BB394"/>
      <c r="BC394"/>
      <c r="BD394"/>
      <c r="BG394"/>
      <c r="BH394" s="7"/>
      <c r="BI394"/>
      <c r="BJ394"/>
      <c r="BK394"/>
      <c r="BL394"/>
      <c r="BM394"/>
      <c r="BP394"/>
      <c r="BQ394" s="7"/>
      <c r="BR394"/>
      <c r="BS394"/>
      <c r="BT394"/>
      <c r="BU394"/>
      <c r="BV394"/>
      <c r="BY394"/>
      <c r="BZ394" s="7"/>
      <c r="CA394"/>
      <c r="CB394"/>
      <c r="CC394"/>
      <c r="CD394"/>
      <c r="CE394"/>
      <c r="CH394"/>
    </row>
    <row r="395" spans="2:86">
      <c r="B395" s="7"/>
      <c r="C395"/>
      <c r="D395"/>
      <c r="E395"/>
      <c r="F395"/>
      <c r="G395"/>
      <c r="H395"/>
      <c r="O395" s="7"/>
      <c r="P395"/>
      <c r="Q395"/>
      <c r="R395"/>
      <c r="S395"/>
      <c r="T395"/>
      <c r="W395"/>
      <c r="X395" s="7"/>
      <c r="Y395"/>
      <c r="Z395"/>
      <c r="AA395"/>
      <c r="AB395"/>
      <c r="AC395"/>
      <c r="AF395"/>
      <c r="AG395" s="7"/>
      <c r="AH395"/>
      <c r="AI395"/>
      <c r="AJ395"/>
      <c r="AK395"/>
      <c r="AL395"/>
      <c r="AO395"/>
      <c r="AP395" s="7"/>
      <c r="AQ395"/>
      <c r="AR395"/>
      <c r="AS395"/>
      <c r="AT395"/>
      <c r="AU395"/>
      <c r="AX395"/>
      <c r="AY395" s="7"/>
      <c r="AZ395"/>
      <c r="BA395"/>
      <c r="BB395"/>
      <c r="BC395"/>
      <c r="BD395"/>
      <c r="BG395"/>
      <c r="BH395" s="7"/>
      <c r="BI395"/>
      <c r="BJ395"/>
      <c r="BK395"/>
      <c r="BL395"/>
      <c r="BM395"/>
      <c r="BP395"/>
      <c r="BQ395" s="7"/>
      <c r="BR395"/>
      <c r="BS395"/>
      <c r="BT395"/>
      <c r="BU395"/>
      <c r="BV395"/>
      <c r="BY395"/>
      <c r="BZ395" s="7"/>
      <c r="CA395"/>
      <c r="CB395"/>
      <c r="CC395"/>
      <c r="CD395"/>
      <c r="CE395"/>
      <c r="CH395"/>
    </row>
    <row r="396" spans="2:86">
      <c r="B396" s="7"/>
      <c r="C396"/>
      <c r="D396"/>
      <c r="E396"/>
      <c r="F396"/>
      <c r="G396"/>
      <c r="H396"/>
      <c r="O396" s="7"/>
      <c r="P396"/>
      <c r="Q396"/>
      <c r="R396"/>
      <c r="S396"/>
      <c r="T396"/>
      <c r="W396"/>
      <c r="X396" s="7"/>
      <c r="Y396"/>
      <c r="Z396"/>
      <c r="AA396"/>
      <c r="AB396"/>
      <c r="AC396"/>
      <c r="AF396"/>
      <c r="AG396" s="7"/>
      <c r="AH396"/>
      <c r="AI396"/>
      <c r="AJ396"/>
      <c r="AK396"/>
      <c r="AL396"/>
      <c r="AO396"/>
      <c r="AP396" s="7"/>
      <c r="AQ396"/>
      <c r="AR396"/>
      <c r="AS396"/>
      <c r="AT396"/>
      <c r="AU396"/>
      <c r="AX396"/>
      <c r="AY396" s="7"/>
      <c r="AZ396"/>
      <c r="BA396"/>
      <c r="BB396"/>
      <c r="BC396"/>
      <c r="BD396"/>
      <c r="BG396"/>
      <c r="BH396" s="7"/>
      <c r="BI396"/>
      <c r="BJ396"/>
      <c r="BK396"/>
      <c r="BL396"/>
      <c r="BM396"/>
      <c r="BP396"/>
      <c r="BQ396" s="7"/>
      <c r="BR396"/>
      <c r="BS396"/>
      <c r="BT396"/>
      <c r="BU396"/>
      <c r="BV396"/>
      <c r="BY396"/>
      <c r="BZ396" s="7"/>
      <c r="CA396"/>
      <c r="CB396"/>
      <c r="CC396"/>
      <c r="CD396"/>
      <c r="CE396"/>
      <c r="CH396"/>
    </row>
    <row r="397" spans="2:86">
      <c r="B397" s="7"/>
      <c r="C397"/>
      <c r="D397"/>
      <c r="E397"/>
      <c r="F397"/>
      <c r="G397"/>
      <c r="H397"/>
      <c r="O397" s="7"/>
      <c r="P397"/>
      <c r="Q397"/>
      <c r="R397"/>
      <c r="S397"/>
      <c r="T397"/>
      <c r="W397"/>
      <c r="X397" s="7"/>
      <c r="Y397"/>
      <c r="Z397"/>
      <c r="AA397"/>
      <c r="AB397"/>
      <c r="AC397"/>
      <c r="AF397"/>
      <c r="AG397" s="7"/>
      <c r="AH397"/>
      <c r="AI397"/>
      <c r="AJ397"/>
      <c r="AK397"/>
      <c r="AL397"/>
      <c r="AO397"/>
      <c r="AP397" s="7"/>
      <c r="AQ397"/>
      <c r="AR397"/>
      <c r="AS397"/>
      <c r="AT397"/>
      <c r="AU397"/>
      <c r="AX397"/>
      <c r="AY397" s="7"/>
      <c r="AZ397"/>
      <c r="BA397"/>
      <c r="BB397"/>
      <c r="BC397"/>
      <c r="BD397"/>
      <c r="BG397"/>
      <c r="BH397" s="7"/>
      <c r="BI397"/>
      <c r="BJ397"/>
      <c r="BK397"/>
      <c r="BL397"/>
      <c r="BM397"/>
      <c r="BP397"/>
      <c r="BQ397" s="7"/>
      <c r="BR397"/>
      <c r="BS397"/>
      <c r="BT397"/>
      <c r="BU397"/>
      <c r="BV397"/>
      <c r="BY397"/>
      <c r="BZ397" s="7"/>
      <c r="CA397"/>
      <c r="CB397"/>
      <c r="CC397"/>
      <c r="CD397"/>
      <c r="CE397"/>
      <c r="CH397"/>
    </row>
    <row r="398" spans="2:86">
      <c r="B398" s="7"/>
      <c r="C398"/>
      <c r="D398"/>
      <c r="E398"/>
      <c r="F398"/>
      <c r="G398"/>
      <c r="H398"/>
      <c r="O398" s="7"/>
      <c r="P398"/>
      <c r="Q398"/>
      <c r="R398"/>
      <c r="S398"/>
      <c r="T398"/>
      <c r="W398"/>
      <c r="X398" s="7"/>
      <c r="Y398"/>
      <c r="Z398"/>
      <c r="AA398"/>
      <c r="AB398"/>
      <c r="AC398"/>
      <c r="AF398"/>
      <c r="AG398" s="7"/>
      <c r="AH398"/>
      <c r="AI398"/>
      <c r="AJ398"/>
      <c r="AK398"/>
      <c r="AL398"/>
      <c r="AO398"/>
      <c r="AP398" s="7"/>
      <c r="AQ398"/>
      <c r="AR398"/>
      <c r="AS398"/>
      <c r="AT398"/>
      <c r="AU398"/>
      <c r="AX398"/>
      <c r="AY398" s="7"/>
      <c r="AZ398"/>
      <c r="BA398"/>
      <c r="BB398"/>
      <c r="BC398"/>
      <c r="BD398"/>
      <c r="BG398"/>
      <c r="BH398" s="7"/>
      <c r="BI398"/>
      <c r="BJ398"/>
      <c r="BK398"/>
      <c r="BL398"/>
      <c r="BM398"/>
      <c r="BP398"/>
      <c r="BQ398" s="7"/>
      <c r="BR398"/>
      <c r="BS398"/>
      <c r="BT398"/>
      <c r="BU398"/>
      <c r="BV398"/>
      <c r="BY398"/>
      <c r="BZ398" s="7"/>
      <c r="CA398"/>
      <c r="CB398"/>
      <c r="CC398"/>
      <c r="CD398"/>
      <c r="CE398"/>
      <c r="CH398"/>
    </row>
    <row r="399" spans="2:86">
      <c r="B399" s="7"/>
      <c r="C399"/>
      <c r="D399"/>
      <c r="E399"/>
      <c r="F399"/>
      <c r="G399"/>
      <c r="H399"/>
      <c r="O399" s="7"/>
      <c r="P399"/>
      <c r="Q399"/>
      <c r="R399"/>
      <c r="S399"/>
      <c r="T399"/>
      <c r="W399"/>
      <c r="X399" s="7"/>
      <c r="Y399"/>
      <c r="Z399"/>
      <c r="AA399"/>
      <c r="AB399"/>
      <c r="AC399"/>
      <c r="AF399"/>
      <c r="AG399" s="7"/>
      <c r="AH399"/>
      <c r="AI399"/>
      <c r="AJ399"/>
      <c r="AK399"/>
      <c r="AL399"/>
      <c r="AO399"/>
      <c r="AP399" s="7"/>
      <c r="AQ399"/>
      <c r="AR399"/>
      <c r="AS399"/>
      <c r="AT399"/>
      <c r="AU399"/>
      <c r="AX399"/>
      <c r="AY399" s="7"/>
      <c r="AZ399"/>
      <c r="BA399"/>
      <c r="BB399"/>
      <c r="BC399"/>
      <c r="BD399"/>
      <c r="BG399"/>
      <c r="BH399" s="7"/>
      <c r="BI399"/>
      <c r="BJ399"/>
      <c r="BK399"/>
      <c r="BL399"/>
      <c r="BM399"/>
      <c r="BP399"/>
      <c r="BQ399" s="7"/>
      <c r="BR399"/>
      <c r="BS399"/>
      <c r="BT399"/>
      <c r="BU399"/>
      <c r="BV399"/>
      <c r="BY399"/>
      <c r="BZ399" s="7"/>
      <c r="CA399"/>
      <c r="CB399"/>
      <c r="CC399"/>
      <c r="CD399"/>
      <c r="CE399"/>
      <c r="CH399"/>
    </row>
    <row r="400" spans="2:86">
      <c r="B400" s="7"/>
      <c r="C400"/>
      <c r="D400"/>
      <c r="E400"/>
      <c r="F400"/>
      <c r="G400"/>
      <c r="H400"/>
      <c r="O400" s="7"/>
      <c r="P400"/>
      <c r="Q400"/>
      <c r="R400"/>
      <c r="S400"/>
      <c r="T400"/>
      <c r="W400"/>
      <c r="X400" s="7"/>
      <c r="Y400"/>
      <c r="Z400"/>
      <c r="AA400"/>
      <c r="AB400"/>
      <c r="AC400"/>
      <c r="AF400"/>
      <c r="AG400" s="7"/>
      <c r="AH400"/>
      <c r="AI400"/>
      <c r="AJ400"/>
      <c r="AK400"/>
      <c r="AL400"/>
      <c r="AO400"/>
      <c r="AP400" s="7"/>
      <c r="AQ400"/>
      <c r="AR400"/>
      <c r="AS400"/>
      <c r="AT400"/>
      <c r="AU400"/>
      <c r="AX400"/>
      <c r="AY400" s="7"/>
      <c r="AZ400"/>
      <c r="BA400"/>
      <c r="BB400"/>
      <c r="BC400"/>
      <c r="BD400"/>
      <c r="BG400"/>
      <c r="BH400" s="7"/>
      <c r="BI400"/>
      <c r="BJ400"/>
      <c r="BK400"/>
      <c r="BL400"/>
      <c r="BM400"/>
      <c r="BP400"/>
      <c r="BQ400" s="7"/>
      <c r="BR400"/>
      <c r="BS400"/>
      <c r="BT400"/>
      <c r="BU400"/>
      <c r="BV400"/>
      <c r="BY400"/>
      <c r="BZ400" s="7"/>
      <c r="CA400"/>
      <c r="CB400"/>
      <c r="CC400"/>
      <c r="CD400"/>
      <c r="CE400"/>
      <c r="CH400"/>
    </row>
    <row r="401" spans="2:86">
      <c r="B401" s="7"/>
      <c r="C401"/>
      <c r="D401"/>
      <c r="E401"/>
      <c r="F401"/>
      <c r="G401"/>
      <c r="H401"/>
      <c r="O401" s="7"/>
      <c r="P401"/>
      <c r="Q401"/>
      <c r="R401"/>
      <c r="S401"/>
      <c r="T401"/>
      <c r="W401"/>
      <c r="X401" s="7"/>
      <c r="Y401"/>
      <c r="Z401"/>
      <c r="AA401"/>
      <c r="AB401"/>
      <c r="AC401"/>
      <c r="AF401"/>
      <c r="AG401" s="7"/>
      <c r="AH401"/>
      <c r="AI401"/>
      <c r="AJ401"/>
      <c r="AK401"/>
      <c r="AL401"/>
      <c r="AO401"/>
      <c r="AP401" s="7"/>
      <c r="AQ401"/>
      <c r="AR401"/>
      <c r="AS401"/>
      <c r="AT401"/>
      <c r="AU401"/>
      <c r="AX401"/>
      <c r="AY401" s="7"/>
      <c r="AZ401"/>
      <c r="BA401"/>
      <c r="BB401"/>
      <c r="BC401"/>
      <c r="BD401"/>
      <c r="BG401"/>
      <c r="BH401" s="7"/>
      <c r="BI401"/>
      <c r="BJ401"/>
      <c r="BK401"/>
      <c r="BL401"/>
      <c r="BM401"/>
      <c r="BP401"/>
      <c r="BQ401" s="7"/>
      <c r="BR401"/>
      <c r="BS401"/>
      <c r="BT401"/>
      <c r="BU401"/>
      <c r="BV401"/>
      <c r="BY401"/>
      <c r="BZ401" s="7"/>
      <c r="CA401"/>
      <c r="CB401"/>
      <c r="CC401"/>
      <c r="CD401"/>
      <c r="CE401"/>
      <c r="CH401"/>
    </row>
    <row r="402" spans="2:86">
      <c r="B402" s="7"/>
      <c r="C402"/>
      <c r="D402"/>
      <c r="E402"/>
      <c r="F402"/>
      <c r="G402"/>
      <c r="H402"/>
      <c r="O402" s="7"/>
      <c r="P402"/>
      <c r="Q402"/>
      <c r="R402"/>
      <c r="S402"/>
      <c r="T402"/>
      <c r="W402"/>
      <c r="X402" s="7"/>
      <c r="Y402"/>
      <c r="Z402"/>
      <c r="AA402"/>
      <c r="AB402"/>
      <c r="AC402"/>
      <c r="AF402"/>
      <c r="AG402" s="7"/>
      <c r="AH402"/>
      <c r="AI402"/>
      <c r="AJ402"/>
      <c r="AK402"/>
      <c r="AL402"/>
      <c r="AO402"/>
      <c r="AP402" s="7"/>
      <c r="AQ402"/>
      <c r="AR402"/>
      <c r="AS402"/>
      <c r="AT402"/>
      <c r="AU402"/>
      <c r="AX402"/>
      <c r="AY402" s="7"/>
      <c r="AZ402"/>
      <c r="BA402"/>
      <c r="BB402"/>
      <c r="BC402"/>
      <c r="BD402"/>
      <c r="BG402"/>
      <c r="BH402" s="7"/>
      <c r="BI402"/>
      <c r="BJ402"/>
      <c r="BK402"/>
      <c r="BL402"/>
      <c r="BM402"/>
      <c r="BP402"/>
      <c r="BQ402" s="7"/>
      <c r="BR402"/>
      <c r="BS402"/>
      <c r="BT402"/>
      <c r="BU402"/>
      <c r="BV402"/>
      <c r="BY402"/>
      <c r="BZ402" s="7"/>
      <c r="CA402"/>
      <c r="CB402"/>
      <c r="CC402"/>
      <c r="CD402"/>
      <c r="CE402"/>
      <c r="CH402"/>
    </row>
    <row r="403" spans="2:86">
      <c r="B403" s="7"/>
      <c r="C403"/>
      <c r="D403"/>
      <c r="E403"/>
      <c r="F403"/>
      <c r="G403"/>
      <c r="H403"/>
      <c r="O403" s="7"/>
      <c r="P403"/>
      <c r="Q403"/>
      <c r="R403"/>
      <c r="S403"/>
      <c r="T403"/>
      <c r="W403"/>
      <c r="X403" s="7"/>
      <c r="Y403"/>
      <c r="Z403"/>
      <c r="AA403"/>
      <c r="AB403"/>
      <c r="AC403"/>
      <c r="AF403"/>
      <c r="AG403" s="7"/>
      <c r="AH403"/>
      <c r="AI403"/>
      <c r="AJ403"/>
      <c r="AK403"/>
      <c r="AL403"/>
      <c r="AO403"/>
      <c r="AP403" s="7"/>
      <c r="AQ403"/>
      <c r="AR403"/>
      <c r="AS403"/>
      <c r="AT403"/>
      <c r="AU403"/>
      <c r="AX403"/>
      <c r="AY403" s="7"/>
      <c r="AZ403"/>
      <c r="BA403"/>
      <c r="BB403"/>
      <c r="BC403"/>
      <c r="BD403"/>
      <c r="BG403"/>
      <c r="BH403" s="7"/>
      <c r="BI403"/>
      <c r="BJ403"/>
      <c r="BK403"/>
      <c r="BL403"/>
      <c r="BM403"/>
      <c r="BP403"/>
      <c r="BQ403" s="7"/>
      <c r="BR403"/>
      <c r="BS403"/>
      <c r="BT403"/>
      <c r="BU403"/>
      <c r="BV403"/>
      <c r="BY403"/>
      <c r="BZ403" s="7"/>
      <c r="CA403"/>
      <c r="CB403"/>
      <c r="CC403"/>
      <c r="CD403"/>
      <c r="CE403"/>
      <c r="CH403"/>
    </row>
    <row r="404" spans="2:86">
      <c r="B404" s="7"/>
      <c r="C404"/>
      <c r="D404"/>
      <c r="E404"/>
      <c r="F404"/>
      <c r="G404"/>
      <c r="H404"/>
      <c r="O404" s="7"/>
      <c r="P404"/>
      <c r="Q404"/>
      <c r="R404"/>
      <c r="S404"/>
      <c r="T404"/>
      <c r="W404"/>
      <c r="X404" s="7"/>
      <c r="Y404"/>
      <c r="Z404"/>
      <c r="AA404"/>
      <c r="AB404"/>
      <c r="AC404"/>
      <c r="AF404"/>
      <c r="AG404" s="7"/>
      <c r="AH404"/>
      <c r="AI404"/>
      <c r="AJ404"/>
      <c r="AK404"/>
      <c r="AL404"/>
      <c r="AO404"/>
      <c r="AP404" s="7"/>
      <c r="AQ404"/>
      <c r="AR404"/>
      <c r="AS404"/>
      <c r="AT404"/>
      <c r="AU404"/>
      <c r="AX404"/>
      <c r="AY404" s="7"/>
      <c r="AZ404"/>
      <c r="BA404"/>
      <c r="BB404"/>
      <c r="BC404"/>
      <c r="BD404"/>
      <c r="BG404"/>
      <c r="BH404" s="7"/>
      <c r="BI404"/>
      <c r="BJ404"/>
      <c r="BK404"/>
      <c r="BL404"/>
      <c r="BM404"/>
      <c r="BP404"/>
      <c r="BQ404" s="7"/>
      <c r="BR404"/>
      <c r="BS404"/>
      <c r="BT404"/>
      <c r="BU404"/>
      <c r="BV404"/>
      <c r="BY404"/>
      <c r="BZ404" s="7"/>
      <c r="CA404"/>
      <c r="CB404"/>
      <c r="CC404"/>
      <c r="CD404"/>
      <c r="CE404"/>
      <c r="CH404"/>
    </row>
    <row r="405" spans="2:86">
      <c r="B405" s="7"/>
      <c r="C405"/>
      <c r="D405"/>
      <c r="E405"/>
      <c r="F405"/>
      <c r="G405"/>
      <c r="H405"/>
      <c r="O405" s="7"/>
      <c r="P405"/>
      <c r="Q405"/>
      <c r="R405"/>
      <c r="S405"/>
      <c r="T405"/>
      <c r="W405"/>
      <c r="X405" s="7"/>
      <c r="Y405"/>
      <c r="Z405"/>
      <c r="AA405"/>
      <c r="AB405"/>
      <c r="AC405"/>
      <c r="AF405"/>
      <c r="AG405" s="7"/>
      <c r="AH405"/>
      <c r="AI405"/>
      <c r="AJ405"/>
      <c r="AK405"/>
      <c r="AL405"/>
      <c r="AO405"/>
      <c r="AP405" s="7"/>
      <c r="AQ405"/>
      <c r="AR405"/>
      <c r="AS405"/>
      <c r="AT405"/>
      <c r="AU405"/>
      <c r="AX405"/>
      <c r="AY405" s="7"/>
      <c r="AZ405"/>
      <c r="BA405"/>
      <c r="BB405"/>
      <c r="BC405"/>
      <c r="BD405"/>
      <c r="BG405"/>
      <c r="BH405" s="7"/>
      <c r="BI405"/>
      <c r="BJ405"/>
      <c r="BK405"/>
      <c r="BL405"/>
      <c r="BM405"/>
      <c r="BP405"/>
      <c r="BQ405" s="7"/>
      <c r="BR405"/>
      <c r="BS405"/>
      <c r="BT405"/>
      <c r="BU405"/>
      <c r="BV405"/>
      <c r="BY405"/>
      <c r="BZ405" s="7"/>
      <c r="CA405"/>
      <c r="CB405"/>
      <c r="CC405"/>
      <c r="CD405"/>
      <c r="CE405"/>
      <c r="CH405"/>
    </row>
    <row r="406" spans="2:86">
      <c r="B406" s="7"/>
      <c r="C406"/>
      <c r="D406"/>
      <c r="E406"/>
      <c r="F406"/>
      <c r="G406"/>
      <c r="H406"/>
      <c r="O406" s="7"/>
      <c r="P406"/>
      <c r="Q406"/>
      <c r="R406"/>
      <c r="S406"/>
      <c r="T406"/>
      <c r="W406"/>
      <c r="X406" s="7"/>
      <c r="Y406"/>
      <c r="Z406"/>
      <c r="AA406"/>
      <c r="AB406"/>
      <c r="AC406"/>
      <c r="AF406"/>
      <c r="AG406" s="7"/>
      <c r="AH406"/>
      <c r="AI406"/>
      <c r="AJ406"/>
      <c r="AK406"/>
      <c r="AL406"/>
      <c r="AO406"/>
      <c r="AP406" s="7"/>
      <c r="AQ406"/>
      <c r="AR406"/>
      <c r="AS406"/>
      <c r="AT406"/>
      <c r="AU406"/>
      <c r="AX406"/>
      <c r="AY406" s="7"/>
      <c r="AZ406"/>
      <c r="BA406"/>
      <c r="BB406"/>
      <c r="BC406"/>
      <c r="BD406"/>
      <c r="BG406"/>
      <c r="BH406" s="7"/>
      <c r="BI406"/>
      <c r="BJ406"/>
      <c r="BK406"/>
      <c r="BL406"/>
      <c r="BM406"/>
      <c r="BP406"/>
      <c r="BQ406" s="7"/>
      <c r="BR406"/>
      <c r="BS406"/>
      <c r="BT406"/>
      <c r="BU406"/>
      <c r="BV406"/>
      <c r="BY406"/>
      <c r="BZ406" s="7"/>
      <c r="CA406"/>
      <c r="CB406"/>
      <c r="CC406"/>
      <c r="CD406"/>
      <c r="CE406"/>
      <c r="CH406"/>
    </row>
    <row r="407" spans="2:86">
      <c r="B407" s="7"/>
      <c r="C407"/>
      <c r="D407"/>
      <c r="E407"/>
      <c r="F407"/>
      <c r="G407"/>
      <c r="H407"/>
      <c r="O407" s="7"/>
      <c r="P407"/>
      <c r="Q407"/>
      <c r="R407"/>
      <c r="S407"/>
      <c r="T407"/>
      <c r="W407"/>
      <c r="X407" s="7"/>
      <c r="Y407"/>
      <c r="Z407"/>
      <c r="AA407"/>
      <c r="AB407"/>
      <c r="AC407"/>
      <c r="AF407"/>
      <c r="AG407" s="7"/>
      <c r="AH407"/>
      <c r="AI407"/>
      <c r="AJ407"/>
      <c r="AK407"/>
      <c r="AL407"/>
      <c r="AO407"/>
      <c r="AP407" s="7"/>
      <c r="AQ407"/>
      <c r="AR407"/>
      <c r="AS407"/>
      <c r="AT407"/>
      <c r="AU407"/>
      <c r="AX407"/>
      <c r="AY407" s="7"/>
      <c r="AZ407"/>
      <c r="BA407"/>
      <c r="BB407"/>
      <c r="BC407"/>
      <c r="BD407"/>
      <c r="BG407"/>
      <c r="BH407" s="7"/>
      <c r="BI407"/>
      <c r="BJ407"/>
      <c r="BK407"/>
      <c r="BL407"/>
      <c r="BM407"/>
      <c r="BP407"/>
      <c r="BQ407" s="7"/>
      <c r="BR407"/>
      <c r="BS407"/>
      <c r="BT407"/>
      <c r="BU407"/>
      <c r="BV407"/>
      <c r="BY407"/>
      <c r="BZ407" s="7"/>
      <c r="CA407"/>
      <c r="CB407"/>
      <c r="CC407"/>
      <c r="CD407"/>
      <c r="CE407"/>
      <c r="CH407"/>
    </row>
    <row r="408" spans="2:86">
      <c r="B408" s="7"/>
      <c r="C408"/>
      <c r="D408"/>
      <c r="E408"/>
      <c r="F408"/>
      <c r="G408"/>
      <c r="H408"/>
      <c r="O408" s="7"/>
      <c r="P408"/>
      <c r="Q408"/>
      <c r="R408"/>
      <c r="S408"/>
      <c r="T408"/>
      <c r="W408"/>
      <c r="X408" s="7"/>
      <c r="Y408"/>
      <c r="Z408"/>
      <c r="AA408"/>
      <c r="AB408"/>
      <c r="AC408"/>
      <c r="AF408"/>
      <c r="AG408" s="7"/>
      <c r="AH408"/>
      <c r="AI408"/>
      <c r="AJ408"/>
      <c r="AK408"/>
      <c r="AL408"/>
      <c r="AO408"/>
      <c r="AP408" s="7"/>
      <c r="AQ408"/>
      <c r="AR408"/>
      <c r="AS408"/>
      <c r="AT408"/>
      <c r="AU408"/>
      <c r="AX408"/>
      <c r="AY408" s="7"/>
      <c r="AZ408"/>
      <c r="BA408"/>
      <c r="BB408"/>
      <c r="BC408"/>
      <c r="BD408"/>
      <c r="BG408"/>
      <c r="BH408" s="7"/>
      <c r="BI408"/>
      <c r="BJ408"/>
      <c r="BK408"/>
      <c r="BL408"/>
      <c r="BM408"/>
      <c r="BP408"/>
      <c r="BQ408" s="7"/>
      <c r="BR408"/>
      <c r="BS408"/>
      <c r="BT408"/>
      <c r="BU408"/>
      <c r="BV408"/>
      <c r="BY408"/>
      <c r="BZ408" s="7"/>
      <c r="CA408"/>
      <c r="CB408"/>
      <c r="CC408"/>
      <c r="CD408"/>
      <c r="CE408"/>
      <c r="CH408"/>
    </row>
    <row r="409" spans="2:86">
      <c r="B409" s="7"/>
      <c r="C409"/>
      <c r="D409"/>
      <c r="E409"/>
      <c r="F409"/>
      <c r="G409"/>
      <c r="H409"/>
      <c r="O409" s="7"/>
      <c r="P409"/>
      <c r="Q409"/>
      <c r="R409"/>
      <c r="S409"/>
      <c r="T409"/>
      <c r="W409"/>
      <c r="X409" s="7"/>
      <c r="Y409"/>
      <c r="Z409"/>
      <c r="AA409"/>
      <c r="AB409"/>
      <c r="AC409"/>
      <c r="AF409"/>
      <c r="AG409" s="7"/>
      <c r="AH409"/>
      <c r="AI409"/>
      <c r="AJ409"/>
      <c r="AK409"/>
      <c r="AL409"/>
      <c r="AO409"/>
      <c r="AP409" s="7"/>
      <c r="AQ409"/>
      <c r="AR409"/>
      <c r="AS409"/>
      <c r="AT409"/>
      <c r="AU409"/>
      <c r="AX409"/>
      <c r="AY409" s="7"/>
      <c r="AZ409"/>
      <c r="BA409"/>
      <c r="BB409"/>
      <c r="BC409"/>
      <c r="BD409"/>
      <c r="BG409"/>
      <c r="BH409" s="7"/>
      <c r="BI409"/>
      <c r="BJ409"/>
      <c r="BK409"/>
      <c r="BL409"/>
      <c r="BM409"/>
      <c r="BP409"/>
      <c r="BQ409" s="7"/>
      <c r="BR409"/>
      <c r="BS409"/>
      <c r="BT409"/>
      <c r="BU409"/>
      <c r="BV409"/>
      <c r="BY409"/>
      <c r="BZ409" s="7"/>
      <c r="CA409"/>
      <c r="CB409"/>
      <c r="CC409"/>
      <c r="CD409"/>
      <c r="CE409"/>
      <c r="CH409"/>
    </row>
    <row r="410" spans="2:86">
      <c r="B410" s="7"/>
      <c r="C410"/>
      <c r="D410"/>
      <c r="E410"/>
      <c r="F410"/>
      <c r="G410"/>
      <c r="H410"/>
      <c r="O410" s="7"/>
      <c r="P410"/>
      <c r="Q410"/>
      <c r="R410"/>
      <c r="S410"/>
      <c r="T410"/>
      <c r="W410"/>
      <c r="X410" s="7"/>
      <c r="Y410"/>
      <c r="Z410"/>
      <c r="AA410"/>
      <c r="AB410"/>
      <c r="AC410"/>
      <c r="AF410"/>
      <c r="AG410" s="7"/>
      <c r="AH410"/>
      <c r="AI410"/>
      <c r="AJ410"/>
      <c r="AK410"/>
      <c r="AL410"/>
      <c r="AO410"/>
      <c r="AP410" s="7"/>
      <c r="AQ410"/>
      <c r="AR410"/>
      <c r="AS410"/>
      <c r="AT410"/>
      <c r="AU410"/>
      <c r="AX410"/>
      <c r="AY410" s="7"/>
      <c r="AZ410"/>
      <c r="BA410"/>
      <c r="BB410"/>
      <c r="BC410"/>
      <c r="BD410"/>
      <c r="BG410"/>
      <c r="BH410" s="7"/>
      <c r="BI410"/>
      <c r="BJ410"/>
      <c r="BK410"/>
      <c r="BL410"/>
      <c r="BM410"/>
      <c r="BP410"/>
      <c r="BQ410" s="7"/>
      <c r="BR410"/>
      <c r="BS410"/>
      <c r="BT410"/>
      <c r="BU410"/>
      <c r="BV410"/>
      <c r="BY410"/>
      <c r="BZ410" s="7"/>
      <c r="CA410"/>
      <c r="CB410"/>
      <c r="CC410"/>
      <c r="CD410"/>
      <c r="CE410"/>
      <c r="CH410"/>
    </row>
    <row r="411" spans="2:86">
      <c r="B411" s="7"/>
      <c r="C411"/>
      <c r="D411"/>
      <c r="E411"/>
      <c r="F411"/>
      <c r="G411"/>
      <c r="H411"/>
      <c r="O411" s="7"/>
      <c r="P411"/>
      <c r="Q411"/>
      <c r="R411"/>
      <c r="S411"/>
      <c r="T411"/>
      <c r="W411"/>
      <c r="X411" s="7"/>
      <c r="Y411"/>
      <c r="Z411"/>
      <c r="AA411"/>
      <c r="AB411"/>
      <c r="AC411"/>
      <c r="AF411"/>
      <c r="AG411" s="7"/>
      <c r="AH411"/>
      <c r="AI411"/>
      <c r="AJ411"/>
      <c r="AK411"/>
      <c r="AL411"/>
      <c r="AO411"/>
      <c r="AP411" s="7"/>
      <c r="AQ411"/>
      <c r="AR411"/>
      <c r="AS411"/>
      <c r="AT411"/>
      <c r="AU411"/>
      <c r="AX411"/>
      <c r="AY411" s="7"/>
      <c r="AZ411"/>
      <c r="BA411"/>
      <c r="BB411"/>
      <c r="BC411"/>
      <c r="BD411"/>
      <c r="BG411"/>
      <c r="BH411" s="7"/>
      <c r="BI411"/>
      <c r="BJ411"/>
      <c r="BK411"/>
      <c r="BL411"/>
      <c r="BM411"/>
      <c r="BP411"/>
      <c r="BQ411" s="7"/>
      <c r="BR411"/>
      <c r="BS411"/>
      <c r="BT411"/>
      <c r="BU411"/>
      <c r="BV411"/>
      <c r="BY411"/>
      <c r="BZ411" s="7"/>
      <c r="CA411"/>
      <c r="CB411"/>
      <c r="CC411"/>
      <c r="CD411"/>
      <c r="CE411"/>
      <c r="CH411"/>
    </row>
    <row r="412" spans="2:86">
      <c r="B412" s="7"/>
      <c r="C412"/>
      <c r="D412"/>
      <c r="E412"/>
      <c r="F412"/>
      <c r="G412"/>
      <c r="H412"/>
      <c r="O412" s="7"/>
      <c r="P412"/>
      <c r="Q412"/>
      <c r="R412"/>
      <c r="S412"/>
      <c r="T412"/>
      <c r="W412"/>
      <c r="X412" s="7"/>
      <c r="Y412"/>
      <c r="Z412"/>
      <c r="AA412"/>
      <c r="AB412"/>
      <c r="AC412"/>
      <c r="AF412"/>
      <c r="AG412" s="7"/>
      <c r="AH412"/>
      <c r="AI412"/>
      <c r="AJ412"/>
      <c r="AK412"/>
      <c r="AL412"/>
      <c r="AO412"/>
      <c r="AP412" s="7"/>
      <c r="AQ412"/>
      <c r="AR412"/>
      <c r="AS412"/>
      <c r="AT412"/>
      <c r="AU412"/>
      <c r="AX412"/>
      <c r="AY412" s="7"/>
      <c r="AZ412"/>
      <c r="BA412"/>
      <c r="BB412"/>
      <c r="BC412"/>
      <c r="BD412"/>
      <c r="BG412"/>
      <c r="BH412" s="7"/>
      <c r="BI412"/>
      <c r="BJ412"/>
      <c r="BK412"/>
      <c r="BL412"/>
      <c r="BM412"/>
      <c r="BP412"/>
      <c r="BQ412" s="7"/>
      <c r="BR412"/>
      <c r="BS412"/>
      <c r="BT412"/>
      <c r="BU412"/>
      <c r="BV412"/>
      <c r="BY412"/>
      <c r="BZ412" s="7"/>
      <c r="CA412"/>
      <c r="CB412"/>
      <c r="CC412"/>
      <c r="CD412"/>
      <c r="CE412"/>
      <c r="CH412"/>
    </row>
    <row r="413" spans="2:86">
      <c r="B413" s="7"/>
      <c r="C413"/>
      <c r="D413"/>
      <c r="E413"/>
      <c r="F413"/>
      <c r="G413"/>
      <c r="H413"/>
      <c r="O413" s="7"/>
      <c r="P413"/>
      <c r="Q413"/>
      <c r="R413"/>
      <c r="S413"/>
      <c r="T413"/>
      <c r="W413"/>
      <c r="X413" s="7"/>
      <c r="Y413"/>
      <c r="Z413"/>
      <c r="AA413"/>
      <c r="AB413"/>
      <c r="AC413"/>
      <c r="AF413"/>
      <c r="AG413" s="7"/>
      <c r="AH413"/>
      <c r="AI413"/>
      <c r="AJ413"/>
      <c r="AK413"/>
      <c r="AL413"/>
      <c r="AO413"/>
      <c r="AP413" s="7"/>
      <c r="AQ413"/>
      <c r="AR413"/>
      <c r="AS413"/>
      <c r="AT413"/>
      <c r="AU413"/>
      <c r="AX413"/>
      <c r="AY413" s="7"/>
      <c r="AZ413"/>
      <c r="BA413"/>
      <c r="BB413"/>
      <c r="BC413"/>
      <c r="BD413"/>
      <c r="BG413"/>
      <c r="BH413" s="7"/>
      <c r="BI413"/>
      <c r="BJ413"/>
      <c r="BK413"/>
      <c r="BL413"/>
      <c r="BM413"/>
      <c r="BP413"/>
      <c r="BQ413" s="7"/>
      <c r="BR413"/>
      <c r="BS413"/>
      <c r="BT413"/>
      <c r="BU413"/>
      <c r="BV413"/>
      <c r="BY413"/>
      <c r="BZ413" s="7"/>
      <c r="CA413"/>
      <c r="CB413"/>
      <c r="CC413"/>
      <c r="CD413"/>
      <c r="CE413"/>
      <c r="CH413"/>
    </row>
    <row r="414" spans="2:86">
      <c r="B414" s="7"/>
      <c r="C414"/>
      <c r="D414"/>
      <c r="E414"/>
      <c r="F414"/>
      <c r="G414"/>
      <c r="H414"/>
      <c r="O414" s="7"/>
      <c r="P414"/>
      <c r="Q414"/>
      <c r="R414"/>
      <c r="S414"/>
      <c r="T414"/>
      <c r="W414"/>
      <c r="X414" s="7"/>
      <c r="Y414"/>
      <c r="Z414"/>
      <c r="AA414"/>
      <c r="AB414"/>
      <c r="AC414"/>
      <c r="AF414"/>
      <c r="AG414" s="7"/>
      <c r="AH414"/>
      <c r="AI414"/>
      <c r="AJ414"/>
      <c r="AK414"/>
      <c r="AL414"/>
      <c r="AO414"/>
      <c r="AP414" s="7"/>
      <c r="AQ414"/>
      <c r="AR414"/>
      <c r="AS414"/>
      <c r="AT414"/>
      <c r="AU414"/>
      <c r="AX414"/>
      <c r="AY414" s="7"/>
      <c r="AZ414"/>
      <c r="BA414"/>
      <c r="BB414"/>
      <c r="BC414"/>
      <c r="BD414"/>
      <c r="BG414"/>
      <c r="BH414" s="7"/>
      <c r="BI414"/>
      <c r="BJ414"/>
      <c r="BK414"/>
      <c r="BL414"/>
      <c r="BM414"/>
      <c r="BP414"/>
      <c r="BQ414" s="7"/>
      <c r="BR414"/>
      <c r="BS414"/>
      <c r="BT414"/>
      <c r="BU414"/>
      <c r="BV414"/>
      <c r="BY414"/>
      <c r="BZ414" s="7"/>
      <c r="CA414"/>
      <c r="CB414"/>
      <c r="CC414"/>
      <c r="CD414"/>
      <c r="CE414"/>
      <c r="CH414"/>
    </row>
    <row r="415" spans="2:86">
      <c r="B415" s="7"/>
      <c r="C415"/>
      <c r="D415"/>
      <c r="E415"/>
      <c r="F415"/>
      <c r="G415"/>
      <c r="H415"/>
      <c r="O415" s="7"/>
      <c r="P415"/>
      <c r="Q415"/>
      <c r="R415"/>
      <c r="S415"/>
      <c r="T415"/>
      <c r="W415"/>
      <c r="X415" s="7"/>
      <c r="Y415"/>
      <c r="Z415"/>
      <c r="AA415"/>
      <c r="AB415"/>
      <c r="AC415"/>
      <c r="AF415"/>
      <c r="AG415" s="7"/>
      <c r="AH415"/>
      <c r="AI415"/>
      <c r="AJ415"/>
      <c r="AK415"/>
      <c r="AL415"/>
      <c r="AO415"/>
      <c r="AP415" s="7"/>
      <c r="AQ415"/>
      <c r="AR415"/>
      <c r="AS415"/>
      <c r="AT415"/>
      <c r="AU415"/>
      <c r="AX415"/>
      <c r="AY415" s="7"/>
      <c r="AZ415"/>
      <c r="BA415"/>
      <c r="BB415"/>
      <c r="BC415"/>
      <c r="BD415"/>
      <c r="BG415"/>
      <c r="BH415" s="7"/>
      <c r="BI415"/>
      <c r="BJ415"/>
      <c r="BK415"/>
      <c r="BL415"/>
      <c r="BM415"/>
      <c r="BP415"/>
      <c r="BQ415" s="7"/>
      <c r="BR415"/>
      <c r="BS415"/>
      <c r="BT415"/>
      <c r="BU415"/>
      <c r="BV415"/>
      <c r="BY415"/>
      <c r="BZ415" s="7"/>
      <c r="CA415"/>
      <c r="CB415"/>
      <c r="CC415"/>
      <c r="CD415"/>
      <c r="CE415"/>
      <c r="CH415"/>
    </row>
    <row r="416" spans="2:86">
      <c r="B416" s="7"/>
      <c r="C416"/>
      <c r="D416"/>
      <c r="E416"/>
      <c r="F416"/>
      <c r="G416"/>
      <c r="H416"/>
      <c r="O416" s="7"/>
      <c r="P416"/>
      <c r="Q416"/>
      <c r="R416"/>
      <c r="S416"/>
      <c r="T416"/>
      <c r="W416"/>
      <c r="X416" s="7"/>
      <c r="Y416"/>
      <c r="Z416"/>
      <c r="AA416"/>
      <c r="AB416"/>
      <c r="AC416"/>
      <c r="AF416"/>
      <c r="AG416" s="7"/>
      <c r="AH416"/>
      <c r="AI416"/>
      <c r="AJ416"/>
      <c r="AK416"/>
      <c r="AL416"/>
      <c r="AO416"/>
      <c r="AP416" s="7"/>
      <c r="AQ416"/>
      <c r="AR416"/>
      <c r="AS416"/>
      <c r="AT416"/>
      <c r="AU416"/>
      <c r="AX416"/>
      <c r="AY416" s="7"/>
      <c r="AZ416"/>
      <c r="BA416"/>
      <c r="BB416"/>
      <c r="BC416"/>
      <c r="BD416"/>
      <c r="BG416"/>
      <c r="BH416" s="7"/>
      <c r="BI416"/>
      <c r="BJ416"/>
      <c r="BK416"/>
      <c r="BL416"/>
      <c r="BM416"/>
      <c r="BP416"/>
      <c r="BQ416" s="7"/>
      <c r="BR416"/>
      <c r="BS416"/>
      <c r="BT416"/>
      <c r="BU416"/>
      <c r="BV416"/>
      <c r="BY416"/>
      <c r="BZ416" s="7"/>
      <c r="CA416"/>
      <c r="CB416"/>
      <c r="CC416"/>
      <c r="CD416"/>
      <c r="CE416"/>
      <c r="CH416"/>
    </row>
    <row r="417" spans="2:86">
      <c r="B417" s="7"/>
      <c r="C417"/>
      <c r="D417"/>
      <c r="E417"/>
      <c r="F417"/>
      <c r="G417"/>
      <c r="H417"/>
      <c r="O417" s="7"/>
      <c r="P417"/>
      <c r="Q417"/>
      <c r="R417"/>
      <c r="S417"/>
      <c r="T417"/>
      <c r="W417"/>
      <c r="X417" s="7"/>
      <c r="Y417"/>
      <c r="Z417"/>
      <c r="AA417"/>
      <c r="AB417"/>
      <c r="AC417"/>
      <c r="AF417"/>
      <c r="AG417" s="7"/>
      <c r="AH417"/>
      <c r="AI417"/>
      <c r="AJ417"/>
      <c r="AK417"/>
      <c r="AL417"/>
      <c r="AO417"/>
      <c r="AP417" s="7"/>
      <c r="AQ417"/>
      <c r="AR417"/>
      <c r="AS417"/>
      <c r="AT417"/>
      <c r="AU417"/>
      <c r="AX417"/>
      <c r="AY417" s="7"/>
      <c r="AZ417"/>
      <c r="BA417"/>
      <c r="BB417"/>
      <c r="BC417"/>
      <c r="BD417"/>
      <c r="BG417"/>
      <c r="BH417" s="7"/>
      <c r="BI417"/>
      <c r="BJ417"/>
      <c r="BK417"/>
      <c r="BL417"/>
      <c r="BM417"/>
      <c r="BP417"/>
      <c r="BQ417" s="7"/>
      <c r="BR417"/>
      <c r="BS417"/>
      <c r="BT417"/>
      <c r="BU417"/>
      <c r="BV417"/>
      <c r="BY417"/>
      <c r="BZ417" s="7"/>
      <c r="CA417"/>
      <c r="CB417"/>
      <c r="CC417"/>
      <c r="CD417"/>
      <c r="CE417"/>
      <c r="CH417"/>
    </row>
    <row r="418" spans="2:86">
      <c r="B418" s="7"/>
      <c r="C418"/>
      <c r="D418"/>
      <c r="E418"/>
      <c r="F418"/>
      <c r="G418"/>
      <c r="H418"/>
      <c r="O418" s="7"/>
      <c r="P418"/>
      <c r="Q418"/>
      <c r="R418"/>
      <c r="S418"/>
      <c r="T418"/>
      <c r="W418"/>
      <c r="X418" s="7"/>
      <c r="Y418"/>
      <c r="Z418"/>
      <c r="AA418"/>
      <c r="AB418"/>
      <c r="AC418"/>
      <c r="AF418"/>
      <c r="AG418" s="7"/>
      <c r="AH418"/>
      <c r="AI418"/>
      <c r="AJ418"/>
      <c r="AK418"/>
      <c r="AL418"/>
      <c r="AO418"/>
      <c r="AP418" s="7"/>
      <c r="AQ418"/>
      <c r="AR418"/>
      <c r="AS418"/>
      <c r="AT418"/>
      <c r="AU418"/>
      <c r="AX418"/>
      <c r="AY418" s="7"/>
      <c r="AZ418"/>
      <c r="BA418"/>
      <c r="BB418"/>
      <c r="BC418"/>
      <c r="BD418"/>
      <c r="BG418"/>
      <c r="BH418" s="7"/>
      <c r="BI418"/>
      <c r="BJ418"/>
      <c r="BK418"/>
      <c r="BL418"/>
      <c r="BM418"/>
      <c r="BP418"/>
      <c r="BQ418" s="7"/>
      <c r="BR418"/>
      <c r="BS418"/>
      <c r="BT418"/>
      <c r="BU418"/>
      <c r="BV418"/>
      <c r="BY418"/>
      <c r="BZ418" s="7"/>
      <c r="CA418"/>
      <c r="CB418"/>
      <c r="CC418"/>
      <c r="CD418"/>
      <c r="CE418"/>
      <c r="CH418"/>
    </row>
    <row r="419" spans="2:86">
      <c r="B419" s="7"/>
      <c r="C419"/>
      <c r="D419"/>
      <c r="E419"/>
      <c r="F419"/>
      <c r="G419"/>
      <c r="H419"/>
      <c r="O419" s="7"/>
      <c r="P419"/>
      <c r="Q419"/>
      <c r="R419"/>
      <c r="S419"/>
      <c r="T419"/>
      <c r="W419"/>
      <c r="X419" s="7"/>
      <c r="Y419"/>
      <c r="Z419"/>
      <c r="AA419"/>
      <c r="AB419"/>
      <c r="AC419"/>
      <c r="AF419"/>
      <c r="AG419" s="7"/>
      <c r="AH419"/>
      <c r="AI419"/>
      <c r="AJ419"/>
      <c r="AK419"/>
      <c r="AL419"/>
      <c r="AO419"/>
      <c r="AP419" s="7"/>
      <c r="AQ419"/>
      <c r="AR419"/>
      <c r="AS419"/>
      <c r="AT419"/>
      <c r="AU419"/>
      <c r="AX419"/>
      <c r="AY419" s="7"/>
      <c r="AZ419"/>
      <c r="BA419"/>
      <c r="BB419"/>
      <c r="BC419"/>
      <c r="BD419"/>
      <c r="BG419"/>
      <c r="BH419" s="7"/>
      <c r="BI419"/>
      <c r="BJ419"/>
      <c r="BK419"/>
      <c r="BL419"/>
      <c r="BM419"/>
      <c r="BP419"/>
      <c r="BQ419" s="7"/>
      <c r="BR419"/>
      <c r="BS419"/>
      <c r="BT419"/>
      <c r="BU419"/>
      <c r="BV419"/>
      <c r="BY419"/>
      <c r="BZ419" s="7"/>
      <c r="CA419"/>
      <c r="CB419"/>
      <c r="CC419"/>
      <c r="CD419"/>
      <c r="CE419"/>
      <c r="CH419"/>
    </row>
    <row r="420" spans="2:86">
      <c r="B420" s="7"/>
      <c r="C420"/>
      <c r="D420"/>
      <c r="E420"/>
      <c r="F420"/>
      <c r="G420"/>
      <c r="H420"/>
      <c r="O420" s="7"/>
      <c r="P420"/>
      <c r="Q420"/>
      <c r="R420"/>
      <c r="S420"/>
      <c r="T420"/>
      <c r="W420"/>
      <c r="X420" s="7"/>
      <c r="Y420"/>
      <c r="Z420"/>
      <c r="AA420"/>
      <c r="AB420"/>
      <c r="AC420"/>
      <c r="AF420"/>
      <c r="AG420" s="7"/>
      <c r="AH420"/>
      <c r="AI420"/>
      <c r="AJ420"/>
      <c r="AK420"/>
      <c r="AL420"/>
      <c r="AO420"/>
      <c r="AP420" s="7"/>
      <c r="AQ420"/>
      <c r="AR420"/>
      <c r="AS420"/>
      <c r="AT420"/>
      <c r="AU420"/>
      <c r="AX420"/>
      <c r="AY420" s="7"/>
      <c r="AZ420"/>
      <c r="BA420"/>
      <c r="BB420"/>
      <c r="BC420"/>
      <c r="BD420"/>
      <c r="BG420"/>
      <c r="BH420" s="7"/>
      <c r="BI420"/>
      <c r="BJ420"/>
      <c r="BK420"/>
      <c r="BL420"/>
      <c r="BM420"/>
      <c r="BP420"/>
      <c r="BQ420" s="7"/>
      <c r="BR420"/>
      <c r="BS420"/>
      <c r="BT420"/>
      <c r="BU420"/>
      <c r="BV420"/>
      <c r="BY420"/>
      <c r="BZ420" s="7"/>
      <c r="CA420"/>
      <c r="CB420"/>
      <c r="CC420"/>
      <c r="CD420"/>
      <c r="CE420"/>
      <c r="CH420"/>
    </row>
    <row r="421" spans="2:86">
      <c r="B421" s="7"/>
      <c r="C421"/>
      <c r="D421"/>
      <c r="E421"/>
      <c r="F421"/>
      <c r="G421"/>
      <c r="H421"/>
      <c r="O421" s="7"/>
      <c r="P421"/>
      <c r="Q421"/>
      <c r="R421"/>
      <c r="S421"/>
      <c r="T421"/>
      <c r="W421"/>
      <c r="X421" s="7"/>
      <c r="Y421"/>
      <c r="Z421"/>
      <c r="AA421"/>
      <c r="AB421"/>
      <c r="AC421"/>
      <c r="AF421"/>
      <c r="AG421" s="7"/>
      <c r="AH421"/>
      <c r="AI421"/>
      <c r="AJ421"/>
      <c r="AK421"/>
      <c r="AL421"/>
      <c r="AO421"/>
      <c r="AP421" s="7"/>
      <c r="AQ421"/>
      <c r="AR421"/>
      <c r="AS421"/>
      <c r="AT421"/>
      <c r="AU421"/>
      <c r="AX421"/>
      <c r="AY421" s="7"/>
      <c r="AZ421"/>
      <c r="BA421"/>
      <c r="BB421"/>
      <c r="BC421"/>
      <c r="BD421"/>
      <c r="BG421"/>
      <c r="BH421" s="7"/>
      <c r="BI421"/>
      <c r="BJ421"/>
      <c r="BK421"/>
      <c r="BL421"/>
      <c r="BM421"/>
      <c r="BP421"/>
      <c r="BQ421" s="7"/>
      <c r="BR421"/>
      <c r="BS421"/>
      <c r="BT421"/>
      <c r="BU421"/>
      <c r="BV421"/>
      <c r="BY421"/>
      <c r="BZ421" s="7"/>
      <c r="CA421"/>
      <c r="CB421"/>
      <c r="CC421"/>
      <c r="CD421"/>
      <c r="CE421"/>
      <c r="CH421"/>
    </row>
    <row r="422" spans="2:86">
      <c r="B422" s="7"/>
      <c r="C422"/>
      <c r="D422"/>
      <c r="E422"/>
      <c r="F422"/>
      <c r="G422"/>
      <c r="H422"/>
      <c r="O422" s="7"/>
      <c r="P422"/>
      <c r="Q422"/>
      <c r="R422"/>
      <c r="S422"/>
      <c r="T422"/>
      <c r="W422"/>
      <c r="X422" s="7"/>
      <c r="Y422"/>
      <c r="Z422"/>
      <c r="AA422"/>
      <c r="AB422"/>
      <c r="AC422"/>
      <c r="AF422"/>
      <c r="AG422" s="7"/>
      <c r="AH422"/>
      <c r="AI422"/>
      <c r="AJ422"/>
      <c r="AK422"/>
      <c r="AL422"/>
      <c r="AO422"/>
      <c r="AP422" s="7"/>
      <c r="AQ422"/>
      <c r="AR422"/>
      <c r="AS422"/>
      <c r="AT422"/>
      <c r="AU422"/>
      <c r="AX422"/>
      <c r="AY422" s="7"/>
      <c r="AZ422"/>
      <c r="BA422"/>
      <c r="BB422"/>
      <c r="BC422"/>
      <c r="BD422"/>
      <c r="BG422"/>
      <c r="BH422" s="7"/>
      <c r="BI422"/>
      <c r="BJ422"/>
      <c r="BK422"/>
      <c r="BL422"/>
      <c r="BM422"/>
      <c r="BP422"/>
      <c r="BQ422" s="7"/>
      <c r="BR422"/>
      <c r="BS422"/>
      <c r="BT422"/>
      <c r="BU422"/>
      <c r="BV422"/>
      <c r="BY422"/>
      <c r="BZ422" s="7"/>
      <c r="CA422"/>
      <c r="CB422"/>
      <c r="CC422"/>
      <c r="CD422"/>
      <c r="CE422"/>
      <c r="CH422"/>
    </row>
    <row r="423" spans="2:86">
      <c r="B423" s="7"/>
      <c r="C423"/>
      <c r="D423"/>
      <c r="E423"/>
      <c r="F423"/>
      <c r="G423"/>
      <c r="H423"/>
      <c r="O423" s="7"/>
      <c r="P423"/>
      <c r="Q423"/>
      <c r="R423"/>
      <c r="S423"/>
      <c r="T423"/>
      <c r="W423"/>
      <c r="X423" s="7"/>
      <c r="Y423"/>
      <c r="Z423"/>
      <c r="AA423"/>
      <c r="AB423"/>
      <c r="AC423"/>
      <c r="AF423"/>
      <c r="AG423" s="7"/>
      <c r="AH423"/>
      <c r="AI423"/>
      <c r="AJ423"/>
      <c r="AK423"/>
      <c r="AL423"/>
      <c r="AO423"/>
      <c r="AP423" s="7"/>
      <c r="AQ423"/>
      <c r="AR423"/>
      <c r="AS423"/>
      <c r="AT423"/>
      <c r="AU423"/>
      <c r="AX423"/>
      <c r="AY423" s="7"/>
      <c r="AZ423"/>
      <c r="BA423"/>
      <c r="BB423"/>
      <c r="BC423"/>
      <c r="BD423"/>
      <c r="BG423"/>
      <c r="BH423" s="7"/>
      <c r="BI423"/>
      <c r="BJ423"/>
      <c r="BK423"/>
      <c r="BL423"/>
      <c r="BM423"/>
      <c r="BP423"/>
      <c r="BQ423" s="7"/>
      <c r="BR423"/>
      <c r="BS423"/>
      <c r="BT423"/>
      <c r="BU423"/>
      <c r="BV423"/>
      <c r="BY423"/>
      <c r="BZ423" s="7"/>
      <c r="CA423"/>
      <c r="CB423"/>
      <c r="CC423"/>
      <c r="CD423"/>
      <c r="CE423"/>
      <c r="CH423"/>
    </row>
    <row r="424" spans="2:86">
      <c r="B424" s="7"/>
      <c r="C424"/>
      <c r="D424"/>
      <c r="E424"/>
      <c r="F424"/>
      <c r="G424"/>
      <c r="H424"/>
      <c r="O424" s="7"/>
      <c r="P424"/>
      <c r="Q424"/>
      <c r="R424"/>
      <c r="S424"/>
      <c r="T424"/>
      <c r="W424"/>
      <c r="X424" s="7"/>
      <c r="Y424"/>
      <c r="Z424"/>
      <c r="AA424"/>
      <c r="AB424"/>
      <c r="AC424"/>
      <c r="AF424"/>
      <c r="AG424" s="7"/>
      <c r="AH424"/>
      <c r="AI424"/>
      <c r="AJ424"/>
      <c r="AK424"/>
      <c r="AL424"/>
      <c r="AO424"/>
      <c r="AP424" s="7"/>
      <c r="AQ424"/>
      <c r="AR424"/>
      <c r="AS424"/>
      <c r="AT424"/>
      <c r="AU424"/>
      <c r="AX424"/>
      <c r="AY424" s="7"/>
      <c r="AZ424"/>
      <c r="BA424"/>
      <c r="BB424"/>
      <c r="BC424"/>
      <c r="BD424"/>
      <c r="BG424"/>
      <c r="BH424" s="7"/>
      <c r="BI424"/>
      <c r="BJ424"/>
      <c r="BK424"/>
      <c r="BL424"/>
      <c r="BM424"/>
      <c r="BP424"/>
      <c r="BQ424" s="7"/>
      <c r="BR424"/>
      <c r="BS424"/>
      <c r="BT424"/>
      <c r="BU424"/>
      <c r="BV424"/>
      <c r="BY424"/>
      <c r="BZ424" s="7"/>
      <c r="CA424"/>
      <c r="CB424"/>
      <c r="CC424"/>
      <c r="CD424"/>
      <c r="CE424"/>
      <c r="CH424"/>
    </row>
    <row r="425" spans="2:86">
      <c r="B425" s="7"/>
      <c r="C425"/>
      <c r="D425"/>
      <c r="E425"/>
      <c r="F425"/>
      <c r="G425"/>
      <c r="H425"/>
      <c r="O425" s="7"/>
      <c r="P425"/>
      <c r="Q425"/>
      <c r="R425"/>
      <c r="S425"/>
      <c r="T425"/>
      <c r="W425"/>
      <c r="X425" s="7"/>
      <c r="Y425"/>
      <c r="Z425"/>
      <c r="AA425"/>
      <c r="AB425"/>
      <c r="AC425"/>
      <c r="AF425"/>
      <c r="AG425" s="7"/>
      <c r="AH425"/>
      <c r="AI425"/>
      <c r="AJ425"/>
      <c r="AK425"/>
      <c r="AL425"/>
      <c r="AO425"/>
      <c r="AP425" s="7"/>
      <c r="AQ425"/>
      <c r="AR425"/>
      <c r="AS425"/>
      <c r="AT425"/>
      <c r="AU425"/>
      <c r="AX425"/>
      <c r="AY425" s="7"/>
      <c r="AZ425"/>
      <c r="BA425"/>
      <c r="BB425"/>
      <c r="BC425"/>
      <c r="BD425"/>
      <c r="BG425"/>
      <c r="BH425" s="7"/>
      <c r="BI425"/>
      <c r="BJ425"/>
      <c r="BK425"/>
      <c r="BL425"/>
      <c r="BM425"/>
      <c r="BP425"/>
      <c r="BQ425" s="7"/>
      <c r="BR425"/>
      <c r="BS425"/>
      <c r="BT425"/>
      <c r="BU425"/>
      <c r="BV425"/>
      <c r="BY425"/>
      <c r="BZ425" s="7"/>
      <c r="CA425"/>
      <c r="CB425"/>
      <c r="CC425"/>
      <c r="CD425"/>
      <c r="CE425"/>
      <c r="CH425"/>
    </row>
    <row r="426" spans="2:86">
      <c r="B426" s="7"/>
      <c r="C426"/>
      <c r="D426"/>
      <c r="E426"/>
      <c r="F426"/>
      <c r="G426"/>
      <c r="H426"/>
      <c r="O426" s="7"/>
      <c r="P426"/>
      <c r="Q426"/>
      <c r="R426"/>
      <c r="S426"/>
      <c r="T426"/>
      <c r="W426"/>
      <c r="X426" s="7"/>
      <c r="Y426"/>
      <c r="Z426"/>
      <c r="AA426"/>
      <c r="AB426"/>
      <c r="AC426"/>
      <c r="AF426"/>
      <c r="AG426" s="7"/>
      <c r="AH426"/>
      <c r="AI426"/>
      <c r="AJ426"/>
      <c r="AK426"/>
      <c r="AL426"/>
      <c r="AO426"/>
      <c r="AP426" s="7"/>
      <c r="AQ426"/>
      <c r="AR426"/>
      <c r="AS426"/>
      <c r="AT426"/>
      <c r="AU426"/>
      <c r="AX426"/>
      <c r="AY426" s="7"/>
      <c r="AZ426"/>
      <c r="BA426"/>
      <c r="BB426"/>
      <c r="BC426"/>
      <c r="BD426"/>
      <c r="BG426"/>
      <c r="BH426" s="7"/>
      <c r="BI426"/>
      <c r="BJ426"/>
      <c r="BK426"/>
      <c r="BL426"/>
      <c r="BM426"/>
      <c r="BP426"/>
      <c r="BQ426" s="7"/>
      <c r="BR426"/>
      <c r="BS426"/>
      <c r="BT426"/>
      <c r="BU426"/>
      <c r="BV426"/>
      <c r="BY426"/>
      <c r="BZ426" s="7"/>
      <c r="CA426"/>
      <c r="CB426"/>
      <c r="CC426"/>
      <c r="CD426"/>
      <c r="CE426"/>
      <c r="CH426"/>
    </row>
    <row r="427" spans="2:86">
      <c r="B427" s="7"/>
      <c r="C427"/>
      <c r="D427"/>
      <c r="E427"/>
      <c r="F427"/>
      <c r="G427"/>
      <c r="H427"/>
      <c r="O427" s="7"/>
      <c r="P427"/>
      <c r="Q427"/>
      <c r="R427"/>
      <c r="S427"/>
      <c r="T427"/>
      <c r="W427"/>
      <c r="X427" s="7"/>
      <c r="Y427"/>
      <c r="Z427"/>
      <c r="AA427"/>
      <c r="AB427"/>
      <c r="AC427"/>
      <c r="AF427"/>
      <c r="AG427" s="7"/>
      <c r="AH427"/>
      <c r="AI427"/>
      <c r="AJ427"/>
      <c r="AK427"/>
      <c r="AL427"/>
      <c r="AO427"/>
      <c r="AP427" s="7"/>
      <c r="AQ427"/>
      <c r="AR427"/>
      <c r="AS427"/>
      <c r="AT427"/>
      <c r="AU427"/>
      <c r="AX427"/>
      <c r="AY427" s="7"/>
      <c r="AZ427"/>
      <c r="BA427"/>
      <c r="BB427"/>
      <c r="BC427"/>
      <c r="BD427"/>
      <c r="BG427"/>
      <c r="BH427" s="7"/>
      <c r="BI427"/>
      <c r="BJ427"/>
      <c r="BK427"/>
      <c r="BL427"/>
      <c r="BM427"/>
      <c r="BP427"/>
      <c r="BQ427" s="7"/>
      <c r="BR427"/>
      <c r="BS427"/>
      <c r="BT427"/>
      <c r="BU427"/>
      <c r="BV427"/>
      <c r="BY427"/>
      <c r="BZ427" s="7"/>
      <c r="CA427"/>
      <c r="CB427"/>
      <c r="CC427"/>
      <c r="CD427"/>
      <c r="CE427"/>
      <c r="CH427"/>
    </row>
    <row r="428" spans="2:86">
      <c r="B428" s="7"/>
      <c r="C428"/>
      <c r="D428"/>
      <c r="E428"/>
      <c r="F428"/>
      <c r="G428"/>
      <c r="H428"/>
      <c r="O428" s="7"/>
      <c r="P428"/>
      <c r="Q428"/>
      <c r="R428"/>
      <c r="S428"/>
      <c r="T428"/>
      <c r="W428"/>
      <c r="X428" s="7"/>
      <c r="Y428"/>
      <c r="Z428"/>
      <c r="AA428"/>
      <c r="AB428"/>
      <c r="AC428"/>
      <c r="AF428"/>
      <c r="AG428" s="7"/>
      <c r="AH428"/>
      <c r="AI428"/>
      <c r="AJ428"/>
      <c r="AK428"/>
      <c r="AL428"/>
      <c r="AO428"/>
      <c r="AP428" s="7"/>
      <c r="AQ428"/>
      <c r="AR428"/>
      <c r="AS428"/>
      <c r="AT428"/>
      <c r="AU428"/>
      <c r="AX428"/>
      <c r="AY428" s="7"/>
      <c r="AZ428"/>
      <c r="BA428"/>
      <c r="BB428"/>
      <c r="BC428"/>
      <c r="BD428"/>
      <c r="BG428"/>
      <c r="BH428" s="7"/>
      <c r="BI428"/>
      <c r="BJ428"/>
      <c r="BK428"/>
      <c r="BL428"/>
      <c r="BM428"/>
      <c r="BP428"/>
      <c r="BQ428" s="7"/>
      <c r="BR428"/>
      <c r="BS428"/>
      <c r="BT428"/>
      <c r="BU428"/>
      <c r="BV428"/>
      <c r="BY428"/>
      <c r="BZ428" s="7"/>
      <c r="CA428"/>
      <c r="CB428"/>
      <c r="CC428"/>
      <c r="CD428"/>
      <c r="CE428"/>
      <c r="CH428"/>
    </row>
    <row r="429" spans="2:86">
      <c r="B429" s="7"/>
      <c r="C429"/>
      <c r="D429"/>
      <c r="E429"/>
      <c r="F429"/>
      <c r="G429"/>
      <c r="H429"/>
      <c r="O429" s="7"/>
      <c r="P429"/>
      <c r="Q429"/>
      <c r="R429"/>
      <c r="S429"/>
      <c r="T429"/>
      <c r="W429"/>
      <c r="X429" s="7"/>
      <c r="Y429"/>
      <c r="Z429"/>
      <c r="AA429"/>
      <c r="AB429"/>
      <c r="AC429"/>
      <c r="AF429"/>
      <c r="AG429" s="7"/>
      <c r="AH429"/>
      <c r="AI429"/>
      <c r="AJ429"/>
      <c r="AK429"/>
      <c r="AL429"/>
      <c r="AO429"/>
      <c r="AP429" s="7"/>
      <c r="AQ429"/>
      <c r="AR429"/>
      <c r="AS429"/>
      <c r="AT429"/>
      <c r="AU429"/>
      <c r="AX429"/>
      <c r="AY429" s="7"/>
      <c r="AZ429"/>
      <c r="BA429"/>
      <c r="BB429"/>
      <c r="BC429"/>
      <c r="BD429"/>
      <c r="BG429"/>
      <c r="BH429" s="7"/>
      <c r="BI429"/>
      <c r="BJ429"/>
      <c r="BK429"/>
      <c r="BL429"/>
      <c r="BM429"/>
      <c r="BP429"/>
      <c r="BQ429" s="7"/>
      <c r="BR429"/>
      <c r="BS429"/>
      <c r="BT429"/>
      <c r="BU429"/>
      <c r="BV429"/>
      <c r="BY429"/>
      <c r="BZ429" s="7"/>
      <c r="CA429"/>
      <c r="CB429"/>
      <c r="CC429"/>
      <c r="CD429"/>
      <c r="CE429"/>
      <c r="CH429"/>
    </row>
    <row r="430" spans="2:86">
      <c r="B430" s="7"/>
      <c r="C430"/>
      <c r="D430"/>
      <c r="E430"/>
      <c r="F430"/>
      <c r="G430"/>
      <c r="H430"/>
      <c r="O430" s="7"/>
      <c r="P430"/>
      <c r="Q430"/>
      <c r="R430"/>
      <c r="S430"/>
      <c r="T430"/>
      <c r="W430"/>
      <c r="X430" s="7"/>
      <c r="Y430"/>
      <c r="Z430"/>
      <c r="AA430"/>
      <c r="AB430"/>
      <c r="AC430"/>
      <c r="AF430"/>
      <c r="AG430" s="7"/>
      <c r="AH430"/>
      <c r="AI430"/>
      <c r="AJ430"/>
      <c r="AK430"/>
      <c r="AL430"/>
      <c r="AO430"/>
      <c r="AP430" s="7"/>
      <c r="AQ430"/>
      <c r="AR430"/>
      <c r="AS430"/>
      <c r="AT430"/>
      <c r="AU430"/>
      <c r="AX430"/>
      <c r="AY430" s="7"/>
      <c r="AZ430"/>
      <c r="BA430"/>
      <c r="BB430"/>
      <c r="BC430"/>
      <c r="BD430"/>
      <c r="BG430"/>
      <c r="BH430" s="7"/>
      <c r="BI430"/>
      <c r="BJ430"/>
      <c r="BK430"/>
      <c r="BL430"/>
      <c r="BM430"/>
      <c r="BP430"/>
      <c r="BQ430" s="7"/>
      <c r="BR430"/>
      <c r="BS430"/>
      <c r="BT430"/>
      <c r="BU430"/>
      <c r="BV430"/>
      <c r="BY430"/>
      <c r="BZ430" s="7"/>
      <c r="CA430"/>
      <c r="CB430"/>
      <c r="CC430"/>
      <c r="CD430"/>
      <c r="CE430"/>
      <c r="CH430"/>
    </row>
    <row r="431" spans="2:86">
      <c r="B431" s="7"/>
      <c r="C431"/>
      <c r="D431"/>
      <c r="E431"/>
      <c r="F431"/>
      <c r="G431"/>
      <c r="H431"/>
      <c r="O431" s="7"/>
      <c r="P431"/>
      <c r="Q431"/>
      <c r="R431"/>
      <c r="S431"/>
      <c r="T431"/>
      <c r="W431"/>
      <c r="X431" s="7"/>
      <c r="Y431"/>
      <c r="Z431"/>
      <c r="AA431"/>
      <c r="AB431"/>
      <c r="AC431"/>
      <c r="AF431"/>
      <c r="AG431" s="7"/>
      <c r="AH431"/>
      <c r="AI431"/>
      <c r="AJ431"/>
      <c r="AK431"/>
      <c r="AL431"/>
      <c r="AO431"/>
      <c r="AP431" s="7"/>
      <c r="AQ431"/>
      <c r="AR431"/>
      <c r="AS431"/>
      <c r="AT431"/>
      <c r="AU431"/>
      <c r="AX431"/>
      <c r="AY431" s="7"/>
      <c r="AZ431"/>
      <c r="BA431"/>
      <c r="BB431"/>
      <c r="BC431"/>
      <c r="BD431"/>
      <c r="BG431"/>
      <c r="BH431" s="7"/>
      <c r="BI431"/>
      <c r="BJ431"/>
      <c r="BK431"/>
      <c r="BL431"/>
      <c r="BM431"/>
      <c r="BP431"/>
      <c r="BQ431" s="7"/>
      <c r="BR431"/>
      <c r="BS431"/>
      <c r="BT431"/>
      <c r="BU431"/>
      <c r="BV431"/>
      <c r="BY431"/>
      <c r="BZ431" s="7"/>
      <c r="CA431"/>
      <c r="CB431"/>
      <c r="CC431"/>
      <c r="CD431"/>
      <c r="CE431"/>
      <c r="CH431"/>
    </row>
    <row r="432" spans="2:86">
      <c r="B432" s="7"/>
      <c r="C432"/>
      <c r="D432"/>
      <c r="E432"/>
      <c r="F432"/>
      <c r="G432"/>
      <c r="H432"/>
      <c r="O432" s="7"/>
      <c r="P432"/>
      <c r="Q432"/>
      <c r="R432"/>
      <c r="S432"/>
      <c r="T432"/>
      <c r="W432"/>
      <c r="X432" s="7"/>
      <c r="Y432"/>
      <c r="Z432"/>
      <c r="AA432"/>
      <c r="AB432"/>
      <c r="AC432"/>
      <c r="AF432"/>
      <c r="AG432" s="7"/>
      <c r="AH432"/>
      <c r="AI432"/>
      <c r="AJ432"/>
      <c r="AK432"/>
      <c r="AL432"/>
      <c r="AO432"/>
      <c r="AP432" s="7"/>
      <c r="AQ432"/>
      <c r="AR432"/>
      <c r="AS432"/>
      <c r="AT432"/>
      <c r="AU432"/>
      <c r="AX432"/>
      <c r="AY432" s="7"/>
      <c r="AZ432"/>
      <c r="BA432"/>
      <c r="BB432"/>
      <c r="BC432"/>
      <c r="BD432"/>
      <c r="BG432"/>
      <c r="BH432" s="7"/>
      <c r="BI432"/>
      <c r="BJ432"/>
      <c r="BK432"/>
      <c r="BL432"/>
      <c r="BM432"/>
      <c r="BP432"/>
      <c r="BQ432" s="7"/>
      <c r="BR432"/>
      <c r="BS432"/>
      <c r="BT432"/>
      <c r="BU432"/>
      <c r="BV432"/>
      <c r="BY432"/>
      <c r="BZ432" s="7"/>
      <c r="CA432"/>
      <c r="CB432"/>
      <c r="CC432"/>
      <c r="CD432"/>
      <c r="CE432"/>
      <c r="CH432"/>
    </row>
    <row r="433" spans="2:86">
      <c r="B433" s="7"/>
      <c r="C433"/>
      <c r="D433"/>
      <c r="E433"/>
      <c r="F433"/>
      <c r="G433"/>
      <c r="H433"/>
      <c r="O433" s="7"/>
      <c r="P433"/>
      <c r="Q433"/>
      <c r="R433"/>
      <c r="S433"/>
      <c r="T433"/>
      <c r="W433"/>
      <c r="X433" s="7"/>
      <c r="Y433"/>
      <c r="Z433"/>
      <c r="AA433"/>
      <c r="AB433"/>
      <c r="AC433"/>
      <c r="AF433"/>
      <c r="AG433" s="7"/>
      <c r="AH433"/>
      <c r="AI433"/>
      <c r="AJ433"/>
      <c r="AK433"/>
      <c r="AL433"/>
      <c r="AO433"/>
      <c r="AP433" s="7"/>
      <c r="AQ433"/>
      <c r="AR433"/>
      <c r="AS433"/>
      <c r="AT433"/>
      <c r="AU433"/>
      <c r="AX433"/>
      <c r="AY433" s="7"/>
      <c r="AZ433"/>
      <c r="BA433"/>
      <c r="BB433"/>
      <c r="BC433"/>
      <c r="BD433"/>
      <c r="BG433"/>
      <c r="BH433" s="7"/>
      <c r="BI433"/>
      <c r="BJ433"/>
      <c r="BK433"/>
      <c r="BL433"/>
      <c r="BM433"/>
      <c r="BP433"/>
      <c r="BQ433" s="7"/>
      <c r="BR433"/>
      <c r="BS433"/>
      <c r="BT433"/>
      <c r="BU433"/>
      <c r="BV433"/>
      <c r="BY433"/>
      <c r="BZ433" s="7"/>
      <c r="CA433"/>
      <c r="CB433"/>
      <c r="CC433"/>
      <c r="CD433"/>
      <c r="CE433"/>
      <c r="CH433"/>
    </row>
    <row r="434" spans="2:86">
      <c r="B434" s="7"/>
      <c r="C434"/>
      <c r="D434"/>
      <c r="E434"/>
      <c r="F434"/>
      <c r="G434"/>
      <c r="H434"/>
      <c r="O434" s="7"/>
      <c r="P434"/>
      <c r="Q434"/>
      <c r="R434"/>
      <c r="S434"/>
      <c r="T434"/>
      <c r="W434"/>
      <c r="X434" s="7"/>
      <c r="Y434"/>
      <c r="Z434"/>
      <c r="AA434"/>
      <c r="AB434"/>
      <c r="AC434"/>
      <c r="AF434"/>
      <c r="AG434" s="7"/>
      <c r="AH434"/>
      <c r="AI434"/>
      <c r="AJ434"/>
      <c r="AK434"/>
      <c r="AL434"/>
      <c r="AO434"/>
      <c r="AP434" s="7"/>
      <c r="AQ434"/>
      <c r="AR434"/>
      <c r="AS434"/>
      <c r="AT434"/>
      <c r="AU434"/>
      <c r="AX434"/>
      <c r="AY434" s="7"/>
      <c r="AZ434"/>
      <c r="BA434"/>
      <c r="BB434"/>
      <c r="BC434"/>
      <c r="BD434"/>
      <c r="BG434"/>
      <c r="BH434" s="7"/>
      <c r="BI434"/>
      <c r="BJ434"/>
      <c r="BK434"/>
      <c r="BL434"/>
      <c r="BM434"/>
      <c r="BP434"/>
      <c r="BQ434" s="7"/>
      <c r="BR434"/>
      <c r="BS434"/>
      <c r="BT434"/>
      <c r="BU434"/>
      <c r="BV434"/>
      <c r="BY434"/>
      <c r="BZ434" s="7"/>
      <c r="CA434"/>
      <c r="CB434"/>
      <c r="CC434"/>
      <c r="CD434"/>
      <c r="CE434"/>
      <c r="CH434"/>
    </row>
    <row r="435" spans="2:86">
      <c r="B435" s="7"/>
      <c r="C435"/>
      <c r="D435"/>
      <c r="E435"/>
      <c r="F435"/>
      <c r="G435"/>
      <c r="H435"/>
      <c r="O435" s="7"/>
      <c r="P435"/>
      <c r="Q435"/>
      <c r="R435"/>
      <c r="S435"/>
      <c r="T435"/>
      <c r="W435"/>
      <c r="X435" s="7"/>
      <c r="Y435"/>
      <c r="Z435"/>
      <c r="AA435"/>
      <c r="AB435"/>
      <c r="AC435"/>
      <c r="AF435"/>
      <c r="AG435" s="7"/>
      <c r="AH435"/>
      <c r="AI435"/>
      <c r="AJ435"/>
      <c r="AK435"/>
      <c r="AL435"/>
      <c r="AO435"/>
      <c r="AP435" s="7"/>
      <c r="AQ435"/>
      <c r="AR435"/>
      <c r="AS435"/>
      <c r="AT435"/>
      <c r="AU435"/>
      <c r="AX435"/>
      <c r="AY435" s="7"/>
      <c r="AZ435"/>
      <c r="BA435"/>
      <c r="BB435"/>
      <c r="BC435"/>
      <c r="BD435"/>
      <c r="BG435"/>
      <c r="BH435" s="7"/>
      <c r="BI435"/>
      <c r="BJ435"/>
      <c r="BK435"/>
      <c r="BL435"/>
      <c r="BM435"/>
      <c r="BP435"/>
      <c r="BQ435" s="7"/>
      <c r="BR435"/>
      <c r="BS435"/>
      <c r="BT435"/>
      <c r="BU435"/>
      <c r="BV435"/>
      <c r="BY435"/>
      <c r="BZ435" s="7"/>
      <c r="CA435"/>
      <c r="CB435"/>
      <c r="CC435"/>
      <c r="CD435"/>
      <c r="CE435"/>
      <c r="CH435"/>
    </row>
    <row r="436" spans="2:86">
      <c r="B436" s="7"/>
      <c r="C436"/>
      <c r="D436"/>
      <c r="E436"/>
      <c r="F436"/>
      <c r="G436"/>
      <c r="H436"/>
      <c r="O436" s="7"/>
      <c r="P436"/>
      <c r="Q436"/>
      <c r="R436"/>
      <c r="S436"/>
      <c r="T436"/>
      <c r="W436"/>
      <c r="X436" s="7"/>
      <c r="Y436"/>
      <c r="Z436"/>
      <c r="AA436"/>
      <c r="AB436"/>
      <c r="AC436"/>
      <c r="AF436"/>
      <c r="AG436" s="7"/>
      <c r="AH436"/>
      <c r="AI436"/>
      <c r="AJ436"/>
      <c r="AK436"/>
      <c r="AL436"/>
      <c r="AO436"/>
      <c r="AP436" s="7"/>
      <c r="AQ436"/>
      <c r="AR436"/>
      <c r="AS436"/>
      <c r="AT436"/>
      <c r="AU436"/>
      <c r="AX436"/>
      <c r="AY436" s="7"/>
      <c r="AZ436"/>
      <c r="BA436"/>
      <c r="BB436"/>
      <c r="BC436"/>
      <c r="BD436"/>
      <c r="BG436"/>
      <c r="BH436" s="7"/>
      <c r="BI436"/>
      <c r="BJ436"/>
      <c r="BK436"/>
      <c r="BL436"/>
      <c r="BM436"/>
      <c r="BP436"/>
      <c r="BQ436" s="7"/>
      <c r="BR436"/>
      <c r="BS436"/>
      <c r="BT436"/>
      <c r="BU436"/>
      <c r="BV436"/>
      <c r="BY436"/>
      <c r="BZ436" s="7"/>
      <c r="CA436"/>
      <c r="CB436"/>
      <c r="CC436"/>
      <c r="CD436"/>
      <c r="CE436"/>
      <c r="CH436"/>
    </row>
    <row r="437" spans="2:86">
      <c r="B437" s="7"/>
      <c r="C437"/>
      <c r="D437"/>
      <c r="E437"/>
      <c r="F437"/>
      <c r="G437"/>
      <c r="H437"/>
      <c r="O437" s="7"/>
      <c r="P437"/>
      <c r="Q437"/>
      <c r="R437"/>
      <c r="S437"/>
      <c r="T437"/>
      <c r="W437"/>
      <c r="X437" s="7"/>
      <c r="Y437"/>
      <c r="Z437"/>
      <c r="AA437"/>
      <c r="AB437"/>
      <c r="AC437"/>
      <c r="AF437"/>
      <c r="AG437" s="7"/>
      <c r="AH437"/>
      <c r="AI437"/>
      <c r="AJ437"/>
      <c r="AK437"/>
      <c r="AL437"/>
      <c r="AO437"/>
      <c r="AP437" s="7"/>
      <c r="AQ437"/>
      <c r="AR437"/>
      <c r="AS437"/>
      <c r="AT437"/>
      <c r="AU437"/>
      <c r="AX437"/>
      <c r="AY437" s="7"/>
      <c r="AZ437"/>
      <c r="BA437"/>
      <c r="BB437"/>
      <c r="BC437"/>
      <c r="BD437"/>
      <c r="BG437"/>
      <c r="BH437" s="7"/>
      <c r="BI437"/>
      <c r="BJ437"/>
      <c r="BK437"/>
      <c r="BL437"/>
      <c r="BM437"/>
      <c r="BP437"/>
      <c r="BQ437" s="7"/>
      <c r="BR437"/>
      <c r="BS437"/>
      <c r="BT437"/>
      <c r="BU437"/>
      <c r="BV437"/>
      <c r="BY437"/>
      <c r="BZ437" s="7"/>
      <c r="CA437"/>
      <c r="CB437"/>
      <c r="CC437"/>
      <c r="CD437"/>
      <c r="CE437"/>
      <c r="CH437"/>
    </row>
    <row r="438" spans="2:86">
      <c r="B438" s="7"/>
      <c r="C438"/>
      <c r="D438"/>
      <c r="E438"/>
      <c r="F438"/>
      <c r="G438"/>
      <c r="H438"/>
      <c r="O438" s="7"/>
      <c r="P438"/>
      <c r="Q438"/>
      <c r="R438"/>
      <c r="S438"/>
      <c r="T438"/>
      <c r="W438"/>
      <c r="X438" s="7"/>
      <c r="Y438"/>
      <c r="Z438"/>
      <c r="AA438"/>
      <c r="AB438"/>
      <c r="AC438"/>
      <c r="AF438"/>
      <c r="AG438" s="7"/>
      <c r="AH438"/>
      <c r="AI438"/>
      <c r="AJ438"/>
      <c r="AK438"/>
      <c r="AL438"/>
      <c r="AO438"/>
      <c r="AP438" s="7"/>
      <c r="AQ438"/>
      <c r="AR438"/>
      <c r="AS438"/>
      <c r="AT438"/>
      <c r="AU438"/>
      <c r="AX438"/>
      <c r="AY438" s="7"/>
      <c r="AZ438"/>
      <c r="BA438"/>
      <c r="BB438"/>
      <c r="BC438"/>
      <c r="BD438"/>
      <c r="BG438"/>
      <c r="BH438" s="7"/>
      <c r="BI438"/>
      <c r="BJ438"/>
      <c r="BK438"/>
      <c r="BL438"/>
      <c r="BM438"/>
      <c r="BP438"/>
      <c r="BQ438" s="7"/>
      <c r="BR438"/>
      <c r="BS438"/>
      <c r="BT438"/>
      <c r="BU438"/>
      <c r="BV438"/>
      <c r="BY438"/>
      <c r="BZ438" s="7"/>
      <c r="CA438"/>
      <c r="CB438"/>
      <c r="CC438"/>
      <c r="CD438"/>
      <c r="CE438"/>
      <c r="CH438"/>
    </row>
    <row r="439" spans="2:86">
      <c r="B439" s="7"/>
      <c r="C439"/>
      <c r="D439"/>
      <c r="E439"/>
      <c r="F439"/>
      <c r="G439"/>
      <c r="H439"/>
      <c r="O439" s="7"/>
      <c r="P439"/>
      <c r="Q439"/>
      <c r="R439"/>
      <c r="S439"/>
      <c r="T439"/>
      <c r="W439"/>
      <c r="X439" s="7"/>
      <c r="Y439"/>
      <c r="Z439"/>
      <c r="AA439"/>
      <c r="AB439"/>
      <c r="AC439"/>
      <c r="AF439"/>
      <c r="AG439" s="7"/>
      <c r="AH439"/>
      <c r="AI439"/>
      <c r="AJ439"/>
      <c r="AK439"/>
      <c r="AL439"/>
      <c r="AO439"/>
      <c r="AP439" s="7"/>
      <c r="AQ439"/>
      <c r="AR439"/>
      <c r="AS439"/>
      <c r="AT439"/>
      <c r="AU439"/>
      <c r="AX439"/>
      <c r="AY439" s="7"/>
      <c r="AZ439"/>
      <c r="BA439"/>
      <c r="BB439"/>
      <c r="BC439"/>
      <c r="BD439"/>
      <c r="BG439"/>
      <c r="BH439" s="7"/>
      <c r="BI439"/>
      <c r="BJ439"/>
      <c r="BK439"/>
      <c r="BL439"/>
      <c r="BM439"/>
      <c r="BP439"/>
      <c r="BQ439" s="7"/>
      <c r="BR439"/>
      <c r="BS439"/>
      <c r="BT439"/>
      <c r="BU439"/>
      <c r="BV439"/>
      <c r="BY439"/>
      <c r="BZ439" s="7"/>
      <c r="CA439"/>
      <c r="CB439"/>
      <c r="CC439"/>
      <c r="CD439"/>
      <c r="CE439"/>
      <c r="CH439"/>
    </row>
    <row r="440" spans="2:86">
      <c r="B440" s="7"/>
      <c r="C440"/>
      <c r="D440"/>
      <c r="E440"/>
      <c r="F440"/>
      <c r="G440"/>
      <c r="H440"/>
      <c r="O440" s="7"/>
      <c r="P440"/>
      <c r="Q440"/>
      <c r="R440"/>
      <c r="S440"/>
      <c r="T440"/>
      <c r="W440"/>
      <c r="X440" s="7"/>
      <c r="Y440"/>
      <c r="Z440"/>
      <c r="AA440"/>
      <c r="AB440"/>
      <c r="AC440"/>
      <c r="AF440"/>
      <c r="AG440" s="7"/>
      <c r="AH440"/>
      <c r="AI440"/>
      <c r="AJ440"/>
      <c r="AK440"/>
      <c r="AL440"/>
      <c r="AO440"/>
      <c r="AP440" s="7"/>
      <c r="AQ440"/>
      <c r="AR440"/>
      <c r="AS440"/>
      <c r="AT440"/>
      <c r="AU440"/>
      <c r="AX440"/>
      <c r="AY440" s="7"/>
      <c r="AZ440"/>
      <c r="BA440"/>
      <c r="BB440"/>
      <c r="BC440"/>
      <c r="BD440"/>
      <c r="BG440"/>
      <c r="BH440" s="7"/>
      <c r="BI440"/>
      <c r="BJ440"/>
      <c r="BK440"/>
      <c r="BL440"/>
      <c r="BM440"/>
      <c r="BP440"/>
      <c r="BQ440" s="7"/>
      <c r="BR440"/>
      <c r="BS440"/>
      <c r="BT440"/>
      <c r="BU440"/>
      <c r="BV440"/>
      <c r="BY440"/>
      <c r="BZ440" s="7"/>
      <c r="CA440"/>
      <c r="CB440"/>
      <c r="CC440"/>
      <c r="CD440"/>
      <c r="CE440"/>
      <c r="CH440"/>
    </row>
    <row r="441" spans="2:86">
      <c r="B441" s="7"/>
      <c r="C441"/>
      <c r="D441"/>
      <c r="E441"/>
      <c r="F441"/>
      <c r="G441"/>
      <c r="H441"/>
      <c r="O441" s="7"/>
      <c r="P441"/>
      <c r="Q441"/>
      <c r="R441"/>
      <c r="S441"/>
      <c r="T441"/>
      <c r="W441"/>
      <c r="X441" s="7"/>
      <c r="Y441"/>
      <c r="Z441"/>
      <c r="AA441"/>
      <c r="AB441"/>
      <c r="AC441"/>
      <c r="AF441"/>
      <c r="AG441" s="7"/>
      <c r="AH441"/>
      <c r="AI441"/>
      <c r="AJ441"/>
      <c r="AK441"/>
      <c r="AL441"/>
      <c r="AO441"/>
      <c r="AP441" s="7"/>
      <c r="AQ441"/>
      <c r="AR441"/>
      <c r="AS441"/>
      <c r="AT441"/>
      <c r="AU441"/>
      <c r="AX441"/>
      <c r="AY441" s="7"/>
      <c r="AZ441"/>
      <c r="BA441"/>
      <c r="BB441"/>
      <c r="BC441"/>
      <c r="BD441"/>
      <c r="BG441"/>
      <c r="BH441" s="7"/>
      <c r="BI441"/>
      <c r="BJ441"/>
      <c r="BK441"/>
      <c r="BL441"/>
      <c r="BM441"/>
      <c r="BP441"/>
      <c r="BQ441" s="7"/>
      <c r="BR441"/>
      <c r="BS441"/>
      <c r="BT441"/>
      <c r="BU441"/>
      <c r="BV441"/>
      <c r="BY441"/>
      <c r="BZ441" s="7"/>
      <c r="CA441"/>
      <c r="CB441"/>
      <c r="CC441"/>
      <c r="CD441"/>
      <c r="CE441"/>
      <c r="CH441"/>
    </row>
    <row r="442" spans="2:86">
      <c r="B442" s="7"/>
      <c r="C442"/>
      <c r="D442"/>
      <c r="E442"/>
      <c r="F442"/>
      <c r="G442"/>
      <c r="H442"/>
      <c r="O442" s="7"/>
      <c r="P442"/>
      <c r="Q442"/>
      <c r="R442"/>
      <c r="S442"/>
      <c r="T442"/>
      <c r="W442"/>
      <c r="X442" s="7"/>
      <c r="Y442"/>
      <c r="Z442"/>
      <c r="AA442"/>
      <c r="AB442"/>
      <c r="AC442"/>
      <c r="AF442"/>
      <c r="AG442" s="7"/>
      <c r="AH442"/>
      <c r="AI442"/>
      <c r="AJ442"/>
      <c r="AK442"/>
      <c r="AL442"/>
      <c r="AO442"/>
      <c r="AP442" s="7"/>
      <c r="AQ442"/>
      <c r="AR442"/>
      <c r="AS442"/>
      <c r="AT442"/>
      <c r="AU442"/>
      <c r="AX442"/>
      <c r="AY442" s="7"/>
      <c r="AZ442"/>
      <c r="BA442"/>
      <c r="BB442"/>
      <c r="BC442"/>
      <c r="BD442"/>
      <c r="BG442"/>
      <c r="BH442" s="7"/>
      <c r="BI442"/>
      <c r="BJ442"/>
      <c r="BK442"/>
      <c r="BL442"/>
      <c r="BM442"/>
      <c r="BP442"/>
      <c r="BQ442" s="7"/>
      <c r="BR442"/>
      <c r="BS442"/>
      <c r="BT442"/>
      <c r="BU442"/>
      <c r="BV442"/>
      <c r="BY442"/>
      <c r="BZ442" s="7"/>
      <c r="CA442"/>
      <c r="CB442"/>
      <c r="CC442"/>
      <c r="CD442"/>
      <c r="CE442"/>
      <c r="CH442"/>
    </row>
    <row r="443" spans="2:86">
      <c r="B443" s="7"/>
      <c r="C443"/>
      <c r="D443"/>
      <c r="E443"/>
      <c r="F443"/>
      <c r="G443"/>
      <c r="H443"/>
      <c r="O443" s="7"/>
      <c r="P443"/>
      <c r="Q443"/>
      <c r="R443"/>
      <c r="S443"/>
      <c r="T443"/>
      <c r="W443"/>
      <c r="X443" s="7"/>
      <c r="Y443"/>
      <c r="Z443"/>
      <c r="AA443"/>
      <c r="AB443"/>
      <c r="AC443"/>
      <c r="AF443"/>
      <c r="AG443" s="7"/>
      <c r="AH443"/>
      <c r="AI443"/>
      <c r="AJ443"/>
      <c r="AK443"/>
      <c r="AL443"/>
      <c r="AO443"/>
      <c r="AP443" s="7"/>
      <c r="AQ443"/>
      <c r="AR443"/>
      <c r="AS443"/>
      <c r="AT443"/>
      <c r="AU443"/>
      <c r="AX443"/>
      <c r="AY443" s="7"/>
      <c r="AZ443"/>
      <c r="BA443"/>
      <c r="BB443"/>
      <c r="BC443"/>
      <c r="BD443"/>
      <c r="BG443"/>
      <c r="BH443" s="7"/>
      <c r="BI443"/>
      <c r="BJ443"/>
      <c r="BK443"/>
      <c r="BL443"/>
      <c r="BM443"/>
      <c r="BP443"/>
      <c r="BQ443" s="7"/>
      <c r="BR443"/>
      <c r="BS443"/>
      <c r="BT443"/>
      <c r="BU443"/>
      <c r="BV443"/>
      <c r="BY443"/>
      <c r="BZ443" s="7"/>
      <c r="CA443"/>
      <c r="CB443"/>
      <c r="CC443"/>
      <c r="CD443"/>
      <c r="CE443"/>
      <c r="CH443"/>
    </row>
    <row r="444" spans="2:86">
      <c r="B444" s="7"/>
      <c r="C444"/>
      <c r="D444"/>
      <c r="E444"/>
      <c r="F444"/>
      <c r="G444"/>
      <c r="H444"/>
      <c r="O444" s="7"/>
      <c r="P444"/>
      <c r="Q444"/>
      <c r="R444"/>
      <c r="S444"/>
      <c r="T444"/>
      <c r="W444"/>
      <c r="X444" s="7"/>
      <c r="Y444"/>
      <c r="Z444"/>
      <c r="AA444"/>
      <c r="AB444"/>
      <c r="AC444"/>
      <c r="AF444"/>
      <c r="AG444" s="7"/>
      <c r="AH444"/>
      <c r="AI444"/>
      <c r="AJ444"/>
      <c r="AK444"/>
      <c r="AL444"/>
      <c r="AO444"/>
      <c r="AP444" s="7"/>
      <c r="AQ444"/>
      <c r="AR444"/>
      <c r="AS444"/>
      <c r="AT444"/>
      <c r="AU444"/>
      <c r="AX444"/>
      <c r="AY444" s="7"/>
      <c r="AZ444"/>
      <c r="BA444"/>
      <c r="BB444"/>
      <c r="BC444"/>
      <c r="BD444"/>
      <c r="BG444"/>
      <c r="BH444" s="7"/>
      <c r="BI444"/>
      <c r="BJ444"/>
      <c r="BK444"/>
      <c r="BL444"/>
      <c r="BM444"/>
      <c r="BP444"/>
      <c r="BQ444" s="7"/>
      <c r="BR444"/>
      <c r="BS444"/>
      <c r="BT444"/>
      <c r="BU444"/>
      <c r="BV444"/>
      <c r="BY444"/>
      <c r="BZ444" s="7"/>
      <c r="CA444"/>
      <c r="CB444"/>
      <c r="CC444"/>
      <c r="CD444"/>
      <c r="CE444"/>
      <c r="CH444"/>
    </row>
    <row r="445" spans="2:86">
      <c r="B445" s="7"/>
      <c r="C445"/>
      <c r="D445"/>
      <c r="E445"/>
      <c r="F445"/>
      <c r="G445"/>
      <c r="H445"/>
      <c r="O445" s="7"/>
      <c r="P445"/>
      <c r="Q445"/>
      <c r="R445"/>
      <c r="S445"/>
      <c r="T445"/>
      <c r="W445"/>
      <c r="X445" s="7"/>
      <c r="Y445"/>
      <c r="Z445"/>
      <c r="AA445"/>
      <c r="AB445"/>
      <c r="AC445"/>
      <c r="AF445"/>
      <c r="AG445" s="7"/>
      <c r="AH445"/>
      <c r="AI445"/>
      <c r="AJ445"/>
      <c r="AK445"/>
      <c r="AL445"/>
      <c r="AO445"/>
      <c r="AP445" s="7"/>
      <c r="AQ445"/>
      <c r="AR445"/>
      <c r="AS445"/>
      <c r="AT445"/>
      <c r="AU445"/>
      <c r="AX445"/>
      <c r="AY445" s="7"/>
      <c r="AZ445"/>
      <c r="BA445"/>
      <c r="BB445"/>
      <c r="BC445"/>
      <c r="BD445"/>
      <c r="BG445"/>
      <c r="BH445" s="7"/>
      <c r="BI445"/>
      <c r="BJ445"/>
      <c r="BK445"/>
      <c r="BL445"/>
      <c r="BM445"/>
      <c r="BP445"/>
      <c r="BQ445" s="7"/>
      <c r="BR445"/>
      <c r="BS445"/>
      <c r="BT445"/>
      <c r="BU445"/>
      <c r="BV445"/>
      <c r="BY445"/>
      <c r="BZ445" s="7"/>
      <c r="CA445"/>
      <c r="CB445"/>
      <c r="CC445"/>
      <c r="CD445"/>
      <c r="CE445"/>
      <c r="CH445"/>
    </row>
    <row r="446" spans="2:86">
      <c r="B446" s="7"/>
      <c r="C446"/>
      <c r="D446"/>
      <c r="E446"/>
      <c r="F446"/>
      <c r="G446"/>
      <c r="H446"/>
      <c r="O446" s="7"/>
      <c r="P446"/>
      <c r="Q446"/>
      <c r="R446"/>
      <c r="S446"/>
      <c r="T446"/>
      <c r="W446"/>
      <c r="X446" s="7"/>
      <c r="Y446"/>
      <c r="Z446"/>
      <c r="AA446"/>
      <c r="AB446"/>
      <c r="AC446"/>
      <c r="AF446"/>
      <c r="AG446" s="7"/>
      <c r="AH446"/>
      <c r="AI446"/>
      <c r="AJ446"/>
      <c r="AK446"/>
      <c r="AL446"/>
      <c r="AO446"/>
      <c r="AP446" s="7"/>
      <c r="AQ446"/>
      <c r="AR446"/>
      <c r="AS446"/>
      <c r="AT446"/>
      <c r="AU446"/>
      <c r="AX446"/>
      <c r="AY446" s="7"/>
      <c r="AZ446"/>
      <c r="BA446"/>
      <c r="BB446"/>
      <c r="BC446"/>
      <c r="BD446"/>
      <c r="BG446"/>
      <c r="BH446" s="7"/>
      <c r="BI446"/>
      <c r="BJ446"/>
      <c r="BK446"/>
      <c r="BL446"/>
      <c r="BM446"/>
      <c r="BP446"/>
      <c r="BQ446" s="7"/>
      <c r="BR446"/>
      <c r="BS446"/>
      <c r="BT446"/>
      <c r="BU446"/>
      <c r="BV446"/>
      <c r="BY446"/>
      <c r="BZ446" s="7"/>
      <c r="CA446"/>
      <c r="CB446"/>
      <c r="CC446"/>
      <c r="CD446"/>
      <c r="CE446"/>
      <c r="CH446"/>
    </row>
    <row r="447" spans="2:86">
      <c r="B447" s="7"/>
      <c r="C447"/>
      <c r="D447"/>
      <c r="E447"/>
      <c r="F447"/>
      <c r="G447"/>
      <c r="H447"/>
      <c r="O447" s="7"/>
      <c r="P447"/>
      <c r="Q447"/>
      <c r="R447"/>
      <c r="S447"/>
      <c r="T447"/>
      <c r="W447"/>
      <c r="X447" s="7"/>
      <c r="Y447"/>
      <c r="Z447"/>
      <c r="AA447"/>
      <c r="AB447"/>
      <c r="AC447"/>
      <c r="AF447"/>
      <c r="AG447" s="7"/>
      <c r="AH447"/>
      <c r="AI447"/>
      <c r="AJ447"/>
      <c r="AK447"/>
      <c r="AL447"/>
      <c r="AO447"/>
      <c r="AP447" s="7"/>
      <c r="AQ447"/>
      <c r="AR447"/>
      <c r="AS447"/>
      <c r="AT447"/>
      <c r="AU447"/>
      <c r="AX447"/>
      <c r="AY447" s="7"/>
      <c r="AZ447"/>
      <c r="BA447"/>
      <c r="BB447"/>
      <c r="BC447"/>
      <c r="BD447"/>
      <c r="BG447"/>
      <c r="BH447" s="7"/>
      <c r="BI447"/>
      <c r="BJ447"/>
      <c r="BK447"/>
      <c r="BL447"/>
      <c r="BM447"/>
      <c r="BP447"/>
      <c r="BQ447" s="7"/>
      <c r="BR447"/>
      <c r="BS447"/>
      <c r="BT447"/>
      <c r="BU447"/>
      <c r="BV447"/>
      <c r="BY447"/>
      <c r="BZ447" s="7"/>
      <c r="CA447"/>
      <c r="CB447"/>
      <c r="CC447"/>
      <c r="CD447"/>
      <c r="CE447"/>
      <c r="CH447"/>
    </row>
    <row r="448" spans="2:86">
      <c r="B448" s="7"/>
      <c r="C448"/>
      <c r="D448"/>
      <c r="E448"/>
      <c r="F448"/>
      <c r="G448"/>
      <c r="H448"/>
      <c r="O448" s="7"/>
      <c r="P448"/>
      <c r="Q448"/>
      <c r="R448"/>
      <c r="S448"/>
      <c r="T448"/>
      <c r="W448"/>
      <c r="X448" s="7"/>
      <c r="Y448"/>
      <c r="Z448"/>
      <c r="AA448"/>
      <c r="AB448"/>
      <c r="AC448"/>
      <c r="AF448"/>
      <c r="AG448" s="7"/>
      <c r="AH448"/>
      <c r="AI448"/>
      <c r="AJ448"/>
      <c r="AK448"/>
      <c r="AL448"/>
      <c r="AO448"/>
      <c r="AP448" s="7"/>
      <c r="AQ448"/>
      <c r="AR448"/>
      <c r="AS448"/>
      <c r="AT448"/>
      <c r="AU448"/>
      <c r="AX448"/>
      <c r="AY448" s="7"/>
      <c r="AZ448"/>
      <c r="BA448"/>
      <c r="BB448"/>
      <c r="BC448"/>
      <c r="BD448"/>
      <c r="BG448"/>
      <c r="BH448" s="7"/>
      <c r="BI448"/>
      <c r="BJ448"/>
      <c r="BK448"/>
      <c r="BL448"/>
      <c r="BM448"/>
      <c r="BP448"/>
      <c r="BQ448" s="7"/>
      <c r="BR448"/>
      <c r="BS448"/>
      <c r="BT448"/>
      <c r="BU448"/>
      <c r="BV448"/>
      <c r="BY448"/>
      <c r="BZ448" s="7"/>
      <c r="CA448"/>
      <c r="CB448"/>
      <c r="CC448"/>
      <c r="CD448"/>
      <c r="CE448"/>
      <c r="CH448"/>
    </row>
    <row r="449" spans="2:86">
      <c r="B449" s="7"/>
      <c r="C449"/>
      <c r="D449"/>
      <c r="E449"/>
      <c r="F449"/>
      <c r="G449"/>
      <c r="H449"/>
      <c r="O449" s="7"/>
      <c r="P449"/>
      <c r="Q449"/>
      <c r="R449"/>
      <c r="S449"/>
      <c r="T449"/>
      <c r="W449"/>
      <c r="X449" s="7"/>
      <c r="Y449"/>
      <c r="Z449"/>
      <c r="AA449"/>
      <c r="AB449"/>
      <c r="AC449"/>
      <c r="AF449"/>
      <c r="AG449" s="7"/>
      <c r="AH449"/>
      <c r="AI449"/>
      <c r="AJ449"/>
      <c r="AK449"/>
      <c r="AL449"/>
      <c r="AO449"/>
      <c r="AP449" s="7"/>
      <c r="AQ449"/>
      <c r="AR449"/>
      <c r="AS449"/>
      <c r="AT449"/>
      <c r="AU449"/>
      <c r="AX449"/>
      <c r="AY449" s="7"/>
      <c r="AZ449"/>
      <c r="BA449"/>
      <c r="BB449"/>
      <c r="BC449"/>
      <c r="BD449"/>
      <c r="BG449"/>
      <c r="BH449" s="7"/>
      <c r="BI449"/>
      <c r="BJ449"/>
      <c r="BK449"/>
      <c r="BL449"/>
      <c r="BM449"/>
      <c r="BP449"/>
      <c r="BQ449" s="7"/>
      <c r="BR449"/>
      <c r="BS449"/>
      <c r="BT449"/>
      <c r="BU449"/>
      <c r="BV449"/>
      <c r="BY449"/>
      <c r="BZ449" s="7"/>
      <c r="CA449"/>
      <c r="CB449"/>
      <c r="CC449"/>
      <c r="CD449"/>
      <c r="CE449"/>
      <c r="CH449"/>
    </row>
    <row r="450" spans="2:86">
      <c r="B450" s="7"/>
      <c r="C450"/>
      <c r="D450"/>
      <c r="E450"/>
      <c r="F450"/>
      <c r="G450"/>
      <c r="H450"/>
      <c r="O450" s="7"/>
      <c r="P450"/>
      <c r="Q450"/>
      <c r="R450"/>
      <c r="S450"/>
      <c r="T450"/>
      <c r="W450"/>
      <c r="X450" s="7"/>
      <c r="Y450"/>
      <c r="Z450"/>
      <c r="AA450"/>
      <c r="AB450"/>
      <c r="AC450"/>
      <c r="AF450"/>
      <c r="AG450" s="7"/>
      <c r="AH450"/>
      <c r="AI450"/>
      <c r="AJ450"/>
      <c r="AK450"/>
      <c r="AL450"/>
      <c r="AO450"/>
      <c r="AP450" s="7"/>
      <c r="AQ450"/>
      <c r="AR450"/>
      <c r="AS450"/>
      <c r="AT450"/>
      <c r="AU450"/>
      <c r="AX450"/>
      <c r="AY450" s="7"/>
      <c r="AZ450"/>
      <c r="BA450"/>
      <c r="BB450"/>
      <c r="BC450"/>
      <c r="BD450"/>
      <c r="BG450"/>
      <c r="BH450" s="7"/>
      <c r="BI450"/>
      <c r="BJ450"/>
      <c r="BK450"/>
      <c r="BL450"/>
      <c r="BM450"/>
      <c r="BP450"/>
      <c r="BQ450" s="7"/>
      <c r="BR450"/>
      <c r="BS450"/>
      <c r="BT450"/>
      <c r="BU450"/>
      <c r="BV450"/>
      <c r="BY450"/>
      <c r="BZ450" s="7"/>
      <c r="CA450"/>
      <c r="CB450"/>
      <c r="CC450"/>
      <c r="CD450"/>
      <c r="CE450"/>
      <c r="CH450"/>
    </row>
    <row r="451" spans="2:86">
      <c r="B451" s="7"/>
      <c r="C451"/>
      <c r="D451"/>
      <c r="E451"/>
      <c r="F451"/>
      <c r="G451"/>
      <c r="H451"/>
      <c r="O451" s="7"/>
      <c r="P451"/>
      <c r="Q451"/>
      <c r="R451"/>
      <c r="S451"/>
      <c r="T451"/>
      <c r="W451"/>
      <c r="X451" s="7"/>
      <c r="Y451"/>
      <c r="Z451"/>
      <c r="AA451"/>
      <c r="AB451"/>
      <c r="AC451"/>
      <c r="AF451"/>
      <c r="AG451" s="7"/>
      <c r="AH451"/>
      <c r="AI451"/>
      <c r="AJ451"/>
      <c r="AK451"/>
      <c r="AL451"/>
      <c r="AO451"/>
      <c r="AP451" s="7"/>
      <c r="AQ451"/>
      <c r="AR451"/>
      <c r="AS451"/>
      <c r="AT451"/>
      <c r="AU451"/>
      <c r="AX451"/>
      <c r="AY451" s="7"/>
      <c r="AZ451"/>
      <c r="BA451"/>
      <c r="BB451"/>
      <c r="BC451"/>
      <c r="BD451"/>
      <c r="BG451"/>
      <c r="BH451" s="7"/>
      <c r="BI451"/>
      <c r="BJ451"/>
      <c r="BK451"/>
      <c r="BL451"/>
      <c r="BM451"/>
      <c r="BP451"/>
      <c r="BQ451" s="7"/>
      <c r="BR451"/>
      <c r="BS451"/>
      <c r="BT451"/>
      <c r="BU451"/>
      <c r="BV451"/>
      <c r="BY451"/>
      <c r="BZ451" s="7"/>
      <c r="CA451"/>
      <c r="CB451"/>
      <c r="CC451"/>
      <c r="CD451"/>
      <c r="CE451"/>
      <c r="CH451"/>
    </row>
    <row r="452" spans="2:86">
      <c r="B452" s="7"/>
      <c r="C452"/>
      <c r="D452"/>
      <c r="E452"/>
      <c r="F452"/>
      <c r="G452"/>
      <c r="H452"/>
      <c r="O452" s="7"/>
      <c r="P452"/>
      <c r="Q452"/>
      <c r="R452"/>
      <c r="S452"/>
      <c r="T452"/>
      <c r="W452"/>
      <c r="X452" s="7"/>
      <c r="Y452"/>
      <c r="Z452"/>
      <c r="AA452"/>
      <c r="AB452"/>
      <c r="AC452"/>
      <c r="AF452"/>
      <c r="AG452" s="7"/>
      <c r="AH452"/>
      <c r="AI452"/>
      <c r="AJ452"/>
      <c r="AK452"/>
      <c r="AL452"/>
      <c r="AO452"/>
      <c r="AP452" s="7"/>
      <c r="AQ452"/>
      <c r="AR452"/>
      <c r="AS452"/>
      <c r="AT452"/>
      <c r="AU452"/>
      <c r="AX452"/>
      <c r="AY452" s="7"/>
      <c r="AZ452"/>
      <c r="BA452"/>
      <c r="BB452"/>
      <c r="BC452"/>
      <c r="BD452"/>
      <c r="BG452"/>
      <c r="BH452" s="7"/>
      <c r="BI452"/>
      <c r="BJ452"/>
      <c r="BK452"/>
      <c r="BL452"/>
      <c r="BM452"/>
      <c r="BP452"/>
      <c r="BQ452" s="7"/>
      <c r="BR452"/>
      <c r="BS452"/>
      <c r="BT452"/>
      <c r="BU452"/>
      <c r="BV452"/>
      <c r="BY452"/>
      <c r="BZ452" s="7"/>
      <c r="CA452"/>
      <c r="CB452"/>
      <c r="CC452"/>
      <c r="CD452"/>
      <c r="CE452"/>
      <c r="CH452"/>
    </row>
    <row r="453" spans="2:86">
      <c r="B453" s="7"/>
      <c r="C453"/>
      <c r="D453"/>
      <c r="E453"/>
      <c r="F453"/>
      <c r="G453"/>
      <c r="H453"/>
      <c r="O453" s="7"/>
      <c r="P453"/>
      <c r="Q453"/>
      <c r="R453"/>
      <c r="S453"/>
      <c r="T453"/>
      <c r="W453"/>
      <c r="X453" s="7"/>
      <c r="Y453"/>
      <c r="Z453"/>
      <c r="AA453"/>
      <c r="AB453"/>
      <c r="AC453"/>
      <c r="AF453"/>
      <c r="AG453" s="7"/>
      <c r="AH453"/>
      <c r="AI453"/>
      <c r="AJ453"/>
      <c r="AK453"/>
      <c r="AL453"/>
      <c r="AO453"/>
      <c r="AP453" s="7"/>
      <c r="AQ453"/>
      <c r="AR453"/>
      <c r="AS453"/>
      <c r="AT453"/>
      <c r="AU453"/>
      <c r="AX453"/>
      <c r="AY453" s="7"/>
      <c r="AZ453"/>
      <c r="BA453"/>
      <c r="BB453"/>
      <c r="BC453"/>
      <c r="BD453"/>
      <c r="BG453"/>
      <c r="BH453" s="7"/>
      <c r="BI453"/>
      <c r="BJ453"/>
      <c r="BK453"/>
      <c r="BL453"/>
      <c r="BM453"/>
      <c r="BP453"/>
      <c r="BQ453" s="7"/>
      <c r="BR453"/>
      <c r="BS453"/>
      <c r="BT453"/>
      <c r="BU453"/>
      <c r="BV453"/>
      <c r="BY453"/>
      <c r="BZ453" s="7"/>
      <c r="CA453"/>
      <c r="CB453"/>
      <c r="CC453"/>
      <c r="CD453"/>
      <c r="CE453"/>
      <c r="CH453"/>
    </row>
    <row r="454" spans="2:86">
      <c r="B454" s="7"/>
      <c r="C454"/>
      <c r="D454"/>
      <c r="E454"/>
      <c r="F454"/>
      <c r="G454"/>
      <c r="H454"/>
      <c r="O454" s="7"/>
      <c r="P454"/>
      <c r="Q454"/>
      <c r="R454"/>
      <c r="S454"/>
      <c r="T454"/>
      <c r="W454"/>
      <c r="X454" s="7"/>
      <c r="Y454"/>
      <c r="Z454"/>
      <c r="AA454"/>
      <c r="AB454"/>
      <c r="AC454"/>
      <c r="AF454"/>
      <c r="AG454" s="7"/>
      <c r="AH454"/>
      <c r="AI454"/>
      <c r="AJ454"/>
      <c r="AK454"/>
      <c r="AL454"/>
      <c r="AO454"/>
      <c r="AP454" s="7"/>
      <c r="AQ454"/>
      <c r="AR454"/>
      <c r="AS454"/>
      <c r="AT454"/>
      <c r="AU454"/>
      <c r="AX454"/>
      <c r="AY454" s="7"/>
      <c r="AZ454"/>
      <c r="BA454"/>
      <c r="BB454"/>
      <c r="BC454"/>
      <c r="BD454"/>
      <c r="BG454"/>
      <c r="BH454" s="7"/>
      <c r="BI454"/>
      <c r="BJ454"/>
      <c r="BK454"/>
      <c r="BL454"/>
      <c r="BM454"/>
      <c r="BP454"/>
      <c r="BQ454" s="7"/>
      <c r="BR454"/>
      <c r="BS454"/>
      <c r="BT454"/>
      <c r="BU454"/>
      <c r="BV454"/>
      <c r="BY454"/>
      <c r="BZ454" s="7"/>
      <c r="CA454"/>
      <c r="CB454"/>
      <c r="CC454"/>
      <c r="CD454"/>
      <c r="CE454"/>
      <c r="CH454"/>
    </row>
    <row r="455" spans="2:86">
      <c r="B455" s="7"/>
      <c r="C455"/>
      <c r="D455"/>
      <c r="E455"/>
      <c r="F455"/>
      <c r="G455"/>
      <c r="H455"/>
      <c r="O455" s="7"/>
      <c r="P455"/>
      <c r="Q455"/>
      <c r="R455"/>
      <c r="S455"/>
      <c r="T455"/>
      <c r="W455"/>
      <c r="X455" s="7"/>
      <c r="Y455"/>
      <c r="Z455"/>
      <c r="AA455"/>
      <c r="AB455"/>
      <c r="AC455"/>
      <c r="AF455"/>
      <c r="AG455" s="7"/>
      <c r="AH455"/>
      <c r="AI455"/>
      <c r="AJ455"/>
      <c r="AK455"/>
      <c r="AL455"/>
      <c r="AO455"/>
      <c r="AP455" s="7"/>
      <c r="AQ455"/>
      <c r="AR455"/>
      <c r="AS455"/>
      <c r="AT455"/>
      <c r="AU455"/>
      <c r="AX455"/>
      <c r="AY455" s="7"/>
      <c r="AZ455"/>
      <c r="BA455"/>
      <c r="BB455"/>
      <c r="BC455"/>
      <c r="BD455"/>
      <c r="BG455"/>
      <c r="BH455" s="7"/>
      <c r="BI455"/>
      <c r="BJ455"/>
      <c r="BK455"/>
      <c r="BL455"/>
      <c r="BM455"/>
      <c r="BP455"/>
      <c r="BQ455" s="7"/>
      <c r="BR455"/>
      <c r="BS455"/>
      <c r="BT455"/>
      <c r="BU455"/>
      <c r="BV455"/>
      <c r="BY455"/>
      <c r="BZ455" s="7"/>
      <c r="CA455"/>
      <c r="CB455"/>
      <c r="CC455"/>
      <c r="CD455"/>
      <c r="CE455"/>
      <c r="CH455"/>
    </row>
    <row r="456" spans="2:86">
      <c r="B456" s="7"/>
      <c r="C456"/>
      <c r="D456"/>
      <c r="E456"/>
      <c r="F456"/>
      <c r="G456"/>
      <c r="H456"/>
      <c r="O456" s="7"/>
      <c r="P456"/>
      <c r="Q456"/>
      <c r="R456"/>
      <c r="S456"/>
      <c r="T456"/>
      <c r="W456"/>
      <c r="X456" s="7"/>
      <c r="Y456"/>
      <c r="Z456"/>
      <c r="AA456"/>
      <c r="AB456"/>
      <c r="AC456"/>
      <c r="AF456"/>
      <c r="AG456" s="7"/>
      <c r="AH456"/>
      <c r="AI456"/>
      <c r="AJ456"/>
      <c r="AK456"/>
      <c r="AL456"/>
      <c r="AO456"/>
      <c r="AP456" s="7"/>
      <c r="AQ456"/>
      <c r="AR456"/>
      <c r="AS456"/>
      <c r="AT456"/>
      <c r="AU456"/>
      <c r="AX456"/>
      <c r="AY456" s="7"/>
      <c r="AZ456"/>
      <c r="BA456"/>
      <c r="BB456"/>
      <c r="BC456"/>
      <c r="BD456"/>
      <c r="BG456"/>
      <c r="BH456" s="7"/>
      <c r="BI456"/>
      <c r="BJ456"/>
      <c r="BK456"/>
      <c r="BL456"/>
      <c r="BM456"/>
      <c r="BP456"/>
      <c r="BQ456" s="7"/>
      <c r="BR456"/>
      <c r="BS456"/>
      <c r="BT456"/>
      <c r="BU456"/>
      <c r="BV456"/>
      <c r="BY456"/>
      <c r="BZ456" s="7"/>
      <c r="CA456"/>
      <c r="CB456"/>
      <c r="CC456"/>
      <c r="CD456"/>
      <c r="CE456"/>
      <c r="CH456"/>
    </row>
    <row r="457" spans="2:86">
      <c r="B457" s="7"/>
      <c r="C457"/>
      <c r="D457"/>
      <c r="E457"/>
      <c r="F457"/>
      <c r="G457"/>
      <c r="H457"/>
      <c r="O457" s="7"/>
      <c r="P457"/>
      <c r="Q457"/>
      <c r="R457"/>
      <c r="S457"/>
      <c r="T457"/>
      <c r="W457"/>
      <c r="X457" s="7"/>
      <c r="Y457"/>
      <c r="Z457"/>
      <c r="AA457"/>
      <c r="AB457"/>
      <c r="AC457"/>
      <c r="AF457"/>
      <c r="AG457" s="7"/>
      <c r="AH457"/>
      <c r="AI457"/>
      <c r="AJ457"/>
      <c r="AK457"/>
      <c r="AL457"/>
      <c r="AO457"/>
      <c r="AP457" s="7"/>
      <c r="AQ457"/>
      <c r="AR457"/>
      <c r="AS457"/>
      <c r="AT457"/>
      <c r="AU457"/>
      <c r="AX457"/>
      <c r="AY457" s="7"/>
      <c r="AZ457"/>
      <c r="BA457"/>
      <c r="BB457"/>
      <c r="BC457"/>
      <c r="BD457"/>
      <c r="BG457"/>
      <c r="BH457" s="7"/>
      <c r="BI457"/>
      <c r="BJ457"/>
      <c r="BK457"/>
      <c r="BL457"/>
      <c r="BM457"/>
      <c r="BP457"/>
      <c r="BQ457" s="7"/>
      <c r="BR457"/>
      <c r="BS457"/>
      <c r="BT457"/>
      <c r="BU457"/>
      <c r="BV457"/>
      <c r="BY457"/>
      <c r="BZ457" s="7"/>
      <c r="CA457"/>
      <c r="CB457"/>
      <c r="CC457"/>
      <c r="CD457"/>
      <c r="CE457"/>
      <c r="CH457"/>
    </row>
    <row r="458" spans="2:86">
      <c r="B458" s="7"/>
      <c r="C458"/>
      <c r="D458"/>
      <c r="E458"/>
      <c r="F458"/>
      <c r="G458"/>
      <c r="H458"/>
      <c r="O458" s="7"/>
      <c r="P458"/>
      <c r="Q458"/>
      <c r="R458"/>
      <c r="S458"/>
      <c r="T458"/>
      <c r="W458"/>
      <c r="X458" s="7"/>
      <c r="Y458"/>
      <c r="Z458"/>
      <c r="AA458"/>
      <c r="AB458"/>
      <c r="AC458"/>
      <c r="AF458"/>
      <c r="AG458" s="7"/>
      <c r="AH458"/>
      <c r="AI458"/>
      <c r="AJ458"/>
      <c r="AK458"/>
      <c r="AL458"/>
      <c r="AO458"/>
      <c r="AP458" s="7"/>
      <c r="AQ458"/>
      <c r="AR458"/>
      <c r="AS458"/>
      <c r="AT458"/>
      <c r="AU458"/>
      <c r="AX458"/>
      <c r="AY458" s="7"/>
      <c r="AZ458"/>
      <c r="BA458"/>
      <c r="BB458"/>
      <c r="BC458"/>
      <c r="BD458"/>
      <c r="BG458"/>
      <c r="BH458" s="7"/>
      <c r="BI458"/>
      <c r="BJ458"/>
      <c r="BK458"/>
      <c r="BL458"/>
      <c r="BM458"/>
      <c r="BP458"/>
      <c r="BQ458" s="7"/>
      <c r="BR458"/>
      <c r="BS458"/>
      <c r="BT458"/>
      <c r="BU458"/>
      <c r="BV458"/>
      <c r="BY458"/>
      <c r="BZ458" s="7"/>
      <c r="CA458"/>
      <c r="CB458"/>
      <c r="CC458"/>
      <c r="CD458"/>
      <c r="CE458"/>
      <c r="CH458"/>
    </row>
    <row r="459" spans="2:86">
      <c r="B459" s="7"/>
      <c r="C459"/>
      <c r="D459"/>
      <c r="E459"/>
      <c r="F459"/>
      <c r="G459"/>
      <c r="H459"/>
      <c r="O459" s="7"/>
      <c r="P459"/>
      <c r="Q459"/>
      <c r="R459"/>
      <c r="S459"/>
      <c r="T459"/>
      <c r="W459"/>
      <c r="X459" s="7"/>
      <c r="Y459"/>
      <c r="Z459"/>
      <c r="AA459"/>
      <c r="AB459"/>
      <c r="AC459"/>
      <c r="AF459"/>
      <c r="AG459" s="7"/>
      <c r="AH459"/>
      <c r="AI459"/>
      <c r="AJ459"/>
      <c r="AK459"/>
      <c r="AL459"/>
      <c r="AO459"/>
      <c r="AP459" s="7"/>
      <c r="AQ459"/>
      <c r="AR459"/>
      <c r="AS459"/>
      <c r="AT459"/>
      <c r="AU459"/>
      <c r="AX459"/>
      <c r="AY459" s="7"/>
      <c r="AZ459"/>
      <c r="BA459"/>
      <c r="BB459"/>
      <c r="BC459"/>
      <c r="BD459"/>
      <c r="BG459"/>
      <c r="BH459" s="7"/>
      <c r="BI459"/>
      <c r="BJ459"/>
      <c r="BK459"/>
      <c r="BL459"/>
      <c r="BM459"/>
      <c r="BP459"/>
      <c r="BQ459" s="7"/>
      <c r="BR459"/>
      <c r="BS459"/>
      <c r="BT459"/>
      <c r="BU459"/>
      <c r="BV459"/>
      <c r="BY459"/>
      <c r="BZ459" s="7"/>
      <c r="CA459"/>
      <c r="CB459"/>
      <c r="CC459"/>
      <c r="CD459"/>
      <c r="CE459"/>
      <c r="CH459"/>
    </row>
    <row r="460" spans="2:86">
      <c r="B460" s="7"/>
      <c r="C460"/>
      <c r="D460"/>
      <c r="E460"/>
      <c r="F460"/>
      <c r="G460"/>
      <c r="H460"/>
      <c r="O460" s="7"/>
      <c r="P460"/>
      <c r="Q460"/>
      <c r="R460"/>
      <c r="S460"/>
      <c r="T460"/>
      <c r="W460"/>
      <c r="X460" s="7"/>
      <c r="Y460"/>
      <c r="Z460"/>
      <c r="AA460"/>
      <c r="AB460"/>
      <c r="AC460"/>
      <c r="AF460"/>
      <c r="AG460" s="7"/>
      <c r="AH460"/>
      <c r="AI460"/>
      <c r="AJ460"/>
      <c r="AK460"/>
      <c r="AL460"/>
      <c r="AO460"/>
      <c r="AP460" s="7"/>
      <c r="AQ460"/>
      <c r="AR460"/>
      <c r="AS460"/>
      <c r="AT460"/>
      <c r="AU460"/>
      <c r="AX460"/>
      <c r="AY460" s="7"/>
      <c r="AZ460"/>
      <c r="BA460"/>
      <c r="BB460"/>
      <c r="BC460"/>
      <c r="BD460"/>
      <c r="BG460"/>
      <c r="BH460" s="7"/>
      <c r="BI460"/>
      <c r="BJ460"/>
      <c r="BK460"/>
      <c r="BL460"/>
      <c r="BM460"/>
      <c r="BP460"/>
      <c r="BQ460" s="7"/>
      <c r="BR460"/>
      <c r="BS460"/>
      <c r="BT460"/>
      <c r="BU460"/>
      <c r="BV460"/>
      <c r="BY460"/>
      <c r="BZ460" s="7"/>
      <c r="CA460"/>
      <c r="CB460"/>
      <c r="CC460"/>
      <c r="CD460"/>
      <c r="CE460"/>
      <c r="CH460"/>
    </row>
    <row r="461" spans="2:86">
      <c r="B461" s="7"/>
      <c r="C461"/>
      <c r="D461"/>
      <c r="E461"/>
      <c r="F461"/>
      <c r="G461"/>
      <c r="H461"/>
      <c r="O461" s="7"/>
      <c r="P461"/>
      <c r="Q461"/>
      <c r="R461"/>
      <c r="S461"/>
      <c r="T461"/>
      <c r="W461"/>
      <c r="X461" s="7"/>
      <c r="Y461"/>
      <c r="Z461"/>
      <c r="AA461"/>
      <c r="AB461"/>
      <c r="AC461"/>
      <c r="AF461"/>
      <c r="AG461" s="7"/>
      <c r="AH461"/>
      <c r="AI461"/>
      <c r="AJ461"/>
      <c r="AK461"/>
      <c r="AL461"/>
      <c r="AO461"/>
      <c r="AP461" s="7"/>
      <c r="AQ461"/>
      <c r="AR461"/>
      <c r="AS461"/>
      <c r="AT461"/>
      <c r="AU461"/>
      <c r="AX461"/>
      <c r="AY461" s="7"/>
      <c r="AZ461"/>
      <c r="BA461"/>
      <c r="BB461"/>
      <c r="BC461"/>
      <c r="BD461"/>
      <c r="BG461"/>
      <c r="BH461" s="7"/>
      <c r="BI461"/>
      <c r="BJ461"/>
      <c r="BK461"/>
      <c r="BL461"/>
      <c r="BM461"/>
      <c r="BP461"/>
      <c r="BQ461" s="7"/>
      <c r="BR461"/>
      <c r="BS461"/>
      <c r="BT461"/>
      <c r="BU461"/>
      <c r="BV461"/>
      <c r="BY461"/>
      <c r="BZ461" s="7"/>
      <c r="CA461"/>
      <c r="CB461"/>
      <c r="CC461"/>
      <c r="CD461"/>
      <c r="CE461"/>
      <c r="CH461"/>
    </row>
    <row r="462" spans="2:86">
      <c r="B462" s="7"/>
      <c r="C462"/>
      <c r="D462"/>
      <c r="E462"/>
      <c r="F462"/>
      <c r="G462"/>
      <c r="H462"/>
      <c r="O462" s="7"/>
      <c r="P462"/>
      <c r="Q462"/>
      <c r="R462"/>
      <c r="S462"/>
      <c r="T462"/>
      <c r="W462"/>
      <c r="X462" s="7"/>
      <c r="Y462"/>
      <c r="Z462"/>
      <c r="AA462"/>
      <c r="AB462"/>
      <c r="AC462"/>
      <c r="AF462"/>
      <c r="AG462" s="7"/>
      <c r="AH462"/>
      <c r="AI462"/>
      <c r="AJ462"/>
      <c r="AK462"/>
      <c r="AL462"/>
      <c r="AO462"/>
      <c r="AP462" s="7"/>
      <c r="AQ462"/>
      <c r="AR462"/>
      <c r="AS462"/>
      <c r="AT462"/>
      <c r="AU462"/>
      <c r="AX462"/>
      <c r="AY462" s="7"/>
      <c r="AZ462"/>
      <c r="BA462"/>
      <c r="BB462"/>
      <c r="BC462"/>
      <c r="BD462"/>
      <c r="BG462"/>
      <c r="BH462" s="7"/>
      <c r="BI462"/>
      <c r="BJ462"/>
      <c r="BK462"/>
      <c r="BL462"/>
      <c r="BM462"/>
      <c r="BP462"/>
      <c r="BQ462" s="7"/>
      <c r="BR462"/>
      <c r="BS462"/>
      <c r="BT462"/>
      <c r="BU462"/>
      <c r="BV462"/>
      <c r="BY462"/>
      <c r="BZ462" s="7"/>
      <c r="CA462"/>
      <c r="CB462"/>
      <c r="CC462"/>
      <c r="CD462"/>
      <c r="CE462"/>
      <c r="CH462"/>
    </row>
    <row r="463" spans="2:86">
      <c r="B463" s="7"/>
      <c r="C463"/>
      <c r="D463"/>
      <c r="E463"/>
      <c r="F463"/>
      <c r="G463"/>
      <c r="H463"/>
      <c r="O463" s="7"/>
      <c r="P463"/>
      <c r="Q463"/>
      <c r="R463"/>
      <c r="S463"/>
      <c r="T463"/>
      <c r="W463"/>
      <c r="X463" s="7"/>
      <c r="Y463"/>
      <c r="Z463"/>
      <c r="AA463"/>
      <c r="AB463"/>
      <c r="AC463"/>
      <c r="AF463"/>
      <c r="AG463" s="7"/>
      <c r="AH463"/>
      <c r="AI463"/>
      <c r="AJ463"/>
      <c r="AK463"/>
      <c r="AL463"/>
      <c r="AO463"/>
      <c r="AP463" s="7"/>
      <c r="AQ463"/>
      <c r="AR463"/>
      <c r="AS463"/>
      <c r="AT463"/>
      <c r="AU463"/>
      <c r="AX463"/>
      <c r="AY463" s="7"/>
      <c r="AZ463"/>
      <c r="BA463"/>
      <c r="BB463"/>
      <c r="BC463"/>
      <c r="BD463"/>
      <c r="BG463"/>
      <c r="BH463" s="7"/>
      <c r="BI463"/>
      <c r="BJ463"/>
      <c r="BK463"/>
      <c r="BL463"/>
      <c r="BM463"/>
      <c r="BP463"/>
      <c r="BQ463" s="7"/>
      <c r="BR463"/>
      <c r="BS463"/>
      <c r="BT463"/>
      <c r="BU463"/>
      <c r="BV463"/>
      <c r="BY463"/>
      <c r="BZ463" s="7"/>
      <c r="CA463"/>
      <c r="CB463"/>
      <c r="CC463"/>
      <c r="CD463"/>
      <c r="CE463"/>
      <c r="CH463"/>
    </row>
    <row r="464" spans="2:86">
      <c r="B464" s="7"/>
      <c r="C464"/>
      <c r="D464"/>
      <c r="E464"/>
      <c r="F464"/>
      <c r="G464"/>
      <c r="H464"/>
      <c r="O464" s="7"/>
      <c r="P464"/>
      <c r="Q464"/>
      <c r="R464"/>
      <c r="S464"/>
      <c r="T464"/>
      <c r="W464"/>
      <c r="X464" s="7"/>
      <c r="Y464"/>
      <c r="Z464"/>
      <c r="AA464"/>
      <c r="AB464"/>
      <c r="AC464"/>
      <c r="AF464"/>
      <c r="AG464" s="7"/>
      <c r="AH464"/>
      <c r="AI464"/>
      <c r="AJ464"/>
      <c r="AK464"/>
      <c r="AL464"/>
      <c r="AO464"/>
      <c r="AP464" s="7"/>
      <c r="AQ464"/>
      <c r="AR464"/>
      <c r="AS464"/>
      <c r="AT464"/>
      <c r="AU464"/>
      <c r="AX464"/>
      <c r="AY464" s="7"/>
      <c r="AZ464"/>
      <c r="BA464"/>
      <c r="BB464"/>
      <c r="BC464"/>
      <c r="BD464"/>
      <c r="BG464"/>
      <c r="BH464" s="7"/>
      <c r="BI464"/>
      <c r="BJ464"/>
      <c r="BK464"/>
      <c r="BL464"/>
      <c r="BM464"/>
      <c r="BP464"/>
      <c r="BQ464" s="7"/>
      <c r="BR464"/>
      <c r="BS464"/>
      <c r="BT464"/>
      <c r="BU464"/>
      <c r="BV464"/>
      <c r="BY464"/>
      <c r="BZ464" s="7"/>
      <c r="CA464"/>
      <c r="CB464"/>
      <c r="CC464"/>
      <c r="CD464"/>
      <c r="CE464"/>
      <c r="CH464"/>
    </row>
    <row r="465" spans="2:86">
      <c r="B465" s="7"/>
      <c r="C465"/>
      <c r="D465"/>
      <c r="E465"/>
      <c r="F465"/>
      <c r="G465"/>
      <c r="H465"/>
      <c r="O465" s="7"/>
      <c r="P465"/>
      <c r="Q465"/>
      <c r="R465"/>
      <c r="S465"/>
      <c r="T465"/>
      <c r="W465"/>
      <c r="X465" s="7"/>
      <c r="Y465"/>
      <c r="Z465"/>
      <c r="AA465"/>
      <c r="AB465"/>
      <c r="AC465"/>
      <c r="AF465"/>
      <c r="AG465" s="7"/>
      <c r="AH465"/>
      <c r="AI465"/>
      <c r="AJ465"/>
      <c r="AK465"/>
      <c r="AL465"/>
      <c r="AO465"/>
      <c r="AP465" s="7"/>
      <c r="AQ465"/>
      <c r="AR465"/>
      <c r="AS465"/>
      <c r="AT465"/>
      <c r="AU465"/>
      <c r="AX465"/>
      <c r="AY465" s="7"/>
      <c r="AZ465"/>
      <c r="BA465"/>
      <c r="BB465"/>
      <c r="BC465"/>
      <c r="BD465"/>
      <c r="BG465"/>
      <c r="BH465" s="7"/>
      <c r="BI465"/>
      <c r="BJ465"/>
      <c r="BK465"/>
      <c r="BL465"/>
      <c r="BM465"/>
      <c r="BP465"/>
      <c r="BQ465" s="7"/>
      <c r="BR465"/>
      <c r="BS465"/>
      <c r="BT465"/>
      <c r="BU465"/>
      <c r="BV465"/>
      <c r="BY465"/>
      <c r="BZ465" s="7"/>
      <c r="CA465"/>
      <c r="CB465"/>
      <c r="CC465"/>
      <c r="CD465"/>
      <c r="CE465"/>
      <c r="CH465"/>
    </row>
    <row r="466" spans="2:86">
      <c r="B466" s="7"/>
      <c r="C466"/>
      <c r="D466"/>
      <c r="E466"/>
      <c r="F466"/>
      <c r="G466"/>
      <c r="H466"/>
      <c r="O466" s="7"/>
      <c r="P466"/>
      <c r="Q466"/>
      <c r="R466"/>
      <c r="S466"/>
      <c r="T466"/>
      <c r="W466"/>
      <c r="X466" s="7"/>
      <c r="Y466"/>
      <c r="Z466"/>
      <c r="AA466"/>
      <c r="AB466"/>
      <c r="AC466"/>
      <c r="AF466"/>
      <c r="AG466" s="7"/>
      <c r="AH466"/>
      <c r="AI466"/>
      <c r="AJ466"/>
      <c r="AK466"/>
      <c r="AL466"/>
      <c r="AO466"/>
      <c r="AP466" s="7"/>
      <c r="AQ466"/>
      <c r="AR466"/>
      <c r="AS466"/>
      <c r="AT466"/>
      <c r="AU466"/>
      <c r="AX466"/>
      <c r="AY466" s="7"/>
      <c r="AZ466"/>
      <c r="BA466"/>
      <c r="BB466"/>
      <c r="BC466"/>
      <c r="BD466"/>
      <c r="BG466"/>
      <c r="BH466" s="7"/>
      <c r="BI466"/>
      <c r="BJ466"/>
      <c r="BK466"/>
      <c r="BL466"/>
      <c r="BM466"/>
      <c r="BP466"/>
      <c r="BQ466" s="7"/>
      <c r="BR466"/>
      <c r="BS466"/>
      <c r="BT466"/>
      <c r="BU466"/>
      <c r="BV466"/>
      <c r="BY466"/>
      <c r="BZ466" s="7"/>
      <c r="CA466"/>
      <c r="CB466"/>
      <c r="CC466"/>
      <c r="CD466"/>
      <c r="CE466"/>
      <c r="CH466"/>
    </row>
    <row r="467" spans="2:86">
      <c r="B467" s="7"/>
      <c r="C467"/>
      <c r="D467"/>
      <c r="E467"/>
      <c r="F467"/>
      <c r="G467"/>
      <c r="H467"/>
      <c r="O467" s="7"/>
      <c r="P467"/>
      <c r="Q467"/>
      <c r="R467"/>
      <c r="S467"/>
      <c r="T467"/>
      <c r="W467"/>
      <c r="X467" s="7"/>
      <c r="Y467"/>
      <c r="Z467"/>
      <c r="AA467"/>
      <c r="AB467"/>
      <c r="AC467"/>
      <c r="AF467"/>
      <c r="AG467" s="7"/>
      <c r="AH467"/>
      <c r="AI467"/>
      <c r="AJ467"/>
      <c r="AK467"/>
      <c r="AL467"/>
      <c r="AO467"/>
      <c r="AP467" s="7"/>
      <c r="AQ467"/>
      <c r="AR467"/>
      <c r="AS467"/>
      <c r="AT467"/>
      <c r="AU467"/>
      <c r="AX467"/>
      <c r="AY467" s="7"/>
      <c r="AZ467"/>
      <c r="BA467"/>
      <c r="BB467"/>
      <c r="BC467"/>
      <c r="BD467"/>
      <c r="BG467"/>
      <c r="BH467" s="7"/>
      <c r="BI467"/>
      <c r="BJ467"/>
      <c r="BK467"/>
      <c r="BL467"/>
      <c r="BM467"/>
      <c r="BP467"/>
      <c r="BQ467" s="7"/>
      <c r="BR467"/>
      <c r="BS467"/>
      <c r="BT467"/>
      <c r="BU467"/>
      <c r="BV467"/>
      <c r="BY467"/>
      <c r="BZ467" s="7"/>
      <c r="CA467"/>
      <c r="CB467"/>
      <c r="CC467"/>
      <c r="CD467"/>
      <c r="CE467"/>
      <c r="CH467"/>
    </row>
    <row r="468" spans="2:86">
      <c r="B468" s="7"/>
      <c r="C468"/>
      <c r="D468"/>
      <c r="E468"/>
      <c r="F468"/>
      <c r="G468"/>
      <c r="H468"/>
      <c r="O468" s="7"/>
      <c r="P468"/>
      <c r="Q468"/>
      <c r="R468"/>
      <c r="S468"/>
      <c r="T468"/>
      <c r="W468"/>
      <c r="X468" s="7"/>
      <c r="Y468"/>
      <c r="Z468"/>
      <c r="AA468"/>
      <c r="AB468"/>
      <c r="AC468"/>
      <c r="AF468"/>
      <c r="AG468" s="7"/>
      <c r="AH468"/>
      <c r="AI468"/>
      <c r="AJ468"/>
      <c r="AK468"/>
      <c r="AL468"/>
      <c r="AO468"/>
      <c r="AP468" s="7"/>
      <c r="AQ468"/>
      <c r="AR468"/>
      <c r="AS468"/>
      <c r="AT468"/>
      <c r="AU468"/>
      <c r="AX468"/>
      <c r="AY468" s="7"/>
      <c r="AZ468"/>
      <c r="BA468"/>
      <c r="BB468"/>
      <c r="BC468"/>
      <c r="BD468"/>
      <c r="BG468"/>
      <c r="BH468" s="7"/>
      <c r="BI468"/>
      <c r="BJ468"/>
      <c r="BK468"/>
      <c r="BL468"/>
      <c r="BM468"/>
      <c r="BP468"/>
      <c r="BQ468" s="7"/>
      <c r="BR468"/>
      <c r="BS468"/>
      <c r="BT468"/>
      <c r="BU468"/>
      <c r="BV468"/>
      <c r="BY468"/>
      <c r="BZ468" s="7"/>
      <c r="CA468"/>
      <c r="CB468"/>
      <c r="CC468"/>
      <c r="CD468"/>
      <c r="CE468"/>
      <c r="CH468"/>
    </row>
    <row r="469" spans="2:86">
      <c r="B469" s="7"/>
      <c r="C469"/>
      <c r="D469"/>
      <c r="E469"/>
      <c r="F469"/>
      <c r="G469"/>
      <c r="H469"/>
      <c r="O469" s="7"/>
      <c r="P469"/>
      <c r="Q469"/>
      <c r="R469"/>
      <c r="S469"/>
      <c r="T469"/>
      <c r="W469"/>
      <c r="X469" s="7"/>
      <c r="Y469"/>
      <c r="Z469"/>
      <c r="AA469"/>
      <c r="AB469"/>
      <c r="AC469"/>
      <c r="AF469"/>
      <c r="AG469" s="7"/>
      <c r="AH469"/>
      <c r="AI469"/>
      <c r="AJ469"/>
      <c r="AK469"/>
      <c r="AL469"/>
      <c r="AO469"/>
      <c r="AP469" s="7"/>
      <c r="AQ469"/>
      <c r="AR469"/>
      <c r="AS469"/>
      <c r="AT469"/>
      <c r="AU469"/>
      <c r="AX469"/>
      <c r="AY469" s="7"/>
      <c r="AZ469"/>
      <c r="BA469"/>
      <c r="BB469"/>
      <c r="BC469"/>
      <c r="BD469"/>
      <c r="BG469"/>
      <c r="BH469" s="7"/>
      <c r="BI469"/>
      <c r="BJ469"/>
      <c r="BK469"/>
      <c r="BL469"/>
      <c r="BM469"/>
      <c r="BP469"/>
      <c r="BQ469" s="7"/>
      <c r="BR469"/>
      <c r="BS469"/>
      <c r="BT469"/>
      <c r="BU469"/>
      <c r="BV469"/>
      <c r="BY469"/>
      <c r="BZ469" s="7"/>
      <c r="CA469"/>
      <c r="CB469"/>
      <c r="CC469"/>
      <c r="CD469"/>
      <c r="CE469"/>
      <c r="CH469"/>
    </row>
    <row r="470" spans="2:86">
      <c r="B470" s="7"/>
      <c r="C470"/>
      <c r="D470"/>
      <c r="E470"/>
      <c r="F470"/>
      <c r="G470"/>
      <c r="H470"/>
      <c r="O470" s="7"/>
      <c r="P470"/>
      <c r="Q470"/>
      <c r="R470"/>
      <c r="S470"/>
      <c r="T470"/>
      <c r="W470"/>
      <c r="X470" s="7"/>
      <c r="Y470"/>
      <c r="Z470"/>
      <c r="AA470"/>
      <c r="AB470"/>
      <c r="AC470"/>
      <c r="AF470"/>
      <c r="AG470" s="7"/>
      <c r="AH470"/>
      <c r="AI470"/>
      <c r="AJ470"/>
      <c r="AK470"/>
      <c r="AL470"/>
      <c r="AO470"/>
      <c r="AP470" s="7"/>
      <c r="AQ470"/>
      <c r="AR470"/>
      <c r="AS470"/>
      <c r="AT470"/>
      <c r="AU470"/>
      <c r="AX470"/>
      <c r="AY470" s="7"/>
      <c r="AZ470"/>
      <c r="BA470"/>
      <c r="BB470"/>
      <c r="BC470"/>
      <c r="BD470"/>
      <c r="BG470"/>
      <c r="BH470" s="7"/>
      <c r="BI470"/>
      <c r="BJ470"/>
      <c r="BK470"/>
      <c r="BL470"/>
      <c r="BM470"/>
      <c r="BP470"/>
      <c r="BQ470" s="7"/>
      <c r="BR470"/>
      <c r="BS470"/>
      <c r="BT470"/>
      <c r="BU470"/>
      <c r="BV470"/>
      <c r="BY470"/>
      <c r="BZ470" s="7"/>
      <c r="CA470"/>
      <c r="CB470"/>
      <c r="CC470"/>
      <c r="CD470"/>
      <c r="CE470"/>
      <c r="CH470"/>
    </row>
    <row r="471" spans="2:86">
      <c r="B471" s="7"/>
      <c r="C471"/>
      <c r="D471"/>
      <c r="E471"/>
      <c r="F471"/>
      <c r="G471"/>
      <c r="H471"/>
      <c r="O471" s="7"/>
      <c r="P471"/>
      <c r="Q471"/>
      <c r="R471"/>
      <c r="S471"/>
      <c r="T471"/>
      <c r="W471"/>
      <c r="X471" s="7"/>
      <c r="Y471"/>
      <c r="Z471"/>
      <c r="AA471"/>
      <c r="AB471"/>
      <c r="AC471"/>
      <c r="AF471"/>
      <c r="AG471" s="7"/>
      <c r="AH471"/>
      <c r="AI471"/>
      <c r="AJ471"/>
      <c r="AK471"/>
      <c r="AL471"/>
      <c r="AO471"/>
      <c r="AP471" s="7"/>
      <c r="AQ471"/>
      <c r="AR471"/>
      <c r="AS471"/>
      <c r="AT471"/>
      <c r="AU471"/>
      <c r="AX471"/>
      <c r="AY471" s="7"/>
      <c r="AZ471"/>
      <c r="BA471"/>
      <c r="BB471"/>
      <c r="BC471"/>
      <c r="BD471"/>
      <c r="BG471"/>
      <c r="BH471" s="7"/>
      <c r="BI471"/>
      <c r="BJ471"/>
      <c r="BK471"/>
      <c r="BL471"/>
      <c r="BM471"/>
      <c r="BP471"/>
      <c r="BQ471" s="7"/>
      <c r="BR471"/>
      <c r="BS471"/>
      <c r="BT471"/>
      <c r="BU471"/>
      <c r="BV471"/>
      <c r="BY471"/>
      <c r="BZ471" s="7"/>
      <c r="CA471"/>
      <c r="CB471"/>
      <c r="CC471"/>
      <c r="CD471"/>
      <c r="CE471"/>
      <c r="CH471"/>
    </row>
    <row r="472" spans="2:86">
      <c r="B472" s="7"/>
      <c r="C472"/>
      <c r="D472"/>
      <c r="E472"/>
      <c r="F472"/>
      <c r="G472"/>
      <c r="H472"/>
      <c r="O472" s="7"/>
      <c r="P472"/>
      <c r="Q472"/>
      <c r="R472"/>
      <c r="S472"/>
      <c r="T472"/>
      <c r="W472"/>
      <c r="X472" s="7"/>
      <c r="Y472"/>
      <c r="Z472"/>
      <c r="AA472"/>
      <c r="AB472"/>
      <c r="AC472"/>
      <c r="AF472"/>
      <c r="AG472" s="7"/>
      <c r="AH472"/>
      <c r="AI472"/>
      <c r="AJ472"/>
      <c r="AK472"/>
      <c r="AL472"/>
      <c r="AO472"/>
      <c r="AP472" s="7"/>
      <c r="AQ472"/>
      <c r="AR472"/>
      <c r="AS472"/>
      <c r="AT472"/>
      <c r="AU472"/>
      <c r="AX472"/>
      <c r="AY472" s="7"/>
      <c r="AZ472"/>
      <c r="BA472"/>
      <c r="BB472"/>
      <c r="BC472"/>
      <c r="BD472"/>
      <c r="BG472"/>
      <c r="BH472" s="7"/>
      <c r="BI472"/>
      <c r="BJ472"/>
      <c r="BK472"/>
      <c r="BL472"/>
      <c r="BM472"/>
      <c r="BP472"/>
      <c r="BQ472" s="7"/>
      <c r="BR472"/>
      <c r="BS472"/>
      <c r="BT472"/>
      <c r="BU472"/>
      <c r="BV472"/>
      <c r="BY472"/>
      <c r="BZ472" s="7"/>
      <c r="CA472"/>
      <c r="CB472"/>
      <c r="CC472"/>
      <c r="CD472"/>
      <c r="CE472"/>
      <c r="CH472"/>
    </row>
    <row r="473" spans="2:86">
      <c r="B473" s="7"/>
      <c r="C473"/>
      <c r="D473"/>
      <c r="E473"/>
      <c r="F473"/>
      <c r="G473"/>
      <c r="H473"/>
      <c r="O473" s="7"/>
      <c r="P473"/>
      <c r="Q473"/>
      <c r="R473"/>
      <c r="S473"/>
      <c r="T473"/>
      <c r="W473"/>
      <c r="X473" s="7"/>
      <c r="Y473"/>
      <c r="Z473"/>
      <c r="AA473"/>
      <c r="AB473"/>
      <c r="AC473"/>
      <c r="AF473"/>
      <c r="AG473" s="7"/>
      <c r="AH473"/>
      <c r="AI473"/>
      <c r="AJ473"/>
      <c r="AK473"/>
      <c r="AL473"/>
      <c r="AO473"/>
      <c r="AP473" s="7"/>
      <c r="AQ473"/>
      <c r="AR473"/>
      <c r="AS473"/>
      <c r="AT473"/>
      <c r="AU473"/>
      <c r="AX473"/>
      <c r="AY473" s="7"/>
      <c r="AZ473"/>
      <c r="BA473"/>
      <c r="BB473"/>
      <c r="BC473"/>
      <c r="BD473"/>
      <c r="BG473"/>
      <c r="BH473" s="7"/>
      <c r="BI473"/>
      <c r="BJ473"/>
      <c r="BK473"/>
      <c r="BL473"/>
      <c r="BM473"/>
      <c r="BP473"/>
      <c r="BQ473" s="7"/>
      <c r="BR473"/>
      <c r="BS473"/>
      <c r="BT473"/>
      <c r="BU473"/>
      <c r="BV473"/>
      <c r="BY473"/>
      <c r="BZ473" s="7"/>
      <c r="CA473"/>
      <c r="CB473"/>
      <c r="CC473"/>
      <c r="CD473"/>
      <c r="CE473"/>
      <c r="CH473"/>
    </row>
    <row r="474" spans="2:86">
      <c r="B474" s="7"/>
      <c r="C474"/>
      <c r="D474"/>
      <c r="E474"/>
      <c r="F474"/>
      <c r="G474"/>
      <c r="H474"/>
      <c r="O474" s="7"/>
      <c r="P474"/>
      <c r="Q474"/>
      <c r="R474"/>
      <c r="S474"/>
      <c r="T474"/>
      <c r="W474"/>
      <c r="X474" s="7"/>
      <c r="Y474"/>
      <c r="Z474"/>
      <c r="AA474"/>
      <c r="AB474"/>
      <c r="AC474"/>
      <c r="AF474"/>
      <c r="AG474" s="7"/>
      <c r="AH474"/>
      <c r="AI474"/>
      <c r="AJ474"/>
      <c r="AK474"/>
      <c r="AL474"/>
      <c r="AO474"/>
      <c r="AP474" s="7"/>
      <c r="AQ474"/>
      <c r="AR474"/>
      <c r="AS474"/>
      <c r="AT474"/>
      <c r="AU474"/>
      <c r="AX474"/>
      <c r="AY474" s="7"/>
      <c r="AZ474"/>
      <c r="BA474"/>
      <c r="BB474"/>
      <c r="BC474"/>
      <c r="BD474"/>
      <c r="BG474"/>
      <c r="BH474" s="7"/>
      <c r="BI474"/>
      <c r="BJ474"/>
      <c r="BK474"/>
      <c r="BL474"/>
      <c r="BM474"/>
      <c r="BP474"/>
      <c r="BQ474" s="7"/>
      <c r="BR474"/>
      <c r="BS474"/>
      <c r="BT474"/>
      <c r="BU474"/>
      <c r="BV474"/>
      <c r="BY474"/>
      <c r="BZ474" s="7"/>
      <c r="CA474"/>
      <c r="CB474"/>
      <c r="CC474"/>
      <c r="CD474"/>
      <c r="CE474"/>
      <c r="CH474"/>
    </row>
    <row r="475" spans="2:86">
      <c r="B475" s="7"/>
      <c r="C475"/>
      <c r="D475"/>
      <c r="E475"/>
      <c r="F475"/>
      <c r="G475"/>
      <c r="H475"/>
      <c r="O475" s="7"/>
      <c r="P475"/>
      <c r="Q475"/>
      <c r="R475"/>
      <c r="S475"/>
      <c r="T475"/>
      <c r="W475"/>
      <c r="X475" s="7"/>
      <c r="Y475"/>
      <c r="Z475"/>
      <c r="AA475"/>
      <c r="AB475"/>
      <c r="AC475"/>
      <c r="AF475"/>
      <c r="AG475" s="7"/>
      <c r="AH475"/>
      <c r="AI475"/>
      <c r="AJ475"/>
      <c r="AK475"/>
      <c r="AL475"/>
      <c r="AO475"/>
      <c r="AP475" s="7"/>
      <c r="AQ475"/>
      <c r="AR475"/>
      <c r="AS475"/>
      <c r="AT475"/>
      <c r="AU475"/>
      <c r="AX475"/>
      <c r="AY475" s="7"/>
      <c r="AZ475"/>
      <c r="BA475"/>
      <c r="BB475"/>
      <c r="BC475"/>
      <c r="BD475"/>
      <c r="BG475"/>
      <c r="BH475" s="7"/>
      <c r="BI475"/>
      <c r="BJ475"/>
      <c r="BK475"/>
      <c r="BL475"/>
      <c r="BM475"/>
      <c r="BP475"/>
      <c r="BQ475" s="7"/>
      <c r="BR475"/>
      <c r="BS475"/>
      <c r="BT475"/>
      <c r="BU475"/>
      <c r="BV475"/>
      <c r="BY475"/>
      <c r="BZ475" s="7"/>
      <c r="CA475"/>
      <c r="CB475"/>
      <c r="CC475"/>
      <c r="CD475"/>
      <c r="CE475"/>
      <c r="CH475"/>
    </row>
    <row r="476" spans="2:86">
      <c r="B476" s="7"/>
      <c r="C476"/>
      <c r="D476"/>
      <c r="E476"/>
      <c r="F476"/>
      <c r="G476"/>
      <c r="H476"/>
      <c r="O476" s="7"/>
      <c r="P476"/>
      <c r="Q476"/>
      <c r="R476"/>
      <c r="S476"/>
      <c r="T476"/>
      <c r="W476"/>
      <c r="X476" s="7"/>
      <c r="Y476"/>
      <c r="Z476"/>
      <c r="AA476"/>
      <c r="AB476"/>
      <c r="AC476"/>
      <c r="AF476"/>
      <c r="AG476" s="7"/>
      <c r="AH476"/>
      <c r="AI476"/>
      <c r="AJ476"/>
      <c r="AK476"/>
      <c r="AL476"/>
      <c r="AO476"/>
      <c r="AP476" s="7"/>
      <c r="AQ476"/>
      <c r="AR476"/>
      <c r="AS476"/>
      <c r="AT476"/>
      <c r="AU476"/>
      <c r="AX476"/>
      <c r="AY476" s="7"/>
      <c r="AZ476"/>
      <c r="BA476"/>
      <c r="BB476"/>
      <c r="BC476"/>
      <c r="BD476"/>
      <c r="BG476"/>
      <c r="BH476" s="7"/>
      <c r="BI476"/>
      <c r="BJ476"/>
      <c r="BK476"/>
      <c r="BL476"/>
      <c r="BM476"/>
      <c r="BP476"/>
      <c r="BQ476" s="7"/>
      <c r="BR476"/>
      <c r="BS476"/>
      <c r="BT476"/>
      <c r="BU476"/>
      <c r="BV476"/>
      <c r="BY476"/>
      <c r="BZ476" s="7"/>
      <c r="CA476"/>
      <c r="CB476"/>
      <c r="CC476"/>
      <c r="CD476"/>
      <c r="CE476"/>
      <c r="CH476"/>
    </row>
    <row r="477" spans="2:86">
      <c r="B477" s="7"/>
      <c r="C477"/>
      <c r="D477"/>
      <c r="E477"/>
      <c r="F477"/>
      <c r="G477"/>
      <c r="H477"/>
      <c r="O477" s="7"/>
      <c r="P477"/>
      <c r="Q477"/>
      <c r="R477"/>
      <c r="S477"/>
      <c r="T477"/>
      <c r="W477"/>
      <c r="X477" s="7"/>
      <c r="Y477"/>
      <c r="Z477"/>
      <c r="AA477"/>
      <c r="AB477"/>
      <c r="AC477"/>
      <c r="AF477"/>
      <c r="AG477" s="7"/>
      <c r="AH477"/>
      <c r="AI477"/>
      <c r="AJ477"/>
      <c r="AK477"/>
      <c r="AL477"/>
      <c r="AO477"/>
      <c r="AP477" s="7"/>
      <c r="AQ477"/>
      <c r="AR477"/>
      <c r="AS477"/>
      <c r="AT477"/>
      <c r="AU477"/>
      <c r="AX477"/>
      <c r="AY477" s="7"/>
      <c r="AZ477"/>
      <c r="BA477"/>
      <c r="BB477"/>
      <c r="BC477"/>
      <c r="BD477"/>
      <c r="BG477"/>
      <c r="BH477" s="7"/>
      <c r="BI477"/>
      <c r="BJ477"/>
      <c r="BK477"/>
      <c r="BL477"/>
      <c r="BM477"/>
      <c r="BP477"/>
      <c r="BQ477" s="7"/>
      <c r="BR477"/>
      <c r="BS477"/>
      <c r="BT477"/>
      <c r="BU477"/>
      <c r="BV477"/>
      <c r="BY477"/>
      <c r="BZ477" s="7"/>
      <c r="CA477"/>
      <c r="CB477"/>
      <c r="CC477"/>
      <c r="CD477"/>
      <c r="CE477"/>
      <c r="CH477"/>
    </row>
    <row r="478" spans="2:86">
      <c r="B478" s="7"/>
      <c r="C478"/>
      <c r="D478"/>
      <c r="E478"/>
      <c r="F478"/>
      <c r="G478"/>
      <c r="H478"/>
      <c r="O478" s="7"/>
      <c r="P478"/>
      <c r="Q478"/>
      <c r="R478"/>
      <c r="S478"/>
      <c r="T478"/>
      <c r="W478"/>
      <c r="X478" s="7"/>
      <c r="Y478"/>
      <c r="Z478"/>
      <c r="AA478"/>
      <c r="AB478"/>
      <c r="AC478"/>
      <c r="AF478"/>
      <c r="AG478" s="7"/>
      <c r="AH478"/>
      <c r="AI478"/>
      <c r="AJ478"/>
      <c r="AK478"/>
      <c r="AL478"/>
      <c r="AO478"/>
      <c r="AP478" s="7"/>
      <c r="AQ478"/>
      <c r="AR478"/>
      <c r="AS478"/>
      <c r="AT478"/>
      <c r="AU478"/>
      <c r="AX478"/>
      <c r="AY478" s="7"/>
      <c r="AZ478"/>
      <c r="BA478"/>
      <c r="BB478"/>
      <c r="BC478"/>
      <c r="BD478"/>
      <c r="BG478"/>
      <c r="BH478" s="7"/>
      <c r="BI478"/>
      <c r="BJ478"/>
      <c r="BK478"/>
      <c r="BL478"/>
      <c r="BM478"/>
      <c r="BP478"/>
      <c r="BQ478" s="7"/>
      <c r="BR478"/>
      <c r="BS478"/>
      <c r="BT478"/>
      <c r="BU478"/>
      <c r="BV478"/>
      <c r="BY478"/>
      <c r="BZ478" s="7"/>
      <c r="CA478"/>
      <c r="CB478"/>
      <c r="CC478"/>
      <c r="CD478"/>
      <c r="CE478"/>
      <c r="CH478"/>
    </row>
    <row r="479" spans="2:86">
      <c r="B479" s="7"/>
      <c r="C479"/>
      <c r="D479"/>
      <c r="E479"/>
      <c r="F479"/>
      <c r="G479"/>
      <c r="H479"/>
      <c r="O479" s="7"/>
      <c r="P479"/>
      <c r="Q479"/>
      <c r="R479"/>
      <c r="S479"/>
      <c r="T479"/>
      <c r="W479"/>
      <c r="X479" s="7"/>
      <c r="Y479"/>
      <c r="Z479"/>
      <c r="AA479"/>
      <c r="AB479"/>
      <c r="AC479"/>
      <c r="AF479"/>
      <c r="AG479" s="7"/>
      <c r="AH479"/>
      <c r="AI479"/>
      <c r="AJ479"/>
      <c r="AK479"/>
      <c r="AL479"/>
      <c r="AO479"/>
      <c r="AP479" s="7"/>
      <c r="AQ479"/>
      <c r="AR479"/>
      <c r="AS479"/>
      <c r="AT479"/>
      <c r="AU479"/>
      <c r="AX479"/>
      <c r="AY479" s="7"/>
      <c r="AZ479"/>
      <c r="BA479"/>
      <c r="BB479"/>
      <c r="BC479"/>
      <c r="BD479"/>
      <c r="BG479"/>
      <c r="BH479" s="7"/>
      <c r="BI479"/>
      <c r="BJ479"/>
      <c r="BK479"/>
      <c r="BL479"/>
      <c r="BM479"/>
      <c r="BP479"/>
      <c r="BQ479" s="7"/>
      <c r="BR479"/>
      <c r="BS479"/>
      <c r="BT479"/>
      <c r="BU479"/>
      <c r="BV479"/>
      <c r="BY479"/>
      <c r="BZ479" s="7"/>
      <c r="CA479"/>
      <c r="CB479"/>
      <c r="CC479"/>
      <c r="CD479"/>
      <c r="CE479"/>
      <c r="CH479"/>
    </row>
    <row r="480" spans="2:86">
      <c r="B480" s="7"/>
      <c r="C480"/>
      <c r="D480"/>
      <c r="E480"/>
      <c r="F480"/>
      <c r="G480"/>
      <c r="H480"/>
      <c r="O480" s="7"/>
      <c r="P480"/>
      <c r="Q480"/>
      <c r="R480"/>
      <c r="S480"/>
      <c r="T480"/>
      <c r="W480"/>
      <c r="X480" s="7"/>
      <c r="Y480"/>
      <c r="Z480"/>
      <c r="AA480"/>
      <c r="AB480"/>
      <c r="AC480"/>
      <c r="AF480"/>
      <c r="AG480" s="7"/>
      <c r="AH480"/>
      <c r="AI480"/>
      <c r="AJ480"/>
      <c r="AK480"/>
      <c r="AL480"/>
      <c r="AO480"/>
      <c r="AP480" s="7"/>
      <c r="AQ480"/>
      <c r="AR480"/>
      <c r="AS480"/>
      <c r="AT480"/>
      <c r="AU480"/>
      <c r="AX480"/>
      <c r="AY480" s="7"/>
      <c r="AZ480"/>
      <c r="BA480"/>
      <c r="BB480"/>
      <c r="BC480"/>
      <c r="BD480"/>
      <c r="BG480"/>
      <c r="BH480" s="7"/>
      <c r="BI480"/>
      <c r="BJ480"/>
      <c r="BK480"/>
      <c r="BL480"/>
      <c r="BM480"/>
      <c r="BP480"/>
      <c r="BQ480" s="7"/>
      <c r="BR480"/>
      <c r="BS480"/>
      <c r="BT480"/>
      <c r="BU480"/>
      <c r="BV480"/>
      <c r="BY480"/>
      <c r="BZ480" s="7"/>
      <c r="CA480"/>
      <c r="CB480"/>
      <c r="CC480"/>
      <c r="CD480"/>
      <c r="CE480"/>
      <c r="CH480"/>
    </row>
    <row r="481" spans="2:86">
      <c r="B481" s="7"/>
      <c r="C481"/>
      <c r="D481"/>
      <c r="E481"/>
      <c r="F481"/>
      <c r="G481"/>
      <c r="H481"/>
      <c r="O481" s="7"/>
      <c r="P481"/>
      <c r="Q481"/>
      <c r="R481"/>
      <c r="S481"/>
      <c r="T481"/>
      <c r="W481"/>
      <c r="X481" s="7"/>
      <c r="Y481"/>
      <c r="Z481"/>
      <c r="AA481"/>
      <c r="AB481"/>
      <c r="AC481"/>
      <c r="AF481"/>
      <c r="AG481" s="7"/>
      <c r="AH481"/>
      <c r="AI481"/>
      <c r="AJ481"/>
      <c r="AK481"/>
      <c r="AL481"/>
      <c r="AO481"/>
      <c r="AP481" s="7"/>
      <c r="AQ481"/>
      <c r="AR481"/>
      <c r="AS481"/>
      <c r="AT481"/>
      <c r="AU481"/>
      <c r="AX481"/>
      <c r="AY481" s="7"/>
      <c r="AZ481"/>
      <c r="BA481"/>
      <c r="BB481"/>
      <c r="BC481"/>
      <c r="BD481"/>
      <c r="BG481"/>
      <c r="BH481" s="7"/>
      <c r="BI481"/>
      <c r="BJ481"/>
      <c r="BK481"/>
      <c r="BL481"/>
      <c r="BM481"/>
      <c r="BP481"/>
      <c r="BQ481" s="7"/>
      <c r="BR481"/>
      <c r="BS481"/>
      <c r="BT481"/>
      <c r="BU481"/>
      <c r="BV481"/>
      <c r="BY481"/>
      <c r="BZ481" s="7"/>
      <c r="CA481"/>
      <c r="CB481"/>
      <c r="CC481"/>
      <c r="CD481"/>
      <c r="CE481"/>
      <c r="CH481"/>
    </row>
    <row r="482" spans="2:86">
      <c r="B482" s="7"/>
      <c r="C482"/>
      <c r="D482"/>
      <c r="E482"/>
      <c r="F482"/>
      <c r="G482"/>
      <c r="H482"/>
      <c r="O482" s="7"/>
      <c r="P482"/>
      <c r="Q482"/>
      <c r="R482"/>
      <c r="S482"/>
      <c r="T482"/>
      <c r="W482"/>
      <c r="X482" s="7"/>
      <c r="Y482"/>
      <c r="Z482"/>
      <c r="AA482"/>
      <c r="AB482"/>
      <c r="AC482"/>
      <c r="AF482"/>
      <c r="AG482" s="7"/>
      <c r="AH482"/>
      <c r="AI482"/>
      <c r="AJ482"/>
      <c r="AK482"/>
      <c r="AL482"/>
      <c r="AO482"/>
      <c r="AP482" s="7"/>
      <c r="AQ482"/>
      <c r="AR482"/>
      <c r="AS482"/>
      <c r="AT482"/>
      <c r="AU482"/>
      <c r="AX482"/>
      <c r="AY482" s="7"/>
      <c r="AZ482"/>
      <c r="BA482"/>
      <c r="BB482"/>
      <c r="BC482"/>
      <c r="BD482"/>
      <c r="BG482"/>
      <c r="BH482" s="7"/>
      <c r="BI482"/>
      <c r="BJ482"/>
      <c r="BK482"/>
      <c r="BL482"/>
      <c r="BM482"/>
      <c r="BP482"/>
      <c r="BQ482" s="7"/>
      <c r="BR482"/>
      <c r="BS482"/>
      <c r="BT482"/>
      <c r="BU482"/>
      <c r="BV482"/>
      <c r="BY482"/>
      <c r="BZ482" s="7"/>
      <c r="CA482"/>
      <c r="CB482"/>
      <c r="CC482"/>
      <c r="CD482"/>
      <c r="CE482"/>
      <c r="CH482"/>
    </row>
    <row r="483" spans="2:86">
      <c r="B483" s="7"/>
      <c r="C483"/>
      <c r="D483"/>
      <c r="E483"/>
      <c r="F483"/>
      <c r="G483"/>
      <c r="H483"/>
      <c r="O483" s="7"/>
      <c r="P483"/>
      <c r="Q483"/>
      <c r="R483"/>
      <c r="S483"/>
      <c r="T483"/>
      <c r="W483"/>
      <c r="X483" s="7"/>
      <c r="Y483"/>
      <c r="Z483"/>
      <c r="AA483"/>
      <c r="AB483"/>
      <c r="AC483"/>
      <c r="AF483"/>
      <c r="AG483" s="7"/>
      <c r="AH483"/>
      <c r="AI483"/>
      <c r="AJ483"/>
      <c r="AK483"/>
      <c r="AL483"/>
      <c r="AO483"/>
      <c r="AP483" s="7"/>
      <c r="AQ483"/>
      <c r="AR483"/>
      <c r="AS483"/>
      <c r="AT483"/>
      <c r="AU483"/>
      <c r="AX483"/>
      <c r="AY483" s="7"/>
      <c r="AZ483"/>
      <c r="BA483"/>
      <c r="BB483"/>
      <c r="BC483"/>
      <c r="BD483"/>
      <c r="BG483"/>
      <c r="BH483" s="7"/>
      <c r="BI483"/>
      <c r="BJ483"/>
      <c r="BK483"/>
      <c r="BL483"/>
      <c r="BM483"/>
      <c r="BP483"/>
      <c r="BQ483" s="7"/>
      <c r="BR483"/>
      <c r="BS483"/>
      <c r="BT483"/>
      <c r="BU483"/>
      <c r="BV483"/>
      <c r="BY483"/>
      <c r="BZ483" s="7"/>
      <c r="CA483"/>
      <c r="CB483"/>
      <c r="CC483"/>
      <c r="CD483"/>
      <c r="CE483"/>
      <c r="CH483"/>
    </row>
    <row r="484" spans="2:86">
      <c r="B484" s="7"/>
      <c r="C484"/>
      <c r="D484"/>
      <c r="E484"/>
      <c r="F484"/>
      <c r="G484"/>
      <c r="H484"/>
      <c r="O484" s="7"/>
      <c r="P484"/>
      <c r="Q484"/>
      <c r="R484"/>
      <c r="S484"/>
      <c r="T484"/>
      <c r="W484"/>
      <c r="X484" s="7"/>
      <c r="Y484"/>
      <c r="Z484"/>
      <c r="AA484"/>
      <c r="AB484"/>
      <c r="AC484"/>
      <c r="AF484"/>
      <c r="AG484" s="7"/>
      <c r="AH484"/>
      <c r="AI484"/>
      <c r="AJ484"/>
      <c r="AK484"/>
      <c r="AL484"/>
      <c r="AO484"/>
      <c r="AP484" s="7"/>
      <c r="AQ484"/>
      <c r="AR484"/>
      <c r="AS484"/>
      <c r="AT484"/>
      <c r="AU484"/>
      <c r="AX484"/>
      <c r="AY484" s="7"/>
      <c r="AZ484"/>
      <c r="BA484"/>
      <c r="BB484"/>
      <c r="BC484"/>
      <c r="BD484"/>
      <c r="BG484"/>
      <c r="BH484" s="7"/>
      <c r="BI484"/>
      <c r="BJ484"/>
      <c r="BK484"/>
      <c r="BL484"/>
      <c r="BM484"/>
      <c r="BP484"/>
      <c r="BQ484" s="7"/>
      <c r="BR484"/>
      <c r="BS484"/>
      <c r="BT484"/>
      <c r="BU484"/>
      <c r="BV484"/>
      <c r="BY484"/>
      <c r="BZ484" s="7"/>
      <c r="CA484"/>
      <c r="CB484"/>
      <c r="CC484"/>
      <c r="CD484"/>
      <c r="CE484"/>
      <c r="CH484"/>
    </row>
    <row r="485" spans="2:86">
      <c r="B485" s="7"/>
      <c r="C485"/>
      <c r="D485"/>
      <c r="E485"/>
      <c r="F485"/>
      <c r="G485"/>
      <c r="H485"/>
      <c r="O485" s="7"/>
      <c r="P485"/>
      <c r="Q485"/>
      <c r="R485"/>
      <c r="S485"/>
      <c r="T485"/>
      <c r="W485"/>
      <c r="X485" s="7"/>
      <c r="Y485"/>
      <c r="Z485"/>
      <c r="AA485"/>
      <c r="AB485"/>
      <c r="AC485"/>
      <c r="AF485"/>
      <c r="AG485" s="7"/>
      <c r="AH485"/>
      <c r="AI485"/>
      <c r="AJ485"/>
      <c r="AK485"/>
      <c r="AL485"/>
      <c r="AO485"/>
      <c r="AP485" s="7"/>
      <c r="AQ485"/>
      <c r="AR485"/>
      <c r="AS485"/>
      <c r="AT485"/>
      <c r="AU485"/>
      <c r="AX485"/>
      <c r="AY485" s="7"/>
      <c r="AZ485"/>
      <c r="BA485"/>
      <c r="BB485"/>
      <c r="BC485"/>
      <c r="BD485"/>
      <c r="BG485"/>
      <c r="BH485" s="7"/>
      <c r="BI485"/>
      <c r="BJ485"/>
      <c r="BK485"/>
      <c r="BL485"/>
      <c r="BM485"/>
      <c r="BP485"/>
      <c r="BQ485" s="7"/>
      <c r="BR485"/>
      <c r="BS485"/>
      <c r="BT485"/>
      <c r="BU485"/>
      <c r="BV485"/>
      <c r="BY485"/>
      <c r="BZ485" s="7"/>
      <c r="CA485"/>
      <c r="CB485"/>
      <c r="CC485"/>
      <c r="CD485"/>
      <c r="CE485"/>
      <c r="CH485"/>
    </row>
    <row r="486" spans="2:86">
      <c r="B486" s="7"/>
      <c r="C486"/>
      <c r="D486"/>
      <c r="E486"/>
      <c r="F486"/>
      <c r="G486"/>
      <c r="H486"/>
      <c r="O486" s="7"/>
      <c r="P486"/>
      <c r="Q486"/>
      <c r="R486"/>
      <c r="S486"/>
      <c r="T486"/>
      <c r="W486"/>
      <c r="X486" s="7"/>
      <c r="Y486"/>
      <c r="Z486"/>
      <c r="AA486"/>
      <c r="AB486"/>
      <c r="AC486"/>
      <c r="AF486"/>
      <c r="AG486" s="7"/>
      <c r="AH486"/>
      <c r="AI486"/>
      <c r="AJ486"/>
      <c r="AK486"/>
      <c r="AL486"/>
      <c r="AO486"/>
      <c r="AP486" s="7"/>
      <c r="AQ486"/>
      <c r="AR486"/>
      <c r="AS486"/>
      <c r="AT486"/>
      <c r="AU486"/>
      <c r="AX486"/>
      <c r="AY486" s="7"/>
      <c r="AZ486"/>
      <c r="BA486"/>
      <c r="BB486"/>
      <c r="BC486"/>
      <c r="BD486"/>
      <c r="BG486"/>
      <c r="BH486" s="7"/>
      <c r="BI486"/>
      <c r="BJ486"/>
      <c r="BK486"/>
      <c r="BL486"/>
      <c r="BM486"/>
      <c r="BP486"/>
      <c r="BQ486" s="7"/>
      <c r="BR486"/>
      <c r="BS486"/>
      <c r="BT486"/>
      <c r="BU486"/>
      <c r="BV486"/>
      <c r="BY486"/>
      <c r="BZ486" s="7"/>
      <c r="CA486"/>
      <c r="CB486"/>
      <c r="CC486"/>
      <c r="CD486"/>
      <c r="CE486"/>
      <c r="CH486"/>
    </row>
    <row r="487" spans="2:86">
      <c r="B487" s="7"/>
      <c r="C487"/>
      <c r="D487"/>
      <c r="E487"/>
      <c r="F487"/>
      <c r="G487"/>
      <c r="H487"/>
      <c r="O487" s="7"/>
      <c r="P487"/>
      <c r="Q487"/>
      <c r="R487"/>
      <c r="S487"/>
      <c r="T487"/>
      <c r="W487"/>
      <c r="X487" s="7"/>
      <c r="Y487"/>
      <c r="Z487"/>
      <c r="AA487"/>
      <c r="AB487"/>
      <c r="AC487"/>
      <c r="AF487"/>
      <c r="AG487" s="7"/>
      <c r="AH487"/>
      <c r="AI487"/>
      <c r="AJ487"/>
      <c r="AK487"/>
      <c r="AL487"/>
      <c r="AO487"/>
      <c r="AP487" s="7"/>
      <c r="AQ487"/>
      <c r="AR487"/>
      <c r="AS487"/>
      <c r="AT487"/>
      <c r="AU487"/>
      <c r="AX487"/>
      <c r="AY487" s="7"/>
      <c r="AZ487"/>
      <c r="BA487"/>
      <c r="BB487"/>
      <c r="BC487"/>
      <c r="BD487"/>
      <c r="BG487"/>
      <c r="BH487" s="7"/>
      <c r="BI487"/>
      <c r="BJ487"/>
      <c r="BK487"/>
      <c r="BL487"/>
      <c r="BM487"/>
      <c r="BP487"/>
      <c r="BQ487" s="7"/>
      <c r="BR487"/>
      <c r="BS487"/>
      <c r="BT487"/>
      <c r="BU487"/>
      <c r="BV487"/>
      <c r="BY487"/>
      <c r="BZ487" s="7"/>
      <c r="CA487"/>
      <c r="CB487"/>
      <c r="CC487"/>
      <c r="CD487"/>
      <c r="CE487"/>
      <c r="CH487"/>
    </row>
    <row r="488" spans="2:86">
      <c r="B488" s="7"/>
      <c r="C488"/>
      <c r="D488"/>
      <c r="E488"/>
      <c r="F488"/>
      <c r="G488"/>
      <c r="H488"/>
      <c r="O488" s="7"/>
      <c r="P488"/>
      <c r="Q488"/>
      <c r="R488"/>
      <c r="S488"/>
      <c r="T488"/>
      <c r="W488"/>
      <c r="X488" s="7"/>
      <c r="Y488"/>
      <c r="Z488"/>
      <c r="AA488"/>
      <c r="AB488"/>
      <c r="AC488"/>
      <c r="AF488"/>
      <c r="AG488" s="7"/>
      <c r="AH488"/>
      <c r="AI488"/>
      <c r="AJ488"/>
      <c r="AK488"/>
      <c r="AL488"/>
      <c r="AO488"/>
      <c r="AP488" s="7"/>
      <c r="AQ488"/>
      <c r="AR488"/>
      <c r="AS488"/>
      <c r="AT488"/>
      <c r="AU488"/>
      <c r="AX488"/>
      <c r="AY488" s="7"/>
      <c r="AZ488"/>
      <c r="BA488"/>
      <c r="BB488"/>
      <c r="BC488"/>
      <c r="BD488"/>
      <c r="BG488"/>
      <c r="BH488" s="7"/>
      <c r="BI488"/>
      <c r="BJ488"/>
      <c r="BK488"/>
      <c r="BL488"/>
      <c r="BM488"/>
      <c r="BP488"/>
      <c r="BQ488" s="7"/>
      <c r="BR488"/>
      <c r="BS488"/>
      <c r="BT488"/>
      <c r="BU488"/>
      <c r="BV488"/>
      <c r="BY488"/>
      <c r="BZ488" s="7"/>
      <c r="CA488"/>
      <c r="CB488"/>
      <c r="CC488"/>
      <c r="CD488"/>
      <c r="CE488"/>
      <c r="CH488"/>
    </row>
    <row r="489" spans="2:86">
      <c r="B489" s="7"/>
      <c r="C489"/>
      <c r="D489"/>
      <c r="E489"/>
      <c r="F489"/>
      <c r="G489"/>
      <c r="H489"/>
      <c r="O489" s="7"/>
      <c r="P489"/>
      <c r="Q489"/>
      <c r="R489"/>
      <c r="S489"/>
      <c r="T489"/>
      <c r="W489"/>
      <c r="X489" s="7"/>
      <c r="Y489"/>
      <c r="Z489"/>
      <c r="AA489"/>
      <c r="AB489"/>
      <c r="AC489"/>
      <c r="AF489"/>
      <c r="AG489" s="7"/>
      <c r="AH489"/>
      <c r="AI489"/>
      <c r="AJ489"/>
      <c r="AK489"/>
      <c r="AL489"/>
      <c r="AO489"/>
      <c r="AP489" s="7"/>
      <c r="AQ489"/>
      <c r="AR489"/>
      <c r="AS489"/>
      <c r="AT489"/>
      <c r="AU489"/>
      <c r="AX489"/>
      <c r="AY489" s="7"/>
      <c r="AZ489"/>
      <c r="BA489"/>
      <c r="BB489"/>
      <c r="BC489"/>
      <c r="BD489"/>
      <c r="BG489"/>
      <c r="BH489" s="7"/>
      <c r="BI489"/>
      <c r="BJ489"/>
      <c r="BK489"/>
      <c r="BL489"/>
      <c r="BM489"/>
      <c r="BP489"/>
      <c r="BQ489" s="7"/>
      <c r="BR489"/>
      <c r="BS489"/>
      <c r="BT489"/>
      <c r="BU489"/>
      <c r="BV489"/>
      <c r="BY489"/>
      <c r="BZ489" s="7"/>
      <c r="CA489"/>
      <c r="CB489"/>
      <c r="CC489"/>
      <c r="CD489"/>
      <c r="CE489"/>
      <c r="CH489"/>
    </row>
    <row r="490" spans="2:86">
      <c r="B490" s="7"/>
      <c r="C490"/>
      <c r="D490"/>
      <c r="E490"/>
      <c r="F490"/>
      <c r="G490"/>
      <c r="H490"/>
      <c r="O490" s="7"/>
      <c r="P490"/>
      <c r="Q490"/>
      <c r="R490"/>
      <c r="S490"/>
      <c r="T490"/>
      <c r="W490"/>
      <c r="X490" s="7"/>
      <c r="Y490"/>
      <c r="Z490"/>
      <c r="AA490"/>
      <c r="AB490"/>
      <c r="AC490"/>
      <c r="AF490"/>
      <c r="AG490" s="7"/>
      <c r="AH490"/>
      <c r="AI490"/>
      <c r="AJ490"/>
      <c r="AK490"/>
      <c r="AL490"/>
      <c r="AO490"/>
      <c r="AP490" s="7"/>
      <c r="AQ490"/>
      <c r="AR490"/>
      <c r="AS490"/>
      <c r="AT490"/>
      <c r="AU490"/>
      <c r="AX490"/>
      <c r="AY490" s="7"/>
      <c r="AZ490"/>
      <c r="BA490"/>
      <c r="BB490"/>
      <c r="BC490"/>
      <c r="BD490"/>
      <c r="BG490"/>
      <c r="BH490" s="7"/>
      <c r="BI490"/>
      <c r="BJ490"/>
      <c r="BK490"/>
      <c r="BL490"/>
      <c r="BM490"/>
      <c r="BP490"/>
      <c r="BQ490" s="7"/>
      <c r="BR490"/>
      <c r="BS490"/>
      <c r="BT490"/>
      <c r="BU490"/>
      <c r="BV490"/>
      <c r="BY490"/>
      <c r="BZ490" s="7"/>
      <c r="CA490"/>
      <c r="CB490"/>
      <c r="CC490"/>
      <c r="CD490"/>
      <c r="CE490"/>
      <c r="CH490"/>
    </row>
    <row r="491" spans="2:86">
      <c r="B491" s="7"/>
      <c r="C491"/>
      <c r="D491"/>
      <c r="E491"/>
      <c r="F491"/>
      <c r="G491"/>
      <c r="H491"/>
      <c r="O491" s="7"/>
      <c r="P491"/>
      <c r="Q491"/>
      <c r="R491"/>
      <c r="S491"/>
      <c r="T491"/>
      <c r="W491"/>
      <c r="X491" s="7"/>
      <c r="Y491"/>
      <c r="Z491"/>
      <c r="AA491"/>
      <c r="AB491"/>
      <c r="AC491"/>
      <c r="AF491"/>
      <c r="AG491" s="7"/>
      <c r="AH491"/>
      <c r="AI491"/>
      <c r="AJ491"/>
      <c r="AK491"/>
      <c r="AL491"/>
      <c r="AO491"/>
      <c r="AP491" s="7"/>
      <c r="AQ491"/>
      <c r="AR491"/>
      <c r="AS491"/>
      <c r="AT491"/>
      <c r="AU491"/>
      <c r="AX491"/>
      <c r="AY491" s="7"/>
      <c r="AZ491"/>
      <c r="BA491"/>
      <c r="BB491"/>
      <c r="BC491"/>
      <c r="BD491"/>
      <c r="BG491"/>
      <c r="BH491" s="7"/>
      <c r="BI491"/>
      <c r="BJ491"/>
      <c r="BK491"/>
      <c r="BL491"/>
      <c r="BM491"/>
      <c r="BP491"/>
      <c r="BQ491" s="7"/>
      <c r="BR491"/>
      <c r="BS491"/>
      <c r="BT491"/>
      <c r="BU491"/>
      <c r="BV491"/>
      <c r="BY491"/>
      <c r="BZ491" s="7"/>
      <c r="CA491"/>
      <c r="CB491"/>
      <c r="CC491"/>
      <c r="CD491"/>
      <c r="CE491"/>
      <c r="CH491"/>
    </row>
    <row r="492" spans="2:86">
      <c r="B492" s="7"/>
      <c r="C492"/>
      <c r="D492"/>
      <c r="E492"/>
      <c r="F492"/>
      <c r="G492"/>
      <c r="H492"/>
      <c r="O492" s="7"/>
      <c r="P492"/>
      <c r="Q492"/>
      <c r="R492"/>
      <c r="S492"/>
      <c r="T492"/>
      <c r="W492"/>
      <c r="X492" s="7"/>
      <c r="Y492"/>
      <c r="Z492"/>
      <c r="AA492"/>
      <c r="AB492"/>
      <c r="AC492"/>
      <c r="AF492"/>
      <c r="AG492" s="7"/>
      <c r="AH492"/>
      <c r="AI492"/>
      <c r="AJ492"/>
      <c r="AK492"/>
      <c r="AL492"/>
      <c r="AO492"/>
      <c r="AP492" s="7"/>
      <c r="AQ492"/>
      <c r="AR492"/>
      <c r="AS492"/>
      <c r="AT492"/>
      <c r="AU492"/>
      <c r="AX492"/>
      <c r="AY492" s="7"/>
      <c r="AZ492"/>
      <c r="BA492"/>
      <c r="BB492"/>
      <c r="BC492"/>
      <c r="BD492"/>
      <c r="BG492"/>
      <c r="BH492" s="7"/>
      <c r="BI492"/>
      <c r="BJ492"/>
      <c r="BK492"/>
      <c r="BL492"/>
      <c r="BM492"/>
      <c r="BP492"/>
      <c r="BQ492" s="7"/>
      <c r="BR492"/>
      <c r="BS492"/>
      <c r="BT492"/>
      <c r="BU492"/>
      <c r="BV492"/>
      <c r="BY492"/>
      <c r="BZ492" s="7"/>
      <c r="CA492"/>
      <c r="CB492"/>
      <c r="CC492"/>
      <c r="CD492"/>
      <c r="CE492"/>
      <c r="CH492"/>
    </row>
    <row r="493" spans="2:86">
      <c r="B493" s="7"/>
      <c r="C493"/>
      <c r="D493"/>
      <c r="E493"/>
      <c r="F493"/>
      <c r="G493"/>
      <c r="H493"/>
      <c r="O493" s="7"/>
      <c r="P493"/>
      <c r="Q493"/>
      <c r="R493"/>
      <c r="S493"/>
      <c r="T493"/>
      <c r="W493"/>
      <c r="X493" s="7"/>
      <c r="Y493"/>
      <c r="Z493"/>
      <c r="AA493"/>
      <c r="AB493"/>
      <c r="AC493"/>
      <c r="AF493"/>
      <c r="AG493" s="7"/>
      <c r="AH493"/>
      <c r="AI493"/>
      <c r="AJ493"/>
      <c r="AK493"/>
      <c r="AL493"/>
      <c r="AO493"/>
      <c r="AP493" s="7"/>
      <c r="AQ493"/>
      <c r="AR493"/>
      <c r="AS493"/>
      <c r="AT493"/>
      <c r="AU493"/>
      <c r="AX493"/>
      <c r="AY493" s="7"/>
      <c r="AZ493"/>
      <c r="BA493"/>
      <c r="BB493"/>
      <c r="BC493"/>
      <c r="BD493"/>
      <c r="BG493"/>
      <c r="BH493" s="7"/>
      <c r="BI493"/>
      <c r="BJ493"/>
      <c r="BK493"/>
      <c r="BL493"/>
      <c r="BM493"/>
      <c r="BP493"/>
      <c r="BQ493" s="7"/>
      <c r="BR493"/>
      <c r="BS493"/>
      <c r="BT493"/>
      <c r="BU493"/>
      <c r="BV493"/>
      <c r="BY493"/>
      <c r="BZ493" s="7"/>
      <c r="CA493"/>
      <c r="CB493"/>
      <c r="CC493"/>
      <c r="CD493"/>
      <c r="CE493"/>
      <c r="CH493"/>
    </row>
    <row r="494" spans="2:86">
      <c r="B494" s="7"/>
      <c r="C494"/>
      <c r="D494"/>
      <c r="E494"/>
      <c r="F494"/>
      <c r="G494"/>
      <c r="H494"/>
      <c r="O494" s="7"/>
      <c r="P494"/>
      <c r="Q494"/>
      <c r="R494"/>
      <c r="S494"/>
      <c r="T494"/>
      <c r="W494"/>
      <c r="X494" s="7"/>
      <c r="Y494"/>
      <c r="Z494"/>
      <c r="AA494"/>
      <c r="AB494"/>
      <c r="AC494"/>
      <c r="AF494"/>
      <c r="AG494" s="7"/>
      <c r="AH494"/>
      <c r="AI494"/>
      <c r="AJ494"/>
      <c r="AK494"/>
      <c r="AL494"/>
      <c r="AO494"/>
      <c r="AP494" s="7"/>
      <c r="AQ494"/>
      <c r="AR494"/>
      <c r="AS494"/>
      <c r="AT494"/>
      <c r="AU494"/>
      <c r="AX494"/>
      <c r="AY494" s="7"/>
      <c r="AZ494"/>
      <c r="BA494"/>
      <c r="BB494"/>
      <c r="BC494"/>
      <c r="BD494"/>
      <c r="BG494"/>
      <c r="BH494" s="7"/>
      <c r="BI494"/>
      <c r="BJ494"/>
      <c r="BK494"/>
      <c r="BL494"/>
      <c r="BM494"/>
      <c r="BP494"/>
      <c r="BQ494" s="7"/>
      <c r="BR494"/>
      <c r="BS494"/>
      <c r="BT494"/>
      <c r="BU494"/>
      <c r="BV494"/>
      <c r="BY494"/>
      <c r="BZ494" s="7"/>
      <c r="CA494"/>
      <c r="CB494"/>
      <c r="CC494"/>
      <c r="CD494"/>
      <c r="CE494"/>
      <c r="CH494"/>
    </row>
    <row r="495" spans="2:86">
      <c r="B495" s="7"/>
      <c r="C495"/>
      <c r="D495"/>
      <c r="E495"/>
      <c r="F495"/>
      <c r="G495"/>
      <c r="H495"/>
      <c r="O495" s="7"/>
      <c r="P495"/>
      <c r="Q495"/>
      <c r="R495"/>
      <c r="S495"/>
      <c r="T495"/>
      <c r="W495"/>
      <c r="X495" s="7"/>
      <c r="Y495"/>
      <c r="Z495"/>
      <c r="AA495"/>
      <c r="AB495"/>
      <c r="AC495"/>
      <c r="AF495"/>
      <c r="AG495" s="7"/>
      <c r="AH495"/>
      <c r="AI495"/>
      <c r="AJ495"/>
      <c r="AK495"/>
      <c r="AL495"/>
      <c r="AO495"/>
      <c r="AP495" s="7"/>
      <c r="AQ495"/>
      <c r="AR495"/>
      <c r="AS495"/>
      <c r="AT495"/>
      <c r="AU495"/>
      <c r="AX495"/>
      <c r="AY495" s="7"/>
      <c r="AZ495"/>
      <c r="BA495"/>
      <c r="BB495"/>
      <c r="BC495"/>
      <c r="BD495"/>
      <c r="BG495"/>
      <c r="BH495" s="7"/>
      <c r="BI495"/>
      <c r="BJ495"/>
      <c r="BK495"/>
      <c r="BL495"/>
      <c r="BM495"/>
      <c r="BP495"/>
      <c r="BQ495" s="7"/>
      <c r="BR495"/>
      <c r="BS495"/>
      <c r="BT495"/>
      <c r="BU495"/>
      <c r="BV495"/>
      <c r="BY495"/>
      <c r="BZ495" s="7"/>
      <c r="CA495"/>
      <c r="CB495"/>
      <c r="CC495"/>
      <c r="CD495"/>
      <c r="CE495"/>
      <c r="CH495"/>
    </row>
    <row r="496" spans="2:86">
      <c r="B496" s="7"/>
      <c r="C496"/>
      <c r="D496"/>
      <c r="E496"/>
      <c r="F496"/>
      <c r="G496"/>
      <c r="H496"/>
      <c r="O496" s="7"/>
      <c r="P496"/>
      <c r="Q496"/>
      <c r="R496"/>
      <c r="S496"/>
      <c r="T496"/>
      <c r="W496"/>
      <c r="X496" s="7"/>
      <c r="Y496"/>
      <c r="Z496"/>
      <c r="AA496"/>
      <c r="AB496"/>
      <c r="AC496"/>
      <c r="AF496"/>
      <c r="AG496" s="7"/>
      <c r="AH496"/>
      <c r="AI496"/>
      <c r="AJ496"/>
      <c r="AK496"/>
      <c r="AL496"/>
      <c r="AO496"/>
      <c r="AP496" s="7"/>
      <c r="AQ496"/>
      <c r="AR496"/>
      <c r="AS496"/>
      <c r="AT496"/>
      <c r="AU496"/>
      <c r="AX496"/>
      <c r="AY496" s="7"/>
      <c r="AZ496"/>
      <c r="BA496"/>
      <c r="BB496"/>
      <c r="BC496"/>
      <c r="BD496"/>
      <c r="BG496"/>
      <c r="BH496" s="7"/>
      <c r="BI496"/>
      <c r="BJ496"/>
      <c r="BK496"/>
      <c r="BL496"/>
      <c r="BM496"/>
      <c r="BP496"/>
      <c r="BQ496" s="7"/>
      <c r="BR496"/>
      <c r="BS496"/>
      <c r="BT496"/>
      <c r="BU496"/>
      <c r="BV496"/>
      <c r="BY496"/>
      <c r="BZ496" s="7"/>
      <c r="CA496"/>
      <c r="CB496"/>
      <c r="CC496"/>
      <c r="CD496"/>
      <c r="CE496"/>
      <c r="CH496"/>
    </row>
    <row r="497" spans="2:86">
      <c r="B497" s="7"/>
      <c r="C497"/>
      <c r="D497"/>
      <c r="E497"/>
      <c r="F497"/>
      <c r="G497"/>
      <c r="H497"/>
      <c r="O497" s="7"/>
      <c r="P497"/>
      <c r="Q497"/>
      <c r="R497"/>
      <c r="S497"/>
      <c r="T497"/>
      <c r="W497"/>
      <c r="X497" s="7"/>
      <c r="Y497"/>
      <c r="Z497"/>
      <c r="AA497"/>
      <c r="AB497"/>
      <c r="AC497"/>
      <c r="AF497"/>
      <c r="AG497" s="7"/>
      <c r="AH497"/>
      <c r="AI497"/>
      <c r="AJ497"/>
      <c r="AK497"/>
      <c r="AL497"/>
      <c r="AO497"/>
      <c r="AP497" s="7"/>
      <c r="AQ497"/>
      <c r="AR497"/>
      <c r="AS497"/>
      <c r="AT497"/>
      <c r="AU497"/>
      <c r="AX497"/>
      <c r="AY497" s="7"/>
      <c r="AZ497"/>
      <c r="BA497"/>
      <c r="BB497"/>
      <c r="BC497"/>
      <c r="BD497"/>
      <c r="BG497"/>
      <c r="BH497" s="7"/>
      <c r="BI497"/>
      <c r="BJ497"/>
      <c r="BK497"/>
      <c r="BL497"/>
      <c r="BM497"/>
      <c r="BP497"/>
      <c r="BQ497" s="7"/>
      <c r="BR497"/>
      <c r="BS497"/>
      <c r="BT497"/>
      <c r="BU497"/>
      <c r="BV497"/>
      <c r="BY497"/>
      <c r="BZ497" s="7"/>
      <c r="CA497"/>
      <c r="CB497"/>
      <c r="CC497"/>
      <c r="CD497"/>
      <c r="CE497"/>
      <c r="CH497"/>
    </row>
    <row r="498" spans="2:86">
      <c r="B498" s="7"/>
      <c r="C498"/>
      <c r="D498"/>
      <c r="E498"/>
      <c r="F498"/>
      <c r="G498"/>
      <c r="H498"/>
      <c r="O498" s="7"/>
      <c r="P498"/>
      <c r="Q498"/>
      <c r="R498"/>
      <c r="S498"/>
      <c r="T498"/>
      <c r="W498"/>
      <c r="X498" s="7"/>
      <c r="Y498"/>
      <c r="Z498"/>
      <c r="AA498"/>
      <c r="AB498"/>
      <c r="AC498"/>
      <c r="AF498"/>
      <c r="AG498" s="7"/>
      <c r="AH498"/>
      <c r="AI498"/>
      <c r="AJ498"/>
      <c r="AK498"/>
      <c r="AL498"/>
      <c r="AO498"/>
      <c r="AP498" s="7"/>
      <c r="AQ498"/>
      <c r="AR498"/>
      <c r="AS498"/>
      <c r="AT498"/>
      <c r="AU498"/>
      <c r="AX498"/>
      <c r="AY498" s="7"/>
      <c r="AZ498"/>
      <c r="BA498"/>
      <c r="BB498"/>
      <c r="BC498"/>
      <c r="BD498"/>
      <c r="BG498"/>
      <c r="BH498" s="7"/>
      <c r="BI498"/>
      <c r="BJ498"/>
      <c r="BK498"/>
      <c r="BL498"/>
      <c r="BM498"/>
      <c r="BP498"/>
      <c r="BQ498" s="7"/>
      <c r="BR498"/>
      <c r="BS498"/>
      <c r="BT498"/>
      <c r="BU498"/>
      <c r="BV498"/>
      <c r="BY498"/>
      <c r="BZ498" s="7"/>
      <c r="CA498"/>
      <c r="CB498"/>
      <c r="CC498"/>
      <c r="CD498"/>
      <c r="CE498"/>
      <c r="CH498"/>
    </row>
    <row r="499" spans="2:86">
      <c r="B499" s="7"/>
      <c r="C499"/>
      <c r="D499"/>
      <c r="E499"/>
      <c r="F499"/>
      <c r="G499"/>
      <c r="H499"/>
      <c r="O499" s="7"/>
      <c r="P499"/>
      <c r="Q499"/>
      <c r="R499"/>
      <c r="S499"/>
      <c r="T499"/>
      <c r="W499"/>
      <c r="X499" s="7"/>
      <c r="Y499"/>
      <c r="Z499"/>
      <c r="AA499"/>
      <c r="AB499"/>
      <c r="AC499"/>
      <c r="AF499"/>
      <c r="AG499" s="7"/>
      <c r="AH499"/>
      <c r="AI499"/>
      <c r="AJ499"/>
      <c r="AK499"/>
      <c r="AL499"/>
      <c r="AO499"/>
      <c r="AP499" s="7"/>
      <c r="AQ499"/>
      <c r="AR499"/>
      <c r="AS499"/>
      <c r="AT499"/>
      <c r="AU499"/>
      <c r="AX499"/>
      <c r="AY499" s="7"/>
      <c r="AZ499"/>
      <c r="BA499"/>
      <c r="BB499"/>
      <c r="BC499"/>
      <c r="BD499"/>
      <c r="BG499"/>
      <c r="BH499" s="7"/>
      <c r="BI499"/>
      <c r="BJ499"/>
      <c r="BK499"/>
      <c r="BL499"/>
      <c r="BM499"/>
      <c r="BP499"/>
      <c r="BQ499" s="7"/>
      <c r="BR499"/>
      <c r="BS499"/>
      <c r="BT499"/>
      <c r="BU499"/>
      <c r="BV499"/>
      <c r="BY499"/>
      <c r="BZ499" s="7"/>
      <c r="CA499"/>
      <c r="CB499"/>
      <c r="CC499"/>
      <c r="CD499"/>
      <c r="CE499"/>
      <c r="CH499"/>
    </row>
    <row r="500" spans="2:86">
      <c r="B500" s="7"/>
      <c r="C500"/>
      <c r="D500"/>
      <c r="E500"/>
      <c r="F500"/>
      <c r="G500"/>
      <c r="H500"/>
      <c r="O500" s="7"/>
      <c r="P500"/>
      <c r="Q500"/>
      <c r="R500"/>
      <c r="S500"/>
      <c r="T500"/>
      <c r="W500"/>
      <c r="X500" s="7"/>
      <c r="Y500"/>
      <c r="Z500"/>
      <c r="AA500"/>
      <c r="AB500"/>
      <c r="AC500"/>
      <c r="AF500"/>
      <c r="AG500" s="7"/>
      <c r="AH500"/>
      <c r="AI500"/>
      <c r="AJ500"/>
      <c r="AK500"/>
      <c r="AL500"/>
      <c r="AO500"/>
      <c r="AP500" s="7"/>
      <c r="AQ500"/>
      <c r="AR500"/>
      <c r="AS500"/>
      <c r="AT500"/>
      <c r="AU500"/>
      <c r="AX500"/>
      <c r="AY500" s="7"/>
      <c r="AZ500"/>
      <c r="BA500"/>
      <c r="BB500"/>
      <c r="BC500"/>
      <c r="BD500"/>
      <c r="BG500"/>
      <c r="BH500" s="7"/>
      <c r="BI500"/>
      <c r="BJ500"/>
      <c r="BK500"/>
      <c r="BL500"/>
      <c r="BM500"/>
      <c r="BP500"/>
      <c r="BQ500" s="7"/>
      <c r="BR500"/>
      <c r="BS500"/>
      <c r="BT500"/>
      <c r="BU500"/>
      <c r="BV500"/>
      <c r="BY500"/>
      <c r="BZ500" s="7"/>
      <c r="CA500"/>
      <c r="CB500"/>
      <c r="CC500"/>
      <c r="CD500"/>
      <c r="CE500"/>
      <c r="CH500"/>
    </row>
    <row r="501" spans="2:86">
      <c r="B501" s="7"/>
      <c r="C501"/>
      <c r="D501"/>
      <c r="E501"/>
      <c r="F501"/>
      <c r="G501"/>
      <c r="H501"/>
      <c r="O501" s="7"/>
      <c r="P501"/>
      <c r="Q501"/>
      <c r="R501"/>
      <c r="S501"/>
      <c r="T501"/>
      <c r="W501"/>
      <c r="X501" s="7"/>
      <c r="Y501"/>
      <c r="Z501"/>
      <c r="AA501"/>
      <c r="AB501"/>
      <c r="AC501"/>
      <c r="AF501"/>
      <c r="AG501" s="7"/>
      <c r="AH501"/>
      <c r="AI501"/>
      <c r="AJ501"/>
      <c r="AK501"/>
      <c r="AL501"/>
      <c r="AO501"/>
      <c r="AP501" s="7"/>
      <c r="AQ501"/>
      <c r="AR501"/>
      <c r="AS501"/>
      <c r="AT501"/>
      <c r="AU501"/>
      <c r="AX501"/>
      <c r="AY501" s="7"/>
      <c r="AZ501"/>
      <c r="BA501"/>
      <c r="BB501"/>
      <c r="BC501"/>
      <c r="BD501"/>
      <c r="BG501"/>
      <c r="BH501" s="7"/>
      <c r="BI501"/>
      <c r="BJ501"/>
      <c r="BK501"/>
      <c r="BL501"/>
      <c r="BM501"/>
      <c r="BP501"/>
      <c r="BQ501" s="7"/>
      <c r="BR501"/>
      <c r="BS501"/>
      <c r="BT501"/>
      <c r="BU501"/>
      <c r="BV501"/>
      <c r="BY501"/>
      <c r="BZ501" s="7"/>
      <c r="CA501"/>
      <c r="CB501"/>
      <c r="CC501"/>
      <c r="CD501"/>
      <c r="CE501"/>
      <c r="CH501"/>
    </row>
    <row r="502" spans="2:86">
      <c r="B502" s="7"/>
      <c r="C502"/>
      <c r="D502"/>
      <c r="E502"/>
      <c r="F502"/>
      <c r="G502"/>
      <c r="H502"/>
      <c r="O502" s="7"/>
      <c r="P502"/>
      <c r="Q502"/>
      <c r="R502"/>
      <c r="S502"/>
      <c r="T502"/>
      <c r="W502"/>
      <c r="X502" s="7"/>
      <c r="Y502"/>
      <c r="Z502"/>
      <c r="AA502"/>
      <c r="AB502"/>
      <c r="AC502"/>
      <c r="AF502"/>
      <c r="AG502" s="7"/>
      <c r="AH502"/>
      <c r="AI502"/>
      <c r="AJ502"/>
      <c r="AK502"/>
      <c r="AL502"/>
      <c r="AO502"/>
      <c r="AP502" s="7"/>
      <c r="AQ502"/>
      <c r="AR502"/>
      <c r="AS502"/>
      <c r="AT502"/>
      <c r="AU502"/>
      <c r="AX502"/>
      <c r="AY502" s="7"/>
      <c r="AZ502"/>
      <c r="BA502"/>
      <c r="BB502"/>
      <c r="BC502"/>
      <c r="BD502"/>
      <c r="BG502"/>
      <c r="BH502" s="7"/>
      <c r="BI502"/>
      <c r="BJ502"/>
      <c r="BK502"/>
      <c r="BL502"/>
      <c r="BM502"/>
      <c r="BP502"/>
      <c r="BQ502" s="7"/>
      <c r="BR502"/>
      <c r="BS502"/>
      <c r="BT502"/>
      <c r="BU502"/>
      <c r="BV502"/>
      <c r="BY502"/>
      <c r="BZ502" s="7"/>
      <c r="CA502"/>
      <c r="CB502"/>
      <c r="CC502"/>
      <c r="CD502"/>
      <c r="CE502"/>
      <c r="CH502"/>
    </row>
    <row r="503" spans="2:86">
      <c r="B503" s="7"/>
      <c r="C503"/>
      <c r="D503"/>
      <c r="E503"/>
      <c r="F503"/>
      <c r="G503"/>
      <c r="H503"/>
      <c r="O503" s="7"/>
      <c r="P503"/>
      <c r="Q503"/>
      <c r="R503"/>
      <c r="S503"/>
      <c r="T503"/>
      <c r="W503"/>
      <c r="X503" s="7"/>
      <c r="Y503"/>
      <c r="Z503"/>
      <c r="AA503"/>
      <c r="AB503"/>
      <c r="AC503"/>
      <c r="AF503"/>
      <c r="AG503" s="7"/>
      <c r="AH503"/>
      <c r="AI503"/>
      <c r="AJ503"/>
      <c r="AK503"/>
      <c r="AL503"/>
      <c r="AO503"/>
      <c r="AP503" s="7"/>
      <c r="AQ503"/>
      <c r="AR503"/>
      <c r="AS503"/>
      <c r="AT503"/>
      <c r="AU503"/>
      <c r="AX503"/>
      <c r="AY503" s="7"/>
      <c r="AZ503"/>
      <c r="BA503"/>
      <c r="BB503"/>
      <c r="BC503"/>
      <c r="BD503"/>
      <c r="BG503"/>
      <c r="BH503" s="7"/>
      <c r="BI503"/>
      <c r="BJ503"/>
      <c r="BK503"/>
      <c r="BL503"/>
      <c r="BM503"/>
      <c r="BP503"/>
      <c r="BQ503" s="7"/>
      <c r="BR503"/>
      <c r="BS503"/>
      <c r="BT503"/>
      <c r="BU503"/>
      <c r="BV503"/>
      <c r="BY503"/>
      <c r="BZ503" s="7"/>
      <c r="CA503"/>
      <c r="CB503"/>
      <c r="CC503"/>
      <c r="CD503"/>
      <c r="CE503"/>
      <c r="CH503"/>
    </row>
    <row r="504" spans="2:86">
      <c r="B504" s="7"/>
      <c r="C504"/>
      <c r="D504"/>
      <c r="E504"/>
      <c r="F504"/>
      <c r="G504"/>
      <c r="H504"/>
      <c r="O504" s="7"/>
      <c r="P504"/>
      <c r="Q504"/>
      <c r="R504"/>
      <c r="S504"/>
      <c r="T504"/>
      <c r="W504"/>
      <c r="X504" s="7"/>
      <c r="Y504"/>
      <c r="Z504"/>
      <c r="AA504"/>
      <c r="AB504"/>
      <c r="AC504"/>
      <c r="AF504"/>
      <c r="AG504" s="7"/>
      <c r="AH504"/>
      <c r="AI504"/>
      <c r="AJ504"/>
      <c r="AK504"/>
      <c r="AL504"/>
      <c r="AO504"/>
      <c r="AP504" s="7"/>
      <c r="AQ504"/>
      <c r="AR504"/>
      <c r="AS504"/>
      <c r="AT504"/>
      <c r="AU504"/>
      <c r="AX504"/>
      <c r="AY504" s="7"/>
      <c r="AZ504"/>
      <c r="BA504"/>
      <c r="BB504"/>
      <c r="BC504"/>
      <c r="BD504"/>
      <c r="BG504"/>
      <c r="BH504" s="7"/>
      <c r="BI504"/>
      <c r="BJ504"/>
      <c r="BK504"/>
      <c r="BL504"/>
      <c r="BM504"/>
      <c r="BP504"/>
      <c r="BQ504" s="7"/>
      <c r="BR504"/>
      <c r="BS504"/>
      <c r="BT504"/>
      <c r="BU504"/>
      <c r="BV504"/>
      <c r="BY504"/>
      <c r="BZ504" s="7"/>
      <c r="CA504"/>
      <c r="CB504"/>
      <c r="CC504"/>
      <c r="CD504"/>
      <c r="CE504"/>
      <c r="CH504"/>
    </row>
    <row r="505" spans="2:86">
      <c r="B505" s="7"/>
      <c r="C505"/>
      <c r="D505"/>
      <c r="E505"/>
      <c r="F505"/>
      <c r="G505"/>
      <c r="H505"/>
      <c r="O505" s="7"/>
      <c r="P505"/>
      <c r="Q505"/>
      <c r="R505"/>
      <c r="S505"/>
      <c r="T505"/>
      <c r="W505"/>
      <c r="X505" s="7"/>
      <c r="Y505"/>
      <c r="Z505"/>
      <c r="AA505"/>
      <c r="AB505"/>
      <c r="AC505"/>
      <c r="AF505"/>
      <c r="AG505" s="7"/>
      <c r="AH505"/>
      <c r="AI505"/>
      <c r="AJ505"/>
      <c r="AK505"/>
      <c r="AL505"/>
      <c r="AO505"/>
      <c r="AP505" s="7"/>
      <c r="AQ505"/>
      <c r="AR505"/>
      <c r="AS505"/>
      <c r="AT505"/>
      <c r="AU505"/>
      <c r="AX505"/>
      <c r="AY505" s="7"/>
      <c r="AZ505"/>
      <c r="BA505"/>
      <c r="BB505"/>
      <c r="BC505"/>
      <c r="BD505"/>
      <c r="BG505"/>
      <c r="BH505" s="7"/>
      <c r="BI505"/>
      <c r="BJ505"/>
      <c r="BK505"/>
      <c r="BL505"/>
      <c r="BM505"/>
      <c r="BP505"/>
      <c r="BQ505" s="7"/>
      <c r="BR505"/>
      <c r="BS505"/>
      <c r="BT505"/>
      <c r="BU505"/>
      <c r="BV505"/>
      <c r="BY505"/>
      <c r="BZ505" s="7"/>
      <c r="CA505"/>
      <c r="CB505"/>
      <c r="CC505"/>
      <c r="CD505"/>
      <c r="CE505"/>
      <c r="CH505"/>
    </row>
    <row r="506" spans="2:86">
      <c r="B506" s="7"/>
      <c r="C506"/>
      <c r="D506"/>
      <c r="E506"/>
      <c r="F506"/>
      <c r="G506"/>
      <c r="H506"/>
      <c r="O506" s="7"/>
      <c r="P506"/>
      <c r="Q506"/>
      <c r="R506"/>
      <c r="S506"/>
      <c r="T506"/>
      <c r="W506"/>
      <c r="X506" s="7"/>
      <c r="Y506"/>
      <c r="Z506"/>
      <c r="AA506"/>
      <c r="AB506"/>
      <c r="AC506"/>
      <c r="AF506"/>
      <c r="AG506" s="7"/>
      <c r="AH506"/>
      <c r="AI506"/>
      <c r="AJ506"/>
      <c r="AK506"/>
      <c r="AL506"/>
      <c r="AO506"/>
      <c r="AP506" s="7"/>
      <c r="AQ506"/>
      <c r="AR506"/>
      <c r="AS506"/>
      <c r="AT506"/>
      <c r="AU506"/>
      <c r="AX506"/>
      <c r="AY506" s="7"/>
      <c r="AZ506"/>
      <c r="BA506"/>
      <c r="BB506"/>
      <c r="BC506"/>
      <c r="BD506"/>
      <c r="BG506"/>
      <c r="BH506" s="7"/>
      <c r="BI506"/>
      <c r="BJ506"/>
      <c r="BK506"/>
      <c r="BL506"/>
      <c r="BM506"/>
      <c r="BP506"/>
      <c r="BQ506" s="7"/>
      <c r="BR506"/>
      <c r="BS506"/>
      <c r="BT506"/>
      <c r="BU506"/>
      <c r="BV506"/>
      <c r="BY506"/>
      <c r="BZ506" s="7"/>
      <c r="CA506"/>
      <c r="CB506"/>
      <c r="CC506"/>
      <c r="CD506"/>
      <c r="CE506"/>
      <c r="CH506"/>
    </row>
    <row r="507" spans="2:86">
      <c r="B507" s="7"/>
      <c r="C507"/>
      <c r="D507"/>
      <c r="E507"/>
      <c r="F507"/>
      <c r="G507"/>
      <c r="H507"/>
      <c r="O507" s="7"/>
      <c r="P507"/>
      <c r="Q507"/>
      <c r="R507"/>
      <c r="S507"/>
      <c r="T507"/>
      <c r="W507"/>
      <c r="X507" s="7"/>
      <c r="Y507"/>
      <c r="Z507"/>
      <c r="AA507"/>
      <c r="AB507"/>
      <c r="AC507"/>
      <c r="AF507"/>
      <c r="AG507" s="7"/>
      <c r="AH507"/>
      <c r="AI507"/>
      <c r="AJ507"/>
      <c r="AK507"/>
      <c r="AL507"/>
      <c r="AO507"/>
      <c r="AP507" s="7"/>
      <c r="AQ507"/>
      <c r="AR507"/>
      <c r="AS507"/>
      <c r="AT507"/>
      <c r="AU507"/>
      <c r="AX507"/>
      <c r="AY507" s="7"/>
      <c r="AZ507"/>
      <c r="BA507"/>
      <c r="BB507"/>
      <c r="BC507"/>
      <c r="BD507"/>
      <c r="BG507"/>
      <c r="BH507" s="7"/>
      <c r="BI507"/>
      <c r="BJ507"/>
      <c r="BK507"/>
      <c r="BL507"/>
      <c r="BM507"/>
      <c r="BP507"/>
      <c r="BQ507" s="7"/>
      <c r="BR507"/>
      <c r="BS507"/>
      <c r="BT507"/>
      <c r="BU507"/>
      <c r="BV507"/>
      <c r="BY507"/>
      <c r="BZ507" s="7"/>
      <c r="CA507"/>
      <c r="CB507"/>
      <c r="CC507"/>
      <c r="CD507"/>
      <c r="CE507"/>
      <c r="CH507"/>
    </row>
    <row r="508" spans="2:86">
      <c r="B508" s="7"/>
      <c r="C508"/>
      <c r="D508"/>
      <c r="E508"/>
      <c r="F508"/>
      <c r="G508"/>
      <c r="H508"/>
      <c r="O508" s="7"/>
      <c r="P508"/>
      <c r="Q508"/>
      <c r="R508"/>
      <c r="S508"/>
      <c r="T508"/>
      <c r="W508"/>
      <c r="X508" s="7"/>
      <c r="Y508"/>
      <c r="Z508"/>
      <c r="AA508"/>
      <c r="AB508"/>
      <c r="AC508"/>
      <c r="AF508"/>
      <c r="AG508" s="7"/>
      <c r="AH508"/>
      <c r="AI508"/>
      <c r="AJ508"/>
      <c r="AK508"/>
      <c r="AL508"/>
      <c r="AO508"/>
      <c r="AP508" s="7"/>
      <c r="AQ508"/>
      <c r="AR508"/>
      <c r="AS508"/>
      <c r="AT508"/>
      <c r="AU508"/>
      <c r="AX508"/>
      <c r="AY508" s="7"/>
      <c r="AZ508"/>
      <c r="BA508"/>
      <c r="BB508"/>
      <c r="BC508"/>
      <c r="BD508"/>
      <c r="BG508"/>
      <c r="BH508" s="7"/>
      <c r="BI508"/>
      <c r="BJ508"/>
      <c r="BK508"/>
      <c r="BL508"/>
      <c r="BM508"/>
      <c r="BP508"/>
      <c r="BQ508" s="7"/>
      <c r="BR508"/>
      <c r="BS508"/>
      <c r="BT508"/>
      <c r="BU508"/>
      <c r="BV508"/>
      <c r="BY508"/>
      <c r="BZ508" s="7"/>
      <c r="CA508"/>
      <c r="CB508"/>
      <c r="CC508"/>
      <c r="CD508"/>
      <c r="CE508"/>
      <c r="CH508"/>
    </row>
    <row r="509" spans="2:86">
      <c r="B509" s="7"/>
      <c r="C509"/>
      <c r="D509"/>
      <c r="E509"/>
      <c r="F509"/>
      <c r="G509"/>
      <c r="H509"/>
      <c r="O509" s="7"/>
      <c r="P509"/>
      <c r="Q509"/>
      <c r="R509"/>
      <c r="S509"/>
      <c r="T509"/>
      <c r="W509"/>
      <c r="X509" s="7"/>
      <c r="Y509"/>
      <c r="Z509"/>
      <c r="AA509"/>
      <c r="AB509"/>
      <c r="AC509"/>
      <c r="AF509"/>
      <c r="AG509" s="7"/>
      <c r="AH509"/>
      <c r="AI509"/>
      <c r="AJ509"/>
      <c r="AK509"/>
      <c r="AL509"/>
      <c r="AO509"/>
      <c r="AP509" s="7"/>
      <c r="AQ509"/>
      <c r="AR509"/>
      <c r="AS509"/>
      <c r="AT509"/>
      <c r="AU509"/>
      <c r="AX509"/>
      <c r="AY509" s="7"/>
      <c r="AZ509"/>
      <c r="BA509"/>
      <c r="BB509"/>
      <c r="BC509"/>
      <c r="BD509"/>
      <c r="BG509"/>
      <c r="BH509" s="7"/>
      <c r="BI509"/>
      <c r="BJ509"/>
      <c r="BK509"/>
      <c r="BL509"/>
      <c r="BM509"/>
      <c r="BP509"/>
      <c r="BQ509" s="7"/>
      <c r="BR509"/>
      <c r="BS509"/>
      <c r="BT509"/>
      <c r="BU509"/>
      <c r="BV509"/>
      <c r="BY509"/>
      <c r="BZ509" s="7"/>
      <c r="CA509"/>
      <c r="CB509"/>
      <c r="CC509"/>
      <c r="CD509"/>
      <c r="CE509"/>
      <c r="CH509"/>
    </row>
    <row r="510" spans="2:86">
      <c r="B510" s="7"/>
      <c r="O510" s="7"/>
      <c r="X510" s="7"/>
      <c r="AG510" s="7"/>
      <c r="AP510" s="7"/>
      <c r="AY510" s="7"/>
      <c r="BH510" s="7"/>
      <c r="BQ510" s="7"/>
      <c r="BZ510" s="7"/>
    </row>
    <row r="511" spans="2:86">
      <c r="B511" s="7"/>
      <c r="O511" s="7"/>
      <c r="X511" s="7"/>
      <c r="AG511" s="7"/>
      <c r="AP511" s="7"/>
      <c r="AY511" s="7"/>
      <c r="BH511" s="7"/>
      <c r="BQ511" s="7"/>
      <c r="BZ511" s="7"/>
    </row>
    <row r="512" spans="2:86">
      <c r="B512" s="7"/>
      <c r="O512" s="7"/>
      <c r="X512" s="7"/>
      <c r="AG512" s="7"/>
      <c r="AP512" s="7"/>
      <c r="AY512" s="7"/>
      <c r="BH512" s="7"/>
      <c r="BQ512" s="7"/>
      <c r="BZ512" s="7"/>
    </row>
    <row r="513" spans="2:78">
      <c r="B513" s="7"/>
      <c r="O513" s="7"/>
      <c r="X513" s="7"/>
      <c r="AG513" s="7"/>
      <c r="AP513" s="7"/>
      <c r="AY513" s="7"/>
      <c r="BH513" s="7"/>
      <c r="BQ513" s="7"/>
      <c r="BZ513" s="7"/>
    </row>
    <row r="514" spans="2:78">
      <c r="B514" s="7"/>
      <c r="O514" s="7"/>
      <c r="X514" s="7"/>
      <c r="AG514" s="7"/>
      <c r="AP514" s="7"/>
      <c r="AY514" s="7"/>
      <c r="BH514" s="7"/>
      <c r="BQ514" s="7"/>
      <c r="BZ514" s="7"/>
    </row>
    <row r="515" spans="2:78">
      <c r="B515" s="7"/>
      <c r="O515" s="7"/>
      <c r="X515" s="7"/>
      <c r="AG515" s="7"/>
      <c r="AP515" s="7"/>
      <c r="AY515" s="7"/>
      <c r="BH515" s="7"/>
      <c r="BQ515" s="7"/>
      <c r="BZ515" s="7"/>
    </row>
    <row r="516" spans="2:78">
      <c r="B516" s="7"/>
      <c r="O516" s="7"/>
      <c r="X516" s="7"/>
      <c r="AG516" s="7"/>
      <c r="AP516" s="7"/>
      <c r="AY516" s="7"/>
      <c r="BH516" s="7"/>
      <c r="BQ516" s="7"/>
      <c r="BZ516" s="7"/>
    </row>
    <row r="517" spans="2:78">
      <c r="B517" s="7"/>
      <c r="O517" s="7"/>
      <c r="X517" s="7"/>
      <c r="AG517" s="7"/>
      <c r="AP517" s="7"/>
      <c r="AY517" s="7"/>
      <c r="BH517" s="7"/>
      <c r="BQ517" s="7"/>
      <c r="BZ517" s="7"/>
    </row>
    <row r="518" spans="2:78">
      <c r="B518" s="7"/>
      <c r="O518" s="7"/>
      <c r="X518" s="7"/>
      <c r="AG518" s="7"/>
      <c r="AP518" s="7"/>
      <c r="AY518" s="7"/>
      <c r="BH518" s="7"/>
      <c r="BQ518" s="7"/>
      <c r="BZ518" s="7"/>
    </row>
    <row r="519" spans="2:78">
      <c r="B519" s="7"/>
      <c r="O519" s="7"/>
      <c r="X519" s="7"/>
      <c r="AG519" s="7"/>
      <c r="AP519" s="7"/>
      <c r="AY519" s="7"/>
      <c r="BH519" s="7"/>
      <c r="BQ519" s="7"/>
      <c r="BZ519" s="7"/>
    </row>
    <row r="520" spans="2:78">
      <c r="B520" s="7"/>
      <c r="O520" s="7"/>
      <c r="X520" s="7"/>
      <c r="AG520" s="7"/>
      <c r="AP520" s="7"/>
      <c r="AY520" s="7"/>
      <c r="BH520" s="7"/>
      <c r="BQ520" s="7"/>
      <c r="BZ520" s="7"/>
    </row>
    <row r="521" spans="2:78">
      <c r="B521" s="7"/>
      <c r="O521" s="7"/>
      <c r="X521" s="7"/>
      <c r="AG521" s="7"/>
      <c r="AP521" s="7"/>
      <c r="AY521" s="7"/>
      <c r="BH521" s="7"/>
      <c r="BQ521" s="7"/>
      <c r="BZ521" s="7"/>
    </row>
    <row r="522" spans="2:78">
      <c r="B522" s="7"/>
      <c r="O522" s="7"/>
      <c r="X522" s="7"/>
      <c r="AG522" s="7"/>
      <c r="AP522" s="7"/>
      <c r="AY522" s="7"/>
      <c r="BH522" s="7"/>
      <c r="BQ522" s="7"/>
      <c r="BZ522" s="7"/>
    </row>
    <row r="523" spans="2:78">
      <c r="B523" s="7"/>
      <c r="O523" s="7"/>
      <c r="X523" s="7"/>
      <c r="AG523" s="7"/>
      <c r="AP523" s="7"/>
      <c r="AY523" s="7"/>
      <c r="BH523" s="7"/>
      <c r="BQ523" s="7"/>
      <c r="BZ523" s="7"/>
    </row>
    <row r="524" spans="2:78">
      <c r="B524" s="7"/>
      <c r="O524" s="7"/>
      <c r="X524" s="7"/>
      <c r="AG524" s="7"/>
      <c r="AP524" s="7"/>
      <c r="AY524" s="7"/>
      <c r="BH524" s="7"/>
      <c r="BQ524" s="7"/>
      <c r="BZ524" s="7"/>
    </row>
    <row r="525" spans="2:78">
      <c r="B525" s="7"/>
      <c r="O525" s="7"/>
      <c r="X525" s="7"/>
      <c r="AG525" s="7"/>
      <c r="AP525" s="7"/>
      <c r="AY525" s="7"/>
      <c r="BH525" s="7"/>
      <c r="BQ525" s="7"/>
      <c r="BZ525" s="7"/>
    </row>
    <row r="526" spans="2:78">
      <c r="B526" s="7"/>
      <c r="O526" s="7"/>
      <c r="X526" s="7"/>
      <c r="AG526" s="7"/>
      <c r="AP526" s="7"/>
      <c r="AY526" s="7"/>
      <c r="BH526" s="7"/>
      <c r="BQ526" s="7"/>
      <c r="BZ526" s="7"/>
    </row>
    <row r="527" spans="2:78">
      <c r="B527" s="7"/>
      <c r="O527" s="7"/>
      <c r="X527" s="7"/>
      <c r="AG527" s="7"/>
      <c r="AP527" s="7"/>
      <c r="AY527" s="7"/>
      <c r="BH527" s="7"/>
      <c r="BQ527" s="7"/>
      <c r="BZ527" s="7"/>
    </row>
    <row r="528" spans="2:78">
      <c r="B528" s="7"/>
      <c r="O528" s="7"/>
      <c r="X528" s="7"/>
      <c r="AG528" s="7"/>
      <c r="AP528" s="7"/>
      <c r="AY528" s="7"/>
      <c r="BH528" s="7"/>
      <c r="BQ528" s="7"/>
      <c r="BZ528" s="7"/>
    </row>
    <row r="529" spans="2:78">
      <c r="B529" s="7"/>
      <c r="O529" s="7"/>
      <c r="X529" s="7"/>
      <c r="AG529" s="7"/>
      <c r="AP529" s="7"/>
      <c r="AY529" s="7"/>
      <c r="BH529" s="7"/>
      <c r="BQ529" s="7"/>
      <c r="BZ529" s="7"/>
    </row>
    <row r="530" spans="2:78">
      <c r="B530" s="7"/>
      <c r="O530" s="7"/>
      <c r="X530" s="7"/>
      <c r="AG530" s="7"/>
      <c r="AP530" s="7"/>
      <c r="AY530" s="7"/>
      <c r="BH530" s="7"/>
      <c r="BQ530" s="7"/>
      <c r="BZ530" s="7"/>
    </row>
    <row r="531" spans="2:78">
      <c r="B531" s="7"/>
      <c r="O531" s="7"/>
      <c r="X531" s="7"/>
      <c r="AG531" s="7"/>
      <c r="AP531" s="7"/>
      <c r="AY531" s="7"/>
      <c r="BH531" s="7"/>
      <c r="BQ531" s="7"/>
      <c r="BZ531" s="7"/>
    </row>
    <row r="532" spans="2:78">
      <c r="B532" s="7"/>
      <c r="O532" s="7"/>
      <c r="X532" s="7"/>
      <c r="AG532" s="7"/>
      <c r="AP532" s="7"/>
      <c r="AY532" s="7"/>
      <c r="BH532" s="7"/>
      <c r="BQ532" s="7"/>
      <c r="BZ532" s="7"/>
    </row>
    <row r="533" spans="2:78">
      <c r="B533" s="7"/>
      <c r="O533" s="7"/>
      <c r="X533" s="7"/>
      <c r="AG533" s="7"/>
      <c r="AP533" s="7"/>
      <c r="AY533" s="7"/>
      <c r="BH533" s="7"/>
      <c r="BQ533" s="7"/>
      <c r="BZ533" s="7"/>
    </row>
    <row r="534" spans="2:78">
      <c r="B534" s="7"/>
      <c r="O534" s="7"/>
      <c r="X534" s="7"/>
      <c r="AG534" s="7"/>
      <c r="AP534" s="7"/>
      <c r="AY534" s="7"/>
      <c r="BH534" s="7"/>
      <c r="BQ534" s="7"/>
      <c r="BZ534" s="7"/>
    </row>
    <row r="535" spans="2:78">
      <c r="B535" s="7"/>
      <c r="O535" s="7"/>
      <c r="X535" s="7"/>
      <c r="AG535" s="7"/>
      <c r="AP535" s="7"/>
      <c r="AY535" s="7"/>
      <c r="BH535" s="7"/>
      <c r="BQ535" s="7"/>
      <c r="BZ535" s="7"/>
    </row>
    <row r="536" spans="2:78">
      <c r="B536" s="7"/>
      <c r="O536" s="7"/>
      <c r="X536" s="7"/>
      <c r="AG536" s="7"/>
      <c r="AP536" s="7"/>
      <c r="AY536" s="7"/>
      <c r="BH536" s="7"/>
      <c r="BQ536" s="7"/>
      <c r="BZ536" s="7"/>
    </row>
    <row r="537" spans="2:78">
      <c r="B537" s="7"/>
      <c r="O537" s="7"/>
      <c r="X537" s="7"/>
      <c r="AG537" s="7"/>
      <c r="AP537" s="7"/>
      <c r="AY537" s="7"/>
      <c r="BH537" s="7"/>
      <c r="BQ537" s="7"/>
      <c r="BZ537" s="7"/>
    </row>
    <row r="538" spans="2:78">
      <c r="B538" s="7"/>
      <c r="O538" s="7"/>
      <c r="X538" s="7"/>
      <c r="AG538" s="7"/>
      <c r="AP538" s="7"/>
      <c r="AY538" s="7"/>
      <c r="BH538" s="7"/>
      <c r="BQ538" s="7"/>
      <c r="BZ538" s="7"/>
    </row>
    <row r="539" spans="2:78">
      <c r="B539" s="7"/>
      <c r="O539" s="7"/>
      <c r="X539" s="7"/>
      <c r="AG539" s="7"/>
      <c r="AP539" s="7"/>
      <c r="AY539" s="7"/>
      <c r="BH539" s="7"/>
      <c r="BQ539" s="7"/>
      <c r="BZ539" s="7"/>
    </row>
    <row r="540" spans="2:78">
      <c r="B540" s="7"/>
      <c r="O540" s="7"/>
      <c r="X540" s="7"/>
      <c r="AG540" s="7"/>
      <c r="AP540" s="7"/>
      <c r="AY540" s="7"/>
      <c r="BH540" s="7"/>
      <c r="BQ540" s="7"/>
      <c r="BZ540" s="7"/>
    </row>
    <row r="541" spans="2:78">
      <c r="B541" s="7"/>
      <c r="O541" s="7"/>
      <c r="X541" s="7"/>
      <c r="AG541" s="7"/>
      <c r="AP541" s="7"/>
      <c r="AY541" s="7"/>
      <c r="BH541" s="7"/>
      <c r="BQ541" s="7"/>
      <c r="BZ541" s="7"/>
    </row>
    <row r="542" spans="2:78">
      <c r="B542" s="7"/>
      <c r="O542" s="7"/>
      <c r="X542" s="7"/>
      <c r="AG542" s="7"/>
      <c r="AP542" s="7"/>
      <c r="AY542" s="7"/>
      <c r="BH542" s="7"/>
      <c r="BQ542" s="7"/>
      <c r="BZ542" s="7"/>
    </row>
    <row r="543" spans="2:78">
      <c r="B543" s="7"/>
      <c r="O543" s="7"/>
      <c r="X543" s="7"/>
      <c r="AG543" s="7"/>
      <c r="AP543" s="7"/>
      <c r="AY543" s="7"/>
      <c r="BH543" s="7"/>
      <c r="BQ543" s="7"/>
      <c r="BZ543" s="7"/>
    </row>
    <row r="544" spans="2:78">
      <c r="B544" s="7"/>
      <c r="O544" s="7"/>
      <c r="X544" s="7"/>
      <c r="AG544" s="7"/>
      <c r="AP544" s="7"/>
      <c r="AY544" s="7"/>
      <c r="BH544" s="7"/>
      <c r="BQ544" s="7"/>
      <c r="BZ544" s="7"/>
    </row>
    <row r="545" spans="2:78">
      <c r="B545" s="7"/>
      <c r="O545" s="7"/>
      <c r="X545" s="7"/>
      <c r="AG545" s="7"/>
      <c r="AP545" s="7"/>
      <c r="AY545" s="7"/>
      <c r="BH545" s="7"/>
      <c r="BQ545" s="7"/>
      <c r="BZ545" s="7"/>
    </row>
    <row r="546" spans="2:78">
      <c r="B546" s="7"/>
      <c r="O546" s="7"/>
      <c r="X546" s="7"/>
      <c r="AG546" s="7"/>
      <c r="AP546" s="7"/>
      <c r="AY546" s="7"/>
      <c r="BH546" s="7"/>
      <c r="BQ546" s="7"/>
      <c r="BZ546" s="7"/>
    </row>
    <row r="547" spans="2:78">
      <c r="B547" s="7"/>
      <c r="O547" s="7"/>
      <c r="X547" s="7"/>
      <c r="AG547" s="7"/>
      <c r="AP547" s="7"/>
      <c r="AY547" s="7"/>
      <c r="BH547" s="7"/>
      <c r="BQ547" s="7"/>
      <c r="BZ547" s="7"/>
    </row>
    <row r="548" spans="2:78">
      <c r="B548" s="7"/>
      <c r="O548" s="7"/>
      <c r="X548" s="7"/>
      <c r="AG548" s="7"/>
      <c r="AP548" s="7"/>
      <c r="AY548" s="7"/>
      <c r="BH548" s="7"/>
      <c r="BQ548" s="7"/>
      <c r="BZ548" s="7"/>
    </row>
    <row r="549" spans="2:78">
      <c r="B549" s="7"/>
      <c r="O549" s="7"/>
      <c r="X549" s="7"/>
      <c r="AG549" s="7"/>
      <c r="AP549" s="7"/>
      <c r="AY549" s="7"/>
      <c r="BH549" s="7"/>
      <c r="BQ549" s="7"/>
      <c r="BZ549" s="7"/>
    </row>
    <row r="550" spans="2:78">
      <c r="B550" s="7"/>
      <c r="O550" s="7"/>
      <c r="X550" s="7"/>
      <c r="AG550" s="7"/>
      <c r="AP550" s="7"/>
      <c r="AY550" s="7"/>
      <c r="BH550" s="7"/>
      <c r="BQ550" s="7"/>
      <c r="BZ550" s="7"/>
    </row>
    <row r="551" spans="2:78">
      <c r="B551" s="7"/>
      <c r="O551" s="7"/>
      <c r="X551" s="7"/>
      <c r="AG551" s="7"/>
      <c r="AP551" s="7"/>
      <c r="AY551" s="7"/>
      <c r="BH551" s="7"/>
      <c r="BQ551" s="7"/>
      <c r="BZ551" s="7"/>
    </row>
    <row r="552" spans="2:78">
      <c r="B552" s="7"/>
      <c r="O552" s="7"/>
      <c r="X552" s="7"/>
      <c r="AG552" s="7"/>
      <c r="AP552" s="7"/>
      <c r="AY552" s="7"/>
      <c r="BH552" s="7"/>
      <c r="BQ552" s="7"/>
      <c r="BZ552" s="7"/>
    </row>
    <row r="553" spans="2:78">
      <c r="B553" s="7"/>
      <c r="O553" s="7"/>
      <c r="X553" s="7"/>
      <c r="AG553" s="7"/>
      <c r="AP553" s="7"/>
      <c r="AY553" s="7"/>
      <c r="BH553" s="7"/>
      <c r="BQ553" s="7"/>
      <c r="BZ553" s="7"/>
    </row>
    <row r="554" spans="2:78">
      <c r="B554" s="7"/>
      <c r="O554" s="7"/>
      <c r="X554" s="7"/>
      <c r="AG554" s="7"/>
      <c r="AP554" s="7"/>
      <c r="AY554" s="7"/>
      <c r="BH554" s="7"/>
      <c r="BQ554" s="7"/>
      <c r="BZ554" s="7"/>
    </row>
    <row r="555" spans="2:78">
      <c r="B555" s="7"/>
      <c r="O555" s="7"/>
      <c r="X555" s="7"/>
      <c r="AG555" s="7"/>
      <c r="AP555" s="7"/>
      <c r="AY555" s="7"/>
      <c r="BH555" s="7"/>
      <c r="BQ555" s="7"/>
      <c r="BZ555" s="7"/>
    </row>
    <row r="556" spans="2:78">
      <c r="B556" s="7"/>
      <c r="O556" s="7"/>
      <c r="X556" s="7"/>
      <c r="AG556" s="7"/>
      <c r="AP556" s="7"/>
      <c r="AY556" s="7"/>
      <c r="BH556" s="7"/>
      <c r="BQ556" s="7"/>
      <c r="BZ556" s="7"/>
    </row>
    <row r="557" spans="2:78">
      <c r="B557" s="7"/>
      <c r="O557" s="7"/>
      <c r="X557" s="7"/>
      <c r="AG557" s="7"/>
      <c r="AP557" s="7"/>
      <c r="AY557" s="7"/>
      <c r="BH557" s="7"/>
      <c r="BQ557" s="7"/>
      <c r="BZ557" s="7"/>
    </row>
    <row r="558" spans="2:78">
      <c r="B558" s="7"/>
      <c r="O558" s="7"/>
      <c r="X558" s="7"/>
      <c r="AG558" s="7"/>
      <c r="AP558" s="7"/>
      <c r="AY558" s="7"/>
      <c r="BH558" s="7"/>
      <c r="BQ558" s="7"/>
      <c r="BZ558" s="7"/>
    </row>
    <row r="559" spans="2:78">
      <c r="B559" s="7"/>
      <c r="O559" s="7"/>
      <c r="X559" s="7"/>
      <c r="AG559" s="7"/>
      <c r="AP559" s="7"/>
      <c r="AY559" s="7"/>
      <c r="BH559" s="7"/>
      <c r="BQ559" s="7"/>
      <c r="BZ559" s="7"/>
    </row>
    <row r="560" spans="2:78">
      <c r="B560" s="7"/>
      <c r="O560" s="7"/>
      <c r="X560" s="7"/>
      <c r="AG560" s="7"/>
      <c r="AP560" s="7"/>
      <c r="AY560" s="7"/>
      <c r="BH560" s="7"/>
      <c r="BQ560" s="7"/>
      <c r="BZ560" s="7"/>
    </row>
    <row r="561" spans="2:78">
      <c r="B561" s="7"/>
      <c r="O561" s="7"/>
      <c r="X561" s="7"/>
      <c r="AG561" s="7"/>
      <c r="AP561" s="7"/>
      <c r="AY561" s="7"/>
      <c r="BH561" s="7"/>
      <c r="BQ561" s="7"/>
      <c r="BZ561" s="7"/>
    </row>
    <row r="562" spans="2:78">
      <c r="B562" s="7"/>
      <c r="O562" s="7"/>
      <c r="X562" s="7"/>
      <c r="AG562" s="7"/>
      <c r="AP562" s="7"/>
      <c r="AY562" s="7"/>
      <c r="BH562" s="7"/>
      <c r="BQ562" s="7"/>
      <c r="BZ562" s="7"/>
    </row>
    <row r="563" spans="2:78">
      <c r="B563" s="7"/>
      <c r="O563" s="7"/>
      <c r="X563" s="7"/>
      <c r="AG563" s="7"/>
      <c r="AP563" s="7"/>
      <c r="AY563" s="7"/>
      <c r="BH563" s="7"/>
      <c r="BQ563" s="7"/>
      <c r="BZ563" s="7"/>
    </row>
    <row r="564" spans="2:78">
      <c r="B564" s="7"/>
      <c r="O564" s="7"/>
      <c r="X564" s="7"/>
      <c r="AG564" s="7"/>
      <c r="AP564" s="7"/>
      <c r="AY564" s="7"/>
      <c r="BH564" s="7"/>
      <c r="BQ564" s="7"/>
      <c r="BZ564" s="7"/>
    </row>
    <row r="565" spans="2:78">
      <c r="B565" s="7"/>
      <c r="O565" s="7"/>
      <c r="X565" s="7"/>
      <c r="AG565" s="7"/>
      <c r="AP565" s="7"/>
      <c r="AY565" s="7"/>
      <c r="BH565" s="7"/>
      <c r="BQ565" s="7"/>
      <c r="BZ565" s="7"/>
    </row>
    <row r="566" spans="2:78">
      <c r="B566" s="7"/>
      <c r="O566" s="7"/>
      <c r="X566" s="7"/>
      <c r="AG566" s="7"/>
      <c r="AP566" s="7"/>
      <c r="AY566" s="7"/>
      <c r="BH566" s="7"/>
      <c r="BQ566" s="7"/>
      <c r="BZ566" s="7"/>
    </row>
    <row r="567" spans="2:78">
      <c r="B567" s="7"/>
      <c r="O567" s="7"/>
      <c r="X567" s="7"/>
      <c r="AG567" s="7"/>
      <c r="AP567" s="7"/>
      <c r="AY567" s="7"/>
      <c r="BH567" s="7"/>
      <c r="BQ567" s="7"/>
      <c r="BZ567" s="7"/>
    </row>
    <row r="568" spans="2:78">
      <c r="B568" s="7"/>
      <c r="O568" s="7"/>
      <c r="X568" s="7"/>
      <c r="AG568" s="7"/>
      <c r="AP568" s="7"/>
      <c r="AY568" s="7"/>
      <c r="BH568" s="7"/>
      <c r="BQ568" s="7"/>
      <c r="BZ568" s="7"/>
    </row>
    <row r="569" spans="2:78">
      <c r="B569" s="7"/>
      <c r="O569" s="7"/>
      <c r="X569" s="7"/>
      <c r="AG569" s="7"/>
      <c r="AP569" s="7"/>
      <c r="AY569" s="7"/>
      <c r="BH569" s="7"/>
      <c r="BQ569" s="7"/>
      <c r="BZ569" s="7"/>
    </row>
    <row r="570" spans="2:78">
      <c r="B570" s="7"/>
      <c r="O570" s="7"/>
      <c r="X570" s="7"/>
      <c r="AG570" s="7"/>
      <c r="AP570" s="7"/>
      <c r="AY570" s="7"/>
      <c r="BH570" s="7"/>
      <c r="BQ570" s="7"/>
      <c r="BZ570" s="7"/>
    </row>
    <row r="571" spans="2:78">
      <c r="B571" s="7"/>
      <c r="O571" s="7"/>
      <c r="X571" s="7"/>
      <c r="AG571" s="7"/>
      <c r="AP571" s="7"/>
      <c r="AY571" s="7"/>
      <c r="BH571" s="7"/>
      <c r="BQ571" s="7"/>
      <c r="BZ571" s="7"/>
    </row>
    <row r="572" spans="2:78">
      <c r="B572" s="7"/>
      <c r="O572" s="7"/>
      <c r="X572" s="7"/>
      <c r="AG572" s="7"/>
      <c r="AP572" s="7"/>
      <c r="AY572" s="7"/>
      <c r="BH572" s="7"/>
      <c r="BQ572" s="7"/>
      <c r="BZ572" s="7"/>
    </row>
    <row r="573" spans="2:78">
      <c r="B573" s="7"/>
      <c r="O573" s="7"/>
      <c r="X573" s="7"/>
      <c r="AG573" s="7"/>
      <c r="AP573" s="7"/>
      <c r="AY573" s="7"/>
      <c r="BH573" s="7"/>
      <c r="BQ573" s="7"/>
      <c r="BZ573" s="7"/>
    </row>
    <row r="574" spans="2:78">
      <c r="B574" s="7"/>
      <c r="O574" s="7"/>
      <c r="X574" s="7"/>
      <c r="AG574" s="7"/>
      <c r="AP574" s="7"/>
      <c r="AY574" s="7"/>
      <c r="BH574" s="7"/>
      <c r="BQ574" s="7"/>
      <c r="BZ574" s="7"/>
    </row>
    <row r="575" spans="2:78">
      <c r="B575" s="7"/>
      <c r="O575" s="7"/>
      <c r="X575" s="7"/>
      <c r="AG575" s="7"/>
      <c r="AP575" s="7"/>
      <c r="AY575" s="7"/>
      <c r="BH575" s="7"/>
      <c r="BQ575" s="7"/>
      <c r="BZ575" s="7"/>
    </row>
    <row r="576" spans="2:78">
      <c r="B576" s="7"/>
      <c r="O576" s="7"/>
      <c r="X576" s="7"/>
      <c r="AG576" s="7"/>
      <c r="AP576" s="7"/>
      <c r="AY576" s="7"/>
      <c r="BH576" s="7"/>
      <c r="BQ576" s="7"/>
      <c r="BZ576" s="7"/>
    </row>
    <row r="577" spans="2:78">
      <c r="B577" s="7"/>
      <c r="O577" s="7"/>
      <c r="X577" s="7"/>
      <c r="AG577" s="7"/>
      <c r="AP577" s="7"/>
      <c r="AY577" s="7"/>
      <c r="BH577" s="7"/>
      <c r="BQ577" s="7"/>
      <c r="BZ577" s="7"/>
    </row>
    <row r="578" spans="2:78">
      <c r="B578" s="7"/>
      <c r="O578" s="7"/>
      <c r="X578" s="7"/>
      <c r="AG578" s="7"/>
      <c r="AP578" s="7"/>
      <c r="AY578" s="7"/>
      <c r="BH578" s="7"/>
      <c r="BQ578" s="7"/>
      <c r="BZ578" s="7"/>
    </row>
    <row r="579" spans="2:78">
      <c r="B579" s="7"/>
      <c r="O579" s="7"/>
      <c r="X579" s="7"/>
      <c r="AG579" s="7"/>
      <c r="AP579" s="7"/>
      <c r="AY579" s="7"/>
      <c r="BH579" s="7"/>
      <c r="BQ579" s="7"/>
      <c r="BZ579" s="7"/>
    </row>
    <row r="580" spans="2:78">
      <c r="B580" s="7"/>
      <c r="O580" s="7"/>
      <c r="X580" s="7"/>
      <c r="AG580" s="7"/>
      <c r="AP580" s="7"/>
      <c r="AY580" s="7"/>
      <c r="BH580" s="7"/>
      <c r="BQ580" s="7"/>
      <c r="BZ580" s="7"/>
    </row>
    <row r="581" spans="2:78">
      <c r="B581" s="7"/>
      <c r="O581" s="7"/>
      <c r="X581" s="7"/>
      <c r="AG581" s="7"/>
      <c r="AP581" s="7"/>
      <c r="AY581" s="7"/>
      <c r="BH581" s="7"/>
      <c r="BQ581" s="7"/>
      <c r="BZ581" s="7"/>
    </row>
    <row r="582" spans="2:78">
      <c r="B582" s="7"/>
      <c r="O582" s="7"/>
      <c r="X582" s="7"/>
      <c r="AG582" s="7"/>
      <c r="AP582" s="7"/>
      <c r="AY582" s="7"/>
      <c r="BH582" s="7"/>
      <c r="BQ582" s="7"/>
      <c r="BZ582" s="7"/>
    </row>
    <row r="583" spans="2:78">
      <c r="B583" s="7"/>
      <c r="O583" s="7"/>
      <c r="X583" s="7"/>
      <c r="AG583" s="7"/>
      <c r="AP583" s="7"/>
      <c r="AY583" s="7"/>
      <c r="BH583" s="7"/>
      <c r="BQ583" s="7"/>
      <c r="BZ583" s="7"/>
    </row>
    <row r="584" spans="2:78">
      <c r="B584" s="7"/>
      <c r="O584" s="7"/>
      <c r="X584" s="7"/>
      <c r="AG584" s="7"/>
      <c r="AP584" s="7"/>
      <c r="AY584" s="7"/>
      <c r="BH584" s="7"/>
      <c r="BQ584" s="7"/>
      <c r="BZ584" s="7"/>
    </row>
    <row r="585" spans="2:78">
      <c r="B585" s="7"/>
      <c r="O585" s="7"/>
      <c r="X585" s="7"/>
      <c r="AG585" s="7"/>
      <c r="AP585" s="7"/>
      <c r="AY585" s="7"/>
      <c r="BH585" s="7"/>
      <c r="BQ585" s="7"/>
      <c r="BZ585" s="7"/>
    </row>
    <row r="586" spans="2:78">
      <c r="B586" s="7"/>
      <c r="O586" s="7"/>
      <c r="X586" s="7"/>
      <c r="AG586" s="7"/>
      <c r="AP586" s="7"/>
      <c r="AY586" s="7"/>
      <c r="BH586" s="7"/>
      <c r="BQ586" s="7"/>
      <c r="BZ586" s="7"/>
    </row>
    <row r="587" spans="2:78">
      <c r="B587" s="7"/>
      <c r="O587" s="7"/>
      <c r="X587" s="7"/>
      <c r="AG587" s="7"/>
      <c r="AP587" s="7"/>
      <c r="AY587" s="7"/>
      <c r="BH587" s="7"/>
      <c r="BQ587" s="7"/>
      <c r="BZ587" s="7"/>
    </row>
    <row r="588" spans="2:78">
      <c r="B588" s="7"/>
      <c r="O588" s="7"/>
      <c r="X588" s="7"/>
      <c r="AG588" s="7"/>
      <c r="AP588" s="7"/>
      <c r="AY588" s="7"/>
      <c r="BH588" s="7"/>
      <c r="BQ588" s="7"/>
      <c r="BZ588" s="7"/>
    </row>
    <row r="589" spans="2:78">
      <c r="B589" s="7"/>
      <c r="O589" s="7"/>
      <c r="X589" s="7"/>
      <c r="AG589" s="7"/>
      <c r="AP589" s="7"/>
      <c r="AY589" s="7"/>
      <c r="BH589" s="7"/>
      <c r="BQ589" s="7"/>
      <c r="BZ589" s="7"/>
    </row>
    <row r="590" spans="2:78">
      <c r="B590" s="7"/>
      <c r="O590" s="7"/>
      <c r="X590" s="7"/>
      <c r="AG590" s="7"/>
      <c r="AP590" s="7"/>
      <c r="AY590" s="7"/>
      <c r="BH590" s="7"/>
      <c r="BQ590" s="7"/>
      <c r="BZ590" s="7"/>
    </row>
    <row r="591" spans="2:78">
      <c r="B591" s="7"/>
      <c r="O591" s="7"/>
      <c r="X591" s="7"/>
      <c r="AG591" s="7"/>
      <c r="AP591" s="7"/>
      <c r="AY591" s="7"/>
      <c r="BH591" s="7"/>
      <c r="BQ591" s="7"/>
      <c r="BZ591" s="7"/>
    </row>
    <row r="592" spans="2:78">
      <c r="B592" s="7"/>
      <c r="O592" s="7"/>
      <c r="X592" s="7"/>
      <c r="AG592" s="7"/>
      <c r="AP592" s="7"/>
      <c r="AY592" s="7"/>
      <c r="BH592" s="7"/>
      <c r="BQ592" s="7"/>
      <c r="BZ592" s="7"/>
    </row>
    <row r="593" spans="2:78">
      <c r="B593" s="7"/>
      <c r="O593" s="7"/>
      <c r="X593" s="7"/>
      <c r="AG593" s="7"/>
      <c r="AP593" s="7"/>
      <c r="AY593" s="7"/>
      <c r="BH593" s="7"/>
      <c r="BQ593" s="7"/>
      <c r="BZ593" s="7"/>
    </row>
    <row r="594" spans="2:78">
      <c r="B594" s="7"/>
      <c r="O594" s="7"/>
      <c r="X594" s="7"/>
      <c r="AG594" s="7"/>
      <c r="AP594" s="7"/>
      <c r="AY594" s="7"/>
      <c r="BH594" s="7"/>
      <c r="BQ594" s="7"/>
      <c r="BZ594" s="7"/>
    </row>
    <row r="595" spans="2:78">
      <c r="B595" s="7"/>
      <c r="O595" s="7"/>
      <c r="X595" s="7"/>
      <c r="AG595" s="7"/>
      <c r="AP595" s="7"/>
      <c r="AY595" s="7"/>
      <c r="BH595" s="7"/>
      <c r="BQ595" s="7"/>
      <c r="BZ595" s="7"/>
    </row>
    <row r="596" spans="2:78">
      <c r="B596" s="7"/>
      <c r="O596" s="7"/>
      <c r="X596" s="7"/>
      <c r="AG596" s="7"/>
      <c r="AP596" s="7"/>
      <c r="AY596" s="7"/>
      <c r="BH596" s="7"/>
      <c r="BQ596" s="7"/>
      <c r="BZ596" s="7"/>
    </row>
    <row r="597" spans="2:78">
      <c r="B597" s="7"/>
      <c r="O597" s="7"/>
      <c r="X597" s="7"/>
      <c r="AG597" s="7"/>
      <c r="AP597" s="7"/>
      <c r="AY597" s="7"/>
      <c r="BH597" s="7"/>
      <c r="BQ597" s="7"/>
      <c r="BZ597" s="7"/>
    </row>
    <row r="598" spans="2:78">
      <c r="B598" s="7"/>
      <c r="O598" s="7"/>
      <c r="X598" s="7"/>
      <c r="AG598" s="7"/>
      <c r="AP598" s="7"/>
      <c r="AY598" s="7"/>
      <c r="BH598" s="7"/>
      <c r="BQ598" s="7"/>
      <c r="BZ598" s="7"/>
    </row>
    <row r="599" spans="2:78">
      <c r="B599" s="7"/>
      <c r="O599" s="7"/>
      <c r="X599" s="7"/>
      <c r="AG599" s="7"/>
      <c r="AP599" s="7"/>
      <c r="AY599" s="7"/>
      <c r="BH599" s="7"/>
      <c r="BQ599" s="7"/>
      <c r="BZ599" s="7"/>
    </row>
    <row r="600" spans="2:78">
      <c r="B600" s="7"/>
      <c r="O600" s="7"/>
      <c r="X600" s="7"/>
      <c r="AG600" s="7"/>
      <c r="AP600" s="7"/>
      <c r="AY600" s="7"/>
      <c r="BH600" s="7"/>
      <c r="BQ600" s="7"/>
      <c r="BZ600" s="7"/>
    </row>
    <row r="601" spans="2:78">
      <c r="B601" s="7"/>
      <c r="O601" s="7"/>
      <c r="X601" s="7"/>
      <c r="AG601" s="7"/>
      <c r="AP601" s="7"/>
      <c r="AY601" s="7"/>
      <c r="BH601" s="7"/>
      <c r="BQ601" s="7"/>
      <c r="BZ601" s="7"/>
    </row>
    <row r="602" spans="2:78">
      <c r="B602" s="7"/>
      <c r="O602" s="7"/>
      <c r="X602" s="7"/>
      <c r="AG602" s="7"/>
      <c r="AP602" s="7"/>
      <c r="AY602" s="7"/>
      <c r="BH602" s="7"/>
      <c r="BQ602" s="7"/>
      <c r="BZ602" s="7"/>
    </row>
    <row r="603" spans="2:78">
      <c r="B603" s="7"/>
      <c r="O603" s="7"/>
      <c r="X603" s="7"/>
      <c r="AG603" s="7"/>
      <c r="AP603" s="7"/>
      <c r="AY603" s="7"/>
      <c r="BH603" s="7"/>
      <c r="BQ603" s="7"/>
      <c r="BZ603" s="7"/>
    </row>
    <row r="604" spans="2:78">
      <c r="B604" s="7"/>
      <c r="O604" s="7"/>
      <c r="X604" s="7"/>
      <c r="AG604" s="7"/>
      <c r="AP604" s="7"/>
      <c r="AY604" s="7"/>
      <c r="BH604" s="7"/>
      <c r="BQ604" s="7"/>
      <c r="BZ604" s="7"/>
    </row>
    <row r="605" spans="2:78">
      <c r="B605" s="7"/>
      <c r="O605" s="7"/>
      <c r="X605" s="7"/>
      <c r="AG605" s="7"/>
      <c r="AP605" s="7"/>
      <c r="AY605" s="7"/>
      <c r="BH605" s="7"/>
      <c r="BQ605" s="7"/>
      <c r="BZ605" s="7"/>
    </row>
    <row r="606" spans="2:78">
      <c r="B606" s="7"/>
      <c r="O606" s="7"/>
      <c r="X606" s="7"/>
      <c r="AG606" s="7"/>
      <c r="AP606" s="7"/>
      <c r="AY606" s="7"/>
      <c r="BH606" s="7"/>
      <c r="BQ606" s="7"/>
      <c r="BZ606" s="7"/>
    </row>
    <row r="607" spans="2:78">
      <c r="B607" s="7"/>
      <c r="O607" s="7"/>
      <c r="X607" s="7"/>
      <c r="AG607" s="7"/>
      <c r="AP607" s="7"/>
      <c r="AY607" s="7"/>
      <c r="BH607" s="7"/>
      <c r="BQ607" s="7"/>
      <c r="BZ607" s="7"/>
    </row>
    <row r="608" spans="2:78">
      <c r="B608" s="7"/>
      <c r="O608" s="7"/>
      <c r="X608" s="7"/>
      <c r="AG608" s="7"/>
      <c r="AP608" s="7"/>
      <c r="AY608" s="7"/>
      <c r="BH608" s="7"/>
      <c r="BQ608" s="7"/>
      <c r="BZ608" s="7"/>
    </row>
    <row r="609" spans="2:78">
      <c r="B609" s="7"/>
      <c r="O609" s="7"/>
      <c r="X609" s="7"/>
      <c r="AG609" s="7"/>
      <c r="AP609" s="7"/>
      <c r="AY609" s="7"/>
      <c r="BH609" s="7"/>
      <c r="BQ609" s="7"/>
      <c r="BZ609" s="7"/>
    </row>
    <row r="610" spans="2:78">
      <c r="B610" s="7"/>
      <c r="O610" s="7"/>
      <c r="X610" s="7"/>
      <c r="AG610" s="7"/>
      <c r="AP610" s="7"/>
      <c r="AY610" s="7"/>
      <c r="BH610" s="7"/>
      <c r="BQ610" s="7"/>
      <c r="BZ610" s="7"/>
    </row>
    <row r="611" spans="2:78">
      <c r="B611" s="7"/>
      <c r="O611" s="7"/>
      <c r="X611" s="7"/>
      <c r="AG611" s="7"/>
      <c r="AP611" s="7"/>
      <c r="AY611" s="7"/>
      <c r="BH611" s="7"/>
      <c r="BQ611" s="7"/>
      <c r="BZ611" s="7"/>
    </row>
    <row r="612" spans="2:78">
      <c r="B612" s="7"/>
      <c r="O612" s="7"/>
      <c r="X612" s="7"/>
      <c r="AG612" s="7"/>
      <c r="AP612" s="7"/>
      <c r="AY612" s="7"/>
      <c r="BH612" s="7"/>
      <c r="BQ612" s="7"/>
      <c r="BZ612" s="7"/>
    </row>
    <row r="613" spans="2:78">
      <c r="B613" s="7"/>
      <c r="O613" s="7"/>
      <c r="X613" s="7"/>
      <c r="AG613" s="7"/>
      <c r="AP613" s="7"/>
      <c r="AY613" s="7"/>
      <c r="BH613" s="7"/>
      <c r="BQ613" s="7"/>
      <c r="BZ613" s="7"/>
    </row>
    <row r="614" spans="2:78">
      <c r="B614" s="7"/>
      <c r="O614" s="7"/>
      <c r="X614" s="7"/>
      <c r="AG614" s="7"/>
      <c r="AP614" s="7"/>
      <c r="AY614" s="7"/>
      <c r="BH614" s="7"/>
      <c r="BQ614" s="7"/>
      <c r="BZ614" s="7"/>
    </row>
    <row r="615" spans="2:78">
      <c r="B615" s="7"/>
      <c r="O615" s="7"/>
      <c r="X615" s="7"/>
      <c r="AG615" s="7"/>
      <c r="AP615" s="7"/>
      <c r="AY615" s="7"/>
      <c r="BH615" s="7"/>
      <c r="BQ615" s="7"/>
      <c r="BZ615" s="7"/>
    </row>
    <row r="616" spans="2:78">
      <c r="B616" s="7"/>
      <c r="O616" s="7"/>
      <c r="X616" s="7"/>
      <c r="AG616" s="7"/>
      <c r="AP616" s="7"/>
      <c r="AY616" s="7"/>
      <c r="BH616" s="7"/>
      <c r="BQ616" s="7"/>
      <c r="BZ616" s="7"/>
    </row>
    <row r="617" spans="2:78">
      <c r="B617" s="7"/>
      <c r="O617" s="7"/>
      <c r="X617" s="7"/>
      <c r="AG617" s="7"/>
      <c r="AP617" s="7"/>
      <c r="AY617" s="7"/>
      <c r="BH617" s="7"/>
      <c r="BQ617" s="7"/>
      <c r="BZ617" s="7"/>
    </row>
    <row r="618" spans="2:78">
      <c r="B618" s="7"/>
      <c r="O618" s="7"/>
      <c r="X618" s="7"/>
      <c r="AG618" s="7"/>
      <c r="AP618" s="7"/>
      <c r="AY618" s="7"/>
      <c r="BH618" s="7"/>
      <c r="BQ618" s="7"/>
      <c r="BZ618" s="7"/>
    </row>
    <row r="619" spans="2:78">
      <c r="B619" s="7"/>
      <c r="O619" s="7"/>
      <c r="X619" s="7"/>
      <c r="AG619" s="7"/>
      <c r="AP619" s="7"/>
      <c r="AY619" s="7"/>
      <c r="BH619" s="7"/>
      <c r="BQ619" s="7"/>
      <c r="BZ619" s="7"/>
    </row>
    <row r="620" spans="2:78">
      <c r="B620" s="7"/>
      <c r="O620" s="7"/>
      <c r="X620" s="7"/>
      <c r="AG620" s="7"/>
      <c r="AP620" s="7"/>
      <c r="AY620" s="7"/>
      <c r="BH620" s="7"/>
      <c r="BQ620" s="7"/>
      <c r="BZ620" s="7"/>
    </row>
    <row r="621" spans="2:78">
      <c r="B621" s="7"/>
      <c r="O621" s="7"/>
      <c r="X621" s="7"/>
      <c r="AG621" s="7"/>
      <c r="AP621" s="7"/>
      <c r="AY621" s="7"/>
      <c r="BH621" s="7"/>
      <c r="BQ621" s="7"/>
      <c r="BZ621" s="7"/>
    </row>
    <row r="622" spans="2:78">
      <c r="B622" s="7"/>
      <c r="O622" s="7"/>
      <c r="X622" s="7"/>
      <c r="AG622" s="7"/>
      <c r="AP622" s="7"/>
      <c r="AY622" s="7"/>
      <c r="BH622" s="7"/>
      <c r="BQ622" s="7"/>
      <c r="BZ622" s="7"/>
    </row>
    <row r="623" spans="2:78">
      <c r="B623" s="7"/>
      <c r="O623" s="7"/>
      <c r="X623" s="7"/>
      <c r="AG623" s="7"/>
      <c r="AP623" s="7"/>
      <c r="AY623" s="7"/>
      <c r="BH623" s="7"/>
      <c r="BQ623" s="7"/>
      <c r="BZ623" s="7"/>
    </row>
    <row r="624" spans="2:78">
      <c r="B624" s="7"/>
      <c r="O624" s="7"/>
      <c r="X624" s="7"/>
      <c r="AG624" s="7"/>
      <c r="AP624" s="7"/>
      <c r="AY624" s="7"/>
      <c r="BH624" s="7"/>
      <c r="BQ624" s="7"/>
      <c r="BZ624" s="7"/>
    </row>
    <row r="625" spans="2:78">
      <c r="B625" s="7"/>
      <c r="O625" s="7"/>
      <c r="X625" s="7"/>
      <c r="AG625" s="7"/>
      <c r="AP625" s="7"/>
      <c r="AY625" s="7"/>
      <c r="BH625" s="7"/>
      <c r="BQ625" s="7"/>
      <c r="BZ625" s="7"/>
    </row>
    <row r="626" spans="2:78">
      <c r="B626" s="7"/>
      <c r="O626" s="7"/>
      <c r="X626" s="7"/>
      <c r="AG626" s="7"/>
      <c r="AP626" s="7"/>
      <c r="AY626" s="7"/>
      <c r="BH626" s="7"/>
      <c r="BQ626" s="7"/>
      <c r="BZ626" s="7"/>
    </row>
    <row r="627" spans="2:78">
      <c r="B627" s="7"/>
      <c r="O627" s="7"/>
      <c r="X627" s="7"/>
      <c r="AG627" s="7"/>
      <c r="AP627" s="7"/>
      <c r="AY627" s="7"/>
      <c r="BH627" s="7"/>
      <c r="BQ627" s="7"/>
      <c r="BZ627" s="7"/>
    </row>
    <row r="628" spans="2:78">
      <c r="B628" s="7"/>
      <c r="O628" s="7"/>
      <c r="X628" s="7"/>
      <c r="AG628" s="7"/>
      <c r="AP628" s="7"/>
      <c r="AY628" s="7"/>
      <c r="BH628" s="7"/>
      <c r="BQ628" s="7"/>
      <c r="BZ628" s="7"/>
    </row>
    <row r="629" spans="2:78">
      <c r="B629" s="7"/>
      <c r="O629" s="7"/>
      <c r="X629" s="7"/>
      <c r="AG629" s="7"/>
      <c r="AP629" s="7"/>
      <c r="AY629" s="7"/>
      <c r="BH629" s="7"/>
      <c r="BQ629" s="7"/>
      <c r="BZ629" s="7"/>
    </row>
    <row r="630" spans="2:78">
      <c r="B630" s="7"/>
      <c r="O630" s="7"/>
      <c r="X630" s="7"/>
      <c r="AG630" s="7"/>
      <c r="AP630" s="7"/>
      <c r="AY630" s="7"/>
      <c r="BH630" s="7"/>
      <c r="BQ630" s="7"/>
      <c r="BZ630" s="7"/>
    </row>
    <row r="631" spans="2:78">
      <c r="B631" s="7"/>
      <c r="O631" s="7"/>
      <c r="X631" s="7"/>
      <c r="AG631" s="7"/>
      <c r="AP631" s="7"/>
      <c r="AY631" s="7"/>
      <c r="BH631" s="7"/>
      <c r="BQ631" s="7"/>
      <c r="BZ631" s="7"/>
    </row>
    <row r="632" spans="2:78">
      <c r="B632" s="7"/>
      <c r="O632" s="7"/>
      <c r="X632" s="7"/>
      <c r="AG632" s="7"/>
      <c r="AP632" s="7"/>
      <c r="AY632" s="7"/>
      <c r="BH632" s="7"/>
      <c r="BQ632" s="7"/>
      <c r="BZ632" s="7"/>
    </row>
    <row r="633" spans="2:78">
      <c r="B633" s="7"/>
      <c r="O633" s="7"/>
      <c r="X633" s="7"/>
      <c r="AG633" s="7"/>
      <c r="AP633" s="7"/>
      <c r="AY633" s="7"/>
      <c r="BH633" s="7"/>
      <c r="BQ633" s="7"/>
      <c r="BZ633" s="7"/>
    </row>
    <row r="634" spans="2:78">
      <c r="B634" s="7"/>
      <c r="O634" s="7"/>
      <c r="X634" s="7"/>
      <c r="AG634" s="7"/>
      <c r="AP634" s="7"/>
      <c r="AY634" s="7"/>
      <c r="BH634" s="7"/>
      <c r="BQ634" s="7"/>
      <c r="BZ634" s="7"/>
    </row>
    <row r="635" spans="2:78">
      <c r="B635" s="7"/>
      <c r="O635" s="7"/>
      <c r="X635" s="7"/>
      <c r="AG635" s="7"/>
      <c r="AP635" s="7"/>
      <c r="AY635" s="7"/>
      <c r="BH635" s="7"/>
      <c r="BQ635" s="7"/>
      <c r="BZ635" s="7"/>
    </row>
    <row r="636" spans="2:78">
      <c r="B636" s="7"/>
      <c r="O636" s="7"/>
      <c r="X636" s="7"/>
      <c r="AG636" s="7"/>
      <c r="AP636" s="7"/>
      <c r="AY636" s="7"/>
      <c r="BH636" s="7"/>
      <c r="BQ636" s="7"/>
      <c r="BZ636" s="7"/>
    </row>
    <row r="637" spans="2:78">
      <c r="B637" s="7"/>
      <c r="O637" s="7"/>
      <c r="X637" s="7"/>
      <c r="AG637" s="7"/>
      <c r="AP637" s="7"/>
      <c r="AY637" s="7"/>
      <c r="BH637" s="7"/>
      <c r="BQ637" s="7"/>
      <c r="BZ637" s="7"/>
    </row>
    <row r="638" spans="2:78">
      <c r="B638" s="7"/>
      <c r="O638" s="7"/>
      <c r="X638" s="7"/>
      <c r="AG638" s="7"/>
      <c r="AP638" s="7"/>
      <c r="AY638" s="7"/>
      <c r="BH638" s="7"/>
      <c r="BQ638" s="7"/>
      <c r="BZ638" s="7"/>
    </row>
    <row r="639" spans="2:78">
      <c r="B639" s="7"/>
      <c r="O639" s="7"/>
      <c r="X639" s="7"/>
      <c r="AG639" s="7"/>
      <c r="AP639" s="7"/>
      <c r="AY639" s="7"/>
      <c r="BH639" s="7"/>
      <c r="BQ639" s="7"/>
      <c r="BZ639" s="7"/>
    </row>
    <row r="640" spans="2:78">
      <c r="B640" s="7"/>
      <c r="O640" s="7"/>
      <c r="X640" s="7"/>
      <c r="AG640" s="7"/>
      <c r="AP640" s="7"/>
      <c r="AY640" s="7"/>
      <c r="BH640" s="7"/>
      <c r="BQ640" s="7"/>
      <c r="BZ640" s="7"/>
    </row>
    <row r="641" spans="2:78">
      <c r="B641" s="7"/>
      <c r="O641" s="7"/>
      <c r="X641" s="7"/>
      <c r="AG641" s="7"/>
      <c r="AP641" s="7"/>
      <c r="AY641" s="7"/>
      <c r="BH641" s="7"/>
      <c r="BQ641" s="7"/>
      <c r="BZ641" s="7"/>
    </row>
    <row r="642" spans="2:78">
      <c r="B642" s="7"/>
      <c r="O642" s="7"/>
      <c r="X642" s="7"/>
      <c r="AG642" s="7"/>
      <c r="AP642" s="7"/>
      <c r="AY642" s="7"/>
      <c r="BH642" s="7"/>
      <c r="BQ642" s="7"/>
      <c r="BZ642" s="7"/>
    </row>
    <row r="643" spans="2:78">
      <c r="B643" s="7"/>
      <c r="O643" s="7"/>
      <c r="X643" s="7"/>
      <c r="AG643" s="7"/>
      <c r="AP643" s="7"/>
      <c r="AY643" s="7"/>
      <c r="BH643" s="7"/>
      <c r="BQ643" s="7"/>
      <c r="BZ643" s="7"/>
    </row>
    <row r="644" spans="2:78">
      <c r="B644" s="7"/>
      <c r="O644" s="7"/>
      <c r="X644" s="7"/>
      <c r="AG644" s="7"/>
      <c r="AP644" s="7"/>
      <c r="AY644" s="7"/>
      <c r="BH644" s="7"/>
      <c r="BQ644" s="7"/>
      <c r="BZ644" s="7"/>
    </row>
    <row r="645" spans="2:78">
      <c r="B645" s="7"/>
      <c r="O645" s="7"/>
      <c r="X645" s="7"/>
      <c r="AG645" s="7"/>
      <c r="AP645" s="7"/>
      <c r="AY645" s="7"/>
      <c r="BH645" s="7"/>
      <c r="BQ645" s="7"/>
      <c r="BZ645" s="7"/>
    </row>
    <row r="646" spans="2:78">
      <c r="B646" s="7"/>
      <c r="O646" s="7"/>
      <c r="X646" s="7"/>
      <c r="AG646" s="7"/>
      <c r="AP646" s="7"/>
      <c r="AY646" s="7"/>
      <c r="BH646" s="7"/>
      <c r="BQ646" s="7"/>
      <c r="BZ646" s="7"/>
    </row>
    <row r="647" spans="2:78">
      <c r="B647" s="7"/>
      <c r="O647" s="7"/>
      <c r="X647" s="7"/>
      <c r="AG647" s="7"/>
      <c r="AP647" s="7"/>
      <c r="AY647" s="7"/>
      <c r="BH647" s="7"/>
      <c r="BQ647" s="7"/>
      <c r="BZ647" s="7"/>
    </row>
    <row r="648" spans="2:78">
      <c r="B648" s="7"/>
      <c r="O648" s="7"/>
      <c r="X648" s="7"/>
      <c r="AG648" s="7"/>
      <c r="AP648" s="7"/>
      <c r="AY648" s="7"/>
      <c r="BH648" s="7"/>
      <c r="BQ648" s="7"/>
      <c r="BZ648" s="7"/>
    </row>
    <row r="649" spans="2:78">
      <c r="B649" s="7"/>
      <c r="O649" s="7"/>
      <c r="X649" s="7"/>
      <c r="AG649" s="7"/>
      <c r="AP649" s="7"/>
      <c r="AY649" s="7"/>
      <c r="BH649" s="7"/>
      <c r="BQ649" s="7"/>
      <c r="BZ649" s="7"/>
    </row>
    <row r="650" spans="2:78">
      <c r="B650" s="7"/>
      <c r="O650" s="7"/>
      <c r="X650" s="7"/>
      <c r="AG650" s="7"/>
      <c r="AP650" s="7"/>
      <c r="AY650" s="7"/>
      <c r="BH650" s="7"/>
      <c r="BQ650" s="7"/>
      <c r="BZ650" s="7"/>
    </row>
    <row r="651" spans="2:78">
      <c r="B651" s="7"/>
      <c r="O651" s="7"/>
      <c r="X651" s="7"/>
      <c r="AG651" s="7"/>
      <c r="AP651" s="7"/>
      <c r="AY651" s="7"/>
      <c r="BH651" s="7"/>
      <c r="BQ651" s="7"/>
      <c r="BZ651" s="7"/>
    </row>
    <row r="652" spans="2:78">
      <c r="B652" s="7"/>
      <c r="O652" s="7"/>
      <c r="X652" s="7"/>
      <c r="AG652" s="7"/>
      <c r="AP652" s="7"/>
      <c r="AY652" s="7"/>
      <c r="BH652" s="7"/>
      <c r="BQ652" s="7"/>
      <c r="BZ652" s="7"/>
    </row>
    <row r="653" spans="2:78">
      <c r="B653" s="7"/>
      <c r="O653" s="7"/>
      <c r="X653" s="7"/>
      <c r="AG653" s="7"/>
      <c r="AP653" s="7"/>
      <c r="AY653" s="7"/>
      <c r="BH653" s="7"/>
      <c r="BQ653" s="7"/>
      <c r="BZ653" s="7"/>
    </row>
    <row r="654" spans="2:78">
      <c r="B654" s="7"/>
      <c r="O654" s="7"/>
      <c r="X654" s="7"/>
      <c r="AG654" s="7"/>
      <c r="AP654" s="7"/>
      <c r="AY654" s="7"/>
      <c r="BH654" s="7"/>
      <c r="BQ654" s="7"/>
      <c r="BZ654" s="7"/>
    </row>
    <row r="655" spans="2:78">
      <c r="B655" s="7"/>
      <c r="O655" s="7"/>
      <c r="X655" s="7"/>
      <c r="AG655" s="7"/>
      <c r="AP655" s="7"/>
      <c r="AY655" s="7"/>
      <c r="BH655" s="7"/>
      <c r="BQ655" s="7"/>
      <c r="BZ655" s="7"/>
    </row>
    <row r="656" spans="2:78">
      <c r="B656" s="7"/>
      <c r="O656" s="7"/>
      <c r="X656" s="7"/>
      <c r="AG656" s="7"/>
      <c r="AP656" s="7"/>
      <c r="AY656" s="7"/>
      <c r="BH656" s="7"/>
      <c r="BQ656" s="7"/>
      <c r="BZ656" s="7"/>
    </row>
    <row r="657" spans="2:78">
      <c r="B657" s="7"/>
      <c r="O657" s="7"/>
      <c r="X657" s="7"/>
      <c r="AG657" s="7"/>
      <c r="AP657" s="7"/>
      <c r="AY657" s="7"/>
      <c r="BH657" s="7"/>
      <c r="BQ657" s="7"/>
      <c r="BZ657" s="7"/>
    </row>
    <row r="658" spans="2:78">
      <c r="B658" s="7"/>
      <c r="O658" s="7"/>
      <c r="X658" s="7"/>
      <c r="AG658" s="7"/>
      <c r="AP658" s="7"/>
      <c r="AY658" s="7"/>
      <c r="BH658" s="7"/>
      <c r="BQ658" s="7"/>
      <c r="BZ658" s="7"/>
    </row>
    <row r="659" spans="2:78">
      <c r="B659" s="7"/>
      <c r="O659" s="7"/>
      <c r="X659" s="7"/>
      <c r="AG659" s="7"/>
      <c r="AP659" s="7"/>
      <c r="AY659" s="7"/>
      <c r="BH659" s="7"/>
      <c r="BQ659" s="7"/>
      <c r="BZ659" s="7"/>
    </row>
    <row r="660" spans="2:78">
      <c r="B660" s="7"/>
      <c r="O660" s="7"/>
      <c r="X660" s="7"/>
      <c r="AG660" s="7"/>
      <c r="AP660" s="7"/>
      <c r="AY660" s="7"/>
      <c r="BH660" s="7"/>
      <c r="BQ660" s="7"/>
      <c r="BZ660" s="7"/>
    </row>
    <row r="661" spans="2:78">
      <c r="B661" s="7"/>
      <c r="O661" s="7"/>
      <c r="X661" s="7"/>
      <c r="AG661" s="7"/>
      <c r="AP661" s="7"/>
      <c r="AY661" s="7"/>
      <c r="BH661" s="7"/>
      <c r="BQ661" s="7"/>
      <c r="BZ661" s="7"/>
    </row>
    <row r="662" spans="2:78">
      <c r="B662" s="7"/>
      <c r="O662" s="7"/>
      <c r="X662" s="7"/>
      <c r="AG662" s="7"/>
      <c r="AP662" s="7"/>
      <c r="AY662" s="7"/>
      <c r="BH662" s="7"/>
      <c r="BQ662" s="7"/>
      <c r="BZ662" s="7"/>
    </row>
    <row r="663" spans="2:78">
      <c r="B663" s="7"/>
      <c r="O663" s="7"/>
      <c r="X663" s="7"/>
      <c r="AG663" s="7"/>
      <c r="AP663" s="7"/>
      <c r="AY663" s="7"/>
      <c r="BH663" s="7"/>
      <c r="BQ663" s="7"/>
      <c r="BZ663" s="7"/>
    </row>
    <row r="664" spans="2:78">
      <c r="B664" s="7"/>
      <c r="O664" s="7"/>
      <c r="X664" s="7"/>
      <c r="AG664" s="7"/>
      <c r="AP664" s="7"/>
      <c r="AY664" s="7"/>
      <c r="BH664" s="7"/>
      <c r="BQ664" s="7"/>
      <c r="BZ664" s="7"/>
    </row>
    <row r="665" spans="2:78">
      <c r="B665" s="7"/>
      <c r="O665" s="7"/>
      <c r="X665" s="7"/>
      <c r="AG665" s="7"/>
      <c r="AP665" s="7"/>
      <c r="AY665" s="7"/>
      <c r="BH665" s="7"/>
      <c r="BQ665" s="7"/>
      <c r="BZ665" s="7"/>
    </row>
    <row r="666" spans="2:78">
      <c r="B666" s="7"/>
      <c r="O666" s="7"/>
      <c r="X666" s="7"/>
      <c r="AG666" s="7"/>
      <c r="AP666" s="7"/>
      <c r="AY666" s="7"/>
      <c r="BH666" s="7"/>
      <c r="BQ666" s="7"/>
      <c r="BZ666" s="7"/>
    </row>
    <row r="667" spans="2:78">
      <c r="B667" s="7"/>
      <c r="O667" s="7"/>
      <c r="X667" s="7"/>
      <c r="AG667" s="7"/>
      <c r="AP667" s="7"/>
      <c r="AY667" s="7"/>
      <c r="BH667" s="7"/>
      <c r="BQ667" s="7"/>
      <c r="BZ667" s="7"/>
    </row>
    <row r="668" spans="2:78">
      <c r="B668" s="7"/>
      <c r="O668" s="7"/>
      <c r="X668" s="7"/>
      <c r="AG668" s="7"/>
      <c r="AP668" s="7"/>
      <c r="AY668" s="7"/>
      <c r="BH668" s="7"/>
      <c r="BQ668" s="7"/>
      <c r="BZ668" s="7"/>
    </row>
    <row r="669" spans="2:78">
      <c r="B669" s="7"/>
      <c r="O669" s="7"/>
      <c r="X669" s="7"/>
      <c r="AG669" s="7"/>
      <c r="AP669" s="7"/>
      <c r="AY669" s="7"/>
      <c r="BH669" s="7"/>
      <c r="BQ669" s="7"/>
      <c r="BZ669" s="7"/>
    </row>
    <row r="670" spans="2:78">
      <c r="B670" s="7"/>
      <c r="O670" s="7"/>
      <c r="X670" s="7"/>
      <c r="AG670" s="7"/>
      <c r="AP670" s="7"/>
      <c r="AY670" s="7"/>
      <c r="BH670" s="7"/>
      <c r="BQ670" s="7"/>
      <c r="BZ670" s="7"/>
    </row>
    <row r="671" spans="2:78">
      <c r="B671" s="7"/>
      <c r="O671" s="7"/>
      <c r="X671" s="7"/>
      <c r="AG671" s="7"/>
      <c r="AP671" s="7"/>
      <c r="AY671" s="7"/>
      <c r="BH671" s="7"/>
      <c r="BQ671" s="7"/>
      <c r="BZ671" s="7"/>
    </row>
    <row r="672" spans="2:78">
      <c r="B672" s="7"/>
      <c r="O672" s="7"/>
      <c r="X672" s="7"/>
      <c r="AG672" s="7"/>
      <c r="AP672" s="7"/>
      <c r="AY672" s="7"/>
      <c r="BH672" s="7"/>
      <c r="BQ672" s="7"/>
      <c r="BZ672" s="7"/>
    </row>
    <row r="673" spans="2:78">
      <c r="B673" s="7"/>
      <c r="O673" s="7"/>
      <c r="X673" s="7"/>
      <c r="AG673" s="7"/>
      <c r="AP673" s="7"/>
      <c r="AY673" s="7"/>
      <c r="BH673" s="7"/>
      <c r="BQ673" s="7"/>
      <c r="BZ673" s="7"/>
    </row>
    <row r="674" spans="2:78">
      <c r="B674" s="7"/>
      <c r="O674" s="7"/>
      <c r="X674" s="7"/>
      <c r="AG674" s="7"/>
      <c r="AP674" s="7"/>
      <c r="AY674" s="7"/>
      <c r="BH674" s="7"/>
      <c r="BQ674" s="7"/>
      <c r="BZ674" s="7"/>
    </row>
    <row r="675" spans="2:78">
      <c r="B675" s="7"/>
      <c r="O675" s="7"/>
      <c r="X675" s="7"/>
      <c r="AG675" s="7"/>
      <c r="AP675" s="7"/>
      <c r="AY675" s="7"/>
      <c r="BH675" s="7"/>
      <c r="BQ675" s="7"/>
      <c r="BZ675" s="7"/>
    </row>
    <row r="676" spans="2:78">
      <c r="B676" s="7"/>
      <c r="O676" s="7"/>
      <c r="X676" s="7"/>
      <c r="AG676" s="7"/>
      <c r="AP676" s="7"/>
      <c r="AY676" s="7"/>
      <c r="BH676" s="7"/>
      <c r="BQ676" s="7"/>
      <c r="BZ676" s="7"/>
    </row>
    <row r="677" spans="2:78">
      <c r="B677" s="7"/>
      <c r="O677" s="7"/>
      <c r="X677" s="7"/>
      <c r="AG677" s="7"/>
      <c r="AP677" s="7"/>
      <c r="AY677" s="7"/>
      <c r="BH677" s="7"/>
      <c r="BQ677" s="7"/>
      <c r="BZ677" s="7"/>
    </row>
    <row r="678" spans="2:78">
      <c r="B678" s="7"/>
      <c r="O678" s="7"/>
      <c r="X678" s="7"/>
      <c r="AG678" s="7"/>
      <c r="AP678" s="7"/>
      <c r="AY678" s="7"/>
      <c r="BH678" s="7"/>
      <c r="BQ678" s="7"/>
      <c r="BZ678" s="7"/>
    </row>
    <row r="679" spans="2:78">
      <c r="B679" s="7"/>
      <c r="O679" s="7"/>
      <c r="X679" s="7"/>
      <c r="AG679" s="7"/>
      <c r="AP679" s="7"/>
      <c r="AY679" s="7"/>
      <c r="BH679" s="7"/>
      <c r="BQ679" s="7"/>
      <c r="BZ679" s="7"/>
    </row>
    <row r="680" spans="2:78">
      <c r="B680" s="7"/>
      <c r="O680" s="7"/>
      <c r="X680" s="7"/>
      <c r="AG680" s="7"/>
      <c r="AP680" s="7"/>
      <c r="AY680" s="7"/>
      <c r="BH680" s="7"/>
      <c r="BQ680" s="7"/>
      <c r="BZ680" s="7"/>
    </row>
    <row r="681" spans="2:78">
      <c r="B681" s="7"/>
      <c r="O681" s="7"/>
      <c r="X681" s="7"/>
      <c r="AG681" s="7"/>
      <c r="AP681" s="7"/>
      <c r="AY681" s="7"/>
      <c r="BH681" s="7"/>
      <c r="BQ681" s="7"/>
      <c r="BZ681" s="7"/>
    </row>
    <row r="682" spans="2:78">
      <c r="B682" s="7"/>
      <c r="O682" s="7"/>
      <c r="X682" s="7"/>
      <c r="AG682" s="7"/>
      <c r="AP682" s="7"/>
      <c r="AY682" s="7"/>
      <c r="BH682" s="7"/>
      <c r="BQ682" s="7"/>
      <c r="BZ682" s="7"/>
    </row>
    <row r="683" spans="2:78">
      <c r="B683" s="7"/>
      <c r="O683" s="7"/>
      <c r="X683" s="7"/>
      <c r="AG683" s="7"/>
      <c r="AP683" s="7"/>
      <c r="AY683" s="7"/>
      <c r="BH683" s="7"/>
      <c r="BQ683" s="7"/>
      <c r="BZ683" s="7"/>
    </row>
    <row r="684" spans="2:78">
      <c r="B684" s="7"/>
      <c r="O684" s="7"/>
      <c r="X684" s="7"/>
      <c r="AG684" s="7"/>
      <c r="AP684" s="7"/>
      <c r="AY684" s="7"/>
      <c r="BH684" s="7"/>
      <c r="BQ684" s="7"/>
      <c r="BZ684" s="7"/>
    </row>
    <row r="685" spans="2:78">
      <c r="B685" s="7"/>
      <c r="O685" s="7"/>
      <c r="X685" s="7"/>
      <c r="AG685" s="7"/>
      <c r="AP685" s="7"/>
      <c r="AY685" s="7"/>
      <c r="BH685" s="7"/>
      <c r="BQ685" s="7"/>
      <c r="BZ685" s="7"/>
    </row>
    <row r="686" spans="2:78">
      <c r="B686" s="7"/>
      <c r="O686" s="7"/>
      <c r="X686" s="7"/>
      <c r="AG686" s="7"/>
      <c r="AP686" s="7"/>
      <c r="AY686" s="7"/>
      <c r="BH686" s="7"/>
      <c r="BQ686" s="7"/>
      <c r="BZ686" s="7"/>
    </row>
    <row r="687" spans="2:78">
      <c r="B687" s="7"/>
      <c r="O687" s="7"/>
      <c r="X687" s="7"/>
      <c r="AG687" s="7"/>
      <c r="AP687" s="7"/>
      <c r="AY687" s="7"/>
      <c r="BH687" s="7"/>
      <c r="BQ687" s="7"/>
      <c r="BZ687" s="7"/>
    </row>
    <row r="688" spans="2:78">
      <c r="B688" s="7"/>
      <c r="O688" s="7"/>
      <c r="X688" s="7"/>
      <c r="AG688" s="7"/>
      <c r="AP688" s="7"/>
      <c r="AY688" s="7"/>
      <c r="BH688" s="7"/>
      <c r="BQ688" s="7"/>
      <c r="BZ688" s="7"/>
    </row>
    <row r="689" spans="2:78">
      <c r="B689" s="7"/>
      <c r="O689" s="7"/>
      <c r="X689" s="7"/>
      <c r="AG689" s="7"/>
      <c r="AP689" s="7"/>
      <c r="AY689" s="7"/>
      <c r="BH689" s="7"/>
      <c r="BQ689" s="7"/>
      <c r="BZ689" s="7"/>
    </row>
    <row r="690" spans="2:78">
      <c r="B690" s="7"/>
      <c r="O690" s="7"/>
      <c r="X690" s="7"/>
      <c r="AG690" s="7"/>
      <c r="AP690" s="7"/>
      <c r="AY690" s="7"/>
      <c r="BH690" s="7"/>
      <c r="BQ690" s="7"/>
      <c r="BZ690" s="7"/>
    </row>
    <row r="691" spans="2:78">
      <c r="B691" s="7"/>
      <c r="O691" s="7"/>
      <c r="X691" s="7"/>
      <c r="AG691" s="7"/>
      <c r="AP691" s="7"/>
      <c r="AY691" s="7"/>
      <c r="BH691" s="7"/>
      <c r="BQ691" s="7"/>
      <c r="BZ691" s="7"/>
    </row>
    <row r="692" spans="2:78">
      <c r="B692" s="7"/>
      <c r="O692" s="7"/>
      <c r="X692" s="7"/>
      <c r="AG692" s="7"/>
      <c r="AP692" s="7"/>
      <c r="AY692" s="7"/>
      <c r="BH692" s="7"/>
      <c r="BQ692" s="7"/>
      <c r="BZ692" s="7"/>
    </row>
    <row r="693" spans="2:78">
      <c r="B693" s="7"/>
      <c r="O693" s="7"/>
      <c r="X693" s="7"/>
      <c r="AG693" s="7"/>
      <c r="AP693" s="7"/>
      <c r="AY693" s="7"/>
      <c r="BH693" s="7"/>
      <c r="BQ693" s="7"/>
      <c r="BZ693" s="7"/>
    </row>
    <row r="694" spans="2:78">
      <c r="B694" s="7"/>
      <c r="O694" s="7"/>
      <c r="X694" s="7"/>
      <c r="AG694" s="7"/>
      <c r="AP694" s="7"/>
      <c r="AY694" s="7"/>
      <c r="BH694" s="7"/>
      <c r="BQ694" s="7"/>
      <c r="BZ694" s="7"/>
    </row>
    <row r="695" spans="2:78">
      <c r="B695" s="7"/>
      <c r="O695" s="7"/>
      <c r="X695" s="7"/>
      <c r="AG695" s="7"/>
      <c r="AP695" s="7"/>
      <c r="AY695" s="7"/>
      <c r="BH695" s="7"/>
      <c r="BQ695" s="7"/>
      <c r="BZ695" s="7"/>
    </row>
    <row r="696" spans="2:78">
      <c r="B696" s="7"/>
      <c r="O696" s="7"/>
      <c r="X696" s="7"/>
      <c r="AG696" s="7"/>
      <c r="AP696" s="7"/>
      <c r="AY696" s="7"/>
      <c r="BH696" s="7"/>
      <c r="BQ696" s="7"/>
      <c r="BZ696" s="7"/>
    </row>
    <row r="697" spans="2:78">
      <c r="B697" s="7"/>
      <c r="O697" s="7"/>
      <c r="X697" s="7"/>
      <c r="AG697" s="7"/>
      <c r="AP697" s="7"/>
      <c r="AY697" s="7"/>
      <c r="BH697" s="7"/>
      <c r="BQ697" s="7"/>
      <c r="BZ697" s="7"/>
    </row>
    <row r="698" spans="2:78">
      <c r="B698" s="7"/>
      <c r="O698" s="7"/>
      <c r="X698" s="7"/>
      <c r="AG698" s="7"/>
      <c r="AP698" s="7"/>
      <c r="AY698" s="7"/>
      <c r="BH698" s="7"/>
      <c r="BQ698" s="7"/>
      <c r="BZ698" s="7"/>
    </row>
    <row r="699" spans="2:78">
      <c r="B699" s="7"/>
      <c r="O699" s="7"/>
      <c r="X699" s="7"/>
      <c r="AG699" s="7"/>
      <c r="AP699" s="7"/>
      <c r="AY699" s="7"/>
      <c r="BH699" s="7"/>
      <c r="BQ699" s="7"/>
      <c r="BZ699" s="7"/>
    </row>
    <row r="700" spans="2:78">
      <c r="B700" s="7"/>
      <c r="O700" s="7"/>
      <c r="X700" s="7"/>
      <c r="AG700" s="7"/>
      <c r="AP700" s="7"/>
      <c r="AY700" s="7"/>
      <c r="BH700" s="7"/>
      <c r="BQ700" s="7"/>
      <c r="BZ700" s="7"/>
    </row>
    <row r="701" spans="2:78">
      <c r="B701" s="7"/>
      <c r="O701" s="7"/>
      <c r="X701" s="7"/>
      <c r="AG701" s="7"/>
      <c r="AP701" s="7"/>
      <c r="AY701" s="7"/>
      <c r="BH701" s="7"/>
      <c r="BQ701" s="7"/>
      <c r="BZ701" s="7"/>
    </row>
    <row r="702" spans="2:78">
      <c r="B702" s="7"/>
      <c r="O702" s="7"/>
      <c r="X702" s="7"/>
      <c r="AG702" s="7"/>
      <c r="AP702" s="7"/>
      <c r="AY702" s="7"/>
      <c r="BH702" s="7"/>
      <c r="BQ702" s="7"/>
      <c r="BZ702" s="7"/>
    </row>
    <row r="703" spans="2:78">
      <c r="B703" s="7"/>
      <c r="O703" s="7"/>
      <c r="X703" s="7"/>
      <c r="AG703" s="7"/>
      <c r="AP703" s="7"/>
      <c r="AY703" s="7"/>
      <c r="BH703" s="7"/>
      <c r="BQ703" s="7"/>
      <c r="BZ703" s="7"/>
    </row>
    <row r="704" spans="2:78">
      <c r="B704" s="7"/>
      <c r="O704" s="7"/>
      <c r="X704" s="7"/>
      <c r="AG704" s="7"/>
      <c r="AP704" s="7"/>
      <c r="AY704" s="7"/>
      <c r="BH704" s="7"/>
      <c r="BQ704" s="7"/>
      <c r="BZ704" s="7"/>
    </row>
    <row r="705" spans="2:78">
      <c r="B705" s="7"/>
      <c r="O705" s="7"/>
      <c r="X705" s="7"/>
      <c r="AG705" s="7"/>
      <c r="AP705" s="7"/>
      <c r="AY705" s="7"/>
      <c r="BH705" s="7"/>
      <c r="BQ705" s="7"/>
      <c r="BZ705" s="7"/>
    </row>
    <row r="706" spans="2:78">
      <c r="B706" s="7"/>
      <c r="O706" s="7"/>
      <c r="X706" s="7"/>
      <c r="AG706" s="7"/>
      <c r="AP706" s="7"/>
      <c r="AY706" s="7"/>
      <c r="BH706" s="7"/>
      <c r="BQ706" s="7"/>
      <c r="BZ706" s="7"/>
    </row>
    <row r="707" spans="2:78">
      <c r="B707" s="7"/>
      <c r="O707" s="7"/>
      <c r="X707" s="7"/>
      <c r="AG707" s="7"/>
      <c r="AP707" s="7"/>
      <c r="AY707" s="7"/>
      <c r="BH707" s="7"/>
      <c r="BQ707" s="7"/>
      <c r="BZ707" s="7"/>
    </row>
    <row r="708" spans="2:78">
      <c r="B708" s="7"/>
      <c r="O708" s="7"/>
      <c r="X708" s="7"/>
      <c r="AG708" s="7"/>
      <c r="AP708" s="7"/>
      <c r="AY708" s="7"/>
      <c r="BH708" s="7"/>
      <c r="BQ708" s="7"/>
      <c r="BZ708" s="7"/>
    </row>
    <row r="709" spans="2:78">
      <c r="B709" s="7"/>
      <c r="O709" s="7"/>
      <c r="X709" s="7"/>
      <c r="AG709" s="7"/>
      <c r="AP709" s="7"/>
      <c r="AY709" s="7"/>
      <c r="BH709" s="7"/>
      <c r="BQ709" s="7"/>
      <c r="BZ709" s="7"/>
    </row>
    <row r="710" spans="2:78">
      <c r="B710" s="7"/>
      <c r="O710" s="7"/>
      <c r="X710" s="7"/>
      <c r="AG710" s="7"/>
      <c r="AP710" s="7"/>
      <c r="AY710" s="7"/>
      <c r="BH710" s="7"/>
      <c r="BQ710" s="7"/>
      <c r="BZ710" s="7"/>
    </row>
    <row r="711" spans="2:78">
      <c r="B711" s="7"/>
      <c r="O711" s="7"/>
      <c r="X711" s="7"/>
      <c r="AG711" s="7"/>
      <c r="AP711" s="7"/>
      <c r="AY711" s="7"/>
      <c r="BH711" s="7"/>
      <c r="BQ711" s="7"/>
      <c r="BZ711" s="7"/>
    </row>
    <row r="712" spans="2:78">
      <c r="B712" s="7"/>
      <c r="O712" s="7"/>
      <c r="X712" s="7"/>
      <c r="AG712" s="7"/>
      <c r="AP712" s="7"/>
      <c r="AY712" s="7"/>
      <c r="BH712" s="7"/>
      <c r="BQ712" s="7"/>
      <c r="BZ712" s="7"/>
    </row>
    <row r="713" spans="2:78">
      <c r="B713" s="7"/>
      <c r="O713" s="7"/>
      <c r="X713" s="7"/>
      <c r="AG713" s="7"/>
      <c r="AP713" s="7"/>
      <c r="AY713" s="7"/>
      <c r="BH713" s="7"/>
      <c r="BQ713" s="7"/>
      <c r="BZ713" s="7"/>
    </row>
    <row r="714" spans="2:78">
      <c r="B714" s="7"/>
      <c r="O714" s="7"/>
      <c r="X714" s="7"/>
      <c r="AG714" s="7"/>
      <c r="AP714" s="7"/>
      <c r="AY714" s="7"/>
      <c r="BH714" s="7"/>
      <c r="BQ714" s="7"/>
      <c r="BZ714" s="7"/>
    </row>
    <row r="715" spans="2:78">
      <c r="B715" s="7"/>
      <c r="O715" s="7"/>
      <c r="X715" s="7"/>
      <c r="AG715" s="7"/>
      <c r="AP715" s="7"/>
      <c r="AY715" s="7"/>
      <c r="BH715" s="7"/>
      <c r="BQ715" s="7"/>
      <c r="BZ715" s="7"/>
    </row>
    <row r="716" spans="2:78">
      <c r="B716" s="7"/>
      <c r="O716" s="7"/>
      <c r="X716" s="7"/>
      <c r="AG716" s="7"/>
      <c r="AP716" s="7"/>
      <c r="AY716" s="7"/>
      <c r="BH716" s="7"/>
      <c r="BQ716" s="7"/>
      <c r="BZ716" s="7"/>
    </row>
    <row r="717" spans="2:78">
      <c r="B717" s="7"/>
      <c r="O717" s="7"/>
      <c r="X717" s="7"/>
      <c r="AG717" s="7"/>
      <c r="AP717" s="7"/>
      <c r="AY717" s="7"/>
      <c r="BH717" s="7"/>
      <c r="BQ717" s="7"/>
      <c r="BZ717" s="7"/>
    </row>
    <row r="718" spans="2:78">
      <c r="B718" s="7"/>
      <c r="O718" s="7"/>
      <c r="X718" s="7"/>
      <c r="AG718" s="7"/>
      <c r="AP718" s="7"/>
      <c r="AY718" s="7"/>
      <c r="BH718" s="7"/>
      <c r="BQ718" s="7"/>
      <c r="BZ718" s="7"/>
    </row>
    <row r="719" spans="2:78">
      <c r="B719" s="7"/>
      <c r="O719" s="7"/>
      <c r="X719" s="7"/>
      <c r="AG719" s="7"/>
      <c r="AP719" s="7"/>
      <c r="AY719" s="7"/>
      <c r="BH719" s="7"/>
      <c r="BQ719" s="7"/>
      <c r="BZ719" s="7"/>
    </row>
    <row r="720" spans="2:78">
      <c r="B720" s="7"/>
      <c r="O720" s="7"/>
      <c r="X720" s="7"/>
      <c r="AG720" s="7"/>
      <c r="AP720" s="7"/>
      <c r="AY720" s="7"/>
      <c r="BH720" s="7"/>
      <c r="BQ720" s="7"/>
      <c r="BZ720" s="7"/>
    </row>
    <row r="721" spans="2:78">
      <c r="B721" s="7"/>
      <c r="O721" s="7"/>
      <c r="X721" s="7"/>
      <c r="AG721" s="7"/>
      <c r="AP721" s="7"/>
      <c r="AY721" s="7"/>
      <c r="BH721" s="7"/>
      <c r="BQ721" s="7"/>
      <c r="BZ721" s="7"/>
    </row>
    <row r="722" spans="2:78">
      <c r="B722" s="7"/>
      <c r="O722" s="7"/>
      <c r="X722" s="7"/>
      <c r="AG722" s="7"/>
      <c r="AP722" s="7"/>
      <c r="AY722" s="7"/>
      <c r="BH722" s="7"/>
      <c r="BQ722" s="7"/>
      <c r="BZ722" s="7"/>
    </row>
    <row r="723" spans="2:78">
      <c r="B723" s="7"/>
      <c r="O723" s="7"/>
      <c r="X723" s="7"/>
      <c r="AG723" s="7"/>
      <c r="AP723" s="7"/>
      <c r="AY723" s="7"/>
      <c r="BH723" s="7"/>
      <c r="BQ723" s="7"/>
      <c r="BZ723" s="7"/>
    </row>
    <row r="724" spans="2:78">
      <c r="B724" s="7"/>
      <c r="O724" s="7"/>
      <c r="X724" s="7"/>
      <c r="AG724" s="7"/>
      <c r="AP724" s="7"/>
      <c r="AY724" s="7"/>
      <c r="BH724" s="7"/>
      <c r="BQ724" s="7"/>
      <c r="BZ724" s="7"/>
    </row>
    <row r="725" spans="2:78">
      <c r="B725" s="7"/>
      <c r="O725" s="7"/>
      <c r="X725" s="7"/>
      <c r="AG725" s="7"/>
      <c r="AP725" s="7"/>
      <c r="AY725" s="7"/>
      <c r="BH725" s="7"/>
      <c r="BQ725" s="7"/>
      <c r="BZ725" s="7"/>
    </row>
    <row r="726" spans="2:78">
      <c r="B726" s="7"/>
      <c r="O726" s="7"/>
      <c r="X726" s="7"/>
      <c r="AG726" s="7"/>
      <c r="AP726" s="7"/>
      <c r="AY726" s="7"/>
      <c r="BH726" s="7"/>
      <c r="BQ726" s="7"/>
      <c r="BZ726" s="7"/>
    </row>
    <row r="727" spans="2:78">
      <c r="B727" s="7"/>
      <c r="O727" s="7"/>
      <c r="X727" s="7"/>
      <c r="AG727" s="7"/>
      <c r="AP727" s="7"/>
      <c r="AY727" s="7"/>
      <c r="BH727" s="7"/>
      <c r="BQ727" s="7"/>
      <c r="BZ727" s="7"/>
    </row>
    <row r="728" spans="2:78">
      <c r="B728" s="7"/>
      <c r="O728" s="7"/>
      <c r="X728" s="7"/>
      <c r="AG728" s="7"/>
      <c r="AP728" s="7"/>
      <c r="AY728" s="7"/>
      <c r="BH728" s="7"/>
      <c r="BQ728" s="7"/>
      <c r="BZ728" s="7"/>
    </row>
    <row r="729" spans="2:78">
      <c r="B729" s="7"/>
      <c r="O729" s="7"/>
      <c r="X729" s="7"/>
      <c r="AG729" s="7"/>
      <c r="AP729" s="7"/>
      <c r="AY729" s="7"/>
      <c r="BH729" s="7"/>
      <c r="BQ729" s="7"/>
      <c r="BZ729" s="7"/>
    </row>
    <row r="730" spans="2:78">
      <c r="B730" s="7"/>
      <c r="O730" s="7"/>
      <c r="X730" s="7"/>
      <c r="AG730" s="7"/>
      <c r="AP730" s="7"/>
      <c r="AY730" s="7"/>
      <c r="BH730" s="7"/>
      <c r="BQ730" s="7"/>
      <c r="BZ730" s="7"/>
    </row>
    <row r="731" spans="2:78">
      <c r="B731" s="7"/>
      <c r="O731" s="7"/>
      <c r="X731" s="7"/>
      <c r="AG731" s="7"/>
      <c r="AP731" s="7"/>
      <c r="AY731" s="7"/>
      <c r="BH731" s="7"/>
      <c r="BQ731" s="7"/>
      <c r="BZ731" s="7"/>
    </row>
    <row r="732" spans="2:78">
      <c r="B732" s="7"/>
      <c r="O732" s="7"/>
      <c r="X732" s="7"/>
      <c r="AG732" s="7"/>
      <c r="AP732" s="7"/>
      <c r="AY732" s="7"/>
      <c r="BH732" s="7"/>
      <c r="BQ732" s="7"/>
      <c r="BZ732" s="7"/>
    </row>
    <row r="733" spans="2:78">
      <c r="B733" s="7"/>
      <c r="O733" s="7"/>
      <c r="X733" s="7"/>
      <c r="AG733" s="7"/>
      <c r="AP733" s="7"/>
      <c r="AY733" s="7"/>
      <c r="BH733" s="7"/>
      <c r="BQ733" s="7"/>
      <c r="BZ733" s="7"/>
    </row>
    <row r="734" spans="2:78">
      <c r="B734" s="7"/>
      <c r="O734" s="7"/>
      <c r="X734" s="7"/>
      <c r="AG734" s="7"/>
      <c r="AP734" s="7"/>
      <c r="AY734" s="7"/>
      <c r="BH734" s="7"/>
      <c r="BQ734" s="7"/>
      <c r="BZ734" s="7"/>
    </row>
    <row r="735" spans="2:78">
      <c r="B735" s="7"/>
      <c r="O735" s="7"/>
      <c r="X735" s="7"/>
      <c r="AG735" s="7"/>
      <c r="AP735" s="7"/>
      <c r="AY735" s="7"/>
      <c r="BH735" s="7"/>
      <c r="BQ735" s="7"/>
      <c r="BZ735" s="7"/>
    </row>
    <row r="736" spans="2:78">
      <c r="B736" s="7"/>
      <c r="O736" s="7"/>
      <c r="X736" s="7"/>
      <c r="AG736" s="7"/>
      <c r="AP736" s="7"/>
      <c r="AY736" s="7"/>
      <c r="BH736" s="7"/>
      <c r="BQ736" s="7"/>
      <c r="BZ736" s="7"/>
    </row>
    <row r="737" spans="2:78">
      <c r="B737" s="7"/>
      <c r="O737" s="7"/>
      <c r="X737" s="7"/>
      <c r="AG737" s="7"/>
      <c r="AP737" s="7"/>
      <c r="AY737" s="7"/>
      <c r="BH737" s="7"/>
      <c r="BQ737" s="7"/>
      <c r="BZ737" s="7"/>
    </row>
    <row r="738" spans="2:78">
      <c r="B738" s="7"/>
      <c r="O738" s="7"/>
      <c r="X738" s="7"/>
      <c r="AG738" s="7"/>
      <c r="AP738" s="7"/>
      <c r="AY738" s="7"/>
      <c r="BH738" s="7"/>
      <c r="BQ738" s="7"/>
      <c r="BZ738" s="7"/>
    </row>
    <row r="739" spans="2:78">
      <c r="B739" s="7"/>
      <c r="O739" s="7"/>
      <c r="X739" s="7"/>
      <c r="AG739" s="7"/>
      <c r="AP739" s="7"/>
      <c r="AY739" s="7"/>
      <c r="BH739" s="7"/>
      <c r="BQ739" s="7"/>
      <c r="BZ739" s="7"/>
    </row>
    <row r="740" spans="2:78">
      <c r="B740" s="7"/>
      <c r="O740" s="7"/>
      <c r="X740" s="7"/>
      <c r="AG740" s="7"/>
      <c r="AP740" s="7"/>
      <c r="AY740" s="7"/>
      <c r="BH740" s="7"/>
      <c r="BQ740" s="7"/>
      <c r="BZ740" s="7"/>
    </row>
    <row r="741" spans="2:78">
      <c r="B741" s="7"/>
      <c r="O741" s="7"/>
      <c r="X741" s="7"/>
      <c r="AG741" s="7"/>
      <c r="AP741" s="7"/>
      <c r="AY741" s="7"/>
      <c r="BH741" s="7"/>
      <c r="BQ741" s="7"/>
      <c r="BZ741" s="7"/>
    </row>
    <row r="742" spans="2:78">
      <c r="B742" s="7"/>
      <c r="O742" s="7"/>
      <c r="X742" s="7"/>
      <c r="AG742" s="7"/>
      <c r="AP742" s="7"/>
      <c r="AY742" s="7"/>
      <c r="BH742" s="7"/>
      <c r="BQ742" s="7"/>
      <c r="BZ742" s="7"/>
    </row>
    <row r="743" spans="2:78">
      <c r="B743" s="7"/>
      <c r="O743" s="7"/>
      <c r="X743" s="7"/>
      <c r="AG743" s="7"/>
      <c r="AP743" s="7"/>
      <c r="AY743" s="7"/>
      <c r="BH743" s="7"/>
      <c r="BQ743" s="7"/>
      <c r="BZ743" s="7"/>
    </row>
    <row r="744" spans="2:78">
      <c r="B744" s="7"/>
      <c r="O744" s="7"/>
      <c r="X744" s="7"/>
      <c r="AG744" s="7"/>
      <c r="AP744" s="7"/>
      <c r="AY744" s="7"/>
      <c r="BH744" s="7"/>
      <c r="BQ744" s="7"/>
      <c r="BZ744" s="7"/>
    </row>
    <row r="745" spans="2:78">
      <c r="B745" s="7"/>
      <c r="O745" s="7"/>
      <c r="X745" s="7"/>
      <c r="AG745" s="7"/>
      <c r="AP745" s="7"/>
      <c r="AY745" s="7"/>
      <c r="BH745" s="7"/>
      <c r="BQ745" s="7"/>
      <c r="BZ745" s="7"/>
    </row>
    <row r="746" spans="2:78">
      <c r="B746" s="7"/>
      <c r="O746" s="7"/>
      <c r="X746" s="7"/>
      <c r="AG746" s="7"/>
      <c r="AP746" s="7"/>
      <c r="AY746" s="7"/>
      <c r="BH746" s="7"/>
      <c r="BQ746" s="7"/>
      <c r="BZ746" s="7"/>
    </row>
    <row r="747" spans="2:78">
      <c r="B747" s="7"/>
      <c r="O747" s="7"/>
      <c r="X747" s="7"/>
      <c r="AG747" s="7"/>
      <c r="AP747" s="7"/>
      <c r="AY747" s="7"/>
      <c r="BH747" s="7"/>
      <c r="BQ747" s="7"/>
      <c r="BZ747" s="7"/>
    </row>
    <row r="748" spans="2:78">
      <c r="B748" s="7"/>
      <c r="O748" s="7"/>
      <c r="X748" s="7"/>
      <c r="AG748" s="7"/>
      <c r="AP748" s="7"/>
      <c r="AY748" s="7"/>
      <c r="BH748" s="7"/>
      <c r="BQ748" s="7"/>
      <c r="BZ748" s="7"/>
    </row>
    <row r="749" spans="2:78">
      <c r="B749" s="7"/>
      <c r="O749" s="7"/>
      <c r="X749" s="7"/>
      <c r="AG749" s="7"/>
      <c r="AP749" s="7"/>
      <c r="AY749" s="7"/>
      <c r="BH749" s="7"/>
      <c r="BQ749" s="7"/>
      <c r="BZ749" s="7"/>
    </row>
    <row r="750" spans="2:78">
      <c r="B750" s="7"/>
      <c r="O750" s="7"/>
      <c r="X750" s="7"/>
      <c r="AG750" s="7"/>
      <c r="AP750" s="7"/>
      <c r="AY750" s="7"/>
      <c r="BH750" s="7"/>
      <c r="BQ750" s="7"/>
      <c r="BZ750" s="7"/>
    </row>
    <row r="751" spans="2:78">
      <c r="B751" s="7"/>
      <c r="O751" s="7"/>
      <c r="X751" s="7"/>
      <c r="AG751" s="7"/>
      <c r="AP751" s="7"/>
      <c r="AY751" s="7"/>
      <c r="BH751" s="7"/>
      <c r="BQ751" s="7"/>
      <c r="BZ751" s="7"/>
    </row>
    <row r="752" spans="2:78">
      <c r="B752" s="7"/>
      <c r="O752" s="7"/>
      <c r="X752" s="7"/>
      <c r="AG752" s="7"/>
      <c r="AP752" s="7"/>
      <c r="AY752" s="7"/>
      <c r="BH752" s="7"/>
      <c r="BQ752" s="7"/>
      <c r="BZ752" s="7"/>
    </row>
    <row r="753" spans="2:78">
      <c r="B753" s="7"/>
      <c r="O753" s="7"/>
      <c r="X753" s="7"/>
      <c r="AG753" s="7"/>
      <c r="AP753" s="7"/>
      <c r="AY753" s="7"/>
      <c r="BH753" s="7"/>
      <c r="BQ753" s="7"/>
      <c r="BZ753" s="7"/>
    </row>
    <row r="754" spans="2:78">
      <c r="B754" s="7"/>
      <c r="O754" s="7"/>
      <c r="X754" s="7"/>
      <c r="AG754" s="7"/>
      <c r="AP754" s="7"/>
      <c r="AY754" s="7"/>
      <c r="BH754" s="7"/>
      <c r="BQ754" s="7"/>
      <c r="BZ754" s="7"/>
    </row>
    <row r="755" spans="2:78">
      <c r="B755" s="7"/>
      <c r="O755" s="7"/>
      <c r="X755" s="7"/>
      <c r="AG755" s="7"/>
      <c r="AP755" s="7"/>
      <c r="AY755" s="7"/>
      <c r="BH755" s="7"/>
      <c r="BQ755" s="7"/>
      <c r="BZ755" s="7"/>
    </row>
    <row r="756" spans="2:78">
      <c r="B756" s="7"/>
      <c r="O756" s="7"/>
      <c r="X756" s="7"/>
      <c r="AG756" s="7"/>
      <c r="AP756" s="7"/>
      <c r="AY756" s="7"/>
      <c r="BH756" s="7"/>
      <c r="BQ756" s="7"/>
      <c r="BZ756" s="7"/>
    </row>
    <row r="757" spans="2:78">
      <c r="B757" s="7"/>
      <c r="O757" s="7"/>
      <c r="X757" s="7"/>
      <c r="AG757" s="7"/>
      <c r="AP757" s="7"/>
      <c r="AY757" s="7"/>
      <c r="BH757" s="7"/>
      <c r="BQ757" s="7"/>
      <c r="BZ757" s="7"/>
    </row>
    <row r="758" spans="2:78">
      <c r="B758" s="7"/>
      <c r="O758" s="7"/>
      <c r="X758" s="7"/>
      <c r="AG758" s="7"/>
      <c r="AP758" s="7"/>
      <c r="AY758" s="7"/>
      <c r="BH758" s="7"/>
      <c r="BQ758" s="7"/>
      <c r="BZ758" s="7"/>
    </row>
    <row r="759" spans="2:78">
      <c r="B759" s="7"/>
      <c r="O759" s="7"/>
      <c r="X759" s="7"/>
      <c r="AG759" s="7"/>
      <c r="AP759" s="7"/>
      <c r="AY759" s="7"/>
      <c r="BH759" s="7"/>
      <c r="BQ759" s="7"/>
      <c r="BZ759" s="7"/>
    </row>
    <row r="760" spans="2:78">
      <c r="B760" s="7"/>
      <c r="O760" s="7"/>
      <c r="X760" s="7"/>
      <c r="AG760" s="7"/>
      <c r="AP760" s="7"/>
      <c r="AY760" s="7"/>
      <c r="BH760" s="7"/>
      <c r="BQ760" s="7"/>
      <c r="BZ760" s="7"/>
    </row>
    <row r="761" spans="2:78">
      <c r="B761" s="7"/>
      <c r="O761" s="7"/>
      <c r="X761" s="7"/>
      <c r="AG761" s="7"/>
      <c r="AP761" s="7"/>
      <c r="AY761" s="7"/>
      <c r="BH761" s="7"/>
      <c r="BQ761" s="7"/>
      <c r="BZ761" s="7"/>
    </row>
    <row r="762" spans="2:78">
      <c r="B762" s="7"/>
      <c r="O762" s="7"/>
      <c r="X762" s="7"/>
      <c r="AG762" s="7"/>
      <c r="AP762" s="7"/>
      <c r="AY762" s="7"/>
      <c r="BH762" s="7"/>
      <c r="BQ762" s="7"/>
      <c r="BZ762" s="7"/>
    </row>
    <row r="763" spans="2:78">
      <c r="B763" s="7"/>
      <c r="O763" s="7"/>
      <c r="X763" s="7"/>
      <c r="AG763" s="7"/>
      <c r="AP763" s="7"/>
      <c r="AY763" s="7"/>
      <c r="BH763" s="7"/>
      <c r="BQ763" s="7"/>
      <c r="BZ763" s="7"/>
    </row>
    <row r="764" spans="2:78">
      <c r="B764" s="7"/>
      <c r="O764" s="7"/>
      <c r="X764" s="7"/>
      <c r="AG764" s="7"/>
      <c r="AP764" s="7"/>
      <c r="AY764" s="7"/>
      <c r="BH764" s="7"/>
      <c r="BQ764" s="7"/>
      <c r="BZ764" s="7"/>
    </row>
    <row r="765" spans="2:78">
      <c r="B765" s="7"/>
      <c r="O765" s="7"/>
      <c r="X765" s="7"/>
      <c r="AG765" s="7"/>
      <c r="AP765" s="7"/>
      <c r="AY765" s="7"/>
      <c r="BH765" s="7"/>
      <c r="BQ765" s="7"/>
      <c r="BZ765" s="7"/>
    </row>
    <row r="766" spans="2:78">
      <c r="B766" s="7"/>
      <c r="O766" s="7"/>
      <c r="X766" s="7"/>
      <c r="AG766" s="7"/>
      <c r="AP766" s="7"/>
      <c r="AY766" s="7"/>
      <c r="BH766" s="7"/>
      <c r="BQ766" s="7"/>
      <c r="BZ766" s="7"/>
    </row>
    <row r="767" spans="2:78">
      <c r="B767" s="7"/>
      <c r="O767" s="7"/>
      <c r="X767" s="7"/>
      <c r="AG767" s="7"/>
      <c r="AP767" s="7"/>
      <c r="AY767" s="7"/>
      <c r="BH767" s="7"/>
      <c r="BQ767" s="7"/>
      <c r="BZ767" s="7"/>
    </row>
    <row r="768" spans="2:78">
      <c r="B768" s="7"/>
      <c r="O768" s="7"/>
      <c r="X768" s="7"/>
      <c r="AG768" s="7"/>
      <c r="AP768" s="7"/>
      <c r="AY768" s="7"/>
      <c r="BH768" s="7"/>
      <c r="BQ768" s="7"/>
      <c r="BZ768" s="7"/>
    </row>
    <row r="769" spans="2:78">
      <c r="B769" s="7"/>
      <c r="O769" s="7"/>
      <c r="X769" s="7"/>
      <c r="AG769" s="7"/>
      <c r="AP769" s="7"/>
      <c r="AY769" s="7"/>
      <c r="BH769" s="7"/>
      <c r="BQ769" s="7"/>
      <c r="BZ769" s="7"/>
    </row>
    <row r="770" spans="2:78">
      <c r="B770" s="7"/>
      <c r="O770" s="7"/>
      <c r="X770" s="7"/>
      <c r="AG770" s="7"/>
      <c r="AP770" s="7"/>
      <c r="AY770" s="7"/>
      <c r="BH770" s="7"/>
      <c r="BQ770" s="7"/>
      <c r="BZ770" s="7"/>
    </row>
    <row r="771" spans="2:78">
      <c r="B771" s="7"/>
      <c r="O771" s="7"/>
      <c r="X771" s="7"/>
      <c r="AG771" s="7"/>
      <c r="AP771" s="7"/>
      <c r="AY771" s="7"/>
      <c r="BH771" s="7"/>
      <c r="BQ771" s="7"/>
      <c r="BZ771" s="7"/>
    </row>
    <row r="772" spans="2:78">
      <c r="B772" s="7"/>
      <c r="O772" s="7"/>
      <c r="X772" s="7"/>
      <c r="AG772" s="7"/>
      <c r="AP772" s="7"/>
      <c r="AY772" s="7"/>
      <c r="BH772" s="7"/>
      <c r="BQ772" s="7"/>
      <c r="BZ772" s="7"/>
    </row>
    <row r="773" spans="2:78">
      <c r="B773" s="7"/>
      <c r="O773" s="7"/>
      <c r="X773" s="7"/>
      <c r="AG773" s="7"/>
      <c r="AP773" s="7"/>
      <c r="AY773" s="7"/>
      <c r="BH773" s="7"/>
      <c r="BQ773" s="7"/>
      <c r="BZ773" s="7"/>
    </row>
    <row r="774" spans="2:78">
      <c r="B774" s="7"/>
      <c r="O774" s="7"/>
      <c r="X774" s="7"/>
      <c r="AG774" s="7"/>
      <c r="AP774" s="7"/>
      <c r="AY774" s="7"/>
      <c r="BH774" s="7"/>
      <c r="BQ774" s="7"/>
      <c r="BZ774" s="7"/>
    </row>
    <row r="775" spans="2:78">
      <c r="B775" s="7"/>
      <c r="O775" s="7"/>
      <c r="X775" s="7"/>
      <c r="AG775" s="7"/>
      <c r="AP775" s="7"/>
      <c r="AY775" s="7"/>
      <c r="BH775" s="7"/>
      <c r="BQ775" s="7"/>
      <c r="BZ775" s="7"/>
    </row>
    <row r="776" spans="2:78">
      <c r="B776" s="7"/>
      <c r="O776" s="7"/>
      <c r="X776" s="7"/>
      <c r="AG776" s="7"/>
      <c r="AP776" s="7"/>
      <c r="AY776" s="7"/>
      <c r="BH776" s="7"/>
      <c r="BQ776" s="7"/>
      <c r="BZ776" s="7"/>
    </row>
    <row r="777" spans="2:78">
      <c r="B777" s="7"/>
      <c r="O777" s="7"/>
      <c r="X777" s="7"/>
      <c r="AG777" s="7"/>
      <c r="AP777" s="7"/>
      <c r="AY777" s="7"/>
      <c r="BH777" s="7"/>
      <c r="BQ777" s="7"/>
      <c r="BZ777" s="7"/>
    </row>
    <row r="778" spans="2:78">
      <c r="B778" s="7"/>
      <c r="O778" s="7"/>
      <c r="X778" s="7"/>
      <c r="AG778" s="7"/>
      <c r="AP778" s="7"/>
      <c r="AY778" s="7"/>
      <c r="BH778" s="7"/>
      <c r="BQ778" s="7"/>
      <c r="BZ778" s="7"/>
    </row>
    <row r="779" spans="2:78">
      <c r="B779" s="7"/>
      <c r="O779" s="7"/>
      <c r="X779" s="7"/>
      <c r="AG779" s="7"/>
      <c r="AP779" s="7"/>
      <c r="AY779" s="7"/>
      <c r="BH779" s="7"/>
      <c r="BQ779" s="7"/>
      <c r="BZ779" s="7"/>
    </row>
    <row r="780" spans="2:78">
      <c r="B780" s="7"/>
      <c r="O780" s="7"/>
      <c r="X780" s="7"/>
      <c r="AG780" s="7"/>
      <c r="AP780" s="7"/>
      <c r="AY780" s="7"/>
      <c r="BH780" s="7"/>
      <c r="BQ780" s="7"/>
      <c r="BZ780" s="7"/>
    </row>
    <row r="781" spans="2:78">
      <c r="B781" s="7"/>
      <c r="O781" s="7"/>
      <c r="X781" s="7"/>
      <c r="AG781" s="7"/>
      <c r="AP781" s="7"/>
      <c r="AY781" s="7"/>
      <c r="BH781" s="7"/>
      <c r="BQ781" s="7"/>
      <c r="BZ781" s="7"/>
    </row>
    <row r="782" spans="2:78">
      <c r="B782" s="7"/>
      <c r="O782" s="7"/>
      <c r="X782" s="7"/>
      <c r="AG782" s="7"/>
      <c r="AP782" s="7"/>
      <c r="AY782" s="7"/>
      <c r="BH782" s="7"/>
      <c r="BQ782" s="7"/>
      <c r="BZ782" s="7"/>
    </row>
    <row r="783" spans="2:78">
      <c r="B783" s="7"/>
      <c r="O783" s="7"/>
      <c r="X783" s="7"/>
      <c r="AG783" s="7"/>
      <c r="AP783" s="7"/>
      <c r="AY783" s="7"/>
      <c r="BH783" s="7"/>
      <c r="BQ783" s="7"/>
      <c r="BZ783" s="7"/>
    </row>
    <row r="784" spans="2:78">
      <c r="B784" s="7"/>
      <c r="O784" s="7"/>
      <c r="X784" s="7"/>
      <c r="AG784" s="7"/>
      <c r="AP784" s="7"/>
      <c r="AY784" s="7"/>
      <c r="BH784" s="7"/>
      <c r="BQ784" s="7"/>
      <c r="BZ784" s="7"/>
    </row>
    <row r="785" spans="2:78">
      <c r="B785" s="7"/>
      <c r="O785" s="7"/>
      <c r="X785" s="7"/>
      <c r="AG785" s="7"/>
      <c r="AP785" s="7"/>
      <c r="AY785" s="7"/>
      <c r="BH785" s="7"/>
      <c r="BQ785" s="7"/>
      <c r="BZ785" s="7"/>
    </row>
    <row r="786" spans="2:78">
      <c r="B786" s="7"/>
      <c r="O786" s="7"/>
      <c r="X786" s="7"/>
      <c r="AG786" s="7"/>
      <c r="AP786" s="7"/>
      <c r="AY786" s="7"/>
      <c r="BH786" s="7"/>
      <c r="BQ786" s="7"/>
      <c r="BZ786" s="7"/>
    </row>
    <row r="787" spans="2:78">
      <c r="B787" s="7"/>
      <c r="O787" s="7"/>
      <c r="X787" s="7"/>
      <c r="AG787" s="7"/>
      <c r="AP787" s="7"/>
      <c r="AY787" s="7"/>
      <c r="BH787" s="7"/>
      <c r="BQ787" s="7"/>
      <c r="BZ787" s="7"/>
    </row>
    <row r="788" spans="2:78">
      <c r="B788" s="7"/>
      <c r="O788" s="7"/>
      <c r="X788" s="7"/>
      <c r="AG788" s="7"/>
      <c r="AP788" s="7"/>
      <c r="AY788" s="7"/>
      <c r="BH788" s="7"/>
      <c r="BQ788" s="7"/>
      <c r="BZ788" s="7"/>
    </row>
    <row r="789" spans="2:78">
      <c r="B789" s="7"/>
      <c r="O789" s="7"/>
      <c r="X789" s="7"/>
      <c r="AG789" s="7"/>
      <c r="AP789" s="7"/>
      <c r="AY789" s="7"/>
      <c r="BH789" s="7"/>
      <c r="BQ789" s="7"/>
      <c r="BZ789" s="7"/>
    </row>
    <row r="790" spans="2:78">
      <c r="B790" s="7"/>
      <c r="O790" s="7"/>
      <c r="X790" s="7"/>
      <c r="AG790" s="7"/>
      <c r="AP790" s="7"/>
      <c r="AY790" s="7"/>
      <c r="BH790" s="7"/>
      <c r="BQ790" s="7"/>
      <c r="BZ790" s="7"/>
    </row>
    <row r="791" spans="2:78">
      <c r="B791" s="7"/>
      <c r="O791" s="7"/>
      <c r="X791" s="7"/>
      <c r="AG791" s="7"/>
      <c r="AP791" s="7"/>
      <c r="AY791" s="7"/>
      <c r="BH791" s="7"/>
      <c r="BQ791" s="7"/>
      <c r="BZ791" s="7"/>
    </row>
    <row r="792" spans="2:78">
      <c r="B792" s="7"/>
      <c r="O792" s="7"/>
      <c r="X792" s="7"/>
      <c r="AG792" s="7"/>
      <c r="AP792" s="7"/>
      <c r="AY792" s="7"/>
      <c r="BH792" s="7"/>
      <c r="BQ792" s="7"/>
      <c r="BZ792" s="7"/>
    </row>
    <row r="793" spans="2:78">
      <c r="B793" s="7"/>
      <c r="O793" s="7"/>
      <c r="X793" s="7"/>
      <c r="AG793" s="7"/>
      <c r="AP793" s="7"/>
      <c r="AY793" s="7"/>
      <c r="BH793" s="7"/>
      <c r="BQ793" s="7"/>
      <c r="BZ793" s="7"/>
    </row>
    <row r="794" spans="2:78">
      <c r="B794" s="7"/>
      <c r="O794" s="7"/>
      <c r="X794" s="7"/>
      <c r="AG794" s="7"/>
      <c r="AP794" s="7"/>
      <c r="AY794" s="7"/>
      <c r="BH794" s="7"/>
      <c r="BQ794" s="7"/>
      <c r="BZ794" s="7"/>
    </row>
    <row r="795" spans="2:78">
      <c r="B795" s="7"/>
      <c r="O795" s="7"/>
      <c r="X795" s="7"/>
      <c r="AG795" s="7"/>
      <c r="AP795" s="7"/>
      <c r="AY795" s="7"/>
      <c r="BH795" s="7"/>
      <c r="BQ795" s="7"/>
      <c r="BZ795" s="7"/>
    </row>
    <row r="796" spans="2:78">
      <c r="B796" s="7"/>
      <c r="O796" s="7"/>
      <c r="X796" s="7"/>
      <c r="AG796" s="7"/>
      <c r="AP796" s="7"/>
      <c r="AY796" s="7"/>
      <c r="BH796" s="7"/>
      <c r="BQ796" s="7"/>
      <c r="BZ796" s="7"/>
    </row>
    <row r="797" spans="2:78">
      <c r="B797" s="7"/>
      <c r="O797" s="7"/>
      <c r="X797" s="7"/>
      <c r="AG797" s="7"/>
      <c r="AP797" s="7"/>
      <c r="AY797" s="7"/>
      <c r="BH797" s="7"/>
      <c r="BQ797" s="7"/>
      <c r="BZ797" s="7"/>
    </row>
    <row r="798" spans="2:78">
      <c r="B798" s="7"/>
      <c r="O798" s="7"/>
      <c r="X798" s="7"/>
      <c r="AG798" s="7"/>
      <c r="AP798" s="7"/>
      <c r="AY798" s="7"/>
      <c r="BH798" s="7"/>
      <c r="BQ798" s="7"/>
      <c r="BZ798" s="7"/>
    </row>
    <row r="799" spans="2:78">
      <c r="B799" s="7"/>
      <c r="O799" s="7"/>
      <c r="X799" s="7"/>
      <c r="AG799" s="7"/>
      <c r="AP799" s="7"/>
      <c r="AY799" s="7"/>
      <c r="BH799" s="7"/>
      <c r="BQ799" s="7"/>
      <c r="BZ799" s="7"/>
    </row>
    <row r="800" spans="2:78">
      <c r="B800" s="7"/>
      <c r="O800" s="7"/>
      <c r="X800" s="7"/>
      <c r="AG800" s="7"/>
      <c r="AP800" s="7"/>
      <c r="AY800" s="7"/>
      <c r="BH800" s="7"/>
      <c r="BQ800" s="7"/>
      <c r="BZ800" s="7"/>
    </row>
    <row r="801" spans="2:78">
      <c r="B801" s="7"/>
      <c r="O801" s="7"/>
      <c r="X801" s="7"/>
      <c r="AG801" s="7"/>
      <c r="AP801" s="7"/>
      <c r="AY801" s="7"/>
      <c r="BH801" s="7"/>
      <c r="BQ801" s="7"/>
      <c r="BZ801" s="7"/>
    </row>
    <row r="802" spans="2:78">
      <c r="B802" s="7"/>
      <c r="O802" s="7"/>
      <c r="X802" s="7"/>
      <c r="AG802" s="7"/>
      <c r="AP802" s="7"/>
      <c r="AY802" s="7"/>
      <c r="BH802" s="7"/>
      <c r="BQ802" s="7"/>
      <c r="BZ802" s="7"/>
    </row>
    <row r="803" spans="2:78">
      <c r="B803" s="7"/>
      <c r="O803" s="7"/>
      <c r="X803" s="7"/>
      <c r="AG803" s="7"/>
      <c r="AP803" s="7"/>
      <c r="AY803" s="7"/>
      <c r="BH803" s="7"/>
      <c r="BQ803" s="7"/>
      <c r="BZ803" s="7"/>
    </row>
    <row r="804" spans="2:78">
      <c r="B804" s="7"/>
      <c r="O804" s="7"/>
      <c r="X804" s="7"/>
      <c r="AG804" s="7"/>
      <c r="AP804" s="7"/>
      <c r="AY804" s="7"/>
      <c r="BH804" s="7"/>
      <c r="BQ804" s="7"/>
      <c r="BZ804" s="7"/>
    </row>
    <row r="805" spans="2:78">
      <c r="B805" s="7"/>
      <c r="O805" s="7"/>
      <c r="X805" s="7"/>
      <c r="AG805" s="7"/>
      <c r="AP805" s="7"/>
      <c r="AY805" s="7"/>
      <c r="BH805" s="7"/>
      <c r="BQ805" s="7"/>
      <c r="BZ805" s="7"/>
    </row>
    <row r="806" spans="2:78">
      <c r="B806" s="7"/>
      <c r="O806" s="7"/>
      <c r="X806" s="7"/>
      <c r="AG806" s="7"/>
      <c r="AP806" s="7"/>
      <c r="AY806" s="7"/>
      <c r="BH806" s="7"/>
      <c r="BQ806" s="7"/>
      <c r="BZ806" s="7"/>
    </row>
    <row r="807" spans="2:78">
      <c r="B807" s="7"/>
      <c r="O807" s="7"/>
      <c r="X807" s="7"/>
      <c r="AG807" s="7"/>
      <c r="AP807" s="7"/>
      <c r="AY807" s="7"/>
      <c r="BH807" s="7"/>
      <c r="BQ807" s="7"/>
      <c r="BZ807" s="7"/>
    </row>
    <row r="808" spans="2:78">
      <c r="B808" s="7"/>
      <c r="O808" s="7"/>
      <c r="X808" s="7"/>
      <c r="AG808" s="7"/>
      <c r="AP808" s="7"/>
      <c r="AY808" s="7"/>
      <c r="BH808" s="7"/>
      <c r="BQ808" s="7"/>
      <c r="BZ808" s="7"/>
    </row>
    <row r="809" spans="2:78">
      <c r="B809" s="7"/>
      <c r="O809" s="7"/>
      <c r="X809" s="7"/>
      <c r="AG809" s="7"/>
      <c r="AP809" s="7"/>
      <c r="AY809" s="7"/>
      <c r="BH809" s="7"/>
      <c r="BQ809" s="7"/>
      <c r="BZ809" s="7"/>
    </row>
    <row r="810" spans="2:78">
      <c r="B810" s="7"/>
      <c r="O810" s="7"/>
      <c r="X810" s="7"/>
      <c r="AG810" s="7"/>
      <c r="AP810" s="7"/>
      <c r="AY810" s="7"/>
      <c r="BH810" s="7"/>
      <c r="BQ810" s="7"/>
      <c r="BZ810" s="7"/>
    </row>
    <row r="811" spans="2:78">
      <c r="B811" s="7"/>
      <c r="O811" s="7"/>
      <c r="X811" s="7"/>
      <c r="AG811" s="7"/>
      <c r="AP811" s="7"/>
      <c r="AY811" s="7"/>
      <c r="BH811" s="7"/>
      <c r="BQ811" s="7"/>
      <c r="BZ811" s="7"/>
    </row>
    <row r="812" spans="2:78">
      <c r="B812" s="7"/>
      <c r="O812" s="7"/>
      <c r="X812" s="7"/>
      <c r="AG812" s="7"/>
      <c r="AP812" s="7"/>
      <c r="AY812" s="7"/>
      <c r="BH812" s="7"/>
      <c r="BQ812" s="7"/>
      <c r="BZ812" s="7"/>
    </row>
    <row r="813" spans="2:78">
      <c r="B813" s="7"/>
      <c r="O813" s="7"/>
      <c r="X813" s="7"/>
      <c r="AG813" s="7"/>
      <c r="AP813" s="7"/>
      <c r="AY813" s="7"/>
      <c r="BH813" s="7"/>
      <c r="BQ813" s="7"/>
      <c r="BZ813" s="7"/>
    </row>
    <row r="814" spans="2:78">
      <c r="B814" s="7"/>
      <c r="O814" s="7"/>
      <c r="X814" s="7"/>
      <c r="AG814" s="7"/>
      <c r="AP814" s="7"/>
      <c r="AY814" s="7"/>
      <c r="BH814" s="7"/>
      <c r="BQ814" s="7"/>
      <c r="BZ814" s="7"/>
    </row>
    <row r="815" spans="2:78">
      <c r="B815" s="7"/>
      <c r="O815" s="7"/>
      <c r="X815" s="7"/>
      <c r="AG815" s="7"/>
      <c r="AP815" s="7"/>
      <c r="AY815" s="7"/>
      <c r="BH815" s="7"/>
      <c r="BQ815" s="7"/>
      <c r="BZ815" s="7"/>
    </row>
    <row r="816" spans="2:78">
      <c r="B816" s="7"/>
      <c r="O816" s="7"/>
      <c r="X816" s="7"/>
      <c r="AG816" s="7"/>
      <c r="AP816" s="7"/>
      <c r="AY816" s="7"/>
      <c r="BH816" s="7"/>
      <c r="BQ816" s="7"/>
      <c r="BZ816" s="7"/>
    </row>
    <row r="817" spans="2:78">
      <c r="B817" s="7"/>
      <c r="O817" s="7"/>
      <c r="X817" s="7"/>
      <c r="AG817" s="7"/>
      <c r="AP817" s="7"/>
      <c r="AY817" s="7"/>
      <c r="BH817" s="7"/>
      <c r="BQ817" s="7"/>
      <c r="BZ817" s="7"/>
    </row>
    <row r="818" spans="2:78">
      <c r="B818" s="7"/>
      <c r="O818" s="7"/>
      <c r="X818" s="7"/>
      <c r="AG818" s="7"/>
      <c r="AP818" s="7"/>
      <c r="AY818" s="7"/>
      <c r="BH818" s="7"/>
      <c r="BQ818" s="7"/>
      <c r="BZ818" s="7"/>
    </row>
    <row r="819" spans="2:78">
      <c r="B819" s="7"/>
      <c r="O819" s="7"/>
      <c r="X819" s="7"/>
      <c r="AG819" s="7"/>
      <c r="AP819" s="7"/>
      <c r="AY819" s="7"/>
      <c r="BH819" s="7"/>
      <c r="BQ819" s="7"/>
      <c r="BZ819" s="7"/>
    </row>
    <row r="820" spans="2:78">
      <c r="B820" s="7"/>
      <c r="O820" s="7"/>
      <c r="X820" s="7"/>
      <c r="AG820" s="7"/>
      <c r="AP820" s="7"/>
      <c r="AY820" s="7"/>
      <c r="BH820" s="7"/>
      <c r="BQ820" s="7"/>
      <c r="BZ820" s="7"/>
    </row>
    <row r="821" spans="2:78">
      <c r="B821" s="7"/>
      <c r="O821" s="7"/>
      <c r="X821" s="7"/>
      <c r="AG821" s="7"/>
      <c r="AP821" s="7"/>
      <c r="AY821" s="7"/>
      <c r="BH821" s="7"/>
      <c r="BQ821" s="7"/>
      <c r="BZ821" s="7"/>
    </row>
    <row r="822" spans="2:78">
      <c r="B822" s="7"/>
      <c r="O822" s="7"/>
      <c r="X822" s="7"/>
      <c r="AG822" s="7"/>
      <c r="AP822" s="7"/>
      <c r="AY822" s="7"/>
      <c r="BH822" s="7"/>
      <c r="BQ822" s="7"/>
      <c r="BZ822" s="7"/>
    </row>
    <row r="823" spans="2:78">
      <c r="B823" s="7"/>
      <c r="O823" s="7"/>
      <c r="X823" s="7"/>
      <c r="AG823" s="7"/>
      <c r="AP823" s="7"/>
      <c r="AY823" s="7"/>
      <c r="BH823" s="7"/>
      <c r="BQ823" s="7"/>
      <c r="BZ823" s="7"/>
    </row>
    <row r="824" spans="2:78">
      <c r="B824" s="7"/>
      <c r="O824" s="7"/>
      <c r="X824" s="7"/>
      <c r="AG824" s="7"/>
      <c r="AP824" s="7"/>
      <c r="AY824" s="7"/>
      <c r="BH824" s="7"/>
      <c r="BQ824" s="7"/>
      <c r="BZ824" s="7"/>
    </row>
    <row r="825" spans="2:78">
      <c r="B825" s="7"/>
      <c r="O825" s="7"/>
      <c r="X825" s="7"/>
      <c r="AG825" s="7"/>
      <c r="AP825" s="7"/>
      <c r="AY825" s="7"/>
      <c r="BH825" s="7"/>
      <c r="BQ825" s="7"/>
      <c r="BZ825" s="7"/>
    </row>
    <row r="826" spans="2:78">
      <c r="B826" s="7"/>
      <c r="O826" s="7"/>
      <c r="X826" s="7"/>
      <c r="AG826" s="7"/>
      <c r="AP826" s="7"/>
      <c r="AY826" s="7"/>
      <c r="BH826" s="7"/>
      <c r="BQ826" s="7"/>
      <c r="BZ826" s="7"/>
    </row>
    <row r="827" spans="2:78">
      <c r="B827" s="7"/>
      <c r="O827" s="7"/>
      <c r="X827" s="7"/>
      <c r="AG827" s="7"/>
      <c r="AP827" s="7"/>
      <c r="AY827" s="7"/>
      <c r="BH827" s="7"/>
      <c r="BQ827" s="7"/>
      <c r="BZ827" s="7"/>
    </row>
    <row r="828" spans="2:78">
      <c r="B828" s="7"/>
      <c r="O828" s="7"/>
      <c r="X828" s="7"/>
      <c r="AG828" s="7"/>
      <c r="AP828" s="7"/>
      <c r="AY828" s="7"/>
      <c r="BH828" s="7"/>
      <c r="BQ828" s="7"/>
      <c r="BZ828" s="7"/>
    </row>
    <row r="829" spans="2:78">
      <c r="B829" s="7"/>
      <c r="O829" s="7"/>
      <c r="X829" s="7"/>
      <c r="AG829" s="7"/>
      <c r="AP829" s="7"/>
      <c r="AY829" s="7"/>
      <c r="BH829" s="7"/>
      <c r="BQ829" s="7"/>
      <c r="BZ829" s="7"/>
    </row>
    <row r="830" spans="2:78">
      <c r="B830" s="7"/>
      <c r="O830" s="7"/>
      <c r="X830" s="7"/>
      <c r="AG830" s="7"/>
      <c r="AP830" s="7"/>
      <c r="AY830" s="7"/>
      <c r="BH830" s="7"/>
      <c r="BQ830" s="7"/>
      <c r="BZ830" s="7"/>
    </row>
    <row r="831" spans="2:78">
      <c r="B831" s="7"/>
      <c r="O831" s="7"/>
      <c r="X831" s="7"/>
      <c r="AG831" s="7"/>
      <c r="AP831" s="7"/>
      <c r="AY831" s="7"/>
      <c r="BH831" s="7"/>
      <c r="BQ831" s="7"/>
      <c r="BZ831" s="7"/>
    </row>
    <row r="832" spans="2:78">
      <c r="B832" s="7"/>
      <c r="O832" s="7"/>
      <c r="X832" s="7"/>
      <c r="AG832" s="7"/>
      <c r="AP832" s="7"/>
      <c r="AY832" s="7"/>
      <c r="BH832" s="7"/>
      <c r="BQ832" s="7"/>
      <c r="BZ832" s="7"/>
    </row>
    <row r="833" spans="2:78">
      <c r="B833" s="7"/>
      <c r="O833" s="7"/>
      <c r="X833" s="7"/>
      <c r="AG833" s="7"/>
      <c r="AP833" s="7"/>
      <c r="AY833" s="7"/>
      <c r="BH833" s="7"/>
      <c r="BQ833" s="7"/>
      <c r="BZ833" s="7"/>
    </row>
    <row r="834" spans="2:78">
      <c r="B834" s="7"/>
      <c r="O834" s="7"/>
      <c r="X834" s="7"/>
      <c r="AG834" s="7"/>
      <c r="AP834" s="7"/>
      <c r="AY834" s="7"/>
      <c r="BH834" s="7"/>
      <c r="BQ834" s="7"/>
      <c r="BZ834" s="7"/>
    </row>
    <row r="835" spans="2:78">
      <c r="B835" s="7"/>
      <c r="O835" s="7"/>
      <c r="X835" s="7"/>
      <c r="AG835" s="7"/>
      <c r="AP835" s="7"/>
      <c r="AY835" s="7"/>
      <c r="BH835" s="7"/>
      <c r="BQ835" s="7"/>
      <c r="BZ835" s="7"/>
    </row>
    <row r="836" spans="2:78">
      <c r="B836" s="7"/>
      <c r="O836" s="7"/>
      <c r="X836" s="7"/>
      <c r="AG836" s="7"/>
      <c r="AP836" s="7"/>
      <c r="AY836" s="7"/>
      <c r="BH836" s="7"/>
      <c r="BQ836" s="7"/>
      <c r="BZ836" s="7"/>
    </row>
    <row r="837" spans="2:78">
      <c r="B837" s="7"/>
      <c r="O837" s="7"/>
      <c r="X837" s="7"/>
      <c r="AG837" s="7"/>
      <c r="AP837" s="7"/>
      <c r="AY837" s="7"/>
      <c r="BH837" s="7"/>
      <c r="BQ837" s="7"/>
      <c r="BZ837" s="7"/>
    </row>
    <row r="838" spans="2:78">
      <c r="B838" s="7"/>
      <c r="O838" s="7"/>
      <c r="X838" s="7"/>
      <c r="AG838" s="7"/>
      <c r="AP838" s="7"/>
      <c r="AY838" s="7"/>
      <c r="BH838" s="7"/>
      <c r="BQ838" s="7"/>
      <c r="BZ838" s="7"/>
    </row>
    <row r="839" spans="2:78">
      <c r="B839" s="7"/>
      <c r="O839" s="7"/>
      <c r="X839" s="7"/>
      <c r="AG839" s="7"/>
      <c r="AP839" s="7"/>
      <c r="AY839" s="7"/>
      <c r="BH839" s="7"/>
      <c r="BQ839" s="7"/>
      <c r="BZ839" s="7"/>
    </row>
    <row r="840" spans="2:78">
      <c r="B840" s="7"/>
      <c r="O840" s="7"/>
      <c r="X840" s="7"/>
      <c r="AG840" s="7"/>
      <c r="AP840" s="7"/>
      <c r="AY840" s="7"/>
      <c r="BH840" s="7"/>
      <c r="BQ840" s="7"/>
      <c r="BZ840" s="7"/>
    </row>
    <row r="841" spans="2:78">
      <c r="B841" s="7"/>
      <c r="O841" s="7"/>
      <c r="X841" s="7"/>
      <c r="AG841" s="7"/>
      <c r="AP841" s="7"/>
      <c r="AY841" s="7"/>
      <c r="BH841" s="7"/>
      <c r="BQ841" s="7"/>
      <c r="BZ841" s="7"/>
    </row>
    <row r="842" spans="2:78">
      <c r="B842" s="7"/>
      <c r="O842" s="7"/>
      <c r="X842" s="7"/>
      <c r="AG842" s="7"/>
      <c r="AP842" s="7"/>
      <c r="AY842" s="7"/>
      <c r="BH842" s="7"/>
      <c r="BQ842" s="7"/>
      <c r="BZ842" s="7"/>
    </row>
    <row r="843" spans="2:78">
      <c r="B843" s="7"/>
      <c r="O843" s="7"/>
      <c r="X843" s="7"/>
      <c r="AG843" s="7"/>
      <c r="AP843" s="7"/>
      <c r="AY843" s="7"/>
      <c r="BH843" s="7"/>
      <c r="BQ843" s="7"/>
      <c r="BZ843" s="7"/>
    </row>
    <row r="844" spans="2:78">
      <c r="B844" s="7"/>
      <c r="O844" s="7"/>
      <c r="X844" s="7"/>
      <c r="AG844" s="7"/>
      <c r="AP844" s="7"/>
      <c r="AY844" s="7"/>
      <c r="BH844" s="7"/>
      <c r="BQ844" s="7"/>
      <c r="BZ844" s="7"/>
    </row>
    <row r="845" spans="2:78">
      <c r="B845" s="7"/>
      <c r="O845" s="7"/>
      <c r="X845" s="7"/>
      <c r="AG845" s="7"/>
      <c r="AP845" s="7"/>
      <c r="AY845" s="7"/>
      <c r="BH845" s="7"/>
      <c r="BQ845" s="7"/>
      <c r="BZ845" s="7"/>
    </row>
    <row r="846" spans="2:78">
      <c r="B846" s="7"/>
      <c r="O846" s="7"/>
      <c r="X846" s="7"/>
      <c r="AG846" s="7"/>
      <c r="AP846" s="7"/>
      <c r="AY846" s="7"/>
      <c r="BH846" s="7"/>
      <c r="BQ846" s="7"/>
      <c r="BZ846" s="7"/>
    </row>
    <row r="847" spans="2:78">
      <c r="B847" s="7"/>
      <c r="O847" s="7"/>
      <c r="X847" s="7"/>
      <c r="AG847" s="7"/>
      <c r="AP847" s="7"/>
      <c r="AY847" s="7"/>
      <c r="BH847" s="7"/>
      <c r="BQ847" s="7"/>
      <c r="BZ847" s="7"/>
    </row>
    <row r="848" spans="2:78">
      <c r="B848" s="7"/>
      <c r="O848" s="7"/>
      <c r="X848" s="7"/>
      <c r="AG848" s="7"/>
      <c r="AP848" s="7"/>
      <c r="AY848" s="7"/>
      <c r="BH848" s="7"/>
      <c r="BQ848" s="7"/>
      <c r="BZ848" s="7"/>
    </row>
    <row r="849" spans="2:78">
      <c r="B849" s="7"/>
      <c r="O849" s="7"/>
      <c r="X849" s="7"/>
      <c r="AG849" s="7"/>
      <c r="AP849" s="7"/>
      <c r="AY849" s="7"/>
      <c r="BH849" s="7"/>
      <c r="BQ849" s="7"/>
      <c r="BZ849" s="7"/>
    </row>
    <row r="850" spans="2:78">
      <c r="B850" s="7"/>
      <c r="O850" s="7"/>
      <c r="X850" s="7"/>
      <c r="AG850" s="7"/>
      <c r="AP850" s="7"/>
      <c r="AY850" s="7"/>
      <c r="BH850" s="7"/>
      <c r="BQ850" s="7"/>
      <c r="BZ850" s="7"/>
    </row>
    <row r="851" spans="2:78">
      <c r="B851" s="7"/>
      <c r="O851" s="7"/>
      <c r="X851" s="7"/>
      <c r="AG851" s="7"/>
      <c r="AP851" s="7"/>
      <c r="AY851" s="7"/>
      <c r="BH851" s="7"/>
      <c r="BQ851" s="7"/>
      <c r="BZ851" s="7"/>
    </row>
    <row r="852" spans="2:78">
      <c r="B852" s="7"/>
      <c r="O852" s="7"/>
      <c r="X852" s="7"/>
      <c r="AG852" s="7"/>
      <c r="AP852" s="7"/>
      <c r="AY852" s="7"/>
      <c r="BH852" s="7"/>
      <c r="BQ852" s="7"/>
      <c r="BZ852" s="7"/>
    </row>
    <row r="853" spans="2:78">
      <c r="B853" s="7"/>
      <c r="O853" s="7"/>
      <c r="X853" s="7"/>
      <c r="AG853" s="7"/>
      <c r="AP853" s="7"/>
      <c r="AY853" s="7"/>
      <c r="BH853" s="7"/>
      <c r="BQ853" s="7"/>
      <c r="BZ853" s="7"/>
    </row>
    <row r="854" spans="2:78">
      <c r="B854" s="7"/>
      <c r="O854" s="7"/>
      <c r="X854" s="7"/>
      <c r="AG854" s="7"/>
      <c r="AP854" s="7"/>
      <c r="AY854" s="7"/>
      <c r="BH854" s="7"/>
      <c r="BQ854" s="7"/>
      <c r="BZ854" s="7"/>
    </row>
    <row r="855" spans="2:78">
      <c r="B855" s="7"/>
      <c r="O855" s="7"/>
      <c r="X855" s="7"/>
      <c r="AG855" s="7"/>
      <c r="AP855" s="7"/>
      <c r="AY855" s="7"/>
      <c r="BH855" s="7"/>
      <c r="BQ855" s="7"/>
      <c r="BZ855" s="7"/>
    </row>
    <row r="856" spans="2:78">
      <c r="B856" s="7"/>
      <c r="O856" s="7"/>
      <c r="X856" s="7"/>
      <c r="AG856" s="7"/>
      <c r="AP856" s="7"/>
      <c r="AY856" s="7"/>
      <c r="BH856" s="7"/>
      <c r="BQ856" s="7"/>
      <c r="BZ856" s="7"/>
    </row>
    <row r="857" spans="2:78">
      <c r="B857" s="7"/>
      <c r="O857" s="7"/>
      <c r="X857" s="7"/>
      <c r="AG857" s="7"/>
      <c r="AP857" s="7"/>
      <c r="AY857" s="7"/>
      <c r="BH857" s="7"/>
      <c r="BQ857" s="7"/>
      <c r="BZ857" s="7"/>
    </row>
    <row r="858" spans="2:78">
      <c r="B858" s="7"/>
      <c r="O858" s="7"/>
      <c r="X858" s="7"/>
      <c r="AG858" s="7"/>
      <c r="AP858" s="7"/>
      <c r="AY858" s="7"/>
      <c r="BH858" s="7"/>
      <c r="BQ858" s="7"/>
      <c r="BZ858" s="7"/>
    </row>
    <row r="859" spans="2:78">
      <c r="B859" s="7"/>
      <c r="O859" s="7"/>
      <c r="X859" s="7"/>
      <c r="AG859" s="7"/>
      <c r="AP859" s="7"/>
      <c r="AY859" s="7"/>
      <c r="BH859" s="7"/>
      <c r="BQ859" s="7"/>
      <c r="BZ859" s="7"/>
    </row>
    <row r="860" spans="2:78">
      <c r="B860" s="7"/>
      <c r="O860" s="7"/>
      <c r="X860" s="7"/>
      <c r="AG860" s="7"/>
      <c r="AP860" s="7"/>
      <c r="AY860" s="7"/>
      <c r="BH860" s="7"/>
      <c r="BQ860" s="7"/>
      <c r="BZ860" s="7"/>
    </row>
    <row r="861" spans="2:78">
      <c r="B861" s="7"/>
      <c r="O861" s="7"/>
      <c r="X861" s="7"/>
      <c r="AG861" s="7"/>
      <c r="AP861" s="7"/>
      <c r="AY861" s="7"/>
      <c r="BH861" s="7"/>
      <c r="BQ861" s="7"/>
      <c r="BZ861" s="7"/>
    </row>
    <row r="862" spans="2:78">
      <c r="B862" s="7"/>
      <c r="O862" s="7"/>
      <c r="X862" s="7"/>
      <c r="AG862" s="7"/>
      <c r="AP862" s="7"/>
      <c r="AY862" s="7"/>
      <c r="BH862" s="7"/>
      <c r="BQ862" s="7"/>
      <c r="BZ862" s="7"/>
    </row>
    <row r="863" spans="2:78">
      <c r="B863" s="7"/>
      <c r="O863" s="7"/>
      <c r="X863" s="7"/>
      <c r="AG863" s="7"/>
      <c r="AP863" s="7"/>
      <c r="AY863" s="7"/>
      <c r="BH863" s="7"/>
      <c r="BQ863" s="7"/>
      <c r="BZ863" s="7"/>
    </row>
    <row r="864" spans="2:78">
      <c r="B864" s="7"/>
      <c r="O864" s="7"/>
      <c r="X864" s="7"/>
      <c r="AG864" s="7"/>
      <c r="AP864" s="7"/>
      <c r="AY864" s="7"/>
      <c r="BH864" s="7"/>
      <c r="BQ864" s="7"/>
      <c r="BZ864" s="7"/>
    </row>
    <row r="865" spans="2:78">
      <c r="B865" s="7"/>
      <c r="O865" s="7"/>
      <c r="X865" s="7"/>
      <c r="AG865" s="7"/>
      <c r="AP865" s="7"/>
      <c r="AY865" s="7"/>
      <c r="BH865" s="7"/>
      <c r="BQ865" s="7"/>
      <c r="BZ865" s="7"/>
    </row>
    <row r="866" spans="2:78">
      <c r="B866" s="7"/>
      <c r="O866" s="7"/>
      <c r="X866" s="7"/>
      <c r="AG866" s="7"/>
      <c r="AP866" s="7"/>
      <c r="AY866" s="7"/>
      <c r="BH866" s="7"/>
      <c r="BQ866" s="7"/>
      <c r="BZ866" s="7"/>
    </row>
    <row r="867" spans="2:78">
      <c r="B867" s="7"/>
      <c r="O867" s="7"/>
      <c r="X867" s="7"/>
      <c r="AG867" s="7"/>
      <c r="AP867" s="7"/>
      <c r="AY867" s="7"/>
      <c r="BH867" s="7"/>
      <c r="BQ867" s="7"/>
      <c r="BZ867" s="7"/>
    </row>
    <row r="868" spans="2:78">
      <c r="B868" s="7"/>
      <c r="O868" s="7"/>
      <c r="X868" s="7"/>
      <c r="AG868" s="7"/>
      <c r="AP868" s="7"/>
      <c r="AY868" s="7"/>
      <c r="BH868" s="7"/>
      <c r="BQ868" s="7"/>
      <c r="BZ868" s="7"/>
    </row>
    <row r="869" spans="2:78">
      <c r="B869" s="7"/>
      <c r="O869" s="7"/>
      <c r="X869" s="7"/>
      <c r="AG869" s="7"/>
      <c r="AP869" s="7"/>
      <c r="AY869" s="7"/>
      <c r="BH869" s="7"/>
      <c r="BQ869" s="7"/>
      <c r="BZ869" s="7"/>
    </row>
    <row r="870" spans="2:78">
      <c r="B870" s="7"/>
      <c r="O870" s="7"/>
      <c r="X870" s="7"/>
      <c r="AG870" s="7"/>
      <c r="AP870" s="7"/>
      <c r="AY870" s="7"/>
      <c r="BH870" s="7"/>
      <c r="BQ870" s="7"/>
      <c r="BZ870" s="7"/>
    </row>
    <row r="871" spans="2:78">
      <c r="B871" s="7"/>
      <c r="O871" s="7"/>
      <c r="X871" s="7"/>
      <c r="AG871" s="7"/>
      <c r="AP871" s="7"/>
      <c r="AY871" s="7"/>
      <c r="BH871" s="7"/>
      <c r="BQ871" s="7"/>
      <c r="BZ871" s="7"/>
    </row>
    <row r="872" spans="2:78">
      <c r="B872" s="7"/>
      <c r="O872" s="7"/>
      <c r="X872" s="7"/>
      <c r="AG872" s="7"/>
      <c r="AP872" s="7"/>
      <c r="AY872" s="7"/>
      <c r="BH872" s="7"/>
      <c r="BQ872" s="7"/>
      <c r="BZ872" s="7"/>
    </row>
    <row r="873" spans="2:78">
      <c r="B873" s="7"/>
      <c r="O873" s="7"/>
      <c r="X873" s="7"/>
      <c r="AG873" s="7"/>
      <c r="AP873" s="7"/>
      <c r="AY873" s="7"/>
      <c r="BH873" s="7"/>
      <c r="BQ873" s="7"/>
      <c r="BZ873" s="7"/>
    </row>
    <row r="874" spans="2:78">
      <c r="B874" s="7"/>
      <c r="O874" s="7"/>
      <c r="X874" s="7"/>
      <c r="AG874" s="7"/>
      <c r="AP874" s="7"/>
      <c r="AY874" s="7"/>
      <c r="BH874" s="7"/>
      <c r="BQ874" s="7"/>
      <c r="BZ874" s="7"/>
    </row>
    <row r="875" spans="2:78">
      <c r="B875" s="7"/>
      <c r="O875" s="7"/>
      <c r="X875" s="7"/>
      <c r="AG875" s="7"/>
      <c r="AP875" s="7"/>
      <c r="AY875" s="7"/>
      <c r="BH875" s="7"/>
      <c r="BQ875" s="7"/>
      <c r="BZ875" s="7"/>
    </row>
    <row r="876" spans="2:78">
      <c r="B876" s="7"/>
      <c r="O876" s="7"/>
      <c r="X876" s="7"/>
      <c r="AG876" s="7"/>
      <c r="AP876" s="7"/>
      <c r="AY876" s="7"/>
      <c r="BH876" s="7"/>
      <c r="BQ876" s="7"/>
      <c r="BZ876" s="7"/>
    </row>
    <row r="877" spans="2:78">
      <c r="B877" s="7"/>
      <c r="O877" s="7"/>
      <c r="X877" s="7"/>
      <c r="AG877" s="7"/>
      <c r="AP877" s="7"/>
      <c r="AY877" s="7"/>
      <c r="BH877" s="7"/>
      <c r="BQ877" s="7"/>
      <c r="BZ877" s="7"/>
    </row>
    <row r="878" spans="2:78">
      <c r="B878" s="7"/>
      <c r="O878" s="7"/>
      <c r="X878" s="7"/>
      <c r="AG878" s="7"/>
      <c r="AP878" s="7"/>
      <c r="AY878" s="7"/>
      <c r="BH878" s="7"/>
      <c r="BQ878" s="7"/>
      <c r="BZ878" s="7"/>
    </row>
    <row r="879" spans="2:78">
      <c r="B879" s="7"/>
      <c r="O879" s="7"/>
      <c r="X879" s="7"/>
      <c r="AG879" s="7"/>
      <c r="AP879" s="7"/>
      <c r="AY879" s="7"/>
      <c r="BH879" s="7"/>
      <c r="BQ879" s="7"/>
      <c r="BZ879" s="7"/>
    </row>
    <row r="880" spans="2:78">
      <c r="B880" s="7"/>
      <c r="O880" s="7"/>
      <c r="X880" s="7"/>
      <c r="AG880" s="7"/>
      <c r="AP880" s="7"/>
      <c r="AY880" s="7"/>
      <c r="BH880" s="7"/>
      <c r="BQ880" s="7"/>
      <c r="BZ880" s="7"/>
    </row>
    <row r="881" spans="2:78">
      <c r="B881" s="7"/>
      <c r="O881" s="7"/>
      <c r="X881" s="7"/>
      <c r="AG881" s="7"/>
      <c r="AP881" s="7"/>
      <c r="AY881" s="7"/>
      <c r="BH881" s="7"/>
      <c r="BQ881" s="7"/>
      <c r="BZ881" s="7"/>
    </row>
    <row r="882" spans="2:78">
      <c r="B882" s="7"/>
      <c r="O882" s="7"/>
      <c r="X882" s="7"/>
      <c r="AG882" s="7"/>
      <c r="AP882" s="7"/>
      <c r="AY882" s="7"/>
      <c r="BH882" s="7"/>
      <c r="BQ882" s="7"/>
      <c r="BZ882" s="7"/>
    </row>
    <row r="883" spans="2:78">
      <c r="B883" s="7"/>
      <c r="O883" s="7"/>
      <c r="X883" s="7"/>
      <c r="AG883" s="7"/>
      <c r="AP883" s="7"/>
      <c r="AY883" s="7"/>
      <c r="BH883" s="7"/>
      <c r="BQ883" s="7"/>
      <c r="BZ883" s="7"/>
    </row>
    <row r="884" spans="2:78">
      <c r="B884" s="7"/>
      <c r="O884" s="7"/>
      <c r="X884" s="7"/>
      <c r="AG884" s="7"/>
      <c r="AP884" s="7"/>
      <c r="AY884" s="7"/>
      <c r="BH884" s="7"/>
      <c r="BQ884" s="7"/>
      <c r="BZ884" s="7"/>
    </row>
    <row r="885" spans="2:78">
      <c r="B885" s="7"/>
      <c r="O885" s="7"/>
      <c r="X885" s="7"/>
      <c r="AG885" s="7"/>
      <c r="AP885" s="7"/>
      <c r="AY885" s="7"/>
      <c r="BH885" s="7"/>
      <c r="BQ885" s="7"/>
      <c r="BZ885" s="7"/>
    </row>
    <row r="886" spans="2:78">
      <c r="B886" s="7"/>
      <c r="O886" s="7"/>
      <c r="X886" s="7"/>
      <c r="AG886" s="7"/>
      <c r="AP886" s="7"/>
      <c r="AY886" s="7"/>
      <c r="BH886" s="7"/>
      <c r="BQ886" s="7"/>
      <c r="BZ886" s="7"/>
    </row>
    <row r="887" spans="2:78">
      <c r="B887" s="7"/>
      <c r="O887" s="7"/>
      <c r="X887" s="7"/>
      <c r="AG887" s="7"/>
      <c r="AP887" s="7"/>
      <c r="AY887" s="7"/>
      <c r="BH887" s="7"/>
      <c r="BQ887" s="7"/>
      <c r="BZ887" s="7"/>
    </row>
    <row r="888" spans="2:78">
      <c r="B888" s="7"/>
      <c r="O888" s="7"/>
      <c r="X888" s="7"/>
      <c r="AG888" s="7"/>
      <c r="AP888" s="7"/>
      <c r="AY888" s="7"/>
      <c r="BH888" s="7"/>
      <c r="BQ888" s="7"/>
      <c r="BZ888" s="7"/>
    </row>
    <row r="889" spans="2:78">
      <c r="B889" s="7"/>
      <c r="O889" s="7"/>
      <c r="X889" s="7"/>
      <c r="AG889" s="7"/>
      <c r="AP889" s="7"/>
      <c r="AY889" s="7"/>
      <c r="BH889" s="7"/>
      <c r="BQ889" s="7"/>
      <c r="BZ889" s="7"/>
    </row>
    <row r="890" spans="2:78">
      <c r="B890" s="7"/>
      <c r="O890" s="7"/>
      <c r="X890" s="7"/>
      <c r="AG890" s="7"/>
      <c r="AP890" s="7"/>
      <c r="AY890" s="7"/>
      <c r="BH890" s="7"/>
      <c r="BQ890" s="7"/>
      <c r="BZ890" s="7"/>
    </row>
    <row r="891" spans="2:78">
      <c r="B891" s="7"/>
      <c r="O891" s="7"/>
      <c r="X891" s="7"/>
      <c r="AG891" s="7"/>
      <c r="AP891" s="7"/>
      <c r="AY891" s="7"/>
      <c r="BH891" s="7"/>
      <c r="BQ891" s="7"/>
      <c r="BZ891" s="7"/>
    </row>
    <row r="892" spans="2:78">
      <c r="B892" s="7"/>
      <c r="O892" s="7"/>
      <c r="X892" s="7"/>
      <c r="AG892" s="7"/>
      <c r="AP892" s="7"/>
      <c r="AY892" s="7"/>
      <c r="BH892" s="7"/>
      <c r="BQ892" s="7"/>
      <c r="BZ892" s="7"/>
    </row>
    <row r="893" spans="2:78">
      <c r="B893" s="7"/>
      <c r="O893" s="7"/>
      <c r="X893" s="7"/>
      <c r="AG893" s="7"/>
      <c r="AP893" s="7"/>
      <c r="AY893" s="7"/>
      <c r="BH893" s="7"/>
      <c r="BQ893" s="7"/>
      <c r="BZ893" s="7"/>
    </row>
    <row r="894" spans="2:78">
      <c r="B894" s="7"/>
      <c r="O894" s="7"/>
      <c r="X894" s="7"/>
      <c r="AG894" s="7"/>
      <c r="AP894" s="7"/>
      <c r="AY894" s="7"/>
      <c r="BH894" s="7"/>
      <c r="BQ894" s="7"/>
      <c r="BZ894" s="7"/>
    </row>
    <row r="895" spans="2:78">
      <c r="B895" s="7"/>
      <c r="O895" s="7"/>
      <c r="X895" s="7"/>
      <c r="AG895" s="7"/>
      <c r="AP895" s="7"/>
      <c r="AY895" s="7"/>
      <c r="BH895" s="7"/>
      <c r="BQ895" s="7"/>
      <c r="BZ895" s="7"/>
    </row>
    <row r="896" spans="2:78">
      <c r="B896" s="7"/>
      <c r="O896" s="7"/>
      <c r="X896" s="7"/>
      <c r="AG896" s="7"/>
      <c r="AP896" s="7"/>
      <c r="AY896" s="7"/>
      <c r="BH896" s="7"/>
      <c r="BQ896" s="7"/>
      <c r="BZ896" s="7"/>
    </row>
    <row r="897" spans="2:78">
      <c r="B897" s="7"/>
      <c r="O897" s="7"/>
      <c r="X897" s="7"/>
      <c r="AG897" s="7"/>
      <c r="AP897" s="7"/>
      <c r="AY897" s="7"/>
      <c r="BH897" s="7"/>
      <c r="BQ897" s="7"/>
      <c r="BZ897" s="7"/>
    </row>
    <row r="898" spans="2:78">
      <c r="B898" s="7"/>
      <c r="O898" s="7"/>
      <c r="X898" s="7"/>
      <c r="AG898" s="7"/>
      <c r="AP898" s="7"/>
      <c r="AY898" s="7"/>
      <c r="BH898" s="7"/>
      <c r="BQ898" s="7"/>
      <c r="BZ898" s="7"/>
    </row>
    <row r="899" spans="2:78">
      <c r="B899" s="7"/>
      <c r="O899" s="7"/>
      <c r="X899" s="7"/>
      <c r="AG899" s="7"/>
      <c r="AP899" s="7"/>
      <c r="AY899" s="7"/>
      <c r="BH899" s="7"/>
      <c r="BQ899" s="7"/>
      <c r="BZ899" s="7"/>
    </row>
    <row r="900" spans="2:78">
      <c r="B900" s="7"/>
      <c r="O900" s="7"/>
      <c r="X900" s="7"/>
      <c r="AG900" s="7"/>
      <c r="AP900" s="7"/>
      <c r="AY900" s="7"/>
      <c r="BH900" s="7"/>
      <c r="BQ900" s="7"/>
      <c r="BZ900" s="7"/>
    </row>
    <row r="901" spans="2:78">
      <c r="B901" s="7"/>
      <c r="O901" s="7"/>
      <c r="X901" s="7"/>
      <c r="AG901" s="7"/>
      <c r="AP901" s="7"/>
      <c r="AY901" s="7"/>
      <c r="BH901" s="7"/>
      <c r="BQ901" s="7"/>
      <c r="BZ901" s="7"/>
    </row>
    <row r="902" spans="2:78">
      <c r="B902" s="7"/>
      <c r="O902" s="7"/>
      <c r="X902" s="7"/>
      <c r="AG902" s="7"/>
      <c r="AP902" s="7"/>
      <c r="AY902" s="7"/>
      <c r="BH902" s="7"/>
      <c r="BQ902" s="7"/>
      <c r="BZ902" s="7"/>
    </row>
    <row r="903" spans="2:78">
      <c r="B903" s="7"/>
      <c r="O903" s="7"/>
      <c r="X903" s="7"/>
      <c r="AG903" s="7"/>
      <c r="AP903" s="7"/>
      <c r="AY903" s="7"/>
      <c r="BH903" s="7"/>
      <c r="BQ903" s="7"/>
      <c r="BZ903" s="7"/>
    </row>
    <row r="904" spans="2:78">
      <c r="B904" s="7"/>
      <c r="O904" s="7"/>
      <c r="X904" s="7"/>
      <c r="AG904" s="7"/>
      <c r="AP904" s="7"/>
      <c r="AY904" s="7"/>
      <c r="BH904" s="7"/>
      <c r="BQ904" s="7"/>
      <c r="BZ904" s="7"/>
    </row>
    <row r="905" spans="2:78">
      <c r="B905" s="7"/>
      <c r="O905" s="7"/>
      <c r="X905" s="7"/>
      <c r="AG905" s="7"/>
      <c r="AP905" s="7"/>
      <c r="AY905" s="7"/>
      <c r="BH905" s="7"/>
      <c r="BQ905" s="7"/>
      <c r="BZ905" s="7"/>
    </row>
    <row r="906" spans="2:78">
      <c r="B906" s="7"/>
      <c r="O906" s="7"/>
      <c r="X906" s="7"/>
      <c r="AG906" s="7"/>
      <c r="AP906" s="7"/>
      <c r="AY906" s="7"/>
      <c r="BH906" s="7"/>
      <c r="BQ906" s="7"/>
      <c r="BZ906" s="7"/>
    </row>
    <row r="907" spans="2:78">
      <c r="B907" s="7"/>
      <c r="O907" s="7"/>
      <c r="X907" s="7"/>
      <c r="AG907" s="7"/>
      <c r="AP907" s="7"/>
      <c r="AY907" s="7"/>
      <c r="BH907" s="7"/>
      <c r="BQ907" s="7"/>
      <c r="BZ907" s="7"/>
    </row>
    <row r="908" spans="2:78">
      <c r="B908" s="7"/>
      <c r="O908" s="7"/>
      <c r="X908" s="7"/>
      <c r="AG908" s="7"/>
      <c r="AP908" s="7"/>
      <c r="AY908" s="7"/>
      <c r="BH908" s="7"/>
      <c r="BQ908" s="7"/>
      <c r="BZ908" s="7"/>
    </row>
    <row r="909" spans="2:78">
      <c r="B909" s="7"/>
      <c r="O909" s="7"/>
      <c r="X909" s="7"/>
      <c r="AG909" s="7"/>
      <c r="AP909" s="7"/>
      <c r="AY909" s="7"/>
      <c r="BH909" s="7"/>
      <c r="BQ909" s="7"/>
      <c r="BZ909" s="7"/>
    </row>
    <row r="910" spans="2:78">
      <c r="B910" s="7"/>
      <c r="O910" s="7"/>
      <c r="X910" s="7"/>
      <c r="AG910" s="7"/>
      <c r="AP910" s="7"/>
      <c r="AY910" s="7"/>
      <c r="BH910" s="7"/>
      <c r="BQ910" s="7"/>
      <c r="BZ910" s="7"/>
    </row>
    <row r="911" spans="2:78">
      <c r="B911" s="7"/>
      <c r="O911" s="7"/>
      <c r="X911" s="7"/>
      <c r="AG911" s="7"/>
      <c r="AP911" s="7"/>
      <c r="AY911" s="7"/>
      <c r="BH911" s="7"/>
      <c r="BQ911" s="7"/>
      <c r="BZ911" s="7"/>
    </row>
    <row r="912" spans="2:78">
      <c r="B912" s="7"/>
      <c r="O912" s="7"/>
      <c r="X912" s="7"/>
      <c r="AG912" s="7"/>
      <c r="AP912" s="7"/>
      <c r="AY912" s="7"/>
      <c r="BH912" s="7"/>
      <c r="BQ912" s="7"/>
      <c r="BZ912" s="7"/>
    </row>
    <row r="913" spans="2:78">
      <c r="B913" s="7"/>
      <c r="O913" s="7"/>
      <c r="X913" s="7"/>
      <c r="AG913" s="7"/>
      <c r="AP913" s="7"/>
      <c r="AY913" s="7"/>
      <c r="BH913" s="7"/>
      <c r="BQ913" s="7"/>
      <c r="BZ913" s="7"/>
    </row>
    <row r="914" spans="2:78">
      <c r="B914" s="7"/>
      <c r="O914" s="7"/>
      <c r="X914" s="7"/>
      <c r="AG914" s="7"/>
      <c r="AP914" s="7"/>
      <c r="AY914" s="7"/>
      <c r="BH914" s="7"/>
      <c r="BQ914" s="7"/>
      <c r="BZ914" s="7"/>
    </row>
    <row r="915" spans="2:78">
      <c r="B915" s="7"/>
      <c r="O915" s="7"/>
      <c r="X915" s="7"/>
      <c r="AG915" s="7"/>
      <c r="AP915" s="7"/>
      <c r="AY915" s="7"/>
      <c r="BH915" s="7"/>
      <c r="BQ915" s="7"/>
      <c r="BZ915" s="7"/>
    </row>
    <row r="916" spans="2:78">
      <c r="B916" s="7"/>
      <c r="O916" s="7"/>
      <c r="X916" s="7"/>
      <c r="AG916" s="7"/>
      <c r="AP916" s="7"/>
      <c r="AY916" s="7"/>
      <c r="BH916" s="7"/>
      <c r="BQ916" s="7"/>
      <c r="BZ916" s="7"/>
    </row>
    <row r="917" spans="2:78">
      <c r="B917" s="7"/>
      <c r="O917" s="7"/>
      <c r="X917" s="7"/>
      <c r="AG917" s="7"/>
      <c r="AP917" s="7"/>
      <c r="AY917" s="7"/>
      <c r="BH917" s="7"/>
      <c r="BQ917" s="7"/>
      <c r="BZ917" s="7"/>
    </row>
    <row r="918" spans="2:78">
      <c r="B918" s="7"/>
      <c r="O918" s="7"/>
      <c r="X918" s="7"/>
      <c r="AG918" s="7"/>
      <c r="AP918" s="7"/>
      <c r="AY918" s="7"/>
      <c r="BH918" s="7"/>
      <c r="BQ918" s="7"/>
      <c r="BZ918" s="7"/>
    </row>
    <row r="919" spans="2:78">
      <c r="B919" s="7"/>
      <c r="O919" s="7"/>
      <c r="X919" s="7"/>
      <c r="AG919" s="7"/>
      <c r="AP919" s="7"/>
      <c r="AY919" s="7"/>
      <c r="BH919" s="7"/>
      <c r="BQ919" s="7"/>
      <c r="BZ919" s="7"/>
    </row>
    <row r="920" spans="2:78">
      <c r="B920" s="7"/>
      <c r="O920" s="7"/>
      <c r="X920" s="7"/>
      <c r="AG920" s="7"/>
      <c r="AP920" s="7"/>
      <c r="AY920" s="7"/>
      <c r="BH920" s="7"/>
      <c r="BQ920" s="7"/>
      <c r="BZ920" s="7"/>
    </row>
    <row r="921" spans="2:78">
      <c r="B921" s="7"/>
      <c r="O921" s="7"/>
      <c r="X921" s="7"/>
      <c r="AG921" s="7"/>
      <c r="AP921" s="7"/>
      <c r="AY921" s="7"/>
      <c r="BH921" s="7"/>
      <c r="BQ921" s="7"/>
      <c r="BZ921" s="7"/>
    </row>
    <row r="922" spans="2:78">
      <c r="B922" s="7"/>
      <c r="O922" s="7"/>
      <c r="X922" s="7"/>
      <c r="AG922" s="7"/>
      <c r="AP922" s="7"/>
      <c r="AY922" s="7"/>
      <c r="BH922" s="7"/>
      <c r="BQ922" s="7"/>
      <c r="BZ922" s="7"/>
    </row>
    <row r="923" spans="2:78">
      <c r="B923" s="7"/>
      <c r="O923" s="7"/>
      <c r="X923" s="7"/>
      <c r="AG923" s="7"/>
      <c r="AP923" s="7"/>
      <c r="AY923" s="7"/>
      <c r="BH923" s="7"/>
      <c r="BQ923" s="7"/>
      <c r="BZ923" s="7"/>
    </row>
    <row r="924" spans="2:78">
      <c r="B924" s="7"/>
      <c r="O924" s="7"/>
      <c r="X924" s="7"/>
      <c r="AG924" s="7"/>
      <c r="AP924" s="7"/>
      <c r="AY924" s="7"/>
      <c r="BH924" s="7"/>
      <c r="BQ924" s="7"/>
      <c r="BZ924" s="7"/>
    </row>
    <row r="925" spans="2:78">
      <c r="B925" s="7"/>
      <c r="O925" s="7"/>
      <c r="X925" s="7"/>
      <c r="AG925" s="7"/>
      <c r="AP925" s="7"/>
      <c r="AY925" s="7"/>
      <c r="BH925" s="7"/>
      <c r="BQ925" s="7"/>
      <c r="BZ925" s="7"/>
    </row>
    <row r="926" spans="2:78">
      <c r="B926" s="7"/>
      <c r="O926" s="7"/>
      <c r="X926" s="7"/>
      <c r="AG926" s="7"/>
      <c r="AP926" s="7"/>
      <c r="AY926" s="7"/>
      <c r="BH926" s="7"/>
      <c r="BQ926" s="7"/>
      <c r="BZ926" s="7"/>
    </row>
    <row r="927" spans="2:78">
      <c r="B927" s="7"/>
      <c r="O927" s="7"/>
      <c r="X927" s="7"/>
      <c r="AG927" s="7"/>
      <c r="AP927" s="7"/>
      <c r="AY927" s="7"/>
      <c r="BH927" s="7"/>
      <c r="BQ927" s="7"/>
      <c r="BZ927" s="7"/>
    </row>
    <row r="928" spans="2:78">
      <c r="B928" s="7"/>
      <c r="O928" s="7"/>
      <c r="X928" s="7"/>
      <c r="AG928" s="7"/>
      <c r="AP928" s="7"/>
      <c r="AY928" s="7"/>
      <c r="BH928" s="7"/>
      <c r="BQ928" s="7"/>
      <c r="BZ928" s="7"/>
    </row>
    <row r="929" spans="2:78">
      <c r="B929" s="7"/>
      <c r="O929" s="7"/>
      <c r="X929" s="7"/>
      <c r="AG929" s="7"/>
      <c r="AP929" s="7"/>
      <c r="AY929" s="7"/>
      <c r="BH929" s="7"/>
      <c r="BQ929" s="7"/>
      <c r="BZ929" s="7"/>
    </row>
    <row r="930" spans="2:78">
      <c r="B930" s="7"/>
      <c r="O930" s="7"/>
      <c r="X930" s="7"/>
      <c r="AG930" s="7"/>
      <c r="AP930" s="7"/>
      <c r="AY930" s="7"/>
      <c r="BH930" s="7"/>
      <c r="BQ930" s="7"/>
      <c r="BZ930" s="7"/>
    </row>
    <row r="931" spans="2:78">
      <c r="B931" s="7"/>
      <c r="O931" s="7"/>
      <c r="X931" s="7"/>
      <c r="AG931" s="7"/>
      <c r="AP931" s="7"/>
      <c r="AY931" s="7"/>
      <c r="BH931" s="7"/>
      <c r="BQ931" s="7"/>
      <c r="BZ931" s="7"/>
    </row>
    <row r="932" spans="2:78">
      <c r="B932" s="7"/>
      <c r="O932" s="7"/>
      <c r="X932" s="7"/>
      <c r="AG932" s="7"/>
      <c r="AP932" s="7"/>
      <c r="AY932" s="7"/>
      <c r="BH932" s="7"/>
      <c r="BQ932" s="7"/>
      <c r="BZ932" s="7"/>
    </row>
    <row r="933" spans="2:78">
      <c r="B933" s="7"/>
      <c r="O933" s="7"/>
      <c r="X933" s="7"/>
      <c r="AG933" s="7"/>
      <c r="AP933" s="7"/>
      <c r="AY933" s="7"/>
      <c r="BH933" s="7"/>
      <c r="BQ933" s="7"/>
      <c r="BZ933" s="7"/>
    </row>
    <row r="934" spans="2:78">
      <c r="B934" s="7"/>
      <c r="O934" s="7"/>
      <c r="X934" s="7"/>
      <c r="AG934" s="7"/>
      <c r="AP934" s="7"/>
      <c r="AY934" s="7"/>
      <c r="BH934" s="7"/>
      <c r="BQ934" s="7"/>
      <c r="BZ934" s="7"/>
    </row>
    <row r="935" spans="2:78">
      <c r="B935" s="7"/>
      <c r="O935" s="7"/>
      <c r="X935" s="7"/>
      <c r="AG935" s="7"/>
      <c r="AP935" s="7"/>
      <c r="AY935" s="7"/>
      <c r="BH935" s="7"/>
      <c r="BQ935" s="7"/>
      <c r="BZ935" s="7"/>
    </row>
    <row r="936" spans="2:78">
      <c r="B936" s="7"/>
      <c r="O936" s="7"/>
      <c r="X936" s="7"/>
      <c r="AG936" s="7"/>
      <c r="AP936" s="7"/>
      <c r="AY936" s="7"/>
      <c r="BH936" s="7"/>
      <c r="BQ936" s="7"/>
      <c r="BZ936" s="7"/>
    </row>
    <row r="937" spans="2:78">
      <c r="B937" s="7"/>
      <c r="O937" s="7"/>
      <c r="X937" s="7"/>
      <c r="AG937" s="7"/>
      <c r="AP937" s="7"/>
      <c r="AY937" s="7"/>
      <c r="BH937" s="7"/>
      <c r="BQ937" s="7"/>
      <c r="BZ937" s="7"/>
    </row>
    <row r="938" spans="2:78">
      <c r="B938" s="7"/>
      <c r="O938" s="7"/>
      <c r="X938" s="7"/>
      <c r="AG938" s="7"/>
      <c r="AP938" s="7"/>
      <c r="AY938" s="7"/>
      <c r="BH938" s="7"/>
      <c r="BQ938" s="7"/>
      <c r="BZ938" s="7"/>
    </row>
    <row r="939" spans="2:78">
      <c r="B939" s="7"/>
      <c r="O939" s="7"/>
      <c r="X939" s="7"/>
      <c r="AG939" s="7"/>
      <c r="AP939" s="7"/>
      <c r="AY939" s="7"/>
      <c r="BH939" s="7"/>
      <c r="BQ939" s="7"/>
      <c r="BZ939" s="7"/>
    </row>
    <row r="940" spans="2:78">
      <c r="B940" s="7"/>
      <c r="O940" s="7"/>
      <c r="X940" s="7"/>
      <c r="AG940" s="7"/>
      <c r="AP940" s="7"/>
      <c r="AY940" s="7"/>
      <c r="BH940" s="7"/>
      <c r="BQ940" s="7"/>
      <c r="BZ940" s="7"/>
    </row>
    <row r="941" spans="2:78">
      <c r="B941" s="7"/>
      <c r="O941" s="7"/>
      <c r="X941" s="7"/>
      <c r="AG941" s="7"/>
      <c r="AP941" s="7"/>
      <c r="AY941" s="7"/>
      <c r="BH941" s="7"/>
      <c r="BQ941" s="7"/>
      <c r="BZ941" s="7"/>
    </row>
    <row r="942" spans="2:78">
      <c r="B942" s="7"/>
      <c r="O942" s="7"/>
      <c r="X942" s="7"/>
      <c r="AG942" s="7"/>
      <c r="AP942" s="7"/>
      <c r="AY942" s="7"/>
      <c r="BH942" s="7"/>
      <c r="BQ942" s="7"/>
      <c r="BZ942" s="7"/>
    </row>
    <row r="943" spans="2:78">
      <c r="B943" s="7"/>
      <c r="O943" s="7"/>
      <c r="X943" s="7"/>
      <c r="AG943" s="7"/>
      <c r="AP943" s="7"/>
      <c r="AY943" s="7"/>
      <c r="BH943" s="7"/>
      <c r="BQ943" s="7"/>
      <c r="BZ943" s="7"/>
    </row>
    <row r="944" spans="2:78">
      <c r="B944" s="7"/>
      <c r="O944" s="7"/>
      <c r="X944" s="7"/>
      <c r="AG944" s="7"/>
      <c r="AP944" s="7"/>
      <c r="AY944" s="7"/>
      <c r="BH944" s="7"/>
      <c r="BQ944" s="7"/>
      <c r="BZ944" s="7"/>
    </row>
    <row r="945" spans="2:78">
      <c r="B945" s="7"/>
      <c r="O945" s="7"/>
      <c r="X945" s="7"/>
      <c r="AG945" s="7"/>
      <c r="AP945" s="7"/>
      <c r="AY945" s="7"/>
      <c r="BH945" s="7"/>
      <c r="BQ945" s="7"/>
      <c r="BZ945" s="7"/>
    </row>
    <row r="946" spans="2:78">
      <c r="B946" s="7"/>
      <c r="O946" s="7"/>
      <c r="X946" s="7"/>
      <c r="AG946" s="7"/>
      <c r="AP946" s="7"/>
      <c r="AY946" s="7"/>
      <c r="BH946" s="7"/>
      <c r="BQ946" s="7"/>
      <c r="BZ946" s="7"/>
    </row>
    <row r="947" spans="2:78">
      <c r="B947" s="7"/>
      <c r="O947" s="7"/>
      <c r="X947" s="7"/>
      <c r="AG947" s="7"/>
      <c r="AP947" s="7"/>
      <c r="AY947" s="7"/>
      <c r="BH947" s="7"/>
      <c r="BQ947" s="7"/>
      <c r="BZ947" s="7"/>
    </row>
    <row r="948" spans="2:78">
      <c r="B948" s="7"/>
      <c r="O948" s="7"/>
      <c r="X948" s="7"/>
      <c r="AG948" s="7"/>
      <c r="AP948" s="7"/>
      <c r="AY948" s="7"/>
      <c r="BH948" s="7"/>
      <c r="BQ948" s="7"/>
      <c r="BZ948" s="7"/>
    </row>
    <row r="949" spans="2:78">
      <c r="B949" s="7"/>
      <c r="O949" s="7"/>
      <c r="X949" s="7"/>
      <c r="AG949" s="7"/>
      <c r="AP949" s="7"/>
      <c r="AY949" s="7"/>
      <c r="BH949" s="7"/>
      <c r="BQ949" s="7"/>
      <c r="BZ949" s="7"/>
    </row>
    <row r="950" spans="2:78">
      <c r="B950" s="7"/>
      <c r="O950" s="7"/>
      <c r="X950" s="7"/>
      <c r="AG950" s="7"/>
      <c r="AP950" s="7"/>
      <c r="AY950" s="7"/>
      <c r="BH950" s="7"/>
      <c r="BQ950" s="7"/>
      <c r="BZ950" s="7"/>
    </row>
    <row r="951" spans="2:78">
      <c r="B951" s="7"/>
      <c r="O951" s="7"/>
      <c r="X951" s="7"/>
      <c r="AG951" s="7"/>
      <c r="AP951" s="7"/>
      <c r="AY951" s="7"/>
      <c r="BH951" s="7"/>
      <c r="BQ951" s="7"/>
      <c r="BZ951" s="7"/>
    </row>
    <row r="952" spans="2:78">
      <c r="B952" s="7"/>
      <c r="O952" s="7"/>
      <c r="X952" s="7"/>
      <c r="AG952" s="7"/>
      <c r="AP952" s="7"/>
      <c r="AY952" s="7"/>
      <c r="BH952" s="7"/>
      <c r="BQ952" s="7"/>
      <c r="BZ952" s="7"/>
    </row>
    <row r="953" spans="2:78">
      <c r="B953" s="7"/>
      <c r="O953" s="7"/>
      <c r="X953" s="7"/>
      <c r="AG953" s="7"/>
      <c r="AP953" s="7"/>
      <c r="AY953" s="7"/>
      <c r="BH953" s="7"/>
      <c r="BQ953" s="7"/>
      <c r="BZ953" s="7"/>
    </row>
    <row r="954" spans="2:78">
      <c r="B954" s="7"/>
      <c r="O954" s="7"/>
      <c r="X954" s="7"/>
      <c r="AG954" s="7"/>
      <c r="AP954" s="7"/>
      <c r="AY954" s="7"/>
      <c r="BH954" s="7"/>
      <c r="BQ954" s="7"/>
      <c r="BZ954" s="7"/>
    </row>
    <row r="955" spans="2:78">
      <c r="B955" s="7"/>
      <c r="O955" s="7"/>
      <c r="X955" s="7"/>
      <c r="AG955" s="7"/>
      <c r="AP955" s="7"/>
      <c r="AY955" s="7"/>
      <c r="BH955" s="7"/>
      <c r="BQ955" s="7"/>
      <c r="BZ955" s="7"/>
    </row>
    <row r="956" spans="2:78">
      <c r="B956" s="7"/>
      <c r="O956" s="7"/>
      <c r="X956" s="7"/>
      <c r="AG956" s="7"/>
      <c r="AP956" s="7"/>
      <c r="AY956" s="7"/>
      <c r="BH956" s="7"/>
      <c r="BQ956" s="7"/>
      <c r="BZ956" s="7"/>
    </row>
    <row r="957" spans="2:78">
      <c r="B957" s="7"/>
      <c r="O957" s="7"/>
      <c r="X957" s="7"/>
      <c r="AG957" s="7"/>
      <c r="AP957" s="7"/>
      <c r="AY957" s="7"/>
      <c r="BH957" s="7"/>
      <c r="BQ957" s="7"/>
      <c r="BZ957" s="7"/>
    </row>
    <row r="958" spans="2:78">
      <c r="B958" s="7"/>
      <c r="O958" s="7"/>
      <c r="X958" s="7"/>
      <c r="AG958" s="7"/>
      <c r="AP958" s="7"/>
      <c r="AY958" s="7"/>
      <c r="BH958" s="7"/>
      <c r="BQ958" s="7"/>
      <c r="BZ958" s="7"/>
    </row>
    <row r="959" spans="2:78">
      <c r="B959" s="7"/>
      <c r="O959" s="7"/>
      <c r="X959" s="7"/>
      <c r="AG959" s="7"/>
      <c r="AP959" s="7"/>
      <c r="AY959" s="7"/>
      <c r="BH959" s="7"/>
      <c r="BQ959" s="7"/>
      <c r="BZ959" s="7"/>
    </row>
    <row r="960" spans="2:78">
      <c r="B960" s="7"/>
      <c r="O960" s="7"/>
      <c r="X960" s="7"/>
      <c r="AG960" s="7"/>
      <c r="AP960" s="7"/>
      <c r="AY960" s="7"/>
      <c r="BH960" s="7"/>
      <c r="BQ960" s="7"/>
      <c r="BZ960" s="7"/>
    </row>
    <row r="961" spans="2:78">
      <c r="B961" s="7"/>
      <c r="O961" s="7"/>
      <c r="X961" s="7"/>
      <c r="AG961" s="7"/>
      <c r="AP961" s="7"/>
      <c r="AY961" s="7"/>
      <c r="BH961" s="7"/>
      <c r="BQ961" s="7"/>
      <c r="BZ961" s="7"/>
    </row>
    <row r="962" spans="2:78">
      <c r="B962" s="7"/>
      <c r="O962" s="7"/>
      <c r="X962" s="7"/>
      <c r="AG962" s="7"/>
      <c r="AP962" s="7"/>
      <c r="AY962" s="7"/>
      <c r="BH962" s="7"/>
      <c r="BQ962" s="7"/>
      <c r="BZ962" s="7"/>
    </row>
    <row r="963" spans="2:78">
      <c r="B963" s="7"/>
      <c r="O963" s="7"/>
      <c r="X963" s="7"/>
      <c r="AG963" s="7"/>
      <c r="AP963" s="7"/>
      <c r="AY963" s="7"/>
      <c r="BH963" s="7"/>
      <c r="BQ963" s="7"/>
      <c r="BZ963" s="7"/>
    </row>
    <row r="964" spans="2:78">
      <c r="B964" s="7"/>
      <c r="O964" s="7"/>
      <c r="X964" s="7"/>
      <c r="AG964" s="7"/>
      <c r="AP964" s="7"/>
      <c r="AY964" s="7"/>
      <c r="BH964" s="7"/>
      <c r="BQ964" s="7"/>
      <c r="BZ964" s="7"/>
    </row>
    <row r="965" spans="2:78">
      <c r="B965" s="7"/>
      <c r="O965" s="7"/>
      <c r="X965" s="7"/>
      <c r="AG965" s="7"/>
      <c r="AP965" s="7"/>
      <c r="AY965" s="7"/>
      <c r="BH965" s="7"/>
      <c r="BQ965" s="7"/>
      <c r="BZ965" s="7"/>
    </row>
    <row r="966" spans="2:78">
      <c r="B966" s="7"/>
      <c r="O966" s="7"/>
      <c r="X966" s="7"/>
      <c r="AG966" s="7"/>
      <c r="AP966" s="7"/>
      <c r="AY966" s="7"/>
      <c r="BH966" s="7"/>
      <c r="BQ966" s="7"/>
      <c r="BZ966" s="7"/>
    </row>
    <row r="967" spans="2:78">
      <c r="B967" s="7"/>
      <c r="O967" s="7"/>
      <c r="X967" s="7"/>
      <c r="AG967" s="7"/>
      <c r="AP967" s="7"/>
      <c r="AY967" s="7"/>
      <c r="BH967" s="7"/>
      <c r="BQ967" s="7"/>
      <c r="BZ967" s="7"/>
    </row>
    <row r="968" spans="2:78">
      <c r="B968" s="7"/>
      <c r="O968" s="7"/>
      <c r="X968" s="7"/>
      <c r="AG968" s="7"/>
      <c r="AP968" s="7"/>
      <c r="AY968" s="7"/>
      <c r="BH968" s="7"/>
      <c r="BQ968" s="7"/>
      <c r="BZ968" s="7"/>
    </row>
    <row r="969" spans="2:78">
      <c r="B969" s="7"/>
      <c r="O969" s="7"/>
      <c r="X969" s="7"/>
      <c r="AG969" s="7"/>
      <c r="AP969" s="7"/>
      <c r="AY969" s="7"/>
      <c r="BH969" s="7"/>
      <c r="BQ969" s="7"/>
      <c r="BZ969" s="7"/>
    </row>
    <row r="970" spans="2:78">
      <c r="B970" s="7"/>
      <c r="O970" s="7"/>
      <c r="X970" s="7"/>
      <c r="AG970" s="7"/>
      <c r="AP970" s="7"/>
      <c r="AY970" s="7"/>
      <c r="BH970" s="7"/>
      <c r="BQ970" s="7"/>
      <c r="BZ970" s="7"/>
    </row>
    <row r="971" spans="2:78">
      <c r="B971" s="7"/>
      <c r="O971" s="7"/>
      <c r="X971" s="7"/>
      <c r="AG971" s="7"/>
      <c r="AP971" s="7"/>
      <c r="AY971" s="7"/>
      <c r="BH971" s="7"/>
      <c r="BQ971" s="7"/>
      <c r="BZ971" s="7"/>
    </row>
    <row r="972" spans="2:78">
      <c r="B972" s="7"/>
      <c r="O972" s="7"/>
      <c r="X972" s="7"/>
      <c r="AG972" s="7"/>
      <c r="AP972" s="7"/>
      <c r="AY972" s="7"/>
      <c r="BH972" s="7"/>
      <c r="BQ972" s="7"/>
      <c r="BZ972" s="7"/>
    </row>
    <row r="973" spans="2:78">
      <c r="B973" s="7"/>
      <c r="O973" s="7"/>
      <c r="X973" s="7"/>
      <c r="AG973" s="7"/>
      <c r="AP973" s="7"/>
      <c r="AY973" s="7"/>
      <c r="BH973" s="7"/>
      <c r="BQ973" s="7"/>
      <c r="BZ973" s="7"/>
    </row>
    <row r="974" spans="2:78">
      <c r="B974" s="7"/>
      <c r="O974" s="7"/>
      <c r="X974" s="7"/>
      <c r="AG974" s="7"/>
      <c r="AP974" s="7"/>
      <c r="AY974" s="7"/>
      <c r="BH974" s="7"/>
      <c r="BQ974" s="7"/>
      <c r="BZ974" s="7"/>
    </row>
    <row r="975" spans="2:78">
      <c r="B975" s="7"/>
      <c r="O975" s="7"/>
      <c r="X975" s="7"/>
      <c r="AG975" s="7"/>
      <c r="AP975" s="7"/>
      <c r="AY975" s="7"/>
      <c r="BH975" s="7"/>
      <c r="BQ975" s="7"/>
      <c r="BZ975" s="7"/>
    </row>
    <row r="976" spans="2:78">
      <c r="B976" s="7"/>
      <c r="O976" s="7"/>
      <c r="X976" s="7"/>
      <c r="AG976" s="7"/>
      <c r="AP976" s="7"/>
      <c r="AY976" s="7"/>
      <c r="BH976" s="7"/>
      <c r="BQ976" s="7"/>
      <c r="BZ976" s="7"/>
    </row>
    <row r="977" spans="2:78">
      <c r="B977" s="7"/>
      <c r="O977" s="7"/>
      <c r="X977" s="7"/>
      <c r="AG977" s="7"/>
      <c r="AP977" s="7"/>
      <c r="AY977" s="7"/>
      <c r="BH977" s="7"/>
      <c r="BQ977" s="7"/>
      <c r="BZ977" s="7"/>
    </row>
    <row r="978" spans="2:78">
      <c r="B978" s="7"/>
      <c r="O978" s="7"/>
      <c r="X978" s="7"/>
      <c r="AG978" s="7"/>
      <c r="AP978" s="7"/>
      <c r="AY978" s="7"/>
      <c r="BH978" s="7"/>
      <c r="BQ978" s="7"/>
      <c r="BZ978" s="7"/>
    </row>
    <row r="979" spans="2:78">
      <c r="B979" s="7"/>
      <c r="O979" s="7"/>
      <c r="X979" s="7"/>
      <c r="AG979" s="7"/>
      <c r="AP979" s="7"/>
      <c r="AY979" s="7"/>
      <c r="BH979" s="7"/>
      <c r="BQ979" s="7"/>
      <c r="BZ979" s="7"/>
    </row>
    <row r="980" spans="2:78">
      <c r="B980" s="7"/>
      <c r="O980" s="7"/>
      <c r="X980" s="7"/>
      <c r="AG980" s="7"/>
      <c r="AP980" s="7"/>
      <c r="AY980" s="7"/>
      <c r="BH980" s="7"/>
      <c r="BQ980" s="7"/>
      <c r="BZ980" s="7"/>
    </row>
    <row r="981" spans="2:78">
      <c r="B981" s="7"/>
      <c r="O981" s="7"/>
      <c r="X981" s="7"/>
      <c r="AG981" s="7"/>
      <c r="AP981" s="7"/>
      <c r="AY981" s="7"/>
      <c r="BH981" s="7"/>
      <c r="BQ981" s="7"/>
      <c r="BZ981" s="7"/>
    </row>
    <row r="982" spans="2:78">
      <c r="B982" s="7"/>
      <c r="O982" s="7"/>
      <c r="X982" s="7"/>
      <c r="AG982" s="7"/>
      <c r="AP982" s="7"/>
      <c r="AY982" s="7"/>
      <c r="BH982" s="7"/>
      <c r="BQ982" s="7"/>
      <c r="BZ982" s="7"/>
    </row>
    <row r="983" spans="2:78">
      <c r="B983" s="7"/>
      <c r="O983" s="7"/>
      <c r="X983" s="7"/>
      <c r="AG983" s="7"/>
      <c r="AP983" s="7"/>
      <c r="AY983" s="7"/>
      <c r="BH983" s="7"/>
      <c r="BQ983" s="7"/>
      <c r="BZ983" s="7"/>
    </row>
    <row r="984" spans="2:78">
      <c r="B984" s="7"/>
      <c r="O984" s="7"/>
      <c r="X984" s="7"/>
      <c r="AG984" s="7"/>
      <c r="AP984" s="7"/>
      <c r="AY984" s="7"/>
      <c r="BH984" s="7"/>
      <c r="BQ984" s="7"/>
      <c r="BZ984" s="7"/>
    </row>
    <row r="985" spans="2:78">
      <c r="B985" s="7"/>
      <c r="O985" s="7"/>
      <c r="X985" s="7"/>
      <c r="AG985" s="7"/>
      <c r="AP985" s="7"/>
      <c r="AY985" s="7"/>
      <c r="BH985" s="7"/>
      <c r="BQ985" s="7"/>
      <c r="BZ985" s="7"/>
    </row>
    <row r="986" spans="2:78">
      <c r="B986" s="7"/>
      <c r="O986" s="7"/>
      <c r="X986" s="7"/>
      <c r="AG986" s="7"/>
      <c r="AP986" s="7"/>
      <c r="AY986" s="7"/>
      <c r="BH986" s="7"/>
      <c r="BQ986" s="7"/>
      <c r="BZ986" s="7"/>
    </row>
    <row r="987" spans="2:78">
      <c r="B987" s="7"/>
      <c r="O987" s="7"/>
      <c r="X987" s="7"/>
      <c r="AG987" s="7"/>
      <c r="AP987" s="7"/>
      <c r="AY987" s="7"/>
      <c r="BH987" s="7"/>
      <c r="BQ987" s="7"/>
      <c r="BZ987" s="7"/>
    </row>
    <row r="988" spans="2:78">
      <c r="B988" s="7"/>
      <c r="O988" s="7"/>
      <c r="X988" s="7"/>
      <c r="AG988" s="7"/>
      <c r="AP988" s="7"/>
      <c r="AY988" s="7"/>
      <c r="BH988" s="7"/>
      <c r="BQ988" s="7"/>
      <c r="BZ988" s="7"/>
    </row>
    <row r="989" spans="2:78">
      <c r="B989" s="7"/>
      <c r="O989" s="7"/>
      <c r="X989" s="7"/>
      <c r="AG989" s="7"/>
      <c r="AP989" s="7"/>
      <c r="AY989" s="7"/>
      <c r="BH989" s="7"/>
      <c r="BQ989" s="7"/>
      <c r="BZ989" s="7"/>
    </row>
    <row r="990" spans="2:78">
      <c r="B990" s="7"/>
      <c r="O990" s="7"/>
      <c r="X990" s="7"/>
      <c r="AG990" s="7"/>
      <c r="AP990" s="7"/>
      <c r="AY990" s="7"/>
      <c r="BH990" s="7"/>
      <c r="BQ990" s="7"/>
      <c r="BZ990" s="7"/>
    </row>
    <row r="991" spans="2:78">
      <c r="B991" s="7"/>
      <c r="O991" s="7"/>
      <c r="X991" s="7"/>
      <c r="AG991" s="7"/>
      <c r="AP991" s="7"/>
      <c r="AY991" s="7"/>
      <c r="BH991" s="7"/>
      <c r="BQ991" s="7"/>
      <c r="BZ991" s="7"/>
    </row>
    <row r="992" spans="2:78">
      <c r="B992" s="7"/>
      <c r="O992" s="7"/>
      <c r="X992" s="7"/>
      <c r="AG992" s="7"/>
      <c r="AP992" s="7"/>
      <c r="AY992" s="7"/>
      <c r="BH992" s="7"/>
      <c r="BQ992" s="7"/>
      <c r="BZ992" s="7"/>
    </row>
    <row r="993" spans="2:78">
      <c r="B993" s="7"/>
      <c r="O993" s="7"/>
      <c r="X993" s="7"/>
      <c r="AG993" s="7"/>
      <c r="AP993" s="7"/>
      <c r="AY993" s="7"/>
      <c r="BH993" s="7"/>
      <c r="BQ993" s="7"/>
      <c r="BZ993" s="7"/>
    </row>
    <row r="994" spans="2:78">
      <c r="B994" s="7"/>
      <c r="O994" s="7"/>
      <c r="X994" s="7"/>
      <c r="AG994" s="7"/>
      <c r="AP994" s="7"/>
      <c r="AY994" s="7"/>
      <c r="BH994" s="7"/>
      <c r="BQ994" s="7"/>
      <c r="BZ994" s="7"/>
    </row>
    <row r="995" spans="2:78">
      <c r="B995" s="7"/>
      <c r="O995" s="7"/>
      <c r="X995" s="7"/>
      <c r="AG995" s="7"/>
      <c r="AP995" s="7"/>
      <c r="AY995" s="7"/>
      <c r="BH995" s="7"/>
      <c r="BQ995" s="7"/>
      <c r="BZ995" s="7"/>
    </row>
    <row r="996" spans="2:78">
      <c r="B996" s="7"/>
      <c r="O996" s="7"/>
      <c r="X996" s="7"/>
      <c r="AG996" s="7"/>
      <c r="AP996" s="7"/>
      <c r="AY996" s="7"/>
      <c r="BH996" s="7"/>
      <c r="BQ996" s="7"/>
      <c r="BZ996" s="7"/>
    </row>
    <row r="997" spans="2:78">
      <c r="B997" s="7"/>
      <c r="O997" s="7"/>
      <c r="X997" s="7"/>
      <c r="AG997" s="7"/>
      <c r="AP997" s="7"/>
      <c r="AY997" s="7"/>
      <c r="BH997" s="7"/>
      <c r="BQ997" s="7"/>
      <c r="BZ997" s="7"/>
    </row>
    <row r="998" spans="2:78">
      <c r="B998" s="7"/>
      <c r="O998" s="7"/>
      <c r="X998" s="7"/>
      <c r="AG998" s="7"/>
      <c r="AP998" s="7"/>
      <c r="AY998" s="7"/>
      <c r="BH998" s="7"/>
      <c r="BQ998" s="7"/>
      <c r="BZ998" s="7"/>
    </row>
    <row r="999" spans="2:78">
      <c r="B999" s="7"/>
      <c r="O999" s="7"/>
      <c r="X999" s="7"/>
      <c r="AG999" s="7"/>
      <c r="AP999" s="7"/>
      <c r="AY999" s="7"/>
      <c r="BH999" s="7"/>
      <c r="BQ999" s="7"/>
      <c r="BZ999" s="7"/>
    </row>
    <row r="1000" spans="2:78">
      <c r="B1000" s="7"/>
      <c r="O1000" s="7"/>
      <c r="X1000" s="7"/>
      <c r="AG1000" s="7"/>
      <c r="AP1000" s="7"/>
      <c r="AY1000" s="7"/>
      <c r="BH1000" s="7"/>
      <c r="BQ1000" s="7"/>
      <c r="BZ1000" s="7"/>
    </row>
    <row r="1001" spans="2:78">
      <c r="B1001" s="7"/>
      <c r="O1001" s="7"/>
      <c r="X1001" s="7"/>
      <c r="AG1001" s="7"/>
      <c r="AP1001" s="7"/>
      <c r="AY1001" s="7"/>
      <c r="BH1001" s="7"/>
      <c r="BQ1001" s="7"/>
      <c r="BZ1001" s="7"/>
    </row>
    <row r="1002" spans="2:78">
      <c r="B1002" s="7"/>
      <c r="O1002" s="7"/>
      <c r="X1002" s="7"/>
      <c r="AG1002" s="7"/>
      <c r="AP1002" s="7"/>
      <c r="AY1002" s="7"/>
      <c r="BH1002" s="7"/>
      <c r="BQ1002" s="7"/>
      <c r="BZ1002" s="7"/>
    </row>
    <row r="1003" spans="2:78">
      <c r="B1003" s="7"/>
      <c r="O1003" s="7"/>
      <c r="X1003" s="7"/>
      <c r="AG1003" s="7"/>
      <c r="AP1003" s="7"/>
      <c r="AY1003" s="7"/>
      <c r="BH1003" s="7"/>
      <c r="BQ1003" s="7"/>
      <c r="BZ1003" s="7"/>
    </row>
    <row r="1004" spans="2:78">
      <c r="B1004" s="7"/>
      <c r="O1004" s="7"/>
      <c r="X1004" s="7"/>
      <c r="AG1004" s="7"/>
      <c r="AP1004" s="7"/>
      <c r="AY1004" s="7"/>
      <c r="BH1004" s="7"/>
      <c r="BQ1004" s="7"/>
      <c r="BZ1004" s="7"/>
    </row>
    <row r="1005" spans="2:78">
      <c r="B1005" s="7"/>
      <c r="O1005" s="7"/>
      <c r="X1005" s="7"/>
      <c r="AG1005" s="7"/>
      <c r="AP1005" s="7"/>
      <c r="AY1005" s="7"/>
      <c r="BH1005" s="7"/>
      <c r="BQ1005" s="7"/>
      <c r="BZ1005" s="7"/>
    </row>
    <row r="1006" spans="2:78">
      <c r="B1006" s="7"/>
      <c r="O1006" s="7"/>
      <c r="X1006" s="7"/>
      <c r="AG1006" s="7"/>
      <c r="AP1006" s="7"/>
      <c r="AY1006" s="7"/>
      <c r="BH1006" s="7"/>
      <c r="BQ1006" s="7"/>
      <c r="BZ1006" s="7"/>
    </row>
    <row r="1007" spans="2:78">
      <c r="B1007" s="7"/>
      <c r="O1007" s="7"/>
      <c r="X1007" s="7"/>
      <c r="AG1007" s="7"/>
      <c r="AP1007" s="7"/>
      <c r="AY1007" s="7"/>
      <c r="BH1007" s="7"/>
      <c r="BQ1007" s="7"/>
      <c r="BZ1007" s="7"/>
    </row>
    <row r="1008" spans="2:78">
      <c r="B1008" s="7"/>
      <c r="O1008" s="7"/>
      <c r="X1008" s="7"/>
      <c r="AG1008" s="7"/>
      <c r="AP1008" s="7"/>
      <c r="AY1008" s="7"/>
      <c r="BH1008" s="7"/>
      <c r="BQ1008" s="7"/>
      <c r="BZ1008" s="7"/>
    </row>
    <row r="1009" spans="2:78">
      <c r="B1009" s="7"/>
      <c r="O1009" s="7"/>
      <c r="X1009" s="7"/>
      <c r="AG1009" s="7"/>
      <c r="AP1009" s="7"/>
      <c r="AY1009" s="7"/>
      <c r="BH1009" s="7"/>
      <c r="BQ1009" s="7"/>
      <c r="BZ1009" s="7"/>
    </row>
    <row r="1010" spans="2:78">
      <c r="B1010" s="7"/>
      <c r="O1010" s="7"/>
      <c r="X1010" s="7"/>
      <c r="AG1010" s="7"/>
      <c r="AP1010" s="7"/>
      <c r="AY1010" s="7"/>
      <c r="BH1010" s="7"/>
      <c r="BQ1010" s="7"/>
      <c r="BZ1010" s="7"/>
    </row>
    <row r="1011" spans="2:78">
      <c r="B1011" s="7"/>
      <c r="O1011" s="7"/>
      <c r="X1011" s="7"/>
      <c r="AG1011" s="7"/>
      <c r="AP1011" s="7"/>
      <c r="AY1011" s="7"/>
      <c r="BH1011" s="7"/>
      <c r="BQ1011" s="7"/>
      <c r="BZ1011" s="7"/>
    </row>
    <row r="1012" spans="2:78">
      <c r="B1012" s="7"/>
      <c r="O1012" s="7"/>
      <c r="X1012" s="7"/>
      <c r="AG1012" s="7"/>
      <c r="AP1012" s="7"/>
      <c r="AY1012" s="7"/>
      <c r="BH1012" s="7"/>
      <c r="BQ1012" s="7"/>
      <c r="BZ1012" s="7"/>
    </row>
    <row r="1013" spans="2:78">
      <c r="B1013" s="7"/>
      <c r="O1013" s="7"/>
      <c r="X1013" s="7"/>
      <c r="AG1013" s="7"/>
      <c r="AP1013" s="7"/>
      <c r="AY1013" s="7"/>
      <c r="BH1013" s="7"/>
      <c r="BQ1013" s="7"/>
      <c r="BZ1013" s="7"/>
    </row>
    <row r="1014" spans="2:78">
      <c r="B1014" s="7"/>
      <c r="O1014" s="7"/>
      <c r="X1014" s="7"/>
      <c r="AG1014" s="7"/>
      <c r="AP1014" s="7"/>
      <c r="AY1014" s="7"/>
      <c r="BH1014" s="7"/>
      <c r="BQ1014" s="7"/>
      <c r="BZ1014" s="7"/>
    </row>
    <row r="1015" spans="2:78">
      <c r="B1015" s="7"/>
      <c r="O1015" s="7"/>
      <c r="X1015" s="7"/>
      <c r="AG1015" s="7"/>
      <c r="AP1015" s="7"/>
      <c r="AY1015" s="7"/>
      <c r="BH1015" s="7"/>
      <c r="BQ1015" s="7"/>
      <c r="BZ1015" s="7"/>
    </row>
    <row r="1016" spans="2:78">
      <c r="B1016" s="7"/>
      <c r="O1016" s="7"/>
      <c r="X1016" s="7"/>
      <c r="AG1016" s="7"/>
      <c r="AP1016" s="7"/>
      <c r="AY1016" s="7"/>
      <c r="BH1016" s="7"/>
      <c r="BQ1016" s="7"/>
      <c r="BZ1016" s="7"/>
    </row>
    <row r="1017" spans="2:78">
      <c r="B1017" s="7"/>
      <c r="O1017" s="7"/>
      <c r="X1017" s="7"/>
      <c r="AG1017" s="7"/>
      <c r="AP1017" s="7"/>
      <c r="AY1017" s="7"/>
      <c r="BH1017" s="7"/>
      <c r="BQ1017" s="7"/>
      <c r="BZ1017" s="7"/>
    </row>
    <row r="1018" spans="2:78">
      <c r="B1018" s="7"/>
      <c r="O1018" s="7"/>
      <c r="X1018" s="7"/>
      <c r="AG1018" s="7"/>
      <c r="AP1018" s="7"/>
      <c r="AY1018" s="7"/>
      <c r="BH1018" s="7"/>
      <c r="BQ1018" s="7"/>
      <c r="BZ1018" s="7"/>
    </row>
    <row r="1019" spans="2:78">
      <c r="B1019" s="7"/>
      <c r="O1019" s="7"/>
      <c r="X1019" s="7"/>
      <c r="AG1019" s="7"/>
      <c r="AP1019" s="7"/>
      <c r="AY1019" s="7"/>
      <c r="BH1019" s="7"/>
      <c r="BQ1019" s="7"/>
      <c r="BZ1019" s="7"/>
    </row>
    <row r="1020" spans="2:78">
      <c r="B1020" s="7"/>
      <c r="O1020" s="7"/>
      <c r="X1020" s="7"/>
      <c r="AG1020" s="7"/>
      <c r="AP1020" s="7"/>
      <c r="AY1020" s="7"/>
      <c r="BH1020" s="7"/>
      <c r="BQ1020" s="7"/>
      <c r="BZ1020" s="7"/>
    </row>
    <row r="1021" spans="2:78">
      <c r="B1021" s="7"/>
      <c r="O1021" s="7"/>
      <c r="X1021" s="7"/>
      <c r="AG1021" s="7"/>
      <c r="AP1021" s="7"/>
      <c r="AY1021" s="7"/>
      <c r="BH1021" s="7"/>
      <c r="BQ1021" s="7"/>
      <c r="BZ1021" s="7"/>
    </row>
    <row r="1022" spans="2:78">
      <c r="B1022" s="7"/>
      <c r="O1022" s="7"/>
      <c r="X1022" s="7"/>
      <c r="AG1022" s="7"/>
      <c r="AP1022" s="7"/>
      <c r="AY1022" s="7"/>
      <c r="BH1022" s="7"/>
      <c r="BQ1022" s="7"/>
      <c r="BZ1022" s="7"/>
    </row>
    <row r="1023" spans="2:78">
      <c r="B1023" s="7"/>
      <c r="O1023" s="7"/>
      <c r="X1023" s="7"/>
      <c r="AG1023" s="7"/>
      <c r="AP1023" s="7"/>
      <c r="AY1023" s="7"/>
      <c r="BH1023" s="7"/>
      <c r="BQ1023" s="7"/>
      <c r="BZ1023" s="7"/>
    </row>
    <row r="1024" spans="2:78">
      <c r="B1024" s="7"/>
      <c r="O1024" s="7"/>
      <c r="X1024" s="7"/>
      <c r="AG1024" s="7"/>
      <c r="AP1024" s="7"/>
      <c r="AY1024" s="7"/>
      <c r="BH1024" s="7"/>
      <c r="BQ1024" s="7"/>
      <c r="BZ1024" s="7"/>
    </row>
    <row r="1025" spans="2:78">
      <c r="B1025" s="7"/>
      <c r="O1025" s="7"/>
      <c r="X1025" s="7"/>
      <c r="AG1025" s="7"/>
      <c r="AP1025" s="7"/>
      <c r="AY1025" s="7"/>
      <c r="BH1025" s="7"/>
      <c r="BQ1025" s="7"/>
      <c r="BZ1025" s="7"/>
    </row>
    <row r="1026" spans="2:78">
      <c r="B1026" s="7"/>
      <c r="O1026" s="7"/>
      <c r="X1026" s="7"/>
      <c r="AG1026" s="7"/>
      <c r="AP1026" s="7"/>
      <c r="AY1026" s="7"/>
      <c r="BH1026" s="7"/>
      <c r="BQ1026" s="7"/>
      <c r="BZ1026" s="7"/>
    </row>
    <row r="1027" spans="2:78">
      <c r="B1027" s="7"/>
      <c r="O1027" s="7"/>
      <c r="X1027" s="7"/>
      <c r="AG1027" s="7"/>
      <c r="AP1027" s="7"/>
      <c r="AY1027" s="7"/>
      <c r="BH1027" s="7"/>
      <c r="BQ1027" s="7"/>
      <c r="BZ1027" s="7"/>
    </row>
    <row r="1028" spans="2:78">
      <c r="B1028" s="7"/>
      <c r="O1028" s="7"/>
      <c r="X1028" s="7"/>
      <c r="AG1028" s="7"/>
      <c r="AP1028" s="7"/>
      <c r="AY1028" s="7"/>
      <c r="BH1028" s="7"/>
      <c r="BQ1028" s="7"/>
      <c r="BZ1028" s="7"/>
    </row>
    <row r="1029" spans="2:78">
      <c r="B1029" s="7"/>
      <c r="O1029" s="7"/>
      <c r="X1029" s="7"/>
      <c r="AG1029" s="7"/>
      <c r="AP1029" s="7"/>
      <c r="AY1029" s="7"/>
      <c r="BH1029" s="7"/>
      <c r="BQ1029" s="7"/>
      <c r="BZ1029" s="7"/>
    </row>
    <row r="1030" spans="2:78">
      <c r="B1030" s="7"/>
      <c r="O1030" s="7"/>
      <c r="X1030" s="7"/>
      <c r="AG1030" s="7"/>
      <c r="AP1030" s="7"/>
      <c r="AY1030" s="7"/>
      <c r="BH1030" s="7"/>
      <c r="BQ1030" s="7"/>
      <c r="BZ1030" s="7"/>
    </row>
    <row r="1031" spans="2:78">
      <c r="B1031" s="7"/>
      <c r="O1031" s="7"/>
      <c r="X1031" s="7"/>
      <c r="AG1031" s="7"/>
      <c r="AP1031" s="7"/>
      <c r="AY1031" s="7"/>
      <c r="BH1031" s="7"/>
      <c r="BQ1031" s="7"/>
      <c r="BZ1031" s="7"/>
    </row>
    <row r="1032" spans="2:78">
      <c r="B1032" s="7"/>
      <c r="O1032" s="7"/>
      <c r="X1032" s="7"/>
      <c r="AG1032" s="7"/>
      <c r="AP1032" s="7"/>
      <c r="AY1032" s="7"/>
      <c r="BH1032" s="7"/>
      <c r="BQ1032" s="7"/>
      <c r="BZ1032" s="7"/>
    </row>
    <row r="1033" spans="2:78">
      <c r="B1033" s="7"/>
      <c r="O1033" s="7"/>
      <c r="X1033" s="7"/>
      <c r="AG1033" s="7"/>
      <c r="AP1033" s="7"/>
      <c r="AY1033" s="7"/>
      <c r="BH1033" s="7"/>
      <c r="BQ1033" s="7"/>
      <c r="BZ1033" s="7"/>
    </row>
    <row r="1034" spans="2:78">
      <c r="B1034" s="7"/>
      <c r="O1034" s="7"/>
      <c r="X1034" s="7"/>
      <c r="AG1034" s="7"/>
      <c r="AP1034" s="7"/>
      <c r="AY1034" s="7"/>
      <c r="BH1034" s="7"/>
      <c r="BQ1034" s="7"/>
      <c r="BZ1034" s="7"/>
    </row>
    <row r="1035" spans="2:78">
      <c r="B1035" s="7"/>
      <c r="O1035" s="7"/>
      <c r="X1035" s="7"/>
      <c r="AG1035" s="7"/>
      <c r="AP1035" s="7"/>
      <c r="AY1035" s="7"/>
      <c r="BH1035" s="7"/>
      <c r="BQ1035" s="7"/>
      <c r="BZ1035" s="7"/>
    </row>
    <row r="1036" spans="2:78">
      <c r="B1036" s="7"/>
      <c r="O1036" s="7"/>
      <c r="X1036" s="7"/>
      <c r="AG1036" s="7"/>
      <c r="AP1036" s="7"/>
      <c r="AY1036" s="7"/>
      <c r="BH1036" s="7"/>
      <c r="BQ1036" s="7"/>
      <c r="BZ1036" s="7"/>
    </row>
    <row r="1037" spans="2:78">
      <c r="B1037" s="7"/>
      <c r="O1037" s="7"/>
      <c r="X1037" s="7"/>
      <c r="AG1037" s="7"/>
      <c r="AP1037" s="7"/>
      <c r="AY1037" s="7"/>
      <c r="BH1037" s="7"/>
      <c r="BQ1037" s="7"/>
      <c r="BZ1037" s="7"/>
    </row>
    <row r="1038" spans="2:78">
      <c r="B1038" s="7"/>
      <c r="O1038" s="7"/>
      <c r="X1038" s="7"/>
      <c r="AG1038" s="7"/>
      <c r="AP1038" s="7"/>
      <c r="AY1038" s="7"/>
      <c r="BH1038" s="7"/>
      <c r="BQ1038" s="7"/>
      <c r="BZ1038" s="7"/>
    </row>
    <row r="1039" spans="2:78">
      <c r="B1039" s="7"/>
      <c r="O1039" s="7"/>
      <c r="X1039" s="7"/>
      <c r="AG1039" s="7"/>
      <c r="AP1039" s="7"/>
      <c r="AY1039" s="7"/>
      <c r="BH1039" s="7"/>
      <c r="BQ1039" s="7"/>
      <c r="BZ1039" s="7"/>
    </row>
    <row r="1040" spans="2:78">
      <c r="B1040" s="7"/>
      <c r="O1040" s="7"/>
      <c r="X1040" s="7"/>
      <c r="AG1040" s="7"/>
      <c r="AP1040" s="7"/>
      <c r="AY1040" s="7"/>
      <c r="BH1040" s="7"/>
      <c r="BQ1040" s="7"/>
      <c r="BZ1040" s="7"/>
    </row>
    <row r="1041" spans="2:78">
      <c r="B1041" s="7"/>
      <c r="O1041" s="7"/>
      <c r="X1041" s="7"/>
      <c r="AG1041" s="7"/>
      <c r="AP1041" s="7"/>
      <c r="AY1041" s="7"/>
      <c r="BH1041" s="7"/>
      <c r="BQ1041" s="7"/>
      <c r="BZ1041" s="7"/>
    </row>
    <row r="1042" spans="2:78">
      <c r="B1042" s="7"/>
      <c r="O1042" s="7"/>
      <c r="X1042" s="7"/>
      <c r="AG1042" s="7"/>
      <c r="AP1042" s="7"/>
      <c r="AY1042" s="7"/>
      <c r="BH1042" s="7"/>
      <c r="BQ1042" s="7"/>
      <c r="BZ1042" s="7"/>
    </row>
    <row r="1043" spans="2:78">
      <c r="B1043" s="7"/>
      <c r="O1043" s="7"/>
      <c r="X1043" s="7"/>
      <c r="AG1043" s="7"/>
      <c r="AP1043" s="7"/>
      <c r="AY1043" s="7"/>
      <c r="BH1043" s="7"/>
      <c r="BQ1043" s="7"/>
      <c r="BZ1043" s="7"/>
    </row>
    <row r="1044" spans="2:78">
      <c r="B1044" s="7"/>
      <c r="O1044" s="7"/>
      <c r="X1044" s="7"/>
      <c r="AG1044" s="7"/>
      <c r="AP1044" s="7"/>
      <c r="AY1044" s="7"/>
      <c r="BH1044" s="7"/>
      <c r="BQ1044" s="7"/>
      <c r="BZ1044" s="7"/>
    </row>
    <row r="1045" spans="2:78">
      <c r="B1045" s="7"/>
      <c r="O1045" s="7"/>
      <c r="X1045" s="7"/>
      <c r="AG1045" s="7"/>
      <c r="AP1045" s="7"/>
      <c r="AY1045" s="7"/>
      <c r="BH1045" s="7"/>
      <c r="BQ1045" s="7"/>
      <c r="BZ1045" s="7"/>
    </row>
    <row r="1046" spans="2:78">
      <c r="B1046" s="7"/>
      <c r="O1046" s="7"/>
      <c r="X1046" s="7"/>
      <c r="AG1046" s="7"/>
      <c r="AP1046" s="7"/>
      <c r="AY1046" s="7"/>
      <c r="BH1046" s="7"/>
      <c r="BQ1046" s="7"/>
      <c r="BZ1046" s="7"/>
    </row>
    <row r="1047" spans="2:78">
      <c r="B1047" s="7"/>
      <c r="O1047" s="7"/>
      <c r="X1047" s="7"/>
      <c r="AG1047" s="7"/>
      <c r="AP1047" s="7"/>
      <c r="AY1047" s="7"/>
      <c r="BH1047" s="7"/>
      <c r="BQ1047" s="7"/>
      <c r="BZ1047" s="7"/>
    </row>
    <row r="1048" spans="2:78">
      <c r="B1048" s="7"/>
      <c r="O1048" s="7"/>
      <c r="X1048" s="7"/>
      <c r="AG1048" s="7"/>
      <c r="AP1048" s="7"/>
      <c r="AY1048" s="7"/>
      <c r="BH1048" s="7"/>
      <c r="BQ1048" s="7"/>
      <c r="BZ1048" s="7"/>
    </row>
    <row r="1049" spans="2:78">
      <c r="B1049" s="7"/>
      <c r="O1049" s="7"/>
      <c r="X1049" s="7"/>
      <c r="AG1049" s="7"/>
      <c r="AP1049" s="7"/>
      <c r="AY1049" s="7"/>
      <c r="BH1049" s="7"/>
      <c r="BQ1049" s="7"/>
      <c r="BZ1049" s="7"/>
    </row>
    <row r="1050" spans="2:78">
      <c r="B1050" s="7"/>
      <c r="O1050" s="7"/>
      <c r="X1050" s="7"/>
      <c r="AG1050" s="7"/>
      <c r="AP1050" s="7"/>
      <c r="AY1050" s="7"/>
      <c r="BH1050" s="7"/>
      <c r="BQ1050" s="7"/>
      <c r="BZ1050" s="7"/>
    </row>
    <row r="1051" spans="2:78">
      <c r="B1051" s="7"/>
      <c r="O1051" s="7"/>
      <c r="X1051" s="7"/>
      <c r="AG1051" s="7"/>
      <c r="AP1051" s="7"/>
      <c r="AY1051" s="7"/>
      <c r="BH1051" s="7"/>
      <c r="BQ1051" s="7"/>
      <c r="BZ1051" s="7"/>
    </row>
    <row r="1052" spans="2:78">
      <c r="B1052" s="7"/>
      <c r="O1052" s="7"/>
      <c r="X1052" s="7"/>
      <c r="AG1052" s="7"/>
      <c r="AP1052" s="7"/>
      <c r="AY1052" s="7"/>
      <c r="BH1052" s="7"/>
      <c r="BQ1052" s="7"/>
      <c r="BZ1052" s="7"/>
    </row>
    <row r="1053" spans="2:78">
      <c r="B1053" s="7"/>
      <c r="O1053" s="7"/>
      <c r="X1053" s="7"/>
      <c r="AG1053" s="7"/>
      <c r="AP1053" s="7"/>
      <c r="AY1053" s="7"/>
      <c r="BH1053" s="7"/>
      <c r="BQ1053" s="7"/>
      <c r="BZ1053" s="7"/>
    </row>
    <row r="1054" spans="2:78">
      <c r="B1054" s="7"/>
      <c r="O1054" s="7"/>
      <c r="X1054" s="7"/>
      <c r="AG1054" s="7"/>
      <c r="AP1054" s="7"/>
      <c r="AY1054" s="7"/>
      <c r="BH1054" s="7"/>
      <c r="BQ1054" s="7"/>
      <c r="BZ1054" s="7"/>
    </row>
    <row r="1055" spans="2:78">
      <c r="B1055" s="7"/>
      <c r="O1055" s="7"/>
      <c r="X1055" s="7"/>
      <c r="AG1055" s="7"/>
      <c r="AP1055" s="7"/>
      <c r="AY1055" s="7"/>
      <c r="BH1055" s="7"/>
      <c r="BQ1055" s="7"/>
      <c r="BZ1055" s="7"/>
    </row>
    <row r="1056" spans="2:78">
      <c r="B1056" s="7"/>
      <c r="O1056" s="7"/>
      <c r="X1056" s="7"/>
      <c r="AG1056" s="7"/>
      <c r="AP1056" s="7"/>
      <c r="AY1056" s="7"/>
      <c r="BH1056" s="7"/>
      <c r="BQ1056" s="7"/>
      <c r="BZ1056" s="7"/>
    </row>
    <row r="1057" spans="2:78">
      <c r="B1057" s="7"/>
      <c r="O1057" s="7"/>
      <c r="X1057" s="7"/>
      <c r="AG1057" s="7"/>
      <c r="AP1057" s="7"/>
      <c r="AY1057" s="7"/>
      <c r="BH1057" s="7"/>
      <c r="BQ1057" s="7"/>
      <c r="BZ1057" s="7"/>
    </row>
    <row r="1058" spans="2:78">
      <c r="B1058" s="7"/>
      <c r="O1058" s="7"/>
      <c r="X1058" s="7"/>
      <c r="AG1058" s="7"/>
      <c r="AP1058" s="7"/>
      <c r="AY1058" s="7"/>
      <c r="BH1058" s="7"/>
      <c r="BQ1058" s="7"/>
      <c r="BZ1058" s="7"/>
    </row>
    <row r="1059" spans="2:78">
      <c r="B1059" s="7"/>
      <c r="O1059" s="7"/>
      <c r="X1059" s="7"/>
      <c r="AG1059" s="7"/>
      <c r="AP1059" s="7"/>
      <c r="AY1059" s="7"/>
      <c r="BH1059" s="7"/>
      <c r="BQ1059" s="7"/>
      <c r="BZ1059" s="7"/>
    </row>
    <row r="1060" spans="2:78">
      <c r="B1060" s="7"/>
      <c r="O1060" s="7"/>
      <c r="X1060" s="7"/>
      <c r="AG1060" s="7"/>
      <c r="AP1060" s="7"/>
      <c r="AY1060" s="7"/>
      <c r="BH1060" s="7"/>
      <c r="BQ1060" s="7"/>
      <c r="BZ1060" s="7"/>
    </row>
    <row r="1061" spans="2:78">
      <c r="B1061" s="7"/>
      <c r="O1061" s="7"/>
      <c r="X1061" s="7"/>
      <c r="AG1061" s="7"/>
      <c r="AP1061" s="7"/>
      <c r="AY1061" s="7"/>
      <c r="BH1061" s="7"/>
      <c r="BQ1061" s="7"/>
      <c r="BZ1061" s="7"/>
    </row>
    <row r="1062" spans="2:78">
      <c r="B1062" s="7"/>
      <c r="O1062" s="7"/>
      <c r="X1062" s="7"/>
      <c r="AG1062" s="7"/>
      <c r="AP1062" s="7"/>
      <c r="AY1062" s="7"/>
      <c r="BH1062" s="7"/>
      <c r="BQ1062" s="7"/>
      <c r="BZ1062" s="7"/>
    </row>
    <row r="1063" spans="2:78">
      <c r="B1063" s="7"/>
      <c r="O1063" s="7"/>
      <c r="X1063" s="7"/>
      <c r="AG1063" s="7"/>
      <c r="AP1063" s="7"/>
      <c r="AY1063" s="7"/>
      <c r="BH1063" s="7"/>
      <c r="BQ1063" s="7"/>
      <c r="BZ1063" s="7"/>
    </row>
    <row r="1064" spans="2:78">
      <c r="B1064" s="7"/>
      <c r="O1064" s="7"/>
      <c r="X1064" s="7"/>
      <c r="AG1064" s="7"/>
      <c r="AP1064" s="7"/>
      <c r="AY1064" s="7"/>
      <c r="BH1064" s="7"/>
      <c r="BQ1064" s="7"/>
      <c r="BZ1064" s="7"/>
    </row>
    <row r="1065" spans="2:78">
      <c r="B1065" s="7"/>
      <c r="O1065" s="7"/>
      <c r="X1065" s="7"/>
      <c r="AG1065" s="7"/>
      <c r="AP1065" s="7"/>
      <c r="AY1065" s="7"/>
      <c r="BH1065" s="7"/>
      <c r="BQ1065" s="7"/>
      <c r="BZ1065" s="7"/>
    </row>
    <row r="1066" spans="2:78">
      <c r="B1066" s="7"/>
      <c r="O1066" s="7"/>
      <c r="X1066" s="7"/>
      <c r="AG1066" s="7"/>
      <c r="AP1066" s="7"/>
      <c r="AY1066" s="7"/>
      <c r="BH1066" s="7"/>
      <c r="BQ1066" s="7"/>
      <c r="BZ1066" s="7"/>
    </row>
    <row r="1067" spans="2:78">
      <c r="B1067" s="7"/>
      <c r="O1067" s="7"/>
      <c r="X1067" s="7"/>
      <c r="AG1067" s="7"/>
      <c r="AP1067" s="7"/>
      <c r="AY1067" s="7"/>
      <c r="BH1067" s="7"/>
      <c r="BQ1067" s="7"/>
      <c r="BZ1067" s="7"/>
    </row>
    <row r="1068" spans="2:78">
      <c r="B1068" s="7"/>
      <c r="O1068" s="7"/>
      <c r="X1068" s="7"/>
      <c r="AG1068" s="7"/>
      <c r="AP1068" s="7"/>
      <c r="AY1068" s="7"/>
      <c r="BH1068" s="7"/>
      <c r="BQ1068" s="7"/>
      <c r="BZ1068" s="7"/>
    </row>
    <row r="1069" spans="2:78">
      <c r="B1069" s="7"/>
      <c r="O1069" s="7"/>
      <c r="X1069" s="7"/>
      <c r="AG1069" s="7"/>
      <c r="AP1069" s="7"/>
      <c r="AY1069" s="7"/>
      <c r="BH1069" s="7"/>
      <c r="BQ1069" s="7"/>
      <c r="BZ1069" s="7"/>
    </row>
    <row r="1070" spans="2:78">
      <c r="B1070" s="7"/>
      <c r="O1070" s="7"/>
      <c r="X1070" s="7"/>
      <c r="AG1070" s="7"/>
      <c r="AP1070" s="7"/>
      <c r="AY1070" s="7"/>
      <c r="BH1070" s="7"/>
      <c r="BQ1070" s="7"/>
      <c r="BZ1070" s="7"/>
    </row>
    <row r="1071" spans="2:78">
      <c r="B1071" s="7"/>
      <c r="O1071" s="7"/>
      <c r="X1071" s="7"/>
      <c r="AG1071" s="7"/>
      <c r="AP1071" s="7"/>
      <c r="AY1071" s="7"/>
      <c r="BH1071" s="7"/>
      <c r="BQ1071" s="7"/>
      <c r="BZ1071" s="7"/>
    </row>
    <row r="1072" spans="2:78">
      <c r="B1072" s="7"/>
      <c r="O1072" s="7"/>
      <c r="X1072" s="7"/>
      <c r="AG1072" s="7"/>
      <c r="AP1072" s="7"/>
      <c r="AY1072" s="7"/>
      <c r="BH1072" s="7"/>
      <c r="BQ1072" s="7"/>
      <c r="BZ1072" s="7"/>
    </row>
    <row r="1073" spans="2:78">
      <c r="B1073" s="7"/>
      <c r="O1073" s="7"/>
      <c r="X1073" s="7"/>
      <c r="AG1073" s="7"/>
      <c r="AP1073" s="7"/>
      <c r="AY1073" s="7"/>
      <c r="BH1073" s="7"/>
      <c r="BQ1073" s="7"/>
      <c r="BZ1073" s="7"/>
    </row>
    <row r="1074" spans="2:78">
      <c r="B1074" s="7"/>
      <c r="O1074" s="7"/>
      <c r="X1074" s="7"/>
      <c r="AG1074" s="7"/>
      <c r="AP1074" s="7"/>
      <c r="AY1074" s="7"/>
      <c r="BH1074" s="7"/>
      <c r="BQ1074" s="7"/>
      <c r="BZ1074" s="7"/>
    </row>
    <row r="1075" spans="2:78">
      <c r="B1075" s="7"/>
      <c r="O1075" s="7"/>
      <c r="X1075" s="7"/>
      <c r="AG1075" s="7"/>
      <c r="AP1075" s="7"/>
      <c r="AY1075" s="7"/>
      <c r="BH1075" s="7"/>
      <c r="BQ1075" s="7"/>
      <c r="BZ1075" s="7"/>
    </row>
    <row r="1076" spans="2:78">
      <c r="B1076" s="7"/>
      <c r="O1076" s="7"/>
      <c r="X1076" s="7"/>
      <c r="AG1076" s="7"/>
      <c r="AP1076" s="7"/>
      <c r="AY1076" s="7"/>
      <c r="BH1076" s="7"/>
      <c r="BQ1076" s="7"/>
      <c r="BZ1076" s="7"/>
    </row>
    <row r="1077" spans="2:78">
      <c r="B1077" s="7"/>
      <c r="O1077" s="7"/>
      <c r="X1077" s="7"/>
      <c r="AG1077" s="7"/>
      <c r="AP1077" s="7"/>
      <c r="AY1077" s="7"/>
      <c r="BH1077" s="7"/>
      <c r="BQ1077" s="7"/>
      <c r="BZ1077" s="7"/>
    </row>
    <row r="1078" spans="2:78">
      <c r="B1078" s="7"/>
      <c r="O1078" s="7"/>
      <c r="X1078" s="7"/>
      <c r="AG1078" s="7"/>
      <c r="AP1078" s="7"/>
      <c r="AY1078" s="7"/>
      <c r="BH1078" s="7"/>
      <c r="BQ1078" s="7"/>
      <c r="BZ1078" s="7"/>
    </row>
    <row r="1079" spans="2:78">
      <c r="B1079" s="7"/>
      <c r="O1079" s="7"/>
      <c r="X1079" s="7"/>
      <c r="AG1079" s="7"/>
      <c r="AP1079" s="7"/>
      <c r="AY1079" s="7"/>
      <c r="BH1079" s="7"/>
      <c r="BQ1079" s="7"/>
      <c r="BZ1079" s="7"/>
    </row>
    <row r="1080" spans="2:78">
      <c r="B1080" s="7"/>
      <c r="O1080" s="7"/>
      <c r="X1080" s="7"/>
      <c r="AG1080" s="7"/>
      <c r="AP1080" s="7"/>
      <c r="AY1080" s="7"/>
      <c r="BH1080" s="7"/>
      <c r="BQ1080" s="7"/>
      <c r="BZ1080" s="7"/>
    </row>
    <row r="1081" spans="2:78">
      <c r="B1081" s="7"/>
      <c r="O1081" s="7"/>
      <c r="X1081" s="7"/>
      <c r="AG1081" s="7"/>
      <c r="AP1081" s="7"/>
      <c r="AY1081" s="7"/>
      <c r="BH1081" s="7"/>
      <c r="BQ1081" s="7"/>
      <c r="BZ1081" s="7"/>
    </row>
    <row r="1082" spans="2:78">
      <c r="B1082" s="7"/>
      <c r="O1082" s="7"/>
      <c r="X1082" s="7"/>
      <c r="AG1082" s="7"/>
      <c r="AP1082" s="7"/>
      <c r="AY1082" s="7"/>
      <c r="BH1082" s="7"/>
      <c r="BQ1082" s="7"/>
      <c r="BZ1082" s="7"/>
    </row>
    <row r="1083" spans="2:78">
      <c r="B1083" s="7"/>
      <c r="O1083" s="7"/>
      <c r="X1083" s="7"/>
      <c r="AG1083" s="7"/>
      <c r="AP1083" s="7"/>
      <c r="AY1083" s="7"/>
      <c r="BH1083" s="7"/>
      <c r="BQ1083" s="7"/>
      <c r="BZ1083" s="7"/>
    </row>
    <row r="1084" spans="2:78">
      <c r="B1084" s="7"/>
      <c r="O1084" s="7"/>
      <c r="X1084" s="7"/>
      <c r="AG1084" s="7"/>
      <c r="AP1084" s="7"/>
      <c r="AY1084" s="7"/>
      <c r="BH1084" s="7"/>
      <c r="BQ1084" s="7"/>
      <c r="BZ1084" s="7"/>
    </row>
    <row r="1085" spans="2:78">
      <c r="B1085" s="7"/>
      <c r="O1085" s="7"/>
      <c r="X1085" s="7"/>
      <c r="AG1085" s="7"/>
      <c r="AP1085" s="7"/>
      <c r="AY1085" s="7"/>
      <c r="BH1085" s="7"/>
      <c r="BQ1085" s="7"/>
      <c r="BZ1085" s="7"/>
    </row>
    <row r="1086" spans="2:78">
      <c r="B1086" s="7"/>
      <c r="O1086" s="7"/>
      <c r="X1086" s="7"/>
      <c r="AG1086" s="7"/>
      <c r="AP1086" s="7"/>
      <c r="AY1086" s="7"/>
      <c r="BH1086" s="7"/>
      <c r="BQ1086" s="7"/>
      <c r="BZ1086" s="7"/>
    </row>
    <row r="1087" spans="2:78">
      <c r="B1087" s="7"/>
      <c r="O1087" s="7"/>
      <c r="X1087" s="7"/>
      <c r="AG1087" s="7"/>
      <c r="AP1087" s="7"/>
      <c r="AY1087" s="7"/>
      <c r="BH1087" s="7"/>
      <c r="BQ1087" s="7"/>
      <c r="BZ1087" s="7"/>
    </row>
    <row r="1088" spans="2:78">
      <c r="B1088" s="7"/>
      <c r="O1088" s="7"/>
      <c r="X1088" s="7"/>
      <c r="AG1088" s="7"/>
      <c r="AP1088" s="7"/>
      <c r="AY1088" s="7"/>
      <c r="BH1088" s="7"/>
      <c r="BQ1088" s="7"/>
      <c r="BZ1088" s="7"/>
    </row>
    <row r="1089" spans="2:78">
      <c r="B1089" s="7"/>
      <c r="O1089" s="7"/>
      <c r="X1089" s="7"/>
      <c r="AG1089" s="7"/>
      <c r="AP1089" s="7"/>
      <c r="AY1089" s="7"/>
      <c r="BH1089" s="7"/>
      <c r="BQ1089" s="7"/>
      <c r="BZ1089" s="7"/>
    </row>
    <row r="1090" spans="2:78">
      <c r="B1090" s="7"/>
      <c r="O1090" s="7"/>
      <c r="X1090" s="7"/>
      <c r="AG1090" s="7"/>
      <c r="AP1090" s="7"/>
      <c r="AY1090" s="7"/>
      <c r="BH1090" s="7"/>
      <c r="BQ1090" s="7"/>
      <c r="BZ1090" s="7"/>
    </row>
    <row r="1091" spans="2:78">
      <c r="B1091" s="7"/>
      <c r="O1091" s="7"/>
      <c r="X1091" s="7"/>
      <c r="AG1091" s="7"/>
      <c r="AP1091" s="7"/>
      <c r="AY1091" s="7"/>
      <c r="BH1091" s="7"/>
      <c r="BQ1091" s="7"/>
      <c r="BZ1091" s="7"/>
    </row>
    <row r="1092" spans="2:78">
      <c r="B1092" s="7"/>
      <c r="O1092" s="7"/>
      <c r="X1092" s="7"/>
      <c r="AG1092" s="7"/>
      <c r="AP1092" s="7"/>
      <c r="AY1092" s="7"/>
      <c r="BH1092" s="7"/>
      <c r="BQ1092" s="7"/>
      <c r="BZ1092" s="7"/>
    </row>
    <row r="1093" spans="2:78">
      <c r="B1093" s="7"/>
      <c r="O1093" s="7"/>
      <c r="X1093" s="7"/>
      <c r="AG1093" s="7"/>
      <c r="AP1093" s="7"/>
      <c r="AY1093" s="7"/>
      <c r="BH1093" s="7"/>
      <c r="BQ1093" s="7"/>
      <c r="BZ1093" s="7"/>
    </row>
    <row r="1094" spans="2:78">
      <c r="B1094" s="7"/>
      <c r="O1094" s="7"/>
      <c r="X1094" s="7"/>
      <c r="AG1094" s="7"/>
      <c r="AP1094" s="7"/>
      <c r="AY1094" s="7"/>
      <c r="BH1094" s="7"/>
      <c r="BQ1094" s="7"/>
      <c r="BZ1094" s="7"/>
    </row>
    <row r="1095" spans="2:78">
      <c r="B1095" s="7"/>
      <c r="O1095" s="7"/>
      <c r="X1095" s="7"/>
      <c r="AG1095" s="7"/>
      <c r="AP1095" s="7"/>
      <c r="AY1095" s="7"/>
      <c r="BH1095" s="7"/>
      <c r="BQ1095" s="7"/>
      <c r="BZ1095" s="7"/>
    </row>
    <row r="1096" spans="2:78">
      <c r="B1096" s="7"/>
      <c r="O1096" s="7"/>
      <c r="X1096" s="7"/>
      <c r="AG1096" s="7"/>
      <c r="AP1096" s="7"/>
      <c r="AY1096" s="7"/>
      <c r="BH1096" s="7"/>
      <c r="BQ1096" s="7"/>
      <c r="BZ1096" s="7"/>
    </row>
    <row r="1097" spans="2:78">
      <c r="B1097" s="7"/>
      <c r="O1097" s="7"/>
      <c r="X1097" s="7"/>
      <c r="AG1097" s="7"/>
      <c r="AP1097" s="7"/>
      <c r="AY1097" s="7"/>
      <c r="BH1097" s="7"/>
      <c r="BQ1097" s="7"/>
      <c r="BZ1097" s="7"/>
    </row>
    <row r="1098" spans="2:78">
      <c r="B1098" s="7"/>
      <c r="O1098" s="7"/>
      <c r="X1098" s="7"/>
      <c r="AG1098" s="7"/>
      <c r="AP1098" s="7"/>
      <c r="AY1098" s="7"/>
      <c r="BH1098" s="7"/>
      <c r="BQ1098" s="7"/>
      <c r="BZ1098" s="7"/>
    </row>
    <row r="1099" spans="2:78">
      <c r="B1099" s="7"/>
      <c r="O1099" s="7"/>
      <c r="X1099" s="7"/>
      <c r="AG1099" s="7"/>
      <c r="AP1099" s="7"/>
      <c r="AY1099" s="7"/>
      <c r="BH1099" s="7"/>
      <c r="BQ1099" s="7"/>
      <c r="BZ1099" s="7"/>
    </row>
    <row r="1100" spans="2:78">
      <c r="B1100" s="7"/>
      <c r="O1100" s="7"/>
      <c r="X1100" s="7"/>
      <c r="AG1100" s="7"/>
      <c r="AP1100" s="7"/>
      <c r="AY1100" s="7"/>
      <c r="BH1100" s="7"/>
      <c r="BQ1100" s="7"/>
      <c r="BZ1100" s="7"/>
    </row>
    <row r="1101" spans="2:78">
      <c r="B1101" s="7"/>
      <c r="O1101" s="7"/>
      <c r="X1101" s="7"/>
      <c r="AG1101" s="7"/>
      <c r="AP1101" s="7"/>
      <c r="AY1101" s="7"/>
      <c r="BH1101" s="7"/>
      <c r="BQ1101" s="7"/>
      <c r="BZ1101" s="7"/>
    </row>
    <row r="1102" spans="2:78">
      <c r="B1102" s="7"/>
      <c r="O1102" s="7"/>
      <c r="X1102" s="7"/>
      <c r="AG1102" s="7"/>
      <c r="AP1102" s="7"/>
      <c r="AY1102" s="7"/>
      <c r="BH1102" s="7"/>
      <c r="BQ1102" s="7"/>
      <c r="BZ1102" s="7"/>
    </row>
    <row r="1103" spans="2:78">
      <c r="B1103" s="7"/>
      <c r="O1103" s="7"/>
      <c r="X1103" s="7"/>
      <c r="AG1103" s="7"/>
      <c r="AP1103" s="7"/>
      <c r="AY1103" s="7"/>
      <c r="BH1103" s="7"/>
      <c r="BQ1103" s="7"/>
      <c r="BZ1103" s="7"/>
    </row>
    <row r="1104" spans="2:78">
      <c r="B1104" s="7"/>
      <c r="O1104" s="7"/>
      <c r="X1104" s="7"/>
      <c r="AG1104" s="7"/>
      <c r="AP1104" s="7"/>
      <c r="AY1104" s="7"/>
      <c r="BH1104" s="7"/>
      <c r="BQ1104" s="7"/>
      <c r="BZ1104" s="7"/>
    </row>
    <row r="1105" spans="2:78">
      <c r="B1105" s="7"/>
      <c r="O1105" s="7"/>
      <c r="X1105" s="7"/>
      <c r="AG1105" s="7"/>
      <c r="AP1105" s="7"/>
      <c r="AY1105" s="7"/>
      <c r="BH1105" s="7"/>
      <c r="BQ1105" s="7"/>
      <c r="BZ1105" s="7"/>
    </row>
    <row r="1106" spans="2:78">
      <c r="B1106" s="7"/>
      <c r="O1106" s="7"/>
      <c r="X1106" s="7"/>
      <c r="AG1106" s="7"/>
      <c r="AP1106" s="7"/>
      <c r="AY1106" s="7"/>
      <c r="BH1106" s="7"/>
      <c r="BQ1106" s="7"/>
      <c r="BZ1106" s="7"/>
    </row>
    <row r="1107" spans="2:78">
      <c r="B1107" s="7"/>
      <c r="O1107" s="7"/>
      <c r="X1107" s="7"/>
      <c r="AG1107" s="7"/>
      <c r="AP1107" s="7"/>
      <c r="AY1107" s="7"/>
      <c r="BH1107" s="7"/>
      <c r="BQ1107" s="7"/>
      <c r="BZ1107" s="7"/>
    </row>
    <row r="1108" spans="2:78">
      <c r="B1108" s="7"/>
      <c r="O1108" s="7"/>
      <c r="X1108" s="7"/>
      <c r="AG1108" s="7"/>
      <c r="AP1108" s="7"/>
      <c r="AY1108" s="7"/>
      <c r="BH1108" s="7"/>
      <c r="BQ1108" s="7"/>
      <c r="BZ1108" s="7"/>
    </row>
    <row r="1109" spans="2:78">
      <c r="B1109" s="7"/>
      <c r="O1109" s="7"/>
      <c r="X1109" s="7"/>
      <c r="AG1109" s="7"/>
      <c r="AP1109" s="7"/>
      <c r="AY1109" s="7"/>
      <c r="BH1109" s="7"/>
      <c r="BQ1109" s="7"/>
      <c r="BZ1109" s="7"/>
    </row>
    <row r="1110" spans="2:78">
      <c r="B1110" s="7"/>
      <c r="O1110" s="7"/>
      <c r="X1110" s="7"/>
      <c r="AG1110" s="7"/>
      <c r="AP1110" s="7"/>
      <c r="AY1110" s="7"/>
      <c r="BH1110" s="7"/>
      <c r="BQ1110" s="7"/>
      <c r="BZ1110" s="7"/>
    </row>
    <row r="1111" spans="2:78">
      <c r="B1111" s="7"/>
      <c r="O1111" s="7"/>
      <c r="X1111" s="7"/>
      <c r="AG1111" s="7"/>
      <c r="AP1111" s="7"/>
      <c r="AY1111" s="7"/>
      <c r="BH1111" s="7"/>
      <c r="BQ1111" s="7"/>
      <c r="BZ1111" s="7"/>
    </row>
    <row r="1112" spans="2:78">
      <c r="B1112" s="7"/>
      <c r="O1112" s="7"/>
      <c r="X1112" s="7"/>
      <c r="AG1112" s="7"/>
      <c r="AP1112" s="7"/>
      <c r="AY1112" s="7"/>
      <c r="BH1112" s="7"/>
      <c r="BQ1112" s="7"/>
      <c r="BZ1112" s="7"/>
    </row>
    <row r="1113" spans="2:78">
      <c r="B1113" s="7"/>
      <c r="O1113" s="7"/>
      <c r="X1113" s="7"/>
      <c r="AG1113" s="7"/>
      <c r="AP1113" s="7"/>
      <c r="AY1113" s="7"/>
      <c r="BH1113" s="7"/>
      <c r="BQ1113" s="7"/>
      <c r="BZ1113" s="7"/>
    </row>
    <row r="1114" spans="2:78">
      <c r="B1114" s="7"/>
      <c r="O1114" s="7"/>
      <c r="X1114" s="7"/>
      <c r="AG1114" s="7"/>
      <c r="AP1114" s="7"/>
      <c r="AY1114" s="7"/>
      <c r="BH1114" s="7"/>
      <c r="BQ1114" s="7"/>
      <c r="BZ1114" s="7"/>
    </row>
    <row r="1115" spans="2:78">
      <c r="B1115" s="7"/>
      <c r="O1115" s="7"/>
      <c r="X1115" s="7"/>
      <c r="AG1115" s="7"/>
      <c r="AP1115" s="7"/>
      <c r="AY1115" s="7"/>
      <c r="BH1115" s="7"/>
      <c r="BQ1115" s="7"/>
      <c r="BZ1115" s="7"/>
    </row>
    <row r="1116" spans="2:78">
      <c r="B1116" s="7"/>
      <c r="O1116" s="7"/>
      <c r="X1116" s="7"/>
      <c r="AG1116" s="7"/>
      <c r="AP1116" s="7"/>
      <c r="AY1116" s="7"/>
      <c r="BH1116" s="7"/>
      <c r="BQ1116" s="7"/>
      <c r="BZ1116" s="7"/>
    </row>
    <row r="1117" spans="2:78">
      <c r="B1117" s="7"/>
      <c r="O1117" s="7"/>
      <c r="X1117" s="7"/>
      <c r="AG1117" s="7"/>
      <c r="AP1117" s="7"/>
      <c r="AY1117" s="7"/>
      <c r="BH1117" s="7"/>
      <c r="BQ1117" s="7"/>
      <c r="BZ1117" s="7"/>
    </row>
    <row r="1118" spans="2:78">
      <c r="B1118" s="7"/>
      <c r="O1118" s="7"/>
      <c r="X1118" s="7"/>
      <c r="AG1118" s="7"/>
      <c r="AP1118" s="7"/>
      <c r="AY1118" s="7"/>
      <c r="BH1118" s="7"/>
      <c r="BQ1118" s="7"/>
      <c r="BZ1118" s="7"/>
    </row>
    <row r="1119" spans="2:78">
      <c r="B1119" s="7"/>
      <c r="O1119" s="7"/>
      <c r="X1119" s="7"/>
      <c r="AG1119" s="7"/>
      <c r="AP1119" s="7"/>
      <c r="AY1119" s="7"/>
      <c r="BH1119" s="7"/>
      <c r="BQ1119" s="7"/>
      <c r="BZ1119" s="7"/>
    </row>
    <row r="1120" spans="2:78">
      <c r="B1120" s="7"/>
      <c r="O1120" s="7"/>
      <c r="X1120" s="7"/>
      <c r="AG1120" s="7"/>
      <c r="AP1120" s="7"/>
      <c r="AY1120" s="7"/>
      <c r="BH1120" s="7"/>
      <c r="BQ1120" s="7"/>
      <c r="BZ1120" s="7"/>
    </row>
    <row r="1121" spans="2:78">
      <c r="B1121" s="7"/>
      <c r="O1121" s="7"/>
      <c r="X1121" s="7"/>
      <c r="AG1121" s="7"/>
      <c r="AP1121" s="7"/>
      <c r="AY1121" s="7"/>
      <c r="BH1121" s="7"/>
      <c r="BQ1121" s="7"/>
      <c r="BZ1121" s="7"/>
    </row>
    <row r="1122" spans="2:78">
      <c r="B1122" s="7"/>
      <c r="O1122" s="7"/>
      <c r="X1122" s="7"/>
      <c r="AG1122" s="7"/>
      <c r="AP1122" s="7"/>
      <c r="AY1122" s="7"/>
      <c r="BH1122" s="7"/>
      <c r="BQ1122" s="7"/>
      <c r="BZ1122" s="7"/>
    </row>
    <row r="1123" spans="2:78">
      <c r="B1123" s="7"/>
      <c r="O1123" s="7"/>
      <c r="X1123" s="7"/>
      <c r="AG1123" s="7"/>
      <c r="AP1123" s="7"/>
      <c r="AY1123" s="7"/>
      <c r="BH1123" s="7"/>
      <c r="BQ1123" s="7"/>
      <c r="BZ1123" s="7"/>
    </row>
    <row r="1124" spans="2:78">
      <c r="B1124" s="7"/>
      <c r="O1124" s="7"/>
      <c r="X1124" s="7"/>
      <c r="AG1124" s="7"/>
      <c r="AP1124" s="7"/>
      <c r="AY1124" s="7"/>
      <c r="BH1124" s="7"/>
      <c r="BQ1124" s="7"/>
      <c r="BZ1124" s="7"/>
    </row>
    <row r="1125" spans="2:78">
      <c r="B1125" s="7"/>
      <c r="O1125" s="7"/>
      <c r="X1125" s="7"/>
      <c r="AG1125" s="7"/>
      <c r="AP1125" s="7"/>
      <c r="AY1125" s="7"/>
      <c r="BH1125" s="7"/>
      <c r="BQ1125" s="7"/>
      <c r="BZ1125" s="7"/>
    </row>
    <row r="1126" spans="2:78">
      <c r="B1126" s="7"/>
      <c r="O1126" s="7"/>
      <c r="X1126" s="7"/>
      <c r="AG1126" s="7"/>
      <c r="AP1126" s="7"/>
      <c r="AY1126" s="7"/>
      <c r="BH1126" s="7"/>
      <c r="BQ1126" s="7"/>
      <c r="BZ1126" s="7"/>
    </row>
    <row r="1127" spans="2:78">
      <c r="B1127" s="7"/>
      <c r="O1127" s="7"/>
      <c r="X1127" s="7"/>
      <c r="AG1127" s="7"/>
      <c r="AP1127" s="7"/>
      <c r="AY1127" s="7"/>
      <c r="BH1127" s="7"/>
      <c r="BQ1127" s="7"/>
      <c r="BZ1127" s="7"/>
    </row>
    <row r="1128" spans="2:78">
      <c r="B1128" s="7"/>
      <c r="O1128" s="7"/>
      <c r="X1128" s="7"/>
      <c r="AG1128" s="7"/>
      <c r="AP1128" s="7"/>
      <c r="AY1128" s="7"/>
      <c r="BH1128" s="7"/>
      <c r="BQ1128" s="7"/>
      <c r="BZ1128" s="7"/>
    </row>
    <row r="1129" spans="2:78">
      <c r="B1129" s="7"/>
      <c r="O1129" s="7"/>
      <c r="X1129" s="7"/>
      <c r="AG1129" s="7"/>
      <c r="AP1129" s="7"/>
      <c r="AY1129" s="7"/>
      <c r="BH1129" s="7"/>
      <c r="BQ1129" s="7"/>
      <c r="BZ1129" s="7"/>
    </row>
    <row r="1130" spans="2:78">
      <c r="B1130" s="7"/>
      <c r="O1130" s="7"/>
      <c r="X1130" s="7"/>
      <c r="AG1130" s="7"/>
      <c r="AP1130" s="7"/>
      <c r="AY1130" s="7"/>
      <c r="BH1130" s="7"/>
      <c r="BQ1130" s="7"/>
      <c r="BZ1130" s="7"/>
    </row>
    <row r="1131" spans="2:78">
      <c r="B1131" s="7"/>
      <c r="O1131" s="7"/>
      <c r="X1131" s="7"/>
      <c r="AG1131" s="7"/>
      <c r="AP1131" s="7"/>
      <c r="AY1131" s="7"/>
      <c r="BH1131" s="7"/>
      <c r="BQ1131" s="7"/>
      <c r="BZ1131" s="7"/>
    </row>
    <row r="1132" spans="2:78">
      <c r="B1132" s="7"/>
      <c r="O1132" s="7"/>
      <c r="X1132" s="7"/>
      <c r="AG1132" s="7"/>
      <c r="AP1132" s="7"/>
      <c r="AY1132" s="7"/>
      <c r="BH1132" s="7"/>
      <c r="BQ1132" s="7"/>
      <c r="BZ1132" s="7"/>
    </row>
    <row r="1133" spans="2:78">
      <c r="B1133" s="7"/>
      <c r="O1133" s="7"/>
      <c r="X1133" s="7"/>
      <c r="AG1133" s="7"/>
      <c r="AP1133" s="7"/>
      <c r="AY1133" s="7"/>
      <c r="BH1133" s="7"/>
      <c r="BQ1133" s="7"/>
      <c r="BZ1133" s="7"/>
    </row>
    <row r="1134" spans="2:78">
      <c r="B1134" s="7"/>
      <c r="O1134" s="7"/>
      <c r="X1134" s="7"/>
      <c r="AG1134" s="7"/>
      <c r="AP1134" s="7"/>
      <c r="AY1134" s="7"/>
      <c r="BH1134" s="7"/>
      <c r="BQ1134" s="7"/>
      <c r="BZ1134" s="7"/>
    </row>
    <row r="1135" spans="2:78">
      <c r="B1135" s="7"/>
      <c r="O1135" s="7"/>
      <c r="X1135" s="7"/>
      <c r="AG1135" s="7"/>
      <c r="AP1135" s="7"/>
      <c r="AY1135" s="7"/>
      <c r="BH1135" s="7"/>
      <c r="BQ1135" s="7"/>
      <c r="BZ1135" s="7"/>
    </row>
    <row r="1136" spans="2:78">
      <c r="B1136" s="7"/>
      <c r="O1136" s="7"/>
      <c r="X1136" s="7"/>
      <c r="AG1136" s="7"/>
      <c r="AP1136" s="7"/>
      <c r="AY1136" s="7"/>
      <c r="BH1136" s="7"/>
      <c r="BQ1136" s="7"/>
      <c r="BZ1136" s="7"/>
    </row>
    <row r="1137" spans="2:78">
      <c r="B1137" s="7"/>
      <c r="O1137" s="7"/>
      <c r="X1137" s="7"/>
      <c r="AG1137" s="7"/>
      <c r="AP1137" s="7"/>
      <c r="AY1137" s="7"/>
      <c r="BH1137" s="7"/>
      <c r="BQ1137" s="7"/>
      <c r="BZ1137" s="7"/>
    </row>
    <row r="1138" spans="2:78">
      <c r="B1138" s="7"/>
      <c r="O1138" s="7"/>
      <c r="X1138" s="7"/>
      <c r="AG1138" s="7"/>
      <c r="AP1138" s="7"/>
      <c r="AY1138" s="7"/>
      <c r="BH1138" s="7"/>
      <c r="BQ1138" s="7"/>
      <c r="BZ1138" s="7"/>
    </row>
    <row r="1139" spans="2:78">
      <c r="B1139" s="7"/>
      <c r="O1139" s="7"/>
      <c r="X1139" s="7"/>
      <c r="AG1139" s="7"/>
      <c r="AP1139" s="7"/>
      <c r="AY1139" s="7"/>
      <c r="BH1139" s="7"/>
      <c r="BQ1139" s="7"/>
      <c r="BZ1139" s="7"/>
    </row>
    <row r="1140" spans="2:78">
      <c r="B1140" s="7"/>
      <c r="O1140" s="7"/>
      <c r="X1140" s="7"/>
      <c r="AG1140" s="7"/>
      <c r="AP1140" s="7"/>
      <c r="AY1140" s="7"/>
      <c r="BH1140" s="7"/>
      <c r="BQ1140" s="7"/>
      <c r="BZ1140" s="7"/>
    </row>
    <row r="1141" spans="2:78">
      <c r="B1141" s="7"/>
      <c r="O1141" s="7"/>
      <c r="X1141" s="7"/>
      <c r="AG1141" s="7"/>
      <c r="AP1141" s="7"/>
      <c r="AY1141" s="7"/>
      <c r="BH1141" s="7"/>
      <c r="BQ1141" s="7"/>
      <c r="BZ1141" s="7"/>
    </row>
    <row r="1142" spans="2:78">
      <c r="B1142" s="7"/>
      <c r="O1142" s="7"/>
      <c r="X1142" s="7"/>
      <c r="AG1142" s="7"/>
      <c r="AP1142" s="7"/>
      <c r="AY1142" s="7"/>
      <c r="BH1142" s="7"/>
      <c r="BQ1142" s="7"/>
      <c r="BZ1142" s="7"/>
    </row>
    <row r="1143" spans="2:78">
      <c r="B1143" s="7"/>
      <c r="O1143" s="7"/>
      <c r="X1143" s="7"/>
      <c r="AG1143" s="7"/>
      <c r="AP1143" s="7"/>
      <c r="AY1143" s="7"/>
      <c r="BH1143" s="7"/>
      <c r="BQ1143" s="7"/>
      <c r="BZ1143" s="7"/>
    </row>
    <row r="1144" spans="2:78">
      <c r="B1144" s="7"/>
      <c r="O1144" s="7"/>
      <c r="X1144" s="7"/>
      <c r="AG1144" s="7"/>
      <c r="AP1144" s="7"/>
      <c r="AY1144" s="7"/>
      <c r="BH1144" s="7"/>
      <c r="BQ1144" s="7"/>
      <c r="BZ1144" s="7"/>
    </row>
    <row r="1145" spans="2:78">
      <c r="B1145" s="7"/>
      <c r="O1145" s="7"/>
      <c r="X1145" s="7"/>
      <c r="AG1145" s="7"/>
      <c r="AP1145" s="7"/>
      <c r="AY1145" s="7"/>
      <c r="BH1145" s="7"/>
      <c r="BQ1145" s="7"/>
      <c r="BZ1145" s="7"/>
    </row>
    <row r="1146" spans="2:78">
      <c r="B1146" s="7"/>
      <c r="O1146" s="7"/>
      <c r="X1146" s="7"/>
      <c r="AG1146" s="7"/>
      <c r="AP1146" s="7"/>
      <c r="AY1146" s="7"/>
      <c r="BH1146" s="7"/>
      <c r="BQ1146" s="7"/>
      <c r="BZ1146" s="7"/>
    </row>
    <row r="1147" spans="2:78">
      <c r="B1147" s="7"/>
      <c r="O1147" s="7"/>
      <c r="X1147" s="7"/>
      <c r="AG1147" s="7"/>
      <c r="AP1147" s="7"/>
      <c r="AY1147" s="7"/>
      <c r="BH1147" s="7"/>
      <c r="BQ1147" s="7"/>
      <c r="BZ1147" s="7"/>
    </row>
    <row r="1148" spans="2:78">
      <c r="B1148" s="7"/>
      <c r="O1148" s="7"/>
      <c r="X1148" s="7"/>
      <c r="AG1148" s="7"/>
      <c r="AP1148" s="7"/>
      <c r="AY1148" s="7"/>
      <c r="BH1148" s="7"/>
      <c r="BQ1148" s="7"/>
      <c r="BZ1148" s="7"/>
    </row>
    <row r="1149" spans="2:78">
      <c r="B1149" s="7"/>
      <c r="O1149" s="7"/>
      <c r="X1149" s="7"/>
      <c r="AG1149" s="7"/>
      <c r="AP1149" s="7"/>
      <c r="AY1149" s="7"/>
      <c r="BH1149" s="7"/>
      <c r="BQ1149" s="7"/>
      <c r="BZ1149" s="7"/>
    </row>
    <row r="1150" spans="2:78">
      <c r="B1150" s="7"/>
      <c r="O1150" s="7"/>
      <c r="X1150" s="7"/>
      <c r="AG1150" s="7"/>
      <c r="AP1150" s="7"/>
      <c r="AY1150" s="7"/>
      <c r="BH1150" s="7"/>
      <c r="BQ1150" s="7"/>
      <c r="BZ1150" s="7"/>
    </row>
    <row r="1151" spans="2:78">
      <c r="B1151" s="7"/>
      <c r="O1151" s="7"/>
      <c r="X1151" s="7"/>
      <c r="AG1151" s="7"/>
      <c r="AP1151" s="7"/>
      <c r="AY1151" s="7"/>
      <c r="BH1151" s="7"/>
      <c r="BQ1151" s="7"/>
      <c r="BZ1151" s="7"/>
    </row>
    <row r="1152" spans="2:78">
      <c r="B1152" s="7"/>
      <c r="O1152" s="7"/>
      <c r="X1152" s="7"/>
      <c r="AG1152" s="7"/>
      <c r="AP1152" s="7"/>
      <c r="AY1152" s="7"/>
      <c r="BH1152" s="7"/>
      <c r="BQ1152" s="7"/>
      <c r="BZ1152" s="7"/>
    </row>
    <row r="1153" spans="2:78">
      <c r="B1153" s="7"/>
      <c r="O1153" s="7"/>
      <c r="X1153" s="7"/>
      <c r="AG1153" s="7"/>
      <c r="AP1153" s="7"/>
      <c r="AY1153" s="7"/>
      <c r="BH1153" s="7"/>
      <c r="BQ1153" s="7"/>
      <c r="BZ1153" s="7"/>
    </row>
    <row r="1154" spans="2:78">
      <c r="B1154" s="7"/>
      <c r="O1154" s="7"/>
      <c r="X1154" s="7"/>
      <c r="AG1154" s="7"/>
      <c r="AP1154" s="7"/>
      <c r="AY1154" s="7"/>
      <c r="BH1154" s="7"/>
      <c r="BQ1154" s="7"/>
      <c r="BZ1154" s="7"/>
    </row>
    <row r="1155" spans="2:78">
      <c r="B1155" s="7"/>
      <c r="O1155" s="7"/>
      <c r="X1155" s="7"/>
      <c r="AG1155" s="7"/>
      <c r="AP1155" s="7"/>
      <c r="AY1155" s="7"/>
      <c r="BH1155" s="7"/>
      <c r="BQ1155" s="7"/>
      <c r="BZ1155" s="7"/>
    </row>
    <row r="1156" spans="2:78">
      <c r="B1156" s="7"/>
      <c r="O1156" s="7"/>
      <c r="X1156" s="7"/>
      <c r="AG1156" s="7"/>
      <c r="AP1156" s="7"/>
      <c r="AY1156" s="7"/>
      <c r="BH1156" s="7"/>
      <c r="BQ1156" s="7"/>
      <c r="BZ1156" s="7"/>
    </row>
    <row r="1157" spans="2:78">
      <c r="B1157" s="7"/>
      <c r="O1157" s="7"/>
      <c r="X1157" s="7"/>
      <c r="AG1157" s="7"/>
      <c r="AP1157" s="7"/>
      <c r="AY1157" s="7"/>
      <c r="BH1157" s="7"/>
      <c r="BQ1157" s="7"/>
      <c r="BZ1157" s="7"/>
    </row>
    <row r="1158" spans="2:78">
      <c r="B1158" s="7"/>
      <c r="O1158" s="7"/>
      <c r="X1158" s="7"/>
      <c r="AG1158" s="7"/>
      <c r="AP1158" s="7"/>
      <c r="AY1158" s="7"/>
      <c r="BH1158" s="7"/>
      <c r="BQ1158" s="7"/>
      <c r="BZ1158" s="7"/>
    </row>
    <row r="1159" spans="2:78">
      <c r="B1159" s="7"/>
      <c r="O1159" s="7"/>
      <c r="X1159" s="7"/>
      <c r="AG1159" s="7"/>
      <c r="AP1159" s="7"/>
      <c r="AY1159" s="7"/>
      <c r="BH1159" s="7"/>
      <c r="BQ1159" s="7"/>
      <c r="BZ1159" s="7"/>
    </row>
    <row r="1160" spans="2:78">
      <c r="B1160" s="7"/>
      <c r="O1160" s="7"/>
      <c r="X1160" s="7"/>
      <c r="AG1160" s="7"/>
      <c r="AP1160" s="7"/>
      <c r="AY1160" s="7"/>
      <c r="BH1160" s="7"/>
      <c r="BQ1160" s="7"/>
      <c r="BZ1160" s="7"/>
    </row>
    <row r="1161" spans="2:78">
      <c r="B1161" s="7"/>
      <c r="O1161" s="7"/>
      <c r="X1161" s="7"/>
      <c r="AG1161" s="7"/>
      <c r="AP1161" s="7"/>
      <c r="AY1161" s="7"/>
      <c r="BH1161" s="7"/>
      <c r="BQ1161" s="7"/>
      <c r="BZ1161" s="7"/>
    </row>
    <row r="1162" spans="2:78">
      <c r="B1162" s="7"/>
      <c r="O1162" s="7"/>
      <c r="X1162" s="7"/>
      <c r="AG1162" s="7"/>
      <c r="AP1162" s="7"/>
      <c r="AY1162" s="7"/>
      <c r="BH1162" s="7"/>
      <c r="BQ1162" s="7"/>
      <c r="BZ1162" s="7"/>
    </row>
    <row r="1163" spans="2:78">
      <c r="B1163" s="7"/>
      <c r="O1163" s="7"/>
      <c r="X1163" s="7"/>
      <c r="AG1163" s="7"/>
      <c r="AP1163" s="7"/>
      <c r="AY1163" s="7"/>
      <c r="BH1163" s="7"/>
      <c r="BQ1163" s="7"/>
      <c r="BZ1163" s="7"/>
    </row>
    <row r="1164" spans="2:78">
      <c r="B1164" s="7"/>
      <c r="O1164" s="7"/>
      <c r="X1164" s="7"/>
      <c r="AG1164" s="7"/>
      <c r="AP1164" s="7"/>
      <c r="AY1164" s="7"/>
      <c r="BH1164" s="7"/>
      <c r="BQ1164" s="7"/>
      <c r="BZ1164" s="7"/>
    </row>
    <row r="1165" spans="2:78">
      <c r="B1165" s="7"/>
      <c r="O1165" s="7"/>
      <c r="X1165" s="7"/>
      <c r="AG1165" s="7"/>
      <c r="AP1165" s="7"/>
      <c r="AY1165" s="7"/>
      <c r="BH1165" s="7"/>
      <c r="BQ1165" s="7"/>
      <c r="BZ1165" s="7"/>
    </row>
    <row r="1166" spans="2:78">
      <c r="B1166" s="7"/>
      <c r="O1166" s="7"/>
      <c r="X1166" s="7"/>
      <c r="AG1166" s="7"/>
      <c r="AP1166" s="7"/>
      <c r="AY1166" s="7"/>
      <c r="BH1166" s="7"/>
      <c r="BQ1166" s="7"/>
      <c r="BZ1166" s="7"/>
    </row>
    <row r="1167" spans="2:78">
      <c r="B1167" s="7"/>
      <c r="O1167" s="7"/>
      <c r="X1167" s="7"/>
      <c r="AG1167" s="7"/>
      <c r="AP1167" s="7"/>
      <c r="AY1167" s="7"/>
      <c r="BH1167" s="7"/>
      <c r="BQ1167" s="7"/>
      <c r="BZ1167" s="7"/>
    </row>
    <row r="1168" spans="2:78">
      <c r="B1168" s="7"/>
      <c r="O1168" s="7"/>
      <c r="X1168" s="7"/>
      <c r="AG1168" s="7"/>
      <c r="AP1168" s="7"/>
      <c r="AY1168" s="7"/>
      <c r="BH1168" s="7"/>
      <c r="BQ1168" s="7"/>
      <c r="BZ1168" s="7"/>
    </row>
    <row r="1169" spans="2:78">
      <c r="B1169" s="7"/>
      <c r="O1169" s="7"/>
      <c r="X1169" s="7"/>
      <c r="AG1169" s="7"/>
      <c r="AP1169" s="7"/>
      <c r="AY1169" s="7"/>
      <c r="BH1169" s="7"/>
      <c r="BQ1169" s="7"/>
      <c r="BZ1169" s="7"/>
    </row>
    <row r="1170" spans="2:78">
      <c r="B1170" s="7"/>
      <c r="O1170" s="7"/>
      <c r="X1170" s="7"/>
      <c r="AG1170" s="7"/>
      <c r="AP1170" s="7"/>
      <c r="AY1170" s="7"/>
      <c r="BH1170" s="7"/>
      <c r="BQ1170" s="7"/>
      <c r="BZ1170" s="7"/>
    </row>
    <row r="1171" spans="2:78">
      <c r="B1171" s="7"/>
      <c r="O1171" s="7"/>
      <c r="X1171" s="7"/>
      <c r="AG1171" s="7"/>
      <c r="AP1171" s="7"/>
      <c r="AY1171" s="7"/>
      <c r="BH1171" s="7"/>
      <c r="BQ1171" s="7"/>
      <c r="BZ1171" s="7"/>
    </row>
    <row r="1172" spans="2:78">
      <c r="B1172" s="7"/>
      <c r="O1172" s="7"/>
      <c r="X1172" s="7"/>
      <c r="AG1172" s="7"/>
      <c r="AP1172" s="7"/>
      <c r="AY1172" s="7"/>
      <c r="BH1172" s="7"/>
      <c r="BQ1172" s="7"/>
      <c r="BZ1172" s="7"/>
    </row>
    <row r="1173" spans="2:78">
      <c r="B1173" s="7"/>
      <c r="O1173" s="7"/>
      <c r="X1173" s="7"/>
      <c r="AG1173" s="7"/>
      <c r="AP1173" s="7"/>
      <c r="AY1173" s="7"/>
      <c r="BH1173" s="7"/>
      <c r="BQ1173" s="7"/>
      <c r="BZ1173" s="7"/>
    </row>
    <row r="1174" spans="2:78">
      <c r="B1174" s="7"/>
      <c r="O1174" s="7"/>
      <c r="X1174" s="7"/>
      <c r="AG1174" s="7"/>
      <c r="AP1174" s="7"/>
      <c r="AY1174" s="7"/>
      <c r="BH1174" s="7"/>
      <c r="BQ1174" s="7"/>
      <c r="BZ1174" s="7"/>
    </row>
    <row r="1175" spans="2:78">
      <c r="B1175" s="7"/>
      <c r="O1175" s="7"/>
      <c r="X1175" s="7"/>
      <c r="AG1175" s="7"/>
      <c r="AP1175" s="7"/>
      <c r="AY1175" s="7"/>
      <c r="BH1175" s="7"/>
      <c r="BQ1175" s="7"/>
      <c r="BZ1175" s="7"/>
    </row>
    <row r="1176" spans="2:78">
      <c r="B1176" s="7"/>
      <c r="O1176" s="7"/>
      <c r="X1176" s="7"/>
      <c r="AG1176" s="7"/>
      <c r="AP1176" s="7"/>
      <c r="AY1176" s="7"/>
      <c r="BH1176" s="7"/>
      <c r="BQ1176" s="7"/>
      <c r="BZ1176" s="7"/>
    </row>
    <row r="1177" spans="2:78">
      <c r="B1177" s="7"/>
      <c r="O1177" s="7"/>
      <c r="X1177" s="7"/>
      <c r="AG1177" s="7"/>
      <c r="AP1177" s="7"/>
      <c r="AY1177" s="7"/>
      <c r="BH1177" s="7"/>
      <c r="BQ1177" s="7"/>
      <c r="BZ1177" s="7"/>
    </row>
    <row r="1178" spans="2:78">
      <c r="B1178" s="7"/>
      <c r="O1178" s="7"/>
      <c r="X1178" s="7"/>
      <c r="AG1178" s="7"/>
      <c r="AP1178" s="7"/>
      <c r="AY1178" s="7"/>
      <c r="BH1178" s="7"/>
      <c r="BQ1178" s="7"/>
      <c r="BZ1178" s="7"/>
    </row>
    <row r="1179" spans="2:78">
      <c r="B1179" s="7"/>
      <c r="O1179" s="7"/>
      <c r="X1179" s="7"/>
      <c r="AG1179" s="7"/>
      <c r="AP1179" s="7"/>
      <c r="AY1179" s="7"/>
      <c r="BH1179" s="7"/>
      <c r="BQ1179" s="7"/>
      <c r="BZ1179" s="7"/>
    </row>
    <row r="1180" spans="2:78">
      <c r="B1180" s="7"/>
      <c r="O1180" s="7"/>
      <c r="X1180" s="7"/>
      <c r="AG1180" s="7"/>
      <c r="AP1180" s="7"/>
      <c r="AY1180" s="7"/>
      <c r="BH1180" s="7"/>
      <c r="BQ1180" s="7"/>
      <c r="BZ1180" s="7"/>
    </row>
    <row r="1181" spans="2:78">
      <c r="B1181" s="7"/>
      <c r="O1181" s="7"/>
      <c r="X1181" s="7"/>
      <c r="AG1181" s="7"/>
      <c r="AP1181" s="7"/>
      <c r="AY1181" s="7"/>
      <c r="BH1181" s="7"/>
      <c r="BQ1181" s="7"/>
      <c r="BZ1181" s="7"/>
    </row>
    <row r="1182" spans="2:78">
      <c r="B1182" s="7"/>
      <c r="O1182" s="7"/>
      <c r="X1182" s="7"/>
      <c r="AG1182" s="7"/>
      <c r="AP1182" s="7"/>
      <c r="AY1182" s="7"/>
      <c r="BH1182" s="7"/>
      <c r="BQ1182" s="7"/>
      <c r="BZ1182" s="7"/>
    </row>
    <row r="1183" spans="2:78">
      <c r="B1183" s="7"/>
      <c r="O1183" s="7"/>
      <c r="X1183" s="7"/>
      <c r="AG1183" s="7"/>
      <c r="AP1183" s="7"/>
      <c r="AY1183" s="7"/>
      <c r="BH1183" s="7"/>
      <c r="BQ1183" s="7"/>
      <c r="BZ1183" s="7"/>
    </row>
    <row r="1184" spans="2:78">
      <c r="B1184" s="7"/>
      <c r="O1184" s="7"/>
      <c r="X1184" s="7"/>
      <c r="AG1184" s="7"/>
      <c r="AP1184" s="7"/>
      <c r="AY1184" s="7"/>
      <c r="BH1184" s="7"/>
      <c r="BQ1184" s="7"/>
      <c r="BZ1184" s="7"/>
    </row>
    <row r="1185" spans="2:78">
      <c r="B1185" s="7"/>
      <c r="O1185" s="7"/>
      <c r="X1185" s="7"/>
      <c r="AG1185" s="7"/>
      <c r="AP1185" s="7"/>
      <c r="AY1185" s="7"/>
      <c r="BH1185" s="7"/>
      <c r="BQ1185" s="7"/>
      <c r="BZ1185" s="7"/>
    </row>
    <row r="1186" spans="2:78">
      <c r="B1186" s="7"/>
      <c r="O1186" s="7"/>
      <c r="X1186" s="7"/>
      <c r="AG1186" s="7"/>
      <c r="AP1186" s="7"/>
      <c r="AY1186" s="7"/>
      <c r="BH1186" s="7"/>
      <c r="BQ1186" s="7"/>
      <c r="BZ1186" s="7"/>
    </row>
    <row r="1187" spans="2:78">
      <c r="B1187" s="7"/>
      <c r="O1187" s="7"/>
      <c r="X1187" s="7"/>
      <c r="AG1187" s="7"/>
      <c r="AP1187" s="7"/>
      <c r="AY1187" s="7"/>
      <c r="BH1187" s="7"/>
      <c r="BQ1187" s="7"/>
      <c r="BZ1187" s="7"/>
    </row>
    <row r="1188" spans="2:78">
      <c r="B1188" s="7"/>
      <c r="O1188" s="7"/>
      <c r="X1188" s="7"/>
      <c r="AG1188" s="7"/>
      <c r="AP1188" s="7"/>
      <c r="AY1188" s="7"/>
      <c r="BH1188" s="7"/>
      <c r="BQ1188" s="7"/>
      <c r="BZ1188" s="7"/>
    </row>
    <row r="1189" spans="2:78">
      <c r="B1189" s="7"/>
      <c r="O1189" s="7"/>
      <c r="X1189" s="7"/>
      <c r="AG1189" s="7"/>
      <c r="AP1189" s="7"/>
      <c r="AY1189" s="7"/>
      <c r="BH1189" s="7"/>
      <c r="BQ1189" s="7"/>
      <c r="BZ1189" s="7"/>
    </row>
    <row r="1190" spans="2:78">
      <c r="B1190" s="7"/>
      <c r="O1190" s="7"/>
      <c r="X1190" s="7"/>
      <c r="AG1190" s="7"/>
      <c r="AP1190" s="7"/>
      <c r="AY1190" s="7"/>
      <c r="BH1190" s="7"/>
      <c r="BQ1190" s="7"/>
      <c r="BZ1190" s="7"/>
    </row>
    <row r="1191" spans="2:78">
      <c r="B1191" s="7"/>
      <c r="O1191" s="7"/>
      <c r="X1191" s="7"/>
      <c r="AG1191" s="7"/>
      <c r="AP1191" s="7"/>
      <c r="AY1191" s="7"/>
      <c r="BH1191" s="7"/>
      <c r="BQ1191" s="7"/>
      <c r="BZ1191" s="7"/>
    </row>
    <row r="1192" spans="2:78">
      <c r="B1192" s="7"/>
      <c r="O1192" s="7"/>
      <c r="X1192" s="7"/>
      <c r="AG1192" s="7"/>
      <c r="AP1192" s="7"/>
      <c r="AY1192" s="7"/>
      <c r="BH1192" s="7"/>
      <c r="BQ1192" s="7"/>
      <c r="BZ1192" s="7"/>
    </row>
    <row r="1193" spans="2:78">
      <c r="B1193" s="7"/>
      <c r="O1193" s="7"/>
      <c r="X1193" s="7"/>
      <c r="AG1193" s="7"/>
      <c r="AP1193" s="7"/>
      <c r="AY1193" s="7"/>
      <c r="BH1193" s="7"/>
      <c r="BQ1193" s="7"/>
      <c r="BZ1193" s="7"/>
    </row>
    <row r="1194" spans="2:78">
      <c r="B1194" s="7"/>
      <c r="O1194" s="7"/>
      <c r="X1194" s="7"/>
      <c r="AG1194" s="7"/>
      <c r="AP1194" s="7"/>
      <c r="AY1194" s="7"/>
      <c r="BH1194" s="7"/>
      <c r="BQ1194" s="7"/>
      <c r="BZ1194" s="7"/>
    </row>
    <row r="1195" spans="2:78">
      <c r="B1195" s="7"/>
      <c r="O1195" s="7"/>
      <c r="X1195" s="7"/>
      <c r="AG1195" s="7"/>
      <c r="AP1195" s="7"/>
      <c r="AY1195" s="7"/>
      <c r="BH1195" s="7"/>
      <c r="BQ1195" s="7"/>
      <c r="BZ1195" s="7"/>
    </row>
    <row r="1196" spans="2:78">
      <c r="B1196" s="7"/>
      <c r="O1196" s="7"/>
      <c r="X1196" s="7"/>
      <c r="AG1196" s="7"/>
      <c r="AP1196" s="7"/>
      <c r="AY1196" s="7"/>
      <c r="BH1196" s="7"/>
      <c r="BQ1196" s="7"/>
      <c r="BZ1196" s="7"/>
    </row>
    <row r="1197" spans="2:78">
      <c r="B1197" s="7"/>
      <c r="O1197" s="7"/>
      <c r="X1197" s="7"/>
      <c r="AG1197" s="7"/>
      <c r="AP1197" s="7"/>
      <c r="AY1197" s="7"/>
      <c r="BH1197" s="7"/>
      <c r="BQ1197" s="7"/>
      <c r="BZ1197" s="7"/>
    </row>
    <row r="1198" spans="2:78">
      <c r="B1198" s="7"/>
      <c r="O1198" s="7"/>
      <c r="X1198" s="7"/>
      <c r="AG1198" s="7"/>
      <c r="AP1198" s="7"/>
      <c r="AY1198" s="7"/>
      <c r="BH1198" s="7"/>
      <c r="BQ1198" s="7"/>
      <c r="BZ1198" s="7"/>
    </row>
    <row r="1199" spans="2:78">
      <c r="B1199" s="7"/>
      <c r="O1199" s="7"/>
      <c r="X1199" s="7"/>
      <c r="AG1199" s="7"/>
      <c r="AP1199" s="7"/>
      <c r="AY1199" s="7"/>
      <c r="BH1199" s="7"/>
      <c r="BQ1199" s="7"/>
      <c r="BZ1199" s="7"/>
    </row>
    <row r="1200" spans="2:78">
      <c r="B1200" s="7"/>
      <c r="O1200" s="7"/>
      <c r="X1200" s="7"/>
      <c r="AG1200" s="7"/>
      <c r="AP1200" s="7"/>
      <c r="AY1200" s="7"/>
      <c r="BH1200" s="7"/>
      <c r="BQ1200" s="7"/>
      <c r="BZ1200" s="7"/>
    </row>
    <row r="1201" spans="2:78">
      <c r="B1201" s="7"/>
      <c r="O1201" s="7"/>
      <c r="X1201" s="7"/>
      <c r="AG1201" s="7"/>
      <c r="AP1201" s="7"/>
      <c r="AY1201" s="7"/>
      <c r="BH1201" s="7"/>
      <c r="BQ1201" s="7"/>
      <c r="BZ1201" s="7"/>
    </row>
    <row r="1202" spans="2:78">
      <c r="B1202" s="7"/>
      <c r="O1202" s="7"/>
      <c r="X1202" s="7"/>
      <c r="AG1202" s="7"/>
      <c r="AP1202" s="7"/>
      <c r="AY1202" s="7"/>
      <c r="BH1202" s="7"/>
      <c r="BQ1202" s="7"/>
      <c r="BZ1202" s="7"/>
    </row>
    <row r="1203" spans="2:78">
      <c r="B1203" s="7"/>
      <c r="O1203" s="7"/>
      <c r="X1203" s="7"/>
      <c r="AG1203" s="7"/>
      <c r="AP1203" s="7"/>
      <c r="AY1203" s="7"/>
      <c r="BH1203" s="7"/>
      <c r="BQ1203" s="7"/>
      <c r="BZ1203" s="7"/>
    </row>
    <row r="1204" spans="2:78">
      <c r="B1204" s="7"/>
      <c r="O1204" s="7"/>
      <c r="X1204" s="7"/>
      <c r="AG1204" s="7"/>
      <c r="AP1204" s="7"/>
      <c r="AY1204" s="7"/>
      <c r="BH1204" s="7"/>
      <c r="BQ1204" s="7"/>
      <c r="BZ1204" s="7"/>
    </row>
    <row r="1205" spans="2:78">
      <c r="B1205" s="7"/>
      <c r="O1205" s="7"/>
      <c r="X1205" s="7"/>
      <c r="AG1205" s="7"/>
      <c r="AP1205" s="7"/>
      <c r="AY1205" s="7"/>
      <c r="BH1205" s="7"/>
      <c r="BQ1205" s="7"/>
      <c r="BZ1205" s="7"/>
    </row>
    <row r="1206" spans="2:78">
      <c r="B1206" s="7"/>
      <c r="O1206" s="7"/>
      <c r="X1206" s="7"/>
      <c r="AG1206" s="7"/>
      <c r="AP1206" s="7"/>
      <c r="AY1206" s="7"/>
      <c r="BH1206" s="7"/>
      <c r="BQ1206" s="7"/>
      <c r="BZ1206" s="7"/>
    </row>
    <row r="1207" spans="2:78">
      <c r="B1207" s="7"/>
      <c r="O1207" s="7"/>
      <c r="X1207" s="7"/>
      <c r="AG1207" s="7"/>
      <c r="AP1207" s="7"/>
      <c r="AY1207" s="7"/>
      <c r="BH1207" s="7"/>
      <c r="BQ1207" s="7"/>
      <c r="BZ1207" s="7"/>
    </row>
    <row r="1208" spans="2:78">
      <c r="B1208" s="7"/>
      <c r="O1208" s="7"/>
      <c r="X1208" s="7"/>
      <c r="AG1208" s="7"/>
      <c r="AP1208" s="7"/>
      <c r="AY1208" s="7"/>
      <c r="BH1208" s="7"/>
      <c r="BQ1208" s="7"/>
      <c r="BZ1208" s="7"/>
    </row>
    <row r="1209" spans="2:78">
      <c r="B1209" s="7"/>
      <c r="O1209" s="7"/>
      <c r="X1209" s="7"/>
      <c r="AG1209" s="7"/>
      <c r="AP1209" s="7"/>
      <c r="AY1209" s="7"/>
      <c r="BH1209" s="7"/>
      <c r="BQ1209" s="7"/>
      <c r="BZ1209" s="7"/>
    </row>
    <row r="1210" spans="2:78">
      <c r="B1210" s="7"/>
      <c r="O1210" s="7"/>
      <c r="X1210" s="7"/>
      <c r="AG1210" s="7"/>
      <c r="AP1210" s="7"/>
      <c r="AY1210" s="7"/>
      <c r="BH1210" s="7"/>
      <c r="BQ1210" s="7"/>
      <c r="BZ1210" s="7"/>
    </row>
    <row r="1211" spans="2:78">
      <c r="B1211" s="7"/>
      <c r="O1211" s="7"/>
      <c r="X1211" s="7"/>
      <c r="AG1211" s="7"/>
      <c r="AP1211" s="7"/>
      <c r="AY1211" s="7"/>
      <c r="BH1211" s="7"/>
      <c r="BQ1211" s="7"/>
      <c r="BZ1211" s="7"/>
    </row>
    <row r="1212" spans="2:78">
      <c r="B1212" s="7"/>
      <c r="O1212" s="7"/>
      <c r="X1212" s="7"/>
      <c r="AG1212" s="7"/>
      <c r="AP1212" s="7"/>
      <c r="AY1212" s="7"/>
      <c r="BH1212" s="7"/>
      <c r="BQ1212" s="7"/>
      <c r="BZ1212" s="7"/>
    </row>
    <row r="1213" spans="2:78">
      <c r="B1213" s="7"/>
      <c r="O1213" s="7"/>
      <c r="X1213" s="7"/>
      <c r="AG1213" s="7"/>
      <c r="AP1213" s="7"/>
      <c r="AY1213" s="7"/>
      <c r="BH1213" s="7"/>
      <c r="BQ1213" s="7"/>
      <c r="BZ1213" s="7"/>
    </row>
    <row r="1214" spans="2:78">
      <c r="B1214" s="7"/>
      <c r="O1214" s="7"/>
      <c r="X1214" s="7"/>
      <c r="AG1214" s="7"/>
      <c r="AP1214" s="7"/>
      <c r="AY1214" s="7"/>
      <c r="BH1214" s="7"/>
      <c r="BQ1214" s="7"/>
      <c r="BZ1214" s="7"/>
    </row>
    <row r="1215" spans="2:78">
      <c r="B1215" s="7"/>
      <c r="O1215" s="7"/>
      <c r="X1215" s="7"/>
      <c r="AG1215" s="7"/>
      <c r="AP1215" s="7"/>
      <c r="AY1215" s="7"/>
      <c r="BH1215" s="7"/>
      <c r="BQ1215" s="7"/>
      <c r="BZ1215" s="7"/>
    </row>
    <row r="1216" spans="2:78">
      <c r="B1216" s="7"/>
      <c r="O1216" s="7"/>
      <c r="X1216" s="7"/>
      <c r="AG1216" s="7"/>
      <c r="AP1216" s="7"/>
      <c r="AY1216" s="7"/>
      <c r="BH1216" s="7"/>
      <c r="BQ1216" s="7"/>
      <c r="BZ1216" s="7"/>
    </row>
    <row r="1217" spans="2:78">
      <c r="B1217" s="7"/>
      <c r="O1217" s="7"/>
      <c r="X1217" s="7"/>
      <c r="AG1217" s="7"/>
      <c r="AP1217" s="7"/>
      <c r="AY1217" s="7"/>
      <c r="BH1217" s="7"/>
      <c r="BQ1217" s="7"/>
      <c r="BZ1217" s="7"/>
    </row>
    <row r="1218" spans="2:78">
      <c r="B1218" s="7"/>
      <c r="O1218" s="7"/>
      <c r="X1218" s="7"/>
      <c r="AG1218" s="7"/>
      <c r="AP1218" s="7"/>
      <c r="AY1218" s="7"/>
      <c r="BH1218" s="7"/>
      <c r="BQ1218" s="7"/>
      <c r="BZ1218" s="7"/>
    </row>
    <row r="1219" spans="2:78">
      <c r="B1219" s="7"/>
      <c r="O1219" s="7"/>
      <c r="X1219" s="7"/>
      <c r="AG1219" s="7"/>
      <c r="AP1219" s="7"/>
      <c r="AY1219" s="7"/>
      <c r="BH1219" s="7"/>
      <c r="BQ1219" s="7"/>
      <c r="BZ1219" s="7"/>
    </row>
    <row r="1220" spans="2:78">
      <c r="B1220" s="7"/>
      <c r="O1220" s="7"/>
      <c r="X1220" s="7"/>
      <c r="AG1220" s="7"/>
      <c r="AP1220" s="7"/>
      <c r="AY1220" s="7"/>
      <c r="BH1220" s="7"/>
      <c r="BQ1220" s="7"/>
      <c r="BZ1220" s="7"/>
    </row>
    <row r="1221" spans="2:78">
      <c r="B1221" s="7"/>
      <c r="O1221" s="7"/>
      <c r="X1221" s="7"/>
      <c r="AG1221" s="7"/>
      <c r="AP1221" s="7"/>
      <c r="AY1221" s="7"/>
      <c r="BH1221" s="7"/>
      <c r="BQ1221" s="7"/>
      <c r="BZ1221" s="7"/>
    </row>
    <row r="1222" spans="2:78">
      <c r="B1222" s="7"/>
      <c r="O1222" s="7"/>
      <c r="X1222" s="7"/>
      <c r="AG1222" s="7"/>
      <c r="AP1222" s="7"/>
      <c r="AY1222" s="7"/>
      <c r="BH1222" s="7"/>
      <c r="BQ1222" s="7"/>
      <c r="BZ1222" s="7"/>
    </row>
    <row r="1223" spans="2:78">
      <c r="B1223" s="7"/>
      <c r="O1223" s="7"/>
      <c r="X1223" s="7"/>
      <c r="AG1223" s="7"/>
      <c r="AP1223" s="7"/>
      <c r="AY1223" s="7"/>
      <c r="BH1223" s="7"/>
      <c r="BQ1223" s="7"/>
      <c r="BZ1223" s="7"/>
    </row>
    <row r="1224" spans="2:78">
      <c r="B1224" s="7"/>
      <c r="O1224" s="7"/>
      <c r="X1224" s="7"/>
      <c r="AG1224" s="7"/>
      <c r="AP1224" s="7"/>
      <c r="AY1224" s="7"/>
      <c r="BH1224" s="7"/>
      <c r="BQ1224" s="7"/>
      <c r="BZ1224" s="7"/>
    </row>
    <row r="1225" spans="2:78">
      <c r="B1225" s="7"/>
      <c r="O1225" s="7"/>
      <c r="X1225" s="7"/>
      <c r="AG1225" s="7"/>
      <c r="AP1225" s="7"/>
      <c r="AY1225" s="7"/>
      <c r="BH1225" s="7"/>
      <c r="BQ1225" s="7"/>
      <c r="BZ1225" s="7"/>
    </row>
    <row r="1226" spans="2:78">
      <c r="B1226" s="7"/>
      <c r="O1226" s="7"/>
      <c r="X1226" s="7"/>
      <c r="AG1226" s="7"/>
      <c r="AP1226" s="7"/>
      <c r="AY1226" s="7"/>
      <c r="BH1226" s="7"/>
      <c r="BQ1226" s="7"/>
      <c r="BZ1226" s="7"/>
    </row>
    <row r="1227" spans="2:78">
      <c r="B1227" s="7"/>
      <c r="O1227" s="7"/>
      <c r="X1227" s="7"/>
      <c r="AG1227" s="7"/>
      <c r="AP1227" s="7"/>
      <c r="AY1227" s="7"/>
      <c r="BH1227" s="7"/>
      <c r="BQ1227" s="7"/>
      <c r="BZ1227" s="7"/>
    </row>
    <row r="1228" spans="2:78">
      <c r="B1228" s="7"/>
      <c r="O1228" s="7"/>
      <c r="X1228" s="7"/>
      <c r="AG1228" s="7"/>
      <c r="AP1228" s="7"/>
      <c r="AY1228" s="7"/>
      <c r="BH1228" s="7"/>
      <c r="BQ1228" s="7"/>
      <c r="BZ1228" s="7"/>
    </row>
    <row r="1229" spans="2:78">
      <c r="B1229" s="7"/>
      <c r="O1229" s="7"/>
      <c r="X1229" s="7"/>
      <c r="AG1229" s="7"/>
      <c r="AP1229" s="7"/>
      <c r="AY1229" s="7"/>
      <c r="BH1229" s="7"/>
      <c r="BQ1229" s="7"/>
      <c r="BZ1229" s="7"/>
    </row>
    <row r="1230" spans="2:78">
      <c r="B1230" s="7"/>
      <c r="O1230" s="7"/>
      <c r="X1230" s="7"/>
      <c r="AG1230" s="7"/>
      <c r="AP1230" s="7"/>
      <c r="AY1230" s="7"/>
      <c r="BH1230" s="7"/>
      <c r="BQ1230" s="7"/>
      <c r="BZ1230" s="7"/>
    </row>
    <row r="1231" spans="2:78">
      <c r="B1231" s="7"/>
      <c r="O1231" s="7"/>
      <c r="X1231" s="7"/>
      <c r="AG1231" s="7"/>
      <c r="AP1231" s="7"/>
      <c r="AY1231" s="7"/>
      <c r="BH1231" s="7"/>
      <c r="BQ1231" s="7"/>
      <c r="BZ1231" s="7"/>
    </row>
    <row r="1232" spans="2:78">
      <c r="B1232" s="7"/>
      <c r="O1232" s="7"/>
      <c r="X1232" s="7"/>
      <c r="AG1232" s="7"/>
      <c r="AP1232" s="7"/>
      <c r="AY1232" s="7"/>
      <c r="BH1232" s="7"/>
      <c r="BQ1232" s="7"/>
      <c r="BZ1232" s="7"/>
    </row>
    <row r="1233" spans="2:78">
      <c r="B1233" s="7"/>
      <c r="O1233" s="7"/>
      <c r="X1233" s="7"/>
      <c r="AG1233" s="7"/>
      <c r="AP1233" s="7"/>
      <c r="AY1233" s="7"/>
      <c r="BH1233" s="7"/>
      <c r="BQ1233" s="7"/>
      <c r="BZ1233" s="7"/>
    </row>
    <row r="1234" spans="2:78">
      <c r="B1234" s="7"/>
      <c r="O1234" s="7"/>
      <c r="X1234" s="7"/>
      <c r="AG1234" s="7"/>
      <c r="AP1234" s="7"/>
      <c r="AY1234" s="7"/>
      <c r="BH1234" s="7"/>
      <c r="BQ1234" s="7"/>
      <c r="BZ1234" s="7"/>
    </row>
    <row r="1235" spans="2:78">
      <c r="B1235" s="7"/>
      <c r="O1235" s="7"/>
      <c r="X1235" s="7"/>
      <c r="AG1235" s="7"/>
      <c r="AP1235" s="7"/>
      <c r="AY1235" s="7"/>
      <c r="BH1235" s="7"/>
      <c r="BQ1235" s="7"/>
      <c r="BZ1235" s="7"/>
    </row>
    <row r="1236" spans="2:78">
      <c r="B1236" s="7"/>
      <c r="O1236" s="7"/>
      <c r="X1236" s="7"/>
      <c r="AG1236" s="7"/>
      <c r="AP1236" s="7"/>
      <c r="AY1236" s="7"/>
      <c r="BH1236" s="7"/>
      <c r="BQ1236" s="7"/>
      <c r="BZ1236" s="7"/>
    </row>
    <row r="1237" spans="2:78">
      <c r="B1237" s="7"/>
      <c r="O1237" s="7"/>
      <c r="X1237" s="7"/>
      <c r="AG1237" s="7"/>
      <c r="AP1237" s="7"/>
      <c r="AY1237" s="7"/>
      <c r="BH1237" s="7"/>
      <c r="BQ1237" s="7"/>
      <c r="BZ1237" s="7"/>
    </row>
    <row r="1238" spans="2:78">
      <c r="B1238" s="7"/>
      <c r="O1238" s="7"/>
      <c r="X1238" s="7"/>
      <c r="AG1238" s="7"/>
      <c r="AP1238" s="7"/>
      <c r="AY1238" s="7"/>
      <c r="BH1238" s="7"/>
      <c r="BQ1238" s="7"/>
      <c r="BZ1238" s="7"/>
    </row>
    <row r="1239" spans="2:78">
      <c r="B1239" s="7"/>
      <c r="O1239" s="7"/>
      <c r="X1239" s="7"/>
      <c r="AG1239" s="7"/>
      <c r="AP1239" s="7"/>
      <c r="AY1239" s="7"/>
      <c r="BH1239" s="7"/>
      <c r="BQ1239" s="7"/>
      <c r="BZ1239" s="7"/>
    </row>
    <row r="1240" spans="2:78">
      <c r="B1240" s="7"/>
      <c r="O1240" s="7"/>
      <c r="X1240" s="7"/>
      <c r="AG1240" s="7"/>
      <c r="AP1240" s="7"/>
      <c r="AY1240" s="7"/>
      <c r="BH1240" s="7"/>
      <c r="BQ1240" s="7"/>
      <c r="BZ1240" s="7"/>
    </row>
    <row r="1241" spans="2:78">
      <c r="B1241" s="7"/>
      <c r="O1241" s="7"/>
      <c r="X1241" s="7"/>
      <c r="AG1241" s="7"/>
      <c r="AP1241" s="7"/>
      <c r="AY1241" s="7"/>
      <c r="BH1241" s="7"/>
      <c r="BQ1241" s="7"/>
      <c r="BZ1241" s="7"/>
    </row>
    <row r="1242" spans="2:78">
      <c r="B1242" s="7"/>
      <c r="O1242" s="7"/>
      <c r="X1242" s="7"/>
      <c r="AG1242" s="7"/>
      <c r="AP1242" s="7"/>
      <c r="AY1242" s="7"/>
      <c r="BH1242" s="7"/>
      <c r="BQ1242" s="7"/>
      <c r="BZ1242" s="7"/>
    </row>
    <row r="1243" spans="2:78">
      <c r="B1243" s="7"/>
      <c r="O1243" s="7"/>
      <c r="X1243" s="7"/>
      <c r="AG1243" s="7"/>
      <c r="AP1243" s="7"/>
      <c r="AY1243" s="7"/>
      <c r="BH1243" s="7"/>
      <c r="BQ1243" s="7"/>
      <c r="BZ1243" s="7"/>
    </row>
    <row r="1244" spans="2:78">
      <c r="B1244" s="7"/>
      <c r="O1244" s="7"/>
      <c r="X1244" s="7"/>
      <c r="AG1244" s="7"/>
      <c r="AP1244" s="7"/>
      <c r="AY1244" s="7"/>
      <c r="BH1244" s="7"/>
      <c r="BQ1244" s="7"/>
      <c r="BZ1244" s="7"/>
    </row>
    <row r="1245" spans="2:78">
      <c r="B1245" s="7"/>
      <c r="O1245" s="7"/>
      <c r="X1245" s="7"/>
      <c r="AG1245" s="7"/>
      <c r="AP1245" s="7"/>
      <c r="AY1245" s="7"/>
      <c r="BH1245" s="7"/>
      <c r="BQ1245" s="7"/>
      <c r="BZ1245" s="7"/>
    </row>
    <row r="1246" spans="2:78">
      <c r="B1246" s="7"/>
      <c r="O1246" s="7"/>
      <c r="X1246" s="7"/>
      <c r="AG1246" s="7"/>
      <c r="AP1246" s="7"/>
      <c r="AY1246" s="7"/>
      <c r="BH1246" s="7"/>
      <c r="BQ1246" s="7"/>
      <c r="BZ1246" s="7"/>
    </row>
    <row r="1247" spans="2:78">
      <c r="B1247" s="7"/>
      <c r="O1247" s="7"/>
      <c r="X1247" s="7"/>
      <c r="AG1247" s="7"/>
      <c r="AP1247" s="7"/>
      <c r="AY1247" s="7"/>
      <c r="BH1247" s="7"/>
      <c r="BQ1247" s="7"/>
      <c r="BZ1247" s="7"/>
    </row>
    <row r="1248" spans="2:78">
      <c r="B1248" s="7"/>
      <c r="O1248" s="7"/>
      <c r="X1248" s="7"/>
      <c r="AG1248" s="7"/>
      <c r="AP1248" s="7"/>
      <c r="AY1248" s="7"/>
      <c r="BH1248" s="7"/>
      <c r="BQ1248" s="7"/>
      <c r="BZ1248" s="7"/>
    </row>
    <row r="1249" spans="2:78">
      <c r="B1249" s="7"/>
      <c r="O1249" s="7"/>
      <c r="X1249" s="7"/>
      <c r="AG1249" s="7"/>
      <c r="AP1249" s="7"/>
      <c r="AY1249" s="7"/>
      <c r="BH1249" s="7"/>
      <c r="BQ1249" s="7"/>
      <c r="BZ1249" s="7"/>
    </row>
    <row r="1250" spans="2:78">
      <c r="B1250" s="7"/>
      <c r="O1250" s="7"/>
      <c r="X1250" s="7"/>
      <c r="AG1250" s="7"/>
      <c r="AP1250" s="7"/>
      <c r="AY1250" s="7"/>
      <c r="BH1250" s="7"/>
      <c r="BQ1250" s="7"/>
      <c r="BZ1250" s="7"/>
    </row>
    <row r="1251" spans="2:78">
      <c r="B1251" s="7"/>
      <c r="O1251" s="7"/>
      <c r="X1251" s="7"/>
      <c r="AG1251" s="7"/>
      <c r="AP1251" s="7"/>
      <c r="AY1251" s="7"/>
      <c r="BH1251" s="7"/>
      <c r="BQ1251" s="7"/>
      <c r="BZ1251" s="7"/>
    </row>
    <row r="1252" spans="2:78">
      <c r="B1252" s="7"/>
      <c r="O1252" s="7"/>
      <c r="X1252" s="7"/>
      <c r="AG1252" s="7"/>
      <c r="AP1252" s="7"/>
      <c r="AY1252" s="7"/>
      <c r="BH1252" s="7"/>
      <c r="BQ1252" s="7"/>
      <c r="BZ1252" s="7"/>
    </row>
    <row r="1253" spans="2:78">
      <c r="B1253" s="7"/>
      <c r="O1253" s="7"/>
      <c r="X1253" s="7"/>
      <c r="AG1253" s="7"/>
      <c r="AP1253" s="7"/>
      <c r="AY1253" s="7"/>
      <c r="BH1253" s="7"/>
      <c r="BQ1253" s="7"/>
      <c r="BZ1253" s="7"/>
    </row>
    <row r="1254" spans="2:78">
      <c r="B1254" s="7"/>
      <c r="O1254" s="7"/>
      <c r="X1254" s="7"/>
      <c r="AG1254" s="7"/>
      <c r="AP1254" s="7"/>
      <c r="AY1254" s="7"/>
      <c r="BH1254" s="7"/>
      <c r="BQ1254" s="7"/>
      <c r="BZ1254" s="7"/>
    </row>
    <row r="1255" spans="2:78">
      <c r="B1255" s="7"/>
      <c r="O1255" s="7"/>
      <c r="X1255" s="7"/>
      <c r="AG1255" s="7"/>
      <c r="AP1255" s="7"/>
      <c r="AY1255" s="7"/>
      <c r="BH1255" s="7"/>
      <c r="BQ1255" s="7"/>
      <c r="BZ1255" s="7"/>
    </row>
    <row r="1256" spans="2:78">
      <c r="B1256" s="7"/>
      <c r="O1256" s="7"/>
      <c r="X1256" s="7"/>
      <c r="AG1256" s="7"/>
      <c r="AP1256" s="7"/>
      <c r="AY1256" s="7"/>
      <c r="BH1256" s="7"/>
      <c r="BQ1256" s="7"/>
      <c r="BZ1256" s="7"/>
    </row>
    <row r="1257" spans="2:78">
      <c r="B1257" s="7"/>
      <c r="O1257" s="7"/>
      <c r="X1257" s="7"/>
      <c r="AG1257" s="7"/>
      <c r="AP1257" s="7"/>
      <c r="AY1257" s="7"/>
      <c r="BH1257" s="7"/>
      <c r="BQ1257" s="7"/>
      <c r="BZ1257" s="7"/>
    </row>
    <row r="1258" spans="2:78">
      <c r="B1258" s="7"/>
      <c r="O1258" s="7"/>
      <c r="X1258" s="7"/>
      <c r="AG1258" s="7"/>
      <c r="AP1258" s="7"/>
      <c r="AY1258" s="7"/>
      <c r="BH1258" s="7"/>
      <c r="BQ1258" s="7"/>
      <c r="BZ1258" s="7"/>
    </row>
    <row r="1259" spans="2:78">
      <c r="B1259" s="7"/>
      <c r="O1259" s="7"/>
      <c r="X1259" s="7"/>
      <c r="AG1259" s="7"/>
      <c r="AP1259" s="7"/>
      <c r="AY1259" s="7"/>
      <c r="BH1259" s="7"/>
      <c r="BQ1259" s="7"/>
      <c r="BZ1259" s="7"/>
    </row>
    <row r="1260" spans="2:78">
      <c r="B1260" s="7"/>
      <c r="O1260" s="7"/>
      <c r="X1260" s="7"/>
      <c r="AG1260" s="7"/>
      <c r="AP1260" s="7"/>
      <c r="AY1260" s="7"/>
      <c r="BH1260" s="7"/>
      <c r="BQ1260" s="7"/>
      <c r="BZ1260" s="7"/>
    </row>
    <row r="1261" spans="2:78">
      <c r="B1261" s="7"/>
      <c r="O1261" s="7"/>
      <c r="X1261" s="7"/>
      <c r="AG1261" s="7"/>
      <c r="AP1261" s="7"/>
      <c r="AY1261" s="7"/>
      <c r="BH1261" s="7"/>
      <c r="BQ1261" s="7"/>
      <c r="BZ1261" s="7"/>
    </row>
    <row r="1262" spans="2:78">
      <c r="B1262" s="7"/>
      <c r="O1262" s="7"/>
      <c r="X1262" s="7"/>
      <c r="AG1262" s="7"/>
      <c r="AP1262" s="7"/>
      <c r="AY1262" s="7"/>
      <c r="BH1262" s="7"/>
      <c r="BQ1262" s="7"/>
      <c r="BZ1262" s="7"/>
    </row>
    <row r="1263" spans="2:78">
      <c r="B1263" s="7"/>
      <c r="O1263" s="7"/>
      <c r="X1263" s="7"/>
      <c r="AG1263" s="7"/>
      <c r="AP1263" s="7"/>
      <c r="AY1263" s="7"/>
      <c r="BH1263" s="7"/>
      <c r="BQ1263" s="7"/>
      <c r="BZ1263" s="7"/>
    </row>
    <row r="1264" spans="2:78">
      <c r="B1264" s="7"/>
      <c r="O1264" s="7"/>
      <c r="X1264" s="7"/>
      <c r="AG1264" s="7"/>
      <c r="AP1264" s="7"/>
      <c r="AY1264" s="7"/>
      <c r="BH1264" s="7"/>
      <c r="BQ1264" s="7"/>
      <c r="BZ1264" s="7"/>
    </row>
    <row r="1265" spans="2:78">
      <c r="B1265" s="7"/>
      <c r="O1265" s="7"/>
      <c r="X1265" s="7"/>
      <c r="AG1265" s="7"/>
      <c r="AP1265" s="7"/>
      <c r="AY1265" s="7"/>
      <c r="BH1265" s="7"/>
      <c r="BQ1265" s="7"/>
      <c r="BZ1265" s="7"/>
    </row>
    <row r="1266" spans="2:78">
      <c r="B1266" s="7"/>
      <c r="O1266" s="7"/>
      <c r="X1266" s="7"/>
      <c r="AG1266" s="7"/>
      <c r="AP1266" s="7"/>
      <c r="AY1266" s="7"/>
      <c r="BH1266" s="7"/>
      <c r="BQ1266" s="7"/>
      <c r="BZ1266" s="7"/>
    </row>
    <row r="1267" spans="2:78">
      <c r="B1267" s="7"/>
      <c r="O1267" s="7"/>
      <c r="X1267" s="7"/>
      <c r="AG1267" s="7"/>
      <c r="AP1267" s="7"/>
      <c r="AY1267" s="7"/>
      <c r="BH1267" s="7"/>
      <c r="BQ1267" s="7"/>
      <c r="BZ1267" s="7"/>
    </row>
    <row r="1268" spans="2:78">
      <c r="B1268" s="7"/>
      <c r="O1268" s="7"/>
      <c r="X1268" s="7"/>
      <c r="AG1268" s="7"/>
      <c r="AP1268" s="7"/>
      <c r="AY1268" s="7"/>
      <c r="BH1268" s="7"/>
      <c r="BQ1268" s="7"/>
      <c r="BZ1268" s="7"/>
    </row>
    <row r="1269" spans="2:78">
      <c r="B1269" s="7"/>
      <c r="O1269" s="7"/>
      <c r="X1269" s="7"/>
      <c r="AG1269" s="7"/>
      <c r="AP1269" s="7"/>
      <c r="AY1269" s="7"/>
      <c r="BH1269" s="7"/>
      <c r="BQ1269" s="7"/>
      <c r="BZ1269" s="7"/>
    </row>
    <row r="1270" spans="2:78">
      <c r="B1270" s="7"/>
      <c r="O1270" s="7"/>
      <c r="X1270" s="7"/>
      <c r="AG1270" s="7"/>
      <c r="AP1270" s="7"/>
      <c r="AY1270" s="7"/>
      <c r="BH1270" s="7"/>
      <c r="BQ1270" s="7"/>
      <c r="BZ1270" s="7"/>
    </row>
    <row r="1271" spans="2:78">
      <c r="B1271" s="7"/>
      <c r="O1271" s="7"/>
      <c r="X1271" s="7"/>
      <c r="AG1271" s="7"/>
      <c r="AP1271" s="7"/>
      <c r="AY1271" s="7"/>
      <c r="BH1271" s="7"/>
      <c r="BQ1271" s="7"/>
      <c r="BZ1271" s="7"/>
    </row>
    <row r="1272" spans="2:78">
      <c r="B1272" s="7"/>
      <c r="O1272" s="7"/>
      <c r="X1272" s="7"/>
      <c r="AG1272" s="7"/>
      <c r="AP1272" s="7"/>
      <c r="AY1272" s="7"/>
      <c r="BH1272" s="7"/>
      <c r="BQ1272" s="7"/>
      <c r="BZ1272" s="7"/>
    </row>
    <row r="1273" spans="2:78">
      <c r="B1273" s="7"/>
      <c r="O1273" s="7"/>
      <c r="X1273" s="7"/>
      <c r="AG1273" s="7"/>
      <c r="AP1273" s="7"/>
      <c r="AY1273" s="7"/>
      <c r="BH1273" s="7"/>
      <c r="BQ1273" s="7"/>
      <c r="BZ1273" s="7"/>
    </row>
    <row r="1274" spans="2:78">
      <c r="B1274" s="7"/>
      <c r="O1274" s="7"/>
      <c r="X1274" s="7"/>
      <c r="AG1274" s="7"/>
      <c r="AP1274" s="7"/>
      <c r="AY1274" s="7"/>
      <c r="BH1274" s="7"/>
      <c r="BQ1274" s="7"/>
      <c r="BZ1274" s="7"/>
    </row>
    <row r="1275" spans="2:78">
      <c r="B1275" s="7"/>
      <c r="O1275" s="7"/>
      <c r="X1275" s="7"/>
      <c r="AG1275" s="7"/>
      <c r="AP1275" s="7"/>
      <c r="AY1275" s="7"/>
      <c r="BH1275" s="7"/>
      <c r="BQ1275" s="7"/>
      <c r="BZ1275" s="7"/>
    </row>
    <row r="1276" spans="2:78">
      <c r="B1276" s="7"/>
      <c r="O1276" s="7"/>
      <c r="X1276" s="7"/>
      <c r="AG1276" s="7"/>
      <c r="AP1276" s="7"/>
      <c r="AY1276" s="7"/>
      <c r="BH1276" s="7"/>
      <c r="BQ1276" s="7"/>
      <c r="BZ1276" s="7"/>
    </row>
    <row r="1277" spans="2:78">
      <c r="B1277" s="7"/>
      <c r="O1277" s="7"/>
      <c r="X1277" s="7"/>
      <c r="AG1277" s="7"/>
      <c r="AP1277" s="7"/>
      <c r="AY1277" s="7"/>
      <c r="BH1277" s="7"/>
      <c r="BQ1277" s="7"/>
      <c r="BZ1277" s="7"/>
    </row>
    <row r="1278" spans="2:78">
      <c r="B1278" s="7"/>
      <c r="O1278" s="7"/>
      <c r="X1278" s="7"/>
      <c r="AG1278" s="7"/>
      <c r="AP1278" s="7"/>
      <c r="AY1278" s="7"/>
      <c r="BH1278" s="7"/>
      <c r="BQ1278" s="7"/>
      <c r="BZ1278" s="7"/>
    </row>
    <row r="1279" spans="2:78">
      <c r="B1279" s="7"/>
      <c r="O1279" s="7"/>
      <c r="X1279" s="7"/>
      <c r="AG1279" s="7"/>
      <c r="AP1279" s="7"/>
      <c r="AY1279" s="7"/>
      <c r="BH1279" s="7"/>
      <c r="BQ1279" s="7"/>
      <c r="BZ1279" s="7"/>
    </row>
    <row r="1280" spans="2:78">
      <c r="B1280" s="7"/>
      <c r="O1280" s="7"/>
      <c r="X1280" s="7"/>
      <c r="AG1280" s="7"/>
      <c r="AP1280" s="7"/>
      <c r="AY1280" s="7"/>
      <c r="BH1280" s="7"/>
      <c r="BQ1280" s="7"/>
      <c r="BZ1280" s="7"/>
    </row>
    <row r="1281" spans="2:78">
      <c r="B1281" s="7"/>
      <c r="O1281" s="7"/>
      <c r="X1281" s="7"/>
      <c r="AG1281" s="7"/>
      <c r="AP1281" s="7"/>
      <c r="AY1281" s="7"/>
      <c r="BH1281" s="7"/>
      <c r="BQ1281" s="7"/>
      <c r="BZ1281" s="7"/>
    </row>
    <row r="1282" spans="2:78">
      <c r="B1282" s="7"/>
      <c r="O1282" s="7"/>
      <c r="X1282" s="7"/>
      <c r="AG1282" s="7"/>
      <c r="AP1282" s="7"/>
      <c r="AY1282" s="7"/>
      <c r="BH1282" s="7"/>
      <c r="BQ1282" s="7"/>
      <c r="BZ1282" s="7"/>
    </row>
    <row r="1283" spans="2:78">
      <c r="B1283" s="7"/>
      <c r="O1283" s="7"/>
      <c r="X1283" s="7"/>
      <c r="AG1283" s="7"/>
      <c r="AP1283" s="7"/>
      <c r="AY1283" s="7"/>
      <c r="BH1283" s="7"/>
      <c r="BQ1283" s="7"/>
      <c r="BZ1283" s="7"/>
    </row>
    <row r="1284" spans="2:78">
      <c r="B1284" s="7"/>
      <c r="O1284" s="7"/>
      <c r="X1284" s="7"/>
      <c r="AG1284" s="7"/>
      <c r="AP1284" s="7"/>
      <c r="AY1284" s="7"/>
      <c r="BH1284" s="7"/>
      <c r="BQ1284" s="7"/>
      <c r="BZ1284" s="7"/>
    </row>
    <row r="1285" spans="2:78">
      <c r="B1285" s="7"/>
      <c r="O1285" s="7"/>
      <c r="X1285" s="7"/>
      <c r="AG1285" s="7"/>
      <c r="AP1285" s="7"/>
      <c r="AY1285" s="7"/>
      <c r="BH1285" s="7"/>
      <c r="BQ1285" s="7"/>
      <c r="BZ1285" s="7"/>
    </row>
    <row r="1286" spans="2:78">
      <c r="B1286" s="7"/>
      <c r="O1286" s="7"/>
      <c r="X1286" s="7"/>
      <c r="AG1286" s="7"/>
      <c r="AP1286" s="7"/>
      <c r="AY1286" s="7"/>
      <c r="BH1286" s="7"/>
      <c r="BQ1286" s="7"/>
      <c r="BZ1286" s="7"/>
    </row>
    <row r="1287" spans="2:78">
      <c r="B1287" s="7"/>
      <c r="O1287" s="7"/>
      <c r="X1287" s="7"/>
      <c r="AG1287" s="7"/>
      <c r="AP1287" s="7"/>
      <c r="AY1287" s="7"/>
      <c r="BH1287" s="7"/>
      <c r="BQ1287" s="7"/>
      <c r="BZ1287" s="7"/>
    </row>
    <row r="1288" spans="2:78">
      <c r="B1288" s="7"/>
      <c r="O1288" s="7"/>
      <c r="X1288" s="7"/>
      <c r="AG1288" s="7"/>
      <c r="AP1288" s="7"/>
      <c r="AY1288" s="7"/>
      <c r="BH1288" s="7"/>
      <c r="BQ1288" s="7"/>
      <c r="BZ1288" s="7"/>
    </row>
    <row r="1289" spans="2:78">
      <c r="B1289" s="7"/>
      <c r="O1289" s="7"/>
      <c r="X1289" s="7"/>
      <c r="AG1289" s="7"/>
      <c r="AP1289" s="7"/>
      <c r="AY1289" s="7"/>
      <c r="BH1289" s="7"/>
      <c r="BQ1289" s="7"/>
      <c r="BZ1289" s="7"/>
    </row>
    <row r="1290" spans="2:78">
      <c r="B1290" s="7"/>
      <c r="O1290" s="7"/>
      <c r="X1290" s="7"/>
      <c r="AG1290" s="7"/>
      <c r="AP1290" s="7"/>
      <c r="AY1290" s="7"/>
      <c r="BH1290" s="7"/>
      <c r="BQ1290" s="7"/>
      <c r="BZ1290" s="7"/>
    </row>
    <row r="1291" spans="2:78">
      <c r="B1291" s="7"/>
      <c r="O1291" s="7"/>
      <c r="X1291" s="7"/>
      <c r="AG1291" s="7"/>
      <c r="AP1291" s="7"/>
      <c r="AY1291" s="7"/>
      <c r="BH1291" s="7"/>
      <c r="BQ1291" s="7"/>
      <c r="BZ1291" s="7"/>
    </row>
    <row r="1292" spans="2:78">
      <c r="B1292" s="7"/>
      <c r="O1292" s="7"/>
      <c r="X1292" s="7"/>
      <c r="AG1292" s="7"/>
      <c r="AP1292" s="7"/>
      <c r="AY1292" s="7"/>
      <c r="BH1292" s="7"/>
      <c r="BQ1292" s="7"/>
      <c r="BZ1292" s="7"/>
    </row>
    <row r="1293" spans="2:78">
      <c r="B1293" s="7"/>
      <c r="O1293" s="7"/>
      <c r="X1293" s="7"/>
      <c r="AG1293" s="7"/>
      <c r="AP1293" s="7"/>
      <c r="AY1293" s="7"/>
      <c r="BH1293" s="7"/>
      <c r="BQ1293" s="7"/>
      <c r="BZ1293" s="7"/>
    </row>
    <row r="1294" spans="2:78">
      <c r="B1294" s="7"/>
      <c r="O1294" s="7"/>
      <c r="X1294" s="7"/>
      <c r="AG1294" s="7"/>
      <c r="AP1294" s="7"/>
      <c r="AY1294" s="7"/>
      <c r="BH1294" s="7"/>
      <c r="BQ1294" s="7"/>
      <c r="BZ1294" s="7"/>
    </row>
    <row r="1295" spans="2:78">
      <c r="B1295" s="7"/>
      <c r="O1295" s="7"/>
      <c r="X1295" s="7"/>
      <c r="AG1295" s="7"/>
      <c r="AP1295" s="7"/>
      <c r="AY1295" s="7"/>
      <c r="BH1295" s="7"/>
      <c r="BQ1295" s="7"/>
      <c r="BZ1295" s="7"/>
    </row>
    <row r="1296" spans="2:78">
      <c r="B1296" s="7"/>
      <c r="O1296" s="7"/>
      <c r="X1296" s="7"/>
      <c r="AG1296" s="7"/>
      <c r="AP1296" s="7"/>
      <c r="AY1296" s="7"/>
      <c r="BH1296" s="7"/>
      <c r="BQ1296" s="7"/>
      <c r="BZ1296" s="7"/>
    </row>
    <row r="1297" spans="2:78">
      <c r="B1297" s="7"/>
      <c r="O1297" s="7"/>
      <c r="X1297" s="7"/>
      <c r="AG1297" s="7"/>
      <c r="AP1297" s="7"/>
      <c r="AY1297" s="7"/>
      <c r="BH1297" s="7"/>
      <c r="BQ1297" s="7"/>
      <c r="BZ1297" s="7"/>
    </row>
    <row r="1298" spans="2:78">
      <c r="B1298" s="7"/>
      <c r="O1298" s="7"/>
      <c r="X1298" s="7"/>
      <c r="AG1298" s="7"/>
      <c r="AP1298" s="7"/>
      <c r="AY1298" s="7"/>
      <c r="BH1298" s="7"/>
      <c r="BQ1298" s="7"/>
      <c r="BZ1298" s="7"/>
    </row>
    <row r="1299" spans="2:78">
      <c r="B1299" s="7"/>
      <c r="O1299" s="7"/>
      <c r="X1299" s="7"/>
      <c r="AG1299" s="7"/>
      <c r="AP1299" s="7"/>
      <c r="AY1299" s="7"/>
      <c r="BH1299" s="7"/>
      <c r="BQ1299" s="7"/>
      <c r="BZ1299" s="7"/>
    </row>
    <row r="1300" spans="2:78">
      <c r="B1300" s="7"/>
      <c r="O1300" s="7"/>
      <c r="X1300" s="7"/>
      <c r="AG1300" s="7"/>
      <c r="AP1300" s="7"/>
      <c r="AY1300" s="7"/>
      <c r="BH1300" s="7"/>
      <c r="BQ1300" s="7"/>
      <c r="BZ1300" s="7"/>
    </row>
    <row r="1301" spans="2:78">
      <c r="B1301" s="7"/>
      <c r="O1301" s="7"/>
      <c r="X1301" s="7"/>
      <c r="AG1301" s="7"/>
      <c r="AP1301" s="7"/>
      <c r="AY1301" s="7"/>
      <c r="BH1301" s="7"/>
      <c r="BQ1301" s="7"/>
      <c r="BZ1301" s="7"/>
    </row>
    <row r="1302" spans="2:78">
      <c r="B1302" s="7"/>
      <c r="O1302" s="7"/>
      <c r="X1302" s="7"/>
      <c r="AG1302" s="7"/>
      <c r="AP1302" s="7"/>
      <c r="AY1302" s="7"/>
      <c r="BH1302" s="7"/>
      <c r="BQ1302" s="7"/>
      <c r="BZ1302" s="7"/>
    </row>
    <row r="1303" spans="2:78">
      <c r="B1303" s="7"/>
      <c r="O1303" s="7"/>
      <c r="X1303" s="7"/>
      <c r="AG1303" s="7"/>
      <c r="AP1303" s="7"/>
      <c r="AY1303" s="7"/>
      <c r="BH1303" s="7"/>
      <c r="BQ1303" s="7"/>
      <c r="BZ1303" s="7"/>
    </row>
    <row r="1304" spans="2:78">
      <c r="B1304" s="7"/>
      <c r="O1304" s="7"/>
      <c r="X1304" s="7"/>
      <c r="AG1304" s="7"/>
      <c r="AP1304" s="7"/>
      <c r="AY1304" s="7"/>
      <c r="BH1304" s="7"/>
      <c r="BQ1304" s="7"/>
      <c r="BZ1304" s="7"/>
    </row>
    <row r="1305" spans="2:78">
      <c r="B1305" s="7"/>
      <c r="O1305" s="7"/>
      <c r="X1305" s="7"/>
      <c r="AG1305" s="7"/>
      <c r="AP1305" s="7"/>
      <c r="AY1305" s="7"/>
      <c r="BH1305" s="7"/>
      <c r="BQ1305" s="7"/>
      <c r="BZ1305" s="7"/>
    </row>
    <row r="1306" spans="2:78">
      <c r="B1306" s="7"/>
      <c r="O1306" s="7"/>
      <c r="X1306" s="7"/>
      <c r="AG1306" s="7"/>
      <c r="AP1306" s="7"/>
      <c r="AY1306" s="7"/>
      <c r="BH1306" s="7"/>
      <c r="BQ1306" s="7"/>
      <c r="BZ1306" s="7"/>
    </row>
    <row r="1307" spans="2:78">
      <c r="B1307" s="7"/>
      <c r="O1307" s="7"/>
      <c r="X1307" s="7"/>
      <c r="AG1307" s="7"/>
      <c r="AP1307" s="7"/>
      <c r="AY1307" s="7"/>
      <c r="BH1307" s="7"/>
      <c r="BQ1307" s="7"/>
      <c r="BZ1307" s="7"/>
    </row>
    <row r="1308" spans="2:78">
      <c r="B1308" s="7"/>
      <c r="O1308" s="7"/>
      <c r="X1308" s="7"/>
      <c r="AG1308" s="7"/>
      <c r="AP1308" s="7"/>
      <c r="AY1308" s="7"/>
      <c r="BH1308" s="7"/>
      <c r="BQ1308" s="7"/>
      <c r="BZ1308" s="7"/>
    </row>
    <row r="1309" spans="2:78">
      <c r="B1309" s="7"/>
      <c r="O1309" s="7"/>
      <c r="X1309" s="7"/>
      <c r="AG1309" s="7"/>
      <c r="AP1309" s="7"/>
      <c r="AY1309" s="7"/>
      <c r="BH1309" s="7"/>
      <c r="BQ1309" s="7"/>
      <c r="BZ1309" s="7"/>
    </row>
    <row r="1310" spans="2:78">
      <c r="B1310" s="7"/>
      <c r="O1310" s="7"/>
      <c r="X1310" s="7"/>
      <c r="AG1310" s="7"/>
      <c r="AP1310" s="7"/>
      <c r="AY1310" s="7"/>
      <c r="BH1310" s="7"/>
      <c r="BQ1310" s="7"/>
      <c r="BZ1310" s="7"/>
    </row>
    <row r="1311" spans="2:78">
      <c r="B1311" s="7"/>
      <c r="O1311" s="7"/>
      <c r="X1311" s="7"/>
      <c r="AG1311" s="7"/>
      <c r="AP1311" s="7"/>
      <c r="AY1311" s="7"/>
      <c r="BH1311" s="7"/>
      <c r="BQ1311" s="7"/>
      <c r="BZ1311" s="7"/>
    </row>
    <row r="1312" spans="2:78">
      <c r="B1312" s="7"/>
      <c r="O1312" s="7"/>
      <c r="X1312" s="7"/>
      <c r="AG1312" s="7"/>
      <c r="AP1312" s="7"/>
      <c r="AY1312" s="7"/>
      <c r="BH1312" s="7"/>
      <c r="BQ1312" s="7"/>
      <c r="BZ1312" s="7"/>
    </row>
    <row r="1313" spans="2:78">
      <c r="B1313" s="7"/>
      <c r="O1313" s="7"/>
      <c r="X1313" s="7"/>
      <c r="AG1313" s="7"/>
      <c r="AP1313" s="7"/>
      <c r="AY1313" s="7"/>
      <c r="BH1313" s="7"/>
      <c r="BQ1313" s="7"/>
      <c r="BZ1313" s="7"/>
    </row>
    <row r="1314" spans="2:78">
      <c r="B1314" s="7"/>
      <c r="O1314" s="7"/>
      <c r="X1314" s="7"/>
      <c r="AG1314" s="7"/>
      <c r="AP1314" s="7"/>
      <c r="AY1314" s="7"/>
      <c r="BH1314" s="7"/>
      <c r="BQ1314" s="7"/>
      <c r="BZ1314" s="7"/>
    </row>
    <row r="1315" spans="2:78">
      <c r="B1315" s="7"/>
      <c r="O1315" s="7"/>
      <c r="X1315" s="7"/>
      <c r="AG1315" s="7"/>
      <c r="AP1315" s="7"/>
      <c r="AY1315" s="7"/>
      <c r="BH1315" s="7"/>
      <c r="BQ1315" s="7"/>
      <c r="BZ1315" s="7"/>
    </row>
    <row r="1316" spans="2:78">
      <c r="B1316" s="7"/>
      <c r="O1316" s="7"/>
      <c r="X1316" s="7"/>
      <c r="AG1316" s="7"/>
      <c r="AP1316" s="7"/>
      <c r="AY1316" s="7"/>
      <c r="BH1316" s="7"/>
      <c r="BQ1316" s="7"/>
      <c r="BZ1316" s="7"/>
    </row>
    <row r="1317" spans="2:78">
      <c r="B1317" s="7"/>
      <c r="O1317" s="7"/>
      <c r="X1317" s="7"/>
      <c r="AG1317" s="7"/>
      <c r="AP1317" s="7"/>
      <c r="AY1317" s="7"/>
      <c r="BH1317" s="7"/>
      <c r="BQ1317" s="7"/>
      <c r="BZ1317" s="7"/>
    </row>
    <row r="1318" spans="2:78">
      <c r="B1318" s="7"/>
      <c r="O1318" s="7"/>
      <c r="X1318" s="7"/>
      <c r="AG1318" s="7"/>
      <c r="AP1318" s="7"/>
      <c r="AY1318" s="7"/>
      <c r="BH1318" s="7"/>
      <c r="BQ1318" s="7"/>
      <c r="BZ1318" s="7"/>
    </row>
    <row r="1319" spans="2:78">
      <c r="B1319" s="7"/>
      <c r="O1319" s="7"/>
      <c r="X1319" s="7"/>
      <c r="AG1319" s="7"/>
      <c r="AP1319" s="7"/>
      <c r="AY1319" s="7"/>
      <c r="BH1319" s="7"/>
      <c r="BQ1319" s="7"/>
      <c r="BZ1319" s="7"/>
    </row>
    <row r="1320" spans="2:78">
      <c r="B1320" s="7"/>
      <c r="O1320" s="7"/>
      <c r="X1320" s="7"/>
      <c r="AG1320" s="7"/>
      <c r="AP1320" s="7"/>
      <c r="AY1320" s="7"/>
      <c r="BH1320" s="7"/>
      <c r="BQ1320" s="7"/>
      <c r="BZ1320" s="7"/>
    </row>
    <row r="1321" spans="2:78">
      <c r="B1321" s="7"/>
      <c r="O1321" s="7"/>
      <c r="X1321" s="7"/>
      <c r="AG1321" s="7"/>
      <c r="AP1321" s="7"/>
      <c r="AY1321" s="7"/>
      <c r="BH1321" s="7"/>
      <c r="BQ1321" s="7"/>
      <c r="BZ1321" s="7"/>
    </row>
    <row r="1322" spans="2:78">
      <c r="B1322" s="7"/>
      <c r="O1322" s="7"/>
      <c r="X1322" s="7"/>
      <c r="AG1322" s="7"/>
      <c r="AP1322" s="7"/>
      <c r="AY1322" s="7"/>
      <c r="BH1322" s="7"/>
      <c r="BQ1322" s="7"/>
      <c r="BZ1322" s="7"/>
    </row>
    <row r="1323" spans="2:78">
      <c r="B1323" s="7"/>
      <c r="O1323" s="7"/>
      <c r="X1323" s="7"/>
      <c r="AG1323" s="7"/>
      <c r="AP1323" s="7"/>
      <c r="AY1323" s="7"/>
      <c r="BH1323" s="7"/>
      <c r="BQ1323" s="7"/>
      <c r="BZ1323" s="7"/>
    </row>
    <row r="1324" spans="2:78">
      <c r="B1324" s="7"/>
      <c r="O1324" s="7"/>
      <c r="X1324" s="7"/>
      <c r="AG1324" s="7"/>
      <c r="AP1324" s="7"/>
      <c r="AY1324" s="7"/>
      <c r="BH1324" s="7"/>
      <c r="BQ1324" s="7"/>
      <c r="BZ1324" s="7"/>
    </row>
    <row r="1325" spans="2:78">
      <c r="B1325" s="7"/>
      <c r="O1325" s="7"/>
      <c r="X1325" s="7"/>
      <c r="AG1325" s="7"/>
      <c r="AP1325" s="7"/>
      <c r="AY1325" s="7"/>
      <c r="BH1325" s="7"/>
      <c r="BQ1325" s="7"/>
      <c r="BZ1325" s="7"/>
    </row>
    <row r="1326" spans="2:78">
      <c r="B1326" s="7"/>
      <c r="O1326" s="7"/>
      <c r="X1326" s="7"/>
      <c r="AG1326" s="7"/>
      <c r="AP1326" s="7"/>
      <c r="AY1326" s="7"/>
      <c r="BH1326" s="7"/>
      <c r="BQ1326" s="7"/>
      <c r="BZ1326" s="7"/>
    </row>
    <row r="1327" spans="2:78">
      <c r="B1327" s="7"/>
      <c r="O1327" s="7"/>
      <c r="X1327" s="7"/>
      <c r="AG1327" s="7"/>
      <c r="AP1327" s="7"/>
      <c r="AY1327" s="7"/>
      <c r="BH1327" s="7"/>
      <c r="BQ1327" s="7"/>
      <c r="BZ1327" s="7"/>
    </row>
    <row r="1328" spans="2:78">
      <c r="B1328" s="7"/>
      <c r="O1328" s="7"/>
      <c r="X1328" s="7"/>
      <c r="AG1328" s="7"/>
      <c r="AP1328" s="7"/>
      <c r="AY1328" s="7"/>
      <c r="BH1328" s="7"/>
      <c r="BQ1328" s="7"/>
      <c r="BZ1328" s="7"/>
    </row>
    <row r="1329" spans="2:78">
      <c r="B1329" s="7"/>
      <c r="O1329" s="7"/>
      <c r="X1329" s="7"/>
      <c r="AG1329" s="7"/>
      <c r="AP1329" s="7"/>
      <c r="AY1329" s="7"/>
      <c r="BH1329" s="7"/>
      <c r="BQ1329" s="7"/>
      <c r="BZ1329" s="7"/>
    </row>
    <row r="1330" spans="2:78">
      <c r="B1330" s="7"/>
      <c r="O1330" s="7"/>
      <c r="X1330" s="7"/>
      <c r="AG1330" s="7"/>
      <c r="AP1330" s="7"/>
      <c r="AY1330" s="7"/>
      <c r="BH1330" s="7"/>
      <c r="BQ1330" s="7"/>
      <c r="BZ1330" s="7"/>
    </row>
    <row r="1331" spans="2:78">
      <c r="B1331" s="7"/>
      <c r="O1331" s="7"/>
      <c r="X1331" s="7"/>
      <c r="AG1331" s="7"/>
      <c r="AP1331" s="7"/>
      <c r="AY1331" s="7"/>
      <c r="BH1331" s="7"/>
      <c r="BQ1331" s="7"/>
      <c r="BZ1331" s="7"/>
    </row>
    <row r="1332" spans="2:78">
      <c r="B1332" s="7"/>
      <c r="O1332" s="7"/>
      <c r="X1332" s="7"/>
      <c r="AG1332" s="7"/>
      <c r="AP1332" s="7"/>
      <c r="AY1332" s="7"/>
      <c r="BH1332" s="7"/>
      <c r="BQ1332" s="7"/>
      <c r="BZ1332" s="7"/>
    </row>
    <row r="1333" spans="2:78">
      <c r="B1333" s="7"/>
      <c r="O1333" s="7"/>
      <c r="X1333" s="7"/>
      <c r="AG1333" s="7"/>
      <c r="AP1333" s="7"/>
      <c r="AY1333" s="7"/>
      <c r="BH1333" s="7"/>
      <c r="BQ1333" s="7"/>
      <c r="BZ1333" s="7"/>
    </row>
    <row r="1334" spans="2:78">
      <c r="B1334" s="7"/>
      <c r="O1334" s="7"/>
      <c r="X1334" s="7"/>
      <c r="AG1334" s="7"/>
      <c r="AP1334" s="7"/>
      <c r="AY1334" s="7"/>
      <c r="BH1334" s="7"/>
      <c r="BQ1334" s="7"/>
      <c r="BZ1334" s="7"/>
    </row>
    <row r="1335" spans="2:78">
      <c r="B1335" s="7"/>
      <c r="O1335" s="7"/>
      <c r="X1335" s="7"/>
      <c r="AG1335" s="7"/>
      <c r="AP1335" s="7"/>
      <c r="AY1335" s="7"/>
      <c r="BH1335" s="7"/>
      <c r="BQ1335" s="7"/>
      <c r="BZ1335" s="7"/>
    </row>
    <row r="1336" spans="2:78">
      <c r="B1336" s="7"/>
      <c r="O1336" s="7"/>
      <c r="X1336" s="7"/>
      <c r="AG1336" s="7"/>
      <c r="AP1336" s="7"/>
      <c r="AY1336" s="7"/>
      <c r="BH1336" s="7"/>
      <c r="BQ1336" s="7"/>
      <c r="BZ1336" s="7"/>
    </row>
    <row r="1337" spans="2:78">
      <c r="B1337" s="7"/>
      <c r="O1337" s="7"/>
      <c r="X1337" s="7"/>
      <c r="AG1337" s="7"/>
      <c r="AP1337" s="7"/>
      <c r="AY1337" s="7"/>
      <c r="BH1337" s="7"/>
      <c r="BQ1337" s="7"/>
      <c r="BZ1337" s="7"/>
    </row>
    <row r="1338" spans="2:78">
      <c r="B1338" s="7"/>
      <c r="O1338" s="7"/>
      <c r="X1338" s="7"/>
      <c r="AG1338" s="7"/>
      <c r="AP1338" s="7"/>
      <c r="AY1338" s="7"/>
      <c r="BH1338" s="7"/>
      <c r="BQ1338" s="7"/>
      <c r="BZ1338" s="7"/>
    </row>
    <row r="1339" spans="2:78">
      <c r="B1339" s="7"/>
      <c r="O1339" s="7"/>
      <c r="X1339" s="7"/>
      <c r="AG1339" s="7"/>
      <c r="AP1339" s="7"/>
      <c r="AY1339" s="7"/>
      <c r="BH1339" s="7"/>
      <c r="BQ1339" s="7"/>
      <c r="BZ1339" s="7"/>
    </row>
    <row r="1340" spans="2:78">
      <c r="B1340" s="7"/>
      <c r="O1340" s="7"/>
      <c r="X1340" s="7"/>
      <c r="AG1340" s="7"/>
      <c r="AP1340" s="7"/>
      <c r="AY1340" s="7"/>
      <c r="BH1340" s="7"/>
      <c r="BQ1340" s="7"/>
      <c r="BZ1340" s="7"/>
    </row>
    <row r="1341" spans="2:78">
      <c r="B1341" s="7"/>
      <c r="O1341" s="7"/>
      <c r="X1341" s="7"/>
      <c r="AG1341" s="7"/>
      <c r="AP1341" s="7"/>
      <c r="AY1341" s="7"/>
      <c r="BH1341" s="7"/>
      <c r="BQ1341" s="7"/>
      <c r="BZ1341" s="7"/>
    </row>
    <row r="1342" spans="2:78">
      <c r="B1342" s="7"/>
      <c r="O1342" s="7"/>
      <c r="X1342" s="7"/>
      <c r="AG1342" s="7"/>
      <c r="AP1342" s="7"/>
      <c r="AY1342" s="7"/>
      <c r="BH1342" s="7"/>
      <c r="BQ1342" s="7"/>
      <c r="BZ1342" s="7"/>
    </row>
    <row r="1343" spans="2:78">
      <c r="B1343" s="7"/>
      <c r="O1343" s="7"/>
      <c r="X1343" s="7"/>
      <c r="AG1343" s="7"/>
      <c r="AP1343" s="7"/>
      <c r="AY1343" s="7"/>
      <c r="BH1343" s="7"/>
      <c r="BQ1343" s="7"/>
      <c r="BZ1343" s="7"/>
    </row>
    <row r="1344" spans="2:78">
      <c r="B1344" s="7"/>
      <c r="O1344" s="7"/>
      <c r="X1344" s="7"/>
      <c r="AG1344" s="7"/>
      <c r="AP1344" s="7"/>
      <c r="AY1344" s="7"/>
      <c r="BH1344" s="7"/>
      <c r="BQ1344" s="7"/>
      <c r="BZ1344" s="7"/>
    </row>
    <row r="1345" spans="2:78">
      <c r="B1345" s="7"/>
      <c r="O1345" s="7"/>
      <c r="X1345" s="7"/>
      <c r="AG1345" s="7"/>
      <c r="AP1345" s="7"/>
      <c r="AY1345" s="7"/>
      <c r="BH1345" s="7"/>
      <c r="BQ1345" s="7"/>
      <c r="BZ1345" s="7"/>
    </row>
    <row r="1346" spans="2:78">
      <c r="B1346" s="7"/>
      <c r="O1346" s="7"/>
      <c r="X1346" s="7"/>
      <c r="AG1346" s="7"/>
      <c r="AP1346" s="7"/>
      <c r="AY1346" s="7"/>
      <c r="BH1346" s="7"/>
      <c r="BQ1346" s="7"/>
      <c r="BZ1346" s="7"/>
    </row>
    <row r="1347" spans="2:78">
      <c r="B1347" s="7"/>
      <c r="O1347" s="7"/>
      <c r="X1347" s="7"/>
      <c r="AG1347" s="7"/>
      <c r="AP1347" s="7"/>
      <c r="AY1347" s="7"/>
      <c r="BH1347" s="7"/>
      <c r="BQ1347" s="7"/>
      <c r="BZ1347" s="7"/>
    </row>
    <row r="1348" spans="2:78">
      <c r="B1348" s="7"/>
      <c r="O1348" s="7"/>
      <c r="X1348" s="7"/>
      <c r="AG1348" s="7"/>
      <c r="AP1348" s="7"/>
      <c r="AY1348" s="7"/>
      <c r="BH1348" s="7"/>
      <c r="BQ1348" s="7"/>
      <c r="BZ1348" s="7"/>
    </row>
    <row r="1349" spans="2:78">
      <c r="B1349" s="7"/>
      <c r="O1349" s="7"/>
      <c r="X1349" s="7"/>
      <c r="AG1349" s="7"/>
      <c r="AP1349" s="7"/>
      <c r="AY1349" s="7"/>
      <c r="BH1349" s="7"/>
      <c r="BQ1349" s="7"/>
      <c r="BZ1349" s="7"/>
    </row>
    <row r="1350" spans="2:78">
      <c r="B1350" s="7"/>
      <c r="O1350" s="7"/>
      <c r="X1350" s="7"/>
      <c r="AG1350" s="7"/>
      <c r="AP1350" s="7"/>
      <c r="AY1350" s="7"/>
      <c r="BH1350" s="7"/>
      <c r="BQ1350" s="7"/>
      <c r="BZ1350" s="7"/>
    </row>
    <row r="1351" spans="2:78">
      <c r="B1351" s="7"/>
      <c r="O1351" s="7"/>
      <c r="X1351" s="7"/>
      <c r="AG1351" s="7"/>
      <c r="AP1351" s="7"/>
      <c r="AY1351" s="7"/>
      <c r="BH1351" s="7"/>
      <c r="BQ1351" s="7"/>
      <c r="BZ1351" s="7"/>
    </row>
    <row r="1352" spans="2:78">
      <c r="B1352" s="7"/>
      <c r="O1352" s="7"/>
      <c r="X1352" s="7"/>
      <c r="AG1352" s="7"/>
      <c r="AP1352" s="7"/>
      <c r="AY1352" s="7"/>
      <c r="BH1352" s="7"/>
      <c r="BQ1352" s="7"/>
      <c r="BZ1352" s="7"/>
    </row>
    <row r="1353" spans="2:78">
      <c r="B1353" s="7"/>
      <c r="O1353" s="7"/>
      <c r="X1353" s="7"/>
      <c r="AG1353" s="7"/>
      <c r="AP1353" s="7"/>
      <c r="AY1353" s="7"/>
      <c r="BH1353" s="7"/>
      <c r="BQ1353" s="7"/>
      <c r="BZ1353" s="7"/>
    </row>
    <row r="1354" spans="2:78">
      <c r="B1354" s="7"/>
      <c r="O1354" s="7"/>
      <c r="X1354" s="7"/>
      <c r="AG1354" s="7"/>
      <c r="AP1354" s="7"/>
      <c r="AY1354" s="7"/>
      <c r="BH1354" s="7"/>
      <c r="BQ1354" s="7"/>
      <c r="BZ1354" s="7"/>
    </row>
    <row r="1355" spans="2:78">
      <c r="B1355" s="7"/>
      <c r="O1355" s="7"/>
      <c r="X1355" s="7"/>
      <c r="AG1355" s="7"/>
      <c r="AP1355" s="7"/>
      <c r="AY1355" s="7"/>
      <c r="BH1355" s="7"/>
      <c r="BQ1355" s="7"/>
      <c r="BZ1355" s="7"/>
    </row>
    <row r="1356" spans="2:78">
      <c r="B1356" s="7"/>
      <c r="O1356" s="7"/>
      <c r="X1356" s="7"/>
      <c r="AG1356" s="7"/>
      <c r="AP1356" s="7"/>
      <c r="AY1356" s="7"/>
      <c r="BH1356" s="7"/>
      <c r="BQ1356" s="7"/>
      <c r="BZ1356" s="7"/>
    </row>
    <row r="1357" spans="2:78">
      <c r="B1357" s="7"/>
      <c r="O1357" s="7"/>
      <c r="X1357" s="7"/>
      <c r="AG1357" s="7"/>
      <c r="AP1357" s="7"/>
      <c r="AY1357" s="7"/>
      <c r="BH1357" s="7"/>
      <c r="BQ1357" s="7"/>
      <c r="BZ1357" s="7"/>
    </row>
    <row r="1358" spans="2:78">
      <c r="B1358" s="7"/>
      <c r="O1358" s="7"/>
      <c r="X1358" s="7"/>
      <c r="AG1358" s="7"/>
      <c r="AP1358" s="7"/>
      <c r="AY1358" s="7"/>
      <c r="BH1358" s="7"/>
      <c r="BQ1358" s="7"/>
      <c r="BZ1358" s="7"/>
    </row>
    <row r="1359" spans="2:78">
      <c r="B1359" s="7"/>
      <c r="O1359" s="7"/>
      <c r="X1359" s="7"/>
      <c r="AG1359" s="7"/>
      <c r="AP1359" s="7"/>
      <c r="AY1359" s="7"/>
      <c r="BH1359" s="7"/>
      <c r="BQ1359" s="7"/>
      <c r="BZ1359" s="7"/>
    </row>
    <row r="1360" spans="2:78">
      <c r="B1360" s="7"/>
      <c r="O1360" s="7"/>
      <c r="X1360" s="7"/>
      <c r="AG1360" s="7"/>
      <c r="AP1360" s="7"/>
      <c r="AY1360" s="7"/>
      <c r="BH1360" s="7"/>
      <c r="BQ1360" s="7"/>
      <c r="BZ1360" s="7"/>
    </row>
    <row r="1361" spans="2:78">
      <c r="B1361" s="7"/>
      <c r="O1361" s="7"/>
      <c r="X1361" s="7"/>
      <c r="AG1361" s="7"/>
      <c r="AP1361" s="7"/>
      <c r="AY1361" s="7"/>
      <c r="BH1361" s="7"/>
      <c r="BQ1361" s="7"/>
      <c r="BZ1361" s="7"/>
    </row>
    <row r="1362" spans="2:78">
      <c r="B1362" s="7"/>
      <c r="O1362" s="7"/>
      <c r="X1362" s="7"/>
      <c r="AG1362" s="7"/>
      <c r="AP1362" s="7"/>
      <c r="AY1362" s="7"/>
      <c r="BH1362" s="7"/>
      <c r="BQ1362" s="7"/>
      <c r="BZ1362" s="7"/>
    </row>
    <row r="1363" spans="2:78">
      <c r="B1363" s="7"/>
      <c r="O1363" s="7"/>
      <c r="X1363" s="7"/>
      <c r="AG1363" s="7"/>
      <c r="AP1363" s="7"/>
      <c r="AY1363" s="7"/>
      <c r="BH1363" s="7"/>
      <c r="BQ1363" s="7"/>
      <c r="BZ1363" s="7"/>
    </row>
    <row r="1364" spans="2:78">
      <c r="B1364" s="7"/>
      <c r="O1364" s="7"/>
      <c r="X1364" s="7"/>
      <c r="AG1364" s="7"/>
      <c r="AP1364" s="7"/>
      <c r="AY1364" s="7"/>
      <c r="BH1364" s="7"/>
      <c r="BQ1364" s="7"/>
      <c r="BZ1364" s="7"/>
    </row>
    <row r="1365" spans="2:78">
      <c r="B1365" s="7"/>
      <c r="O1365" s="7"/>
      <c r="X1365" s="7"/>
      <c r="AG1365" s="7"/>
      <c r="AP1365" s="7"/>
      <c r="AY1365" s="7"/>
      <c r="BH1365" s="7"/>
      <c r="BQ1365" s="7"/>
      <c r="BZ1365" s="7"/>
    </row>
    <row r="1366" spans="2:78">
      <c r="B1366" s="7"/>
      <c r="O1366" s="7"/>
      <c r="X1366" s="7"/>
      <c r="AG1366" s="7"/>
      <c r="AP1366" s="7"/>
      <c r="AY1366" s="7"/>
      <c r="BH1366" s="7"/>
      <c r="BQ1366" s="7"/>
      <c r="BZ1366" s="7"/>
    </row>
    <row r="1367" spans="2:78">
      <c r="B1367" s="7"/>
      <c r="O1367" s="7"/>
      <c r="X1367" s="7"/>
      <c r="AG1367" s="7"/>
      <c r="AP1367" s="7"/>
      <c r="AY1367" s="7"/>
      <c r="BH1367" s="7"/>
      <c r="BQ1367" s="7"/>
      <c r="BZ1367" s="7"/>
    </row>
    <row r="1368" spans="2:78">
      <c r="B1368" s="7"/>
      <c r="O1368" s="7"/>
      <c r="X1368" s="7"/>
      <c r="AG1368" s="7"/>
      <c r="AP1368" s="7"/>
      <c r="AY1368" s="7"/>
      <c r="BH1368" s="7"/>
      <c r="BQ1368" s="7"/>
      <c r="BZ1368" s="7"/>
    </row>
    <row r="1369" spans="2:78">
      <c r="B1369" s="7"/>
      <c r="O1369" s="7"/>
      <c r="X1369" s="7"/>
      <c r="AG1369" s="7"/>
      <c r="AP1369" s="7"/>
      <c r="AY1369" s="7"/>
      <c r="BH1369" s="7"/>
      <c r="BQ1369" s="7"/>
      <c r="BZ1369" s="7"/>
    </row>
    <row r="1370" spans="2:78">
      <c r="B1370" s="7"/>
      <c r="O1370" s="7"/>
      <c r="X1370" s="7"/>
      <c r="AG1370" s="7"/>
      <c r="AP1370" s="7"/>
      <c r="AY1370" s="7"/>
      <c r="BH1370" s="7"/>
      <c r="BQ1370" s="7"/>
      <c r="BZ1370" s="7"/>
    </row>
    <row r="1371" spans="2:78">
      <c r="B1371" s="7"/>
      <c r="O1371" s="7"/>
      <c r="X1371" s="7"/>
      <c r="AG1371" s="7"/>
      <c r="AP1371" s="7"/>
      <c r="AY1371" s="7"/>
      <c r="BH1371" s="7"/>
      <c r="BQ1371" s="7"/>
      <c r="BZ1371" s="7"/>
    </row>
    <row r="1372" spans="2:78">
      <c r="B1372" s="7"/>
      <c r="O1372" s="7"/>
      <c r="X1372" s="7"/>
      <c r="AG1372" s="7"/>
      <c r="AP1372" s="7"/>
      <c r="AY1372" s="7"/>
      <c r="BH1372" s="7"/>
      <c r="BQ1372" s="7"/>
      <c r="BZ1372" s="7"/>
    </row>
    <row r="1373" spans="2:78">
      <c r="B1373" s="7"/>
      <c r="O1373" s="7"/>
      <c r="X1373" s="7"/>
      <c r="AG1373" s="7"/>
      <c r="AP1373" s="7"/>
      <c r="AY1373" s="7"/>
      <c r="BH1373" s="7"/>
      <c r="BQ1373" s="7"/>
      <c r="BZ1373" s="7"/>
    </row>
    <row r="1374" spans="2:78">
      <c r="B1374" s="7"/>
      <c r="O1374" s="7"/>
      <c r="X1374" s="7"/>
      <c r="AG1374" s="7"/>
      <c r="AP1374" s="7"/>
      <c r="AY1374" s="7"/>
      <c r="BH1374" s="7"/>
      <c r="BQ1374" s="7"/>
      <c r="BZ1374" s="7"/>
    </row>
    <row r="1375" spans="2:78">
      <c r="B1375" s="7"/>
      <c r="O1375" s="7"/>
      <c r="X1375" s="7"/>
      <c r="AG1375" s="7"/>
      <c r="AP1375" s="7"/>
      <c r="AY1375" s="7"/>
      <c r="BH1375" s="7"/>
      <c r="BQ1375" s="7"/>
      <c r="BZ1375" s="7"/>
    </row>
    <row r="1376" spans="2:78">
      <c r="B1376" s="7"/>
      <c r="O1376" s="7"/>
      <c r="X1376" s="7"/>
      <c r="AG1376" s="7"/>
      <c r="AP1376" s="7"/>
      <c r="AY1376" s="7"/>
      <c r="BH1376" s="7"/>
      <c r="BQ1376" s="7"/>
      <c r="BZ1376" s="7"/>
    </row>
    <row r="1377" spans="2:78">
      <c r="B1377" s="7"/>
      <c r="O1377" s="7"/>
      <c r="X1377" s="7"/>
      <c r="AG1377" s="7"/>
      <c r="AP1377" s="7"/>
      <c r="AY1377" s="7"/>
      <c r="BH1377" s="7"/>
      <c r="BQ1377" s="7"/>
      <c r="BZ1377" s="7"/>
    </row>
    <row r="1378" spans="2:78">
      <c r="B1378" s="7"/>
      <c r="O1378" s="7"/>
      <c r="X1378" s="7"/>
      <c r="AG1378" s="7"/>
      <c r="AP1378" s="7"/>
      <c r="AY1378" s="7"/>
      <c r="BH1378" s="7"/>
      <c r="BQ1378" s="7"/>
      <c r="BZ1378" s="7"/>
    </row>
    <row r="1379" spans="2:78">
      <c r="B1379" s="7"/>
      <c r="O1379" s="7"/>
      <c r="X1379" s="7"/>
      <c r="AG1379" s="7"/>
      <c r="AP1379" s="7"/>
      <c r="AY1379" s="7"/>
      <c r="BH1379" s="7"/>
      <c r="BQ1379" s="7"/>
      <c r="BZ1379" s="7"/>
    </row>
    <row r="1380" spans="2:78">
      <c r="B1380" s="7"/>
      <c r="O1380" s="7"/>
      <c r="X1380" s="7"/>
      <c r="AG1380" s="7"/>
      <c r="AP1380" s="7"/>
      <c r="AY1380" s="7"/>
      <c r="BH1380" s="7"/>
      <c r="BQ1380" s="7"/>
      <c r="BZ1380" s="7"/>
    </row>
    <row r="1381" spans="2:78">
      <c r="B1381" s="7"/>
      <c r="O1381" s="7"/>
      <c r="X1381" s="7"/>
      <c r="AG1381" s="7"/>
      <c r="AP1381" s="7"/>
      <c r="AY1381" s="7"/>
      <c r="BH1381" s="7"/>
      <c r="BQ1381" s="7"/>
      <c r="BZ1381" s="7"/>
    </row>
    <row r="1382" spans="2:78">
      <c r="B1382" s="7"/>
      <c r="O1382" s="7"/>
      <c r="X1382" s="7"/>
      <c r="AG1382" s="7"/>
      <c r="AP1382" s="7"/>
      <c r="AY1382" s="7"/>
      <c r="BH1382" s="7"/>
      <c r="BQ1382" s="7"/>
      <c r="BZ1382" s="7"/>
    </row>
    <row r="1383" spans="2:78">
      <c r="B1383" s="7"/>
      <c r="O1383" s="7"/>
      <c r="X1383" s="7"/>
      <c r="AG1383" s="7"/>
      <c r="AP1383" s="7"/>
      <c r="AY1383" s="7"/>
      <c r="BH1383" s="7"/>
      <c r="BQ1383" s="7"/>
      <c r="BZ1383" s="7"/>
    </row>
    <row r="1384" spans="2:78">
      <c r="B1384" s="7"/>
      <c r="O1384" s="7"/>
      <c r="X1384" s="7"/>
      <c r="AG1384" s="7"/>
      <c r="AP1384" s="7"/>
      <c r="AY1384" s="7"/>
      <c r="BH1384" s="7"/>
      <c r="BQ1384" s="7"/>
      <c r="BZ1384" s="7"/>
    </row>
    <row r="1385" spans="2:78">
      <c r="B1385" s="7"/>
      <c r="O1385" s="7"/>
      <c r="X1385" s="7"/>
      <c r="AG1385" s="7"/>
      <c r="AP1385" s="7"/>
      <c r="AY1385" s="7"/>
      <c r="BH1385" s="7"/>
      <c r="BQ1385" s="7"/>
      <c r="BZ1385" s="7"/>
    </row>
    <row r="1386" spans="2:78">
      <c r="B1386" s="7"/>
      <c r="O1386" s="7"/>
      <c r="X1386" s="7"/>
      <c r="AG1386" s="7"/>
      <c r="AP1386" s="7"/>
      <c r="AY1386" s="7"/>
      <c r="BH1386" s="7"/>
      <c r="BQ1386" s="7"/>
      <c r="BZ1386" s="7"/>
    </row>
    <row r="1387" spans="2:78">
      <c r="B1387" s="7"/>
      <c r="O1387" s="7"/>
      <c r="X1387" s="7"/>
      <c r="AG1387" s="7"/>
      <c r="AP1387" s="7"/>
      <c r="AY1387" s="7"/>
      <c r="BH1387" s="7"/>
      <c r="BQ1387" s="7"/>
      <c r="BZ1387" s="7"/>
    </row>
    <row r="1388" spans="2:78">
      <c r="B1388" s="7"/>
      <c r="O1388" s="7"/>
      <c r="X1388" s="7"/>
      <c r="AG1388" s="7"/>
      <c r="AP1388" s="7"/>
      <c r="AY1388" s="7"/>
      <c r="BH1388" s="7"/>
      <c r="BQ1388" s="7"/>
      <c r="BZ1388" s="7"/>
    </row>
    <row r="1389" spans="2:78">
      <c r="B1389" s="7"/>
      <c r="O1389" s="7"/>
      <c r="X1389" s="7"/>
      <c r="AG1389" s="7"/>
      <c r="AP1389" s="7"/>
      <c r="AY1389" s="7"/>
      <c r="BH1389" s="7"/>
      <c r="BQ1389" s="7"/>
      <c r="BZ1389" s="7"/>
    </row>
    <row r="1390" spans="2:78">
      <c r="B1390" s="7"/>
      <c r="O1390" s="7"/>
      <c r="X1390" s="7"/>
      <c r="AG1390" s="7"/>
      <c r="AP1390" s="7"/>
      <c r="AY1390" s="7"/>
      <c r="BH1390" s="7"/>
      <c r="BQ1390" s="7"/>
      <c r="BZ1390" s="7"/>
    </row>
    <row r="1391" spans="2:78">
      <c r="B1391" s="7"/>
      <c r="O1391" s="7"/>
      <c r="X1391" s="7"/>
      <c r="AG1391" s="7"/>
      <c r="AP1391" s="7"/>
      <c r="AY1391" s="7"/>
      <c r="BH1391" s="7"/>
      <c r="BQ1391" s="7"/>
      <c r="BZ1391" s="7"/>
    </row>
    <row r="1392" spans="2:78">
      <c r="B1392" s="7"/>
      <c r="O1392" s="7"/>
      <c r="X1392" s="7"/>
      <c r="AG1392" s="7"/>
      <c r="AP1392" s="7"/>
      <c r="AY1392" s="7"/>
      <c r="BH1392" s="7"/>
      <c r="BQ1392" s="7"/>
      <c r="BZ1392" s="7"/>
    </row>
    <row r="1393" spans="2:78">
      <c r="B1393" s="7"/>
      <c r="O1393" s="7"/>
      <c r="X1393" s="7"/>
      <c r="AG1393" s="7"/>
      <c r="AP1393" s="7"/>
      <c r="AY1393" s="7"/>
      <c r="BH1393" s="7"/>
      <c r="BQ1393" s="7"/>
      <c r="BZ1393" s="7"/>
    </row>
    <row r="1394" spans="2:78">
      <c r="B1394" s="7"/>
      <c r="O1394" s="7"/>
      <c r="X1394" s="7"/>
      <c r="AG1394" s="7"/>
      <c r="AP1394" s="7"/>
      <c r="AY1394" s="7"/>
      <c r="BH1394" s="7"/>
      <c r="BQ1394" s="7"/>
      <c r="BZ1394" s="7"/>
    </row>
    <row r="1395" spans="2:78">
      <c r="B1395" s="7"/>
      <c r="O1395" s="7"/>
      <c r="X1395" s="7"/>
      <c r="AG1395" s="7"/>
      <c r="AP1395" s="7"/>
      <c r="AY1395" s="7"/>
      <c r="BH1395" s="7"/>
      <c r="BQ1395" s="7"/>
      <c r="BZ1395" s="7"/>
    </row>
    <row r="1396" spans="2:78">
      <c r="B1396" s="7"/>
      <c r="O1396" s="7"/>
      <c r="X1396" s="7"/>
      <c r="AG1396" s="7"/>
      <c r="AP1396" s="7"/>
      <c r="AY1396" s="7"/>
      <c r="BH1396" s="7"/>
      <c r="BQ1396" s="7"/>
      <c r="BZ1396" s="7"/>
    </row>
    <row r="1397" spans="2:78">
      <c r="B1397" s="7"/>
      <c r="O1397" s="7"/>
      <c r="X1397" s="7"/>
      <c r="AG1397" s="7"/>
      <c r="AP1397" s="7"/>
      <c r="AY1397" s="7"/>
      <c r="BH1397" s="7"/>
      <c r="BQ1397" s="7"/>
      <c r="BZ1397" s="7"/>
    </row>
    <row r="1398" spans="2:78">
      <c r="B1398" s="7"/>
      <c r="O1398" s="7"/>
      <c r="X1398" s="7"/>
      <c r="AG1398" s="7"/>
      <c r="AP1398" s="7"/>
      <c r="AY1398" s="7"/>
      <c r="BH1398" s="7"/>
      <c r="BQ1398" s="7"/>
      <c r="BZ1398" s="7"/>
    </row>
    <row r="1399" spans="2:78">
      <c r="B1399" s="7"/>
      <c r="O1399" s="7"/>
      <c r="X1399" s="7"/>
      <c r="AG1399" s="7"/>
      <c r="AP1399" s="7"/>
      <c r="AY1399" s="7"/>
      <c r="BH1399" s="7"/>
      <c r="BQ1399" s="7"/>
      <c r="BZ1399" s="7"/>
    </row>
    <row r="1400" spans="2:78">
      <c r="B1400" s="7"/>
      <c r="O1400" s="7"/>
      <c r="X1400" s="7"/>
      <c r="AG1400" s="7"/>
      <c r="AP1400" s="7"/>
      <c r="AY1400" s="7"/>
      <c r="BH1400" s="7"/>
      <c r="BQ1400" s="7"/>
      <c r="BZ1400" s="7"/>
    </row>
    <row r="1401" spans="2:78">
      <c r="B1401" s="7"/>
      <c r="O1401" s="7"/>
      <c r="X1401" s="7"/>
      <c r="AG1401" s="7"/>
      <c r="AP1401" s="7"/>
      <c r="AY1401" s="7"/>
      <c r="BH1401" s="7"/>
      <c r="BQ1401" s="7"/>
      <c r="BZ1401" s="7"/>
    </row>
    <row r="1402" spans="2:78">
      <c r="B1402" s="7"/>
      <c r="O1402" s="7"/>
      <c r="X1402" s="7"/>
      <c r="AG1402" s="7"/>
      <c r="AP1402" s="7"/>
      <c r="AY1402" s="7"/>
      <c r="BH1402" s="7"/>
      <c r="BQ1402" s="7"/>
      <c r="BZ1402" s="7"/>
    </row>
    <row r="1403" spans="2:78">
      <c r="B1403" s="7"/>
      <c r="O1403" s="7"/>
      <c r="X1403" s="7"/>
      <c r="AG1403" s="7"/>
      <c r="AP1403" s="7"/>
      <c r="AY1403" s="7"/>
      <c r="BH1403" s="7"/>
      <c r="BQ1403" s="7"/>
      <c r="BZ1403" s="7"/>
    </row>
    <row r="1404" spans="2:78">
      <c r="B1404" s="7"/>
      <c r="O1404" s="7"/>
      <c r="X1404" s="7"/>
      <c r="AG1404" s="7"/>
      <c r="AP1404" s="7"/>
      <c r="AY1404" s="7"/>
      <c r="BH1404" s="7"/>
      <c r="BQ1404" s="7"/>
      <c r="BZ1404" s="7"/>
    </row>
    <row r="1405" spans="2:78">
      <c r="B1405" s="7"/>
      <c r="O1405" s="7"/>
      <c r="X1405" s="7"/>
      <c r="AG1405" s="7"/>
      <c r="AP1405" s="7"/>
      <c r="AY1405" s="7"/>
      <c r="BH1405" s="7"/>
      <c r="BQ1405" s="7"/>
      <c r="BZ1405" s="7"/>
    </row>
    <row r="1406" spans="2:78">
      <c r="B1406" s="7"/>
      <c r="O1406" s="7"/>
      <c r="X1406" s="7"/>
      <c r="AG1406" s="7"/>
      <c r="AP1406" s="7"/>
      <c r="AY1406" s="7"/>
      <c r="BH1406" s="7"/>
      <c r="BQ1406" s="7"/>
      <c r="BZ1406" s="7"/>
    </row>
    <row r="1407" spans="2:78">
      <c r="B1407" s="7"/>
      <c r="O1407" s="7"/>
      <c r="X1407" s="7"/>
      <c r="AG1407" s="7"/>
      <c r="AP1407" s="7"/>
      <c r="AY1407" s="7"/>
      <c r="BH1407" s="7"/>
      <c r="BQ1407" s="7"/>
      <c r="BZ1407" s="7"/>
    </row>
    <row r="1408" spans="2:78">
      <c r="B1408" s="7"/>
      <c r="O1408" s="7"/>
      <c r="X1408" s="7"/>
      <c r="AG1408" s="7"/>
      <c r="AP1408" s="7"/>
      <c r="AY1408" s="7"/>
      <c r="BH1408" s="7"/>
      <c r="BQ1408" s="7"/>
      <c r="BZ1408" s="7"/>
    </row>
    <row r="1409" spans="2:78">
      <c r="B1409" s="7"/>
      <c r="O1409" s="7"/>
      <c r="X1409" s="7"/>
      <c r="AG1409" s="7"/>
      <c r="AP1409" s="7"/>
      <c r="AY1409" s="7"/>
      <c r="BH1409" s="7"/>
      <c r="BQ1409" s="7"/>
      <c r="BZ1409" s="7"/>
    </row>
    <row r="1410" spans="2:78">
      <c r="B1410" s="7"/>
      <c r="O1410" s="7"/>
      <c r="X1410" s="7"/>
      <c r="AG1410" s="7"/>
      <c r="AP1410" s="7"/>
      <c r="AY1410" s="7"/>
      <c r="BH1410" s="7"/>
      <c r="BQ1410" s="7"/>
      <c r="BZ1410" s="7"/>
    </row>
    <row r="1411" spans="2:78">
      <c r="B1411" s="7"/>
      <c r="O1411" s="7"/>
      <c r="X1411" s="7"/>
      <c r="AG1411" s="7"/>
      <c r="AP1411" s="7"/>
      <c r="AY1411" s="7"/>
      <c r="BH1411" s="7"/>
      <c r="BQ1411" s="7"/>
      <c r="BZ1411" s="7"/>
    </row>
    <row r="1412" spans="2:78">
      <c r="B1412" s="7"/>
      <c r="O1412" s="7"/>
      <c r="X1412" s="7"/>
      <c r="AG1412" s="7"/>
      <c r="AP1412" s="7"/>
      <c r="AY1412" s="7"/>
      <c r="BH1412" s="7"/>
      <c r="BQ1412" s="7"/>
      <c r="BZ1412" s="7"/>
    </row>
    <row r="1413" spans="2:78">
      <c r="B1413" s="7"/>
      <c r="O1413" s="7"/>
      <c r="X1413" s="7"/>
      <c r="AG1413" s="7"/>
      <c r="AP1413" s="7"/>
      <c r="AY1413" s="7"/>
      <c r="BH1413" s="7"/>
      <c r="BQ1413" s="7"/>
      <c r="BZ1413" s="7"/>
    </row>
    <row r="1414" spans="2:78">
      <c r="B1414" s="7"/>
      <c r="O1414" s="7"/>
      <c r="X1414" s="7"/>
      <c r="AG1414" s="7"/>
      <c r="AP1414" s="7"/>
      <c r="AY1414" s="7"/>
      <c r="BH1414" s="7"/>
      <c r="BQ1414" s="7"/>
      <c r="BZ1414" s="7"/>
    </row>
    <row r="1415" spans="2:78">
      <c r="B1415" s="7"/>
      <c r="O1415" s="7"/>
      <c r="X1415" s="7"/>
      <c r="AG1415" s="7"/>
      <c r="AP1415" s="7"/>
      <c r="AY1415" s="7"/>
      <c r="BH1415" s="7"/>
      <c r="BQ1415" s="7"/>
      <c r="BZ1415" s="7"/>
    </row>
    <row r="1416" spans="2:78">
      <c r="B1416" s="7"/>
      <c r="O1416" s="7"/>
      <c r="X1416" s="7"/>
      <c r="AG1416" s="7"/>
      <c r="AP1416" s="7"/>
      <c r="AY1416" s="7"/>
      <c r="BH1416" s="7"/>
      <c r="BQ1416" s="7"/>
      <c r="BZ1416" s="7"/>
    </row>
    <row r="1417" spans="2:78">
      <c r="B1417" s="7"/>
      <c r="O1417" s="7"/>
      <c r="X1417" s="7"/>
      <c r="AG1417" s="7"/>
      <c r="AP1417" s="7"/>
      <c r="AY1417" s="7"/>
      <c r="BH1417" s="7"/>
      <c r="BQ1417" s="7"/>
      <c r="BZ1417" s="7"/>
    </row>
    <row r="1418" spans="2:78">
      <c r="B1418" s="7"/>
      <c r="O1418" s="7"/>
      <c r="X1418" s="7"/>
      <c r="AG1418" s="7"/>
      <c r="AP1418" s="7"/>
      <c r="AY1418" s="7"/>
      <c r="BH1418" s="7"/>
      <c r="BQ1418" s="7"/>
      <c r="BZ1418" s="7"/>
    </row>
    <row r="1419" spans="2:78">
      <c r="B1419" s="7"/>
      <c r="O1419" s="7"/>
      <c r="X1419" s="7"/>
      <c r="AG1419" s="7"/>
      <c r="AP1419" s="7"/>
      <c r="AY1419" s="7"/>
      <c r="BH1419" s="7"/>
      <c r="BQ1419" s="7"/>
      <c r="BZ1419" s="7"/>
    </row>
    <row r="1420" spans="2:78">
      <c r="B1420" s="7"/>
      <c r="O1420" s="7"/>
      <c r="X1420" s="7"/>
      <c r="AG1420" s="7"/>
      <c r="AP1420" s="7"/>
      <c r="AY1420" s="7"/>
      <c r="BH1420" s="7"/>
      <c r="BQ1420" s="7"/>
      <c r="BZ1420" s="7"/>
    </row>
    <row r="1421" spans="2:78">
      <c r="B1421" s="7"/>
      <c r="O1421" s="7"/>
      <c r="X1421" s="7"/>
      <c r="AG1421" s="7"/>
      <c r="AP1421" s="7"/>
      <c r="AY1421" s="7"/>
      <c r="BH1421" s="7"/>
      <c r="BQ1421" s="7"/>
      <c r="BZ1421" s="7"/>
    </row>
    <row r="1422" spans="2:78">
      <c r="B1422" s="7"/>
      <c r="O1422" s="7"/>
      <c r="X1422" s="7"/>
      <c r="AG1422" s="7"/>
      <c r="AP1422" s="7"/>
      <c r="AY1422" s="7"/>
      <c r="BH1422" s="7"/>
      <c r="BQ1422" s="7"/>
      <c r="BZ1422" s="7"/>
    </row>
    <row r="1423" spans="2:78">
      <c r="B1423" s="7"/>
      <c r="O1423" s="7"/>
      <c r="X1423" s="7"/>
      <c r="AG1423" s="7"/>
      <c r="AP1423" s="7"/>
      <c r="AY1423" s="7"/>
      <c r="BH1423" s="7"/>
      <c r="BQ1423" s="7"/>
      <c r="BZ1423" s="7"/>
    </row>
    <row r="1424" spans="2:78">
      <c r="B1424" s="7"/>
      <c r="O1424" s="7"/>
      <c r="X1424" s="7"/>
      <c r="AG1424" s="7"/>
      <c r="AP1424" s="7"/>
      <c r="AY1424" s="7"/>
      <c r="BH1424" s="7"/>
      <c r="BQ1424" s="7"/>
      <c r="BZ1424" s="7"/>
    </row>
    <row r="1425" spans="2:78">
      <c r="B1425" s="7"/>
      <c r="O1425" s="7"/>
      <c r="X1425" s="7"/>
      <c r="AG1425" s="7"/>
      <c r="AP1425" s="7"/>
      <c r="AY1425" s="7"/>
      <c r="BH1425" s="7"/>
      <c r="BQ1425" s="7"/>
      <c r="BZ1425" s="7"/>
    </row>
    <row r="1426" spans="2:78">
      <c r="B1426" s="7"/>
      <c r="O1426" s="7"/>
      <c r="X1426" s="7"/>
      <c r="AG1426" s="7"/>
      <c r="AP1426" s="7"/>
      <c r="AY1426" s="7"/>
      <c r="BH1426" s="7"/>
      <c r="BQ1426" s="7"/>
      <c r="BZ1426" s="7"/>
    </row>
    <row r="1427" spans="2:78">
      <c r="B1427" s="7"/>
      <c r="O1427" s="7"/>
      <c r="X1427" s="7"/>
      <c r="AG1427" s="7"/>
      <c r="AP1427" s="7"/>
      <c r="AY1427" s="7"/>
      <c r="BH1427" s="7"/>
      <c r="BQ1427" s="7"/>
      <c r="BZ1427" s="7"/>
    </row>
    <row r="1428" spans="2:78">
      <c r="B1428" s="7"/>
      <c r="O1428" s="7"/>
      <c r="X1428" s="7"/>
      <c r="AG1428" s="7"/>
      <c r="AP1428" s="7"/>
      <c r="AY1428" s="7"/>
      <c r="BH1428" s="7"/>
      <c r="BQ1428" s="7"/>
      <c r="BZ1428" s="7"/>
    </row>
    <row r="1429" spans="2:78">
      <c r="B1429" s="7"/>
      <c r="O1429" s="7"/>
      <c r="X1429" s="7"/>
      <c r="AG1429" s="7"/>
      <c r="AP1429" s="7"/>
      <c r="AY1429" s="7"/>
      <c r="BH1429" s="7"/>
      <c r="BQ1429" s="7"/>
      <c r="BZ1429" s="7"/>
    </row>
    <row r="1430" spans="2:78">
      <c r="B1430" s="7"/>
      <c r="O1430" s="7"/>
      <c r="X1430" s="7"/>
      <c r="AG1430" s="7"/>
      <c r="AP1430" s="7"/>
      <c r="AY1430" s="7"/>
      <c r="BH1430" s="7"/>
      <c r="BQ1430" s="7"/>
      <c r="BZ1430" s="7"/>
    </row>
    <row r="1431" spans="2:78">
      <c r="B1431" s="7"/>
      <c r="O1431" s="7"/>
      <c r="X1431" s="7"/>
      <c r="AG1431" s="7"/>
      <c r="AP1431" s="7"/>
      <c r="AY1431" s="7"/>
      <c r="BH1431" s="7"/>
      <c r="BQ1431" s="7"/>
      <c r="BZ1431" s="7"/>
    </row>
    <row r="1432" spans="2:78">
      <c r="B1432" s="7"/>
      <c r="O1432" s="7"/>
      <c r="X1432" s="7"/>
      <c r="AG1432" s="7"/>
      <c r="AP1432" s="7"/>
      <c r="AY1432" s="7"/>
      <c r="BH1432" s="7"/>
      <c r="BQ1432" s="7"/>
      <c r="BZ1432" s="7"/>
    </row>
    <row r="1433" spans="2:78">
      <c r="B1433" s="7"/>
      <c r="O1433" s="7"/>
      <c r="X1433" s="7"/>
      <c r="AG1433" s="7"/>
      <c r="AP1433" s="7"/>
      <c r="AY1433" s="7"/>
      <c r="BH1433" s="7"/>
      <c r="BQ1433" s="7"/>
      <c r="BZ1433" s="7"/>
    </row>
    <row r="1434" spans="2:78">
      <c r="B1434" s="7"/>
      <c r="O1434" s="7"/>
      <c r="X1434" s="7"/>
      <c r="AG1434" s="7"/>
      <c r="AP1434" s="7"/>
      <c r="AY1434" s="7"/>
      <c r="BH1434" s="7"/>
      <c r="BQ1434" s="7"/>
      <c r="BZ1434" s="7"/>
    </row>
    <row r="1435" spans="2:78">
      <c r="B1435" s="7"/>
      <c r="O1435" s="7"/>
      <c r="X1435" s="7"/>
      <c r="AG1435" s="7"/>
      <c r="AP1435" s="7"/>
      <c r="AY1435" s="7"/>
      <c r="BH1435" s="7"/>
      <c r="BQ1435" s="7"/>
      <c r="BZ1435" s="7"/>
    </row>
    <row r="1436" spans="2:78">
      <c r="B1436" s="7"/>
      <c r="O1436" s="7"/>
      <c r="X1436" s="7"/>
      <c r="AG1436" s="7"/>
      <c r="AP1436" s="7"/>
      <c r="AY1436" s="7"/>
      <c r="BH1436" s="7"/>
      <c r="BQ1436" s="7"/>
      <c r="BZ1436" s="7"/>
    </row>
    <row r="1437" spans="2:78">
      <c r="B1437" s="7"/>
      <c r="O1437" s="7"/>
      <c r="X1437" s="7"/>
      <c r="AG1437" s="7"/>
      <c r="AP1437" s="7"/>
      <c r="AY1437" s="7"/>
      <c r="BH1437" s="7"/>
      <c r="BQ1437" s="7"/>
      <c r="BZ1437" s="7"/>
    </row>
    <row r="1438" spans="2:78">
      <c r="B1438" s="7"/>
      <c r="O1438" s="7"/>
      <c r="X1438" s="7"/>
      <c r="AG1438" s="7"/>
      <c r="AP1438" s="7"/>
      <c r="AY1438" s="7"/>
      <c r="BH1438" s="7"/>
      <c r="BQ1438" s="7"/>
      <c r="BZ1438" s="7"/>
    </row>
    <row r="1439" spans="2:78">
      <c r="B1439" s="7"/>
      <c r="O1439" s="7"/>
      <c r="X1439" s="7"/>
      <c r="AG1439" s="7"/>
      <c r="AP1439" s="7"/>
      <c r="AY1439" s="7"/>
      <c r="BH1439" s="7"/>
      <c r="BQ1439" s="7"/>
      <c r="BZ1439" s="7"/>
    </row>
    <row r="1440" spans="2:78">
      <c r="B1440" s="7"/>
      <c r="O1440" s="7"/>
      <c r="X1440" s="7"/>
      <c r="AG1440" s="7"/>
      <c r="AP1440" s="7"/>
      <c r="AY1440" s="7"/>
      <c r="BH1440" s="7"/>
      <c r="BQ1440" s="7"/>
      <c r="BZ1440" s="7"/>
    </row>
    <row r="1441" spans="2:78">
      <c r="B1441" s="7"/>
      <c r="O1441" s="7"/>
      <c r="X1441" s="7"/>
      <c r="AG1441" s="7"/>
      <c r="AP1441" s="7"/>
      <c r="AY1441" s="7"/>
      <c r="BH1441" s="7"/>
      <c r="BQ1441" s="7"/>
      <c r="BZ1441" s="7"/>
    </row>
    <row r="1442" spans="2:78">
      <c r="B1442" s="7"/>
      <c r="O1442" s="7"/>
      <c r="X1442" s="7"/>
      <c r="AG1442" s="7"/>
      <c r="AP1442" s="7"/>
      <c r="AY1442" s="7"/>
      <c r="BH1442" s="7"/>
      <c r="BQ1442" s="7"/>
      <c r="BZ1442" s="7"/>
    </row>
    <row r="1443" spans="2:78">
      <c r="B1443" s="7"/>
      <c r="O1443" s="7"/>
      <c r="X1443" s="7"/>
      <c r="AG1443" s="7"/>
      <c r="AP1443" s="7"/>
      <c r="AY1443" s="7"/>
      <c r="BH1443" s="7"/>
      <c r="BQ1443" s="7"/>
      <c r="BZ1443" s="7"/>
    </row>
    <row r="1444" spans="2:78">
      <c r="B1444" s="7"/>
      <c r="O1444" s="7"/>
      <c r="X1444" s="7"/>
      <c r="AG1444" s="7"/>
      <c r="AP1444" s="7"/>
      <c r="AY1444" s="7"/>
      <c r="BH1444" s="7"/>
      <c r="BQ1444" s="7"/>
      <c r="BZ1444" s="7"/>
    </row>
    <row r="1445" spans="2:78">
      <c r="B1445" s="7"/>
      <c r="O1445" s="7"/>
      <c r="X1445" s="7"/>
      <c r="AG1445" s="7"/>
      <c r="AP1445" s="7"/>
      <c r="AY1445" s="7"/>
      <c r="BH1445" s="7"/>
      <c r="BQ1445" s="7"/>
      <c r="BZ1445" s="7"/>
    </row>
    <row r="1446" spans="2:78">
      <c r="B1446" s="7"/>
      <c r="O1446" s="7"/>
      <c r="X1446" s="7"/>
      <c r="AG1446" s="7"/>
      <c r="AP1446" s="7"/>
      <c r="AY1446" s="7"/>
      <c r="BH1446" s="7"/>
      <c r="BQ1446" s="7"/>
      <c r="BZ1446" s="7"/>
    </row>
    <row r="1447" spans="2:78">
      <c r="B1447" s="7"/>
      <c r="O1447" s="7"/>
      <c r="X1447" s="7"/>
      <c r="AG1447" s="7"/>
      <c r="AP1447" s="7"/>
      <c r="AY1447" s="7"/>
      <c r="BH1447" s="7"/>
      <c r="BQ1447" s="7"/>
      <c r="BZ1447" s="7"/>
    </row>
    <row r="1448" spans="2:78">
      <c r="B1448" s="7"/>
      <c r="O1448" s="7"/>
      <c r="X1448" s="7"/>
      <c r="AG1448" s="7"/>
      <c r="AP1448" s="7"/>
      <c r="AY1448" s="7"/>
      <c r="BH1448" s="7"/>
      <c r="BQ1448" s="7"/>
      <c r="BZ1448" s="7"/>
    </row>
    <row r="1449" spans="2:78">
      <c r="B1449" s="7"/>
      <c r="O1449" s="7"/>
      <c r="X1449" s="7"/>
      <c r="AG1449" s="7"/>
      <c r="AP1449" s="7"/>
      <c r="AY1449" s="7"/>
      <c r="BH1449" s="7"/>
      <c r="BQ1449" s="7"/>
      <c r="BZ1449" s="7"/>
    </row>
    <row r="1450" spans="2:78">
      <c r="B1450" s="7"/>
      <c r="O1450" s="7"/>
      <c r="X1450" s="7"/>
      <c r="AG1450" s="7"/>
      <c r="AP1450" s="7"/>
      <c r="AY1450" s="7"/>
      <c r="BH1450" s="7"/>
      <c r="BQ1450" s="7"/>
      <c r="BZ1450" s="7"/>
    </row>
    <row r="1451" spans="2:78">
      <c r="B1451" s="7"/>
      <c r="O1451" s="7"/>
      <c r="X1451" s="7"/>
      <c r="AG1451" s="7"/>
      <c r="AP1451" s="7"/>
      <c r="AY1451" s="7"/>
      <c r="BH1451" s="7"/>
      <c r="BQ1451" s="7"/>
      <c r="BZ1451" s="7"/>
    </row>
    <row r="1452" spans="2:78">
      <c r="B1452" s="7"/>
      <c r="O1452" s="7"/>
      <c r="X1452" s="7"/>
      <c r="AG1452" s="7"/>
      <c r="AP1452" s="7"/>
      <c r="AY1452" s="7"/>
      <c r="BH1452" s="7"/>
      <c r="BQ1452" s="7"/>
      <c r="BZ1452" s="7"/>
    </row>
    <row r="1453" spans="2:78">
      <c r="B1453" s="7"/>
      <c r="O1453" s="7"/>
      <c r="X1453" s="7"/>
      <c r="AG1453" s="7"/>
      <c r="AP1453" s="7"/>
      <c r="AY1453" s="7"/>
      <c r="BH1453" s="7"/>
      <c r="BQ1453" s="7"/>
      <c r="BZ1453" s="7"/>
    </row>
    <row r="1454" spans="2:78">
      <c r="B1454" s="7"/>
      <c r="O1454" s="7"/>
      <c r="X1454" s="7"/>
      <c r="AG1454" s="7"/>
      <c r="AP1454" s="7"/>
      <c r="AY1454" s="7"/>
      <c r="BH1454" s="7"/>
      <c r="BQ1454" s="7"/>
      <c r="BZ1454" s="7"/>
    </row>
    <row r="1455" spans="2:78">
      <c r="B1455" s="7"/>
      <c r="O1455" s="7"/>
      <c r="X1455" s="7"/>
      <c r="AG1455" s="7"/>
      <c r="AP1455" s="7"/>
      <c r="AY1455" s="7"/>
      <c r="BH1455" s="7"/>
      <c r="BQ1455" s="7"/>
      <c r="BZ1455" s="7"/>
    </row>
    <row r="1456" spans="2:78">
      <c r="B1456" s="7"/>
      <c r="O1456" s="7"/>
      <c r="X1456" s="7"/>
      <c r="AG1456" s="7"/>
      <c r="AP1456" s="7"/>
      <c r="AY1456" s="7"/>
      <c r="BH1456" s="7"/>
      <c r="BQ1456" s="7"/>
      <c r="BZ1456" s="7"/>
    </row>
    <row r="1457" spans="2:78">
      <c r="B1457" s="7"/>
      <c r="O1457" s="7"/>
      <c r="X1457" s="7"/>
      <c r="AG1457" s="7"/>
      <c r="AP1457" s="7"/>
      <c r="AY1457" s="7"/>
      <c r="BH1457" s="7"/>
      <c r="BQ1457" s="7"/>
      <c r="BZ1457" s="7"/>
    </row>
    <row r="1458" spans="2:78">
      <c r="B1458" s="7"/>
      <c r="O1458" s="7"/>
      <c r="X1458" s="7"/>
      <c r="AG1458" s="7"/>
      <c r="AP1458" s="7"/>
      <c r="AY1458" s="7"/>
      <c r="BH1458" s="7"/>
      <c r="BQ1458" s="7"/>
      <c r="BZ1458" s="7"/>
    </row>
    <row r="1459" spans="2:78">
      <c r="B1459" s="7"/>
      <c r="O1459" s="7"/>
      <c r="X1459" s="7"/>
      <c r="AG1459" s="7"/>
      <c r="AP1459" s="7"/>
      <c r="AY1459" s="7"/>
      <c r="BH1459" s="7"/>
      <c r="BQ1459" s="7"/>
      <c r="BZ1459" s="7"/>
    </row>
    <row r="1460" spans="2:78">
      <c r="B1460" s="7"/>
      <c r="O1460" s="7"/>
      <c r="X1460" s="7"/>
      <c r="AG1460" s="7"/>
      <c r="AP1460" s="7"/>
      <c r="AY1460" s="7"/>
      <c r="BH1460" s="7"/>
      <c r="BQ1460" s="7"/>
      <c r="BZ1460" s="7"/>
    </row>
    <row r="1461" spans="2:78">
      <c r="B1461" s="7"/>
      <c r="O1461" s="7"/>
      <c r="X1461" s="7"/>
      <c r="AG1461" s="7"/>
      <c r="AP1461" s="7"/>
      <c r="AY1461" s="7"/>
      <c r="BH1461" s="7"/>
      <c r="BQ1461" s="7"/>
      <c r="BZ1461" s="7"/>
    </row>
    <row r="1462" spans="2:78">
      <c r="B1462" s="7"/>
      <c r="O1462" s="7"/>
      <c r="X1462" s="7"/>
      <c r="AG1462" s="7"/>
      <c r="AP1462" s="7"/>
      <c r="AY1462" s="7"/>
      <c r="BH1462" s="7"/>
      <c r="BQ1462" s="7"/>
      <c r="BZ1462" s="7"/>
    </row>
    <row r="1463" spans="2:78">
      <c r="B1463" s="7"/>
      <c r="O1463" s="7"/>
      <c r="X1463" s="7"/>
      <c r="AG1463" s="7"/>
      <c r="AP1463" s="7"/>
      <c r="AY1463" s="7"/>
      <c r="BH1463" s="7"/>
      <c r="BQ1463" s="7"/>
      <c r="BZ1463" s="7"/>
    </row>
    <row r="1464" spans="2:78">
      <c r="B1464" s="7"/>
      <c r="O1464" s="7"/>
      <c r="X1464" s="7"/>
      <c r="AG1464" s="7"/>
      <c r="AP1464" s="7"/>
      <c r="AY1464" s="7"/>
      <c r="BH1464" s="7"/>
      <c r="BQ1464" s="7"/>
      <c r="BZ1464" s="7"/>
    </row>
    <row r="1465" spans="2:78">
      <c r="B1465" s="7"/>
      <c r="O1465" s="7"/>
      <c r="X1465" s="7"/>
      <c r="AG1465" s="7"/>
      <c r="AP1465" s="7"/>
      <c r="AY1465" s="7"/>
      <c r="BH1465" s="7"/>
      <c r="BQ1465" s="7"/>
      <c r="BZ1465" s="7"/>
    </row>
    <row r="1466" spans="2:78">
      <c r="B1466" s="7"/>
      <c r="O1466" s="7"/>
      <c r="X1466" s="7"/>
      <c r="AG1466" s="7"/>
      <c r="AP1466" s="7"/>
      <c r="AY1466" s="7"/>
      <c r="BH1466" s="7"/>
      <c r="BQ1466" s="7"/>
      <c r="BZ1466" s="7"/>
    </row>
    <row r="1467" spans="2:78">
      <c r="B1467" s="7"/>
      <c r="O1467" s="7"/>
      <c r="X1467" s="7"/>
      <c r="AG1467" s="7"/>
      <c r="AP1467" s="7"/>
      <c r="AY1467" s="7"/>
      <c r="BH1467" s="7"/>
      <c r="BQ1467" s="7"/>
      <c r="BZ1467" s="7"/>
    </row>
    <row r="1468" spans="2:78">
      <c r="B1468" s="7"/>
      <c r="O1468" s="7"/>
      <c r="X1468" s="7"/>
      <c r="AG1468" s="7"/>
      <c r="AP1468" s="7"/>
      <c r="AY1468" s="7"/>
      <c r="BH1468" s="7"/>
      <c r="BQ1468" s="7"/>
      <c r="BZ1468" s="7"/>
    </row>
    <row r="1469" spans="2:78">
      <c r="B1469" s="7"/>
      <c r="O1469" s="7"/>
      <c r="X1469" s="7"/>
      <c r="AG1469" s="7"/>
      <c r="AP1469" s="7"/>
      <c r="AY1469" s="7"/>
      <c r="BH1469" s="7"/>
      <c r="BQ1469" s="7"/>
      <c r="BZ1469" s="7"/>
    </row>
    <row r="1470" spans="2:78">
      <c r="B1470" s="7"/>
      <c r="O1470" s="7"/>
      <c r="X1470" s="7"/>
      <c r="AG1470" s="7"/>
      <c r="AP1470" s="7"/>
      <c r="AY1470" s="7"/>
      <c r="BH1470" s="7"/>
      <c r="BQ1470" s="7"/>
      <c r="BZ1470" s="7"/>
    </row>
    <row r="1471" spans="2:78">
      <c r="B1471" s="7"/>
      <c r="O1471" s="7"/>
      <c r="X1471" s="7"/>
      <c r="AG1471" s="7"/>
      <c r="AP1471" s="7"/>
      <c r="AY1471" s="7"/>
      <c r="BH1471" s="7"/>
      <c r="BQ1471" s="7"/>
      <c r="BZ1471" s="7"/>
    </row>
    <row r="1472" spans="2:78">
      <c r="B1472" s="7"/>
      <c r="O1472" s="7"/>
      <c r="X1472" s="7"/>
      <c r="AG1472" s="7"/>
      <c r="AP1472" s="7"/>
      <c r="AY1472" s="7"/>
      <c r="BH1472" s="7"/>
      <c r="BQ1472" s="7"/>
      <c r="BZ1472" s="7"/>
    </row>
    <row r="1473" spans="2:78">
      <c r="B1473" s="7"/>
      <c r="O1473" s="7"/>
      <c r="X1473" s="7"/>
      <c r="AG1473" s="7"/>
      <c r="AP1473" s="7"/>
      <c r="AY1473" s="7"/>
      <c r="BH1473" s="7"/>
      <c r="BQ1473" s="7"/>
      <c r="BZ1473" s="7"/>
    </row>
    <row r="1474" spans="2:78">
      <c r="B1474" s="7"/>
      <c r="O1474" s="7"/>
      <c r="X1474" s="7"/>
      <c r="AG1474" s="7"/>
      <c r="AP1474" s="7"/>
      <c r="AY1474" s="7"/>
      <c r="BH1474" s="7"/>
      <c r="BQ1474" s="7"/>
      <c r="BZ1474" s="7"/>
    </row>
    <row r="1475" spans="2:78">
      <c r="B1475" s="7"/>
      <c r="O1475" s="7"/>
      <c r="X1475" s="7"/>
      <c r="AG1475" s="7"/>
      <c r="AP1475" s="7"/>
      <c r="AY1475" s="7"/>
      <c r="BH1475" s="7"/>
      <c r="BQ1475" s="7"/>
      <c r="BZ1475" s="7"/>
    </row>
    <row r="1476" spans="2:78">
      <c r="B1476" s="7"/>
      <c r="O1476" s="7"/>
      <c r="X1476" s="7"/>
      <c r="AG1476" s="7"/>
      <c r="AP1476" s="7"/>
      <c r="AY1476" s="7"/>
      <c r="BH1476" s="7"/>
      <c r="BQ1476" s="7"/>
      <c r="BZ1476" s="7"/>
    </row>
    <row r="1477" spans="2:78">
      <c r="B1477" s="7"/>
      <c r="O1477" s="7"/>
      <c r="X1477" s="7"/>
      <c r="AG1477" s="7"/>
      <c r="AP1477" s="7"/>
      <c r="AY1477" s="7"/>
      <c r="BH1477" s="7"/>
      <c r="BQ1477" s="7"/>
      <c r="BZ1477" s="7"/>
    </row>
    <row r="1478" spans="2:78">
      <c r="B1478" s="7"/>
      <c r="O1478" s="7"/>
      <c r="X1478" s="7"/>
      <c r="AG1478" s="7"/>
      <c r="AP1478" s="7"/>
      <c r="AY1478" s="7"/>
      <c r="BH1478" s="7"/>
      <c r="BQ1478" s="7"/>
      <c r="BZ1478" s="7"/>
    </row>
    <row r="1479" spans="2:78">
      <c r="B1479" s="7"/>
      <c r="O1479" s="7"/>
      <c r="X1479" s="7"/>
      <c r="AG1479" s="7"/>
      <c r="AP1479" s="7"/>
      <c r="AY1479" s="7"/>
      <c r="BH1479" s="7"/>
      <c r="BQ1479" s="7"/>
      <c r="BZ1479" s="7"/>
    </row>
    <row r="1480" spans="2:78">
      <c r="B1480" s="7"/>
      <c r="O1480" s="7"/>
      <c r="X1480" s="7"/>
      <c r="AG1480" s="7"/>
      <c r="AP1480" s="7"/>
      <c r="AY1480" s="7"/>
      <c r="BH1480" s="7"/>
      <c r="BQ1480" s="7"/>
      <c r="BZ1480" s="7"/>
    </row>
    <row r="1481" spans="2:78">
      <c r="B1481" s="7"/>
      <c r="O1481" s="7"/>
      <c r="X1481" s="7"/>
      <c r="AG1481" s="7"/>
      <c r="AP1481" s="7"/>
      <c r="AY1481" s="7"/>
      <c r="BH1481" s="7"/>
      <c r="BQ1481" s="7"/>
      <c r="BZ1481" s="7"/>
    </row>
    <row r="1482" spans="2:78">
      <c r="B1482" s="7"/>
      <c r="O1482" s="7"/>
      <c r="X1482" s="7"/>
      <c r="AG1482" s="7"/>
      <c r="AP1482" s="7"/>
      <c r="AY1482" s="7"/>
      <c r="BH1482" s="7"/>
      <c r="BQ1482" s="7"/>
      <c r="BZ1482" s="7"/>
    </row>
    <row r="1483" spans="2:78">
      <c r="B1483" s="7"/>
      <c r="O1483" s="7"/>
      <c r="X1483" s="7"/>
      <c r="AG1483" s="7"/>
      <c r="AP1483" s="7"/>
      <c r="AY1483" s="7"/>
      <c r="BH1483" s="7"/>
      <c r="BQ1483" s="7"/>
      <c r="BZ1483" s="7"/>
    </row>
    <row r="1484" spans="2:78">
      <c r="B1484" s="7"/>
      <c r="O1484" s="7"/>
      <c r="X1484" s="7"/>
      <c r="AG1484" s="7"/>
      <c r="AP1484" s="7"/>
      <c r="AY1484" s="7"/>
      <c r="BH1484" s="7"/>
      <c r="BQ1484" s="7"/>
      <c r="BZ1484" s="7"/>
    </row>
    <row r="1485" spans="2:78">
      <c r="B1485" s="7"/>
      <c r="O1485" s="7"/>
      <c r="X1485" s="7"/>
      <c r="AG1485" s="7"/>
      <c r="AP1485" s="7"/>
      <c r="AY1485" s="7"/>
      <c r="BH1485" s="7"/>
      <c r="BQ1485" s="7"/>
      <c r="BZ1485" s="7"/>
    </row>
    <row r="1486" spans="2:78">
      <c r="B1486" s="7"/>
      <c r="O1486" s="7"/>
      <c r="X1486" s="7"/>
      <c r="AG1486" s="7"/>
      <c r="AP1486" s="7"/>
      <c r="AY1486" s="7"/>
      <c r="BH1486" s="7"/>
      <c r="BQ1486" s="7"/>
      <c r="BZ1486" s="7"/>
    </row>
    <row r="1487" spans="2:78">
      <c r="B1487" s="7"/>
      <c r="O1487" s="7"/>
      <c r="X1487" s="7"/>
      <c r="AG1487" s="7"/>
      <c r="AP1487" s="7"/>
      <c r="AY1487" s="7"/>
      <c r="BH1487" s="7"/>
      <c r="BQ1487" s="7"/>
      <c r="BZ1487" s="7"/>
    </row>
    <row r="1488" spans="2:78">
      <c r="B1488" s="7"/>
      <c r="O1488" s="7"/>
      <c r="X1488" s="7"/>
      <c r="AG1488" s="7"/>
      <c r="AP1488" s="7"/>
      <c r="AY1488" s="7"/>
      <c r="BH1488" s="7"/>
      <c r="BQ1488" s="7"/>
      <c r="BZ1488" s="7"/>
    </row>
    <row r="1489" spans="2:78">
      <c r="B1489" s="7"/>
      <c r="O1489" s="7"/>
      <c r="X1489" s="7"/>
      <c r="AG1489" s="7"/>
      <c r="AP1489" s="7"/>
      <c r="AY1489" s="7"/>
      <c r="BH1489" s="7"/>
      <c r="BQ1489" s="7"/>
      <c r="BZ1489" s="7"/>
    </row>
    <row r="1490" spans="2:78">
      <c r="B1490" s="7"/>
      <c r="O1490" s="7"/>
      <c r="X1490" s="7"/>
      <c r="AG1490" s="7"/>
      <c r="AP1490" s="7"/>
      <c r="AY1490" s="7"/>
      <c r="BH1490" s="7"/>
      <c r="BQ1490" s="7"/>
      <c r="BZ1490" s="7"/>
    </row>
    <row r="1491" spans="2:78">
      <c r="B1491" s="7"/>
      <c r="O1491" s="7"/>
      <c r="X1491" s="7"/>
      <c r="AG1491" s="7"/>
      <c r="AP1491" s="7"/>
      <c r="AY1491" s="7"/>
      <c r="BH1491" s="7"/>
      <c r="BQ1491" s="7"/>
      <c r="BZ1491" s="7"/>
    </row>
    <row r="1492" spans="2:78">
      <c r="B1492" s="7"/>
      <c r="O1492" s="7"/>
      <c r="X1492" s="7"/>
      <c r="AG1492" s="7"/>
      <c r="AP1492" s="7"/>
      <c r="AY1492" s="7"/>
      <c r="BH1492" s="7"/>
      <c r="BQ1492" s="7"/>
      <c r="BZ1492" s="7"/>
    </row>
    <row r="1493" spans="2:78">
      <c r="B1493" s="7"/>
      <c r="O1493" s="7"/>
      <c r="X1493" s="7"/>
      <c r="AG1493" s="7"/>
      <c r="AP1493" s="7"/>
      <c r="AY1493" s="7"/>
      <c r="BH1493" s="7"/>
      <c r="BQ1493" s="7"/>
      <c r="BZ1493" s="7"/>
    </row>
    <row r="1494" spans="2:78">
      <c r="B1494" s="7"/>
      <c r="O1494" s="7"/>
      <c r="X1494" s="7"/>
      <c r="AG1494" s="7"/>
      <c r="AP1494" s="7"/>
      <c r="AY1494" s="7"/>
      <c r="BH1494" s="7"/>
      <c r="BQ1494" s="7"/>
      <c r="BZ1494" s="7"/>
    </row>
    <row r="1495" spans="2:78">
      <c r="B1495" s="7"/>
      <c r="O1495" s="7"/>
      <c r="X1495" s="7"/>
      <c r="AG1495" s="7"/>
      <c r="AP1495" s="7"/>
      <c r="AY1495" s="7"/>
      <c r="BH1495" s="7"/>
      <c r="BQ1495" s="7"/>
      <c r="BZ1495" s="7"/>
    </row>
    <row r="1496" spans="2:78">
      <c r="B1496" s="7"/>
      <c r="O1496" s="7"/>
      <c r="X1496" s="7"/>
      <c r="AG1496" s="7"/>
      <c r="AP1496" s="7"/>
      <c r="AY1496" s="7"/>
      <c r="BH1496" s="7"/>
      <c r="BQ1496" s="7"/>
      <c r="BZ1496" s="7"/>
    </row>
    <row r="1497" spans="2:78">
      <c r="B1497" s="7"/>
      <c r="O1497" s="7"/>
      <c r="X1497" s="7"/>
      <c r="AG1497" s="7"/>
      <c r="AP1497" s="7"/>
      <c r="AY1497" s="7"/>
      <c r="BH1497" s="7"/>
      <c r="BQ1497" s="7"/>
      <c r="BZ1497" s="7"/>
    </row>
    <row r="1498" spans="2:78">
      <c r="B1498" s="7"/>
      <c r="O1498" s="7"/>
      <c r="X1498" s="7"/>
      <c r="AG1498" s="7"/>
      <c r="AP1498" s="7"/>
      <c r="AY1498" s="7"/>
      <c r="BH1498" s="7"/>
      <c r="BQ1498" s="7"/>
      <c r="BZ1498" s="7"/>
    </row>
    <row r="1499" spans="2:78">
      <c r="B1499" s="7"/>
      <c r="O1499" s="7"/>
      <c r="X1499" s="7"/>
      <c r="AG1499" s="7"/>
      <c r="AP1499" s="7"/>
      <c r="AY1499" s="7"/>
      <c r="BH1499" s="7"/>
      <c r="BQ1499" s="7"/>
      <c r="BZ1499" s="7"/>
    </row>
    <row r="1500" spans="2:78">
      <c r="B1500" s="7"/>
      <c r="O1500" s="7"/>
      <c r="X1500" s="7"/>
      <c r="AG1500" s="7"/>
      <c r="AP1500" s="7"/>
      <c r="AY1500" s="7"/>
      <c r="BH1500" s="7"/>
      <c r="BQ1500" s="7"/>
      <c r="BZ1500" s="7"/>
    </row>
    <row r="1501" spans="2:78">
      <c r="B1501" s="7"/>
      <c r="O1501" s="7"/>
      <c r="X1501" s="7"/>
      <c r="AG1501" s="7"/>
      <c r="AP1501" s="7"/>
      <c r="AY1501" s="7"/>
      <c r="BH1501" s="7"/>
      <c r="BQ1501" s="7"/>
      <c r="BZ1501" s="7"/>
    </row>
    <row r="1502" spans="2:78">
      <c r="B1502" s="7"/>
      <c r="O1502" s="7"/>
      <c r="X1502" s="7"/>
      <c r="AG1502" s="7"/>
      <c r="AP1502" s="7"/>
      <c r="AY1502" s="7"/>
      <c r="BH1502" s="7"/>
      <c r="BQ1502" s="7"/>
      <c r="BZ1502" s="7"/>
    </row>
    <row r="1503" spans="2:78">
      <c r="B1503" s="7"/>
      <c r="O1503" s="7"/>
      <c r="X1503" s="7"/>
      <c r="AG1503" s="7"/>
      <c r="AP1503" s="7"/>
      <c r="AY1503" s="7"/>
      <c r="BH1503" s="7"/>
      <c r="BQ1503" s="7"/>
      <c r="BZ1503" s="7"/>
    </row>
    <row r="1504" spans="2:78">
      <c r="B1504" s="7"/>
      <c r="O1504" s="7"/>
      <c r="X1504" s="7"/>
      <c r="AG1504" s="7"/>
      <c r="AP1504" s="7"/>
      <c r="AY1504" s="7"/>
      <c r="BH1504" s="7"/>
      <c r="BQ1504" s="7"/>
      <c r="BZ1504" s="7"/>
    </row>
    <row r="1505" spans="2:78">
      <c r="B1505" s="7"/>
      <c r="O1505" s="7"/>
      <c r="X1505" s="7"/>
      <c r="AG1505" s="7"/>
      <c r="AP1505" s="7"/>
      <c r="AY1505" s="7"/>
      <c r="BH1505" s="7"/>
      <c r="BQ1505" s="7"/>
      <c r="BZ1505" s="7"/>
    </row>
    <row r="1506" spans="2:78">
      <c r="B1506" s="7"/>
      <c r="O1506" s="7"/>
      <c r="X1506" s="7"/>
      <c r="AG1506" s="7"/>
      <c r="AP1506" s="7"/>
      <c r="AY1506" s="7"/>
      <c r="BH1506" s="7"/>
      <c r="BQ1506" s="7"/>
      <c r="BZ1506" s="7"/>
    </row>
    <row r="1507" spans="2:78">
      <c r="B1507" s="7"/>
      <c r="O1507" s="7"/>
      <c r="X1507" s="7"/>
      <c r="AG1507" s="7"/>
      <c r="AP1507" s="7"/>
      <c r="AY1507" s="7"/>
      <c r="BH1507" s="7"/>
      <c r="BQ1507" s="7"/>
      <c r="BZ1507" s="7"/>
    </row>
    <row r="1508" spans="2:78">
      <c r="B1508" s="7"/>
      <c r="O1508" s="7"/>
      <c r="X1508" s="7"/>
      <c r="AG1508" s="7"/>
      <c r="AP1508" s="7"/>
      <c r="AY1508" s="7"/>
      <c r="BH1508" s="7"/>
      <c r="BQ1508" s="7"/>
      <c r="BZ1508" s="7"/>
    </row>
    <row r="1509" spans="2:78">
      <c r="B1509" s="7"/>
      <c r="O1509" s="7"/>
      <c r="X1509" s="7"/>
      <c r="AG1509" s="7"/>
      <c r="AP1509" s="7"/>
      <c r="AY1509" s="7"/>
      <c r="BH1509" s="7"/>
      <c r="BQ1509" s="7"/>
      <c r="BZ1509" s="7"/>
    </row>
    <row r="1510" spans="2:78">
      <c r="B1510" s="7"/>
      <c r="O1510" s="7"/>
      <c r="X1510" s="7"/>
      <c r="AG1510" s="7"/>
      <c r="AP1510" s="7"/>
      <c r="AY1510" s="7"/>
      <c r="BH1510" s="7"/>
      <c r="BQ1510" s="7"/>
      <c r="BZ1510" s="7"/>
    </row>
    <row r="1511" spans="2:78">
      <c r="B1511" s="7"/>
      <c r="O1511" s="7"/>
      <c r="X1511" s="7"/>
      <c r="AG1511" s="7"/>
      <c r="AP1511" s="7"/>
      <c r="AY1511" s="7"/>
      <c r="BH1511" s="7"/>
      <c r="BQ1511" s="7"/>
      <c r="BZ1511" s="7"/>
    </row>
    <row r="1512" spans="2:78">
      <c r="B1512" s="7"/>
      <c r="O1512" s="7"/>
      <c r="X1512" s="7"/>
      <c r="AG1512" s="7"/>
      <c r="AP1512" s="7"/>
      <c r="AY1512" s="7"/>
      <c r="BH1512" s="7"/>
      <c r="BQ1512" s="7"/>
      <c r="BZ1512" s="7"/>
    </row>
    <row r="1513" spans="2:78">
      <c r="B1513" s="7"/>
      <c r="O1513" s="7"/>
      <c r="X1513" s="7"/>
      <c r="AG1513" s="7"/>
      <c r="AP1513" s="7"/>
      <c r="AY1513" s="7"/>
      <c r="BH1513" s="7"/>
      <c r="BQ1513" s="7"/>
      <c r="BZ1513" s="7"/>
    </row>
    <row r="1514" spans="2:78">
      <c r="B1514" s="7"/>
      <c r="O1514" s="7"/>
      <c r="X1514" s="7"/>
      <c r="AG1514" s="7"/>
      <c r="AP1514" s="7"/>
      <c r="AY1514" s="7"/>
      <c r="BH1514" s="7"/>
      <c r="BQ1514" s="7"/>
      <c r="BZ1514" s="7"/>
    </row>
    <row r="1515" spans="2:78">
      <c r="B1515" s="7"/>
      <c r="O1515" s="7"/>
      <c r="X1515" s="7"/>
      <c r="AG1515" s="7"/>
      <c r="AP1515" s="7"/>
      <c r="AY1515" s="7"/>
      <c r="BH1515" s="7"/>
      <c r="BQ1515" s="7"/>
      <c r="BZ1515" s="7"/>
    </row>
    <row r="1516" spans="2:78">
      <c r="B1516" s="7"/>
      <c r="O1516" s="7"/>
      <c r="X1516" s="7"/>
      <c r="AG1516" s="7"/>
      <c r="AP1516" s="7"/>
      <c r="AY1516" s="7"/>
      <c r="BH1516" s="7"/>
      <c r="BQ1516" s="7"/>
      <c r="BZ1516" s="7"/>
    </row>
    <row r="1517" spans="2:78">
      <c r="B1517" s="7"/>
      <c r="O1517" s="7"/>
      <c r="X1517" s="7"/>
      <c r="AG1517" s="7"/>
      <c r="AP1517" s="7"/>
      <c r="AY1517" s="7"/>
      <c r="BH1517" s="7"/>
      <c r="BQ1517" s="7"/>
      <c r="BZ1517" s="7"/>
    </row>
    <row r="1518" spans="2:78">
      <c r="B1518" s="7"/>
      <c r="O1518" s="7"/>
      <c r="X1518" s="7"/>
      <c r="AG1518" s="7"/>
      <c r="AP1518" s="7"/>
      <c r="AY1518" s="7"/>
      <c r="BH1518" s="7"/>
      <c r="BQ1518" s="7"/>
      <c r="BZ1518" s="7"/>
    </row>
    <row r="1519" spans="2:78">
      <c r="B1519" s="7"/>
      <c r="O1519" s="7"/>
      <c r="X1519" s="7"/>
      <c r="AG1519" s="7"/>
      <c r="AP1519" s="7"/>
      <c r="AY1519" s="7"/>
      <c r="BH1519" s="7"/>
      <c r="BQ1519" s="7"/>
      <c r="BZ1519" s="7"/>
    </row>
    <row r="1520" spans="2:78">
      <c r="B1520" s="7"/>
      <c r="O1520" s="7"/>
      <c r="X1520" s="7"/>
      <c r="AG1520" s="7"/>
      <c r="AP1520" s="7"/>
      <c r="AY1520" s="7"/>
      <c r="BH1520" s="7"/>
      <c r="BQ1520" s="7"/>
      <c r="BZ1520" s="7"/>
    </row>
    <row r="1521" spans="2:78">
      <c r="B1521" s="7"/>
      <c r="O1521" s="7"/>
      <c r="X1521" s="7"/>
      <c r="AG1521" s="7"/>
      <c r="AP1521" s="7"/>
      <c r="AY1521" s="7"/>
      <c r="BH1521" s="7"/>
      <c r="BQ1521" s="7"/>
      <c r="BZ1521" s="7"/>
    </row>
    <row r="1522" spans="2:78">
      <c r="B1522" s="7"/>
      <c r="O1522" s="7"/>
      <c r="X1522" s="7"/>
      <c r="AG1522" s="7"/>
      <c r="AP1522" s="7"/>
      <c r="AY1522" s="7"/>
      <c r="BH1522" s="7"/>
      <c r="BQ1522" s="7"/>
      <c r="BZ1522" s="7"/>
    </row>
    <row r="1523" spans="2:78">
      <c r="B1523" s="7"/>
      <c r="O1523" s="7"/>
      <c r="X1523" s="7"/>
      <c r="AG1523" s="7"/>
      <c r="AP1523" s="7"/>
      <c r="AY1523" s="7"/>
      <c r="BH1523" s="7"/>
      <c r="BQ1523" s="7"/>
      <c r="BZ1523" s="7"/>
    </row>
    <row r="1524" spans="2:78">
      <c r="B1524" s="7"/>
      <c r="O1524" s="7"/>
      <c r="X1524" s="7"/>
      <c r="AG1524" s="7"/>
      <c r="AP1524" s="7"/>
      <c r="AY1524" s="7"/>
      <c r="BH1524" s="7"/>
      <c r="BQ1524" s="7"/>
      <c r="BZ1524" s="7"/>
    </row>
    <row r="1525" spans="2:78">
      <c r="B1525" s="7"/>
      <c r="O1525" s="7"/>
      <c r="X1525" s="7"/>
      <c r="AG1525" s="7"/>
      <c r="AP1525" s="7"/>
      <c r="AY1525" s="7"/>
      <c r="BH1525" s="7"/>
      <c r="BQ1525" s="7"/>
      <c r="BZ1525" s="7"/>
    </row>
    <row r="1526" spans="2:78">
      <c r="B1526" s="7"/>
      <c r="O1526" s="7"/>
      <c r="X1526" s="7"/>
      <c r="AG1526" s="7"/>
      <c r="AP1526" s="7"/>
      <c r="AY1526" s="7"/>
      <c r="BH1526" s="7"/>
      <c r="BQ1526" s="7"/>
      <c r="BZ1526" s="7"/>
    </row>
    <row r="1527" spans="2:78">
      <c r="B1527" s="7"/>
      <c r="O1527" s="7"/>
      <c r="X1527" s="7"/>
      <c r="AG1527" s="7"/>
      <c r="AP1527" s="7"/>
      <c r="AY1527" s="7"/>
      <c r="BH1527" s="7"/>
      <c r="BQ1527" s="7"/>
      <c r="BZ1527" s="7"/>
    </row>
    <row r="1528" spans="2:78">
      <c r="B1528" s="7"/>
      <c r="O1528" s="7"/>
      <c r="X1528" s="7"/>
      <c r="AG1528" s="7"/>
      <c r="AP1528" s="7"/>
      <c r="AY1528" s="7"/>
      <c r="BH1528" s="7"/>
      <c r="BQ1528" s="7"/>
      <c r="BZ1528" s="7"/>
    </row>
    <row r="1529" spans="2:78">
      <c r="B1529" s="7"/>
      <c r="O1529" s="7"/>
      <c r="X1529" s="7"/>
      <c r="AG1529" s="7"/>
      <c r="AP1529" s="7"/>
      <c r="AY1529" s="7"/>
      <c r="BH1529" s="7"/>
      <c r="BQ1529" s="7"/>
      <c r="BZ1529" s="7"/>
    </row>
    <row r="1530" spans="2:78">
      <c r="B1530" s="7"/>
      <c r="O1530" s="7"/>
      <c r="X1530" s="7"/>
      <c r="AG1530" s="7"/>
      <c r="AP1530" s="7"/>
      <c r="AY1530" s="7"/>
      <c r="BH1530" s="7"/>
      <c r="BQ1530" s="7"/>
      <c r="BZ1530" s="7"/>
    </row>
    <row r="1531" spans="2:78">
      <c r="B1531" s="7"/>
      <c r="O1531" s="7"/>
      <c r="X1531" s="7"/>
      <c r="AG1531" s="7"/>
      <c r="AP1531" s="7"/>
      <c r="AY1531" s="7"/>
      <c r="BH1531" s="7"/>
      <c r="BQ1531" s="7"/>
      <c r="BZ1531" s="7"/>
    </row>
    <row r="1532" spans="2:78">
      <c r="B1532" s="7"/>
      <c r="O1532" s="7"/>
      <c r="X1532" s="7"/>
      <c r="AG1532" s="7"/>
      <c r="AP1532" s="7"/>
      <c r="AY1532" s="7"/>
      <c r="BH1532" s="7"/>
      <c r="BQ1532" s="7"/>
      <c r="BZ1532" s="7"/>
    </row>
    <row r="1533" spans="2:78">
      <c r="B1533" s="7"/>
      <c r="O1533" s="7"/>
      <c r="X1533" s="7"/>
      <c r="AG1533" s="7"/>
      <c r="AP1533" s="7"/>
      <c r="AY1533" s="7"/>
      <c r="BH1533" s="7"/>
      <c r="BQ1533" s="7"/>
      <c r="BZ1533" s="7"/>
    </row>
    <row r="1534" spans="2:78">
      <c r="B1534" s="7"/>
      <c r="O1534" s="7"/>
      <c r="X1534" s="7"/>
      <c r="AG1534" s="7"/>
      <c r="AP1534" s="7"/>
      <c r="AY1534" s="7"/>
      <c r="BH1534" s="7"/>
      <c r="BQ1534" s="7"/>
      <c r="BZ1534" s="7"/>
    </row>
    <row r="1535" spans="2:78">
      <c r="B1535" s="7"/>
      <c r="O1535" s="7"/>
      <c r="X1535" s="7"/>
      <c r="AG1535" s="7"/>
      <c r="AP1535" s="7"/>
      <c r="AY1535" s="7"/>
      <c r="BH1535" s="7"/>
      <c r="BQ1535" s="7"/>
      <c r="BZ1535" s="7"/>
    </row>
    <row r="1536" spans="2:78">
      <c r="B1536" s="7"/>
      <c r="O1536" s="7"/>
      <c r="X1536" s="7"/>
      <c r="AG1536" s="7"/>
      <c r="AP1536" s="7"/>
      <c r="AY1536" s="7"/>
      <c r="BH1536" s="7"/>
      <c r="BQ1536" s="7"/>
      <c r="BZ1536" s="7"/>
    </row>
    <row r="1537" spans="2:78">
      <c r="B1537" s="7"/>
      <c r="O1537" s="7"/>
      <c r="X1537" s="7"/>
      <c r="AG1537" s="7"/>
      <c r="AP1537" s="7"/>
      <c r="AY1537" s="7"/>
      <c r="BH1537" s="7"/>
      <c r="BQ1537" s="7"/>
      <c r="BZ1537" s="7"/>
    </row>
    <row r="1538" spans="2:78">
      <c r="B1538" s="7"/>
      <c r="O1538" s="7"/>
      <c r="X1538" s="7"/>
      <c r="AG1538" s="7"/>
      <c r="AP1538" s="7"/>
      <c r="AY1538" s="7"/>
      <c r="BH1538" s="7"/>
      <c r="BQ1538" s="7"/>
      <c r="BZ1538" s="7"/>
    </row>
    <row r="1539" spans="2:78">
      <c r="B1539" s="7"/>
      <c r="O1539" s="7"/>
      <c r="X1539" s="7"/>
      <c r="AG1539" s="7"/>
      <c r="AP1539" s="7"/>
      <c r="AY1539" s="7"/>
      <c r="BH1539" s="7"/>
      <c r="BQ1539" s="7"/>
      <c r="BZ1539" s="7"/>
    </row>
    <row r="1540" spans="2:78">
      <c r="B1540" s="7"/>
      <c r="O1540" s="7"/>
      <c r="X1540" s="7"/>
      <c r="AG1540" s="7"/>
      <c r="AP1540" s="7"/>
      <c r="AY1540" s="7"/>
      <c r="BH1540" s="7"/>
      <c r="BQ1540" s="7"/>
      <c r="BZ1540" s="7"/>
    </row>
    <row r="1541" spans="2:78">
      <c r="B1541" s="7"/>
      <c r="O1541" s="7"/>
      <c r="X1541" s="7"/>
      <c r="AG1541" s="7"/>
      <c r="AP1541" s="7"/>
      <c r="AY1541" s="7"/>
      <c r="BH1541" s="7"/>
      <c r="BQ1541" s="7"/>
      <c r="BZ1541" s="7"/>
    </row>
    <row r="1542" spans="2:78">
      <c r="B1542" s="7"/>
      <c r="O1542" s="7"/>
      <c r="X1542" s="7"/>
      <c r="AG1542" s="7"/>
      <c r="AP1542" s="7"/>
      <c r="AY1542" s="7"/>
      <c r="BH1542" s="7"/>
      <c r="BQ1542" s="7"/>
      <c r="BZ1542" s="7"/>
    </row>
    <row r="1543" spans="2:78">
      <c r="B1543" s="7"/>
      <c r="O1543" s="7"/>
      <c r="X1543" s="7"/>
      <c r="AG1543" s="7"/>
      <c r="AP1543" s="7"/>
      <c r="AY1543" s="7"/>
      <c r="BH1543" s="7"/>
      <c r="BQ1543" s="7"/>
      <c r="BZ1543" s="7"/>
    </row>
    <row r="1544" spans="2:78">
      <c r="B1544" s="7"/>
      <c r="O1544" s="7"/>
      <c r="X1544" s="7"/>
      <c r="AG1544" s="7"/>
      <c r="AP1544" s="7"/>
      <c r="AY1544" s="7"/>
      <c r="BH1544" s="7"/>
      <c r="BQ1544" s="7"/>
      <c r="BZ1544" s="7"/>
    </row>
    <row r="1545" spans="2:78">
      <c r="B1545" s="7"/>
      <c r="O1545" s="7"/>
      <c r="X1545" s="7"/>
      <c r="AG1545" s="7"/>
      <c r="AP1545" s="7"/>
      <c r="AY1545" s="7"/>
      <c r="BH1545" s="7"/>
      <c r="BQ1545" s="7"/>
      <c r="BZ1545" s="7"/>
    </row>
    <row r="1546" spans="2:78">
      <c r="B1546" s="7"/>
      <c r="O1546" s="7"/>
      <c r="X1546" s="7"/>
      <c r="AG1546" s="7"/>
      <c r="AP1546" s="7"/>
      <c r="AY1546" s="7"/>
      <c r="BH1546" s="7"/>
      <c r="BQ1546" s="7"/>
      <c r="BZ1546" s="7"/>
    </row>
    <row r="1547" spans="2:78">
      <c r="B1547" s="7"/>
      <c r="O1547" s="7"/>
      <c r="X1547" s="7"/>
      <c r="AG1547" s="7"/>
      <c r="AP1547" s="7"/>
      <c r="AY1547" s="7"/>
      <c r="BH1547" s="7"/>
      <c r="BQ1547" s="7"/>
      <c r="BZ1547" s="7"/>
    </row>
    <row r="1548" spans="2:78">
      <c r="B1548" s="7"/>
      <c r="O1548" s="7"/>
      <c r="X1548" s="7"/>
      <c r="AG1548" s="7"/>
      <c r="AP1548" s="7"/>
      <c r="AY1548" s="7"/>
      <c r="BH1548" s="7"/>
      <c r="BQ1548" s="7"/>
      <c r="BZ1548" s="7"/>
    </row>
    <row r="1549" spans="2:78">
      <c r="B1549" s="7"/>
      <c r="O1549" s="7"/>
      <c r="X1549" s="7"/>
      <c r="AG1549" s="7"/>
      <c r="AP1549" s="7"/>
      <c r="AY1549" s="7"/>
      <c r="BH1549" s="7"/>
      <c r="BQ1549" s="7"/>
      <c r="BZ1549" s="7"/>
    </row>
    <row r="1550" spans="2:78">
      <c r="B1550" s="7"/>
      <c r="O1550" s="7"/>
      <c r="X1550" s="7"/>
      <c r="AG1550" s="7"/>
      <c r="AP1550" s="7"/>
      <c r="AY1550" s="7"/>
      <c r="BH1550" s="7"/>
      <c r="BQ1550" s="7"/>
      <c r="BZ1550" s="7"/>
    </row>
    <row r="1551" spans="2:78">
      <c r="B1551" s="7"/>
      <c r="O1551" s="7"/>
      <c r="X1551" s="7"/>
      <c r="AG1551" s="7"/>
      <c r="AP1551" s="7"/>
      <c r="AY1551" s="7"/>
      <c r="BH1551" s="7"/>
      <c r="BQ1551" s="7"/>
      <c r="BZ1551" s="7"/>
    </row>
    <row r="1552" spans="2:78">
      <c r="B1552" s="7"/>
      <c r="O1552" s="7"/>
      <c r="X1552" s="7"/>
      <c r="AG1552" s="7"/>
      <c r="AP1552" s="7"/>
      <c r="AY1552" s="7"/>
      <c r="BH1552" s="7"/>
      <c r="BQ1552" s="7"/>
      <c r="BZ1552" s="7"/>
    </row>
    <row r="1553" spans="2:78">
      <c r="B1553" s="7"/>
      <c r="O1553" s="7"/>
      <c r="X1553" s="7"/>
      <c r="AG1553" s="7"/>
      <c r="AP1553" s="7"/>
      <c r="AY1553" s="7"/>
      <c r="BH1553" s="7"/>
      <c r="BQ1553" s="7"/>
      <c r="BZ1553" s="7"/>
    </row>
    <row r="1554" spans="2:78">
      <c r="B1554" s="7"/>
      <c r="O1554" s="7"/>
      <c r="X1554" s="7"/>
      <c r="AG1554" s="7"/>
      <c r="AP1554" s="7"/>
      <c r="AY1554" s="7"/>
      <c r="BH1554" s="7"/>
      <c r="BQ1554" s="7"/>
      <c r="BZ1554" s="7"/>
    </row>
    <row r="1555" spans="2:78">
      <c r="B1555" s="7"/>
      <c r="O1555" s="7"/>
      <c r="X1555" s="7"/>
      <c r="AG1555" s="7"/>
      <c r="AP1555" s="7"/>
      <c r="AY1555" s="7"/>
      <c r="BH1555" s="7"/>
      <c r="BQ1555" s="7"/>
      <c r="BZ1555" s="7"/>
    </row>
    <row r="1556" spans="2:78">
      <c r="B1556" s="7"/>
      <c r="O1556" s="7"/>
      <c r="X1556" s="7"/>
      <c r="AG1556" s="7"/>
      <c r="AP1556" s="7"/>
      <c r="AY1556" s="7"/>
      <c r="BH1556" s="7"/>
      <c r="BQ1556" s="7"/>
      <c r="BZ1556" s="7"/>
    </row>
    <row r="1557" spans="2:78">
      <c r="B1557" s="7"/>
      <c r="O1557" s="7"/>
      <c r="X1557" s="7"/>
      <c r="AG1557" s="7"/>
      <c r="AP1557" s="7"/>
      <c r="AY1557" s="7"/>
      <c r="BH1557" s="7"/>
      <c r="BQ1557" s="7"/>
      <c r="BZ1557" s="7"/>
    </row>
    <row r="1558" spans="2:78">
      <c r="B1558" s="7"/>
      <c r="O1558" s="7"/>
      <c r="X1558" s="7"/>
      <c r="AG1558" s="7"/>
      <c r="AP1558" s="7"/>
      <c r="AY1558" s="7"/>
      <c r="BH1558" s="7"/>
      <c r="BQ1558" s="7"/>
      <c r="BZ1558" s="7"/>
    </row>
    <row r="1559" spans="2:78">
      <c r="B1559" s="7"/>
      <c r="O1559" s="7"/>
      <c r="X1559" s="7"/>
      <c r="AG1559" s="7"/>
      <c r="AP1559" s="7"/>
      <c r="AY1559" s="7"/>
      <c r="BH1559" s="7"/>
      <c r="BQ1559" s="7"/>
      <c r="BZ1559" s="7"/>
    </row>
    <row r="1560" spans="2:78">
      <c r="B1560" s="7"/>
      <c r="O1560" s="7"/>
      <c r="X1560" s="7"/>
      <c r="AG1560" s="7"/>
      <c r="AP1560" s="7"/>
      <c r="AY1560" s="7"/>
      <c r="BH1560" s="7"/>
      <c r="BQ1560" s="7"/>
      <c r="BZ1560" s="7"/>
    </row>
    <row r="1561" spans="2:78">
      <c r="B1561" s="7"/>
      <c r="O1561" s="7"/>
      <c r="X1561" s="7"/>
      <c r="AG1561" s="7"/>
      <c r="AP1561" s="7"/>
      <c r="AY1561" s="7"/>
      <c r="BH1561" s="7"/>
      <c r="BQ1561" s="7"/>
      <c r="BZ1561" s="7"/>
    </row>
    <row r="1562" spans="2:78">
      <c r="B1562" s="7"/>
      <c r="O1562" s="7"/>
      <c r="X1562" s="7"/>
      <c r="AG1562" s="7"/>
      <c r="AP1562" s="7"/>
      <c r="AY1562" s="7"/>
      <c r="BH1562" s="7"/>
      <c r="BQ1562" s="7"/>
      <c r="BZ1562" s="7"/>
    </row>
    <row r="1563" spans="2:78">
      <c r="B1563" s="7"/>
      <c r="O1563" s="7"/>
      <c r="X1563" s="7"/>
      <c r="AG1563" s="7"/>
      <c r="AP1563" s="7"/>
      <c r="AY1563" s="7"/>
      <c r="BH1563" s="7"/>
      <c r="BQ1563" s="7"/>
      <c r="BZ1563" s="7"/>
    </row>
    <row r="1564" spans="2:78">
      <c r="B1564" s="7"/>
      <c r="O1564" s="7"/>
      <c r="X1564" s="7"/>
      <c r="AG1564" s="7"/>
      <c r="AP1564" s="7"/>
      <c r="AY1564" s="7"/>
      <c r="BH1564" s="7"/>
      <c r="BQ1564" s="7"/>
      <c r="BZ1564" s="7"/>
    </row>
    <row r="1565" spans="2:78">
      <c r="B1565" s="7"/>
      <c r="O1565" s="7"/>
      <c r="X1565" s="7"/>
      <c r="AG1565" s="7"/>
      <c r="AP1565" s="7"/>
      <c r="AY1565" s="7"/>
      <c r="BH1565" s="7"/>
      <c r="BQ1565" s="7"/>
      <c r="BZ1565" s="7"/>
    </row>
    <row r="1566" spans="2:78">
      <c r="B1566" s="7"/>
      <c r="O1566" s="7"/>
      <c r="X1566" s="7"/>
      <c r="AG1566" s="7"/>
      <c r="AP1566" s="7"/>
      <c r="AY1566" s="7"/>
      <c r="BH1566" s="7"/>
      <c r="BQ1566" s="7"/>
      <c r="BZ1566" s="7"/>
    </row>
    <row r="1567" spans="2:78">
      <c r="B1567" s="7"/>
      <c r="O1567" s="7"/>
      <c r="X1567" s="7"/>
      <c r="AG1567" s="7"/>
      <c r="AP1567" s="7"/>
      <c r="AY1567" s="7"/>
      <c r="BH1567" s="7"/>
      <c r="BQ1567" s="7"/>
      <c r="BZ1567" s="7"/>
    </row>
    <row r="1568" spans="2:78">
      <c r="B1568" s="7"/>
      <c r="O1568" s="7"/>
      <c r="X1568" s="7"/>
      <c r="AG1568" s="7"/>
      <c r="AP1568" s="7"/>
      <c r="AY1568" s="7"/>
      <c r="BH1568" s="7"/>
      <c r="BQ1568" s="7"/>
      <c r="BZ1568" s="7"/>
    </row>
    <row r="1569" spans="2:78">
      <c r="B1569" s="7"/>
      <c r="O1569" s="7"/>
      <c r="X1569" s="7"/>
      <c r="AG1569" s="7"/>
      <c r="AP1569" s="7"/>
      <c r="AY1569" s="7"/>
      <c r="BH1569" s="7"/>
      <c r="BQ1569" s="7"/>
      <c r="BZ1569" s="7"/>
    </row>
    <row r="1570" spans="2:78">
      <c r="B1570" s="7"/>
      <c r="O1570" s="7"/>
      <c r="X1570" s="7"/>
      <c r="AG1570" s="7"/>
      <c r="AP1570" s="7"/>
      <c r="AY1570" s="7"/>
      <c r="BH1570" s="7"/>
      <c r="BQ1570" s="7"/>
      <c r="BZ1570" s="7"/>
    </row>
    <row r="1571" spans="2:78">
      <c r="B1571" s="7"/>
      <c r="O1571" s="7"/>
      <c r="X1571" s="7"/>
      <c r="AG1571" s="7"/>
      <c r="AP1571" s="7"/>
      <c r="AY1571" s="7"/>
      <c r="BH1571" s="7"/>
      <c r="BQ1571" s="7"/>
      <c r="BZ1571" s="7"/>
    </row>
    <row r="1572" spans="2:78">
      <c r="B1572" s="7"/>
      <c r="O1572" s="7"/>
      <c r="X1572" s="7"/>
      <c r="AG1572" s="7"/>
      <c r="AP1572" s="7"/>
      <c r="AY1572" s="7"/>
      <c r="BH1572" s="7"/>
      <c r="BQ1572" s="7"/>
      <c r="BZ1572" s="7"/>
    </row>
    <row r="1573" spans="2:78">
      <c r="B1573" s="7"/>
      <c r="O1573" s="7"/>
      <c r="X1573" s="7"/>
      <c r="AG1573" s="7"/>
      <c r="AP1573" s="7"/>
      <c r="AY1573" s="7"/>
      <c r="BH1573" s="7"/>
      <c r="BQ1573" s="7"/>
      <c r="BZ1573" s="7"/>
    </row>
    <row r="1574" spans="2:78">
      <c r="B1574" s="7"/>
      <c r="O1574" s="7"/>
      <c r="X1574" s="7"/>
      <c r="AG1574" s="7"/>
      <c r="AP1574" s="7"/>
      <c r="AY1574" s="7"/>
      <c r="BH1574" s="7"/>
      <c r="BQ1574" s="7"/>
      <c r="BZ1574" s="7"/>
    </row>
    <row r="1575" spans="2:78">
      <c r="B1575" s="7"/>
      <c r="O1575" s="7"/>
      <c r="X1575" s="7"/>
      <c r="AG1575" s="7"/>
      <c r="AP1575" s="7"/>
      <c r="AY1575" s="7"/>
      <c r="BH1575" s="7"/>
      <c r="BQ1575" s="7"/>
      <c r="BZ1575" s="7"/>
    </row>
    <row r="1576" spans="2:78">
      <c r="B1576" s="7"/>
      <c r="O1576" s="7"/>
      <c r="X1576" s="7"/>
      <c r="AG1576" s="7"/>
      <c r="AP1576" s="7"/>
      <c r="AY1576" s="7"/>
      <c r="BH1576" s="7"/>
      <c r="BQ1576" s="7"/>
      <c r="BZ1576" s="7"/>
    </row>
    <row r="1577" spans="2:78">
      <c r="B1577" s="7"/>
      <c r="O1577" s="7"/>
      <c r="X1577" s="7"/>
      <c r="AG1577" s="7"/>
      <c r="AP1577" s="7"/>
      <c r="AY1577" s="7"/>
      <c r="BH1577" s="7"/>
      <c r="BQ1577" s="7"/>
      <c r="BZ1577" s="7"/>
    </row>
    <row r="1578" spans="2:78">
      <c r="B1578" s="7"/>
      <c r="O1578" s="7"/>
      <c r="X1578" s="7"/>
      <c r="AG1578" s="7"/>
      <c r="AP1578" s="7"/>
      <c r="AY1578" s="7"/>
      <c r="BH1578" s="7"/>
      <c r="BQ1578" s="7"/>
      <c r="BZ1578" s="7"/>
    </row>
    <row r="1579" spans="2:78">
      <c r="B1579" s="7"/>
      <c r="O1579" s="7"/>
      <c r="X1579" s="7"/>
      <c r="AG1579" s="7"/>
      <c r="AP1579" s="7"/>
      <c r="AY1579" s="7"/>
      <c r="BH1579" s="7"/>
      <c r="BQ1579" s="7"/>
      <c r="BZ1579" s="7"/>
    </row>
    <row r="1580" spans="2:78">
      <c r="B1580" s="7"/>
      <c r="O1580" s="7"/>
      <c r="X1580" s="7"/>
      <c r="AG1580" s="7"/>
      <c r="AP1580" s="7"/>
      <c r="AY1580" s="7"/>
      <c r="BH1580" s="7"/>
      <c r="BQ1580" s="7"/>
      <c r="BZ1580" s="7"/>
    </row>
    <row r="1581" spans="2:78">
      <c r="B1581" s="7"/>
      <c r="O1581" s="7"/>
      <c r="X1581" s="7"/>
      <c r="AG1581" s="7"/>
      <c r="AP1581" s="7"/>
      <c r="AY1581" s="7"/>
      <c r="BH1581" s="7"/>
      <c r="BQ1581" s="7"/>
      <c r="BZ1581" s="7"/>
    </row>
    <row r="1582" spans="2:78">
      <c r="B1582" s="7"/>
      <c r="O1582" s="7"/>
      <c r="X1582" s="7"/>
      <c r="AG1582" s="7"/>
      <c r="AP1582" s="7"/>
      <c r="AY1582" s="7"/>
      <c r="BH1582" s="7"/>
      <c r="BQ1582" s="7"/>
      <c r="BZ1582" s="7"/>
    </row>
    <row r="1583" spans="2:78">
      <c r="B1583" s="7"/>
      <c r="O1583" s="7"/>
      <c r="X1583" s="7"/>
      <c r="AG1583" s="7"/>
      <c r="AP1583" s="7"/>
      <c r="AY1583" s="7"/>
      <c r="BH1583" s="7"/>
      <c r="BQ1583" s="7"/>
      <c r="BZ1583" s="7"/>
    </row>
    <row r="1584" spans="2:78">
      <c r="B1584" s="7"/>
      <c r="O1584" s="7"/>
      <c r="X1584" s="7"/>
      <c r="AG1584" s="7"/>
      <c r="AP1584" s="7"/>
      <c r="AY1584" s="7"/>
      <c r="BH1584" s="7"/>
      <c r="BQ1584" s="7"/>
      <c r="BZ1584" s="7"/>
    </row>
    <row r="1585" spans="2:78">
      <c r="B1585" s="7"/>
      <c r="O1585" s="7"/>
      <c r="X1585" s="7"/>
      <c r="AG1585" s="7"/>
      <c r="AP1585" s="7"/>
      <c r="AY1585" s="7"/>
      <c r="BH1585" s="7"/>
      <c r="BQ1585" s="7"/>
      <c r="BZ1585" s="7"/>
    </row>
    <row r="1586" spans="2:78">
      <c r="B1586" s="7"/>
      <c r="O1586" s="7"/>
      <c r="X1586" s="7"/>
      <c r="AG1586" s="7"/>
      <c r="AP1586" s="7"/>
      <c r="AY1586" s="7"/>
      <c r="BH1586" s="7"/>
      <c r="BQ1586" s="7"/>
      <c r="BZ1586" s="7"/>
    </row>
    <row r="1587" spans="2:78">
      <c r="B1587" s="7"/>
      <c r="O1587" s="7"/>
      <c r="X1587" s="7"/>
      <c r="AG1587" s="7"/>
      <c r="AP1587" s="7"/>
      <c r="AY1587" s="7"/>
      <c r="BH1587" s="7"/>
      <c r="BQ1587" s="7"/>
      <c r="BZ1587" s="7"/>
    </row>
    <row r="1588" spans="2:78">
      <c r="B1588" s="7"/>
      <c r="O1588" s="7"/>
      <c r="X1588" s="7"/>
      <c r="AG1588" s="7"/>
      <c r="AP1588" s="7"/>
      <c r="AY1588" s="7"/>
      <c r="BH1588" s="7"/>
      <c r="BQ1588" s="7"/>
      <c r="BZ1588" s="7"/>
    </row>
    <row r="1589" spans="2:78">
      <c r="B1589" s="7"/>
      <c r="O1589" s="7"/>
      <c r="X1589" s="7"/>
      <c r="AG1589" s="7"/>
      <c r="AP1589" s="7"/>
      <c r="AY1589" s="7"/>
      <c r="BH1589" s="7"/>
      <c r="BQ1589" s="7"/>
      <c r="BZ1589" s="7"/>
    </row>
    <row r="1590" spans="2:78">
      <c r="B1590" s="7"/>
      <c r="O1590" s="7"/>
      <c r="X1590" s="7"/>
      <c r="AG1590" s="7"/>
      <c r="AP1590" s="7"/>
      <c r="AY1590" s="7"/>
      <c r="BH1590" s="7"/>
      <c r="BQ1590" s="7"/>
      <c r="BZ1590" s="7"/>
    </row>
    <row r="1591" spans="2:78">
      <c r="B1591" s="7"/>
      <c r="O1591" s="7"/>
      <c r="X1591" s="7"/>
      <c r="AG1591" s="7"/>
      <c r="AP1591" s="7"/>
      <c r="AY1591" s="7"/>
      <c r="BH1591" s="7"/>
      <c r="BQ1591" s="7"/>
      <c r="BZ1591" s="7"/>
    </row>
    <row r="1592" spans="2:78">
      <c r="B1592" s="7"/>
      <c r="O1592" s="7"/>
      <c r="X1592" s="7"/>
      <c r="AG1592" s="7"/>
      <c r="AP1592" s="7"/>
      <c r="AY1592" s="7"/>
      <c r="BH1592" s="7"/>
      <c r="BQ1592" s="7"/>
      <c r="BZ1592" s="7"/>
    </row>
    <row r="1593" spans="2:78">
      <c r="B1593" s="7"/>
      <c r="O1593" s="7"/>
      <c r="X1593" s="7"/>
      <c r="AG1593" s="7"/>
      <c r="AP1593" s="7"/>
      <c r="AY1593" s="7"/>
      <c r="BH1593" s="7"/>
      <c r="BQ1593" s="7"/>
      <c r="BZ1593" s="7"/>
    </row>
    <row r="1594" spans="2:78">
      <c r="B1594" s="7"/>
      <c r="O1594" s="7"/>
      <c r="X1594" s="7"/>
      <c r="AG1594" s="7"/>
      <c r="AP1594" s="7"/>
      <c r="AY1594" s="7"/>
      <c r="BH1594" s="7"/>
      <c r="BQ1594" s="7"/>
      <c r="BZ1594" s="7"/>
    </row>
    <row r="1595" spans="2:78">
      <c r="B1595" s="7"/>
      <c r="O1595" s="7"/>
      <c r="X1595" s="7"/>
      <c r="AG1595" s="7"/>
      <c r="AP1595" s="7"/>
      <c r="AY1595" s="7"/>
      <c r="BH1595" s="7"/>
      <c r="BQ1595" s="7"/>
      <c r="BZ1595" s="7"/>
    </row>
    <row r="1596" spans="2:78">
      <c r="B1596" s="7"/>
      <c r="O1596" s="7"/>
      <c r="X1596" s="7"/>
      <c r="AG1596" s="7"/>
      <c r="AP1596" s="7"/>
      <c r="AY1596" s="7"/>
      <c r="BH1596" s="7"/>
      <c r="BQ1596" s="7"/>
      <c r="BZ1596" s="7"/>
    </row>
    <row r="1597" spans="2:78">
      <c r="B1597" s="7"/>
      <c r="O1597" s="7"/>
      <c r="X1597" s="7"/>
      <c r="AG1597" s="7"/>
      <c r="AP1597" s="7"/>
      <c r="AY1597" s="7"/>
      <c r="BH1597" s="7"/>
      <c r="BQ1597" s="7"/>
      <c r="BZ1597" s="7"/>
    </row>
    <row r="1598" spans="2:78">
      <c r="B1598" s="7"/>
      <c r="O1598" s="7"/>
      <c r="X1598" s="7"/>
      <c r="AG1598" s="7"/>
      <c r="AP1598" s="7"/>
      <c r="AY1598" s="7"/>
      <c r="BH1598" s="7"/>
      <c r="BQ1598" s="7"/>
      <c r="BZ1598" s="7"/>
    </row>
    <row r="1599" spans="2:78">
      <c r="B1599" s="7"/>
      <c r="O1599" s="7"/>
      <c r="X1599" s="7"/>
      <c r="AG1599" s="7"/>
      <c r="AP1599" s="7"/>
      <c r="AY1599" s="7"/>
      <c r="BH1599" s="7"/>
      <c r="BQ1599" s="7"/>
      <c r="BZ1599" s="7"/>
    </row>
    <row r="1600" spans="2:78">
      <c r="B1600" s="7"/>
      <c r="O1600" s="7"/>
      <c r="X1600" s="7"/>
      <c r="AG1600" s="7"/>
      <c r="AP1600" s="7"/>
      <c r="AY1600" s="7"/>
      <c r="BH1600" s="7"/>
      <c r="BQ1600" s="7"/>
      <c r="BZ1600" s="7"/>
    </row>
    <row r="1601" spans="2:78">
      <c r="B1601" s="7"/>
      <c r="O1601" s="7"/>
      <c r="X1601" s="7"/>
      <c r="AG1601" s="7"/>
      <c r="AP1601" s="7"/>
      <c r="AY1601" s="7"/>
      <c r="BH1601" s="7"/>
      <c r="BQ1601" s="7"/>
      <c r="BZ1601" s="7"/>
    </row>
    <row r="1602" spans="2:78">
      <c r="B1602" s="7"/>
      <c r="O1602" s="7"/>
      <c r="X1602" s="7"/>
      <c r="AG1602" s="7"/>
      <c r="AP1602" s="7"/>
      <c r="AY1602" s="7"/>
      <c r="BH1602" s="7"/>
      <c r="BQ1602" s="7"/>
      <c r="BZ1602" s="7"/>
    </row>
    <row r="1603" spans="2:78">
      <c r="B1603" s="7"/>
      <c r="O1603" s="7"/>
      <c r="X1603" s="7"/>
      <c r="AG1603" s="7"/>
      <c r="AP1603" s="7"/>
      <c r="AY1603" s="7"/>
      <c r="BH1603" s="7"/>
      <c r="BQ1603" s="7"/>
      <c r="BZ1603" s="7"/>
    </row>
    <row r="1604" spans="2:78">
      <c r="B1604" s="7"/>
      <c r="O1604" s="7"/>
      <c r="X1604" s="7"/>
      <c r="AG1604" s="7"/>
      <c r="AP1604" s="7"/>
      <c r="AY1604" s="7"/>
      <c r="BH1604" s="7"/>
      <c r="BQ1604" s="7"/>
      <c r="BZ1604" s="7"/>
    </row>
    <row r="1605" spans="2:78">
      <c r="B1605" s="7"/>
      <c r="O1605" s="7"/>
      <c r="X1605" s="7"/>
      <c r="AG1605" s="7"/>
      <c r="AP1605" s="7"/>
      <c r="AY1605" s="7"/>
      <c r="BH1605" s="7"/>
      <c r="BQ1605" s="7"/>
      <c r="BZ1605" s="7"/>
    </row>
    <row r="1606" spans="2:78">
      <c r="B1606" s="7"/>
      <c r="O1606" s="7"/>
      <c r="X1606" s="7"/>
      <c r="AG1606" s="7"/>
      <c r="AP1606" s="7"/>
      <c r="AY1606" s="7"/>
      <c r="BH1606" s="7"/>
      <c r="BQ1606" s="7"/>
      <c r="BZ1606" s="7"/>
    </row>
    <row r="1607" spans="2:78">
      <c r="B1607" s="7"/>
      <c r="O1607" s="7"/>
      <c r="X1607" s="7"/>
      <c r="AG1607" s="7"/>
      <c r="AP1607" s="7"/>
      <c r="AY1607" s="7"/>
      <c r="BH1607" s="7"/>
      <c r="BQ1607" s="7"/>
      <c r="BZ1607" s="7"/>
    </row>
    <row r="1608" spans="2:78">
      <c r="B1608" s="7"/>
      <c r="O1608" s="7"/>
      <c r="X1608" s="7"/>
      <c r="AG1608" s="7"/>
      <c r="AP1608" s="7"/>
      <c r="AY1608" s="7"/>
      <c r="BH1608" s="7"/>
      <c r="BQ1608" s="7"/>
      <c r="BZ1608" s="7"/>
    </row>
    <row r="1609" spans="2:78">
      <c r="B1609" s="7"/>
      <c r="O1609" s="7"/>
      <c r="X1609" s="7"/>
      <c r="AG1609" s="7"/>
      <c r="AP1609" s="7"/>
      <c r="AY1609" s="7"/>
      <c r="BH1609" s="7"/>
      <c r="BQ1609" s="7"/>
      <c r="BZ1609" s="7"/>
    </row>
    <row r="1610" spans="2:78">
      <c r="B1610" s="7"/>
      <c r="O1610" s="7"/>
      <c r="X1610" s="7"/>
      <c r="AG1610" s="7"/>
      <c r="AP1610" s="7"/>
      <c r="AY1610" s="7"/>
      <c r="BH1610" s="7"/>
      <c r="BQ1610" s="7"/>
      <c r="BZ1610" s="7"/>
    </row>
    <row r="1611" spans="2:78">
      <c r="B1611" s="7"/>
      <c r="O1611" s="7"/>
      <c r="X1611" s="7"/>
      <c r="AG1611" s="7"/>
      <c r="AP1611" s="7"/>
      <c r="AY1611" s="7"/>
      <c r="BH1611" s="7"/>
      <c r="BQ1611" s="7"/>
      <c r="BZ1611" s="7"/>
    </row>
    <row r="1612" spans="2:78">
      <c r="B1612" s="7"/>
      <c r="O1612" s="7"/>
      <c r="X1612" s="7"/>
      <c r="AG1612" s="7"/>
      <c r="AP1612" s="7"/>
      <c r="AY1612" s="7"/>
      <c r="BH1612" s="7"/>
      <c r="BQ1612" s="7"/>
      <c r="BZ1612" s="7"/>
    </row>
    <row r="1613" spans="2:78">
      <c r="B1613" s="7"/>
      <c r="O1613" s="7"/>
      <c r="X1613" s="7"/>
      <c r="AG1613" s="7"/>
      <c r="AP1613" s="7"/>
      <c r="AY1613" s="7"/>
      <c r="BH1613" s="7"/>
      <c r="BQ1613" s="7"/>
      <c r="BZ1613" s="7"/>
    </row>
    <row r="1614" spans="2:78">
      <c r="B1614" s="7"/>
      <c r="O1614" s="7"/>
      <c r="X1614" s="7"/>
      <c r="AG1614" s="7"/>
      <c r="AP1614" s="7"/>
      <c r="AY1614" s="7"/>
      <c r="BH1614" s="7"/>
      <c r="BQ1614" s="7"/>
      <c r="BZ1614" s="7"/>
    </row>
    <row r="1615" spans="2:78">
      <c r="B1615" s="7"/>
      <c r="O1615" s="7"/>
      <c r="X1615" s="7"/>
      <c r="AG1615" s="7"/>
      <c r="AP1615" s="7"/>
      <c r="AY1615" s="7"/>
      <c r="BH1615" s="7"/>
      <c r="BQ1615" s="7"/>
      <c r="BZ1615" s="7"/>
    </row>
    <row r="1616" spans="2:78">
      <c r="B1616" s="7"/>
      <c r="O1616" s="7"/>
      <c r="X1616" s="7"/>
      <c r="AG1616" s="7"/>
      <c r="AP1616" s="7"/>
      <c r="AY1616" s="7"/>
      <c r="BH1616" s="7"/>
      <c r="BQ1616" s="7"/>
      <c r="BZ1616" s="7"/>
    </row>
    <row r="1617" spans="2:78">
      <c r="B1617" s="7"/>
      <c r="O1617" s="7"/>
      <c r="X1617" s="7"/>
      <c r="AG1617" s="7"/>
      <c r="AP1617" s="7"/>
      <c r="AY1617" s="7"/>
      <c r="BH1617" s="7"/>
      <c r="BQ1617" s="7"/>
      <c r="BZ1617" s="7"/>
    </row>
    <row r="1618" spans="2:78">
      <c r="B1618" s="7"/>
      <c r="O1618" s="7"/>
      <c r="X1618" s="7"/>
      <c r="AG1618" s="7"/>
      <c r="AP1618" s="7"/>
      <c r="AY1618" s="7"/>
      <c r="BH1618" s="7"/>
      <c r="BQ1618" s="7"/>
      <c r="BZ1618" s="7"/>
    </row>
    <row r="1619" spans="2:78">
      <c r="B1619" s="7"/>
      <c r="O1619" s="7"/>
      <c r="X1619" s="7"/>
      <c r="AG1619" s="7"/>
      <c r="AP1619" s="7"/>
      <c r="AY1619" s="7"/>
      <c r="BH1619" s="7"/>
      <c r="BQ1619" s="7"/>
      <c r="BZ1619" s="7"/>
    </row>
    <row r="1620" spans="2:78">
      <c r="B1620" s="7"/>
      <c r="O1620" s="7"/>
      <c r="X1620" s="7"/>
      <c r="AG1620" s="7"/>
      <c r="AP1620" s="7"/>
      <c r="AY1620" s="7"/>
      <c r="BH1620" s="7"/>
      <c r="BQ1620" s="7"/>
      <c r="BZ1620" s="7"/>
    </row>
    <row r="1621" spans="2:78">
      <c r="B1621" s="7"/>
      <c r="O1621" s="7"/>
      <c r="X1621" s="7"/>
      <c r="AG1621" s="7"/>
      <c r="AP1621" s="7"/>
      <c r="AY1621" s="7"/>
      <c r="BH1621" s="7"/>
      <c r="BQ1621" s="7"/>
      <c r="BZ1621" s="7"/>
    </row>
    <row r="1622" spans="2:78">
      <c r="B1622" s="7"/>
      <c r="O1622" s="7"/>
      <c r="X1622" s="7"/>
      <c r="AG1622" s="7"/>
      <c r="AP1622" s="7"/>
      <c r="AY1622" s="7"/>
      <c r="BH1622" s="7"/>
      <c r="BQ1622" s="7"/>
      <c r="BZ1622" s="7"/>
    </row>
    <row r="1623" spans="2:78">
      <c r="B1623" s="7"/>
      <c r="O1623" s="7"/>
      <c r="X1623" s="7"/>
      <c r="AG1623" s="7"/>
      <c r="AP1623" s="7"/>
      <c r="AY1623" s="7"/>
      <c r="BH1623" s="7"/>
      <c r="BQ1623" s="7"/>
      <c r="BZ1623" s="7"/>
    </row>
    <row r="1624" spans="2:78">
      <c r="B1624" s="7"/>
      <c r="O1624" s="7"/>
      <c r="X1624" s="7"/>
      <c r="AG1624" s="7"/>
      <c r="AP1624" s="7"/>
      <c r="AY1624" s="7"/>
      <c r="BH1624" s="7"/>
      <c r="BQ1624" s="7"/>
      <c r="BZ1624" s="7"/>
    </row>
    <row r="1625" spans="2:78">
      <c r="B1625" s="7"/>
      <c r="O1625" s="7"/>
      <c r="X1625" s="7"/>
      <c r="AG1625" s="7"/>
      <c r="AP1625" s="7"/>
      <c r="AY1625" s="7"/>
      <c r="BH1625" s="7"/>
      <c r="BQ1625" s="7"/>
      <c r="BZ1625" s="7"/>
    </row>
    <row r="1626" spans="2:78">
      <c r="B1626" s="7"/>
      <c r="O1626" s="7"/>
      <c r="X1626" s="7"/>
      <c r="AG1626" s="7"/>
      <c r="AP1626" s="7"/>
      <c r="AY1626" s="7"/>
      <c r="BH1626" s="7"/>
      <c r="BQ1626" s="7"/>
      <c r="BZ1626" s="7"/>
    </row>
    <row r="1627" spans="2:78">
      <c r="B1627" s="7"/>
      <c r="O1627" s="7"/>
      <c r="X1627" s="7"/>
      <c r="AG1627" s="7"/>
      <c r="AP1627" s="7"/>
      <c r="AY1627" s="7"/>
      <c r="BH1627" s="7"/>
      <c r="BQ1627" s="7"/>
      <c r="BZ1627" s="7"/>
    </row>
    <row r="1628" spans="2:78">
      <c r="B1628" s="7"/>
      <c r="O1628" s="7"/>
      <c r="X1628" s="7"/>
      <c r="AG1628" s="7"/>
      <c r="AP1628" s="7"/>
      <c r="AY1628" s="7"/>
      <c r="BH1628" s="7"/>
      <c r="BQ1628" s="7"/>
      <c r="BZ1628" s="7"/>
    </row>
    <row r="1629" spans="2:78">
      <c r="B1629" s="7"/>
      <c r="O1629" s="7"/>
      <c r="X1629" s="7"/>
      <c r="AG1629" s="7"/>
      <c r="AP1629" s="7"/>
      <c r="AY1629" s="7"/>
      <c r="BH1629" s="7"/>
      <c r="BQ1629" s="7"/>
      <c r="BZ1629" s="7"/>
    </row>
    <row r="1630" spans="2:78">
      <c r="B1630" s="7"/>
      <c r="O1630" s="7"/>
      <c r="X1630" s="7"/>
      <c r="AG1630" s="7"/>
      <c r="AP1630" s="7"/>
      <c r="AY1630" s="7"/>
      <c r="BH1630" s="7"/>
      <c r="BQ1630" s="7"/>
      <c r="BZ1630" s="7"/>
    </row>
    <row r="1631" spans="2:78">
      <c r="B1631" s="7"/>
      <c r="O1631" s="7"/>
      <c r="X1631" s="7"/>
      <c r="AG1631" s="7"/>
      <c r="AP1631" s="7"/>
      <c r="AY1631" s="7"/>
      <c r="BH1631" s="7"/>
      <c r="BQ1631" s="7"/>
      <c r="BZ1631" s="7"/>
    </row>
    <row r="1632" spans="2:78">
      <c r="B1632" s="7"/>
      <c r="O1632" s="7"/>
      <c r="X1632" s="7"/>
      <c r="AG1632" s="7"/>
      <c r="AP1632" s="7"/>
      <c r="AY1632" s="7"/>
      <c r="BH1632" s="7"/>
      <c r="BQ1632" s="7"/>
      <c r="BZ1632" s="7"/>
    </row>
    <row r="1633" spans="2:78">
      <c r="B1633" s="7"/>
      <c r="O1633" s="7"/>
      <c r="X1633" s="7"/>
      <c r="AG1633" s="7"/>
      <c r="AP1633" s="7"/>
      <c r="AY1633" s="7"/>
      <c r="BH1633" s="7"/>
      <c r="BQ1633" s="7"/>
      <c r="BZ1633" s="7"/>
    </row>
    <row r="1634" spans="2:78">
      <c r="B1634" s="7"/>
      <c r="O1634" s="7"/>
      <c r="X1634" s="7"/>
      <c r="AG1634" s="7"/>
      <c r="AP1634" s="7"/>
      <c r="AY1634" s="7"/>
      <c r="BH1634" s="7"/>
      <c r="BQ1634" s="7"/>
      <c r="BZ1634" s="7"/>
    </row>
    <row r="1635" spans="2:78">
      <c r="B1635" s="7"/>
      <c r="O1635" s="7"/>
      <c r="X1635" s="7"/>
      <c r="AG1635" s="7"/>
      <c r="AP1635" s="7"/>
      <c r="AY1635" s="7"/>
      <c r="BH1635" s="7"/>
      <c r="BQ1635" s="7"/>
      <c r="BZ1635" s="7"/>
    </row>
    <row r="1636" spans="2:78">
      <c r="B1636" s="7"/>
      <c r="O1636" s="7"/>
      <c r="X1636" s="7"/>
      <c r="AG1636" s="7"/>
      <c r="AP1636" s="7"/>
      <c r="AY1636" s="7"/>
      <c r="BH1636" s="7"/>
      <c r="BQ1636" s="7"/>
      <c r="BZ1636" s="7"/>
    </row>
    <row r="1637" spans="2:78">
      <c r="B1637" s="7"/>
      <c r="O1637" s="7"/>
      <c r="X1637" s="7"/>
      <c r="AG1637" s="7"/>
      <c r="AP1637" s="7"/>
      <c r="AY1637" s="7"/>
      <c r="BH1637" s="7"/>
      <c r="BQ1637" s="7"/>
      <c r="BZ1637" s="7"/>
    </row>
    <row r="1638" spans="2:78">
      <c r="B1638" s="7"/>
      <c r="O1638" s="7"/>
      <c r="X1638" s="7"/>
      <c r="AG1638" s="7"/>
      <c r="AP1638" s="7"/>
      <c r="AY1638" s="7"/>
      <c r="BH1638" s="7"/>
      <c r="BQ1638" s="7"/>
      <c r="BZ1638" s="7"/>
    </row>
    <row r="1639" spans="2:78">
      <c r="B1639" s="7"/>
      <c r="O1639" s="7"/>
      <c r="X1639" s="7"/>
      <c r="AG1639" s="7"/>
      <c r="AP1639" s="7"/>
      <c r="AY1639" s="7"/>
      <c r="BH1639" s="7"/>
      <c r="BQ1639" s="7"/>
      <c r="BZ1639" s="7"/>
    </row>
    <row r="1640" spans="2:78">
      <c r="B1640" s="7"/>
      <c r="O1640" s="7"/>
      <c r="X1640" s="7"/>
      <c r="AG1640" s="7"/>
      <c r="AP1640" s="7"/>
      <c r="AY1640" s="7"/>
      <c r="BH1640" s="7"/>
      <c r="BQ1640" s="7"/>
      <c r="BZ1640" s="7"/>
    </row>
    <row r="1641" spans="2:78">
      <c r="B1641" s="7"/>
      <c r="O1641" s="7"/>
      <c r="X1641" s="7"/>
      <c r="AG1641" s="7"/>
      <c r="AP1641" s="7"/>
      <c r="AY1641" s="7"/>
      <c r="BH1641" s="7"/>
      <c r="BQ1641" s="7"/>
      <c r="BZ1641" s="7"/>
    </row>
    <row r="1642" spans="2:78">
      <c r="B1642" s="7"/>
      <c r="O1642" s="7"/>
      <c r="X1642" s="7"/>
      <c r="AG1642" s="7"/>
      <c r="AP1642" s="7"/>
      <c r="AY1642" s="7"/>
      <c r="BH1642" s="7"/>
      <c r="BQ1642" s="7"/>
      <c r="BZ1642" s="7"/>
    </row>
    <row r="1643" spans="2:78">
      <c r="B1643" s="7"/>
      <c r="O1643" s="7"/>
      <c r="X1643" s="7"/>
      <c r="AG1643" s="7"/>
      <c r="AP1643" s="7"/>
      <c r="AY1643" s="7"/>
      <c r="BH1643" s="7"/>
      <c r="BQ1643" s="7"/>
      <c r="BZ1643" s="7"/>
    </row>
    <row r="1644" spans="2:78">
      <c r="B1644" s="7"/>
      <c r="O1644" s="7"/>
      <c r="X1644" s="7"/>
      <c r="AG1644" s="7"/>
      <c r="AP1644" s="7"/>
      <c r="AY1644" s="7"/>
      <c r="BH1644" s="7"/>
      <c r="BQ1644" s="7"/>
      <c r="BZ1644" s="7"/>
    </row>
    <row r="1645" spans="2:78">
      <c r="B1645" s="7"/>
      <c r="O1645" s="7"/>
      <c r="X1645" s="7"/>
      <c r="AG1645" s="7"/>
      <c r="AP1645" s="7"/>
      <c r="AY1645" s="7"/>
      <c r="BH1645" s="7"/>
      <c r="BQ1645" s="7"/>
      <c r="BZ1645" s="7"/>
    </row>
    <row r="1646" spans="2:78">
      <c r="B1646" s="7"/>
      <c r="O1646" s="7"/>
      <c r="X1646" s="7"/>
      <c r="AG1646" s="7"/>
      <c r="AP1646" s="7"/>
      <c r="AY1646" s="7"/>
      <c r="BH1646" s="7"/>
      <c r="BQ1646" s="7"/>
      <c r="BZ1646" s="7"/>
    </row>
    <row r="1647" spans="2:78">
      <c r="B1647" s="7"/>
      <c r="O1647" s="7"/>
      <c r="X1647" s="7"/>
      <c r="AG1647" s="7"/>
      <c r="AP1647" s="7"/>
      <c r="AY1647" s="7"/>
      <c r="BH1647" s="7"/>
      <c r="BQ1647" s="7"/>
      <c r="BZ1647" s="7"/>
    </row>
    <row r="1648" spans="2:78">
      <c r="B1648" s="7"/>
      <c r="O1648" s="7"/>
      <c r="X1648" s="7"/>
      <c r="AG1648" s="7"/>
      <c r="AP1648" s="7"/>
      <c r="AY1648" s="7"/>
      <c r="BH1648" s="7"/>
      <c r="BQ1648" s="7"/>
      <c r="BZ1648" s="7"/>
    </row>
    <row r="1649" spans="2:78">
      <c r="B1649" s="7"/>
      <c r="O1649" s="7"/>
      <c r="X1649" s="7"/>
      <c r="AG1649" s="7"/>
      <c r="AP1649" s="7"/>
      <c r="AY1649" s="7"/>
      <c r="BH1649" s="7"/>
      <c r="BQ1649" s="7"/>
      <c r="BZ1649" s="7"/>
    </row>
    <row r="1650" spans="2:78">
      <c r="B1650" s="7"/>
      <c r="O1650" s="7"/>
      <c r="X1650" s="7"/>
      <c r="AG1650" s="7"/>
      <c r="AP1650" s="7"/>
      <c r="AY1650" s="7"/>
      <c r="BH1650" s="7"/>
      <c r="BQ1650" s="7"/>
      <c r="BZ1650" s="7"/>
    </row>
    <row r="1651" spans="2:78">
      <c r="B1651" s="7"/>
      <c r="O1651" s="7"/>
      <c r="X1651" s="7"/>
      <c r="AG1651" s="7"/>
      <c r="AP1651" s="7"/>
      <c r="AY1651" s="7"/>
      <c r="BH1651" s="7"/>
      <c r="BQ1651" s="7"/>
      <c r="BZ1651" s="7"/>
    </row>
    <row r="1652" spans="2:78">
      <c r="B1652" s="7"/>
      <c r="O1652" s="7"/>
      <c r="X1652" s="7"/>
      <c r="AG1652" s="7"/>
      <c r="AP1652" s="7"/>
      <c r="AY1652" s="7"/>
      <c r="BH1652" s="7"/>
      <c r="BQ1652" s="7"/>
      <c r="BZ1652" s="7"/>
    </row>
    <row r="1653" spans="2:78">
      <c r="B1653" s="7"/>
      <c r="O1653" s="7"/>
      <c r="X1653" s="7"/>
      <c r="AG1653" s="7"/>
      <c r="AP1653" s="7"/>
      <c r="AY1653" s="7"/>
      <c r="BH1653" s="7"/>
      <c r="BQ1653" s="7"/>
      <c r="BZ1653" s="7"/>
    </row>
    <row r="1654" spans="2:78">
      <c r="B1654" s="7"/>
      <c r="O1654" s="7"/>
      <c r="X1654" s="7"/>
      <c r="AG1654" s="7"/>
      <c r="AP1654" s="7"/>
      <c r="AY1654" s="7"/>
      <c r="BH1654" s="7"/>
      <c r="BQ1654" s="7"/>
      <c r="BZ1654" s="7"/>
    </row>
    <row r="1655" spans="2:78">
      <c r="B1655" s="7"/>
      <c r="O1655" s="7"/>
      <c r="X1655" s="7"/>
      <c r="AG1655" s="7"/>
      <c r="AP1655" s="7"/>
      <c r="AY1655" s="7"/>
      <c r="BH1655" s="7"/>
      <c r="BQ1655" s="7"/>
      <c r="BZ1655" s="7"/>
    </row>
    <row r="1656" spans="2:78">
      <c r="B1656" s="7"/>
      <c r="O1656" s="7"/>
      <c r="X1656" s="7"/>
      <c r="AG1656" s="7"/>
      <c r="AP1656" s="7"/>
      <c r="AY1656" s="7"/>
      <c r="BH1656" s="7"/>
      <c r="BQ1656" s="7"/>
      <c r="BZ1656" s="7"/>
    </row>
    <row r="1657" spans="2:78">
      <c r="B1657" s="7"/>
      <c r="O1657" s="7"/>
      <c r="X1657" s="7"/>
      <c r="AG1657" s="7"/>
      <c r="AP1657" s="7"/>
      <c r="AY1657" s="7"/>
      <c r="BH1657" s="7"/>
      <c r="BQ1657" s="7"/>
      <c r="BZ1657" s="7"/>
    </row>
    <row r="1658" spans="2:78">
      <c r="B1658" s="7"/>
      <c r="O1658" s="7"/>
      <c r="X1658" s="7"/>
      <c r="AG1658" s="7"/>
      <c r="AP1658" s="7"/>
      <c r="AY1658" s="7"/>
      <c r="BH1658" s="7"/>
      <c r="BQ1658" s="7"/>
      <c r="BZ1658" s="7"/>
    </row>
    <row r="1659" spans="2:78">
      <c r="B1659" s="7"/>
      <c r="O1659" s="7"/>
      <c r="X1659" s="7"/>
      <c r="AG1659" s="7"/>
      <c r="AP1659" s="7"/>
      <c r="AY1659" s="7"/>
      <c r="BH1659" s="7"/>
      <c r="BQ1659" s="7"/>
      <c r="BZ1659" s="7"/>
    </row>
    <row r="1660" spans="2:78">
      <c r="B1660" s="7"/>
      <c r="O1660" s="7"/>
      <c r="X1660" s="7"/>
      <c r="AG1660" s="7"/>
      <c r="AP1660" s="7"/>
      <c r="AY1660" s="7"/>
      <c r="BH1660" s="7"/>
      <c r="BQ1660" s="7"/>
      <c r="BZ1660" s="7"/>
    </row>
    <row r="1661" spans="2:78">
      <c r="B1661" s="7"/>
      <c r="O1661" s="7"/>
      <c r="X1661" s="7"/>
      <c r="AG1661" s="7"/>
      <c r="AP1661" s="7"/>
      <c r="AY1661" s="7"/>
      <c r="BH1661" s="7"/>
      <c r="BQ1661" s="7"/>
      <c r="BZ1661" s="7"/>
    </row>
    <row r="1662" spans="2:78">
      <c r="B1662" s="7"/>
      <c r="O1662" s="7"/>
      <c r="X1662" s="7"/>
      <c r="AG1662" s="7"/>
      <c r="AP1662" s="7"/>
      <c r="AY1662" s="7"/>
      <c r="BH1662" s="7"/>
      <c r="BQ1662" s="7"/>
      <c r="BZ1662" s="7"/>
    </row>
    <row r="1663" spans="2:78">
      <c r="B1663" s="7"/>
      <c r="O1663" s="7"/>
      <c r="X1663" s="7"/>
      <c r="AG1663" s="7"/>
      <c r="AP1663" s="7"/>
      <c r="AY1663" s="7"/>
      <c r="BH1663" s="7"/>
      <c r="BQ1663" s="7"/>
      <c r="BZ1663" s="7"/>
    </row>
    <row r="1664" spans="2:78">
      <c r="B1664" s="7"/>
      <c r="O1664" s="7"/>
      <c r="X1664" s="7"/>
      <c r="AG1664" s="7"/>
      <c r="AP1664" s="7"/>
      <c r="AY1664" s="7"/>
      <c r="BH1664" s="7"/>
      <c r="BQ1664" s="7"/>
      <c r="BZ1664" s="7"/>
    </row>
    <row r="1665" spans="2:78">
      <c r="B1665" s="7"/>
      <c r="O1665" s="7"/>
      <c r="X1665" s="7"/>
      <c r="AG1665" s="7"/>
      <c r="AP1665" s="7"/>
      <c r="AY1665" s="7"/>
      <c r="BH1665" s="7"/>
      <c r="BQ1665" s="7"/>
      <c r="BZ1665" s="7"/>
    </row>
    <row r="1666" spans="2:78">
      <c r="B1666" s="7"/>
      <c r="O1666" s="7"/>
      <c r="X1666" s="7"/>
      <c r="AG1666" s="7"/>
      <c r="AP1666" s="7"/>
      <c r="AY1666" s="7"/>
      <c r="BH1666" s="7"/>
      <c r="BQ1666" s="7"/>
      <c r="BZ1666" s="7"/>
    </row>
    <row r="1667" spans="2:78">
      <c r="B1667" s="7"/>
      <c r="O1667" s="7"/>
      <c r="X1667" s="7"/>
      <c r="AG1667" s="7"/>
      <c r="AP1667" s="7"/>
      <c r="AY1667" s="7"/>
      <c r="BH1667" s="7"/>
      <c r="BQ1667" s="7"/>
      <c r="BZ1667" s="7"/>
    </row>
    <row r="1668" spans="2:78">
      <c r="B1668" s="7"/>
      <c r="O1668" s="7"/>
      <c r="X1668" s="7"/>
      <c r="AG1668" s="7"/>
      <c r="AP1668" s="7"/>
      <c r="AY1668" s="7"/>
      <c r="BH1668" s="7"/>
      <c r="BQ1668" s="7"/>
      <c r="BZ1668" s="7"/>
    </row>
    <row r="1669" spans="2:78">
      <c r="B1669" s="7"/>
      <c r="O1669" s="7"/>
      <c r="X1669" s="7"/>
      <c r="AG1669" s="7"/>
      <c r="AP1669" s="7"/>
      <c r="AY1669" s="7"/>
      <c r="BH1669" s="7"/>
      <c r="BQ1669" s="7"/>
      <c r="BZ1669" s="7"/>
    </row>
    <row r="1670" spans="2:78">
      <c r="B1670" s="7"/>
      <c r="O1670" s="7"/>
      <c r="X1670" s="7"/>
      <c r="AG1670" s="7"/>
      <c r="AP1670" s="7"/>
      <c r="AY1670" s="7"/>
      <c r="BH1670" s="7"/>
      <c r="BQ1670" s="7"/>
      <c r="BZ1670" s="7"/>
    </row>
    <row r="1671" spans="2:78">
      <c r="B1671" s="7"/>
      <c r="O1671" s="7"/>
      <c r="X1671" s="7"/>
      <c r="AG1671" s="7"/>
      <c r="AP1671" s="7"/>
      <c r="AY1671" s="7"/>
      <c r="BH1671" s="7"/>
      <c r="BQ1671" s="7"/>
      <c r="BZ1671" s="7"/>
    </row>
    <row r="1672" spans="2:78">
      <c r="B1672" s="7"/>
      <c r="O1672" s="7"/>
      <c r="X1672" s="7"/>
      <c r="AG1672" s="7"/>
      <c r="AP1672" s="7"/>
      <c r="AY1672" s="7"/>
      <c r="BH1672" s="7"/>
      <c r="BQ1672" s="7"/>
      <c r="BZ1672" s="7"/>
    </row>
    <row r="1673" spans="2:78">
      <c r="B1673" s="7"/>
      <c r="O1673" s="7"/>
      <c r="X1673" s="7"/>
      <c r="AG1673" s="7"/>
      <c r="AP1673" s="7"/>
      <c r="AY1673" s="7"/>
      <c r="BH1673" s="7"/>
      <c r="BQ1673" s="7"/>
      <c r="BZ1673" s="7"/>
    </row>
    <row r="1674" spans="2:78">
      <c r="B1674" s="7"/>
      <c r="O1674" s="7"/>
      <c r="X1674" s="7"/>
      <c r="AG1674" s="7"/>
      <c r="AP1674" s="7"/>
      <c r="AY1674" s="7"/>
      <c r="BH1674" s="7"/>
      <c r="BQ1674" s="7"/>
      <c r="BZ1674" s="7"/>
    </row>
    <row r="1675" spans="2:78">
      <c r="B1675" s="7"/>
      <c r="O1675" s="7"/>
      <c r="X1675" s="7"/>
      <c r="AG1675" s="7"/>
      <c r="AP1675" s="7"/>
      <c r="AY1675" s="7"/>
      <c r="BH1675" s="7"/>
      <c r="BQ1675" s="7"/>
      <c r="BZ1675" s="7"/>
    </row>
    <row r="1676" spans="2:78">
      <c r="B1676" s="7"/>
      <c r="O1676" s="7"/>
      <c r="X1676" s="7"/>
      <c r="AG1676" s="7"/>
      <c r="AP1676" s="7"/>
      <c r="AY1676" s="7"/>
      <c r="BH1676" s="7"/>
      <c r="BQ1676" s="7"/>
      <c r="BZ1676" s="7"/>
    </row>
    <row r="1677" spans="2:78">
      <c r="B1677" s="7"/>
      <c r="O1677" s="7"/>
      <c r="X1677" s="7"/>
      <c r="AG1677" s="7"/>
      <c r="AP1677" s="7"/>
      <c r="AY1677" s="7"/>
      <c r="BH1677" s="7"/>
      <c r="BQ1677" s="7"/>
      <c r="BZ1677" s="7"/>
    </row>
    <row r="1678" spans="2:78">
      <c r="B1678" s="7"/>
      <c r="O1678" s="7"/>
      <c r="X1678" s="7"/>
      <c r="AG1678" s="7"/>
      <c r="AP1678" s="7"/>
      <c r="AY1678" s="7"/>
      <c r="BH1678" s="7"/>
      <c r="BQ1678" s="7"/>
      <c r="BZ1678" s="7"/>
    </row>
    <row r="1679" spans="2:78">
      <c r="B1679" s="7"/>
      <c r="O1679" s="7"/>
      <c r="X1679" s="7"/>
      <c r="AG1679" s="7"/>
      <c r="AP1679" s="7"/>
      <c r="AY1679" s="7"/>
      <c r="BH1679" s="7"/>
      <c r="BQ1679" s="7"/>
      <c r="BZ1679" s="7"/>
    </row>
    <row r="1680" spans="2:78">
      <c r="B1680" s="7"/>
      <c r="O1680" s="7"/>
      <c r="X1680" s="7"/>
      <c r="AG1680" s="7"/>
      <c r="AP1680" s="7"/>
      <c r="AY1680" s="7"/>
      <c r="BH1680" s="7"/>
      <c r="BQ1680" s="7"/>
      <c r="BZ1680" s="7"/>
    </row>
    <row r="1681" spans="2:78">
      <c r="B1681" s="7"/>
      <c r="O1681" s="7"/>
      <c r="X1681" s="7"/>
      <c r="AG1681" s="7"/>
      <c r="AP1681" s="7"/>
      <c r="AY1681" s="7"/>
      <c r="BH1681" s="7"/>
      <c r="BQ1681" s="7"/>
      <c r="BZ1681" s="7"/>
    </row>
    <row r="1682" spans="2:78">
      <c r="B1682" s="7"/>
      <c r="O1682" s="7"/>
      <c r="X1682" s="7"/>
      <c r="AG1682" s="7"/>
      <c r="AP1682" s="7"/>
      <c r="AY1682" s="7"/>
      <c r="BH1682" s="7"/>
      <c r="BQ1682" s="7"/>
      <c r="BZ1682" s="7"/>
    </row>
    <row r="1683" spans="2:78">
      <c r="B1683" s="7"/>
      <c r="O1683" s="7"/>
      <c r="X1683" s="7"/>
      <c r="AG1683" s="7"/>
      <c r="AP1683" s="7"/>
      <c r="AY1683" s="7"/>
      <c r="BH1683" s="7"/>
      <c r="BQ1683" s="7"/>
      <c r="BZ1683" s="7"/>
    </row>
    <row r="1684" spans="2:78">
      <c r="B1684" s="7"/>
      <c r="O1684" s="7"/>
      <c r="X1684" s="7"/>
      <c r="AG1684" s="7"/>
      <c r="AP1684" s="7"/>
      <c r="AY1684" s="7"/>
      <c r="BH1684" s="7"/>
      <c r="BQ1684" s="7"/>
      <c r="BZ1684" s="7"/>
    </row>
    <row r="1685" spans="2:78">
      <c r="B1685" s="7"/>
      <c r="O1685" s="7"/>
      <c r="X1685" s="7"/>
      <c r="AG1685" s="7"/>
      <c r="AP1685" s="7"/>
      <c r="AY1685" s="7"/>
      <c r="BH1685" s="7"/>
      <c r="BQ1685" s="7"/>
      <c r="BZ1685" s="7"/>
    </row>
    <row r="1686" spans="2:78">
      <c r="B1686" s="7"/>
      <c r="O1686" s="7"/>
      <c r="X1686" s="7"/>
      <c r="AG1686" s="7"/>
      <c r="AP1686" s="7"/>
      <c r="AY1686" s="7"/>
      <c r="BH1686" s="7"/>
      <c r="BQ1686" s="7"/>
      <c r="BZ1686" s="7"/>
    </row>
    <row r="1687" spans="2:78">
      <c r="B1687" s="7"/>
      <c r="O1687" s="7"/>
      <c r="X1687" s="7"/>
      <c r="AG1687" s="7"/>
      <c r="AP1687" s="7"/>
      <c r="AY1687" s="7"/>
      <c r="BH1687" s="7"/>
      <c r="BQ1687" s="7"/>
      <c r="BZ1687" s="7"/>
    </row>
    <row r="1688" spans="2:78">
      <c r="B1688" s="7"/>
      <c r="O1688" s="7"/>
      <c r="X1688" s="7"/>
      <c r="AG1688" s="7"/>
      <c r="AP1688" s="7"/>
      <c r="AY1688" s="7"/>
      <c r="BH1688" s="7"/>
      <c r="BQ1688" s="7"/>
      <c r="BZ1688" s="7"/>
    </row>
    <row r="1689" spans="2:78">
      <c r="B1689" s="7"/>
      <c r="O1689" s="7"/>
      <c r="X1689" s="7"/>
      <c r="AG1689" s="7"/>
      <c r="AP1689" s="7"/>
      <c r="AY1689" s="7"/>
      <c r="BH1689" s="7"/>
      <c r="BQ1689" s="7"/>
      <c r="BZ1689" s="7"/>
    </row>
    <row r="1690" spans="2:78">
      <c r="B1690" s="7"/>
      <c r="O1690" s="7"/>
      <c r="X1690" s="7"/>
      <c r="AG1690" s="7"/>
      <c r="AP1690" s="7"/>
      <c r="AY1690" s="7"/>
      <c r="BH1690" s="7"/>
      <c r="BQ1690" s="7"/>
      <c r="BZ1690" s="7"/>
    </row>
    <row r="1691" spans="2:78">
      <c r="B1691" s="7"/>
      <c r="O1691" s="7"/>
      <c r="X1691" s="7"/>
      <c r="AG1691" s="7"/>
      <c r="AP1691" s="7"/>
      <c r="AY1691" s="7"/>
      <c r="BH1691" s="7"/>
      <c r="BQ1691" s="7"/>
      <c r="BZ1691" s="7"/>
    </row>
    <row r="1692" spans="2:78">
      <c r="B1692" s="7"/>
      <c r="O1692" s="7"/>
      <c r="X1692" s="7"/>
      <c r="AG1692" s="7"/>
      <c r="AP1692" s="7"/>
      <c r="AY1692" s="7"/>
      <c r="BH1692" s="7"/>
      <c r="BQ1692" s="7"/>
      <c r="BZ1692" s="7"/>
    </row>
    <row r="1693" spans="2:78">
      <c r="B1693" s="7"/>
      <c r="O1693" s="7"/>
      <c r="X1693" s="7"/>
      <c r="AG1693" s="7"/>
      <c r="AP1693" s="7"/>
      <c r="AY1693" s="7"/>
      <c r="BH1693" s="7"/>
      <c r="BQ1693" s="7"/>
      <c r="BZ1693" s="7"/>
    </row>
    <row r="1694" spans="2:78">
      <c r="B1694" s="7"/>
      <c r="O1694" s="7"/>
      <c r="X1694" s="7"/>
      <c r="AG1694" s="7"/>
      <c r="AP1694" s="7"/>
      <c r="AY1694" s="7"/>
      <c r="BH1694" s="7"/>
      <c r="BQ1694" s="7"/>
      <c r="BZ1694" s="7"/>
    </row>
    <row r="1695" spans="2:78">
      <c r="B1695" s="7"/>
      <c r="O1695" s="7"/>
      <c r="X1695" s="7"/>
      <c r="AG1695" s="7"/>
      <c r="AP1695" s="7"/>
      <c r="AY1695" s="7"/>
      <c r="BH1695" s="7"/>
      <c r="BQ1695" s="7"/>
      <c r="BZ1695" s="7"/>
    </row>
    <row r="1696" spans="2:78">
      <c r="B1696" s="7"/>
      <c r="O1696" s="7"/>
      <c r="X1696" s="7"/>
      <c r="AG1696" s="7"/>
      <c r="AP1696" s="7"/>
      <c r="AY1696" s="7"/>
      <c r="BH1696" s="7"/>
      <c r="BQ1696" s="7"/>
      <c r="BZ1696" s="7"/>
    </row>
    <row r="1697" spans="2:78">
      <c r="B1697" s="7"/>
      <c r="O1697" s="7"/>
      <c r="X1697" s="7"/>
      <c r="AG1697" s="7"/>
      <c r="AP1697" s="7"/>
      <c r="AY1697" s="7"/>
      <c r="BH1697" s="7"/>
      <c r="BQ1697" s="7"/>
      <c r="BZ1697" s="7"/>
    </row>
    <row r="1698" spans="2:78">
      <c r="B1698" s="7"/>
      <c r="O1698" s="7"/>
      <c r="X1698" s="7"/>
      <c r="AG1698" s="7"/>
      <c r="AP1698" s="7"/>
      <c r="AY1698" s="7"/>
      <c r="BH1698" s="7"/>
      <c r="BQ1698" s="7"/>
      <c r="BZ1698" s="7"/>
    </row>
    <row r="1699" spans="2:78">
      <c r="B1699" s="7"/>
      <c r="O1699" s="7"/>
      <c r="X1699" s="7"/>
      <c r="AG1699" s="7"/>
      <c r="AP1699" s="7"/>
      <c r="AY1699" s="7"/>
      <c r="BH1699" s="7"/>
      <c r="BQ1699" s="7"/>
      <c r="BZ1699" s="7"/>
    </row>
    <row r="1700" spans="2:78">
      <c r="B1700" s="7"/>
      <c r="O1700" s="7"/>
      <c r="X1700" s="7"/>
      <c r="AG1700" s="7"/>
      <c r="AP1700" s="7"/>
      <c r="AY1700" s="7"/>
      <c r="BH1700" s="7"/>
      <c r="BQ1700" s="7"/>
      <c r="BZ1700" s="7"/>
    </row>
    <row r="1701" spans="2:78">
      <c r="B1701" s="7"/>
      <c r="O1701" s="7"/>
      <c r="X1701" s="7"/>
      <c r="AG1701" s="7"/>
      <c r="AP1701" s="7"/>
      <c r="AY1701" s="7"/>
      <c r="BH1701" s="7"/>
      <c r="BQ1701" s="7"/>
      <c r="BZ1701" s="7"/>
    </row>
    <row r="1702" spans="2:78">
      <c r="B1702" s="7"/>
      <c r="O1702" s="7"/>
      <c r="X1702" s="7"/>
      <c r="AG1702" s="7"/>
      <c r="AP1702" s="7"/>
      <c r="AY1702" s="7"/>
      <c r="BH1702" s="7"/>
      <c r="BQ1702" s="7"/>
      <c r="BZ1702" s="7"/>
    </row>
    <row r="1703" spans="2:78">
      <c r="B1703" s="7"/>
      <c r="O1703" s="7"/>
      <c r="X1703" s="7"/>
      <c r="AG1703" s="7"/>
      <c r="AP1703" s="7"/>
      <c r="AY1703" s="7"/>
      <c r="BH1703" s="7"/>
      <c r="BQ1703" s="7"/>
      <c r="BZ1703" s="7"/>
    </row>
    <row r="1704" spans="2:78">
      <c r="B1704" s="7"/>
      <c r="O1704" s="7"/>
      <c r="X1704" s="7"/>
      <c r="AG1704" s="7"/>
      <c r="AP1704" s="7"/>
      <c r="AY1704" s="7"/>
      <c r="BH1704" s="7"/>
      <c r="BQ1704" s="7"/>
      <c r="BZ1704" s="7"/>
    </row>
    <row r="1705" spans="2:78">
      <c r="B1705" s="7"/>
      <c r="O1705" s="7"/>
      <c r="X1705" s="7"/>
      <c r="AG1705" s="7"/>
      <c r="AP1705" s="7"/>
      <c r="AY1705" s="7"/>
      <c r="BH1705" s="7"/>
      <c r="BQ1705" s="7"/>
      <c r="BZ1705" s="7"/>
    </row>
    <row r="1706" spans="2:78">
      <c r="B1706" s="7"/>
      <c r="O1706" s="7"/>
      <c r="X1706" s="7"/>
      <c r="AG1706" s="7"/>
      <c r="AP1706" s="7"/>
      <c r="AY1706" s="7"/>
      <c r="BH1706" s="7"/>
      <c r="BQ1706" s="7"/>
      <c r="BZ1706" s="7"/>
    </row>
    <row r="1707" spans="2:78">
      <c r="B1707" s="7"/>
      <c r="O1707" s="7"/>
      <c r="X1707" s="7"/>
      <c r="AG1707" s="7"/>
      <c r="AP1707" s="7"/>
      <c r="AY1707" s="7"/>
      <c r="BH1707" s="7"/>
      <c r="BQ1707" s="7"/>
      <c r="BZ1707" s="7"/>
    </row>
    <row r="1708" spans="2:78">
      <c r="B1708" s="7"/>
      <c r="O1708" s="7"/>
      <c r="X1708" s="7"/>
      <c r="AG1708" s="7"/>
      <c r="AP1708" s="7"/>
      <c r="AY1708" s="7"/>
      <c r="BH1708" s="7"/>
      <c r="BQ1708" s="7"/>
      <c r="BZ1708" s="7"/>
    </row>
    <row r="1709" spans="2:78">
      <c r="B1709" s="7"/>
      <c r="O1709" s="7"/>
      <c r="X1709" s="7"/>
      <c r="AG1709" s="7"/>
      <c r="AP1709" s="7"/>
      <c r="AY1709" s="7"/>
      <c r="BH1709" s="7"/>
      <c r="BQ1709" s="7"/>
      <c r="BZ1709" s="7"/>
    </row>
    <row r="1710" spans="2:78">
      <c r="B1710" s="7"/>
      <c r="O1710" s="7"/>
      <c r="X1710" s="7"/>
      <c r="AG1710" s="7"/>
      <c r="AP1710" s="7"/>
      <c r="AY1710" s="7"/>
      <c r="BH1710" s="7"/>
      <c r="BQ1710" s="7"/>
      <c r="BZ1710" s="7"/>
    </row>
    <row r="1711" spans="2:78">
      <c r="B1711" s="7"/>
      <c r="O1711" s="7"/>
      <c r="X1711" s="7"/>
      <c r="AG1711" s="7"/>
      <c r="AP1711" s="7"/>
      <c r="AY1711" s="7"/>
      <c r="BH1711" s="7"/>
      <c r="BQ1711" s="7"/>
      <c r="BZ1711" s="7"/>
    </row>
    <row r="1712" spans="2:78">
      <c r="B1712" s="7"/>
      <c r="O1712" s="7"/>
      <c r="X1712" s="7"/>
      <c r="AG1712" s="7"/>
      <c r="AP1712" s="7"/>
      <c r="AY1712" s="7"/>
      <c r="BH1712" s="7"/>
      <c r="BQ1712" s="7"/>
      <c r="BZ1712" s="7"/>
    </row>
    <row r="1713" spans="2:78">
      <c r="B1713" s="7"/>
      <c r="O1713" s="7"/>
      <c r="X1713" s="7"/>
      <c r="AG1713" s="7"/>
      <c r="AP1713" s="7"/>
      <c r="AY1713" s="7"/>
      <c r="BH1713" s="7"/>
      <c r="BQ1713" s="7"/>
      <c r="BZ1713" s="7"/>
    </row>
    <row r="1714" spans="2:78">
      <c r="B1714" s="7"/>
      <c r="O1714" s="7"/>
      <c r="X1714" s="7"/>
      <c r="AG1714" s="7"/>
      <c r="AP1714" s="7"/>
      <c r="AY1714" s="7"/>
      <c r="BH1714" s="7"/>
      <c r="BQ1714" s="7"/>
      <c r="BZ1714" s="7"/>
    </row>
    <row r="1715" spans="2:78">
      <c r="B1715" s="7"/>
      <c r="O1715" s="7"/>
      <c r="X1715" s="7"/>
      <c r="AG1715" s="7"/>
      <c r="AP1715" s="7"/>
      <c r="AY1715" s="7"/>
      <c r="BH1715" s="7"/>
      <c r="BQ1715" s="7"/>
      <c r="BZ1715" s="7"/>
    </row>
    <row r="1716" spans="2:78">
      <c r="B1716" s="7"/>
      <c r="O1716" s="7"/>
      <c r="X1716" s="7"/>
      <c r="AG1716" s="7"/>
      <c r="AP1716" s="7"/>
      <c r="AY1716" s="7"/>
      <c r="BH1716" s="7"/>
      <c r="BQ1716" s="7"/>
      <c r="BZ1716" s="7"/>
    </row>
    <row r="1717" spans="2:78">
      <c r="B1717" s="7"/>
      <c r="O1717" s="7"/>
      <c r="X1717" s="7"/>
      <c r="AG1717" s="7"/>
      <c r="AP1717" s="7"/>
      <c r="AY1717" s="7"/>
      <c r="BH1717" s="7"/>
      <c r="BQ1717" s="7"/>
      <c r="BZ1717" s="7"/>
    </row>
    <row r="1718" spans="2:78">
      <c r="B1718" s="7"/>
      <c r="O1718" s="7"/>
      <c r="X1718" s="7"/>
      <c r="AG1718" s="7"/>
      <c r="AP1718" s="7"/>
      <c r="AY1718" s="7"/>
      <c r="BH1718" s="7"/>
      <c r="BQ1718" s="7"/>
      <c r="BZ1718" s="7"/>
    </row>
    <row r="1719" spans="2:78">
      <c r="B1719" s="7"/>
      <c r="O1719" s="7"/>
      <c r="X1719" s="7"/>
      <c r="AG1719" s="7"/>
      <c r="AP1719" s="7"/>
      <c r="AY1719" s="7"/>
      <c r="BH1719" s="7"/>
      <c r="BQ1719" s="7"/>
      <c r="BZ1719" s="7"/>
    </row>
    <row r="1720" spans="2:78">
      <c r="B1720" s="7"/>
      <c r="O1720" s="7"/>
      <c r="X1720" s="7"/>
      <c r="AG1720" s="7"/>
      <c r="AP1720" s="7"/>
      <c r="AY1720" s="7"/>
      <c r="BH1720" s="7"/>
      <c r="BQ1720" s="7"/>
      <c r="BZ1720" s="7"/>
    </row>
    <row r="1721" spans="2:78">
      <c r="B1721" s="7"/>
      <c r="O1721" s="7"/>
      <c r="X1721" s="7"/>
      <c r="AG1721" s="7"/>
      <c r="AP1721" s="7"/>
      <c r="AY1721" s="7"/>
      <c r="BH1721" s="7"/>
      <c r="BQ1721" s="7"/>
      <c r="BZ1721" s="7"/>
    </row>
    <row r="1722" spans="2:78">
      <c r="B1722" s="7"/>
      <c r="O1722" s="7"/>
      <c r="X1722" s="7"/>
      <c r="AG1722" s="7"/>
      <c r="AP1722" s="7"/>
      <c r="AY1722" s="7"/>
      <c r="BH1722" s="7"/>
      <c r="BQ1722" s="7"/>
      <c r="BZ1722" s="7"/>
    </row>
    <row r="1723" spans="2:78">
      <c r="B1723" s="7"/>
      <c r="O1723" s="7"/>
      <c r="X1723" s="7"/>
      <c r="AG1723" s="7"/>
      <c r="AP1723" s="7"/>
      <c r="AY1723" s="7"/>
      <c r="BH1723" s="7"/>
      <c r="BQ1723" s="7"/>
      <c r="BZ1723" s="7"/>
    </row>
    <row r="1724" spans="2:78">
      <c r="B1724" s="7"/>
      <c r="O1724" s="7"/>
      <c r="X1724" s="7"/>
      <c r="AG1724" s="7"/>
      <c r="AP1724" s="7"/>
      <c r="AY1724" s="7"/>
      <c r="BH1724" s="7"/>
      <c r="BQ1724" s="7"/>
      <c r="BZ1724" s="7"/>
    </row>
    <row r="1725" spans="2:78">
      <c r="B1725" s="7"/>
      <c r="O1725" s="7"/>
      <c r="X1725" s="7"/>
      <c r="AG1725" s="7"/>
      <c r="AP1725" s="7"/>
      <c r="AY1725" s="7"/>
      <c r="BH1725" s="7"/>
      <c r="BQ1725" s="7"/>
      <c r="BZ1725" s="7"/>
    </row>
    <row r="1726" spans="2:78">
      <c r="B1726" s="7"/>
      <c r="O1726" s="7"/>
      <c r="X1726" s="7"/>
      <c r="AG1726" s="7"/>
      <c r="AP1726" s="7"/>
      <c r="AY1726" s="7"/>
      <c r="BH1726" s="7"/>
      <c r="BQ1726" s="7"/>
      <c r="BZ1726" s="7"/>
    </row>
    <row r="1727" spans="2:78">
      <c r="B1727" s="7"/>
      <c r="O1727" s="7"/>
      <c r="X1727" s="7"/>
      <c r="AG1727" s="7"/>
      <c r="AP1727" s="7"/>
      <c r="AY1727" s="7"/>
      <c r="BH1727" s="7"/>
      <c r="BQ1727" s="7"/>
      <c r="BZ1727" s="7"/>
    </row>
    <row r="1728" spans="2:78">
      <c r="B1728" s="7"/>
      <c r="O1728" s="7"/>
      <c r="X1728" s="7"/>
      <c r="AG1728" s="7"/>
      <c r="AP1728" s="7"/>
      <c r="AY1728" s="7"/>
      <c r="BH1728" s="7"/>
      <c r="BQ1728" s="7"/>
      <c r="BZ1728" s="7"/>
    </row>
    <row r="1729" spans="2:78">
      <c r="B1729" s="7"/>
      <c r="O1729" s="7"/>
      <c r="X1729" s="7"/>
      <c r="AG1729" s="7"/>
      <c r="AP1729" s="7"/>
      <c r="AY1729" s="7"/>
      <c r="BH1729" s="7"/>
      <c r="BQ1729" s="7"/>
      <c r="BZ1729" s="7"/>
    </row>
    <row r="1730" spans="2:78">
      <c r="B1730" s="7"/>
      <c r="O1730" s="7"/>
      <c r="X1730" s="7"/>
      <c r="AG1730" s="7"/>
      <c r="AP1730" s="7"/>
      <c r="AY1730" s="7"/>
      <c r="BH1730" s="7"/>
      <c r="BQ1730" s="7"/>
      <c r="BZ1730" s="7"/>
    </row>
    <row r="1731" spans="2:78">
      <c r="B1731" s="7"/>
      <c r="O1731" s="7"/>
      <c r="X1731" s="7"/>
      <c r="AG1731" s="7"/>
      <c r="AP1731" s="7"/>
      <c r="AY1731" s="7"/>
      <c r="BH1731" s="7"/>
      <c r="BQ1731" s="7"/>
      <c r="BZ1731" s="7"/>
    </row>
    <row r="1732" spans="2:78">
      <c r="B1732" s="7"/>
      <c r="O1732" s="7"/>
      <c r="X1732" s="7"/>
      <c r="AG1732" s="7"/>
      <c r="AP1732" s="7"/>
      <c r="AY1732" s="7"/>
      <c r="BH1732" s="7"/>
      <c r="BQ1732" s="7"/>
      <c r="BZ1732" s="7"/>
    </row>
    <row r="1733" spans="2:78">
      <c r="B1733" s="7"/>
      <c r="O1733" s="7"/>
      <c r="X1733" s="7"/>
      <c r="AG1733" s="7"/>
      <c r="AP1733" s="7"/>
      <c r="AY1733" s="7"/>
      <c r="BH1733" s="7"/>
      <c r="BQ1733" s="7"/>
      <c r="BZ1733" s="7"/>
    </row>
    <row r="1734" spans="2:78">
      <c r="B1734" s="7"/>
      <c r="O1734" s="7"/>
      <c r="X1734" s="7"/>
      <c r="AG1734" s="7"/>
      <c r="AP1734" s="7"/>
      <c r="AY1734" s="7"/>
      <c r="BH1734" s="7"/>
      <c r="BQ1734" s="7"/>
      <c r="BZ1734" s="7"/>
    </row>
    <row r="1735" spans="2:78">
      <c r="B1735" s="7"/>
      <c r="O1735" s="7"/>
      <c r="X1735" s="7"/>
      <c r="AG1735" s="7"/>
      <c r="AP1735" s="7"/>
      <c r="AY1735" s="7"/>
      <c r="BH1735" s="7"/>
      <c r="BQ1735" s="7"/>
      <c r="BZ1735" s="7"/>
    </row>
    <row r="1736" spans="2:78">
      <c r="B1736" s="7"/>
      <c r="O1736" s="7"/>
      <c r="X1736" s="7"/>
      <c r="AG1736" s="7"/>
      <c r="AP1736" s="7"/>
      <c r="AY1736" s="7"/>
      <c r="BH1736" s="7"/>
      <c r="BQ1736" s="7"/>
      <c r="BZ1736" s="7"/>
    </row>
    <row r="1737" spans="2:78">
      <c r="B1737" s="7"/>
      <c r="O1737" s="7"/>
      <c r="X1737" s="7"/>
      <c r="AG1737" s="7"/>
      <c r="AP1737" s="7"/>
      <c r="AY1737" s="7"/>
      <c r="BH1737" s="7"/>
      <c r="BQ1737" s="7"/>
      <c r="BZ1737" s="7"/>
    </row>
    <row r="1738" spans="2:78">
      <c r="B1738" s="7"/>
      <c r="O1738" s="7"/>
      <c r="X1738" s="7"/>
      <c r="AG1738" s="7"/>
      <c r="AP1738" s="7"/>
      <c r="AY1738" s="7"/>
      <c r="BH1738" s="7"/>
      <c r="BQ1738" s="7"/>
      <c r="BZ1738" s="7"/>
    </row>
    <row r="1739" spans="2:78">
      <c r="B1739" s="7"/>
      <c r="O1739" s="7"/>
      <c r="X1739" s="7"/>
      <c r="AG1739" s="7"/>
      <c r="AP1739" s="7"/>
      <c r="AY1739" s="7"/>
      <c r="BH1739" s="7"/>
      <c r="BQ1739" s="7"/>
      <c r="BZ1739" s="7"/>
    </row>
    <row r="1740" spans="2:78">
      <c r="B1740" s="7"/>
      <c r="O1740" s="7"/>
      <c r="X1740" s="7"/>
      <c r="AG1740" s="7"/>
      <c r="AP1740" s="7"/>
      <c r="AY1740" s="7"/>
      <c r="BH1740" s="7"/>
      <c r="BQ1740" s="7"/>
      <c r="BZ1740" s="7"/>
    </row>
    <row r="1741" spans="2:78">
      <c r="B1741" s="7"/>
      <c r="O1741" s="7"/>
      <c r="X1741" s="7"/>
      <c r="AG1741" s="7"/>
      <c r="AP1741" s="7"/>
      <c r="AY1741" s="7"/>
      <c r="BH1741" s="7"/>
      <c r="BQ1741" s="7"/>
      <c r="BZ1741" s="7"/>
    </row>
    <row r="1742" spans="2:78">
      <c r="B1742" s="7"/>
      <c r="O1742" s="7"/>
      <c r="X1742" s="7"/>
      <c r="AG1742" s="7"/>
      <c r="AP1742" s="7"/>
      <c r="AY1742" s="7"/>
      <c r="BH1742" s="7"/>
      <c r="BQ1742" s="7"/>
      <c r="BZ1742" s="7"/>
    </row>
    <row r="1743" spans="2:78">
      <c r="B1743" s="7"/>
      <c r="O1743" s="7"/>
      <c r="X1743" s="7"/>
      <c r="AG1743" s="7"/>
      <c r="AP1743" s="7"/>
      <c r="AY1743" s="7"/>
      <c r="BH1743" s="7"/>
      <c r="BQ1743" s="7"/>
      <c r="BZ1743" s="7"/>
    </row>
    <row r="1744" spans="2:78">
      <c r="B1744" s="7"/>
      <c r="O1744" s="7"/>
      <c r="X1744" s="7"/>
      <c r="AG1744" s="7"/>
      <c r="AP1744" s="7"/>
      <c r="AY1744" s="7"/>
      <c r="BH1744" s="7"/>
      <c r="BQ1744" s="7"/>
      <c r="BZ1744" s="7"/>
    </row>
    <row r="1745" spans="2:78">
      <c r="B1745" s="7"/>
      <c r="O1745" s="7"/>
      <c r="X1745" s="7"/>
      <c r="AG1745" s="7"/>
      <c r="AP1745" s="7"/>
      <c r="AY1745" s="7"/>
      <c r="BH1745" s="7"/>
      <c r="BQ1745" s="7"/>
      <c r="BZ1745" s="7"/>
    </row>
    <row r="1746" spans="2:78">
      <c r="B1746" s="7"/>
      <c r="O1746" s="7"/>
      <c r="X1746" s="7"/>
      <c r="AG1746" s="7"/>
      <c r="AP1746" s="7"/>
      <c r="AY1746" s="7"/>
      <c r="BH1746" s="7"/>
      <c r="BQ1746" s="7"/>
      <c r="BZ1746" s="7"/>
    </row>
    <row r="1747" spans="2:78">
      <c r="B1747" s="7"/>
      <c r="O1747" s="7"/>
      <c r="X1747" s="7"/>
      <c r="AG1747" s="7"/>
      <c r="AP1747" s="7"/>
      <c r="AY1747" s="7"/>
      <c r="BH1747" s="7"/>
      <c r="BQ1747" s="7"/>
      <c r="BZ1747" s="7"/>
    </row>
    <row r="1748" spans="2:78">
      <c r="B1748" s="7"/>
      <c r="O1748" s="7"/>
      <c r="X1748" s="7"/>
      <c r="AG1748" s="7"/>
      <c r="AP1748" s="7"/>
      <c r="AY1748" s="7"/>
      <c r="BH1748" s="7"/>
      <c r="BQ1748" s="7"/>
      <c r="BZ1748" s="7"/>
    </row>
    <row r="1749" spans="2:78">
      <c r="B1749" s="7"/>
      <c r="O1749" s="7"/>
      <c r="X1749" s="7"/>
      <c r="AG1749" s="7"/>
      <c r="AP1749" s="7"/>
      <c r="AY1749" s="7"/>
      <c r="BH1749" s="7"/>
      <c r="BQ1749" s="7"/>
      <c r="BZ1749" s="7"/>
    </row>
    <row r="1750" spans="2:78">
      <c r="B1750" s="7"/>
      <c r="O1750" s="7"/>
      <c r="X1750" s="7"/>
      <c r="AG1750" s="7"/>
      <c r="AP1750" s="7"/>
      <c r="AY1750" s="7"/>
      <c r="BH1750" s="7"/>
      <c r="BQ1750" s="7"/>
      <c r="BZ1750" s="7"/>
    </row>
    <row r="1751" spans="2:78">
      <c r="B1751" s="7"/>
      <c r="O1751" s="7"/>
      <c r="X1751" s="7"/>
      <c r="AG1751" s="7"/>
      <c r="AP1751" s="7"/>
      <c r="AY1751" s="7"/>
      <c r="BH1751" s="7"/>
      <c r="BQ1751" s="7"/>
      <c r="BZ1751" s="7"/>
    </row>
    <row r="1752" spans="2:78">
      <c r="B1752" s="7"/>
      <c r="O1752" s="7"/>
      <c r="X1752" s="7"/>
      <c r="AG1752" s="7"/>
      <c r="AP1752" s="7"/>
      <c r="AY1752" s="7"/>
      <c r="BH1752" s="7"/>
      <c r="BQ1752" s="7"/>
      <c r="BZ1752" s="7"/>
    </row>
    <row r="1753" spans="2:78">
      <c r="B1753" s="7"/>
      <c r="O1753" s="7"/>
      <c r="X1753" s="7"/>
      <c r="AG1753" s="7"/>
      <c r="AP1753" s="7"/>
      <c r="AY1753" s="7"/>
      <c r="BH1753" s="7"/>
      <c r="BQ1753" s="7"/>
      <c r="BZ1753" s="7"/>
    </row>
    <row r="1754" spans="2:78">
      <c r="B1754" s="7"/>
      <c r="O1754" s="7"/>
      <c r="X1754" s="7"/>
      <c r="AG1754" s="7"/>
      <c r="AP1754" s="7"/>
      <c r="AY1754" s="7"/>
      <c r="BH1754" s="7"/>
      <c r="BQ1754" s="7"/>
      <c r="BZ1754" s="7"/>
    </row>
    <row r="1755" spans="2:78">
      <c r="B1755" s="7"/>
      <c r="O1755" s="7"/>
      <c r="X1755" s="7"/>
      <c r="AG1755" s="7"/>
      <c r="AP1755" s="7"/>
      <c r="AY1755" s="7"/>
      <c r="BH1755" s="7"/>
      <c r="BQ1755" s="7"/>
      <c r="BZ1755" s="7"/>
    </row>
    <row r="1756" spans="2:78">
      <c r="B1756" s="7"/>
      <c r="O1756" s="7"/>
      <c r="X1756" s="7"/>
      <c r="AG1756" s="7"/>
      <c r="AP1756" s="7"/>
      <c r="AY1756" s="7"/>
      <c r="BH1756" s="7"/>
      <c r="BQ1756" s="7"/>
      <c r="BZ1756" s="7"/>
    </row>
    <row r="1757" spans="2:78">
      <c r="B1757" s="7"/>
      <c r="O1757" s="7"/>
      <c r="X1757" s="7"/>
      <c r="AG1757" s="7"/>
      <c r="AP1757" s="7"/>
      <c r="AY1757" s="7"/>
      <c r="BH1757" s="7"/>
      <c r="BQ1757" s="7"/>
      <c r="BZ1757" s="7"/>
    </row>
    <row r="1758" spans="2:78">
      <c r="B1758" s="7"/>
      <c r="O1758" s="7"/>
      <c r="X1758" s="7"/>
      <c r="AG1758" s="7"/>
      <c r="AP1758" s="7"/>
      <c r="AY1758" s="7"/>
      <c r="BH1758" s="7"/>
      <c r="BQ1758" s="7"/>
      <c r="BZ1758" s="7"/>
    </row>
    <row r="1759" spans="2:78">
      <c r="B1759" s="7"/>
      <c r="O1759" s="7"/>
      <c r="X1759" s="7"/>
      <c r="AG1759" s="7"/>
      <c r="AP1759" s="7"/>
      <c r="AY1759" s="7"/>
      <c r="BH1759" s="7"/>
      <c r="BQ1759" s="7"/>
      <c r="BZ1759" s="7"/>
    </row>
    <row r="1760" spans="2:78">
      <c r="B1760" s="7"/>
      <c r="O1760" s="7"/>
      <c r="X1760" s="7"/>
      <c r="AG1760" s="7"/>
      <c r="AP1760" s="7"/>
      <c r="AY1760" s="7"/>
      <c r="BH1760" s="7"/>
      <c r="BQ1760" s="7"/>
      <c r="BZ1760" s="7"/>
    </row>
    <row r="1761" spans="2:78">
      <c r="B1761" s="7"/>
      <c r="O1761" s="7"/>
      <c r="X1761" s="7"/>
      <c r="AG1761" s="7"/>
      <c r="AP1761" s="7"/>
      <c r="AY1761" s="7"/>
      <c r="BH1761" s="7"/>
      <c r="BQ1761" s="7"/>
      <c r="BZ1761" s="7"/>
    </row>
    <row r="1762" spans="2:78">
      <c r="B1762" s="7"/>
      <c r="O1762" s="7"/>
      <c r="X1762" s="7"/>
      <c r="AG1762" s="7"/>
      <c r="AP1762" s="7"/>
      <c r="AY1762" s="7"/>
      <c r="BH1762" s="7"/>
      <c r="BQ1762" s="7"/>
      <c r="BZ1762" s="7"/>
    </row>
    <row r="1763" spans="2:78">
      <c r="B1763" s="7"/>
      <c r="O1763" s="7"/>
      <c r="X1763" s="7"/>
      <c r="AG1763" s="7"/>
      <c r="AP1763" s="7"/>
      <c r="AY1763" s="7"/>
      <c r="BH1763" s="7"/>
      <c r="BQ1763" s="7"/>
      <c r="BZ1763" s="7"/>
    </row>
    <row r="1764" spans="2:78">
      <c r="B1764" s="7"/>
      <c r="O1764" s="7"/>
      <c r="X1764" s="7"/>
      <c r="AG1764" s="7"/>
      <c r="AP1764" s="7"/>
      <c r="AY1764" s="7"/>
      <c r="BH1764" s="7"/>
      <c r="BQ1764" s="7"/>
      <c r="BZ1764" s="7"/>
    </row>
    <row r="1765" spans="2:78">
      <c r="B1765" s="7"/>
      <c r="O1765" s="7"/>
      <c r="X1765" s="7"/>
      <c r="AG1765" s="7"/>
      <c r="AP1765" s="7"/>
      <c r="AY1765" s="7"/>
      <c r="BH1765" s="7"/>
      <c r="BQ1765" s="7"/>
      <c r="BZ1765" s="7"/>
    </row>
    <row r="1766" spans="2:78">
      <c r="B1766" s="7"/>
      <c r="O1766" s="7"/>
      <c r="X1766" s="7"/>
      <c r="AG1766" s="7"/>
      <c r="AP1766" s="7"/>
      <c r="AY1766" s="7"/>
      <c r="BH1766" s="7"/>
      <c r="BQ1766" s="7"/>
      <c r="BZ1766" s="7"/>
    </row>
    <row r="1767" spans="2:78">
      <c r="B1767" s="7"/>
      <c r="O1767" s="7"/>
      <c r="X1767" s="7"/>
      <c r="AG1767" s="7"/>
      <c r="AP1767" s="7"/>
      <c r="AY1767" s="7"/>
      <c r="BH1767" s="7"/>
      <c r="BQ1767" s="7"/>
      <c r="BZ1767" s="7"/>
    </row>
    <row r="1768" spans="2:78">
      <c r="B1768" s="7"/>
      <c r="O1768" s="7"/>
      <c r="X1768" s="7"/>
      <c r="AG1768" s="7"/>
      <c r="AP1768" s="7"/>
      <c r="AY1768" s="7"/>
      <c r="BH1768" s="7"/>
      <c r="BQ1768" s="7"/>
      <c r="BZ1768" s="7"/>
    </row>
    <row r="1769" spans="2:78">
      <c r="B1769" s="7"/>
      <c r="O1769" s="7"/>
      <c r="X1769" s="7"/>
      <c r="AG1769" s="7"/>
      <c r="AP1769" s="7"/>
      <c r="AY1769" s="7"/>
      <c r="BH1769" s="7"/>
      <c r="BQ1769" s="7"/>
      <c r="BZ1769" s="7"/>
    </row>
    <row r="1770" spans="2:78">
      <c r="B1770" s="7"/>
      <c r="O1770" s="7"/>
      <c r="X1770" s="7"/>
      <c r="AG1770" s="7"/>
      <c r="AP1770" s="7"/>
      <c r="AY1770" s="7"/>
      <c r="BH1770" s="7"/>
      <c r="BQ1770" s="7"/>
      <c r="BZ1770" s="7"/>
    </row>
    <row r="1771" spans="2:78">
      <c r="B1771" s="7"/>
      <c r="O1771" s="7"/>
      <c r="X1771" s="7"/>
      <c r="AG1771" s="7"/>
      <c r="AP1771" s="7"/>
      <c r="AY1771" s="7"/>
      <c r="BH1771" s="7"/>
      <c r="BQ1771" s="7"/>
      <c r="BZ1771" s="7"/>
    </row>
    <row r="1772" spans="2:78">
      <c r="B1772" s="7"/>
      <c r="O1772" s="7"/>
      <c r="X1772" s="7"/>
      <c r="AG1772" s="7"/>
      <c r="AP1772" s="7"/>
      <c r="AY1772" s="7"/>
      <c r="BH1772" s="7"/>
      <c r="BQ1772" s="7"/>
      <c r="BZ1772" s="7"/>
    </row>
    <row r="1773" spans="2:78">
      <c r="B1773" s="7"/>
      <c r="O1773" s="7"/>
      <c r="X1773" s="7"/>
      <c r="AG1773" s="7"/>
      <c r="AP1773" s="7"/>
      <c r="AY1773" s="7"/>
      <c r="BH1773" s="7"/>
      <c r="BQ1773" s="7"/>
      <c r="BZ1773" s="7"/>
    </row>
    <row r="1774" spans="2:78">
      <c r="B1774" s="7"/>
      <c r="O1774" s="7"/>
      <c r="X1774" s="7"/>
      <c r="AG1774" s="7"/>
      <c r="AP1774" s="7"/>
      <c r="AY1774" s="7"/>
      <c r="BH1774" s="7"/>
      <c r="BQ1774" s="7"/>
      <c r="BZ1774" s="7"/>
    </row>
    <row r="1775" spans="2:78">
      <c r="B1775" s="7"/>
      <c r="O1775" s="7"/>
      <c r="X1775" s="7"/>
      <c r="AG1775" s="7"/>
      <c r="AP1775" s="7"/>
      <c r="AY1775" s="7"/>
      <c r="BH1775" s="7"/>
      <c r="BQ1775" s="7"/>
      <c r="BZ1775" s="7"/>
    </row>
    <row r="1776" spans="2:78">
      <c r="B1776" s="7"/>
      <c r="O1776" s="7"/>
      <c r="X1776" s="7"/>
      <c r="AG1776" s="7"/>
      <c r="AP1776" s="7"/>
      <c r="AY1776" s="7"/>
      <c r="BH1776" s="7"/>
      <c r="BQ1776" s="7"/>
      <c r="BZ1776" s="7"/>
    </row>
    <row r="1777" spans="2:78">
      <c r="B1777" s="7"/>
      <c r="O1777" s="7"/>
      <c r="X1777" s="7"/>
      <c r="AG1777" s="7"/>
      <c r="AP1777" s="7"/>
      <c r="AY1777" s="7"/>
      <c r="BH1777" s="7"/>
      <c r="BQ1777" s="7"/>
      <c r="BZ1777" s="7"/>
    </row>
    <row r="1778" spans="2:78">
      <c r="B1778" s="7"/>
      <c r="O1778" s="7"/>
      <c r="X1778" s="7"/>
      <c r="AG1778" s="7"/>
      <c r="AP1778" s="7"/>
      <c r="AY1778" s="7"/>
      <c r="BH1778" s="7"/>
      <c r="BQ1778" s="7"/>
      <c r="BZ1778" s="7"/>
    </row>
    <row r="1779" spans="2:78">
      <c r="B1779" s="7"/>
      <c r="O1779" s="7"/>
      <c r="X1779" s="7"/>
      <c r="AG1779" s="7"/>
      <c r="AP1779" s="7"/>
      <c r="AY1779" s="7"/>
      <c r="BH1779" s="7"/>
      <c r="BQ1779" s="7"/>
      <c r="BZ1779" s="7"/>
    </row>
    <row r="1780" spans="2:78">
      <c r="B1780" s="7"/>
      <c r="O1780" s="7"/>
      <c r="X1780" s="7"/>
      <c r="AG1780" s="7"/>
      <c r="AP1780" s="7"/>
      <c r="AY1780" s="7"/>
      <c r="BH1780" s="7"/>
      <c r="BQ1780" s="7"/>
      <c r="BZ1780" s="7"/>
    </row>
    <row r="1781" spans="2:78">
      <c r="B1781" s="7"/>
      <c r="O1781" s="7"/>
      <c r="X1781" s="7"/>
      <c r="AG1781" s="7"/>
      <c r="AP1781" s="7"/>
      <c r="AY1781" s="7"/>
      <c r="BH1781" s="7"/>
      <c r="BQ1781" s="7"/>
      <c r="BZ1781" s="7"/>
    </row>
    <row r="1782" spans="2:78">
      <c r="B1782" s="7"/>
      <c r="O1782" s="7"/>
      <c r="X1782" s="7"/>
      <c r="AG1782" s="7"/>
      <c r="AP1782" s="7"/>
      <c r="AY1782" s="7"/>
      <c r="BH1782" s="7"/>
      <c r="BQ1782" s="7"/>
      <c r="BZ1782" s="7"/>
    </row>
    <row r="1783" spans="2:78">
      <c r="B1783" s="7"/>
      <c r="O1783" s="7"/>
      <c r="X1783" s="7"/>
      <c r="AG1783" s="7"/>
      <c r="AP1783" s="7"/>
      <c r="AY1783" s="7"/>
      <c r="BH1783" s="7"/>
      <c r="BQ1783" s="7"/>
      <c r="BZ1783" s="7"/>
    </row>
    <row r="1784" spans="2:78">
      <c r="B1784" s="7"/>
      <c r="O1784" s="7"/>
      <c r="X1784" s="7"/>
      <c r="AG1784" s="7"/>
      <c r="AP1784" s="7"/>
      <c r="AY1784" s="7"/>
      <c r="BH1784" s="7"/>
      <c r="BQ1784" s="7"/>
      <c r="BZ1784" s="7"/>
    </row>
    <row r="1785" spans="2:78">
      <c r="B1785" s="7"/>
      <c r="O1785" s="7"/>
      <c r="X1785" s="7"/>
      <c r="AG1785" s="7"/>
      <c r="AP1785" s="7"/>
      <c r="AY1785" s="7"/>
      <c r="BH1785" s="7"/>
      <c r="BQ1785" s="7"/>
      <c r="BZ1785" s="7"/>
    </row>
    <row r="1786" spans="2:78">
      <c r="B1786" s="7"/>
      <c r="O1786" s="7"/>
      <c r="X1786" s="7"/>
      <c r="AG1786" s="7"/>
      <c r="AP1786" s="7"/>
      <c r="AY1786" s="7"/>
      <c r="BH1786" s="7"/>
      <c r="BQ1786" s="7"/>
      <c r="BZ1786" s="7"/>
    </row>
    <row r="1787" spans="2:78">
      <c r="B1787" s="7"/>
      <c r="O1787" s="7"/>
      <c r="X1787" s="7"/>
      <c r="AG1787" s="7"/>
      <c r="AP1787" s="7"/>
      <c r="AY1787" s="7"/>
      <c r="BH1787" s="7"/>
      <c r="BQ1787" s="7"/>
      <c r="BZ1787" s="7"/>
    </row>
    <row r="1788" spans="2:78">
      <c r="B1788" s="7"/>
      <c r="O1788" s="7"/>
      <c r="X1788" s="7"/>
      <c r="AG1788" s="7"/>
      <c r="AP1788" s="7"/>
      <c r="AY1788" s="7"/>
      <c r="BH1788" s="7"/>
      <c r="BQ1788" s="7"/>
      <c r="BZ1788" s="7"/>
    </row>
    <row r="1789" spans="2:78">
      <c r="B1789" s="7"/>
      <c r="O1789" s="7"/>
      <c r="X1789" s="7"/>
      <c r="AG1789" s="7"/>
      <c r="AP1789" s="7"/>
      <c r="AY1789" s="7"/>
      <c r="BH1789" s="7"/>
      <c r="BQ1789" s="7"/>
      <c r="BZ1789" s="7"/>
    </row>
    <row r="1790" spans="2:78">
      <c r="B1790" s="7"/>
      <c r="O1790" s="7"/>
      <c r="X1790" s="7"/>
      <c r="AG1790" s="7"/>
      <c r="AP1790" s="7"/>
      <c r="AY1790" s="7"/>
      <c r="BH1790" s="7"/>
      <c r="BQ1790" s="7"/>
      <c r="BZ1790" s="7"/>
    </row>
    <row r="1791" spans="2:78">
      <c r="B1791" s="7"/>
      <c r="O1791" s="7"/>
      <c r="X1791" s="7"/>
      <c r="AG1791" s="7"/>
      <c r="AP1791" s="7"/>
      <c r="AY1791" s="7"/>
      <c r="BH1791" s="7"/>
      <c r="BQ1791" s="7"/>
      <c r="BZ1791" s="7"/>
    </row>
    <row r="1792" spans="2:78">
      <c r="B1792" s="7"/>
      <c r="O1792" s="7"/>
      <c r="X1792" s="7"/>
      <c r="AG1792" s="7"/>
      <c r="AP1792" s="7"/>
      <c r="AY1792" s="7"/>
      <c r="BH1792" s="7"/>
      <c r="BQ1792" s="7"/>
      <c r="BZ1792" s="7"/>
    </row>
    <row r="1793" spans="2:78">
      <c r="B1793" s="7"/>
      <c r="O1793" s="7"/>
      <c r="X1793" s="7"/>
      <c r="AG1793" s="7"/>
      <c r="AP1793" s="7"/>
      <c r="AY1793" s="7"/>
      <c r="BH1793" s="7"/>
      <c r="BQ1793" s="7"/>
      <c r="BZ1793" s="7"/>
    </row>
    <row r="1794" spans="2:78">
      <c r="B1794" s="7"/>
      <c r="O1794" s="7"/>
      <c r="X1794" s="7"/>
      <c r="AG1794" s="7"/>
      <c r="AP1794" s="7"/>
      <c r="AY1794" s="7"/>
      <c r="BH1794" s="7"/>
      <c r="BQ1794" s="7"/>
      <c r="BZ1794" s="7"/>
    </row>
    <row r="1795" spans="2:78">
      <c r="B1795" s="7"/>
      <c r="O1795" s="7"/>
      <c r="X1795" s="7"/>
      <c r="AG1795" s="7"/>
      <c r="AP1795" s="7"/>
      <c r="AY1795" s="7"/>
      <c r="BH1795" s="7"/>
      <c r="BQ1795" s="7"/>
      <c r="BZ1795" s="7"/>
    </row>
    <row r="1796" spans="2:78">
      <c r="B1796" s="7"/>
      <c r="O1796" s="7"/>
      <c r="X1796" s="7"/>
      <c r="AG1796" s="7"/>
      <c r="AP1796" s="7"/>
      <c r="AY1796" s="7"/>
      <c r="BH1796" s="7"/>
      <c r="BQ1796" s="7"/>
      <c r="BZ1796" s="7"/>
    </row>
    <row r="1797" spans="2:78">
      <c r="B1797" s="7"/>
      <c r="O1797" s="7"/>
      <c r="X1797" s="7"/>
      <c r="AG1797" s="7"/>
      <c r="AP1797" s="7"/>
      <c r="AY1797" s="7"/>
      <c r="BH1797" s="7"/>
      <c r="BQ1797" s="7"/>
      <c r="BZ1797" s="7"/>
    </row>
    <row r="1798" spans="2:78">
      <c r="B1798" s="7"/>
      <c r="O1798" s="7"/>
      <c r="X1798" s="7"/>
      <c r="AG1798" s="7"/>
      <c r="AP1798" s="7"/>
      <c r="AY1798" s="7"/>
      <c r="BH1798" s="7"/>
      <c r="BQ1798" s="7"/>
      <c r="BZ1798" s="7"/>
    </row>
    <row r="1799" spans="2:78">
      <c r="B1799" s="7"/>
      <c r="O1799" s="7"/>
      <c r="X1799" s="7"/>
      <c r="AG1799" s="7"/>
      <c r="AP1799" s="7"/>
      <c r="AY1799" s="7"/>
      <c r="BH1799" s="7"/>
      <c r="BQ1799" s="7"/>
      <c r="BZ1799" s="7"/>
    </row>
    <row r="1800" spans="2:78">
      <c r="B1800" s="7"/>
      <c r="O1800" s="7"/>
      <c r="X1800" s="7"/>
      <c r="AG1800" s="7"/>
      <c r="AP1800" s="7"/>
      <c r="AY1800" s="7"/>
      <c r="BH1800" s="7"/>
      <c r="BQ1800" s="7"/>
      <c r="BZ1800" s="7"/>
    </row>
    <row r="1801" spans="2:78">
      <c r="B1801" s="7"/>
      <c r="O1801" s="7"/>
      <c r="X1801" s="7"/>
      <c r="AG1801" s="7"/>
      <c r="AP1801" s="7"/>
      <c r="AY1801" s="7"/>
      <c r="BH1801" s="7"/>
      <c r="BQ1801" s="7"/>
      <c r="BZ1801" s="7"/>
    </row>
    <row r="1802" spans="2:78">
      <c r="B1802" s="7"/>
      <c r="O1802" s="7"/>
      <c r="X1802" s="7"/>
      <c r="AG1802" s="7"/>
      <c r="AP1802" s="7"/>
      <c r="AY1802" s="7"/>
      <c r="BH1802" s="7"/>
      <c r="BQ1802" s="7"/>
      <c r="BZ1802" s="7"/>
    </row>
    <row r="1803" spans="2:78">
      <c r="B1803" s="7"/>
      <c r="O1803" s="7"/>
      <c r="X1803" s="7"/>
      <c r="AG1803" s="7"/>
      <c r="AP1803" s="7"/>
      <c r="AY1803" s="7"/>
      <c r="BH1803" s="7"/>
      <c r="BQ1803" s="7"/>
      <c r="BZ1803" s="7"/>
    </row>
    <row r="1804" spans="2:78">
      <c r="B1804" s="7"/>
      <c r="O1804" s="7"/>
      <c r="X1804" s="7"/>
      <c r="AG1804" s="7"/>
      <c r="AP1804" s="7"/>
      <c r="AY1804" s="7"/>
      <c r="BH1804" s="7"/>
      <c r="BQ1804" s="7"/>
      <c r="BZ1804" s="7"/>
    </row>
    <row r="1805" spans="2:78">
      <c r="B1805" s="7"/>
      <c r="O1805" s="7"/>
      <c r="X1805" s="7"/>
      <c r="AG1805" s="7"/>
      <c r="AP1805" s="7"/>
      <c r="AY1805" s="7"/>
      <c r="BH1805" s="7"/>
      <c r="BQ1805" s="7"/>
      <c r="BZ1805" s="7"/>
    </row>
    <row r="1806" spans="2:78">
      <c r="B1806" s="7"/>
      <c r="O1806" s="7"/>
      <c r="X1806" s="7"/>
      <c r="AG1806" s="7"/>
      <c r="AP1806" s="7"/>
      <c r="AY1806" s="7"/>
      <c r="BH1806" s="7"/>
      <c r="BQ1806" s="7"/>
      <c r="BZ1806" s="7"/>
    </row>
    <row r="1807" spans="2:78">
      <c r="B1807" s="7"/>
      <c r="O1807" s="7"/>
      <c r="X1807" s="7"/>
      <c r="AG1807" s="7"/>
      <c r="AP1807" s="7"/>
      <c r="AY1807" s="7"/>
      <c r="BH1807" s="7"/>
      <c r="BQ1807" s="7"/>
      <c r="BZ1807" s="7"/>
    </row>
    <row r="1808" spans="2:78">
      <c r="B1808" s="7"/>
      <c r="O1808" s="7"/>
      <c r="X1808" s="7"/>
      <c r="AG1808" s="7"/>
      <c r="AP1808" s="7"/>
      <c r="AY1808" s="7"/>
      <c r="BH1808" s="7"/>
      <c r="BQ1808" s="7"/>
      <c r="BZ1808" s="7"/>
    </row>
    <row r="1809" spans="2:78">
      <c r="B1809" s="7"/>
      <c r="O1809" s="7"/>
      <c r="X1809" s="7"/>
      <c r="AG1809" s="7"/>
      <c r="AP1809" s="7"/>
      <c r="AY1809" s="7"/>
      <c r="BH1809" s="7"/>
      <c r="BQ1809" s="7"/>
      <c r="BZ1809" s="7"/>
    </row>
    <row r="1810" spans="2:78">
      <c r="B1810" s="7"/>
      <c r="O1810" s="7"/>
      <c r="X1810" s="7"/>
      <c r="AG1810" s="7"/>
      <c r="AP1810" s="7"/>
      <c r="AY1810" s="7"/>
      <c r="BH1810" s="7"/>
      <c r="BQ1810" s="7"/>
      <c r="BZ1810" s="7"/>
    </row>
    <row r="1811" spans="2:78">
      <c r="B1811" s="7"/>
      <c r="O1811" s="7"/>
      <c r="X1811" s="7"/>
      <c r="AG1811" s="7"/>
      <c r="AP1811" s="7"/>
      <c r="AY1811" s="7"/>
      <c r="BH1811" s="7"/>
      <c r="BQ1811" s="7"/>
      <c r="BZ1811" s="7"/>
    </row>
    <row r="1812" spans="2:78">
      <c r="B1812" s="7"/>
      <c r="O1812" s="7"/>
      <c r="X1812" s="7"/>
      <c r="AG1812" s="7"/>
      <c r="AP1812" s="7"/>
      <c r="AY1812" s="7"/>
      <c r="BH1812" s="7"/>
      <c r="BQ1812" s="7"/>
      <c r="BZ1812" s="7"/>
    </row>
    <row r="1813" spans="2:78">
      <c r="B1813" s="7"/>
      <c r="O1813" s="7"/>
      <c r="X1813" s="7"/>
      <c r="AG1813" s="7"/>
      <c r="AP1813" s="7"/>
      <c r="AY1813" s="7"/>
      <c r="BH1813" s="7"/>
      <c r="BQ1813" s="7"/>
      <c r="BZ1813" s="7"/>
    </row>
    <row r="1814" spans="2:78">
      <c r="B1814" s="7"/>
      <c r="O1814" s="7"/>
      <c r="X1814" s="7"/>
      <c r="AG1814" s="7"/>
      <c r="AP1814" s="7"/>
      <c r="AY1814" s="7"/>
      <c r="BH1814" s="7"/>
      <c r="BQ1814" s="7"/>
      <c r="BZ1814" s="7"/>
    </row>
    <row r="1815" spans="2:78">
      <c r="B1815" s="7"/>
      <c r="O1815" s="7"/>
      <c r="X1815" s="7"/>
      <c r="AG1815" s="7"/>
      <c r="AP1815" s="7"/>
      <c r="AY1815" s="7"/>
      <c r="BH1815" s="7"/>
      <c r="BQ1815" s="7"/>
      <c r="BZ1815" s="7"/>
    </row>
    <row r="1816" spans="2:78">
      <c r="B1816" s="7"/>
      <c r="O1816" s="7"/>
      <c r="X1816" s="7"/>
      <c r="AG1816" s="7"/>
      <c r="AP1816" s="7"/>
      <c r="AY1816" s="7"/>
      <c r="BH1816" s="7"/>
      <c r="BQ1816" s="7"/>
      <c r="BZ1816" s="7"/>
    </row>
    <row r="1817" spans="2:78">
      <c r="B1817" s="7"/>
      <c r="O1817" s="7"/>
      <c r="X1817" s="7"/>
      <c r="AG1817" s="7"/>
      <c r="AP1817" s="7"/>
      <c r="AY1817" s="7"/>
      <c r="BH1817" s="7"/>
      <c r="BQ1817" s="7"/>
      <c r="BZ1817" s="7"/>
    </row>
    <row r="1818" spans="2:78">
      <c r="B1818" s="7"/>
      <c r="O1818" s="7"/>
      <c r="X1818" s="7"/>
      <c r="AG1818" s="7"/>
      <c r="AP1818" s="7"/>
      <c r="AY1818" s="7"/>
      <c r="BH1818" s="7"/>
      <c r="BQ1818" s="7"/>
      <c r="BZ1818" s="7"/>
    </row>
    <row r="1819" spans="2:78">
      <c r="B1819" s="7"/>
      <c r="O1819" s="7"/>
      <c r="X1819" s="7"/>
      <c r="AG1819" s="7"/>
      <c r="AP1819" s="7"/>
      <c r="AY1819" s="7"/>
      <c r="BH1819" s="7"/>
      <c r="BQ1819" s="7"/>
      <c r="BZ1819" s="7"/>
    </row>
    <row r="1820" spans="2:78">
      <c r="B1820" s="7"/>
      <c r="O1820" s="7"/>
      <c r="X1820" s="7"/>
      <c r="AG1820" s="7"/>
      <c r="AP1820" s="7"/>
      <c r="AY1820" s="7"/>
      <c r="BH1820" s="7"/>
      <c r="BQ1820" s="7"/>
      <c r="BZ1820" s="7"/>
    </row>
    <row r="1821" spans="2:78">
      <c r="B1821" s="7"/>
      <c r="O1821" s="7"/>
      <c r="X1821" s="7"/>
      <c r="AG1821" s="7"/>
      <c r="AP1821" s="7"/>
      <c r="AY1821" s="7"/>
      <c r="BH1821" s="7"/>
      <c r="BQ1821" s="7"/>
      <c r="BZ1821" s="7"/>
    </row>
    <row r="1822" spans="2:78">
      <c r="B1822" s="7"/>
      <c r="O1822" s="7"/>
      <c r="X1822" s="7"/>
      <c r="AG1822" s="7"/>
      <c r="AP1822" s="7"/>
      <c r="AY1822" s="7"/>
      <c r="BH1822" s="7"/>
      <c r="BQ1822" s="7"/>
      <c r="BZ1822" s="7"/>
    </row>
    <row r="1823" spans="2:78">
      <c r="B1823" s="7"/>
      <c r="O1823" s="7"/>
      <c r="X1823" s="7"/>
      <c r="AG1823" s="7"/>
      <c r="AP1823" s="7"/>
      <c r="AY1823" s="7"/>
      <c r="BH1823" s="7"/>
      <c r="BQ1823" s="7"/>
      <c r="BZ1823" s="7"/>
    </row>
    <row r="1824" spans="2:78">
      <c r="B1824" s="7"/>
      <c r="O1824" s="7"/>
      <c r="X1824" s="7"/>
      <c r="AG1824" s="7"/>
      <c r="AP1824" s="7"/>
      <c r="AY1824" s="7"/>
      <c r="BH1824" s="7"/>
      <c r="BQ1824" s="7"/>
      <c r="BZ1824" s="7"/>
    </row>
    <row r="1825" spans="2:78">
      <c r="B1825" s="7"/>
      <c r="O1825" s="7"/>
      <c r="X1825" s="7"/>
      <c r="AG1825" s="7"/>
      <c r="AP1825" s="7"/>
      <c r="AY1825" s="7"/>
      <c r="BH1825" s="7"/>
      <c r="BQ1825" s="7"/>
      <c r="BZ1825" s="7"/>
    </row>
    <row r="1826" spans="2:78">
      <c r="B1826" s="7"/>
      <c r="O1826" s="7"/>
      <c r="X1826" s="7"/>
      <c r="AG1826" s="7"/>
      <c r="AP1826" s="7"/>
      <c r="AY1826" s="7"/>
      <c r="BH1826" s="7"/>
      <c r="BQ1826" s="7"/>
      <c r="BZ1826" s="7"/>
    </row>
    <row r="1827" spans="2:78">
      <c r="B1827" s="7"/>
      <c r="O1827" s="7"/>
      <c r="X1827" s="7"/>
      <c r="AG1827" s="7"/>
      <c r="AP1827" s="7"/>
      <c r="AY1827" s="7"/>
      <c r="BH1827" s="7"/>
      <c r="BQ1827" s="7"/>
      <c r="BZ1827" s="7"/>
    </row>
    <row r="1828" spans="2:78">
      <c r="B1828" s="7"/>
      <c r="O1828" s="7"/>
      <c r="X1828" s="7"/>
      <c r="AG1828" s="7"/>
      <c r="AP1828" s="7"/>
      <c r="AY1828" s="7"/>
      <c r="BH1828" s="7"/>
      <c r="BQ1828" s="7"/>
      <c r="BZ1828" s="7"/>
    </row>
    <row r="1829" spans="2:78">
      <c r="B1829" s="7"/>
      <c r="O1829" s="7"/>
      <c r="X1829" s="7"/>
      <c r="AG1829" s="7"/>
      <c r="AP1829" s="7"/>
      <c r="AY1829" s="7"/>
      <c r="BH1829" s="7"/>
      <c r="BQ1829" s="7"/>
      <c r="BZ1829" s="7"/>
    </row>
    <row r="1830" spans="2:78">
      <c r="B1830" s="7"/>
      <c r="O1830" s="7"/>
      <c r="X1830" s="7"/>
      <c r="AG1830" s="7"/>
      <c r="AP1830" s="7"/>
      <c r="AY1830" s="7"/>
      <c r="BH1830" s="7"/>
      <c r="BQ1830" s="7"/>
      <c r="BZ1830" s="7"/>
    </row>
    <row r="1831" spans="2:78">
      <c r="B1831" s="7"/>
      <c r="O1831" s="7"/>
      <c r="X1831" s="7"/>
      <c r="AG1831" s="7"/>
      <c r="AP1831" s="7"/>
      <c r="AY1831" s="7"/>
      <c r="BH1831" s="7"/>
      <c r="BQ1831" s="7"/>
      <c r="BZ1831" s="7"/>
    </row>
    <row r="1832" spans="2:78">
      <c r="B1832" s="7"/>
      <c r="O1832" s="7"/>
      <c r="X1832" s="7"/>
      <c r="AG1832" s="7"/>
      <c r="AP1832" s="7"/>
      <c r="AY1832" s="7"/>
      <c r="BH1832" s="7"/>
      <c r="BQ1832" s="7"/>
      <c r="BZ1832" s="7"/>
    </row>
    <row r="1833" spans="2:78">
      <c r="B1833" s="7"/>
      <c r="O1833" s="7"/>
      <c r="X1833" s="7"/>
      <c r="AG1833" s="7"/>
      <c r="AP1833" s="7"/>
      <c r="AY1833" s="7"/>
      <c r="BH1833" s="7"/>
      <c r="BQ1833" s="7"/>
      <c r="BZ1833" s="7"/>
    </row>
    <row r="1834" spans="2:78">
      <c r="B1834" s="7"/>
      <c r="O1834" s="7"/>
      <c r="X1834" s="7"/>
      <c r="AG1834" s="7"/>
      <c r="AP1834" s="7"/>
      <c r="AY1834" s="7"/>
      <c r="BH1834" s="7"/>
      <c r="BQ1834" s="7"/>
      <c r="BZ1834" s="7"/>
    </row>
    <row r="1835" spans="2:78">
      <c r="B1835" s="7"/>
      <c r="O1835" s="7"/>
      <c r="X1835" s="7"/>
      <c r="AG1835" s="7"/>
      <c r="AP1835" s="7"/>
      <c r="AY1835" s="7"/>
      <c r="BH1835" s="7"/>
      <c r="BQ1835" s="7"/>
      <c r="BZ1835" s="7"/>
    </row>
    <row r="1836" spans="2:78">
      <c r="B1836" s="7"/>
      <c r="O1836" s="7"/>
      <c r="X1836" s="7"/>
      <c r="AG1836" s="7"/>
      <c r="AP1836" s="7"/>
      <c r="AY1836" s="7"/>
      <c r="BH1836" s="7"/>
      <c r="BQ1836" s="7"/>
      <c r="BZ1836" s="7"/>
    </row>
    <row r="1837" spans="2:78">
      <c r="B1837" s="7"/>
      <c r="O1837" s="7"/>
      <c r="X1837" s="7"/>
      <c r="AG1837" s="7"/>
      <c r="AP1837" s="7"/>
      <c r="AY1837" s="7"/>
      <c r="BH1837" s="7"/>
      <c r="BQ1837" s="7"/>
      <c r="BZ1837" s="7"/>
    </row>
    <row r="1838" spans="2:78">
      <c r="B1838" s="7"/>
      <c r="O1838" s="7"/>
      <c r="X1838" s="7"/>
      <c r="AG1838" s="7"/>
      <c r="AP1838" s="7"/>
      <c r="AY1838" s="7"/>
      <c r="BH1838" s="7"/>
      <c r="BQ1838" s="7"/>
      <c r="BZ1838" s="7"/>
    </row>
    <row r="1839" spans="2:78">
      <c r="B1839" s="7"/>
      <c r="O1839" s="7"/>
      <c r="X1839" s="7"/>
      <c r="AG1839" s="7"/>
      <c r="AP1839" s="7"/>
      <c r="AY1839" s="7"/>
      <c r="BH1839" s="7"/>
      <c r="BQ1839" s="7"/>
      <c r="BZ1839" s="7"/>
    </row>
    <row r="1840" spans="2:78">
      <c r="B1840" s="7"/>
      <c r="O1840" s="7"/>
      <c r="X1840" s="7"/>
      <c r="AG1840" s="7"/>
      <c r="AP1840" s="7"/>
      <c r="AY1840" s="7"/>
      <c r="BH1840" s="7"/>
      <c r="BQ1840" s="7"/>
      <c r="BZ1840" s="7"/>
    </row>
    <row r="1841" spans="2:78">
      <c r="B1841" s="7"/>
      <c r="O1841" s="7"/>
      <c r="X1841" s="7"/>
      <c r="AG1841" s="7"/>
      <c r="AP1841" s="7"/>
      <c r="AY1841" s="7"/>
      <c r="BH1841" s="7"/>
      <c r="BQ1841" s="7"/>
      <c r="BZ1841" s="7"/>
    </row>
    <row r="1842" spans="2:78">
      <c r="B1842" s="7"/>
      <c r="O1842" s="7"/>
      <c r="X1842" s="7"/>
      <c r="AG1842" s="7"/>
      <c r="AP1842" s="7"/>
      <c r="AY1842" s="7"/>
      <c r="BH1842" s="7"/>
      <c r="BQ1842" s="7"/>
      <c r="BZ1842" s="7"/>
    </row>
    <row r="1843" spans="2:78">
      <c r="B1843" s="7"/>
      <c r="O1843" s="7"/>
      <c r="X1843" s="7"/>
      <c r="AG1843" s="7"/>
      <c r="AP1843" s="7"/>
      <c r="AY1843" s="7"/>
      <c r="BH1843" s="7"/>
      <c r="BQ1843" s="7"/>
      <c r="BZ1843" s="7"/>
    </row>
    <row r="1844" spans="2:78">
      <c r="B1844" s="7"/>
      <c r="O1844" s="7"/>
      <c r="X1844" s="7"/>
      <c r="AG1844" s="7"/>
      <c r="AP1844" s="7"/>
      <c r="AY1844" s="7"/>
      <c r="BH1844" s="7"/>
      <c r="BQ1844" s="7"/>
      <c r="BZ1844" s="7"/>
    </row>
    <row r="1845" spans="2:78">
      <c r="B1845" s="7"/>
      <c r="O1845" s="7"/>
      <c r="X1845" s="7"/>
      <c r="AG1845" s="7"/>
      <c r="AP1845" s="7"/>
      <c r="AY1845" s="7"/>
      <c r="BH1845" s="7"/>
      <c r="BQ1845" s="7"/>
      <c r="BZ1845" s="7"/>
    </row>
    <row r="1846" spans="2:78">
      <c r="B1846" s="7"/>
      <c r="O1846" s="7"/>
      <c r="X1846" s="7"/>
      <c r="AG1846" s="7"/>
      <c r="AP1846" s="7"/>
      <c r="AY1846" s="7"/>
      <c r="BH1846" s="7"/>
      <c r="BQ1846" s="7"/>
      <c r="BZ1846" s="7"/>
    </row>
    <row r="1847" spans="2:78">
      <c r="B1847" s="7"/>
      <c r="O1847" s="7"/>
      <c r="X1847" s="7"/>
      <c r="AG1847" s="7"/>
      <c r="AP1847" s="7"/>
      <c r="AY1847" s="7"/>
      <c r="BH1847" s="7"/>
      <c r="BQ1847" s="7"/>
      <c r="BZ1847" s="7"/>
    </row>
    <row r="1848" spans="2:78">
      <c r="B1848" s="7"/>
      <c r="O1848" s="7"/>
      <c r="X1848" s="7"/>
      <c r="AG1848" s="7"/>
      <c r="AP1848" s="7"/>
      <c r="AY1848" s="7"/>
      <c r="BH1848" s="7"/>
      <c r="BQ1848" s="7"/>
      <c r="BZ1848" s="7"/>
    </row>
    <row r="1849" spans="2:78">
      <c r="B1849" s="7"/>
      <c r="O1849" s="7"/>
      <c r="X1849" s="7"/>
      <c r="AG1849" s="7"/>
      <c r="AP1849" s="7"/>
      <c r="AY1849" s="7"/>
      <c r="BH1849" s="7"/>
      <c r="BQ1849" s="7"/>
      <c r="BZ1849" s="7"/>
    </row>
    <row r="1850" spans="2:78">
      <c r="B1850" s="7"/>
      <c r="O1850" s="7"/>
      <c r="X1850" s="7"/>
      <c r="AG1850" s="7"/>
      <c r="AP1850" s="7"/>
      <c r="AY1850" s="7"/>
      <c r="BH1850" s="7"/>
      <c r="BQ1850" s="7"/>
      <c r="BZ1850" s="7"/>
    </row>
    <row r="1851" spans="2:78">
      <c r="B1851" s="7"/>
      <c r="O1851" s="7"/>
      <c r="X1851" s="7"/>
      <c r="AG1851" s="7"/>
      <c r="AP1851" s="7"/>
      <c r="AY1851" s="7"/>
      <c r="BH1851" s="7"/>
      <c r="BQ1851" s="7"/>
      <c r="BZ1851" s="7"/>
    </row>
    <row r="1852" spans="2:78">
      <c r="B1852" s="7"/>
      <c r="O1852" s="7"/>
      <c r="X1852" s="7"/>
      <c r="AG1852" s="7"/>
      <c r="AP1852" s="7"/>
      <c r="AY1852" s="7"/>
      <c r="BH1852" s="7"/>
      <c r="BQ1852" s="7"/>
      <c r="BZ1852" s="7"/>
    </row>
    <row r="1853" spans="2:78">
      <c r="B1853" s="7"/>
      <c r="O1853" s="7"/>
      <c r="X1853" s="7"/>
      <c r="AG1853" s="7"/>
      <c r="AP1853" s="7"/>
      <c r="AY1853" s="7"/>
      <c r="BH1853" s="7"/>
      <c r="BQ1853" s="7"/>
      <c r="BZ1853" s="7"/>
    </row>
    <row r="1854" spans="2:78">
      <c r="B1854" s="7"/>
      <c r="O1854" s="7"/>
      <c r="X1854" s="7"/>
      <c r="AG1854" s="7"/>
      <c r="AP1854" s="7"/>
      <c r="AY1854" s="7"/>
      <c r="BH1854" s="7"/>
      <c r="BQ1854" s="7"/>
      <c r="BZ1854" s="7"/>
    </row>
    <row r="1855" spans="2:78">
      <c r="B1855" s="7"/>
      <c r="O1855" s="7"/>
      <c r="X1855" s="7"/>
      <c r="AG1855" s="7"/>
      <c r="AP1855" s="7"/>
      <c r="AY1855" s="7"/>
      <c r="BH1855" s="7"/>
      <c r="BQ1855" s="7"/>
      <c r="BZ1855" s="7"/>
    </row>
    <row r="1856" spans="2:78">
      <c r="B1856" s="7"/>
      <c r="O1856" s="7"/>
      <c r="X1856" s="7"/>
      <c r="AG1856" s="7"/>
      <c r="AP1856" s="7"/>
      <c r="AY1856" s="7"/>
      <c r="BH1856" s="7"/>
      <c r="BQ1856" s="7"/>
      <c r="BZ1856" s="7"/>
    </row>
    <row r="1857" spans="2:78">
      <c r="B1857" s="7"/>
      <c r="O1857" s="7"/>
      <c r="X1857" s="7"/>
      <c r="AG1857" s="7"/>
      <c r="AP1857" s="7"/>
      <c r="AY1857" s="7"/>
      <c r="BH1857" s="7"/>
      <c r="BQ1857" s="7"/>
      <c r="BZ1857" s="7"/>
    </row>
    <row r="1858" spans="2:78">
      <c r="B1858" s="7"/>
      <c r="O1858" s="7"/>
      <c r="X1858" s="7"/>
      <c r="AG1858" s="7"/>
      <c r="AP1858" s="7"/>
      <c r="AY1858" s="7"/>
      <c r="BH1858" s="7"/>
      <c r="BQ1858" s="7"/>
      <c r="BZ1858" s="7"/>
    </row>
    <row r="1859" spans="2:78">
      <c r="B1859" s="7"/>
      <c r="O1859" s="7"/>
      <c r="X1859" s="7"/>
      <c r="AG1859" s="7"/>
      <c r="AP1859" s="7"/>
      <c r="AY1859" s="7"/>
      <c r="BH1859" s="7"/>
      <c r="BQ1859" s="7"/>
      <c r="BZ1859" s="7"/>
    </row>
    <row r="1860" spans="2:78">
      <c r="B1860" s="7"/>
      <c r="O1860" s="7"/>
      <c r="X1860" s="7"/>
      <c r="AG1860" s="7"/>
      <c r="AP1860" s="7"/>
      <c r="AY1860" s="7"/>
      <c r="BH1860" s="7"/>
      <c r="BQ1860" s="7"/>
      <c r="BZ1860" s="7"/>
    </row>
    <row r="1861" spans="2:78">
      <c r="B1861" s="7"/>
      <c r="O1861" s="7"/>
      <c r="X1861" s="7"/>
      <c r="AG1861" s="7"/>
      <c r="AP1861" s="7"/>
      <c r="AY1861" s="7"/>
      <c r="BH1861" s="7"/>
      <c r="BQ1861" s="7"/>
      <c r="BZ1861" s="7"/>
    </row>
    <row r="1862" spans="2:78">
      <c r="B1862" s="7"/>
      <c r="O1862" s="7"/>
      <c r="X1862" s="7"/>
      <c r="AG1862" s="7"/>
      <c r="AP1862" s="7"/>
      <c r="AY1862" s="7"/>
      <c r="BH1862" s="7"/>
      <c r="BQ1862" s="7"/>
      <c r="BZ1862" s="7"/>
    </row>
    <row r="1863" spans="2:78">
      <c r="B1863" s="7"/>
      <c r="O1863" s="7"/>
      <c r="X1863" s="7"/>
      <c r="AG1863" s="7"/>
      <c r="AP1863" s="7"/>
      <c r="AY1863" s="7"/>
      <c r="BH1863" s="7"/>
      <c r="BQ1863" s="7"/>
      <c r="BZ1863" s="7"/>
    </row>
    <row r="1864" spans="2:78">
      <c r="B1864" s="7"/>
      <c r="O1864" s="7"/>
      <c r="X1864" s="7"/>
      <c r="AG1864" s="7"/>
      <c r="AP1864" s="7"/>
      <c r="AY1864" s="7"/>
      <c r="BH1864" s="7"/>
      <c r="BQ1864" s="7"/>
      <c r="BZ1864" s="7"/>
    </row>
    <row r="1865" spans="2:78">
      <c r="B1865" s="7"/>
      <c r="O1865" s="7"/>
      <c r="X1865" s="7"/>
      <c r="AG1865" s="7"/>
      <c r="AP1865" s="7"/>
      <c r="AY1865" s="7"/>
      <c r="BH1865" s="7"/>
      <c r="BQ1865" s="7"/>
      <c r="BZ1865" s="7"/>
    </row>
    <row r="1866" spans="2:78">
      <c r="B1866" s="7"/>
      <c r="O1866" s="7"/>
      <c r="X1866" s="7"/>
      <c r="AG1866" s="7"/>
      <c r="AP1866" s="7"/>
      <c r="AY1866" s="7"/>
      <c r="BH1866" s="7"/>
      <c r="BQ1866" s="7"/>
      <c r="BZ1866" s="7"/>
    </row>
    <row r="1867" spans="2:78">
      <c r="B1867" s="7"/>
      <c r="O1867" s="7"/>
      <c r="X1867" s="7"/>
      <c r="AG1867" s="7"/>
      <c r="AP1867" s="7"/>
      <c r="AY1867" s="7"/>
      <c r="BH1867" s="7"/>
      <c r="BQ1867" s="7"/>
      <c r="BZ1867" s="7"/>
    </row>
    <row r="1868" spans="2:78">
      <c r="B1868" s="7"/>
      <c r="O1868" s="7"/>
      <c r="X1868" s="7"/>
      <c r="AG1868" s="7"/>
      <c r="AP1868" s="7"/>
      <c r="AY1868" s="7"/>
      <c r="BH1868" s="7"/>
      <c r="BQ1868" s="7"/>
      <c r="BZ1868" s="7"/>
    </row>
    <row r="1869" spans="2:78">
      <c r="B1869" s="7"/>
      <c r="O1869" s="7"/>
      <c r="X1869" s="7"/>
      <c r="AG1869" s="7"/>
      <c r="AP1869" s="7"/>
      <c r="AY1869" s="7"/>
      <c r="BH1869" s="7"/>
      <c r="BQ1869" s="7"/>
      <c r="BZ1869" s="7"/>
    </row>
    <row r="1870" spans="2:78">
      <c r="B1870" s="7"/>
      <c r="O1870" s="7"/>
      <c r="X1870" s="7"/>
      <c r="AG1870" s="7"/>
      <c r="AP1870" s="7"/>
      <c r="AY1870" s="7"/>
      <c r="BH1870" s="7"/>
      <c r="BQ1870" s="7"/>
      <c r="BZ1870" s="7"/>
    </row>
    <row r="1871" spans="2:78">
      <c r="B1871" s="7"/>
      <c r="O1871" s="7"/>
      <c r="X1871" s="7"/>
      <c r="AG1871" s="7"/>
      <c r="AP1871" s="7"/>
      <c r="AY1871" s="7"/>
      <c r="BH1871" s="7"/>
      <c r="BQ1871" s="7"/>
      <c r="BZ1871" s="7"/>
    </row>
    <row r="1872" spans="2:78">
      <c r="B1872" s="7"/>
      <c r="O1872" s="7"/>
      <c r="X1872" s="7"/>
      <c r="AG1872" s="7"/>
      <c r="AP1872" s="7"/>
      <c r="AY1872" s="7"/>
      <c r="BH1872" s="7"/>
      <c r="BQ1872" s="7"/>
      <c r="BZ1872" s="7"/>
    </row>
    <row r="1873" spans="2:78">
      <c r="B1873" s="7"/>
      <c r="O1873" s="7"/>
      <c r="X1873" s="7"/>
      <c r="AG1873" s="7"/>
      <c r="AP1873" s="7"/>
      <c r="AY1873" s="7"/>
      <c r="BH1873" s="7"/>
      <c r="BQ1873" s="7"/>
      <c r="BZ1873" s="7"/>
    </row>
    <row r="1874" spans="2:78">
      <c r="B1874" s="7"/>
      <c r="O1874" s="7"/>
      <c r="X1874" s="7"/>
      <c r="AG1874" s="7"/>
      <c r="AP1874" s="7"/>
      <c r="AY1874" s="7"/>
      <c r="BH1874" s="7"/>
      <c r="BQ1874" s="7"/>
      <c r="BZ1874" s="7"/>
    </row>
    <row r="1875" spans="2:78">
      <c r="B1875" s="7"/>
      <c r="O1875" s="7"/>
      <c r="X1875" s="7"/>
      <c r="AG1875" s="7"/>
      <c r="AP1875" s="7"/>
      <c r="AY1875" s="7"/>
      <c r="BH1875" s="7"/>
      <c r="BQ1875" s="7"/>
      <c r="BZ1875" s="7"/>
    </row>
    <row r="1876" spans="2:78">
      <c r="B1876" s="7"/>
      <c r="O1876" s="7"/>
      <c r="X1876" s="7"/>
      <c r="AG1876" s="7"/>
      <c r="AP1876" s="7"/>
      <c r="AY1876" s="7"/>
      <c r="BH1876" s="7"/>
      <c r="BQ1876" s="7"/>
      <c r="BZ1876" s="7"/>
    </row>
    <row r="1877" spans="2:78">
      <c r="B1877" s="7"/>
      <c r="O1877" s="7"/>
      <c r="X1877" s="7"/>
      <c r="AG1877" s="7"/>
      <c r="AP1877" s="7"/>
      <c r="AY1877" s="7"/>
      <c r="BH1877" s="7"/>
      <c r="BQ1877" s="7"/>
      <c r="BZ1877" s="7"/>
    </row>
    <row r="1878" spans="2:78">
      <c r="B1878" s="7"/>
      <c r="O1878" s="7"/>
      <c r="X1878" s="7"/>
      <c r="AG1878" s="7"/>
      <c r="AP1878" s="7"/>
      <c r="AY1878" s="7"/>
      <c r="BH1878" s="7"/>
      <c r="BQ1878" s="7"/>
      <c r="BZ1878" s="7"/>
    </row>
    <row r="1879" spans="2:78">
      <c r="B1879" s="7"/>
      <c r="O1879" s="7"/>
      <c r="X1879" s="7"/>
      <c r="AG1879" s="7"/>
      <c r="AP1879" s="7"/>
      <c r="AY1879" s="7"/>
      <c r="BH1879" s="7"/>
      <c r="BQ1879" s="7"/>
      <c r="BZ1879" s="7"/>
    </row>
    <row r="1880" spans="2:78">
      <c r="B1880" s="7"/>
      <c r="O1880" s="7"/>
      <c r="X1880" s="7"/>
      <c r="AG1880" s="7"/>
      <c r="AP1880" s="7"/>
      <c r="AY1880" s="7"/>
      <c r="BH1880" s="7"/>
      <c r="BQ1880" s="7"/>
      <c r="BZ1880" s="7"/>
    </row>
    <row r="1881" spans="2:78">
      <c r="B1881" s="7"/>
      <c r="O1881" s="7"/>
      <c r="X1881" s="7"/>
      <c r="AG1881" s="7"/>
      <c r="AP1881" s="7"/>
      <c r="AY1881" s="7"/>
      <c r="BH1881" s="7"/>
      <c r="BQ1881" s="7"/>
      <c r="BZ1881" s="7"/>
    </row>
    <row r="1882" spans="2:78">
      <c r="B1882" s="7"/>
      <c r="O1882" s="7"/>
      <c r="X1882" s="7"/>
      <c r="AG1882" s="7"/>
      <c r="AP1882" s="7"/>
      <c r="AY1882" s="7"/>
      <c r="BH1882" s="7"/>
      <c r="BQ1882" s="7"/>
      <c r="BZ1882" s="7"/>
    </row>
    <row r="1883" spans="2:78">
      <c r="B1883" s="7"/>
      <c r="O1883" s="7"/>
      <c r="X1883" s="7"/>
      <c r="AG1883" s="7"/>
      <c r="AP1883" s="7"/>
      <c r="AY1883" s="7"/>
      <c r="BH1883" s="7"/>
      <c r="BQ1883" s="7"/>
      <c r="BZ1883" s="7"/>
    </row>
    <row r="1884" spans="2:78">
      <c r="B1884" s="7"/>
      <c r="O1884" s="7"/>
      <c r="X1884" s="7"/>
      <c r="AG1884" s="7"/>
      <c r="AP1884" s="7"/>
      <c r="AY1884" s="7"/>
      <c r="BH1884" s="7"/>
      <c r="BQ1884" s="7"/>
      <c r="BZ1884" s="7"/>
    </row>
    <row r="1885" spans="2:78">
      <c r="B1885" s="7"/>
      <c r="O1885" s="7"/>
      <c r="X1885" s="7"/>
      <c r="AG1885" s="7"/>
      <c r="AP1885" s="7"/>
      <c r="AY1885" s="7"/>
      <c r="BH1885" s="7"/>
      <c r="BQ1885" s="7"/>
      <c r="BZ1885" s="7"/>
    </row>
    <row r="1886" spans="2:78">
      <c r="B1886" s="7"/>
      <c r="O1886" s="7"/>
      <c r="X1886" s="7"/>
      <c r="AG1886" s="7"/>
      <c r="AP1886" s="7"/>
      <c r="AY1886" s="7"/>
      <c r="BH1886" s="7"/>
      <c r="BQ1886" s="7"/>
      <c r="BZ1886" s="7"/>
    </row>
    <row r="1887" spans="2:78">
      <c r="B1887" s="7"/>
      <c r="O1887" s="7"/>
      <c r="X1887" s="7"/>
      <c r="AG1887" s="7"/>
      <c r="AP1887" s="7"/>
      <c r="AY1887" s="7"/>
      <c r="BH1887" s="7"/>
      <c r="BQ1887" s="7"/>
      <c r="BZ1887" s="7"/>
    </row>
    <row r="1888" spans="2:78">
      <c r="B1888" s="7"/>
      <c r="O1888" s="7"/>
      <c r="X1888" s="7"/>
      <c r="AG1888" s="7"/>
      <c r="AP1888" s="7"/>
      <c r="AY1888" s="7"/>
      <c r="BH1888" s="7"/>
      <c r="BQ1888" s="7"/>
      <c r="BZ1888" s="7"/>
    </row>
    <row r="1889" spans="2:78">
      <c r="B1889" s="7"/>
      <c r="O1889" s="7"/>
      <c r="X1889" s="7"/>
      <c r="AG1889" s="7"/>
      <c r="AP1889" s="7"/>
      <c r="AY1889" s="7"/>
      <c r="BH1889" s="7"/>
      <c r="BQ1889" s="7"/>
      <c r="BZ1889" s="7"/>
    </row>
    <row r="1890" spans="2:78">
      <c r="B1890" s="7"/>
      <c r="O1890" s="7"/>
      <c r="X1890" s="7"/>
      <c r="AG1890" s="7"/>
      <c r="AP1890" s="7"/>
      <c r="AY1890" s="7"/>
      <c r="BH1890" s="7"/>
      <c r="BQ1890" s="7"/>
      <c r="BZ1890" s="7"/>
    </row>
    <row r="1891" spans="2:78">
      <c r="B1891" s="7"/>
      <c r="O1891" s="7"/>
      <c r="X1891" s="7"/>
      <c r="AG1891" s="7"/>
      <c r="AP1891" s="7"/>
      <c r="AY1891" s="7"/>
      <c r="BH1891" s="7"/>
      <c r="BQ1891" s="7"/>
      <c r="BZ1891" s="7"/>
    </row>
    <row r="1892" spans="2:78">
      <c r="B1892" s="7"/>
      <c r="O1892" s="7"/>
      <c r="X1892" s="7"/>
      <c r="AG1892" s="7"/>
      <c r="AP1892" s="7"/>
      <c r="AY1892" s="7"/>
      <c r="BH1892" s="7"/>
      <c r="BQ1892" s="7"/>
      <c r="BZ1892" s="7"/>
    </row>
    <row r="1893" spans="2:78">
      <c r="B1893" s="7"/>
      <c r="O1893" s="7"/>
      <c r="X1893" s="7"/>
      <c r="AG1893" s="7"/>
      <c r="AP1893" s="7"/>
      <c r="AY1893" s="7"/>
      <c r="BH1893" s="7"/>
      <c r="BQ1893" s="7"/>
      <c r="BZ1893" s="7"/>
    </row>
    <row r="1894" spans="2:78">
      <c r="B1894" s="7"/>
      <c r="O1894" s="7"/>
      <c r="X1894" s="7"/>
      <c r="AG1894" s="7"/>
      <c r="AP1894" s="7"/>
      <c r="AY1894" s="7"/>
      <c r="BH1894" s="7"/>
      <c r="BQ1894" s="7"/>
      <c r="BZ1894" s="7"/>
    </row>
    <row r="1895" spans="2:78">
      <c r="B1895" s="7"/>
      <c r="O1895" s="7"/>
      <c r="X1895" s="7"/>
      <c r="AG1895" s="7"/>
      <c r="AP1895" s="7"/>
      <c r="AY1895" s="7"/>
      <c r="BH1895" s="7"/>
      <c r="BQ1895" s="7"/>
      <c r="BZ1895" s="7"/>
    </row>
    <row r="1896" spans="2:78">
      <c r="B1896" s="7"/>
      <c r="O1896" s="7"/>
      <c r="X1896" s="7"/>
      <c r="AG1896" s="7"/>
      <c r="AP1896" s="7"/>
      <c r="AY1896" s="7"/>
      <c r="BH1896" s="7"/>
      <c r="BQ1896" s="7"/>
      <c r="BZ1896" s="7"/>
    </row>
    <row r="1897" spans="2:78">
      <c r="B1897" s="7"/>
      <c r="O1897" s="7"/>
      <c r="X1897" s="7"/>
      <c r="AG1897" s="7"/>
      <c r="AP1897" s="7"/>
      <c r="AY1897" s="7"/>
      <c r="BH1897" s="7"/>
      <c r="BQ1897" s="7"/>
      <c r="BZ1897" s="7"/>
    </row>
    <row r="1898" spans="2:78">
      <c r="B1898" s="7"/>
      <c r="O1898" s="7"/>
      <c r="X1898" s="7"/>
      <c r="AG1898" s="7"/>
      <c r="AP1898" s="7"/>
      <c r="AY1898" s="7"/>
      <c r="BH1898" s="7"/>
      <c r="BQ1898" s="7"/>
      <c r="BZ1898" s="7"/>
    </row>
    <row r="1899" spans="2:78">
      <c r="B1899" s="7"/>
      <c r="O1899" s="7"/>
      <c r="X1899" s="7"/>
      <c r="AG1899" s="7"/>
      <c r="AP1899" s="7"/>
      <c r="AY1899" s="7"/>
      <c r="BH1899" s="7"/>
      <c r="BQ1899" s="7"/>
      <c r="BZ1899" s="7"/>
    </row>
    <row r="1900" spans="2:78">
      <c r="B1900" s="7"/>
      <c r="O1900" s="7"/>
      <c r="X1900" s="7"/>
      <c r="AG1900" s="7"/>
      <c r="AP1900" s="7"/>
      <c r="AY1900" s="7"/>
      <c r="BH1900" s="7"/>
      <c r="BQ1900" s="7"/>
      <c r="BZ1900" s="7"/>
    </row>
    <row r="1901" spans="2:78">
      <c r="B1901" s="7"/>
      <c r="O1901" s="7"/>
      <c r="X1901" s="7"/>
      <c r="AG1901" s="7"/>
      <c r="AP1901" s="7"/>
      <c r="AY1901" s="7"/>
      <c r="BH1901" s="7"/>
      <c r="BQ1901" s="7"/>
      <c r="BZ1901" s="7"/>
    </row>
    <row r="1902" spans="2:78">
      <c r="B1902" s="7"/>
      <c r="O1902" s="7"/>
      <c r="X1902" s="7"/>
      <c r="AG1902" s="7"/>
      <c r="AP1902" s="7"/>
      <c r="AY1902" s="7"/>
      <c r="BH1902" s="7"/>
      <c r="BQ1902" s="7"/>
      <c r="BZ1902" s="7"/>
    </row>
    <row r="1903" spans="2:78">
      <c r="B1903" s="7"/>
      <c r="O1903" s="7"/>
      <c r="X1903" s="7"/>
      <c r="AG1903" s="7"/>
      <c r="AP1903" s="7"/>
      <c r="AY1903" s="7"/>
      <c r="BH1903" s="7"/>
      <c r="BQ1903" s="7"/>
      <c r="BZ1903" s="7"/>
    </row>
    <row r="1904" spans="2:78">
      <c r="B1904" s="7"/>
      <c r="O1904" s="7"/>
      <c r="X1904" s="7"/>
      <c r="AG1904" s="7"/>
      <c r="AP1904" s="7"/>
      <c r="AY1904" s="7"/>
      <c r="BH1904" s="7"/>
      <c r="BQ1904" s="7"/>
      <c r="BZ1904" s="7"/>
    </row>
    <row r="1905" spans="2:78">
      <c r="B1905" s="7"/>
      <c r="O1905" s="7"/>
      <c r="X1905" s="7"/>
      <c r="AG1905" s="7"/>
      <c r="AP1905" s="7"/>
      <c r="AY1905" s="7"/>
      <c r="BH1905" s="7"/>
      <c r="BQ1905" s="7"/>
      <c r="BZ1905" s="7"/>
    </row>
    <row r="1906" spans="2:78">
      <c r="B1906" s="7"/>
      <c r="O1906" s="7"/>
      <c r="X1906" s="7"/>
      <c r="AG1906" s="7"/>
      <c r="AP1906" s="7"/>
      <c r="AY1906" s="7"/>
      <c r="BH1906" s="7"/>
      <c r="BQ1906" s="7"/>
      <c r="BZ1906" s="7"/>
    </row>
    <row r="1907" spans="2:78">
      <c r="B1907" s="7"/>
      <c r="O1907" s="7"/>
      <c r="X1907" s="7"/>
      <c r="AG1907" s="7"/>
      <c r="AP1907" s="7"/>
      <c r="AY1907" s="7"/>
      <c r="BH1907" s="7"/>
      <c r="BQ1907" s="7"/>
      <c r="BZ1907" s="7"/>
    </row>
    <row r="1908" spans="2:78">
      <c r="B1908" s="7"/>
      <c r="O1908" s="7"/>
      <c r="X1908" s="7"/>
      <c r="AG1908" s="7"/>
      <c r="AP1908" s="7"/>
      <c r="AY1908" s="7"/>
      <c r="BH1908" s="7"/>
      <c r="BQ1908" s="7"/>
      <c r="BZ1908" s="7"/>
    </row>
    <row r="1909" spans="2:78">
      <c r="B1909" s="7"/>
      <c r="O1909" s="7"/>
      <c r="X1909" s="7"/>
      <c r="AG1909" s="7"/>
      <c r="AP1909" s="7"/>
      <c r="AY1909" s="7"/>
      <c r="BH1909" s="7"/>
      <c r="BQ1909" s="7"/>
      <c r="BZ1909" s="7"/>
    </row>
    <row r="1910" spans="2:78">
      <c r="B1910" s="7"/>
      <c r="O1910" s="7"/>
      <c r="X1910" s="7"/>
      <c r="AG1910" s="7"/>
      <c r="AP1910" s="7"/>
      <c r="AY1910" s="7"/>
      <c r="BH1910" s="7"/>
      <c r="BQ1910" s="7"/>
      <c r="BZ1910" s="7"/>
    </row>
    <row r="1911" spans="2:78">
      <c r="B1911" s="7"/>
      <c r="O1911" s="7"/>
      <c r="X1911" s="7"/>
      <c r="AG1911" s="7"/>
      <c r="AP1911" s="7"/>
      <c r="AY1911" s="7"/>
      <c r="BH1911" s="7"/>
      <c r="BQ1911" s="7"/>
      <c r="BZ1911" s="7"/>
    </row>
    <row r="1912" spans="2:78">
      <c r="B1912" s="7"/>
      <c r="O1912" s="7"/>
      <c r="X1912" s="7"/>
      <c r="AG1912" s="7"/>
      <c r="AP1912" s="7"/>
      <c r="AY1912" s="7"/>
      <c r="BH1912" s="7"/>
      <c r="BQ1912" s="7"/>
      <c r="BZ1912" s="7"/>
    </row>
    <row r="1913" spans="2:78">
      <c r="B1913" s="7"/>
      <c r="O1913" s="7"/>
      <c r="X1913" s="7"/>
      <c r="AG1913" s="7"/>
      <c r="AP1913" s="7"/>
      <c r="AY1913" s="7"/>
      <c r="BH1913" s="7"/>
      <c r="BQ1913" s="7"/>
      <c r="BZ1913" s="7"/>
    </row>
    <row r="1914" spans="2:78">
      <c r="B1914" s="7"/>
      <c r="O1914" s="7"/>
      <c r="X1914" s="7"/>
      <c r="AG1914" s="7"/>
      <c r="AP1914" s="7"/>
      <c r="AY1914" s="7"/>
      <c r="BH1914" s="7"/>
      <c r="BQ1914" s="7"/>
      <c r="BZ1914" s="7"/>
    </row>
    <row r="1915" spans="2:78">
      <c r="B1915" s="7"/>
      <c r="O1915" s="7"/>
      <c r="X1915" s="7"/>
      <c r="AG1915" s="7"/>
      <c r="AP1915" s="7"/>
      <c r="AY1915" s="7"/>
      <c r="BH1915" s="7"/>
      <c r="BQ1915" s="7"/>
      <c r="BZ1915" s="7"/>
    </row>
    <row r="1916" spans="2:78">
      <c r="B1916" s="7"/>
      <c r="O1916" s="7"/>
      <c r="X1916" s="7"/>
      <c r="AG1916" s="7"/>
      <c r="AP1916" s="7"/>
      <c r="AY1916" s="7"/>
      <c r="BH1916" s="7"/>
      <c r="BQ1916" s="7"/>
      <c r="BZ1916" s="7"/>
    </row>
    <row r="1917" spans="2:78">
      <c r="B1917" s="7"/>
      <c r="O1917" s="7"/>
      <c r="X1917" s="7"/>
      <c r="AG1917" s="7"/>
      <c r="AP1917" s="7"/>
      <c r="AY1917" s="7"/>
      <c r="BH1917" s="7"/>
      <c r="BQ1917" s="7"/>
      <c r="BZ1917" s="7"/>
    </row>
    <row r="1918" spans="2:78">
      <c r="B1918" s="7"/>
      <c r="O1918" s="7"/>
      <c r="X1918" s="7"/>
      <c r="AG1918" s="7"/>
      <c r="AP1918" s="7"/>
      <c r="AY1918" s="7"/>
      <c r="BH1918" s="7"/>
      <c r="BQ1918" s="7"/>
      <c r="BZ1918" s="7"/>
    </row>
    <row r="1919" spans="2:78">
      <c r="B1919" s="7"/>
      <c r="O1919" s="7"/>
      <c r="X1919" s="7"/>
      <c r="AG1919" s="7"/>
      <c r="AP1919" s="7"/>
      <c r="AY1919" s="7"/>
      <c r="BH1919" s="7"/>
      <c r="BQ1919" s="7"/>
      <c r="BZ1919" s="7"/>
    </row>
    <row r="1920" spans="2:78">
      <c r="B1920" s="7"/>
      <c r="O1920" s="7"/>
      <c r="X1920" s="7"/>
      <c r="AG1920" s="7"/>
      <c r="AP1920" s="7"/>
      <c r="AY1920" s="7"/>
      <c r="BH1920" s="7"/>
      <c r="BQ1920" s="7"/>
      <c r="BZ1920" s="7"/>
    </row>
    <row r="1921" spans="2:78">
      <c r="B1921" s="7"/>
      <c r="O1921" s="7"/>
      <c r="X1921" s="7"/>
      <c r="AG1921" s="7"/>
      <c r="AP1921" s="7"/>
      <c r="AY1921" s="7"/>
      <c r="BH1921" s="7"/>
      <c r="BQ1921" s="7"/>
      <c r="BZ1921" s="7"/>
    </row>
    <row r="1922" spans="2:78">
      <c r="B1922" s="7"/>
      <c r="O1922" s="7"/>
      <c r="X1922" s="7"/>
      <c r="AG1922" s="7"/>
      <c r="AP1922" s="7"/>
      <c r="AY1922" s="7"/>
      <c r="BH1922" s="7"/>
      <c r="BQ1922" s="7"/>
      <c r="BZ1922" s="7"/>
    </row>
    <row r="1923" spans="2:78">
      <c r="B1923" s="7"/>
      <c r="O1923" s="7"/>
      <c r="X1923" s="7"/>
      <c r="AG1923" s="7"/>
      <c r="AP1923" s="7"/>
      <c r="AY1923" s="7"/>
      <c r="BH1923" s="7"/>
      <c r="BQ1923" s="7"/>
      <c r="BZ1923" s="7"/>
    </row>
    <row r="1924" spans="2:78">
      <c r="B1924" s="7"/>
      <c r="O1924" s="7"/>
      <c r="X1924" s="7"/>
      <c r="AG1924" s="7"/>
      <c r="AP1924" s="7"/>
      <c r="AY1924" s="7"/>
      <c r="BH1924" s="7"/>
      <c r="BQ1924" s="7"/>
      <c r="BZ1924" s="7"/>
    </row>
    <row r="1925" spans="2:78">
      <c r="B1925" s="7"/>
      <c r="O1925" s="7"/>
      <c r="X1925" s="7"/>
      <c r="AG1925" s="7"/>
      <c r="AP1925" s="7"/>
      <c r="AY1925" s="7"/>
      <c r="BH1925" s="7"/>
      <c r="BQ1925" s="7"/>
      <c r="BZ1925" s="7"/>
    </row>
    <row r="1926" spans="2:78">
      <c r="B1926" s="7"/>
      <c r="O1926" s="7"/>
      <c r="X1926" s="7"/>
      <c r="AG1926" s="7"/>
      <c r="AP1926" s="7"/>
      <c r="AY1926" s="7"/>
      <c r="BH1926" s="7"/>
      <c r="BQ1926" s="7"/>
      <c r="BZ1926" s="7"/>
    </row>
    <row r="1927" spans="2:78">
      <c r="B1927" s="7"/>
      <c r="O1927" s="7"/>
      <c r="X1927" s="7"/>
      <c r="AG1927" s="7"/>
      <c r="AP1927" s="7"/>
      <c r="AY1927" s="7"/>
      <c r="BH1927" s="7"/>
      <c r="BQ1927" s="7"/>
      <c r="BZ1927" s="7"/>
    </row>
    <row r="1928" spans="2:78">
      <c r="B1928" s="7"/>
      <c r="O1928" s="7"/>
      <c r="X1928" s="7"/>
      <c r="AG1928" s="7"/>
      <c r="AP1928" s="7"/>
      <c r="AY1928" s="7"/>
      <c r="BH1928" s="7"/>
      <c r="BQ1928" s="7"/>
      <c r="BZ1928" s="7"/>
    </row>
    <row r="1929" spans="2:78">
      <c r="B1929" s="7"/>
      <c r="O1929" s="7"/>
      <c r="X1929" s="7"/>
      <c r="AG1929" s="7"/>
      <c r="AP1929" s="7"/>
      <c r="AY1929" s="7"/>
      <c r="BH1929" s="7"/>
      <c r="BQ1929" s="7"/>
      <c r="BZ1929" s="7"/>
    </row>
    <row r="1930" spans="2:78">
      <c r="B1930" s="7"/>
      <c r="O1930" s="7"/>
      <c r="X1930" s="7"/>
      <c r="AG1930" s="7"/>
      <c r="AP1930" s="7"/>
      <c r="AY1930" s="7"/>
      <c r="BH1930" s="7"/>
      <c r="BQ1930" s="7"/>
      <c r="BZ1930" s="7"/>
    </row>
    <row r="1931" spans="2:78">
      <c r="B1931" s="7"/>
      <c r="O1931" s="7"/>
      <c r="X1931" s="7"/>
      <c r="AG1931" s="7"/>
      <c r="AP1931" s="7"/>
      <c r="AY1931" s="7"/>
      <c r="BH1931" s="7"/>
      <c r="BQ1931" s="7"/>
      <c r="BZ1931" s="7"/>
    </row>
    <row r="1932" spans="2:78">
      <c r="B1932" s="7"/>
      <c r="O1932" s="7"/>
      <c r="X1932" s="7"/>
      <c r="AG1932" s="7"/>
      <c r="AP1932" s="7"/>
      <c r="AY1932" s="7"/>
      <c r="BH1932" s="7"/>
      <c r="BQ1932" s="7"/>
      <c r="BZ1932" s="7"/>
    </row>
    <row r="1933" spans="2:78">
      <c r="B1933" s="7"/>
      <c r="O1933" s="7"/>
      <c r="X1933" s="7"/>
      <c r="AG1933" s="7"/>
      <c r="AP1933" s="7"/>
      <c r="AY1933" s="7"/>
      <c r="BH1933" s="7"/>
      <c r="BQ1933" s="7"/>
      <c r="BZ1933" s="7"/>
    </row>
    <row r="1934" spans="2:78">
      <c r="B1934" s="7"/>
      <c r="O1934" s="7"/>
      <c r="X1934" s="7"/>
      <c r="AG1934" s="7"/>
      <c r="AP1934" s="7"/>
      <c r="AY1934" s="7"/>
      <c r="BH1934" s="7"/>
      <c r="BQ1934" s="7"/>
      <c r="BZ1934" s="7"/>
    </row>
    <row r="1935" spans="2:78">
      <c r="B1935" s="7"/>
      <c r="O1935" s="7"/>
      <c r="X1935" s="7"/>
      <c r="AG1935" s="7"/>
      <c r="AP1935" s="7"/>
      <c r="AY1935" s="7"/>
      <c r="BH1935" s="7"/>
      <c r="BQ1935" s="7"/>
      <c r="BZ1935" s="7"/>
    </row>
    <row r="1936" spans="2:78">
      <c r="B1936" s="7"/>
      <c r="O1936" s="7"/>
      <c r="X1936" s="7"/>
      <c r="AG1936" s="7"/>
      <c r="AP1936" s="7"/>
      <c r="AY1936" s="7"/>
      <c r="BH1936" s="7"/>
      <c r="BQ1936" s="7"/>
      <c r="BZ1936" s="7"/>
    </row>
    <row r="1937" spans="2:78">
      <c r="B1937" s="7"/>
      <c r="O1937" s="7"/>
      <c r="X1937" s="7"/>
      <c r="AG1937" s="7"/>
      <c r="AP1937" s="7"/>
      <c r="AY1937" s="7"/>
      <c r="BH1937" s="7"/>
      <c r="BQ1937" s="7"/>
      <c r="BZ1937" s="7"/>
    </row>
    <row r="1938" spans="2:78">
      <c r="B1938" s="7"/>
      <c r="O1938" s="7"/>
      <c r="X1938" s="7"/>
      <c r="AG1938" s="7"/>
      <c r="AP1938" s="7"/>
      <c r="AY1938" s="7"/>
      <c r="BH1938" s="7"/>
      <c r="BQ1938" s="7"/>
      <c r="BZ1938" s="7"/>
    </row>
    <row r="1939" spans="2:78">
      <c r="B1939" s="7"/>
      <c r="O1939" s="7"/>
      <c r="X1939" s="7"/>
      <c r="AG1939" s="7"/>
      <c r="AP1939" s="7"/>
      <c r="AY1939" s="7"/>
      <c r="BH1939" s="7"/>
      <c r="BQ1939" s="7"/>
      <c r="BZ1939" s="7"/>
    </row>
    <row r="1940" spans="2:78">
      <c r="B1940" s="7"/>
      <c r="O1940" s="7"/>
      <c r="X1940" s="7"/>
      <c r="AG1940" s="7"/>
      <c r="AP1940" s="7"/>
      <c r="AY1940" s="7"/>
      <c r="BH1940" s="7"/>
      <c r="BQ1940" s="7"/>
      <c r="BZ1940" s="7"/>
    </row>
    <row r="1941" spans="2:78">
      <c r="B1941" s="7"/>
      <c r="O1941" s="7"/>
      <c r="X1941" s="7"/>
      <c r="AG1941" s="7"/>
      <c r="AP1941" s="7"/>
      <c r="AY1941" s="7"/>
      <c r="BH1941" s="7"/>
      <c r="BQ1941" s="7"/>
      <c r="BZ1941" s="7"/>
    </row>
    <row r="1942" spans="2:78">
      <c r="B1942" s="7"/>
      <c r="O1942" s="7"/>
      <c r="X1942" s="7"/>
      <c r="AG1942" s="7"/>
      <c r="AP1942" s="7"/>
      <c r="AY1942" s="7"/>
      <c r="BH1942" s="7"/>
      <c r="BQ1942" s="7"/>
      <c r="BZ1942" s="7"/>
    </row>
    <row r="1943" spans="2:78">
      <c r="B1943" s="7"/>
      <c r="O1943" s="7"/>
      <c r="X1943" s="7"/>
      <c r="AG1943" s="7"/>
      <c r="AP1943" s="7"/>
      <c r="AY1943" s="7"/>
      <c r="BH1943" s="7"/>
      <c r="BQ1943" s="7"/>
      <c r="BZ1943" s="7"/>
    </row>
    <row r="1944" spans="2:78">
      <c r="B1944" s="7"/>
      <c r="O1944" s="7"/>
      <c r="X1944" s="7"/>
      <c r="AG1944" s="7"/>
      <c r="AP1944" s="7"/>
      <c r="AY1944" s="7"/>
      <c r="BH1944" s="7"/>
      <c r="BQ1944" s="7"/>
      <c r="BZ1944" s="7"/>
    </row>
    <row r="1945" spans="2:78">
      <c r="B1945" s="7"/>
      <c r="O1945" s="7"/>
      <c r="X1945" s="7"/>
      <c r="AG1945" s="7"/>
      <c r="AP1945" s="7"/>
      <c r="AY1945" s="7"/>
      <c r="BH1945" s="7"/>
      <c r="BQ1945" s="7"/>
      <c r="BZ1945" s="7"/>
    </row>
    <row r="1946" spans="2:78">
      <c r="B1946" s="7"/>
      <c r="O1946" s="7"/>
      <c r="X1946" s="7"/>
      <c r="AG1946" s="7"/>
      <c r="AP1946" s="7"/>
      <c r="AY1946" s="7"/>
      <c r="BH1946" s="7"/>
      <c r="BQ1946" s="7"/>
      <c r="BZ1946" s="7"/>
    </row>
    <row r="1947" spans="2:78">
      <c r="B1947" s="7"/>
      <c r="O1947" s="7"/>
      <c r="X1947" s="7"/>
      <c r="AG1947" s="7"/>
      <c r="AP1947" s="7"/>
      <c r="AY1947" s="7"/>
      <c r="BH1947" s="7"/>
      <c r="BQ1947" s="7"/>
      <c r="BZ1947" s="7"/>
    </row>
    <row r="1948" spans="2:78">
      <c r="B1948" s="7"/>
      <c r="O1948" s="7"/>
      <c r="X1948" s="7"/>
      <c r="AG1948" s="7"/>
      <c r="AP1948" s="7"/>
      <c r="AY1948" s="7"/>
      <c r="BH1948" s="7"/>
      <c r="BQ1948" s="7"/>
      <c r="BZ1948" s="7"/>
    </row>
    <row r="1949" spans="2:78">
      <c r="B1949" s="7"/>
      <c r="O1949" s="7"/>
      <c r="X1949" s="7"/>
      <c r="AG1949" s="7"/>
      <c r="AP1949" s="7"/>
      <c r="AY1949" s="7"/>
      <c r="BH1949" s="7"/>
      <c r="BQ1949" s="7"/>
      <c r="BZ1949" s="7"/>
    </row>
    <row r="1950" spans="2:78">
      <c r="B1950" s="7"/>
      <c r="O1950" s="7"/>
      <c r="X1950" s="7"/>
      <c r="AG1950" s="7"/>
      <c r="AP1950" s="7"/>
      <c r="AY1950" s="7"/>
      <c r="BH1950" s="7"/>
      <c r="BQ1950" s="7"/>
      <c r="BZ1950" s="7"/>
    </row>
    <row r="1951" spans="2:78">
      <c r="B1951" s="7"/>
      <c r="O1951" s="7"/>
      <c r="X1951" s="7"/>
      <c r="AG1951" s="7"/>
      <c r="AP1951" s="7"/>
      <c r="AY1951" s="7"/>
      <c r="BH1951" s="7"/>
      <c r="BQ1951" s="7"/>
      <c r="BZ1951" s="7"/>
    </row>
    <row r="1952" spans="2:78">
      <c r="B1952" s="7"/>
      <c r="O1952" s="7"/>
      <c r="X1952" s="7"/>
      <c r="AG1952" s="7"/>
      <c r="AP1952" s="7"/>
      <c r="AY1952" s="7"/>
      <c r="BH1952" s="7"/>
      <c r="BQ1952" s="7"/>
      <c r="BZ1952" s="7"/>
    </row>
    <row r="1953" spans="2:78">
      <c r="B1953" s="7"/>
      <c r="O1953" s="7"/>
      <c r="X1953" s="7"/>
      <c r="AG1953" s="7"/>
      <c r="AP1953" s="7"/>
      <c r="AY1953" s="7"/>
      <c r="BH1953" s="7"/>
      <c r="BQ1953" s="7"/>
      <c r="BZ1953" s="7"/>
    </row>
    <row r="1954" spans="2:78">
      <c r="B1954" s="7"/>
      <c r="O1954" s="7"/>
      <c r="X1954" s="7"/>
      <c r="AG1954" s="7"/>
      <c r="AP1954" s="7"/>
      <c r="AY1954" s="7"/>
      <c r="BH1954" s="7"/>
      <c r="BQ1954" s="7"/>
      <c r="BZ1954" s="7"/>
    </row>
    <row r="1955" spans="2:78">
      <c r="B1955" s="7"/>
      <c r="O1955" s="7"/>
      <c r="X1955" s="7"/>
      <c r="AG1955" s="7"/>
      <c r="AP1955" s="7"/>
      <c r="AY1955" s="7"/>
      <c r="BH1955" s="7"/>
      <c r="BQ1955" s="7"/>
      <c r="BZ1955" s="7"/>
    </row>
    <row r="1956" spans="2:78">
      <c r="B1956" s="7"/>
      <c r="O1956" s="7"/>
      <c r="X1956" s="7"/>
      <c r="AG1956" s="7"/>
      <c r="AP1956" s="7"/>
      <c r="AY1956" s="7"/>
      <c r="BH1956" s="7"/>
      <c r="BQ1956" s="7"/>
      <c r="BZ1956" s="7"/>
    </row>
    <row r="1957" spans="2:78">
      <c r="B1957" s="7"/>
      <c r="O1957" s="7"/>
      <c r="X1957" s="7"/>
      <c r="AG1957" s="7"/>
      <c r="AP1957" s="7"/>
      <c r="AY1957" s="7"/>
      <c r="BH1957" s="7"/>
      <c r="BQ1957" s="7"/>
      <c r="BZ1957" s="7"/>
    </row>
    <row r="1958" spans="2:78">
      <c r="B1958" s="7"/>
      <c r="O1958" s="7"/>
      <c r="X1958" s="7"/>
      <c r="AG1958" s="7"/>
      <c r="AP1958" s="7"/>
      <c r="AY1958" s="7"/>
      <c r="BH1958" s="7"/>
      <c r="BQ1958" s="7"/>
      <c r="BZ1958" s="7"/>
    </row>
    <row r="1959" spans="2:78">
      <c r="B1959" s="7"/>
      <c r="O1959" s="7"/>
      <c r="X1959" s="7"/>
      <c r="AG1959" s="7"/>
      <c r="AP1959" s="7"/>
      <c r="AY1959" s="7"/>
      <c r="BH1959" s="7"/>
      <c r="BQ1959" s="7"/>
      <c r="BZ1959" s="7"/>
    </row>
    <row r="1960" spans="2:78">
      <c r="B1960" s="7"/>
      <c r="O1960" s="7"/>
      <c r="X1960" s="7"/>
      <c r="AG1960" s="7"/>
      <c r="AP1960" s="7"/>
      <c r="AY1960" s="7"/>
      <c r="BH1960" s="7"/>
      <c r="BQ1960" s="7"/>
      <c r="BZ1960" s="7"/>
    </row>
    <row r="1961" spans="2:78">
      <c r="B1961" s="7"/>
      <c r="O1961" s="7"/>
      <c r="X1961" s="7"/>
      <c r="AG1961" s="7"/>
      <c r="AP1961" s="7"/>
      <c r="AY1961" s="7"/>
      <c r="BH1961" s="7"/>
      <c r="BQ1961" s="7"/>
      <c r="BZ1961" s="7"/>
    </row>
    <row r="1962" spans="2:78">
      <c r="B1962" s="7"/>
      <c r="O1962" s="7"/>
      <c r="X1962" s="7"/>
      <c r="AG1962" s="7"/>
      <c r="AP1962" s="7"/>
      <c r="AY1962" s="7"/>
      <c r="BH1962" s="7"/>
      <c r="BQ1962" s="7"/>
      <c r="BZ1962" s="7"/>
    </row>
    <row r="1963" spans="2:78">
      <c r="B1963" s="7"/>
      <c r="O1963" s="7"/>
      <c r="X1963" s="7"/>
      <c r="AG1963" s="7"/>
      <c r="AP1963" s="7"/>
      <c r="AY1963" s="7"/>
      <c r="BH1963" s="7"/>
      <c r="BQ1963" s="7"/>
      <c r="BZ1963" s="7"/>
    </row>
    <row r="1964" spans="2:78">
      <c r="B1964" s="7"/>
      <c r="O1964" s="7"/>
      <c r="X1964" s="7"/>
      <c r="AG1964" s="7"/>
      <c r="AP1964" s="7"/>
      <c r="AY1964" s="7"/>
      <c r="BH1964" s="7"/>
      <c r="BQ1964" s="7"/>
      <c r="BZ1964" s="7"/>
    </row>
    <row r="1965" spans="2:78">
      <c r="B1965" s="7"/>
      <c r="O1965" s="7"/>
      <c r="X1965" s="7"/>
      <c r="AG1965" s="7"/>
      <c r="AP1965" s="7"/>
      <c r="AY1965" s="7"/>
      <c r="BH1965" s="7"/>
      <c r="BQ1965" s="7"/>
      <c r="BZ1965" s="7"/>
    </row>
    <row r="1966" spans="2:78">
      <c r="B1966" s="7"/>
      <c r="O1966" s="7"/>
      <c r="X1966" s="7"/>
      <c r="AG1966" s="7"/>
      <c r="AP1966" s="7"/>
      <c r="AY1966" s="7"/>
      <c r="BH1966" s="7"/>
      <c r="BQ1966" s="7"/>
      <c r="BZ1966" s="7"/>
    </row>
    <row r="1967" spans="2:78">
      <c r="B1967" s="7"/>
      <c r="O1967" s="7"/>
      <c r="X1967" s="7"/>
      <c r="AG1967" s="7"/>
      <c r="AP1967" s="7"/>
      <c r="AY1967" s="7"/>
      <c r="BH1967" s="7"/>
      <c r="BQ1967" s="7"/>
      <c r="BZ1967" s="7"/>
    </row>
    <row r="1968" spans="2:78">
      <c r="B1968" s="7"/>
      <c r="O1968" s="7"/>
      <c r="X1968" s="7"/>
      <c r="AG1968" s="7"/>
      <c r="AP1968" s="7"/>
      <c r="AY1968" s="7"/>
      <c r="BH1968" s="7"/>
      <c r="BQ1968" s="7"/>
      <c r="BZ1968" s="7"/>
    </row>
    <row r="1969" spans="2:78">
      <c r="B1969" s="7"/>
      <c r="O1969" s="7"/>
      <c r="X1969" s="7"/>
      <c r="AG1969" s="7"/>
      <c r="AP1969" s="7"/>
      <c r="AY1969" s="7"/>
      <c r="BH1969" s="7"/>
      <c r="BQ1969" s="7"/>
      <c r="BZ1969" s="7"/>
    </row>
    <row r="1970" spans="2:78">
      <c r="B1970" s="7"/>
      <c r="O1970" s="7"/>
      <c r="X1970" s="7"/>
      <c r="AG1970" s="7"/>
      <c r="AP1970" s="7"/>
      <c r="AY1970" s="7"/>
      <c r="BH1970" s="7"/>
      <c r="BQ1970" s="7"/>
      <c r="BZ1970" s="7"/>
    </row>
    <row r="1971" spans="2:78">
      <c r="B1971" s="7"/>
      <c r="O1971" s="7"/>
      <c r="X1971" s="7"/>
      <c r="AG1971" s="7"/>
      <c r="AP1971" s="7"/>
      <c r="AY1971" s="7"/>
      <c r="BH1971" s="7"/>
      <c r="BQ1971" s="7"/>
      <c r="BZ1971" s="7"/>
    </row>
    <row r="1972" spans="2:78">
      <c r="B1972" s="7"/>
      <c r="O1972" s="7"/>
      <c r="X1972" s="7"/>
      <c r="AG1972" s="7"/>
      <c r="AP1972" s="7"/>
      <c r="AY1972" s="7"/>
      <c r="BH1972" s="7"/>
      <c r="BQ1972" s="7"/>
      <c r="BZ1972" s="7"/>
    </row>
    <row r="1973" spans="2:78">
      <c r="B1973" s="7"/>
      <c r="O1973" s="7"/>
      <c r="X1973" s="7"/>
      <c r="AG1973" s="7"/>
      <c r="AP1973" s="7"/>
      <c r="AY1973" s="7"/>
      <c r="BH1973" s="7"/>
      <c r="BQ1973" s="7"/>
      <c r="BZ1973" s="7"/>
    </row>
    <row r="1974" spans="2:78">
      <c r="B1974" s="7"/>
      <c r="O1974" s="7"/>
      <c r="X1974" s="7"/>
      <c r="AG1974" s="7"/>
      <c r="AP1974" s="7"/>
      <c r="AY1974" s="7"/>
      <c r="BH1974" s="7"/>
      <c r="BQ1974" s="7"/>
      <c r="BZ1974" s="7"/>
    </row>
    <row r="1975" spans="2:78">
      <c r="B1975" s="7"/>
      <c r="O1975" s="7"/>
      <c r="X1975" s="7"/>
      <c r="AG1975" s="7"/>
      <c r="AP1975" s="7"/>
      <c r="AY1975" s="7"/>
      <c r="BH1975" s="7"/>
      <c r="BQ1975" s="7"/>
      <c r="BZ1975" s="7"/>
    </row>
    <row r="1976" spans="2:78">
      <c r="B1976" s="7"/>
      <c r="O1976" s="7"/>
      <c r="X1976" s="7"/>
      <c r="AG1976" s="7"/>
      <c r="AP1976" s="7"/>
      <c r="AY1976" s="7"/>
      <c r="BH1976" s="7"/>
      <c r="BQ1976" s="7"/>
      <c r="BZ1976" s="7"/>
    </row>
    <row r="1977" spans="2:78">
      <c r="B1977" s="7"/>
      <c r="O1977" s="7"/>
      <c r="X1977" s="7"/>
      <c r="AG1977" s="7"/>
      <c r="AP1977" s="7"/>
      <c r="AY1977" s="7"/>
      <c r="BH1977" s="7"/>
      <c r="BQ1977" s="7"/>
      <c r="BZ1977" s="7"/>
    </row>
    <row r="1978" spans="2:78">
      <c r="B1978" s="7"/>
      <c r="O1978" s="7"/>
      <c r="X1978" s="7"/>
      <c r="AG1978" s="7"/>
      <c r="AP1978" s="7"/>
      <c r="AY1978" s="7"/>
      <c r="BH1978" s="7"/>
      <c r="BQ1978" s="7"/>
      <c r="BZ1978" s="7"/>
    </row>
    <row r="1979" spans="2:78">
      <c r="B1979" s="7"/>
      <c r="O1979" s="7"/>
      <c r="X1979" s="7"/>
      <c r="AG1979" s="7"/>
      <c r="AP1979" s="7"/>
      <c r="AY1979" s="7"/>
      <c r="BH1979" s="7"/>
      <c r="BQ1979" s="7"/>
      <c r="BZ1979" s="7"/>
    </row>
    <row r="1980" spans="2:78">
      <c r="B1980" s="7"/>
      <c r="O1980" s="7"/>
      <c r="X1980" s="7"/>
      <c r="AG1980" s="7"/>
      <c r="AP1980" s="7"/>
      <c r="AY1980" s="7"/>
      <c r="BH1980" s="7"/>
      <c r="BQ1980" s="7"/>
      <c r="BZ1980" s="7"/>
    </row>
    <row r="1981" spans="2:78">
      <c r="B1981" s="7"/>
      <c r="O1981" s="7"/>
      <c r="X1981" s="7"/>
      <c r="AG1981" s="7"/>
      <c r="AP1981" s="7"/>
      <c r="AY1981" s="7"/>
      <c r="BH1981" s="7"/>
      <c r="BQ1981" s="7"/>
      <c r="BZ1981" s="7"/>
    </row>
    <row r="1982" spans="2:78">
      <c r="B1982" s="7"/>
      <c r="O1982" s="7"/>
      <c r="X1982" s="7"/>
      <c r="AG1982" s="7"/>
      <c r="AP1982" s="7"/>
      <c r="AY1982" s="7"/>
      <c r="BH1982" s="7"/>
      <c r="BQ1982" s="7"/>
      <c r="BZ1982" s="7"/>
    </row>
    <row r="1983" spans="2:78">
      <c r="B1983" s="7"/>
      <c r="O1983" s="7"/>
      <c r="X1983" s="7"/>
      <c r="AG1983" s="7"/>
      <c r="AP1983" s="7"/>
      <c r="AY1983" s="7"/>
      <c r="BH1983" s="7"/>
      <c r="BQ1983" s="7"/>
      <c r="BZ1983" s="7"/>
    </row>
    <row r="1984" spans="2:78">
      <c r="B1984" s="7"/>
      <c r="O1984" s="7"/>
      <c r="X1984" s="7"/>
      <c r="AG1984" s="7"/>
      <c r="AP1984" s="7"/>
      <c r="AY1984" s="7"/>
      <c r="BH1984" s="7"/>
      <c r="BQ1984" s="7"/>
      <c r="BZ1984" s="7"/>
    </row>
    <row r="1985" spans="2:78">
      <c r="B1985" s="7"/>
      <c r="O1985" s="7"/>
      <c r="X1985" s="7"/>
      <c r="AG1985" s="7"/>
      <c r="AP1985" s="7"/>
      <c r="AY1985" s="7"/>
      <c r="BH1985" s="7"/>
      <c r="BQ1985" s="7"/>
      <c r="BZ1985" s="7"/>
    </row>
    <row r="1986" spans="2:78">
      <c r="B1986" s="7"/>
      <c r="O1986" s="7"/>
      <c r="X1986" s="7"/>
      <c r="AG1986" s="7"/>
      <c r="AP1986" s="7"/>
      <c r="AY1986" s="7"/>
      <c r="BH1986" s="7"/>
      <c r="BQ1986" s="7"/>
      <c r="BZ1986" s="7"/>
    </row>
    <row r="1987" spans="2:78">
      <c r="B1987" s="7"/>
      <c r="O1987" s="7"/>
      <c r="X1987" s="7"/>
      <c r="AG1987" s="7"/>
      <c r="AP1987" s="7"/>
      <c r="AY1987" s="7"/>
      <c r="BH1987" s="7"/>
      <c r="BQ1987" s="7"/>
      <c r="BZ1987" s="7"/>
    </row>
    <row r="1988" spans="2:78">
      <c r="B1988" s="7"/>
      <c r="O1988" s="7"/>
      <c r="X1988" s="7"/>
      <c r="AG1988" s="7"/>
      <c r="AP1988" s="7"/>
      <c r="AY1988" s="7"/>
      <c r="BH1988" s="7"/>
      <c r="BQ1988" s="7"/>
      <c r="BZ1988" s="7"/>
    </row>
    <row r="1989" spans="2:78">
      <c r="B1989" s="7"/>
      <c r="O1989" s="7"/>
      <c r="X1989" s="7"/>
      <c r="AG1989" s="7"/>
      <c r="AP1989" s="7"/>
      <c r="AY1989" s="7"/>
      <c r="BH1989" s="7"/>
      <c r="BQ1989" s="7"/>
      <c r="BZ1989" s="7"/>
    </row>
    <row r="1990" spans="2:78">
      <c r="B1990" s="7"/>
      <c r="O1990" s="7"/>
      <c r="X1990" s="7"/>
      <c r="AG1990" s="7"/>
      <c r="AP1990" s="7"/>
      <c r="AY1990" s="7"/>
      <c r="BH1990" s="7"/>
      <c r="BQ1990" s="7"/>
      <c r="BZ1990" s="7"/>
    </row>
    <row r="1991" spans="2:78">
      <c r="B1991" s="7"/>
      <c r="O1991" s="7"/>
      <c r="X1991" s="7"/>
      <c r="AG1991" s="7"/>
      <c r="AP1991" s="7"/>
      <c r="AY1991" s="7"/>
      <c r="BH1991" s="7"/>
      <c r="BQ1991" s="7"/>
      <c r="BZ1991" s="7"/>
    </row>
    <row r="1992" spans="2:78">
      <c r="B1992" s="7"/>
      <c r="O1992" s="7"/>
      <c r="X1992" s="7"/>
      <c r="AG1992" s="7"/>
      <c r="AP1992" s="7"/>
      <c r="AY1992" s="7"/>
      <c r="BH1992" s="7"/>
      <c r="BQ1992" s="7"/>
      <c r="BZ1992" s="7"/>
    </row>
    <row r="1993" spans="2:78">
      <c r="B1993" s="7"/>
      <c r="O1993" s="7"/>
      <c r="X1993" s="7"/>
      <c r="AG1993" s="7"/>
      <c r="AP1993" s="7"/>
      <c r="AY1993" s="7"/>
      <c r="BH1993" s="7"/>
      <c r="BQ1993" s="7"/>
      <c r="BZ1993" s="7"/>
    </row>
    <row r="1994" spans="2:78">
      <c r="B1994" s="7"/>
      <c r="O1994" s="7"/>
      <c r="X1994" s="7"/>
      <c r="AG1994" s="7"/>
      <c r="AP1994" s="7"/>
      <c r="AY1994" s="7"/>
      <c r="BH1994" s="7"/>
      <c r="BQ1994" s="7"/>
      <c r="BZ1994" s="7"/>
    </row>
    <row r="1995" spans="2:78">
      <c r="B1995" s="7"/>
      <c r="O1995" s="7"/>
      <c r="X1995" s="7"/>
      <c r="AG1995" s="7"/>
      <c r="AP1995" s="7"/>
      <c r="AY1995" s="7"/>
      <c r="BH1995" s="7"/>
      <c r="BQ1995" s="7"/>
      <c r="BZ1995" s="7"/>
    </row>
    <row r="1996" spans="2:78">
      <c r="B1996" s="7"/>
      <c r="O1996" s="7"/>
      <c r="X1996" s="7"/>
      <c r="AG1996" s="7"/>
      <c r="AP1996" s="7"/>
      <c r="AY1996" s="7"/>
      <c r="BH1996" s="7"/>
      <c r="BQ1996" s="7"/>
      <c r="BZ1996" s="7"/>
    </row>
    <row r="1997" spans="2:78">
      <c r="B1997" s="7"/>
      <c r="O1997" s="7"/>
      <c r="X1997" s="7"/>
      <c r="AG1997" s="7"/>
      <c r="AP1997" s="7"/>
      <c r="AY1997" s="7"/>
      <c r="BH1997" s="7"/>
      <c r="BQ1997" s="7"/>
      <c r="BZ1997" s="7"/>
    </row>
    <row r="1998" spans="2:78">
      <c r="B1998" s="7"/>
      <c r="O1998" s="7"/>
      <c r="X1998" s="7"/>
      <c r="AG1998" s="7"/>
      <c r="AP1998" s="7"/>
      <c r="AY1998" s="7"/>
      <c r="BH1998" s="7"/>
      <c r="BQ1998" s="7"/>
      <c r="BZ1998" s="7"/>
    </row>
    <row r="1999" spans="2:78">
      <c r="B1999" s="7"/>
      <c r="O1999" s="7"/>
      <c r="X1999" s="7"/>
      <c r="AG1999" s="7"/>
      <c r="AP1999" s="7"/>
      <c r="AY1999" s="7"/>
      <c r="BH1999" s="7"/>
      <c r="BQ1999" s="7"/>
      <c r="BZ1999" s="7"/>
    </row>
    <row r="2000" spans="2:78">
      <c r="B2000" s="7"/>
      <c r="O2000" s="7"/>
      <c r="X2000" s="7"/>
      <c r="AG2000" s="7"/>
      <c r="AP2000" s="7"/>
      <c r="AY2000" s="7"/>
      <c r="BH2000" s="7"/>
      <c r="BQ2000" s="7"/>
      <c r="BZ2000" s="7"/>
    </row>
    <row r="2001" spans="2:78">
      <c r="B2001" s="7"/>
      <c r="O2001" s="7"/>
      <c r="X2001" s="7"/>
      <c r="AG2001" s="7"/>
      <c r="AP2001" s="7"/>
      <c r="AY2001" s="7"/>
      <c r="BH2001" s="7"/>
      <c r="BQ2001" s="7"/>
      <c r="BZ2001" s="7"/>
    </row>
    <row r="2002" spans="2:78">
      <c r="B2002" s="7"/>
      <c r="O2002" s="7"/>
      <c r="X2002" s="7"/>
      <c r="AG2002" s="7"/>
      <c r="AP2002" s="7"/>
      <c r="AY2002" s="7"/>
      <c r="BH2002" s="7"/>
      <c r="BQ2002" s="7"/>
      <c r="BZ2002" s="7"/>
    </row>
    <row r="2003" spans="2:78">
      <c r="B2003" s="7"/>
      <c r="O2003" s="7"/>
      <c r="X2003" s="7"/>
      <c r="AG2003" s="7"/>
      <c r="AP2003" s="7"/>
      <c r="AY2003" s="7"/>
      <c r="BH2003" s="7"/>
      <c r="BQ2003" s="7"/>
      <c r="BZ2003" s="7"/>
    </row>
    <row r="2004" spans="2:78">
      <c r="B2004" s="7"/>
      <c r="O2004" s="7"/>
      <c r="X2004" s="7"/>
      <c r="AG2004" s="7"/>
      <c r="AP2004" s="7"/>
      <c r="AY2004" s="7"/>
      <c r="BH2004" s="7"/>
      <c r="BQ2004" s="7"/>
      <c r="BZ2004" s="7"/>
    </row>
    <row r="2005" spans="2:78">
      <c r="B2005" s="7"/>
      <c r="O2005" s="7"/>
      <c r="X2005" s="7"/>
      <c r="AG2005" s="7"/>
      <c r="AP2005" s="7"/>
      <c r="AY2005" s="7"/>
      <c r="BH2005" s="7"/>
      <c r="BQ2005" s="7"/>
      <c r="BZ2005" s="7"/>
    </row>
    <row r="2006" spans="2:78">
      <c r="B2006" s="7"/>
      <c r="O2006" s="7"/>
      <c r="X2006" s="7"/>
      <c r="AG2006" s="7"/>
      <c r="AP2006" s="7"/>
      <c r="AY2006" s="7"/>
      <c r="BH2006" s="7"/>
      <c r="BQ2006" s="7"/>
      <c r="BZ2006" s="7"/>
    </row>
    <row r="2007" spans="2:78">
      <c r="B2007" s="7"/>
      <c r="O2007" s="7"/>
      <c r="X2007" s="7"/>
      <c r="AG2007" s="7"/>
      <c r="AP2007" s="7"/>
      <c r="AY2007" s="7"/>
      <c r="BH2007" s="7"/>
      <c r="BQ2007" s="7"/>
      <c r="BZ2007" s="7"/>
    </row>
    <row r="2008" spans="2:78">
      <c r="B2008" s="7"/>
      <c r="O2008" s="7"/>
      <c r="X2008" s="7"/>
      <c r="AG2008" s="7"/>
      <c r="AP2008" s="7"/>
      <c r="AY2008" s="7"/>
      <c r="BH2008" s="7"/>
      <c r="BQ2008" s="7"/>
      <c r="BZ2008" s="7"/>
    </row>
    <row r="2009" spans="2:78">
      <c r="B2009" s="7"/>
      <c r="O2009" s="7"/>
      <c r="X2009" s="7"/>
      <c r="AG2009" s="7"/>
      <c r="AP2009" s="7"/>
      <c r="AY2009" s="7"/>
      <c r="BH2009" s="7"/>
      <c r="BQ2009" s="7"/>
      <c r="BZ2009" s="7"/>
    </row>
    <row r="2010" spans="2:78">
      <c r="B2010" s="7"/>
      <c r="O2010" s="7"/>
      <c r="X2010" s="7"/>
      <c r="AG2010" s="7"/>
      <c r="AP2010" s="7"/>
      <c r="AY2010" s="7"/>
      <c r="BH2010" s="7"/>
      <c r="BQ2010" s="7"/>
      <c r="BZ2010" s="7"/>
    </row>
    <row r="2011" spans="2:78">
      <c r="B2011" s="7"/>
      <c r="O2011" s="7"/>
      <c r="X2011" s="7"/>
      <c r="AG2011" s="7"/>
      <c r="AP2011" s="7"/>
      <c r="AY2011" s="7"/>
      <c r="BH2011" s="7"/>
      <c r="BQ2011" s="7"/>
      <c r="BZ2011" s="7"/>
    </row>
    <row r="2012" spans="2:78">
      <c r="B2012" s="7"/>
      <c r="O2012" s="7"/>
      <c r="X2012" s="7"/>
      <c r="AG2012" s="7"/>
      <c r="AP2012" s="7"/>
      <c r="AY2012" s="7"/>
      <c r="BH2012" s="7"/>
      <c r="BQ2012" s="7"/>
      <c r="BZ2012" s="7"/>
    </row>
    <row r="2013" spans="2:78">
      <c r="B2013" s="7"/>
      <c r="O2013" s="7"/>
      <c r="X2013" s="7"/>
      <c r="AG2013" s="7"/>
      <c r="AP2013" s="7"/>
      <c r="AY2013" s="7"/>
      <c r="BH2013" s="7"/>
      <c r="BQ2013" s="7"/>
      <c r="BZ2013" s="7"/>
    </row>
    <row r="2014" spans="2:78">
      <c r="B2014" s="7"/>
      <c r="O2014" s="7"/>
      <c r="X2014" s="7"/>
      <c r="AG2014" s="7"/>
      <c r="AP2014" s="7"/>
      <c r="AY2014" s="7"/>
      <c r="BH2014" s="7"/>
      <c r="BQ2014" s="7"/>
      <c r="BZ2014" s="7"/>
    </row>
    <row r="2015" spans="2:78">
      <c r="B2015" s="7"/>
      <c r="O2015" s="7"/>
      <c r="X2015" s="7"/>
      <c r="AG2015" s="7"/>
      <c r="AP2015" s="7"/>
      <c r="AY2015" s="7"/>
      <c r="BH2015" s="7"/>
      <c r="BQ2015" s="7"/>
      <c r="BZ2015" s="7"/>
    </row>
    <row r="2016" spans="2:78">
      <c r="B2016" s="7"/>
      <c r="O2016" s="7"/>
      <c r="X2016" s="7"/>
      <c r="AG2016" s="7"/>
      <c r="AP2016" s="7"/>
      <c r="AY2016" s="7"/>
      <c r="BH2016" s="7"/>
      <c r="BQ2016" s="7"/>
      <c r="BZ2016" s="7"/>
    </row>
    <row r="2017" spans="2:78">
      <c r="B2017" s="7"/>
      <c r="O2017" s="7"/>
      <c r="X2017" s="7"/>
      <c r="AG2017" s="7"/>
      <c r="AP2017" s="7"/>
      <c r="AY2017" s="7"/>
      <c r="BH2017" s="7"/>
      <c r="BQ2017" s="7"/>
      <c r="BZ2017" s="7"/>
    </row>
    <row r="2018" spans="2:78">
      <c r="B2018" s="7"/>
      <c r="O2018" s="7"/>
      <c r="X2018" s="7"/>
      <c r="AG2018" s="7"/>
      <c r="AP2018" s="7"/>
      <c r="AY2018" s="7"/>
      <c r="BH2018" s="7"/>
      <c r="BQ2018" s="7"/>
      <c r="BZ2018" s="7"/>
    </row>
    <row r="2019" spans="2:78">
      <c r="B2019" s="7"/>
      <c r="O2019" s="7"/>
      <c r="X2019" s="7"/>
      <c r="AG2019" s="7"/>
      <c r="AP2019" s="7"/>
      <c r="AY2019" s="7"/>
      <c r="BH2019" s="7"/>
      <c r="BQ2019" s="7"/>
      <c r="BZ2019" s="7"/>
    </row>
    <row r="2020" spans="2:78">
      <c r="B2020" s="7"/>
      <c r="O2020" s="7"/>
      <c r="X2020" s="7"/>
      <c r="AG2020" s="7"/>
      <c r="AP2020" s="7"/>
      <c r="AY2020" s="7"/>
      <c r="BH2020" s="7"/>
      <c r="BQ2020" s="7"/>
      <c r="BZ2020" s="7"/>
    </row>
    <row r="2021" spans="2:78">
      <c r="B2021" s="7"/>
      <c r="O2021" s="7"/>
      <c r="X2021" s="7"/>
      <c r="AG2021" s="7"/>
      <c r="AP2021" s="7"/>
      <c r="AY2021" s="7"/>
      <c r="BH2021" s="7"/>
      <c r="BQ2021" s="7"/>
      <c r="BZ2021" s="7"/>
    </row>
    <row r="2022" spans="2:78">
      <c r="B2022" s="7"/>
      <c r="O2022" s="7"/>
      <c r="X2022" s="7"/>
      <c r="AG2022" s="7"/>
      <c r="AP2022" s="7"/>
      <c r="AY2022" s="7"/>
      <c r="BH2022" s="7"/>
      <c r="BQ2022" s="7"/>
      <c r="BZ2022" s="7"/>
    </row>
    <row r="2023" spans="2:78">
      <c r="B2023" s="7"/>
      <c r="O2023" s="7"/>
      <c r="X2023" s="7"/>
      <c r="AG2023" s="7"/>
      <c r="AP2023" s="7"/>
      <c r="AY2023" s="7"/>
      <c r="BH2023" s="7"/>
      <c r="BQ2023" s="7"/>
      <c r="BZ2023" s="7"/>
    </row>
    <row r="2024" spans="2:78">
      <c r="B2024" s="7"/>
      <c r="O2024" s="7"/>
      <c r="X2024" s="7"/>
      <c r="AG2024" s="7"/>
      <c r="AP2024" s="7"/>
      <c r="AY2024" s="7"/>
      <c r="BH2024" s="7"/>
      <c r="BQ2024" s="7"/>
      <c r="BZ2024" s="7"/>
    </row>
    <row r="2025" spans="2:78">
      <c r="B2025" s="7"/>
      <c r="O2025" s="7"/>
      <c r="X2025" s="7"/>
      <c r="AG2025" s="7"/>
      <c r="AP2025" s="7"/>
      <c r="AY2025" s="7"/>
      <c r="BH2025" s="7"/>
      <c r="BQ2025" s="7"/>
      <c r="BZ2025" s="7"/>
    </row>
    <row r="2026" spans="2:78">
      <c r="B2026" s="7"/>
      <c r="O2026" s="7"/>
      <c r="X2026" s="7"/>
      <c r="AG2026" s="7"/>
      <c r="AP2026" s="7"/>
      <c r="AY2026" s="7"/>
      <c r="BH2026" s="7"/>
      <c r="BQ2026" s="7"/>
      <c r="BZ2026" s="7"/>
    </row>
    <row r="2027" spans="2:78">
      <c r="B2027" s="7"/>
      <c r="O2027" s="7"/>
      <c r="X2027" s="7"/>
      <c r="AG2027" s="7"/>
      <c r="AP2027" s="7"/>
      <c r="AY2027" s="7"/>
      <c r="BH2027" s="7"/>
      <c r="BQ2027" s="7"/>
      <c r="BZ2027" s="7"/>
    </row>
    <row r="2028" spans="2:78">
      <c r="B2028" s="7"/>
      <c r="O2028" s="7"/>
      <c r="X2028" s="7"/>
      <c r="AG2028" s="7"/>
      <c r="AP2028" s="7"/>
      <c r="AY2028" s="7"/>
      <c r="BH2028" s="7"/>
      <c r="BQ2028" s="7"/>
      <c r="BZ2028" s="7"/>
    </row>
    <row r="2029" spans="2:78">
      <c r="B2029" s="7"/>
      <c r="O2029" s="7"/>
      <c r="X2029" s="7"/>
      <c r="AG2029" s="7"/>
      <c r="AP2029" s="7"/>
      <c r="AY2029" s="7"/>
      <c r="BH2029" s="7"/>
      <c r="BQ2029" s="7"/>
      <c r="BZ2029" s="7"/>
    </row>
    <row r="2030" spans="2:78">
      <c r="B2030" s="7"/>
      <c r="O2030" s="7"/>
      <c r="X2030" s="7"/>
      <c r="AG2030" s="7"/>
      <c r="AP2030" s="7"/>
      <c r="AY2030" s="7"/>
      <c r="BH2030" s="7"/>
      <c r="BQ2030" s="7"/>
      <c r="BZ2030" s="7"/>
    </row>
    <row r="2031" spans="2:78">
      <c r="B2031" s="7"/>
      <c r="O2031" s="7"/>
      <c r="X2031" s="7"/>
      <c r="AG2031" s="7"/>
      <c r="AP2031" s="7"/>
      <c r="AY2031" s="7"/>
      <c r="BH2031" s="7"/>
      <c r="BQ2031" s="7"/>
      <c r="BZ2031" s="7"/>
    </row>
    <row r="2032" spans="2:78">
      <c r="B2032" s="7"/>
      <c r="O2032" s="7"/>
      <c r="X2032" s="7"/>
      <c r="AG2032" s="7"/>
      <c r="AP2032" s="7"/>
      <c r="AY2032" s="7"/>
      <c r="BH2032" s="7"/>
      <c r="BQ2032" s="7"/>
      <c r="BZ2032" s="7"/>
    </row>
    <row r="2033" spans="2:78">
      <c r="B2033" s="7"/>
      <c r="O2033" s="7"/>
      <c r="X2033" s="7"/>
      <c r="AG2033" s="7"/>
      <c r="AP2033" s="7"/>
      <c r="AY2033" s="7"/>
      <c r="BH2033" s="7"/>
      <c r="BQ2033" s="7"/>
      <c r="BZ2033" s="7"/>
    </row>
    <row r="2034" spans="2:78">
      <c r="B2034" s="7"/>
      <c r="O2034" s="7"/>
      <c r="X2034" s="7"/>
      <c r="AG2034" s="7"/>
      <c r="AP2034" s="7"/>
      <c r="AY2034" s="7"/>
      <c r="BH2034" s="7"/>
      <c r="BQ2034" s="7"/>
      <c r="BZ2034" s="7"/>
    </row>
    <row r="2035" spans="2:78">
      <c r="B2035" s="7"/>
      <c r="O2035" s="7"/>
      <c r="X2035" s="7"/>
      <c r="AG2035" s="7"/>
      <c r="AP2035" s="7"/>
      <c r="AY2035" s="7"/>
      <c r="BH2035" s="7"/>
      <c r="BQ2035" s="7"/>
      <c r="BZ2035" s="7"/>
    </row>
    <row r="2036" spans="2:78">
      <c r="B2036" s="7"/>
      <c r="O2036" s="7"/>
      <c r="X2036" s="7"/>
      <c r="AG2036" s="7"/>
      <c r="AP2036" s="7"/>
      <c r="AY2036" s="7"/>
      <c r="BH2036" s="7"/>
      <c r="BQ2036" s="7"/>
      <c r="BZ2036" s="7"/>
    </row>
    <row r="2037" spans="2:78">
      <c r="B2037" s="7"/>
      <c r="O2037" s="7"/>
      <c r="X2037" s="7"/>
      <c r="AG2037" s="7"/>
      <c r="AP2037" s="7"/>
      <c r="AY2037" s="7"/>
      <c r="BH2037" s="7"/>
      <c r="BQ2037" s="7"/>
      <c r="BZ2037" s="7"/>
    </row>
    <row r="2038" spans="2:78">
      <c r="B2038" s="7"/>
      <c r="O2038" s="7"/>
      <c r="X2038" s="7"/>
      <c r="AG2038" s="7"/>
      <c r="AP2038" s="7"/>
      <c r="AY2038" s="7"/>
      <c r="BH2038" s="7"/>
      <c r="BQ2038" s="7"/>
      <c r="BZ2038" s="7"/>
    </row>
    <row r="2039" spans="2:78">
      <c r="B2039" s="7"/>
      <c r="O2039" s="7"/>
      <c r="X2039" s="7"/>
      <c r="AG2039" s="7"/>
      <c r="AP2039" s="7"/>
      <c r="AY2039" s="7"/>
      <c r="BH2039" s="7"/>
      <c r="BQ2039" s="7"/>
      <c r="BZ2039" s="7"/>
    </row>
    <row r="2040" spans="2:78">
      <c r="B2040" s="7"/>
      <c r="O2040" s="7"/>
      <c r="X2040" s="7"/>
      <c r="AG2040" s="7"/>
      <c r="AP2040" s="7"/>
      <c r="AY2040" s="7"/>
      <c r="BH2040" s="7"/>
      <c r="BQ2040" s="7"/>
      <c r="BZ2040" s="7"/>
    </row>
    <row r="2041" spans="2:78">
      <c r="B2041" s="7"/>
      <c r="O2041" s="7"/>
      <c r="X2041" s="7"/>
      <c r="AG2041" s="7"/>
      <c r="AP2041" s="7"/>
      <c r="AY2041" s="7"/>
      <c r="BH2041" s="7"/>
      <c r="BQ2041" s="7"/>
      <c r="BZ2041" s="7"/>
    </row>
    <row r="2042" spans="2:78">
      <c r="B2042" s="7"/>
      <c r="O2042" s="7"/>
      <c r="X2042" s="7"/>
      <c r="AG2042" s="7"/>
      <c r="AP2042" s="7"/>
      <c r="AY2042" s="7"/>
      <c r="BH2042" s="7"/>
      <c r="BQ2042" s="7"/>
      <c r="BZ2042" s="7"/>
    </row>
    <row r="2043" spans="2:78">
      <c r="B2043" s="7"/>
      <c r="O2043" s="7"/>
      <c r="X2043" s="7"/>
      <c r="AG2043" s="7"/>
      <c r="AP2043" s="7"/>
      <c r="AY2043" s="7"/>
      <c r="BH2043" s="7"/>
      <c r="BQ2043" s="7"/>
      <c r="BZ2043" s="7"/>
    </row>
    <row r="2044" spans="2:78">
      <c r="B2044" s="7"/>
      <c r="O2044" s="7"/>
      <c r="X2044" s="7"/>
      <c r="AG2044" s="7"/>
      <c r="AP2044" s="7"/>
      <c r="AY2044" s="7"/>
      <c r="BH2044" s="7"/>
      <c r="BQ2044" s="7"/>
      <c r="BZ2044" s="7"/>
    </row>
    <row r="2045" spans="2:78">
      <c r="B2045" s="7"/>
      <c r="O2045" s="7"/>
      <c r="X2045" s="7"/>
      <c r="AG2045" s="7"/>
      <c r="AP2045" s="7"/>
      <c r="AY2045" s="7"/>
      <c r="BH2045" s="7"/>
      <c r="BQ2045" s="7"/>
      <c r="BZ2045" s="7"/>
    </row>
    <row r="2046" spans="2:78">
      <c r="B2046" s="7"/>
      <c r="O2046" s="7"/>
      <c r="X2046" s="7"/>
      <c r="AG2046" s="7"/>
      <c r="AP2046" s="7"/>
      <c r="AY2046" s="7"/>
      <c r="BH2046" s="7"/>
      <c r="BQ2046" s="7"/>
      <c r="BZ2046" s="7"/>
    </row>
    <row r="2047" spans="2:78">
      <c r="B2047" s="7"/>
      <c r="O2047" s="7"/>
      <c r="X2047" s="7"/>
      <c r="AG2047" s="7"/>
      <c r="AP2047" s="7"/>
      <c r="AY2047" s="7"/>
      <c r="BH2047" s="7"/>
      <c r="BQ2047" s="7"/>
      <c r="BZ2047" s="7"/>
    </row>
    <row r="2048" spans="2:78">
      <c r="B2048" s="7"/>
      <c r="O2048" s="7"/>
      <c r="X2048" s="7"/>
      <c r="AG2048" s="7"/>
      <c r="AP2048" s="7"/>
      <c r="AY2048" s="7"/>
      <c r="BH2048" s="7"/>
      <c r="BQ2048" s="7"/>
      <c r="BZ2048" s="7"/>
    </row>
    <row r="2049" spans="2:78">
      <c r="B2049" s="7"/>
      <c r="O2049" s="7"/>
      <c r="X2049" s="7"/>
      <c r="AG2049" s="7"/>
      <c r="AP2049" s="7"/>
      <c r="AY2049" s="7"/>
      <c r="BH2049" s="7"/>
      <c r="BQ2049" s="7"/>
      <c r="BZ2049" s="7"/>
    </row>
    <row r="2050" spans="2:78">
      <c r="B2050" s="7"/>
      <c r="O2050" s="7"/>
      <c r="X2050" s="7"/>
      <c r="AG2050" s="7"/>
      <c r="AP2050" s="7"/>
      <c r="AY2050" s="7"/>
      <c r="BH2050" s="7"/>
      <c r="BQ2050" s="7"/>
      <c r="BZ2050" s="7"/>
    </row>
    <row r="2051" spans="2:78">
      <c r="B2051" s="7"/>
      <c r="O2051" s="7"/>
      <c r="X2051" s="7"/>
      <c r="AG2051" s="7"/>
      <c r="AP2051" s="7"/>
      <c r="AY2051" s="7"/>
      <c r="BH2051" s="7"/>
      <c r="BQ2051" s="7"/>
      <c r="BZ2051" s="7"/>
    </row>
    <row r="2052" spans="2:78">
      <c r="B2052" s="7"/>
      <c r="O2052" s="7"/>
      <c r="X2052" s="7"/>
      <c r="AG2052" s="7"/>
      <c r="AP2052" s="7"/>
      <c r="AY2052" s="7"/>
      <c r="BH2052" s="7"/>
      <c r="BQ2052" s="7"/>
      <c r="BZ2052" s="7"/>
    </row>
    <row r="2053" spans="2:78">
      <c r="B2053" s="7"/>
      <c r="O2053" s="7"/>
      <c r="X2053" s="7"/>
      <c r="AG2053" s="7"/>
      <c r="AP2053" s="7"/>
      <c r="AY2053" s="7"/>
      <c r="BH2053" s="7"/>
      <c r="BQ2053" s="7"/>
      <c r="BZ2053" s="7"/>
    </row>
    <row r="2054" spans="2:78">
      <c r="B2054" s="7"/>
      <c r="O2054" s="7"/>
      <c r="X2054" s="7"/>
      <c r="AG2054" s="7"/>
      <c r="AP2054" s="7"/>
      <c r="AY2054" s="7"/>
      <c r="BH2054" s="7"/>
      <c r="BQ2054" s="7"/>
      <c r="BZ2054" s="7"/>
    </row>
    <row r="2055" spans="2:78">
      <c r="B2055" s="7"/>
      <c r="O2055" s="7"/>
      <c r="X2055" s="7"/>
      <c r="AG2055" s="7"/>
      <c r="AP2055" s="7"/>
      <c r="AY2055" s="7"/>
      <c r="BH2055" s="7"/>
      <c r="BQ2055" s="7"/>
      <c r="BZ2055" s="7"/>
    </row>
    <row r="2056" spans="2:78">
      <c r="B2056" s="7"/>
      <c r="O2056" s="7"/>
      <c r="X2056" s="7"/>
      <c r="AG2056" s="7"/>
      <c r="AP2056" s="7"/>
      <c r="AY2056" s="7"/>
      <c r="BH2056" s="7"/>
      <c r="BQ2056" s="7"/>
      <c r="BZ2056" s="7"/>
    </row>
    <row r="2057" spans="2:78">
      <c r="B2057" s="7"/>
      <c r="O2057" s="7"/>
      <c r="X2057" s="7"/>
      <c r="AG2057" s="7"/>
      <c r="AP2057" s="7"/>
      <c r="AY2057" s="7"/>
      <c r="BH2057" s="7"/>
      <c r="BQ2057" s="7"/>
      <c r="BZ2057" s="7"/>
    </row>
    <row r="2058" spans="2:78">
      <c r="B2058" s="7"/>
      <c r="O2058" s="7"/>
      <c r="X2058" s="7"/>
      <c r="AG2058" s="7"/>
      <c r="AP2058" s="7"/>
      <c r="AY2058" s="7"/>
      <c r="BH2058" s="7"/>
      <c r="BQ2058" s="7"/>
      <c r="BZ2058" s="7"/>
    </row>
    <row r="2059" spans="2:78">
      <c r="B2059" s="7"/>
      <c r="O2059" s="7"/>
      <c r="X2059" s="7"/>
      <c r="AG2059" s="7"/>
      <c r="AP2059" s="7"/>
      <c r="AY2059" s="7"/>
      <c r="BH2059" s="7"/>
      <c r="BQ2059" s="7"/>
      <c r="BZ2059" s="7"/>
    </row>
    <row r="2060" spans="2:78">
      <c r="B2060" s="7"/>
      <c r="O2060" s="7"/>
      <c r="X2060" s="7"/>
      <c r="AG2060" s="7"/>
      <c r="AP2060" s="7"/>
      <c r="AY2060" s="7"/>
      <c r="BH2060" s="7"/>
      <c r="BQ2060" s="7"/>
      <c r="BZ2060" s="7"/>
    </row>
    <row r="2061" spans="2:78">
      <c r="B2061" s="7"/>
      <c r="O2061" s="7"/>
      <c r="X2061" s="7"/>
      <c r="AG2061" s="7"/>
      <c r="AP2061" s="7"/>
      <c r="AY2061" s="7"/>
      <c r="BH2061" s="7"/>
      <c r="BQ2061" s="7"/>
      <c r="BZ2061" s="7"/>
    </row>
    <row r="2062" spans="2:78">
      <c r="B2062" s="7"/>
      <c r="O2062" s="7"/>
      <c r="X2062" s="7"/>
      <c r="AG2062" s="7"/>
      <c r="AP2062" s="7"/>
      <c r="AY2062" s="7"/>
      <c r="BH2062" s="7"/>
      <c r="BQ2062" s="7"/>
      <c r="BZ2062" s="7"/>
    </row>
    <row r="2063" spans="2:78">
      <c r="B2063" s="7"/>
      <c r="O2063" s="7"/>
      <c r="X2063" s="7"/>
      <c r="AG2063" s="7"/>
      <c r="AP2063" s="7"/>
      <c r="AY2063" s="7"/>
      <c r="BH2063" s="7"/>
      <c r="BQ2063" s="7"/>
      <c r="BZ2063" s="7"/>
    </row>
    <row r="2064" spans="2:78">
      <c r="B2064" s="7"/>
      <c r="O2064" s="7"/>
      <c r="X2064" s="7"/>
      <c r="AG2064" s="7"/>
      <c r="AP2064" s="7"/>
      <c r="AY2064" s="7"/>
      <c r="BH2064" s="7"/>
      <c r="BQ2064" s="7"/>
      <c r="BZ2064" s="7"/>
    </row>
    <row r="2065" spans="2:78">
      <c r="B2065" s="7"/>
      <c r="O2065" s="7"/>
      <c r="X2065" s="7"/>
      <c r="AG2065" s="7"/>
      <c r="AP2065" s="7"/>
      <c r="AY2065" s="7"/>
      <c r="BH2065" s="7"/>
      <c r="BQ2065" s="7"/>
      <c r="BZ2065" s="7"/>
    </row>
    <row r="2066" spans="2:78">
      <c r="B2066" s="7"/>
      <c r="O2066" s="7"/>
      <c r="X2066" s="7"/>
      <c r="AG2066" s="7"/>
      <c r="AP2066" s="7"/>
      <c r="AY2066" s="7"/>
      <c r="BH2066" s="7"/>
      <c r="BQ2066" s="7"/>
      <c r="BZ2066" s="7"/>
    </row>
    <row r="2067" spans="2:78">
      <c r="B2067" s="7"/>
      <c r="O2067" s="7"/>
      <c r="X2067" s="7"/>
      <c r="AG2067" s="7"/>
      <c r="AP2067" s="7"/>
      <c r="AY2067" s="7"/>
      <c r="BH2067" s="7"/>
      <c r="BQ2067" s="7"/>
      <c r="BZ2067" s="7"/>
    </row>
    <row r="2068" spans="2:78">
      <c r="B2068" s="7"/>
      <c r="O2068" s="7"/>
      <c r="X2068" s="7"/>
      <c r="AG2068" s="7"/>
      <c r="AP2068" s="7"/>
      <c r="AY2068" s="7"/>
      <c r="BH2068" s="7"/>
      <c r="BQ2068" s="7"/>
      <c r="BZ2068" s="7"/>
    </row>
    <row r="2069" spans="2:78">
      <c r="B2069" s="7"/>
      <c r="O2069" s="7"/>
      <c r="X2069" s="7"/>
      <c r="AG2069" s="7"/>
      <c r="AP2069" s="7"/>
      <c r="AY2069" s="7"/>
      <c r="BH2069" s="7"/>
      <c r="BQ2069" s="7"/>
      <c r="BZ2069" s="7"/>
    </row>
    <row r="2070" spans="2:78">
      <c r="B2070" s="7"/>
      <c r="O2070" s="7"/>
      <c r="X2070" s="7"/>
      <c r="AG2070" s="7"/>
      <c r="AP2070" s="7"/>
      <c r="AY2070" s="7"/>
      <c r="BH2070" s="7"/>
      <c r="BQ2070" s="7"/>
      <c r="BZ2070" s="7"/>
    </row>
    <row r="2071" spans="2:78">
      <c r="B2071" s="7"/>
      <c r="O2071" s="7"/>
      <c r="X2071" s="7"/>
      <c r="AG2071" s="7"/>
      <c r="AP2071" s="7"/>
      <c r="AY2071" s="7"/>
      <c r="BH2071" s="7"/>
      <c r="BQ2071" s="7"/>
      <c r="BZ2071" s="7"/>
    </row>
    <row r="2072" spans="2:78">
      <c r="B2072" s="7"/>
      <c r="O2072" s="7"/>
      <c r="X2072" s="7"/>
      <c r="AG2072" s="7"/>
      <c r="AP2072" s="7"/>
      <c r="AY2072" s="7"/>
      <c r="BH2072" s="7"/>
      <c r="BQ2072" s="7"/>
      <c r="BZ2072" s="7"/>
    </row>
    <row r="2073" spans="2:78">
      <c r="B2073" s="7"/>
      <c r="O2073" s="7"/>
      <c r="X2073" s="7"/>
      <c r="AG2073" s="7"/>
      <c r="AP2073" s="7"/>
      <c r="AY2073" s="7"/>
      <c r="BH2073" s="7"/>
      <c r="BQ2073" s="7"/>
      <c r="BZ2073" s="7"/>
    </row>
    <row r="2074" spans="2:78">
      <c r="B2074" s="7"/>
      <c r="O2074" s="7"/>
      <c r="X2074" s="7"/>
      <c r="AG2074" s="7"/>
      <c r="AP2074" s="7"/>
      <c r="AY2074" s="7"/>
      <c r="BH2074" s="7"/>
      <c r="BQ2074" s="7"/>
      <c r="BZ2074" s="7"/>
    </row>
    <row r="2075" spans="2:78">
      <c r="B2075" s="7"/>
      <c r="O2075" s="7"/>
      <c r="X2075" s="7"/>
      <c r="AG2075" s="7"/>
      <c r="AP2075" s="7"/>
      <c r="AY2075" s="7"/>
      <c r="BH2075" s="7"/>
      <c r="BQ2075" s="7"/>
      <c r="BZ2075" s="7"/>
    </row>
    <row r="2076" spans="2:78">
      <c r="B2076" s="7"/>
      <c r="O2076" s="7"/>
      <c r="X2076" s="7"/>
      <c r="AG2076" s="7"/>
      <c r="AP2076" s="7"/>
      <c r="AY2076" s="7"/>
      <c r="BH2076" s="7"/>
      <c r="BQ2076" s="7"/>
      <c r="BZ2076" s="7"/>
    </row>
    <row r="2077" spans="2:78">
      <c r="B2077" s="7"/>
      <c r="O2077" s="7"/>
      <c r="X2077" s="7"/>
      <c r="AG2077" s="7"/>
      <c r="AP2077" s="7"/>
      <c r="AY2077" s="7"/>
      <c r="BH2077" s="7"/>
      <c r="BQ2077" s="7"/>
      <c r="BZ2077" s="7"/>
    </row>
    <row r="2078" spans="2:78">
      <c r="B2078" s="7"/>
      <c r="O2078" s="7"/>
      <c r="X2078" s="7"/>
      <c r="AG2078" s="7"/>
      <c r="AP2078" s="7"/>
      <c r="AY2078" s="7"/>
      <c r="BH2078" s="7"/>
      <c r="BQ2078" s="7"/>
      <c r="BZ2078" s="7"/>
    </row>
    <row r="2079" spans="2:78">
      <c r="B2079" s="7"/>
      <c r="O2079" s="7"/>
      <c r="X2079" s="7"/>
      <c r="AG2079" s="7"/>
      <c r="AP2079" s="7"/>
      <c r="AY2079" s="7"/>
      <c r="BH2079" s="7"/>
      <c r="BQ2079" s="7"/>
      <c r="BZ2079" s="7"/>
    </row>
    <row r="2080" spans="2:78">
      <c r="B2080" s="7"/>
      <c r="O2080" s="7"/>
      <c r="X2080" s="7"/>
      <c r="AG2080" s="7"/>
      <c r="AP2080" s="7"/>
      <c r="AY2080" s="7"/>
      <c r="BH2080" s="7"/>
      <c r="BQ2080" s="7"/>
      <c r="BZ2080" s="7"/>
    </row>
    <row r="2081" spans="2:78">
      <c r="B2081" s="7"/>
      <c r="O2081" s="7"/>
      <c r="X2081" s="7"/>
      <c r="AG2081" s="7"/>
      <c r="AP2081" s="7"/>
      <c r="AY2081" s="7"/>
      <c r="BH2081" s="7"/>
      <c r="BQ2081" s="7"/>
      <c r="BZ2081" s="7"/>
    </row>
    <row r="2082" spans="2:78">
      <c r="B2082" s="7"/>
      <c r="O2082" s="7"/>
      <c r="X2082" s="7"/>
      <c r="AG2082" s="7"/>
      <c r="AP2082" s="7"/>
      <c r="AY2082" s="7"/>
      <c r="BH2082" s="7"/>
      <c r="BQ2082" s="7"/>
      <c r="BZ2082" s="7"/>
    </row>
    <row r="2083" spans="2:78">
      <c r="B2083" s="7"/>
      <c r="O2083" s="7"/>
      <c r="X2083" s="7"/>
      <c r="AG2083" s="7"/>
      <c r="AP2083" s="7"/>
      <c r="AY2083" s="7"/>
      <c r="BH2083" s="7"/>
      <c r="BQ2083" s="7"/>
      <c r="BZ2083" s="7"/>
    </row>
    <row r="2084" spans="2:78">
      <c r="B2084" s="7"/>
      <c r="O2084" s="7"/>
      <c r="X2084" s="7"/>
      <c r="AG2084" s="7"/>
      <c r="AP2084" s="7"/>
      <c r="AY2084" s="7"/>
      <c r="BH2084" s="7"/>
      <c r="BQ2084" s="7"/>
      <c r="BZ2084" s="7"/>
    </row>
    <row r="2085" spans="2:78">
      <c r="B2085" s="7"/>
      <c r="O2085" s="7"/>
      <c r="X2085" s="7"/>
      <c r="AG2085" s="7"/>
      <c r="AP2085" s="7"/>
      <c r="AY2085" s="7"/>
      <c r="BH2085" s="7"/>
      <c r="BQ2085" s="7"/>
      <c r="BZ2085" s="7"/>
    </row>
    <row r="2086" spans="2:78">
      <c r="B2086" s="7"/>
      <c r="O2086" s="7"/>
      <c r="X2086" s="7"/>
      <c r="AG2086" s="7"/>
      <c r="AP2086" s="7"/>
      <c r="AY2086" s="7"/>
      <c r="BH2086" s="7"/>
      <c r="BQ2086" s="7"/>
      <c r="BZ2086" s="7"/>
    </row>
    <row r="2087" spans="2:78">
      <c r="B2087" s="7"/>
      <c r="O2087" s="7"/>
      <c r="X2087" s="7"/>
      <c r="AG2087" s="7"/>
      <c r="AP2087" s="7"/>
      <c r="AY2087" s="7"/>
      <c r="BH2087" s="7"/>
      <c r="BQ2087" s="7"/>
      <c r="BZ2087" s="7"/>
    </row>
    <row r="2088" spans="2:78">
      <c r="B2088" s="7"/>
      <c r="O2088" s="7"/>
      <c r="X2088" s="7"/>
      <c r="AG2088" s="7"/>
      <c r="AP2088" s="7"/>
      <c r="AY2088" s="7"/>
      <c r="BH2088" s="7"/>
      <c r="BQ2088" s="7"/>
      <c r="BZ2088" s="7"/>
    </row>
    <row r="2089" spans="2:78">
      <c r="B2089" s="7"/>
      <c r="O2089" s="7"/>
      <c r="X2089" s="7"/>
      <c r="AG2089" s="7"/>
      <c r="AP2089" s="7"/>
      <c r="AY2089" s="7"/>
      <c r="BH2089" s="7"/>
      <c r="BQ2089" s="7"/>
      <c r="BZ2089" s="7"/>
    </row>
    <row r="2090" spans="2:78">
      <c r="B2090" s="7"/>
      <c r="O2090" s="7"/>
      <c r="X2090" s="7"/>
      <c r="AG2090" s="7"/>
      <c r="AP2090" s="7"/>
      <c r="AY2090" s="7"/>
      <c r="BH2090" s="7"/>
      <c r="BQ2090" s="7"/>
      <c r="BZ2090" s="7"/>
    </row>
    <row r="2091" spans="2:78">
      <c r="B2091" s="7"/>
      <c r="O2091" s="7"/>
      <c r="X2091" s="7"/>
      <c r="AG2091" s="7"/>
      <c r="AP2091" s="7"/>
      <c r="AY2091" s="7"/>
      <c r="BH2091" s="7"/>
      <c r="BQ2091" s="7"/>
      <c r="BZ2091" s="7"/>
    </row>
    <row r="2092" spans="2:78">
      <c r="B2092" s="7"/>
      <c r="O2092" s="7"/>
      <c r="X2092" s="7"/>
      <c r="AG2092" s="7"/>
      <c r="AP2092" s="7"/>
      <c r="AY2092" s="7"/>
      <c r="BH2092" s="7"/>
      <c r="BQ2092" s="7"/>
      <c r="BZ2092" s="7"/>
    </row>
    <row r="2093" spans="2:78">
      <c r="B2093" s="7"/>
      <c r="O2093" s="7"/>
      <c r="X2093" s="7"/>
      <c r="AG2093" s="7"/>
      <c r="AP2093" s="7"/>
      <c r="AY2093" s="7"/>
      <c r="BH2093" s="7"/>
      <c r="BQ2093" s="7"/>
      <c r="BZ2093" s="7"/>
    </row>
    <row r="2094" spans="2:78">
      <c r="B2094" s="7"/>
      <c r="O2094" s="7"/>
      <c r="X2094" s="7"/>
      <c r="AG2094" s="7"/>
      <c r="AP2094" s="7"/>
      <c r="AY2094" s="7"/>
      <c r="BH2094" s="7"/>
      <c r="BQ2094" s="7"/>
      <c r="BZ2094" s="7"/>
    </row>
    <row r="2095" spans="2:78">
      <c r="B2095" s="7"/>
      <c r="O2095" s="7"/>
      <c r="X2095" s="7"/>
      <c r="AG2095" s="7"/>
      <c r="AP2095" s="7"/>
      <c r="AY2095" s="7"/>
      <c r="BH2095" s="7"/>
      <c r="BQ2095" s="7"/>
      <c r="BZ2095" s="7"/>
    </row>
    <row r="2096" spans="2:78">
      <c r="B2096" s="7"/>
      <c r="O2096" s="7"/>
      <c r="X2096" s="7"/>
      <c r="AG2096" s="7"/>
      <c r="AP2096" s="7"/>
      <c r="AY2096" s="7"/>
      <c r="BH2096" s="7"/>
      <c r="BQ2096" s="7"/>
      <c r="BZ2096" s="7"/>
    </row>
    <row r="2097" spans="2:78">
      <c r="B2097" s="7"/>
      <c r="O2097" s="7"/>
      <c r="X2097" s="7"/>
      <c r="AG2097" s="7"/>
      <c r="AP2097" s="7"/>
      <c r="AY2097" s="7"/>
      <c r="BH2097" s="7"/>
      <c r="BQ2097" s="7"/>
      <c r="BZ2097" s="7"/>
    </row>
    <row r="2098" spans="2:78">
      <c r="B2098" s="7"/>
      <c r="O2098" s="7"/>
      <c r="X2098" s="7"/>
      <c r="AG2098" s="7"/>
      <c r="AP2098" s="7"/>
      <c r="AY2098" s="7"/>
      <c r="BH2098" s="7"/>
      <c r="BQ2098" s="7"/>
      <c r="BZ2098" s="7"/>
    </row>
    <row r="2099" spans="2:78">
      <c r="B2099" s="7"/>
      <c r="O2099" s="7"/>
      <c r="X2099" s="7"/>
      <c r="AG2099" s="7"/>
      <c r="AP2099" s="7"/>
      <c r="AY2099" s="7"/>
      <c r="BH2099" s="7"/>
      <c r="BQ2099" s="7"/>
      <c r="BZ2099" s="7"/>
    </row>
    <row r="2100" spans="2:78">
      <c r="B2100" s="7"/>
      <c r="O2100" s="7"/>
      <c r="X2100" s="7"/>
      <c r="AG2100" s="7"/>
      <c r="AP2100" s="7"/>
      <c r="AY2100" s="7"/>
      <c r="BH2100" s="7"/>
      <c r="BQ2100" s="7"/>
      <c r="BZ2100" s="7"/>
    </row>
    <row r="2101" spans="2:78">
      <c r="B2101" s="7"/>
      <c r="O2101" s="7"/>
      <c r="X2101" s="7"/>
      <c r="AG2101" s="7"/>
      <c r="AP2101" s="7"/>
      <c r="AY2101" s="7"/>
      <c r="BH2101" s="7"/>
      <c r="BQ2101" s="7"/>
      <c r="BZ2101" s="7"/>
    </row>
    <row r="2102" spans="2:78">
      <c r="B2102" s="7"/>
      <c r="O2102" s="7"/>
      <c r="X2102" s="7"/>
      <c r="AG2102" s="7"/>
      <c r="AP2102" s="7"/>
      <c r="AY2102" s="7"/>
      <c r="BH2102" s="7"/>
      <c r="BQ2102" s="7"/>
      <c r="BZ2102" s="7"/>
    </row>
    <row r="2103" spans="2:78">
      <c r="B2103" s="7"/>
      <c r="O2103" s="7"/>
      <c r="X2103" s="7"/>
      <c r="AG2103" s="7"/>
      <c r="AP2103" s="7"/>
      <c r="AY2103" s="7"/>
      <c r="BH2103" s="7"/>
      <c r="BQ2103" s="7"/>
      <c r="BZ2103" s="7"/>
    </row>
    <row r="2104" spans="2:78">
      <c r="B2104" s="7"/>
      <c r="O2104" s="7"/>
      <c r="X2104" s="7"/>
      <c r="AG2104" s="7"/>
      <c r="AP2104" s="7"/>
      <c r="AY2104" s="7"/>
      <c r="BH2104" s="7"/>
      <c r="BQ2104" s="7"/>
      <c r="BZ2104" s="7"/>
    </row>
    <row r="2105" spans="2:78">
      <c r="B2105" s="7"/>
      <c r="O2105" s="7"/>
      <c r="X2105" s="7"/>
      <c r="AG2105" s="7"/>
      <c r="AP2105" s="7"/>
      <c r="AY2105" s="7"/>
      <c r="BH2105" s="7"/>
      <c r="BQ2105" s="7"/>
      <c r="BZ2105" s="7"/>
    </row>
    <row r="2106" spans="2:78">
      <c r="B2106" s="7"/>
      <c r="O2106" s="7"/>
      <c r="X2106" s="7"/>
      <c r="AG2106" s="7"/>
      <c r="AP2106" s="7"/>
      <c r="AY2106" s="7"/>
      <c r="BH2106" s="7"/>
      <c r="BQ2106" s="7"/>
      <c r="BZ2106" s="7"/>
    </row>
    <row r="2107" spans="2:78">
      <c r="B2107" s="7"/>
      <c r="O2107" s="7"/>
      <c r="X2107" s="7"/>
      <c r="AG2107" s="7"/>
      <c r="AP2107" s="7"/>
      <c r="AY2107" s="7"/>
      <c r="BH2107" s="7"/>
      <c r="BQ2107" s="7"/>
      <c r="BZ2107" s="7"/>
    </row>
    <row r="2108" spans="2:78">
      <c r="B2108" s="7"/>
      <c r="O2108" s="7"/>
      <c r="X2108" s="7"/>
      <c r="AG2108" s="7"/>
      <c r="AP2108" s="7"/>
      <c r="AY2108" s="7"/>
      <c r="BH2108" s="7"/>
      <c r="BQ2108" s="7"/>
      <c r="BZ2108" s="7"/>
    </row>
    <row r="2109" spans="2:78">
      <c r="B2109" s="7"/>
      <c r="O2109" s="7"/>
      <c r="X2109" s="7"/>
      <c r="AG2109" s="7"/>
      <c r="AP2109" s="7"/>
      <c r="AY2109" s="7"/>
      <c r="BH2109" s="7"/>
      <c r="BQ2109" s="7"/>
      <c r="BZ2109" s="7"/>
    </row>
    <row r="2110" spans="2:78">
      <c r="B2110" s="7"/>
      <c r="O2110" s="7"/>
      <c r="X2110" s="7"/>
      <c r="AG2110" s="7"/>
      <c r="AP2110" s="7"/>
      <c r="AY2110" s="7"/>
      <c r="BH2110" s="7"/>
      <c r="BQ2110" s="7"/>
      <c r="BZ2110" s="7"/>
    </row>
    <row r="2111" spans="2:78">
      <c r="B2111" s="7"/>
      <c r="O2111" s="7"/>
      <c r="X2111" s="7"/>
      <c r="AG2111" s="7"/>
      <c r="AP2111" s="7"/>
      <c r="AY2111" s="7"/>
      <c r="BH2111" s="7"/>
      <c r="BQ2111" s="7"/>
      <c r="BZ2111" s="7"/>
    </row>
    <row r="2112" spans="2:78">
      <c r="B2112" s="7"/>
      <c r="O2112" s="7"/>
      <c r="X2112" s="7"/>
      <c r="AG2112" s="7"/>
      <c r="AP2112" s="7"/>
      <c r="AY2112" s="7"/>
      <c r="BH2112" s="7"/>
      <c r="BQ2112" s="7"/>
      <c r="BZ2112" s="7"/>
    </row>
    <row r="2113" spans="2:78">
      <c r="B2113" s="7"/>
      <c r="O2113" s="7"/>
      <c r="X2113" s="7"/>
      <c r="AG2113" s="7"/>
      <c r="AP2113" s="7"/>
      <c r="AY2113" s="7"/>
      <c r="BH2113" s="7"/>
      <c r="BQ2113" s="7"/>
      <c r="BZ2113" s="7"/>
    </row>
    <row r="2114" spans="2:78">
      <c r="B2114" s="7"/>
      <c r="O2114" s="7"/>
      <c r="X2114" s="7"/>
      <c r="AG2114" s="7"/>
      <c r="AP2114" s="7"/>
      <c r="AY2114" s="7"/>
      <c r="BH2114" s="7"/>
      <c r="BQ2114" s="7"/>
      <c r="BZ2114" s="7"/>
    </row>
    <row r="2115" spans="2:78">
      <c r="B2115" s="7"/>
      <c r="O2115" s="7"/>
      <c r="X2115" s="7"/>
      <c r="AG2115" s="7"/>
      <c r="AP2115" s="7"/>
      <c r="AY2115" s="7"/>
      <c r="BH2115" s="7"/>
      <c r="BQ2115" s="7"/>
      <c r="BZ2115" s="7"/>
    </row>
    <row r="2116" spans="2:78">
      <c r="B2116" s="7"/>
      <c r="O2116" s="7"/>
      <c r="X2116" s="7"/>
      <c r="AG2116" s="7"/>
      <c r="AP2116" s="7"/>
      <c r="AY2116" s="7"/>
      <c r="BH2116" s="7"/>
      <c r="BQ2116" s="7"/>
      <c r="BZ2116" s="7"/>
    </row>
    <row r="2117" spans="2:78">
      <c r="B2117" s="7"/>
      <c r="O2117" s="7"/>
      <c r="X2117" s="7"/>
      <c r="AG2117" s="7"/>
      <c r="AP2117" s="7"/>
      <c r="AY2117" s="7"/>
      <c r="BH2117" s="7"/>
      <c r="BQ2117" s="7"/>
      <c r="BZ2117" s="7"/>
    </row>
    <row r="2118" spans="2:78">
      <c r="B2118" s="7"/>
      <c r="O2118" s="7"/>
      <c r="X2118" s="7"/>
      <c r="AG2118" s="7"/>
      <c r="AP2118" s="7"/>
      <c r="AY2118" s="7"/>
      <c r="BH2118" s="7"/>
      <c r="BQ2118" s="7"/>
      <c r="BZ2118" s="7"/>
    </row>
    <row r="2119" spans="2:78">
      <c r="B2119" s="7"/>
      <c r="O2119" s="7"/>
      <c r="X2119" s="7"/>
      <c r="AG2119" s="7"/>
      <c r="AP2119" s="7"/>
      <c r="AY2119" s="7"/>
      <c r="BH2119" s="7"/>
      <c r="BQ2119" s="7"/>
      <c r="BZ2119" s="7"/>
    </row>
    <row r="2120" spans="2:78">
      <c r="B2120" s="7"/>
      <c r="O2120" s="7"/>
      <c r="X2120" s="7"/>
      <c r="AG2120" s="7"/>
      <c r="AP2120" s="7"/>
      <c r="AY2120" s="7"/>
      <c r="BH2120" s="7"/>
      <c r="BQ2120" s="7"/>
      <c r="BZ2120" s="7"/>
    </row>
    <row r="2121" spans="2:78">
      <c r="B2121" s="7"/>
      <c r="O2121" s="7"/>
      <c r="X2121" s="7"/>
      <c r="AG2121" s="7"/>
      <c r="AP2121" s="7"/>
      <c r="AY2121" s="7"/>
      <c r="BH2121" s="7"/>
      <c r="BQ2121" s="7"/>
      <c r="BZ2121" s="7"/>
    </row>
    <row r="2122" spans="2:78">
      <c r="B2122" s="7"/>
      <c r="O2122" s="7"/>
      <c r="X2122" s="7"/>
      <c r="AG2122" s="7"/>
      <c r="AP2122" s="7"/>
      <c r="AY2122" s="7"/>
      <c r="BH2122" s="7"/>
      <c r="BQ2122" s="7"/>
      <c r="BZ2122" s="7"/>
    </row>
    <row r="2123" spans="2:78">
      <c r="B2123" s="7"/>
      <c r="O2123" s="7"/>
      <c r="X2123" s="7"/>
      <c r="AG2123" s="7"/>
      <c r="AP2123" s="7"/>
      <c r="AY2123" s="7"/>
      <c r="BH2123" s="7"/>
      <c r="BQ2123" s="7"/>
      <c r="BZ2123" s="7"/>
    </row>
    <row r="2124" spans="2:78">
      <c r="B2124" s="7"/>
      <c r="O2124" s="7"/>
      <c r="X2124" s="7"/>
      <c r="AG2124" s="7"/>
      <c r="AP2124" s="7"/>
      <c r="AY2124" s="7"/>
      <c r="BH2124" s="7"/>
      <c r="BQ2124" s="7"/>
      <c r="BZ2124" s="7"/>
    </row>
    <row r="2125" spans="2:78">
      <c r="B2125" s="7"/>
      <c r="O2125" s="7"/>
      <c r="X2125" s="7"/>
      <c r="AG2125" s="7"/>
      <c r="AP2125" s="7"/>
      <c r="AY2125" s="7"/>
      <c r="BH2125" s="7"/>
      <c r="BQ2125" s="7"/>
      <c r="BZ2125" s="7"/>
    </row>
    <row r="2126" spans="2:78">
      <c r="B2126" s="7"/>
      <c r="O2126" s="7"/>
      <c r="X2126" s="7"/>
      <c r="AG2126" s="7"/>
      <c r="AP2126" s="7"/>
      <c r="AY2126" s="7"/>
      <c r="BH2126" s="7"/>
      <c r="BQ2126" s="7"/>
      <c r="BZ2126" s="7"/>
    </row>
    <row r="2127" spans="2:78">
      <c r="B2127" s="7"/>
      <c r="O2127" s="7"/>
      <c r="X2127" s="7"/>
      <c r="AG2127" s="7"/>
      <c r="AP2127" s="7"/>
      <c r="AY2127" s="7"/>
      <c r="BH2127" s="7"/>
      <c r="BQ2127" s="7"/>
      <c r="BZ2127" s="7"/>
    </row>
    <row r="2128" spans="2:78">
      <c r="B2128" s="7"/>
      <c r="O2128" s="7"/>
      <c r="X2128" s="7"/>
      <c r="AG2128" s="7"/>
      <c r="AP2128" s="7"/>
      <c r="AY2128" s="7"/>
      <c r="BH2128" s="7"/>
      <c r="BQ2128" s="7"/>
      <c r="BZ2128" s="7"/>
    </row>
    <row r="2129" spans="2:78">
      <c r="B2129" s="7"/>
      <c r="O2129" s="7"/>
      <c r="X2129" s="7"/>
      <c r="AG2129" s="7"/>
      <c r="AP2129" s="7"/>
      <c r="AY2129" s="7"/>
      <c r="BH2129" s="7"/>
      <c r="BQ2129" s="7"/>
      <c r="BZ2129" s="7"/>
    </row>
    <row r="2130" spans="2:78">
      <c r="B2130" s="7"/>
      <c r="O2130" s="7"/>
      <c r="X2130" s="7"/>
      <c r="AG2130" s="7"/>
      <c r="AP2130" s="7"/>
      <c r="AY2130" s="7"/>
      <c r="BH2130" s="7"/>
      <c r="BQ2130" s="7"/>
      <c r="BZ2130" s="7"/>
    </row>
    <row r="2131" spans="2:78">
      <c r="B2131" s="7"/>
      <c r="O2131" s="7"/>
      <c r="X2131" s="7"/>
      <c r="AG2131" s="7"/>
      <c r="AP2131" s="7"/>
      <c r="AY2131" s="7"/>
      <c r="BH2131" s="7"/>
      <c r="BQ2131" s="7"/>
      <c r="BZ2131" s="7"/>
    </row>
    <row r="2132" spans="2:78">
      <c r="B2132" s="7"/>
      <c r="O2132" s="7"/>
      <c r="X2132" s="7"/>
      <c r="AG2132" s="7"/>
      <c r="AP2132" s="7"/>
      <c r="AY2132" s="7"/>
      <c r="BH2132" s="7"/>
      <c r="BQ2132" s="7"/>
      <c r="BZ2132" s="7"/>
    </row>
    <row r="2133" spans="2:78">
      <c r="B2133" s="7"/>
      <c r="O2133" s="7"/>
      <c r="X2133" s="7"/>
      <c r="AG2133" s="7"/>
      <c r="AP2133" s="7"/>
      <c r="AY2133" s="7"/>
      <c r="BH2133" s="7"/>
      <c r="BQ2133" s="7"/>
      <c r="BZ2133" s="7"/>
    </row>
    <row r="2134" spans="2:78">
      <c r="B2134" s="7"/>
      <c r="O2134" s="7"/>
      <c r="X2134" s="7"/>
      <c r="AG2134" s="7"/>
      <c r="AP2134" s="7"/>
      <c r="AY2134" s="7"/>
      <c r="BH2134" s="7"/>
      <c r="BQ2134" s="7"/>
      <c r="BZ2134" s="7"/>
    </row>
    <row r="2135" spans="2:78">
      <c r="B2135" s="7"/>
      <c r="O2135" s="7"/>
      <c r="X2135" s="7"/>
      <c r="AG2135" s="7"/>
      <c r="AP2135" s="7"/>
      <c r="AY2135" s="7"/>
      <c r="BH2135" s="7"/>
      <c r="BQ2135" s="7"/>
      <c r="BZ2135" s="7"/>
    </row>
    <row r="2136" spans="2:78">
      <c r="B2136" s="7"/>
      <c r="O2136" s="7"/>
      <c r="X2136" s="7"/>
      <c r="AG2136" s="7"/>
      <c r="AP2136" s="7"/>
      <c r="AY2136" s="7"/>
      <c r="BH2136" s="7"/>
      <c r="BQ2136" s="7"/>
      <c r="BZ2136" s="7"/>
    </row>
    <row r="2137" spans="2:78">
      <c r="B2137" s="7"/>
      <c r="O2137" s="7"/>
      <c r="X2137" s="7"/>
      <c r="AG2137" s="7"/>
      <c r="AP2137" s="7"/>
      <c r="AY2137" s="7"/>
      <c r="BH2137" s="7"/>
      <c r="BQ2137" s="7"/>
      <c r="BZ2137" s="7"/>
    </row>
    <row r="2138" spans="2:78">
      <c r="B2138" s="7"/>
      <c r="O2138" s="7"/>
      <c r="X2138" s="7"/>
      <c r="AG2138" s="7"/>
      <c r="AP2138" s="7"/>
      <c r="AY2138" s="7"/>
      <c r="BH2138" s="7"/>
      <c r="BQ2138" s="7"/>
      <c r="BZ2138" s="7"/>
    </row>
    <row r="2139" spans="2:78">
      <c r="B2139" s="7"/>
      <c r="O2139" s="7"/>
      <c r="X2139" s="7"/>
      <c r="AG2139" s="7"/>
      <c r="AP2139" s="7"/>
      <c r="AY2139" s="7"/>
      <c r="BH2139" s="7"/>
      <c r="BQ2139" s="7"/>
      <c r="BZ2139" s="7"/>
    </row>
    <row r="2140" spans="2:78">
      <c r="B2140" s="7"/>
      <c r="O2140" s="7"/>
      <c r="X2140" s="7"/>
      <c r="AG2140" s="7"/>
      <c r="AP2140" s="7"/>
      <c r="AY2140" s="7"/>
      <c r="BH2140" s="7"/>
      <c r="BQ2140" s="7"/>
      <c r="BZ2140" s="7"/>
    </row>
    <row r="2141" spans="2:78">
      <c r="B2141" s="7"/>
      <c r="O2141" s="7"/>
      <c r="X2141" s="7"/>
      <c r="AG2141" s="7"/>
      <c r="AP2141" s="7"/>
      <c r="AY2141" s="7"/>
      <c r="BH2141" s="7"/>
      <c r="BQ2141" s="7"/>
      <c r="BZ2141" s="7"/>
    </row>
    <row r="2142" spans="2:78">
      <c r="B2142" s="7"/>
      <c r="O2142" s="7"/>
      <c r="X2142" s="7"/>
      <c r="AG2142" s="7"/>
      <c r="AP2142" s="7"/>
      <c r="AY2142" s="7"/>
      <c r="BH2142" s="7"/>
      <c r="BQ2142" s="7"/>
      <c r="BZ2142" s="7"/>
    </row>
    <row r="2143" spans="2:78">
      <c r="B2143" s="7"/>
      <c r="O2143" s="7"/>
      <c r="X2143" s="7"/>
      <c r="AG2143" s="7"/>
      <c r="AP2143" s="7"/>
      <c r="AY2143" s="7"/>
      <c r="BH2143" s="7"/>
      <c r="BQ2143" s="7"/>
      <c r="BZ2143" s="7"/>
    </row>
    <row r="2144" spans="2:78">
      <c r="B2144" s="7"/>
      <c r="O2144" s="7"/>
      <c r="X2144" s="7"/>
      <c r="AG2144" s="7"/>
      <c r="AP2144" s="7"/>
      <c r="AY2144" s="7"/>
      <c r="BH2144" s="7"/>
      <c r="BQ2144" s="7"/>
      <c r="BZ2144" s="7"/>
    </row>
    <row r="2145" spans="2:78">
      <c r="B2145" s="7"/>
      <c r="O2145" s="7"/>
      <c r="X2145" s="7"/>
      <c r="AG2145" s="7"/>
      <c r="AP2145" s="7"/>
      <c r="AY2145" s="7"/>
      <c r="BH2145" s="7"/>
      <c r="BQ2145" s="7"/>
      <c r="BZ2145" s="7"/>
    </row>
    <row r="2146" spans="2:78">
      <c r="B2146" s="7"/>
      <c r="O2146" s="7"/>
      <c r="X2146" s="7"/>
      <c r="AG2146" s="7"/>
      <c r="AP2146" s="7"/>
      <c r="AY2146" s="7"/>
      <c r="BH2146" s="7"/>
      <c r="BQ2146" s="7"/>
      <c r="BZ2146" s="7"/>
    </row>
    <row r="2147" spans="2:78">
      <c r="B2147" s="7"/>
      <c r="O2147" s="7"/>
      <c r="X2147" s="7"/>
      <c r="AG2147" s="7"/>
      <c r="AP2147" s="7"/>
      <c r="AY2147" s="7"/>
      <c r="BH2147" s="7"/>
      <c r="BQ2147" s="7"/>
      <c r="BZ2147" s="7"/>
    </row>
    <row r="2148" spans="2:78">
      <c r="B2148" s="7"/>
      <c r="O2148" s="7"/>
      <c r="X2148" s="7"/>
      <c r="AG2148" s="7"/>
      <c r="AP2148" s="7"/>
      <c r="AY2148" s="7"/>
      <c r="BH2148" s="7"/>
      <c r="BQ2148" s="7"/>
      <c r="BZ2148" s="7"/>
    </row>
    <row r="2149" spans="2:78">
      <c r="B2149" s="7"/>
      <c r="O2149" s="7"/>
      <c r="X2149" s="7"/>
      <c r="AG2149" s="7"/>
      <c r="AP2149" s="7"/>
      <c r="AY2149" s="7"/>
      <c r="BH2149" s="7"/>
      <c r="BQ2149" s="7"/>
      <c r="BZ2149" s="7"/>
    </row>
    <row r="2150" spans="2:78">
      <c r="B2150" s="7"/>
      <c r="O2150" s="7"/>
      <c r="X2150" s="7"/>
      <c r="AG2150" s="7"/>
      <c r="AP2150" s="7"/>
      <c r="AY2150" s="7"/>
      <c r="BH2150" s="7"/>
      <c r="BQ2150" s="7"/>
      <c r="BZ2150" s="7"/>
    </row>
    <row r="2151" spans="2:78">
      <c r="B2151" s="7"/>
      <c r="O2151" s="7"/>
      <c r="X2151" s="7"/>
      <c r="AG2151" s="7"/>
      <c r="AP2151" s="7"/>
      <c r="AY2151" s="7"/>
      <c r="BH2151" s="7"/>
      <c r="BQ2151" s="7"/>
      <c r="BZ2151" s="7"/>
    </row>
    <row r="2152" spans="2:78">
      <c r="B2152" s="7"/>
      <c r="O2152" s="7"/>
      <c r="X2152" s="7"/>
      <c r="AG2152" s="7"/>
      <c r="AP2152" s="7"/>
      <c r="AY2152" s="7"/>
      <c r="BH2152" s="7"/>
      <c r="BQ2152" s="7"/>
      <c r="BZ2152" s="7"/>
    </row>
    <row r="2153" spans="2:78">
      <c r="B2153" s="7"/>
      <c r="O2153" s="7"/>
      <c r="X2153" s="7"/>
      <c r="AG2153" s="7"/>
      <c r="AP2153" s="7"/>
      <c r="AY2153" s="7"/>
      <c r="BH2153" s="7"/>
      <c r="BQ2153" s="7"/>
      <c r="BZ2153" s="7"/>
    </row>
    <row r="2154" spans="2:78">
      <c r="B2154" s="7"/>
      <c r="O2154" s="7"/>
      <c r="X2154" s="7"/>
      <c r="AG2154" s="7"/>
      <c r="AP2154" s="7"/>
      <c r="AY2154" s="7"/>
      <c r="BH2154" s="7"/>
      <c r="BQ2154" s="7"/>
      <c r="BZ2154" s="7"/>
    </row>
    <row r="2155" spans="2:78">
      <c r="B2155" s="7"/>
      <c r="O2155" s="7"/>
      <c r="X2155" s="7"/>
      <c r="AG2155" s="7"/>
      <c r="AP2155" s="7"/>
      <c r="AY2155" s="7"/>
      <c r="BH2155" s="7"/>
      <c r="BQ2155" s="7"/>
      <c r="BZ2155" s="7"/>
    </row>
    <row r="2156" spans="2:78">
      <c r="B2156" s="7"/>
      <c r="O2156" s="7"/>
      <c r="X2156" s="7"/>
      <c r="AG2156" s="7"/>
      <c r="AP2156" s="7"/>
      <c r="AY2156" s="7"/>
      <c r="BH2156" s="7"/>
      <c r="BQ2156" s="7"/>
      <c r="BZ2156" s="7"/>
    </row>
    <row r="2157" spans="2:78">
      <c r="B2157" s="7"/>
      <c r="O2157" s="7"/>
      <c r="X2157" s="7"/>
      <c r="AG2157" s="7"/>
      <c r="AP2157" s="7"/>
      <c r="AY2157" s="7"/>
      <c r="BH2157" s="7"/>
      <c r="BQ2157" s="7"/>
      <c r="BZ2157" s="7"/>
    </row>
    <row r="2158" spans="2:78">
      <c r="B2158" s="7"/>
      <c r="O2158" s="7"/>
      <c r="X2158" s="7"/>
      <c r="AG2158" s="7"/>
      <c r="AP2158" s="7"/>
      <c r="AY2158" s="7"/>
      <c r="BH2158" s="7"/>
      <c r="BQ2158" s="7"/>
      <c r="BZ2158" s="7"/>
    </row>
    <row r="2159" spans="2:78">
      <c r="B2159" s="7"/>
      <c r="O2159" s="7"/>
      <c r="X2159" s="7"/>
      <c r="AG2159" s="7"/>
      <c r="AP2159" s="7"/>
      <c r="AY2159" s="7"/>
      <c r="BH2159" s="7"/>
      <c r="BQ2159" s="7"/>
      <c r="BZ2159" s="7"/>
    </row>
    <row r="2160" spans="2:78">
      <c r="B2160" s="7"/>
      <c r="O2160" s="7"/>
      <c r="X2160" s="7"/>
      <c r="AG2160" s="7"/>
      <c r="AP2160" s="7"/>
      <c r="AY2160" s="7"/>
      <c r="BH2160" s="7"/>
      <c r="BQ2160" s="7"/>
      <c r="BZ2160" s="7"/>
    </row>
    <row r="2161" spans="2:78">
      <c r="B2161" s="7"/>
      <c r="O2161" s="7"/>
      <c r="X2161" s="7"/>
      <c r="AG2161" s="7"/>
      <c r="AP2161" s="7"/>
      <c r="AY2161" s="7"/>
      <c r="BH2161" s="7"/>
      <c r="BQ2161" s="7"/>
      <c r="BZ2161" s="7"/>
    </row>
    <row r="2162" spans="2:78">
      <c r="B2162" s="7"/>
      <c r="O2162" s="7"/>
      <c r="X2162" s="7"/>
      <c r="AG2162" s="7"/>
      <c r="AP2162" s="7"/>
      <c r="AY2162" s="7"/>
      <c r="BH2162" s="7"/>
      <c r="BQ2162" s="7"/>
      <c r="BZ2162" s="7"/>
    </row>
    <row r="2163" spans="2:78">
      <c r="B2163" s="7"/>
      <c r="O2163" s="7"/>
      <c r="X2163" s="7"/>
      <c r="AG2163" s="7"/>
      <c r="AP2163" s="7"/>
      <c r="AY2163" s="7"/>
      <c r="BH2163" s="7"/>
      <c r="BQ2163" s="7"/>
      <c r="BZ2163" s="7"/>
    </row>
    <row r="2164" spans="2:78">
      <c r="B2164" s="7"/>
      <c r="O2164" s="7"/>
      <c r="X2164" s="7"/>
      <c r="AG2164" s="7"/>
      <c r="AP2164" s="7"/>
      <c r="AY2164" s="7"/>
      <c r="BH2164" s="7"/>
      <c r="BQ2164" s="7"/>
      <c r="BZ2164" s="7"/>
    </row>
    <row r="2165" spans="2:78">
      <c r="B2165" s="7"/>
      <c r="O2165" s="7"/>
      <c r="X2165" s="7"/>
      <c r="AG2165" s="7"/>
      <c r="AP2165" s="7"/>
      <c r="AY2165" s="7"/>
      <c r="BH2165" s="7"/>
      <c r="BQ2165" s="7"/>
      <c r="BZ2165" s="7"/>
    </row>
    <row r="2166" spans="2:78">
      <c r="B2166" s="7"/>
      <c r="O2166" s="7"/>
      <c r="X2166" s="7"/>
      <c r="AG2166" s="7"/>
      <c r="AP2166" s="7"/>
      <c r="AY2166" s="7"/>
      <c r="BH2166" s="7"/>
      <c r="BQ2166" s="7"/>
      <c r="BZ2166" s="7"/>
    </row>
    <row r="2167" spans="2:78">
      <c r="B2167" s="7"/>
      <c r="O2167" s="7"/>
      <c r="X2167" s="7"/>
      <c r="AG2167" s="7"/>
      <c r="AP2167" s="7"/>
      <c r="AY2167" s="7"/>
      <c r="BH2167" s="7"/>
      <c r="BQ2167" s="7"/>
      <c r="BZ2167" s="7"/>
    </row>
    <row r="2168" spans="2:78">
      <c r="B2168" s="7"/>
      <c r="O2168" s="7"/>
      <c r="X2168" s="7"/>
      <c r="AG2168" s="7"/>
      <c r="AP2168" s="7"/>
      <c r="AY2168" s="7"/>
      <c r="BH2168" s="7"/>
      <c r="BQ2168" s="7"/>
      <c r="BZ2168" s="7"/>
    </row>
    <row r="2169" spans="2:78">
      <c r="B2169" s="7"/>
      <c r="O2169" s="7"/>
      <c r="X2169" s="7"/>
      <c r="AG2169" s="7"/>
      <c r="AP2169" s="7"/>
      <c r="AY2169" s="7"/>
      <c r="BH2169" s="7"/>
      <c r="BQ2169" s="7"/>
      <c r="BZ2169" s="7"/>
    </row>
    <row r="2170" spans="2:78">
      <c r="B2170" s="7"/>
      <c r="O2170" s="7"/>
      <c r="X2170" s="7"/>
      <c r="AG2170" s="7"/>
      <c r="AP2170" s="7"/>
      <c r="AY2170" s="7"/>
      <c r="BH2170" s="7"/>
      <c r="BQ2170" s="7"/>
      <c r="BZ2170" s="7"/>
    </row>
    <row r="2171" spans="2:78">
      <c r="B2171" s="7"/>
      <c r="O2171" s="7"/>
      <c r="X2171" s="7"/>
      <c r="AG2171" s="7"/>
      <c r="AP2171" s="7"/>
      <c r="AY2171" s="7"/>
      <c r="BH2171" s="7"/>
      <c r="BQ2171" s="7"/>
      <c r="BZ2171" s="7"/>
    </row>
    <row r="2172" spans="2:78">
      <c r="B2172" s="7"/>
      <c r="O2172" s="7"/>
      <c r="X2172" s="7"/>
      <c r="AG2172" s="7"/>
      <c r="AP2172" s="7"/>
      <c r="AY2172" s="7"/>
      <c r="BH2172" s="7"/>
      <c r="BQ2172" s="7"/>
      <c r="BZ2172" s="7"/>
    </row>
    <row r="2173" spans="2:78">
      <c r="B2173" s="7"/>
      <c r="O2173" s="7"/>
      <c r="X2173" s="7"/>
      <c r="AG2173" s="7"/>
      <c r="AP2173" s="7"/>
      <c r="AY2173" s="7"/>
      <c r="BH2173" s="7"/>
      <c r="BQ2173" s="7"/>
      <c r="BZ2173" s="7"/>
    </row>
    <row r="2174" spans="2:78">
      <c r="B2174" s="7"/>
      <c r="O2174" s="7"/>
      <c r="X2174" s="7"/>
      <c r="AG2174" s="7"/>
      <c r="AP2174" s="7"/>
      <c r="AY2174" s="7"/>
      <c r="BH2174" s="7"/>
      <c r="BQ2174" s="7"/>
      <c r="BZ2174" s="7"/>
    </row>
    <row r="2175" spans="2:78">
      <c r="B2175" s="7"/>
      <c r="O2175" s="7"/>
      <c r="X2175" s="7"/>
      <c r="AG2175" s="7"/>
      <c r="AP2175" s="7"/>
      <c r="AY2175" s="7"/>
      <c r="BH2175" s="7"/>
      <c r="BQ2175" s="7"/>
      <c r="BZ2175" s="7"/>
    </row>
    <row r="2176" spans="2:78">
      <c r="B2176" s="7"/>
      <c r="O2176" s="7"/>
      <c r="X2176" s="7"/>
      <c r="AG2176" s="7"/>
      <c r="AP2176" s="7"/>
      <c r="AY2176" s="7"/>
      <c r="BH2176" s="7"/>
      <c r="BQ2176" s="7"/>
      <c r="BZ2176" s="7"/>
    </row>
    <row r="2177" spans="2:78">
      <c r="B2177" s="7"/>
      <c r="O2177" s="7"/>
      <c r="X2177" s="7"/>
      <c r="AG2177" s="7"/>
      <c r="AP2177" s="7"/>
      <c r="AY2177" s="7"/>
      <c r="BH2177" s="7"/>
      <c r="BQ2177" s="7"/>
      <c r="BZ2177" s="7"/>
    </row>
    <row r="2178" spans="2:78">
      <c r="B2178" s="7"/>
      <c r="O2178" s="7"/>
      <c r="X2178" s="7"/>
      <c r="AG2178" s="7"/>
      <c r="AP2178" s="7"/>
      <c r="AY2178" s="7"/>
      <c r="BH2178" s="7"/>
      <c r="BQ2178" s="7"/>
      <c r="BZ2178" s="7"/>
    </row>
    <row r="2179" spans="2:78">
      <c r="B2179" s="7"/>
      <c r="O2179" s="7"/>
      <c r="X2179" s="7"/>
      <c r="AG2179" s="7"/>
      <c r="AP2179" s="7"/>
      <c r="AY2179" s="7"/>
      <c r="BH2179" s="7"/>
      <c r="BQ2179" s="7"/>
      <c r="BZ2179" s="7"/>
    </row>
    <row r="2180" spans="2:78">
      <c r="B2180" s="7"/>
      <c r="O2180" s="7"/>
      <c r="X2180" s="7"/>
      <c r="AG2180" s="7"/>
      <c r="AP2180" s="7"/>
      <c r="AY2180" s="7"/>
      <c r="BH2180" s="7"/>
      <c r="BQ2180" s="7"/>
      <c r="BZ2180" s="7"/>
    </row>
    <row r="2181" spans="2:78">
      <c r="B2181" s="7"/>
      <c r="O2181" s="7"/>
      <c r="X2181" s="7"/>
      <c r="AG2181" s="7"/>
      <c r="AP2181" s="7"/>
      <c r="AY2181" s="7"/>
      <c r="BH2181" s="7"/>
      <c r="BQ2181" s="7"/>
      <c r="BZ2181" s="7"/>
    </row>
    <row r="2182" spans="2:78">
      <c r="B2182" s="7"/>
      <c r="O2182" s="7"/>
      <c r="X2182" s="7"/>
      <c r="AG2182" s="7"/>
      <c r="AP2182" s="7"/>
      <c r="AY2182" s="7"/>
      <c r="BH2182" s="7"/>
      <c r="BQ2182" s="7"/>
      <c r="BZ2182" s="7"/>
    </row>
    <row r="2183" spans="2:78">
      <c r="B2183" s="7"/>
      <c r="O2183" s="7"/>
      <c r="X2183" s="7"/>
      <c r="AG2183" s="7"/>
      <c r="AP2183" s="7"/>
      <c r="AY2183" s="7"/>
      <c r="BH2183" s="7"/>
      <c r="BQ2183" s="7"/>
      <c r="BZ2183" s="7"/>
    </row>
    <row r="2184" spans="2:78">
      <c r="B2184" s="7"/>
      <c r="O2184" s="7"/>
      <c r="X2184" s="7"/>
      <c r="AG2184" s="7"/>
      <c r="AP2184" s="7"/>
      <c r="AY2184" s="7"/>
      <c r="BH2184" s="7"/>
      <c r="BQ2184" s="7"/>
      <c r="BZ2184" s="7"/>
    </row>
    <row r="2185" spans="2:78">
      <c r="B2185" s="7"/>
      <c r="O2185" s="7"/>
      <c r="X2185" s="7"/>
      <c r="AG2185" s="7"/>
      <c r="AP2185" s="7"/>
      <c r="AY2185" s="7"/>
      <c r="BH2185" s="7"/>
      <c r="BQ2185" s="7"/>
      <c r="BZ2185" s="7"/>
    </row>
    <row r="2186" spans="2:78">
      <c r="B2186" s="7"/>
      <c r="O2186" s="7"/>
      <c r="X2186" s="7"/>
      <c r="AG2186" s="7"/>
      <c r="AP2186" s="7"/>
      <c r="AY2186" s="7"/>
      <c r="BH2186" s="7"/>
      <c r="BQ2186" s="7"/>
      <c r="BZ2186" s="7"/>
    </row>
    <row r="2187" spans="2:78">
      <c r="B2187" s="7"/>
      <c r="O2187" s="7"/>
      <c r="X2187" s="7"/>
      <c r="AG2187" s="7"/>
      <c r="AP2187" s="7"/>
      <c r="AY2187" s="7"/>
      <c r="BH2187" s="7"/>
      <c r="BQ2187" s="7"/>
      <c r="BZ2187" s="7"/>
    </row>
    <row r="2188" spans="2:78">
      <c r="B2188" s="7"/>
      <c r="O2188" s="7"/>
      <c r="X2188" s="7"/>
      <c r="AG2188" s="7"/>
      <c r="AP2188" s="7"/>
      <c r="AY2188" s="7"/>
      <c r="BH2188" s="7"/>
      <c r="BQ2188" s="7"/>
      <c r="BZ2188" s="7"/>
    </row>
    <row r="2189" spans="2:78">
      <c r="B2189" s="7"/>
      <c r="O2189" s="7"/>
      <c r="X2189" s="7"/>
      <c r="AG2189" s="7"/>
      <c r="AP2189" s="7"/>
      <c r="AY2189" s="7"/>
      <c r="BH2189" s="7"/>
      <c r="BQ2189" s="7"/>
      <c r="BZ2189" s="7"/>
    </row>
    <row r="2190" spans="2:78">
      <c r="B2190" s="7"/>
      <c r="O2190" s="7"/>
      <c r="X2190" s="7"/>
      <c r="AG2190" s="7"/>
      <c r="AP2190" s="7"/>
      <c r="AY2190" s="7"/>
      <c r="BH2190" s="7"/>
      <c r="BQ2190" s="7"/>
      <c r="BZ2190" s="7"/>
    </row>
    <row r="2191" spans="2:78">
      <c r="B2191" s="7"/>
      <c r="O2191" s="7"/>
      <c r="X2191" s="7"/>
      <c r="AG2191" s="7"/>
      <c r="AP2191" s="7"/>
      <c r="AY2191" s="7"/>
      <c r="BH2191" s="7"/>
      <c r="BQ2191" s="7"/>
      <c r="BZ2191" s="7"/>
    </row>
    <row r="2192" spans="2:78">
      <c r="B2192" s="7"/>
      <c r="O2192" s="7"/>
      <c r="X2192" s="7"/>
      <c r="AG2192" s="7"/>
      <c r="AP2192" s="7"/>
      <c r="AY2192" s="7"/>
      <c r="BH2192" s="7"/>
      <c r="BQ2192" s="7"/>
      <c r="BZ2192" s="7"/>
    </row>
    <row r="2193" spans="2:78">
      <c r="B2193" s="7"/>
      <c r="O2193" s="7"/>
      <c r="X2193" s="7"/>
      <c r="AG2193" s="7"/>
      <c r="AP2193" s="7"/>
      <c r="AY2193" s="7"/>
      <c r="BH2193" s="7"/>
      <c r="BQ2193" s="7"/>
      <c r="BZ2193" s="7"/>
    </row>
    <row r="2194" spans="2:78">
      <c r="B2194" s="7"/>
      <c r="O2194" s="7"/>
      <c r="X2194" s="7"/>
      <c r="AG2194" s="7"/>
      <c r="AP2194" s="7"/>
      <c r="AY2194" s="7"/>
      <c r="BH2194" s="7"/>
      <c r="BQ2194" s="7"/>
      <c r="BZ2194" s="7"/>
    </row>
    <row r="2195" spans="2:78">
      <c r="B2195" s="7"/>
      <c r="O2195" s="7"/>
      <c r="X2195" s="7"/>
      <c r="AG2195" s="7"/>
      <c r="AP2195" s="7"/>
      <c r="AY2195" s="7"/>
      <c r="BH2195" s="7"/>
      <c r="BQ2195" s="7"/>
      <c r="BZ2195" s="7"/>
    </row>
    <row r="2196" spans="2:78">
      <c r="B2196" s="7"/>
      <c r="O2196" s="7"/>
      <c r="X2196" s="7"/>
      <c r="AG2196" s="7"/>
      <c r="AP2196" s="7"/>
      <c r="AY2196" s="7"/>
      <c r="BH2196" s="7"/>
      <c r="BQ2196" s="7"/>
      <c r="BZ2196" s="7"/>
    </row>
    <row r="2197" spans="2:78">
      <c r="B2197" s="7"/>
      <c r="O2197" s="7"/>
      <c r="X2197" s="7"/>
      <c r="AG2197" s="7"/>
      <c r="AP2197" s="7"/>
      <c r="AY2197" s="7"/>
      <c r="BH2197" s="7"/>
      <c r="BQ2197" s="7"/>
      <c r="BZ2197" s="7"/>
    </row>
    <row r="2198" spans="2:78">
      <c r="B2198" s="7"/>
      <c r="O2198" s="7"/>
      <c r="X2198" s="7"/>
      <c r="AG2198" s="7"/>
      <c r="AP2198" s="7"/>
      <c r="AY2198" s="7"/>
      <c r="BH2198" s="7"/>
      <c r="BQ2198" s="7"/>
      <c r="BZ2198" s="7"/>
    </row>
    <row r="2199" spans="2:78">
      <c r="B2199" s="7"/>
      <c r="O2199" s="7"/>
      <c r="X2199" s="7"/>
      <c r="AG2199" s="7"/>
      <c r="AP2199" s="7"/>
      <c r="AY2199" s="7"/>
      <c r="BH2199" s="7"/>
      <c r="BQ2199" s="7"/>
      <c r="BZ2199" s="7"/>
    </row>
    <row r="2200" spans="2:78">
      <c r="B2200" s="7"/>
      <c r="O2200" s="7"/>
      <c r="X2200" s="7"/>
      <c r="AG2200" s="7"/>
      <c r="AP2200" s="7"/>
      <c r="AY2200" s="7"/>
      <c r="BH2200" s="7"/>
      <c r="BQ2200" s="7"/>
      <c r="BZ2200" s="7"/>
    </row>
    <row r="2201" spans="2:78">
      <c r="B2201" s="7"/>
      <c r="O2201" s="7"/>
      <c r="X2201" s="7"/>
      <c r="AG2201" s="7"/>
      <c r="AP2201" s="7"/>
      <c r="AY2201" s="7"/>
      <c r="BH2201" s="7"/>
      <c r="BQ2201" s="7"/>
      <c r="BZ2201" s="7"/>
    </row>
    <row r="2202" spans="2:78">
      <c r="B2202" s="7"/>
      <c r="O2202" s="7"/>
      <c r="X2202" s="7"/>
      <c r="AG2202" s="7"/>
      <c r="AP2202" s="7"/>
      <c r="AY2202" s="7"/>
      <c r="BH2202" s="7"/>
      <c r="BQ2202" s="7"/>
      <c r="BZ2202" s="7"/>
    </row>
    <row r="2203" spans="2:78">
      <c r="B2203" s="7"/>
      <c r="O2203" s="7"/>
      <c r="X2203" s="7"/>
      <c r="AG2203" s="7"/>
      <c r="AP2203" s="7"/>
      <c r="AY2203" s="7"/>
      <c r="BH2203" s="7"/>
      <c r="BQ2203" s="7"/>
      <c r="BZ2203" s="7"/>
    </row>
    <row r="2204" spans="2:78">
      <c r="B2204" s="7"/>
      <c r="O2204" s="7"/>
      <c r="X2204" s="7"/>
      <c r="AG2204" s="7"/>
      <c r="AP2204" s="7"/>
      <c r="AY2204" s="7"/>
      <c r="BH2204" s="7"/>
      <c r="BQ2204" s="7"/>
      <c r="BZ2204" s="7"/>
    </row>
    <row r="2205" spans="2:78">
      <c r="B2205" s="7"/>
      <c r="O2205" s="7"/>
      <c r="X2205" s="7"/>
      <c r="AG2205" s="7"/>
      <c r="AP2205" s="7"/>
      <c r="AY2205" s="7"/>
      <c r="BH2205" s="7"/>
      <c r="BQ2205" s="7"/>
      <c r="BZ2205" s="7"/>
    </row>
    <row r="2206" spans="2:78">
      <c r="B2206" s="7"/>
      <c r="O2206" s="7"/>
      <c r="X2206" s="7"/>
      <c r="AG2206" s="7"/>
      <c r="AP2206" s="7"/>
      <c r="AY2206" s="7"/>
      <c r="BH2206" s="7"/>
      <c r="BQ2206" s="7"/>
      <c r="BZ2206" s="7"/>
    </row>
    <row r="2207" spans="2:78">
      <c r="B2207" s="7"/>
      <c r="O2207" s="7"/>
      <c r="X2207" s="7"/>
      <c r="AG2207" s="7"/>
      <c r="AP2207" s="7"/>
      <c r="AY2207" s="7"/>
      <c r="BH2207" s="7"/>
      <c r="BQ2207" s="7"/>
      <c r="BZ2207" s="7"/>
    </row>
    <row r="2208" spans="2:78">
      <c r="B2208" s="7"/>
      <c r="O2208" s="7"/>
      <c r="X2208" s="7"/>
      <c r="AG2208" s="7"/>
      <c r="AP2208" s="7"/>
      <c r="AY2208" s="7"/>
      <c r="BH2208" s="7"/>
      <c r="BQ2208" s="7"/>
      <c r="BZ2208" s="7"/>
    </row>
    <row r="2209" spans="2:78">
      <c r="B2209" s="7"/>
      <c r="O2209" s="7"/>
      <c r="X2209" s="7"/>
      <c r="AG2209" s="7"/>
      <c r="AP2209" s="7"/>
      <c r="AY2209" s="7"/>
      <c r="BH2209" s="7"/>
      <c r="BQ2209" s="7"/>
      <c r="BZ2209" s="7"/>
    </row>
    <row r="2210" spans="2:78">
      <c r="B2210" s="7"/>
      <c r="O2210" s="7"/>
      <c r="X2210" s="7"/>
      <c r="AG2210" s="7"/>
      <c r="AP2210" s="7"/>
      <c r="AY2210" s="7"/>
      <c r="BH2210" s="7"/>
      <c r="BQ2210" s="7"/>
      <c r="BZ2210" s="7"/>
    </row>
    <row r="2211" spans="2:78">
      <c r="B2211" s="7"/>
      <c r="O2211" s="7"/>
      <c r="X2211" s="7"/>
      <c r="AG2211" s="7"/>
      <c r="AP2211" s="7"/>
      <c r="AY2211" s="7"/>
      <c r="BH2211" s="7"/>
      <c r="BQ2211" s="7"/>
      <c r="BZ2211" s="7"/>
    </row>
    <row r="2212" spans="2:78">
      <c r="B2212" s="7"/>
      <c r="O2212" s="7"/>
      <c r="X2212" s="7"/>
      <c r="AG2212" s="7"/>
      <c r="AP2212" s="7"/>
      <c r="AY2212" s="7"/>
      <c r="BH2212" s="7"/>
      <c r="BQ2212" s="7"/>
      <c r="BZ2212" s="7"/>
    </row>
    <row r="2213" spans="2:78">
      <c r="B2213" s="7"/>
      <c r="O2213" s="7"/>
      <c r="X2213" s="7"/>
      <c r="AG2213" s="7"/>
      <c r="AP2213" s="7"/>
      <c r="AY2213" s="7"/>
      <c r="BH2213" s="7"/>
      <c r="BQ2213" s="7"/>
      <c r="BZ2213" s="7"/>
    </row>
    <row r="2214" spans="2:78">
      <c r="B2214" s="7"/>
      <c r="O2214" s="7"/>
      <c r="X2214" s="7"/>
      <c r="AG2214" s="7"/>
      <c r="AP2214" s="7"/>
      <c r="AY2214" s="7"/>
      <c r="BH2214" s="7"/>
      <c r="BQ2214" s="7"/>
      <c r="BZ2214" s="7"/>
    </row>
    <row r="2215" spans="2:78">
      <c r="B2215" s="7"/>
      <c r="O2215" s="7"/>
      <c r="X2215" s="7"/>
      <c r="AG2215" s="7"/>
      <c r="AP2215" s="7"/>
      <c r="AY2215" s="7"/>
      <c r="BH2215" s="7"/>
      <c r="BQ2215" s="7"/>
      <c r="BZ2215" s="7"/>
    </row>
    <row r="2216" spans="2:78">
      <c r="B2216" s="7"/>
      <c r="O2216" s="7"/>
      <c r="X2216" s="7"/>
      <c r="AG2216" s="7"/>
      <c r="AP2216" s="7"/>
      <c r="AY2216" s="7"/>
      <c r="BH2216" s="7"/>
      <c r="BQ2216" s="7"/>
      <c r="BZ2216" s="7"/>
    </row>
    <row r="2217" spans="2:78">
      <c r="B2217" s="7"/>
      <c r="O2217" s="7"/>
      <c r="X2217" s="7"/>
      <c r="AG2217" s="7"/>
      <c r="AP2217" s="7"/>
      <c r="AY2217" s="7"/>
      <c r="BH2217" s="7"/>
      <c r="BQ2217" s="7"/>
      <c r="BZ2217" s="7"/>
    </row>
    <row r="2218" spans="2:78">
      <c r="B2218" s="7"/>
      <c r="O2218" s="7"/>
      <c r="X2218" s="7"/>
      <c r="AG2218" s="7"/>
      <c r="AP2218" s="7"/>
      <c r="AY2218" s="7"/>
      <c r="BH2218" s="7"/>
      <c r="BQ2218" s="7"/>
      <c r="BZ2218" s="7"/>
    </row>
    <row r="2219" spans="2:78">
      <c r="B2219" s="7"/>
      <c r="O2219" s="7"/>
      <c r="X2219" s="7"/>
      <c r="AG2219" s="7"/>
      <c r="AP2219" s="7"/>
      <c r="AY2219" s="7"/>
      <c r="BH2219" s="7"/>
      <c r="BQ2219" s="7"/>
      <c r="BZ2219" s="7"/>
    </row>
    <row r="2220" spans="2:78">
      <c r="B2220" s="7"/>
      <c r="O2220" s="7"/>
      <c r="X2220" s="7"/>
      <c r="AG2220" s="7"/>
      <c r="AP2220" s="7"/>
      <c r="AY2220" s="7"/>
      <c r="BH2220" s="7"/>
      <c r="BQ2220" s="7"/>
      <c r="BZ2220" s="7"/>
    </row>
    <row r="2221" spans="2:78">
      <c r="B2221" s="7"/>
      <c r="O2221" s="7"/>
      <c r="X2221" s="7"/>
      <c r="AG2221" s="7"/>
      <c r="AP2221" s="7"/>
      <c r="AY2221" s="7"/>
      <c r="BH2221" s="7"/>
      <c r="BQ2221" s="7"/>
      <c r="BZ2221" s="7"/>
    </row>
    <row r="2222" spans="2:78">
      <c r="B2222" s="7"/>
      <c r="O2222" s="7"/>
      <c r="X2222" s="7"/>
      <c r="AG2222" s="7"/>
      <c r="AP2222" s="7"/>
      <c r="AY2222" s="7"/>
      <c r="BH2222" s="7"/>
      <c r="BQ2222" s="7"/>
      <c r="BZ2222" s="7"/>
    </row>
    <row r="2223" spans="2:78">
      <c r="B2223" s="7"/>
      <c r="O2223" s="7"/>
      <c r="X2223" s="7"/>
      <c r="AG2223" s="7"/>
      <c r="AP2223" s="7"/>
      <c r="AY2223" s="7"/>
      <c r="BH2223" s="7"/>
      <c r="BQ2223" s="7"/>
      <c r="BZ2223" s="7"/>
    </row>
    <row r="2224" spans="2:78">
      <c r="B2224" s="7"/>
      <c r="O2224" s="7"/>
      <c r="X2224" s="7"/>
      <c r="AG2224" s="7"/>
      <c r="AP2224" s="7"/>
      <c r="AY2224" s="7"/>
      <c r="BH2224" s="7"/>
      <c r="BQ2224" s="7"/>
      <c r="BZ2224" s="7"/>
    </row>
    <row r="2225" spans="2:78">
      <c r="B2225" s="7"/>
      <c r="O2225" s="7"/>
      <c r="X2225" s="7"/>
      <c r="AG2225" s="7"/>
      <c r="AP2225" s="7"/>
      <c r="AY2225" s="7"/>
      <c r="BH2225" s="7"/>
      <c r="BQ2225" s="7"/>
      <c r="BZ2225" s="7"/>
    </row>
    <row r="2226" spans="2:78">
      <c r="B2226" s="7"/>
      <c r="O2226" s="7"/>
      <c r="X2226" s="7"/>
      <c r="AG2226" s="7"/>
      <c r="AP2226" s="7"/>
      <c r="AY2226" s="7"/>
      <c r="BH2226" s="7"/>
      <c r="BQ2226" s="7"/>
      <c r="BZ2226" s="7"/>
    </row>
    <row r="2227" spans="2:78">
      <c r="B2227" s="7"/>
      <c r="O2227" s="7"/>
      <c r="X2227" s="7"/>
      <c r="AG2227" s="7"/>
      <c r="AP2227" s="7"/>
      <c r="AY2227" s="7"/>
      <c r="BH2227" s="7"/>
      <c r="BQ2227" s="7"/>
      <c r="BZ2227" s="7"/>
    </row>
    <row r="2228" spans="2:78">
      <c r="B2228" s="7"/>
      <c r="O2228" s="7"/>
      <c r="X2228" s="7"/>
      <c r="AG2228" s="7"/>
      <c r="AP2228" s="7"/>
      <c r="AY2228" s="7"/>
      <c r="BH2228" s="7"/>
      <c r="BQ2228" s="7"/>
      <c r="BZ2228" s="7"/>
    </row>
    <row r="2229" spans="2:78">
      <c r="B2229" s="7"/>
      <c r="O2229" s="7"/>
      <c r="X2229" s="7"/>
      <c r="AG2229" s="7"/>
      <c r="AP2229" s="7"/>
      <c r="AY2229" s="7"/>
      <c r="BH2229" s="7"/>
      <c r="BQ2229" s="7"/>
      <c r="BZ2229" s="7"/>
    </row>
    <row r="2230" spans="2:78">
      <c r="B2230" s="7"/>
      <c r="O2230" s="7"/>
      <c r="X2230" s="7"/>
      <c r="AG2230" s="7"/>
      <c r="AP2230" s="7"/>
      <c r="AY2230" s="7"/>
      <c r="BH2230" s="7"/>
      <c r="BQ2230" s="7"/>
      <c r="BZ2230" s="7"/>
    </row>
    <row r="2231" spans="2:78">
      <c r="B2231" s="7"/>
      <c r="O2231" s="7"/>
      <c r="X2231" s="7"/>
      <c r="AG2231" s="7"/>
      <c r="AP2231" s="7"/>
      <c r="AY2231" s="7"/>
      <c r="BH2231" s="7"/>
      <c r="BQ2231" s="7"/>
      <c r="BZ2231" s="7"/>
    </row>
    <row r="2232" spans="2:78">
      <c r="B2232" s="7"/>
      <c r="O2232" s="7"/>
      <c r="X2232" s="7"/>
      <c r="AG2232" s="7"/>
      <c r="AP2232" s="7"/>
      <c r="AY2232" s="7"/>
      <c r="BH2232" s="7"/>
      <c r="BQ2232" s="7"/>
      <c r="BZ2232" s="7"/>
    </row>
    <row r="2233" spans="2:78">
      <c r="B2233" s="7"/>
      <c r="O2233" s="7"/>
      <c r="X2233" s="7"/>
      <c r="AG2233" s="7"/>
      <c r="AP2233" s="7"/>
      <c r="AY2233" s="7"/>
      <c r="BH2233" s="7"/>
      <c r="BQ2233" s="7"/>
      <c r="BZ2233" s="7"/>
    </row>
    <row r="2234" spans="2:78">
      <c r="B2234" s="7"/>
      <c r="O2234" s="7"/>
      <c r="X2234" s="7"/>
      <c r="AG2234" s="7"/>
      <c r="AP2234" s="7"/>
      <c r="AY2234" s="7"/>
      <c r="BH2234" s="7"/>
      <c r="BQ2234" s="7"/>
      <c r="BZ2234" s="7"/>
    </row>
    <row r="2235" spans="2:78">
      <c r="B2235" s="7"/>
      <c r="O2235" s="7"/>
      <c r="X2235" s="7"/>
      <c r="AG2235" s="7"/>
      <c r="AP2235" s="7"/>
      <c r="AY2235" s="7"/>
      <c r="BH2235" s="7"/>
      <c r="BQ2235" s="7"/>
      <c r="BZ2235" s="7"/>
    </row>
    <row r="2236" spans="2:78">
      <c r="B2236" s="7"/>
      <c r="O2236" s="7"/>
      <c r="X2236" s="7"/>
      <c r="AG2236" s="7"/>
      <c r="AP2236" s="7"/>
      <c r="AY2236" s="7"/>
      <c r="BH2236" s="7"/>
      <c r="BQ2236" s="7"/>
      <c r="BZ2236" s="7"/>
    </row>
    <row r="2237" spans="2:78">
      <c r="B2237" s="7"/>
      <c r="O2237" s="7"/>
      <c r="X2237" s="7"/>
      <c r="AG2237" s="7"/>
      <c r="AP2237" s="7"/>
      <c r="AY2237" s="7"/>
      <c r="BH2237" s="7"/>
      <c r="BQ2237" s="7"/>
      <c r="BZ2237" s="7"/>
    </row>
    <row r="2238" spans="2:78">
      <c r="B2238" s="7"/>
      <c r="O2238" s="7"/>
      <c r="X2238" s="7"/>
      <c r="AG2238" s="7"/>
      <c r="AP2238" s="7"/>
      <c r="AY2238" s="7"/>
      <c r="BH2238" s="7"/>
      <c r="BQ2238" s="7"/>
      <c r="BZ2238" s="7"/>
    </row>
    <row r="2239" spans="2:78">
      <c r="B2239" s="7"/>
      <c r="O2239" s="7"/>
      <c r="X2239" s="7"/>
      <c r="AG2239" s="7"/>
      <c r="AP2239" s="7"/>
      <c r="AY2239" s="7"/>
      <c r="BH2239" s="7"/>
      <c r="BQ2239" s="7"/>
      <c r="BZ2239" s="7"/>
    </row>
    <row r="2240" spans="2:78">
      <c r="B2240" s="7"/>
      <c r="O2240" s="7"/>
      <c r="X2240" s="7"/>
      <c r="AG2240" s="7"/>
      <c r="AP2240" s="7"/>
      <c r="AY2240" s="7"/>
      <c r="BH2240" s="7"/>
      <c r="BQ2240" s="7"/>
      <c r="BZ2240" s="7"/>
    </row>
    <row r="2241" spans="2:78">
      <c r="B2241" s="7"/>
      <c r="O2241" s="7"/>
      <c r="X2241" s="7"/>
      <c r="AG2241" s="7"/>
      <c r="AP2241" s="7"/>
      <c r="AY2241" s="7"/>
      <c r="BH2241" s="7"/>
      <c r="BQ2241" s="7"/>
      <c r="BZ2241" s="7"/>
    </row>
    <row r="2242" spans="2:78">
      <c r="B2242" s="7"/>
      <c r="O2242" s="7"/>
      <c r="X2242" s="7"/>
      <c r="AG2242" s="7"/>
      <c r="AP2242" s="7"/>
      <c r="AY2242" s="7"/>
      <c r="BH2242" s="7"/>
      <c r="BQ2242" s="7"/>
      <c r="BZ2242" s="7"/>
    </row>
    <row r="2243" spans="2:78">
      <c r="B2243" s="7"/>
      <c r="O2243" s="7"/>
      <c r="X2243" s="7"/>
      <c r="AG2243" s="7"/>
      <c r="AP2243" s="7"/>
      <c r="AY2243" s="7"/>
      <c r="BH2243" s="7"/>
      <c r="BQ2243" s="7"/>
      <c r="BZ2243" s="7"/>
    </row>
    <row r="2244" spans="2:78">
      <c r="B2244" s="7"/>
      <c r="O2244" s="7"/>
      <c r="X2244" s="7"/>
      <c r="AG2244" s="7"/>
      <c r="AP2244" s="7"/>
      <c r="AY2244" s="7"/>
      <c r="BH2244" s="7"/>
      <c r="BQ2244" s="7"/>
      <c r="BZ2244" s="7"/>
    </row>
    <row r="2245" spans="2:78">
      <c r="B2245" s="7"/>
      <c r="O2245" s="7"/>
      <c r="X2245" s="7"/>
      <c r="AG2245" s="7"/>
      <c r="AP2245" s="7"/>
      <c r="AY2245" s="7"/>
      <c r="BH2245" s="7"/>
      <c r="BQ2245" s="7"/>
      <c r="BZ2245" s="7"/>
    </row>
    <row r="2246" spans="2:78">
      <c r="B2246" s="7"/>
      <c r="O2246" s="7"/>
      <c r="X2246" s="7"/>
      <c r="AG2246" s="7"/>
      <c r="AP2246" s="7"/>
      <c r="AY2246" s="7"/>
      <c r="BH2246" s="7"/>
      <c r="BQ2246" s="7"/>
      <c r="BZ2246" s="7"/>
    </row>
    <row r="2247" spans="2:78">
      <c r="B2247" s="7"/>
      <c r="O2247" s="7"/>
      <c r="X2247" s="7"/>
      <c r="AG2247" s="7"/>
      <c r="AP2247" s="7"/>
      <c r="AY2247" s="7"/>
      <c r="BH2247" s="7"/>
      <c r="BQ2247" s="7"/>
      <c r="BZ2247" s="7"/>
    </row>
    <row r="2248" spans="2:78">
      <c r="B2248" s="7"/>
      <c r="O2248" s="7"/>
      <c r="X2248" s="7"/>
      <c r="AG2248" s="7"/>
      <c r="AP2248" s="7"/>
      <c r="AY2248" s="7"/>
      <c r="BH2248" s="7"/>
      <c r="BQ2248" s="7"/>
      <c r="BZ2248" s="7"/>
    </row>
    <row r="2249" spans="2:78">
      <c r="B2249" s="7"/>
      <c r="O2249" s="7"/>
      <c r="X2249" s="7"/>
      <c r="AG2249" s="7"/>
      <c r="AP2249" s="7"/>
      <c r="AY2249" s="7"/>
      <c r="BH2249" s="7"/>
      <c r="BQ2249" s="7"/>
      <c r="BZ2249" s="7"/>
    </row>
    <row r="2250" spans="2:78">
      <c r="B2250" s="7"/>
      <c r="O2250" s="7"/>
      <c r="X2250" s="7"/>
      <c r="AG2250" s="7"/>
      <c r="AP2250" s="7"/>
      <c r="AY2250" s="7"/>
      <c r="BH2250" s="7"/>
      <c r="BQ2250" s="7"/>
      <c r="BZ2250" s="7"/>
    </row>
    <row r="2251" spans="2:78">
      <c r="B2251" s="7"/>
      <c r="O2251" s="7"/>
      <c r="X2251" s="7"/>
      <c r="AG2251" s="7"/>
      <c r="AP2251" s="7"/>
      <c r="AY2251" s="7"/>
      <c r="BH2251" s="7"/>
      <c r="BQ2251" s="7"/>
      <c r="BZ2251" s="7"/>
    </row>
    <row r="2252" spans="2:78">
      <c r="B2252" s="7"/>
      <c r="O2252" s="7"/>
      <c r="X2252" s="7"/>
      <c r="AG2252" s="7"/>
      <c r="AP2252" s="7"/>
      <c r="AY2252" s="7"/>
      <c r="BH2252" s="7"/>
      <c r="BQ2252" s="7"/>
      <c r="BZ2252" s="7"/>
    </row>
    <row r="2253" spans="2:78">
      <c r="B2253" s="7"/>
      <c r="O2253" s="7"/>
      <c r="X2253" s="7"/>
      <c r="AG2253" s="7"/>
      <c r="AP2253" s="7"/>
      <c r="AY2253" s="7"/>
      <c r="BH2253" s="7"/>
      <c r="BQ2253" s="7"/>
      <c r="BZ2253" s="7"/>
    </row>
    <row r="2254" spans="2:78">
      <c r="B2254" s="7"/>
      <c r="O2254" s="7"/>
      <c r="X2254" s="7"/>
      <c r="AG2254" s="7"/>
      <c r="AP2254" s="7"/>
      <c r="AY2254" s="7"/>
      <c r="BH2254" s="7"/>
      <c r="BQ2254" s="7"/>
      <c r="BZ2254" s="7"/>
    </row>
    <row r="2255" spans="2:78">
      <c r="B2255" s="7"/>
      <c r="O2255" s="7"/>
      <c r="X2255" s="7"/>
      <c r="AG2255" s="7"/>
      <c r="AP2255" s="7"/>
      <c r="AY2255" s="7"/>
      <c r="BH2255" s="7"/>
      <c r="BQ2255" s="7"/>
      <c r="BZ2255" s="7"/>
    </row>
    <row r="2256" spans="2:78">
      <c r="B2256" s="7"/>
      <c r="O2256" s="7"/>
      <c r="X2256" s="7"/>
      <c r="AG2256" s="7"/>
      <c r="AP2256" s="7"/>
      <c r="AY2256" s="7"/>
      <c r="BH2256" s="7"/>
      <c r="BQ2256" s="7"/>
      <c r="BZ2256" s="7"/>
    </row>
    <row r="2257" spans="2:78">
      <c r="B2257" s="7"/>
      <c r="O2257" s="7"/>
      <c r="X2257" s="7"/>
      <c r="AG2257" s="7"/>
      <c r="AP2257" s="7"/>
      <c r="AY2257" s="7"/>
      <c r="BH2257" s="7"/>
      <c r="BQ2257" s="7"/>
      <c r="BZ2257" s="7"/>
    </row>
    <row r="2258" spans="2:78">
      <c r="B2258" s="7"/>
      <c r="O2258" s="7"/>
      <c r="X2258" s="7"/>
      <c r="AG2258" s="7"/>
      <c r="AP2258" s="7"/>
      <c r="AY2258" s="7"/>
      <c r="BH2258" s="7"/>
      <c r="BQ2258" s="7"/>
      <c r="BZ2258" s="7"/>
    </row>
    <row r="2259" spans="2:78">
      <c r="B2259" s="7"/>
      <c r="O2259" s="7"/>
      <c r="X2259" s="7"/>
      <c r="AG2259" s="7"/>
      <c r="AP2259" s="7"/>
      <c r="AY2259" s="7"/>
      <c r="BH2259" s="7"/>
      <c r="BQ2259" s="7"/>
      <c r="BZ2259" s="7"/>
    </row>
    <row r="2260" spans="2:78">
      <c r="B2260" s="7"/>
      <c r="O2260" s="7"/>
      <c r="X2260" s="7"/>
      <c r="AG2260" s="7"/>
      <c r="AP2260" s="7"/>
      <c r="AY2260" s="7"/>
      <c r="BH2260" s="7"/>
      <c r="BQ2260" s="7"/>
      <c r="BZ2260" s="7"/>
    </row>
    <row r="2261" spans="2:78">
      <c r="B2261" s="7"/>
      <c r="O2261" s="7"/>
      <c r="X2261" s="7"/>
      <c r="AG2261" s="7"/>
      <c r="AP2261" s="7"/>
      <c r="AY2261" s="7"/>
      <c r="BH2261" s="7"/>
      <c r="BQ2261" s="7"/>
      <c r="BZ2261" s="7"/>
    </row>
    <row r="2262" spans="2:78">
      <c r="B2262" s="7"/>
      <c r="O2262" s="7"/>
      <c r="X2262" s="7"/>
      <c r="AG2262" s="7"/>
      <c r="AP2262" s="7"/>
      <c r="AY2262" s="7"/>
      <c r="BH2262" s="7"/>
      <c r="BQ2262" s="7"/>
      <c r="BZ2262" s="7"/>
    </row>
    <row r="2263" spans="2:78">
      <c r="B2263" s="7"/>
      <c r="O2263" s="7"/>
      <c r="X2263" s="7"/>
      <c r="AG2263" s="7"/>
      <c r="AP2263" s="7"/>
      <c r="AY2263" s="7"/>
      <c r="BH2263" s="7"/>
      <c r="BQ2263" s="7"/>
      <c r="BZ2263" s="7"/>
    </row>
    <row r="2264" spans="2:78">
      <c r="B2264" s="7"/>
      <c r="O2264" s="7"/>
      <c r="X2264" s="7"/>
      <c r="AG2264" s="7"/>
      <c r="AP2264" s="7"/>
      <c r="AY2264" s="7"/>
      <c r="BH2264" s="7"/>
      <c r="BQ2264" s="7"/>
      <c r="BZ2264" s="7"/>
    </row>
    <row r="2265" spans="2:78">
      <c r="B2265" s="7"/>
      <c r="O2265" s="7"/>
      <c r="X2265" s="7"/>
      <c r="AG2265" s="7"/>
      <c r="AP2265" s="7"/>
      <c r="AY2265" s="7"/>
      <c r="BH2265" s="7"/>
      <c r="BQ2265" s="7"/>
      <c r="BZ2265" s="7"/>
    </row>
    <row r="2266" spans="2:78">
      <c r="B2266" s="7"/>
      <c r="O2266" s="7"/>
      <c r="X2266" s="7"/>
      <c r="AG2266" s="7"/>
      <c r="AP2266" s="7"/>
      <c r="AY2266" s="7"/>
      <c r="BH2266" s="7"/>
      <c r="BQ2266" s="7"/>
      <c r="BZ2266" s="7"/>
    </row>
    <row r="2267" spans="2:78">
      <c r="B2267" s="7"/>
      <c r="O2267" s="7"/>
      <c r="X2267" s="7"/>
      <c r="AG2267" s="7"/>
      <c r="AP2267" s="7"/>
      <c r="AY2267" s="7"/>
      <c r="BH2267" s="7"/>
      <c r="BQ2267" s="7"/>
      <c r="BZ2267" s="7"/>
    </row>
    <row r="2268" spans="2:78">
      <c r="B2268" s="7"/>
      <c r="O2268" s="7"/>
      <c r="X2268" s="7"/>
      <c r="AG2268" s="7"/>
      <c r="AP2268" s="7"/>
      <c r="AY2268" s="7"/>
      <c r="BH2268" s="7"/>
      <c r="BQ2268" s="7"/>
      <c r="BZ2268" s="7"/>
    </row>
    <row r="2269" spans="2:78">
      <c r="B2269" s="7"/>
      <c r="O2269" s="7"/>
      <c r="X2269" s="7"/>
      <c r="AG2269" s="7"/>
      <c r="AP2269" s="7"/>
      <c r="AY2269" s="7"/>
      <c r="BH2269" s="7"/>
      <c r="BQ2269" s="7"/>
      <c r="BZ2269" s="7"/>
    </row>
    <row r="2270" spans="2:78">
      <c r="B2270" s="7"/>
      <c r="O2270" s="7"/>
      <c r="X2270" s="7"/>
      <c r="AG2270" s="7"/>
      <c r="AP2270" s="7"/>
      <c r="AY2270" s="7"/>
      <c r="BH2270" s="7"/>
      <c r="BQ2270" s="7"/>
      <c r="BZ2270" s="7"/>
    </row>
    <row r="2271" spans="2:78">
      <c r="B2271" s="7"/>
      <c r="O2271" s="7"/>
      <c r="X2271" s="7"/>
      <c r="AG2271" s="7"/>
      <c r="AP2271" s="7"/>
      <c r="AY2271" s="7"/>
      <c r="BH2271" s="7"/>
      <c r="BQ2271" s="7"/>
      <c r="BZ2271" s="7"/>
    </row>
    <row r="2272" spans="2:78">
      <c r="B2272" s="7"/>
      <c r="O2272" s="7"/>
      <c r="X2272" s="7"/>
      <c r="AG2272" s="7"/>
      <c r="AP2272" s="7"/>
      <c r="AY2272" s="7"/>
      <c r="BH2272" s="7"/>
      <c r="BQ2272" s="7"/>
      <c r="BZ2272" s="7"/>
    </row>
    <row r="2273" spans="2:78">
      <c r="B2273" s="7"/>
      <c r="O2273" s="7"/>
      <c r="X2273" s="7"/>
      <c r="AG2273" s="7"/>
      <c r="AP2273" s="7"/>
      <c r="AY2273" s="7"/>
      <c r="BH2273" s="7"/>
      <c r="BQ2273" s="7"/>
      <c r="BZ2273" s="7"/>
    </row>
    <row r="2274" spans="2:78">
      <c r="B2274" s="7"/>
      <c r="O2274" s="7"/>
      <c r="X2274" s="7"/>
      <c r="AG2274" s="7"/>
      <c r="AP2274" s="7"/>
      <c r="AY2274" s="7"/>
      <c r="BH2274" s="7"/>
      <c r="BQ2274" s="7"/>
      <c r="BZ2274" s="7"/>
    </row>
    <row r="2275" spans="2:78">
      <c r="B2275" s="7"/>
      <c r="O2275" s="7"/>
      <c r="X2275" s="7"/>
      <c r="AG2275" s="7"/>
      <c r="AP2275" s="7"/>
      <c r="AY2275" s="7"/>
      <c r="BH2275" s="7"/>
      <c r="BQ2275" s="7"/>
      <c r="BZ2275" s="7"/>
    </row>
    <row r="2276" spans="2:78">
      <c r="B2276" s="7"/>
      <c r="O2276" s="7"/>
      <c r="X2276" s="7"/>
      <c r="AG2276" s="7"/>
      <c r="AP2276" s="7"/>
      <c r="AY2276" s="7"/>
      <c r="BH2276" s="7"/>
      <c r="BQ2276" s="7"/>
      <c r="BZ2276" s="7"/>
    </row>
    <row r="2277" spans="2:78">
      <c r="B2277" s="7"/>
      <c r="O2277" s="7"/>
      <c r="X2277" s="7"/>
      <c r="AG2277" s="7"/>
      <c r="AP2277" s="7"/>
      <c r="AY2277" s="7"/>
      <c r="BH2277" s="7"/>
      <c r="BQ2277" s="7"/>
      <c r="BZ2277" s="7"/>
    </row>
    <row r="2278" spans="2:78">
      <c r="B2278" s="7"/>
      <c r="O2278" s="7"/>
      <c r="X2278" s="7"/>
      <c r="AG2278" s="7"/>
      <c r="AP2278" s="7"/>
      <c r="AY2278" s="7"/>
      <c r="BH2278" s="7"/>
      <c r="BQ2278" s="7"/>
      <c r="BZ2278" s="7"/>
    </row>
    <row r="2279" spans="2:78">
      <c r="B2279" s="7"/>
      <c r="O2279" s="7"/>
      <c r="X2279" s="7"/>
      <c r="AG2279" s="7"/>
      <c r="AP2279" s="7"/>
      <c r="AY2279" s="7"/>
      <c r="BH2279" s="7"/>
      <c r="BQ2279" s="7"/>
      <c r="BZ2279" s="7"/>
    </row>
    <row r="2280" spans="2:78">
      <c r="B2280" s="7"/>
      <c r="O2280" s="7"/>
      <c r="X2280" s="7"/>
      <c r="AG2280" s="7"/>
      <c r="AP2280" s="7"/>
      <c r="AY2280" s="7"/>
      <c r="BH2280" s="7"/>
      <c r="BQ2280" s="7"/>
      <c r="BZ2280" s="7"/>
    </row>
    <row r="2281" spans="2:78">
      <c r="B2281" s="7"/>
      <c r="O2281" s="7"/>
      <c r="X2281" s="7"/>
      <c r="AG2281" s="7"/>
      <c r="AP2281" s="7"/>
      <c r="AY2281" s="7"/>
      <c r="BH2281" s="7"/>
      <c r="BQ2281" s="7"/>
      <c r="BZ2281" s="7"/>
    </row>
    <row r="2282" spans="2:78">
      <c r="B2282" s="7"/>
      <c r="O2282" s="7"/>
      <c r="X2282" s="7"/>
      <c r="AG2282" s="7"/>
      <c r="AP2282" s="7"/>
      <c r="AY2282" s="7"/>
      <c r="BH2282" s="7"/>
      <c r="BQ2282" s="7"/>
      <c r="BZ2282" s="7"/>
    </row>
    <row r="2283" spans="2:78">
      <c r="B2283" s="7"/>
      <c r="O2283" s="7"/>
      <c r="X2283" s="7"/>
      <c r="AG2283" s="7"/>
      <c r="AP2283" s="7"/>
      <c r="AY2283" s="7"/>
      <c r="BH2283" s="7"/>
      <c r="BQ2283" s="7"/>
      <c r="BZ2283" s="7"/>
    </row>
    <row r="2284" spans="2:78">
      <c r="B2284" s="7"/>
      <c r="O2284" s="7"/>
      <c r="X2284" s="7"/>
      <c r="AG2284" s="7"/>
      <c r="AP2284" s="7"/>
      <c r="AY2284" s="7"/>
      <c r="BH2284" s="7"/>
      <c r="BQ2284" s="7"/>
      <c r="BZ2284" s="7"/>
    </row>
    <row r="2285" spans="2:78">
      <c r="B2285" s="7"/>
      <c r="O2285" s="7"/>
      <c r="X2285" s="7"/>
      <c r="AG2285" s="7"/>
      <c r="AP2285" s="7"/>
      <c r="AY2285" s="7"/>
      <c r="BH2285" s="7"/>
      <c r="BQ2285" s="7"/>
      <c r="BZ2285" s="7"/>
    </row>
    <row r="2286" spans="2:78">
      <c r="B2286" s="7"/>
      <c r="O2286" s="7"/>
      <c r="X2286" s="7"/>
      <c r="AG2286" s="7"/>
      <c r="AP2286" s="7"/>
      <c r="AY2286" s="7"/>
      <c r="BH2286" s="7"/>
      <c r="BQ2286" s="7"/>
      <c r="BZ2286" s="7"/>
    </row>
    <row r="2287" spans="2:78">
      <c r="B2287" s="7"/>
      <c r="O2287" s="7"/>
      <c r="X2287" s="7"/>
      <c r="AG2287" s="7"/>
      <c r="AP2287" s="7"/>
      <c r="AY2287" s="7"/>
      <c r="BH2287" s="7"/>
      <c r="BQ2287" s="7"/>
      <c r="BZ2287" s="7"/>
    </row>
    <row r="2288" spans="2:78">
      <c r="B2288" s="7"/>
      <c r="O2288" s="7"/>
      <c r="X2288" s="7"/>
      <c r="AG2288" s="7"/>
      <c r="AP2288" s="7"/>
      <c r="AY2288" s="7"/>
      <c r="BH2288" s="7"/>
      <c r="BQ2288" s="7"/>
      <c r="BZ2288" s="7"/>
    </row>
    <row r="2289" spans="2:78">
      <c r="B2289" s="7"/>
      <c r="O2289" s="7"/>
      <c r="X2289" s="7"/>
      <c r="AG2289" s="7"/>
      <c r="AP2289" s="7"/>
      <c r="AY2289" s="7"/>
      <c r="BH2289" s="7"/>
      <c r="BQ2289" s="7"/>
      <c r="BZ2289" s="7"/>
    </row>
    <row r="2290" spans="2:78">
      <c r="B2290" s="7"/>
      <c r="O2290" s="7"/>
      <c r="X2290" s="7"/>
      <c r="AG2290" s="7"/>
      <c r="AP2290" s="7"/>
      <c r="AY2290" s="7"/>
      <c r="BH2290" s="7"/>
      <c r="BQ2290" s="7"/>
      <c r="BZ2290" s="7"/>
    </row>
    <row r="2291" spans="2:78">
      <c r="B2291" s="7"/>
      <c r="O2291" s="7"/>
      <c r="X2291" s="7"/>
      <c r="AG2291" s="7"/>
      <c r="AP2291" s="7"/>
      <c r="AY2291" s="7"/>
      <c r="BH2291" s="7"/>
      <c r="BQ2291" s="7"/>
      <c r="BZ2291" s="7"/>
    </row>
    <row r="2292" spans="2:78">
      <c r="B2292" s="7"/>
      <c r="O2292" s="7"/>
      <c r="X2292" s="7"/>
      <c r="AG2292" s="7"/>
      <c r="AP2292" s="7"/>
      <c r="AY2292" s="7"/>
      <c r="BH2292" s="7"/>
      <c r="BQ2292" s="7"/>
      <c r="BZ2292" s="7"/>
    </row>
    <row r="2293" spans="2:78">
      <c r="B2293" s="7"/>
      <c r="O2293" s="7"/>
      <c r="X2293" s="7"/>
      <c r="AG2293" s="7"/>
      <c r="AP2293" s="7"/>
      <c r="AY2293" s="7"/>
      <c r="BH2293" s="7"/>
      <c r="BQ2293" s="7"/>
      <c r="BZ2293" s="7"/>
    </row>
    <row r="2294" spans="2:78">
      <c r="B2294" s="7"/>
      <c r="O2294" s="7"/>
      <c r="X2294" s="7"/>
      <c r="AG2294" s="7"/>
      <c r="AP2294" s="7"/>
      <c r="AY2294" s="7"/>
      <c r="BH2294" s="7"/>
      <c r="BQ2294" s="7"/>
      <c r="BZ2294" s="7"/>
    </row>
    <row r="2295" spans="2:78">
      <c r="B2295" s="7"/>
      <c r="O2295" s="7"/>
      <c r="X2295" s="7"/>
      <c r="AG2295" s="7"/>
      <c r="AP2295" s="7"/>
      <c r="AY2295" s="7"/>
      <c r="BH2295" s="7"/>
      <c r="BQ2295" s="7"/>
      <c r="BZ2295" s="7"/>
    </row>
    <row r="2296" spans="2:78">
      <c r="B2296" s="7"/>
      <c r="O2296" s="7"/>
      <c r="X2296" s="7"/>
      <c r="AG2296" s="7"/>
      <c r="AP2296" s="7"/>
      <c r="AY2296" s="7"/>
      <c r="BH2296" s="7"/>
      <c r="BQ2296" s="7"/>
      <c r="BZ2296" s="7"/>
    </row>
    <row r="2297" spans="2:78">
      <c r="B2297" s="7"/>
      <c r="O2297" s="7"/>
      <c r="X2297" s="7"/>
      <c r="AG2297" s="7"/>
      <c r="AP2297" s="7"/>
      <c r="AY2297" s="7"/>
      <c r="BH2297" s="7"/>
      <c r="BQ2297" s="7"/>
      <c r="BZ2297" s="7"/>
    </row>
    <row r="2298" spans="2:78">
      <c r="B2298" s="7"/>
      <c r="O2298" s="7"/>
      <c r="X2298" s="7"/>
      <c r="AG2298" s="7"/>
      <c r="AP2298" s="7"/>
      <c r="AY2298" s="7"/>
      <c r="BH2298" s="7"/>
      <c r="BQ2298" s="7"/>
      <c r="BZ2298" s="7"/>
    </row>
    <row r="2299" spans="2:78">
      <c r="B2299" s="7"/>
      <c r="O2299" s="7"/>
      <c r="X2299" s="7"/>
      <c r="AG2299" s="7"/>
      <c r="AP2299" s="7"/>
      <c r="AY2299" s="7"/>
      <c r="BH2299" s="7"/>
      <c r="BQ2299" s="7"/>
      <c r="BZ2299" s="7"/>
    </row>
    <row r="2300" spans="2:78">
      <c r="B2300" s="7"/>
      <c r="O2300" s="7"/>
      <c r="X2300" s="7"/>
      <c r="AG2300" s="7"/>
      <c r="AP2300" s="7"/>
      <c r="AY2300" s="7"/>
      <c r="BH2300" s="7"/>
      <c r="BQ2300" s="7"/>
      <c r="BZ2300" s="7"/>
    </row>
    <row r="2301" spans="2:78">
      <c r="B2301" s="7"/>
      <c r="O2301" s="7"/>
      <c r="X2301" s="7"/>
      <c r="AG2301" s="7"/>
      <c r="AP2301" s="7"/>
      <c r="AY2301" s="7"/>
      <c r="BH2301" s="7"/>
      <c r="BQ2301" s="7"/>
      <c r="BZ2301" s="7"/>
    </row>
    <row r="2302" spans="2:78">
      <c r="B2302" s="7"/>
      <c r="O2302" s="7"/>
      <c r="X2302" s="7"/>
      <c r="AG2302" s="7"/>
      <c r="AP2302" s="7"/>
      <c r="AY2302" s="7"/>
      <c r="BH2302" s="7"/>
      <c r="BQ2302" s="7"/>
      <c r="BZ2302" s="7"/>
    </row>
    <row r="2303" spans="2:78">
      <c r="B2303" s="7"/>
      <c r="O2303" s="7"/>
      <c r="X2303" s="7"/>
      <c r="AG2303" s="7"/>
      <c r="AP2303" s="7"/>
      <c r="AY2303" s="7"/>
      <c r="BH2303" s="7"/>
      <c r="BQ2303" s="7"/>
      <c r="BZ2303" s="7"/>
    </row>
    <row r="2304" spans="2:78">
      <c r="B2304" s="7"/>
      <c r="O2304" s="7"/>
      <c r="X2304" s="7"/>
      <c r="AG2304" s="7"/>
      <c r="AP2304" s="7"/>
      <c r="AY2304" s="7"/>
      <c r="BH2304" s="7"/>
      <c r="BQ2304" s="7"/>
      <c r="BZ2304" s="7"/>
    </row>
    <row r="2305" spans="2:78">
      <c r="B2305" s="7"/>
      <c r="O2305" s="7"/>
      <c r="X2305" s="7"/>
      <c r="AG2305" s="7"/>
      <c r="AP2305" s="7"/>
      <c r="AY2305" s="7"/>
      <c r="BH2305" s="7"/>
      <c r="BQ2305" s="7"/>
      <c r="BZ2305" s="7"/>
    </row>
    <row r="2306" spans="2:78">
      <c r="B2306" s="7"/>
      <c r="O2306" s="7"/>
      <c r="X2306" s="7"/>
      <c r="AG2306" s="7"/>
      <c r="AP2306" s="7"/>
      <c r="AY2306" s="7"/>
      <c r="BH2306" s="7"/>
      <c r="BQ2306" s="7"/>
      <c r="BZ2306" s="7"/>
    </row>
    <row r="2307" spans="2:78">
      <c r="B2307" s="7"/>
      <c r="O2307" s="7"/>
      <c r="X2307" s="7"/>
      <c r="AG2307" s="7"/>
      <c r="AP2307" s="7"/>
      <c r="AY2307" s="7"/>
      <c r="BH2307" s="7"/>
      <c r="BQ2307" s="7"/>
      <c r="BZ2307" s="7"/>
    </row>
    <row r="2308" spans="2:78">
      <c r="B2308" s="7"/>
      <c r="O2308" s="7"/>
      <c r="X2308" s="7"/>
      <c r="AG2308" s="7"/>
      <c r="AP2308" s="7"/>
      <c r="AY2308" s="7"/>
      <c r="BH2308" s="7"/>
      <c r="BQ2308" s="7"/>
      <c r="BZ2308" s="7"/>
    </row>
    <row r="2309" spans="2:78">
      <c r="B2309" s="7"/>
      <c r="O2309" s="7"/>
      <c r="X2309" s="7"/>
      <c r="AG2309" s="7"/>
      <c r="AP2309" s="7"/>
      <c r="AY2309" s="7"/>
      <c r="BH2309" s="7"/>
      <c r="BQ2309" s="7"/>
      <c r="BZ2309" s="7"/>
    </row>
    <row r="2310" spans="2:78">
      <c r="B2310" s="7"/>
      <c r="O2310" s="7"/>
      <c r="X2310" s="7"/>
      <c r="AG2310" s="7"/>
      <c r="AP2310" s="7"/>
      <c r="AY2310" s="7"/>
      <c r="BH2310" s="7"/>
      <c r="BQ2310" s="7"/>
      <c r="BZ2310" s="7"/>
    </row>
    <row r="2311" spans="2:78">
      <c r="B2311" s="7"/>
      <c r="O2311" s="7"/>
      <c r="X2311" s="7"/>
      <c r="AG2311" s="7"/>
      <c r="AP2311" s="7"/>
      <c r="AY2311" s="7"/>
      <c r="BH2311" s="7"/>
      <c r="BQ2311" s="7"/>
      <c r="BZ2311" s="7"/>
    </row>
    <row r="2312" spans="2:78">
      <c r="B2312" s="7"/>
      <c r="O2312" s="7"/>
      <c r="X2312" s="7"/>
      <c r="AG2312" s="7"/>
      <c r="AP2312" s="7"/>
      <c r="AY2312" s="7"/>
      <c r="BH2312" s="7"/>
      <c r="BQ2312" s="7"/>
      <c r="BZ2312" s="7"/>
    </row>
    <row r="2313" spans="2:78">
      <c r="B2313" s="7"/>
      <c r="O2313" s="7"/>
      <c r="X2313" s="7"/>
      <c r="AG2313" s="7"/>
      <c r="AP2313" s="7"/>
      <c r="AY2313" s="7"/>
      <c r="BH2313" s="7"/>
      <c r="BQ2313" s="7"/>
      <c r="BZ2313" s="7"/>
    </row>
    <row r="2314" spans="2:78">
      <c r="B2314" s="7"/>
      <c r="O2314" s="7"/>
      <c r="X2314" s="7"/>
      <c r="AG2314" s="7"/>
      <c r="AP2314" s="7"/>
      <c r="AY2314" s="7"/>
      <c r="BH2314" s="7"/>
      <c r="BQ2314" s="7"/>
      <c r="BZ2314" s="7"/>
    </row>
    <row r="2315" spans="2:78">
      <c r="B2315" s="7"/>
      <c r="O2315" s="7"/>
      <c r="X2315" s="7"/>
      <c r="AG2315" s="7"/>
      <c r="AP2315" s="7"/>
      <c r="AY2315" s="7"/>
      <c r="BH2315" s="7"/>
      <c r="BQ2315" s="7"/>
      <c r="BZ2315" s="7"/>
    </row>
    <row r="2316" spans="2:78">
      <c r="B2316" s="7"/>
      <c r="O2316" s="7"/>
      <c r="X2316" s="7"/>
      <c r="AG2316" s="7"/>
      <c r="AP2316" s="7"/>
      <c r="AY2316" s="7"/>
      <c r="BH2316" s="7"/>
      <c r="BQ2316" s="7"/>
      <c r="BZ2316" s="7"/>
    </row>
    <row r="2317" spans="2:78">
      <c r="B2317" s="7"/>
      <c r="O2317" s="7"/>
      <c r="X2317" s="7"/>
      <c r="AG2317" s="7"/>
      <c r="AP2317" s="7"/>
      <c r="AY2317" s="7"/>
      <c r="BH2317" s="7"/>
      <c r="BQ2317" s="7"/>
      <c r="BZ2317" s="7"/>
    </row>
    <row r="2318" spans="2:78">
      <c r="B2318" s="7"/>
      <c r="O2318" s="7"/>
      <c r="X2318" s="7"/>
      <c r="AG2318" s="7"/>
      <c r="AP2318" s="7"/>
      <c r="AY2318" s="7"/>
      <c r="BH2318" s="7"/>
      <c r="BQ2318" s="7"/>
      <c r="BZ2318" s="7"/>
    </row>
    <row r="2319" spans="2:78">
      <c r="B2319" s="7"/>
      <c r="O2319" s="7"/>
      <c r="X2319" s="7"/>
      <c r="AG2319" s="7"/>
      <c r="AP2319" s="7"/>
      <c r="AY2319" s="7"/>
      <c r="BH2319" s="7"/>
      <c r="BQ2319" s="7"/>
      <c r="BZ2319" s="7"/>
    </row>
    <row r="2320" spans="2:78">
      <c r="B2320" s="7"/>
      <c r="O2320" s="7"/>
      <c r="X2320" s="7"/>
      <c r="AG2320" s="7"/>
      <c r="AP2320" s="7"/>
      <c r="AY2320" s="7"/>
      <c r="BH2320" s="7"/>
      <c r="BQ2320" s="7"/>
      <c r="BZ2320" s="7"/>
    </row>
    <row r="2321" spans="2:78">
      <c r="B2321" s="7"/>
      <c r="O2321" s="7"/>
      <c r="X2321" s="7"/>
      <c r="AG2321" s="7"/>
      <c r="AP2321" s="7"/>
      <c r="AY2321" s="7"/>
      <c r="BH2321" s="7"/>
      <c r="BQ2321" s="7"/>
      <c r="BZ2321" s="7"/>
    </row>
    <row r="2322" spans="2:78">
      <c r="B2322" s="7"/>
      <c r="O2322" s="7"/>
      <c r="X2322" s="7"/>
      <c r="AG2322" s="7"/>
      <c r="AP2322" s="7"/>
      <c r="AY2322" s="7"/>
      <c r="BH2322" s="7"/>
      <c r="BQ2322" s="7"/>
      <c r="BZ2322" s="7"/>
    </row>
    <row r="2323" spans="2:78">
      <c r="B2323" s="7"/>
      <c r="O2323" s="7"/>
      <c r="X2323" s="7"/>
      <c r="AG2323" s="7"/>
      <c r="AP2323" s="7"/>
      <c r="AY2323" s="7"/>
      <c r="BH2323" s="7"/>
      <c r="BQ2323" s="7"/>
      <c r="BZ2323" s="7"/>
    </row>
    <row r="2324" spans="2:78">
      <c r="B2324" s="7"/>
      <c r="O2324" s="7"/>
      <c r="X2324" s="7"/>
      <c r="AG2324" s="7"/>
      <c r="AP2324" s="7"/>
      <c r="AY2324" s="7"/>
      <c r="BH2324" s="7"/>
      <c r="BQ2324" s="7"/>
      <c r="BZ2324" s="7"/>
    </row>
    <row r="2325" spans="2:78">
      <c r="B2325" s="7"/>
      <c r="O2325" s="7"/>
      <c r="X2325" s="7"/>
      <c r="AG2325" s="7"/>
      <c r="AP2325" s="7"/>
      <c r="AY2325" s="7"/>
      <c r="BH2325" s="7"/>
      <c r="BQ2325" s="7"/>
      <c r="BZ2325" s="7"/>
    </row>
    <row r="2326" spans="2:78">
      <c r="B2326" s="7"/>
      <c r="O2326" s="7"/>
      <c r="X2326" s="7"/>
      <c r="AG2326" s="7"/>
      <c r="AP2326" s="7"/>
      <c r="AY2326" s="7"/>
      <c r="BH2326" s="7"/>
      <c r="BQ2326" s="7"/>
      <c r="BZ2326" s="7"/>
    </row>
    <row r="2327" spans="2:78">
      <c r="B2327" s="7"/>
      <c r="O2327" s="7"/>
      <c r="X2327" s="7"/>
      <c r="AG2327" s="7"/>
      <c r="AP2327" s="7"/>
      <c r="AY2327" s="7"/>
      <c r="BH2327" s="7"/>
      <c r="BQ2327" s="7"/>
      <c r="BZ2327" s="7"/>
    </row>
    <row r="2328" spans="2:78">
      <c r="B2328" s="7"/>
      <c r="O2328" s="7"/>
      <c r="X2328" s="7"/>
      <c r="AG2328" s="7"/>
      <c r="AP2328" s="7"/>
      <c r="AY2328" s="7"/>
      <c r="BH2328" s="7"/>
      <c r="BQ2328" s="7"/>
      <c r="BZ2328" s="7"/>
    </row>
    <row r="2329" spans="2:78">
      <c r="B2329" s="7"/>
      <c r="O2329" s="7"/>
      <c r="X2329" s="7"/>
      <c r="AG2329" s="7"/>
      <c r="AP2329" s="7"/>
      <c r="AY2329" s="7"/>
      <c r="BH2329" s="7"/>
      <c r="BQ2329" s="7"/>
      <c r="BZ2329" s="7"/>
    </row>
    <row r="2330" spans="2:78">
      <c r="B2330" s="7"/>
      <c r="O2330" s="7"/>
      <c r="X2330" s="7"/>
      <c r="AG2330" s="7"/>
      <c r="AP2330" s="7"/>
      <c r="AY2330" s="7"/>
      <c r="BH2330" s="7"/>
      <c r="BQ2330" s="7"/>
      <c r="BZ2330" s="7"/>
    </row>
    <row r="2331" spans="2:78">
      <c r="B2331" s="7"/>
      <c r="O2331" s="7"/>
      <c r="X2331" s="7"/>
      <c r="AG2331" s="7"/>
      <c r="AP2331" s="7"/>
      <c r="AY2331" s="7"/>
      <c r="BH2331" s="7"/>
      <c r="BQ2331" s="7"/>
      <c r="BZ2331" s="7"/>
    </row>
    <row r="2332" spans="2:78">
      <c r="B2332" s="7"/>
      <c r="O2332" s="7"/>
      <c r="X2332" s="7"/>
      <c r="AG2332" s="7"/>
      <c r="AP2332" s="7"/>
      <c r="AY2332" s="7"/>
      <c r="BH2332" s="7"/>
      <c r="BQ2332" s="7"/>
      <c r="BZ2332" s="7"/>
    </row>
    <row r="2333" spans="2:78">
      <c r="B2333" s="7"/>
      <c r="O2333" s="7"/>
      <c r="X2333" s="7"/>
      <c r="AG2333" s="7"/>
      <c r="AP2333" s="7"/>
      <c r="AY2333" s="7"/>
      <c r="BH2333" s="7"/>
      <c r="BQ2333" s="7"/>
      <c r="BZ2333" s="7"/>
    </row>
    <row r="2334" spans="2:78">
      <c r="B2334" s="7"/>
      <c r="O2334" s="7"/>
      <c r="X2334" s="7"/>
      <c r="AG2334" s="7"/>
      <c r="AP2334" s="7"/>
      <c r="AY2334" s="7"/>
      <c r="BH2334" s="7"/>
      <c r="BQ2334" s="7"/>
      <c r="BZ2334" s="7"/>
    </row>
    <row r="2335" spans="2:78">
      <c r="B2335" s="7"/>
      <c r="O2335" s="7"/>
      <c r="X2335" s="7"/>
      <c r="AG2335" s="7"/>
      <c r="AP2335" s="7"/>
      <c r="AY2335" s="7"/>
      <c r="BH2335" s="7"/>
      <c r="BQ2335" s="7"/>
      <c r="BZ2335" s="7"/>
    </row>
    <row r="2336" spans="2:78">
      <c r="B2336" s="7"/>
      <c r="O2336" s="7"/>
      <c r="X2336" s="7"/>
      <c r="AG2336" s="7"/>
      <c r="AP2336" s="7"/>
      <c r="AY2336" s="7"/>
      <c r="BH2336" s="7"/>
      <c r="BQ2336" s="7"/>
      <c r="BZ2336" s="7"/>
    </row>
    <row r="2337" spans="2:78">
      <c r="B2337" s="7"/>
      <c r="O2337" s="7"/>
      <c r="X2337" s="7"/>
      <c r="AG2337" s="7"/>
      <c r="AP2337" s="7"/>
      <c r="AY2337" s="7"/>
      <c r="BH2337" s="7"/>
      <c r="BQ2337" s="7"/>
      <c r="BZ2337" s="7"/>
    </row>
    <row r="2338" spans="2:78">
      <c r="B2338" s="7"/>
      <c r="O2338" s="7"/>
      <c r="X2338" s="7"/>
      <c r="AG2338" s="7"/>
      <c r="AP2338" s="7"/>
      <c r="AY2338" s="7"/>
      <c r="BH2338" s="7"/>
      <c r="BQ2338" s="7"/>
      <c r="BZ2338" s="7"/>
    </row>
    <row r="2339" spans="2:78">
      <c r="B2339" s="7"/>
      <c r="O2339" s="7"/>
      <c r="X2339" s="7"/>
      <c r="AG2339" s="7"/>
      <c r="AP2339" s="7"/>
      <c r="AY2339" s="7"/>
      <c r="BH2339" s="7"/>
      <c r="BQ2339" s="7"/>
      <c r="BZ2339" s="7"/>
    </row>
    <row r="2340" spans="2:78">
      <c r="B2340" s="7"/>
      <c r="O2340" s="7"/>
      <c r="X2340" s="7"/>
      <c r="AG2340" s="7"/>
      <c r="AP2340" s="7"/>
      <c r="AY2340" s="7"/>
      <c r="BH2340" s="7"/>
      <c r="BQ2340" s="7"/>
      <c r="BZ2340" s="7"/>
    </row>
    <row r="2341" spans="2:78">
      <c r="B2341" s="7"/>
      <c r="O2341" s="7"/>
      <c r="X2341" s="7"/>
      <c r="AG2341" s="7"/>
      <c r="AP2341" s="7"/>
      <c r="AY2341" s="7"/>
      <c r="BH2341" s="7"/>
      <c r="BQ2341" s="7"/>
      <c r="BZ2341" s="7"/>
    </row>
    <row r="2342" spans="2:78">
      <c r="B2342" s="7"/>
      <c r="O2342" s="7"/>
      <c r="X2342" s="7"/>
      <c r="AG2342" s="7"/>
      <c r="AP2342" s="7"/>
      <c r="AY2342" s="7"/>
      <c r="BH2342" s="7"/>
      <c r="BQ2342" s="7"/>
      <c r="BZ2342" s="7"/>
    </row>
    <row r="2343" spans="2:78">
      <c r="B2343" s="7"/>
      <c r="O2343" s="7"/>
      <c r="X2343" s="7"/>
      <c r="AG2343" s="7"/>
      <c r="AP2343" s="7"/>
      <c r="AY2343" s="7"/>
      <c r="BH2343" s="7"/>
      <c r="BQ2343" s="7"/>
      <c r="BZ2343" s="7"/>
    </row>
    <row r="2344" spans="2:78">
      <c r="B2344" s="7"/>
      <c r="O2344" s="7"/>
      <c r="X2344" s="7"/>
      <c r="AG2344" s="7"/>
      <c r="AP2344" s="7"/>
      <c r="AY2344" s="7"/>
      <c r="BH2344" s="7"/>
      <c r="BQ2344" s="7"/>
      <c r="BZ2344" s="7"/>
    </row>
    <row r="2345" spans="2:78">
      <c r="B2345" s="7"/>
      <c r="O2345" s="7"/>
      <c r="X2345" s="7"/>
      <c r="AG2345" s="7"/>
      <c r="AP2345" s="7"/>
      <c r="AY2345" s="7"/>
      <c r="BH2345" s="7"/>
      <c r="BQ2345" s="7"/>
      <c r="BZ2345" s="7"/>
    </row>
    <row r="2346" spans="2:78">
      <c r="B2346" s="7"/>
      <c r="O2346" s="7"/>
      <c r="X2346" s="7"/>
      <c r="AG2346" s="7"/>
      <c r="AP2346" s="7"/>
      <c r="AY2346" s="7"/>
      <c r="BH2346" s="7"/>
      <c r="BQ2346" s="7"/>
      <c r="BZ2346" s="7"/>
    </row>
    <row r="2347" spans="2:78">
      <c r="B2347" s="7"/>
      <c r="O2347" s="7"/>
      <c r="X2347" s="7"/>
      <c r="AG2347" s="7"/>
      <c r="AP2347" s="7"/>
      <c r="AY2347" s="7"/>
      <c r="BH2347" s="7"/>
      <c r="BQ2347" s="7"/>
      <c r="BZ2347" s="7"/>
    </row>
    <row r="2348" spans="2:78">
      <c r="B2348" s="7"/>
      <c r="O2348" s="7"/>
      <c r="X2348" s="7"/>
      <c r="AG2348" s="7"/>
      <c r="AP2348" s="7"/>
      <c r="AY2348" s="7"/>
      <c r="BH2348" s="7"/>
      <c r="BQ2348" s="7"/>
      <c r="BZ2348" s="7"/>
    </row>
    <row r="2349" spans="2:78">
      <c r="B2349" s="7"/>
      <c r="O2349" s="7"/>
      <c r="X2349" s="7"/>
      <c r="AG2349" s="7"/>
      <c r="AP2349" s="7"/>
      <c r="AY2349" s="7"/>
      <c r="BH2349" s="7"/>
      <c r="BQ2349" s="7"/>
      <c r="BZ2349" s="7"/>
    </row>
    <row r="2350" spans="2:78">
      <c r="B2350" s="7"/>
      <c r="O2350" s="7"/>
      <c r="X2350" s="7"/>
      <c r="AG2350" s="7"/>
      <c r="AP2350" s="7"/>
      <c r="AY2350" s="7"/>
      <c r="BH2350" s="7"/>
      <c r="BQ2350" s="7"/>
      <c r="BZ2350" s="7"/>
    </row>
    <row r="2351" spans="2:78">
      <c r="B2351" s="7"/>
      <c r="O2351" s="7"/>
      <c r="X2351" s="7"/>
      <c r="AG2351" s="7"/>
      <c r="AP2351" s="7"/>
      <c r="AY2351" s="7"/>
      <c r="BH2351" s="7"/>
      <c r="BQ2351" s="7"/>
      <c r="BZ2351" s="7"/>
    </row>
    <row r="2352" spans="2:78">
      <c r="B2352" s="7"/>
      <c r="O2352" s="7"/>
      <c r="X2352" s="7"/>
      <c r="AG2352" s="7"/>
      <c r="AP2352" s="7"/>
      <c r="AY2352" s="7"/>
      <c r="BH2352" s="7"/>
      <c r="BQ2352" s="7"/>
      <c r="BZ2352" s="7"/>
    </row>
    <row r="2353" spans="2:78">
      <c r="B2353" s="7"/>
      <c r="O2353" s="7"/>
      <c r="X2353" s="7"/>
      <c r="AG2353" s="7"/>
      <c r="AP2353" s="7"/>
      <c r="AY2353" s="7"/>
      <c r="BH2353" s="7"/>
      <c r="BQ2353" s="7"/>
      <c r="BZ2353" s="7"/>
    </row>
    <row r="2354" spans="2:78">
      <c r="B2354" s="7"/>
      <c r="O2354" s="7"/>
      <c r="X2354" s="7"/>
      <c r="AG2354" s="7"/>
      <c r="AP2354" s="7"/>
      <c r="AY2354" s="7"/>
      <c r="BH2354" s="7"/>
      <c r="BQ2354" s="7"/>
      <c r="BZ2354" s="7"/>
    </row>
    <row r="2355" spans="2:78">
      <c r="B2355" s="7"/>
      <c r="O2355" s="7"/>
      <c r="X2355" s="7"/>
      <c r="AG2355" s="7"/>
      <c r="AP2355" s="7"/>
      <c r="AY2355" s="7"/>
      <c r="BH2355" s="7"/>
      <c r="BQ2355" s="7"/>
      <c r="BZ2355" s="7"/>
    </row>
    <row r="2356" spans="2:78">
      <c r="B2356" s="7"/>
      <c r="O2356" s="7"/>
      <c r="X2356" s="7"/>
      <c r="AG2356" s="7"/>
      <c r="AP2356" s="7"/>
      <c r="AY2356" s="7"/>
      <c r="BH2356" s="7"/>
      <c r="BQ2356" s="7"/>
      <c r="BZ2356" s="7"/>
    </row>
    <row r="2357" spans="2:78">
      <c r="B2357" s="7"/>
      <c r="O2357" s="7"/>
      <c r="X2357" s="7"/>
      <c r="AG2357" s="7"/>
      <c r="AP2357" s="7"/>
      <c r="AY2357" s="7"/>
      <c r="BH2357" s="7"/>
      <c r="BQ2357" s="7"/>
      <c r="BZ2357" s="7"/>
    </row>
    <row r="2358" spans="2:78">
      <c r="B2358" s="7"/>
      <c r="O2358" s="7"/>
      <c r="X2358" s="7"/>
      <c r="AG2358" s="7"/>
      <c r="AP2358" s="7"/>
      <c r="AY2358" s="7"/>
      <c r="BH2358" s="7"/>
      <c r="BQ2358" s="7"/>
      <c r="BZ2358" s="7"/>
    </row>
    <row r="2359" spans="2:78">
      <c r="B2359" s="7"/>
      <c r="O2359" s="7"/>
      <c r="X2359" s="7"/>
      <c r="AG2359" s="7"/>
      <c r="AP2359" s="7"/>
      <c r="AY2359" s="7"/>
      <c r="BH2359" s="7"/>
      <c r="BQ2359" s="7"/>
      <c r="BZ2359" s="7"/>
    </row>
    <row r="2360" spans="2:78">
      <c r="B2360" s="7"/>
      <c r="O2360" s="7"/>
      <c r="X2360" s="7"/>
      <c r="AG2360" s="7"/>
      <c r="AP2360" s="7"/>
      <c r="AY2360" s="7"/>
      <c r="BH2360" s="7"/>
      <c r="BQ2360" s="7"/>
      <c r="BZ2360" s="7"/>
    </row>
    <row r="2361" spans="2:78">
      <c r="B2361" s="7"/>
      <c r="O2361" s="7"/>
      <c r="X2361" s="7"/>
      <c r="AG2361" s="7"/>
      <c r="AP2361" s="7"/>
      <c r="AY2361" s="7"/>
      <c r="BH2361" s="7"/>
      <c r="BQ2361" s="7"/>
      <c r="BZ2361" s="7"/>
    </row>
    <row r="2362" spans="2:78">
      <c r="B2362" s="7"/>
      <c r="O2362" s="7"/>
      <c r="X2362" s="7"/>
      <c r="AG2362" s="7"/>
      <c r="AP2362" s="7"/>
      <c r="AY2362" s="7"/>
      <c r="BH2362" s="7"/>
      <c r="BQ2362" s="7"/>
      <c r="BZ2362" s="7"/>
    </row>
    <row r="2363" spans="2:78">
      <c r="B2363" s="7"/>
      <c r="O2363" s="7"/>
      <c r="X2363" s="7"/>
      <c r="AG2363" s="7"/>
      <c r="AP2363" s="7"/>
      <c r="AY2363" s="7"/>
      <c r="BH2363" s="7"/>
      <c r="BQ2363" s="7"/>
      <c r="BZ2363" s="7"/>
    </row>
    <row r="2364" spans="2:78">
      <c r="B2364" s="7"/>
      <c r="O2364" s="7"/>
      <c r="X2364" s="7"/>
      <c r="AG2364" s="7"/>
      <c r="AP2364" s="7"/>
      <c r="AY2364" s="7"/>
      <c r="BH2364" s="7"/>
      <c r="BQ2364" s="7"/>
      <c r="BZ2364" s="7"/>
    </row>
    <row r="2365" spans="2:78">
      <c r="B2365" s="7"/>
      <c r="O2365" s="7"/>
      <c r="X2365" s="7"/>
      <c r="AG2365" s="7"/>
      <c r="AP2365" s="7"/>
      <c r="AY2365" s="7"/>
      <c r="BH2365" s="7"/>
      <c r="BQ2365" s="7"/>
      <c r="BZ2365" s="7"/>
    </row>
    <row r="2366" spans="2:78">
      <c r="B2366" s="7"/>
      <c r="O2366" s="7"/>
      <c r="X2366" s="7"/>
      <c r="AG2366" s="7"/>
      <c r="AP2366" s="7"/>
      <c r="AY2366" s="7"/>
      <c r="BH2366" s="7"/>
      <c r="BQ2366" s="7"/>
      <c r="BZ2366" s="7"/>
    </row>
    <row r="2367" spans="2:78">
      <c r="B2367" s="7"/>
      <c r="O2367" s="7"/>
      <c r="X2367" s="7"/>
      <c r="AG2367" s="7"/>
      <c r="AP2367" s="7"/>
      <c r="AY2367" s="7"/>
      <c r="BH2367" s="7"/>
      <c r="BQ2367" s="7"/>
      <c r="BZ2367" s="7"/>
    </row>
    <row r="2368" spans="2:78">
      <c r="B2368" s="7"/>
      <c r="O2368" s="7"/>
      <c r="X2368" s="7"/>
      <c r="AG2368" s="7"/>
      <c r="AP2368" s="7"/>
      <c r="AY2368" s="7"/>
      <c r="BH2368" s="7"/>
      <c r="BQ2368" s="7"/>
      <c r="BZ2368" s="7"/>
    </row>
    <row r="2369" spans="2:78">
      <c r="B2369" s="7"/>
      <c r="O2369" s="7"/>
      <c r="X2369" s="7"/>
      <c r="AG2369" s="7"/>
      <c r="AP2369" s="7"/>
      <c r="AY2369" s="7"/>
      <c r="BH2369" s="7"/>
      <c r="BQ2369" s="7"/>
      <c r="BZ2369" s="7"/>
    </row>
    <row r="2370" spans="2:78">
      <c r="B2370" s="7"/>
      <c r="O2370" s="7"/>
      <c r="X2370" s="7"/>
      <c r="AG2370" s="7"/>
      <c r="AP2370" s="7"/>
      <c r="AY2370" s="7"/>
      <c r="BH2370" s="7"/>
      <c r="BQ2370" s="7"/>
      <c r="BZ2370" s="7"/>
    </row>
    <row r="2371" spans="2:78">
      <c r="B2371" s="7"/>
      <c r="O2371" s="7"/>
      <c r="X2371" s="7"/>
      <c r="AG2371" s="7"/>
      <c r="AP2371" s="7"/>
      <c r="AY2371" s="7"/>
      <c r="BH2371" s="7"/>
      <c r="BQ2371" s="7"/>
      <c r="BZ2371" s="7"/>
    </row>
    <row r="2372" spans="2:78">
      <c r="B2372" s="7"/>
      <c r="O2372" s="7"/>
      <c r="X2372" s="7"/>
      <c r="AG2372" s="7"/>
      <c r="AP2372" s="7"/>
      <c r="AY2372" s="7"/>
      <c r="BH2372" s="7"/>
      <c r="BQ2372" s="7"/>
      <c r="BZ2372" s="7"/>
    </row>
    <row r="2373" spans="2:78">
      <c r="B2373" s="7"/>
      <c r="O2373" s="7"/>
      <c r="X2373" s="7"/>
      <c r="AG2373" s="7"/>
      <c r="AP2373" s="7"/>
      <c r="AY2373" s="7"/>
      <c r="BH2373" s="7"/>
      <c r="BQ2373" s="7"/>
      <c r="BZ2373" s="7"/>
    </row>
    <row r="2374" spans="2:78">
      <c r="B2374" s="7"/>
      <c r="O2374" s="7"/>
      <c r="X2374" s="7"/>
      <c r="AG2374" s="7"/>
      <c r="AP2374" s="7"/>
      <c r="AY2374" s="7"/>
      <c r="BH2374" s="7"/>
      <c r="BQ2374" s="7"/>
      <c r="BZ2374" s="7"/>
    </row>
    <row r="2375" spans="2:78">
      <c r="B2375" s="7"/>
      <c r="O2375" s="7"/>
      <c r="X2375" s="7"/>
      <c r="AG2375" s="7"/>
      <c r="AP2375" s="7"/>
      <c r="AY2375" s="7"/>
      <c r="BH2375" s="7"/>
      <c r="BQ2375" s="7"/>
      <c r="BZ2375" s="7"/>
    </row>
    <row r="2376" spans="2:78">
      <c r="B2376" s="7"/>
      <c r="O2376" s="7"/>
      <c r="X2376" s="7"/>
      <c r="AG2376" s="7"/>
      <c r="AP2376" s="7"/>
      <c r="AY2376" s="7"/>
      <c r="BH2376" s="7"/>
      <c r="BQ2376" s="7"/>
      <c r="BZ2376" s="7"/>
    </row>
    <row r="2377" spans="2:78">
      <c r="B2377" s="7"/>
      <c r="O2377" s="7"/>
      <c r="X2377" s="7"/>
      <c r="AG2377" s="7"/>
      <c r="AP2377" s="7"/>
      <c r="AY2377" s="7"/>
      <c r="BH2377" s="7"/>
      <c r="BQ2377" s="7"/>
      <c r="BZ2377" s="7"/>
    </row>
    <row r="2378" spans="2:78">
      <c r="B2378" s="7"/>
      <c r="O2378" s="7"/>
      <c r="X2378" s="7"/>
      <c r="AG2378" s="7"/>
      <c r="AP2378" s="7"/>
      <c r="AY2378" s="7"/>
      <c r="BH2378" s="7"/>
      <c r="BQ2378" s="7"/>
      <c r="BZ2378" s="7"/>
    </row>
    <row r="2379" spans="2:78">
      <c r="B2379" s="7"/>
      <c r="O2379" s="7"/>
      <c r="X2379" s="7"/>
      <c r="AG2379" s="7"/>
      <c r="AP2379" s="7"/>
      <c r="AY2379" s="7"/>
      <c r="BH2379" s="7"/>
      <c r="BQ2379" s="7"/>
      <c r="BZ2379" s="7"/>
    </row>
    <row r="2380" spans="2:78">
      <c r="B2380" s="7"/>
      <c r="O2380" s="7"/>
      <c r="X2380" s="7"/>
      <c r="AG2380" s="7"/>
      <c r="AP2380" s="7"/>
      <c r="AY2380" s="7"/>
      <c r="BH2380" s="7"/>
      <c r="BQ2380" s="7"/>
      <c r="BZ2380" s="7"/>
    </row>
    <row r="2381" spans="2:78">
      <c r="B2381" s="7"/>
      <c r="O2381" s="7"/>
      <c r="X2381" s="7"/>
      <c r="AG2381" s="7"/>
      <c r="AP2381" s="7"/>
      <c r="AY2381" s="7"/>
      <c r="BH2381" s="7"/>
      <c r="BQ2381" s="7"/>
      <c r="BZ2381" s="7"/>
    </row>
    <row r="2382" spans="2:78">
      <c r="B2382" s="7"/>
      <c r="O2382" s="7"/>
      <c r="X2382" s="7"/>
      <c r="AG2382" s="7"/>
      <c r="AP2382" s="7"/>
      <c r="AY2382" s="7"/>
      <c r="BH2382" s="7"/>
      <c r="BQ2382" s="7"/>
      <c r="BZ2382" s="7"/>
    </row>
    <row r="2383" spans="2:78">
      <c r="B2383" s="7"/>
      <c r="O2383" s="7"/>
      <c r="X2383" s="7"/>
      <c r="AG2383" s="7"/>
      <c r="AP2383" s="7"/>
      <c r="AY2383" s="7"/>
      <c r="BH2383" s="7"/>
      <c r="BQ2383" s="7"/>
      <c r="BZ2383" s="7"/>
    </row>
    <row r="2384" spans="2:78">
      <c r="B2384" s="7"/>
      <c r="O2384" s="7"/>
      <c r="X2384" s="7"/>
      <c r="AG2384" s="7"/>
      <c r="AP2384" s="7"/>
      <c r="AY2384" s="7"/>
      <c r="BH2384" s="7"/>
      <c r="BQ2384" s="7"/>
      <c r="BZ2384" s="7"/>
    </row>
    <row r="2385" spans="2:78">
      <c r="B2385" s="7"/>
      <c r="O2385" s="7"/>
      <c r="X2385" s="7"/>
      <c r="AG2385" s="7"/>
      <c r="AP2385" s="7"/>
      <c r="AY2385" s="7"/>
      <c r="BH2385" s="7"/>
      <c r="BQ2385" s="7"/>
      <c r="BZ2385" s="7"/>
    </row>
    <row r="2386" spans="2:78">
      <c r="B2386" s="7"/>
      <c r="O2386" s="7"/>
      <c r="X2386" s="7"/>
      <c r="AG2386" s="7"/>
      <c r="AP2386" s="7"/>
      <c r="AY2386" s="7"/>
      <c r="BH2386" s="7"/>
      <c r="BQ2386" s="7"/>
      <c r="BZ2386" s="7"/>
    </row>
    <row r="2387" spans="2:78">
      <c r="B2387" s="7"/>
      <c r="O2387" s="7"/>
      <c r="X2387" s="7"/>
      <c r="AG2387" s="7"/>
      <c r="AP2387" s="7"/>
      <c r="AY2387" s="7"/>
      <c r="BH2387" s="7"/>
      <c r="BQ2387" s="7"/>
      <c r="BZ2387" s="7"/>
    </row>
    <row r="2388" spans="2:78">
      <c r="B2388" s="7"/>
      <c r="O2388" s="7"/>
      <c r="X2388" s="7"/>
      <c r="AG2388" s="7"/>
      <c r="AP2388" s="7"/>
      <c r="AY2388" s="7"/>
      <c r="BH2388" s="7"/>
      <c r="BQ2388" s="7"/>
      <c r="BZ2388" s="7"/>
    </row>
    <row r="2389" spans="2:78">
      <c r="B2389" s="7"/>
      <c r="O2389" s="7"/>
      <c r="X2389" s="7"/>
      <c r="AG2389" s="7"/>
      <c r="AP2389" s="7"/>
      <c r="AY2389" s="7"/>
      <c r="BH2389" s="7"/>
      <c r="BQ2389" s="7"/>
      <c r="BZ2389" s="7"/>
    </row>
    <row r="2390" spans="2:78">
      <c r="B2390" s="7"/>
      <c r="O2390" s="7"/>
      <c r="X2390" s="7"/>
      <c r="AG2390" s="7"/>
      <c r="AP2390" s="7"/>
      <c r="AY2390" s="7"/>
      <c r="BH2390" s="7"/>
      <c r="BQ2390" s="7"/>
      <c r="BZ2390" s="7"/>
    </row>
    <row r="2391" spans="2:78">
      <c r="B2391" s="7"/>
      <c r="O2391" s="7"/>
      <c r="X2391" s="7"/>
      <c r="AG2391" s="7"/>
      <c r="AP2391" s="7"/>
      <c r="AY2391" s="7"/>
      <c r="BH2391" s="7"/>
      <c r="BQ2391" s="7"/>
      <c r="BZ2391" s="7"/>
    </row>
    <row r="2392" spans="2:78">
      <c r="B2392" s="7"/>
      <c r="O2392" s="7"/>
      <c r="X2392" s="7"/>
      <c r="AG2392" s="7"/>
      <c r="AP2392" s="7"/>
      <c r="AY2392" s="7"/>
      <c r="BH2392" s="7"/>
      <c r="BQ2392" s="7"/>
      <c r="BZ2392" s="7"/>
    </row>
    <row r="2393" spans="2:78">
      <c r="B2393" s="7"/>
      <c r="O2393" s="7"/>
      <c r="X2393" s="7"/>
      <c r="AG2393" s="7"/>
      <c r="AP2393" s="7"/>
      <c r="AY2393" s="7"/>
      <c r="BH2393" s="7"/>
      <c r="BQ2393" s="7"/>
      <c r="BZ2393" s="7"/>
    </row>
    <row r="2394" spans="2:78">
      <c r="B2394" s="7"/>
      <c r="O2394" s="7"/>
      <c r="X2394" s="7"/>
      <c r="AG2394" s="7"/>
      <c r="AP2394" s="7"/>
      <c r="AY2394" s="7"/>
      <c r="BH2394" s="7"/>
      <c r="BQ2394" s="7"/>
      <c r="BZ2394" s="7"/>
    </row>
    <row r="2395" spans="2:78">
      <c r="B2395" s="7"/>
      <c r="O2395" s="7"/>
      <c r="X2395" s="7"/>
      <c r="AG2395" s="7"/>
      <c r="AP2395" s="7"/>
      <c r="AY2395" s="7"/>
      <c r="BH2395" s="7"/>
      <c r="BQ2395" s="7"/>
      <c r="BZ2395" s="7"/>
    </row>
    <row r="2396" spans="2:78">
      <c r="B2396" s="7"/>
      <c r="O2396" s="7"/>
      <c r="X2396" s="7"/>
      <c r="AG2396" s="7"/>
      <c r="AP2396" s="7"/>
      <c r="AY2396" s="7"/>
      <c r="BH2396" s="7"/>
      <c r="BQ2396" s="7"/>
      <c r="BZ2396" s="7"/>
    </row>
    <row r="2397" spans="2:78">
      <c r="B2397" s="7"/>
      <c r="O2397" s="7"/>
      <c r="X2397" s="7"/>
      <c r="AG2397" s="7"/>
      <c r="AP2397" s="7"/>
      <c r="AY2397" s="7"/>
      <c r="BH2397" s="7"/>
      <c r="BQ2397" s="7"/>
      <c r="BZ2397" s="7"/>
    </row>
    <row r="2398" spans="2:78">
      <c r="B2398" s="7"/>
      <c r="O2398" s="7"/>
      <c r="X2398" s="7"/>
      <c r="AG2398" s="7"/>
      <c r="AP2398" s="7"/>
      <c r="AY2398" s="7"/>
      <c r="BH2398" s="7"/>
      <c r="BQ2398" s="7"/>
      <c r="BZ2398" s="7"/>
    </row>
    <row r="2399" spans="2:78">
      <c r="B2399" s="7"/>
      <c r="O2399" s="7"/>
      <c r="X2399" s="7"/>
      <c r="AG2399" s="7"/>
      <c r="AP2399" s="7"/>
      <c r="AY2399" s="7"/>
      <c r="BH2399" s="7"/>
      <c r="BQ2399" s="7"/>
      <c r="BZ2399" s="7"/>
    </row>
    <row r="2400" spans="2:78">
      <c r="B2400" s="7"/>
      <c r="O2400" s="7"/>
      <c r="X2400" s="7"/>
      <c r="AG2400" s="7"/>
      <c r="AP2400" s="7"/>
      <c r="AY2400" s="7"/>
      <c r="BH2400" s="7"/>
      <c r="BQ2400" s="7"/>
      <c r="BZ2400" s="7"/>
    </row>
    <row r="2401" spans="2:78">
      <c r="B2401" s="7"/>
      <c r="O2401" s="7"/>
      <c r="X2401" s="7"/>
      <c r="AG2401" s="7"/>
      <c r="AP2401" s="7"/>
      <c r="AY2401" s="7"/>
      <c r="BH2401" s="7"/>
      <c r="BQ2401" s="7"/>
      <c r="BZ2401" s="7"/>
    </row>
    <row r="2402" spans="2:78">
      <c r="B2402" s="7"/>
      <c r="O2402" s="7"/>
      <c r="X2402" s="7"/>
      <c r="AG2402" s="7"/>
      <c r="AP2402" s="7"/>
      <c r="AY2402" s="7"/>
      <c r="BH2402" s="7"/>
      <c r="BQ2402" s="7"/>
      <c r="BZ2402" s="7"/>
    </row>
    <row r="2403" spans="2:78">
      <c r="B2403" s="7"/>
      <c r="O2403" s="7"/>
      <c r="X2403" s="7"/>
      <c r="AG2403" s="7"/>
      <c r="AP2403" s="7"/>
      <c r="AY2403" s="7"/>
      <c r="BH2403" s="7"/>
      <c r="BQ2403" s="7"/>
      <c r="BZ2403" s="7"/>
    </row>
    <row r="2404" spans="2:78">
      <c r="B2404" s="7"/>
      <c r="O2404" s="7"/>
      <c r="X2404" s="7"/>
      <c r="AG2404" s="7"/>
      <c r="AP2404" s="7"/>
      <c r="AY2404" s="7"/>
      <c r="BH2404" s="7"/>
      <c r="BQ2404" s="7"/>
      <c r="BZ2404" s="7"/>
    </row>
    <row r="2405" spans="2:78">
      <c r="B2405" s="7"/>
      <c r="O2405" s="7"/>
      <c r="X2405" s="7"/>
      <c r="AG2405" s="7"/>
      <c r="AP2405" s="7"/>
      <c r="AY2405" s="7"/>
      <c r="BH2405" s="7"/>
      <c r="BQ2405" s="7"/>
      <c r="BZ2405" s="7"/>
    </row>
    <row r="2406" spans="2:78">
      <c r="B2406" s="7"/>
      <c r="O2406" s="7"/>
      <c r="X2406" s="7"/>
      <c r="AG2406" s="7"/>
      <c r="AP2406" s="7"/>
      <c r="AY2406" s="7"/>
      <c r="BH2406" s="7"/>
      <c r="BQ2406" s="7"/>
      <c r="BZ2406" s="7"/>
    </row>
    <row r="2407" spans="2:78">
      <c r="B2407" s="7"/>
      <c r="O2407" s="7"/>
      <c r="X2407" s="7"/>
      <c r="AG2407" s="7"/>
      <c r="AP2407" s="7"/>
      <c r="AY2407" s="7"/>
      <c r="BH2407" s="7"/>
      <c r="BQ2407" s="7"/>
      <c r="BZ2407" s="7"/>
    </row>
    <row r="2408" spans="2:78">
      <c r="B2408" s="7"/>
      <c r="O2408" s="7"/>
      <c r="X2408" s="7"/>
      <c r="AG2408" s="7"/>
      <c r="AP2408" s="7"/>
      <c r="AY2408" s="7"/>
      <c r="BH2408" s="7"/>
      <c r="BQ2408" s="7"/>
      <c r="BZ2408" s="7"/>
    </row>
    <row r="2409" spans="2:78">
      <c r="B2409" s="7"/>
      <c r="O2409" s="7"/>
      <c r="X2409" s="7"/>
      <c r="AG2409" s="7"/>
      <c r="AP2409" s="7"/>
      <c r="AY2409" s="7"/>
      <c r="BH2409" s="7"/>
      <c r="BQ2409" s="7"/>
      <c r="BZ2409" s="7"/>
    </row>
    <row r="2410" spans="2:78">
      <c r="B2410" s="7"/>
      <c r="O2410" s="7"/>
      <c r="X2410" s="7"/>
      <c r="AG2410" s="7"/>
      <c r="AP2410" s="7"/>
      <c r="AY2410" s="7"/>
      <c r="BH2410" s="7"/>
      <c r="BQ2410" s="7"/>
      <c r="BZ2410" s="7"/>
    </row>
    <row r="2411" spans="2:78">
      <c r="B2411" s="7"/>
      <c r="O2411" s="7"/>
      <c r="X2411" s="7"/>
      <c r="AG2411" s="7"/>
      <c r="AP2411" s="7"/>
      <c r="AY2411" s="7"/>
      <c r="BH2411" s="7"/>
      <c r="BQ2411" s="7"/>
      <c r="BZ2411" s="7"/>
    </row>
    <row r="2412" spans="2:78">
      <c r="B2412" s="7"/>
      <c r="O2412" s="7"/>
      <c r="X2412" s="7"/>
      <c r="AG2412" s="7"/>
      <c r="AP2412" s="7"/>
      <c r="AY2412" s="7"/>
      <c r="BH2412" s="7"/>
      <c r="BQ2412" s="7"/>
      <c r="BZ2412" s="7"/>
    </row>
    <row r="2413" spans="2:78">
      <c r="B2413" s="7"/>
      <c r="O2413" s="7"/>
      <c r="X2413" s="7"/>
      <c r="AG2413" s="7"/>
      <c r="AP2413" s="7"/>
      <c r="AY2413" s="7"/>
      <c r="BH2413" s="7"/>
      <c r="BQ2413" s="7"/>
      <c r="BZ2413" s="7"/>
    </row>
    <row r="2414" spans="2:78">
      <c r="B2414" s="7"/>
      <c r="O2414" s="7"/>
      <c r="X2414" s="7"/>
      <c r="AG2414" s="7"/>
      <c r="AP2414" s="7"/>
      <c r="AY2414" s="7"/>
      <c r="BH2414" s="7"/>
      <c r="BQ2414" s="7"/>
      <c r="BZ2414" s="7"/>
    </row>
    <row r="2415" spans="2:78">
      <c r="B2415" s="7"/>
      <c r="O2415" s="7"/>
      <c r="X2415" s="7"/>
      <c r="AG2415" s="7"/>
      <c r="AP2415" s="7"/>
      <c r="AY2415" s="7"/>
      <c r="BH2415" s="7"/>
      <c r="BQ2415" s="7"/>
      <c r="BZ2415" s="7"/>
    </row>
    <row r="2416" spans="2:78">
      <c r="B2416" s="7"/>
      <c r="O2416" s="7"/>
      <c r="X2416" s="7"/>
      <c r="AG2416" s="7"/>
      <c r="AP2416" s="7"/>
      <c r="AY2416" s="7"/>
      <c r="BH2416" s="7"/>
      <c r="BQ2416" s="7"/>
      <c r="BZ2416" s="7"/>
    </row>
    <row r="2417" spans="2:78">
      <c r="B2417" s="7"/>
      <c r="O2417" s="7"/>
      <c r="X2417" s="7"/>
      <c r="AG2417" s="7"/>
      <c r="AP2417" s="7"/>
      <c r="AY2417" s="7"/>
      <c r="BH2417" s="7"/>
      <c r="BQ2417" s="7"/>
      <c r="BZ2417" s="7"/>
    </row>
    <row r="2418" spans="2:78">
      <c r="B2418" s="7"/>
      <c r="O2418" s="7"/>
      <c r="X2418" s="7"/>
      <c r="AG2418" s="7"/>
      <c r="AP2418" s="7"/>
      <c r="AY2418" s="7"/>
      <c r="BH2418" s="7"/>
      <c r="BQ2418" s="7"/>
      <c r="BZ2418" s="7"/>
    </row>
    <row r="2419" spans="2:78">
      <c r="B2419" s="7"/>
      <c r="O2419" s="7"/>
      <c r="X2419" s="7"/>
      <c r="AG2419" s="7"/>
      <c r="AP2419" s="7"/>
      <c r="AY2419" s="7"/>
      <c r="BH2419" s="7"/>
      <c r="BQ2419" s="7"/>
      <c r="BZ2419" s="7"/>
    </row>
    <row r="2420" spans="2:78">
      <c r="B2420" s="7"/>
      <c r="O2420" s="7"/>
      <c r="X2420" s="7"/>
      <c r="AG2420" s="7"/>
      <c r="AP2420" s="7"/>
      <c r="AY2420" s="7"/>
      <c r="BH2420" s="7"/>
      <c r="BQ2420" s="7"/>
      <c r="BZ2420" s="7"/>
    </row>
    <row r="2421" spans="2:78">
      <c r="B2421" s="7"/>
      <c r="O2421" s="7"/>
      <c r="X2421" s="7"/>
      <c r="AG2421" s="7"/>
      <c r="AP2421" s="7"/>
      <c r="AY2421" s="7"/>
      <c r="BH2421" s="7"/>
      <c r="BQ2421" s="7"/>
      <c r="BZ2421" s="7"/>
    </row>
    <row r="2422" spans="2:78">
      <c r="B2422" s="7"/>
      <c r="O2422" s="7"/>
      <c r="X2422" s="7"/>
      <c r="AG2422" s="7"/>
      <c r="AP2422" s="7"/>
      <c r="AY2422" s="7"/>
      <c r="BH2422" s="7"/>
      <c r="BQ2422" s="7"/>
      <c r="BZ2422" s="7"/>
    </row>
    <row r="2423" spans="2:78">
      <c r="B2423" s="7"/>
      <c r="O2423" s="7"/>
      <c r="X2423" s="7"/>
      <c r="AG2423" s="7"/>
      <c r="AP2423" s="7"/>
      <c r="AY2423" s="7"/>
      <c r="BH2423" s="7"/>
      <c r="BQ2423" s="7"/>
      <c r="BZ2423" s="7"/>
    </row>
    <row r="2424" spans="2:78">
      <c r="B2424" s="7"/>
      <c r="O2424" s="7"/>
      <c r="X2424" s="7"/>
      <c r="AG2424" s="7"/>
      <c r="AP2424" s="7"/>
      <c r="AY2424" s="7"/>
      <c r="BH2424" s="7"/>
      <c r="BQ2424" s="7"/>
      <c r="BZ2424" s="7"/>
    </row>
    <row r="2425" spans="2:78">
      <c r="B2425" s="7"/>
      <c r="O2425" s="7"/>
      <c r="X2425" s="7"/>
      <c r="AG2425" s="7"/>
      <c r="AP2425" s="7"/>
      <c r="AY2425" s="7"/>
      <c r="BH2425" s="7"/>
      <c r="BQ2425" s="7"/>
      <c r="BZ2425" s="7"/>
    </row>
    <row r="2426" spans="2:78">
      <c r="B2426" s="7"/>
      <c r="O2426" s="7"/>
      <c r="X2426" s="7"/>
      <c r="AG2426" s="7"/>
      <c r="AP2426" s="7"/>
      <c r="AY2426" s="7"/>
      <c r="BH2426" s="7"/>
      <c r="BQ2426" s="7"/>
      <c r="BZ2426" s="7"/>
    </row>
    <row r="2427" spans="2:78">
      <c r="B2427" s="7"/>
      <c r="O2427" s="7"/>
      <c r="X2427" s="7"/>
      <c r="AG2427" s="7"/>
      <c r="AP2427" s="7"/>
      <c r="AY2427" s="7"/>
      <c r="BH2427" s="7"/>
      <c r="BQ2427" s="7"/>
      <c r="BZ2427" s="7"/>
    </row>
    <row r="2428" spans="2:78">
      <c r="B2428" s="7"/>
      <c r="O2428" s="7"/>
      <c r="X2428" s="7"/>
      <c r="AG2428" s="7"/>
      <c r="AP2428" s="7"/>
      <c r="AY2428" s="7"/>
      <c r="BH2428" s="7"/>
      <c r="BQ2428" s="7"/>
      <c r="BZ2428" s="7"/>
    </row>
    <row r="2429" spans="2:78">
      <c r="B2429" s="7"/>
      <c r="O2429" s="7"/>
      <c r="X2429" s="7"/>
      <c r="AG2429" s="7"/>
      <c r="AP2429" s="7"/>
      <c r="AY2429" s="7"/>
      <c r="BH2429" s="7"/>
      <c r="BQ2429" s="7"/>
      <c r="BZ2429" s="7"/>
    </row>
    <row r="2430" spans="2:78">
      <c r="B2430" s="7"/>
      <c r="O2430" s="7"/>
      <c r="X2430" s="7"/>
      <c r="AG2430" s="7"/>
      <c r="AP2430" s="7"/>
      <c r="AY2430" s="7"/>
      <c r="BH2430" s="7"/>
      <c r="BQ2430" s="7"/>
      <c r="BZ2430" s="7"/>
    </row>
    <row r="2431" spans="2:78">
      <c r="B2431" s="7"/>
      <c r="O2431" s="7"/>
      <c r="X2431" s="7"/>
      <c r="AG2431" s="7"/>
      <c r="AP2431" s="7"/>
      <c r="AY2431" s="7"/>
      <c r="BH2431" s="7"/>
      <c r="BQ2431" s="7"/>
      <c r="BZ2431" s="7"/>
    </row>
    <row r="2432" spans="2:78">
      <c r="B2432" s="7"/>
      <c r="O2432" s="7"/>
      <c r="X2432" s="7"/>
      <c r="AG2432" s="7"/>
      <c r="AP2432" s="7"/>
      <c r="AY2432" s="7"/>
      <c r="BH2432" s="7"/>
      <c r="BQ2432" s="7"/>
      <c r="BZ2432" s="7"/>
    </row>
    <row r="2433" spans="2:78">
      <c r="B2433" s="7"/>
      <c r="O2433" s="7"/>
      <c r="X2433" s="7"/>
      <c r="AG2433" s="7"/>
      <c r="AP2433" s="7"/>
      <c r="AY2433" s="7"/>
      <c r="BH2433" s="7"/>
      <c r="BQ2433" s="7"/>
      <c r="BZ2433" s="7"/>
    </row>
    <row r="2434" spans="2:78">
      <c r="B2434" s="7"/>
      <c r="O2434" s="7"/>
      <c r="X2434" s="7"/>
      <c r="AG2434" s="7"/>
      <c r="AP2434" s="7"/>
      <c r="AY2434" s="7"/>
      <c r="BH2434" s="7"/>
      <c r="BQ2434" s="7"/>
      <c r="BZ2434" s="7"/>
    </row>
    <row r="2435" spans="2:78">
      <c r="B2435" s="7"/>
      <c r="O2435" s="7"/>
      <c r="X2435" s="7"/>
      <c r="AG2435" s="7"/>
      <c r="AP2435" s="7"/>
      <c r="AY2435" s="7"/>
      <c r="BH2435" s="7"/>
      <c r="BQ2435" s="7"/>
      <c r="BZ2435" s="7"/>
    </row>
    <row r="2436" spans="2:78">
      <c r="B2436" s="7"/>
      <c r="O2436" s="7"/>
      <c r="X2436" s="7"/>
      <c r="AG2436" s="7"/>
      <c r="AP2436" s="7"/>
      <c r="AY2436" s="7"/>
      <c r="BH2436" s="7"/>
      <c r="BQ2436" s="7"/>
      <c r="BZ2436" s="7"/>
    </row>
    <row r="2437" spans="2:78">
      <c r="B2437" s="7"/>
      <c r="O2437" s="7"/>
      <c r="X2437" s="7"/>
      <c r="AG2437" s="7"/>
      <c r="AP2437" s="7"/>
      <c r="AY2437" s="7"/>
      <c r="BH2437" s="7"/>
      <c r="BQ2437" s="7"/>
      <c r="BZ2437" s="7"/>
    </row>
    <row r="2438" spans="2:78">
      <c r="B2438" s="7"/>
      <c r="O2438" s="7"/>
      <c r="X2438" s="7"/>
      <c r="AG2438" s="7"/>
      <c r="AP2438" s="7"/>
      <c r="AY2438" s="7"/>
      <c r="BH2438" s="7"/>
      <c r="BQ2438" s="7"/>
      <c r="BZ2438" s="7"/>
    </row>
    <row r="2439" spans="2:78">
      <c r="B2439" s="7"/>
      <c r="O2439" s="7"/>
      <c r="X2439" s="7"/>
      <c r="AG2439" s="7"/>
      <c r="AP2439" s="7"/>
      <c r="AY2439" s="7"/>
      <c r="BH2439" s="7"/>
      <c r="BQ2439" s="7"/>
      <c r="BZ2439" s="7"/>
    </row>
    <row r="2440" spans="2:78">
      <c r="B2440" s="7"/>
      <c r="O2440" s="7"/>
      <c r="X2440" s="7"/>
      <c r="AG2440" s="7"/>
      <c r="AP2440" s="7"/>
      <c r="AY2440" s="7"/>
      <c r="BH2440" s="7"/>
      <c r="BQ2440" s="7"/>
      <c r="BZ2440" s="7"/>
    </row>
    <row r="2441" spans="2:78">
      <c r="B2441" s="7"/>
      <c r="O2441" s="7"/>
      <c r="X2441" s="7"/>
      <c r="AG2441" s="7"/>
      <c r="AP2441" s="7"/>
      <c r="AY2441" s="7"/>
      <c r="BH2441" s="7"/>
      <c r="BQ2441" s="7"/>
      <c r="BZ2441" s="7"/>
    </row>
    <row r="2442" spans="2:78">
      <c r="B2442" s="7"/>
      <c r="O2442" s="7"/>
      <c r="X2442" s="7"/>
      <c r="AG2442" s="7"/>
      <c r="AP2442" s="7"/>
      <c r="AY2442" s="7"/>
      <c r="BH2442" s="7"/>
      <c r="BQ2442" s="7"/>
      <c r="BZ2442" s="7"/>
    </row>
    <row r="2443" spans="2:78">
      <c r="B2443" s="7"/>
      <c r="O2443" s="7"/>
      <c r="X2443" s="7"/>
      <c r="AG2443" s="7"/>
      <c r="AP2443" s="7"/>
      <c r="AY2443" s="7"/>
      <c r="BH2443" s="7"/>
      <c r="BQ2443" s="7"/>
      <c r="BZ2443" s="7"/>
    </row>
    <row r="2444" spans="2:78">
      <c r="B2444" s="7"/>
      <c r="O2444" s="7"/>
      <c r="X2444" s="7"/>
      <c r="AG2444" s="7"/>
      <c r="AP2444" s="7"/>
      <c r="AY2444" s="7"/>
      <c r="BH2444" s="7"/>
      <c r="BQ2444" s="7"/>
      <c r="BZ2444" s="7"/>
    </row>
    <row r="2445" spans="2:78">
      <c r="B2445" s="7"/>
      <c r="O2445" s="7"/>
      <c r="X2445" s="7"/>
      <c r="AG2445" s="7"/>
      <c r="AP2445" s="7"/>
      <c r="AY2445" s="7"/>
      <c r="BH2445" s="7"/>
      <c r="BQ2445" s="7"/>
      <c r="BZ2445" s="7"/>
    </row>
    <row r="2446" spans="2:78">
      <c r="B2446" s="7"/>
      <c r="O2446" s="7"/>
      <c r="X2446" s="7"/>
      <c r="AG2446" s="7"/>
      <c r="AP2446" s="7"/>
      <c r="AY2446" s="7"/>
      <c r="BH2446" s="7"/>
      <c r="BQ2446" s="7"/>
      <c r="BZ2446" s="7"/>
    </row>
    <row r="2447" spans="2:78">
      <c r="B2447" s="7"/>
      <c r="O2447" s="7"/>
      <c r="X2447" s="7"/>
      <c r="AG2447" s="7"/>
      <c r="AP2447" s="7"/>
      <c r="AY2447" s="7"/>
      <c r="BH2447" s="7"/>
      <c r="BQ2447" s="7"/>
      <c r="BZ2447" s="7"/>
    </row>
    <row r="2448" spans="2:78">
      <c r="B2448" s="7"/>
      <c r="O2448" s="7"/>
      <c r="X2448" s="7"/>
      <c r="AG2448" s="7"/>
      <c r="AP2448" s="7"/>
      <c r="AY2448" s="7"/>
      <c r="BH2448" s="7"/>
      <c r="BQ2448" s="7"/>
      <c r="BZ2448" s="7"/>
    </row>
    <row r="2449" spans="2:78">
      <c r="B2449" s="7"/>
      <c r="O2449" s="7"/>
      <c r="X2449" s="7"/>
      <c r="AG2449" s="7"/>
      <c r="AP2449" s="7"/>
      <c r="AY2449" s="7"/>
      <c r="BH2449" s="7"/>
      <c r="BQ2449" s="7"/>
      <c r="BZ2449" s="7"/>
    </row>
    <row r="2450" spans="2:78">
      <c r="B2450" s="7"/>
      <c r="O2450" s="7"/>
      <c r="X2450" s="7"/>
      <c r="AG2450" s="7"/>
      <c r="AP2450" s="7"/>
      <c r="AY2450" s="7"/>
      <c r="BH2450" s="7"/>
      <c r="BQ2450" s="7"/>
      <c r="BZ2450" s="7"/>
    </row>
    <row r="2451" spans="2:78">
      <c r="B2451" s="7"/>
      <c r="O2451" s="7"/>
      <c r="X2451" s="7"/>
      <c r="AG2451" s="7"/>
      <c r="AP2451" s="7"/>
      <c r="AY2451" s="7"/>
      <c r="BH2451" s="7"/>
      <c r="BQ2451" s="7"/>
      <c r="BZ2451" s="7"/>
    </row>
    <row r="2452" spans="2:78">
      <c r="B2452" s="7"/>
      <c r="O2452" s="7"/>
      <c r="X2452" s="7"/>
      <c r="AG2452" s="7"/>
      <c r="AP2452" s="7"/>
      <c r="AY2452" s="7"/>
      <c r="BH2452" s="7"/>
      <c r="BQ2452" s="7"/>
      <c r="BZ2452" s="7"/>
    </row>
    <row r="2453" spans="2:78">
      <c r="B2453" s="7"/>
      <c r="O2453" s="7"/>
      <c r="X2453" s="7"/>
      <c r="AG2453" s="7"/>
      <c r="AP2453" s="7"/>
      <c r="AY2453" s="7"/>
      <c r="BH2453" s="7"/>
      <c r="BQ2453" s="7"/>
      <c r="BZ2453" s="7"/>
    </row>
    <row r="2454" spans="2:78">
      <c r="B2454" s="7"/>
      <c r="O2454" s="7"/>
      <c r="X2454" s="7"/>
      <c r="AG2454" s="7"/>
      <c r="AP2454" s="7"/>
      <c r="AY2454" s="7"/>
      <c r="BH2454" s="7"/>
      <c r="BQ2454" s="7"/>
      <c r="BZ2454" s="7"/>
    </row>
    <row r="2455" spans="2:78">
      <c r="B2455" s="7"/>
      <c r="O2455" s="7"/>
      <c r="X2455" s="7"/>
      <c r="AG2455" s="7"/>
      <c r="AP2455" s="7"/>
      <c r="AY2455" s="7"/>
      <c r="BH2455" s="7"/>
      <c r="BQ2455" s="7"/>
      <c r="BZ2455" s="7"/>
    </row>
    <row r="2456" spans="2:78">
      <c r="B2456" s="7"/>
      <c r="O2456" s="7"/>
      <c r="X2456" s="7"/>
      <c r="AG2456" s="7"/>
      <c r="AP2456" s="7"/>
      <c r="AY2456" s="7"/>
      <c r="BH2456" s="7"/>
      <c r="BQ2456" s="7"/>
      <c r="BZ2456" s="7"/>
    </row>
    <row r="2457" spans="2:78">
      <c r="B2457" s="7"/>
      <c r="O2457" s="7"/>
      <c r="X2457" s="7"/>
      <c r="AG2457" s="7"/>
      <c r="AP2457" s="7"/>
      <c r="AY2457" s="7"/>
      <c r="BH2457" s="7"/>
      <c r="BQ2457" s="7"/>
      <c r="BZ2457" s="7"/>
    </row>
    <row r="2458" spans="2:78">
      <c r="B2458" s="7"/>
      <c r="O2458" s="7"/>
      <c r="X2458" s="7"/>
      <c r="AG2458" s="7"/>
      <c r="AP2458" s="7"/>
      <c r="AY2458" s="7"/>
      <c r="BH2458" s="7"/>
      <c r="BQ2458" s="7"/>
      <c r="BZ2458" s="7"/>
    </row>
    <row r="2459" spans="2:78">
      <c r="B2459" s="7"/>
      <c r="O2459" s="7"/>
      <c r="X2459" s="7"/>
      <c r="AG2459" s="7"/>
      <c r="AP2459" s="7"/>
      <c r="AY2459" s="7"/>
      <c r="BH2459" s="7"/>
      <c r="BQ2459" s="7"/>
      <c r="BZ2459" s="7"/>
    </row>
    <row r="2460" spans="2:78">
      <c r="B2460" s="7"/>
      <c r="O2460" s="7"/>
      <c r="X2460" s="7"/>
      <c r="AG2460" s="7"/>
      <c r="AP2460" s="7"/>
      <c r="AY2460" s="7"/>
      <c r="BH2460" s="7"/>
      <c r="BQ2460" s="7"/>
      <c r="BZ2460" s="7"/>
    </row>
    <row r="2461" spans="2:78">
      <c r="B2461" s="7"/>
      <c r="O2461" s="7"/>
      <c r="X2461" s="7"/>
      <c r="AG2461" s="7"/>
      <c r="AP2461" s="7"/>
      <c r="AY2461" s="7"/>
      <c r="BH2461" s="7"/>
      <c r="BQ2461" s="7"/>
      <c r="BZ2461" s="7"/>
    </row>
    <row r="2462" spans="2:78">
      <c r="B2462" s="7"/>
      <c r="O2462" s="7"/>
      <c r="X2462" s="7"/>
      <c r="AG2462" s="7"/>
      <c r="AP2462" s="7"/>
      <c r="AY2462" s="7"/>
      <c r="BH2462" s="7"/>
      <c r="BQ2462" s="7"/>
      <c r="BZ2462" s="7"/>
    </row>
    <row r="2463" spans="2:78">
      <c r="B2463" s="7"/>
      <c r="O2463" s="7"/>
      <c r="X2463" s="7"/>
      <c r="AG2463" s="7"/>
      <c r="AP2463" s="7"/>
      <c r="AY2463" s="7"/>
      <c r="BH2463" s="7"/>
      <c r="BQ2463" s="7"/>
      <c r="BZ2463" s="7"/>
    </row>
    <row r="2464" spans="2:78">
      <c r="B2464" s="7"/>
      <c r="O2464" s="7"/>
      <c r="X2464" s="7"/>
      <c r="AG2464" s="7"/>
      <c r="AP2464" s="7"/>
      <c r="AY2464" s="7"/>
      <c r="BH2464" s="7"/>
      <c r="BQ2464" s="7"/>
      <c r="BZ2464" s="7"/>
    </row>
    <row r="2465" spans="2:78">
      <c r="B2465" s="7"/>
      <c r="O2465" s="7"/>
      <c r="X2465" s="7"/>
      <c r="AG2465" s="7"/>
      <c r="AP2465" s="7"/>
      <c r="AY2465" s="7"/>
      <c r="BH2465" s="7"/>
      <c r="BQ2465" s="7"/>
      <c r="BZ2465" s="7"/>
    </row>
    <row r="2466" spans="2:78">
      <c r="B2466" s="7"/>
      <c r="O2466" s="7"/>
      <c r="X2466" s="7"/>
      <c r="AG2466" s="7"/>
      <c r="AP2466" s="7"/>
      <c r="AY2466" s="7"/>
      <c r="BH2466" s="7"/>
      <c r="BQ2466" s="7"/>
      <c r="BZ2466" s="7"/>
    </row>
    <row r="2467" spans="2:78">
      <c r="B2467" s="7"/>
      <c r="O2467" s="7"/>
      <c r="X2467" s="7"/>
      <c r="AG2467" s="7"/>
      <c r="AP2467" s="7"/>
      <c r="AY2467" s="7"/>
      <c r="BH2467" s="7"/>
      <c r="BQ2467" s="7"/>
      <c r="BZ2467" s="7"/>
    </row>
    <row r="2468" spans="2:78">
      <c r="B2468" s="7"/>
      <c r="O2468" s="7"/>
      <c r="X2468" s="7"/>
      <c r="AG2468" s="7"/>
      <c r="AP2468" s="7"/>
      <c r="AY2468" s="7"/>
      <c r="BH2468" s="7"/>
      <c r="BQ2468" s="7"/>
      <c r="BZ2468" s="7"/>
    </row>
    <row r="2469" spans="2:78">
      <c r="B2469" s="7"/>
      <c r="O2469" s="7"/>
      <c r="X2469" s="7"/>
      <c r="AG2469" s="7"/>
      <c r="AP2469" s="7"/>
      <c r="AY2469" s="7"/>
      <c r="BH2469" s="7"/>
      <c r="BQ2469" s="7"/>
      <c r="BZ2469" s="7"/>
    </row>
    <row r="2470" spans="2:78">
      <c r="B2470" s="7"/>
      <c r="O2470" s="7"/>
      <c r="X2470" s="7"/>
      <c r="AG2470" s="7"/>
      <c r="AP2470" s="7"/>
      <c r="AY2470" s="7"/>
      <c r="BH2470" s="7"/>
      <c r="BQ2470" s="7"/>
      <c r="BZ2470" s="7"/>
    </row>
    <row r="2471" spans="2:78">
      <c r="B2471" s="7"/>
      <c r="O2471" s="7"/>
      <c r="X2471" s="7"/>
      <c r="AG2471" s="7"/>
      <c r="AP2471" s="7"/>
      <c r="AY2471" s="7"/>
      <c r="BH2471" s="7"/>
      <c r="BQ2471" s="7"/>
      <c r="BZ2471" s="7"/>
    </row>
    <row r="2472" spans="2:78">
      <c r="B2472" s="7"/>
      <c r="O2472" s="7"/>
      <c r="X2472" s="7"/>
      <c r="AG2472" s="7"/>
      <c r="AP2472" s="7"/>
      <c r="AY2472" s="7"/>
      <c r="BH2472" s="7"/>
      <c r="BQ2472" s="7"/>
      <c r="BZ2472" s="7"/>
    </row>
    <row r="2473" spans="2:78">
      <c r="B2473" s="7"/>
      <c r="O2473" s="7"/>
      <c r="X2473" s="7"/>
      <c r="AG2473" s="7"/>
      <c r="AP2473" s="7"/>
      <c r="AY2473" s="7"/>
      <c r="BH2473" s="7"/>
      <c r="BQ2473" s="7"/>
      <c r="BZ2473" s="7"/>
    </row>
    <row r="2474" spans="2:78">
      <c r="B2474" s="7"/>
      <c r="O2474" s="7"/>
      <c r="X2474" s="7"/>
      <c r="AG2474" s="7"/>
      <c r="AP2474" s="7"/>
      <c r="AY2474" s="7"/>
      <c r="BH2474" s="7"/>
      <c r="BQ2474" s="7"/>
      <c r="BZ2474" s="7"/>
    </row>
    <row r="2475" spans="2:78">
      <c r="B2475" s="7"/>
      <c r="O2475" s="7"/>
      <c r="X2475" s="7"/>
      <c r="AG2475" s="7"/>
      <c r="AP2475" s="7"/>
      <c r="AY2475" s="7"/>
      <c r="BH2475" s="7"/>
      <c r="BQ2475" s="7"/>
      <c r="BZ2475" s="7"/>
    </row>
    <row r="2476" spans="2:78">
      <c r="B2476" s="7"/>
      <c r="O2476" s="7"/>
      <c r="X2476" s="7"/>
      <c r="AG2476" s="7"/>
      <c r="AP2476" s="7"/>
      <c r="AY2476" s="7"/>
      <c r="BH2476" s="7"/>
      <c r="BQ2476" s="7"/>
      <c r="BZ2476" s="7"/>
    </row>
    <row r="2477" spans="2:78">
      <c r="B2477" s="7"/>
      <c r="O2477" s="7"/>
      <c r="X2477" s="7"/>
      <c r="AG2477" s="7"/>
      <c r="AP2477" s="7"/>
      <c r="AY2477" s="7"/>
      <c r="BH2477" s="7"/>
      <c r="BQ2477" s="7"/>
      <c r="BZ2477" s="7"/>
    </row>
    <row r="2478" spans="2:78">
      <c r="B2478" s="7"/>
      <c r="O2478" s="7"/>
      <c r="X2478" s="7"/>
      <c r="AG2478" s="7"/>
      <c r="AP2478" s="7"/>
      <c r="AY2478" s="7"/>
      <c r="BH2478" s="7"/>
      <c r="BQ2478" s="7"/>
      <c r="BZ2478" s="7"/>
    </row>
    <row r="2479" spans="2:78">
      <c r="B2479" s="7"/>
      <c r="O2479" s="7"/>
      <c r="X2479" s="7"/>
      <c r="AG2479" s="7"/>
      <c r="AP2479" s="7"/>
      <c r="AY2479" s="7"/>
      <c r="BH2479" s="7"/>
      <c r="BQ2479" s="7"/>
      <c r="BZ2479" s="7"/>
    </row>
    <row r="2480" spans="2:78">
      <c r="B2480" s="7"/>
      <c r="O2480" s="7"/>
      <c r="X2480" s="7"/>
      <c r="AG2480" s="7"/>
      <c r="AP2480" s="7"/>
      <c r="AY2480" s="7"/>
      <c r="BH2480" s="7"/>
      <c r="BQ2480" s="7"/>
      <c r="BZ2480" s="7"/>
    </row>
    <row r="2481" spans="2:78">
      <c r="B2481" s="7"/>
      <c r="O2481" s="7"/>
      <c r="X2481" s="7"/>
      <c r="AG2481" s="7"/>
      <c r="AP2481" s="7"/>
      <c r="AY2481" s="7"/>
      <c r="BH2481" s="7"/>
      <c r="BQ2481" s="7"/>
      <c r="BZ2481" s="7"/>
    </row>
    <row r="2482" spans="2:78">
      <c r="B2482" s="7"/>
      <c r="O2482" s="7"/>
      <c r="X2482" s="7"/>
      <c r="AG2482" s="7"/>
      <c r="AP2482" s="7"/>
      <c r="AY2482" s="7"/>
      <c r="BH2482" s="7"/>
      <c r="BQ2482" s="7"/>
      <c r="BZ2482" s="7"/>
    </row>
    <row r="2483" spans="2:78">
      <c r="B2483" s="7"/>
      <c r="O2483" s="7"/>
      <c r="X2483" s="7"/>
      <c r="AG2483" s="7"/>
      <c r="AP2483" s="7"/>
      <c r="AY2483" s="7"/>
      <c r="BH2483" s="7"/>
      <c r="BQ2483" s="7"/>
      <c r="BZ2483" s="7"/>
    </row>
    <row r="2484" spans="2:78">
      <c r="B2484" s="7"/>
      <c r="O2484" s="7"/>
      <c r="X2484" s="7"/>
      <c r="AG2484" s="7"/>
      <c r="AP2484" s="7"/>
      <c r="AY2484" s="7"/>
      <c r="BH2484" s="7"/>
      <c r="BQ2484" s="7"/>
      <c r="BZ2484" s="7"/>
    </row>
    <row r="2485" spans="2:78">
      <c r="B2485" s="7"/>
      <c r="O2485" s="7"/>
      <c r="X2485" s="7"/>
      <c r="AG2485" s="7"/>
      <c r="AP2485" s="7"/>
      <c r="AY2485" s="7"/>
      <c r="BH2485" s="7"/>
      <c r="BQ2485" s="7"/>
      <c r="BZ2485" s="7"/>
    </row>
    <row r="2486" spans="2:78">
      <c r="B2486" s="7"/>
      <c r="O2486" s="7"/>
      <c r="X2486" s="7"/>
      <c r="AG2486" s="7"/>
      <c r="AP2486" s="7"/>
      <c r="AY2486" s="7"/>
      <c r="BH2486" s="7"/>
      <c r="BQ2486" s="7"/>
      <c r="BZ2486" s="7"/>
    </row>
    <row r="2487" spans="2:78">
      <c r="B2487" s="7"/>
      <c r="O2487" s="7"/>
      <c r="X2487" s="7"/>
      <c r="AG2487" s="7"/>
      <c r="AP2487" s="7"/>
      <c r="AY2487" s="7"/>
      <c r="BH2487" s="7"/>
      <c r="BQ2487" s="7"/>
      <c r="BZ2487" s="7"/>
    </row>
    <row r="2488" spans="2:78">
      <c r="B2488" s="7"/>
      <c r="O2488" s="7"/>
      <c r="X2488" s="7"/>
      <c r="AG2488" s="7"/>
      <c r="AP2488" s="7"/>
      <c r="AY2488" s="7"/>
      <c r="BH2488" s="7"/>
      <c r="BQ2488" s="7"/>
      <c r="BZ2488" s="7"/>
    </row>
    <row r="2489" spans="2:78">
      <c r="B2489" s="7"/>
      <c r="O2489" s="7"/>
      <c r="X2489" s="7"/>
      <c r="AG2489" s="7"/>
      <c r="AP2489" s="7"/>
      <c r="AY2489" s="7"/>
      <c r="BH2489" s="7"/>
      <c r="BQ2489" s="7"/>
      <c r="BZ2489" s="7"/>
    </row>
    <row r="2490" spans="2:78">
      <c r="B2490" s="7"/>
      <c r="O2490" s="7"/>
      <c r="X2490" s="7"/>
      <c r="AG2490" s="7"/>
      <c r="AP2490" s="7"/>
      <c r="AY2490" s="7"/>
      <c r="BH2490" s="7"/>
      <c r="BQ2490" s="7"/>
      <c r="BZ2490" s="7"/>
    </row>
    <row r="2491" spans="2:78">
      <c r="B2491" s="7"/>
      <c r="O2491" s="7"/>
      <c r="X2491" s="7"/>
      <c r="AG2491" s="7"/>
      <c r="AP2491" s="7"/>
      <c r="AY2491" s="7"/>
      <c r="BH2491" s="7"/>
      <c r="BQ2491" s="7"/>
      <c r="BZ2491" s="7"/>
    </row>
    <row r="2492" spans="2:78">
      <c r="B2492" s="7"/>
      <c r="O2492" s="7"/>
      <c r="X2492" s="7"/>
      <c r="AG2492" s="7"/>
      <c r="AP2492" s="7"/>
      <c r="AY2492" s="7"/>
      <c r="BH2492" s="7"/>
      <c r="BQ2492" s="7"/>
      <c r="BZ2492" s="7"/>
    </row>
    <row r="2493" spans="2:78">
      <c r="B2493" s="7"/>
      <c r="O2493" s="7"/>
      <c r="X2493" s="7"/>
      <c r="AG2493" s="7"/>
      <c r="AP2493" s="7"/>
      <c r="AY2493" s="7"/>
      <c r="BH2493" s="7"/>
      <c r="BQ2493" s="7"/>
      <c r="BZ2493" s="7"/>
    </row>
    <row r="2494" spans="2:78">
      <c r="B2494" s="7"/>
      <c r="O2494" s="7"/>
      <c r="X2494" s="7"/>
      <c r="AG2494" s="7"/>
      <c r="AP2494" s="7"/>
      <c r="AY2494" s="7"/>
      <c r="BH2494" s="7"/>
      <c r="BQ2494" s="7"/>
      <c r="BZ2494" s="7"/>
    </row>
    <row r="2495" spans="2:78">
      <c r="B2495" s="7"/>
      <c r="O2495" s="7"/>
      <c r="X2495" s="7"/>
      <c r="AG2495" s="7"/>
      <c r="AP2495" s="7"/>
      <c r="AY2495" s="7"/>
      <c r="BH2495" s="7"/>
      <c r="BQ2495" s="7"/>
      <c r="BZ2495" s="7"/>
    </row>
    <row r="2496" spans="2:78">
      <c r="B2496" s="7"/>
      <c r="O2496" s="7"/>
      <c r="X2496" s="7"/>
      <c r="AG2496" s="7"/>
      <c r="AP2496" s="7"/>
      <c r="AY2496" s="7"/>
      <c r="BH2496" s="7"/>
      <c r="BQ2496" s="7"/>
      <c r="BZ2496" s="7"/>
    </row>
    <row r="2497" spans="2:78">
      <c r="B2497" s="7"/>
      <c r="O2497" s="7"/>
      <c r="X2497" s="7"/>
      <c r="AG2497" s="7"/>
      <c r="AP2497" s="7"/>
      <c r="AY2497" s="7"/>
      <c r="BH2497" s="7"/>
      <c r="BQ2497" s="7"/>
      <c r="BZ2497" s="7"/>
    </row>
    <row r="2498" spans="2:78">
      <c r="B2498" s="7"/>
      <c r="O2498" s="7"/>
      <c r="X2498" s="7"/>
      <c r="AG2498" s="7"/>
      <c r="AP2498" s="7"/>
      <c r="AY2498" s="7"/>
      <c r="BH2498" s="7"/>
      <c r="BQ2498" s="7"/>
      <c r="BZ2498" s="7"/>
    </row>
    <row r="2499" spans="2:78">
      <c r="B2499" s="7"/>
      <c r="O2499" s="7"/>
      <c r="X2499" s="7"/>
      <c r="AG2499" s="7"/>
      <c r="AP2499" s="7"/>
      <c r="AY2499" s="7"/>
      <c r="BH2499" s="7"/>
      <c r="BQ2499" s="7"/>
      <c r="BZ2499" s="7"/>
    </row>
    <row r="2500" spans="2:78">
      <c r="B2500" s="7"/>
      <c r="O2500" s="7"/>
      <c r="X2500" s="7"/>
      <c r="AG2500" s="7"/>
      <c r="AP2500" s="7"/>
      <c r="AY2500" s="7"/>
      <c r="BH2500" s="7"/>
      <c r="BQ2500" s="7"/>
      <c r="BZ2500" s="7"/>
    </row>
    <row r="2501" spans="2:78">
      <c r="B2501" s="7"/>
      <c r="O2501" s="7"/>
      <c r="X2501" s="7"/>
      <c r="AG2501" s="7"/>
      <c r="AP2501" s="7"/>
      <c r="AY2501" s="7"/>
      <c r="BH2501" s="7"/>
      <c r="BQ2501" s="7"/>
      <c r="BZ2501" s="7"/>
    </row>
    <row r="2502" spans="2:78">
      <c r="B2502" s="7"/>
      <c r="O2502" s="7"/>
      <c r="X2502" s="7"/>
      <c r="AG2502" s="7"/>
      <c r="AP2502" s="7"/>
      <c r="AY2502" s="7"/>
      <c r="BH2502" s="7"/>
      <c r="BQ2502" s="7"/>
      <c r="BZ2502" s="7"/>
    </row>
    <row r="2503" spans="2:78">
      <c r="B2503" s="7"/>
      <c r="O2503" s="7"/>
      <c r="X2503" s="7"/>
      <c r="AG2503" s="7"/>
      <c r="AP2503" s="7"/>
      <c r="AY2503" s="7"/>
      <c r="BH2503" s="7"/>
      <c r="BQ2503" s="7"/>
      <c r="BZ2503" s="7"/>
    </row>
    <row r="2504" spans="2:78">
      <c r="B2504" s="7"/>
      <c r="O2504" s="7"/>
      <c r="X2504" s="7"/>
      <c r="AG2504" s="7"/>
      <c r="AP2504" s="7"/>
      <c r="AY2504" s="7"/>
      <c r="BH2504" s="7"/>
      <c r="BQ2504" s="7"/>
      <c r="BZ2504" s="7"/>
    </row>
    <row r="2505" spans="2:78">
      <c r="B2505" s="7"/>
      <c r="O2505" s="7"/>
      <c r="X2505" s="7"/>
      <c r="AG2505" s="7"/>
      <c r="AP2505" s="7"/>
      <c r="AY2505" s="7"/>
      <c r="BH2505" s="7"/>
      <c r="BQ2505" s="7"/>
      <c r="BZ2505" s="7"/>
    </row>
    <row r="2506" spans="2:78">
      <c r="B2506" s="7"/>
      <c r="O2506" s="7"/>
      <c r="X2506" s="7"/>
      <c r="AG2506" s="7"/>
      <c r="AP2506" s="7"/>
      <c r="AY2506" s="7"/>
      <c r="BH2506" s="7"/>
      <c r="BQ2506" s="7"/>
      <c r="BZ2506" s="7"/>
    </row>
    <row r="2507" spans="2:78">
      <c r="B2507" s="7"/>
      <c r="O2507" s="7"/>
      <c r="X2507" s="7"/>
      <c r="AG2507" s="7"/>
      <c r="AP2507" s="7"/>
      <c r="AY2507" s="7"/>
      <c r="BH2507" s="7"/>
      <c r="BQ2507" s="7"/>
      <c r="BZ2507" s="7"/>
    </row>
    <row r="2508" spans="2:78">
      <c r="B2508" s="7"/>
      <c r="O2508" s="7"/>
      <c r="X2508" s="7"/>
      <c r="AG2508" s="7"/>
      <c r="AP2508" s="7"/>
      <c r="AY2508" s="7"/>
      <c r="BH2508" s="7"/>
      <c r="BQ2508" s="7"/>
      <c r="BZ2508" s="7"/>
    </row>
    <row r="2509" spans="2:78">
      <c r="B2509" s="7"/>
      <c r="O2509" s="7"/>
      <c r="X2509" s="7"/>
      <c r="AG2509" s="7"/>
      <c r="AP2509" s="7"/>
      <c r="AY2509" s="7"/>
      <c r="BH2509" s="7"/>
      <c r="BQ2509" s="7"/>
      <c r="BZ2509" s="7"/>
    </row>
    <row r="2510" spans="2:78">
      <c r="B2510" s="7"/>
      <c r="O2510" s="7"/>
      <c r="X2510" s="7"/>
      <c r="AG2510" s="7"/>
      <c r="AP2510" s="7"/>
      <c r="AY2510" s="7"/>
      <c r="BH2510" s="7"/>
      <c r="BQ2510" s="7"/>
      <c r="BZ2510" s="7"/>
    </row>
    <row r="2511" spans="2:78">
      <c r="B2511" s="7"/>
      <c r="O2511" s="7"/>
      <c r="X2511" s="7"/>
      <c r="AG2511" s="7"/>
      <c r="AP2511" s="7"/>
      <c r="AY2511" s="7"/>
      <c r="BH2511" s="7"/>
      <c r="BQ2511" s="7"/>
      <c r="BZ2511" s="7"/>
    </row>
    <row r="2512" spans="2:78">
      <c r="B2512" s="7"/>
      <c r="O2512" s="7"/>
      <c r="X2512" s="7"/>
      <c r="AG2512" s="7"/>
      <c r="AP2512" s="7"/>
      <c r="AY2512" s="7"/>
      <c r="BH2512" s="7"/>
      <c r="BQ2512" s="7"/>
      <c r="BZ2512" s="7"/>
    </row>
    <row r="2513" spans="2:78">
      <c r="B2513" s="7"/>
      <c r="O2513" s="7"/>
      <c r="X2513" s="7"/>
      <c r="AG2513" s="7"/>
      <c r="AP2513" s="7"/>
      <c r="AY2513" s="7"/>
      <c r="BH2513" s="7"/>
      <c r="BQ2513" s="7"/>
      <c r="BZ2513" s="7"/>
    </row>
    <row r="2514" spans="2:78">
      <c r="B2514" s="7"/>
      <c r="O2514" s="7"/>
      <c r="X2514" s="7"/>
      <c r="AG2514" s="7"/>
      <c r="AP2514" s="7"/>
      <c r="AY2514" s="7"/>
      <c r="BH2514" s="7"/>
      <c r="BQ2514" s="7"/>
      <c r="BZ2514" s="7"/>
    </row>
    <row r="2515" spans="2:78">
      <c r="B2515" s="7"/>
      <c r="O2515" s="7"/>
      <c r="X2515" s="7"/>
      <c r="AG2515" s="7"/>
      <c r="AP2515" s="7"/>
      <c r="AY2515" s="7"/>
      <c r="BH2515" s="7"/>
      <c r="BQ2515" s="7"/>
      <c r="BZ2515" s="7"/>
    </row>
    <row r="2516" spans="2:78">
      <c r="B2516" s="7"/>
      <c r="O2516" s="7"/>
      <c r="X2516" s="7"/>
      <c r="AG2516" s="7"/>
      <c r="AP2516" s="7"/>
      <c r="AY2516" s="7"/>
      <c r="BH2516" s="7"/>
      <c r="BQ2516" s="7"/>
      <c r="BZ2516" s="7"/>
    </row>
    <row r="2517" spans="2:78">
      <c r="B2517" s="7"/>
      <c r="O2517" s="7"/>
      <c r="X2517" s="7"/>
      <c r="AG2517" s="7"/>
      <c r="AP2517" s="7"/>
      <c r="AY2517" s="7"/>
      <c r="BH2517" s="7"/>
      <c r="BQ2517" s="7"/>
      <c r="BZ2517" s="7"/>
    </row>
    <row r="2518" spans="2:78">
      <c r="B2518" s="7"/>
      <c r="O2518" s="7"/>
      <c r="X2518" s="7"/>
      <c r="AG2518" s="7"/>
      <c r="AP2518" s="7"/>
      <c r="AY2518" s="7"/>
      <c r="BH2518" s="7"/>
      <c r="BQ2518" s="7"/>
      <c r="BZ2518" s="7"/>
    </row>
    <row r="2519" spans="2:78">
      <c r="B2519" s="7"/>
      <c r="O2519" s="7"/>
      <c r="X2519" s="7"/>
      <c r="AG2519" s="7"/>
      <c r="AP2519" s="7"/>
      <c r="AY2519" s="7"/>
      <c r="BH2519" s="7"/>
      <c r="BQ2519" s="7"/>
      <c r="BZ2519" s="7"/>
    </row>
    <row r="2520" spans="2:78">
      <c r="B2520" s="7"/>
      <c r="O2520" s="7"/>
      <c r="X2520" s="7"/>
      <c r="AG2520" s="7"/>
      <c r="AP2520" s="7"/>
      <c r="AY2520" s="7"/>
      <c r="BH2520" s="7"/>
      <c r="BQ2520" s="7"/>
      <c r="BZ2520" s="7"/>
    </row>
    <row r="2521" spans="2:78">
      <c r="B2521" s="7"/>
      <c r="O2521" s="7"/>
      <c r="X2521" s="7"/>
      <c r="AG2521" s="7"/>
      <c r="AP2521" s="7"/>
      <c r="AY2521" s="7"/>
      <c r="BH2521" s="7"/>
      <c r="BQ2521" s="7"/>
      <c r="BZ2521" s="7"/>
    </row>
    <row r="2522" spans="2:78">
      <c r="B2522" s="7"/>
      <c r="O2522" s="7"/>
      <c r="X2522" s="7"/>
      <c r="AG2522" s="7"/>
      <c r="AP2522" s="7"/>
      <c r="AY2522" s="7"/>
      <c r="BH2522" s="7"/>
      <c r="BQ2522" s="7"/>
      <c r="BZ2522" s="7"/>
    </row>
    <row r="2523" spans="2:78">
      <c r="B2523" s="7"/>
      <c r="O2523" s="7"/>
      <c r="X2523" s="7"/>
      <c r="AG2523" s="7"/>
      <c r="AP2523" s="7"/>
      <c r="AY2523" s="7"/>
      <c r="BH2523" s="7"/>
      <c r="BQ2523" s="7"/>
      <c r="BZ2523" s="7"/>
    </row>
    <row r="2524" spans="2:78">
      <c r="B2524" s="7"/>
      <c r="O2524" s="7"/>
      <c r="X2524" s="7"/>
      <c r="AG2524" s="7"/>
      <c r="AP2524" s="7"/>
      <c r="AY2524" s="7"/>
      <c r="BH2524" s="7"/>
      <c r="BQ2524" s="7"/>
      <c r="BZ2524" s="7"/>
    </row>
    <row r="2525" spans="2:78">
      <c r="B2525" s="7"/>
      <c r="O2525" s="7"/>
      <c r="X2525" s="7"/>
      <c r="AG2525" s="7"/>
      <c r="AP2525" s="7"/>
      <c r="AY2525" s="7"/>
      <c r="BH2525" s="7"/>
      <c r="BQ2525" s="7"/>
      <c r="BZ2525" s="7"/>
    </row>
    <row r="2526" spans="2:78">
      <c r="B2526" s="7"/>
      <c r="O2526" s="7"/>
      <c r="X2526" s="7"/>
      <c r="AG2526" s="7"/>
      <c r="AP2526" s="7"/>
      <c r="AY2526" s="7"/>
      <c r="BH2526" s="7"/>
      <c r="BQ2526" s="7"/>
      <c r="BZ2526" s="7"/>
    </row>
    <row r="2527" spans="2:78">
      <c r="B2527" s="7"/>
      <c r="O2527" s="7"/>
      <c r="X2527" s="7"/>
      <c r="AG2527" s="7"/>
      <c r="AP2527" s="7"/>
      <c r="AY2527" s="7"/>
      <c r="BH2527" s="7"/>
      <c r="BQ2527" s="7"/>
      <c r="BZ2527" s="7"/>
    </row>
    <row r="2528" spans="2:78">
      <c r="B2528" s="7"/>
      <c r="O2528" s="7"/>
      <c r="X2528" s="7"/>
      <c r="AG2528" s="7"/>
      <c r="AP2528" s="7"/>
      <c r="AY2528" s="7"/>
      <c r="BH2528" s="7"/>
      <c r="BQ2528" s="7"/>
      <c r="BZ2528" s="7"/>
    </row>
    <row r="2529" spans="2:78">
      <c r="B2529" s="7"/>
      <c r="O2529" s="7"/>
      <c r="X2529" s="7"/>
      <c r="AG2529" s="7"/>
      <c r="AP2529" s="7"/>
      <c r="AY2529" s="7"/>
      <c r="BH2529" s="7"/>
      <c r="BQ2529" s="7"/>
      <c r="BZ2529" s="7"/>
    </row>
    <row r="2530" spans="2:78">
      <c r="B2530" s="7"/>
      <c r="O2530" s="7"/>
      <c r="X2530" s="7"/>
      <c r="AG2530" s="7"/>
      <c r="AP2530" s="7"/>
      <c r="AY2530" s="7"/>
      <c r="BH2530" s="7"/>
      <c r="BQ2530" s="7"/>
      <c r="BZ2530" s="7"/>
    </row>
    <row r="2531" spans="2:78">
      <c r="B2531" s="7"/>
      <c r="O2531" s="7"/>
      <c r="X2531" s="7"/>
      <c r="AG2531" s="7"/>
      <c r="AP2531" s="7"/>
      <c r="AY2531" s="7"/>
      <c r="BH2531" s="7"/>
      <c r="BQ2531" s="7"/>
      <c r="BZ2531" s="7"/>
    </row>
    <row r="2532" spans="2:78">
      <c r="B2532" s="7"/>
      <c r="O2532" s="7"/>
      <c r="X2532" s="7"/>
      <c r="AG2532" s="7"/>
      <c r="AP2532" s="7"/>
      <c r="AY2532" s="7"/>
      <c r="BH2532" s="7"/>
      <c r="BQ2532" s="7"/>
      <c r="BZ2532" s="7"/>
    </row>
    <row r="2533" spans="2:78">
      <c r="B2533" s="7"/>
      <c r="O2533" s="7"/>
      <c r="X2533" s="7"/>
      <c r="AG2533" s="7"/>
      <c r="AP2533" s="7"/>
      <c r="AY2533" s="7"/>
      <c r="BH2533" s="7"/>
      <c r="BQ2533" s="7"/>
      <c r="BZ2533" s="7"/>
    </row>
    <row r="2534" spans="2:78">
      <c r="B2534" s="7"/>
      <c r="O2534" s="7"/>
      <c r="X2534" s="7"/>
      <c r="AG2534" s="7"/>
      <c r="AP2534" s="7"/>
      <c r="AY2534" s="7"/>
      <c r="BH2534" s="7"/>
      <c r="BQ2534" s="7"/>
      <c r="BZ2534" s="7"/>
    </row>
    <row r="2535" spans="2:78">
      <c r="B2535" s="7"/>
      <c r="O2535" s="7"/>
      <c r="X2535" s="7"/>
      <c r="AG2535" s="7"/>
      <c r="AP2535" s="7"/>
      <c r="AY2535" s="7"/>
      <c r="BH2535" s="7"/>
      <c r="BQ2535" s="7"/>
      <c r="BZ2535" s="7"/>
    </row>
    <row r="2536" spans="2:78">
      <c r="B2536" s="7"/>
      <c r="O2536" s="7"/>
      <c r="X2536" s="7"/>
      <c r="AG2536" s="7"/>
      <c r="AP2536" s="7"/>
      <c r="AY2536" s="7"/>
      <c r="BH2536" s="7"/>
      <c r="BQ2536" s="7"/>
      <c r="BZ2536" s="7"/>
    </row>
    <row r="2537" spans="2:78">
      <c r="B2537" s="7"/>
      <c r="O2537" s="7"/>
      <c r="X2537" s="7"/>
      <c r="AG2537" s="7"/>
      <c r="AP2537" s="7"/>
      <c r="AY2537" s="7"/>
      <c r="BH2537" s="7"/>
      <c r="BQ2537" s="7"/>
      <c r="BZ2537" s="7"/>
    </row>
    <row r="2538" spans="2:78">
      <c r="B2538" s="7"/>
      <c r="O2538" s="7"/>
      <c r="X2538" s="7"/>
      <c r="AG2538" s="7"/>
      <c r="AP2538" s="7"/>
      <c r="AY2538" s="7"/>
      <c r="BH2538" s="7"/>
      <c r="BQ2538" s="7"/>
      <c r="BZ2538" s="7"/>
    </row>
    <row r="2539" spans="2:78">
      <c r="B2539" s="7"/>
      <c r="O2539" s="7"/>
      <c r="X2539" s="7"/>
      <c r="AG2539" s="7"/>
      <c r="AP2539" s="7"/>
      <c r="AY2539" s="7"/>
      <c r="BH2539" s="7"/>
      <c r="BQ2539" s="7"/>
      <c r="BZ2539" s="7"/>
    </row>
    <row r="2540" spans="2:78">
      <c r="B2540" s="7"/>
      <c r="O2540" s="7"/>
      <c r="X2540" s="7"/>
      <c r="AG2540" s="7"/>
      <c r="AP2540" s="7"/>
      <c r="AY2540" s="7"/>
      <c r="BH2540" s="7"/>
      <c r="BQ2540" s="7"/>
      <c r="BZ2540" s="7"/>
    </row>
    <row r="2541" spans="2:78">
      <c r="B2541" s="7"/>
      <c r="O2541" s="7"/>
      <c r="X2541" s="7"/>
      <c r="AG2541" s="7"/>
      <c r="AP2541" s="7"/>
      <c r="AY2541" s="7"/>
      <c r="BH2541" s="7"/>
      <c r="BQ2541" s="7"/>
      <c r="BZ2541" s="7"/>
    </row>
    <row r="2542" spans="2:78">
      <c r="B2542" s="7"/>
      <c r="O2542" s="7"/>
      <c r="X2542" s="7"/>
      <c r="AG2542" s="7"/>
      <c r="AP2542" s="7"/>
      <c r="AY2542" s="7"/>
      <c r="BH2542" s="7"/>
      <c r="BQ2542" s="7"/>
      <c r="BZ2542" s="7"/>
    </row>
    <row r="2543" spans="2:78">
      <c r="B2543" s="7"/>
      <c r="O2543" s="7"/>
      <c r="X2543" s="7"/>
      <c r="AG2543" s="7"/>
      <c r="AP2543" s="7"/>
      <c r="AY2543" s="7"/>
      <c r="BH2543" s="7"/>
      <c r="BQ2543" s="7"/>
      <c r="BZ2543" s="7"/>
    </row>
    <row r="2544" spans="2:78">
      <c r="B2544" s="7"/>
      <c r="O2544" s="7"/>
      <c r="X2544" s="7"/>
      <c r="AG2544" s="7"/>
      <c r="AP2544" s="7"/>
      <c r="AY2544" s="7"/>
      <c r="BH2544" s="7"/>
      <c r="BQ2544" s="7"/>
      <c r="BZ2544" s="7"/>
    </row>
    <row r="2545" spans="2:78">
      <c r="B2545" s="7"/>
      <c r="O2545" s="7"/>
      <c r="X2545" s="7"/>
      <c r="AG2545" s="7"/>
      <c r="AP2545" s="7"/>
      <c r="AY2545" s="7"/>
      <c r="BH2545" s="7"/>
      <c r="BQ2545" s="7"/>
      <c r="BZ2545" s="7"/>
    </row>
    <row r="2546" spans="2:78">
      <c r="B2546" s="7"/>
      <c r="O2546" s="7"/>
      <c r="X2546" s="7"/>
      <c r="AG2546" s="7"/>
      <c r="AP2546" s="7"/>
      <c r="AY2546" s="7"/>
      <c r="BH2546" s="7"/>
      <c r="BQ2546" s="7"/>
      <c r="BZ2546" s="7"/>
    </row>
    <row r="2547" spans="2:78">
      <c r="B2547" s="7"/>
      <c r="O2547" s="7"/>
      <c r="X2547" s="7"/>
      <c r="AG2547" s="7"/>
      <c r="AP2547" s="7"/>
      <c r="AY2547" s="7"/>
      <c r="BH2547" s="7"/>
      <c r="BQ2547" s="7"/>
      <c r="BZ2547" s="7"/>
    </row>
    <row r="2548" spans="2:78">
      <c r="B2548" s="7"/>
      <c r="O2548" s="7"/>
      <c r="X2548" s="7"/>
      <c r="AG2548" s="7"/>
      <c r="AP2548" s="7"/>
      <c r="AY2548" s="7"/>
      <c r="BH2548" s="7"/>
      <c r="BQ2548" s="7"/>
      <c r="BZ2548" s="7"/>
    </row>
    <row r="2549" spans="2:78">
      <c r="B2549" s="7"/>
      <c r="O2549" s="7"/>
      <c r="X2549" s="7"/>
      <c r="AG2549" s="7"/>
      <c r="AP2549" s="7"/>
      <c r="AY2549" s="7"/>
      <c r="BH2549" s="7"/>
      <c r="BQ2549" s="7"/>
      <c r="BZ2549" s="7"/>
    </row>
    <row r="2550" spans="2:78">
      <c r="B2550" s="7"/>
      <c r="O2550" s="7"/>
      <c r="X2550" s="7"/>
      <c r="AG2550" s="7"/>
      <c r="AP2550" s="7"/>
      <c r="AY2550" s="7"/>
      <c r="BH2550" s="7"/>
      <c r="BQ2550" s="7"/>
      <c r="BZ2550" s="7"/>
    </row>
    <row r="2551" spans="2:78">
      <c r="B2551" s="7"/>
      <c r="O2551" s="7"/>
      <c r="X2551" s="7"/>
      <c r="AG2551" s="7"/>
      <c r="AP2551" s="7"/>
      <c r="AY2551" s="7"/>
      <c r="BH2551" s="7"/>
      <c r="BQ2551" s="7"/>
      <c r="BZ2551" s="7"/>
    </row>
    <row r="2552" spans="2:78">
      <c r="B2552" s="7"/>
      <c r="O2552" s="7"/>
      <c r="X2552" s="7"/>
      <c r="AG2552" s="7"/>
      <c r="AP2552" s="7"/>
      <c r="AY2552" s="7"/>
      <c r="BH2552" s="7"/>
      <c r="BQ2552" s="7"/>
      <c r="BZ2552" s="7"/>
    </row>
    <row r="2553" spans="2:78">
      <c r="B2553" s="7"/>
      <c r="O2553" s="7"/>
      <c r="X2553" s="7"/>
      <c r="AG2553" s="7"/>
      <c r="AP2553" s="7"/>
      <c r="AY2553" s="7"/>
      <c r="BH2553" s="7"/>
      <c r="BQ2553" s="7"/>
      <c r="BZ2553" s="7"/>
    </row>
    <row r="2554" spans="2:78">
      <c r="B2554" s="7"/>
      <c r="O2554" s="7"/>
      <c r="X2554" s="7"/>
      <c r="AG2554" s="7"/>
      <c r="AP2554" s="7"/>
      <c r="AY2554" s="7"/>
      <c r="BH2554" s="7"/>
      <c r="BQ2554" s="7"/>
      <c r="BZ2554" s="7"/>
    </row>
    <row r="2555" spans="2:78">
      <c r="B2555" s="7"/>
      <c r="O2555" s="7"/>
      <c r="X2555" s="7"/>
      <c r="AG2555" s="7"/>
      <c r="AP2555" s="7"/>
      <c r="AY2555" s="7"/>
      <c r="BH2555" s="7"/>
      <c r="BQ2555" s="7"/>
      <c r="BZ2555" s="7"/>
    </row>
    <row r="2556" spans="2:78">
      <c r="B2556" s="7"/>
      <c r="O2556" s="7"/>
      <c r="X2556" s="7"/>
      <c r="AG2556" s="7"/>
      <c r="AP2556" s="7"/>
      <c r="AY2556" s="7"/>
      <c r="BH2556" s="7"/>
      <c r="BQ2556" s="7"/>
      <c r="BZ2556" s="7"/>
    </row>
    <row r="2557" spans="2:78">
      <c r="B2557" s="7"/>
      <c r="O2557" s="7"/>
      <c r="X2557" s="7"/>
      <c r="AG2557" s="7"/>
      <c r="AP2557" s="7"/>
      <c r="AY2557" s="7"/>
      <c r="BH2557" s="7"/>
      <c r="BQ2557" s="7"/>
      <c r="BZ2557" s="7"/>
    </row>
    <row r="2558" spans="2:78">
      <c r="B2558" s="7"/>
      <c r="O2558" s="7"/>
      <c r="X2558" s="7"/>
      <c r="AG2558" s="7"/>
      <c r="AP2558" s="7"/>
      <c r="AY2558" s="7"/>
      <c r="BH2558" s="7"/>
      <c r="BQ2558" s="7"/>
      <c r="BZ2558" s="7"/>
    </row>
    <row r="2559" spans="2:78">
      <c r="B2559" s="7"/>
      <c r="O2559" s="7"/>
      <c r="X2559" s="7"/>
      <c r="AG2559" s="7"/>
      <c r="AP2559" s="7"/>
      <c r="AY2559" s="7"/>
      <c r="BH2559" s="7"/>
      <c r="BQ2559" s="7"/>
      <c r="BZ2559" s="7"/>
    </row>
    <row r="2560" spans="2:78">
      <c r="B2560" s="7"/>
      <c r="O2560" s="7"/>
      <c r="X2560" s="7"/>
      <c r="AG2560" s="7"/>
      <c r="AP2560" s="7"/>
      <c r="AY2560" s="7"/>
      <c r="BH2560" s="7"/>
      <c r="BQ2560" s="7"/>
      <c r="BZ2560" s="7"/>
    </row>
    <row r="2561" spans="2:78">
      <c r="B2561" s="7"/>
      <c r="O2561" s="7"/>
      <c r="X2561" s="7"/>
      <c r="AG2561" s="7"/>
      <c r="AP2561" s="7"/>
      <c r="AY2561" s="7"/>
      <c r="BH2561" s="7"/>
      <c r="BQ2561" s="7"/>
      <c r="BZ2561" s="7"/>
    </row>
    <row r="2562" spans="2:78">
      <c r="B2562" s="7"/>
      <c r="O2562" s="7"/>
      <c r="X2562" s="7"/>
      <c r="AG2562" s="7"/>
      <c r="AP2562" s="7"/>
      <c r="AY2562" s="7"/>
      <c r="BH2562" s="7"/>
      <c r="BQ2562" s="7"/>
      <c r="BZ2562" s="7"/>
    </row>
    <row r="2563" spans="2:78">
      <c r="B2563" s="7"/>
      <c r="O2563" s="7"/>
      <c r="X2563" s="7"/>
      <c r="AG2563" s="7"/>
      <c r="AP2563" s="7"/>
      <c r="AY2563" s="7"/>
      <c r="BH2563" s="7"/>
      <c r="BQ2563" s="7"/>
      <c r="BZ2563" s="7"/>
    </row>
    <row r="2564" spans="2:78">
      <c r="B2564" s="7"/>
      <c r="O2564" s="7"/>
      <c r="X2564" s="7"/>
      <c r="AG2564" s="7"/>
      <c r="AP2564" s="7"/>
      <c r="AY2564" s="7"/>
      <c r="BH2564" s="7"/>
      <c r="BQ2564" s="7"/>
      <c r="BZ2564" s="7"/>
    </row>
    <row r="2565" spans="2:78">
      <c r="B2565" s="7"/>
      <c r="O2565" s="7"/>
      <c r="X2565" s="7"/>
      <c r="AG2565" s="7"/>
      <c r="AP2565" s="7"/>
      <c r="AY2565" s="7"/>
      <c r="BH2565" s="7"/>
      <c r="BQ2565" s="7"/>
      <c r="BZ2565" s="7"/>
    </row>
    <row r="2566" spans="2:78">
      <c r="B2566" s="7"/>
      <c r="O2566" s="7"/>
      <c r="X2566" s="7"/>
      <c r="AG2566" s="7"/>
      <c r="AP2566" s="7"/>
      <c r="AY2566" s="7"/>
      <c r="BH2566" s="7"/>
      <c r="BQ2566" s="7"/>
      <c r="BZ2566" s="7"/>
    </row>
    <row r="2567" spans="2:78">
      <c r="B2567" s="7"/>
      <c r="O2567" s="7"/>
      <c r="X2567" s="7"/>
      <c r="AG2567" s="7"/>
      <c r="AP2567" s="7"/>
      <c r="AY2567" s="7"/>
      <c r="BH2567" s="7"/>
      <c r="BQ2567" s="7"/>
      <c r="BZ2567" s="7"/>
    </row>
    <row r="2568" spans="2:78">
      <c r="B2568" s="7"/>
      <c r="O2568" s="7"/>
      <c r="X2568" s="7"/>
      <c r="AG2568" s="7"/>
      <c r="AP2568" s="7"/>
      <c r="AY2568" s="7"/>
      <c r="BH2568" s="7"/>
      <c r="BQ2568" s="7"/>
      <c r="BZ2568" s="7"/>
    </row>
    <row r="2569" spans="2:78">
      <c r="B2569" s="7"/>
      <c r="O2569" s="7"/>
      <c r="X2569" s="7"/>
      <c r="AG2569" s="7"/>
      <c r="AP2569" s="7"/>
      <c r="AY2569" s="7"/>
      <c r="BH2569" s="7"/>
      <c r="BQ2569" s="7"/>
      <c r="BZ2569" s="7"/>
    </row>
    <row r="2570" spans="2:78">
      <c r="B2570" s="7"/>
      <c r="O2570" s="7"/>
      <c r="X2570" s="7"/>
      <c r="AG2570" s="7"/>
      <c r="AP2570" s="7"/>
      <c r="AY2570" s="7"/>
      <c r="BH2570" s="7"/>
      <c r="BQ2570" s="7"/>
      <c r="BZ2570" s="7"/>
    </row>
    <row r="2571" spans="2:78">
      <c r="B2571" s="7"/>
      <c r="O2571" s="7"/>
      <c r="X2571" s="7"/>
      <c r="AG2571" s="7"/>
      <c r="AP2571" s="7"/>
      <c r="AY2571" s="7"/>
      <c r="BH2571" s="7"/>
      <c r="BQ2571" s="7"/>
      <c r="BZ2571" s="7"/>
    </row>
    <row r="2572" spans="2:78">
      <c r="B2572" s="7"/>
      <c r="O2572" s="7"/>
      <c r="X2572" s="7"/>
      <c r="AG2572" s="7"/>
      <c r="AP2572" s="7"/>
      <c r="AY2572" s="7"/>
      <c r="BH2572" s="7"/>
      <c r="BQ2572" s="7"/>
      <c r="BZ2572" s="7"/>
    </row>
    <row r="2573" spans="2:78">
      <c r="B2573" s="7"/>
      <c r="O2573" s="7"/>
      <c r="X2573" s="7"/>
      <c r="AG2573" s="7"/>
      <c r="AP2573" s="7"/>
      <c r="AY2573" s="7"/>
      <c r="BH2573" s="7"/>
      <c r="BQ2573" s="7"/>
      <c r="BZ2573" s="7"/>
    </row>
    <row r="2574" spans="2:78">
      <c r="B2574" s="7"/>
      <c r="O2574" s="7"/>
      <c r="X2574" s="7"/>
      <c r="AG2574" s="7"/>
      <c r="AP2574" s="7"/>
      <c r="AY2574" s="7"/>
      <c r="BH2574" s="7"/>
      <c r="BQ2574" s="7"/>
      <c r="BZ2574" s="7"/>
    </row>
    <row r="2575" spans="2:78">
      <c r="B2575" s="7"/>
      <c r="O2575" s="7"/>
      <c r="X2575" s="7"/>
      <c r="AG2575" s="7"/>
      <c r="AP2575" s="7"/>
      <c r="AY2575" s="7"/>
      <c r="BH2575" s="7"/>
      <c r="BQ2575" s="7"/>
      <c r="BZ2575" s="7"/>
    </row>
    <row r="2576" spans="2:78">
      <c r="B2576" s="7"/>
      <c r="O2576" s="7"/>
      <c r="X2576" s="7"/>
      <c r="AG2576" s="7"/>
      <c r="AP2576" s="7"/>
      <c r="AY2576" s="7"/>
      <c r="BH2576" s="7"/>
      <c r="BQ2576" s="7"/>
      <c r="BZ2576" s="7"/>
    </row>
    <row r="2577" spans="2:78">
      <c r="B2577" s="7"/>
      <c r="O2577" s="7"/>
      <c r="X2577" s="7"/>
      <c r="AG2577" s="7"/>
      <c r="AP2577" s="7"/>
      <c r="AY2577" s="7"/>
      <c r="BH2577" s="7"/>
      <c r="BQ2577" s="7"/>
      <c r="BZ2577" s="7"/>
    </row>
    <row r="2578" spans="2:78">
      <c r="B2578" s="7"/>
      <c r="O2578" s="7"/>
      <c r="X2578" s="7"/>
      <c r="AG2578" s="7"/>
      <c r="AP2578" s="7"/>
      <c r="AY2578" s="7"/>
      <c r="BH2578" s="7"/>
      <c r="BQ2578" s="7"/>
      <c r="BZ2578" s="7"/>
    </row>
    <row r="2579" spans="2:78">
      <c r="B2579" s="7"/>
      <c r="O2579" s="7"/>
      <c r="X2579" s="7"/>
      <c r="AG2579" s="7"/>
      <c r="AP2579" s="7"/>
      <c r="AY2579" s="7"/>
      <c r="BH2579" s="7"/>
      <c r="BQ2579" s="7"/>
      <c r="BZ2579" s="7"/>
    </row>
    <row r="2580" spans="2:78">
      <c r="B2580" s="7"/>
      <c r="O2580" s="7"/>
      <c r="X2580" s="7"/>
      <c r="AG2580" s="7"/>
      <c r="AP2580" s="7"/>
      <c r="AY2580" s="7"/>
      <c r="BH2580" s="7"/>
      <c r="BQ2580" s="7"/>
      <c r="BZ2580" s="7"/>
    </row>
    <row r="2581" spans="2:78">
      <c r="B2581" s="7"/>
      <c r="O2581" s="7"/>
      <c r="X2581" s="7"/>
      <c r="AG2581" s="7"/>
      <c r="AP2581" s="7"/>
      <c r="AY2581" s="7"/>
      <c r="BH2581" s="7"/>
      <c r="BQ2581" s="7"/>
      <c r="BZ2581" s="7"/>
    </row>
    <row r="2582" spans="2:78">
      <c r="B2582" s="7"/>
      <c r="O2582" s="7"/>
      <c r="X2582" s="7"/>
      <c r="AG2582" s="7"/>
      <c r="AP2582" s="7"/>
      <c r="AY2582" s="7"/>
      <c r="BH2582" s="7"/>
      <c r="BQ2582" s="7"/>
      <c r="BZ2582" s="7"/>
    </row>
    <row r="2583" spans="2:78">
      <c r="B2583" s="7"/>
      <c r="O2583" s="7"/>
      <c r="X2583" s="7"/>
      <c r="AG2583" s="7"/>
      <c r="AP2583" s="7"/>
      <c r="AY2583" s="7"/>
      <c r="BH2583" s="7"/>
      <c r="BQ2583" s="7"/>
      <c r="BZ2583" s="7"/>
    </row>
    <row r="2584" spans="2:78">
      <c r="B2584" s="7"/>
      <c r="O2584" s="7"/>
      <c r="X2584" s="7"/>
      <c r="AG2584" s="7"/>
      <c r="AP2584" s="7"/>
      <c r="AY2584" s="7"/>
      <c r="BH2584" s="7"/>
      <c r="BQ2584" s="7"/>
      <c r="BZ2584" s="7"/>
    </row>
    <row r="2585" spans="2:78">
      <c r="B2585" s="7"/>
      <c r="O2585" s="7"/>
      <c r="X2585" s="7"/>
      <c r="AG2585" s="7"/>
      <c r="AP2585" s="7"/>
      <c r="AY2585" s="7"/>
      <c r="BH2585" s="7"/>
      <c r="BQ2585" s="7"/>
      <c r="BZ2585" s="7"/>
    </row>
    <row r="2586" spans="2:78">
      <c r="B2586" s="7"/>
      <c r="O2586" s="7"/>
      <c r="X2586" s="7"/>
      <c r="AG2586" s="7"/>
      <c r="AP2586" s="7"/>
      <c r="AY2586" s="7"/>
      <c r="BH2586" s="7"/>
      <c r="BQ2586" s="7"/>
      <c r="BZ2586" s="7"/>
    </row>
    <row r="2587" spans="2:78">
      <c r="B2587" s="7"/>
      <c r="O2587" s="7"/>
      <c r="X2587" s="7"/>
      <c r="AG2587" s="7"/>
      <c r="AP2587" s="7"/>
      <c r="AY2587" s="7"/>
      <c r="BH2587" s="7"/>
      <c r="BQ2587" s="7"/>
      <c r="BZ2587" s="7"/>
    </row>
    <row r="2588" spans="2:78">
      <c r="B2588" s="7"/>
      <c r="O2588" s="7"/>
      <c r="X2588" s="7"/>
      <c r="AG2588" s="7"/>
      <c r="AP2588" s="7"/>
      <c r="AY2588" s="7"/>
      <c r="BH2588" s="7"/>
      <c r="BQ2588" s="7"/>
      <c r="BZ2588" s="7"/>
    </row>
    <row r="2589" spans="2:78">
      <c r="B2589" s="7"/>
      <c r="O2589" s="7"/>
      <c r="X2589" s="7"/>
      <c r="AG2589" s="7"/>
      <c r="AP2589" s="7"/>
      <c r="AY2589" s="7"/>
      <c r="BH2589" s="7"/>
      <c r="BQ2589" s="7"/>
      <c r="BZ2589" s="7"/>
    </row>
    <row r="2590" spans="2:78">
      <c r="B2590" s="7"/>
      <c r="O2590" s="7"/>
      <c r="X2590" s="7"/>
      <c r="AG2590" s="7"/>
      <c r="AP2590" s="7"/>
      <c r="AY2590" s="7"/>
      <c r="BH2590" s="7"/>
      <c r="BQ2590" s="7"/>
      <c r="BZ2590" s="7"/>
    </row>
    <row r="2591" spans="2:78">
      <c r="B2591" s="7"/>
      <c r="O2591" s="7"/>
      <c r="X2591" s="7"/>
      <c r="AG2591" s="7"/>
      <c r="AP2591" s="7"/>
      <c r="AY2591" s="7"/>
      <c r="BH2591" s="7"/>
      <c r="BQ2591" s="7"/>
      <c r="BZ2591" s="7"/>
    </row>
    <row r="2592" spans="2:78">
      <c r="B2592" s="7"/>
      <c r="O2592" s="7"/>
      <c r="X2592" s="7"/>
      <c r="AG2592" s="7"/>
      <c r="AP2592" s="7"/>
      <c r="AY2592" s="7"/>
      <c r="BH2592" s="7"/>
      <c r="BQ2592" s="7"/>
      <c r="BZ2592" s="7"/>
    </row>
    <row r="2593" spans="2:78">
      <c r="B2593" s="7"/>
      <c r="O2593" s="7"/>
      <c r="X2593" s="7"/>
      <c r="AG2593" s="7"/>
      <c r="AP2593" s="7"/>
      <c r="AY2593" s="7"/>
      <c r="BH2593" s="7"/>
      <c r="BQ2593" s="7"/>
      <c r="BZ2593" s="7"/>
    </row>
    <row r="2594" spans="2:78">
      <c r="B2594" s="7"/>
      <c r="O2594" s="7"/>
      <c r="X2594" s="7"/>
      <c r="AG2594" s="7"/>
      <c r="AP2594" s="7"/>
      <c r="AY2594" s="7"/>
      <c r="BH2594" s="7"/>
      <c r="BQ2594" s="7"/>
      <c r="BZ2594" s="7"/>
    </row>
    <row r="2595" spans="2:78">
      <c r="B2595" s="7"/>
      <c r="O2595" s="7"/>
      <c r="X2595" s="7"/>
      <c r="AG2595" s="7"/>
      <c r="AP2595" s="7"/>
      <c r="AY2595" s="7"/>
      <c r="BH2595" s="7"/>
      <c r="BQ2595" s="7"/>
      <c r="BZ2595" s="7"/>
    </row>
    <row r="2596" spans="2:78">
      <c r="B2596" s="7"/>
      <c r="O2596" s="7"/>
      <c r="X2596" s="7"/>
      <c r="AG2596" s="7"/>
      <c r="AP2596" s="7"/>
      <c r="AY2596" s="7"/>
      <c r="BH2596" s="7"/>
      <c r="BQ2596" s="7"/>
      <c r="BZ2596" s="7"/>
    </row>
    <row r="2597" spans="2:78">
      <c r="B2597" s="7"/>
      <c r="O2597" s="7"/>
      <c r="X2597" s="7"/>
      <c r="AG2597" s="7"/>
      <c r="AP2597" s="7"/>
      <c r="AY2597" s="7"/>
      <c r="BH2597" s="7"/>
      <c r="BQ2597" s="7"/>
      <c r="BZ2597" s="7"/>
    </row>
    <row r="2598" spans="2:78">
      <c r="B2598" s="7"/>
      <c r="O2598" s="7"/>
      <c r="X2598" s="7"/>
      <c r="AG2598" s="7"/>
      <c r="AP2598" s="7"/>
      <c r="AY2598" s="7"/>
      <c r="BH2598" s="7"/>
      <c r="BQ2598" s="7"/>
      <c r="BZ2598" s="7"/>
    </row>
    <row r="2599" spans="2:78">
      <c r="B2599" s="7"/>
      <c r="O2599" s="7"/>
      <c r="X2599" s="7"/>
      <c r="AG2599" s="7"/>
      <c r="AP2599" s="7"/>
      <c r="AY2599" s="7"/>
      <c r="BH2599" s="7"/>
      <c r="BQ2599" s="7"/>
      <c r="BZ2599" s="7"/>
    </row>
    <row r="2600" spans="2:78">
      <c r="B2600" s="7"/>
      <c r="O2600" s="7"/>
      <c r="X2600" s="7"/>
      <c r="AG2600" s="7"/>
      <c r="AP2600" s="7"/>
      <c r="AY2600" s="7"/>
      <c r="BH2600" s="7"/>
      <c r="BQ2600" s="7"/>
      <c r="BZ2600" s="7"/>
    </row>
    <row r="2601" spans="2:78">
      <c r="B2601" s="7"/>
      <c r="O2601" s="7"/>
      <c r="X2601" s="7"/>
      <c r="AG2601" s="7"/>
      <c r="AP2601" s="7"/>
      <c r="AY2601" s="7"/>
      <c r="BH2601" s="7"/>
      <c r="BQ2601" s="7"/>
      <c r="BZ2601" s="7"/>
    </row>
    <row r="2602" spans="2:78">
      <c r="B2602" s="7"/>
      <c r="O2602" s="7"/>
      <c r="X2602" s="7"/>
      <c r="AG2602" s="7"/>
      <c r="AP2602" s="7"/>
      <c r="AY2602" s="7"/>
      <c r="BH2602" s="7"/>
      <c r="BQ2602" s="7"/>
      <c r="BZ2602" s="7"/>
    </row>
    <row r="2603" spans="2:78">
      <c r="B2603" s="7"/>
      <c r="O2603" s="7"/>
      <c r="X2603" s="7"/>
      <c r="AG2603" s="7"/>
      <c r="AP2603" s="7"/>
      <c r="AY2603" s="7"/>
      <c r="BH2603" s="7"/>
      <c r="BQ2603" s="7"/>
      <c r="BZ2603" s="7"/>
    </row>
    <row r="2604" spans="2:78">
      <c r="B2604" s="7"/>
      <c r="O2604" s="7"/>
      <c r="X2604" s="7"/>
      <c r="AG2604" s="7"/>
      <c r="AP2604" s="7"/>
      <c r="AY2604" s="7"/>
      <c r="BH2604" s="7"/>
      <c r="BQ2604" s="7"/>
      <c r="BZ2604" s="7"/>
    </row>
    <row r="2605" spans="2:78">
      <c r="B2605" s="7"/>
      <c r="O2605" s="7"/>
      <c r="X2605" s="7"/>
      <c r="AG2605" s="7"/>
      <c r="AP2605" s="7"/>
      <c r="AY2605" s="7"/>
      <c r="BH2605" s="7"/>
      <c r="BQ2605" s="7"/>
      <c r="BZ2605" s="7"/>
    </row>
    <row r="2606" spans="2:78">
      <c r="B2606" s="7"/>
      <c r="O2606" s="7"/>
      <c r="X2606" s="7"/>
      <c r="AG2606" s="7"/>
      <c r="AP2606" s="7"/>
      <c r="AY2606" s="7"/>
      <c r="BH2606" s="7"/>
      <c r="BQ2606" s="7"/>
      <c r="BZ2606" s="7"/>
    </row>
    <row r="2607" spans="2:78">
      <c r="B2607" s="7"/>
      <c r="O2607" s="7"/>
      <c r="X2607" s="7"/>
      <c r="AG2607" s="7"/>
      <c r="AP2607" s="7"/>
      <c r="AY2607" s="7"/>
      <c r="BH2607" s="7"/>
      <c r="BQ2607" s="7"/>
      <c r="BZ2607" s="7"/>
    </row>
    <row r="2608" spans="2:78">
      <c r="B2608" s="7"/>
      <c r="O2608" s="7"/>
      <c r="X2608" s="7"/>
      <c r="AG2608" s="7"/>
      <c r="AP2608" s="7"/>
      <c r="AY2608" s="7"/>
      <c r="BH2608" s="7"/>
      <c r="BQ2608" s="7"/>
      <c r="BZ2608" s="7"/>
    </row>
    <row r="2609" spans="2:78">
      <c r="B2609" s="7"/>
      <c r="O2609" s="7"/>
      <c r="X2609" s="7"/>
      <c r="AG2609" s="7"/>
      <c r="AP2609" s="7"/>
      <c r="AY2609" s="7"/>
      <c r="BH2609" s="7"/>
      <c r="BQ2609" s="7"/>
      <c r="BZ2609" s="7"/>
    </row>
    <row r="2610" spans="2:78">
      <c r="B2610" s="7"/>
      <c r="O2610" s="7"/>
      <c r="X2610" s="7"/>
      <c r="AG2610" s="7"/>
      <c r="AP2610" s="7"/>
      <c r="AY2610" s="7"/>
      <c r="BH2610" s="7"/>
      <c r="BQ2610" s="7"/>
      <c r="BZ2610" s="7"/>
    </row>
    <row r="2611" spans="2:78">
      <c r="B2611" s="7"/>
      <c r="O2611" s="7"/>
      <c r="X2611" s="7"/>
      <c r="AG2611" s="7"/>
      <c r="AP2611" s="7"/>
      <c r="AY2611" s="7"/>
      <c r="BH2611" s="7"/>
      <c r="BQ2611" s="7"/>
      <c r="BZ2611" s="7"/>
    </row>
    <row r="2612" spans="2:78">
      <c r="B2612" s="7"/>
      <c r="O2612" s="7"/>
      <c r="X2612" s="7"/>
      <c r="AG2612" s="7"/>
      <c r="AP2612" s="7"/>
      <c r="AY2612" s="7"/>
      <c r="BH2612" s="7"/>
      <c r="BQ2612" s="7"/>
      <c r="BZ2612" s="7"/>
    </row>
    <row r="2613" spans="2:78">
      <c r="B2613" s="7"/>
      <c r="O2613" s="7"/>
      <c r="X2613" s="7"/>
      <c r="AG2613" s="7"/>
      <c r="AP2613" s="7"/>
      <c r="AY2613" s="7"/>
      <c r="BH2613" s="7"/>
      <c r="BQ2613" s="7"/>
      <c r="BZ2613" s="7"/>
    </row>
    <row r="2614" spans="2:78">
      <c r="B2614" s="7"/>
      <c r="O2614" s="7"/>
      <c r="X2614" s="7"/>
      <c r="AG2614" s="7"/>
      <c r="AP2614" s="7"/>
      <c r="AY2614" s="7"/>
      <c r="BH2614" s="7"/>
      <c r="BQ2614" s="7"/>
      <c r="BZ2614" s="7"/>
    </row>
    <row r="2615" spans="2:78">
      <c r="B2615" s="7"/>
      <c r="O2615" s="7"/>
      <c r="X2615" s="7"/>
      <c r="AG2615" s="7"/>
      <c r="AP2615" s="7"/>
      <c r="AY2615" s="7"/>
      <c r="BH2615" s="7"/>
      <c r="BQ2615" s="7"/>
      <c r="BZ2615" s="7"/>
    </row>
    <row r="2616" spans="2:78">
      <c r="B2616" s="7"/>
      <c r="O2616" s="7"/>
      <c r="X2616" s="7"/>
      <c r="AG2616" s="7"/>
      <c r="AP2616" s="7"/>
      <c r="AY2616" s="7"/>
      <c r="BH2616" s="7"/>
      <c r="BQ2616" s="7"/>
      <c r="BZ2616" s="7"/>
    </row>
    <row r="2617" spans="2:78">
      <c r="B2617" s="7"/>
      <c r="O2617" s="7"/>
      <c r="X2617" s="7"/>
      <c r="AG2617" s="7"/>
      <c r="AP2617" s="7"/>
      <c r="AY2617" s="7"/>
      <c r="BH2617" s="7"/>
      <c r="BQ2617" s="7"/>
      <c r="BZ2617" s="7"/>
    </row>
    <row r="2618" spans="2:78">
      <c r="B2618" s="7"/>
      <c r="O2618" s="7"/>
      <c r="X2618" s="7"/>
      <c r="AG2618" s="7"/>
      <c r="AP2618" s="7"/>
      <c r="AY2618" s="7"/>
      <c r="BH2618" s="7"/>
      <c r="BQ2618" s="7"/>
      <c r="BZ2618" s="7"/>
    </row>
    <row r="2619" spans="2:78">
      <c r="B2619" s="7"/>
      <c r="O2619" s="7"/>
      <c r="X2619" s="7"/>
      <c r="AG2619" s="7"/>
      <c r="AP2619" s="7"/>
      <c r="AY2619" s="7"/>
      <c r="BH2619" s="7"/>
      <c r="BQ2619" s="7"/>
      <c r="BZ2619" s="7"/>
    </row>
    <row r="2620" spans="2:78">
      <c r="B2620" s="7"/>
      <c r="O2620" s="7"/>
      <c r="X2620" s="7"/>
      <c r="AG2620" s="7"/>
      <c r="AP2620" s="7"/>
      <c r="AY2620" s="7"/>
      <c r="BH2620" s="7"/>
      <c r="BQ2620" s="7"/>
      <c r="BZ2620" s="7"/>
    </row>
    <row r="2621" spans="2:78">
      <c r="B2621" s="7"/>
      <c r="O2621" s="7"/>
      <c r="X2621" s="7"/>
      <c r="AG2621" s="7"/>
      <c r="AP2621" s="7"/>
      <c r="AY2621" s="7"/>
      <c r="BH2621" s="7"/>
      <c r="BQ2621" s="7"/>
      <c r="BZ2621" s="7"/>
    </row>
    <row r="2622" spans="2:78">
      <c r="B2622" s="7"/>
      <c r="O2622" s="7"/>
      <c r="X2622" s="7"/>
      <c r="AG2622" s="7"/>
      <c r="AP2622" s="7"/>
      <c r="AY2622" s="7"/>
      <c r="BH2622" s="7"/>
      <c r="BQ2622" s="7"/>
      <c r="BZ2622" s="7"/>
    </row>
    <row r="2623" spans="2:78">
      <c r="B2623" s="7"/>
      <c r="O2623" s="7"/>
      <c r="X2623" s="7"/>
      <c r="AG2623" s="7"/>
      <c r="AP2623" s="7"/>
      <c r="AY2623" s="7"/>
      <c r="BH2623" s="7"/>
      <c r="BQ2623" s="7"/>
      <c r="BZ2623" s="7"/>
    </row>
    <row r="2624" spans="2:78">
      <c r="B2624" s="7"/>
      <c r="O2624" s="7"/>
      <c r="X2624" s="7"/>
      <c r="AG2624" s="7"/>
      <c r="AP2624" s="7"/>
      <c r="AY2624" s="7"/>
      <c r="BH2624" s="7"/>
      <c r="BQ2624" s="7"/>
      <c r="BZ2624" s="7"/>
    </row>
    <row r="2625" spans="2:78">
      <c r="B2625" s="7"/>
      <c r="O2625" s="7"/>
      <c r="X2625" s="7"/>
      <c r="AG2625" s="7"/>
      <c r="AP2625" s="7"/>
      <c r="AY2625" s="7"/>
      <c r="BH2625" s="7"/>
      <c r="BQ2625" s="7"/>
      <c r="BZ2625" s="7"/>
    </row>
    <row r="2626" spans="2:78">
      <c r="B2626" s="7"/>
      <c r="O2626" s="7"/>
      <c r="X2626" s="7"/>
      <c r="AG2626" s="7"/>
      <c r="AP2626" s="7"/>
      <c r="AY2626" s="7"/>
      <c r="BH2626" s="7"/>
      <c r="BQ2626" s="7"/>
      <c r="BZ2626" s="7"/>
    </row>
    <row r="2627" spans="2:78">
      <c r="B2627" s="7"/>
      <c r="O2627" s="7"/>
      <c r="X2627" s="7"/>
      <c r="AG2627" s="7"/>
      <c r="AP2627" s="7"/>
      <c r="AY2627" s="7"/>
      <c r="BH2627" s="7"/>
      <c r="BQ2627" s="7"/>
      <c r="BZ2627" s="7"/>
    </row>
    <row r="2628" spans="2:78">
      <c r="B2628" s="7"/>
      <c r="O2628" s="7"/>
      <c r="X2628" s="7"/>
      <c r="AG2628" s="7"/>
      <c r="AP2628" s="7"/>
      <c r="AY2628" s="7"/>
      <c r="BH2628" s="7"/>
      <c r="BQ2628" s="7"/>
      <c r="BZ2628" s="7"/>
    </row>
    <row r="2629" spans="2:78">
      <c r="B2629" s="7"/>
      <c r="O2629" s="7"/>
      <c r="X2629" s="7"/>
      <c r="AG2629" s="7"/>
      <c r="AP2629" s="7"/>
      <c r="AY2629" s="7"/>
      <c r="BH2629" s="7"/>
      <c r="BQ2629" s="7"/>
      <c r="BZ2629" s="7"/>
    </row>
    <row r="2630" spans="2:78">
      <c r="B2630" s="7"/>
      <c r="O2630" s="7"/>
      <c r="X2630" s="7"/>
      <c r="AG2630" s="7"/>
      <c r="AP2630" s="7"/>
      <c r="AY2630" s="7"/>
      <c r="BH2630" s="7"/>
      <c r="BQ2630" s="7"/>
      <c r="BZ2630" s="7"/>
    </row>
    <row r="2631" spans="2:78">
      <c r="B2631" s="7"/>
      <c r="O2631" s="7"/>
      <c r="X2631" s="7"/>
      <c r="AG2631" s="7"/>
      <c r="AP2631" s="7"/>
      <c r="AY2631" s="7"/>
      <c r="BH2631" s="7"/>
      <c r="BQ2631" s="7"/>
      <c r="BZ2631" s="7"/>
    </row>
    <row r="2632" spans="2:78">
      <c r="B2632" s="7"/>
      <c r="O2632" s="7"/>
      <c r="X2632" s="7"/>
      <c r="AG2632" s="7"/>
      <c r="AP2632" s="7"/>
      <c r="AY2632" s="7"/>
      <c r="BH2632" s="7"/>
      <c r="BQ2632" s="7"/>
      <c r="BZ2632" s="7"/>
    </row>
    <row r="2633" spans="2:78">
      <c r="B2633" s="7"/>
      <c r="O2633" s="7"/>
      <c r="X2633" s="7"/>
      <c r="AG2633" s="7"/>
      <c r="AP2633" s="7"/>
      <c r="AY2633" s="7"/>
      <c r="BH2633" s="7"/>
      <c r="BQ2633" s="7"/>
      <c r="BZ2633" s="7"/>
    </row>
    <row r="2634" spans="2:78">
      <c r="B2634" s="7"/>
      <c r="O2634" s="7"/>
      <c r="X2634" s="7"/>
      <c r="AG2634" s="7"/>
      <c r="AP2634" s="7"/>
      <c r="AY2634" s="7"/>
      <c r="BH2634" s="7"/>
      <c r="BQ2634" s="7"/>
      <c r="BZ2634" s="7"/>
    </row>
    <row r="2635" spans="2:78">
      <c r="B2635" s="7"/>
      <c r="O2635" s="7"/>
      <c r="X2635" s="7"/>
      <c r="AG2635" s="7"/>
      <c r="AP2635" s="7"/>
      <c r="AY2635" s="7"/>
      <c r="BH2635" s="7"/>
      <c r="BQ2635" s="7"/>
      <c r="BZ2635" s="7"/>
    </row>
    <row r="2636" spans="2:78">
      <c r="B2636" s="7"/>
      <c r="O2636" s="7"/>
      <c r="X2636" s="7"/>
      <c r="AG2636" s="7"/>
      <c r="AP2636" s="7"/>
      <c r="AY2636" s="7"/>
      <c r="BH2636" s="7"/>
      <c r="BQ2636" s="7"/>
      <c r="BZ2636" s="7"/>
    </row>
    <row r="2637" spans="2:78">
      <c r="B2637" s="7"/>
      <c r="O2637" s="7"/>
      <c r="X2637" s="7"/>
      <c r="AG2637" s="7"/>
      <c r="AP2637" s="7"/>
      <c r="AY2637" s="7"/>
      <c r="BH2637" s="7"/>
      <c r="BQ2637" s="7"/>
      <c r="BZ2637" s="7"/>
    </row>
    <row r="2638" spans="2:78">
      <c r="B2638" s="7"/>
      <c r="O2638" s="7"/>
      <c r="X2638" s="7"/>
      <c r="AG2638" s="7"/>
      <c r="AP2638" s="7"/>
      <c r="AY2638" s="7"/>
      <c r="BH2638" s="7"/>
      <c r="BQ2638" s="7"/>
      <c r="BZ2638" s="7"/>
    </row>
    <row r="2639" spans="2:78">
      <c r="B2639" s="7"/>
      <c r="O2639" s="7"/>
      <c r="X2639" s="7"/>
      <c r="AG2639" s="7"/>
      <c r="AP2639" s="7"/>
      <c r="AY2639" s="7"/>
      <c r="BH2639" s="7"/>
      <c r="BQ2639" s="7"/>
      <c r="BZ2639" s="7"/>
    </row>
    <row r="2640" spans="2:78">
      <c r="B2640" s="7"/>
      <c r="O2640" s="7"/>
      <c r="X2640" s="7"/>
      <c r="AG2640" s="7"/>
      <c r="AP2640" s="7"/>
      <c r="AY2640" s="7"/>
      <c r="BH2640" s="7"/>
      <c r="BQ2640" s="7"/>
      <c r="BZ2640" s="7"/>
    </row>
    <row r="2641" spans="2:78">
      <c r="B2641" s="7"/>
      <c r="O2641" s="7"/>
      <c r="X2641" s="7"/>
      <c r="AG2641" s="7"/>
      <c r="AP2641" s="7"/>
      <c r="AY2641" s="7"/>
      <c r="BH2641" s="7"/>
      <c r="BQ2641" s="7"/>
      <c r="BZ2641" s="7"/>
    </row>
    <row r="2642" spans="2:78">
      <c r="B2642" s="7"/>
      <c r="O2642" s="7"/>
      <c r="X2642" s="7"/>
      <c r="AG2642" s="7"/>
      <c r="AP2642" s="7"/>
      <c r="AY2642" s="7"/>
      <c r="BH2642" s="7"/>
      <c r="BQ2642" s="7"/>
      <c r="BZ2642" s="7"/>
    </row>
    <row r="2643" spans="2:78">
      <c r="B2643" s="7"/>
      <c r="O2643" s="7"/>
      <c r="X2643" s="7"/>
      <c r="AG2643" s="7"/>
      <c r="AP2643" s="7"/>
      <c r="AY2643" s="7"/>
      <c r="BH2643" s="7"/>
      <c r="BQ2643" s="7"/>
      <c r="BZ2643" s="7"/>
    </row>
    <row r="2644" spans="2:78">
      <c r="B2644" s="7"/>
      <c r="O2644" s="7"/>
      <c r="X2644" s="7"/>
      <c r="AG2644" s="7"/>
      <c r="AP2644" s="7"/>
      <c r="AY2644" s="7"/>
      <c r="BH2644" s="7"/>
      <c r="BQ2644" s="7"/>
      <c r="BZ2644" s="7"/>
    </row>
    <row r="2645" spans="2:78">
      <c r="B2645" s="7"/>
      <c r="O2645" s="7"/>
      <c r="X2645" s="7"/>
      <c r="AG2645" s="7"/>
      <c r="AP2645" s="7"/>
      <c r="AY2645" s="7"/>
      <c r="BH2645" s="7"/>
      <c r="BQ2645" s="7"/>
      <c r="BZ2645" s="7"/>
    </row>
    <row r="2646" spans="2:78">
      <c r="B2646" s="7"/>
      <c r="O2646" s="7"/>
      <c r="X2646" s="7"/>
      <c r="AG2646" s="7"/>
      <c r="AP2646" s="7"/>
      <c r="AY2646" s="7"/>
      <c r="BH2646" s="7"/>
      <c r="BQ2646" s="7"/>
      <c r="BZ2646" s="7"/>
    </row>
    <row r="2647" spans="2:78">
      <c r="B2647" s="7"/>
      <c r="O2647" s="7"/>
      <c r="X2647" s="7"/>
      <c r="AG2647" s="7"/>
      <c r="AP2647" s="7"/>
      <c r="AY2647" s="7"/>
      <c r="BH2647" s="7"/>
      <c r="BQ2647" s="7"/>
      <c r="BZ2647" s="7"/>
    </row>
    <row r="2648" spans="2:78">
      <c r="B2648" s="7"/>
      <c r="O2648" s="7"/>
      <c r="X2648" s="7"/>
      <c r="AG2648" s="7"/>
      <c r="AP2648" s="7"/>
      <c r="AY2648" s="7"/>
      <c r="BH2648" s="7"/>
      <c r="BQ2648" s="7"/>
      <c r="BZ2648" s="7"/>
    </row>
    <row r="2649" spans="2:78">
      <c r="B2649" s="7"/>
      <c r="O2649" s="7"/>
      <c r="X2649" s="7"/>
      <c r="AG2649" s="7"/>
      <c r="AP2649" s="7"/>
      <c r="AY2649" s="7"/>
      <c r="BH2649" s="7"/>
      <c r="BQ2649" s="7"/>
      <c r="BZ2649" s="7"/>
    </row>
    <row r="2650" spans="2:78">
      <c r="B2650" s="7"/>
      <c r="O2650" s="7"/>
      <c r="X2650" s="7"/>
      <c r="AG2650" s="7"/>
      <c r="AP2650" s="7"/>
      <c r="AY2650" s="7"/>
      <c r="BH2650" s="7"/>
      <c r="BQ2650" s="7"/>
      <c r="BZ2650" s="7"/>
    </row>
    <row r="2651" spans="2:78">
      <c r="B2651" s="7"/>
      <c r="O2651" s="7"/>
      <c r="X2651" s="7"/>
      <c r="AG2651" s="7"/>
      <c r="AP2651" s="7"/>
      <c r="AY2651" s="7"/>
      <c r="BH2651" s="7"/>
      <c r="BQ2651" s="7"/>
      <c r="BZ2651" s="7"/>
    </row>
    <row r="2652" spans="2:78">
      <c r="B2652" s="7"/>
      <c r="O2652" s="7"/>
      <c r="X2652" s="7"/>
      <c r="AG2652" s="7"/>
      <c r="AP2652" s="7"/>
      <c r="AY2652" s="7"/>
      <c r="BH2652" s="7"/>
      <c r="BQ2652" s="7"/>
      <c r="BZ2652" s="7"/>
    </row>
    <row r="2653" spans="2:78">
      <c r="B2653" s="7"/>
      <c r="O2653" s="7"/>
      <c r="X2653" s="7"/>
      <c r="AG2653" s="7"/>
      <c r="AP2653" s="7"/>
      <c r="AY2653" s="7"/>
      <c r="BH2653" s="7"/>
      <c r="BQ2653" s="7"/>
      <c r="BZ2653" s="7"/>
    </row>
    <row r="2654" spans="2:78">
      <c r="B2654" s="7"/>
      <c r="O2654" s="7"/>
      <c r="X2654" s="7"/>
      <c r="AG2654" s="7"/>
      <c r="AP2654" s="7"/>
      <c r="AY2654" s="7"/>
      <c r="BH2654" s="7"/>
      <c r="BQ2654" s="7"/>
      <c r="BZ2654" s="7"/>
    </row>
    <row r="2655" spans="2:78">
      <c r="B2655" s="7"/>
      <c r="O2655" s="7"/>
      <c r="X2655" s="7"/>
      <c r="AG2655" s="7"/>
      <c r="AP2655" s="7"/>
      <c r="AY2655" s="7"/>
      <c r="BH2655" s="7"/>
      <c r="BQ2655" s="7"/>
      <c r="BZ2655" s="7"/>
    </row>
    <row r="2656" spans="2:78">
      <c r="B2656" s="7"/>
      <c r="O2656" s="7"/>
      <c r="X2656" s="7"/>
      <c r="AG2656" s="7"/>
      <c r="AP2656" s="7"/>
      <c r="AY2656" s="7"/>
      <c r="BH2656" s="7"/>
      <c r="BQ2656" s="7"/>
      <c r="BZ2656" s="7"/>
    </row>
    <row r="2657" spans="2:78">
      <c r="B2657" s="7"/>
      <c r="O2657" s="7"/>
      <c r="X2657" s="7"/>
      <c r="AG2657" s="7"/>
      <c r="AP2657" s="7"/>
      <c r="AY2657" s="7"/>
      <c r="BH2657" s="7"/>
      <c r="BQ2657" s="7"/>
      <c r="BZ2657" s="7"/>
    </row>
    <row r="2658" spans="2:78">
      <c r="B2658" s="7"/>
      <c r="O2658" s="7"/>
      <c r="X2658" s="7"/>
      <c r="AG2658" s="7"/>
      <c r="AP2658" s="7"/>
      <c r="AY2658" s="7"/>
      <c r="BH2658" s="7"/>
      <c r="BQ2658" s="7"/>
      <c r="BZ2658" s="7"/>
    </row>
    <row r="2659" spans="2:78">
      <c r="B2659" s="7"/>
      <c r="O2659" s="7"/>
      <c r="X2659" s="7"/>
      <c r="AG2659" s="7"/>
      <c r="AP2659" s="7"/>
      <c r="AY2659" s="7"/>
      <c r="BH2659" s="7"/>
      <c r="BQ2659" s="7"/>
      <c r="BZ2659" s="7"/>
    </row>
    <row r="2660" spans="2:78">
      <c r="B2660" s="7"/>
      <c r="O2660" s="7"/>
      <c r="X2660" s="7"/>
      <c r="AG2660" s="7"/>
      <c r="AP2660" s="7"/>
      <c r="AY2660" s="7"/>
      <c r="BH2660" s="7"/>
      <c r="BQ2660" s="7"/>
      <c r="BZ2660" s="7"/>
    </row>
    <row r="2661" spans="2:78">
      <c r="B2661" s="7"/>
      <c r="O2661" s="7"/>
      <c r="X2661" s="7"/>
      <c r="AG2661" s="7"/>
      <c r="AP2661" s="7"/>
      <c r="AY2661" s="7"/>
      <c r="BH2661" s="7"/>
      <c r="BQ2661" s="7"/>
      <c r="BZ2661" s="7"/>
    </row>
    <row r="2662" spans="2:78">
      <c r="B2662" s="7"/>
      <c r="O2662" s="7"/>
      <c r="X2662" s="7"/>
      <c r="AG2662" s="7"/>
      <c r="AP2662" s="7"/>
      <c r="AY2662" s="7"/>
      <c r="BH2662" s="7"/>
      <c r="BQ2662" s="7"/>
      <c r="BZ2662" s="7"/>
    </row>
    <row r="2663" spans="2:78">
      <c r="B2663" s="7"/>
      <c r="O2663" s="7"/>
      <c r="X2663" s="7"/>
      <c r="AG2663" s="7"/>
      <c r="AP2663" s="7"/>
      <c r="AY2663" s="7"/>
      <c r="BH2663" s="7"/>
      <c r="BQ2663" s="7"/>
      <c r="BZ2663" s="7"/>
    </row>
    <row r="2664" spans="2:78">
      <c r="B2664" s="7"/>
      <c r="O2664" s="7"/>
      <c r="X2664" s="7"/>
      <c r="AG2664" s="7"/>
      <c r="AP2664" s="7"/>
      <c r="AY2664" s="7"/>
      <c r="BH2664" s="7"/>
      <c r="BQ2664" s="7"/>
      <c r="BZ2664" s="7"/>
    </row>
    <row r="2665" spans="2:78">
      <c r="B2665" s="7"/>
      <c r="O2665" s="7"/>
      <c r="X2665" s="7"/>
      <c r="AG2665" s="7"/>
      <c r="AP2665" s="7"/>
      <c r="AY2665" s="7"/>
      <c r="BH2665" s="7"/>
      <c r="BQ2665" s="7"/>
      <c r="BZ2665" s="7"/>
    </row>
    <row r="2666" spans="2:78">
      <c r="B2666" s="7"/>
      <c r="O2666" s="7"/>
      <c r="X2666" s="7"/>
      <c r="AG2666" s="7"/>
      <c r="AP2666" s="7"/>
      <c r="AY2666" s="7"/>
      <c r="BH2666" s="7"/>
      <c r="BQ2666" s="7"/>
      <c r="BZ2666" s="7"/>
    </row>
    <row r="2667" spans="2:78">
      <c r="B2667" s="7"/>
      <c r="O2667" s="7"/>
      <c r="X2667" s="7"/>
      <c r="AG2667" s="7"/>
      <c r="AP2667" s="7"/>
      <c r="AY2667" s="7"/>
      <c r="BH2667" s="7"/>
      <c r="BQ2667" s="7"/>
      <c r="BZ2667" s="7"/>
    </row>
    <row r="2668" spans="2:78">
      <c r="B2668" s="7"/>
      <c r="O2668" s="7"/>
      <c r="X2668" s="7"/>
      <c r="AG2668" s="7"/>
      <c r="AP2668" s="7"/>
      <c r="AY2668" s="7"/>
      <c r="BH2668" s="7"/>
      <c r="BQ2668" s="7"/>
      <c r="BZ2668" s="7"/>
    </row>
    <row r="2669" spans="2:78">
      <c r="B2669" s="7"/>
      <c r="O2669" s="7"/>
      <c r="X2669" s="7"/>
      <c r="AG2669" s="7"/>
      <c r="AP2669" s="7"/>
      <c r="AY2669" s="7"/>
      <c r="BH2669" s="7"/>
      <c r="BQ2669" s="7"/>
      <c r="BZ2669" s="7"/>
    </row>
    <row r="2670" spans="2:78">
      <c r="B2670" s="7"/>
      <c r="O2670" s="7"/>
      <c r="X2670" s="7"/>
      <c r="AG2670" s="7"/>
      <c r="AP2670" s="7"/>
      <c r="AY2670" s="7"/>
      <c r="BH2670" s="7"/>
      <c r="BQ2670" s="7"/>
      <c r="BZ2670" s="7"/>
    </row>
    <row r="2671" spans="2:78">
      <c r="B2671" s="7"/>
      <c r="O2671" s="7"/>
      <c r="X2671" s="7"/>
      <c r="AG2671" s="7"/>
      <c r="AP2671" s="7"/>
      <c r="AY2671" s="7"/>
      <c r="BH2671" s="7"/>
      <c r="BQ2671" s="7"/>
      <c r="BZ2671" s="7"/>
    </row>
    <row r="2672" spans="2:78">
      <c r="B2672" s="7"/>
      <c r="O2672" s="7"/>
      <c r="X2672" s="7"/>
      <c r="AG2672" s="7"/>
      <c r="AP2672" s="7"/>
      <c r="AY2672" s="7"/>
      <c r="BH2672" s="7"/>
      <c r="BQ2672" s="7"/>
      <c r="BZ2672" s="7"/>
    </row>
    <row r="2673" spans="2:78">
      <c r="B2673" s="7"/>
      <c r="O2673" s="7"/>
      <c r="X2673" s="7"/>
      <c r="AG2673" s="7"/>
      <c r="AP2673" s="7"/>
      <c r="AY2673" s="7"/>
      <c r="BH2673" s="7"/>
      <c r="BQ2673" s="7"/>
      <c r="BZ2673" s="7"/>
    </row>
    <row r="2674" spans="2:78">
      <c r="B2674" s="7"/>
      <c r="O2674" s="7"/>
      <c r="X2674" s="7"/>
      <c r="AG2674" s="7"/>
      <c r="AP2674" s="7"/>
      <c r="AY2674" s="7"/>
      <c r="BH2674" s="7"/>
      <c r="BQ2674" s="7"/>
      <c r="BZ2674" s="7"/>
    </row>
    <row r="2675" spans="2:78">
      <c r="B2675" s="7"/>
      <c r="O2675" s="7"/>
      <c r="X2675" s="7"/>
      <c r="AG2675" s="7"/>
      <c r="AP2675" s="7"/>
      <c r="AY2675" s="7"/>
      <c r="BH2675" s="7"/>
      <c r="BQ2675" s="7"/>
      <c r="BZ2675" s="7"/>
    </row>
    <row r="2676" spans="2:78">
      <c r="B2676" s="7"/>
      <c r="O2676" s="7"/>
      <c r="X2676" s="7"/>
      <c r="AG2676" s="7"/>
      <c r="AP2676" s="7"/>
      <c r="AY2676" s="7"/>
      <c r="BH2676" s="7"/>
      <c r="BQ2676" s="7"/>
      <c r="BZ2676" s="7"/>
    </row>
    <row r="2677" spans="2:78">
      <c r="B2677" s="7"/>
      <c r="O2677" s="7"/>
      <c r="X2677" s="7"/>
      <c r="AG2677" s="7"/>
      <c r="AP2677" s="7"/>
      <c r="AY2677" s="7"/>
      <c r="BH2677" s="7"/>
      <c r="BQ2677" s="7"/>
      <c r="BZ2677" s="7"/>
    </row>
    <row r="2678" spans="2:78">
      <c r="B2678" s="7"/>
      <c r="O2678" s="7"/>
      <c r="X2678" s="7"/>
      <c r="AG2678" s="7"/>
      <c r="AP2678" s="7"/>
      <c r="AY2678" s="7"/>
      <c r="BH2678" s="7"/>
      <c r="BQ2678" s="7"/>
      <c r="BZ2678" s="7"/>
    </row>
    <row r="2679" spans="2:78">
      <c r="B2679" s="7"/>
      <c r="O2679" s="7"/>
      <c r="X2679" s="7"/>
      <c r="AG2679" s="7"/>
      <c r="AP2679" s="7"/>
      <c r="AY2679" s="7"/>
      <c r="BH2679" s="7"/>
      <c r="BQ2679" s="7"/>
      <c r="BZ2679" s="7"/>
    </row>
    <row r="2680" spans="2:78">
      <c r="B2680" s="7"/>
      <c r="O2680" s="7"/>
      <c r="X2680" s="7"/>
      <c r="AG2680" s="7"/>
      <c r="AP2680" s="7"/>
      <c r="AY2680" s="7"/>
      <c r="BH2680" s="7"/>
      <c r="BQ2680" s="7"/>
      <c r="BZ2680" s="7"/>
    </row>
    <row r="2681" spans="2:78">
      <c r="B2681" s="7"/>
      <c r="O2681" s="7"/>
      <c r="X2681" s="7"/>
      <c r="AG2681" s="7"/>
      <c r="AP2681" s="7"/>
      <c r="AY2681" s="7"/>
      <c r="BH2681" s="7"/>
      <c r="BQ2681" s="7"/>
      <c r="BZ2681" s="7"/>
    </row>
    <row r="2682" spans="2:78">
      <c r="B2682" s="7"/>
      <c r="O2682" s="7"/>
      <c r="X2682" s="7"/>
      <c r="AG2682" s="7"/>
      <c r="AP2682" s="7"/>
      <c r="AY2682" s="7"/>
      <c r="BH2682" s="7"/>
      <c r="BQ2682" s="7"/>
      <c r="BZ2682" s="7"/>
    </row>
    <row r="2683" spans="2:78">
      <c r="B2683" s="7"/>
      <c r="O2683" s="7"/>
      <c r="X2683" s="7"/>
      <c r="AG2683" s="7"/>
      <c r="AP2683" s="7"/>
      <c r="AY2683" s="7"/>
      <c r="BH2683" s="7"/>
      <c r="BQ2683" s="7"/>
      <c r="BZ2683" s="7"/>
    </row>
    <row r="2684" spans="2:78">
      <c r="B2684" s="7"/>
      <c r="O2684" s="7"/>
      <c r="X2684" s="7"/>
      <c r="AG2684" s="7"/>
      <c r="AP2684" s="7"/>
      <c r="AY2684" s="7"/>
      <c r="BH2684" s="7"/>
      <c r="BQ2684" s="7"/>
      <c r="BZ2684" s="7"/>
    </row>
    <row r="2685" spans="2:78">
      <c r="B2685" s="7"/>
      <c r="O2685" s="7"/>
      <c r="X2685" s="7"/>
      <c r="AG2685" s="7"/>
      <c r="AP2685" s="7"/>
      <c r="AY2685" s="7"/>
      <c r="BH2685" s="7"/>
      <c r="BQ2685" s="7"/>
      <c r="BZ2685" s="7"/>
    </row>
    <row r="2686" spans="2:78">
      <c r="B2686" s="7"/>
      <c r="O2686" s="7"/>
      <c r="X2686" s="7"/>
      <c r="AG2686" s="7"/>
      <c r="AP2686" s="7"/>
      <c r="AY2686" s="7"/>
      <c r="BH2686" s="7"/>
      <c r="BQ2686" s="7"/>
      <c r="BZ2686" s="7"/>
    </row>
    <row r="2687" spans="2:78">
      <c r="B2687" s="7"/>
      <c r="O2687" s="7"/>
      <c r="X2687" s="7"/>
      <c r="AG2687" s="7"/>
      <c r="AP2687" s="7"/>
      <c r="AY2687" s="7"/>
      <c r="BH2687" s="7"/>
      <c r="BQ2687" s="7"/>
      <c r="BZ2687" s="7"/>
    </row>
    <row r="2688" spans="2:78">
      <c r="B2688" s="7"/>
      <c r="O2688" s="7"/>
      <c r="X2688" s="7"/>
      <c r="AG2688" s="7"/>
      <c r="AP2688" s="7"/>
      <c r="AY2688" s="7"/>
      <c r="BH2688" s="7"/>
      <c r="BQ2688" s="7"/>
      <c r="BZ2688" s="7"/>
    </row>
    <row r="2689" spans="2:78">
      <c r="B2689" s="7"/>
      <c r="O2689" s="7"/>
      <c r="X2689" s="7"/>
      <c r="AG2689" s="7"/>
      <c r="AP2689" s="7"/>
      <c r="AY2689" s="7"/>
      <c r="BH2689" s="7"/>
      <c r="BQ2689" s="7"/>
      <c r="BZ2689" s="7"/>
    </row>
    <row r="2690" spans="2:78">
      <c r="B2690" s="7"/>
      <c r="O2690" s="7"/>
      <c r="X2690" s="7"/>
      <c r="AG2690" s="7"/>
      <c r="AP2690" s="7"/>
      <c r="AY2690" s="7"/>
      <c r="BH2690" s="7"/>
      <c r="BQ2690" s="7"/>
      <c r="BZ2690" s="7"/>
    </row>
    <row r="2691" spans="2:78">
      <c r="B2691" s="7"/>
      <c r="O2691" s="7"/>
      <c r="X2691" s="7"/>
      <c r="AG2691" s="7"/>
      <c r="AP2691" s="7"/>
      <c r="AY2691" s="7"/>
      <c r="BH2691" s="7"/>
      <c r="BQ2691" s="7"/>
      <c r="BZ2691" s="7"/>
    </row>
    <row r="2692" spans="2:78">
      <c r="B2692" s="7"/>
      <c r="O2692" s="7"/>
      <c r="X2692" s="7"/>
      <c r="AG2692" s="7"/>
      <c r="AP2692" s="7"/>
      <c r="AY2692" s="7"/>
      <c r="BH2692" s="7"/>
      <c r="BQ2692" s="7"/>
      <c r="BZ2692" s="7"/>
    </row>
    <row r="2693" spans="2:78">
      <c r="B2693" s="7"/>
      <c r="O2693" s="7"/>
      <c r="X2693" s="7"/>
      <c r="AG2693" s="7"/>
      <c r="AP2693" s="7"/>
      <c r="AY2693" s="7"/>
      <c r="BH2693" s="7"/>
      <c r="BQ2693" s="7"/>
      <c r="BZ2693" s="7"/>
    </row>
    <row r="2694" spans="2:78">
      <c r="B2694" s="7"/>
      <c r="O2694" s="7"/>
      <c r="X2694" s="7"/>
      <c r="AG2694" s="7"/>
      <c r="AP2694" s="7"/>
      <c r="AY2694" s="7"/>
      <c r="BH2694" s="7"/>
      <c r="BQ2694" s="7"/>
      <c r="BZ2694" s="7"/>
    </row>
    <row r="2695" spans="2:78">
      <c r="B2695" s="7"/>
      <c r="O2695" s="7"/>
      <c r="X2695" s="7"/>
      <c r="AG2695" s="7"/>
      <c r="AP2695" s="7"/>
      <c r="AY2695" s="7"/>
      <c r="BH2695" s="7"/>
      <c r="BQ2695" s="7"/>
      <c r="BZ2695" s="7"/>
    </row>
    <row r="2696" spans="2:78">
      <c r="B2696" s="7"/>
      <c r="O2696" s="7"/>
      <c r="X2696" s="7"/>
      <c r="AG2696" s="7"/>
      <c r="AP2696" s="7"/>
      <c r="AY2696" s="7"/>
      <c r="BH2696" s="7"/>
      <c r="BQ2696" s="7"/>
      <c r="BZ2696" s="7"/>
    </row>
    <row r="2697" spans="2:78">
      <c r="B2697" s="7"/>
      <c r="O2697" s="7"/>
      <c r="X2697" s="7"/>
      <c r="AG2697" s="7"/>
      <c r="AP2697" s="7"/>
      <c r="AY2697" s="7"/>
      <c r="BH2697" s="7"/>
      <c r="BQ2697" s="7"/>
      <c r="BZ2697" s="7"/>
    </row>
    <row r="2698" spans="2:78">
      <c r="B2698" s="7"/>
      <c r="O2698" s="7"/>
      <c r="X2698" s="7"/>
      <c r="AG2698" s="7"/>
      <c r="AP2698" s="7"/>
      <c r="AY2698" s="7"/>
      <c r="BH2698" s="7"/>
      <c r="BQ2698" s="7"/>
      <c r="BZ2698" s="7"/>
    </row>
    <row r="2699" spans="2:78">
      <c r="B2699" s="7"/>
      <c r="O2699" s="7"/>
      <c r="X2699" s="7"/>
      <c r="AG2699" s="7"/>
      <c r="AP2699" s="7"/>
      <c r="AY2699" s="7"/>
      <c r="BH2699" s="7"/>
      <c r="BQ2699" s="7"/>
      <c r="BZ2699" s="7"/>
    </row>
    <row r="2700" spans="2:78">
      <c r="B2700" s="7"/>
      <c r="O2700" s="7"/>
      <c r="X2700" s="7"/>
      <c r="AG2700" s="7"/>
      <c r="AP2700" s="7"/>
      <c r="AY2700" s="7"/>
      <c r="BH2700" s="7"/>
      <c r="BQ2700" s="7"/>
      <c r="BZ2700" s="7"/>
    </row>
    <row r="2701" spans="2:78">
      <c r="B2701" s="7"/>
      <c r="O2701" s="7"/>
      <c r="X2701" s="7"/>
      <c r="AG2701" s="7"/>
      <c r="AP2701" s="7"/>
      <c r="AY2701" s="7"/>
      <c r="BH2701" s="7"/>
      <c r="BQ2701" s="7"/>
      <c r="BZ2701" s="7"/>
    </row>
    <row r="2702" spans="2:78">
      <c r="B2702" s="7"/>
      <c r="O2702" s="7"/>
      <c r="X2702" s="7"/>
      <c r="AG2702" s="7"/>
      <c r="AP2702" s="7"/>
      <c r="AY2702" s="7"/>
      <c r="BH2702" s="7"/>
      <c r="BQ2702" s="7"/>
      <c r="BZ2702" s="7"/>
    </row>
    <row r="2703" spans="2:78">
      <c r="B2703" s="7"/>
      <c r="O2703" s="7"/>
      <c r="X2703" s="7"/>
      <c r="AG2703" s="7"/>
      <c r="AP2703" s="7"/>
      <c r="AY2703" s="7"/>
      <c r="BH2703" s="7"/>
      <c r="BQ2703" s="7"/>
      <c r="BZ2703" s="7"/>
    </row>
    <row r="2704" spans="2:78">
      <c r="B2704" s="7"/>
      <c r="O2704" s="7"/>
      <c r="X2704" s="7"/>
      <c r="AG2704" s="7"/>
      <c r="AP2704" s="7"/>
      <c r="AY2704" s="7"/>
      <c r="BH2704" s="7"/>
      <c r="BQ2704" s="7"/>
      <c r="BZ2704" s="7"/>
    </row>
    <row r="2705" spans="2:78">
      <c r="B2705" s="7"/>
      <c r="O2705" s="7"/>
      <c r="X2705" s="7"/>
      <c r="AG2705" s="7"/>
      <c r="AP2705" s="7"/>
      <c r="AY2705" s="7"/>
      <c r="BH2705" s="7"/>
      <c r="BQ2705" s="7"/>
      <c r="BZ2705" s="7"/>
    </row>
    <row r="2706" spans="2:78">
      <c r="B2706" s="7"/>
      <c r="O2706" s="7"/>
      <c r="X2706" s="7"/>
      <c r="AG2706" s="7"/>
      <c r="AP2706" s="7"/>
      <c r="AY2706" s="7"/>
      <c r="BH2706" s="7"/>
      <c r="BQ2706" s="7"/>
      <c r="BZ2706" s="7"/>
    </row>
    <row r="2707" spans="2:78">
      <c r="B2707" s="7"/>
      <c r="O2707" s="7"/>
      <c r="X2707" s="7"/>
      <c r="AG2707" s="7"/>
      <c r="AP2707" s="7"/>
      <c r="AY2707" s="7"/>
      <c r="BH2707" s="7"/>
      <c r="BQ2707" s="7"/>
      <c r="BZ2707" s="7"/>
    </row>
    <row r="2708" spans="2:78">
      <c r="B2708" s="7"/>
      <c r="O2708" s="7"/>
      <c r="X2708" s="7"/>
      <c r="AG2708" s="7"/>
      <c r="AP2708" s="7"/>
      <c r="AY2708" s="7"/>
      <c r="BH2708" s="7"/>
      <c r="BQ2708" s="7"/>
      <c r="BZ2708" s="7"/>
    </row>
    <row r="2709" spans="2:78">
      <c r="B2709" s="7"/>
      <c r="O2709" s="7"/>
      <c r="X2709" s="7"/>
      <c r="AG2709" s="7"/>
      <c r="AP2709" s="7"/>
      <c r="AY2709" s="7"/>
      <c r="BH2709" s="7"/>
      <c r="BQ2709" s="7"/>
      <c r="BZ2709" s="7"/>
    </row>
    <row r="2710" spans="2:78">
      <c r="B2710" s="7"/>
      <c r="O2710" s="7"/>
      <c r="X2710" s="7"/>
      <c r="AG2710" s="7"/>
      <c r="AP2710" s="7"/>
      <c r="AY2710" s="7"/>
      <c r="BH2710" s="7"/>
      <c r="BQ2710" s="7"/>
      <c r="BZ2710" s="7"/>
    </row>
    <row r="2711" spans="2:78">
      <c r="B2711" s="7"/>
      <c r="O2711" s="7"/>
      <c r="X2711" s="7"/>
      <c r="AG2711" s="7"/>
      <c r="AP2711" s="7"/>
      <c r="AY2711" s="7"/>
      <c r="BH2711" s="7"/>
      <c r="BQ2711" s="7"/>
      <c r="BZ2711" s="7"/>
    </row>
    <row r="2712" spans="2:78">
      <c r="B2712" s="7"/>
      <c r="O2712" s="7"/>
      <c r="X2712" s="7"/>
      <c r="AG2712" s="7"/>
      <c r="AP2712" s="7"/>
      <c r="AY2712" s="7"/>
      <c r="BH2712" s="7"/>
      <c r="BQ2712" s="7"/>
      <c r="BZ2712" s="7"/>
    </row>
    <row r="2713" spans="2:78">
      <c r="B2713" s="7"/>
      <c r="O2713" s="7"/>
      <c r="X2713" s="7"/>
      <c r="AG2713" s="7"/>
      <c r="AP2713" s="7"/>
      <c r="AY2713" s="7"/>
      <c r="BH2713" s="7"/>
      <c r="BQ2713" s="7"/>
      <c r="BZ2713" s="7"/>
    </row>
    <row r="2714" spans="2:78">
      <c r="B2714" s="7"/>
      <c r="O2714" s="7"/>
      <c r="X2714" s="7"/>
      <c r="AG2714" s="7"/>
      <c r="AP2714" s="7"/>
      <c r="AY2714" s="7"/>
      <c r="BH2714" s="7"/>
      <c r="BQ2714" s="7"/>
      <c r="BZ2714" s="7"/>
    </row>
    <row r="2715" spans="2:78">
      <c r="B2715" s="7"/>
      <c r="O2715" s="7"/>
      <c r="X2715" s="7"/>
      <c r="AG2715" s="7"/>
      <c r="AP2715" s="7"/>
      <c r="AY2715" s="7"/>
      <c r="BH2715" s="7"/>
      <c r="BQ2715" s="7"/>
      <c r="BZ2715" s="7"/>
    </row>
    <row r="2716" spans="2:78">
      <c r="B2716" s="7"/>
      <c r="O2716" s="7"/>
      <c r="X2716" s="7"/>
      <c r="AG2716" s="7"/>
      <c r="AP2716" s="7"/>
      <c r="AY2716" s="7"/>
      <c r="BH2716" s="7"/>
      <c r="BQ2716" s="7"/>
      <c r="BZ2716" s="7"/>
    </row>
    <row r="2717" spans="2:78">
      <c r="B2717" s="7"/>
      <c r="O2717" s="7"/>
      <c r="X2717" s="7"/>
      <c r="AG2717" s="7"/>
      <c r="AP2717" s="7"/>
      <c r="AY2717" s="7"/>
      <c r="BH2717" s="7"/>
      <c r="BQ2717" s="7"/>
      <c r="BZ2717" s="7"/>
    </row>
    <row r="2718" spans="2:78">
      <c r="B2718" s="7"/>
      <c r="O2718" s="7"/>
      <c r="X2718" s="7"/>
      <c r="AG2718" s="7"/>
      <c r="AP2718" s="7"/>
      <c r="AY2718" s="7"/>
      <c r="BH2718" s="7"/>
      <c r="BQ2718" s="7"/>
      <c r="BZ2718" s="7"/>
    </row>
    <row r="2719" spans="2:78">
      <c r="B2719" s="7"/>
      <c r="O2719" s="7"/>
      <c r="X2719" s="7"/>
      <c r="AG2719" s="7"/>
      <c r="AP2719" s="7"/>
      <c r="AY2719" s="7"/>
      <c r="BH2719" s="7"/>
      <c r="BQ2719" s="7"/>
      <c r="BZ2719" s="7"/>
    </row>
    <row r="2720" spans="2:78">
      <c r="B2720" s="7"/>
      <c r="O2720" s="7"/>
      <c r="X2720" s="7"/>
      <c r="AG2720" s="7"/>
      <c r="AP2720" s="7"/>
      <c r="AY2720" s="7"/>
      <c r="BH2720" s="7"/>
      <c r="BQ2720" s="7"/>
      <c r="BZ2720" s="7"/>
    </row>
    <row r="2721" spans="2:78">
      <c r="B2721" s="7"/>
      <c r="O2721" s="7"/>
      <c r="X2721" s="7"/>
      <c r="AG2721" s="7"/>
      <c r="AP2721" s="7"/>
      <c r="AY2721" s="7"/>
      <c r="BH2721" s="7"/>
      <c r="BQ2721" s="7"/>
      <c r="BZ2721" s="7"/>
    </row>
    <row r="2722" spans="2:78">
      <c r="B2722" s="7"/>
      <c r="O2722" s="7"/>
      <c r="X2722" s="7"/>
      <c r="AG2722" s="7"/>
      <c r="AP2722" s="7"/>
      <c r="AY2722" s="7"/>
      <c r="BH2722" s="7"/>
      <c r="BQ2722" s="7"/>
      <c r="BZ2722" s="7"/>
    </row>
    <row r="2723" spans="2:78">
      <c r="B2723" s="7"/>
      <c r="O2723" s="7"/>
      <c r="X2723" s="7"/>
      <c r="AG2723" s="7"/>
      <c r="AP2723" s="7"/>
      <c r="AY2723" s="7"/>
      <c r="BH2723" s="7"/>
      <c r="BQ2723" s="7"/>
      <c r="BZ2723" s="7"/>
    </row>
    <row r="2724" spans="2:78">
      <c r="B2724" s="7"/>
      <c r="O2724" s="7"/>
      <c r="X2724" s="7"/>
      <c r="AG2724" s="7"/>
      <c r="AP2724" s="7"/>
      <c r="AY2724" s="7"/>
      <c r="BH2724" s="7"/>
      <c r="BQ2724" s="7"/>
      <c r="BZ2724" s="7"/>
    </row>
    <row r="2725" spans="2:78">
      <c r="B2725" s="7"/>
      <c r="O2725" s="7"/>
      <c r="X2725" s="7"/>
      <c r="AG2725" s="7"/>
      <c r="AP2725" s="7"/>
      <c r="AY2725" s="7"/>
      <c r="BH2725" s="7"/>
      <c r="BQ2725" s="7"/>
      <c r="BZ2725" s="7"/>
    </row>
    <row r="2726" spans="2:78">
      <c r="B2726" s="7"/>
      <c r="O2726" s="7"/>
      <c r="X2726" s="7"/>
      <c r="AG2726" s="7"/>
      <c r="AP2726" s="7"/>
      <c r="AY2726" s="7"/>
      <c r="BH2726" s="7"/>
      <c r="BQ2726" s="7"/>
      <c r="BZ2726" s="7"/>
    </row>
    <row r="2727" spans="2:78">
      <c r="B2727" s="7"/>
      <c r="O2727" s="7"/>
      <c r="X2727" s="7"/>
      <c r="AG2727" s="7"/>
      <c r="AP2727" s="7"/>
      <c r="AY2727" s="7"/>
      <c r="BH2727" s="7"/>
      <c r="BQ2727" s="7"/>
      <c r="BZ2727" s="7"/>
    </row>
    <row r="2728" spans="2:78">
      <c r="B2728" s="7"/>
      <c r="O2728" s="7"/>
      <c r="X2728" s="7"/>
      <c r="AG2728" s="7"/>
      <c r="AP2728" s="7"/>
      <c r="AY2728" s="7"/>
      <c r="BH2728" s="7"/>
      <c r="BQ2728" s="7"/>
      <c r="BZ2728" s="7"/>
    </row>
    <row r="2729" spans="2:78">
      <c r="B2729" s="7"/>
      <c r="O2729" s="7"/>
      <c r="X2729" s="7"/>
      <c r="AG2729" s="7"/>
      <c r="AP2729" s="7"/>
      <c r="AY2729" s="7"/>
      <c r="BH2729" s="7"/>
      <c r="BQ2729" s="7"/>
      <c r="BZ2729" s="7"/>
    </row>
    <row r="2730" spans="2:78">
      <c r="B2730" s="7"/>
      <c r="O2730" s="7"/>
      <c r="X2730" s="7"/>
      <c r="AG2730" s="7"/>
      <c r="AP2730" s="7"/>
      <c r="AY2730" s="7"/>
      <c r="BH2730" s="7"/>
      <c r="BQ2730" s="7"/>
      <c r="BZ2730" s="7"/>
    </row>
    <row r="2731" spans="2:78">
      <c r="B2731" s="7"/>
      <c r="O2731" s="7"/>
      <c r="X2731" s="7"/>
      <c r="AG2731" s="7"/>
      <c r="AP2731" s="7"/>
      <c r="AY2731" s="7"/>
      <c r="BH2731" s="7"/>
      <c r="BQ2731" s="7"/>
      <c r="BZ2731" s="7"/>
    </row>
    <row r="2732" spans="2:78">
      <c r="B2732" s="7"/>
      <c r="O2732" s="7"/>
      <c r="X2732" s="7"/>
      <c r="AG2732" s="7"/>
      <c r="AP2732" s="7"/>
      <c r="AY2732" s="7"/>
      <c r="BH2732" s="7"/>
      <c r="BQ2732" s="7"/>
      <c r="BZ2732" s="7"/>
    </row>
    <row r="2733" spans="2:78">
      <c r="B2733" s="7"/>
      <c r="O2733" s="7"/>
      <c r="X2733" s="7"/>
      <c r="AG2733" s="7"/>
      <c r="AP2733" s="7"/>
      <c r="AY2733" s="7"/>
      <c r="BH2733" s="7"/>
      <c r="BQ2733" s="7"/>
      <c r="BZ2733" s="7"/>
    </row>
    <row r="2734" spans="2:78">
      <c r="B2734" s="7"/>
      <c r="O2734" s="7"/>
      <c r="X2734" s="7"/>
      <c r="AG2734" s="7"/>
      <c r="AP2734" s="7"/>
      <c r="AY2734" s="7"/>
      <c r="BH2734" s="7"/>
      <c r="BQ2734" s="7"/>
      <c r="BZ2734" s="7"/>
    </row>
    <row r="2735" spans="2:78">
      <c r="B2735" s="7"/>
      <c r="O2735" s="7"/>
      <c r="X2735" s="7"/>
      <c r="AG2735" s="7"/>
      <c r="AP2735" s="7"/>
      <c r="AY2735" s="7"/>
      <c r="BH2735" s="7"/>
      <c r="BQ2735" s="7"/>
      <c r="BZ2735" s="7"/>
    </row>
    <row r="2736" spans="2:78">
      <c r="B2736" s="7"/>
      <c r="O2736" s="7"/>
      <c r="X2736" s="7"/>
      <c r="AG2736" s="7"/>
      <c r="AP2736" s="7"/>
      <c r="AY2736" s="7"/>
      <c r="BH2736" s="7"/>
      <c r="BQ2736" s="7"/>
      <c r="BZ2736" s="7"/>
    </row>
    <row r="2737" spans="2:78">
      <c r="B2737" s="7"/>
      <c r="O2737" s="7"/>
      <c r="X2737" s="7"/>
      <c r="AG2737" s="7"/>
      <c r="AP2737" s="7"/>
      <c r="AY2737" s="7"/>
      <c r="BH2737" s="7"/>
      <c r="BQ2737" s="7"/>
      <c r="BZ2737" s="7"/>
    </row>
    <row r="2738" spans="2:78">
      <c r="B2738" s="7"/>
      <c r="O2738" s="7"/>
      <c r="X2738" s="7"/>
      <c r="AG2738" s="7"/>
      <c r="AP2738" s="7"/>
      <c r="AY2738" s="7"/>
      <c r="BH2738" s="7"/>
      <c r="BQ2738" s="7"/>
      <c r="BZ2738" s="7"/>
    </row>
    <row r="2739" spans="2:78">
      <c r="B2739" s="7"/>
      <c r="O2739" s="7"/>
      <c r="X2739" s="7"/>
      <c r="AG2739" s="7"/>
      <c r="AP2739" s="7"/>
      <c r="AY2739" s="7"/>
      <c r="BH2739" s="7"/>
      <c r="BQ2739" s="7"/>
      <c r="BZ2739" s="7"/>
    </row>
    <row r="2740" spans="2:78">
      <c r="B2740" s="7"/>
      <c r="O2740" s="7"/>
      <c r="X2740" s="7"/>
      <c r="AG2740" s="7"/>
      <c r="AP2740" s="7"/>
      <c r="AY2740" s="7"/>
      <c r="BH2740" s="7"/>
      <c r="BQ2740" s="7"/>
      <c r="BZ2740" s="7"/>
    </row>
    <row r="2741" spans="2:78">
      <c r="B2741" s="7"/>
      <c r="O2741" s="7"/>
      <c r="X2741" s="7"/>
      <c r="AG2741" s="7"/>
      <c r="AP2741" s="7"/>
      <c r="AY2741" s="7"/>
      <c r="BH2741" s="7"/>
      <c r="BQ2741" s="7"/>
      <c r="BZ2741" s="7"/>
    </row>
    <row r="2742" spans="2:78">
      <c r="B2742" s="7"/>
      <c r="O2742" s="7"/>
      <c r="X2742" s="7"/>
      <c r="AG2742" s="7"/>
      <c r="AP2742" s="7"/>
      <c r="AY2742" s="7"/>
      <c r="BH2742" s="7"/>
      <c r="BQ2742" s="7"/>
      <c r="BZ2742" s="7"/>
    </row>
    <row r="2743" spans="2:78">
      <c r="B2743" s="7"/>
      <c r="O2743" s="7"/>
      <c r="X2743" s="7"/>
      <c r="AG2743" s="7"/>
      <c r="AP2743" s="7"/>
      <c r="AY2743" s="7"/>
      <c r="BH2743" s="7"/>
      <c r="BQ2743" s="7"/>
      <c r="BZ2743" s="7"/>
    </row>
    <row r="2744" spans="2:78">
      <c r="B2744" s="7"/>
      <c r="O2744" s="7"/>
      <c r="X2744" s="7"/>
      <c r="AG2744" s="7"/>
      <c r="AP2744" s="7"/>
      <c r="AY2744" s="7"/>
      <c r="BH2744" s="7"/>
      <c r="BQ2744" s="7"/>
      <c r="BZ2744" s="7"/>
    </row>
    <row r="2745" spans="2:78">
      <c r="B2745" s="7"/>
      <c r="O2745" s="7"/>
      <c r="X2745" s="7"/>
      <c r="AG2745" s="7"/>
      <c r="AP2745" s="7"/>
      <c r="AY2745" s="7"/>
      <c r="BH2745" s="7"/>
      <c r="BQ2745" s="7"/>
      <c r="BZ2745" s="7"/>
    </row>
    <row r="2746" spans="2:78">
      <c r="B2746" s="7"/>
      <c r="O2746" s="7"/>
      <c r="X2746" s="7"/>
      <c r="AG2746" s="7"/>
      <c r="AP2746" s="7"/>
      <c r="AY2746" s="7"/>
      <c r="BH2746" s="7"/>
      <c r="BQ2746" s="7"/>
      <c r="BZ2746" s="7"/>
    </row>
    <row r="2747" spans="2:78">
      <c r="B2747" s="7"/>
      <c r="O2747" s="7"/>
      <c r="X2747" s="7"/>
      <c r="AG2747" s="7"/>
      <c r="AP2747" s="7"/>
      <c r="AY2747" s="7"/>
      <c r="BH2747" s="7"/>
      <c r="BQ2747" s="7"/>
      <c r="BZ2747" s="7"/>
    </row>
    <row r="2748" spans="2:78">
      <c r="B2748" s="7"/>
      <c r="O2748" s="7"/>
      <c r="X2748" s="7"/>
      <c r="AG2748" s="7"/>
      <c r="AP2748" s="7"/>
      <c r="AY2748" s="7"/>
      <c r="BH2748" s="7"/>
      <c r="BQ2748" s="7"/>
      <c r="BZ2748" s="7"/>
    </row>
    <row r="2749" spans="2:78">
      <c r="B2749" s="7"/>
      <c r="O2749" s="7"/>
      <c r="X2749" s="7"/>
      <c r="AG2749" s="7"/>
      <c r="AP2749" s="7"/>
      <c r="AY2749" s="7"/>
      <c r="BH2749" s="7"/>
      <c r="BQ2749" s="7"/>
      <c r="BZ2749" s="7"/>
    </row>
    <row r="2750" spans="2:78">
      <c r="B2750" s="7"/>
      <c r="O2750" s="7"/>
      <c r="X2750" s="7"/>
      <c r="AG2750" s="7"/>
      <c r="AP2750" s="7"/>
      <c r="AY2750" s="7"/>
      <c r="BH2750" s="7"/>
      <c r="BQ2750" s="7"/>
      <c r="BZ2750" s="7"/>
    </row>
    <row r="2751" spans="2:78">
      <c r="B2751" s="7"/>
      <c r="O2751" s="7"/>
      <c r="X2751" s="7"/>
      <c r="AG2751" s="7"/>
      <c r="AP2751" s="7"/>
      <c r="AY2751" s="7"/>
      <c r="BH2751" s="7"/>
      <c r="BQ2751" s="7"/>
      <c r="BZ2751" s="7"/>
    </row>
    <row r="2752" spans="2:78">
      <c r="B2752" s="7"/>
      <c r="O2752" s="7"/>
      <c r="X2752" s="7"/>
      <c r="AG2752" s="7"/>
      <c r="AP2752" s="7"/>
      <c r="AY2752" s="7"/>
      <c r="BH2752" s="7"/>
      <c r="BQ2752" s="7"/>
      <c r="BZ2752" s="7"/>
    </row>
    <row r="2753" spans="2:78">
      <c r="B2753" s="7"/>
      <c r="O2753" s="7"/>
      <c r="X2753" s="7"/>
      <c r="AG2753" s="7"/>
      <c r="AP2753" s="7"/>
      <c r="AY2753" s="7"/>
      <c r="BH2753" s="7"/>
      <c r="BQ2753" s="7"/>
      <c r="BZ2753" s="7"/>
    </row>
    <row r="2754" spans="2:78">
      <c r="B2754" s="7"/>
      <c r="O2754" s="7"/>
      <c r="X2754" s="7"/>
      <c r="AG2754" s="7"/>
      <c r="AP2754" s="7"/>
      <c r="AY2754" s="7"/>
      <c r="BH2754" s="7"/>
      <c r="BQ2754" s="7"/>
      <c r="BZ2754" s="7"/>
    </row>
    <row r="2755" spans="2:78">
      <c r="B2755" s="7"/>
      <c r="O2755" s="7"/>
      <c r="X2755" s="7"/>
      <c r="AG2755" s="7"/>
      <c r="AP2755" s="7"/>
      <c r="AY2755" s="7"/>
      <c r="BH2755" s="7"/>
      <c r="BQ2755" s="7"/>
      <c r="BZ2755" s="7"/>
    </row>
    <row r="2756" spans="2:78">
      <c r="B2756" s="7"/>
      <c r="O2756" s="7"/>
      <c r="X2756" s="7"/>
      <c r="AG2756" s="7"/>
      <c r="AP2756" s="7"/>
      <c r="AY2756" s="7"/>
      <c r="BH2756" s="7"/>
      <c r="BQ2756" s="7"/>
      <c r="BZ2756" s="7"/>
    </row>
    <row r="2757" spans="2:78">
      <c r="B2757" s="7"/>
      <c r="O2757" s="7"/>
      <c r="X2757" s="7"/>
      <c r="AG2757" s="7"/>
      <c r="AP2757" s="7"/>
      <c r="AY2757" s="7"/>
      <c r="BH2757" s="7"/>
      <c r="BQ2757" s="7"/>
      <c r="BZ2757" s="7"/>
    </row>
    <row r="2758" spans="2:78">
      <c r="B2758" s="7"/>
      <c r="O2758" s="7"/>
      <c r="X2758" s="7"/>
      <c r="AG2758" s="7"/>
      <c r="AP2758" s="7"/>
      <c r="AY2758" s="7"/>
      <c r="BH2758" s="7"/>
      <c r="BQ2758" s="7"/>
      <c r="BZ2758" s="7"/>
    </row>
    <row r="2759" spans="2:78">
      <c r="B2759" s="7"/>
      <c r="O2759" s="7"/>
      <c r="X2759" s="7"/>
      <c r="AG2759" s="7"/>
      <c r="AP2759" s="7"/>
      <c r="AY2759" s="7"/>
      <c r="BH2759" s="7"/>
      <c r="BQ2759" s="7"/>
      <c r="BZ2759" s="7"/>
    </row>
    <row r="2760" spans="2:78">
      <c r="B2760" s="7"/>
      <c r="O2760" s="7"/>
      <c r="X2760" s="7"/>
      <c r="AG2760" s="7"/>
      <c r="AP2760" s="7"/>
      <c r="AY2760" s="7"/>
      <c r="BH2760" s="7"/>
      <c r="BQ2760" s="7"/>
      <c r="BZ2760" s="7"/>
    </row>
    <row r="2761" spans="2:78">
      <c r="B2761" s="7"/>
      <c r="O2761" s="7"/>
      <c r="X2761" s="7"/>
      <c r="AG2761" s="7"/>
      <c r="AP2761" s="7"/>
      <c r="AY2761" s="7"/>
      <c r="BH2761" s="7"/>
      <c r="BQ2761" s="7"/>
      <c r="BZ2761" s="7"/>
    </row>
    <row r="2762" spans="2:78">
      <c r="B2762" s="7"/>
      <c r="O2762" s="7"/>
      <c r="X2762" s="7"/>
      <c r="AG2762" s="7"/>
      <c r="AP2762" s="7"/>
      <c r="AY2762" s="7"/>
      <c r="BH2762" s="7"/>
      <c r="BQ2762" s="7"/>
      <c r="BZ2762" s="7"/>
    </row>
    <row r="2763" spans="2:78">
      <c r="B2763" s="7"/>
      <c r="O2763" s="7"/>
      <c r="X2763" s="7"/>
      <c r="AG2763" s="7"/>
      <c r="AP2763" s="7"/>
      <c r="AY2763" s="7"/>
      <c r="BH2763" s="7"/>
      <c r="BQ2763" s="7"/>
      <c r="BZ2763" s="7"/>
    </row>
    <row r="2764" spans="2:78">
      <c r="B2764" s="7"/>
      <c r="O2764" s="7"/>
      <c r="X2764" s="7"/>
      <c r="AG2764" s="7"/>
      <c r="AP2764" s="7"/>
      <c r="AY2764" s="7"/>
      <c r="BH2764" s="7"/>
      <c r="BQ2764" s="7"/>
      <c r="BZ2764" s="7"/>
    </row>
    <row r="2765" spans="2:78">
      <c r="B2765" s="7"/>
      <c r="O2765" s="7"/>
      <c r="X2765" s="7"/>
      <c r="AG2765" s="7"/>
      <c r="AP2765" s="7"/>
      <c r="AY2765" s="7"/>
      <c r="BH2765" s="7"/>
      <c r="BQ2765" s="7"/>
      <c r="BZ2765" s="7"/>
    </row>
    <row r="2766" spans="2:78">
      <c r="B2766" s="7"/>
      <c r="O2766" s="7"/>
      <c r="X2766" s="7"/>
      <c r="AG2766" s="7"/>
      <c r="AP2766" s="7"/>
      <c r="AY2766" s="7"/>
      <c r="BH2766" s="7"/>
      <c r="BQ2766" s="7"/>
      <c r="BZ2766" s="7"/>
    </row>
    <row r="2767" spans="2:78">
      <c r="B2767" s="7"/>
      <c r="O2767" s="7"/>
      <c r="X2767" s="7"/>
      <c r="AG2767" s="7"/>
      <c r="AP2767" s="7"/>
      <c r="AY2767" s="7"/>
      <c r="BH2767" s="7"/>
      <c r="BQ2767" s="7"/>
      <c r="BZ2767" s="7"/>
    </row>
    <row r="2768" spans="2:78">
      <c r="B2768" s="7"/>
      <c r="O2768" s="7"/>
      <c r="X2768" s="7"/>
      <c r="AG2768" s="7"/>
      <c r="AP2768" s="7"/>
      <c r="AY2768" s="7"/>
      <c r="BH2768" s="7"/>
      <c r="BQ2768" s="7"/>
      <c r="BZ2768" s="7"/>
    </row>
    <row r="2769" spans="2:78">
      <c r="B2769" s="7"/>
      <c r="O2769" s="7"/>
      <c r="X2769" s="7"/>
      <c r="AG2769" s="7"/>
      <c r="AP2769" s="7"/>
      <c r="AY2769" s="7"/>
      <c r="BH2769" s="7"/>
      <c r="BQ2769" s="7"/>
      <c r="BZ2769" s="7"/>
    </row>
    <row r="2770" spans="2:78">
      <c r="B2770" s="7"/>
      <c r="O2770" s="7"/>
      <c r="X2770" s="7"/>
      <c r="AG2770" s="7"/>
      <c r="AP2770" s="7"/>
      <c r="AY2770" s="7"/>
      <c r="BH2770" s="7"/>
      <c r="BQ2770" s="7"/>
      <c r="BZ2770" s="7"/>
    </row>
    <row r="2771" spans="2:78">
      <c r="B2771" s="7"/>
      <c r="O2771" s="7"/>
      <c r="X2771" s="7"/>
      <c r="AG2771" s="7"/>
      <c r="AP2771" s="7"/>
      <c r="AY2771" s="7"/>
      <c r="BH2771" s="7"/>
      <c r="BQ2771" s="7"/>
      <c r="BZ2771" s="7"/>
    </row>
    <row r="2772" spans="2:78">
      <c r="B2772" s="7"/>
      <c r="O2772" s="7"/>
      <c r="X2772" s="7"/>
      <c r="AG2772" s="7"/>
      <c r="AP2772" s="7"/>
      <c r="AY2772" s="7"/>
      <c r="BH2772" s="7"/>
      <c r="BQ2772" s="7"/>
      <c r="BZ2772" s="7"/>
    </row>
    <row r="2773" spans="2:78">
      <c r="B2773" s="7"/>
      <c r="O2773" s="7"/>
      <c r="X2773" s="7"/>
      <c r="AG2773" s="7"/>
      <c r="AP2773" s="7"/>
      <c r="AY2773" s="7"/>
      <c r="BH2773" s="7"/>
      <c r="BQ2773" s="7"/>
      <c r="BZ2773" s="7"/>
    </row>
    <row r="2774" spans="2:78">
      <c r="B2774" s="7"/>
      <c r="O2774" s="7"/>
      <c r="X2774" s="7"/>
      <c r="AG2774" s="7"/>
      <c r="AP2774" s="7"/>
      <c r="AY2774" s="7"/>
      <c r="BH2774" s="7"/>
      <c r="BQ2774" s="7"/>
      <c r="BZ2774" s="7"/>
    </row>
    <row r="2775" spans="2:78">
      <c r="B2775" s="7"/>
      <c r="O2775" s="7"/>
      <c r="X2775" s="7"/>
      <c r="AG2775" s="7"/>
      <c r="AP2775" s="7"/>
      <c r="AY2775" s="7"/>
      <c r="BH2775" s="7"/>
      <c r="BQ2775" s="7"/>
      <c r="BZ2775" s="7"/>
    </row>
    <row r="2776" spans="2:78">
      <c r="B2776" s="7"/>
      <c r="O2776" s="7"/>
      <c r="X2776" s="7"/>
      <c r="AG2776" s="7"/>
      <c r="AP2776" s="7"/>
      <c r="AY2776" s="7"/>
      <c r="BH2776" s="7"/>
      <c r="BQ2776" s="7"/>
      <c r="BZ2776" s="7"/>
    </row>
    <row r="2777" spans="2:78">
      <c r="B2777" s="7"/>
      <c r="O2777" s="7"/>
      <c r="X2777" s="7"/>
      <c r="AG2777" s="7"/>
      <c r="AP2777" s="7"/>
      <c r="AY2777" s="7"/>
      <c r="BH2777" s="7"/>
      <c r="BQ2777" s="7"/>
      <c r="BZ2777" s="7"/>
    </row>
    <row r="2778" spans="2:78">
      <c r="B2778" s="7"/>
      <c r="O2778" s="7"/>
      <c r="X2778" s="7"/>
      <c r="AG2778" s="7"/>
      <c r="AP2778" s="7"/>
      <c r="AY2778" s="7"/>
      <c r="BH2778" s="7"/>
      <c r="BQ2778" s="7"/>
      <c r="BZ2778" s="7"/>
    </row>
    <row r="2779" spans="2:78">
      <c r="B2779" s="7"/>
      <c r="O2779" s="7"/>
      <c r="X2779" s="7"/>
      <c r="AG2779" s="7"/>
      <c r="AP2779" s="7"/>
      <c r="AY2779" s="7"/>
      <c r="BH2779" s="7"/>
      <c r="BQ2779" s="7"/>
      <c r="BZ2779" s="7"/>
    </row>
    <row r="2780" spans="2:78">
      <c r="B2780" s="7"/>
      <c r="O2780" s="7"/>
      <c r="X2780" s="7"/>
      <c r="AG2780" s="7"/>
      <c r="AP2780" s="7"/>
      <c r="AY2780" s="7"/>
      <c r="BH2780" s="7"/>
      <c r="BQ2780" s="7"/>
      <c r="BZ2780" s="7"/>
    </row>
    <row r="2781" spans="2:78">
      <c r="B2781" s="7"/>
      <c r="O2781" s="7"/>
      <c r="X2781" s="7"/>
      <c r="AG2781" s="7"/>
      <c r="AP2781" s="7"/>
      <c r="AY2781" s="7"/>
      <c r="BH2781" s="7"/>
      <c r="BQ2781" s="7"/>
      <c r="BZ2781" s="7"/>
    </row>
    <row r="2782" spans="2:78">
      <c r="B2782" s="7"/>
      <c r="O2782" s="7"/>
      <c r="X2782" s="7"/>
      <c r="AG2782" s="7"/>
      <c r="AP2782" s="7"/>
      <c r="AY2782" s="7"/>
      <c r="BH2782" s="7"/>
      <c r="BQ2782" s="7"/>
      <c r="BZ2782" s="7"/>
    </row>
    <row r="2783" spans="2:78">
      <c r="B2783" s="7"/>
      <c r="O2783" s="7"/>
      <c r="X2783" s="7"/>
      <c r="AG2783" s="7"/>
      <c r="AP2783" s="7"/>
      <c r="AY2783" s="7"/>
      <c r="BH2783" s="7"/>
      <c r="BQ2783" s="7"/>
      <c r="BZ2783" s="7"/>
    </row>
    <row r="2784" spans="2:78">
      <c r="B2784" s="7"/>
      <c r="O2784" s="7"/>
      <c r="X2784" s="7"/>
      <c r="AG2784" s="7"/>
      <c r="AP2784" s="7"/>
      <c r="AY2784" s="7"/>
      <c r="BH2784" s="7"/>
      <c r="BQ2784" s="7"/>
      <c r="BZ2784" s="7"/>
    </row>
    <row r="2785" spans="2:78">
      <c r="B2785" s="7"/>
      <c r="O2785" s="7"/>
      <c r="X2785" s="7"/>
      <c r="AG2785" s="7"/>
      <c r="AP2785" s="7"/>
      <c r="AY2785" s="7"/>
      <c r="BH2785" s="7"/>
      <c r="BQ2785" s="7"/>
      <c r="BZ2785" s="7"/>
    </row>
    <row r="2786" spans="2:78">
      <c r="B2786" s="7"/>
      <c r="O2786" s="7"/>
      <c r="X2786" s="7"/>
      <c r="AG2786" s="7"/>
      <c r="AP2786" s="7"/>
      <c r="AY2786" s="7"/>
      <c r="BH2786" s="7"/>
      <c r="BQ2786" s="7"/>
      <c r="BZ2786" s="7"/>
    </row>
    <row r="2787" spans="2:78">
      <c r="B2787" s="7"/>
      <c r="O2787" s="7"/>
      <c r="X2787" s="7"/>
      <c r="AG2787" s="7"/>
      <c r="AP2787" s="7"/>
      <c r="AY2787" s="7"/>
      <c r="BH2787" s="7"/>
      <c r="BQ2787" s="7"/>
      <c r="BZ2787" s="7"/>
    </row>
    <row r="2788" spans="2:78">
      <c r="B2788" s="7"/>
      <c r="O2788" s="7"/>
      <c r="X2788" s="7"/>
      <c r="AG2788" s="7"/>
      <c r="AP2788" s="7"/>
      <c r="AY2788" s="7"/>
      <c r="BH2788" s="7"/>
      <c r="BQ2788" s="7"/>
      <c r="BZ2788" s="7"/>
    </row>
    <row r="2789" spans="2:78">
      <c r="B2789" s="7"/>
      <c r="O2789" s="7"/>
      <c r="X2789" s="7"/>
      <c r="AG2789" s="7"/>
      <c r="AP2789" s="7"/>
      <c r="AY2789" s="7"/>
      <c r="BH2789" s="7"/>
      <c r="BQ2789" s="7"/>
      <c r="BZ2789" s="7"/>
    </row>
    <row r="2790" spans="2:78">
      <c r="B2790" s="7"/>
      <c r="O2790" s="7"/>
      <c r="X2790" s="7"/>
      <c r="AG2790" s="7"/>
      <c r="AP2790" s="7"/>
      <c r="AY2790" s="7"/>
      <c r="BH2790" s="7"/>
      <c r="BQ2790" s="7"/>
      <c r="BZ2790" s="7"/>
    </row>
    <row r="2791" spans="2:78">
      <c r="B2791" s="7"/>
      <c r="O2791" s="7"/>
      <c r="X2791" s="7"/>
      <c r="AG2791" s="7"/>
      <c r="AP2791" s="7"/>
      <c r="AY2791" s="7"/>
      <c r="BH2791" s="7"/>
      <c r="BQ2791" s="7"/>
      <c r="BZ2791" s="7"/>
    </row>
    <row r="2792" spans="2:78">
      <c r="B2792" s="7"/>
      <c r="O2792" s="7"/>
      <c r="X2792" s="7"/>
      <c r="AG2792" s="7"/>
      <c r="AP2792" s="7"/>
      <c r="AY2792" s="7"/>
      <c r="BH2792" s="7"/>
      <c r="BQ2792" s="7"/>
      <c r="BZ2792" s="7"/>
    </row>
    <row r="2793" spans="2:78">
      <c r="B2793" s="7"/>
      <c r="O2793" s="7"/>
      <c r="X2793" s="7"/>
      <c r="AG2793" s="7"/>
      <c r="AP2793" s="7"/>
      <c r="AY2793" s="7"/>
      <c r="BH2793" s="7"/>
      <c r="BQ2793" s="7"/>
      <c r="BZ2793" s="7"/>
    </row>
    <row r="2794" spans="2:78">
      <c r="B2794" s="7"/>
      <c r="O2794" s="7"/>
      <c r="X2794" s="7"/>
      <c r="AG2794" s="7"/>
      <c r="AP2794" s="7"/>
      <c r="AY2794" s="7"/>
      <c r="BH2794" s="7"/>
      <c r="BQ2794" s="7"/>
      <c r="BZ2794" s="7"/>
    </row>
    <row r="2795" spans="2:78">
      <c r="B2795" s="7"/>
      <c r="O2795" s="7"/>
      <c r="X2795" s="7"/>
      <c r="AG2795" s="7"/>
      <c r="AP2795" s="7"/>
      <c r="AY2795" s="7"/>
      <c r="BH2795" s="7"/>
      <c r="BQ2795" s="7"/>
      <c r="BZ2795" s="7"/>
    </row>
    <row r="2796" spans="2:78">
      <c r="B2796" s="7"/>
      <c r="O2796" s="7"/>
      <c r="X2796" s="7"/>
      <c r="AG2796" s="7"/>
      <c r="AP2796" s="7"/>
      <c r="AY2796" s="7"/>
      <c r="BH2796" s="7"/>
      <c r="BQ2796" s="7"/>
      <c r="BZ2796" s="7"/>
    </row>
    <row r="2797" spans="2:78">
      <c r="B2797" s="7"/>
      <c r="O2797" s="7"/>
      <c r="X2797" s="7"/>
      <c r="AG2797" s="7"/>
      <c r="AP2797" s="7"/>
      <c r="AY2797" s="7"/>
      <c r="BH2797" s="7"/>
      <c r="BQ2797" s="7"/>
      <c r="BZ2797" s="7"/>
    </row>
    <row r="2798" spans="2:78">
      <c r="B2798" s="7"/>
      <c r="O2798" s="7"/>
      <c r="X2798" s="7"/>
      <c r="AG2798" s="7"/>
      <c r="AP2798" s="7"/>
      <c r="AY2798" s="7"/>
      <c r="BH2798" s="7"/>
      <c r="BQ2798" s="7"/>
      <c r="BZ2798" s="7"/>
    </row>
    <row r="2799" spans="2:78">
      <c r="B2799" s="7"/>
      <c r="O2799" s="7"/>
      <c r="X2799" s="7"/>
      <c r="AG2799" s="7"/>
      <c r="AP2799" s="7"/>
      <c r="AY2799" s="7"/>
      <c r="BH2799" s="7"/>
      <c r="BQ2799" s="7"/>
      <c r="BZ2799" s="7"/>
    </row>
    <row r="2800" spans="2:78">
      <c r="B2800" s="7"/>
      <c r="O2800" s="7"/>
      <c r="X2800" s="7"/>
      <c r="AG2800" s="7"/>
      <c r="AP2800" s="7"/>
      <c r="AY2800" s="7"/>
      <c r="BH2800" s="7"/>
      <c r="BQ2800" s="7"/>
      <c r="BZ2800" s="7"/>
    </row>
    <row r="2801" spans="2:78">
      <c r="B2801" s="7"/>
      <c r="O2801" s="7"/>
      <c r="X2801" s="7"/>
      <c r="AG2801" s="7"/>
      <c r="AP2801" s="7"/>
      <c r="AY2801" s="7"/>
      <c r="BH2801" s="7"/>
      <c r="BQ2801" s="7"/>
      <c r="BZ2801" s="7"/>
    </row>
    <row r="2802" spans="2:78">
      <c r="B2802" s="7"/>
      <c r="O2802" s="7"/>
      <c r="X2802" s="7"/>
      <c r="AG2802" s="7"/>
      <c r="AP2802" s="7"/>
      <c r="AY2802" s="7"/>
      <c r="BH2802" s="7"/>
      <c r="BQ2802" s="7"/>
      <c r="BZ2802" s="7"/>
    </row>
    <row r="2803" spans="2:78">
      <c r="B2803" s="7"/>
      <c r="O2803" s="7"/>
      <c r="X2803" s="7"/>
      <c r="AG2803" s="7"/>
      <c r="AP2803" s="7"/>
      <c r="AY2803" s="7"/>
      <c r="BH2803" s="7"/>
      <c r="BQ2803" s="7"/>
      <c r="BZ2803" s="7"/>
    </row>
    <row r="2804" spans="2:78">
      <c r="B2804" s="7"/>
      <c r="O2804" s="7"/>
      <c r="X2804" s="7"/>
      <c r="AG2804" s="7"/>
      <c r="AP2804" s="7"/>
      <c r="AY2804" s="7"/>
      <c r="BH2804" s="7"/>
      <c r="BQ2804" s="7"/>
      <c r="BZ2804" s="7"/>
    </row>
    <row r="2805" spans="2:78">
      <c r="B2805" s="7"/>
      <c r="O2805" s="7"/>
      <c r="X2805" s="7"/>
      <c r="AG2805" s="7"/>
      <c r="AP2805" s="7"/>
      <c r="AY2805" s="7"/>
      <c r="BH2805" s="7"/>
      <c r="BQ2805" s="7"/>
      <c r="BZ2805" s="7"/>
    </row>
    <row r="2806" spans="2:78">
      <c r="B2806" s="7"/>
      <c r="O2806" s="7"/>
      <c r="X2806" s="7"/>
      <c r="AG2806" s="7"/>
      <c r="AP2806" s="7"/>
      <c r="AY2806" s="7"/>
      <c r="BH2806" s="7"/>
      <c r="BQ2806" s="7"/>
      <c r="BZ2806" s="7"/>
    </row>
    <row r="2807" spans="2:78">
      <c r="B2807" s="7"/>
      <c r="O2807" s="7"/>
      <c r="X2807" s="7"/>
      <c r="AG2807" s="7"/>
      <c r="AP2807" s="7"/>
      <c r="AY2807" s="7"/>
      <c r="BH2807" s="7"/>
      <c r="BQ2807" s="7"/>
      <c r="BZ2807" s="7"/>
    </row>
    <row r="2808" spans="2:78">
      <c r="B2808" s="7"/>
      <c r="O2808" s="7"/>
      <c r="X2808" s="7"/>
      <c r="AG2808" s="7"/>
      <c r="AP2808" s="7"/>
      <c r="AY2808" s="7"/>
      <c r="BH2808" s="7"/>
      <c r="BQ2808" s="7"/>
      <c r="BZ2808" s="7"/>
    </row>
    <row r="2809" spans="2:78">
      <c r="B2809" s="7"/>
      <c r="O2809" s="7"/>
      <c r="X2809" s="7"/>
      <c r="AG2809" s="7"/>
      <c r="AP2809" s="7"/>
      <c r="AY2809" s="7"/>
      <c r="BH2809" s="7"/>
      <c r="BQ2809" s="7"/>
      <c r="BZ2809" s="7"/>
    </row>
    <row r="2810" spans="2:78">
      <c r="B2810" s="7"/>
      <c r="O2810" s="7"/>
      <c r="X2810" s="7"/>
      <c r="AG2810" s="7"/>
      <c r="AP2810" s="7"/>
      <c r="AY2810" s="7"/>
      <c r="BH2810" s="7"/>
      <c r="BQ2810" s="7"/>
      <c r="BZ2810" s="7"/>
    </row>
    <row r="2811" spans="2:78">
      <c r="B2811" s="7"/>
      <c r="O2811" s="7"/>
      <c r="X2811" s="7"/>
      <c r="AG2811" s="7"/>
      <c r="AP2811" s="7"/>
      <c r="AY2811" s="7"/>
      <c r="BH2811" s="7"/>
      <c r="BQ2811" s="7"/>
      <c r="BZ2811" s="7"/>
    </row>
    <row r="2812" spans="2:78">
      <c r="B2812" s="7"/>
      <c r="O2812" s="7"/>
      <c r="X2812" s="7"/>
      <c r="AG2812" s="7"/>
      <c r="AP2812" s="7"/>
      <c r="AY2812" s="7"/>
      <c r="BH2812" s="7"/>
      <c r="BQ2812" s="7"/>
      <c r="BZ2812" s="7"/>
    </row>
    <row r="2813" spans="2:78">
      <c r="B2813" s="7"/>
      <c r="O2813" s="7"/>
      <c r="X2813" s="7"/>
      <c r="AG2813" s="7"/>
      <c r="AP2813" s="7"/>
      <c r="AY2813" s="7"/>
      <c r="BH2813" s="7"/>
      <c r="BQ2813" s="7"/>
      <c r="BZ2813" s="7"/>
    </row>
    <row r="2814" spans="2:78">
      <c r="B2814" s="7"/>
      <c r="O2814" s="7"/>
      <c r="X2814" s="7"/>
      <c r="AG2814" s="7"/>
      <c r="AP2814" s="7"/>
      <c r="AY2814" s="7"/>
      <c r="BH2814" s="7"/>
      <c r="BQ2814" s="7"/>
      <c r="BZ2814" s="7"/>
    </row>
    <row r="2815" spans="2:78">
      <c r="B2815" s="7"/>
      <c r="O2815" s="7"/>
      <c r="X2815" s="7"/>
      <c r="AG2815" s="7"/>
      <c r="AP2815" s="7"/>
      <c r="AY2815" s="7"/>
      <c r="BH2815" s="7"/>
      <c r="BQ2815" s="7"/>
      <c r="BZ2815" s="7"/>
    </row>
    <row r="2816" spans="2:78">
      <c r="B2816" s="7"/>
      <c r="O2816" s="7"/>
      <c r="X2816" s="7"/>
      <c r="AG2816" s="7"/>
      <c r="AP2816" s="7"/>
      <c r="AY2816" s="7"/>
      <c r="BH2816" s="7"/>
      <c r="BQ2816" s="7"/>
      <c r="BZ2816" s="7"/>
    </row>
    <row r="2817" spans="2:78">
      <c r="B2817" s="7"/>
      <c r="O2817" s="7"/>
      <c r="X2817" s="7"/>
      <c r="AG2817" s="7"/>
      <c r="AP2817" s="7"/>
      <c r="AY2817" s="7"/>
      <c r="BH2817" s="7"/>
      <c r="BQ2817" s="7"/>
      <c r="BZ2817" s="7"/>
    </row>
    <row r="2818" spans="2:78">
      <c r="B2818" s="7"/>
      <c r="O2818" s="7"/>
      <c r="X2818" s="7"/>
      <c r="AG2818" s="7"/>
      <c r="AP2818" s="7"/>
      <c r="AY2818" s="7"/>
      <c r="BH2818" s="7"/>
      <c r="BQ2818" s="7"/>
      <c r="BZ2818" s="7"/>
    </row>
    <row r="2819" spans="2:78">
      <c r="B2819" s="7"/>
      <c r="O2819" s="7"/>
      <c r="X2819" s="7"/>
      <c r="AG2819" s="7"/>
      <c r="AP2819" s="7"/>
      <c r="AY2819" s="7"/>
      <c r="BH2819" s="7"/>
      <c r="BQ2819" s="7"/>
      <c r="BZ2819" s="7"/>
    </row>
    <row r="2820" spans="2:78">
      <c r="B2820" s="7"/>
      <c r="O2820" s="7"/>
      <c r="X2820" s="7"/>
      <c r="AG2820" s="7"/>
      <c r="AP2820" s="7"/>
      <c r="AY2820" s="7"/>
      <c r="BH2820" s="7"/>
      <c r="BQ2820" s="7"/>
      <c r="BZ2820" s="7"/>
    </row>
    <row r="2821" spans="2:78">
      <c r="B2821" s="7"/>
      <c r="O2821" s="7"/>
      <c r="X2821" s="7"/>
      <c r="AG2821" s="7"/>
      <c r="AP2821" s="7"/>
      <c r="AY2821" s="7"/>
      <c r="BH2821" s="7"/>
      <c r="BQ2821" s="7"/>
      <c r="BZ2821" s="7"/>
    </row>
    <row r="2822" spans="2:78">
      <c r="B2822" s="7"/>
      <c r="O2822" s="7"/>
      <c r="X2822" s="7"/>
      <c r="AG2822" s="7"/>
      <c r="AP2822" s="7"/>
      <c r="AY2822" s="7"/>
      <c r="BH2822" s="7"/>
      <c r="BQ2822" s="7"/>
      <c r="BZ2822" s="7"/>
    </row>
    <row r="2823" spans="2:78">
      <c r="B2823" s="7"/>
      <c r="O2823" s="7"/>
      <c r="X2823" s="7"/>
      <c r="AG2823" s="7"/>
      <c r="AP2823" s="7"/>
      <c r="AY2823" s="7"/>
      <c r="BH2823" s="7"/>
      <c r="BQ2823" s="7"/>
      <c r="BZ2823" s="7"/>
    </row>
    <row r="2824" spans="2:78">
      <c r="B2824" s="7"/>
      <c r="O2824" s="7"/>
      <c r="X2824" s="7"/>
      <c r="AG2824" s="7"/>
      <c r="AP2824" s="7"/>
      <c r="AY2824" s="7"/>
      <c r="BH2824" s="7"/>
      <c r="BQ2824" s="7"/>
      <c r="BZ2824" s="7"/>
    </row>
    <row r="2825" spans="2:78">
      <c r="B2825" s="7"/>
      <c r="O2825" s="7"/>
      <c r="X2825" s="7"/>
      <c r="AG2825" s="7"/>
      <c r="AP2825" s="7"/>
      <c r="AY2825" s="7"/>
      <c r="BH2825" s="7"/>
      <c r="BQ2825" s="7"/>
      <c r="BZ2825" s="7"/>
    </row>
    <row r="2826" spans="2:78">
      <c r="B2826" s="7"/>
      <c r="O2826" s="7"/>
      <c r="X2826" s="7"/>
      <c r="AG2826" s="7"/>
      <c r="AP2826" s="7"/>
      <c r="AY2826" s="7"/>
      <c r="BH2826" s="7"/>
      <c r="BQ2826" s="7"/>
      <c r="BZ2826" s="7"/>
    </row>
    <row r="2827" spans="2:78">
      <c r="B2827" s="7"/>
      <c r="O2827" s="7"/>
      <c r="X2827" s="7"/>
      <c r="AG2827" s="7"/>
      <c r="AP2827" s="7"/>
      <c r="AY2827" s="7"/>
      <c r="BH2827" s="7"/>
      <c r="BQ2827" s="7"/>
      <c r="BZ2827" s="7"/>
    </row>
    <row r="2828" spans="2:78">
      <c r="B2828" s="7"/>
      <c r="O2828" s="7"/>
      <c r="X2828" s="7"/>
      <c r="AG2828" s="7"/>
      <c r="AP2828" s="7"/>
      <c r="AY2828" s="7"/>
      <c r="BH2828" s="7"/>
      <c r="BQ2828" s="7"/>
      <c r="BZ2828" s="7"/>
    </row>
    <row r="2829" spans="2:78">
      <c r="B2829" s="7"/>
      <c r="O2829" s="7"/>
      <c r="X2829" s="7"/>
      <c r="AG2829" s="7"/>
      <c r="AP2829" s="7"/>
      <c r="AY2829" s="7"/>
      <c r="BH2829" s="7"/>
      <c r="BQ2829" s="7"/>
      <c r="BZ2829" s="7"/>
    </row>
    <row r="2830" spans="2:78">
      <c r="B2830" s="7"/>
      <c r="O2830" s="7"/>
      <c r="X2830" s="7"/>
      <c r="AG2830" s="7"/>
      <c r="AP2830" s="7"/>
      <c r="AY2830" s="7"/>
      <c r="BH2830" s="7"/>
      <c r="BQ2830" s="7"/>
      <c r="BZ2830" s="7"/>
    </row>
    <row r="2831" spans="2:78">
      <c r="B2831" s="7"/>
      <c r="O2831" s="7"/>
      <c r="X2831" s="7"/>
      <c r="AG2831" s="7"/>
      <c r="AP2831" s="7"/>
      <c r="AY2831" s="7"/>
      <c r="BH2831" s="7"/>
      <c r="BQ2831" s="7"/>
      <c r="BZ2831" s="7"/>
    </row>
    <row r="2832" spans="2:78">
      <c r="B2832" s="7"/>
      <c r="O2832" s="7"/>
      <c r="X2832" s="7"/>
      <c r="AG2832" s="7"/>
      <c r="AP2832" s="7"/>
      <c r="AY2832" s="7"/>
      <c r="BH2832" s="7"/>
      <c r="BQ2832" s="7"/>
      <c r="BZ2832" s="7"/>
    </row>
    <row r="2833" spans="2:78">
      <c r="B2833" s="7"/>
      <c r="O2833" s="7"/>
      <c r="X2833" s="7"/>
      <c r="AG2833" s="7"/>
      <c r="AP2833" s="7"/>
      <c r="AY2833" s="7"/>
      <c r="BH2833" s="7"/>
      <c r="BQ2833" s="7"/>
      <c r="BZ2833" s="7"/>
    </row>
    <row r="2834" spans="2:78">
      <c r="B2834" s="7"/>
      <c r="O2834" s="7"/>
      <c r="X2834" s="7"/>
      <c r="AG2834" s="7"/>
      <c r="AP2834" s="7"/>
      <c r="AY2834" s="7"/>
      <c r="BH2834" s="7"/>
      <c r="BQ2834" s="7"/>
      <c r="BZ2834" s="7"/>
    </row>
    <row r="2835" spans="2:78">
      <c r="B2835" s="7"/>
      <c r="O2835" s="7"/>
      <c r="X2835" s="7"/>
      <c r="AG2835" s="7"/>
      <c r="AP2835" s="7"/>
      <c r="AY2835" s="7"/>
      <c r="BH2835" s="7"/>
      <c r="BQ2835" s="7"/>
      <c r="BZ2835" s="7"/>
    </row>
    <row r="2836" spans="2:78">
      <c r="B2836" s="7"/>
      <c r="O2836" s="7"/>
      <c r="X2836" s="7"/>
      <c r="AG2836" s="7"/>
      <c r="AP2836" s="7"/>
      <c r="AY2836" s="7"/>
      <c r="BH2836" s="7"/>
      <c r="BQ2836" s="7"/>
      <c r="BZ2836" s="7"/>
    </row>
    <row r="2837" spans="2:78">
      <c r="B2837" s="7"/>
      <c r="O2837" s="7"/>
      <c r="X2837" s="7"/>
      <c r="AG2837" s="7"/>
      <c r="AP2837" s="7"/>
      <c r="AY2837" s="7"/>
      <c r="BH2837" s="7"/>
      <c r="BQ2837" s="7"/>
      <c r="BZ2837" s="7"/>
    </row>
    <row r="2838" spans="2:78">
      <c r="B2838" s="7"/>
      <c r="O2838" s="7"/>
      <c r="X2838" s="7"/>
      <c r="AG2838" s="7"/>
      <c r="AP2838" s="7"/>
      <c r="AY2838" s="7"/>
      <c r="BH2838" s="7"/>
      <c r="BQ2838" s="7"/>
      <c r="BZ2838" s="7"/>
    </row>
    <row r="2839" spans="2:78">
      <c r="B2839" s="7"/>
      <c r="O2839" s="7"/>
      <c r="X2839" s="7"/>
      <c r="AG2839" s="7"/>
      <c r="AP2839" s="7"/>
      <c r="AY2839" s="7"/>
      <c r="BH2839" s="7"/>
      <c r="BQ2839" s="7"/>
      <c r="BZ2839" s="7"/>
    </row>
    <row r="2840" spans="2:78">
      <c r="B2840" s="7"/>
      <c r="O2840" s="7"/>
      <c r="X2840" s="7"/>
      <c r="AG2840" s="7"/>
      <c r="AP2840" s="7"/>
      <c r="AY2840" s="7"/>
      <c r="BH2840" s="7"/>
      <c r="BQ2840" s="7"/>
      <c r="BZ2840" s="7"/>
    </row>
    <row r="2841" spans="2:78">
      <c r="B2841" s="7"/>
      <c r="O2841" s="7"/>
      <c r="X2841" s="7"/>
      <c r="AG2841" s="7"/>
      <c r="AP2841" s="7"/>
      <c r="AY2841" s="7"/>
      <c r="BH2841" s="7"/>
      <c r="BQ2841" s="7"/>
      <c r="BZ2841" s="7"/>
    </row>
    <row r="2842" spans="2:78">
      <c r="B2842" s="7"/>
      <c r="O2842" s="7"/>
      <c r="X2842" s="7"/>
      <c r="AG2842" s="7"/>
      <c r="AP2842" s="7"/>
      <c r="AY2842" s="7"/>
      <c r="BH2842" s="7"/>
      <c r="BQ2842" s="7"/>
      <c r="BZ2842" s="7"/>
    </row>
    <row r="2843" spans="2:78">
      <c r="B2843" s="7"/>
      <c r="O2843" s="7"/>
      <c r="X2843" s="7"/>
      <c r="AG2843" s="7"/>
      <c r="AP2843" s="7"/>
      <c r="AY2843" s="7"/>
      <c r="BH2843" s="7"/>
      <c r="BQ2843" s="7"/>
      <c r="BZ2843" s="7"/>
    </row>
    <row r="2844" spans="2:78">
      <c r="B2844" s="7"/>
      <c r="O2844" s="7"/>
      <c r="X2844" s="7"/>
      <c r="AG2844" s="7"/>
      <c r="AP2844" s="7"/>
      <c r="AY2844" s="7"/>
      <c r="BH2844" s="7"/>
      <c r="BQ2844" s="7"/>
      <c r="BZ2844" s="7"/>
    </row>
    <row r="2845" spans="2:78">
      <c r="B2845" s="7"/>
      <c r="O2845" s="7"/>
      <c r="X2845" s="7"/>
      <c r="AG2845" s="7"/>
      <c r="AP2845" s="7"/>
      <c r="AY2845" s="7"/>
      <c r="BH2845" s="7"/>
      <c r="BQ2845" s="7"/>
      <c r="BZ2845" s="7"/>
    </row>
    <row r="2846" spans="2:78">
      <c r="B2846" s="7"/>
      <c r="O2846" s="7"/>
      <c r="X2846" s="7"/>
      <c r="AG2846" s="7"/>
      <c r="AP2846" s="7"/>
      <c r="AY2846" s="7"/>
      <c r="BH2846" s="7"/>
      <c r="BQ2846" s="7"/>
      <c r="BZ2846" s="7"/>
    </row>
    <row r="2847" spans="2:78">
      <c r="B2847" s="7"/>
      <c r="O2847" s="7"/>
      <c r="X2847" s="7"/>
      <c r="AG2847" s="7"/>
      <c r="AP2847" s="7"/>
      <c r="AY2847" s="7"/>
      <c r="BH2847" s="7"/>
      <c r="BQ2847" s="7"/>
      <c r="BZ2847" s="7"/>
    </row>
    <row r="2848" spans="2:78">
      <c r="B2848" s="7"/>
      <c r="O2848" s="7"/>
      <c r="X2848" s="7"/>
      <c r="AG2848" s="7"/>
      <c r="AP2848" s="7"/>
      <c r="AY2848" s="7"/>
      <c r="BH2848" s="7"/>
      <c r="BQ2848" s="7"/>
      <c r="BZ2848" s="7"/>
    </row>
    <row r="2849" spans="2:78">
      <c r="B2849" s="7"/>
      <c r="O2849" s="7"/>
      <c r="X2849" s="7"/>
      <c r="AG2849" s="7"/>
      <c r="AP2849" s="7"/>
      <c r="AY2849" s="7"/>
      <c r="BH2849" s="7"/>
      <c r="BQ2849" s="7"/>
      <c r="BZ2849" s="7"/>
    </row>
    <row r="2850" spans="2:78">
      <c r="B2850" s="7"/>
      <c r="O2850" s="7"/>
      <c r="X2850" s="7"/>
      <c r="AG2850" s="7"/>
      <c r="AP2850" s="7"/>
      <c r="AY2850" s="7"/>
      <c r="BH2850" s="7"/>
      <c r="BQ2850" s="7"/>
      <c r="BZ2850" s="7"/>
    </row>
    <row r="2851" spans="2:78">
      <c r="B2851" s="7"/>
      <c r="O2851" s="7"/>
      <c r="X2851" s="7"/>
      <c r="AG2851" s="7"/>
      <c r="AP2851" s="7"/>
      <c r="AY2851" s="7"/>
      <c r="BH2851" s="7"/>
      <c r="BQ2851" s="7"/>
      <c r="BZ2851" s="7"/>
    </row>
    <row r="2852" spans="2:78">
      <c r="B2852" s="7"/>
      <c r="O2852" s="7"/>
      <c r="X2852" s="7"/>
      <c r="AG2852" s="7"/>
      <c r="AP2852" s="7"/>
      <c r="AY2852" s="7"/>
      <c r="BH2852" s="7"/>
      <c r="BQ2852" s="7"/>
      <c r="BZ2852" s="7"/>
    </row>
    <row r="2853" spans="2:78">
      <c r="B2853" s="7"/>
      <c r="O2853" s="7"/>
      <c r="X2853" s="7"/>
      <c r="AG2853" s="7"/>
      <c r="AP2853" s="7"/>
      <c r="AY2853" s="7"/>
      <c r="BH2853" s="7"/>
      <c r="BQ2853" s="7"/>
      <c r="BZ2853" s="7"/>
    </row>
    <row r="2854" spans="2:78">
      <c r="B2854" s="7"/>
      <c r="O2854" s="7"/>
      <c r="X2854" s="7"/>
      <c r="AG2854" s="7"/>
      <c r="AP2854" s="7"/>
      <c r="AY2854" s="7"/>
      <c r="BH2854" s="7"/>
      <c r="BQ2854" s="7"/>
      <c r="BZ2854" s="7"/>
    </row>
    <row r="2855" spans="2:78">
      <c r="B2855" s="7"/>
      <c r="O2855" s="7"/>
      <c r="X2855" s="7"/>
      <c r="AG2855" s="7"/>
      <c r="AP2855" s="7"/>
      <c r="AY2855" s="7"/>
      <c r="BH2855" s="7"/>
      <c r="BQ2855" s="7"/>
      <c r="BZ2855" s="7"/>
    </row>
    <row r="2856" spans="2:78">
      <c r="B2856" s="7"/>
      <c r="O2856" s="7"/>
      <c r="X2856" s="7"/>
      <c r="AG2856" s="7"/>
      <c r="AP2856" s="7"/>
      <c r="AY2856" s="7"/>
      <c r="BH2856" s="7"/>
      <c r="BQ2856" s="7"/>
      <c r="BZ2856" s="7"/>
    </row>
    <row r="2857" spans="2:78">
      <c r="B2857" s="7"/>
      <c r="O2857" s="7"/>
      <c r="X2857" s="7"/>
      <c r="AG2857" s="7"/>
      <c r="AP2857" s="7"/>
      <c r="AY2857" s="7"/>
      <c r="BH2857" s="7"/>
      <c r="BQ2857" s="7"/>
      <c r="BZ2857" s="7"/>
    </row>
    <row r="2858" spans="2:78">
      <c r="B2858" s="7"/>
      <c r="O2858" s="7"/>
      <c r="X2858" s="7"/>
      <c r="AG2858" s="7"/>
      <c r="AP2858" s="7"/>
      <c r="AY2858" s="7"/>
      <c r="BH2858" s="7"/>
      <c r="BQ2858" s="7"/>
      <c r="BZ2858" s="7"/>
    </row>
    <row r="2859" spans="2:78">
      <c r="B2859" s="7"/>
      <c r="O2859" s="7"/>
      <c r="X2859" s="7"/>
      <c r="AG2859" s="7"/>
      <c r="AP2859" s="7"/>
      <c r="AY2859" s="7"/>
      <c r="BH2859" s="7"/>
      <c r="BQ2859" s="7"/>
      <c r="BZ2859" s="7"/>
    </row>
    <row r="2860" spans="2:78">
      <c r="B2860" s="7"/>
      <c r="O2860" s="7"/>
      <c r="X2860" s="7"/>
      <c r="AG2860" s="7"/>
      <c r="AP2860" s="7"/>
      <c r="AY2860" s="7"/>
      <c r="BH2860" s="7"/>
      <c r="BQ2860" s="7"/>
      <c r="BZ2860" s="7"/>
    </row>
    <row r="2861" spans="2:78">
      <c r="B2861" s="7"/>
      <c r="O2861" s="7"/>
      <c r="X2861" s="7"/>
      <c r="AG2861" s="7"/>
      <c r="AP2861" s="7"/>
      <c r="AY2861" s="7"/>
      <c r="BH2861" s="7"/>
      <c r="BQ2861" s="7"/>
      <c r="BZ2861" s="7"/>
    </row>
    <row r="2862" spans="2:78">
      <c r="B2862" s="7"/>
      <c r="O2862" s="7"/>
      <c r="X2862" s="7"/>
      <c r="AG2862" s="7"/>
      <c r="AP2862" s="7"/>
      <c r="AY2862" s="7"/>
      <c r="BH2862" s="7"/>
      <c r="BQ2862" s="7"/>
      <c r="BZ2862" s="7"/>
    </row>
    <row r="2863" spans="2:78">
      <c r="B2863" s="7"/>
      <c r="O2863" s="7"/>
      <c r="X2863" s="7"/>
      <c r="AG2863" s="7"/>
      <c r="AP2863" s="7"/>
      <c r="AY2863" s="7"/>
      <c r="BH2863" s="7"/>
      <c r="BQ2863" s="7"/>
      <c r="BZ2863" s="7"/>
    </row>
    <row r="2864" spans="2:78">
      <c r="B2864" s="7"/>
      <c r="O2864" s="7"/>
      <c r="X2864" s="7"/>
      <c r="AG2864" s="7"/>
      <c r="AP2864" s="7"/>
      <c r="AY2864" s="7"/>
      <c r="BH2864" s="7"/>
      <c r="BQ2864" s="7"/>
      <c r="BZ2864" s="7"/>
    </row>
    <row r="2865" spans="2:78">
      <c r="B2865" s="7"/>
      <c r="O2865" s="7"/>
      <c r="X2865" s="7"/>
      <c r="AG2865" s="7"/>
      <c r="AP2865" s="7"/>
      <c r="AY2865" s="7"/>
      <c r="BH2865" s="7"/>
      <c r="BQ2865" s="7"/>
      <c r="BZ2865" s="7"/>
    </row>
    <row r="2866" spans="2:78">
      <c r="B2866" s="7"/>
      <c r="O2866" s="7"/>
      <c r="X2866" s="7"/>
      <c r="AG2866" s="7"/>
      <c r="AP2866" s="7"/>
      <c r="AY2866" s="7"/>
      <c r="BH2866" s="7"/>
      <c r="BQ2866" s="7"/>
      <c r="BZ2866" s="7"/>
    </row>
    <row r="2867" spans="2:78">
      <c r="B2867" s="7"/>
      <c r="O2867" s="7"/>
      <c r="X2867" s="7"/>
      <c r="AG2867" s="7"/>
      <c r="AP2867" s="7"/>
      <c r="AY2867" s="7"/>
      <c r="BH2867" s="7"/>
      <c r="BQ2867" s="7"/>
      <c r="BZ2867" s="7"/>
    </row>
    <row r="2868" spans="2:78">
      <c r="B2868" s="7"/>
      <c r="O2868" s="7"/>
      <c r="X2868" s="7"/>
      <c r="AG2868" s="7"/>
      <c r="AP2868" s="7"/>
      <c r="AY2868" s="7"/>
      <c r="BH2868" s="7"/>
      <c r="BQ2868" s="7"/>
      <c r="BZ2868" s="7"/>
    </row>
    <row r="2869" spans="2:78">
      <c r="B2869" s="7"/>
      <c r="O2869" s="7"/>
      <c r="X2869" s="7"/>
      <c r="AG2869" s="7"/>
      <c r="AP2869" s="7"/>
      <c r="AY2869" s="7"/>
      <c r="BH2869" s="7"/>
      <c r="BQ2869" s="7"/>
      <c r="BZ2869" s="7"/>
    </row>
    <row r="2870" spans="2:78">
      <c r="B2870" s="7"/>
      <c r="O2870" s="7"/>
      <c r="X2870" s="7"/>
      <c r="AG2870" s="7"/>
      <c r="AP2870" s="7"/>
      <c r="AY2870" s="7"/>
      <c r="BH2870" s="7"/>
      <c r="BQ2870" s="7"/>
      <c r="BZ2870" s="7"/>
    </row>
    <row r="2871" spans="2:78">
      <c r="B2871" s="7"/>
      <c r="O2871" s="7"/>
      <c r="X2871" s="7"/>
      <c r="AG2871" s="7"/>
      <c r="AP2871" s="7"/>
      <c r="AY2871" s="7"/>
      <c r="BH2871" s="7"/>
      <c r="BQ2871" s="7"/>
      <c r="BZ2871" s="7"/>
    </row>
    <row r="2872" spans="2:78">
      <c r="B2872" s="7"/>
      <c r="O2872" s="7"/>
      <c r="X2872" s="7"/>
      <c r="AG2872" s="7"/>
      <c r="AP2872" s="7"/>
      <c r="AY2872" s="7"/>
      <c r="BH2872" s="7"/>
      <c r="BQ2872" s="7"/>
      <c r="BZ2872" s="7"/>
    </row>
    <row r="2873" spans="2:78">
      <c r="B2873" s="7"/>
      <c r="O2873" s="7"/>
      <c r="X2873" s="7"/>
      <c r="AG2873" s="7"/>
      <c r="AP2873" s="7"/>
      <c r="AY2873" s="7"/>
      <c r="BH2873" s="7"/>
      <c r="BQ2873" s="7"/>
      <c r="BZ2873" s="7"/>
    </row>
    <row r="2874" spans="2:78">
      <c r="B2874" s="7"/>
      <c r="O2874" s="7"/>
      <c r="X2874" s="7"/>
      <c r="AG2874" s="7"/>
      <c r="AP2874" s="7"/>
      <c r="AY2874" s="7"/>
      <c r="BH2874" s="7"/>
      <c r="BQ2874" s="7"/>
      <c r="BZ2874" s="7"/>
    </row>
    <row r="2875" spans="2:78">
      <c r="B2875" s="7"/>
      <c r="O2875" s="7"/>
      <c r="X2875" s="7"/>
      <c r="AG2875" s="7"/>
      <c r="AP2875" s="7"/>
      <c r="AY2875" s="7"/>
      <c r="BH2875" s="7"/>
      <c r="BQ2875" s="7"/>
      <c r="BZ2875" s="7"/>
    </row>
    <row r="2876" spans="2:78">
      <c r="B2876" s="7"/>
      <c r="O2876" s="7"/>
      <c r="X2876" s="7"/>
      <c r="AG2876" s="7"/>
      <c r="AP2876" s="7"/>
      <c r="AY2876" s="7"/>
      <c r="BH2876" s="7"/>
      <c r="BQ2876" s="7"/>
      <c r="BZ2876" s="7"/>
    </row>
    <row r="2877" spans="2:78">
      <c r="B2877" s="7"/>
      <c r="O2877" s="7"/>
      <c r="X2877" s="7"/>
      <c r="AG2877" s="7"/>
      <c r="AP2877" s="7"/>
      <c r="AY2877" s="7"/>
      <c r="BH2877" s="7"/>
      <c r="BQ2877" s="7"/>
      <c r="BZ2877" s="7"/>
    </row>
    <row r="2878" spans="2:78">
      <c r="B2878" s="7"/>
      <c r="O2878" s="7"/>
      <c r="X2878" s="7"/>
      <c r="AG2878" s="7"/>
      <c r="AP2878" s="7"/>
      <c r="AY2878" s="7"/>
      <c r="BH2878" s="7"/>
      <c r="BQ2878" s="7"/>
      <c r="BZ2878" s="7"/>
    </row>
    <row r="2879" spans="2:78">
      <c r="B2879" s="7"/>
      <c r="O2879" s="7"/>
      <c r="X2879" s="7"/>
      <c r="AG2879" s="7"/>
      <c r="AP2879" s="7"/>
      <c r="AY2879" s="7"/>
      <c r="BH2879" s="7"/>
      <c r="BQ2879" s="7"/>
      <c r="BZ2879" s="7"/>
    </row>
    <row r="2880" spans="2:78">
      <c r="B2880" s="7"/>
      <c r="O2880" s="7"/>
      <c r="X2880" s="7"/>
      <c r="AG2880" s="7"/>
      <c r="AP2880" s="7"/>
      <c r="AY2880" s="7"/>
      <c r="BH2880" s="7"/>
      <c r="BQ2880" s="7"/>
      <c r="BZ2880" s="7"/>
    </row>
    <row r="2881" spans="2:78">
      <c r="B2881" s="7"/>
      <c r="O2881" s="7"/>
      <c r="X2881" s="7"/>
      <c r="AG2881" s="7"/>
      <c r="AP2881" s="7"/>
      <c r="AY2881" s="7"/>
      <c r="BH2881" s="7"/>
      <c r="BQ2881" s="7"/>
      <c r="BZ2881" s="7"/>
    </row>
    <row r="2882" spans="2:78">
      <c r="B2882" s="7"/>
      <c r="O2882" s="7"/>
      <c r="X2882" s="7"/>
      <c r="AG2882" s="7"/>
      <c r="AP2882" s="7"/>
      <c r="AY2882" s="7"/>
      <c r="BH2882" s="7"/>
      <c r="BQ2882" s="7"/>
      <c r="BZ2882" s="7"/>
    </row>
    <row r="2883" spans="2:78">
      <c r="B2883" s="7"/>
      <c r="O2883" s="7"/>
      <c r="X2883" s="7"/>
      <c r="AG2883" s="7"/>
      <c r="AP2883" s="7"/>
      <c r="AY2883" s="7"/>
      <c r="BH2883" s="7"/>
      <c r="BQ2883" s="7"/>
      <c r="BZ2883" s="7"/>
    </row>
    <row r="2884" spans="2:78">
      <c r="B2884" s="7"/>
      <c r="O2884" s="7"/>
      <c r="X2884" s="7"/>
      <c r="AG2884" s="7"/>
      <c r="AP2884" s="7"/>
      <c r="AY2884" s="7"/>
      <c r="BH2884" s="7"/>
      <c r="BQ2884" s="7"/>
      <c r="BZ2884" s="7"/>
    </row>
    <row r="2885" spans="2:78">
      <c r="B2885" s="7"/>
      <c r="O2885" s="7"/>
      <c r="X2885" s="7"/>
      <c r="AG2885" s="7"/>
      <c r="AP2885" s="7"/>
      <c r="AY2885" s="7"/>
      <c r="BH2885" s="7"/>
      <c r="BQ2885" s="7"/>
      <c r="BZ2885" s="7"/>
    </row>
    <row r="2886" spans="2:78">
      <c r="B2886" s="7"/>
      <c r="O2886" s="7"/>
      <c r="X2886" s="7"/>
      <c r="AG2886" s="7"/>
      <c r="AP2886" s="7"/>
      <c r="AY2886" s="7"/>
      <c r="BH2886" s="7"/>
      <c r="BQ2886" s="7"/>
      <c r="BZ2886" s="7"/>
    </row>
    <row r="2887" spans="2:78">
      <c r="B2887" s="7"/>
      <c r="O2887" s="7"/>
      <c r="X2887" s="7"/>
      <c r="AG2887" s="7"/>
      <c r="AP2887" s="7"/>
      <c r="AY2887" s="7"/>
      <c r="BH2887" s="7"/>
      <c r="BQ2887" s="7"/>
      <c r="BZ2887" s="7"/>
    </row>
    <row r="2888" spans="2:78">
      <c r="B2888" s="7"/>
      <c r="O2888" s="7"/>
      <c r="X2888" s="7"/>
      <c r="AG2888" s="7"/>
      <c r="AP2888" s="7"/>
      <c r="AY2888" s="7"/>
      <c r="BH2888" s="7"/>
      <c r="BQ2888" s="7"/>
      <c r="BZ2888" s="7"/>
    </row>
    <row r="2889" spans="2:78">
      <c r="B2889" s="7"/>
      <c r="O2889" s="7"/>
      <c r="X2889" s="7"/>
      <c r="AG2889" s="7"/>
      <c r="AP2889" s="7"/>
      <c r="AY2889" s="7"/>
      <c r="BH2889" s="7"/>
      <c r="BQ2889" s="7"/>
      <c r="BZ2889" s="7"/>
    </row>
    <row r="2890" spans="2:78">
      <c r="B2890" s="7"/>
      <c r="O2890" s="7"/>
      <c r="X2890" s="7"/>
      <c r="AG2890" s="7"/>
      <c r="AP2890" s="7"/>
      <c r="AY2890" s="7"/>
      <c r="BH2890" s="7"/>
      <c r="BQ2890" s="7"/>
      <c r="BZ2890" s="7"/>
    </row>
    <row r="2891" spans="2:78">
      <c r="B2891" s="7"/>
      <c r="O2891" s="7"/>
      <c r="X2891" s="7"/>
      <c r="AG2891" s="7"/>
      <c r="AP2891" s="7"/>
      <c r="AY2891" s="7"/>
      <c r="BH2891" s="7"/>
      <c r="BQ2891" s="7"/>
      <c r="BZ2891" s="7"/>
    </row>
    <row r="2892" spans="2:78">
      <c r="B2892" s="7"/>
      <c r="O2892" s="7"/>
      <c r="X2892" s="7"/>
      <c r="AG2892" s="7"/>
      <c r="AP2892" s="7"/>
      <c r="AY2892" s="7"/>
      <c r="BH2892" s="7"/>
      <c r="BQ2892" s="7"/>
      <c r="BZ2892" s="7"/>
    </row>
    <row r="2893" spans="2:78">
      <c r="B2893" s="7"/>
      <c r="O2893" s="7"/>
      <c r="X2893" s="7"/>
      <c r="AG2893" s="7"/>
      <c r="AP2893" s="7"/>
      <c r="AY2893" s="7"/>
      <c r="BH2893" s="7"/>
      <c r="BQ2893" s="7"/>
      <c r="BZ2893" s="7"/>
    </row>
    <row r="2894" spans="2:78">
      <c r="B2894" s="7"/>
      <c r="O2894" s="7"/>
      <c r="X2894" s="7"/>
      <c r="AG2894" s="7"/>
      <c r="AP2894" s="7"/>
      <c r="AY2894" s="7"/>
      <c r="BH2894" s="7"/>
      <c r="BQ2894" s="7"/>
      <c r="BZ2894" s="7"/>
    </row>
    <row r="2895" spans="2:78">
      <c r="B2895" s="7"/>
      <c r="O2895" s="7"/>
      <c r="X2895" s="7"/>
      <c r="AG2895" s="7"/>
      <c r="AP2895" s="7"/>
      <c r="AY2895" s="7"/>
      <c r="BH2895" s="7"/>
      <c r="BQ2895" s="7"/>
      <c r="BZ2895" s="7"/>
    </row>
    <row r="2896" spans="2:78">
      <c r="B2896" s="7"/>
      <c r="O2896" s="7"/>
      <c r="X2896" s="7"/>
      <c r="AG2896" s="7"/>
      <c r="AP2896" s="7"/>
      <c r="AY2896" s="7"/>
      <c r="BH2896" s="7"/>
      <c r="BQ2896" s="7"/>
      <c r="BZ2896" s="7"/>
    </row>
    <row r="2897" spans="2:78">
      <c r="B2897" s="7"/>
      <c r="O2897" s="7"/>
      <c r="X2897" s="7"/>
      <c r="AG2897" s="7"/>
      <c r="AP2897" s="7"/>
      <c r="AY2897" s="7"/>
      <c r="BH2897" s="7"/>
      <c r="BQ2897" s="7"/>
      <c r="BZ2897" s="7"/>
    </row>
    <row r="2898" spans="2:78">
      <c r="B2898" s="7"/>
      <c r="O2898" s="7"/>
      <c r="X2898" s="7"/>
      <c r="AG2898" s="7"/>
      <c r="AP2898" s="7"/>
      <c r="AY2898" s="7"/>
      <c r="BH2898" s="7"/>
      <c r="BQ2898" s="7"/>
      <c r="BZ2898" s="7"/>
    </row>
    <row r="2899" spans="2:78">
      <c r="B2899" s="7"/>
      <c r="O2899" s="7"/>
      <c r="X2899" s="7"/>
      <c r="AG2899" s="7"/>
      <c r="AP2899" s="7"/>
      <c r="AY2899" s="7"/>
      <c r="BH2899" s="7"/>
      <c r="BQ2899" s="7"/>
      <c r="BZ2899" s="7"/>
    </row>
    <row r="2900" spans="2:78">
      <c r="B2900" s="7"/>
      <c r="O2900" s="7"/>
      <c r="X2900" s="7"/>
      <c r="AG2900" s="7"/>
      <c r="AP2900" s="7"/>
      <c r="AY2900" s="7"/>
      <c r="BH2900" s="7"/>
      <c r="BQ2900" s="7"/>
      <c r="BZ2900" s="7"/>
    </row>
    <row r="2901" spans="2:78">
      <c r="B2901" s="7"/>
      <c r="O2901" s="7"/>
      <c r="X2901" s="7"/>
      <c r="AG2901" s="7"/>
      <c r="AP2901" s="7"/>
      <c r="AY2901" s="7"/>
      <c r="BH2901" s="7"/>
      <c r="BQ2901" s="7"/>
      <c r="BZ2901" s="7"/>
    </row>
    <row r="2902" spans="2:78">
      <c r="B2902" s="7"/>
      <c r="O2902" s="7"/>
      <c r="X2902" s="7"/>
      <c r="AG2902" s="7"/>
      <c r="AP2902" s="7"/>
      <c r="AY2902" s="7"/>
      <c r="BH2902" s="7"/>
      <c r="BQ2902" s="7"/>
      <c r="BZ2902" s="7"/>
    </row>
    <row r="2903" spans="2:78">
      <c r="B2903" s="7"/>
      <c r="O2903" s="7"/>
      <c r="X2903" s="7"/>
      <c r="AG2903" s="7"/>
      <c r="AP2903" s="7"/>
      <c r="AY2903" s="7"/>
      <c r="BH2903" s="7"/>
      <c r="BQ2903" s="7"/>
      <c r="BZ2903" s="7"/>
    </row>
    <row r="2904" spans="2:78">
      <c r="B2904" s="7"/>
      <c r="O2904" s="7"/>
      <c r="X2904" s="7"/>
      <c r="AG2904" s="7"/>
      <c r="AP2904" s="7"/>
      <c r="AY2904" s="7"/>
      <c r="BH2904" s="7"/>
      <c r="BQ2904" s="7"/>
      <c r="BZ2904" s="7"/>
    </row>
    <row r="2905" spans="2:78">
      <c r="B2905" s="7"/>
      <c r="O2905" s="7"/>
      <c r="X2905" s="7"/>
      <c r="AG2905" s="7"/>
      <c r="AP2905" s="7"/>
      <c r="AY2905" s="7"/>
      <c r="BH2905" s="7"/>
      <c r="BQ2905" s="7"/>
      <c r="BZ2905" s="7"/>
    </row>
    <row r="2906" spans="2:78">
      <c r="B2906" s="7"/>
      <c r="O2906" s="7"/>
      <c r="X2906" s="7"/>
      <c r="AG2906" s="7"/>
      <c r="AP2906" s="7"/>
      <c r="AY2906" s="7"/>
      <c r="BH2906" s="7"/>
      <c r="BQ2906" s="7"/>
      <c r="BZ2906" s="7"/>
    </row>
    <row r="2907" spans="2:78">
      <c r="B2907" s="7"/>
      <c r="O2907" s="7"/>
      <c r="X2907" s="7"/>
      <c r="AG2907" s="7"/>
      <c r="AP2907" s="7"/>
      <c r="AY2907" s="7"/>
      <c r="BH2907" s="7"/>
      <c r="BQ2907" s="7"/>
      <c r="BZ2907" s="7"/>
    </row>
    <row r="2908" spans="2:78">
      <c r="B2908" s="7"/>
      <c r="O2908" s="7"/>
      <c r="X2908" s="7"/>
      <c r="AG2908" s="7"/>
      <c r="AP2908" s="7"/>
      <c r="AY2908" s="7"/>
      <c r="BH2908" s="7"/>
      <c r="BQ2908" s="7"/>
      <c r="BZ2908" s="7"/>
    </row>
    <row r="2909" spans="2:78">
      <c r="B2909" s="7"/>
      <c r="O2909" s="7"/>
      <c r="X2909" s="7"/>
      <c r="AG2909" s="7"/>
      <c r="AP2909" s="7"/>
      <c r="AY2909" s="7"/>
      <c r="BH2909" s="7"/>
      <c r="BQ2909" s="7"/>
      <c r="BZ2909" s="7"/>
    </row>
    <row r="2910" spans="2:78">
      <c r="B2910" s="7"/>
      <c r="O2910" s="7"/>
      <c r="X2910" s="7"/>
      <c r="AG2910" s="7"/>
      <c r="AP2910" s="7"/>
      <c r="AY2910" s="7"/>
      <c r="BH2910" s="7"/>
      <c r="BQ2910" s="7"/>
      <c r="BZ2910" s="7"/>
    </row>
    <row r="2911" spans="2:78">
      <c r="B2911" s="7"/>
      <c r="O2911" s="7"/>
      <c r="X2911" s="7"/>
      <c r="AG2911" s="7"/>
      <c r="AP2911" s="7"/>
      <c r="AY2911" s="7"/>
      <c r="BH2911" s="7"/>
      <c r="BQ2911" s="7"/>
      <c r="BZ2911" s="7"/>
    </row>
    <row r="2912" spans="2:78">
      <c r="B2912" s="7"/>
      <c r="O2912" s="7"/>
      <c r="X2912" s="7"/>
      <c r="AG2912" s="7"/>
      <c r="AP2912" s="7"/>
      <c r="AY2912" s="7"/>
      <c r="BH2912" s="7"/>
      <c r="BQ2912" s="7"/>
      <c r="BZ2912" s="7"/>
    </row>
    <row r="2913" spans="2:78">
      <c r="B2913" s="7"/>
      <c r="O2913" s="7"/>
      <c r="X2913" s="7"/>
      <c r="AG2913" s="7"/>
      <c r="AP2913" s="7"/>
      <c r="AY2913" s="7"/>
      <c r="BH2913" s="7"/>
      <c r="BQ2913" s="7"/>
      <c r="BZ2913" s="7"/>
    </row>
    <row r="2914" spans="2:78">
      <c r="B2914" s="7"/>
      <c r="O2914" s="7"/>
      <c r="X2914" s="7"/>
      <c r="AG2914" s="7"/>
      <c r="AP2914" s="7"/>
      <c r="AY2914" s="7"/>
      <c r="BH2914" s="7"/>
      <c r="BQ2914" s="7"/>
      <c r="BZ2914" s="7"/>
    </row>
    <row r="2915" spans="2:78">
      <c r="B2915" s="7"/>
      <c r="O2915" s="7"/>
      <c r="X2915" s="7"/>
      <c r="AG2915" s="7"/>
      <c r="AP2915" s="7"/>
      <c r="AY2915" s="7"/>
      <c r="BH2915" s="7"/>
      <c r="BQ2915" s="7"/>
      <c r="BZ2915" s="7"/>
    </row>
    <row r="2916" spans="2:78">
      <c r="B2916" s="7"/>
      <c r="O2916" s="7"/>
      <c r="X2916" s="7"/>
      <c r="AG2916" s="7"/>
      <c r="AP2916" s="7"/>
      <c r="AY2916" s="7"/>
      <c r="BH2916" s="7"/>
      <c r="BQ2916" s="7"/>
      <c r="BZ2916" s="7"/>
    </row>
    <row r="2917" spans="2:78">
      <c r="B2917" s="7"/>
      <c r="O2917" s="7"/>
      <c r="X2917" s="7"/>
      <c r="AG2917" s="7"/>
      <c r="AP2917" s="7"/>
      <c r="AY2917" s="7"/>
      <c r="BH2917" s="7"/>
      <c r="BQ2917" s="7"/>
      <c r="BZ2917" s="7"/>
    </row>
    <row r="2918" spans="2:78">
      <c r="B2918" s="7"/>
      <c r="O2918" s="7"/>
      <c r="X2918" s="7"/>
      <c r="AG2918" s="7"/>
      <c r="AP2918" s="7"/>
      <c r="AY2918" s="7"/>
      <c r="BH2918" s="7"/>
      <c r="BQ2918" s="7"/>
      <c r="BZ2918" s="7"/>
    </row>
    <row r="2919" spans="2:78">
      <c r="B2919" s="7"/>
      <c r="O2919" s="7"/>
      <c r="X2919" s="7"/>
      <c r="AG2919" s="7"/>
      <c r="AP2919" s="7"/>
      <c r="AY2919" s="7"/>
      <c r="BH2919" s="7"/>
      <c r="BQ2919" s="7"/>
      <c r="BZ2919" s="7"/>
    </row>
    <row r="2920" spans="2:78">
      <c r="B2920" s="7"/>
      <c r="O2920" s="7"/>
      <c r="X2920" s="7"/>
      <c r="AG2920" s="7"/>
      <c r="AP2920" s="7"/>
      <c r="AY2920" s="7"/>
      <c r="BH2920" s="7"/>
      <c r="BQ2920" s="7"/>
      <c r="BZ2920" s="7"/>
    </row>
    <row r="2921" spans="2:78">
      <c r="B2921" s="7"/>
      <c r="O2921" s="7"/>
      <c r="X2921" s="7"/>
      <c r="AG2921" s="7"/>
      <c r="AP2921" s="7"/>
      <c r="AY2921" s="7"/>
      <c r="BH2921" s="7"/>
      <c r="BQ2921" s="7"/>
      <c r="BZ2921" s="7"/>
    </row>
    <row r="2922" spans="2:78">
      <c r="B2922" s="7"/>
      <c r="O2922" s="7"/>
      <c r="X2922" s="7"/>
      <c r="AG2922" s="7"/>
      <c r="AP2922" s="7"/>
      <c r="AY2922" s="7"/>
      <c r="BH2922" s="7"/>
      <c r="BQ2922" s="7"/>
      <c r="BZ2922" s="7"/>
    </row>
    <row r="2923" spans="2:78">
      <c r="B2923" s="7"/>
      <c r="O2923" s="7"/>
      <c r="X2923" s="7"/>
      <c r="AG2923" s="7"/>
      <c r="AP2923" s="7"/>
      <c r="AY2923" s="7"/>
      <c r="BH2923" s="7"/>
      <c r="BQ2923" s="7"/>
      <c r="BZ2923" s="7"/>
    </row>
    <row r="2924" spans="2:78">
      <c r="B2924" s="7"/>
      <c r="O2924" s="7"/>
      <c r="X2924" s="7"/>
      <c r="AG2924" s="7"/>
      <c r="AP2924" s="7"/>
      <c r="AY2924" s="7"/>
      <c r="BH2924" s="7"/>
      <c r="BQ2924" s="7"/>
      <c r="BZ2924" s="7"/>
    </row>
    <row r="2925" spans="2:78">
      <c r="B2925" s="7"/>
      <c r="O2925" s="7"/>
      <c r="X2925" s="7"/>
      <c r="AG2925" s="7"/>
      <c r="AP2925" s="7"/>
      <c r="AY2925" s="7"/>
      <c r="BH2925" s="7"/>
      <c r="BQ2925" s="7"/>
      <c r="BZ2925" s="7"/>
    </row>
    <row r="2926" spans="2:78">
      <c r="B2926" s="7"/>
      <c r="O2926" s="7"/>
      <c r="X2926" s="7"/>
      <c r="AG2926" s="7"/>
      <c r="AP2926" s="7"/>
      <c r="AY2926" s="7"/>
      <c r="BH2926" s="7"/>
      <c r="BQ2926" s="7"/>
      <c r="BZ2926" s="7"/>
    </row>
    <row r="2927" spans="2:78">
      <c r="B2927" s="7"/>
      <c r="O2927" s="7"/>
      <c r="X2927" s="7"/>
      <c r="AG2927" s="7"/>
      <c r="AP2927" s="7"/>
      <c r="AY2927" s="7"/>
      <c r="BH2927" s="7"/>
      <c r="BQ2927" s="7"/>
      <c r="BZ2927" s="7"/>
    </row>
    <row r="2928" spans="2:78">
      <c r="B2928" s="7"/>
      <c r="O2928" s="7"/>
      <c r="X2928" s="7"/>
      <c r="AG2928" s="7"/>
      <c r="AP2928" s="7"/>
      <c r="AY2928" s="7"/>
      <c r="BH2928" s="7"/>
      <c r="BQ2928" s="7"/>
      <c r="BZ2928" s="7"/>
    </row>
    <row r="2929" spans="2:78">
      <c r="B2929" s="7"/>
      <c r="O2929" s="7"/>
      <c r="X2929" s="7"/>
      <c r="AG2929" s="7"/>
      <c r="AP2929" s="7"/>
      <c r="AY2929" s="7"/>
      <c r="BH2929" s="7"/>
      <c r="BQ2929" s="7"/>
      <c r="BZ2929" s="7"/>
    </row>
    <row r="2930" spans="2:78">
      <c r="B2930" s="7"/>
      <c r="O2930" s="7"/>
      <c r="X2930" s="7"/>
      <c r="AG2930" s="7"/>
      <c r="AP2930" s="7"/>
      <c r="AY2930" s="7"/>
      <c r="BH2930" s="7"/>
      <c r="BQ2930" s="7"/>
      <c r="BZ2930" s="7"/>
    </row>
    <row r="2931" spans="2:78">
      <c r="B2931" s="7"/>
      <c r="O2931" s="7"/>
      <c r="X2931" s="7"/>
      <c r="AG2931" s="7"/>
      <c r="AP2931" s="7"/>
      <c r="AY2931" s="7"/>
      <c r="BH2931" s="7"/>
      <c r="BQ2931" s="7"/>
      <c r="BZ2931" s="7"/>
    </row>
    <row r="2932" spans="2:78">
      <c r="B2932" s="7"/>
      <c r="O2932" s="7"/>
      <c r="X2932" s="7"/>
      <c r="AG2932" s="7"/>
      <c r="AP2932" s="7"/>
      <c r="AY2932" s="7"/>
      <c r="BH2932" s="7"/>
      <c r="BQ2932" s="7"/>
      <c r="BZ2932" s="7"/>
    </row>
    <row r="2933" spans="2:78">
      <c r="B2933" s="7"/>
      <c r="O2933" s="7"/>
      <c r="X2933" s="7"/>
      <c r="AG2933" s="7"/>
      <c r="AP2933" s="7"/>
      <c r="AY2933" s="7"/>
      <c r="BH2933" s="7"/>
      <c r="BQ2933" s="7"/>
      <c r="BZ2933" s="7"/>
    </row>
    <row r="2934" spans="2:78">
      <c r="B2934" s="7"/>
      <c r="O2934" s="7"/>
      <c r="X2934" s="7"/>
      <c r="AG2934" s="7"/>
      <c r="AP2934" s="7"/>
      <c r="AY2934" s="7"/>
      <c r="BH2934" s="7"/>
      <c r="BQ2934" s="7"/>
      <c r="BZ2934" s="7"/>
    </row>
    <row r="2935" spans="2:78">
      <c r="B2935" s="7"/>
      <c r="O2935" s="7"/>
      <c r="X2935" s="7"/>
      <c r="AG2935" s="7"/>
      <c r="AP2935" s="7"/>
      <c r="AY2935" s="7"/>
      <c r="BH2935" s="7"/>
      <c r="BQ2935" s="7"/>
      <c r="BZ2935" s="7"/>
    </row>
    <row r="2936" spans="2:78">
      <c r="B2936" s="7"/>
      <c r="O2936" s="7"/>
      <c r="X2936" s="7"/>
      <c r="AG2936" s="7"/>
      <c r="AP2936" s="7"/>
      <c r="AY2936" s="7"/>
      <c r="BH2936" s="7"/>
      <c r="BQ2936" s="7"/>
      <c r="BZ2936" s="7"/>
    </row>
    <row r="2937" spans="2:78">
      <c r="B2937" s="7"/>
      <c r="O2937" s="7"/>
      <c r="X2937" s="7"/>
      <c r="AG2937" s="7"/>
      <c r="AP2937" s="7"/>
      <c r="AY2937" s="7"/>
      <c r="BH2937" s="7"/>
      <c r="BQ2937" s="7"/>
      <c r="BZ2937" s="7"/>
    </row>
    <row r="2938" spans="2:78">
      <c r="B2938" s="7"/>
      <c r="O2938" s="7"/>
      <c r="X2938" s="7"/>
      <c r="AG2938" s="7"/>
      <c r="AP2938" s="7"/>
      <c r="AY2938" s="7"/>
      <c r="BH2938" s="7"/>
      <c r="BQ2938" s="7"/>
      <c r="BZ2938" s="7"/>
    </row>
    <row r="2939" spans="2:78">
      <c r="B2939" s="7"/>
      <c r="O2939" s="7"/>
      <c r="X2939" s="7"/>
      <c r="AG2939" s="7"/>
      <c r="AP2939" s="7"/>
      <c r="AY2939" s="7"/>
      <c r="BH2939" s="7"/>
      <c r="BQ2939" s="7"/>
      <c r="BZ2939" s="7"/>
    </row>
    <row r="2940" spans="2:78">
      <c r="B2940" s="7"/>
      <c r="O2940" s="7"/>
      <c r="X2940" s="7"/>
      <c r="AG2940" s="7"/>
      <c r="AP2940" s="7"/>
      <c r="AY2940" s="7"/>
      <c r="BH2940" s="7"/>
      <c r="BQ2940" s="7"/>
      <c r="BZ2940" s="7"/>
    </row>
    <row r="2941" spans="2:78">
      <c r="B2941" s="7"/>
      <c r="O2941" s="7"/>
      <c r="X2941" s="7"/>
      <c r="AG2941" s="7"/>
      <c r="AP2941" s="7"/>
      <c r="AY2941" s="7"/>
      <c r="BH2941" s="7"/>
      <c r="BQ2941" s="7"/>
      <c r="BZ2941" s="7"/>
    </row>
    <row r="2942" spans="2:78">
      <c r="B2942" s="7"/>
      <c r="O2942" s="7"/>
      <c r="X2942" s="7"/>
      <c r="AG2942" s="7"/>
      <c r="AP2942" s="7"/>
      <c r="AY2942" s="7"/>
      <c r="BH2942" s="7"/>
      <c r="BQ2942" s="7"/>
      <c r="BZ2942" s="7"/>
    </row>
    <row r="2943" spans="2:78">
      <c r="B2943" s="7"/>
      <c r="O2943" s="7"/>
      <c r="X2943" s="7"/>
      <c r="AG2943" s="7"/>
      <c r="AP2943" s="7"/>
      <c r="AY2943" s="7"/>
      <c r="BH2943" s="7"/>
      <c r="BQ2943" s="7"/>
      <c r="BZ2943" s="7"/>
    </row>
    <row r="2944" spans="2:78">
      <c r="B2944" s="7"/>
      <c r="O2944" s="7"/>
      <c r="X2944" s="7"/>
      <c r="AG2944" s="7"/>
      <c r="AP2944" s="7"/>
      <c r="AY2944" s="7"/>
      <c r="BH2944" s="7"/>
      <c r="BQ2944" s="7"/>
      <c r="BZ2944" s="7"/>
    </row>
    <row r="2945" spans="2:78">
      <c r="B2945" s="7"/>
      <c r="O2945" s="7"/>
      <c r="X2945" s="7"/>
      <c r="AG2945" s="7"/>
      <c r="AP2945" s="7"/>
      <c r="AY2945" s="7"/>
      <c r="BH2945" s="7"/>
      <c r="BQ2945" s="7"/>
      <c r="BZ2945" s="7"/>
    </row>
    <row r="2946" spans="2:78">
      <c r="B2946" s="7"/>
      <c r="O2946" s="7"/>
      <c r="X2946" s="7"/>
      <c r="AG2946" s="7"/>
      <c r="AP2946" s="7"/>
      <c r="AY2946" s="7"/>
      <c r="BH2946" s="7"/>
      <c r="BQ2946" s="7"/>
      <c r="BZ2946" s="7"/>
    </row>
    <row r="2947" spans="2:78">
      <c r="B2947" s="7"/>
      <c r="O2947" s="7"/>
      <c r="X2947" s="7"/>
      <c r="AG2947" s="7"/>
      <c r="AP2947" s="7"/>
      <c r="AY2947" s="7"/>
      <c r="BH2947" s="7"/>
      <c r="BQ2947" s="7"/>
      <c r="BZ2947" s="7"/>
    </row>
    <row r="2948" spans="2:78">
      <c r="B2948" s="7"/>
      <c r="O2948" s="7"/>
      <c r="X2948" s="7"/>
      <c r="AG2948" s="7"/>
      <c r="AP2948" s="7"/>
      <c r="AY2948" s="7"/>
      <c r="BH2948" s="7"/>
      <c r="BQ2948" s="7"/>
      <c r="BZ2948" s="7"/>
    </row>
    <row r="2949" spans="2:78">
      <c r="B2949" s="7"/>
      <c r="O2949" s="7"/>
      <c r="X2949" s="7"/>
      <c r="AG2949" s="7"/>
      <c r="AP2949" s="7"/>
      <c r="AY2949" s="7"/>
      <c r="BH2949" s="7"/>
      <c r="BQ2949" s="7"/>
      <c r="BZ2949" s="7"/>
    </row>
    <row r="2950" spans="2:78">
      <c r="B2950" s="7"/>
      <c r="O2950" s="7"/>
      <c r="X2950" s="7"/>
      <c r="AG2950" s="7"/>
      <c r="AP2950" s="7"/>
      <c r="AY2950" s="7"/>
      <c r="BH2950" s="7"/>
      <c r="BQ2950" s="7"/>
      <c r="BZ2950" s="7"/>
    </row>
    <row r="2951" spans="2:78">
      <c r="B2951" s="7"/>
      <c r="O2951" s="7"/>
      <c r="X2951" s="7"/>
      <c r="AG2951" s="7"/>
      <c r="AP2951" s="7"/>
      <c r="AY2951" s="7"/>
      <c r="BH2951" s="7"/>
      <c r="BQ2951" s="7"/>
      <c r="BZ2951" s="7"/>
    </row>
    <row r="2952" spans="2:78">
      <c r="B2952" s="7"/>
      <c r="O2952" s="7"/>
      <c r="X2952" s="7"/>
      <c r="AG2952" s="7"/>
      <c r="AP2952" s="7"/>
      <c r="AY2952" s="7"/>
      <c r="BH2952" s="7"/>
      <c r="BQ2952" s="7"/>
      <c r="BZ2952" s="7"/>
    </row>
    <row r="2953" spans="2:78">
      <c r="B2953" s="7"/>
      <c r="O2953" s="7"/>
      <c r="X2953" s="7"/>
      <c r="AG2953" s="7"/>
      <c r="AP2953" s="7"/>
      <c r="AY2953" s="7"/>
      <c r="BH2953" s="7"/>
      <c r="BQ2953" s="7"/>
      <c r="BZ2953" s="7"/>
    </row>
    <row r="2954" spans="2:78">
      <c r="B2954" s="7"/>
      <c r="O2954" s="7"/>
      <c r="X2954" s="7"/>
      <c r="AG2954" s="7"/>
      <c r="AP2954" s="7"/>
      <c r="AY2954" s="7"/>
      <c r="BH2954" s="7"/>
      <c r="BQ2954" s="7"/>
      <c r="BZ2954" s="7"/>
    </row>
    <row r="2955" spans="2:78">
      <c r="B2955" s="7"/>
      <c r="O2955" s="7"/>
      <c r="X2955" s="7"/>
      <c r="AG2955" s="7"/>
      <c r="AP2955" s="7"/>
      <c r="AY2955" s="7"/>
      <c r="BH2955" s="7"/>
      <c r="BQ2955" s="7"/>
      <c r="BZ2955" s="7"/>
    </row>
    <row r="2956" spans="2:78">
      <c r="B2956" s="7"/>
      <c r="O2956" s="7"/>
      <c r="X2956" s="7"/>
      <c r="AG2956" s="7"/>
      <c r="AP2956" s="7"/>
      <c r="AY2956" s="7"/>
      <c r="BH2956" s="7"/>
      <c r="BQ2956" s="7"/>
      <c r="BZ2956" s="7"/>
    </row>
    <row r="2957" spans="2:78">
      <c r="B2957" s="7"/>
      <c r="O2957" s="7"/>
      <c r="X2957" s="7"/>
      <c r="AG2957" s="7"/>
      <c r="AP2957" s="7"/>
      <c r="AY2957" s="7"/>
      <c r="BH2957" s="7"/>
      <c r="BQ2957" s="7"/>
      <c r="BZ2957" s="7"/>
    </row>
    <row r="2958" spans="2:78">
      <c r="B2958" s="7"/>
      <c r="O2958" s="7"/>
      <c r="X2958" s="7"/>
      <c r="AG2958" s="7"/>
      <c r="AP2958" s="7"/>
      <c r="AY2958" s="7"/>
      <c r="BH2958" s="7"/>
      <c r="BQ2958" s="7"/>
      <c r="BZ2958" s="7"/>
    </row>
    <row r="2959" spans="2:78">
      <c r="B2959" s="7"/>
      <c r="O2959" s="7"/>
      <c r="X2959" s="7"/>
      <c r="AG2959" s="7"/>
      <c r="AP2959" s="7"/>
      <c r="AY2959" s="7"/>
      <c r="BH2959" s="7"/>
      <c r="BQ2959" s="7"/>
      <c r="BZ2959" s="7"/>
    </row>
    <row r="2960" spans="2:78">
      <c r="B2960" s="7"/>
      <c r="O2960" s="7"/>
      <c r="X2960" s="7"/>
      <c r="AG2960" s="7"/>
      <c r="AP2960" s="7"/>
      <c r="AY2960" s="7"/>
      <c r="BH2960" s="7"/>
      <c r="BQ2960" s="7"/>
      <c r="BZ2960" s="7"/>
    </row>
    <row r="2961" spans="2:78">
      <c r="B2961" s="7"/>
      <c r="O2961" s="7"/>
      <c r="X2961" s="7"/>
      <c r="AG2961" s="7"/>
      <c r="AP2961" s="7"/>
      <c r="AY2961" s="7"/>
      <c r="BH2961" s="7"/>
      <c r="BQ2961" s="7"/>
      <c r="BZ2961" s="7"/>
    </row>
    <row r="2962" spans="2:78">
      <c r="B2962" s="7"/>
      <c r="O2962" s="7"/>
      <c r="X2962" s="7"/>
      <c r="AG2962" s="7"/>
      <c r="AP2962" s="7"/>
      <c r="AY2962" s="7"/>
      <c r="BH2962" s="7"/>
      <c r="BQ2962" s="7"/>
      <c r="BZ2962" s="7"/>
    </row>
    <row r="2963" spans="2:78">
      <c r="B2963" s="7"/>
      <c r="O2963" s="7"/>
      <c r="X2963" s="7"/>
      <c r="AG2963" s="7"/>
      <c r="AP2963" s="7"/>
      <c r="AY2963" s="7"/>
      <c r="BH2963" s="7"/>
      <c r="BQ2963" s="7"/>
      <c r="BZ2963" s="7"/>
    </row>
    <row r="2964" spans="2:78">
      <c r="B2964" s="7"/>
      <c r="O2964" s="7"/>
      <c r="X2964" s="7"/>
      <c r="AG2964" s="7"/>
      <c r="AP2964" s="7"/>
      <c r="AY2964" s="7"/>
      <c r="BH2964" s="7"/>
      <c r="BQ2964" s="7"/>
      <c r="BZ2964" s="7"/>
    </row>
    <row r="2965" spans="2:78">
      <c r="B2965" s="7"/>
      <c r="O2965" s="7"/>
      <c r="X2965" s="7"/>
      <c r="AG2965" s="7"/>
      <c r="AP2965" s="7"/>
      <c r="AY2965" s="7"/>
      <c r="BH2965" s="7"/>
      <c r="BQ2965" s="7"/>
      <c r="BZ2965" s="7"/>
    </row>
    <row r="2966" spans="2:78">
      <c r="B2966" s="7"/>
      <c r="O2966" s="7"/>
      <c r="X2966" s="7"/>
      <c r="AG2966" s="7"/>
      <c r="AP2966" s="7"/>
      <c r="AY2966" s="7"/>
      <c r="BH2966" s="7"/>
      <c r="BQ2966" s="7"/>
      <c r="BZ2966" s="7"/>
    </row>
    <row r="2967" spans="2:78">
      <c r="B2967" s="7"/>
      <c r="O2967" s="7"/>
      <c r="X2967" s="7"/>
      <c r="AG2967" s="7"/>
      <c r="AP2967" s="7"/>
      <c r="AY2967" s="7"/>
      <c r="BH2967" s="7"/>
      <c r="BQ2967" s="7"/>
      <c r="BZ2967" s="7"/>
    </row>
    <row r="2968" spans="2:78">
      <c r="B2968" s="7"/>
      <c r="O2968" s="7"/>
      <c r="X2968" s="7"/>
      <c r="AG2968" s="7"/>
      <c r="AP2968" s="7"/>
      <c r="AY2968" s="7"/>
      <c r="BH2968" s="7"/>
      <c r="BQ2968" s="7"/>
      <c r="BZ2968" s="7"/>
    </row>
    <row r="2969" spans="2:78">
      <c r="B2969" s="7"/>
      <c r="O2969" s="7"/>
      <c r="X2969" s="7"/>
      <c r="AG2969" s="7"/>
      <c r="AP2969" s="7"/>
      <c r="AY2969" s="7"/>
      <c r="BH2969" s="7"/>
      <c r="BQ2969" s="7"/>
      <c r="BZ2969" s="7"/>
    </row>
    <row r="2970" spans="2:78">
      <c r="B2970" s="7"/>
      <c r="O2970" s="7"/>
      <c r="X2970" s="7"/>
      <c r="AG2970" s="7"/>
      <c r="AP2970" s="7"/>
      <c r="AY2970" s="7"/>
      <c r="BH2970" s="7"/>
      <c r="BQ2970" s="7"/>
      <c r="BZ2970" s="7"/>
    </row>
    <row r="2971" spans="2:78">
      <c r="B2971" s="7"/>
      <c r="O2971" s="7"/>
      <c r="X2971" s="7"/>
      <c r="AG2971" s="7"/>
      <c r="AP2971" s="7"/>
      <c r="AY2971" s="7"/>
      <c r="BH2971" s="7"/>
      <c r="BQ2971" s="7"/>
      <c r="BZ2971" s="7"/>
    </row>
    <row r="2972" spans="2:78">
      <c r="B2972" s="7"/>
      <c r="O2972" s="7"/>
      <c r="X2972" s="7"/>
      <c r="AG2972" s="7"/>
      <c r="AP2972" s="7"/>
      <c r="AY2972" s="7"/>
      <c r="BH2972" s="7"/>
      <c r="BQ2972" s="7"/>
      <c r="BZ2972" s="7"/>
    </row>
    <row r="2973" spans="2:78">
      <c r="B2973" s="7"/>
      <c r="O2973" s="7"/>
      <c r="X2973" s="7"/>
      <c r="AG2973" s="7"/>
      <c r="AP2973" s="7"/>
      <c r="AY2973" s="7"/>
      <c r="BH2973" s="7"/>
      <c r="BQ2973" s="7"/>
      <c r="BZ2973" s="7"/>
    </row>
    <row r="2974" spans="2:78">
      <c r="B2974" s="7"/>
      <c r="O2974" s="7"/>
      <c r="X2974" s="7"/>
      <c r="AG2974" s="7"/>
      <c r="AP2974" s="7"/>
      <c r="AY2974" s="7"/>
      <c r="BH2974" s="7"/>
      <c r="BQ2974" s="7"/>
      <c r="BZ2974" s="7"/>
    </row>
    <row r="2975" spans="2:78">
      <c r="B2975" s="7"/>
      <c r="O2975" s="7"/>
      <c r="X2975" s="7"/>
      <c r="AG2975" s="7"/>
      <c r="AP2975" s="7"/>
      <c r="AY2975" s="7"/>
      <c r="BH2975" s="7"/>
      <c r="BQ2975" s="7"/>
      <c r="BZ2975" s="7"/>
    </row>
    <row r="2976" spans="2:78">
      <c r="B2976" s="7"/>
      <c r="O2976" s="7"/>
      <c r="X2976" s="7"/>
      <c r="AG2976" s="7"/>
      <c r="AP2976" s="7"/>
      <c r="AY2976" s="7"/>
      <c r="BH2976" s="7"/>
      <c r="BQ2976" s="7"/>
      <c r="BZ2976" s="7"/>
    </row>
    <row r="2977" spans="2:78">
      <c r="B2977" s="7"/>
      <c r="O2977" s="7"/>
      <c r="X2977" s="7"/>
      <c r="AG2977" s="7"/>
      <c r="AP2977" s="7"/>
      <c r="AY2977" s="7"/>
      <c r="BH2977" s="7"/>
      <c r="BQ2977" s="7"/>
      <c r="BZ2977" s="7"/>
    </row>
    <row r="2978" spans="2:78">
      <c r="B2978" s="7"/>
      <c r="O2978" s="7"/>
      <c r="X2978" s="7"/>
      <c r="AG2978" s="7"/>
      <c r="AP2978" s="7"/>
      <c r="AY2978" s="7"/>
      <c r="BH2978" s="7"/>
      <c r="BQ2978" s="7"/>
      <c r="BZ2978" s="7"/>
    </row>
    <row r="2979" spans="2:78">
      <c r="B2979" s="7"/>
      <c r="O2979" s="7"/>
      <c r="X2979" s="7"/>
      <c r="AG2979" s="7"/>
      <c r="AP2979" s="7"/>
      <c r="AY2979" s="7"/>
      <c r="BH2979" s="7"/>
      <c r="BQ2979" s="7"/>
      <c r="BZ2979" s="7"/>
    </row>
    <row r="2980" spans="2:78">
      <c r="B2980" s="7"/>
      <c r="O2980" s="7"/>
      <c r="X2980" s="7"/>
      <c r="AG2980" s="7"/>
      <c r="AP2980" s="7"/>
      <c r="AY2980" s="7"/>
      <c r="BH2980" s="7"/>
      <c r="BQ2980" s="7"/>
      <c r="BZ2980" s="7"/>
    </row>
    <row r="2981" spans="2:78">
      <c r="B2981" s="7"/>
      <c r="O2981" s="7"/>
      <c r="X2981" s="7"/>
      <c r="AG2981" s="7"/>
      <c r="AP2981" s="7"/>
      <c r="AY2981" s="7"/>
      <c r="BH2981" s="7"/>
      <c r="BQ2981" s="7"/>
      <c r="BZ2981" s="7"/>
    </row>
    <row r="2982" spans="2:78">
      <c r="B2982" s="7"/>
      <c r="O2982" s="7"/>
      <c r="X2982" s="7"/>
      <c r="AG2982" s="7"/>
      <c r="AP2982" s="7"/>
      <c r="AY2982" s="7"/>
      <c r="BH2982" s="7"/>
      <c r="BQ2982" s="7"/>
      <c r="BZ2982" s="7"/>
    </row>
    <row r="2983" spans="2:78">
      <c r="B2983" s="7"/>
      <c r="O2983" s="7"/>
      <c r="X2983" s="7"/>
      <c r="AG2983" s="7"/>
      <c r="AP2983" s="7"/>
      <c r="AY2983" s="7"/>
      <c r="BH2983" s="7"/>
      <c r="BQ2983" s="7"/>
      <c r="BZ2983" s="7"/>
    </row>
    <row r="2984" spans="2:78">
      <c r="B2984" s="7"/>
      <c r="O2984" s="7"/>
      <c r="X2984" s="7"/>
      <c r="AG2984" s="7"/>
      <c r="AP2984" s="7"/>
      <c r="AY2984" s="7"/>
      <c r="BH2984" s="7"/>
      <c r="BQ2984" s="7"/>
      <c r="BZ2984" s="7"/>
    </row>
    <row r="2985" spans="2:78">
      <c r="B2985" s="7"/>
      <c r="O2985" s="7"/>
      <c r="X2985" s="7"/>
      <c r="AG2985" s="7"/>
      <c r="AP2985" s="7"/>
      <c r="AY2985" s="7"/>
      <c r="BH2985" s="7"/>
      <c r="BQ2985" s="7"/>
      <c r="BZ2985" s="7"/>
    </row>
    <row r="2986" spans="2:78">
      <c r="B2986" s="7"/>
      <c r="O2986" s="7"/>
      <c r="X2986" s="7"/>
      <c r="AG2986" s="7"/>
      <c r="AP2986" s="7"/>
      <c r="AY2986" s="7"/>
      <c r="BH2986" s="7"/>
      <c r="BQ2986" s="7"/>
      <c r="BZ2986" s="7"/>
    </row>
    <row r="2987" spans="2:78">
      <c r="B2987" s="7"/>
      <c r="O2987" s="7"/>
      <c r="X2987" s="7"/>
      <c r="AG2987" s="7"/>
      <c r="AP2987" s="7"/>
      <c r="AY2987" s="7"/>
      <c r="BH2987" s="7"/>
      <c r="BQ2987" s="7"/>
      <c r="BZ2987" s="7"/>
    </row>
    <row r="2988" spans="2:78">
      <c r="B2988" s="7"/>
      <c r="O2988" s="7"/>
      <c r="X2988" s="7"/>
      <c r="AG2988" s="7"/>
      <c r="AP2988" s="7"/>
      <c r="AY2988" s="7"/>
      <c r="BH2988" s="7"/>
      <c r="BQ2988" s="7"/>
      <c r="BZ2988" s="7"/>
    </row>
    <row r="2989" spans="2:78">
      <c r="B2989" s="7"/>
      <c r="O2989" s="7"/>
      <c r="X2989" s="7"/>
      <c r="AG2989" s="7"/>
      <c r="AP2989" s="7"/>
      <c r="AY2989" s="7"/>
      <c r="BH2989" s="7"/>
      <c r="BQ2989" s="7"/>
      <c r="BZ2989" s="7"/>
    </row>
    <row r="2990" spans="2:78">
      <c r="B2990" s="7"/>
      <c r="O2990" s="7"/>
      <c r="X2990" s="7"/>
      <c r="AG2990" s="7"/>
      <c r="AP2990" s="7"/>
      <c r="AY2990" s="7"/>
      <c r="BH2990" s="7"/>
      <c r="BQ2990" s="7"/>
      <c r="BZ2990" s="7"/>
    </row>
    <row r="2991" spans="2:78">
      <c r="B2991" s="7"/>
      <c r="O2991" s="7"/>
      <c r="X2991" s="7"/>
      <c r="AG2991" s="7"/>
      <c r="AP2991" s="7"/>
      <c r="AY2991" s="7"/>
      <c r="BH2991" s="7"/>
      <c r="BQ2991" s="7"/>
      <c r="BZ2991" s="7"/>
    </row>
    <row r="2992" spans="2:78">
      <c r="B2992" s="7"/>
      <c r="O2992" s="7"/>
      <c r="X2992" s="7"/>
      <c r="AG2992" s="7"/>
      <c r="AP2992" s="7"/>
      <c r="AY2992" s="7"/>
      <c r="BH2992" s="7"/>
      <c r="BQ2992" s="7"/>
      <c r="BZ2992" s="7"/>
    </row>
    <row r="2993" spans="2:78">
      <c r="B2993" s="7"/>
      <c r="O2993" s="7"/>
      <c r="X2993" s="7"/>
      <c r="AG2993" s="7"/>
      <c r="AP2993" s="7"/>
      <c r="AY2993" s="7"/>
      <c r="BH2993" s="7"/>
      <c r="BQ2993" s="7"/>
      <c r="BZ2993" s="7"/>
    </row>
    <row r="2994" spans="2:78">
      <c r="B2994" s="7"/>
      <c r="O2994" s="7"/>
      <c r="X2994" s="7"/>
      <c r="AG2994" s="7"/>
      <c r="AP2994" s="7"/>
      <c r="AY2994" s="7"/>
      <c r="BH2994" s="7"/>
      <c r="BQ2994" s="7"/>
      <c r="BZ2994" s="7"/>
    </row>
    <row r="2995" spans="2:78">
      <c r="B2995" s="7"/>
      <c r="O2995" s="7"/>
      <c r="X2995" s="7"/>
      <c r="AG2995" s="7"/>
      <c r="AP2995" s="7"/>
      <c r="AY2995" s="7"/>
      <c r="BH2995" s="7"/>
      <c r="BQ2995" s="7"/>
      <c r="BZ2995" s="7"/>
    </row>
    <row r="2996" spans="2:78">
      <c r="B2996" s="7"/>
      <c r="O2996" s="7"/>
      <c r="X2996" s="7"/>
      <c r="AG2996" s="7"/>
      <c r="AP2996" s="7"/>
      <c r="AY2996" s="7"/>
      <c r="BH2996" s="7"/>
      <c r="BQ2996" s="7"/>
      <c r="BZ2996" s="7"/>
    </row>
    <row r="2997" spans="2:78">
      <c r="B2997" s="7"/>
      <c r="O2997" s="7"/>
      <c r="X2997" s="7"/>
      <c r="AG2997" s="7"/>
      <c r="AP2997" s="7"/>
      <c r="AY2997" s="7"/>
      <c r="BH2997" s="7"/>
      <c r="BQ2997" s="7"/>
      <c r="BZ2997" s="7"/>
    </row>
    <row r="2998" spans="2:78">
      <c r="B2998" s="7"/>
      <c r="O2998" s="7"/>
      <c r="X2998" s="7"/>
      <c r="AG2998" s="7"/>
      <c r="AP2998" s="7"/>
      <c r="AY2998" s="7"/>
      <c r="BH2998" s="7"/>
      <c r="BQ2998" s="7"/>
      <c r="BZ2998" s="7"/>
    </row>
    <row r="2999" spans="2:78">
      <c r="B2999" s="7"/>
      <c r="O2999" s="7"/>
      <c r="X2999" s="7"/>
      <c r="AG2999" s="7"/>
      <c r="AP2999" s="7"/>
      <c r="AY2999" s="7"/>
      <c r="BH2999" s="7"/>
      <c r="BQ2999" s="7"/>
      <c r="BZ2999" s="7"/>
    </row>
    <row r="3000" spans="2:78">
      <c r="B3000" s="7"/>
      <c r="O3000" s="7"/>
      <c r="X3000" s="7"/>
      <c r="AG3000" s="7"/>
      <c r="AP3000" s="7"/>
      <c r="AY3000" s="7"/>
      <c r="BH3000" s="7"/>
      <c r="BQ3000" s="7"/>
      <c r="BZ3000" s="7"/>
    </row>
    <row r="3001" spans="2:78">
      <c r="B3001" s="7"/>
      <c r="O3001" s="7"/>
      <c r="X3001" s="7"/>
      <c r="AG3001" s="7"/>
      <c r="AP3001" s="7"/>
      <c r="AY3001" s="7"/>
      <c r="BH3001" s="7"/>
      <c r="BQ3001" s="7"/>
      <c r="BZ3001" s="7"/>
    </row>
    <row r="3002" spans="2:78">
      <c r="B3002" s="7"/>
      <c r="O3002" s="7"/>
      <c r="X3002" s="7"/>
      <c r="AG3002" s="7"/>
      <c r="AP3002" s="7"/>
      <c r="AY3002" s="7"/>
      <c r="BH3002" s="7"/>
      <c r="BQ3002" s="7"/>
      <c r="BZ3002" s="7"/>
    </row>
    <row r="3003" spans="2:78">
      <c r="B3003" s="7"/>
      <c r="O3003" s="7"/>
      <c r="X3003" s="7"/>
      <c r="AG3003" s="7"/>
      <c r="AP3003" s="7"/>
      <c r="AY3003" s="7"/>
      <c r="BH3003" s="7"/>
      <c r="BQ3003" s="7"/>
      <c r="BZ3003" s="7"/>
    </row>
    <row r="3004" spans="2:78">
      <c r="B3004" s="7"/>
      <c r="O3004" s="7"/>
      <c r="X3004" s="7"/>
      <c r="AG3004" s="7"/>
      <c r="AP3004" s="7"/>
      <c r="AY3004" s="7"/>
      <c r="BH3004" s="7"/>
      <c r="BQ3004" s="7"/>
      <c r="BZ3004" s="7"/>
    </row>
    <row r="3005" spans="2:78">
      <c r="B3005" s="7"/>
      <c r="O3005" s="7"/>
      <c r="X3005" s="7"/>
      <c r="AG3005" s="7"/>
      <c r="AP3005" s="7"/>
      <c r="AY3005" s="7"/>
      <c r="BH3005" s="7"/>
      <c r="BQ3005" s="7"/>
      <c r="BZ3005" s="7"/>
    </row>
    <row r="3006" spans="2:78">
      <c r="B3006" s="7"/>
      <c r="O3006" s="7"/>
      <c r="X3006" s="7"/>
      <c r="AG3006" s="7"/>
      <c r="AP3006" s="7"/>
      <c r="AY3006" s="7"/>
      <c r="BH3006" s="7"/>
      <c r="BQ3006" s="7"/>
      <c r="BZ3006" s="7"/>
    </row>
    <row r="3007" spans="2:78">
      <c r="B3007" s="7"/>
      <c r="O3007" s="7"/>
      <c r="X3007" s="7"/>
      <c r="AG3007" s="7"/>
      <c r="AP3007" s="7"/>
      <c r="AY3007" s="7"/>
      <c r="BH3007" s="7"/>
      <c r="BQ3007" s="7"/>
      <c r="BZ3007" s="7"/>
    </row>
    <row r="3008" spans="2:78">
      <c r="B3008" s="7"/>
      <c r="O3008" s="7"/>
      <c r="X3008" s="7"/>
      <c r="AG3008" s="7"/>
      <c r="AP3008" s="7"/>
      <c r="AY3008" s="7"/>
      <c r="BH3008" s="7"/>
      <c r="BQ3008" s="7"/>
      <c r="BZ3008" s="7"/>
    </row>
    <row r="3009" spans="2:78">
      <c r="B3009" s="7"/>
      <c r="O3009" s="7"/>
      <c r="X3009" s="7"/>
      <c r="AG3009" s="7"/>
      <c r="AP3009" s="7"/>
      <c r="AY3009" s="7"/>
      <c r="BH3009" s="7"/>
      <c r="BQ3009" s="7"/>
      <c r="BZ3009" s="7"/>
    </row>
    <row r="3010" spans="2:78">
      <c r="B3010" s="7"/>
      <c r="O3010" s="7"/>
      <c r="X3010" s="7"/>
      <c r="AG3010" s="7"/>
      <c r="AP3010" s="7"/>
      <c r="AY3010" s="7"/>
      <c r="BH3010" s="7"/>
      <c r="BQ3010" s="7"/>
      <c r="BZ3010" s="7"/>
    </row>
    <row r="3011" spans="2:78">
      <c r="B3011" s="7"/>
      <c r="O3011" s="7"/>
      <c r="X3011" s="7"/>
      <c r="AG3011" s="7"/>
      <c r="AP3011" s="7"/>
      <c r="AY3011" s="7"/>
      <c r="BH3011" s="7"/>
      <c r="BQ3011" s="7"/>
      <c r="BZ3011" s="7"/>
    </row>
    <row r="3012" spans="2:78">
      <c r="B3012" s="7"/>
      <c r="O3012" s="7"/>
      <c r="X3012" s="7"/>
      <c r="AG3012" s="7"/>
      <c r="AP3012" s="7"/>
      <c r="AY3012" s="7"/>
      <c r="BH3012" s="7"/>
      <c r="BQ3012" s="7"/>
      <c r="BZ3012" s="7"/>
    </row>
    <row r="3013" spans="2:78">
      <c r="B3013" s="7"/>
      <c r="O3013" s="7"/>
      <c r="X3013" s="7"/>
      <c r="AG3013" s="7"/>
      <c r="AP3013" s="7"/>
      <c r="AY3013" s="7"/>
      <c r="BH3013" s="7"/>
      <c r="BQ3013" s="7"/>
      <c r="BZ3013" s="7"/>
    </row>
    <row r="3014" spans="2:78">
      <c r="B3014" s="7"/>
      <c r="O3014" s="7"/>
      <c r="X3014" s="7"/>
      <c r="AG3014" s="7"/>
      <c r="AP3014" s="7"/>
      <c r="AY3014" s="7"/>
      <c r="BH3014" s="7"/>
      <c r="BQ3014" s="7"/>
      <c r="BZ3014" s="7"/>
    </row>
    <row r="3015" spans="2:78">
      <c r="B3015" s="7"/>
      <c r="O3015" s="7"/>
      <c r="X3015" s="7"/>
      <c r="AG3015" s="7"/>
      <c r="AP3015" s="7"/>
      <c r="AY3015" s="7"/>
      <c r="BH3015" s="7"/>
      <c r="BQ3015" s="7"/>
      <c r="BZ3015" s="7"/>
    </row>
    <row r="3016" spans="2:78">
      <c r="B3016" s="7"/>
      <c r="O3016" s="7"/>
      <c r="X3016" s="7"/>
      <c r="AG3016" s="7"/>
      <c r="AP3016" s="7"/>
      <c r="AY3016" s="7"/>
      <c r="BH3016" s="7"/>
      <c r="BQ3016" s="7"/>
      <c r="BZ3016" s="7"/>
    </row>
    <row r="3017" spans="2:78">
      <c r="B3017" s="7"/>
      <c r="O3017" s="7"/>
      <c r="X3017" s="7"/>
      <c r="AG3017" s="7"/>
      <c r="AP3017" s="7"/>
      <c r="AY3017" s="7"/>
      <c r="BH3017" s="7"/>
      <c r="BQ3017" s="7"/>
      <c r="BZ3017" s="7"/>
    </row>
    <row r="3018" spans="2:78">
      <c r="B3018" s="7"/>
      <c r="O3018" s="7"/>
      <c r="X3018" s="7"/>
      <c r="AG3018" s="7"/>
      <c r="AP3018" s="7"/>
      <c r="AY3018" s="7"/>
      <c r="BH3018" s="7"/>
      <c r="BQ3018" s="7"/>
      <c r="BZ3018" s="7"/>
    </row>
    <row r="3019" spans="2:78">
      <c r="B3019" s="7"/>
      <c r="O3019" s="7"/>
      <c r="X3019" s="7"/>
      <c r="AG3019" s="7"/>
      <c r="AP3019" s="7"/>
      <c r="AY3019" s="7"/>
      <c r="BH3019" s="7"/>
      <c r="BQ3019" s="7"/>
      <c r="BZ3019" s="7"/>
    </row>
    <row r="3020" spans="2:78">
      <c r="B3020" s="7"/>
      <c r="O3020" s="7"/>
      <c r="X3020" s="7"/>
      <c r="AG3020" s="7"/>
      <c r="AP3020" s="7"/>
      <c r="AY3020" s="7"/>
      <c r="BH3020" s="7"/>
      <c r="BQ3020" s="7"/>
      <c r="BZ3020" s="7"/>
    </row>
    <row r="3021" spans="2:78">
      <c r="B3021" s="7"/>
      <c r="O3021" s="7"/>
      <c r="X3021" s="7"/>
      <c r="AG3021" s="7"/>
      <c r="AP3021" s="7"/>
      <c r="AY3021" s="7"/>
      <c r="BH3021" s="7"/>
      <c r="BQ3021" s="7"/>
      <c r="BZ3021" s="7"/>
    </row>
    <row r="3022" spans="2:78">
      <c r="B3022" s="7"/>
      <c r="O3022" s="7"/>
      <c r="X3022" s="7"/>
      <c r="AG3022" s="7"/>
      <c r="AP3022" s="7"/>
      <c r="AY3022" s="7"/>
      <c r="BH3022" s="7"/>
      <c r="BQ3022" s="7"/>
      <c r="BZ3022" s="7"/>
    </row>
    <row r="3023" spans="2:78">
      <c r="B3023" s="7"/>
      <c r="O3023" s="7"/>
      <c r="X3023" s="7"/>
      <c r="AG3023" s="7"/>
      <c r="AP3023" s="7"/>
      <c r="AY3023" s="7"/>
      <c r="BH3023" s="7"/>
      <c r="BQ3023" s="7"/>
      <c r="BZ3023" s="7"/>
    </row>
    <row r="3024" spans="2:78">
      <c r="B3024" s="7"/>
      <c r="O3024" s="7"/>
      <c r="X3024" s="7"/>
      <c r="AG3024" s="7"/>
      <c r="AP3024" s="7"/>
      <c r="AY3024" s="7"/>
      <c r="BH3024" s="7"/>
      <c r="BQ3024" s="7"/>
      <c r="BZ3024" s="7"/>
    </row>
    <row r="3025" spans="2:78">
      <c r="B3025" s="7"/>
      <c r="O3025" s="7"/>
      <c r="X3025" s="7"/>
      <c r="AG3025" s="7"/>
      <c r="AP3025" s="7"/>
      <c r="AY3025" s="7"/>
      <c r="BH3025" s="7"/>
      <c r="BQ3025" s="7"/>
      <c r="BZ3025" s="7"/>
    </row>
    <row r="3026" spans="2:78">
      <c r="B3026" s="7"/>
      <c r="O3026" s="7"/>
      <c r="X3026" s="7"/>
      <c r="AG3026" s="7"/>
      <c r="AP3026" s="7"/>
      <c r="AY3026" s="7"/>
      <c r="BH3026" s="7"/>
      <c r="BQ3026" s="7"/>
      <c r="BZ3026" s="7"/>
    </row>
    <row r="3027" spans="2:78">
      <c r="B3027" s="7"/>
      <c r="O3027" s="7"/>
      <c r="X3027" s="7"/>
      <c r="AG3027" s="7"/>
      <c r="AP3027" s="7"/>
      <c r="AY3027" s="7"/>
      <c r="BH3027" s="7"/>
      <c r="BQ3027" s="7"/>
      <c r="BZ3027" s="7"/>
    </row>
    <row r="3028" spans="2:78">
      <c r="B3028" s="7"/>
      <c r="O3028" s="7"/>
      <c r="X3028" s="7"/>
      <c r="AG3028" s="7"/>
      <c r="AP3028" s="7"/>
      <c r="AY3028" s="7"/>
      <c r="BH3028" s="7"/>
      <c r="BQ3028" s="7"/>
      <c r="BZ3028" s="7"/>
    </row>
    <row r="3029" spans="2:78">
      <c r="B3029" s="7"/>
      <c r="O3029" s="7"/>
      <c r="X3029" s="7"/>
      <c r="AG3029" s="7"/>
      <c r="AP3029" s="7"/>
      <c r="AY3029" s="7"/>
      <c r="BH3029" s="7"/>
      <c r="BQ3029" s="7"/>
      <c r="BZ3029" s="7"/>
    </row>
    <row r="3030" spans="2:78">
      <c r="B3030" s="7"/>
      <c r="O3030" s="7"/>
      <c r="X3030" s="7"/>
      <c r="AG3030" s="7"/>
      <c r="AP3030" s="7"/>
      <c r="AY3030" s="7"/>
      <c r="BH3030" s="7"/>
      <c r="BQ3030" s="7"/>
      <c r="BZ3030" s="7"/>
    </row>
    <row r="3031" spans="2:78">
      <c r="B3031" s="7"/>
      <c r="O3031" s="7"/>
      <c r="X3031" s="7"/>
      <c r="AG3031" s="7"/>
      <c r="AP3031" s="7"/>
      <c r="AY3031" s="7"/>
      <c r="BH3031" s="7"/>
      <c r="BQ3031" s="7"/>
      <c r="BZ3031" s="7"/>
    </row>
    <row r="3032" spans="2:78">
      <c r="B3032" s="7"/>
      <c r="O3032" s="7"/>
      <c r="X3032" s="7"/>
      <c r="AG3032" s="7"/>
      <c r="AP3032" s="7"/>
      <c r="AY3032" s="7"/>
      <c r="BH3032" s="7"/>
      <c r="BQ3032" s="7"/>
      <c r="BZ3032" s="7"/>
    </row>
    <row r="3033" spans="2:78">
      <c r="B3033" s="7"/>
      <c r="O3033" s="7"/>
      <c r="X3033" s="7"/>
      <c r="AG3033" s="7"/>
      <c r="AP3033" s="7"/>
      <c r="AY3033" s="7"/>
      <c r="BH3033" s="7"/>
      <c r="BQ3033" s="7"/>
      <c r="BZ3033" s="7"/>
    </row>
    <row r="3034" spans="2:78">
      <c r="B3034" s="7"/>
      <c r="O3034" s="7"/>
      <c r="X3034" s="7"/>
      <c r="AG3034" s="7"/>
      <c r="AP3034" s="7"/>
      <c r="AY3034" s="7"/>
      <c r="BH3034" s="7"/>
      <c r="BQ3034" s="7"/>
      <c r="BZ3034" s="7"/>
    </row>
    <row r="3035" spans="2:78">
      <c r="B3035" s="7"/>
      <c r="O3035" s="7"/>
      <c r="X3035" s="7"/>
      <c r="AG3035" s="7"/>
      <c r="AP3035" s="7"/>
      <c r="AY3035" s="7"/>
      <c r="BH3035" s="7"/>
      <c r="BQ3035" s="7"/>
      <c r="BZ3035" s="7"/>
    </row>
    <row r="3036" spans="2:78">
      <c r="B3036" s="7"/>
      <c r="O3036" s="7"/>
      <c r="X3036" s="7"/>
      <c r="AG3036" s="7"/>
      <c r="AP3036" s="7"/>
      <c r="AY3036" s="7"/>
      <c r="BH3036" s="7"/>
      <c r="BQ3036" s="7"/>
      <c r="BZ3036" s="7"/>
    </row>
    <row r="3037" spans="2:78">
      <c r="B3037" s="7"/>
      <c r="O3037" s="7"/>
      <c r="X3037" s="7"/>
      <c r="AG3037" s="7"/>
      <c r="AP3037" s="7"/>
      <c r="AY3037" s="7"/>
      <c r="BH3037" s="7"/>
      <c r="BQ3037" s="7"/>
      <c r="BZ3037" s="7"/>
    </row>
    <row r="3038" spans="2:78">
      <c r="B3038" s="7"/>
      <c r="O3038" s="7"/>
      <c r="X3038" s="7"/>
      <c r="AG3038" s="7"/>
      <c r="AP3038" s="7"/>
      <c r="AY3038" s="7"/>
      <c r="BH3038" s="7"/>
      <c r="BQ3038" s="7"/>
      <c r="BZ3038" s="7"/>
    </row>
    <row r="3039" spans="2:78">
      <c r="B3039" s="7"/>
      <c r="O3039" s="7"/>
      <c r="X3039" s="7"/>
      <c r="AG3039" s="7"/>
      <c r="AP3039" s="7"/>
      <c r="AY3039" s="7"/>
      <c r="BH3039" s="7"/>
      <c r="BQ3039" s="7"/>
      <c r="BZ3039" s="7"/>
    </row>
    <row r="3040" spans="2:78">
      <c r="B3040" s="7"/>
      <c r="O3040" s="7"/>
      <c r="X3040" s="7"/>
      <c r="AG3040" s="7"/>
      <c r="AP3040" s="7"/>
      <c r="AY3040" s="7"/>
      <c r="BH3040" s="7"/>
      <c r="BQ3040" s="7"/>
      <c r="BZ3040" s="7"/>
    </row>
    <row r="3041" spans="2:78">
      <c r="B3041" s="7"/>
      <c r="O3041" s="7"/>
      <c r="X3041" s="7"/>
      <c r="AG3041" s="7"/>
      <c r="AP3041" s="7"/>
      <c r="AY3041" s="7"/>
      <c r="BH3041" s="7"/>
      <c r="BQ3041" s="7"/>
      <c r="BZ3041" s="7"/>
    </row>
    <row r="3042" spans="2:78">
      <c r="B3042" s="7"/>
      <c r="O3042" s="7"/>
      <c r="X3042" s="7"/>
      <c r="AG3042" s="7"/>
      <c r="AP3042" s="7"/>
      <c r="AY3042" s="7"/>
      <c r="BH3042" s="7"/>
      <c r="BQ3042" s="7"/>
      <c r="BZ3042" s="7"/>
    </row>
    <row r="3043" spans="2:78">
      <c r="B3043" s="7"/>
      <c r="O3043" s="7"/>
      <c r="X3043" s="7"/>
      <c r="AG3043" s="7"/>
      <c r="AP3043" s="7"/>
      <c r="AY3043" s="7"/>
      <c r="BH3043" s="7"/>
      <c r="BQ3043" s="7"/>
      <c r="BZ3043" s="7"/>
    </row>
    <row r="3044" spans="2:78">
      <c r="B3044" s="7"/>
      <c r="O3044" s="7"/>
      <c r="X3044" s="7"/>
      <c r="AG3044" s="7"/>
      <c r="AP3044" s="7"/>
      <c r="AY3044" s="7"/>
      <c r="BH3044" s="7"/>
      <c r="BQ3044" s="7"/>
      <c r="BZ3044" s="7"/>
    </row>
    <row r="3045" spans="2:78">
      <c r="B3045" s="7"/>
      <c r="O3045" s="7"/>
      <c r="X3045" s="7"/>
      <c r="AG3045" s="7"/>
      <c r="AP3045" s="7"/>
      <c r="AY3045" s="7"/>
      <c r="BH3045" s="7"/>
      <c r="BQ3045" s="7"/>
      <c r="BZ3045" s="7"/>
    </row>
    <row r="3046" spans="2:78">
      <c r="B3046" s="7"/>
      <c r="O3046" s="7"/>
      <c r="X3046" s="7"/>
      <c r="AG3046" s="7"/>
      <c r="AP3046" s="7"/>
      <c r="AY3046" s="7"/>
      <c r="BH3046" s="7"/>
      <c r="BQ3046" s="7"/>
      <c r="BZ3046" s="7"/>
    </row>
    <row r="3047" spans="2:78">
      <c r="B3047" s="7"/>
      <c r="O3047" s="7"/>
      <c r="X3047" s="7"/>
      <c r="AG3047" s="7"/>
      <c r="AP3047" s="7"/>
      <c r="AY3047" s="7"/>
      <c r="BH3047" s="7"/>
      <c r="BQ3047" s="7"/>
      <c r="BZ3047" s="7"/>
    </row>
    <row r="3048" spans="2:78">
      <c r="B3048" s="7"/>
      <c r="O3048" s="7"/>
      <c r="X3048" s="7"/>
      <c r="AG3048" s="7"/>
      <c r="AP3048" s="7"/>
      <c r="AY3048" s="7"/>
      <c r="BH3048" s="7"/>
      <c r="BQ3048" s="7"/>
      <c r="BZ3048" s="7"/>
    </row>
    <row r="3049" spans="2:78">
      <c r="B3049" s="7"/>
      <c r="O3049" s="7"/>
      <c r="X3049" s="7"/>
      <c r="AG3049" s="7"/>
      <c r="AP3049" s="7"/>
      <c r="AY3049" s="7"/>
      <c r="BH3049" s="7"/>
      <c r="BQ3049" s="7"/>
      <c r="BZ3049" s="7"/>
    </row>
    <row r="3050" spans="2:78">
      <c r="B3050" s="7"/>
      <c r="O3050" s="7"/>
      <c r="X3050" s="7"/>
      <c r="AG3050" s="7"/>
      <c r="AP3050" s="7"/>
      <c r="AY3050" s="7"/>
      <c r="BH3050" s="7"/>
      <c r="BQ3050" s="7"/>
      <c r="BZ3050" s="7"/>
    </row>
    <row r="3051" spans="2:78">
      <c r="B3051" s="7"/>
      <c r="O3051" s="7"/>
      <c r="X3051" s="7"/>
      <c r="AG3051" s="7"/>
      <c r="AP3051" s="7"/>
      <c r="AY3051" s="7"/>
      <c r="BH3051" s="7"/>
      <c r="BQ3051" s="7"/>
      <c r="BZ3051" s="7"/>
    </row>
    <row r="3052" spans="2:78">
      <c r="B3052" s="7"/>
      <c r="O3052" s="7"/>
      <c r="X3052" s="7"/>
      <c r="AG3052" s="7"/>
      <c r="AP3052" s="7"/>
      <c r="AY3052" s="7"/>
      <c r="BH3052" s="7"/>
      <c r="BQ3052" s="7"/>
      <c r="BZ3052" s="7"/>
    </row>
    <row r="3053" spans="2:78">
      <c r="B3053" s="7"/>
      <c r="O3053" s="7"/>
      <c r="X3053" s="7"/>
      <c r="AG3053" s="7"/>
      <c r="AP3053" s="7"/>
      <c r="AY3053" s="7"/>
      <c r="BH3053" s="7"/>
      <c r="BQ3053" s="7"/>
      <c r="BZ3053" s="7"/>
    </row>
    <row r="3054" spans="2:78">
      <c r="B3054" s="7"/>
      <c r="O3054" s="7"/>
      <c r="X3054" s="7"/>
      <c r="AG3054" s="7"/>
      <c r="AP3054" s="7"/>
      <c r="AY3054" s="7"/>
      <c r="BH3054" s="7"/>
      <c r="BQ3054" s="7"/>
      <c r="BZ3054" s="7"/>
    </row>
    <row r="3055" spans="2:78">
      <c r="B3055" s="7"/>
      <c r="O3055" s="7"/>
      <c r="X3055" s="7"/>
      <c r="AG3055" s="7"/>
      <c r="AP3055" s="7"/>
      <c r="AY3055" s="7"/>
      <c r="BH3055" s="7"/>
      <c r="BQ3055" s="7"/>
      <c r="BZ3055" s="7"/>
    </row>
    <row r="3056" spans="2:78">
      <c r="B3056" s="7"/>
      <c r="O3056" s="7"/>
      <c r="X3056" s="7"/>
      <c r="AG3056" s="7"/>
      <c r="AP3056" s="7"/>
      <c r="AY3056" s="7"/>
      <c r="BH3056" s="7"/>
      <c r="BQ3056" s="7"/>
      <c r="BZ3056" s="7"/>
    </row>
    <row r="3057" spans="2:78">
      <c r="B3057" s="7"/>
      <c r="O3057" s="7"/>
      <c r="X3057" s="7"/>
      <c r="AG3057" s="7"/>
      <c r="AP3057" s="7"/>
      <c r="AY3057" s="7"/>
      <c r="BH3057" s="7"/>
      <c r="BQ3057" s="7"/>
      <c r="BZ3057" s="7"/>
    </row>
    <row r="3058" spans="2:78">
      <c r="B3058" s="7"/>
      <c r="O3058" s="7"/>
      <c r="X3058" s="7"/>
      <c r="AG3058" s="7"/>
      <c r="AP3058" s="7"/>
      <c r="AY3058" s="7"/>
      <c r="BH3058" s="7"/>
      <c r="BQ3058" s="7"/>
      <c r="BZ3058" s="7"/>
    </row>
    <row r="3059" spans="2:78">
      <c r="B3059" s="7"/>
      <c r="O3059" s="7"/>
      <c r="X3059" s="7"/>
      <c r="AG3059" s="7"/>
      <c r="AP3059" s="7"/>
      <c r="AY3059" s="7"/>
      <c r="BH3059" s="7"/>
      <c r="BQ3059" s="7"/>
      <c r="BZ3059" s="7"/>
    </row>
    <row r="3060" spans="2:78">
      <c r="B3060" s="7"/>
      <c r="O3060" s="7"/>
      <c r="X3060" s="7"/>
      <c r="AG3060" s="7"/>
      <c r="AP3060" s="7"/>
      <c r="AY3060" s="7"/>
      <c r="BH3060" s="7"/>
      <c r="BQ3060" s="7"/>
      <c r="BZ3060" s="7"/>
    </row>
    <row r="3061" spans="2:78">
      <c r="B3061" s="7"/>
      <c r="O3061" s="7"/>
      <c r="X3061" s="7"/>
      <c r="AG3061" s="7"/>
      <c r="AP3061" s="7"/>
      <c r="AY3061" s="7"/>
      <c r="BH3061" s="7"/>
      <c r="BQ3061" s="7"/>
      <c r="BZ3061" s="7"/>
    </row>
    <row r="3062" spans="2:78">
      <c r="B3062" s="7"/>
      <c r="O3062" s="7"/>
      <c r="X3062" s="7"/>
      <c r="AG3062" s="7"/>
      <c r="AP3062" s="7"/>
      <c r="AY3062" s="7"/>
      <c r="BH3062" s="7"/>
      <c r="BQ3062" s="7"/>
      <c r="BZ3062" s="7"/>
    </row>
    <row r="3063" spans="2:78">
      <c r="B3063" s="7"/>
      <c r="O3063" s="7"/>
      <c r="X3063" s="7"/>
      <c r="AG3063" s="7"/>
      <c r="AP3063" s="7"/>
      <c r="AY3063" s="7"/>
      <c r="BH3063" s="7"/>
      <c r="BQ3063" s="7"/>
      <c r="BZ3063" s="7"/>
    </row>
    <row r="3064" spans="2:78">
      <c r="B3064" s="7"/>
      <c r="O3064" s="7"/>
      <c r="X3064" s="7"/>
      <c r="AG3064" s="7"/>
      <c r="AP3064" s="7"/>
      <c r="AY3064" s="7"/>
      <c r="BH3064" s="7"/>
      <c r="BQ3064" s="7"/>
      <c r="BZ3064" s="7"/>
    </row>
    <row r="3065" spans="2:78">
      <c r="B3065" s="7"/>
      <c r="O3065" s="7"/>
      <c r="X3065" s="7"/>
      <c r="AG3065" s="7"/>
      <c r="AP3065" s="7"/>
      <c r="AY3065" s="7"/>
      <c r="BH3065" s="7"/>
      <c r="BQ3065" s="7"/>
      <c r="BZ3065" s="7"/>
    </row>
    <row r="3066" spans="2:78">
      <c r="B3066" s="7"/>
      <c r="O3066" s="7"/>
      <c r="X3066" s="7"/>
      <c r="AG3066" s="7"/>
      <c r="AP3066" s="7"/>
      <c r="AY3066" s="7"/>
      <c r="BH3066" s="7"/>
      <c r="BQ3066" s="7"/>
      <c r="BZ3066" s="7"/>
    </row>
    <row r="3067" spans="2:78">
      <c r="B3067" s="7"/>
      <c r="O3067" s="7"/>
      <c r="X3067" s="7"/>
      <c r="AG3067" s="7"/>
      <c r="AP3067" s="7"/>
      <c r="AY3067" s="7"/>
      <c r="BH3067" s="7"/>
      <c r="BQ3067" s="7"/>
      <c r="BZ3067" s="7"/>
    </row>
    <row r="3068" spans="2:78">
      <c r="B3068" s="7"/>
      <c r="O3068" s="7"/>
      <c r="X3068" s="7"/>
      <c r="AG3068" s="7"/>
      <c r="AP3068" s="7"/>
      <c r="AY3068" s="7"/>
      <c r="BH3068" s="7"/>
      <c r="BQ3068" s="7"/>
      <c r="BZ3068" s="7"/>
    </row>
    <row r="3069" spans="2:78">
      <c r="B3069" s="7"/>
      <c r="O3069" s="7"/>
      <c r="X3069" s="7"/>
      <c r="AG3069" s="7"/>
      <c r="AP3069" s="7"/>
      <c r="AY3069" s="7"/>
      <c r="BH3069" s="7"/>
      <c r="BQ3069" s="7"/>
      <c r="BZ3069" s="7"/>
    </row>
    <row r="3070" spans="2:78">
      <c r="B3070" s="7"/>
      <c r="O3070" s="7"/>
      <c r="X3070" s="7"/>
      <c r="AG3070" s="7"/>
      <c r="AP3070" s="7"/>
      <c r="AY3070" s="7"/>
      <c r="BH3070" s="7"/>
      <c r="BQ3070" s="7"/>
      <c r="BZ3070" s="7"/>
    </row>
    <row r="3071" spans="2:78">
      <c r="B3071" s="7"/>
      <c r="O3071" s="7"/>
      <c r="X3071" s="7"/>
      <c r="AG3071" s="7"/>
      <c r="AP3071" s="7"/>
      <c r="AY3071" s="7"/>
      <c r="BH3071" s="7"/>
      <c r="BQ3071" s="7"/>
      <c r="BZ3071" s="7"/>
    </row>
    <row r="3072" spans="2:78">
      <c r="B3072" s="7"/>
      <c r="O3072" s="7"/>
      <c r="X3072" s="7"/>
      <c r="AG3072" s="7"/>
      <c r="AP3072" s="7"/>
      <c r="AY3072" s="7"/>
      <c r="BH3072" s="7"/>
      <c r="BQ3072" s="7"/>
      <c r="BZ3072" s="7"/>
    </row>
    <row r="3073" spans="2:78">
      <c r="B3073" s="7"/>
      <c r="O3073" s="7"/>
      <c r="X3073" s="7"/>
      <c r="AG3073" s="7"/>
      <c r="AP3073" s="7"/>
      <c r="AY3073" s="7"/>
      <c r="BH3073" s="7"/>
      <c r="BQ3073" s="7"/>
      <c r="BZ3073" s="7"/>
    </row>
    <row r="3074" spans="2:78">
      <c r="B3074" s="7"/>
      <c r="O3074" s="7"/>
      <c r="X3074" s="7"/>
      <c r="AG3074" s="7"/>
      <c r="AP3074" s="7"/>
      <c r="AY3074" s="7"/>
      <c r="BH3074" s="7"/>
      <c r="BQ3074" s="7"/>
      <c r="BZ3074" s="7"/>
    </row>
    <row r="3075" spans="2:78">
      <c r="B3075" s="7"/>
      <c r="O3075" s="7"/>
      <c r="X3075" s="7"/>
      <c r="AG3075" s="7"/>
      <c r="AP3075" s="7"/>
      <c r="AY3075" s="7"/>
      <c r="BH3075" s="7"/>
      <c r="BQ3075" s="7"/>
      <c r="BZ3075" s="7"/>
    </row>
    <row r="3076" spans="2:78">
      <c r="B3076" s="7"/>
      <c r="O3076" s="7"/>
      <c r="X3076" s="7"/>
      <c r="AG3076" s="7"/>
      <c r="AP3076" s="7"/>
      <c r="AY3076" s="7"/>
      <c r="BH3076" s="7"/>
      <c r="BQ3076" s="7"/>
      <c r="BZ3076" s="7"/>
    </row>
    <row r="3077" spans="2:78">
      <c r="B3077" s="7"/>
      <c r="O3077" s="7"/>
      <c r="X3077" s="7"/>
      <c r="AG3077" s="7"/>
      <c r="AP3077" s="7"/>
      <c r="AY3077" s="7"/>
      <c r="BH3077" s="7"/>
      <c r="BQ3077" s="7"/>
      <c r="BZ3077" s="7"/>
    </row>
    <row r="3078" spans="2:78">
      <c r="B3078" s="7"/>
      <c r="O3078" s="7"/>
      <c r="X3078" s="7"/>
      <c r="AG3078" s="7"/>
      <c r="AP3078" s="7"/>
      <c r="AY3078" s="7"/>
      <c r="BH3078" s="7"/>
      <c r="BQ3078" s="7"/>
      <c r="BZ3078" s="7"/>
    </row>
    <row r="3079" spans="2:78">
      <c r="B3079" s="7"/>
      <c r="O3079" s="7"/>
      <c r="X3079" s="7"/>
      <c r="AG3079" s="7"/>
      <c r="AP3079" s="7"/>
      <c r="AY3079" s="7"/>
      <c r="BH3079" s="7"/>
      <c r="BQ3079" s="7"/>
      <c r="BZ3079" s="7"/>
    </row>
    <row r="3080" spans="2:78">
      <c r="B3080" s="7"/>
      <c r="O3080" s="7"/>
      <c r="X3080" s="7"/>
      <c r="AG3080" s="7"/>
      <c r="AP3080" s="7"/>
      <c r="AY3080" s="7"/>
      <c r="BH3080" s="7"/>
      <c r="BQ3080" s="7"/>
      <c r="BZ3080" s="7"/>
    </row>
    <row r="3081" spans="2:78">
      <c r="B3081" s="7"/>
      <c r="O3081" s="7"/>
      <c r="X3081" s="7"/>
      <c r="AG3081" s="7"/>
      <c r="AP3081" s="7"/>
      <c r="AY3081" s="7"/>
      <c r="BH3081" s="7"/>
      <c r="BQ3081" s="7"/>
      <c r="BZ3081" s="7"/>
    </row>
    <row r="3082" spans="2:78">
      <c r="B3082" s="7"/>
      <c r="O3082" s="7"/>
      <c r="X3082" s="7"/>
      <c r="AG3082" s="7"/>
      <c r="AP3082" s="7"/>
      <c r="AY3082" s="7"/>
      <c r="BH3082" s="7"/>
      <c r="BQ3082" s="7"/>
      <c r="BZ3082" s="7"/>
    </row>
    <row r="3083" spans="2:78">
      <c r="B3083" s="7"/>
      <c r="O3083" s="7"/>
      <c r="X3083" s="7"/>
      <c r="AG3083" s="7"/>
      <c r="AP3083" s="7"/>
      <c r="AY3083" s="7"/>
      <c r="BH3083" s="7"/>
      <c r="BQ3083" s="7"/>
      <c r="BZ3083" s="7"/>
    </row>
    <row r="3084" spans="2:78">
      <c r="B3084" s="7"/>
      <c r="O3084" s="7"/>
      <c r="X3084" s="7"/>
      <c r="AG3084" s="7"/>
      <c r="AP3084" s="7"/>
      <c r="AY3084" s="7"/>
      <c r="BH3084" s="7"/>
      <c r="BQ3084" s="7"/>
      <c r="BZ3084" s="7"/>
    </row>
    <row r="3085" spans="2:78">
      <c r="B3085" s="7"/>
      <c r="O3085" s="7"/>
      <c r="X3085" s="7"/>
      <c r="AG3085" s="7"/>
      <c r="AP3085" s="7"/>
      <c r="AY3085" s="7"/>
      <c r="BH3085" s="7"/>
      <c r="BQ3085" s="7"/>
      <c r="BZ3085" s="7"/>
    </row>
    <row r="3086" spans="2:78">
      <c r="B3086" s="7"/>
      <c r="O3086" s="7"/>
      <c r="X3086" s="7"/>
      <c r="AG3086" s="7"/>
      <c r="AP3086" s="7"/>
      <c r="AY3086" s="7"/>
      <c r="BH3086" s="7"/>
      <c r="BQ3086" s="7"/>
      <c r="BZ3086" s="7"/>
    </row>
    <row r="3087" spans="2:78">
      <c r="B3087" s="7"/>
      <c r="O3087" s="7"/>
      <c r="X3087" s="7"/>
      <c r="AG3087" s="7"/>
      <c r="AP3087" s="7"/>
      <c r="AY3087" s="7"/>
      <c r="BH3087" s="7"/>
      <c r="BQ3087" s="7"/>
      <c r="BZ3087" s="7"/>
    </row>
    <row r="3088" spans="2:78">
      <c r="B3088" s="7"/>
      <c r="O3088" s="7"/>
      <c r="X3088" s="7"/>
      <c r="AG3088" s="7"/>
      <c r="AP3088" s="7"/>
      <c r="AY3088" s="7"/>
      <c r="BH3088" s="7"/>
      <c r="BQ3088" s="7"/>
      <c r="BZ3088" s="7"/>
    </row>
    <row r="3089" spans="2:78">
      <c r="B3089" s="7"/>
      <c r="O3089" s="7"/>
      <c r="X3089" s="7"/>
      <c r="AG3089" s="7"/>
      <c r="AP3089" s="7"/>
      <c r="AY3089" s="7"/>
      <c r="BH3089" s="7"/>
      <c r="BQ3089" s="7"/>
      <c r="BZ3089" s="7"/>
    </row>
    <row r="3090" spans="2:78">
      <c r="B3090" s="7"/>
      <c r="O3090" s="7"/>
      <c r="X3090" s="7"/>
      <c r="AG3090" s="7"/>
      <c r="AP3090" s="7"/>
      <c r="AY3090" s="7"/>
      <c r="BH3090" s="7"/>
      <c r="BQ3090" s="7"/>
      <c r="BZ3090" s="7"/>
    </row>
    <row r="3091" spans="2:78">
      <c r="B3091" s="7"/>
      <c r="O3091" s="7"/>
      <c r="X3091" s="7"/>
      <c r="AG3091" s="7"/>
      <c r="AP3091" s="7"/>
      <c r="AY3091" s="7"/>
      <c r="BH3091" s="7"/>
      <c r="BQ3091" s="7"/>
      <c r="BZ3091" s="7"/>
    </row>
    <row r="3092" spans="2:78">
      <c r="B3092" s="7"/>
      <c r="O3092" s="7"/>
      <c r="X3092" s="7"/>
      <c r="AG3092" s="7"/>
      <c r="AP3092" s="7"/>
      <c r="AY3092" s="7"/>
      <c r="BH3092" s="7"/>
      <c r="BQ3092" s="7"/>
      <c r="BZ3092" s="7"/>
    </row>
    <row r="3093" spans="2:78">
      <c r="B3093" s="7"/>
      <c r="O3093" s="7"/>
      <c r="X3093" s="7"/>
      <c r="AG3093" s="7"/>
      <c r="AP3093" s="7"/>
      <c r="AY3093" s="7"/>
      <c r="BH3093" s="7"/>
      <c r="BQ3093" s="7"/>
      <c r="BZ3093" s="7"/>
    </row>
    <row r="3094" spans="2:78">
      <c r="B3094" s="7"/>
      <c r="O3094" s="7"/>
      <c r="X3094" s="7"/>
      <c r="AG3094" s="7"/>
      <c r="AP3094" s="7"/>
      <c r="AY3094" s="7"/>
      <c r="BH3094" s="7"/>
      <c r="BQ3094" s="7"/>
      <c r="BZ3094" s="7"/>
    </row>
    <row r="3095" spans="2:78">
      <c r="B3095" s="7"/>
      <c r="O3095" s="7"/>
      <c r="X3095" s="7"/>
      <c r="AG3095" s="7"/>
      <c r="AP3095" s="7"/>
      <c r="AY3095" s="7"/>
      <c r="BH3095" s="7"/>
      <c r="BQ3095" s="7"/>
      <c r="BZ3095" s="7"/>
    </row>
    <row r="3096" spans="2:78">
      <c r="B3096" s="7"/>
      <c r="O3096" s="7"/>
      <c r="X3096" s="7"/>
      <c r="AG3096" s="7"/>
      <c r="AP3096" s="7"/>
      <c r="AY3096" s="7"/>
      <c r="BH3096" s="7"/>
      <c r="BQ3096" s="7"/>
      <c r="BZ3096" s="7"/>
    </row>
    <row r="3097" spans="2:78">
      <c r="B3097" s="7"/>
      <c r="O3097" s="7"/>
      <c r="X3097" s="7"/>
      <c r="AG3097" s="7"/>
      <c r="AP3097" s="7"/>
      <c r="AY3097" s="7"/>
      <c r="BH3097" s="7"/>
      <c r="BQ3097" s="7"/>
      <c r="BZ3097" s="7"/>
    </row>
    <row r="3098" spans="2:78">
      <c r="B3098" s="7"/>
      <c r="O3098" s="7"/>
      <c r="X3098" s="7"/>
      <c r="AG3098" s="7"/>
      <c r="AP3098" s="7"/>
      <c r="AY3098" s="7"/>
      <c r="BH3098" s="7"/>
      <c r="BQ3098" s="7"/>
      <c r="BZ3098" s="7"/>
    </row>
    <row r="3099" spans="2:78">
      <c r="B3099" s="7"/>
      <c r="O3099" s="7"/>
      <c r="X3099" s="7"/>
      <c r="AG3099" s="7"/>
      <c r="AP3099" s="7"/>
      <c r="AY3099" s="7"/>
      <c r="BH3099" s="7"/>
      <c r="BQ3099" s="7"/>
      <c r="BZ3099" s="7"/>
    </row>
    <row r="3100" spans="2:78">
      <c r="B3100" s="7"/>
      <c r="O3100" s="7"/>
      <c r="X3100" s="7"/>
      <c r="AG3100" s="7"/>
      <c r="AP3100" s="7"/>
      <c r="AY3100" s="7"/>
      <c r="BH3100" s="7"/>
      <c r="BQ3100" s="7"/>
      <c r="BZ3100" s="7"/>
    </row>
    <row r="3101" spans="2:78">
      <c r="B3101" s="7"/>
      <c r="O3101" s="7"/>
      <c r="X3101" s="7"/>
      <c r="AG3101" s="7"/>
      <c r="AP3101" s="7"/>
      <c r="AY3101" s="7"/>
      <c r="BH3101" s="7"/>
      <c r="BQ3101" s="7"/>
      <c r="BZ3101" s="7"/>
    </row>
    <row r="3102" spans="2:78">
      <c r="B3102" s="7"/>
      <c r="O3102" s="7"/>
      <c r="X3102" s="7"/>
      <c r="AG3102" s="7"/>
      <c r="AP3102" s="7"/>
      <c r="AY3102" s="7"/>
      <c r="BH3102" s="7"/>
      <c r="BQ3102" s="7"/>
      <c r="BZ3102" s="7"/>
    </row>
    <row r="3103" spans="2:78">
      <c r="B3103" s="7"/>
      <c r="O3103" s="7"/>
      <c r="X3103" s="7"/>
      <c r="AG3103" s="7"/>
      <c r="AP3103" s="7"/>
      <c r="AY3103" s="7"/>
      <c r="BH3103" s="7"/>
      <c r="BQ3103" s="7"/>
      <c r="BZ3103" s="7"/>
    </row>
    <row r="3104" spans="2:78">
      <c r="B3104" s="7"/>
      <c r="O3104" s="7"/>
      <c r="X3104" s="7"/>
      <c r="AG3104" s="7"/>
      <c r="AP3104" s="7"/>
      <c r="AY3104" s="7"/>
      <c r="BH3104" s="7"/>
      <c r="BQ3104" s="7"/>
      <c r="BZ3104" s="7"/>
    </row>
    <row r="3105" spans="2:78">
      <c r="B3105" s="7"/>
      <c r="O3105" s="7"/>
      <c r="X3105" s="7"/>
      <c r="AG3105" s="7"/>
      <c r="AP3105" s="7"/>
      <c r="AY3105" s="7"/>
      <c r="BH3105" s="7"/>
      <c r="BQ3105" s="7"/>
      <c r="BZ3105" s="7"/>
    </row>
    <row r="3106" spans="2:78">
      <c r="B3106" s="7"/>
      <c r="O3106" s="7"/>
      <c r="X3106" s="7"/>
      <c r="AG3106" s="7"/>
      <c r="AP3106" s="7"/>
      <c r="AY3106" s="7"/>
      <c r="BH3106" s="7"/>
      <c r="BQ3106" s="7"/>
      <c r="BZ3106" s="7"/>
    </row>
    <row r="3107" spans="2:78">
      <c r="B3107" s="7"/>
      <c r="O3107" s="7"/>
      <c r="X3107" s="7"/>
      <c r="AG3107" s="7"/>
      <c r="AP3107" s="7"/>
      <c r="AY3107" s="7"/>
      <c r="BH3107" s="7"/>
      <c r="BQ3107" s="7"/>
      <c r="BZ3107" s="7"/>
    </row>
    <row r="3108" spans="2:78">
      <c r="B3108" s="7"/>
      <c r="O3108" s="7"/>
      <c r="X3108" s="7"/>
      <c r="AG3108" s="7"/>
      <c r="AP3108" s="7"/>
      <c r="AY3108" s="7"/>
      <c r="BH3108" s="7"/>
      <c r="BQ3108" s="7"/>
      <c r="BZ3108" s="7"/>
    </row>
    <row r="3109" spans="2:78">
      <c r="B3109" s="7"/>
      <c r="O3109" s="7"/>
      <c r="X3109" s="7"/>
      <c r="AG3109" s="7"/>
      <c r="AP3109" s="7"/>
      <c r="AY3109" s="7"/>
      <c r="BH3109" s="7"/>
      <c r="BQ3109" s="7"/>
      <c r="BZ3109" s="7"/>
    </row>
    <row r="3110" spans="2:78">
      <c r="B3110" s="7"/>
      <c r="O3110" s="7"/>
      <c r="X3110" s="7"/>
      <c r="AG3110" s="7"/>
      <c r="AP3110" s="7"/>
      <c r="AY3110" s="7"/>
      <c r="BH3110" s="7"/>
      <c r="BQ3110" s="7"/>
      <c r="BZ3110" s="7"/>
    </row>
    <row r="3111" spans="2:78">
      <c r="B3111" s="7"/>
      <c r="O3111" s="7"/>
      <c r="X3111" s="7"/>
      <c r="AG3111" s="7"/>
      <c r="AP3111" s="7"/>
      <c r="AY3111" s="7"/>
      <c r="BH3111" s="7"/>
      <c r="BQ3111" s="7"/>
      <c r="BZ3111" s="7"/>
    </row>
    <row r="3112" spans="2:78">
      <c r="B3112" s="7"/>
      <c r="O3112" s="7"/>
      <c r="X3112" s="7"/>
      <c r="AG3112" s="7"/>
      <c r="AP3112" s="7"/>
      <c r="AY3112" s="7"/>
      <c r="BH3112" s="7"/>
      <c r="BQ3112" s="7"/>
      <c r="BZ3112" s="7"/>
    </row>
    <row r="3113" spans="2:78">
      <c r="B3113" s="7"/>
      <c r="O3113" s="7"/>
      <c r="X3113" s="7"/>
      <c r="AG3113" s="7"/>
      <c r="AP3113" s="7"/>
      <c r="AY3113" s="7"/>
      <c r="BH3113" s="7"/>
      <c r="BQ3113" s="7"/>
      <c r="BZ3113" s="7"/>
    </row>
    <row r="3114" spans="2:78">
      <c r="B3114" s="7"/>
      <c r="O3114" s="7"/>
      <c r="X3114" s="7"/>
      <c r="AG3114" s="7"/>
      <c r="AP3114" s="7"/>
      <c r="AY3114" s="7"/>
      <c r="BH3114" s="7"/>
      <c r="BQ3114" s="7"/>
      <c r="BZ3114" s="7"/>
    </row>
    <row r="3115" spans="2:78">
      <c r="B3115" s="7"/>
      <c r="O3115" s="7"/>
      <c r="X3115" s="7"/>
      <c r="AG3115" s="7"/>
      <c r="AP3115" s="7"/>
      <c r="AY3115" s="7"/>
      <c r="BH3115" s="7"/>
      <c r="BQ3115" s="7"/>
      <c r="BZ3115" s="7"/>
    </row>
    <row r="3116" spans="2:78">
      <c r="B3116" s="7"/>
      <c r="O3116" s="7"/>
      <c r="X3116" s="7"/>
      <c r="AG3116" s="7"/>
      <c r="AP3116" s="7"/>
      <c r="AY3116" s="7"/>
      <c r="BH3116" s="7"/>
      <c r="BQ3116" s="7"/>
      <c r="BZ3116" s="7"/>
    </row>
    <row r="3117" spans="2:78">
      <c r="B3117" s="7"/>
      <c r="O3117" s="7"/>
      <c r="X3117" s="7"/>
      <c r="AG3117" s="7"/>
      <c r="AP3117" s="7"/>
      <c r="AY3117" s="7"/>
      <c r="BH3117" s="7"/>
      <c r="BQ3117" s="7"/>
      <c r="BZ3117" s="7"/>
    </row>
    <row r="3118" spans="2:78">
      <c r="B3118" s="7"/>
      <c r="O3118" s="7"/>
      <c r="X3118" s="7"/>
      <c r="AG3118" s="7"/>
      <c r="AP3118" s="7"/>
      <c r="AY3118" s="7"/>
      <c r="BH3118" s="7"/>
      <c r="BQ3118" s="7"/>
      <c r="BZ3118" s="7"/>
    </row>
    <row r="3119" spans="2:78">
      <c r="B3119" s="7"/>
      <c r="O3119" s="7"/>
      <c r="X3119" s="7"/>
      <c r="AG3119" s="7"/>
      <c r="AP3119" s="7"/>
      <c r="AY3119" s="7"/>
      <c r="BH3119" s="7"/>
      <c r="BQ3119" s="7"/>
      <c r="BZ3119" s="7"/>
    </row>
    <row r="3120" spans="2:78">
      <c r="B3120" s="7"/>
      <c r="O3120" s="7"/>
      <c r="X3120" s="7"/>
      <c r="AG3120" s="7"/>
      <c r="AP3120" s="7"/>
      <c r="AY3120" s="7"/>
      <c r="BH3120" s="7"/>
      <c r="BQ3120" s="7"/>
      <c r="BZ3120" s="7"/>
    </row>
    <row r="3121" spans="2:78">
      <c r="B3121" s="7"/>
      <c r="O3121" s="7"/>
      <c r="X3121" s="7"/>
      <c r="AG3121" s="7"/>
      <c r="AP3121" s="7"/>
      <c r="AY3121" s="7"/>
      <c r="BH3121" s="7"/>
      <c r="BQ3121" s="7"/>
      <c r="BZ3121" s="7"/>
    </row>
    <row r="3122" spans="2:78">
      <c r="B3122" s="7"/>
      <c r="O3122" s="7"/>
      <c r="X3122" s="7"/>
      <c r="AG3122" s="7"/>
      <c r="AP3122" s="7"/>
      <c r="AY3122" s="7"/>
      <c r="BH3122" s="7"/>
      <c r="BQ3122" s="7"/>
      <c r="BZ3122" s="7"/>
    </row>
    <row r="3123" spans="2:78">
      <c r="B3123" s="7"/>
      <c r="O3123" s="7"/>
      <c r="X3123" s="7"/>
      <c r="AG3123" s="7"/>
      <c r="AP3123" s="7"/>
      <c r="AY3123" s="7"/>
      <c r="BH3123" s="7"/>
      <c r="BQ3123" s="7"/>
      <c r="BZ3123" s="7"/>
    </row>
    <row r="3124" spans="2:78">
      <c r="B3124" s="7"/>
      <c r="O3124" s="7"/>
      <c r="X3124" s="7"/>
      <c r="AG3124" s="7"/>
      <c r="AP3124" s="7"/>
      <c r="AY3124" s="7"/>
      <c r="BH3124" s="7"/>
      <c r="BQ3124" s="7"/>
      <c r="BZ3124" s="7"/>
    </row>
    <row r="3125" spans="2:78">
      <c r="B3125" s="7"/>
      <c r="O3125" s="7"/>
      <c r="X3125" s="7"/>
      <c r="AG3125" s="7"/>
      <c r="AP3125" s="7"/>
      <c r="AY3125" s="7"/>
      <c r="BH3125" s="7"/>
      <c r="BQ3125" s="7"/>
      <c r="BZ3125" s="7"/>
    </row>
    <row r="3126" spans="2:78">
      <c r="B3126" s="7"/>
      <c r="O3126" s="7"/>
      <c r="X3126" s="7"/>
      <c r="AG3126" s="7"/>
      <c r="AP3126" s="7"/>
      <c r="AY3126" s="7"/>
      <c r="BH3126" s="7"/>
      <c r="BQ3126" s="7"/>
      <c r="BZ3126" s="7"/>
    </row>
    <row r="3127" spans="2:78">
      <c r="B3127" s="7"/>
      <c r="O3127" s="7"/>
      <c r="X3127" s="7"/>
      <c r="AG3127" s="7"/>
      <c r="AP3127" s="7"/>
      <c r="AY3127" s="7"/>
      <c r="BH3127" s="7"/>
      <c r="BQ3127" s="7"/>
      <c r="BZ3127" s="7"/>
    </row>
    <row r="3128" spans="2:78">
      <c r="B3128" s="7"/>
      <c r="O3128" s="7"/>
      <c r="X3128" s="7"/>
      <c r="AG3128" s="7"/>
      <c r="AP3128" s="7"/>
      <c r="AY3128" s="7"/>
      <c r="BH3128" s="7"/>
      <c r="BQ3128" s="7"/>
      <c r="BZ3128" s="7"/>
    </row>
    <row r="3129" spans="2:78">
      <c r="B3129" s="7"/>
      <c r="O3129" s="7"/>
      <c r="X3129" s="7"/>
      <c r="AG3129" s="7"/>
      <c r="AP3129" s="7"/>
      <c r="AY3129" s="7"/>
      <c r="BH3129" s="7"/>
      <c r="BQ3129" s="7"/>
      <c r="BZ3129" s="7"/>
    </row>
    <row r="3130" spans="2:78">
      <c r="B3130" s="7"/>
      <c r="O3130" s="7"/>
      <c r="X3130" s="7"/>
      <c r="AG3130" s="7"/>
      <c r="AP3130" s="7"/>
      <c r="AY3130" s="7"/>
      <c r="BH3130" s="7"/>
      <c r="BQ3130" s="7"/>
      <c r="BZ3130" s="7"/>
    </row>
    <row r="3131" spans="2:78">
      <c r="B3131" s="7"/>
      <c r="O3131" s="7"/>
      <c r="X3131" s="7"/>
      <c r="AG3131" s="7"/>
      <c r="AP3131" s="7"/>
      <c r="AY3131" s="7"/>
      <c r="BH3131" s="7"/>
      <c r="BQ3131" s="7"/>
      <c r="BZ3131" s="7"/>
    </row>
    <row r="3132" spans="2:78">
      <c r="B3132" s="7"/>
      <c r="O3132" s="7"/>
      <c r="X3132" s="7"/>
      <c r="AG3132" s="7"/>
      <c r="AP3132" s="7"/>
      <c r="AY3132" s="7"/>
      <c r="BH3132" s="7"/>
      <c r="BQ3132" s="7"/>
      <c r="BZ3132" s="7"/>
    </row>
    <row r="3133" spans="2:78">
      <c r="B3133" s="7"/>
      <c r="O3133" s="7"/>
      <c r="X3133" s="7"/>
      <c r="AG3133" s="7"/>
      <c r="AP3133" s="7"/>
      <c r="AY3133" s="7"/>
      <c r="BH3133" s="7"/>
      <c r="BQ3133" s="7"/>
      <c r="BZ3133" s="7"/>
    </row>
    <row r="3134" spans="2:78">
      <c r="B3134" s="7"/>
      <c r="O3134" s="7"/>
      <c r="X3134" s="7"/>
      <c r="AG3134" s="7"/>
      <c r="AP3134" s="7"/>
      <c r="AY3134" s="7"/>
      <c r="BH3134" s="7"/>
      <c r="BQ3134" s="7"/>
      <c r="BZ3134" s="7"/>
    </row>
    <row r="3135" spans="2:78">
      <c r="B3135" s="7"/>
      <c r="O3135" s="7"/>
      <c r="X3135" s="7"/>
      <c r="AG3135" s="7"/>
      <c r="AP3135" s="7"/>
      <c r="AY3135" s="7"/>
      <c r="BH3135" s="7"/>
      <c r="BQ3135" s="7"/>
      <c r="BZ3135" s="7"/>
    </row>
    <row r="3136" spans="2:78">
      <c r="B3136" s="7"/>
      <c r="O3136" s="7"/>
      <c r="X3136" s="7"/>
      <c r="AG3136" s="7"/>
      <c r="AP3136" s="7"/>
      <c r="AY3136" s="7"/>
      <c r="BH3136" s="7"/>
      <c r="BQ3136" s="7"/>
      <c r="BZ3136" s="7"/>
    </row>
    <row r="3137" spans="2:78">
      <c r="B3137" s="7"/>
      <c r="O3137" s="7"/>
      <c r="X3137" s="7"/>
      <c r="AG3137" s="7"/>
      <c r="AP3137" s="7"/>
      <c r="AY3137" s="7"/>
      <c r="BH3137" s="7"/>
      <c r="BQ3137" s="7"/>
      <c r="BZ3137" s="7"/>
    </row>
    <row r="3138" spans="2:78">
      <c r="B3138" s="7"/>
      <c r="O3138" s="7"/>
      <c r="X3138" s="7"/>
      <c r="AG3138" s="7"/>
      <c r="AP3138" s="7"/>
      <c r="AY3138" s="7"/>
      <c r="BH3138" s="7"/>
      <c r="BQ3138" s="7"/>
      <c r="BZ3138" s="7"/>
    </row>
    <row r="3139" spans="2:78">
      <c r="B3139" s="7"/>
      <c r="O3139" s="7"/>
      <c r="X3139" s="7"/>
      <c r="AG3139" s="7"/>
      <c r="AP3139" s="7"/>
      <c r="AY3139" s="7"/>
      <c r="BH3139" s="7"/>
      <c r="BQ3139" s="7"/>
      <c r="BZ3139" s="7"/>
    </row>
    <row r="3140" spans="2:78">
      <c r="B3140" s="7"/>
      <c r="O3140" s="7"/>
      <c r="X3140" s="7"/>
      <c r="AG3140" s="7"/>
      <c r="AP3140" s="7"/>
      <c r="AY3140" s="7"/>
      <c r="BH3140" s="7"/>
      <c r="BQ3140" s="7"/>
      <c r="BZ3140" s="7"/>
    </row>
    <row r="3141" spans="2:78">
      <c r="B3141" s="7"/>
      <c r="O3141" s="7"/>
      <c r="X3141" s="7"/>
      <c r="AG3141" s="7"/>
      <c r="AP3141" s="7"/>
      <c r="AY3141" s="7"/>
      <c r="BH3141" s="7"/>
      <c r="BQ3141" s="7"/>
      <c r="BZ3141" s="7"/>
    </row>
    <row r="3142" spans="2:78">
      <c r="B3142" s="7"/>
      <c r="O3142" s="7"/>
      <c r="X3142" s="7"/>
      <c r="AG3142" s="7"/>
      <c r="AP3142" s="7"/>
      <c r="AY3142" s="7"/>
      <c r="BH3142" s="7"/>
      <c r="BQ3142" s="7"/>
      <c r="BZ3142" s="7"/>
    </row>
    <row r="3143" spans="2:78">
      <c r="B3143" s="7"/>
      <c r="O3143" s="7"/>
      <c r="X3143" s="7"/>
      <c r="AG3143" s="7"/>
      <c r="AP3143" s="7"/>
      <c r="AY3143" s="7"/>
      <c r="BH3143" s="7"/>
      <c r="BQ3143" s="7"/>
      <c r="BZ3143" s="7"/>
    </row>
    <row r="3144" spans="2:78">
      <c r="B3144" s="7"/>
      <c r="O3144" s="7"/>
      <c r="X3144" s="7"/>
      <c r="AG3144" s="7"/>
      <c r="AP3144" s="7"/>
      <c r="AY3144" s="7"/>
      <c r="BH3144" s="7"/>
      <c r="BQ3144" s="7"/>
      <c r="BZ3144" s="7"/>
    </row>
    <row r="3145" spans="2:78">
      <c r="B3145" s="7"/>
      <c r="O3145" s="7"/>
      <c r="X3145" s="7"/>
      <c r="AG3145" s="7"/>
      <c r="AP3145" s="7"/>
      <c r="AY3145" s="7"/>
      <c r="BH3145" s="7"/>
      <c r="BQ3145" s="7"/>
      <c r="BZ3145" s="7"/>
    </row>
    <row r="3146" spans="2:78">
      <c r="B3146" s="7"/>
      <c r="O3146" s="7"/>
      <c r="X3146" s="7"/>
      <c r="AG3146" s="7"/>
      <c r="AP3146" s="7"/>
      <c r="AY3146" s="7"/>
      <c r="BH3146" s="7"/>
      <c r="BQ3146" s="7"/>
      <c r="BZ3146" s="7"/>
    </row>
    <row r="3147" spans="2:78">
      <c r="B3147" s="7"/>
      <c r="O3147" s="7"/>
      <c r="X3147" s="7"/>
      <c r="AG3147" s="7"/>
      <c r="AP3147" s="7"/>
      <c r="AY3147" s="7"/>
      <c r="BH3147" s="7"/>
      <c r="BQ3147" s="7"/>
      <c r="BZ3147" s="7"/>
    </row>
    <row r="3148" spans="2:78">
      <c r="B3148" s="7"/>
      <c r="O3148" s="7"/>
      <c r="X3148" s="7"/>
      <c r="AG3148" s="7"/>
      <c r="AP3148" s="7"/>
      <c r="AY3148" s="7"/>
      <c r="BH3148" s="7"/>
      <c r="BQ3148" s="7"/>
      <c r="BZ3148" s="7"/>
    </row>
    <row r="3149" spans="2:78">
      <c r="B3149" s="7"/>
      <c r="O3149" s="7"/>
      <c r="X3149" s="7"/>
      <c r="AG3149" s="7"/>
      <c r="AP3149" s="7"/>
      <c r="AY3149" s="7"/>
      <c r="BH3149" s="7"/>
      <c r="BQ3149" s="7"/>
      <c r="BZ3149" s="7"/>
    </row>
    <row r="3150" spans="2:78">
      <c r="B3150" s="7"/>
      <c r="O3150" s="7"/>
      <c r="X3150" s="7"/>
      <c r="AG3150" s="7"/>
      <c r="AP3150" s="7"/>
      <c r="AY3150" s="7"/>
      <c r="BH3150" s="7"/>
      <c r="BQ3150" s="7"/>
      <c r="BZ3150" s="7"/>
    </row>
    <row r="3151" spans="2:78">
      <c r="B3151" s="7"/>
      <c r="O3151" s="7"/>
      <c r="X3151" s="7"/>
      <c r="AG3151" s="7"/>
      <c r="AP3151" s="7"/>
      <c r="AY3151" s="7"/>
      <c r="BH3151" s="7"/>
      <c r="BQ3151" s="7"/>
      <c r="BZ3151" s="7"/>
    </row>
    <row r="3152" spans="2:78">
      <c r="B3152" s="7"/>
      <c r="O3152" s="7"/>
      <c r="X3152" s="7"/>
      <c r="AG3152" s="7"/>
      <c r="AP3152" s="7"/>
      <c r="AY3152" s="7"/>
      <c r="BH3152" s="7"/>
      <c r="BQ3152" s="7"/>
      <c r="BZ3152" s="7"/>
    </row>
    <row r="3153" spans="2:78">
      <c r="B3153" s="7"/>
      <c r="O3153" s="7"/>
      <c r="X3153" s="7"/>
      <c r="AG3153" s="7"/>
      <c r="AP3153" s="7"/>
      <c r="AY3153" s="7"/>
      <c r="BH3153" s="7"/>
      <c r="BQ3153" s="7"/>
      <c r="BZ3153" s="7"/>
    </row>
    <row r="3154" spans="2:78">
      <c r="B3154" s="7"/>
      <c r="O3154" s="7"/>
      <c r="X3154" s="7"/>
      <c r="AG3154" s="7"/>
      <c r="AP3154" s="7"/>
      <c r="AY3154" s="7"/>
      <c r="BH3154" s="7"/>
      <c r="BQ3154" s="7"/>
      <c r="BZ3154" s="7"/>
    </row>
    <row r="3155" spans="2:78">
      <c r="B3155" s="7"/>
      <c r="O3155" s="7"/>
      <c r="X3155" s="7"/>
      <c r="AG3155" s="7"/>
      <c r="AP3155" s="7"/>
      <c r="AY3155" s="7"/>
      <c r="BH3155" s="7"/>
      <c r="BQ3155" s="7"/>
      <c r="BZ3155" s="7"/>
    </row>
    <row r="3156" spans="2:78">
      <c r="B3156" s="7"/>
      <c r="O3156" s="7"/>
      <c r="X3156" s="7"/>
      <c r="AG3156" s="7"/>
      <c r="AP3156" s="7"/>
      <c r="AY3156" s="7"/>
      <c r="BH3156" s="7"/>
      <c r="BQ3156" s="7"/>
      <c r="BZ3156" s="7"/>
    </row>
    <row r="3157" spans="2:78">
      <c r="B3157" s="7"/>
      <c r="O3157" s="7"/>
      <c r="X3157" s="7"/>
      <c r="AG3157" s="7"/>
      <c r="AP3157" s="7"/>
      <c r="AY3157" s="7"/>
      <c r="BH3157" s="7"/>
      <c r="BQ3157" s="7"/>
      <c r="BZ3157" s="7"/>
    </row>
    <row r="3158" spans="2:78">
      <c r="B3158" s="7"/>
      <c r="O3158" s="7"/>
      <c r="X3158" s="7"/>
      <c r="AG3158" s="7"/>
      <c r="AP3158" s="7"/>
      <c r="AY3158" s="7"/>
      <c r="BH3158" s="7"/>
      <c r="BQ3158" s="7"/>
      <c r="BZ3158" s="7"/>
    </row>
    <row r="3159" spans="2:78">
      <c r="B3159" s="7"/>
      <c r="O3159" s="7"/>
      <c r="X3159" s="7"/>
      <c r="AG3159" s="7"/>
      <c r="AP3159" s="7"/>
      <c r="AY3159" s="7"/>
      <c r="BH3159" s="7"/>
      <c r="BQ3159" s="7"/>
      <c r="BZ3159" s="7"/>
    </row>
    <row r="3160" spans="2:78">
      <c r="B3160" s="7"/>
      <c r="O3160" s="7"/>
      <c r="X3160" s="7"/>
      <c r="AG3160" s="7"/>
      <c r="AP3160" s="7"/>
      <c r="AY3160" s="7"/>
      <c r="BH3160" s="7"/>
      <c r="BQ3160" s="7"/>
      <c r="BZ3160" s="7"/>
    </row>
    <row r="3161" spans="2:78">
      <c r="B3161" s="7"/>
      <c r="O3161" s="7"/>
      <c r="X3161" s="7"/>
      <c r="AG3161" s="7"/>
      <c r="AP3161" s="7"/>
      <c r="AY3161" s="7"/>
      <c r="BH3161" s="7"/>
      <c r="BQ3161" s="7"/>
      <c r="BZ3161" s="7"/>
    </row>
    <row r="3162" spans="2:78">
      <c r="B3162" s="7"/>
      <c r="O3162" s="7"/>
      <c r="X3162" s="7"/>
      <c r="AG3162" s="7"/>
      <c r="AP3162" s="7"/>
      <c r="AY3162" s="7"/>
      <c r="BH3162" s="7"/>
      <c r="BQ3162" s="7"/>
      <c r="BZ3162" s="7"/>
    </row>
    <row r="3163" spans="2:78">
      <c r="B3163" s="7"/>
      <c r="O3163" s="7"/>
      <c r="X3163" s="7"/>
      <c r="AG3163" s="7"/>
      <c r="AP3163" s="7"/>
      <c r="AY3163" s="7"/>
      <c r="BH3163" s="7"/>
      <c r="BQ3163" s="7"/>
      <c r="BZ3163" s="7"/>
    </row>
    <row r="3164" spans="2:78">
      <c r="B3164" s="7"/>
      <c r="O3164" s="7"/>
      <c r="X3164" s="7"/>
      <c r="AG3164" s="7"/>
      <c r="AP3164" s="7"/>
      <c r="AY3164" s="7"/>
      <c r="BH3164" s="7"/>
      <c r="BQ3164" s="7"/>
      <c r="BZ3164" s="7"/>
    </row>
    <row r="3165" spans="2:78">
      <c r="B3165" s="7"/>
      <c r="O3165" s="7"/>
      <c r="X3165" s="7"/>
      <c r="AG3165" s="7"/>
      <c r="AP3165" s="7"/>
      <c r="AY3165" s="7"/>
      <c r="BH3165" s="7"/>
      <c r="BQ3165" s="7"/>
      <c r="BZ3165" s="7"/>
    </row>
    <row r="3166" spans="2:78">
      <c r="B3166" s="7"/>
      <c r="O3166" s="7"/>
      <c r="X3166" s="7"/>
      <c r="AG3166" s="7"/>
      <c r="AP3166" s="7"/>
      <c r="AY3166" s="7"/>
      <c r="BH3166" s="7"/>
      <c r="BQ3166" s="7"/>
      <c r="BZ3166" s="7"/>
    </row>
    <row r="3167" spans="2:78">
      <c r="B3167" s="7"/>
      <c r="O3167" s="7"/>
      <c r="X3167" s="7"/>
      <c r="AG3167" s="7"/>
      <c r="AP3167" s="7"/>
      <c r="AY3167" s="7"/>
      <c r="BH3167" s="7"/>
      <c r="BQ3167" s="7"/>
      <c r="BZ3167" s="7"/>
    </row>
    <row r="3168" spans="2:78">
      <c r="B3168" s="7"/>
      <c r="O3168" s="7"/>
      <c r="X3168" s="7"/>
      <c r="AG3168" s="7"/>
      <c r="AP3168" s="7"/>
      <c r="AY3168" s="7"/>
      <c r="BH3168" s="7"/>
      <c r="BQ3168" s="7"/>
      <c r="BZ3168" s="7"/>
    </row>
    <row r="3169" spans="2:78">
      <c r="B3169" s="7"/>
      <c r="O3169" s="7"/>
      <c r="X3169" s="7"/>
      <c r="AG3169" s="7"/>
      <c r="AP3169" s="7"/>
      <c r="AY3169" s="7"/>
      <c r="BH3169" s="7"/>
      <c r="BQ3169" s="7"/>
      <c r="BZ3169" s="7"/>
    </row>
    <row r="3170" spans="2:78">
      <c r="B3170" s="7"/>
      <c r="O3170" s="7"/>
      <c r="X3170" s="7"/>
      <c r="AG3170" s="7"/>
      <c r="AP3170" s="7"/>
      <c r="AY3170" s="7"/>
      <c r="BH3170" s="7"/>
      <c r="BQ3170" s="7"/>
      <c r="BZ3170" s="7"/>
    </row>
    <row r="3171" spans="2:78">
      <c r="B3171" s="7"/>
      <c r="O3171" s="7"/>
      <c r="X3171" s="7"/>
      <c r="AG3171" s="7"/>
      <c r="AP3171" s="7"/>
      <c r="AY3171" s="7"/>
      <c r="BH3171" s="7"/>
      <c r="BQ3171" s="7"/>
      <c r="BZ3171" s="7"/>
    </row>
    <row r="3172" spans="2:78">
      <c r="B3172" s="7"/>
      <c r="O3172" s="7"/>
      <c r="X3172" s="7"/>
      <c r="AG3172" s="7"/>
      <c r="AP3172" s="7"/>
      <c r="AY3172" s="7"/>
      <c r="BH3172" s="7"/>
      <c r="BQ3172" s="7"/>
      <c r="BZ3172" s="7"/>
    </row>
    <row r="3173" spans="2:78">
      <c r="B3173" s="7"/>
      <c r="O3173" s="7"/>
      <c r="X3173" s="7"/>
      <c r="AG3173" s="7"/>
      <c r="AP3173" s="7"/>
      <c r="AY3173" s="7"/>
      <c r="BH3173" s="7"/>
      <c r="BQ3173" s="7"/>
      <c r="BZ3173" s="7"/>
    </row>
    <row r="3174" spans="2:78">
      <c r="B3174" s="7"/>
      <c r="O3174" s="7"/>
      <c r="X3174" s="7"/>
      <c r="AG3174" s="7"/>
      <c r="AP3174" s="7"/>
      <c r="AY3174" s="7"/>
      <c r="BH3174" s="7"/>
      <c r="BQ3174" s="7"/>
      <c r="BZ3174" s="7"/>
    </row>
    <row r="3175" spans="2:78">
      <c r="B3175" s="7"/>
      <c r="O3175" s="7"/>
      <c r="X3175" s="7"/>
      <c r="AG3175" s="7"/>
      <c r="AP3175" s="7"/>
      <c r="AY3175" s="7"/>
      <c r="BH3175" s="7"/>
      <c r="BQ3175" s="7"/>
      <c r="BZ3175" s="7"/>
    </row>
    <row r="3176" spans="2:78">
      <c r="B3176" s="7"/>
      <c r="O3176" s="7"/>
      <c r="X3176" s="7"/>
      <c r="AG3176" s="7"/>
      <c r="AP3176" s="7"/>
      <c r="AY3176" s="7"/>
      <c r="BH3176" s="7"/>
      <c r="BQ3176" s="7"/>
      <c r="BZ3176" s="7"/>
    </row>
    <row r="3177" spans="2:78">
      <c r="B3177" s="7"/>
      <c r="O3177" s="7"/>
      <c r="X3177" s="7"/>
      <c r="AG3177" s="7"/>
      <c r="AP3177" s="7"/>
      <c r="AY3177" s="7"/>
      <c r="BH3177" s="7"/>
      <c r="BQ3177" s="7"/>
      <c r="BZ3177" s="7"/>
    </row>
    <row r="3178" spans="2:78">
      <c r="B3178" s="7"/>
      <c r="O3178" s="7"/>
      <c r="X3178" s="7"/>
      <c r="AG3178" s="7"/>
      <c r="AP3178" s="7"/>
      <c r="AY3178" s="7"/>
      <c r="BH3178" s="7"/>
      <c r="BQ3178" s="7"/>
      <c r="BZ3178" s="7"/>
    </row>
    <row r="3179" spans="2:78">
      <c r="B3179" s="7"/>
      <c r="O3179" s="7"/>
      <c r="X3179" s="7"/>
      <c r="AG3179" s="7"/>
      <c r="AP3179" s="7"/>
      <c r="AY3179" s="7"/>
      <c r="BH3179" s="7"/>
      <c r="BQ3179" s="7"/>
      <c r="BZ3179" s="7"/>
    </row>
    <row r="3180" spans="2:78">
      <c r="B3180" s="7"/>
      <c r="O3180" s="7"/>
      <c r="X3180" s="7"/>
      <c r="AG3180" s="7"/>
      <c r="AP3180" s="7"/>
      <c r="AY3180" s="7"/>
      <c r="BH3180" s="7"/>
      <c r="BQ3180" s="7"/>
      <c r="BZ3180" s="7"/>
    </row>
    <row r="3181" spans="2:78">
      <c r="B3181" s="7"/>
      <c r="O3181" s="7"/>
      <c r="X3181" s="7"/>
      <c r="AG3181" s="7"/>
      <c r="AP3181" s="7"/>
      <c r="AY3181" s="7"/>
      <c r="BH3181" s="7"/>
      <c r="BQ3181" s="7"/>
      <c r="BZ3181" s="7"/>
    </row>
    <row r="3182" spans="2:78">
      <c r="B3182" s="7"/>
      <c r="O3182" s="7"/>
      <c r="X3182" s="7"/>
      <c r="AG3182" s="7"/>
      <c r="AP3182" s="7"/>
      <c r="AY3182" s="7"/>
      <c r="BH3182" s="7"/>
      <c r="BQ3182" s="7"/>
      <c r="BZ3182" s="7"/>
    </row>
    <row r="3183" spans="2:78">
      <c r="B3183" s="7"/>
      <c r="O3183" s="7"/>
      <c r="X3183" s="7"/>
      <c r="AG3183" s="7"/>
      <c r="AP3183" s="7"/>
      <c r="AY3183" s="7"/>
      <c r="BH3183" s="7"/>
      <c r="BQ3183" s="7"/>
      <c r="BZ3183" s="7"/>
    </row>
    <row r="3184" spans="2:78">
      <c r="B3184" s="7"/>
      <c r="O3184" s="7"/>
      <c r="X3184" s="7"/>
      <c r="AG3184" s="7"/>
      <c r="AP3184" s="7"/>
      <c r="AY3184" s="7"/>
      <c r="BH3184" s="7"/>
      <c r="BQ3184" s="7"/>
      <c r="BZ3184" s="7"/>
    </row>
    <row r="3185" spans="2:78">
      <c r="B3185" s="7"/>
      <c r="O3185" s="7"/>
      <c r="X3185" s="7"/>
      <c r="AG3185" s="7"/>
      <c r="AP3185" s="7"/>
      <c r="AY3185" s="7"/>
      <c r="BH3185" s="7"/>
      <c r="BQ3185" s="7"/>
      <c r="BZ3185" s="7"/>
    </row>
    <row r="3186" spans="2:78">
      <c r="B3186" s="7"/>
      <c r="O3186" s="7"/>
      <c r="X3186" s="7"/>
      <c r="AG3186" s="7"/>
      <c r="AP3186" s="7"/>
      <c r="AY3186" s="7"/>
      <c r="BH3186" s="7"/>
      <c r="BQ3186" s="7"/>
      <c r="BZ3186" s="7"/>
    </row>
    <row r="3187" spans="2:78">
      <c r="B3187" s="7"/>
      <c r="O3187" s="7"/>
      <c r="X3187" s="7"/>
      <c r="AG3187" s="7"/>
      <c r="AP3187" s="7"/>
      <c r="AY3187" s="7"/>
      <c r="BH3187" s="7"/>
      <c r="BQ3187" s="7"/>
      <c r="BZ3187" s="7"/>
    </row>
    <row r="3188" spans="2:78">
      <c r="B3188" s="7"/>
      <c r="O3188" s="7"/>
      <c r="X3188" s="7"/>
      <c r="AG3188" s="7"/>
      <c r="AP3188" s="7"/>
      <c r="AY3188" s="7"/>
      <c r="BH3188" s="7"/>
      <c r="BQ3188" s="7"/>
      <c r="BZ3188" s="7"/>
    </row>
    <row r="3189" spans="2:78">
      <c r="B3189" s="7"/>
      <c r="O3189" s="7"/>
      <c r="X3189" s="7"/>
      <c r="AG3189" s="7"/>
      <c r="AP3189" s="7"/>
      <c r="AY3189" s="7"/>
      <c r="BH3189" s="7"/>
      <c r="BQ3189" s="7"/>
      <c r="BZ3189" s="7"/>
    </row>
    <row r="3190" spans="2:78">
      <c r="B3190" s="7"/>
      <c r="O3190" s="7"/>
      <c r="X3190" s="7"/>
      <c r="AG3190" s="7"/>
      <c r="AP3190" s="7"/>
      <c r="AY3190" s="7"/>
      <c r="BH3190" s="7"/>
      <c r="BQ3190" s="7"/>
      <c r="BZ3190" s="7"/>
    </row>
    <row r="3191" spans="2:78">
      <c r="B3191" s="7"/>
      <c r="O3191" s="7"/>
      <c r="X3191" s="7"/>
      <c r="AG3191" s="7"/>
      <c r="AP3191" s="7"/>
      <c r="AY3191" s="7"/>
      <c r="BH3191" s="7"/>
      <c r="BQ3191" s="7"/>
      <c r="BZ3191" s="7"/>
    </row>
    <row r="3192" spans="2:78">
      <c r="B3192" s="7"/>
      <c r="O3192" s="7"/>
      <c r="X3192" s="7"/>
      <c r="AG3192" s="7"/>
      <c r="AP3192" s="7"/>
      <c r="AY3192" s="7"/>
      <c r="BH3192" s="7"/>
      <c r="BQ3192" s="7"/>
      <c r="BZ3192" s="7"/>
    </row>
    <row r="3193" spans="2:78">
      <c r="B3193" s="7"/>
      <c r="O3193" s="7"/>
      <c r="X3193" s="7"/>
      <c r="AG3193" s="7"/>
      <c r="AP3193" s="7"/>
      <c r="AY3193" s="7"/>
      <c r="BH3193" s="7"/>
      <c r="BQ3193" s="7"/>
      <c r="BZ3193" s="7"/>
    </row>
    <row r="3194" spans="2:78">
      <c r="B3194" s="7"/>
      <c r="O3194" s="7"/>
      <c r="X3194" s="7"/>
      <c r="AG3194" s="7"/>
      <c r="AP3194" s="7"/>
      <c r="AY3194" s="7"/>
      <c r="BH3194" s="7"/>
      <c r="BQ3194" s="7"/>
      <c r="BZ3194" s="7"/>
    </row>
    <row r="3195" spans="2:78">
      <c r="B3195" s="7"/>
      <c r="O3195" s="7"/>
      <c r="X3195" s="7"/>
      <c r="AG3195" s="7"/>
      <c r="AP3195" s="7"/>
      <c r="AY3195" s="7"/>
      <c r="BH3195" s="7"/>
      <c r="BQ3195" s="7"/>
      <c r="BZ3195" s="7"/>
    </row>
    <row r="3196" spans="2:78">
      <c r="B3196" s="7"/>
      <c r="O3196" s="7"/>
      <c r="X3196" s="7"/>
      <c r="AG3196" s="7"/>
      <c r="AP3196" s="7"/>
      <c r="AY3196" s="7"/>
      <c r="BH3196" s="7"/>
      <c r="BQ3196" s="7"/>
      <c r="BZ3196" s="7"/>
    </row>
    <row r="3197" spans="2:78">
      <c r="B3197" s="7"/>
      <c r="O3197" s="7"/>
      <c r="X3197" s="7"/>
      <c r="AG3197" s="7"/>
      <c r="AP3197" s="7"/>
      <c r="AY3197" s="7"/>
      <c r="BH3197" s="7"/>
      <c r="BQ3197" s="7"/>
      <c r="BZ3197" s="7"/>
    </row>
    <row r="3198" spans="2:78">
      <c r="B3198" s="7"/>
      <c r="O3198" s="7"/>
      <c r="X3198" s="7"/>
      <c r="AG3198" s="7"/>
      <c r="AP3198" s="7"/>
      <c r="AY3198" s="7"/>
      <c r="BH3198" s="7"/>
      <c r="BQ3198" s="7"/>
      <c r="BZ3198" s="7"/>
    </row>
    <row r="3199" spans="2:78">
      <c r="B3199" s="7"/>
      <c r="O3199" s="7"/>
      <c r="X3199" s="7"/>
      <c r="AG3199" s="7"/>
      <c r="AP3199" s="7"/>
      <c r="AY3199" s="7"/>
      <c r="BH3199" s="7"/>
      <c r="BQ3199" s="7"/>
      <c r="BZ3199" s="7"/>
    </row>
    <row r="3200" spans="2:78">
      <c r="B3200" s="7"/>
      <c r="O3200" s="7"/>
      <c r="X3200" s="7"/>
      <c r="AG3200" s="7"/>
      <c r="AP3200" s="7"/>
      <c r="AY3200" s="7"/>
      <c r="BH3200" s="7"/>
      <c r="BQ3200" s="7"/>
      <c r="BZ3200" s="7"/>
    </row>
    <row r="3201" spans="2:78">
      <c r="B3201" s="7"/>
      <c r="O3201" s="7"/>
      <c r="X3201" s="7"/>
      <c r="AG3201" s="7"/>
      <c r="AP3201" s="7"/>
      <c r="AY3201" s="7"/>
      <c r="BH3201" s="7"/>
      <c r="BQ3201" s="7"/>
      <c r="BZ3201" s="7"/>
    </row>
    <row r="3202" spans="2:78">
      <c r="B3202" s="7"/>
      <c r="O3202" s="7"/>
      <c r="X3202" s="7"/>
      <c r="AG3202" s="7"/>
      <c r="AP3202" s="7"/>
      <c r="AY3202" s="7"/>
      <c r="BH3202" s="7"/>
      <c r="BQ3202" s="7"/>
      <c r="BZ3202" s="7"/>
    </row>
    <row r="3203" spans="2:78">
      <c r="B3203" s="7"/>
      <c r="O3203" s="7"/>
      <c r="X3203" s="7"/>
      <c r="AG3203" s="7"/>
      <c r="AP3203" s="7"/>
      <c r="AY3203" s="7"/>
      <c r="BH3203" s="7"/>
      <c r="BQ3203" s="7"/>
      <c r="BZ3203" s="7"/>
    </row>
    <row r="3204" spans="2:78">
      <c r="B3204" s="7"/>
      <c r="O3204" s="7"/>
      <c r="X3204" s="7"/>
      <c r="AG3204" s="7"/>
      <c r="AP3204" s="7"/>
      <c r="AY3204" s="7"/>
      <c r="BH3204" s="7"/>
      <c r="BQ3204" s="7"/>
      <c r="BZ3204" s="7"/>
    </row>
    <row r="3205" spans="2:78">
      <c r="B3205" s="7"/>
      <c r="O3205" s="7"/>
      <c r="X3205" s="7"/>
      <c r="AG3205" s="7"/>
      <c r="AP3205" s="7"/>
      <c r="AY3205" s="7"/>
      <c r="BH3205" s="7"/>
      <c r="BQ3205" s="7"/>
      <c r="BZ3205" s="7"/>
    </row>
    <row r="3206" spans="2:78">
      <c r="B3206" s="7"/>
      <c r="O3206" s="7"/>
      <c r="X3206" s="7"/>
      <c r="AG3206" s="7"/>
      <c r="AP3206" s="7"/>
      <c r="AY3206" s="7"/>
      <c r="BH3206" s="7"/>
      <c r="BQ3206" s="7"/>
      <c r="BZ3206" s="7"/>
    </row>
    <row r="3207" spans="2:78">
      <c r="B3207" s="7"/>
      <c r="O3207" s="7"/>
      <c r="X3207" s="7"/>
      <c r="AG3207" s="7"/>
      <c r="AP3207" s="7"/>
      <c r="AY3207" s="7"/>
      <c r="BH3207" s="7"/>
      <c r="BQ3207" s="7"/>
      <c r="BZ3207" s="7"/>
    </row>
    <row r="3208" spans="2:78">
      <c r="B3208" s="7"/>
      <c r="O3208" s="7"/>
      <c r="X3208" s="7"/>
      <c r="AG3208" s="7"/>
      <c r="AP3208" s="7"/>
      <c r="AY3208" s="7"/>
      <c r="BH3208" s="7"/>
      <c r="BQ3208" s="7"/>
      <c r="BZ3208" s="7"/>
    </row>
    <row r="3209" spans="2:78">
      <c r="B3209" s="7"/>
      <c r="O3209" s="7"/>
      <c r="X3209" s="7"/>
      <c r="AG3209" s="7"/>
      <c r="AP3209" s="7"/>
      <c r="AY3209" s="7"/>
      <c r="BH3209" s="7"/>
      <c r="BQ3209" s="7"/>
      <c r="BZ3209" s="7"/>
    </row>
    <row r="3210" spans="2:78">
      <c r="B3210" s="7"/>
      <c r="O3210" s="7"/>
      <c r="X3210" s="7"/>
      <c r="AG3210" s="7"/>
      <c r="AP3210" s="7"/>
      <c r="AY3210" s="7"/>
      <c r="BH3210" s="7"/>
      <c r="BQ3210" s="7"/>
      <c r="BZ3210" s="7"/>
    </row>
    <row r="3211" spans="2:78">
      <c r="B3211" s="7"/>
      <c r="O3211" s="7"/>
      <c r="X3211" s="7"/>
      <c r="AG3211" s="7"/>
      <c r="AP3211" s="7"/>
      <c r="AY3211" s="7"/>
      <c r="BH3211" s="7"/>
      <c r="BQ3211" s="7"/>
      <c r="BZ3211" s="7"/>
    </row>
    <row r="3212" spans="2:78">
      <c r="B3212" s="7"/>
      <c r="O3212" s="7"/>
      <c r="X3212" s="7"/>
      <c r="AG3212" s="7"/>
      <c r="AP3212" s="7"/>
      <c r="AY3212" s="7"/>
      <c r="BH3212" s="7"/>
      <c r="BQ3212" s="7"/>
      <c r="BZ3212" s="7"/>
    </row>
    <row r="3213" spans="2:78">
      <c r="B3213" s="7"/>
      <c r="O3213" s="7"/>
      <c r="X3213" s="7"/>
      <c r="AG3213" s="7"/>
      <c r="AP3213" s="7"/>
      <c r="AY3213" s="7"/>
      <c r="BH3213" s="7"/>
      <c r="BQ3213" s="7"/>
      <c r="BZ3213" s="7"/>
    </row>
    <row r="3214" spans="2:78">
      <c r="B3214" s="7"/>
      <c r="O3214" s="7"/>
      <c r="X3214" s="7"/>
      <c r="AG3214" s="7"/>
      <c r="AP3214" s="7"/>
      <c r="AY3214" s="7"/>
      <c r="BH3214" s="7"/>
      <c r="BQ3214" s="7"/>
      <c r="BZ3214" s="7"/>
    </row>
    <row r="3215" spans="2:78">
      <c r="B3215" s="7"/>
      <c r="O3215" s="7"/>
      <c r="X3215" s="7"/>
      <c r="AG3215" s="7"/>
      <c r="AP3215" s="7"/>
      <c r="AY3215" s="7"/>
      <c r="BH3215" s="7"/>
      <c r="BQ3215" s="7"/>
      <c r="BZ3215" s="7"/>
    </row>
    <row r="3216" spans="2:78">
      <c r="B3216" s="7"/>
      <c r="O3216" s="7"/>
      <c r="X3216" s="7"/>
      <c r="AG3216" s="7"/>
      <c r="AP3216" s="7"/>
      <c r="AY3216" s="7"/>
      <c r="BH3216" s="7"/>
      <c r="BQ3216" s="7"/>
      <c r="BZ3216" s="7"/>
    </row>
    <row r="3217" spans="2:78">
      <c r="B3217" s="7"/>
      <c r="O3217" s="7"/>
      <c r="X3217" s="7"/>
      <c r="AG3217" s="7"/>
      <c r="AP3217" s="7"/>
      <c r="AY3217" s="7"/>
      <c r="BH3217" s="7"/>
      <c r="BQ3217" s="7"/>
      <c r="BZ3217" s="7"/>
    </row>
    <row r="3218" spans="2:78">
      <c r="B3218" s="7"/>
      <c r="O3218" s="7"/>
      <c r="X3218" s="7"/>
      <c r="AG3218" s="7"/>
      <c r="AP3218" s="7"/>
      <c r="AY3218" s="7"/>
      <c r="BH3218" s="7"/>
      <c r="BQ3218" s="7"/>
      <c r="BZ3218" s="7"/>
    </row>
    <row r="3219" spans="2:78">
      <c r="B3219" s="7"/>
      <c r="O3219" s="7"/>
      <c r="X3219" s="7"/>
      <c r="AG3219" s="7"/>
      <c r="AP3219" s="7"/>
      <c r="AY3219" s="7"/>
      <c r="BH3219" s="7"/>
      <c r="BQ3219" s="7"/>
      <c r="BZ3219" s="7"/>
    </row>
    <row r="3220" spans="2:78">
      <c r="B3220" s="7"/>
      <c r="O3220" s="7"/>
      <c r="X3220" s="7"/>
      <c r="AG3220" s="7"/>
      <c r="AP3220" s="7"/>
      <c r="AY3220" s="7"/>
      <c r="BH3220" s="7"/>
      <c r="BQ3220" s="7"/>
      <c r="BZ3220" s="7"/>
    </row>
    <row r="3221" spans="2:78">
      <c r="B3221" s="7"/>
      <c r="O3221" s="7"/>
      <c r="X3221" s="7"/>
      <c r="AG3221" s="7"/>
      <c r="AP3221" s="7"/>
      <c r="AY3221" s="7"/>
      <c r="BH3221" s="7"/>
      <c r="BQ3221" s="7"/>
      <c r="BZ3221" s="7"/>
    </row>
    <row r="3222" spans="2:78">
      <c r="B3222" s="7"/>
      <c r="O3222" s="7"/>
      <c r="X3222" s="7"/>
      <c r="AG3222" s="7"/>
      <c r="AP3222" s="7"/>
      <c r="AY3222" s="7"/>
      <c r="BH3222" s="7"/>
      <c r="BQ3222" s="7"/>
      <c r="BZ3222" s="7"/>
    </row>
    <row r="3223" spans="2:78">
      <c r="B3223" s="7"/>
      <c r="O3223" s="7"/>
      <c r="X3223" s="7"/>
      <c r="AG3223" s="7"/>
      <c r="AP3223" s="7"/>
      <c r="AY3223" s="7"/>
      <c r="BH3223" s="7"/>
      <c r="BQ3223" s="7"/>
      <c r="BZ3223" s="7"/>
    </row>
    <row r="3224" spans="2:78">
      <c r="B3224" s="7"/>
      <c r="O3224" s="7"/>
      <c r="X3224" s="7"/>
      <c r="AG3224" s="7"/>
      <c r="AP3224" s="7"/>
      <c r="AY3224" s="7"/>
      <c r="BH3224" s="7"/>
      <c r="BQ3224" s="7"/>
      <c r="BZ3224" s="7"/>
    </row>
    <row r="3225" spans="2:78">
      <c r="B3225" s="7"/>
      <c r="O3225" s="7"/>
      <c r="X3225" s="7"/>
      <c r="AG3225" s="7"/>
      <c r="AP3225" s="7"/>
      <c r="AY3225" s="7"/>
      <c r="BH3225" s="7"/>
      <c r="BQ3225" s="7"/>
      <c r="BZ3225" s="7"/>
    </row>
    <row r="3226" spans="2:78">
      <c r="B3226" s="7"/>
      <c r="O3226" s="7"/>
      <c r="X3226" s="7"/>
      <c r="AG3226" s="7"/>
      <c r="AP3226" s="7"/>
      <c r="AY3226" s="7"/>
      <c r="BH3226" s="7"/>
      <c r="BQ3226" s="7"/>
      <c r="BZ3226" s="7"/>
    </row>
    <row r="3227" spans="2:78">
      <c r="B3227" s="7"/>
      <c r="O3227" s="7"/>
      <c r="X3227" s="7"/>
      <c r="AG3227" s="7"/>
      <c r="AP3227" s="7"/>
      <c r="AY3227" s="7"/>
      <c r="BH3227" s="7"/>
      <c r="BQ3227" s="7"/>
      <c r="BZ3227" s="7"/>
    </row>
    <row r="3228" spans="2:78">
      <c r="B3228" s="7"/>
      <c r="O3228" s="7"/>
      <c r="X3228" s="7"/>
      <c r="AG3228" s="7"/>
      <c r="AP3228" s="7"/>
      <c r="AY3228" s="7"/>
      <c r="BH3228" s="7"/>
      <c r="BQ3228" s="7"/>
      <c r="BZ3228" s="7"/>
    </row>
    <row r="3229" spans="2:78">
      <c r="B3229" s="7"/>
      <c r="O3229" s="7"/>
      <c r="X3229" s="7"/>
      <c r="AG3229" s="7"/>
      <c r="AP3229" s="7"/>
      <c r="AY3229" s="7"/>
      <c r="BH3229" s="7"/>
      <c r="BQ3229" s="7"/>
      <c r="BZ3229" s="7"/>
    </row>
    <row r="3230" spans="2:78">
      <c r="B3230" s="7"/>
      <c r="O3230" s="7"/>
      <c r="X3230" s="7"/>
      <c r="AG3230" s="7"/>
      <c r="AP3230" s="7"/>
      <c r="AY3230" s="7"/>
      <c r="BH3230" s="7"/>
      <c r="BQ3230" s="7"/>
      <c r="BZ3230" s="7"/>
    </row>
    <row r="3231" spans="2:78">
      <c r="B3231" s="7"/>
      <c r="O3231" s="7"/>
      <c r="X3231" s="7"/>
      <c r="AG3231" s="7"/>
      <c r="AP3231" s="7"/>
      <c r="AY3231" s="7"/>
      <c r="BH3231" s="7"/>
      <c r="BQ3231" s="7"/>
      <c r="BZ3231" s="7"/>
    </row>
    <row r="3232" spans="2:78">
      <c r="B3232" s="7"/>
      <c r="O3232" s="7"/>
      <c r="X3232" s="7"/>
      <c r="AG3232" s="7"/>
      <c r="AP3232" s="7"/>
      <c r="AY3232" s="7"/>
      <c r="BH3232" s="7"/>
      <c r="BQ3232" s="7"/>
      <c r="BZ3232" s="7"/>
    </row>
    <row r="3233" spans="2:78">
      <c r="B3233" s="7"/>
      <c r="O3233" s="7"/>
      <c r="X3233" s="7"/>
      <c r="AG3233" s="7"/>
      <c r="AP3233" s="7"/>
      <c r="AY3233" s="7"/>
      <c r="BH3233" s="7"/>
      <c r="BQ3233" s="7"/>
      <c r="BZ3233" s="7"/>
    </row>
    <row r="3234" spans="2:78">
      <c r="B3234" s="7"/>
      <c r="O3234" s="7"/>
      <c r="X3234" s="7"/>
      <c r="AG3234" s="7"/>
      <c r="AP3234" s="7"/>
      <c r="AY3234" s="7"/>
      <c r="BH3234" s="7"/>
      <c r="BQ3234" s="7"/>
      <c r="BZ3234" s="7"/>
    </row>
    <row r="3235" spans="2:78">
      <c r="B3235" s="7"/>
      <c r="O3235" s="7"/>
      <c r="X3235" s="7"/>
      <c r="AG3235" s="7"/>
      <c r="AP3235" s="7"/>
      <c r="AY3235" s="7"/>
      <c r="BH3235" s="7"/>
      <c r="BQ3235" s="7"/>
      <c r="BZ3235" s="7"/>
    </row>
    <row r="3236" spans="2:78">
      <c r="B3236" s="7"/>
      <c r="O3236" s="7"/>
      <c r="X3236" s="7"/>
      <c r="AG3236" s="7"/>
      <c r="AP3236" s="7"/>
      <c r="AY3236" s="7"/>
      <c r="BH3236" s="7"/>
      <c r="BQ3236" s="7"/>
      <c r="BZ3236" s="7"/>
    </row>
    <row r="3237" spans="2:78">
      <c r="B3237" s="7"/>
      <c r="O3237" s="7"/>
      <c r="X3237" s="7"/>
      <c r="AG3237" s="7"/>
      <c r="AP3237" s="7"/>
      <c r="AY3237" s="7"/>
      <c r="BH3237" s="7"/>
      <c r="BQ3237" s="7"/>
      <c r="BZ3237" s="7"/>
    </row>
    <row r="3238" spans="2:78">
      <c r="B3238" s="7"/>
      <c r="O3238" s="7"/>
      <c r="X3238" s="7"/>
      <c r="AG3238" s="7"/>
      <c r="AP3238" s="7"/>
      <c r="AY3238" s="7"/>
      <c r="BH3238" s="7"/>
      <c r="BQ3238" s="7"/>
      <c r="BZ3238" s="7"/>
    </row>
    <row r="3239" spans="2:78">
      <c r="B3239" s="7"/>
      <c r="O3239" s="7"/>
      <c r="X3239" s="7"/>
      <c r="AG3239" s="7"/>
      <c r="AP3239" s="7"/>
      <c r="AY3239" s="7"/>
      <c r="BH3239" s="7"/>
      <c r="BQ3239" s="7"/>
      <c r="BZ3239" s="7"/>
    </row>
    <row r="3240" spans="2:78">
      <c r="B3240" s="7"/>
      <c r="O3240" s="7"/>
      <c r="X3240" s="7"/>
      <c r="AG3240" s="7"/>
      <c r="AP3240" s="7"/>
      <c r="AY3240" s="7"/>
      <c r="BH3240" s="7"/>
      <c r="BQ3240" s="7"/>
      <c r="BZ3240" s="7"/>
    </row>
    <row r="3241" spans="2:78">
      <c r="B3241" s="7"/>
      <c r="O3241" s="7"/>
      <c r="X3241" s="7"/>
      <c r="AG3241" s="7"/>
      <c r="AP3241" s="7"/>
      <c r="AY3241" s="7"/>
      <c r="BH3241" s="7"/>
      <c r="BQ3241" s="7"/>
      <c r="BZ3241" s="7"/>
    </row>
    <row r="3242" spans="2:78">
      <c r="B3242" s="7"/>
      <c r="O3242" s="7"/>
      <c r="X3242" s="7"/>
      <c r="AG3242" s="7"/>
      <c r="AP3242" s="7"/>
      <c r="AY3242" s="7"/>
      <c r="BH3242" s="7"/>
      <c r="BQ3242" s="7"/>
      <c r="BZ3242" s="7"/>
    </row>
    <row r="3243" spans="2:78">
      <c r="B3243" s="7"/>
      <c r="O3243" s="7"/>
      <c r="X3243" s="7"/>
      <c r="AG3243" s="7"/>
      <c r="AP3243" s="7"/>
      <c r="AY3243" s="7"/>
      <c r="BH3243" s="7"/>
      <c r="BQ3243" s="7"/>
      <c r="BZ3243" s="7"/>
    </row>
    <row r="3244" spans="2:78">
      <c r="B3244" s="7"/>
      <c r="O3244" s="7"/>
      <c r="X3244" s="7"/>
      <c r="AG3244" s="7"/>
      <c r="AP3244" s="7"/>
      <c r="AY3244" s="7"/>
      <c r="BH3244" s="7"/>
      <c r="BQ3244" s="7"/>
      <c r="BZ3244" s="7"/>
    </row>
    <row r="3245" spans="2:78">
      <c r="B3245" s="7"/>
      <c r="O3245" s="7"/>
      <c r="X3245" s="7"/>
      <c r="AG3245" s="7"/>
      <c r="AP3245" s="7"/>
      <c r="AY3245" s="7"/>
      <c r="BH3245" s="7"/>
      <c r="BQ3245" s="7"/>
      <c r="BZ3245" s="7"/>
    </row>
    <row r="3246" spans="2:78">
      <c r="B3246" s="7"/>
      <c r="O3246" s="7"/>
      <c r="X3246" s="7"/>
      <c r="AG3246" s="7"/>
      <c r="AP3246" s="7"/>
      <c r="AY3246" s="7"/>
      <c r="BH3246" s="7"/>
      <c r="BQ3246" s="7"/>
      <c r="BZ3246" s="7"/>
    </row>
    <row r="3247" spans="2:78">
      <c r="B3247" s="7"/>
      <c r="O3247" s="7"/>
      <c r="X3247" s="7"/>
      <c r="AG3247" s="7"/>
      <c r="AP3247" s="7"/>
      <c r="AY3247" s="7"/>
      <c r="BH3247" s="7"/>
      <c r="BQ3247" s="7"/>
      <c r="BZ3247" s="7"/>
    </row>
    <row r="3248" spans="2:78">
      <c r="B3248" s="7"/>
      <c r="O3248" s="7"/>
      <c r="X3248" s="7"/>
      <c r="AG3248" s="7"/>
      <c r="AP3248" s="7"/>
      <c r="AY3248" s="7"/>
      <c r="BH3248" s="7"/>
      <c r="BQ3248" s="7"/>
      <c r="BZ3248" s="7"/>
    </row>
    <row r="3249" spans="2:78">
      <c r="B3249" s="7"/>
      <c r="O3249" s="7"/>
      <c r="X3249" s="7"/>
      <c r="AG3249" s="7"/>
      <c r="AP3249" s="7"/>
      <c r="AY3249" s="7"/>
      <c r="BH3249" s="7"/>
      <c r="BQ3249" s="7"/>
      <c r="BZ3249" s="7"/>
    </row>
    <row r="3250" spans="2:78">
      <c r="B3250" s="7"/>
      <c r="O3250" s="7"/>
      <c r="X3250" s="7"/>
      <c r="AG3250" s="7"/>
      <c r="AP3250" s="7"/>
      <c r="AY3250" s="7"/>
      <c r="BH3250" s="7"/>
      <c r="BQ3250" s="7"/>
      <c r="BZ3250" s="7"/>
    </row>
    <row r="3251" spans="2:78">
      <c r="B3251" s="7"/>
      <c r="O3251" s="7"/>
      <c r="X3251" s="7"/>
      <c r="AG3251" s="7"/>
      <c r="AP3251" s="7"/>
      <c r="AY3251" s="7"/>
      <c r="BH3251" s="7"/>
      <c r="BQ3251" s="7"/>
      <c r="BZ3251" s="7"/>
    </row>
    <row r="3252" spans="2:78">
      <c r="B3252" s="7"/>
      <c r="O3252" s="7"/>
      <c r="X3252" s="7"/>
      <c r="AG3252" s="7"/>
      <c r="AP3252" s="7"/>
      <c r="AY3252" s="7"/>
      <c r="BH3252" s="7"/>
      <c r="BQ3252" s="7"/>
      <c r="BZ3252" s="7"/>
    </row>
    <row r="3253" spans="2:78">
      <c r="B3253" s="7"/>
      <c r="O3253" s="7"/>
      <c r="X3253" s="7"/>
      <c r="AG3253" s="7"/>
      <c r="AP3253" s="7"/>
      <c r="AY3253" s="7"/>
      <c r="BH3253" s="7"/>
      <c r="BQ3253" s="7"/>
      <c r="BZ3253" s="7"/>
    </row>
    <row r="3254" spans="2:78">
      <c r="B3254" s="7"/>
      <c r="O3254" s="7"/>
      <c r="X3254" s="7"/>
      <c r="AG3254" s="7"/>
      <c r="AP3254" s="7"/>
      <c r="AY3254" s="7"/>
      <c r="BH3254" s="7"/>
      <c r="BQ3254" s="7"/>
      <c r="BZ3254" s="7"/>
    </row>
    <row r="3255" spans="2:78">
      <c r="B3255" s="7"/>
      <c r="O3255" s="7"/>
      <c r="X3255" s="7"/>
      <c r="AG3255" s="7"/>
      <c r="AP3255" s="7"/>
      <c r="AY3255" s="7"/>
      <c r="BH3255" s="7"/>
      <c r="BQ3255" s="7"/>
      <c r="BZ3255" s="7"/>
    </row>
    <row r="3256" spans="2:78">
      <c r="B3256" s="7"/>
      <c r="O3256" s="7"/>
      <c r="X3256" s="7"/>
      <c r="AG3256" s="7"/>
      <c r="AP3256" s="7"/>
      <c r="AY3256" s="7"/>
      <c r="BH3256" s="7"/>
      <c r="BQ3256" s="7"/>
      <c r="BZ3256" s="7"/>
    </row>
    <row r="3257" spans="2:78">
      <c r="B3257" s="7"/>
      <c r="O3257" s="7"/>
      <c r="X3257" s="7"/>
      <c r="AG3257" s="7"/>
      <c r="AP3257" s="7"/>
      <c r="AY3257" s="7"/>
      <c r="BH3257" s="7"/>
      <c r="BQ3257" s="7"/>
      <c r="BZ3257" s="7"/>
    </row>
    <row r="3258" spans="2:78">
      <c r="B3258" s="7"/>
      <c r="O3258" s="7"/>
      <c r="X3258" s="7"/>
      <c r="AG3258" s="7"/>
      <c r="AP3258" s="7"/>
      <c r="AY3258" s="7"/>
      <c r="BH3258" s="7"/>
      <c r="BQ3258" s="7"/>
      <c r="BZ3258" s="7"/>
    </row>
    <row r="3259" spans="2:78">
      <c r="B3259" s="7"/>
      <c r="O3259" s="7"/>
      <c r="X3259" s="7"/>
      <c r="AG3259" s="7"/>
      <c r="AP3259" s="7"/>
      <c r="AY3259" s="7"/>
      <c r="BH3259" s="7"/>
      <c r="BQ3259" s="7"/>
      <c r="BZ3259" s="7"/>
    </row>
    <row r="3260" spans="2:78">
      <c r="B3260" s="7"/>
      <c r="O3260" s="7"/>
      <c r="X3260" s="7"/>
      <c r="AG3260" s="7"/>
      <c r="AP3260" s="7"/>
      <c r="AY3260" s="7"/>
      <c r="BH3260" s="7"/>
      <c r="BQ3260" s="7"/>
      <c r="BZ3260" s="7"/>
    </row>
    <row r="3261" spans="2:78">
      <c r="B3261" s="7"/>
      <c r="O3261" s="7"/>
      <c r="X3261" s="7"/>
      <c r="AG3261" s="7"/>
      <c r="AP3261" s="7"/>
      <c r="AY3261" s="7"/>
      <c r="BH3261" s="7"/>
      <c r="BQ3261" s="7"/>
      <c r="BZ3261" s="7"/>
    </row>
    <row r="3262" spans="2:78">
      <c r="B3262" s="7"/>
      <c r="O3262" s="7"/>
      <c r="X3262" s="7"/>
      <c r="AG3262" s="7"/>
      <c r="AP3262" s="7"/>
      <c r="AY3262" s="7"/>
      <c r="BH3262" s="7"/>
      <c r="BQ3262" s="7"/>
      <c r="BZ3262" s="7"/>
    </row>
    <row r="3263" spans="2:78">
      <c r="B3263" s="7"/>
      <c r="O3263" s="7"/>
      <c r="X3263" s="7"/>
      <c r="AG3263" s="7"/>
      <c r="AP3263" s="7"/>
      <c r="AY3263" s="7"/>
      <c r="BH3263" s="7"/>
      <c r="BQ3263" s="7"/>
      <c r="BZ3263" s="7"/>
    </row>
    <row r="3264" spans="2:78">
      <c r="B3264" s="7"/>
      <c r="O3264" s="7"/>
      <c r="X3264" s="7"/>
      <c r="AG3264" s="7"/>
      <c r="AP3264" s="7"/>
      <c r="AY3264" s="7"/>
      <c r="BH3264" s="7"/>
      <c r="BQ3264" s="7"/>
      <c r="BZ3264" s="7"/>
    </row>
    <row r="3265" spans="2:78">
      <c r="B3265" s="7"/>
      <c r="O3265" s="7"/>
      <c r="X3265" s="7"/>
      <c r="AG3265" s="7"/>
      <c r="AP3265" s="7"/>
      <c r="AY3265" s="7"/>
      <c r="BH3265" s="7"/>
      <c r="BQ3265" s="7"/>
      <c r="BZ3265" s="7"/>
    </row>
    <row r="3266" spans="2:78">
      <c r="B3266" s="7"/>
      <c r="O3266" s="7"/>
      <c r="X3266" s="7"/>
      <c r="AG3266" s="7"/>
      <c r="AP3266" s="7"/>
      <c r="AY3266" s="7"/>
      <c r="BH3266" s="7"/>
      <c r="BQ3266" s="7"/>
      <c r="BZ3266" s="7"/>
    </row>
    <row r="3267" spans="2:78">
      <c r="B3267" s="7"/>
      <c r="O3267" s="7"/>
      <c r="X3267" s="7"/>
      <c r="AG3267" s="7"/>
      <c r="AP3267" s="7"/>
      <c r="AY3267" s="7"/>
      <c r="BH3267" s="7"/>
      <c r="BQ3267" s="7"/>
      <c r="BZ3267" s="7"/>
    </row>
    <row r="3268" spans="2:78">
      <c r="B3268" s="7"/>
      <c r="O3268" s="7"/>
      <c r="X3268" s="7"/>
      <c r="AG3268" s="7"/>
      <c r="AP3268" s="7"/>
      <c r="AY3268" s="7"/>
      <c r="BH3268" s="7"/>
      <c r="BQ3268" s="7"/>
      <c r="BZ3268" s="7"/>
    </row>
    <row r="3269" spans="2:78">
      <c r="B3269" s="7"/>
      <c r="O3269" s="7"/>
      <c r="X3269" s="7"/>
      <c r="AG3269" s="7"/>
      <c r="AP3269" s="7"/>
      <c r="AY3269" s="7"/>
      <c r="BH3269" s="7"/>
      <c r="BQ3269" s="7"/>
      <c r="BZ3269" s="7"/>
    </row>
    <row r="3270" spans="2:78">
      <c r="B3270" s="7"/>
      <c r="O3270" s="7"/>
      <c r="X3270" s="7"/>
      <c r="AG3270" s="7"/>
      <c r="AP3270" s="7"/>
      <c r="AY3270" s="7"/>
      <c r="BH3270" s="7"/>
      <c r="BQ3270" s="7"/>
      <c r="BZ3270" s="7"/>
    </row>
    <row r="3271" spans="2:78">
      <c r="B3271" s="7"/>
      <c r="O3271" s="7"/>
      <c r="X3271" s="7"/>
      <c r="AG3271" s="7"/>
      <c r="AP3271" s="7"/>
      <c r="AY3271" s="7"/>
      <c r="BH3271" s="7"/>
      <c r="BQ3271" s="7"/>
      <c r="BZ3271" s="7"/>
    </row>
    <row r="3272" spans="2:78">
      <c r="B3272" s="7"/>
      <c r="O3272" s="7"/>
      <c r="X3272" s="7"/>
      <c r="AG3272" s="7"/>
      <c r="AP3272" s="7"/>
      <c r="AY3272" s="7"/>
      <c r="BH3272" s="7"/>
      <c r="BQ3272" s="7"/>
      <c r="BZ3272" s="7"/>
    </row>
    <row r="3273" spans="2:78">
      <c r="B3273" s="7"/>
      <c r="O3273" s="7"/>
      <c r="X3273" s="7"/>
      <c r="AG3273" s="7"/>
      <c r="AP3273" s="7"/>
      <c r="AY3273" s="7"/>
      <c r="BH3273" s="7"/>
      <c r="BQ3273" s="7"/>
      <c r="BZ3273" s="7"/>
    </row>
    <row r="3274" spans="2:78">
      <c r="B3274" s="7"/>
      <c r="O3274" s="7"/>
      <c r="X3274" s="7"/>
      <c r="AG3274" s="7"/>
      <c r="AP3274" s="7"/>
      <c r="AY3274" s="7"/>
      <c r="BH3274" s="7"/>
      <c r="BQ3274" s="7"/>
      <c r="BZ3274" s="7"/>
    </row>
    <row r="3275" spans="2:78">
      <c r="B3275" s="7"/>
      <c r="O3275" s="7"/>
      <c r="X3275" s="7"/>
      <c r="AG3275" s="7"/>
      <c r="AP3275" s="7"/>
      <c r="AY3275" s="7"/>
      <c r="BH3275" s="7"/>
      <c r="BQ3275" s="7"/>
      <c r="BZ3275" s="7"/>
    </row>
    <row r="3276" spans="2:78">
      <c r="B3276" s="7"/>
      <c r="O3276" s="7"/>
      <c r="X3276" s="7"/>
      <c r="AG3276" s="7"/>
      <c r="AP3276" s="7"/>
      <c r="AY3276" s="7"/>
      <c r="BH3276" s="7"/>
      <c r="BQ3276" s="7"/>
      <c r="BZ3276" s="7"/>
    </row>
    <row r="3277" spans="2:78">
      <c r="B3277" s="7"/>
      <c r="O3277" s="7"/>
      <c r="X3277" s="7"/>
      <c r="AG3277" s="7"/>
      <c r="AP3277" s="7"/>
      <c r="AY3277" s="7"/>
      <c r="BH3277" s="7"/>
      <c r="BQ3277" s="7"/>
      <c r="BZ3277" s="7"/>
    </row>
    <row r="3278" spans="2:78">
      <c r="B3278" s="7"/>
      <c r="O3278" s="7"/>
      <c r="X3278" s="7"/>
      <c r="AG3278" s="7"/>
      <c r="AP3278" s="7"/>
      <c r="AY3278" s="7"/>
      <c r="BH3278" s="7"/>
      <c r="BQ3278" s="7"/>
      <c r="BZ3278" s="7"/>
    </row>
    <row r="3279" spans="2:78">
      <c r="B3279" s="7"/>
      <c r="O3279" s="7"/>
      <c r="X3279" s="7"/>
      <c r="AG3279" s="7"/>
      <c r="AP3279" s="7"/>
      <c r="AY3279" s="7"/>
      <c r="BH3279" s="7"/>
      <c r="BQ3279" s="7"/>
      <c r="BZ3279" s="7"/>
    </row>
    <row r="3280" spans="2:78">
      <c r="B3280" s="7"/>
      <c r="O3280" s="7"/>
      <c r="X3280" s="7"/>
      <c r="AG3280" s="7"/>
      <c r="AP3280" s="7"/>
      <c r="AY3280" s="7"/>
      <c r="BH3280" s="7"/>
      <c r="BQ3280" s="7"/>
      <c r="BZ3280" s="7"/>
    </row>
    <row r="3281" spans="2:78">
      <c r="B3281" s="7"/>
      <c r="O3281" s="7"/>
      <c r="X3281" s="7"/>
      <c r="AG3281" s="7"/>
      <c r="AP3281" s="7"/>
      <c r="AY3281" s="7"/>
      <c r="BH3281" s="7"/>
      <c r="BQ3281" s="7"/>
      <c r="BZ3281" s="7"/>
    </row>
    <row r="3282" spans="2:78">
      <c r="B3282" s="7"/>
      <c r="O3282" s="7"/>
      <c r="X3282" s="7"/>
      <c r="AG3282" s="7"/>
      <c r="AP3282" s="7"/>
      <c r="AY3282" s="7"/>
      <c r="BH3282" s="7"/>
      <c r="BQ3282" s="7"/>
      <c r="BZ3282" s="7"/>
    </row>
    <row r="3283" spans="2:78">
      <c r="B3283" s="7"/>
      <c r="O3283" s="7"/>
      <c r="X3283" s="7"/>
      <c r="AG3283" s="7"/>
      <c r="AP3283" s="7"/>
      <c r="AY3283" s="7"/>
      <c r="BH3283" s="7"/>
      <c r="BQ3283" s="7"/>
      <c r="BZ3283" s="7"/>
    </row>
    <row r="3284" spans="2:78">
      <c r="B3284" s="7"/>
      <c r="O3284" s="7"/>
      <c r="X3284" s="7"/>
      <c r="AG3284" s="7"/>
      <c r="AP3284" s="7"/>
      <c r="AY3284" s="7"/>
      <c r="BH3284" s="7"/>
      <c r="BQ3284" s="7"/>
      <c r="BZ3284" s="7"/>
    </row>
    <row r="3285" spans="2:78">
      <c r="B3285" s="7"/>
      <c r="O3285" s="7"/>
      <c r="X3285" s="7"/>
      <c r="AG3285" s="7"/>
      <c r="AP3285" s="7"/>
      <c r="AY3285" s="7"/>
      <c r="BH3285" s="7"/>
      <c r="BQ3285" s="7"/>
      <c r="BZ3285" s="7"/>
    </row>
    <row r="3286" spans="2:78">
      <c r="B3286" s="7"/>
      <c r="O3286" s="7"/>
      <c r="X3286" s="7"/>
      <c r="AG3286" s="7"/>
      <c r="AP3286" s="7"/>
      <c r="AY3286" s="7"/>
      <c r="BH3286" s="7"/>
      <c r="BQ3286" s="7"/>
      <c r="BZ3286" s="7"/>
    </row>
    <row r="3287" spans="2:78">
      <c r="B3287" s="7"/>
      <c r="O3287" s="7"/>
      <c r="X3287" s="7"/>
      <c r="AG3287" s="7"/>
      <c r="AP3287" s="7"/>
      <c r="AY3287" s="7"/>
      <c r="BH3287" s="7"/>
      <c r="BQ3287" s="7"/>
      <c r="BZ3287" s="7"/>
    </row>
    <row r="3288" spans="2:78">
      <c r="B3288" s="7"/>
      <c r="O3288" s="7"/>
      <c r="X3288" s="7"/>
      <c r="AG3288" s="7"/>
      <c r="AP3288" s="7"/>
      <c r="AY3288" s="7"/>
      <c r="BH3288" s="7"/>
      <c r="BQ3288" s="7"/>
      <c r="BZ3288" s="7"/>
    </row>
    <row r="3289" spans="2:78">
      <c r="B3289" s="7"/>
      <c r="O3289" s="7"/>
      <c r="X3289" s="7"/>
      <c r="AG3289" s="7"/>
      <c r="AP3289" s="7"/>
      <c r="AY3289" s="7"/>
      <c r="BH3289" s="7"/>
      <c r="BQ3289" s="7"/>
      <c r="BZ3289" s="7"/>
    </row>
    <row r="3290" spans="2:78">
      <c r="B3290" s="7"/>
      <c r="O3290" s="7"/>
      <c r="X3290" s="7"/>
      <c r="AG3290" s="7"/>
      <c r="AP3290" s="7"/>
      <c r="AY3290" s="7"/>
      <c r="BH3290" s="7"/>
      <c r="BQ3290" s="7"/>
      <c r="BZ3290" s="7"/>
    </row>
    <row r="3291" spans="2:78">
      <c r="B3291" s="7"/>
      <c r="O3291" s="7"/>
      <c r="X3291" s="7"/>
      <c r="AG3291" s="7"/>
      <c r="AP3291" s="7"/>
      <c r="AY3291" s="7"/>
      <c r="BH3291" s="7"/>
      <c r="BQ3291" s="7"/>
      <c r="BZ3291" s="7"/>
    </row>
    <row r="3292" spans="2:78">
      <c r="B3292" s="7"/>
      <c r="O3292" s="7"/>
      <c r="X3292" s="7"/>
      <c r="AG3292" s="7"/>
      <c r="AP3292" s="7"/>
      <c r="AY3292" s="7"/>
      <c r="BH3292" s="7"/>
      <c r="BQ3292" s="7"/>
      <c r="BZ3292" s="7"/>
    </row>
    <row r="3293" spans="2:78">
      <c r="B3293" s="7"/>
      <c r="O3293" s="7"/>
      <c r="X3293" s="7"/>
      <c r="AG3293" s="7"/>
      <c r="AP3293" s="7"/>
      <c r="AY3293" s="7"/>
      <c r="BH3293" s="7"/>
      <c r="BQ3293" s="7"/>
      <c r="BZ3293" s="7"/>
    </row>
    <row r="3294" spans="2:78">
      <c r="B3294" s="7"/>
      <c r="O3294" s="7"/>
      <c r="X3294" s="7"/>
      <c r="AG3294" s="7"/>
      <c r="AP3294" s="7"/>
      <c r="AY3294" s="7"/>
      <c r="BH3294" s="7"/>
      <c r="BQ3294" s="7"/>
      <c r="BZ3294" s="7"/>
    </row>
    <row r="3295" spans="2:78">
      <c r="B3295" s="7"/>
      <c r="O3295" s="7"/>
      <c r="X3295" s="7"/>
      <c r="AG3295" s="7"/>
      <c r="AP3295" s="7"/>
      <c r="AY3295" s="7"/>
      <c r="BH3295" s="7"/>
      <c r="BQ3295" s="7"/>
      <c r="BZ3295" s="7"/>
    </row>
    <row r="3296" spans="2:78">
      <c r="B3296" s="7"/>
      <c r="O3296" s="7"/>
      <c r="X3296" s="7"/>
      <c r="AG3296" s="7"/>
      <c r="AP3296" s="7"/>
      <c r="AY3296" s="7"/>
      <c r="BH3296" s="7"/>
      <c r="BQ3296" s="7"/>
      <c r="BZ3296" s="7"/>
    </row>
    <row r="3297" spans="2:78">
      <c r="B3297" s="7"/>
      <c r="O3297" s="7"/>
      <c r="X3297" s="7"/>
      <c r="AG3297" s="7"/>
      <c r="AP3297" s="7"/>
      <c r="AY3297" s="7"/>
      <c r="BH3297" s="7"/>
      <c r="BQ3297" s="7"/>
      <c r="BZ3297" s="7"/>
    </row>
    <row r="3298" spans="2:78">
      <c r="B3298" s="7"/>
      <c r="O3298" s="7"/>
      <c r="X3298" s="7"/>
      <c r="AG3298" s="7"/>
      <c r="AP3298" s="7"/>
      <c r="AY3298" s="7"/>
      <c r="BH3298" s="7"/>
      <c r="BQ3298" s="7"/>
      <c r="BZ3298" s="7"/>
    </row>
    <row r="3299" spans="2:78">
      <c r="B3299" s="7"/>
      <c r="O3299" s="7"/>
      <c r="X3299" s="7"/>
      <c r="AG3299" s="7"/>
      <c r="AP3299" s="7"/>
      <c r="AY3299" s="7"/>
      <c r="BH3299" s="7"/>
      <c r="BQ3299" s="7"/>
      <c r="BZ3299" s="7"/>
    </row>
    <row r="3300" spans="2:78">
      <c r="B3300" s="7"/>
      <c r="O3300" s="7"/>
      <c r="X3300" s="7"/>
      <c r="AG3300" s="7"/>
      <c r="AP3300" s="7"/>
      <c r="AY3300" s="7"/>
      <c r="BH3300" s="7"/>
      <c r="BQ3300" s="7"/>
      <c r="BZ3300" s="7"/>
    </row>
    <row r="3301" spans="2:78">
      <c r="B3301" s="7"/>
      <c r="O3301" s="7"/>
      <c r="X3301" s="7"/>
      <c r="AG3301" s="7"/>
      <c r="AP3301" s="7"/>
      <c r="AY3301" s="7"/>
      <c r="BH3301" s="7"/>
      <c r="BQ3301" s="7"/>
      <c r="BZ3301" s="7"/>
    </row>
    <row r="3302" spans="2:78">
      <c r="B3302" s="7"/>
      <c r="O3302" s="7"/>
      <c r="X3302" s="7"/>
      <c r="AG3302" s="7"/>
      <c r="AP3302" s="7"/>
      <c r="AY3302" s="7"/>
      <c r="BH3302" s="7"/>
      <c r="BQ3302" s="7"/>
      <c r="BZ3302" s="7"/>
    </row>
    <row r="3303" spans="2:78">
      <c r="B3303" s="7"/>
      <c r="O3303" s="7"/>
      <c r="X3303" s="7"/>
      <c r="AG3303" s="7"/>
      <c r="AP3303" s="7"/>
      <c r="AY3303" s="7"/>
      <c r="BH3303" s="7"/>
      <c r="BQ3303" s="7"/>
      <c r="BZ3303" s="7"/>
    </row>
    <row r="3304" spans="2:78">
      <c r="B3304" s="7"/>
      <c r="O3304" s="7"/>
      <c r="X3304" s="7"/>
      <c r="AG3304" s="7"/>
      <c r="AP3304" s="7"/>
      <c r="AY3304" s="7"/>
      <c r="BH3304" s="7"/>
      <c r="BQ3304" s="7"/>
      <c r="BZ3304" s="7"/>
    </row>
    <row r="3305" spans="2:78">
      <c r="B3305" s="7"/>
      <c r="O3305" s="7"/>
      <c r="X3305" s="7"/>
      <c r="AG3305" s="7"/>
      <c r="AP3305" s="7"/>
      <c r="AY3305" s="7"/>
      <c r="BH3305" s="7"/>
      <c r="BQ3305" s="7"/>
      <c r="BZ3305" s="7"/>
    </row>
    <row r="3306" spans="2:78">
      <c r="B3306" s="7"/>
      <c r="O3306" s="7"/>
      <c r="X3306" s="7"/>
      <c r="AG3306" s="7"/>
      <c r="AP3306" s="7"/>
      <c r="AY3306" s="7"/>
      <c r="BH3306" s="7"/>
      <c r="BQ3306" s="7"/>
      <c r="BZ3306" s="7"/>
    </row>
    <row r="3307" spans="2:78">
      <c r="B3307" s="7"/>
      <c r="O3307" s="7"/>
      <c r="X3307" s="7"/>
      <c r="AG3307" s="7"/>
      <c r="AP3307" s="7"/>
      <c r="AY3307" s="7"/>
      <c r="BH3307" s="7"/>
      <c r="BQ3307" s="7"/>
      <c r="BZ3307" s="7"/>
    </row>
    <row r="3308" spans="2:78">
      <c r="B3308" s="7"/>
      <c r="O3308" s="7"/>
      <c r="X3308" s="7"/>
      <c r="AG3308" s="7"/>
      <c r="AP3308" s="7"/>
      <c r="AY3308" s="7"/>
      <c r="BH3308" s="7"/>
      <c r="BQ3308" s="7"/>
      <c r="BZ3308" s="7"/>
    </row>
    <row r="3309" spans="2:78">
      <c r="B3309" s="7"/>
      <c r="O3309" s="7"/>
      <c r="X3309" s="7"/>
      <c r="AG3309" s="7"/>
      <c r="AP3309" s="7"/>
      <c r="AY3309" s="7"/>
      <c r="BH3309" s="7"/>
      <c r="BQ3309" s="7"/>
      <c r="BZ3309" s="7"/>
    </row>
    <row r="3310" spans="2:78">
      <c r="B3310" s="7"/>
      <c r="O3310" s="7"/>
      <c r="X3310" s="7"/>
      <c r="AG3310" s="7"/>
      <c r="AP3310" s="7"/>
      <c r="AY3310" s="7"/>
      <c r="BH3310" s="7"/>
      <c r="BQ3310" s="7"/>
      <c r="BZ3310" s="7"/>
    </row>
    <row r="3311" spans="2:78">
      <c r="B3311" s="7"/>
      <c r="O3311" s="7"/>
      <c r="X3311" s="7"/>
      <c r="AG3311" s="7"/>
      <c r="AP3311" s="7"/>
      <c r="AY3311" s="7"/>
      <c r="BH3311" s="7"/>
      <c r="BQ3311" s="7"/>
      <c r="BZ3311" s="7"/>
    </row>
    <row r="3312" spans="2:78">
      <c r="B3312" s="7"/>
      <c r="O3312" s="7"/>
      <c r="X3312" s="7"/>
      <c r="AG3312" s="7"/>
      <c r="AP3312" s="7"/>
      <c r="AY3312" s="7"/>
      <c r="BH3312" s="7"/>
      <c r="BQ3312" s="7"/>
      <c r="BZ3312" s="7"/>
    </row>
    <row r="3313" spans="2:78">
      <c r="B3313" s="7"/>
      <c r="O3313" s="7"/>
      <c r="X3313" s="7"/>
      <c r="AG3313" s="7"/>
      <c r="AP3313" s="7"/>
      <c r="AY3313" s="7"/>
      <c r="BH3313" s="7"/>
      <c r="BQ3313" s="7"/>
      <c r="BZ3313" s="7"/>
    </row>
    <row r="3314" spans="2:78">
      <c r="B3314" s="7"/>
      <c r="O3314" s="7"/>
      <c r="X3314" s="7"/>
      <c r="AG3314" s="7"/>
      <c r="AP3314" s="7"/>
      <c r="AY3314" s="7"/>
      <c r="BH3314" s="7"/>
      <c r="BQ3314" s="7"/>
      <c r="BZ3314" s="7"/>
    </row>
    <row r="3315" spans="2:78">
      <c r="B3315" s="7"/>
      <c r="O3315" s="7"/>
      <c r="X3315" s="7"/>
      <c r="AG3315" s="7"/>
      <c r="AP3315" s="7"/>
      <c r="AY3315" s="7"/>
      <c r="BH3315" s="7"/>
      <c r="BQ3315" s="7"/>
      <c r="BZ3315" s="7"/>
    </row>
    <row r="3316" spans="2:78">
      <c r="B3316" s="7"/>
      <c r="O3316" s="7"/>
      <c r="X3316" s="7"/>
      <c r="AG3316" s="7"/>
      <c r="AP3316" s="7"/>
      <c r="AY3316" s="7"/>
      <c r="BH3316" s="7"/>
      <c r="BQ3316" s="7"/>
      <c r="BZ3316" s="7"/>
    </row>
    <row r="3317" spans="2:78">
      <c r="B3317" s="7"/>
      <c r="O3317" s="7"/>
      <c r="X3317" s="7"/>
      <c r="AG3317" s="7"/>
      <c r="AP3317" s="7"/>
      <c r="AY3317" s="7"/>
      <c r="BH3317" s="7"/>
      <c r="BQ3317" s="7"/>
      <c r="BZ3317" s="7"/>
    </row>
    <row r="3318" spans="2:78">
      <c r="B3318" s="7"/>
      <c r="O3318" s="7"/>
      <c r="X3318" s="7"/>
      <c r="AG3318" s="7"/>
      <c r="AP3318" s="7"/>
      <c r="AY3318" s="7"/>
      <c r="BH3318" s="7"/>
      <c r="BQ3318" s="7"/>
      <c r="BZ3318" s="7"/>
    </row>
    <row r="3319" spans="2:78">
      <c r="B3319" s="7"/>
      <c r="O3319" s="7"/>
      <c r="X3319" s="7"/>
      <c r="AG3319" s="7"/>
      <c r="AP3319" s="7"/>
      <c r="AY3319" s="7"/>
      <c r="BH3319" s="7"/>
      <c r="BQ3319" s="7"/>
      <c r="BZ3319" s="7"/>
    </row>
    <row r="3320" spans="2:78">
      <c r="B3320" s="7"/>
      <c r="O3320" s="7"/>
      <c r="X3320" s="7"/>
      <c r="AG3320" s="7"/>
      <c r="AP3320" s="7"/>
      <c r="AY3320" s="7"/>
      <c r="BH3320" s="7"/>
      <c r="BQ3320" s="7"/>
      <c r="BZ3320" s="7"/>
    </row>
    <row r="3321" spans="2:78">
      <c r="B3321" s="7"/>
      <c r="O3321" s="7"/>
      <c r="X3321" s="7"/>
      <c r="AG3321" s="7"/>
      <c r="AP3321" s="7"/>
      <c r="AY3321" s="7"/>
      <c r="BH3321" s="7"/>
      <c r="BQ3321" s="7"/>
      <c r="BZ3321" s="7"/>
    </row>
    <row r="3322" spans="2:78">
      <c r="B3322" s="7"/>
      <c r="O3322" s="7"/>
      <c r="X3322" s="7"/>
      <c r="AG3322" s="7"/>
      <c r="AP3322" s="7"/>
      <c r="AY3322" s="7"/>
      <c r="BH3322" s="7"/>
      <c r="BQ3322" s="7"/>
      <c r="BZ3322" s="7"/>
    </row>
    <row r="3323" spans="2:78">
      <c r="B3323" s="7"/>
      <c r="O3323" s="7"/>
      <c r="X3323" s="7"/>
      <c r="AG3323" s="7"/>
      <c r="AP3323" s="7"/>
      <c r="AY3323" s="7"/>
      <c r="BH3323" s="7"/>
      <c r="BQ3323" s="7"/>
      <c r="BZ3323" s="7"/>
    </row>
    <row r="3324" spans="2:78">
      <c r="B3324" s="7"/>
      <c r="O3324" s="7"/>
      <c r="X3324" s="7"/>
      <c r="AG3324" s="7"/>
      <c r="AP3324" s="7"/>
      <c r="AY3324" s="7"/>
      <c r="BH3324" s="7"/>
      <c r="BQ3324" s="7"/>
      <c r="BZ3324" s="7"/>
    </row>
    <row r="3325" spans="2:78">
      <c r="B3325" s="7"/>
      <c r="O3325" s="7"/>
      <c r="X3325" s="7"/>
      <c r="AG3325" s="7"/>
      <c r="AP3325" s="7"/>
      <c r="AY3325" s="7"/>
      <c r="BH3325" s="7"/>
      <c r="BQ3325" s="7"/>
      <c r="BZ3325" s="7"/>
    </row>
    <row r="3326" spans="2:78">
      <c r="B3326" s="7"/>
      <c r="O3326" s="7"/>
      <c r="X3326" s="7"/>
      <c r="AG3326" s="7"/>
      <c r="AP3326" s="7"/>
      <c r="AY3326" s="7"/>
      <c r="BH3326" s="7"/>
      <c r="BQ3326" s="7"/>
      <c r="BZ3326" s="7"/>
    </row>
    <row r="3327" spans="2:78">
      <c r="B3327" s="7"/>
      <c r="O3327" s="7"/>
      <c r="X3327" s="7"/>
      <c r="AG3327" s="7"/>
      <c r="AP3327" s="7"/>
      <c r="AY3327" s="7"/>
      <c r="BH3327" s="7"/>
      <c r="BQ3327" s="7"/>
      <c r="BZ3327" s="7"/>
    </row>
    <row r="3328" spans="2:78">
      <c r="B3328" s="7"/>
      <c r="O3328" s="7"/>
      <c r="X3328" s="7"/>
      <c r="AG3328" s="7"/>
      <c r="AP3328" s="7"/>
      <c r="AY3328" s="7"/>
      <c r="BH3328" s="7"/>
      <c r="BQ3328" s="7"/>
      <c r="BZ3328" s="7"/>
    </row>
    <row r="3329" spans="2:78">
      <c r="B3329" s="7"/>
      <c r="O3329" s="7"/>
      <c r="X3329" s="7"/>
      <c r="AG3329" s="7"/>
      <c r="AP3329" s="7"/>
      <c r="AY3329" s="7"/>
      <c r="BH3329" s="7"/>
      <c r="BQ3329" s="7"/>
      <c r="BZ3329" s="7"/>
    </row>
    <row r="3330" spans="2:78">
      <c r="B3330" s="7"/>
      <c r="O3330" s="7"/>
      <c r="X3330" s="7"/>
      <c r="AG3330" s="7"/>
      <c r="AP3330" s="7"/>
      <c r="AY3330" s="7"/>
      <c r="BH3330" s="7"/>
      <c r="BQ3330" s="7"/>
      <c r="BZ3330" s="7"/>
    </row>
    <row r="3331" spans="2:78">
      <c r="B3331" s="7"/>
      <c r="O3331" s="7"/>
      <c r="X3331" s="7"/>
      <c r="AG3331" s="7"/>
      <c r="AP3331" s="7"/>
      <c r="AY3331" s="7"/>
      <c r="BH3331" s="7"/>
      <c r="BQ3331" s="7"/>
      <c r="BZ3331" s="7"/>
    </row>
    <row r="3332" spans="2:78">
      <c r="B3332" s="7"/>
      <c r="O3332" s="7"/>
      <c r="X3332" s="7"/>
      <c r="AG3332" s="7"/>
      <c r="AP3332" s="7"/>
      <c r="AY3332" s="7"/>
      <c r="BH3332" s="7"/>
      <c r="BQ3332" s="7"/>
      <c r="BZ3332" s="7"/>
    </row>
    <row r="3333" spans="2:78">
      <c r="B3333" s="7"/>
      <c r="O3333" s="7"/>
      <c r="X3333" s="7"/>
      <c r="AG3333" s="7"/>
      <c r="AP3333" s="7"/>
      <c r="AY3333" s="7"/>
      <c r="BH3333" s="7"/>
      <c r="BQ3333" s="7"/>
      <c r="BZ3333" s="7"/>
    </row>
    <row r="3334" spans="2:78">
      <c r="B3334" s="7"/>
      <c r="O3334" s="7"/>
      <c r="X3334" s="7"/>
      <c r="AG3334" s="7"/>
      <c r="AP3334" s="7"/>
      <c r="AY3334" s="7"/>
      <c r="BH3334" s="7"/>
      <c r="BQ3334" s="7"/>
      <c r="BZ3334" s="7"/>
    </row>
    <row r="3335" spans="2:78">
      <c r="B3335" s="7"/>
      <c r="O3335" s="7"/>
      <c r="X3335" s="7"/>
      <c r="AG3335" s="7"/>
      <c r="AP3335" s="7"/>
      <c r="AY3335" s="7"/>
      <c r="BH3335" s="7"/>
      <c r="BQ3335" s="7"/>
      <c r="BZ3335" s="7"/>
    </row>
    <row r="3336" spans="2:78">
      <c r="B3336" s="7"/>
      <c r="O3336" s="7"/>
      <c r="X3336" s="7"/>
      <c r="AG3336" s="7"/>
      <c r="AP3336" s="7"/>
      <c r="AY3336" s="7"/>
      <c r="BH3336" s="7"/>
      <c r="BQ3336" s="7"/>
      <c r="BZ3336" s="7"/>
    </row>
    <row r="3337" spans="2:78">
      <c r="B3337" s="7"/>
      <c r="O3337" s="7"/>
      <c r="X3337" s="7"/>
      <c r="AG3337" s="7"/>
      <c r="AP3337" s="7"/>
      <c r="AY3337" s="7"/>
      <c r="BH3337" s="7"/>
      <c r="BQ3337" s="7"/>
      <c r="BZ3337" s="7"/>
    </row>
    <row r="3338" spans="2:78">
      <c r="B3338" s="7"/>
      <c r="O3338" s="7"/>
      <c r="X3338" s="7"/>
      <c r="AG3338" s="7"/>
      <c r="AP3338" s="7"/>
      <c r="AY3338" s="7"/>
      <c r="BH3338" s="7"/>
      <c r="BQ3338" s="7"/>
      <c r="BZ3338" s="7"/>
    </row>
    <row r="3339" spans="2:78">
      <c r="B3339" s="7"/>
      <c r="O3339" s="7"/>
      <c r="X3339" s="7"/>
      <c r="AG3339" s="7"/>
      <c r="AP3339" s="7"/>
      <c r="AY3339" s="7"/>
      <c r="BH3339" s="7"/>
      <c r="BQ3339" s="7"/>
      <c r="BZ3339" s="7"/>
    </row>
    <row r="3340" spans="2:78">
      <c r="B3340" s="7"/>
      <c r="O3340" s="7"/>
      <c r="X3340" s="7"/>
      <c r="AG3340" s="7"/>
      <c r="AP3340" s="7"/>
      <c r="AY3340" s="7"/>
      <c r="BH3340" s="7"/>
      <c r="BQ3340" s="7"/>
      <c r="BZ3340" s="7"/>
    </row>
    <row r="3341" spans="2:78">
      <c r="B3341" s="7"/>
      <c r="O3341" s="7"/>
      <c r="X3341" s="7"/>
      <c r="AG3341" s="7"/>
      <c r="AP3341" s="7"/>
      <c r="AY3341" s="7"/>
      <c r="BH3341" s="7"/>
      <c r="BQ3341" s="7"/>
      <c r="BZ3341" s="7"/>
    </row>
    <row r="3342" spans="2:78">
      <c r="B3342" s="7"/>
      <c r="O3342" s="7"/>
      <c r="X3342" s="7"/>
      <c r="AG3342" s="7"/>
      <c r="AP3342" s="7"/>
      <c r="AY3342" s="7"/>
      <c r="BH3342" s="7"/>
      <c r="BQ3342" s="7"/>
      <c r="BZ3342" s="7"/>
    </row>
    <row r="3343" spans="2:78">
      <c r="B3343" s="7"/>
      <c r="O3343" s="7"/>
      <c r="X3343" s="7"/>
      <c r="AG3343" s="7"/>
      <c r="AP3343" s="7"/>
      <c r="AY3343" s="7"/>
      <c r="BH3343" s="7"/>
      <c r="BQ3343" s="7"/>
      <c r="BZ3343" s="7"/>
    </row>
    <row r="3344" spans="2:78">
      <c r="B3344" s="7"/>
      <c r="O3344" s="7"/>
      <c r="X3344" s="7"/>
      <c r="AG3344" s="7"/>
      <c r="AP3344" s="7"/>
      <c r="AY3344" s="7"/>
      <c r="BH3344" s="7"/>
      <c r="BQ3344" s="7"/>
      <c r="BZ3344" s="7"/>
    </row>
    <row r="3345" spans="2:78">
      <c r="B3345" s="7"/>
      <c r="O3345" s="7"/>
      <c r="X3345" s="7"/>
      <c r="AG3345" s="7"/>
      <c r="AP3345" s="7"/>
      <c r="AY3345" s="7"/>
      <c r="BH3345" s="7"/>
      <c r="BQ3345" s="7"/>
      <c r="BZ3345" s="7"/>
    </row>
    <row r="3346" spans="2:78">
      <c r="B3346" s="7"/>
      <c r="O3346" s="7"/>
      <c r="X3346" s="7"/>
      <c r="AG3346" s="7"/>
      <c r="AP3346" s="7"/>
      <c r="AY3346" s="7"/>
      <c r="BH3346" s="7"/>
      <c r="BQ3346" s="7"/>
      <c r="BZ3346" s="7"/>
    </row>
    <row r="3347" spans="2:78">
      <c r="B3347" s="7"/>
      <c r="O3347" s="7"/>
      <c r="X3347" s="7"/>
      <c r="AG3347" s="7"/>
      <c r="AP3347" s="7"/>
      <c r="AY3347" s="7"/>
      <c r="BH3347" s="7"/>
      <c r="BQ3347" s="7"/>
      <c r="BZ3347" s="7"/>
    </row>
    <row r="3348" spans="2:78">
      <c r="B3348" s="7"/>
      <c r="O3348" s="7"/>
      <c r="X3348" s="7"/>
      <c r="AG3348" s="7"/>
      <c r="AP3348" s="7"/>
      <c r="AY3348" s="7"/>
      <c r="BH3348" s="7"/>
      <c r="BQ3348" s="7"/>
      <c r="BZ3348" s="7"/>
    </row>
    <row r="3349" spans="2:78">
      <c r="B3349" s="7"/>
      <c r="O3349" s="7"/>
      <c r="X3349" s="7"/>
      <c r="AG3349" s="7"/>
      <c r="AP3349" s="7"/>
      <c r="AY3349" s="7"/>
      <c r="BH3349" s="7"/>
      <c r="BQ3349" s="7"/>
      <c r="BZ3349" s="7"/>
    </row>
    <row r="3350" spans="2:78">
      <c r="B3350" s="7"/>
      <c r="O3350" s="7"/>
      <c r="X3350" s="7"/>
      <c r="AG3350" s="7"/>
      <c r="AP3350" s="7"/>
      <c r="AY3350" s="7"/>
      <c r="BH3350" s="7"/>
      <c r="BQ3350" s="7"/>
      <c r="BZ3350" s="7"/>
    </row>
    <row r="3351" spans="2:78">
      <c r="B3351" s="7"/>
      <c r="O3351" s="7"/>
      <c r="X3351" s="7"/>
      <c r="AG3351" s="7"/>
      <c r="AP3351" s="7"/>
      <c r="AY3351" s="7"/>
      <c r="BH3351" s="7"/>
      <c r="BQ3351" s="7"/>
      <c r="BZ3351" s="7"/>
    </row>
    <row r="3352" spans="2:78">
      <c r="B3352" s="7"/>
      <c r="O3352" s="7"/>
      <c r="X3352" s="7"/>
      <c r="AG3352" s="7"/>
      <c r="AP3352" s="7"/>
      <c r="AY3352" s="7"/>
      <c r="BH3352" s="7"/>
      <c r="BQ3352" s="7"/>
      <c r="BZ3352" s="7"/>
    </row>
    <row r="3353" spans="2:78">
      <c r="B3353" s="7"/>
      <c r="O3353" s="7"/>
      <c r="X3353" s="7"/>
      <c r="AG3353" s="7"/>
      <c r="AP3353" s="7"/>
      <c r="AY3353" s="7"/>
      <c r="BH3353" s="7"/>
      <c r="BQ3353" s="7"/>
      <c r="BZ3353" s="7"/>
    </row>
    <row r="3354" spans="2:78">
      <c r="B3354" s="7"/>
      <c r="O3354" s="7"/>
      <c r="X3354" s="7"/>
      <c r="AG3354" s="7"/>
      <c r="AP3354" s="7"/>
      <c r="AY3354" s="7"/>
      <c r="BH3354" s="7"/>
      <c r="BQ3354" s="7"/>
      <c r="BZ3354" s="7"/>
    </row>
    <row r="3355" spans="2:78">
      <c r="B3355" s="7"/>
      <c r="O3355" s="7"/>
      <c r="X3355" s="7"/>
      <c r="AG3355" s="7"/>
      <c r="AP3355" s="7"/>
      <c r="AY3355" s="7"/>
      <c r="BH3355" s="7"/>
      <c r="BQ3355" s="7"/>
      <c r="BZ3355" s="7"/>
    </row>
    <row r="3356" spans="2:78">
      <c r="B3356" s="7"/>
      <c r="O3356" s="7"/>
      <c r="X3356" s="7"/>
      <c r="AG3356" s="7"/>
      <c r="AP3356" s="7"/>
      <c r="AY3356" s="7"/>
      <c r="BH3356" s="7"/>
      <c r="BQ3356" s="7"/>
      <c r="BZ3356" s="7"/>
    </row>
    <row r="3357" spans="2:78">
      <c r="B3357" s="7"/>
      <c r="O3357" s="7"/>
      <c r="X3357" s="7"/>
      <c r="AG3357" s="7"/>
      <c r="AP3357" s="7"/>
      <c r="AY3357" s="7"/>
      <c r="BH3357" s="7"/>
      <c r="BQ3357" s="7"/>
      <c r="BZ3357" s="7"/>
    </row>
    <row r="3358" spans="2:78">
      <c r="B3358" s="7"/>
      <c r="O3358" s="7"/>
      <c r="X3358" s="7"/>
      <c r="AG3358" s="7"/>
      <c r="AP3358" s="7"/>
      <c r="AY3358" s="7"/>
      <c r="BH3358" s="7"/>
      <c r="BQ3358" s="7"/>
      <c r="BZ3358" s="7"/>
    </row>
    <row r="3359" spans="2:78">
      <c r="B3359" s="7"/>
      <c r="O3359" s="7"/>
      <c r="X3359" s="7"/>
      <c r="AG3359" s="7"/>
      <c r="AP3359" s="7"/>
      <c r="AY3359" s="7"/>
      <c r="BH3359" s="7"/>
      <c r="BQ3359" s="7"/>
      <c r="BZ3359" s="7"/>
    </row>
    <row r="3360" spans="2:78">
      <c r="B3360" s="7"/>
      <c r="O3360" s="7"/>
      <c r="X3360" s="7"/>
      <c r="AG3360" s="7"/>
      <c r="AP3360" s="7"/>
      <c r="AY3360" s="7"/>
      <c r="BH3360" s="7"/>
      <c r="BQ3360" s="7"/>
      <c r="BZ3360" s="7"/>
    </row>
    <row r="3361" spans="2:78">
      <c r="B3361" s="7"/>
      <c r="O3361" s="7"/>
      <c r="X3361" s="7"/>
      <c r="AG3361" s="7"/>
      <c r="AP3361" s="7"/>
      <c r="AY3361" s="7"/>
      <c r="BH3361" s="7"/>
      <c r="BQ3361" s="7"/>
      <c r="BZ3361" s="7"/>
    </row>
    <row r="3362" spans="2:78">
      <c r="B3362" s="7"/>
      <c r="O3362" s="7"/>
      <c r="X3362" s="7"/>
      <c r="AG3362" s="7"/>
      <c r="AP3362" s="7"/>
      <c r="AY3362" s="7"/>
      <c r="BH3362" s="7"/>
      <c r="BQ3362" s="7"/>
      <c r="BZ3362" s="7"/>
    </row>
    <row r="3363" spans="2:78">
      <c r="B3363" s="7"/>
      <c r="O3363" s="7"/>
      <c r="X3363" s="7"/>
      <c r="AG3363" s="7"/>
      <c r="AP3363" s="7"/>
      <c r="AY3363" s="7"/>
      <c r="BH3363" s="7"/>
      <c r="BQ3363" s="7"/>
      <c r="BZ3363" s="7"/>
    </row>
    <row r="3364" spans="2:78">
      <c r="B3364" s="7"/>
      <c r="O3364" s="7"/>
      <c r="X3364" s="7"/>
      <c r="AG3364" s="7"/>
      <c r="AP3364" s="7"/>
      <c r="AY3364" s="7"/>
      <c r="BH3364" s="7"/>
      <c r="BQ3364" s="7"/>
      <c r="BZ3364" s="7"/>
    </row>
    <row r="3365" spans="2:78">
      <c r="B3365" s="7"/>
      <c r="O3365" s="7"/>
      <c r="X3365" s="7"/>
      <c r="AG3365" s="7"/>
      <c r="AP3365" s="7"/>
      <c r="AY3365" s="7"/>
      <c r="BH3365" s="7"/>
      <c r="BQ3365" s="7"/>
      <c r="BZ3365" s="7"/>
    </row>
    <row r="3366" spans="2:78">
      <c r="B3366" s="7"/>
      <c r="O3366" s="7"/>
      <c r="X3366" s="7"/>
      <c r="AG3366" s="7"/>
      <c r="AP3366" s="7"/>
      <c r="AY3366" s="7"/>
      <c r="BH3366" s="7"/>
      <c r="BQ3366" s="7"/>
      <c r="BZ3366" s="7"/>
    </row>
    <row r="3367" spans="2:78">
      <c r="B3367" s="7"/>
      <c r="O3367" s="7"/>
      <c r="X3367" s="7"/>
      <c r="AG3367" s="7"/>
      <c r="AP3367" s="7"/>
      <c r="AY3367" s="7"/>
      <c r="BH3367" s="7"/>
      <c r="BQ3367" s="7"/>
      <c r="BZ3367" s="7"/>
    </row>
    <row r="3368" spans="2:78">
      <c r="B3368" s="7"/>
      <c r="O3368" s="7"/>
      <c r="X3368" s="7"/>
      <c r="AG3368" s="7"/>
      <c r="AP3368" s="7"/>
      <c r="AY3368" s="7"/>
      <c r="BH3368" s="7"/>
      <c r="BQ3368" s="7"/>
      <c r="BZ3368" s="7"/>
    </row>
    <row r="3369" spans="2:78">
      <c r="B3369" s="7"/>
      <c r="O3369" s="7"/>
      <c r="X3369" s="7"/>
      <c r="AG3369" s="7"/>
      <c r="AP3369" s="7"/>
      <c r="AY3369" s="7"/>
      <c r="BH3369" s="7"/>
      <c r="BQ3369" s="7"/>
      <c r="BZ3369" s="7"/>
    </row>
    <row r="3370" spans="2:78">
      <c r="B3370" s="7"/>
      <c r="O3370" s="7"/>
      <c r="X3370" s="7"/>
      <c r="AG3370" s="7"/>
      <c r="AP3370" s="7"/>
      <c r="AY3370" s="7"/>
      <c r="BH3370" s="7"/>
      <c r="BQ3370" s="7"/>
      <c r="BZ3370" s="7"/>
    </row>
    <row r="3371" spans="2:78">
      <c r="B3371" s="7"/>
      <c r="O3371" s="7"/>
      <c r="X3371" s="7"/>
      <c r="AG3371" s="7"/>
      <c r="AP3371" s="7"/>
      <c r="AY3371" s="7"/>
      <c r="BH3371" s="7"/>
      <c r="BQ3371" s="7"/>
      <c r="BZ3371" s="7"/>
    </row>
    <row r="3372" spans="2:78">
      <c r="B3372" s="7"/>
      <c r="O3372" s="7"/>
      <c r="X3372" s="7"/>
      <c r="AG3372" s="7"/>
      <c r="AP3372" s="7"/>
      <c r="AY3372" s="7"/>
      <c r="BH3372" s="7"/>
      <c r="BQ3372" s="7"/>
      <c r="BZ3372" s="7"/>
    </row>
    <row r="3373" spans="2:78">
      <c r="B3373" s="7"/>
      <c r="O3373" s="7"/>
      <c r="X3373" s="7"/>
      <c r="AG3373" s="7"/>
      <c r="AP3373" s="7"/>
      <c r="AY3373" s="7"/>
      <c r="BH3373" s="7"/>
      <c r="BQ3373" s="7"/>
      <c r="BZ3373" s="7"/>
    </row>
    <row r="3374" spans="2:78">
      <c r="B3374" s="7"/>
      <c r="O3374" s="7"/>
      <c r="X3374" s="7"/>
      <c r="AG3374" s="7"/>
      <c r="AP3374" s="7"/>
      <c r="AY3374" s="7"/>
      <c r="BH3374" s="7"/>
      <c r="BQ3374" s="7"/>
      <c r="BZ3374" s="7"/>
    </row>
    <row r="3375" spans="2:78">
      <c r="B3375" s="7"/>
      <c r="O3375" s="7"/>
      <c r="X3375" s="7"/>
      <c r="AG3375" s="7"/>
      <c r="AP3375" s="7"/>
      <c r="AY3375" s="7"/>
      <c r="BH3375" s="7"/>
      <c r="BQ3375" s="7"/>
      <c r="BZ3375" s="7"/>
    </row>
    <row r="3376" spans="2:78">
      <c r="B3376" s="7"/>
      <c r="O3376" s="7"/>
      <c r="X3376" s="7"/>
      <c r="AG3376" s="7"/>
      <c r="AP3376" s="7"/>
      <c r="AY3376" s="7"/>
      <c r="BH3376" s="7"/>
      <c r="BQ3376" s="7"/>
      <c r="BZ3376" s="7"/>
    </row>
    <row r="3377" spans="2:78">
      <c r="B3377" s="7"/>
      <c r="O3377" s="7"/>
      <c r="X3377" s="7"/>
      <c r="AG3377" s="7"/>
      <c r="AP3377" s="7"/>
      <c r="AY3377" s="7"/>
      <c r="BH3377" s="7"/>
      <c r="BQ3377" s="7"/>
      <c r="BZ3377" s="7"/>
    </row>
    <row r="3378" spans="2:78">
      <c r="B3378" s="7"/>
      <c r="O3378" s="7"/>
      <c r="X3378" s="7"/>
      <c r="AG3378" s="7"/>
      <c r="AP3378" s="7"/>
      <c r="AY3378" s="7"/>
      <c r="BH3378" s="7"/>
      <c r="BQ3378" s="7"/>
      <c r="BZ3378" s="7"/>
    </row>
    <row r="3379" spans="2:78">
      <c r="B3379" s="7"/>
      <c r="O3379" s="7"/>
      <c r="X3379" s="7"/>
      <c r="AG3379" s="7"/>
      <c r="AP3379" s="7"/>
      <c r="AY3379" s="7"/>
      <c r="BH3379" s="7"/>
      <c r="BQ3379" s="7"/>
      <c r="BZ3379" s="7"/>
    </row>
    <row r="3380" spans="2:78">
      <c r="B3380" s="7"/>
      <c r="O3380" s="7"/>
      <c r="X3380" s="7"/>
      <c r="AG3380" s="7"/>
      <c r="AP3380" s="7"/>
      <c r="AY3380" s="7"/>
      <c r="BH3380" s="7"/>
      <c r="BQ3380" s="7"/>
      <c r="BZ3380" s="7"/>
    </row>
    <row r="3381" spans="2:78">
      <c r="B3381" s="7"/>
      <c r="O3381" s="7"/>
      <c r="X3381" s="7"/>
      <c r="AG3381" s="7"/>
      <c r="AP3381" s="7"/>
      <c r="AY3381" s="7"/>
      <c r="BH3381" s="7"/>
      <c r="BQ3381" s="7"/>
      <c r="BZ3381" s="7"/>
    </row>
    <row r="3382" spans="2:78">
      <c r="B3382" s="7"/>
      <c r="O3382" s="7"/>
      <c r="X3382" s="7"/>
      <c r="AG3382" s="7"/>
      <c r="AP3382" s="7"/>
      <c r="AY3382" s="7"/>
      <c r="BH3382" s="7"/>
      <c r="BQ3382" s="7"/>
      <c r="BZ3382" s="7"/>
    </row>
    <row r="3383" spans="2:78">
      <c r="B3383" s="7"/>
      <c r="O3383" s="7"/>
      <c r="X3383" s="7"/>
      <c r="AG3383" s="7"/>
      <c r="AP3383" s="7"/>
      <c r="AY3383" s="7"/>
      <c r="BH3383" s="7"/>
      <c r="BQ3383" s="7"/>
      <c r="BZ3383" s="7"/>
    </row>
    <row r="3384" spans="2:78">
      <c r="B3384" s="7"/>
      <c r="O3384" s="7"/>
      <c r="X3384" s="7"/>
      <c r="AG3384" s="7"/>
      <c r="AP3384" s="7"/>
      <c r="AY3384" s="7"/>
      <c r="BH3384" s="7"/>
      <c r="BQ3384" s="7"/>
      <c r="BZ3384" s="7"/>
    </row>
    <row r="3385" spans="2:78">
      <c r="B3385" s="7"/>
      <c r="O3385" s="7"/>
      <c r="X3385" s="7"/>
      <c r="AG3385" s="7"/>
      <c r="AP3385" s="7"/>
      <c r="AY3385" s="7"/>
      <c r="BH3385" s="7"/>
      <c r="BQ3385" s="7"/>
      <c r="BZ3385" s="7"/>
    </row>
    <row r="3386" spans="2:78">
      <c r="B3386" s="7"/>
      <c r="O3386" s="7"/>
      <c r="X3386" s="7"/>
      <c r="AG3386" s="7"/>
      <c r="AP3386" s="7"/>
      <c r="AY3386" s="7"/>
      <c r="BH3386" s="7"/>
      <c r="BQ3386" s="7"/>
      <c r="BZ3386" s="7"/>
    </row>
    <row r="3387" spans="2:78">
      <c r="B3387" s="7"/>
      <c r="O3387" s="7"/>
      <c r="X3387" s="7"/>
      <c r="AG3387" s="7"/>
      <c r="AP3387" s="7"/>
      <c r="AY3387" s="7"/>
      <c r="BH3387" s="7"/>
      <c r="BQ3387" s="7"/>
      <c r="BZ3387" s="7"/>
    </row>
    <row r="3388" spans="2:78">
      <c r="B3388" s="7"/>
      <c r="O3388" s="7"/>
      <c r="X3388" s="7"/>
      <c r="AG3388" s="7"/>
      <c r="AP3388" s="7"/>
      <c r="AY3388" s="7"/>
      <c r="BH3388" s="7"/>
      <c r="BQ3388" s="7"/>
      <c r="BZ3388" s="7"/>
    </row>
    <row r="3389" spans="2:78">
      <c r="B3389" s="7"/>
      <c r="O3389" s="7"/>
      <c r="X3389" s="7"/>
      <c r="AG3389" s="7"/>
      <c r="AP3389" s="7"/>
      <c r="AY3389" s="7"/>
      <c r="BH3389" s="7"/>
      <c r="BQ3389" s="7"/>
      <c r="BZ3389" s="7"/>
    </row>
    <row r="3390" spans="2:78">
      <c r="B3390" s="7"/>
      <c r="O3390" s="7"/>
      <c r="X3390" s="7"/>
      <c r="AG3390" s="7"/>
      <c r="AP3390" s="7"/>
      <c r="AY3390" s="7"/>
      <c r="BH3390" s="7"/>
      <c r="BQ3390" s="7"/>
      <c r="BZ3390" s="7"/>
    </row>
    <row r="3391" spans="2:78">
      <c r="B3391" s="7"/>
      <c r="O3391" s="7"/>
      <c r="X3391" s="7"/>
      <c r="AG3391" s="7"/>
      <c r="AP3391" s="7"/>
      <c r="AY3391" s="7"/>
      <c r="BH3391" s="7"/>
      <c r="BQ3391" s="7"/>
      <c r="BZ3391" s="7"/>
    </row>
    <row r="3392" spans="2:78">
      <c r="B3392" s="7"/>
      <c r="O3392" s="7"/>
      <c r="X3392" s="7"/>
      <c r="AG3392" s="7"/>
      <c r="AP3392" s="7"/>
      <c r="AY3392" s="7"/>
      <c r="BH3392" s="7"/>
      <c r="BQ3392" s="7"/>
      <c r="BZ3392" s="7"/>
    </row>
    <row r="3393" spans="2:78">
      <c r="B3393" s="7"/>
      <c r="O3393" s="7"/>
      <c r="X3393" s="7"/>
      <c r="AG3393" s="7"/>
      <c r="AP3393" s="7"/>
      <c r="AY3393" s="7"/>
      <c r="BH3393" s="7"/>
      <c r="BQ3393" s="7"/>
      <c r="BZ3393" s="7"/>
    </row>
    <row r="3394" spans="2:78">
      <c r="B3394" s="7"/>
      <c r="O3394" s="7"/>
      <c r="X3394" s="7"/>
      <c r="AG3394" s="7"/>
      <c r="AP3394" s="7"/>
      <c r="AY3394" s="7"/>
      <c r="BH3394" s="7"/>
      <c r="BQ3394" s="7"/>
      <c r="BZ3394" s="7"/>
    </row>
    <row r="3395" spans="2:78">
      <c r="B3395" s="7"/>
      <c r="O3395" s="7"/>
      <c r="X3395" s="7"/>
      <c r="AG3395" s="7"/>
      <c r="AP3395" s="7"/>
      <c r="AY3395" s="7"/>
      <c r="BH3395" s="7"/>
      <c r="BQ3395" s="7"/>
      <c r="BZ3395" s="7"/>
    </row>
    <row r="3396" spans="2:78">
      <c r="B3396" s="7"/>
      <c r="O3396" s="7"/>
      <c r="X3396" s="7"/>
      <c r="AG3396" s="7"/>
      <c r="AP3396" s="7"/>
      <c r="AY3396" s="7"/>
      <c r="BH3396" s="7"/>
      <c r="BQ3396" s="7"/>
      <c r="BZ3396" s="7"/>
    </row>
    <row r="3397" spans="2:78">
      <c r="B3397" s="7"/>
      <c r="O3397" s="7"/>
      <c r="X3397" s="7"/>
      <c r="AG3397" s="7"/>
      <c r="AP3397" s="7"/>
      <c r="AY3397" s="7"/>
      <c r="BH3397" s="7"/>
      <c r="BQ3397" s="7"/>
      <c r="BZ3397" s="7"/>
    </row>
    <row r="3398" spans="2:78">
      <c r="B3398" s="7"/>
      <c r="O3398" s="7"/>
      <c r="X3398" s="7"/>
      <c r="AG3398" s="7"/>
      <c r="AP3398" s="7"/>
      <c r="AY3398" s="7"/>
      <c r="BH3398" s="7"/>
      <c r="BQ3398" s="7"/>
      <c r="BZ3398" s="7"/>
    </row>
    <row r="3399" spans="2:78">
      <c r="B3399" s="7"/>
      <c r="O3399" s="7"/>
      <c r="X3399" s="7"/>
      <c r="AG3399" s="7"/>
      <c r="AP3399" s="7"/>
      <c r="AY3399" s="7"/>
      <c r="BH3399" s="7"/>
      <c r="BQ3399" s="7"/>
      <c r="BZ3399" s="7"/>
    </row>
    <row r="3400" spans="2:78">
      <c r="B3400" s="7"/>
      <c r="O3400" s="7"/>
      <c r="X3400" s="7"/>
      <c r="AG3400" s="7"/>
      <c r="AP3400" s="7"/>
      <c r="AY3400" s="7"/>
      <c r="BH3400" s="7"/>
      <c r="BQ3400" s="7"/>
      <c r="BZ3400" s="7"/>
    </row>
    <row r="3401" spans="2:78">
      <c r="B3401" s="7"/>
      <c r="O3401" s="7"/>
      <c r="X3401" s="7"/>
      <c r="AG3401" s="7"/>
      <c r="AP3401" s="7"/>
      <c r="AY3401" s="7"/>
      <c r="BH3401" s="7"/>
      <c r="BQ3401" s="7"/>
      <c r="BZ3401" s="7"/>
    </row>
    <row r="3402" spans="2:78">
      <c r="B3402" s="7"/>
      <c r="O3402" s="7"/>
      <c r="X3402" s="7"/>
      <c r="AG3402" s="7"/>
      <c r="AP3402" s="7"/>
      <c r="AY3402" s="7"/>
      <c r="BH3402" s="7"/>
      <c r="BQ3402" s="7"/>
      <c r="BZ3402" s="7"/>
    </row>
    <row r="3403" spans="2:78">
      <c r="B3403" s="7"/>
      <c r="O3403" s="7"/>
      <c r="X3403" s="7"/>
      <c r="AG3403" s="7"/>
      <c r="AP3403" s="7"/>
      <c r="AY3403" s="7"/>
      <c r="BH3403" s="7"/>
      <c r="BQ3403" s="7"/>
      <c r="BZ3403" s="7"/>
    </row>
    <row r="3404" spans="2:78">
      <c r="B3404" s="7"/>
      <c r="O3404" s="7"/>
      <c r="X3404" s="7"/>
      <c r="AG3404" s="7"/>
      <c r="AP3404" s="7"/>
      <c r="AY3404" s="7"/>
      <c r="BH3404" s="7"/>
      <c r="BQ3404" s="7"/>
      <c r="BZ3404" s="7"/>
    </row>
    <row r="3405" spans="2:78">
      <c r="B3405" s="7"/>
      <c r="O3405" s="7"/>
      <c r="X3405" s="7"/>
      <c r="AG3405" s="7"/>
      <c r="AP3405" s="7"/>
      <c r="AY3405" s="7"/>
      <c r="BH3405" s="7"/>
      <c r="BQ3405" s="7"/>
      <c r="BZ3405" s="7"/>
    </row>
    <row r="3406" spans="2:78">
      <c r="B3406" s="7"/>
      <c r="O3406" s="7"/>
      <c r="X3406" s="7"/>
      <c r="AG3406" s="7"/>
      <c r="AP3406" s="7"/>
      <c r="AY3406" s="7"/>
      <c r="BH3406" s="7"/>
      <c r="BQ3406" s="7"/>
      <c r="BZ3406" s="7"/>
    </row>
    <row r="3407" spans="2:78">
      <c r="B3407" s="7"/>
      <c r="O3407" s="7"/>
      <c r="X3407" s="7"/>
      <c r="AG3407" s="7"/>
      <c r="AP3407" s="7"/>
      <c r="AY3407" s="7"/>
      <c r="BH3407" s="7"/>
      <c r="BQ3407" s="7"/>
      <c r="BZ3407" s="7"/>
    </row>
    <row r="3408" spans="2:78">
      <c r="B3408" s="7"/>
      <c r="O3408" s="7"/>
      <c r="X3408" s="7"/>
      <c r="AG3408" s="7"/>
      <c r="AP3408" s="7"/>
      <c r="AY3408" s="7"/>
      <c r="BH3408" s="7"/>
      <c r="BQ3408" s="7"/>
      <c r="BZ3408" s="7"/>
    </row>
    <row r="3409" spans="2:78">
      <c r="B3409" s="7"/>
      <c r="O3409" s="7"/>
      <c r="X3409" s="7"/>
      <c r="AG3409" s="7"/>
      <c r="AP3409" s="7"/>
      <c r="AY3409" s="7"/>
      <c r="BH3409" s="7"/>
      <c r="BQ3409" s="7"/>
      <c r="BZ3409" s="7"/>
    </row>
    <row r="3410" spans="2:78">
      <c r="B3410" s="7"/>
      <c r="O3410" s="7"/>
      <c r="X3410" s="7"/>
      <c r="AG3410" s="7"/>
      <c r="AP3410" s="7"/>
      <c r="AY3410" s="7"/>
      <c r="BH3410" s="7"/>
      <c r="BQ3410" s="7"/>
      <c r="BZ3410" s="7"/>
    </row>
    <row r="3411" spans="2:78">
      <c r="B3411" s="7"/>
      <c r="O3411" s="7"/>
      <c r="X3411" s="7"/>
      <c r="AG3411" s="7"/>
      <c r="AP3411" s="7"/>
      <c r="AY3411" s="7"/>
      <c r="BH3411" s="7"/>
      <c r="BQ3411" s="7"/>
      <c r="BZ3411" s="7"/>
    </row>
    <row r="3412" spans="2:78">
      <c r="B3412" s="7"/>
      <c r="O3412" s="7"/>
      <c r="X3412" s="7"/>
      <c r="AG3412" s="7"/>
      <c r="AP3412" s="7"/>
      <c r="AY3412" s="7"/>
      <c r="BH3412" s="7"/>
      <c r="BQ3412" s="7"/>
      <c r="BZ3412" s="7"/>
    </row>
    <row r="3413" spans="2:78">
      <c r="B3413" s="7"/>
      <c r="O3413" s="7"/>
      <c r="X3413" s="7"/>
      <c r="AG3413" s="7"/>
      <c r="AP3413" s="7"/>
      <c r="AY3413" s="7"/>
      <c r="BH3413" s="7"/>
      <c r="BQ3413" s="7"/>
      <c r="BZ3413" s="7"/>
    </row>
    <row r="3414" spans="2:78">
      <c r="B3414" s="7"/>
      <c r="O3414" s="7"/>
      <c r="X3414" s="7"/>
      <c r="AG3414" s="7"/>
      <c r="AP3414" s="7"/>
      <c r="AY3414" s="7"/>
      <c r="BH3414" s="7"/>
      <c r="BQ3414" s="7"/>
      <c r="BZ3414" s="7"/>
    </row>
    <row r="3415" spans="2:78">
      <c r="B3415" s="7"/>
      <c r="O3415" s="7"/>
      <c r="X3415" s="7"/>
      <c r="AG3415" s="7"/>
      <c r="AP3415" s="7"/>
      <c r="AY3415" s="7"/>
      <c r="BH3415" s="7"/>
      <c r="BQ3415" s="7"/>
      <c r="BZ3415" s="7"/>
    </row>
    <row r="3416" spans="2:78">
      <c r="B3416" s="7"/>
      <c r="O3416" s="7"/>
      <c r="X3416" s="7"/>
      <c r="AG3416" s="7"/>
      <c r="AP3416" s="7"/>
      <c r="AY3416" s="7"/>
      <c r="BH3416" s="7"/>
      <c r="BQ3416" s="7"/>
      <c r="BZ3416" s="7"/>
    </row>
    <row r="3417" spans="2:78">
      <c r="B3417" s="7"/>
      <c r="O3417" s="7"/>
      <c r="X3417" s="7"/>
      <c r="AG3417" s="7"/>
      <c r="AP3417" s="7"/>
      <c r="AY3417" s="7"/>
      <c r="BH3417" s="7"/>
      <c r="BQ3417" s="7"/>
      <c r="BZ3417" s="7"/>
    </row>
    <row r="3418" spans="2:78">
      <c r="B3418" s="7"/>
      <c r="O3418" s="7"/>
      <c r="X3418" s="7"/>
      <c r="AG3418" s="7"/>
      <c r="AP3418" s="7"/>
      <c r="AY3418" s="7"/>
      <c r="BH3418" s="7"/>
      <c r="BQ3418" s="7"/>
      <c r="BZ3418" s="7"/>
    </row>
    <row r="3419" spans="2:78">
      <c r="B3419" s="7"/>
      <c r="O3419" s="7"/>
      <c r="X3419" s="7"/>
      <c r="AG3419" s="7"/>
      <c r="AP3419" s="7"/>
      <c r="AY3419" s="7"/>
      <c r="BH3419" s="7"/>
      <c r="BQ3419" s="7"/>
      <c r="BZ3419" s="7"/>
    </row>
    <row r="3420" spans="2:78">
      <c r="B3420" s="7"/>
      <c r="O3420" s="7"/>
      <c r="X3420" s="7"/>
      <c r="AG3420" s="7"/>
      <c r="AP3420" s="7"/>
      <c r="AY3420" s="7"/>
      <c r="BH3420" s="7"/>
      <c r="BQ3420" s="7"/>
      <c r="BZ3420" s="7"/>
    </row>
    <row r="3421" spans="2:78">
      <c r="B3421" s="7"/>
      <c r="O3421" s="7"/>
      <c r="X3421" s="7"/>
      <c r="AG3421" s="7"/>
      <c r="AP3421" s="7"/>
      <c r="AY3421" s="7"/>
      <c r="BH3421" s="7"/>
      <c r="BQ3421" s="7"/>
      <c r="BZ3421" s="7"/>
    </row>
    <row r="3422" spans="2:78">
      <c r="B3422" s="7"/>
      <c r="O3422" s="7"/>
      <c r="X3422" s="7"/>
      <c r="AG3422" s="7"/>
      <c r="AP3422" s="7"/>
      <c r="AY3422" s="7"/>
      <c r="BH3422" s="7"/>
      <c r="BQ3422" s="7"/>
      <c r="BZ3422" s="7"/>
    </row>
    <row r="3423" spans="2:78">
      <c r="B3423" s="7"/>
      <c r="O3423" s="7"/>
      <c r="X3423" s="7"/>
      <c r="AG3423" s="7"/>
      <c r="AP3423" s="7"/>
      <c r="AY3423" s="7"/>
      <c r="BH3423" s="7"/>
      <c r="BQ3423" s="7"/>
      <c r="BZ3423" s="7"/>
    </row>
    <row r="3424" spans="2:78">
      <c r="B3424" s="7"/>
      <c r="O3424" s="7"/>
      <c r="X3424" s="7"/>
      <c r="AG3424" s="7"/>
      <c r="AP3424" s="7"/>
      <c r="AY3424" s="7"/>
      <c r="BH3424" s="7"/>
      <c r="BQ3424" s="7"/>
      <c r="BZ3424" s="7"/>
    </row>
    <row r="3425" spans="2:78">
      <c r="B3425" s="7"/>
      <c r="O3425" s="7"/>
      <c r="X3425" s="7"/>
      <c r="AG3425" s="7"/>
      <c r="AP3425" s="7"/>
      <c r="AY3425" s="7"/>
      <c r="BH3425" s="7"/>
      <c r="BQ3425" s="7"/>
      <c r="BZ3425" s="7"/>
    </row>
    <row r="3426" spans="2:78">
      <c r="B3426" s="7"/>
      <c r="O3426" s="7"/>
      <c r="X3426" s="7"/>
      <c r="AG3426" s="7"/>
      <c r="AP3426" s="7"/>
      <c r="AY3426" s="7"/>
      <c r="BH3426" s="7"/>
      <c r="BQ3426" s="7"/>
      <c r="BZ3426" s="7"/>
    </row>
    <row r="3427" spans="2:78">
      <c r="B3427" s="7"/>
      <c r="O3427" s="7"/>
      <c r="X3427" s="7"/>
      <c r="AG3427" s="7"/>
      <c r="AP3427" s="7"/>
      <c r="AY3427" s="7"/>
      <c r="BH3427" s="7"/>
      <c r="BQ3427" s="7"/>
      <c r="BZ3427" s="7"/>
    </row>
    <row r="3428" spans="2:78">
      <c r="B3428" s="7"/>
      <c r="O3428" s="7"/>
      <c r="X3428" s="7"/>
      <c r="AG3428" s="7"/>
      <c r="AP3428" s="7"/>
      <c r="AY3428" s="7"/>
      <c r="BH3428" s="7"/>
      <c r="BQ3428" s="7"/>
      <c r="BZ3428" s="7"/>
    </row>
    <row r="3429" spans="2:78">
      <c r="B3429" s="7"/>
      <c r="O3429" s="7"/>
      <c r="X3429" s="7"/>
      <c r="AG3429" s="7"/>
      <c r="AP3429" s="7"/>
      <c r="AY3429" s="7"/>
      <c r="BH3429" s="7"/>
      <c r="BQ3429" s="7"/>
      <c r="BZ3429" s="7"/>
    </row>
    <row r="3430" spans="2:78">
      <c r="B3430" s="7"/>
      <c r="O3430" s="7"/>
      <c r="X3430" s="7"/>
      <c r="AG3430" s="7"/>
      <c r="AP3430" s="7"/>
      <c r="AY3430" s="7"/>
      <c r="BH3430" s="7"/>
      <c r="BQ3430" s="7"/>
      <c r="BZ3430" s="7"/>
    </row>
    <row r="3431" spans="2:78">
      <c r="B3431" s="7"/>
      <c r="O3431" s="7"/>
      <c r="X3431" s="7"/>
      <c r="AG3431" s="7"/>
      <c r="AP3431" s="7"/>
      <c r="AY3431" s="7"/>
      <c r="BH3431" s="7"/>
      <c r="BQ3431" s="7"/>
      <c r="BZ3431" s="7"/>
    </row>
    <row r="3432" spans="2:78">
      <c r="B3432" s="7"/>
      <c r="O3432" s="7"/>
      <c r="X3432" s="7"/>
      <c r="AG3432" s="7"/>
      <c r="AP3432" s="7"/>
      <c r="AY3432" s="7"/>
      <c r="BH3432" s="7"/>
      <c r="BQ3432" s="7"/>
      <c r="BZ3432" s="7"/>
    </row>
    <row r="3433" spans="2:78">
      <c r="B3433" s="7"/>
      <c r="O3433" s="7"/>
      <c r="X3433" s="7"/>
      <c r="AG3433" s="7"/>
      <c r="AP3433" s="7"/>
      <c r="AY3433" s="7"/>
      <c r="BH3433" s="7"/>
      <c r="BQ3433" s="7"/>
      <c r="BZ3433" s="7"/>
    </row>
    <row r="3434" spans="2:78">
      <c r="B3434" s="7"/>
      <c r="O3434" s="7"/>
      <c r="X3434" s="7"/>
      <c r="AG3434" s="7"/>
      <c r="AP3434" s="7"/>
      <c r="AY3434" s="7"/>
      <c r="BH3434" s="7"/>
      <c r="BQ3434" s="7"/>
      <c r="BZ3434" s="7"/>
    </row>
    <row r="3435" spans="2:78">
      <c r="B3435" s="7"/>
      <c r="O3435" s="7"/>
      <c r="X3435" s="7"/>
      <c r="AG3435" s="7"/>
      <c r="AP3435" s="7"/>
      <c r="AY3435" s="7"/>
      <c r="BH3435" s="7"/>
      <c r="BQ3435" s="7"/>
      <c r="BZ3435" s="7"/>
    </row>
    <row r="3436" spans="2:78">
      <c r="B3436" s="7"/>
      <c r="O3436" s="7"/>
      <c r="X3436" s="7"/>
      <c r="AG3436" s="7"/>
      <c r="AP3436" s="7"/>
      <c r="AY3436" s="7"/>
      <c r="BH3436" s="7"/>
      <c r="BQ3436" s="7"/>
      <c r="BZ3436" s="7"/>
    </row>
    <row r="3437" spans="2:78">
      <c r="B3437" s="7"/>
      <c r="O3437" s="7"/>
      <c r="X3437" s="7"/>
      <c r="AG3437" s="7"/>
      <c r="AP3437" s="7"/>
      <c r="AY3437" s="7"/>
      <c r="BH3437" s="7"/>
      <c r="BQ3437" s="7"/>
      <c r="BZ3437" s="7"/>
    </row>
    <row r="3438" spans="2:78">
      <c r="B3438" s="7"/>
      <c r="O3438" s="7"/>
      <c r="X3438" s="7"/>
      <c r="AG3438" s="7"/>
      <c r="AP3438" s="7"/>
      <c r="AY3438" s="7"/>
      <c r="BH3438" s="7"/>
      <c r="BQ3438" s="7"/>
      <c r="BZ3438" s="7"/>
    </row>
    <row r="3439" spans="2:78">
      <c r="B3439" s="7"/>
      <c r="O3439" s="7"/>
      <c r="X3439" s="7"/>
      <c r="AG3439" s="7"/>
      <c r="AP3439" s="7"/>
      <c r="AY3439" s="7"/>
      <c r="BH3439" s="7"/>
      <c r="BQ3439" s="7"/>
      <c r="BZ3439" s="7"/>
    </row>
    <row r="3440" spans="2:78">
      <c r="B3440" s="7"/>
      <c r="O3440" s="7"/>
      <c r="X3440" s="7"/>
      <c r="AG3440" s="7"/>
      <c r="AP3440" s="7"/>
      <c r="AY3440" s="7"/>
      <c r="BH3440" s="7"/>
      <c r="BQ3440" s="7"/>
      <c r="BZ3440" s="7"/>
    </row>
    <row r="3441" spans="2:78">
      <c r="B3441" s="7"/>
      <c r="O3441" s="7"/>
      <c r="X3441" s="7"/>
      <c r="AG3441" s="7"/>
      <c r="AP3441" s="7"/>
      <c r="AY3441" s="7"/>
      <c r="BH3441" s="7"/>
      <c r="BQ3441" s="7"/>
      <c r="BZ3441" s="7"/>
    </row>
    <row r="3442" spans="2:78">
      <c r="B3442" s="7"/>
      <c r="O3442" s="7"/>
      <c r="X3442" s="7"/>
      <c r="AG3442" s="7"/>
      <c r="AP3442" s="7"/>
      <c r="AY3442" s="7"/>
      <c r="BH3442" s="7"/>
      <c r="BQ3442" s="7"/>
      <c r="BZ3442" s="7"/>
    </row>
    <row r="3443" spans="2:78">
      <c r="B3443" s="7"/>
      <c r="O3443" s="7"/>
      <c r="X3443" s="7"/>
      <c r="AG3443" s="7"/>
      <c r="AP3443" s="7"/>
      <c r="AY3443" s="7"/>
      <c r="BH3443" s="7"/>
      <c r="BQ3443" s="7"/>
      <c r="BZ3443" s="7"/>
    </row>
    <row r="3444" spans="2:78">
      <c r="B3444" s="7"/>
      <c r="O3444" s="7"/>
      <c r="X3444" s="7"/>
      <c r="AG3444" s="7"/>
      <c r="AP3444" s="7"/>
      <c r="AY3444" s="7"/>
      <c r="BH3444" s="7"/>
      <c r="BQ3444" s="7"/>
      <c r="BZ3444" s="7"/>
    </row>
    <row r="3445" spans="2:78">
      <c r="B3445" s="7"/>
      <c r="O3445" s="7"/>
      <c r="X3445" s="7"/>
      <c r="AG3445" s="7"/>
      <c r="AP3445" s="7"/>
      <c r="AY3445" s="7"/>
      <c r="BH3445" s="7"/>
      <c r="BQ3445" s="7"/>
      <c r="BZ3445" s="7"/>
    </row>
    <row r="3446" spans="2:78">
      <c r="B3446" s="7"/>
      <c r="O3446" s="7"/>
      <c r="X3446" s="7"/>
      <c r="AG3446" s="7"/>
      <c r="AP3446" s="7"/>
      <c r="AY3446" s="7"/>
      <c r="BH3446" s="7"/>
      <c r="BQ3446" s="7"/>
      <c r="BZ3446" s="7"/>
    </row>
    <row r="3447" spans="2:78">
      <c r="B3447" s="7"/>
      <c r="O3447" s="7"/>
      <c r="X3447" s="7"/>
      <c r="AG3447" s="7"/>
      <c r="AP3447" s="7"/>
      <c r="AY3447" s="7"/>
      <c r="BH3447" s="7"/>
      <c r="BQ3447" s="7"/>
      <c r="BZ3447" s="7"/>
    </row>
    <row r="3448" spans="2:78">
      <c r="B3448" s="7"/>
      <c r="O3448" s="7"/>
      <c r="X3448" s="7"/>
      <c r="AG3448" s="7"/>
      <c r="AP3448" s="7"/>
      <c r="AY3448" s="7"/>
      <c r="BH3448" s="7"/>
      <c r="BQ3448" s="7"/>
      <c r="BZ3448" s="7"/>
    </row>
    <row r="3449" spans="2:78">
      <c r="B3449" s="7"/>
      <c r="O3449" s="7"/>
      <c r="X3449" s="7"/>
      <c r="AG3449" s="7"/>
      <c r="AP3449" s="7"/>
      <c r="AY3449" s="7"/>
      <c r="BH3449" s="7"/>
      <c r="BQ3449" s="7"/>
      <c r="BZ3449" s="7"/>
    </row>
    <row r="3450" spans="2:78">
      <c r="B3450" s="7"/>
      <c r="O3450" s="7"/>
      <c r="X3450" s="7"/>
      <c r="AG3450" s="7"/>
      <c r="AP3450" s="7"/>
      <c r="AY3450" s="7"/>
      <c r="BH3450" s="7"/>
      <c r="BQ3450" s="7"/>
      <c r="BZ3450" s="7"/>
    </row>
    <row r="3451" spans="2:78">
      <c r="B3451" s="7"/>
      <c r="O3451" s="7"/>
      <c r="X3451" s="7"/>
      <c r="AG3451" s="7"/>
      <c r="AP3451" s="7"/>
      <c r="AY3451" s="7"/>
      <c r="BH3451" s="7"/>
      <c r="BQ3451" s="7"/>
      <c r="BZ3451" s="7"/>
    </row>
    <row r="3452" spans="2:78">
      <c r="B3452" s="7"/>
      <c r="O3452" s="7"/>
      <c r="X3452" s="7"/>
      <c r="AG3452" s="7"/>
      <c r="AP3452" s="7"/>
      <c r="AY3452" s="7"/>
      <c r="BH3452" s="7"/>
      <c r="BQ3452" s="7"/>
      <c r="BZ3452" s="7"/>
    </row>
    <row r="3453" spans="2:78">
      <c r="B3453" s="7"/>
      <c r="O3453" s="7"/>
      <c r="X3453" s="7"/>
      <c r="AG3453" s="7"/>
      <c r="AP3453" s="7"/>
      <c r="AY3453" s="7"/>
      <c r="BH3453" s="7"/>
      <c r="BQ3453" s="7"/>
      <c r="BZ3453" s="7"/>
    </row>
    <row r="3454" spans="2:78">
      <c r="B3454" s="7"/>
      <c r="O3454" s="7"/>
      <c r="X3454" s="7"/>
      <c r="AG3454" s="7"/>
      <c r="AP3454" s="7"/>
      <c r="AY3454" s="7"/>
      <c r="BH3454" s="7"/>
      <c r="BQ3454" s="7"/>
      <c r="BZ3454" s="7"/>
    </row>
    <row r="3455" spans="2:78">
      <c r="B3455" s="7"/>
      <c r="O3455" s="7"/>
      <c r="X3455" s="7"/>
      <c r="AG3455" s="7"/>
      <c r="AP3455" s="7"/>
      <c r="AY3455" s="7"/>
      <c r="BH3455" s="7"/>
      <c r="BQ3455" s="7"/>
      <c r="BZ3455" s="7"/>
    </row>
    <row r="3456" spans="2:78">
      <c r="B3456" s="7"/>
      <c r="O3456" s="7"/>
      <c r="X3456" s="7"/>
      <c r="AG3456" s="7"/>
      <c r="AP3456" s="7"/>
      <c r="AY3456" s="7"/>
      <c r="BH3456" s="7"/>
      <c r="BQ3456" s="7"/>
      <c r="BZ3456" s="7"/>
    </row>
    <row r="3457" spans="2:78">
      <c r="B3457" s="7"/>
      <c r="O3457" s="7"/>
      <c r="X3457" s="7"/>
      <c r="AG3457" s="7"/>
      <c r="AP3457" s="7"/>
      <c r="AY3457" s="7"/>
      <c r="BH3457" s="7"/>
      <c r="BQ3457" s="7"/>
      <c r="BZ3457" s="7"/>
    </row>
    <row r="3458" spans="2:78">
      <c r="B3458" s="7"/>
      <c r="O3458" s="7"/>
      <c r="X3458" s="7"/>
      <c r="AG3458" s="7"/>
      <c r="AP3458" s="7"/>
      <c r="AY3458" s="7"/>
      <c r="BH3458" s="7"/>
      <c r="BQ3458" s="7"/>
      <c r="BZ3458" s="7"/>
    </row>
    <row r="3459" spans="2:78">
      <c r="B3459" s="7"/>
      <c r="O3459" s="7"/>
      <c r="X3459" s="7"/>
      <c r="AG3459" s="7"/>
      <c r="AP3459" s="7"/>
      <c r="AY3459" s="7"/>
      <c r="BH3459" s="7"/>
      <c r="BQ3459" s="7"/>
      <c r="BZ3459" s="7"/>
    </row>
    <row r="3460" spans="2:78">
      <c r="B3460" s="7"/>
      <c r="O3460" s="7"/>
      <c r="X3460" s="7"/>
      <c r="AG3460" s="7"/>
      <c r="AP3460" s="7"/>
      <c r="AY3460" s="7"/>
      <c r="BH3460" s="7"/>
      <c r="BQ3460" s="7"/>
      <c r="BZ3460" s="7"/>
    </row>
    <row r="3461" spans="2:78">
      <c r="B3461" s="7"/>
      <c r="O3461" s="7"/>
      <c r="X3461" s="7"/>
      <c r="AG3461" s="7"/>
      <c r="AP3461" s="7"/>
      <c r="AY3461" s="7"/>
      <c r="BH3461" s="7"/>
      <c r="BQ3461" s="7"/>
      <c r="BZ3461" s="7"/>
    </row>
    <row r="3462" spans="2:78">
      <c r="B3462" s="7"/>
      <c r="O3462" s="7"/>
      <c r="X3462" s="7"/>
      <c r="AG3462" s="7"/>
      <c r="AP3462" s="7"/>
      <c r="AY3462" s="7"/>
      <c r="BH3462" s="7"/>
      <c r="BQ3462" s="7"/>
      <c r="BZ3462" s="7"/>
    </row>
    <row r="3463" spans="2:78">
      <c r="B3463" s="7"/>
      <c r="O3463" s="7"/>
      <c r="X3463" s="7"/>
      <c r="AG3463" s="7"/>
      <c r="AP3463" s="7"/>
      <c r="AY3463" s="7"/>
      <c r="BH3463" s="7"/>
      <c r="BQ3463" s="7"/>
      <c r="BZ3463" s="7"/>
    </row>
    <row r="3464" spans="2:78">
      <c r="B3464" s="7"/>
      <c r="O3464" s="7"/>
      <c r="X3464" s="7"/>
      <c r="AG3464" s="7"/>
      <c r="AP3464" s="7"/>
      <c r="AY3464" s="7"/>
      <c r="BH3464" s="7"/>
      <c r="BQ3464" s="7"/>
      <c r="BZ3464" s="7"/>
    </row>
    <row r="3465" spans="2:78">
      <c r="B3465" s="7"/>
      <c r="O3465" s="7"/>
      <c r="X3465" s="7"/>
      <c r="AG3465" s="7"/>
      <c r="AP3465" s="7"/>
      <c r="AY3465" s="7"/>
      <c r="BH3465" s="7"/>
      <c r="BQ3465" s="7"/>
      <c r="BZ3465" s="7"/>
    </row>
    <row r="3466" spans="2:78">
      <c r="B3466" s="7"/>
      <c r="O3466" s="7"/>
      <c r="X3466" s="7"/>
      <c r="AG3466" s="7"/>
      <c r="AP3466" s="7"/>
      <c r="AY3466" s="7"/>
      <c r="BH3466" s="7"/>
      <c r="BQ3466" s="7"/>
      <c r="BZ3466" s="7"/>
    </row>
    <row r="3467" spans="2:78">
      <c r="B3467" s="7"/>
      <c r="O3467" s="7"/>
      <c r="X3467" s="7"/>
      <c r="AG3467" s="7"/>
      <c r="AP3467" s="7"/>
      <c r="AY3467" s="7"/>
      <c r="BH3467" s="7"/>
      <c r="BQ3467" s="7"/>
      <c r="BZ3467" s="7"/>
    </row>
    <row r="3468" spans="2:78">
      <c r="B3468" s="7"/>
      <c r="O3468" s="7"/>
      <c r="X3468" s="7"/>
      <c r="AG3468" s="7"/>
      <c r="AP3468" s="7"/>
      <c r="AY3468" s="7"/>
      <c r="BH3468" s="7"/>
      <c r="BQ3468" s="7"/>
      <c r="BZ3468" s="7"/>
    </row>
    <row r="3469" spans="2:78">
      <c r="B3469" s="7"/>
      <c r="O3469" s="7"/>
      <c r="X3469" s="7"/>
      <c r="AG3469" s="7"/>
      <c r="AP3469" s="7"/>
      <c r="AY3469" s="7"/>
      <c r="BH3469" s="7"/>
      <c r="BQ3469" s="7"/>
      <c r="BZ3469" s="7"/>
    </row>
    <row r="3470" spans="2:78">
      <c r="B3470" s="7"/>
      <c r="O3470" s="7"/>
      <c r="X3470" s="7"/>
      <c r="AG3470" s="7"/>
      <c r="AP3470" s="7"/>
      <c r="AY3470" s="7"/>
      <c r="BH3470" s="7"/>
      <c r="BQ3470" s="7"/>
      <c r="BZ3470" s="7"/>
    </row>
    <row r="3471" spans="2:78">
      <c r="B3471" s="7"/>
      <c r="O3471" s="7"/>
      <c r="X3471" s="7"/>
      <c r="AG3471" s="7"/>
      <c r="AP3471" s="7"/>
      <c r="AY3471" s="7"/>
      <c r="BH3471" s="7"/>
      <c r="BQ3471" s="7"/>
      <c r="BZ3471" s="7"/>
    </row>
    <row r="3472" spans="2:78">
      <c r="B3472" s="7"/>
      <c r="O3472" s="7"/>
      <c r="X3472" s="7"/>
      <c r="AG3472" s="7"/>
      <c r="AP3472" s="7"/>
      <c r="AY3472" s="7"/>
      <c r="BH3472" s="7"/>
      <c r="BQ3472" s="7"/>
      <c r="BZ3472" s="7"/>
    </row>
    <row r="3473" spans="2:78">
      <c r="B3473" s="7"/>
      <c r="O3473" s="7"/>
      <c r="X3473" s="7"/>
      <c r="AG3473" s="7"/>
      <c r="AP3473" s="7"/>
      <c r="AY3473" s="7"/>
      <c r="BH3473" s="7"/>
      <c r="BQ3473" s="7"/>
      <c r="BZ3473" s="7"/>
    </row>
    <row r="3474" spans="2:78">
      <c r="B3474" s="7"/>
      <c r="O3474" s="7"/>
      <c r="X3474" s="7"/>
      <c r="AG3474" s="7"/>
      <c r="AP3474" s="7"/>
      <c r="AY3474" s="7"/>
      <c r="BH3474" s="7"/>
      <c r="BQ3474" s="7"/>
      <c r="BZ3474" s="7"/>
    </row>
    <row r="3475" spans="2:78">
      <c r="B3475" s="7"/>
      <c r="O3475" s="7"/>
      <c r="X3475" s="7"/>
      <c r="AG3475" s="7"/>
      <c r="AP3475" s="7"/>
      <c r="AY3475" s="7"/>
      <c r="BH3475" s="7"/>
      <c r="BQ3475" s="7"/>
      <c r="BZ3475" s="7"/>
    </row>
    <row r="3476" spans="2:78">
      <c r="B3476" s="7"/>
      <c r="O3476" s="7"/>
      <c r="X3476" s="7"/>
      <c r="AG3476" s="7"/>
      <c r="AP3476" s="7"/>
      <c r="AY3476" s="7"/>
      <c r="BH3476" s="7"/>
      <c r="BQ3476" s="7"/>
      <c r="BZ3476" s="7"/>
    </row>
    <row r="3477" spans="2:78">
      <c r="B3477" s="7"/>
      <c r="O3477" s="7"/>
      <c r="X3477" s="7"/>
      <c r="AG3477" s="7"/>
      <c r="AP3477" s="7"/>
      <c r="AY3477" s="7"/>
      <c r="BH3477" s="7"/>
      <c r="BQ3477" s="7"/>
      <c r="BZ3477" s="7"/>
    </row>
    <row r="3478" spans="2:78">
      <c r="B3478" s="7"/>
      <c r="O3478" s="7"/>
      <c r="X3478" s="7"/>
      <c r="AG3478" s="7"/>
      <c r="AP3478" s="7"/>
      <c r="AY3478" s="7"/>
      <c r="BH3478" s="7"/>
      <c r="BQ3478" s="7"/>
      <c r="BZ3478" s="7"/>
    </row>
    <row r="3479" spans="2:78">
      <c r="B3479" s="7"/>
      <c r="O3479" s="7"/>
      <c r="X3479" s="7"/>
      <c r="AG3479" s="7"/>
      <c r="AP3479" s="7"/>
      <c r="AY3479" s="7"/>
      <c r="BH3479" s="7"/>
      <c r="BQ3479" s="7"/>
      <c r="BZ3479" s="7"/>
    </row>
    <row r="3480" spans="2:78">
      <c r="B3480" s="7"/>
      <c r="O3480" s="7"/>
      <c r="X3480" s="7"/>
      <c r="AG3480" s="7"/>
      <c r="AP3480" s="7"/>
      <c r="AY3480" s="7"/>
      <c r="BH3480" s="7"/>
      <c r="BQ3480" s="7"/>
      <c r="BZ3480" s="7"/>
    </row>
    <row r="3481" spans="2:78">
      <c r="B3481" s="7"/>
      <c r="O3481" s="7"/>
      <c r="X3481" s="7"/>
      <c r="AG3481" s="7"/>
      <c r="AP3481" s="7"/>
      <c r="AY3481" s="7"/>
      <c r="BH3481" s="7"/>
      <c r="BQ3481" s="7"/>
      <c r="BZ3481" s="7"/>
    </row>
    <row r="3482" spans="2:78">
      <c r="B3482" s="7"/>
      <c r="O3482" s="7"/>
      <c r="X3482" s="7"/>
      <c r="AG3482" s="7"/>
      <c r="AP3482" s="7"/>
      <c r="AY3482" s="7"/>
      <c r="BH3482" s="7"/>
      <c r="BQ3482" s="7"/>
      <c r="BZ3482" s="7"/>
    </row>
    <row r="3483" spans="2:78">
      <c r="B3483" s="7"/>
      <c r="O3483" s="7"/>
      <c r="X3483" s="7"/>
      <c r="AG3483" s="7"/>
      <c r="AP3483" s="7"/>
      <c r="AY3483" s="7"/>
      <c r="BH3483" s="7"/>
      <c r="BQ3483" s="7"/>
      <c r="BZ3483" s="7"/>
    </row>
    <row r="3484" spans="2:78">
      <c r="B3484" s="7"/>
      <c r="O3484" s="7"/>
      <c r="X3484" s="7"/>
      <c r="AG3484" s="7"/>
      <c r="AP3484" s="7"/>
      <c r="AY3484" s="7"/>
      <c r="BH3484" s="7"/>
      <c r="BQ3484" s="7"/>
      <c r="BZ3484" s="7"/>
    </row>
    <row r="3485" spans="2:78">
      <c r="B3485" s="7"/>
      <c r="O3485" s="7"/>
      <c r="X3485" s="7"/>
      <c r="AG3485" s="7"/>
      <c r="AP3485" s="7"/>
      <c r="AY3485" s="7"/>
      <c r="BH3485" s="7"/>
      <c r="BQ3485" s="7"/>
      <c r="BZ3485" s="7"/>
    </row>
    <row r="3486" spans="2:78">
      <c r="B3486" s="7"/>
      <c r="O3486" s="7"/>
      <c r="X3486" s="7"/>
      <c r="AG3486" s="7"/>
      <c r="AP3486" s="7"/>
      <c r="AY3486" s="7"/>
      <c r="BH3486" s="7"/>
      <c r="BQ3486" s="7"/>
      <c r="BZ3486" s="7"/>
    </row>
    <row r="3487" spans="2:78">
      <c r="B3487" s="7"/>
      <c r="O3487" s="7"/>
      <c r="X3487" s="7"/>
      <c r="AG3487" s="7"/>
      <c r="AP3487" s="7"/>
      <c r="AY3487" s="7"/>
      <c r="BH3487" s="7"/>
      <c r="BQ3487" s="7"/>
      <c r="BZ3487" s="7"/>
    </row>
    <row r="3488" spans="2:78">
      <c r="B3488" s="7"/>
      <c r="O3488" s="7"/>
      <c r="X3488" s="7"/>
      <c r="AG3488" s="7"/>
      <c r="AP3488" s="7"/>
      <c r="AY3488" s="7"/>
      <c r="BH3488" s="7"/>
      <c r="BQ3488" s="7"/>
      <c r="BZ3488" s="7"/>
    </row>
    <row r="3489" spans="2:78">
      <c r="B3489" s="7"/>
      <c r="O3489" s="7"/>
      <c r="X3489" s="7"/>
      <c r="AG3489" s="7"/>
      <c r="AP3489" s="7"/>
      <c r="AY3489" s="7"/>
      <c r="BH3489" s="7"/>
      <c r="BQ3489" s="7"/>
      <c r="BZ3489" s="7"/>
    </row>
    <row r="3490" spans="2:78">
      <c r="B3490" s="7"/>
      <c r="O3490" s="7"/>
      <c r="X3490" s="7"/>
      <c r="AG3490" s="7"/>
      <c r="AP3490" s="7"/>
      <c r="AY3490" s="7"/>
      <c r="BH3490" s="7"/>
      <c r="BQ3490" s="7"/>
      <c r="BZ3490" s="7"/>
    </row>
    <row r="3491" spans="2:78">
      <c r="B3491" s="7"/>
      <c r="O3491" s="7"/>
      <c r="X3491" s="7"/>
      <c r="AG3491" s="7"/>
      <c r="AP3491" s="7"/>
      <c r="AY3491" s="7"/>
      <c r="BH3491" s="7"/>
      <c r="BQ3491" s="7"/>
      <c r="BZ3491" s="7"/>
    </row>
    <row r="3492" spans="2:78">
      <c r="B3492" s="7"/>
      <c r="O3492" s="7"/>
      <c r="X3492" s="7"/>
      <c r="AG3492" s="7"/>
      <c r="AP3492" s="7"/>
      <c r="AY3492" s="7"/>
      <c r="BH3492" s="7"/>
      <c r="BQ3492" s="7"/>
      <c r="BZ3492" s="7"/>
    </row>
    <row r="3493" spans="2:78">
      <c r="B3493" s="7"/>
      <c r="O3493" s="7"/>
      <c r="X3493" s="7"/>
      <c r="AG3493" s="7"/>
      <c r="AP3493" s="7"/>
      <c r="AY3493" s="7"/>
      <c r="BH3493" s="7"/>
      <c r="BQ3493" s="7"/>
      <c r="BZ3493" s="7"/>
    </row>
    <row r="3494" spans="2:78">
      <c r="B3494" s="7"/>
      <c r="O3494" s="7"/>
      <c r="X3494" s="7"/>
      <c r="AG3494" s="7"/>
      <c r="AP3494" s="7"/>
      <c r="AY3494" s="7"/>
      <c r="BH3494" s="7"/>
      <c r="BQ3494" s="7"/>
      <c r="BZ3494" s="7"/>
    </row>
    <row r="3495" spans="2:78">
      <c r="B3495" s="7"/>
      <c r="O3495" s="7"/>
      <c r="X3495" s="7"/>
      <c r="AG3495" s="7"/>
      <c r="AP3495" s="7"/>
      <c r="AY3495" s="7"/>
      <c r="BH3495" s="7"/>
      <c r="BQ3495" s="7"/>
      <c r="BZ3495" s="7"/>
    </row>
    <row r="3496" spans="2:78">
      <c r="B3496" s="7"/>
      <c r="O3496" s="7"/>
      <c r="X3496" s="7"/>
      <c r="AG3496" s="7"/>
      <c r="AP3496" s="7"/>
      <c r="AY3496" s="7"/>
      <c r="BH3496" s="7"/>
      <c r="BQ3496" s="7"/>
      <c r="BZ3496" s="7"/>
    </row>
    <row r="3497" spans="2:78">
      <c r="B3497" s="7"/>
      <c r="O3497" s="7"/>
      <c r="X3497" s="7"/>
      <c r="AG3497" s="7"/>
      <c r="AP3497" s="7"/>
      <c r="AY3497" s="7"/>
      <c r="BH3497" s="7"/>
      <c r="BQ3497" s="7"/>
      <c r="BZ3497" s="7"/>
    </row>
    <row r="3498" spans="2:78">
      <c r="B3498" s="7"/>
      <c r="O3498" s="7"/>
      <c r="X3498" s="7"/>
      <c r="AG3498" s="7"/>
      <c r="AP3498" s="7"/>
      <c r="AY3498" s="7"/>
      <c r="BH3498" s="7"/>
      <c r="BQ3498" s="7"/>
      <c r="BZ3498" s="7"/>
    </row>
    <row r="3499" spans="2:78">
      <c r="B3499" s="7"/>
      <c r="O3499" s="7"/>
      <c r="X3499" s="7"/>
      <c r="AG3499" s="7"/>
      <c r="AP3499" s="7"/>
      <c r="AY3499" s="7"/>
      <c r="BH3499" s="7"/>
      <c r="BQ3499" s="7"/>
      <c r="BZ3499" s="7"/>
    </row>
    <row r="3500" spans="2:78">
      <c r="B3500" s="7"/>
      <c r="O3500" s="7"/>
      <c r="X3500" s="7"/>
      <c r="AG3500" s="7"/>
      <c r="AP3500" s="7"/>
      <c r="AY3500" s="7"/>
      <c r="BH3500" s="7"/>
      <c r="BQ3500" s="7"/>
      <c r="BZ3500" s="7"/>
    </row>
    <row r="3501" spans="2:78">
      <c r="B3501" s="7"/>
      <c r="O3501" s="7"/>
      <c r="X3501" s="7"/>
      <c r="AG3501" s="7"/>
      <c r="AP3501" s="7"/>
      <c r="AY3501" s="7"/>
      <c r="BH3501" s="7"/>
      <c r="BQ3501" s="7"/>
      <c r="BZ3501" s="7"/>
    </row>
    <row r="3502" spans="2:78">
      <c r="B3502" s="7"/>
      <c r="O3502" s="7"/>
      <c r="X3502" s="7"/>
      <c r="AG3502" s="7"/>
      <c r="AP3502" s="7"/>
      <c r="AY3502" s="7"/>
      <c r="BH3502" s="7"/>
      <c r="BQ3502" s="7"/>
      <c r="BZ3502" s="7"/>
    </row>
    <row r="3503" spans="2:78">
      <c r="B3503" s="7"/>
      <c r="O3503" s="7"/>
      <c r="X3503" s="7"/>
      <c r="AG3503" s="7"/>
      <c r="AP3503" s="7"/>
      <c r="AY3503" s="7"/>
      <c r="BH3503" s="7"/>
      <c r="BQ3503" s="7"/>
      <c r="BZ3503" s="7"/>
    </row>
    <row r="3504" spans="2:78">
      <c r="B3504" s="7"/>
      <c r="O3504" s="7"/>
      <c r="X3504" s="7"/>
      <c r="AG3504" s="7"/>
      <c r="AP3504" s="7"/>
      <c r="AY3504" s="7"/>
      <c r="BH3504" s="7"/>
      <c r="BQ3504" s="7"/>
      <c r="BZ3504" s="7"/>
    </row>
    <row r="3505" spans="2:78">
      <c r="B3505" s="7"/>
      <c r="O3505" s="7"/>
      <c r="X3505" s="7"/>
      <c r="AG3505" s="7"/>
      <c r="AP3505" s="7"/>
      <c r="AY3505" s="7"/>
      <c r="BH3505" s="7"/>
      <c r="BQ3505" s="7"/>
      <c r="BZ3505" s="7"/>
    </row>
    <row r="3506" spans="2:78">
      <c r="B3506" s="7"/>
      <c r="O3506" s="7"/>
      <c r="X3506" s="7"/>
      <c r="AG3506" s="7"/>
      <c r="AP3506" s="7"/>
      <c r="AY3506" s="7"/>
      <c r="BH3506" s="7"/>
      <c r="BQ3506" s="7"/>
      <c r="BZ3506" s="7"/>
    </row>
    <row r="3507" spans="2:78">
      <c r="B3507" s="7"/>
      <c r="O3507" s="7"/>
      <c r="X3507" s="7"/>
      <c r="AG3507" s="7"/>
      <c r="AP3507" s="7"/>
      <c r="AY3507" s="7"/>
      <c r="BH3507" s="7"/>
      <c r="BQ3507" s="7"/>
      <c r="BZ3507" s="7"/>
    </row>
    <row r="3508" spans="2:78">
      <c r="B3508" s="7"/>
      <c r="O3508" s="7"/>
      <c r="X3508" s="7"/>
      <c r="AG3508" s="7"/>
      <c r="AP3508" s="7"/>
      <c r="AY3508" s="7"/>
      <c r="BH3508" s="7"/>
      <c r="BQ3508" s="7"/>
      <c r="BZ3508" s="7"/>
    </row>
    <row r="3509" spans="2:78">
      <c r="B3509" s="7"/>
      <c r="O3509" s="7"/>
      <c r="X3509" s="7"/>
      <c r="AG3509" s="7"/>
      <c r="AP3509" s="7"/>
      <c r="AY3509" s="7"/>
      <c r="BH3509" s="7"/>
      <c r="BQ3509" s="7"/>
      <c r="BZ3509" s="7"/>
    </row>
    <row r="3510" spans="2:78">
      <c r="B3510" s="7"/>
      <c r="O3510" s="7"/>
      <c r="X3510" s="7"/>
      <c r="AG3510" s="7"/>
      <c r="AP3510" s="7"/>
      <c r="AY3510" s="7"/>
      <c r="BH3510" s="7"/>
      <c r="BQ3510" s="7"/>
      <c r="BZ3510" s="7"/>
    </row>
    <row r="3511" spans="2:78">
      <c r="B3511" s="7"/>
      <c r="O3511" s="7"/>
      <c r="X3511" s="7"/>
      <c r="AG3511" s="7"/>
      <c r="AP3511" s="7"/>
      <c r="AY3511" s="7"/>
      <c r="BH3511" s="7"/>
      <c r="BQ3511" s="7"/>
      <c r="BZ3511" s="7"/>
    </row>
    <row r="3512" spans="2:78">
      <c r="B3512" s="7"/>
      <c r="O3512" s="7"/>
      <c r="X3512" s="7"/>
      <c r="AG3512" s="7"/>
      <c r="AP3512" s="7"/>
      <c r="AY3512" s="7"/>
      <c r="BH3512" s="7"/>
      <c r="BQ3512" s="7"/>
      <c r="BZ3512" s="7"/>
    </row>
    <row r="3513" spans="2:78">
      <c r="B3513" s="7"/>
      <c r="O3513" s="7"/>
      <c r="X3513" s="7"/>
      <c r="AG3513" s="7"/>
      <c r="AP3513" s="7"/>
      <c r="AY3513" s="7"/>
      <c r="BH3513" s="7"/>
      <c r="BQ3513" s="7"/>
      <c r="BZ3513" s="7"/>
    </row>
    <row r="3514" spans="2:78">
      <c r="B3514" s="7"/>
      <c r="O3514" s="7"/>
      <c r="X3514" s="7"/>
      <c r="AG3514" s="7"/>
      <c r="AP3514" s="7"/>
      <c r="AY3514" s="7"/>
      <c r="BH3514" s="7"/>
      <c r="BQ3514" s="7"/>
      <c r="BZ3514" s="7"/>
    </row>
    <row r="3515" spans="2:78">
      <c r="B3515" s="7"/>
      <c r="O3515" s="7"/>
      <c r="X3515" s="7"/>
      <c r="AG3515" s="7"/>
      <c r="AP3515" s="7"/>
      <c r="AY3515" s="7"/>
      <c r="BH3515" s="7"/>
      <c r="BQ3515" s="7"/>
      <c r="BZ3515" s="7"/>
    </row>
    <row r="3516" spans="2:78">
      <c r="B3516" s="7"/>
      <c r="O3516" s="7"/>
      <c r="X3516" s="7"/>
      <c r="AG3516" s="7"/>
      <c r="AP3516" s="7"/>
      <c r="AY3516" s="7"/>
      <c r="BH3516" s="7"/>
      <c r="BQ3516" s="7"/>
      <c r="BZ3516" s="7"/>
    </row>
    <row r="3517" spans="2:78">
      <c r="B3517" s="7"/>
      <c r="O3517" s="7"/>
      <c r="X3517" s="7"/>
      <c r="AG3517" s="7"/>
      <c r="AP3517" s="7"/>
      <c r="AY3517" s="7"/>
      <c r="BH3517" s="7"/>
      <c r="BQ3517" s="7"/>
      <c r="BZ3517" s="7"/>
    </row>
    <row r="3518" spans="2:78">
      <c r="B3518" s="7"/>
      <c r="O3518" s="7"/>
      <c r="X3518" s="7"/>
      <c r="AG3518" s="7"/>
      <c r="AP3518" s="7"/>
      <c r="AY3518" s="7"/>
      <c r="BH3518" s="7"/>
      <c r="BQ3518" s="7"/>
      <c r="BZ3518" s="7"/>
    </row>
    <row r="3519" spans="2:78">
      <c r="B3519" s="7"/>
      <c r="O3519" s="7"/>
      <c r="X3519" s="7"/>
      <c r="AG3519" s="7"/>
      <c r="AP3519" s="7"/>
      <c r="AY3519" s="7"/>
      <c r="BH3519" s="7"/>
      <c r="BQ3519" s="7"/>
      <c r="BZ3519" s="7"/>
    </row>
    <row r="3520" spans="2:78">
      <c r="B3520" s="7"/>
      <c r="O3520" s="7"/>
      <c r="X3520" s="7"/>
      <c r="AG3520" s="7"/>
      <c r="AP3520" s="7"/>
      <c r="AY3520" s="7"/>
      <c r="BH3520" s="7"/>
      <c r="BQ3520" s="7"/>
      <c r="BZ3520" s="7"/>
    </row>
    <row r="3521" spans="2:78">
      <c r="B3521" s="7"/>
      <c r="O3521" s="7"/>
      <c r="X3521" s="7"/>
      <c r="AG3521" s="7"/>
      <c r="AP3521" s="7"/>
      <c r="AY3521" s="7"/>
      <c r="BH3521" s="7"/>
      <c r="BQ3521" s="7"/>
      <c r="BZ3521" s="7"/>
    </row>
    <row r="3522" spans="2:78">
      <c r="B3522" s="7"/>
      <c r="O3522" s="7"/>
      <c r="X3522" s="7"/>
      <c r="AG3522" s="7"/>
      <c r="AP3522" s="7"/>
      <c r="AY3522" s="7"/>
      <c r="BH3522" s="7"/>
      <c r="BQ3522" s="7"/>
      <c r="BZ3522" s="7"/>
    </row>
    <row r="3523" spans="2:78">
      <c r="B3523" s="7"/>
      <c r="O3523" s="7"/>
      <c r="X3523" s="7"/>
      <c r="AG3523" s="7"/>
      <c r="AP3523" s="7"/>
      <c r="AY3523" s="7"/>
      <c r="BH3523" s="7"/>
      <c r="BQ3523" s="7"/>
      <c r="BZ3523" s="7"/>
    </row>
    <row r="3524" spans="2:78">
      <c r="B3524" s="7"/>
      <c r="O3524" s="7"/>
      <c r="X3524" s="7"/>
      <c r="AG3524" s="7"/>
      <c r="AP3524" s="7"/>
      <c r="AY3524" s="7"/>
      <c r="BH3524" s="7"/>
      <c r="BQ3524" s="7"/>
      <c r="BZ3524" s="7"/>
    </row>
    <row r="3525" spans="2:78">
      <c r="B3525" s="7"/>
      <c r="O3525" s="7"/>
      <c r="X3525" s="7"/>
      <c r="AG3525" s="7"/>
      <c r="AP3525" s="7"/>
      <c r="AY3525" s="7"/>
      <c r="BH3525" s="7"/>
      <c r="BQ3525" s="7"/>
      <c r="BZ3525" s="7"/>
    </row>
    <row r="3526" spans="2:78">
      <c r="B3526" s="7"/>
      <c r="O3526" s="7"/>
      <c r="X3526" s="7"/>
      <c r="AG3526" s="7"/>
      <c r="AP3526" s="7"/>
      <c r="AY3526" s="7"/>
      <c r="BH3526" s="7"/>
      <c r="BQ3526" s="7"/>
      <c r="BZ3526" s="7"/>
    </row>
    <row r="3527" spans="2:78">
      <c r="B3527" s="7"/>
      <c r="O3527" s="7"/>
      <c r="X3527" s="7"/>
      <c r="AG3527" s="7"/>
      <c r="AP3527" s="7"/>
      <c r="AY3527" s="7"/>
      <c r="BH3527" s="7"/>
      <c r="BQ3527" s="7"/>
      <c r="BZ3527" s="7"/>
    </row>
    <row r="3528" spans="2:78">
      <c r="B3528" s="7"/>
      <c r="O3528" s="7"/>
      <c r="X3528" s="7"/>
      <c r="AG3528" s="7"/>
      <c r="AP3528" s="7"/>
      <c r="AY3528" s="7"/>
      <c r="BH3528" s="7"/>
      <c r="BQ3528" s="7"/>
      <c r="BZ3528" s="7"/>
    </row>
    <row r="3529" spans="2:78">
      <c r="B3529" s="7"/>
      <c r="O3529" s="7"/>
      <c r="X3529" s="7"/>
      <c r="AG3529" s="7"/>
      <c r="AP3529" s="7"/>
      <c r="AY3529" s="7"/>
      <c r="BH3529" s="7"/>
      <c r="BQ3529" s="7"/>
      <c r="BZ3529" s="7"/>
    </row>
    <row r="3530" spans="2:78">
      <c r="B3530" s="7"/>
      <c r="O3530" s="7"/>
      <c r="X3530" s="7"/>
      <c r="AG3530" s="7"/>
      <c r="AP3530" s="7"/>
      <c r="AY3530" s="7"/>
      <c r="BH3530" s="7"/>
      <c r="BQ3530" s="7"/>
      <c r="BZ3530" s="7"/>
    </row>
    <row r="3531" spans="2:78">
      <c r="B3531" s="7"/>
      <c r="O3531" s="7"/>
      <c r="X3531" s="7"/>
      <c r="AG3531" s="7"/>
      <c r="AP3531" s="7"/>
      <c r="AY3531" s="7"/>
      <c r="BH3531" s="7"/>
      <c r="BQ3531" s="7"/>
      <c r="BZ3531" s="7"/>
    </row>
    <row r="3532" spans="2:78">
      <c r="B3532" s="7"/>
      <c r="O3532" s="7"/>
      <c r="X3532" s="7"/>
      <c r="AG3532" s="7"/>
      <c r="AP3532" s="7"/>
      <c r="AY3532" s="7"/>
      <c r="BH3532" s="7"/>
      <c r="BQ3532" s="7"/>
      <c r="BZ3532" s="7"/>
    </row>
    <row r="3533" spans="2:78">
      <c r="B3533" s="7"/>
      <c r="O3533" s="7"/>
      <c r="X3533" s="7"/>
      <c r="AG3533" s="7"/>
      <c r="AP3533" s="7"/>
      <c r="AY3533" s="7"/>
      <c r="BH3533" s="7"/>
      <c r="BQ3533" s="7"/>
      <c r="BZ3533" s="7"/>
    </row>
    <row r="3534" spans="2:78">
      <c r="B3534" s="7"/>
      <c r="O3534" s="7"/>
      <c r="X3534" s="7"/>
      <c r="AG3534" s="7"/>
      <c r="AP3534" s="7"/>
      <c r="AY3534" s="7"/>
      <c r="BH3534" s="7"/>
      <c r="BQ3534" s="7"/>
      <c r="BZ3534" s="7"/>
    </row>
    <row r="3535" spans="2:78">
      <c r="B3535" s="7"/>
      <c r="O3535" s="7"/>
      <c r="X3535" s="7"/>
      <c r="AG3535" s="7"/>
      <c r="AP3535" s="7"/>
      <c r="AY3535" s="7"/>
      <c r="BH3535" s="7"/>
      <c r="BQ3535" s="7"/>
      <c r="BZ3535" s="7"/>
    </row>
    <row r="3536" spans="2:78">
      <c r="B3536" s="7"/>
      <c r="O3536" s="7"/>
      <c r="X3536" s="7"/>
      <c r="AG3536" s="7"/>
      <c r="AP3536" s="7"/>
      <c r="AY3536" s="7"/>
      <c r="BH3536" s="7"/>
      <c r="BQ3536" s="7"/>
      <c r="BZ3536" s="7"/>
    </row>
    <row r="3537" spans="2:78">
      <c r="B3537" s="7"/>
      <c r="O3537" s="7"/>
      <c r="X3537" s="7"/>
      <c r="AG3537" s="7"/>
      <c r="AP3537" s="7"/>
      <c r="AY3537" s="7"/>
      <c r="BH3537" s="7"/>
      <c r="BQ3537" s="7"/>
      <c r="BZ3537" s="7"/>
    </row>
    <row r="3538" spans="2:78">
      <c r="B3538" s="7"/>
      <c r="O3538" s="7"/>
      <c r="X3538" s="7"/>
      <c r="AG3538" s="7"/>
      <c r="AP3538" s="7"/>
      <c r="AY3538" s="7"/>
      <c r="BH3538" s="7"/>
      <c r="BQ3538" s="7"/>
      <c r="BZ3538" s="7"/>
    </row>
    <row r="3539" spans="2:78">
      <c r="B3539" s="7"/>
      <c r="O3539" s="7"/>
      <c r="X3539" s="7"/>
      <c r="AG3539" s="7"/>
      <c r="AP3539" s="7"/>
      <c r="AY3539" s="7"/>
      <c r="BH3539" s="7"/>
      <c r="BQ3539" s="7"/>
      <c r="BZ3539" s="7"/>
    </row>
    <row r="3540" spans="2:78">
      <c r="B3540" s="7"/>
      <c r="O3540" s="7"/>
      <c r="X3540" s="7"/>
      <c r="AG3540" s="7"/>
      <c r="AP3540" s="7"/>
      <c r="AY3540" s="7"/>
      <c r="BH3540" s="7"/>
      <c r="BQ3540" s="7"/>
      <c r="BZ3540" s="7"/>
    </row>
    <row r="3541" spans="2:78">
      <c r="B3541" s="7"/>
      <c r="O3541" s="7"/>
      <c r="X3541" s="7"/>
      <c r="AG3541" s="7"/>
      <c r="AP3541" s="7"/>
      <c r="AY3541" s="7"/>
      <c r="BH3541" s="7"/>
      <c r="BQ3541" s="7"/>
      <c r="BZ3541" s="7"/>
    </row>
    <row r="3542" spans="2:78">
      <c r="B3542" s="7"/>
      <c r="O3542" s="7"/>
      <c r="X3542" s="7"/>
      <c r="AG3542" s="7"/>
      <c r="AP3542" s="7"/>
      <c r="AY3542" s="7"/>
      <c r="BH3542" s="7"/>
      <c r="BQ3542" s="7"/>
      <c r="BZ3542" s="7"/>
    </row>
    <row r="3543" spans="2:78">
      <c r="B3543" s="7"/>
      <c r="O3543" s="7"/>
      <c r="X3543" s="7"/>
      <c r="AG3543" s="7"/>
      <c r="AP3543" s="7"/>
      <c r="AY3543" s="7"/>
      <c r="BH3543" s="7"/>
      <c r="BQ3543" s="7"/>
      <c r="BZ3543" s="7"/>
    </row>
    <row r="3544" spans="2:78">
      <c r="B3544" s="7"/>
      <c r="O3544" s="7"/>
      <c r="X3544" s="7"/>
      <c r="AG3544" s="7"/>
      <c r="AP3544" s="7"/>
      <c r="AY3544" s="7"/>
      <c r="BH3544" s="7"/>
      <c r="BQ3544" s="7"/>
      <c r="BZ3544" s="7"/>
    </row>
    <row r="3545" spans="2:78">
      <c r="B3545" s="7"/>
      <c r="O3545" s="7"/>
      <c r="X3545" s="7"/>
      <c r="AG3545" s="7"/>
      <c r="AP3545" s="7"/>
      <c r="AY3545" s="7"/>
      <c r="BH3545" s="7"/>
      <c r="BQ3545" s="7"/>
      <c r="BZ3545" s="7"/>
    </row>
    <row r="3546" spans="2:78">
      <c r="B3546" s="7"/>
      <c r="O3546" s="7"/>
      <c r="X3546" s="7"/>
      <c r="AG3546" s="7"/>
      <c r="AP3546" s="7"/>
      <c r="AY3546" s="7"/>
      <c r="BH3546" s="7"/>
      <c r="BQ3546" s="7"/>
      <c r="BZ3546" s="7"/>
    </row>
    <row r="3547" spans="2:78">
      <c r="B3547" s="7"/>
      <c r="O3547" s="7"/>
      <c r="X3547" s="7"/>
      <c r="AG3547" s="7"/>
      <c r="AP3547" s="7"/>
      <c r="AY3547" s="7"/>
      <c r="BH3547" s="7"/>
      <c r="BQ3547" s="7"/>
      <c r="BZ3547" s="7"/>
    </row>
    <row r="3548" spans="2:78">
      <c r="B3548" s="7"/>
      <c r="O3548" s="7"/>
      <c r="X3548" s="7"/>
      <c r="AG3548" s="7"/>
      <c r="AP3548" s="7"/>
      <c r="AY3548" s="7"/>
      <c r="BH3548" s="7"/>
      <c r="BQ3548" s="7"/>
      <c r="BZ3548" s="7"/>
    </row>
    <row r="3549" spans="2:78">
      <c r="B3549" s="7"/>
      <c r="O3549" s="7"/>
      <c r="X3549" s="7"/>
      <c r="AG3549" s="7"/>
      <c r="AP3549" s="7"/>
      <c r="AY3549" s="7"/>
      <c r="BH3549" s="7"/>
      <c r="BQ3549" s="7"/>
      <c r="BZ3549" s="7"/>
    </row>
    <row r="3550" spans="2:78">
      <c r="B3550" s="7"/>
      <c r="O3550" s="7"/>
      <c r="X3550" s="7"/>
      <c r="AG3550" s="7"/>
      <c r="AP3550" s="7"/>
      <c r="AY3550" s="7"/>
      <c r="BH3550" s="7"/>
      <c r="BQ3550" s="7"/>
      <c r="BZ3550" s="7"/>
    </row>
    <row r="3551" spans="2:78">
      <c r="B3551" s="7"/>
      <c r="O3551" s="7"/>
      <c r="X3551" s="7"/>
      <c r="AG3551" s="7"/>
      <c r="AP3551" s="7"/>
      <c r="AY3551" s="7"/>
      <c r="BH3551" s="7"/>
      <c r="BQ3551" s="7"/>
      <c r="BZ3551" s="7"/>
    </row>
    <row r="3552" spans="2:78">
      <c r="B3552" s="7"/>
      <c r="O3552" s="7"/>
      <c r="X3552" s="7"/>
      <c r="AG3552" s="7"/>
      <c r="AP3552" s="7"/>
      <c r="AY3552" s="7"/>
      <c r="BH3552" s="7"/>
      <c r="BQ3552" s="7"/>
      <c r="BZ3552" s="7"/>
    </row>
    <row r="3553" spans="2:78">
      <c r="B3553" s="7"/>
      <c r="O3553" s="7"/>
      <c r="X3553" s="7"/>
      <c r="AG3553" s="7"/>
      <c r="AP3553" s="7"/>
      <c r="AY3553" s="7"/>
      <c r="BH3553" s="7"/>
      <c r="BQ3553" s="7"/>
      <c r="BZ3553" s="7"/>
    </row>
    <row r="3554" spans="2:78">
      <c r="B3554" s="7"/>
      <c r="O3554" s="7"/>
      <c r="X3554" s="7"/>
      <c r="AG3554" s="7"/>
      <c r="AP3554" s="7"/>
      <c r="AY3554" s="7"/>
      <c r="BH3554" s="7"/>
      <c r="BQ3554" s="7"/>
      <c r="BZ3554" s="7"/>
    </row>
    <row r="3555" spans="2:78">
      <c r="B3555" s="7"/>
      <c r="O3555" s="7"/>
      <c r="X3555" s="7"/>
      <c r="AG3555" s="7"/>
      <c r="AP3555" s="7"/>
      <c r="AY3555" s="7"/>
      <c r="BH3555" s="7"/>
      <c r="BQ3555" s="7"/>
      <c r="BZ3555" s="7"/>
    </row>
    <row r="3556" spans="2:78">
      <c r="B3556" s="7"/>
      <c r="O3556" s="7"/>
      <c r="X3556" s="7"/>
      <c r="AG3556" s="7"/>
      <c r="AP3556" s="7"/>
      <c r="AY3556" s="7"/>
      <c r="BH3556" s="7"/>
      <c r="BQ3556" s="7"/>
      <c r="BZ3556" s="7"/>
    </row>
    <row r="3557" spans="2:78">
      <c r="B3557" s="7"/>
      <c r="O3557" s="7"/>
      <c r="X3557" s="7"/>
      <c r="AG3557" s="7"/>
      <c r="AP3557" s="7"/>
      <c r="AY3557" s="7"/>
      <c r="BH3557" s="7"/>
      <c r="BQ3557" s="7"/>
      <c r="BZ3557" s="7"/>
    </row>
    <row r="3558" spans="2:78">
      <c r="B3558" s="7"/>
      <c r="O3558" s="7"/>
      <c r="X3558" s="7"/>
      <c r="AG3558" s="7"/>
      <c r="AP3558" s="7"/>
      <c r="AY3558" s="7"/>
      <c r="BH3558" s="7"/>
      <c r="BQ3558" s="7"/>
      <c r="BZ3558" s="7"/>
    </row>
    <row r="3559" spans="2:78">
      <c r="B3559" s="7"/>
      <c r="O3559" s="7"/>
      <c r="X3559" s="7"/>
      <c r="AG3559" s="7"/>
      <c r="AP3559" s="7"/>
      <c r="AY3559" s="7"/>
      <c r="BH3559" s="7"/>
      <c r="BQ3559" s="7"/>
      <c r="BZ3559" s="7"/>
    </row>
    <row r="3560" spans="2:78">
      <c r="B3560" s="7"/>
      <c r="O3560" s="7"/>
      <c r="X3560" s="7"/>
      <c r="AG3560" s="7"/>
      <c r="AP3560" s="7"/>
      <c r="AY3560" s="7"/>
      <c r="BH3560" s="7"/>
      <c r="BQ3560" s="7"/>
      <c r="BZ3560" s="7"/>
    </row>
    <row r="3561" spans="2:78">
      <c r="B3561" s="7"/>
      <c r="O3561" s="7"/>
      <c r="X3561" s="7"/>
      <c r="AG3561" s="7"/>
      <c r="AP3561" s="7"/>
      <c r="AY3561" s="7"/>
      <c r="BH3561" s="7"/>
      <c r="BQ3561" s="7"/>
      <c r="BZ3561" s="7"/>
    </row>
    <row r="3562" spans="2:78">
      <c r="B3562" s="7"/>
      <c r="O3562" s="7"/>
      <c r="X3562" s="7"/>
      <c r="AG3562" s="7"/>
      <c r="AP3562" s="7"/>
      <c r="AY3562" s="7"/>
      <c r="BH3562" s="7"/>
      <c r="BQ3562" s="7"/>
      <c r="BZ3562" s="7"/>
    </row>
    <row r="3563" spans="2:78">
      <c r="B3563" s="7"/>
      <c r="O3563" s="7"/>
      <c r="X3563" s="7"/>
      <c r="AG3563" s="7"/>
      <c r="AP3563" s="7"/>
      <c r="AY3563" s="7"/>
      <c r="BH3563" s="7"/>
      <c r="BQ3563" s="7"/>
      <c r="BZ3563" s="7"/>
    </row>
    <row r="3564" spans="2:78">
      <c r="B3564" s="7"/>
      <c r="O3564" s="7"/>
      <c r="X3564" s="7"/>
      <c r="AG3564" s="7"/>
      <c r="AP3564" s="7"/>
      <c r="AY3564" s="7"/>
      <c r="BH3564" s="7"/>
      <c r="BQ3564" s="7"/>
      <c r="BZ3564" s="7"/>
    </row>
    <row r="3565" spans="2:78">
      <c r="B3565" s="7"/>
      <c r="O3565" s="7"/>
      <c r="X3565" s="7"/>
      <c r="AG3565" s="7"/>
      <c r="AP3565" s="7"/>
      <c r="AY3565" s="7"/>
      <c r="BH3565" s="7"/>
      <c r="BQ3565" s="7"/>
      <c r="BZ3565" s="7"/>
    </row>
    <row r="3566" spans="2:78">
      <c r="B3566" s="7"/>
      <c r="O3566" s="7"/>
      <c r="X3566" s="7"/>
      <c r="AG3566" s="7"/>
      <c r="AP3566" s="7"/>
      <c r="AY3566" s="7"/>
      <c r="BH3566" s="7"/>
      <c r="BQ3566" s="7"/>
      <c r="BZ3566" s="7"/>
    </row>
    <row r="3567" spans="2:78">
      <c r="B3567" s="7"/>
      <c r="O3567" s="7"/>
      <c r="X3567" s="7"/>
      <c r="AG3567" s="7"/>
      <c r="AP3567" s="7"/>
      <c r="AY3567" s="7"/>
      <c r="BH3567" s="7"/>
      <c r="BQ3567" s="7"/>
      <c r="BZ3567" s="7"/>
    </row>
    <row r="3568" spans="2:78">
      <c r="B3568" s="7"/>
      <c r="O3568" s="7"/>
      <c r="X3568" s="7"/>
      <c r="AG3568" s="7"/>
      <c r="AP3568" s="7"/>
      <c r="AY3568" s="7"/>
      <c r="BH3568" s="7"/>
      <c r="BQ3568" s="7"/>
      <c r="BZ3568" s="7"/>
    </row>
    <row r="3569" spans="2:78">
      <c r="B3569" s="7"/>
      <c r="O3569" s="7"/>
      <c r="X3569" s="7"/>
      <c r="AG3569" s="7"/>
      <c r="AP3569" s="7"/>
      <c r="AY3569" s="7"/>
      <c r="BH3569" s="7"/>
      <c r="BQ3569" s="7"/>
      <c r="BZ3569" s="7"/>
    </row>
    <row r="3570" spans="2:78">
      <c r="B3570" s="7"/>
      <c r="O3570" s="7"/>
      <c r="X3570" s="7"/>
      <c r="AG3570" s="7"/>
      <c r="AP3570" s="7"/>
      <c r="AY3570" s="7"/>
      <c r="BH3570" s="7"/>
      <c r="BQ3570" s="7"/>
      <c r="BZ3570" s="7"/>
    </row>
    <row r="3571" spans="2:78">
      <c r="B3571" s="7"/>
      <c r="O3571" s="7"/>
      <c r="X3571" s="7"/>
      <c r="AG3571" s="7"/>
      <c r="AP3571" s="7"/>
      <c r="AY3571" s="7"/>
      <c r="BH3571" s="7"/>
      <c r="BQ3571" s="7"/>
      <c r="BZ3571" s="7"/>
    </row>
    <row r="3572" spans="2:78">
      <c r="B3572" s="7"/>
      <c r="O3572" s="7"/>
      <c r="X3572" s="7"/>
      <c r="AG3572" s="7"/>
      <c r="AP3572" s="7"/>
      <c r="AY3572" s="7"/>
      <c r="BH3572" s="7"/>
      <c r="BQ3572" s="7"/>
      <c r="BZ3572" s="7"/>
    </row>
    <row r="3573" spans="2:78">
      <c r="B3573" s="7"/>
      <c r="O3573" s="7"/>
      <c r="X3573" s="7"/>
      <c r="AG3573" s="7"/>
      <c r="AP3573" s="7"/>
      <c r="AY3573" s="7"/>
      <c r="BH3573" s="7"/>
      <c r="BQ3573" s="7"/>
      <c r="BZ3573" s="7"/>
    </row>
    <row r="3574" spans="2:78">
      <c r="B3574" s="7"/>
      <c r="O3574" s="7"/>
      <c r="X3574" s="7"/>
      <c r="AG3574" s="7"/>
      <c r="AP3574" s="7"/>
      <c r="AY3574" s="7"/>
      <c r="BH3574" s="7"/>
      <c r="BQ3574" s="7"/>
      <c r="BZ3574" s="7"/>
    </row>
    <row r="3575" spans="2:78">
      <c r="B3575" s="7"/>
      <c r="O3575" s="7"/>
      <c r="X3575" s="7"/>
      <c r="AG3575" s="7"/>
      <c r="AP3575" s="7"/>
      <c r="AY3575" s="7"/>
      <c r="BH3575" s="7"/>
      <c r="BQ3575" s="7"/>
      <c r="BZ3575" s="7"/>
    </row>
    <row r="3576" spans="2:78">
      <c r="B3576" s="7"/>
      <c r="O3576" s="7"/>
      <c r="X3576" s="7"/>
      <c r="AG3576" s="7"/>
      <c r="AP3576" s="7"/>
      <c r="AY3576" s="7"/>
      <c r="BH3576" s="7"/>
      <c r="BQ3576" s="7"/>
      <c r="BZ3576" s="7"/>
    </row>
    <row r="3577" spans="2:78">
      <c r="B3577" s="7"/>
      <c r="O3577" s="7"/>
      <c r="X3577" s="7"/>
      <c r="AG3577" s="7"/>
      <c r="AP3577" s="7"/>
      <c r="AY3577" s="7"/>
      <c r="BH3577" s="7"/>
      <c r="BQ3577" s="7"/>
      <c r="BZ3577" s="7"/>
    </row>
    <row r="3578" spans="2:78">
      <c r="B3578" s="7"/>
      <c r="O3578" s="7"/>
      <c r="X3578" s="7"/>
      <c r="AG3578" s="7"/>
      <c r="AP3578" s="7"/>
      <c r="AY3578" s="7"/>
      <c r="BH3578" s="7"/>
      <c r="BQ3578" s="7"/>
      <c r="BZ3578" s="7"/>
    </row>
    <row r="3579" spans="2:78">
      <c r="B3579" s="7"/>
      <c r="O3579" s="7"/>
      <c r="X3579" s="7"/>
      <c r="AG3579" s="7"/>
      <c r="AP3579" s="7"/>
      <c r="AY3579" s="7"/>
      <c r="BH3579" s="7"/>
      <c r="BQ3579" s="7"/>
      <c r="BZ3579" s="7"/>
    </row>
    <row r="3580" spans="2:78">
      <c r="B3580" s="7"/>
      <c r="O3580" s="7"/>
      <c r="X3580" s="7"/>
      <c r="AG3580" s="7"/>
      <c r="AP3580" s="7"/>
      <c r="AY3580" s="7"/>
      <c r="BH3580" s="7"/>
      <c r="BQ3580" s="7"/>
      <c r="BZ3580" s="7"/>
    </row>
    <row r="3581" spans="2:78">
      <c r="B3581" s="7"/>
      <c r="O3581" s="7"/>
      <c r="X3581" s="7"/>
      <c r="AG3581" s="7"/>
      <c r="AP3581" s="7"/>
      <c r="AY3581" s="7"/>
      <c r="BH3581" s="7"/>
      <c r="BQ3581" s="7"/>
      <c r="BZ3581" s="7"/>
    </row>
    <row r="3582" spans="2:78">
      <c r="B3582" s="7"/>
      <c r="O3582" s="7"/>
      <c r="X3582" s="7"/>
      <c r="AG3582" s="7"/>
      <c r="AP3582" s="7"/>
      <c r="AY3582" s="7"/>
      <c r="BH3582" s="7"/>
      <c r="BQ3582" s="7"/>
      <c r="BZ3582" s="7"/>
    </row>
    <row r="3583" spans="2:78">
      <c r="B3583" s="7"/>
      <c r="O3583" s="7"/>
      <c r="X3583" s="7"/>
      <c r="AG3583" s="7"/>
      <c r="AP3583" s="7"/>
      <c r="AY3583" s="7"/>
      <c r="BH3583" s="7"/>
      <c r="BQ3583" s="7"/>
      <c r="BZ3583" s="7"/>
    </row>
    <row r="3584" spans="2:78">
      <c r="B3584" s="7"/>
      <c r="O3584" s="7"/>
      <c r="X3584" s="7"/>
      <c r="AG3584" s="7"/>
      <c r="AP3584" s="7"/>
      <c r="AY3584" s="7"/>
      <c r="BH3584" s="7"/>
      <c r="BQ3584" s="7"/>
      <c r="BZ3584" s="7"/>
    </row>
    <row r="3585" spans="2:78">
      <c r="B3585" s="7"/>
      <c r="O3585" s="7"/>
      <c r="X3585" s="7"/>
      <c r="AG3585" s="7"/>
      <c r="AP3585" s="7"/>
      <c r="AY3585" s="7"/>
      <c r="BH3585" s="7"/>
      <c r="BQ3585" s="7"/>
      <c r="BZ3585" s="7"/>
    </row>
    <row r="3586" spans="2:78">
      <c r="B3586" s="7"/>
      <c r="O3586" s="7"/>
      <c r="X3586" s="7"/>
      <c r="AG3586" s="7"/>
      <c r="AP3586" s="7"/>
      <c r="AY3586" s="7"/>
      <c r="BH3586" s="7"/>
      <c r="BQ3586" s="7"/>
      <c r="BZ3586" s="7"/>
    </row>
    <row r="3587" spans="2:78">
      <c r="B3587" s="7"/>
      <c r="O3587" s="7"/>
      <c r="X3587" s="7"/>
      <c r="AG3587" s="7"/>
      <c r="AP3587" s="7"/>
      <c r="AY3587" s="7"/>
      <c r="BH3587" s="7"/>
      <c r="BQ3587" s="7"/>
      <c r="BZ3587" s="7"/>
    </row>
    <row r="3588" spans="2:78">
      <c r="B3588" s="7"/>
      <c r="O3588" s="7"/>
      <c r="X3588" s="7"/>
      <c r="AG3588" s="7"/>
      <c r="AP3588" s="7"/>
      <c r="AY3588" s="7"/>
      <c r="BH3588" s="7"/>
      <c r="BQ3588" s="7"/>
      <c r="BZ3588" s="7"/>
    </row>
    <row r="3589" spans="2:78">
      <c r="B3589" s="7"/>
      <c r="O3589" s="7"/>
      <c r="X3589" s="7"/>
      <c r="AG3589" s="7"/>
      <c r="AP3589" s="7"/>
      <c r="AY3589" s="7"/>
      <c r="BH3589" s="7"/>
      <c r="BQ3589" s="7"/>
      <c r="BZ3589" s="7"/>
    </row>
    <row r="3590" spans="2:78">
      <c r="B3590" s="7"/>
      <c r="O3590" s="7"/>
      <c r="X3590" s="7"/>
      <c r="AG3590" s="7"/>
      <c r="AP3590" s="7"/>
      <c r="AY3590" s="7"/>
      <c r="BH3590" s="7"/>
      <c r="BQ3590" s="7"/>
      <c r="BZ3590" s="7"/>
    </row>
    <row r="3591" spans="2:78">
      <c r="B3591" s="7"/>
      <c r="O3591" s="7"/>
      <c r="X3591" s="7"/>
      <c r="AG3591" s="7"/>
      <c r="AP3591" s="7"/>
      <c r="AY3591" s="7"/>
      <c r="BH3591" s="7"/>
      <c r="BQ3591" s="7"/>
      <c r="BZ3591" s="7"/>
    </row>
    <row r="3592" spans="2:78">
      <c r="B3592" s="7"/>
      <c r="O3592" s="7"/>
      <c r="X3592" s="7"/>
      <c r="AG3592" s="7"/>
      <c r="AP3592" s="7"/>
      <c r="AY3592" s="7"/>
      <c r="BH3592" s="7"/>
      <c r="BQ3592" s="7"/>
      <c r="BZ3592" s="7"/>
    </row>
    <row r="3593" spans="2:78">
      <c r="B3593" s="7"/>
      <c r="O3593" s="7"/>
      <c r="X3593" s="7"/>
      <c r="AG3593" s="7"/>
      <c r="AP3593" s="7"/>
      <c r="AY3593" s="7"/>
      <c r="BH3593" s="7"/>
      <c r="BQ3593" s="7"/>
      <c r="BZ3593" s="7"/>
    </row>
    <row r="3594" spans="2:78">
      <c r="B3594" s="7"/>
      <c r="O3594" s="7"/>
      <c r="X3594" s="7"/>
      <c r="AG3594" s="7"/>
      <c r="AP3594" s="7"/>
      <c r="AY3594" s="7"/>
      <c r="BH3594" s="7"/>
      <c r="BQ3594" s="7"/>
      <c r="BZ3594" s="7"/>
    </row>
    <row r="3595" spans="2:78">
      <c r="B3595" s="7"/>
      <c r="O3595" s="7"/>
      <c r="X3595" s="7"/>
      <c r="AG3595" s="7"/>
      <c r="AP3595" s="7"/>
      <c r="AY3595" s="7"/>
      <c r="BH3595" s="7"/>
      <c r="BQ3595" s="7"/>
      <c r="BZ3595" s="7"/>
    </row>
    <row r="3596" spans="2:78">
      <c r="B3596" s="7"/>
      <c r="O3596" s="7"/>
      <c r="X3596" s="7"/>
      <c r="AG3596" s="7"/>
      <c r="AP3596" s="7"/>
      <c r="AY3596" s="7"/>
      <c r="BH3596" s="7"/>
      <c r="BQ3596" s="7"/>
      <c r="BZ3596" s="7"/>
    </row>
    <row r="3597" spans="2:78">
      <c r="B3597" s="7"/>
      <c r="O3597" s="7"/>
      <c r="X3597" s="7"/>
      <c r="AG3597" s="7"/>
      <c r="AP3597" s="7"/>
      <c r="AY3597" s="7"/>
      <c r="BH3597" s="7"/>
      <c r="BQ3597" s="7"/>
      <c r="BZ3597" s="7"/>
    </row>
    <row r="3598" spans="2:78">
      <c r="B3598" s="7"/>
      <c r="O3598" s="7"/>
      <c r="X3598" s="7"/>
      <c r="AG3598" s="7"/>
      <c r="AP3598" s="7"/>
      <c r="AY3598" s="7"/>
      <c r="BH3598" s="7"/>
      <c r="BQ3598" s="7"/>
      <c r="BZ3598" s="7"/>
    </row>
    <row r="3599" spans="2:78">
      <c r="B3599" s="7"/>
      <c r="O3599" s="7"/>
      <c r="X3599" s="7"/>
      <c r="AG3599" s="7"/>
      <c r="AP3599" s="7"/>
      <c r="AY3599" s="7"/>
      <c r="BH3599" s="7"/>
      <c r="BQ3599" s="7"/>
      <c r="BZ3599" s="7"/>
    </row>
    <row r="3600" spans="2:78">
      <c r="B3600" s="7"/>
      <c r="O3600" s="7"/>
      <c r="X3600" s="7"/>
      <c r="AG3600" s="7"/>
      <c r="AP3600" s="7"/>
      <c r="AY3600" s="7"/>
      <c r="BH3600" s="7"/>
      <c r="BQ3600" s="7"/>
      <c r="BZ3600" s="7"/>
    </row>
    <row r="3601" spans="2:78">
      <c r="B3601" s="7"/>
      <c r="O3601" s="7"/>
      <c r="X3601" s="7"/>
      <c r="AG3601" s="7"/>
      <c r="AP3601" s="7"/>
      <c r="AY3601" s="7"/>
      <c r="BH3601" s="7"/>
      <c r="BQ3601" s="7"/>
      <c r="BZ3601" s="7"/>
    </row>
    <row r="3602" spans="2:78">
      <c r="B3602" s="7"/>
      <c r="O3602" s="7"/>
      <c r="X3602" s="7"/>
      <c r="AG3602" s="7"/>
      <c r="AP3602" s="7"/>
      <c r="AY3602" s="7"/>
      <c r="BH3602" s="7"/>
      <c r="BQ3602" s="7"/>
      <c r="BZ3602" s="7"/>
    </row>
    <row r="3603" spans="2:78">
      <c r="B3603" s="7"/>
      <c r="O3603" s="7"/>
      <c r="X3603" s="7"/>
      <c r="AG3603" s="7"/>
      <c r="AP3603" s="7"/>
      <c r="AY3603" s="7"/>
      <c r="BH3603" s="7"/>
      <c r="BQ3603" s="7"/>
      <c r="BZ3603" s="7"/>
    </row>
    <row r="3604" spans="2:78">
      <c r="B3604" s="7"/>
      <c r="O3604" s="7"/>
      <c r="X3604" s="7"/>
      <c r="AG3604" s="7"/>
      <c r="AP3604" s="7"/>
      <c r="AY3604" s="7"/>
      <c r="BH3604" s="7"/>
      <c r="BQ3604" s="7"/>
      <c r="BZ3604" s="7"/>
    </row>
    <row r="3605" spans="2:78">
      <c r="B3605" s="7"/>
      <c r="O3605" s="7"/>
      <c r="X3605" s="7"/>
      <c r="AG3605" s="7"/>
      <c r="AP3605" s="7"/>
      <c r="AY3605" s="7"/>
      <c r="BH3605" s="7"/>
      <c r="BQ3605" s="7"/>
      <c r="BZ3605" s="7"/>
    </row>
    <row r="3606" spans="2:78">
      <c r="B3606" s="7"/>
      <c r="O3606" s="7"/>
      <c r="X3606" s="7"/>
      <c r="AG3606" s="7"/>
      <c r="AP3606" s="7"/>
      <c r="AY3606" s="7"/>
      <c r="BH3606" s="7"/>
      <c r="BQ3606" s="7"/>
      <c r="BZ3606" s="7"/>
    </row>
    <row r="3607" spans="2:78">
      <c r="B3607" s="7"/>
      <c r="O3607" s="7"/>
      <c r="X3607" s="7"/>
      <c r="AG3607" s="7"/>
      <c r="AP3607" s="7"/>
      <c r="AY3607" s="7"/>
      <c r="BH3607" s="7"/>
      <c r="BQ3607" s="7"/>
      <c r="BZ3607" s="7"/>
    </row>
    <row r="3608" spans="2:78">
      <c r="B3608" s="7"/>
      <c r="O3608" s="7"/>
      <c r="X3608" s="7"/>
      <c r="AG3608" s="7"/>
      <c r="AP3608" s="7"/>
      <c r="AY3608" s="7"/>
      <c r="BH3608" s="7"/>
      <c r="BQ3608" s="7"/>
      <c r="BZ3608" s="7"/>
    </row>
    <row r="3609" spans="2:78">
      <c r="B3609" s="7"/>
      <c r="O3609" s="7"/>
      <c r="X3609" s="7"/>
      <c r="AG3609" s="7"/>
      <c r="AP3609" s="7"/>
      <c r="AY3609" s="7"/>
      <c r="BH3609" s="7"/>
      <c r="BQ3609" s="7"/>
      <c r="BZ3609" s="7"/>
    </row>
    <row r="3610" spans="2:78">
      <c r="B3610" s="7"/>
      <c r="O3610" s="7"/>
      <c r="X3610" s="7"/>
      <c r="AG3610" s="7"/>
      <c r="AP3610" s="7"/>
      <c r="AY3610" s="7"/>
      <c r="BH3610" s="7"/>
      <c r="BQ3610" s="7"/>
      <c r="BZ3610" s="7"/>
    </row>
    <row r="3611" spans="2:78">
      <c r="B3611" s="7"/>
      <c r="O3611" s="7"/>
      <c r="X3611" s="7"/>
      <c r="AG3611" s="7"/>
      <c r="AP3611" s="7"/>
      <c r="AY3611" s="7"/>
      <c r="BH3611" s="7"/>
      <c r="BQ3611" s="7"/>
      <c r="BZ3611" s="7"/>
    </row>
    <row r="3612" spans="2:78">
      <c r="B3612" s="7"/>
      <c r="O3612" s="7"/>
      <c r="X3612" s="7"/>
      <c r="AG3612" s="7"/>
      <c r="AP3612" s="7"/>
      <c r="AY3612" s="7"/>
      <c r="BH3612" s="7"/>
      <c r="BQ3612" s="7"/>
      <c r="BZ3612" s="7"/>
    </row>
    <row r="3613" spans="2:78">
      <c r="B3613" s="7"/>
      <c r="O3613" s="7"/>
      <c r="X3613" s="7"/>
      <c r="AG3613" s="7"/>
      <c r="AP3613" s="7"/>
      <c r="AY3613" s="7"/>
      <c r="BH3613" s="7"/>
      <c r="BQ3613" s="7"/>
      <c r="BZ3613" s="7"/>
    </row>
    <row r="3614" spans="2:78">
      <c r="B3614" s="7"/>
      <c r="O3614" s="7"/>
      <c r="X3614" s="7"/>
      <c r="AG3614" s="7"/>
      <c r="AP3614" s="7"/>
      <c r="AY3614" s="7"/>
      <c r="BH3614" s="7"/>
      <c r="BQ3614" s="7"/>
      <c r="BZ3614" s="7"/>
    </row>
    <row r="3615" spans="2:78">
      <c r="B3615" s="7"/>
      <c r="O3615" s="7"/>
      <c r="X3615" s="7"/>
      <c r="AG3615" s="7"/>
      <c r="AP3615" s="7"/>
      <c r="AY3615" s="7"/>
      <c r="BH3615" s="7"/>
      <c r="BQ3615" s="7"/>
      <c r="BZ3615" s="7"/>
    </row>
    <row r="3616" spans="2:78">
      <c r="B3616" s="7"/>
      <c r="O3616" s="7"/>
      <c r="X3616" s="7"/>
      <c r="AG3616" s="7"/>
      <c r="AP3616" s="7"/>
      <c r="AY3616" s="7"/>
      <c r="BH3616" s="7"/>
      <c r="BQ3616" s="7"/>
      <c r="BZ3616" s="7"/>
    </row>
    <row r="3617" spans="2:78">
      <c r="B3617" s="7"/>
      <c r="O3617" s="7"/>
      <c r="X3617" s="7"/>
      <c r="AG3617" s="7"/>
      <c r="AP3617" s="7"/>
      <c r="AY3617" s="7"/>
      <c r="BH3617" s="7"/>
      <c r="BQ3617" s="7"/>
      <c r="BZ3617" s="7"/>
    </row>
    <row r="3618" spans="2:78">
      <c r="B3618" s="7"/>
      <c r="O3618" s="7"/>
      <c r="X3618" s="7"/>
      <c r="AG3618" s="7"/>
      <c r="AP3618" s="7"/>
      <c r="AY3618" s="7"/>
      <c r="BH3618" s="7"/>
      <c r="BQ3618" s="7"/>
      <c r="BZ3618" s="7"/>
    </row>
    <row r="3619" spans="2:78">
      <c r="B3619" s="7"/>
      <c r="O3619" s="7"/>
      <c r="X3619" s="7"/>
      <c r="AG3619" s="7"/>
      <c r="AP3619" s="7"/>
      <c r="AY3619" s="7"/>
      <c r="BH3619" s="7"/>
      <c r="BQ3619" s="7"/>
      <c r="BZ3619" s="7"/>
    </row>
    <row r="3620" spans="2:78">
      <c r="B3620" s="7"/>
      <c r="O3620" s="7"/>
      <c r="X3620" s="7"/>
      <c r="AG3620" s="7"/>
      <c r="AP3620" s="7"/>
      <c r="AY3620" s="7"/>
      <c r="BH3620" s="7"/>
      <c r="BQ3620" s="7"/>
      <c r="BZ3620" s="7"/>
    </row>
    <row r="3621" spans="2:78">
      <c r="B3621" s="7"/>
      <c r="O3621" s="7"/>
      <c r="X3621" s="7"/>
      <c r="AG3621" s="7"/>
      <c r="AP3621" s="7"/>
      <c r="AY3621" s="7"/>
      <c r="BH3621" s="7"/>
      <c r="BQ3621" s="7"/>
      <c r="BZ3621" s="7"/>
    </row>
    <row r="3622" spans="2:78">
      <c r="B3622" s="7"/>
      <c r="O3622" s="7"/>
      <c r="X3622" s="7"/>
      <c r="AG3622" s="7"/>
      <c r="AP3622" s="7"/>
      <c r="AY3622" s="7"/>
      <c r="BH3622" s="7"/>
      <c r="BQ3622" s="7"/>
      <c r="BZ3622" s="7"/>
    </row>
    <row r="3623" spans="2:78">
      <c r="B3623" s="7"/>
      <c r="O3623" s="7"/>
      <c r="X3623" s="7"/>
      <c r="AG3623" s="7"/>
      <c r="AP3623" s="7"/>
      <c r="AY3623" s="7"/>
      <c r="BH3623" s="7"/>
      <c r="BQ3623" s="7"/>
      <c r="BZ3623" s="7"/>
    </row>
    <row r="3624" spans="2:78">
      <c r="B3624" s="7"/>
      <c r="O3624" s="7"/>
      <c r="X3624" s="7"/>
      <c r="AG3624" s="7"/>
      <c r="AP3624" s="7"/>
      <c r="AY3624" s="7"/>
      <c r="BH3624" s="7"/>
      <c r="BQ3624" s="7"/>
      <c r="BZ3624" s="7"/>
    </row>
    <row r="3625" spans="2:78">
      <c r="B3625" s="7"/>
      <c r="O3625" s="7"/>
      <c r="X3625" s="7"/>
      <c r="AG3625" s="7"/>
      <c r="AP3625" s="7"/>
      <c r="AY3625" s="7"/>
      <c r="BH3625" s="7"/>
      <c r="BQ3625" s="7"/>
      <c r="BZ3625" s="7"/>
    </row>
    <row r="3626" spans="2:78">
      <c r="B3626" s="7"/>
      <c r="O3626" s="7"/>
      <c r="X3626" s="7"/>
      <c r="AG3626" s="7"/>
      <c r="AP3626" s="7"/>
      <c r="AY3626" s="7"/>
      <c r="BH3626" s="7"/>
      <c r="BQ3626" s="7"/>
      <c r="BZ3626" s="7"/>
    </row>
    <row r="3627" spans="2:78">
      <c r="B3627" s="7"/>
      <c r="O3627" s="7"/>
      <c r="X3627" s="7"/>
      <c r="AG3627" s="7"/>
      <c r="AP3627" s="7"/>
      <c r="AY3627" s="7"/>
      <c r="BH3627" s="7"/>
      <c r="BQ3627" s="7"/>
      <c r="BZ3627" s="7"/>
    </row>
    <row r="3628" spans="2:78">
      <c r="B3628" s="7"/>
      <c r="O3628" s="7"/>
      <c r="X3628" s="7"/>
      <c r="AG3628" s="7"/>
      <c r="AP3628" s="7"/>
      <c r="AY3628" s="7"/>
      <c r="BH3628" s="7"/>
      <c r="BQ3628" s="7"/>
      <c r="BZ3628" s="7"/>
    </row>
    <row r="3629" spans="2:78">
      <c r="B3629" s="7"/>
      <c r="O3629" s="7"/>
      <c r="X3629" s="7"/>
      <c r="AG3629" s="7"/>
      <c r="AP3629" s="7"/>
      <c r="AY3629" s="7"/>
      <c r="BH3629" s="7"/>
      <c r="BQ3629" s="7"/>
      <c r="BZ3629" s="7"/>
    </row>
    <row r="3630" spans="2:78">
      <c r="B3630" s="7"/>
      <c r="O3630" s="7"/>
      <c r="X3630" s="7"/>
      <c r="AG3630" s="7"/>
      <c r="AP3630" s="7"/>
      <c r="AY3630" s="7"/>
      <c r="BH3630" s="7"/>
      <c r="BQ3630" s="7"/>
      <c r="BZ3630" s="7"/>
    </row>
    <row r="3631" spans="2:78">
      <c r="B3631" s="7"/>
      <c r="O3631" s="7"/>
      <c r="X3631" s="7"/>
      <c r="AG3631" s="7"/>
      <c r="AP3631" s="7"/>
      <c r="AY3631" s="7"/>
      <c r="BH3631" s="7"/>
      <c r="BQ3631" s="7"/>
      <c r="BZ3631" s="7"/>
    </row>
    <row r="3632" spans="2:78">
      <c r="B3632" s="7"/>
      <c r="O3632" s="7"/>
      <c r="X3632" s="7"/>
      <c r="AG3632" s="7"/>
      <c r="AP3632" s="7"/>
      <c r="AY3632" s="7"/>
      <c r="BH3632" s="7"/>
      <c r="BQ3632" s="7"/>
      <c r="BZ3632" s="7"/>
    </row>
    <row r="3633" spans="2:78">
      <c r="B3633" s="7"/>
      <c r="O3633" s="7"/>
      <c r="X3633" s="7"/>
      <c r="AG3633" s="7"/>
      <c r="AP3633" s="7"/>
      <c r="AY3633" s="7"/>
      <c r="BH3633" s="7"/>
      <c r="BQ3633" s="7"/>
      <c r="BZ3633" s="7"/>
    </row>
    <row r="3634" spans="2:78">
      <c r="B3634" s="7"/>
      <c r="O3634" s="7"/>
      <c r="X3634" s="7"/>
      <c r="AG3634" s="7"/>
      <c r="AP3634" s="7"/>
      <c r="AY3634" s="7"/>
      <c r="BH3634" s="7"/>
      <c r="BQ3634" s="7"/>
      <c r="BZ3634" s="7"/>
    </row>
    <row r="3635" spans="2:78">
      <c r="B3635" s="7"/>
      <c r="O3635" s="7"/>
      <c r="X3635" s="7"/>
      <c r="AG3635" s="7"/>
      <c r="AP3635" s="7"/>
      <c r="AY3635" s="7"/>
      <c r="BH3635" s="7"/>
      <c r="BQ3635" s="7"/>
      <c r="BZ3635" s="7"/>
    </row>
    <row r="3636" spans="2:78">
      <c r="B3636" s="7"/>
      <c r="O3636" s="7"/>
      <c r="X3636" s="7"/>
      <c r="AG3636" s="7"/>
      <c r="AP3636" s="7"/>
      <c r="AY3636" s="7"/>
      <c r="BH3636" s="7"/>
      <c r="BQ3636" s="7"/>
      <c r="BZ3636" s="7"/>
    </row>
    <row r="3637" spans="2:78">
      <c r="B3637" s="7"/>
      <c r="O3637" s="7"/>
      <c r="X3637" s="7"/>
      <c r="AG3637" s="7"/>
      <c r="AP3637" s="7"/>
      <c r="AY3637" s="7"/>
      <c r="BH3637" s="7"/>
      <c r="BQ3637" s="7"/>
      <c r="BZ3637" s="7"/>
    </row>
    <row r="3638" spans="2:78">
      <c r="B3638" s="7"/>
      <c r="O3638" s="7"/>
      <c r="X3638" s="7"/>
      <c r="AG3638" s="7"/>
      <c r="AP3638" s="7"/>
      <c r="AY3638" s="7"/>
      <c r="BH3638" s="7"/>
      <c r="BQ3638" s="7"/>
      <c r="BZ3638" s="7"/>
    </row>
    <row r="3639" spans="2:78">
      <c r="B3639" s="7"/>
      <c r="O3639" s="7"/>
      <c r="X3639" s="7"/>
      <c r="AG3639" s="7"/>
      <c r="AP3639" s="7"/>
      <c r="AY3639" s="7"/>
      <c r="BH3639" s="7"/>
      <c r="BQ3639" s="7"/>
      <c r="BZ3639" s="7"/>
    </row>
    <row r="3640" spans="2:78">
      <c r="B3640" s="7"/>
      <c r="O3640" s="7"/>
      <c r="X3640" s="7"/>
      <c r="AG3640" s="7"/>
      <c r="AP3640" s="7"/>
      <c r="AY3640" s="7"/>
      <c r="BH3640" s="7"/>
      <c r="BQ3640" s="7"/>
      <c r="BZ3640" s="7"/>
    </row>
    <row r="3641" spans="2:78">
      <c r="B3641" s="7"/>
      <c r="O3641" s="7"/>
      <c r="X3641" s="7"/>
      <c r="AG3641" s="7"/>
      <c r="AP3641" s="7"/>
      <c r="AY3641" s="7"/>
      <c r="BH3641" s="7"/>
      <c r="BQ3641" s="7"/>
      <c r="BZ3641" s="7"/>
    </row>
    <row r="3642" spans="2:78">
      <c r="B3642" s="7"/>
      <c r="O3642" s="7"/>
      <c r="X3642" s="7"/>
      <c r="AG3642" s="7"/>
      <c r="AP3642" s="7"/>
      <c r="AY3642" s="7"/>
      <c r="BH3642" s="7"/>
      <c r="BQ3642" s="7"/>
      <c r="BZ3642" s="7"/>
    </row>
    <row r="3643" spans="2:78">
      <c r="B3643" s="7"/>
      <c r="O3643" s="7"/>
      <c r="X3643" s="7"/>
      <c r="AG3643" s="7"/>
      <c r="AP3643" s="7"/>
      <c r="AY3643" s="7"/>
      <c r="BH3643" s="7"/>
      <c r="BQ3643" s="7"/>
      <c r="BZ3643" s="7"/>
    </row>
    <row r="3644" spans="2:78">
      <c r="B3644" s="7"/>
      <c r="O3644" s="7"/>
      <c r="X3644" s="7"/>
      <c r="AG3644" s="7"/>
      <c r="AP3644" s="7"/>
      <c r="AY3644" s="7"/>
      <c r="BH3644" s="7"/>
      <c r="BQ3644" s="7"/>
      <c r="BZ3644" s="7"/>
    </row>
    <row r="3645" spans="2:78">
      <c r="B3645" s="7"/>
      <c r="O3645" s="7"/>
      <c r="X3645" s="7"/>
      <c r="AG3645" s="7"/>
      <c r="AP3645" s="7"/>
      <c r="AY3645" s="7"/>
      <c r="BH3645" s="7"/>
      <c r="BQ3645" s="7"/>
      <c r="BZ3645" s="7"/>
    </row>
    <row r="3646" spans="2:78">
      <c r="B3646" s="7"/>
      <c r="O3646" s="7"/>
      <c r="X3646" s="7"/>
      <c r="AG3646" s="7"/>
      <c r="AP3646" s="7"/>
      <c r="AY3646" s="7"/>
      <c r="BH3646" s="7"/>
      <c r="BQ3646" s="7"/>
      <c r="BZ3646" s="7"/>
    </row>
    <row r="3647" spans="2:78">
      <c r="B3647" s="7"/>
      <c r="O3647" s="7"/>
      <c r="X3647" s="7"/>
      <c r="AG3647" s="7"/>
      <c r="AP3647" s="7"/>
      <c r="AY3647" s="7"/>
      <c r="BH3647" s="7"/>
      <c r="BQ3647" s="7"/>
      <c r="BZ3647" s="7"/>
    </row>
    <row r="3648" spans="2:78">
      <c r="B3648" s="7"/>
      <c r="O3648" s="7"/>
      <c r="X3648" s="7"/>
      <c r="AG3648" s="7"/>
      <c r="AP3648" s="7"/>
      <c r="AY3648" s="7"/>
      <c r="BH3648" s="7"/>
      <c r="BQ3648" s="7"/>
      <c r="BZ3648" s="7"/>
    </row>
    <row r="3649" spans="2:78">
      <c r="B3649" s="7"/>
      <c r="O3649" s="7"/>
      <c r="X3649" s="7"/>
      <c r="AG3649" s="7"/>
      <c r="AP3649" s="7"/>
      <c r="AY3649" s="7"/>
      <c r="BH3649" s="7"/>
      <c r="BQ3649" s="7"/>
      <c r="BZ3649" s="7"/>
    </row>
    <row r="3650" spans="2:78">
      <c r="B3650" s="7"/>
      <c r="O3650" s="7"/>
      <c r="X3650" s="7"/>
      <c r="AG3650" s="7"/>
      <c r="AP3650" s="7"/>
      <c r="AY3650" s="7"/>
      <c r="BH3650" s="7"/>
      <c r="BQ3650" s="7"/>
      <c r="BZ3650" s="7"/>
    </row>
    <row r="3651" spans="2:78">
      <c r="B3651" s="7"/>
      <c r="O3651" s="7"/>
      <c r="X3651" s="7"/>
      <c r="AG3651" s="7"/>
      <c r="AP3651" s="7"/>
      <c r="AY3651" s="7"/>
      <c r="BH3651" s="7"/>
      <c r="BQ3651" s="7"/>
      <c r="BZ3651" s="7"/>
    </row>
    <row r="3652" spans="2:78">
      <c r="B3652" s="7"/>
      <c r="O3652" s="7"/>
      <c r="X3652" s="7"/>
      <c r="AG3652" s="7"/>
      <c r="AP3652" s="7"/>
      <c r="AY3652" s="7"/>
      <c r="BH3652" s="7"/>
      <c r="BQ3652" s="7"/>
      <c r="BZ3652" s="7"/>
    </row>
    <row r="3653" spans="2:78">
      <c r="B3653" s="7"/>
      <c r="O3653" s="7"/>
      <c r="X3653" s="7"/>
      <c r="AG3653" s="7"/>
      <c r="AP3653" s="7"/>
      <c r="AY3653" s="7"/>
      <c r="BH3653" s="7"/>
      <c r="BQ3653" s="7"/>
      <c r="BZ3653" s="7"/>
    </row>
    <row r="3654" spans="2:78">
      <c r="B3654" s="7"/>
      <c r="O3654" s="7"/>
      <c r="X3654" s="7"/>
      <c r="AG3654" s="7"/>
      <c r="AP3654" s="7"/>
      <c r="AY3654" s="7"/>
      <c r="BH3654" s="7"/>
      <c r="BQ3654" s="7"/>
      <c r="BZ3654" s="7"/>
    </row>
    <row r="3655" spans="2:78">
      <c r="B3655" s="7"/>
      <c r="O3655" s="7"/>
      <c r="X3655" s="7"/>
      <c r="AG3655" s="7"/>
      <c r="AP3655" s="7"/>
      <c r="AY3655" s="7"/>
      <c r="BH3655" s="7"/>
      <c r="BQ3655" s="7"/>
      <c r="BZ3655" s="7"/>
    </row>
    <row r="3656" spans="2:78">
      <c r="B3656" s="7"/>
      <c r="O3656" s="7"/>
      <c r="X3656" s="7"/>
      <c r="AG3656" s="7"/>
      <c r="AP3656" s="7"/>
      <c r="AY3656" s="7"/>
      <c r="BH3656" s="7"/>
      <c r="BQ3656" s="7"/>
      <c r="BZ3656" s="7"/>
    </row>
    <row r="3657" spans="2:78">
      <c r="B3657" s="7"/>
      <c r="O3657" s="7"/>
      <c r="X3657" s="7"/>
      <c r="AG3657" s="7"/>
      <c r="AP3657" s="7"/>
      <c r="AY3657" s="7"/>
      <c r="BH3657" s="7"/>
      <c r="BQ3657" s="7"/>
      <c r="BZ3657" s="7"/>
    </row>
    <row r="3658" spans="2:78">
      <c r="B3658" s="7"/>
      <c r="O3658" s="7"/>
      <c r="X3658" s="7"/>
      <c r="AG3658" s="7"/>
      <c r="AP3658" s="7"/>
      <c r="AY3658" s="7"/>
      <c r="BH3658" s="7"/>
      <c r="BQ3658" s="7"/>
      <c r="BZ3658" s="7"/>
    </row>
    <row r="3659" spans="2:78">
      <c r="B3659" s="7"/>
      <c r="O3659" s="7"/>
      <c r="X3659" s="7"/>
      <c r="AG3659" s="7"/>
      <c r="AP3659" s="7"/>
      <c r="AY3659" s="7"/>
      <c r="BH3659" s="7"/>
      <c r="BQ3659" s="7"/>
      <c r="BZ3659" s="7"/>
    </row>
    <row r="3660" spans="2:78">
      <c r="B3660" s="7"/>
      <c r="O3660" s="7"/>
      <c r="X3660" s="7"/>
      <c r="AG3660" s="7"/>
      <c r="AP3660" s="7"/>
      <c r="AY3660" s="7"/>
      <c r="BH3660" s="7"/>
      <c r="BQ3660" s="7"/>
      <c r="BZ3660" s="7"/>
    </row>
    <row r="3661" spans="2:78">
      <c r="B3661" s="7"/>
      <c r="O3661" s="7"/>
      <c r="X3661" s="7"/>
      <c r="AG3661" s="7"/>
      <c r="AP3661" s="7"/>
      <c r="AY3661" s="7"/>
      <c r="BH3661" s="7"/>
      <c r="BQ3661" s="7"/>
      <c r="BZ3661" s="7"/>
    </row>
    <row r="3662" spans="2:78">
      <c r="B3662" s="7"/>
      <c r="O3662" s="7"/>
      <c r="X3662" s="7"/>
      <c r="AG3662" s="7"/>
      <c r="AP3662" s="7"/>
      <c r="AY3662" s="7"/>
      <c r="BH3662" s="7"/>
      <c r="BQ3662" s="7"/>
      <c r="BZ3662" s="7"/>
    </row>
    <row r="3663" spans="2:78">
      <c r="B3663" s="7"/>
      <c r="O3663" s="7"/>
      <c r="X3663" s="7"/>
      <c r="AG3663" s="7"/>
      <c r="AP3663" s="7"/>
      <c r="AY3663" s="7"/>
      <c r="BH3663" s="7"/>
      <c r="BQ3663" s="7"/>
      <c r="BZ3663" s="7"/>
    </row>
    <row r="3664" spans="2:78">
      <c r="B3664" s="7"/>
      <c r="O3664" s="7"/>
      <c r="X3664" s="7"/>
      <c r="AG3664" s="7"/>
      <c r="AP3664" s="7"/>
      <c r="AY3664" s="7"/>
      <c r="BH3664" s="7"/>
      <c r="BQ3664" s="7"/>
      <c r="BZ3664" s="7"/>
    </row>
    <row r="3665" spans="2:78">
      <c r="B3665" s="7"/>
      <c r="O3665" s="7"/>
      <c r="X3665" s="7"/>
      <c r="AG3665" s="7"/>
      <c r="AP3665" s="7"/>
      <c r="AY3665" s="7"/>
      <c r="BH3665" s="7"/>
      <c r="BQ3665" s="7"/>
      <c r="BZ3665" s="7"/>
    </row>
    <row r="3666" spans="2:78">
      <c r="B3666" s="7"/>
      <c r="O3666" s="7"/>
      <c r="X3666" s="7"/>
      <c r="AG3666" s="7"/>
      <c r="AP3666" s="7"/>
      <c r="AY3666" s="7"/>
      <c r="BH3666" s="7"/>
      <c r="BQ3666" s="7"/>
      <c r="BZ3666" s="7"/>
    </row>
    <row r="3667" spans="2:78">
      <c r="B3667" s="7"/>
      <c r="O3667" s="7"/>
      <c r="X3667" s="7"/>
      <c r="AG3667" s="7"/>
      <c r="AP3667" s="7"/>
      <c r="AY3667" s="7"/>
      <c r="BH3667" s="7"/>
      <c r="BQ3667" s="7"/>
      <c r="BZ3667" s="7"/>
    </row>
    <row r="3668" spans="2:78">
      <c r="B3668" s="7"/>
      <c r="O3668" s="7"/>
      <c r="X3668" s="7"/>
      <c r="AG3668" s="7"/>
      <c r="AP3668" s="7"/>
      <c r="AY3668" s="7"/>
      <c r="BH3668" s="7"/>
      <c r="BQ3668" s="7"/>
      <c r="BZ3668" s="7"/>
    </row>
    <row r="3669" spans="2:78">
      <c r="B3669" s="7"/>
      <c r="O3669" s="7"/>
      <c r="X3669" s="7"/>
      <c r="AG3669" s="7"/>
      <c r="AP3669" s="7"/>
      <c r="AY3669" s="7"/>
      <c r="BH3669" s="7"/>
      <c r="BQ3669" s="7"/>
      <c r="BZ3669" s="7"/>
    </row>
    <row r="3670" spans="2:78">
      <c r="B3670" s="7"/>
      <c r="O3670" s="7"/>
      <c r="X3670" s="7"/>
      <c r="AG3670" s="7"/>
      <c r="AP3670" s="7"/>
      <c r="AY3670" s="7"/>
      <c r="BH3670" s="7"/>
      <c r="BQ3670" s="7"/>
      <c r="BZ3670" s="7"/>
    </row>
    <row r="3671" spans="2:78">
      <c r="B3671" s="7"/>
      <c r="O3671" s="7"/>
      <c r="X3671" s="7"/>
      <c r="AG3671" s="7"/>
      <c r="AP3671" s="7"/>
      <c r="AY3671" s="7"/>
      <c r="BH3671" s="7"/>
      <c r="BQ3671" s="7"/>
      <c r="BZ3671" s="7"/>
    </row>
    <row r="3672" spans="2:78">
      <c r="B3672" s="7"/>
      <c r="O3672" s="7"/>
      <c r="X3672" s="7"/>
      <c r="AG3672" s="7"/>
      <c r="AP3672" s="7"/>
      <c r="AY3672" s="7"/>
      <c r="BH3672" s="7"/>
      <c r="BQ3672" s="7"/>
      <c r="BZ3672" s="7"/>
    </row>
    <row r="3673" spans="2:78">
      <c r="B3673" s="7"/>
      <c r="O3673" s="7"/>
      <c r="X3673" s="7"/>
      <c r="AG3673" s="7"/>
      <c r="AP3673" s="7"/>
      <c r="AY3673" s="7"/>
      <c r="BH3673" s="7"/>
      <c r="BQ3673" s="7"/>
      <c r="BZ3673" s="7"/>
    </row>
    <row r="3674" spans="2:78">
      <c r="B3674" s="7"/>
      <c r="O3674" s="7"/>
      <c r="X3674" s="7"/>
      <c r="AG3674" s="7"/>
      <c r="AP3674" s="7"/>
      <c r="AY3674" s="7"/>
      <c r="BH3674" s="7"/>
      <c r="BQ3674" s="7"/>
      <c r="BZ3674" s="7"/>
    </row>
    <row r="3675" spans="2:78">
      <c r="B3675" s="7"/>
      <c r="O3675" s="7"/>
      <c r="X3675" s="7"/>
      <c r="AG3675" s="7"/>
      <c r="AP3675" s="7"/>
      <c r="AY3675" s="7"/>
      <c r="BH3675" s="7"/>
      <c r="BQ3675" s="7"/>
      <c r="BZ3675" s="7"/>
    </row>
    <row r="3676" spans="2:78">
      <c r="B3676" s="7"/>
      <c r="O3676" s="7"/>
      <c r="X3676" s="7"/>
      <c r="AG3676" s="7"/>
      <c r="AP3676" s="7"/>
      <c r="AY3676" s="7"/>
      <c r="BH3676" s="7"/>
      <c r="BQ3676" s="7"/>
      <c r="BZ3676" s="7"/>
    </row>
    <row r="3677" spans="2:78">
      <c r="B3677" s="7"/>
      <c r="O3677" s="7"/>
      <c r="X3677" s="7"/>
      <c r="AG3677" s="7"/>
      <c r="AP3677" s="7"/>
      <c r="AY3677" s="7"/>
      <c r="BH3677" s="7"/>
      <c r="BQ3677" s="7"/>
      <c r="BZ3677" s="7"/>
    </row>
    <row r="3678" spans="2:78">
      <c r="B3678" s="7"/>
      <c r="O3678" s="7"/>
      <c r="X3678" s="7"/>
      <c r="AG3678" s="7"/>
      <c r="AP3678" s="7"/>
      <c r="AY3678" s="7"/>
      <c r="BH3678" s="7"/>
      <c r="BQ3678" s="7"/>
      <c r="BZ3678" s="7"/>
    </row>
    <row r="3679" spans="2:78">
      <c r="B3679" s="7"/>
      <c r="O3679" s="7"/>
      <c r="X3679" s="7"/>
      <c r="AG3679" s="7"/>
      <c r="AP3679" s="7"/>
      <c r="AY3679" s="7"/>
      <c r="BH3679" s="7"/>
      <c r="BQ3679" s="7"/>
      <c r="BZ3679" s="7"/>
    </row>
    <row r="3680" spans="2:78">
      <c r="B3680" s="7"/>
      <c r="O3680" s="7"/>
      <c r="X3680" s="7"/>
      <c r="AG3680" s="7"/>
      <c r="AP3680" s="7"/>
      <c r="AY3680" s="7"/>
      <c r="BH3680" s="7"/>
      <c r="BQ3680" s="7"/>
      <c r="BZ3680" s="7"/>
    </row>
    <row r="3681" spans="2:78">
      <c r="B3681" s="7"/>
      <c r="O3681" s="7"/>
      <c r="X3681" s="7"/>
      <c r="AG3681" s="7"/>
      <c r="AP3681" s="7"/>
      <c r="AY3681" s="7"/>
      <c r="BH3681" s="7"/>
      <c r="BQ3681" s="7"/>
      <c r="BZ3681" s="7"/>
    </row>
    <row r="3682" spans="2:78">
      <c r="B3682" s="7"/>
      <c r="O3682" s="7"/>
      <c r="X3682" s="7"/>
      <c r="AG3682" s="7"/>
      <c r="AP3682" s="7"/>
      <c r="AY3682" s="7"/>
      <c r="BH3682" s="7"/>
      <c r="BQ3682" s="7"/>
      <c r="BZ3682" s="7"/>
    </row>
    <row r="3683" spans="2:78">
      <c r="B3683" s="7"/>
      <c r="O3683" s="7"/>
      <c r="X3683" s="7"/>
      <c r="AG3683" s="7"/>
      <c r="AP3683" s="7"/>
      <c r="AY3683" s="7"/>
      <c r="BH3683" s="7"/>
      <c r="BQ3683" s="7"/>
      <c r="BZ3683" s="7"/>
    </row>
    <row r="3684" spans="2:78">
      <c r="B3684" s="7"/>
      <c r="O3684" s="7"/>
      <c r="X3684" s="7"/>
      <c r="AG3684" s="7"/>
      <c r="AP3684" s="7"/>
      <c r="AY3684" s="7"/>
      <c r="BH3684" s="7"/>
      <c r="BQ3684" s="7"/>
      <c r="BZ3684" s="7"/>
    </row>
    <row r="3685" spans="2:78">
      <c r="B3685" s="7"/>
      <c r="O3685" s="7"/>
      <c r="X3685" s="7"/>
      <c r="AG3685" s="7"/>
      <c r="AP3685" s="7"/>
      <c r="AY3685" s="7"/>
      <c r="BH3685" s="7"/>
      <c r="BQ3685" s="7"/>
      <c r="BZ3685" s="7"/>
    </row>
    <row r="3686" spans="2:78">
      <c r="B3686" s="7"/>
      <c r="O3686" s="7"/>
      <c r="X3686" s="7"/>
      <c r="AG3686" s="7"/>
      <c r="AP3686" s="7"/>
      <c r="AY3686" s="7"/>
      <c r="BH3686" s="7"/>
      <c r="BQ3686" s="7"/>
      <c r="BZ3686" s="7"/>
    </row>
    <row r="3687" spans="2:78">
      <c r="B3687" s="7"/>
      <c r="O3687" s="7"/>
      <c r="X3687" s="7"/>
      <c r="AG3687" s="7"/>
      <c r="AP3687" s="7"/>
      <c r="AY3687" s="7"/>
      <c r="BH3687" s="7"/>
      <c r="BQ3687" s="7"/>
      <c r="BZ3687" s="7"/>
    </row>
    <row r="3688" spans="2:78">
      <c r="B3688" s="7"/>
      <c r="O3688" s="7"/>
      <c r="X3688" s="7"/>
      <c r="AG3688" s="7"/>
      <c r="AP3688" s="7"/>
      <c r="AY3688" s="7"/>
      <c r="BH3688" s="7"/>
      <c r="BQ3688" s="7"/>
      <c r="BZ3688" s="7"/>
    </row>
    <row r="3689" spans="2:78">
      <c r="B3689" s="7"/>
      <c r="O3689" s="7"/>
      <c r="X3689" s="7"/>
      <c r="AG3689" s="7"/>
      <c r="AP3689" s="7"/>
      <c r="AY3689" s="7"/>
      <c r="BH3689" s="7"/>
      <c r="BQ3689" s="7"/>
      <c r="BZ3689" s="7"/>
    </row>
    <row r="3690" spans="2:78">
      <c r="B3690" s="7"/>
      <c r="O3690" s="7"/>
      <c r="X3690" s="7"/>
      <c r="AG3690" s="7"/>
      <c r="AP3690" s="7"/>
      <c r="AY3690" s="7"/>
      <c r="BH3690" s="7"/>
      <c r="BQ3690" s="7"/>
      <c r="BZ3690" s="7"/>
    </row>
    <row r="3691" spans="2:78">
      <c r="B3691" s="7"/>
      <c r="O3691" s="7"/>
      <c r="X3691" s="7"/>
      <c r="AG3691" s="7"/>
      <c r="AP3691" s="7"/>
      <c r="AY3691" s="7"/>
      <c r="BH3691" s="7"/>
      <c r="BQ3691" s="7"/>
      <c r="BZ3691" s="7"/>
    </row>
    <row r="3692" spans="2:78">
      <c r="B3692" s="7"/>
      <c r="O3692" s="7"/>
      <c r="X3692" s="7"/>
      <c r="AG3692" s="7"/>
      <c r="AP3692" s="7"/>
      <c r="AY3692" s="7"/>
      <c r="BH3692" s="7"/>
      <c r="BQ3692" s="7"/>
      <c r="BZ3692" s="7"/>
    </row>
    <row r="3693" spans="2:78">
      <c r="B3693" s="7"/>
      <c r="O3693" s="7"/>
      <c r="X3693" s="7"/>
      <c r="AG3693" s="7"/>
      <c r="AP3693" s="7"/>
      <c r="AY3693" s="7"/>
      <c r="BH3693" s="7"/>
      <c r="BQ3693" s="7"/>
      <c r="BZ3693" s="7"/>
    </row>
    <row r="3694" spans="2:78">
      <c r="B3694" s="7"/>
      <c r="O3694" s="7"/>
      <c r="X3694" s="7"/>
      <c r="AG3694" s="7"/>
      <c r="AP3694" s="7"/>
      <c r="AY3694" s="7"/>
      <c r="BH3694" s="7"/>
      <c r="BQ3694" s="7"/>
      <c r="BZ3694" s="7"/>
    </row>
    <row r="3695" spans="2:78">
      <c r="B3695" s="7"/>
      <c r="O3695" s="7"/>
      <c r="X3695" s="7"/>
      <c r="AG3695" s="7"/>
      <c r="AP3695" s="7"/>
      <c r="AY3695" s="7"/>
      <c r="BH3695" s="7"/>
      <c r="BQ3695" s="7"/>
      <c r="BZ3695" s="7"/>
    </row>
    <row r="3696" spans="2:78">
      <c r="B3696" s="7"/>
      <c r="O3696" s="7"/>
      <c r="X3696" s="7"/>
      <c r="AG3696" s="7"/>
      <c r="AP3696" s="7"/>
      <c r="AY3696" s="7"/>
      <c r="BH3696" s="7"/>
      <c r="BQ3696" s="7"/>
      <c r="BZ3696" s="7"/>
    </row>
    <row r="3697" spans="2:78">
      <c r="B3697" s="7"/>
      <c r="O3697" s="7"/>
      <c r="X3697" s="7"/>
      <c r="AG3697" s="7"/>
      <c r="AP3697" s="7"/>
      <c r="AY3697" s="7"/>
      <c r="BH3697" s="7"/>
      <c r="BQ3697" s="7"/>
      <c r="BZ3697" s="7"/>
    </row>
    <row r="3698" spans="2:78">
      <c r="B3698" s="7"/>
      <c r="O3698" s="7"/>
      <c r="X3698" s="7"/>
      <c r="AG3698" s="7"/>
      <c r="AP3698" s="7"/>
      <c r="AY3698" s="7"/>
      <c r="BH3698" s="7"/>
      <c r="BQ3698" s="7"/>
      <c r="BZ3698" s="7"/>
    </row>
    <row r="3699" spans="2:78">
      <c r="B3699" s="7"/>
      <c r="O3699" s="7"/>
      <c r="X3699" s="7"/>
      <c r="AG3699" s="7"/>
      <c r="AP3699" s="7"/>
      <c r="AY3699" s="7"/>
      <c r="BH3699" s="7"/>
      <c r="BQ3699" s="7"/>
      <c r="BZ3699" s="7"/>
    </row>
    <row r="3700" spans="2:78">
      <c r="B3700" s="7"/>
      <c r="O3700" s="7"/>
      <c r="X3700" s="7"/>
      <c r="AG3700" s="7"/>
      <c r="AP3700" s="7"/>
      <c r="AY3700" s="7"/>
      <c r="BH3700" s="7"/>
      <c r="BQ3700" s="7"/>
      <c r="BZ3700" s="7"/>
    </row>
    <row r="3701" spans="2:78">
      <c r="B3701" s="7"/>
      <c r="O3701" s="7"/>
      <c r="X3701" s="7"/>
      <c r="AG3701" s="7"/>
      <c r="AP3701" s="7"/>
      <c r="AY3701" s="7"/>
      <c r="BH3701" s="7"/>
      <c r="BQ3701" s="7"/>
      <c r="BZ3701" s="7"/>
    </row>
    <row r="3702" spans="2:78">
      <c r="B3702" s="7"/>
      <c r="O3702" s="7"/>
      <c r="X3702" s="7"/>
      <c r="AG3702" s="7"/>
      <c r="AP3702" s="7"/>
      <c r="AY3702" s="7"/>
      <c r="BH3702" s="7"/>
      <c r="BQ3702" s="7"/>
      <c r="BZ3702" s="7"/>
    </row>
    <row r="3703" spans="2:78">
      <c r="B3703" s="7"/>
      <c r="O3703" s="7"/>
      <c r="X3703" s="7"/>
      <c r="AG3703" s="7"/>
      <c r="AP3703" s="7"/>
      <c r="AY3703" s="7"/>
      <c r="BH3703" s="7"/>
      <c r="BQ3703" s="7"/>
      <c r="BZ3703" s="7"/>
    </row>
    <row r="3704" spans="2:78">
      <c r="B3704" s="7"/>
      <c r="O3704" s="7"/>
      <c r="X3704" s="7"/>
      <c r="AG3704" s="7"/>
      <c r="AP3704" s="7"/>
      <c r="AY3704" s="7"/>
      <c r="BH3704" s="7"/>
      <c r="BQ3704" s="7"/>
      <c r="BZ3704" s="7"/>
    </row>
    <row r="3705" spans="2:78">
      <c r="B3705" s="7"/>
      <c r="O3705" s="7"/>
      <c r="X3705" s="7"/>
      <c r="AG3705" s="7"/>
      <c r="AP3705" s="7"/>
      <c r="AY3705" s="7"/>
      <c r="BH3705" s="7"/>
      <c r="BQ3705" s="7"/>
      <c r="BZ3705" s="7"/>
    </row>
    <row r="3706" spans="2:78">
      <c r="B3706" s="7"/>
      <c r="O3706" s="7"/>
      <c r="X3706" s="7"/>
      <c r="AG3706" s="7"/>
      <c r="AP3706" s="7"/>
      <c r="AY3706" s="7"/>
      <c r="BH3706" s="7"/>
      <c r="BQ3706" s="7"/>
      <c r="BZ3706" s="7"/>
    </row>
    <row r="3707" spans="2:78">
      <c r="B3707" s="7"/>
      <c r="O3707" s="7"/>
      <c r="X3707" s="7"/>
      <c r="AG3707" s="7"/>
      <c r="AP3707" s="7"/>
      <c r="AY3707" s="7"/>
      <c r="BH3707" s="7"/>
      <c r="BQ3707" s="7"/>
      <c r="BZ3707" s="7"/>
    </row>
    <row r="3708" spans="2:78">
      <c r="B3708" s="7"/>
      <c r="O3708" s="7"/>
      <c r="X3708" s="7"/>
      <c r="AG3708" s="7"/>
      <c r="AP3708" s="7"/>
      <c r="AY3708" s="7"/>
      <c r="BH3708" s="7"/>
      <c r="BQ3708" s="7"/>
      <c r="BZ3708" s="7"/>
    </row>
    <row r="3709" spans="2:78">
      <c r="B3709" s="7"/>
      <c r="O3709" s="7"/>
      <c r="X3709" s="7"/>
      <c r="AG3709" s="7"/>
      <c r="AP3709" s="7"/>
      <c r="AY3709" s="7"/>
      <c r="BH3709" s="7"/>
      <c r="BQ3709" s="7"/>
      <c r="BZ3709" s="7"/>
    </row>
    <row r="3710" spans="2:78">
      <c r="B3710" s="7"/>
      <c r="O3710" s="7"/>
      <c r="X3710" s="7"/>
      <c r="AG3710" s="7"/>
      <c r="AP3710" s="7"/>
      <c r="AY3710" s="7"/>
      <c r="BH3710" s="7"/>
      <c r="BQ3710" s="7"/>
      <c r="BZ3710" s="7"/>
    </row>
    <row r="3711" spans="2:78">
      <c r="B3711" s="7"/>
      <c r="O3711" s="7"/>
      <c r="X3711" s="7"/>
      <c r="AG3711" s="7"/>
      <c r="AP3711" s="7"/>
      <c r="AY3711" s="7"/>
      <c r="BH3711" s="7"/>
      <c r="BQ3711" s="7"/>
      <c r="BZ3711" s="7"/>
    </row>
    <row r="3712" spans="2:78">
      <c r="B3712" s="7"/>
      <c r="O3712" s="7"/>
      <c r="X3712" s="7"/>
      <c r="AG3712" s="7"/>
      <c r="AP3712" s="7"/>
      <c r="AY3712" s="7"/>
      <c r="BH3712" s="7"/>
      <c r="BQ3712" s="7"/>
      <c r="BZ3712" s="7"/>
    </row>
    <row r="3713" spans="2:78">
      <c r="B3713" s="7"/>
      <c r="O3713" s="7"/>
      <c r="X3713" s="7"/>
      <c r="AG3713" s="7"/>
      <c r="AP3713" s="7"/>
      <c r="AY3713" s="7"/>
      <c r="BH3713" s="7"/>
      <c r="BQ3713" s="7"/>
      <c r="BZ3713" s="7"/>
    </row>
    <row r="3714" spans="2:78">
      <c r="B3714" s="7"/>
      <c r="O3714" s="7"/>
      <c r="X3714" s="7"/>
      <c r="AG3714" s="7"/>
      <c r="AP3714" s="7"/>
      <c r="AY3714" s="7"/>
      <c r="BH3714" s="7"/>
      <c r="BQ3714" s="7"/>
      <c r="BZ3714" s="7"/>
    </row>
    <row r="3715" spans="2:78">
      <c r="B3715" s="7"/>
      <c r="O3715" s="7"/>
      <c r="X3715" s="7"/>
      <c r="AG3715" s="7"/>
      <c r="AP3715" s="7"/>
      <c r="AY3715" s="7"/>
      <c r="BH3715" s="7"/>
      <c r="BQ3715" s="7"/>
      <c r="BZ3715" s="7"/>
    </row>
    <row r="3716" spans="2:78">
      <c r="B3716" s="7"/>
      <c r="O3716" s="7"/>
      <c r="X3716" s="7"/>
      <c r="AG3716" s="7"/>
      <c r="AP3716" s="7"/>
      <c r="AY3716" s="7"/>
      <c r="BH3716" s="7"/>
      <c r="BQ3716" s="7"/>
      <c r="BZ3716" s="7"/>
    </row>
    <row r="3717" spans="2:78">
      <c r="B3717" s="7"/>
      <c r="O3717" s="7"/>
      <c r="X3717" s="7"/>
      <c r="AG3717" s="7"/>
      <c r="AP3717" s="7"/>
      <c r="AY3717" s="7"/>
      <c r="BH3717" s="7"/>
      <c r="BQ3717" s="7"/>
      <c r="BZ3717" s="7"/>
    </row>
    <row r="3718" spans="2:78">
      <c r="B3718" s="7"/>
      <c r="O3718" s="7"/>
      <c r="X3718" s="7"/>
      <c r="AG3718" s="7"/>
      <c r="AP3718" s="7"/>
      <c r="AY3718" s="7"/>
      <c r="BH3718" s="7"/>
      <c r="BQ3718" s="7"/>
      <c r="BZ3718" s="7"/>
    </row>
    <row r="3719" spans="2:78">
      <c r="B3719" s="7"/>
      <c r="O3719" s="7"/>
      <c r="X3719" s="7"/>
      <c r="AG3719" s="7"/>
      <c r="AP3719" s="7"/>
      <c r="AY3719" s="7"/>
      <c r="BH3719" s="7"/>
      <c r="BQ3719" s="7"/>
      <c r="BZ3719" s="7"/>
    </row>
    <row r="3720" spans="2:78">
      <c r="B3720" s="7"/>
      <c r="O3720" s="7"/>
      <c r="X3720" s="7"/>
      <c r="AG3720" s="7"/>
      <c r="AP3720" s="7"/>
      <c r="AY3720" s="7"/>
      <c r="BH3720" s="7"/>
      <c r="BQ3720" s="7"/>
      <c r="BZ3720" s="7"/>
    </row>
    <row r="3721" spans="2:78">
      <c r="B3721" s="7"/>
      <c r="O3721" s="7"/>
      <c r="X3721" s="7"/>
      <c r="AG3721" s="7"/>
      <c r="AP3721" s="7"/>
      <c r="AY3721" s="7"/>
      <c r="BH3721" s="7"/>
      <c r="BQ3721" s="7"/>
      <c r="BZ3721" s="7"/>
    </row>
    <row r="3722" spans="2:78">
      <c r="B3722" s="7"/>
      <c r="O3722" s="7"/>
      <c r="X3722" s="7"/>
      <c r="AG3722" s="7"/>
      <c r="AP3722" s="7"/>
      <c r="AY3722" s="7"/>
      <c r="BH3722" s="7"/>
      <c r="BQ3722" s="7"/>
      <c r="BZ3722" s="7"/>
    </row>
    <row r="3723" spans="2:78">
      <c r="B3723" s="7"/>
      <c r="O3723" s="7"/>
      <c r="X3723" s="7"/>
      <c r="AG3723" s="7"/>
      <c r="AP3723" s="7"/>
      <c r="AY3723" s="7"/>
      <c r="BH3723" s="7"/>
      <c r="BQ3723" s="7"/>
      <c r="BZ3723" s="7"/>
    </row>
    <row r="3724" spans="2:78">
      <c r="B3724" s="7"/>
      <c r="O3724" s="7"/>
      <c r="X3724" s="7"/>
      <c r="AG3724" s="7"/>
      <c r="AP3724" s="7"/>
      <c r="AY3724" s="7"/>
      <c r="BH3724" s="7"/>
      <c r="BQ3724" s="7"/>
      <c r="BZ3724" s="7"/>
    </row>
    <row r="3725" spans="2:78">
      <c r="B3725" s="7"/>
      <c r="O3725" s="7"/>
      <c r="X3725" s="7"/>
      <c r="AG3725" s="7"/>
      <c r="AP3725" s="7"/>
      <c r="AY3725" s="7"/>
      <c r="BH3725" s="7"/>
      <c r="BQ3725" s="7"/>
      <c r="BZ3725" s="7"/>
    </row>
    <row r="3726" spans="2:78">
      <c r="B3726" s="7"/>
      <c r="O3726" s="7"/>
      <c r="X3726" s="7"/>
      <c r="AG3726" s="7"/>
      <c r="AP3726" s="7"/>
      <c r="AY3726" s="7"/>
      <c r="BH3726" s="7"/>
      <c r="BQ3726" s="7"/>
      <c r="BZ3726" s="7"/>
    </row>
    <row r="3727" spans="2:78">
      <c r="B3727" s="7"/>
      <c r="O3727" s="7"/>
      <c r="X3727" s="7"/>
      <c r="AG3727" s="7"/>
      <c r="AP3727" s="7"/>
      <c r="AY3727" s="7"/>
      <c r="BH3727" s="7"/>
      <c r="BQ3727" s="7"/>
      <c r="BZ3727" s="7"/>
    </row>
    <row r="3728" spans="2:78">
      <c r="B3728" s="7"/>
      <c r="O3728" s="7"/>
      <c r="X3728" s="7"/>
      <c r="AG3728" s="7"/>
      <c r="AP3728" s="7"/>
      <c r="AY3728" s="7"/>
      <c r="BH3728" s="7"/>
      <c r="BQ3728" s="7"/>
      <c r="BZ3728" s="7"/>
    </row>
    <row r="3729" spans="2:78">
      <c r="B3729" s="7"/>
      <c r="O3729" s="7"/>
      <c r="X3729" s="7"/>
      <c r="AG3729" s="7"/>
      <c r="AP3729" s="7"/>
      <c r="AY3729" s="7"/>
      <c r="BH3729" s="7"/>
      <c r="BQ3729" s="7"/>
      <c r="BZ3729" s="7"/>
    </row>
    <row r="3730" spans="2:78">
      <c r="B3730" s="7"/>
      <c r="O3730" s="7"/>
      <c r="X3730" s="7"/>
      <c r="AG3730" s="7"/>
      <c r="AP3730" s="7"/>
      <c r="AY3730" s="7"/>
      <c r="BH3730" s="7"/>
      <c r="BQ3730" s="7"/>
      <c r="BZ3730" s="7"/>
    </row>
    <row r="3731" spans="2:78">
      <c r="B3731" s="7"/>
      <c r="O3731" s="7"/>
      <c r="X3731" s="7"/>
      <c r="AG3731" s="7"/>
      <c r="AP3731" s="7"/>
      <c r="AY3731" s="7"/>
      <c r="BH3731" s="7"/>
      <c r="BQ3731" s="7"/>
      <c r="BZ3731" s="7"/>
    </row>
    <row r="3732" spans="2:78">
      <c r="B3732" s="7"/>
      <c r="O3732" s="7"/>
      <c r="X3732" s="7"/>
      <c r="AG3732" s="7"/>
      <c r="AP3732" s="7"/>
      <c r="AY3732" s="7"/>
      <c r="BH3732" s="7"/>
      <c r="BQ3732" s="7"/>
      <c r="BZ3732" s="7"/>
    </row>
    <row r="3733" spans="2:78">
      <c r="B3733" s="7"/>
      <c r="O3733" s="7"/>
      <c r="X3733" s="7"/>
      <c r="AG3733" s="7"/>
      <c r="AP3733" s="7"/>
      <c r="AY3733" s="7"/>
      <c r="BH3733" s="7"/>
      <c r="BQ3733" s="7"/>
      <c r="BZ3733" s="7"/>
    </row>
    <row r="3734" spans="2:78">
      <c r="B3734" s="7"/>
      <c r="O3734" s="7"/>
      <c r="X3734" s="7"/>
      <c r="AG3734" s="7"/>
      <c r="AP3734" s="7"/>
      <c r="AY3734" s="7"/>
      <c r="BH3734" s="7"/>
      <c r="BQ3734" s="7"/>
      <c r="BZ3734" s="7"/>
    </row>
    <row r="3735" spans="2:78">
      <c r="B3735" s="7"/>
      <c r="O3735" s="7"/>
      <c r="X3735" s="7"/>
      <c r="AG3735" s="7"/>
      <c r="AP3735" s="7"/>
      <c r="AY3735" s="7"/>
      <c r="BH3735" s="7"/>
      <c r="BQ3735" s="7"/>
      <c r="BZ3735" s="7"/>
    </row>
    <row r="3736" spans="2:78">
      <c r="B3736" s="7"/>
      <c r="O3736" s="7"/>
      <c r="X3736" s="7"/>
      <c r="AG3736" s="7"/>
      <c r="AP3736" s="7"/>
      <c r="AY3736" s="7"/>
      <c r="BH3736" s="7"/>
      <c r="BQ3736" s="7"/>
      <c r="BZ3736" s="7"/>
    </row>
    <row r="3737" spans="2:78">
      <c r="B3737" s="7"/>
      <c r="O3737" s="7"/>
      <c r="X3737" s="7"/>
      <c r="AG3737" s="7"/>
      <c r="AP3737" s="7"/>
      <c r="AY3737" s="7"/>
      <c r="BH3737" s="7"/>
      <c r="BQ3737" s="7"/>
      <c r="BZ3737" s="7"/>
    </row>
    <row r="3738" spans="2:78">
      <c r="B3738" s="7"/>
      <c r="O3738" s="7"/>
      <c r="X3738" s="7"/>
      <c r="AG3738" s="7"/>
      <c r="AP3738" s="7"/>
      <c r="AY3738" s="7"/>
      <c r="BH3738" s="7"/>
      <c r="BQ3738" s="7"/>
      <c r="BZ3738" s="7"/>
    </row>
    <row r="3739" spans="2:78">
      <c r="B3739" s="7"/>
      <c r="O3739" s="7"/>
      <c r="X3739" s="7"/>
      <c r="AG3739" s="7"/>
      <c r="AP3739" s="7"/>
      <c r="AY3739" s="7"/>
      <c r="BH3739" s="7"/>
      <c r="BQ3739" s="7"/>
      <c r="BZ3739" s="7"/>
    </row>
    <row r="3740" spans="2:78">
      <c r="B3740" s="7"/>
      <c r="O3740" s="7"/>
      <c r="X3740" s="7"/>
      <c r="AG3740" s="7"/>
      <c r="AP3740" s="7"/>
      <c r="AY3740" s="7"/>
      <c r="BH3740" s="7"/>
      <c r="BQ3740" s="7"/>
      <c r="BZ3740" s="7"/>
    </row>
    <row r="3741" spans="2:78">
      <c r="B3741" s="7"/>
      <c r="O3741" s="7"/>
      <c r="X3741" s="7"/>
      <c r="AG3741" s="7"/>
      <c r="AP3741" s="7"/>
      <c r="AY3741" s="7"/>
      <c r="BH3741" s="7"/>
      <c r="BQ3741" s="7"/>
      <c r="BZ3741" s="7"/>
    </row>
    <row r="3742" spans="2:78">
      <c r="B3742" s="7"/>
      <c r="O3742" s="7"/>
      <c r="X3742" s="7"/>
      <c r="AG3742" s="7"/>
      <c r="AP3742" s="7"/>
      <c r="AY3742" s="7"/>
      <c r="BH3742" s="7"/>
      <c r="BQ3742" s="7"/>
      <c r="BZ3742" s="7"/>
    </row>
    <row r="3743" spans="2:78">
      <c r="B3743" s="7"/>
      <c r="O3743" s="7"/>
      <c r="X3743" s="7"/>
      <c r="AG3743" s="7"/>
      <c r="AP3743" s="7"/>
      <c r="AY3743" s="7"/>
      <c r="BH3743" s="7"/>
      <c r="BQ3743" s="7"/>
      <c r="BZ3743" s="7"/>
    </row>
    <row r="3744" spans="2:78">
      <c r="B3744" s="7"/>
      <c r="O3744" s="7"/>
      <c r="X3744" s="7"/>
      <c r="AG3744" s="7"/>
      <c r="AP3744" s="7"/>
      <c r="AY3744" s="7"/>
      <c r="BH3744" s="7"/>
      <c r="BQ3744" s="7"/>
      <c r="BZ3744" s="7"/>
    </row>
    <row r="3745" spans="2:78">
      <c r="B3745" s="7"/>
      <c r="O3745" s="7"/>
      <c r="X3745" s="7"/>
      <c r="AG3745" s="7"/>
      <c r="AP3745" s="7"/>
      <c r="AY3745" s="7"/>
      <c r="BH3745" s="7"/>
      <c r="BQ3745" s="7"/>
      <c r="BZ3745" s="7"/>
    </row>
    <row r="3746" spans="2:78">
      <c r="B3746" s="7"/>
      <c r="O3746" s="7"/>
      <c r="X3746" s="7"/>
      <c r="AG3746" s="7"/>
      <c r="AP3746" s="7"/>
      <c r="AY3746" s="7"/>
      <c r="BH3746" s="7"/>
      <c r="BQ3746" s="7"/>
      <c r="BZ3746" s="7"/>
    </row>
    <row r="3747" spans="2:78">
      <c r="B3747" s="7"/>
      <c r="O3747" s="7"/>
      <c r="X3747" s="7"/>
      <c r="AG3747" s="7"/>
      <c r="AP3747" s="7"/>
      <c r="AY3747" s="7"/>
      <c r="BH3747" s="7"/>
      <c r="BQ3747" s="7"/>
      <c r="BZ3747" s="7"/>
    </row>
    <row r="3748" spans="2:78">
      <c r="B3748" s="7"/>
      <c r="O3748" s="7"/>
      <c r="X3748" s="7"/>
      <c r="AG3748" s="7"/>
      <c r="AP3748" s="7"/>
      <c r="AY3748" s="7"/>
      <c r="BH3748" s="7"/>
      <c r="BQ3748" s="7"/>
      <c r="BZ3748" s="7"/>
    </row>
    <row r="3749" spans="2:78">
      <c r="B3749" s="7"/>
      <c r="O3749" s="7"/>
      <c r="X3749" s="7"/>
      <c r="AG3749" s="7"/>
      <c r="AP3749" s="7"/>
      <c r="AY3749" s="7"/>
      <c r="BH3749" s="7"/>
      <c r="BQ3749" s="7"/>
      <c r="BZ3749" s="7"/>
    </row>
    <row r="3750" spans="2:78">
      <c r="B3750" s="7"/>
      <c r="O3750" s="7"/>
      <c r="X3750" s="7"/>
      <c r="AG3750" s="7"/>
      <c r="AP3750" s="7"/>
      <c r="AY3750" s="7"/>
      <c r="BH3750" s="7"/>
      <c r="BQ3750" s="7"/>
      <c r="BZ3750" s="7"/>
    </row>
    <row r="3751" spans="2:78">
      <c r="B3751" s="7"/>
      <c r="O3751" s="7"/>
      <c r="X3751" s="7"/>
      <c r="AG3751" s="7"/>
      <c r="AP3751" s="7"/>
      <c r="AY3751" s="7"/>
      <c r="BH3751" s="7"/>
      <c r="BQ3751" s="7"/>
      <c r="BZ3751" s="7"/>
    </row>
    <row r="3752" spans="2:78">
      <c r="B3752" s="7"/>
      <c r="O3752" s="7"/>
      <c r="X3752" s="7"/>
      <c r="AG3752" s="7"/>
      <c r="AP3752" s="7"/>
      <c r="AY3752" s="7"/>
      <c r="BH3752" s="7"/>
      <c r="BQ3752" s="7"/>
      <c r="BZ3752" s="7"/>
    </row>
    <row r="3753" spans="2:78">
      <c r="B3753" s="7"/>
      <c r="O3753" s="7"/>
      <c r="X3753" s="7"/>
      <c r="AG3753" s="7"/>
      <c r="AP3753" s="7"/>
      <c r="AY3753" s="7"/>
      <c r="BH3753" s="7"/>
      <c r="BQ3753" s="7"/>
      <c r="BZ3753" s="7"/>
    </row>
    <row r="3754" spans="2:78">
      <c r="B3754" s="7"/>
      <c r="O3754" s="7"/>
      <c r="X3754" s="7"/>
      <c r="AG3754" s="7"/>
      <c r="AP3754" s="7"/>
      <c r="AY3754" s="7"/>
      <c r="BH3754" s="7"/>
      <c r="BQ3754" s="7"/>
      <c r="BZ3754" s="7"/>
    </row>
    <row r="3755" spans="2:78">
      <c r="B3755" s="7"/>
      <c r="O3755" s="7"/>
      <c r="X3755" s="7"/>
      <c r="AG3755" s="7"/>
      <c r="AP3755" s="7"/>
      <c r="AY3755" s="7"/>
      <c r="BH3755" s="7"/>
      <c r="BQ3755" s="7"/>
      <c r="BZ3755" s="7"/>
    </row>
    <row r="3756" spans="2:78">
      <c r="B3756" s="7"/>
      <c r="O3756" s="7"/>
      <c r="X3756" s="7"/>
      <c r="AG3756" s="7"/>
      <c r="AP3756" s="7"/>
      <c r="AY3756" s="7"/>
      <c r="BH3756" s="7"/>
      <c r="BQ3756" s="7"/>
      <c r="BZ3756" s="7"/>
    </row>
    <row r="3757" spans="2:78">
      <c r="B3757" s="7"/>
      <c r="O3757" s="7"/>
      <c r="X3757" s="7"/>
      <c r="AG3757" s="7"/>
      <c r="AP3757" s="7"/>
      <c r="AY3757" s="7"/>
      <c r="BH3757" s="7"/>
      <c r="BQ3757" s="7"/>
      <c r="BZ3757" s="7"/>
    </row>
    <row r="3758" spans="2:78">
      <c r="B3758" s="7"/>
      <c r="O3758" s="7"/>
      <c r="X3758" s="7"/>
      <c r="AG3758" s="7"/>
      <c r="AP3758" s="7"/>
      <c r="AY3758" s="7"/>
      <c r="BH3758" s="7"/>
      <c r="BQ3758" s="7"/>
      <c r="BZ3758" s="7"/>
    </row>
    <row r="3759" spans="2:78">
      <c r="B3759" s="7"/>
      <c r="O3759" s="7"/>
      <c r="X3759" s="7"/>
      <c r="AG3759" s="7"/>
      <c r="AP3759" s="7"/>
      <c r="AY3759" s="7"/>
      <c r="BH3759" s="7"/>
      <c r="BQ3759" s="7"/>
      <c r="BZ3759" s="7"/>
    </row>
    <row r="3760" spans="2:78">
      <c r="B3760" s="7"/>
      <c r="O3760" s="7"/>
      <c r="X3760" s="7"/>
      <c r="AG3760" s="7"/>
      <c r="AP3760" s="7"/>
      <c r="AY3760" s="7"/>
      <c r="BH3760" s="7"/>
      <c r="BQ3760" s="7"/>
      <c r="BZ3760" s="7"/>
    </row>
    <row r="3761" spans="2:78">
      <c r="B3761" s="7"/>
      <c r="O3761" s="7"/>
      <c r="X3761" s="7"/>
      <c r="AG3761" s="7"/>
      <c r="AP3761" s="7"/>
      <c r="AY3761" s="7"/>
      <c r="BH3761" s="7"/>
      <c r="BQ3761" s="7"/>
      <c r="BZ3761" s="7"/>
    </row>
    <row r="3762" spans="2:78">
      <c r="B3762" s="7"/>
      <c r="O3762" s="7"/>
      <c r="X3762" s="7"/>
      <c r="AG3762" s="7"/>
      <c r="AP3762" s="7"/>
      <c r="AY3762" s="7"/>
      <c r="BH3762" s="7"/>
      <c r="BQ3762" s="7"/>
      <c r="BZ3762" s="7"/>
    </row>
    <row r="3763" spans="2:78">
      <c r="B3763" s="7"/>
      <c r="O3763" s="7"/>
      <c r="X3763" s="7"/>
      <c r="AG3763" s="7"/>
      <c r="AP3763" s="7"/>
      <c r="AY3763" s="7"/>
      <c r="BH3763" s="7"/>
      <c r="BQ3763" s="7"/>
      <c r="BZ3763" s="7"/>
    </row>
    <row r="3764" spans="2:78">
      <c r="B3764" s="7"/>
      <c r="O3764" s="7"/>
      <c r="X3764" s="7"/>
      <c r="AG3764" s="7"/>
      <c r="AP3764" s="7"/>
      <c r="AY3764" s="7"/>
      <c r="BH3764" s="7"/>
      <c r="BQ3764" s="7"/>
      <c r="BZ3764" s="7"/>
    </row>
    <row r="3765" spans="2:78">
      <c r="B3765" s="7"/>
      <c r="O3765" s="7"/>
      <c r="X3765" s="7"/>
      <c r="AG3765" s="7"/>
      <c r="AP3765" s="7"/>
      <c r="AY3765" s="7"/>
      <c r="BH3765" s="7"/>
      <c r="BQ3765" s="7"/>
      <c r="BZ3765" s="7"/>
    </row>
    <row r="3766" spans="2:78">
      <c r="B3766" s="7"/>
      <c r="O3766" s="7"/>
      <c r="X3766" s="7"/>
      <c r="AG3766" s="7"/>
      <c r="AP3766" s="7"/>
      <c r="AY3766" s="7"/>
      <c r="BH3766" s="7"/>
      <c r="BQ3766" s="7"/>
      <c r="BZ3766" s="7"/>
    </row>
    <row r="3767" spans="2:78">
      <c r="B3767" s="7"/>
      <c r="O3767" s="7"/>
      <c r="X3767" s="7"/>
      <c r="AG3767" s="7"/>
      <c r="AP3767" s="7"/>
      <c r="AY3767" s="7"/>
      <c r="BH3767" s="7"/>
      <c r="BQ3767" s="7"/>
      <c r="BZ3767" s="7"/>
    </row>
    <row r="3768" spans="2:78">
      <c r="B3768" s="7"/>
      <c r="O3768" s="7"/>
      <c r="X3768" s="7"/>
      <c r="AG3768" s="7"/>
      <c r="AP3768" s="7"/>
      <c r="AY3768" s="7"/>
      <c r="BH3768" s="7"/>
      <c r="BQ3768" s="7"/>
      <c r="BZ3768" s="7"/>
    </row>
    <row r="3769" spans="2:78">
      <c r="B3769" s="7"/>
      <c r="O3769" s="7"/>
      <c r="X3769" s="7"/>
      <c r="AG3769" s="7"/>
      <c r="AP3769" s="7"/>
      <c r="AY3769" s="7"/>
      <c r="BH3769" s="7"/>
      <c r="BQ3769" s="7"/>
      <c r="BZ3769" s="7"/>
    </row>
    <row r="3770" spans="2:78">
      <c r="B3770" s="7"/>
      <c r="O3770" s="7"/>
      <c r="X3770" s="7"/>
      <c r="AG3770" s="7"/>
      <c r="AP3770" s="7"/>
      <c r="AY3770" s="7"/>
      <c r="BH3770" s="7"/>
      <c r="BQ3770" s="7"/>
      <c r="BZ3770" s="7"/>
    </row>
    <row r="3771" spans="2:78">
      <c r="B3771" s="7"/>
      <c r="O3771" s="7"/>
      <c r="X3771" s="7"/>
      <c r="AG3771" s="7"/>
      <c r="AP3771" s="7"/>
      <c r="AY3771" s="7"/>
      <c r="BH3771" s="7"/>
      <c r="BQ3771" s="7"/>
      <c r="BZ3771" s="7"/>
    </row>
    <row r="3772" spans="2:78">
      <c r="B3772" s="7"/>
      <c r="O3772" s="7"/>
      <c r="X3772" s="7"/>
      <c r="AG3772" s="7"/>
      <c r="AP3772" s="7"/>
      <c r="AY3772" s="7"/>
      <c r="BH3772" s="7"/>
      <c r="BQ3772" s="7"/>
      <c r="BZ3772" s="7"/>
    </row>
    <row r="3773" spans="2:78">
      <c r="B3773" s="7"/>
      <c r="O3773" s="7"/>
      <c r="X3773" s="7"/>
      <c r="AG3773" s="7"/>
      <c r="AP3773" s="7"/>
      <c r="AY3773" s="7"/>
      <c r="BH3773" s="7"/>
      <c r="BQ3773" s="7"/>
      <c r="BZ3773" s="7"/>
    </row>
    <row r="3774" spans="2:78">
      <c r="B3774" s="7"/>
      <c r="O3774" s="7"/>
      <c r="X3774" s="7"/>
      <c r="AG3774" s="7"/>
      <c r="AP3774" s="7"/>
      <c r="AY3774" s="7"/>
      <c r="BH3774" s="7"/>
      <c r="BQ3774" s="7"/>
      <c r="BZ3774" s="7"/>
    </row>
    <row r="3775" spans="2:78">
      <c r="B3775" s="7"/>
      <c r="O3775" s="7"/>
      <c r="X3775" s="7"/>
      <c r="AG3775" s="7"/>
      <c r="AP3775" s="7"/>
      <c r="AY3775" s="7"/>
      <c r="BH3775" s="7"/>
      <c r="BQ3775" s="7"/>
      <c r="BZ3775" s="7"/>
    </row>
    <row r="3776" spans="2:78">
      <c r="B3776" s="7"/>
      <c r="O3776" s="7"/>
      <c r="X3776" s="7"/>
      <c r="AG3776" s="7"/>
      <c r="AP3776" s="7"/>
      <c r="AY3776" s="7"/>
      <c r="BH3776" s="7"/>
      <c r="BQ3776" s="7"/>
      <c r="BZ3776" s="7"/>
    </row>
    <row r="3777" spans="2:78">
      <c r="B3777" s="7"/>
      <c r="O3777" s="7"/>
      <c r="X3777" s="7"/>
      <c r="AG3777" s="7"/>
      <c r="AP3777" s="7"/>
      <c r="AY3777" s="7"/>
      <c r="BH3777" s="7"/>
      <c r="BQ3777" s="7"/>
      <c r="BZ3777" s="7"/>
    </row>
    <row r="3778" spans="2:78">
      <c r="B3778" s="7"/>
      <c r="O3778" s="7"/>
      <c r="X3778" s="7"/>
      <c r="AG3778" s="7"/>
      <c r="AP3778" s="7"/>
      <c r="AY3778" s="7"/>
      <c r="BH3778" s="7"/>
      <c r="BQ3778" s="7"/>
      <c r="BZ3778" s="7"/>
    </row>
    <row r="3779" spans="2:78">
      <c r="B3779" s="7"/>
      <c r="O3779" s="7"/>
      <c r="X3779" s="7"/>
      <c r="AG3779" s="7"/>
      <c r="AP3779" s="7"/>
      <c r="AY3779" s="7"/>
      <c r="BH3779" s="7"/>
      <c r="BQ3779" s="7"/>
      <c r="BZ3779" s="7"/>
    </row>
    <row r="3780" spans="2:78">
      <c r="B3780" s="7"/>
      <c r="O3780" s="7"/>
      <c r="X3780" s="7"/>
      <c r="AG3780" s="7"/>
      <c r="AP3780" s="7"/>
      <c r="AY3780" s="7"/>
      <c r="BH3780" s="7"/>
      <c r="BQ3780" s="7"/>
      <c r="BZ3780" s="7"/>
    </row>
    <row r="3781" spans="2:78">
      <c r="B3781" s="7"/>
      <c r="O3781" s="7"/>
      <c r="X3781" s="7"/>
      <c r="AG3781" s="7"/>
      <c r="AP3781" s="7"/>
      <c r="AY3781" s="7"/>
      <c r="BH3781" s="7"/>
      <c r="BQ3781" s="7"/>
      <c r="BZ3781" s="7"/>
    </row>
    <row r="3782" spans="2:78">
      <c r="B3782" s="7"/>
      <c r="O3782" s="7"/>
      <c r="X3782" s="7"/>
      <c r="AG3782" s="7"/>
      <c r="AP3782" s="7"/>
      <c r="AY3782" s="7"/>
      <c r="BH3782" s="7"/>
      <c r="BQ3782" s="7"/>
      <c r="BZ3782" s="7"/>
    </row>
    <row r="3783" spans="2:78">
      <c r="B3783" s="7"/>
      <c r="O3783" s="7"/>
      <c r="X3783" s="7"/>
      <c r="AG3783" s="7"/>
      <c r="AP3783" s="7"/>
      <c r="AY3783" s="7"/>
      <c r="BH3783" s="7"/>
      <c r="BQ3783" s="7"/>
      <c r="BZ3783" s="7"/>
    </row>
    <row r="3784" spans="2:78">
      <c r="B3784" s="7"/>
      <c r="O3784" s="7"/>
      <c r="X3784" s="7"/>
      <c r="AG3784" s="7"/>
      <c r="AP3784" s="7"/>
      <c r="AY3784" s="7"/>
      <c r="BH3784" s="7"/>
      <c r="BQ3784" s="7"/>
      <c r="BZ3784" s="7"/>
    </row>
    <row r="3785" spans="2:78">
      <c r="B3785" s="7"/>
      <c r="O3785" s="7"/>
      <c r="X3785" s="7"/>
      <c r="AG3785" s="7"/>
      <c r="AP3785" s="7"/>
      <c r="AY3785" s="7"/>
      <c r="BH3785" s="7"/>
      <c r="BQ3785" s="7"/>
      <c r="BZ3785" s="7"/>
    </row>
    <row r="3786" spans="2:78">
      <c r="B3786" s="7"/>
      <c r="O3786" s="7"/>
      <c r="X3786" s="7"/>
      <c r="AG3786" s="7"/>
      <c r="AP3786" s="7"/>
      <c r="AY3786" s="7"/>
      <c r="BH3786" s="7"/>
      <c r="BQ3786" s="7"/>
      <c r="BZ3786" s="7"/>
    </row>
    <row r="3787" spans="2:78">
      <c r="B3787" s="7"/>
      <c r="O3787" s="7"/>
      <c r="X3787" s="7"/>
      <c r="AG3787" s="7"/>
      <c r="AP3787" s="7"/>
      <c r="AY3787" s="7"/>
      <c r="BH3787" s="7"/>
      <c r="BQ3787" s="7"/>
      <c r="BZ3787" s="7"/>
    </row>
    <row r="3788" spans="2:78">
      <c r="B3788" s="7"/>
      <c r="O3788" s="7"/>
      <c r="X3788" s="7"/>
      <c r="AG3788" s="7"/>
      <c r="AP3788" s="7"/>
      <c r="AY3788" s="7"/>
      <c r="BH3788" s="7"/>
      <c r="BQ3788" s="7"/>
      <c r="BZ3788" s="7"/>
    </row>
    <row r="3789" spans="2:78">
      <c r="B3789" s="7"/>
      <c r="O3789" s="7"/>
      <c r="X3789" s="7"/>
      <c r="AG3789" s="7"/>
      <c r="AP3789" s="7"/>
      <c r="AY3789" s="7"/>
      <c r="BH3789" s="7"/>
      <c r="BQ3789" s="7"/>
      <c r="BZ3789" s="7"/>
    </row>
    <row r="3790" spans="2:78">
      <c r="B3790" s="7"/>
      <c r="O3790" s="7"/>
      <c r="X3790" s="7"/>
      <c r="AG3790" s="7"/>
      <c r="AP3790" s="7"/>
      <c r="AY3790" s="7"/>
      <c r="BH3790" s="7"/>
      <c r="BQ3790" s="7"/>
      <c r="BZ3790" s="7"/>
    </row>
    <row r="3791" spans="2:78">
      <c r="B3791" s="7"/>
      <c r="O3791" s="7"/>
      <c r="X3791" s="7"/>
      <c r="AG3791" s="7"/>
      <c r="AP3791" s="7"/>
      <c r="AY3791" s="7"/>
      <c r="BH3791" s="7"/>
      <c r="BQ3791" s="7"/>
      <c r="BZ3791" s="7"/>
    </row>
    <row r="3792" spans="2:78">
      <c r="B3792" s="7"/>
      <c r="O3792" s="7"/>
      <c r="X3792" s="7"/>
      <c r="AG3792" s="7"/>
      <c r="AP3792" s="7"/>
      <c r="AY3792" s="7"/>
      <c r="BH3792" s="7"/>
      <c r="BQ3792" s="7"/>
      <c r="BZ3792" s="7"/>
    </row>
    <row r="3793" spans="2:78">
      <c r="B3793" s="7"/>
      <c r="O3793" s="7"/>
      <c r="X3793" s="7"/>
      <c r="AG3793" s="7"/>
      <c r="AP3793" s="7"/>
      <c r="AY3793" s="7"/>
      <c r="BH3793" s="7"/>
      <c r="BQ3793" s="7"/>
      <c r="BZ3793" s="7"/>
    </row>
    <row r="3794" spans="2:78">
      <c r="B3794" s="7"/>
      <c r="O3794" s="7"/>
      <c r="X3794" s="7"/>
      <c r="AG3794" s="7"/>
      <c r="AP3794" s="7"/>
      <c r="AY3794" s="7"/>
      <c r="BH3794" s="7"/>
      <c r="BQ3794" s="7"/>
      <c r="BZ3794" s="7"/>
    </row>
    <row r="3795" spans="2:78">
      <c r="B3795" s="7"/>
      <c r="O3795" s="7"/>
      <c r="X3795" s="7"/>
      <c r="AG3795" s="7"/>
      <c r="AP3795" s="7"/>
      <c r="AY3795" s="7"/>
      <c r="BH3795" s="7"/>
      <c r="BQ3795" s="7"/>
      <c r="BZ3795" s="7"/>
    </row>
    <row r="3796" spans="2:78">
      <c r="B3796" s="7"/>
      <c r="O3796" s="7"/>
      <c r="X3796" s="7"/>
      <c r="AG3796" s="7"/>
      <c r="AP3796" s="7"/>
      <c r="AY3796" s="7"/>
      <c r="BH3796" s="7"/>
      <c r="BQ3796" s="7"/>
      <c r="BZ3796" s="7"/>
    </row>
    <row r="3797" spans="2:78">
      <c r="B3797" s="7"/>
      <c r="O3797" s="7"/>
      <c r="X3797" s="7"/>
      <c r="AG3797" s="7"/>
      <c r="AP3797" s="7"/>
      <c r="AY3797" s="7"/>
      <c r="BH3797" s="7"/>
      <c r="BQ3797" s="7"/>
      <c r="BZ3797" s="7"/>
    </row>
    <row r="3798" spans="2:78">
      <c r="B3798" s="7"/>
      <c r="O3798" s="7"/>
      <c r="X3798" s="7"/>
      <c r="AG3798" s="7"/>
      <c r="AP3798" s="7"/>
      <c r="AY3798" s="7"/>
      <c r="BH3798" s="7"/>
      <c r="BQ3798" s="7"/>
      <c r="BZ3798" s="7"/>
    </row>
    <row r="3799" spans="2:78">
      <c r="B3799" s="7"/>
      <c r="O3799" s="7"/>
      <c r="X3799" s="7"/>
      <c r="AG3799" s="7"/>
      <c r="AP3799" s="7"/>
      <c r="AY3799" s="7"/>
      <c r="BH3799" s="7"/>
      <c r="BQ3799" s="7"/>
      <c r="BZ3799" s="7"/>
    </row>
    <row r="3800" spans="2:78">
      <c r="B3800" s="7"/>
      <c r="O3800" s="7"/>
      <c r="X3800" s="7"/>
      <c r="AG3800" s="7"/>
      <c r="AP3800" s="7"/>
      <c r="AY3800" s="7"/>
      <c r="BH3800" s="7"/>
      <c r="BQ3800" s="7"/>
      <c r="BZ3800" s="7"/>
    </row>
    <row r="3801" spans="2:78">
      <c r="B3801" s="7"/>
      <c r="O3801" s="7"/>
      <c r="X3801" s="7"/>
      <c r="AG3801" s="7"/>
      <c r="AP3801" s="7"/>
      <c r="AY3801" s="7"/>
      <c r="BH3801" s="7"/>
      <c r="BQ3801" s="7"/>
      <c r="BZ3801" s="7"/>
    </row>
    <row r="3802" spans="2:78">
      <c r="B3802" s="7"/>
      <c r="O3802" s="7"/>
      <c r="X3802" s="7"/>
      <c r="AG3802" s="7"/>
      <c r="AP3802" s="7"/>
      <c r="AY3802" s="7"/>
      <c r="BH3802" s="7"/>
      <c r="BQ3802" s="7"/>
      <c r="BZ3802" s="7"/>
    </row>
    <row r="3803" spans="2:78">
      <c r="B3803" s="7"/>
      <c r="O3803" s="7"/>
      <c r="X3803" s="7"/>
      <c r="AG3803" s="7"/>
      <c r="AP3803" s="7"/>
      <c r="AY3803" s="7"/>
      <c r="BH3803" s="7"/>
      <c r="BQ3803" s="7"/>
      <c r="BZ3803" s="7"/>
    </row>
    <row r="3804" spans="2:78">
      <c r="B3804" s="7"/>
      <c r="O3804" s="7"/>
      <c r="X3804" s="7"/>
      <c r="AG3804" s="7"/>
      <c r="AP3804" s="7"/>
      <c r="AY3804" s="7"/>
      <c r="BH3804" s="7"/>
      <c r="BQ3804" s="7"/>
      <c r="BZ3804" s="7"/>
    </row>
    <row r="3805" spans="2:78">
      <c r="B3805" s="7"/>
      <c r="O3805" s="7"/>
      <c r="X3805" s="7"/>
      <c r="AG3805" s="7"/>
      <c r="AP3805" s="7"/>
      <c r="AY3805" s="7"/>
      <c r="BH3805" s="7"/>
      <c r="BQ3805" s="7"/>
      <c r="BZ3805" s="7"/>
    </row>
    <row r="3806" spans="2:78">
      <c r="B3806" s="7"/>
      <c r="O3806" s="7"/>
      <c r="X3806" s="7"/>
      <c r="AG3806" s="7"/>
      <c r="AP3806" s="7"/>
      <c r="AY3806" s="7"/>
      <c r="BH3806" s="7"/>
      <c r="BQ3806" s="7"/>
      <c r="BZ3806" s="7"/>
    </row>
    <row r="3807" spans="2:78">
      <c r="B3807" s="7"/>
      <c r="O3807" s="7"/>
      <c r="X3807" s="7"/>
      <c r="AG3807" s="7"/>
      <c r="AP3807" s="7"/>
      <c r="AY3807" s="7"/>
      <c r="BH3807" s="7"/>
      <c r="BQ3807" s="7"/>
      <c r="BZ3807" s="7"/>
    </row>
    <row r="3808" spans="2:78">
      <c r="B3808" s="7"/>
      <c r="O3808" s="7"/>
      <c r="X3808" s="7"/>
      <c r="AG3808" s="7"/>
      <c r="AP3808" s="7"/>
      <c r="AY3808" s="7"/>
      <c r="BH3808" s="7"/>
      <c r="BQ3808" s="7"/>
      <c r="BZ3808" s="7"/>
    </row>
    <row r="3809" spans="2:78">
      <c r="B3809" s="7"/>
      <c r="O3809" s="7"/>
      <c r="X3809" s="7"/>
      <c r="AG3809" s="7"/>
      <c r="AP3809" s="7"/>
      <c r="AY3809" s="7"/>
      <c r="BH3809" s="7"/>
      <c r="BQ3809" s="7"/>
      <c r="BZ3809" s="7"/>
    </row>
    <row r="3810" spans="2:78">
      <c r="B3810" s="7"/>
      <c r="O3810" s="7"/>
      <c r="X3810" s="7"/>
      <c r="AG3810" s="7"/>
      <c r="AP3810" s="7"/>
      <c r="AY3810" s="7"/>
      <c r="BH3810" s="7"/>
      <c r="BQ3810" s="7"/>
      <c r="BZ3810" s="7"/>
    </row>
    <row r="3811" spans="2:78">
      <c r="B3811" s="7"/>
      <c r="O3811" s="7"/>
      <c r="X3811" s="7"/>
      <c r="AG3811" s="7"/>
      <c r="AP3811" s="7"/>
      <c r="AY3811" s="7"/>
      <c r="BH3811" s="7"/>
      <c r="BQ3811" s="7"/>
      <c r="BZ3811" s="7"/>
    </row>
    <row r="3812" spans="2:78">
      <c r="B3812" s="7"/>
      <c r="O3812" s="7"/>
      <c r="X3812" s="7"/>
      <c r="AG3812" s="7"/>
      <c r="AP3812" s="7"/>
      <c r="AY3812" s="7"/>
      <c r="BH3812" s="7"/>
      <c r="BQ3812" s="7"/>
      <c r="BZ3812" s="7"/>
    </row>
    <row r="3813" spans="2:78">
      <c r="B3813" s="7"/>
      <c r="O3813" s="7"/>
      <c r="X3813" s="7"/>
      <c r="AG3813" s="7"/>
      <c r="AP3813" s="7"/>
      <c r="AY3813" s="7"/>
      <c r="BH3813" s="7"/>
      <c r="BQ3813" s="7"/>
      <c r="BZ3813" s="7"/>
    </row>
    <row r="3814" spans="2:78">
      <c r="B3814" s="7"/>
      <c r="O3814" s="7"/>
      <c r="X3814" s="7"/>
      <c r="AG3814" s="7"/>
      <c r="AP3814" s="7"/>
      <c r="AY3814" s="7"/>
      <c r="BH3814" s="7"/>
      <c r="BQ3814" s="7"/>
      <c r="BZ3814" s="7"/>
    </row>
    <row r="3815" spans="2:78">
      <c r="B3815" s="7"/>
      <c r="O3815" s="7"/>
      <c r="X3815" s="7"/>
      <c r="AG3815" s="7"/>
      <c r="AP3815" s="7"/>
      <c r="AY3815" s="7"/>
      <c r="BH3815" s="7"/>
      <c r="BQ3815" s="7"/>
      <c r="BZ3815" s="7"/>
    </row>
    <row r="3816" spans="2:78">
      <c r="B3816" s="7"/>
      <c r="O3816" s="7"/>
      <c r="X3816" s="7"/>
      <c r="AG3816" s="7"/>
      <c r="AP3816" s="7"/>
      <c r="AY3816" s="7"/>
      <c r="BH3816" s="7"/>
      <c r="BQ3816" s="7"/>
      <c r="BZ3816" s="7"/>
    </row>
    <row r="3817" spans="2:78">
      <c r="B3817" s="7"/>
      <c r="O3817" s="7"/>
      <c r="X3817" s="7"/>
      <c r="AG3817" s="7"/>
      <c r="AP3817" s="7"/>
      <c r="AY3817" s="7"/>
      <c r="BH3817" s="7"/>
      <c r="BQ3817" s="7"/>
      <c r="BZ3817" s="7"/>
    </row>
    <row r="3818" spans="2:78">
      <c r="B3818" s="7"/>
      <c r="O3818" s="7"/>
      <c r="X3818" s="7"/>
      <c r="AG3818" s="7"/>
      <c r="AP3818" s="7"/>
      <c r="AY3818" s="7"/>
      <c r="BH3818" s="7"/>
      <c r="BQ3818" s="7"/>
      <c r="BZ3818" s="7"/>
    </row>
    <row r="3819" spans="2:78">
      <c r="B3819" s="7"/>
      <c r="O3819" s="7"/>
      <c r="X3819" s="7"/>
      <c r="AG3819" s="7"/>
      <c r="AP3819" s="7"/>
      <c r="AY3819" s="7"/>
      <c r="BH3819" s="7"/>
      <c r="BQ3819" s="7"/>
      <c r="BZ3819" s="7"/>
    </row>
    <row r="3820" spans="2:78">
      <c r="B3820" s="7"/>
      <c r="O3820" s="7"/>
      <c r="X3820" s="7"/>
      <c r="AG3820" s="7"/>
      <c r="AP3820" s="7"/>
      <c r="AY3820" s="7"/>
      <c r="BH3820" s="7"/>
      <c r="BQ3820" s="7"/>
      <c r="BZ3820" s="7"/>
    </row>
    <row r="3821" spans="2:78">
      <c r="B3821" s="7"/>
      <c r="O3821" s="7"/>
      <c r="X3821" s="7"/>
      <c r="AG3821" s="7"/>
      <c r="AP3821" s="7"/>
      <c r="AY3821" s="7"/>
      <c r="BH3821" s="7"/>
      <c r="BQ3821" s="7"/>
      <c r="BZ3821" s="7"/>
    </row>
    <row r="3822" spans="2:78">
      <c r="B3822" s="7"/>
      <c r="O3822" s="7"/>
      <c r="X3822" s="7"/>
      <c r="AG3822" s="7"/>
      <c r="AP3822" s="7"/>
      <c r="AY3822" s="7"/>
      <c r="BH3822" s="7"/>
      <c r="BQ3822" s="7"/>
      <c r="BZ3822" s="7"/>
    </row>
    <row r="3823" spans="2:78">
      <c r="B3823" s="7"/>
      <c r="O3823" s="7"/>
      <c r="X3823" s="7"/>
      <c r="AG3823" s="7"/>
      <c r="AP3823" s="7"/>
      <c r="AY3823" s="7"/>
      <c r="BH3823" s="7"/>
      <c r="BQ3823" s="7"/>
      <c r="BZ3823" s="7"/>
    </row>
    <row r="3824" spans="2:78">
      <c r="B3824" s="7"/>
      <c r="O3824" s="7"/>
      <c r="X3824" s="7"/>
      <c r="AG3824" s="7"/>
      <c r="AP3824" s="7"/>
      <c r="AY3824" s="7"/>
      <c r="BH3824" s="7"/>
      <c r="BQ3824" s="7"/>
      <c r="BZ3824" s="7"/>
    </row>
    <row r="3825" spans="2:78">
      <c r="B3825" s="7"/>
      <c r="O3825" s="7"/>
      <c r="X3825" s="7"/>
      <c r="AG3825" s="7"/>
      <c r="AP3825" s="7"/>
      <c r="AY3825" s="7"/>
      <c r="BH3825" s="7"/>
      <c r="BQ3825" s="7"/>
      <c r="BZ3825" s="7"/>
    </row>
    <row r="3826" spans="2:78">
      <c r="B3826" s="7"/>
      <c r="O3826" s="7"/>
      <c r="X3826" s="7"/>
      <c r="AG3826" s="7"/>
      <c r="AP3826" s="7"/>
      <c r="AY3826" s="7"/>
      <c r="BH3826" s="7"/>
      <c r="BQ3826" s="7"/>
      <c r="BZ3826" s="7"/>
    </row>
    <row r="3827" spans="2:78">
      <c r="B3827" s="7"/>
      <c r="O3827" s="7"/>
      <c r="X3827" s="7"/>
      <c r="AG3827" s="7"/>
      <c r="AP3827" s="7"/>
      <c r="AY3827" s="7"/>
      <c r="BH3827" s="7"/>
      <c r="BQ3827" s="7"/>
      <c r="BZ3827" s="7"/>
    </row>
    <row r="3828" spans="2:78">
      <c r="B3828" s="7"/>
      <c r="O3828" s="7"/>
      <c r="X3828" s="7"/>
      <c r="AG3828" s="7"/>
      <c r="AP3828" s="7"/>
      <c r="AY3828" s="7"/>
      <c r="BH3828" s="7"/>
      <c r="BQ3828" s="7"/>
      <c r="BZ3828" s="7"/>
    </row>
    <row r="3829" spans="2:78">
      <c r="B3829" s="7"/>
      <c r="O3829" s="7"/>
      <c r="X3829" s="7"/>
      <c r="AG3829" s="7"/>
      <c r="AP3829" s="7"/>
      <c r="AY3829" s="7"/>
      <c r="BH3829" s="7"/>
      <c r="BQ3829" s="7"/>
      <c r="BZ3829" s="7"/>
    </row>
    <row r="3830" spans="2:78">
      <c r="B3830" s="7"/>
      <c r="O3830" s="7"/>
      <c r="X3830" s="7"/>
      <c r="AG3830" s="7"/>
      <c r="AP3830" s="7"/>
      <c r="AY3830" s="7"/>
      <c r="BH3830" s="7"/>
      <c r="BQ3830" s="7"/>
      <c r="BZ3830" s="7"/>
    </row>
    <row r="3831" spans="2:78">
      <c r="B3831" s="7"/>
      <c r="O3831" s="7"/>
      <c r="X3831" s="7"/>
      <c r="AG3831" s="7"/>
      <c r="AP3831" s="7"/>
      <c r="AY3831" s="7"/>
      <c r="BH3831" s="7"/>
      <c r="BQ3831" s="7"/>
      <c r="BZ3831" s="7"/>
    </row>
    <row r="3832" spans="2:78">
      <c r="B3832" s="7"/>
      <c r="O3832" s="7"/>
      <c r="X3832" s="7"/>
      <c r="AG3832" s="7"/>
      <c r="AP3832" s="7"/>
      <c r="AY3832" s="7"/>
      <c r="BH3832" s="7"/>
      <c r="BQ3832" s="7"/>
      <c r="BZ3832" s="7"/>
    </row>
    <row r="3833" spans="2:78">
      <c r="B3833" s="7"/>
      <c r="O3833" s="7"/>
      <c r="X3833" s="7"/>
      <c r="AG3833" s="7"/>
      <c r="AP3833" s="7"/>
      <c r="AY3833" s="7"/>
      <c r="BH3833" s="7"/>
      <c r="BQ3833" s="7"/>
      <c r="BZ3833" s="7"/>
    </row>
    <row r="3834" spans="2:78">
      <c r="B3834" s="7"/>
      <c r="O3834" s="7"/>
      <c r="X3834" s="7"/>
      <c r="AG3834" s="7"/>
      <c r="AP3834" s="7"/>
      <c r="AY3834" s="7"/>
      <c r="BH3834" s="7"/>
      <c r="BQ3834" s="7"/>
      <c r="BZ3834" s="7"/>
    </row>
    <row r="3835" spans="2:78">
      <c r="B3835" s="7"/>
      <c r="O3835" s="7"/>
      <c r="X3835" s="7"/>
      <c r="AG3835" s="7"/>
      <c r="AP3835" s="7"/>
      <c r="AY3835" s="7"/>
      <c r="BH3835" s="7"/>
      <c r="BQ3835" s="7"/>
      <c r="BZ3835" s="7"/>
    </row>
    <row r="3836" spans="2:78">
      <c r="B3836" s="7"/>
      <c r="O3836" s="7"/>
      <c r="X3836" s="7"/>
      <c r="AG3836" s="7"/>
      <c r="AP3836" s="7"/>
      <c r="AY3836" s="7"/>
      <c r="BH3836" s="7"/>
      <c r="BQ3836" s="7"/>
      <c r="BZ3836" s="7"/>
    </row>
    <row r="3837" spans="2:78">
      <c r="B3837" s="7"/>
      <c r="O3837" s="7"/>
      <c r="X3837" s="7"/>
      <c r="AG3837" s="7"/>
      <c r="AP3837" s="7"/>
      <c r="AY3837" s="7"/>
      <c r="BH3837" s="7"/>
      <c r="BQ3837" s="7"/>
      <c r="BZ3837" s="7"/>
    </row>
    <row r="3838" spans="2:78">
      <c r="B3838" s="7"/>
      <c r="O3838" s="7"/>
      <c r="X3838" s="7"/>
      <c r="AG3838" s="7"/>
      <c r="AP3838" s="7"/>
      <c r="AY3838" s="7"/>
      <c r="BH3838" s="7"/>
      <c r="BQ3838" s="7"/>
      <c r="BZ3838" s="7"/>
    </row>
    <row r="3839" spans="2:78">
      <c r="B3839" s="7"/>
      <c r="O3839" s="7"/>
      <c r="X3839" s="7"/>
      <c r="AG3839" s="7"/>
      <c r="AP3839" s="7"/>
      <c r="AY3839" s="7"/>
      <c r="BH3839" s="7"/>
      <c r="BQ3839" s="7"/>
      <c r="BZ3839" s="7"/>
    </row>
    <row r="3840" spans="2:78">
      <c r="B3840" s="7"/>
      <c r="O3840" s="7"/>
      <c r="X3840" s="7"/>
      <c r="AG3840" s="7"/>
      <c r="AP3840" s="7"/>
      <c r="AY3840" s="7"/>
      <c r="BH3840" s="7"/>
      <c r="BQ3840" s="7"/>
      <c r="BZ3840" s="7"/>
    </row>
    <row r="3841" spans="2:78">
      <c r="B3841" s="7"/>
      <c r="O3841" s="7"/>
      <c r="X3841" s="7"/>
      <c r="AG3841" s="7"/>
      <c r="AP3841" s="7"/>
      <c r="AY3841" s="7"/>
      <c r="BH3841" s="7"/>
      <c r="BQ3841" s="7"/>
      <c r="BZ3841" s="7"/>
    </row>
    <row r="3842" spans="2:78">
      <c r="B3842" s="7"/>
      <c r="O3842" s="7"/>
      <c r="X3842" s="7"/>
      <c r="AG3842" s="7"/>
      <c r="AP3842" s="7"/>
      <c r="AY3842" s="7"/>
      <c r="BH3842" s="7"/>
      <c r="BQ3842" s="7"/>
      <c r="BZ3842" s="7"/>
    </row>
    <row r="3843" spans="2:78">
      <c r="B3843" s="7"/>
      <c r="O3843" s="7"/>
      <c r="X3843" s="7"/>
      <c r="AG3843" s="7"/>
      <c r="AP3843" s="7"/>
      <c r="AY3843" s="7"/>
      <c r="BH3843" s="7"/>
      <c r="BQ3843" s="7"/>
      <c r="BZ3843" s="7"/>
    </row>
    <row r="3844" spans="2:78">
      <c r="B3844" s="7"/>
      <c r="O3844" s="7"/>
      <c r="X3844" s="7"/>
      <c r="AG3844" s="7"/>
      <c r="AP3844" s="7"/>
      <c r="AY3844" s="7"/>
      <c r="BH3844" s="7"/>
      <c r="BQ3844" s="7"/>
      <c r="BZ3844" s="7"/>
    </row>
    <row r="3845" spans="2:78">
      <c r="B3845" s="7"/>
      <c r="O3845" s="7"/>
      <c r="X3845" s="7"/>
      <c r="AG3845" s="7"/>
      <c r="AP3845" s="7"/>
      <c r="AY3845" s="7"/>
      <c r="BH3845" s="7"/>
      <c r="BQ3845" s="7"/>
      <c r="BZ3845" s="7"/>
    </row>
    <row r="3846" spans="2:78">
      <c r="B3846" s="7"/>
      <c r="O3846" s="7"/>
      <c r="X3846" s="7"/>
      <c r="AG3846" s="7"/>
      <c r="AP3846" s="7"/>
      <c r="AY3846" s="7"/>
      <c r="BH3846" s="7"/>
      <c r="BQ3846" s="7"/>
      <c r="BZ3846" s="7"/>
    </row>
    <row r="3847" spans="2:78">
      <c r="B3847" s="7"/>
      <c r="O3847" s="7"/>
      <c r="X3847" s="7"/>
      <c r="AG3847" s="7"/>
      <c r="AP3847" s="7"/>
      <c r="AY3847" s="7"/>
      <c r="BH3847" s="7"/>
      <c r="BQ3847" s="7"/>
      <c r="BZ3847" s="7"/>
    </row>
    <row r="3848" spans="2:78">
      <c r="B3848" s="7"/>
      <c r="O3848" s="7"/>
      <c r="X3848" s="7"/>
      <c r="AG3848" s="7"/>
      <c r="AP3848" s="7"/>
      <c r="AY3848" s="7"/>
      <c r="BH3848" s="7"/>
      <c r="BQ3848" s="7"/>
      <c r="BZ3848" s="7"/>
    </row>
    <row r="3849" spans="2:78">
      <c r="B3849" s="7"/>
      <c r="O3849" s="7"/>
      <c r="X3849" s="7"/>
      <c r="AG3849" s="7"/>
      <c r="AP3849" s="7"/>
      <c r="AY3849" s="7"/>
      <c r="BH3849" s="7"/>
      <c r="BQ3849" s="7"/>
      <c r="BZ3849" s="7"/>
    </row>
    <row r="3850" spans="2:78">
      <c r="B3850" s="7"/>
      <c r="O3850" s="7"/>
      <c r="X3850" s="7"/>
      <c r="AG3850" s="7"/>
      <c r="AP3850" s="7"/>
      <c r="AY3850" s="7"/>
      <c r="BH3850" s="7"/>
      <c r="BQ3850" s="7"/>
      <c r="BZ3850" s="7"/>
    </row>
    <row r="3851" spans="2:78">
      <c r="B3851" s="7"/>
      <c r="O3851" s="7"/>
      <c r="X3851" s="7"/>
      <c r="AG3851" s="7"/>
      <c r="AP3851" s="7"/>
      <c r="AY3851" s="7"/>
      <c r="BH3851" s="7"/>
      <c r="BQ3851" s="7"/>
      <c r="BZ3851" s="7"/>
    </row>
    <row r="3852" spans="2:78">
      <c r="B3852" s="7"/>
      <c r="O3852" s="7"/>
      <c r="X3852" s="7"/>
      <c r="AG3852" s="7"/>
      <c r="AP3852" s="7"/>
      <c r="AY3852" s="7"/>
      <c r="BH3852" s="7"/>
      <c r="BQ3852" s="7"/>
      <c r="BZ3852" s="7"/>
    </row>
    <row r="3853" spans="2:78">
      <c r="B3853" s="7"/>
      <c r="O3853" s="7"/>
      <c r="X3853" s="7"/>
      <c r="AG3853" s="7"/>
      <c r="AP3853" s="7"/>
      <c r="AY3853" s="7"/>
      <c r="BH3853" s="7"/>
      <c r="BQ3853" s="7"/>
      <c r="BZ3853" s="7"/>
    </row>
    <row r="3854" spans="2:78">
      <c r="B3854" s="7"/>
      <c r="O3854" s="7"/>
      <c r="X3854" s="7"/>
      <c r="AG3854" s="7"/>
      <c r="AP3854" s="7"/>
      <c r="AY3854" s="7"/>
      <c r="BH3854" s="7"/>
      <c r="BQ3854" s="7"/>
      <c r="BZ3854" s="7"/>
    </row>
    <row r="3855" spans="2:78">
      <c r="B3855" s="7"/>
      <c r="O3855" s="7"/>
      <c r="X3855" s="7"/>
      <c r="AG3855" s="7"/>
      <c r="AP3855" s="7"/>
      <c r="AY3855" s="7"/>
      <c r="BH3855" s="7"/>
      <c r="BQ3855" s="7"/>
      <c r="BZ3855" s="7"/>
    </row>
    <row r="3856" spans="2:78">
      <c r="B3856" s="7"/>
      <c r="O3856" s="7"/>
      <c r="X3856" s="7"/>
      <c r="AG3856" s="7"/>
      <c r="AP3856" s="7"/>
      <c r="AY3856" s="7"/>
      <c r="BH3856" s="7"/>
      <c r="BQ3856" s="7"/>
      <c r="BZ3856" s="7"/>
    </row>
    <row r="3857" spans="2:78">
      <c r="B3857" s="7"/>
      <c r="O3857" s="7"/>
      <c r="X3857" s="7"/>
      <c r="AG3857" s="7"/>
      <c r="AP3857" s="7"/>
      <c r="AY3857" s="7"/>
      <c r="BH3857" s="7"/>
      <c r="BQ3857" s="7"/>
      <c r="BZ3857" s="7"/>
    </row>
    <row r="3858" spans="2:78">
      <c r="B3858" s="7"/>
      <c r="O3858" s="7"/>
      <c r="X3858" s="7"/>
      <c r="AG3858" s="7"/>
      <c r="AP3858" s="7"/>
      <c r="AY3858" s="7"/>
      <c r="BH3858" s="7"/>
      <c r="BQ3858" s="7"/>
      <c r="BZ3858" s="7"/>
    </row>
    <row r="3859" spans="2:78">
      <c r="B3859" s="7"/>
      <c r="O3859" s="7"/>
      <c r="X3859" s="7"/>
      <c r="AG3859" s="7"/>
      <c r="AP3859" s="7"/>
      <c r="AY3859" s="7"/>
      <c r="BH3859" s="7"/>
      <c r="BQ3859" s="7"/>
      <c r="BZ3859" s="7"/>
    </row>
    <row r="3860" spans="2:78">
      <c r="B3860" s="7"/>
      <c r="O3860" s="7"/>
      <c r="X3860" s="7"/>
      <c r="AG3860" s="7"/>
      <c r="AP3860" s="7"/>
      <c r="AY3860" s="7"/>
      <c r="BH3860" s="7"/>
      <c r="BQ3860" s="7"/>
      <c r="BZ3860" s="7"/>
    </row>
    <row r="3861" spans="2:78">
      <c r="B3861" s="7"/>
      <c r="O3861" s="7"/>
      <c r="X3861" s="7"/>
      <c r="AG3861" s="7"/>
      <c r="AP3861" s="7"/>
      <c r="AY3861" s="7"/>
      <c r="BH3861" s="7"/>
      <c r="BQ3861" s="7"/>
      <c r="BZ3861" s="7"/>
    </row>
    <row r="3862" spans="2:78">
      <c r="B3862" s="7"/>
      <c r="O3862" s="7"/>
      <c r="X3862" s="7"/>
      <c r="AG3862" s="7"/>
      <c r="AP3862" s="7"/>
      <c r="AY3862" s="7"/>
      <c r="BH3862" s="7"/>
      <c r="BQ3862" s="7"/>
      <c r="BZ3862" s="7"/>
    </row>
    <row r="3863" spans="2:78">
      <c r="B3863" s="7"/>
      <c r="O3863" s="7"/>
      <c r="X3863" s="7"/>
      <c r="AG3863" s="7"/>
      <c r="AP3863" s="7"/>
      <c r="AY3863" s="7"/>
      <c r="BH3863" s="7"/>
      <c r="BQ3863" s="7"/>
      <c r="BZ3863" s="7"/>
    </row>
    <row r="3864" spans="2:78">
      <c r="B3864" s="7"/>
      <c r="O3864" s="7"/>
      <c r="X3864" s="7"/>
      <c r="AG3864" s="7"/>
      <c r="AP3864" s="7"/>
      <c r="AY3864" s="7"/>
      <c r="BH3864" s="7"/>
      <c r="BQ3864" s="7"/>
      <c r="BZ3864" s="7"/>
    </row>
    <row r="3865" spans="2:78">
      <c r="B3865" s="7"/>
      <c r="O3865" s="7"/>
      <c r="X3865" s="7"/>
      <c r="AG3865" s="7"/>
      <c r="AP3865" s="7"/>
      <c r="AY3865" s="7"/>
      <c r="BH3865" s="7"/>
      <c r="BQ3865" s="7"/>
      <c r="BZ3865" s="7"/>
    </row>
    <row r="3866" spans="2:78">
      <c r="B3866" s="7"/>
      <c r="O3866" s="7"/>
      <c r="X3866" s="7"/>
      <c r="AG3866" s="7"/>
      <c r="AP3866" s="7"/>
      <c r="AY3866" s="7"/>
      <c r="BH3866" s="7"/>
      <c r="BQ3866" s="7"/>
      <c r="BZ3866" s="7"/>
    </row>
    <row r="3867" spans="2:78">
      <c r="B3867" s="7"/>
      <c r="O3867" s="7"/>
      <c r="X3867" s="7"/>
      <c r="AG3867" s="7"/>
      <c r="AP3867" s="7"/>
      <c r="AY3867" s="7"/>
      <c r="BH3867" s="7"/>
      <c r="BQ3867" s="7"/>
      <c r="BZ3867" s="7"/>
    </row>
    <row r="3868" spans="2:78">
      <c r="B3868" s="7"/>
      <c r="O3868" s="7"/>
      <c r="X3868" s="7"/>
      <c r="AG3868" s="7"/>
      <c r="AP3868" s="7"/>
      <c r="AY3868" s="7"/>
      <c r="BH3868" s="7"/>
      <c r="BQ3868" s="7"/>
      <c r="BZ3868" s="7"/>
    </row>
    <row r="3869" spans="2:78">
      <c r="B3869" s="7"/>
      <c r="O3869" s="7"/>
      <c r="X3869" s="7"/>
      <c r="AG3869" s="7"/>
      <c r="AP3869" s="7"/>
      <c r="AY3869" s="7"/>
      <c r="BH3869" s="7"/>
      <c r="BQ3869" s="7"/>
      <c r="BZ3869" s="7"/>
    </row>
    <row r="3870" spans="2:78">
      <c r="B3870" s="7"/>
      <c r="O3870" s="7"/>
      <c r="X3870" s="7"/>
      <c r="AG3870" s="7"/>
      <c r="AP3870" s="7"/>
      <c r="AY3870" s="7"/>
      <c r="BH3870" s="7"/>
      <c r="BQ3870" s="7"/>
      <c r="BZ3870" s="7"/>
    </row>
    <row r="3871" spans="2:78">
      <c r="B3871" s="7"/>
      <c r="O3871" s="7"/>
      <c r="X3871" s="7"/>
      <c r="AG3871" s="7"/>
      <c r="AP3871" s="7"/>
      <c r="AY3871" s="7"/>
      <c r="BH3871" s="7"/>
      <c r="BQ3871" s="7"/>
      <c r="BZ3871" s="7"/>
    </row>
    <row r="3872" spans="2:78">
      <c r="B3872" s="7"/>
      <c r="O3872" s="7"/>
      <c r="X3872" s="7"/>
      <c r="AG3872" s="7"/>
      <c r="AP3872" s="7"/>
      <c r="AY3872" s="7"/>
      <c r="BH3872" s="7"/>
      <c r="BQ3872" s="7"/>
      <c r="BZ3872" s="7"/>
    </row>
    <row r="3873" spans="2:78">
      <c r="B3873" s="7"/>
      <c r="O3873" s="7"/>
      <c r="X3873" s="7"/>
      <c r="AG3873" s="7"/>
      <c r="AP3873" s="7"/>
      <c r="AY3873" s="7"/>
      <c r="BH3873" s="7"/>
      <c r="BQ3873" s="7"/>
      <c r="BZ3873" s="7"/>
    </row>
    <row r="3874" spans="2:78">
      <c r="B3874" s="7"/>
      <c r="O3874" s="7"/>
      <c r="X3874" s="7"/>
      <c r="AG3874" s="7"/>
      <c r="AP3874" s="7"/>
      <c r="AY3874" s="7"/>
      <c r="BH3874" s="7"/>
      <c r="BQ3874" s="7"/>
      <c r="BZ3874" s="7"/>
    </row>
    <row r="3875" spans="2:78">
      <c r="B3875" s="7"/>
      <c r="O3875" s="7"/>
      <c r="X3875" s="7"/>
      <c r="AG3875" s="7"/>
      <c r="AP3875" s="7"/>
      <c r="AY3875" s="7"/>
      <c r="BH3875" s="7"/>
      <c r="BQ3875" s="7"/>
      <c r="BZ3875" s="7"/>
    </row>
    <row r="3876" spans="2:78">
      <c r="B3876" s="7"/>
      <c r="O3876" s="7"/>
      <c r="X3876" s="7"/>
      <c r="AG3876" s="7"/>
      <c r="AP3876" s="7"/>
      <c r="AY3876" s="7"/>
      <c r="BH3876" s="7"/>
      <c r="BQ3876" s="7"/>
      <c r="BZ3876" s="7"/>
    </row>
    <row r="3877" spans="2:78">
      <c r="B3877" s="7"/>
      <c r="O3877" s="7"/>
      <c r="X3877" s="7"/>
      <c r="AG3877" s="7"/>
      <c r="AP3877" s="7"/>
      <c r="AY3877" s="7"/>
      <c r="BH3877" s="7"/>
      <c r="BQ3877" s="7"/>
      <c r="BZ3877" s="7"/>
    </row>
    <row r="3878" spans="2:78">
      <c r="B3878" s="7"/>
      <c r="O3878" s="7"/>
      <c r="X3878" s="7"/>
      <c r="AG3878" s="7"/>
      <c r="AP3878" s="7"/>
      <c r="AY3878" s="7"/>
      <c r="BH3878" s="7"/>
      <c r="BQ3878" s="7"/>
      <c r="BZ3878" s="7"/>
    </row>
    <row r="3879" spans="2:78">
      <c r="B3879" s="7"/>
      <c r="O3879" s="7"/>
      <c r="X3879" s="7"/>
      <c r="AG3879" s="7"/>
      <c r="AP3879" s="7"/>
      <c r="AY3879" s="7"/>
      <c r="BH3879" s="7"/>
      <c r="BQ3879" s="7"/>
      <c r="BZ3879" s="7"/>
    </row>
    <row r="3880" spans="2:78">
      <c r="B3880" s="7"/>
      <c r="O3880" s="7"/>
      <c r="X3880" s="7"/>
      <c r="AG3880" s="7"/>
      <c r="AP3880" s="7"/>
      <c r="AY3880" s="7"/>
      <c r="BH3880" s="7"/>
      <c r="BQ3880" s="7"/>
      <c r="BZ3880" s="7"/>
    </row>
    <row r="3881" spans="2:78">
      <c r="B3881" s="7"/>
      <c r="O3881" s="7"/>
      <c r="X3881" s="7"/>
      <c r="AG3881" s="7"/>
      <c r="AP3881" s="7"/>
      <c r="AY3881" s="7"/>
      <c r="BH3881" s="7"/>
      <c r="BQ3881" s="7"/>
      <c r="BZ3881" s="7"/>
    </row>
    <row r="3882" spans="2:78">
      <c r="B3882" s="7"/>
      <c r="O3882" s="7"/>
      <c r="X3882" s="7"/>
      <c r="AG3882" s="7"/>
      <c r="AP3882" s="7"/>
      <c r="AY3882" s="7"/>
      <c r="BH3882" s="7"/>
      <c r="BQ3882" s="7"/>
      <c r="BZ3882" s="7"/>
    </row>
    <row r="3883" spans="2:78">
      <c r="B3883" s="7"/>
      <c r="O3883" s="7"/>
      <c r="X3883" s="7"/>
      <c r="AG3883" s="7"/>
      <c r="AP3883" s="7"/>
      <c r="AY3883" s="7"/>
      <c r="BH3883" s="7"/>
      <c r="BQ3883" s="7"/>
      <c r="BZ3883" s="7"/>
    </row>
    <row r="3884" spans="2:78">
      <c r="B3884" s="7"/>
      <c r="O3884" s="7"/>
      <c r="X3884" s="7"/>
      <c r="AG3884" s="7"/>
      <c r="AP3884" s="7"/>
      <c r="AY3884" s="7"/>
      <c r="BH3884" s="7"/>
      <c r="BQ3884" s="7"/>
      <c r="BZ3884" s="7"/>
    </row>
    <row r="3885" spans="2:78">
      <c r="B3885" s="7"/>
      <c r="O3885" s="7"/>
      <c r="X3885" s="7"/>
      <c r="AG3885" s="7"/>
      <c r="AP3885" s="7"/>
      <c r="AY3885" s="7"/>
      <c r="BH3885" s="7"/>
      <c r="BQ3885" s="7"/>
      <c r="BZ3885" s="7"/>
    </row>
    <row r="3886" spans="2:78">
      <c r="B3886" s="7"/>
      <c r="O3886" s="7"/>
      <c r="X3886" s="7"/>
      <c r="AG3886" s="7"/>
      <c r="AP3886" s="7"/>
      <c r="AY3886" s="7"/>
      <c r="BH3886" s="7"/>
      <c r="BQ3886" s="7"/>
      <c r="BZ3886" s="7"/>
    </row>
    <row r="3887" spans="2:78">
      <c r="B3887" s="7"/>
      <c r="O3887" s="7"/>
      <c r="X3887" s="7"/>
      <c r="AG3887" s="7"/>
      <c r="AP3887" s="7"/>
      <c r="AY3887" s="7"/>
      <c r="BH3887" s="7"/>
      <c r="BQ3887" s="7"/>
      <c r="BZ3887" s="7"/>
    </row>
    <row r="3888" spans="2:78">
      <c r="B3888" s="7"/>
      <c r="O3888" s="7"/>
      <c r="X3888" s="7"/>
      <c r="AG3888" s="7"/>
      <c r="AP3888" s="7"/>
      <c r="AY3888" s="7"/>
      <c r="BH3888" s="7"/>
      <c r="BQ3888" s="7"/>
      <c r="BZ3888" s="7"/>
    </row>
    <row r="3889" spans="2:78">
      <c r="B3889" s="7"/>
      <c r="O3889" s="7"/>
      <c r="X3889" s="7"/>
      <c r="AG3889" s="7"/>
      <c r="AP3889" s="7"/>
      <c r="AY3889" s="7"/>
      <c r="BH3889" s="7"/>
      <c r="BQ3889" s="7"/>
      <c r="BZ3889" s="7"/>
    </row>
    <row r="3890" spans="2:78">
      <c r="B3890" s="7"/>
      <c r="O3890" s="7"/>
      <c r="X3890" s="7"/>
      <c r="AG3890" s="7"/>
      <c r="AP3890" s="7"/>
      <c r="AY3890" s="7"/>
      <c r="BH3890" s="7"/>
      <c r="BQ3890" s="7"/>
      <c r="BZ3890" s="7"/>
    </row>
    <row r="3891" spans="2:78">
      <c r="B3891" s="7"/>
      <c r="O3891" s="7"/>
      <c r="X3891" s="7"/>
      <c r="AG3891" s="7"/>
      <c r="AP3891" s="7"/>
      <c r="AY3891" s="7"/>
      <c r="BH3891" s="7"/>
      <c r="BQ3891" s="7"/>
      <c r="BZ3891" s="7"/>
    </row>
    <row r="3892" spans="2:78">
      <c r="B3892" s="7"/>
      <c r="O3892" s="7"/>
      <c r="X3892" s="7"/>
      <c r="AG3892" s="7"/>
      <c r="AP3892" s="7"/>
      <c r="AY3892" s="7"/>
      <c r="BH3892" s="7"/>
      <c r="BQ3892" s="7"/>
      <c r="BZ3892" s="7"/>
    </row>
    <row r="3893" spans="2:78">
      <c r="B3893" s="7"/>
      <c r="O3893" s="7"/>
      <c r="X3893" s="7"/>
      <c r="AG3893" s="7"/>
      <c r="AP3893" s="7"/>
      <c r="AY3893" s="7"/>
      <c r="BH3893" s="7"/>
      <c r="BQ3893" s="7"/>
      <c r="BZ3893" s="7"/>
    </row>
    <row r="3894" spans="2:78">
      <c r="B3894" s="7"/>
      <c r="O3894" s="7"/>
      <c r="X3894" s="7"/>
      <c r="AG3894" s="7"/>
      <c r="AP3894" s="7"/>
      <c r="AY3894" s="7"/>
      <c r="BH3894" s="7"/>
      <c r="BQ3894" s="7"/>
      <c r="BZ3894" s="7"/>
    </row>
    <row r="3895" spans="2:78">
      <c r="B3895" s="7"/>
      <c r="O3895" s="7"/>
      <c r="X3895" s="7"/>
      <c r="AG3895" s="7"/>
      <c r="AP3895" s="7"/>
      <c r="AY3895" s="7"/>
      <c r="BH3895" s="7"/>
      <c r="BQ3895" s="7"/>
      <c r="BZ3895" s="7"/>
    </row>
    <row r="3896" spans="2:78">
      <c r="B3896" s="7"/>
      <c r="O3896" s="7"/>
      <c r="X3896" s="7"/>
      <c r="AG3896" s="7"/>
      <c r="AP3896" s="7"/>
      <c r="AY3896" s="7"/>
      <c r="BH3896" s="7"/>
      <c r="BQ3896" s="7"/>
      <c r="BZ3896" s="7"/>
    </row>
    <row r="3897" spans="2:78">
      <c r="B3897" s="7"/>
      <c r="O3897" s="7"/>
      <c r="X3897" s="7"/>
      <c r="AG3897" s="7"/>
      <c r="AP3897" s="7"/>
      <c r="AY3897" s="7"/>
      <c r="BH3897" s="7"/>
      <c r="BQ3897" s="7"/>
      <c r="BZ3897" s="7"/>
    </row>
    <row r="3898" spans="2:78">
      <c r="B3898" s="7"/>
      <c r="O3898" s="7"/>
      <c r="X3898" s="7"/>
      <c r="AG3898" s="7"/>
      <c r="AP3898" s="7"/>
      <c r="AY3898" s="7"/>
      <c r="BH3898" s="7"/>
      <c r="BQ3898" s="7"/>
      <c r="BZ3898" s="7"/>
    </row>
    <row r="3899" spans="2:78">
      <c r="B3899" s="7"/>
      <c r="O3899" s="7"/>
      <c r="X3899" s="7"/>
      <c r="AG3899" s="7"/>
      <c r="AP3899" s="7"/>
      <c r="AY3899" s="7"/>
      <c r="BH3899" s="7"/>
      <c r="BQ3899" s="7"/>
      <c r="BZ3899" s="7"/>
    </row>
    <row r="3900" spans="2:78">
      <c r="B3900" s="7"/>
      <c r="O3900" s="7"/>
      <c r="X3900" s="7"/>
      <c r="AG3900" s="7"/>
      <c r="AP3900" s="7"/>
      <c r="AY3900" s="7"/>
      <c r="BH3900" s="7"/>
      <c r="BQ3900" s="7"/>
      <c r="BZ3900" s="7"/>
    </row>
    <row r="3901" spans="2:78">
      <c r="B3901" s="7"/>
      <c r="O3901" s="7"/>
      <c r="X3901" s="7"/>
      <c r="AG3901" s="7"/>
      <c r="AP3901" s="7"/>
      <c r="AY3901" s="7"/>
      <c r="BH3901" s="7"/>
      <c r="BQ3901" s="7"/>
      <c r="BZ3901" s="7"/>
    </row>
    <row r="3902" spans="2:78">
      <c r="B3902" s="7"/>
      <c r="O3902" s="7"/>
      <c r="X3902" s="7"/>
      <c r="AG3902" s="7"/>
      <c r="AP3902" s="7"/>
      <c r="AY3902" s="7"/>
      <c r="BH3902" s="7"/>
      <c r="BQ3902" s="7"/>
      <c r="BZ3902" s="7"/>
    </row>
    <row r="3903" spans="2:78">
      <c r="B3903" s="7"/>
      <c r="O3903" s="7"/>
      <c r="X3903" s="7"/>
      <c r="AG3903" s="7"/>
      <c r="AP3903" s="7"/>
      <c r="AY3903" s="7"/>
      <c r="BH3903" s="7"/>
      <c r="BQ3903" s="7"/>
      <c r="BZ3903" s="7"/>
    </row>
    <row r="3904" spans="2:78">
      <c r="B3904" s="7"/>
      <c r="O3904" s="7"/>
      <c r="X3904" s="7"/>
      <c r="AG3904" s="7"/>
      <c r="AP3904" s="7"/>
      <c r="AY3904" s="7"/>
      <c r="BH3904" s="7"/>
      <c r="BQ3904" s="7"/>
      <c r="BZ3904" s="7"/>
    </row>
    <row r="3905" spans="2:78">
      <c r="B3905" s="7"/>
      <c r="O3905" s="7"/>
      <c r="X3905" s="7"/>
      <c r="AG3905" s="7"/>
      <c r="AP3905" s="7"/>
      <c r="AY3905" s="7"/>
      <c r="BH3905" s="7"/>
      <c r="BQ3905" s="7"/>
      <c r="BZ3905" s="7"/>
    </row>
    <row r="3906" spans="2:78">
      <c r="B3906" s="7"/>
      <c r="O3906" s="7"/>
      <c r="X3906" s="7"/>
      <c r="AG3906" s="7"/>
      <c r="AP3906" s="7"/>
      <c r="AY3906" s="7"/>
      <c r="BH3906" s="7"/>
      <c r="BQ3906" s="7"/>
      <c r="BZ3906" s="7"/>
    </row>
    <row r="3907" spans="2:78">
      <c r="B3907" s="7"/>
      <c r="O3907" s="7"/>
      <c r="X3907" s="7"/>
      <c r="AG3907" s="7"/>
      <c r="AP3907" s="7"/>
      <c r="AY3907" s="7"/>
      <c r="BH3907" s="7"/>
      <c r="BQ3907" s="7"/>
      <c r="BZ3907" s="7"/>
    </row>
    <row r="3908" spans="2:78">
      <c r="B3908" s="7"/>
      <c r="O3908" s="7"/>
      <c r="X3908" s="7"/>
      <c r="AG3908" s="7"/>
      <c r="AP3908" s="7"/>
      <c r="AY3908" s="7"/>
      <c r="BH3908" s="7"/>
      <c r="BQ3908" s="7"/>
      <c r="BZ3908" s="7"/>
    </row>
    <row r="3909" spans="2:78">
      <c r="B3909" s="7"/>
      <c r="O3909" s="7"/>
      <c r="X3909" s="7"/>
      <c r="AG3909" s="7"/>
      <c r="AP3909" s="7"/>
      <c r="AY3909" s="7"/>
      <c r="BH3909" s="7"/>
      <c r="BQ3909" s="7"/>
      <c r="BZ3909" s="7"/>
    </row>
    <row r="3910" spans="2:78">
      <c r="B3910" s="7"/>
      <c r="O3910" s="7"/>
      <c r="X3910" s="7"/>
      <c r="AG3910" s="7"/>
      <c r="AP3910" s="7"/>
      <c r="AY3910" s="7"/>
      <c r="BH3910" s="7"/>
      <c r="BQ3910" s="7"/>
      <c r="BZ3910" s="7"/>
    </row>
    <row r="3911" spans="2:78">
      <c r="B3911" s="7"/>
      <c r="O3911" s="7"/>
      <c r="X3911" s="7"/>
      <c r="AG3911" s="7"/>
      <c r="AP3911" s="7"/>
      <c r="AY3911" s="7"/>
      <c r="BH3911" s="7"/>
      <c r="BQ3911" s="7"/>
      <c r="BZ3911" s="7"/>
    </row>
    <row r="3912" spans="2:78">
      <c r="B3912" s="7"/>
      <c r="O3912" s="7"/>
      <c r="X3912" s="7"/>
      <c r="AG3912" s="7"/>
      <c r="AP3912" s="7"/>
      <c r="AY3912" s="7"/>
      <c r="BH3912" s="7"/>
      <c r="BQ3912" s="7"/>
      <c r="BZ3912" s="7"/>
    </row>
    <row r="3913" spans="2:78">
      <c r="B3913" s="7"/>
      <c r="O3913" s="7"/>
      <c r="X3913" s="7"/>
      <c r="AG3913" s="7"/>
      <c r="AP3913" s="7"/>
      <c r="AY3913" s="7"/>
      <c r="BH3913" s="7"/>
      <c r="BQ3913" s="7"/>
      <c r="BZ3913" s="7"/>
    </row>
    <row r="3914" spans="2:78">
      <c r="B3914" s="7"/>
      <c r="O3914" s="7"/>
      <c r="X3914" s="7"/>
      <c r="AG3914" s="7"/>
      <c r="AP3914" s="7"/>
      <c r="AY3914" s="7"/>
      <c r="BH3914" s="7"/>
      <c r="BQ3914" s="7"/>
      <c r="BZ3914" s="7"/>
    </row>
    <row r="3915" spans="2:78">
      <c r="B3915" s="7"/>
      <c r="O3915" s="7"/>
      <c r="X3915" s="7"/>
      <c r="AG3915" s="7"/>
      <c r="AP3915" s="7"/>
      <c r="AY3915" s="7"/>
      <c r="BH3915" s="7"/>
      <c r="BQ3915" s="7"/>
      <c r="BZ3915" s="7"/>
    </row>
    <row r="3916" spans="2:78">
      <c r="B3916" s="7"/>
      <c r="O3916" s="7"/>
      <c r="X3916" s="7"/>
      <c r="AG3916" s="7"/>
      <c r="AP3916" s="7"/>
      <c r="AY3916" s="7"/>
      <c r="BH3916" s="7"/>
      <c r="BQ3916" s="7"/>
      <c r="BZ3916" s="7"/>
    </row>
    <row r="3917" spans="2:78">
      <c r="B3917" s="7"/>
      <c r="O3917" s="7"/>
      <c r="X3917" s="7"/>
      <c r="AG3917" s="7"/>
      <c r="AP3917" s="7"/>
      <c r="AY3917" s="7"/>
      <c r="BH3917" s="7"/>
      <c r="BQ3917" s="7"/>
      <c r="BZ3917" s="7"/>
    </row>
    <row r="3918" spans="2:78">
      <c r="B3918" s="7"/>
      <c r="O3918" s="7"/>
      <c r="X3918" s="7"/>
      <c r="AG3918" s="7"/>
      <c r="AP3918" s="7"/>
      <c r="AY3918" s="7"/>
      <c r="BH3918" s="7"/>
      <c r="BQ3918" s="7"/>
      <c r="BZ3918" s="7"/>
    </row>
    <row r="3919" spans="2:78">
      <c r="B3919" s="7"/>
      <c r="O3919" s="7"/>
      <c r="X3919" s="7"/>
      <c r="AG3919" s="7"/>
      <c r="AP3919" s="7"/>
      <c r="AY3919" s="7"/>
      <c r="BH3919" s="7"/>
      <c r="BQ3919" s="7"/>
      <c r="BZ3919" s="7"/>
    </row>
    <row r="3920" spans="2:78">
      <c r="B3920" s="7"/>
      <c r="O3920" s="7"/>
      <c r="X3920" s="7"/>
      <c r="AG3920" s="7"/>
      <c r="AP3920" s="7"/>
      <c r="AY3920" s="7"/>
      <c r="BH3920" s="7"/>
      <c r="BQ3920" s="7"/>
      <c r="BZ3920" s="7"/>
    </row>
    <row r="3921" spans="2:78">
      <c r="B3921" s="7"/>
      <c r="O3921" s="7"/>
      <c r="X3921" s="7"/>
      <c r="AG3921" s="7"/>
      <c r="AP3921" s="7"/>
      <c r="AY3921" s="7"/>
      <c r="BH3921" s="7"/>
      <c r="BQ3921" s="7"/>
      <c r="BZ3921" s="7"/>
    </row>
    <row r="3922" spans="2:78">
      <c r="B3922" s="7"/>
      <c r="O3922" s="7"/>
      <c r="X3922" s="7"/>
      <c r="AG3922" s="7"/>
      <c r="AP3922" s="7"/>
      <c r="AY3922" s="7"/>
      <c r="BH3922" s="7"/>
      <c r="BQ3922" s="7"/>
      <c r="BZ3922" s="7"/>
    </row>
    <row r="3923" spans="2:78">
      <c r="B3923" s="7"/>
      <c r="O3923" s="7"/>
      <c r="X3923" s="7"/>
      <c r="AG3923" s="7"/>
      <c r="AP3923" s="7"/>
      <c r="AY3923" s="7"/>
      <c r="BH3923" s="7"/>
      <c r="BQ3923" s="7"/>
      <c r="BZ3923" s="7"/>
    </row>
    <row r="3924" spans="2:78">
      <c r="B3924" s="7"/>
      <c r="O3924" s="7"/>
      <c r="X3924" s="7"/>
      <c r="AG3924" s="7"/>
      <c r="AP3924" s="7"/>
      <c r="AY3924" s="7"/>
      <c r="BH3924" s="7"/>
      <c r="BQ3924" s="7"/>
      <c r="BZ3924" s="7"/>
    </row>
    <row r="3925" spans="2:78">
      <c r="B3925" s="7"/>
      <c r="O3925" s="7"/>
      <c r="X3925" s="7"/>
      <c r="AG3925" s="7"/>
      <c r="AP3925" s="7"/>
      <c r="AY3925" s="7"/>
      <c r="BH3925" s="7"/>
      <c r="BQ3925" s="7"/>
      <c r="BZ3925" s="7"/>
    </row>
    <row r="3926" spans="2:78">
      <c r="B3926" s="7"/>
      <c r="O3926" s="7"/>
      <c r="X3926" s="7"/>
      <c r="AG3926" s="7"/>
      <c r="AP3926" s="7"/>
      <c r="AY3926" s="7"/>
      <c r="BH3926" s="7"/>
      <c r="BQ3926" s="7"/>
      <c r="BZ3926" s="7"/>
    </row>
    <row r="3927" spans="2:78">
      <c r="B3927" s="7"/>
      <c r="O3927" s="7"/>
      <c r="X3927" s="7"/>
      <c r="AG3927" s="7"/>
      <c r="AP3927" s="7"/>
      <c r="AY3927" s="7"/>
      <c r="BH3927" s="7"/>
      <c r="BQ3927" s="7"/>
      <c r="BZ3927" s="7"/>
    </row>
    <row r="3928" spans="2:78">
      <c r="B3928" s="7"/>
      <c r="O3928" s="7"/>
      <c r="X3928" s="7"/>
      <c r="AG3928" s="7"/>
      <c r="AP3928" s="7"/>
      <c r="AY3928" s="7"/>
      <c r="BH3928" s="7"/>
      <c r="BQ3928" s="7"/>
      <c r="BZ3928" s="7"/>
    </row>
    <row r="3929" spans="2:78">
      <c r="B3929" s="7"/>
      <c r="O3929" s="7"/>
      <c r="X3929" s="7"/>
      <c r="AG3929" s="7"/>
      <c r="AP3929" s="7"/>
      <c r="AY3929" s="7"/>
      <c r="BH3929" s="7"/>
      <c r="BQ3929" s="7"/>
      <c r="BZ3929" s="7"/>
    </row>
    <row r="3930" spans="2:78">
      <c r="B3930" s="7"/>
      <c r="O3930" s="7"/>
      <c r="X3930" s="7"/>
      <c r="AG3930" s="7"/>
      <c r="AP3930" s="7"/>
      <c r="AY3930" s="7"/>
      <c r="BH3930" s="7"/>
      <c r="BQ3930" s="7"/>
      <c r="BZ3930" s="7"/>
    </row>
    <row r="3931" spans="2:78">
      <c r="B3931" s="7"/>
      <c r="O3931" s="7"/>
      <c r="X3931" s="7"/>
      <c r="AG3931" s="7"/>
      <c r="AP3931" s="7"/>
      <c r="AY3931" s="7"/>
      <c r="BH3931" s="7"/>
      <c r="BQ3931" s="7"/>
      <c r="BZ3931" s="7"/>
    </row>
    <row r="3932" spans="2:78">
      <c r="B3932" s="7"/>
      <c r="O3932" s="7"/>
      <c r="X3932" s="7"/>
      <c r="AG3932" s="7"/>
      <c r="AP3932" s="7"/>
      <c r="AY3932" s="7"/>
      <c r="BH3932" s="7"/>
      <c r="BQ3932" s="7"/>
      <c r="BZ3932" s="7"/>
    </row>
    <row r="3933" spans="2:78">
      <c r="B3933" s="7"/>
      <c r="O3933" s="7"/>
      <c r="X3933" s="7"/>
      <c r="AG3933" s="7"/>
      <c r="AP3933" s="7"/>
      <c r="AY3933" s="7"/>
      <c r="BH3933" s="7"/>
      <c r="BQ3933" s="7"/>
      <c r="BZ3933" s="7"/>
    </row>
    <row r="3934" spans="2:78">
      <c r="B3934" s="7"/>
      <c r="O3934" s="7"/>
      <c r="X3934" s="7"/>
      <c r="AG3934" s="7"/>
      <c r="AP3934" s="7"/>
      <c r="AY3934" s="7"/>
      <c r="BH3934" s="7"/>
      <c r="BQ3934" s="7"/>
      <c r="BZ3934" s="7"/>
    </row>
    <row r="3935" spans="2:78">
      <c r="B3935" s="7"/>
      <c r="O3935" s="7"/>
      <c r="X3935" s="7"/>
      <c r="AG3935" s="7"/>
      <c r="AP3935" s="7"/>
      <c r="AY3935" s="7"/>
      <c r="BH3935" s="7"/>
      <c r="BQ3935" s="7"/>
      <c r="BZ3935" s="7"/>
    </row>
    <row r="3936" spans="2:78">
      <c r="B3936" s="7"/>
      <c r="O3936" s="7"/>
      <c r="X3936" s="7"/>
      <c r="AG3936" s="7"/>
      <c r="AP3936" s="7"/>
      <c r="AY3936" s="7"/>
      <c r="BH3936" s="7"/>
      <c r="BQ3936" s="7"/>
      <c r="BZ3936" s="7"/>
    </row>
    <row r="3937" spans="2:78">
      <c r="B3937" s="7"/>
      <c r="O3937" s="7"/>
      <c r="X3937" s="7"/>
      <c r="AG3937" s="7"/>
      <c r="AP3937" s="7"/>
      <c r="AY3937" s="7"/>
      <c r="BH3937" s="7"/>
      <c r="BQ3937" s="7"/>
      <c r="BZ3937" s="7"/>
    </row>
    <row r="3938" spans="2:78">
      <c r="B3938" s="7"/>
      <c r="O3938" s="7"/>
      <c r="X3938" s="7"/>
      <c r="AG3938" s="7"/>
      <c r="AP3938" s="7"/>
      <c r="AY3938" s="7"/>
      <c r="BH3938" s="7"/>
      <c r="BQ3938" s="7"/>
      <c r="BZ3938" s="7"/>
    </row>
    <row r="3939" spans="2:78">
      <c r="B3939" s="7"/>
      <c r="O3939" s="7"/>
      <c r="X3939" s="7"/>
      <c r="AG3939" s="7"/>
      <c r="AP3939" s="7"/>
      <c r="AY3939" s="7"/>
      <c r="BH3939" s="7"/>
      <c r="BQ3939" s="7"/>
      <c r="BZ3939" s="7"/>
    </row>
    <row r="3940" spans="2:78">
      <c r="B3940" s="7"/>
      <c r="O3940" s="7"/>
      <c r="X3940" s="7"/>
      <c r="AG3940" s="7"/>
      <c r="AP3940" s="7"/>
      <c r="AY3940" s="7"/>
      <c r="BH3940" s="7"/>
      <c r="BQ3940" s="7"/>
      <c r="BZ3940" s="7"/>
    </row>
    <row r="3941" spans="2:78">
      <c r="B3941" s="7"/>
      <c r="O3941" s="7"/>
      <c r="X3941" s="7"/>
      <c r="AG3941" s="7"/>
      <c r="AP3941" s="7"/>
      <c r="AY3941" s="7"/>
      <c r="BH3941" s="7"/>
      <c r="BQ3941" s="7"/>
      <c r="BZ3941" s="7"/>
    </row>
    <row r="3942" spans="2:78">
      <c r="B3942" s="7"/>
      <c r="O3942" s="7"/>
      <c r="X3942" s="7"/>
      <c r="AG3942" s="7"/>
      <c r="AP3942" s="7"/>
      <c r="AY3942" s="7"/>
      <c r="BH3942" s="7"/>
      <c r="BQ3942" s="7"/>
      <c r="BZ3942" s="7"/>
    </row>
    <row r="3943" spans="2:78">
      <c r="B3943" s="7"/>
      <c r="O3943" s="7"/>
      <c r="X3943" s="7"/>
      <c r="AG3943" s="7"/>
      <c r="AP3943" s="7"/>
      <c r="AY3943" s="7"/>
      <c r="BH3943" s="7"/>
      <c r="BQ3943" s="7"/>
      <c r="BZ3943" s="7"/>
    </row>
    <row r="3944" spans="2:78">
      <c r="B3944" s="7"/>
      <c r="O3944" s="7"/>
      <c r="X3944" s="7"/>
      <c r="AG3944" s="7"/>
      <c r="AP3944" s="7"/>
      <c r="AY3944" s="7"/>
      <c r="BH3944" s="7"/>
      <c r="BQ3944" s="7"/>
      <c r="BZ3944" s="7"/>
    </row>
    <row r="3945" spans="2:78">
      <c r="B3945" s="7"/>
      <c r="O3945" s="7"/>
      <c r="X3945" s="7"/>
      <c r="AG3945" s="7"/>
      <c r="AP3945" s="7"/>
      <c r="AY3945" s="7"/>
      <c r="BH3945" s="7"/>
      <c r="BQ3945" s="7"/>
      <c r="BZ3945" s="7"/>
    </row>
    <row r="3946" spans="2:78">
      <c r="B3946" s="7"/>
      <c r="O3946" s="7"/>
      <c r="X3946" s="7"/>
      <c r="AG3946" s="7"/>
      <c r="AP3946" s="7"/>
      <c r="AY3946" s="7"/>
      <c r="BH3946" s="7"/>
      <c r="BQ3946" s="7"/>
      <c r="BZ3946" s="7"/>
    </row>
    <row r="3947" spans="2:78">
      <c r="B3947" s="7"/>
      <c r="O3947" s="7"/>
      <c r="X3947" s="7"/>
      <c r="AG3947" s="7"/>
      <c r="AP3947" s="7"/>
      <c r="AY3947" s="7"/>
      <c r="BH3947" s="7"/>
      <c r="BQ3947" s="7"/>
      <c r="BZ3947" s="7"/>
    </row>
    <row r="3948" spans="2:78">
      <c r="B3948" s="7"/>
      <c r="O3948" s="7"/>
      <c r="X3948" s="7"/>
      <c r="AG3948" s="7"/>
      <c r="AP3948" s="7"/>
      <c r="AY3948" s="7"/>
      <c r="BH3948" s="7"/>
      <c r="BQ3948" s="7"/>
      <c r="BZ3948" s="7"/>
    </row>
    <row r="3949" spans="2:78">
      <c r="B3949" s="7"/>
      <c r="O3949" s="7"/>
      <c r="X3949" s="7"/>
      <c r="AG3949" s="7"/>
      <c r="AP3949" s="7"/>
      <c r="AY3949" s="7"/>
      <c r="BH3949" s="7"/>
      <c r="BQ3949" s="7"/>
      <c r="BZ3949" s="7"/>
    </row>
    <row r="3950" spans="2:78">
      <c r="B3950" s="7"/>
      <c r="O3950" s="7"/>
      <c r="X3950" s="7"/>
      <c r="AG3950" s="7"/>
      <c r="AP3950" s="7"/>
      <c r="AY3950" s="7"/>
      <c r="BH3950" s="7"/>
      <c r="BQ3950" s="7"/>
      <c r="BZ3950" s="7"/>
    </row>
    <row r="3951" spans="2:78">
      <c r="B3951" s="7"/>
      <c r="O3951" s="7"/>
      <c r="X3951" s="7"/>
      <c r="AG3951" s="7"/>
      <c r="AP3951" s="7"/>
      <c r="AY3951" s="7"/>
      <c r="BH3951" s="7"/>
      <c r="BQ3951" s="7"/>
      <c r="BZ3951" s="7"/>
    </row>
    <row r="3952" spans="2:78">
      <c r="B3952" s="7"/>
      <c r="O3952" s="7"/>
      <c r="X3952" s="7"/>
      <c r="AG3952" s="7"/>
      <c r="AP3952" s="7"/>
      <c r="AY3952" s="7"/>
      <c r="BH3952" s="7"/>
      <c r="BQ3952" s="7"/>
      <c r="BZ3952" s="7"/>
    </row>
    <row r="3953" spans="2:78">
      <c r="B3953" s="7"/>
      <c r="O3953" s="7"/>
      <c r="X3953" s="7"/>
      <c r="AG3953" s="7"/>
      <c r="AP3953" s="7"/>
      <c r="AY3953" s="7"/>
      <c r="BH3953" s="7"/>
      <c r="BQ3953" s="7"/>
      <c r="BZ3953" s="7"/>
    </row>
    <row r="3954" spans="2:78">
      <c r="B3954" s="7"/>
      <c r="O3954" s="7"/>
      <c r="X3954" s="7"/>
      <c r="AG3954" s="7"/>
      <c r="AP3954" s="7"/>
      <c r="AY3954" s="7"/>
      <c r="BH3954" s="7"/>
      <c r="BQ3954" s="7"/>
      <c r="BZ3954" s="7"/>
    </row>
    <row r="3955" spans="2:78">
      <c r="B3955" s="7"/>
      <c r="O3955" s="7"/>
      <c r="X3955" s="7"/>
      <c r="AG3955" s="7"/>
      <c r="AP3955" s="7"/>
      <c r="AY3955" s="7"/>
      <c r="BH3955" s="7"/>
      <c r="BQ3955" s="7"/>
      <c r="BZ3955" s="7"/>
    </row>
    <row r="3956" spans="2:78">
      <c r="B3956" s="7"/>
      <c r="O3956" s="7"/>
      <c r="X3956" s="7"/>
      <c r="AG3956" s="7"/>
      <c r="AP3956" s="7"/>
      <c r="AY3956" s="7"/>
      <c r="BH3956" s="7"/>
      <c r="BQ3956" s="7"/>
      <c r="BZ3956" s="7"/>
    </row>
    <row r="3957" spans="2:78">
      <c r="B3957" s="7"/>
      <c r="O3957" s="7"/>
      <c r="X3957" s="7"/>
      <c r="AG3957" s="7"/>
      <c r="AP3957" s="7"/>
      <c r="AY3957" s="7"/>
      <c r="BH3957" s="7"/>
      <c r="BQ3957" s="7"/>
      <c r="BZ3957" s="7"/>
    </row>
    <row r="3958" spans="2:78">
      <c r="B3958" s="7"/>
      <c r="O3958" s="7"/>
      <c r="X3958" s="7"/>
      <c r="AG3958" s="7"/>
      <c r="AP3958" s="7"/>
      <c r="AY3958" s="7"/>
      <c r="BH3958" s="7"/>
      <c r="BQ3958" s="7"/>
      <c r="BZ3958" s="7"/>
    </row>
    <row r="3959" spans="2:78">
      <c r="B3959" s="7"/>
      <c r="O3959" s="7"/>
      <c r="X3959" s="7"/>
      <c r="AG3959" s="7"/>
      <c r="AP3959" s="7"/>
      <c r="AY3959" s="7"/>
      <c r="BH3959" s="7"/>
      <c r="BQ3959" s="7"/>
      <c r="BZ3959" s="7"/>
    </row>
    <row r="3960" spans="2:78">
      <c r="B3960" s="7"/>
      <c r="O3960" s="7"/>
      <c r="X3960" s="7"/>
      <c r="AG3960" s="7"/>
      <c r="AP3960" s="7"/>
      <c r="AY3960" s="7"/>
      <c r="BH3960" s="7"/>
      <c r="BQ3960" s="7"/>
      <c r="BZ3960" s="7"/>
    </row>
    <row r="3961" spans="2:78">
      <c r="B3961" s="7"/>
      <c r="O3961" s="7"/>
      <c r="X3961" s="7"/>
      <c r="AG3961" s="7"/>
      <c r="AP3961" s="7"/>
      <c r="AY3961" s="7"/>
      <c r="BH3961" s="7"/>
      <c r="BQ3961" s="7"/>
      <c r="BZ3961" s="7"/>
    </row>
    <row r="3962" spans="2:78">
      <c r="B3962" s="7"/>
      <c r="O3962" s="7"/>
      <c r="X3962" s="7"/>
      <c r="AG3962" s="7"/>
      <c r="AP3962" s="7"/>
      <c r="AY3962" s="7"/>
      <c r="BH3962" s="7"/>
      <c r="BQ3962" s="7"/>
      <c r="BZ3962" s="7"/>
    </row>
    <row r="3963" spans="2:78">
      <c r="B3963" s="7"/>
      <c r="O3963" s="7"/>
      <c r="X3963" s="7"/>
      <c r="AG3963" s="7"/>
      <c r="AP3963" s="7"/>
      <c r="AY3963" s="7"/>
      <c r="BH3963" s="7"/>
      <c r="BQ3963" s="7"/>
      <c r="BZ3963" s="7"/>
    </row>
    <row r="3964" spans="2:78">
      <c r="B3964" s="7"/>
      <c r="O3964" s="7"/>
      <c r="X3964" s="7"/>
      <c r="AG3964" s="7"/>
      <c r="AP3964" s="7"/>
      <c r="AY3964" s="7"/>
      <c r="BH3964" s="7"/>
      <c r="BQ3964" s="7"/>
      <c r="BZ3964" s="7"/>
    </row>
    <row r="3965" spans="2:78">
      <c r="B3965" s="7"/>
      <c r="O3965" s="7"/>
      <c r="X3965" s="7"/>
      <c r="AG3965" s="7"/>
      <c r="AP3965" s="7"/>
      <c r="AY3965" s="7"/>
      <c r="BH3965" s="7"/>
      <c r="BQ3965" s="7"/>
      <c r="BZ3965" s="7"/>
    </row>
    <row r="3966" spans="2:78">
      <c r="B3966" s="7"/>
      <c r="O3966" s="7"/>
      <c r="X3966" s="7"/>
      <c r="AG3966" s="7"/>
      <c r="AP3966" s="7"/>
      <c r="AY3966" s="7"/>
      <c r="BH3966" s="7"/>
      <c r="BQ3966" s="7"/>
      <c r="BZ3966" s="7"/>
    </row>
    <row r="3967" spans="2:78">
      <c r="B3967" s="7"/>
      <c r="O3967" s="7"/>
      <c r="X3967" s="7"/>
      <c r="AG3967" s="7"/>
      <c r="AP3967" s="7"/>
      <c r="AY3967" s="7"/>
      <c r="BH3967" s="7"/>
      <c r="BQ3967" s="7"/>
      <c r="BZ3967" s="7"/>
    </row>
    <row r="3968" spans="2:78">
      <c r="B3968" s="7"/>
      <c r="O3968" s="7"/>
      <c r="X3968" s="7"/>
      <c r="AG3968" s="7"/>
      <c r="AP3968" s="7"/>
      <c r="AY3968" s="7"/>
      <c r="BH3968" s="7"/>
      <c r="BQ3968" s="7"/>
      <c r="BZ3968" s="7"/>
    </row>
    <row r="3969" spans="2:78">
      <c r="B3969" s="7"/>
      <c r="O3969" s="7"/>
      <c r="X3969" s="7"/>
      <c r="AG3969" s="7"/>
      <c r="AP3969" s="7"/>
      <c r="AY3969" s="7"/>
      <c r="BH3969" s="7"/>
      <c r="BQ3969" s="7"/>
      <c r="BZ3969" s="7"/>
    </row>
    <row r="3970" spans="2:78">
      <c r="B3970" s="7"/>
      <c r="O3970" s="7"/>
      <c r="X3970" s="7"/>
      <c r="AG3970" s="7"/>
      <c r="AP3970" s="7"/>
      <c r="AY3970" s="7"/>
      <c r="BH3970" s="7"/>
      <c r="BQ3970" s="7"/>
      <c r="BZ3970" s="7"/>
    </row>
    <row r="3971" spans="2:78">
      <c r="B3971" s="7"/>
      <c r="O3971" s="7"/>
      <c r="X3971" s="7"/>
      <c r="AG3971" s="7"/>
      <c r="AP3971" s="7"/>
      <c r="AY3971" s="7"/>
      <c r="BH3971" s="7"/>
      <c r="BQ3971" s="7"/>
      <c r="BZ3971" s="7"/>
    </row>
    <row r="3972" spans="2:78">
      <c r="B3972" s="7"/>
      <c r="O3972" s="7"/>
      <c r="X3972" s="7"/>
      <c r="AG3972" s="7"/>
      <c r="AP3972" s="7"/>
      <c r="AY3972" s="7"/>
      <c r="BH3972" s="7"/>
      <c r="BQ3972" s="7"/>
      <c r="BZ3972" s="7"/>
    </row>
    <row r="3973" spans="2:78">
      <c r="B3973" s="7"/>
      <c r="O3973" s="7"/>
      <c r="X3973" s="7"/>
      <c r="AG3973" s="7"/>
      <c r="AP3973" s="7"/>
      <c r="AY3973" s="7"/>
      <c r="BH3973" s="7"/>
      <c r="BQ3973" s="7"/>
      <c r="BZ3973" s="7"/>
    </row>
    <row r="3974" spans="2:78">
      <c r="B3974" s="7"/>
      <c r="O3974" s="7"/>
      <c r="X3974" s="7"/>
      <c r="AG3974" s="7"/>
      <c r="AP3974" s="7"/>
      <c r="AY3974" s="7"/>
      <c r="BH3974" s="7"/>
      <c r="BQ3974" s="7"/>
      <c r="BZ3974" s="7"/>
    </row>
    <row r="3975" spans="2:78">
      <c r="B3975" s="7"/>
      <c r="O3975" s="7"/>
      <c r="X3975" s="7"/>
      <c r="AG3975" s="7"/>
      <c r="AP3975" s="7"/>
      <c r="AY3975" s="7"/>
      <c r="BH3975" s="7"/>
      <c r="BQ3975" s="7"/>
      <c r="BZ3975" s="7"/>
    </row>
    <row r="3976" spans="2:78">
      <c r="B3976" s="7"/>
      <c r="O3976" s="7"/>
      <c r="X3976" s="7"/>
      <c r="AG3976" s="7"/>
      <c r="AP3976" s="7"/>
      <c r="AY3976" s="7"/>
      <c r="BH3976" s="7"/>
      <c r="BQ3976" s="7"/>
      <c r="BZ3976" s="7"/>
    </row>
    <row r="3977" spans="2:78">
      <c r="B3977" s="7"/>
      <c r="O3977" s="7"/>
      <c r="X3977" s="7"/>
      <c r="AG3977" s="7"/>
      <c r="AP3977" s="7"/>
      <c r="AY3977" s="7"/>
      <c r="BH3977" s="7"/>
      <c r="BQ3977" s="7"/>
      <c r="BZ3977" s="7"/>
    </row>
    <row r="3978" spans="2:78">
      <c r="B3978" s="7"/>
      <c r="O3978" s="7"/>
      <c r="X3978" s="7"/>
      <c r="AG3978" s="7"/>
      <c r="AP3978" s="7"/>
      <c r="AY3978" s="7"/>
      <c r="BH3978" s="7"/>
      <c r="BQ3978" s="7"/>
      <c r="BZ3978" s="7"/>
    </row>
    <row r="3979" spans="2:78">
      <c r="B3979" s="7"/>
      <c r="O3979" s="7"/>
      <c r="X3979" s="7"/>
      <c r="AG3979" s="7"/>
      <c r="AP3979" s="7"/>
      <c r="AY3979" s="7"/>
      <c r="BH3979" s="7"/>
      <c r="BQ3979" s="7"/>
      <c r="BZ3979" s="7"/>
    </row>
    <row r="3980" spans="2:78">
      <c r="B3980" s="7"/>
      <c r="O3980" s="7"/>
      <c r="X3980" s="7"/>
      <c r="AG3980" s="7"/>
      <c r="AP3980" s="7"/>
      <c r="AY3980" s="7"/>
      <c r="BH3980" s="7"/>
      <c r="BQ3980" s="7"/>
      <c r="BZ3980" s="7"/>
    </row>
    <row r="3981" spans="2:78">
      <c r="B3981" s="7"/>
      <c r="O3981" s="7"/>
      <c r="X3981" s="7"/>
      <c r="AG3981" s="7"/>
      <c r="AP3981" s="7"/>
      <c r="AY3981" s="7"/>
      <c r="BH3981" s="7"/>
      <c r="BQ3981" s="7"/>
      <c r="BZ3981" s="7"/>
    </row>
    <row r="3982" spans="2:78">
      <c r="B3982" s="7"/>
      <c r="O3982" s="7"/>
      <c r="X3982" s="7"/>
      <c r="AG3982" s="7"/>
      <c r="AP3982" s="7"/>
      <c r="AY3982" s="7"/>
      <c r="BH3982" s="7"/>
      <c r="BQ3982" s="7"/>
      <c r="BZ3982" s="7"/>
    </row>
    <row r="3983" spans="2:78">
      <c r="B3983" s="7"/>
      <c r="O3983" s="7"/>
      <c r="X3983" s="7"/>
      <c r="AG3983" s="7"/>
      <c r="AP3983" s="7"/>
      <c r="AY3983" s="7"/>
      <c r="BH3983" s="7"/>
      <c r="BQ3983" s="7"/>
      <c r="BZ3983" s="7"/>
    </row>
    <row r="3984" spans="2:78">
      <c r="B3984" s="7"/>
      <c r="O3984" s="7"/>
      <c r="X3984" s="7"/>
      <c r="AG3984" s="7"/>
      <c r="AP3984" s="7"/>
      <c r="AY3984" s="7"/>
      <c r="BH3984" s="7"/>
      <c r="BQ3984" s="7"/>
      <c r="BZ3984" s="7"/>
    </row>
    <row r="3985" spans="2:78">
      <c r="B3985" s="7"/>
      <c r="O3985" s="7"/>
      <c r="X3985" s="7"/>
      <c r="AG3985" s="7"/>
      <c r="AP3985" s="7"/>
      <c r="AY3985" s="7"/>
      <c r="BH3985" s="7"/>
      <c r="BQ3985" s="7"/>
      <c r="BZ3985" s="7"/>
    </row>
    <row r="3986" spans="2:78">
      <c r="B3986" s="7"/>
      <c r="O3986" s="7"/>
      <c r="X3986" s="7"/>
      <c r="AG3986" s="7"/>
      <c r="AP3986" s="7"/>
      <c r="AY3986" s="7"/>
      <c r="BH3986" s="7"/>
      <c r="BQ3986" s="7"/>
      <c r="BZ3986" s="7"/>
    </row>
    <row r="3987" spans="2:78">
      <c r="B3987" s="7"/>
      <c r="O3987" s="7"/>
      <c r="X3987" s="7"/>
      <c r="AG3987" s="7"/>
      <c r="AP3987" s="7"/>
      <c r="AY3987" s="7"/>
      <c r="BH3987" s="7"/>
      <c r="BQ3987" s="7"/>
      <c r="BZ3987" s="7"/>
    </row>
    <row r="3988" spans="2:78">
      <c r="B3988" s="7"/>
      <c r="O3988" s="7"/>
      <c r="X3988" s="7"/>
      <c r="AG3988" s="7"/>
      <c r="AP3988" s="7"/>
      <c r="AY3988" s="7"/>
      <c r="BH3988" s="7"/>
      <c r="BQ3988" s="7"/>
      <c r="BZ3988" s="7"/>
    </row>
    <row r="3989" spans="2:78">
      <c r="B3989" s="7"/>
      <c r="O3989" s="7"/>
      <c r="X3989" s="7"/>
      <c r="AG3989" s="7"/>
      <c r="AP3989" s="7"/>
      <c r="AY3989" s="7"/>
      <c r="BH3989" s="7"/>
      <c r="BQ3989" s="7"/>
      <c r="BZ3989" s="7"/>
    </row>
    <row r="3990" spans="2:78">
      <c r="B3990" s="7"/>
      <c r="O3990" s="7"/>
      <c r="X3990" s="7"/>
      <c r="AG3990" s="7"/>
      <c r="AP3990" s="7"/>
      <c r="AY3990" s="7"/>
      <c r="BH3990" s="7"/>
      <c r="BQ3990" s="7"/>
      <c r="BZ3990" s="7"/>
    </row>
    <row r="3991" spans="2:78">
      <c r="B3991" s="7"/>
      <c r="O3991" s="7"/>
      <c r="X3991" s="7"/>
      <c r="AG3991" s="7"/>
      <c r="AP3991" s="7"/>
      <c r="AY3991" s="7"/>
      <c r="BH3991" s="7"/>
      <c r="BQ3991" s="7"/>
      <c r="BZ3991" s="7"/>
    </row>
    <row r="3992" spans="2:78">
      <c r="B3992" s="7"/>
      <c r="O3992" s="7"/>
      <c r="X3992" s="7"/>
      <c r="AG3992" s="7"/>
      <c r="AP3992" s="7"/>
      <c r="AY3992" s="7"/>
      <c r="BH3992" s="7"/>
      <c r="BQ3992" s="7"/>
      <c r="BZ3992" s="7"/>
    </row>
    <row r="3993" spans="2:78">
      <c r="B3993" s="7"/>
      <c r="O3993" s="7"/>
      <c r="X3993" s="7"/>
      <c r="AG3993" s="7"/>
      <c r="AP3993" s="7"/>
      <c r="AY3993" s="7"/>
      <c r="BH3993" s="7"/>
      <c r="BQ3993" s="7"/>
      <c r="BZ3993" s="7"/>
    </row>
    <row r="3994" spans="2:78">
      <c r="B3994" s="7"/>
      <c r="O3994" s="7"/>
      <c r="X3994" s="7"/>
      <c r="AG3994" s="7"/>
      <c r="AP3994" s="7"/>
      <c r="AY3994" s="7"/>
      <c r="BH3994" s="7"/>
      <c r="BQ3994" s="7"/>
      <c r="BZ3994" s="7"/>
    </row>
    <row r="3995" spans="2:78">
      <c r="B3995" s="7"/>
      <c r="O3995" s="7"/>
      <c r="X3995" s="7"/>
      <c r="AG3995" s="7"/>
      <c r="AP3995" s="7"/>
      <c r="AY3995" s="7"/>
      <c r="BH3995" s="7"/>
      <c r="BQ3995" s="7"/>
      <c r="BZ3995" s="7"/>
    </row>
    <row r="3996" spans="2:78">
      <c r="B3996" s="7"/>
      <c r="O3996" s="7"/>
      <c r="X3996" s="7"/>
      <c r="AG3996" s="7"/>
      <c r="AP3996" s="7"/>
      <c r="AY3996" s="7"/>
      <c r="BH3996" s="7"/>
      <c r="BQ3996" s="7"/>
      <c r="BZ3996" s="7"/>
    </row>
    <row r="3997" spans="2:78">
      <c r="B3997" s="7"/>
      <c r="O3997" s="7"/>
      <c r="X3997" s="7"/>
      <c r="AG3997" s="7"/>
      <c r="AP3997" s="7"/>
      <c r="AY3997" s="7"/>
      <c r="BH3997" s="7"/>
      <c r="BQ3997" s="7"/>
      <c r="BZ3997" s="7"/>
    </row>
    <row r="3998" spans="2:78">
      <c r="B3998" s="7"/>
      <c r="O3998" s="7"/>
      <c r="X3998" s="7"/>
      <c r="AG3998" s="7"/>
      <c r="AP3998" s="7"/>
      <c r="AY3998" s="7"/>
      <c r="BH3998" s="7"/>
      <c r="BQ3998" s="7"/>
      <c r="BZ3998" s="7"/>
    </row>
    <row r="3999" spans="2:78">
      <c r="B3999" s="7"/>
      <c r="O3999" s="7"/>
      <c r="X3999" s="7"/>
      <c r="AG3999" s="7"/>
      <c r="AP3999" s="7"/>
      <c r="AY3999" s="7"/>
      <c r="BH3999" s="7"/>
      <c r="BQ3999" s="7"/>
      <c r="BZ3999" s="7"/>
    </row>
    <row r="4000" spans="2:78">
      <c r="B4000" s="7"/>
      <c r="O4000" s="7"/>
      <c r="X4000" s="7"/>
      <c r="AG4000" s="7"/>
      <c r="AP4000" s="7"/>
      <c r="AY4000" s="7"/>
      <c r="BH4000" s="7"/>
      <c r="BQ4000" s="7"/>
      <c r="BZ4000" s="7"/>
    </row>
    <row r="4001" spans="2:78">
      <c r="B4001" s="7"/>
      <c r="O4001" s="7"/>
      <c r="X4001" s="7"/>
      <c r="AG4001" s="7"/>
      <c r="AP4001" s="7"/>
      <c r="AY4001" s="7"/>
      <c r="BH4001" s="7"/>
      <c r="BQ4001" s="7"/>
      <c r="BZ4001" s="7"/>
    </row>
    <row r="4002" spans="2:78">
      <c r="B4002" s="7"/>
      <c r="O4002" s="7"/>
      <c r="X4002" s="7"/>
      <c r="AG4002" s="7"/>
      <c r="AP4002" s="7"/>
      <c r="AY4002" s="7"/>
      <c r="BH4002" s="7"/>
      <c r="BQ4002" s="7"/>
      <c r="BZ4002" s="7"/>
    </row>
    <row r="4003" spans="2:78">
      <c r="B4003" s="7"/>
      <c r="O4003" s="7"/>
      <c r="X4003" s="7"/>
      <c r="AG4003" s="7"/>
      <c r="AP4003" s="7"/>
      <c r="AY4003" s="7"/>
      <c r="BH4003" s="7"/>
      <c r="BQ4003" s="7"/>
      <c r="BZ4003" s="7"/>
    </row>
    <row r="4004" spans="2:78">
      <c r="B4004" s="7"/>
      <c r="O4004" s="7"/>
      <c r="X4004" s="7"/>
      <c r="AG4004" s="7"/>
      <c r="AP4004" s="7"/>
      <c r="AY4004" s="7"/>
      <c r="BH4004" s="7"/>
      <c r="BQ4004" s="7"/>
      <c r="BZ4004" s="7"/>
    </row>
    <row r="4005" spans="2:78">
      <c r="B4005" s="7"/>
      <c r="O4005" s="7"/>
      <c r="X4005" s="7"/>
      <c r="AG4005" s="7"/>
      <c r="AP4005" s="7"/>
      <c r="AY4005" s="7"/>
      <c r="BH4005" s="7"/>
      <c r="BQ4005" s="7"/>
      <c r="BZ4005" s="7"/>
    </row>
    <row r="4006" spans="2:78">
      <c r="B4006" s="7"/>
      <c r="O4006" s="7"/>
      <c r="X4006" s="7"/>
      <c r="AG4006" s="7"/>
      <c r="AP4006" s="7"/>
      <c r="AY4006" s="7"/>
      <c r="BH4006" s="7"/>
      <c r="BQ4006" s="7"/>
      <c r="BZ4006" s="7"/>
    </row>
    <row r="4007" spans="2:78">
      <c r="B4007" s="7"/>
      <c r="O4007" s="7"/>
      <c r="X4007" s="7"/>
      <c r="AG4007" s="7"/>
      <c r="AP4007" s="7"/>
      <c r="AY4007" s="7"/>
      <c r="BH4007" s="7"/>
      <c r="BQ4007" s="7"/>
      <c r="BZ4007" s="7"/>
    </row>
    <row r="4008" spans="2:78">
      <c r="B4008" s="7"/>
      <c r="O4008" s="7"/>
      <c r="X4008" s="7"/>
      <c r="AG4008" s="7"/>
      <c r="AP4008" s="7"/>
      <c r="AY4008" s="7"/>
      <c r="BH4008" s="7"/>
      <c r="BQ4008" s="7"/>
      <c r="BZ4008" s="7"/>
    </row>
    <row r="4009" spans="2:78">
      <c r="B4009" s="7"/>
      <c r="O4009" s="7"/>
      <c r="X4009" s="7"/>
      <c r="AG4009" s="7"/>
      <c r="AP4009" s="7"/>
      <c r="AY4009" s="7"/>
      <c r="BH4009" s="7"/>
      <c r="BQ4009" s="7"/>
      <c r="BZ4009" s="7"/>
    </row>
    <row r="4010" spans="2:78">
      <c r="B4010" s="7"/>
      <c r="O4010" s="7"/>
      <c r="X4010" s="7"/>
      <c r="AG4010" s="7"/>
      <c r="AP4010" s="7"/>
      <c r="AY4010" s="7"/>
      <c r="BH4010" s="7"/>
      <c r="BQ4010" s="7"/>
      <c r="BZ4010" s="7"/>
    </row>
    <row r="4011" spans="2:78">
      <c r="B4011" s="7"/>
      <c r="O4011" s="7"/>
      <c r="X4011" s="7"/>
      <c r="AG4011" s="7"/>
      <c r="AP4011" s="7"/>
      <c r="AY4011" s="7"/>
      <c r="BH4011" s="7"/>
      <c r="BQ4011" s="7"/>
      <c r="BZ4011" s="7"/>
    </row>
    <row r="4012" spans="2:78">
      <c r="B4012" s="7"/>
      <c r="O4012" s="7"/>
      <c r="X4012" s="7"/>
      <c r="AG4012" s="7"/>
      <c r="AP4012" s="7"/>
      <c r="AY4012" s="7"/>
      <c r="BH4012" s="7"/>
      <c r="BQ4012" s="7"/>
      <c r="BZ4012" s="7"/>
    </row>
    <row r="4013" spans="2:78">
      <c r="B4013" s="7"/>
      <c r="O4013" s="7"/>
      <c r="X4013" s="7"/>
      <c r="AG4013" s="7"/>
      <c r="AP4013" s="7"/>
      <c r="AY4013" s="7"/>
      <c r="BH4013" s="7"/>
      <c r="BQ4013" s="7"/>
      <c r="BZ4013" s="7"/>
    </row>
    <row r="4014" spans="2:78">
      <c r="B4014" s="7"/>
      <c r="O4014" s="7"/>
      <c r="X4014" s="7"/>
      <c r="AG4014" s="7"/>
      <c r="AP4014" s="7"/>
      <c r="AY4014" s="7"/>
      <c r="BH4014" s="7"/>
      <c r="BQ4014" s="7"/>
      <c r="BZ4014" s="7"/>
    </row>
    <row r="4015" spans="2:78">
      <c r="B4015" s="7"/>
      <c r="O4015" s="7"/>
      <c r="X4015" s="7"/>
      <c r="AG4015" s="7"/>
      <c r="AP4015" s="7"/>
      <c r="AY4015" s="7"/>
      <c r="BH4015" s="7"/>
      <c r="BQ4015" s="7"/>
      <c r="BZ4015" s="7"/>
    </row>
    <row r="4016" spans="2:78">
      <c r="B4016" s="7"/>
      <c r="O4016" s="7"/>
      <c r="X4016" s="7"/>
      <c r="AG4016" s="7"/>
      <c r="AP4016" s="7"/>
      <c r="AY4016" s="7"/>
      <c r="BH4016" s="7"/>
      <c r="BQ4016" s="7"/>
      <c r="BZ4016" s="7"/>
    </row>
    <row r="4017" spans="2:78">
      <c r="B4017" s="7"/>
      <c r="O4017" s="7"/>
      <c r="X4017" s="7"/>
      <c r="AG4017" s="7"/>
      <c r="AP4017" s="7"/>
      <c r="AY4017" s="7"/>
      <c r="BH4017" s="7"/>
      <c r="BQ4017" s="7"/>
      <c r="BZ4017" s="7"/>
    </row>
    <row r="4018" spans="2:78">
      <c r="B4018" s="7"/>
      <c r="O4018" s="7"/>
      <c r="X4018" s="7"/>
      <c r="AG4018" s="7"/>
      <c r="AP4018" s="7"/>
      <c r="AY4018" s="7"/>
      <c r="BH4018" s="7"/>
      <c r="BQ4018" s="7"/>
      <c r="BZ4018" s="7"/>
    </row>
    <row r="4019" spans="2:78">
      <c r="B4019" s="7"/>
      <c r="O4019" s="7"/>
      <c r="X4019" s="7"/>
      <c r="AG4019" s="7"/>
      <c r="AP4019" s="7"/>
      <c r="AY4019" s="7"/>
      <c r="BH4019" s="7"/>
      <c r="BQ4019" s="7"/>
      <c r="BZ4019" s="7"/>
    </row>
    <row r="4020" spans="2:78">
      <c r="B4020" s="7"/>
      <c r="O4020" s="7"/>
      <c r="X4020" s="7"/>
      <c r="AG4020" s="7"/>
      <c r="AP4020" s="7"/>
      <c r="AY4020" s="7"/>
      <c r="BH4020" s="7"/>
      <c r="BQ4020" s="7"/>
      <c r="BZ4020" s="7"/>
    </row>
    <row r="4021" spans="2:78">
      <c r="B4021" s="7"/>
      <c r="O4021" s="7"/>
      <c r="X4021" s="7"/>
      <c r="AG4021" s="7"/>
      <c r="AP4021" s="7"/>
      <c r="AY4021" s="7"/>
      <c r="BH4021" s="7"/>
      <c r="BQ4021" s="7"/>
      <c r="BZ4021" s="7"/>
    </row>
    <row r="4022" spans="2:78">
      <c r="B4022" s="7"/>
      <c r="O4022" s="7"/>
      <c r="X4022" s="7"/>
      <c r="AG4022" s="7"/>
      <c r="AP4022" s="7"/>
      <c r="AY4022" s="7"/>
      <c r="BH4022" s="7"/>
      <c r="BQ4022" s="7"/>
      <c r="BZ4022" s="7"/>
    </row>
    <row r="4023" spans="2:78">
      <c r="B4023" s="7"/>
      <c r="O4023" s="7"/>
      <c r="X4023" s="7"/>
      <c r="AG4023" s="7"/>
      <c r="AP4023" s="7"/>
      <c r="AY4023" s="7"/>
      <c r="BH4023" s="7"/>
      <c r="BQ4023" s="7"/>
      <c r="BZ4023" s="7"/>
    </row>
    <row r="4024" spans="2:78">
      <c r="B4024" s="7"/>
      <c r="O4024" s="7"/>
      <c r="X4024" s="7"/>
      <c r="AG4024" s="7"/>
      <c r="AP4024" s="7"/>
      <c r="AY4024" s="7"/>
      <c r="BH4024" s="7"/>
      <c r="BQ4024" s="7"/>
      <c r="BZ4024" s="7"/>
    </row>
    <row r="4025" spans="2:78">
      <c r="B4025" s="7"/>
      <c r="O4025" s="7"/>
      <c r="X4025" s="7"/>
      <c r="AG4025" s="7"/>
      <c r="AP4025" s="7"/>
      <c r="AY4025" s="7"/>
      <c r="BH4025" s="7"/>
      <c r="BQ4025" s="7"/>
      <c r="BZ4025" s="7"/>
    </row>
    <row r="4026" spans="2:78">
      <c r="B4026" s="7"/>
      <c r="O4026" s="7"/>
      <c r="X4026" s="7"/>
      <c r="AG4026" s="7"/>
      <c r="AP4026" s="7"/>
      <c r="AY4026" s="7"/>
      <c r="BH4026" s="7"/>
      <c r="BQ4026" s="7"/>
      <c r="BZ4026" s="7"/>
    </row>
    <row r="4027" spans="2:78">
      <c r="B4027" s="7"/>
      <c r="O4027" s="7"/>
      <c r="X4027" s="7"/>
      <c r="AG4027" s="7"/>
      <c r="AP4027" s="7"/>
      <c r="AY4027" s="7"/>
      <c r="BH4027" s="7"/>
      <c r="BQ4027" s="7"/>
      <c r="BZ4027" s="7"/>
    </row>
    <row r="4028" spans="2:78">
      <c r="B4028" s="7"/>
      <c r="O4028" s="7"/>
      <c r="X4028" s="7"/>
      <c r="AG4028" s="7"/>
      <c r="AP4028" s="7"/>
      <c r="AY4028" s="7"/>
      <c r="BH4028" s="7"/>
      <c r="BQ4028" s="7"/>
      <c r="BZ4028" s="7"/>
    </row>
    <row r="4029" spans="2:78">
      <c r="B4029" s="7"/>
      <c r="O4029" s="7"/>
      <c r="X4029" s="7"/>
      <c r="AG4029" s="7"/>
      <c r="AP4029" s="7"/>
      <c r="AY4029" s="7"/>
      <c r="BH4029" s="7"/>
      <c r="BQ4029" s="7"/>
      <c r="BZ4029" s="7"/>
    </row>
    <row r="4030" spans="2:78">
      <c r="B4030" s="7"/>
      <c r="O4030" s="7"/>
      <c r="X4030" s="7"/>
      <c r="AG4030" s="7"/>
      <c r="AP4030" s="7"/>
      <c r="AY4030" s="7"/>
      <c r="BH4030" s="7"/>
      <c r="BQ4030" s="7"/>
      <c r="BZ4030" s="7"/>
    </row>
    <row r="4031" spans="2:78">
      <c r="B4031" s="7"/>
      <c r="O4031" s="7"/>
      <c r="X4031" s="7"/>
      <c r="AG4031" s="7"/>
      <c r="AP4031" s="7"/>
      <c r="AY4031" s="7"/>
      <c r="BH4031" s="7"/>
      <c r="BQ4031" s="7"/>
      <c r="BZ4031" s="7"/>
    </row>
    <row r="4032" spans="2:78">
      <c r="B4032" s="7"/>
      <c r="O4032" s="7"/>
      <c r="X4032" s="7"/>
      <c r="AG4032" s="7"/>
      <c r="AP4032" s="7"/>
      <c r="AY4032" s="7"/>
      <c r="BH4032" s="7"/>
      <c r="BQ4032" s="7"/>
      <c r="BZ4032" s="7"/>
    </row>
    <row r="4033" spans="2:78">
      <c r="B4033" s="7"/>
      <c r="O4033" s="7"/>
      <c r="X4033" s="7"/>
      <c r="AG4033" s="7"/>
      <c r="AP4033" s="7"/>
      <c r="AY4033" s="7"/>
      <c r="BH4033" s="7"/>
      <c r="BQ4033" s="7"/>
      <c r="BZ4033" s="7"/>
    </row>
    <row r="4034" spans="2:78">
      <c r="B4034" s="7"/>
      <c r="O4034" s="7"/>
      <c r="X4034" s="7"/>
      <c r="AG4034" s="7"/>
      <c r="AP4034" s="7"/>
      <c r="AY4034" s="7"/>
      <c r="BH4034" s="7"/>
      <c r="BQ4034" s="7"/>
      <c r="BZ4034" s="7"/>
    </row>
    <row r="4035" spans="2:78">
      <c r="B4035" s="7"/>
      <c r="O4035" s="7"/>
      <c r="X4035" s="7"/>
      <c r="AG4035" s="7"/>
      <c r="AP4035" s="7"/>
      <c r="AY4035" s="7"/>
      <c r="BH4035" s="7"/>
      <c r="BQ4035" s="7"/>
      <c r="BZ4035" s="7"/>
    </row>
    <row r="4036" spans="2:78">
      <c r="B4036" s="7"/>
      <c r="O4036" s="7"/>
      <c r="X4036" s="7"/>
      <c r="AG4036" s="7"/>
      <c r="AP4036" s="7"/>
      <c r="AY4036" s="7"/>
      <c r="BH4036" s="7"/>
      <c r="BQ4036" s="7"/>
      <c r="BZ4036" s="7"/>
    </row>
    <row r="4037" spans="2:78">
      <c r="B4037" s="7"/>
      <c r="O4037" s="7"/>
      <c r="X4037" s="7"/>
      <c r="AG4037" s="7"/>
      <c r="AP4037" s="7"/>
      <c r="AY4037" s="7"/>
      <c r="BH4037" s="7"/>
      <c r="BQ4037" s="7"/>
      <c r="BZ4037" s="7"/>
    </row>
    <row r="4038" spans="2:78">
      <c r="B4038" s="7"/>
      <c r="O4038" s="7"/>
      <c r="X4038" s="7"/>
      <c r="AG4038" s="7"/>
      <c r="AP4038" s="7"/>
      <c r="AY4038" s="7"/>
      <c r="BH4038" s="7"/>
      <c r="BQ4038" s="7"/>
      <c r="BZ4038" s="7"/>
    </row>
    <row r="4039" spans="2:78">
      <c r="B4039" s="7"/>
      <c r="O4039" s="7"/>
      <c r="X4039" s="7"/>
      <c r="AG4039" s="7"/>
      <c r="AP4039" s="7"/>
      <c r="AY4039" s="7"/>
      <c r="BH4039" s="7"/>
      <c r="BQ4039" s="7"/>
      <c r="BZ4039" s="7"/>
    </row>
    <row r="4040" spans="2:78">
      <c r="B4040" s="7"/>
      <c r="O4040" s="7"/>
      <c r="X4040" s="7"/>
      <c r="AG4040" s="7"/>
      <c r="AP4040" s="7"/>
      <c r="AY4040" s="7"/>
      <c r="BH4040" s="7"/>
      <c r="BQ4040" s="7"/>
      <c r="BZ4040" s="7"/>
    </row>
    <row r="4041" spans="2:78">
      <c r="B4041" s="7"/>
      <c r="O4041" s="7"/>
      <c r="X4041" s="7"/>
      <c r="AG4041" s="7"/>
      <c r="AP4041" s="7"/>
      <c r="AY4041" s="7"/>
      <c r="BH4041" s="7"/>
      <c r="BQ4041" s="7"/>
      <c r="BZ4041" s="7"/>
    </row>
    <row r="4042" spans="2:78">
      <c r="B4042" s="7"/>
      <c r="O4042" s="7"/>
      <c r="X4042" s="7"/>
      <c r="AG4042" s="7"/>
      <c r="AP4042" s="7"/>
      <c r="AY4042" s="7"/>
      <c r="BH4042" s="7"/>
      <c r="BQ4042" s="7"/>
      <c r="BZ4042" s="7"/>
    </row>
    <row r="4043" spans="2:78">
      <c r="B4043" s="7"/>
      <c r="O4043" s="7"/>
      <c r="X4043" s="7"/>
      <c r="AG4043" s="7"/>
      <c r="AP4043" s="7"/>
      <c r="AY4043" s="7"/>
      <c r="BH4043" s="7"/>
      <c r="BQ4043" s="7"/>
      <c r="BZ4043" s="7"/>
    </row>
    <row r="4044" spans="2:78">
      <c r="B4044" s="7"/>
      <c r="O4044" s="7"/>
      <c r="X4044" s="7"/>
      <c r="AG4044" s="7"/>
      <c r="AP4044" s="7"/>
      <c r="AY4044" s="7"/>
      <c r="BH4044" s="7"/>
      <c r="BQ4044" s="7"/>
      <c r="BZ4044" s="7"/>
    </row>
    <row r="4045" spans="2:78">
      <c r="B4045" s="7"/>
      <c r="O4045" s="7"/>
      <c r="X4045" s="7"/>
      <c r="AG4045" s="7"/>
      <c r="AP4045" s="7"/>
      <c r="AY4045" s="7"/>
      <c r="BH4045" s="7"/>
      <c r="BQ4045" s="7"/>
      <c r="BZ4045" s="7"/>
    </row>
    <row r="4046" spans="2:78">
      <c r="B4046" s="7"/>
      <c r="O4046" s="7"/>
      <c r="X4046" s="7"/>
      <c r="AG4046" s="7"/>
      <c r="AP4046" s="7"/>
      <c r="AY4046" s="7"/>
      <c r="BH4046" s="7"/>
      <c r="BQ4046" s="7"/>
      <c r="BZ4046" s="7"/>
    </row>
    <row r="4047" spans="2:78">
      <c r="B4047" s="7"/>
      <c r="O4047" s="7"/>
      <c r="X4047" s="7"/>
      <c r="AG4047" s="7"/>
      <c r="AP4047" s="7"/>
      <c r="AY4047" s="7"/>
      <c r="BH4047" s="7"/>
      <c r="BQ4047" s="7"/>
      <c r="BZ4047" s="7"/>
    </row>
    <row r="4048" spans="2:78">
      <c r="B4048" s="7"/>
      <c r="O4048" s="7"/>
      <c r="X4048" s="7"/>
      <c r="AG4048" s="7"/>
      <c r="AP4048" s="7"/>
      <c r="AY4048" s="7"/>
      <c r="BH4048" s="7"/>
      <c r="BQ4048" s="7"/>
      <c r="BZ4048" s="7"/>
    </row>
    <row r="4049" spans="2:78">
      <c r="B4049" s="7"/>
      <c r="O4049" s="7"/>
      <c r="X4049" s="7"/>
      <c r="AG4049" s="7"/>
      <c r="AP4049" s="7"/>
      <c r="AY4049" s="7"/>
      <c r="BH4049" s="7"/>
      <c r="BQ4049" s="7"/>
      <c r="BZ4049" s="7"/>
    </row>
    <row r="4050" spans="2:78">
      <c r="B4050" s="7"/>
      <c r="O4050" s="7"/>
      <c r="X4050" s="7"/>
      <c r="AG4050" s="7"/>
      <c r="AP4050" s="7"/>
      <c r="AY4050" s="7"/>
      <c r="BH4050" s="7"/>
      <c r="BQ4050" s="7"/>
      <c r="BZ4050" s="7"/>
    </row>
    <row r="4051" spans="2:78">
      <c r="B4051" s="7"/>
      <c r="O4051" s="7"/>
      <c r="X4051" s="7"/>
      <c r="AG4051" s="7"/>
      <c r="AP4051" s="7"/>
      <c r="AY4051" s="7"/>
      <c r="BH4051" s="7"/>
      <c r="BQ4051" s="7"/>
      <c r="BZ4051" s="7"/>
    </row>
    <row r="4052" spans="2:78">
      <c r="B4052" s="7"/>
      <c r="O4052" s="7"/>
      <c r="X4052" s="7"/>
      <c r="AG4052" s="7"/>
      <c r="AP4052" s="7"/>
      <c r="AY4052" s="7"/>
      <c r="BH4052" s="7"/>
      <c r="BQ4052" s="7"/>
      <c r="BZ4052" s="7"/>
    </row>
    <row r="4053" spans="2:78">
      <c r="B4053" s="7"/>
      <c r="O4053" s="7"/>
      <c r="X4053" s="7"/>
      <c r="AG4053" s="7"/>
      <c r="AP4053" s="7"/>
      <c r="AY4053" s="7"/>
      <c r="BH4053" s="7"/>
      <c r="BQ4053" s="7"/>
      <c r="BZ4053" s="7"/>
    </row>
    <row r="4054" spans="2:78">
      <c r="B4054" s="7"/>
      <c r="O4054" s="7"/>
      <c r="X4054" s="7"/>
      <c r="AG4054" s="7"/>
      <c r="AP4054" s="7"/>
      <c r="AY4054" s="7"/>
      <c r="BH4054" s="7"/>
      <c r="BQ4054" s="7"/>
      <c r="BZ4054" s="7"/>
    </row>
    <row r="4055" spans="2:78">
      <c r="B4055" s="7"/>
      <c r="O4055" s="7"/>
      <c r="X4055" s="7"/>
      <c r="AG4055" s="7"/>
      <c r="AP4055" s="7"/>
      <c r="AY4055" s="7"/>
      <c r="BH4055" s="7"/>
      <c r="BQ4055" s="7"/>
      <c r="BZ4055" s="7"/>
    </row>
    <row r="4056" spans="2:78">
      <c r="B4056" s="7"/>
      <c r="O4056" s="7"/>
      <c r="X4056" s="7"/>
      <c r="AG4056" s="7"/>
      <c r="AP4056" s="7"/>
      <c r="AY4056" s="7"/>
      <c r="BH4056" s="7"/>
      <c r="BQ4056" s="7"/>
      <c r="BZ4056" s="7"/>
    </row>
    <row r="4057" spans="2:78">
      <c r="B4057" s="7"/>
      <c r="O4057" s="7"/>
      <c r="X4057" s="7"/>
      <c r="AG4057" s="7"/>
      <c r="AP4057" s="7"/>
      <c r="AY4057" s="7"/>
      <c r="BH4057" s="7"/>
      <c r="BQ4057" s="7"/>
      <c r="BZ4057" s="7"/>
    </row>
    <row r="4058" spans="2:78">
      <c r="B4058" s="7"/>
      <c r="O4058" s="7"/>
      <c r="X4058" s="7"/>
      <c r="AG4058" s="7"/>
      <c r="AP4058" s="7"/>
      <c r="AY4058" s="7"/>
      <c r="BH4058" s="7"/>
      <c r="BQ4058" s="7"/>
      <c r="BZ4058" s="7"/>
    </row>
    <row r="4059" spans="2:78">
      <c r="B4059" s="7"/>
      <c r="O4059" s="7"/>
      <c r="X4059" s="7"/>
      <c r="AG4059" s="7"/>
      <c r="AP4059" s="7"/>
      <c r="AY4059" s="7"/>
      <c r="BH4059" s="7"/>
      <c r="BQ4059" s="7"/>
      <c r="BZ4059" s="7"/>
    </row>
    <row r="4060" spans="2:78">
      <c r="B4060" s="7"/>
      <c r="O4060" s="7"/>
      <c r="X4060" s="7"/>
      <c r="AG4060" s="7"/>
      <c r="AP4060" s="7"/>
      <c r="AY4060" s="7"/>
      <c r="BH4060" s="7"/>
      <c r="BQ4060" s="7"/>
      <c r="BZ4060" s="7"/>
    </row>
    <row r="4061" spans="2:78">
      <c r="B4061" s="7"/>
      <c r="O4061" s="7"/>
      <c r="X4061" s="7"/>
      <c r="AG4061" s="7"/>
      <c r="AP4061" s="7"/>
      <c r="AY4061" s="7"/>
      <c r="BH4061" s="7"/>
      <c r="BQ4061" s="7"/>
      <c r="BZ4061" s="7"/>
    </row>
    <row r="4062" spans="2:78">
      <c r="B4062" s="7"/>
      <c r="O4062" s="7"/>
      <c r="X4062" s="7"/>
      <c r="AG4062" s="7"/>
      <c r="AP4062" s="7"/>
      <c r="AY4062" s="7"/>
      <c r="BH4062" s="7"/>
      <c r="BQ4062" s="7"/>
      <c r="BZ4062" s="7"/>
    </row>
    <row r="4063" spans="2:78">
      <c r="B4063" s="7"/>
      <c r="O4063" s="7"/>
      <c r="X4063" s="7"/>
      <c r="AG4063" s="7"/>
      <c r="AP4063" s="7"/>
      <c r="AY4063" s="7"/>
      <c r="BH4063" s="7"/>
      <c r="BQ4063" s="7"/>
      <c r="BZ4063" s="7"/>
    </row>
    <row r="4064" spans="2:78">
      <c r="B4064" s="7"/>
      <c r="O4064" s="7"/>
      <c r="X4064" s="7"/>
      <c r="AG4064" s="7"/>
      <c r="AP4064" s="7"/>
      <c r="AY4064" s="7"/>
      <c r="BH4064" s="7"/>
      <c r="BQ4064" s="7"/>
      <c r="BZ4064" s="7"/>
    </row>
    <row r="4065" spans="2:78">
      <c r="B4065" s="7"/>
      <c r="O4065" s="7"/>
      <c r="X4065" s="7"/>
      <c r="AG4065" s="7"/>
      <c r="AP4065" s="7"/>
      <c r="AY4065" s="7"/>
      <c r="BH4065" s="7"/>
      <c r="BQ4065" s="7"/>
      <c r="BZ4065" s="7"/>
    </row>
    <row r="4066" spans="2:78">
      <c r="B4066" s="7"/>
      <c r="O4066" s="7"/>
      <c r="X4066" s="7"/>
      <c r="AG4066" s="7"/>
      <c r="AP4066" s="7"/>
      <c r="AY4066" s="7"/>
      <c r="BH4066" s="7"/>
      <c r="BQ4066" s="7"/>
      <c r="BZ4066" s="7"/>
    </row>
    <row r="4067" spans="2:78">
      <c r="B4067" s="7"/>
      <c r="O4067" s="7"/>
      <c r="X4067" s="7"/>
      <c r="AG4067" s="7"/>
      <c r="AP4067" s="7"/>
      <c r="AY4067" s="7"/>
      <c r="BH4067" s="7"/>
      <c r="BQ4067" s="7"/>
      <c r="BZ4067" s="7"/>
    </row>
    <row r="4068" spans="2:78">
      <c r="B4068" s="7"/>
      <c r="O4068" s="7"/>
      <c r="X4068" s="7"/>
      <c r="AG4068" s="7"/>
      <c r="AP4068" s="7"/>
      <c r="AY4068" s="7"/>
      <c r="BH4068" s="7"/>
      <c r="BQ4068" s="7"/>
      <c r="BZ4068" s="7"/>
    </row>
    <row r="4069" spans="2:78">
      <c r="B4069" s="7"/>
      <c r="O4069" s="7"/>
      <c r="X4069" s="7"/>
      <c r="AG4069" s="7"/>
      <c r="AP4069" s="7"/>
      <c r="AY4069" s="7"/>
      <c r="BH4069" s="7"/>
      <c r="BQ4069" s="7"/>
      <c r="BZ4069" s="7"/>
    </row>
    <row r="4070" spans="2:78">
      <c r="B4070" s="7"/>
      <c r="O4070" s="7"/>
      <c r="X4070" s="7"/>
      <c r="AG4070" s="7"/>
      <c r="AP4070" s="7"/>
      <c r="AY4070" s="7"/>
      <c r="BH4070" s="7"/>
      <c r="BQ4070" s="7"/>
      <c r="BZ4070" s="7"/>
    </row>
    <row r="4071" spans="2:78">
      <c r="B4071" s="7"/>
      <c r="O4071" s="7"/>
      <c r="X4071" s="7"/>
      <c r="AG4071" s="7"/>
      <c r="AP4071" s="7"/>
      <c r="AY4071" s="7"/>
      <c r="BH4071" s="7"/>
      <c r="BQ4071" s="7"/>
      <c r="BZ4071" s="7"/>
    </row>
    <row r="4072" spans="2:78">
      <c r="B4072" s="7"/>
      <c r="O4072" s="7"/>
      <c r="X4072" s="7"/>
      <c r="AG4072" s="7"/>
      <c r="AP4072" s="7"/>
      <c r="AY4072" s="7"/>
      <c r="BH4072" s="7"/>
      <c r="BQ4072" s="7"/>
      <c r="BZ4072" s="7"/>
    </row>
    <row r="4073" spans="2:78">
      <c r="B4073" s="7"/>
      <c r="O4073" s="7"/>
      <c r="X4073" s="7"/>
      <c r="AG4073" s="7"/>
      <c r="AP4073" s="7"/>
      <c r="AY4073" s="7"/>
      <c r="BH4073" s="7"/>
      <c r="BQ4073" s="7"/>
      <c r="BZ4073" s="7"/>
    </row>
    <row r="4074" spans="2:78">
      <c r="B4074" s="7"/>
      <c r="O4074" s="7"/>
      <c r="X4074" s="7"/>
      <c r="AG4074" s="7"/>
      <c r="AP4074" s="7"/>
      <c r="AY4074" s="7"/>
      <c r="BH4074" s="7"/>
      <c r="BQ4074" s="7"/>
      <c r="BZ4074" s="7"/>
    </row>
    <row r="4075" spans="2:78">
      <c r="B4075" s="7"/>
      <c r="O4075" s="7"/>
      <c r="X4075" s="7"/>
      <c r="AG4075" s="7"/>
      <c r="AP4075" s="7"/>
      <c r="AY4075" s="7"/>
      <c r="BH4075" s="7"/>
      <c r="BQ4075" s="7"/>
      <c r="BZ4075" s="7"/>
    </row>
    <row r="4076" spans="2:78">
      <c r="B4076" s="7"/>
      <c r="O4076" s="7"/>
      <c r="X4076" s="7"/>
      <c r="AG4076" s="7"/>
      <c r="AP4076" s="7"/>
      <c r="AY4076" s="7"/>
      <c r="BH4076" s="7"/>
      <c r="BQ4076" s="7"/>
      <c r="BZ4076" s="7"/>
    </row>
    <row r="4077" spans="2:78">
      <c r="B4077" s="7"/>
      <c r="O4077" s="7"/>
      <c r="X4077" s="7"/>
      <c r="AG4077" s="7"/>
      <c r="AP4077" s="7"/>
      <c r="AY4077" s="7"/>
      <c r="BH4077" s="7"/>
      <c r="BQ4077" s="7"/>
      <c r="BZ4077" s="7"/>
    </row>
    <row r="4078" spans="2:78">
      <c r="B4078" s="7"/>
      <c r="O4078" s="7"/>
      <c r="X4078" s="7"/>
      <c r="AG4078" s="7"/>
      <c r="AP4078" s="7"/>
      <c r="AY4078" s="7"/>
      <c r="BH4078" s="7"/>
      <c r="BQ4078" s="7"/>
      <c r="BZ4078" s="7"/>
    </row>
    <row r="4079" spans="2:78">
      <c r="B4079" s="7"/>
      <c r="O4079" s="7"/>
      <c r="X4079" s="7"/>
      <c r="AG4079" s="7"/>
      <c r="AP4079" s="7"/>
      <c r="AY4079" s="7"/>
      <c r="BH4079" s="7"/>
      <c r="BQ4079" s="7"/>
      <c r="BZ4079" s="7"/>
    </row>
    <row r="4080" spans="2:78">
      <c r="B4080" s="7"/>
      <c r="O4080" s="7"/>
      <c r="X4080" s="7"/>
      <c r="AG4080" s="7"/>
      <c r="AP4080" s="7"/>
      <c r="AY4080" s="7"/>
      <c r="BH4080" s="7"/>
      <c r="BQ4080" s="7"/>
      <c r="BZ4080" s="7"/>
    </row>
    <row r="4081" spans="2:78">
      <c r="B4081" s="7"/>
      <c r="O4081" s="7"/>
      <c r="X4081" s="7"/>
      <c r="AG4081" s="7"/>
      <c r="AP4081" s="7"/>
      <c r="AY4081" s="7"/>
      <c r="BH4081" s="7"/>
      <c r="BQ4081" s="7"/>
      <c r="BZ4081" s="7"/>
    </row>
    <row r="4082" spans="2:78">
      <c r="B4082" s="7"/>
      <c r="O4082" s="7"/>
      <c r="X4082" s="7"/>
      <c r="AG4082" s="7"/>
      <c r="AP4082" s="7"/>
      <c r="AY4082" s="7"/>
      <c r="BH4082" s="7"/>
      <c r="BQ4082" s="7"/>
      <c r="BZ4082" s="7"/>
    </row>
    <row r="4083" spans="2:78">
      <c r="B4083" s="7"/>
      <c r="O4083" s="7"/>
      <c r="X4083" s="7"/>
      <c r="AG4083" s="7"/>
      <c r="AP4083" s="7"/>
      <c r="AY4083" s="7"/>
      <c r="BH4083" s="7"/>
      <c r="BQ4083" s="7"/>
      <c r="BZ4083" s="7"/>
    </row>
    <row r="4084" spans="2:78">
      <c r="B4084" s="7"/>
      <c r="O4084" s="7"/>
      <c r="X4084" s="7"/>
      <c r="AG4084" s="7"/>
      <c r="AP4084" s="7"/>
      <c r="AY4084" s="7"/>
      <c r="BH4084" s="7"/>
      <c r="BQ4084" s="7"/>
      <c r="BZ4084" s="7"/>
    </row>
    <row r="4085" spans="2:78">
      <c r="B4085" s="7"/>
      <c r="O4085" s="7"/>
      <c r="X4085" s="7"/>
      <c r="AG4085" s="7"/>
      <c r="AP4085" s="7"/>
      <c r="AY4085" s="7"/>
      <c r="BH4085" s="7"/>
      <c r="BQ4085" s="7"/>
      <c r="BZ4085" s="7"/>
    </row>
    <row r="4086" spans="2:78">
      <c r="B4086" s="7"/>
      <c r="O4086" s="7"/>
      <c r="X4086" s="7"/>
      <c r="AG4086" s="7"/>
      <c r="AP4086" s="7"/>
      <c r="AY4086" s="7"/>
      <c r="BH4086" s="7"/>
      <c r="BQ4086" s="7"/>
      <c r="BZ4086" s="7"/>
    </row>
    <row r="4087" spans="2:78">
      <c r="B4087" s="7"/>
      <c r="O4087" s="7"/>
      <c r="X4087" s="7"/>
      <c r="AG4087" s="7"/>
      <c r="AP4087" s="7"/>
      <c r="AY4087" s="7"/>
      <c r="BH4087" s="7"/>
      <c r="BQ4087" s="7"/>
      <c r="BZ4087" s="7"/>
    </row>
    <row r="4088" spans="2:78">
      <c r="B4088" s="7"/>
      <c r="O4088" s="7"/>
      <c r="X4088" s="7"/>
      <c r="AG4088" s="7"/>
      <c r="AP4088" s="7"/>
      <c r="AY4088" s="7"/>
      <c r="BH4088" s="7"/>
      <c r="BQ4088" s="7"/>
      <c r="BZ4088" s="7"/>
    </row>
    <row r="4089" spans="2:78">
      <c r="B4089" s="7"/>
      <c r="O4089" s="7"/>
      <c r="X4089" s="7"/>
      <c r="AG4089" s="7"/>
      <c r="AP4089" s="7"/>
      <c r="AY4089" s="7"/>
      <c r="BH4089" s="7"/>
      <c r="BQ4089" s="7"/>
      <c r="BZ4089" s="7"/>
    </row>
    <row r="4090" spans="2:78">
      <c r="B4090" s="7"/>
      <c r="O4090" s="7"/>
      <c r="X4090" s="7"/>
      <c r="AG4090" s="7"/>
      <c r="AP4090" s="7"/>
      <c r="AY4090" s="7"/>
      <c r="BH4090" s="7"/>
      <c r="BQ4090" s="7"/>
      <c r="BZ4090" s="7"/>
    </row>
    <row r="4091" spans="2:78">
      <c r="B4091" s="7"/>
      <c r="O4091" s="7"/>
      <c r="X4091" s="7"/>
      <c r="AG4091" s="7"/>
      <c r="AP4091" s="7"/>
      <c r="AY4091" s="7"/>
      <c r="BH4091" s="7"/>
      <c r="BQ4091" s="7"/>
      <c r="BZ4091" s="7"/>
    </row>
    <row r="4092" spans="2:78">
      <c r="B4092" s="7"/>
      <c r="O4092" s="7"/>
      <c r="X4092" s="7"/>
      <c r="AG4092" s="7"/>
      <c r="AP4092" s="7"/>
      <c r="AY4092" s="7"/>
      <c r="BH4092" s="7"/>
      <c r="BQ4092" s="7"/>
      <c r="BZ4092" s="7"/>
    </row>
    <row r="4093" spans="2:78">
      <c r="B4093" s="7"/>
      <c r="O4093" s="7"/>
      <c r="X4093" s="7"/>
      <c r="AG4093" s="7"/>
      <c r="AP4093" s="7"/>
      <c r="AY4093" s="7"/>
      <c r="BH4093" s="7"/>
      <c r="BQ4093" s="7"/>
      <c r="BZ4093" s="7"/>
    </row>
    <row r="4094" spans="2:78">
      <c r="B4094" s="7"/>
      <c r="O4094" s="7"/>
      <c r="X4094" s="7"/>
      <c r="AG4094" s="7"/>
      <c r="AP4094" s="7"/>
      <c r="AY4094" s="7"/>
      <c r="BH4094" s="7"/>
      <c r="BQ4094" s="7"/>
      <c r="BZ4094" s="7"/>
    </row>
    <row r="4095" spans="2:78">
      <c r="B4095" s="7"/>
      <c r="O4095" s="7"/>
      <c r="X4095" s="7"/>
      <c r="AG4095" s="7"/>
      <c r="AP4095" s="7"/>
      <c r="AY4095" s="7"/>
      <c r="BH4095" s="7"/>
      <c r="BQ4095" s="7"/>
      <c r="BZ4095" s="7"/>
    </row>
    <row r="4096" spans="2:78">
      <c r="B4096" s="7"/>
      <c r="O4096" s="7"/>
      <c r="X4096" s="7"/>
      <c r="AG4096" s="7"/>
      <c r="AP4096" s="7"/>
      <c r="AY4096" s="7"/>
      <c r="BH4096" s="7"/>
      <c r="BQ4096" s="7"/>
      <c r="BZ4096" s="7"/>
    </row>
    <row r="4097" spans="2:78">
      <c r="B4097" s="7"/>
      <c r="O4097" s="7"/>
      <c r="X4097" s="7"/>
      <c r="AG4097" s="7"/>
      <c r="AP4097" s="7"/>
      <c r="AY4097" s="7"/>
      <c r="BH4097" s="7"/>
      <c r="BQ4097" s="7"/>
      <c r="BZ4097" s="7"/>
    </row>
    <row r="4098" spans="2:78">
      <c r="B4098" s="7"/>
      <c r="O4098" s="7"/>
      <c r="X4098" s="7"/>
      <c r="AG4098" s="7"/>
      <c r="AP4098" s="7"/>
      <c r="AY4098" s="7"/>
      <c r="BH4098" s="7"/>
      <c r="BQ4098" s="7"/>
      <c r="BZ4098" s="7"/>
    </row>
    <row r="4099" spans="2:78">
      <c r="B4099" s="7"/>
      <c r="O4099" s="7"/>
      <c r="X4099" s="7"/>
      <c r="AG4099" s="7"/>
      <c r="AP4099" s="7"/>
      <c r="AY4099" s="7"/>
      <c r="BH4099" s="7"/>
      <c r="BQ4099" s="7"/>
      <c r="BZ4099" s="7"/>
    </row>
    <row r="4100" spans="2:78">
      <c r="B4100" s="7"/>
      <c r="O4100" s="7"/>
      <c r="X4100" s="7"/>
      <c r="AG4100" s="7"/>
      <c r="AP4100" s="7"/>
      <c r="AY4100" s="7"/>
      <c r="BH4100" s="7"/>
      <c r="BQ4100" s="7"/>
      <c r="BZ4100" s="7"/>
    </row>
    <row r="4101" spans="2:78">
      <c r="B4101" s="7"/>
      <c r="O4101" s="7"/>
      <c r="X4101" s="7"/>
      <c r="AG4101" s="7"/>
      <c r="AP4101" s="7"/>
      <c r="AY4101" s="7"/>
      <c r="BH4101" s="7"/>
      <c r="BQ4101" s="7"/>
      <c r="BZ4101" s="7"/>
    </row>
    <row r="4102" spans="2:78">
      <c r="B4102" s="7"/>
      <c r="O4102" s="7"/>
      <c r="X4102" s="7"/>
      <c r="AG4102" s="7"/>
      <c r="AP4102" s="7"/>
      <c r="AY4102" s="7"/>
      <c r="BH4102" s="7"/>
      <c r="BQ4102" s="7"/>
      <c r="BZ4102" s="7"/>
    </row>
    <row r="4103" spans="2:78">
      <c r="B4103" s="7"/>
      <c r="O4103" s="7"/>
      <c r="X4103" s="7"/>
      <c r="AG4103" s="7"/>
      <c r="AP4103" s="7"/>
      <c r="AY4103" s="7"/>
      <c r="BH4103" s="7"/>
      <c r="BQ4103" s="7"/>
      <c r="BZ4103" s="7"/>
    </row>
    <row r="4104" spans="2:78">
      <c r="B4104" s="7"/>
      <c r="O4104" s="7"/>
      <c r="X4104" s="7"/>
      <c r="AG4104" s="7"/>
      <c r="AP4104" s="7"/>
      <c r="AY4104" s="7"/>
      <c r="BH4104" s="7"/>
      <c r="BQ4104" s="7"/>
      <c r="BZ4104" s="7"/>
    </row>
    <row r="4105" spans="2:78">
      <c r="B4105" s="7"/>
      <c r="O4105" s="7"/>
      <c r="X4105" s="7"/>
      <c r="AG4105" s="7"/>
      <c r="AP4105" s="7"/>
      <c r="AY4105" s="7"/>
      <c r="BH4105" s="7"/>
      <c r="BQ4105" s="7"/>
      <c r="BZ4105" s="7"/>
    </row>
    <row r="4106" spans="2:78">
      <c r="B4106" s="7"/>
      <c r="O4106" s="7"/>
      <c r="X4106" s="7"/>
      <c r="AG4106" s="7"/>
      <c r="AP4106" s="7"/>
      <c r="AY4106" s="7"/>
      <c r="BH4106" s="7"/>
      <c r="BQ4106" s="7"/>
      <c r="BZ4106" s="7"/>
    </row>
    <row r="4107" spans="2:78">
      <c r="B4107" s="7"/>
      <c r="O4107" s="7"/>
      <c r="X4107" s="7"/>
      <c r="AG4107" s="7"/>
      <c r="AP4107" s="7"/>
      <c r="AY4107" s="7"/>
      <c r="BH4107" s="7"/>
      <c r="BQ4107" s="7"/>
      <c r="BZ4107" s="7"/>
    </row>
    <row r="4108" spans="2:78">
      <c r="B4108" s="7"/>
      <c r="O4108" s="7"/>
      <c r="X4108" s="7"/>
      <c r="AG4108" s="7"/>
      <c r="AP4108" s="7"/>
      <c r="AY4108" s="7"/>
      <c r="BH4108" s="7"/>
      <c r="BQ4108" s="7"/>
      <c r="BZ4108" s="7"/>
    </row>
    <row r="4109" spans="2:78">
      <c r="B4109" s="7"/>
      <c r="O4109" s="7"/>
      <c r="X4109" s="7"/>
      <c r="AG4109" s="7"/>
      <c r="AP4109" s="7"/>
      <c r="AY4109" s="7"/>
      <c r="BH4109" s="7"/>
      <c r="BQ4109" s="7"/>
      <c r="BZ4109" s="7"/>
    </row>
    <row r="4110" spans="2:78">
      <c r="B4110" s="7"/>
      <c r="O4110" s="7"/>
      <c r="X4110" s="7"/>
      <c r="AG4110" s="7"/>
      <c r="AP4110" s="7"/>
      <c r="AY4110" s="7"/>
      <c r="BH4110" s="7"/>
      <c r="BQ4110" s="7"/>
      <c r="BZ4110" s="7"/>
    </row>
    <row r="4111" spans="2:78">
      <c r="B4111" s="7"/>
      <c r="O4111" s="7"/>
      <c r="X4111" s="7"/>
      <c r="AG4111" s="7"/>
      <c r="AP4111" s="7"/>
      <c r="AY4111" s="7"/>
      <c r="BH4111" s="7"/>
      <c r="BQ4111" s="7"/>
      <c r="BZ4111" s="7"/>
    </row>
    <row r="4112" spans="2:78">
      <c r="B4112" s="7"/>
      <c r="O4112" s="7"/>
      <c r="X4112" s="7"/>
      <c r="AG4112" s="7"/>
      <c r="AP4112" s="7"/>
      <c r="AY4112" s="7"/>
      <c r="BH4112" s="7"/>
      <c r="BQ4112" s="7"/>
      <c r="BZ4112" s="7"/>
    </row>
    <row r="4113" spans="2:78">
      <c r="B4113" s="7"/>
      <c r="O4113" s="7"/>
      <c r="X4113" s="7"/>
      <c r="AG4113" s="7"/>
      <c r="AP4113" s="7"/>
      <c r="AY4113" s="7"/>
      <c r="BH4113" s="7"/>
      <c r="BQ4113" s="7"/>
      <c r="BZ4113" s="7"/>
    </row>
    <row r="4114" spans="2:78">
      <c r="B4114" s="7"/>
      <c r="O4114" s="7"/>
      <c r="X4114" s="7"/>
      <c r="AG4114" s="7"/>
      <c r="AP4114" s="7"/>
      <c r="AY4114" s="7"/>
      <c r="BH4114" s="7"/>
      <c r="BQ4114" s="7"/>
      <c r="BZ4114" s="7"/>
    </row>
    <row r="4115" spans="2:78">
      <c r="B4115" s="7"/>
      <c r="O4115" s="7"/>
      <c r="X4115" s="7"/>
      <c r="AG4115" s="7"/>
      <c r="AP4115" s="7"/>
      <c r="AY4115" s="7"/>
      <c r="BH4115" s="7"/>
      <c r="BQ4115" s="7"/>
      <c r="BZ4115" s="7"/>
    </row>
    <row r="4116" spans="2:78">
      <c r="B4116" s="7"/>
      <c r="O4116" s="7"/>
      <c r="X4116" s="7"/>
      <c r="AG4116" s="7"/>
      <c r="AP4116" s="7"/>
      <c r="AY4116" s="7"/>
      <c r="BH4116" s="7"/>
      <c r="BQ4116" s="7"/>
      <c r="BZ4116" s="7"/>
    </row>
    <row r="4117" spans="2:78">
      <c r="B4117" s="7"/>
      <c r="O4117" s="7"/>
      <c r="X4117" s="7"/>
      <c r="AG4117" s="7"/>
      <c r="AP4117" s="7"/>
      <c r="AY4117" s="7"/>
      <c r="BH4117" s="7"/>
      <c r="BQ4117" s="7"/>
      <c r="BZ4117" s="7"/>
    </row>
    <row r="4118" spans="2:78">
      <c r="B4118" s="7"/>
      <c r="O4118" s="7"/>
      <c r="X4118" s="7"/>
      <c r="AG4118" s="7"/>
      <c r="AP4118" s="7"/>
      <c r="AY4118" s="7"/>
      <c r="BH4118" s="7"/>
      <c r="BQ4118" s="7"/>
      <c r="BZ4118" s="7"/>
    </row>
    <row r="4119" spans="2:78">
      <c r="B4119" s="7"/>
      <c r="O4119" s="7"/>
      <c r="X4119" s="7"/>
      <c r="AG4119" s="7"/>
      <c r="AP4119" s="7"/>
      <c r="AY4119" s="7"/>
      <c r="BH4119" s="7"/>
      <c r="BQ4119" s="7"/>
      <c r="BZ4119" s="7"/>
    </row>
    <row r="4120" spans="2:78">
      <c r="B4120" s="7"/>
      <c r="O4120" s="7"/>
      <c r="X4120" s="7"/>
      <c r="AG4120" s="7"/>
      <c r="AP4120" s="7"/>
      <c r="AY4120" s="7"/>
      <c r="BH4120" s="7"/>
      <c r="BQ4120" s="7"/>
      <c r="BZ4120" s="7"/>
    </row>
    <row r="4121" spans="2:78">
      <c r="B4121" s="7"/>
      <c r="O4121" s="7"/>
      <c r="X4121" s="7"/>
      <c r="AG4121" s="7"/>
      <c r="AP4121" s="7"/>
      <c r="AY4121" s="7"/>
      <c r="BH4121" s="7"/>
      <c r="BQ4121" s="7"/>
      <c r="BZ4121" s="7"/>
    </row>
    <row r="4122" spans="2:78">
      <c r="B4122" s="7"/>
      <c r="O4122" s="7"/>
      <c r="X4122" s="7"/>
      <c r="AG4122" s="7"/>
      <c r="AP4122" s="7"/>
      <c r="AY4122" s="7"/>
      <c r="BH4122" s="7"/>
      <c r="BQ4122" s="7"/>
      <c r="BZ4122" s="7"/>
    </row>
    <row r="4123" spans="2:78">
      <c r="B4123" s="7"/>
      <c r="O4123" s="7"/>
      <c r="X4123" s="7"/>
      <c r="AG4123" s="7"/>
      <c r="AP4123" s="7"/>
      <c r="AY4123" s="7"/>
      <c r="BH4123" s="7"/>
      <c r="BQ4123" s="7"/>
      <c r="BZ4123" s="7"/>
    </row>
    <row r="4124" spans="2:78">
      <c r="B4124" s="7"/>
      <c r="O4124" s="7"/>
      <c r="X4124" s="7"/>
      <c r="AG4124" s="7"/>
      <c r="AP4124" s="7"/>
      <c r="AY4124" s="7"/>
      <c r="BH4124" s="7"/>
      <c r="BQ4124" s="7"/>
      <c r="BZ4124" s="7"/>
    </row>
    <row r="4125" spans="2:78">
      <c r="B4125" s="7"/>
      <c r="O4125" s="7"/>
      <c r="X4125" s="7"/>
      <c r="AG4125" s="7"/>
      <c r="AP4125" s="7"/>
      <c r="AY4125" s="7"/>
      <c r="BH4125" s="7"/>
      <c r="BQ4125" s="7"/>
      <c r="BZ4125" s="7"/>
    </row>
    <row r="4126" spans="2:78">
      <c r="B4126" s="7"/>
      <c r="O4126" s="7"/>
      <c r="X4126" s="7"/>
      <c r="AG4126" s="7"/>
      <c r="AP4126" s="7"/>
      <c r="AY4126" s="7"/>
      <c r="BH4126" s="7"/>
      <c r="BQ4126" s="7"/>
      <c r="BZ4126" s="7"/>
    </row>
    <row r="4127" spans="2:78">
      <c r="B4127" s="7"/>
      <c r="O4127" s="7"/>
      <c r="X4127" s="7"/>
      <c r="AG4127" s="7"/>
      <c r="AP4127" s="7"/>
      <c r="AY4127" s="7"/>
      <c r="BH4127" s="7"/>
      <c r="BQ4127" s="7"/>
      <c r="BZ4127" s="7"/>
    </row>
    <row r="4128" spans="2:78">
      <c r="B4128" s="7"/>
      <c r="O4128" s="7"/>
      <c r="X4128" s="7"/>
      <c r="AG4128" s="7"/>
      <c r="AP4128" s="7"/>
      <c r="AY4128" s="7"/>
      <c r="BH4128" s="7"/>
      <c r="BQ4128" s="7"/>
      <c r="BZ4128" s="7"/>
    </row>
    <row r="4129" spans="2:78">
      <c r="B4129" s="7"/>
      <c r="O4129" s="7"/>
      <c r="X4129" s="7"/>
      <c r="AG4129" s="7"/>
      <c r="AP4129" s="7"/>
      <c r="AY4129" s="7"/>
      <c r="BH4129" s="7"/>
      <c r="BQ4129" s="7"/>
      <c r="BZ4129" s="7"/>
    </row>
    <row r="4130" spans="2:78">
      <c r="B4130" s="7"/>
      <c r="O4130" s="7"/>
      <c r="X4130" s="7"/>
      <c r="AG4130" s="7"/>
      <c r="AP4130" s="7"/>
      <c r="AY4130" s="7"/>
      <c r="BH4130" s="7"/>
      <c r="BQ4130" s="7"/>
      <c r="BZ4130" s="7"/>
    </row>
    <row r="4131" spans="2:78">
      <c r="B4131" s="7"/>
      <c r="O4131" s="7"/>
      <c r="X4131" s="7"/>
      <c r="AG4131" s="7"/>
      <c r="AP4131" s="7"/>
      <c r="AY4131" s="7"/>
      <c r="BH4131" s="7"/>
      <c r="BQ4131" s="7"/>
      <c r="BZ4131" s="7"/>
    </row>
    <row r="4132" spans="2:78">
      <c r="B4132" s="7"/>
      <c r="O4132" s="7"/>
      <c r="X4132" s="7"/>
      <c r="AG4132" s="7"/>
      <c r="AP4132" s="7"/>
      <c r="AY4132" s="7"/>
      <c r="BH4132" s="7"/>
      <c r="BQ4132" s="7"/>
      <c r="BZ4132" s="7"/>
    </row>
    <row r="4133" spans="2:78">
      <c r="B4133" s="7"/>
      <c r="O4133" s="7"/>
      <c r="X4133" s="7"/>
      <c r="AG4133" s="7"/>
      <c r="AP4133" s="7"/>
      <c r="AY4133" s="7"/>
      <c r="BH4133" s="7"/>
      <c r="BQ4133" s="7"/>
      <c r="BZ4133" s="7"/>
    </row>
    <row r="4134" spans="2:78">
      <c r="B4134" s="7"/>
      <c r="O4134" s="7"/>
      <c r="X4134" s="7"/>
      <c r="AG4134" s="7"/>
      <c r="AP4134" s="7"/>
      <c r="AY4134" s="7"/>
      <c r="BH4134" s="7"/>
      <c r="BQ4134" s="7"/>
      <c r="BZ4134" s="7"/>
    </row>
    <row r="4135" spans="2:78">
      <c r="B4135" s="7"/>
      <c r="O4135" s="7"/>
      <c r="X4135" s="7"/>
      <c r="AG4135" s="7"/>
      <c r="AP4135" s="7"/>
      <c r="AY4135" s="7"/>
      <c r="BH4135" s="7"/>
      <c r="BQ4135" s="7"/>
      <c r="BZ4135" s="7"/>
    </row>
    <row r="4136" spans="2:78">
      <c r="B4136" s="7"/>
      <c r="O4136" s="7"/>
      <c r="X4136" s="7"/>
      <c r="AG4136" s="7"/>
      <c r="AP4136" s="7"/>
      <c r="AY4136" s="7"/>
      <c r="BH4136" s="7"/>
      <c r="BQ4136" s="7"/>
      <c r="BZ4136" s="7"/>
    </row>
    <row r="4137" spans="2:78">
      <c r="B4137" s="7"/>
      <c r="O4137" s="7"/>
      <c r="X4137" s="7"/>
      <c r="AG4137" s="7"/>
      <c r="AP4137" s="7"/>
      <c r="AY4137" s="7"/>
      <c r="BH4137" s="7"/>
      <c r="BQ4137" s="7"/>
      <c r="BZ4137" s="7"/>
    </row>
    <row r="4138" spans="2:78">
      <c r="B4138" s="7"/>
      <c r="O4138" s="7"/>
      <c r="X4138" s="7"/>
      <c r="AG4138" s="7"/>
      <c r="AP4138" s="7"/>
      <c r="AY4138" s="7"/>
      <c r="BH4138" s="7"/>
      <c r="BQ4138" s="7"/>
      <c r="BZ4138" s="7"/>
    </row>
    <row r="4139" spans="2:78">
      <c r="B4139" s="7"/>
      <c r="O4139" s="7"/>
      <c r="X4139" s="7"/>
      <c r="AG4139" s="7"/>
      <c r="AP4139" s="7"/>
      <c r="AY4139" s="7"/>
      <c r="BH4139" s="7"/>
      <c r="BQ4139" s="7"/>
      <c r="BZ4139" s="7"/>
    </row>
    <row r="4140" spans="2:78">
      <c r="B4140" s="7"/>
      <c r="O4140" s="7"/>
      <c r="X4140" s="7"/>
      <c r="AG4140" s="7"/>
      <c r="AP4140" s="7"/>
      <c r="AY4140" s="7"/>
      <c r="BH4140" s="7"/>
      <c r="BQ4140" s="7"/>
      <c r="BZ4140" s="7"/>
    </row>
    <row r="4141" spans="2:78">
      <c r="B4141" s="7"/>
      <c r="O4141" s="7"/>
      <c r="X4141" s="7"/>
      <c r="AG4141" s="7"/>
      <c r="AP4141" s="7"/>
      <c r="AY4141" s="7"/>
      <c r="BH4141" s="7"/>
      <c r="BQ4141" s="7"/>
      <c r="BZ4141" s="7"/>
    </row>
    <row r="4142" spans="2:78">
      <c r="B4142" s="7"/>
      <c r="O4142" s="7"/>
      <c r="X4142" s="7"/>
      <c r="AG4142" s="7"/>
      <c r="AP4142" s="7"/>
      <c r="AY4142" s="7"/>
      <c r="BH4142" s="7"/>
      <c r="BQ4142" s="7"/>
      <c r="BZ4142" s="7"/>
    </row>
    <row r="4143" spans="2:78">
      <c r="B4143" s="7"/>
      <c r="O4143" s="7"/>
      <c r="X4143" s="7"/>
      <c r="AG4143" s="7"/>
      <c r="AP4143" s="7"/>
      <c r="AY4143" s="7"/>
      <c r="BH4143" s="7"/>
      <c r="BQ4143" s="7"/>
      <c r="BZ4143" s="7"/>
    </row>
    <row r="4144" spans="2:78">
      <c r="B4144" s="7"/>
      <c r="O4144" s="7"/>
      <c r="X4144" s="7"/>
      <c r="AG4144" s="7"/>
      <c r="AP4144" s="7"/>
      <c r="AY4144" s="7"/>
      <c r="BH4144" s="7"/>
      <c r="BQ4144" s="7"/>
      <c r="BZ4144" s="7"/>
    </row>
    <row r="4145" spans="2:78">
      <c r="B4145" s="7"/>
      <c r="O4145" s="7"/>
      <c r="X4145" s="7"/>
      <c r="AG4145" s="7"/>
      <c r="AP4145" s="7"/>
      <c r="AY4145" s="7"/>
      <c r="BH4145" s="7"/>
      <c r="BQ4145" s="7"/>
      <c r="BZ4145" s="7"/>
    </row>
    <row r="4146" spans="2:78">
      <c r="B4146" s="7"/>
      <c r="O4146" s="7"/>
      <c r="X4146" s="7"/>
      <c r="AG4146" s="7"/>
      <c r="AP4146" s="7"/>
      <c r="AY4146" s="7"/>
      <c r="BH4146" s="7"/>
      <c r="BQ4146" s="7"/>
      <c r="BZ4146" s="7"/>
    </row>
    <row r="4147" spans="2:78">
      <c r="B4147" s="7"/>
      <c r="O4147" s="7"/>
      <c r="X4147" s="7"/>
      <c r="AG4147" s="7"/>
      <c r="AP4147" s="7"/>
      <c r="AY4147" s="7"/>
      <c r="BH4147" s="7"/>
      <c r="BQ4147" s="7"/>
      <c r="BZ4147" s="7"/>
    </row>
    <row r="4148" spans="2:78">
      <c r="B4148" s="7"/>
      <c r="O4148" s="7"/>
      <c r="X4148" s="7"/>
      <c r="AG4148" s="7"/>
      <c r="AP4148" s="7"/>
      <c r="AY4148" s="7"/>
      <c r="BH4148" s="7"/>
      <c r="BQ4148" s="7"/>
      <c r="BZ4148" s="7"/>
    </row>
    <row r="4149" spans="2:78">
      <c r="B4149" s="7"/>
      <c r="O4149" s="7"/>
      <c r="X4149" s="7"/>
      <c r="AG4149" s="7"/>
      <c r="AP4149" s="7"/>
      <c r="AY4149" s="7"/>
      <c r="BH4149" s="7"/>
      <c r="BQ4149" s="7"/>
      <c r="BZ4149" s="7"/>
    </row>
    <row r="4150" spans="2:78">
      <c r="B4150" s="7"/>
      <c r="O4150" s="7"/>
      <c r="X4150" s="7"/>
      <c r="AG4150" s="7"/>
      <c r="AP4150" s="7"/>
      <c r="AY4150" s="7"/>
      <c r="BH4150" s="7"/>
      <c r="BQ4150" s="7"/>
      <c r="BZ4150" s="7"/>
    </row>
    <row r="4151" spans="2:78">
      <c r="B4151" s="7"/>
      <c r="O4151" s="7"/>
      <c r="X4151" s="7"/>
      <c r="AG4151" s="7"/>
      <c r="AP4151" s="7"/>
      <c r="AY4151" s="7"/>
      <c r="BH4151" s="7"/>
      <c r="BQ4151" s="7"/>
      <c r="BZ4151" s="7"/>
    </row>
    <row r="4152" spans="2:78">
      <c r="B4152" s="7"/>
      <c r="O4152" s="7"/>
      <c r="X4152" s="7"/>
      <c r="AG4152" s="7"/>
      <c r="AP4152" s="7"/>
      <c r="AY4152" s="7"/>
      <c r="BH4152" s="7"/>
      <c r="BQ4152" s="7"/>
      <c r="BZ4152" s="7"/>
    </row>
    <row r="4153" spans="2:78">
      <c r="B4153" s="7"/>
      <c r="O4153" s="7"/>
      <c r="X4153" s="7"/>
      <c r="AG4153" s="7"/>
      <c r="AP4153" s="7"/>
      <c r="AY4153" s="7"/>
      <c r="BH4153" s="7"/>
      <c r="BQ4153" s="7"/>
      <c r="BZ4153" s="7"/>
    </row>
    <row r="4154" spans="2:78">
      <c r="B4154" s="7"/>
      <c r="O4154" s="7"/>
      <c r="X4154" s="7"/>
      <c r="AG4154" s="7"/>
      <c r="AP4154" s="7"/>
      <c r="AY4154" s="7"/>
      <c r="BH4154" s="7"/>
      <c r="BQ4154" s="7"/>
      <c r="BZ4154" s="7"/>
    </row>
    <row r="4155" spans="2:78">
      <c r="B4155" s="7"/>
      <c r="O4155" s="7"/>
      <c r="X4155" s="7"/>
      <c r="AG4155" s="7"/>
      <c r="AP4155" s="7"/>
      <c r="AY4155" s="7"/>
      <c r="BH4155" s="7"/>
      <c r="BQ4155" s="7"/>
      <c r="BZ4155" s="7"/>
    </row>
    <row r="4156" spans="2:78">
      <c r="B4156" s="7"/>
      <c r="O4156" s="7"/>
      <c r="X4156" s="7"/>
      <c r="AG4156" s="7"/>
      <c r="AP4156" s="7"/>
      <c r="AY4156" s="7"/>
      <c r="BH4156" s="7"/>
      <c r="BQ4156" s="7"/>
      <c r="BZ4156" s="7"/>
    </row>
    <row r="4157" spans="2:78">
      <c r="B4157" s="7"/>
      <c r="O4157" s="7"/>
      <c r="X4157" s="7"/>
      <c r="AG4157" s="7"/>
      <c r="AP4157" s="7"/>
      <c r="AY4157" s="7"/>
      <c r="BH4157" s="7"/>
      <c r="BQ4157" s="7"/>
      <c r="BZ4157" s="7"/>
    </row>
    <row r="4158" spans="2:78">
      <c r="B4158" s="7"/>
      <c r="O4158" s="7"/>
      <c r="X4158" s="7"/>
      <c r="AG4158" s="7"/>
      <c r="AP4158" s="7"/>
      <c r="AY4158" s="7"/>
      <c r="BH4158" s="7"/>
      <c r="BQ4158" s="7"/>
      <c r="BZ4158" s="7"/>
    </row>
    <row r="4159" spans="2:78">
      <c r="B4159" s="7"/>
      <c r="O4159" s="7"/>
      <c r="X4159" s="7"/>
      <c r="AG4159" s="7"/>
      <c r="AP4159" s="7"/>
      <c r="AY4159" s="7"/>
      <c r="BH4159" s="7"/>
      <c r="BQ4159" s="7"/>
      <c r="BZ4159" s="7"/>
    </row>
    <row r="4160" spans="2:78">
      <c r="B4160" s="7"/>
      <c r="O4160" s="7"/>
      <c r="X4160" s="7"/>
      <c r="AG4160" s="7"/>
      <c r="AP4160" s="7"/>
      <c r="AY4160" s="7"/>
      <c r="BH4160" s="7"/>
      <c r="BQ4160" s="7"/>
      <c r="BZ4160" s="7"/>
    </row>
    <row r="4161" spans="2:78">
      <c r="B4161" s="7"/>
      <c r="O4161" s="7"/>
      <c r="X4161" s="7"/>
      <c r="AG4161" s="7"/>
      <c r="AP4161" s="7"/>
      <c r="AY4161" s="7"/>
      <c r="BH4161" s="7"/>
      <c r="BQ4161" s="7"/>
      <c r="BZ4161" s="7"/>
    </row>
    <row r="4162" spans="2:78">
      <c r="B4162" s="7"/>
      <c r="O4162" s="7"/>
      <c r="X4162" s="7"/>
      <c r="AG4162" s="7"/>
      <c r="AP4162" s="7"/>
      <c r="AY4162" s="7"/>
      <c r="BH4162" s="7"/>
      <c r="BQ4162" s="7"/>
      <c r="BZ4162" s="7"/>
    </row>
    <row r="4163" spans="2:78">
      <c r="B4163" s="7"/>
      <c r="O4163" s="7"/>
      <c r="X4163" s="7"/>
      <c r="AG4163" s="7"/>
      <c r="AP4163" s="7"/>
      <c r="AY4163" s="7"/>
      <c r="BH4163" s="7"/>
      <c r="BQ4163" s="7"/>
      <c r="BZ4163" s="7"/>
    </row>
    <row r="4164" spans="2:78">
      <c r="B4164" s="7"/>
      <c r="O4164" s="7"/>
      <c r="X4164" s="7"/>
      <c r="AG4164" s="7"/>
      <c r="AP4164" s="7"/>
      <c r="AY4164" s="7"/>
      <c r="BH4164" s="7"/>
      <c r="BQ4164" s="7"/>
      <c r="BZ4164" s="7"/>
    </row>
    <row r="4165" spans="2:78">
      <c r="B4165" s="7"/>
      <c r="O4165" s="7"/>
      <c r="X4165" s="7"/>
      <c r="AG4165" s="7"/>
      <c r="AP4165" s="7"/>
      <c r="AY4165" s="7"/>
      <c r="BH4165" s="7"/>
      <c r="BQ4165" s="7"/>
      <c r="BZ4165" s="7"/>
    </row>
    <row r="4166" spans="2:78">
      <c r="B4166" s="7"/>
      <c r="O4166" s="7"/>
      <c r="X4166" s="7"/>
      <c r="AG4166" s="7"/>
      <c r="AP4166" s="7"/>
      <c r="AY4166" s="7"/>
      <c r="BH4166" s="7"/>
      <c r="BQ4166" s="7"/>
      <c r="BZ4166" s="7"/>
    </row>
    <row r="4167" spans="2:78">
      <c r="B4167" s="7"/>
      <c r="O4167" s="7"/>
      <c r="X4167" s="7"/>
      <c r="AG4167" s="7"/>
      <c r="AP4167" s="7"/>
      <c r="AY4167" s="7"/>
      <c r="BH4167" s="7"/>
      <c r="BQ4167" s="7"/>
      <c r="BZ4167" s="7"/>
    </row>
    <row r="4168" spans="2:78">
      <c r="B4168" s="7"/>
      <c r="O4168" s="7"/>
      <c r="X4168" s="7"/>
      <c r="AG4168" s="7"/>
      <c r="AP4168" s="7"/>
      <c r="AY4168" s="7"/>
      <c r="BH4168" s="7"/>
      <c r="BQ4168" s="7"/>
      <c r="BZ4168" s="7"/>
    </row>
    <row r="4169" spans="2:78">
      <c r="B4169" s="7"/>
      <c r="O4169" s="7"/>
      <c r="X4169" s="7"/>
      <c r="AG4169" s="7"/>
      <c r="AP4169" s="7"/>
      <c r="AY4169" s="7"/>
      <c r="BH4169" s="7"/>
      <c r="BQ4169" s="7"/>
      <c r="BZ4169" s="7"/>
    </row>
    <row r="4170" spans="2:78">
      <c r="B4170" s="7"/>
      <c r="O4170" s="7"/>
      <c r="X4170" s="7"/>
      <c r="AG4170" s="7"/>
      <c r="AP4170" s="7"/>
      <c r="AY4170" s="7"/>
      <c r="BH4170" s="7"/>
      <c r="BQ4170" s="7"/>
      <c r="BZ4170" s="7"/>
    </row>
    <row r="4171" spans="2:78">
      <c r="B4171" s="7"/>
      <c r="O4171" s="7"/>
      <c r="X4171" s="7"/>
      <c r="AG4171" s="7"/>
      <c r="AP4171" s="7"/>
      <c r="AY4171" s="7"/>
      <c r="BH4171" s="7"/>
      <c r="BQ4171" s="7"/>
      <c r="BZ4171" s="7"/>
    </row>
    <row r="4172" spans="2:78">
      <c r="B4172" s="7"/>
      <c r="O4172" s="7"/>
      <c r="X4172" s="7"/>
      <c r="AG4172" s="7"/>
      <c r="AP4172" s="7"/>
      <c r="AY4172" s="7"/>
      <c r="BH4172" s="7"/>
      <c r="BQ4172" s="7"/>
      <c r="BZ4172" s="7"/>
    </row>
    <row r="4173" spans="2:78">
      <c r="B4173" s="7"/>
      <c r="O4173" s="7"/>
      <c r="X4173" s="7"/>
      <c r="AG4173" s="7"/>
      <c r="AP4173" s="7"/>
      <c r="AY4173" s="7"/>
      <c r="BH4173" s="7"/>
      <c r="BQ4173" s="7"/>
      <c r="BZ4173" s="7"/>
    </row>
    <row r="4174" spans="2:78">
      <c r="B4174" s="7"/>
      <c r="O4174" s="7"/>
      <c r="X4174" s="7"/>
      <c r="AG4174" s="7"/>
      <c r="AP4174" s="7"/>
      <c r="AY4174" s="7"/>
      <c r="BH4174" s="7"/>
      <c r="BQ4174" s="7"/>
      <c r="BZ4174" s="7"/>
    </row>
    <row r="4175" spans="2:78">
      <c r="B4175" s="7"/>
      <c r="O4175" s="7"/>
      <c r="X4175" s="7"/>
      <c r="AG4175" s="7"/>
      <c r="AP4175" s="7"/>
      <c r="AY4175" s="7"/>
      <c r="BH4175" s="7"/>
      <c r="BQ4175" s="7"/>
      <c r="BZ4175" s="7"/>
    </row>
    <row r="4176" spans="2:78">
      <c r="B4176" s="7"/>
      <c r="O4176" s="7"/>
      <c r="X4176" s="7"/>
      <c r="AG4176" s="7"/>
      <c r="AP4176" s="7"/>
      <c r="AY4176" s="7"/>
      <c r="BH4176" s="7"/>
      <c r="BQ4176" s="7"/>
      <c r="BZ4176" s="7"/>
    </row>
    <row r="4177" spans="2:78">
      <c r="B4177" s="7"/>
      <c r="O4177" s="7"/>
      <c r="X4177" s="7"/>
      <c r="AG4177" s="7"/>
      <c r="AP4177" s="7"/>
      <c r="AY4177" s="7"/>
      <c r="BH4177" s="7"/>
      <c r="BQ4177" s="7"/>
      <c r="BZ4177" s="7"/>
    </row>
    <row r="4178" spans="2:78">
      <c r="B4178" s="7"/>
      <c r="O4178" s="7"/>
      <c r="X4178" s="7"/>
      <c r="AG4178" s="7"/>
      <c r="AP4178" s="7"/>
      <c r="AY4178" s="7"/>
      <c r="BH4178" s="7"/>
      <c r="BQ4178" s="7"/>
      <c r="BZ4178" s="7"/>
    </row>
    <row r="4179" spans="2:78">
      <c r="B4179" s="7"/>
      <c r="O4179" s="7"/>
      <c r="X4179" s="7"/>
      <c r="AG4179" s="7"/>
      <c r="AP4179" s="7"/>
      <c r="AY4179" s="7"/>
      <c r="BH4179" s="7"/>
      <c r="BQ4179" s="7"/>
      <c r="BZ4179" s="7"/>
    </row>
    <row r="4180" spans="2:78">
      <c r="B4180" s="7"/>
      <c r="O4180" s="7"/>
      <c r="X4180" s="7"/>
      <c r="AG4180" s="7"/>
      <c r="AP4180" s="7"/>
      <c r="AY4180" s="7"/>
      <c r="BH4180" s="7"/>
      <c r="BQ4180" s="7"/>
      <c r="BZ4180" s="7"/>
    </row>
    <row r="4181" spans="2:78">
      <c r="B4181" s="7"/>
      <c r="O4181" s="7"/>
      <c r="X4181" s="7"/>
      <c r="AG4181" s="7"/>
      <c r="AP4181" s="7"/>
      <c r="AY4181" s="7"/>
      <c r="BH4181" s="7"/>
      <c r="BQ4181" s="7"/>
      <c r="BZ4181" s="7"/>
    </row>
    <row r="4182" spans="2:78">
      <c r="B4182" s="7"/>
      <c r="O4182" s="7"/>
      <c r="X4182" s="7"/>
      <c r="AG4182" s="7"/>
      <c r="AP4182" s="7"/>
      <c r="AY4182" s="7"/>
      <c r="BH4182" s="7"/>
      <c r="BQ4182" s="7"/>
      <c r="BZ4182" s="7"/>
    </row>
    <row r="4183" spans="2:78">
      <c r="B4183" s="7"/>
      <c r="O4183" s="7"/>
      <c r="X4183" s="7"/>
      <c r="AG4183" s="7"/>
      <c r="AP4183" s="7"/>
      <c r="AY4183" s="7"/>
      <c r="BH4183" s="7"/>
      <c r="BQ4183" s="7"/>
      <c r="BZ4183" s="7"/>
    </row>
    <row r="4184" spans="2:78">
      <c r="B4184" s="7"/>
      <c r="O4184" s="7"/>
      <c r="X4184" s="7"/>
      <c r="AG4184" s="7"/>
      <c r="AP4184" s="7"/>
      <c r="AY4184" s="7"/>
      <c r="BH4184" s="7"/>
      <c r="BQ4184" s="7"/>
      <c r="BZ4184" s="7"/>
    </row>
    <row r="4185" spans="2:78">
      <c r="B4185" s="7"/>
      <c r="O4185" s="7"/>
      <c r="X4185" s="7"/>
      <c r="AG4185" s="7"/>
      <c r="AP4185" s="7"/>
      <c r="AY4185" s="7"/>
      <c r="BH4185" s="7"/>
      <c r="BQ4185" s="7"/>
      <c r="BZ4185" s="7"/>
    </row>
    <row r="4186" spans="2:78">
      <c r="B4186" s="7"/>
      <c r="O4186" s="7"/>
      <c r="X4186" s="7"/>
      <c r="AG4186" s="7"/>
      <c r="AP4186" s="7"/>
      <c r="AY4186" s="7"/>
      <c r="BH4186" s="7"/>
      <c r="BQ4186" s="7"/>
      <c r="BZ4186" s="7"/>
    </row>
    <row r="4187" spans="2:78">
      <c r="B4187" s="7"/>
      <c r="O4187" s="7"/>
      <c r="X4187" s="7"/>
      <c r="AG4187" s="7"/>
      <c r="AP4187" s="7"/>
      <c r="AY4187" s="7"/>
      <c r="BH4187" s="7"/>
      <c r="BQ4187" s="7"/>
      <c r="BZ4187" s="7"/>
    </row>
    <row r="4188" spans="2:78">
      <c r="B4188" s="7"/>
      <c r="O4188" s="7"/>
      <c r="X4188" s="7"/>
      <c r="AG4188" s="7"/>
      <c r="AP4188" s="7"/>
      <c r="AY4188" s="7"/>
      <c r="BH4188" s="7"/>
      <c r="BQ4188" s="7"/>
      <c r="BZ4188" s="7"/>
    </row>
    <row r="4189" spans="2:78">
      <c r="B4189" s="7"/>
      <c r="O4189" s="7"/>
      <c r="X4189" s="7"/>
      <c r="AG4189" s="7"/>
      <c r="AP4189" s="7"/>
      <c r="AY4189" s="7"/>
      <c r="BH4189" s="7"/>
      <c r="BQ4189" s="7"/>
      <c r="BZ4189" s="7"/>
    </row>
    <row r="4190" spans="2:78">
      <c r="B4190" s="7"/>
      <c r="O4190" s="7"/>
      <c r="X4190" s="7"/>
      <c r="AG4190" s="7"/>
      <c r="AP4190" s="7"/>
      <c r="AY4190" s="7"/>
      <c r="BH4190" s="7"/>
      <c r="BQ4190" s="7"/>
      <c r="BZ4190" s="7"/>
    </row>
    <row r="4191" spans="2:78">
      <c r="B4191" s="7"/>
      <c r="O4191" s="7"/>
      <c r="X4191" s="7"/>
      <c r="AG4191" s="7"/>
      <c r="AP4191" s="7"/>
      <c r="AY4191" s="7"/>
      <c r="BH4191" s="7"/>
      <c r="BQ4191" s="7"/>
      <c r="BZ4191" s="7"/>
    </row>
    <row r="4192" spans="2:78">
      <c r="B4192" s="7"/>
      <c r="O4192" s="7"/>
      <c r="X4192" s="7"/>
      <c r="AG4192" s="7"/>
      <c r="AP4192" s="7"/>
      <c r="AY4192" s="7"/>
      <c r="BH4192" s="7"/>
      <c r="BQ4192" s="7"/>
      <c r="BZ4192" s="7"/>
    </row>
    <row r="4193" spans="2:78">
      <c r="B4193" s="7"/>
      <c r="O4193" s="7"/>
      <c r="X4193" s="7"/>
      <c r="AG4193" s="7"/>
      <c r="AP4193" s="7"/>
      <c r="AY4193" s="7"/>
      <c r="BH4193" s="7"/>
      <c r="BQ4193" s="7"/>
      <c r="BZ4193" s="7"/>
    </row>
    <row r="4194" spans="2:78">
      <c r="B4194" s="7"/>
      <c r="O4194" s="7"/>
      <c r="X4194" s="7"/>
      <c r="AG4194" s="7"/>
      <c r="AP4194" s="7"/>
      <c r="AY4194" s="7"/>
      <c r="BH4194" s="7"/>
      <c r="BQ4194" s="7"/>
      <c r="BZ4194" s="7"/>
    </row>
    <row r="4195" spans="2:78">
      <c r="B4195" s="7"/>
      <c r="O4195" s="7"/>
      <c r="X4195" s="7"/>
      <c r="AG4195" s="7"/>
      <c r="AP4195" s="7"/>
      <c r="AY4195" s="7"/>
      <c r="BH4195" s="7"/>
      <c r="BQ4195" s="7"/>
      <c r="BZ4195" s="7"/>
    </row>
    <row r="4196" spans="2:78">
      <c r="B4196" s="7"/>
      <c r="O4196" s="7"/>
      <c r="X4196" s="7"/>
      <c r="AG4196" s="7"/>
      <c r="AP4196" s="7"/>
      <c r="AY4196" s="7"/>
      <c r="BH4196" s="7"/>
      <c r="BQ4196" s="7"/>
      <c r="BZ4196" s="7"/>
    </row>
    <row r="4197" spans="2:78">
      <c r="B4197" s="7"/>
      <c r="O4197" s="7"/>
      <c r="X4197" s="7"/>
      <c r="AG4197" s="7"/>
      <c r="AP4197" s="7"/>
      <c r="AY4197" s="7"/>
      <c r="BH4197" s="7"/>
      <c r="BQ4197" s="7"/>
      <c r="BZ4197" s="7"/>
    </row>
    <row r="4198" spans="2:78">
      <c r="B4198" s="7"/>
      <c r="O4198" s="7"/>
      <c r="X4198" s="7"/>
      <c r="AG4198" s="7"/>
      <c r="AP4198" s="7"/>
      <c r="AY4198" s="7"/>
      <c r="BH4198" s="7"/>
      <c r="BQ4198" s="7"/>
      <c r="BZ4198" s="7"/>
    </row>
    <row r="4199" spans="2:78">
      <c r="B4199" s="7"/>
      <c r="O4199" s="7"/>
      <c r="X4199" s="7"/>
      <c r="AG4199" s="7"/>
      <c r="AP4199" s="7"/>
      <c r="AY4199" s="7"/>
      <c r="BH4199" s="7"/>
      <c r="BQ4199" s="7"/>
      <c r="BZ4199" s="7"/>
    </row>
    <row r="4200" spans="2:78">
      <c r="B4200" s="7"/>
      <c r="O4200" s="7"/>
      <c r="X4200" s="7"/>
      <c r="AG4200" s="7"/>
      <c r="AP4200" s="7"/>
      <c r="AY4200" s="7"/>
      <c r="BH4200" s="7"/>
      <c r="BQ4200" s="7"/>
      <c r="BZ4200" s="7"/>
    </row>
    <row r="4201" spans="2:78">
      <c r="B4201" s="7"/>
      <c r="O4201" s="7"/>
      <c r="X4201" s="7"/>
      <c r="AG4201" s="7"/>
      <c r="AP4201" s="7"/>
      <c r="AY4201" s="7"/>
      <c r="BH4201" s="7"/>
      <c r="BQ4201" s="7"/>
      <c r="BZ4201" s="7"/>
    </row>
    <row r="4202" spans="2:78">
      <c r="B4202" s="7"/>
      <c r="O4202" s="7"/>
      <c r="X4202" s="7"/>
      <c r="AG4202" s="7"/>
      <c r="AP4202" s="7"/>
      <c r="AY4202" s="7"/>
      <c r="BH4202" s="7"/>
      <c r="BQ4202" s="7"/>
      <c r="BZ4202" s="7"/>
    </row>
    <row r="4203" spans="2:78">
      <c r="B4203" s="7"/>
      <c r="O4203" s="7"/>
      <c r="X4203" s="7"/>
      <c r="AG4203" s="7"/>
      <c r="AP4203" s="7"/>
      <c r="AY4203" s="7"/>
      <c r="BH4203" s="7"/>
      <c r="BQ4203" s="7"/>
      <c r="BZ4203" s="7"/>
    </row>
    <row r="4204" spans="2:78">
      <c r="B4204" s="7"/>
      <c r="O4204" s="7"/>
      <c r="X4204" s="7"/>
      <c r="AG4204" s="7"/>
      <c r="AP4204" s="7"/>
      <c r="AY4204" s="7"/>
      <c r="BH4204" s="7"/>
      <c r="BQ4204" s="7"/>
      <c r="BZ4204" s="7"/>
    </row>
    <row r="4205" spans="2:78">
      <c r="B4205" s="7"/>
      <c r="O4205" s="7"/>
      <c r="X4205" s="7"/>
      <c r="AG4205" s="7"/>
      <c r="AP4205" s="7"/>
      <c r="AY4205" s="7"/>
      <c r="BH4205" s="7"/>
      <c r="BQ4205" s="7"/>
      <c r="BZ4205" s="7"/>
    </row>
    <row r="4206" spans="2:78">
      <c r="B4206" s="7"/>
      <c r="O4206" s="7"/>
      <c r="X4206" s="7"/>
      <c r="AG4206" s="7"/>
      <c r="AP4206" s="7"/>
      <c r="AY4206" s="7"/>
      <c r="BH4206" s="7"/>
      <c r="BQ4206" s="7"/>
      <c r="BZ4206" s="7"/>
    </row>
    <row r="4207" spans="2:78">
      <c r="B4207" s="7"/>
      <c r="O4207" s="7"/>
      <c r="X4207" s="7"/>
      <c r="AG4207" s="7"/>
      <c r="AP4207" s="7"/>
      <c r="AY4207" s="7"/>
      <c r="BH4207" s="7"/>
      <c r="BQ4207" s="7"/>
      <c r="BZ4207" s="7"/>
    </row>
    <row r="4208" spans="2:78">
      <c r="B4208" s="7"/>
      <c r="O4208" s="7"/>
      <c r="X4208" s="7"/>
      <c r="AG4208" s="7"/>
      <c r="AP4208" s="7"/>
      <c r="AY4208" s="7"/>
      <c r="BH4208" s="7"/>
      <c r="BQ4208" s="7"/>
      <c r="BZ4208" s="7"/>
    </row>
    <row r="4209" spans="2:78">
      <c r="B4209" s="7"/>
      <c r="O4209" s="7"/>
      <c r="X4209" s="7"/>
      <c r="AG4209" s="7"/>
      <c r="AP4209" s="7"/>
      <c r="AY4209" s="7"/>
      <c r="BH4209" s="7"/>
      <c r="BQ4209" s="7"/>
      <c r="BZ4209" s="7"/>
    </row>
    <row r="4210" spans="2:78">
      <c r="B4210" s="7"/>
      <c r="O4210" s="7"/>
      <c r="X4210" s="7"/>
      <c r="AG4210" s="7"/>
      <c r="AP4210" s="7"/>
      <c r="AY4210" s="7"/>
      <c r="BH4210" s="7"/>
      <c r="BQ4210" s="7"/>
      <c r="BZ4210" s="7"/>
    </row>
    <row r="4211" spans="2:78">
      <c r="B4211" s="7"/>
      <c r="O4211" s="7"/>
      <c r="X4211" s="7"/>
      <c r="AG4211" s="7"/>
      <c r="AP4211" s="7"/>
      <c r="AY4211" s="7"/>
      <c r="BH4211" s="7"/>
      <c r="BQ4211" s="7"/>
      <c r="BZ4211" s="7"/>
    </row>
    <row r="4212" spans="2:78">
      <c r="B4212" s="7"/>
      <c r="O4212" s="7"/>
      <c r="X4212" s="7"/>
      <c r="AG4212" s="7"/>
      <c r="AP4212" s="7"/>
      <c r="AY4212" s="7"/>
      <c r="BH4212" s="7"/>
      <c r="BQ4212" s="7"/>
      <c r="BZ4212" s="7"/>
    </row>
    <row r="4213" spans="2:78">
      <c r="B4213" s="7"/>
      <c r="O4213" s="7"/>
      <c r="X4213" s="7"/>
      <c r="AG4213" s="7"/>
      <c r="AP4213" s="7"/>
      <c r="AY4213" s="7"/>
      <c r="BH4213" s="7"/>
      <c r="BQ4213" s="7"/>
      <c r="BZ4213" s="7"/>
    </row>
    <row r="4214" spans="2:78">
      <c r="B4214" s="7"/>
      <c r="O4214" s="7"/>
      <c r="X4214" s="7"/>
      <c r="AG4214" s="7"/>
      <c r="AP4214" s="7"/>
      <c r="AY4214" s="7"/>
      <c r="BH4214" s="7"/>
      <c r="BQ4214" s="7"/>
      <c r="BZ4214" s="7"/>
    </row>
    <row r="4215" spans="2:78">
      <c r="B4215" s="7"/>
      <c r="O4215" s="7"/>
      <c r="X4215" s="7"/>
      <c r="AG4215" s="7"/>
      <c r="AP4215" s="7"/>
      <c r="AY4215" s="7"/>
      <c r="BH4215" s="7"/>
      <c r="BQ4215" s="7"/>
      <c r="BZ4215" s="7"/>
    </row>
    <row r="4216" spans="2:78">
      <c r="B4216" s="7"/>
      <c r="O4216" s="7"/>
      <c r="X4216" s="7"/>
      <c r="AG4216" s="7"/>
      <c r="AP4216" s="7"/>
      <c r="AY4216" s="7"/>
      <c r="BH4216" s="7"/>
      <c r="BQ4216" s="7"/>
      <c r="BZ4216" s="7"/>
    </row>
    <row r="4217" spans="2:78">
      <c r="B4217" s="7"/>
      <c r="O4217" s="7"/>
      <c r="X4217" s="7"/>
      <c r="AG4217" s="7"/>
      <c r="AP4217" s="7"/>
      <c r="AY4217" s="7"/>
      <c r="BH4217" s="7"/>
      <c r="BQ4217" s="7"/>
      <c r="BZ4217" s="7"/>
    </row>
    <row r="4218" spans="2:78">
      <c r="B4218" s="7"/>
      <c r="O4218" s="7"/>
      <c r="X4218" s="7"/>
      <c r="AG4218" s="7"/>
      <c r="AP4218" s="7"/>
      <c r="AY4218" s="7"/>
      <c r="BH4218" s="7"/>
      <c r="BQ4218" s="7"/>
      <c r="BZ4218" s="7"/>
    </row>
    <row r="4219" spans="2:78">
      <c r="B4219" s="7"/>
      <c r="O4219" s="7"/>
      <c r="X4219" s="7"/>
      <c r="AG4219" s="7"/>
      <c r="AP4219" s="7"/>
      <c r="AY4219" s="7"/>
      <c r="BH4219" s="7"/>
      <c r="BQ4219" s="7"/>
      <c r="BZ4219" s="7"/>
    </row>
    <row r="4220" spans="2:78">
      <c r="B4220" s="7"/>
      <c r="O4220" s="7"/>
      <c r="X4220" s="7"/>
      <c r="AG4220" s="7"/>
      <c r="AP4220" s="7"/>
      <c r="AY4220" s="7"/>
      <c r="BH4220" s="7"/>
      <c r="BQ4220" s="7"/>
      <c r="BZ4220" s="7"/>
    </row>
    <row r="4221" spans="2:78">
      <c r="B4221" s="7"/>
      <c r="O4221" s="7"/>
      <c r="X4221" s="7"/>
      <c r="AG4221" s="7"/>
      <c r="AP4221" s="7"/>
      <c r="AY4221" s="7"/>
      <c r="BH4221" s="7"/>
      <c r="BQ4221" s="7"/>
      <c r="BZ4221" s="7"/>
    </row>
    <row r="4222" spans="2:78">
      <c r="B4222" s="7"/>
      <c r="O4222" s="7"/>
      <c r="X4222" s="7"/>
      <c r="AG4222" s="7"/>
      <c r="AP4222" s="7"/>
      <c r="AY4222" s="7"/>
      <c r="BH4222" s="7"/>
      <c r="BQ4222" s="7"/>
      <c r="BZ4222" s="7"/>
    </row>
    <row r="4223" spans="2:78">
      <c r="B4223" s="7"/>
      <c r="O4223" s="7"/>
      <c r="X4223" s="7"/>
      <c r="AG4223" s="7"/>
      <c r="AP4223" s="7"/>
      <c r="AY4223" s="7"/>
      <c r="BH4223" s="7"/>
      <c r="BQ4223" s="7"/>
      <c r="BZ4223" s="7"/>
    </row>
    <row r="4224" spans="2:78">
      <c r="B4224" s="7"/>
      <c r="O4224" s="7"/>
      <c r="X4224" s="7"/>
      <c r="AG4224" s="7"/>
      <c r="AP4224" s="7"/>
      <c r="AY4224" s="7"/>
      <c r="BH4224" s="7"/>
      <c r="BQ4224" s="7"/>
      <c r="BZ4224" s="7"/>
    </row>
    <row r="4225" spans="2:78">
      <c r="B4225" s="7"/>
      <c r="O4225" s="7"/>
      <c r="X4225" s="7"/>
      <c r="AG4225" s="7"/>
      <c r="AP4225" s="7"/>
      <c r="AY4225" s="7"/>
      <c r="BH4225" s="7"/>
      <c r="BQ4225" s="7"/>
      <c r="BZ4225" s="7"/>
    </row>
    <row r="4226" spans="2:78">
      <c r="B4226" s="7"/>
      <c r="O4226" s="7"/>
      <c r="X4226" s="7"/>
      <c r="AG4226" s="7"/>
      <c r="AP4226" s="7"/>
      <c r="AY4226" s="7"/>
      <c r="BH4226" s="7"/>
      <c r="BQ4226" s="7"/>
      <c r="BZ4226" s="7"/>
    </row>
    <row r="4227" spans="2:78">
      <c r="B4227" s="7"/>
      <c r="O4227" s="7"/>
      <c r="X4227" s="7"/>
      <c r="AG4227" s="7"/>
      <c r="AP4227" s="7"/>
      <c r="AY4227" s="7"/>
      <c r="BH4227" s="7"/>
      <c r="BQ4227" s="7"/>
      <c r="BZ4227" s="7"/>
    </row>
    <row r="4228" spans="2:78">
      <c r="B4228" s="7"/>
      <c r="O4228" s="7"/>
      <c r="X4228" s="7"/>
      <c r="AG4228" s="7"/>
      <c r="AP4228" s="7"/>
      <c r="AY4228" s="7"/>
      <c r="BH4228" s="7"/>
      <c r="BQ4228" s="7"/>
      <c r="BZ4228" s="7"/>
    </row>
    <row r="4229" spans="2:78">
      <c r="B4229" s="7"/>
      <c r="O4229" s="7"/>
      <c r="X4229" s="7"/>
      <c r="AG4229" s="7"/>
      <c r="AP4229" s="7"/>
      <c r="AY4229" s="7"/>
      <c r="BH4229" s="7"/>
      <c r="BQ4229" s="7"/>
      <c r="BZ4229" s="7"/>
    </row>
    <row r="4230" spans="2:78">
      <c r="B4230" s="7"/>
      <c r="O4230" s="7"/>
      <c r="X4230" s="7"/>
      <c r="AG4230" s="7"/>
      <c r="AP4230" s="7"/>
      <c r="AY4230" s="7"/>
      <c r="BH4230" s="7"/>
      <c r="BQ4230" s="7"/>
      <c r="BZ4230" s="7"/>
    </row>
    <row r="4231" spans="2:78">
      <c r="B4231" s="7"/>
      <c r="O4231" s="7"/>
      <c r="X4231" s="7"/>
      <c r="AG4231" s="7"/>
      <c r="AP4231" s="7"/>
      <c r="AY4231" s="7"/>
      <c r="BH4231" s="7"/>
      <c r="BQ4231" s="7"/>
      <c r="BZ4231" s="7"/>
    </row>
    <row r="4232" spans="2:78">
      <c r="B4232" s="7"/>
      <c r="O4232" s="7"/>
      <c r="X4232" s="7"/>
      <c r="AG4232" s="7"/>
      <c r="AP4232" s="7"/>
      <c r="AY4232" s="7"/>
      <c r="BH4232" s="7"/>
      <c r="BQ4232" s="7"/>
      <c r="BZ4232" s="7"/>
    </row>
    <row r="4233" spans="2:78">
      <c r="B4233" s="7"/>
      <c r="O4233" s="7"/>
      <c r="X4233" s="7"/>
      <c r="AG4233" s="7"/>
      <c r="AP4233" s="7"/>
      <c r="AY4233" s="7"/>
      <c r="BH4233" s="7"/>
      <c r="BQ4233" s="7"/>
      <c r="BZ4233" s="7"/>
    </row>
    <row r="4234" spans="2:78">
      <c r="B4234" s="7"/>
      <c r="O4234" s="7"/>
      <c r="X4234" s="7"/>
      <c r="AG4234" s="7"/>
      <c r="AP4234" s="7"/>
      <c r="AY4234" s="7"/>
      <c r="BH4234" s="7"/>
      <c r="BQ4234" s="7"/>
      <c r="BZ4234" s="7"/>
    </row>
    <row r="4235" spans="2:78">
      <c r="B4235" s="7"/>
      <c r="O4235" s="7"/>
      <c r="X4235" s="7"/>
      <c r="AG4235" s="7"/>
      <c r="AP4235" s="7"/>
      <c r="AY4235" s="7"/>
      <c r="BH4235" s="7"/>
      <c r="BQ4235" s="7"/>
      <c r="BZ4235" s="7"/>
    </row>
    <row r="4236" spans="2:78">
      <c r="B4236" s="7"/>
      <c r="O4236" s="7"/>
      <c r="X4236" s="7"/>
      <c r="AG4236" s="7"/>
      <c r="AP4236" s="7"/>
      <c r="AY4236" s="7"/>
      <c r="BH4236" s="7"/>
      <c r="BQ4236" s="7"/>
      <c r="BZ4236" s="7"/>
    </row>
    <row r="4237" spans="2:78">
      <c r="B4237" s="7"/>
      <c r="O4237" s="7"/>
      <c r="X4237" s="7"/>
      <c r="AG4237" s="7"/>
      <c r="AP4237" s="7"/>
      <c r="AY4237" s="7"/>
      <c r="BH4237" s="7"/>
      <c r="BQ4237" s="7"/>
      <c r="BZ4237" s="7"/>
    </row>
    <row r="4238" spans="2:78">
      <c r="B4238" s="7"/>
      <c r="O4238" s="7"/>
      <c r="X4238" s="7"/>
      <c r="AG4238" s="7"/>
      <c r="AP4238" s="7"/>
      <c r="AY4238" s="7"/>
      <c r="BH4238" s="7"/>
      <c r="BQ4238" s="7"/>
      <c r="BZ4238" s="7"/>
    </row>
    <row r="4239" spans="2:78">
      <c r="B4239" s="7"/>
      <c r="O4239" s="7"/>
      <c r="X4239" s="7"/>
      <c r="AG4239" s="7"/>
      <c r="AP4239" s="7"/>
      <c r="AY4239" s="7"/>
      <c r="BH4239" s="7"/>
      <c r="BQ4239" s="7"/>
      <c r="BZ4239" s="7"/>
    </row>
    <row r="4240" spans="2:78">
      <c r="B4240" s="7"/>
      <c r="O4240" s="7"/>
      <c r="X4240" s="7"/>
      <c r="AG4240" s="7"/>
      <c r="AP4240" s="7"/>
      <c r="AY4240" s="7"/>
      <c r="BH4240" s="7"/>
      <c r="BQ4240" s="7"/>
      <c r="BZ4240" s="7"/>
    </row>
    <row r="4241" spans="2:78">
      <c r="B4241" s="7"/>
      <c r="O4241" s="7"/>
      <c r="X4241" s="7"/>
      <c r="AG4241" s="7"/>
      <c r="AP4241" s="7"/>
      <c r="AY4241" s="7"/>
      <c r="BH4241" s="7"/>
      <c r="BQ4241" s="7"/>
      <c r="BZ4241" s="7"/>
    </row>
    <row r="4242" spans="2:78">
      <c r="B4242" s="7"/>
      <c r="O4242" s="7"/>
      <c r="X4242" s="7"/>
      <c r="AG4242" s="7"/>
      <c r="AP4242" s="7"/>
      <c r="AY4242" s="7"/>
      <c r="BH4242" s="7"/>
      <c r="BQ4242" s="7"/>
      <c r="BZ4242" s="7"/>
    </row>
    <row r="4243" spans="2:78">
      <c r="B4243" s="7"/>
      <c r="O4243" s="7"/>
      <c r="X4243" s="7"/>
      <c r="AG4243" s="7"/>
      <c r="AP4243" s="7"/>
      <c r="AY4243" s="7"/>
      <c r="BH4243" s="7"/>
      <c r="BQ4243" s="7"/>
      <c r="BZ4243" s="7"/>
    </row>
    <row r="4244" spans="2:78">
      <c r="B4244" s="7"/>
      <c r="O4244" s="7"/>
      <c r="X4244" s="7"/>
      <c r="AG4244" s="7"/>
      <c r="AP4244" s="7"/>
      <c r="AY4244" s="7"/>
      <c r="BH4244" s="7"/>
      <c r="BQ4244" s="7"/>
      <c r="BZ4244" s="7"/>
    </row>
    <row r="4245" spans="2:78">
      <c r="B4245" s="7"/>
      <c r="O4245" s="7"/>
      <c r="X4245" s="7"/>
      <c r="AG4245" s="7"/>
      <c r="AP4245" s="7"/>
      <c r="AY4245" s="7"/>
      <c r="BH4245" s="7"/>
      <c r="BQ4245" s="7"/>
      <c r="BZ4245" s="7"/>
    </row>
    <row r="4246" spans="2:78">
      <c r="B4246" s="7"/>
      <c r="O4246" s="7"/>
      <c r="X4246" s="7"/>
      <c r="AG4246" s="7"/>
      <c r="AP4246" s="7"/>
      <c r="AY4246" s="7"/>
      <c r="BH4246" s="7"/>
      <c r="BQ4246" s="7"/>
      <c r="BZ4246" s="7"/>
    </row>
    <row r="4247" spans="2:78">
      <c r="B4247" s="7"/>
      <c r="O4247" s="7"/>
      <c r="X4247" s="7"/>
      <c r="AG4247" s="7"/>
      <c r="AP4247" s="7"/>
      <c r="AY4247" s="7"/>
      <c r="BH4247" s="7"/>
      <c r="BQ4247" s="7"/>
      <c r="BZ4247" s="7"/>
    </row>
    <row r="4248" spans="2:78">
      <c r="B4248" s="7"/>
      <c r="O4248" s="7"/>
      <c r="X4248" s="7"/>
      <c r="AG4248" s="7"/>
      <c r="AP4248" s="7"/>
      <c r="AY4248" s="7"/>
      <c r="BH4248" s="7"/>
      <c r="BQ4248" s="7"/>
      <c r="BZ4248" s="7"/>
    </row>
    <row r="4249" spans="2:78">
      <c r="B4249" s="7"/>
      <c r="O4249" s="7"/>
      <c r="X4249" s="7"/>
      <c r="AG4249" s="7"/>
      <c r="AP4249" s="7"/>
      <c r="AY4249" s="7"/>
      <c r="BH4249" s="7"/>
      <c r="BQ4249" s="7"/>
      <c r="BZ4249" s="7"/>
    </row>
    <row r="4250" spans="2:78">
      <c r="B4250" s="7"/>
      <c r="O4250" s="7"/>
      <c r="X4250" s="7"/>
      <c r="AG4250" s="7"/>
      <c r="AP4250" s="7"/>
      <c r="AY4250" s="7"/>
      <c r="BH4250" s="7"/>
      <c r="BQ4250" s="7"/>
      <c r="BZ4250" s="7"/>
    </row>
    <row r="4251" spans="2:78">
      <c r="B4251" s="7"/>
      <c r="O4251" s="7"/>
      <c r="X4251" s="7"/>
      <c r="AG4251" s="7"/>
      <c r="AP4251" s="7"/>
      <c r="AY4251" s="7"/>
      <c r="BH4251" s="7"/>
      <c r="BQ4251" s="7"/>
      <c r="BZ4251" s="7"/>
    </row>
    <row r="4252" spans="2:78">
      <c r="B4252" s="7"/>
      <c r="O4252" s="7"/>
      <c r="X4252" s="7"/>
      <c r="AG4252" s="7"/>
      <c r="AP4252" s="7"/>
      <c r="AY4252" s="7"/>
      <c r="BH4252" s="7"/>
      <c r="BQ4252" s="7"/>
      <c r="BZ4252" s="7"/>
    </row>
    <row r="4253" spans="2:78">
      <c r="B4253" s="7"/>
      <c r="O4253" s="7"/>
      <c r="X4253" s="7"/>
      <c r="AG4253" s="7"/>
      <c r="AP4253" s="7"/>
      <c r="AY4253" s="7"/>
      <c r="BH4253" s="7"/>
      <c r="BQ4253" s="7"/>
      <c r="BZ4253" s="7"/>
    </row>
    <row r="4254" spans="2:78">
      <c r="B4254" s="7"/>
      <c r="O4254" s="7"/>
      <c r="X4254" s="7"/>
      <c r="AG4254" s="7"/>
      <c r="AP4254" s="7"/>
      <c r="AY4254" s="7"/>
      <c r="BH4254" s="7"/>
      <c r="BQ4254" s="7"/>
      <c r="BZ4254" s="7"/>
    </row>
    <row r="4255" spans="2:78">
      <c r="B4255" s="7"/>
      <c r="O4255" s="7"/>
      <c r="X4255" s="7"/>
      <c r="AG4255" s="7"/>
      <c r="AP4255" s="7"/>
      <c r="AY4255" s="7"/>
      <c r="BH4255" s="7"/>
      <c r="BQ4255" s="7"/>
      <c r="BZ4255" s="7"/>
    </row>
    <row r="4256" spans="2:78">
      <c r="B4256" s="7"/>
      <c r="O4256" s="7"/>
      <c r="X4256" s="7"/>
      <c r="AG4256" s="7"/>
      <c r="AP4256" s="7"/>
      <c r="AY4256" s="7"/>
      <c r="BH4256" s="7"/>
      <c r="BQ4256" s="7"/>
      <c r="BZ4256" s="7"/>
    </row>
    <row r="4257" spans="2:78">
      <c r="B4257" s="7"/>
      <c r="O4257" s="7"/>
      <c r="X4257" s="7"/>
      <c r="AG4257" s="7"/>
      <c r="AP4257" s="7"/>
      <c r="AY4257" s="7"/>
      <c r="BH4257" s="7"/>
      <c r="BQ4257" s="7"/>
      <c r="BZ4257" s="7"/>
    </row>
    <row r="4258" spans="2:78">
      <c r="B4258" s="7"/>
      <c r="O4258" s="7"/>
      <c r="X4258" s="7"/>
      <c r="AG4258" s="7"/>
      <c r="AP4258" s="7"/>
      <c r="AY4258" s="7"/>
      <c r="BH4258" s="7"/>
      <c r="BQ4258" s="7"/>
      <c r="BZ4258" s="7"/>
    </row>
    <row r="4259" spans="2:78">
      <c r="B4259" s="7"/>
      <c r="O4259" s="7"/>
      <c r="X4259" s="7"/>
      <c r="AG4259" s="7"/>
      <c r="AP4259" s="7"/>
      <c r="AY4259" s="7"/>
      <c r="BH4259" s="7"/>
      <c r="BQ4259" s="7"/>
      <c r="BZ4259" s="7"/>
    </row>
    <row r="4260" spans="2:78">
      <c r="B4260" s="7"/>
      <c r="O4260" s="7"/>
      <c r="X4260" s="7"/>
      <c r="AG4260" s="7"/>
      <c r="AP4260" s="7"/>
      <c r="AY4260" s="7"/>
      <c r="BH4260" s="7"/>
      <c r="BQ4260" s="7"/>
      <c r="BZ4260" s="7"/>
    </row>
    <row r="4261" spans="2:78">
      <c r="B4261" s="7"/>
      <c r="O4261" s="7"/>
      <c r="X4261" s="7"/>
      <c r="AG4261" s="7"/>
      <c r="AP4261" s="7"/>
      <c r="AY4261" s="7"/>
      <c r="BH4261" s="7"/>
      <c r="BQ4261" s="7"/>
      <c r="BZ4261" s="7"/>
    </row>
    <row r="4262" spans="2:78">
      <c r="B4262" s="7"/>
      <c r="O4262" s="7"/>
      <c r="X4262" s="7"/>
      <c r="AG4262" s="7"/>
      <c r="AP4262" s="7"/>
      <c r="AY4262" s="7"/>
      <c r="BH4262" s="7"/>
      <c r="BQ4262" s="7"/>
      <c r="BZ4262" s="7"/>
    </row>
    <row r="4263" spans="2:78">
      <c r="B4263" s="7"/>
      <c r="O4263" s="7"/>
      <c r="X4263" s="7"/>
      <c r="AG4263" s="7"/>
      <c r="AP4263" s="7"/>
      <c r="AY4263" s="7"/>
      <c r="BH4263" s="7"/>
      <c r="BQ4263" s="7"/>
      <c r="BZ4263" s="7"/>
    </row>
    <row r="4264" spans="2:78">
      <c r="B4264" s="7"/>
      <c r="O4264" s="7"/>
      <c r="X4264" s="7"/>
      <c r="AG4264" s="7"/>
      <c r="AP4264" s="7"/>
      <c r="AY4264" s="7"/>
      <c r="BH4264" s="7"/>
      <c r="BQ4264" s="7"/>
      <c r="BZ4264" s="7"/>
    </row>
    <row r="4265" spans="2:78">
      <c r="B4265" s="7"/>
      <c r="O4265" s="7"/>
      <c r="X4265" s="7"/>
      <c r="AG4265" s="7"/>
      <c r="AP4265" s="7"/>
      <c r="AY4265" s="7"/>
      <c r="BH4265" s="7"/>
      <c r="BQ4265" s="7"/>
      <c r="BZ4265" s="7"/>
    </row>
    <row r="4266" spans="2:78">
      <c r="B4266" s="7"/>
      <c r="O4266" s="7"/>
      <c r="X4266" s="7"/>
      <c r="AG4266" s="7"/>
      <c r="AP4266" s="7"/>
      <c r="AY4266" s="7"/>
      <c r="BH4266" s="7"/>
      <c r="BQ4266" s="7"/>
      <c r="BZ4266" s="7"/>
    </row>
    <row r="4267" spans="2:78">
      <c r="B4267" s="7"/>
      <c r="O4267" s="7"/>
      <c r="X4267" s="7"/>
      <c r="AG4267" s="7"/>
      <c r="AP4267" s="7"/>
      <c r="AY4267" s="7"/>
      <c r="BH4267" s="7"/>
      <c r="BQ4267" s="7"/>
      <c r="BZ4267" s="7"/>
    </row>
    <row r="4268" spans="2:78">
      <c r="B4268" s="7"/>
      <c r="O4268" s="7"/>
      <c r="X4268" s="7"/>
      <c r="AG4268" s="7"/>
      <c r="AP4268" s="7"/>
      <c r="AY4268" s="7"/>
      <c r="BH4268" s="7"/>
      <c r="BQ4268" s="7"/>
      <c r="BZ4268" s="7"/>
    </row>
    <row r="4269" spans="2:78">
      <c r="B4269" s="7"/>
      <c r="O4269" s="7"/>
      <c r="X4269" s="7"/>
      <c r="AG4269" s="7"/>
      <c r="AP4269" s="7"/>
      <c r="AY4269" s="7"/>
      <c r="BH4269" s="7"/>
      <c r="BQ4269" s="7"/>
      <c r="BZ4269" s="7"/>
    </row>
    <row r="4270" spans="2:78">
      <c r="B4270" s="7"/>
      <c r="O4270" s="7"/>
      <c r="X4270" s="7"/>
      <c r="AG4270" s="7"/>
      <c r="AP4270" s="7"/>
      <c r="AY4270" s="7"/>
      <c r="BH4270" s="7"/>
      <c r="BQ4270" s="7"/>
      <c r="BZ4270" s="7"/>
    </row>
    <row r="4271" spans="2:78">
      <c r="B4271" s="7"/>
      <c r="O4271" s="7"/>
      <c r="X4271" s="7"/>
      <c r="AG4271" s="7"/>
      <c r="AP4271" s="7"/>
      <c r="AY4271" s="7"/>
      <c r="BH4271" s="7"/>
      <c r="BQ4271" s="7"/>
      <c r="BZ4271" s="7"/>
    </row>
    <row r="4272" spans="2:78">
      <c r="B4272" s="7"/>
      <c r="O4272" s="7"/>
      <c r="X4272" s="7"/>
      <c r="AG4272" s="7"/>
      <c r="AP4272" s="7"/>
      <c r="AY4272" s="7"/>
      <c r="BH4272" s="7"/>
      <c r="BQ4272" s="7"/>
      <c r="BZ4272" s="7"/>
    </row>
    <row r="4273" spans="2:78">
      <c r="B4273" s="7"/>
      <c r="O4273" s="7"/>
      <c r="X4273" s="7"/>
      <c r="AG4273" s="7"/>
      <c r="AP4273" s="7"/>
      <c r="AY4273" s="7"/>
      <c r="BH4273" s="7"/>
      <c r="BQ4273" s="7"/>
      <c r="BZ4273" s="7"/>
    </row>
    <row r="4274" spans="2:78">
      <c r="B4274" s="7"/>
      <c r="O4274" s="7"/>
      <c r="X4274" s="7"/>
      <c r="AG4274" s="7"/>
      <c r="AP4274" s="7"/>
      <c r="AY4274" s="7"/>
      <c r="BH4274" s="7"/>
      <c r="BQ4274" s="7"/>
      <c r="BZ4274" s="7"/>
    </row>
    <row r="4275" spans="2:78">
      <c r="B4275" s="7"/>
      <c r="O4275" s="7"/>
      <c r="X4275" s="7"/>
      <c r="AG4275" s="7"/>
      <c r="AP4275" s="7"/>
      <c r="AY4275" s="7"/>
      <c r="BH4275" s="7"/>
      <c r="BQ4275" s="7"/>
      <c r="BZ4275" s="7"/>
    </row>
    <row r="4276" spans="2:78">
      <c r="B4276" s="7"/>
      <c r="O4276" s="7"/>
      <c r="X4276" s="7"/>
      <c r="AG4276" s="7"/>
      <c r="AP4276" s="7"/>
      <c r="AY4276" s="7"/>
      <c r="BH4276" s="7"/>
      <c r="BQ4276" s="7"/>
      <c r="BZ4276" s="7"/>
    </row>
    <row r="4277" spans="2:78">
      <c r="B4277" s="7"/>
      <c r="O4277" s="7"/>
      <c r="X4277" s="7"/>
      <c r="AG4277" s="7"/>
      <c r="AP4277" s="7"/>
      <c r="AY4277" s="7"/>
      <c r="BH4277" s="7"/>
      <c r="BQ4277" s="7"/>
      <c r="BZ4277" s="7"/>
    </row>
    <row r="4278" spans="2:78">
      <c r="B4278" s="7"/>
      <c r="O4278" s="7"/>
      <c r="X4278" s="7"/>
      <c r="AG4278" s="7"/>
      <c r="AP4278" s="7"/>
      <c r="AY4278" s="7"/>
      <c r="BH4278" s="7"/>
      <c r="BQ4278" s="7"/>
      <c r="BZ4278" s="7"/>
    </row>
    <row r="4279" spans="2:78">
      <c r="B4279" s="7"/>
      <c r="O4279" s="7"/>
      <c r="X4279" s="7"/>
      <c r="AG4279" s="7"/>
      <c r="AP4279" s="7"/>
      <c r="AY4279" s="7"/>
      <c r="BH4279" s="7"/>
      <c r="BQ4279" s="7"/>
      <c r="BZ4279" s="7"/>
    </row>
    <row r="4280" spans="2:78">
      <c r="B4280" s="7"/>
      <c r="O4280" s="7"/>
      <c r="X4280" s="7"/>
      <c r="AG4280" s="7"/>
      <c r="AP4280" s="7"/>
      <c r="AY4280" s="7"/>
      <c r="BH4280" s="7"/>
      <c r="BQ4280" s="7"/>
      <c r="BZ4280" s="7"/>
    </row>
    <row r="4281" spans="2:78">
      <c r="B4281" s="7"/>
      <c r="O4281" s="7"/>
      <c r="X4281" s="7"/>
      <c r="AG4281" s="7"/>
      <c r="AP4281" s="7"/>
      <c r="AY4281" s="7"/>
      <c r="BH4281" s="7"/>
      <c r="BQ4281" s="7"/>
      <c r="BZ4281" s="7"/>
    </row>
    <row r="4282" spans="2:78">
      <c r="B4282" s="7"/>
      <c r="O4282" s="7"/>
      <c r="X4282" s="7"/>
      <c r="AG4282" s="7"/>
      <c r="AP4282" s="7"/>
      <c r="AY4282" s="7"/>
      <c r="BH4282" s="7"/>
      <c r="BQ4282" s="7"/>
      <c r="BZ4282" s="7"/>
    </row>
    <row r="4283" spans="2:78">
      <c r="B4283" s="7"/>
      <c r="O4283" s="7"/>
      <c r="X4283" s="7"/>
      <c r="AG4283" s="7"/>
      <c r="AP4283" s="7"/>
      <c r="AY4283" s="7"/>
      <c r="BH4283" s="7"/>
      <c r="BQ4283" s="7"/>
      <c r="BZ4283" s="7"/>
    </row>
    <row r="4284" spans="2:78">
      <c r="B4284" s="7"/>
      <c r="O4284" s="7"/>
      <c r="X4284" s="7"/>
      <c r="AG4284" s="7"/>
      <c r="AP4284" s="7"/>
      <c r="AY4284" s="7"/>
      <c r="BH4284" s="7"/>
      <c r="BQ4284" s="7"/>
      <c r="BZ4284" s="7"/>
    </row>
    <row r="4285" spans="2:78">
      <c r="B4285" s="7"/>
      <c r="O4285" s="7"/>
      <c r="X4285" s="7"/>
      <c r="AG4285" s="7"/>
      <c r="AP4285" s="7"/>
      <c r="AY4285" s="7"/>
      <c r="BH4285" s="7"/>
      <c r="BQ4285" s="7"/>
      <c r="BZ4285" s="7"/>
    </row>
    <row r="4286" spans="2:78">
      <c r="B4286" s="7"/>
      <c r="O4286" s="7"/>
      <c r="X4286" s="7"/>
      <c r="AG4286" s="7"/>
      <c r="AP4286" s="7"/>
      <c r="AY4286" s="7"/>
      <c r="BH4286" s="7"/>
      <c r="BQ4286" s="7"/>
      <c r="BZ4286" s="7"/>
    </row>
    <row r="4287" spans="2:78">
      <c r="B4287" s="7"/>
      <c r="O4287" s="7"/>
      <c r="X4287" s="7"/>
      <c r="AG4287" s="7"/>
      <c r="AP4287" s="7"/>
      <c r="AY4287" s="7"/>
      <c r="BH4287" s="7"/>
      <c r="BQ4287" s="7"/>
      <c r="BZ4287" s="7"/>
    </row>
    <row r="4288" spans="2:78">
      <c r="B4288" s="7"/>
      <c r="O4288" s="7"/>
      <c r="X4288" s="7"/>
      <c r="AG4288" s="7"/>
      <c r="AP4288" s="7"/>
      <c r="AY4288" s="7"/>
      <c r="BH4288" s="7"/>
      <c r="BQ4288" s="7"/>
      <c r="BZ4288" s="7"/>
    </row>
    <row r="4289" spans="2:78">
      <c r="B4289" s="7"/>
      <c r="O4289" s="7"/>
      <c r="X4289" s="7"/>
      <c r="AG4289" s="7"/>
      <c r="AP4289" s="7"/>
      <c r="AY4289" s="7"/>
      <c r="BH4289" s="7"/>
      <c r="BQ4289" s="7"/>
      <c r="BZ4289" s="7"/>
    </row>
    <row r="4290" spans="2:78">
      <c r="B4290" s="7"/>
      <c r="O4290" s="7"/>
      <c r="X4290" s="7"/>
      <c r="AG4290" s="7"/>
      <c r="AP4290" s="7"/>
      <c r="AY4290" s="7"/>
      <c r="BH4290" s="7"/>
      <c r="BQ4290" s="7"/>
      <c r="BZ4290" s="7"/>
    </row>
    <row r="4291" spans="2:78">
      <c r="B4291" s="7"/>
      <c r="O4291" s="7"/>
      <c r="X4291" s="7"/>
      <c r="AG4291" s="7"/>
      <c r="AP4291" s="7"/>
      <c r="AY4291" s="7"/>
      <c r="BH4291" s="7"/>
      <c r="BQ4291" s="7"/>
      <c r="BZ4291" s="7"/>
    </row>
    <row r="4292" spans="2:78">
      <c r="B4292" s="7"/>
      <c r="O4292" s="7"/>
      <c r="X4292" s="7"/>
      <c r="AG4292" s="7"/>
      <c r="AP4292" s="7"/>
      <c r="AY4292" s="7"/>
      <c r="BH4292" s="7"/>
      <c r="BQ4292" s="7"/>
      <c r="BZ4292" s="7"/>
    </row>
    <row r="4293" spans="2:78">
      <c r="B4293" s="7"/>
      <c r="O4293" s="7"/>
      <c r="X4293" s="7"/>
      <c r="AG4293" s="7"/>
      <c r="AP4293" s="7"/>
      <c r="AY4293" s="7"/>
      <c r="BH4293" s="7"/>
      <c r="BQ4293" s="7"/>
      <c r="BZ4293" s="7"/>
    </row>
    <row r="4294" spans="2:78">
      <c r="B4294" s="7"/>
      <c r="O4294" s="7"/>
      <c r="X4294" s="7"/>
      <c r="AG4294" s="7"/>
      <c r="AP4294" s="7"/>
      <c r="AY4294" s="7"/>
      <c r="BH4294" s="7"/>
      <c r="BQ4294" s="7"/>
      <c r="BZ4294" s="7"/>
    </row>
    <row r="4295" spans="2:78">
      <c r="B4295" s="7"/>
      <c r="O4295" s="7"/>
      <c r="X4295" s="7"/>
      <c r="AG4295" s="7"/>
      <c r="AP4295" s="7"/>
      <c r="AY4295" s="7"/>
      <c r="BH4295" s="7"/>
      <c r="BQ4295" s="7"/>
      <c r="BZ4295" s="7"/>
    </row>
    <row r="4296" spans="2:78">
      <c r="B4296" s="7"/>
      <c r="O4296" s="7"/>
      <c r="X4296" s="7"/>
      <c r="AG4296" s="7"/>
      <c r="AP4296" s="7"/>
      <c r="AY4296" s="7"/>
      <c r="BH4296" s="7"/>
      <c r="BQ4296" s="7"/>
      <c r="BZ4296" s="7"/>
    </row>
    <row r="4297" spans="2:78">
      <c r="B4297" s="7"/>
      <c r="O4297" s="7"/>
      <c r="X4297" s="7"/>
      <c r="AG4297" s="7"/>
      <c r="AP4297" s="7"/>
      <c r="AY4297" s="7"/>
      <c r="BH4297" s="7"/>
      <c r="BQ4297" s="7"/>
      <c r="BZ4297" s="7"/>
    </row>
    <row r="4298" spans="2:78">
      <c r="B4298" s="7"/>
      <c r="O4298" s="7"/>
      <c r="X4298" s="7"/>
      <c r="AG4298" s="7"/>
      <c r="AP4298" s="7"/>
      <c r="AY4298" s="7"/>
      <c r="BH4298" s="7"/>
      <c r="BQ4298" s="7"/>
      <c r="BZ4298" s="7"/>
    </row>
    <row r="4299" spans="2:78">
      <c r="B4299" s="7"/>
      <c r="O4299" s="7"/>
      <c r="X4299" s="7"/>
      <c r="AG4299" s="7"/>
      <c r="AP4299" s="7"/>
      <c r="AY4299" s="7"/>
      <c r="BH4299" s="7"/>
      <c r="BQ4299" s="7"/>
      <c r="BZ4299" s="7"/>
    </row>
    <row r="4300" spans="2:78">
      <c r="B4300" s="7"/>
      <c r="O4300" s="7"/>
      <c r="X4300" s="7"/>
      <c r="AG4300" s="7"/>
      <c r="AP4300" s="7"/>
      <c r="AY4300" s="7"/>
      <c r="BH4300" s="7"/>
      <c r="BQ4300" s="7"/>
      <c r="BZ4300" s="7"/>
    </row>
    <row r="4301" spans="2:78">
      <c r="B4301" s="7"/>
      <c r="O4301" s="7"/>
      <c r="X4301" s="7"/>
      <c r="AG4301" s="7"/>
      <c r="AP4301" s="7"/>
      <c r="AY4301" s="7"/>
      <c r="BH4301" s="7"/>
      <c r="BQ4301" s="7"/>
      <c r="BZ4301" s="7"/>
    </row>
    <row r="4302" spans="2:78">
      <c r="B4302" s="7"/>
      <c r="O4302" s="7"/>
      <c r="X4302" s="7"/>
      <c r="AG4302" s="7"/>
      <c r="AP4302" s="7"/>
      <c r="AY4302" s="7"/>
      <c r="BH4302" s="7"/>
      <c r="BQ4302" s="7"/>
      <c r="BZ4302" s="7"/>
    </row>
    <row r="4303" spans="2:78">
      <c r="B4303" s="7"/>
      <c r="O4303" s="7"/>
      <c r="X4303" s="7"/>
      <c r="AG4303" s="7"/>
      <c r="AP4303" s="7"/>
      <c r="AY4303" s="7"/>
      <c r="BH4303" s="7"/>
      <c r="BQ4303" s="7"/>
      <c r="BZ4303" s="7"/>
    </row>
    <row r="4304" spans="2:78">
      <c r="B4304" s="7"/>
      <c r="O4304" s="7"/>
      <c r="X4304" s="7"/>
      <c r="AG4304" s="7"/>
      <c r="AP4304" s="7"/>
      <c r="AY4304" s="7"/>
      <c r="BH4304" s="7"/>
      <c r="BQ4304" s="7"/>
      <c r="BZ4304" s="7"/>
    </row>
    <row r="4305" spans="2:78">
      <c r="B4305" s="7"/>
      <c r="O4305" s="7"/>
      <c r="X4305" s="7"/>
      <c r="AG4305" s="7"/>
      <c r="AP4305" s="7"/>
      <c r="AY4305" s="7"/>
      <c r="BH4305" s="7"/>
      <c r="BQ4305" s="7"/>
      <c r="BZ4305" s="7"/>
    </row>
    <row r="4306" spans="2:78">
      <c r="B4306" s="7"/>
      <c r="O4306" s="7"/>
      <c r="X4306" s="7"/>
      <c r="AG4306" s="7"/>
      <c r="AP4306" s="7"/>
      <c r="AY4306" s="7"/>
      <c r="BH4306" s="7"/>
      <c r="BQ4306" s="7"/>
      <c r="BZ4306" s="7"/>
    </row>
    <row r="4307" spans="2:78">
      <c r="B4307" s="7"/>
      <c r="O4307" s="7"/>
      <c r="X4307" s="7"/>
      <c r="AG4307" s="7"/>
      <c r="AP4307" s="7"/>
      <c r="AY4307" s="7"/>
      <c r="BH4307" s="7"/>
      <c r="BQ4307" s="7"/>
      <c r="BZ4307" s="7"/>
    </row>
    <row r="4308" spans="2:78">
      <c r="B4308" s="7"/>
      <c r="O4308" s="7"/>
      <c r="X4308" s="7"/>
      <c r="AG4308" s="7"/>
      <c r="AP4308" s="7"/>
      <c r="AY4308" s="7"/>
      <c r="BH4308" s="7"/>
      <c r="BQ4308" s="7"/>
      <c r="BZ4308" s="7"/>
    </row>
    <row r="4309" spans="2:78">
      <c r="B4309" s="7"/>
      <c r="O4309" s="7"/>
      <c r="X4309" s="7"/>
      <c r="AG4309" s="7"/>
      <c r="AP4309" s="7"/>
      <c r="AY4309" s="7"/>
      <c r="BH4309" s="7"/>
      <c r="BQ4309" s="7"/>
      <c r="BZ4309" s="7"/>
    </row>
    <row r="4310" spans="2:78">
      <c r="B4310" s="7"/>
      <c r="O4310" s="7"/>
      <c r="X4310" s="7"/>
      <c r="AG4310" s="7"/>
      <c r="AP4310" s="7"/>
      <c r="AY4310" s="7"/>
      <c r="BH4310" s="7"/>
      <c r="BQ4310" s="7"/>
      <c r="BZ4310" s="7"/>
    </row>
    <row r="4311" spans="2:78">
      <c r="B4311" s="7"/>
      <c r="O4311" s="7"/>
      <c r="X4311" s="7"/>
      <c r="AG4311" s="7"/>
      <c r="AP4311" s="7"/>
      <c r="AY4311" s="7"/>
      <c r="BH4311" s="7"/>
      <c r="BQ4311" s="7"/>
      <c r="BZ4311" s="7"/>
    </row>
    <row r="4312" spans="2:78">
      <c r="B4312" s="7"/>
      <c r="O4312" s="7"/>
      <c r="X4312" s="7"/>
      <c r="AG4312" s="7"/>
      <c r="AP4312" s="7"/>
      <c r="AY4312" s="7"/>
      <c r="BH4312" s="7"/>
      <c r="BQ4312" s="7"/>
      <c r="BZ4312" s="7"/>
    </row>
    <row r="4313" spans="2:78">
      <c r="B4313" s="7"/>
      <c r="O4313" s="7"/>
      <c r="X4313" s="7"/>
      <c r="AG4313" s="7"/>
      <c r="AP4313" s="7"/>
      <c r="AY4313" s="7"/>
      <c r="BH4313" s="7"/>
      <c r="BQ4313" s="7"/>
      <c r="BZ4313" s="7"/>
    </row>
    <row r="4314" spans="2:78">
      <c r="B4314" s="7"/>
      <c r="O4314" s="7"/>
      <c r="X4314" s="7"/>
      <c r="AG4314" s="7"/>
      <c r="AP4314" s="7"/>
      <c r="AY4314" s="7"/>
      <c r="BH4314" s="7"/>
      <c r="BQ4314" s="7"/>
      <c r="BZ4314" s="7"/>
    </row>
    <row r="4315" spans="2:78">
      <c r="B4315" s="7"/>
      <c r="O4315" s="7"/>
      <c r="X4315" s="7"/>
      <c r="AG4315" s="7"/>
      <c r="AP4315" s="7"/>
      <c r="AY4315" s="7"/>
      <c r="BH4315" s="7"/>
      <c r="BQ4315" s="7"/>
      <c r="BZ4315" s="7"/>
    </row>
    <row r="4316" spans="2:78">
      <c r="B4316" s="7"/>
      <c r="O4316" s="7"/>
      <c r="X4316" s="7"/>
      <c r="AG4316" s="7"/>
      <c r="AP4316" s="7"/>
      <c r="AY4316" s="7"/>
      <c r="BH4316" s="7"/>
      <c r="BQ4316" s="7"/>
      <c r="BZ4316" s="7"/>
    </row>
    <row r="4317" spans="2:78">
      <c r="B4317" s="7"/>
      <c r="O4317" s="7"/>
      <c r="X4317" s="7"/>
      <c r="AG4317" s="7"/>
      <c r="AP4317" s="7"/>
      <c r="AY4317" s="7"/>
      <c r="BH4317" s="7"/>
      <c r="BQ4317" s="7"/>
      <c r="BZ4317" s="7"/>
    </row>
    <row r="4318" spans="2:78">
      <c r="B4318" s="7"/>
      <c r="O4318" s="7"/>
      <c r="X4318" s="7"/>
      <c r="AG4318" s="7"/>
      <c r="AP4318" s="7"/>
      <c r="AY4318" s="7"/>
      <c r="BH4318" s="7"/>
      <c r="BQ4318" s="7"/>
      <c r="BZ4318" s="7"/>
    </row>
    <row r="4319" spans="2:78">
      <c r="B4319" s="7"/>
      <c r="O4319" s="7"/>
      <c r="X4319" s="7"/>
      <c r="AG4319" s="7"/>
      <c r="AP4319" s="7"/>
      <c r="AY4319" s="7"/>
      <c r="BH4319" s="7"/>
      <c r="BQ4319" s="7"/>
      <c r="BZ4319" s="7"/>
    </row>
    <row r="4320" spans="2:78">
      <c r="B4320" s="7"/>
      <c r="O4320" s="7"/>
      <c r="X4320" s="7"/>
      <c r="AG4320" s="7"/>
      <c r="AP4320" s="7"/>
      <c r="AY4320" s="7"/>
      <c r="BH4320" s="7"/>
      <c r="BQ4320" s="7"/>
      <c r="BZ4320" s="7"/>
    </row>
    <row r="4321" spans="2:78">
      <c r="B4321" s="7"/>
      <c r="O4321" s="7"/>
      <c r="X4321" s="7"/>
      <c r="AG4321" s="7"/>
      <c r="AP4321" s="7"/>
      <c r="AY4321" s="7"/>
      <c r="BH4321" s="7"/>
      <c r="BQ4321" s="7"/>
      <c r="BZ4321" s="7"/>
    </row>
    <row r="4322" spans="2:78">
      <c r="B4322" s="7"/>
      <c r="O4322" s="7"/>
      <c r="X4322" s="7"/>
      <c r="AG4322" s="7"/>
      <c r="AP4322" s="7"/>
      <c r="AY4322" s="7"/>
      <c r="BH4322" s="7"/>
      <c r="BQ4322" s="7"/>
      <c r="BZ4322" s="7"/>
    </row>
    <row r="4323" spans="2:78">
      <c r="B4323" s="7"/>
      <c r="O4323" s="7"/>
      <c r="X4323" s="7"/>
      <c r="AG4323" s="7"/>
      <c r="AP4323" s="7"/>
      <c r="AY4323" s="7"/>
      <c r="BH4323" s="7"/>
      <c r="BQ4323" s="7"/>
      <c r="BZ4323" s="7"/>
    </row>
    <row r="4324" spans="2:78">
      <c r="B4324" s="7"/>
      <c r="O4324" s="7"/>
      <c r="X4324" s="7"/>
      <c r="AG4324" s="7"/>
      <c r="AP4324" s="7"/>
      <c r="AY4324" s="7"/>
      <c r="BH4324" s="7"/>
      <c r="BQ4324" s="7"/>
      <c r="BZ4324" s="7"/>
    </row>
    <row r="4325" spans="2:78">
      <c r="B4325" s="7"/>
      <c r="O4325" s="7"/>
      <c r="X4325" s="7"/>
      <c r="AG4325" s="7"/>
      <c r="AP4325" s="7"/>
      <c r="AY4325" s="7"/>
      <c r="BH4325" s="7"/>
      <c r="BQ4325" s="7"/>
      <c r="BZ4325" s="7"/>
    </row>
    <row r="4326" spans="2:78">
      <c r="B4326" s="7"/>
      <c r="O4326" s="7"/>
      <c r="X4326" s="7"/>
      <c r="AG4326" s="7"/>
      <c r="AP4326" s="7"/>
      <c r="AY4326" s="7"/>
      <c r="BH4326" s="7"/>
      <c r="BQ4326" s="7"/>
      <c r="BZ4326" s="7"/>
    </row>
    <row r="4327" spans="2:78">
      <c r="B4327" s="7"/>
      <c r="O4327" s="7"/>
      <c r="X4327" s="7"/>
      <c r="AG4327" s="7"/>
      <c r="AP4327" s="7"/>
      <c r="AY4327" s="7"/>
      <c r="BH4327" s="7"/>
      <c r="BQ4327" s="7"/>
      <c r="BZ4327" s="7"/>
    </row>
    <row r="4328" spans="2:78">
      <c r="B4328" s="7"/>
      <c r="O4328" s="7"/>
      <c r="X4328" s="7"/>
      <c r="AG4328" s="7"/>
      <c r="AP4328" s="7"/>
      <c r="AY4328" s="7"/>
      <c r="BH4328" s="7"/>
      <c r="BQ4328" s="7"/>
      <c r="BZ4328" s="7"/>
    </row>
    <row r="4329" spans="2:78">
      <c r="B4329" s="7"/>
      <c r="O4329" s="7"/>
      <c r="X4329" s="7"/>
      <c r="AG4329" s="7"/>
      <c r="AP4329" s="7"/>
      <c r="AY4329" s="7"/>
      <c r="BH4329" s="7"/>
      <c r="BQ4329" s="7"/>
      <c r="BZ4329" s="7"/>
    </row>
    <row r="4330" spans="2:78">
      <c r="B4330" s="7"/>
      <c r="O4330" s="7"/>
      <c r="X4330" s="7"/>
      <c r="AG4330" s="7"/>
      <c r="AP4330" s="7"/>
      <c r="AY4330" s="7"/>
      <c r="BH4330" s="7"/>
      <c r="BQ4330" s="7"/>
      <c r="BZ4330" s="7"/>
    </row>
    <row r="4331" spans="2:78">
      <c r="B4331" s="7"/>
      <c r="O4331" s="7"/>
      <c r="X4331" s="7"/>
      <c r="AG4331" s="7"/>
      <c r="AP4331" s="7"/>
      <c r="AY4331" s="7"/>
      <c r="BH4331" s="7"/>
      <c r="BQ4331" s="7"/>
      <c r="BZ4331" s="7"/>
    </row>
    <row r="4332" spans="2:78">
      <c r="B4332" s="7"/>
      <c r="O4332" s="7"/>
      <c r="X4332" s="7"/>
      <c r="AG4332" s="7"/>
      <c r="AP4332" s="7"/>
      <c r="AY4332" s="7"/>
      <c r="BH4332" s="7"/>
      <c r="BQ4332" s="7"/>
      <c r="BZ4332" s="7"/>
    </row>
    <row r="4333" spans="2:78">
      <c r="B4333" s="7"/>
      <c r="O4333" s="7"/>
      <c r="X4333" s="7"/>
      <c r="AG4333" s="7"/>
      <c r="AP4333" s="7"/>
      <c r="AY4333" s="7"/>
      <c r="BH4333" s="7"/>
      <c r="BQ4333" s="7"/>
      <c r="BZ4333" s="7"/>
    </row>
    <row r="4334" spans="2:78">
      <c r="B4334" s="7"/>
      <c r="O4334" s="7"/>
      <c r="X4334" s="7"/>
      <c r="AG4334" s="7"/>
      <c r="AP4334" s="7"/>
      <c r="AY4334" s="7"/>
      <c r="BH4334" s="7"/>
      <c r="BQ4334" s="7"/>
      <c r="BZ4334" s="7"/>
    </row>
    <row r="4335" spans="2:78">
      <c r="B4335" s="7"/>
      <c r="O4335" s="7"/>
      <c r="X4335" s="7"/>
      <c r="AG4335" s="7"/>
      <c r="AP4335" s="7"/>
      <c r="AY4335" s="7"/>
      <c r="BH4335" s="7"/>
      <c r="BQ4335" s="7"/>
      <c r="BZ4335" s="7"/>
    </row>
    <row r="4336" spans="2:78">
      <c r="B4336" s="7"/>
      <c r="O4336" s="7"/>
      <c r="X4336" s="7"/>
      <c r="AG4336" s="7"/>
      <c r="AP4336" s="7"/>
      <c r="AY4336" s="7"/>
      <c r="BH4336" s="7"/>
      <c r="BQ4336" s="7"/>
      <c r="BZ4336" s="7"/>
    </row>
    <row r="4337" spans="2:78">
      <c r="B4337" s="7"/>
      <c r="O4337" s="7"/>
      <c r="X4337" s="7"/>
      <c r="AG4337" s="7"/>
      <c r="AP4337" s="7"/>
      <c r="AY4337" s="7"/>
      <c r="BH4337" s="7"/>
      <c r="BQ4337" s="7"/>
      <c r="BZ4337" s="7"/>
    </row>
    <row r="4338" spans="2:78">
      <c r="B4338" s="7"/>
      <c r="O4338" s="7"/>
      <c r="X4338" s="7"/>
      <c r="AG4338" s="7"/>
      <c r="AP4338" s="7"/>
      <c r="AY4338" s="7"/>
      <c r="BH4338" s="7"/>
      <c r="BQ4338" s="7"/>
      <c r="BZ4338" s="7"/>
    </row>
    <row r="4339" spans="2:78">
      <c r="B4339" s="7"/>
      <c r="O4339" s="7"/>
      <c r="X4339" s="7"/>
      <c r="AG4339" s="7"/>
      <c r="AP4339" s="7"/>
      <c r="AY4339" s="7"/>
      <c r="BH4339" s="7"/>
      <c r="BQ4339" s="7"/>
      <c r="BZ4339" s="7"/>
    </row>
    <row r="4340" spans="2:78">
      <c r="B4340" s="7"/>
      <c r="O4340" s="7"/>
      <c r="X4340" s="7"/>
      <c r="AG4340" s="7"/>
      <c r="AP4340" s="7"/>
      <c r="AY4340" s="7"/>
      <c r="BH4340" s="7"/>
      <c r="BQ4340" s="7"/>
      <c r="BZ4340" s="7"/>
    </row>
    <row r="4341" spans="2:78">
      <c r="B4341" s="7"/>
      <c r="O4341" s="7"/>
      <c r="X4341" s="7"/>
      <c r="AG4341" s="7"/>
      <c r="AP4341" s="7"/>
      <c r="AY4341" s="7"/>
      <c r="BH4341" s="7"/>
      <c r="BQ4341" s="7"/>
      <c r="BZ4341" s="7"/>
    </row>
    <row r="4342" spans="2:78">
      <c r="B4342" s="7"/>
      <c r="O4342" s="7"/>
      <c r="X4342" s="7"/>
      <c r="AG4342" s="7"/>
      <c r="AP4342" s="7"/>
      <c r="AY4342" s="7"/>
      <c r="BH4342" s="7"/>
      <c r="BQ4342" s="7"/>
      <c r="BZ4342" s="7"/>
    </row>
    <row r="4343" spans="2:78">
      <c r="B4343" s="7"/>
      <c r="O4343" s="7"/>
      <c r="X4343" s="7"/>
      <c r="AG4343" s="7"/>
      <c r="AP4343" s="7"/>
      <c r="AY4343" s="7"/>
      <c r="BH4343" s="7"/>
      <c r="BQ4343" s="7"/>
      <c r="BZ4343" s="7"/>
    </row>
    <row r="4344" spans="2:78">
      <c r="B4344" s="7"/>
      <c r="O4344" s="7"/>
      <c r="X4344" s="7"/>
      <c r="AG4344" s="7"/>
      <c r="AP4344" s="7"/>
      <c r="AY4344" s="7"/>
      <c r="BH4344" s="7"/>
      <c r="BQ4344" s="7"/>
      <c r="BZ4344" s="7"/>
    </row>
    <row r="4345" spans="2:78">
      <c r="B4345" s="7"/>
      <c r="O4345" s="7"/>
      <c r="X4345" s="7"/>
      <c r="AG4345" s="7"/>
      <c r="AP4345" s="7"/>
      <c r="AY4345" s="7"/>
      <c r="BH4345" s="7"/>
      <c r="BQ4345" s="7"/>
      <c r="BZ4345" s="7"/>
    </row>
    <row r="4346" spans="2:78">
      <c r="B4346" s="7"/>
      <c r="O4346" s="7"/>
      <c r="X4346" s="7"/>
      <c r="AG4346" s="7"/>
      <c r="AP4346" s="7"/>
      <c r="AY4346" s="7"/>
      <c r="BH4346" s="7"/>
      <c r="BQ4346" s="7"/>
      <c r="BZ4346" s="7"/>
    </row>
    <row r="4347" spans="2:78">
      <c r="B4347" s="7"/>
      <c r="O4347" s="7"/>
      <c r="X4347" s="7"/>
      <c r="AG4347" s="7"/>
      <c r="AP4347" s="7"/>
      <c r="AY4347" s="7"/>
      <c r="BH4347" s="7"/>
      <c r="BQ4347" s="7"/>
      <c r="BZ4347" s="7"/>
    </row>
    <row r="4348" spans="2:78">
      <c r="B4348" s="7"/>
      <c r="O4348" s="7"/>
      <c r="X4348" s="7"/>
      <c r="AG4348" s="7"/>
      <c r="AP4348" s="7"/>
      <c r="AY4348" s="7"/>
      <c r="BH4348" s="7"/>
      <c r="BQ4348" s="7"/>
      <c r="BZ4348" s="7"/>
    </row>
    <row r="4349" spans="2:78">
      <c r="B4349" s="7"/>
      <c r="O4349" s="7"/>
      <c r="X4349" s="7"/>
      <c r="AG4349" s="7"/>
      <c r="AP4349" s="7"/>
      <c r="AY4349" s="7"/>
      <c r="BH4349" s="7"/>
      <c r="BQ4349" s="7"/>
      <c r="BZ4349" s="7"/>
    </row>
    <row r="4350" spans="2:78">
      <c r="B4350" s="7"/>
      <c r="O4350" s="7"/>
      <c r="X4350" s="7"/>
      <c r="AG4350" s="7"/>
      <c r="AP4350" s="7"/>
      <c r="AY4350" s="7"/>
      <c r="BH4350" s="7"/>
      <c r="BQ4350" s="7"/>
      <c r="BZ4350" s="7"/>
    </row>
    <row r="4351" spans="2:78">
      <c r="B4351" s="7"/>
      <c r="O4351" s="7"/>
      <c r="X4351" s="7"/>
      <c r="AG4351" s="7"/>
      <c r="AP4351" s="7"/>
      <c r="AY4351" s="7"/>
      <c r="BH4351" s="7"/>
      <c r="BQ4351" s="7"/>
      <c r="BZ4351" s="7"/>
    </row>
    <row r="4352" spans="2:78">
      <c r="B4352" s="7"/>
      <c r="O4352" s="7"/>
      <c r="X4352" s="7"/>
      <c r="AG4352" s="7"/>
      <c r="AP4352" s="7"/>
      <c r="AY4352" s="7"/>
      <c r="BH4352" s="7"/>
      <c r="BQ4352" s="7"/>
      <c r="BZ4352" s="7"/>
    </row>
    <row r="4353" spans="2:78">
      <c r="B4353" s="7"/>
      <c r="O4353" s="7"/>
      <c r="X4353" s="7"/>
      <c r="AG4353" s="7"/>
      <c r="AP4353" s="7"/>
      <c r="AY4353" s="7"/>
      <c r="BH4353" s="7"/>
      <c r="BQ4353" s="7"/>
      <c r="BZ4353" s="7"/>
    </row>
    <row r="4354" spans="2:78">
      <c r="B4354" s="7"/>
      <c r="O4354" s="7"/>
      <c r="X4354" s="7"/>
      <c r="AG4354" s="7"/>
      <c r="AP4354" s="7"/>
      <c r="AY4354" s="7"/>
      <c r="BH4354" s="7"/>
      <c r="BQ4354" s="7"/>
      <c r="BZ4354" s="7"/>
    </row>
    <row r="4355" spans="2:78">
      <c r="B4355" s="7"/>
      <c r="O4355" s="7"/>
      <c r="X4355" s="7"/>
      <c r="AG4355" s="7"/>
      <c r="AP4355" s="7"/>
      <c r="AY4355" s="7"/>
      <c r="BH4355" s="7"/>
      <c r="BQ4355" s="7"/>
      <c r="BZ4355" s="7"/>
    </row>
    <row r="4356" spans="2:78">
      <c r="B4356" s="7"/>
      <c r="O4356" s="7"/>
      <c r="X4356" s="7"/>
      <c r="AG4356" s="7"/>
      <c r="AP4356" s="7"/>
      <c r="AY4356" s="7"/>
      <c r="BH4356" s="7"/>
      <c r="BQ4356" s="7"/>
      <c r="BZ4356" s="7"/>
    </row>
    <row r="4357" spans="2:78">
      <c r="B4357" s="7"/>
      <c r="O4357" s="7"/>
      <c r="X4357" s="7"/>
      <c r="AG4357" s="7"/>
      <c r="AP4357" s="7"/>
      <c r="AY4357" s="7"/>
      <c r="BH4357" s="7"/>
      <c r="BQ4357" s="7"/>
      <c r="BZ4357" s="7"/>
    </row>
    <row r="4358" spans="2:78">
      <c r="B4358" s="7"/>
      <c r="O4358" s="7"/>
      <c r="X4358" s="7"/>
      <c r="AG4358" s="7"/>
      <c r="AP4358" s="7"/>
      <c r="AY4358" s="7"/>
      <c r="BH4358" s="7"/>
      <c r="BQ4358" s="7"/>
      <c r="BZ4358" s="7"/>
    </row>
    <row r="4359" spans="2:78">
      <c r="B4359" s="7"/>
      <c r="O4359" s="7"/>
      <c r="X4359" s="7"/>
      <c r="AG4359" s="7"/>
      <c r="AP4359" s="7"/>
      <c r="AY4359" s="7"/>
      <c r="BH4359" s="7"/>
      <c r="BQ4359" s="7"/>
      <c r="BZ4359" s="7"/>
    </row>
    <row r="4360" spans="2:78">
      <c r="B4360" s="7"/>
      <c r="O4360" s="7"/>
      <c r="X4360" s="7"/>
      <c r="AG4360" s="7"/>
      <c r="AP4360" s="7"/>
      <c r="AY4360" s="7"/>
      <c r="BH4360" s="7"/>
      <c r="BQ4360" s="7"/>
      <c r="BZ4360" s="7"/>
    </row>
    <row r="4361" spans="2:78">
      <c r="B4361" s="7"/>
      <c r="O4361" s="7"/>
      <c r="X4361" s="7"/>
      <c r="AG4361" s="7"/>
      <c r="AP4361" s="7"/>
      <c r="AY4361" s="7"/>
      <c r="BH4361" s="7"/>
      <c r="BQ4361" s="7"/>
      <c r="BZ4361" s="7"/>
    </row>
    <row r="4362" spans="2:78">
      <c r="B4362" s="7"/>
      <c r="O4362" s="7"/>
      <c r="X4362" s="7"/>
      <c r="AG4362" s="7"/>
      <c r="AP4362" s="7"/>
      <c r="AY4362" s="7"/>
      <c r="BH4362" s="7"/>
      <c r="BQ4362" s="7"/>
      <c r="BZ4362" s="7"/>
    </row>
    <row r="4363" spans="2:78">
      <c r="B4363" s="7"/>
      <c r="O4363" s="7"/>
      <c r="X4363" s="7"/>
      <c r="AG4363" s="7"/>
      <c r="AP4363" s="7"/>
      <c r="AY4363" s="7"/>
      <c r="BH4363" s="7"/>
      <c r="BQ4363" s="7"/>
      <c r="BZ4363" s="7"/>
    </row>
    <row r="4364" spans="2:78">
      <c r="B4364" s="7"/>
      <c r="O4364" s="7"/>
      <c r="X4364" s="7"/>
      <c r="AG4364" s="7"/>
      <c r="AP4364" s="7"/>
      <c r="AY4364" s="7"/>
      <c r="BH4364" s="7"/>
      <c r="BQ4364" s="7"/>
      <c r="BZ4364" s="7"/>
    </row>
    <row r="4365" spans="2:78">
      <c r="B4365" s="7"/>
      <c r="O4365" s="7"/>
      <c r="X4365" s="7"/>
      <c r="AG4365" s="7"/>
      <c r="AP4365" s="7"/>
      <c r="AY4365" s="7"/>
      <c r="BH4365" s="7"/>
      <c r="BQ4365" s="7"/>
      <c r="BZ4365" s="7"/>
    </row>
    <row r="4366" spans="2:78">
      <c r="B4366" s="7"/>
      <c r="O4366" s="7"/>
      <c r="X4366" s="7"/>
      <c r="AG4366" s="7"/>
      <c r="AP4366" s="7"/>
      <c r="AY4366" s="7"/>
      <c r="BH4366" s="7"/>
      <c r="BQ4366" s="7"/>
      <c r="BZ4366" s="7"/>
    </row>
    <row r="4367" spans="2:78">
      <c r="B4367" s="7"/>
      <c r="O4367" s="7"/>
      <c r="X4367" s="7"/>
      <c r="AG4367" s="7"/>
      <c r="AP4367" s="7"/>
      <c r="AY4367" s="7"/>
      <c r="BH4367" s="7"/>
      <c r="BQ4367" s="7"/>
      <c r="BZ4367" s="7"/>
    </row>
    <row r="4368" spans="2:78">
      <c r="B4368" s="7"/>
      <c r="O4368" s="7"/>
      <c r="X4368" s="7"/>
      <c r="AG4368" s="7"/>
      <c r="AP4368" s="7"/>
      <c r="AY4368" s="7"/>
      <c r="BH4368" s="7"/>
      <c r="BQ4368" s="7"/>
      <c r="BZ4368" s="7"/>
    </row>
    <row r="4369" spans="2:78">
      <c r="B4369" s="7"/>
      <c r="O4369" s="7"/>
      <c r="X4369" s="7"/>
      <c r="AG4369" s="7"/>
      <c r="AP4369" s="7"/>
      <c r="AY4369" s="7"/>
      <c r="BH4369" s="7"/>
      <c r="BQ4369" s="7"/>
      <c r="BZ4369" s="7"/>
    </row>
    <row r="4370" spans="2:78">
      <c r="B4370" s="7"/>
      <c r="O4370" s="7"/>
      <c r="X4370" s="7"/>
      <c r="AG4370" s="7"/>
      <c r="AP4370" s="7"/>
      <c r="AY4370" s="7"/>
      <c r="BH4370" s="7"/>
      <c r="BQ4370" s="7"/>
      <c r="BZ4370" s="7"/>
    </row>
    <row r="4371" spans="2:78">
      <c r="B4371" s="7"/>
      <c r="O4371" s="7"/>
      <c r="X4371" s="7"/>
      <c r="AG4371" s="7"/>
      <c r="AP4371" s="7"/>
      <c r="AY4371" s="7"/>
      <c r="BH4371" s="7"/>
      <c r="BQ4371" s="7"/>
      <c r="BZ4371" s="7"/>
    </row>
    <row r="4372" spans="2:78">
      <c r="B4372" s="7"/>
      <c r="O4372" s="7"/>
      <c r="X4372" s="7"/>
      <c r="AG4372" s="7"/>
      <c r="AP4372" s="7"/>
      <c r="AY4372" s="7"/>
      <c r="BH4372" s="7"/>
      <c r="BQ4372" s="7"/>
      <c r="BZ4372" s="7"/>
    </row>
    <row r="4373" spans="2:78">
      <c r="B4373" s="7"/>
      <c r="O4373" s="7"/>
      <c r="X4373" s="7"/>
      <c r="AG4373" s="7"/>
      <c r="AP4373" s="7"/>
      <c r="AY4373" s="7"/>
      <c r="BH4373" s="7"/>
      <c r="BQ4373" s="7"/>
      <c r="BZ4373" s="7"/>
    </row>
    <row r="4374" spans="2:78">
      <c r="B4374" s="7"/>
      <c r="O4374" s="7"/>
      <c r="X4374" s="7"/>
      <c r="AG4374" s="7"/>
      <c r="AP4374" s="7"/>
      <c r="AY4374" s="7"/>
      <c r="BH4374" s="7"/>
      <c r="BQ4374" s="7"/>
      <c r="BZ4374" s="7"/>
    </row>
    <row r="4375" spans="2:78">
      <c r="B4375" s="7"/>
      <c r="O4375" s="7"/>
      <c r="X4375" s="7"/>
      <c r="AG4375" s="7"/>
      <c r="AP4375" s="7"/>
      <c r="AY4375" s="7"/>
      <c r="BH4375" s="7"/>
      <c r="BQ4375" s="7"/>
      <c r="BZ4375" s="7"/>
    </row>
    <row r="4376" spans="2:78">
      <c r="B4376" s="7"/>
      <c r="O4376" s="7"/>
      <c r="X4376" s="7"/>
      <c r="AG4376" s="7"/>
      <c r="AP4376" s="7"/>
      <c r="AY4376" s="7"/>
      <c r="BH4376" s="7"/>
      <c r="BQ4376" s="7"/>
      <c r="BZ4376" s="7"/>
    </row>
    <row r="4377" spans="2:78">
      <c r="B4377" s="7"/>
      <c r="O4377" s="7"/>
      <c r="X4377" s="7"/>
      <c r="AG4377" s="7"/>
      <c r="AP4377" s="7"/>
      <c r="AY4377" s="7"/>
      <c r="BH4377" s="7"/>
      <c r="BQ4377" s="7"/>
      <c r="BZ4377" s="7"/>
    </row>
    <row r="4378" spans="2:78">
      <c r="B4378" s="7"/>
      <c r="O4378" s="7"/>
      <c r="X4378" s="7"/>
      <c r="AG4378" s="7"/>
      <c r="AP4378" s="7"/>
      <c r="AY4378" s="7"/>
      <c r="BH4378" s="7"/>
      <c r="BQ4378" s="7"/>
      <c r="BZ4378" s="7"/>
    </row>
    <row r="4379" spans="2:78">
      <c r="B4379" s="7"/>
      <c r="O4379" s="7"/>
      <c r="X4379" s="7"/>
      <c r="AG4379" s="7"/>
      <c r="AP4379" s="7"/>
      <c r="AY4379" s="7"/>
      <c r="BH4379" s="7"/>
      <c r="BQ4379" s="7"/>
      <c r="BZ4379" s="7"/>
    </row>
    <row r="4380" spans="2:78">
      <c r="B4380" s="7"/>
      <c r="O4380" s="7"/>
      <c r="X4380" s="7"/>
      <c r="AG4380" s="7"/>
      <c r="AP4380" s="7"/>
      <c r="AY4380" s="7"/>
      <c r="BH4380" s="7"/>
      <c r="BQ4380" s="7"/>
      <c r="BZ4380" s="7"/>
    </row>
    <row r="4381" spans="2:78">
      <c r="B4381" s="7"/>
      <c r="O4381" s="7"/>
      <c r="X4381" s="7"/>
      <c r="AG4381" s="7"/>
      <c r="AP4381" s="7"/>
      <c r="AY4381" s="7"/>
      <c r="BH4381" s="7"/>
      <c r="BQ4381" s="7"/>
      <c r="BZ4381" s="7"/>
    </row>
    <row r="4382" spans="2:78">
      <c r="B4382" s="7"/>
      <c r="O4382" s="7"/>
      <c r="X4382" s="7"/>
      <c r="AG4382" s="7"/>
      <c r="AP4382" s="7"/>
      <c r="AY4382" s="7"/>
      <c r="BH4382" s="7"/>
      <c r="BQ4382" s="7"/>
      <c r="BZ4382" s="7"/>
    </row>
    <row r="4383" spans="2:78">
      <c r="B4383" s="7"/>
      <c r="O4383" s="7"/>
      <c r="X4383" s="7"/>
      <c r="AG4383" s="7"/>
      <c r="AP4383" s="7"/>
      <c r="AY4383" s="7"/>
      <c r="BH4383" s="7"/>
      <c r="BQ4383" s="7"/>
      <c r="BZ4383" s="7"/>
    </row>
    <row r="4384" spans="2:78">
      <c r="B4384" s="7"/>
      <c r="O4384" s="7"/>
      <c r="X4384" s="7"/>
      <c r="AG4384" s="7"/>
      <c r="AP4384" s="7"/>
      <c r="AY4384" s="7"/>
      <c r="BH4384" s="7"/>
      <c r="BQ4384" s="7"/>
      <c r="BZ4384" s="7"/>
    </row>
    <row r="4385" spans="2:78">
      <c r="B4385" s="7"/>
      <c r="O4385" s="7"/>
      <c r="X4385" s="7"/>
      <c r="AG4385" s="7"/>
      <c r="AP4385" s="7"/>
      <c r="AY4385" s="7"/>
      <c r="BH4385" s="7"/>
      <c r="BQ4385" s="7"/>
      <c r="BZ4385" s="7"/>
    </row>
    <row r="4386" spans="2:78">
      <c r="B4386" s="7"/>
      <c r="O4386" s="7"/>
      <c r="X4386" s="7"/>
      <c r="AG4386" s="7"/>
      <c r="AP4386" s="7"/>
      <c r="AY4386" s="7"/>
      <c r="BH4386" s="7"/>
      <c r="BQ4386" s="7"/>
      <c r="BZ4386" s="7"/>
    </row>
    <row r="4387" spans="2:78">
      <c r="B4387" s="7"/>
      <c r="O4387" s="7"/>
      <c r="X4387" s="7"/>
      <c r="AG4387" s="7"/>
      <c r="AP4387" s="7"/>
      <c r="AY4387" s="7"/>
      <c r="BH4387" s="7"/>
      <c r="BQ4387" s="7"/>
      <c r="BZ4387" s="7"/>
    </row>
    <row r="4388" spans="2:78">
      <c r="B4388" s="7"/>
      <c r="O4388" s="7"/>
      <c r="X4388" s="7"/>
      <c r="AG4388" s="7"/>
      <c r="AP4388" s="7"/>
      <c r="AY4388" s="7"/>
      <c r="BH4388" s="7"/>
      <c r="BQ4388" s="7"/>
      <c r="BZ4388" s="7"/>
    </row>
    <row r="4389" spans="2:78">
      <c r="B4389" s="7"/>
      <c r="O4389" s="7"/>
      <c r="X4389" s="7"/>
      <c r="AG4389" s="7"/>
      <c r="AP4389" s="7"/>
      <c r="AY4389" s="7"/>
      <c r="BH4389" s="7"/>
      <c r="BQ4389" s="7"/>
      <c r="BZ4389" s="7"/>
    </row>
    <row r="4390" spans="2:78">
      <c r="B4390" s="7"/>
      <c r="O4390" s="7"/>
      <c r="X4390" s="7"/>
      <c r="AG4390" s="7"/>
      <c r="AP4390" s="7"/>
      <c r="AY4390" s="7"/>
      <c r="BH4390" s="7"/>
      <c r="BQ4390" s="7"/>
      <c r="BZ4390" s="7"/>
    </row>
    <row r="4391" spans="2:78">
      <c r="B4391" s="7"/>
      <c r="O4391" s="7"/>
      <c r="X4391" s="7"/>
      <c r="AG4391" s="7"/>
      <c r="AP4391" s="7"/>
      <c r="AY4391" s="7"/>
      <c r="BH4391" s="7"/>
      <c r="BQ4391" s="7"/>
      <c r="BZ4391" s="7"/>
    </row>
    <row r="4392" spans="2:78">
      <c r="B4392" s="7"/>
      <c r="O4392" s="7"/>
      <c r="X4392" s="7"/>
      <c r="AG4392" s="7"/>
      <c r="AP4392" s="7"/>
      <c r="AY4392" s="7"/>
      <c r="BH4392" s="7"/>
      <c r="BQ4392" s="7"/>
      <c r="BZ4392" s="7"/>
    </row>
    <row r="4393" spans="2:78">
      <c r="B4393" s="7"/>
      <c r="O4393" s="7"/>
      <c r="X4393" s="7"/>
      <c r="AG4393" s="7"/>
      <c r="AP4393" s="7"/>
      <c r="AY4393" s="7"/>
      <c r="BH4393" s="7"/>
      <c r="BQ4393" s="7"/>
      <c r="BZ4393" s="7"/>
    </row>
    <row r="4394" spans="2:78">
      <c r="B4394" s="7"/>
      <c r="O4394" s="7"/>
      <c r="X4394" s="7"/>
      <c r="AG4394" s="7"/>
      <c r="AP4394" s="7"/>
      <c r="AY4394" s="7"/>
      <c r="BH4394" s="7"/>
      <c r="BQ4394" s="7"/>
      <c r="BZ4394" s="7"/>
    </row>
    <row r="4395" spans="2:78">
      <c r="B4395" s="7"/>
      <c r="O4395" s="7"/>
      <c r="X4395" s="7"/>
      <c r="AG4395" s="7"/>
      <c r="AP4395" s="7"/>
      <c r="AY4395" s="7"/>
      <c r="BH4395" s="7"/>
      <c r="BQ4395" s="7"/>
      <c r="BZ4395" s="7"/>
    </row>
    <row r="4396" spans="2:78">
      <c r="B4396" s="7"/>
      <c r="O4396" s="7"/>
      <c r="X4396" s="7"/>
      <c r="AG4396" s="7"/>
      <c r="AP4396" s="7"/>
      <c r="AY4396" s="7"/>
      <c r="BH4396" s="7"/>
      <c r="BQ4396" s="7"/>
      <c r="BZ4396" s="7"/>
    </row>
    <row r="4397" spans="2:78">
      <c r="B4397" s="7"/>
      <c r="O4397" s="7"/>
      <c r="X4397" s="7"/>
      <c r="AG4397" s="7"/>
      <c r="AP4397" s="7"/>
      <c r="AY4397" s="7"/>
      <c r="BH4397" s="7"/>
      <c r="BQ4397" s="7"/>
      <c r="BZ4397" s="7"/>
    </row>
    <row r="4398" spans="2:78">
      <c r="B4398" s="7"/>
      <c r="O4398" s="7"/>
      <c r="X4398" s="7"/>
      <c r="AG4398" s="7"/>
      <c r="AP4398" s="7"/>
      <c r="AY4398" s="7"/>
      <c r="BH4398" s="7"/>
      <c r="BQ4398" s="7"/>
      <c r="BZ4398" s="7"/>
    </row>
    <row r="4399" spans="2:78">
      <c r="B4399" s="7"/>
      <c r="O4399" s="7"/>
      <c r="X4399" s="7"/>
      <c r="AG4399" s="7"/>
      <c r="AP4399" s="7"/>
      <c r="AY4399" s="7"/>
      <c r="BH4399" s="7"/>
      <c r="BQ4399" s="7"/>
      <c r="BZ4399" s="7"/>
    </row>
    <row r="4400" spans="2:78">
      <c r="B4400" s="7"/>
      <c r="O4400" s="7"/>
      <c r="X4400" s="7"/>
      <c r="AG4400" s="7"/>
      <c r="AP4400" s="7"/>
      <c r="AY4400" s="7"/>
      <c r="BH4400" s="7"/>
      <c r="BQ4400" s="7"/>
      <c r="BZ4400" s="7"/>
    </row>
    <row r="4401" spans="2:78">
      <c r="B4401" s="7"/>
      <c r="O4401" s="7"/>
      <c r="X4401" s="7"/>
      <c r="AG4401" s="7"/>
      <c r="AP4401" s="7"/>
      <c r="AY4401" s="7"/>
      <c r="BH4401" s="7"/>
      <c r="BQ4401" s="7"/>
      <c r="BZ4401" s="7"/>
    </row>
    <row r="4402" spans="2:78">
      <c r="B4402" s="7"/>
      <c r="O4402" s="7"/>
      <c r="X4402" s="7"/>
      <c r="AG4402" s="7"/>
      <c r="AP4402" s="7"/>
      <c r="AY4402" s="7"/>
      <c r="BH4402" s="7"/>
      <c r="BQ4402" s="7"/>
      <c r="BZ4402" s="7"/>
    </row>
    <row r="4403" spans="2:78">
      <c r="B4403" s="7"/>
      <c r="O4403" s="7"/>
      <c r="X4403" s="7"/>
      <c r="AG4403" s="7"/>
      <c r="AP4403" s="7"/>
      <c r="AY4403" s="7"/>
      <c r="BH4403" s="7"/>
      <c r="BQ4403" s="7"/>
      <c r="BZ4403" s="7"/>
    </row>
    <row r="4404" spans="2:78">
      <c r="B4404" s="7"/>
      <c r="O4404" s="7"/>
      <c r="X4404" s="7"/>
      <c r="AG4404" s="7"/>
      <c r="AP4404" s="7"/>
      <c r="AY4404" s="7"/>
      <c r="BH4404" s="7"/>
      <c r="BQ4404" s="7"/>
      <c r="BZ4404" s="7"/>
    </row>
    <row r="4405" spans="2:78">
      <c r="B4405" s="7"/>
      <c r="O4405" s="7"/>
      <c r="X4405" s="7"/>
      <c r="AG4405" s="7"/>
      <c r="AP4405" s="7"/>
      <c r="AY4405" s="7"/>
      <c r="BH4405" s="7"/>
      <c r="BQ4405" s="7"/>
      <c r="BZ4405" s="7"/>
    </row>
    <row r="4406" spans="2:78">
      <c r="B4406" s="7"/>
      <c r="O4406" s="7"/>
      <c r="X4406" s="7"/>
      <c r="AG4406" s="7"/>
      <c r="AP4406" s="7"/>
      <c r="AY4406" s="7"/>
      <c r="BH4406" s="7"/>
      <c r="BQ4406" s="7"/>
      <c r="BZ4406" s="7"/>
    </row>
    <row r="4407" spans="2:78">
      <c r="B4407" s="7"/>
      <c r="O4407" s="7"/>
      <c r="X4407" s="7"/>
      <c r="AG4407" s="7"/>
      <c r="AP4407" s="7"/>
      <c r="AY4407" s="7"/>
      <c r="BH4407" s="7"/>
      <c r="BQ4407" s="7"/>
      <c r="BZ4407" s="7"/>
    </row>
    <row r="4408" spans="2:78">
      <c r="B4408" s="7"/>
      <c r="O4408" s="7"/>
      <c r="X4408" s="7"/>
      <c r="AG4408" s="7"/>
      <c r="AP4408" s="7"/>
      <c r="AY4408" s="7"/>
      <c r="BH4408" s="7"/>
      <c r="BQ4408" s="7"/>
      <c r="BZ4408" s="7"/>
    </row>
    <row r="4409" spans="2:78">
      <c r="B4409" s="7"/>
      <c r="O4409" s="7"/>
      <c r="X4409" s="7"/>
      <c r="AG4409" s="7"/>
      <c r="AP4409" s="7"/>
      <c r="AY4409" s="7"/>
      <c r="BH4409" s="7"/>
      <c r="BQ4409" s="7"/>
      <c r="BZ4409" s="7"/>
    </row>
    <row r="4410" spans="2:78">
      <c r="B4410" s="7"/>
      <c r="O4410" s="7"/>
      <c r="X4410" s="7"/>
      <c r="AG4410" s="7"/>
      <c r="AP4410" s="7"/>
      <c r="AY4410" s="7"/>
      <c r="BH4410" s="7"/>
      <c r="BQ4410" s="7"/>
      <c r="BZ4410" s="7"/>
    </row>
    <row r="4411" spans="2:78">
      <c r="B4411" s="7"/>
      <c r="O4411" s="7"/>
      <c r="X4411" s="7"/>
      <c r="AG4411" s="7"/>
      <c r="AP4411" s="7"/>
      <c r="AY4411" s="7"/>
      <c r="BH4411" s="7"/>
      <c r="BQ4411" s="7"/>
      <c r="BZ4411" s="7"/>
    </row>
    <row r="4412" spans="2:78">
      <c r="B4412" s="7"/>
      <c r="O4412" s="7"/>
      <c r="X4412" s="7"/>
      <c r="AG4412" s="7"/>
      <c r="AP4412" s="7"/>
      <c r="AY4412" s="7"/>
      <c r="BH4412" s="7"/>
      <c r="BQ4412" s="7"/>
      <c r="BZ4412" s="7"/>
    </row>
    <row r="4413" spans="2:78">
      <c r="B4413" s="7"/>
      <c r="O4413" s="7"/>
      <c r="X4413" s="7"/>
      <c r="AG4413" s="7"/>
      <c r="AP4413" s="7"/>
      <c r="AY4413" s="7"/>
      <c r="BH4413" s="7"/>
      <c r="BQ4413" s="7"/>
      <c r="BZ4413" s="7"/>
    </row>
    <row r="4414" spans="2:78">
      <c r="B4414" s="7"/>
      <c r="O4414" s="7"/>
      <c r="X4414" s="7"/>
      <c r="AG4414" s="7"/>
      <c r="AP4414" s="7"/>
      <c r="AY4414" s="7"/>
      <c r="BH4414" s="7"/>
      <c r="BQ4414" s="7"/>
      <c r="BZ4414" s="7"/>
    </row>
    <row r="4415" spans="2:78">
      <c r="B4415" s="7"/>
      <c r="O4415" s="7"/>
      <c r="X4415" s="7"/>
      <c r="AG4415" s="7"/>
      <c r="AP4415" s="7"/>
      <c r="AY4415" s="7"/>
      <c r="BH4415" s="7"/>
      <c r="BQ4415" s="7"/>
      <c r="BZ4415" s="7"/>
    </row>
    <row r="4416" spans="2:78">
      <c r="B4416" s="7"/>
      <c r="O4416" s="7"/>
      <c r="X4416" s="7"/>
      <c r="AG4416" s="7"/>
      <c r="AP4416" s="7"/>
      <c r="AY4416" s="7"/>
      <c r="BH4416" s="7"/>
      <c r="BQ4416" s="7"/>
      <c r="BZ4416" s="7"/>
    </row>
    <row r="4417" spans="2:78">
      <c r="B4417" s="7"/>
      <c r="O4417" s="7"/>
      <c r="X4417" s="7"/>
      <c r="AG4417" s="7"/>
      <c r="AP4417" s="7"/>
      <c r="AY4417" s="7"/>
      <c r="BH4417" s="7"/>
      <c r="BQ4417" s="7"/>
      <c r="BZ4417" s="7"/>
    </row>
    <row r="4418" spans="2:78">
      <c r="B4418" s="7"/>
      <c r="O4418" s="7"/>
      <c r="X4418" s="7"/>
      <c r="AG4418" s="7"/>
      <c r="AP4418" s="7"/>
      <c r="AY4418" s="7"/>
      <c r="BH4418" s="7"/>
      <c r="BQ4418" s="7"/>
      <c r="BZ4418" s="7"/>
    </row>
    <row r="4419" spans="2:78">
      <c r="B4419" s="7"/>
      <c r="O4419" s="7"/>
      <c r="X4419" s="7"/>
      <c r="AG4419" s="7"/>
      <c r="AP4419" s="7"/>
      <c r="AY4419" s="7"/>
      <c r="BH4419" s="7"/>
      <c r="BQ4419" s="7"/>
      <c r="BZ4419" s="7"/>
    </row>
    <row r="4420" spans="2:78">
      <c r="B4420" s="7"/>
      <c r="O4420" s="7"/>
      <c r="X4420" s="7"/>
      <c r="AG4420" s="7"/>
      <c r="AP4420" s="7"/>
      <c r="AY4420" s="7"/>
      <c r="BH4420" s="7"/>
      <c r="BQ4420" s="7"/>
      <c r="BZ4420" s="7"/>
    </row>
    <row r="4421" spans="2:78">
      <c r="B4421" s="7"/>
      <c r="O4421" s="7"/>
      <c r="X4421" s="7"/>
      <c r="AG4421" s="7"/>
      <c r="AP4421" s="7"/>
      <c r="AY4421" s="7"/>
      <c r="BH4421" s="7"/>
      <c r="BQ4421" s="7"/>
      <c r="BZ4421" s="7"/>
    </row>
    <row r="4422" spans="2:78">
      <c r="B4422" s="7"/>
      <c r="O4422" s="7"/>
      <c r="X4422" s="7"/>
      <c r="AG4422" s="7"/>
      <c r="AP4422" s="7"/>
      <c r="AY4422" s="7"/>
      <c r="BH4422" s="7"/>
      <c r="BQ4422" s="7"/>
      <c r="BZ4422" s="7"/>
    </row>
    <row r="4423" spans="2:78">
      <c r="B4423" s="7"/>
      <c r="O4423" s="7"/>
      <c r="X4423" s="7"/>
      <c r="AG4423" s="7"/>
      <c r="AP4423" s="7"/>
      <c r="AY4423" s="7"/>
      <c r="BH4423" s="7"/>
      <c r="BQ4423" s="7"/>
      <c r="BZ4423" s="7"/>
    </row>
    <row r="4424" spans="2:78">
      <c r="B4424" s="7"/>
      <c r="O4424" s="7"/>
      <c r="X4424" s="7"/>
      <c r="AG4424" s="7"/>
      <c r="AP4424" s="7"/>
      <c r="AY4424" s="7"/>
      <c r="BH4424" s="7"/>
      <c r="BQ4424" s="7"/>
      <c r="BZ4424" s="7"/>
    </row>
    <row r="4425" spans="2:78">
      <c r="B4425" s="7"/>
      <c r="O4425" s="7"/>
      <c r="X4425" s="7"/>
      <c r="AG4425" s="7"/>
      <c r="AP4425" s="7"/>
      <c r="AY4425" s="7"/>
      <c r="BH4425" s="7"/>
      <c r="BQ4425" s="7"/>
      <c r="BZ4425" s="7"/>
    </row>
    <row r="4426" spans="2:78">
      <c r="B4426" s="7"/>
      <c r="O4426" s="7"/>
      <c r="X4426" s="7"/>
      <c r="AG4426" s="7"/>
      <c r="AP4426" s="7"/>
      <c r="AY4426" s="7"/>
      <c r="BH4426" s="7"/>
      <c r="BQ4426" s="7"/>
      <c r="BZ4426" s="7"/>
    </row>
    <row r="4427" spans="2:78">
      <c r="B4427" s="7"/>
      <c r="O4427" s="7"/>
      <c r="X4427" s="7"/>
      <c r="AG4427" s="7"/>
      <c r="AP4427" s="7"/>
      <c r="AY4427" s="7"/>
      <c r="BH4427" s="7"/>
      <c r="BQ4427" s="7"/>
      <c r="BZ4427" s="7"/>
    </row>
    <row r="4428" spans="2:78">
      <c r="B4428" s="7"/>
      <c r="O4428" s="7"/>
      <c r="X4428" s="7"/>
      <c r="AG4428" s="7"/>
      <c r="AP4428" s="7"/>
      <c r="AY4428" s="7"/>
      <c r="BH4428" s="7"/>
      <c r="BQ4428" s="7"/>
      <c r="BZ4428" s="7"/>
    </row>
    <row r="4429" spans="2:78">
      <c r="B4429" s="7"/>
      <c r="O4429" s="7"/>
      <c r="X4429" s="7"/>
      <c r="AG4429" s="7"/>
      <c r="AP4429" s="7"/>
      <c r="AY4429" s="7"/>
      <c r="BH4429" s="7"/>
      <c r="BQ4429" s="7"/>
      <c r="BZ4429" s="7"/>
    </row>
    <row r="4430" spans="2:78">
      <c r="B4430" s="7"/>
      <c r="O4430" s="7"/>
      <c r="X4430" s="7"/>
      <c r="AG4430" s="7"/>
      <c r="AP4430" s="7"/>
      <c r="AY4430" s="7"/>
      <c r="BH4430" s="7"/>
      <c r="BQ4430" s="7"/>
      <c r="BZ4430" s="7"/>
    </row>
    <row r="4431" spans="2:78">
      <c r="B4431" s="7"/>
      <c r="O4431" s="7"/>
      <c r="X4431" s="7"/>
      <c r="AG4431" s="7"/>
      <c r="AP4431" s="7"/>
      <c r="AY4431" s="7"/>
      <c r="BH4431" s="7"/>
      <c r="BQ4431" s="7"/>
      <c r="BZ4431" s="7"/>
    </row>
    <row r="4432" spans="2:78">
      <c r="B4432" s="7"/>
      <c r="O4432" s="7"/>
      <c r="X4432" s="7"/>
      <c r="AG4432" s="7"/>
      <c r="AP4432" s="7"/>
      <c r="AY4432" s="7"/>
      <c r="BH4432" s="7"/>
      <c r="BQ4432" s="7"/>
      <c r="BZ4432" s="7"/>
    </row>
    <row r="4433" spans="2:78">
      <c r="B4433" s="7"/>
      <c r="O4433" s="7"/>
      <c r="X4433" s="7"/>
      <c r="AG4433" s="7"/>
      <c r="AP4433" s="7"/>
      <c r="AY4433" s="7"/>
      <c r="BH4433" s="7"/>
      <c r="BQ4433" s="7"/>
      <c r="BZ4433" s="7"/>
    </row>
    <row r="4434" spans="2:78">
      <c r="B4434" s="7"/>
      <c r="O4434" s="7"/>
      <c r="X4434" s="7"/>
      <c r="AG4434" s="7"/>
      <c r="AP4434" s="7"/>
      <c r="AY4434" s="7"/>
      <c r="BH4434" s="7"/>
      <c r="BQ4434" s="7"/>
      <c r="BZ4434" s="7"/>
    </row>
    <row r="4435" spans="2:78">
      <c r="B4435" s="7"/>
      <c r="O4435" s="7"/>
      <c r="X4435" s="7"/>
      <c r="AG4435" s="7"/>
      <c r="AP4435" s="7"/>
      <c r="AY4435" s="7"/>
      <c r="BH4435" s="7"/>
      <c r="BQ4435" s="7"/>
      <c r="BZ4435" s="7"/>
    </row>
    <row r="4436" spans="2:78">
      <c r="B4436" s="7"/>
      <c r="O4436" s="7"/>
      <c r="X4436" s="7"/>
      <c r="AG4436" s="7"/>
      <c r="AP4436" s="7"/>
      <c r="AY4436" s="7"/>
      <c r="BH4436" s="7"/>
      <c r="BQ4436" s="7"/>
      <c r="BZ4436" s="7"/>
    </row>
    <row r="4437" spans="2:78">
      <c r="B4437" s="7"/>
      <c r="O4437" s="7"/>
      <c r="X4437" s="7"/>
      <c r="AG4437" s="7"/>
      <c r="AP4437" s="7"/>
      <c r="AY4437" s="7"/>
      <c r="BH4437" s="7"/>
      <c r="BQ4437" s="7"/>
      <c r="BZ4437" s="7"/>
    </row>
    <row r="4438" spans="2:78">
      <c r="B4438" s="7"/>
      <c r="O4438" s="7"/>
      <c r="X4438" s="7"/>
      <c r="AG4438" s="7"/>
      <c r="AP4438" s="7"/>
      <c r="AY4438" s="7"/>
      <c r="BH4438" s="7"/>
      <c r="BQ4438" s="7"/>
      <c r="BZ4438" s="7"/>
    </row>
    <row r="4439" spans="2:78">
      <c r="B4439" s="7"/>
      <c r="O4439" s="7"/>
      <c r="X4439" s="7"/>
      <c r="AG4439" s="7"/>
      <c r="AP4439" s="7"/>
      <c r="AY4439" s="7"/>
      <c r="BH4439" s="7"/>
      <c r="BQ4439" s="7"/>
      <c r="BZ4439" s="7"/>
    </row>
    <row r="4440" spans="2:78">
      <c r="B4440" s="7"/>
      <c r="O4440" s="7"/>
      <c r="X4440" s="7"/>
      <c r="AG4440" s="7"/>
      <c r="AP4440" s="7"/>
      <c r="AY4440" s="7"/>
      <c r="BH4440" s="7"/>
      <c r="BQ4440" s="7"/>
      <c r="BZ4440" s="7"/>
    </row>
    <row r="4441" spans="2:78">
      <c r="B4441" s="7"/>
      <c r="O4441" s="7"/>
      <c r="X4441" s="7"/>
      <c r="AG4441" s="7"/>
      <c r="AP4441" s="7"/>
      <c r="AY4441" s="7"/>
      <c r="BH4441" s="7"/>
      <c r="BQ4441" s="7"/>
      <c r="BZ4441" s="7"/>
    </row>
    <row r="4442" spans="2:78">
      <c r="B4442" s="7"/>
      <c r="O4442" s="7"/>
      <c r="X4442" s="7"/>
      <c r="AG4442" s="7"/>
      <c r="AP4442" s="7"/>
      <c r="AY4442" s="7"/>
      <c r="BH4442" s="7"/>
      <c r="BQ4442" s="7"/>
      <c r="BZ4442" s="7"/>
    </row>
    <row r="4443" spans="2:78">
      <c r="B4443" s="7"/>
      <c r="O4443" s="7"/>
      <c r="X4443" s="7"/>
      <c r="AG4443" s="7"/>
      <c r="AP4443" s="7"/>
      <c r="AY4443" s="7"/>
      <c r="BH4443" s="7"/>
      <c r="BQ4443" s="7"/>
      <c r="BZ4443" s="7"/>
    </row>
    <row r="4444" spans="2:78">
      <c r="B4444" s="7"/>
      <c r="O4444" s="7"/>
      <c r="X4444" s="7"/>
      <c r="AG4444" s="7"/>
      <c r="AP4444" s="7"/>
      <c r="AY4444" s="7"/>
      <c r="BH4444" s="7"/>
      <c r="BQ4444" s="7"/>
      <c r="BZ4444" s="7"/>
    </row>
    <row r="4445" spans="2:78">
      <c r="B4445" s="7"/>
      <c r="O4445" s="7"/>
      <c r="X4445" s="7"/>
      <c r="AG4445" s="7"/>
      <c r="AP4445" s="7"/>
      <c r="AY4445" s="7"/>
      <c r="BH4445" s="7"/>
      <c r="BQ4445" s="7"/>
      <c r="BZ4445" s="7"/>
    </row>
    <row r="4446" spans="2:78">
      <c r="B4446" s="7"/>
      <c r="O4446" s="7"/>
      <c r="X4446" s="7"/>
      <c r="AG4446" s="7"/>
      <c r="AP4446" s="7"/>
      <c r="AY4446" s="7"/>
      <c r="BH4446" s="7"/>
      <c r="BQ4446" s="7"/>
      <c r="BZ4446" s="7"/>
    </row>
    <row r="4447" spans="2:78">
      <c r="B4447" s="7"/>
      <c r="O4447" s="7"/>
      <c r="X4447" s="7"/>
      <c r="AG4447" s="7"/>
      <c r="AP4447" s="7"/>
      <c r="AY4447" s="7"/>
      <c r="BH4447" s="7"/>
      <c r="BQ4447" s="7"/>
      <c r="BZ4447" s="7"/>
    </row>
    <row r="4448" spans="2:78">
      <c r="B4448" s="7"/>
      <c r="O4448" s="7"/>
      <c r="X4448" s="7"/>
      <c r="AG4448" s="7"/>
      <c r="AP4448" s="7"/>
      <c r="AY4448" s="7"/>
      <c r="BH4448" s="7"/>
      <c r="BQ4448" s="7"/>
      <c r="BZ4448" s="7"/>
    </row>
    <row r="4449" spans="2:78">
      <c r="B4449" s="7"/>
      <c r="O4449" s="7"/>
      <c r="X4449" s="7"/>
      <c r="AG4449" s="7"/>
      <c r="AP4449" s="7"/>
      <c r="AY4449" s="7"/>
      <c r="BH4449" s="7"/>
      <c r="BQ4449" s="7"/>
      <c r="BZ4449" s="7"/>
    </row>
    <row r="4450" spans="2:78">
      <c r="B4450" s="7"/>
      <c r="O4450" s="7"/>
      <c r="X4450" s="7"/>
      <c r="AG4450" s="7"/>
      <c r="AP4450" s="7"/>
      <c r="AY4450" s="7"/>
      <c r="BH4450" s="7"/>
      <c r="BQ4450" s="7"/>
      <c r="BZ4450" s="7"/>
    </row>
    <row r="4451" spans="2:78">
      <c r="B4451" s="7"/>
      <c r="O4451" s="7"/>
      <c r="X4451" s="7"/>
      <c r="AG4451" s="7"/>
      <c r="AP4451" s="7"/>
      <c r="AY4451" s="7"/>
      <c r="BH4451" s="7"/>
      <c r="BQ4451" s="7"/>
      <c r="BZ4451" s="7"/>
    </row>
    <row r="4452" spans="2:78">
      <c r="B4452" s="7"/>
      <c r="O4452" s="7"/>
      <c r="X4452" s="7"/>
      <c r="AG4452" s="7"/>
      <c r="AP4452" s="7"/>
      <c r="AY4452" s="7"/>
      <c r="BH4452" s="7"/>
      <c r="BQ4452" s="7"/>
      <c r="BZ4452" s="7"/>
    </row>
    <row r="4453" spans="2:78">
      <c r="B4453" s="7"/>
      <c r="O4453" s="7"/>
      <c r="X4453" s="7"/>
      <c r="AG4453" s="7"/>
      <c r="AP4453" s="7"/>
      <c r="AY4453" s="7"/>
      <c r="BH4453" s="7"/>
      <c r="BQ4453" s="7"/>
      <c r="BZ4453" s="7"/>
    </row>
    <row r="4454" spans="2:78">
      <c r="B4454" s="7"/>
      <c r="O4454" s="7"/>
      <c r="X4454" s="7"/>
      <c r="AG4454" s="7"/>
      <c r="AP4454" s="7"/>
      <c r="AY4454" s="7"/>
      <c r="BH4454" s="7"/>
      <c r="BQ4454" s="7"/>
      <c r="BZ4454" s="7"/>
    </row>
    <row r="4455" spans="2:78">
      <c r="B4455" s="7"/>
      <c r="O4455" s="7"/>
      <c r="X4455" s="7"/>
      <c r="AG4455" s="7"/>
      <c r="AP4455" s="7"/>
      <c r="AY4455" s="7"/>
      <c r="BH4455" s="7"/>
      <c r="BQ4455" s="7"/>
      <c r="BZ4455" s="7"/>
    </row>
    <row r="4456" spans="2:78">
      <c r="B4456" s="7"/>
      <c r="O4456" s="7"/>
      <c r="X4456" s="7"/>
      <c r="AG4456" s="7"/>
      <c r="AP4456" s="7"/>
      <c r="AY4456" s="7"/>
      <c r="BH4456" s="7"/>
      <c r="BQ4456" s="7"/>
      <c r="BZ4456" s="7"/>
    </row>
    <row r="4457" spans="2:78">
      <c r="B4457" s="7"/>
      <c r="O4457" s="7"/>
      <c r="X4457" s="7"/>
      <c r="AG4457" s="7"/>
      <c r="AP4457" s="7"/>
      <c r="AY4457" s="7"/>
      <c r="BH4457" s="7"/>
      <c r="BQ4457" s="7"/>
      <c r="BZ4457" s="7"/>
    </row>
    <row r="4458" spans="2:78">
      <c r="B4458" s="7"/>
      <c r="O4458" s="7"/>
      <c r="X4458" s="7"/>
      <c r="AG4458" s="7"/>
      <c r="AP4458" s="7"/>
      <c r="AY4458" s="7"/>
      <c r="BH4458" s="7"/>
      <c r="BQ4458" s="7"/>
      <c r="BZ4458" s="7"/>
    </row>
    <row r="4459" spans="2:78">
      <c r="B4459" s="7"/>
      <c r="O4459" s="7"/>
      <c r="X4459" s="7"/>
      <c r="AG4459" s="7"/>
      <c r="AP4459" s="7"/>
      <c r="AY4459" s="7"/>
      <c r="BH4459" s="7"/>
      <c r="BQ4459" s="7"/>
      <c r="BZ4459" s="7"/>
    </row>
    <row r="4460" spans="2:78">
      <c r="B4460" s="7"/>
      <c r="O4460" s="7"/>
      <c r="X4460" s="7"/>
      <c r="AG4460" s="7"/>
      <c r="AP4460" s="7"/>
      <c r="AY4460" s="7"/>
      <c r="BH4460" s="7"/>
      <c r="BQ4460" s="7"/>
      <c r="BZ4460" s="7"/>
    </row>
    <row r="4461" spans="2:78">
      <c r="B4461" s="7"/>
      <c r="O4461" s="7"/>
      <c r="X4461" s="7"/>
      <c r="AG4461" s="7"/>
      <c r="AP4461" s="7"/>
      <c r="AY4461" s="7"/>
      <c r="BH4461" s="7"/>
      <c r="BQ4461" s="7"/>
      <c r="BZ4461" s="7"/>
    </row>
    <row r="4462" spans="2:78">
      <c r="B4462" s="7"/>
      <c r="O4462" s="7"/>
      <c r="X4462" s="7"/>
      <c r="AG4462" s="7"/>
      <c r="AP4462" s="7"/>
      <c r="AY4462" s="7"/>
      <c r="BH4462" s="7"/>
      <c r="BQ4462" s="7"/>
      <c r="BZ4462" s="7"/>
    </row>
    <row r="4463" spans="2:78">
      <c r="B4463" s="7"/>
      <c r="O4463" s="7"/>
      <c r="X4463" s="7"/>
      <c r="AG4463" s="7"/>
      <c r="AP4463" s="7"/>
      <c r="AY4463" s="7"/>
      <c r="BH4463" s="7"/>
      <c r="BQ4463" s="7"/>
      <c r="BZ4463" s="7"/>
    </row>
    <row r="4464" spans="2:78">
      <c r="B4464" s="7"/>
      <c r="O4464" s="7"/>
      <c r="X4464" s="7"/>
      <c r="AG4464" s="7"/>
      <c r="AP4464" s="7"/>
      <c r="AY4464" s="7"/>
      <c r="BH4464" s="7"/>
      <c r="BQ4464" s="7"/>
      <c r="BZ4464" s="7"/>
    </row>
    <row r="4465" spans="2:78">
      <c r="B4465" s="7"/>
      <c r="O4465" s="7"/>
      <c r="X4465" s="7"/>
      <c r="AG4465" s="7"/>
      <c r="AP4465" s="7"/>
      <c r="AY4465" s="7"/>
      <c r="BH4465" s="7"/>
      <c r="BQ4465" s="7"/>
      <c r="BZ4465" s="7"/>
    </row>
    <row r="4466" spans="2:78">
      <c r="B4466" s="7"/>
      <c r="O4466" s="7"/>
      <c r="X4466" s="7"/>
      <c r="AG4466" s="7"/>
      <c r="AP4466" s="7"/>
      <c r="AY4466" s="7"/>
      <c r="BH4466" s="7"/>
      <c r="BQ4466" s="7"/>
      <c r="BZ4466" s="7"/>
    </row>
    <row r="4467" spans="2:78">
      <c r="B4467" s="7"/>
      <c r="O4467" s="7"/>
      <c r="X4467" s="7"/>
      <c r="AG4467" s="7"/>
      <c r="AP4467" s="7"/>
      <c r="AY4467" s="7"/>
      <c r="BH4467" s="7"/>
      <c r="BQ4467" s="7"/>
      <c r="BZ4467" s="7"/>
    </row>
    <row r="4468" spans="2:78">
      <c r="B4468" s="7"/>
      <c r="O4468" s="7"/>
      <c r="X4468" s="7"/>
      <c r="AG4468" s="7"/>
      <c r="AP4468" s="7"/>
      <c r="AY4468" s="7"/>
      <c r="BH4468" s="7"/>
      <c r="BQ4468" s="7"/>
      <c r="BZ4468" s="7"/>
    </row>
    <row r="4469" spans="2:78">
      <c r="B4469" s="7"/>
      <c r="O4469" s="7"/>
      <c r="X4469" s="7"/>
      <c r="AG4469" s="7"/>
      <c r="AP4469" s="7"/>
      <c r="AY4469" s="7"/>
      <c r="BH4469" s="7"/>
      <c r="BQ4469" s="7"/>
      <c r="BZ4469" s="7"/>
    </row>
    <row r="4470" spans="2:78">
      <c r="B4470" s="7"/>
      <c r="O4470" s="7"/>
      <c r="X4470" s="7"/>
      <c r="AG4470" s="7"/>
      <c r="AP4470" s="7"/>
      <c r="AY4470" s="7"/>
      <c r="BH4470" s="7"/>
      <c r="BQ4470" s="7"/>
      <c r="BZ4470" s="7"/>
    </row>
    <row r="4471" spans="2:78">
      <c r="B4471" s="7"/>
      <c r="O4471" s="7"/>
      <c r="X4471" s="7"/>
      <c r="AG4471" s="7"/>
      <c r="AP4471" s="7"/>
      <c r="AY4471" s="7"/>
      <c r="BH4471" s="7"/>
      <c r="BQ4471" s="7"/>
      <c r="BZ4471" s="7"/>
    </row>
    <row r="4472" spans="2:78">
      <c r="B4472" s="7"/>
      <c r="O4472" s="7"/>
      <c r="X4472" s="7"/>
      <c r="AG4472" s="7"/>
      <c r="AP4472" s="7"/>
      <c r="AY4472" s="7"/>
      <c r="BH4472" s="7"/>
      <c r="BQ4472" s="7"/>
      <c r="BZ4472" s="7"/>
    </row>
    <row r="4473" spans="2:78">
      <c r="B4473" s="7"/>
      <c r="O4473" s="7"/>
      <c r="X4473" s="7"/>
      <c r="AG4473" s="7"/>
      <c r="AP4473" s="7"/>
      <c r="AY4473" s="7"/>
      <c r="BH4473" s="7"/>
      <c r="BQ4473" s="7"/>
      <c r="BZ4473" s="7"/>
    </row>
    <row r="4474" spans="2:78">
      <c r="B4474" s="7"/>
      <c r="O4474" s="7"/>
      <c r="X4474" s="7"/>
      <c r="AG4474" s="7"/>
      <c r="AP4474" s="7"/>
      <c r="AY4474" s="7"/>
      <c r="BH4474" s="7"/>
      <c r="BQ4474" s="7"/>
      <c r="BZ4474" s="7"/>
    </row>
    <row r="4475" spans="2:78">
      <c r="B4475" s="7"/>
      <c r="O4475" s="7"/>
      <c r="X4475" s="7"/>
      <c r="AG4475" s="7"/>
      <c r="AP4475" s="7"/>
      <c r="AY4475" s="7"/>
      <c r="BH4475" s="7"/>
      <c r="BQ4475" s="7"/>
      <c r="BZ4475" s="7"/>
    </row>
    <row r="4476" spans="2:78">
      <c r="B4476" s="7"/>
      <c r="O4476" s="7"/>
      <c r="X4476" s="7"/>
      <c r="AG4476" s="7"/>
      <c r="AP4476" s="7"/>
      <c r="AY4476" s="7"/>
      <c r="BH4476" s="7"/>
      <c r="BQ4476" s="7"/>
      <c r="BZ4476" s="7"/>
    </row>
    <row r="4477" spans="2:78">
      <c r="B4477" s="7"/>
      <c r="O4477" s="7"/>
      <c r="X4477" s="7"/>
      <c r="AG4477" s="7"/>
      <c r="AP4477" s="7"/>
      <c r="AY4477" s="7"/>
      <c r="BH4477" s="7"/>
      <c r="BQ4477" s="7"/>
      <c r="BZ4477" s="7"/>
    </row>
    <row r="4478" spans="2:78">
      <c r="B4478" s="7"/>
      <c r="O4478" s="7"/>
      <c r="X4478" s="7"/>
      <c r="AG4478" s="7"/>
      <c r="AP4478" s="7"/>
      <c r="AY4478" s="7"/>
      <c r="BH4478" s="7"/>
      <c r="BQ4478" s="7"/>
      <c r="BZ4478" s="7"/>
    </row>
    <row r="4479" spans="2:78">
      <c r="B4479" s="7"/>
      <c r="O4479" s="7"/>
      <c r="X4479" s="7"/>
      <c r="AG4479" s="7"/>
      <c r="AP4479" s="7"/>
      <c r="AY4479" s="7"/>
      <c r="BH4479" s="7"/>
      <c r="BQ4479" s="7"/>
      <c r="BZ4479" s="7"/>
    </row>
    <row r="4480" spans="2:78">
      <c r="B4480" s="7"/>
      <c r="O4480" s="7"/>
      <c r="X4480" s="7"/>
      <c r="AG4480" s="7"/>
      <c r="AP4480" s="7"/>
      <c r="AY4480" s="7"/>
      <c r="BH4480" s="7"/>
      <c r="BQ4480" s="7"/>
      <c r="BZ4480" s="7"/>
    </row>
    <row r="4481" spans="2:78">
      <c r="B4481" s="7"/>
      <c r="O4481" s="7"/>
      <c r="X4481" s="7"/>
      <c r="AG4481" s="7"/>
      <c r="AP4481" s="7"/>
      <c r="AY4481" s="7"/>
      <c r="BH4481" s="7"/>
      <c r="BQ4481" s="7"/>
      <c r="BZ4481" s="7"/>
    </row>
    <row r="4482" spans="2:78">
      <c r="B4482" s="7"/>
      <c r="O4482" s="7"/>
      <c r="X4482" s="7"/>
      <c r="AG4482" s="7"/>
      <c r="AP4482" s="7"/>
      <c r="AY4482" s="7"/>
      <c r="BH4482" s="7"/>
      <c r="BQ4482" s="7"/>
      <c r="BZ4482" s="7"/>
    </row>
    <row r="4483" spans="2:78">
      <c r="B4483" s="7"/>
      <c r="O4483" s="7"/>
      <c r="X4483" s="7"/>
      <c r="AG4483" s="7"/>
      <c r="AP4483" s="7"/>
      <c r="AY4483" s="7"/>
      <c r="BH4483" s="7"/>
      <c r="BQ4483" s="7"/>
      <c r="BZ4483" s="7"/>
    </row>
    <row r="4484" spans="2:78">
      <c r="B4484" s="7"/>
      <c r="O4484" s="7"/>
      <c r="X4484" s="7"/>
      <c r="AG4484" s="7"/>
      <c r="AP4484" s="7"/>
      <c r="AY4484" s="7"/>
      <c r="BH4484" s="7"/>
      <c r="BQ4484" s="7"/>
      <c r="BZ4484" s="7"/>
    </row>
    <row r="4485" spans="2:78">
      <c r="B4485" s="7"/>
      <c r="O4485" s="7"/>
      <c r="X4485" s="7"/>
      <c r="AG4485" s="7"/>
      <c r="AP4485" s="7"/>
      <c r="AY4485" s="7"/>
      <c r="BH4485" s="7"/>
      <c r="BQ4485" s="7"/>
      <c r="BZ4485" s="7"/>
    </row>
    <row r="4486" spans="2:78">
      <c r="B4486" s="7"/>
      <c r="O4486" s="7"/>
      <c r="X4486" s="7"/>
      <c r="AG4486" s="7"/>
      <c r="AP4486" s="7"/>
      <c r="AY4486" s="7"/>
      <c r="BH4486" s="7"/>
      <c r="BQ4486" s="7"/>
      <c r="BZ4486" s="7"/>
    </row>
    <row r="4487" spans="2:78">
      <c r="B4487" s="7"/>
      <c r="O4487" s="7"/>
      <c r="X4487" s="7"/>
      <c r="AG4487" s="7"/>
      <c r="AP4487" s="7"/>
      <c r="AY4487" s="7"/>
      <c r="BH4487" s="7"/>
      <c r="BQ4487" s="7"/>
      <c r="BZ4487" s="7"/>
    </row>
    <row r="4488" spans="2:78">
      <c r="B4488" s="7"/>
      <c r="O4488" s="7"/>
      <c r="X4488" s="7"/>
      <c r="AG4488" s="7"/>
      <c r="AP4488" s="7"/>
      <c r="AY4488" s="7"/>
      <c r="BH4488" s="7"/>
      <c r="BQ4488" s="7"/>
      <c r="BZ4488" s="7"/>
    </row>
    <row r="4489" spans="2:78">
      <c r="B4489" s="7"/>
      <c r="O4489" s="7"/>
      <c r="X4489" s="7"/>
      <c r="AG4489" s="7"/>
      <c r="AP4489" s="7"/>
      <c r="AY4489" s="7"/>
      <c r="BH4489" s="7"/>
      <c r="BQ4489" s="7"/>
      <c r="BZ4489" s="7"/>
    </row>
    <row r="4490" spans="2:78">
      <c r="B4490" s="7"/>
      <c r="O4490" s="7"/>
      <c r="X4490" s="7"/>
      <c r="AG4490" s="7"/>
      <c r="AP4490" s="7"/>
      <c r="AY4490" s="7"/>
      <c r="BH4490" s="7"/>
      <c r="BQ4490" s="7"/>
      <c r="BZ4490" s="7"/>
    </row>
    <row r="4491" spans="2:78">
      <c r="B4491" s="7"/>
      <c r="O4491" s="7"/>
      <c r="X4491" s="7"/>
      <c r="AG4491" s="7"/>
      <c r="AP4491" s="7"/>
      <c r="AY4491" s="7"/>
      <c r="BH4491" s="7"/>
      <c r="BQ4491" s="7"/>
      <c r="BZ4491" s="7"/>
    </row>
    <row r="4492" spans="2:78">
      <c r="B4492" s="7"/>
      <c r="O4492" s="7"/>
      <c r="X4492" s="7"/>
      <c r="AG4492" s="7"/>
      <c r="AP4492" s="7"/>
      <c r="AY4492" s="7"/>
      <c r="BH4492" s="7"/>
      <c r="BQ4492" s="7"/>
      <c r="BZ4492" s="7"/>
    </row>
    <row r="4493" spans="2:78">
      <c r="B4493" s="7"/>
      <c r="O4493" s="7"/>
      <c r="X4493" s="7"/>
      <c r="AG4493" s="7"/>
      <c r="AP4493" s="7"/>
      <c r="AY4493" s="7"/>
      <c r="BH4493" s="7"/>
      <c r="BQ4493" s="7"/>
      <c r="BZ4493" s="7"/>
    </row>
    <row r="4494" spans="2:78">
      <c r="B4494" s="7"/>
      <c r="O4494" s="7"/>
      <c r="X4494" s="7"/>
      <c r="AG4494" s="7"/>
      <c r="AP4494" s="7"/>
      <c r="AY4494" s="7"/>
      <c r="BH4494" s="7"/>
      <c r="BQ4494" s="7"/>
      <c r="BZ4494" s="7"/>
    </row>
    <row r="4495" spans="2:78">
      <c r="B4495" s="7"/>
      <c r="O4495" s="7"/>
      <c r="X4495" s="7"/>
      <c r="AG4495" s="7"/>
      <c r="AP4495" s="7"/>
      <c r="AY4495" s="7"/>
      <c r="BH4495" s="7"/>
      <c r="BQ4495" s="7"/>
      <c r="BZ4495" s="7"/>
    </row>
    <row r="4496" spans="2:78">
      <c r="B4496" s="7"/>
      <c r="O4496" s="7"/>
      <c r="X4496" s="7"/>
      <c r="AG4496" s="7"/>
      <c r="AP4496" s="7"/>
      <c r="AY4496" s="7"/>
      <c r="BH4496" s="7"/>
      <c r="BQ4496" s="7"/>
      <c r="BZ4496" s="7"/>
    </row>
    <row r="4497" spans="2:78">
      <c r="B4497" s="7"/>
      <c r="O4497" s="7"/>
      <c r="X4497" s="7"/>
      <c r="AG4497" s="7"/>
      <c r="AP4497" s="7"/>
      <c r="AY4497" s="7"/>
      <c r="BH4497" s="7"/>
      <c r="BQ4497" s="7"/>
      <c r="BZ4497" s="7"/>
    </row>
    <row r="4498" spans="2:78">
      <c r="B4498" s="7"/>
      <c r="O4498" s="7"/>
      <c r="X4498" s="7"/>
      <c r="AG4498" s="7"/>
      <c r="AP4498" s="7"/>
      <c r="AY4498" s="7"/>
      <c r="BH4498" s="7"/>
      <c r="BQ4498" s="7"/>
      <c r="BZ4498" s="7"/>
    </row>
    <row r="4499" spans="2:78">
      <c r="B4499" s="7"/>
      <c r="O4499" s="7"/>
      <c r="X4499" s="7"/>
      <c r="AG4499" s="7"/>
      <c r="AP4499" s="7"/>
      <c r="AY4499" s="7"/>
      <c r="BH4499" s="7"/>
      <c r="BQ4499" s="7"/>
      <c r="BZ4499" s="7"/>
    </row>
    <row r="4500" spans="2:78">
      <c r="B4500" s="7"/>
      <c r="O4500" s="7"/>
      <c r="X4500" s="7"/>
      <c r="AG4500" s="7"/>
      <c r="AP4500" s="7"/>
      <c r="AY4500" s="7"/>
      <c r="BH4500" s="7"/>
      <c r="BQ4500" s="7"/>
      <c r="BZ4500" s="7"/>
    </row>
    <row r="4501" spans="2:78">
      <c r="B4501" s="7"/>
      <c r="O4501" s="7"/>
      <c r="X4501" s="7"/>
      <c r="AG4501" s="7"/>
      <c r="AP4501" s="7"/>
      <c r="AY4501" s="7"/>
      <c r="BH4501" s="7"/>
      <c r="BQ4501" s="7"/>
      <c r="BZ4501" s="7"/>
    </row>
    <row r="4502" spans="2:78">
      <c r="B4502" s="7"/>
      <c r="O4502" s="7"/>
      <c r="X4502" s="7"/>
      <c r="AG4502" s="7"/>
      <c r="AP4502" s="7"/>
      <c r="AY4502" s="7"/>
      <c r="BH4502" s="7"/>
      <c r="BQ4502" s="7"/>
      <c r="BZ4502" s="7"/>
    </row>
    <row r="4503" spans="2:78">
      <c r="B4503" s="7"/>
      <c r="O4503" s="7"/>
      <c r="X4503" s="7"/>
      <c r="AG4503" s="7"/>
      <c r="AP4503" s="7"/>
      <c r="AY4503" s="7"/>
      <c r="BH4503" s="7"/>
      <c r="BQ4503" s="7"/>
      <c r="BZ4503" s="7"/>
    </row>
    <row r="4504" spans="2:78">
      <c r="B4504" s="7"/>
      <c r="O4504" s="7"/>
      <c r="X4504" s="7"/>
      <c r="AG4504" s="7"/>
      <c r="AP4504" s="7"/>
      <c r="AY4504" s="7"/>
      <c r="BH4504" s="7"/>
      <c r="BQ4504" s="7"/>
      <c r="BZ4504" s="7"/>
    </row>
    <row r="4505" spans="2:78">
      <c r="B4505" s="7"/>
      <c r="O4505" s="7"/>
      <c r="X4505" s="7"/>
      <c r="AG4505" s="7"/>
      <c r="AP4505" s="7"/>
      <c r="AY4505" s="7"/>
      <c r="BH4505" s="7"/>
      <c r="BQ4505" s="7"/>
      <c r="BZ4505" s="7"/>
    </row>
    <row r="4506" spans="2:78">
      <c r="B4506" s="7"/>
      <c r="O4506" s="7"/>
      <c r="X4506" s="7"/>
      <c r="AG4506" s="7"/>
      <c r="AP4506" s="7"/>
      <c r="AY4506" s="7"/>
      <c r="BH4506" s="7"/>
      <c r="BQ4506" s="7"/>
      <c r="BZ4506" s="7"/>
    </row>
    <row r="4507" spans="2:78">
      <c r="B4507" s="7"/>
      <c r="O4507" s="7"/>
      <c r="X4507" s="7"/>
      <c r="AG4507" s="7"/>
      <c r="AP4507" s="7"/>
      <c r="AY4507" s="7"/>
      <c r="BH4507" s="7"/>
      <c r="BQ4507" s="7"/>
      <c r="BZ4507" s="7"/>
    </row>
    <row r="4508" spans="2:78">
      <c r="B4508" s="7"/>
      <c r="O4508" s="7"/>
      <c r="X4508" s="7"/>
      <c r="AG4508" s="7"/>
      <c r="AP4508" s="7"/>
      <c r="AY4508" s="7"/>
      <c r="BH4508" s="7"/>
      <c r="BQ4508" s="7"/>
      <c r="BZ4508" s="7"/>
    </row>
    <row r="4509" spans="2:78">
      <c r="B4509" s="7"/>
      <c r="O4509" s="7"/>
      <c r="X4509" s="7"/>
      <c r="AG4509" s="7"/>
      <c r="AP4509" s="7"/>
      <c r="AY4509" s="7"/>
      <c r="BH4509" s="7"/>
      <c r="BQ4509" s="7"/>
      <c r="BZ4509" s="7"/>
    </row>
    <row r="4510" spans="2:78">
      <c r="B4510" s="7"/>
      <c r="O4510" s="7"/>
      <c r="X4510" s="7"/>
      <c r="AG4510" s="7"/>
      <c r="AP4510" s="7"/>
      <c r="AY4510" s="7"/>
      <c r="BH4510" s="7"/>
      <c r="BQ4510" s="7"/>
      <c r="BZ4510" s="7"/>
    </row>
    <row r="4511" spans="2:78">
      <c r="B4511" s="7"/>
      <c r="O4511" s="7"/>
      <c r="X4511" s="7"/>
      <c r="AG4511" s="7"/>
      <c r="AP4511" s="7"/>
      <c r="AY4511" s="7"/>
      <c r="BH4511" s="7"/>
      <c r="BQ4511" s="7"/>
      <c r="BZ4511" s="7"/>
    </row>
    <row r="4512" spans="2:78">
      <c r="B4512" s="7"/>
      <c r="O4512" s="7"/>
      <c r="X4512" s="7"/>
      <c r="AG4512" s="7"/>
      <c r="AP4512" s="7"/>
      <c r="AY4512" s="7"/>
      <c r="BH4512" s="7"/>
      <c r="BQ4512" s="7"/>
      <c r="BZ4512" s="7"/>
    </row>
    <row r="4513" spans="2:78">
      <c r="B4513" s="7"/>
      <c r="O4513" s="7"/>
      <c r="X4513" s="7"/>
      <c r="AG4513" s="7"/>
      <c r="AP4513" s="7"/>
      <c r="AY4513" s="7"/>
      <c r="BH4513" s="7"/>
      <c r="BQ4513" s="7"/>
      <c r="BZ4513" s="7"/>
    </row>
    <row r="4514" spans="2:78">
      <c r="B4514" s="7"/>
      <c r="O4514" s="7"/>
      <c r="X4514" s="7"/>
      <c r="AG4514" s="7"/>
      <c r="AP4514" s="7"/>
      <c r="AY4514" s="7"/>
      <c r="BH4514" s="7"/>
      <c r="BQ4514" s="7"/>
      <c r="BZ4514" s="7"/>
    </row>
    <row r="4515" spans="2:78">
      <c r="B4515" s="7"/>
      <c r="O4515" s="7"/>
      <c r="X4515" s="7"/>
      <c r="AG4515" s="7"/>
      <c r="AP4515" s="7"/>
      <c r="AY4515" s="7"/>
      <c r="BH4515" s="7"/>
      <c r="BQ4515" s="7"/>
      <c r="BZ4515" s="7"/>
    </row>
    <row r="4516" spans="2:78">
      <c r="B4516" s="7"/>
      <c r="O4516" s="7"/>
      <c r="X4516" s="7"/>
      <c r="AG4516" s="7"/>
      <c r="AP4516" s="7"/>
      <c r="AY4516" s="7"/>
      <c r="BH4516" s="7"/>
      <c r="BQ4516" s="7"/>
      <c r="BZ4516" s="7"/>
    </row>
    <row r="4517" spans="2:78">
      <c r="B4517" s="7"/>
      <c r="O4517" s="7"/>
      <c r="X4517" s="7"/>
      <c r="AG4517" s="7"/>
      <c r="AP4517" s="7"/>
      <c r="AY4517" s="7"/>
      <c r="BH4517" s="7"/>
      <c r="BQ4517" s="7"/>
      <c r="BZ4517" s="7"/>
    </row>
    <row r="4518" spans="2:78">
      <c r="B4518" s="7"/>
      <c r="O4518" s="7"/>
      <c r="X4518" s="7"/>
      <c r="AG4518" s="7"/>
      <c r="AP4518" s="7"/>
      <c r="AY4518" s="7"/>
      <c r="BH4518" s="7"/>
      <c r="BQ4518" s="7"/>
      <c r="BZ4518" s="7"/>
    </row>
    <row r="4519" spans="2:78">
      <c r="B4519" s="7"/>
      <c r="O4519" s="7"/>
      <c r="X4519" s="7"/>
      <c r="AG4519" s="7"/>
      <c r="AP4519" s="7"/>
      <c r="AY4519" s="7"/>
      <c r="BH4519" s="7"/>
      <c r="BQ4519" s="7"/>
      <c r="BZ4519" s="7"/>
    </row>
    <row r="4520" spans="2:78">
      <c r="B4520" s="7"/>
      <c r="O4520" s="7"/>
      <c r="X4520" s="7"/>
      <c r="AG4520" s="7"/>
      <c r="AP4520" s="7"/>
      <c r="AY4520" s="7"/>
      <c r="BH4520" s="7"/>
      <c r="BQ4520" s="7"/>
      <c r="BZ4520" s="7"/>
    </row>
    <row r="4521" spans="2:78">
      <c r="B4521" s="7"/>
      <c r="O4521" s="7"/>
      <c r="X4521" s="7"/>
      <c r="AG4521" s="7"/>
      <c r="AP4521" s="7"/>
      <c r="AY4521" s="7"/>
      <c r="BH4521" s="7"/>
      <c r="BQ4521" s="7"/>
      <c r="BZ4521" s="7"/>
    </row>
    <row r="4522" spans="2:78">
      <c r="B4522" s="7"/>
      <c r="O4522" s="7"/>
      <c r="X4522" s="7"/>
      <c r="AG4522" s="7"/>
      <c r="AP4522" s="7"/>
      <c r="AY4522" s="7"/>
      <c r="BH4522" s="7"/>
      <c r="BQ4522" s="7"/>
      <c r="BZ4522" s="7"/>
    </row>
    <row r="4523" spans="2:78">
      <c r="B4523" s="7"/>
      <c r="O4523" s="7"/>
      <c r="X4523" s="7"/>
      <c r="AG4523" s="7"/>
      <c r="AP4523" s="7"/>
      <c r="AY4523" s="7"/>
      <c r="BH4523" s="7"/>
      <c r="BQ4523" s="7"/>
      <c r="BZ4523" s="7"/>
    </row>
    <row r="4524" spans="2:78">
      <c r="B4524" s="7"/>
      <c r="O4524" s="7"/>
      <c r="X4524" s="7"/>
      <c r="AG4524" s="7"/>
      <c r="AP4524" s="7"/>
      <c r="AY4524" s="7"/>
      <c r="BH4524" s="7"/>
      <c r="BQ4524" s="7"/>
      <c r="BZ4524" s="7"/>
    </row>
    <row r="4525" spans="2:78">
      <c r="B4525" s="7"/>
      <c r="O4525" s="7"/>
      <c r="X4525" s="7"/>
      <c r="AG4525" s="7"/>
      <c r="AP4525" s="7"/>
      <c r="AY4525" s="7"/>
      <c r="BH4525" s="7"/>
      <c r="BQ4525" s="7"/>
      <c r="BZ4525" s="7"/>
    </row>
    <row r="4526" spans="2:78">
      <c r="B4526" s="7"/>
      <c r="O4526" s="7"/>
      <c r="X4526" s="7"/>
      <c r="AG4526" s="7"/>
      <c r="AP4526" s="7"/>
      <c r="AY4526" s="7"/>
      <c r="BH4526" s="7"/>
      <c r="BQ4526" s="7"/>
      <c r="BZ4526" s="7"/>
    </row>
    <row r="4527" spans="2:78">
      <c r="B4527" s="7"/>
      <c r="O4527" s="7"/>
      <c r="X4527" s="7"/>
      <c r="AG4527" s="7"/>
      <c r="AP4527" s="7"/>
      <c r="AY4527" s="7"/>
      <c r="BH4527" s="7"/>
      <c r="BQ4527" s="7"/>
      <c r="BZ4527" s="7"/>
    </row>
    <row r="4528" spans="2:78">
      <c r="B4528" s="7"/>
      <c r="O4528" s="7"/>
      <c r="X4528" s="7"/>
      <c r="AG4528" s="7"/>
      <c r="AP4528" s="7"/>
      <c r="AY4528" s="7"/>
      <c r="BH4528" s="7"/>
      <c r="BQ4528" s="7"/>
      <c r="BZ4528" s="7"/>
    </row>
    <row r="4529" spans="2:78">
      <c r="B4529" s="7"/>
      <c r="O4529" s="7"/>
      <c r="X4529" s="7"/>
      <c r="AG4529" s="7"/>
      <c r="AP4529" s="7"/>
      <c r="AY4529" s="7"/>
      <c r="BH4529" s="7"/>
      <c r="BQ4529" s="7"/>
      <c r="BZ4529" s="7"/>
    </row>
    <row r="4530" spans="2:78">
      <c r="B4530" s="7"/>
      <c r="O4530" s="7"/>
      <c r="X4530" s="7"/>
      <c r="AG4530" s="7"/>
      <c r="AP4530" s="7"/>
      <c r="AY4530" s="7"/>
      <c r="BH4530" s="7"/>
      <c r="BQ4530" s="7"/>
      <c r="BZ4530" s="7"/>
    </row>
    <row r="4531" spans="2:78">
      <c r="B4531" s="7"/>
      <c r="O4531" s="7"/>
      <c r="X4531" s="7"/>
      <c r="AG4531" s="7"/>
      <c r="AP4531" s="7"/>
      <c r="AY4531" s="7"/>
      <c r="BH4531" s="7"/>
      <c r="BQ4531" s="7"/>
      <c r="BZ4531" s="7"/>
    </row>
    <row r="4532" spans="2:78">
      <c r="B4532" s="7"/>
      <c r="O4532" s="7"/>
      <c r="X4532" s="7"/>
      <c r="AG4532" s="7"/>
      <c r="AP4532" s="7"/>
      <c r="AY4532" s="7"/>
      <c r="BH4532" s="7"/>
      <c r="BQ4532" s="7"/>
      <c r="BZ4532" s="7"/>
    </row>
    <row r="4533" spans="2:78">
      <c r="B4533" s="7"/>
      <c r="O4533" s="7"/>
      <c r="X4533" s="7"/>
      <c r="AG4533" s="7"/>
      <c r="AP4533" s="7"/>
      <c r="AY4533" s="7"/>
      <c r="BH4533" s="7"/>
      <c r="BQ4533" s="7"/>
      <c r="BZ4533" s="7"/>
    </row>
    <row r="4534" spans="2:78">
      <c r="B4534" s="7"/>
      <c r="O4534" s="7"/>
      <c r="X4534" s="7"/>
      <c r="AG4534" s="7"/>
      <c r="AP4534" s="7"/>
      <c r="AY4534" s="7"/>
      <c r="BH4534" s="7"/>
      <c r="BQ4534" s="7"/>
      <c r="BZ4534" s="7"/>
    </row>
    <row r="4535" spans="2:78">
      <c r="B4535" s="7"/>
      <c r="O4535" s="7"/>
      <c r="X4535" s="7"/>
      <c r="AG4535" s="7"/>
      <c r="AP4535" s="7"/>
      <c r="AY4535" s="7"/>
      <c r="BH4535" s="7"/>
      <c r="BQ4535" s="7"/>
      <c r="BZ4535" s="7"/>
    </row>
    <row r="4536" spans="2:78">
      <c r="B4536" s="7"/>
      <c r="O4536" s="7"/>
      <c r="X4536" s="7"/>
      <c r="AG4536" s="7"/>
      <c r="AP4536" s="7"/>
      <c r="AY4536" s="7"/>
      <c r="BH4536" s="7"/>
      <c r="BQ4536" s="7"/>
      <c r="BZ4536" s="7"/>
    </row>
    <row r="4537" spans="2:78">
      <c r="B4537" s="7"/>
      <c r="O4537" s="7"/>
      <c r="X4537" s="7"/>
      <c r="AG4537" s="7"/>
      <c r="AP4537" s="7"/>
      <c r="AY4537" s="7"/>
      <c r="BH4537" s="7"/>
      <c r="BQ4537" s="7"/>
      <c r="BZ4537" s="7"/>
    </row>
    <row r="4538" spans="2:78">
      <c r="B4538" s="7"/>
      <c r="O4538" s="7"/>
      <c r="X4538" s="7"/>
      <c r="AG4538" s="7"/>
      <c r="AP4538" s="7"/>
      <c r="AY4538" s="7"/>
      <c r="BH4538" s="7"/>
      <c r="BQ4538" s="7"/>
      <c r="BZ4538" s="7"/>
    </row>
    <row r="4539" spans="2:78">
      <c r="B4539" s="7"/>
      <c r="O4539" s="7"/>
      <c r="X4539" s="7"/>
      <c r="AG4539" s="7"/>
      <c r="AP4539" s="7"/>
      <c r="AY4539" s="7"/>
      <c r="BH4539" s="7"/>
      <c r="BQ4539" s="7"/>
      <c r="BZ4539" s="7"/>
    </row>
    <row r="4540" spans="2:78">
      <c r="B4540" s="7"/>
      <c r="O4540" s="7"/>
      <c r="X4540" s="7"/>
      <c r="AG4540" s="7"/>
      <c r="AP4540" s="7"/>
      <c r="AY4540" s="7"/>
      <c r="BH4540" s="7"/>
      <c r="BQ4540" s="7"/>
      <c r="BZ4540" s="7"/>
    </row>
    <row r="4541" spans="2:78">
      <c r="B4541" s="7"/>
      <c r="O4541" s="7"/>
      <c r="X4541" s="7"/>
      <c r="AG4541" s="7"/>
      <c r="AP4541" s="7"/>
      <c r="AY4541" s="7"/>
      <c r="BH4541" s="7"/>
      <c r="BQ4541" s="7"/>
      <c r="BZ4541" s="7"/>
    </row>
    <row r="4542" spans="2:78">
      <c r="B4542" s="7"/>
      <c r="O4542" s="7"/>
      <c r="X4542" s="7"/>
      <c r="AG4542" s="7"/>
      <c r="AP4542" s="7"/>
      <c r="AY4542" s="7"/>
      <c r="BH4542" s="7"/>
      <c r="BQ4542" s="7"/>
      <c r="BZ4542" s="7"/>
    </row>
    <row r="4543" spans="2:78">
      <c r="B4543" s="7"/>
      <c r="O4543" s="7"/>
      <c r="X4543" s="7"/>
      <c r="AG4543" s="7"/>
      <c r="AP4543" s="7"/>
      <c r="AY4543" s="7"/>
      <c r="BH4543" s="7"/>
      <c r="BQ4543" s="7"/>
      <c r="BZ4543" s="7"/>
    </row>
    <row r="4544" spans="2:78">
      <c r="B4544" s="7"/>
      <c r="O4544" s="7"/>
      <c r="X4544" s="7"/>
      <c r="AG4544" s="7"/>
      <c r="AP4544" s="7"/>
      <c r="AY4544" s="7"/>
      <c r="BH4544" s="7"/>
      <c r="BQ4544" s="7"/>
      <c r="BZ4544" s="7"/>
    </row>
    <row r="4545" spans="2:78">
      <c r="B4545" s="7"/>
      <c r="O4545" s="7"/>
      <c r="X4545" s="7"/>
      <c r="AG4545" s="7"/>
      <c r="AP4545" s="7"/>
      <c r="AY4545" s="7"/>
      <c r="BH4545" s="7"/>
      <c r="BQ4545" s="7"/>
      <c r="BZ4545" s="7"/>
    </row>
    <row r="4546" spans="2:78">
      <c r="B4546" s="7"/>
      <c r="O4546" s="7"/>
      <c r="X4546" s="7"/>
      <c r="AG4546" s="7"/>
      <c r="AP4546" s="7"/>
      <c r="AY4546" s="7"/>
      <c r="BH4546" s="7"/>
      <c r="BQ4546" s="7"/>
      <c r="BZ4546" s="7"/>
    </row>
    <row r="4547" spans="2:78">
      <c r="B4547" s="7"/>
      <c r="O4547" s="7"/>
      <c r="X4547" s="7"/>
      <c r="AG4547" s="7"/>
      <c r="AP4547" s="7"/>
      <c r="AY4547" s="7"/>
      <c r="BH4547" s="7"/>
      <c r="BQ4547" s="7"/>
      <c r="BZ4547" s="7"/>
    </row>
    <row r="4548" spans="2:78">
      <c r="B4548" s="7"/>
      <c r="O4548" s="7"/>
      <c r="X4548" s="7"/>
      <c r="AG4548" s="7"/>
      <c r="AP4548" s="7"/>
      <c r="AY4548" s="7"/>
      <c r="BH4548" s="7"/>
      <c r="BQ4548" s="7"/>
      <c r="BZ4548" s="7"/>
    </row>
    <row r="4549" spans="2:78">
      <c r="B4549" s="7"/>
      <c r="O4549" s="7"/>
      <c r="X4549" s="7"/>
      <c r="AG4549" s="7"/>
      <c r="AP4549" s="7"/>
      <c r="AY4549" s="7"/>
      <c r="BH4549" s="7"/>
      <c r="BQ4549" s="7"/>
      <c r="BZ4549" s="7"/>
    </row>
    <row r="4550" spans="2:78">
      <c r="B4550" s="7"/>
      <c r="O4550" s="7"/>
      <c r="X4550" s="7"/>
      <c r="AG4550" s="7"/>
      <c r="AP4550" s="7"/>
      <c r="AY4550" s="7"/>
      <c r="BH4550" s="7"/>
      <c r="BQ4550" s="7"/>
      <c r="BZ4550" s="7"/>
    </row>
    <row r="4551" spans="2:78">
      <c r="B4551" s="7"/>
      <c r="O4551" s="7"/>
      <c r="X4551" s="7"/>
      <c r="AG4551" s="7"/>
      <c r="AP4551" s="7"/>
      <c r="AY4551" s="7"/>
      <c r="BH4551" s="7"/>
      <c r="BQ4551" s="7"/>
      <c r="BZ4551" s="7"/>
    </row>
    <row r="4552" spans="2:78">
      <c r="B4552" s="7"/>
      <c r="O4552" s="7"/>
      <c r="X4552" s="7"/>
      <c r="AG4552" s="7"/>
      <c r="AP4552" s="7"/>
      <c r="AY4552" s="7"/>
      <c r="BH4552" s="7"/>
      <c r="BQ4552" s="7"/>
      <c r="BZ4552" s="7"/>
    </row>
    <row r="4553" spans="2:78">
      <c r="B4553" s="7"/>
      <c r="O4553" s="7"/>
      <c r="X4553" s="7"/>
      <c r="AG4553" s="7"/>
      <c r="AP4553" s="7"/>
      <c r="AY4553" s="7"/>
      <c r="BH4553" s="7"/>
      <c r="BQ4553" s="7"/>
      <c r="BZ4553" s="7"/>
    </row>
    <row r="4554" spans="2:78">
      <c r="B4554" s="7"/>
      <c r="O4554" s="7"/>
      <c r="X4554" s="7"/>
      <c r="AG4554" s="7"/>
      <c r="AP4554" s="7"/>
      <c r="AY4554" s="7"/>
      <c r="BH4554" s="7"/>
      <c r="BQ4554" s="7"/>
      <c r="BZ4554" s="7"/>
    </row>
    <row r="4555" spans="2:78">
      <c r="B4555" s="7"/>
      <c r="O4555" s="7"/>
      <c r="X4555" s="7"/>
      <c r="AG4555" s="7"/>
      <c r="AP4555" s="7"/>
      <c r="AY4555" s="7"/>
      <c r="BH4555" s="7"/>
      <c r="BQ4555" s="7"/>
      <c r="BZ4555" s="7"/>
    </row>
    <row r="4556" spans="2:78">
      <c r="B4556" s="7"/>
      <c r="O4556" s="7"/>
      <c r="X4556" s="7"/>
      <c r="AG4556" s="7"/>
      <c r="AP4556" s="7"/>
      <c r="AY4556" s="7"/>
      <c r="BH4556" s="7"/>
      <c r="BQ4556" s="7"/>
      <c r="BZ4556" s="7"/>
    </row>
    <row r="4557" spans="2:78">
      <c r="B4557" s="7"/>
      <c r="O4557" s="7"/>
      <c r="X4557" s="7"/>
      <c r="AG4557" s="7"/>
      <c r="AP4557" s="7"/>
      <c r="AY4557" s="7"/>
      <c r="BH4557" s="7"/>
      <c r="BQ4557" s="7"/>
      <c r="BZ4557" s="7"/>
    </row>
    <row r="4558" spans="2:78">
      <c r="B4558" s="7"/>
      <c r="O4558" s="7"/>
      <c r="X4558" s="7"/>
      <c r="AG4558" s="7"/>
      <c r="AP4558" s="7"/>
      <c r="AY4558" s="7"/>
      <c r="BH4558" s="7"/>
      <c r="BQ4558" s="7"/>
      <c r="BZ4558" s="7"/>
    </row>
    <row r="4559" spans="2:78">
      <c r="B4559" s="7"/>
      <c r="O4559" s="7"/>
      <c r="X4559" s="7"/>
      <c r="AG4559" s="7"/>
      <c r="AP4559" s="7"/>
      <c r="AY4559" s="7"/>
      <c r="BH4559" s="7"/>
      <c r="BQ4559" s="7"/>
      <c r="BZ4559" s="7"/>
    </row>
    <row r="4560" spans="2:78">
      <c r="B4560" s="7"/>
      <c r="O4560" s="7"/>
      <c r="X4560" s="7"/>
      <c r="AG4560" s="7"/>
      <c r="AP4560" s="7"/>
      <c r="AY4560" s="7"/>
      <c r="BH4560" s="7"/>
      <c r="BQ4560" s="7"/>
      <c r="BZ4560" s="7"/>
    </row>
    <row r="4561" spans="2:78">
      <c r="B4561" s="7"/>
      <c r="O4561" s="7"/>
      <c r="X4561" s="7"/>
      <c r="AG4561" s="7"/>
      <c r="AP4561" s="7"/>
      <c r="AY4561" s="7"/>
      <c r="BH4561" s="7"/>
      <c r="BQ4561" s="7"/>
      <c r="BZ4561" s="7"/>
    </row>
    <row r="4562" spans="2:78">
      <c r="B4562" s="7"/>
      <c r="O4562" s="7"/>
      <c r="X4562" s="7"/>
      <c r="AG4562" s="7"/>
      <c r="AP4562" s="7"/>
      <c r="AY4562" s="7"/>
      <c r="BH4562" s="7"/>
      <c r="BQ4562" s="7"/>
      <c r="BZ4562" s="7"/>
    </row>
    <row r="4563" spans="2:78">
      <c r="B4563" s="7"/>
      <c r="O4563" s="7"/>
      <c r="X4563" s="7"/>
      <c r="AG4563" s="7"/>
      <c r="AP4563" s="7"/>
      <c r="AY4563" s="7"/>
      <c r="BH4563" s="7"/>
      <c r="BQ4563" s="7"/>
      <c r="BZ4563" s="7"/>
    </row>
    <row r="4564" spans="2:78">
      <c r="B4564" s="7"/>
      <c r="O4564" s="7"/>
      <c r="X4564" s="7"/>
      <c r="AG4564" s="7"/>
      <c r="AP4564" s="7"/>
      <c r="AY4564" s="7"/>
      <c r="BH4564" s="7"/>
      <c r="BQ4564" s="7"/>
      <c r="BZ4564" s="7"/>
    </row>
    <row r="4565" spans="2:78">
      <c r="B4565" s="7"/>
      <c r="O4565" s="7"/>
      <c r="X4565" s="7"/>
      <c r="AG4565" s="7"/>
      <c r="AP4565" s="7"/>
      <c r="AY4565" s="7"/>
      <c r="BH4565" s="7"/>
      <c r="BQ4565" s="7"/>
      <c r="BZ4565" s="7"/>
    </row>
    <row r="4566" spans="2:78">
      <c r="B4566" s="7"/>
      <c r="O4566" s="7"/>
      <c r="X4566" s="7"/>
      <c r="AG4566" s="7"/>
      <c r="AP4566" s="7"/>
      <c r="AY4566" s="7"/>
      <c r="BH4566" s="7"/>
      <c r="BQ4566" s="7"/>
      <c r="BZ4566" s="7"/>
    </row>
    <row r="4567" spans="2:78">
      <c r="B4567" s="7"/>
      <c r="O4567" s="7"/>
      <c r="X4567" s="7"/>
      <c r="AG4567" s="7"/>
      <c r="AP4567" s="7"/>
      <c r="AY4567" s="7"/>
      <c r="BH4567" s="7"/>
      <c r="BQ4567" s="7"/>
      <c r="BZ4567" s="7"/>
    </row>
    <row r="4568" spans="2:78">
      <c r="B4568" s="7"/>
      <c r="O4568" s="7"/>
      <c r="X4568" s="7"/>
      <c r="AG4568" s="7"/>
      <c r="AP4568" s="7"/>
      <c r="AY4568" s="7"/>
      <c r="BH4568" s="7"/>
      <c r="BQ4568" s="7"/>
      <c r="BZ4568" s="7"/>
    </row>
    <row r="4569" spans="2:78">
      <c r="B4569" s="7"/>
      <c r="O4569" s="7"/>
      <c r="X4569" s="7"/>
      <c r="AG4569" s="7"/>
      <c r="AP4569" s="7"/>
      <c r="AY4569" s="7"/>
      <c r="BH4569" s="7"/>
      <c r="BQ4569" s="7"/>
      <c r="BZ4569" s="7"/>
    </row>
    <row r="4570" spans="2:78">
      <c r="B4570" s="7"/>
      <c r="O4570" s="7"/>
      <c r="X4570" s="7"/>
      <c r="AG4570" s="7"/>
      <c r="AP4570" s="7"/>
      <c r="AY4570" s="7"/>
      <c r="BH4570" s="7"/>
      <c r="BQ4570" s="7"/>
      <c r="BZ4570" s="7"/>
    </row>
    <row r="4571" spans="2:78">
      <c r="B4571" s="7"/>
      <c r="O4571" s="7"/>
      <c r="X4571" s="7"/>
      <c r="AG4571" s="7"/>
      <c r="AP4571" s="7"/>
      <c r="AY4571" s="7"/>
      <c r="BH4571" s="7"/>
      <c r="BQ4571" s="7"/>
      <c r="BZ4571" s="7"/>
    </row>
    <row r="4572" spans="2:78">
      <c r="B4572" s="7"/>
      <c r="O4572" s="7"/>
      <c r="X4572" s="7"/>
      <c r="AG4572" s="7"/>
      <c r="AP4572" s="7"/>
      <c r="AY4572" s="7"/>
      <c r="BH4572" s="7"/>
      <c r="BQ4572" s="7"/>
      <c r="BZ4572" s="7"/>
    </row>
    <row r="4573" spans="2:78">
      <c r="B4573" s="7"/>
      <c r="O4573" s="7"/>
      <c r="X4573" s="7"/>
      <c r="AG4573" s="7"/>
      <c r="AP4573" s="7"/>
      <c r="AY4573" s="7"/>
      <c r="BH4573" s="7"/>
      <c r="BQ4573" s="7"/>
      <c r="BZ4573" s="7"/>
    </row>
    <row r="4574" spans="2:78">
      <c r="B4574" s="7"/>
      <c r="O4574" s="7"/>
      <c r="X4574" s="7"/>
      <c r="AG4574" s="7"/>
      <c r="AP4574" s="7"/>
      <c r="AY4574" s="7"/>
      <c r="BH4574" s="7"/>
      <c r="BQ4574" s="7"/>
      <c r="BZ4574" s="7"/>
    </row>
    <row r="4575" spans="2:78">
      <c r="B4575" s="7"/>
      <c r="O4575" s="7"/>
      <c r="X4575" s="7"/>
      <c r="AG4575" s="7"/>
      <c r="AP4575" s="7"/>
      <c r="AY4575" s="7"/>
      <c r="BH4575" s="7"/>
      <c r="BQ4575" s="7"/>
      <c r="BZ4575" s="7"/>
    </row>
    <row r="4576" spans="2:78">
      <c r="B4576" s="7"/>
      <c r="O4576" s="7"/>
      <c r="X4576" s="7"/>
      <c r="AG4576" s="7"/>
      <c r="AP4576" s="7"/>
      <c r="AY4576" s="7"/>
      <c r="BH4576" s="7"/>
      <c r="BQ4576" s="7"/>
      <c r="BZ4576" s="7"/>
    </row>
    <row r="4577" spans="2:78">
      <c r="B4577" s="7"/>
      <c r="O4577" s="7"/>
      <c r="X4577" s="7"/>
      <c r="AG4577" s="7"/>
      <c r="AP4577" s="7"/>
      <c r="AY4577" s="7"/>
      <c r="BH4577" s="7"/>
      <c r="BQ4577" s="7"/>
      <c r="BZ4577" s="7"/>
    </row>
    <row r="4578" spans="2:78">
      <c r="B4578" s="7"/>
      <c r="O4578" s="7"/>
      <c r="X4578" s="7"/>
      <c r="AG4578" s="7"/>
      <c r="AP4578" s="7"/>
      <c r="AY4578" s="7"/>
      <c r="BH4578" s="7"/>
      <c r="BQ4578" s="7"/>
      <c r="BZ4578" s="7"/>
    </row>
    <row r="4579" spans="2:78">
      <c r="B4579" s="7"/>
      <c r="O4579" s="7"/>
      <c r="X4579" s="7"/>
      <c r="AG4579" s="7"/>
      <c r="AP4579" s="7"/>
      <c r="AY4579" s="7"/>
      <c r="BH4579" s="7"/>
      <c r="BQ4579" s="7"/>
      <c r="BZ4579" s="7"/>
    </row>
    <row r="4580" spans="2:78">
      <c r="B4580" s="7"/>
      <c r="O4580" s="7"/>
      <c r="X4580" s="7"/>
      <c r="AG4580" s="7"/>
      <c r="AP4580" s="7"/>
      <c r="AY4580" s="7"/>
      <c r="BH4580" s="7"/>
      <c r="BQ4580" s="7"/>
      <c r="BZ4580" s="7"/>
    </row>
    <row r="4581" spans="2:78">
      <c r="B4581" s="7"/>
      <c r="O4581" s="7"/>
      <c r="X4581" s="7"/>
      <c r="AG4581" s="7"/>
      <c r="AP4581" s="7"/>
      <c r="AY4581" s="7"/>
      <c r="BH4581" s="7"/>
      <c r="BQ4581" s="7"/>
      <c r="BZ4581" s="7"/>
    </row>
    <row r="4582" spans="2:78">
      <c r="B4582" s="7"/>
      <c r="O4582" s="7"/>
      <c r="X4582" s="7"/>
      <c r="AG4582" s="7"/>
      <c r="AP4582" s="7"/>
      <c r="AY4582" s="7"/>
      <c r="BH4582" s="7"/>
      <c r="BQ4582" s="7"/>
      <c r="BZ4582" s="7"/>
    </row>
    <row r="4583" spans="2:78">
      <c r="B4583" s="7"/>
      <c r="O4583" s="7"/>
      <c r="X4583" s="7"/>
      <c r="AG4583" s="7"/>
      <c r="AP4583" s="7"/>
      <c r="AY4583" s="7"/>
      <c r="BH4583" s="7"/>
      <c r="BQ4583" s="7"/>
      <c r="BZ4583" s="7"/>
    </row>
    <row r="4584" spans="2:78">
      <c r="B4584" s="7"/>
      <c r="O4584" s="7"/>
      <c r="X4584" s="7"/>
      <c r="AG4584" s="7"/>
      <c r="AP4584" s="7"/>
      <c r="AY4584" s="7"/>
      <c r="BH4584" s="7"/>
      <c r="BQ4584" s="7"/>
      <c r="BZ4584" s="7"/>
    </row>
    <row r="4585" spans="2:78">
      <c r="B4585" s="7"/>
      <c r="O4585" s="7"/>
      <c r="X4585" s="7"/>
      <c r="AG4585" s="7"/>
      <c r="AP4585" s="7"/>
      <c r="AY4585" s="7"/>
      <c r="BH4585" s="7"/>
      <c r="BQ4585" s="7"/>
      <c r="BZ4585" s="7"/>
    </row>
    <row r="4586" spans="2:78">
      <c r="B4586" s="7"/>
      <c r="O4586" s="7"/>
      <c r="X4586" s="7"/>
      <c r="AG4586" s="7"/>
      <c r="AP4586" s="7"/>
      <c r="AY4586" s="7"/>
      <c r="BH4586" s="7"/>
      <c r="BQ4586" s="7"/>
      <c r="BZ4586" s="7"/>
    </row>
    <row r="4587" spans="2:78">
      <c r="B4587" s="7"/>
      <c r="O4587" s="7"/>
      <c r="X4587" s="7"/>
      <c r="AG4587" s="7"/>
      <c r="AP4587" s="7"/>
      <c r="AY4587" s="7"/>
      <c r="BH4587" s="7"/>
      <c r="BQ4587" s="7"/>
      <c r="BZ4587" s="7"/>
    </row>
    <row r="4588" spans="2:78">
      <c r="B4588" s="7"/>
      <c r="O4588" s="7"/>
      <c r="X4588" s="7"/>
      <c r="AG4588" s="7"/>
      <c r="AP4588" s="7"/>
      <c r="AY4588" s="7"/>
      <c r="BH4588" s="7"/>
      <c r="BQ4588" s="7"/>
      <c r="BZ4588" s="7"/>
    </row>
    <row r="4589" spans="2:78">
      <c r="B4589" s="7"/>
      <c r="O4589" s="7"/>
      <c r="X4589" s="7"/>
      <c r="AG4589" s="7"/>
      <c r="AP4589" s="7"/>
      <c r="AY4589" s="7"/>
      <c r="BH4589" s="7"/>
      <c r="BQ4589" s="7"/>
      <c r="BZ4589" s="7"/>
    </row>
    <row r="4590" spans="2:78">
      <c r="B4590" s="7"/>
      <c r="O4590" s="7"/>
      <c r="X4590" s="7"/>
      <c r="AG4590" s="7"/>
      <c r="AP4590" s="7"/>
      <c r="AY4590" s="7"/>
      <c r="BH4590" s="7"/>
      <c r="BQ4590" s="7"/>
      <c r="BZ4590" s="7"/>
    </row>
    <row r="4591" spans="2:78">
      <c r="B4591" s="7"/>
      <c r="O4591" s="7"/>
      <c r="X4591" s="7"/>
      <c r="AG4591" s="7"/>
      <c r="AP4591" s="7"/>
      <c r="AY4591" s="7"/>
      <c r="BH4591" s="7"/>
      <c r="BQ4591" s="7"/>
      <c r="BZ4591" s="7"/>
    </row>
    <row r="4592" spans="2:78">
      <c r="B4592" s="7"/>
      <c r="O4592" s="7"/>
      <c r="X4592" s="7"/>
      <c r="AG4592" s="7"/>
      <c r="AP4592" s="7"/>
      <c r="AY4592" s="7"/>
      <c r="BH4592" s="7"/>
      <c r="BQ4592" s="7"/>
      <c r="BZ4592" s="7"/>
    </row>
    <row r="4593" spans="2:78">
      <c r="B4593" s="7"/>
      <c r="O4593" s="7"/>
      <c r="X4593" s="7"/>
      <c r="AG4593" s="7"/>
      <c r="AP4593" s="7"/>
      <c r="AY4593" s="7"/>
      <c r="BH4593" s="7"/>
      <c r="BQ4593" s="7"/>
      <c r="BZ4593" s="7"/>
    </row>
    <row r="4594" spans="2:78">
      <c r="B4594" s="7"/>
      <c r="O4594" s="7"/>
      <c r="X4594" s="7"/>
      <c r="AG4594" s="7"/>
      <c r="AP4594" s="7"/>
      <c r="AY4594" s="7"/>
      <c r="BH4594" s="7"/>
      <c r="BQ4594" s="7"/>
      <c r="BZ4594" s="7"/>
    </row>
    <row r="4595" spans="2:78">
      <c r="B4595" s="7"/>
      <c r="O4595" s="7"/>
      <c r="X4595" s="7"/>
      <c r="AG4595" s="7"/>
      <c r="AP4595" s="7"/>
      <c r="AY4595" s="7"/>
      <c r="BH4595" s="7"/>
      <c r="BQ4595" s="7"/>
      <c r="BZ4595" s="7"/>
    </row>
    <row r="4596" spans="2:78">
      <c r="B4596" s="7"/>
      <c r="O4596" s="7"/>
      <c r="X4596" s="7"/>
      <c r="AG4596" s="7"/>
      <c r="AP4596" s="7"/>
      <c r="AY4596" s="7"/>
      <c r="BH4596" s="7"/>
      <c r="BQ4596" s="7"/>
      <c r="BZ4596" s="7"/>
    </row>
    <row r="4597" spans="2:78">
      <c r="B4597" s="7"/>
      <c r="O4597" s="7"/>
      <c r="X4597" s="7"/>
      <c r="AG4597" s="7"/>
      <c r="AP4597" s="7"/>
      <c r="AY4597" s="7"/>
      <c r="BH4597" s="7"/>
      <c r="BQ4597" s="7"/>
      <c r="BZ4597" s="7"/>
    </row>
    <row r="4598" spans="2:78">
      <c r="B4598" s="7"/>
      <c r="O4598" s="7"/>
      <c r="X4598" s="7"/>
      <c r="AG4598" s="7"/>
      <c r="AP4598" s="7"/>
      <c r="AY4598" s="7"/>
      <c r="BH4598" s="7"/>
      <c r="BQ4598" s="7"/>
      <c r="BZ4598" s="7"/>
    </row>
    <row r="4599" spans="2:78">
      <c r="B4599" s="7"/>
      <c r="O4599" s="7"/>
      <c r="X4599" s="7"/>
      <c r="AG4599" s="7"/>
      <c r="AP4599" s="7"/>
      <c r="AY4599" s="7"/>
      <c r="BH4599" s="7"/>
      <c r="BQ4599" s="7"/>
      <c r="BZ4599" s="7"/>
    </row>
    <row r="4600" spans="2:78">
      <c r="B4600" s="7"/>
      <c r="O4600" s="7"/>
      <c r="X4600" s="7"/>
      <c r="AG4600" s="7"/>
      <c r="AP4600" s="7"/>
      <c r="AY4600" s="7"/>
      <c r="BH4600" s="7"/>
      <c r="BQ4600" s="7"/>
      <c r="BZ4600" s="7"/>
    </row>
    <row r="4601" spans="2:78">
      <c r="B4601" s="7"/>
      <c r="O4601" s="7"/>
      <c r="X4601" s="7"/>
      <c r="AG4601" s="7"/>
      <c r="AP4601" s="7"/>
      <c r="AY4601" s="7"/>
      <c r="BH4601" s="7"/>
      <c r="BQ4601" s="7"/>
      <c r="BZ4601" s="7"/>
    </row>
    <row r="4602" spans="2:78">
      <c r="B4602" s="7"/>
      <c r="O4602" s="7"/>
      <c r="X4602" s="7"/>
      <c r="AG4602" s="7"/>
      <c r="AP4602" s="7"/>
      <c r="AY4602" s="7"/>
      <c r="BH4602" s="7"/>
      <c r="BQ4602" s="7"/>
      <c r="BZ4602" s="7"/>
    </row>
    <row r="4603" spans="2:78">
      <c r="B4603" s="7"/>
      <c r="O4603" s="7"/>
      <c r="X4603" s="7"/>
      <c r="AG4603" s="7"/>
      <c r="AP4603" s="7"/>
      <c r="AY4603" s="7"/>
      <c r="BH4603" s="7"/>
      <c r="BQ4603" s="7"/>
      <c r="BZ4603" s="7"/>
    </row>
    <row r="4604" spans="2:78">
      <c r="B4604" s="7"/>
      <c r="O4604" s="7"/>
      <c r="X4604" s="7"/>
      <c r="AG4604" s="7"/>
      <c r="AP4604" s="7"/>
      <c r="AY4604" s="7"/>
      <c r="BH4604" s="7"/>
      <c r="BQ4604" s="7"/>
      <c r="BZ4604" s="7"/>
    </row>
    <row r="4605" spans="2:78">
      <c r="B4605" s="7"/>
      <c r="O4605" s="7"/>
      <c r="X4605" s="7"/>
      <c r="AG4605" s="7"/>
      <c r="AP4605" s="7"/>
      <c r="AY4605" s="7"/>
      <c r="BH4605" s="7"/>
      <c r="BQ4605" s="7"/>
      <c r="BZ4605" s="7"/>
    </row>
    <row r="4606" spans="2:78">
      <c r="B4606" s="7"/>
      <c r="O4606" s="7"/>
      <c r="X4606" s="7"/>
      <c r="AG4606" s="7"/>
      <c r="AP4606" s="7"/>
      <c r="AY4606" s="7"/>
      <c r="BH4606" s="7"/>
      <c r="BQ4606" s="7"/>
      <c r="BZ4606" s="7"/>
    </row>
    <row r="4607" spans="2:78">
      <c r="B4607" s="7"/>
      <c r="O4607" s="7"/>
      <c r="X4607" s="7"/>
      <c r="AG4607" s="7"/>
      <c r="AP4607" s="7"/>
      <c r="AY4607" s="7"/>
      <c r="BH4607" s="7"/>
      <c r="BQ4607" s="7"/>
      <c r="BZ4607" s="7"/>
    </row>
    <row r="4608" spans="2:78">
      <c r="B4608" s="7"/>
      <c r="O4608" s="7"/>
      <c r="X4608" s="7"/>
      <c r="AG4608" s="7"/>
      <c r="AP4608" s="7"/>
      <c r="AY4608" s="7"/>
      <c r="BH4608" s="7"/>
      <c r="BQ4608" s="7"/>
      <c r="BZ4608" s="7"/>
    </row>
    <row r="4609" spans="2:78">
      <c r="B4609" s="7"/>
      <c r="O4609" s="7"/>
      <c r="X4609" s="7"/>
      <c r="AG4609" s="7"/>
      <c r="AP4609" s="7"/>
      <c r="AY4609" s="7"/>
      <c r="BH4609" s="7"/>
      <c r="BQ4609" s="7"/>
      <c r="BZ4609" s="7"/>
    </row>
    <row r="4610" spans="2:78">
      <c r="B4610" s="7"/>
      <c r="O4610" s="7"/>
      <c r="X4610" s="7"/>
      <c r="AG4610" s="7"/>
      <c r="AP4610" s="7"/>
      <c r="AY4610" s="7"/>
      <c r="BH4610" s="7"/>
      <c r="BQ4610" s="7"/>
      <c r="BZ4610" s="7"/>
    </row>
    <row r="4611" spans="2:78">
      <c r="B4611" s="7"/>
      <c r="O4611" s="7"/>
      <c r="X4611" s="7"/>
      <c r="AG4611" s="7"/>
      <c r="AP4611" s="7"/>
      <c r="AY4611" s="7"/>
      <c r="BH4611" s="7"/>
      <c r="BQ4611" s="7"/>
      <c r="BZ4611" s="7"/>
    </row>
    <row r="4612" spans="2:78">
      <c r="B4612" s="7"/>
      <c r="O4612" s="7"/>
      <c r="X4612" s="7"/>
      <c r="AG4612" s="7"/>
      <c r="AP4612" s="7"/>
      <c r="AY4612" s="7"/>
      <c r="BH4612" s="7"/>
      <c r="BQ4612" s="7"/>
      <c r="BZ4612" s="7"/>
    </row>
    <row r="4613" spans="2:78">
      <c r="B4613" s="7"/>
      <c r="O4613" s="7"/>
      <c r="X4613" s="7"/>
      <c r="AG4613" s="7"/>
      <c r="AP4613" s="7"/>
      <c r="AY4613" s="7"/>
      <c r="BH4613" s="7"/>
      <c r="BQ4613" s="7"/>
      <c r="BZ4613" s="7"/>
    </row>
    <row r="4614" spans="2:78">
      <c r="B4614" s="7"/>
      <c r="O4614" s="7"/>
      <c r="X4614" s="7"/>
      <c r="AG4614" s="7"/>
      <c r="AP4614" s="7"/>
      <c r="AY4614" s="7"/>
      <c r="BH4614" s="7"/>
      <c r="BQ4614" s="7"/>
      <c r="BZ4614" s="7"/>
    </row>
    <row r="4615" spans="2:78">
      <c r="B4615" s="7"/>
      <c r="O4615" s="7"/>
      <c r="X4615" s="7"/>
      <c r="AG4615" s="7"/>
      <c r="AP4615" s="7"/>
      <c r="AY4615" s="7"/>
      <c r="BH4615" s="7"/>
      <c r="BQ4615" s="7"/>
      <c r="BZ4615" s="7"/>
    </row>
    <row r="4616" spans="2:78">
      <c r="B4616" s="7"/>
      <c r="O4616" s="7"/>
      <c r="X4616" s="7"/>
      <c r="AG4616" s="7"/>
      <c r="AP4616" s="7"/>
      <c r="AY4616" s="7"/>
      <c r="BH4616" s="7"/>
      <c r="BQ4616" s="7"/>
      <c r="BZ4616" s="7"/>
    </row>
    <row r="4617" spans="2:78">
      <c r="B4617" s="7"/>
      <c r="O4617" s="7"/>
      <c r="X4617" s="7"/>
      <c r="AG4617" s="7"/>
      <c r="AP4617" s="7"/>
      <c r="AY4617" s="7"/>
      <c r="BH4617" s="7"/>
      <c r="BQ4617" s="7"/>
      <c r="BZ4617" s="7"/>
    </row>
    <row r="4618" spans="2:78">
      <c r="B4618" s="7"/>
      <c r="O4618" s="7"/>
      <c r="X4618" s="7"/>
      <c r="AG4618" s="7"/>
      <c r="AP4618" s="7"/>
      <c r="AY4618" s="7"/>
      <c r="BH4618" s="7"/>
      <c r="BQ4618" s="7"/>
      <c r="BZ4618" s="7"/>
    </row>
    <row r="4619" spans="2:78">
      <c r="B4619" s="7"/>
      <c r="O4619" s="7"/>
      <c r="X4619" s="7"/>
      <c r="AG4619" s="7"/>
      <c r="AP4619" s="7"/>
      <c r="AY4619" s="7"/>
      <c r="BH4619" s="7"/>
      <c r="BQ4619" s="7"/>
      <c r="BZ4619" s="7"/>
    </row>
    <row r="4620" spans="2:78">
      <c r="B4620" s="7"/>
      <c r="O4620" s="7"/>
      <c r="X4620" s="7"/>
      <c r="AG4620" s="7"/>
      <c r="AP4620" s="7"/>
      <c r="AY4620" s="7"/>
      <c r="BH4620" s="7"/>
      <c r="BQ4620" s="7"/>
      <c r="BZ4620" s="7"/>
    </row>
    <row r="4621" spans="2:78">
      <c r="B4621" s="7"/>
      <c r="O4621" s="7"/>
      <c r="X4621" s="7"/>
      <c r="AG4621" s="7"/>
      <c r="AP4621" s="7"/>
      <c r="AY4621" s="7"/>
      <c r="BH4621" s="7"/>
      <c r="BQ4621" s="7"/>
      <c r="BZ4621" s="7"/>
    </row>
    <row r="4622" spans="2:78">
      <c r="B4622" s="7"/>
      <c r="O4622" s="7"/>
      <c r="X4622" s="7"/>
      <c r="AG4622" s="7"/>
      <c r="AP4622" s="7"/>
      <c r="AY4622" s="7"/>
      <c r="BH4622" s="7"/>
      <c r="BQ4622" s="7"/>
      <c r="BZ4622" s="7"/>
    </row>
    <row r="4623" spans="2:78">
      <c r="B4623" s="7"/>
      <c r="O4623" s="7"/>
      <c r="X4623" s="7"/>
      <c r="AG4623" s="7"/>
      <c r="AP4623" s="7"/>
      <c r="AY4623" s="7"/>
      <c r="BH4623" s="7"/>
      <c r="BQ4623" s="7"/>
      <c r="BZ4623" s="7"/>
    </row>
    <row r="4624" spans="2:78">
      <c r="B4624" s="7"/>
      <c r="O4624" s="7"/>
      <c r="X4624" s="7"/>
      <c r="AG4624" s="7"/>
      <c r="AP4624" s="7"/>
      <c r="AY4624" s="7"/>
      <c r="BH4624" s="7"/>
      <c r="BQ4624" s="7"/>
      <c r="BZ4624" s="7"/>
    </row>
    <row r="4625" spans="2:78">
      <c r="B4625" s="7"/>
      <c r="O4625" s="7"/>
      <c r="X4625" s="7"/>
      <c r="AG4625" s="7"/>
      <c r="AP4625" s="7"/>
      <c r="AY4625" s="7"/>
      <c r="BH4625" s="7"/>
      <c r="BQ4625" s="7"/>
      <c r="BZ4625" s="7"/>
    </row>
    <row r="4626" spans="2:78">
      <c r="B4626" s="7"/>
      <c r="O4626" s="7"/>
      <c r="X4626" s="7"/>
      <c r="AG4626" s="7"/>
      <c r="AP4626" s="7"/>
      <c r="AY4626" s="7"/>
      <c r="BH4626" s="7"/>
      <c r="BQ4626" s="7"/>
      <c r="BZ4626" s="7"/>
    </row>
    <row r="4627" spans="2:78">
      <c r="B4627" s="7"/>
      <c r="O4627" s="7"/>
      <c r="X4627" s="7"/>
      <c r="AG4627" s="7"/>
      <c r="AP4627" s="7"/>
      <c r="AY4627" s="7"/>
      <c r="BH4627" s="7"/>
      <c r="BQ4627" s="7"/>
      <c r="BZ4627" s="7"/>
    </row>
    <row r="4628" spans="2:78">
      <c r="B4628" s="7"/>
      <c r="O4628" s="7"/>
      <c r="X4628" s="7"/>
      <c r="AG4628" s="7"/>
      <c r="AP4628" s="7"/>
      <c r="AY4628" s="7"/>
      <c r="BH4628" s="7"/>
      <c r="BQ4628" s="7"/>
      <c r="BZ4628" s="7"/>
    </row>
    <row r="4629" spans="2:78">
      <c r="B4629" s="7"/>
      <c r="O4629" s="7"/>
      <c r="X4629" s="7"/>
      <c r="AG4629" s="7"/>
      <c r="AP4629" s="7"/>
      <c r="AY4629" s="7"/>
      <c r="BH4629" s="7"/>
      <c r="BQ4629" s="7"/>
      <c r="BZ4629" s="7"/>
    </row>
    <row r="4630" spans="2:78">
      <c r="B4630" s="7"/>
      <c r="O4630" s="7"/>
      <c r="X4630" s="7"/>
      <c r="AG4630" s="7"/>
      <c r="AP4630" s="7"/>
      <c r="AY4630" s="7"/>
      <c r="BH4630" s="7"/>
      <c r="BQ4630" s="7"/>
      <c r="BZ4630" s="7"/>
    </row>
    <row r="4631" spans="2:78">
      <c r="B4631" s="7"/>
      <c r="O4631" s="7"/>
      <c r="X4631" s="7"/>
      <c r="AG4631" s="7"/>
      <c r="AP4631" s="7"/>
      <c r="AY4631" s="7"/>
      <c r="BH4631" s="7"/>
      <c r="BQ4631" s="7"/>
      <c r="BZ4631" s="7"/>
    </row>
    <row r="4632" spans="2:78">
      <c r="B4632" s="7"/>
      <c r="O4632" s="7"/>
      <c r="X4632" s="7"/>
      <c r="AG4632" s="7"/>
      <c r="AP4632" s="7"/>
      <c r="AY4632" s="7"/>
      <c r="BH4632" s="7"/>
      <c r="BQ4632" s="7"/>
      <c r="BZ4632" s="7"/>
    </row>
    <row r="4633" spans="2:78">
      <c r="B4633" s="7"/>
      <c r="O4633" s="7"/>
      <c r="X4633" s="7"/>
      <c r="AG4633" s="7"/>
      <c r="AP4633" s="7"/>
      <c r="AY4633" s="7"/>
      <c r="BH4633" s="7"/>
      <c r="BQ4633" s="7"/>
      <c r="BZ4633" s="7"/>
    </row>
    <row r="4634" spans="2:78">
      <c r="B4634" s="7"/>
      <c r="O4634" s="7"/>
      <c r="X4634" s="7"/>
      <c r="AG4634" s="7"/>
      <c r="AP4634" s="7"/>
      <c r="AY4634" s="7"/>
      <c r="BH4634" s="7"/>
      <c r="BQ4634" s="7"/>
      <c r="BZ4634" s="7"/>
    </row>
    <row r="4635" spans="2:78">
      <c r="B4635" s="7"/>
      <c r="O4635" s="7"/>
      <c r="X4635" s="7"/>
      <c r="AG4635" s="7"/>
      <c r="AP4635" s="7"/>
      <c r="AY4635" s="7"/>
      <c r="BH4635" s="7"/>
      <c r="BQ4635" s="7"/>
      <c r="BZ4635" s="7"/>
    </row>
    <row r="4636" spans="2:78">
      <c r="B4636" s="7"/>
      <c r="O4636" s="7"/>
      <c r="X4636" s="7"/>
      <c r="AG4636" s="7"/>
      <c r="AP4636" s="7"/>
      <c r="AY4636" s="7"/>
      <c r="BH4636" s="7"/>
      <c r="BQ4636" s="7"/>
      <c r="BZ4636" s="7"/>
    </row>
    <row r="4637" spans="2:78">
      <c r="B4637" s="7"/>
      <c r="O4637" s="7"/>
      <c r="X4637" s="7"/>
      <c r="AG4637" s="7"/>
      <c r="AP4637" s="7"/>
      <c r="AY4637" s="7"/>
      <c r="BH4637" s="7"/>
      <c r="BQ4637" s="7"/>
      <c r="BZ4637" s="7"/>
    </row>
    <row r="4638" spans="2:78">
      <c r="B4638" s="7"/>
      <c r="O4638" s="7"/>
      <c r="X4638" s="7"/>
      <c r="AG4638" s="7"/>
      <c r="AP4638" s="7"/>
      <c r="AY4638" s="7"/>
      <c r="BH4638" s="7"/>
      <c r="BQ4638" s="7"/>
      <c r="BZ4638" s="7"/>
    </row>
    <row r="4639" spans="2:78">
      <c r="B4639" s="7"/>
      <c r="O4639" s="7"/>
      <c r="X4639" s="7"/>
      <c r="AG4639" s="7"/>
      <c r="AP4639" s="7"/>
      <c r="AY4639" s="7"/>
      <c r="BH4639" s="7"/>
      <c r="BQ4639" s="7"/>
      <c r="BZ4639" s="7"/>
    </row>
    <row r="4640" spans="2:78">
      <c r="B4640" s="7"/>
      <c r="O4640" s="7"/>
      <c r="X4640" s="7"/>
      <c r="AG4640" s="7"/>
      <c r="AP4640" s="7"/>
      <c r="AY4640" s="7"/>
      <c r="BH4640" s="7"/>
      <c r="BQ4640" s="7"/>
      <c r="BZ4640" s="7"/>
    </row>
    <row r="4641" spans="2:78">
      <c r="B4641" s="7"/>
      <c r="O4641" s="7"/>
      <c r="X4641" s="7"/>
      <c r="AG4641" s="7"/>
      <c r="AP4641" s="7"/>
      <c r="AY4641" s="7"/>
      <c r="BH4641" s="7"/>
      <c r="BQ4641" s="7"/>
      <c r="BZ4641" s="7"/>
    </row>
    <row r="4642" spans="2:78">
      <c r="B4642" s="7"/>
      <c r="O4642" s="7"/>
      <c r="X4642" s="7"/>
      <c r="AG4642" s="7"/>
      <c r="AP4642" s="7"/>
      <c r="AY4642" s="7"/>
      <c r="BH4642" s="7"/>
      <c r="BQ4642" s="7"/>
      <c r="BZ4642" s="7"/>
    </row>
    <row r="4643" spans="2:78">
      <c r="B4643" s="7"/>
      <c r="O4643" s="7"/>
      <c r="X4643" s="7"/>
      <c r="AG4643" s="7"/>
      <c r="AP4643" s="7"/>
      <c r="AY4643" s="7"/>
      <c r="BH4643" s="7"/>
      <c r="BQ4643" s="7"/>
      <c r="BZ4643" s="7"/>
    </row>
    <row r="4644" spans="2:78">
      <c r="B4644" s="7"/>
      <c r="O4644" s="7"/>
      <c r="X4644" s="7"/>
      <c r="AG4644" s="7"/>
      <c r="AP4644" s="7"/>
      <c r="AY4644" s="7"/>
      <c r="BH4644" s="7"/>
      <c r="BQ4644" s="7"/>
      <c r="BZ4644" s="7"/>
    </row>
    <row r="4645" spans="2:78">
      <c r="B4645" s="7"/>
      <c r="O4645" s="7"/>
      <c r="X4645" s="7"/>
      <c r="AG4645" s="7"/>
      <c r="AP4645" s="7"/>
      <c r="AY4645" s="7"/>
      <c r="BH4645" s="7"/>
      <c r="BQ4645" s="7"/>
      <c r="BZ4645" s="7"/>
    </row>
    <row r="4646" spans="2:78">
      <c r="B4646" s="7"/>
      <c r="O4646" s="7"/>
      <c r="X4646" s="7"/>
      <c r="AG4646" s="7"/>
      <c r="AP4646" s="7"/>
      <c r="AY4646" s="7"/>
      <c r="BH4646" s="7"/>
      <c r="BQ4646" s="7"/>
      <c r="BZ4646" s="7"/>
    </row>
    <row r="4647" spans="2:78">
      <c r="B4647" s="7"/>
      <c r="O4647" s="7"/>
      <c r="X4647" s="7"/>
      <c r="AG4647" s="7"/>
      <c r="AP4647" s="7"/>
      <c r="AY4647" s="7"/>
      <c r="BH4647" s="7"/>
      <c r="BQ4647" s="7"/>
      <c r="BZ4647" s="7"/>
    </row>
    <row r="4648" spans="2:78">
      <c r="B4648" s="7"/>
      <c r="O4648" s="7"/>
      <c r="X4648" s="7"/>
      <c r="AG4648" s="7"/>
      <c r="AP4648" s="7"/>
      <c r="AY4648" s="7"/>
      <c r="BH4648" s="7"/>
      <c r="BQ4648" s="7"/>
      <c r="BZ4648" s="7"/>
    </row>
    <row r="4649" spans="2:78">
      <c r="B4649" s="7"/>
      <c r="O4649" s="7"/>
      <c r="X4649" s="7"/>
      <c r="AG4649" s="7"/>
      <c r="AP4649" s="7"/>
      <c r="AY4649" s="7"/>
      <c r="BH4649" s="7"/>
      <c r="BQ4649" s="7"/>
      <c r="BZ4649" s="7"/>
    </row>
    <row r="4650" spans="2:78">
      <c r="B4650" s="7"/>
      <c r="O4650" s="7"/>
      <c r="X4650" s="7"/>
      <c r="AG4650" s="7"/>
      <c r="AP4650" s="7"/>
      <c r="AY4650" s="7"/>
      <c r="BH4650" s="7"/>
      <c r="BQ4650" s="7"/>
      <c r="BZ4650" s="7"/>
    </row>
    <row r="4651" spans="2:78">
      <c r="B4651" s="7"/>
      <c r="O4651" s="7"/>
      <c r="X4651" s="7"/>
      <c r="AG4651" s="7"/>
      <c r="AP4651" s="7"/>
      <c r="AY4651" s="7"/>
      <c r="BH4651" s="7"/>
      <c r="BQ4651" s="7"/>
      <c r="BZ4651" s="7"/>
    </row>
    <row r="4652" spans="2:78">
      <c r="B4652" s="7"/>
      <c r="O4652" s="7"/>
      <c r="X4652" s="7"/>
      <c r="AG4652" s="7"/>
      <c r="AP4652" s="7"/>
      <c r="AY4652" s="7"/>
      <c r="BH4652" s="7"/>
      <c r="BQ4652" s="7"/>
      <c r="BZ4652" s="7"/>
    </row>
    <row r="4653" spans="2:78">
      <c r="B4653" s="7"/>
      <c r="O4653" s="7"/>
      <c r="X4653" s="7"/>
      <c r="AG4653" s="7"/>
      <c r="AP4653" s="7"/>
      <c r="AY4653" s="7"/>
      <c r="BH4653" s="7"/>
      <c r="BQ4653" s="7"/>
      <c r="BZ4653" s="7"/>
    </row>
    <row r="4654" spans="2:78">
      <c r="B4654" s="7"/>
      <c r="O4654" s="7"/>
      <c r="X4654" s="7"/>
      <c r="AG4654" s="7"/>
      <c r="AP4654" s="7"/>
      <c r="AY4654" s="7"/>
      <c r="BH4654" s="7"/>
      <c r="BQ4654" s="7"/>
      <c r="BZ4654" s="7"/>
    </row>
    <row r="4655" spans="2:78">
      <c r="B4655" s="7"/>
      <c r="O4655" s="7"/>
      <c r="X4655" s="7"/>
      <c r="AG4655" s="7"/>
      <c r="AP4655" s="7"/>
      <c r="AY4655" s="7"/>
      <c r="BH4655" s="7"/>
      <c r="BQ4655" s="7"/>
      <c r="BZ4655" s="7"/>
    </row>
    <row r="4656" spans="2:78">
      <c r="B4656" s="7"/>
      <c r="O4656" s="7"/>
      <c r="X4656" s="7"/>
      <c r="AG4656" s="7"/>
      <c r="AP4656" s="7"/>
      <c r="AY4656" s="7"/>
      <c r="BH4656" s="7"/>
      <c r="BQ4656" s="7"/>
      <c r="BZ4656" s="7"/>
    </row>
    <row r="4657" spans="2:78">
      <c r="B4657" s="7"/>
      <c r="O4657" s="7"/>
      <c r="X4657" s="7"/>
      <c r="AG4657" s="7"/>
      <c r="AP4657" s="7"/>
      <c r="AY4657" s="7"/>
      <c r="BH4657" s="7"/>
      <c r="BQ4657" s="7"/>
      <c r="BZ4657" s="7"/>
    </row>
    <row r="4658" spans="2:78">
      <c r="B4658" s="7"/>
      <c r="O4658" s="7"/>
      <c r="X4658" s="7"/>
      <c r="AG4658" s="7"/>
      <c r="AP4658" s="7"/>
      <c r="AY4658" s="7"/>
      <c r="BH4658" s="7"/>
      <c r="BQ4658" s="7"/>
      <c r="BZ4658" s="7"/>
    </row>
    <row r="4659" spans="2:78">
      <c r="B4659" s="7"/>
      <c r="O4659" s="7"/>
      <c r="X4659" s="7"/>
      <c r="AG4659" s="7"/>
      <c r="AP4659" s="7"/>
      <c r="AY4659" s="7"/>
      <c r="BH4659" s="7"/>
      <c r="BQ4659" s="7"/>
      <c r="BZ4659" s="7"/>
    </row>
    <row r="4660" spans="2:78">
      <c r="B4660" s="7"/>
      <c r="O4660" s="7"/>
      <c r="X4660" s="7"/>
      <c r="AG4660" s="7"/>
      <c r="AP4660" s="7"/>
      <c r="AY4660" s="7"/>
      <c r="BH4660" s="7"/>
      <c r="BQ4660" s="7"/>
      <c r="BZ4660" s="7"/>
    </row>
    <row r="4661" spans="2:78">
      <c r="B4661" s="7"/>
      <c r="O4661" s="7"/>
      <c r="X4661" s="7"/>
      <c r="AG4661" s="7"/>
      <c r="AP4661" s="7"/>
      <c r="AY4661" s="7"/>
      <c r="BH4661" s="7"/>
      <c r="BQ4661" s="7"/>
      <c r="BZ4661" s="7"/>
    </row>
    <row r="4662" spans="2:78">
      <c r="B4662" s="7"/>
      <c r="O4662" s="7"/>
      <c r="X4662" s="7"/>
      <c r="AG4662" s="7"/>
      <c r="AP4662" s="7"/>
      <c r="AY4662" s="7"/>
      <c r="BH4662" s="7"/>
      <c r="BQ4662" s="7"/>
      <c r="BZ4662" s="7"/>
    </row>
    <row r="4663" spans="2:78">
      <c r="B4663" s="7"/>
      <c r="O4663" s="7"/>
      <c r="X4663" s="7"/>
      <c r="AG4663" s="7"/>
      <c r="AP4663" s="7"/>
      <c r="AY4663" s="7"/>
      <c r="BH4663" s="7"/>
      <c r="BQ4663" s="7"/>
      <c r="BZ4663" s="7"/>
    </row>
    <row r="4664" spans="2:78">
      <c r="B4664" s="7"/>
      <c r="O4664" s="7"/>
      <c r="X4664" s="7"/>
      <c r="AG4664" s="7"/>
      <c r="AP4664" s="7"/>
      <c r="AY4664" s="7"/>
      <c r="BH4664" s="7"/>
      <c r="BQ4664" s="7"/>
      <c r="BZ4664" s="7"/>
    </row>
    <row r="4665" spans="2:78">
      <c r="B4665" s="7"/>
      <c r="O4665" s="7"/>
      <c r="X4665" s="7"/>
      <c r="AG4665" s="7"/>
      <c r="AP4665" s="7"/>
      <c r="AY4665" s="7"/>
      <c r="BH4665" s="7"/>
      <c r="BQ4665" s="7"/>
      <c r="BZ4665" s="7"/>
    </row>
    <row r="4666" spans="2:78">
      <c r="B4666" s="7"/>
      <c r="O4666" s="7"/>
      <c r="X4666" s="7"/>
      <c r="AG4666" s="7"/>
      <c r="AP4666" s="7"/>
      <c r="AY4666" s="7"/>
      <c r="BH4666" s="7"/>
      <c r="BQ4666" s="7"/>
      <c r="BZ4666" s="7"/>
    </row>
    <row r="4667" spans="2:78">
      <c r="B4667" s="7"/>
      <c r="O4667" s="7"/>
      <c r="X4667" s="7"/>
      <c r="AG4667" s="7"/>
      <c r="AP4667" s="7"/>
      <c r="AY4667" s="7"/>
      <c r="BH4667" s="7"/>
      <c r="BQ4667" s="7"/>
      <c r="BZ4667" s="7"/>
    </row>
    <row r="4668" spans="2:78">
      <c r="B4668" s="7"/>
      <c r="O4668" s="7"/>
      <c r="X4668" s="7"/>
      <c r="AG4668" s="7"/>
      <c r="AP4668" s="7"/>
      <c r="AY4668" s="7"/>
      <c r="BH4668" s="7"/>
      <c r="BQ4668" s="7"/>
      <c r="BZ4668" s="7"/>
    </row>
    <row r="4669" spans="2:78">
      <c r="B4669" s="7"/>
      <c r="O4669" s="7"/>
      <c r="X4669" s="7"/>
      <c r="AG4669" s="7"/>
      <c r="AP4669" s="7"/>
      <c r="AY4669" s="7"/>
      <c r="BH4669" s="7"/>
      <c r="BQ4669" s="7"/>
      <c r="BZ4669" s="7"/>
    </row>
    <row r="4670" spans="2:78">
      <c r="B4670" s="7"/>
      <c r="O4670" s="7"/>
      <c r="X4670" s="7"/>
      <c r="AG4670" s="7"/>
      <c r="AP4670" s="7"/>
      <c r="AY4670" s="7"/>
      <c r="BH4670" s="7"/>
      <c r="BQ4670" s="7"/>
      <c r="BZ4670" s="7"/>
    </row>
    <row r="4671" spans="2:78">
      <c r="B4671" s="7"/>
      <c r="O4671" s="7"/>
      <c r="X4671" s="7"/>
      <c r="AG4671" s="7"/>
      <c r="AP4671" s="7"/>
      <c r="AY4671" s="7"/>
      <c r="BH4671" s="7"/>
      <c r="BQ4671" s="7"/>
      <c r="BZ4671" s="7"/>
    </row>
    <row r="4672" spans="2:78">
      <c r="B4672" s="7"/>
      <c r="O4672" s="7"/>
      <c r="X4672" s="7"/>
      <c r="AG4672" s="7"/>
      <c r="AP4672" s="7"/>
      <c r="AY4672" s="7"/>
      <c r="BH4672" s="7"/>
      <c r="BQ4672" s="7"/>
      <c r="BZ4672" s="7"/>
    </row>
    <row r="4673" spans="2:78">
      <c r="B4673" s="7"/>
      <c r="O4673" s="7"/>
      <c r="X4673" s="7"/>
      <c r="AG4673" s="7"/>
      <c r="AP4673" s="7"/>
      <c r="AY4673" s="7"/>
      <c r="BH4673" s="7"/>
      <c r="BQ4673" s="7"/>
      <c r="BZ4673" s="7"/>
    </row>
    <row r="4674" spans="2:78">
      <c r="B4674" s="7"/>
      <c r="O4674" s="7"/>
      <c r="X4674" s="7"/>
      <c r="AG4674" s="7"/>
      <c r="AP4674" s="7"/>
      <c r="AY4674" s="7"/>
      <c r="BH4674" s="7"/>
      <c r="BQ4674" s="7"/>
      <c r="BZ4674" s="7"/>
    </row>
    <row r="4675" spans="2:78">
      <c r="B4675" s="7"/>
      <c r="O4675" s="7"/>
      <c r="X4675" s="7"/>
      <c r="AG4675" s="7"/>
      <c r="AP4675" s="7"/>
      <c r="AY4675" s="7"/>
      <c r="BH4675" s="7"/>
      <c r="BQ4675" s="7"/>
      <c r="BZ4675" s="7"/>
    </row>
    <row r="4676" spans="2:78">
      <c r="B4676" s="7"/>
      <c r="O4676" s="7"/>
      <c r="X4676" s="7"/>
      <c r="AG4676" s="7"/>
      <c r="AP4676" s="7"/>
      <c r="AY4676" s="7"/>
      <c r="BH4676" s="7"/>
      <c r="BQ4676" s="7"/>
      <c r="BZ4676" s="7"/>
    </row>
    <row r="4677" spans="2:78">
      <c r="B4677" s="7"/>
      <c r="O4677" s="7"/>
      <c r="X4677" s="7"/>
      <c r="AG4677" s="7"/>
      <c r="AP4677" s="7"/>
      <c r="AY4677" s="7"/>
      <c r="BH4677" s="7"/>
      <c r="BQ4677" s="7"/>
      <c r="BZ4677" s="7"/>
    </row>
    <row r="4678" spans="2:78">
      <c r="B4678" s="7"/>
      <c r="O4678" s="7"/>
      <c r="X4678" s="7"/>
      <c r="AG4678" s="7"/>
      <c r="AP4678" s="7"/>
      <c r="AY4678" s="7"/>
      <c r="BH4678" s="7"/>
      <c r="BQ4678" s="7"/>
      <c r="BZ4678" s="7"/>
    </row>
    <row r="4679" spans="2:78">
      <c r="B4679" s="7"/>
      <c r="O4679" s="7"/>
      <c r="X4679" s="7"/>
      <c r="AG4679" s="7"/>
      <c r="AP4679" s="7"/>
      <c r="AY4679" s="7"/>
      <c r="BH4679" s="7"/>
      <c r="BQ4679" s="7"/>
      <c r="BZ4679" s="7"/>
    </row>
    <row r="4680" spans="2:78">
      <c r="B4680" s="7"/>
      <c r="O4680" s="7"/>
      <c r="X4680" s="7"/>
      <c r="AG4680" s="7"/>
      <c r="AP4680" s="7"/>
      <c r="AY4680" s="7"/>
      <c r="BH4680" s="7"/>
      <c r="BQ4680" s="7"/>
      <c r="BZ4680" s="7"/>
    </row>
    <row r="4681" spans="2:78">
      <c r="B4681" s="7"/>
      <c r="O4681" s="7"/>
      <c r="X4681" s="7"/>
      <c r="AG4681" s="7"/>
      <c r="AP4681" s="7"/>
      <c r="AY4681" s="7"/>
      <c r="BH4681" s="7"/>
      <c r="BQ4681" s="7"/>
      <c r="BZ4681" s="7"/>
    </row>
    <row r="4682" spans="2:78">
      <c r="B4682" s="7"/>
      <c r="O4682" s="7"/>
      <c r="X4682" s="7"/>
      <c r="AG4682" s="7"/>
      <c r="AP4682" s="7"/>
      <c r="AY4682" s="7"/>
      <c r="BH4682" s="7"/>
      <c r="BQ4682" s="7"/>
      <c r="BZ4682" s="7"/>
    </row>
    <row r="4683" spans="2:78">
      <c r="B4683" s="7"/>
      <c r="O4683" s="7"/>
      <c r="X4683" s="7"/>
      <c r="AG4683" s="7"/>
      <c r="AP4683" s="7"/>
      <c r="AY4683" s="7"/>
      <c r="BH4683" s="7"/>
      <c r="BQ4683" s="7"/>
      <c r="BZ4683" s="7"/>
    </row>
    <row r="4684" spans="2:78">
      <c r="B4684" s="7"/>
      <c r="O4684" s="7"/>
      <c r="X4684" s="7"/>
      <c r="AG4684" s="7"/>
      <c r="AP4684" s="7"/>
      <c r="AY4684" s="7"/>
      <c r="BH4684" s="7"/>
      <c r="BQ4684" s="7"/>
      <c r="BZ4684" s="7"/>
    </row>
    <row r="4685" spans="2:78">
      <c r="B4685" s="7"/>
      <c r="O4685" s="7"/>
      <c r="X4685" s="7"/>
      <c r="AG4685" s="7"/>
      <c r="AP4685" s="7"/>
      <c r="AY4685" s="7"/>
      <c r="BH4685" s="7"/>
      <c r="BQ4685" s="7"/>
      <c r="BZ4685" s="7"/>
    </row>
    <row r="4686" spans="2:78">
      <c r="B4686" s="7"/>
      <c r="O4686" s="7"/>
      <c r="X4686" s="7"/>
      <c r="AG4686" s="7"/>
      <c r="AP4686" s="7"/>
      <c r="AY4686" s="7"/>
      <c r="BH4686" s="7"/>
      <c r="BQ4686" s="7"/>
      <c r="BZ4686" s="7"/>
    </row>
    <row r="4687" spans="2:78">
      <c r="B4687" s="7"/>
      <c r="O4687" s="7"/>
      <c r="X4687" s="7"/>
      <c r="AG4687" s="7"/>
      <c r="AP4687" s="7"/>
      <c r="AY4687" s="7"/>
      <c r="BH4687" s="7"/>
      <c r="BQ4687" s="7"/>
      <c r="BZ4687" s="7"/>
    </row>
    <row r="4688" spans="2:78">
      <c r="B4688" s="7"/>
      <c r="O4688" s="7"/>
      <c r="X4688" s="7"/>
      <c r="AG4688" s="7"/>
      <c r="AP4688" s="7"/>
      <c r="AY4688" s="7"/>
      <c r="BH4688" s="7"/>
      <c r="BQ4688" s="7"/>
      <c r="BZ4688" s="7"/>
    </row>
    <row r="4689" spans="2:78">
      <c r="B4689" s="7"/>
      <c r="O4689" s="7"/>
      <c r="X4689" s="7"/>
      <c r="AG4689" s="7"/>
      <c r="AP4689" s="7"/>
      <c r="AY4689" s="7"/>
      <c r="BH4689" s="7"/>
      <c r="BQ4689" s="7"/>
      <c r="BZ4689" s="7"/>
    </row>
    <row r="4690" spans="2:78">
      <c r="B4690" s="7"/>
      <c r="O4690" s="7"/>
      <c r="X4690" s="7"/>
      <c r="AG4690" s="7"/>
      <c r="AP4690" s="7"/>
      <c r="AY4690" s="7"/>
      <c r="BH4690" s="7"/>
      <c r="BQ4690" s="7"/>
      <c r="BZ4690" s="7"/>
    </row>
    <row r="4691" spans="2:78">
      <c r="B4691" s="7"/>
      <c r="O4691" s="7"/>
      <c r="X4691" s="7"/>
      <c r="AG4691" s="7"/>
      <c r="AP4691" s="7"/>
      <c r="AY4691" s="7"/>
      <c r="BH4691" s="7"/>
      <c r="BQ4691" s="7"/>
      <c r="BZ4691" s="7"/>
    </row>
    <row r="4692" spans="2:78">
      <c r="B4692" s="7"/>
      <c r="O4692" s="7"/>
      <c r="X4692" s="7"/>
      <c r="AG4692" s="7"/>
      <c r="AP4692" s="7"/>
      <c r="AY4692" s="7"/>
      <c r="BH4692" s="7"/>
      <c r="BQ4692" s="7"/>
      <c r="BZ4692" s="7"/>
    </row>
    <row r="4693" spans="2:78">
      <c r="B4693" s="7"/>
      <c r="O4693" s="7"/>
      <c r="X4693" s="7"/>
      <c r="AG4693" s="7"/>
      <c r="AP4693" s="7"/>
      <c r="AY4693" s="7"/>
      <c r="BH4693" s="7"/>
      <c r="BQ4693" s="7"/>
      <c r="BZ4693" s="7"/>
    </row>
    <row r="4694" spans="2:78">
      <c r="B4694" s="7"/>
      <c r="O4694" s="7"/>
      <c r="X4694" s="7"/>
      <c r="AG4694" s="7"/>
      <c r="AP4694" s="7"/>
      <c r="AY4694" s="7"/>
      <c r="BH4694" s="7"/>
      <c r="BQ4694" s="7"/>
      <c r="BZ4694" s="7"/>
    </row>
    <row r="4695" spans="2:78">
      <c r="B4695" s="7"/>
      <c r="O4695" s="7"/>
      <c r="X4695" s="7"/>
      <c r="AG4695" s="7"/>
      <c r="AP4695" s="7"/>
      <c r="AY4695" s="7"/>
      <c r="BH4695" s="7"/>
      <c r="BQ4695" s="7"/>
      <c r="BZ4695" s="7"/>
    </row>
    <row r="4696" spans="2:78">
      <c r="B4696" s="7"/>
      <c r="O4696" s="7"/>
      <c r="X4696" s="7"/>
      <c r="AG4696" s="7"/>
      <c r="AP4696" s="7"/>
      <c r="AY4696" s="7"/>
      <c r="BH4696" s="7"/>
      <c r="BQ4696" s="7"/>
      <c r="BZ4696" s="7"/>
    </row>
    <row r="4697" spans="2:78">
      <c r="B4697" s="7"/>
      <c r="O4697" s="7"/>
      <c r="X4697" s="7"/>
      <c r="AG4697" s="7"/>
      <c r="AP4697" s="7"/>
      <c r="AY4697" s="7"/>
      <c r="BH4697" s="7"/>
      <c r="BQ4697" s="7"/>
      <c r="BZ4697" s="7"/>
    </row>
    <row r="4698" spans="2:78">
      <c r="B4698" s="7"/>
      <c r="O4698" s="7"/>
      <c r="X4698" s="7"/>
      <c r="AG4698" s="7"/>
      <c r="AP4698" s="7"/>
      <c r="AY4698" s="7"/>
      <c r="BH4698" s="7"/>
      <c r="BQ4698" s="7"/>
      <c r="BZ4698" s="7"/>
    </row>
    <row r="4699" spans="2:78">
      <c r="B4699" s="7"/>
      <c r="O4699" s="7"/>
      <c r="X4699" s="7"/>
      <c r="AG4699" s="7"/>
      <c r="AP4699" s="7"/>
      <c r="AY4699" s="7"/>
      <c r="BH4699" s="7"/>
      <c r="BQ4699" s="7"/>
      <c r="BZ4699" s="7"/>
    </row>
    <row r="4700" spans="2:78">
      <c r="B4700" s="7"/>
      <c r="O4700" s="7"/>
      <c r="X4700" s="7"/>
      <c r="AG4700" s="7"/>
      <c r="AP4700" s="7"/>
      <c r="AY4700" s="7"/>
      <c r="BH4700" s="7"/>
      <c r="BQ4700" s="7"/>
      <c r="BZ4700" s="7"/>
    </row>
    <row r="4701" spans="2:78">
      <c r="B4701" s="7"/>
      <c r="O4701" s="7"/>
      <c r="X4701" s="7"/>
      <c r="AG4701" s="7"/>
      <c r="AP4701" s="7"/>
      <c r="AY4701" s="7"/>
      <c r="BH4701" s="7"/>
      <c r="BQ4701" s="7"/>
      <c r="BZ4701" s="7"/>
    </row>
    <row r="4702" spans="2:78">
      <c r="B4702" s="7"/>
      <c r="O4702" s="7"/>
      <c r="X4702" s="7"/>
      <c r="AG4702" s="7"/>
      <c r="AP4702" s="7"/>
      <c r="AY4702" s="7"/>
      <c r="BH4702" s="7"/>
      <c r="BQ4702" s="7"/>
      <c r="BZ4702" s="7"/>
    </row>
    <row r="4703" spans="2:78">
      <c r="B4703" s="7"/>
      <c r="O4703" s="7"/>
      <c r="X4703" s="7"/>
      <c r="AG4703" s="7"/>
      <c r="AP4703" s="7"/>
      <c r="AY4703" s="7"/>
      <c r="BH4703" s="7"/>
      <c r="BQ4703" s="7"/>
      <c r="BZ4703" s="7"/>
    </row>
    <row r="4704" spans="2:78">
      <c r="B4704" s="7"/>
      <c r="O4704" s="7"/>
      <c r="X4704" s="7"/>
      <c r="AG4704" s="7"/>
      <c r="AP4704" s="7"/>
      <c r="AY4704" s="7"/>
      <c r="BH4704" s="7"/>
      <c r="BQ4704" s="7"/>
      <c r="BZ4704" s="7"/>
    </row>
    <row r="4705" spans="2:78">
      <c r="B4705" s="7"/>
      <c r="O4705" s="7"/>
      <c r="X4705" s="7"/>
      <c r="AG4705" s="7"/>
      <c r="AP4705" s="7"/>
      <c r="AY4705" s="7"/>
      <c r="BH4705" s="7"/>
      <c r="BQ4705" s="7"/>
      <c r="BZ4705" s="7"/>
    </row>
    <row r="4706" spans="2:78">
      <c r="B4706" s="7"/>
      <c r="O4706" s="7"/>
      <c r="X4706" s="7"/>
      <c r="AG4706" s="7"/>
      <c r="AP4706" s="7"/>
      <c r="AY4706" s="7"/>
      <c r="BH4706" s="7"/>
      <c r="BQ4706" s="7"/>
      <c r="BZ4706" s="7"/>
    </row>
    <row r="4707" spans="2:78">
      <c r="B4707" s="7"/>
      <c r="O4707" s="7"/>
      <c r="X4707" s="7"/>
      <c r="AG4707" s="7"/>
      <c r="AP4707" s="7"/>
      <c r="AY4707" s="7"/>
      <c r="BH4707" s="7"/>
      <c r="BQ4707" s="7"/>
      <c r="BZ4707" s="7"/>
    </row>
    <row r="4708" spans="2:78">
      <c r="B4708" s="7"/>
      <c r="O4708" s="7"/>
      <c r="X4708" s="7"/>
      <c r="AG4708" s="7"/>
      <c r="AP4708" s="7"/>
      <c r="AY4708" s="7"/>
      <c r="BH4708" s="7"/>
      <c r="BQ4708" s="7"/>
      <c r="BZ4708" s="7"/>
    </row>
    <row r="4709" spans="2:78">
      <c r="B4709" s="7"/>
      <c r="O4709" s="7"/>
      <c r="X4709" s="7"/>
      <c r="AG4709" s="7"/>
      <c r="AP4709" s="7"/>
      <c r="AY4709" s="7"/>
      <c r="BH4709" s="7"/>
      <c r="BQ4709" s="7"/>
      <c r="BZ4709" s="7"/>
    </row>
    <row r="4710" spans="2:78">
      <c r="B4710" s="7"/>
      <c r="O4710" s="7"/>
      <c r="X4710" s="7"/>
      <c r="AG4710" s="7"/>
      <c r="AP4710" s="7"/>
      <c r="AY4710" s="7"/>
      <c r="BH4710" s="7"/>
      <c r="BQ4710" s="7"/>
      <c r="BZ4710" s="7"/>
    </row>
    <row r="4711" spans="2:78">
      <c r="B4711" s="7"/>
      <c r="O4711" s="7"/>
      <c r="X4711" s="7"/>
      <c r="AG4711" s="7"/>
      <c r="AP4711" s="7"/>
      <c r="AY4711" s="7"/>
      <c r="BH4711" s="7"/>
      <c r="BQ4711" s="7"/>
      <c r="BZ4711" s="7"/>
    </row>
    <row r="4712" spans="2:78">
      <c r="B4712" s="7"/>
      <c r="O4712" s="7"/>
      <c r="X4712" s="7"/>
      <c r="AG4712" s="7"/>
      <c r="AP4712" s="7"/>
      <c r="AY4712" s="7"/>
      <c r="BH4712" s="7"/>
      <c r="BQ4712" s="7"/>
      <c r="BZ4712" s="7"/>
    </row>
    <row r="4713" spans="2:78">
      <c r="B4713" s="7"/>
      <c r="O4713" s="7"/>
      <c r="X4713" s="7"/>
      <c r="AG4713" s="7"/>
      <c r="AP4713" s="7"/>
      <c r="AY4713" s="7"/>
      <c r="BH4713" s="7"/>
      <c r="BQ4713" s="7"/>
      <c r="BZ4713" s="7"/>
    </row>
    <row r="4714" spans="2:78">
      <c r="B4714" s="7"/>
      <c r="O4714" s="7"/>
      <c r="X4714" s="7"/>
      <c r="AG4714" s="7"/>
      <c r="AP4714" s="7"/>
      <c r="AY4714" s="7"/>
      <c r="BH4714" s="7"/>
      <c r="BQ4714" s="7"/>
      <c r="BZ4714" s="7"/>
    </row>
    <row r="4715" spans="2:78">
      <c r="B4715" s="7"/>
      <c r="O4715" s="7"/>
      <c r="X4715" s="7"/>
      <c r="AG4715" s="7"/>
      <c r="AP4715" s="7"/>
      <c r="AY4715" s="7"/>
      <c r="BH4715" s="7"/>
      <c r="BQ4715" s="7"/>
      <c r="BZ4715" s="7"/>
    </row>
    <row r="4716" spans="2:78">
      <c r="B4716" s="7"/>
      <c r="O4716" s="7"/>
      <c r="X4716" s="7"/>
      <c r="AG4716" s="7"/>
      <c r="AP4716" s="7"/>
      <c r="AY4716" s="7"/>
      <c r="BH4716" s="7"/>
      <c r="BQ4716" s="7"/>
      <c r="BZ4716" s="7"/>
    </row>
    <row r="4717" spans="2:78">
      <c r="B4717" s="7"/>
      <c r="O4717" s="7"/>
      <c r="X4717" s="7"/>
      <c r="AG4717" s="7"/>
      <c r="AP4717" s="7"/>
      <c r="AY4717" s="7"/>
      <c r="BH4717" s="7"/>
      <c r="BQ4717" s="7"/>
      <c r="BZ4717" s="7"/>
    </row>
    <row r="4718" spans="2:78">
      <c r="B4718" s="7"/>
      <c r="O4718" s="7"/>
      <c r="X4718" s="7"/>
      <c r="AG4718" s="7"/>
      <c r="AP4718" s="7"/>
      <c r="AY4718" s="7"/>
      <c r="BH4718" s="7"/>
      <c r="BQ4718" s="7"/>
      <c r="BZ4718" s="7"/>
    </row>
    <row r="4719" spans="2:78">
      <c r="B4719" s="7"/>
      <c r="O4719" s="7"/>
      <c r="X4719" s="7"/>
      <c r="AG4719" s="7"/>
      <c r="AP4719" s="7"/>
      <c r="AY4719" s="7"/>
      <c r="BH4719" s="7"/>
      <c r="BQ4719" s="7"/>
      <c r="BZ4719" s="7"/>
    </row>
    <row r="4720" spans="2:78">
      <c r="B4720" s="7"/>
      <c r="O4720" s="7"/>
      <c r="X4720" s="7"/>
      <c r="AG4720" s="7"/>
      <c r="AP4720" s="7"/>
      <c r="AY4720" s="7"/>
      <c r="BH4720" s="7"/>
      <c r="BQ4720" s="7"/>
      <c r="BZ4720" s="7"/>
    </row>
    <row r="4721" spans="2:78">
      <c r="B4721" s="7"/>
      <c r="O4721" s="7"/>
      <c r="X4721" s="7"/>
      <c r="AG4721" s="7"/>
      <c r="AP4721" s="7"/>
      <c r="AY4721" s="7"/>
      <c r="BH4721" s="7"/>
      <c r="BQ4721" s="7"/>
      <c r="BZ4721" s="7"/>
    </row>
    <row r="4722" spans="2:78">
      <c r="B4722" s="7"/>
      <c r="O4722" s="7"/>
      <c r="X4722" s="7"/>
      <c r="AG4722" s="7"/>
      <c r="AP4722" s="7"/>
      <c r="AY4722" s="7"/>
      <c r="BH4722" s="7"/>
      <c r="BQ4722" s="7"/>
      <c r="BZ4722" s="7"/>
    </row>
    <row r="4723" spans="2:78">
      <c r="B4723" s="7"/>
      <c r="O4723" s="7"/>
      <c r="X4723" s="7"/>
      <c r="AG4723" s="7"/>
      <c r="AP4723" s="7"/>
      <c r="AY4723" s="7"/>
      <c r="BH4723" s="7"/>
      <c r="BQ4723" s="7"/>
      <c r="BZ4723" s="7"/>
    </row>
    <row r="4724" spans="2:78">
      <c r="B4724" s="7"/>
      <c r="O4724" s="7"/>
      <c r="X4724" s="7"/>
      <c r="AG4724" s="7"/>
      <c r="AP4724" s="7"/>
      <c r="AY4724" s="7"/>
      <c r="BH4724" s="7"/>
      <c r="BQ4724" s="7"/>
      <c r="BZ4724" s="7"/>
    </row>
    <row r="4725" spans="2:78">
      <c r="B4725" s="7"/>
      <c r="O4725" s="7"/>
      <c r="X4725" s="7"/>
      <c r="AG4725" s="7"/>
      <c r="AP4725" s="7"/>
      <c r="AY4725" s="7"/>
      <c r="BH4725" s="7"/>
      <c r="BQ4725" s="7"/>
      <c r="BZ4725" s="7"/>
    </row>
    <row r="4726" spans="2:78">
      <c r="B4726" s="7"/>
      <c r="O4726" s="7"/>
      <c r="X4726" s="7"/>
      <c r="AG4726" s="7"/>
      <c r="AP4726" s="7"/>
      <c r="AY4726" s="7"/>
      <c r="BH4726" s="7"/>
      <c r="BQ4726" s="7"/>
      <c r="BZ4726" s="7"/>
    </row>
    <row r="4727" spans="2:78">
      <c r="B4727" s="7"/>
      <c r="O4727" s="7"/>
      <c r="X4727" s="7"/>
      <c r="AG4727" s="7"/>
      <c r="AP4727" s="7"/>
      <c r="AY4727" s="7"/>
      <c r="BH4727" s="7"/>
      <c r="BQ4727" s="7"/>
      <c r="BZ4727" s="7"/>
    </row>
    <row r="4728" spans="2:78">
      <c r="B4728" s="7"/>
      <c r="O4728" s="7"/>
      <c r="X4728" s="7"/>
      <c r="AG4728" s="7"/>
      <c r="AP4728" s="7"/>
      <c r="AY4728" s="7"/>
      <c r="BH4728" s="7"/>
      <c r="BQ4728" s="7"/>
      <c r="BZ4728" s="7"/>
    </row>
    <row r="4729" spans="2:78">
      <c r="B4729" s="7"/>
      <c r="O4729" s="7"/>
      <c r="X4729" s="7"/>
      <c r="AG4729" s="7"/>
      <c r="AP4729" s="7"/>
      <c r="AY4729" s="7"/>
      <c r="BH4729" s="7"/>
      <c r="BQ4729" s="7"/>
      <c r="BZ4729" s="7"/>
    </row>
    <row r="4730" spans="2:78">
      <c r="B4730" s="7"/>
      <c r="O4730" s="7"/>
      <c r="X4730" s="7"/>
      <c r="AG4730" s="7"/>
      <c r="AP4730" s="7"/>
      <c r="AY4730" s="7"/>
      <c r="BH4730" s="7"/>
      <c r="BQ4730" s="7"/>
      <c r="BZ4730" s="7"/>
    </row>
    <row r="4731" spans="2:78">
      <c r="B4731" s="7"/>
      <c r="O4731" s="7"/>
      <c r="X4731" s="7"/>
      <c r="AG4731" s="7"/>
      <c r="AP4731" s="7"/>
      <c r="AY4731" s="7"/>
      <c r="BH4731" s="7"/>
      <c r="BQ4731" s="7"/>
      <c r="BZ4731" s="7"/>
    </row>
    <row r="4732" spans="2:78">
      <c r="B4732" s="7"/>
      <c r="O4732" s="7"/>
      <c r="X4732" s="7"/>
      <c r="AG4732" s="7"/>
      <c r="AP4732" s="7"/>
      <c r="AY4732" s="7"/>
      <c r="BH4732" s="7"/>
      <c r="BQ4732" s="7"/>
      <c r="BZ4732" s="7"/>
    </row>
    <row r="4733" spans="2:78">
      <c r="B4733" s="7"/>
      <c r="O4733" s="7"/>
      <c r="X4733" s="7"/>
      <c r="AG4733" s="7"/>
      <c r="AP4733" s="7"/>
      <c r="AY4733" s="7"/>
      <c r="BH4733" s="7"/>
      <c r="BQ4733" s="7"/>
      <c r="BZ4733" s="7"/>
    </row>
    <row r="4734" spans="2:78">
      <c r="B4734" s="7"/>
      <c r="O4734" s="7"/>
      <c r="X4734" s="7"/>
      <c r="AG4734" s="7"/>
      <c r="AP4734" s="7"/>
      <c r="AY4734" s="7"/>
      <c r="BH4734" s="7"/>
      <c r="BQ4734" s="7"/>
      <c r="BZ4734" s="7"/>
    </row>
    <row r="4735" spans="2:78">
      <c r="B4735" s="7"/>
      <c r="O4735" s="7"/>
      <c r="X4735" s="7"/>
      <c r="AG4735" s="7"/>
      <c r="AP4735" s="7"/>
      <c r="AY4735" s="7"/>
      <c r="BH4735" s="7"/>
      <c r="BQ4735" s="7"/>
      <c r="BZ4735" s="7"/>
    </row>
    <row r="4736" spans="2:78">
      <c r="B4736" s="7"/>
      <c r="O4736" s="7"/>
      <c r="X4736" s="7"/>
      <c r="AG4736" s="7"/>
      <c r="AP4736" s="7"/>
      <c r="AY4736" s="7"/>
      <c r="BH4736" s="7"/>
      <c r="BQ4736" s="7"/>
      <c r="BZ4736" s="7"/>
    </row>
    <row r="4737" spans="2:78">
      <c r="B4737" s="7"/>
      <c r="O4737" s="7"/>
      <c r="X4737" s="7"/>
      <c r="AG4737" s="7"/>
      <c r="AP4737" s="7"/>
      <c r="AY4737" s="7"/>
      <c r="BH4737" s="7"/>
      <c r="BQ4737" s="7"/>
      <c r="BZ4737" s="7"/>
    </row>
    <row r="4738" spans="2:78">
      <c r="B4738" s="7"/>
      <c r="O4738" s="7"/>
      <c r="X4738" s="7"/>
      <c r="AG4738" s="7"/>
      <c r="AP4738" s="7"/>
      <c r="AY4738" s="7"/>
      <c r="BH4738" s="7"/>
      <c r="BQ4738" s="7"/>
      <c r="BZ4738" s="7"/>
    </row>
    <row r="4739" spans="2:78">
      <c r="B4739" s="7"/>
      <c r="O4739" s="7"/>
      <c r="X4739" s="7"/>
      <c r="AG4739" s="7"/>
      <c r="AP4739" s="7"/>
      <c r="AY4739" s="7"/>
      <c r="BH4739" s="7"/>
      <c r="BQ4739" s="7"/>
      <c r="BZ4739" s="7"/>
    </row>
    <row r="4740" spans="2:78">
      <c r="B4740" s="7"/>
      <c r="O4740" s="7"/>
      <c r="X4740" s="7"/>
      <c r="AG4740" s="7"/>
      <c r="AP4740" s="7"/>
      <c r="AY4740" s="7"/>
      <c r="BH4740" s="7"/>
      <c r="BQ4740" s="7"/>
      <c r="BZ4740" s="7"/>
    </row>
    <row r="4741" spans="2:78">
      <c r="B4741" s="7"/>
      <c r="O4741" s="7"/>
      <c r="X4741" s="7"/>
      <c r="AG4741" s="7"/>
      <c r="AP4741" s="7"/>
      <c r="AY4741" s="7"/>
      <c r="BH4741" s="7"/>
      <c r="BQ4741" s="7"/>
      <c r="BZ4741" s="7"/>
    </row>
    <row r="4742" spans="2:78">
      <c r="B4742" s="7"/>
      <c r="O4742" s="7"/>
      <c r="X4742" s="7"/>
      <c r="AG4742" s="7"/>
      <c r="AP4742" s="7"/>
      <c r="AY4742" s="7"/>
      <c r="BH4742" s="7"/>
      <c r="BQ4742" s="7"/>
      <c r="BZ4742" s="7"/>
    </row>
    <row r="4743" spans="2:78">
      <c r="B4743" s="7"/>
      <c r="O4743" s="7"/>
      <c r="X4743" s="7"/>
      <c r="AG4743" s="7"/>
      <c r="AP4743" s="7"/>
      <c r="AY4743" s="7"/>
      <c r="BH4743" s="7"/>
      <c r="BQ4743" s="7"/>
      <c r="BZ4743" s="7"/>
    </row>
    <row r="4744" spans="2:78">
      <c r="B4744" s="7"/>
      <c r="O4744" s="7"/>
      <c r="X4744" s="7"/>
      <c r="AG4744" s="7"/>
      <c r="AP4744" s="7"/>
      <c r="AY4744" s="7"/>
      <c r="BH4744" s="7"/>
      <c r="BQ4744" s="7"/>
      <c r="BZ4744" s="7"/>
    </row>
    <row r="4745" spans="2:78">
      <c r="B4745" s="7"/>
      <c r="O4745" s="7"/>
      <c r="X4745" s="7"/>
      <c r="AG4745" s="7"/>
      <c r="AP4745" s="7"/>
      <c r="AY4745" s="7"/>
      <c r="BH4745" s="7"/>
      <c r="BQ4745" s="7"/>
      <c r="BZ4745" s="7"/>
    </row>
    <row r="4746" spans="2:78">
      <c r="B4746" s="7"/>
      <c r="O4746" s="7"/>
      <c r="X4746" s="7"/>
      <c r="AG4746" s="7"/>
      <c r="AP4746" s="7"/>
      <c r="AY4746" s="7"/>
      <c r="BH4746" s="7"/>
      <c r="BQ4746" s="7"/>
      <c r="BZ4746" s="7"/>
    </row>
    <row r="4747" spans="2:78">
      <c r="B4747" s="7"/>
      <c r="O4747" s="7"/>
      <c r="X4747" s="7"/>
      <c r="AG4747" s="7"/>
      <c r="AP4747" s="7"/>
      <c r="AY4747" s="7"/>
      <c r="BH4747" s="7"/>
      <c r="BQ4747" s="7"/>
      <c r="BZ4747" s="7"/>
    </row>
    <row r="4748" spans="2:78">
      <c r="B4748" s="7"/>
      <c r="O4748" s="7"/>
      <c r="X4748" s="7"/>
      <c r="AG4748" s="7"/>
      <c r="AP4748" s="7"/>
      <c r="AY4748" s="7"/>
      <c r="BH4748" s="7"/>
      <c r="BQ4748" s="7"/>
      <c r="BZ4748" s="7"/>
    </row>
    <row r="4749" spans="2:78">
      <c r="B4749" s="7"/>
      <c r="O4749" s="7"/>
      <c r="X4749" s="7"/>
      <c r="AG4749" s="7"/>
      <c r="AP4749" s="7"/>
      <c r="AY4749" s="7"/>
      <c r="BH4749" s="7"/>
      <c r="BQ4749" s="7"/>
      <c r="BZ4749" s="7"/>
    </row>
    <row r="4750" spans="2:78">
      <c r="B4750" s="7"/>
      <c r="O4750" s="7"/>
      <c r="X4750" s="7"/>
      <c r="AG4750" s="7"/>
      <c r="AP4750" s="7"/>
      <c r="AY4750" s="7"/>
      <c r="BH4750" s="7"/>
      <c r="BQ4750" s="7"/>
      <c r="BZ4750" s="7"/>
    </row>
    <row r="4751" spans="2:78">
      <c r="B4751" s="7"/>
      <c r="O4751" s="7"/>
      <c r="X4751" s="7"/>
      <c r="AG4751" s="7"/>
      <c r="AP4751" s="7"/>
      <c r="AY4751" s="7"/>
      <c r="BH4751" s="7"/>
      <c r="BQ4751" s="7"/>
      <c r="BZ4751" s="7"/>
    </row>
    <row r="4752" spans="2:78">
      <c r="B4752" s="7"/>
      <c r="O4752" s="7"/>
      <c r="X4752" s="7"/>
      <c r="AG4752" s="7"/>
      <c r="AP4752" s="7"/>
      <c r="AY4752" s="7"/>
      <c r="BH4752" s="7"/>
      <c r="BQ4752" s="7"/>
      <c r="BZ4752" s="7"/>
    </row>
    <row r="4753" spans="2:78">
      <c r="B4753" s="7"/>
      <c r="O4753" s="7"/>
      <c r="X4753" s="7"/>
      <c r="AG4753" s="7"/>
      <c r="AP4753" s="7"/>
      <c r="AY4753" s="7"/>
      <c r="BH4753" s="7"/>
      <c r="BQ4753" s="7"/>
      <c r="BZ4753" s="7"/>
    </row>
    <row r="4754" spans="2:78">
      <c r="B4754" s="7"/>
      <c r="O4754" s="7"/>
      <c r="X4754" s="7"/>
      <c r="AG4754" s="7"/>
      <c r="AP4754" s="7"/>
      <c r="AY4754" s="7"/>
      <c r="BH4754" s="7"/>
      <c r="BQ4754" s="7"/>
      <c r="BZ4754" s="7"/>
    </row>
    <row r="4755" spans="2:78">
      <c r="B4755" s="7"/>
      <c r="O4755" s="7"/>
      <c r="X4755" s="7"/>
      <c r="AG4755" s="7"/>
      <c r="AP4755" s="7"/>
      <c r="AY4755" s="7"/>
      <c r="BH4755" s="7"/>
      <c r="BQ4755" s="7"/>
      <c r="BZ4755" s="7"/>
    </row>
    <row r="4756" spans="2:78">
      <c r="B4756" s="7"/>
      <c r="O4756" s="7"/>
      <c r="X4756" s="7"/>
      <c r="AG4756" s="7"/>
      <c r="AP4756" s="7"/>
      <c r="AY4756" s="7"/>
      <c r="BH4756" s="7"/>
      <c r="BQ4756" s="7"/>
      <c r="BZ4756" s="7"/>
    </row>
    <row r="4757" spans="2:78">
      <c r="B4757" s="7"/>
      <c r="O4757" s="7"/>
      <c r="X4757" s="7"/>
      <c r="AG4757" s="7"/>
      <c r="AP4757" s="7"/>
      <c r="AY4757" s="7"/>
      <c r="BH4757" s="7"/>
      <c r="BQ4757" s="7"/>
      <c r="BZ4757" s="7"/>
    </row>
    <row r="4758" spans="2:78">
      <c r="B4758" s="7"/>
      <c r="O4758" s="7"/>
      <c r="X4758" s="7"/>
      <c r="AG4758" s="7"/>
      <c r="AP4758" s="7"/>
      <c r="AY4758" s="7"/>
      <c r="BH4758" s="7"/>
      <c r="BQ4758" s="7"/>
      <c r="BZ4758" s="7"/>
    </row>
    <row r="4759" spans="2:78">
      <c r="B4759" s="7"/>
      <c r="O4759" s="7"/>
      <c r="X4759" s="7"/>
      <c r="AG4759" s="7"/>
      <c r="AP4759" s="7"/>
      <c r="AY4759" s="7"/>
      <c r="BH4759" s="7"/>
      <c r="BQ4759" s="7"/>
      <c r="BZ4759" s="7"/>
    </row>
    <row r="4760" spans="2:78">
      <c r="B4760" s="7"/>
      <c r="O4760" s="7"/>
      <c r="X4760" s="7"/>
      <c r="AG4760" s="7"/>
      <c r="AP4760" s="7"/>
      <c r="AY4760" s="7"/>
      <c r="BH4760" s="7"/>
      <c r="BQ4760" s="7"/>
      <c r="BZ4760" s="7"/>
    </row>
    <row r="4761" spans="2:78">
      <c r="B4761" s="7"/>
      <c r="O4761" s="7"/>
      <c r="X4761" s="7"/>
      <c r="AG4761" s="7"/>
      <c r="AP4761" s="7"/>
      <c r="AY4761" s="7"/>
      <c r="BH4761" s="7"/>
      <c r="BQ4761" s="7"/>
      <c r="BZ4761" s="7"/>
    </row>
    <row r="4762" spans="2:78">
      <c r="B4762" s="7"/>
      <c r="O4762" s="7"/>
      <c r="X4762" s="7"/>
      <c r="AG4762" s="7"/>
      <c r="AP4762" s="7"/>
      <c r="AY4762" s="7"/>
      <c r="BH4762" s="7"/>
      <c r="BQ4762" s="7"/>
      <c r="BZ4762" s="7"/>
    </row>
    <row r="4763" spans="2:78">
      <c r="B4763" s="7"/>
      <c r="O4763" s="7"/>
      <c r="X4763" s="7"/>
      <c r="AG4763" s="7"/>
      <c r="AP4763" s="7"/>
      <c r="AY4763" s="7"/>
      <c r="BH4763" s="7"/>
      <c r="BQ4763" s="7"/>
      <c r="BZ4763" s="7"/>
    </row>
    <row r="4764" spans="2:78">
      <c r="B4764" s="7"/>
      <c r="O4764" s="7"/>
      <c r="X4764" s="7"/>
      <c r="AG4764" s="7"/>
      <c r="AP4764" s="7"/>
      <c r="AY4764" s="7"/>
      <c r="BH4764" s="7"/>
      <c r="BQ4764" s="7"/>
      <c r="BZ4764" s="7"/>
    </row>
    <row r="4765" spans="2:78">
      <c r="B4765" s="7"/>
      <c r="O4765" s="7"/>
      <c r="X4765" s="7"/>
      <c r="AG4765" s="7"/>
      <c r="AP4765" s="7"/>
      <c r="AY4765" s="7"/>
      <c r="BH4765" s="7"/>
      <c r="BQ4765" s="7"/>
      <c r="BZ4765" s="7"/>
    </row>
    <row r="4766" spans="2:78">
      <c r="B4766" s="7"/>
      <c r="O4766" s="7"/>
      <c r="X4766" s="7"/>
      <c r="AG4766" s="7"/>
      <c r="AP4766" s="7"/>
      <c r="AY4766" s="7"/>
      <c r="BH4766" s="7"/>
      <c r="BQ4766" s="7"/>
      <c r="BZ4766" s="7"/>
    </row>
    <row r="4767" spans="2:78">
      <c r="B4767" s="7"/>
      <c r="O4767" s="7"/>
      <c r="X4767" s="7"/>
      <c r="AG4767" s="7"/>
      <c r="AP4767" s="7"/>
      <c r="AY4767" s="7"/>
      <c r="BH4767" s="7"/>
      <c r="BQ4767" s="7"/>
      <c r="BZ4767" s="7"/>
    </row>
    <row r="4768" spans="2:78">
      <c r="B4768" s="7"/>
      <c r="O4768" s="7"/>
      <c r="X4768" s="7"/>
      <c r="AG4768" s="7"/>
      <c r="AP4768" s="7"/>
      <c r="AY4768" s="7"/>
      <c r="BH4768" s="7"/>
      <c r="BQ4768" s="7"/>
      <c r="BZ4768" s="7"/>
    </row>
    <row r="4769" spans="2:78">
      <c r="B4769" s="7"/>
      <c r="O4769" s="7"/>
      <c r="X4769" s="7"/>
      <c r="AG4769" s="7"/>
      <c r="AP4769" s="7"/>
      <c r="AY4769" s="7"/>
      <c r="BH4769" s="7"/>
      <c r="BQ4769" s="7"/>
      <c r="BZ4769" s="7"/>
    </row>
    <row r="4770" spans="2:78">
      <c r="B4770" s="7"/>
      <c r="O4770" s="7"/>
      <c r="X4770" s="7"/>
      <c r="AG4770" s="7"/>
      <c r="AP4770" s="7"/>
      <c r="AY4770" s="7"/>
      <c r="BH4770" s="7"/>
      <c r="BQ4770" s="7"/>
      <c r="BZ4770" s="7"/>
    </row>
    <row r="4771" spans="2:78">
      <c r="B4771" s="7"/>
      <c r="O4771" s="7"/>
      <c r="X4771" s="7"/>
      <c r="AG4771" s="7"/>
      <c r="AP4771" s="7"/>
      <c r="AY4771" s="7"/>
      <c r="BH4771" s="7"/>
      <c r="BQ4771" s="7"/>
      <c r="BZ4771" s="7"/>
    </row>
    <row r="4772" spans="2:78">
      <c r="B4772" s="7"/>
      <c r="O4772" s="7"/>
      <c r="X4772" s="7"/>
      <c r="AG4772" s="7"/>
      <c r="AP4772" s="7"/>
      <c r="AY4772" s="7"/>
      <c r="BH4772" s="7"/>
      <c r="BQ4772" s="7"/>
      <c r="BZ4772" s="7"/>
    </row>
    <row r="4773" spans="2:78">
      <c r="B4773" s="7"/>
      <c r="O4773" s="7"/>
      <c r="X4773" s="7"/>
      <c r="AG4773" s="7"/>
      <c r="AP4773" s="7"/>
      <c r="AY4773" s="7"/>
      <c r="BH4773" s="7"/>
      <c r="BQ4773" s="7"/>
      <c r="BZ4773" s="7"/>
    </row>
    <row r="4774" spans="2:78">
      <c r="B4774" s="7"/>
      <c r="O4774" s="7"/>
      <c r="X4774" s="7"/>
      <c r="AG4774" s="7"/>
      <c r="AP4774" s="7"/>
      <c r="AY4774" s="7"/>
      <c r="BH4774" s="7"/>
      <c r="BQ4774" s="7"/>
      <c r="BZ4774" s="7"/>
    </row>
    <row r="4775" spans="2:78">
      <c r="B4775" s="7"/>
      <c r="O4775" s="7"/>
      <c r="X4775" s="7"/>
      <c r="AG4775" s="7"/>
      <c r="AP4775" s="7"/>
      <c r="AY4775" s="7"/>
      <c r="BH4775" s="7"/>
      <c r="BQ4775" s="7"/>
      <c r="BZ4775" s="7"/>
    </row>
    <row r="4776" spans="2:78">
      <c r="B4776" s="7"/>
      <c r="O4776" s="7"/>
      <c r="X4776" s="7"/>
      <c r="AG4776" s="7"/>
      <c r="AP4776" s="7"/>
      <c r="AY4776" s="7"/>
      <c r="BH4776" s="7"/>
      <c r="BQ4776" s="7"/>
      <c r="BZ4776" s="7"/>
    </row>
    <row r="4777" spans="2:78">
      <c r="B4777" s="7"/>
      <c r="O4777" s="7"/>
      <c r="X4777" s="7"/>
      <c r="AG4777" s="7"/>
      <c r="AP4777" s="7"/>
      <c r="AY4777" s="7"/>
      <c r="BH4777" s="7"/>
      <c r="BQ4777" s="7"/>
      <c r="BZ4777" s="7"/>
    </row>
    <row r="4778" spans="2:78">
      <c r="B4778" s="7"/>
      <c r="O4778" s="7"/>
      <c r="X4778" s="7"/>
      <c r="AG4778" s="7"/>
      <c r="AP4778" s="7"/>
      <c r="AY4778" s="7"/>
      <c r="BH4778" s="7"/>
      <c r="BQ4778" s="7"/>
      <c r="BZ4778" s="7"/>
    </row>
    <row r="4779" spans="2:78">
      <c r="B4779" s="7"/>
      <c r="O4779" s="7"/>
      <c r="X4779" s="7"/>
      <c r="AG4779" s="7"/>
      <c r="AP4779" s="7"/>
      <c r="AY4779" s="7"/>
      <c r="BH4779" s="7"/>
      <c r="BQ4779" s="7"/>
      <c r="BZ4779" s="7"/>
    </row>
    <row r="4780" spans="2:78">
      <c r="B4780" s="7"/>
      <c r="O4780" s="7"/>
      <c r="X4780" s="7"/>
      <c r="AG4780" s="7"/>
      <c r="AP4780" s="7"/>
      <c r="AY4780" s="7"/>
      <c r="BH4780" s="7"/>
      <c r="BQ4780" s="7"/>
      <c r="BZ4780" s="7"/>
    </row>
    <row r="4781" spans="2:78">
      <c r="B4781" s="7"/>
      <c r="O4781" s="7"/>
      <c r="X4781" s="7"/>
      <c r="AG4781" s="7"/>
      <c r="AP4781" s="7"/>
      <c r="AY4781" s="7"/>
      <c r="BH4781" s="7"/>
      <c r="BQ4781" s="7"/>
      <c r="BZ4781" s="7"/>
    </row>
    <row r="4782" spans="2:78">
      <c r="B4782" s="7"/>
      <c r="O4782" s="7"/>
      <c r="X4782" s="7"/>
      <c r="AG4782" s="7"/>
      <c r="AP4782" s="7"/>
      <c r="AY4782" s="7"/>
      <c r="BH4782" s="7"/>
      <c r="BQ4782" s="7"/>
      <c r="BZ4782" s="7"/>
    </row>
    <row r="4783" spans="2:78">
      <c r="B4783" s="7"/>
      <c r="O4783" s="7"/>
      <c r="X4783" s="7"/>
      <c r="AG4783" s="7"/>
      <c r="AP4783" s="7"/>
      <c r="AY4783" s="7"/>
      <c r="BH4783" s="7"/>
      <c r="BQ4783" s="7"/>
      <c r="BZ4783" s="7"/>
    </row>
    <row r="4784" spans="2:78">
      <c r="B4784" s="7"/>
      <c r="O4784" s="7"/>
      <c r="X4784" s="7"/>
      <c r="AG4784" s="7"/>
      <c r="AP4784" s="7"/>
      <c r="AY4784" s="7"/>
      <c r="BH4784" s="7"/>
      <c r="BQ4784" s="7"/>
      <c r="BZ4784" s="7"/>
    </row>
    <row r="4785" spans="2:78">
      <c r="B4785" s="7"/>
      <c r="O4785" s="7"/>
      <c r="X4785" s="7"/>
      <c r="AG4785" s="7"/>
      <c r="AP4785" s="7"/>
      <c r="AY4785" s="7"/>
      <c r="BH4785" s="7"/>
      <c r="BQ4785" s="7"/>
      <c r="BZ4785" s="7"/>
    </row>
    <row r="4786" spans="2:78">
      <c r="B4786" s="7"/>
      <c r="O4786" s="7"/>
      <c r="X4786" s="7"/>
      <c r="AG4786" s="7"/>
      <c r="AP4786" s="7"/>
      <c r="AY4786" s="7"/>
      <c r="BH4786" s="7"/>
      <c r="BQ4786" s="7"/>
      <c r="BZ4786" s="7"/>
    </row>
    <row r="4787" spans="2:78">
      <c r="B4787" s="7"/>
      <c r="O4787" s="7"/>
      <c r="X4787" s="7"/>
      <c r="AG4787" s="7"/>
      <c r="AP4787" s="7"/>
      <c r="AY4787" s="7"/>
      <c r="BH4787" s="7"/>
      <c r="BQ4787" s="7"/>
      <c r="BZ4787" s="7"/>
    </row>
    <row r="4788" spans="2:78">
      <c r="B4788" s="7"/>
      <c r="O4788" s="7"/>
      <c r="X4788" s="7"/>
      <c r="AG4788" s="7"/>
      <c r="AP4788" s="7"/>
      <c r="AY4788" s="7"/>
      <c r="BH4788" s="7"/>
      <c r="BQ4788" s="7"/>
      <c r="BZ4788" s="7"/>
    </row>
    <row r="4789" spans="2:78">
      <c r="B4789" s="7"/>
      <c r="O4789" s="7"/>
      <c r="X4789" s="7"/>
      <c r="AG4789" s="7"/>
      <c r="AP4789" s="7"/>
      <c r="AY4789" s="7"/>
      <c r="BH4789" s="7"/>
      <c r="BQ4789" s="7"/>
      <c r="BZ4789" s="7"/>
    </row>
    <row r="4790" spans="2:78">
      <c r="B4790" s="7"/>
      <c r="O4790" s="7"/>
      <c r="X4790" s="7"/>
      <c r="AG4790" s="7"/>
      <c r="AP4790" s="7"/>
      <c r="AY4790" s="7"/>
      <c r="BH4790" s="7"/>
      <c r="BQ4790" s="7"/>
      <c r="BZ4790" s="7"/>
    </row>
    <row r="4791" spans="2:78">
      <c r="B4791" s="7"/>
      <c r="O4791" s="7"/>
      <c r="X4791" s="7"/>
      <c r="AG4791" s="7"/>
      <c r="AP4791" s="7"/>
      <c r="AY4791" s="7"/>
      <c r="BH4791" s="7"/>
      <c r="BQ4791" s="7"/>
      <c r="BZ4791" s="7"/>
    </row>
    <row r="4792" spans="2:78">
      <c r="B4792" s="7"/>
      <c r="O4792" s="7"/>
      <c r="X4792" s="7"/>
      <c r="AG4792" s="7"/>
      <c r="AP4792" s="7"/>
      <c r="AY4792" s="7"/>
      <c r="BH4792" s="7"/>
      <c r="BQ4792" s="7"/>
      <c r="BZ4792" s="7"/>
    </row>
    <row r="4793" spans="2:78">
      <c r="B4793" s="7"/>
      <c r="O4793" s="7"/>
      <c r="X4793" s="7"/>
      <c r="AG4793" s="7"/>
      <c r="AP4793" s="7"/>
      <c r="AY4793" s="7"/>
      <c r="BH4793" s="7"/>
      <c r="BQ4793" s="7"/>
      <c r="BZ4793" s="7"/>
    </row>
    <row r="4794" spans="2:78">
      <c r="B4794" s="7"/>
      <c r="O4794" s="7"/>
      <c r="X4794" s="7"/>
      <c r="AG4794" s="7"/>
      <c r="AP4794" s="7"/>
      <c r="AY4794" s="7"/>
      <c r="BH4794" s="7"/>
      <c r="BQ4794" s="7"/>
      <c r="BZ4794" s="7"/>
    </row>
    <row r="4795" spans="2:78">
      <c r="B4795" s="7"/>
      <c r="O4795" s="7"/>
      <c r="X4795" s="7"/>
      <c r="AG4795" s="7"/>
      <c r="AP4795" s="7"/>
      <c r="AY4795" s="7"/>
      <c r="BH4795" s="7"/>
      <c r="BQ4795" s="7"/>
      <c r="BZ4795" s="7"/>
    </row>
    <row r="4796" spans="2:78">
      <c r="B4796" s="7"/>
      <c r="O4796" s="7"/>
      <c r="X4796" s="7"/>
      <c r="AG4796" s="7"/>
      <c r="AP4796" s="7"/>
      <c r="AY4796" s="7"/>
      <c r="BH4796" s="7"/>
      <c r="BQ4796" s="7"/>
      <c r="BZ4796" s="7"/>
    </row>
    <row r="4797" spans="2:78">
      <c r="B4797" s="7"/>
      <c r="O4797" s="7"/>
      <c r="X4797" s="7"/>
      <c r="AG4797" s="7"/>
      <c r="AP4797" s="7"/>
      <c r="AY4797" s="7"/>
      <c r="BH4797" s="7"/>
      <c r="BQ4797" s="7"/>
      <c r="BZ4797" s="7"/>
    </row>
    <row r="4798" spans="2:78">
      <c r="B4798" s="7"/>
      <c r="O4798" s="7"/>
      <c r="X4798" s="7"/>
      <c r="AG4798" s="7"/>
      <c r="AP4798" s="7"/>
      <c r="AY4798" s="7"/>
      <c r="BH4798" s="7"/>
      <c r="BQ4798" s="7"/>
      <c r="BZ4798" s="7"/>
    </row>
    <row r="4799" spans="2:78">
      <c r="B4799" s="7"/>
      <c r="O4799" s="7"/>
      <c r="X4799" s="7"/>
      <c r="AG4799" s="7"/>
      <c r="AP4799" s="7"/>
      <c r="AY4799" s="7"/>
      <c r="BH4799" s="7"/>
      <c r="BQ4799" s="7"/>
      <c r="BZ4799" s="7"/>
    </row>
    <row r="4800" spans="2:78">
      <c r="B4800" s="7"/>
      <c r="O4800" s="7"/>
      <c r="X4800" s="7"/>
      <c r="AG4800" s="7"/>
      <c r="AP4800" s="7"/>
      <c r="AY4800" s="7"/>
      <c r="BH4800" s="7"/>
      <c r="BQ4800" s="7"/>
      <c r="BZ4800" s="7"/>
    </row>
    <row r="4801" spans="2:78">
      <c r="B4801" s="7"/>
      <c r="O4801" s="7"/>
      <c r="X4801" s="7"/>
      <c r="AG4801" s="7"/>
      <c r="AP4801" s="7"/>
      <c r="AY4801" s="7"/>
      <c r="BH4801" s="7"/>
      <c r="BQ4801" s="7"/>
      <c r="BZ4801" s="7"/>
    </row>
    <row r="4802" spans="2:78">
      <c r="B4802" s="7"/>
      <c r="O4802" s="7"/>
      <c r="X4802" s="7"/>
      <c r="AG4802" s="7"/>
      <c r="AP4802" s="7"/>
      <c r="AY4802" s="7"/>
      <c r="BH4802" s="7"/>
      <c r="BQ4802" s="7"/>
      <c r="BZ4802" s="7"/>
    </row>
    <row r="4803" spans="2:78">
      <c r="B4803" s="7"/>
      <c r="O4803" s="7"/>
      <c r="X4803" s="7"/>
      <c r="AG4803" s="7"/>
      <c r="AP4803" s="7"/>
      <c r="AY4803" s="7"/>
      <c r="BH4803" s="7"/>
      <c r="BQ4803" s="7"/>
      <c r="BZ4803" s="7"/>
    </row>
    <row r="4804" spans="2:78">
      <c r="B4804" s="7"/>
      <c r="O4804" s="7"/>
      <c r="X4804" s="7"/>
      <c r="AG4804" s="7"/>
      <c r="AP4804" s="7"/>
      <c r="AY4804" s="7"/>
      <c r="BH4804" s="7"/>
      <c r="BQ4804" s="7"/>
      <c r="BZ4804" s="7"/>
    </row>
    <row r="4805" spans="2:78">
      <c r="B4805" s="7"/>
      <c r="O4805" s="7"/>
      <c r="X4805" s="7"/>
      <c r="AG4805" s="7"/>
      <c r="AP4805" s="7"/>
      <c r="AY4805" s="7"/>
      <c r="BH4805" s="7"/>
      <c r="BQ4805" s="7"/>
      <c r="BZ4805" s="7"/>
    </row>
    <row r="4806" spans="2:78">
      <c r="B4806" s="7"/>
      <c r="O4806" s="7"/>
      <c r="X4806" s="7"/>
      <c r="AG4806" s="7"/>
      <c r="AP4806" s="7"/>
      <c r="AY4806" s="7"/>
      <c r="BH4806" s="7"/>
      <c r="BQ4806" s="7"/>
      <c r="BZ4806" s="7"/>
    </row>
    <row r="4807" spans="2:78">
      <c r="B4807" s="7"/>
      <c r="O4807" s="7"/>
      <c r="X4807" s="7"/>
      <c r="AG4807" s="7"/>
      <c r="AP4807" s="7"/>
      <c r="AY4807" s="7"/>
      <c r="BH4807" s="7"/>
      <c r="BQ4807" s="7"/>
      <c r="BZ4807" s="7"/>
    </row>
    <row r="4808" spans="2:78">
      <c r="B4808" s="7"/>
      <c r="O4808" s="7"/>
      <c r="X4808" s="7"/>
      <c r="AG4808" s="7"/>
      <c r="AP4808" s="7"/>
      <c r="AY4808" s="7"/>
      <c r="BH4808" s="7"/>
      <c r="BQ4808" s="7"/>
      <c r="BZ4808" s="7"/>
    </row>
    <row r="4809" spans="2:78">
      <c r="B4809" s="7"/>
      <c r="O4809" s="7"/>
      <c r="X4809" s="7"/>
      <c r="AG4809" s="7"/>
      <c r="AP4809" s="7"/>
      <c r="AY4809" s="7"/>
      <c r="BH4809" s="7"/>
      <c r="BQ4809" s="7"/>
      <c r="BZ4809" s="7"/>
    </row>
    <row r="4810" spans="2:78">
      <c r="B4810" s="7"/>
      <c r="O4810" s="7"/>
      <c r="X4810" s="7"/>
      <c r="AG4810" s="7"/>
      <c r="AP4810" s="7"/>
      <c r="AY4810" s="7"/>
      <c r="BH4810" s="7"/>
      <c r="BQ4810" s="7"/>
      <c r="BZ4810" s="7"/>
    </row>
    <row r="4811" spans="2:78">
      <c r="B4811" s="7"/>
      <c r="O4811" s="7"/>
      <c r="X4811" s="7"/>
      <c r="AG4811" s="7"/>
      <c r="AP4811" s="7"/>
      <c r="AY4811" s="7"/>
      <c r="BH4811" s="7"/>
      <c r="BQ4811" s="7"/>
      <c r="BZ4811" s="7"/>
    </row>
    <row r="4812" spans="2:78">
      <c r="B4812" s="7"/>
      <c r="O4812" s="7"/>
      <c r="X4812" s="7"/>
      <c r="AG4812" s="7"/>
      <c r="AP4812" s="7"/>
      <c r="AY4812" s="7"/>
      <c r="BH4812" s="7"/>
      <c r="BQ4812" s="7"/>
      <c r="BZ4812" s="7"/>
    </row>
    <row r="4813" spans="2:78">
      <c r="B4813" s="7"/>
      <c r="O4813" s="7"/>
      <c r="X4813" s="7"/>
      <c r="AG4813" s="7"/>
      <c r="AP4813" s="7"/>
      <c r="AY4813" s="7"/>
      <c r="BH4813" s="7"/>
      <c r="BQ4813" s="7"/>
      <c r="BZ4813" s="7"/>
    </row>
    <row r="4814" spans="2:78">
      <c r="B4814" s="7"/>
      <c r="O4814" s="7"/>
      <c r="X4814" s="7"/>
      <c r="AG4814" s="7"/>
      <c r="AP4814" s="7"/>
      <c r="AY4814" s="7"/>
      <c r="BH4814" s="7"/>
      <c r="BQ4814" s="7"/>
      <c r="BZ4814" s="7"/>
    </row>
    <row r="4815" spans="2:78">
      <c r="B4815" s="7"/>
      <c r="O4815" s="7"/>
      <c r="X4815" s="7"/>
      <c r="AG4815" s="7"/>
      <c r="AP4815" s="7"/>
      <c r="AY4815" s="7"/>
      <c r="BH4815" s="7"/>
      <c r="BQ4815" s="7"/>
      <c r="BZ4815" s="7"/>
    </row>
    <row r="4816" spans="2:78">
      <c r="B4816" s="7"/>
      <c r="O4816" s="7"/>
      <c r="X4816" s="7"/>
      <c r="AG4816" s="7"/>
      <c r="AP4816" s="7"/>
      <c r="AY4816" s="7"/>
      <c r="BH4816" s="7"/>
      <c r="BQ4816" s="7"/>
      <c r="BZ4816" s="7"/>
    </row>
    <row r="4817" spans="2:78">
      <c r="B4817" s="7"/>
      <c r="O4817" s="7"/>
      <c r="X4817" s="7"/>
      <c r="AG4817" s="7"/>
      <c r="AP4817" s="7"/>
      <c r="AY4817" s="7"/>
      <c r="BH4817" s="7"/>
      <c r="BQ4817" s="7"/>
      <c r="BZ4817" s="7"/>
    </row>
    <row r="4818" spans="2:78">
      <c r="B4818" s="7"/>
      <c r="O4818" s="7"/>
      <c r="X4818" s="7"/>
      <c r="AG4818" s="7"/>
      <c r="AP4818" s="7"/>
      <c r="AY4818" s="7"/>
      <c r="BH4818" s="7"/>
      <c r="BQ4818" s="7"/>
      <c r="BZ4818" s="7"/>
    </row>
    <row r="4819" spans="2:78">
      <c r="B4819" s="7"/>
      <c r="O4819" s="7"/>
      <c r="X4819" s="7"/>
      <c r="AG4819" s="7"/>
      <c r="AP4819" s="7"/>
      <c r="AY4819" s="7"/>
      <c r="BH4819" s="7"/>
      <c r="BQ4819" s="7"/>
      <c r="BZ4819" s="7"/>
    </row>
    <row r="4820" spans="2:78">
      <c r="B4820" s="7"/>
      <c r="O4820" s="7"/>
      <c r="X4820" s="7"/>
      <c r="AG4820" s="7"/>
      <c r="AP4820" s="7"/>
      <c r="AY4820" s="7"/>
      <c r="BH4820" s="7"/>
      <c r="BQ4820" s="7"/>
      <c r="BZ4820" s="7"/>
    </row>
    <row r="4821" spans="2:78">
      <c r="B4821" s="7"/>
      <c r="O4821" s="7"/>
      <c r="X4821" s="7"/>
      <c r="AG4821" s="7"/>
      <c r="AP4821" s="7"/>
      <c r="AY4821" s="7"/>
      <c r="BH4821" s="7"/>
      <c r="BQ4821" s="7"/>
      <c r="BZ4821" s="7"/>
    </row>
    <row r="4822" spans="2:78">
      <c r="B4822" s="7"/>
      <c r="O4822" s="7"/>
      <c r="X4822" s="7"/>
      <c r="AG4822" s="7"/>
      <c r="AP4822" s="7"/>
      <c r="AY4822" s="7"/>
      <c r="BH4822" s="7"/>
      <c r="BQ4822" s="7"/>
      <c r="BZ4822" s="7"/>
    </row>
    <row r="4823" spans="2:78">
      <c r="B4823" s="7"/>
      <c r="O4823" s="7"/>
      <c r="X4823" s="7"/>
      <c r="AG4823" s="7"/>
      <c r="AP4823" s="7"/>
      <c r="AY4823" s="7"/>
      <c r="BH4823" s="7"/>
      <c r="BQ4823" s="7"/>
      <c r="BZ4823" s="7"/>
    </row>
    <row r="4824" spans="2:78">
      <c r="B4824" s="7"/>
      <c r="O4824" s="7"/>
      <c r="X4824" s="7"/>
      <c r="AG4824" s="7"/>
      <c r="AP4824" s="7"/>
      <c r="AY4824" s="7"/>
      <c r="BH4824" s="7"/>
      <c r="BQ4824" s="7"/>
      <c r="BZ4824" s="7"/>
    </row>
    <row r="4825" spans="2:78">
      <c r="B4825" s="7"/>
      <c r="O4825" s="7"/>
      <c r="X4825" s="7"/>
      <c r="AG4825" s="7"/>
      <c r="AP4825" s="7"/>
      <c r="AY4825" s="7"/>
      <c r="BH4825" s="7"/>
      <c r="BQ4825" s="7"/>
      <c r="BZ4825" s="7"/>
    </row>
    <row r="4826" spans="2:78">
      <c r="B4826" s="7"/>
      <c r="O4826" s="7"/>
      <c r="X4826" s="7"/>
      <c r="AG4826" s="7"/>
      <c r="AP4826" s="7"/>
      <c r="AY4826" s="7"/>
      <c r="BH4826" s="7"/>
      <c r="BQ4826" s="7"/>
      <c r="BZ4826" s="7"/>
    </row>
    <row r="4827" spans="2:78">
      <c r="B4827" s="7"/>
      <c r="O4827" s="7"/>
      <c r="X4827" s="7"/>
      <c r="AG4827" s="7"/>
      <c r="AP4827" s="7"/>
      <c r="AY4827" s="7"/>
      <c r="BH4827" s="7"/>
      <c r="BQ4827" s="7"/>
      <c r="BZ4827" s="7"/>
    </row>
    <row r="4828" spans="2:78">
      <c r="B4828" s="7"/>
      <c r="O4828" s="7"/>
      <c r="X4828" s="7"/>
      <c r="AG4828" s="7"/>
      <c r="AP4828" s="7"/>
      <c r="AY4828" s="7"/>
      <c r="BH4828" s="7"/>
      <c r="BQ4828" s="7"/>
      <c r="BZ4828" s="7"/>
    </row>
    <row r="4829" spans="2:78">
      <c r="B4829" s="7"/>
      <c r="O4829" s="7"/>
      <c r="X4829" s="7"/>
      <c r="AG4829" s="7"/>
      <c r="AP4829" s="7"/>
      <c r="AY4829" s="7"/>
      <c r="BH4829" s="7"/>
      <c r="BQ4829" s="7"/>
      <c r="BZ4829" s="7"/>
    </row>
    <row r="4830" spans="2:78">
      <c r="B4830" s="7"/>
      <c r="O4830" s="7"/>
      <c r="X4830" s="7"/>
      <c r="AG4830" s="7"/>
      <c r="AP4830" s="7"/>
      <c r="AY4830" s="7"/>
      <c r="BH4830" s="7"/>
      <c r="BQ4830" s="7"/>
      <c r="BZ4830" s="7"/>
    </row>
    <row r="4831" spans="2:78">
      <c r="B4831" s="7"/>
      <c r="O4831" s="7"/>
      <c r="X4831" s="7"/>
      <c r="AG4831" s="7"/>
      <c r="AP4831" s="7"/>
      <c r="AY4831" s="7"/>
      <c r="BH4831" s="7"/>
      <c r="BQ4831" s="7"/>
      <c r="BZ4831" s="7"/>
    </row>
    <row r="4832" spans="2:78">
      <c r="B4832" s="7"/>
      <c r="O4832" s="7"/>
      <c r="X4832" s="7"/>
      <c r="AG4832" s="7"/>
      <c r="AP4832" s="7"/>
      <c r="AY4832" s="7"/>
      <c r="BH4832" s="7"/>
      <c r="BQ4832" s="7"/>
      <c r="BZ4832" s="7"/>
    </row>
    <row r="4833" spans="2:78">
      <c r="B4833" s="7"/>
      <c r="O4833" s="7"/>
      <c r="X4833" s="7"/>
      <c r="AG4833" s="7"/>
      <c r="AP4833" s="7"/>
      <c r="AY4833" s="7"/>
      <c r="BH4833" s="7"/>
      <c r="BQ4833" s="7"/>
      <c r="BZ4833" s="7"/>
    </row>
    <row r="4834" spans="2:78">
      <c r="B4834" s="7"/>
      <c r="O4834" s="7"/>
      <c r="X4834" s="7"/>
      <c r="AG4834" s="7"/>
      <c r="AP4834" s="7"/>
      <c r="AY4834" s="7"/>
      <c r="BH4834" s="7"/>
      <c r="BQ4834" s="7"/>
      <c r="BZ4834" s="7"/>
    </row>
    <row r="4835" spans="2:78">
      <c r="B4835" s="7"/>
      <c r="O4835" s="7"/>
      <c r="X4835" s="7"/>
      <c r="AG4835" s="7"/>
      <c r="AP4835" s="7"/>
      <c r="AY4835" s="7"/>
      <c r="BH4835" s="7"/>
      <c r="BQ4835" s="7"/>
      <c r="BZ4835" s="7"/>
    </row>
    <row r="4836" spans="2:78">
      <c r="B4836" s="7"/>
      <c r="O4836" s="7"/>
      <c r="X4836" s="7"/>
      <c r="AG4836" s="7"/>
      <c r="AP4836" s="7"/>
      <c r="AY4836" s="7"/>
      <c r="BH4836" s="7"/>
      <c r="BQ4836" s="7"/>
      <c r="BZ4836" s="7"/>
    </row>
    <row r="4837" spans="2:78">
      <c r="B4837" s="7"/>
      <c r="O4837" s="7"/>
      <c r="X4837" s="7"/>
      <c r="AG4837" s="7"/>
      <c r="AP4837" s="7"/>
      <c r="AY4837" s="7"/>
      <c r="BH4837" s="7"/>
      <c r="BQ4837" s="7"/>
      <c r="BZ4837" s="7"/>
    </row>
    <row r="4838" spans="2:78">
      <c r="B4838" s="7"/>
      <c r="O4838" s="7"/>
      <c r="X4838" s="7"/>
      <c r="AG4838" s="7"/>
      <c r="AP4838" s="7"/>
      <c r="AY4838" s="7"/>
      <c r="BH4838" s="7"/>
      <c r="BQ4838" s="7"/>
      <c r="BZ4838" s="7"/>
    </row>
    <row r="4839" spans="2:78">
      <c r="B4839" s="7"/>
      <c r="O4839" s="7"/>
      <c r="X4839" s="7"/>
      <c r="AG4839" s="7"/>
      <c r="AP4839" s="7"/>
      <c r="AY4839" s="7"/>
      <c r="BH4839" s="7"/>
      <c r="BQ4839" s="7"/>
      <c r="BZ4839" s="7"/>
    </row>
    <row r="4840" spans="2:78">
      <c r="B4840" s="7"/>
      <c r="O4840" s="7"/>
      <c r="X4840" s="7"/>
      <c r="AG4840" s="7"/>
      <c r="AP4840" s="7"/>
      <c r="AY4840" s="7"/>
      <c r="BH4840" s="7"/>
      <c r="BQ4840" s="7"/>
      <c r="BZ4840" s="7"/>
    </row>
    <row r="4841" spans="2:78">
      <c r="B4841" s="7"/>
      <c r="O4841" s="7"/>
      <c r="X4841" s="7"/>
      <c r="AG4841" s="7"/>
      <c r="AP4841" s="7"/>
      <c r="AY4841" s="7"/>
      <c r="BH4841" s="7"/>
      <c r="BQ4841" s="7"/>
      <c r="BZ4841" s="7"/>
    </row>
    <row r="4842" spans="2:78">
      <c r="B4842" s="7"/>
      <c r="O4842" s="7"/>
      <c r="X4842" s="7"/>
      <c r="AG4842" s="7"/>
      <c r="AP4842" s="7"/>
      <c r="AY4842" s="7"/>
      <c r="BH4842" s="7"/>
      <c r="BQ4842" s="7"/>
      <c r="BZ4842" s="7"/>
    </row>
    <row r="4843" spans="2:78">
      <c r="B4843" s="7"/>
      <c r="O4843" s="7"/>
      <c r="X4843" s="7"/>
      <c r="AG4843" s="7"/>
      <c r="AP4843" s="7"/>
      <c r="AY4843" s="7"/>
      <c r="BH4843" s="7"/>
      <c r="BQ4843" s="7"/>
      <c r="BZ4843" s="7"/>
    </row>
    <row r="4844" spans="2:78">
      <c r="B4844" s="7"/>
      <c r="O4844" s="7"/>
      <c r="X4844" s="7"/>
      <c r="AG4844" s="7"/>
      <c r="AP4844" s="7"/>
      <c r="AY4844" s="7"/>
      <c r="BH4844" s="7"/>
      <c r="BQ4844" s="7"/>
      <c r="BZ4844" s="7"/>
    </row>
    <row r="4845" spans="2:78">
      <c r="B4845" s="7"/>
      <c r="O4845" s="7"/>
      <c r="X4845" s="7"/>
      <c r="AG4845" s="7"/>
      <c r="AP4845" s="7"/>
      <c r="AY4845" s="7"/>
      <c r="BH4845" s="7"/>
      <c r="BQ4845" s="7"/>
      <c r="BZ4845" s="7"/>
    </row>
    <row r="4846" spans="2:78">
      <c r="B4846" s="7"/>
      <c r="O4846" s="7"/>
      <c r="X4846" s="7"/>
      <c r="AG4846" s="7"/>
      <c r="AP4846" s="7"/>
      <c r="AY4846" s="7"/>
      <c r="BH4846" s="7"/>
      <c r="BQ4846" s="7"/>
      <c r="BZ4846" s="7"/>
    </row>
    <row r="4847" spans="2:78">
      <c r="B4847" s="7"/>
      <c r="O4847" s="7"/>
      <c r="X4847" s="7"/>
      <c r="AG4847" s="7"/>
      <c r="AP4847" s="7"/>
      <c r="AY4847" s="7"/>
      <c r="BH4847" s="7"/>
      <c r="BQ4847" s="7"/>
      <c r="BZ4847" s="7"/>
    </row>
    <row r="4848" spans="2:78">
      <c r="B4848" s="7"/>
      <c r="O4848" s="7"/>
      <c r="X4848" s="7"/>
      <c r="AG4848" s="7"/>
      <c r="AP4848" s="7"/>
      <c r="AY4848" s="7"/>
      <c r="BH4848" s="7"/>
      <c r="BQ4848" s="7"/>
      <c r="BZ4848" s="7"/>
    </row>
    <row r="4849" spans="2:78">
      <c r="B4849" s="7"/>
      <c r="O4849" s="7"/>
      <c r="X4849" s="7"/>
      <c r="AG4849" s="7"/>
      <c r="AP4849" s="7"/>
      <c r="AY4849" s="7"/>
      <c r="BH4849" s="7"/>
      <c r="BQ4849" s="7"/>
      <c r="BZ4849" s="7"/>
    </row>
    <row r="4850" spans="2:78">
      <c r="B4850" s="7"/>
      <c r="O4850" s="7"/>
      <c r="X4850" s="7"/>
      <c r="AG4850" s="7"/>
      <c r="AP4850" s="7"/>
      <c r="AY4850" s="7"/>
      <c r="BH4850" s="7"/>
      <c r="BQ4850" s="7"/>
      <c r="BZ4850" s="7"/>
    </row>
    <row r="4851" spans="2:78">
      <c r="B4851" s="7"/>
      <c r="O4851" s="7"/>
      <c r="X4851" s="7"/>
      <c r="AG4851" s="7"/>
      <c r="AP4851" s="7"/>
      <c r="AY4851" s="7"/>
      <c r="BH4851" s="7"/>
      <c r="BQ4851" s="7"/>
      <c r="BZ4851" s="7"/>
    </row>
    <row r="4852" spans="2:78">
      <c r="B4852" s="7"/>
      <c r="O4852" s="7"/>
      <c r="X4852" s="7"/>
      <c r="AG4852" s="7"/>
      <c r="AP4852" s="7"/>
      <c r="AY4852" s="7"/>
      <c r="BH4852" s="7"/>
      <c r="BQ4852" s="7"/>
      <c r="BZ4852" s="7"/>
    </row>
    <row r="4853" spans="2:78">
      <c r="B4853" s="7"/>
      <c r="O4853" s="7"/>
      <c r="X4853" s="7"/>
      <c r="AG4853" s="7"/>
      <c r="AP4853" s="7"/>
      <c r="AY4853" s="7"/>
      <c r="BH4853" s="7"/>
      <c r="BQ4853" s="7"/>
      <c r="BZ4853" s="7"/>
    </row>
    <row r="4854" spans="2:78">
      <c r="B4854" s="7"/>
      <c r="O4854" s="7"/>
      <c r="X4854" s="7"/>
      <c r="AG4854" s="7"/>
      <c r="AP4854" s="7"/>
      <c r="AY4854" s="7"/>
      <c r="BH4854" s="7"/>
      <c r="BQ4854" s="7"/>
      <c r="BZ4854" s="7"/>
    </row>
    <row r="4855" spans="2:78">
      <c r="B4855" s="7"/>
      <c r="O4855" s="7"/>
      <c r="X4855" s="7"/>
      <c r="AG4855" s="7"/>
      <c r="AP4855" s="7"/>
      <c r="AY4855" s="7"/>
      <c r="BH4855" s="7"/>
      <c r="BQ4855" s="7"/>
      <c r="BZ4855" s="7"/>
    </row>
    <row r="4856" spans="2:78">
      <c r="B4856" s="7"/>
      <c r="O4856" s="7"/>
      <c r="X4856" s="7"/>
      <c r="AG4856" s="7"/>
      <c r="AP4856" s="7"/>
      <c r="AY4856" s="7"/>
      <c r="BH4856" s="7"/>
      <c r="BQ4856" s="7"/>
      <c r="BZ4856" s="7"/>
    </row>
    <row r="4857" spans="2:78">
      <c r="B4857" s="7"/>
      <c r="O4857" s="7"/>
      <c r="X4857" s="7"/>
      <c r="AG4857" s="7"/>
      <c r="AP4857" s="7"/>
      <c r="AY4857" s="7"/>
      <c r="BH4857" s="7"/>
      <c r="BQ4857" s="7"/>
      <c r="BZ4857" s="7"/>
    </row>
    <row r="4858" spans="2:78">
      <c r="B4858" s="7"/>
      <c r="O4858" s="7"/>
      <c r="X4858" s="7"/>
      <c r="AG4858" s="7"/>
      <c r="AP4858" s="7"/>
      <c r="AY4858" s="7"/>
      <c r="BH4858" s="7"/>
      <c r="BQ4858" s="7"/>
      <c r="BZ4858" s="7"/>
    </row>
    <row r="4859" spans="2:78">
      <c r="B4859" s="7"/>
      <c r="O4859" s="7"/>
      <c r="X4859" s="7"/>
      <c r="AG4859" s="7"/>
      <c r="AP4859" s="7"/>
      <c r="AY4859" s="7"/>
      <c r="BH4859" s="7"/>
      <c r="BQ4859" s="7"/>
      <c r="BZ4859" s="7"/>
    </row>
    <row r="4860" spans="2:78">
      <c r="B4860" s="7"/>
      <c r="O4860" s="7"/>
      <c r="X4860" s="7"/>
      <c r="AG4860" s="7"/>
      <c r="AP4860" s="7"/>
      <c r="AY4860" s="7"/>
      <c r="BH4860" s="7"/>
      <c r="BQ4860" s="7"/>
      <c r="BZ4860" s="7"/>
    </row>
    <row r="4861" spans="2:78">
      <c r="B4861" s="7"/>
      <c r="O4861" s="7"/>
      <c r="X4861" s="7"/>
      <c r="AG4861" s="7"/>
      <c r="AP4861" s="7"/>
      <c r="AY4861" s="7"/>
      <c r="BH4861" s="7"/>
      <c r="BQ4861" s="7"/>
      <c r="BZ4861" s="7"/>
    </row>
    <row r="4862" spans="2:78">
      <c r="B4862" s="7"/>
      <c r="O4862" s="7"/>
      <c r="X4862" s="7"/>
      <c r="AG4862" s="7"/>
      <c r="AP4862" s="7"/>
      <c r="AY4862" s="7"/>
      <c r="BH4862" s="7"/>
      <c r="BQ4862" s="7"/>
      <c r="BZ4862" s="7"/>
    </row>
    <row r="4863" spans="2:78">
      <c r="B4863" s="7"/>
      <c r="O4863" s="7"/>
      <c r="X4863" s="7"/>
      <c r="AG4863" s="7"/>
      <c r="AP4863" s="7"/>
      <c r="AY4863" s="7"/>
      <c r="BH4863" s="7"/>
      <c r="BQ4863" s="7"/>
      <c r="BZ4863" s="7"/>
    </row>
    <row r="4864" spans="2:78">
      <c r="B4864" s="7"/>
      <c r="O4864" s="7"/>
      <c r="X4864" s="7"/>
      <c r="AG4864" s="7"/>
      <c r="AP4864" s="7"/>
      <c r="AY4864" s="7"/>
      <c r="BH4864" s="7"/>
      <c r="BQ4864" s="7"/>
      <c r="BZ4864" s="7"/>
    </row>
    <row r="4865" spans="2:78">
      <c r="B4865" s="7"/>
      <c r="O4865" s="7"/>
      <c r="X4865" s="7"/>
      <c r="AG4865" s="7"/>
      <c r="AP4865" s="7"/>
      <c r="AY4865" s="7"/>
      <c r="BH4865" s="7"/>
      <c r="BQ4865" s="7"/>
      <c r="BZ4865" s="7"/>
    </row>
    <row r="4866" spans="2:78">
      <c r="B4866" s="7"/>
      <c r="O4866" s="7"/>
      <c r="X4866" s="7"/>
      <c r="AG4866" s="7"/>
      <c r="AP4866" s="7"/>
      <c r="AY4866" s="7"/>
      <c r="BH4866" s="7"/>
      <c r="BQ4866" s="7"/>
      <c r="BZ4866" s="7"/>
    </row>
    <row r="4867" spans="2:78">
      <c r="B4867" s="7"/>
      <c r="O4867" s="7"/>
      <c r="X4867" s="7"/>
      <c r="AG4867" s="7"/>
      <c r="AP4867" s="7"/>
      <c r="AY4867" s="7"/>
      <c r="BH4867" s="7"/>
      <c r="BQ4867" s="7"/>
      <c r="BZ4867" s="7"/>
    </row>
    <row r="4868" spans="2:78">
      <c r="B4868" s="7"/>
      <c r="O4868" s="7"/>
      <c r="X4868" s="7"/>
      <c r="AG4868" s="7"/>
      <c r="AP4868" s="7"/>
      <c r="AY4868" s="7"/>
      <c r="BH4868" s="7"/>
      <c r="BQ4868" s="7"/>
      <c r="BZ4868" s="7"/>
    </row>
    <row r="4869" spans="2:78">
      <c r="B4869" s="7"/>
      <c r="O4869" s="7"/>
      <c r="X4869" s="7"/>
      <c r="AG4869" s="7"/>
      <c r="AP4869" s="7"/>
      <c r="AY4869" s="7"/>
      <c r="BH4869" s="7"/>
      <c r="BQ4869" s="7"/>
      <c r="BZ4869" s="7"/>
    </row>
    <row r="4870" spans="2:78">
      <c r="B4870" s="7"/>
      <c r="O4870" s="7"/>
      <c r="X4870" s="7"/>
      <c r="AG4870" s="7"/>
      <c r="AP4870" s="7"/>
      <c r="AY4870" s="7"/>
      <c r="BH4870" s="7"/>
      <c r="BQ4870" s="7"/>
      <c r="BZ4870" s="7"/>
    </row>
    <row r="4871" spans="2:78">
      <c r="B4871" s="7"/>
      <c r="O4871" s="7"/>
      <c r="X4871" s="7"/>
      <c r="AG4871" s="7"/>
      <c r="AP4871" s="7"/>
      <c r="AY4871" s="7"/>
      <c r="BH4871" s="7"/>
      <c r="BQ4871" s="7"/>
      <c r="BZ4871" s="7"/>
    </row>
    <row r="4872" spans="2:78">
      <c r="B4872" s="7"/>
      <c r="O4872" s="7"/>
      <c r="X4872" s="7"/>
      <c r="AG4872" s="7"/>
      <c r="AP4872" s="7"/>
      <c r="AY4872" s="7"/>
      <c r="BH4872" s="7"/>
      <c r="BQ4872" s="7"/>
      <c r="BZ4872" s="7"/>
    </row>
    <row r="4873" spans="2:78">
      <c r="B4873" s="7"/>
      <c r="O4873" s="7"/>
      <c r="X4873" s="7"/>
      <c r="AG4873" s="7"/>
      <c r="AP4873" s="7"/>
      <c r="AY4873" s="7"/>
      <c r="BH4873" s="7"/>
      <c r="BQ4873" s="7"/>
      <c r="BZ4873" s="7"/>
    </row>
    <row r="4874" spans="2:78">
      <c r="B4874" s="7"/>
      <c r="O4874" s="7"/>
      <c r="X4874" s="7"/>
      <c r="AG4874" s="7"/>
      <c r="AP4874" s="7"/>
      <c r="AY4874" s="7"/>
      <c r="BH4874" s="7"/>
      <c r="BQ4874" s="7"/>
      <c r="BZ4874" s="7"/>
    </row>
    <row r="4875" spans="2:78">
      <c r="B4875" s="7"/>
      <c r="O4875" s="7"/>
      <c r="X4875" s="7"/>
      <c r="AG4875" s="7"/>
      <c r="AP4875" s="7"/>
      <c r="AY4875" s="7"/>
      <c r="BH4875" s="7"/>
      <c r="BQ4875" s="7"/>
      <c r="BZ4875" s="7"/>
    </row>
    <row r="4876" spans="2:78">
      <c r="B4876" s="7"/>
      <c r="O4876" s="7"/>
      <c r="X4876" s="7"/>
      <c r="AG4876" s="7"/>
      <c r="AP4876" s="7"/>
      <c r="AY4876" s="7"/>
      <c r="BH4876" s="7"/>
      <c r="BQ4876" s="7"/>
      <c r="BZ4876" s="7"/>
    </row>
    <row r="4877" spans="2:78">
      <c r="B4877" s="7"/>
      <c r="O4877" s="7"/>
      <c r="X4877" s="7"/>
      <c r="AG4877" s="7"/>
      <c r="AP4877" s="7"/>
      <c r="AY4877" s="7"/>
      <c r="BH4877" s="7"/>
      <c r="BQ4877" s="7"/>
      <c r="BZ4877" s="7"/>
    </row>
    <row r="4878" spans="2:78">
      <c r="B4878" s="7"/>
      <c r="O4878" s="7"/>
      <c r="X4878" s="7"/>
      <c r="AG4878" s="7"/>
      <c r="AP4878" s="7"/>
      <c r="AY4878" s="7"/>
      <c r="BH4878" s="7"/>
      <c r="BQ4878" s="7"/>
      <c r="BZ4878" s="7"/>
    </row>
    <row r="4879" spans="2:78">
      <c r="B4879" s="7"/>
      <c r="O4879" s="7"/>
      <c r="X4879" s="7"/>
      <c r="AG4879" s="7"/>
      <c r="AP4879" s="7"/>
      <c r="AY4879" s="7"/>
      <c r="BH4879" s="7"/>
      <c r="BQ4879" s="7"/>
      <c r="BZ4879" s="7"/>
    </row>
    <row r="4880" spans="2:78">
      <c r="B4880" s="7"/>
      <c r="O4880" s="7"/>
      <c r="X4880" s="7"/>
      <c r="AG4880" s="7"/>
      <c r="AP4880" s="7"/>
      <c r="AY4880" s="7"/>
      <c r="BH4880" s="7"/>
      <c r="BQ4880" s="7"/>
      <c r="BZ4880" s="7"/>
    </row>
    <row r="4881" spans="2:78">
      <c r="B4881" s="7"/>
      <c r="O4881" s="7"/>
      <c r="X4881" s="7"/>
      <c r="AG4881" s="7"/>
      <c r="AP4881" s="7"/>
      <c r="AY4881" s="7"/>
      <c r="BH4881" s="7"/>
      <c r="BQ4881" s="7"/>
      <c r="BZ4881" s="7"/>
    </row>
    <row r="4882" spans="2:78">
      <c r="B4882" s="7"/>
      <c r="O4882" s="7"/>
      <c r="X4882" s="7"/>
      <c r="AG4882" s="7"/>
      <c r="AP4882" s="7"/>
      <c r="AY4882" s="7"/>
      <c r="BH4882" s="7"/>
      <c r="BQ4882" s="7"/>
      <c r="BZ4882" s="7"/>
    </row>
    <row r="4883" spans="2:78">
      <c r="B4883" s="7"/>
      <c r="O4883" s="7"/>
      <c r="X4883" s="7"/>
      <c r="AG4883" s="7"/>
      <c r="AP4883" s="7"/>
      <c r="AY4883" s="7"/>
      <c r="BH4883" s="7"/>
      <c r="BQ4883" s="7"/>
      <c r="BZ4883" s="7"/>
    </row>
    <row r="4884" spans="2:78">
      <c r="B4884" s="7"/>
      <c r="O4884" s="7"/>
      <c r="X4884" s="7"/>
      <c r="AG4884" s="7"/>
      <c r="AP4884" s="7"/>
      <c r="AY4884" s="7"/>
      <c r="BH4884" s="7"/>
      <c r="BQ4884" s="7"/>
      <c r="BZ4884" s="7"/>
    </row>
    <row r="4885" spans="2:78">
      <c r="B4885" s="7"/>
      <c r="O4885" s="7"/>
      <c r="X4885" s="7"/>
      <c r="AG4885" s="7"/>
      <c r="AP4885" s="7"/>
      <c r="AY4885" s="7"/>
      <c r="BH4885" s="7"/>
      <c r="BQ4885" s="7"/>
      <c r="BZ4885" s="7"/>
    </row>
    <row r="4886" spans="2:78">
      <c r="B4886" s="7"/>
      <c r="O4886" s="7"/>
      <c r="X4886" s="7"/>
      <c r="AG4886" s="7"/>
      <c r="AP4886" s="7"/>
      <c r="AY4886" s="7"/>
      <c r="BH4886" s="7"/>
      <c r="BQ4886" s="7"/>
      <c r="BZ4886" s="7"/>
    </row>
    <row r="4887" spans="2:78">
      <c r="B4887" s="7"/>
      <c r="O4887" s="7"/>
      <c r="X4887" s="7"/>
      <c r="AG4887" s="7"/>
      <c r="AP4887" s="7"/>
      <c r="AY4887" s="7"/>
      <c r="BH4887" s="7"/>
      <c r="BQ4887" s="7"/>
      <c r="BZ4887" s="7"/>
    </row>
    <row r="4888" spans="2:78">
      <c r="B4888" s="7"/>
      <c r="O4888" s="7"/>
      <c r="X4888" s="7"/>
      <c r="AG4888" s="7"/>
      <c r="AP4888" s="7"/>
      <c r="AY4888" s="7"/>
      <c r="BH4888" s="7"/>
      <c r="BQ4888" s="7"/>
      <c r="BZ4888" s="7"/>
    </row>
    <row r="4889" spans="2:78">
      <c r="B4889" s="7"/>
      <c r="O4889" s="7"/>
      <c r="X4889" s="7"/>
      <c r="AG4889" s="7"/>
      <c r="AP4889" s="7"/>
      <c r="AY4889" s="7"/>
      <c r="BH4889" s="7"/>
      <c r="BQ4889" s="7"/>
      <c r="BZ4889" s="7"/>
    </row>
    <row r="4890" spans="2:78">
      <c r="B4890" s="7"/>
      <c r="O4890" s="7"/>
      <c r="X4890" s="7"/>
      <c r="AG4890" s="7"/>
      <c r="AP4890" s="7"/>
      <c r="AY4890" s="7"/>
      <c r="BH4890" s="7"/>
      <c r="BQ4890" s="7"/>
      <c r="BZ4890" s="7"/>
    </row>
    <row r="4891" spans="2:78">
      <c r="B4891" s="7"/>
      <c r="O4891" s="7"/>
      <c r="X4891" s="7"/>
      <c r="AG4891" s="7"/>
      <c r="AP4891" s="7"/>
      <c r="AY4891" s="7"/>
      <c r="BH4891" s="7"/>
      <c r="BQ4891" s="7"/>
      <c r="BZ4891" s="7"/>
    </row>
    <row r="4892" spans="2:78">
      <c r="B4892" s="7"/>
      <c r="O4892" s="7"/>
      <c r="X4892" s="7"/>
      <c r="AG4892" s="7"/>
      <c r="AP4892" s="7"/>
      <c r="AY4892" s="7"/>
      <c r="BH4892" s="7"/>
      <c r="BQ4892" s="7"/>
      <c r="BZ4892" s="7"/>
    </row>
    <row r="4893" spans="2:78">
      <c r="B4893" s="7"/>
      <c r="O4893" s="7"/>
      <c r="X4893" s="7"/>
      <c r="AG4893" s="7"/>
      <c r="AP4893" s="7"/>
      <c r="AY4893" s="7"/>
      <c r="BH4893" s="7"/>
      <c r="BQ4893" s="7"/>
      <c r="BZ4893" s="7"/>
    </row>
    <row r="4894" spans="2:78">
      <c r="B4894" s="7"/>
      <c r="O4894" s="7"/>
      <c r="X4894" s="7"/>
      <c r="AG4894" s="7"/>
      <c r="AP4894" s="7"/>
      <c r="AY4894" s="7"/>
      <c r="BH4894" s="7"/>
      <c r="BQ4894" s="7"/>
      <c r="BZ4894" s="7"/>
    </row>
    <row r="4895" spans="2:78">
      <c r="B4895" s="7"/>
      <c r="O4895" s="7"/>
      <c r="X4895" s="7"/>
      <c r="AG4895" s="7"/>
      <c r="AP4895" s="7"/>
      <c r="AY4895" s="7"/>
      <c r="BH4895" s="7"/>
      <c r="BQ4895" s="7"/>
      <c r="BZ4895" s="7"/>
    </row>
    <row r="4896" spans="2:78">
      <c r="B4896" s="7"/>
      <c r="O4896" s="7"/>
      <c r="X4896" s="7"/>
      <c r="AG4896" s="7"/>
      <c r="AP4896" s="7"/>
      <c r="AY4896" s="7"/>
      <c r="BH4896" s="7"/>
      <c r="BQ4896" s="7"/>
      <c r="BZ4896" s="7"/>
    </row>
    <row r="4897" spans="2:78">
      <c r="B4897" s="7"/>
      <c r="O4897" s="7"/>
      <c r="X4897" s="7"/>
      <c r="AG4897" s="7"/>
      <c r="AP4897" s="7"/>
      <c r="AY4897" s="7"/>
      <c r="BH4897" s="7"/>
      <c r="BQ4897" s="7"/>
      <c r="BZ4897" s="7"/>
    </row>
    <row r="4898" spans="2:78">
      <c r="B4898" s="7"/>
      <c r="O4898" s="7"/>
      <c r="X4898" s="7"/>
      <c r="AG4898" s="7"/>
      <c r="AP4898" s="7"/>
      <c r="AY4898" s="7"/>
      <c r="BH4898" s="7"/>
      <c r="BQ4898" s="7"/>
      <c r="BZ4898" s="7"/>
    </row>
    <row r="4899" spans="2:78">
      <c r="B4899" s="7"/>
      <c r="O4899" s="7"/>
      <c r="X4899" s="7"/>
      <c r="AG4899" s="7"/>
      <c r="AP4899" s="7"/>
      <c r="AY4899" s="7"/>
      <c r="BH4899" s="7"/>
      <c r="BQ4899" s="7"/>
      <c r="BZ4899" s="7"/>
    </row>
    <row r="4900" spans="2:78">
      <c r="B4900" s="7"/>
      <c r="O4900" s="7"/>
      <c r="X4900" s="7"/>
      <c r="AG4900" s="7"/>
      <c r="AP4900" s="7"/>
      <c r="AY4900" s="7"/>
      <c r="BH4900" s="7"/>
      <c r="BQ4900" s="7"/>
      <c r="BZ4900" s="7"/>
    </row>
    <row r="4901" spans="2:78">
      <c r="B4901" s="7"/>
      <c r="O4901" s="7"/>
      <c r="X4901" s="7"/>
      <c r="AG4901" s="7"/>
      <c r="AP4901" s="7"/>
      <c r="AY4901" s="7"/>
      <c r="BH4901" s="7"/>
      <c r="BQ4901" s="7"/>
      <c r="BZ4901" s="7"/>
    </row>
    <row r="4902" spans="2:78">
      <c r="B4902" s="7"/>
      <c r="O4902" s="7"/>
      <c r="X4902" s="7"/>
      <c r="AG4902" s="7"/>
      <c r="AP4902" s="7"/>
      <c r="AY4902" s="7"/>
      <c r="BH4902" s="7"/>
      <c r="BQ4902" s="7"/>
      <c r="BZ4902" s="7"/>
    </row>
    <row r="4903" spans="2:78">
      <c r="B4903" s="7"/>
      <c r="O4903" s="7"/>
      <c r="X4903" s="7"/>
      <c r="AG4903" s="7"/>
      <c r="AP4903" s="7"/>
      <c r="AY4903" s="7"/>
      <c r="BH4903" s="7"/>
      <c r="BQ4903" s="7"/>
      <c r="BZ4903" s="7"/>
    </row>
    <row r="4904" spans="2:78">
      <c r="B4904" s="7"/>
      <c r="O4904" s="7"/>
      <c r="X4904" s="7"/>
      <c r="AG4904" s="7"/>
      <c r="AP4904" s="7"/>
      <c r="AY4904" s="7"/>
      <c r="BH4904" s="7"/>
      <c r="BQ4904" s="7"/>
      <c r="BZ4904" s="7"/>
    </row>
    <row r="4905" spans="2:78">
      <c r="B4905" s="7"/>
      <c r="O4905" s="7"/>
      <c r="X4905" s="7"/>
      <c r="AG4905" s="7"/>
      <c r="AP4905" s="7"/>
      <c r="AY4905" s="7"/>
      <c r="BH4905" s="7"/>
      <c r="BQ4905" s="7"/>
      <c r="BZ4905" s="7"/>
    </row>
    <row r="4906" spans="2:78">
      <c r="B4906" s="7"/>
      <c r="O4906" s="7"/>
      <c r="X4906" s="7"/>
      <c r="AG4906" s="7"/>
      <c r="AP4906" s="7"/>
      <c r="AY4906" s="7"/>
      <c r="BH4906" s="7"/>
      <c r="BQ4906" s="7"/>
      <c r="BZ4906" s="7"/>
    </row>
    <row r="4907" spans="2:78">
      <c r="B4907" s="7"/>
      <c r="O4907" s="7"/>
      <c r="X4907" s="7"/>
      <c r="AG4907" s="7"/>
      <c r="AP4907" s="7"/>
      <c r="AY4907" s="7"/>
      <c r="BH4907" s="7"/>
      <c r="BQ4907" s="7"/>
      <c r="BZ4907" s="7"/>
    </row>
    <row r="4908" spans="2:78">
      <c r="B4908" s="7"/>
      <c r="O4908" s="7"/>
      <c r="X4908" s="7"/>
      <c r="AG4908" s="7"/>
      <c r="AP4908" s="7"/>
      <c r="AY4908" s="7"/>
      <c r="BH4908" s="7"/>
      <c r="BQ4908" s="7"/>
      <c r="BZ4908" s="7"/>
    </row>
    <row r="4909" spans="2:78">
      <c r="B4909" s="7"/>
      <c r="O4909" s="7"/>
      <c r="X4909" s="7"/>
      <c r="AG4909" s="7"/>
      <c r="AP4909" s="7"/>
      <c r="AY4909" s="7"/>
      <c r="BH4909" s="7"/>
      <c r="BQ4909" s="7"/>
      <c r="BZ4909" s="7"/>
    </row>
    <row r="4910" spans="2:78">
      <c r="B4910" s="7"/>
      <c r="O4910" s="7"/>
      <c r="X4910" s="7"/>
      <c r="AG4910" s="7"/>
      <c r="AP4910" s="7"/>
      <c r="AY4910" s="7"/>
      <c r="BH4910" s="7"/>
      <c r="BQ4910" s="7"/>
      <c r="BZ4910" s="7"/>
    </row>
    <row r="4911" spans="2:78">
      <c r="B4911" s="7"/>
      <c r="O4911" s="7"/>
      <c r="X4911" s="7"/>
      <c r="AG4911" s="7"/>
      <c r="AP4911" s="7"/>
      <c r="AY4911" s="7"/>
      <c r="BH4911" s="7"/>
      <c r="BQ4911" s="7"/>
      <c r="BZ4911" s="7"/>
    </row>
    <row r="4912" spans="2:78">
      <c r="B4912" s="7"/>
      <c r="O4912" s="7"/>
      <c r="X4912" s="7"/>
      <c r="AG4912" s="7"/>
      <c r="AP4912" s="7"/>
      <c r="AY4912" s="7"/>
      <c r="BH4912" s="7"/>
      <c r="BQ4912" s="7"/>
      <c r="BZ4912" s="7"/>
    </row>
    <row r="4913" spans="2:78">
      <c r="B4913" s="7"/>
      <c r="O4913" s="7"/>
      <c r="X4913" s="7"/>
      <c r="AG4913" s="7"/>
      <c r="AP4913" s="7"/>
      <c r="AY4913" s="7"/>
      <c r="BH4913" s="7"/>
      <c r="BQ4913" s="7"/>
      <c r="BZ4913" s="7"/>
    </row>
    <row r="4914" spans="2:78">
      <c r="B4914" s="7"/>
      <c r="O4914" s="7"/>
      <c r="X4914" s="7"/>
      <c r="AG4914" s="7"/>
      <c r="AP4914" s="7"/>
      <c r="AY4914" s="7"/>
      <c r="BH4914" s="7"/>
      <c r="BQ4914" s="7"/>
      <c r="BZ4914" s="7"/>
    </row>
    <row r="4915" spans="2:78">
      <c r="B4915" s="7"/>
      <c r="O4915" s="7"/>
      <c r="X4915" s="7"/>
      <c r="AG4915" s="7"/>
      <c r="AP4915" s="7"/>
      <c r="AY4915" s="7"/>
      <c r="BH4915" s="7"/>
      <c r="BQ4915" s="7"/>
      <c r="BZ4915" s="7"/>
    </row>
    <row r="4916" spans="2:78">
      <c r="B4916" s="7"/>
      <c r="O4916" s="7"/>
      <c r="X4916" s="7"/>
      <c r="AG4916" s="7"/>
      <c r="AP4916" s="7"/>
      <c r="AY4916" s="7"/>
      <c r="BH4916" s="7"/>
      <c r="BQ4916" s="7"/>
      <c r="BZ4916" s="7"/>
    </row>
    <row r="4917" spans="2:78">
      <c r="B4917" s="7"/>
      <c r="O4917" s="7"/>
      <c r="X4917" s="7"/>
      <c r="AG4917" s="7"/>
      <c r="AP4917" s="7"/>
      <c r="AY4917" s="7"/>
      <c r="BH4917" s="7"/>
      <c r="BQ4917" s="7"/>
      <c r="BZ4917" s="7"/>
    </row>
    <row r="4918" spans="2:78">
      <c r="B4918" s="7"/>
      <c r="O4918" s="7"/>
      <c r="X4918" s="7"/>
      <c r="AG4918" s="7"/>
      <c r="AP4918" s="7"/>
      <c r="AY4918" s="7"/>
      <c r="BH4918" s="7"/>
      <c r="BQ4918" s="7"/>
      <c r="BZ4918" s="7"/>
    </row>
    <row r="4919" spans="2:78">
      <c r="B4919" s="7"/>
      <c r="O4919" s="7"/>
      <c r="X4919" s="7"/>
      <c r="AG4919" s="7"/>
      <c r="AP4919" s="7"/>
      <c r="AY4919" s="7"/>
      <c r="BH4919" s="7"/>
      <c r="BQ4919" s="7"/>
      <c r="BZ4919" s="7"/>
    </row>
    <row r="4920" spans="2:78">
      <c r="B4920" s="7"/>
      <c r="O4920" s="7"/>
      <c r="X4920" s="7"/>
      <c r="AG4920" s="7"/>
      <c r="AP4920" s="7"/>
      <c r="AY4920" s="7"/>
      <c r="BH4920" s="7"/>
      <c r="BQ4920" s="7"/>
      <c r="BZ4920" s="7"/>
    </row>
    <row r="4921" spans="2:78">
      <c r="B4921" s="7"/>
      <c r="O4921" s="7"/>
      <c r="X4921" s="7"/>
      <c r="AG4921" s="7"/>
      <c r="AP4921" s="7"/>
      <c r="AY4921" s="7"/>
      <c r="BH4921" s="7"/>
      <c r="BQ4921" s="7"/>
      <c r="BZ4921" s="7"/>
    </row>
    <row r="4922" spans="2:78">
      <c r="B4922" s="7"/>
      <c r="O4922" s="7"/>
      <c r="X4922" s="7"/>
      <c r="AG4922" s="7"/>
      <c r="AP4922" s="7"/>
      <c r="AY4922" s="7"/>
      <c r="BH4922" s="7"/>
      <c r="BQ4922" s="7"/>
      <c r="BZ4922" s="7"/>
    </row>
    <row r="4923" spans="2:78">
      <c r="B4923" s="7"/>
      <c r="O4923" s="7"/>
      <c r="X4923" s="7"/>
      <c r="AG4923" s="7"/>
      <c r="AP4923" s="7"/>
      <c r="AY4923" s="7"/>
      <c r="BH4923" s="7"/>
      <c r="BQ4923" s="7"/>
      <c r="BZ4923" s="7"/>
    </row>
    <row r="4924" spans="2:78">
      <c r="B4924" s="7"/>
      <c r="O4924" s="7"/>
      <c r="X4924" s="7"/>
      <c r="AG4924" s="7"/>
      <c r="AP4924" s="7"/>
      <c r="AY4924" s="7"/>
      <c r="BH4924" s="7"/>
      <c r="BQ4924" s="7"/>
      <c r="BZ4924" s="7"/>
    </row>
    <row r="4925" spans="2:78">
      <c r="B4925" s="7"/>
      <c r="O4925" s="7"/>
      <c r="X4925" s="7"/>
      <c r="AG4925" s="7"/>
      <c r="AP4925" s="7"/>
      <c r="AY4925" s="7"/>
      <c r="BH4925" s="7"/>
      <c r="BQ4925" s="7"/>
      <c r="BZ4925" s="7"/>
    </row>
    <row r="4926" spans="2:78">
      <c r="B4926" s="7"/>
      <c r="O4926" s="7"/>
      <c r="X4926" s="7"/>
      <c r="AG4926" s="7"/>
      <c r="AP4926" s="7"/>
      <c r="AY4926" s="7"/>
      <c r="BH4926" s="7"/>
      <c r="BQ4926" s="7"/>
      <c r="BZ4926" s="7"/>
    </row>
    <row r="4927" spans="2:78">
      <c r="B4927" s="7"/>
      <c r="O4927" s="7"/>
      <c r="X4927" s="7"/>
      <c r="AG4927" s="7"/>
      <c r="AP4927" s="7"/>
      <c r="AY4927" s="7"/>
      <c r="BH4927" s="7"/>
      <c r="BQ4927" s="7"/>
      <c r="BZ4927" s="7"/>
    </row>
    <row r="4928" spans="2:78">
      <c r="B4928" s="7"/>
      <c r="O4928" s="7"/>
      <c r="X4928" s="7"/>
      <c r="AG4928" s="7"/>
      <c r="AP4928" s="7"/>
      <c r="AY4928" s="7"/>
      <c r="BH4928" s="7"/>
      <c r="BQ4928" s="7"/>
      <c r="BZ4928" s="7"/>
    </row>
    <row r="4929" spans="2:78">
      <c r="B4929" s="7"/>
      <c r="O4929" s="7"/>
      <c r="X4929" s="7"/>
      <c r="AG4929" s="7"/>
      <c r="AP4929" s="7"/>
      <c r="AY4929" s="7"/>
      <c r="BH4929" s="7"/>
      <c r="BQ4929" s="7"/>
      <c r="BZ4929" s="7"/>
    </row>
    <row r="4930" spans="2:78">
      <c r="B4930" s="7"/>
      <c r="O4930" s="7"/>
      <c r="X4930" s="7"/>
      <c r="AG4930" s="7"/>
      <c r="AP4930" s="7"/>
      <c r="AY4930" s="7"/>
      <c r="BH4930" s="7"/>
      <c r="BQ4930" s="7"/>
      <c r="BZ4930" s="7"/>
    </row>
    <row r="4931" spans="2:78">
      <c r="B4931" s="7"/>
      <c r="O4931" s="7"/>
      <c r="X4931" s="7"/>
      <c r="AG4931" s="7"/>
      <c r="AP4931" s="7"/>
      <c r="AY4931" s="7"/>
      <c r="BH4931" s="7"/>
      <c r="BQ4931" s="7"/>
      <c r="BZ4931" s="7"/>
    </row>
    <row r="4932" spans="2:78">
      <c r="B4932" s="7"/>
      <c r="O4932" s="7"/>
      <c r="X4932" s="7"/>
      <c r="AG4932" s="7"/>
      <c r="AP4932" s="7"/>
      <c r="AY4932" s="7"/>
      <c r="BH4932" s="7"/>
      <c r="BQ4932" s="7"/>
      <c r="BZ4932" s="7"/>
    </row>
    <row r="4933" spans="2:78">
      <c r="B4933" s="7"/>
      <c r="O4933" s="7"/>
      <c r="X4933" s="7"/>
      <c r="AG4933" s="7"/>
      <c r="AP4933" s="7"/>
      <c r="AY4933" s="7"/>
      <c r="BH4933" s="7"/>
      <c r="BQ4933" s="7"/>
      <c r="BZ4933" s="7"/>
    </row>
    <row r="4934" spans="2:78">
      <c r="B4934" s="7"/>
      <c r="O4934" s="7"/>
      <c r="X4934" s="7"/>
      <c r="AG4934" s="7"/>
      <c r="AP4934" s="7"/>
      <c r="AY4934" s="7"/>
      <c r="BH4934" s="7"/>
      <c r="BQ4934" s="7"/>
      <c r="BZ4934" s="7"/>
    </row>
    <row r="4935" spans="2:78">
      <c r="B4935" s="7"/>
      <c r="O4935" s="7"/>
      <c r="X4935" s="7"/>
      <c r="AG4935" s="7"/>
      <c r="AP4935" s="7"/>
      <c r="AY4935" s="7"/>
      <c r="BH4935" s="7"/>
      <c r="BQ4935" s="7"/>
      <c r="BZ4935" s="7"/>
    </row>
    <row r="4936" spans="2:78">
      <c r="B4936" s="7"/>
      <c r="O4936" s="7"/>
      <c r="X4936" s="7"/>
      <c r="AG4936" s="7"/>
      <c r="AP4936" s="7"/>
      <c r="AY4936" s="7"/>
      <c r="BH4936" s="7"/>
      <c r="BQ4936" s="7"/>
      <c r="BZ4936" s="7"/>
    </row>
    <row r="4937" spans="2:78">
      <c r="B4937" s="7"/>
      <c r="O4937" s="7"/>
      <c r="X4937" s="7"/>
      <c r="AG4937" s="7"/>
      <c r="AP4937" s="7"/>
      <c r="AY4937" s="7"/>
      <c r="BH4937" s="7"/>
      <c r="BQ4937" s="7"/>
      <c r="BZ4937" s="7"/>
    </row>
    <row r="4938" spans="2:78">
      <c r="B4938" s="7"/>
      <c r="O4938" s="7"/>
      <c r="X4938" s="7"/>
      <c r="AG4938" s="7"/>
      <c r="AP4938" s="7"/>
      <c r="AY4938" s="7"/>
      <c r="BH4938" s="7"/>
      <c r="BQ4938" s="7"/>
      <c r="BZ4938" s="7"/>
    </row>
    <row r="4939" spans="2:78">
      <c r="B4939" s="7"/>
      <c r="O4939" s="7"/>
      <c r="X4939" s="7"/>
      <c r="AG4939" s="7"/>
      <c r="AP4939" s="7"/>
      <c r="AY4939" s="7"/>
      <c r="BH4939" s="7"/>
      <c r="BQ4939" s="7"/>
      <c r="BZ4939" s="7"/>
    </row>
    <row r="4940" spans="2:78">
      <c r="B4940" s="7"/>
      <c r="O4940" s="7"/>
      <c r="X4940" s="7"/>
      <c r="AG4940" s="7"/>
      <c r="AP4940" s="7"/>
      <c r="AY4940" s="7"/>
      <c r="BH4940" s="7"/>
      <c r="BQ4940" s="7"/>
      <c r="BZ4940" s="7"/>
    </row>
    <row r="4941" spans="2:78">
      <c r="B4941" s="7"/>
      <c r="O4941" s="7"/>
      <c r="X4941" s="7"/>
      <c r="AG4941" s="7"/>
      <c r="AP4941" s="7"/>
      <c r="AY4941" s="7"/>
      <c r="BH4941" s="7"/>
      <c r="BQ4941" s="7"/>
      <c r="BZ4941" s="7"/>
    </row>
    <row r="4942" spans="2:78">
      <c r="B4942" s="7"/>
      <c r="O4942" s="7"/>
      <c r="X4942" s="7"/>
      <c r="AG4942" s="7"/>
      <c r="AP4942" s="7"/>
      <c r="AY4942" s="7"/>
      <c r="BH4942" s="7"/>
      <c r="BQ4942" s="7"/>
      <c r="BZ4942" s="7"/>
    </row>
    <row r="4943" spans="2:78">
      <c r="B4943" s="7"/>
      <c r="O4943" s="7"/>
      <c r="X4943" s="7"/>
      <c r="AG4943" s="7"/>
      <c r="AP4943" s="7"/>
      <c r="AY4943" s="7"/>
      <c r="BH4943" s="7"/>
      <c r="BQ4943" s="7"/>
      <c r="BZ4943" s="7"/>
    </row>
    <row r="4944" spans="2:78">
      <c r="B4944" s="7"/>
      <c r="O4944" s="7"/>
      <c r="X4944" s="7"/>
      <c r="AG4944" s="7"/>
      <c r="AP4944" s="7"/>
      <c r="AY4944" s="7"/>
      <c r="BH4944" s="7"/>
      <c r="BQ4944" s="7"/>
      <c r="BZ4944" s="7"/>
    </row>
    <row r="4945" spans="2:78">
      <c r="B4945" s="7"/>
      <c r="O4945" s="7"/>
      <c r="X4945" s="7"/>
      <c r="AG4945" s="7"/>
      <c r="AP4945" s="7"/>
      <c r="AY4945" s="7"/>
      <c r="BH4945" s="7"/>
      <c r="BQ4945" s="7"/>
      <c r="BZ4945" s="7"/>
    </row>
    <row r="4946" spans="2:78">
      <c r="B4946" s="7"/>
      <c r="O4946" s="7"/>
      <c r="X4946" s="7"/>
      <c r="AG4946" s="7"/>
      <c r="AP4946" s="7"/>
      <c r="AY4946" s="7"/>
      <c r="BH4946" s="7"/>
      <c r="BQ4946" s="7"/>
      <c r="BZ4946" s="7"/>
    </row>
    <row r="4947" spans="2:78">
      <c r="B4947" s="7"/>
      <c r="O4947" s="7"/>
      <c r="X4947" s="7"/>
      <c r="AG4947" s="7"/>
      <c r="AP4947" s="7"/>
      <c r="AY4947" s="7"/>
      <c r="BH4947" s="7"/>
      <c r="BQ4947" s="7"/>
      <c r="BZ4947" s="7"/>
    </row>
    <row r="4948" spans="2:78">
      <c r="B4948" s="7"/>
      <c r="O4948" s="7"/>
      <c r="X4948" s="7"/>
      <c r="AG4948" s="7"/>
      <c r="AP4948" s="7"/>
      <c r="AY4948" s="7"/>
      <c r="BH4948" s="7"/>
      <c r="BQ4948" s="7"/>
      <c r="BZ4948" s="7"/>
    </row>
    <row r="4949" spans="2:78">
      <c r="B4949" s="7"/>
      <c r="O4949" s="7"/>
      <c r="X4949" s="7"/>
      <c r="AG4949" s="7"/>
      <c r="AP4949" s="7"/>
      <c r="AY4949" s="7"/>
      <c r="BH4949" s="7"/>
      <c r="BQ4949" s="7"/>
      <c r="BZ4949" s="7"/>
    </row>
    <row r="4950" spans="2:78">
      <c r="B4950" s="7"/>
      <c r="O4950" s="7"/>
      <c r="X4950" s="7"/>
      <c r="AG4950" s="7"/>
      <c r="AP4950" s="7"/>
      <c r="AY4950" s="7"/>
      <c r="BH4950" s="7"/>
      <c r="BQ4950" s="7"/>
      <c r="BZ4950" s="7"/>
    </row>
    <row r="4951" spans="2:78">
      <c r="B4951" s="7"/>
      <c r="O4951" s="7"/>
      <c r="X4951" s="7"/>
      <c r="AG4951" s="7"/>
      <c r="AP4951" s="7"/>
      <c r="AY4951" s="7"/>
      <c r="BH4951" s="7"/>
      <c r="BQ4951" s="7"/>
      <c r="BZ4951" s="7"/>
    </row>
    <row r="4952" spans="2:78">
      <c r="B4952" s="7"/>
      <c r="O4952" s="7"/>
      <c r="X4952" s="7"/>
      <c r="AG4952" s="7"/>
      <c r="AP4952" s="7"/>
      <c r="AY4952" s="7"/>
      <c r="BH4952" s="7"/>
      <c r="BQ4952" s="7"/>
      <c r="BZ4952" s="7"/>
    </row>
    <row r="4953" spans="2:78">
      <c r="B4953" s="7"/>
      <c r="O4953" s="7"/>
      <c r="X4953" s="7"/>
      <c r="AG4953" s="7"/>
      <c r="AP4953" s="7"/>
      <c r="AY4953" s="7"/>
      <c r="BH4953" s="7"/>
      <c r="BQ4953" s="7"/>
      <c r="BZ4953" s="7"/>
    </row>
    <row r="4954" spans="2:78">
      <c r="B4954" s="7"/>
      <c r="O4954" s="7"/>
      <c r="X4954" s="7"/>
      <c r="AG4954" s="7"/>
      <c r="AP4954" s="7"/>
      <c r="AY4954" s="7"/>
      <c r="BH4954" s="7"/>
      <c r="BQ4954" s="7"/>
      <c r="BZ4954" s="7"/>
    </row>
    <row r="4955" spans="2:78">
      <c r="B4955" s="7"/>
      <c r="O4955" s="7"/>
      <c r="X4955" s="7"/>
      <c r="AG4955" s="7"/>
      <c r="AP4955" s="7"/>
      <c r="AY4955" s="7"/>
      <c r="BH4955" s="7"/>
      <c r="BQ4955" s="7"/>
      <c r="BZ4955" s="7"/>
    </row>
    <row r="4956" spans="2:78">
      <c r="B4956" s="7"/>
      <c r="O4956" s="7"/>
      <c r="X4956" s="7"/>
      <c r="AG4956" s="7"/>
      <c r="AP4956" s="7"/>
      <c r="AY4956" s="7"/>
      <c r="BH4956" s="7"/>
      <c r="BQ4956" s="7"/>
      <c r="BZ4956" s="7"/>
    </row>
    <row r="4957" spans="2:78">
      <c r="B4957" s="7"/>
      <c r="O4957" s="7"/>
      <c r="X4957" s="7"/>
      <c r="AG4957" s="7"/>
      <c r="AP4957" s="7"/>
      <c r="AY4957" s="7"/>
      <c r="BH4957" s="7"/>
      <c r="BQ4957" s="7"/>
      <c r="BZ4957" s="7"/>
    </row>
    <row r="4958" spans="2:78">
      <c r="B4958" s="7"/>
      <c r="O4958" s="7"/>
      <c r="X4958" s="7"/>
      <c r="AG4958" s="7"/>
      <c r="AP4958" s="7"/>
      <c r="AY4958" s="7"/>
      <c r="BH4958" s="7"/>
      <c r="BQ4958" s="7"/>
      <c r="BZ4958" s="7"/>
    </row>
    <row r="4959" spans="2:78">
      <c r="B4959" s="7"/>
      <c r="O4959" s="7"/>
      <c r="X4959" s="7"/>
      <c r="AG4959" s="7"/>
      <c r="AP4959" s="7"/>
      <c r="AY4959" s="7"/>
      <c r="BH4959" s="7"/>
      <c r="BQ4959" s="7"/>
      <c r="BZ4959" s="7"/>
    </row>
    <row r="4960" spans="2:78">
      <c r="B4960" s="7"/>
      <c r="O4960" s="7"/>
      <c r="X4960" s="7"/>
      <c r="AG4960" s="7"/>
      <c r="AP4960" s="7"/>
      <c r="AY4960" s="7"/>
      <c r="BH4960" s="7"/>
      <c r="BQ4960" s="7"/>
      <c r="BZ4960" s="7"/>
    </row>
    <row r="4961" spans="2:78">
      <c r="B4961" s="7"/>
      <c r="O4961" s="7"/>
      <c r="X4961" s="7"/>
      <c r="AG4961" s="7"/>
      <c r="AP4961" s="7"/>
      <c r="AY4961" s="7"/>
      <c r="BH4961" s="7"/>
      <c r="BQ4961" s="7"/>
      <c r="BZ4961" s="7"/>
    </row>
    <row r="4962" spans="2:78">
      <c r="B4962" s="7"/>
      <c r="O4962" s="7"/>
      <c r="X4962" s="7"/>
      <c r="AG4962" s="7"/>
      <c r="AP4962" s="7"/>
      <c r="AY4962" s="7"/>
      <c r="BH4962" s="7"/>
      <c r="BQ4962" s="7"/>
      <c r="BZ4962" s="7"/>
    </row>
    <row r="4963" spans="2:78">
      <c r="B4963" s="7"/>
      <c r="O4963" s="7"/>
      <c r="X4963" s="7"/>
      <c r="AG4963" s="7"/>
      <c r="AP4963" s="7"/>
      <c r="AY4963" s="7"/>
      <c r="BH4963" s="7"/>
      <c r="BQ4963" s="7"/>
      <c r="BZ4963" s="7"/>
    </row>
    <row r="4964" spans="2:78">
      <c r="B4964" s="7"/>
      <c r="O4964" s="7"/>
      <c r="X4964" s="7"/>
      <c r="AG4964" s="7"/>
      <c r="AP4964" s="7"/>
      <c r="AY4964" s="7"/>
      <c r="BH4964" s="7"/>
      <c r="BQ4964" s="7"/>
      <c r="BZ4964" s="7"/>
    </row>
    <row r="4965" spans="2:78">
      <c r="B4965" s="7"/>
      <c r="O4965" s="7"/>
      <c r="X4965" s="7"/>
      <c r="AG4965" s="7"/>
      <c r="AP4965" s="7"/>
      <c r="AY4965" s="7"/>
      <c r="BH4965" s="7"/>
      <c r="BQ4965" s="7"/>
      <c r="BZ4965" s="7"/>
    </row>
    <row r="4966" spans="2:78">
      <c r="B4966" s="7"/>
      <c r="O4966" s="7"/>
      <c r="X4966" s="7"/>
      <c r="AG4966" s="7"/>
      <c r="AP4966" s="7"/>
      <c r="AY4966" s="7"/>
      <c r="BH4966" s="7"/>
      <c r="BQ4966" s="7"/>
      <c r="BZ4966" s="7"/>
    </row>
    <row r="4967" spans="2:78">
      <c r="B4967" s="7"/>
      <c r="O4967" s="7"/>
      <c r="X4967" s="7"/>
      <c r="AG4967" s="7"/>
      <c r="AP4967" s="7"/>
      <c r="AY4967" s="7"/>
      <c r="BH4967" s="7"/>
      <c r="BQ4967" s="7"/>
      <c r="BZ4967" s="7"/>
    </row>
    <row r="4968" spans="2:78">
      <c r="B4968" s="7"/>
      <c r="O4968" s="7"/>
      <c r="X4968" s="7"/>
      <c r="AG4968" s="7"/>
      <c r="AP4968" s="7"/>
      <c r="AY4968" s="7"/>
      <c r="BH4968" s="7"/>
      <c r="BQ4968" s="7"/>
      <c r="BZ4968" s="7"/>
    </row>
    <row r="4969" spans="2:78">
      <c r="B4969" s="7"/>
      <c r="O4969" s="7"/>
      <c r="X4969" s="7"/>
      <c r="AG4969" s="7"/>
      <c r="AP4969" s="7"/>
      <c r="AY4969" s="7"/>
      <c r="BH4969" s="7"/>
      <c r="BQ4969" s="7"/>
      <c r="BZ4969" s="7"/>
    </row>
    <row r="4970" spans="2:78">
      <c r="B4970" s="7"/>
      <c r="O4970" s="7"/>
      <c r="X4970" s="7"/>
      <c r="AG4970" s="7"/>
      <c r="AP4970" s="7"/>
      <c r="AY4970" s="7"/>
      <c r="BH4970" s="7"/>
      <c r="BQ4970" s="7"/>
      <c r="BZ4970" s="7"/>
    </row>
    <row r="4971" spans="2:78">
      <c r="B4971" s="7"/>
      <c r="O4971" s="7"/>
      <c r="X4971" s="7"/>
      <c r="AG4971" s="7"/>
      <c r="AP4971" s="7"/>
      <c r="AY4971" s="7"/>
      <c r="BH4971" s="7"/>
      <c r="BQ4971" s="7"/>
      <c r="BZ4971" s="7"/>
    </row>
    <row r="4972" spans="2:78">
      <c r="B4972" s="7"/>
      <c r="O4972" s="7"/>
      <c r="X4972" s="7"/>
      <c r="AG4972" s="7"/>
      <c r="AP4972" s="7"/>
      <c r="AY4972" s="7"/>
      <c r="BH4972" s="7"/>
      <c r="BQ4972" s="7"/>
      <c r="BZ4972" s="7"/>
    </row>
    <row r="4973" spans="2:78">
      <c r="B4973" s="7"/>
      <c r="O4973" s="7"/>
      <c r="X4973" s="7"/>
      <c r="AG4973" s="7"/>
      <c r="AP4973" s="7"/>
      <c r="AY4973" s="7"/>
      <c r="BH4973" s="7"/>
      <c r="BQ4973" s="7"/>
      <c r="BZ4973" s="7"/>
    </row>
    <row r="4974" spans="2:78">
      <c r="B4974" s="7"/>
      <c r="O4974" s="7"/>
      <c r="X4974" s="7"/>
      <c r="AG4974" s="7"/>
      <c r="AP4974" s="7"/>
      <c r="AY4974" s="7"/>
      <c r="BH4974" s="7"/>
      <c r="BQ4974" s="7"/>
      <c r="BZ4974" s="7"/>
    </row>
    <row r="4975" spans="2:78">
      <c r="B4975" s="7"/>
      <c r="O4975" s="7"/>
      <c r="X4975" s="7"/>
      <c r="AG4975" s="7"/>
      <c r="AP4975" s="7"/>
      <c r="AY4975" s="7"/>
      <c r="BH4975" s="7"/>
      <c r="BQ4975" s="7"/>
      <c r="BZ4975" s="7"/>
    </row>
    <row r="4976" spans="2:78">
      <c r="B4976" s="7"/>
      <c r="O4976" s="7"/>
      <c r="X4976" s="7"/>
      <c r="AG4976" s="7"/>
      <c r="AP4976" s="7"/>
      <c r="AY4976" s="7"/>
      <c r="BH4976" s="7"/>
      <c r="BQ4976" s="7"/>
      <c r="BZ4976" s="7"/>
    </row>
    <row r="4977" spans="2:78">
      <c r="B4977" s="7"/>
      <c r="O4977" s="7"/>
      <c r="X4977" s="7"/>
      <c r="AG4977" s="7"/>
      <c r="AP4977" s="7"/>
      <c r="AY4977" s="7"/>
      <c r="BH4977" s="7"/>
      <c r="BQ4977" s="7"/>
      <c r="BZ4977" s="7"/>
    </row>
    <row r="4978" spans="2:78">
      <c r="B4978" s="7"/>
      <c r="O4978" s="7"/>
      <c r="X4978" s="7"/>
      <c r="AG4978" s="7"/>
      <c r="AP4978" s="7"/>
      <c r="AY4978" s="7"/>
      <c r="BH4978" s="7"/>
      <c r="BQ4978" s="7"/>
      <c r="BZ4978" s="7"/>
    </row>
    <row r="4979" spans="2:78">
      <c r="B4979" s="7"/>
      <c r="O4979" s="7"/>
      <c r="X4979" s="7"/>
      <c r="AG4979" s="7"/>
      <c r="AP4979" s="7"/>
      <c r="AY4979" s="7"/>
      <c r="BH4979" s="7"/>
      <c r="BQ4979" s="7"/>
      <c r="BZ4979" s="7"/>
    </row>
    <row r="4980" spans="2:78">
      <c r="B4980" s="7"/>
      <c r="O4980" s="7"/>
      <c r="X4980" s="7"/>
      <c r="AG4980" s="7"/>
      <c r="AP4980" s="7"/>
      <c r="AY4980" s="7"/>
      <c r="BH4980" s="7"/>
      <c r="BQ4980" s="7"/>
      <c r="BZ4980" s="7"/>
    </row>
    <row r="4981" spans="2:78">
      <c r="B4981" s="7"/>
      <c r="O4981" s="7"/>
      <c r="X4981" s="7"/>
      <c r="AG4981" s="7"/>
      <c r="AP4981" s="7"/>
      <c r="AY4981" s="7"/>
      <c r="BH4981" s="7"/>
      <c r="BQ4981" s="7"/>
      <c r="BZ4981" s="7"/>
    </row>
    <row r="4982" spans="2:78">
      <c r="B4982" s="7"/>
      <c r="O4982" s="7"/>
      <c r="X4982" s="7"/>
      <c r="AG4982" s="7"/>
      <c r="AP4982" s="7"/>
      <c r="AY4982" s="7"/>
      <c r="BH4982" s="7"/>
      <c r="BQ4982" s="7"/>
      <c r="BZ4982" s="7"/>
    </row>
    <row r="4983" spans="2:78">
      <c r="B4983" s="7"/>
      <c r="O4983" s="7"/>
      <c r="X4983" s="7"/>
      <c r="AG4983" s="7"/>
      <c r="AP4983" s="7"/>
      <c r="AY4983" s="7"/>
      <c r="BH4983" s="7"/>
      <c r="BQ4983" s="7"/>
      <c r="BZ4983" s="7"/>
    </row>
    <row r="4984" spans="2:78">
      <c r="B4984" s="7"/>
      <c r="O4984" s="7"/>
      <c r="X4984" s="7"/>
      <c r="AG4984" s="7"/>
      <c r="AP4984" s="7"/>
      <c r="AY4984" s="7"/>
      <c r="BH4984" s="7"/>
      <c r="BQ4984" s="7"/>
      <c r="BZ4984" s="7"/>
    </row>
    <row r="4985" spans="2:78">
      <c r="B4985" s="7"/>
      <c r="O4985" s="7"/>
      <c r="X4985" s="7"/>
      <c r="AG4985" s="7"/>
      <c r="AP4985" s="7"/>
      <c r="AY4985" s="7"/>
      <c r="BH4985" s="7"/>
      <c r="BQ4985" s="7"/>
      <c r="BZ4985" s="7"/>
    </row>
    <row r="4986" spans="2:78">
      <c r="B4986" s="7"/>
      <c r="O4986" s="7"/>
      <c r="X4986" s="7"/>
      <c r="AG4986" s="7"/>
      <c r="AP4986" s="7"/>
      <c r="AY4986" s="7"/>
      <c r="BH4986" s="7"/>
      <c r="BQ4986" s="7"/>
      <c r="BZ4986" s="7"/>
    </row>
    <row r="4987" spans="2:78">
      <c r="B4987" s="7"/>
      <c r="O4987" s="7"/>
      <c r="X4987" s="7"/>
      <c r="AG4987" s="7"/>
      <c r="AP4987" s="7"/>
      <c r="AY4987" s="7"/>
      <c r="BH4987" s="7"/>
      <c r="BQ4987" s="7"/>
      <c r="BZ4987" s="7"/>
    </row>
    <row r="4988" spans="2:78">
      <c r="B4988" s="7"/>
      <c r="O4988" s="7"/>
      <c r="X4988" s="7"/>
      <c r="AG4988" s="7"/>
      <c r="AP4988" s="7"/>
      <c r="AY4988" s="7"/>
      <c r="BH4988" s="7"/>
      <c r="BQ4988" s="7"/>
      <c r="BZ4988" s="7"/>
    </row>
    <row r="4989" spans="2:78">
      <c r="B4989" s="7"/>
      <c r="O4989" s="7"/>
      <c r="X4989" s="7"/>
      <c r="AG4989" s="7"/>
      <c r="AP4989" s="7"/>
      <c r="AY4989" s="7"/>
      <c r="BH4989" s="7"/>
      <c r="BQ4989" s="7"/>
      <c r="BZ4989" s="7"/>
    </row>
    <row r="4990" spans="2:78">
      <c r="B4990" s="7"/>
      <c r="O4990" s="7"/>
      <c r="X4990" s="7"/>
      <c r="AG4990" s="7"/>
      <c r="AP4990" s="7"/>
      <c r="AY4990" s="7"/>
      <c r="BH4990" s="7"/>
      <c r="BQ4990" s="7"/>
      <c r="BZ4990" s="7"/>
    </row>
    <row r="4991" spans="2:78">
      <c r="B4991" s="7"/>
      <c r="O4991" s="7"/>
      <c r="X4991" s="7"/>
      <c r="AG4991" s="7"/>
      <c r="AP4991" s="7"/>
      <c r="AY4991" s="7"/>
      <c r="BH4991" s="7"/>
      <c r="BQ4991" s="7"/>
      <c r="BZ4991" s="7"/>
    </row>
    <row r="4992" spans="2:78">
      <c r="B4992" s="7"/>
      <c r="O4992" s="7"/>
      <c r="X4992" s="7"/>
      <c r="AG4992" s="7"/>
      <c r="AP4992" s="7"/>
      <c r="AY4992" s="7"/>
      <c r="BH4992" s="7"/>
      <c r="BQ4992" s="7"/>
      <c r="BZ4992" s="7"/>
    </row>
    <row r="4993" spans="2:78">
      <c r="B4993" s="7"/>
      <c r="O4993" s="7"/>
      <c r="X4993" s="7"/>
      <c r="AG4993" s="7"/>
      <c r="AP4993" s="7"/>
      <c r="AY4993" s="7"/>
      <c r="BH4993" s="7"/>
      <c r="BQ4993" s="7"/>
      <c r="BZ4993" s="7"/>
    </row>
    <row r="4994" spans="2:78">
      <c r="B4994" s="7"/>
      <c r="O4994" s="7"/>
      <c r="X4994" s="7"/>
      <c r="AG4994" s="7"/>
      <c r="AP4994" s="7"/>
      <c r="AY4994" s="7"/>
      <c r="BH4994" s="7"/>
      <c r="BQ4994" s="7"/>
      <c r="BZ4994" s="7"/>
    </row>
    <row r="4995" spans="2:78">
      <c r="B4995" s="7"/>
      <c r="O4995" s="7"/>
      <c r="X4995" s="7"/>
      <c r="AG4995" s="7"/>
      <c r="AP4995" s="7"/>
      <c r="AY4995" s="7"/>
      <c r="BH4995" s="7"/>
      <c r="BQ4995" s="7"/>
      <c r="BZ4995" s="7"/>
    </row>
    <row r="4996" spans="2:78">
      <c r="B4996" s="7"/>
      <c r="O4996" s="7"/>
      <c r="X4996" s="7"/>
      <c r="AG4996" s="7"/>
      <c r="AP4996" s="7"/>
      <c r="AY4996" s="7"/>
      <c r="BH4996" s="7"/>
      <c r="BQ4996" s="7"/>
      <c r="BZ4996" s="7"/>
    </row>
    <row r="4997" spans="2:78">
      <c r="B4997" s="7"/>
      <c r="O4997" s="7"/>
      <c r="X4997" s="7"/>
      <c r="AG4997" s="7"/>
      <c r="AP4997" s="7"/>
      <c r="AY4997" s="7"/>
      <c r="BH4997" s="7"/>
      <c r="BQ4997" s="7"/>
      <c r="BZ4997" s="7"/>
    </row>
    <row r="4998" spans="2:78">
      <c r="B4998" s="7"/>
      <c r="O4998" s="7"/>
      <c r="X4998" s="7"/>
      <c r="AG4998" s="7"/>
      <c r="AP4998" s="7"/>
      <c r="AY4998" s="7"/>
      <c r="BH4998" s="7"/>
      <c r="BQ4998" s="7"/>
      <c r="BZ4998" s="7"/>
    </row>
    <row r="4999" spans="2:78">
      <c r="B4999" s="7"/>
      <c r="O4999" s="7"/>
      <c r="X4999" s="7"/>
      <c r="AG4999" s="7"/>
      <c r="AP4999" s="7"/>
      <c r="AY4999" s="7"/>
      <c r="BH4999" s="7"/>
      <c r="BQ4999" s="7"/>
      <c r="BZ4999" s="7"/>
    </row>
    <row r="5000" spans="2:78">
      <c r="B5000" s="7"/>
      <c r="O5000" s="7"/>
      <c r="X5000" s="7"/>
      <c r="AG5000" s="7"/>
      <c r="AP5000" s="7"/>
      <c r="AY5000" s="7"/>
      <c r="BH5000" s="7"/>
      <c r="BQ5000" s="7"/>
      <c r="BZ5000" s="7"/>
    </row>
    <row r="5001" spans="2:78">
      <c r="B5001" s="7"/>
      <c r="O5001" s="7"/>
      <c r="X5001" s="7"/>
      <c r="AG5001" s="7"/>
      <c r="AP5001" s="7"/>
      <c r="AY5001" s="7"/>
      <c r="BH5001" s="7"/>
      <c r="BQ5001" s="7"/>
      <c r="BZ5001" s="7"/>
    </row>
    <row r="5002" spans="2:78">
      <c r="B5002" s="7"/>
      <c r="O5002" s="7"/>
      <c r="X5002" s="7"/>
      <c r="AG5002" s="7"/>
      <c r="AP5002" s="7"/>
      <c r="AY5002" s="7"/>
      <c r="BH5002" s="7"/>
      <c r="BQ5002" s="7"/>
      <c r="BZ5002" s="7"/>
    </row>
    <row r="5003" spans="2:78">
      <c r="B5003" s="7"/>
      <c r="O5003" s="7"/>
      <c r="X5003" s="7"/>
      <c r="AG5003" s="7"/>
      <c r="AP5003" s="7"/>
      <c r="AY5003" s="7"/>
      <c r="BH5003" s="7"/>
      <c r="BQ5003" s="7"/>
      <c r="BZ5003" s="7"/>
    </row>
    <row r="5004" spans="2:78">
      <c r="B5004" s="7"/>
      <c r="O5004" s="7"/>
      <c r="X5004" s="7"/>
      <c r="AG5004" s="7"/>
      <c r="AP5004" s="7"/>
      <c r="AY5004" s="7"/>
      <c r="BH5004" s="7"/>
      <c r="BQ5004" s="7"/>
      <c r="BZ5004" s="7"/>
    </row>
    <row r="5005" spans="2:78">
      <c r="B5005" s="7"/>
      <c r="O5005" s="7"/>
      <c r="X5005" s="7"/>
      <c r="AG5005" s="7"/>
      <c r="AP5005" s="7"/>
      <c r="AY5005" s="7"/>
      <c r="BH5005" s="7"/>
      <c r="BQ5005" s="7"/>
      <c r="BZ5005" s="7"/>
    </row>
    <row r="5006" spans="2:78">
      <c r="B5006" s="7"/>
      <c r="O5006" s="7"/>
      <c r="X5006" s="7"/>
      <c r="AG5006" s="7"/>
      <c r="AP5006" s="7"/>
      <c r="AY5006" s="7"/>
      <c r="BH5006" s="7"/>
      <c r="BQ5006" s="7"/>
      <c r="BZ5006" s="7"/>
    </row>
    <row r="5007" spans="2:78">
      <c r="B5007" s="7"/>
      <c r="O5007" s="7"/>
      <c r="X5007" s="7"/>
      <c r="AG5007" s="7"/>
      <c r="AP5007" s="7"/>
      <c r="AY5007" s="7"/>
      <c r="BH5007" s="7"/>
      <c r="BQ5007" s="7"/>
      <c r="BZ5007" s="7"/>
    </row>
    <row r="5008" spans="2:78">
      <c r="B5008" s="7"/>
      <c r="O5008" s="7"/>
      <c r="X5008" s="7"/>
      <c r="AG5008" s="7"/>
      <c r="AP5008" s="7"/>
      <c r="AY5008" s="7"/>
      <c r="BH5008" s="7"/>
      <c r="BQ5008" s="7"/>
      <c r="BZ5008" s="7"/>
    </row>
    <row r="5009" spans="2:78">
      <c r="B5009" s="7"/>
      <c r="O5009" s="7"/>
      <c r="X5009" s="7"/>
      <c r="AG5009" s="7"/>
      <c r="AP5009" s="7"/>
      <c r="AY5009" s="7"/>
      <c r="BH5009" s="7"/>
      <c r="BQ5009" s="7"/>
      <c r="BZ5009" s="7"/>
    </row>
    <row r="5010" spans="2:78">
      <c r="B5010" s="7"/>
      <c r="O5010" s="7"/>
      <c r="X5010" s="7"/>
      <c r="AG5010" s="7"/>
      <c r="AP5010" s="7"/>
      <c r="AY5010" s="7"/>
      <c r="BH5010" s="7"/>
      <c r="BQ5010" s="7"/>
      <c r="BZ5010" s="7"/>
    </row>
    <row r="5011" spans="2:78">
      <c r="B5011" s="7"/>
      <c r="O5011" s="7"/>
      <c r="X5011" s="7"/>
      <c r="AG5011" s="7"/>
      <c r="AP5011" s="7"/>
      <c r="AY5011" s="7"/>
      <c r="BH5011" s="7"/>
      <c r="BQ5011" s="7"/>
      <c r="BZ5011" s="7"/>
    </row>
    <row r="5012" spans="2:78">
      <c r="B5012" s="7"/>
      <c r="O5012" s="7"/>
      <c r="X5012" s="7"/>
      <c r="AG5012" s="7"/>
      <c r="AP5012" s="7"/>
      <c r="AY5012" s="7"/>
      <c r="BH5012" s="7"/>
      <c r="BQ5012" s="7"/>
      <c r="BZ5012" s="7"/>
    </row>
    <row r="5013" spans="2:78">
      <c r="B5013" s="7"/>
      <c r="O5013" s="7"/>
      <c r="X5013" s="7"/>
      <c r="AG5013" s="7"/>
      <c r="AP5013" s="7"/>
      <c r="AY5013" s="7"/>
      <c r="BH5013" s="7"/>
      <c r="BQ5013" s="7"/>
      <c r="BZ5013" s="7"/>
    </row>
    <row r="5014" spans="2:78">
      <c r="B5014" s="7"/>
      <c r="O5014" s="7"/>
      <c r="X5014" s="7"/>
      <c r="AG5014" s="7"/>
      <c r="AP5014" s="7"/>
      <c r="AY5014" s="7"/>
      <c r="BH5014" s="7"/>
      <c r="BQ5014" s="7"/>
      <c r="BZ5014" s="7"/>
    </row>
    <row r="5015" spans="2:78">
      <c r="B5015" s="7"/>
      <c r="O5015" s="7"/>
      <c r="X5015" s="7"/>
      <c r="AG5015" s="7"/>
      <c r="AP5015" s="7"/>
      <c r="AY5015" s="7"/>
      <c r="BH5015" s="7"/>
      <c r="BQ5015" s="7"/>
      <c r="BZ5015" s="7"/>
    </row>
    <row r="5016" spans="2:78">
      <c r="B5016" s="7"/>
      <c r="O5016" s="7"/>
      <c r="X5016" s="7"/>
      <c r="AG5016" s="7"/>
      <c r="AP5016" s="7"/>
      <c r="AY5016" s="7"/>
      <c r="BH5016" s="7"/>
      <c r="BQ5016" s="7"/>
      <c r="BZ5016" s="7"/>
    </row>
    <row r="5017" spans="2:78">
      <c r="B5017" s="7"/>
      <c r="O5017" s="7"/>
      <c r="X5017" s="7"/>
      <c r="AG5017" s="7"/>
      <c r="AP5017" s="7"/>
      <c r="AY5017" s="7"/>
      <c r="BH5017" s="7"/>
      <c r="BQ5017" s="7"/>
      <c r="BZ5017" s="7"/>
    </row>
    <row r="5018" spans="2:78">
      <c r="B5018" s="7"/>
      <c r="O5018" s="7"/>
      <c r="X5018" s="7"/>
      <c r="AG5018" s="7"/>
      <c r="AP5018" s="7"/>
      <c r="AY5018" s="7"/>
      <c r="BH5018" s="7"/>
      <c r="BQ5018" s="7"/>
      <c r="BZ5018" s="7"/>
    </row>
    <row r="5019" spans="2:78">
      <c r="B5019" s="7"/>
      <c r="O5019" s="7"/>
      <c r="X5019" s="7"/>
      <c r="AG5019" s="7"/>
      <c r="AP5019" s="7"/>
      <c r="AY5019" s="7"/>
      <c r="BH5019" s="7"/>
      <c r="BQ5019" s="7"/>
      <c r="BZ5019" s="7"/>
    </row>
    <row r="5020" spans="2:78">
      <c r="B5020" s="7"/>
      <c r="O5020" s="7"/>
      <c r="X5020" s="7"/>
      <c r="AG5020" s="7"/>
      <c r="AP5020" s="7"/>
      <c r="AY5020" s="7"/>
      <c r="BH5020" s="7"/>
      <c r="BQ5020" s="7"/>
      <c r="BZ5020" s="7"/>
    </row>
    <row r="5021" spans="2:78">
      <c r="B5021" s="7"/>
      <c r="O5021" s="7"/>
      <c r="X5021" s="7"/>
      <c r="AG5021" s="7"/>
      <c r="AP5021" s="7"/>
      <c r="AY5021" s="7"/>
      <c r="BH5021" s="7"/>
      <c r="BQ5021" s="7"/>
      <c r="BZ5021" s="7"/>
    </row>
    <row r="5022" spans="2:78">
      <c r="B5022" s="7"/>
      <c r="O5022" s="7"/>
      <c r="X5022" s="7"/>
      <c r="AG5022" s="7"/>
      <c r="AP5022" s="7"/>
      <c r="AY5022" s="7"/>
      <c r="BH5022" s="7"/>
      <c r="BQ5022" s="7"/>
      <c r="BZ5022" s="7"/>
    </row>
    <row r="5023" spans="2:78">
      <c r="B5023" s="7"/>
      <c r="O5023" s="7"/>
      <c r="X5023" s="7"/>
      <c r="AG5023" s="7"/>
      <c r="AP5023" s="7"/>
      <c r="AY5023" s="7"/>
      <c r="BH5023" s="7"/>
      <c r="BQ5023" s="7"/>
      <c r="BZ5023" s="7"/>
    </row>
    <row r="5024" spans="2:78">
      <c r="B5024" s="7"/>
      <c r="O5024" s="7"/>
      <c r="X5024" s="7"/>
      <c r="AG5024" s="7"/>
      <c r="AP5024" s="7"/>
      <c r="AY5024" s="7"/>
      <c r="BH5024" s="7"/>
      <c r="BQ5024" s="7"/>
      <c r="BZ5024" s="7"/>
    </row>
    <row r="5025" spans="2:78">
      <c r="B5025" s="7"/>
      <c r="O5025" s="7"/>
      <c r="X5025" s="7"/>
      <c r="AG5025" s="7"/>
      <c r="AP5025" s="7"/>
      <c r="AY5025" s="7"/>
      <c r="BH5025" s="7"/>
      <c r="BQ5025" s="7"/>
      <c r="BZ5025" s="7"/>
    </row>
    <row r="5026" spans="2:78">
      <c r="B5026" s="7"/>
      <c r="O5026" s="7"/>
      <c r="X5026" s="7"/>
      <c r="AG5026" s="7"/>
      <c r="AP5026" s="7"/>
      <c r="AY5026" s="7"/>
      <c r="BH5026" s="7"/>
      <c r="BQ5026" s="7"/>
      <c r="BZ5026" s="7"/>
    </row>
    <row r="5027" spans="2:78">
      <c r="B5027" s="7"/>
      <c r="O5027" s="7"/>
      <c r="X5027" s="7"/>
      <c r="AG5027" s="7"/>
      <c r="AP5027" s="7"/>
      <c r="AY5027" s="7"/>
      <c r="BH5027" s="7"/>
      <c r="BQ5027" s="7"/>
      <c r="BZ5027" s="7"/>
    </row>
    <row r="5028" spans="2:78">
      <c r="B5028" s="7"/>
      <c r="O5028" s="7"/>
      <c r="X5028" s="7"/>
      <c r="AG5028" s="7"/>
      <c r="AP5028" s="7"/>
      <c r="AY5028" s="7"/>
      <c r="BH5028" s="7"/>
      <c r="BQ5028" s="7"/>
      <c r="BZ5028" s="7"/>
    </row>
    <row r="5029" spans="2:78">
      <c r="B5029" s="7"/>
      <c r="O5029" s="7"/>
      <c r="X5029" s="7"/>
      <c r="AG5029" s="7"/>
      <c r="AP5029" s="7"/>
      <c r="AY5029" s="7"/>
      <c r="BH5029" s="7"/>
      <c r="BQ5029" s="7"/>
      <c r="BZ5029" s="7"/>
    </row>
    <row r="5030" spans="2:78">
      <c r="B5030" s="7"/>
      <c r="O5030" s="7"/>
      <c r="X5030" s="7"/>
      <c r="AG5030" s="7"/>
      <c r="AP5030" s="7"/>
      <c r="AY5030" s="7"/>
      <c r="BH5030" s="7"/>
      <c r="BQ5030" s="7"/>
      <c r="BZ5030" s="7"/>
    </row>
    <row r="5031" spans="2:78">
      <c r="B5031" s="7"/>
      <c r="O5031" s="7"/>
      <c r="X5031" s="7"/>
      <c r="AG5031" s="7"/>
      <c r="AP5031" s="7"/>
      <c r="AY5031" s="7"/>
      <c r="BH5031" s="7"/>
      <c r="BQ5031" s="7"/>
      <c r="BZ5031" s="7"/>
    </row>
    <row r="5032" spans="2:78">
      <c r="B5032" s="7"/>
      <c r="O5032" s="7"/>
      <c r="X5032" s="7"/>
      <c r="AG5032" s="7"/>
      <c r="AP5032" s="7"/>
      <c r="AY5032" s="7"/>
      <c r="BH5032" s="7"/>
      <c r="BQ5032" s="7"/>
      <c r="BZ5032" s="7"/>
    </row>
    <row r="5033" spans="2:78">
      <c r="B5033" s="7"/>
      <c r="O5033" s="7"/>
      <c r="X5033" s="7"/>
      <c r="AG5033" s="7"/>
      <c r="AP5033" s="7"/>
      <c r="AY5033" s="7"/>
      <c r="BH5033" s="7"/>
      <c r="BQ5033" s="7"/>
      <c r="BZ5033" s="7"/>
    </row>
    <row r="5034" spans="2:78">
      <c r="B5034" s="7"/>
      <c r="O5034" s="7"/>
      <c r="X5034" s="7"/>
      <c r="AG5034" s="7"/>
      <c r="AP5034" s="7"/>
      <c r="AY5034" s="7"/>
      <c r="BH5034" s="7"/>
      <c r="BQ5034" s="7"/>
      <c r="BZ5034" s="7"/>
    </row>
    <row r="5035" spans="2:78">
      <c r="B5035" s="7"/>
      <c r="O5035" s="7"/>
      <c r="X5035" s="7"/>
      <c r="AG5035" s="7"/>
      <c r="AP5035" s="7"/>
      <c r="AY5035" s="7"/>
      <c r="BH5035" s="7"/>
      <c r="BQ5035" s="7"/>
      <c r="BZ5035" s="7"/>
    </row>
    <row r="5036" spans="2:78">
      <c r="B5036" s="7"/>
      <c r="O5036" s="7"/>
      <c r="X5036" s="7"/>
      <c r="AG5036" s="7"/>
      <c r="AP5036" s="7"/>
      <c r="AY5036" s="7"/>
      <c r="BH5036" s="7"/>
      <c r="BQ5036" s="7"/>
      <c r="BZ5036" s="7"/>
    </row>
    <row r="5037" spans="2:78">
      <c r="B5037" s="7"/>
      <c r="O5037" s="7"/>
      <c r="X5037" s="7"/>
      <c r="AG5037" s="7"/>
      <c r="AP5037" s="7"/>
      <c r="AY5037" s="7"/>
      <c r="BH5037" s="7"/>
      <c r="BQ5037" s="7"/>
      <c r="BZ5037" s="7"/>
    </row>
    <row r="5038" spans="2:78">
      <c r="B5038" s="7"/>
      <c r="O5038" s="7"/>
      <c r="X5038" s="7"/>
      <c r="AG5038" s="7"/>
      <c r="AP5038" s="7"/>
      <c r="AY5038" s="7"/>
      <c r="BH5038" s="7"/>
      <c r="BQ5038" s="7"/>
      <c r="BZ5038" s="7"/>
    </row>
    <row r="5039" spans="2:78">
      <c r="B5039" s="7"/>
      <c r="O5039" s="7"/>
      <c r="X5039" s="7"/>
      <c r="AG5039" s="7"/>
      <c r="AP5039" s="7"/>
      <c r="AY5039" s="7"/>
      <c r="BH5039" s="7"/>
      <c r="BQ5039" s="7"/>
      <c r="BZ5039" s="7"/>
    </row>
    <row r="5040" spans="2:78">
      <c r="B5040" s="7"/>
      <c r="O5040" s="7"/>
      <c r="X5040" s="7"/>
      <c r="AG5040" s="7"/>
      <c r="AP5040" s="7"/>
      <c r="AY5040" s="7"/>
      <c r="BH5040" s="7"/>
      <c r="BQ5040" s="7"/>
      <c r="BZ5040" s="7"/>
    </row>
    <row r="5041" spans="2:78">
      <c r="B5041" s="7"/>
      <c r="O5041" s="7"/>
      <c r="X5041" s="7"/>
      <c r="AG5041" s="7"/>
      <c r="AP5041" s="7"/>
      <c r="AY5041" s="7"/>
      <c r="BH5041" s="7"/>
      <c r="BQ5041" s="7"/>
      <c r="BZ5041" s="7"/>
    </row>
    <row r="5042" spans="2:78">
      <c r="B5042" s="7"/>
      <c r="O5042" s="7"/>
      <c r="X5042" s="7"/>
      <c r="AG5042" s="7"/>
      <c r="AP5042" s="7"/>
      <c r="AY5042" s="7"/>
      <c r="BH5042" s="7"/>
      <c r="BQ5042" s="7"/>
      <c r="BZ5042" s="7"/>
    </row>
    <row r="5043" spans="2:78">
      <c r="B5043" s="7"/>
      <c r="O5043" s="7"/>
      <c r="X5043" s="7"/>
      <c r="AG5043" s="7"/>
      <c r="AP5043" s="7"/>
      <c r="AY5043" s="7"/>
      <c r="BH5043" s="7"/>
      <c r="BQ5043" s="7"/>
      <c r="BZ5043" s="7"/>
    </row>
    <row r="5044" spans="2:78">
      <c r="B5044" s="7"/>
      <c r="O5044" s="7"/>
      <c r="X5044" s="7"/>
      <c r="AG5044" s="7"/>
      <c r="AP5044" s="7"/>
      <c r="AY5044" s="7"/>
      <c r="BH5044" s="7"/>
      <c r="BQ5044" s="7"/>
      <c r="BZ5044" s="7"/>
    </row>
    <row r="5045" spans="2:78">
      <c r="B5045" s="7"/>
      <c r="O5045" s="7"/>
      <c r="X5045" s="7"/>
      <c r="AG5045" s="7"/>
      <c r="AP5045" s="7"/>
      <c r="AY5045" s="7"/>
      <c r="BH5045" s="7"/>
      <c r="BQ5045" s="7"/>
      <c r="BZ5045" s="7"/>
    </row>
    <row r="5046" spans="2:78">
      <c r="B5046" s="7"/>
      <c r="O5046" s="7"/>
      <c r="X5046" s="7"/>
      <c r="AG5046" s="7"/>
      <c r="AP5046" s="7"/>
      <c r="AY5046" s="7"/>
      <c r="BH5046" s="7"/>
      <c r="BQ5046" s="7"/>
      <c r="BZ5046" s="7"/>
    </row>
    <row r="5047" spans="2:78">
      <c r="B5047" s="7"/>
      <c r="O5047" s="7"/>
      <c r="X5047" s="7"/>
      <c r="AG5047" s="7"/>
      <c r="AP5047" s="7"/>
      <c r="AY5047" s="7"/>
      <c r="BH5047" s="7"/>
      <c r="BQ5047" s="7"/>
      <c r="BZ5047" s="7"/>
    </row>
    <row r="5048" spans="2:78">
      <c r="B5048" s="7"/>
      <c r="O5048" s="7"/>
      <c r="X5048" s="7"/>
      <c r="AG5048" s="7"/>
      <c r="AP5048" s="7"/>
      <c r="AY5048" s="7"/>
      <c r="BH5048" s="7"/>
      <c r="BQ5048" s="7"/>
      <c r="BZ5048" s="7"/>
    </row>
    <row r="5049" spans="2:78">
      <c r="B5049" s="7"/>
      <c r="O5049" s="7"/>
      <c r="X5049" s="7"/>
      <c r="AG5049" s="7"/>
      <c r="AP5049" s="7"/>
      <c r="AY5049" s="7"/>
      <c r="BH5049" s="7"/>
      <c r="BQ5049" s="7"/>
      <c r="BZ5049" s="7"/>
    </row>
    <row r="5050" spans="2:78">
      <c r="B5050" s="7"/>
      <c r="O5050" s="7"/>
      <c r="X5050" s="7"/>
      <c r="AG5050" s="7"/>
      <c r="AP5050" s="7"/>
      <c r="AY5050" s="7"/>
      <c r="BH5050" s="7"/>
      <c r="BQ5050" s="7"/>
      <c r="BZ5050" s="7"/>
    </row>
    <row r="5051" spans="2:78">
      <c r="B5051" s="7"/>
      <c r="O5051" s="7"/>
      <c r="X5051" s="7"/>
      <c r="AG5051" s="7"/>
      <c r="AP5051" s="7"/>
      <c r="AY5051" s="7"/>
      <c r="BH5051" s="7"/>
      <c r="BQ5051" s="7"/>
      <c r="BZ5051" s="7"/>
    </row>
    <row r="5052" spans="2:78">
      <c r="B5052" s="7"/>
      <c r="O5052" s="7"/>
      <c r="X5052" s="7"/>
      <c r="AG5052" s="7"/>
      <c r="AP5052" s="7"/>
      <c r="AY5052" s="7"/>
      <c r="BH5052" s="7"/>
      <c r="BQ5052" s="7"/>
      <c r="BZ5052" s="7"/>
    </row>
    <row r="5053" spans="2:78">
      <c r="B5053" s="7"/>
      <c r="O5053" s="7"/>
      <c r="X5053" s="7"/>
      <c r="AG5053" s="7"/>
      <c r="AP5053" s="7"/>
      <c r="AY5053" s="7"/>
      <c r="BH5053" s="7"/>
      <c r="BQ5053" s="7"/>
      <c r="BZ5053" s="7"/>
    </row>
    <row r="5054" spans="2:78">
      <c r="B5054" s="7"/>
      <c r="O5054" s="7"/>
      <c r="X5054" s="7"/>
      <c r="AG5054" s="7"/>
      <c r="AP5054" s="7"/>
      <c r="AY5054" s="7"/>
      <c r="BH5054" s="7"/>
      <c r="BQ5054" s="7"/>
      <c r="BZ5054" s="7"/>
    </row>
    <row r="5055" spans="2:78">
      <c r="B5055" s="7"/>
      <c r="O5055" s="7"/>
      <c r="X5055" s="7"/>
      <c r="AG5055" s="7"/>
      <c r="AP5055" s="7"/>
      <c r="AY5055" s="7"/>
      <c r="BH5055" s="7"/>
      <c r="BQ5055" s="7"/>
      <c r="BZ5055" s="7"/>
    </row>
    <row r="5056" spans="2:78">
      <c r="B5056" s="7"/>
      <c r="O5056" s="7"/>
      <c r="X5056" s="7"/>
      <c r="AG5056" s="7"/>
      <c r="AP5056" s="7"/>
      <c r="AY5056" s="7"/>
      <c r="BH5056" s="7"/>
      <c r="BQ5056" s="7"/>
      <c r="BZ5056" s="7"/>
    </row>
    <row r="5057" spans="2:78">
      <c r="B5057" s="7"/>
      <c r="O5057" s="7"/>
      <c r="X5057" s="7"/>
      <c r="AG5057" s="7"/>
      <c r="AP5057" s="7"/>
      <c r="AY5057" s="7"/>
      <c r="BH5057" s="7"/>
      <c r="BQ5057" s="7"/>
      <c r="BZ5057" s="7"/>
    </row>
    <row r="5058" spans="2:78">
      <c r="B5058" s="7"/>
      <c r="O5058" s="7"/>
      <c r="X5058" s="7"/>
      <c r="AG5058" s="7"/>
      <c r="AP5058" s="7"/>
      <c r="AY5058" s="7"/>
      <c r="BH5058" s="7"/>
      <c r="BQ5058" s="7"/>
      <c r="BZ5058" s="7"/>
    </row>
    <row r="5059" spans="2:78">
      <c r="B5059" s="7"/>
      <c r="O5059" s="7"/>
      <c r="X5059" s="7"/>
      <c r="AG5059" s="7"/>
      <c r="AP5059" s="7"/>
      <c r="AY5059" s="7"/>
      <c r="BH5059" s="7"/>
      <c r="BQ5059" s="7"/>
      <c r="BZ5059" s="7"/>
    </row>
    <row r="5060" spans="2:78">
      <c r="B5060" s="7"/>
      <c r="O5060" s="7"/>
      <c r="X5060" s="7"/>
      <c r="AG5060" s="7"/>
      <c r="AP5060" s="7"/>
      <c r="AY5060" s="7"/>
      <c r="BH5060" s="7"/>
      <c r="BQ5060" s="7"/>
      <c r="BZ5060" s="7"/>
    </row>
    <row r="5061" spans="2:78">
      <c r="B5061" s="7"/>
      <c r="O5061" s="7"/>
      <c r="X5061" s="7"/>
      <c r="AG5061" s="7"/>
      <c r="AP5061" s="7"/>
      <c r="AY5061" s="7"/>
      <c r="BH5061" s="7"/>
      <c r="BQ5061" s="7"/>
      <c r="BZ5061" s="7"/>
    </row>
    <row r="5062" spans="2:78">
      <c r="B5062" s="7"/>
      <c r="O5062" s="7"/>
      <c r="X5062" s="7"/>
      <c r="AG5062" s="7"/>
      <c r="AP5062" s="7"/>
      <c r="AY5062" s="7"/>
      <c r="BH5062" s="7"/>
      <c r="BQ5062" s="7"/>
      <c r="BZ5062" s="7"/>
    </row>
    <row r="5063" spans="2:78">
      <c r="B5063" s="7"/>
      <c r="O5063" s="7"/>
      <c r="X5063" s="7"/>
      <c r="AG5063" s="7"/>
      <c r="AP5063" s="7"/>
      <c r="AY5063" s="7"/>
      <c r="BH5063" s="7"/>
      <c r="BQ5063" s="7"/>
      <c r="BZ5063" s="7"/>
    </row>
    <row r="5064" spans="2:78">
      <c r="B5064" s="7"/>
      <c r="O5064" s="7"/>
      <c r="X5064" s="7"/>
      <c r="AG5064" s="7"/>
      <c r="AP5064" s="7"/>
      <c r="AY5064" s="7"/>
      <c r="BH5064" s="7"/>
      <c r="BQ5064" s="7"/>
      <c r="BZ5064" s="7"/>
    </row>
    <row r="5065" spans="2:78">
      <c r="B5065" s="7"/>
      <c r="O5065" s="7"/>
      <c r="X5065" s="7"/>
      <c r="AG5065" s="7"/>
      <c r="AP5065" s="7"/>
      <c r="AY5065" s="7"/>
      <c r="BH5065" s="7"/>
      <c r="BQ5065" s="7"/>
      <c r="BZ5065" s="7"/>
    </row>
    <row r="5066" spans="2:78">
      <c r="B5066" s="7"/>
      <c r="O5066" s="7"/>
      <c r="X5066" s="7"/>
      <c r="AG5066" s="7"/>
      <c r="AP5066" s="7"/>
      <c r="AY5066" s="7"/>
      <c r="BH5066" s="7"/>
      <c r="BQ5066" s="7"/>
      <c r="BZ5066" s="7"/>
    </row>
    <row r="5067" spans="2:78">
      <c r="B5067" s="7"/>
      <c r="O5067" s="7"/>
      <c r="X5067" s="7"/>
      <c r="AG5067" s="7"/>
      <c r="AP5067" s="7"/>
      <c r="AY5067" s="7"/>
      <c r="BH5067" s="7"/>
      <c r="BQ5067" s="7"/>
      <c r="BZ5067" s="7"/>
    </row>
    <row r="5068" spans="2:78">
      <c r="B5068" s="7"/>
      <c r="O5068" s="7"/>
      <c r="X5068" s="7"/>
      <c r="AG5068" s="7"/>
      <c r="AP5068" s="7"/>
      <c r="AY5068" s="7"/>
      <c r="BH5068" s="7"/>
      <c r="BQ5068" s="7"/>
      <c r="BZ5068" s="7"/>
    </row>
    <row r="5069" spans="2:78">
      <c r="B5069" s="7"/>
      <c r="O5069" s="7"/>
      <c r="X5069" s="7"/>
      <c r="AG5069" s="7"/>
      <c r="AP5069" s="7"/>
      <c r="AY5069" s="7"/>
      <c r="BH5069" s="7"/>
      <c r="BQ5069" s="7"/>
      <c r="BZ5069" s="7"/>
    </row>
    <row r="5070" spans="2:78">
      <c r="B5070" s="7"/>
      <c r="O5070" s="7"/>
      <c r="X5070" s="7"/>
      <c r="AG5070" s="7"/>
      <c r="AP5070" s="7"/>
      <c r="AY5070" s="7"/>
      <c r="BH5070" s="7"/>
      <c r="BQ5070" s="7"/>
      <c r="BZ5070" s="7"/>
    </row>
    <row r="5071" spans="2:78">
      <c r="B5071" s="7"/>
      <c r="O5071" s="7"/>
      <c r="X5071" s="7"/>
      <c r="AG5071" s="7"/>
      <c r="AP5071" s="7"/>
      <c r="AY5071" s="7"/>
      <c r="BH5071" s="7"/>
      <c r="BQ5071" s="7"/>
      <c r="BZ5071" s="7"/>
    </row>
    <row r="5072" spans="2:78">
      <c r="B5072" s="7"/>
      <c r="O5072" s="7"/>
      <c r="X5072" s="7"/>
      <c r="AG5072" s="7"/>
      <c r="AP5072" s="7"/>
      <c r="AY5072" s="7"/>
      <c r="BH5072" s="7"/>
      <c r="BQ5072" s="7"/>
      <c r="BZ5072" s="7"/>
    </row>
    <row r="5073" spans="2:78">
      <c r="B5073" s="7"/>
      <c r="O5073" s="7"/>
      <c r="X5073" s="7"/>
      <c r="AG5073" s="7"/>
      <c r="AP5073" s="7"/>
      <c r="AY5073" s="7"/>
      <c r="BH5073" s="7"/>
      <c r="BQ5073" s="7"/>
      <c r="BZ5073" s="7"/>
    </row>
    <row r="5074" spans="2:78">
      <c r="B5074" s="7"/>
      <c r="O5074" s="7"/>
      <c r="X5074" s="7"/>
      <c r="AG5074" s="7"/>
      <c r="AP5074" s="7"/>
      <c r="AY5074" s="7"/>
      <c r="BH5074" s="7"/>
      <c r="BQ5074" s="7"/>
      <c r="BZ5074" s="7"/>
    </row>
    <row r="5075" spans="2:78">
      <c r="B5075" s="7"/>
      <c r="O5075" s="7"/>
      <c r="X5075" s="7"/>
      <c r="AG5075" s="7"/>
      <c r="AP5075" s="7"/>
      <c r="AY5075" s="7"/>
      <c r="BH5075" s="7"/>
      <c r="BQ5075" s="7"/>
      <c r="BZ5075" s="7"/>
    </row>
    <row r="5076" spans="2:78">
      <c r="B5076" s="7"/>
      <c r="O5076" s="7"/>
      <c r="X5076" s="7"/>
      <c r="AG5076" s="7"/>
      <c r="AP5076" s="7"/>
      <c r="AY5076" s="7"/>
      <c r="BH5076" s="7"/>
      <c r="BQ5076" s="7"/>
      <c r="BZ5076" s="7"/>
    </row>
    <row r="5077" spans="2:78">
      <c r="B5077" s="7"/>
      <c r="O5077" s="7"/>
      <c r="X5077" s="7"/>
      <c r="AG5077" s="7"/>
      <c r="AP5077" s="7"/>
      <c r="AY5077" s="7"/>
      <c r="BH5077" s="7"/>
      <c r="BQ5077" s="7"/>
      <c r="BZ5077" s="7"/>
    </row>
    <row r="5078" spans="2:78">
      <c r="B5078" s="7"/>
      <c r="O5078" s="7"/>
      <c r="X5078" s="7"/>
      <c r="AG5078" s="7"/>
      <c r="AP5078" s="7"/>
      <c r="AY5078" s="7"/>
      <c r="BH5078" s="7"/>
      <c r="BQ5078" s="7"/>
      <c r="BZ5078" s="7"/>
    </row>
    <row r="5079" spans="2:78">
      <c r="B5079" s="7"/>
      <c r="O5079" s="7"/>
      <c r="X5079" s="7"/>
      <c r="AG5079" s="7"/>
      <c r="AP5079" s="7"/>
      <c r="AY5079" s="7"/>
      <c r="BH5079" s="7"/>
      <c r="BQ5079" s="7"/>
      <c r="BZ5079" s="7"/>
    </row>
    <row r="5080" spans="2:78">
      <c r="B5080" s="7"/>
      <c r="O5080" s="7"/>
      <c r="X5080" s="7"/>
      <c r="AG5080" s="7"/>
      <c r="AP5080" s="7"/>
      <c r="AY5080" s="7"/>
      <c r="BH5080" s="7"/>
      <c r="BQ5080" s="7"/>
      <c r="BZ5080" s="7"/>
    </row>
    <row r="5081" spans="2:78">
      <c r="B5081" s="7"/>
      <c r="O5081" s="7"/>
      <c r="X5081" s="7"/>
      <c r="AG5081" s="7"/>
      <c r="AP5081" s="7"/>
      <c r="AY5081" s="7"/>
      <c r="BH5081" s="7"/>
      <c r="BQ5081" s="7"/>
      <c r="BZ5081" s="7"/>
    </row>
    <row r="5082" spans="2:78">
      <c r="B5082" s="7"/>
      <c r="O5082" s="7"/>
      <c r="X5082" s="7"/>
      <c r="AG5082" s="7"/>
      <c r="AP5082" s="7"/>
      <c r="AY5082" s="7"/>
      <c r="BH5082" s="7"/>
      <c r="BQ5082" s="7"/>
      <c r="BZ5082" s="7"/>
    </row>
    <row r="5083" spans="2:78">
      <c r="B5083" s="7"/>
      <c r="O5083" s="7"/>
      <c r="X5083" s="7"/>
      <c r="AG5083" s="7"/>
      <c r="AP5083" s="7"/>
      <c r="AY5083" s="7"/>
      <c r="BH5083" s="7"/>
      <c r="BQ5083" s="7"/>
      <c r="BZ5083" s="7"/>
    </row>
    <row r="5084" spans="2:78">
      <c r="B5084" s="7"/>
      <c r="O5084" s="7"/>
      <c r="X5084" s="7"/>
      <c r="AG5084" s="7"/>
      <c r="AP5084" s="7"/>
      <c r="AY5084" s="7"/>
      <c r="BH5084" s="7"/>
      <c r="BQ5084" s="7"/>
      <c r="BZ5084" s="7"/>
    </row>
    <row r="5085" spans="2:78">
      <c r="B5085" s="7"/>
      <c r="O5085" s="7"/>
      <c r="X5085" s="7"/>
      <c r="AG5085" s="7"/>
      <c r="AP5085" s="7"/>
      <c r="AY5085" s="7"/>
      <c r="BH5085" s="7"/>
      <c r="BQ5085" s="7"/>
      <c r="BZ5085" s="7"/>
    </row>
    <row r="5086" spans="2:78">
      <c r="B5086" s="7"/>
      <c r="O5086" s="7"/>
      <c r="X5086" s="7"/>
      <c r="AG5086" s="7"/>
      <c r="AP5086" s="7"/>
      <c r="AY5086" s="7"/>
      <c r="BH5086" s="7"/>
      <c r="BQ5086" s="7"/>
      <c r="BZ5086" s="7"/>
    </row>
    <row r="5087" spans="2:78">
      <c r="B5087" s="7"/>
      <c r="O5087" s="7"/>
      <c r="X5087" s="7"/>
      <c r="AG5087" s="7"/>
      <c r="AP5087" s="7"/>
      <c r="AY5087" s="7"/>
      <c r="BH5087" s="7"/>
      <c r="BQ5087" s="7"/>
      <c r="BZ5087" s="7"/>
    </row>
    <row r="5088" spans="2:78">
      <c r="B5088" s="7"/>
      <c r="O5088" s="7"/>
      <c r="X5088" s="7"/>
      <c r="AG5088" s="7"/>
      <c r="AP5088" s="7"/>
      <c r="AY5088" s="7"/>
      <c r="BH5088" s="7"/>
      <c r="BQ5088" s="7"/>
      <c r="BZ5088" s="7"/>
    </row>
    <row r="5089" spans="2:78">
      <c r="B5089" s="7"/>
      <c r="O5089" s="7"/>
      <c r="X5089" s="7"/>
      <c r="AG5089" s="7"/>
      <c r="AP5089" s="7"/>
      <c r="AY5089" s="7"/>
      <c r="BH5089" s="7"/>
      <c r="BQ5089" s="7"/>
      <c r="BZ5089" s="7"/>
    </row>
    <row r="5090" spans="2:78">
      <c r="B5090" s="7"/>
      <c r="O5090" s="7"/>
      <c r="X5090" s="7"/>
      <c r="AG5090" s="7"/>
      <c r="AP5090" s="7"/>
      <c r="AY5090" s="7"/>
      <c r="BH5090" s="7"/>
      <c r="BQ5090" s="7"/>
      <c r="BZ5090" s="7"/>
    </row>
    <row r="5091" spans="2:78">
      <c r="B5091" s="7"/>
      <c r="O5091" s="7"/>
      <c r="X5091" s="7"/>
      <c r="AG5091" s="7"/>
      <c r="AP5091" s="7"/>
      <c r="AY5091" s="7"/>
      <c r="BH5091" s="7"/>
      <c r="BQ5091" s="7"/>
      <c r="BZ5091" s="7"/>
    </row>
    <row r="5092" spans="2:78">
      <c r="B5092" s="7"/>
      <c r="O5092" s="7"/>
      <c r="X5092" s="7"/>
      <c r="AG5092" s="7"/>
      <c r="AP5092" s="7"/>
      <c r="AY5092" s="7"/>
      <c r="BH5092" s="7"/>
      <c r="BQ5092" s="7"/>
      <c r="BZ5092" s="7"/>
    </row>
    <row r="5093" spans="2:78">
      <c r="B5093" s="7"/>
      <c r="O5093" s="7"/>
      <c r="X5093" s="7"/>
      <c r="AG5093" s="7"/>
      <c r="AP5093" s="7"/>
      <c r="AY5093" s="7"/>
      <c r="BH5093" s="7"/>
      <c r="BQ5093" s="7"/>
      <c r="BZ5093" s="7"/>
    </row>
    <row r="5094" spans="2:78">
      <c r="B5094" s="7"/>
      <c r="O5094" s="7"/>
      <c r="X5094" s="7"/>
      <c r="AG5094" s="7"/>
      <c r="AP5094" s="7"/>
      <c r="AY5094" s="7"/>
      <c r="BH5094" s="7"/>
      <c r="BQ5094" s="7"/>
      <c r="BZ5094" s="7"/>
    </row>
    <row r="5095" spans="2:78">
      <c r="B5095" s="7"/>
      <c r="O5095" s="7"/>
      <c r="X5095" s="7"/>
      <c r="AG5095" s="7"/>
      <c r="AP5095" s="7"/>
      <c r="AY5095" s="7"/>
      <c r="BH5095" s="7"/>
      <c r="BQ5095" s="7"/>
      <c r="BZ5095" s="7"/>
    </row>
    <row r="5096" spans="2:78">
      <c r="B5096" s="7"/>
      <c r="O5096" s="7"/>
      <c r="X5096" s="7"/>
      <c r="AG5096" s="7"/>
      <c r="AP5096" s="7"/>
      <c r="AY5096" s="7"/>
      <c r="BH5096" s="7"/>
      <c r="BQ5096" s="7"/>
      <c r="BZ5096" s="7"/>
    </row>
    <row r="5097" spans="2:78">
      <c r="B5097" s="7"/>
      <c r="O5097" s="7"/>
      <c r="X5097" s="7"/>
      <c r="AG5097" s="7"/>
      <c r="AP5097" s="7"/>
      <c r="AY5097" s="7"/>
      <c r="BH5097" s="7"/>
      <c r="BQ5097" s="7"/>
      <c r="BZ5097" s="7"/>
    </row>
    <row r="5098" spans="2:78">
      <c r="B5098" s="7"/>
      <c r="O5098" s="7"/>
      <c r="X5098" s="7"/>
      <c r="AG5098" s="7"/>
      <c r="AP5098" s="7"/>
      <c r="AY5098" s="7"/>
      <c r="BH5098" s="7"/>
      <c r="BQ5098" s="7"/>
      <c r="BZ5098" s="7"/>
    </row>
    <row r="5099" spans="2:78">
      <c r="B5099" s="7"/>
      <c r="O5099" s="7"/>
      <c r="X5099" s="7"/>
      <c r="AG5099" s="7"/>
      <c r="AP5099" s="7"/>
      <c r="AY5099" s="7"/>
      <c r="BH5099" s="7"/>
      <c r="BQ5099" s="7"/>
      <c r="BZ5099" s="7"/>
    </row>
    <row r="5100" spans="2:78">
      <c r="B5100" s="7"/>
      <c r="O5100" s="7"/>
      <c r="X5100" s="7"/>
      <c r="AG5100" s="7"/>
      <c r="AP5100" s="7"/>
      <c r="AY5100" s="7"/>
      <c r="BH5100" s="7"/>
      <c r="BQ5100" s="7"/>
      <c r="BZ5100" s="7"/>
    </row>
    <row r="5101" spans="2:78">
      <c r="B5101" s="7"/>
      <c r="O5101" s="7"/>
      <c r="X5101" s="7"/>
      <c r="AG5101" s="7"/>
      <c r="AP5101" s="7"/>
      <c r="AY5101" s="7"/>
      <c r="BH5101" s="7"/>
      <c r="BQ5101" s="7"/>
      <c r="BZ5101" s="7"/>
    </row>
    <row r="5102" spans="2:78">
      <c r="B5102" s="7"/>
      <c r="O5102" s="7"/>
      <c r="X5102" s="7"/>
      <c r="AG5102" s="7"/>
      <c r="AP5102" s="7"/>
      <c r="AY5102" s="7"/>
      <c r="BH5102" s="7"/>
      <c r="BQ5102" s="7"/>
      <c r="BZ5102" s="7"/>
    </row>
    <row r="5103" spans="2:78">
      <c r="B5103" s="7"/>
      <c r="O5103" s="7"/>
      <c r="X5103" s="7"/>
      <c r="AG5103" s="7"/>
      <c r="AP5103" s="7"/>
      <c r="AY5103" s="7"/>
      <c r="BH5103" s="7"/>
      <c r="BQ5103" s="7"/>
      <c r="BZ5103" s="7"/>
    </row>
    <row r="5104" spans="2:78">
      <c r="B5104" s="7"/>
      <c r="O5104" s="7"/>
      <c r="X5104" s="7"/>
      <c r="AG5104" s="7"/>
      <c r="AP5104" s="7"/>
      <c r="AY5104" s="7"/>
      <c r="BH5104" s="7"/>
      <c r="BQ5104" s="7"/>
      <c r="BZ5104" s="7"/>
    </row>
    <row r="5105" spans="2:78">
      <c r="B5105" s="7"/>
      <c r="O5105" s="7"/>
      <c r="X5105" s="7"/>
      <c r="AG5105" s="7"/>
      <c r="AP5105" s="7"/>
      <c r="AY5105" s="7"/>
      <c r="BH5105" s="7"/>
      <c r="BQ5105" s="7"/>
      <c r="BZ5105" s="7"/>
    </row>
    <row r="5106" spans="2:78">
      <c r="B5106" s="7"/>
      <c r="O5106" s="7"/>
      <c r="X5106" s="7"/>
      <c r="AG5106" s="7"/>
      <c r="AP5106" s="7"/>
      <c r="AY5106" s="7"/>
      <c r="BH5106" s="7"/>
      <c r="BQ5106" s="7"/>
      <c r="BZ5106" s="7"/>
    </row>
    <row r="5107" spans="2:78">
      <c r="B5107" s="7"/>
      <c r="O5107" s="7"/>
      <c r="X5107" s="7"/>
      <c r="AG5107" s="7"/>
      <c r="AP5107" s="7"/>
      <c r="AY5107" s="7"/>
      <c r="BH5107" s="7"/>
      <c r="BQ5107" s="7"/>
      <c r="BZ5107" s="7"/>
    </row>
    <row r="5108" spans="2:78">
      <c r="B5108" s="7"/>
      <c r="O5108" s="7"/>
      <c r="X5108" s="7"/>
      <c r="AG5108" s="7"/>
      <c r="AP5108" s="7"/>
      <c r="AY5108" s="7"/>
      <c r="BH5108" s="7"/>
      <c r="BQ5108" s="7"/>
      <c r="BZ5108" s="7"/>
    </row>
    <row r="5109" spans="2:78">
      <c r="B5109" s="7"/>
      <c r="O5109" s="7"/>
      <c r="X5109" s="7"/>
      <c r="AG5109" s="7"/>
      <c r="AP5109" s="7"/>
      <c r="AY5109" s="7"/>
      <c r="BH5109" s="7"/>
      <c r="BQ5109" s="7"/>
      <c r="BZ5109" s="7"/>
    </row>
    <row r="5110" spans="2:78">
      <c r="B5110" s="7"/>
      <c r="O5110" s="7"/>
      <c r="X5110" s="7"/>
      <c r="AG5110" s="7"/>
      <c r="AP5110" s="7"/>
      <c r="AY5110" s="7"/>
      <c r="BH5110" s="7"/>
      <c r="BQ5110" s="7"/>
      <c r="BZ5110" s="7"/>
    </row>
    <row r="5111" spans="2:78">
      <c r="B5111" s="7"/>
      <c r="O5111" s="7"/>
      <c r="X5111" s="7"/>
      <c r="AG5111" s="7"/>
      <c r="AP5111" s="7"/>
      <c r="AY5111" s="7"/>
      <c r="BH5111" s="7"/>
      <c r="BQ5111" s="7"/>
      <c r="BZ5111" s="7"/>
    </row>
    <row r="5112" spans="2:78">
      <c r="B5112" s="7"/>
      <c r="O5112" s="7"/>
      <c r="X5112" s="7"/>
      <c r="AG5112" s="7"/>
      <c r="AP5112" s="7"/>
      <c r="AY5112" s="7"/>
      <c r="BH5112" s="7"/>
      <c r="BQ5112" s="7"/>
      <c r="BZ5112" s="7"/>
    </row>
    <row r="5113" spans="2:78">
      <c r="B5113" s="7"/>
      <c r="O5113" s="7"/>
      <c r="X5113" s="7"/>
      <c r="AG5113" s="7"/>
      <c r="AP5113" s="7"/>
      <c r="AY5113" s="7"/>
      <c r="BH5113" s="7"/>
      <c r="BQ5113" s="7"/>
      <c r="BZ5113" s="7"/>
    </row>
    <row r="5114" spans="2:78">
      <c r="B5114" s="7"/>
      <c r="O5114" s="7"/>
      <c r="X5114" s="7"/>
      <c r="AG5114" s="7"/>
      <c r="AP5114" s="7"/>
      <c r="AY5114" s="7"/>
      <c r="BH5114" s="7"/>
      <c r="BQ5114" s="7"/>
      <c r="BZ5114" s="7"/>
    </row>
    <row r="5115" spans="2:78">
      <c r="B5115" s="7"/>
      <c r="O5115" s="7"/>
      <c r="X5115" s="7"/>
      <c r="AG5115" s="7"/>
      <c r="AP5115" s="7"/>
      <c r="AY5115" s="7"/>
      <c r="BH5115" s="7"/>
      <c r="BQ5115" s="7"/>
      <c r="BZ5115" s="7"/>
    </row>
    <row r="5116" spans="2:78">
      <c r="B5116" s="7"/>
      <c r="O5116" s="7"/>
      <c r="X5116" s="7"/>
      <c r="AG5116" s="7"/>
      <c r="AP5116" s="7"/>
      <c r="AY5116" s="7"/>
      <c r="BH5116" s="7"/>
      <c r="BQ5116" s="7"/>
      <c r="BZ5116" s="7"/>
    </row>
    <row r="5117" spans="2:78">
      <c r="B5117" s="7"/>
      <c r="O5117" s="7"/>
      <c r="X5117" s="7"/>
      <c r="AG5117" s="7"/>
      <c r="AP5117" s="7"/>
      <c r="AY5117" s="7"/>
      <c r="BH5117" s="7"/>
      <c r="BQ5117" s="7"/>
      <c r="BZ5117" s="7"/>
    </row>
    <row r="5118" spans="2:78">
      <c r="B5118" s="7"/>
      <c r="O5118" s="7"/>
      <c r="X5118" s="7"/>
      <c r="AG5118" s="7"/>
      <c r="AP5118" s="7"/>
      <c r="AY5118" s="7"/>
      <c r="BH5118" s="7"/>
      <c r="BQ5118" s="7"/>
      <c r="BZ5118" s="7"/>
    </row>
    <row r="5119" spans="2:78">
      <c r="B5119" s="7"/>
      <c r="O5119" s="7"/>
      <c r="X5119" s="7"/>
      <c r="AG5119" s="7"/>
      <c r="AP5119" s="7"/>
      <c r="AY5119" s="7"/>
      <c r="BH5119" s="7"/>
      <c r="BQ5119" s="7"/>
      <c r="BZ5119" s="7"/>
    </row>
    <row r="5120" spans="2:78">
      <c r="B5120" s="7"/>
      <c r="O5120" s="7"/>
      <c r="X5120" s="7"/>
      <c r="AG5120" s="7"/>
      <c r="AP5120" s="7"/>
      <c r="AY5120" s="7"/>
      <c r="BH5120" s="7"/>
      <c r="BQ5120" s="7"/>
      <c r="BZ5120" s="7"/>
    </row>
    <row r="5121" spans="2:78">
      <c r="B5121" s="7"/>
      <c r="O5121" s="7"/>
      <c r="X5121" s="7"/>
      <c r="AG5121" s="7"/>
      <c r="AP5121" s="7"/>
      <c r="AY5121" s="7"/>
      <c r="BH5121" s="7"/>
      <c r="BQ5121" s="7"/>
      <c r="BZ5121" s="7"/>
    </row>
    <row r="5122" spans="2:78">
      <c r="B5122" s="7"/>
      <c r="O5122" s="7"/>
      <c r="X5122" s="7"/>
      <c r="AG5122" s="7"/>
      <c r="AP5122" s="7"/>
      <c r="AY5122" s="7"/>
      <c r="BH5122" s="7"/>
      <c r="BQ5122" s="7"/>
      <c r="BZ5122" s="7"/>
    </row>
    <row r="5123" spans="2:78">
      <c r="B5123" s="7"/>
      <c r="O5123" s="7"/>
      <c r="X5123" s="7"/>
      <c r="AG5123" s="7"/>
      <c r="AP5123" s="7"/>
      <c r="AY5123" s="7"/>
      <c r="BH5123" s="7"/>
      <c r="BQ5123" s="7"/>
      <c r="BZ5123" s="7"/>
    </row>
    <row r="5124" spans="2:78">
      <c r="B5124" s="7"/>
      <c r="O5124" s="7"/>
      <c r="X5124" s="7"/>
      <c r="AG5124" s="7"/>
      <c r="AP5124" s="7"/>
      <c r="AY5124" s="7"/>
      <c r="BH5124" s="7"/>
      <c r="BQ5124" s="7"/>
      <c r="BZ5124" s="7"/>
    </row>
    <row r="5125" spans="2:78">
      <c r="B5125" s="7"/>
      <c r="O5125" s="7"/>
      <c r="X5125" s="7"/>
      <c r="AG5125" s="7"/>
      <c r="AP5125" s="7"/>
      <c r="AY5125" s="7"/>
      <c r="BH5125" s="7"/>
      <c r="BQ5125" s="7"/>
      <c r="BZ5125" s="7"/>
    </row>
    <row r="5126" spans="2:78">
      <c r="B5126" s="7"/>
      <c r="O5126" s="7"/>
      <c r="X5126" s="7"/>
      <c r="AG5126" s="7"/>
      <c r="AP5126" s="7"/>
      <c r="AY5126" s="7"/>
      <c r="BH5126" s="7"/>
      <c r="BQ5126" s="7"/>
      <c r="BZ5126" s="7"/>
    </row>
    <row r="5127" spans="2:78">
      <c r="B5127" s="7"/>
      <c r="O5127" s="7"/>
      <c r="X5127" s="7"/>
      <c r="AG5127" s="7"/>
      <c r="AP5127" s="7"/>
      <c r="AY5127" s="7"/>
      <c r="BH5127" s="7"/>
      <c r="BQ5127" s="7"/>
      <c r="BZ5127" s="7"/>
    </row>
    <row r="5128" spans="2:78">
      <c r="B5128" s="7"/>
      <c r="O5128" s="7"/>
      <c r="X5128" s="7"/>
      <c r="AG5128" s="7"/>
      <c r="AP5128" s="7"/>
      <c r="AY5128" s="7"/>
      <c r="BH5128" s="7"/>
      <c r="BQ5128" s="7"/>
      <c r="BZ5128" s="7"/>
    </row>
    <row r="5129" spans="2:78">
      <c r="B5129" s="7"/>
      <c r="O5129" s="7"/>
      <c r="X5129" s="7"/>
      <c r="AG5129" s="7"/>
      <c r="AP5129" s="7"/>
      <c r="AY5129" s="7"/>
      <c r="BH5129" s="7"/>
      <c r="BQ5129" s="7"/>
      <c r="BZ5129" s="7"/>
    </row>
    <row r="5130" spans="2:78">
      <c r="B5130" s="7"/>
      <c r="O5130" s="7"/>
      <c r="X5130" s="7"/>
      <c r="AG5130" s="7"/>
      <c r="AP5130" s="7"/>
      <c r="AY5130" s="7"/>
      <c r="BH5130" s="7"/>
      <c r="BQ5130" s="7"/>
      <c r="BZ5130" s="7"/>
    </row>
    <row r="5131" spans="2:78">
      <c r="B5131" s="7"/>
      <c r="O5131" s="7"/>
      <c r="X5131" s="7"/>
      <c r="AG5131" s="7"/>
      <c r="AP5131" s="7"/>
      <c r="AY5131" s="7"/>
      <c r="BH5131" s="7"/>
      <c r="BQ5131" s="7"/>
      <c r="BZ5131" s="7"/>
    </row>
    <row r="5132" spans="2:78">
      <c r="B5132" s="7"/>
      <c r="O5132" s="7"/>
      <c r="X5132" s="7"/>
      <c r="AG5132" s="7"/>
      <c r="AP5132" s="7"/>
      <c r="AY5132" s="7"/>
      <c r="BH5132" s="7"/>
      <c r="BQ5132" s="7"/>
      <c r="BZ5132" s="7"/>
    </row>
    <row r="5133" spans="2:78">
      <c r="B5133" s="7"/>
      <c r="O5133" s="7"/>
      <c r="X5133" s="7"/>
      <c r="AG5133" s="7"/>
      <c r="AP5133" s="7"/>
      <c r="AY5133" s="7"/>
      <c r="BH5133" s="7"/>
      <c r="BQ5133" s="7"/>
      <c r="BZ5133" s="7"/>
    </row>
    <row r="5134" spans="2:78">
      <c r="B5134" s="7"/>
      <c r="O5134" s="7"/>
      <c r="X5134" s="7"/>
      <c r="AG5134" s="7"/>
      <c r="AP5134" s="7"/>
      <c r="AY5134" s="7"/>
      <c r="BH5134" s="7"/>
      <c r="BQ5134" s="7"/>
      <c r="BZ5134" s="7"/>
    </row>
    <row r="5135" spans="2:78">
      <c r="B5135" s="7"/>
      <c r="O5135" s="7"/>
      <c r="X5135" s="7"/>
      <c r="AG5135" s="7"/>
      <c r="AP5135" s="7"/>
      <c r="AY5135" s="7"/>
      <c r="BH5135" s="7"/>
      <c r="BQ5135" s="7"/>
      <c r="BZ5135" s="7"/>
    </row>
    <row r="5136" spans="2:78">
      <c r="B5136" s="7"/>
      <c r="O5136" s="7"/>
      <c r="X5136" s="7"/>
      <c r="AG5136" s="7"/>
      <c r="AP5136" s="7"/>
      <c r="AY5136" s="7"/>
      <c r="BH5136" s="7"/>
      <c r="BQ5136" s="7"/>
      <c r="BZ5136" s="7"/>
    </row>
    <row r="5137" spans="2:78">
      <c r="B5137" s="7"/>
      <c r="O5137" s="7"/>
      <c r="X5137" s="7"/>
      <c r="AG5137" s="7"/>
      <c r="AP5137" s="7"/>
      <c r="AY5137" s="7"/>
      <c r="BH5137" s="7"/>
      <c r="BQ5137" s="7"/>
      <c r="BZ5137" s="7"/>
    </row>
    <row r="5138" spans="2:78">
      <c r="B5138" s="7"/>
      <c r="O5138" s="7"/>
      <c r="X5138" s="7"/>
      <c r="AG5138" s="7"/>
      <c r="AP5138" s="7"/>
      <c r="AY5138" s="7"/>
      <c r="BH5138" s="7"/>
      <c r="BQ5138" s="7"/>
      <c r="BZ5138" s="7"/>
    </row>
    <row r="5139" spans="2:78">
      <c r="B5139" s="7"/>
      <c r="O5139" s="7"/>
      <c r="X5139" s="7"/>
      <c r="AG5139" s="7"/>
      <c r="AP5139" s="7"/>
      <c r="AY5139" s="7"/>
      <c r="BH5139" s="7"/>
      <c r="BQ5139" s="7"/>
      <c r="BZ5139" s="7"/>
    </row>
    <row r="5140" spans="2:78">
      <c r="B5140" s="7"/>
      <c r="O5140" s="7"/>
      <c r="X5140" s="7"/>
      <c r="AG5140" s="7"/>
      <c r="AP5140" s="7"/>
      <c r="AY5140" s="7"/>
      <c r="BH5140" s="7"/>
      <c r="BQ5140" s="7"/>
      <c r="BZ5140" s="7"/>
    </row>
    <row r="5141" spans="2:78">
      <c r="B5141" s="7"/>
      <c r="O5141" s="7"/>
      <c r="X5141" s="7"/>
      <c r="AG5141" s="7"/>
      <c r="AP5141" s="7"/>
      <c r="AY5141" s="7"/>
      <c r="BH5141" s="7"/>
      <c r="BQ5141" s="7"/>
      <c r="BZ5141" s="7"/>
    </row>
    <row r="5142" spans="2:78">
      <c r="B5142" s="7"/>
      <c r="O5142" s="7"/>
      <c r="X5142" s="7"/>
      <c r="AG5142" s="7"/>
      <c r="AP5142" s="7"/>
      <c r="AY5142" s="7"/>
      <c r="BH5142" s="7"/>
      <c r="BQ5142" s="7"/>
      <c r="BZ5142" s="7"/>
    </row>
    <row r="5143" spans="2:78">
      <c r="B5143" s="7"/>
      <c r="O5143" s="7"/>
      <c r="X5143" s="7"/>
      <c r="AG5143" s="7"/>
      <c r="AP5143" s="7"/>
      <c r="AY5143" s="7"/>
      <c r="BH5143" s="7"/>
      <c r="BQ5143" s="7"/>
      <c r="BZ5143" s="7"/>
    </row>
    <row r="5144" spans="2:78">
      <c r="B5144" s="7"/>
      <c r="O5144" s="7"/>
      <c r="X5144" s="7"/>
      <c r="AG5144" s="7"/>
      <c r="AP5144" s="7"/>
      <c r="AY5144" s="7"/>
      <c r="BH5144" s="7"/>
      <c r="BQ5144" s="7"/>
      <c r="BZ5144" s="7"/>
    </row>
    <row r="5145" spans="2:78">
      <c r="B5145" s="7"/>
      <c r="O5145" s="7"/>
      <c r="X5145" s="7"/>
      <c r="AG5145" s="7"/>
      <c r="AP5145" s="7"/>
      <c r="AY5145" s="7"/>
      <c r="BH5145" s="7"/>
      <c r="BQ5145" s="7"/>
      <c r="BZ5145" s="7"/>
    </row>
    <row r="5146" spans="2:78">
      <c r="B5146" s="7"/>
      <c r="O5146" s="7"/>
      <c r="X5146" s="7"/>
      <c r="AG5146" s="7"/>
      <c r="AP5146" s="7"/>
      <c r="AY5146" s="7"/>
      <c r="BH5146" s="7"/>
      <c r="BQ5146" s="7"/>
      <c r="BZ5146" s="7"/>
    </row>
    <row r="5147" spans="2:78">
      <c r="B5147" s="7"/>
      <c r="O5147" s="7"/>
      <c r="X5147" s="7"/>
      <c r="AG5147" s="7"/>
      <c r="AP5147" s="7"/>
      <c r="AY5147" s="7"/>
      <c r="BH5147" s="7"/>
      <c r="BQ5147" s="7"/>
      <c r="BZ5147" s="7"/>
    </row>
    <row r="5148" spans="2:78">
      <c r="B5148" s="7"/>
      <c r="O5148" s="7"/>
      <c r="X5148" s="7"/>
      <c r="AG5148" s="7"/>
      <c r="AP5148" s="7"/>
      <c r="AY5148" s="7"/>
      <c r="BH5148" s="7"/>
      <c r="BQ5148" s="7"/>
      <c r="BZ5148" s="7"/>
    </row>
    <row r="5149" spans="2:78">
      <c r="B5149" s="7"/>
      <c r="O5149" s="7"/>
      <c r="X5149" s="7"/>
      <c r="AG5149" s="7"/>
      <c r="AP5149" s="7"/>
      <c r="AY5149" s="7"/>
      <c r="BH5149" s="7"/>
      <c r="BQ5149" s="7"/>
      <c r="BZ5149" s="7"/>
    </row>
    <row r="5150" spans="2:78">
      <c r="B5150" s="7"/>
      <c r="O5150" s="7"/>
      <c r="X5150" s="7"/>
      <c r="AG5150" s="7"/>
      <c r="AP5150" s="7"/>
      <c r="AY5150" s="7"/>
      <c r="BH5150" s="7"/>
      <c r="BQ5150" s="7"/>
      <c r="BZ5150" s="7"/>
    </row>
    <row r="5151" spans="2:78">
      <c r="B5151" s="7"/>
      <c r="O5151" s="7"/>
      <c r="X5151" s="7"/>
      <c r="AG5151" s="7"/>
      <c r="AP5151" s="7"/>
      <c r="AY5151" s="7"/>
      <c r="BH5151" s="7"/>
      <c r="BQ5151" s="7"/>
      <c r="BZ5151" s="7"/>
    </row>
    <row r="5152" spans="2:78">
      <c r="B5152" s="7"/>
      <c r="O5152" s="7"/>
      <c r="X5152" s="7"/>
      <c r="AG5152" s="7"/>
      <c r="AP5152" s="7"/>
      <c r="AY5152" s="7"/>
      <c r="BH5152" s="7"/>
      <c r="BQ5152" s="7"/>
      <c r="BZ5152" s="7"/>
    </row>
    <row r="5153" spans="2:78">
      <c r="B5153" s="7"/>
      <c r="O5153" s="7"/>
      <c r="X5153" s="7"/>
      <c r="AG5153" s="7"/>
      <c r="AP5153" s="7"/>
      <c r="AY5153" s="7"/>
      <c r="BH5153" s="7"/>
      <c r="BQ5153" s="7"/>
      <c r="BZ5153" s="7"/>
    </row>
    <row r="5154" spans="2:78">
      <c r="B5154" s="7"/>
      <c r="O5154" s="7"/>
      <c r="X5154" s="7"/>
      <c r="AG5154" s="7"/>
      <c r="AP5154" s="7"/>
      <c r="AY5154" s="7"/>
      <c r="BH5154" s="7"/>
      <c r="BQ5154" s="7"/>
      <c r="BZ5154" s="7"/>
    </row>
    <row r="5155" spans="2:78">
      <c r="B5155" s="7"/>
      <c r="O5155" s="7"/>
      <c r="X5155" s="7"/>
      <c r="AG5155" s="7"/>
      <c r="AP5155" s="7"/>
      <c r="AY5155" s="7"/>
      <c r="BH5155" s="7"/>
      <c r="BQ5155" s="7"/>
      <c r="BZ5155" s="7"/>
    </row>
    <row r="5156" spans="2:78">
      <c r="B5156" s="7"/>
      <c r="O5156" s="7"/>
      <c r="X5156" s="7"/>
      <c r="AG5156" s="7"/>
      <c r="AP5156" s="7"/>
      <c r="AY5156" s="7"/>
      <c r="BH5156" s="7"/>
      <c r="BQ5156" s="7"/>
      <c r="BZ5156" s="7"/>
    </row>
    <row r="5157" spans="2:78">
      <c r="B5157" s="7"/>
      <c r="O5157" s="7"/>
      <c r="X5157" s="7"/>
      <c r="AG5157" s="7"/>
      <c r="AP5157" s="7"/>
      <c r="AY5157" s="7"/>
      <c r="BH5157" s="7"/>
      <c r="BQ5157" s="7"/>
      <c r="BZ5157" s="7"/>
    </row>
    <row r="5158" spans="2:78">
      <c r="B5158" s="7"/>
      <c r="O5158" s="7"/>
      <c r="X5158" s="7"/>
      <c r="AG5158" s="7"/>
      <c r="AP5158" s="7"/>
      <c r="AY5158" s="7"/>
      <c r="BH5158" s="7"/>
      <c r="BQ5158" s="7"/>
      <c r="BZ5158" s="7"/>
    </row>
    <row r="5159" spans="2:78">
      <c r="B5159" s="7"/>
      <c r="O5159" s="7"/>
      <c r="X5159" s="7"/>
      <c r="AG5159" s="7"/>
      <c r="AP5159" s="7"/>
      <c r="AY5159" s="7"/>
      <c r="BH5159" s="7"/>
      <c r="BQ5159" s="7"/>
      <c r="BZ5159" s="7"/>
    </row>
    <row r="5160" spans="2:78">
      <c r="B5160" s="7"/>
      <c r="O5160" s="7"/>
      <c r="X5160" s="7"/>
      <c r="AG5160" s="7"/>
      <c r="AP5160" s="7"/>
      <c r="AY5160" s="7"/>
      <c r="BH5160" s="7"/>
      <c r="BQ5160" s="7"/>
      <c r="BZ5160" s="7"/>
    </row>
    <row r="5161" spans="2:78">
      <c r="B5161" s="7"/>
      <c r="O5161" s="7"/>
      <c r="X5161" s="7"/>
      <c r="AG5161" s="7"/>
      <c r="AP5161" s="7"/>
      <c r="AY5161" s="7"/>
      <c r="BH5161" s="7"/>
      <c r="BQ5161" s="7"/>
      <c r="BZ5161" s="7"/>
    </row>
    <row r="5162" spans="2:78">
      <c r="B5162" s="7"/>
      <c r="O5162" s="7"/>
      <c r="X5162" s="7"/>
      <c r="AG5162" s="7"/>
      <c r="AP5162" s="7"/>
      <c r="AY5162" s="7"/>
      <c r="BH5162" s="7"/>
      <c r="BQ5162" s="7"/>
      <c r="BZ5162" s="7"/>
    </row>
    <row r="5163" spans="2:78">
      <c r="B5163" s="7"/>
      <c r="O5163" s="7"/>
      <c r="X5163" s="7"/>
      <c r="AG5163" s="7"/>
      <c r="AP5163" s="7"/>
      <c r="AY5163" s="7"/>
      <c r="BH5163" s="7"/>
      <c r="BQ5163" s="7"/>
      <c r="BZ5163" s="7"/>
    </row>
    <row r="5164" spans="2:78">
      <c r="B5164" s="7"/>
      <c r="O5164" s="7"/>
      <c r="X5164" s="7"/>
      <c r="AG5164" s="7"/>
      <c r="AP5164" s="7"/>
      <c r="AY5164" s="7"/>
      <c r="BH5164" s="7"/>
      <c r="BQ5164" s="7"/>
      <c r="BZ5164" s="7"/>
    </row>
    <row r="5165" spans="2:78">
      <c r="B5165" s="7"/>
      <c r="O5165" s="7"/>
      <c r="X5165" s="7"/>
      <c r="AG5165" s="7"/>
      <c r="AP5165" s="7"/>
      <c r="AY5165" s="7"/>
      <c r="BH5165" s="7"/>
      <c r="BQ5165" s="7"/>
      <c r="BZ5165" s="7"/>
    </row>
    <row r="5166" spans="2:78">
      <c r="B5166" s="7"/>
      <c r="O5166" s="7"/>
      <c r="X5166" s="7"/>
      <c r="AG5166" s="7"/>
      <c r="AP5166" s="7"/>
      <c r="AY5166" s="7"/>
      <c r="BH5166" s="7"/>
      <c r="BQ5166" s="7"/>
      <c r="BZ5166" s="7"/>
    </row>
    <row r="5167" spans="2:78">
      <c r="B5167" s="7"/>
      <c r="O5167" s="7"/>
      <c r="X5167" s="7"/>
      <c r="AG5167" s="7"/>
      <c r="AP5167" s="7"/>
      <c r="AY5167" s="7"/>
      <c r="BH5167" s="7"/>
      <c r="BQ5167" s="7"/>
      <c r="BZ5167" s="7"/>
    </row>
    <row r="5168" spans="2:78">
      <c r="B5168" s="7"/>
      <c r="O5168" s="7"/>
      <c r="X5168" s="7"/>
      <c r="AG5168" s="7"/>
      <c r="AP5168" s="7"/>
      <c r="AY5168" s="7"/>
      <c r="BH5168" s="7"/>
      <c r="BQ5168" s="7"/>
      <c r="BZ5168" s="7"/>
    </row>
    <row r="5169" spans="2:78">
      <c r="B5169" s="7"/>
      <c r="O5169" s="7"/>
      <c r="X5169" s="7"/>
      <c r="AG5169" s="7"/>
      <c r="AP5169" s="7"/>
      <c r="AY5169" s="7"/>
      <c r="BH5169" s="7"/>
      <c r="BQ5169" s="7"/>
      <c r="BZ5169" s="7"/>
    </row>
    <row r="5170" spans="2:78">
      <c r="B5170" s="7"/>
      <c r="O5170" s="7"/>
      <c r="X5170" s="7"/>
      <c r="AG5170" s="7"/>
      <c r="AP5170" s="7"/>
      <c r="AY5170" s="7"/>
      <c r="BH5170" s="7"/>
      <c r="BQ5170" s="7"/>
      <c r="BZ5170" s="7"/>
    </row>
    <row r="5171" spans="2:78">
      <c r="B5171" s="7"/>
      <c r="O5171" s="7"/>
      <c r="X5171" s="7"/>
      <c r="AG5171" s="7"/>
      <c r="AP5171" s="7"/>
      <c r="AY5171" s="7"/>
      <c r="BH5171" s="7"/>
      <c r="BQ5171" s="7"/>
      <c r="BZ5171" s="7"/>
    </row>
    <row r="5172" spans="2:78">
      <c r="B5172" s="7"/>
      <c r="O5172" s="7"/>
      <c r="X5172" s="7"/>
      <c r="AG5172" s="7"/>
      <c r="AP5172" s="7"/>
      <c r="AY5172" s="7"/>
      <c r="BH5172" s="7"/>
      <c r="BQ5172" s="7"/>
      <c r="BZ5172" s="7"/>
    </row>
    <row r="5173" spans="2:78">
      <c r="B5173" s="7"/>
      <c r="O5173" s="7"/>
      <c r="X5173" s="7"/>
      <c r="AG5173" s="7"/>
      <c r="AP5173" s="7"/>
      <c r="AY5173" s="7"/>
      <c r="BH5173" s="7"/>
      <c r="BQ5173" s="7"/>
      <c r="BZ5173" s="7"/>
    </row>
    <row r="5174" spans="2:78">
      <c r="B5174" s="7"/>
      <c r="O5174" s="7"/>
      <c r="X5174" s="7"/>
      <c r="AG5174" s="7"/>
      <c r="AP5174" s="7"/>
      <c r="AY5174" s="7"/>
      <c r="BH5174" s="7"/>
      <c r="BQ5174" s="7"/>
      <c r="BZ5174" s="7"/>
    </row>
    <row r="5175" spans="2:78">
      <c r="B5175" s="7"/>
      <c r="O5175" s="7"/>
      <c r="X5175" s="7"/>
      <c r="AG5175" s="7"/>
      <c r="AP5175" s="7"/>
      <c r="AY5175" s="7"/>
      <c r="BH5175" s="7"/>
      <c r="BQ5175" s="7"/>
      <c r="BZ5175" s="7"/>
    </row>
    <row r="5176" spans="2:78">
      <c r="B5176" s="7"/>
      <c r="O5176" s="7"/>
      <c r="X5176" s="7"/>
      <c r="AG5176" s="7"/>
      <c r="AP5176" s="7"/>
      <c r="AY5176" s="7"/>
      <c r="BH5176" s="7"/>
      <c r="BQ5176" s="7"/>
      <c r="BZ5176" s="7"/>
    </row>
    <row r="5177" spans="2:78">
      <c r="B5177" s="7"/>
      <c r="O5177" s="7"/>
      <c r="X5177" s="7"/>
      <c r="AG5177" s="7"/>
      <c r="AP5177" s="7"/>
      <c r="AY5177" s="7"/>
      <c r="BH5177" s="7"/>
      <c r="BQ5177" s="7"/>
      <c r="BZ5177" s="7"/>
    </row>
    <row r="5178" spans="2:78">
      <c r="B5178" s="7"/>
      <c r="O5178" s="7"/>
      <c r="X5178" s="7"/>
      <c r="AG5178" s="7"/>
      <c r="AP5178" s="7"/>
      <c r="AY5178" s="7"/>
      <c r="BH5178" s="7"/>
      <c r="BQ5178" s="7"/>
      <c r="BZ5178" s="7"/>
    </row>
    <row r="5179" spans="2:78">
      <c r="B5179" s="7"/>
      <c r="O5179" s="7"/>
      <c r="X5179" s="7"/>
      <c r="AG5179" s="7"/>
      <c r="AP5179" s="7"/>
      <c r="AY5179" s="7"/>
      <c r="BH5179" s="7"/>
      <c r="BQ5179" s="7"/>
      <c r="BZ5179" s="7"/>
    </row>
    <row r="5180" spans="2:78">
      <c r="B5180" s="7"/>
      <c r="O5180" s="7"/>
      <c r="X5180" s="7"/>
      <c r="AG5180" s="7"/>
      <c r="AP5180" s="7"/>
      <c r="AY5180" s="7"/>
      <c r="BH5180" s="7"/>
      <c r="BQ5180" s="7"/>
      <c r="BZ5180" s="7"/>
    </row>
    <row r="5181" spans="2:78">
      <c r="B5181" s="7"/>
      <c r="O5181" s="7"/>
      <c r="X5181" s="7"/>
      <c r="AG5181" s="7"/>
      <c r="AP5181" s="7"/>
      <c r="AY5181" s="7"/>
      <c r="BH5181" s="7"/>
      <c r="BQ5181" s="7"/>
      <c r="BZ5181" s="7"/>
    </row>
    <row r="5182" spans="2:78">
      <c r="B5182" s="7"/>
      <c r="O5182" s="7"/>
      <c r="X5182" s="7"/>
      <c r="AG5182" s="7"/>
      <c r="AP5182" s="7"/>
      <c r="AY5182" s="7"/>
      <c r="BH5182" s="7"/>
      <c r="BQ5182" s="7"/>
      <c r="BZ5182" s="7"/>
    </row>
    <row r="5183" spans="2:78">
      <c r="B5183" s="7"/>
      <c r="O5183" s="7"/>
      <c r="X5183" s="7"/>
      <c r="AG5183" s="7"/>
      <c r="AP5183" s="7"/>
      <c r="AY5183" s="7"/>
      <c r="BH5183" s="7"/>
      <c r="BQ5183" s="7"/>
      <c r="BZ5183" s="7"/>
    </row>
    <row r="5184" spans="2:78">
      <c r="B5184" s="7"/>
      <c r="O5184" s="7"/>
      <c r="X5184" s="7"/>
      <c r="AG5184" s="7"/>
      <c r="AP5184" s="7"/>
      <c r="AY5184" s="7"/>
      <c r="BH5184" s="7"/>
      <c r="BQ5184" s="7"/>
      <c r="BZ5184" s="7"/>
    </row>
    <row r="5185" spans="2:78">
      <c r="B5185" s="7"/>
      <c r="O5185" s="7"/>
      <c r="X5185" s="7"/>
      <c r="AG5185" s="7"/>
      <c r="AP5185" s="7"/>
      <c r="AY5185" s="7"/>
      <c r="BH5185" s="7"/>
      <c r="BQ5185" s="7"/>
      <c r="BZ5185" s="7"/>
    </row>
    <row r="5186" spans="2:78">
      <c r="B5186" s="7"/>
      <c r="O5186" s="7"/>
      <c r="X5186" s="7"/>
      <c r="AG5186" s="7"/>
      <c r="AP5186" s="7"/>
      <c r="AY5186" s="7"/>
      <c r="BH5186" s="7"/>
      <c r="BQ5186" s="7"/>
      <c r="BZ5186" s="7"/>
    </row>
    <row r="5187" spans="2:78">
      <c r="B5187" s="7"/>
      <c r="O5187" s="7"/>
      <c r="X5187" s="7"/>
      <c r="AG5187" s="7"/>
      <c r="AP5187" s="7"/>
      <c r="AY5187" s="7"/>
      <c r="BH5187" s="7"/>
      <c r="BQ5187" s="7"/>
      <c r="BZ5187" s="7"/>
    </row>
    <row r="5188" spans="2:78">
      <c r="B5188" s="7"/>
      <c r="O5188" s="7"/>
      <c r="X5188" s="7"/>
      <c r="AG5188" s="7"/>
      <c r="AP5188" s="7"/>
      <c r="AY5188" s="7"/>
      <c r="BH5188" s="7"/>
      <c r="BQ5188" s="7"/>
      <c r="BZ5188" s="7"/>
    </row>
    <row r="5189" spans="2:78">
      <c r="B5189" s="7"/>
      <c r="O5189" s="7"/>
      <c r="X5189" s="7"/>
      <c r="AG5189" s="7"/>
      <c r="AP5189" s="7"/>
      <c r="AY5189" s="7"/>
      <c r="BH5189" s="7"/>
      <c r="BQ5189" s="7"/>
      <c r="BZ5189" s="7"/>
    </row>
    <row r="5190" spans="2:78">
      <c r="B5190" s="7"/>
      <c r="O5190" s="7"/>
      <c r="X5190" s="7"/>
      <c r="AG5190" s="7"/>
      <c r="AP5190" s="7"/>
      <c r="AY5190" s="7"/>
      <c r="BH5190" s="7"/>
      <c r="BQ5190" s="7"/>
      <c r="BZ5190" s="7"/>
    </row>
    <row r="5191" spans="2:78">
      <c r="B5191" s="7"/>
      <c r="O5191" s="7"/>
      <c r="X5191" s="7"/>
      <c r="AG5191" s="7"/>
      <c r="AP5191" s="7"/>
      <c r="AY5191" s="7"/>
      <c r="BH5191" s="7"/>
      <c r="BQ5191" s="7"/>
      <c r="BZ5191" s="7"/>
    </row>
    <row r="5192" spans="2:78">
      <c r="B5192" s="7"/>
      <c r="O5192" s="7"/>
      <c r="X5192" s="7"/>
      <c r="AG5192" s="7"/>
      <c r="AP5192" s="7"/>
      <c r="AY5192" s="7"/>
      <c r="BH5192" s="7"/>
      <c r="BQ5192" s="7"/>
      <c r="BZ5192" s="7"/>
    </row>
    <row r="5193" spans="2:78">
      <c r="B5193" s="7"/>
      <c r="O5193" s="7"/>
      <c r="X5193" s="7"/>
      <c r="AG5193" s="7"/>
      <c r="AP5193" s="7"/>
      <c r="AY5193" s="7"/>
      <c r="BH5193" s="7"/>
      <c r="BQ5193" s="7"/>
      <c r="BZ5193" s="7"/>
    </row>
    <row r="5194" spans="2:78">
      <c r="B5194" s="7"/>
      <c r="O5194" s="7"/>
      <c r="X5194" s="7"/>
      <c r="AG5194" s="7"/>
      <c r="AP5194" s="7"/>
      <c r="AY5194" s="7"/>
      <c r="BH5194" s="7"/>
      <c r="BQ5194" s="7"/>
      <c r="BZ5194" s="7"/>
    </row>
    <row r="5195" spans="2:78">
      <c r="B5195" s="7"/>
      <c r="O5195" s="7"/>
      <c r="X5195" s="7"/>
      <c r="AG5195" s="7"/>
      <c r="AP5195" s="7"/>
      <c r="AY5195" s="7"/>
      <c r="BH5195" s="7"/>
      <c r="BQ5195" s="7"/>
      <c r="BZ5195" s="7"/>
    </row>
    <row r="5196" spans="2:78">
      <c r="B5196" s="7"/>
      <c r="O5196" s="7"/>
      <c r="X5196" s="7"/>
      <c r="AG5196" s="7"/>
      <c r="AP5196" s="7"/>
      <c r="AY5196" s="7"/>
      <c r="BH5196" s="7"/>
      <c r="BQ5196" s="7"/>
      <c r="BZ5196" s="7"/>
    </row>
    <row r="5197" spans="2:78">
      <c r="B5197" s="7"/>
      <c r="O5197" s="7"/>
      <c r="X5197" s="7"/>
      <c r="AG5197" s="7"/>
      <c r="AP5197" s="7"/>
      <c r="AY5197" s="7"/>
      <c r="BH5197" s="7"/>
      <c r="BQ5197" s="7"/>
      <c r="BZ5197" s="7"/>
    </row>
    <row r="5198" spans="2:78">
      <c r="B5198" s="7"/>
      <c r="O5198" s="7"/>
      <c r="X5198" s="7"/>
      <c r="AG5198" s="7"/>
      <c r="AP5198" s="7"/>
      <c r="AY5198" s="7"/>
      <c r="BH5198" s="7"/>
      <c r="BQ5198" s="7"/>
      <c r="BZ5198" s="7"/>
    </row>
    <row r="5199" spans="2:78">
      <c r="B5199" s="7"/>
      <c r="O5199" s="7"/>
      <c r="X5199" s="7"/>
      <c r="AG5199" s="7"/>
      <c r="AP5199" s="7"/>
      <c r="AY5199" s="7"/>
      <c r="BH5199" s="7"/>
      <c r="BQ5199" s="7"/>
      <c r="BZ5199" s="7"/>
    </row>
    <row r="5200" spans="2:78">
      <c r="B5200" s="7"/>
      <c r="O5200" s="7"/>
      <c r="X5200" s="7"/>
      <c r="AG5200" s="7"/>
      <c r="AP5200" s="7"/>
      <c r="AY5200" s="7"/>
      <c r="BH5200" s="7"/>
      <c r="BQ5200" s="7"/>
      <c r="BZ5200" s="7"/>
    </row>
    <row r="5201" spans="2:78">
      <c r="B5201" s="7"/>
      <c r="O5201" s="7"/>
      <c r="X5201" s="7"/>
      <c r="AG5201" s="7"/>
      <c r="AP5201" s="7"/>
      <c r="AY5201" s="7"/>
      <c r="BH5201" s="7"/>
      <c r="BQ5201" s="7"/>
      <c r="BZ5201" s="7"/>
    </row>
    <row r="5202" spans="2:78">
      <c r="B5202" s="7"/>
      <c r="O5202" s="7"/>
      <c r="X5202" s="7"/>
      <c r="AG5202" s="7"/>
      <c r="AP5202" s="7"/>
      <c r="AY5202" s="7"/>
      <c r="BH5202" s="7"/>
      <c r="BQ5202" s="7"/>
      <c r="BZ5202" s="7"/>
    </row>
    <row r="5203" spans="2:78">
      <c r="B5203" s="7"/>
      <c r="O5203" s="7"/>
      <c r="X5203" s="7"/>
      <c r="AG5203" s="7"/>
      <c r="AP5203" s="7"/>
      <c r="AY5203" s="7"/>
      <c r="BH5203" s="7"/>
      <c r="BQ5203" s="7"/>
      <c r="BZ5203" s="7"/>
    </row>
    <row r="5204" spans="2:78">
      <c r="B5204" s="7"/>
      <c r="O5204" s="7"/>
      <c r="X5204" s="7"/>
      <c r="AG5204" s="7"/>
      <c r="AP5204" s="7"/>
      <c r="AY5204" s="7"/>
      <c r="BH5204" s="7"/>
      <c r="BQ5204" s="7"/>
      <c r="BZ5204" s="7"/>
    </row>
    <row r="5205" spans="2:78">
      <c r="B5205" s="7"/>
      <c r="O5205" s="7"/>
      <c r="X5205" s="7"/>
      <c r="AG5205" s="7"/>
      <c r="AP5205" s="7"/>
      <c r="AY5205" s="7"/>
      <c r="BH5205" s="7"/>
      <c r="BQ5205" s="7"/>
      <c r="BZ5205" s="7"/>
    </row>
    <row r="5206" spans="2:78">
      <c r="B5206" s="7"/>
      <c r="O5206" s="7"/>
      <c r="X5206" s="7"/>
      <c r="AG5206" s="7"/>
      <c r="AP5206" s="7"/>
      <c r="AY5206" s="7"/>
      <c r="BH5206" s="7"/>
      <c r="BQ5206" s="7"/>
      <c r="BZ5206" s="7"/>
    </row>
    <row r="5207" spans="2:78">
      <c r="B5207" s="7"/>
      <c r="O5207" s="7"/>
      <c r="X5207" s="7"/>
      <c r="AG5207" s="7"/>
      <c r="AP5207" s="7"/>
      <c r="AY5207" s="7"/>
      <c r="BH5207" s="7"/>
      <c r="BQ5207" s="7"/>
      <c r="BZ5207" s="7"/>
    </row>
    <row r="5208" spans="2:78">
      <c r="B5208" s="7"/>
      <c r="O5208" s="7"/>
      <c r="X5208" s="7"/>
      <c r="AG5208" s="7"/>
      <c r="AP5208" s="7"/>
      <c r="AY5208" s="7"/>
      <c r="BH5208" s="7"/>
      <c r="BQ5208" s="7"/>
      <c r="BZ5208" s="7"/>
    </row>
    <row r="5209" spans="2:78">
      <c r="B5209" s="7"/>
      <c r="O5209" s="7"/>
      <c r="X5209" s="7"/>
      <c r="AG5209" s="7"/>
      <c r="AP5209" s="7"/>
      <c r="AY5209" s="7"/>
      <c r="BH5209" s="7"/>
      <c r="BQ5209" s="7"/>
      <c r="BZ5209" s="7"/>
    </row>
    <row r="5210" spans="2:78">
      <c r="B5210" s="7"/>
      <c r="O5210" s="7"/>
      <c r="X5210" s="7"/>
      <c r="AG5210" s="7"/>
      <c r="AP5210" s="7"/>
      <c r="AY5210" s="7"/>
      <c r="BH5210" s="7"/>
      <c r="BQ5210" s="7"/>
      <c r="BZ5210" s="7"/>
    </row>
    <row r="5211" spans="2:78">
      <c r="B5211" s="7"/>
      <c r="O5211" s="7"/>
      <c r="X5211" s="7"/>
      <c r="AG5211" s="7"/>
      <c r="AP5211" s="7"/>
      <c r="AY5211" s="7"/>
      <c r="BH5211" s="7"/>
      <c r="BQ5211" s="7"/>
      <c r="BZ5211" s="7"/>
    </row>
    <row r="5212" spans="2:78">
      <c r="B5212" s="7"/>
      <c r="O5212" s="7"/>
      <c r="X5212" s="7"/>
      <c r="AG5212" s="7"/>
      <c r="AP5212" s="7"/>
      <c r="AY5212" s="7"/>
      <c r="BH5212" s="7"/>
      <c r="BQ5212" s="7"/>
      <c r="BZ5212" s="7"/>
    </row>
    <row r="5213" spans="2:78">
      <c r="B5213" s="7"/>
      <c r="O5213" s="7"/>
      <c r="X5213" s="7"/>
      <c r="AG5213" s="7"/>
      <c r="AP5213" s="7"/>
      <c r="AY5213" s="7"/>
      <c r="BH5213" s="7"/>
      <c r="BQ5213" s="7"/>
      <c r="BZ5213" s="7"/>
    </row>
    <row r="5214" spans="2:78">
      <c r="B5214" s="7"/>
      <c r="O5214" s="7"/>
      <c r="X5214" s="7"/>
      <c r="AG5214" s="7"/>
      <c r="AP5214" s="7"/>
      <c r="AY5214" s="7"/>
      <c r="BH5214" s="7"/>
      <c r="BQ5214" s="7"/>
      <c r="BZ5214" s="7"/>
    </row>
    <row r="5215" spans="2:78">
      <c r="B5215" s="7"/>
      <c r="O5215" s="7"/>
      <c r="X5215" s="7"/>
      <c r="AG5215" s="7"/>
      <c r="AP5215" s="7"/>
      <c r="AY5215" s="7"/>
      <c r="BH5215" s="7"/>
      <c r="BQ5215" s="7"/>
      <c r="BZ5215" s="7"/>
    </row>
    <row r="5216" spans="2:78">
      <c r="B5216" s="7"/>
      <c r="O5216" s="7"/>
      <c r="X5216" s="7"/>
      <c r="AG5216" s="7"/>
      <c r="AP5216" s="7"/>
      <c r="AY5216" s="7"/>
      <c r="BH5216" s="7"/>
      <c r="BQ5216" s="7"/>
      <c r="BZ5216" s="7"/>
    </row>
    <row r="5217" spans="2:78">
      <c r="B5217" s="7"/>
      <c r="O5217" s="7"/>
      <c r="X5217" s="7"/>
      <c r="AG5217" s="7"/>
      <c r="AP5217" s="7"/>
      <c r="AY5217" s="7"/>
      <c r="BH5217" s="7"/>
      <c r="BQ5217" s="7"/>
      <c r="BZ5217" s="7"/>
    </row>
    <row r="5218" spans="2:78">
      <c r="B5218" s="7"/>
      <c r="O5218" s="7"/>
      <c r="X5218" s="7"/>
      <c r="AG5218" s="7"/>
      <c r="AP5218" s="7"/>
      <c r="AY5218" s="7"/>
      <c r="BH5218" s="7"/>
      <c r="BQ5218" s="7"/>
      <c r="BZ5218" s="7"/>
    </row>
    <row r="5219" spans="2:78">
      <c r="B5219" s="7"/>
      <c r="O5219" s="7"/>
      <c r="X5219" s="7"/>
      <c r="AG5219" s="7"/>
      <c r="AP5219" s="7"/>
      <c r="AY5219" s="7"/>
      <c r="BH5219" s="7"/>
      <c r="BQ5219" s="7"/>
      <c r="BZ5219" s="7"/>
    </row>
    <row r="5220" spans="2:78">
      <c r="B5220" s="7"/>
      <c r="O5220" s="7"/>
      <c r="X5220" s="7"/>
      <c r="AG5220" s="7"/>
      <c r="AP5220" s="7"/>
      <c r="AY5220" s="7"/>
      <c r="BH5220" s="7"/>
      <c r="BQ5220" s="7"/>
      <c r="BZ5220" s="7"/>
    </row>
    <row r="5221" spans="2:78">
      <c r="B5221" s="7"/>
      <c r="O5221" s="7"/>
      <c r="X5221" s="7"/>
      <c r="AG5221" s="7"/>
      <c r="AP5221" s="7"/>
      <c r="AY5221" s="7"/>
      <c r="BH5221" s="7"/>
      <c r="BQ5221" s="7"/>
      <c r="BZ5221" s="7"/>
    </row>
    <row r="5222" spans="2:78">
      <c r="B5222" s="7"/>
      <c r="O5222" s="7"/>
      <c r="X5222" s="7"/>
      <c r="AG5222" s="7"/>
      <c r="AP5222" s="7"/>
      <c r="AY5222" s="7"/>
      <c r="BH5222" s="7"/>
      <c r="BQ5222" s="7"/>
      <c r="BZ5222" s="7"/>
    </row>
    <row r="5223" spans="2:78">
      <c r="B5223" s="7"/>
      <c r="O5223" s="7"/>
      <c r="X5223" s="7"/>
      <c r="AG5223" s="7"/>
      <c r="AP5223" s="7"/>
      <c r="AY5223" s="7"/>
      <c r="BH5223" s="7"/>
      <c r="BQ5223" s="7"/>
      <c r="BZ5223" s="7"/>
    </row>
    <row r="5224" spans="2:78">
      <c r="B5224" s="7"/>
      <c r="O5224" s="7"/>
      <c r="X5224" s="7"/>
      <c r="AG5224" s="7"/>
      <c r="AP5224" s="7"/>
      <c r="AY5224" s="7"/>
      <c r="BH5224" s="7"/>
      <c r="BQ5224" s="7"/>
      <c r="BZ5224" s="7"/>
    </row>
    <row r="5225" spans="2:78">
      <c r="B5225" s="7"/>
      <c r="O5225" s="7"/>
      <c r="X5225" s="7"/>
      <c r="AG5225" s="7"/>
      <c r="AP5225" s="7"/>
      <c r="AY5225" s="7"/>
      <c r="BH5225" s="7"/>
      <c r="BQ5225" s="7"/>
      <c r="BZ5225" s="7"/>
    </row>
    <row r="5226" spans="2:78">
      <c r="B5226" s="7"/>
      <c r="O5226" s="7"/>
      <c r="X5226" s="7"/>
      <c r="AG5226" s="7"/>
      <c r="AP5226" s="7"/>
      <c r="AY5226" s="7"/>
      <c r="BH5226" s="7"/>
      <c r="BQ5226" s="7"/>
      <c r="BZ5226" s="7"/>
    </row>
    <row r="5227" spans="2:78">
      <c r="B5227" s="7"/>
      <c r="O5227" s="7"/>
      <c r="X5227" s="7"/>
      <c r="AG5227" s="7"/>
      <c r="AP5227" s="7"/>
      <c r="AY5227" s="7"/>
      <c r="BH5227" s="7"/>
      <c r="BQ5227" s="7"/>
      <c r="BZ5227" s="7"/>
    </row>
    <row r="5228" spans="2:78">
      <c r="B5228" s="7"/>
      <c r="O5228" s="7"/>
      <c r="X5228" s="7"/>
      <c r="AG5228" s="7"/>
      <c r="AP5228" s="7"/>
      <c r="AY5228" s="7"/>
      <c r="BH5228" s="7"/>
      <c r="BQ5228" s="7"/>
      <c r="BZ5228" s="7"/>
    </row>
    <row r="5229" spans="2:78">
      <c r="B5229" s="7"/>
      <c r="O5229" s="7"/>
      <c r="X5229" s="7"/>
      <c r="AG5229" s="7"/>
      <c r="AP5229" s="7"/>
      <c r="AY5229" s="7"/>
      <c r="BH5229" s="7"/>
      <c r="BQ5229" s="7"/>
      <c r="BZ5229" s="7"/>
    </row>
    <row r="5230" spans="2:78">
      <c r="B5230" s="7"/>
      <c r="O5230" s="7"/>
      <c r="X5230" s="7"/>
      <c r="AG5230" s="7"/>
      <c r="AP5230" s="7"/>
      <c r="AY5230" s="7"/>
      <c r="BH5230" s="7"/>
      <c r="BQ5230" s="7"/>
      <c r="BZ5230" s="7"/>
    </row>
    <row r="5231" spans="2:78">
      <c r="B5231" s="7"/>
      <c r="O5231" s="7"/>
      <c r="X5231" s="7"/>
      <c r="AG5231" s="7"/>
      <c r="AP5231" s="7"/>
      <c r="AY5231" s="7"/>
      <c r="BH5231" s="7"/>
      <c r="BQ5231" s="7"/>
      <c r="BZ5231" s="7"/>
    </row>
    <row r="5232" spans="2:78">
      <c r="B5232" s="7"/>
      <c r="O5232" s="7"/>
      <c r="X5232" s="7"/>
      <c r="AG5232" s="7"/>
      <c r="AP5232" s="7"/>
      <c r="AY5232" s="7"/>
      <c r="BH5232" s="7"/>
      <c r="BQ5232" s="7"/>
      <c r="BZ5232" s="7"/>
    </row>
    <row r="5233" spans="2:78">
      <c r="B5233" s="7"/>
      <c r="O5233" s="7"/>
      <c r="X5233" s="7"/>
      <c r="AG5233" s="7"/>
      <c r="AP5233" s="7"/>
      <c r="AY5233" s="7"/>
      <c r="BH5233" s="7"/>
      <c r="BQ5233" s="7"/>
      <c r="BZ5233" s="7"/>
    </row>
    <row r="5234" spans="2:78">
      <c r="B5234" s="7"/>
      <c r="O5234" s="7"/>
      <c r="X5234" s="7"/>
      <c r="AG5234" s="7"/>
      <c r="AP5234" s="7"/>
      <c r="AY5234" s="7"/>
      <c r="BH5234" s="7"/>
      <c r="BQ5234" s="7"/>
      <c r="BZ5234" s="7"/>
    </row>
    <row r="5235" spans="2:78">
      <c r="B5235" s="7"/>
      <c r="O5235" s="7"/>
      <c r="X5235" s="7"/>
      <c r="AG5235" s="7"/>
      <c r="AP5235" s="7"/>
      <c r="AY5235" s="7"/>
      <c r="BH5235" s="7"/>
      <c r="BQ5235" s="7"/>
      <c r="BZ5235" s="7"/>
    </row>
    <row r="5236" spans="2:78">
      <c r="B5236" s="7"/>
      <c r="O5236" s="7"/>
      <c r="X5236" s="7"/>
      <c r="AG5236" s="7"/>
      <c r="AP5236" s="7"/>
      <c r="AY5236" s="7"/>
      <c r="BH5236" s="7"/>
      <c r="BQ5236" s="7"/>
      <c r="BZ5236" s="7"/>
    </row>
    <row r="5237" spans="2:78">
      <c r="B5237" s="7"/>
      <c r="O5237" s="7"/>
      <c r="X5237" s="7"/>
      <c r="AG5237" s="7"/>
      <c r="AP5237" s="7"/>
      <c r="AY5237" s="7"/>
      <c r="BH5237" s="7"/>
      <c r="BQ5237" s="7"/>
      <c r="BZ5237" s="7"/>
    </row>
    <row r="5238" spans="2:78">
      <c r="B5238" s="7"/>
      <c r="O5238" s="7"/>
      <c r="X5238" s="7"/>
      <c r="AG5238" s="7"/>
      <c r="AP5238" s="7"/>
      <c r="AY5238" s="7"/>
      <c r="BH5238" s="7"/>
      <c r="BQ5238" s="7"/>
      <c r="BZ5238" s="7"/>
    </row>
    <row r="5239" spans="2:78">
      <c r="B5239" s="7"/>
      <c r="O5239" s="7"/>
      <c r="X5239" s="7"/>
      <c r="AG5239" s="7"/>
      <c r="AP5239" s="7"/>
      <c r="AY5239" s="7"/>
      <c r="BH5239" s="7"/>
      <c r="BQ5239" s="7"/>
      <c r="BZ5239" s="7"/>
    </row>
    <row r="5240" spans="2:78">
      <c r="B5240" s="7"/>
      <c r="O5240" s="7"/>
      <c r="X5240" s="7"/>
      <c r="AG5240" s="7"/>
      <c r="AP5240" s="7"/>
      <c r="AY5240" s="7"/>
      <c r="BH5240" s="7"/>
      <c r="BQ5240" s="7"/>
      <c r="BZ5240" s="7"/>
    </row>
    <row r="5241" spans="2:78">
      <c r="B5241" s="7"/>
      <c r="O5241" s="7"/>
      <c r="X5241" s="7"/>
      <c r="AG5241" s="7"/>
      <c r="AP5241" s="7"/>
      <c r="AY5241" s="7"/>
      <c r="BH5241" s="7"/>
      <c r="BQ5241" s="7"/>
      <c r="BZ5241" s="7"/>
    </row>
    <row r="5242" spans="2:78">
      <c r="B5242" s="7"/>
      <c r="O5242" s="7"/>
      <c r="X5242" s="7"/>
      <c r="AG5242" s="7"/>
      <c r="AP5242" s="7"/>
      <c r="AY5242" s="7"/>
      <c r="BH5242" s="7"/>
      <c r="BQ5242" s="7"/>
      <c r="BZ5242" s="7"/>
    </row>
    <row r="5243" spans="2:78">
      <c r="B5243" s="7"/>
      <c r="O5243" s="7"/>
      <c r="X5243" s="7"/>
      <c r="AG5243" s="7"/>
      <c r="AP5243" s="7"/>
      <c r="AY5243" s="7"/>
      <c r="BH5243" s="7"/>
      <c r="BQ5243" s="7"/>
      <c r="BZ5243" s="7"/>
    </row>
    <row r="5244" spans="2:78">
      <c r="B5244" s="7"/>
      <c r="O5244" s="7"/>
      <c r="X5244" s="7"/>
      <c r="AG5244" s="7"/>
      <c r="AP5244" s="7"/>
      <c r="AY5244" s="7"/>
      <c r="BH5244" s="7"/>
      <c r="BQ5244" s="7"/>
      <c r="BZ5244" s="7"/>
    </row>
    <row r="5245" spans="2:78">
      <c r="B5245" s="7"/>
      <c r="O5245" s="7"/>
      <c r="X5245" s="7"/>
      <c r="AG5245" s="7"/>
      <c r="AP5245" s="7"/>
      <c r="AY5245" s="7"/>
      <c r="BH5245" s="7"/>
      <c r="BQ5245" s="7"/>
      <c r="BZ5245" s="7"/>
    </row>
    <row r="5246" spans="2:78">
      <c r="B5246" s="7"/>
      <c r="O5246" s="7"/>
      <c r="X5246" s="7"/>
      <c r="AG5246" s="7"/>
      <c r="AP5246" s="7"/>
      <c r="AY5246" s="7"/>
      <c r="BH5246" s="7"/>
      <c r="BQ5246" s="7"/>
      <c r="BZ5246" s="7"/>
    </row>
    <row r="5247" spans="2:78">
      <c r="B5247" s="7"/>
      <c r="O5247" s="7"/>
      <c r="X5247" s="7"/>
      <c r="AG5247" s="7"/>
      <c r="AP5247" s="7"/>
      <c r="AY5247" s="7"/>
      <c r="BH5247" s="7"/>
      <c r="BQ5247" s="7"/>
      <c r="BZ5247" s="7"/>
    </row>
    <row r="5248" spans="2:78">
      <c r="B5248" s="7"/>
      <c r="O5248" s="7"/>
      <c r="X5248" s="7"/>
      <c r="AG5248" s="7"/>
      <c r="AP5248" s="7"/>
      <c r="AY5248" s="7"/>
      <c r="BH5248" s="7"/>
      <c r="BQ5248" s="7"/>
      <c r="BZ5248" s="7"/>
    </row>
    <row r="5249" spans="2:78">
      <c r="B5249" s="7"/>
      <c r="O5249" s="7"/>
      <c r="X5249" s="7"/>
      <c r="AG5249" s="7"/>
      <c r="AP5249" s="7"/>
      <c r="AY5249" s="7"/>
      <c r="BH5249" s="7"/>
      <c r="BQ5249" s="7"/>
      <c r="BZ5249" s="7"/>
    </row>
    <row r="5250" spans="2:78">
      <c r="B5250" s="7"/>
      <c r="O5250" s="7"/>
      <c r="X5250" s="7"/>
      <c r="AG5250" s="7"/>
      <c r="AP5250" s="7"/>
      <c r="AY5250" s="7"/>
      <c r="BH5250" s="7"/>
      <c r="BQ5250" s="7"/>
      <c r="BZ5250" s="7"/>
    </row>
    <row r="5251" spans="2:78">
      <c r="B5251" s="7"/>
      <c r="O5251" s="7"/>
      <c r="X5251" s="7"/>
      <c r="AG5251" s="7"/>
      <c r="AP5251" s="7"/>
      <c r="AY5251" s="7"/>
      <c r="BH5251" s="7"/>
      <c r="BQ5251" s="7"/>
      <c r="BZ5251" s="7"/>
    </row>
    <row r="5252" spans="2:78">
      <c r="B5252" s="7"/>
      <c r="O5252" s="7"/>
      <c r="X5252" s="7"/>
      <c r="AG5252" s="7"/>
      <c r="AP5252" s="7"/>
      <c r="AY5252" s="7"/>
      <c r="BH5252" s="7"/>
      <c r="BQ5252" s="7"/>
      <c r="BZ5252" s="7"/>
    </row>
    <row r="5253" spans="2:78">
      <c r="B5253" s="7"/>
      <c r="O5253" s="7"/>
      <c r="X5253" s="7"/>
      <c r="AG5253" s="7"/>
      <c r="AP5253" s="7"/>
      <c r="AY5253" s="7"/>
      <c r="BH5253" s="7"/>
      <c r="BQ5253" s="7"/>
      <c r="BZ5253" s="7"/>
    </row>
    <row r="5254" spans="2:78">
      <c r="B5254" s="7"/>
      <c r="O5254" s="7"/>
      <c r="X5254" s="7"/>
      <c r="AG5254" s="7"/>
      <c r="AP5254" s="7"/>
      <c r="AY5254" s="7"/>
      <c r="BH5254" s="7"/>
      <c r="BQ5254" s="7"/>
      <c r="BZ5254" s="7"/>
    </row>
    <row r="5255" spans="2:78">
      <c r="B5255" s="7"/>
      <c r="O5255" s="7"/>
      <c r="X5255" s="7"/>
      <c r="AG5255" s="7"/>
      <c r="AP5255" s="7"/>
      <c r="AY5255" s="7"/>
      <c r="BH5255" s="7"/>
      <c r="BQ5255" s="7"/>
      <c r="BZ5255" s="7"/>
    </row>
    <row r="5256" spans="2:78">
      <c r="B5256" s="7"/>
      <c r="O5256" s="7"/>
      <c r="X5256" s="7"/>
      <c r="AG5256" s="7"/>
      <c r="AP5256" s="7"/>
      <c r="AY5256" s="7"/>
      <c r="BH5256" s="7"/>
      <c r="BQ5256" s="7"/>
      <c r="BZ5256" s="7"/>
    </row>
    <row r="5257" spans="2:78">
      <c r="B5257" s="7"/>
      <c r="O5257" s="7"/>
      <c r="X5257" s="7"/>
      <c r="AG5257" s="7"/>
      <c r="AP5257" s="7"/>
      <c r="AY5257" s="7"/>
      <c r="BH5257" s="7"/>
      <c r="BQ5257" s="7"/>
      <c r="BZ5257" s="7"/>
    </row>
    <row r="5258" spans="2:78">
      <c r="B5258" s="7"/>
      <c r="O5258" s="7"/>
      <c r="X5258" s="7"/>
      <c r="AG5258" s="7"/>
      <c r="AP5258" s="7"/>
      <c r="AY5258" s="7"/>
      <c r="BH5258" s="7"/>
      <c r="BQ5258" s="7"/>
      <c r="BZ5258" s="7"/>
    </row>
    <row r="5259" spans="2:78">
      <c r="B5259" s="7"/>
      <c r="O5259" s="7"/>
      <c r="X5259" s="7"/>
      <c r="AG5259" s="7"/>
      <c r="AP5259" s="7"/>
      <c r="AY5259" s="7"/>
      <c r="BH5259" s="7"/>
      <c r="BQ5259" s="7"/>
      <c r="BZ5259" s="7"/>
    </row>
    <row r="5260" spans="2:78">
      <c r="B5260" s="7"/>
      <c r="O5260" s="7"/>
      <c r="X5260" s="7"/>
      <c r="AG5260" s="7"/>
      <c r="AP5260" s="7"/>
      <c r="AY5260" s="7"/>
      <c r="BH5260" s="7"/>
      <c r="BQ5260" s="7"/>
      <c r="BZ5260" s="7"/>
    </row>
    <row r="5261" spans="2:78">
      <c r="B5261" s="7"/>
      <c r="O5261" s="7"/>
      <c r="X5261" s="7"/>
      <c r="AG5261" s="7"/>
      <c r="AP5261" s="7"/>
      <c r="AY5261" s="7"/>
      <c r="BH5261" s="7"/>
      <c r="BQ5261" s="7"/>
      <c r="BZ5261" s="7"/>
    </row>
    <row r="5262" spans="2:78">
      <c r="B5262" s="7"/>
      <c r="O5262" s="7"/>
      <c r="X5262" s="7"/>
      <c r="AG5262" s="7"/>
      <c r="AP5262" s="7"/>
      <c r="AY5262" s="7"/>
      <c r="BH5262" s="7"/>
      <c r="BQ5262" s="7"/>
      <c r="BZ5262" s="7"/>
    </row>
    <row r="5263" spans="2:78">
      <c r="B5263" s="7"/>
      <c r="O5263" s="7"/>
      <c r="X5263" s="7"/>
      <c r="AG5263" s="7"/>
      <c r="AP5263" s="7"/>
      <c r="AY5263" s="7"/>
      <c r="BH5263" s="7"/>
      <c r="BQ5263" s="7"/>
      <c r="BZ5263" s="7"/>
    </row>
    <row r="5264" spans="2:78">
      <c r="B5264" s="7"/>
      <c r="O5264" s="7"/>
      <c r="X5264" s="7"/>
      <c r="AG5264" s="7"/>
      <c r="AP5264" s="7"/>
      <c r="AY5264" s="7"/>
      <c r="BH5264" s="7"/>
      <c r="BQ5264" s="7"/>
      <c r="BZ5264" s="7"/>
    </row>
    <row r="5265" spans="2:78">
      <c r="B5265" s="7"/>
      <c r="O5265" s="7"/>
      <c r="X5265" s="7"/>
      <c r="AG5265" s="7"/>
      <c r="AP5265" s="7"/>
      <c r="AY5265" s="7"/>
      <c r="BH5265" s="7"/>
      <c r="BQ5265" s="7"/>
      <c r="BZ5265" s="7"/>
    </row>
    <row r="5266" spans="2:78">
      <c r="B5266" s="7"/>
      <c r="O5266" s="7"/>
      <c r="X5266" s="7"/>
      <c r="AG5266" s="7"/>
      <c r="AP5266" s="7"/>
      <c r="AY5266" s="7"/>
      <c r="BH5266" s="7"/>
      <c r="BQ5266" s="7"/>
      <c r="BZ5266" s="7"/>
    </row>
    <row r="5267" spans="2:78">
      <c r="B5267" s="7"/>
      <c r="O5267" s="7"/>
      <c r="X5267" s="7"/>
      <c r="AG5267" s="7"/>
      <c r="AP5267" s="7"/>
      <c r="AY5267" s="7"/>
      <c r="BH5267" s="7"/>
      <c r="BQ5267" s="7"/>
      <c r="BZ5267" s="7"/>
    </row>
    <row r="5268" spans="2:78">
      <c r="B5268" s="7"/>
      <c r="O5268" s="7"/>
      <c r="X5268" s="7"/>
      <c r="AG5268" s="7"/>
      <c r="AP5268" s="7"/>
      <c r="AY5268" s="7"/>
      <c r="BH5268" s="7"/>
      <c r="BQ5268" s="7"/>
      <c r="BZ5268" s="7"/>
    </row>
    <row r="5269" spans="2:78">
      <c r="B5269" s="7"/>
      <c r="O5269" s="7"/>
      <c r="X5269" s="7"/>
      <c r="AG5269" s="7"/>
      <c r="AP5269" s="7"/>
      <c r="AY5269" s="7"/>
      <c r="BH5269" s="7"/>
      <c r="BQ5269" s="7"/>
      <c r="BZ5269" s="7"/>
    </row>
    <row r="5270" spans="2:78">
      <c r="B5270" s="7"/>
      <c r="O5270" s="7"/>
      <c r="X5270" s="7"/>
      <c r="AG5270" s="7"/>
      <c r="AP5270" s="7"/>
      <c r="AY5270" s="7"/>
      <c r="BH5270" s="7"/>
      <c r="BQ5270" s="7"/>
      <c r="BZ5270" s="7"/>
    </row>
    <row r="5271" spans="2:78">
      <c r="B5271" s="7"/>
      <c r="O5271" s="7"/>
      <c r="X5271" s="7"/>
      <c r="AG5271" s="7"/>
      <c r="AP5271" s="7"/>
      <c r="AY5271" s="7"/>
      <c r="BH5271" s="7"/>
      <c r="BQ5271" s="7"/>
      <c r="BZ5271" s="7"/>
    </row>
    <row r="5272" spans="2:78">
      <c r="B5272" s="7"/>
      <c r="O5272" s="7"/>
      <c r="X5272" s="7"/>
      <c r="AG5272" s="7"/>
      <c r="AP5272" s="7"/>
      <c r="AY5272" s="7"/>
      <c r="BH5272" s="7"/>
      <c r="BQ5272" s="7"/>
      <c r="BZ5272" s="7"/>
    </row>
    <row r="5273" spans="2:78">
      <c r="B5273" s="7"/>
      <c r="O5273" s="7"/>
      <c r="X5273" s="7"/>
      <c r="AG5273" s="7"/>
      <c r="AP5273" s="7"/>
      <c r="AY5273" s="7"/>
      <c r="BH5273" s="7"/>
      <c r="BQ5273" s="7"/>
      <c r="BZ5273" s="7"/>
    </row>
    <row r="5274" spans="2:78">
      <c r="B5274" s="7"/>
      <c r="O5274" s="7"/>
      <c r="X5274" s="7"/>
      <c r="AG5274" s="7"/>
      <c r="AP5274" s="7"/>
      <c r="AY5274" s="7"/>
      <c r="BH5274" s="7"/>
      <c r="BQ5274" s="7"/>
      <c r="BZ5274" s="7"/>
    </row>
    <row r="5275" spans="2:78">
      <c r="B5275" s="7"/>
      <c r="O5275" s="7"/>
      <c r="X5275" s="7"/>
      <c r="AG5275" s="7"/>
      <c r="AP5275" s="7"/>
      <c r="AY5275" s="7"/>
      <c r="BH5275" s="7"/>
      <c r="BQ5275" s="7"/>
      <c r="BZ5275" s="7"/>
    </row>
    <row r="5276" spans="2:78">
      <c r="B5276" s="7"/>
      <c r="O5276" s="7"/>
      <c r="X5276" s="7"/>
      <c r="AG5276" s="7"/>
      <c r="AP5276" s="7"/>
      <c r="AY5276" s="7"/>
      <c r="BH5276" s="7"/>
      <c r="BQ5276" s="7"/>
      <c r="BZ5276" s="7"/>
    </row>
    <row r="5277" spans="2:78">
      <c r="B5277" s="7"/>
      <c r="O5277" s="7"/>
      <c r="X5277" s="7"/>
      <c r="AG5277" s="7"/>
      <c r="AP5277" s="7"/>
      <c r="AY5277" s="7"/>
      <c r="BH5277" s="7"/>
      <c r="BQ5277" s="7"/>
      <c r="BZ5277" s="7"/>
    </row>
    <row r="5278" spans="2:78">
      <c r="B5278" s="7"/>
      <c r="O5278" s="7"/>
      <c r="X5278" s="7"/>
      <c r="AG5278" s="7"/>
      <c r="AP5278" s="7"/>
      <c r="AY5278" s="7"/>
      <c r="BH5278" s="7"/>
      <c r="BQ5278" s="7"/>
      <c r="BZ5278" s="7"/>
    </row>
    <row r="5279" spans="2:78">
      <c r="B5279" s="7"/>
      <c r="O5279" s="7"/>
      <c r="X5279" s="7"/>
      <c r="AG5279" s="7"/>
      <c r="AP5279" s="7"/>
      <c r="AY5279" s="7"/>
      <c r="BH5279" s="7"/>
      <c r="BQ5279" s="7"/>
      <c r="BZ5279" s="7"/>
    </row>
    <row r="5280" spans="2:78">
      <c r="B5280" s="7"/>
      <c r="O5280" s="7"/>
      <c r="X5280" s="7"/>
      <c r="AG5280" s="7"/>
      <c r="AP5280" s="7"/>
      <c r="AY5280" s="7"/>
      <c r="BH5280" s="7"/>
      <c r="BQ5280" s="7"/>
      <c r="BZ5280" s="7"/>
    </row>
    <row r="5281" spans="2:78">
      <c r="B5281" s="7"/>
      <c r="O5281" s="7"/>
      <c r="X5281" s="7"/>
      <c r="AG5281" s="7"/>
      <c r="AP5281" s="7"/>
      <c r="AY5281" s="7"/>
      <c r="BH5281" s="7"/>
      <c r="BQ5281" s="7"/>
      <c r="BZ5281" s="7"/>
    </row>
    <row r="5282" spans="2:78">
      <c r="B5282" s="7"/>
      <c r="O5282" s="7"/>
      <c r="X5282" s="7"/>
      <c r="AG5282" s="7"/>
      <c r="AP5282" s="7"/>
      <c r="AY5282" s="7"/>
      <c r="BH5282" s="7"/>
      <c r="BQ5282" s="7"/>
      <c r="BZ5282" s="7"/>
    </row>
    <row r="5283" spans="2:78">
      <c r="B5283" s="7"/>
      <c r="O5283" s="7"/>
      <c r="X5283" s="7"/>
      <c r="AG5283" s="7"/>
      <c r="AP5283" s="7"/>
      <c r="AY5283" s="7"/>
      <c r="BH5283" s="7"/>
      <c r="BQ5283" s="7"/>
      <c r="BZ5283" s="7"/>
    </row>
    <row r="5284" spans="2:78">
      <c r="B5284" s="7"/>
      <c r="O5284" s="7"/>
      <c r="X5284" s="7"/>
      <c r="AG5284" s="7"/>
      <c r="AP5284" s="7"/>
      <c r="AY5284" s="7"/>
      <c r="BH5284" s="7"/>
      <c r="BQ5284" s="7"/>
      <c r="BZ5284" s="7"/>
    </row>
    <row r="5285" spans="2:78">
      <c r="B5285" s="7"/>
      <c r="O5285" s="7"/>
      <c r="X5285" s="7"/>
      <c r="AG5285" s="7"/>
      <c r="AP5285" s="7"/>
      <c r="AY5285" s="7"/>
      <c r="BH5285" s="7"/>
      <c r="BQ5285" s="7"/>
      <c r="BZ5285" s="7"/>
    </row>
    <row r="5286" spans="2:78">
      <c r="B5286" s="7"/>
      <c r="O5286" s="7"/>
      <c r="X5286" s="7"/>
      <c r="AG5286" s="7"/>
      <c r="AP5286" s="7"/>
      <c r="AY5286" s="7"/>
      <c r="BH5286" s="7"/>
      <c r="BQ5286" s="7"/>
      <c r="BZ5286" s="7"/>
    </row>
    <row r="5287" spans="2:78">
      <c r="B5287" s="7"/>
      <c r="O5287" s="7"/>
      <c r="X5287" s="7"/>
      <c r="AG5287" s="7"/>
      <c r="AP5287" s="7"/>
      <c r="AY5287" s="7"/>
      <c r="BH5287" s="7"/>
      <c r="BQ5287" s="7"/>
      <c r="BZ5287" s="7"/>
    </row>
    <row r="5288" spans="2:78">
      <c r="B5288" s="7"/>
      <c r="O5288" s="7"/>
      <c r="X5288" s="7"/>
      <c r="AG5288" s="7"/>
      <c r="AP5288" s="7"/>
      <c r="AY5288" s="7"/>
      <c r="BH5288" s="7"/>
      <c r="BQ5288" s="7"/>
      <c r="BZ5288" s="7"/>
    </row>
    <row r="5289" spans="2:78">
      <c r="B5289" s="7"/>
      <c r="O5289" s="7"/>
      <c r="X5289" s="7"/>
      <c r="AG5289" s="7"/>
      <c r="AP5289" s="7"/>
      <c r="AY5289" s="7"/>
      <c r="BH5289" s="7"/>
      <c r="BQ5289" s="7"/>
      <c r="BZ5289" s="7"/>
    </row>
    <row r="5290" spans="2:78">
      <c r="B5290" s="7"/>
      <c r="O5290" s="7"/>
      <c r="X5290" s="7"/>
      <c r="AG5290" s="7"/>
      <c r="AP5290" s="7"/>
      <c r="AY5290" s="7"/>
      <c r="BH5290" s="7"/>
      <c r="BQ5290" s="7"/>
      <c r="BZ5290" s="7"/>
    </row>
    <row r="5291" spans="2:78">
      <c r="B5291" s="7"/>
      <c r="O5291" s="7"/>
      <c r="X5291" s="7"/>
      <c r="AG5291" s="7"/>
      <c r="AP5291" s="7"/>
      <c r="AY5291" s="7"/>
      <c r="BH5291" s="7"/>
      <c r="BQ5291" s="7"/>
      <c r="BZ5291" s="7"/>
    </row>
    <row r="5292" spans="2:78">
      <c r="B5292" s="7"/>
      <c r="O5292" s="7"/>
      <c r="X5292" s="7"/>
      <c r="AG5292" s="7"/>
      <c r="AP5292" s="7"/>
      <c r="AY5292" s="7"/>
      <c r="BH5292" s="7"/>
      <c r="BQ5292" s="7"/>
      <c r="BZ5292" s="7"/>
    </row>
    <row r="5293" spans="2:78">
      <c r="B5293" s="7"/>
      <c r="O5293" s="7"/>
      <c r="X5293" s="7"/>
      <c r="AG5293" s="7"/>
      <c r="AP5293" s="7"/>
      <c r="AY5293" s="7"/>
      <c r="BH5293" s="7"/>
      <c r="BQ5293" s="7"/>
      <c r="BZ5293" s="7"/>
    </row>
    <row r="5294" spans="2:78">
      <c r="B5294" s="7"/>
      <c r="O5294" s="7"/>
      <c r="X5294" s="7"/>
      <c r="AG5294" s="7"/>
      <c r="AP5294" s="7"/>
      <c r="AY5294" s="7"/>
      <c r="BH5294" s="7"/>
      <c r="BQ5294" s="7"/>
      <c r="BZ5294" s="7"/>
    </row>
    <row r="5295" spans="2:78">
      <c r="B5295" s="7"/>
      <c r="O5295" s="7"/>
      <c r="X5295" s="7"/>
      <c r="AG5295" s="7"/>
      <c r="AP5295" s="7"/>
      <c r="AY5295" s="7"/>
      <c r="BH5295" s="7"/>
      <c r="BQ5295" s="7"/>
      <c r="BZ5295" s="7"/>
    </row>
    <row r="5296" spans="2:78">
      <c r="B5296" s="7"/>
      <c r="O5296" s="7"/>
      <c r="X5296" s="7"/>
      <c r="AG5296" s="7"/>
      <c r="AP5296" s="7"/>
      <c r="AY5296" s="7"/>
      <c r="BH5296" s="7"/>
      <c r="BQ5296" s="7"/>
      <c r="BZ5296" s="7"/>
    </row>
    <row r="5297" spans="2:78">
      <c r="B5297" s="7"/>
      <c r="O5297" s="7"/>
      <c r="X5297" s="7"/>
      <c r="AG5297" s="7"/>
      <c r="AP5297" s="7"/>
      <c r="AY5297" s="7"/>
      <c r="BH5297" s="7"/>
      <c r="BQ5297" s="7"/>
      <c r="BZ5297" s="7"/>
    </row>
    <row r="5298" spans="2:78">
      <c r="B5298" s="7"/>
      <c r="O5298" s="7"/>
      <c r="X5298" s="7"/>
      <c r="AG5298" s="7"/>
      <c r="AP5298" s="7"/>
      <c r="AY5298" s="7"/>
      <c r="BH5298" s="7"/>
      <c r="BQ5298" s="7"/>
      <c r="BZ5298" s="7"/>
    </row>
    <row r="5299" spans="2:78">
      <c r="B5299" s="7"/>
      <c r="O5299" s="7"/>
      <c r="X5299" s="7"/>
      <c r="AG5299" s="7"/>
      <c r="AP5299" s="7"/>
      <c r="AY5299" s="7"/>
      <c r="BH5299" s="7"/>
      <c r="BQ5299" s="7"/>
      <c r="BZ5299" s="7"/>
    </row>
    <row r="5300" spans="2:78">
      <c r="B5300" s="7"/>
      <c r="O5300" s="7"/>
      <c r="X5300" s="7"/>
      <c r="AG5300" s="7"/>
      <c r="AP5300" s="7"/>
      <c r="AY5300" s="7"/>
      <c r="BH5300" s="7"/>
      <c r="BQ5300" s="7"/>
      <c r="BZ5300" s="7"/>
    </row>
    <row r="5301" spans="2:78">
      <c r="B5301" s="7"/>
      <c r="O5301" s="7"/>
      <c r="X5301" s="7"/>
      <c r="AG5301" s="7"/>
      <c r="AP5301" s="7"/>
      <c r="AY5301" s="7"/>
      <c r="BH5301" s="7"/>
      <c r="BQ5301" s="7"/>
      <c r="BZ5301" s="7"/>
    </row>
    <row r="5302" spans="2:78">
      <c r="B5302" s="7"/>
      <c r="O5302" s="7"/>
      <c r="X5302" s="7"/>
      <c r="AG5302" s="7"/>
      <c r="AP5302" s="7"/>
      <c r="AY5302" s="7"/>
      <c r="BH5302" s="7"/>
      <c r="BQ5302" s="7"/>
      <c r="BZ5302" s="7"/>
    </row>
    <row r="5303" spans="2:78">
      <c r="B5303" s="7"/>
      <c r="O5303" s="7"/>
      <c r="X5303" s="7"/>
      <c r="AG5303" s="7"/>
      <c r="AP5303" s="7"/>
      <c r="AY5303" s="7"/>
      <c r="BH5303" s="7"/>
      <c r="BQ5303" s="7"/>
      <c r="BZ5303" s="7"/>
    </row>
    <row r="5304" spans="2:78">
      <c r="B5304" s="7"/>
      <c r="O5304" s="7"/>
      <c r="X5304" s="7"/>
      <c r="AG5304" s="7"/>
      <c r="AP5304" s="7"/>
      <c r="AY5304" s="7"/>
      <c r="BH5304" s="7"/>
      <c r="BQ5304" s="7"/>
      <c r="BZ5304" s="7"/>
    </row>
    <row r="5305" spans="2:78">
      <c r="B5305" s="7"/>
      <c r="O5305" s="7"/>
      <c r="X5305" s="7"/>
      <c r="AG5305" s="7"/>
      <c r="AP5305" s="7"/>
      <c r="AY5305" s="7"/>
      <c r="BH5305" s="7"/>
      <c r="BQ5305" s="7"/>
      <c r="BZ5305" s="7"/>
    </row>
    <row r="5306" spans="2:78">
      <c r="B5306" s="7"/>
      <c r="O5306" s="7"/>
      <c r="X5306" s="7"/>
      <c r="AG5306" s="7"/>
      <c r="AP5306" s="7"/>
      <c r="AY5306" s="7"/>
      <c r="BH5306" s="7"/>
      <c r="BQ5306" s="7"/>
      <c r="BZ5306" s="7"/>
    </row>
    <row r="5307" spans="2:78">
      <c r="B5307" s="7"/>
      <c r="O5307" s="7"/>
      <c r="X5307" s="7"/>
      <c r="AG5307" s="7"/>
      <c r="AP5307" s="7"/>
      <c r="AY5307" s="7"/>
      <c r="BH5307" s="7"/>
      <c r="BQ5307" s="7"/>
      <c r="BZ5307" s="7"/>
    </row>
    <row r="5308" spans="2:78">
      <c r="B5308" s="7"/>
      <c r="O5308" s="7"/>
      <c r="X5308" s="7"/>
      <c r="AG5308" s="7"/>
      <c r="AP5308" s="7"/>
      <c r="AY5308" s="7"/>
      <c r="BH5308" s="7"/>
      <c r="BQ5308" s="7"/>
      <c r="BZ5308" s="7"/>
    </row>
    <row r="5309" spans="2:78">
      <c r="B5309" s="7"/>
      <c r="O5309" s="7"/>
      <c r="X5309" s="7"/>
      <c r="AG5309" s="7"/>
      <c r="AP5309" s="7"/>
      <c r="AY5309" s="7"/>
      <c r="BH5309" s="7"/>
      <c r="BQ5309" s="7"/>
      <c r="BZ5309" s="7"/>
    </row>
    <row r="5310" spans="2:78">
      <c r="B5310" s="7"/>
      <c r="O5310" s="7"/>
      <c r="X5310" s="7"/>
      <c r="AG5310" s="7"/>
      <c r="AP5310" s="7"/>
      <c r="AY5310" s="7"/>
      <c r="BH5310" s="7"/>
      <c r="BQ5310" s="7"/>
      <c r="BZ5310" s="7"/>
    </row>
    <row r="5311" spans="2:78">
      <c r="B5311" s="7"/>
      <c r="O5311" s="7"/>
      <c r="X5311" s="7"/>
      <c r="AG5311" s="7"/>
      <c r="AP5311" s="7"/>
      <c r="AY5311" s="7"/>
      <c r="BH5311" s="7"/>
      <c r="BQ5311" s="7"/>
      <c r="BZ5311" s="7"/>
    </row>
    <row r="5312" spans="2:78">
      <c r="B5312" s="7"/>
      <c r="O5312" s="7"/>
      <c r="X5312" s="7"/>
      <c r="AG5312" s="7"/>
      <c r="AP5312" s="7"/>
      <c r="AY5312" s="7"/>
      <c r="BH5312" s="7"/>
      <c r="BQ5312" s="7"/>
      <c r="BZ5312" s="7"/>
    </row>
    <row r="5313" spans="2:78">
      <c r="B5313" s="7"/>
      <c r="O5313" s="7"/>
      <c r="X5313" s="7"/>
      <c r="AG5313" s="7"/>
      <c r="AP5313" s="7"/>
      <c r="AY5313" s="7"/>
      <c r="BH5313" s="7"/>
      <c r="BQ5313" s="7"/>
      <c r="BZ5313" s="7"/>
    </row>
    <row r="5314" spans="2:78">
      <c r="B5314" s="7"/>
      <c r="O5314" s="7"/>
      <c r="X5314" s="7"/>
      <c r="AG5314" s="7"/>
      <c r="AP5314" s="7"/>
      <c r="AY5314" s="7"/>
      <c r="BH5314" s="7"/>
      <c r="BQ5314" s="7"/>
      <c r="BZ5314" s="7"/>
    </row>
    <row r="5315" spans="2:78">
      <c r="B5315" s="7"/>
      <c r="O5315" s="7"/>
      <c r="X5315" s="7"/>
      <c r="AG5315" s="7"/>
      <c r="AP5315" s="7"/>
      <c r="AY5315" s="7"/>
      <c r="BH5315" s="7"/>
      <c r="BQ5315" s="7"/>
      <c r="BZ5315" s="7"/>
    </row>
    <row r="5316" spans="2:78">
      <c r="B5316" s="7"/>
      <c r="O5316" s="7"/>
      <c r="X5316" s="7"/>
      <c r="AG5316" s="7"/>
      <c r="AP5316" s="7"/>
      <c r="AY5316" s="7"/>
      <c r="BH5316" s="7"/>
      <c r="BQ5316" s="7"/>
      <c r="BZ5316" s="7"/>
    </row>
    <row r="5317" spans="2:78">
      <c r="B5317" s="7"/>
      <c r="O5317" s="7"/>
      <c r="X5317" s="7"/>
      <c r="AG5317" s="7"/>
      <c r="AP5317" s="7"/>
      <c r="AY5317" s="7"/>
      <c r="BH5317" s="7"/>
      <c r="BQ5317" s="7"/>
      <c r="BZ5317" s="7"/>
    </row>
    <row r="5318" spans="2:78">
      <c r="B5318" s="7"/>
      <c r="O5318" s="7"/>
      <c r="X5318" s="7"/>
      <c r="AG5318" s="7"/>
      <c r="AP5318" s="7"/>
      <c r="AY5318" s="7"/>
      <c r="BH5318" s="7"/>
      <c r="BQ5318" s="7"/>
      <c r="BZ5318" s="7"/>
    </row>
    <row r="5319" spans="2:78">
      <c r="B5319" s="7"/>
      <c r="O5319" s="7"/>
      <c r="X5319" s="7"/>
      <c r="AG5319" s="7"/>
      <c r="AP5319" s="7"/>
      <c r="AY5319" s="7"/>
      <c r="BH5319" s="7"/>
      <c r="BQ5319" s="7"/>
      <c r="BZ5319" s="7"/>
    </row>
    <row r="5320" spans="2:78">
      <c r="B5320" s="7"/>
      <c r="O5320" s="7"/>
      <c r="X5320" s="7"/>
      <c r="AG5320" s="7"/>
      <c r="AP5320" s="7"/>
      <c r="AY5320" s="7"/>
      <c r="BH5320" s="7"/>
      <c r="BQ5320" s="7"/>
      <c r="BZ5320" s="7"/>
    </row>
    <row r="5321" spans="2:78">
      <c r="B5321" s="7"/>
      <c r="O5321" s="7"/>
      <c r="X5321" s="7"/>
      <c r="AG5321" s="7"/>
      <c r="AP5321" s="7"/>
      <c r="AY5321" s="7"/>
      <c r="BH5321" s="7"/>
      <c r="BQ5321" s="7"/>
      <c r="BZ5321" s="7"/>
    </row>
    <row r="5322" spans="2:78">
      <c r="B5322" s="7"/>
      <c r="O5322" s="7"/>
      <c r="X5322" s="7"/>
      <c r="AG5322" s="7"/>
      <c r="AP5322" s="7"/>
      <c r="AY5322" s="7"/>
      <c r="BH5322" s="7"/>
      <c r="BQ5322" s="7"/>
      <c r="BZ5322" s="7"/>
    </row>
    <row r="5323" spans="2:78">
      <c r="B5323" s="7"/>
      <c r="O5323" s="7"/>
      <c r="X5323" s="7"/>
      <c r="AG5323" s="7"/>
      <c r="AP5323" s="7"/>
      <c r="AY5323" s="7"/>
      <c r="BH5323" s="7"/>
      <c r="BQ5323" s="7"/>
      <c r="BZ5323" s="7"/>
    </row>
    <row r="5324" spans="2:78">
      <c r="B5324" s="7"/>
      <c r="O5324" s="7"/>
      <c r="X5324" s="7"/>
      <c r="AG5324" s="7"/>
      <c r="AP5324" s="7"/>
      <c r="AY5324" s="7"/>
      <c r="BH5324" s="7"/>
      <c r="BQ5324" s="7"/>
      <c r="BZ5324" s="7"/>
    </row>
    <row r="5325" spans="2:78">
      <c r="B5325" s="7"/>
      <c r="O5325" s="7"/>
      <c r="X5325" s="7"/>
      <c r="AG5325" s="7"/>
      <c r="AP5325" s="7"/>
      <c r="AY5325" s="7"/>
      <c r="BH5325" s="7"/>
      <c r="BQ5325" s="7"/>
      <c r="BZ5325" s="7"/>
    </row>
    <row r="5326" spans="2:78">
      <c r="B5326" s="7"/>
      <c r="O5326" s="7"/>
      <c r="X5326" s="7"/>
      <c r="AG5326" s="7"/>
      <c r="AP5326" s="7"/>
      <c r="AY5326" s="7"/>
      <c r="BH5326" s="7"/>
      <c r="BQ5326" s="7"/>
      <c r="BZ5326" s="7"/>
    </row>
    <row r="5327" spans="2:78">
      <c r="B5327" s="7"/>
      <c r="O5327" s="7"/>
      <c r="X5327" s="7"/>
      <c r="AG5327" s="7"/>
      <c r="AP5327" s="7"/>
      <c r="AY5327" s="7"/>
      <c r="BH5327" s="7"/>
      <c r="BQ5327" s="7"/>
      <c r="BZ5327" s="7"/>
    </row>
    <row r="5328" spans="2:78">
      <c r="B5328" s="7"/>
      <c r="O5328" s="7"/>
      <c r="X5328" s="7"/>
      <c r="AG5328" s="7"/>
      <c r="AP5328" s="7"/>
      <c r="AY5328" s="7"/>
      <c r="BH5328" s="7"/>
      <c r="BQ5328" s="7"/>
      <c r="BZ5328" s="7"/>
    </row>
    <row r="5329" spans="2:78">
      <c r="B5329" s="7"/>
      <c r="O5329" s="7"/>
      <c r="X5329" s="7"/>
      <c r="AG5329" s="7"/>
      <c r="AP5329" s="7"/>
      <c r="AY5329" s="7"/>
      <c r="BH5329" s="7"/>
      <c r="BQ5329" s="7"/>
      <c r="BZ5329" s="7"/>
    </row>
    <row r="5330" spans="2:78">
      <c r="B5330" s="7"/>
      <c r="O5330" s="7"/>
      <c r="X5330" s="7"/>
      <c r="AG5330" s="7"/>
      <c r="AP5330" s="7"/>
      <c r="AY5330" s="7"/>
      <c r="BH5330" s="7"/>
      <c r="BQ5330" s="7"/>
      <c r="BZ5330" s="7"/>
    </row>
    <row r="5331" spans="2:78">
      <c r="B5331" s="7"/>
      <c r="O5331" s="7"/>
      <c r="X5331" s="7"/>
      <c r="AG5331" s="7"/>
      <c r="AP5331" s="7"/>
      <c r="AY5331" s="7"/>
      <c r="BH5331" s="7"/>
      <c r="BQ5331" s="7"/>
      <c r="BZ5331" s="7"/>
    </row>
    <row r="5332" spans="2:78">
      <c r="B5332" s="7"/>
      <c r="O5332" s="7"/>
      <c r="X5332" s="7"/>
      <c r="AG5332" s="7"/>
      <c r="AP5332" s="7"/>
      <c r="AY5332" s="7"/>
      <c r="BH5332" s="7"/>
      <c r="BQ5332" s="7"/>
      <c r="BZ5332" s="7"/>
    </row>
    <row r="5333" spans="2:78">
      <c r="B5333" s="7"/>
      <c r="O5333" s="7"/>
      <c r="X5333" s="7"/>
      <c r="AG5333" s="7"/>
      <c r="AP5333" s="7"/>
      <c r="AY5333" s="7"/>
      <c r="BH5333" s="7"/>
      <c r="BQ5333" s="7"/>
      <c r="BZ5333" s="7"/>
    </row>
    <row r="5334" spans="2:78">
      <c r="B5334" s="7"/>
      <c r="O5334" s="7"/>
      <c r="X5334" s="7"/>
      <c r="AG5334" s="7"/>
      <c r="AP5334" s="7"/>
      <c r="AY5334" s="7"/>
      <c r="BH5334" s="7"/>
      <c r="BQ5334" s="7"/>
      <c r="BZ5334" s="7"/>
    </row>
    <row r="5335" spans="2:78">
      <c r="B5335" s="7"/>
      <c r="O5335" s="7"/>
      <c r="X5335" s="7"/>
      <c r="AG5335" s="7"/>
      <c r="AP5335" s="7"/>
      <c r="AY5335" s="7"/>
      <c r="BH5335" s="7"/>
      <c r="BQ5335" s="7"/>
      <c r="BZ5335" s="7"/>
    </row>
    <row r="5336" spans="2:78">
      <c r="B5336" s="7"/>
      <c r="O5336" s="7"/>
      <c r="X5336" s="7"/>
      <c r="AG5336" s="7"/>
      <c r="AP5336" s="7"/>
      <c r="AY5336" s="7"/>
      <c r="BH5336" s="7"/>
      <c r="BQ5336" s="7"/>
      <c r="BZ5336" s="7"/>
    </row>
    <row r="5337" spans="2:78">
      <c r="B5337" s="7"/>
      <c r="O5337" s="7"/>
      <c r="X5337" s="7"/>
      <c r="AG5337" s="7"/>
      <c r="AP5337" s="7"/>
      <c r="AY5337" s="7"/>
      <c r="BH5337" s="7"/>
      <c r="BQ5337" s="7"/>
      <c r="BZ5337" s="7"/>
    </row>
    <row r="5338" spans="2:78">
      <c r="B5338" s="7"/>
      <c r="O5338" s="7"/>
      <c r="X5338" s="7"/>
      <c r="AG5338" s="7"/>
      <c r="AP5338" s="7"/>
      <c r="AY5338" s="7"/>
      <c r="BH5338" s="7"/>
      <c r="BQ5338" s="7"/>
      <c r="BZ5338" s="7"/>
    </row>
    <row r="5339" spans="2:78">
      <c r="B5339" s="7"/>
      <c r="O5339" s="7"/>
      <c r="X5339" s="7"/>
      <c r="AG5339" s="7"/>
      <c r="AP5339" s="7"/>
      <c r="AY5339" s="7"/>
      <c r="BH5339" s="7"/>
      <c r="BQ5339" s="7"/>
      <c r="BZ5339" s="7"/>
    </row>
    <row r="5340" spans="2:78">
      <c r="B5340" s="7"/>
      <c r="O5340" s="7"/>
      <c r="X5340" s="7"/>
      <c r="AG5340" s="7"/>
      <c r="AP5340" s="7"/>
      <c r="AY5340" s="7"/>
      <c r="BH5340" s="7"/>
      <c r="BQ5340" s="7"/>
      <c r="BZ5340" s="7"/>
    </row>
    <row r="5341" spans="2:78">
      <c r="B5341" s="7"/>
      <c r="O5341" s="7"/>
      <c r="X5341" s="7"/>
      <c r="AG5341" s="7"/>
      <c r="AP5341" s="7"/>
      <c r="AY5341" s="7"/>
      <c r="BH5341" s="7"/>
      <c r="BQ5341" s="7"/>
      <c r="BZ5341" s="7"/>
    </row>
    <row r="5342" spans="2:78">
      <c r="B5342" s="7"/>
      <c r="O5342" s="7"/>
      <c r="X5342" s="7"/>
      <c r="AG5342" s="7"/>
      <c r="AP5342" s="7"/>
      <c r="AY5342" s="7"/>
      <c r="BH5342" s="7"/>
      <c r="BQ5342" s="7"/>
      <c r="BZ5342" s="7"/>
    </row>
    <row r="5343" spans="2:78">
      <c r="B5343" s="7"/>
      <c r="O5343" s="7"/>
      <c r="X5343" s="7"/>
      <c r="AG5343" s="7"/>
      <c r="AP5343" s="7"/>
      <c r="AY5343" s="7"/>
      <c r="BH5343" s="7"/>
      <c r="BQ5343" s="7"/>
      <c r="BZ5343" s="7"/>
    </row>
    <row r="5344" spans="2:78">
      <c r="B5344" s="7"/>
      <c r="O5344" s="7"/>
      <c r="X5344" s="7"/>
      <c r="AG5344" s="7"/>
      <c r="AP5344" s="7"/>
      <c r="AY5344" s="7"/>
      <c r="BH5344" s="7"/>
      <c r="BQ5344" s="7"/>
      <c r="BZ5344" s="7"/>
    </row>
    <row r="5345" spans="2:78">
      <c r="B5345" s="7"/>
      <c r="O5345" s="7"/>
      <c r="X5345" s="7"/>
      <c r="AG5345" s="7"/>
      <c r="AP5345" s="7"/>
      <c r="AY5345" s="7"/>
      <c r="BH5345" s="7"/>
      <c r="BQ5345" s="7"/>
      <c r="BZ5345" s="7"/>
    </row>
    <row r="5346" spans="2:78">
      <c r="B5346" s="7"/>
      <c r="O5346" s="7"/>
      <c r="X5346" s="7"/>
      <c r="AG5346" s="7"/>
      <c r="AP5346" s="7"/>
      <c r="AY5346" s="7"/>
      <c r="BH5346" s="7"/>
      <c r="BQ5346" s="7"/>
      <c r="BZ5346" s="7"/>
    </row>
    <row r="5347" spans="2:78">
      <c r="B5347" s="7"/>
      <c r="O5347" s="7"/>
      <c r="X5347" s="7"/>
      <c r="AG5347" s="7"/>
      <c r="AP5347" s="7"/>
      <c r="AY5347" s="7"/>
      <c r="BH5347" s="7"/>
      <c r="BQ5347" s="7"/>
      <c r="BZ5347" s="7"/>
    </row>
    <row r="5348" spans="2:78">
      <c r="B5348" s="7"/>
      <c r="O5348" s="7"/>
      <c r="X5348" s="7"/>
      <c r="AG5348" s="7"/>
      <c r="AP5348" s="7"/>
      <c r="AY5348" s="7"/>
      <c r="BH5348" s="7"/>
      <c r="BQ5348" s="7"/>
      <c r="BZ5348" s="7"/>
    </row>
    <row r="5349" spans="2:78">
      <c r="B5349" s="7"/>
      <c r="O5349" s="7"/>
      <c r="X5349" s="7"/>
      <c r="AG5349" s="7"/>
      <c r="AP5349" s="7"/>
      <c r="AY5349" s="7"/>
      <c r="BH5349" s="7"/>
      <c r="BQ5349" s="7"/>
      <c r="BZ5349" s="7"/>
    </row>
    <row r="5350" spans="2:78">
      <c r="B5350" s="7"/>
      <c r="O5350" s="7"/>
      <c r="X5350" s="7"/>
      <c r="AG5350" s="7"/>
      <c r="AP5350" s="7"/>
      <c r="AY5350" s="7"/>
      <c r="BH5350" s="7"/>
      <c r="BQ5350" s="7"/>
      <c r="BZ5350" s="7"/>
    </row>
    <row r="5351" spans="2:78">
      <c r="B5351" s="7"/>
      <c r="O5351" s="7"/>
      <c r="X5351" s="7"/>
      <c r="AG5351" s="7"/>
      <c r="AP5351" s="7"/>
      <c r="AY5351" s="7"/>
      <c r="BH5351" s="7"/>
      <c r="BQ5351" s="7"/>
      <c r="BZ5351" s="7"/>
    </row>
    <row r="5352" spans="2:78">
      <c r="B5352" s="7"/>
      <c r="O5352" s="7"/>
      <c r="X5352" s="7"/>
      <c r="AG5352" s="7"/>
      <c r="AP5352" s="7"/>
      <c r="AY5352" s="7"/>
      <c r="BH5352" s="7"/>
      <c r="BQ5352" s="7"/>
      <c r="BZ5352" s="7"/>
    </row>
    <row r="5353" spans="2:78">
      <c r="B5353" s="7"/>
      <c r="O5353" s="7"/>
      <c r="X5353" s="7"/>
      <c r="AG5353" s="7"/>
      <c r="AP5353" s="7"/>
      <c r="AY5353" s="7"/>
      <c r="BH5353" s="7"/>
      <c r="BQ5353" s="7"/>
      <c r="BZ5353" s="7"/>
    </row>
    <row r="5354" spans="2:78">
      <c r="B5354" s="7"/>
      <c r="O5354" s="7"/>
      <c r="X5354" s="7"/>
      <c r="AG5354" s="7"/>
      <c r="AP5354" s="7"/>
      <c r="AY5354" s="7"/>
      <c r="BH5354" s="7"/>
      <c r="BQ5354" s="7"/>
      <c r="BZ5354" s="7"/>
    </row>
    <row r="5355" spans="2:78">
      <c r="B5355" s="7"/>
      <c r="O5355" s="7"/>
      <c r="X5355" s="7"/>
      <c r="AG5355" s="7"/>
      <c r="AP5355" s="7"/>
      <c r="AY5355" s="7"/>
      <c r="BH5355" s="7"/>
      <c r="BQ5355" s="7"/>
      <c r="BZ5355" s="7"/>
    </row>
    <row r="5356" spans="2:78">
      <c r="B5356" s="7"/>
      <c r="O5356" s="7"/>
      <c r="X5356" s="7"/>
      <c r="AG5356" s="7"/>
      <c r="AP5356" s="7"/>
      <c r="AY5356" s="7"/>
      <c r="BH5356" s="7"/>
      <c r="BQ5356" s="7"/>
      <c r="BZ5356" s="7"/>
    </row>
    <row r="5357" spans="2:78">
      <c r="B5357" s="7"/>
      <c r="O5357" s="7"/>
      <c r="X5357" s="7"/>
      <c r="AG5357" s="7"/>
      <c r="AP5357" s="7"/>
      <c r="AY5357" s="7"/>
      <c r="BH5357" s="7"/>
      <c r="BQ5357" s="7"/>
      <c r="BZ5357" s="7"/>
    </row>
    <row r="5358" spans="2:78">
      <c r="B5358" s="7"/>
      <c r="O5358" s="7"/>
      <c r="X5358" s="7"/>
      <c r="AG5358" s="7"/>
      <c r="AP5358" s="7"/>
      <c r="AY5358" s="7"/>
      <c r="BH5358" s="7"/>
      <c r="BQ5358" s="7"/>
      <c r="BZ5358" s="7"/>
    </row>
    <row r="5359" spans="2:78">
      <c r="B5359" s="7"/>
      <c r="O5359" s="7"/>
      <c r="X5359" s="7"/>
      <c r="AG5359" s="7"/>
      <c r="AP5359" s="7"/>
      <c r="AY5359" s="7"/>
      <c r="BH5359" s="7"/>
      <c r="BQ5359" s="7"/>
      <c r="BZ5359" s="7"/>
    </row>
    <row r="5360" spans="2:78">
      <c r="B5360" s="7"/>
      <c r="O5360" s="7"/>
      <c r="X5360" s="7"/>
      <c r="AG5360" s="7"/>
      <c r="AP5360" s="7"/>
      <c r="AY5360" s="7"/>
      <c r="BH5360" s="7"/>
      <c r="BQ5360" s="7"/>
      <c r="BZ5360" s="7"/>
    </row>
    <row r="5361" spans="2:78">
      <c r="B5361" s="7"/>
      <c r="O5361" s="7"/>
      <c r="X5361" s="7"/>
      <c r="AG5361" s="7"/>
      <c r="AP5361" s="7"/>
      <c r="AY5361" s="7"/>
      <c r="BH5361" s="7"/>
      <c r="BQ5361" s="7"/>
      <c r="BZ5361" s="7"/>
    </row>
    <row r="5362" spans="2:78">
      <c r="B5362" s="7"/>
      <c r="O5362" s="7"/>
      <c r="X5362" s="7"/>
      <c r="AG5362" s="7"/>
      <c r="AP5362" s="7"/>
      <c r="AY5362" s="7"/>
      <c r="BH5362" s="7"/>
      <c r="BQ5362" s="7"/>
      <c r="BZ5362" s="7"/>
    </row>
    <row r="5363" spans="2:78">
      <c r="B5363" s="7"/>
      <c r="O5363" s="7"/>
      <c r="X5363" s="7"/>
      <c r="AG5363" s="7"/>
      <c r="AP5363" s="7"/>
      <c r="AY5363" s="7"/>
      <c r="BH5363" s="7"/>
      <c r="BQ5363" s="7"/>
      <c r="BZ5363" s="7"/>
    </row>
    <row r="5364" spans="2:78">
      <c r="B5364" s="7"/>
      <c r="O5364" s="7"/>
      <c r="X5364" s="7"/>
      <c r="AG5364" s="7"/>
      <c r="AP5364" s="7"/>
      <c r="AY5364" s="7"/>
      <c r="BH5364" s="7"/>
      <c r="BQ5364" s="7"/>
      <c r="BZ5364" s="7"/>
    </row>
    <row r="5365" spans="2:78">
      <c r="B5365" s="7"/>
      <c r="O5365" s="7"/>
      <c r="X5365" s="7"/>
      <c r="AG5365" s="7"/>
      <c r="AP5365" s="7"/>
      <c r="AY5365" s="7"/>
      <c r="BH5365" s="7"/>
      <c r="BQ5365" s="7"/>
      <c r="BZ5365" s="7"/>
    </row>
    <row r="5366" spans="2:78">
      <c r="B5366" s="7"/>
      <c r="O5366" s="7"/>
      <c r="X5366" s="7"/>
      <c r="AG5366" s="7"/>
      <c r="AP5366" s="7"/>
      <c r="AY5366" s="7"/>
      <c r="BH5366" s="7"/>
      <c r="BQ5366" s="7"/>
      <c r="BZ5366" s="7"/>
    </row>
    <row r="5367" spans="2:78">
      <c r="B5367" s="7"/>
      <c r="O5367" s="7"/>
      <c r="X5367" s="7"/>
      <c r="AG5367" s="7"/>
      <c r="AP5367" s="7"/>
      <c r="AY5367" s="7"/>
      <c r="BH5367" s="7"/>
      <c r="BQ5367" s="7"/>
      <c r="BZ5367" s="7"/>
    </row>
    <row r="5368" spans="2:78">
      <c r="B5368" s="7"/>
      <c r="O5368" s="7"/>
      <c r="X5368" s="7"/>
      <c r="AG5368" s="7"/>
      <c r="AP5368" s="7"/>
      <c r="AY5368" s="7"/>
      <c r="BH5368" s="7"/>
      <c r="BQ5368" s="7"/>
      <c r="BZ5368" s="7"/>
    </row>
    <row r="5369" spans="2:78">
      <c r="B5369" s="7"/>
      <c r="O5369" s="7"/>
      <c r="X5369" s="7"/>
      <c r="AG5369" s="7"/>
      <c r="AP5369" s="7"/>
      <c r="AY5369" s="7"/>
      <c r="BH5369" s="7"/>
      <c r="BQ5369" s="7"/>
      <c r="BZ5369" s="7"/>
    </row>
    <row r="5370" spans="2:78">
      <c r="B5370" s="7"/>
      <c r="O5370" s="7"/>
      <c r="X5370" s="7"/>
      <c r="AG5370" s="7"/>
      <c r="AP5370" s="7"/>
      <c r="AY5370" s="7"/>
      <c r="BH5370" s="7"/>
      <c r="BQ5370" s="7"/>
      <c r="BZ5370" s="7"/>
    </row>
    <row r="5371" spans="2:78">
      <c r="B5371" s="7"/>
      <c r="O5371" s="7"/>
      <c r="X5371" s="7"/>
      <c r="AG5371" s="7"/>
      <c r="AP5371" s="7"/>
      <c r="AY5371" s="7"/>
      <c r="BH5371" s="7"/>
      <c r="BQ5371" s="7"/>
      <c r="BZ5371" s="7"/>
    </row>
    <row r="5372" spans="2:78">
      <c r="B5372" s="7"/>
      <c r="O5372" s="7"/>
      <c r="X5372" s="7"/>
      <c r="AG5372" s="7"/>
      <c r="AP5372" s="7"/>
      <c r="AY5372" s="7"/>
      <c r="BH5372" s="7"/>
      <c r="BQ5372" s="7"/>
      <c r="BZ5372" s="7"/>
    </row>
    <row r="5373" spans="2:78">
      <c r="B5373" s="7"/>
      <c r="O5373" s="7"/>
      <c r="X5373" s="7"/>
      <c r="AG5373" s="7"/>
      <c r="AP5373" s="7"/>
      <c r="AY5373" s="7"/>
      <c r="BH5373" s="7"/>
      <c r="BQ5373" s="7"/>
      <c r="BZ5373" s="7"/>
    </row>
    <row r="5374" spans="2:78">
      <c r="B5374" s="7"/>
      <c r="O5374" s="7"/>
      <c r="X5374" s="7"/>
      <c r="AG5374" s="7"/>
      <c r="AP5374" s="7"/>
      <c r="AY5374" s="7"/>
      <c r="BH5374" s="7"/>
      <c r="BQ5374" s="7"/>
      <c r="BZ5374" s="7"/>
    </row>
    <row r="5375" spans="2:78">
      <c r="B5375" s="7"/>
      <c r="O5375" s="7"/>
      <c r="X5375" s="7"/>
      <c r="AG5375" s="7"/>
      <c r="AP5375" s="7"/>
      <c r="AY5375" s="7"/>
      <c r="BH5375" s="7"/>
      <c r="BQ5375" s="7"/>
      <c r="BZ5375" s="7"/>
    </row>
    <row r="5376" spans="2:78">
      <c r="B5376" s="7"/>
      <c r="O5376" s="7"/>
      <c r="X5376" s="7"/>
      <c r="AG5376" s="7"/>
      <c r="AP5376" s="7"/>
      <c r="AY5376" s="7"/>
      <c r="BH5376" s="7"/>
      <c r="BQ5376" s="7"/>
      <c r="BZ5376" s="7"/>
    </row>
    <row r="5377" spans="2:78">
      <c r="B5377" s="7"/>
      <c r="O5377" s="7"/>
      <c r="X5377" s="7"/>
      <c r="AG5377" s="7"/>
      <c r="AP5377" s="7"/>
      <c r="AY5377" s="7"/>
      <c r="BH5377" s="7"/>
      <c r="BQ5377" s="7"/>
      <c r="BZ5377" s="7"/>
    </row>
    <row r="5378" spans="2:78">
      <c r="B5378" s="7"/>
      <c r="O5378" s="7"/>
      <c r="X5378" s="7"/>
      <c r="AG5378" s="7"/>
      <c r="AP5378" s="7"/>
      <c r="AY5378" s="7"/>
      <c r="BH5378" s="7"/>
      <c r="BQ5378" s="7"/>
      <c r="BZ5378" s="7"/>
    </row>
    <row r="5379" spans="2:78">
      <c r="B5379" s="7"/>
      <c r="O5379" s="7"/>
      <c r="X5379" s="7"/>
      <c r="AG5379" s="7"/>
      <c r="AP5379" s="7"/>
      <c r="AY5379" s="7"/>
      <c r="BH5379" s="7"/>
      <c r="BQ5379" s="7"/>
      <c r="BZ5379" s="7"/>
    </row>
    <row r="5380" spans="2:78">
      <c r="B5380" s="7"/>
      <c r="O5380" s="7"/>
      <c r="X5380" s="7"/>
      <c r="AG5380" s="7"/>
      <c r="AP5380" s="7"/>
      <c r="AY5380" s="7"/>
      <c r="BH5380" s="7"/>
      <c r="BQ5380" s="7"/>
      <c r="BZ5380" s="7"/>
    </row>
    <row r="5381" spans="2:78">
      <c r="B5381" s="7"/>
      <c r="O5381" s="7"/>
      <c r="X5381" s="7"/>
      <c r="AG5381" s="7"/>
      <c r="AP5381" s="7"/>
      <c r="AY5381" s="7"/>
      <c r="BH5381" s="7"/>
      <c r="BQ5381" s="7"/>
      <c r="BZ5381" s="7"/>
    </row>
    <row r="5382" spans="2:78">
      <c r="B5382" s="7"/>
      <c r="O5382" s="7"/>
      <c r="X5382" s="7"/>
      <c r="AG5382" s="7"/>
      <c r="AP5382" s="7"/>
      <c r="AY5382" s="7"/>
      <c r="BH5382" s="7"/>
      <c r="BQ5382" s="7"/>
      <c r="BZ5382" s="7"/>
    </row>
    <row r="5383" spans="2:78">
      <c r="B5383" s="7"/>
      <c r="O5383" s="7"/>
      <c r="X5383" s="7"/>
      <c r="AG5383" s="7"/>
      <c r="AP5383" s="7"/>
      <c r="AY5383" s="7"/>
      <c r="BH5383" s="7"/>
      <c r="BQ5383" s="7"/>
      <c r="BZ5383" s="7"/>
    </row>
    <row r="5384" spans="2:78">
      <c r="B5384" s="7"/>
      <c r="O5384" s="7"/>
      <c r="X5384" s="7"/>
      <c r="AG5384" s="7"/>
      <c r="AP5384" s="7"/>
      <c r="AY5384" s="7"/>
      <c r="BH5384" s="7"/>
      <c r="BQ5384" s="7"/>
      <c r="BZ5384" s="7"/>
    </row>
    <row r="5385" spans="2:78">
      <c r="B5385" s="7"/>
      <c r="O5385" s="7"/>
      <c r="X5385" s="7"/>
      <c r="AG5385" s="7"/>
      <c r="AP5385" s="7"/>
      <c r="AY5385" s="7"/>
      <c r="BH5385" s="7"/>
      <c r="BQ5385" s="7"/>
      <c r="BZ5385" s="7"/>
    </row>
    <row r="5386" spans="2:78">
      <c r="B5386" s="7"/>
      <c r="O5386" s="7"/>
      <c r="X5386" s="7"/>
      <c r="AG5386" s="7"/>
      <c r="AP5386" s="7"/>
      <c r="AY5386" s="7"/>
      <c r="BH5386" s="7"/>
      <c r="BQ5386" s="7"/>
      <c r="BZ5386" s="7"/>
    </row>
    <row r="5387" spans="2:78">
      <c r="B5387" s="7"/>
      <c r="O5387" s="7"/>
      <c r="X5387" s="7"/>
      <c r="AG5387" s="7"/>
      <c r="AP5387" s="7"/>
      <c r="AY5387" s="7"/>
      <c r="BH5387" s="7"/>
      <c r="BQ5387" s="7"/>
      <c r="BZ5387" s="7"/>
    </row>
    <row r="5388" spans="2:78">
      <c r="B5388" s="7"/>
      <c r="O5388" s="7"/>
      <c r="X5388" s="7"/>
      <c r="AG5388" s="7"/>
      <c r="AP5388" s="7"/>
      <c r="AY5388" s="7"/>
      <c r="BH5388" s="7"/>
      <c r="BQ5388" s="7"/>
      <c r="BZ5388" s="7"/>
    </row>
    <row r="5389" spans="2:78">
      <c r="B5389" s="7"/>
      <c r="O5389" s="7"/>
      <c r="X5389" s="7"/>
      <c r="AG5389" s="7"/>
      <c r="AP5389" s="7"/>
      <c r="AY5389" s="7"/>
      <c r="BH5389" s="7"/>
      <c r="BQ5389" s="7"/>
      <c r="BZ5389" s="7"/>
    </row>
    <row r="5390" spans="2:78">
      <c r="B5390" s="7"/>
      <c r="O5390" s="7"/>
      <c r="X5390" s="7"/>
      <c r="AG5390" s="7"/>
      <c r="AP5390" s="7"/>
      <c r="AY5390" s="7"/>
      <c r="BH5390" s="7"/>
      <c r="BQ5390" s="7"/>
      <c r="BZ5390" s="7"/>
    </row>
    <row r="5391" spans="2:78">
      <c r="B5391" s="7"/>
      <c r="O5391" s="7"/>
      <c r="X5391" s="7"/>
      <c r="AG5391" s="7"/>
      <c r="AP5391" s="7"/>
      <c r="AY5391" s="7"/>
      <c r="BH5391" s="7"/>
      <c r="BQ5391" s="7"/>
      <c r="BZ5391" s="7"/>
    </row>
    <row r="5392" spans="2:78">
      <c r="B5392" s="7"/>
      <c r="O5392" s="7"/>
      <c r="X5392" s="7"/>
      <c r="AG5392" s="7"/>
      <c r="AP5392" s="7"/>
      <c r="AY5392" s="7"/>
      <c r="BH5392" s="7"/>
      <c r="BQ5392" s="7"/>
      <c r="BZ5392" s="7"/>
    </row>
    <row r="5393" spans="2:78">
      <c r="B5393" s="7"/>
      <c r="O5393" s="7"/>
      <c r="X5393" s="7"/>
      <c r="AG5393" s="7"/>
      <c r="AP5393" s="7"/>
      <c r="AY5393" s="7"/>
      <c r="BH5393" s="7"/>
      <c r="BQ5393" s="7"/>
      <c r="BZ5393" s="7"/>
    </row>
    <row r="5394" spans="2:78">
      <c r="B5394" s="7"/>
      <c r="O5394" s="7"/>
      <c r="X5394" s="7"/>
      <c r="AG5394" s="7"/>
      <c r="AP5394" s="7"/>
      <c r="AY5394" s="7"/>
      <c r="BH5394" s="7"/>
      <c r="BQ5394" s="7"/>
      <c r="BZ5394" s="7"/>
    </row>
    <row r="5395" spans="2:78">
      <c r="B5395" s="7"/>
      <c r="O5395" s="7"/>
      <c r="X5395" s="7"/>
      <c r="AG5395" s="7"/>
      <c r="AP5395" s="7"/>
      <c r="AY5395" s="7"/>
      <c r="BH5395" s="7"/>
      <c r="BQ5395" s="7"/>
      <c r="BZ5395" s="7"/>
    </row>
    <row r="5396" spans="2:78">
      <c r="B5396" s="7"/>
      <c r="O5396" s="7"/>
      <c r="X5396" s="7"/>
      <c r="AG5396" s="7"/>
      <c r="AP5396" s="7"/>
      <c r="AY5396" s="7"/>
      <c r="BH5396" s="7"/>
      <c r="BQ5396" s="7"/>
      <c r="BZ5396" s="7"/>
    </row>
    <row r="5397" spans="2:78">
      <c r="B5397" s="7"/>
      <c r="O5397" s="7"/>
      <c r="X5397" s="7"/>
      <c r="AG5397" s="7"/>
      <c r="AP5397" s="7"/>
      <c r="AY5397" s="7"/>
      <c r="BH5397" s="7"/>
      <c r="BQ5397" s="7"/>
      <c r="BZ5397" s="7"/>
    </row>
    <row r="5398" spans="2:78">
      <c r="B5398" s="7"/>
      <c r="O5398" s="7"/>
      <c r="X5398" s="7"/>
      <c r="AG5398" s="7"/>
      <c r="AP5398" s="7"/>
      <c r="AY5398" s="7"/>
      <c r="BH5398" s="7"/>
      <c r="BQ5398" s="7"/>
      <c r="BZ5398" s="7"/>
    </row>
    <row r="5399" spans="2:78">
      <c r="B5399" s="7"/>
      <c r="O5399" s="7"/>
      <c r="X5399" s="7"/>
      <c r="AG5399" s="7"/>
      <c r="AP5399" s="7"/>
      <c r="AY5399" s="7"/>
      <c r="BH5399" s="7"/>
      <c r="BQ5399" s="7"/>
      <c r="BZ5399" s="7"/>
    </row>
    <row r="5400" spans="2:78">
      <c r="B5400" s="7"/>
      <c r="O5400" s="7"/>
      <c r="X5400" s="7"/>
      <c r="AG5400" s="7"/>
      <c r="AP5400" s="7"/>
      <c r="AY5400" s="7"/>
      <c r="BH5400" s="7"/>
      <c r="BQ5400" s="7"/>
      <c r="BZ5400" s="7"/>
    </row>
    <row r="5401" spans="2:78">
      <c r="B5401" s="7"/>
      <c r="O5401" s="7"/>
      <c r="X5401" s="7"/>
      <c r="AG5401" s="7"/>
      <c r="AP5401" s="7"/>
      <c r="AY5401" s="7"/>
      <c r="BH5401" s="7"/>
      <c r="BQ5401" s="7"/>
      <c r="BZ5401" s="7"/>
    </row>
    <row r="5402" spans="2:78">
      <c r="B5402" s="7"/>
      <c r="O5402" s="7"/>
      <c r="X5402" s="7"/>
      <c r="AG5402" s="7"/>
      <c r="AP5402" s="7"/>
      <c r="AY5402" s="7"/>
      <c r="BH5402" s="7"/>
      <c r="BQ5402" s="7"/>
      <c r="BZ5402" s="7"/>
    </row>
    <row r="5403" spans="2:78">
      <c r="B5403" s="7"/>
      <c r="O5403" s="7"/>
      <c r="X5403" s="7"/>
      <c r="AG5403" s="7"/>
      <c r="AP5403" s="7"/>
      <c r="AY5403" s="7"/>
      <c r="BH5403" s="7"/>
      <c r="BQ5403" s="7"/>
      <c r="BZ5403" s="7"/>
    </row>
    <row r="5404" spans="2:78">
      <c r="B5404" s="7"/>
      <c r="O5404" s="7"/>
      <c r="X5404" s="7"/>
      <c r="AG5404" s="7"/>
      <c r="AP5404" s="7"/>
      <c r="AY5404" s="7"/>
      <c r="BH5404" s="7"/>
      <c r="BQ5404" s="7"/>
      <c r="BZ5404" s="7"/>
    </row>
    <row r="5405" spans="2:78">
      <c r="B5405" s="7"/>
      <c r="O5405" s="7"/>
      <c r="X5405" s="7"/>
      <c r="AG5405" s="7"/>
      <c r="AP5405" s="7"/>
      <c r="AY5405" s="7"/>
      <c r="BH5405" s="7"/>
      <c r="BQ5405" s="7"/>
      <c r="BZ5405" s="7"/>
    </row>
    <row r="5406" spans="2:78">
      <c r="B5406" s="7"/>
      <c r="O5406" s="7"/>
      <c r="X5406" s="7"/>
      <c r="AG5406" s="7"/>
      <c r="AP5406" s="7"/>
      <c r="AY5406" s="7"/>
      <c r="BH5406" s="7"/>
      <c r="BQ5406" s="7"/>
      <c r="BZ5406" s="7"/>
    </row>
    <row r="5407" spans="2:78">
      <c r="B5407" s="7"/>
      <c r="O5407" s="7"/>
      <c r="X5407" s="7"/>
      <c r="AG5407" s="7"/>
      <c r="AP5407" s="7"/>
      <c r="AY5407" s="7"/>
      <c r="BH5407" s="7"/>
      <c r="BQ5407" s="7"/>
      <c r="BZ5407" s="7"/>
    </row>
    <row r="5408" spans="2:78">
      <c r="B5408" s="7"/>
      <c r="O5408" s="7"/>
      <c r="X5408" s="7"/>
      <c r="AG5408" s="7"/>
      <c r="AP5408" s="7"/>
      <c r="AY5408" s="7"/>
      <c r="BH5408" s="7"/>
      <c r="BQ5408" s="7"/>
      <c r="BZ5408" s="7"/>
    </row>
    <row r="5409" spans="2:78">
      <c r="B5409" s="7"/>
      <c r="O5409" s="7"/>
      <c r="X5409" s="7"/>
      <c r="AG5409" s="7"/>
      <c r="AP5409" s="7"/>
      <c r="AY5409" s="7"/>
      <c r="BH5409" s="7"/>
      <c r="BQ5409" s="7"/>
      <c r="BZ5409" s="7"/>
    </row>
    <row r="5410" spans="2:78">
      <c r="B5410" s="7"/>
      <c r="O5410" s="7"/>
      <c r="X5410" s="7"/>
      <c r="AG5410" s="7"/>
      <c r="AP5410" s="7"/>
      <c r="AY5410" s="7"/>
      <c r="BH5410" s="7"/>
      <c r="BQ5410" s="7"/>
      <c r="BZ5410" s="7"/>
    </row>
    <row r="5411" spans="2:78">
      <c r="B5411" s="7"/>
      <c r="O5411" s="7"/>
      <c r="X5411" s="7"/>
      <c r="AG5411" s="7"/>
      <c r="AP5411" s="7"/>
      <c r="AY5411" s="7"/>
      <c r="BH5411" s="7"/>
      <c r="BQ5411" s="7"/>
      <c r="BZ5411" s="7"/>
    </row>
    <row r="5412" spans="2:78">
      <c r="B5412" s="7"/>
      <c r="O5412" s="7"/>
      <c r="X5412" s="7"/>
      <c r="AG5412" s="7"/>
      <c r="AP5412" s="7"/>
      <c r="AY5412" s="7"/>
      <c r="BH5412" s="7"/>
      <c r="BQ5412" s="7"/>
      <c r="BZ5412" s="7"/>
    </row>
    <row r="5413" spans="2:78">
      <c r="B5413" s="7"/>
      <c r="O5413" s="7"/>
      <c r="X5413" s="7"/>
      <c r="AG5413" s="7"/>
      <c r="AP5413" s="7"/>
      <c r="AY5413" s="7"/>
      <c r="BH5413" s="7"/>
      <c r="BQ5413" s="7"/>
      <c r="BZ5413" s="7"/>
    </row>
    <row r="5414" spans="2:78">
      <c r="B5414" s="7"/>
      <c r="O5414" s="7"/>
      <c r="X5414" s="7"/>
      <c r="AG5414" s="7"/>
      <c r="AP5414" s="7"/>
      <c r="AY5414" s="7"/>
      <c r="BH5414" s="7"/>
      <c r="BQ5414" s="7"/>
      <c r="BZ5414" s="7"/>
    </row>
    <row r="5415" spans="2:78">
      <c r="B5415" s="7"/>
      <c r="O5415" s="7"/>
      <c r="X5415" s="7"/>
      <c r="AG5415" s="7"/>
      <c r="AP5415" s="7"/>
      <c r="AY5415" s="7"/>
      <c r="BH5415" s="7"/>
      <c r="BQ5415" s="7"/>
      <c r="BZ5415" s="7"/>
    </row>
    <row r="5416" spans="2:78">
      <c r="B5416" s="7"/>
      <c r="O5416" s="7"/>
      <c r="X5416" s="7"/>
      <c r="AG5416" s="7"/>
      <c r="AP5416" s="7"/>
      <c r="AY5416" s="7"/>
      <c r="BH5416" s="7"/>
      <c r="BQ5416" s="7"/>
      <c r="BZ5416" s="7"/>
    </row>
    <row r="5417" spans="2:78">
      <c r="B5417" s="7"/>
      <c r="O5417" s="7"/>
      <c r="X5417" s="7"/>
      <c r="AG5417" s="7"/>
      <c r="AP5417" s="7"/>
      <c r="AY5417" s="7"/>
      <c r="BH5417" s="7"/>
      <c r="BQ5417" s="7"/>
      <c r="BZ5417" s="7"/>
    </row>
    <row r="5418" spans="2:78">
      <c r="B5418" s="7"/>
      <c r="O5418" s="7"/>
      <c r="X5418" s="7"/>
      <c r="AG5418" s="7"/>
      <c r="AP5418" s="7"/>
      <c r="AY5418" s="7"/>
      <c r="BH5418" s="7"/>
      <c r="BQ5418" s="7"/>
      <c r="BZ5418" s="7"/>
    </row>
    <row r="5419" spans="2:78">
      <c r="B5419" s="7"/>
      <c r="O5419" s="7"/>
      <c r="X5419" s="7"/>
      <c r="AG5419" s="7"/>
      <c r="AP5419" s="7"/>
      <c r="AY5419" s="7"/>
      <c r="BH5419" s="7"/>
      <c r="BQ5419" s="7"/>
      <c r="BZ5419" s="7"/>
    </row>
    <row r="5420" spans="2:78">
      <c r="B5420" s="7"/>
      <c r="O5420" s="7"/>
      <c r="X5420" s="7"/>
      <c r="AG5420" s="7"/>
      <c r="AP5420" s="7"/>
      <c r="AY5420" s="7"/>
      <c r="BH5420" s="7"/>
      <c r="BQ5420" s="7"/>
      <c r="BZ5420" s="7"/>
    </row>
    <row r="5421" spans="2:78">
      <c r="B5421" s="7"/>
      <c r="O5421" s="7"/>
      <c r="X5421" s="7"/>
      <c r="AG5421" s="7"/>
      <c r="AP5421" s="7"/>
      <c r="AY5421" s="7"/>
      <c r="BH5421" s="7"/>
      <c r="BQ5421" s="7"/>
      <c r="BZ5421" s="7"/>
    </row>
    <row r="5422" spans="2:78">
      <c r="B5422" s="7"/>
      <c r="O5422" s="7"/>
      <c r="X5422" s="7"/>
      <c r="AG5422" s="7"/>
      <c r="AP5422" s="7"/>
      <c r="AY5422" s="7"/>
      <c r="BH5422" s="7"/>
      <c r="BQ5422" s="7"/>
      <c r="BZ5422" s="7"/>
    </row>
    <row r="5423" spans="2:78">
      <c r="B5423" s="7"/>
      <c r="O5423" s="7"/>
      <c r="X5423" s="7"/>
      <c r="AG5423" s="7"/>
      <c r="AP5423" s="7"/>
      <c r="AY5423" s="7"/>
      <c r="BH5423" s="7"/>
      <c r="BQ5423" s="7"/>
      <c r="BZ5423" s="7"/>
    </row>
    <row r="5424" spans="2:78">
      <c r="B5424" s="7"/>
      <c r="O5424" s="7"/>
      <c r="X5424" s="7"/>
      <c r="AG5424" s="7"/>
      <c r="AP5424" s="7"/>
      <c r="AY5424" s="7"/>
      <c r="BH5424" s="7"/>
      <c r="BQ5424" s="7"/>
      <c r="BZ5424" s="7"/>
    </row>
    <row r="5425" spans="2:78">
      <c r="B5425" s="7"/>
      <c r="O5425" s="7"/>
      <c r="X5425" s="7"/>
      <c r="AG5425" s="7"/>
      <c r="AP5425" s="7"/>
      <c r="AY5425" s="7"/>
      <c r="BH5425" s="7"/>
      <c r="BQ5425" s="7"/>
      <c r="BZ5425" s="7"/>
    </row>
    <row r="5426" spans="2:78">
      <c r="B5426" s="7"/>
      <c r="O5426" s="7"/>
      <c r="X5426" s="7"/>
      <c r="AG5426" s="7"/>
      <c r="AP5426" s="7"/>
      <c r="AY5426" s="7"/>
      <c r="BH5426" s="7"/>
      <c r="BQ5426" s="7"/>
      <c r="BZ5426" s="7"/>
    </row>
    <row r="5427" spans="2:78">
      <c r="B5427" s="7"/>
      <c r="O5427" s="7"/>
      <c r="X5427" s="7"/>
      <c r="AG5427" s="7"/>
      <c r="AP5427" s="7"/>
      <c r="AY5427" s="7"/>
      <c r="BH5427" s="7"/>
      <c r="BQ5427" s="7"/>
      <c r="BZ5427" s="7"/>
    </row>
    <row r="5428" spans="2:78">
      <c r="B5428" s="7"/>
      <c r="O5428" s="7"/>
      <c r="X5428" s="7"/>
      <c r="AG5428" s="7"/>
      <c r="AP5428" s="7"/>
      <c r="AY5428" s="7"/>
      <c r="BH5428" s="7"/>
      <c r="BQ5428" s="7"/>
      <c r="BZ5428" s="7"/>
    </row>
    <row r="5429" spans="2:78">
      <c r="B5429" s="7"/>
      <c r="O5429" s="7"/>
      <c r="X5429" s="7"/>
      <c r="AG5429" s="7"/>
      <c r="AP5429" s="7"/>
      <c r="AY5429" s="7"/>
      <c r="BH5429" s="7"/>
      <c r="BQ5429" s="7"/>
      <c r="BZ5429" s="7"/>
    </row>
    <row r="5430" spans="2:78">
      <c r="B5430" s="7"/>
      <c r="O5430" s="7"/>
      <c r="X5430" s="7"/>
      <c r="AG5430" s="7"/>
      <c r="AP5430" s="7"/>
      <c r="AY5430" s="7"/>
      <c r="BH5430" s="7"/>
      <c r="BQ5430" s="7"/>
      <c r="BZ5430" s="7"/>
    </row>
    <row r="5431" spans="2:78">
      <c r="B5431" s="7"/>
      <c r="O5431" s="7"/>
      <c r="X5431" s="7"/>
      <c r="AG5431" s="7"/>
      <c r="AP5431" s="7"/>
      <c r="AY5431" s="7"/>
      <c r="BH5431" s="7"/>
      <c r="BQ5431" s="7"/>
      <c r="BZ5431" s="7"/>
    </row>
    <row r="5432" spans="2:78">
      <c r="B5432" s="7"/>
      <c r="O5432" s="7"/>
      <c r="X5432" s="7"/>
      <c r="AG5432" s="7"/>
      <c r="AP5432" s="7"/>
      <c r="AY5432" s="7"/>
      <c r="BH5432" s="7"/>
      <c r="BQ5432" s="7"/>
      <c r="BZ5432" s="7"/>
    </row>
    <row r="5433" spans="2:78">
      <c r="B5433" s="7"/>
      <c r="O5433" s="7"/>
      <c r="X5433" s="7"/>
      <c r="AG5433" s="7"/>
      <c r="AP5433" s="7"/>
      <c r="AY5433" s="7"/>
      <c r="BH5433" s="7"/>
      <c r="BQ5433" s="7"/>
      <c r="BZ5433" s="7"/>
    </row>
    <row r="5434" spans="2:78">
      <c r="B5434" s="7"/>
      <c r="O5434" s="7"/>
      <c r="X5434" s="7"/>
      <c r="AG5434" s="7"/>
      <c r="AP5434" s="7"/>
      <c r="AY5434" s="7"/>
      <c r="BH5434" s="7"/>
      <c r="BQ5434" s="7"/>
      <c r="BZ5434" s="7"/>
    </row>
    <row r="5435" spans="2:78">
      <c r="B5435" s="7"/>
      <c r="O5435" s="7"/>
      <c r="X5435" s="7"/>
      <c r="AG5435" s="7"/>
      <c r="AP5435" s="7"/>
      <c r="AY5435" s="7"/>
      <c r="BH5435" s="7"/>
      <c r="BQ5435" s="7"/>
      <c r="BZ5435" s="7"/>
    </row>
    <row r="5436" spans="2:78">
      <c r="B5436" s="7"/>
      <c r="O5436" s="7"/>
      <c r="X5436" s="7"/>
      <c r="AG5436" s="7"/>
      <c r="AP5436" s="7"/>
      <c r="AY5436" s="7"/>
      <c r="BH5436" s="7"/>
      <c r="BQ5436" s="7"/>
      <c r="BZ5436" s="7"/>
    </row>
    <row r="5437" spans="2:78">
      <c r="B5437" s="7"/>
      <c r="O5437" s="7"/>
      <c r="X5437" s="7"/>
      <c r="AG5437" s="7"/>
      <c r="AP5437" s="7"/>
      <c r="AY5437" s="7"/>
      <c r="BH5437" s="7"/>
      <c r="BQ5437" s="7"/>
      <c r="BZ5437" s="7"/>
    </row>
    <row r="5438" spans="2:78">
      <c r="B5438" s="7"/>
      <c r="O5438" s="7"/>
      <c r="X5438" s="7"/>
      <c r="AG5438" s="7"/>
      <c r="AP5438" s="7"/>
      <c r="AY5438" s="7"/>
      <c r="BH5438" s="7"/>
      <c r="BQ5438" s="7"/>
      <c r="BZ5438" s="7"/>
    </row>
    <row r="5439" spans="2:78">
      <c r="B5439" s="7"/>
      <c r="O5439" s="7"/>
      <c r="X5439" s="7"/>
      <c r="AG5439" s="7"/>
      <c r="AP5439" s="7"/>
      <c r="AY5439" s="7"/>
      <c r="BH5439" s="7"/>
      <c r="BQ5439" s="7"/>
      <c r="BZ5439" s="7"/>
    </row>
    <row r="5440" spans="2:78">
      <c r="B5440" s="7"/>
      <c r="O5440" s="7"/>
      <c r="X5440" s="7"/>
      <c r="AG5440" s="7"/>
      <c r="AP5440" s="7"/>
      <c r="AY5440" s="7"/>
      <c r="BH5440" s="7"/>
      <c r="BQ5440" s="7"/>
      <c r="BZ5440" s="7"/>
    </row>
    <row r="5441" spans="2:78">
      <c r="B5441" s="7"/>
      <c r="O5441" s="7"/>
      <c r="X5441" s="7"/>
      <c r="AG5441" s="7"/>
      <c r="AP5441" s="7"/>
      <c r="AY5441" s="7"/>
      <c r="BH5441" s="7"/>
      <c r="BQ5441" s="7"/>
      <c r="BZ5441" s="7"/>
    </row>
    <row r="5442" spans="2:78">
      <c r="B5442" s="7"/>
      <c r="O5442" s="7"/>
      <c r="X5442" s="7"/>
      <c r="AG5442" s="7"/>
      <c r="AP5442" s="7"/>
      <c r="AY5442" s="7"/>
      <c r="BH5442" s="7"/>
      <c r="BQ5442" s="7"/>
      <c r="BZ5442" s="7"/>
    </row>
    <row r="5443" spans="2:78">
      <c r="B5443" s="7"/>
      <c r="O5443" s="7"/>
      <c r="X5443" s="7"/>
      <c r="AG5443" s="7"/>
      <c r="AP5443" s="7"/>
      <c r="AY5443" s="7"/>
      <c r="BH5443" s="7"/>
      <c r="BQ5443" s="7"/>
      <c r="BZ5443" s="7"/>
    </row>
    <row r="5444" spans="2:78">
      <c r="B5444" s="7"/>
      <c r="O5444" s="7"/>
      <c r="X5444" s="7"/>
      <c r="AG5444" s="7"/>
      <c r="AP5444" s="7"/>
      <c r="AY5444" s="7"/>
      <c r="BH5444" s="7"/>
      <c r="BQ5444" s="7"/>
      <c r="BZ5444" s="7"/>
    </row>
    <row r="5445" spans="2:78">
      <c r="B5445" s="7"/>
      <c r="O5445" s="7"/>
      <c r="X5445" s="7"/>
      <c r="AG5445" s="7"/>
      <c r="AP5445" s="7"/>
      <c r="AY5445" s="7"/>
      <c r="BH5445" s="7"/>
      <c r="BQ5445" s="7"/>
      <c r="BZ5445" s="7"/>
    </row>
    <row r="5446" spans="2:78">
      <c r="B5446" s="7"/>
      <c r="O5446" s="7"/>
      <c r="X5446" s="7"/>
      <c r="AG5446" s="7"/>
      <c r="AP5446" s="7"/>
      <c r="AY5446" s="7"/>
      <c r="BH5446" s="7"/>
      <c r="BQ5446" s="7"/>
      <c r="BZ5446" s="7"/>
    </row>
    <row r="5447" spans="2:78">
      <c r="B5447" s="7"/>
      <c r="O5447" s="7"/>
      <c r="X5447" s="7"/>
      <c r="AG5447" s="7"/>
      <c r="AP5447" s="7"/>
      <c r="AY5447" s="7"/>
      <c r="BH5447" s="7"/>
      <c r="BQ5447" s="7"/>
      <c r="BZ5447" s="7"/>
    </row>
    <row r="5448" spans="2:78">
      <c r="B5448" s="7"/>
      <c r="O5448" s="7"/>
      <c r="X5448" s="7"/>
      <c r="AG5448" s="7"/>
      <c r="AP5448" s="7"/>
      <c r="AY5448" s="7"/>
      <c r="BH5448" s="7"/>
      <c r="BQ5448" s="7"/>
      <c r="BZ5448" s="7"/>
    </row>
    <row r="5449" spans="2:78">
      <c r="B5449" s="7"/>
      <c r="O5449" s="7"/>
      <c r="X5449" s="7"/>
      <c r="AG5449" s="7"/>
      <c r="AP5449" s="7"/>
      <c r="AY5449" s="7"/>
      <c r="BH5449" s="7"/>
      <c r="BQ5449" s="7"/>
      <c r="BZ5449" s="7"/>
    </row>
    <row r="5450" spans="2:78">
      <c r="B5450" s="7"/>
      <c r="O5450" s="7"/>
      <c r="X5450" s="7"/>
      <c r="AG5450" s="7"/>
      <c r="AP5450" s="7"/>
      <c r="AY5450" s="7"/>
      <c r="BH5450" s="7"/>
      <c r="BQ5450" s="7"/>
      <c r="BZ5450" s="7"/>
    </row>
    <row r="5451" spans="2:78">
      <c r="B5451" s="7"/>
      <c r="O5451" s="7"/>
      <c r="X5451" s="7"/>
      <c r="AG5451" s="7"/>
      <c r="AP5451" s="7"/>
      <c r="AY5451" s="7"/>
      <c r="BH5451" s="7"/>
      <c r="BQ5451" s="7"/>
      <c r="BZ5451" s="7"/>
    </row>
    <row r="5452" spans="2:78">
      <c r="B5452" s="7"/>
      <c r="O5452" s="7"/>
      <c r="X5452" s="7"/>
      <c r="AG5452" s="7"/>
      <c r="AP5452" s="7"/>
      <c r="AY5452" s="7"/>
      <c r="BH5452" s="7"/>
      <c r="BQ5452" s="7"/>
      <c r="BZ5452" s="7"/>
    </row>
    <row r="5453" spans="2:78">
      <c r="B5453" s="7"/>
      <c r="O5453" s="7"/>
      <c r="X5453" s="7"/>
      <c r="AG5453" s="7"/>
      <c r="AP5453" s="7"/>
      <c r="AY5453" s="7"/>
      <c r="BH5453" s="7"/>
      <c r="BQ5453" s="7"/>
      <c r="BZ5453" s="7"/>
    </row>
    <row r="5454" spans="2:78">
      <c r="B5454" s="7"/>
      <c r="O5454" s="7"/>
      <c r="X5454" s="7"/>
      <c r="AG5454" s="7"/>
      <c r="AP5454" s="7"/>
      <c r="AY5454" s="7"/>
      <c r="BH5454" s="7"/>
      <c r="BQ5454" s="7"/>
      <c r="BZ5454" s="7"/>
    </row>
    <row r="5455" spans="2:78">
      <c r="B5455" s="7"/>
      <c r="O5455" s="7"/>
      <c r="X5455" s="7"/>
      <c r="AG5455" s="7"/>
      <c r="AP5455" s="7"/>
      <c r="AY5455" s="7"/>
      <c r="BH5455" s="7"/>
      <c r="BQ5455" s="7"/>
      <c r="BZ5455" s="7"/>
    </row>
    <row r="5456" spans="2:78">
      <c r="B5456" s="7"/>
      <c r="O5456" s="7"/>
      <c r="X5456" s="7"/>
      <c r="AG5456" s="7"/>
      <c r="AP5456" s="7"/>
      <c r="AY5456" s="7"/>
      <c r="BH5456" s="7"/>
      <c r="BQ5456" s="7"/>
      <c r="BZ5456" s="7"/>
    </row>
    <row r="5457" spans="2:78">
      <c r="B5457" s="7"/>
      <c r="O5457" s="7"/>
      <c r="X5457" s="7"/>
      <c r="AG5457" s="7"/>
      <c r="AP5457" s="7"/>
      <c r="AY5457" s="7"/>
      <c r="BH5457" s="7"/>
      <c r="BQ5457" s="7"/>
      <c r="BZ5457" s="7"/>
    </row>
    <row r="5458" spans="2:78">
      <c r="B5458" s="7"/>
      <c r="O5458" s="7"/>
      <c r="X5458" s="7"/>
      <c r="AG5458" s="7"/>
      <c r="AP5458" s="7"/>
      <c r="AY5458" s="7"/>
      <c r="BH5458" s="7"/>
      <c r="BQ5458" s="7"/>
      <c r="BZ5458" s="7"/>
    </row>
    <row r="5459" spans="2:78">
      <c r="B5459" s="7"/>
      <c r="O5459" s="7"/>
      <c r="X5459" s="7"/>
      <c r="AG5459" s="7"/>
      <c r="AP5459" s="7"/>
      <c r="AY5459" s="7"/>
      <c r="BH5459" s="7"/>
      <c r="BQ5459" s="7"/>
      <c r="BZ5459" s="7"/>
    </row>
    <row r="5460" spans="2:78">
      <c r="B5460" s="7"/>
      <c r="O5460" s="7"/>
      <c r="X5460" s="7"/>
      <c r="AG5460" s="7"/>
      <c r="AP5460" s="7"/>
      <c r="AY5460" s="7"/>
      <c r="BH5460" s="7"/>
      <c r="BQ5460" s="7"/>
      <c r="BZ5460" s="7"/>
    </row>
    <row r="5461" spans="2:78">
      <c r="B5461" s="7"/>
      <c r="O5461" s="7"/>
      <c r="X5461" s="7"/>
      <c r="AG5461" s="7"/>
      <c r="AP5461" s="7"/>
      <c r="AY5461" s="7"/>
      <c r="BH5461" s="7"/>
      <c r="BQ5461" s="7"/>
      <c r="BZ5461" s="7"/>
    </row>
    <row r="5462" spans="2:78">
      <c r="B5462" s="7"/>
      <c r="O5462" s="7"/>
      <c r="X5462" s="7"/>
      <c r="AG5462" s="7"/>
      <c r="AP5462" s="7"/>
      <c r="AY5462" s="7"/>
      <c r="BH5462" s="7"/>
      <c r="BQ5462" s="7"/>
      <c r="BZ5462" s="7"/>
    </row>
    <row r="5463" spans="2:78">
      <c r="B5463" s="7"/>
      <c r="O5463" s="7"/>
      <c r="X5463" s="7"/>
      <c r="AG5463" s="7"/>
      <c r="AP5463" s="7"/>
      <c r="AY5463" s="7"/>
      <c r="BH5463" s="7"/>
      <c r="BQ5463" s="7"/>
      <c r="BZ5463" s="7"/>
    </row>
    <row r="5464" spans="2:78">
      <c r="B5464" s="7"/>
      <c r="O5464" s="7"/>
      <c r="X5464" s="7"/>
      <c r="AG5464" s="7"/>
      <c r="AP5464" s="7"/>
      <c r="AY5464" s="7"/>
      <c r="BH5464" s="7"/>
      <c r="BQ5464" s="7"/>
      <c r="BZ5464" s="7"/>
    </row>
    <row r="5465" spans="2:78">
      <c r="B5465" s="7"/>
      <c r="O5465" s="7"/>
      <c r="X5465" s="7"/>
      <c r="AG5465" s="7"/>
      <c r="AP5465" s="7"/>
      <c r="AY5465" s="7"/>
      <c r="BH5465" s="7"/>
      <c r="BQ5465" s="7"/>
      <c r="BZ5465" s="7"/>
    </row>
    <row r="5466" spans="2:78">
      <c r="B5466" s="7"/>
      <c r="O5466" s="7"/>
      <c r="X5466" s="7"/>
      <c r="AG5466" s="7"/>
      <c r="AP5466" s="7"/>
      <c r="AY5466" s="7"/>
      <c r="BH5466" s="7"/>
      <c r="BQ5466" s="7"/>
      <c r="BZ5466" s="7"/>
    </row>
    <row r="5467" spans="2:78">
      <c r="B5467" s="7"/>
      <c r="O5467" s="7"/>
      <c r="X5467" s="7"/>
      <c r="AG5467" s="7"/>
      <c r="AP5467" s="7"/>
      <c r="AY5467" s="7"/>
      <c r="BH5467" s="7"/>
      <c r="BQ5467" s="7"/>
      <c r="BZ5467" s="7"/>
    </row>
    <row r="5468" spans="2:78">
      <c r="B5468" s="7"/>
      <c r="O5468" s="7"/>
      <c r="X5468" s="7"/>
      <c r="AG5468" s="7"/>
      <c r="AP5468" s="7"/>
      <c r="AY5468" s="7"/>
      <c r="BH5468" s="7"/>
      <c r="BQ5468" s="7"/>
      <c r="BZ5468" s="7"/>
    </row>
    <row r="5469" spans="2:78">
      <c r="B5469" s="7"/>
      <c r="O5469" s="7"/>
      <c r="X5469" s="7"/>
      <c r="AG5469" s="7"/>
      <c r="AP5469" s="7"/>
      <c r="AY5469" s="7"/>
      <c r="BH5469" s="7"/>
      <c r="BQ5469" s="7"/>
      <c r="BZ5469" s="7"/>
    </row>
    <row r="5470" spans="2:78">
      <c r="B5470" s="7"/>
      <c r="O5470" s="7"/>
      <c r="X5470" s="7"/>
      <c r="AG5470" s="7"/>
      <c r="AP5470" s="7"/>
      <c r="AY5470" s="7"/>
      <c r="BH5470" s="7"/>
      <c r="BQ5470" s="7"/>
      <c r="BZ5470" s="7"/>
    </row>
    <row r="5471" spans="2:78">
      <c r="B5471" s="7"/>
      <c r="O5471" s="7"/>
      <c r="X5471" s="7"/>
      <c r="AG5471" s="7"/>
      <c r="AP5471" s="7"/>
      <c r="AY5471" s="7"/>
      <c r="BH5471" s="7"/>
      <c r="BQ5471" s="7"/>
      <c r="BZ5471" s="7"/>
    </row>
    <row r="5472" spans="2:78">
      <c r="B5472" s="7"/>
      <c r="O5472" s="7"/>
      <c r="X5472" s="7"/>
      <c r="AG5472" s="7"/>
      <c r="AP5472" s="7"/>
      <c r="AY5472" s="7"/>
      <c r="BH5472" s="7"/>
      <c r="BQ5472" s="7"/>
      <c r="BZ5472" s="7"/>
    </row>
    <row r="5473" spans="2:78">
      <c r="B5473" s="7"/>
      <c r="O5473" s="7"/>
      <c r="X5473" s="7"/>
      <c r="AG5473" s="7"/>
      <c r="AP5473" s="7"/>
      <c r="AY5473" s="7"/>
      <c r="BH5473" s="7"/>
      <c r="BQ5473" s="7"/>
      <c r="BZ5473" s="7"/>
    </row>
    <row r="5474" spans="2:78">
      <c r="B5474" s="7"/>
      <c r="O5474" s="7"/>
      <c r="X5474" s="7"/>
      <c r="AG5474" s="7"/>
      <c r="AP5474" s="7"/>
      <c r="AY5474" s="7"/>
      <c r="BH5474" s="7"/>
      <c r="BQ5474" s="7"/>
      <c r="BZ5474" s="7"/>
    </row>
    <row r="5475" spans="2:78">
      <c r="B5475" s="7"/>
      <c r="O5475" s="7"/>
      <c r="X5475" s="7"/>
      <c r="AG5475" s="7"/>
      <c r="AP5475" s="7"/>
      <c r="AY5475" s="7"/>
      <c r="BH5475" s="7"/>
      <c r="BQ5475" s="7"/>
      <c r="BZ5475" s="7"/>
    </row>
    <row r="5476" spans="2:78">
      <c r="B5476" s="7"/>
      <c r="O5476" s="7"/>
      <c r="X5476" s="7"/>
      <c r="AG5476" s="7"/>
      <c r="AP5476" s="7"/>
      <c r="AY5476" s="7"/>
      <c r="BH5476" s="7"/>
      <c r="BQ5476" s="7"/>
      <c r="BZ5476" s="7"/>
    </row>
    <row r="5477" spans="2:78">
      <c r="B5477" s="7"/>
      <c r="O5477" s="7"/>
      <c r="X5477" s="7"/>
      <c r="AG5477" s="7"/>
      <c r="AP5477" s="7"/>
      <c r="AY5477" s="7"/>
      <c r="BH5477" s="7"/>
      <c r="BQ5477" s="7"/>
      <c r="BZ5477" s="7"/>
    </row>
    <row r="5478" spans="2:78">
      <c r="B5478" s="7"/>
      <c r="O5478" s="7"/>
      <c r="X5478" s="7"/>
      <c r="AG5478" s="7"/>
      <c r="AP5478" s="7"/>
      <c r="AY5478" s="7"/>
      <c r="BH5478" s="7"/>
      <c r="BQ5478" s="7"/>
      <c r="BZ5478" s="7"/>
    </row>
    <row r="5479" spans="2:78">
      <c r="B5479" s="7"/>
      <c r="O5479" s="7"/>
      <c r="X5479" s="7"/>
      <c r="AG5479" s="7"/>
      <c r="AP5479" s="7"/>
      <c r="AY5479" s="7"/>
      <c r="BH5479" s="7"/>
      <c r="BQ5479" s="7"/>
      <c r="BZ5479" s="7"/>
    </row>
    <row r="5480" spans="2:78">
      <c r="B5480" s="7"/>
      <c r="O5480" s="7"/>
      <c r="X5480" s="7"/>
      <c r="AG5480" s="7"/>
      <c r="AP5480" s="7"/>
      <c r="AY5480" s="7"/>
      <c r="BH5480" s="7"/>
      <c r="BQ5480" s="7"/>
      <c r="BZ5480" s="7"/>
    </row>
    <row r="5481" spans="2:78">
      <c r="B5481" s="7"/>
      <c r="O5481" s="7"/>
      <c r="X5481" s="7"/>
      <c r="AG5481" s="7"/>
      <c r="AP5481" s="7"/>
      <c r="AY5481" s="7"/>
      <c r="BH5481" s="7"/>
      <c r="BQ5481" s="7"/>
      <c r="BZ5481" s="7"/>
    </row>
    <row r="5482" spans="2:78">
      <c r="B5482" s="7"/>
      <c r="O5482" s="7"/>
      <c r="X5482" s="7"/>
      <c r="AG5482" s="7"/>
      <c r="AP5482" s="7"/>
      <c r="AY5482" s="7"/>
      <c r="BH5482" s="7"/>
      <c r="BQ5482" s="7"/>
      <c r="BZ5482" s="7"/>
    </row>
    <row r="5483" spans="2:78">
      <c r="B5483" s="7"/>
      <c r="O5483" s="7"/>
      <c r="X5483" s="7"/>
      <c r="AG5483" s="7"/>
      <c r="AP5483" s="7"/>
      <c r="AY5483" s="7"/>
      <c r="BH5483" s="7"/>
      <c r="BQ5483" s="7"/>
      <c r="BZ5483" s="7"/>
    </row>
    <row r="5484" spans="2:78">
      <c r="B5484" s="7"/>
      <c r="O5484" s="7"/>
      <c r="X5484" s="7"/>
      <c r="AG5484" s="7"/>
      <c r="AP5484" s="7"/>
      <c r="AY5484" s="7"/>
      <c r="BH5484" s="7"/>
      <c r="BQ5484" s="7"/>
      <c r="BZ5484" s="7"/>
    </row>
    <row r="5485" spans="2:78">
      <c r="B5485" s="7"/>
      <c r="O5485" s="7"/>
      <c r="X5485" s="7"/>
      <c r="AG5485" s="7"/>
      <c r="AP5485" s="7"/>
      <c r="AY5485" s="7"/>
      <c r="BH5485" s="7"/>
      <c r="BQ5485" s="7"/>
      <c r="BZ5485" s="7"/>
    </row>
    <row r="5486" spans="2:78">
      <c r="B5486" s="7"/>
      <c r="O5486" s="7"/>
      <c r="X5486" s="7"/>
      <c r="AG5486" s="7"/>
      <c r="AP5486" s="7"/>
      <c r="AY5486" s="7"/>
      <c r="BH5486" s="7"/>
      <c r="BQ5486" s="7"/>
      <c r="BZ5486" s="7"/>
    </row>
    <row r="5487" spans="2:78">
      <c r="B5487" s="7"/>
      <c r="O5487" s="7"/>
      <c r="X5487" s="7"/>
      <c r="AG5487" s="7"/>
      <c r="AP5487" s="7"/>
      <c r="AY5487" s="7"/>
      <c r="BH5487" s="7"/>
      <c r="BQ5487" s="7"/>
      <c r="BZ5487" s="7"/>
    </row>
    <row r="5488" spans="2:78">
      <c r="B5488" s="7"/>
      <c r="O5488" s="7"/>
      <c r="X5488" s="7"/>
      <c r="AG5488" s="7"/>
      <c r="AP5488" s="7"/>
      <c r="AY5488" s="7"/>
      <c r="BH5488" s="7"/>
      <c r="BQ5488" s="7"/>
      <c r="BZ5488" s="7"/>
    </row>
    <row r="5489" spans="2:78">
      <c r="B5489" s="7"/>
      <c r="O5489" s="7"/>
      <c r="X5489" s="7"/>
      <c r="AG5489" s="7"/>
      <c r="AP5489" s="7"/>
      <c r="AY5489" s="7"/>
      <c r="BH5489" s="7"/>
      <c r="BQ5489" s="7"/>
      <c r="BZ5489" s="7"/>
    </row>
    <row r="5490" spans="2:78">
      <c r="B5490" s="7"/>
      <c r="O5490" s="7"/>
      <c r="X5490" s="7"/>
      <c r="AG5490" s="7"/>
      <c r="AP5490" s="7"/>
      <c r="AY5490" s="7"/>
      <c r="BH5490" s="7"/>
      <c r="BQ5490" s="7"/>
      <c r="BZ5490" s="7"/>
    </row>
    <row r="5491" spans="2:78">
      <c r="B5491" s="7"/>
      <c r="O5491" s="7"/>
      <c r="X5491" s="7"/>
      <c r="AG5491" s="7"/>
      <c r="AP5491" s="7"/>
      <c r="AY5491" s="7"/>
      <c r="BH5491" s="7"/>
      <c r="BQ5491" s="7"/>
      <c r="BZ5491" s="7"/>
    </row>
    <row r="5492" spans="2:78">
      <c r="B5492" s="7"/>
      <c r="O5492" s="7"/>
      <c r="X5492" s="7"/>
      <c r="AG5492" s="7"/>
      <c r="AP5492" s="7"/>
      <c r="AY5492" s="7"/>
      <c r="BH5492" s="7"/>
      <c r="BQ5492" s="7"/>
      <c r="BZ5492" s="7"/>
    </row>
    <row r="5493" spans="2:78">
      <c r="B5493" s="7"/>
      <c r="O5493" s="7"/>
      <c r="X5493" s="7"/>
      <c r="AG5493" s="7"/>
      <c r="AP5493" s="7"/>
      <c r="AY5493" s="7"/>
      <c r="BH5493" s="7"/>
      <c r="BQ5493" s="7"/>
      <c r="BZ5493" s="7"/>
    </row>
    <row r="5494" spans="2:78">
      <c r="B5494" s="7"/>
      <c r="O5494" s="7"/>
      <c r="X5494" s="7"/>
      <c r="AG5494" s="7"/>
      <c r="AP5494" s="7"/>
      <c r="AY5494" s="7"/>
      <c r="BH5494" s="7"/>
      <c r="BQ5494" s="7"/>
      <c r="BZ5494" s="7"/>
    </row>
    <row r="5495" spans="2:78">
      <c r="B5495" s="7"/>
      <c r="O5495" s="7"/>
      <c r="X5495" s="7"/>
      <c r="AG5495" s="7"/>
      <c r="AP5495" s="7"/>
      <c r="AY5495" s="7"/>
      <c r="BH5495" s="7"/>
      <c r="BQ5495" s="7"/>
      <c r="BZ5495" s="7"/>
    </row>
    <row r="5496" spans="2:78">
      <c r="B5496" s="7"/>
      <c r="O5496" s="7"/>
      <c r="X5496" s="7"/>
      <c r="AG5496" s="7"/>
      <c r="AP5496" s="7"/>
      <c r="AY5496" s="7"/>
      <c r="BH5496" s="7"/>
      <c r="BQ5496" s="7"/>
      <c r="BZ5496" s="7"/>
    </row>
    <row r="5497" spans="2:78">
      <c r="B5497" s="7"/>
      <c r="O5497" s="7"/>
      <c r="X5497" s="7"/>
      <c r="AG5497" s="7"/>
      <c r="AP5497" s="7"/>
      <c r="AY5497" s="7"/>
      <c r="BH5497" s="7"/>
      <c r="BQ5497" s="7"/>
      <c r="BZ5497" s="7"/>
    </row>
    <row r="5498" spans="2:78">
      <c r="B5498" s="7"/>
      <c r="O5498" s="7"/>
      <c r="X5498" s="7"/>
      <c r="AG5498" s="7"/>
      <c r="AP5498" s="7"/>
      <c r="AY5498" s="7"/>
      <c r="BH5498" s="7"/>
      <c r="BQ5498" s="7"/>
      <c r="BZ5498" s="7"/>
    </row>
    <row r="5499" spans="2:78">
      <c r="B5499" s="7"/>
      <c r="O5499" s="7"/>
      <c r="X5499" s="7"/>
      <c r="AG5499" s="7"/>
      <c r="AP5499" s="7"/>
      <c r="AY5499" s="7"/>
      <c r="BH5499" s="7"/>
      <c r="BQ5499" s="7"/>
      <c r="BZ5499" s="7"/>
    </row>
    <row r="5500" spans="2:78">
      <c r="B5500" s="7"/>
      <c r="O5500" s="7"/>
      <c r="X5500" s="7"/>
      <c r="AG5500" s="7"/>
      <c r="AP5500" s="7"/>
      <c r="AY5500" s="7"/>
      <c r="BH5500" s="7"/>
      <c r="BQ5500" s="7"/>
      <c r="BZ5500" s="7"/>
    </row>
    <row r="5501" spans="2:78">
      <c r="B5501" s="7"/>
      <c r="O5501" s="7"/>
      <c r="X5501" s="7"/>
      <c r="AG5501" s="7"/>
      <c r="AP5501" s="7"/>
      <c r="AY5501" s="7"/>
      <c r="BH5501" s="7"/>
      <c r="BQ5501" s="7"/>
      <c r="BZ5501" s="7"/>
    </row>
    <row r="5502" spans="2:78">
      <c r="B5502" s="7"/>
      <c r="O5502" s="7"/>
      <c r="X5502" s="7"/>
      <c r="AG5502" s="7"/>
      <c r="AP5502" s="7"/>
      <c r="AY5502" s="7"/>
      <c r="BH5502" s="7"/>
      <c r="BQ5502" s="7"/>
      <c r="BZ5502" s="7"/>
    </row>
    <row r="5503" spans="2:78">
      <c r="B5503" s="7"/>
      <c r="O5503" s="7"/>
      <c r="X5503" s="7"/>
      <c r="AG5503" s="7"/>
      <c r="AP5503" s="7"/>
      <c r="AY5503" s="7"/>
      <c r="BH5503" s="7"/>
      <c r="BQ5503" s="7"/>
      <c r="BZ5503" s="7"/>
    </row>
    <row r="5504" spans="2:78">
      <c r="B5504" s="7"/>
      <c r="O5504" s="7"/>
      <c r="X5504" s="7"/>
      <c r="AG5504" s="7"/>
      <c r="AP5504" s="7"/>
      <c r="AY5504" s="7"/>
      <c r="BH5504" s="7"/>
      <c r="BQ5504" s="7"/>
      <c r="BZ5504" s="7"/>
    </row>
    <row r="5505" spans="2:78">
      <c r="B5505" s="7"/>
      <c r="O5505" s="7"/>
      <c r="X5505" s="7"/>
      <c r="AG5505" s="7"/>
      <c r="AP5505" s="7"/>
      <c r="AY5505" s="7"/>
      <c r="BH5505" s="7"/>
      <c r="BQ5505" s="7"/>
      <c r="BZ5505" s="7"/>
    </row>
    <row r="5506" spans="2:78">
      <c r="B5506" s="7"/>
      <c r="O5506" s="7"/>
      <c r="X5506" s="7"/>
      <c r="AG5506" s="7"/>
      <c r="AP5506" s="7"/>
      <c r="AY5506" s="7"/>
      <c r="BH5506" s="7"/>
      <c r="BQ5506" s="7"/>
      <c r="BZ5506" s="7"/>
    </row>
    <row r="5507" spans="2:78">
      <c r="B5507" s="7"/>
      <c r="O5507" s="7"/>
      <c r="X5507" s="7"/>
      <c r="AG5507" s="7"/>
      <c r="AP5507" s="7"/>
      <c r="AY5507" s="7"/>
      <c r="BH5507" s="7"/>
      <c r="BQ5507" s="7"/>
      <c r="BZ5507" s="7"/>
    </row>
    <row r="5508" spans="2:78">
      <c r="B5508" s="7"/>
      <c r="O5508" s="7"/>
      <c r="X5508" s="7"/>
      <c r="AG5508" s="7"/>
      <c r="AP5508" s="7"/>
      <c r="AY5508" s="7"/>
      <c r="BH5508" s="7"/>
      <c r="BQ5508" s="7"/>
      <c r="BZ5508" s="7"/>
    </row>
    <row r="5509" spans="2:78">
      <c r="B5509" s="7"/>
      <c r="O5509" s="7"/>
      <c r="X5509" s="7"/>
      <c r="AG5509" s="7"/>
      <c r="AP5509" s="7"/>
      <c r="AY5509" s="7"/>
      <c r="BH5509" s="7"/>
      <c r="BQ5509" s="7"/>
      <c r="BZ5509" s="7"/>
    </row>
    <row r="5510" spans="2:78">
      <c r="B5510" s="7"/>
      <c r="O5510" s="7"/>
      <c r="X5510" s="7"/>
      <c r="AG5510" s="7"/>
      <c r="AP5510" s="7"/>
      <c r="AY5510" s="7"/>
      <c r="BH5510" s="7"/>
      <c r="BQ5510" s="7"/>
      <c r="BZ5510" s="7"/>
    </row>
    <row r="5511" spans="2:78">
      <c r="B5511" s="7"/>
      <c r="O5511" s="7"/>
      <c r="X5511" s="7"/>
      <c r="AG5511" s="7"/>
      <c r="AP5511" s="7"/>
      <c r="AY5511" s="7"/>
      <c r="BH5511" s="7"/>
      <c r="BQ5511" s="7"/>
      <c r="BZ5511" s="7"/>
    </row>
    <row r="5512" spans="2:78">
      <c r="B5512" s="7"/>
      <c r="O5512" s="7"/>
      <c r="X5512" s="7"/>
      <c r="AG5512" s="7"/>
      <c r="AP5512" s="7"/>
      <c r="AY5512" s="7"/>
      <c r="BH5512" s="7"/>
      <c r="BQ5512" s="7"/>
      <c r="BZ5512" s="7"/>
    </row>
    <row r="5513" spans="2:78">
      <c r="B5513" s="7"/>
      <c r="O5513" s="7"/>
      <c r="X5513" s="7"/>
      <c r="AG5513" s="7"/>
      <c r="AP5513" s="7"/>
      <c r="AY5513" s="7"/>
      <c r="BH5513" s="7"/>
      <c r="BQ5513" s="7"/>
      <c r="BZ5513" s="7"/>
    </row>
    <row r="5514" spans="2:78">
      <c r="B5514" s="7"/>
      <c r="O5514" s="7"/>
      <c r="X5514" s="7"/>
      <c r="AG5514" s="7"/>
      <c r="AP5514" s="7"/>
      <c r="AY5514" s="7"/>
      <c r="BH5514" s="7"/>
      <c r="BQ5514" s="7"/>
      <c r="BZ5514" s="7"/>
    </row>
    <row r="5515" spans="2:78">
      <c r="B5515" s="7"/>
      <c r="O5515" s="7"/>
      <c r="X5515" s="7"/>
      <c r="AG5515" s="7"/>
      <c r="AP5515" s="7"/>
      <c r="AY5515" s="7"/>
      <c r="BH5515" s="7"/>
      <c r="BQ5515" s="7"/>
      <c r="BZ5515" s="7"/>
    </row>
    <row r="5516" spans="2:78">
      <c r="B5516" s="7"/>
      <c r="O5516" s="7"/>
      <c r="X5516" s="7"/>
      <c r="AG5516" s="7"/>
      <c r="AP5516" s="7"/>
      <c r="AY5516" s="7"/>
      <c r="BH5516" s="7"/>
      <c r="BQ5516" s="7"/>
      <c r="BZ5516" s="7"/>
    </row>
    <row r="5517" spans="2:78">
      <c r="B5517" s="7"/>
      <c r="O5517" s="7"/>
      <c r="X5517" s="7"/>
      <c r="AG5517" s="7"/>
      <c r="AP5517" s="7"/>
      <c r="AY5517" s="7"/>
      <c r="BH5517" s="7"/>
      <c r="BQ5517" s="7"/>
      <c r="BZ5517" s="7"/>
    </row>
    <row r="5518" spans="2:78">
      <c r="B5518" s="7"/>
      <c r="O5518" s="7"/>
      <c r="X5518" s="7"/>
      <c r="AG5518" s="7"/>
      <c r="AP5518" s="7"/>
      <c r="AY5518" s="7"/>
      <c r="BH5518" s="7"/>
      <c r="BQ5518" s="7"/>
      <c r="BZ5518" s="7"/>
    </row>
    <row r="5519" spans="2:78">
      <c r="B5519" s="7"/>
      <c r="O5519" s="7"/>
      <c r="X5519" s="7"/>
      <c r="AG5519" s="7"/>
      <c r="AP5519" s="7"/>
      <c r="AY5519" s="7"/>
      <c r="BH5519" s="7"/>
      <c r="BQ5519" s="7"/>
      <c r="BZ5519" s="7"/>
    </row>
    <row r="5520" spans="2:78">
      <c r="B5520" s="7"/>
      <c r="O5520" s="7"/>
      <c r="X5520" s="7"/>
      <c r="AG5520" s="7"/>
      <c r="AP5520" s="7"/>
      <c r="AY5520" s="7"/>
      <c r="BH5520" s="7"/>
      <c r="BQ5520" s="7"/>
      <c r="BZ5520" s="7"/>
    </row>
    <row r="5521" spans="2:78">
      <c r="B5521" s="7"/>
      <c r="O5521" s="7"/>
      <c r="X5521" s="7"/>
      <c r="AG5521" s="7"/>
      <c r="AP5521" s="7"/>
      <c r="AY5521" s="7"/>
      <c r="BH5521" s="7"/>
      <c r="BQ5521" s="7"/>
      <c r="BZ5521" s="7"/>
    </row>
    <row r="5522" spans="2:78">
      <c r="B5522" s="7"/>
      <c r="O5522" s="7"/>
      <c r="X5522" s="7"/>
      <c r="AG5522" s="7"/>
      <c r="AP5522" s="7"/>
      <c r="AY5522" s="7"/>
      <c r="BH5522" s="7"/>
      <c r="BQ5522" s="7"/>
      <c r="BZ5522" s="7"/>
    </row>
    <row r="5523" spans="2:78">
      <c r="B5523" s="7"/>
      <c r="O5523" s="7"/>
      <c r="X5523" s="7"/>
      <c r="AG5523" s="7"/>
      <c r="AP5523" s="7"/>
      <c r="AY5523" s="7"/>
      <c r="BH5523" s="7"/>
      <c r="BQ5523" s="7"/>
      <c r="BZ5523" s="7"/>
    </row>
    <row r="5524" spans="2:78">
      <c r="B5524" s="7"/>
      <c r="O5524" s="7"/>
      <c r="X5524" s="7"/>
      <c r="AG5524" s="7"/>
      <c r="AP5524" s="7"/>
      <c r="AY5524" s="7"/>
      <c r="BH5524" s="7"/>
      <c r="BQ5524" s="7"/>
      <c r="BZ5524" s="7"/>
    </row>
    <row r="5525" spans="2:78">
      <c r="B5525" s="7"/>
      <c r="O5525" s="7"/>
      <c r="X5525" s="7"/>
      <c r="AG5525" s="7"/>
      <c r="AP5525" s="7"/>
      <c r="AY5525" s="7"/>
      <c r="BH5525" s="7"/>
      <c r="BQ5525" s="7"/>
      <c r="BZ5525" s="7"/>
    </row>
    <row r="5526" spans="2:78">
      <c r="B5526" s="7"/>
      <c r="O5526" s="7"/>
      <c r="X5526" s="7"/>
      <c r="AG5526" s="7"/>
      <c r="AP5526" s="7"/>
      <c r="AY5526" s="7"/>
      <c r="BH5526" s="7"/>
      <c r="BQ5526" s="7"/>
      <c r="BZ5526" s="7"/>
    </row>
    <row r="5527" spans="2:78">
      <c r="B5527" s="7"/>
      <c r="O5527" s="7"/>
      <c r="X5527" s="7"/>
      <c r="AG5527" s="7"/>
      <c r="AP5527" s="7"/>
      <c r="AY5527" s="7"/>
      <c r="BH5527" s="7"/>
      <c r="BQ5527" s="7"/>
      <c r="BZ5527" s="7"/>
    </row>
    <row r="5528" spans="2:78">
      <c r="B5528" s="7"/>
      <c r="O5528" s="7"/>
      <c r="X5528" s="7"/>
      <c r="AG5528" s="7"/>
      <c r="AP5528" s="7"/>
      <c r="AY5528" s="7"/>
      <c r="BH5528" s="7"/>
      <c r="BQ5528" s="7"/>
      <c r="BZ5528" s="7"/>
    </row>
    <row r="5529" spans="2:78">
      <c r="B5529" s="7"/>
      <c r="O5529" s="7"/>
      <c r="X5529" s="7"/>
      <c r="AG5529" s="7"/>
      <c r="AP5529" s="7"/>
      <c r="AY5529" s="7"/>
      <c r="BH5529" s="7"/>
      <c r="BQ5529" s="7"/>
      <c r="BZ5529" s="7"/>
    </row>
    <row r="5530" spans="2:78">
      <c r="B5530" s="7"/>
      <c r="O5530" s="7"/>
      <c r="X5530" s="7"/>
      <c r="AG5530" s="7"/>
      <c r="AP5530" s="7"/>
      <c r="AY5530" s="7"/>
      <c r="BH5530" s="7"/>
      <c r="BQ5530" s="7"/>
      <c r="BZ5530" s="7"/>
    </row>
    <row r="5531" spans="2:78">
      <c r="B5531" s="7"/>
      <c r="O5531" s="7"/>
      <c r="X5531" s="7"/>
      <c r="AG5531" s="7"/>
      <c r="AP5531" s="7"/>
      <c r="AY5531" s="7"/>
      <c r="BH5531" s="7"/>
      <c r="BQ5531" s="7"/>
      <c r="BZ5531" s="7"/>
    </row>
    <row r="5532" spans="2:78">
      <c r="B5532" s="7"/>
      <c r="O5532" s="7"/>
      <c r="X5532" s="7"/>
      <c r="AG5532" s="7"/>
      <c r="AP5532" s="7"/>
      <c r="AY5532" s="7"/>
      <c r="BH5532" s="7"/>
      <c r="BQ5532" s="7"/>
      <c r="BZ5532" s="7"/>
    </row>
    <row r="5533" spans="2:78">
      <c r="B5533" s="7"/>
      <c r="O5533" s="7"/>
      <c r="X5533" s="7"/>
      <c r="AG5533" s="7"/>
      <c r="AP5533" s="7"/>
      <c r="AY5533" s="7"/>
      <c r="BH5533" s="7"/>
      <c r="BQ5533" s="7"/>
      <c r="BZ5533" s="7"/>
    </row>
    <row r="5534" spans="2:78">
      <c r="B5534" s="7"/>
      <c r="O5534" s="7"/>
      <c r="X5534" s="7"/>
      <c r="AG5534" s="7"/>
      <c r="AP5534" s="7"/>
      <c r="AY5534" s="7"/>
      <c r="BH5534" s="7"/>
      <c r="BQ5534" s="7"/>
      <c r="BZ5534" s="7"/>
    </row>
    <row r="5535" spans="2:78">
      <c r="B5535" s="7"/>
      <c r="O5535" s="7"/>
      <c r="X5535" s="7"/>
      <c r="AG5535" s="7"/>
      <c r="AP5535" s="7"/>
      <c r="AY5535" s="7"/>
      <c r="BH5535" s="7"/>
      <c r="BQ5535" s="7"/>
      <c r="BZ5535" s="7"/>
    </row>
    <row r="5536" spans="2:78">
      <c r="B5536" s="7"/>
      <c r="O5536" s="7"/>
      <c r="X5536" s="7"/>
      <c r="AG5536" s="7"/>
      <c r="AP5536" s="7"/>
      <c r="AY5536" s="7"/>
      <c r="BH5536" s="7"/>
      <c r="BQ5536" s="7"/>
      <c r="BZ5536" s="7"/>
    </row>
    <row r="5537" spans="2:78">
      <c r="B5537" s="7"/>
      <c r="O5537" s="7"/>
      <c r="X5537" s="7"/>
      <c r="AG5537" s="7"/>
      <c r="AP5537" s="7"/>
      <c r="AY5537" s="7"/>
      <c r="BH5537" s="7"/>
      <c r="BQ5537" s="7"/>
      <c r="BZ5537" s="7"/>
    </row>
    <row r="5538" spans="2:78">
      <c r="B5538" s="7"/>
      <c r="O5538" s="7"/>
      <c r="X5538" s="7"/>
      <c r="AG5538" s="7"/>
      <c r="AP5538" s="7"/>
      <c r="AY5538" s="7"/>
      <c r="BH5538" s="7"/>
      <c r="BQ5538" s="7"/>
      <c r="BZ5538" s="7"/>
    </row>
    <row r="5539" spans="2:78">
      <c r="B5539" s="7"/>
      <c r="O5539" s="7"/>
      <c r="X5539" s="7"/>
      <c r="AG5539" s="7"/>
      <c r="AP5539" s="7"/>
      <c r="AY5539" s="7"/>
      <c r="BH5539" s="7"/>
      <c r="BQ5539" s="7"/>
      <c r="BZ5539" s="7"/>
    </row>
    <row r="5540" spans="2:78">
      <c r="B5540" s="7"/>
      <c r="O5540" s="7"/>
      <c r="X5540" s="7"/>
      <c r="AG5540" s="7"/>
      <c r="AP5540" s="7"/>
      <c r="AY5540" s="7"/>
      <c r="BH5540" s="7"/>
      <c r="BQ5540" s="7"/>
      <c r="BZ5540" s="7"/>
    </row>
    <row r="5541" spans="2:78">
      <c r="B5541" s="7"/>
      <c r="O5541" s="7"/>
      <c r="X5541" s="7"/>
      <c r="AG5541" s="7"/>
      <c r="AP5541" s="7"/>
      <c r="AY5541" s="7"/>
      <c r="BH5541" s="7"/>
      <c r="BQ5541" s="7"/>
      <c r="BZ5541" s="7"/>
    </row>
    <row r="5542" spans="2:78">
      <c r="B5542" s="7"/>
      <c r="O5542" s="7"/>
      <c r="X5542" s="7"/>
      <c r="AG5542" s="7"/>
      <c r="AP5542" s="7"/>
      <c r="AY5542" s="7"/>
      <c r="BH5542" s="7"/>
      <c r="BQ5542" s="7"/>
      <c r="BZ5542" s="7"/>
    </row>
    <row r="5543" spans="2:78">
      <c r="B5543" s="7"/>
      <c r="O5543" s="7"/>
      <c r="X5543" s="7"/>
      <c r="AG5543" s="7"/>
      <c r="AP5543" s="7"/>
      <c r="AY5543" s="7"/>
      <c r="BH5543" s="7"/>
      <c r="BQ5543" s="7"/>
      <c r="BZ5543" s="7"/>
    </row>
    <row r="5544" spans="2:78">
      <c r="B5544" s="7"/>
      <c r="O5544" s="7"/>
      <c r="X5544" s="7"/>
      <c r="AG5544" s="7"/>
      <c r="AP5544" s="7"/>
      <c r="AY5544" s="7"/>
      <c r="BH5544" s="7"/>
      <c r="BQ5544" s="7"/>
      <c r="BZ5544" s="7"/>
    </row>
    <row r="5545" spans="2:78">
      <c r="B5545" s="7"/>
      <c r="O5545" s="7"/>
      <c r="X5545" s="7"/>
      <c r="AG5545" s="7"/>
      <c r="AP5545" s="7"/>
      <c r="AY5545" s="7"/>
      <c r="BH5545" s="7"/>
      <c r="BQ5545" s="7"/>
      <c r="BZ5545" s="7"/>
    </row>
    <row r="5546" spans="2:78">
      <c r="B5546" s="7"/>
      <c r="O5546" s="7"/>
      <c r="X5546" s="7"/>
      <c r="AG5546" s="7"/>
      <c r="AP5546" s="7"/>
      <c r="AY5546" s="7"/>
      <c r="BH5546" s="7"/>
      <c r="BQ5546" s="7"/>
      <c r="BZ5546" s="7"/>
    </row>
    <row r="5547" spans="2:78">
      <c r="B5547" s="7"/>
      <c r="O5547" s="7"/>
      <c r="X5547" s="7"/>
      <c r="AG5547" s="7"/>
      <c r="AP5547" s="7"/>
      <c r="AY5547" s="7"/>
      <c r="BH5547" s="7"/>
      <c r="BQ5547" s="7"/>
      <c r="BZ5547" s="7"/>
    </row>
    <row r="5548" spans="2:78">
      <c r="B5548" s="7"/>
      <c r="O5548" s="7"/>
      <c r="X5548" s="7"/>
      <c r="AG5548" s="7"/>
      <c r="AP5548" s="7"/>
      <c r="AY5548" s="7"/>
      <c r="BH5548" s="7"/>
      <c r="BQ5548" s="7"/>
      <c r="BZ5548" s="7"/>
    </row>
    <row r="5549" spans="2:78">
      <c r="B5549" s="7"/>
      <c r="O5549" s="7"/>
      <c r="X5549" s="7"/>
      <c r="AG5549" s="7"/>
      <c r="AP5549" s="7"/>
      <c r="AY5549" s="7"/>
      <c r="BH5549" s="7"/>
      <c r="BQ5549" s="7"/>
      <c r="BZ5549" s="7"/>
    </row>
    <row r="5550" spans="2:78">
      <c r="B5550" s="7"/>
      <c r="O5550" s="7"/>
      <c r="X5550" s="7"/>
      <c r="AG5550" s="7"/>
      <c r="AP5550" s="7"/>
      <c r="AY5550" s="7"/>
      <c r="BH5550" s="7"/>
      <c r="BQ5550" s="7"/>
      <c r="BZ5550" s="7"/>
    </row>
    <row r="5551" spans="2:78">
      <c r="B5551" s="7"/>
      <c r="O5551" s="7"/>
      <c r="X5551" s="7"/>
      <c r="AG5551" s="7"/>
      <c r="AP5551" s="7"/>
      <c r="AY5551" s="7"/>
      <c r="BH5551" s="7"/>
      <c r="BQ5551" s="7"/>
      <c r="BZ5551" s="7"/>
    </row>
    <row r="5552" spans="2:78">
      <c r="B5552" s="7"/>
      <c r="O5552" s="7"/>
      <c r="X5552" s="7"/>
      <c r="AG5552" s="7"/>
      <c r="AP5552" s="7"/>
      <c r="AY5552" s="7"/>
      <c r="BH5552" s="7"/>
      <c r="BQ5552" s="7"/>
      <c r="BZ5552" s="7"/>
    </row>
    <row r="5553" spans="2:78">
      <c r="B5553" s="7"/>
      <c r="O5553" s="7"/>
      <c r="X5553" s="7"/>
      <c r="AG5553" s="7"/>
      <c r="AP5553" s="7"/>
      <c r="AY5553" s="7"/>
      <c r="BH5553" s="7"/>
      <c r="BQ5553" s="7"/>
      <c r="BZ5553" s="7"/>
    </row>
    <row r="5554" spans="2:78">
      <c r="B5554" s="7"/>
      <c r="O5554" s="7"/>
      <c r="X5554" s="7"/>
      <c r="AG5554" s="7"/>
      <c r="AP5554" s="7"/>
      <c r="AY5554" s="7"/>
      <c r="BH5554" s="7"/>
      <c r="BQ5554" s="7"/>
      <c r="BZ5554" s="7"/>
    </row>
    <row r="5555" spans="2:78">
      <c r="B5555" s="7"/>
      <c r="O5555" s="7"/>
      <c r="X5555" s="7"/>
      <c r="AG5555" s="7"/>
      <c r="AP5555" s="7"/>
      <c r="AY5555" s="7"/>
      <c r="BH5555" s="7"/>
      <c r="BQ5555" s="7"/>
      <c r="BZ5555" s="7"/>
    </row>
    <row r="5556" spans="2:78">
      <c r="B5556" s="7"/>
      <c r="O5556" s="7"/>
      <c r="X5556" s="7"/>
      <c r="AG5556" s="7"/>
      <c r="AP5556" s="7"/>
      <c r="AY5556" s="7"/>
      <c r="BH5556" s="7"/>
      <c r="BQ5556" s="7"/>
      <c r="BZ5556" s="7"/>
    </row>
    <row r="5557" spans="2:78">
      <c r="B5557" s="7"/>
      <c r="O5557" s="7"/>
      <c r="X5557" s="7"/>
      <c r="AG5557" s="7"/>
      <c r="AP5557" s="7"/>
      <c r="AY5557" s="7"/>
      <c r="BH5557" s="7"/>
      <c r="BQ5557" s="7"/>
      <c r="BZ5557" s="7"/>
    </row>
    <row r="5558" spans="2:78">
      <c r="B5558" s="7"/>
      <c r="O5558" s="7"/>
      <c r="X5558" s="7"/>
      <c r="AG5558" s="7"/>
      <c r="AP5558" s="7"/>
      <c r="AY5558" s="7"/>
      <c r="BH5558" s="7"/>
      <c r="BQ5558" s="7"/>
      <c r="BZ5558" s="7"/>
    </row>
    <row r="5559" spans="2:78">
      <c r="B5559" s="7"/>
      <c r="O5559" s="7"/>
      <c r="X5559" s="7"/>
      <c r="AG5559" s="7"/>
      <c r="AP5559" s="7"/>
      <c r="AY5559" s="7"/>
      <c r="BH5559" s="7"/>
      <c r="BQ5559" s="7"/>
      <c r="BZ5559" s="7"/>
    </row>
    <row r="5560" spans="2:78">
      <c r="B5560" s="7"/>
      <c r="O5560" s="7"/>
      <c r="X5560" s="7"/>
      <c r="AG5560" s="7"/>
      <c r="AP5560" s="7"/>
      <c r="AY5560" s="7"/>
      <c r="BH5560" s="7"/>
      <c r="BQ5560" s="7"/>
      <c r="BZ5560" s="7"/>
    </row>
    <row r="5561" spans="2:78">
      <c r="B5561" s="7"/>
      <c r="O5561" s="7"/>
      <c r="X5561" s="7"/>
      <c r="AG5561" s="7"/>
      <c r="AP5561" s="7"/>
      <c r="AY5561" s="7"/>
      <c r="BH5561" s="7"/>
      <c r="BQ5561" s="7"/>
      <c r="BZ5561" s="7"/>
    </row>
    <row r="5562" spans="2:78">
      <c r="B5562" s="7"/>
      <c r="O5562" s="7"/>
      <c r="X5562" s="7"/>
      <c r="AG5562" s="7"/>
      <c r="AP5562" s="7"/>
      <c r="AY5562" s="7"/>
      <c r="BH5562" s="7"/>
      <c r="BQ5562" s="7"/>
      <c r="BZ5562" s="7"/>
    </row>
    <row r="5563" spans="2:78">
      <c r="B5563" s="7"/>
      <c r="O5563" s="7"/>
      <c r="X5563" s="7"/>
      <c r="AG5563" s="7"/>
      <c r="AP5563" s="7"/>
      <c r="AY5563" s="7"/>
      <c r="BH5563" s="7"/>
      <c r="BQ5563" s="7"/>
      <c r="BZ5563" s="7"/>
    </row>
    <row r="5564" spans="2:78">
      <c r="B5564" s="7"/>
      <c r="O5564" s="7"/>
      <c r="X5564" s="7"/>
      <c r="AG5564" s="7"/>
      <c r="AP5564" s="7"/>
      <c r="AY5564" s="7"/>
      <c r="BH5564" s="7"/>
      <c r="BQ5564" s="7"/>
      <c r="BZ5564" s="7"/>
    </row>
    <row r="5565" spans="2:78">
      <c r="B5565" s="7"/>
      <c r="O5565" s="7"/>
      <c r="X5565" s="7"/>
      <c r="AG5565" s="7"/>
      <c r="AP5565" s="7"/>
      <c r="AY5565" s="7"/>
      <c r="BH5565" s="7"/>
      <c r="BQ5565" s="7"/>
      <c r="BZ5565" s="7"/>
    </row>
    <row r="5566" spans="2:78">
      <c r="B5566" s="7"/>
      <c r="O5566" s="7"/>
      <c r="X5566" s="7"/>
      <c r="AG5566" s="7"/>
      <c r="AP5566" s="7"/>
      <c r="AY5566" s="7"/>
      <c r="BH5566" s="7"/>
      <c r="BQ5566" s="7"/>
      <c r="BZ5566" s="7"/>
    </row>
    <row r="5567" spans="2:78">
      <c r="B5567" s="7"/>
      <c r="O5567" s="7"/>
      <c r="X5567" s="7"/>
      <c r="AG5567" s="7"/>
      <c r="AP5567" s="7"/>
      <c r="AY5567" s="7"/>
      <c r="BH5567" s="7"/>
      <c r="BQ5567" s="7"/>
      <c r="BZ5567" s="7"/>
    </row>
    <row r="5568" spans="2:78">
      <c r="B5568" s="7"/>
      <c r="O5568" s="7"/>
      <c r="X5568" s="7"/>
      <c r="AG5568" s="7"/>
      <c r="AP5568" s="7"/>
      <c r="AY5568" s="7"/>
      <c r="BH5568" s="7"/>
      <c r="BQ5568" s="7"/>
      <c r="BZ5568" s="7"/>
    </row>
    <row r="5569" spans="2:78">
      <c r="B5569" s="7"/>
      <c r="O5569" s="7"/>
      <c r="X5569" s="7"/>
      <c r="AG5569" s="7"/>
      <c r="AP5569" s="7"/>
      <c r="AY5569" s="7"/>
      <c r="BH5569" s="7"/>
      <c r="BQ5569" s="7"/>
      <c r="BZ5569" s="7"/>
    </row>
    <row r="5570" spans="2:78">
      <c r="B5570" s="7"/>
      <c r="O5570" s="7"/>
      <c r="X5570" s="7"/>
      <c r="AG5570" s="7"/>
      <c r="AP5570" s="7"/>
      <c r="AY5570" s="7"/>
      <c r="BH5570" s="7"/>
      <c r="BQ5570" s="7"/>
      <c r="BZ5570" s="7"/>
    </row>
    <row r="5571" spans="2:78">
      <c r="B5571" s="7"/>
      <c r="O5571" s="7"/>
      <c r="X5571" s="7"/>
      <c r="AG5571" s="7"/>
      <c r="AP5571" s="7"/>
      <c r="AY5571" s="7"/>
      <c r="BH5571" s="7"/>
      <c r="BQ5571" s="7"/>
      <c r="BZ5571" s="7"/>
    </row>
    <row r="5572" spans="2:78">
      <c r="B5572" s="7"/>
      <c r="O5572" s="7"/>
      <c r="X5572" s="7"/>
      <c r="AG5572" s="7"/>
      <c r="AP5572" s="7"/>
      <c r="AY5572" s="7"/>
      <c r="BH5572" s="7"/>
      <c r="BQ5572" s="7"/>
      <c r="BZ5572" s="7"/>
    </row>
    <row r="5573" spans="2:78">
      <c r="B5573" s="7"/>
      <c r="O5573" s="7"/>
      <c r="X5573" s="7"/>
      <c r="AG5573" s="7"/>
      <c r="AP5573" s="7"/>
      <c r="AY5573" s="7"/>
      <c r="BH5573" s="7"/>
      <c r="BQ5573" s="7"/>
      <c r="BZ5573" s="7"/>
    </row>
    <row r="5574" spans="2:78">
      <c r="B5574" s="7"/>
      <c r="O5574" s="7"/>
      <c r="X5574" s="7"/>
      <c r="AG5574" s="7"/>
      <c r="AP5574" s="7"/>
      <c r="AY5574" s="7"/>
      <c r="BH5574" s="7"/>
      <c r="BQ5574" s="7"/>
      <c r="BZ5574" s="7"/>
    </row>
    <row r="5575" spans="2:78">
      <c r="B5575" s="7"/>
      <c r="O5575" s="7"/>
      <c r="X5575" s="7"/>
      <c r="AG5575" s="7"/>
      <c r="AP5575" s="7"/>
      <c r="AY5575" s="7"/>
      <c r="BH5575" s="7"/>
      <c r="BQ5575" s="7"/>
      <c r="BZ5575" s="7"/>
    </row>
    <row r="5576" spans="2:78">
      <c r="B5576" s="7"/>
      <c r="O5576" s="7"/>
      <c r="X5576" s="7"/>
      <c r="AG5576" s="7"/>
      <c r="AP5576" s="7"/>
      <c r="AY5576" s="7"/>
      <c r="BH5576" s="7"/>
      <c r="BQ5576" s="7"/>
      <c r="BZ5576" s="7"/>
    </row>
    <row r="5577" spans="2:78">
      <c r="B5577" s="7"/>
      <c r="O5577" s="7"/>
      <c r="X5577" s="7"/>
      <c r="AG5577" s="7"/>
      <c r="AP5577" s="7"/>
      <c r="AY5577" s="7"/>
      <c r="BH5577" s="7"/>
      <c r="BQ5577" s="7"/>
      <c r="BZ5577" s="7"/>
    </row>
    <row r="5578" spans="2:78">
      <c r="B5578" s="7"/>
      <c r="O5578" s="7"/>
      <c r="X5578" s="7"/>
      <c r="AG5578" s="7"/>
      <c r="AP5578" s="7"/>
      <c r="AY5578" s="7"/>
      <c r="BH5578" s="7"/>
      <c r="BQ5578" s="7"/>
      <c r="BZ5578" s="7"/>
    </row>
    <row r="5579" spans="2:78">
      <c r="B5579" s="7"/>
      <c r="O5579" s="7"/>
      <c r="X5579" s="7"/>
      <c r="AG5579" s="7"/>
      <c r="AP5579" s="7"/>
      <c r="AY5579" s="7"/>
      <c r="BH5579" s="7"/>
      <c r="BQ5579" s="7"/>
      <c r="BZ5579" s="7"/>
    </row>
    <row r="5580" spans="2:78">
      <c r="B5580" s="7"/>
      <c r="O5580" s="7"/>
      <c r="X5580" s="7"/>
      <c r="AG5580" s="7"/>
      <c r="AP5580" s="7"/>
      <c r="AY5580" s="7"/>
      <c r="BH5580" s="7"/>
      <c r="BQ5580" s="7"/>
      <c r="BZ5580" s="7"/>
    </row>
    <row r="5581" spans="2:78">
      <c r="B5581" s="7"/>
      <c r="O5581" s="7"/>
      <c r="X5581" s="7"/>
      <c r="AG5581" s="7"/>
      <c r="AP5581" s="7"/>
      <c r="AY5581" s="7"/>
      <c r="BH5581" s="7"/>
      <c r="BQ5581" s="7"/>
      <c r="BZ5581" s="7"/>
    </row>
    <row r="5582" spans="2:78">
      <c r="B5582" s="7"/>
      <c r="O5582" s="7"/>
      <c r="X5582" s="7"/>
      <c r="AG5582" s="7"/>
      <c r="AP5582" s="7"/>
      <c r="AY5582" s="7"/>
      <c r="BH5582" s="7"/>
      <c r="BQ5582" s="7"/>
      <c r="BZ5582" s="7"/>
    </row>
    <row r="5583" spans="2:78">
      <c r="B5583" s="7"/>
      <c r="O5583" s="7"/>
      <c r="X5583" s="7"/>
      <c r="AG5583" s="7"/>
      <c r="AP5583" s="7"/>
      <c r="AY5583" s="7"/>
      <c r="BH5583" s="7"/>
      <c r="BQ5583" s="7"/>
      <c r="BZ5583" s="7"/>
    </row>
    <row r="5584" spans="2:78">
      <c r="B5584" s="7"/>
      <c r="O5584" s="7"/>
      <c r="X5584" s="7"/>
      <c r="AG5584" s="7"/>
      <c r="AP5584" s="7"/>
      <c r="AY5584" s="7"/>
      <c r="BH5584" s="7"/>
      <c r="BQ5584" s="7"/>
      <c r="BZ5584" s="7"/>
    </row>
    <row r="5585" spans="2:78">
      <c r="B5585" s="7"/>
      <c r="O5585" s="7"/>
      <c r="X5585" s="7"/>
      <c r="AG5585" s="7"/>
      <c r="AP5585" s="7"/>
      <c r="AY5585" s="7"/>
      <c r="BH5585" s="7"/>
      <c r="BQ5585" s="7"/>
      <c r="BZ5585" s="7"/>
    </row>
    <row r="5586" spans="2:78">
      <c r="B5586" s="7"/>
      <c r="O5586" s="7"/>
      <c r="X5586" s="7"/>
      <c r="AG5586" s="7"/>
      <c r="AP5586" s="7"/>
      <c r="AY5586" s="7"/>
      <c r="BH5586" s="7"/>
      <c r="BQ5586" s="7"/>
      <c r="BZ5586" s="7"/>
    </row>
    <row r="5587" spans="2:78">
      <c r="B5587" s="7"/>
      <c r="O5587" s="7"/>
      <c r="X5587" s="7"/>
      <c r="AG5587" s="7"/>
      <c r="AP5587" s="7"/>
      <c r="AY5587" s="7"/>
      <c r="BH5587" s="7"/>
      <c r="BQ5587" s="7"/>
      <c r="BZ5587" s="7"/>
    </row>
    <row r="5588" spans="2:78">
      <c r="B5588" s="7"/>
      <c r="O5588" s="7"/>
      <c r="X5588" s="7"/>
      <c r="AG5588" s="7"/>
      <c r="AP5588" s="7"/>
      <c r="AY5588" s="7"/>
      <c r="BH5588" s="7"/>
      <c r="BQ5588" s="7"/>
      <c r="BZ5588" s="7"/>
    </row>
    <row r="5589" spans="2:78">
      <c r="B5589" s="7"/>
      <c r="O5589" s="7"/>
      <c r="X5589" s="7"/>
      <c r="AG5589" s="7"/>
      <c r="AP5589" s="7"/>
      <c r="AY5589" s="7"/>
      <c r="BH5589" s="7"/>
      <c r="BQ5589" s="7"/>
      <c r="BZ5589" s="7"/>
    </row>
    <row r="5590" spans="2:78">
      <c r="B5590" s="7"/>
      <c r="O5590" s="7"/>
      <c r="X5590" s="7"/>
      <c r="AG5590" s="7"/>
      <c r="AP5590" s="7"/>
      <c r="AY5590" s="7"/>
      <c r="BH5590" s="7"/>
      <c r="BQ5590" s="7"/>
      <c r="BZ5590" s="7"/>
    </row>
    <row r="5591" spans="2:78">
      <c r="B5591" s="7"/>
      <c r="O5591" s="7"/>
      <c r="X5591" s="7"/>
      <c r="AG5591" s="7"/>
      <c r="AP5591" s="7"/>
      <c r="AY5591" s="7"/>
      <c r="BH5591" s="7"/>
      <c r="BQ5591" s="7"/>
      <c r="BZ5591" s="7"/>
    </row>
    <row r="5592" spans="2:78">
      <c r="B5592" s="7"/>
      <c r="O5592" s="7"/>
      <c r="X5592" s="7"/>
      <c r="AG5592" s="7"/>
      <c r="AP5592" s="7"/>
      <c r="AY5592" s="7"/>
      <c r="BH5592" s="7"/>
      <c r="BQ5592" s="7"/>
      <c r="BZ5592" s="7"/>
    </row>
    <row r="5593" spans="2:78">
      <c r="B5593" s="7"/>
      <c r="O5593" s="7"/>
      <c r="X5593" s="7"/>
      <c r="AG5593" s="7"/>
      <c r="AP5593" s="7"/>
      <c r="AY5593" s="7"/>
      <c r="BH5593" s="7"/>
      <c r="BQ5593" s="7"/>
      <c r="BZ5593" s="7"/>
    </row>
    <row r="5594" spans="2:78">
      <c r="B5594" s="7"/>
      <c r="O5594" s="7"/>
      <c r="X5594" s="7"/>
      <c r="AG5594" s="7"/>
      <c r="AP5594" s="7"/>
      <c r="AY5594" s="7"/>
      <c r="BH5594" s="7"/>
      <c r="BQ5594" s="7"/>
      <c r="BZ5594" s="7"/>
    </row>
    <row r="5595" spans="2:78">
      <c r="B5595" s="7"/>
      <c r="O5595" s="7"/>
      <c r="X5595" s="7"/>
      <c r="AG5595" s="7"/>
      <c r="AP5595" s="7"/>
      <c r="AY5595" s="7"/>
      <c r="BH5595" s="7"/>
      <c r="BQ5595" s="7"/>
      <c r="BZ5595" s="7"/>
    </row>
    <row r="5596" spans="2:78">
      <c r="B5596" s="7"/>
      <c r="O5596" s="7"/>
      <c r="X5596" s="7"/>
      <c r="AG5596" s="7"/>
      <c r="AP5596" s="7"/>
      <c r="AY5596" s="7"/>
      <c r="BH5596" s="7"/>
      <c r="BQ5596" s="7"/>
      <c r="BZ5596" s="7"/>
    </row>
    <row r="5597" spans="2:78">
      <c r="B5597" s="7"/>
      <c r="O5597" s="7"/>
      <c r="X5597" s="7"/>
      <c r="AG5597" s="7"/>
      <c r="AP5597" s="7"/>
      <c r="AY5597" s="7"/>
      <c r="BH5597" s="7"/>
      <c r="BQ5597" s="7"/>
      <c r="BZ5597" s="7"/>
    </row>
    <row r="5598" spans="2:78">
      <c r="B5598" s="7"/>
      <c r="O5598" s="7"/>
      <c r="X5598" s="7"/>
      <c r="AG5598" s="7"/>
      <c r="AP5598" s="7"/>
      <c r="AY5598" s="7"/>
      <c r="BH5598" s="7"/>
      <c r="BQ5598" s="7"/>
      <c r="BZ5598" s="7"/>
    </row>
    <row r="5599" spans="2:78">
      <c r="B5599" s="7"/>
      <c r="O5599" s="7"/>
      <c r="X5599" s="7"/>
      <c r="AG5599" s="7"/>
      <c r="AP5599" s="7"/>
      <c r="AY5599" s="7"/>
      <c r="BH5599" s="7"/>
      <c r="BQ5599" s="7"/>
      <c r="BZ5599" s="7"/>
    </row>
    <row r="5600" spans="2:78">
      <c r="B5600" s="7"/>
      <c r="O5600" s="7"/>
      <c r="X5600" s="7"/>
      <c r="AG5600" s="7"/>
      <c r="AP5600" s="7"/>
      <c r="AY5600" s="7"/>
      <c r="BH5600" s="7"/>
      <c r="BQ5600" s="7"/>
      <c r="BZ5600" s="7"/>
    </row>
    <row r="5601" spans="2:78">
      <c r="B5601" s="7"/>
      <c r="O5601" s="7"/>
      <c r="X5601" s="7"/>
      <c r="AG5601" s="7"/>
      <c r="AP5601" s="7"/>
      <c r="AY5601" s="7"/>
      <c r="BH5601" s="7"/>
      <c r="BQ5601" s="7"/>
      <c r="BZ5601" s="7"/>
    </row>
    <row r="5602" spans="2:78">
      <c r="B5602" s="7"/>
      <c r="O5602" s="7"/>
      <c r="X5602" s="7"/>
      <c r="AG5602" s="7"/>
      <c r="AP5602" s="7"/>
      <c r="AY5602" s="7"/>
      <c r="BH5602" s="7"/>
      <c r="BQ5602" s="7"/>
      <c r="BZ5602" s="7"/>
    </row>
    <row r="5603" spans="2:78">
      <c r="B5603" s="7"/>
      <c r="O5603" s="7"/>
      <c r="X5603" s="7"/>
      <c r="AG5603" s="7"/>
      <c r="AP5603" s="7"/>
      <c r="AY5603" s="7"/>
      <c r="BH5603" s="7"/>
      <c r="BQ5603" s="7"/>
      <c r="BZ5603" s="7"/>
    </row>
    <row r="5604" spans="2:78">
      <c r="B5604" s="7"/>
      <c r="O5604" s="7"/>
      <c r="X5604" s="7"/>
      <c r="AG5604" s="7"/>
      <c r="AP5604" s="7"/>
      <c r="AY5604" s="7"/>
      <c r="BH5604" s="7"/>
      <c r="BQ5604" s="7"/>
      <c r="BZ5604" s="7"/>
    </row>
    <row r="5605" spans="2:78">
      <c r="B5605" s="7"/>
      <c r="O5605" s="7"/>
      <c r="X5605" s="7"/>
      <c r="AG5605" s="7"/>
      <c r="AP5605" s="7"/>
      <c r="AY5605" s="7"/>
      <c r="BH5605" s="7"/>
      <c r="BQ5605" s="7"/>
      <c r="BZ5605" s="7"/>
    </row>
    <row r="5606" spans="2:78">
      <c r="B5606" s="7"/>
      <c r="O5606" s="7"/>
      <c r="X5606" s="7"/>
      <c r="AG5606" s="7"/>
      <c r="AP5606" s="7"/>
      <c r="AY5606" s="7"/>
      <c r="BH5606" s="7"/>
      <c r="BQ5606" s="7"/>
      <c r="BZ5606" s="7"/>
    </row>
    <row r="5607" spans="2:78">
      <c r="B5607" s="7"/>
      <c r="O5607" s="7"/>
      <c r="X5607" s="7"/>
      <c r="AG5607" s="7"/>
      <c r="AP5607" s="7"/>
      <c r="AY5607" s="7"/>
      <c r="BH5607" s="7"/>
      <c r="BQ5607" s="7"/>
      <c r="BZ5607" s="7"/>
    </row>
    <row r="5608" spans="2:78">
      <c r="B5608" s="7"/>
      <c r="O5608" s="7"/>
      <c r="X5608" s="7"/>
      <c r="AG5608" s="7"/>
      <c r="AP5608" s="7"/>
      <c r="AY5608" s="7"/>
      <c r="BH5608" s="7"/>
      <c r="BQ5608" s="7"/>
      <c r="BZ5608" s="7"/>
    </row>
    <row r="5609" spans="2:78">
      <c r="B5609" s="7"/>
      <c r="O5609" s="7"/>
      <c r="X5609" s="7"/>
      <c r="AG5609" s="7"/>
      <c r="AP5609" s="7"/>
      <c r="AY5609" s="7"/>
      <c r="BH5609" s="7"/>
      <c r="BQ5609" s="7"/>
      <c r="BZ5609" s="7"/>
    </row>
    <row r="5610" spans="2:78">
      <c r="B5610" s="7"/>
      <c r="O5610" s="7"/>
      <c r="X5610" s="7"/>
      <c r="AG5610" s="7"/>
      <c r="AP5610" s="7"/>
      <c r="AY5610" s="7"/>
      <c r="BH5610" s="7"/>
      <c r="BQ5610" s="7"/>
      <c r="BZ5610" s="7"/>
    </row>
    <row r="5611" spans="2:78">
      <c r="B5611" s="7"/>
      <c r="O5611" s="7"/>
      <c r="X5611" s="7"/>
      <c r="AG5611" s="7"/>
      <c r="AP5611" s="7"/>
      <c r="AY5611" s="7"/>
      <c r="BH5611" s="7"/>
      <c r="BQ5611" s="7"/>
      <c r="BZ5611" s="7"/>
    </row>
    <row r="5612" spans="2:78">
      <c r="B5612" s="7"/>
      <c r="O5612" s="7"/>
      <c r="X5612" s="7"/>
      <c r="AG5612" s="7"/>
      <c r="AP5612" s="7"/>
      <c r="AY5612" s="7"/>
      <c r="BH5612" s="7"/>
      <c r="BQ5612" s="7"/>
      <c r="BZ5612" s="7"/>
    </row>
    <row r="5613" spans="2:78">
      <c r="B5613" s="7"/>
      <c r="O5613" s="7"/>
      <c r="X5613" s="7"/>
      <c r="AG5613" s="7"/>
      <c r="AP5613" s="7"/>
      <c r="AY5613" s="7"/>
      <c r="BH5613" s="7"/>
      <c r="BQ5613" s="7"/>
      <c r="BZ5613" s="7"/>
    </row>
    <row r="5614" spans="2:78">
      <c r="B5614" s="7"/>
      <c r="O5614" s="7"/>
      <c r="X5614" s="7"/>
      <c r="AG5614" s="7"/>
      <c r="AP5614" s="7"/>
      <c r="AY5614" s="7"/>
      <c r="BH5614" s="7"/>
      <c r="BQ5614" s="7"/>
      <c r="BZ5614" s="7"/>
    </row>
    <row r="5615" spans="2:78">
      <c r="B5615" s="7"/>
      <c r="O5615" s="7"/>
      <c r="X5615" s="7"/>
      <c r="AG5615" s="7"/>
      <c r="AP5615" s="7"/>
      <c r="AY5615" s="7"/>
      <c r="BH5615" s="7"/>
      <c r="BQ5615" s="7"/>
      <c r="BZ5615" s="7"/>
    </row>
    <row r="5616" spans="2:78">
      <c r="B5616" s="7"/>
      <c r="O5616" s="7"/>
      <c r="X5616" s="7"/>
      <c r="AG5616" s="7"/>
      <c r="AP5616" s="7"/>
      <c r="AY5616" s="7"/>
      <c r="BH5616" s="7"/>
      <c r="BQ5616" s="7"/>
      <c r="BZ5616" s="7"/>
    </row>
    <row r="5617" spans="2:78">
      <c r="B5617" s="7"/>
      <c r="O5617" s="7"/>
      <c r="X5617" s="7"/>
      <c r="AG5617" s="7"/>
      <c r="AP5617" s="7"/>
      <c r="AY5617" s="7"/>
      <c r="BH5617" s="7"/>
      <c r="BQ5617" s="7"/>
      <c r="BZ5617" s="7"/>
    </row>
    <row r="5618" spans="2:78">
      <c r="B5618" s="7"/>
      <c r="O5618" s="7"/>
      <c r="X5618" s="7"/>
      <c r="AG5618" s="7"/>
      <c r="AP5618" s="7"/>
      <c r="AY5618" s="7"/>
      <c r="BH5618" s="7"/>
      <c r="BQ5618" s="7"/>
      <c r="BZ5618" s="7"/>
    </row>
    <row r="5619" spans="2:78">
      <c r="B5619" s="7"/>
      <c r="O5619" s="7"/>
      <c r="X5619" s="7"/>
      <c r="AG5619" s="7"/>
      <c r="AP5619" s="7"/>
      <c r="AY5619" s="7"/>
      <c r="BH5619" s="7"/>
      <c r="BQ5619" s="7"/>
      <c r="BZ5619" s="7"/>
    </row>
    <row r="5620" spans="2:78">
      <c r="B5620" s="7"/>
      <c r="O5620" s="7"/>
      <c r="X5620" s="7"/>
      <c r="AG5620" s="7"/>
      <c r="AP5620" s="7"/>
      <c r="AY5620" s="7"/>
      <c r="BH5620" s="7"/>
      <c r="BQ5620" s="7"/>
      <c r="BZ5620" s="7"/>
    </row>
    <row r="5621" spans="2:78">
      <c r="B5621" s="7"/>
      <c r="O5621" s="7"/>
      <c r="X5621" s="7"/>
      <c r="AG5621" s="7"/>
      <c r="AP5621" s="7"/>
      <c r="AY5621" s="7"/>
      <c r="BH5621" s="7"/>
      <c r="BQ5621" s="7"/>
      <c r="BZ5621" s="7"/>
    </row>
    <row r="5622" spans="2:78">
      <c r="B5622" s="7"/>
      <c r="O5622" s="7"/>
      <c r="X5622" s="7"/>
      <c r="AG5622" s="7"/>
      <c r="AP5622" s="7"/>
      <c r="AY5622" s="7"/>
      <c r="BH5622" s="7"/>
      <c r="BQ5622" s="7"/>
      <c r="BZ5622" s="7"/>
    </row>
    <row r="5623" spans="2:78">
      <c r="B5623" s="7"/>
      <c r="O5623" s="7"/>
      <c r="X5623" s="7"/>
      <c r="AG5623" s="7"/>
      <c r="AP5623" s="7"/>
      <c r="AY5623" s="7"/>
      <c r="BH5623" s="7"/>
      <c r="BQ5623" s="7"/>
      <c r="BZ5623" s="7"/>
    </row>
    <row r="5624" spans="2:78">
      <c r="B5624" s="7"/>
      <c r="O5624" s="7"/>
      <c r="X5624" s="7"/>
      <c r="AG5624" s="7"/>
      <c r="AP5624" s="7"/>
      <c r="AY5624" s="7"/>
      <c r="BH5624" s="7"/>
      <c r="BQ5624" s="7"/>
      <c r="BZ5624" s="7"/>
    </row>
    <row r="5625" spans="2:78">
      <c r="B5625" s="7"/>
      <c r="O5625" s="7"/>
      <c r="X5625" s="7"/>
      <c r="AG5625" s="7"/>
      <c r="AP5625" s="7"/>
      <c r="AY5625" s="7"/>
      <c r="BH5625" s="7"/>
      <c r="BQ5625" s="7"/>
      <c r="BZ5625" s="7"/>
    </row>
    <row r="5626" spans="2:78">
      <c r="B5626" s="7"/>
      <c r="O5626" s="7"/>
      <c r="X5626" s="7"/>
      <c r="AG5626" s="7"/>
      <c r="AP5626" s="7"/>
      <c r="AY5626" s="7"/>
      <c r="BH5626" s="7"/>
      <c r="BQ5626" s="7"/>
      <c r="BZ5626" s="7"/>
    </row>
    <row r="5627" spans="2:78">
      <c r="B5627" s="7"/>
      <c r="O5627" s="7"/>
      <c r="X5627" s="7"/>
      <c r="AG5627" s="7"/>
      <c r="AP5627" s="7"/>
      <c r="AY5627" s="7"/>
      <c r="BH5627" s="7"/>
      <c r="BQ5627" s="7"/>
      <c r="BZ5627" s="7"/>
    </row>
    <row r="5628" spans="2:78">
      <c r="B5628" s="7"/>
      <c r="O5628" s="7"/>
      <c r="X5628" s="7"/>
      <c r="AG5628" s="7"/>
      <c r="AP5628" s="7"/>
      <c r="AY5628" s="7"/>
      <c r="BH5628" s="7"/>
      <c r="BQ5628" s="7"/>
      <c r="BZ5628" s="7"/>
    </row>
    <row r="5629" spans="2:78">
      <c r="B5629" s="7"/>
      <c r="O5629" s="7"/>
      <c r="X5629" s="7"/>
      <c r="AG5629" s="7"/>
      <c r="AP5629" s="7"/>
      <c r="AY5629" s="7"/>
      <c r="BH5629" s="7"/>
      <c r="BQ5629" s="7"/>
      <c r="BZ5629" s="7"/>
    </row>
    <row r="5630" spans="2:78">
      <c r="B5630" s="7"/>
      <c r="O5630" s="7"/>
      <c r="X5630" s="7"/>
      <c r="AG5630" s="7"/>
      <c r="AP5630" s="7"/>
      <c r="AY5630" s="7"/>
      <c r="BH5630" s="7"/>
      <c r="BQ5630" s="7"/>
      <c r="BZ5630" s="7"/>
    </row>
    <row r="5631" spans="2:78">
      <c r="B5631" s="7"/>
      <c r="O5631" s="7"/>
      <c r="X5631" s="7"/>
      <c r="AG5631" s="7"/>
      <c r="AP5631" s="7"/>
      <c r="AY5631" s="7"/>
      <c r="BH5631" s="7"/>
      <c r="BQ5631" s="7"/>
      <c r="BZ5631" s="7"/>
    </row>
    <row r="5632" spans="2:78">
      <c r="B5632" s="7"/>
      <c r="O5632" s="7"/>
      <c r="X5632" s="7"/>
      <c r="AG5632" s="7"/>
      <c r="AP5632" s="7"/>
      <c r="AY5632" s="7"/>
      <c r="BH5632" s="7"/>
      <c r="BQ5632" s="7"/>
      <c r="BZ5632" s="7"/>
    </row>
    <row r="5633" spans="2:78">
      <c r="B5633" s="7"/>
      <c r="O5633" s="7"/>
      <c r="X5633" s="7"/>
      <c r="AG5633" s="7"/>
      <c r="AP5633" s="7"/>
      <c r="AY5633" s="7"/>
      <c r="BH5633" s="7"/>
      <c r="BQ5633" s="7"/>
      <c r="BZ5633" s="7"/>
    </row>
    <row r="5634" spans="2:78">
      <c r="B5634" s="7"/>
      <c r="O5634" s="7"/>
      <c r="X5634" s="7"/>
      <c r="AG5634" s="7"/>
      <c r="AP5634" s="7"/>
      <c r="AY5634" s="7"/>
      <c r="BH5634" s="7"/>
      <c r="BQ5634" s="7"/>
      <c r="BZ5634" s="7"/>
    </row>
    <row r="5635" spans="2:78">
      <c r="B5635" s="7"/>
      <c r="O5635" s="7"/>
      <c r="X5635" s="7"/>
      <c r="AG5635" s="7"/>
      <c r="AP5635" s="7"/>
      <c r="AY5635" s="7"/>
      <c r="BH5635" s="7"/>
      <c r="BQ5635" s="7"/>
      <c r="BZ5635" s="7"/>
    </row>
    <row r="5636" spans="2:78">
      <c r="B5636" s="7"/>
      <c r="O5636" s="7"/>
      <c r="X5636" s="7"/>
      <c r="AG5636" s="7"/>
      <c r="AP5636" s="7"/>
      <c r="AY5636" s="7"/>
      <c r="BH5636" s="7"/>
      <c r="BQ5636" s="7"/>
      <c r="BZ5636" s="7"/>
    </row>
    <row r="5637" spans="2:78">
      <c r="B5637" s="7"/>
      <c r="O5637" s="7"/>
      <c r="X5637" s="7"/>
      <c r="AG5637" s="7"/>
      <c r="AP5637" s="7"/>
      <c r="AY5637" s="7"/>
      <c r="BH5637" s="7"/>
      <c r="BQ5637" s="7"/>
      <c r="BZ5637" s="7"/>
    </row>
    <row r="5638" spans="2:78">
      <c r="B5638" s="7"/>
      <c r="O5638" s="7"/>
      <c r="X5638" s="7"/>
      <c r="AG5638" s="7"/>
      <c r="AP5638" s="7"/>
      <c r="AY5638" s="7"/>
      <c r="BH5638" s="7"/>
      <c r="BQ5638" s="7"/>
      <c r="BZ5638" s="7"/>
    </row>
    <row r="5639" spans="2:78">
      <c r="B5639" s="7"/>
      <c r="O5639" s="7"/>
      <c r="X5639" s="7"/>
      <c r="AG5639" s="7"/>
      <c r="AP5639" s="7"/>
      <c r="AY5639" s="7"/>
      <c r="BH5639" s="7"/>
      <c r="BQ5639" s="7"/>
      <c r="BZ5639" s="7"/>
    </row>
    <row r="5640" spans="2:78">
      <c r="B5640" s="7"/>
      <c r="O5640" s="7"/>
      <c r="X5640" s="7"/>
      <c r="AG5640" s="7"/>
      <c r="AP5640" s="7"/>
      <c r="AY5640" s="7"/>
      <c r="BH5640" s="7"/>
      <c r="BQ5640" s="7"/>
      <c r="BZ5640" s="7"/>
    </row>
    <row r="5641" spans="2:78">
      <c r="B5641" s="7"/>
      <c r="O5641" s="7"/>
      <c r="X5641" s="7"/>
      <c r="AG5641" s="7"/>
      <c r="AP5641" s="7"/>
      <c r="AY5641" s="7"/>
      <c r="BH5641" s="7"/>
      <c r="BQ5641" s="7"/>
      <c r="BZ5641" s="7"/>
    </row>
    <row r="5642" spans="2:78">
      <c r="B5642" s="7"/>
      <c r="O5642" s="7"/>
      <c r="X5642" s="7"/>
      <c r="AG5642" s="7"/>
      <c r="AP5642" s="7"/>
      <c r="AY5642" s="7"/>
      <c r="BH5642" s="7"/>
      <c r="BQ5642" s="7"/>
      <c r="BZ5642" s="7"/>
    </row>
    <row r="5643" spans="2:78">
      <c r="B5643" s="7"/>
      <c r="O5643" s="7"/>
      <c r="X5643" s="7"/>
      <c r="AG5643" s="7"/>
      <c r="AP5643" s="7"/>
      <c r="AY5643" s="7"/>
      <c r="BH5643" s="7"/>
      <c r="BQ5643" s="7"/>
      <c r="BZ5643" s="7"/>
    </row>
    <row r="5644" spans="2:78">
      <c r="B5644" s="7"/>
      <c r="O5644" s="7"/>
      <c r="X5644" s="7"/>
      <c r="AG5644" s="7"/>
      <c r="AP5644" s="7"/>
      <c r="AY5644" s="7"/>
      <c r="BH5644" s="7"/>
      <c r="BQ5644" s="7"/>
      <c r="BZ5644" s="7"/>
    </row>
    <row r="5645" spans="2:78">
      <c r="B5645" s="7"/>
      <c r="O5645" s="7"/>
      <c r="X5645" s="7"/>
      <c r="AG5645" s="7"/>
      <c r="AP5645" s="7"/>
      <c r="AY5645" s="7"/>
      <c r="BH5645" s="7"/>
      <c r="BQ5645" s="7"/>
      <c r="BZ5645" s="7"/>
    </row>
    <row r="5646" spans="2:78">
      <c r="B5646" s="7"/>
      <c r="O5646" s="7"/>
      <c r="X5646" s="7"/>
      <c r="AG5646" s="7"/>
      <c r="AP5646" s="7"/>
      <c r="AY5646" s="7"/>
      <c r="BH5646" s="7"/>
      <c r="BQ5646" s="7"/>
      <c r="BZ5646" s="7"/>
    </row>
    <row r="5647" spans="2:78">
      <c r="B5647" s="7"/>
      <c r="O5647" s="7"/>
      <c r="X5647" s="7"/>
      <c r="AG5647" s="7"/>
      <c r="AP5647" s="7"/>
      <c r="AY5647" s="7"/>
      <c r="BH5647" s="7"/>
      <c r="BQ5647" s="7"/>
      <c r="BZ5647" s="7"/>
    </row>
    <row r="5648" spans="2:78">
      <c r="B5648" s="7"/>
      <c r="O5648" s="7"/>
      <c r="X5648" s="7"/>
      <c r="AG5648" s="7"/>
      <c r="AP5648" s="7"/>
      <c r="AY5648" s="7"/>
      <c r="BH5648" s="7"/>
      <c r="BQ5648" s="7"/>
      <c r="BZ5648" s="7"/>
    </row>
    <row r="5649" spans="2:78">
      <c r="B5649" s="7"/>
      <c r="O5649" s="7"/>
      <c r="X5649" s="7"/>
      <c r="AG5649" s="7"/>
      <c r="AP5649" s="7"/>
      <c r="AY5649" s="7"/>
      <c r="BH5649" s="7"/>
      <c r="BQ5649" s="7"/>
      <c r="BZ5649" s="7"/>
    </row>
    <row r="5650" spans="2:78">
      <c r="B5650" s="7"/>
      <c r="O5650" s="7"/>
      <c r="X5650" s="7"/>
      <c r="AG5650" s="7"/>
      <c r="AP5650" s="7"/>
      <c r="AY5650" s="7"/>
      <c r="BH5650" s="7"/>
      <c r="BQ5650" s="7"/>
      <c r="BZ5650" s="7"/>
    </row>
    <row r="5651" spans="2:78">
      <c r="B5651" s="7"/>
      <c r="O5651" s="7"/>
      <c r="X5651" s="7"/>
      <c r="AG5651" s="7"/>
      <c r="AP5651" s="7"/>
      <c r="AY5651" s="7"/>
      <c r="BH5651" s="7"/>
      <c r="BQ5651" s="7"/>
      <c r="BZ5651" s="7"/>
    </row>
    <row r="5652" spans="2:78">
      <c r="B5652" s="7"/>
      <c r="O5652" s="7"/>
      <c r="X5652" s="7"/>
      <c r="AG5652" s="7"/>
      <c r="AP5652" s="7"/>
      <c r="AY5652" s="7"/>
      <c r="BH5652" s="7"/>
      <c r="BQ5652" s="7"/>
      <c r="BZ5652" s="7"/>
    </row>
    <row r="5653" spans="2:78">
      <c r="B5653" s="7"/>
      <c r="O5653" s="7"/>
      <c r="X5653" s="7"/>
      <c r="AG5653" s="7"/>
      <c r="AP5653" s="7"/>
      <c r="AY5653" s="7"/>
      <c r="BH5653" s="7"/>
      <c r="BQ5653" s="7"/>
      <c r="BZ5653" s="7"/>
    </row>
    <row r="5654" spans="2:78">
      <c r="B5654" s="7"/>
      <c r="O5654" s="7"/>
      <c r="X5654" s="7"/>
      <c r="AG5654" s="7"/>
      <c r="AP5654" s="7"/>
      <c r="AY5654" s="7"/>
      <c r="BH5654" s="7"/>
      <c r="BQ5654" s="7"/>
      <c r="BZ5654" s="7"/>
    </row>
    <row r="5655" spans="2:78">
      <c r="B5655" s="7"/>
      <c r="O5655" s="7"/>
      <c r="X5655" s="7"/>
      <c r="AG5655" s="7"/>
      <c r="AP5655" s="7"/>
      <c r="AY5655" s="7"/>
      <c r="BH5655" s="7"/>
      <c r="BQ5655" s="7"/>
      <c r="BZ5655" s="7"/>
    </row>
    <row r="5656" spans="2:78">
      <c r="B5656" s="7"/>
      <c r="O5656" s="7"/>
      <c r="X5656" s="7"/>
      <c r="AG5656" s="7"/>
      <c r="AP5656" s="7"/>
      <c r="AY5656" s="7"/>
      <c r="BH5656" s="7"/>
      <c r="BQ5656" s="7"/>
      <c r="BZ5656" s="7"/>
    </row>
    <row r="5657" spans="2:78">
      <c r="B5657" s="7"/>
      <c r="O5657" s="7"/>
      <c r="X5657" s="7"/>
      <c r="AG5657" s="7"/>
      <c r="AP5657" s="7"/>
      <c r="AY5657" s="7"/>
      <c r="BH5657" s="7"/>
      <c r="BQ5657" s="7"/>
      <c r="BZ5657" s="7"/>
    </row>
    <row r="5658" spans="2:78">
      <c r="B5658" s="7"/>
      <c r="O5658" s="7"/>
      <c r="X5658" s="7"/>
      <c r="AG5658" s="7"/>
      <c r="AP5658" s="7"/>
      <c r="AY5658" s="7"/>
      <c r="BH5658" s="7"/>
      <c r="BQ5658" s="7"/>
      <c r="BZ5658" s="7"/>
    </row>
    <row r="5659" spans="2:78">
      <c r="B5659" s="7"/>
      <c r="O5659" s="7"/>
      <c r="X5659" s="7"/>
      <c r="AG5659" s="7"/>
      <c r="AP5659" s="7"/>
      <c r="AY5659" s="7"/>
      <c r="BH5659" s="7"/>
      <c r="BQ5659" s="7"/>
      <c r="BZ5659" s="7"/>
    </row>
    <row r="5660" spans="2:78">
      <c r="B5660" s="7"/>
      <c r="O5660" s="7"/>
      <c r="X5660" s="7"/>
      <c r="AG5660" s="7"/>
      <c r="AP5660" s="7"/>
      <c r="AY5660" s="7"/>
      <c r="BH5660" s="7"/>
      <c r="BQ5660" s="7"/>
      <c r="BZ5660" s="7"/>
    </row>
    <row r="5661" spans="2:78">
      <c r="B5661" s="7"/>
      <c r="O5661" s="7"/>
      <c r="X5661" s="7"/>
      <c r="AG5661" s="7"/>
      <c r="AP5661" s="7"/>
      <c r="AY5661" s="7"/>
      <c r="BH5661" s="7"/>
      <c r="BQ5661" s="7"/>
      <c r="BZ5661" s="7"/>
    </row>
    <row r="5662" spans="2:78">
      <c r="B5662" s="7"/>
      <c r="O5662" s="7"/>
      <c r="X5662" s="7"/>
      <c r="AG5662" s="7"/>
      <c r="AP5662" s="7"/>
      <c r="AY5662" s="7"/>
      <c r="BH5662" s="7"/>
      <c r="BQ5662" s="7"/>
      <c r="BZ5662" s="7"/>
    </row>
    <row r="5663" spans="2:78">
      <c r="B5663" s="7"/>
      <c r="O5663" s="7"/>
      <c r="X5663" s="7"/>
      <c r="AG5663" s="7"/>
      <c r="AP5663" s="7"/>
      <c r="AY5663" s="7"/>
      <c r="BH5663" s="7"/>
      <c r="BQ5663" s="7"/>
      <c r="BZ5663" s="7"/>
    </row>
    <row r="5664" spans="2:78">
      <c r="B5664" s="7"/>
      <c r="O5664" s="7"/>
      <c r="X5664" s="7"/>
      <c r="AG5664" s="7"/>
      <c r="AP5664" s="7"/>
      <c r="AY5664" s="7"/>
      <c r="BH5664" s="7"/>
      <c r="BQ5664" s="7"/>
      <c r="BZ5664" s="7"/>
    </row>
    <row r="5665" spans="2:78">
      <c r="B5665" s="7"/>
      <c r="O5665" s="7"/>
      <c r="X5665" s="7"/>
      <c r="AG5665" s="7"/>
      <c r="AP5665" s="7"/>
      <c r="AY5665" s="7"/>
      <c r="BH5665" s="7"/>
      <c r="BQ5665" s="7"/>
      <c r="BZ5665" s="7"/>
    </row>
    <row r="5666" spans="2:78">
      <c r="B5666" s="7"/>
      <c r="O5666" s="7"/>
      <c r="X5666" s="7"/>
      <c r="AG5666" s="7"/>
      <c r="AP5666" s="7"/>
      <c r="AY5666" s="7"/>
      <c r="BH5666" s="7"/>
      <c r="BQ5666" s="7"/>
      <c r="BZ5666" s="7"/>
    </row>
    <row r="5667" spans="2:78">
      <c r="B5667" s="7"/>
      <c r="O5667" s="7"/>
      <c r="X5667" s="7"/>
      <c r="AG5667" s="7"/>
      <c r="AP5667" s="7"/>
      <c r="AY5667" s="7"/>
      <c r="BH5667" s="7"/>
      <c r="BQ5667" s="7"/>
      <c r="BZ5667" s="7"/>
    </row>
    <row r="5668" spans="2:78">
      <c r="B5668" s="7"/>
      <c r="O5668" s="7"/>
      <c r="X5668" s="7"/>
      <c r="AG5668" s="7"/>
      <c r="AP5668" s="7"/>
      <c r="AY5668" s="7"/>
      <c r="BH5668" s="7"/>
      <c r="BQ5668" s="7"/>
      <c r="BZ5668" s="7"/>
    </row>
    <row r="5669" spans="2:78">
      <c r="B5669" s="7"/>
      <c r="O5669" s="7"/>
      <c r="X5669" s="7"/>
      <c r="AG5669" s="7"/>
      <c r="AP5669" s="7"/>
      <c r="AY5669" s="7"/>
      <c r="BH5669" s="7"/>
      <c r="BQ5669" s="7"/>
      <c r="BZ5669" s="7"/>
    </row>
    <row r="5670" spans="2:78">
      <c r="B5670" s="7"/>
      <c r="O5670" s="7"/>
      <c r="X5670" s="7"/>
      <c r="AG5670" s="7"/>
      <c r="AP5670" s="7"/>
      <c r="AY5670" s="7"/>
      <c r="BH5670" s="7"/>
      <c r="BQ5670" s="7"/>
      <c r="BZ5670" s="7"/>
    </row>
    <row r="5671" spans="2:78">
      <c r="B5671" s="7"/>
      <c r="O5671" s="7"/>
      <c r="X5671" s="7"/>
      <c r="AG5671" s="7"/>
      <c r="AP5671" s="7"/>
      <c r="AY5671" s="7"/>
      <c r="BH5671" s="7"/>
      <c r="BQ5671" s="7"/>
      <c r="BZ5671" s="7"/>
    </row>
    <row r="5672" spans="2:78">
      <c r="B5672" s="7"/>
      <c r="O5672" s="7"/>
      <c r="X5672" s="7"/>
      <c r="AG5672" s="7"/>
      <c r="AP5672" s="7"/>
      <c r="AY5672" s="7"/>
      <c r="BH5672" s="7"/>
      <c r="BQ5672" s="7"/>
      <c r="BZ5672" s="7"/>
    </row>
    <row r="5673" spans="2:78">
      <c r="B5673" s="7"/>
      <c r="O5673" s="7"/>
      <c r="X5673" s="7"/>
      <c r="AG5673" s="7"/>
      <c r="AP5673" s="7"/>
      <c r="AY5673" s="7"/>
      <c r="BH5673" s="7"/>
      <c r="BQ5673" s="7"/>
      <c r="BZ5673" s="7"/>
    </row>
    <row r="5674" spans="2:78">
      <c r="B5674" s="7"/>
      <c r="O5674" s="7"/>
      <c r="X5674" s="7"/>
      <c r="AG5674" s="7"/>
      <c r="AP5674" s="7"/>
      <c r="AY5674" s="7"/>
      <c r="BH5674" s="7"/>
      <c r="BQ5674" s="7"/>
      <c r="BZ5674" s="7"/>
    </row>
    <row r="5675" spans="2:78">
      <c r="B5675" s="7"/>
      <c r="O5675" s="7"/>
      <c r="X5675" s="7"/>
      <c r="AG5675" s="7"/>
      <c r="AP5675" s="7"/>
      <c r="AY5675" s="7"/>
      <c r="BH5675" s="7"/>
      <c r="BQ5675" s="7"/>
      <c r="BZ5675" s="7"/>
    </row>
    <row r="5676" spans="2:78">
      <c r="B5676" s="7"/>
      <c r="O5676" s="7"/>
      <c r="X5676" s="7"/>
      <c r="AG5676" s="7"/>
      <c r="AP5676" s="7"/>
      <c r="AY5676" s="7"/>
      <c r="BH5676" s="7"/>
      <c r="BQ5676" s="7"/>
      <c r="BZ5676" s="7"/>
    </row>
    <row r="5677" spans="2:78">
      <c r="B5677" s="7"/>
      <c r="O5677" s="7"/>
      <c r="X5677" s="7"/>
      <c r="AG5677" s="7"/>
      <c r="AP5677" s="7"/>
      <c r="AY5677" s="7"/>
      <c r="BH5677" s="7"/>
      <c r="BQ5677" s="7"/>
      <c r="BZ5677" s="7"/>
    </row>
    <row r="5678" spans="2:78">
      <c r="B5678" s="7"/>
      <c r="O5678" s="7"/>
      <c r="X5678" s="7"/>
      <c r="AG5678" s="7"/>
      <c r="AP5678" s="7"/>
      <c r="AY5678" s="7"/>
      <c r="BH5678" s="7"/>
      <c r="BQ5678" s="7"/>
      <c r="BZ5678" s="7"/>
    </row>
    <row r="5679" spans="2:78">
      <c r="B5679" s="7"/>
      <c r="O5679" s="7"/>
      <c r="X5679" s="7"/>
      <c r="AG5679" s="7"/>
      <c r="AP5679" s="7"/>
      <c r="AY5679" s="7"/>
      <c r="BH5679" s="7"/>
      <c r="BQ5679" s="7"/>
      <c r="BZ5679" s="7"/>
    </row>
    <row r="5680" spans="2:78">
      <c r="B5680" s="7"/>
      <c r="O5680" s="7"/>
      <c r="X5680" s="7"/>
      <c r="AG5680" s="7"/>
      <c r="AP5680" s="7"/>
      <c r="AY5680" s="7"/>
      <c r="BH5680" s="7"/>
      <c r="BQ5680" s="7"/>
      <c r="BZ5680" s="7"/>
    </row>
    <row r="5681" spans="2:78">
      <c r="B5681" s="7"/>
      <c r="O5681" s="7"/>
      <c r="X5681" s="7"/>
      <c r="AG5681" s="7"/>
      <c r="AP5681" s="7"/>
      <c r="AY5681" s="7"/>
      <c r="BH5681" s="7"/>
      <c r="BQ5681" s="7"/>
      <c r="BZ5681" s="7"/>
    </row>
    <row r="5682" spans="2:78">
      <c r="B5682" s="7"/>
      <c r="O5682" s="7"/>
      <c r="X5682" s="7"/>
      <c r="AG5682" s="7"/>
      <c r="AP5682" s="7"/>
      <c r="AY5682" s="7"/>
      <c r="BH5682" s="7"/>
      <c r="BQ5682" s="7"/>
      <c r="BZ5682" s="7"/>
    </row>
    <row r="5683" spans="2:78">
      <c r="B5683" s="7"/>
      <c r="O5683" s="7"/>
      <c r="X5683" s="7"/>
      <c r="AG5683" s="7"/>
      <c r="AP5683" s="7"/>
      <c r="AY5683" s="7"/>
      <c r="BH5683" s="7"/>
      <c r="BQ5683" s="7"/>
      <c r="BZ5683" s="7"/>
    </row>
    <row r="5684" spans="2:78">
      <c r="B5684" s="7"/>
      <c r="O5684" s="7"/>
      <c r="X5684" s="7"/>
      <c r="AG5684" s="7"/>
      <c r="AP5684" s="7"/>
      <c r="AY5684" s="7"/>
      <c r="BH5684" s="7"/>
      <c r="BQ5684" s="7"/>
      <c r="BZ5684" s="7"/>
    </row>
    <row r="5685" spans="2:78">
      <c r="B5685" s="7"/>
      <c r="O5685" s="7"/>
      <c r="X5685" s="7"/>
      <c r="AG5685" s="7"/>
      <c r="AP5685" s="7"/>
      <c r="AY5685" s="7"/>
      <c r="BH5685" s="7"/>
      <c r="BQ5685" s="7"/>
      <c r="BZ5685" s="7"/>
    </row>
    <row r="5686" spans="2:78">
      <c r="B5686" s="7"/>
      <c r="O5686" s="7"/>
      <c r="X5686" s="7"/>
      <c r="AG5686" s="7"/>
      <c r="AP5686" s="7"/>
      <c r="AY5686" s="7"/>
      <c r="BH5686" s="7"/>
      <c r="BQ5686" s="7"/>
      <c r="BZ5686" s="7"/>
    </row>
    <row r="5687" spans="2:78">
      <c r="B5687" s="7"/>
      <c r="O5687" s="7"/>
      <c r="X5687" s="7"/>
      <c r="AG5687" s="7"/>
      <c r="AP5687" s="7"/>
      <c r="AY5687" s="7"/>
      <c r="BH5687" s="7"/>
      <c r="BQ5687" s="7"/>
      <c r="BZ5687" s="7"/>
    </row>
    <row r="5688" spans="2:78">
      <c r="B5688" s="7"/>
      <c r="O5688" s="7"/>
      <c r="X5688" s="7"/>
      <c r="AG5688" s="7"/>
      <c r="AP5688" s="7"/>
      <c r="AY5688" s="7"/>
      <c r="BH5688" s="7"/>
      <c r="BQ5688" s="7"/>
      <c r="BZ5688" s="7"/>
    </row>
    <row r="5689" spans="2:78">
      <c r="B5689" s="7"/>
      <c r="O5689" s="7"/>
      <c r="X5689" s="7"/>
      <c r="AG5689" s="7"/>
      <c r="AP5689" s="7"/>
      <c r="AY5689" s="7"/>
      <c r="BH5689" s="7"/>
      <c r="BQ5689" s="7"/>
      <c r="BZ5689" s="7"/>
    </row>
    <row r="5690" spans="2:78">
      <c r="B5690" s="7"/>
      <c r="O5690" s="7"/>
      <c r="X5690" s="7"/>
      <c r="AG5690" s="7"/>
      <c r="AP5690" s="7"/>
      <c r="AY5690" s="7"/>
      <c r="BH5690" s="7"/>
      <c r="BQ5690" s="7"/>
      <c r="BZ5690" s="7"/>
    </row>
    <row r="5691" spans="2:78">
      <c r="B5691" s="7"/>
      <c r="O5691" s="7"/>
      <c r="X5691" s="7"/>
      <c r="AG5691" s="7"/>
      <c r="AP5691" s="7"/>
      <c r="AY5691" s="7"/>
      <c r="BH5691" s="7"/>
      <c r="BQ5691" s="7"/>
      <c r="BZ5691" s="7"/>
    </row>
    <row r="5692" spans="2:78">
      <c r="B5692" s="7"/>
      <c r="O5692" s="7"/>
      <c r="X5692" s="7"/>
      <c r="AG5692" s="7"/>
      <c r="AP5692" s="7"/>
      <c r="AY5692" s="7"/>
      <c r="BH5692" s="7"/>
      <c r="BQ5692" s="7"/>
      <c r="BZ5692" s="7"/>
    </row>
    <row r="5693" spans="2:78">
      <c r="B5693" s="7"/>
      <c r="O5693" s="7"/>
      <c r="X5693" s="7"/>
      <c r="AG5693" s="7"/>
      <c r="AP5693" s="7"/>
      <c r="AY5693" s="7"/>
      <c r="BH5693" s="7"/>
      <c r="BQ5693" s="7"/>
      <c r="BZ5693" s="7"/>
    </row>
    <row r="5694" spans="2:78">
      <c r="B5694" s="7"/>
      <c r="O5694" s="7"/>
      <c r="X5694" s="7"/>
      <c r="AG5694" s="7"/>
      <c r="AP5694" s="7"/>
      <c r="AY5694" s="7"/>
      <c r="BH5694" s="7"/>
      <c r="BQ5694" s="7"/>
      <c r="BZ5694" s="7"/>
    </row>
    <row r="5695" spans="2:78">
      <c r="B5695" s="7"/>
      <c r="O5695" s="7"/>
      <c r="X5695" s="7"/>
      <c r="AG5695" s="7"/>
      <c r="AP5695" s="7"/>
      <c r="AY5695" s="7"/>
      <c r="BH5695" s="7"/>
      <c r="BQ5695" s="7"/>
      <c r="BZ5695" s="7"/>
    </row>
    <row r="5696" spans="2:78">
      <c r="B5696" s="7"/>
      <c r="O5696" s="7"/>
      <c r="X5696" s="7"/>
      <c r="AG5696" s="7"/>
      <c r="AP5696" s="7"/>
      <c r="AY5696" s="7"/>
      <c r="BH5696" s="7"/>
      <c r="BQ5696" s="7"/>
      <c r="BZ5696" s="7"/>
    </row>
    <row r="5697" spans="2:78">
      <c r="B5697" s="7"/>
      <c r="O5697" s="7"/>
      <c r="X5697" s="7"/>
      <c r="AG5697" s="7"/>
      <c r="AP5697" s="7"/>
      <c r="AY5697" s="7"/>
      <c r="BH5697" s="7"/>
      <c r="BQ5697" s="7"/>
      <c r="BZ5697" s="7"/>
    </row>
    <row r="5698" spans="2:78">
      <c r="B5698" s="7"/>
      <c r="O5698" s="7"/>
      <c r="X5698" s="7"/>
      <c r="AG5698" s="7"/>
      <c r="AP5698" s="7"/>
      <c r="AY5698" s="7"/>
      <c r="BH5698" s="7"/>
      <c r="BQ5698" s="7"/>
      <c r="BZ5698" s="7"/>
    </row>
    <row r="5699" spans="2:78">
      <c r="B5699" s="7"/>
      <c r="O5699" s="7"/>
      <c r="X5699" s="7"/>
      <c r="AG5699" s="7"/>
      <c r="AP5699" s="7"/>
      <c r="AY5699" s="7"/>
      <c r="BH5699" s="7"/>
      <c r="BQ5699" s="7"/>
      <c r="BZ5699" s="7"/>
    </row>
    <row r="5700" spans="2:78">
      <c r="B5700" s="7"/>
      <c r="O5700" s="7"/>
      <c r="X5700" s="7"/>
      <c r="AG5700" s="7"/>
      <c r="AP5700" s="7"/>
      <c r="AY5700" s="7"/>
      <c r="BH5700" s="7"/>
      <c r="BQ5700" s="7"/>
      <c r="BZ5700" s="7"/>
    </row>
    <row r="5701" spans="2:78">
      <c r="B5701" s="7"/>
      <c r="O5701" s="7"/>
      <c r="X5701" s="7"/>
      <c r="AG5701" s="7"/>
      <c r="AP5701" s="7"/>
      <c r="AY5701" s="7"/>
      <c r="BH5701" s="7"/>
      <c r="BQ5701" s="7"/>
      <c r="BZ5701" s="7"/>
    </row>
    <row r="5702" spans="2:78">
      <c r="B5702" s="7"/>
      <c r="O5702" s="7"/>
      <c r="X5702" s="7"/>
      <c r="AG5702" s="7"/>
      <c r="AP5702" s="7"/>
      <c r="AY5702" s="7"/>
      <c r="BH5702" s="7"/>
      <c r="BQ5702" s="7"/>
      <c r="BZ5702" s="7"/>
    </row>
    <row r="5703" spans="2:78">
      <c r="B5703" s="7"/>
      <c r="O5703" s="7"/>
      <c r="X5703" s="7"/>
      <c r="AG5703" s="7"/>
      <c r="AP5703" s="7"/>
      <c r="AY5703" s="7"/>
      <c r="BH5703" s="7"/>
      <c r="BQ5703" s="7"/>
      <c r="BZ5703" s="7"/>
    </row>
    <row r="5704" spans="2:78">
      <c r="B5704" s="7"/>
      <c r="O5704" s="7"/>
      <c r="X5704" s="7"/>
      <c r="AG5704" s="7"/>
      <c r="AP5704" s="7"/>
      <c r="AY5704" s="7"/>
      <c r="BH5704" s="7"/>
      <c r="BQ5704" s="7"/>
      <c r="BZ5704" s="7"/>
    </row>
    <row r="5705" spans="2:78">
      <c r="B5705" s="7"/>
      <c r="O5705" s="7"/>
      <c r="X5705" s="7"/>
      <c r="AG5705" s="7"/>
      <c r="AP5705" s="7"/>
      <c r="AY5705" s="7"/>
      <c r="BH5705" s="7"/>
      <c r="BQ5705" s="7"/>
      <c r="BZ5705" s="7"/>
    </row>
    <row r="5706" spans="2:78">
      <c r="B5706" s="7"/>
      <c r="O5706" s="7"/>
      <c r="X5706" s="7"/>
      <c r="AG5706" s="7"/>
      <c r="AP5706" s="7"/>
      <c r="AY5706" s="7"/>
      <c r="BH5706" s="7"/>
      <c r="BQ5706" s="7"/>
      <c r="BZ5706" s="7"/>
    </row>
    <row r="5707" spans="2:78">
      <c r="B5707" s="7"/>
      <c r="O5707" s="7"/>
      <c r="X5707" s="7"/>
      <c r="AG5707" s="7"/>
      <c r="AP5707" s="7"/>
      <c r="AY5707" s="7"/>
      <c r="BH5707" s="7"/>
      <c r="BQ5707" s="7"/>
      <c r="BZ5707" s="7"/>
    </row>
    <row r="5708" spans="2:78">
      <c r="B5708" s="7"/>
      <c r="O5708" s="7"/>
      <c r="X5708" s="7"/>
      <c r="AG5708" s="7"/>
      <c r="AP5708" s="7"/>
      <c r="AY5708" s="7"/>
      <c r="BH5708" s="7"/>
      <c r="BQ5708" s="7"/>
      <c r="BZ5708" s="7"/>
    </row>
    <row r="5709" spans="2:78">
      <c r="B5709" s="7"/>
      <c r="O5709" s="7"/>
      <c r="X5709" s="7"/>
      <c r="AG5709" s="7"/>
      <c r="AP5709" s="7"/>
      <c r="AY5709" s="7"/>
      <c r="BH5709" s="7"/>
      <c r="BQ5709" s="7"/>
      <c r="BZ5709" s="7"/>
    </row>
    <row r="5710" spans="2:78">
      <c r="B5710" s="7"/>
      <c r="O5710" s="7"/>
      <c r="X5710" s="7"/>
      <c r="AG5710" s="7"/>
      <c r="AP5710" s="7"/>
      <c r="AY5710" s="7"/>
      <c r="BH5710" s="7"/>
      <c r="BQ5710" s="7"/>
      <c r="BZ5710" s="7"/>
    </row>
    <row r="5711" spans="2:78">
      <c r="B5711" s="7"/>
      <c r="O5711" s="7"/>
      <c r="X5711" s="7"/>
      <c r="AG5711" s="7"/>
      <c r="AP5711" s="7"/>
      <c r="AY5711" s="7"/>
      <c r="BH5711" s="7"/>
      <c r="BQ5711" s="7"/>
      <c r="BZ5711" s="7"/>
    </row>
    <row r="5712" spans="2:78">
      <c r="B5712" s="7"/>
      <c r="O5712" s="7"/>
      <c r="X5712" s="7"/>
      <c r="AG5712" s="7"/>
      <c r="AP5712" s="7"/>
      <c r="AY5712" s="7"/>
      <c r="BH5712" s="7"/>
      <c r="BQ5712" s="7"/>
      <c r="BZ5712" s="7"/>
    </row>
    <row r="5713" spans="2:78">
      <c r="B5713" s="7"/>
      <c r="O5713" s="7"/>
      <c r="X5713" s="7"/>
      <c r="AG5713" s="7"/>
      <c r="AP5713" s="7"/>
      <c r="AY5713" s="7"/>
      <c r="BH5713" s="7"/>
      <c r="BQ5713" s="7"/>
      <c r="BZ5713" s="7"/>
    </row>
    <row r="5714" spans="2:78">
      <c r="B5714" s="7"/>
      <c r="O5714" s="7"/>
      <c r="X5714" s="7"/>
      <c r="AG5714" s="7"/>
      <c r="AP5714" s="7"/>
      <c r="AY5714" s="7"/>
      <c r="BH5714" s="7"/>
      <c r="BQ5714" s="7"/>
      <c r="BZ5714" s="7"/>
    </row>
    <row r="5715" spans="2:78">
      <c r="B5715" s="7"/>
      <c r="O5715" s="7"/>
      <c r="X5715" s="7"/>
      <c r="AG5715" s="7"/>
      <c r="AP5715" s="7"/>
      <c r="AY5715" s="7"/>
      <c r="BH5715" s="7"/>
      <c r="BQ5715" s="7"/>
      <c r="BZ5715" s="7"/>
    </row>
    <row r="5716" spans="2:78">
      <c r="B5716" s="7"/>
      <c r="O5716" s="7"/>
      <c r="X5716" s="7"/>
      <c r="AG5716" s="7"/>
      <c r="AP5716" s="7"/>
      <c r="AY5716" s="7"/>
      <c r="BH5716" s="7"/>
      <c r="BQ5716" s="7"/>
      <c r="BZ5716" s="7"/>
    </row>
    <row r="5717" spans="2:78">
      <c r="B5717" s="7"/>
      <c r="O5717" s="7"/>
      <c r="X5717" s="7"/>
      <c r="AG5717" s="7"/>
      <c r="AP5717" s="7"/>
      <c r="AY5717" s="7"/>
      <c r="BH5717" s="7"/>
      <c r="BQ5717" s="7"/>
      <c r="BZ5717" s="7"/>
    </row>
    <row r="5718" spans="2:78">
      <c r="B5718" s="7"/>
      <c r="O5718" s="7"/>
      <c r="X5718" s="7"/>
      <c r="AG5718" s="7"/>
      <c r="AP5718" s="7"/>
      <c r="AY5718" s="7"/>
      <c r="BH5718" s="7"/>
      <c r="BQ5718" s="7"/>
      <c r="BZ5718" s="7"/>
    </row>
    <row r="5719" spans="2:78">
      <c r="B5719" s="7"/>
      <c r="O5719" s="7"/>
      <c r="X5719" s="7"/>
      <c r="AG5719" s="7"/>
      <c r="AP5719" s="7"/>
      <c r="AY5719" s="7"/>
      <c r="BH5719" s="7"/>
      <c r="BQ5719" s="7"/>
      <c r="BZ5719" s="7"/>
    </row>
    <row r="5720" spans="2:78">
      <c r="B5720" s="7"/>
      <c r="O5720" s="7"/>
      <c r="X5720" s="7"/>
      <c r="AG5720" s="7"/>
      <c r="AP5720" s="7"/>
      <c r="AY5720" s="7"/>
      <c r="BH5720" s="7"/>
      <c r="BQ5720" s="7"/>
      <c r="BZ5720" s="7"/>
    </row>
    <row r="5721" spans="2:78">
      <c r="B5721" s="7"/>
      <c r="O5721" s="7"/>
      <c r="X5721" s="7"/>
      <c r="AG5721" s="7"/>
      <c r="AP5721" s="7"/>
      <c r="AY5721" s="7"/>
      <c r="BH5721" s="7"/>
      <c r="BQ5721" s="7"/>
      <c r="BZ5721" s="7"/>
    </row>
    <row r="5722" spans="2:78">
      <c r="B5722" s="7"/>
      <c r="O5722" s="7"/>
      <c r="X5722" s="7"/>
      <c r="AG5722" s="7"/>
      <c r="AP5722" s="7"/>
      <c r="AY5722" s="7"/>
      <c r="BH5722" s="7"/>
      <c r="BQ5722" s="7"/>
      <c r="BZ5722" s="7"/>
    </row>
    <row r="5723" spans="2:78">
      <c r="B5723" s="7"/>
      <c r="O5723" s="7"/>
      <c r="X5723" s="7"/>
      <c r="AG5723" s="7"/>
      <c r="AP5723" s="7"/>
      <c r="AY5723" s="7"/>
      <c r="BH5723" s="7"/>
      <c r="BQ5723" s="7"/>
      <c r="BZ5723" s="7"/>
    </row>
    <row r="5724" spans="2:78">
      <c r="B5724" s="7"/>
      <c r="O5724" s="7"/>
      <c r="X5724" s="7"/>
      <c r="AG5724" s="7"/>
      <c r="AP5724" s="7"/>
      <c r="AY5724" s="7"/>
      <c r="BH5724" s="7"/>
      <c r="BQ5724" s="7"/>
      <c r="BZ5724" s="7"/>
    </row>
    <row r="5725" spans="2:78">
      <c r="B5725" s="7"/>
      <c r="O5725" s="7"/>
      <c r="X5725" s="7"/>
      <c r="AG5725" s="7"/>
      <c r="AP5725" s="7"/>
      <c r="AY5725" s="7"/>
      <c r="BH5725" s="7"/>
      <c r="BQ5725" s="7"/>
      <c r="BZ5725" s="7"/>
    </row>
    <row r="5726" spans="2:78">
      <c r="B5726" s="7"/>
      <c r="O5726" s="7"/>
      <c r="X5726" s="7"/>
      <c r="AG5726" s="7"/>
      <c r="AP5726" s="7"/>
      <c r="AY5726" s="7"/>
      <c r="BH5726" s="7"/>
      <c r="BQ5726" s="7"/>
      <c r="BZ5726" s="7"/>
    </row>
    <row r="5727" spans="2:78">
      <c r="B5727" s="7"/>
      <c r="O5727" s="7"/>
      <c r="X5727" s="7"/>
      <c r="AG5727" s="7"/>
      <c r="AP5727" s="7"/>
      <c r="AY5727" s="7"/>
      <c r="BH5727" s="7"/>
      <c r="BQ5727" s="7"/>
      <c r="BZ5727" s="7"/>
    </row>
    <row r="5728" spans="2:78">
      <c r="B5728" s="7"/>
      <c r="O5728" s="7"/>
      <c r="X5728" s="7"/>
      <c r="AG5728" s="7"/>
      <c r="AP5728" s="7"/>
      <c r="AY5728" s="7"/>
      <c r="BH5728" s="7"/>
      <c r="BQ5728" s="7"/>
      <c r="BZ5728" s="7"/>
    </row>
    <row r="5729" spans="2:78">
      <c r="B5729" s="7"/>
      <c r="O5729" s="7"/>
      <c r="X5729" s="7"/>
      <c r="AG5729" s="7"/>
      <c r="AP5729" s="7"/>
      <c r="AY5729" s="7"/>
      <c r="BH5729" s="7"/>
      <c r="BQ5729" s="7"/>
      <c r="BZ5729" s="7"/>
    </row>
    <row r="5730" spans="2:78">
      <c r="B5730" s="7"/>
      <c r="O5730" s="7"/>
      <c r="X5730" s="7"/>
      <c r="AG5730" s="7"/>
      <c r="AP5730" s="7"/>
      <c r="AY5730" s="7"/>
      <c r="BH5730" s="7"/>
      <c r="BQ5730" s="7"/>
      <c r="BZ5730" s="7"/>
    </row>
    <row r="5731" spans="2:78">
      <c r="B5731" s="7"/>
      <c r="O5731" s="7"/>
      <c r="X5731" s="7"/>
      <c r="AG5731" s="7"/>
      <c r="AP5731" s="7"/>
      <c r="AY5731" s="7"/>
      <c r="BH5731" s="7"/>
      <c r="BQ5731" s="7"/>
      <c r="BZ5731" s="7"/>
    </row>
    <row r="5732" spans="2:78">
      <c r="B5732" s="7"/>
      <c r="O5732" s="7"/>
      <c r="X5732" s="7"/>
      <c r="AG5732" s="7"/>
      <c r="AP5732" s="7"/>
      <c r="AY5732" s="7"/>
      <c r="BH5732" s="7"/>
      <c r="BQ5732" s="7"/>
      <c r="BZ5732" s="7"/>
    </row>
    <row r="5733" spans="2:78">
      <c r="B5733" s="7"/>
      <c r="O5733" s="7"/>
      <c r="X5733" s="7"/>
      <c r="AG5733" s="7"/>
      <c r="AP5733" s="7"/>
      <c r="AY5733" s="7"/>
      <c r="BH5733" s="7"/>
      <c r="BQ5733" s="7"/>
      <c r="BZ5733" s="7"/>
    </row>
    <row r="5734" spans="2:78">
      <c r="B5734" s="7"/>
      <c r="O5734" s="7"/>
      <c r="X5734" s="7"/>
      <c r="AG5734" s="7"/>
      <c r="AP5734" s="7"/>
      <c r="AY5734" s="7"/>
      <c r="BH5734" s="7"/>
      <c r="BQ5734" s="7"/>
      <c r="BZ5734" s="7"/>
    </row>
    <row r="5735" spans="2:78">
      <c r="B5735" s="7"/>
      <c r="O5735" s="7"/>
      <c r="X5735" s="7"/>
      <c r="AG5735" s="7"/>
      <c r="AP5735" s="7"/>
      <c r="AY5735" s="7"/>
      <c r="BH5735" s="7"/>
      <c r="BQ5735" s="7"/>
      <c r="BZ5735" s="7"/>
    </row>
    <row r="5736" spans="2:78">
      <c r="B5736" s="7"/>
      <c r="O5736" s="7"/>
      <c r="X5736" s="7"/>
      <c r="AG5736" s="7"/>
      <c r="AP5736" s="7"/>
      <c r="AY5736" s="7"/>
      <c r="BH5736" s="7"/>
      <c r="BQ5736" s="7"/>
      <c r="BZ5736" s="7"/>
    </row>
    <row r="5737" spans="2:78">
      <c r="B5737" s="7"/>
      <c r="O5737" s="7"/>
      <c r="X5737" s="7"/>
      <c r="AG5737" s="7"/>
      <c r="AP5737" s="7"/>
      <c r="AY5737" s="7"/>
      <c r="BH5737" s="7"/>
      <c r="BQ5737" s="7"/>
      <c r="BZ5737" s="7"/>
    </row>
    <row r="5738" spans="2:78">
      <c r="B5738" s="7"/>
      <c r="O5738" s="7"/>
      <c r="X5738" s="7"/>
      <c r="AG5738" s="7"/>
      <c r="AP5738" s="7"/>
      <c r="AY5738" s="7"/>
      <c r="BH5738" s="7"/>
      <c r="BQ5738" s="7"/>
      <c r="BZ5738" s="7"/>
    </row>
    <row r="5739" spans="2:78">
      <c r="B5739" s="7"/>
      <c r="O5739" s="7"/>
      <c r="X5739" s="7"/>
      <c r="AG5739" s="7"/>
      <c r="AP5739" s="7"/>
      <c r="AY5739" s="7"/>
      <c r="BH5739" s="7"/>
      <c r="BQ5739" s="7"/>
      <c r="BZ5739" s="7"/>
    </row>
    <row r="5740" spans="2:78">
      <c r="B5740" s="7"/>
      <c r="O5740" s="7"/>
      <c r="X5740" s="7"/>
      <c r="AG5740" s="7"/>
      <c r="AP5740" s="7"/>
      <c r="AY5740" s="7"/>
      <c r="BH5740" s="7"/>
      <c r="BQ5740" s="7"/>
      <c r="BZ5740" s="7"/>
    </row>
    <row r="5741" spans="2:78">
      <c r="B5741" s="7"/>
      <c r="O5741" s="7"/>
      <c r="X5741" s="7"/>
      <c r="AG5741" s="7"/>
      <c r="AP5741" s="7"/>
      <c r="AY5741" s="7"/>
      <c r="BH5741" s="7"/>
      <c r="BQ5741" s="7"/>
      <c r="BZ5741" s="7"/>
    </row>
    <row r="5742" spans="2:78">
      <c r="B5742" s="7"/>
      <c r="O5742" s="7"/>
      <c r="X5742" s="7"/>
      <c r="AG5742" s="7"/>
      <c r="AP5742" s="7"/>
      <c r="AY5742" s="7"/>
      <c r="BH5742" s="7"/>
      <c r="BQ5742" s="7"/>
      <c r="BZ5742" s="7"/>
    </row>
    <row r="5743" spans="2:78">
      <c r="B5743" s="7"/>
      <c r="O5743" s="7"/>
      <c r="X5743" s="7"/>
      <c r="AG5743" s="7"/>
      <c r="AP5743" s="7"/>
      <c r="AY5743" s="7"/>
      <c r="BH5743" s="7"/>
      <c r="BQ5743" s="7"/>
      <c r="BZ5743" s="7"/>
    </row>
    <row r="5744" spans="2:78">
      <c r="B5744" s="7"/>
      <c r="O5744" s="7"/>
      <c r="X5744" s="7"/>
      <c r="AG5744" s="7"/>
      <c r="AP5744" s="7"/>
      <c r="AY5744" s="7"/>
      <c r="BH5744" s="7"/>
      <c r="BQ5744" s="7"/>
      <c r="BZ5744" s="7"/>
    </row>
    <row r="5745" spans="2:78">
      <c r="B5745" s="7"/>
      <c r="O5745" s="7"/>
      <c r="X5745" s="7"/>
      <c r="AG5745" s="7"/>
      <c r="AP5745" s="7"/>
      <c r="AY5745" s="7"/>
      <c r="BH5745" s="7"/>
      <c r="BQ5745" s="7"/>
      <c r="BZ5745" s="7"/>
    </row>
    <row r="5746" spans="2:78">
      <c r="B5746" s="7"/>
      <c r="O5746" s="7"/>
      <c r="X5746" s="7"/>
      <c r="AG5746" s="7"/>
      <c r="AP5746" s="7"/>
      <c r="AY5746" s="7"/>
      <c r="BH5746" s="7"/>
      <c r="BQ5746" s="7"/>
      <c r="BZ5746" s="7"/>
    </row>
    <row r="5747" spans="2:78">
      <c r="B5747" s="7"/>
      <c r="O5747" s="7"/>
      <c r="X5747" s="7"/>
      <c r="AG5747" s="7"/>
      <c r="AP5747" s="7"/>
      <c r="AY5747" s="7"/>
      <c r="BH5747" s="7"/>
      <c r="BQ5747" s="7"/>
      <c r="BZ5747" s="7"/>
    </row>
    <row r="5748" spans="2:78">
      <c r="B5748" s="7"/>
      <c r="O5748" s="7"/>
      <c r="X5748" s="7"/>
      <c r="AG5748" s="7"/>
      <c r="AP5748" s="7"/>
      <c r="AY5748" s="7"/>
      <c r="BH5748" s="7"/>
      <c r="BQ5748" s="7"/>
      <c r="BZ5748" s="7"/>
    </row>
    <row r="5749" spans="2:78">
      <c r="B5749" s="7"/>
      <c r="O5749" s="7"/>
      <c r="X5749" s="7"/>
      <c r="AG5749" s="7"/>
      <c r="AP5749" s="7"/>
      <c r="AY5749" s="7"/>
      <c r="BH5749" s="7"/>
      <c r="BQ5749" s="7"/>
      <c r="BZ5749" s="7"/>
    </row>
    <row r="5750" spans="2:78">
      <c r="B5750" s="7"/>
      <c r="O5750" s="7"/>
      <c r="X5750" s="7"/>
      <c r="AG5750" s="7"/>
      <c r="AP5750" s="7"/>
      <c r="AY5750" s="7"/>
      <c r="BH5750" s="7"/>
      <c r="BQ5750" s="7"/>
      <c r="BZ5750" s="7"/>
    </row>
    <row r="5751" spans="2:78">
      <c r="B5751" s="7"/>
      <c r="O5751" s="7"/>
      <c r="X5751" s="7"/>
      <c r="AG5751" s="7"/>
      <c r="AP5751" s="7"/>
      <c r="AY5751" s="7"/>
      <c r="BH5751" s="7"/>
      <c r="BQ5751" s="7"/>
      <c r="BZ5751" s="7"/>
    </row>
    <row r="5752" spans="2:78">
      <c r="B5752" s="7"/>
      <c r="O5752" s="7"/>
      <c r="X5752" s="7"/>
      <c r="AG5752" s="7"/>
      <c r="AP5752" s="7"/>
      <c r="AY5752" s="7"/>
      <c r="BH5752" s="7"/>
      <c r="BQ5752" s="7"/>
      <c r="BZ5752" s="7"/>
    </row>
    <row r="5753" spans="2:78">
      <c r="B5753" s="7"/>
      <c r="O5753" s="7"/>
      <c r="X5753" s="7"/>
      <c r="AG5753" s="7"/>
      <c r="AP5753" s="7"/>
      <c r="AY5753" s="7"/>
      <c r="BH5753" s="7"/>
      <c r="BQ5753" s="7"/>
      <c r="BZ5753" s="7"/>
    </row>
    <row r="5754" spans="2:78">
      <c r="B5754" s="7"/>
      <c r="O5754" s="7"/>
      <c r="X5754" s="7"/>
      <c r="AG5754" s="7"/>
      <c r="AP5754" s="7"/>
      <c r="AY5754" s="7"/>
      <c r="BH5754" s="7"/>
      <c r="BQ5754" s="7"/>
      <c r="BZ5754" s="7"/>
    </row>
    <row r="5755" spans="2:78">
      <c r="B5755" s="7"/>
      <c r="O5755" s="7"/>
      <c r="X5755" s="7"/>
      <c r="AG5755" s="7"/>
      <c r="AP5755" s="7"/>
      <c r="AY5755" s="7"/>
      <c r="BH5755" s="7"/>
      <c r="BQ5755" s="7"/>
      <c r="BZ5755" s="7"/>
    </row>
    <row r="5756" spans="2:78">
      <c r="B5756" s="7"/>
      <c r="O5756" s="7"/>
      <c r="X5756" s="7"/>
      <c r="AG5756" s="7"/>
      <c r="AP5756" s="7"/>
      <c r="AY5756" s="7"/>
      <c r="BH5756" s="7"/>
      <c r="BQ5756" s="7"/>
      <c r="BZ5756" s="7"/>
    </row>
    <row r="5757" spans="2:78">
      <c r="B5757" s="7"/>
      <c r="O5757" s="7"/>
      <c r="X5757" s="7"/>
      <c r="AG5757" s="7"/>
      <c r="AP5757" s="7"/>
      <c r="AY5757" s="7"/>
      <c r="BH5757" s="7"/>
      <c r="BQ5757" s="7"/>
      <c r="BZ5757" s="7"/>
    </row>
    <row r="5758" spans="2:78">
      <c r="B5758" s="7"/>
      <c r="O5758" s="7"/>
      <c r="X5758" s="7"/>
      <c r="AG5758" s="7"/>
      <c r="AP5758" s="7"/>
      <c r="AY5758" s="7"/>
      <c r="BH5758" s="7"/>
      <c r="BQ5758" s="7"/>
      <c r="BZ5758" s="7"/>
    </row>
    <row r="5759" spans="2:78">
      <c r="B5759" s="7"/>
      <c r="O5759" s="7"/>
      <c r="X5759" s="7"/>
      <c r="AG5759" s="7"/>
      <c r="AP5759" s="7"/>
      <c r="AY5759" s="7"/>
      <c r="BH5759" s="7"/>
      <c r="BQ5759" s="7"/>
      <c r="BZ5759" s="7"/>
    </row>
    <row r="5760" spans="2:78">
      <c r="B5760" s="7"/>
      <c r="O5760" s="7"/>
      <c r="X5760" s="7"/>
      <c r="AG5760" s="7"/>
      <c r="AP5760" s="7"/>
      <c r="AY5760" s="7"/>
      <c r="BH5760" s="7"/>
      <c r="BQ5760" s="7"/>
      <c r="BZ5760" s="7"/>
    </row>
    <row r="5761" spans="2:78">
      <c r="B5761" s="7"/>
      <c r="O5761" s="7"/>
      <c r="X5761" s="7"/>
      <c r="AG5761" s="7"/>
      <c r="AP5761" s="7"/>
      <c r="AY5761" s="7"/>
      <c r="BH5761" s="7"/>
      <c r="BQ5761" s="7"/>
      <c r="BZ5761" s="7"/>
    </row>
    <row r="5762" spans="2:78">
      <c r="B5762" s="7"/>
      <c r="O5762" s="7"/>
      <c r="X5762" s="7"/>
      <c r="AG5762" s="7"/>
      <c r="AP5762" s="7"/>
      <c r="AY5762" s="7"/>
      <c r="BH5762" s="7"/>
      <c r="BQ5762" s="7"/>
      <c r="BZ5762" s="7"/>
    </row>
    <row r="5763" spans="2:78">
      <c r="B5763" s="7"/>
      <c r="O5763" s="7"/>
      <c r="X5763" s="7"/>
      <c r="AG5763" s="7"/>
      <c r="AP5763" s="7"/>
      <c r="AY5763" s="7"/>
      <c r="BH5763" s="7"/>
      <c r="BQ5763" s="7"/>
      <c r="BZ5763" s="7"/>
    </row>
    <row r="5764" spans="2:78">
      <c r="B5764" s="7"/>
      <c r="O5764" s="7"/>
      <c r="X5764" s="7"/>
      <c r="AG5764" s="7"/>
      <c r="AP5764" s="7"/>
      <c r="AY5764" s="7"/>
      <c r="BH5764" s="7"/>
      <c r="BQ5764" s="7"/>
      <c r="BZ5764" s="7"/>
    </row>
    <row r="5765" spans="2:78">
      <c r="B5765" s="7"/>
      <c r="O5765" s="7"/>
      <c r="X5765" s="7"/>
      <c r="AG5765" s="7"/>
      <c r="AP5765" s="7"/>
      <c r="AY5765" s="7"/>
      <c r="BH5765" s="7"/>
      <c r="BQ5765" s="7"/>
      <c r="BZ5765" s="7"/>
    </row>
    <row r="5766" spans="2:78">
      <c r="B5766" s="7"/>
      <c r="O5766" s="7"/>
      <c r="X5766" s="7"/>
      <c r="AG5766" s="7"/>
      <c r="AP5766" s="7"/>
      <c r="AY5766" s="7"/>
      <c r="BH5766" s="7"/>
      <c r="BQ5766" s="7"/>
      <c r="BZ5766" s="7"/>
    </row>
    <row r="5767" spans="2:78">
      <c r="B5767" s="7"/>
      <c r="O5767" s="7"/>
      <c r="X5767" s="7"/>
      <c r="AG5767" s="7"/>
      <c r="AP5767" s="7"/>
      <c r="AY5767" s="7"/>
      <c r="BH5767" s="7"/>
      <c r="BQ5767" s="7"/>
      <c r="BZ5767" s="7"/>
    </row>
    <row r="5768" spans="2:78">
      <c r="B5768" s="7"/>
      <c r="O5768" s="7"/>
      <c r="X5768" s="7"/>
      <c r="AG5768" s="7"/>
      <c r="AP5768" s="7"/>
      <c r="AY5768" s="7"/>
      <c r="BH5768" s="7"/>
      <c r="BQ5768" s="7"/>
      <c r="BZ5768" s="7"/>
    </row>
    <row r="5769" spans="2:78">
      <c r="B5769" s="7"/>
      <c r="O5769" s="7"/>
      <c r="X5769" s="7"/>
      <c r="AG5769" s="7"/>
      <c r="AP5769" s="7"/>
      <c r="AY5769" s="7"/>
      <c r="BH5769" s="7"/>
      <c r="BQ5769" s="7"/>
      <c r="BZ5769" s="7"/>
    </row>
    <row r="5770" spans="2:78">
      <c r="B5770" s="7"/>
      <c r="O5770" s="7"/>
      <c r="X5770" s="7"/>
      <c r="AG5770" s="7"/>
      <c r="AP5770" s="7"/>
      <c r="AY5770" s="7"/>
      <c r="BH5770" s="7"/>
      <c r="BQ5770" s="7"/>
      <c r="BZ5770" s="7"/>
    </row>
    <row r="5771" spans="2:78">
      <c r="B5771" s="7"/>
      <c r="O5771" s="7"/>
      <c r="X5771" s="7"/>
      <c r="AG5771" s="7"/>
      <c r="AP5771" s="7"/>
      <c r="AY5771" s="7"/>
      <c r="BH5771" s="7"/>
      <c r="BQ5771" s="7"/>
      <c r="BZ5771" s="7"/>
    </row>
    <row r="5772" spans="2:78">
      <c r="B5772" s="7"/>
      <c r="O5772" s="7"/>
      <c r="X5772" s="7"/>
      <c r="AG5772" s="7"/>
      <c r="AP5772" s="7"/>
      <c r="AY5772" s="7"/>
      <c r="BH5772" s="7"/>
      <c r="BQ5772" s="7"/>
      <c r="BZ5772" s="7"/>
    </row>
    <row r="5773" spans="2:78">
      <c r="B5773" s="7"/>
      <c r="O5773" s="7"/>
      <c r="X5773" s="7"/>
      <c r="AG5773" s="7"/>
      <c r="AP5773" s="7"/>
      <c r="AY5773" s="7"/>
      <c r="BH5773" s="7"/>
      <c r="BQ5773" s="7"/>
      <c r="BZ5773" s="7"/>
    </row>
    <row r="5774" spans="2:78">
      <c r="B5774" s="7"/>
      <c r="O5774" s="7"/>
      <c r="X5774" s="7"/>
      <c r="AG5774" s="7"/>
      <c r="AP5774" s="7"/>
      <c r="AY5774" s="7"/>
      <c r="BH5774" s="7"/>
      <c r="BQ5774" s="7"/>
      <c r="BZ5774" s="7"/>
    </row>
    <row r="5775" spans="2:78">
      <c r="B5775" s="7"/>
      <c r="O5775" s="7"/>
      <c r="X5775" s="7"/>
      <c r="AG5775" s="7"/>
      <c r="AP5775" s="7"/>
      <c r="AY5775" s="7"/>
      <c r="BH5775" s="7"/>
      <c r="BQ5775" s="7"/>
      <c r="BZ5775" s="7"/>
    </row>
    <row r="5776" spans="2:78">
      <c r="B5776" s="7"/>
      <c r="O5776" s="7"/>
      <c r="X5776" s="7"/>
      <c r="AG5776" s="7"/>
      <c r="AP5776" s="7"/>
      <c r="AY5776" s="7"/>
      <c r="BH5776" s="7"/>
      <c r="BQ5776" s="7"/>
      <c r="BZ5776" s="7"/>
    </row>
    <row r="5777" spans="2:78">
      <c r="B5777" s="7"/>
      <c r="O5777" s="7"/>
      <c r="X5777" s="7"/>
      <c r="AG5777" s="7"/>
      <c r="AP5777" s="7"/>
      <c r="AY5777" s="7"/>
      <c r="BH5777" s="7"/>
      <c r="BQ5777" s="7"/>
      <c r="BZ5777" s="7"/>
    </row>
    <row r="5778" spans="2:78">
      <c r="B5778" s="7"/>
      <c r="O5778" s="7"/>
      <c r="X5778" s="7"/>
      <c r="AG5778" s="7"/>
      <c r="AP5778" s="7"/>
      <c r="AY5778" s="7"/>
      <c r="BH5778" s="7"/>
      <c r="BQ5778" s="7"/>
      <c r="BZ5778" s="7"/>
    </row>
    <row r="5779" spans="2:78">
      <c r="B5779" s="7"/>
      <c r="O5779" s="7"/>
      <c r="X5779" s="7"/>
      <c r="AG5779" s="7"/>
      <c r="AP5779" s="7"/>
      <c r="AY5779" s="7"/>
      <c r="BH5779" s="7"/>
      <c r="BQ5779" s="7"/>
      <c r="BZ5779" s="7"/>
    </row>
    <row r="5780" spans="2:78">
      <c r="B5780" s="7"/>
      <c r="O5780" s="7"/>
      <c r="X5780" s="7"/>
      <c r="AG5780" s="7"/>
      <c r="AP5780" s="7"/>
      <c r="AY5780" s="7"/>
      <c r="BH5780" s="7"/>
      <c r="BQ5780" s="7"/>
      <c r="BZ5780" s="7"/>
    </row>
    <row r="5781" spans="2:78">
      <c r="B5781" s="7"/>
      <c r="O5781" s="7"/>
      <c r="X5781" s="7"/>
      <c r="AG5781" s="7"/>
      <c r="AP5781" s="7"/>
      <c r="AY5781" s="7"/>
      <c r="BH5781" s="7"/>
      <c r="BQ5781" s="7"/>
      <c r="BZ5781" s="7"/>
    </row>
    <row r="5782" spans="2:78">
      <c r="B5782" s="7"/>
      <c r="O5782" s="7"/>
      <c r="X5782" s="7"/>
      <c r="AG5782" s="7"/>
      <c r="AP5782" s="7"/>
      <c r="AY5782" s="7"/>
      <c r="BH5782" s="7"/>
      <c r="BQ5782" s="7"/>
      <c r="BZ5782" s="7"/>
    </row>
    <row r="5783" spans="2:78">
      <c r="B5783" s="7"/>
      <c r="O5783" s="7"/>
      <c r="X5783" s="7"/>
      <c r="AG5783" s="7"/>
      <c r="AP5783" s="7"/>
      <c r="AY5783" s="7"/>
      <c r="BH5783" s="7"/>
      <c r="BQ5783" s="7"/>
      <c r="BZ5783" s="7"/>
    </row>
    <row r="5784" spans="2:78">
      <c r="B5784" s="7"/>
      <c r="O5784" s="7"/>
      <c r="X5784" s="7"/>
      <c r="AG5784" s="7"/>
      <c r="AP5784" s="7"/>
      <c r="AY5784" s="7"/>
      <c r="BH5784" s="7"/>
      <c r="BQ5784" s="7"/>
      <c r="BZ5784" s="7"/>
    </row>
    <row r="5785" spans="2:78">
      <c r="B5785" s="7"/>
      <c r="O5785" s="7"/>
      <c r="X5785" s="7"/>
      <c r="AG5785" s="7"/>
      <c r="AP5785" s="7"/>
      <c r="AY5785" s="7"/>
      <c r="BH5785" s="7"/>
      <c r="BQ5785" s="7"/>
      <c r="BZ5785" s="7"/>
    </row>
    <row r="5786" spans="2:78">
      <c r="B5786" s="7"/>
      <c r="O5786" s="7"/>
      <c r="X5786" s="7"/>
      <c r="AG5786" s="7"/>
      <c r="AP5786" s="7"/>
      <c r="AY5786" s="7"/>
      <c r="BH5786" s="7"/>
      <c r="BQ5786" s="7"/>
      <c r="BZ5786" s="7"/>
    </row>
    <row r="5787" spans="2:78">
      <c r="B5787" s="7"/>
      <c r="O5787" s="7"/>
      <c r="X5787" s="7"/>
      <c r="AG5787" s="7"/>
      <c r="AP5787" s="7"/>
      <c r="AY5787" s="7"/>
      <c r="BH5787" s="7"/>
      <c r="BQ5787" s="7"/>
      <c r="BZ5787" s="7"/>
    </row>
    <row r="5788" spans="2:78">
      <c r="B5788" s="7"/>
      <c r="O5788" s="7"/>
      <c r="X5788" s="7"/>
      <c r="AG5788" s="7"/>
      <c r="AP5788" s="7"/>
      <c r="AY5788" s="7"/>
      <c r="BH5788" s="7"/>
      <c r="BQ5788" s="7"/>
      <c r="BZ5788" s="7"/>
    </row>
    <row r="5789" spans="2:78">
      <c r="B5789" s="7"/>
      <c r="O5789" s="7"/>
      <c r="X5789" s="7"/>
      <c r="AG5789" s="7"/>
      <c r="AP5789" s="7"/>
      <c r="AY5789" s="7"/>
      <c r="BH5789" s="7"/>
      <c r="BQ5789" s="7"/>
      <c r="BZ5789" s="7"/>
    </row>
    <row r="5790" spans="2:78">
      <c r="B5790" s="7"/>
      <c r="O5790" s="7"/>
      <c r="X5790" s="7"/>
      <c r="AG5790" s="7"/>
      <c r="AP5790" s="7"/>
      <c r="AY5790" s="7"/>
      <c r="BH5790" s="7"/>
      <c r="BQ5790" s="7"/>
      <c r="BZ5790" s="7"/>
    </row>
    <row r="5791" spans="2:78">
      <c r="B5791" s="7"/>
      <c r="O5791" s="7"/>
      <c r="X5791" s="7"/>
      <c r="AG5791" s="7"/>
      <c r="AP5791" s="7"/>
      <c r="AY5791" s="7"/>
      <c r="BH5791" s="7"/>
      <c r="BQ5791" s="7"/>
      <c r="BZ5791" s="7"/>
    </row>
    <row r="5792" spans="2:78">
      <c r="B5792" s="7"/>
      <c r="O5792" s="7"/>
      <c r="X5792" s="7"/>
      <c r="AG5792" s="7"/>
      <c r="AP5792" s="7"/>
      <c r="AY5792" s="7"/>
      <c r="BH5792" s="7"/>
      <c r="BQ5792" s="7"/>
      <c r="BZ5792" s="7"/>
    </row>
    <row r="5793" spans="2:78">
      <c r="B5793" s="7"/>
      <c r="O5793" s="7"/>
      <c r="X5793" s="7"/>
      <c r="AG5793" s="7"/>
      <c r="AP5793" s="7"/>
      <c r="AY5793" s="7"/>
      <c r="BH5793" s="7"/>
      <c r="BQ5793" s="7"/>
      <c r="BZ5793" s="7"/>
    </row>
    <row r="5794" spans="2:78">
      <c r="B5794" s="7"/>
      <c r="O5794" s="7"/>
      <c r="X5794" s="7"/>
      <c r="AG5794" s="7"/>
      <c r="AP5794" s="7"/>
      <c r="AY5794" s="7"/>
      <c r="BH5794" s="7"/>
      <c r="BQ5794" s="7"/>
      <c r="BZ5794" s="7"/>
    </row>
    <row r="5795" spans="2:78">
      <c r="B5795" s="7"/>
      <c r="O5795" s="7"/>
      <c r="X5795" s="7"/>
      <c r="AG5795" s="7"/>
      <c r="AP5795" s="7"/>
      <c r="AY5795" s="7"/>
      <c r="BH5795" s="7"/>
      <c r="BQ5795" s="7"/>
      <c r="BZ5795" s="7"/>
    </row>
    <row r="5796" spans="2:78">
      <c r="B5796" s="7"/>
      <c r="O5796" s="7"/>
      <c r="X5796" s="7"/>
      <c r="AG5796" s="7"/>
      <c r="AP5796" s="7"/>
      <c r="AY5796" s="7"/>
      <c r="BH5796" s="7"/>
      <c r="BQ5796" s="7"/>
      <c r="BZ5796" s="7"/>
    </row>
    <row r="5797" spans="2:78">
      <c r="B5797" s="7"/>
      <c r="O5797" s="7"/>
      <c r="X5797" s="7"/>
      <c r="AG5797" s="7"/>
      <c r="AP5797" s="7"/>
      <c r="AY5797" s="7"/>
      <c r="BH5797" s="7"/>
      <c r="BQ5797" s="7"/>
      <c r="BZ5797" s="7"/>
    </row>
    <row r="5798" spans="2:78">
      <c r="B5798" s="7"/>
      <c r="O5798" s="7"/>
      <c r="X5798" s="7"/>
      <c r="AG5798" s="7"/>
      <c r="AP5798" s="7"/>
      <c r="AY5798" s="7"/>
      <c r="BH5798" s="7"/>
      <c r="BQ5798" s="7"/>
      <c r="BZ5798" s="7"/>
    </row>
    <row r="5799" spans="2:78">
      <c r="B5799" s="7"/>
      <c r="O5799" s="7"/>
      <c r="X5799" s="7"/>
      <c r="AG5799" s="7"/>
      <c r="AP5799" s="7"/>
      <c r="AY5799" s="7"/>
      <c r="BH5799" s="7"/>
      <c r="BQ5799" s="7"/>
      <c r="BZ5799" s="7"/>
    </row>
    <row r="5800" spans="2:78">
      <c r="B5800" s="7"/>
      <c r="O5800" s="7"/>
      <c r="X5800" s="7"/>
      <c r="AG5800" s="7"/>
      <c r="AP5800" s="7"/>
      <c r="AY5800" s="7"/>
      <c r="BH5800" s="7"/>
      <c r="BQ5800" s="7"/>
      <c r="BZ5800" s="7"/>
    </row>
    <row r="5801" spans="2:78">
      <c r="B5801" s="7"/>
      <c r="O5801" s="7"/>
      <c r="X5801" s="7"/>
      <c r="AG5801" s="7"/>
      <c r="AP5801" s="7"/>
      <c r="AY5801" s="7"/>
      <c r="BH5801" s="7"/>
      <c r="BQ5801" s="7"/>
      <c r="BZ5801" s="7"/>
    </row>
    <row r="5802" spans="2:78">
      <c r="B5802" s="7"/>
      <c r="O5802" s="7"/>
      <c r="X5802" s="7"/>
      <c r="AG5802" s="7"/>
      <c r="AP5802" s="7"/>
      <c r="AY5802" s="7"/>
      <c r="BH5802" s="7"/>
      <c r="BQ5802" s="7"/>
      <c r="BZ5802" s="7"/>
    </row>
    <row r="5803" spans="2:78">
      <c r="B5803" s="7"/>
      <c r="O5803" s="7"/>
      <c r="X5803" s="7"/>
      <c r="AG5803" s="7"/>
      <c r="AP5803" s="7"/>
      <c r="AY5803" s="7"/>
      <c r="BH5803" s="7"/>
      <c r="BQ5803" s="7"/>
      <c r="BZ5803" s="7"/>
    </row>
    <row r="5804" spans="2:78">
      <c r="B5804" s="7"/>
      <c r="O5804" s="7"/>
      <c r="X5804" s="7"/>
      <c r="AG5804" s="7"/>
      <c r="AP5804" s="7"/>
      <c r="AY5804" s="7"/>
      <c r="BH5804" s="7"/>
      <c r="BQ5804" s="7"/>
      <c r="BZ5804" s="7"/>
    </row>
    <row r="5805" spans="2:78">
      <c r="B5805" s="7"/>
      <c r="O5805" s="7"/>
      <c r="X5805" s="7"/>
      <c r="AG5805" s="7"/>
      <c r="AP5805" s="7"/>
      <c r="AY5805" s="7"/>
      <c r="BH5805" s="7"/>
      <c r="BQ5805" s="7"/>
      <c r="BZ5805" s="7"/>
    </row>
    <row r="5806" spans="2:78">
      <c r="B5806" s="7"/>
      <c r="O5806" s="7"/>
      <c r="X5806" s="7"/>
      <c r="AG5806" s="7"/>
      <c r="AP5806" s="7"/>
      <c r="AY5806" s="7"/>
      <c r="BH5806" s="7"/>
      <c r="BQ5806" s="7"/>
      <c r="BZ5806" s="7"/>
    </row>
    <row r="5807" spans="2:78">
      <c r="B5807" s="7"/>
      <c r="O5807" s="7"/>
      <c r="X5807" s="7"/>
      <c r="AG5807" s="7"/>
      <c r="AP5807" s="7"/>
      <c r="AY5807" s="7"/>
      <c r="BH5807" s="7"/>
      <c r="BQ5807" s="7"/>
      <c r="BZ5807" s="7"/>
    </row>
    <row r="5808" spans="2:78">
      <c r="B5808" s="7"/>
      <c r="O5808" s="7"/>
      <c r="X5808" s="7"/>
      <c r="AG5808" s="7"/>
      <c r="AP5808" s="7"/>
      <c r="AY5808" s="7"/>
      <c r="BH5808" s="7"/>
      <c r="BQ5808" s="7"/>
      <c r="BZ5808" s="7"/>
    </row>
    <row r="5809" spans="2:78">
      <c r="B5809" s="7"/>
      <c r="O5809" s="7"/>
      <c r="X5809" s="7"/>
      <c r="AG5809" s="7"/>
      <c r="AP5809" s="7"/>
      <c r="AY5809" s="7"/>
      <c r="BH5809" s="7"/>
      <c r="BQ5809" s="7"/>
      <c r="BZ5809" s="7"/>
    </row>
    <row r="5810" spans="2:78">
      <c r="B5810" s="7"/>
      <c r="O5810" s="7"/>
      <c r="X5810" s="7"/>
      <c r="AG5810" s="7"/>
      <c r="AP5810" s="7"/>
      <c r="AY5810" s="7"/>
      <c r="BH5810" s="7"/>
      <c r="BQ5810" s="7"/>
      <c r="BZ5810" s="7"/>
    </row>
    <row r="5811" spans="2:78">
      <c r="B5811" s="7"/>
      <c r="O5811" s="7"/>
      <c r="X5811" s="7"/>
      <c r="AG5811" s="7"/>
      <c r="AP5811" s="7"/>
      <c r="AY5811" s="7"/>
      <c r="BH5811" s="7"/>
      <c r="BQ5811" s="7"/>
      <c r="BZ5811" s="7"/>
    </row>
    <row r="5812" spans="2:78">
      <c r="B5812" s="7"/>
      <c r="O5812" s="7"/>
      <c r="X5812" s="7"/>
      <c r="AG5812" s="7"/>
      <c r="AP5812" s="7"/>
      <c r="AY5812" s="7"/>
      <c r="BH5812" s="7"/>
      <c r="BQ5812" s="7"/>
      <c r="BZ5812" s="7"/>
    </row>
    <row r="5813" spans="2:78">
      <c r="B5813" s="7"/>
      <c r="O5813" s="7"/>
      <c r="X5813" s="7"/>
      <c r="AG5813" s="7"/>
      <c r="AP5813" s="7"/>
      <c r="AY5813" s="7"/>
      <c r="BH5813" s="7"/>
      <c r="BQ5813" s="7"/>
      <c r="BZ5813" s="7"/>
    </row>
    <row r="5814" spans="2:78">
      <c r="B5814" s="7"/>
      <c r="O5814" s="7"/>
      <c r="X5814" s="7"/>
      <c r="AG5814" s="7"/>
      <c r="AP5814" s="7"/>
      <c r="AY5814" s="7"/>
      <c r="BH5814" s="7"/>
      <c r="BQ5814" s="7"/>
      <c r="BZ5814" s="7"/>
    </row>
    <row r="5815" spans="2:78">
      <c r="B5815" s="7"/>
      <c r="O5815" s="7"/>
      <c r="X5815" s="7"/>
      <c r="AG5815" s="7"/>
      <c r="AP5815" s="7"/>
      <c r="AY5815" s="7"/>
      <c r="BH5815" s="7"/>
      <c r="BQ5815" s="7"/>
      <c r="BZ5815" s="7"/>
    </row>
    <row r="5816" spans="2:78">
      <c r="B5816" s="7"/>
      <c r="O5816" s="7"/>
      <c r="X5816" s="7"/>
      <c r="AG5816" s="7"/>
      <c r="AP5816" s="7"/>
      <c r="AY5816" s="7"/>
      <c r="BH5816" s="7"/>
      <c r="BQ5816" s="7"/>
      <c r="BZ5816" s="7"/>
    </row>
    <row r="5817" spans="2:78">
      <c r="B5817" s="7"/>
      <c r="O5817" s="7"/>
      <c r="X5817" s="7"/>
      <c r="AG5817" s="7"/>
      <c r="AP5817" s="7"/>
      <c r="AY5817" s="7"/>
      <c r="BH5817" s="7"/>
      <c r="BQ5817" s="7"/>
      <c r="BZ5817" s="7"/>
    </row>
    <row r="5818" spans="2:78">
      <c r="B5818" s="7"/>
      <c r="O5818" s="7"/>
      <c r="X5818" s="7"/>
      <c r="AG5818" s="7"/>
      <c r="AP5818" s="7"/>
      <c r="AY5818" s="7"/>
      <c r="BH5818" s="7"/>
      <c r="BQ5818" s="7"/>
      <c r="BZ5818" s="7"/>
    </row>
    <row r="5819" spans="2:78">
      <c r="B5819" s="7"/>
      <c r="O5819" s="7"/>
      <c r="X5819" s="7"/>
      <c r="AG5819" s="7"/>
      <c r="AP5819" s="7"/>
      <c r="AY5819" s="7"/>
      <c r="BH5819" s="7"/>
      <c r="BQ5819" s="7"/>
      <c r="BZ5819" s="7"/>
    </row>
    <row r="5820" spans="2:78">
      <c r="B5820" s="7"/>
      <c r="O5820" s="7"/>
      <c r="X5820" s="7"/>
      <c r="AG5820" s="7"/>
      <c r="AP5820" s="7"/>
      <c r="AY5820" s="7"/>
      <c r="BH5820" s="7"/>
      <c r="BQ5820" s="7"/>
      <c r="BZ5820" s="7"/>
    </row>
    <row r="5821" spans="2:78">
      <c r="B5821" s="7"/>
      <c r="O5821" s="7"/>
      <c r="X5821" s="7"/>
      <c r="AG5821" s="7"/>
      <c r="AP5821" s="7"/>
      <c r="AY5821" s="7"/>
      <c r="BH5821" s="7"/>
      <c r="BQ5821" s="7"/>
      <c r="BZ5821" s="7"/>
    </row>
    <row r="5822" spans="2:78">
      <c r="B5822" s="7"/>
      <c r="O5822" s="7"/>
      <c r="X5822" s="7"/>
      <c r="AG5822" s="7"/>
      <c r="AP5822" s="7"/>
      <c r="AY5822" s="7"/>
      <c r="BH5822" s="7"/>
      <c r="BQ5822" s="7"/>
      <c r="BZ5822" s="7"/>
    </row>
    <row r="5823" spans="2:78">
      <c r="B5823" s="7"/>
      <c r="O5823" s="7"/>
      <c r="X5823" s="7"/>
      <c r="AG5823" s="7"/>
      <c r="AP5823" s="7"/>
      <c r="AY5823" s="7"/>
      <c r="BH5823" s="7"/>
      <c r="BQ5823" s="7"/>
      <c r="BZ5823" s="7"/>
    </row>
    <row r="5824" spans="2:78">
      <c r="B5824" s="7"/>
      <c r="O5824" s="7"/>
      <c r="X5824" s="7"/>
      <c r="AG5824" s="7"/>
      <c r="AP5824" s="7"/>
      <c r="AY5824" s="7"/>
      <c r="BH5824" s="7"/>
      <c r="BQ5824" s="7"/>
      <c r="BZ5824" s="7"/>
    </row>
    <row r="5825" spans="2:78">
      <c r="B5825" s="7"/>
      <c r="O5825" s="7"/>
      <c r="X5825" s="7"/>
      <c r="AG5825" s="7"/>
      <c r="AP5825" s="7"/>
      <c r="AY5825" s="7"/>
      <c r="BH5825" s="7"/>
      <c r="BQ5825" s="7"/>
      <c r="BZ5825" s="7"/>
    </row>
    <row r="5826" spans="2:78">
      <c r="B5826" s="7"/>
      <c r="O5826" s="7"/>
      <c r="X5826" s="7"/>
      <c r="AG5826" s="7"/>
      <c r="AP5826" s="7"/>
      <c r="AY5826" s="7"/>
      <c r="BH5826" s="7"/>
      <c r="BQ5826" s="7"/>
      <c r="BZ5826" s="7"/>
    </row>
    <row r="5827" spans="2:78">
      <c r="B5827" s="7"/>
      <c r="O5827" s="7"/>
      <c r="X5827" s="7"/>
      <c r="AG5827" s="7"/>
      <c r="AP5827" s="7"/>
      <c r="AY5827" s="7"/>
      <c r="BH5827" s="7"/>
      <c r="BQ5827" s="7"/>
      <c r="BZ5827" s="7"/>
    </row>
    <row r="5828" spans="2:78">
      <c r="B5828" s="7"/>
      <c r="O5828" s="7"/>
      <c r="X5828" s="7"/>
      <c r="AG5828" s="7"/>
      <c r="AP5828" s="7"/>
      <c r="AY5828" s="7"/>
      <c r="BH5828" s="7"/>
      <c r="BQ5828" s="7"/>
      <c r="BZ5828" s="7"/>
    </row>
    <row r="5829" spans="2:78">
      <c r="B5829" s="7"/>
      <c r="O5829" s="7"/>
      <c r="X5829" s="7"/>
      <c r="AG5829" s="7"/>
      <c r="AP5829" s="7"/>
      <c r="AY5829" s="7"/>
      <c r="BH5829" s="7"/>
      <c r="BQ5829" s="7"/>
      <c r="BZ5829" s="7"/>
    </row>
    <row r="5830" spans="2:78">
      <c r="B5830" s="7"/>
      <c r="O5830" s="7"/>
      <c r="X5830" s="7"/>
      <c r="AG5830" s="7"/>
      <c r="AP5830" s="7"/>
      <c r="AY5830" s="7"/>
      <c r="BH5830" s="7"/>
      <c r="BQ5830" s="7"/>
      <c r="BZ5830" s="7"/>
    </row>
    <row r="5831" spans="2:78">
      <c r="B5831" s="7"/>
      <c r="O5831" s="7"/>
      <c r="X5831" s="7"/>
      <c r="AG5831" s="7"/>
      <c r="AP5831" s="7"/>
      <c r="AY5831" s="7"/>
      <c r="BH5831" s="7"/>
      <c r="BQ5831" s="7"/>
      <c r="BZ5831" s="7"/>
    </row>
    <row r="5832" spans="2:78">
      <c r="B5832" s="7"/>
      <c r="O5832" s="7"/>
      <c r="X5832" s="7"/>
      <c r="AG5832" s="7"/>
      <c r="AP5832" s="7"/>
      <c r="AY5832" s="7"/>
      <c r="BH5832" s="7"/>
      <c r="BQ5832" s="7"/>
      <c r="BZ5832" s="7"/>
    </row>
    <row r="5833" spans="2:78">
      <c r="B5833" s="7"/>
      <c r="O5833" s="7"/>
      <c r="X5833" s="7"/>
      <c r="AG5833" s="7"/>
      <c r="AP5833" s="7"/>
      <c r="AY5833" s="7"/>
      <c r="BH5833" s="7"/>
      <c r="BQ5833" s="7"/>
      <c r="BZ5833" s="7"/>
    </row>
    <row r="5834" spans="2:78">
      <c r="B5834" s="7"/>
      <c r="O5834" s="7"/>
      <c r="X5834" s="7"/>
      <c r="AG5834" s="7"/>
      <c r="AP5834" s="7"/>
      <c r="AY5834" s="7"/>
      <c r="BH5834" s="7"/>
      <c r="BQ5834" s="7"/>
      <c r="BZ5834" s="7"/>
    </row>
    <row r="5835" spans="2:78">
      <c r="B5835" s="7"/>
      <c r="O5835" s="7"/>
      <c r="X5835" s="7"/>
      <c r="AG5835" s="7"/>
      <c r="AP5835" s="7"/>
      <c r="AY5835" s="7"/>
      <c r="BH5835" s="7"/>
      <c r="BQ5835" s="7"/>
      <c r="BZ5835" s="7"/>
    </row>
    <row r="5836" spans="2:78">
      <c r="B5836" s="7"/>
      <c r="O5836" s="7"/>
      <c r="X5836" s="7"/>
      <c r="AG5836" s="7"/>
      <c r="AP5836" s="7"/>
      <c r="AY5836" s="7"/>
      <c r="BH5836" s="7"/>
      <c r="BQ5836" s="7"/>
      <c r="BZ5836" s="7"/>
    </row>
    <row r="5837" spans="2:78">
      <c r="B5837" s="7"/>
      <c r="O5837" s="7"/>
      <c r="X5837" s="7"/>
      <c r="AG5837" s="7"/>
      <c r="AP5837" s="7"/>
      <c r="AY5837" s="7"/>
      <c r="BH5837" s="7"/>
      <c r="BQ5837" s="7"/>
      <c r="BZ5837" s="7"/>
    </row>
    <row r="5838" spans="2:78">
      <c r="B5838" s="7"/>
      <c r="O5838" s="7"/>
      <c r="X5838" s="7"/>
      <c r="AG5838" s="7"/>
      <c r="AP5838" s="7"/>
      <c r="AY5838" s="7"/>
      <c r="BH5838" s="7"/>
      <c r="BQ5838" s="7"/>
      <c r="BZ5838" s="7"/>
    </row>
    <row r="5839" spans="2:78">
      <c r="B5839" s="7"/>
      <c r="O5839" s="7"/>
      <c r="X5839" s="7"/>
      <c r="AG5839" s="7"/>
      <c r="AP5839" s="7"/>
      <c r="AY5839" s="7"/>
      <c r="BH5839" s="7"/>
      <c r="BQ5839" s="7"/>
      <c r="BZ5839" s="7"/>
    </row>
    <row r="5840" spans="2:78">
      <c r="B5840" s="7"/>
      <c r="O5840" s="7"/>
      <c r="X5840" s="7"/>
      <c r="AG5840" s="7"/>
      <c r="AP5840" s="7"/>
      <c r="AY5840" s="7"/>
      <c r="BH5840" s="7"/>
      <c r="BQ5840" s="7"/>
      <c r="BZ5840" s="7"/>
    </row>
    <row r="5841" spans="2:78">
      <c r="B5841" s="7"/>
      <c r="O5841" s="7"/>
      <c r="X5841" s="7"/>
      <c r="AG5841" s="7"/>
      <c r="AP5841" s="7"/>
      <c r="AY5841" s="7"/>
      <c r="BH5841" s="7"/>
      <c r="BQ5841" s="7"/>
      <c r="BZ5841" s="7"/>
    </row>
    <row r="5842" spans="2:78">
      <c r="B5842" s="7"/>
      <c r="O5842" s="7"/>
      <c r="X5842" s="7"/>
      <c r="AG5842" s="7"/>
      <c r="AP5842" s="7"/>
      <c r="AY5842" s="7"/>
      <c r="BH5842" s="7"/>
      <c r="BQ5842" s="7"/>
      <c r="BZ5842" s="7"/>
    </row>
    <row r="5843" spans="2:78">
      <c r="B5843" s="7"/>
      <c r="O5843" s="7"/>
      <c r="X5843" s="7"/>
      <c r="AG5843" s="7"/>
      <c r="AP5843" s="7"/>
      <c r="AY5843" s="7"/>
      <c r="BH5843" s="7"/>
      <c r="BQ5843" s="7"/>
      <c r="BZ5843" s="7"/>
    </row>
    <row r="5844" spans="2:78">
      <c r="B5844" s="7"/>
      <c r="O5844" s="7"/>
      <c r="X5844" s="7"/>
      <c r="AG5844" s="7"/>
      <c r="AP5844" s="7"/>
      <c r="AY5844" s="7"/>
      <c r="BH5844" s="7"/>
      <c r="BQ5844" s="7"/>
      <c r="BZ5844" s="7"/>
    </row>
    <row r="5845" spans="2:78">
      <c r="B5845" s="7"/>
      <c r="O5845" s="7"/>
      <c r="X5845" s="7"/>
      <c r="AG5845" s="7"/>
      <c r="AP5845" s="7"/>
      <c r="AY5845" s="7"/>
      <c r="BH5845" s="7"/>
      <c r="BQ5845" s="7"/>
      <c r="BZ5845" s="7"/>
    </row>
    <row r="5846" spans="2:78">
      <c r="B5846" s="7"/>
      <c r="O5846" s="7"/>
      <c r="X5846" s="7"/>
      <c r="AG5846" s="7"/>
      <c r="AP5846" s="7"/>
      <c r="AY5846" s="7"/>
      <c r="BH5846" s="7"/>
      <c r="BQ5846" s="7"/>
      <c r="BZ5846" s="7"/>
    </row>
    <row r="5847" spans="2:78">
      <c r="B5847" s="7"/>
      <c r="O5847" s="7"/>
      <c r="X5847" s="7"/>
      <c r="AG5847" s="7"/>
      <c r="AP5847" s="7"/>
      <c r="AY5847" s="7"/>
      <c r="BH5847" s="7"/>
      <c r="BQ5847" s="7"/>
      <c r="BZ5847" s="7"/>
    </row>
    <row r="5848" spans="2:78">
      <c r="B5848" s="7"/>
      <c r="O5848" s="7"/>
      <c r="X5848" s="7"/>
      <c r="AG5848" s="7"/>
      <c r="AP5848" s="7"/>
      <c r="AY5848" s="7"/>
      <c r="BH5848" s="7"/>
      <c r="BQ5848" s="7"/>
      <c r="BZ5848" s="7"/>
    </row>
    <row r="5849" spans="2:78">
      <c r="B5849" s="7"/>
      <c r="O5849" s="7"/>
      <c r="X5849" s="7"/>
      <c r="AG5849" s="7"/>
      <c r="AP5849" s="7"/>
      <c r="AY5849" s="7"/>
      <c r="BH5849" s="7"/>
      <c r="BQ5849" s="7"/>
      <c r="BZ5849" s="7"/>
    </row>
    <row r="5850" spans="2:78">
      <c r="B5850" s="7"/>
      <c r="O5850" s="7"/>
      <c r="X5850" s="7"/>
      <c r="AG5850" s="7"/>
      <c r="AP5850" s="7"/>
      <c r="AY5850" s="7"/>
      <c r="BH5850" s="7"/>
      <c r="BQ5850" s="7"/>
      <c r="BZ5850" s="7"/>
    </row>
    <row r="5851" spans="2:78">
      <c r="B5851" s="7"/>
      <c r="O5851" s="7"/>
      <c r="X5851" s="7"/>
      <c r="AG5851" s="7"/>
      <c r="AP5851" s="7"/>
      <c r="AY5851" s="7"/>
      <c r="BH5851" s="7"/>
      <c r="BQ5851" s="7"/>
      <c r="BZ5851" s="7"/>
    </row>
    <row r="5852" spans="2:78">
      <c r="B5852" s="7"/>
      <c r="O5852" s="7"/>
      <c r="X5852" s="7"/>
      <c r="AG5852" s="7"/>
      <c r="AP5852" s="7"/>
      <c r="AY5852" s="7"/>
      <c r="BH5852" s="7"/>
      <c r="BQ5852" s="7"/>
      <c r="BZ5852" s="7"/>
    </row>
    <row r="5853" spans="2:78">
      <c r="B5853" s="7"/>
      <c r="O5853" s="7"/>
      <c r="X5853" s="7"/>
      <c r="AG5853" s="7"/>
      <c r="AP5853" s="7"/>
      <c r="AY5853" s="7"/>
      <c r="BH5853" s="7"/>
      <c r="BQ5853" s="7"/>
      <c r="BZ5853" s="7"/>
    </row>
    <row r="5854" spans="2:78">
      <c r="B5854" s="7"/>
      <c r="O5854" s="7"/>
      <c r="X5854" s="7"/>
      <c r="AG5854" s="7"/>
      <c r="AP5854" s="7"/>
      <c r="AY5854" s="7"/>
      <c r="BH5854" s="7"/>
      <c r="BQ5854" s="7"/>
      <c r="BZ5854" s="7"/>
    </row>
    <row r="5855" spans="2:78">
      <c r="B5855" s="7"/>
      <c r="O5855" s="7"/>
      <c r="X5855" s="7"/>
      <c r="AG5855" s="7"/>
      <c r="AP5855" s="7"/>
      <c r="AY5855" s="7"/>
      <c r="BH5855" s="7"/>
      <c r="BQ5855" s="7"/>
      <c r="BZ5855" s="7"/>
    </row>
    <row r="5856" spans="2:78">
      <c r="B5856" s="7"/>
      <c r="O5856" s="7"/>
      <c r="X5856" s="7"/>
      <c r="AG5856" s="7"/>
      <c r="AP5856" s="7"/>
      <c r="AY5856" s="7"/>
      <c r="BH5856" s="7"/>
      <c r="BQ5856" s="7"/>
      <c r="BZ5856" s="7"/>
    </row>
    <row r="5857" spans="2:78">
      <c r="B5857" s="7"/>
      <c r="O5857" s="7"/>
      <c r="X5857" s="7"/>
      <c r="AG5857" s="7"/>
      <c r="AP5857" s="7"/>
      <c r="AY5857" s="7"/>
      <c r="BH5857" s="7"/>
      <c r="BQ5857" s="7"/>
      <c r="BZ5857" s="7"/>
    </row>
    <row r="5858" spans="2:78">
      <c r="B5858" s="7"/>
      <c r="O5858" s="7"/>
      <c r="X5858" s="7"/>
      <c r="AG5858" s="7"/>
      <c r="AP5858" s="7"/>
      <c r="AY5858" s="7"/>
      <c r="BH5858" s="7"/>
      <c r="BQ5858" s="7"/>
      <c r="BZ5858" s="7"/>
    </row>
    <row r="5859" spans="2:78">
      <c r="B5859" s="7"/>
      <c r="O5859" s="7"/>
      <c r="X5859" s="7"/>
      <c r="AG5859" s="7"/>
      <c r="AP5859" s="7"/>
      <c r="AY5859" s="7"/>
      <c r="BH5859" s="7"/>
      <c r="BQ5859" s="7"/>
      <c r="BZ5859" s="7"/>
    </row>
    <row r="5860" spans="2:78">
      <c r="B5860" s="7"/>
      <c r="O5860" s="7"/>
      <c r="X5860" s="7"/>
      <c r="AG5860" s="7"/>
      <c r="AP5860" s="7"/>
      <c r="AY5860" s="7"/>
      <c r="BH5860" s="7"/>
      <c r="BQ5860" s="7"/>
      <c r="BZ5860" s="7"/>
    </row>
    <row r="5861" spans="2:78">
      <c r="B5861" s="7"/>
      <c r="O5861" s="7"/>
      <c r="X5861" s="7"/>
      <c r="AG5861" s="7"/>
      <c r="AP5861" s="7"/>
      <c r="AY5861" s="7"/>
      <c r="BH5861" s="7"/>
      <c r="BQ5861" s="7"/>
      <c r="BZ5861" s="7"/>
    </row>
    <row r="5862" spans="2:78">
      <c r="B5862" s="7"/>
      <c r="O5862" s="7"/>
      <c r="X5862" s="7"/>
      <c r="AG5862" s="7"/>
      <c r="AP5862" s="7"/>
      <c r="AY5862" s="7"/>
      <c r="BH5862" s="7"/>
      <c r="BQ5862" s="7"/>
      <c r="BZ5862" s="7"/>
    </row>
    <row r="5863" spans="2:78">
      <c r="B5863" s="7"/>
      <c r="O5863" s="7"/>
      <c r="X5863" s="7"/>
      <c r="AG5863" s="7"/>
      <c r="AP5863" s="7"/>
      <c r="AY5863" s="7"/>
      <c r="BH5863" s="7"/>
      <c r="BQ5863" s="7"/>
      <c r="BZ5863" s="7"/>
    </row>
    <row r="5864" spans="2:78">
      <c r="B5864" s="7"/>
      <c r="O5864" s="7"/>
      <c r="X5864" s="7"/>
      <c r="AG5864" s="7"/>
      <c r="AP5864" s="7"/>
      <c r="AY5864" s="7"/>
      <c r="BH5864" s="7"/>
      <c r="BQ5864" s="7"/>
      <c r="BZ5864" s="7"/>
    </row>
    <row r="5865" spans="2:78">
      <c r="B5865" s="7"/>
      <c r="O5865" s="7"/>
      <c r="X5865" s="7"/>
      <c r="AG5865" s="7"/>
      <c r="AP5865" s="7"/>
      <c r="AY5865" s="7"/>
      <c r="BH5865" s="7"/>
      <c r="BQ5865" s="7"/>
      <c r="BZ5865" s="7"/>
    </row>
    <row r="5866" spans="2:78">
      <c r="B5866" s="7"/>
      <c r="O5866" s="7"/>
      <c r="X5866" s="7"/>
      <c r="AG5866" s="7"/>
      <c r="AP5866" s="7"/>
      <c r="AY5866" s="7"/>
      <c r="BH5866" s="7"/>
      <c r="BQ5866" s="7"/>
      <c r="BZ5866" s="7"/>
    </row>
    <row r="5867" spans="2:78">
      <c r="B5867" s="7"/>
      <c r="O5867" s="7"/>
      <c r="X5867" s="7"/>
      <c r="AG5867" s="7"/>
      <c r="AP5867" s="7"/>
      <c r="AY5867" s="7"/>
      <c r="BH5867" s="7"/>
      <c r="BQ5867" s="7"/>
      <c r="BZ5867" s="7"/>
    </row>
    <row r="5868" spans="2:78">
      <c r="B5868" s="7"/>
      <c r="O5868" s="7"/>
      <c r="X5868" s="7"/>
      <c r="AG5868" s="7"/>
      <c r="AP5868" s="7"/>
      <c r="AY5868" s="7"/>
      <c r="BH5868" s="7"/>
      <c r="BQ5868" s="7"/>
      <c r="BZ5868" s="7"/>
    </row>
    <row r="5869" spans="2:78">
      <c r="B5869" s="7"/>
      <c r="O5869" s="7"/>
      <c r="X5869" s="7"/>
      <c r="AG5869" s="7"/>
      <c r="AP5869" s="7"/>
      <c r="AY5869" s="7"/>
      <c r="BH5869" s="7"/>
      <c r="BQ5869" s="7"/>
      <c r="BZ5869" s="7"/>
    </row>
    <row r="5870" spans="2:78">
      <c r="B5870" s="7"/>
      <c r="O5870" s="7"/>
      <c r="X5870" s="7"/>
      <c r="AG5870" s="7"/>
      <c r="AP5870" s="7"/>
      <c r="AY5870" s="7"/>
      <c r="BH5870" s="7"/>
      <c r="BQ5870" s="7"/>
      <c r="BZ5870" s="7"/>
    </row>
    <row r="5871" spans="2:78">
      <c r="B5871" s="7"/>
      <c r="O5871" s="7"/>
      <c r="X5871" s="7"/>
      <c r="AG5871" s="7"/>
      <c r="AP5871" s="7"/>
      <c r="AY5871" s="7"/>
      <c r="BH5871" s="7"/>
      <c r="BQ5871" s="7"/>
      <c r="BZ5871" s="7"/>
    </row>
    <row r="5872" spans="2:78">
      <c r="B5872" s="7"/>
      <c r="O5872" s="7"/>
      <c r="X5872" s="7"/>
      <c r="AG5872" s="7"/>
      <c r="AP5872" s="7"/>
      <c r="AY5872" s="7"/>
      <c r="BH5872" s="7"/>
      <c r="BQ5872" s="7"/>
      <c r="BZ5872" s="7"/>
    </row>
    <row r="5873" spans="2:78">
      <c r="B5873" s="7"/>
      <c r="O5873" s="7"/>
      <c r="X5873" s="7"/>
      <c r="AG5873" s="7"/>
      <c r="AP5873" s="7"/>
      <c r="AY5873" s="7"/>
      <c r="BH5873" s="7"/>
      <c r="BQ5873" s="7"/>
      <c r="BZ5873" s="7"/>
    </row>
    <row r="5874" spans="2:78">
      <c r="B5874" s="7"/>
      <c r="O5874" s="7"/>
      <c r="X5874" s="7"/>
      <c r="AG5874" s="7"/>
      <c r="AP5874" s="7"/>
      <c r="AY5874" s="7"/>
      <c r="BH5874" s="7"/>
      <c r="BQ5874" s="7"/>
      <c r="BZ5874" s="7"/>
    </row>
    <row r="5875" spans="2:78">
      <c r="B5875" s="7"/>
      <c r="O5875" s="7"/>
      <c r="X5875" s="7"/>
      <c r="AG5875" s="7"/>
      <c r="AP5875" s="7"/>
      <c r="AY5875" s="7"/>
      <c r="BH5875" s="7"/>
      <c r="BQ5875" s="7"/>
      <c r="BZ5875" s="7"/>
    </row>
    <row r="5876" spans="2:78">
      <c r="B5876" s="7"/>
      <c r="O5876" s="7"/>
      <c r="X5876" s="7"/>
      <c r="AG5876" s="7"/>
      <c r="AP5876" s="7"/>
      <c r="AY5876" s="7"/>
      <c r="BH5876" s="7"/>
      <c r="BQ5876" s="7"/>
      <c r="BZ5876" s="7"/>
    </row>
    <row r="5877" spans="2:78">
      <c r="B5877" s="7"/>
      <c r="O5877" s="7"/>
      <c r="X5877" s="7"/>
      <c r="AG5877" s="7"/>
      <c r="AP5877" s="7"/>
      <c r="AY5877" s="7"/>
      <c r="BH5877" s="7"/>
      <c r="BQ5877" s="7"/>
      <c r="BZ5877" s="7"/>
    </row>
    <row r="5878" spans="2:78">
      <c r="B5878" s="7"/>
      <c r="O5878" s="7"/>
      <c r="X5878" s="7"/>
      <c r="AG5878" s="7"/>
      <c r="AP5878" s="7"/>
      <c r="AY5878" s="7"/>
      <c r="BH5878" s="7"/>
      <c r="BQ5878" s="7"/>
      <c r="BZ5878" s="7"/>
    </row>
    <row r="5879" spans="2:78">
      <c r="B5879" s="7"/>
      <c r="O5879" s="7"/>
      <c r="X5879" s="7"/>
      <c r="AG5879" s="7"/>
      <c r="AP5879" s="7"/>
      <c r="AY5879" s="7"/>
      <c r="BH5879" s="7"/>
      <c r="BQ5879" s="7"/>
      <c r="BZ5879" s="7"/>
    </row>
    <row r="5880" spans="2:78">
      <c r="B5880" s="7"/>
      <c r="O5880" s="7"/>
      <c r="X5880" s="7"/>
      <c r="AG5880" s="7"/>
      <c r="AP5880" s="7"/>
      <c r="AY5880" s="7"/>
      <c r="BH5880" s="7"/>
      <c r="BQ5880" s="7"/>
      <c r="BZ5880" s="7"/>
    </row>
    <row r="5881" spans="2:78">
      <c r="B5881" s="7"/>
      <c r="O5881" s="7"/>
      <c r="X5881" s="7"/>
      <c r="AG5881" s="7"/>
      <c r="AP5881" s="7"/>
      <c r="AY5881" s="7"/>
      <c r="BH5881" s="7"/>
      <c r="BQ5881" s="7"/>
      <c r="BZ5881" s="7"/>
    </row>
    <row r="5882" spans="2:78">
      <c r="B5882" s="7"/>
      <c r="O5882" s="7"/>
      <c r="X5882" s="7"/>
      <c r="AG5882" s="7"/>
      <c r="AP5882" s="7"/>
      <c r="AY5882" s="7"/>
      <c r="BH5882" s="7"/>
      <c r="BQ5882" s="7"/>
      <c r="BZ5882" s="7"/>
    </row>
    <row r="5883" spans="2:78">
      <c r="B5883" s="7"/>
      <c r="O5883" s="7"/>
      <c r="X5883" s="7"/>
      <c r="AG5883" s="7"/>
      <c r="AP5883" s="7"/>
      <c r="AY5883" s="7"/>
      <c r="BH5883" s="7"/>
      <c r="BQ5883" s="7"/>
      <c r="BZ5883" s="7"/>
    </row>
    <row r="5884" spans="2:78">
      <c r="B5884" s="7"/>
      <c r="O5884" s="7"/>
      <c r="X5884" s="7"/>
      <c r="AG5884" s="7"/>
      <c r="AP5884" s="7"/>
      <c r="AY5884" s="7"/>
      <c r="BH5884" s="7"/>
      <c r="BQ5884" s="7"/>
      <c r="BZ5884" s="7"/>
    </row>
    <row r="5885" spans="2:78">
      <c r="B5885" s="7"/>
      <c r="O5885" s="7"/>
      <c r="X5885" s="7"/>
      <c r="AG5885" s="7"/>
      <c r="AP5885" s="7"/>
      <c r="AY5885" s="7"/>
      <c r="BH5885" s="7"/>
      <c r="BQ5885" s="7"/>
      <c r="BZ5885" s="7"/>
    </row>
    <row r="5886" spans="2:78">
      <c r="B5886" s="7"/>
      <c r="O5886" s="7"/>
      <c r="X5886" s="7"/>
      <c r="AG5886" s="7"/>
      <c r="AP5886" s="7"/>
      <c r="AY5886" s="7"/>
      <c r="BH5886" s="7"/>
      <c r="BQ5886" s="7"/>
      <c r="BZ5886" s="7"/>
    </row>
    <row r="5887" spans="2:78">
      <c r="B5887" s="7"/>
      <c r="O5887" s="7"/>
      <c r="X5887" s="7"/>
      <c r="AG5887" s="7"/>
      <c r="AP5887" s="7"/>
      <c r="AY5887" s="7"/>
      <c r="BH5887" s="7"/>
      <c r="BQ5887" s="7"/>
      <c r="BZ5887" s="7"/>
    </row>
    <row r="5888" spans="2:78">
      <c r="B5888" s="7"/>
      <c r="O5888" s="7"/>
      <c r="X5888" s="7"/>
      <c r="AG5888" s="7"/>
      <c r="AP5888" s="7"/>
      <c r="AY5888" s="7"/>
      <c r="BH5888" s="7"/>
      <c r="BQ5888" s="7"/>
      <c r="BZ5888" s="7"/>
    </row>
    <row r="5889" spans="2:78">
      <c r="B5889" s="7"/>
      <c r="O5889" s="7"/>
      <c r="X5889" s="7"/>
      <c r="AG5889" s="7"/>
      <c r="AP5889" s="7"/>
      <c r="AY5889" s="7"/>
      <c r="BH5889" s="7"/>
      <c r="BQ5889" s="7"/>
      <c r="BZ5889" s="7"/>
    </row>
    <row r="5890" spans="2:78">
      <c r="B5890" s="7"/>
      <c r="O5890" s="7"/>
      <c r="X5890" s="7"/>
      <c r="AG5890" s="7"/>
      <c r="AP5890" s="7"/>
      <c r="AY5890" s="7"/>
      <c r="BH5890" s="7"/>
      <c r="BQ5890" s="7"/>
      <c r="BZ5890" s="7"/>
    </row>
    <row r="5891" spans="2:78">
      <c r="B5891" s="7"/>
      <c r="O5891" s="7"/>
      <c r="X5891" s="7"/>
      <c r="AG5891" s="7"/>
      <c r="AP5891" s="7"/>
      <c r="AY5891" s="7"/>
      <c r="BH5891" s="7"/>
      <c r="BQ5891" s="7"/>
      <c r="BZ5891" s="7"/>
    </row>
    <row r="5892" spans="2:78">
      <c r="B5892" s="7"/>
      <c r="O5892" s="7"/>
      <c r="X5892" s="7"/>
      <c r="AG5892" s="7"/>
      <c r="AP5892" s="7"/>
      <c r="AY5892" s="7"/>
      <c r="BH5892" s="7"/>
      <c r="BQ5892" s="7"/>
      <c r="BZ5892" s="7"/>
    </row>
    <row r="5893" spans="2:78">
      <c r="B5893" s="7"/>
      <c r="O5893" s="7"/>
      <c r="X5893" s="7"/>
      <c r="AG5893" s="7"/>
      <c r="AP5893" s="7"/>
      <c r="AY5893" s="7"/>
      <c r="BH5893" s="7"/>
      <c r="BQ5893" s="7"/>
      <c r="BZ5893" s="7"/>
    </row>
    <row r="5894" spans="2:78">
      <c r="B5894" s="7"/>
      <c r="O5894" s="7"/>
      <c r="X5894" s="7"/>
      <c r="AG5894" s="7"/>
      <c r="AP5894" s="7"/>
      <c r="AY5894" s="7"/>
      <c r="BH5894" s="7"/>
      <c r="BQ5894" s="7"/>
      <c r="BZ5894" s="7"/>
    </row>
    <row r="5895" spans="2:78">
      <c r="B5895" s="7"/>
      <c r="O5895" s="7"/>
      <c r="X5895" s="7"/>
      <c r="AG5895" s="7"/>
      <c r="AP5895" s="7"/>
      <c r="AY5895" s="7"/>
      <c r="BH5895" s="7"/>
      <c r="BQ5895" s="7"/>
      <c r="BZ5895" s="7"/>
    </row>
    <row r="5896" spans="2:78">
      <c r="B5896" s="7"/>
      <c r="O5896" s="7"/>
      <c r="X5896" s="7"/>
      <c r="AG5896" s="7"/>
      <c r="AP5896" s="7"/>
      <c r="AY5896" s="7"/>
      <c r="BH5896" s="7"/>
      <c r="BQ5896" s="7"/>
      <c r="BZ5896" s="7"/>
    </row>
    <row r="5897" spans="2:78">
      <c r="B5897" s="7"/>
      <c r="O5897" s="7"/>
      <c r="X5897" s="7"/>
      <c r="AG5897" s="7"/>
      <c r="AP5897" s="7"/>
      <c r="AY5897" s="7"/>
      <c r="BH5897" s="7"/>
      <c r="BQ5897" s="7"/>
      <c r="BZ5897" s="7"/>
    </row>
    <row r="5898" spans="2:78">
      <c r="B5898" s="7"/>
      <c r="O5898" s="7"/>
      <c r="X5898" s="7"/>
      <c r="AG5898" s="7"/>
      <c r="AP5898" s="7"/>
      <c r="AY5898" s="7"/>
      <c r="BH5898" s="7"/>
      <c r="BQ5898" s="7"/>
      <c r="BZ5898" s="7"/>
    </row>
    <row r="5899" spans="2:78">
      <c r="B5899" s="7"/>
      <c r="O5899" s="7"/>
      <c r="X5899" s="7"/>
      <c r="AG5899" s="7"/>
      <c r="AP5899" s="7"/>
      <c r="AY5899" s="7"/>
      <c r="BH5899" s="7"/>
      <c r="BQ5899" s="7"/>
      <c r="BZ5899" s="7"/>
    </row>
    <row r="5900" spans="2:78">
      <c r="B5900" s="7"/>
      <c r="O5900" s="7"/>
      <c r="X5900" s="7"/>
      <c r="AG5900" s="7"/>
      <c r="AP5900" s="7"/>
      <c r="AY5900" s="7"/>
      <c r="BH5900" s="7"/>
      <c r="BQ5900" s="7"/>
      <c r="BZ5900" s="7"/>
    </row>
    <row r="5901" spans="2:78">
      <c r="B5901" s="7"/>
      <c r="O5901" s="7"/>
      <c r="X5901" s="7"/>
      <c r="AG5901" s="7"/>
      <c r="AP5901" s="7"/>
      <c r="AY5901" s="7"/>
      <c r="BH5901" s="7"/>
      <c r="BQ5901" s="7"/>
      <c r="BZ5901" s="7"/>
    </row>
    <row r="5902" spans="2:78">
      <c r="B5902" s="7"/>
      <c r="O5902" s="7"/>
      <c r="X5902" s="7"/>
      <c r="AG5902" s="7"/>
      <c r="AP5902" s="7"/>
      <c r="AY5902" s="7"/>
      <c r="BH5902" s="7"/>
      <c r="BQ5902" s="7"/>
      <c r="BZ5902" s="7"/>
    </row>
    <row r="5903" spans="2:78">
      <c r="B5903" s="7"/>
      <c r="O5903" s="7"/>
      <c r="X5903" s="7"/>
      <c r="AG5903" s="7"/>
      <c r="AP5903" s="7"/>
      <c r="AY5903" s="7"/>
      <c r="BH5903" s="7"/>
      <c r="BQ5903" s="7"/>
      <c r="BZ5903" s="7"/>
    </row>
    <row r="5904" spans="2:78">
      <c r="B5904" s="7"/>
      <c r="O5904" s="7"/>
      <c r="X5904" s="7"/>
      <c r="AG5904" s="7"/>
      <c r="AP5904" s="7"/>
      <c r="AY5904" s="7"/>
      <c r="BH5904" s="7"/>
      <c r="BQ5904" s="7"/>
      <c r="BZ5904" s="7"/>
    </row>
    <row r="5905" spans="2:78">
      <c r="B5905" s="7"/>
      <c r="O5905" s="7"/>
      <c r="X5905" s="7"/>
      <c r="AG5905" s="7"/>
      <c r="AP5905" s="7"/>
      <c r="AY5905" s="7"/>
      <c r="BH5905" s="7"/>
      <c r="BQ5905" s="7"/>
      <c r="BZ5905" s="7"/>
    </row>
    <row r="5906" spans="2:78">
      <c r="B5906" s="7"/>
      <c r="O5906" s="7"/>
      <c r="X5906" s="7"/>
      <c r="AG5906" s="7"/>
      <c r="AP5906" s="7"/>
      <c r="AY5906" s="7"/>
      <c r="BH5906" s="7"/>
      <c r="BQ5906" s="7"/>
      <c r="BZ5906" s="7"/>
    </row>
    <row r="5907" spans="2:78">
      <c r="B5907" s="7"/>
      <c r="O5907" s="7"/>
      <c r="X5907" s="7"/>
      <c r="AG5907" s="7"/>
      <c r="AP5907" s="7"/>
      <c r="AY5907" s="7"/>
      <c r="BH5907" s="7"/>
      <c r="BQ5907" s="7"/>
      <c r="BZ5907" s="7"/>
    </row>
    <row r="5908" spans="2:78">
      <c r="B5908" s="7"/>
      <c r="O5908" s="7"/>
      <c r="X5908" s="7"/>
      <c r="AG5908" s="7"/>
      <c r="AP5908" s="7"/>
      <c r="AY5908" s="7"/>
      <c r="BH5908" s="7"/>
      <c r="BQ5908" s="7"/>
      <c r="BZ5908" s="7"/>
    </row>
    <row r="5909" spans="2:78">
      <c r="B5909" s="7"/>
      <c r="O5909" s="7"/>
      <c r="X5909" s="7"/>
      <c r="AG5909" s="7"/>
      <c r="AP5909" s="7"/>
      <c r="AY5909" s="7"/>
      <c r="BH5909" s="7"/>
      <c r="BQ5909" s="7"/>
      <c r="BZ5909" s="7"/>
    </row>
    <row r="5910" spans="2:78">
      <c r="B5910" s="7"/>
      <c r="O5910" s="7"/>
      <c r="X5910" s="7"/>
      <c r="AG5910" s="7"/>
      <c r="AP5910" s="7"/>
      <c r="AY5910" s="7"/>
      <c r="BH5910" s="7"/>
      <c r="BQ5910" s="7"/>
      <c r="BZ5910" s="7"/>
    </row>
    <row r="5911" spans="2:78">
      <c r="B5911" s="7"/>
      <c r="O5911" s="7"/>
      <c r="X5911" s="7"/>
      <c r="AG5911" s="7"/>
      <c r="AP5911" s="7"/>
      <c r="AY5911" s="7"/>
      <c r="BH5911" s="7"/>
      <c r="BQ5911" s="7"/>
      <c r="BZ5911" s="7"/>
    </row>
    <row r="5912" spans="2:78">
      <c r="B5912" s="7"/>
      <c r="O5912" s="7"/>
      <c r="X5912" s="7"/>
      <c r="AG5912" s="7"/>
      <c r="AP5912" s="7"/>
      <c r="AY5912" s="7"/>
      <c r="BH5912" s="7"/>
      <c r="BQ5912" s="7"/>
      <c r="BZ5912" s="7"/>
    </row>
    <row r="5913" spans="2:78">
      <c r="B5913" s="7"/>
      <c r="O5913" s="7"/>
      <c r="X5913" s="7"/>
      <c r="AG5913" s="7"/>
      <c r="AP5913" s="7"/>
      <c r="AY5913" s="7"/>
      <c r="BH5913" s="7"/>
      <c r="BQ5913" s="7"/>
      <c r="BZ5913" s="7"/>
    </row>
    <row r="5914" spans="2:78">
      <c r="B5914" s="7"/>
      <c r="O5914" s="7"/>
      <c r="X5914" s="7"/>
      <c r="AG5914" s="7"/>
      <c r="AP5914" s="7"/>
      <c r="AY5914" s="7"/>
      <c r="BH5914" s="7"/>
      <c r="BQ5914" s="7"/>
      <c r="BZ5914" s="7"/>
    </row>
    <row r="5915" spans="2:78">
      <c r="B5915" s="7"/>
      <c r="O5915" s="7"/>
      <c r="X5915" s="7"/>
      <c r="AG5915" s="7"/>
      <c r="AP5915" s="7"/>
      <c r="AY5915" s="7"/>
      <c r="BH5915" s="7"/>
      <c r="BQ5915" s="7"/>
      <c r="BZ5915" s="7"/>
    </row>
    <row r="5916" spans="2:78">
      <c r="B5916" s="7"/>
      <c r="O5916" s="7"/>
      <c r="X5916" s="7"/>
      <c r="AG5916" s="7"/>
      <c r="AP5916" s="7"/>
      <c r="AY5916" s="7"/>
      <c r="BH5916" s="7"/>
      <c r="BQ5916" s="7"/>
      <c r="BZ5916" s="7"/>
    </row>
    <row r="5917" spans="2:78">
      <c r="B5917" s="7"/>
      <c r="O5917" s="7"/>
      <c r="X5917" s="7"/>
      <c r="AG5917" s="7"/>
      <c r="AP5917" s="7"/>
      <c r="AY5917" s="7"/>
      <c r="BH5917" s="7"/>
      <c r="BQ5917" s="7"/>
      <c r="BZ5917" s="7"/>
    </row>
    <row r="5918" spans="2:78">
      <c r="B5918" s="7"/>
      <c r="O5918" s="7"/>
      <c r="X5918" s="7"/>
      <c r="AG5918" s="7"/>
      <c r="AP5918" s="7"/>
      <c r="AY5918" s="7"/>
      <c r="BH5918" s="7"/>
      <c r="BQ5918" s="7"/>
      <c r="BZ5918" s="7"/>
    </row>
    <row r="5919" spans="2:78">
      <c r="B5919" s="7"/>
      <c r="O5919" s="7"/>
      <c r="X5919" s="7"/>
      <c r="AG5919" s="7"/>
      <c r="AP5919" s="7"/>
      <c r="AY5919" s="7"/>
      <c r="BH5919" s="7"/>
      <c r="BQ5919" s="7"/>
      <c r="BZ5919" s="7"/>
    </row>
    <row r="5920" spans="2:78">
      <c r="B5920" s="7"/>
      <c r="O5920" s="7"/>
      <c r="X5920" s="7"/>
      <c r="AG5920" s="7"/>
      <c r="AP5920" s="7"/>
      <c r="AY5920" s="7"/>
      <c r="BH5920" s="7"/>
      <c r="BQ5920" s="7"/>
      <c r="BZ5920" s="7"/>
    </row>
    <row r="5921" spans="2:78">
      <c r="B5921" s="7"/>
      <c r="O5921" s="7"/>
      <c r="X5921" s="7"/>
      <c r="AG5921" s="7"/>
      <c r="AP5921" s="7"/>
      <c r="AY5921" s="7"/>
      <c r="BH5921" s="7"/>
      <c r="BQ5921" s="7"/>
      <c r="BZ5921" s="7"/>
    </row>
    <row r="5922" spans="2:78">
      <c r="B5922" s="7"/>
      <c r="O5922" s="7"/>
      <c r="X5922" s="7"/>
      <c r="AG5922" s="7"/>
      <c r="AP5922" s="7"/>
      <c r="AY5922" s="7"/>
      <c r="BH5922" s="7"/>
      <c r="BQ5922" s="7"/>
      <c r="BZ5922" s="7"/>
    </row>
    <row r="5923" spans="2:78">
      <c r="B5923" s="7"/>
      <c r="O5923" s="7"/>
      <c r="X5923" s="7"/>
      <c r="AG5923" s="7"/>
      <c r="AP5923" s="7"/>
      <c r="AY5923" s="7"/>
      <c r="BH5923" s="7"/>
      <c r="BQ5923" s="7"/>
      <c r="BZ5923" s="7"/>
    </row>
    <row r="5924" spans="2:78">
      <c r="B5924" s="7"/>
      <c r="O5924" s="7"/>
      <c r="X5924" s="7"/>
      <c r="AG5924" s="7"/>
      <c r="AP5924" s="7"/>
      <c r="AY5924" s="7"/>
      <c r="BH5924" s="7"/>
      <c r="BQ5924" s="7"/>
      <c r="BZ5924" s="7"/>
    </row>
    <row r="5925" spans="2:78">
      <c r="B5925" s="7"/>
      <c r="O5925" s="7"/>
      <c r="X5925" s="7"/>
      <c r="AG5925" s="7"/>
      <c r="AP5925" s="7"/>
      <c r="AY5925" s="7"/>
      <c r="BH5925" s="7"/>
      <c r="BQ5925" s="7"/>
      <c r="BZ5925" s="7"/>
    </row>
    <row r="5926" spans="2:78">
      <c r="B5926" s="7"/>
      <c r="O5926" s="7"/>
      <c r="X5926" s="7"/>
      <c r="AG5926" s="7"/>
      <c r="AP5926" s="7"/>
      <c r="AY5926" s="7"/>
      <c r="BH5926" s="7"/>
      <c r="BQ5926" s="7"/>
      <c r="BZ5926" s="7"/>
    </row>
    <row r="5927" spans="2:78">
      <c r="B5927" s="7"/>
      <c r="O5927" s="7"/>
      <c r="X5927" s="7"/>
      <c r="AG5927" s="7"/>
      <c r="AP5927" s="7"/>
      <c r="AY5927" s="7"/>
      <c r="BH5927" s="7"/>
      <c r="BQ5927" s="7"/>
      <c r="BZ5927" s="7"/>
    </row>
    <row r="5928" spans="2:78">
      <c r="B5928" s="7"/>
      <c r="O5928" s="7"/>
      <c r="X5928" s="7"/>
      <c r="AG5928" s="7"/>
      <c r="AP5928" s="7"/>
      <c r="AY5928" s="7"/>
      <c r="BH5928" s="7"/>
      <c r="BQ5928" s="7"/>
      <c r="BZ5928" s="7"/>
    </row>
    <row r="5929" spans="2:78">
      <c r="B5929" s="7"/>
      <c r="O5929" s="7"/>
      <c r="X5929" s="7"/>
      <c r="AG5929" s="7"/>
      <c r="AP5929" s="7"/>
      <c r="AY5929" s="7"/>
      <c r="BH5929" s="7"/>
      <c r="BQ5929" s="7"/>
      <c r="BZ5929" s="7"/>
    </row>
    <row r="5930" spans="2:78">
      <c r="B5930" s="7"/>
      <c r="O5930" s="7"/>
      <c r="X5930" s="7"/>
      <c r="AG5930" s="7"/>
      <c r="AP5930" s="7"/>
      <c r="AY5930" s="7"/>
      <c r="BH5930" s="7"/>
      <c r="BQ5930" s="7"/>
      <c r="BZ5930" s="7"/>
    </row>
    <row r="5931" spans="2:78">
      <c r="B5931" s="7"/>
      <c r="O5931" s="7"/>
      <c r="X5931" s="7"/>
      <c r="AG5931" s="7"/>
      <c r="AP5931" s="7"/>
      <c r="AY5931" s="7"/>
      <c r="BH5931" s="7"/>
      <c r="BQ5931" s="7"/>
      <c r="BZ5931" s="7"/>
    </row>
    <row r="5932" spans="2:78">
      <c r="B5932" s="7"/>
      <c r="O5932" s="7"/>
      <c r="X5932" s="7"/>
      <c r="AG5932" s="7"/>
      <c r="AP5932" s="7"/>
      <c r="AY5932" s="7"/>
      <c r="BH5932" s="7"/>
      <c r="BQ5932" s="7"/>
      <c r="BZ5932" s="7"/>
    </row>
    <row r="5933" spans="2:78">
      <c r="B5933" s="7"/>
      <c r="O5933" s="7"/>
      <c r="X5933" s="7"/>
      <c r="AG5933" s="7"/>
      <c r="AP5933" s="7"/>
      <c r="AY5933" s="7"/>
      <c r="BH5933" s="7"/>
      <c r="BQ5933" s="7"/>
      <c r="BZ5933" s="7"/>
    </row>
    <row r="5934" spans="2:78">
      <c r="B5934" s="7"/>
      <c r="O5934" s="7"/>
      <c r="X5934" s="7"/>
      <c r="AG5934" s="7"/>
      <c r="AP5934" s="7"/>
      <c r="AY5934" s="7"/>
      <c r="BH5934" s="7"/>
      <c r="BQ5934" s="7"/>
      <c r="BZ5934" s="7"/>
    </row>
    <row r="5935" spans="2:78">
      <c r="B5935" s="7"/>
      <c r="O5935" s="7"/>
      <c r="X5935" s="7"/>
      <c r="AG5935" s="7"/>
      <c r="AP5935" s="7"/>
      <c r="AY5935" s="7"/>
      <c r="BH5935" s="7"/>
      <c r="BQ5935" s="7"/>
      <c r="BZ5935" s="7"/>
    </row>
    <row r="5936" spans="2:78">
      <c r="B5936" s="7"/>
      <c r="O5936" s="7"/>
      <c r="X5936" s="7"/>
      <c r="AG5936" s="7"/>
      <c r="AP5936" s="7"/>
      <c r="AY5936" s="7"/>
      <c r="BH5936" s="7"/>
      <c r="BQ5936" s="7"/>
      <c r="BZ5936" s="7"/>
    </row>
    <row r="5937" spans="2:78">
      <c r="B5937" s="7"/>
      <c r="O5937" s="7"/>
      <c r="X5937" s="7"/>
      <c r="AG5937" s="7"/>
      <c r="AP5937" s="7"/>
      <c r="AY5937" s="7"/>
      <c r="BH5937" s="7"/>
      <c r="BQ5937" s="7"/>
      <c r="BZ5937" s="7"/>
    </row>
    <row r="5938" spans="2:78">
      <c r="B5938" s="7"/>
      <c r="O5938" s="7"/>
      <c r="X5938" s="7"/>
      <c r="AG5938" s="7"/>
      <c r="AP5938" s="7"/>
      <c r="AY5938" s="7"/>
      <c r="BH5938" s="7"/>
      <c r="BQ5938" s="7"/>
      <c r="BZ5938" s="7"/>
    </row>
    <row r="5939" spans="2:78">
      <c r="B5939" s="7"/>
      <c r="O5939" s="7"/>
      <c r="X5939" s="7"/>
      <c r="AG5939" s="7"/>
      <c r="AP5939" s="7"/>
      <c r="AY5939" s="7"/>
      <c r="BH5939" s="7"/>
      <c r="BQ5939" s="7"/>
      <c r="BZ5939" s="7"/>
    </row>
    <row r="5940" spans="2:78">
      <c r="B5940" s="7"/>
      <c r="O5940" s="7"/>
      <c r="X5940" s="7"/>
      <c r="AG5940" s="7"/>
      <c r="AP5940" s="7"/>
      <c r="AY5940" s="7"/>
      <c r="BH5940" s="7"/>
      <c r="BQ5940" s="7"/>
      <c r="BZ5940" s="7"/>
    </row>
    <row r="5941" spans="2:78">
      <c r="B5941" s="7"/>
      <c r="O5941" s="7"/>
      <c r="X5941" s="7"/>
      <c r="AG5941" s="7"/>
      <c r="AP5941" s="7"/>
      <c r="AY5941" s="7"/>
      <c r="BH5941" s="7"/>
      <c r="BQ5941" s="7"/>
      <c r="BZ5941" s="7"/>
    </row>
    <row r="5942" spans="2:78">
      <c r="B5942" s="7"/>
      <c r="O5942" s="7"/>
      <c r="X5942" s="7"/>
      <c r="AG5942" s="7"/>
      <c r="AP5942" s="7"/>
      <c r="AY5942" s="7"/>
      <c r="BH5942" s="7"/>
      <c r="BQ5942" s="7"/>
      <c r="BZ5942" s="7"/>
    </row>
    <row r="5943" spans="2:78">
      <c r="B5943" s="7"/>
      <c r="O5943" s="7"/>
      <c r="X5943" s="7"/>
      <c r="AG5943" s="7"/>
      <c r="AP5943" s="7"/>
      <c r="AY5943" s="7"/>
      <c r="BH5943" s="7"/>
      <c r="BQ5943" s="7"/>
      <c r="BZ5943" s="7"/>
    </row>
    <row r="5944" spans="2:78">
      <c r="B5944" s="7"/>
      <c r="O5944" s="7"/>
      <c r="X5944" s="7"/>
      <c r="AG5944" s="7"/>
      <c r="AP5944" s="7"/>
      <c r="AY5944" s="7"/>
      <c r="BH5944" s="7"/>
      <c r="BQ5944" s="7"/>
      <c r="BZ5944" s="7"/>
    </row>
    <row r="5945" spans="2:78">
      <c r="B5945" s="7"/>
      <c r="O5945" s="7"/>
      <c r="X5945" s="7"/>
      <c r="AG5945" s="7"/>
      <c r="AP5945" s="7"/>
      <c r="AY5945" s="7"/>
      <c r="BH5945" s="7"/>
      <c r="BQ5945" s="7"/>
      <c r="BZ5945" s="7"/>
    </row>
    <row r="5946" spans="2:78">
      <c r="B5946" s="7"/>
      <c r="O5946" s="7"/>
      <c r="X5946" s="7"/>
      <c r="AG5946" s="7"/>
      <c r="AP5946" s="7"/>
      <c r="AY5946" s="7"/>
      <c r="BH5946" s="7"/>
      <c r="BQ5946" s="7"/>
      <c r="BZ5946" s="7"/>
    </row>
    <row r="5947" spans="2:78">
      <c r="B5947" s="7"/>
      <c r="O5947" s="7"/>
      <c r="X5947" s="7"/>
      <c r="AG5947" s="7"/>
      <c r="AP5947" s="7"/>
      <c r="AY5947" s="7"/>
      <c r="BH5947" s="7"/>
      <c r="BQ5947" s="7"/>
      <c r="BZ5947" s="7"/>
    </row>
    <row r="5948" spans="2:78">
      <c r="B5948" s="7"/>
      <c r="O5948" s="7"/>
      <c r="X5948" s="7"/>
      <c r="AG5948" s="7"/>
      <c r="AP5948" s="7"/>
      <c r="AY5948" s="7"/>
      <c r="BH5948" s="7"/>
      <c r="BQ5948" s="7"/>
      <c r="BZ5948" s="7"/>
    </row>
    <row r="5949" spans="2:78">
      <c r="B5949" s="7"/>
      <c r="O5949" s="7"/>
      <c r="X5949" s="7"/>
      <c r="AG5949" s="7"/>
      <c r="AP5949" s="7"/>
      <c r="AY5949" s="7"/>
      <c r="BH5949" s="7"/>
      <c r="BQ5949" s="7"/>
      <c r="BZ5949" s="7"/>
    </row>
    <row r="5950" spans="2:78">
      <c r="B5950" s="7"/>
      <c r="O5950" s="7"/>
      <c r="X5950" s="7"/>
      <c r="AG5950" s="7"/>
      <c r="AP5950" s="7"/>
      <c r="AY5950" s="7"/>
      <c r="BH5950" s="7"/>
      <c r="BQ5950" s="7"/>
      <c r="BZ5950" s="7"/>
    </row>
    <row r="5951" spans="2:78">
      <c r="B5951" s="7"/>
      <c r="O5951" s="7"/>
      <c r="X5951" s="7"/>
      <c r="AG5951" s="7"/>
      <c r="AP5951" s="7"/>
      <c r="AY5951" s="7"/>
      <c r="BH5951" s="7"/>
      <c r="BQ5951" s="7"/>
      <c r="BZ5951" s="7"/>
    </row>
    <row r="5952" spans="2:78">
      <c r="B5952" s="7"/>
      <c r="O5952" s="7"/>
      <c r="X5952" s="7"/>
      <c r="AG5952" s="7"/>
      <c r="AP5952" s="7"/>
      <c r="AY5952" s="7"/>
      <c r="BH5952" s="7"/>
      <c r="BQ5952" s="7"/>
      <c r="BZ5952" s="7"/>
    </row>
    <row r="5953" spans="2:78">
      <c r="B5953" s="7"/>
      <c r="O5953" s="7"/>
      <c r="X5953" s="7"/>
      <c r="AG5953" s="7"/>
      <c r="AP5953" s="7"/>
      <c r="AY5953" s="7"/>
      <c r="BH5953" s="7"/>
      <c r="BQ5953" s="7"/>
      <c r="BZ5953" s="7"/>
    </row>
    <row r="5954" spans="2:78">
      <c r="B5954" s="7"/>
      <c r="O5954" s="7"/>
      <c r="X5954" s="7"/>
      <c r="AG5954" s="7"/>
      <c r="AP5954" s="7"/>
      <c r="AY5954" s="7"/>
      <c r="BH5954" s="7"/>
      <c r="BQ5954" s="7"/>
      <c r="BZ5954" s="7"/>
    </row>
    <row r="5955" spans="2:78">
      <c r="B5955" s="7"/>
      <c r="O5955" s="7"/>
      <c r="X5955" s="7"/>
      <c r="AG5955" s="7"/>
      <c r="AP5955" s="7"/>
      <c r="AY5955" s="7"/>
      <c r="BH5955" s="7"/>
      <c r="BQ5955" s="7"/>
      <c r="BZ5955" s="7"/>
    </row>
    <row r="5956" spans="2:78">
      <c r="B5956" s="7"/>
      <c r="O5956" s="7"/>
      <c r="X5956" s="7"/>
      <c r="AG5956" s="7"/>
      <c r="AP5956" s="7"/>
      <c r="AY5956" s="7"/>
      <c r="BH5956" s="7"/>
      <c r="BQ5956" s="7"/>
      <c r="BZ5956" s="7"/>
    </row>
    <row r="5957" spans="2:78">
      <c r="B5957" s="7"/>
      <c r="O5957" s="7"/>
      <c r="X5957" s="7"/>
      <c r="AG5957" s="7"/>
      <c r="AP5957" s="7"/>
      <c r="AY5957" s="7"/>
      <c r="BH5957" s="7"/>
      <c r="BQ5957" s="7"/>
      <c r="BZ5957" s="7"/>
    </row>
    <row r="5958" spans="2:78">
      <c r="B5958" s="7"/>
      <c r="O5958" s="7"/>
      <c r="X5958" s="7"/>
      <c r="AG5958" s="7"/>
      <c r="AP5958" s="7"/>
      <c r="AY5958" s="7"/>
      <c r="BH5958" s="7"/>
      <c r="BQ5958" s="7"/>
      <c r="BZ5958" s="7"/>
    </row>
    <row r="5959" spans="2:78">
      <c r="B5959" s="7"/>
      <c r="O5959" s="7"/>
      <c r="X5959" s="7"/>
      <c r="AG5959" s="7"/>
      <c r="AP5959" s="7"/>
      <c r="AY5959" s="7"/>
      <c r="BH5959" s="7"/>
      <c r="BQ5959" s="7"/>
      <c r="BZ5959" s="7"/>
    </row>
    <row r="5960" spans="2:78">
      <c r="B5960" s="7"/>
      <c r="O5960" s="7"/>
      <c r="X5960" s="7"/>
      <c r="AG5960" s="7"/>
      <c r="AP5960" s="7"/>
      <c r="AY5960" s="7"/>
      <c r="BH5960" s="7"/>
      <c r="BQ5960" s="7"/>
      <c r="BZ5960" s="7"/>
    </row>
    <row r="5961" spans="2:78">
      <c r="B5961" s="7"/>
      <c r="O5961" s="7"/>
      <c r="X5961" s="7"/>
      <c r="AG5961" s="7"/>
      <c r="AP5961" s="7"/>
      <c r="AY5961" s="7"/>
      <c r="BH5961" s="7"/>
      <c r="BQ5961" s="7"/>
      <c r="BZ5961" s="7"/>
    </row>
    <row r="5962" spans="2:78">
      <c r="B5962" s="7"/>
      <c r="O5962" s="7"/>
      <c r="X5962" s="7"/>
      <c r="AG5962" s="7"/>
      <c r="AP5962" s="7"/>
      <c r="AY5962" s="7"/>
      <c r="BH5962" s="7"/>
      <c r="BQ5962" s="7"/>
      <c r="BZ5962" s="7"/>
    </row>
    <row r="5963" spans="2:78">
      <c r="B5963" s="7"/>
      <c r="O5963" s="7"/>
      <c r="X5963" s="7"/>
      <c r="AG5963" s="7"/>
      <c r="AP5963" s="7"/>
      <c r="AY5963" s="7"/>
      <c r="BH5963" s="7"/>
      <c r="BQ5963" s="7"/>
      <c r="BZ5963" s="7"/>
    </row>
    <row r="5964" spans="2:78">
      <c r="B5964" s="7"/>
      <c r="O5964" s="7"/>
      <c r="X5964" s="7"/>
      <c r="AG5964" s="7"/>
      <c r="AP5964" s="7"/>
      <c r="AY5964" s="7"/>
      <c r="BH5964" s="7"/>
      <c r="BQ5964" s="7"/>
      <c r="BZ5964" s="7"/>
    </row>
    <row r="5965" spans="2:78">
      <c r="B5965" s="7"/>
      <c r="O5965" s="7"/>
      <c r="X5965" s="7"/>
      <c r="AG5965" s="7"/>
      <c r="AP5965" s="7"/>
      <c r="AY5965" s="7"/>
      <c r="BH5965" s="7"/>
      <c r="BQ5965" s="7"/>
      <c r="BZ5965" s="7"/>
    </row>
    <row r="5966" spans="2:78">
      <c r="B5966" s="7"/>
      <c r="O5966" s="7"/>
      <c r="X5966" s="7"/>
      <c r="AG5966" s="7"/>
      <c r="AP5966" s="7"/>
      <c r="AY5966" s="7"/>
      <c r="BH5966" s="7"/>
      <c r="BQ5966" s="7"/>
      <c r="BZ5966" s="7"/>
    </row>
    <row r="5967" spans="2:78">
      <c r="B5967" s="7"/>
      <c r="O5967" s="7"/>
      <c r="X5967" s="7"/>
      <c r="AG5967" s="7"/>
      <c r="AP5967" s="7"/>
      <c r="AY5967" s="7"/>
      <c r="BH5967" s="7"/>
      <c r="BQ5967" s="7"/>
      <c r="BZ5967" s="7"/>
    </row>
    <row r="5968" spans="2:78">
      <c r="B5968" s="7"/>
      <c r="O5968" s="7"/>
      <c r="X5968" s="7"/>
      <c r="AG5968" s="7"/>
      <c r="AP5968" s="7"/>
      <c r="AY5968" s="7"/>
      <c r="BH5968" s="7"/>
      <c r="BQ5968" s="7"/>
      <c r="BZ5968" s="7"/>
    </row>
    <row r="5969" spans="2:78">
      <c r="B5969" s="7"/>
      <c r="O5969" s="7"/>
      <c r="X5969" s="7"/>
      <c r="AG5969" s="7"/>
      <c r="AP5969" s="7"/>
      <c r="AY5969" s="7"/>
      <c r="BH5969" s="7"/>
      <c r="BQ5969" s="7"/>
      <c r="BZ5969" s="7"/>
    </row>
    <row r="5970" spans="2:78">
      <c r="B5970" s="7"/>
      <c r="O5970" s="7"/>
      <c r="X5970" s="7"/>
      <c r="AG5970" s="7"/>
      <c r="AP5970" s="7"/>
      <c r="AY5970" s="7"/>
      <c r="BH5970" s="7"/>
      <c r="BQ5970" s="7"/>
      <c r="BZ5970" s="7"/>
    </row>
    <row r="5971" spans="2:78">
      <c r="B5971" s="7"/>
      <c r="O5971" s="7"/>
      <c r="X5971" s="7"/>
      <c r="AG5971" s="7"/>
      <c r="AP5971" s="7"/>
      <c r="AY5971" s="7"/>
      <c r="BH5971" s="7"/>
      <c r="BQ5971" s="7"/>
      <c r="BZ5971" s="7"/>
    </row>
    <row r="5972" spans="2:78">
      <c r="B5972" s="7"/>
      <c r="O5972" s="7"/>
      <c r="X5972" s="7"/>
      <c r="AG5972" s="7"/>
      <c r="AP5972" s="7"/>
      <c r="AY5972" s="7"/>
      <c r="BH5972" s="7"/>
      <c r="BQ5972" s="7"/>
      <c r="BZ5972" s="7"/>
    </row>
    <row r="5973" spans="2:78">
      <c r="B5973" s="7"/>
      <c r="O5973" s="7"/>
      <c r="X5973" s="7"/>
      <c r="AG5973" s="7"/>
      <c r="AP5973" s="7"/>
      <c r="AY5973" s="7"/>
      <c r="BH5973" s="7"/>
      <c r="BQ5973" s="7"/>
      <c r="BZ5973" s="7"/>
    </row>
    <row r="5974" spans="2:78">
      <c r="B5974" s="7"/>
      <c r="O5974" s="7"/>
      <c r="X5974" s="7"/>
      <c r="AG5974" s="7"/>
      <c r="AP5974" s="7"/>
      <c r="AY5974" s="7"/>
      <c r="BH5974" s="7"/>
      <c r="BQ5974" s="7"/>
      <c r="BZ5974" s="7"/>
    </row>
    <row r="5975" spans="2:78">
      <c r="B5975" s="7"/>
      <c r="O5975" s="7"/>
      <c r="X5975" s="7"/>
      <c r="AG5975" s="7"/>
      <c r="AP5975" s="7"/>
      <c r="AY5975" s="7"/>
      <c r="BH5975" s="7"/>
      <c r="BQ5975" s="7"/>
      <c r="BZ5975" s="7"/>
    </row>
    <row r="5976" spans="2:78">
      <c r="B5976" s="7"/>
      <c r="O5976" s="7"/>
      <c r="X5976" s="7"/>
      <c r="AG5976" s="7"/>
      <c r="AP5976" s="7"/>
      <c r="AY5976" s="7"/>
      <c r="BH5976" s="7"/>
      <c r="BQ5976" s="7"/>
      <c r="BZ5976" s="7"/>
    </row>
    <row r="5977" spans="2:78">
      <c r="B5977" s="7"/>
      <c r="O5977" s="7"/>
      <c r="X5977" s="7"/>
      <c r="AG5977" s="7"/>
      <c r="AP5977" s="7"/>
      <c r="AY5977" s="7"/>
      <c r="BH5977" s="7"/>
      <c r="BQ5977" s="7"/>
      <c r="BZ5977" s="7"/>
    </row>
    <row r="5978" spans="2:78">
      <c r="B5978" s="7"/>
      <c r="O5978" s="7"/>
      <c r="X5978" s="7"/>
      <c r="AG5978" s="7"/>
      <c r="AP5978" s="7"/>
      <c r="AY5978" s="7"/>
      <c r="BH5978" s="7"/>
      <c r="BQ5978" s="7"/>
      <c r="BZ5978" s="7"/>
    </row>
    <row r="5979" spans="2:78">
      <c r="B5979" s="7"/>
      <c r="O5979" s="7"/>
      <c r="X5979" s="7"/>
      <c r="AG5979" s="7"/>
      <c r="AP5979" s="7"/>
      <c r="AY5979" s="7"/>
      <c r="BH5979" s="7"/>
      <c r="BQ5979" s="7"/>
      <c r="BZ5979" s="7"/>
    </row>
    <row r="5980" spans="2:78">
      <c r="B5980" s="7"/>
      <c r="O5980" s="7"/>
      <c r="X5980" s="7"/>
      <c r="AG5980" s="7"/>
      <c r="AP5980" s="7"/>
      <c r="AY5980" s="7"/>
      <c r="BH5980" s="7"/>
      <c r="BQ5980" s="7"/>
      <c r="BZ5980" s="7"/>
    </row>
    <row r="5981" spans="2:78">
      <c r="B5981" s="7"/>
      <c r="O5981" s="7"/>
      <c r="X5981" s="7"/>
      <c r="AG5981" s="7"/>
      <c r="AP5981" s="7"/>
      <c r="AY5981" s="7"/>
      <c r="BH5981" s="7"/>
      <c r="BQ5981" s="7"/>
      <c r="BZ5981" s="7"/>
    </row>
    <row r="5982" spans="2:78">
      <c r="B5982" s="7"/>
      <c r="O5982" s="7"/>
      <c r="X5982" s="7"/>
      <c r="AG5982" s="7"/>
      <c r="AP5982" s="7"/>
      <c r="AY5982" s="7"/>
      <c r="BH5982" s="7"/>
      <c r="BQ5982" s="7"/>
      <c r="BZ5982" s="7"/>
    </row>
    <row r="5983" spans="2:78">
      <c r="B5983" s="7"/>
      <c r="O5983" s="7"/>
      <c r="X5983" s="7"/>
      <c r="AG5983" s="7"/>
      <c r="AP5983" s="7"/>
      <c r="AY5983" s="7"/>
      <c r="BH5983" s="7"/>
      <c r="BQ5983" s="7"/>
      <c r="BZ5983" s="7"/>
    </row>
    <row r="5984" spans="2:78">
      <c r="B5984" s="7"/>
      <c r="O5984" s="7"/>
      <c r="X5984" s="7"/>
      <c r="AG5984" s="7"/>
      <c r="AP5984" s="7"/>
      <c r="AY5984" s="7"/>
      <c r="BH5984" s="7"/>
      <c r="BQ5984" s="7"/>
      <c r="BZ5984" s="7"/>
    </row>
    <row r="5985" spans="2:78">
      <c r="B5985" s="7"/>
      <c r="O5985" s="7"/>
      <c r="X5985" s="7"/>
      <c r="AG5985" s="7"/>
      <c r="AP5985" s="7"/>
      <c r="AY5985" s="7"/>
      <c r="BH5985" s="7"/>
      <c r="BQ5985" s="7"/>
      <c r="BZ5985" s="7"/>
    </row>
    <row r="5986" spans="2:78">
      <c r="B5986" s="7"/>
      <c r="O5986" s="7"/>
      <c r="X5986" s="7"/>
      <c r="AG5986" s="7"/>
      <c r="AP5986" s="7"/>
      <c r="AY5986" s="7"/>
      <c r="BH5986" s="7"/>
      <c r="BQ5986" s="7"/>
      <c r="BZ5986" s="7"/>
    </row>
    <row r="5987" spans="2:78">
      <c r="B5987" s="7"/>
      <c r="O5987" s="7"/>
      <c r="X5987" s="7"/>
      <c r="AG5987" s="7"/>
      <c r="AP5987" s="7"/>
      <c r="AY5987" s="7"/>
      <c r="BH5987" s="7"/>
      <c r="BQ5987" s="7"/>
      <c r="BZ5987" s="7"/>
    </row>
    <row r="5988" spans="2:78">
      <c r="B5988" s="7"/>
      <c r="O5988" s="7"/>
      <c r="X5988" s="7"/>
      <c r="AG5988" s="7"/>
      <c r="AP5988" s="7"/>
      <c r="AY5988" s="7"/>
      <c r="BH5988" s="7"/>
      <c r="BQ5988" s="7"/>
      <c r="BZ5988" s="7"/>
    </row>
    <row r="5989" spans="2:78">
      <c r="B5989" s="7"/>
      <c r="O5989" s="7"/>
      <c r="X5989" s="7"/>
      <c r="AG5989" s="7"/>
      <c r="AP5989" s="7"/>
      <c r="AY5989" s="7"/>
      <c r="BH5989" s="7"/>
      <c r="BQ5989" s="7"/>
      <c r="BZ5989" s="7"/>
    </row>
    <row r="5990" spans="2:78">
      <c r="B5990" s="7"/>
      <c r="O5990" s="7"/>
      <c r="X5990" s="7"/>
      <c r="AG5990" s="7"/>
      <c r="AP5990" s="7"/>
      <c r="AY5990" s="7"/>
      <c r="BH5990" s="7"/>
      <c r="BQ5990" s="7"/>
      <c r="BZ5990" s="7"/>
    </row>
    <row r="5991" spans="2:78">
      <c r="B5991" s="7"/>
      <c r="O5991" s="7"/>
      <c r="X5991" s="7"/>
      <c r="AG5991" s="7"/>
      <c r="AP5991" s="7"/>
      <c r="AY5991" s="7"/>
      <c r="BH5991" s="7"/>
      <c r="BQ5991" s="7"/>
      <c r="BZ5991" s="7"/>
    </row>
    <row r="5992" spans="2:78">
      <c r="B5992" s="7"/>
      <c r="O5992" s="7"/>
      <c r="X5992" s="7"/>
      <c r="AG5992" s="7"/>
      <c r="AP5992" s="7"/>
      <c r="AY5992" s="7"/>
      <c r="BH5992" s="7"/>
      <c r="BQ5992" s="7"/>
      <c r="BZ5992" s="7"/>
    </row>
    <row r="5993" spans="2:78">
      <c r="B5993" s="7"/>
      <c r="O5993" s="7"/>
      <c r="X5993" s="7"/>
      <c r="AG5993" s="7"/>
      <c r="AP5993" s="7"/>
      <c r="AY5993" s="7"/>
      <c r="BH5993" s="7"/>
      <c r="BQ5993" s="7"/>
      <c r="BZ5993" s="7"/>
    </row>
    <row r="5994" spans="2:78">
      <c r="B5994" s="7"/>
      <c r="O5994" s="7"/>
      <c r="X5994" s="7"/>
      <c r="AG5994" s="7"/>
      <c r="AP5994" s="7"/>
      <c r="AY5994" s="7"/>
      <c r="BH5994" s="7"/>
      <c r="BQ5994" s="7"/>
      <c r="BZ5994" s="7"/>
    </row>
    <row r="5995" spans="2:78">
      <c r="B5995" s="7"/>
      <c r="O5995" s="7"/>
      <c r="X5995" s="7"/>
      <c r="AG5995" s="7"/>
      <c r="AP5995" s="7"/>
      <c r="AY5995" s="7"/>
      <c r="BH5995" s="7"/>
      <c r="BQ5995" s="7"/>
      <c r="BZ5995" s="7"/>
    </row>
    <row r="5996" spans="2:78">
      <c r="B5996" s="7"/>
      <c r="O5996" s="7"/>
      <c r="X5996" s="7"/>
      <c r="AG5996" s="7"/>
      <c r="AP5996" s="7"/>
      <c r="AY5996" s="7"/>
      <c r="BH5996" s="7"/>
      <c r="BQ5996" s="7"/>
      <c r="BZ5996" s="7"/>
    </row>
    <row r="5997" spans="2:78">
      <c r="B5997" s="7"/>
      <c r="O5997" s="7"/>
      <c r="X5997" s="7"/>
      <c r="AG5997" s="7"/>
      <c r="AP5997" s="7"/>
      <c r="AY5997" s="7"/>
      <c r="BH5997" s="7"/>
      <c r="BQ5997" s="7"/>
      <c r="BZ5997" s="7"/>
    </row>
    <row r="5998" spans="2:78">
      <c r="B5998" s="7"/>
      <c r="O5998" s="7"/>
      <c r="X5998" s="7"/>
      <c r="AG5998" s="7"/>
      <c r="AP5998" s="7"/>
      <c r="AY5998" s="7"/>
      <c r="BH5998" s="7"/>
      <c r="BQ5998" s="7"/>
      <c r="BZ5998" s="7"/>
    </row>
    <row r="5999" spans="2:78">
      <c r="B5999" s="7"/>
      <c r="O5999" s="7"/>
      <c r="X5999" s="7"/>
      <c r="AG5999" s="7"/>
      <c r="AP5999" s="7"/>
      <c r="AY5999" s="7"/>
      <c r="BH5999" s="7"/>
      <c r="BQ5999" s="7"/>
      <c r="BZ5999" s="7"/>
    </row>
    <row r="6000" spans="2:78">
      <c r="B6000" s="7"/>
      <c r="O6000" s="7"/>
      <c r="X6000" s="7"/>
      <c r="AG6000" s="7"/>
      <c r="AP6000" s="7"/>
      <c r="AY6000" s="7"/>
      <c r="BH6000" s="7"/>
      <c r="BQ6000" s="7"/>
      <c r="BZ6000" s="7"/>
    </row>
    <row r="6001" spans="2:78">
      <c r="B6001" s="7"/>
      <c r="O6001" s="7"/>
      <c r="X6001" s="7"/>
      <c r="AG6001" s="7"/>
      <c r="AP6001" s="7"/>
      <c r="AY6001" s="7"/>
      <c r="BH6001" s="7"/>
      <c r="BQ6001" s="7"/>
      <c r="BZ6001" s="7"/>
    </row>
    <row r="6002" spans="2:78">
      <c r="B6002" s="7"/>
      <c r="O6002" s="7"/>
      <c r="X6002" s="7"/>
      <c r="AG6002" s="7"/>
      <c r="AP6002" s="7"/>
      <c r="AY6002" s="7"/>
      <c r="BH6002" s="7"/>
      <c r="BQ6002" s="7"/>
      <c r="BZ6002" s="7"/>
    </row>
    <row r="6003" spans="2:78">
      <c r="B6003" s="7"/>
      <c r="O6003" s="7"/>
      <c r="X6003" s="7"/>
      <c r="AG6003" s="7"/>
      <c r="AP6003" s="7"/>
      <c r="AY6003" s="7"/>
      <c r="BH6003" s="7"/>
      <c r="BQ6003" s="7"/>
      <c r="BZ6003" s="7"/>
    </row>
    <row r="6004" spans="2:78">
      <c r="B6004" s="7"/>
      <c r="O6004" s="7"/>
      <c r="X6004" s="7"/>
      <c r="AG6004" s="7"/>
      <c r="AP6004" s="7"/>
      <c r="AY6004" s="7"/>
      <c r="BH6004" s="7"/>
      <c r="BQ6004" s="7"/>
      <c r="BZ6004" s="7"/>
    </row>
    <row r="6005" spans="2:78">
      <c r="B6005" s="7"/>
      <c r="O6005" s="7"/>
      <c r="X6005" s="7"/>
      <c r="AG6005" s="7"/>
      <c r="AP6005" s="7"/>
      <c r="AY6005" s="7"/>
      <c r="BH6005" s="7"/>
      <c r="BQ6005" s="7"/>
      <c r="BZ6005" s="7"/>
    </row>
    <row r="6006" spans="2:78">
      <c r="B6006" s="7"/>
      <c r="O6006" s="7"/>
      <c r="X6006" s="7"/>
      <c r="AG6006" s="7"/>
      <c r="AP6006" s="7"/>
      <c r="AY6006" s="7"/>
      <c r="BH6006" s="7"/>
      <c r="BQ6006" s="7"/>
      <c r="BZ6006" s="7"/>
    </row>
    <row r="6007" spans="2:78">
      <c r="B6007" s="7"/>
      <c r="O6007" s="7"/>
      <c r="X6007" s="7"/>
      <c r="AG6007" s="7"/>
      <c r="AP6007" s="7"/>
      <c r="AY6007" s="7"/>
      <c r="BH6007" s="7"/>
      <c r="BQ6007" s="7"/>
      <c r="BZ6007" s="7"/>
    </row>
    <row r="6008" spans="2:78">
      <c r="B6008" s="7"/>
      <c r="O6008" s="7"/>
      <c r="X6008" s="7"/>
      <c r="AG6008" s="7"/>
      <c r="AP6008" s="7"/>
      <c r="AY6008" s="7"/>
      <c r="BH6008" s="7"/>
      <c r="BQ6008" s="7"/>
      <c r="BZ6008" s="7"/>
    </row>
    <row r="6009" spans="2:78">
      <c r="B6009" s="7"/>
      <c r="O6009" s="7"/>
      <c r="X6009" s="7"/>
      <c r="AG6009" s="7"/>
      <c r="AP6009" s="7"/>
      <c r="AY6009" s="7"/>
      <c r="BH6009" s="7"/>
      <c r="BQ6009" s="7"/>
      <c r="BZ6009" s="7"/>
    </row>
    <row r="6010" spans="2:78">
      <c r="B6010" s="7"/>
      <c r="O6010" s="7"/>
      <c r="X6010" s="7"/>
      <c r="AG6010" s="7"/>
      <c r="AP6010" s="7"/>
      <c r="AY6010" s="7"/>
      <c r="BH6010" s="7"/>
      <c r="BQ6010" s="7"/>
      <c r="BZ6010" s="7"/>
    </row>
    <row r="6011" spans="2:78">
      <c r="B6011" s="7"/>
      <c r="O6011" s="7"/>
      <c r="X6011" s="7"/>
      <c r="AG6011" s="7"/>
      <c r="AP6011" s="7"/>
      <c r="AY6011" s="7"/>
      <c r="BH6011" s="7"/>
      <c r="BQ6011" s="7"/>
      <c r="BZ6011" s="7"/>
    </row>
    <row r="6012" spans="2:78">
      <c r="B6012" s="7"/>
      <c r="O6012" s="7"/>
      <c r="X6012" s="7"/>
      <c r="AG6012" s="7"/>
      <c r="AP6012" s="7"/>
      <c r="AY6012" s="7"/>
      <c r="BH6012" s="7"/>
      <c r="BQ6012" s="7"/>
      <c r="BZ6012" s="7"/>
    </row>
    <row r="6013" spans="2:78">
      <c r="B6013" s="7"/>
      <c r="O6013" s="7"/>
      <c r="X6013" s="7"/>
      <c r="AG6013" s="7"/>
      <c r="AP6013" s="7"/>
      <c r="AY6013" s="7"/>
      <c r="BH6013" s="7"/>
      <c r="BQ6013" s="7"/>
      <c r="BZ6013" s="7"/>
    </row>
    <row r="6014" spans="2:78">
      <c r="B6014" s="7"/>
      <c r="O6014" s="7"/>
      <c r="X6014" s="7"/>
      <c r="AG6014" s="7"/>
      <c r="AP6014" s="7"/>
      <c r="AY6014" s="7"/>
      <c r="BH6014" s="7"/>
      <c r="BQ6014" s="7"/>
      <c r="BZ6014" s="7"/>
    </row>
    <row r="6015" spans="2:78">
      <c r="B6015" s="7"/>
      <c r="O6015" s="7"/>
      <c r="X6015" s="7"/>
      <c r="AG6015" s="7"/>
      <c r="AP6015" s="7"/>
      <c r="AY6015" s="7"/>
      <c r="BH6015" s="7"/>
      <c r="BQ6015" s="7"/>
      <c r="BZ6015" s="7"/>
    </row>
    <row r="6016" spans="2:78">
      <c r="B6016" s="7"/>
      <c r="O6016" s="7"/>
      <c r="X6016" s="7"/>
      <c r="AG6016" s="7"/>
      <c r="AP6016" s="7"/>
      <c r="AY6016" s="7"/>
      <c r="BH6016" s="7"/>
      <c r="BQ6016" s="7"/>
      <c r="BZ6016" s="7"/>
    </row>
    <row r="6017" spans="2:78">
      <c r="B6017" s="7"/>
      <c r="O6017" s="7"/>
      <c r="X6017" s="7"/>
      <c r="AG6017" s="7"/>
      <c r="AP6017" s="7"/>
      <c r="AY6017" s="7"/>
      <c r="BH6017" s="7"/>
      <c r="BQ6017" s="7"/>
      <c r="BZ6017" s="7"/>
    </row>
    <row r="6018" spans="2:78">
      <c r="B6018" s="7"/>
      <c r="O6018" s="7"/>
      <c r="X6018" s="7"/>
      <c r="AG6018" s="7"/>
      <c r="AP6018" s="7"/>
      <c r="AY6018" s="7"/>
      <c r="BH6018" s="7"/>
      <c r="BQ6018" s="7"/>
      <c r="BZ6018" s="7"/>
    </row>
    <row r="6019" spans="2:78">
      <c r="B6019" s="7"/>
      <c r="O6019" s="7"/>
      <c r="X6019" s="7"/>
      <c r="AG6019" s="7"/>
      <c r="AP6019" s="7"/>
      <c r="AY6019" s="7"/>
      <c r="BH6019" s="7"/>
      <c r="BQ6019" s="7"/>
      <c r="BZ6019" s="7"/>
    </row>
    <row r="6020" spans="2:78">
      <c r="B6020" s="7"/>
      <c r="O6020" s="7"/>
      <c r="X6020" s="7"/>
      <c r="AG6020" s="7"/>
      <c r="AP6020" s="7"/>
      <c r="AY6020" s="7"/>
      <c r="BH6020" s="7"/>
      <c r="BQ6020" s="7"/>
      <c r="BZ6020" s="7"/>
    </row>
    <row r="6021" spans="2:78">
      <c r="B6021" s="7"/>
      <c r="O6021" s="7"/>
      <c r="X6021" s="7"/>
      <c r="AG6021" s="7"/>
      <c r="AP6021" s="7"/>
      <c r="AY6021" s="7"/>
      <c r="BH6021" s="7"/>
      <c r="BQ6021" s="7"/>
      <c r="BZ6021" s="7"/>
    </row>
    <row r="6022" spans="2:78">
      <c r="B6022" s="7"/>
      <c r="O6022" s="7"/>
      <c r="X6022" s="7"/>
      <c r="AG6022" s="7"/>
      <c r="AP6022" s="7"/>
      <c r="AY6022" s="7"/>
      <c r="BH6022" s="7"/>
      <c r="BQ6022" s="7"/>
      <c r="BZ6022" s="7"/>
    </row>
    <row r="6023" spans="2:78">
      <c r="B6023" s="7"/>
      <c r="O6023" s="7"/>
      <c r="X6023" s="7"/>
      <c r="AG6023" s="7"/>
      <c r="AP6023" s="7"/>
      <c r="AY6023" s="7"/>
      <c r="BH6023" s="7"/>
      <c r="BQ6023" s="7"/>
      <c r="BZ6023" s="7"/>
    </row>
    <row r="6024" spans="2:78">
      <c r="B6024" s="7"/>
      <c r="O6024" s="7"/>
      <c r="X6024" s="7"/>
      <c r="AG6024" s="7"/>
      <c r="AP6024" s="7"/>
      <c r="AY6024" s="7"/>
      <c r="BH6024" s="7"/>
      <c r="BQ6024" s="7"/>
      <c r="BZ6024" s="7"/>
    </row>
    <row r="6025" spans="2:78">
      <c r="B6025" s="7"/>
      <c r="O6025" s="7"/>
      <c r="X6025" s="7"/>
      <c r="AG6025" s="7"/>
      <c r="AP6025" s="7"/>
      <c r="AY6025" s="7"/>
      <c r="BH6025" s="7"/>
      <c r="BQ6025" s="7"/>
      <c r="BZ6025" s="7"/>
    </row>
    <row r="6026" spans="2:78">
      <c r="B6026" s="7"/>
      <c r="O6026" s="7"/>
      <c r="X6026" s="7"/>
      <c r="AG6026" s="7"/>
      <c r="AP6026" s="7"/>
      <c r="AY6026" s="7"/>
      <c r="BH6026" s="7"/>
      <c r="BQ6026" s="7"/>
      <c r="BZ6026" s="7"/>
    </row>
    <row r="6027" spans="2:78">
      <c r="B6027" s="7"/>
      <c r="O6027" s="7"/>
      <c r="X6027" s="7"/>
      <c r="AG6027" s="7"/>
      <c r="AP6027" s="7"/>
      <c r="AY6027" s="7"/>
      <c r="BH6027" s="7"/>
      <c r="BQ6027" s="7"/>
      <c r="BZ6027" s="7"/>
    </row>
    <row r="6028" spans="2:78">
      <c r="B6028" s="7"/>
      <c r="O6028" s="7"/>
      <c r="X6028" s="7"/>
      <c r="AG6028" s="7"/>
      <c r="AP6028" s="7"/>
      <c r="AY6028" s="7"/>
      <c r="BH6028" s="7"/>
      <c r="BQ6028" s="7"/>
      <c r="BZ6028" s="7"/>
    </row>
    <row r="6029" spans="2:78">
      <c r="B6029" s="7"/>
      <c r="O6029" s="7"/>
      <c r="X6029" s="7"/>
      <c r="AG6029" s="7"/>
      <c r="AP6029" s="7"/>
      <c r="AY6029" s="7"/>
      <c r="BH6029" s="7"/>
      <c r="BQ6029" s="7"/>
      <c r="BZ6029" s="7"/>
    </row>
    <row r="6030" spans="2:78">
      <c r="B6030" s="7"/>
      <c r="O6030" s="7"/>
      <c r="X6030" s="7"/>
      <c r="AG6030" s="7"/>
      <c r="AP6030" s="7"/>
      <c r="AY6030" s="7"/>
      <c r="BH6030" s="7"/>
      <c r="BQ6030" s="7"/>
      <c r="BZ6030" s="7"/>
    </row>
    <row r="6031" spans="2:78">
      <c r="B6031" s="7"/>
      <c r="O6031" s="7"/>
      <c r="X6031" s="7"/>
      <c r="AG6031" s="7"/>
      <c r="AP6031" s="7"/>
      <c r="AY6031" s="7"/>
      <c r="BH6031" s="7"/>
      <c r="BQ6031" s="7"/>
      <c r="BZ6031" s="7"/>
    </row>
    <row r="6032" spans="2:78">
      <c r="B6032" s="7"/>
      <c r="O6032" s="7"/>
      <c r="X6032" s="7"/>
      <c r="AG6032" s="7"/>
      <c r="AP6032" s="7"/>
      <c r="AY6032" s="7"/>
      <c r="BH6032" s="7"/>
      <c r="BQ6032" s="7"/>
      <c r="BZ6032" s="7"/>
    </row>
    <row r="6033" spans="2:78">
      <c r="B6033" s="7"/>
      <c r="O6033" s="7"/>
      <c r="X6033" s="7"/>
      <c r="AG6033" s="7"/>
      <c r="AP6033" s="7"/>
      <c r="AY6033" s="7"/>
      <c r="BH6033" s="7"/>
      <c r="BQ6033" s="7"/>
      <c r="BZ6033" s="7"/>
    </row>
    <row r="6034" spans="2:78">
      <c r="B6034" s="7"/>
      <c r="O6034" s="7"/>
      <c r="X6034" s="7"/>
      <c r="AG6034" s="7"/>
      <c r="AP6034" s="7"/>
      <c r="AY6034" s="7"/>
      <c r="BH6034" s="7"/>
      <c r="BQ6034" s="7"/>
      <c r="BZ6034" s="7"/>
    </row>
    <row r="6035" spans="2:78">
      <c r="B6035" s="7"/>
      <c r="O6035" s="7"/>
      <c r="X6035" s="7"/>
      <c r="AG6035" s="7"/>
      <c r="AP6035" s="7"/>
      <c r="AY6035" s="7"/>
      <c r="BH6035" s="7"/>
      <c r="BQ6035" s="7"/>
      <c r="BZ6035" s="7"/>
    </row>
    <row r="6036" spans="2:78">
      <c r="B6036" s="7"/>
      <c r="O6036" s="7"/>
      <c r="X6036" s="7"/>
      <c r="AG6036" s="7"/>
      <c r="AP6036" s="7"/>
      <c r="AY6036" s="7"/>
      <c r="BH6036" s="7"/>
      <c r="BQ6036" s="7"/>
      <c r="BZ6036" s="7"/>
    </row>
    <row r="6037" spans="2:78">
      <c r="B6037" s="7"/>
      <c r="O6037" s="7"/>
      <c r="X6037" s="7"/>
      <c r="AG6037" s="7"/>
      <c r="AP6037" s="7"/>
      <c r="AY6037" s="7"/>
      <c r="BH6037" s="7"/>
      <c r="BQ6037" s="7"/>
      <c r="BZ6037" s="7"/>
    </row>
    <row r="6038" spans="2:78">
      <c r="B6038" s="7"/>
      <c r="O6038" s="7"/>
      <c r="X6038" s="7"/>
      <c r="AG6038" s="7"/>
      <c r="AP6038" s="7"/>
      <c r="AY6038" s="7"/>
      <c r="BH6038" s="7"/>
      <c r="BQ6038" s="7"/>
      <c r="BZ6038" s="7"/>
    </row>
    <row r="6039" spans="2:78">
      <c r="B6039" s="7"/>
      <c r="O6039" s="7"/>
      <c r="X6039" s="7"/>
      <c r="AG6039" s="7"/>
      <c r="AP6039" s="7"/>
      <c r="AY6039" s="7"/>
      <c r="BH6039" s="7"/>
      <c r="BQ6039" s="7"/>
      <c r="BZ6039" s="7"/>
    </row>
    <row r="6040" spans="2:78">
      <c r="B6040" s="7"/>
      <c r="O6040" s="7"/>
      <c r="X6040" s="7"/>
      <c r="AG6040" s="7"/>
      <c r="AP6040" s="7"/>
      <c r="AY6040" s="7"/>
      <c r="BH6040" s="7"/>
      <c r="BQ6040" s="7"/>
      <c r="BZ6040" s="7"/>
    </row>
    <row r="6041" spans="2:78">
      <c r="B6041" s="7"/>
      <c r="O6041" s="7"/>
      <c r="X6041" s="7"/>
      <c r="AG6041" s="7"/>
      <c r="AP6041" s="7"/>
      <c r="AY6041" s="7"/>
      <c r="BH6041" s="7"/>
      <c r="BQ6041" s="7"/>
      <c r="BZ6041" s="7"/>
    </row>
    <row r="6042" spans="2:78">
      <c r="B6042" s="7"/>
      <c r="O6042" s="7"/>
      <c r="X6042" s="7"/>
      <c r="AG6042" s="7"/>
      <c r="AP6042" s="7"/>
      <c r="AY6042" s="7"/>
      <c r="BH6042" s="7"/>
      <c r="BQ6042" s="7"/>
      <c r="BZ6042" s="7"/>
    </row>
    <row r="6043" spans="2:78">
      <c r="B6043" s="7"/>
      <c r="O6043" s="7"/>
      <c r="X6043" s="7"/>
      <c r="AG6043" s="7"/>
      <c r="AP6043" s="7"/>
      <c r="AY6043" s="7"/>
      <c r="BH6043" s="7"/>
      <c r="BQ6043" s="7"/>
      <c r="BZ6043" s="7"/>
    </row>
    <row r="6044" spans="2:78">
      <c r="B6044" s="7"/>
      <c r="O6044" s="7"/>
      <c r="X6044" s="7"/>
      <c r="AG6044" s="7"/>
      <c r="AP6044" s="7"/>
      <c r="AY6044" s="7"/>
      <c r="BH6044" s="7"/>
      <c r="BQ6044" s="7"/>
      <c r="BZ6044" s="7"/>
    </row>
    <row r="6045" spans="2:78">
      <c r="B6045" s="7"/>
      <c r="O6045" s="7"/>
      <c r="X6045" s="7"/>
      <c r="AG6045" s="7"/>
      <c r="AP6045" s="7"/>
      <c r="AY6045" s="7"/>
      <c r="BH6045" s="7"/>
      <c r="BQ6045" s="7"/>
      <c r="BZ6045" s="7"/>
    </row>
    <row r="6046" spans="2:78">
      <c r="B6046" s="7"/>
      <c r="O6046" s="7"/>
      <c r="X6046" s="7"/>
      <c r="AG6046" s="7"/>
      <c r="AP6046" s="7"/>
      <c r="AY6046" s="7"/>
      <c r="BH6046" s="7"/>
      <c r="BQ6046" s="7"/>
      <c r="BZ6046" s="7"/>
    </row>
    <row r="6047" spans="2:78">
      <c r="B6047" s="7"/>
      <c r="O6047" s="7"/>
      <c r="X6047" s="7"/>
      <c r="AG6047" s="7"/>
      <c r="AP6047" s="7"/>
      <c r="AY6047" s="7"/>
      <c r="BH6047" s="7"/>
      <c r="BQ6047" s="7"/>
      <c r="BZ6047" s="7"/>
    </row>
    <row r="6048" spans="2:78">
      <c r="B6048" s="7"/>
      <c r="O6048" s="7"/>
      <c r="X6048" s="7"/>
      <c r="AG6048" s="7"/>
      <c r="AP6048" s="7"/>
      <c r="AY6048" s="7"/>
      <c r="BH6048" s="7"/>
      <c r="BQ6048" s="7"/>
      <c r="BZ6048" s="7"/>
    </row>
    <row r="6049" spans="2:78">
      <c r="B6049" s="7"/>
      <c r="O6049" s="7"/>
      <c r="X6049" s="7"/>
      <c r="AG6049" s="7"/>
      <c r="AP6049" s="7"/>
      <c r="AY6049" s="7"/>
      <c r="BH6049" s="7"/>
      <c r="BQ6049" s="7"/>
      <c r="BZ6049" s="7"/>
    </row>
    <row r="6050" spans="2:78">
      <c r="B6050" s="7"/>
      <c r="O6050" s="7"/>
      <c r="X6050" s="7"/>
      <c r="AG6050" s="7"/>
      <c r="AP6050" s="7"/>
      <c r="AY6050" s="7"/>
      <c r="BH6050" s="7"/>
      <c r="BQ6050" s="7"/>
      <c r="BZ6050" s="7"/>
    </row>
    <row r="6051" spans="2:78">
      <c r="B6051" s="7"/>
      <c r="O6051" s="7"/>
      <c r="X6051" s="7"/>
      <c r="AG6051" s="7"/>
      <c r="AP6051" s="7"/>
      <c r="AY6051" s="7"/>
      <c r="BH6051" s="7"/>
      <c r="BQ6051" s="7"/>
      <c r="BZ6051" s="7"/>
    </row>
    <row r="6052" spans="2:78">
      <c r="B6052" s="7"/>
      <c r="O6052" s="7"/>
      <c r="X6052" s="7"/>
      <c r="AG6052" s="7"/>
      <c r="AP6052" s="7"/>
      <c r="AY6052" s="7"/>
      <c r="BH6052" s="7"/>
      <c r="BQ6052" s="7"/>
      <c r="BZ6052" s="7"/>
    </row>
    <row r="6053" spans="2:78">
      <c r="B6053" s="7"/>
      <c r="O6053" s="7"/>
      <c r="X6053" s="7"/>
      <c r="AG6053" s="7"/>
      <c r="AP6053" s="7"/>
      <c r="AY6053" s="7"/>
      <c r="BH6053" s="7"/>
      <c r="BQ6053" s="7"/>
      <c r="BZ6053" s="7"/>
    </row>
    <row r="6054" spans="2:78">
      <c r="B6054" s="7"/>
      <c r="O6054" s="7"/>
      <c r="X6054" s="7"/>
      <c r="AG6054" s="7"/>
      <c r="AP6054" s="7"/>
      <c r="AY6054" s="7"/>
      <c r="BH6054" s="7"/>
      <c r="BQ6054" s="7"/>
      <c r="BZ6054" s="7"/>
    </row>
    <row r="6055" spans="2:78">
      <c r="B6055" s="7"/>
      <c r="O6055" s="7"/>
      <c r="X6055" s="7"/>
      <c r="AG6055" s="7"/>
      <c r="AP6055" s="7"/>
      <c r="AY6055" s="7"/>
      <c r="BH6055" s="7"/>
      <c r="BQ6055" s="7"/>
      <c r="BZ6055" s="7"/>
    </row>
    <row r="6056" spans="2:78">
      <c r="B6056" s="7"/>
      <c r="O6056" s="7"/>
      <c r="X6056" s="7"/>
      <c r="AG6056" s="7"/>
      <c r="AP6056" s="7"/>
      <c r="AY6056" s="7"/>
      <c r="BH6056" s="7"/>
      <c r="BQ6056" s="7"/>
      <c r="BZ6056" s="7"/>
    </row>
    <row r="6057" spans="2:78">
      <c r="B6057" s="7"/>
      <c r="O6057" s="7"/>
      <c r="X6057" s="7"/>
      <c r="AG6057" s="7"/>
      <c r="AP6057" s="7"/>
      <c r="AY6057" s="7"/>
      <c r="BH6057" s="7"/>
      <c r="BQ6057" s="7"/>
      <c r="BZ6057" s="7"/>
    </row>
    <row r="6058" spans="2:78">
      <c r="B6058" s="7"/>
      <c r="O6058" s="7"/>
      <c r="X6058" s="7"/>
      <c r="AG6058" s="7"/>
      <c r="AP6058" s="7"/>
      <c r="AY6058" s="7"/>
      <c r="BH6058" s="7"/>
      <c r="BQ6058" s="7"/>
      <c r="BZ6058" s="7"/>
    </row>
    <row r="6059" spans="2:78">
      <c r="B6059" s="7"/>
      <c r="O6059" s="7"/>
      <c r="X6059" s="7"/>
      <c r="AG6059" s="7"/>
      <c r="AP6059" s="7"/>
      <c r="AY6059" s="7"/>
      <c r="BH6059" s="7"/>
      <c r="BQ6059" s="7"/>
      <c r="BZ6059" s="7"/>
    </row>
    <row r="6060" spans="2:78">
      <c r="B6060" s="7"/>
      <c r="O6060" s="7"/>
      <c r="X6060" s="7"/>
      <c r="AG6060" s="7"/>
      <c r="AP6060" s="7"/>
      <c r="AY6060" s="7"/>
      <c r="BH6060" s="7"/>
      <c r="BQ6060" s="7"/>
      <c r="BZ6060" s="7"/>
    </row>
    <row r="6061" spans="2:78">
      <c r="B6061" s="7"/>
      <c r="O6061" s="7"/>
      <c r="X6061" s="7"/>
      <c r="AG6061" s="7"/>
      <c r="AP6061" s="7"/>
      <c r="AY6061" s="7"/>
      <c r="BH6061" s="7"/>
      <c r="BQ6061" s="7"/>
      <c r="BZ6061" s="7"/>
    </row>
    <row r="6062" spans="2:78">
      <c r="B6062" s="7"/>
      <c r="O6062" s="7"/>
      <c r="X6062" s="7"/>
      <c r="AG6062" s="7"/>
      <c r="AP6062" s="7"/>
      <c r="AY6062" s="7"/>
      <c r="BH6062" s="7"/>
      <c r="BQ6062" s="7"/>
      <c r="BZ6062" s="7"/>
    </row>
    <row r="6063" spans="2:78">
      <c r="B6063" s="7"/>
      <c r="O6063" s="7"/>
      <c r="X6063" s="7"/>
      <c r="AG6063" s="7"/>
      <c r="AP6063" s="7"/>
      <c r="AY6063" s="7"/>
      <c r="BH6063" s="7"/>
      <c r="BQ6063" s="7"/>
      <c r="BZ6063" s="7"/>
    </row>
    <row r="6064" spans="2:78">
      <c r="B6064" s="7"/>
      <c r="O6064" s="7"/>
      <c r="X6064" s="7"/>
      <c r="AG6064" s="7"/>
      <c r="AP6064" s="7"/>
      <c r="AY6064" s="7"/>
      <c r="BH6064" s="7"/>
      <c r="BQ6064" s="7"/>
      <c r="BZ6064" s="7"/>
    </row>
    <row r="6065" spans="2:78">
      <c r="B6065" s="7"/>
      <c r="O6065" s="7"/>
      <c r="X6065" s="7"/>
      <c r="AG6065" s="7"/>
      <c r="AP6065" s="7"/>
      <c r="AY6065" s="7"/>
      <c r="BH6065" s="7"/>
      <c r="BQ6065" s="7"/>
      <c r="BZ6065" s="7"/>
    </row>
    <row r="6066" spans="2:78">
      <c r="B6066" s="7"/>
      <c r="O6066" s="7"/>
      <c r="X6066" s="7"/>
      <c r="AG6066" s="7"/>
      <c r="AP6066" s="7"/>
      <c r="AY6066" s="7"/>
      <c r="BH6066" s="7"/>
      <c r="BQ6066" s="7"/>
      <c r="BZ6066" s="7"/>
    </row>
    <row r="6067" spans="2:78">
      <c r="B6067" s="7"/>
      <c r="O6067" s="7"/>
      <c r="X6067" s="7"/>
      <c r="AG6067" s="7"/>
      <c r="AP6067" s="7"/>
      <c r="AY6067" s="7"/>
      <c r="BH6067" s="7"/>
      <c r="BQ6067" s="7"/>
      <c r="BZ6067" s="7"/>
    </row>
    <row r="6068" spans="2:78">
      <c r="B6068" s="7"/>
      <c r="O6068" s="7"/>
      <c r="X6068" s="7"/>
      <c r="AG6068" s="7"/>
      <c r="AP6068" s="7"/>
      <c r="AY6068" s="7"/>
      <c r="BH6068" s="7"/>
      <c r="BQ6068" s="7"/>
      <c r="BZ6068" s="7"/>
    </row>
    <row r="6069" spans="2:78">
      <c r="B6069" s="7"/>
      <c r="O6069" s="7"/>
      <c r="X6069" s="7"/>
      <c r="AG6069" s="7"/>
      <c r="AP6069" s="7"/>
      <c r="AY6069" s="7"/>
      <c r="BH6069" s="7"/>
      <c r="BQ6069" s="7"/>
      <c r="BZ6069" s="7"/>
    </row>
    <row r="6070" spans="2:78">
      <c r="B6070" s="7"/>
      <c r="O6070" s="7"/>
      <c r="X6070" s="7"/>
      <c r="AG6070" s="7"/>
      <c r="AP6070" s="7"/>
      <c r="AY6070" s="7"/>
      <c r="BH6070" s="7"/>
      <c r="BQ6070" s="7"/>
      <c r="BZ6070" s="7"/>
    </row>
    <row r="6071" spans="2:78">
      <c r="B6071" s="7"/>
      <c r="O6071" s="7"/>
      <c r="X6071" s="7"/>
      <c r="AG6071" s="7"/>
      <c r="AP6071" s="7"/>
      <c r="AY6071" s="7"/>
      <c r="BH6071" s="7"/>
      <c r="BQ6071" s="7"/>
      <c r="BZ6071" s="7"/>
    </row>
    <row r="6072" spans="2:78">
      <c r="B6072" s="7"/>
      <c r="O6072" s="7"/>
      <c r="X6072" s="7"/>
      <c r="AG6072" s="7"/>
      <c r="AP6072" s="7"/>
      <c r="AY6072" s="7"/>
      <c r="BH6072" s="7"/>
      <c r="BQ6072" s="7"/>
      <c r="BZ6072" s="7"/>
    </row>
    <row r="6073" spans="2:78">
      <c r="B6073" s="7"/>
      <c r="O6073" s="7"/>
      <c r="X6073" s="7"/>
      <c r="AG6073" s="7"/>
      <c r="AP6073" s="7"/>
      <c r="AY6073" s="7"/>
      <c r="BH6073" s="7"/>
      <c r="BQ6073" s="7"/>
      <c r="BZ6073" s="7"/>
    </row>
    <row r="6074" spans="2:78">
      <c r="B6074" s="7"/>
      <c r="O6074" s="7"/>
      <c r="X6074" s="7"/>
      <c r="AG6074" s="7"/>
      <c r="AP6074" s="7"/>
      <c r="AY6074" s="7"/>
      <c r="BH6074" s="7"/>
      <c r="BQ6074" s="7"/>
      <c r="BZ6074" s="7"/>
    </row>
    <row r="6075" spans="2:78">
      <c r="B6075" s="7"/>
      <c r="O6075" s="7"/>
      <c r="X6075" s="7"/>
      <c r="AG6075" s="7"/>
      <c r="AP6075" s="7"/>
      <c r="AY6075" s="7"/>
      <c r="BH6075" s="7"/>
      <c r="BQ6075" s="7"/>
      <c r="BZ6075" s="7"/>
    </row>
    <row r="6076" spans="2:78">
      <c r="B6076" s="7"/>
      <c r="O6076" s="7"/>
      <c r="X6076" s="7"/>
      <c r="AG6076" s="7"/>
      <c r="AP6076" s="7"/>
      <c r="AY6076" s="7"/>
      <c r="BH6076" s="7"/>
      <c r="BQ6076" s="7"/>
      <c r="BZ6076" s="7"/>
    </row>
    <row r="6077" spans="2:78">
      <c r="B6077" s="7"/>
      <c r="O6077" s="7"/>
      <c r="X6077" s="7"/>
      <c r="AG6077" s="7"/>
      <c r="AP6077" s="7"/>
      <c r="AY6077" s="7"/>
      <c r="BH6077" s="7"/>
      <c r="BQ6077" s="7"/>
      <c r="BZ6077" s="7"/>
    </row>
    <row r="6078" spans="2:78">
      <c r="B6078" s="7"/>
      <c r="O6078" s="7"/>
      <c r="X6078" s="7"/>
      <c r="AG6078" s="7"/>
      <c r="AP6078" s="7"/>
      <c r="AY6078" s="7"/>
      <c r="BH6078" s="7"/>
      <c r="BQ6078" s="7"/>
      <c r="BZ6078" s="7"/>
    </row>
    <row r="6079" spans="2:78">
      <c r="B6079" s="7"/>
      <c r="O6079" s="7"/>
      <c r="X6079" s="7"/>
      <c r="AG6079" s="7"/>
      <c r="AP6079" s="7"/>
      <c r="AY6079" s="7"/>
      <c r="BH6079" s="7"/>
      <c r="BQ6079" s="7"/>
      <c r="BZ6079" s="7"/>
    </row>
    <row r="6080" spans="2:78">
      <c r="B6080" s="7"/>
      <c r="O6080" s="7"/>
      <c r="X6080" s="7"/>
      <c r="AG6080" s="7"/>
      <c r="AP6080" s="7"/>
      <c r="AY6080" s="7"/>
      <c r="BH6080" s="7"/>
      <c r="BQ6080" s="7"/>
      <c r="BZ6080" s="7"/>
    </row>
    <row r="6081" spans="2:78">
      <c r="B6081" s="7"/>
      <c r="O6081" s="7"/>
      <c r="X6081" s="7"/>
      <c r="AG6081" s="7"/>
      <c r="AP6081" s="7"/>
      <c r="AY6081" s="7"/>
      <c r="BH6081" s="7"/>
      <c r="BQ6081" s="7"/>
      <c r="BZ6081" s="7"/>
    </row>
    <row r="6082" spans="2:78">
      <c r="B6082" s="7"/>
      <c r="O6082" s="7"/>
      <c r="X6082" s="7"/>
      <c r="AG6082" s="7"/>
      <c r="AP6082" s="7"/>
      <c r="AY6082" s="7"/>
      <c r="BH6082" s="7"/>
      <c r="BQ6082" s="7"/>
      <c r="BZ6082" s="7"/>
    </row>
    <row r="6083" spans="2:78">
      <c r="B6083" s="7"/>
      <c r="O6083" s="7"/>
      <c r="X6083" s="7"/>
      <c r="AG6083" s="7"/>
      <c r="AP6083" s="7"/>
      <c r="AY6083" s="7"/>
      <c r="BH6083" s="7"/>
      <c r="BQ6083" s="7"/>
      <c r="BZ6083" s="7"/>
    </row>
    <row r="6084" spans="2:78">
      <c r="B6084" s="7"/>
      <c r="O6084" s="7"/>
      <c r="X6084" s="7"/>
      <c r="AG6084" s="7"/>
      <c r="AP6084" s="7"/>
      <c r="AY6084" s="7"/>
      <c r="BH6084" s="7"/>
      <c r="BQ6084" s="7"/>
      <c r="BZ6084" s="7"/>
    </row>
    <row r="6085" spans="2:78">
      <c r="B6085" s="7"/>
      <c r="O6085" s="7"/>
      <c r="X6085" s="7"/>
      <c r="AG6085" s="7"/>
      <c r="AP6085" s="7"/>
      <c r="AY6085" s="7"/>
      <c r="BH6085" s="7"/>
      <c r="BQ6085" s="7"/>
      <c r="BZ6085" s="7"/>
    </row>
    <row r="6086" spans="2:78">
      <c r="B6086" s="7"/>
      <c r="O6086" s="7"/>
      <c r="X6086" s="7"/>
      <c r="AG6086" s="7"/>
      <c r="AP6086" s="7"/>
      <c r="AY6086" s="7"/>
      <c r="BH6086" s="7"/>
      <c r="BQ6086" s="7"/>
      <c r="BZ6086" s="7"/>
    </row>
    <row r="6087" spans="2:78">
      <c r="B6087" s="7"/>
      <c r="O6087" s="7"/>
      <c r="X6087" s="7"/>
      <c r="AG6087" s="7"/>
      <c r="AP6087" s="7"/>
      <c r="AY6087" s="7"/>
      <c r="BH6087" s="7"/>
      <c r="BQ6087" s="7"/>
      <c r="BZ6087" s="7"/>
    </row>
    <row r="6088" spans="2:78">
      <c r="B6088" s="7"/>
      <c r="O6088" s="7"/>
      <c r="X6088" s="7"/>
      <c r="AG6088" s="7"/>
      <c r="AP6088" s="7"/>
      <c r="AY6088" s="7"/>
      <c r="BH6088" s="7"/>
      <c r="BQ6088" s="7"/>
      <c r="BZ6088" s="7"/>
    </row>
    <row r="6089" spans="2:78">
      <c r="B6089" s="7"/>
      <c r="O6089" s="7"/>
      <c r="X6089" s="7"/>
      <c r="AG6089" s="7"/>
      <c r="AP6089" s="7"/>
      <c r="AY6089" s="7"/>
      <c r="BH6089" s="7"/>
      <c r="BQ6089" s="7"/>
      <c r="BZ6089" s="7"/>
    </row>
    <row r="6090" spans="2:78">
      <c r="B6090" s="7"/>
      <c r="O6090" s="7"/>
      <c r="X6090" s="7"/>
      <c r="AG6090" s="7"/>
      <c r="AP6090" s="7"/>
      <c r="AY6090" s="7"/>
      <c r="BH6090" s="7"/>
      <c r="BQ6090" s="7"/>
      <c r="BZ6090" s="7"/>
    </row>
    <row r="6091" spans="2:78">
      <c r="B6091" s="7"/>
      <c r="O6091" s="7"/>
      <c r="X6091" s="7"/>
      <c r="AG6091" s="7"/>
      <c r="AP6091" s="7"/>
      <c r="AY6091" s="7"/>
      <c r="BH6091" s="7"/>
      <c r="BQ6091" s="7"/>
      <c r="BZ6091" s="7"/>
    </row>
    <row r="6092" spans="2:78">
      <c r="B6092" s="7"/>
      <c r="O6092" s="7"/>
      <c r="X6092" s="7"/>
      <c r="AG6092" s="7"/>
      <c r="AP6092" s="7"/>
      <c r="AY6092" s="7"/>
      <c r="BH6092" s="7"/>
      <c r="BQ6092" s="7"/>
      <c r="BZ6092" s="7"/>
    </row>
    <row r="6093" spans="2:78">
      <c r="B6093" s="7"/>
      <c r="O6093" s="7"/>
      <c r="X6093" s="7"/>
      <c r="AG6093" s="7"/>
      <c r="AP6093" s="7"/>
      <c r="AY6093" s="7"/>
      <c r="BH6093" s="7"/>
      <c r="BQ6093" s="7"/>
      <c r="BZ6093" s="7"/>
    </row>
    <row r="6094" spans="2:78">
      <c r="B6094" s="7"/>
      <c r="O6094" s="7"/>
      <c r="X6094" s="7"/>
      <c r="AG6094" s="7"/>
      <c r="AP6094" s="7"/>
      <c r="AY6094" s="7"/>
      <c r="BH6094" s="7"/>
      <c r="BQ6094" s="7"/>
      <c r="BZ6094" s="7"/>
    </row>
    <row r="6095" spans="2:78">
      <c r="B6095" s="7"/>
      <c r="O6095" s="7"/>
      <c r="X6095" s="7"/>
      <c r="AG6095" s="7"/>
      <c r="AP6095" s="7"/>
      <c r="AY6095" s="7"/>
      <c r="BH6095" s="7"/>
      <c r="BQ6095" s="7"/>
      <c r="BZ6095" s="7"/>
    </row>
    <row r="6096" spans="2:78">
      <c r="B6096" s="7"/>
      <c r="O6096" s="7"/>
      <c r="X6096" s="7"/>
      <c r="AG6096" s="7"/>
      <c r="AP6096" s="7"/>
      <c r="AY6096" s="7"/>
      <c r="BH6096" s="7"/>
      <c r="BQ6096" s="7"/>
      <c r="BZ6096" s="7"/>
    </row>
    <row r="6097" spans="2:78">
      <c r="B6097" s="7"/>
      <c r="O6097" s="7"/>
      <c r="X6097" s="7"/>
      <c r="AG6097" s="7"/>
      <c r="AP6097" s="7"/>
      <c r="AY6097" s="7"/>
      <c r="BH6097" s="7"/>
      <c r="BQ6097" s="7"/>
      <c r="BZ6097" s="7"/>
    </row>
    <row r="6098" spans="2:78">
      <c r="B6098" s="7"/>
      <c r="O6098" s="7"/>
      <c r="X6098" s="7"/>
      <c r="AG6098" s="7"/>
      <c r="AP6098" s="7"/>
      <c r="AY6098" s="7"/>
      <c r="BH6098" s="7"/>
      <c r="BQ6098" s="7"/>
      <c r="BZ6098" s="7"/>
    </row>
    <row r="6099" spans="2:78">
      <c r="B6099" s="7"/>
      <c r="O6099" s="7"/>
      <c r="X6099" s="7"/>
      <c r="AG6099" s="7"/>
      <c r="AP6099" s="7"/>
      <c r="AY6099" s="7"/>
      <c r="BH6099" s="7"/>
      <c r="BQ6099" s="7"/>
      <c r="BZ6099" s="7"/>
    </row>
    <row r="6100" spans="2:78">
      <c r="B6100" s="7"/>
      <c r="O6100" s="7"/>
      <c r="X6100" s="7"/>
      <c r="AG6100" s="7"/>
      <c r="AP6100" s="7"/>
      <c r="AY6100" s="7"/>
      <c r="BH6100" s="7"/>
      <c r="BQ6100" s="7"/>
      <c r="BZ6100" s="7"/>
    </row>
    <row r="6101" spans="2:78">
      <c r="B6101" s="7"/>
      <c r="O6101" s="7"/>
      <c r="X6101" s="7"/>
      <c r="AG6101" s="7"/>
      <c r="AP6101" s="7"/>
      <c r="AY6101" s="7"/>
      <c r="BH6101" s="7"/>
      <c r="BQ6101" s="7"/>
      <c r="BZ6101" s="7"/>
    </row>
    <row r="6102" spans="2:78">
      <c r="B6102" s="7"/>
      <c r="O6102" s="7"/>
      <c r="X6102" s="7"/>
      <c r="AG6102" s="7"/>
      <c r="AP6102" s="7"/>
      <c r="AY6102" s="7"/>
      <c r="BH6102" s="7"/>
      <c r="BQ6102" s="7"/>
      <c r="BZ6102" s="7"/>
    </row>
    <row r="6103" spans="2:78">
      <c r="B6103" s="7"/>
      <c r="O6103" s="7"/>
      <c r="X6103" s="7"/>
      <c r="AG6103" s="7"/>
      <c r="AP6103" s="7"/>
      <c r="AY6103" s="7"/>
      <c r="BH6103" s="7"/>
      <c r="BQ6103" s="7"/>
      <c r="BZ6103" s="7"/>
    </row>
    <row r="6104" spans="2:78">
      <c r="B6104" s="7"/>
      <c r="O6104" s="7"/>
      <c r="X6104" s="7"/>
      <c r="AG6104" s="7"/>
      <c r="AP6104" s="7"/>
      <c r="AY6104" s="7"/>
      <c r="BH6104" s="7"/>
      <c r="BQ6104" s="7"/>
      <c r="BZ6104" s="7"/>
    </row>
    <row r="6105" spans="2:78">
      <c r="B6105" s="7"/>
      <c r="O6105" s="7"/>
      <c r="X6105" s="7"/>
      <c r="AG6105" s="7"/>
      <c r="AP6105" s="7"/>
      <c r="AY6105" s="7"/>
      <c r="BH6105" s="7"/>
      <c r="BQ6105" s="7"/>
      <c r="BZ6105" s="7"/>
    </row>
    <row r="6106" spans="2:78">
      <c r="B6106" s="7"/>
      <c r="O6106" s="7"/>
      <c r="X6106" s="7"/>
      <c r="AG6106" s="7"/>
      <c r="AP6106" s="7"/>
      <c r="AY6106" s="7"/>
      <c r="BH6106" s="7"/>
      <c r="BQ6106" s="7"/>
      <c r="BZ6106" s="7"/>
    </row>
    <row r="6107" spans="2:78">
      <c r="B6107" s="7"/>
      <c r="O6107" s="7"/>
      <c r="X6107" s="7"/>
      <c r="AG6107" s="7"/>
      <c r="AP6107" s="7"/>
      <c r="AY6107" s="7"/>
      <c r="BH6107" s="7"/>
      <c r="BQ6107" s="7"/>
      <c r="BZ6107" s="7"/>
    </row>
    <row r="6108" spans="2:78">
      <c r="B6108" s="7"/>
      <c r="O6108" s="7"/>
      <c r="X6108" s="7"/>
      <c r="AG6108" s="7"/>
      <c r="AP6108" s="7"/>
      <c r="AY6108" s="7"/>
      <c r="BH6108" s="7"/>
      <c r="BQ6108" s="7"/>
      <c r="BZ6108" s="7"/>
    </row>
    <row r="6109" spans="2:78">
      <c r="B6109" s="7"/>
      <c r="O6109" s="7"/>
      <c r="X6109" s="7"/>
      <c r="AG6109" s="7"/>
      <c r="AP6109" s="7"/>
      <c r="AY6109" s="7"/>
      <c r="BH6109" s="7"/>
      <c r="BQ6109" s="7"/>
      <c r="BZ6109" s="7"/>
    </row>
    <row r="6110" spans="2:78">
      <c r="B6110" s="7"/>
      <c r="O6110" s="7"/>
      <c r="X6110" s="7"/>
      <c r="AG6110" s="7"/>
      <c r="AP6110" s="7"/>
      <c r="AY6110" s="7"/>
      <c r="BH6110" s="7"/>
      <c r="BQ6110" s="7"/>
      <c r="BZ6110" s="7"/>
    </row>
    <row r="6111" spans="2:78">
      <c r="B6111" s="7"/>
      <c r="O6111" s="7"/>
      <c r="X6111" s="7"/>
      <c r="AG6111" s="7"/>
      <c r="AP6111" s="7"/>
      <c r="AY6111" s="7"/>
      <c r="BH6111" s="7"/>
      <c r="BQ6111" s="7"/>
      <c r="BZ6111" s="7"/>
    </row>
    <row r="6112" spans="2:78">
      <c r="B6112" s="7"/>
      <c r="O6112" s="7"/>
      <c r="X6112" s="7"/>
      <c r="AG6112" s="7"/>
      <c r="AP6112" s="7"/>
      <c r="AY6112" s="7"/>
      <c r="BH6112" s="7"/>
      <c r="BQ6112" s="7"/>
      <c r="BZ6112" s="7"/>
    </row>
    <row r="6113" spans="2:78">
      <c r="B6113" s="7"/>
      <c r="O6113" s="7"/>
      <c r="X6113" s="7"/>
      <c r="AG6113" s="7"/>
      <c r="AP6113" s="7"/>
      <c r="AY6113" s="7"/>
      <c r="BH6113" s="7"/>
      <c r="BQ6113" s="7"/>
      <c r="BZ6113" s="7"/>
    </row>
    <row r="6114" spans="2:78">
      <c r="B6114" s="7"/>
      <c r="O6114" s="7"/>
      <c r="X6114" s="7"/>
      <c r="AG6114" s="7"/>
      <c r="AP6114" s="7"/>
      <c r="AY6114" s="7"/>
      <c r="BH6114" s="7"/>
      <c r="BQ6114" s="7"/>
      <c r="BZ6114" s="7"/>
    </row>
    <row r="6115" spans="2:78">
      <c r="B6115" s="7"/>
      <c r="O6115" s="7"/>
      <c r="X6115" s="7"/>
      <c r="AG6115" s="7"/>
      <c r="AP6115" s="7"/>
      <c r="AY6115" s="7"/>
      <c r="BH6115" s="7"/>
      <c r="BQ6115" s="7"/>
      <c r="BZ6115" s="7"/>
    </row>
    <row r="6116" spans="2:78">
      <c r="B6116" s="7"/>
      <c r="O6116" s="7"/>
      <c r="X6116" s="7"/>
      <c r="AG6116" s="7"/>
      <c r="AP6116" s="7"/>
      <c r="AY6116" s="7"/>
      <c r="BH6116" s="7"/>
      <c r="BQ6116" s="7"/>
      <c r="BZ6116" s="7"/>
    </row>
    <row r="6117" spans="2:78">
      <c r="B6117" s="7"/>
      <c r="O6117" s="7"/>
      <c r="X6117" s="7"/>
      <c r="AG6117" s="7"/>
      <c r="AP6117" s="7"/>
      <c r="AY6117" s="7"/>
      <c r="BH6117" s="7"/>
      <c r="BQ6117" s="7"/>
      <c r="BZ6117" s="7"/>
    </row>
    <row r="6118" spans="2:78">
      <c r="B6118" s="7"/>
      <c r="O6118" s="7"/>
      <c r="X6118" s="7"/>
      <c r="AG6118" s="7"/>
      <c r="AP6118" s="7"/>
      <c r="AY6118" s="7"/>
      <c r="BH6118" s="7"/>
      <c r="BQ6118" s="7"/>
      <c r="BZ6118" s="7"/>
    </row>
    <row r="6119" spans="2:78">
      <c r="B6119" s="7"/>
      <c r="O6119" s="7"/>
      <c r="X6119" s="7"/>
      <c r="AG6119" s="7"/>
      <c r="AP6119" s="7"/>
      <c r="AY6119" s="7"/>
      <c r="BH6119" s="7"/>
      <c r="BQ6119" s="7"/>
      <c r="BZ6119" s="7"/>
    </row>
    <row r="6120" spans="2:78">
      <c r="B6120" s="7"/>
      <c r="O6120" s="7"/>
      <c r="X6120" s="7"/>
      <c r="AG6120" s="7"/>
      <c r="AP6120" s="7"/>
      <c r="AY6120" s="7"/>
      <c r="BH6120" s="7"/>
      <c r="BQ6120" s="7"/>
      <c r="BZ6120" s="7"/>
    </row>
    <row r="6121" spans="2:78">
      <c r="B6121" s="7"/>
      <c r="O6121" s="7"/>
      <c r="X6121" s="7"/>
      <c r="AG6121" s="7"/>
      <c r="AP6121" s="7"/>
      <c r="AY6121" s="7"/>
      <c r="BH6121" s="7"/>
      <c r="BQ6121" s="7"/>
      <c r="BZ6121" s="7"/>
    </row>
    <row r="6122" spans="2:78">
      <c r="B6122" s="7"/>
      <c r="O6122" s="7"/>
      <c r="X6122" s="7"/>
      <c r="AG6122" s="7"/>
      <c r="AP6122" s="7"/>
      <c r="AY6122" s="7"/>
      <c r="BH6122" s="7"/>
      <c r="BQ6122" s="7"/>
      <c r="BZ6122" s="7"/>
    </row>
    <row r="6123" spans="2:78">
      <c r="B6123" s="7"/>
      <c r="O6123" s="7"/>
      <c r="X6123" s="7"/>
      <c r="AG6123" s="7"/>
      <c r="AP6123" s="7"/>
      <c r="AY6123" s="7"/>
      <c r="BH6123" s="7"/>
      <c r="BQ6123" s="7"/>
      <c r="BZ6123" s="7"/>
    </row>
    <row r="6124" spans="2:78">
      <c r="B6124" s="7"/>
      <c r="O6124" s="7"/>
      <c r="X6124" s="7"/>
      <c r="AG6124" s="7"/>
      <c r="AP6124" s="7"/>
      <c r="AY6124" s="7"/>
      <c r="BH6124" s="7"/>
      <c r="BQ6124" s="7"/>
      <c r="BZ6124" s="7"/>
    </row>
    <row r="6125" spans="2:78">
      <c r="B6125" s="7"/>
      <c r="O6125" s="7"/>
      <c r="X6125" s="7"/>
      <c r="AG6125" s="7"/>
      <c r="AP6125" s="7"/>
      <c r="AY6125" s="7"/>
      <c r="BH6125" s="7"/>
      <c r="BQ6125" s="7"/>
      <c r="BZ6125" s="7"/>
    </row>
    <row r="6126" spans="2:78">
      <c r="B6126" s="7"/>
      <c r="O6126" s="7"/>
      <c r="X6126" s="7"/>
      <c r="AG6126" s="7"/>
      <c r="AP6126" s="7"/>
      <c r="AY6126" s="7"/>
      <c r="BH6126" s="7"/>
      <c r="BQ6126" s="7"/>
      <c r="BZ6126" s="7"/>
    </row>
    <row r="6127" spans="2:78">
      <c r="B6127" s="7"/>
      <c r="O6127" s="7"/>
      <c r="X6127" s="7"/>
      <c r="AG6127" s="7"/>
      <c r="AP6127" s="7"/>
      <c r="AY6127" s="7"/>
      <c r="BH6127" s="7"/>
      <c r="BQ6127" s="7"/>
      <c r="BZ6127" s="7"/>
    </row>
    <row r="6128" spans="2:78">
      <c r="B6128" s="7"/>
      <c r="O6128" s="7"/>
      <c r="X6128" s="7"/>
      <c r="AG6128" s="7"/>
      <c r="AP6128" s="7"/>
      <c r="AY6128" s="7"/>
      <c r="BH6128" s="7"/>
      <c r="BQ6128" s="7"/>
      <c r="BZ6128" s="7"/>
    </row>
    <row r="6129" spans="2:78">
      <c r="B6129" s="7"/>
      <c r="O6129" s="7"/>
      <c r="X6129" s="7"/>
      <c r="AG6129" s="7"/>
      <c r="AP6129" s="7"/>
      <c r="AY6129" s="7"/>
      <c r="BH6129" s="7"/>
      <c r="BQ6129" s="7"/>
      <c r="BZ6129" s="7"/>
    </row>
    <row r="6130" spans="2:78">
      <c r="B6130" s="7"/>
      <c r="O6130" s="7"/>
      <c r="X6130" s="7"/>
      <c r="AG6130" s="7"/>
      <c r="AP6130" s="7"/>
      <c r="AY6130" s="7"/>
      <c r="BH6130" s="7"/>
      <c r="BQ6130" s="7"/>
      <c r="BZ6130" s="7"/>
    </row>
    <row r="6131" spans="2:78">
      <c r="B6131" s="7"/>
      <c r="O6131" s="7"/>
      <c r="X6131" s="7"/>
      <c r="AG6131" s="7"/>
      <c r="AP6131" s="7"/>
      <c r="AY6131" s="7"/>
      <c r="BH6131" s="7"/>
      <c r="BQ6131" s="7"/>
      <c r="BZ6131" s="7"/>
    </row>
    <row r="6132" spans="2:78">
      <c r="B6132" s="7"/>
      <c r="O6132" s="7"/>
      <c r="X6132" s="7"/>
      <c r="AG6132" s="7"/>
      <c r="AP6132" s="7"/>
      <c r="AY6132" s="7"/>
      <c r="BH6132" s="7"/>
      <c r="BQ6132" s="7"/>
      <c r="BZ6132" s="7"/>
    </row>
    <row r="6133" spans="2:78">
      <c r="B6133" s="7"/>
      <c r="O6133" s="7"/>
      <c r="X6133" s="7"/>
      <c r="AG6133" s="7"/>
      <c r="AP6133" s="7"/>
      <c r="AY6133" s="7"/>
      <c r="BH6133" s="7"/>
      <c r="BQ6133" s="7"/>
      <c r="BZ6133" s="7"/>
    </row>
    <row r="6134" spans="2:78">
      <c r="B6134" s="7"/>
      <c r="O6134" s="7"/>
      <c r="X6134" s="7"/>
      <c r="AG6134" s="7"/>
      <c r="AP6134" s="7"/>
      <c r="AY6134" s="7"/>
      <c r="BH6134" s="7"/>
      <c r="BQ6134" s="7"/>
      <c r="BZ6134" s="7"/>
    </row>
    <row r="6135" spans="2:78">
      <c r="B6135" s="7"/>
      <c r="O6135" s="7"/>
      <c r="X6135" s="7"/>
      <c r="AG6135" s="7"/>
      <c r="AP6135" s="7"/>
      <c r="AY6135" s="7"/>
      <c r="BH6135" s="7"/>
      <c r="BQ6135" s="7"/>
      <c r="BZ6135" s="7"/>
    </row>
    <row r="6136" spans="2:78">
      <c r="B6136" s="7"/>
      <c r="O6136" s="7"/>
      <c r="X6136" s="7"/>
      <c r="AG6136" s="7"/>
      <c r="AP6136" s="7"/>
      <c r="AY6136" s="7"/>
      <c r="BH6136" s="7"/>
      <c r="BQ6136" s="7"/>
      <c r="BZ6136" s="7"/>
    </row>
    <row r="6137" spans="2:78">
      <c r="B6137" s="7"/>
      <c r="O6137" s="7"/>
      <c r="X6137" s="7"/>
      <c r="AG6137" s="7"/>
      <c r="AP6137" s="7"/>
      <c r="AY6137" s="7"/>
      <c r="BH6137" s="7"/>
      <c r="BQ6137" s="7"/>
      <c r="BZ6137" s="7"/>
    </row>
    <row r="6138" spans="2:78">
      <c r="B6138" s="7"/>
      <c r="O6138" s="7"/>
      <c r="X6138" s="7"/>
      <c r="AG6138" s="7"/>
      <c r="AP6138" s="7"/>
      <c r="AY6138" s="7"/>
      <c r="BH6138" s="7"/>
      <c r="BQ6138" s="7"/>
      <c r="BZ6138" s="7"/>
    </row>
    <row r="6139" spans="2:78">
      <c r="B6139" s="7"/>
      <c r="O6139" s="7"/>
      <c r="X6139" s="7"/>
      <c r="AG6139" s="7"/>
      <c r="AP6139" s="7"/>
      <c r="AY6139" s="7"/>
      <c r="BH6139" s="7"/>
      <c r="BQ6139" s="7"/>
      <c r="BZ6139" s="7"/>
    </row>
    <row r="6140" spans="2:78">
      <c r="B6140" s="7"/>
      <c r="O6140" s="7"/>
      <c r="X6140" s="7"/>
      <c r="AG6140" s="7"/>
      <c r="AP6140" s="7"/>
      <c r="AY6140" s="7"/>
      <c r="BH6140" s="7"/>
      <c r="BQ6140" s="7"/>
      <c r="BZ6140" s="7"/>
    </row>
    <row r="6141" spans="2:78">
      <c r="B6141" s="7"/>
      <c r="O6141" s="7"/>
      <c r="X6141" s="7"/>
      <c r="AG6141" s="7"/>
      <c r="AP6141" s="7"/>
      <c r="AY6141" s="7"/>
      <c r="BH6141" s="7"/>
      <c r="BQ6141" s="7"/>
      <c r="BZ6141" s="7"/>
    </row>
    <row r="6142" spans="2:78">
      <c r="B6142" s="7"/>
      <c r="O6142" s="7"/>
      <c r="X6142" s="7"/>
      <c r="AG6142" s="7"/>
      <c r="AP6142" s="7"/>
      <c r="AY6142" s="7"/>
      <c r="BH6142" s="7"/>
      <c r="BQ6142" s="7"/>
      <c r="BZ6142" s="7"/>
    </row>
    <row r="6143" spans="2:78">
      <c r="B6143" s="7"/>
      <c r="O6143" s="7"/>
      <c r="X6143" s="7"/>
      <c r="AG6143" s="7"/>
      <c r="AP6143" s="7"/>
      <c r="AY6143" s="7"/>
      <c r="BH6143" s="7"/>
      <c r="BQ6143" s="7"/>
      <c r="BZ6143" s="7"/>
    </row>
    <row r="6144" spans="2:78">
      <c r="B6144" s="7"/>
      <c r="O6144" s="7"/>
      <c r="X6144" s="7"/>
      <c r="AG6144" s="7"/>
      <c r="AP6144" s="7"/>
      <c r="AY6144" s="7"/>
      <c r="BH6144" s="7"/>
      <c r="BQ6144" s="7"/>
      <c r="BZ6144" s="7"/>
    </row>
    <row r="6145" spans="2:78">
      <c r="B6145" s="7"/>
      <c r="O6145" s="7"/>
      <c r="X6145" s="7"/>
      <c r="AG6145" s="7"/>
      <c r="AP6145" s="7"/>
      <c r="AY6145" s="7"/>
      <c r="BH6145" s="7"/>
      <c r="BQ6145" s="7"/>
      <c r="BZ6145" s="7"/>
    </row>
    <row r="6146" spans="2:78">
      <c r="B6146" s="7"/>
      <c r="O6146" s="7"/>
      <c r="X6146" s="7"/>
      <c r="AG6146" s="7"/>
      <c r="AP6146" s="7"/>
      <c r="AY6146" s="7"/>
      <c r="BH6146" s="7"/>
      <c r="BQ6146" s="7"/>
      <c r="BZ6146" s="7"/>
    </row>
    <row r="6147" spans="2:78">
      <c r="B6147" s="7"/>
      <c r="O6147" s="7"/>
      <c r="X6147" s="7"/>
      <c r="AG6147" s="7"/>
      <c r="AP6147" s="7"/>
      <c r="AY6147" s="7"/>
      <c r="BH6147" s="7"/>
      <c r="BQ6147" s="7"/>
      <c r="BZ6147" s="7"/>
    </row>
    <row r="6148" spans="2:78">
      <c r="B6148" s="7"/>
      <c r="O6148" s="7"/>
      <c r="X6148" s="7"/>
      <c r="AG6148" s="7"/>
      <c r="AP6148" s="7"/>
      <c r="AY6148" s="7"/>
      <c r="BH6148" s="7"/>
      <c r="BQ6148" s="7"/>
      <c r="BZ6148" s="7"/>
    </row>
    <row r="6149" spans="2:78">
      <c r="B6149" s="7"/>
      <c r="O6149" s="7"/>
      <c r="X6149" s="7"/>
      <c r="AG6149" s="7"/>
      <c r="AP6149" s="7"/>
      <c r="AY6149" s="7"/>
      <c r="BH6149" s="7"/>
      <c r="BQ6149" s="7"/>
      <c r="BZ6149" s="7"/>
    </row>
    <row r="6150" spans="2:78">
      <c r="B6150" s="7"/>
      <c r="O6150" s="7"/>
      <c r="X6150" s="7"/>
      <c r="AG6150" s="7"/>
      <c r="AP6150" s="7"/>
      <c r="AY6150" s="7"/>
      <c r="BH6150" s="7"/>
      <c r="BQ6150" s="7"/>
      <c r="BZ6150" s="7"/>
    </row>
    <row r="6151" spans="2:78">
      <c r="B6151" s="7"/>
      <c r="O6151" s="7"/>
      <c r="X6151" s="7"/>
      <c r="AG6151" s="7"/>
      <c r="AP6151" s="7"/>
      <c r="AY6151" s="7"/>
      <c r="BH6151" s="7"/>
      <c r="BQ6151" s="7"/>
      <c r="BZ6151" s="7"/>
    </row>
    <row r="6152" spans="2:78">
      <c r="B6152" s="7"/>
      <c r="O6152" s="7"/>
      <c r="X6152" s="7"/>
      <c r="AG6152" s="7"/>
      <c r="AP6152" s="7"/>
      <c r="AY6152" s="7"/>
      <c r="BH6152" s="7"/>
      <c r="BQ6152" s="7"/>
      <c r="BZ6152" s="7"/>
    </row>
    <row r="6153" spans="2:78">
      <c r="B6153" s="7"/>
      <c r="O6153" s="7"/>
      <c r="X6153" s="7"/>
      <c r="AG6153" s="7"/>
      <c r="AP6153" s="7"/>
      <c r="AY6153" s="7"/>
      <c r="BH6153" s="7"/>
      <c r="BQ6153" s="7"/>
      <c r="BZ6153" s="7"/>
    </row>
    <row r="6154" spans="2:78">
      <c r="B6154" s="7"/>
      <c r="O6154" s="7"/>
      <c r="X6154" s="7"/>
      <c r="AG6154" s="7"/>
      <c r="AP6154" s="7"/>
      <c r="AY6154" s="7"/>
      <c r="BH6154" s="7"/>
      <c r="BQ6154" s="7"/>
      <c r="BZ6154" s="7"/>
    </row>
    <row r="6155" spans="2:78">
      <c r="B6155" s="7"/>
      <c r="O6155" s="7"/>
      <c r="X6155" s="7"/>
      <c r="AG6155" s="7"/>
      <c r="AP6155" s="7"/>
      <c r="AY6155" s="7"/>
      <c r="BH6155" s="7"/>
      <c r="BQ6155" s="7"/>
      <c r="BZ6155" s="7"/>
    </row>
    <row r="6156" spans="2:78">
      <c r="B6156" s="7"/>
      <c r="O6156" s="7"/>
      <c r="X6156" s="7"/>
      <c r="AG6156" s="7"/>
      <c r="AP6156" s="7"/>
      <c r="AY6156" s="7"/>
      <c r="BH6156" s="7"/>
      <c r="BQ6156" s="7"/>
      <c r="BZ6156" s="7"/>
    </row>
    <row r="6157" spans="2:78">
      <c r="B6157" s="7"/>
      <c r="O6157" s="7"/>
      <c r="X6157" s="7"/>
      <c r="AG6157" s="7"/>
      <c r="AP6157" s="7"/>
      <c r="AY6157" s="7"/>
      <c r="BH6157" s="7"/>
      <c r="BQ6157" s="7"/>
      <c r="BZ6157" s="7"/>
    </row>
    <row r="6158" spans="2:78">
      <c r="B6158" s="7"/>
      <c r="O6158" s="7"/>
      <c r="X6158" s="7"/>
      <c r="AG6158" s="7"/>
      <c r="AP6158" s="7"/>
      <c r="AY6158" s="7"/>
      <c r="BH6158" s="7"/>
      <c r="BQ6158" s="7"/>
      <c r="BZ6158" s="7"/>
    </row>
    <row r="6159" spans="2:78">
      <c r="B6159" s="7"/>
      <c r="O6159" s="7"/>
      <c r="X6159" s="7"/>
      <c r="AG6159" s="7"/>
      <c r="AP6159" s="7"/>
      <c r="AY6159" s="7"/>
      <c r="BH6159" s="7"/>
      <c r="BQ6159" s="7"/>
      <c r="BZ6159" s="7"/>
    </row>
    <row r="6160" spans="2:78">
      <c r="B6160" s="7"/>
      <c r="O6160" s="7"/>
      <c r="X6160" s="7"/>
      <c r="AG6160" s="7"/>
      <c r="AP6160" s="7"/>
      <c r="AY6160" s="7"/>
      <c r="BH6160" s="7"/>
      <c r="BQ6160" s="7"/>
      <c r="BZ6160" s="7"/>
    </row>
    <row r="6161" spans="2:78">
      <c r="B6161" s="7"/>
      <c r="O6161" s="7"/>
      <c r="X6161" s="7"/>
      <c r="AG6161" s="7"/>
      <c r="AP6161" s="7"/>
      <c r="AY6161" s="7"/>
      <c r="BH6161" s="7"/>
      <c r="BQ6161" s="7"/>
      <c r="BZ6161" s="7"/>
    </row>
    <row r="6162" spans="2:78">
      <c r="B6162" s="7"/>
      <c r="O6162" s="7"/>
      <c r="X6162" s="7"/>
      <c r="AG6162" s="7"/>
      <c r="AP6162" s="7"/>
      <c r="AY6162" s="7"/>
      <c r="BH6162" s="7"/>
      <c r="BQ6162" s="7"/>
      <c r="BZ6162" s="7"/>
    </row>
    <row r="6163" spans="2:78">
      <c r="B6163" s="7"/>
      <c r="O6163" s="7"/>
      <c r="X6163" s="7"/>
      <c r="AG6163" s="7"/>
      <c r="AP6163" s="7"/>
      <c r="AY6163" s="7"/>
      <c r="BH6163" s="7"/>
      <c r="BQ6163" s="7"/>
      <c r="BZ6163" s="7"/>
    </row>
    <row r="6164" spans="2:78">
      <c r="B6164" s="7"/>
      <c r="O6164" s="7"/>
      <c r="X6164" s="7"/>
      <c r="AG6164" s="7"/>
      <c r="AP6164" s="7"/>
      <c r="AY6164" s="7"/>
      <c r="BH6164" s="7"/>
      <c r="BQ6164" s="7"/>
      <c r="BZ6164" s="7"/>
    </row>
    <row r="6165" spans="2:78">
      <c r="B6165" s="7"/>
      <c r="O6165" s="7"/>
      <c r="X6165" s="7"/>
      <c r="AG6165" s="7"/>
      <c r="AP6165" s="7"/>
      <c r="AY6165" s="7"/>
      <c r="BH6165" s="7"/>
      <c r="BQ6165" s="7"/>
      <c r="BZ6165" s="7"/>
    </row>
    <row r="6166" spans="2:78">
      <c r="B6166" s="7"/>
      <c r="O6166" s="7"/>
      <c r="X6166" s="7"/>
      <c r="AG6166" s="7"/>
      <c r="AP6166" s="7"/>
      <c r="AY6166" s="7"/>
      <c r="BH6166" s="7"/>
      <c r="BQ6166" s="7"/>
      <c r="BZ6166" s="7"/>
    </row>
    <row r="6167" spans="2:78">
      <c r="B6167" s="7"/>
      <c r="O6167" s="7"/>
      <c r="X6167" s="7"/>
      <c r="AG6167" s="7"/>
      <c r="AP6167" s="7"/>
      <c r="AY6167" s="7"/>
      <c r="BH6167" s="7"/>
      <c r="BQ6167" s="7"/>
      <c r="BZ6167" s="7"/>
    </row>
    <row r="6168" spans="2:78">
      <c r="B6168" s="7"/>
      <c r="O6168" s="7"/>
      <c r="X6168" s="7"/>
      <c r="AG6168" s="7"/>
      <c r="AP6168" s="7"/>
      <c r="AY6168" s="7"/>
      <c r="BH6168" s="7"/>
      <c r="BQ6168" s="7"/>
      <c r="BZ6168" s="7"/>
    </row>
    <row r="6169" spans="2:78">
      <c r="B6169" s="7"/>
      <c r="O6169" s="7"/>
      <c r="X6169" s="7"/>
      <c r="AG6169" s="7"/>
      <c r="AP6169" s="7"/>
      <c r="AY6169" s="7"/>
      <c r="BH6169" s="7"/>
      <c r="BQ6169" s="7"/>
      <c r="BZ6169" s="7"/>
    </row>
    <row r="6170" spans="2:78">
      <c r="B6170" s="7"/>
      <c r="O6170" s="7"/>
      <c r="X6170" s="7"/>
      <c r="AG6170" s="7"/>
      <c r="AP6170" s="7"/>
      <c r="AY6170" s="7"/>
      <c r="BH6170" s="7"/>
      <c r="BQ6170" s="7"/>
      <c r="BZ6170" s="7"/>
    </row>
    <row r="6171" spans="2:78">
      <c r="B6171" s="7"/>
      <c r="O6171" s="7"/>
      <c r="X6171" s="7"/>
      <c r="AG6171" s="7"/>
      <c r="AP6171" s="7"/>
      <c r="AY6171" s="7"/>
      <c r="BH6171" s="7"/>
      <c r="BQ6171" s="7"/>
      <c r="BZ6171" s="7"/>
    </row>
    <row r="6172" spans="2:78">
      <c r="B6172" s="7"/>
      <c r="O6172" s="7"/>
      <c r="X6172" s="7"/>
      <c r="AG6172" s="7"/>
      <c r="AP6172" s="7"/>
      <c r="AY6172" s="7"/>
      <c r="BH6172" s="7"/>
      <c r="BQ6172" s="7"/>
      <c r="BZ6172" s="7"/>
    </row>
    <row r="6173" spans="2:78">
      <c r="B6173" s="7"/>
      <c r="O6173" s="7"/>
      <c r="X6173" s="7"/>
      <c r="AG6173" s="7"/>
      <c r="AP6173" s="7"/>
      <c r="AY6173" s="7"/>
      <c r="BH6173" s="7"/>
      <c r="BQ6173" s="7"/>
      <c r="BZ6173" s="7"/>
    </row>
    <row r="6174" spans="2:78">
      <c r="B6174" s="7"/>
      <c r="O6174" s="7"/>
      <c r="X6174" s="7"/>
      <c r="AG6174" s="7"/>
      <c r="AP6174" s="7"/>
      <c r="AY6174" s="7"/>
      <c r="BH6174" s="7"/>
      <c r="BQ6174" s="7"/>
      <c r="BZ6174" s="7"/>
    </row>
    <row r="6175" spans="2:78">
      <c r="B6175" s="7"/>
      <c r="O6175" s="7"/>
      <c r="X6175" s="7"/>
      <c r="AG6175" s="7"/>
      <c r="AP6175" s="7"/>
      <c r="AY6175" s="7"/>
      <c r="BH6175" s="7"/>
      <c r="BQ6175" s="7"/>
      <c r="BZ6175" s="7"/>
    </row>
    <row r="6176" spans="2:78">
      <c r="B6176" s="7"/>
      <c r="O6176" s="7"/>
      <c r="X6176" s="7"/>
      <c r="AG6176" s="7"/>
      <c r="AP6176" s="7"/>
      <c r="AY6176" s="7"/>
      <c r="BH6176" s="7"/>
      <c r="BQ6176" s="7"/>
      <c r="BZ6176" s="7"/>
    </row>
    <row r="6177" spans="2:78">
      <c r="B6177" s="7"/>
      <c r="O6177" s="7"/>
      <c r="X6177" s="7"/>
      <c r="AG6177" s="7"/>
      <c r="AP6177" s="7"/>
      <c r="AY6177" s="7"/>
      <c r="BH6177" s="7"/>
      <c r="BQ6177" s="7"/>
      <c r="BZ6177" s="7"/>
    </row>
    <row r="6178" spans="2:78">
      <c r="B6178" s="7"/>
      <c r="O6178" s="7"/>
      <c r="X6178" s="7"/>
      <c r="AG6178" s="7"/>
      <c r="AP6178" s="7"/>
      <c r="AY6178" s="7"/>
      <c r="BH6178" s="7"/>
      <c r="BQ6178" s="7"/>
      <c r="BZ6178" s="7"/>
    </row>
    <row r="6179" spans="2:78">
      <c r="B6179" s="7"/>
      <c r="O6179" s="7"/>
      <c r="X6179" s="7"/>
      <c r="AG6179" s="7"/>
      <c r="AP6179" s="7"/>
      <c r="AY6179" s="7"/>
      <c r="BH6179" s="7"/>
      <c r="BQ6179" s="7"/>
      <c r="BZ6179" s="7"/>
    </row>
    <row r="6180" spans="2:78">
      <c r="B6180" s="7"/>
      <c r="O6180" s="7"/>
      <c r="X6180" s="7"/>
      <c r="AG6180" s="7"/>
      <c r="AP6180" s="7"/>
      <c r="AY6180" s="7"/>
      <c r="BH6180" s="7"/>
      <c r="BQ6180" s="7"/>
      <c r="BZ6180" s="7"/>
    </row>
    <row r="6181" spans="2:78">
      <c r="B6181" s="7"/>
      <c r="O6181" s="7"/>
      <c r="X6181" s="7"/>
      <c r="AG6181" s="7"/>
      <c r="AP6181" s="7"/>
      <c r="AY6181" s="7"/>
      <c r="BH6181" s="7"/>
      <c r="BQ6181" s="7"/>
      <c r="BZ6181" s="7"/>
    </row>
    <row r="6182" spans="2:78">
      <c r="B6182" s="7"/>
      <c r="O6182" s="7"/>
      <c r="X6182" s="7"/>
      <c r="AG6182" s="7"/>
      <c r="AP6182" s="7"/>
      <c r="AY6182" s="7"/>
      <c r="BH6182" s="7"/>
      <c r="BQ6182" s="7"/>
      <c r="BZ6182" s="7"/>
    </row>
    <row r="6183" spans="2:78">
      <c r="B6183" s="7"/>
      <c r="O6183" s="7"/>
      <c r="X6183" s="7"/>
      <c r="AG6183" s="7"/>
      <c r="AP6183" s="7"/>
      <c r="AY6183" s="7"/>
      <c r="BH6183" s="7"/>
      <c r="BQ6183" s="7"/>
      <c r="BZ6183" s="7"/>
    </row>
    <row r="6184" spans="2:78">
      <c r="B6184" s="7"/>
      <c r="O6184" s="7"/>
      <c r="X6184" s="7"/>
      <c r="AG6184" s="7"/>
      <c r="AP6184" s="7"/>
      <c r="AY6184" s="7"/>
      <c r="BH6184" s="7"/>
      <c r="BQ6184" s="7"/>
      <c r="BZ6184" s="7"/>
    </row>
    <row r="6185" spans="2:78">
      <c r="B6185" s="7"/>
      <c r="O6185" s="7"/>
      <c r="X6185" s="7"/>
      <c r="AG6185" s="7"/>
      <c r="AP6185" s="7"/>
      <c r="AY6185" s="7"/>
      <c r="BH6185" s="7"/>
      <c r="BQ6185" s="7"/>
      <c r="BZ6185" s="7"/>
    </row>
    <row r="6186" spans="2:78">
      <c r="B6186" s="7"/>
      <c r="O6186" s="7"/>
      <c r="X6186" s="7"/>
      <c r="AG6186" s="7"/>
      <c r="AP6186" s="7"/>
      <c r="AY6186" s="7"/>
      <c r="BH6186" s="7"/>
      <c r="BQ6186" s="7"/>
      <c r="BZ6186" s="7"/>
    </row>
    <row r="6187" spans="2:78">
      <c r="B6187" s="7"/>
      <c r="O6187" s="7"/>
      <c r="X6187" s="7"/>
      <c r="AG6187" s="7"/>
      <c r="AP6187" s="7"/>
      <c r="AY6187" s="7"/>
      <c r="BH6187" s="7"/>
      <c r="BQ6187" s="7"/>
      <c r="BZ6187" s="7"/>
    </row>
    <row r="6188" spans="2:78">
      <c r="B6188" s="7"/>
      <c r="O6188" s="7"/>
      <c r="X6188" s="7"/>
      <c r="AG6188" s="7"/>
      <c r="AP6188" s="7"/>
      <c r="AY6188" s="7"/>
      <c r="BH6188" s="7"/>
      <c r="BQ6188" s="7"/>
      <c r="BZ6188" s="7"/>
    </row>
    <row r="6189" spans="2:78">
      <c r="B6189" s="7"/>
      <c r="O6189" s="7"/>
      <c r="X6189" s="7"/>
      <c r="AG6189" s="7"/>
      <c r="AP6189" s="7"/>
      <c r="AY6189" s="7"/>
      <c r="BH6189" s="7"/>
      <c r="BQ6189" s="7"/>
      <c r="BZ6189" s="7"/>
    </row>
    <row r="6190" spans="2:78">
      <c r="B6190" s="7"/>
      <c r="O6190" s="7"/>
      <c r="X6190" s="7"/>
      <c r="AG6190" s="7"/>
      <c r="AP6190" s="7"/>
      <c r="AY6190" s="7"/>
      <c r="BH6190" s="7"/>
      <c r="BQ6190" s="7"/>
      <c r="BZ6190" s="7"/>
    </row>
    <row r="6191" spans="2:78">
      <c r="B6191" s="7"/>
      <c r="O6191" s="7"/>
      <c r="X6191" s="7"/>
      <c r="AG6191" s="7"/>
      <c r="AP6191" s="7"/>
      <c r="AY6191" s="7"/>
      <c r="BH6191" s="7"/>
      <c r="BQ6191" s="7"/>
      <c r="BZ6191" s="7"/>
    </row>
    <row r="6192" spans="2:78">
      <c r="B6192" s="7"/>
      <c r="O6192" s="7"/>
      <c r="X6192" s="7"/>
      <c r="AG6192" s="7"/>
      <c r="AP6192" s="7"/>
      <c r="AY6192" s="7"/>
      <c r="BH6192" s="7"/>
      <c r="BQ6192" s="7"/>
      <c r="BZ6192" s="7"/>
    </row>
    <row r="6193" spans="2:78">
      <c r="B6193" s="7"/>
      <c r="O6193" s="7"/>
      <c r="X6193" s="7"/>
      <c r="AG6193" s="7"/>
      <c r="AP6193" s="7"/>
      <c r="AY6193" s="7"/>
      <c r="BH6193" s="7"/>
      <c r="BQ6193" s="7"/>
      <c r="BZ6193" s="7"/>
    </row>
    <row r="6194" spans="2:78">
      <c r="B6194" s="7"/>
      <c r="O6194" s="7"/>
      <c r="X6194" s="7"/>
      <c r="AG6194" s="7"/>
      <c r="AP6194" s="7"/>
      <c r="AY6194" s="7"/>
      <c r="BH6194" s="7"/>
      <c r="BQ6194" s="7"/>
      <c r="BZ6194" s="7"/>
    </row>
    <row r="6195" spans="2:78">
      <c r="B6195" s="7"/>
      <c r="O6195" s="7"/>
      <c r="X6195" s="7"/>
      <c r="AG6195" s="7"/>
      <c r="AP6195" s="7"/>
      <c r="AY6195" s="7"/>
      <c r="BH6195" s="7"/>
      <c r="BQ6195" s="7"/>
      <c r="BZ6195" s="7"/>
    </row>
    <row r="6196" spans="2:78">
      <c r="B6196" s="7"/>
      <c r="O6196" s="7"/>
      <c r="X6196" s="7"/>
      <c r="AG6196" s="7"/>
      <c r="AP6196" s="7"/>
      <c r="AY6196" s="7"/>
      <c r="BH6196" s="7"/>
      <c r="BQ6196" s="7"/>
      <c r="BZ6196" s="7"/>
    </row>
    <row r="6197" spans="2:78">
      <c r="B6197" s="7"/>
      <c r="O6197" s="7"/>
      <c r="X6197" s="7"/>
      <c r="AG6197" s="7"/>
      <c r="AP6197" s="7"/>
      <c r="AY6197" s="7"/>
      <c r="BH6197" s="7"/>
      <c r="BQ6197" s="7"/>
      <c r="BZ6197" s="7"/>
    </row>
    <row r="6198" spans="2:78">
      <c r="B6198" s="7"/>
      <c r="O6198" s="7"/>
      <c r="X6198" s="7"/>
      <c r="AG6198" s="7"/>
      <c r="AP6198" s="7"/>
      <c r="AY6198" s="7"/>
      <c r="BH6198" s="7"/>
      <c r="BQ6198" s="7"/>
      <c r="BZ6198" s="7"/>
    </row>
    <row r="6199" spans="2:78">
      <c r="B6199" s="7"/>
      <c r="O6199" s="7"/>
      <c r="X6199" s="7"/>
      <c r="AG6199" s="7"/>
      <c r="AP6199" s="7"/>
      <c r="AY6199" s="7"/>
      <c r="BH6199" s="7"/>
      <c r="BQ6199" s="7"/>
      <c r="BZ6199" s="7"/>
    </row>
    <row r="6200" spans="2:78">
      <c r="B6200" s="7"/>
      <c r="O6200" s="7"/>
      <c r="X6200" s="7"/>
      <c r="AG6200" s="7"/>
      <c r="AP6200" s="7"/>
      <c r="AY6200" s="7"/>
      <c r="BH6200" s="7"/>
      <c r="BQ6200" s="7"/>
      <c r="BZ6200" s="7"/>
    </row>
    <row r="6201" spans="2:78">
      <c r="B6201" s="7"/>
      <c r="O6201" s="7"/>
      <c r="X6201" s="7"/>
      <c r="AG6201" s="7"/>
      <c r="AP6201" s="7"/>
      <c r="AY6201" s="7"/>
      <c r="BH6201" s="7"/>
      <c r="BQ6201" s="7"/>
      <c r="BZ6201" s="7"/>
    </row>
    <row r="6202" spans="2:78">
      <c r="B6202" s="7"/>
      <c r="O6202" s="7"/>
      <c r="X6202" s="7"/>
      <c r="AG6202" s="7"/>
      <c r="AP6202" s="7"/>
      <c r="AY6202" s="7"/>
      <c r="BH6202" s="7"/>
      <c r="BQ6202" s="7"/>
      <c r="BZ6202" s="7"/>
    </row>
    <row r="6203" spans="2:78">
      <c r="B6203" s="7"/>
      <c r="O6203" s="7"/>
      <c r="X6203" s="7"/>
      <c r="AG6203" s="7"/>
      <c r="AP6203" s="7"/>
      <c r="AY6203" s="7"/>
      <c r="BH6203" s="7"/>
      <c r="BQ6203" s="7"/>
      <c r="BZ6203" s="7"/>
    </row>
    <row r="6204" spans="2:78">
      <c r="B6204" s="7"/>
      <c r="O6204" s="7"/>
      <c r="X6204" s="7"/>
      <c r="AG6204" s="7"/>
      <c r="AP6204" s="7"/>
      <c r="AY6204" s="7"/>
      <c r="BH6204" s="7"/>
      <c r="BQ6204" s="7"/>
      <c r="BZ6204" s="7"/>
    </row>
    <row r="6205" spans="2:78">
      <c r="B6205" s="7"/>
      <c r="O6205" s="7"/>
      <c r="X6205" s="7"/>
      <c r="AG6205" s="7"/>
      <c r="AP6205" s="7"/>
      <c r="AY6205" s="7"/>
      <c r="BH6205" s="7"/>
      <c r="BQ6205" s="7"/>
      <c r="BZ6205" s="7"/>
    </row>
    <row r="6206" spans="2:78">
      <c r="B6206" s="7"/>
      <c r="O6206" s="7"/>
      <c r="X6206" s="7"/>
      <c r="AG6206" s="7"/>
      <c r="AP6206" s="7"/>
      <c r="AY6206" s="7"/>
      <c r="BH6206" s="7"/>
      <c r="BQ6206" s="7"/>
      <c r="BZ6206" s="7"/>
    </row>
    <row r="6207" spans="2:78">
      <c r="B6207" s="7"/>
      <c r="O6207" s="7"/>
      <c r="X6207" s="7"/>
      <c r="AG6207" s="7"/>
      <c r="AP6207" s="7"/>
      <c r="AY6207" s="7"/>
      <c r="BH6207" s="7"/>
      <c r="BQ6207" s="7"/>
      <c r="BZ6207" s="7"/>
    </row>
    <row r="6208" spans="2:78">
      <c r="B6208" s="7"/>
      <c r="O6208" s="7"/>
      <c r="X6208" s="7"/>
      <c r="AG6208" s="7"/>
      <c r="AP6208" s="7"/>
      <c r="AY6208" s="7"/>
      <c r="BH6208" s="7"/>
      <c r="BQ6208" s="7"/>
      <c r="BZ6208" s="7"/>
    </row>
    <row r="6209" spans="2:78">
      <c r="B6209" s="7"/>
      <c r="O6209" s="7"/>
      <c r="X6209" s="7"/>
      <c r="AG6209" s="7"/>
      <c r="AP6209" s="7"/>
      <c r="AY6209" s="7"/>
      <c r="BH6209" s="7"/>
      <c r="BQ6209" s="7"/>
      <c r="BZ6209" s="7"/>
    </row>
    <row r="6210" spans="2:78">
      <c r="B6210" s="7"/>
      <c r="O6210" s="7"/>
      <c r="X6210" s="7"/>
      <c r="AG6210" s="7"/>
      <c r="AP6210" s="7"/>
      <c r="AY6210" s="7"/>
      <c r="BH6210" s="7"/>
      <c r="BQ6210" s="7"/>
      <c r="BZ6210" s="7"/>
    </row>
    <row r="6211" spans="2:78">
      <c r="B6211" s="7"/>
      <c r="O6211" s="7"/>
      <c r="X6211" s="7"/>
      <c r="AG6211" s="7"/>
      <c r="AP6211" s="7"/>
      <c r="AY6211" s="7"/>
      <c r="BH6211" s="7"/>
      <c r="BQ6211" s="7"/>
      <c r="BZ6211" s="7"/>
    </row>
    <row r="6212" spans="2:78">
      <c r="B6212" s="7"/>
      <c r="O6212" s="7"/>
      <c r="X6212" s="7"/>
      <c r="AG6212" s="7"/>
      <c r="AP6212" s="7"/>
      <c r="AY6212" s="7"/>
      <c r="BH6212" s="7"/>
      <c r="BQ6212" s="7"/>
      <c r="BZ6212" s="7"/>
    </row>
    <row r="6213" spans="2:78">
      <c r="B6213" s="7"/>
      <c r="O6213" s="7"/>
      <c r="X6213" s="7"/>
      <c r="AG6213" s="7"/>
      <c r="AP6213" s="7"/>
      <c r="AY6213" s="7"/>
      <c r="BH6213" s="7"/>
      <c r="BQ6213" s="7"/>
      <c r="BZ6213" s="7"/>
    </row>
    <row r="6214" spans="2:78">
      <c r="B6214" s="7"/>
      <c r="O6214" s="7"/>
      <c r="X6214" s="7"/>
      <c r="AG6214" s="7"/>
      <c r="AP6214" s="7"/>
      <c r="AY6214" s="7"/>
      <c r="BH6214" s="7"/>
      <c r="BQ6214" s="7"/>
      <c r="BZ6214" s="7"/>
    </row>
    <row r="6215" spans="2:78">
      <c r="B6215" s="7"/>
      <c r="O6215" s="7"/>
      <c r="X6215" s="7"/>
      <c r="AG6215" s="7"/>
      <c r="AP6215" s="7"/>
      <c r="AY6215" s="7"/>
      <c r="BH6215" s="7"/>
      <c r="BQ6215" s="7"/>
      <c r="BZ6215" s="7"/>
    </row>
    <row r="6216" spans="2:78">
      <c r="B6216" s="7"/>
      <c r="O6216" s="7"/>
      <c r="X6216" s="7"/>
      <c r="AG6216" s="7"/>
      <c r="AP6216" s="7"/>
      <c r="AY6216" s="7"/>
      <c r="BH6216" s="7"/>
      <c r="BQ6216" s="7"/>
      <c r="BZ6216" s="7"/>
    </row>
    <row r="6217" spans="2:78">
      <c r="B6217" s="7"/>
      <c r="O6217" s="7"/>
      <c r="X6217" s="7"/>
      <c r="AG6217" s="7"/>
      <c r="AP6217" s="7"/>
      <c r="AY6217" s="7"/>
      <c r="BH6217" s="7"/>
      <c r="BQ6217" s="7"/>
      <c r="BZ6217" s="7"/>
    </row>
    <row r="6218" spans="2:78">
      <c r="B6218" s="7"/>
      <c r="O6218" s="7"/>
      <c r="X6218" s="7"/>
      <c r="AG6218" s="7"/>
      <c r="AP6218" s="7"/>
      <c r="AY6218" s="7"/>
      <c r="BH6218" s="7"/>
      <c r="BQ6218" s="7"/>
      <c r="BZ6218" s="7"/>
    </row>
    <row r="6219" spans="2:78">
      <c r="B6219" s="7"/>
      <c r="O6219" s="7"/>
      <c r="X6219" s="7"/>
      <c r="AG6219" s="7"/>
      <c r="AP6219" s="7"/>
      <c r="AY6219" s="7"/>
      <c r="BH6219" s="7"/>
      <c r="BQ6219" s="7"/>
      <c r="BZ6219" s="7"/>
    </row>
    <row r="6220" spans="2:78">
      <c r="B6220" s="7"/>
      <c r="O6220" s="7"/>
      <c r="X6220" s="7"/>
      <c r="AG6220" s="7"/>
      <c r="AP6220" s="7"/>
      <c r="AY6220" s="7"/>
      <c r="BH6220" s="7"/>
      <c r="BQ6220" s="7"/>
      <c r="BZ6220" s="7"/>
    </row>
    <row r="6221" spans="2:78">
      <c r="B6221" s="7"/>
      <c r="O6221" s="7"/>
      <c r="X6221" s="7"/>
      <c r="AG6221" s="7"/>
      <c r="AP6221" s="7"/>
      <c r="AY6221" s="7"/>
      <c r="BH6221" s="7"/>
      <c r="BQ6221" s="7"/>
      <c r="BZ6221" s="7"/>
    </row>
    <row r="6222" spans="2:78">
      <c r="B6222" s="7"/>
      <c r="O6222" s="7"/>
      <c r="X6222" s="7"/>
      <c r="AG6222" s="7"/>
      <c r="AP6222" s="7"/>
      <c r="AY6222" s="7"/>
      <c r="BH6222" s="7"/>
      <c r="BQ6222" s="7"/>
      <c r="BZ6222" s="7"/>
    </row>
    <row r="6223" spans="2:78">
      <c r="B6223" s="7"/>
      <c r="O6223" s="7"/>
      <c r="X6223" s="7"/>
      <c r="AG6223" s="7"/>
      <c r="AP6223" s="7"/>
      <c r="AY6223" s="7"/>
      <c r="BH6223" s="7"/>
      <c r="BQ6223" s="7"/>
      <c r="BZ6223" s="7"/>
    </row>
    <row r="6224" spans="2:78">
      <c r="B6224" s="7"/>
      <c r="O6224" s="7"/>
      <c r="X6224" s="7"/>
      <c r="AG6224" s="7"/>
      <c r="AP6224" s="7"/>
      <c r="AY6224" s="7"/>
      <c r="BH6224" s="7"/>
      <c r="BQ6224" s="7"/>
      <c r="BZ6224" s="7"/>
    </row>
    <row r="6225" spans="2:78">
      <c r="B6225" s="7"/>
      <c r="O6225" s="7"/>
      <c r="X6225" s="7"/>
      <c r="AG6225" s="7"/>
      <c r="AP6225" s="7"/>
      <c r="AY6225" s="7"/>
      <c r="BH6225" s="7"/>
      <c r="BQ6225" s="7"/>
      <c r="BZ6225" s="7"/>
    </row>
    <row r="6226" spans="2:78">
      <c r="B6226" s="7"/>
      <c r="O6226" s="7"/>
      <c r="X6226" s="7"/>
      <c r="AG6226" s="7"/>
      <c r="AP6226" s="7"/>
      <c r="AY6226" s="7"/>
      <c r="BH6226" s="7"/>
      <c r="BQ6226" s="7"/>
      <c r="BZ6226" s="7"/>
    </row>
    <row r="6227" spans="2:78">
      <c r="B6227" s="7"/>
      <c r="O6227" s="7"/>
      <c r="X6227" s="7"/>
      <c r="AG6227" s="7"/>
      <c r="AP6227" s="7"/>
      <c r="AY6227" s="7"/>
      <c r="BH6227" s="7"/>
      <c r="BQ6227" s="7"/>
      <c r="BZ6227" s="7"/>
    </row>
    <row r="6228" spans="2:78">
      <c r="B6228" s="7"/>
      <c r="O6228" s="7"/>
      <c r="X6228" s="7"/>
      <c r="AG6228" s="7"/>
      <c r="AP6228" s="7"/>
      <c r="AY6228" s="7"/>
      <c r="BH6228" s="7"/>
      <c r="BQ6228" s="7"/>
      <c r="BZ6228" s="7"/>
    </row>
    <row r="6229" spans="2:78">
      <c r="B6229" s="7"/>
      <c r="O6229" s="7"/>
      <c r="X6229" s="7"/>
      <c r="AG6229" s="7"/>
      <c r="AP6229" s="7"/>
      <c r="AY6229" s="7"/>
      <c r="BH6229" s="7"/>
      <c r="BQ6229" s="7"/>
      <c r="BZ6229" s="7"/>
    </row>
    <row r="6230" spans="2:78">
      <c r="B6230" s="7"/>
      <c r="O6230" s="7"/>
      <c r="X6230" s="7"/>
      <c r="AG6230" s="7"/>
      <c r="AP6230" s="7"/>
      <c r="AY6230" s="7"/>
      <c r="BH6230" s="7"/>
      <c r="BQ6230" s="7"/>
      <c r="BZ6230" s="7"/>
    </row>
    <row r="6231" spans="2:78">
      <c r="B6231" s="7"/>
      <c r="O6231" s="7"/>
      <c r="X6231" s="7"/>
      <c r="AG6231" s="7"/>
      <c r="AP6231" s="7"/>
      <c r="AY6231" s="7"/>
      <c r="BH6231" s="7"/>
      <c r="BQ6231" s="7"/>
      <c r="BZ6231" s="7"/>
    </row>
    <row r="6232" spans="2:78">
      <c r="B6232" s="7"/>
      <c r="O6232" s="7"/>
      <c r="X6232" s="7"/>
      <c r="AG6232" s="7"/>
      <c r="AP6232" s="7"/>
      <c r="AY6232" s="7"/>
      <c r="BH6232" s="7"/>
      <c r="BQ6232" s="7"/>
      <c r="BZ6232" s="7"/>
    </row>
    <row r="6233" spans="2:78">
      <c r="B6233" s="7"/>
      <c r="O6233" s="7"/>
      <c r="X6233" s="7"/>
      <c r="AG6233" s="7"/>
      <c r="AP6233" s="7"/>
      <c r="AY6233" s="7"/>
      <c r="BH6233" s="7"/>
      <c r="BQ6233" s="7"/>
      <c r="BZ6233" s="7"/>
    </row>
    <row r="6234" spans="2:78">
      <c r="B6234" s="7"/>
      <c r="O6234" s="7"/>
      <c r="X6234" s="7"/>
      <c r="AG6234" s="7"/>
      <c r="AP6234" s="7"/>
      <c r="AY6234" s="7"/>
      <c r="BH6234" s="7"/>
      <c r="BQ6234" s="7"/>
      <c r="BZ6234" s="7"/>
    </row>
    <row r="6235" spans="2:78">
      <c r="B6235" s="7"/>
      <c r="O6235" s="7"/>
      <c r="X6235" s="7"/>
      <c r="AG6235" s="7"/>
      <c r="AP6235" s="7"/>
      <c r="AY6235" s="7"/>
      <c r="BH6235" s="7"/>
      <c r="BQ6235" s="7"/>
      <c r="BZ6235" s="7"/>
    </row>
    <row r="6236" spans="2:78">
      <c r="B6236" s="7"/>
      <c r="O6236" s="7"/>
      <c r="X6236" s="7"/>
      <c r="AG6236" s="7"/>
      <c r="AP6236" s="7"/>
      <c r="AY6236" s="7"/>
      <c r="BH6236" s="7"/>
      <c r="BQ6236" s="7"/>
      <c r="BZ6236" s="7"/>
    </row>
    <row r="6237" spans="2:78">
      <c r="B6237" s="7"/>
      <c r="O6237" s="7"/>
      <c r="X6237" s="7"/>
      <c r="AG6237" s="7"/>
      <c r="AP6237" s="7"/>
      <c r="AY6237" s="7"/>
      <c r="BH6237" s="7"/>
      <c r="BQ6237" s="7"/>
      <c r="BZ6237" s="7"/>
    </row>
    <row r="6238" spans="2:78">
      <c r="B6238" s="7"/>
      <c r="O6238" s="7"/>
      <c r="X6238" s="7"/>
      <c r="AG6238" s="7"/>
      <c r="AP6238" s="7"/>
      <c r="AY6238" s="7"/>
      <c r="BH6238" s="7"/>
      <c r="BQ6238" s="7"/>
      <c r="BZ6238" s="7"/>
    </row>
    <row r="6239" spans="2:78">
      <c r="B6239" s="7"/>
      <c r="O6239" s="7"/>
      <c r="X6239" s="7"/>
      <c r="AG6239" s="7"/>
      <c r="AP6239" s="7"/>
      <c r="AY6239" s="7"/>
      <c r="BH6239" s="7"/>
      <c r="BQ6239" s="7"/>
      <c r="BZ6239" s="7"/>
    </row>
    <row r="6240" spans="2:78">
      <c r="B6240" s="7"/>
      <c r="O6240" s="7"/>
      <c r="X6240" s="7"/>
      <c r="AG6240" s="7"/>
      <c r="AP6240" s="7"/>
      <c r="AY6240" s="7"/>
      <c r="BH6240" s="7"/>
      <c r="BQ6240" s="7"/>
      <c r="BZ6240" s="7"/>
    </row>
    <row r="6241" spans="2:78">
      <c r="B6241" s="7"/>
      <c r="O6241" s="7"/>
      <c r="X6241" s="7"/>
      <c r="AG6241" s="7"/>
      <c r="AP6241" s="7"/>
      <c r="AY6241" s="7"/>
      <c r="BH6241" s="7"/>
      <c r="BQ6241" s="7"/>
      <c r="BZ6241" s="7"/>
    </row>
    <row r="6242" spans="2:78">
      <c r="B6242" s="7"/>
      <c r="O6242" s="7"/>
      <c r="X6242" s="7"/>
      <c r="AG6242" s="7"/>
      <c r="AP6242" s="7"/>
      <c r="AY6242" s="7"/>
      <c r="BH6242" s="7"/>
      <c r="BQ6242" s="7"/>
      <c r="BZ6242" s="7"/>
    </row>
    <row r="6243" spans="2:78">
      <c r="B6243" s="7"/>
      <c r="O6243" s="7"/>
      <c r="X6243" s="7"/>
      <c r="AG6243" s="7"/>
      <c r="AP6243" s="7"/>
      <c r="AY6243" s="7"/>
      <c r="BH6243" s="7"/>
      <c r="BQ6243" s="7"/>
      <c r="BZ6243" s="7"/>
    </row>
    <row r="6244" spans="2:78">
      <c r="B6244" s="7"/>
      <c r="O6244" s="7"/>
      <c r="X6244" s="7"/>
      <c r="AG6244" s="7"/>
      <c r="AP6244" s="7"/>
      <c r="AY6244" s="7"/>
      <c r="BH6244" s="7"/>
      <c r="BQ6244" s="7"/>
      <c r="BZ6244" s="7"/>
    </row>
    <row r="6245" spans="2:78">
      <c r="B6245" s="7"/>
      <c r="O6245" s="7"/>
      <c r="X6245" s="7"/>
      <c r="AG6245" s="7"/>
      <c r="AP6245" s="7"/>
      <c r="AY6245" s="7"/>
      <c r="BH6245" s="7"/>
      <c r="BQ6245" s="7"/>
      <c r="BZ6245" s="7"/>
    </row>
    <row r="6246" spans="2:78">
      <c r="B6246" s="7"/>
      <c r="O6246" s="7"/>
      <c r="X6246" s="7"/>
      <c r="AG6246" s="7"/>
      <c r="AP6246" s="7"/>
      <c r="AY6246" s="7"/>
      <c r="BH6246" s="7"/>
      <c r="BQ6246" s="7"/>
      <c r="BZ6246" s="7"/>
    </row>
    <row r="6247" spans="2:78">
      <c r="B6247" s="7"/>
      <c r="O6247" s="7"/>
      <c r="X6247" s="7"/>
      <c r="AG6247" s="7"/>
      <c r="AP6247" s="7"/>
      <c r="AY6247" s="7"/>
      <c r="BH6247" s="7"/>
      <c r="BQ6247" s="7"/>
      <c r="BZ6247" s="7"/>
    </row>
    <row r="6248" spans="2:78">
      <c r="B6248" s="7"/>
      <c r="O6248" s="7"/>
      <c r="X6248" s="7"/>
      <c r="AG6248" s="7"/>
      <c r="AP6248" s="7"/>
      <c r="AY6248" s="7"/>
      <c r="BH6248" s="7"/>
      <c r="BQ6248" s="7"/>
      <c r="BZ6248" s="7"/>
    </row>
    <row r="6249" spans="2:78">
      <c r="B6249" s="7"/>
      <c r="O6249" s="7"/>
      <c r="X6249" s="7"/>
      <c r="AG6249" s="7"/>
      <c r="AP6249" s="7"/>
      <c r="AY6249" s="7"/>
      <c r="BH6249" s="7"/>
      <c r="BQ6249" s="7"/>
      <c r="BZ6249" s="7"/>
    </row>
    <row r="6250" spans="2:78">
      <c r="B6250" s="7"/>
      <c r="O6250" s="7"/>
      <c r="X6250" s="7"/>
      <c r="AG6250" s="7"/>
      <c r="AP6250" s="7"/>
      <c r="AY6250" s="7"/>
      <c r="BH6250" s="7"/>
      <c r="BQ6250" s="7"/>
      <c r="BZ6250" s="7"/>
    </row>
    <row r="6251" spans="2:78">
      <c r="B6251" s="7"/>
      <c r="O6251" s="7"/>
      <c r="X6251" s="7"/>
      <c r="AG6251" s="7"/>
      <c r="AP6251" s="7"/>
      <c r="AY6251" s="7"/>
      <c r="BH6251" s="7"/>
      <c r="BQ6251" s="7"/>
      <c r="BZ6251" s="7"/>
    </row>
    <row r="6252" spans="2:78">
      <c r="B6252" s="7"/>
      <c r="O6252" s="7"/>
      <c r="X6252" s="7"/>
      <c r="AG6252" s="7"/>
      <c r="AP6252" s="7"/>
      <c r="AY6252" s="7"/>
      <c r="BH6252" s="7"/>
      <c r="BQ6252" s="7"/>
      <c r="BZ6252" s="7"/>
    </row>
    <row r="6253" spans="2:78">
      <c r="B6253" s="7"/>
      <c r="O6253" s="7"/>
      <c r="X6253" s="7"/>
      <c r="AG6253" s="7"/>
      <c r="AP6253" s="7"/>
      <c r="AY6253" s="7"/>
      <c r="BH6253" s="7"/>
      <c r="BQ6253" s="7"/>
      <c r="BZ6253" s="7"/>
    </row>
    <row r="6254" spans="2:78">
      <c r="B6254" s="7"/>
      <c r="O6254" s="7"/>
      <c r="X6254" s="7"/>
      <c r="AG6254" s="7"/>
      <c r="AP6254" s="7"/>
      <c r="AY6254" s="7"/>
      <c r="BH6254" s="7"/>
      <c r="BQ6254" s="7"/>
      <c r="BZ6254" s="7"/>
    </row>
    <row r="6255" spans="2:78">
      <c r="B6255" s="7"/>
      <c r="O6255" s="7"/>
      <c r="X6255" s="7"/>
      <c r="AG6255" s="7"/>
      <c r="AP6255" s="7"/>
      <c r="AY6255" s="7"/>
      <c r="BH6255" s="7"/>
      <c r="BQ6255" s="7"/>
      <c r="BZ6255" s="7"/>
    </row>
    <row r="6256" spans="2:78">
      <c r="B6256" s="7"/>
      <c r="O6256" s="7"/>
      <c r="X6256" s="7"/>
      <c r="AG6256" s="7"/>
      <c r="AP6256" s="7"/>
      <c r="AY6256" s="7"/>
      <c r="BH6256" s="7"/>
      <c r="BQ6256" s="7"/>
      <c r="BZ6256" s="7"/>
    </row>
    <row r="6257" spans="2:78">
      <c r="B6257" s="7"/>
      <c r="O6257" s="7"/>
      <c r="X6257" s="7"/>
      <c r="AG6257" s="7"/>
      <c r="AP6257" s="7"/>
      <c r="AY6257" s="7"/>
      <c r="BH6257" s="7"/>
      <c r="BQ6257" s="7"/>
      <c r="BZ6257" s="7"/>
    </row>
    <row r="6258" spans="2:78">
      <c r="B6258" s="7"/>
      <c r="O6258" s="7"/>
      <c r="X6258" s="7"/>
      <c r="AG6258" s="7"/>
      <c r="AP6258" s="7"/>
      <c r="AY6258" s="7"/>
      <c r="BH6258" s="7"/>
      <c r="BQ6258" s="7"/>
      <c r="BZ6258" s="7"/>
    </row>
    <row r="6259" spans="2:78">
      <c r="B6259" s="7"/>
      <c r="O6259" s="7"/>
      <c r="X6259" s="7"/>
      <c r="AG6259" s="7"/>
      <c r="AP6259" s="7"/>
      <c r="AY6259" s="7"/>
      <c r="BH6259" s="7"/>
      <c r="BQ6259" s="7"/>
      <c r="BZ6259" s="7"/>
    </row>
    <row r="6260" spans="2:78">
      <c r="B6260" s="7"/>
      <c r="O6260" s="7"/>
      <c r="X6260" s="7"/>
      <c r="AG6260" s="7"/>
      <c r="AP6260" s="7"/>
      <c r="AY6260" s="7"/>
      <c r="BH6260" s="7"/>
      <c r="BQ6260" s="7"/>
      <c r="BZ6260" s="7"/>
    </row>
    <row r="6261" spans="2:78">
      <c r="B6261" s="7"/>
      <c r="O6261" s="7"/>
      <c r="X6261" s="7"/>
      <c r="AG6261" s="7"/>
      <c r="AP6261" s="7"/>
      <c r="AY6261" s="7"/>
      <c r="BH6261" s="7"/>
      <c r="BQ6261" s="7"/>
      <c r="BZ6261" s="7"/>
    </row>
    <row r="6262" spans="2:78">
      <c r="B6262" s="7"/>
      <c r="O6262" s="7"/>
      <c r="X6262" s="7"/>
      <c r="AG6262" s="7"/>
      <c r="AP6262" s="7"/>
      <c r="AY6262" s="7"/>
      <c r="BH6262" s="7"/>
      <c r="BQ6262" s="7"/>
      <c r="BZ6262" s="7"/>
    </row>
    <row r="6263" spans="2:78">
      <c r="B6263" s="7"/>
      <c r="O6263" s="7"/>
      <c r="X6263" s="7"/>
      <c r="AG6263" s="7"/>
      <c r="AP6263" s="7"/>
      <c r="AY6263" s="7"/>
      <c r="BH6263" s="7"/>
      <c r="BQ6263" s="7"/>
      <c r="BZ6263" s="7"/>
    </row>
    <row r="6264" spans="2:78">
      <c r="B6264" s="7"/>
      <c r="O6264" s="7"/>
      <c r="X6264" s="7"/>
      <c r="AG6264" s="7"/>
      <c r="AP6264" s="7"/>
      <c r="AY6264" s="7"/>
      <c r="BH6264" s="7"/>
      <c r="BQ6264" s="7"/>
      <c r="BZ6264" s="7"/>
    </row>
    <row r="6265" spans="2:78">
      <c r="B6265" s="7"/>
      <c r="O6265" s="7"/>
      <c r="X6265" s="7"/>
      <c r="AG6265" s="7"/>
      <c r="AP6265" s="7"/>
      <c r="AY6265" s="7"/>
      <c r="BH6265" s="7"/>
      <c r="BQ6265" s="7"/>
      <c r="BZ6265" s="7"/>
    </row>
    <row r="6266" spans="2:78">
      <c r="B6266" s="7"/>
      <c r="O6266" s="7"/>
      <c r="X6266" s="7"/>
      <c r="AG6266" s="7"/>
      <c r="AP6266" s="7"/>
      <c r="AY6266" s="7"/>
      <c r="BH6266" s="7"/>
      <c r="BQ6266" s="7"/>
      <c r="BZ6266" s="7"/>
    </row>
    <row r="6267" spans="2:78">
      <c r="B6267" s="7"/>
      <c r="O6267" s="7"/>
      <c r="X6267" s="7"/>
      <c r="AG6267" s="7"/>
      <c r="AP6267" s="7"/>
      <c r="AY6267" s="7"/>
      <c r="BH6267" s="7"/>
      <c r="BQ6267" s="7"/>
      <c r="BZ6267" s="7"/>
    </row>
    <row r="6268" spans="2:78">
      <c r="B6268" s="7"/>
      <c r="O6268" s="7"/>
      <c r="X6268" s="7"/>
      <c r="AG6268" s="7"/>
      <c r="AP6268" s="7"/>
      <c r="AY6268" s="7"/>
      <c r="BH6268" s="7"/>
      <c r="BQ6268" s="7"/>
      <c r="BZ6268" s="7"/>
    </row>
    <row r="6269" spans="2:78">
      <c r="B6269" s="7"/>
      <c r="O6269" s="7"/>
      <c r="X6269" s="7"/>
      <c r="AG6269" s="7"/>
      <c r="AP6269" s="7"/>
      <c r="AY6269" s="7"/>
      <c r="BH6269" s="7"/>
      <c r="BQ6269" s="7"/>
      <c r="BZ6269" s="7"/>
    </row>
    <row r="6270" spans="2:78">
      <c r="B6270" s="7"/>
      <c r="O6270" s="7"/>
      <c r="X6270" s="7"/>
      <c r="AG6270" s="7"/>
      <c r="AP6270" s="7"/>
      <c r="AY6270" s="7"/>
      <c r="BH6270" s="7"/>
      <c r="BQ6270" s="7"/>
      <c r="BZ6270" s="7"/>
    </row>
    <row r="6271" spans="2:78">
      <c r="B6271" s="7"/>
      <c r="O6271" s="7"/>
      <c r="X6271" s="7"/>
      <c r="AG6271" s="7"/>
      <c r="AP6271" s="7"/>
      <c r="AY6271" s="7"/>
      <c r="BH6271" s="7"/>
      <c r="BQ6271" s="7"/>
      <c r="BZ6271" s="7"/>
    </row>
    <row r="6272" spans="2:78">
      <c r="B6272" s="7"/>
      <c r="O6272" s="7"/>
      <c r="X6272" s="7"/>
      <c r="AG6272" s="7"/>
      <c r="AP6272" s="7"/>
      <c r="AY6272" s="7"/>
      <c r="BH6272" s="7"/>
      <c r="BQ6272" s="7"/>
      <c r="BZ6272" s="7"/>
    </row>
    <row r="6273" spans="2:78">
      <c r="B6273" s="7"/>
      <c r="O6273" s="7"/>
      <c r="X6273" s="7"/>
      <c r="AG6273" s="7"/>
      <c r="AP6273" s="7"/>
      <c r="AY6273" s="7"/>
      <c r="BH6273" s="7"/>
      <c r="BQ6273" s="7"/>
      <c r="BZ6273" s="7"/>
    </row>
    <row r="6274" spans="2:78">
      <c r="B6274" s="7"/>
      <c r="O6274" s="7"/>
      <c r="X6274" s="7"/>
      <c r="AG6274" s="7"/>
      <c r="AP6274" s="7"/>
      <c r="AY6274" s="7"/>
      <c r="BH6274" s="7"/>
      <c r="BQ6274" s="7"/>
      <c r="BZ6274" s="7"/>
    </row>
    <row r="6275" spans="2:78">
      <c r="B6275" s="7"/>
      <c r="O6275" s="7"/>
      <c r="X6275" s="7"/>
      <c r="AG6275" s="7"/>
      <c r="AP6275" s="7"/>
      <c r="AY6275" s="7"/>
      <c r="BH6275" s="7"/>
      <c r="BQ6275" s="7"/>
      <c r="BZ6275" s="7"/>
    </row>
    <row r="6276" spans="2:78">
      <c r="B6276" s="7"/>
      <c r="O6276" s="7"/>
      <c r="X6276" s="7"/>
      <c r="AG6276" s="7"/>
      <c r="AP6276" s="7"/>
      <c r="AY6276" s="7"/>
      <c r="BH6276" s="7"/>
      <c r="BQ6276" s="7"/>
      <c r="BZ6276" s="7"/>
    </row>
    <row r="6277" spans="2:78">
      <c r="B6277" s="7"/>
      <c r="O6277" s="7"/>
      <c r="X6277" s="7"/>
      <c r="AG6277" s="7"/>
      <c r="AP6277" s="7"/>
      <c r="AY6277" s="7"/>
      <c r="BH6277" s="7"/>
      <c r="BQ6277" s="7"/>
      <c r="BZ6277" s="7"/>
    </row>
    <row r="6278" spans="2:78">
      <c r="B6278" s="7"/>
      <c r="O6278" s="7"/>
      <c r="X6278" s="7"/>
      <c r="AG6278" s="7"/>
      <c r="AP6278" s="7"/>
      <c r="AY6278" s="7"/>
      <c r="BH6278" s="7"/>
      <c r="BQ6278" s="7"/>
      <c r="BZ6278" s="7"/>
    </row>
    <row r="6279" spans="2:78">
      <c r="B6279" s="7"/>
      <c r="O6279" s="7"/>
      <c r="X6279" s="7"/>
      <c r="AG6279" s="7"/>
      <c r="AP6279" s="7"/>
      <c r="AY6279" s="7"/>
      <c r="BH6279" s="7"/>
      <c r="BQ6279" s="7"/>
      <c r="BZ6279" s="7"/>
    </row>
    <row r="6280" spans="2:78">
      <c r="B6280" s="7"/>
      <c r="O6280" s="7"/>
      <c r="X6280" s="7"/>
      <c r="AG6280" s="7"/>
      <c r="AP6280" s="7"/>
      <c r="AY6280" s="7"/>
      <c r="BH6280" s="7"/>
      <c r="BQ6280" s="7"/>
      <c r="BZ6280" s="7"/>
    </row>
    <row r="6281" spans="2:78">
      <c r="B6281" s="7"/>
      <c r="O6281" s="7"/>
      <c r="X6281" s="7"/>
      <c r="AG6281" s="7"/>
      <c r="AP6281" s="7"/>
      <c r="AY6281" s="7"/>
      <c r="BH6281" s="7"/>
      <c r="BQ6281" s="7"/>
      <c r="BZ6281" s="7"/>
    </row>
    <row r="6282" spans="2:78">
      <c r="B6282" s="7"/>
      <c r="O6282" s="7"/>
      <c r="X6282" s="7"/>
      <c r="AG6282" s="7"/>
      <c r="AP6282" s="7"/>
      <c r="AY6282" s="7"/>
      <c r="BH6282" s="7"/>
      <c r="BQ6282" s="7"/>
      <c r="BZ6282" s="7"/>
    </row>
    <row r="6283" spans="2:78">
      <c r="B6283" s="7"/>
      <c r="O6283" s="7"/>
      <c r="X6283" s="7"/>
      <c r="AG6283" s="7"/>
      <c r="AP6283" s="7"/>
      <c r="AY6283" s="7"/>
      <c r="BH6283" s="7"/>
      <c r="BQ6283" s="7"/>
      <c r="BZ6283" s="7"/>
    </row>
    <row r="6284" spans="2:78">
      <c r="B6284" s="7"/>
      <c r="O6284" s="7"/>
      <c r="X6284" s="7"/>
      <c r="AG6284" s="7"/>
      <c r="AP6284" s="7"/>
      <c r="AY6284" s="7"/>
      <c r="BH6284" s="7"/>
      <c r="BQ6284" s="7"/>
      <c r="BZ6284" s="7"/>
    </row>
    <row r="6285" spans="2:78">
      <c r="B6285" s="7"/>
      <c r="O6285" s="7"/>
      <c r="X6285" s="7"/>
      <c r="AG6285" s="7"/>
      <c r="AP6285" s="7"/>
      <c r="AY6285" s="7"/>
      <c r="BH6285" s="7"/>
      <c r="BQ6285" s="7"/>
      <c r="BZ6285" s="7"/>
    </row>
    <row r="6286" spans="2:78">
      <c r="B6286" s="7"/>
      <c r="O6286" s="7"/>
      <c r="X6286" s="7"/>
      <c r="AG6286" s="7"/>
      <c r="AP6286" s="7"/>
      <c r="AY6286" s="7"/>
      <c r="BH6286" s="7"/>
      <c r="BQ6286" s="7"/>
      <c r="BZ6286" s="7"/>
    </row>
    <row r="6287" spans="2:78">
      <c r="B6287" s="7"/>
      <c r="O6287" s="7"/>
      <c r="X6287" s="7"/>
      <c r="AG6287" s="7"/>
      <c r="AP6287" s="7"/>
      <c r="AY6287" s="7"/>
      <c r="BH6287" s="7"/>
      <c r="BQ6287" s="7"/>
      <c r="BZ6287" s="7"/>
    </row>
    <row r="6288" spans="2:78">
      <c r="B6288" s="7"/>
      <c r="O6288" s="7"/>
      <c r="X6288" s="7"/>
      <c r="AG6288" s="7"/>
      <c r="AP6288" s="7"/>
      <c r="AY6288" s="7"/>
      <c r="BH6288" s="7"/>
      <c r="BQ6288" s="7"/>
      <c r="BZ6288" s="7"/>
    </row>
    <row r="6289" spans="2:78">
      <c r="B6289" s="7"/>
      <c r="O6289" s="7"/>
      <c r="X6289" s="7"/>
      <c r="AG6289" s="7"/>
      <c r="AP6289" s="7"/>
      <c r="AY6289" s="7"/>
      <c r="BH6289" s="7"/>
      <c r="BQ6289" s="7"/>
      <c r="BZ6289" s="7"/>
    </row>
    <row r="6290" spans="2:78">
      <c r="B6290" s="7"/>
      <c r="O6290" s="7"/>
      <c r="X6290" s="7"/>
      <c r="AG6290" s="7"/>
      <c r="AP6290" s="7"/>
      <c r="AY6290" s="7"/>
      <c r="BH6290" s="7"/>
      <c r="BQ6290" s="7"/>
      <c r="BZ6290" s="7"/>
    </row>
    <row r="6291" spans="2:78">
      <c r="B6291" s="7"/>
      <c r="O6291" s="7"/>
      <c r="X6291" s="7"/>
      <c r="AG6291" s="7"/>
      <c r="AP6291" s="7"/>
      <c r="AY6291" s="7"/>
      <c r="BH6291" s="7"/>
      <c r="BQ6291" s="7"/>
      <c r="BZ6291" s="7"/>
    </row>
    <row r="6292" spans="2:78">
      <c r="B6292" s="7"/>
      <c r="O6292" s="7"/>
      <c r="X6292" s="7"/>
      <c r="AG6292" s="7"/>
      <c r="AP6292" s="7"/>
      <c r="AY6292" s="7"/>
      <c r="BH6292" s="7"/>
      <c r="BQ6292" s="7"/>
      <c r="BZ6292" s="7"/>
    </row>
    <row r="6293" spans="2:78">
      <c r="B6293" s="7"/>
      <c r="O6293" s="7"/>
      <c r="X6293" s="7"/>
      <c r="AG6293" s="7"/>
      <c r="AP6293" s="7"/>
      <c r="AY6293" s="7"/>
      <c r="BH6293" s="7"/>
      <c r="BQ6293" s="7"/>
      <c r="BZ6293" s="7"/>
    </row>
    <row r="6294" spans="2:78">
      <c r="B6294" s="7"/>
      <c r="O6294" s="7"/>
      <c r="X6294" s="7"/>
      <c r="AG6294" s="7"/>
      <c r="AP6294" s="7"/>
      <c r="AY6294" s="7"/>
      <c r="BH6294" s="7"/>
      <c r="BQ6294" s="7"/>
      <c r="BZ6294" s="7"/>
    </row>
    <row r="6295" spans="2:78">
      <c r="B6295" s="7"/>
      <c r="O6295" s="7"/>
      <c r="X6295" s="7"/>
      <c r="AG6295" s="7"/>
      <c r="AP6295" s="7"/>
      <c r="AY6295" s="7"/>
      <c r="BH6295" s="7"/>
      <c r="BQ6295" s="7"/>
      <c r="BZ6295" s="7"/>
    </row>
    <row r="6296" spans="2:78">
      <c r="B6296" s="7"/>
      <c r="O6296" s="7"/>
      <c r="X6296" s="7"/>
      <c r="AG6296" s="7"/>
      <c r="AP6296" s="7"/>
      <c r="AY6296" s="7"/>
      <c r="BH6296" s="7"/>
      <c r="BQ6296" s="7"/>
      <c r="BZ6296" s="7"/>
    </row>
    <row r="6297" spans="2:78">
      <c r="B6297" s="7"/>
      <c r="O6297" s="7"/>
      <c r="X6297" s="7"/>
      <c r="AG6297" s="7"/>
      <c r="AP6297" s="7"/>
      <c r="AY6297" s="7"/>
      <c r="BH6297" s="7"/>
      <c r="BQ6297" s="7"/>
      <c r="BZ6297" s="7"/>
    </row>
    <row r="6298" spans="2:78">
      <c r="B6298" s="7"/>
      <c r="O6298" s="7"/>
      <c r="X6298" s="7"/>
      <c r="AG6298" s="7"/>
      <c r="AP6298" s="7"/>
      <c r="AY6298" s="7"/>
      <c r="BH6298" s="7"/>
      <c r="BQ6298" s="7"/>
      <c r="BZ6298" s="7"/>
    </row>
    <row r="6299" spans="2:78">
      <c r="B6299" s="7"/>
      <c r="O6299" s="7"/>
      <c r="X6299" s="7"/>
      <c r="AG6299" s="7"/>
      <c r="AP6299" s="7"/>
      <c r="AY6299" s="7"/>
      <c r="BH6299" s="7"/>
      <c r="BQ6299" s="7"/>
      <c r="BZ6299" s="7"/>
    </row>
    <row r="6300" spans="2:78">
      <c r="B6300" s="7"/>
      <c r="O6300" s="7"/>
      <c r="X6300" s="7"/>
      <c r="AG6300" s="7"/>
      <c r="AP6300" s="7"/>
      <c r="AY6300" s="7"/>
      <c r="BH6300" s="7"/>
      <c r="BQ6300" s="7"/>
      <c r="BZ6300" s="7"/>
    </row>
    <row r="6301" spans="2:78">
      <c r="B6301" s="7"/>
      <c r="O6301" s="7"/>
      <c r="X6301" s="7"/>
      <c r="AG6301" s="7"/>
      <c r="AP6301" s="7"/>
      <c r="AY6301" s="7"/>
      <c r="BH6301" s="7"/>
      <c r="BQ6301" s="7"/>
      <c r="BZ6301" s="7"/>
    </row>
    <row r="6302" spans="2:78">
      <c r="B6302" s="7"/>
      <c r="O6302" s="7"/>
      <c r="X6302" s="7"/>
      <c r="AG6302" s="7"/>
      <c r="AP6302" s="7"/>
      <c r="AY6302" s="7"/>
      <c r="BH6302" s="7"/>
      <c r="BQ6302" s="7"/>
      <c r="BZ6302" s="7"/>
    </row>
    <row r="6303" spans="2:78">
      <c r="B6303" s="7"/>
      <c r="O6303" s="7"/>
      <c r="X6303" s="7"/>
      <c r="AG6303" s="7"/>
      <c r="AP6303" s="7"/>
      <c r="AY6303" s="7"/>
      <c r="BH6303" s="7"/>
      <c r="BQ6303" s="7"/>
      <c r="BZ6303" s="7"/>
    </row>
    <row r="6304" spans="2:78">
      <c r="B6304" s="7"/>
      <c r="O6304" s="7"/>
      <c r="X6304" s="7"/>
      <c r="AG6304" s="7"/>
      <c r="AP6304" s="7"/>
      <c r="AY6304" s="7"/>
      <c r="BH6304" s="7"/>
      <c r="BQ6304" s="7"/>
      <c r="BZ6304" s="7"/>
    </row>
    <row r="6305" spans="2:78">
      <c r="B6305" s="7"/>
      <c r="O6305" s="7"/>
      <c r="X6305" s="7"/>
      <c r="AG6305" s="7"/>
      <c r="AP6305" s="7"/>
      <c r="AY6305" s="7"/>
      <c r="BH6305" s="7"/>
      <c r="BQ6305" s="7"/>
      <c r="BZ6305" s="7"/>
    </row>
    <row r="6306" spans="2:78">
      <c r="B6306" s="7"/>
      <c r="O6306" s="7"/>
      <c r="X6306" s="7"/>
      <c r="AG6306" s="7"/>
      <c r="AP6306" s="7"/>
      <c r="AY6306" s="7"/>
      <c r="BH6306" s="7"/>
      <c r="BQ6306" s="7"/>
      <c r="BZ6306" s="7"/>
    </row>
    <row r="6307" spans="2:78">
      <c r="B6307" s="7"/>
      <c r="O6307" s="7"/>
      <c r="X6307" s="7"/>
      <c r="AG6307" s="7"/>
      <c r="AP6307" s="7"/>
      <c r="AY6307" s="7"/>
      <c r="BH6307" s="7"/>
      <c r="BQ6307" s="7"/>
      <c r="BZ6307" s="7"/>
    </row>
    <row r="6308" spans="2:78">
      <c r="B6308" s="7"/>
      <c r="O6308" s="7"/>
      <c r="X6308" s="7"/>
      <c r="AG6308" s="7"/>
      <c r="AP6308" s="7"/>
      <c r="AY6308" s="7"/>
      <c r="BH6308" s="7"/>
      <c r="BQ6308" s="7"/>
      <c r="BZ6308" s="7"/>
    </row>
    <row r="6309" spans="2:78">
      <c r="B6309" s="7"/>
      <c r="O6309" s="7"/>
      <c r="X6309" s="7"/>
      <c r="AG6309" s="7"/>
      <c r="AP6309" s="7"/>
      <c r="AY6309" s="7"/>
      <c r="BH6309" s="7"/>
      <c r="BQ6309" s="7"/>
      <c r="BZ6309" s="7"/>
    </row>
    <row r="6310" spans="2:78">
      <c r="B6310" s="7"/>
      <c r="O6310" s="7"/>
      <c r="X6310" s="7"/>
      <c r="AG6310" s="7"/>
      <c r="AP6310" s="7"/>
      <c r="AY6310" s="7"/>
      <c r="BH6310" s="7"/>
      <c r="BQ6310" s="7"/>
      <c r="BZ6310" s="7"/>
    </row>
    <row r="6311" spans="2:78">
      <c r="B6311" s="7"/>
      <c r="O6311" s="7"/>
      <c r="X6311" s="7"/>
      <c r="AG6311" s="7"/>
      <c r="AP6311" s="7"/>
      <c r="AY6311" s="7"/>
      <c r="BH6311" s="7"/>
      <c r="BQ6311" s="7"/>
      <c r="BZ6311" s="7"/>
    </row>
    <row r="6312" spans="2:78">
      <c r="B6312" s="7"/>
      <c r="O6312" s="7"/>
      <c r="X6312" s="7"/>
      <c r="AG6312" s="7"/>
      <c r="AP6312" s="7"/>
      <c r="AY6312" s="7"/>
      <c r="BH6312" s="7"/>
      <c r="BQ6312" s="7"/>
      <c r="BZ6312" s="7"/>
    </row>
    <row r="6313" spans="2:78">
      <c r="B6313" s="7"/>
      <c r="O6313" s="7"/>
      <c r="X6313" s="7"/>
      <c r="AG6313" s="7"/>
      <c r="AP6313" s="7"/>
      <c r="AY6313" s="7"/>
      <c r="BH6313" s="7"/>
      <c r="BQ6313" s="7"/>
      <c r="BZ6313" s="7"/>
    </row>
    <row r="6314" spans="2:78">
      <c r="B6314" s="7"/>
      <c r="O6314" s="7"/>
      <c r="X6314" s="7"/>
      <c r="AG6314" s="7"/>
      <c r="AP6314" s="7"/>
      <c r="AY6314" s="7"/>
      <c r="BH6314" s="7"/>
      <c r="BQ6314" s="7"/>
      <c r="BZ6314" s="7"/>
    </row>
    <row r="6315" spans="2:78">
      <c r="B6315" s="7"/>
      <c r="O6315" s="7"/>
      <c r="X6315" s="7"/>
      <c r="AG6315" s="7"/>
      <c r="AP6315" s="7"/>
      <c r="AY6315" s="7"/>
      <c r="BH6315" s="7"/>
      <c r="BQ6315" s="7"/>
      <c r="BZ6315" s="7"/>
    </row>
    <row r="6316" spans="2:78">
      <c r="B6316" s="7"/>
      <c r="O6316" s="7"/>
      <c r="X6316" s="7"/>
      <c r="AG6316" s="7"/>
      <c r="AP6316" s="7"/>
      <c r="AY6316" s="7"/>
      <c r="BH6316" s="7"/>
      <c r="BQ6316" s="7"/>
      <c r="BZ6316" s="7"/>
    </row>
    <row r="6317" spans="2:78">
      <c r="B6317" s="7"/>
      <c r="O6317" s="7"/>
      <c r="X6317" s="7"/>
      <c r="AG6317" s="7"/>
      <c r="AP6317" s="7"/>
      <c r="AY6317" s="7"/>
      <c r="BH6317" s="7"/>
      <c r="BQ6317" s="7"/>
      <c r="BZ6317" s="7"/>
    </row>
    <row r="6318" spans="2:78">
      <c r="B6318" s="7"/>
      <c r="O6318" s="7"/>
      <c r="X6318" s="7"/>
      <c r="AG6318" s="7"/>
      <c r="AP6318" s="7"/>
      <c r="AY6318" s="7"/>
      <c r="BH6318" s="7"/>
      <c r="BQ6318" s="7"/>
      <c r="BZ6318" s="7"/>
    </row>
    <row r="6319" spans="2:78">
      <c r="B6319" s="7"/>
      <c r="O6319" s="7"/>
      <c r="X6319" s="7"/>
      <c r="AG6319" s="7"/>
      <c r="AP6319" s="7"/>
      <c r="AY6319" s="7"/>
      <c r="BH6319" s="7"/>
      <c r="BQ6319" s="7"/>
      <c r="BZ6319" s="7"/>
    </row>
    <row r="6320" spans="2:78">
      <c r="B6320" s="7"/>
      <c r="O6320" s="7"/>
      <c r="X6320" s="7"/>
      <c r="AG6320" s="7"/>
      <c r="AP6320" s="7"/>
      <c r="AY6320" s="7"/>
      <c r="BH6320" s="7"/>
      <c r="BQ6320" s="7"/>
      <c r="BZ6320" s="7"/>
    </row>
    <row r="6321" spans="2:78">
      <c r="B6321" s="7"/>
      <c r="O6321" s="7"/>
      <c r="X6321" s="7"/>
      <c r="AG6321" s="7"/>
      <c r="AP6321" s="7"/>
      <c r="AY6321" s="7"/>
      <c r="BH6321" s="7"/>
      <c r="BQ6321" s="7"/>
      <c r="BZ6321" s="7"/>
    </row>
    <row r="6322" spans="2:78">
      <c r="B6322" s="7"/>
      <c r="O6322" s="7"/>
      <c r="X6322" s="7"/>
      <c r="AG6322" s="7"/>
      <c r="AP6322" s="7"/>
      <c r="AY6322" s="7"/>
      <c r="BH6322" s="7"/>
      <c r="BQ6322" s="7"/>
      <c r="BZ6322" s="7"/>
    </row>
    <row r="6323" spans="2:78">
      <c r="B6323" s="7"/>
      <c r="O6323" s="7"/>
      <c r="X6323" s="7"/>
      <c r="AG6323" s="7"/>
      <c r="AP6323" s="7"/>
      <c r="AY6323" s="7"/>
      <c r="BH6323" s="7"/>
      <c r="BQ6323" s="7"/>
      <c r="BZ6323" s="7"/>
    </row>
    <row r="6324" spans="2:78">
      <c r="B6324" s="7"/>
      <c r="O6324" s="7"/>
      <c r="X6324" s="7"/>
      <c r="AG6324" s="7"/>
      <c r="AP6324" s="7"/>
      <c r="AY6324" s="7"/>
      <c r="BH6324" s="7"/>
      <c r="BQ6324" s="7"/>
      <c r="BZ6324" s="7"/>
    </row>
    <row r="6325" spans="2:78">
      <c r="B6325" s="7"/>
      <c r="O6325" s="7"/>
      <c r="X6325" s="7"/>
      <c r="AG6325" s="7"/>
      <c r="AP6325" s="7"/>
      <c r="AY6325" s="7"/>
      <c r="BH6325" s="7"/>
      <c r="BQ6325" s="7"/>
      <c r="BZ6325" s="7"/>
    </row>
    <row r="6326" spans="2:78">
      <c r="B6326" s="7"/>
      <c r="O6326" s="7"/>
      <c r="X6326" s="7"/>
      <c r="AG6326" s="7"/>
      <c r="AP6326" s="7"/>
      <c r="AY6326" s="7"/>
      <c r="BH6326" s="7"/>
      <c r="BQ6326" s="7"/>
      <c r="BZ6326" s="7"/>
    </row>
    <row r="6327" spans="2:78">
      <c r="B6327" s="7"/>
      <c r="O6327" s="7"/>
      <c r="X6327" s="7"/>
      <c r="AG6327" s="7"/>
      <c r="AP6327" s="7"/>
      <c r="AY6327" s="7"/>
      <c r="BH6327" s="7"/>
      <c r="BQ6327" s="7"/>
      <c r="BZ6327" s="7"/>
    </row>
    <row r="6328" spans="2:78">
      <c r="B6328" s="7"/>
      <c r="O6328" s="7"/>
      <c r="X6328" s="7"/>
      <c r="AG6328" s="7"/>
      <c r="AP6328" s="7"/>
      <c r="AY6328" s="7"/>
      <c r="BH6328" s="7"/>
      <c r="BQ6328" s="7"/>
      <c r="BZ6328" s="7"/>
    </row>
    <row r="6329" spans="2:78">
      <c r="B6329" s="7"/>
      <c r="O6329" s="7"/>
      <c r="X6329" s="7"/>
      <c r="AG6329" s="7"/>
      <c r="AP6329" s="7"/>
      <c r="AY6329" s="7"/>
      <c r="BH6329" s="7"/>
      <c r="BQ6329" s="7"/>
      <c r="BZ6329" s="7"/>
    </row>
    <row r="6330" spans="2:78">
      <c r="B6330" s="7"/>
      <c r="O6330" s="7"/>
      <c r="X6330" s="7"/>
      <c r="AG6330" s="7"/>
      <c r="AP6330" s="7"/>
      <c r="AY6330" s="7"/>
      <c r="BH6330" s="7"/>
      <c r="BQ6330" s="7"/>
      <c r="BZ6330" s="7"/>
    </row>
    <row r="6331" spans="2:78">
      <c r="B6331" s="7"/>
      <c r="O6331" s="7"/>
      <c r="X6331" s="7"/>
      <c r="AG6331" s="7"/>
      <c r="AP6331" s="7"/>
      <c r="AY6331" s="7"/>
      <c r="BH6331" s="7"/>
      <c r="BQ6331" s="7"/>
      <c r="BZ6331" s="7"/>
    </row>
    <row r="6332" spans="2:78">
      <c r="B6332" s="7"/>
      <c r="O6332" s="7"/>
      <c r="X6332" s="7"/>
      <c r="AG6332" s="7"/>
      <c r="AP6332" s="7"/>
      <c r="AY6332" s="7"/>
      <c r="BH6332" s="7"/>
      <c r="BQ6332" s="7"/>
      <c r="BZ6332" s="7"/>
    </row>
    <row r="6333" spans="2:78">
      <c r="B6333" s="7"/>
      <c r="O6333" s="7"/>
      <c r="X6333" s="7"/>
      <c r="AG6333" s="7"/>
      <c r="AP6333" s="7"/>
      <c r="AY6333" s="7"/>
      <c r="BH6333" s="7"/>
      <c r="BQ6333" s="7"/>
      <c r="BZ6333" s="7"/>
    </row>
    <row r="6334" spans="2:78">
      <c r="B6334" s="7"/>
      <c r="O6334" s="7"/>
      <c r="X6334" s="7"/>
      <c r="AG6334" s="7"/>
      <c r="AP6334" s="7"/>
      <c r="AY6334" s="7"/>
      <c r="BH6334" s="7"/>
      <c r="BQ6334" s="7"/>
      <c r="BZ6334" s="7"/>
    </row>
    <row r="6335" spans="2:78">
      <c r="B6335" s="7"/>
      <c r="O6335" s="7"/>
      <c r="X6335" s="7"/>
      <c r="AG6335" s="7"/>
      <c r="AP6335" s="7"/>
      <c r="AY6335" s="7"/>
      <c r="BH6335" s="7"/>
      <c r="BQ6335" s="7"/>
      <c r="BZ6335" s="7"/>
    </row>
    <row r="6336" spans="2:78">
      <c r="B6336" s="7"/>
      <c r="O6336" s="7"/>
      <c r="X6336" s="7"/>
      <c r="AG6336" s="7"/>
      <c r="AP6336" s="7"/>
      <c r="AY6336" s="7"/>
      <c r="BH6336" s="7"/>
      <c r="BQ6336" s="7"/>
      <c r="BZ6336" s="7"/>
    </row>
    <row r="6337" spans="2:78">
      <c r="B6337" s="7"/>
      <c r="O6337" s="7"/>
      <c r="X6337" s="7"/>
      <c r="AG6337" s="7"/>
      <c r="AP6337" s="7"/>
      <c r="AY6337" s="7"/>
      <c r="BH6337" s="7"/>
      <c r="BQ6337" s="7"/>
      <c r="BZ6337" s="7"/>
    </row>
    <row r="6338" spans="2:78">
      <c r="B6338" s="7"/>
      <c r="O6338" s="7"/>
      <c r="X6338" s="7"/>
      <c r="AG6338" s="7"/>
      <c r="AP6338" s="7"/>
      <c r="AY6338" s="7"/>
      <c r="BH6338" s="7"/>
      <c r="BQ6338" s="7"/>
      <c r="BZ6338" s="7"/>
    </row>
    <row r="6339" spans="2:78">
      <c r="B6339" s="7"/>
      <c r="O6339" s="7"/>
      <c r="X6339" s="7"/>
      <c r="AG6339" s="7"/>
      <c r="AP6339" s="7"/>
      <c r="AY6339" s="7"/>
      <c r="BH6339" s="7"/>
      <c r="BQ6339" s="7"/>
      <c r="BZ6339" s="7"/>
    </row>
    <row r="6340" spans="2:78">
      <c r="B6340" s="7"/>
      <c r="O6340" s="7"/>
      <c r="X6340" s="7"/>
      <c r="AG6340" s="7"/>
      <c r="AP6340" s="7"/>
      <c r="AY6340" s="7"/>
      <c r="BH6340" s="7"/>
      <c r="BQ6340" s="7"/>
      <c r="BZ6340" s="7"/>
    </row>
    <row r="6341" spans="2:78">
      <c r="B6341" s="7"/>
      <c r="O6341" s="7"/>
      <c r="X6341" s="7"/>
      <c r="AG6341" s="7"/>
      <c r="AP6341" s="7"/>
      <c r="AY6341" s="7"/>
      <c r="BH6341" s="7"/>
      <c r="BQ6341" s="7"/>
      <c r="BZ6341" s="7"/>
    </row>
    <row r="6342" spans="2:78">
      <c r="B6342" s="7"/>
      <c r="O6342" s="7"/>
      <c r="X6342" s="7"/>
      <c r="AG6342" s="7"/>
      <c r="AP6342" s="7"/>
      <c r="AY6342" s="7"/>
      <c r="BH6342" s="7"/>
      <c r="BQ6342" s="7"/>
      <c r="BZ6342" s="7"/>
    </row>
    <row r="6343" spans="2:78">
      <c r="B6343" s="7"/>
      <c r="O6343" s="7"/>
      <c r="X6343" s="7"/>
      <c r="AG6343" s="7"/>
      <c r="AP6343" s="7"/>
      <c r="AY6343" s="7"/>
      <c r="BH6343" s="7"/>
      <c r="BQ6343" s="7"/>
      <c r="BZ6343" s="7"/>
    </row>
    <row r="6344" spans="2:78">
      <c r="B6344" s="7"/>
      <c r="O6344" s="7"/>
      <c r="X6344" s="7"/>
      <c r="AG6344" s="7"/>
      <c r="AP6344" s="7"/>
      <c r="AY6344" s="7"/>
      <c r="BH6344" s="7"/>
      <c r="BQ6344" s="7"/>
      <c r="BZ6344" s="7"/>
    </row>
    <row r="6345" spans="2:78">
      <c r="B6345" s="7"/>
      <c r="O6345" s="7"/>
      <c r="X6345" s="7"/>
      <c r="AG6345" s="7"/>
      <c r="AP6345" s="7"/>
      <c r="AY6345" s="7"/>
      <c r="BH6345" s="7"/>
      <c r="BQ6345" s="7"/>
      <c r="BZ6345" s="7"/>
    </row>
    <row r="6346" spans="2:78">
      <c r="B6346" s="7"/>
      <c r="O6346" s="7"/>
      <c r="X6346" s="7"/>
      <c r="AG6346" s="7"/>
      <c r="AP6346" s="7"/>
      <c r="AY6346" s="7"/>
      <c r="BH6346" s="7"/>
      <c r="BQ6346" s="7"/>
      <c r="BZ6346" s="7"/>
    </row>
    <row r="6347" spans="2:78">
      <c r="B6347" s="7"/>
      <c r="O6347" s="7"/>
      <c r="X6347" s="7"/>
      <c r="AG6347" s="7"/>
      <c r="AP6347" s="7"/>
      <c r="AY6347" s="7"/>
      <c r="BH6347" s="7"/>
      <c r="BQ6347" s="7"/>
      <c r="BZ6347" s="7"/>
    </row>
    <row r="6348" spans="2:78">
      <c r="B6348" s="7"/>
      <c r="O6348" s="7"/>
      <c r="X6348" s="7"/>
      <c r="AG6348" s="7"/>
      <c r="AP6348" s="7"/>
      <c r="AY6348" s="7"/>
      <c r="BH6348" s="7"/>
      <c r="BQ6348" s="7"/>
      <c r="BZ6348" s="7"/>
    </row>
    <row r="6349" spans="2:78">
      <c r="B6349" s="7"/>
      <c r="O6349" s="7"/>
      <c r="X6349" s="7"/>
      <c r="AG6349" s="7"/>
      <c r="AP6349" s="7"/>
      <c r="AY6349" s="7"/>
      <c r="BH6349" s="7"/>
      <c r="BQ6349" s="7"/>
      <c r="BZ6349" s="7"/>
    </row>
    <row r="6350" spans="2:78">
      <c r="B6350" s="7"/>
      <c r="O6350" s="7"/>
      <c r="X6350" s="7"/>
      <c r="AG6350" s="7"/>
      <c r="AP6350" s="7"/>
      <c r="AY6350" s="7"/>
      <c r="BH6350" s="7"/>
      <c r="BQ6350" s="7"/>
      <c r="BZ6350" s="7"/>
    </row>
    <row r="6351" spans="2:78">
      <c r="B6351" s="7"/>
      <c r="O6351" s="7"/>
      <c r="X6351" s="7"/>
      <c r="AG6351" s="7"/>
      <c r="AP6351" s="7"/>
      <c r="AY6351" s="7"/>
      <c r="BH6351" s="7"/>
      <c r="BQ6351" s="7"/>
      <c r="BZ6351" s="7"/>
    </row>
    <row r="6352" spans="2:78">
      <c r="B6352" s="7"/>
      <c r="O6352" s="7"/>
      <c r="X6352" s="7"/>
      <c r="AG6352" s="7"/>
      <c r="AP6352" s="7"/>
      <c r="AY6352" s="7"/>
      <c r="BH6352" s="7"/>
      <c r="BQ6352" s="7"/>
      <c r="BZ6352" s="7"/>
    </row>
    <row r="6353" spans="2:78">
      <c r="B6353" s="7"/>
      <c r="O6353" s="7"/>
      <c r="X6353" s="7"/>
      <c r="AG6353" s="7"/>
      <c r="AP6353" s="7"/>
      <c r="AY6353" s="7"/>
      <c r="BH6353" s="7"/>
      <c r="BQ6353" s="7"/>
      <c r="BZ6353" s="7"/>
    </row>
    <row r="6354" spans="2:78">
      <c r="B6354" s="7"/>
      <c r="O6354" s="7"/>
      <c r="X6354" s="7"/>
      <c r="AG6354" s="7"/>
      <c r="AP6354" s="7"/>
      <c r="AY6354" s="7"/>
      <c r="BH6354" s="7"/>
      <c r="BQ6354" s="7"/>
      <c r="BZ6354" s="7"/>
    </row>
    <row r="6355" spans="2:78">
      <c r="B6355" s="7"/>
      <c r="O6355" s="7"/>
      <c r="X6355" s="7"/>
      <c r="AG6355" s="7"/>
      <c r="AP6355" s="7"/>
      <c r="AY6355" s="7"/>
      <c r="BH6355" s="7"/>
      <c r="BQ6355" s="7"/>
      <c r="BZ6355" s="7"/>
    </row>
    <row r="6356" spans="2:78">
      <c r="B6356" s="7"/>
      <c r="O6356" s="7"/>
      <c r="X6356" s="7"/>
      <c r="AG6356" s="7"/>
      <c r="AP6356" s="7"/>
      <c r="AY6356" s="7"/>
      <c r="BH6356" s="7"/>
      <c r="BQ6356" s="7"/>
      <c r="BZ6356" s="7"/>
    </row>
    <row r="6357" spans="2:78">
      <c r="B6357" s="7"/>
      <c r="O6357" s="7"/>
      <c r="X6357" s="7"/>
      <c r="AG6357" s="7"/>
      <c r="AP6357" s="7"/>
      <c r="AY6357" s="7"/>
      <c r="BH6357" s="7"/>
      <c r="BQ6357" s="7"/>
      <c r="BZ6357" s="7"/>
    </row>
    <row r="6358" spans="2:78">
      <c r="B6358" s="7"/>
      <c r="O6358" s="7"/>
      <c r="X6358" s="7"/>
      <c r="AG6358" s="7"/>
      <c r="AP6358" s="7"/>
      <c r="AY6358" s="7"/>
      <c r="BH6358" s="7"/>
      <c r="BQ6358" s="7"/>
      <c r="BZ6358" s="7"/>
    </row>
    <row r="6359" spans="2:78">
      <c r="B6359" s="7"/>
      <c r="O6359" s="7"/>
      <c r="X6359" s="7"/>
      <c r="AG6359" s="7"/>
      <c r="AP6359" s="7"/>
      <c r="AY6359" s="7"/>
      <c r="BH6359" s="7"/>
      <c r="BQ6359" s="7"/>
      <c r="BZ6359" s="7"/>
    </row>
    <row r="6360" spans="2:78">
      <c r="B6360" s="7"/>
      <c r="O6360" s="7"/>
      <c r="X6360" s="7"/>
      <c r="AG6360" s="7"/>
      <c r="AP6360" s="7"/>
      <c r="AY6360" s="7"/>
      <c r="BH6360" s="7"/>
      <c r="BQ6360" s="7"/>
      <c r="BZ6360" s="7"/>
    </row>
    <row r="6361" spans="2:78">
      <c r="B6361" s="7"/>
      <c r="O6361" s="7"/>
      <c r="X6361" s="7"/>
      <c r="AG6361" s="7"/>
      <c r="AP6361" s="7"/>
      <c r="AY6361" s="7"/>
      <c r="BH6361" s="7"/>
      <c r="BQ6361" s="7"/>
      <c r="BZ6361" s="7"/>
    </row>
    <row r="6362" spans="2:78">
      <c r="B6362" s="7"/>
      <c r="O6362" s="7"/>
      <c r="X6362" s="7"/>
      <c r="AG6362" s="7"/>
      <c r="AP6362" s="7"/>
      <c r="AY6362" s="7"/>
      <c r="BH6362" s="7"/>
      <c r="BQ6362" s="7"/>
      <c r="BZ6362" s="7"/>
    </row>
    <row r="6363" spans="2:78">
      <c r="B6363" s="7"/>
      <c r="O6363" s="7"/>
      <c r="X6363" s="7"/>
      <c r="AG6363" s="7"/>
      <c r="AP6363" s="7"/>
      <c r="AY6363" s="7"/>
      <c r="BH6363" s="7"/>
      <c r="BQ6363" s="7"/>
      <c r="BZ6363" s="7"/>
    </row>
    <row r="6364" spans="2:78">
      <c r="B6364" s="7"/>
      <c r="O6364" s="7"/>
      <c r="X6364" s="7"/>
      <c r="AG6364" s="7"/>
      <c r="AP6364" s="7"/>
      <c r="AY6364" s="7"/>
      <c r="BH6364" s="7"/>
      <c r="BQ6364" s="7"/>
      <c r="BZ6364" s="7"/>
    </row>
    <row r="6365" spans="2:78">
      <c r="B6365" s="7"/>
      <c r="O6365" s="7"/>
      <c r="X6365" s="7"/>
      <c r="AG6365" s="7"/>
      <c r="AP6365" s="7"/>
      <c r="AY6365" s="7"/>
      <c r="BH6365" s="7"/>
      <c r="BQ6365" s="7"/>
      <c r="BZ6365" s="7"/>
    </row>
    <row r="6366" spans="2:78">
      <c r="B6366" s="7"/>
      <c r="O6366" s="7"/>
      <c r="X6366" s="7"/>
      <c r="AG6366" s="7"/>
      <c r="AP6366" s="7"/>
      <c r="AY6366" s="7"/>
      <c r="BH6366" s="7"/>
      <c r="BQ6366" s="7"/>
      <c r="BZ6366" s="7"/>
    </row>
    <row r="6367" spans="2:78">
      <c r="B6367" s="7"/>
      <c r="O6367" s="7"/>
      <c r="X6367" s="7"/>
      <c r="AG6367" s="7"/>
      <c r="AP6367" s="7"/>
      <c r="AY6367" s="7"/>
      <c r="BH6367" s="7"/>
      <c r="BQ6367" s="7"/>
      <c r="BZ6367" s="7"/>
    </row>
    <row r="6368" spans="2:78">
      <c r="B6368" s="7"/>
      <c r="O6368" s="7"/>
      <c r="X6368" s="7"/>
      <c r="AG6368" s="7"/>
      <c r="AP6368" s="7"/>
      <c r="AY6368" s="7"/>
      <c r="BH6368" s="7"/>
      <c r="BQ6368" s="7"/>
      <c r="BZ6368" s="7"/>
    </row>
    <row r="6369" spans="2:78">
      <c r="B6369" s="7"/>
      <c r="O6369" s="7"/>
      <c r="X6369" s="7"/>
      <c r="AG6369" s="7"/>
      <c r="AP6369" s="7"/>
      <c r="AY6369" s="7"/>
      <c r="BH6369" s="7"/>
      <c r="BQ6369" s="7"/>
      <c r="BZ6369" s="7"/>
    </row>
    <row r="6370" spans="2:78">
      <c r="B6370" s="7"/>
      <c r="O6370" s="7"/>
      <c r="X6370" s="7"/>
      <c r="AG6370" s="7"/>
      <c r="AP6370" s="7"/>
      <c r="AY6370" s="7"/>
      <c r="BH6370" s="7"/>
      <c r="BQ6370" s="7"/>
      <c r="BZ6370" s="7"/>
    </row>
    <row r="6371" spans="2:78">
      <c r="B6371" s="7"/>
      <c r="O6371" s="7"/>
      <c r="X6371" s="7"/>
      <c r="AG6371" s="7"/>
      <c r="AP6371" s="7"/>
      <c r="AY6371" s="7"/>
      <c r="BH6371" s="7"/>
      <c r="BQ6371" s="7"/>
      <c r="BZ6371" s="7"/>
    </row>
    <row r="6372" spans="2:78">
      <c r="B6372" s="7"/>
      <c r="O6372" s="7"/>
      <c r="X6372" s="7"/>
      <c r="AG6372" s="7"/>
      <c r="AP6372" s="7"/>
      <c r="AY6372" s="7"/>
      <c r="BH6372" s="7"/>
      <c r="BQ6372" s="7"/>
      <c r="BZ6372" s="7"/>
    </row>
    <row r="6373" spans="2:78">
      <c r="B6373" s="7"/>
      <c r="O6373" s="7"/>
      <c r="X6373" s="7"/>
      <c r="AG6373" s="7"/>
      <c r="AP6373" s="7"/>
      <c r="AY6373" s="7"/>
      <c r="BH6373" s="7"/>
      <c r="BQ6373" s="7"/>
      <c r="BZ6373" s="7"/>
    </row>
    <row r="6374" spans="2:78">
      <c r="B6374" s="7"/>
      <c r="O6374" s="7"/>
      <c r="X6374" s="7"/>
      <c r="AG6374" s="7"/>
      <c r="AP6374" s="7"/>
      <c r="AY6374" s="7"/>
      <c r="BH6374" s="7"/>
      <c r="BQ6374" s="7"/>
      <c r="BZ6374" s="7"/>
    </row>
    <row r="6375" spans="2:78">
      <c r="B6375" s="7"/>
      <c r="O6375" s="7"/>
      <c r="X6375" s="7"/>
      <c r="AG6375" s="7"/>
      <c r="AP6375" s="7"/>
      <c r="AY6375" s="7"/>
      <c r="BH6375" s="7"/>
      <c r="BQ6375" s="7"/>
      <c r="BZ6375" s="7"/>
    </row>
    <row r="6376" spans="2:78">
      <c r="B6376" s="7"/>
      <c r="O6376" s="7"/>
      <c r="X6376" s="7"/>
      <c r="AG6376" s="7"/>
      <c r="AP6376" s="7"/>
      <c r="AY6376" s="7"/>
      <c r="BH6376" s="7"/>
      <c r="BQ6376" s="7"/>
      <c r="BZ6376" s="7"/>
    </row>
    <row r="6377" spans="2:78">
      <c r="B6377" s="7"/>
      <c r="O6377" s="7"/>
      <c r="X6377" s="7"/>
      <c r="AG6377" s="7"/>
      <c r="AP6377" s="7"/>
      <c r="AY6377" s="7"/>
      <c r="BH6377" s="7"/>
      <c r="BQ6377" s="7"/>
      <c r="BZ6377" s="7"/>
    </row>
    <row r="6378" spans="2:78">
      <c r="B6378" s="7"/>
      <c r="O6378" s="7"/>
      <c r="X6378" s="7"/>
      <c r="AG6378" s="7"/>
      <c r="AP6378" s="7"/>
      <c r="AY6378" s="7"/>
      <c r="BH6378" s="7"/>
      <c r="BQ6378" s="7"/>
      <c r="BZ6378" s="7"/>
    </row>
    <row r="6379" spans="2:78">
      <c r="B6379" s="7"/>
      <c r="O6379" s="7"/>
      <c r="X6379" s="7"/>
      <c r="AG6379" s="7"/>
      <c r="AP6379" s="7"/>
      <c r="AY6379" s="7"/>
      <c r="BH6379" s="7"/>
      <c r="BQ6379" s="7"/>
      <c r="BZ6379" s="7"/>
    </row>
    <row r="6380" spans="2:78">
      <c r="B6380" s="7"/>
      <c r="O6380" s="7"/>
      <c r="X6380" s="7"/>
      <c r="AG6380" s="7"/>
      <c r="AP6380" s="7"/>
      <c r="AY6380" s="7"/>
      <c r="BH6380" s="7"/>
      <c r="BQ6380" s="7"/>
      <c r="BZ6380" s="7"/>
    </row>
    <row r="6381" spans="2:78">
      <c r="B6381" s="7"/>
      <c r="O6381" s="7"/>
      <c r="X6381" s="7"/>
      <c r="AG6381" s="7"/>
      <c r="AP6381" s="7"/>
      <c r="AY6381" s="7"/>
      <c r="BH6381" s="7"/>
      <c r="BQ6381" s="7"/>
      <c r="BZ6381" s="7"/>
    </row>
    <row r="6382" spans="2:78">
      <c r="B6382" s="7"/>
      <c r="O6382" s="7"/>
      <c r="X6382" s="7"/>
      <c r="AG6382" s="7"/>
      <c r="AP6382" s="7"/>
      <c r="AY6382" s="7"/>
      <c r="BH6382" s="7"/>
      <c r="BQ6382" s="7"/>
      <c r="BZ6382" s="7"/>
    </row>
    <row r="6383" spans="2:78">
      <c r="B6383" s="7"/>
      <c r="O6383" s="7"/>
      <c r="X6383" s="7"/>
      <c r="AG6383" s="7"/>
      <c r="AP6383" s="7"/>
      <c r="AY6383" s="7"/>
      <c r="BH6383" s="7"/>
      <c r="BQ6383" s="7"/>
      <c r="BZ6383" s="7"/>
    </row>
    <row r="6384" spans="2:78">
      <c r="B6384" s="7"/>
      <c r="O6384" s="7"/>
      <c r="X6384" s="7"/>
      <c r="AG6384" s="7"/>
      <c r="AP6384" s="7"/>
      <c r="AY6384" s="7"/>
      <c r="BH6384" s="7"/>
      <c r="BQ6384" s="7"/>
      <c r="BZ6384" s="7"/>
    </row>
    <row r="6385" spans="2:78">
      <c r="B6385" s="7"/>
      <c r="O6385" s="7"/>
      <c r="X6385" s="7"/>
      <c r="AG6385" s="7"/>
      <c r="AP6385" s="7"/>
      <c r="AY6385" s="7"/>
      <c r="BH6385" s="7"/>
      <c r="BQ6385" s="7"/>
      <c r="BZ6385" s="7"/>
    </row>
    <row r="6386" spans="2:78">
      <c r="B6386" s="7"/>
      <c r="O6386" s="7"/>
      <c r="X6386" s="7"/>
      <c r="AG6386" s="7"/>
      <c r="AP6386" s="7"/>
      <c r="AY6386" s="7"/>
      <c r="BH6386" s="7"/>
      <c r="BQ6386" s="7"/>
      <c r="BZ6386" s="7"/>
    </row>
    <row r="6387" spans="2:78">
      <c r="B6387" s="7"/>
      <c r="O6387" s="7"/>
      <c r="X6387" s="7"/>
      <c r="AG6387" s="7"/>
      <c r="AP6387" s="7"/>
      <c r="AY6387" s="7"/>
      <c r="BH6387" s="7"/>
      <c r="BQ6387" s="7"/>
      <c r="BZ6387" s="7"/>
    </row>
    <row r="6388" spans="2:78">
      <c r="B6388" s="7"/>
      <c r="O6388" s="7"/>
      <c r="X6388" s="7"/>
      <c r="AG6388" s="7"/>
      <c r="AP6388" s="7"/>
      <c r="AY6388" s="7"/>
      <c r="BH6388" s="7"/>
      <c r="BQ6388" s="7"/>
      <c r="BZ6388" s="7"/>
    </row>
    <row r="6389" spans="2:78">
      <c r="B6389" s="7"/>
      <c r="O6389" s="7"/>
      <c r="X6389" s="7"/>
      <c r="AG6389" s="7"/>
      <c r="AP6389" s="7"/>
      <c r="AY6389" s="7"/>
      <c r="BH6389" s="7"/>
      <c r="BQ6389" s="7"/>
      <c r="BZ6389" s="7"/>
    </row>
    <row r="6390" spans="2:78">
      <c r="B6390" s="7"/>
      <c r="O6390" s="7"/>
      <c r="X6390" s="7"/>
      <c r="AG6390" s="7"/>
      <c r="AP6390" s="7"/>
      <c r="AY6390" s="7"/>
      <c r="BH6390" s="7"/>
      <c r="BQ6390" s="7"/>
      <c r="BZ6390" s="7"/>
    </row>
    <row r="6391" spans="2:78">
      <c r="B6391" s="7"/>
      <c r="O6391" s="7"/>
      <c r="X6391" s="7"/>
      <c r="AG6391" s="7"/>
      <c r="AP6391" s="7"/>
      <c r="AY6391" s="7"/>
      <c r="BH6391" s="7"/>
      <c r="BQ6391" s="7"/>
      <c r="BZ6391" s="7"/>
    </row>
    <row r="6392" spans="2:78">
      <c r="B6392" s="7"/>
      <c r="O6392" s="7"/>
      <c r="X6392" s="7"/>
      <c r="AG6392" s="7"/>
      <c r="AP6392" s="7"/>
      <c r="AY6392" s="7"/>
      <c r="BH6392" s="7"/>
      <c r="BQ6392" s="7"/>
      <c r="BZ6392" s="7"/>
    </row>
    <row r="6393" spans="2:78">
      <c r="B6393" s="7"/>
      <c r="O6393" s="7"/>
      <c r="X6393" s="7"/>
      <c r="AG6393" s="7"/>
      <c r="AP6393" s="7"/>
      <c r="AY6393" s="7"/>
      <c r="BH6393" s="7"/>
      <c r="BQ6393" s="7"/>
      <c r="BZ6393" s="7"/>
    </row>
    <row r="6394" spans="2:78">
      <c r="B6394" s="7"/>
      <c r="O6394" s="7"/>
      <c r="X6394" s="7"/>
      <c r="AG6394" s="7"/>
      <c r="AP6394" s="7"/>
      <c r="AY6394" s="7"/>
      <c r="BH6394" s="7"/>
      <c r="BQ6394" s="7"/>
      <c r="BZ6394" s="7"/>
    </row>
    <row r="6395" spans="2:78">
      <c r="B6395" s="7"/>
      <c r="O6395" s="7"/>
      <c r="X6395" s="7"/>
      <c r="AG6395" s="7"/>
      <c r="AP6395" s="7"/>
      <c r="AY6395" s="7"/>
      <c r="BH6395" s="7"/>
      <c r="BQ6395" s="7"/>
      <c r="BZ6395" s="7"/>
    </row>
    <row r="6396" spans="2:78">
      <c r="B6396" s="7"/>
      <c r="O6396" s="7"/>
      <c r="X6396" s="7"/>
      <c r="AG6396" s="7"/>
      <c r="AP6396" s="7"/>
      <c r="AY6396" s="7"/>
      <c r="BH6396" s="7"/>
      <c r="BQ6396" s="7"/>
      <c r="BZ6396" s="7"/>
    </row>
    <row r="6397" spans="2:78">
      <c r="B6397" s="7"/>
      <c r="O6397" s="7"/>
      <c r="X6397" s="7"/>
      <c r="AG6397" s="7"/>
      <c r="AP6397" s="7"/>
      <c r="AY6397" s="7"/>
      <c r="BH6397" s="7"/>
      <c r="BQ6397" s="7"/>
      <c r="BZ6397" s="7"/>
    </row>
    <row r="6398" spans="2:78">
      <c r="B6398" s="7"/>
      <c r="O6398" s="7"/>
      <c r="X6398" s="7"/>
      <c r="AG6398" s="7"/>
      <c r="AP6398" s="7"/>
      <c r="AY6398" s="7"/>
      <c r="BH6398" s="7"/>
      <c r="BQ6398" s="7"/>
      <c r="BZ6398" s="7"/>
    </row>
    <row r="6399" spans="2:78">
      <c r="B6399" s="7"/>
      <c r="O6399" s="7"/>
      <c r="X6399" s="7"/>
      <c r="AG6399" s="7"/>
      <c r="AP6399" s="7"/>
      <c r="AY6399" s="7"/>
      <c r="BH6399" s="7"/>
      <c r="BQ6399" s="7"/>
      <c r="BZ6399" s="7"/>
    </row>
    <row r="6400" spans="2:78">
      <c r="B6400" s="7"/>
      <c r="O6400" s="7"/>
      <c r="X6400" s="7"/>
      <c r="AG6400" s="7"/>
      <c r="AP6400" s="7"/>
      <c r="AY6400" s="7"/>
      <c r="BH6400" s="7"/>
      <c r="BQ6400" s="7"/>
      <c r="BZ6400" s="7"/>
    </row>
    <row r="6401" spans="2:78">
      <c r="B6401" s="7"/>
      <c r="O6401" s="7"/>
      <c r="X6401" s="7"/>
      <c r="AG6401" s="7"/>
      <c r="AP6401" s="7"/>
      <c r="AY6401" s="7"/>
      <c r="BH6401" s="7"/>
      <c r="BQ6401" s="7"/>
      <c r="BZ6401" s="7"/>
    </row>
    <row r="6402" spans="2:78">
      <c r="B6402" s="7"/>
      <c r="O6402" s="7"/>
      <c r="X6402" s="7"/>
      <c r="AG6402" s="7"/>
      <c r="AP6402" s="7"/>
      <c r="AY6402" s="7"/>
      <c r="BH6402" s="7"/>
      <c r="BQ6402" s="7"/>
      <c r="BZ6402" s="7"/>
    </row>
    <row r="6403" spans="2:78">
      <c r="B6403" s="7"/>
      <c r="O6403" s="7"/>
      <c r="X6403" s="7"/>
      <c r="AG6403" s="7"/>
      <c r="AP6403" s="7"/>
      <c r="AY6403" s="7"/>
      <c r="BH6403" s="7"/>
      <c r="BQ6403" s="7"/>
      <c r="BZ6403" s="7"/>
    </row>
    <row r="6404" spans="2:78">
      <c r="B6404" s="7"/>
      <c r="O6404" s="7"/>
      <c r="X6404" s="7"/>
      <c r="AG6404" s="7"/>
      <c r="AP6404" s="7"/>
      <c r="AY6404" s="7"/>
      <c r="BH6404" s="7"/>
      <c r="BQ6404" s="7"/>
      <c r="BZ6404" s="7"/>
    </row>
    <row r="6405" spans="2:78">
      <c r="B6405" s="7"/>
      <c r="O6405" s="7"/>
      <c r="X6405" s="7"/>
      <c r="AG6405" s="7"/>
      <c r="AP6405" s="7"/>
      <c r="AY6405" s="7"/>
      <c r="BH6405" s="7"/>
      <c r="BQ6405" s="7"/>
      <c r="BZ6405" s="7"/>
    </row>
    <row r="6406" spans="2:78">
      <c r="B6406" s="7"/>
      <c r="O6406" s="7"/>
      <c r="X6406" s="7"/>
      <c r="AG6406" s="7"/>
      <c r="AP6406" s="7"/>
      <c r="AY6406" s="7"/>
      <c r="BH6406" s="7"/>
      <c r="BQ6406" s="7"/>
      <c r="BZ6406" s="7"/>
    </row>
    <row r="6407" spans="2:78">
      <c r="B6407" s="7"/>
      <c r="O6407" s="7"/>
      <c r="X6407" s="7"/>
      <c r="AG6407" s="7"/>
      <c r="AP6407" s="7"/>
      <c r="AY6407" s="7"/>
      <c r="BH6407" s="7"/>
      <c r="BQ6407" s="7"/>
      <c r="BZ6407" s="7"/>
    </row>
    <row r="6408" spans="2:78">
      <c r="B6408" s="7"/>
      <c r="O6408" s="7"/>
      <c r="X6408" s="7"/>
      <c r="AG6408" s="7"/>
      <c r="AP6408" s="7"/>
      <c r="AY6408" s="7"/>
      <c r="BH6408" s="7"/>
      <c r="BQ6408" s="7"/>
      <c r="BZ6408" s="7"/>
    </row>
    <row r="6409" spans="2:78">
      <c r="B6409" s="7"/>
      <c r="O6409" s="7"/>
      <c r="X6409" s="7"/>
      <c r="AG6409" s="7"/>
      <c r="AP6409" s="7"/>
      <c r="AY6409" s="7"/>
      <c r="BH6409" s="7"/>
      <c r="BQ6409" s="7"/>
      <c r="BZ6409" s="7"/>
    </row>
    <row r="6410" spans="2:78">
      <c r="B6410" s="7"/>
      <c r="O6410" s="7"/>
      <c r="X6410" s="7"/>
      <c r="AG6410" s="7"/>
      <c r="AP6410" s="7"/>
      <c r="AY6410" s="7"/>
      <c r="BH6410" s="7"/>
      <c r="BQ6410" s="7"/>
      <c r="BZ6410" s="7"/>
    </row>
    <row r="6411" spans="2:78">
      <c r="B6411" s="7"/>
      <c r="O6411" s="7"/>
      <c r="X6411" s="7"/>
      <c r="AG6411" s="7"/>
      <c r="AP6411" s="7"/>
      <c r="AY6411" s="7"/>
      <c r="BH6411" s="7"/>
      <c r="BQ6411" s="7"/>
      <c r="BZ6411" s="7"/>
    </row>
    <row r="6412" spans="2:78">
      <c r="B6412" s="7"/>
      <c r="O6412" s="7"/>
      <c r="X6412" s="7"/>
      <c r="AG6412" s="7"/>
      <c r="AP6412" s="7"/>
      <c r="AY6412" s="7"/>
      <c r="BH6412" s="7"/>
      <c r="BQ6412" s="7"/>
      <c r="BZ6412" s="7"/>
    </row>
    <row r="6413" spans="2:78">
      <c r="B6413" s="7"/>
      <c r="O6413" s="7"/>
      <c r="X6413" s="7"/>
      <c r="AG6413" s="7"/>
      <c r="AP6413" s="7"/>
      <c r="AY6413" s="7"/>
      <c r="BH6413" s="7"/>
      <c r="BQ6413" s="7"/>
      <c r="BZ6413" s="7"/>
    </row>
    <row r="6414" spans="2:78">
      <c r="B6414" s="7"/>
      <c r="O6414" s="7"/>
      <c r="X6414" s="7"/>
      <c r="AG6414" s="7"/>
      <c r="AP6414" s="7"/>
      <c r="AY6414" s="7"/>
      <c r="BH6414" s="7"/>
      <c r="BQ6414" s="7"/>
      <c r="BZ6414" s="7"/>
    </row>
    <row r="6415" spans="2:78">
      <c r="B6415" s="7"/>
      <c r="O6415" s="7"/>
      <c r="X6415" s="7"/>
      <c r="AG6415" s="7"/>
      <c r="AP6415" s="7"/>
      <c r="AY6415" s="7"/>
      <c r="BH6415" s="7"/>
      <c r="BQ6415" s="7"/>
      <c r="BZ6415" s="7"/>
    </row>
    <row r="6416" spans="2:78">
      <c r="B6416" s="7"/>
      <c r="O6416" s="7"/>
      <c r="X6416" s="7"/>
      <c r="AG6416" s="7"/>
      <c r="AP6416" s="7"/>
      <c r="AY6416" s="7"/>
      <c r="BH6416" s="7"/>
      <c r="BQ6416" s="7"/>
      <c r="BZ6416" s="7"/>
    </row>
    <row r="6417" spans="2:78">
      <c r="B6417" s="7"/>
      <c r="O6417" s="7"/>
      <c r="X6417" s="7"/>
      <c r="AG6417" s="7"/>
      <c r="AP6417" s="7"/>
      <c r="AY6417" s="7"/>
      <c r="BH6417" s="7"/>
      <c r="BQ6417" s="7"/>
      <c r="BZ6417" s="7"/>
    </row>
    <row r="6418" spans="2:78">
      <c r="B6418" s="7"/>
      <c r="O6418" s="7"/>
      <c r="X6418" s="7"/>
      <c r="AG6418" s="7"/>
      <c r="AP6418" s="7"/>
      <c r="AY6418" s="7"/>
      <c r="BH6418" s="7"/>
      <c r="BQ6418" s="7"/>
      <c r="BZ6418" s="7"/>
    </row>
    <row r="6419" spans="2:78">
      <c r="B6419" s="7"/>
      <c r="O6419" s="7"/>
      <c r="X6419" s="7"/>
      <c r="AG6419" s="7"/>
      <c r="AP6419" s="7"/>
      <c r="AY6419" s="7"/>
      <c r="BH6419" s="7"/>
      <c r="BQ6419" s="7"/>
      <c r="BZ6419" s="7"/>
    </row>
    <row r="6420" spans="2:78">
      <c r="B6420" s="7"/>
      <c r="O6420" s="7"/>
      <c r="X6420" s="7"/>
      <c r="AG6420" s="7"/>
      <c r="AP6420" s="7"/>
      <c r="AY6420" s="7"/>
      <c r="BH6420" s="7"/>
      <c r="BQ6420" s="7"/>
      <c r="BZ6420" s="7"/>
    </row>
    <row r="6421" spans="2:78">
      <c r="B6421" s="7"/>
      <c r="O6421" s="7"/>
      <c r="X6421" s="7"/>
      <c r="AG6421" s="7"/>
      <c r="AP6421" s="7"/>
      <c r="AY6421" s="7"/>
      <c r="BH6421" s="7"/>
      <c r="BQ6421" s="7"/>
      <c r="BZ6421" s="7"/>
    </row>
    <row r="6422" spans="2:78">
      <c r="B6422" s="7"/>
      <c r="O6422" s="7"/>
      <c r="X6422" s="7"/>
      <c r="AG6422" s="7"/>
      <c r="AP6422" s="7"/>
      <c r="AY6422" s="7"/>
      <c r="BH6422" s="7"/>
      <c r="BQ6422" s="7"/>
      <c r="BZ6422" s="7"/>
    </row>
    <row r="6423" spans="2:78">
      <c r="B6423" s="7"/>
      <c r="O6423" s="7"/>
      <c r="X6423" s="7"/>
      <c r="AG6423" s="7"/>
      <c r="AP6423" s="7"/>
      <c r="AY6423" s="7"/>
      <c r="BH6423" s="7"/>
      <c r="BQ6423" s="7"/>
      <c r="BZ6423" s="7"/>
    </row>
    <row r="6424" spans="2:78">
      <c r="B6424" s="7"/>
      <c r="O6424" s="7"/>
      <c r="X6424" s="7"/>
      <c r="AG6424" s="7"/>
      <c r="AP6424" s="7"/>
      <c r="AY6424" s="7"/>
      <c r="BH6424" s="7"/>
      <c r="BQ6424" s="7"/>
      <c r="BZ6424" s="7"/>
    </row>
    <row r="6425" spans="2:78">
      <c r="B6425" s="7"/>
      <c r="O6425" s="7"/>
      <c r="X6425" s="7"/>
      <c r="AG6425" s="7"/>
      <c r="AP6425" s="7"/>
      <c r="AY6425" s="7"/>
      <c r="BH6425" s="7"/>
      <c r="BQ6425" s="7"/>
      <c r="BZ6425" s="7"/>
    </row>
    <row r="6426" spans="2:78">
      <c r="B6426" s="7"/>
      <c r="O6426" s="7"/>
      <c r="X6426" s="7"/>
      <c r="AG6426" s="7"/>
      <c r="AP6426" s="7"/>
      <c r="AY6426" s="7"/>
      <c r="BH6426" s="7"/>
      <c r="BQ6426" s="7"/>
      <c r="BZ6426" s="7"/>
    </row>
    <row r="6427" spans="2:78">
      <c r="B6427" s="7"/>
      <c r="O6427" s="7"/>
      <c r="X6427" s="7"/>
      <c r="AG6427" s="7"/>
      <c r="AP6427" s="7"/>
      <c r="AY6427" s="7"/>
      <c r="BH6427" s="7"/>
      <c r="BQ6427" s="7"/>
      <c r="BZ6427" s="7"/>
    </row>
    <row r="6428" spans="2:78">
      <c r="B6428" s="7"/>
      <c r="O6428" s="7"/>
      <c r="X6428" s="7"/>
      <c r="AG6428" s="7"/>
      <c r="AP6428" s="7"/>
      <c r="AY6428" s="7"/>
      <c r="BH6428" s="7"/>
      <c r="BQ6428" s="7"/>
      <c r="BZ6428" s="7"/>
    </row>
    <row r="6429" spans="2:78">
      <c r="B6429" s="7"/>
      <c r="O6429" s="7"/>
      <c r="X6429" s="7"/>
      <c r="AG6429" s="7"/>
      <c r="AP6429" s="7"/>
      <c r="AY6429" s="7"/>
      <c r="BH6429" s="7"/>
      <c r="BQ6429" s="7"/>
      <c r="BZ6429" s="7"/>
    </row>
    <row r="6430" spans="2:78">
      <c r="B6430" s="7"/>
      <c r="O6430" s="7"/>
      <c r="X6430" s="7"/>
      <c r="AG6430" s="7"/>
      <c r="AP6430" s="7"/>
      <c r="AY6430" s="7"/>
      <c r="BH6430" s="7"/>
      <c r="BQ6430" s="7"/>
      <c r="BZ6430" s="7"/>
    </row>
    <row r="6431" spans="2:78">
      <c r="B6431" s="7"/>
      <c r="O6431" s="7"/>
      <c r="X6431" s="7"/>
      <c r="AG6431" s="7"/>
      <c r="AP6431" s="7"/>
      <c r="AY6431" s="7"/>
      <c r="BH6431" s="7"/>
      <c r="BQ6431" s="7"/>
      <c r="BZ6431" s="7"/>
    </row>
    <row r="6432" spans="2:78">
      <c r="B6432" s="7"/>
      <c r="O6432" s="7"/>
      <c r="X6432" s="7"/>
      <c r="AG6432" s="7"/>
      <c r="AP6432" s="7"/>
      <c r="AY6432" s="7"/>
      <c r="BH6432" s="7"/>
      <c r="BQ6432" s="7"/>
      <c r="BZ6432" s="7"/>
    </row>
    <row r="6433" spans="2:78">
      <c r="B6433" s="7"/>
      <c r="O6433" s="7"/>
      <c r="X6433" s="7"/>
      <c r="AG6433" s="7"/>
      <c r="AP6433" s="7"/>
      <c r="AY6433" s="7"/>
      <c r="BH6433" s="7"/>
      <c r="BQ6433" s="7"/>
      <c r="BZ6433" s="7"/>
    </row>
    <row r="6434" spans="2:78">
      <c r="B6434" s="7"/>
      <c r="O6434" s="7"/>
      <c r="X6434" s="7"/>
      <c r="AG6434" s="7"/>
      <c r="AP6434" s="7"/>
      <c r="AY6434" s="7"/>
      <c r="BH6434" s="7"/>
      <c r="BQ6434" s="7"/>
      <c r="BZ6434" s="7"/>
    </row>
    <row r="6435" spans="2:78">
      <c r="B6435" s="7"/>
      <c r="O6435" s="7"/>
      <c r="X6435" s="7"/>
      <c r="AG6435" s="7"/>
      <c r="AP6435" s="7"/>
      <c r="AY6435" s="7"/>
      <c r="BH6435" s="7"/>
      <c r="BQ6435" s="7"/>
      <c r="BZ6435" s="7"/>
    </row>
    <row r="6436" spans="2:78">
      <c r="B6436" s="7"/>
      <c r="O6436" s="7"/>
      <c r="X6436" s="7"/>
      <c r="AG6436" s="7"/>
      <c r="AP6436" s="7"/>
      <c r="AY6436" s="7"/>
      <c r="BH6436" s="7"/>
      <c r="BQ6436" s="7"/>
      <c r="BZ6436" s="7"/>
    </row>
    <row r="6437" spans="2:78">
      <c r="B6437" s="7"/>
      <c r="O6437" s="7"/>
      <c r="X6437" s="7"/>
      <c r="AG6437" s="7"/>
      <c r="AP6437" s="7"/>
      <c r="AY6437" s="7"/>
      <c r="BH6437" s="7"/>
      <c r="BQ6437" s="7"/>
      <c r="BZ6437" s="7"/>
    </row>
    <row r="6438" spans="2:78">
      <c r="B6438" s="7"/>
      <c r="O6438" s="7"/>
      <c r="X6438" s="7"/>
      <c r="AG6438" s="7"/>
      <c r="AP6438" s="7"/>
      <c r="AY6438" s="7"/>
      <c r="BH6438" s="7"/>
      <c r="BQ6438" s="7"/>
      <c r="BZ6438" s="7"/>
    </row>
    <row r="6439" spans="2:78">
      <c r="B6439" s="7"/>
      <c r="O6439" s="7"/>
      <c r="X6439" s="7"/>
      <c r="AG6439" s="7"/>
      <c r="AP6439" s="7"/>
      <c r="AY6439" s="7"/>
      <c r="BH6439" s="7"/>
      <c r="BQ6439" s="7"/>
      <c r="BZ6439" s="7"/>
    </row>
    <row r="6440" spans="2:78">
      <c r="B6440" s="7"/>
      <c r="O6440" s="7"/>
      <c r="X6440" s="7"/>
      <c r="AG6440" s="7"/>
      <c r="AP6440" s="7"/>
      <c r="AY6440" s="7"/>
      <c r="BH6440" s="7"/>
      <c r="BQ6440" s="7"/>
      <c r="BZ6440" s="7"/>
    </row>
    <row r="6441" spans="2:78">
      <c r="B6441" s="7"/>
      <c r="O6441" s="7"/>
      <c r="X6441" s="7"/>
      <c r="AG6441" s="7"/>
      <c r="AP6441" s="7"/>
      <c r="AY6441" s="7"/>
      <c r="BH6441" s="7"/>
      <c r="BQ6441" s="7"/>
      <c r="BZ6441" s="7"/>
    </row>
    <row r="6442" spans="2:78">
      <c r="B6442" s="7"/>
      <c r="O6442" s="7"/>
      <c r="X6442" s="7"/>
      <c r="AG6442" s="7"/>
      <c r="AP6442" s="7"/>
      <c r="AY6442" s="7"/>
      <c r="BH6442" s="7"/>
      <c r="BQ6442" s="7"/>
      <c r="BZ6442" s="7"/>
    </row>
    <row r="6443" spans="2:78">
      <c r="B6443" s="7"/>
      <c r="O6443" s="7"/>
      <c r="X6443" s="7"/>
      <c r="AG6443" s="7"/>
      <c r="AP6443" s="7"/>
      <c r="AY6443" s="7"/>
      <c r="BH6443" s="7"/>
      <c r="BQ6443" s="7"/>
      <c r="BZ6443" s="7"/>
    </row>
    <row r="6444" spans="2:78">
      <c r="B6444" s="7"/>
      <c r="O6444" s="7"/>
      <c r="X6444" s="7"/>
      <c r="AG6444" s="7"/>
      <c r="AP6444" s="7"/>
      <c r="AY6444" s="7"/>
      <c r="BH6444" s="7"/>
      <c r="BQ6444" s="7"/>
      <c r="BZ6444" s="7"/>
    </row>
    <row r="6445" spans="2:78">
      <c r="B6445" s="7"/>
      <c r="O6445" s="7"/>
      <c r="X6445" s="7"/>
      <c r="AG6445" s="7"/>
      <c r="AP6445" s="7"/>
      <c r="AY6445" s="7"/>
      <c r="BH6445" s="7"/>
      <c r="BQ6445" s="7"/>
      <c r="BZ6445" s="7"/>
    </row>
    <row r="6446" spans="2:78">
      <c r="B6446" s="7"/>
      <c r="O6446" s="7"/>
      <c r="X6446" s="7"/>
      <c r="AG6446" s="7"/>
      <c r="AP6446" s="7"/>
      <c r="AY6446" s="7"/>
      <c r="BH6446" s="7"/>
      <c r="BQ6446" s="7"/>
      <c r="BZ6446" s="7"/>
    </row>
    <row r="6447" spans="2:78">
      <c r="B6447" s="7"/>
      <c r="O6447" s="7"/>
      <c r="X6447" s="7"/>
      <c r="AG6447" s="7"/>
      <c r="AP6447" s="7"/>
      <c r="AY6447" s="7"/>
      <c r="BH6447" s="7"/>
      <c r="BQ6447" s="7"/>
      <c r="BZ6447" s="7"/>
    </row>
    <row r="6448" spans="2:78">
      <c r="B6448" s="7"/>
      <c r="O6448" s="7"/>
      <c r="X6448" s="7"/>
      <c r="AG6448" s="7"/>
      <c r="AP6448" s="7"/>
      <c r="AY6448" s="7"/>
      <c r="BH6448" s="7"/>
      <c r="BQ6448" s="7"/>
      <c r="BZ6448" s="7"/>
    </row>
    <row r="6449" spans="2:78">
      <c r="B6449" s="7"/>
      <c r="O6449" s="7"/>
      <c r="X6449" s="7"/>
      <c r="AG6449" s="7"/>
      <c r="AP6449" s="7"/>
      <c r="AY6449" s="7"/>
      <c r="BH6449" s="7"/>
      <c r="BQ6449" s="7"/>
      <c r="BZ6449" s="7"/>
    </row>
    <row r="6450" spans="2:78">
      <c r="B6450" s="7"/>
      <c r="O6450" s="7"/>
      <c r="X6450" s="7"/>
      <c r="AG6450" s="7"/>
      <c r="AP6450" s="7"/>
      <c r="AY6450" s="7"/>
      <c r="BH6450" s="7"/>
      <c r="BQ6450" s="7"/>
      <c r="BZ6450" s="7"/>
    </row>
    <row r="6451" spans="2:78">
      <c r="B6451" s="7"/>
      <c r="O6451" s="7"/>
      <c r="X6451" s="7"/>
      <c r="AG6451" s="7"/>
      <c r="AP6451" s="7"/>
      <c r="AY6451" s="7"/>
      <c r="BH6451" s="7"/>
      <c r="BQ6451" s="7"/>
      <c r="BZ6451" s="7"/>
    </row>
    <row r="6452" spans="2:78">
      <c r="B6452" s="7"/>
      <c r="O6452" s="7"/>
      <c r="X6452" s="7"/>
      <c r="AG6452" s="7"/>
      <c r="AP6452" s="7"/>
      <c r="AY6452" s="7"/>
      <c r="BH6452" s="7"/>
      <c r="BQ6452" s="7"/>
      <c r="BZ6452" s="7"/>
    </row>
    <row r="6453" spans="2:78">
      <c r="B6453" s="7"/>
      <c r="O6453" s="7"/>
      <c r="X6453" s="7"/>
      <c r="AG6453" s="7"/>
      <c r="AP6453" s="7"/>
      <c r="AY6453" s="7"/>
      <c r="BH6453" s="7"/>
      <c r="BQ6453" s="7"/>
      <c r="BZ6453" s="7"/>
    </row>
    <row r="6454" spans="2:78">
      <c r="B6454" s="7"/>
      <c r="O6454" s="7"/>
      <c r="X6454" s="7"/>
      <c r="AG6454" s="7"/>
      <c r="AP6454" s="7"/>
      <c r="AY6454" s="7"/>
      <c r="BH6454" s="7"/>
      <c r="BQ6454" s="7"/>
      <c r="BZ6454" s="7"/>
    </row>
    <row r="6455" spans="2:78">
      <c r="B6455" s="7"/>
      <c r="O6455" s="7"/>
      <c r="X6455" s="7"/>
      <c r="AG6455" s="7"/>
      <c r="AP6455" s="7"/>
      <c r="AY6455" s="7"/>
      <c r="BH6455" s="7"/>
      <c r="BQ6455" s="7"/>
      <c r="BZ6455" s="7"/>
    </row>
    <row r="6456" spans="2:78">
      <c r="B6456" s="7"/>
      <c r="O6456" s="7"/>
      <c r="X6456" s="7"/>
      <c r="AG6456" s="7"/>
      <c r="AP6456" s="7"/>
      <c r="AY6456" s="7"/>
      <c r="BH6456" s="7"/>
      <c r="BQ6456" s="7"/>
      <c r="BZ6456" s="7"/>
    </row>
    <row r="6457" spans="2:78">
      <c r="B6457" s="7"/>
      <c r="O6457" s="7"/>
      <c r="X6457" s="7"/>
      <c r="AG6457" s="7"/>
      <c r="AP6457" s="7"/>
      <c r="AY6457" s="7"/>
      <c r="BH6457" s="7"/>
      <c r="BQ6457" s="7"/>
      <c r="BZ6457" s="7"/>
    </row>
    <row r="6458" spans="2:78">
      <c r="B6458" s="7"/>
      <c r="O6458" s="7"/>
      <c r="X6458" s="7"/>
      <c r="AG6458" s="7"/>
      <c r="AP6458" s="7"/>
      <c r="AY6458" s="7"/>
      <c r="BH6458" s="7"/>
      <c r="BQ6458" s="7"/>
      <c r="BZ6458" s="7"/>
    </row>
    <row r="6459" spans="2:78">
      <c r="B6459" s="7"/>
      <c r="O6459" s="7"/>
      <c r="X6459" s="7"/>
      <c r="AG6459" s="7"/>
      <c r="AP6459" s="7"/>
      <c r="AY6459" s="7"/>
      <c r="BH6459" s="7"/>
      <c r="BQ6459" s="7"/>
      <c r="BZ6459" s="7"/>
    </row>
    <row r="6460" spans="2:78">
      <c r="B6460" s="7"/>
      <c r="O6460" s="7"/>
      <c r="X6460" s="7"/>
      <c r="AG6460" s="7"/>
      <c r="AP6460" s="7"/>
      <c r="AY6460" s="7"/>
      <c r="BH6460" s="7"/>
      <c r="BQ6460" s="7"/>
      <c r="BZ6460" s="7"/>
    </row>
    <row r="6461" spans="2:78">
      <c r="B6461" s="7"/>
      <c r="O6461" s="7"/>
      <c r="X6461" s="7"/>
      <c r="AG6461" s="7"/>
      <c r="AP6461" s="7"/>
      <c r="AY6461" s="7"/>
      <c r="BH6461" s="7"/>
      <c r="BQ6461" s="7"/>
      <c r="BZ6461" s="7"/>
    </row>
    <row r="6462" spans="2:78">
      <c r="B6462" s="7"/>
      <c r="O6462" s="7"/>
      <c r="X6462" s="7"/>
      <c r="AG6462" s="7"/>
      <c r="AP6462" s="7"/>
      <c r="AY6462" s="7"/>
      <c r="BH6462" s="7"/>
      <c r="BQ6462" s="7"/>
      <c r="BZ6462" s="7"/>
    </row>
    <row r="6463" spans="2:78">
      <c r="B6463" s="7"/>
      <c r="O6463" s="7"/>
      <c r="X6463" s="7"/>
      <c r="AG6463" s="7"/>
      <c r="AP6463" s="7"/>
      <c r="AY6463" s="7"/>
      <c r="BH6463" s="7"/>
      <c r="BQ6463" s="7"/>
      <c r="BZ6463" s="7"/>
    </row>
    <row r="6464" spans="2:78">
      <c r="B6464" s="7"/>
      <c r="O6464" s="7"/>
      <c r="X6464" s="7"/>
      <c r="AG6464" s="7"/>
      <c r="AP6464" s="7"/>
      <c r="AY6464" s="7"/>
      <c r="BH6464" s="7"/>
      <c r="BQ6464" s="7"/>
      <c r="BZ6464" s="7"/>
    </row>
    <row r="6465" spans="2:78">
      <c r="B6465" s="7"/>
      <c r="O6465" s="7"/>
      <c r="X6465" s="7"/>
      <c r="AG6465" s="7"/>
      <c r="AP6465" s="7"/>
      <c r="AY6465" s="7"/>
      <c r="BH6465" s="7"/>
      <c r="BQ6465" s="7"/>
      <c r="BZ6465" s="7"/>
    </row>
    <row r="6466" spans="2:78">
      <c r="B6466" s="7"/>
      <c r="O6466" s="7"/>
      <c r="X6466" s="7"/>
      <c r="AG6466" s="7"/>
      <c r="AP6466" s="7"/>
      <c r="AY6466" s="7"/>
      <c r="BH6466" s="7"/>
      <c r="BQ6466" s="7"/>
      <c r="BZ6466" s="7"/>
    </row>
    <row r="6467" spans="2:78">
      <c r="B6467" s="7"/>
      <c r="O6467" s="7"/>
      <c r="X6467" s="7"/>
      <c r="AG6467" s="7"/>
      <c r="AP6467" s="7"/>
      <c r="AY6467" s="7"/>
      <c r="BH6467" s="7"/>
      <c r="BQ6467" s="7"/>
      <c r="BZ6467" s="7"/>
    </row>
    <row r="6468" spans="2:78">
      <c r="B6468" s="7"/>
      <c r="O6468" s="7"/>
      <c r="X6468" s="7"/>
      <c r="AG6468" s="7"/>
      <c r="AP6468" s="7"/>
      <c r="AY6468" s="7"/>
      <c r="BH6468" s="7"/>
      <c r="BQ6468" s="7"/>
      <c r="BZ6468" s="7"/>
    </row>
    <row r="6469" spans="2:78">
      <c r="B6469" s="7"/>
      <c r="O6469" s="7"/>
      <c r="X6469" s="7"/>
      <c r="AG6469" s="7"/>
      <c r="AP6469" s="7"/>
      <c r="AY6469" s="7"/>
      <c r="BH6469" s="7"/>
      <c r="BQ6469" s="7"/>
      <c r="BZ6469" s="7"/>
    </row>
    <row r="6470" spans="2:78">
      <c r="B6470" s="7"/>
      <c r="O6470" s="7"/>
      <c r="X6470" s="7"/>
      <c r="AG6470" s="7"/>
      <c r="AP6470" s="7"/>
      <c r="AY6470" s="7"/>
      <c r="BH6470" s="7"/>
      <c r="BQ6470" s="7"/>
      <c r="BZ6470" s="7"/>
    </row>
    <row r="6471" spans="2:78">
      <c r="B6471" s="7"/>
      <c r="O6471" s="7"/>
      <c r="X6471" s="7"/>
      <c r="AG6471" s="7"/>
      <c r="AP6471" s="7"/>
      <c r="AY6471" s="7"/>
      <c r="BH6471" s="7"/>
      <c r="BQ6471" s="7"/>
      <c r="BZ6471" s="7"/>
    </row>
    <row r="6472" spans="2:78">
      <c r="B6472" s="7"/>
      <c r="O6472" s="7"/>
      <c r="X6472" s="7"/>
      <c r="AG6472" s="7"/>
      <c r="AP6472" s="7"/>
      <c r="AY6472" s="7"/>
      <c r="BH6472" s="7"/>
      <c r="BQ6472" s="7"/>
      <c r="BZ6472" s="7"/>
    </row>
    <row r="6473" spans="2:78">
      <c r="B6473" s="7"/>
      <c r="O6473" s="7"/>
      <c r="X6473" s="7"/>
      <c r="AG6473" s="7"/>
      <c r="AP6473" s="7"/>
      <c r="AY6473" s="7"/>
      <c r="BH6473" s="7"/>
      <c r="BQ6473" s="7"/>
      <c r="BZ6473" s="7"/>
    </row>
    <row r="6474" spans="2:78">
      <c r="B6474" s="7"/>
      <c r="O6474" s="7"/>
      <c r="X6474" s="7"/>
      <c r="AG6474" s="7"/>
      <c r="AP6474" s="7"/>
      <c r="AY6474" s="7"/>
      <c r="BH6474" s="7"/>
      <c r="BQ6474" s="7"/>
      <c r="BZ6474" s="7"/>
    </row>
    <row r="6475" spans="2:78">
      <c r="B6475" s="7"/>
      <c r="O6475" s="7"/>
      <c r="X6475" s="7"/>
      <c r="AG6475" s="7"/>
      <c r="AP6475" s="7"/>
      <c r="AY6475" s="7"/>
      <c r="BH6475" s="7"/>
      <c r="BQ6475" s="7"/>
      <c r="BZ6475" s="7"/>
    </row>
    <row r="6476" spans="2:78">
      <c r="B6476" s="7"/>
      <c r="O6476" s="7"/>
      <c r="X6476" s="7"/>
      <c r="AG6476" s="7"/>
      <c r="AP6476" s="7"/>
      <c r="AY6476" s="7"/>
      <c r="BH6476" s="7"/>
      <c r="BQ6476" s="7"/>
      <c r="BZ6476" s="7"/>
    </row>
    <row r="6477" spans="2:78">
      <c r="B6477" s="7"/>
      <c r="O6477" s="7"/>
      <c r="X6477" s="7"/>
      <c r="AG6477" s="7"/>
      <c r="AP6477" s="7"/>
      <c r="AY6477" s="7"/>
      <c r="BH6477" s="7"/>
      <c r="BQ6477" s="7"/>
      <c r="BZ6477" s="7"/>
    </row>
    <row r="6478" spans="2:78">
      <c r="B6478" s="7"/>
      <c r="O6478" s="7"/>
      <c r="X6478" s="7"/>
      <c r="AG6478" s="7"/>
      <c r="AP6478" s="7"/>
      <c r="AY6478" s="7"/>
      <c r="BH6478" s="7"/>
      <c r="BQ6478" s="7"/>
      <c r="BZ6478" s="7"/>
    </row>
    <row r="6479" spans="2:78">
      <c r="B6479" s="7"/>
      <c r="O6479" s="7"/>
      <c r="X6479" s="7"/>
      <c r="AG6479" s="7"/>
      <c r="AP6479" s="7"/>
      <c r="AY6479" s="7"/>
      <c r="BH6479" s="7"/>
      <c r="BQ6479" s="7"/>
      <c r="BZ6479" s="7"/>
    </row>
    <row r="6480" spans="2:78">
      <c r="B6480" s="7"/>
      <c r="O6480" s="7"/>
      <c r="X6480" s="7"/>
      <c r="AG6480" s="7"/>
      <c r="AP6480" s="7"/>
      <c r="AY6480" s="7"/>
      <c r="BH6480" s="7"/>
      <c r="BQ6480" s="7"/>
      <c r="BZ6480" s="7"/>
    </row>
    <row r="6481" spans="2:78">
      <c r="B6481" s="7"/>
      <c r="O6481" s="7"/>
      <c r="X6481" s="7"/>
      <c r="AG6481" s="7"/>
      <c r="AP6481" s="7"/>
      <c r="AY6481" s="7"/>
      <c r="BH6481" s="7"/>
      <c r="BQ6481" s="7"/>
      <c r="BZ6481" s="7"/>
    </row>
    <row r="6482" spans="2:78">
      <c r="B6482" s="7"/>
      <c r="O6482" s="7"/>
      <c r="X6482" s="7"/>
      <c r="AG6482" s="7"/>
      <c r="AP6482" s="7"/>
      <c r="AY6482" s="7"/>
      <c r="BH6482" s="7"/>
      <c r="BQ6482" s="7"/>
      <c r="BZ6482" s="7"/>
    </row>
    <row r="6483" spans="2:78">
      <c r="B6483" s="7"/>
      <c r="O6483" s="7"/>
      <c r="X6483" s="7"/>
      <c r="AG6483" s="7"/>
      <c r="AP6483" s="7"/>
      <c r="AY6483" s="7"/>
      <c r="BH6483" s="7"/>
      <c r="BQ6483" s="7"/>
      <c r="BZ6483" s="7"/>
    </row>
    <row r="6484" spans="2:78">
      <c r="B6484" s="7"/>
      <c r="O6484" s="7"/>
      <c r="X6484" s="7"/>
      <c r="AG6484" s="7"/>
      <c r="AP6484" s="7"/>
      <c r="AY6484" s="7"/>
      <c r="BH6484" s="7"/>
      <c r="BQ6484" s="7"/>
      <c r="BZ6484" s="7"/>
    </row>
    <row r="6485" spans="2:78">
      <c r="B6485" s="7"/>
      <c r="O6485" s="7"/>
      <c r="X6485" s="7"/>
      <c r="AG6485" s="7"/>
      <c r="AP6485" s="7"/>
      <c r="AY6485" s="7"/>
      <c r="BH6485" s="7"/>
      <c r="BQ6485" s="7"/>
      <c r="BZ6485" s="7"/>
    </row>
    <row r="6486" spans="2:78">
      <c r="B6486" s="7"/>
      <c r="O6486" s="7"/>
      <c r="X6486" s="7"/>
      <c r="AG6486" s="7"/>
      <c r="AP6486" s="7"/>
      <c r="AY6486" s="7"/>
      <c r="BH6486" s="7"/>
      <c r="BQ6486" s="7"/>
      <c r="BZ6486" s="7"/>
    </row>
    <row r="6487" spans="2:78">
      <c r="B6487" s="7"/>
      <c r="O6487" s="7"/>
      <c r="X6487" s="7"/>
      <c r="AG6487" s="7"/>
      <c r="AP6487" s="7"/>
      <c r="AY6487" s="7"/>
      <c r="BH6487" s="7"/>
      <c r="BQ6487" s="7"/>
      <c r="BZ6487" s="7"/>
    </row>
    <row r="6488" spans="2:78">
      <c r="B6488" s="7"/>
      <c r="O6488" s="7"/>
      <c r="X6488" s="7"/>
      <c r="AG6488" s="7"/>
      <c r="AP6488" s="7"/>
      <c r="AY6488" s="7"/>
      <c r="BH6488" s="7"/>
      <c r="BQ6488" s="7"/>
      <c r="BZ6488" s="7"/>
    </row>
    <row r="6489" spans="2:78">
      <c r="B6489" s="7"/>
      <c r="O6489" s="7"/>
      <c r="X6489" s="7"/>
      <c r="AG6489" s="7"/>
      <c r="AP6489" s="7"/>
      <c r="AY6489" s="7"/>
      <c r="BH6489" s="7"/>
      <c r="BQ6489" s="7"/>
      <c r="BZ6489" s="7"/>
    </row>
    <row r="6490" spans="2:78">
      <c r="B6490" s="7"/>
      <c r="O6490" s="7"/>
      <c r="X6490" s="7"/>
      <c r="AG6490" s="7"/>
      <c r="AP6490" s="7"/>
      <c r="AY6490" s="7"/>
      <c r="BH6490" s="7"/>
      <c r="BQ6490" s="7"/>
      <c r="BZ6490" s="7"/>
    </row>
    <row r="6491" spans="2:78">
      <c r="B6491" s="7"/>
      <c r="O6491" s="7"/>
      <c r="X6491" s="7"/>
      <c r="AG6491" s="7"/>
      <c r="AP6491" s="7"/>
      <c r="AY6491" s="7"/>
      <c r="BH6491" s="7"/>
      <c r="BQ6491" s="7"/>
      <c r="BZ6491" s="7"/>
    </row>
    <row r="6492" spans="2:78">
      <c r="B6492" s="7"/>
      <c r="O6492" s="7"/>
      <c r="X6492" s="7"/>
      <c r="AG6492" s="7"/>
      <c r="AP6492" s="7"/>
      <c r="AY6492" s="7"/>
      <c r="BH6492" s="7"/>
      <c r="BQ6492" s="7"/>
      <c r="BZ6492" s="7"/>
    </row>
    <row r="6493" spans="2:78">
      <c r="B6493" s="7"/>
      <c r="O6493" s="7"/>
      <c r="X6493" s="7"/>
      <c r="AG6493" s="7"/>
      <c r="AP6493" s="7"/>
      <c r="AY6493" s="7"/>
      <c r="BH6493" s="7"/>
      <c r="BQ6493" s="7"/>
      <c r="BZ6493" s="7"/>
    </row>
    <row r="6494" spans="2:78">
      <c r="B6494" s="7"/>
      <c r="O6494" s="7"/>
      <c r="X6494" s="7"/>
      <c r="AG6494" s="7"/>
      <c r="AP6494" s="7"/>
      <c r="AY6494" s="7"/>
      <c r="BH6494" s="7"/>
      <c r="BQ6494" s="7"/>
      <c r="BZ6494" s="7"/>
    </row>
    <row r="6495" spans="2:78">
      <c r="B6495" s="7"/>
      <c r="O6495" s="7"/>
      <c r="X6495" s="7"/>
      <c r="AG6495" s="7"/>
      <c r="AP6495" s="7"/>
      <c r="AY6495" s="7"/>
      <c r="BH6495" s="7"/>
      <c r="BQ6495" s="7"/>
      <c r="BZ6495" s="7"/>
    </row>
    <row r="6496" spans="2:78">
      <c r="B6496" s="7"/>
      <c r="O6496" s="7"/>
      <c r="X6496" s="7"/>
      <c r="AG6496" s="7"/>
      <c r="AP6496" s="7"/>
      <c r="AY6496" s="7"/>
      <c r="BH6496" s="7"/>
      <c r="BQ6496" s="7"/>
      <c r="BZ6496" s="7"/>
    </row>
    <row r="6497" spans="2:78">
      <c r="B6497" s="7"/>
      <c r="O6497" s="7"/>
      <c r="X6497" s="7"/>
      <c r="AG6497" s="7"/>
      <c r="AP6497" s="7"/>
      <c r="AY6497" s="7"/>
      <c r="BH6497" s="7"/>
      <c r="BQ6497" s="7"/>
      <c r="BZ6497" s="7"/>
    </row>
    <row r="6498" spans="2:78">
      <c r="B6498" s="7"/>
      <c r="O6498" s="7"/>
      <c r="X6498" s="7"/>
      <c r="AG6498" s="7"/>
      <c r="AP6498" s="7"/>
      <c r="AY6498" s="7"/>
      <c r="BH6498" s="7"/>
      <c r="BQ6498" s="7"/>
      <c r="BZ6498" s="7"/>
    </row>
    <row r="6499" spans="2:78">
      <c r="B6499" s="7"/>
      <c r="O6499" s="7"/>
      <c r="X6499" s="7"/>
      <c r="AG6499" s="7"/>
      <c r="AP6499" s="7"/>
      <c r="AY6499" s="7"/>
      <c r="BH6499" s="7"/>
      <c r="BQ6499" s="7"/>
      <c r="BZ6499" s="7"/>
    </row>
    <row r="6500" spans="2:78">
      <c r="B6500" s="7"/>
      <c r="O6500" s="7"/>
      <c r="X6500" s="7"/>
      <c r="AG6500" s="7"/>
      <c r="AP6500" s="7"/>
      <c r="AY6500" s="7"/>
      <c r="BH6500" s="7"/>
      <c r="BQ6500" s="7"/>
      <c r="BZ6500" s="7"/>
    </row>
    <row r="6501" spans="2:78">
      <c r="B6501" s="7"/>
      <c r="O6501" s="7"/>
      <c r="X6501" s="7"/>
      <c r="AG6501" s="7"/>
      <c r="AP6501" s="7"/>
      <c r="AY6501" s="7"/>
      <c r="BH6501" s="7"/>
      <c r="BQ6501" s="7"/>
      <c r="BZ6501" s="7"/>
    </row>
    <row r="6502" spans="2:78">
      <c r="B6502" s="7"/>
      <c r="O6502" s="7"/>
      <c r="X6502" s="7"/>
      <c r="AG6502" s="7"/>
      <c r="AP6502" s="7"/>
      <c r="AY6502" s="7"/>
      <c r="BH6502" s="7"/>
      <c r="BQ6502" s="7"/>
      <c r="BZ6502" s="7"/>
    </row>
    <row r="6503" spans="2:78">
      <c r="B6503" s="7"/>
      <c r="O6503" s="7"/>
      <c r="X6503" s="7"/>
      <c r="AG6503" s="7"/>
      <c r="AP6503" s="7"/>
      <c r="AY6503" s="7"/>
      <c r="BH6503" s="7"/>
      <c r="BQ6503" s="7"/>
      <c r="BZ6503" s="7"/>
    </row>
    <row r="6504" spans="2:78">
      <c r="B6504" s="7"/>
      <c r="O6504" s="7"/>
      <c r="X6504" s="7"/>
      <c r="AG6504" s="7"/>
      <c r="AP6504" s="7"/>
      <c r="AY6504" s="7"/>
      <c r="BH6504" s="7"/>
      <c r="BQ6504" s="7"/>
      <c r="BZ6504" s="7"/>
    </row>
    <row r="6505" spans="2:78">
      <c r="B6505" s="7"/>
      <c r="O6505" s="7"/>
      <c r="X6505" s="7"/>
      <c r="AG6505" s="7"/>
      <c r="AP6505" s="7"/>
      <c r="AY6505" s="7"/>
      <c r="BH6505" s="7"/>
      <c r="BQ6505" s="7"/>
      <c r="BZ6505" s="7"/>
    </row>
    <row r="6506" spans="2:78">
      <c r="B6506" s="7"/>
      <c r="O6506" s="7"/>
      <c r="X6506" s="7"/>
      <c r="AG6506" s="7"/>
      <c r="AP6506" s="7"/>
      <c r="AY6506" s="7"/>
      <c r="BH6506" s="7"/>
      <c r="BQ6506" s="7"/>
      <c r="BZ6506" s="7"/>
    </row>
    <row r="6507" spans="2:78">
      <c r="B6507" s="7"/>
      <c r="O6507" s="7"/>
      <c r="X6507" s="7"/>
      <c r="AG6507" s="7"/>
      <c r="AP6507" s="7"/>
      <c r="AY6507" s="7"/>
      <c r="BH6507" s="7"/>
      <c r="BQ6507" s="7"/>
      <c r="BZ6507" s="7"/>
    </row>
    <row r="6508" spans="2:78">
      <c r="B6508" s="7"/>
      <c r="O6508" s="7"/>
      <c r="X6508" s="7"/>
      <c r="AG6508" s="7"/>
      <c r="AP6508" s="7"/>
      <c r="AY6508" s="7"/>
      <c r="BH6508" s="7"/>
      <c r="BQ6508" s="7"/>
      <c r="BZ6508" s="7"/>
    </row>
    <row r="6509" spans="2:78">
      <c r="B6509" s="7"/>
      <c r="O6509" s="7"/>
      <c r="X6509" s="7"/>
      <c r="AG6509" s="7"/>
      <c r="AP6509" s="7"/>
      <c r="AY6509" s="7"/>
      <c r="BH6509" s="7"/>
      <c r="BQ6509" s="7"/>
      <c r="BZ6509" s="7"/>
    </row>
    <row r="6510" spans="2:78">
      <c r="B6510" s="7"/>
      <c r="O6510" s="7"/>
      <c r="X6510" s="7"/>
      <c r="AG6510" s="7"/>
      <c r="AP6510" s="7"/>
      <c r="AY6510" s="7"/>
      <c r="BH6510" s="7"/>
      <c r="BQ6510" s="7"/>
      <c r="BZ6510" s="7"/>
    </row>
    <row r="6511" spans="2:78">
      <c r="B6511" s="7"/>
      <c r="O6511" s="7"/>
      <c r="X6511" s="7"/>
      <c r="AG6511" s="7"/>
      <c r="AP6511" s="7"/>
      <c r="AY6511" s="7"/>
      <c r="BH6511" s="7"/>
      <c r="BQ6511" s="7"/>
      <c r="BZ6511" s="7"/>
    </row>
    <row r="6512" spans="2:78">
      <c r="B6512" s="7"/>
      <c r="O6512" s="7"/>
      <c r="X6512" s="7"/>
      <c r="AG6512" s="7"/>
      <c r="AP6512" s="7"/>
      <c r="AY6512" s="7"/>
      <c r="BH6512" s="7"/>
      <c r="BQ6512" s="7"/>
      <c r="BZ6512" s="7"/>
    </row>
    <row r="6513" spans="2:78">
      <c r="B6513" s="7"/>
      <c r="O6513" s="7"/>
      <c r="X6513" s="7"/>
      <c r="AG6513" s="7"/>
      <c r="AP6513" s="7"/>
      <c r="AY6513" s="7"/>
      <c r="BH6513" s="7"/>
      <c r="BQ6513" s="7"/>
      <c r="BZ6513" s="7"/>
    </row>
    <row r="6514" spans="2:78">
      <c r="B6514" s="7"/>
      <c r="O6514" s="7"/>
      <c r="X6514" s="7"/>
      <c r="AG6514" s="7"/>
      <c r="AP6514" s="7"/>
      <c r="AY6514" s="7"/>
      <c r="BH6514" s="7"/>
      <c r="BQ6514" s="7"/>
      <c r="BZ6514" s="7"/>
    </row>
    <row r="6515" spans="2:78">
      <c r="B6515" s="7"/>
      <c r="O6515" s="7"/>
      <c r="X6515" s="7"/>
      <c r="AG6515" s="7"/>
      <c r="AP6515" s="7"/>
      <c r="AY6515" s="7"/>
      <c r="BH6515" s="7"/>
      <c r="BQ6515" s="7"/>
      <c r="BZ6515" s="7"/>
    </row>
    <row r="6516" spans="2:78">
      <c r="B6516" s="7"/>
      <c r="O6516" s="7"/>
      <c r="X6516" s="7"/>
      <c r="AG6516" s="7"/>
      <c r="AP6516" s="7"/>
      <c r="AY6516" s="7"/>
      <c r="BH6516" s="7"/>
      <c r="BQ6516" s="7"/>
      <c r="BZ6516" s="7"/>
    </row>
    <row r="6517" spans="2:78">
      <c r="B6517" s="7"/>
      <c r="O6517" s="7"/>
      <c r="X6517" s="7"/>
      <c r="AG6517" s="7"/>
      <c r="AP6517" s="7"/>
      <c r="AY6517" s="7"/>
      <c r="BH6517" s="7"/>
      <c r="BQ6517" s="7"/>
      <c r="BZ6517" s="7"/>
    </row>
    <row r="6518" spans="2:78">
      <c r="B6518" s="7"/>
      <c r="O6518" s="7"/>
      <c r="X6518" s="7"/>
      <c r="AG6518" s="7"/>
      <c r="AP6518" s="7"/>
      <c r="AY6518" s="7"/>
      <c r="BH6518" s="7"/>
      <c r="BQ6518" s="7"/>
      <c r="BZ6518" s="7"/>
    </row>
    <row r="6519" spans="2:78">
      <c r="B6519" s="7"/>
      <c r="O6519" s="7"/>
      <c r="X6519" s="7"/>
      <c r="AG6519" s="7"/>
      <c r="AP6519" s="7"/>
      <c r="AY6519" s="7"/>
      <c r="BH6519" s="7"/>
      <c r="BQ6519" s="7"/>
      <c r="BZ6519" s="7"/>
    </row>
    <row r="6520" spans="2:78">
      <c r="B6520" s="7"/>
      <c r="O6520" s="7"/>
      <c r="X6520" s="7"/>
      <c r="AG6520" s="7"/>
      <c r="AP6520" s="7"/>
      <c r="AY6520" s="7"/>
      <c r="BH6520" s="7"/>
      <c r="BQ6520" s="7"/>
      <c r="BZ6520" s="7"/>
    </row>
    <row r="6521" spans="2:78">
      <c r="B6521" s="7"/>
      <c r="O6521" s="7"/>
      <c r="X6521" s="7"/>
      <c r="AG6521" s="7"/>
      <c r="AP6521" s="7"/>
      <c r="AY6521" s="7"/>
      <c r="BH6521" s="7"/>
      <c r="BQ6521" s="7"/>
      <c r="BZ6521" s="7"/>
    </row>
    <row r="6522" spans="2:78">
      <c r="B6522" s="7"/>
      <c r="O6522" s="7"/>
      <c r="X6522" s="7"/>
      <c r="AG6522" s="7"/>
      <c r="AP6522" s="7"/>
      <c r="AY6522" s="7"/>
      <c r="BH6522" s="7"/>
      <c r="BQ6522" s="7"/>
      <c r="BZ6522" s="7"/>
    </row>
    <row r="6523" spans="2:78">
      <c r="B6523" s="7"/>
      <c r="O6523" s="7"/>
      <c r="X6523" s="7"/>
      <c r="AG6523" s="7"/>
      <c r="AP6523" s="7"/>
      <c r="AY6523" s="7"/>
      <c r="BH6523" s="7"/>
      <c r="BQ6523" s="7"/>
      <c r="BZ6523" s="7"/>
    </row>
    <row r="6524" spans="2:78">
      <c r="B6524" s="7"/>
      <c r="O6524" s="7"/>
      <c r="X6524" s="7"/>
      <c r="AG6524" s="7"/>
      <c r="AP6524" s="7"/>
      <c r="AY6524" s="7"/>
      <c r="BH6524" s="7"/>
      <c r="BQ6524" s="7"/>
      <c r="BZ6524" s="7"/>
    </row>
    <row r="6525" spans="2:78">
      <c r="B6525" s="7"/>
      <c r="O6525" s="7"/>
      <c r="X6525" s="7"/>
      <c r="AG6525" s="7"/>
      <c r="AP6525" s="7"/>
      <c r="AY6525" s="7"/>
      <c r="BH6525" s="7"/>
      <c r="BQ6525" s="7"/>
      <c r="BZ6525" s="7"/>
    </row>
    <row r="6526" spans="2:78">
      <c r="B6526" s="7"/>
      <c r="O6526" s="7"/>
      <c r="X6526" s="7"/>
      <c r="AG6526" s="7"/>
      <c r="AP6526" s="7"/>
      <c r="AY6526" s="7"/>
      <c r="BH6526" s="7"/>
      <c r="BQ6526" s="7"/>
      <c r="BZ6526" s="7"/>
    </row>
    <row r="6527" spans="2:78">
      <c r="B6527" s="7"/>
      <c r="O6527" s="7"/>
      <c r="X6527" s="7"/>
      <c r="AG6527" s="7"/>
      <c r="AP6527" s="7"/>
      <c r="AY6527" s="7"/>
      <c r="BH6527" s="7"/>
      <c r="BQ6527" s="7"/>
      <c r="BZ6527" s="7"/>
    </row>
    <row r="6528" spans="2:78">
      <c r="B6528" s="7"/>
      <c r="O6528" s="7"/>
      <c r="X6528" s="7"/>
      <c r="AG6528" s="7"/>
      <c r="AP6528" s="7"/>
      <c r="AY6528" s="7"/>
      <c r="BH6528" s="7"/>
      <c r="BQ6528" s="7"/>
      <c r="BZ6528" s="7"/>
    </row>
    <row r="6529" spans="2:78">
      <c r="B6529" s="7"/>
      <c r="O6529" s="7"/>
      <c r="X6529" s="7"/>
      <c r="AG6529" s="7"/>
      <c r="AP6529" s="7"/>
      <c r="AY6529" s="7"/>
      <c r="BH6529" s="7"/>
      <c r="BQ6529" s="7"/>
      <c r="BZ6529" s="7"/>
    </row>
    <row r="6530" spans="2:78">
      <c r="B6530" s="7"/>
      <c r="O6530" s="7"/>
      <c r="X6530" s="7"/>
      <c r="AG6530" s="7"/>
      <c r="AP6530" s="7"/>
      <c r="AY6530" s="7"/>
      <c r="BH6530" s="7"/>
      <c r="BQ6530" s="7"/>
      <c r="BZ6530" s="7"/>
    </row>
    <row r="6531" spans="2:78">
      <c r="B6531" s="7"/>
      <c r="O6531" s="7"/>
      <c r="X6531" s="7"/>
      <c r="AG6531" s="7"/>
      <c r="AP6531" s="7"/>
      <c r="AY6531" s="7"/>
      <c r="BH6531" s="7"/>
      <c r="BQ6531" s="7"/>
      <c r="BZ6531" s="7"/>
    </row>
    <row r="6532" spans="2:78">
      <c r="B6532" s="7"/>
      <c r="O6532" s="7"/>
      <c r="X6532" s="7"/>
      <c r="AG6532" s="7"/>
      <c r="AP6532" s="7"/>
      <c r="AY6532" s="7"/>
      <c r="BH6532" s="7"/>
      <c r="BQ6532" s="7"/>
      <c r="BZ6532" s="7"/>
    </row>
    <row r="6533" spans="2:78">
      <c r="B6533" s="7"/>
      <c r="O6533" s="7"/>
      <c r="X6533" s="7"/>
      <c r="AG6533" s="7"/>
      <c r="AP6533" s="7"/>
      <c r="AY6533" s="7"/>
      <c r="BH6533" s="7"/>
      <c r="BQ6533" s="7"/>
      <c r="BZ6533" s="7"/>
    </row>
    <row r="6534" spans="2:78">
      <c r="B6534" s="7"/>
      <c r="O6534" s="7"/>
      <c r="X6534" s="7"/>
      <c r="AG6534" s="7"/>
      <c r="AP6534" s="7"/>
      <c r="AY6534" s="7"/>
      <c r="BH6534" s="7"/>
      <c r="BQ6534" s="7"/>
      <c r="BZ6534" s="7"/>
    </row>
    <row r="6535" spans="2:78">
      <c r="B6535" s="7"/>
      <c r="O6535" s="7"/>
      <c r="X6535" s="7"/>
      <c r="AG6535" s="7"/>
      <c r="AP6535" s="7"/>
      <c r="AY6535" s="7"/>
      <c r="BH6535" s="7"/>
      <c r="BQ6535" s="7"/>
      <c r="BZ6535" s="7"/>
    </row>
    <row r="6536" spans="2:78">
      <c r="B6536" s="7"/>
      <c r="O6536" s="7"/>
      <c r="X6536" s="7"/>
      <c r="AG6536" s="7"/>
      <c r="AP6536" s="7"/>
      <c r="AY6536" s="7"/>
      <c r="BH6536" s="7"/>
      <c r="BQ6536" s="7"/>
      <c r="BZ6536" s="7"/>
    </row>
    <row r="6537" spans="2:78">
      <c r="B6537" s="7"/>
      <c r="O6537" s="7"/>
      <c r="X6537" s="7"/>
      <c r="AG6537" s="7"/>
      <c r="AP6537" s="7"/>
      <c r="AY6537" s="7"/>
      <c r="BH6537" s="7"/>
      <c r="BQ6537" s="7"/>
      <c r="BZ6537" s="7"/>
    </row>
    <row r="6538" spans="2:78">
      <c r="B6538" s="7"/>
      <c r="O6538" s="7"/>
      <c r="X6538" s="7"/>
      <c r="AG6538" s="7"/>
      <c r="AP6538" s="7"/>
      <c r="AY6538" s="7"/>
      <c r="BH6538" s="7"/>
      <c r="BQ6538" s="7"/>
      <c r="BZ6538" s="7"/>
    </row>
    <row r="6539" spans="2:78">
      <c r="B6539" s="7"/>
      <c r="O6539" s="7"/>
      <c r="X6539" s="7"/>
      <c r="AG6539" s="7"/>
      <c r="AP6539" s="7"/>
      <c r="AY6539" s="7"/>
      <c r="BH6539" s="7"/>
      <c r="BQ6539" s="7"/>
      <c r="BZ6539" s="7"/>
    </row>
    <row r="6540" spans="2:78">
      <c r="B6540" s="7"/>
      <c r="O6540" s="7"/>
      <c r="X6540" s="7"/>
      <c r="AG6540" s="7"/>
      <c r="AP6540" s="7"/>
      <c r="AY6540" s="7"/>
      <c r="BH6540" s="7"/>
      <c r="BQ6540" s="7"/>
      <c r="BZ6540" s="7"/>
    </row>
    <row r="6541" spans="2:78">
      <c r="B6541" s="7"/>
      <c r="O6541" s="7"/>
      <c r="X6541" s="7"/>
      <c r="AG6541" s="7"/>
      <c r="AP6541" s="7"/>
      <c r="AY6541" s="7"/>
      <c r="BH6541" s="7"/>
      <c r="BQ6541" s="7"/>
      <c r="BZ6541" s="7"/>
    </row>
    <row r="6542" spans="2:78">
      <c r="B6542" s="7"/>
      <c r="O6542" s="7"/>
      <c r="X6542" s="7"/>
      <c r="AG6542" s="7"/>
      <c r="AP6542" s="7"/>
      <c r="AY6542" s="7"/>
      <c r="BH6542" s="7"/>
      <c r="BQ6542" s="7"/>
      <c r="BZ6542" s="7"/>
    </row>
    <row r="6543" spans="2:78">
      <c r="B6543" s="7"/>
      <c r="O6543" s="7"/>
      <c r="X6543" s="7"/>
      <c r="AG6543" s="7"/>
      <c r="AP6543" s="7"/>
      <c r="AY6543" s="7"/>
      <c r="BH6543" s="7"/>
      <c r="BQ6543" s="7"/>
      <c r="BZ6543" s="7"/>
    </row>
    <row r="6544" spans="2:78">
      <c r="B6544" s="7"/>
      <c r="O6544" s="7"/>
      <c r="X6544" s="7"/>
      <c r="AG6544" s="7"/>
      <c r="AP6544" s="7"/>
      <c r="AY6544" s="7"/>
      <c r="BH6544" s="7"/>
      <c r="BQ6544" s="7"/>
      <c r="BZ6544" s="7"/>
    </row>
    <row r="6545" spans="2:78">
      <c r="B6545" s="7"/>
      <c r="O6545" s="7"/>
      <c r="X6545" s="7"/>
      <c r="AG6545" s="7"/>
      <c r="AP6545" s="7"/>
      <c r="AY6545" s="7"/>
      <c r="BH6545" s="7"/>
      <c r="BQ6545" s="7"/>
      <c r="BZ6545" s="7"/>
    </row>
    <row r="6546" spans="2:78">
      <c r="B6546" s="7"/>
      <c r="O6546" s="7"/>
      <c r="X6546" s="7"/>
      <c r="AG6546" s="7"/>
      <c r="AP6546" s="7"/>
      <c r="AY6546" s="7"/>
      <c r="BH6546" s="7"/>
      <c r="BQ6546" s="7"/>
      <c r="BZ6546" s="7"/>
    </row>
    <row r="6547" spans="2:78">
      <c r="B6547" s="7"/>
      <c r="O6547" s="7"/>
      <c r="X6547" s="7"/>
      <c r="AG6547" s="7"/>
      <c r="AP6547" s="7"/>
      <c r="AY6547" s="7"/>
      <c r="BH6547" s="7"/>
      <c r="BQ6547" s="7"/>
      <c r="BZ6547" s="7"/>
    </row>
    <row r="6548" spans="2:78">
      <c r="B6548" s="7"/>
      <c r="O6548" s="7"/>
      <c r="X6548" s="7"/>
      <c r="AG6548" s="7"/>
      <c r="AP6548" s="7"/>
      <c r="AY6548" s="7"/>
      <c r="BH6548" s="7"/>
      <c r="BQ6548" s="7"/>
      <c r="BZ6548" s="7"/>
    </row>
    <row r="6549" spans="2:78">
      <c r="B6549" s="7"/>
      <c r="O6549" s="7"/>
      <c r="X6549" s="7"/>
      <c r="AG6549" s="7"/>
      <c r="AP6549" s="7"/>
      <c r="AY6549" s="7"/>
      <c r="BH6549" s="7"/>
      <c r="BQ6549" s="7"/>
      <c r="BZ6549" s="7"/>
    </row>
    <row r="6550" spans="2:78">
      <c r="B6550" s="7"/>
      <c r="O6550" s="7"/>
      <c r="X6550" s="7"/>
      <c r="AG6550" s="7"/>
      <c r="AP6550" s="7"/>
      <c r="AY6550" s="7"/>
      <c r="BH6550" s="7"/>
      <c r="BQ6550" s="7"/>
      <c r="BZ6550" s="7"/>
    </row>
    <row r="6551" spans="2:78">
      <c r="B6551" s="7"/>
      <c r="O6551" s="7"/>
      <c r="X6551" s="7"/>
      <c r="AG6551" s="7"/>
      <c r="AP6551" s="7"/>
      <c r="AY6551" s="7"/>
      <c r="BH6551" s="7"/>
      <c r="BQ6551" s="7"/>
      <c r="BZ6551" s="7"/>
    </row>
    <row r="6552" spans="2:78">
      <c r="B6552" s="7"/>
      <c r="O6552" s="7"/>
      <c r="X6552" s="7"/>
      <c r="AG6552" s="7"/>
      <c r="AP6552" s="7"/>
      <c r="AY6552" s="7"/>
      <c r="BH6552" s="7"/>
      <c r="BQ6552" s="7"/>
      <c r="BZ6552" s="7"/>
    </row>
    <row r="6553" spans="2:78">
      <c r="B6553" s="7"/>
      <c r="O6553" s="7"/>
      <c r="X6553" s="7"/>
      <c r="AG6553" s="7"/>
      <c r="AP6553" s="7"/>
      <c r="AY6553" s="7"/>
      <c r="BH6553" s="7"/>
      <c r="BQ6553" s="7"/>
      <c r="BZ6553" s="7"/>
    </row>
    <row r="6554" spans="2:78">
      <c r="B6554" s="7"/>
      <c r="O6554" s="7"/>
      <c r="X6554" s="7"/>
      <c r="AG6554" s="7"/>
      <c r="AP6554" s="7"/>
      <c r="AY6554" s="7"/>
      <c r="BH6554" s="7"/>
      <c r="BQ6554" s="7"/>
      <c r="BZ6554" s="7"/>
    </row>
    <row r="6555" spans="2:78">
      <c r="B6555" s="7"/>
      <c r="O6555" s="7"/>
      <c r="X6555" s="7"/>
      <c r="AG6555" s="7"/>
      <c r="AP6555" s="7"/>
      <c r="AY6555" s="7"/>
      <c r="BH6555" s="7"/>
      <c r="BQ6555" s="7"/>
      <c r="BZ6555" s="7"/>
    </row>
    <row r="6556" spans="2:78">
      <c r="B6556" s="7"/>
      <c r="O6556" s="7"/>
      <c r="X6556" s="7"/>
      <c r="AG6556" s="7"/>
      <c r="AP6556" s="7"/>
      <c r="AY6556" s="7"/>
      <c r="BH6556" s="7"/>
      <c r="BQ6556" s="7"/>
      <c r="BZ6556" s="7"/>
    </row>
    <row r="6557" spans="2:78">
      <c r="B6557" s="7"/>
      <c r="O6557" s="7"/>
      <c r="X6557" s="7"/>
      <c r="AG6557" s="7"/>
      <c r="AP6557" s="7"/>
      <c r="AY6557" s="7"/>
      <c r="BH6557" s="7"/>
      <c r="BQ6557" s="7"/>
      <c r="BZ6557" s="7"/>
    </row>
    <row r="6558" spans="2:78">
      <c r="B6558" s="7"/>
      <c r="O6558" s="7"/>
      <c r="X6558" s="7"/>
      <c r="AG6558" s="7"/>
      <c r="AP6558" s="7"/>
      <c r="AY6558" s="7"/>
      <c r="BH6558" s="7"/>
      <c r="BQ6558" s="7"/>
      <c r="BZ6558" s="7"/>
    </row>
    <row r="6559" spans="2:78">
      <c r="B6559" s="7"/>
      <c r="O6559" s="7"/>
      <c r="X6559" s="7"/>
      <c r="AG6559" s="7"/>
      <c r="AP6559" s="7"/>
      <c r="AY6559" s="7"/>
      <c r="BH6559" s="7"/>
      <c r="BQ6559" s="7"/>
      <c r="BZ6559" s="7"/>
    </row>
    <row r="6560" spans="2:78">
      <c r="B6560" s="7"/>
      <c r="O6560" s="7"/>
      <c r="X6560" s="7"/>
      <c r="AG6560" s="7"/>
      <c r="AP6560" s="7"/>
      <c r="AY6560" s="7"/>
      <c r="BH6560" s="7"/>
      <c r="BQ6560" s="7"/>
      <c r="BZ6560" s="7"/>
    </row>
    <row r="6561" spans="2:78">
      <c r="B6561" s="7"/>
      <c r="O6561" s="7"/>
      <c r="X6561" s="7"/>
      <c r="AG6561" s="7"/>
      <c r="AP6561" s="7"/>
      <c r="AY6561" s="7"/>
      <c r="BH6561" s="7"/>
      <c r="BQ6561" s="7"/>
      <c r="BZ6561" s="7"/>
    </row>
    <row r="6562" spans="2:78">
      <c r="B6562" s="7"/>
      <c r="O6562" s="7"/>
      <c r="X6562" s="7"/>
      <c r="AG6562" s="7"/>
      <c r="AP6562" s="7"/>
      <c r="AY6562" s="7"/>
      <c r="BH6562" s="7"/>
      <c r="BQ6562" s="7"/>
      <c r="BZ6562" s="7"/>
    </row>
    <row r="6563" spans="2:78">
      <c r="B6563" s="7"/>
      <c r="O6563" s="7"/>
      <c r="X6563" s="7"/>
      <c r="AG6563" s="7"/>
      <c r="AP6563" s="7"/>
      <c r="AY6563" s="7"/>
      <c r="BH6563" s="7"/>
      <c r="BQ6563" s="7"/>
      <c r="BZ6563" s="7"/>
    </row>
    <row r="6564" spans="2:78">
      <c r="B6564" s="7"/>
      <c r="O6564" s="7"/>
      <c r="X6564" s="7"/>
      <c r="AG6564" s="7"/>
      <c r="AP6564" s="7"/>
      <c r="AY6564" s="7"/>
      <c r="BH6564" s="7"/>
      <c r="BQ6564" s="7"/>
      <c r="BZ6564" s="7"/>
    </row>
    <row r="6565" spans="2:78">
      <c r="B6565" s="7"/>
      <c r="O6565" s="7"/>
      <c r="X6565" s="7"/>
      <c r="AG6565" s="7"/>
      <c r="AP6565" s="7"/>
      <c r="AY6565" s="7"/>
      <c r="BH6565" s="7"/>
      <c r="BQ6565" s="7"/>
      <c r="BZ6565" s="7"/>
    </row>
    <row r="6566" spans="2:78">
      <c r="B6566" s="7"/>
      <c r="O6566" s="7"/>
      <c r="X6566" s="7"/>
      <c r="AG6566" s="7"/>
      <c r="AP6566" s="7"/>
      <c r="AY6566" s="7"/>
      <c r="BH6566" s="7"/>
      <c r="BQ6566" s="7"/>
      <c r="BZ6566" s="7"/>
    </row>
    <row r="6567" spans="2:78">
      <c r="B6567" s="7"/>
      <c r="O6567" s="7"/>
      <c r="X6567" s="7"/>
      <c r="AG6567" s="7"/>
      <c r="AP6567" s="7"/>
      <c r="AY6567" s="7"/>
      <c r="BH6567" s="7"/>
      <c r="BQ6567" s="7"/>
      <c r="BZ6567" s="7"/>
    </row>
    <row r="6568" spans="2:78">
      <c r="B6568" s="7"/>
      <c r="O6568" s="7"/>
      <c r="X6568" s="7"/>
      <c r="AG6568" s="7"/>
      <c r="AP6568" s="7"/>
      <c r="AY6568" s="7"/>
      <c r="BH6568" s="7"/>
      <c r="BQ6568" s="7"/>
      <c r="BZ6568" s="7"/>
    </row>
    <row r="6569" spans="2:78">
      <c r="B6569" s="7"/>
      <c r="O6569" s="7"/>
      <c r="X6569" s="7"/>
      <c r="AG6569" s="7"/>
      <c r="AP6569" s="7"/>
      <c r="AY6569" s="7"/>
      <c r="BH6569" s="7"/>
      <c r="BQ6569" s="7"/>
      <c r="BZ6569" s="7"/>
    </row>
    <row r="6570" spans="2:78">
      <c r="B6570" s="7"/>
      <c r="O6570" s="7"/>
      <c r="X6570" s="7"/>
      <c r="AG6570" s="7"/>
      <c r="AP6570" s="7"/>
      <c r="AY6570" s="7"/>
      <c r="BH6570" s="7"/>
      <c r="BQ6570" s="7"/>
      <c r="BZ6570" s="7"/>
    </row>
    <row r="6571" spans="2:78">
      <c r="B6571" s="7"/>
      <c r="O6571" s="7"/>
      <c r="X6571" s="7"/>
      <c r="AG6571" s="7"/>
      <c r="AP6571" s="7"/>
      <c r="AY6571" s="7"/>
      <c r="BH6571" s="7"/>
      <c r="BQ6571" s="7"/>
      <c r="BZ6571" s="7"/>
    </row>
    <row r="6572" spans="2:78">
      <c r="B6572" s="7"/>
      <c r="O6572" s="7"/>
      <c r="X6572" s="7"/>
      <c r="AG6572" s="7"/>
      <c r="AP6572" s="7"/>
      <c r="AY6572" s="7"/>
      <c r="BH6572" s="7"/>
      <c r="BQ6572" s="7"/>
      <c r="BZ6572" s="7"/>
    </row>
    <row r="6573" spans="2:78">
      <c r="B6573" s="7"/>
      <c r="O6573" s="7"/>
      <c r="X6573" s="7"/>
      <c r="AG6573" s="7"/>
      <c r="AP6573" s="7"/>
      <c r="AY6573" s="7"/>
      <c r="BH6573" s="7"/>
      <c r="BQ6573" s="7"/>
      <c r="BZ6573" s="7"/>
    </row>
    <row r="6574" spans="2:78">
      <c r="B6574" s="7"/>
      <c r="O6574" s="7"/>
      <c r="X6574" s="7"/>
      <c r="AG6574" s="7"/>
      <c r="AP6574" s="7"/>
      <c r="AY6574" s="7"/>
      <c r="BH6574" s="7"/>
      <c r="BQ6574" s="7"/>
      <c r="BZ6574" s="7"/>
    </row>
    <row r="6575" spans="2:78">
      <c r="B6575" s="7"/>
      <c r="O6575" s="7"/>
      <c r="X6575" s="7"/>
      <c r="AG6575" s="7"/>
      <c r="AP6575" s="7"/>
      <c r="AY6575" s="7"/>
      <c r="BH6575" s="7"/>
      <c r="BQ6575" s="7"/>
      <c r="BZ6575" s="7"/>
    </row>
    <row r="6576" spans="2:78">
      <c r="B6576" s="7"/>
      <c r="O6576" s="7"/>
      <c r="X6576" s="7"/>
      <c r="AG6576" s="7"/>
      <c r="AP6576" s="7"/>
      <c r="AY6576" s="7"/>
      <c r="BH6576" s="7"/>
      <c r="BQ6576" s="7"/>
      <c r="BZ6576" s="7"/>
    </row>
    <row r="6577" spans="2:78">
      <c r="B6577" s="7"/>
      <c r="O6577" s="7"/>
      <c r="X6577" s="7"/>
      <c r="AG6577" s="7"/>
      <c r="AP6577" s="7"/>
      <c r="AY6577" s="7"/>
      <c r="BH6577" s="7"/>
      <c r="BQ6577" s="7"/>
      <c r="BZ6577" s="7"/>
    </row>
    <row r="6578" spans="2:78">
      <c r="B6578" s="7"/>
      <c r="O6578" s="7"/>
      <c r="X6578" s="7"/>
      <c r="AG6578" s="7"/>
      <c r="AP6578" s="7"/>
      <c r="AY6578" s="7"/>
      <c r="BH6578" s="7"/>
      <c r="BQ6578" s="7"/>
      <c r="BZ6578" s="7"/>
    </row>
    <row r="6579" spans="2:78">
      <c r="B6579" s="7"/>
      <c r="O6579" s="7"/>
      <c r="X6579" s="7"/>
      <c r="AG6579" s="7"/>
      <c r="AP6579" s="7"/>
      <c r="AY6579" s="7"/>
      <c r="BH6579" s="7"/>
      <c r="BQ6579" s="7"/>
      <c r="BZ6579" s="7"/>
    </row>
    <row r="6580" spans="2:78">
      <c r="B6580" s="7"/>
      <c r="O6580" s="7"/>
      <c r="X6580" s="7"/>
      <c r="AG6580" s="7"/>
      <c r="AP6580" s="7"/>
      <c r="AY6580" s="7"/>
      <c r="BH6580" s="7"/>
      <c r="BQ6580" s="7"/>
      <c r="BZ6580" s="7"/>
    </row>
    <row r="6581" spans="2:78">
      <c r="B6581" s="7"/>
      <c r="O6581" s="7"/>
      <c r="X6581" s="7"/>
      <c r="AG6581" s="7"/>
      <c r="AP6581" s="7"/>
      <c r="AY6581" s="7"/>
      <c r="BH6581" s="7"/>
      <c r="BQ6581" s="7"/>
      <c r="BZ6581" s="7"/>
    </row>
    <row r="6582" spans="2:78">
      <c r="B6582" s="7"/>
      <c r="O6582" s="7"/>
      <c r="X6582" s="7"/>
      <c r="AG6582" s="7"/>
      <c r="AP6582" s="7"/>
      <c r="AY6582" s="7"/>
      <c r="BH6582" s="7"/>
      <c r="BQ6582" s="7"/>
      <c r="BZ6582" s="7"/>
    </row>
    <row r="6583" spans="2:78">
      <c r="B6583" s="7"/>
      <c r="O6583" s="7"/>
      <c r="X6583" s="7"/>
      <c r="AG6583" s="7"/>
      <c r="AP6583" s="7"/>
      <c r="AY6583" s="7"/>
      <c r="BH6583" s="7"/>
      <c r="BQ6583" s="7"/>
      <c r="BZ6583" s="7"/>
    </row>
    <row r="6584" spans="2:78">
      <c r="B6584" s="7"/>
      <c r="O6584" s="7"/>
      <c r="X6584" s="7"/>
      <c r="AG6584" s="7"/>
      <c r="AP6584" s="7"/>
      <c r="AY6584" s="7"/>
      <c r="BH6584" s="7"/>
      <c r="BQ6584" s="7"/>
      <c r="BZ6584" s="7"/>
    </row>
    <row r="6585" spans="2:78">
      <c r="B6585" s="7"/>
      <c r="O6585" s="7"/>
      <c r="X6585" s="7"/>
      <c r="AG6585" s="7"/>
      <c r="AP6585" s="7"/>
      <c r="AY6585" s="7"/>
      <c r="BH6585" s="7"/>
      <c r="BQ6585" s="7"/>
      <c r="BZ6585" s="7"/>
    </row>
    <row r="6586" spans="2:78">
      <c r="B6586" s="7"/>
      <c r="O6586" s="7"/>
      <c r="X6586" s="7"/>
      <c r="AG6586" s="7"/>
      <c r="AP6586" s="7"/>
      <c r="AY6586" s="7"/>
      <c r="BH6586" s="7"/>
      <c r="BQ6586" s="7"/>
      <c r="BZ6586" s="7"/>
    </row>
    <row r="6587" spans="2:78">
      <c r="B6587" s="7"/>
      <c r="O6587" s="7"/>
      <c r="X6587" s="7"/>
      <c r="AG6587" s="7"/>
      <c r="AP6587" s="7"/>
      <c r="AY6587" s="7"/>
      <c r="BH6587" s="7"/>
      <c r="BQ6587" s="7"/>
      <c r="BZ6587" s="7"/>
    </row>
    <row r="6588" spans="2:78">
      <c r="B6588" s="7"/>
      <c r="O6588" s="7"/>
      <c r="X6588" s="7"/>
      <c r="AG6588" s="7"/>
      <c r="AP6588" s="7"/>
      <c r="AY6588" s="7"/>
      <c r="BH6588" s="7"/>
      <c r="BQ6588" s="7"/>
      <c r="BZ6588" s="7"/>
    </row>
    <row r="6589" spans="2:78">
      <c r="B6589" s="7"/>
      <c r="O6589" s="7"/>
      <c r="X6589" s="7"/>
      <c r="AG6589" s="7"/>
      <c r="AP6589" s="7"/>
      <c r="AY6589" s="7"/>
      <c r="BH6589" s="7"/>
      <c r="BQ6589" s="7"/>
      <c r="BZ6589" s="7"/>
    </row>
    <row r="6590" spans="2:78">
      <c r="B6590" s="7"/>
      <c r="O6590" s="7"/>
      <c r="X6590" s="7"/>
      <c r="AG6590" s="7"/>
      <c r="AP6590" s="7"/>
      <c r="AY6590" s="7"/>
      <c r="BH6590" s="7"/>
      <c r="BQ6590" s="7"/>
      <c r="BZ6590" s="7"/>
    </row>
    <row r="6591" spans="2:78">
      <c r="B6591" s="7"/>
      <c r="O6591" s="7"/>
      <c r="X6591" s="7"/>
      <c r="AG6591" s="7"/>
      <c r="AP6591" s="7"/>
      <c r="AY6591" s="7"/>
      <c r="BH6591" s="7"/>
      <c r="BQ6591" s="7"/>
      <c r="BZ6591" s="7"/>
    </row>
    <row r="6592" spans="2:78">
      <c r="B6592" s="7"/>
      <c r="O6592" s="7"/>
      <c r="X6592" s="7"/>
      <c r="AG6592" s="7"/>
      <c r="AP6592" s="7"/>
      <c r="AY6592" s="7"/>
      <c r="BH6592" s="7"/>
      <c r="BQ6592" s="7"/>
      <c r="BZ6592" s="7"/>
    </row>
    <row r="6593" spans="2:78">
      <c r="B6593" s="7"/>
      <c r="O6593" s="7"/>
      <c r="X6593" s="7"/>
      <c r="AG6593" s="7"/>
      <c r="AP6593" s="7"/>
      <c r="AY6593" s="7"/>
      <c r="BH6593" s="7"/>
      <c r="BQ6593" s="7"/>
      <c r="BZ6593" s="7"/>
    </row>
    <row r="6594" spans="2:78">
      <c r="B6594" s="7"/>
      <c r="O6594" s="7"/>
      <c r="X6594" s="7"/>
      <c r="AG6594" s="7"/>
      <c r="AP6594" s="7"/>
      <c r="AY6594" s="7"/>
      <c r="BH6594" s="7"/>
      <c r="BQ6594" s="7"/>
      <c r="BZ6594" s="7"/>
    </row>
    <row r="6595" spans="2:78">
      <c r="B6595" s="7"/>
      <c r="O6595" s="7"/>
      <c r="X6595" s="7"/>
      <c r="AG6595" s="7"/>
      <c r="AP6595" s="7"/>
      <c r="AY6595" s="7"/>
      <c r="BH6595" s="7"/>
      <c r="BQ6595" s="7"/>
      <c r="BZ6595" s="7"/>
    </row>
    <row r="6596" spans="2:78">
      <c r="B6596" s="7"/>
      <c r="O6596" s="7"/>
      <c r="X6596" s="7"/>
      <c r="AG6596" s="7"/>
      <c r="AP6596" s="7"/>
      <c r="AY6596" s="7"/>
      <c r="BH6596" s="7"/>
      <c r="BQ6596" s="7"/>
      <c r="BZ6596" s="7"/>
    </row>
    <row r="6597" spans="2:78">
      <c r="B6597" s="7"/>
      <c r="O6597" s="7"/>
      <c r="X6597" s="7"/>
      <c r="AG6597" s="7"/>
      <c r="AP6597" s="7"/>
      <c r="AY6597" s="7"/>
      <c r="BH6597" s="7"/>
      <c r="BQ6597" s="7"/>
      <c r="BZ6597" s="7"/>
    </row>
    <row r="6598" spans="2:78">
      <c r="B6598" s="7"/>
      <c r="O6598" s="7"/>
      <c r="X6598" s="7"/>
      <c r="AG6598" s="7"/>
      <c r="AP6598" s="7"/>
      <c r="AY6598" s="7"/>
      <c r="BH6598" s="7"/>
      <c r="BQ6598" s="7"/>
      <c r="BZ6598" s="7"/>
    </row>
    <row r="6599" spans="2:78">
      <c r="B6599" s="7"/>
      <c r="O6599" s="7"/>
      <c r="X6599" s="7"/>
      <c r="AG6599" s="7"/>
      <c r="AP6599" s="7"/>
      <c r="AY6599" s="7"/>
      <c r="BH6599" s="7"/>
      <c r="BQ6599" s="7"/>
      <c r="BZ6599" s="7"/>
    </row>
    <row r="6600" spans="2:78">
      <c r="B6600" s="7"/>
      <c r="O6600" s="7"/>
      <c r="X6600" s="7"/>
      <c r="AG6600" s="7"/>
      <c r="AP6600" s="7"/>
      <c r="AY6600" s="7"/>
      <c r="BH6600" s="7"/>
      <c r="BQ6600" s="7"/>
      <c r="BZ6600" s="7"/>
    </row>
    <row r="6601" spans="2:78">
      <c r="B6601" s="7"/>
      <c r="O6601" s="7"/>
      <c r="X6601" s="7"/>
      <c r="AG6601" s="7"/>
      <c r="AP6601" s="7"/>
      <c r="AY6601" s="7"/>
      <c r="BH6601" s="7"/>
      <c r="BQ6601" s="7"/>
      <c r="BZ6601" s="7"/>
    </row>
    <row r="6602" spans="2:78">
      <c r="B6602" s="7"/>
      <c r="O6602" s="7"/>
      <c r="X6602" s="7"/>
      <c r="AG6602" s="7"/>
      <c r="AP6602" s="7"/>
      <c r="AY6602" s="7"/>
      <c r="BH6602" s="7"/>
      <c r="BQ6602" s="7"/>
      <c r="BZ6602" s="7"/>
    </row>
    <row r="6603" spans="2:78">
      <c r="B6603" s="7"/>
      <c r="O6603" s="7"/>
      <c r="X6603" s="7"/>
      <c r="AG6603" s="7"/>
      <c r="AP6603" s="7"/>
      <c r="AY6603" s="7"/>
      <c r="BH6603" s="7"/>
      <c r="BQ6603" s="7"/>
      <c r="BZ6603" s="7"/>
    </row>
    <row r="6604" spans="2:78">
      <c r="B6604" s="7"/>
      <c r="O6604" s="7"/>
      <c r="X6604" s="7"/>
      <c r="AG6604" s="7"/>
      <c r="AP6604" s="7"/>
      <c r="AY6604" s="7"/>
      <c r="BH6604" s="7"/>
      <c r="BQ6604" s="7"/>
      <c r="BZ6604" s="7"/>
    </row>
    <row r="6605" spans="2:78">
      <c r="B6605" s="7"/>
      <c r="O6605" s="7"/>
      <c r="X6605" s="7"/>
      <c r="AG6605" s="7"/>
      <c r="AP6605" s="7"/>
      <c r="AY6605" s="7"/>
      <c r="BH6605" s="7"/>
      <c r="BQ6605" s="7"/>
      <c r="BZ6605" s="7"/>
    </row>
    <row r="6606" spans="2:78">
      <c r="B6606" s="7"/>
      <c r="O6606" s="7"/>
      <c r="X6606" s="7"/>
      <c r="AG6606" s="7"/>
      <c r="AP6606" s="7"/>
      <c r="AY6606" s="7"/>
      <c r="BH6606" s="7"/>
      <c r="BQ6606" s="7"/>
      <c r="BZ6606" s="7"/>
    </row>
    <row r="6607" spans="2:78">
      <c r="B6607" s="7"/>
      <c r="O6607" s="7"/>
      <c r="X6607" s="7"/>
      <c r="AG6607" s="7"/>
      <c r="AP6607" s="7"/>
      <c r="AY6607" s="7"/>
      <c r="BH6607" s="7"/>
      <c r="BQ6607" s="7"/>
      <c r="BZ6607" s="7"/>
    </row>
    <row r="6608" spans="2:78">
      <c r="B6608" s="7"/>
      <c r="O6608" s="7"/>
      <c r="X6608" s="7"/>
      <c r="AG6608" s="7"/>
      <c r="AP6608" s="7"/>
      <c r="AY6608" s="7"/>
      <c r="BH6608" s="7"/>
      <c r="BQ6608" s="7"/>
      <c r="BZ6608" s="7"/>
    </row>
    <row r="6609" spans="2:78">
      <c r="B6609" s="7"/>
      <c r="O6609" s="7"/>
      <c r="X6609" s="7"/>
      <c r="AG6609" s="7"/>
      <c r="AP6609" s="7"/>
      <c r="AY6609" s="7"/>
      <c r="BH6609" s="7"/>
      <c r="BQ6609" s="7"/>
      <c r="BZ6609" s="7"/>
    </row>
    <row r="6610" spans="2:78">
      <c r="B6610" s="7"/>
      <c r="O6610" s="7"/>
      <c r="X6610" s="7"/>
      <c r="AG6610" s="7"/>
      <c r="AP6610" s="7"/>
      <c r="AY6610" s="7"/>
      <c r="BH6610" s="7"/>
      <c r="BQ6610" s="7"/>
      <c r="BZ6610" s="7"/>
    </row>
    <row r="6611" spans="2:78">
      <c r="B6611" s="7"/>
      <c r="O6611" s="7"/>
      <c r="X6611" s="7"/>
      <c r="AG6611" s="7"/>
      <c r="AP6611" s="7"/>
      <c r="AY6611" s="7"/>
      <c r="BH6611" s="7"/>
      <c r="BQ6611" s="7"/>
      <c r="BZ6611" s="7"/>
    </row>
    <row r="6612" spans="2:78">
      <c r="B6612" s="7"/>
      <c r="O6612" s="7"/>
      <c r="X6612" s="7"/>
      <c r="AG6612" s="7"/>
      <c r="AP6612" s="7"/>
      <c r="AY6612" s="7"/>
      <c r="BH6612" s="7"/>
      <c r="BQ6612" s="7"/>
      <c r="BZ6612" s="7"/>
    </row>
    <row r="6613" spans="2:78">
      <c r="B6613" s="7"/>
      <c r="O6613" s="7"/>
      <c r="X6613" s="7"/>
      <c r="AG6613" s="7"/>
      <c r="AP6613" s="7"/>
      <c r="AY6613" s="7"/>
      <c r="BH6613" s="7"/>
      <c r="BQ6613" s="7"/>
      <c r="BZ6613" s="7"/>
    </row>
    <row r="6614" spans="2:78">
      <c r="B6614" s="7"/>
      <c r="O6614" s="7"/>
      <c r="X6614" s="7"/>
      <c r="AG6614" s="7"/>
      <c r="AP6614" s="7"/>
      <c r="AY6614" s="7"/>
      <c r="BH6614" s="7"/>
      <c r="BQ6614" s="7"/>
      <c r="BZ6614" s="7"/>
    </row>
    <row r="6615" spans="2:78">
      <c r="B6615" s="7"/>
      <c r="O6615" s="7"/>
      <c r="X6615" s="7"/>
      <c r="AG6615" s="7"/>
      <c r="AP6615" s="7"/>
      <c r="AY6615" s="7"/>
      <c r="BH6615" s="7"/>
      <c r="BQ6615" s="7"/>
      <c r="BZ6615" s="7"/>
    </row>
    <row r="6616" spans="2:78">
      <c r="B6616" s="7"/>
      <c r="O6616" s="7"/>
      <c r="X6616" s="7"/>
      <c r="AG6616" s="7"/>
      <c r="AP6616" s="7"/>
      <c r="AY6616" s="7"/>
      <c r="BH6616" s="7"/>
      <c r="BQ6616" s="7"/>
      <c r="BZ6616" s="7"/>
    </row>
    <row r="6617" spans="2:78">
      <c r="B6617" s="7"/>
      <c r="O6617" s="7"/>
      <c r="X6617" s="7"/>
      <c r="AG6617" s="7"/>
      <c r="AP6617" s="7"/>
      <c r="AY6617" s="7"/>
      <c r="BH6617" s="7"/>
      <c r="BQ6617" s="7"/>
      <c r="BZ6617" s="7"/>
    </row>
    <row r="6618" spans="2:78">
      <c r="B6618" s="7"/>
      <c r="O6618" s="7"/>
      <c r="X6618" s="7"/>
      <c r="AG6618" s="7"/>
      <c r="AP6618" s="7"/>
      <c r="AY6618" s="7"/>
      <c r="BH6618" s="7"/>
      <c r="BQ6618" s="7"/>
      <c r="BZ6618" s="7"/>
    </row>
    <row r="6619" spans="2:78">
      <c r="B6619" s="7"/>
      <c r="O6619" s="7"/>
      <c r="X6619" s="7"/>
      <c r="AG6619" s="7"/>
      <c r="AP6619" s="7"/>
      <c r="AY6619" s="7"/>
      <c r="BH6619" s="7"/>
      <c r="BQ6619" s="7"/>
      <c r="BZ6619" s="7"/>
    </row>
    <row r="6620" spans="2:78">
      <c r="B6620" s="7"/>
      <c r="O6620" s="7"/>
      <c r="X6620" s="7"/>
      <c r="AG6620" s="7"/>
      <c r="AP6620" s="7"/>
      <c r="AY6620" s="7"/>
      <c r="BH6620" s="7"/>
      <c r="BQ6620" s="7"/>
      <c r="BZ6620" s="7"/>
    </row>
    <row r="6621" spans="2:78">
      <c r="B6621" s="7"/>
      <c r="O6621" s="7"/>
      <c r="X6621" s="7"/>
      <c r="AG6621" s="7"/>
      <c r="AP6621" s="7"/>
      <c r="AY6621" s="7"/>
      <c r="BH6621" s="7"/>
      <c r="BQ6621" s="7"/>
      <c r="BZ6621" s="7"/>
    </row>
    <row r="6622" spans="2:78">
      <c r="B6622" s="7"/>
      <c r="O6622" s="7"/>
      <c r="X6622" s="7"/>
      <c r="AG6622" s="7"/>
      <c r="AP6622" s="7"/>
      <c r="AY6622" s="7"/>
      <c r="BH6622" s="7"/>
      <c r="BQ6622" s="7"/>
      <c r="BZ6622" s="7"/>
    </row>
    <row r="6623" spans="2:78">
      <c r="B6623" s="7"/>
      <c r="O6623" s="7"/>
      <c r="X6623" s="7"/>
      <c r="AG6623" s="7"/>
      <c r="AP6623" s="7"/>
      <c r="AY6623" s="7"/>
      <c r="BH6623" s="7"/>
      <c r="BQ6623" s="7"/>
      <c r="BZ6623" s="7"/>
    </row>
    <row r="6624" spans="2:78">
      <c r="B6624" s="7"/>
      <c r="O6624" s="7"/>
      <c r="X6624" s="7"/>
      <c r="AG6624" s="7"/>
      <c r="AP6624" s="7"/>
      <c r="AY6624" s="7"/>
      <c r="BH6624" s="7"/>
      <c r="BQ6624" s="7"/>
      <c r="BZ6624" s="7"/>
    </row>
    <row r="6625" spans="2:78">
      <c r="B6625" s="7"/>
      <c r="O6625" s="7"/>
      <c r="X6625" s="7"/>
      <c r="AG6625" s="7"/>
      <c r="AP6625" s="7"/>
      <c r="AY6625" s="7"/>
      <c r="BH6625" s="7"/>
      <c r="BQ6625" s="7"/>
      <c r="BZ6625" s="7"/>
    </row>
    <row r="6626" spans="2:78">
      <c r="B6626" s="7"/>
      <c r="O6626" s="7"/>
      <c r="X6626" s="7"/>
      <c r="AG6626" s="7"/>
      <c r="AP6626" s="7"/>
      <c r="AY6626" s="7"/>
      <c r="BH6626" s="7"/>
      <c r="BQ6626" s="7"/>
      <c r="BZ6626" s="7"/>
    </row>
    <row r="6627" spans="2:78">
      <c r="B6627" s="7"/>
      <c r="O6627" s="7"/>
      <c r="X6627" s="7"/>
      <c r="AG6627" s="7"/>
      <c r="AP6627" s="7"/>
      <c r="AY6627" s="7"/>
      <c r="BH6627" s="7"/>
      <c r="BQ6627" s="7"/>
      <c r="BZ6627" s="7"/>
    </row>
    <row r="6628" spans="2:78">
      <c r="B6628" s="7"/>
      <c r="O6628" s="7"/>
      <c r="X6628" s="7"/>
      <c r="AG6628" s="7"/>
      <c r="AP6628" s="7"/>
      <c r="AY6628" s="7"/>
      <c r="BH6628" s="7"/>
      <c r="BQ6628" s="7"/>
      <c r="BZ6628" s="7"/>
    </row>
    <row r="6629" spans="2:78">
      <c r="B6629" s="7"/>
      <c r="O6629" s="7"/>
      <c r="X6629" s="7"/>
      <c r="AG6629" s="7"/>
      <c r="AP6629" s="7"/>
      <c r="AY6629" s="7"/>
      <c r="BH6629" s="7"/>
      <c r="BQ6629" s="7"/>
      <c r="BZ6629" s="7"/>
    </row>
    <row r="6630" spans="2:78">
      <c r="B6630" s="7"/>
      <c r="O6630" s="7"/>
      <c r="X6630" s="7"/>
      <c r="AG6630" s="7"/>
      <c r="AP6630" s="7"/>
      <c r="AY6630" s="7"/>
      <c r="BH6630" s="7"/>
      <c r="BQ6630" s="7"/>
      <c r="BZ6630" s="7"/>
    </row>
    <row r="6631" spans="2:78">
      <c r="B6631" s="7"/>
      <c r="O6631" s="7"/>
      <c r="X6631" s="7"/>
      <c r="AG6631" s="7"/>
      <c r="AP6631" s="7"/>
      <c r="AY6631" s="7"/>
      <c r="BH6631" s="7"/>
      <c r="BQ6631" s="7"/>
      <c r="BZ6631" s="7"/>
    </row>
    <row r="6632" spans="2:78">
      <c r="B6632" s="7"/>
      <c r="O6632" s="7"/>
      <c r="X6632" s="7"/>
      <c r="AG6632" s="7"/>
      <c r="AP6632" s="7"/>
      <c r="AY6632" s="7"/>
      <c r="BH6632" s="7"/>
      <c r="BQ6632" s="7"/>
      <c r="BZ6632" s="7"/>
    </row>
    <row r="6633" spans="2:78">
      <c r="B6633" s="7"/>
      <c r="O6633" s="7"/>
      <c r="X6633" s="7"/>
      <c r="AG6633" s="7"/>
      <c r="AP6633" s="7"/>
      <c r="AY6633" s="7"/>
      <c r="BH6633" s="7"/>
      <c r="BQ6633" s="7"/>
      <c r="BZ6633" s="7"/>
    </row>
    <row r="6634" spans="2:78">
      <c r="B6634" s="7"/>
      <c r="O6634" s="7"/>
      <c r="X6634" s="7"/>
      <c r="AG6634" s="7"/>
      <c r="AP6634" s="7"/>
      <c r="AY6634" s="7"/>
      <c r="BH6634" s="7"/>
      <c r="BQ6634" s="7"/>
      <c r="BZ6634" s="7"/>
    </row>
    <row r="6635" spans="2:78">
      <c r="B6635" s="7"/>
      <c r="O6635" s="7"/>
      <c r="X6635" s="7"/>
      <c r="AG6635" s="7"/>
      <c r="AP6635" s="7"/>
      <c r="AY6635" s="7"/>
      <c r="BH6635" s="7"/>
      <c r="BQ6635" s="7"/>
      <c r="BZ6635" s="7"/>
    </row>
    <row r="6636" spans="2:78">
      <c r="B6636" s="7"/>
      <c r="O6636" s="7"/>
      <c r="X6636" s="7"/>
      <c r="AG6636" s="7"/>
      <c r="AP6636" s="7"/>
      <c r="AY6636" s="7"/>
      <c r="BH6636" s="7"/>
      <c r="BQ6636" s="7"/>
      <c r="BZ6636" s="7"/>
    </row>
    <row r="6637" spans="2:78">
      <c r="B6637" s="7"/>
      <c r="O6637" s="7"/>
      <c r="X6637" s="7"/>
      <c r="AG6637" s="7"/>
      <c r="AP6637" s="7"/>
      <c r="AY6637" s="7"/>
      <c r="BH6637" s="7"/>
      <c r="BQ6637" s="7"/>
      <c r="BZ6637" s="7"/>
    </row>
    <row r="6638" spans="2:78">
      <c r="B6638" s="7"/>
      <c r="O6638" s="7"/>
      <c r="X6638" s="7"/>
      <c r="AG6638" s="7"/>
      <c r="AP6638" s="7"/>
      <c r="AY6638" s="7"/>
      <c r="BH6638" s="7"/>
      <c r="BQ6638" s="7"/>
      <c r="BZ6638" s="7"/>
    </row>
    <row r="6639" spans="2:78">
      <c r="B6639" s="7"/>
      <c r="O6639" s="7"/>
      <c r="X6639" s="7"/>
      <c r="AG6639" s="7"/>
      <c r="AP6639" s="7"/>
      <c r="AY6639" s="7"/>
      <c r="BH6639" s="7"/>
      <c r="BQ6639" s="7"/>
      <c r="BZ6639" s="7"/>
    </row>
    <row r="6640" spans="2:78">
      <c r="B6640" s="7"/>
      <c r="O6640" s="7"/>
      <c r="X6640" s="7"/>
      <c r="AG6640" s="7"/>
      <c r="AP6640" s="7"/>
      <c r="AY6640" s="7"/>
      <c r="BH6640" s="7"/>
      <c r="BQ6640" s="7"/>
      <c r="BZ6640" s="7"/>
    </row>
    <row r="6641" spans="2:78">
      <c r="B6641" s="7"/>
      <c r="O6641" s="7"/>
      <c r="X6641" s="7"/>
      <c r="AG6641" s="7"/>
      <c r="AP6641" s="7"/>
      <c r="AY6641" s="7"/>
      <c r="BH6641" s="7"/>
      <c r="BQ6641" s="7"/>
      <c r="BZ6641" s="7"/>
    </row>
    <row r="6642" spans="2:78">
      <c r="B6642" s="7"/>
      <c r="O6642" s="7"/>
      <c r="X6642" s="7"/>
      <c r="AG6642" s="7"/>
      <c r="AP6642" s="7"/>
      <c r="AY6642" s="7"/>
      <c r="BH6642" s="7"/>
      <c r="BQ6642" s="7"/>
      <c r="BZ6642" s="7"/>
    </row>
    <row r="6643" spans="2:78">
      <c r="B6643" s="7"/>
      <c r="O6643" s="7"/>
      <c r="X6643" s="7"/>
      <c r="AG6643" s="7"/>
      <c r="AP6643" s="7"/>
      <c r="AY6643" s="7"/>
      <c r="BH6643" s="7"/>
      <c r="BQ6643" s="7"/>
      <c r="BZ6643" s="7"/>
    </row>
    <row r="6644" spans="2:78">
      <c r="B6644" s="7"/>
      <c r="O6644" s="7"/>
      <c r="X6644" s="7"/>
      <c r="AG6644" s="7"/>
      <c r="AP6644" s="7"/>
      <c r="AY6644" s="7"/>
      <c r="BH6644" s="7"/>
      <c r="BQ6644" s="7"/>
      <c r="BZ6644" s="7"/>
    </row>
    <row r="6645" spans="2:78">
      <c r="B6645" s="7"/>
      <c r="O6645" s="7"/>
      <c r="X6645" s="7"/>
      <c r="AG6645" s="7"/>
      <c r="AP6645" s="7"/>
      <c r="AY6645" s="7"/>
      <c r="BH6645" s="7"/>
      <c r="BQ6645" s="7"/>
      <c r="BZ6645" s="7"/>
    </row>
    <row r="6646" spans="2:78">
      <c r="B6646" s="7"/>
      <c r="O6646" s="7"/>
      <c r="X6646" s="7"/>
      <c r="AG6646" s="7"/>
      <c r="AP6646" s="7"/>
      <c r="AY6646" s="7"/>
      <c r="BH6646" s="7"/>
      <c r="BQ6646" s="7"/>
      <c r="BZ6646" s="7"/>
    </row>
    <row r="6647" spans="2:78">
      <c r="B6647" s="7"/>
      <c r="O6647" s="7"/>
      <c r="X6647" s="7"/>
      <c r="AG6647" s="7"/>
      <c r="AP6647" s="7"/>
      <c r="AY6647" s="7"/>
      <c r="BH6647" s="7"/>
      <c r="BQ6647" s="7"/>
      <c r="BZ6647" s="7"/>
    </row>
    <row r="6648" spans="2:78">
      <c r="B6648" s="7"/>
      <c r="O6648" s="7"/>
      <c r="X6648" s="7"/>
      <c r="AG6648" s="7"/>
      <c r="AP6648" s="7"/>
      <c r="AY6648" s="7"/>
      <c r="BH6648" s="7"/>
      <c r="BQ6648" s="7"/>
      <c r="BZ6648" s="7"/>
    </row>
    <row r="6649" spans="2:78">
      <c r="B6649" s="7"/>
      <c r="O6649" s="7"/>
      <c r="X6649" s="7"/>
      <c r="AG6649" s="7"/>
      <c r="AP6649" s="7"/>
      <c r="AY6649" s="7"/>
      <c r="BH6649" s="7"/>
      <c r="BQ6649" s="7"/>
      <c r="BZ6649" s="7"/>
    </row>
    <row r="6650" spans="2:78">
      <c r="B6650" s="7"/>
      <c r="O6650" s="7"/>
      <c r="X6650" s="7"/>
      <c r="AG6650" s="7"/>
      <c r="AP6650" s="7"/>
      <c r="AY6650" s="7"/>
      <c r="BH6650" s="7"/>
      <c r="BQ6650" s="7"/>
      <c r="BZ6650" s="7"/>
    </row>
    <row r="6651" spans="2:78">
      <c r="B6651" s="7"/>
      <c r="O6651" s="7"/>
      <c r="X6651" s="7"/>
      <c r="AG6651" s="7"/>
      <c r="AP6651" s="7"/>
      <c r="AY6651" s="7"/>
      <c r="BH6651" s="7"/>
      <c r="BQ6651" s="7"/>
      <c r="BZ6651" s="7"/>
    </row>
    <row r="6652" spans="2:78">
      <c r="B6652" s="7"/>
      <c r="O6652" s="7"/>
      <c r="X6652" s="7"/>
      <c r="AG6652" s="7"/>
      <c r="AP6652" s="7"/>
      <c r="AY6652" s="7"/>
      <c r="BH6652" s="7"/>
      <c r="BQ6652" s="7"/>
      <c r="BZ6652" s="7"/>
    </row>
    <row r="6653" spans="2:78">
      <c r="B6653" s="7"/>
      <c r="O6653" s="7"/>
      <c r="X6653" s="7"/>
      <c r="AG6653" s="7"/>
      <c r="AP6653" s="7"/>
      <c r="AY6653" s="7"/>
      <c r="BH6653" s="7"/>
      <c r="BQ6653" s="7"/>
      <c r="BZ6653" s="7"/>
    </row>
    <row r="6654" spans="2:78">
      <c r="B6654" s="7"/>
      <c r="O6654" s="7"/>
      <c r="X6654" s="7"/>
      <c r="AG6654" s="7"/>
      <c r="AP6654" s="7"/>
      <c r="AY6654" s="7"/>
      <c r="BH6654" s="7"/>
      <c r="BQ6654" s="7"/>
      <c r="BZ6654" s="7"/>
    </row>
    <row r="6655" spans="2:78">
      <c r="B6655" s="7"/>
      <c r="O6655" s="7"/>
      <c r="X6655" s="7"/>
      <c r="AG6655" s="7"/>
      <c r="AP6655" s="7"/>
      <c r="AY6655" s="7"/>
      <c r="BH6655" s="7"/>
      <c r="BQ6655" s="7"/>
      <c r="BZ6655" s="7"/>
    </row>
    <row r="6656" spans="2:78">
      <c r="B6656" s="7"/>
      <c r="O6656" s="7"/>
      <c r="X6656" s="7"/>
      <c r="AG6656" s="7"/>
      <c r="AP6656" s="7"/>
      <c r="AY6656" s="7"/>
      <c r="BH6656" s="7"/>
      <c r="BQ6656" s="7"/>
      <c r="BZ6656" s="7"/>
    </row>
    <row r="6657" spans="2:78">
      <c r="B6657" s="7"/>
      <c r="O6657" s="7"/>
      <c r="X6657" s="7"/>
      <c r="AG6657" s="7"/>
      <c r="AP6657" s="7"/>
      <c r="AY6657" s="7"/>
      <c r="BH6657" s="7"/>
      <c r="BQ6657" s="7"/>
      <c r="BZ6657" s="7"/>
    </row>
    <row r="6658" spans="2:78">
      <c r="B6658" s="7"/>
      <c r="O6658" s="7"/>
      <c r="X6658" s="7"/>
      <c r="AG6658" s="7"/>
      <c r="AP6658" s="7"/>
      <c r="AY6658" s="7"/>
      <c r="BH6658" s="7"/>
      <c r="BQ6658" s="7"/>
      <c r="BZ6658" s="7"/>
    </row>
    <row r="6659" spans="2:78">
      <c r="B6659" s="7"/>
      <c r="O6659" s="7"/>
      <c r="X6659" s="7"/>
      <c r="AG6659" s="7"/>
      <c r="AP6659" s="7"/>
      <c r="AY6659" s="7"/>
      <c r="BH6659" s="7"/>
      <c r="BQ6659" s="7"/>
      <c r="BZ6659" s="7"/>
    </row>
    <row r="6660" spans="2:78">
      <c r="B6660" s="7"/>
      <c r="O6660" s="7"/>
      <c r="X6660" s="7"/>
      <c r="AG6660" s="7"/>
      <c r="AP6660" s="7"/>
      <c r="AY6660" s="7"/>
      <c r="BH6660" s="7"/>
      <c r="BQ6660" s="7"/>
      <c r="BZ6660" s="7"/>
    </row>
    <row r="6661" spans="2:78">
      <c r="B6661" s="7"/>
      <c r="O6661" s="7"/>
      <c r="X6661" s="7"/>
      <c r="AG6661" s="7"/>
      <c r="AP6661" s="7"/>
      <c r="AY6661" s="7"/>
      <c r="BH6661" s="7"/>
      <c r="BQ6661" s="7"/>
      <c r="BZ6661" s="7"/>
    </row>
    <row r="6662" spans="2:78">
      <c r="B6662" s="7"/>
      <c r="O6662" s="7"/>
      <c r="X6662" s="7"/>
      <c r="AG6662" s="7"/>
      <c r="AP6662" s="7"/>
      <c r="AY6662" s="7"/>
      <c r="BH6662" s="7"/>
      <c r="BQ6662" s="7"/>
      <c r="BZ6662" s="7"/>
    </row>
    <row r="6663" spans="2:78">
      <c r="B6663" s="7"/>
      <c r="O6663" s="7"/>
      <c r="X6663" s="7"/>
      <c r="AG6663" s="7"/>
      <c r="AP6663" s="7"/>
      <c r="AY6663" s="7"/>
      <c r="BH6663" s="7"/>
      <c r="BQ6663" s="7"/>
      <c r="BZ6663" s="7"/>
    </row>
    <row r="6664" spans="2:78">
      <c r="B6664" s="7"/>
      <c r="O6664" s="7"/>
      <c r="X6664" s="7"/>
      <c r="AG6664" s="7"/>
      <c r="AP6664" s="7"/>
      <c r="AY6664" s="7"/>
      <c r="BH6664" s="7"/>
      <c r="BQ6664" s="7"/>
      <c r="BZ6664" s="7"/>
    </row>
    <row r="6665" spans="2:78">
      <c r="B6665" s="7"/>
      <c r="O6665" s="7"/>
      <c r="X6665" s="7"/>
      <c r="AG6665" s="7"/>
      <c r="AP6665" s="7"/>
      <c r="AY6665" s="7"/>
      <c r="BH6665" s="7"/>
      <c r="BQ6665" s="7"/>
      <c r="BZ6665" s="7"/>
    </row>
    <row r="6666" spans="2:78">
      <c r="B6666" s="7"/>
      <c r="O6666" s="7"/>
      <c r="X6666" s="7"/>
      <c r="AG6666" s="7"/>
      <c r="AP6666" s="7"/>
      <c r="AY6666" s="7"/>
      <c r="BH6666" s="7"/>
      <c r="BQ6666" s="7"/>
      <c r="BZ6666" s="7"/>
    </row>
    <row r="6667" spans="2:78">
      <c r="B6667" s="7"/>
      <c r="O6667" s="7"/>
      <c r="X6667" s="7"/>
      <c r="AG6667" s="7"/>
      <c r="AP6667" s="7"/>
      <c r="AY6667" s="7"/>
      <c r="BH6667" s="7"/>
      <c r="BQ6667" s="7"/>
      <c r="BZ6667" s="7"/>
    </row>
    <row r="6668" spans="2:78">
      <c r="B6668" s="7"/>
      <c r="O6668" s="7"/>
      <c r="X6668" s="7"/>
      <c r="AG6668" s="7"/>
      <c r="AP6668" s="7"/>
      <c r="AY6668" s="7"/>
      <c r="BH6668" s="7"/>
      <c r="BQ6668" s="7"/>
      <c r="BZ6668" s="7"/>
    </row>
    <row r="6669" spans="2:78">
      <c r="B6669" s="7"/>
      <c r="O6669" s="7"/>
      <c r="X6669" s="7"/>
      <c r="AG6669" s="7"/>
      <c r="AP6669" s="7"/>
      <c r="AY6669" s="7"/>
      <c r="BH6669" s="7"/>
      <c r="BQ6669" s="7"/>
      <c r="BZ6669" s="7"/>
    </row>
    <row r="6670" spans="2:78">
      <c r="B6670" s="7"/>
      <c r="O6670" s="7"/>
      <c r="X6670" s="7"/>
      <c r="AG6670" s="7"/>
      <c r="AP6670" s="7"/>
      <c r="AY6670" s="7"/>
      <c r="BH6670" s="7"/>
      <c r="BQ6670" s="7"/>
      <c r="BZ6670" s="7"/>
    </row>
    <row r="6671" spans="2:78">
      <c r="B6671" s="7"/>
      <c r="O6671" s="7"/>
      <c r="X6671" s="7"/>
      <c r="AG6671" s="7"/>
      <c r="AP6671" s="7"/>
      <c r="AY6671" s="7"/>
      <c r="BH6671" s="7"/>
      <c r="BQ6671" s="7"/>
      <c r="BZ6671" s="7"/>
    </row>
    <row r="6672" spans="2:78">
      <c r="B6672" s="7"/>
      <c r="O6672" s="7"/>
      <c r="X6672" s="7"/>
      <c r="AG6672" s="7"/>
      <c r="AP6672" s="7"/>
      <c r="AY6672" s="7"/>
      <c r="BH6672" s="7"/>
      <c r="BQ6672" s="7"/>
      <c r="BZ6672" s="7"/>
    </row>
    <row r="6673" spans="2:78">
      <c r="B6673" s="7"/>
      <c r="O6673" s="7"/>
      <c r="X6673" s="7"/>
      <c r="AG6673" s="7"/>
      <c r="AP6673" s="7"/>
      <c r="AY6673" s="7"/>
      <c r="BH6673" s="7"/>
      <c r="BQ6673" s="7"/>
      <c r="BZ6673" s="7"/>
    </row>
    <row r="6674" spans="2:78">
      <c r="B6674" s="7"/>
      <c r="O6674" s="7"/>
      <c r="X6674" s="7"/>
      <c r="AG6674" s="7"/>
      <c r="AP6674" s="7"/>
      <c r="AY6674" s="7"/>
      <c r="BH6674" s="7"/>
      <c r="BQ6674" s="7"/>
      <c r="BZ6674" s="7"/>
    </row>
    <row r="6675" spans="2:78">
      <c r="B6675" s="7"/>
      <c r="O6675" s="7"/>
      <c r="X6675" s="7"/>
      <c r="AG6675" s="7"/>
      <c r="AP6675" s="7"/>
      <c r="AY6675" s="7"/>
      <c r="BH6675" s="7"/>
      <c r="BQ6675" s="7"/>
      <c r="BZ6675" s="7"/>
    </row>
    <row r="6676" spans="2:78">
      <c r="B6676" s="7"/>
      <c r="O6676" s="7"/>
      <c r="X6676" s="7"/>
      <c r="AG6676" s="7"/>
      <c r="AP6676" s="7"/>
      <c r="AY6676" s="7"/>
      <c r="BH6676" s="7"/>
      <c r="BQ6676" s="7"/>
      <c r="BZ6676" s="7"/>
    </row>
    <row r="6677" spans="2:78">
      <c r="B6677" s="7"/>
      <c r="O6677" s="7"/>
      <c r="X6677" s="7"/>
      <c r="AG6677" s="7"/>
      <c r="AP6677" s="7"/>
      <c r="AY6677" s="7"/>
      <c r="BH6677" s="7"/>
      <c r="BQ6677" s="7"/>
      <c r="BZ6677" s="7"/>
    </row>
    <row r="6678" spans="2:78">
      <c r="B6678" s="7"/>
      <c r="O6678" s="7"/>
      <c r="X6678" s="7"/>
      <c r="AG6678" s="7"/>
      <c r="AP6678" s="7"/>
      <c r="AY6678" s="7"/>
      <c r="BH6678" s="7"/>
      <c r="BQ6678" s="7"/>
      <c r="BZ6678" s="7"/>
    </row>
    <row r="6679" spans="2:78">
      <c r="B6679" s="7"/>
      <c r="O6679" s="7"/>
      <c r="X6679" s="7"/>
      <c r="AG6679" s="7"/>
      <c r="AP6679" s="7"/>
      <c r="AY6679" s="7"/>
      <c r="BH6679" s="7"/>
      <c r="BQ6679" s="7"/>
      <c r="BZ6679" s="7"/>
    </row>
    <row r="6680" spans="2:78">
      <c r="B6680" s="7"/>
      <c r="O6680" s="7"/>
      <c r="X6680" s="7"/>
      <c r="AG6680" s="7"/>
      <c r="AP6680" s="7"/>
      <c r="AY6680" s="7"/>
      <c r="BH6680" s="7"/>
      <c r="BQ6680" s="7"/>
      <c r="BZ6680" s="7"/>
    </row>
    <row r="6681" spans="2:78">
      <c r="B6681" s="7"/>
      <c r="O6681" s="7"/>
      <c r="X6681" s="7"/>
      <c r="AG6681" s="7"/>
      <c r="AP6681" s="7"/>
      <c r="AY6681" s="7"/>
      <c r="BH6681" s="7"/>
      <c r="BQ6681" s="7"/>
      <c r="BZ6681" s="7"/>
    </row>
    <row r="6682" spans="2:78">
      <c r="B6682" s="7"/>
      <c r="O6682" s="7"/>
      <c r="X6682" s="7"/>
      <c r="AG6682" s="7"/>
      <c r="AP6682" s="7"/>
      <c r="AY6682" s="7"/>
      <c r="BH6682" s="7"/>
      <c r="BQ6682" s="7"/>
      <c r="BZ6682" s="7"/>
    </row>
    <row r="6683" spans="2:78">
      <c r="B6683" s="7"/>
      <c r="O6683" s="7"/>
      <c r="X6683" s="7"/>
      <c r="AG6683" s="7"/>
      <c r="AP6683" s="7"/>
      <c r="AY6683" s="7"/>
      <c r="BH6683" s="7"/>
      <c r="BQ6683" s="7"/>
      <c r="BZ6683" s="7"/>
    </row>
    <row r="6684" spans="2:78">
      <c r="B6684" s="7"/>
      <c r="O6684" s="7"/>
      <c r="X6684" s="7"/>
      <c r="AG6684" s="7"/>
      <c r="AP6684" s="7"/>
      <c r="AY6684" s="7"/>
      <c r="BH6684" s="7"/>
      <c r="BQ6684" s="7"/>
      <c r="BZ6684" s="7"/>
    </row>
    <row r="6685" spans="2:78">
      <c r="B6685" s="7"/>
      <c r="O6685" s="7"/>
      <c r="X6685" s="7"/>
      <c r="AG6685" s="7"/>
      <c r="AP6685" s="7"/>
      <c r="AY6685" s="7"/>
      <c r="BH6685" s="7"/>
      <c r="BQ6685" s="7"/>
      <c r="BZ6685" s="7"/>
    </row>
    <row r="6686" spans="2:78">
      <c r="B6686" s="7"/>
      <c r="O6686" s="7"/>
      <c r="X6686" s="7"/>
      <c r="AG6686" s="7"/>
      <c r="AP6686" s="7"/>
      <c r="AY6686" s="7"/>
      <c r="BH6686" s="7"/>
      <c r="BQ6686" s="7"/>
      <c r="BZ6686" s="7"/>
    </row>
    <row r="6687" spans="2:78">
      <c r="B6687" s="7"/>
      <c r="O6687" s="7"/>
      <c r="X6687" s="7"/>
      <c r="AG6687" s="7"/>
      <c r="AP6687" s="7"/>
      <c r="AY6687" s="7"/>
      <c r="BH6687" s="7"/>
      <c r="BQ6687" s="7"/>
      <c r="BZ6687" s="7"/>
    </row>
    <row r="6688" spans="2:78">
      <c r="B6688" s="7"/>
      <c r="O6688" s="7"/>
      <c r="X6688" s="7"/>
      <c r="AG6688" s="7"/>
      <c r="AP6688" s="7"/>
      <c r="AY6688" s="7"/>
      <c r="BH6688" s="7"/>
      <c r="BQ6688" s="7"/>
      <c r="BZ6688" s="7"/>
    </row>
    <row r="6689" spans="2:78">
      <c r="B6689" s="7"/>
      <c r="O6689" s="7"/>
      <c r="X6689" s="7"/>
      <c r="AG6689" s="7"/>
      <c r="AP6689" s="7"/>
      <c r="AY6689" s="7"/>
      <c r="BH6689" s="7"/>
      <c r="BQ6689" s="7"/>
      <c r="BZ6689" s="7"/>
    </row>
    <row r="6690" spans="2:78">
      <c r="B6690" s="7"/>
      <c r="O6690" s="7"/>
      <c r="X6690" s="7"/>
      <c r="AG6690" s="7"/>
      <c r="AP6690" s="7"/>
      <c r="AY6690" s="7"/>
      <c r="BH6690" s="7"/>
      <c r="BQ6690" s="7"/>
      <c r="BZ6690" s="7"/>
    </row>
    <row r="6691" spans="2:78">
      <c r="B6691" s="7"/>
      <c r="O6691" s="7"/>
      <c r="X6691" s="7"/>
      <c r="AG6691" s="7"/>
      <c r="AP6691" s="7"/>
      <c r="AY6691" s="7"/>
      <c r="BH6691" s="7"/>
      <c r="BQ6691" s="7"/>
      <c r="BZ6691" s="7"/>
    </row>
    <row r="6692" spans="2:78">
      <c r="B6692" s="7"/>
      <c r="O6692" s="7"/>
      <c r="X6692" s="7"/>
      <c r="AG6692" s="7"/>
      <c r="AP6692" s="7"/>
      <c r="AY6692" s="7"/>
      <c r="BH6692" s="7"/>
      <c r="BQ6692" s="7"/>
      <c r="BZ6692" s="7"/>
    </row>
    <row r="6693" spans="2:78">
      <c r="B6693" s="7"/>
      <c r="O6693" s="7"/>
      <c r="X6693" s="7"/>
      <c r="AG6693" s="7"/>
      <c r="AP6693" s="7"/>
      <c r="AY6693" s="7"/>
      <c r="BH6693" s="7"/>
      <c r="BQ6693" s="7"/>
      <c r="BZ6693" s="7"/>
    </row>
    <row r="6694" spans="2:78">
      <c r="B6694" s="7"/>
      <c r="O6694" s="7"/>
      <c r="X6694" s="7"/>
      <c r="AG6694" s="7"/>
      <c r="AP6694" s="7"/>
      <c r="AY6694" s="7"/>
      <c r="BH6694" s="7"/>
      <c r="BQ6694" s="7"/>
      <c r="BZ6694" s="7"/>
    </row>
    <row r="6695" spans="2:78">
      <c r="B6695" s="7"/>
      <c r="O6695" s="7"/>
      <c r="X6695" s="7"/>
      <c r="AG6695" s="7"/>
      <c r="AP6695" s="7"/>
      <c r="AY6695" s="7"/>
      <c r="BH6695" s="7"/>
      <c r="BQ6695" s="7"/>
      <c r="BZ6695" s="7"/>
    </row>
    <row r="6696" spans="2:78">
      <c r="B6696" s="7"/>
      <c r="O6696" s="7"/>
      <c r="X6696" s="7"/>
      <c r="AG6696" s="7"/>
      <c r="AP6696" s="7"/>
      <c r="AY6696" s="7"/>
      <c r="BH6696" s="7"/>
      <c r="BQ6696" s="7"/>
      <c r="BZ6696" s="7"/>
    </row>
    <row r="6697" spans="2:78">
      <c r="B6697" s="7"/>
      <c r="O6697" s="7"/>
      <c r="X6697" s="7"/>
      <c r="AG6697" s="7"/>
      <c r="AP6697" s="7"/>
      <c r="AY6697" s="7"/>
      <c r="BH6697" s="7"/>
      <c r="BQ6697" s="7"/>
      <c r="BZ6697" s="7"/>
    </row>
    <row r="6698" spans="2:78">
      <c r="B6698" s="7"/>
      <c r="O6698" s="7"/>
      <c r="X6698" s="7"/>
      <c r="AG6698" s="7"/>
      <c r="AP6698" s="7"/>
      <c r="AY6698" s="7"/>
      <c r="BH6698" s="7"/>
      <c r="BQ6698" s="7"/>
      <c r="BZ6698" s="7"/>
    </row>
    <row r="6699" spans="2:78">
      <c r="B6699" s="7"/>
      <c r="O6699" s="7"/>
      <c r="X6699" s="7"/>
      <c r="AG6699" s="7"/>
      <c r="AP6699" s="7"/>
      <c r="AY6699" s="7"/>
      <c r="BH6699" s="7"/>
      <c r="BQ6699" s="7"/>
      <c r="BZ6699" s="7"/>
    </row>
    <row r="6700" spans="2:78">
      <c r="B6700" s="7"/>
      <c r="O6700" s="7"/>
      <c r="X6700" s="7"/>
      <c r="AG6700" s="7"/>
      <c r="AP6700" s="7"/>
      <c r="AY6700" s="7"/>
      <c r="BH6700" s="7"/>
      <c r="BQ6700" s="7"/>
      <c r="BZ6700" s="7"/>
    </row>
    <row r="6701" spans="2:78">
      <c r="B6701" s="7"/>
      <c r="O6701" s="7"/>
      <c r="X6701" s="7"/>
      <c r="AG6701" s="7"/>
      <c r="AP6701" s="7"/>
      <c r="AY6701" s="7"/>
      <c r="BH6701" s="7"/>
      <c r="BQ6701" s="7"/>
      <c r="BZ6701" s="7"/>
    </row>
    <row r="6702" spans="2:78">
      <c r="B6702" s="7"/>
      <c r="O6702" s="7"/>
      <c r="X6702" s="7"/>
      <c r="AG6702" s="7"/>
      <c r="AP6702" s="7"/>
      <c r="AY6702" s="7"/>
      <c r="BH6702" s="7"/>
      <c r="BQ6702" s="7"/>
      <c r="BZ6702" s="7"/>
    </row>
    <row r="6703" spans="2:78">
      <c r="B6703" s="7"/>
      <c r="O6703" s="7"/>
      <c r="X6703" s="7"/>
      <c r="AG6703" s="7"/>
      <c r="AP6703" s="7"/>
      <c r="AY6703" s="7"/>
      <c r="BH6703" s="7"/>
      <c r="BQ6703" s="7"/>
      <c r="BZ6703" s="7"/>
    </row>
    <row r="6704" spans="2:78">
      <c r="B6704" s="7"/>
      <c r="O6704" s="7"/>
      <c r="X6704" s="7"/>
      <c r="AG6704" s="7"/>
      <c r="AP6704" s="7"/>
      <c r="AY6704" s="7"/>
      <c r="BH6704" s="7"/>
      <c r="BQ6704" s="7"/>
      <c r="BZ6704" s="7"/>
    </row>
    <row r="6705" spans="2:78">
      <c r="B6705" s="7"/>
      <c r="O6705" s="7"/>
      <c r="X6705" s="7"/>
      <c r="AG6705" s="7"/>
      <c r="AP6705" s="7"/>
      <c r="AY6705" s="7"/>
      <c r="BH6705" s="7"/>
      <c r="BQ6705" s="7"/>
      <c r="BZ6705" s="7"/>
    </row>
    <row r="6706" spans="2:78">
      <c r="B6706" s="7"/>
      <c r="O6706" s="7"/>
      <c r="X6706" s="7"/>
      <c r="AG6706" s="7"/>
      <c r="AP6706" s="7"/>
      <c r="AY6706" s="7"/>
      <c r="BH6706" s="7"/>
      <c r="BQ6706" s="7"/>
      <c r="BZ6706" s="7"/>
    </row>
    <row r="6707" spans="2:78">
      <c r="B6707" s="7"/>
      <c r="O6707" s="7"/>
      <c r="X6707" s="7"/>
      <c r="AG6707" s="7"/>
      <c r="AP6707" s="7"/>
      <c r="AY6707" s="7"/>
      <c r="BH6707" s="7"/>
      <c r="BQ6707" s="7"/>
      <c r="BZ6707" s="7"/>
    </row>
    <row r="6708" spans="2:78">
      <c r="B6708" s="7"/>
      <c r="O6708" s="7"/>
      <c r="X6708" s="7"/>
      <c r="AG6708" s="7"/>
      <c r="AP6708" s="7"/>
      <c r="AY6708" s="7"/>
      <c r="BH6708" s="7"/>
      <c r="BQ6708" s="7"/>
      <c r="BZ6708" s="7"/>
    </row>
    <row r="6709" spans="2:78">
      <c r="B6709" s="7"/>
      <c r="O6709" s="7"/>
      <c r="X6709" s="7"/>
      <c r="AG6709" s="7"/>
      <c r="AP6709" s="7"/>
      <c r="AY6709" s="7"/>
      <c r="BH6709" s="7"/>
      <c r="BQ6709" s="7"/>
      <c r="BZ6709" s="7"/>
    </row>
    <row r="6710" spans="2:78">
      <c r="B6710" s="7"/>
      <c r="O6710" s="7"/>
      <c r="X6710" s="7"/>
      <c r="AG6710" s="7"/>
      <c r="AP6710" s="7"/>
      <c r="AY6710" s="7"/>
      <c r="BH6710" s="7"/>
      <c r="BQ6710" s="7"/>
      <c r="BZ6710" s="7"/>
    </row>
    <row r="6711" spans="2:78">
      <c r="B6711" s="7"/>
      <c r="O6711" s="7"/>
      <c r="X6711" s="7"/>
      <c r="AG6711" s="7"/>
      <c r="AP6711" s="7"/>
      <c r="AY6711" s="7"/>
      <c r="BH6711" s="7"/>
      <c r="BQ6711" s="7"/>
      <c r="BZ6711" s="7"/>
    </row>
    <row r="6712" spans="2:78">
      <c r="B6712" s="7"/>
      <c r="O6712" s="7"/>
      <c r="X6712" s="7"/>
      <c r="AG6712" s="7"/>
      <c r="AP6712" s="7"/>
      <c r="AY6712" s="7"/>
      <c r="BH6712" s="7"/>
      <c r="BQ6712" s="7"/>
      <c r="BZ6712" s="7"/>
    </row>
    <row r="6713" spans="2:78">
      <c r="B6713" s="7"/>
      <c r="O6713" s="7"/>
      <c r="X6713" s="7"/>
      <c r="AG6713" s="7"/>
      <c r="AP6713" s="7"/>
      <c r="AY6713" s="7"/>
      <c r="BH6713" s="7"/>
      <c r="BQ6713" s="7"/>
      <c r="BZ6713" s="7"/>
    </row>
    <row r="6714" spans="2:78">
      <c r="B6714" s="7"/>
      <c r="O6714" s="7"/>
      <c r="X6714" s="7"/>
      <c r="AG6714" s="7"/>
      <c r="AP6714" s="7"/>
      <c r="AY6714" s="7"/>
      <c r="BH6714" s="7"/>
      <c r="BQ6714" s="7"/>
      <c r="BZ6714" s="7"/>
    </row>
    <row r="6715" spans="2:78">
      <c r="B6715" s="7"/>
      <c r="O6715" s="7"/>
      <c r="X6715" s="7"/>
      <c r="AG6715" s="7"/>
      <c r="AP6715" s="7"/>
      <c r="AY6715" s="7"/>
      <c r="BH6715" s="7"/>
      <c r="BQ6715" s="7"/>
      <c r="BZ6715" s="7"/>
    </row>
    <row r="6716" spans="2:78">
      <c r="B6716" s="7"/>
      <c r="O6716" s="7"/>
      <c r="X6716" s="7"/>
      <c r="AG6716" s="7"/>
      <c r="AP6716" s="7"/>
      <c r="AY6716" s="7"/>
      <c r="BH6716" s="7"/>
      <c r="BQ6716" s="7"/>
      <c r="BZ6716" s="7"/>
    </row>
    <row r="6717" spans="2:78">
      <c r="B6717" s="7"/>
      <c r="O6717" s="7"/>
      <c r="X6717" s="7"/>
      <c r="AG6717" s="7"/>
      <c r="AP6717" s="7"/>
      <c r="AY6717" s="7"/>
      <c r="BH6717" s="7"/>
      <c r="BQ6717" s="7"/>
      <c r="BZ6717" s="7"/>
    </row>
    <row r="6718" spans="2:78">
      <c r="B6718" s="7"/>
      <c r="O6718" s="7"/>
      <c r="X6718" s="7"/>
      <c r="AG6718" s="7"/>
      <c r="AP6718" s="7"/>
      <c r="AY6718" s="7"/>
      <c r="BH6718" s="7"/>
      <c r="BQ6718" s="7"/>
      <c r="BZ6718" s="7"/>
    </row>
    <row r="6719" spans="2:78">
      <c r="B6719" s="7"/>
      <c r="O6719" s="7"/>
      <c r="X6719" s="7"/>
      <c r="AG6719" s="7"/>
      <c r="AP6719" s="7"/>
      <c r="AY6719" s="7"/>
      <c r="BH6719" s="7"/>
      <c r="BQ6719" s="7"/>
      <c r="BZ6719" s="7"/>
    </row>
    <row r="6720" spans="2:78">
      <c r="B6720" s="7"/>
      <c r="O6720" s="7"/>
      <c r="X6720" s="7"/>
      <c r="AG6720" s="7"/>
      <c r="AP6720" s="7"/>
      <c r="AY6720" s="7"/>
      <c r="BH6720" s="7"/>
      <c r="BQ6720" s="7"/>
      <c r="BZ6720" s="7"/>
    </row>
    <row r="6721" spans="2:78">
      <c r="B6721" s="7"/>
      <c r="O6721" s="7"/>
      <c r="X6721" s="7"/>
      <c r="AG6721" s="7"/>
      <c r="AP6721" s="7"/>
      <c r="AY6721" s="7"/>
      <c r="BH6721" s="7"/>
      <c r="BQ6721" s="7"/>
      <c r="BZ6721" s="7"/>
    </row>
    <row r="6722" spans="2:78">
      <c r="B6722" s="7"/>
      <c r="O6722" s="7"/>
      <c r="X6722" s="7"/>
      <c r="AG6722" s="7"/>
      <c r="AP6722" s="7"/>
      <c r="AY6722" s="7"/>
      <c r="BH6722" s="7"/>
      <c r="BQ6722" s="7"/>
      <c r="BZ6722" s="7"/>
    </row>
    <row r="6723" spans="2:78">
      <c r="B6723" s="7"/>
      <c r="O6723" s="7"/>
      <c r="X6723" s="7"/>
      <c r="AG6723" s="7"/>
      <c r="AP6723" s="7"/>
      <c r="AY6723" s="7"/>
      <c r="BH6723" s="7"/>
      <c r="BQ6723" s="7"/>
      <c r="BZ6723" s="7"/>
    </row>
    <row r="6724" spans="2:78">
      <c r="B6724" s="7"/>
      <c r="O6724" s="7"/>
      <c r="X6724" s="7"/>
      <c r="AG6724" s="7"/>
      <c r="AP6724" s="7"/>
      <c r="AY6724" s="7"/>
      <c r="BH6724" s="7"/>
      <c r="BQ6724" s="7"/>
      <c r="BZ6724" s="7"/>
    </row>
    <row r="6725" spans="2:78">
      <c r="B6725" s="7"/>
      <c r="O6725" s="7"/>
      <c r="X6725" s="7"/>
      <c r="AG6725" s="7"/>
      <c r="AP6725" s="7"/>
      <c r="AY6725" s="7"/>
      <c r="BH6725" s="7"/>
      <c r="BQ6725" s="7"/>
      <c r="BZ6725" s="7"/>
    </row>
    <row r="6726" spans="2:78">
      <c r="B6726" s="7"/>
      <c r="O6726" s="7"/>
      <c r="X6726" s="7"/>
      <c r="AG6726" s="7"/>
      <c r="AP6726" s="7"/>
      <c r="AY6726" s="7"/>
      <c r="BH6726" s="7"/>
      <c r="BQ6726" s="7"/>
      <c r="BZ6726" s="7"/>
    </row>
    <row r="6727" spans="2:78">
      <c r="B6727" s="7"/>
      <c r="O6727" s="7"/>
      <c r="X6727" s="7"/>
      <c r="AG6727" s="7"/>
      <c r="AP6727" s="7"/>
      <c r="AY6727" s="7"/>
      <c r="BH6727" s="7"/>
      <c r="BQ6727" s="7"/>
      <c r="BZ6727" s="7"/>
    </row>
    <row r="6728" spans="2:78">
      <c r="B6728" s="7"/>
      <c r="O6728" s="7"/>
      <c r="X6728" s="7"/>
      <c r="AG6728" s="7"/>
      <c r="AP6728" s="7"/>
      <c r="AY6728" s="7"/>
      <c r="BH6728" s="7"/>
      <c r="BQ6728" s="7"/>
      <c r="BZ6728" s="7"/>
    </row>
    <row r="6729" spans="2:78">
      <c r="B6729" s="7"/>
      <c r="O6729" s="7"/>
      <c r="X6729" s="7"/>
      <c r="AG6729" s="7"/>
      <c r="AP6729" s="7"/>
      <c r="AY6729" s="7"/>
      <c r="BH6729" s="7"/>
      <c r="BQ6729" s="7"/>
      <c r="BZ6729" s="7"/>
    </row>
    <row r="6730" spans="2:78">
      <c r="B6730" s="7"/>
      <c r="O6730" s="7"/>
      <c r="X6730" s="7"/>
      <c r="AG6730" s="7"/>
      <c r="AP6730" s="7"/>
      <c r="AY6730" s="7"/>
      <c r="BH6730" s="7"/>
      <c r="BQ6730" s="7"/>
      <c r="BZ6730" s="7"/>
    </row>
    <row r="6731" spans="2:78">
      <c r="B6731" s="7"/>
      <c r="O6731" s="7"/>
      <c r="X6731" s="7"/>
      <c r="AG6731" s="7"/>
      <c r="AP6731" s="7"/>
      <c r="AY6731" s="7"/>
      <c r="BH6731" s="7"/>
      <c r="BQ6731" s="7"/>
      <c r="BZ6731" s="7"/>
    </row>
    <row r="6732" spans="2:78">
      <c r="B6732" s="7"/>
      <c r="O6732" s="7"/>
      <c r="X6732" s="7"/>
      <c r="AG6732" s="7"/>
      <c r="AP6732" s="7"/>
      <c r="AY6732" s="7"/>
      <c r="BH6732" s="7"/>
      <c r="BQ6732" s="7"/>
      <c r="BZ6732" s="7"/>
    </row>
    <row r="6733" spans="2:78">
      <c r="B6733" s="7"/>
      <c r="O6733" s="7"/>
      <c r="X6733" s="7"/>
      <c r="AG6733" s="7"/>
      <c r="AP6733" s="7"/>
      <c r="AY6733" s="7"/>
      <c r="BH6733" s="7"/>
      <c r="BQ6733" s="7"/>
      <c r="BZ6733" s="7"/>
    </row>
    <row r="6734" spans="2:78">
      <c r="B6734" s="7"/>
      <c r="O6734" s="7"/>
      <c r="X6734" s="7"/>
      <c r="AG6734" s="7"/>
      <c r="AP6734" s="7"/>
      <c r="AY6734" s="7"/>
      <c r="BH6734" s="7"/>
      <c r="BQ6734" s="7"/>
      <c r="BZ6734" s="7"/>
    </row>
    <row r="6735" spans="2:78">
      <c r="B6735" s="7"/>
      <c r="O6735" s="7"/>
      <c r="X6735" s="7"/>
      <c r="AG6735" s="7"/>
      <c r="AP6735" s="7"/>
      <c r="AY6735" s="7"/>
      <c r="BH6735" s="7"/>
      <c r="BQ6735" s="7"/>
      <c r="BZ6735" s="7"/>
    </row>
    <row r="6736" spans="2:78">
      <c r="B6736" s="7"/>
      <c r="O6736" s="7"/>
      <c r="X6736" s="7"/>
      <c r="AG6736" s="7"/>
      <c r="AP6736" s="7"/>
      <c r="AY6736" s="7"/>
      <c r="BH6736" s="7"/>
      <c r="BQ6736" s="7"/>
      <c r="BZ6736" s="7"/>
    </row>
    <row r="6737" spans="2:78">
      <c r="B6737" s="7"/>
      <c r="O6737" s="7"/>
      <c r="X6737" s="7"/>
      <c r="AG6737" s="7"/>
      <c r="AP6737" s="7"/>
      <c r="AY6737" s="7"/>
      <c r="BH6737" s="7"/>
      <c r="BQ6737" s="7"/>
      <c r="BZ6737" s="7"/>
    </row>
    <row r="6738" spans="2:78">
      <c r="B6738" s="7"/>
      <c r="O6738" s="7"/>
      <c r="X6738" s="7"/>
      <c r="AG6738" s="7"/>
      <c r="AP6738" s="7"/>
      <c r="AY6738" s="7"/>
      <c r="BH6738" s="7"/>
      <c r="BQ6738" s="7"/>
      <c r="BZ6738" s="7"/>
    </row>
    <row r="6739" spans="2:78">
      <c r="B6739" s="7"/>
      <c r="O6739" s="7"/>
      <c r="X6739" s="7"/>
      <c r="AG6739" s="7"/>
      <c r="AP6739" s="7"/>
      <c r="AY6739" s="7"/>
      <c r="BH6739" s="7"/>
      <c r="BQ6739" s="7"/>
      <c r="BZ6739" s="7"/>
    </row>
    <row r="6740" spans="2:78">
      <c r="B6740" s="7"/>
      <c r="O6740" s="7"/>
      <c r="X6740" s="7"/>
      <c r="AG6740" s="7"/>
      <c r="AP6740" s="7"/>
      <c r="AY6740" s="7"/>
      <c r="BH6740" s="7"/>
      <c r="BQ6740" s="7"/>
      <c r="BZ6740" s="7"/>
    </row>
    <row r="6741" spans="2:78">
      <c r="B6741" s="7"/>
      <c r="O6741" s="7"/>
      <c r="X6741" s="7"/>
      <c r="AG6741" s="7"/>
      <c r="AP6741" s="7"/>
      <c r="AY6741" s="7"/>
      <c r="BH6741" s="7"/>
      <c r="BQ6741" s="7"/>
      <c r="BZ6741" s="7"/>
    </row>
    <row r="6742" spans="2:78">
      <c r="B6742" s="7"/>
      <c r="O6742" s="7"/>
      <c r="X6742" s="7"/>
      <c r="AG6742" s="7"/>
      <c r="AP6742" s="7"/>
      <c r="AY6742" s="7"/>
      <c r="BH6742" s="7"/>
      <c r="BQ6742" s="7"/>
      <c r="BZ6742" s="7"/>
    </row>
    <row r="6743" spans="2:78">
      <c r="B6743" s="7"/>
      <c r="O6743" s="7"/>
      <c r="X6743" s="7"/>
      <c r="AG6743" s="7"/>
      <c r="AP6743" s="7"/>
      <c r="AY6743" s="7"/>
      <c r="BH6743" s="7"/>
      <c r="BQ6743" s="7"/>
      <c r="BZ6743" s="7"/>
    </row>
    <row r="6744" spans="2:78">
      <c r="B6744" s="7"/>
      <c r="O6744" s="7"/>
      <c r="X6744" s="7"/>
      <c r="AG6744" s="7"/>
      <c r="AP6744" s="7"/>
      <c r="AY6744" s="7"/>
      <c r="BH6744" s="7"/>
      <c r="BQ6744" s="7"/>
      <c r="BZ6744" s="7"/>
    </row>
    <row r="6745" spans="2:78">
      <c r="B6745" s="7"/>
      <c r="O6745" s="7"/>
      <c r="X6745" s="7"/>
      <c r="AG6745" s="7"/>
      <c r="AP6745" s="7"/>
      <c r="AY6745" s="7"/>
      <c r="BH6745" s="7"/>
      <c r="BQ6745" s="7"/>
      <c r="BZ6745" s="7"/>
    </row>
    <row r="6746" spans="2:78">
      <c r="B6746" s="7"/>
      <c r="O6746" s="7"/>
      <c r="X6746" s="7"/>
      <c r="AG6746" s="7"/>
      <c r="AP6746" s="7"/>
      <c r="AY6746" s="7"/>
      <c r="BH6746" s="7"/>
      <c r="BQ6746" s="7"/>
      <c r="BZ6746" s="7"/>
    </row>
    <row r="6747" spans="2:78">
      <c r="B6747" s="7"/>
      <c r="O6747" s="7"/>
      <c r="X6747" s="7"/>
      <c r="AG6747" s="7"/>
      <c r="AP6747" s="7"/>
      <c r="AY6747" s="7"/>
      <c r="BH6747" s="7"/>
      <c r="BQ6747" s="7"/>
      <c r="BZ6747" s="7"/>
    </row>
    <row r="6748" spans="2:78">
      <c r="B6748" s="7"/>
      <c r="O6748" s="7"/>
      <c r="X6748" s="7"/>
      <c r="AG6748" s="7"/>
      <c r="AP6748" s="7"/>
      <c r="AY6748" s="7"/>
      <c r="BH6748" s="7"/>
      <c r="BQ6748" s="7"/>
      <c r="BZ6748" s="7"/>
    </row>
    <row r="6749" spans="2:78">
      <c r="B6749" s="7"/>
      <c r="O6749" s="7"/>
      <c r="X6749" s="7"/>
      <c r="AG6749" s="7"/>
      <c r="AP6749" s="7"/>
      <c r="AY6749" s="7"/>
      <c r="BH6749" s="7"/>
      <c r="BQ6749" s="7"/>
      <c r="BZ6749" s="7"/>
    </row>
    <row r="6750" spans="2:78">
      <c r="B6750" s="7"/>
      <c r="O6750" s="7"/>
      <c r="X6750" s="7"/>
      <c r="AG6750" s="7"/>
      <c r="AP6750" s="7"/>
      <c r="AY6750" s="7"/>
      <c r="BH6750" s="7"/>
      <c r="BQ6750" s="7"/>
      <c r="BZ6750" s="7"/>
    </row>
    <row r="6751" spans="2:78">
      <c r="B6751" s="7"/>
      <c r="O6751" s="7"/>
      <c r="X6751" s="7"/>
      <c r="AG6751" s="7"/>
      <c r="AP6751" s="7"/>
      <c r="AY6751" s="7"/>
      <c r="BH6751" s="7"/>
      <c r="BQ6751" s="7"/>
      <c r="BZ6751" s="7"/>
    </row>
    <row r="6752" spans="2:78">
      <c r="B6752" s="7"/>
      <c r="O6752" s="7"/>
      <c r="X6752" s="7"/>
      <c r="AG6752" s="7"/>
      <c r="AP6752" s="7"/>
      <c r="AY6752" s="7"/>
      <c r="BH6752" s="7"/>
      <c r="BQ6752" s="7"/>
      <c r="BZ6752" s="7"/>
    </row>
    <row r="6753" spans="2:78">
      <c r="B6753" s="7"/>
      <c r="O6753" s="7"/>
      <c r="X6753" s="7"/>
      <c r="AG6753" s="7"/>
      <c r="AP6753" s="7"/>
      <c r="AY6753" s="7"/>
      <c r="BH6753" s="7"/>
      <c r="BQ6753" s="7"/>
      <c r="BZ6753" s="7"/>
    </row>
    <row r="6754" spans="2:78">
      <c r="B6754" s="7"/>
      <c r="O6754" s="7"/>
      <c r="X6754" s="7"/>
      <c r="AG6754" s="7"/>
      <c r="AP6754" s="7"/>
      <c r="AY6754" s="7"/>
      <c r="BH6754" s="7"/>
      <c r="BQ6754" s="7"/>
      <c r="BZ6754" s="7"/>
    </row>
    <row r="6755" spans="2:78">
      <c r="B6755" s="7"/>
      <c r="O6755" s="7"/>
      <c r="X6755" s="7"/>
      <c r="AG6755" s="7"/>
      <c r="AP6755" s="7"/>
      <c r="AY6755" s="7"/>
      <c r="BH6755" s="7"/>
      <c r="BQ6755" s="7"/>
      <c r="BZ6755" s="7"/>
    </row>
    <row r="6756" spans="2:78">
      <c r="B6756" s="7"/>
      <c r="O6756" s="7"/>
      <c r="X6756" s="7"/>
      <c r="AG6756" s="7"/>
      <c r="AP6756" s="7"/>
      <c r="AY6756" s="7"/>
      <c r="BH6756" s="7"/>
      <c r="BQ6756" s="7"/>
      <c r="BZ6756" s="7"/>
    </row>
    <row r="6757" spans="2:78">
      <c r="B6757" s="7"/>
      <c r="O6757" s="7"/>
      <c r="X6757" s="7"/>
      <c r="AG6757" s="7"/>
      <c r="AP6757" s="7"/>
      <c r="AY6757" s="7"/>
      <c r="BH6757" s="7"/>
      <c r="BQ6757" s="7"/>
      <c r="BZ6757" s="7"/>
    </row>
    <row r="6758" spans="2:78">
      <c r="B6758" s="7"/>
      <c r="O6758" s="7"/>
      <c r="X6758" s="7"/>
      <c r="AG6758" s="7"/>
      <c r="AP6758" s="7"/>
      <c r="AY6758" s="7"/>
      <c r="BH6758" s="7"/>
      <c r="BQ6758" s="7"/>
      <c r="BZ6758" s="7"/>
    </row>
    <row r="6759" spans="2:78">
      <c r="B6759" s="7"/>
      <c r="O6759" s="7"/>
      <c r="X6759" s="7"/>
      <c r="AG6759" s="7"/>
      <c r="AP6759" s="7"/>
      <c r="AY6759" s="7"/>
      <c r="BH6759" s="7"/>
      <c r="BQ6759" s="7"/>
      <c r="BZ6759" s="7"/>
    </row>
    <row r="6760" spans="2:78">
      <c r="B6760" s="7"/>
      <c r="O6760" s="7"/>
      <c r="X6760" s="7"/>
      <c r="AG6760" s="7"/>
      <c r="AP6760" s="7"/>
      <c r="AY6760" s="7"/>
      <c r="BH6760" s="7"/>
      <c r="BQ6760" s="7"/>
      <c r="BZ6760" s="7"/>
    </row>
    <row r="6761" spans="2:78">
      <c r="B6761" s="7"/>
      <c r="O6761" s="7"/>
      <c r="X6761" s="7"/>
      <c r="AG6761" s="7"/>
      <c r="AP6761" s="7"/>
      <c r="AY6761" s="7"/>
      <c r="BH6761" s="7"/>
      <c r="BQ6761" s="7"/>
      <c r="BZ6761" s="7"/>
    </row>
    <row r="6762" spans="2:78">
      <c r="B6762" s="7"/>
      <c r="O6762" s="7"/>
      <c r="X6762" s="7"/>
      <c r="AG6762" s="7"/>
      <c r="AP6762" s="7"/>
      <c r="AY6762" s="7"/>
      <c r="BH6762" s="7"/>
      <c r="BQ6762" s="7"/>
      <c r="BZ6762" s="7"/>
    </row>
    <row r="6763" spans="2:78">
      <c r="B6763" s="7"/>
      <c r="O6763" s="7"/>
      <c r="X6763" s="7"/>
      <c r="AG6763" s="7"/>
      <c r="AP6763" s="7"/>
      <c r="AY6763" s="7"/>
      <c r="BH6763" s="7"/>
      <c r="BQ6763" s="7"/>
      <c r="BZ6763" s="7"/>
    </row>
    <row r="6764" spans="2:78">
      <c r="B6764" s="7"/>
      <c r="O6764" s="7"/>
      <c r="X6764" s="7"/>
      <c r="AG6764" s="7"/>
      <c r="AP6764" s="7"/>
      <c r="AY6764" s="7"/>
      <c r="BH6764" s="7"/>
      <c r="BQ6764" s="7"/>
      <c r="BZ6764" s="7"/>
    </row>
    <row r="6765" spans="2:78">
      <c r="B6765" s="7"/>
      <c r="O6765" s="7"/>
      <c r="X6765" s="7"/>
      <c r="AG6765" s="7"/>
      <c r="AP6765" s="7"/>
      <c r="AY6765" s="7"/>
      <c r="BH6765" s="7"/>
      <c r="BQ6765" s="7"/>
      <c r="BZ6765" s="7"/>
    </row>
    <row r="6766" spans="2:78">
      <c r="B6766" s="7"/>
      <c r="O6766" s="7"/>
      <c r="X6766" s="7"/>
      <c r="AG6766" s="7"/>
      <c r="AP6766" s="7"/>
      <c r="AY6766" s="7"/>
      <c r="BH6766" s="7"/>
      <c r="BQ6766" s="7"/>
      <c r="BZ6766" s="7"/>
    </row>
    <row r="6767" spans="2:78">
      <c r="B6767" s="7"/>
      <c r="O6767" s="7"/>
      <c r="X6767" s="7"/>
      <c r="AG6767" s="7"/>
      <c r="AP6767" s="7"/>
      <c r="AY6767" s="7"/>
      <c r="BH6767" s="7"/>
      <c r="BQ6767" s="7"/>
      <c r="BZ6767" s="7"/>
    </row>
    <row r="6768" spans="2:78">
      <c r="B6768" s="7"/>
      <c r="O6768" s="7"/>
      <c r="X6768" s="7"/>
      <c r="AG6768" s="7"/>
      <c r="AP6768" s="7"/>
      <c r="AY6768" s="7"/>
      <c r="BH6768" s="7"/>
      <c r="BQ6768" s="7"/>
      <c r="BZ6768" s="7"/>
    </row>
    <row r="6769" spans="2:78">
      <c r="B6769" s="7"/>
      <c r="O6769" s="7"/>
      <c r="X6769" s="7"/>
      <c r="AG6769" s="7"/>
      <c r="AP6769" s="7"/>
      <c r="AY6769" s="7"/>
      <c r="BH6769" s="7"/>
      <c r="BQ6769" s="7"/>
      <c r="BZ6769" s="7"/>
    </row>
    <row r="6770" spans="2:78">
      <c r="B6770" s="7"/>
      <c r="O6770" s="7"/>
      <c r="X6770" s="7"/>
      <c r="AG6770" s="7"/>
      <c r="AP6770" s="7"/>
      <c r="AY6770" s="7"/>
      <c r="BH6770" s="7"/>
      <c r="BQ6770" s="7"/>
      <c r="BZ6770" s="7"/>
    </row>
    <row r="6771" spans="2:78">
      <c r="B6771" s="7"/>
      <c r="O6771" s="7"/>
      <c r="X6771" s="7"/>
      <c r="AG6771" s="7"/>
      <c r="AP6771" s="7"/>
      <c r="AY6771" s="7"/>
      <c r="BH6771" s="7"/>
      <c r="BQ6771" s="7"/>
      <c r="BZ6771" s="7"/>
    </row>
    <row r="6772" spans="2:78">
      <c r="B6772" s="7"/>
      <c r="O6772" s="7"/>
      <c r="X6772" s="7"/>
      <c r="AG6772" s="7"/>
      <c r="AP6772" s="7"/>
      <c r="AY6772" s="7"/>
      <c r="BH6772" s="7"/>
      <c r="BQ6772" s="7"/>
      <c r="BZ6772" s="7"/>
    </row>
    <row r="6773" spans="2:78">
      <c r="B6773" s="7"/>
      <c r="O6773" s="7"/>
      <c r="X6773" s="7"/>
      <c r="AG6773" s="7"/>
      <c r="AP6773" s="7"/>
      <c r="AY6773" s="7"/>
      <c r="BH6773" s="7"/>
      <c r="BQ6773" s="7"/>
      <c r="BZ6773" s="7"/>
    </row>
    <row r="6774" spans="2:78">
      <c r="B6774" s="7"/>
      <c r="O6774" s="7"/>
      <c r="X6774" s="7"/>
      <c r="AG6774" s="7"/>
      <c r="AP6774" s="7"/>
      <c r="AY6774" s="7"/>
      <c r="BH6774" s="7"/>
      <c r="BQ6774" s="7"/>
      <c r="BZ6774" s="7"/>
    </row>
    <row r="6775" spans="2:78">
      <c r="B6775" s="7"/>
      <c r="O6775" s="7"/>
      <c r="X6775" s="7"/>
      <c r="AG6775" s="7"/>
      <c r="AP6775" s="7"/>
      <c r="AY6775" s="7"/>
      <c r="BH6775" s="7"/>
      <c r="BQ6775" s="7"/>
      <c r="BZ6775" s="7"/>
    </row>
    <row r="6776" spans="2:78">
      <c r="B6776" s="7"/>
      <c r="O6776" s="7"/>
      <c r="X6776" s="7"/>
      <c r="AG6776" s="7"/>
      <c r="AP6776" s="7"/>
      <c r="AY6776" s="7"/>
      <c r="BH6776" s="7"/>
      <c r="BQ6776" s="7"/>
      <c r="BZ6776" s="7"/>
    </row>
    <row r="6777" spans="2:78">
      <c r="B6777" s="7"/>
      <c r="O6777" s="7"/>
      <c r="X6777" s="7"/>
      <c r="AG6777" s="7"/>
      <c r="AP6777" s="7"/>
      <c r="AY6777" s="7"/>
      <c r="BH6777" s="7"/>
      <c r="BQ6777" s="7"/>
      <c r="BZ6777" s="7"/>
    </row>
    <row r="6778" spans="2:78">
      <c r="B6778" s="7"/>
      <c r="O6778" s="7"/>
      <c r="X6778" s="7"/>
      <c r="AG6778" s="7"/>
      <c r="AP6778" s="7"/>
      <c r="AY6778" s="7"/>
      <c r="BH6778" s="7"/>
      <c r="BQ6778" s="7"/>
      <c r="BZ6778" s="7"/>
    </row>
    <row r="6779" spans="2:78">
      <c r="B6779" s="7"/>
      <c r="O6779" s="7"/>
      <c r="X6779" s="7"/>
      <c r="AG6779" s="7"/>
      <c r="AP6779" s="7"/>
      <c r="AY6779" s="7"/>
      <c r="BH6779" s="7"/>
      <c r="BQ6779" s="7"/>
      <c r="BZ6779" s="7"/>
    </row>
    <row r="6780" spans="2:78">
      <c r="B6780" s="7"/>
      <c r="O6780" s="7"/>
      <c r="X6780" s="7"/>
      <c r="AG6780" s="7"/>
      <c r="AP6780" s="7"/>
      <c r="AY6780" s="7"/>
      <c r="BH6780" s="7"/>
      <c r="BQ6780" s="7"/>
      <c r="BZ6780" s="7"/>
    </row>
    <row r="6781" spans="2:78">
      <c r="B6781" s="7"/>
      <c r="O6781" s="7"/>
      <c r="X6781" s="7"/>
      <c r="AG6781" s="7"/>
      <c r="AP6781" s="7"/>
      <c r="AY6781" s="7"/>
      <c r="BH6781" s="7"/>
      <c r="BQ6781" s="7"/>
      <c r="BZ6781" s="7"/>
    </row>
    <row r="6782" spans="2:78">
      <c r="B6782" s="7"/>
      <c r="O6782" s="7"/>
      <c r="X6782" s="7"/>
      <c r="AG6782" s="7"/>
      <c r="AP6782" s="7"/>
      <c r="AY6782" s="7"/>
      <c r="BH6782" s="7"/>
      <c r="BQ6782" s="7"/>
      <c r="BZ6782" s="7"/>
    </row>
    <row r="6783" spans="2:78">
      <c r="B6783" s="7"/>
      <c r="O6783" s="7"/>
      <c r="X6783" s="7"/>
      <c r="AG6783" s="7"/>
      <c r="AP6783" s="7"/>
      <c r="AY6783" s="7"/>
      <c r="BH6783" s="7"/>
      <c r="BQ6783" s="7"/>
      <c r="BZ6783" s="7"/>
    </row>
    <row r="6784" spans="2:78">
      <c r="B6784" s="7"/>
      <c r="O6784" s="7"/>
      <c r="X6784" s="7"/>
      <c r="AG6784" s="7"/>
      <c r="AP6784" s="7"/>
      <c r="AY6784" s="7"/>
      <c r="BH6784" s="7"/>
      <c r="BQ6784" s="7"/>
      <c r="BZ6784" s="7"/>
    </row>
    <row r="6785" spans="2:78">
      <c r="B6785" s="7"/>
      <c r="O6785" s="7"/>
      <c r="X6785" s="7"/>
      <c r="AG6785" s="7"/>
      <c r="AP6785" s="7"/>
      <c r="AY6785" s="7"/>
      <c r="BH6785" s="7"/>
      <c r="BQ6785" s="7"/>
      <c r="BZ6785" s="7"/>
    </row>
    <row r="6786" spans="2:78">
      <c r="B6786" s="7"/>
      <c r="O6786" s="7"/>
      <c r="X6786" s="7"/>
      <c r="AG6786" s="7"/>
      <c r="AP6786" s="7"/>
      <c r="AY6786" s="7"/>
      <c r="BH6786" s="7"/>
      <c r="BQ6786" s="7"/>
      <c r="BZ6786" s="7"/>
    </row>
    <row r="6787" spans="2:78">
      <c r="B6787" s="7"/>
      <c r="O6787" s="7"/>
      <c r="X6787" s="7"/>
      <c r="AG6787" s="7"/>
      <c r="AP6787" s="7"/>
      <c r="AY6787" s="7"/>
      <c r="BH6787" s="7"/>
      <c r="BQ6787" s="7"/>
      <c r="BZ6787" s="7"/>
    </row>
    <row r="6788" spans="2:78">
      <c r="B6788" s="7"/>
      <c r="O6788" s="7"/>
      <c r="X6788" s="7"/>
      <c r="AG6788" s="7"/>
      <c r="AP6788" s="7"/>
      <c r="AY6788" s="7"/>
      <c r="BH6788" s="7"/>
      <c r="BQ6788" s="7"/>
      <c r="BZ6788" s="7"/>
    </row>
    <row r="6789" spans="2:78">
      <c r="B6789" s="7"/>
      <c r="O6789" s="7"/>
      <c r="X6789" s="7"/>
      <c r="AG6789" s="7"/>
      <c r="AP6789" s="7"/>
      <c r="AY6789" s="7"/>
      <c r="BH6789" s="7"/>
      <c r="BQ6789" s="7"/>
      <c r="BZ6789" s="7"/>
    </row>
    <row r="6790" spans="2:78">
      <c r="B6790" s="7"/>
      <c r="O6790" s="7"/>
      <c r="X6790" s="7"/>
      <c r="AG6790" s="7"/>
      <c r="AP6790" s="7"/>
      <c r="AY6790" s="7"/>
      <c r="BH6790" s="7"/>
      <c r="BQ6790" s="7"/>
      <c r="BZ6790" s="7"/>
    </row>
    <row r="6791" spans="2:78">
      <c r="B6791" s="7"/>
      <c r="O6791" s="7"/>
      <c r="X6791" s="7"/>
      <c r="AG6791" s="7"/>
      <c r="AP6791" s="7"/>
      <c r="AY6791" s="7"/>
      <c r="BH6791" s="7"/>
      <c r="BQ6791" s="7"/>
      <c r="BZ6791" s="7"/>
    </row>
    <row r="6792" spans="2:78">
      <c r="B6792" s="7"/>
      <c r="O6792" s="7"/>
      <c r="X6792" s="7"/>
      <c r="AG6792" s="7"/>
      <c r="AP6792" s="7"/>
      <c r="AY6792" s="7"/>
      <c r="BH6792" s="7"/>
      <c r="BQ6792" s="7"/>
      <c r="BZ6792" s="7"/>
    </row>
    <row r="6793" spans="2:78">
      <c r="B6793" s="7"/>
      <c r="O6793" s="7"/>
      <c r="X6793" s="7"/>
      <c r="AG6793" s="7"/>
      <c r="AP6793" s="7"/>
      <c r="AY6793" s="7"/>
      <c r="BH6793" s="7"/>
      <c r="BQ6793" s="7"/>
      <c r="BZ6793" s="7"/>
    </row>
    <row r="6794" spans="2:78">
      <c r="B6794" s="7"/>
      <c r="O6794" s="7"/>
      <c r="X6794" s="7"/>
      <c r="AG6794" s="7"/>
      <c r="AP6794" s="7"/>
      <c r="AY6794" s="7"/>
      <c r="BH6794" s="7"/>
      <c r="BQ6794" s="7"/>
      <c r="BZ6794" s="7"/>
    </row>
    <row r="6795" spans="2:78">
      <c r="B6795" s="7"/>
      <c r="O6795" s="7"/>
      <c r="X6795" s="7"/>
      <c r="AG6795" s="7"/>
      <c r="AP6795" s="7"/>
      <c r="AY6795" s="7"/>
      <c r="BH6795" s="7"/>
      <c r="BQ6795" s="7"/>
      <c r="BZ6795" s="7"/>
    </row>
    <row r="6796" spans="2:78">
      <c r="B6796" s="7"/>
      <c r="O6796" s="7"/>
      <c r="X6796" s="7"/>
      <c r="AG6796" s="7"/>
      <c r="AP6796" s="7"/>
      <c r="AY6796" s="7"/>
      <c r="BH6796" s="7"/>
      <c r="BQ6796" s="7"/>
      <c r="BZ6796" s="7"/>
    </row>
    <row r="6797" spans="2:78">
      <c r="B6797" s="7"/>
      <c r="O6797" s="7"/>
      <c r="X6797" s="7"/>
      <c r="AG6797" s="7"/>
      <c r="AP6797" s="7"/>
      <c r="AY6797" s="7"/>
      <c r="BH6797" s="7"/>
      <c r="BQ6797" s="7"/>
      <c r="BZ6797" s="7"/>
    </row>
    <row r="6798" spans="2:78">
      <c r="B6798" s="7"/>
      <c r="O6798" s="7"/>
      <c r="X6798" s="7"/>
      <c r="AG6798" s="7"/>
      <c r="AP6798" s="7"/>
      <c r="AY6798" s="7"/>
      <c r="BH6798" s="7"/>
      <c r="BQ6798" s="7"/>
      <c r="BZ6798" s="7"/>
    </row>
    <row r="6799" spans="2:78">
      <c r="B6799" s="7"/>
      <c r="O6799" s="7"/>
      <c r="X6799" s="7"/>
      <c r="AG6799" s="7"/>
      <c r="AP6799" s="7"/>
      <c r="AY6799" s="7"/>
      <c r="BH6799" s="7"/>
      <c r="BQ6799" s="7"/>
      <c r="BZ6799" s="7"/>
    </row>
    <row r="6800" spans="2:78">
      <c r="B6800" s="7"/>
      <c r="O6800" s="7"/>
      <c r="X6800" s="7"/>
      <c r="AG6800" s="7"/>
      <c r="AP6800" s="7"/>
      <c r="AY6800" s="7"/>
      <c r="BH6800" s="7"/>
      <c r="BQ6800" s="7"/>
      <c r="BZ6800" s="7"/>
    </row>
    <row r="6801" spans="2:78">
      <c r="B6801" s="7"/>
      <c r="O6801" s="7"/>
      <c r="X6801" s="7"/>
      <c r="AG6801" s="7"/>
      <c r="AP6801" s="7"/>
      <c r="AY6801" s="7"/>
      <c r="BH6801" s="7"/>
      <c r="BQ6801" s="7"/>
      <c r="BZ6801" s="7"/>
    </row>
    <row r="6802" spans="2:78">
      <c r="B6802" s="7"/>
      <c r="O6802" s="7"/>
      <c r="X6802" s="7"/>
      <c r="AG6802" s="7"/>
      <c r="AP6802" s="7"/>
      <c r="AY6802" s="7"/>
      <c r="BH6802" s="7"/>
      <c r="BQ6802" s="7"/>
      <c r="BZ6802" s="7"/>
    </row>
    <row r="6803" spans="2:78">
      <c r="B6803" s="7"/>
      <c r="O6803" s="7"/>
      <c r="X6803" s="7"/>
      <c r="AG6803" s="7"/>
      <c r="AP6803" s="7"/>
      <c r="AY6803" s="7"/>
      <c r="BH6803" s="7"/>
      <c r="BQ6803" s="7"/>
      <c r="BZ6803" s="7"/>
    </row>
    <row r="6804" spans="2:78">
      <c r="B6804" s="7"/>
      <c r="O6804" s="7"/>
      <c r="X6804" s="7"/>
      <c r="AG6804" s="7"/>
      <c r="AP6804" s="7"/>
      <c r="AY6804" s="7"/>
      <c r="BH6804" s="7"/>
      <c r="BQ6804" s="7"/>
      <c r="BZ6804" s="7"/>
    </row>
    <row r="6805" spans="2:78">
      <c r="B6805" s="7"/>
      <c r="O6805" s="7"/>
      <c r="X6805" s="7"/>
      <c r="AG6805" s="7"/>
      <c r="AP6805" s="7"/>
      <c r="AY6805" s="7"/>
      <c r="BH6805" s="7"/>
      <c r="BQ6805" s="7"/>
      <c r="BZ6805" s="7"/>
    </row>
    <row r="6806" spans="2:78">
      <c r="B6806" s="7"/>
      <c r="O6806" s="7"/>
      <c r="X6806" s="7"/>
      <c r="AG6806" s="7"/>
      <c r="AP6806" s="7"/>
      <c r="AY6806" s="7"/>
      <c r="BH6806" s="7"/>
      <c r="BQ6806" s="7"/>
      <c r="BZ6806" s="7"/>
    </row>
    <row r="6807" spans="2:78">
      <c r="B6807" s="7"/>
      <c r="O6807" s="7"/>
      <c r="X6807" s="7"/>
      <c r="AG6807" s="7"/>
      <c r="AP6807" s="7"/>
      <c r="AY6807" s="7"/>
      <c r="BH6807" s="7"/>
      <c r="BQ6807" s="7"/>
      <c r="BZ6807" s="7"/>
    </row>
    <row r="6808" spans="2:78">
      <c r="B6808" s="7"/>
      <c r="O6808" s="7"/>
      <c r="X6808" s="7"/>
      <c r="AG6808" s="7"/>
      <c r="AP6808" s="7"/>
      <c r="AY6808" s="7"/>
      <c r="BH6808" s="7"/>
      <c r="BQ6808" s="7"/>
      <c r="BZ6808" s="7"/>
    </row>
    <row r="6809" spans="2:78">
      <c r="B6809" s="7"/>
      <c r="O6809" s="7"/>
      <c r="X6809" s="7"/>
      <c r="AG6809" s="7"/>
      <c r="AP6809" s="7"/>
      <c r="AY6809" s="7"/>
      <c r="BH6809" s="7"/>
      <c r="BQ6809" s="7"/>
      <c r="BZ6809" s="7"/>
    </row>
    <row r="6810" spans="2:78">
      <c r="B6810" s="7"/>
      <c r="O6810" s="7"/>
      <c r="X6810" s="7"/>
      <c r="AG6810" s="7"/>
      <c r="AP6810" s="7"/>
      <c r="AY6810" s="7"/>
      <c r="BH6810" s="7"/>
      <c r="BQ6810" s="7"/>
      <c r="BZ6810" s="7"/>
    </row>
    <row r="6811" spans="2:78">
      <c r="B6811" s="7"/>
      <c r="O6811" s="7"/>
      <c r="X6811" s="7"/>
      <c r="AG6811" s="7"/>
      <c r="AP6811" s="7"/>
      <c r="AY6811" s="7"/>
      <c r="BH6811" s="7"/>
      <c r="BQ6811" s="7"/>
      <c r="BZ6811" s="7"/>
    </row>
    <row r="6812" spans="2:78">
      <c r="B6812" s="7"/>
      <c r="O6812" s="7"/>
      <c r="X6812" s="7"/>
      <c r="AG6812" s="7"/>
      <c r="AP6812" s="7"/>
      <c r="AY6812" s="7"/>
      <c r="BH6812" s="7"/>
      <c r="BQ6812" s="7"/>
      <c r="BZ6812" s="7"/>
    </row>
    <row r="6813" spans="2:78">
      <c r="B6813" s="7"/>
      <c r="O6813" s="7"/>
      <c r="X6813" s="7"/>
      <c r="AG6813" s="7"/>
      <c r="AP6813" s="7"/>
      <c r="AY6813" s="7"/>
      <c r="BH6813" s="7"/>
      <c r="BQ6813" s="7"/>
      <c r="BZ6813" s="7"/>
    </row>
    <row r="6814" spans="2:78">
      <c r="B6814" s="7"/>
      <c r="O6814" s="7"/>
      <c r="X6814" s="7"/>
      <c r="AG6814" s="7"/>
      <c r="AP6814" s="7"/>
      <c r="AY6814" s="7"/>
      <c r="BH6814" s="7"/>
      <c r="BQ6814" s="7"/>
      <c r="BZ6814" s="7"/>
    </row>
    <row r="6815" spans="2:78">
      <c r="B6815" s="7"/>
      <c r="O6815" s="7"/>
      <c r="X6815" s="7"/>
      <c r="AG6815" s="7"/>
      <c r="AP6815" s="7"/>
      <c r="AY6815" s="7"/>
      <c r="BH6815" s="7"/>
      <c r="BQ6815" s="7"/>
      <c r="BZ6815" s="7"/>
    </row>
    <row r="6816" spans="2:78">
      <c r="B6816" s="7"/>
      <c r="O6816" s="7"/>
      <c r="X6816" s="7"/>
      <c r="AG6816" s="7"/>
      <c r="AP6816" s="7"/>
      <c r="AY6816" s="7"/>
      <c r="BH6816" s="7"/>
      <c r="BQ6816" s="7"/>
      <c r="BZ6816" s="7"/>
    </row>
    <row r="6817" spans="2:78">
      <c r="B6817" s="7"/>
      <c r="O6817" s="7"/>
      <c r="X6817" s="7"/>
      <c r="AG6817" s="7"/>
      <c r="AP6817" s="7"/>
      <c r="AY6817" s="7"/>
      <c r="BH6817" s="7"/>
      <c r="BQ6817" s="7"/>
      <c r="BZ6817" s="7"/>
    </row>
    <row r="6818" spans="2:78">
      <c r="B6818" s="7"/>
      <c r="O6818" s="7"/>
      <c r="X6818" s="7"/>
      <c r="AG6818" s="7"/>
      <c r="AP6818" s="7"/>
      <c r="AY6818" s="7"/>
      <c r="BH6818" s="7"/>
      <c r="BQ6818" s="7"/>
      <c r="BZ6818" s="7"/>
    </row>
    <row r="6819" spans="2:78">
      <c r="B6819" s="7"/>
      <c r="O6819" s="7"/>
      <c r="X6819" s="7"/>
      <c r="AG6819" s="7"/>
      <c r="AP6819" s="7"/>
      <c r="AY6819" s="7"/>
      <c r="BH6819" s="7"/>
      <c r="BQ6819" s="7"/>
      <c r="BZ6819" s="7"/>
    </row>
    <row r="6820" spans="2:78">
      <c r="B6820" s="7"/>
      <c r="O6820" s="7"/>
      <c r="X6820" s="7"/>
      <c r="AG6820" s="7"/>
      <c r="AP6820" s="7"/>
      <c r="AY6820" s="7"/>
      <c r="BH6820" s="7"/>
      <c r="BQ6820" s="7"/>
      <c r="BZ6820" s="7"/>
    </row>
    <row r="6821" spans="2:78">
      <c r="B6821" s="7"/>
      <c r="O6821" s="7"/>
      <c r="X6821" s="7"/>
      <c r="AG6821" s="7"/>
      <c r="AP6821" s="7"/>
      <c r="AY6821" s="7"/>
      <c r="BH6821" s="7"/>
      <c r="BQ6821" s="7"/>
      <c r="BZ6821" s="7"/>
    </row>
    <row r="6822" spans="2:78">
      <c r="B6822" s="7"/>
      <c r="O6822" s="7"/>
      <c r="X6822" s="7"/>
      <c r="AG6822" s="7"/>
      <c r="AP6822" s="7"/>
      <c r="AY6822" s="7"/>
      <c r="BH6822" s="7"/>
      <c r="BQ6822" s="7"/>
      <c r="BZ6822" s="7"/>
    </row>
    <row r="6823" spans="2:78">
      <c r="B6823" s="7"/>
      <c r="O6823" s="7"/>
      <c r="X6823" s="7"/>
      <c r="AG6823" s="7"/>
      <c r="AP6823" s="7"/>
      <c r="AY6823" s="7"/>
      <c r="BH6823" s="7"/>
      <c r="BQ6823" s="7"/>
      <c r="BZ6823" s="7"/>
    </row>
    <row r="6824" spans="2:78">
      <c r="B6824" s="7"/>
      <c r="O6824" s="7"/>
      <c r="X6824" s="7"/>
      <c r="AG6824" s="7"/>
      <c r="AP6824" s="7"/>
      <c r="AY6824" s="7"/>
      <c r="BH6824" s="7"/>
      <c r="BQ6824" s="7"/>
      <c r="BZ6824" s="7"/>
    </row>
    <row r="6825" spans="2:78">
      <c r="B6825" s="7"/>
      <c r="O6825" s="7"/>
      <c r="X6825" s="7"/>
      <c r="AG6825" s="7"/>
      <c r="AP6825" s="7"/>
      <c r="AY6825" s="7"/>
      <c r="BH6825" s="7"/>
      <c r="BQ6825" s="7"/>
      <c r="BZ6825" s="7"/>
    </row>
    <row r="6826" spans="2:78">
      <c r="B6826" s="7"/>
      <c r="O6826" s="7"/>
      <c r="X6826" s="7"/>
      <c r="AG6826" s="7"/>
      <c r="AP6826" s="7"/>
      <c r="AY6826" s="7"/>
      <c r="BH6826" s="7"/>
      <c r="BQ6826" s="7"/>
      <c r="BZ6826" s="7"/>
    </row>
    <row r="6827" spans="2:78">
      <c r="B6827" s="7"/>
      <c r="O6827" s="7"/>
      <c r="X6827" s="7"/>
      <c r="AG6827" s="7"/>
      <c r="AP6827" s="7"/>
      <c r="AY6827" s="7"/>
      <c r="BH6827" s="7"/>
      <c r="BQ6827" s="7"/>
      <c r="BZ6827" s="7"/>
    </row>
    <row r="6828" spans="2:78">
      <c r="B6828" s="7"/>
      <c r="O6828" s="7"/>
      <c r="X6828" s="7"/>
      <c r="AG6828" s="7"/>
      <c r="AP6828" s="7"/>
      <c r="AY6828" s="7"/>
      <c r="BH6828" s="7"/>
      <c r="BQ6828" s="7"/>
      <c r="BZ6828" s="7"/>
    </row>
    <row r="6829" spans="2:78">
      <c r="B6829" s="7"/>
      <c r="O6829" s="7"/>
      <c r="X6829" s="7"/>
      <c r="AG6829" s="7"/>
      <c r="AP6829" s="7"/>
      <c r="AY6829" s="7"/>
      <c r="BH6829" s="7"/>
      <c r="BQ6829" s="7"/>
      <c r="BZ6829" s="7"/>
    </row>
    <row r="6830" spans="2:78">
      <c r="B6830" s="7"/>
      <c r="O6830" s="7"/>
      <c r="X6830" s="7"/>
      <c r="AG6830" s="7"/>
      <c r="AP6830" s="7"/>
      <c r="AY6830" s="7"/>
      <c r="BH6830" s="7"/>
      <c r="BQ6830" s="7"/>
      <c r="BZ6830" s="7"/>
    </row>
    <row r="6831" spans="2:78">
      <c r="B6831" s="7"/>
      <c r="O6831" s="7"/>
      <c r="X6831" s="7"/>
      <c r="AG6831" s="7"/>
      <c r="AP6831" s="7"/>
      <c r="AY6831" s="7"/>
      <c r="BH6831" s="7"/>
      <c r="BQ6831" s="7"/>
      <c r="BZ6831" s="7"/>
    </row>
    <row r="6832" spans="2:78">
      <c r="B6832" s="7"/>
      <c r="O6832" s="7"/>
      <c r="X6832" s="7"/>
      <c r="AG6832" s="7"/>
      <c r="AP6832" s="7"/>
      <c r="AY6832" s="7"/>
      <c r="BH6832" s="7"/>
      <c r="BQ6832" s="7"/>
      <c r="BZ6832" s="7"/>
    </row>
    <row r="6833" spans="2:78">
      <c r="B6833" s="7"/>
      <c r="O6833" s="7"/>
      <c r="X6833" s="7"/>
      <c r="AG6833" s="7"/>
      <c r="AP6833" s="7"/>
      <c r="AY6833" s="7"/>
      <c r="BH6833" s="7"/>
      <c r="BQ6833" s="7"/>
      <c r="BZ6833" s="7"/>
    </row>
    <row r="6834" spans="2:78">
      <c r="B6834" s="7"/>
      <c r="O6834" s="7"/>
      <c r="X6834" s="7"/>
      <c r="AG6834" s="7"/>
      <c r="AP6834" s="7"/>
      <c r="AY6834" s="7"/>
      <c r="BH6834" s="7"/>
      <c r="BQ6834" s="7"/>
      <c r="BZ6834" s="7"/>
    </row>
    <row r="6835" spans="2:78">
      <c r="B6835" s="7"/>
      <c r="O6835" s="7"/>
      <c r="X6835" s="7"/>
      <c r="AG6835" s="7"/>
      <c r="AP6835" s="7"/>
      <c r="AY6835" s="7"/>
      <c r="BH6835" s="7"/>
      <c r="BQ6835" s="7"/>
      <c r="BZ6835" s="7"/>
    </row>
    <row r="6836" spans="2:78">
      <c r="B6836" s="7"/>
      <c r="O6836" s="7"/>
      <c r="X6836" s="7"/>
      <c r="AG6836" s="7"/>
      <c r="AP6836" s="7"/>
      <c r="AY6836" s="7"/>
      <c r="BH6836" s="7"/>
      <c r="BQ6836" s="7"/>
      <c r="BZ6836" s="7"/>
    </row>
    <row r="6837" spans="2:78">
      <c r="B6837" s="7"/>
      <c r="O6837" s="7"/>
      <c r="X6837" s="7"/>
      <c r="AG6837" s="7"/>
      <c r="AP6837" s="7"/>
      <c r="AY6837" s="7"/>
      <c r="BH6837" s="7"/>
      <c r="BQ6837" s="7"/>
      <c r="BZ6837" s="7"/>
    </row>
    <row r="6838" spans="2:78">
      <c r="B6838" s="7"/>
      <c r="O6838" s="7"/>
      <c r="X6838" s="7"/>
      <c r="AG6838" s="7"/>
      <c r="AP6838" s="7"/>
      <c r="AY6838" s="7"/>
      <c r="BH6838" s="7"/>
      <c r="BQ6838" s="7"/>
      <c r="BZ6838" s="7"/>
    </row>
    <row r="6839" spans="2:78">
      <c r="B6839" s="7"/>
      <c r="O6839" s="7"/>
      <c r="X6839" s="7"/>
      <c r="AG6839" s="7"/>
      <c r="AP6839" s="7"/>
      <c r="AY6839" s="7"/>
      <c r="BH6839" s="7"/>
      <c r="BQ6839" s="7"/>
      <c r="BZ6839" s="7"/>
    </row>
    <row r="6840" spans="2:78">
      <c r="B6840" s="7"/>
      <c r="O6840" s="7"/>
      <c r="X6840" s="7"/>
      <c r="AG6840" s="7"/>
      <c r="AP6840" s="7"/>
      <c r="AY6840" s="7"/>
      <c r="BH6840" s="7"/>
      <c r="BQ6840" s="7"/>
      <c r="BZ6840" s="7"/>
    </row>
    <row r="6841" spans="2:78">
      <c r="B6841" s="7"/>
      <c r="O6841" s="7"/>
      <c r="X6841" s="7"/>
      <c r="AG6841" s="7"/>
      <c r="AP6841" s="7"/>
      <c r="AY6841" s="7"/>
      <c r="BH6841" s="7"/>
      <c r="BQ6841" s="7"/>
      <c r="BZ6841" s="7"/>
    </row>
    <row r="6842" spans="2:78">
      <c r="B6842" s="7"/>
      <c r="O6842" s="7"/>
      <c r="X6842" s="7"/>
      <c r="AG6842" s="7"/>
      <c r="AP6842" s="7"/>
      <c r="AY6842" s="7"/>
      <c r="BH6842" s="7"/>
      <c r="BQ6842" s="7"/>
      <c r="BZ6842" s="7"/>
    </row>
    <row r="6843" spans="2:78">
      <c r="B6843" s="7"/>
      <c r="O6843" s="7"/>
      <c r="X6843" s="7"/>
      <c r="AG6843" s="7"/>
      <c r="AP6843" s="7"/>
      <c r="AY6843" s="7"/>
      <c r="BH6843" s="7"/>
      <c r="BQ6843" s="7"/>
      <c r="BZ6843" s="7"/>
    </row>
    <row r="6844" spans="2:78">
      <c r="B6844" s="7"/>
      <c r="O6844" s="7"/>
      <c r="X6844" s="7"/>
      <c r="AG6844" s="7"/>
      <c r="AP6844" s="7"/>
      <c r="AY6844" s="7"/>
      <c r="BH6844" s="7"/>
      <c r="BQ6844" s="7"/>
      <c r="BZ6844" s="7"/>
    </row>
    <row r="6845" spans="2:78">
      <c r="B6845" s="7"/>
      <c r="O6845" s="7"/>
      <c r="X6845" s="7"/>
      <c r="AG6845" s="7"/>
      <c r="AP6845" s="7"/>
      <c r="AY6845" s="7"/>
      <c r="BH6845" s="7"/>
      <c r="BQ6845" s="7"/>
      <c r="BZ6845" s="7"/>
    </row>
    <row r="6846" spans="2:78">
      <c r="B6846" s="7"/>
      <c r="O6846" s="7"/>
      <c r="X6846" s="7"/>
      <c r="AG6846" s="7"/>
      <c r="AP6846" s="7"/>
      <c r="AY6846" s="7"/>
      <c r="BH6846" s="7"/>
      <c r="BQ6846" s="7"/>
      <c r="BZ6846" s="7"/>
    </row>
    <row r="6847" spans="2:78">
      <c r="B6847" s="7"/>
      <c r="O6847" s="7"/>
      <c r="X6847" s="7"/>
      <c r="AG6847" s="7"/>
      <c r="AP6847" s="7"/>
      <c r="AY6847" s="7"/>
      <c r="BH6847" s="7"/>
      <c r="BQ6847" s="7"/>
      <c r="BZ6847" s="7"/>
    </row>
    <row r="6848" spans="2:78">
      <c r="B6848" s="7"/>
      <c r="O6848" s="7"/>
      <c r="X6848" s="7"/>
      <c r="AG6848" s="7"/>
      <c r="AP6848" s="7"/>
      <c r="AY6848" s="7"/>
      <c r="BH6848" s="7"/>
      <c r="BQ6848" s="7"/>
      <c r="BZ6848" s="7"/>
    </row>
    <row r="6849" spans="2:78">
      <c r="B6849" s="7"/>
      <c r="O6849" s="7"/>
      <c r="X6849" s="7"/>
      <c r="AG6849" s="7"/>
      <c r="AP6849" s="7"/>
      <c r="AY6849" s="7"/>
      <c r="BH6849" s="7"/>
      <c r="BQ6849" s="7"/>
      <c r="BZ6849" s="7"/>
    </row>
    <row r="6850" spans="2:78">
      <c r="B6850" s="7"/>
      <c r="O6850" s="7"/>
      <c r="X6850" s="7"/>
      <c r="AG6850" s="7"/>
      <c r="AP6850" s="7"/>
      <c r="AY6850" s="7"/>
      <c r="BH6850" s="7"/>
      <c r="BQ6850" s="7"/>
      <c r="BZ6850" s="7"/>
    </row>
    <row r="6851" spans="2:78">
      <c r="B6851" s="7"/>
      <c r="O6851" s="7"/>
      <c r="X6851" s="7"/>
      <c r="AG6851" s="7"/>
      <c r="AP6851" s="7"/>
      <c r="AY6851" s="7"/>
      <c r="BH6851" s="7"/>
      <c r="BQ6851" s="7"/>
      <c r="BZ6851" s="7"/>
    </row>
    <row r="6852" spans="2:78">
      <c r="B6852" s="7"/>
      <c r="O6852" s="7"/>
      <c r="X6852" s="7"/>
      <c r="AG6852" s="7"/>
      <c r="AP6852" s="7"/>
      <c r="AY6852" s="7"/>
      <c r="BH6852" s="7"/>
      <c r="BQ6852" s="7"/>
      <c r="BZ6852" s="7"/>
    </row>
    <row r="6853" spans="2:78">
      <c r="B6853" s="7"/>
      <c r="O6853" s="7"/>
      <c r="X6853" s="7"/>
      <c r="AG6853" s="7"/>
      <c r="AP6853" s="7"/>
      <c r="AY6853" s="7"/>
      <c r="BH6853" s="7"/>
      <c r="BQ6853" s="7"/>
      <c r="BZ6853" s="7"/>
    </row>
    <row r="6854" spans="2:78">
      <c r="B6854" s="7"/>
      <c r="O6854" s="7"/>
      <c r="X6854" s="7"/>
      <c r="AG6854" s="7"/>
      <c r="AP6854" s="7"/>
      <c r="AY6854" s="7"/>
      <c r="BH6854" s="7"/>
      <c r="BQ6854" s="7"/>
      <c r="BZ6854" s="7"/>
    </row>
    <row r="6855" spans="2:78">
      <c r="B6855" s="7"/>
      <c r="O6855" s="7"/>
      <c r="X6855" s="7"/>
      <c r="AG6855" s="7"/>
      <c r="AP6855" s="7"/>
      <c r="AY6855" s="7"/>
      <c r="BH6855" s="7"/>
      <c r="BQ6855" s="7"/>
      <c r="BZ6855" s="7"/>
    </row>
    <row r="6856" spans="2:78">
      <c r="B6856" s="7"/>
      <c r="O6856" s="7"/>
      <c r="X6856" s="7"/>
      <c r="AG6856" s="7"/>
      <c r="AP6856" s="7"/>
      <c r="AY6856" s="7"/>
      <c r="BH6856" s="7"/>
      <c r="BQ6856" s="7"/>
      <c r="BZ6856" s="7"/>
    </row>
    <row r="6857" spans="2:78">
      <c r="B6857" s="7"/>
      <c r="O6857" s="7"/>
      <c r="X6857" s="7"/>
      <c r="AG6857" s="7"/>
      <c r="AP6857" s="7"/>
      <c r="AY6857" s="7"/>
      <c r="BH6857" s="7"/>
      <c r="BQ6857" s="7"/>
      <c r="BZ6857" s="7"/>
    </row>
    <row r="6858" spans="2:78">
      <c r="B6858" s="7"/>
      <c r="O6858" s="7"/>
      <c r="X6858" s="7"/>
      <c r="AG6858" s="7"/>
      <c r="AP6858" s="7"/>
      <c r="AY6858" s="7"/>
      <c r="BH6858" s="7"/>
      <c r="BQ6858" s="7"/>
      <c r="BZ6858" s="7"/>
    </row>
    <row r="6859" spans="2:78">
      <c r="B6859" s="7"/>
      <c r="O6859" s="7"/>
      <c r="X6859" s="7"/>
      <c r="AG6859" s="7"/>
      <c r="AP6859" s="7"/>
      <c r="AY6859" s="7"/>
      <c r="BH6859" s="7"/>
      <c r="BQ6859" s="7"/>
      <c r="BZ6859" s="7"/>
    </row>
    <row r="6860" spans="2:78">
      <c r="B6860" s="7"/>
      <c r="O6860" s="7"/>
      <c r="X6860" s="7"/>
      <c r="AG6860" s="7"/>
      <c r="AP6860" s="7"/>
      <c r="AY6860" s="7"/>
      <c r="BH6860" s="7"/>
      <c r="BQ6860" s="7"/>
      <c r="BZ6860" s="7"/>
    </row>
    <row r="6861" spans="2:78">
      <c r="B6861" s="7"/>
      <c r="O6861" s="7"/>
      <c r="X6861" s="7"/>
      <c r="AG6861" s="7"/>
      <c r="AP6861" s="7"/>
      <c r="AY6861" s="7"/>
      <c r="BH6861" s="7"/>
      <c r="BQ6861" s="7"/>
      <c r="BZ6861" s="7"/>
    </row>
    <row r="6862" spans="2:78">
      <c r="B6862" s="7"/>
      <c r="O6862" s="7"/>
      <c r="X6862" s="7"/>
      <c r="AG6862" s="7"/>
      <c r="AP6862" s="7"/>
      <c r="AY6862" s="7"/>
      <c r="BH6862" s="7"/>
      <c r="BQ6862" s="7"/>
      <c r="BZ6862" s="7"/>
    </row>
    <row r="6863" spans="2:78">
      <c r="B6863" s="7"/>
      <c r="O6863" s="7"/>
      <c r="X6863" s="7"/>
      <c r="AG6863" s="7"/>
      <c r="AP6863" s="7"/>
      <c r="AY6863" s="7"/>
      <c r="BH6863" s="7"/>
      <c r="BQ6863" s="7"/>
      <c r="BZ6863" s="7"/>
    </row>
    <row r="6864" spans="2:78">
      <c r="B6864" s="7"/>
      <c r="O6864" s="7"/>
      <c r="X6864" s="7"/>
      <c r="AG6864" s="7"/>
      <c r="AP6864" s="7"/>
      <c r="AY6864" s="7"/>
      <c r="BH6864" s="7"/>
      <c r="BQ6864" s="7"/>
      <c r="BZ6864" s="7"/>
    </row>
    <row r="6865" spans="2:78">
      <c r="B6865" s="7"/>
      <c r="O6865" s="7"/>
      <c r="X6865" s="7"/>
      <c r="AG6865" s="7"/>
      <c r="AP6865" s="7"/>
      <c r="AY6865" s="7"/>
      <c r="BH6865" s="7"/>
      <c r="BQ6865" s="7"/>
      <c r="BZ6865" s="7"/>
    </row>
    <row r="6866" spans="2:78">
      <c r="B6866" s="7"/>
      <c r="O6866" s="7"/>
      <c r="X6866" s="7"/>
      <c r="AG6866" s="7"/>
      <c r="AP6866" s="7"/>
      <c r="AY6866" s="7"/>
      <c r="BH6866" s="7"/>
      <c r="BQ6866" s="7"/>
      <c r="BZ6866" s="7"/>
    </row>
    <row r="6867" spans="2:78">
      <c r="B6867" s="7"/>
      <c r="O6867" s="7"/>
      <c r="X6867" s="7"/>
      <c r="AG6867" s="7"/>
      <c r="AP6867" s="7"/>
      <c r="AY6867" s="7"/>
      <c r="BH6867" s="7"/>
      <c r="BQ6867" s="7"/>
      <c r="BZ6867" s="7"/>
    </row>
    <row r="6868" spans="2:78">
      <c r="B6868" s="7"/>
      <c r="O6868" s="7"/>
      <c r="X6868" s="7"/>
      <c r="AG6868" s="7"/>
      <c r="AP6868" s="7"/>
      <c r="AY6868" s="7"/>
      <c r="BH6868" s="7"/>
      <c r="BQ6868" s="7"/>
      <c r="BZ6868" s="7"/>
    </row>
    <row r="6869" spans="2:78">
      <c r="B6869" s="7"/>
      <c r="O6869" s="7"/>
      <c r="X6869" s="7"/>
      <c r="AG6869" s="7"/>
      <c r="AP6869" s="7"/>
      <c r="AY6869" s="7"/>
      <c r="BH6869" s="7"/>
      <c r="BQ6869" s="7"/>
      <c r="BZ6869" s="7"/>
    </row>
    <row r="6870" spans="2:78">
      <c r="B6870" s="7"/>
      <c r="O6870" s="7"/>
      <c r="X6870" s="7"/>
      <c r="AG6870" s="7"/>
      <c r="AP6870" s="7"/>
      <c r="AY6870" s="7"/>
      <c r="BH6870" s="7"/>
      <c r="BQ6870" s="7"/>
      <c r="BZ6870" s="7"/>
    </row>
    <row r="6871" spans="2:78">
      <c r="B6871" s="7"/>
      <c r="O6871" s="7"/>
      <c r="X6871" s="7"/>
      <c r="AG6871" s="7"/>
      <c r="AP6871" s="7"/>
      <c r="AY6871" s="7"/>
      <c r="BH6871" s="7"/>
      <c r="BQ6871" s="7"/>
      <c r="BZ6871" s="7"/>
    </row>
    <row r="6872" spans="2:78">
      <c r="B6872" s="7"/>
      <c r="O6872" s="7"/>
      <c r="X6872" s="7"/>
      <c r="AG6872" s="7"/>
      <c r="AP6872" s="7"/>
      <c r="AY6872" s="7"/>
      <c r="BH6872" s="7"/>
      <c r="BQ6872" s="7"/>
      <c r="BZ6872" s="7"/>
    </row>
    <row r="6873" spans="2:78">
      <c r="B6873" s="7"/>
      <c r="O6873" s="7"/>
      <c r="X6873" s="7"/>
      <c r="AG6873" s="7"/>
      <c r="AP6873" s="7"/>
      <c r="AY6873" s="7"/>
      <c r="BH6873" s="7"/>
      <c r="BQ6873" s="7"/>
      <c r="BZ6873" s="7"/>
    </row>
    <row r="6874" spans="2:78">
      <c r="B6874" s="7"/>
      <c r="O6874" s="7"/>
      <c r="X6874" s="7"/>
      <c r="AG6874" s="7"/>
      <c r="AP6874" s="7"/>
      <c r="AY6874" s="7"/>
      <c r="BH6874" s="7"/>
      <c r="BQ6874" s="7"/>
      <c r="BZ6874" s="7"/>
    </row>
    <row r="6875" spans="2:78">
      <c r="B6875" s="7"/>
      <c r="O6875" s="7"/>
      <c r="X6875" s="7"/>
      <c r="AG6875" s="7"/>
      <c r="AP6875" s="7"/>
      <c r="AY6875" s="7"/>
      <c r="BH6875" s="7"/>
      <c r="BQ6875" s="7"/>
      <c r="BZ6875" s="7"/>
    </row>
    <row r="6876" spans="2:78">
      <c r="B6876" s="7"/>
      <c r="O6876" s="7"/>
      <c r="X6876" s="7"/>
      <c r="AG6876" s="7"/>
      <c r="AP6876" s="7"/>
      <c r="AY6876" s="7"/>
      <c r="BH6876" s="7"/>
      <c r="BQ6876" s="7"/>
      <c r="BZ6876" s="7"/>
    </row>
    <row r="6877" spans="2:78">
      <c r="B6877" s="7"/>
      <c r="O6877" s="7"/>
      <c r="X6877" s="7"/>
      <c r="AG6877" s="7"/>
      <c r="AP6877" s="7"/>
      <c r="AY6877" s="7"/>
      <c r="BH6877" s="7"/>
      <c r="BQ6877" s="7"/>
      <c r="BZ6877" s="7"/>
    </row>
    <row r="6878" spans="2:78">
      <c r="B6878" s="7"/>
      <c r="O6878" s="7"/>
      <c r="X6878" s="7"/>
      <c r="AG6878" s="7"/>
      <c r="AP6878" s="7"/>
      <c r="AY6878" s="7"/>
      <c r="BH6878" s="7"/>
      <c r="BQ6878" s="7"/>
      <c r="BZ6878" s="7"/>
    </row>
    <row r="6879" spans="2:78">
      <c r="B6879" s="7"/>
      <c r="O6879" s="7"/>
      <c r="X6879" s="7"/>
      <c r="AG6879" s="7"/>
      <c r="AP6879" s="7"/>
      <c r="AY6879" s="7"/>
      <c r="BH6879" s="7"/>
      <c r="BQ6879" s="7"/>
      <c r="BZ6879" s="7"/>
    </row>
    <row r="6880" spans="2:78">
      <c r="B6880" s="7"/>
      <c r="O6880" s="7"/>
      <c r="X6880" s="7"/>
      <c r="AG6880" s="7"/>
      <c r="AP6880" s="7"/>
      <c r="AY6880" s="7"/>
      <c r="BH6880" s="7"/>
      <c r="BQ6880" s="7"/>
      <c r="BZ6880" s="7"/>
    </row>
    <row r="6881" spans="2:78">
      <c r="B6881" s="7"/>
      <c r="O6881" s="7"/>
      <c r="X6881" s="7"/>
      <c r="AG6881" s="7"/>
      <c r="AP6881" s="7"/>
      <c r="AY6881" s="7"/>
      <c r="BH6881" s="7"/>
      <c r="BQ6881" s="7"/>
      <c r="BZ6881" s="7"/>
    </row>
    <row r="6882" spans="2:78">
      <c r="B6882" s="7"/>
      <c r="O6882" s="7"/>
      <c r="X6882" s="7"/>
      <c r="AG6882" s="7"/>
      <c r="AP6882" s="7"/>
      <c r="AY6882" s="7"/>
      <c r="BH6882" s="7"/>
      <c r="BQ6882" s="7"/>
      <c r="BZ6882" s="7"/>
    </row>
    <row r="6883" spans="2:78">
      <c r="B6883" s="7"/>
      <c r="O6883" s="7"/>
      <c r="X6883" s="7"/>
      <c r="AG6883" s="7"/>
      <c r="AP6883" s="7"/>
      <c r="AY6883" s="7"/>
      <c r="BH6883" s="7"/>
      <c r="BQ6883" s="7"/>
      <c r="BZ6883" s="7"/>
    </row>
    <row r="6884" spans="2:78">
      <c r="B6884" s="7"/>
      <c r="O6884" s="7"/>
      <c r="X6884" s="7"/>
      <c r="AG6884" s="7"/>
      <c r="AP6884" s="7"/>
      <c r="AY6884" s="7"/>
      <c r="BH6884" s="7"/>
      <c r="BQ6884" s="7"/>
      <c r="BZ6884" s="7"/>
    </row>
    <row r="6885" spans="2:78">
      <c r="B6885" s="7"/>
      <c r="O6885" s="7"/>
      <c r="X6885" s="7"/>
      <c r="AG6885" s="7"/>
      <c r="AP6885" s="7"/>
      <c r="AY6885" s="7"/>
      <c r="BH6885" s="7"/>
      <c r="BQ6885" s="7"/>
      <c r="BZ6885" s="7"/>
    </row>
    <row r="6886" spans="2:78">
      <c r="B6886" s="7"/>
      <c r="O6886" s="7"/>
      <c r="X6886" s="7"/>
      <c r="AG6886" s="7"/>
      <c r="AP6886" s="7"/>
      <c r="AY6886" s="7"/>
      <c r="BH6886" s="7"/>
      <c r="BQ6886" s="7"/>
      <c r="BZ6886" s="7"/>
    </row>
    <row r="6887" spans="2:78">
      <c r="B6887" s="7"/>
      <c r="O6887" s="7"/>
      <c r="X6887" s="7"/>
      <c r="AG6887" s="7"/>
      <c r="AP6887" s="7"/>
      <c r="AY6887" s="7"/>
      <c r="BH6887" s="7"/>
      <c r="BQ6887" s="7"/>
      <c r="BZ6887" s="7"/>
    </row>
    <row r="6888" spans="2:78">
      <c r="B6888" s="7"/>
      <c r="O6888" s="7"/>
      <c r="X6888" s="7"/>
      <c r="AG6888" s="7"/>
      <c r="AP6888" s="7"/>
      <c r="AY6888" s="7"/>
      <c r="BH6888" s="7"/>
      <c r="BQ6888" s="7"/>
      <c r="BZ6888" s="7"/>
    </row>
    <row r="6889" spans="2:78">
      <c r="B6889" s="7"/>
      <c r="O6889" s="7"/>
      <c r="X6889" s="7"/>
      <c r="AG6889" s="7"/>
      <c r="AP6889" s="7"/>
      <c r="AY6889" s="7"/>
      <c r="BH6889" s="7"/>
      <c r="BQ6889" s="7"/>
      <c r="BZ6889" s="7"/>
    </row>
    <row r="6890" spans="2:78">
      <c r="B6890" s="7"/>
      <c r="O6890" s="7"/>
      <c r="X6890" s="7"/>
      <c r="AG6890" s="7"/>
      <c r="AP6890" s="7"/>
      <c r="AY6890" s="7"/>
      <c r="BH6890" s="7"/>
      <c r="BQ6890" s="7"/>
      <c r="BZ6890" s="7"/>
    </row>
    <row r="6891" spans="2:78">
      <c r="B6891" s="7"/>
      <c r="O6891" s="7"/>
      <c r="X6891" s="7"/>
      <c r="AG6891" s="7"/>
      <c r="AP6891" s="7"/>
      <c r="AY6891" s="7"/>
      <c r="BH6891" s="7"/>
      <c r="BQ6891" s="7"/>
      <c r="BZ6891" s="7"/>
    </row>
    <row r="6892" spans="2:78">
      <c r="B6892" s="7"/>
      <c r="O6892" s="7"/>
      <c r="X6892" s="7"/>
      <c r="AG6892" s="7"/>
      <c r="AP6892" s="7"/>
      <c r="AY6892" s="7"/>
      <c r="BH6892" s="7"/>
      <c r="BQ6892" s="7"/>
      <c r="BZ6892" s="7"/>
    </row>
    <row r="6893" spans="2:78">
      <c r="B6893" s="7"/>
      <c r="O6893" s="7"/>
      <c r="X6893" s="7"/>
      <c r="AG6893" s="7"/>
      <c r="AP6893" s="7"/>
      <c r="AY6893" s="7"/>
      <c r="BH6893" s="7"/>
      <c r="BQ6893" s="7"/>
      <c r="BZ6893" s="7"/>
    </row>
    <row r="6894" spans="2:78">
      <c r="B6894" s="7"/>
      <c r="O6894" s="7"/>
      <c r="X6894" s="7"/>
      <c r="AG6894" s="7"/>
      <c r="AP6894" s="7"/>
      <c r="AY6894" s="7"/>
      <c r="BH6894" s="7"/>
      <c r="BQ6894" s="7"/>
      <c r="BZ6894" s="7"/>
    </row>
    <row r="6895" spans="2:78">
      <c r="B6895" s="7"/>
      <c r="O6895" s="7"/>
      <c r="X6895" s="7"/>
      <c r="AG6895" s="7"/>
      <c r="AP6895" s="7"/>
      <c r="AY6895" s="7"/>
      <c r="BH6895" s="7"/>
      <c r="BQ6895" s="7"/>
      <c r="BZ6895" s="7"/>
    </row>
    <row r="6896" spans="2:78">
      <c r="B6896" s="7"/>
      <c r="O6896" s="7"/>
      <c r="X6896" s="7"/>
      <c r="AG6896" s="7"/>
      <c r="AP6896" s="7"/>
      <c r="AY6896" s="7"/>
      <c r="BH6896" s="7"/>
      <c r="BQ6896" s="7"/>
      <c r="BZ6896" s="7"/>
    </row>
    <row r="6897" spans="2:78">
      <c r="B6897" s="7"/>
      <c r="O6897" s="7"/>
      <c r="X6897" s="7"/>
      <c r="AG6897" s="7"/>
      <c r="AP6897" s="7"/>
      <c r="AY6897" s="7"/>
      <c r="BH6897" s="7"/>
      <c r="BQ6897" s="7"/>
      <c r="BZ6897" s="7"/>
    </row>
    <row r="6898" spans="2:78">
      <c r="B6898" s="7"/>
      <c r="O6898" s="7"/>
      <c r="X6898" s="7"/>
      <c r="AG6898" s="7"/>
      <c r="AP6898" s="7"/>
      <c r="AY6898" s="7"/>
      <c r="BH6898" s="7"/>
      <c r="BQ6898" s="7"/>
      <c r="BZ6898" s="7"/>
    </row>
    <row r="6899" spans="2:78">
      <c r="B6899" s="7"/>
      <c r="O6899" s="7"/>
      <c r="X6899" s="7"/>
      <c r="AG6899" s="7"/>
      <c r="AP6899" s="7"/>
      <c r="AY6899" s="7"/>
      <c r="BH6899" s="7"/>
      <c r="BQ6899" s="7"/>
      <c r="BZ6899" s="7"/>
    </row>
    <row r="6900" spans="2:78">
      <c r="B6900" s="7"/>
      <c r="O6900" s="7"/>
      <c r="X6900" s="7"/>
      <c r="AG6900" s="7"/>
      <c r="AP6900" s="7"/>
      <c r="AY6900" s="7"/>
      <c r="BH6900" s="7"/>
      <c r="BQ6900" s="7"/>
      <c r="BZ6900" s="7"/>
    </row>
    <row r="6901" spans="2:78">
      <c r="B6901" s="7"/>
      <c r="O6901" s="7"/>
      <c r="X6901" s="7"/>
      <c r="AG6901" s="7"/>
      <c r="AP6901" s="7"/>
      <c r="AY6901" s="7"/>
      <c r="BH6901" s="7"/>
      <c r="BQ6901" s="7"/>
      <c r="BZ6901" s="7"/>
    </row>
    <row r="6902" spans="2:78">
      <c r="B6902" s="7"/>
      <c r="O6902" s="7"/>
      <c r="X6902" s="7"/>
      <c r="AG6902" s="7"/>
      <c r="AP6902" s="7"/>
      <c r="AY6902" s="7"/>
      <c r="BH6902" s="7"/>
      <c r="BQ6902" s="7"/>
      <c r="BZ6902" s="7"/>
    </row>
    <row r="6903" spans="2:78">
      <c r="B6903" s="7"/>
      <c r="O6903" s="7"/>
      <c r="X6903" s="7"/>
      <c r="AG6903" s="7"/>
      <c r="AP6903" s="7"/>
      <c r="AY6903" s="7"/>
      <c r="BH6903" s="7"/>
      <c r="BQ6903" s="7"/>
      <c r="BZ6903" s="7"/>
    </row>
    <row r="6904" spans="2:78">
      <c r="B6904" s="7"/>
      <c r="O6904" s="7"/>
      <c r="X6904" s="7"/>
      <c r="AG6904" s="7"/>
      <c r="AP6904" s="7"/>
      <c r="AY6904" s="7"/>
      <c r="BH6904" s="7"/>
      <c r="BQ6904" s="7"/>
      <c r="BZ6904" s="7"/>
    </row>
    <row r="6905" spans="2:78">
      <c r="B6905" s="7"/>
      <c r="O6905" s="7"/>
      <c r="X6905" s="7"/>
      <c r="AG6905" s="7"/>
      <c r="AP6905" s="7"/>
      <c r="AY6905" s="7"/>
      <c r="BH6905" s="7"/>
      <c r="BQ6905" s="7"/>
      <c r="BZ6905" s="7"/>
    </row>
    <row r="6906" spans="2:78">
      <c r="B6906" s="7"/>
      <c r="O6906" s="7"/>
      <c r="X6906" s="7"/>
      <c r="AG6906" s="7"/>
      <c r="AP6906" s="7"/>
      <c r="AY6906" s="7"/>
      <c r="BH6906" s="7"/>
      <c r="BQ6906" s="7"/>
      <c r="BZ6906" s="7"/>
    </row>
    <row r="6907" spans="2:78">
      <c r="B6907" s="7"/>
      <c r="O6907" s="7"/>
      <c r="X6907" s="7"/>
      <c r="AG6907" s="7"/>
      <c r="AP6907" s="7"/>
      <c r="AY6907" s="7"/>
      <c r="BH6907" s="7"/>
      <c r="BQ6907" s="7"/>
      <c r="BZ6907" s="7"/>
    </row>
    <row r="6908" spans="2:78">
      <c r="B6908" s="7"/>
      <c r="O6908" s="7"/>
      <c r="X6908" s="7"/>
      <c r="AG6908" s="7"/>
      <c r="AP6908" s="7"/>
      <c r="AY6908" s="7"/>
      <c r="BH6908" s="7"/>
      <c r="BQ6908" s="7"/>
      <c r="BZ6908" s="7"/>
    </row>
    <row r="6909" spans="2:78">
      <c r="B6909" s="7"/>
      <c r="O6909" s="7"/>
      <c r="X6909" s="7"/>
      <c r="AG6909" s="7"/>
      <c r="AP6909" s="7"/>
      <c r="AY6909" s="7"/>
      <c r="BH6909" s="7"/>
      <c r="BQ6909" s="7"/>
      <c r="BZ6909" s="7"/>
    </row>
    <row r="6910" spans="2:78">
      <c r="B6910" s="7"/>
      <c r="O6910" s="7"/>
      <c r="X6910" s="7"/>
      <c r="AG6910" s="7"/>
      <c r="AP6910" s="7"/>
      <c r="AY6910" s="7"/>
      <c r="BH6910" s="7"/>
      <c r="BQ6910" s="7"/>
      <c r="BZ6910" s="7"/>
    </row>
    <row r="6911" spans="2:78">
      <c r="B6911" s="7"/>
      <c r="O6911" s="7"/>
      <c r="X6911" s="7"/>
      <c r="AG6911" s="7"/>
      <c r="AP6911" s="7"/>
      <c r="AY6911" s="7"/>
      <c r="BH6911" s="7"/>
      <c r="BQ6911" s="7"/>
      <c r="BZ6911" s="7"/>
    </row>
    <row r="6912" spans="2:78">
      <c r="B6912" s="7"/>
      <c r="O6912" s="7"/>
      <c r="X6912" s="7"/>
      <c r="AG6912" s="7"/>
      <c r="AP6912" s="7"/>
      <c r="AY6912" s="7"/>
      <c r="BH6912" s="7"/>
      <c r="BQ6912" s="7"/>
      <c r="BZ6912" s="7"/>
    </row>
    <row r="6913" spans="2:78">
      <c r="B6913" s="7"/>
      <c r="O6913" s="7"/>
      <c r="X6913" s="7"/>
      <c r="AG6913" s="7"/>
      <c r="AP6913" s="7"/>
      <c r="AY6913" s="7"/>
      <c r="BH6913" s="7"/>
      <c r="BQ6913" s="7"/>
      <c r="BZ6913" s="7"/>
    </row>
    <row r="6914" spans="2:78">
      <c r="B6914" s="7"/>
      <c r="O6914" s="7"/>
      <c r="X6914" s="7"/>
      <c r="AG6914" s="7"/>
      <c r="AP6914" s="7"/>
      <c r="AY6914" s="7"/>
      <c r="BH6914" s="7"/>
      <c r="BQ6914" s="7"/>
      <c r="BZ6914" s="7"/>
    </row>
    <row r="6915" spans="2:78">
      <c r="B6915" s="7"/>
      <c r="O6915" s="7"/>
      <c r="X6915" s="7"/>
      <c r="AG6915" s="7"/>
      <c r="AP6915" s="7"/>
      <c r="AY6915" s="7"/>
      <c r="BH6915" s="7"/>
      <c r="BQ6915" s="7"/>
      <c r="BZ6915" s="7"/>
    </row>
    <row r="6916" spans="2:78">
      <c r="B6916" s="7"/>
      <c r="O6916" s="7"/>
      <c r="X6916" s="7"/>
      <c r="AG6916" s="7"/>
      <c r="AP6916" s="7"/>
      <c r="AY6916" s="7"/>
      <c r="BH6916" s="7"/>
      <c r="BQ6916" s="7"/>
      <c r="BZ6916" s="7"/>
    </row>
    <row r="6917" spans="2:78">
      <c r="B6917" s="7"/>
      <c r="O6917" s="7"/>
      <c r="X6917" s="7"/>
      <c r="AG6917" s="7"/>
      <c r="AP6917" s="7"/>
      <c r="AY6917" s="7"/>
      <c r="BH6917" s="7"/>
      <c r="BQ6917" s="7"/>
      <c r="BZ6917" s="7"/>
    </row>
    <row r="6918" spans="2:78">
      <c r="B6918" s="7"/>
      <c r="O6918" s="7"/>
      <c r="X6918" s="7"/>
      <c r="AG6918" s="7"/>
      <c r="AP6918" s="7"/>
      <c r="AY6918" s="7"/>
      <c r="BH6918" s="7"/>
      <c r="BQ6918" s="7"/>
      <c r="BZ6918" s="7"/>
    </row>
    <row r="6919" spans="2:78">
      <c r="B6919" s="7"/>
      <c r="O6919" s="7"/>
      <c r="X6919" s="7"/>
      <c r="AG6919" s="7"/>
      <c r="AP6919" s="7"/>
      <c r="AY6919" s="7"/>
      <c r="BH6919" s="7"/>
      <c r="BQ6919" s="7"/>
      <c r="BZ6919" s="7"/>
    </row>
    <row r="6920" spans="2:78">
      <c r="B6920" s="7"/>
      <c r="O6920" s="7"/>
      <c r="X6920" s="7"/>
      <c r="AG6920" s="7"/>
      <c r="AP6920" s="7"/>
      <c r="AY6920" s="7"/>
      <c r="BH6920" s="7"/>
      <c r="BQ6920" s="7"/>
      <c r="BZ6920" s="7"/>
    </row>
    <row r="6921" spans="2:78">
      <c r="B6921" s="7"/>
      <c r="O6921" s="7"/>
      <c r="X6921" s="7"/>
      <c r="AG6921" s="7"/>
      <c r="AP6921" s="7"/>
      <c r="AY6921" s="7"/>
      <c r="BH6921" s="7"/>
      <c r="BQ6921" s="7"/>
      <c r="BZ6921" s="7"/>
    </row>
    <row r="6922" spans="2:78">
      <c r="B6922" s="7"/>
      <c r="O6922" s="7"/>
      <c r="X6922" s="7"/>
      <c r="AG6922" s="7"/>
      <c r="AP6922" s="7"/>
      <c r="AY6922" s="7"/>
      <c r="BH6922" s="7"/>
      <c r="BQ6922" s="7"/>
      <c r="BZ6922" s="7"/>
    </row>
    <row r="6923" spans="2:78">
      <c r="B6923" s="7"/>
      <c r="O6923" s="7"/>
      <c r="X6923" s="7"/>
      <c r="AG6923" s="7"/>
      <c r="AP6923" s="7"/>
      <c r="AY6923" s="7"/>
      <c r="BH6923" s="7"/>
      <c r="BQ6923" s="7"/>
      <c r="BZ6923" s="7"/>
    </row>
    <row r="6924" spans="2:78">
      <c r="B6924" s="7"/>
      <c r="O6924" s="7"/>
      <c r="X6924" s="7"/>
      <c r="AG6924" s="7"/>
      <c r="AP6924" s="7"/>
      <c r="AY6924" s="7"/>
      <c r="BH6924" s="7"/>
      <c r="BQ6924" s="7"/>
      <c r="BZ6924" s="7"/>
    </row>
    <row r="6925" spans="2:78">
      <c r="B6925" s="7"/>
      <c r="O6925" s="7"/>
      <c r="X6925" s="7"/>
      <c r="AG6925" s="7"/>
      <c r="AP6925" s="7"/>
      <c r="AY6925" s="7"/>
      <c r="BH6925" s="7"/>
      <c r="BQ6925" s="7"/>
      <c r="BZ6925" s="7"/>
    </row>
    <row r="6926" spans="2:78">
      <c r="B6926" s="7"/>
      <c r="O6926" s="7"/>
      <c r="X6926" s="7"/>
      <c r="AG6926" s="7"/>
      <c r="AP6926" s="7"/>
      <c r="AY6926" s="7"/>
      <c r="BH6926" s="7"/>
      <c r="BQ6926" s="7"/>
      <c r="BZ6926" s="7"/>
    </row>
    <row r="6927" spans="2:78">
      <c r="B6927" s="7"/>
      <c r="O6927" s="7"/>
      <c r="X6927" s="7"/>
      <c r="AG6927" s="7"/>
      <c r="AP6927" s="7"/>
      <c r="AY6927" s="7"/>
      <c r="BH6927" s="7"/>
      <c r="BQ6927" s="7"/>
      <c r="BZ6927" s="7"/>
    </row>
    <row r="6928" spans="2:78">
      <c r="B6928" s="7"/>
      <c r="O6928" s="7"/>
      <c r="X6928" s="7"/>
      <c r="AG6928" s="7"/>
      <c r="AP6928" s="7"/>
      <c r="AY6928" s="7"/>
      <c r="BH6928" s="7"/>
      <c r="BQ6928" s="7"/>
      <c r="BZ6928" s="7"/>
    </row>
    <row r="6929" spans="2:78">
      <c r="B6929" s="7"/>
      <c r="O6929" s="7"/>
      <c r="X6929" s="7"/>
      <c r="AG6929" s="7"/>
      <c r="AP6929" s="7"/>
      <c r="AY6929" s="7"/>
      <c r="BH6929" s="7"/>
      <c r="BQ6929" s="7"/>
      <c r="BZ6929" s="7"/>
    </row>
    <row r="6930" spans="2:78">
      <c r="B6930" s="7"/>
      <c r="O6930" s="7"/>
      <c r="X6930" s="7"/>
      <c r="AG6930" s="7"/>
      <c r="AP6930" s="7"/>
      <c r="AY6930" s="7"/>
      <c r="BH6930" s="7"/>
      <c r="BQ6930" s="7"/>
      <c r="BZ6930" s="7"/>
    </row>
    <row r="6931" spans="2:78">
      <c r="B6931" s="7"/>
      <c r="O6931" s="7"/>
      <c r="X6931" s="7"/>
      <c r="AG6931" s="7"/>
      <c r="AP6931" s="7"/>
      <c r="AY6931" s="7"/>
      <c r="BH6931" s="7"/>
      <c r="BQ6931" s="7"/>
      <c r="BZ6931" s="7"/>
    </row>
    <row r="6932" spans="2:78">
      <c r="B6932" s="7"/>
      <c r="O6932" s="7"/>
      <c r="X6932" s="7"/>
      <c r="AG6932" s="7"/>
      <c r="AP6932" s="7"/>
      <c r="AY6932" s="7"/>
      <c r="BH6932" s="7"/>
      <c r="BQ6932" s="7"/>
      <c r="BZ6932" s="7"/>
    </row>
    <row r="6933" spans="2:78">
      <c r="B6933" s="7"/>
      <c r="O6933" s="7"/>
      <c r="X6933" s="7"/>
      <c r="AG6933" s="7"/>
      <c r="AP6933" s="7"/>
      <c r="AY6933" s="7"/>
      <c r="BH6933" s="7"/>
      <c r="BQ6933" s="7"/>
      <c r="BZ6933" s="7"/>
    </row>
    <row r="6934" spans="2:78">
      <c r="B6934" s="7"/>
      <c r="O6934" s="7"/>
      <c r="X6934" s="7"/>
      <c r="AG6934" s="7"/>
      <c r="AP6934" s="7"/>
      <c r="AY6934" s="7"/>
      <c r="BH6934" s="7"/>
      <c r="BQ6934" s="7"/>
      <c r="BZ6934" s="7"/>
    </row>
    <row r="6935" spans="2:78">
      <c r="B6935" s="7"/>
      <c r="O6935" s="7"/>
      <c r="X6935" s="7"/>
      <c r="AG6935" s="7"/>
      <c r="AP6935" s="7"/>
      <c r="AY6935" s="7"/>
      <c r="BH6935" s="7"/>
      <c r="BQ6935" s="7"/>
      <c r="BZ6935" s="7"/>
    </row>
    <row r="6936" spans="2:78">
      <c r="B6936" s="7"/>
      <c r="O6936" s="7"/>
      <c r="X6936" s="7"/>
      <c r="AG6936" s="7"/>
      <c r="AP6936" s="7"/>
      <c r="AY6936" s="7"/>
      <c r="BH6936" s="7"/>
      <c r="BQ6936" s="7"/>
      <c r="BZ6936" s="7"/>
    </row>
    <row r="6937" spans="2:78">
      <c r="B6937" s="7"/>
      <c r="O6937" s="7"/>
      <c r="X6937" s="7"/>
      <c r="AG6937" s="7"/>
      <c r="AP6937" s="7"/>
      <c r="AY6937" s="7"/>
      <c r="BH6937" s="7"/>
      <c r="BQ6937" s="7"/>
      <c r="BZ6937" s="7"/>
    </row>
    <row r="6938" spans="2:78">
      <c r="B6938" s="7"/>
      <c r="O6938" s="7"/>
      <c r="X6938" s="7"/>
      <c r="AG6938" s="7"/>
      <c r="AP6938" s="7"/>
      <c r="AY6938" s="7"/>
      <c r="BH6938" s="7"/>
      <c r="BQ6938" s="7"/>
      <c r="BZ6938" s="7"/>
    </row>
    <row r="6939" spans="2:78">
      <c r="B6939" s="7"/>
      <c r="O6939" s="7"/>
      <c r="X6939" s="7"/>
      <c r="AG6939" s="7"/>
      <c r="AP6939" s="7"/>
      <c r="AY6939" s="7"/>
      <c r="BH6939" s="7"/>
      <c r="BQ6939" s="7"/>
      <c r="BZ6939" s="7"/>
    </row>
    <row r="6940" spans="2:78">
      <c r="B6940" s="7"/>
      <c r="O6940" s="7"/>
      <c r="X6940" s="7"/>
      <c r="AG6940" s="7"/>
      <c r="AP6940" s="7"/>
      <c r="AY6940" s="7"/>
      <c r="BH6940" s="7"/>
      <c r="BQ6940" s="7"/>
      <c r="BZ6940" s="7"/>
    </row>
    <row r="6941" spans="2:78">
      <c r="B6941" s="7"/>
      <c r="O6941" s="7"/>
      <c r="X6941" s="7"/>
      <c r="AG6941" s="7"/>
      <c r="AP6941" s="7"/>
      <c r="AY6941" s="7"/>
      <c r="BH6941" s="7"/>
      <c r="BQ6941" s="7"/>
      <c r="BZ6941" s="7"/>
    </row>
    <row r="6942" spans="2:78">
      <c r="B6942" s="7"/>
      <c r="O6942" s="7"/>
      <c r="X6942" s="7"/>
      <c r="AG6942" s="7"/>
      <c r="AP6942" s="7"/>
      <c r="AY6942" s="7"/>
      <c r="BH6942" s="7"/>
      <c r="BQ6942" s="7"/>
      <c r="BZ6942" s="7"/>
    </row>
    <row r="6943" spans="2:78">
      <c r="B6943" s="7"/>
      <c r="O6943" s="7"/>
      <c r="X6943" s="7"/>
      <c r="AG6943" s="7"/>
      <c r="AP6943" s="7"/>
      <c r="AY6943" s="7"/>
      <c r="BH6943" s="7"/>
      <c r="BQ6943" s="7"/>
      <c r="BZ6943" s="7"/>
    </row>
    <row r="6944" spans="2:78">
      <c r="B6944" s="7"/>
      <c r="O6944" s="7"/>
      <c r="X6944" s="7"/>
      <c r="AG6944" s="7"/>
      <c r="AP6944" s="7"/>
      <c r="AY6944" s="7"/>
      <c r="BH6944" s="7"/>
      <c r="BQ6944" s="7"/>
      <c r="BZ6944" s="7"/>
    </row>
    <row r="6945" spans="2:78">
      <c r="B6945" s="7"/>
      <c r="O6945" s="7"/>
      <c r="X6945" s="7"/>
      <c r="AG6945" s="7"/>
      <c r="AP6945" s="7"/>
      <c r="AY6945" s="7"/>
      <c r="BH6945" s="7"/>
      <c r="BQ6945" s="7"/>
      <c r="BZ6945" s="7"/>
    </row>
    <row r="6946" spans="2:78">
      <c r="B6946" s="7"/>
      <c r="O6946" s="7"/>
      <c r="X6946" s="7"/>
      <c r="AG6946" s="7"/>
      <c r="AP6946" s="7"/>
      <c r="AY6946" s="7"/>
      <c r="BH6946" s="7"/>
      <c r="BQ6946" s="7"/>
      <c r="BZ6946" s="7"/>
    </row>
    <row r="6947" spans="2:78">
      <c r="B6947" s="7"/>
      <c r="O6947" s="7"/>
      <c r="X6947" s="7"/>
      <c r="AG6947" s="7"/>
      <c r="AP6947" s="7"/>
      <c r="AY6947" s="7"/>
      <c r="BH6947" s="7"/>
      <c r="BQ6947" s="7"/>
      <c r="BZ6947" s="7"/>
    </row>
    <row r="6948" spans="2:78">
      <c r="B6948" s="7"/>
      <c r="O6948" s="7"/>
      <c r="X6948" s="7"/>
      <c r="AG6948" s="7"/>
      <c r="AP6948" s="7"/>
      <c r="AY6948" s="7"/>
      <c r="BH6948" s="7"/>
      <c r="BQ6948" s="7"/>
      <c r="BZ6948" s="7"/>
    </row>
    <row r="6949" spans="2:78">
      <c r="B6949" s="7"/>
      <c r="O6949" s="7"/>
      <c r="X6949" s="7"/>
      <c r="AG6949" s="7"/>
      <c r="AP6949" s="7"/>
      <c r="AY6949" s="7"/>
      <c r="BH6949" s="7"/>
      <c r="BQ6949" s="7"/>
      <c r="BZ6949" s="7"/>
    </row>
    <row r="6950" spans="2:78">
      <c r="B6950" s="7"/>
      <c r="O6950" s="7"/>
      <c r="X6950" s="7"/>
      <c r="AG6950" s="7"/>
      <c r="AP6950" s="7"/>
      <c r="AY6950" s="7"/>
      <c r="BH6950" s="7"/>
      <c r="BQ6950" s="7"/>
      <c r="BZ6950" s="7"/>
    </row>
    <row r="6951" spans="2:78">
      <c r="B6951" s="7"/>
      <c r="O6951" s="7"/>
      <c r="X6951" s="7"/>
      <c r="AG6951" s="7"/>
      <c r="AP6951" s="7"/>
      <c r="AY6951" s="7"/>
      <c r="BH6951" s="7"/>
      <c r="BQ6951" s="7"/>
      <c r="BZ6951" s="7"/>
    </row>
    <row r="6952" spans="2:78">
      <c r="B6952" s="7"/>
      <c r="O6952" s="7"/>
      <c r="X6952" s="7"/>
      <c r="AG6952" s="7"/>
      <c r="AP6952" s="7"/>
      <c r="AY6952" s="7"/>
      <c r="BH6952" s="7"/>
      <c r="BQ6952" s="7"/>
      <c r="BZ6952" s="7"/>
    </row>
    <row r="6953" spans="2:78">
      <c r="B6953" s="7"/>
      <c r="O6953" s="7"/>
      <c r="X6953" s="7"/>
      <c r="AG6953" s="7"/>
      <c r="AP6953" s="7"/>
      <c r="AY6953" s="7"/>
      <c r="BH6953" s="7"/>
      <c r="BQ6953" s="7"/>
      <c r="BZ6953" s="7"/>
    </row>
    <row r="6954" spans="2:78">
      <c r="B6954" s="7"/>
      <c r="O6954" s="7"/>
      <c r="X6954" s="7"/>
      <c r="AG6954" s="7"/>
      <c r="AP6954" s="7"/>
      <c r="AY6954" s="7"/>
      <c r="BH6954" s="7"/>
      <c r="BQ6954" s="7"/>
      <c r="BZ6954" s="7"/>
    </row>
    <row r="6955" spans="2:78">
      <c r="B6955" s="7"/>
      <c r="O6955" s="7"/>
      <c r="X6955" s="7"/>
      <c r="AG6955" s="7"/>
      <c r="AP6955" s="7"/>
      <c r="AY6955" s="7"/>
      <c r="BH6955" s="7"/>
      <c r="BQ6955" s="7"/>
      <c r="BZ6955" s="7"/>
    </row>
    <row r="6956" spans="2:78">
      <c r="B6956" s="7"/>
      <c r="O6956" s="7"/>
      <c r="X6956" s="7"/>
      <c r="AG6956" s="7"/>
      <c r="AP6956" s="7"/>
      <c r="AY6956" s="7"/>
      <c r="BH6956" s="7"/>
      <c r="BQ6956" s="7"/>
      <c r="BZ6956" s="7"/>
    </row>
    <row r="6957" spans="2:78">
      <c r="B6957" s="7"/>
      <c r="O6957" s="7"/>
      <c r="X6957" s="7"/>
      <c r="AG6957" s="7"/>
      <c r="AP6957" s="7"/>
      <c r="AY6957" s="7"/>
      <c r="BH6957" s="7"/>
      <c r="BQ6957" s="7"/>
      <c r="BZ6957" s="7"/>
    </row>
    <row r="6958" spans="2:78">
      <c r="B6958" s="7"/>
      <c r="O6958" s="7"/>
      <c r="X6958" s="7"/>
      <c r="AG6958" s="7"/>
      <c r="AP6958" s="7"/>
      <c r="AY6958" s="7"/>
      <c r="BH6958" s="7"/>
      <c r="BQ6958" s="7"/>
      <c r="BZ6958" s="7"/>
    </row>
    <row r="6959" spans="2:78">
      <c r="B6959" s="7"/>
      <c r="O6959" s="7"/>
      <c r="X6959" s="7"/>
      <c r="AG6959" s="7"/>
      <c r="AP6959" s="7"/>
      <c r="AY6959" s="7"/>
      <c r="BH6959" s="7"/>
      <c r="BQ6959" s="7"/>
      <c r="BZ6959" s="7"/>
    </row>
    <row r="6960" spans="2:78">
      <c r="B6960" s="7"/>
      <c r="O6960" s="7"/>
      <c r="X6960" s="7"/>
      <c r="AG6960" s="7"/>
      <c r="AP6960" s="7"/>
      <c r="AY6960" s="7"/>
      <c r="BH6960" s="7"/>
      <c r="BQ6960" s="7"/>
      <c r="BZ6960" s="7"/>
    </row>
    <row r="6961" spans="2:78">
      <c r="B6961" s="7"/>
      <c r="O6961" s="7"/>
      <c r="X6961" s="7"/>
      <c r="AG6961" s="7"/>
      <c r="AP6961" s="7"/>
      <c r="AY6961" s="7"/>
      <c r="BH6961" s="7"/>
      <c r="BQ6961" s="7"/>
      <c r="BZ6961" s="7"/>
    </row>
    <row r="6962" spans="2:78">
      <c r="B6962" s="7"/>
      <c r="O6962" s="7"/>
      <c r="X6962" s="7"/>
      <c r="AG6962" s="7"/>
      <c r="AP6962" s="7"/>
      <c r="AY6962" s="7"/>
      <c r="BH6962" s="7"/>
      <c r="BQ6962" s="7"/>
      <c r="BZ6962" s="7"/>
    </row>
    <row r="6963" spans="2:78">
      <c r="B6963" s="7"/>
      <c r="O6963" s="7"/>
      <c r="X6963" s="7"/>
      <c r="AG6963" s="7"/>
      <c r="AP6963" s="7"/>
      <c r="AY6963" s="7"/>
      <c r="BH6963" s="7"/>
      <c r="BQ6963" s="7"/>
      <c r="BZ6963" s="7"/>
    </row>
    <row r="6964" spans="2:78">
      <c r="B6964" s="7"/>
      <c r="O6964" s="7"/>
      <c r="X6964" s="7"/>
      <c r="AG6964" s="7"/>
      <c r="AP6964" s="7"/>
      <c r="AY6964" s="7"/>
      <c r="BH6964" s="7"/>
      <c r="BQ6964" s="7"/>
      <c r="BZ6964" s="7"/>
    </row>
    <row r="6965" spans="2:78">
      <c r="B6965" s="7"/>
      <c r="O6965" s="7"/>
      <c r="X6965" s="7"/>
      <c r="AG6965" s="7"/>
      <c r="AP6965" s="7"/>
      <c r="AY6965" s="7"/>
      <c r="BH6965" s="7"/>
      <c r="BQ6965" s="7"/>
      <c r="BZ6965" s="7"/>
    </row>
    <row r="6966" spans="2:78">
      <c r="B6966" s="7"/>
      <c r="O6966" s="7"/>
      <c r="X6966" s="7"/>
      <c r="AG6966" s="7"/>
      <c r="AP6966" s="7"/>
      <c r="AY6966" s="7"/>
      <c r="BH6966" s="7"/>
      <c r="BQ6966" s="7"/>
      <c r="BZ6966" s="7"/>
    </row>
    <row r="6967" spans="2:78">
      <c r="B6967" s="7"/>
      <c r="O6967" s="7"/>
      <c r="X6967" s="7"/>
      <c r="AG6967" s="7"/>
      <c r="AP6967" s="7"/>
      <c r="AY6967" s="7"/>
      <c r="BH6967" s="7"/>
      <c r="BQ6967" s="7"/>
      <c r="BZ6967" s="7"/>
    </row>
    <row r="6968" spans="2:78">
      <c r="B6968" s="7"/>
      <c r="O6968" s="7"/>
      <c r="X6968" s="7"/>
      <c r="AG6968" s="7"/>
      <c r="AP6968" s="7"/>
      <c r="AY6968" s="7"/>
      <c r="BH6968" s="7"/>
      <c r="BQ6968" s="7"/>
      <c r="BZ6968" s="7"/>
    </row>
    <row r="6969" spans="2:78">
      <c r="B6969" s="7"/>
      <c r="O6969" s="7"/>
      <c r="X6969" s="7"/>
      <c r="AG6969" s="7"/>
      <c r="AP6969" s="7"/>
      <c r="AY6969" s="7"/>
      <c r="BH6969" s="7"/>
      <c r="BQ6969" s="7"/>
      <c r="BZ6969" s="7"/>
    </row>
    <row r="6970" spans="2:78">
      <c r="B6970" s="7"/>
      <c r="O6970" s="7"/>
      <c r="X6970" s="7"/>
      <c r="AG6970" s="7"/>
      <c r="AP6970" s="7"/>
      <c r="AY6970" s="7"/>
      <c r="BH6970" s="7"/>
      <c r="BQ6970" s="7"/>
      <c r="BZ6970" s="7"/>
    </row>
    <row r="6971" spans="2:78">
      <c r="B6971" s="7"/>
      <c r="O6971" s="7"/>
      <c r="X6971" s="7"/>
      <c r="AG6971" s="7"/>
      <c r="AP6971" s="7"/>
      <c r="AY6971" s="7"/>
      <c r="BH6971" s="7"/>
      <c r="BQ6971" s="7"/>
      <c r="BZ6971" s="7"/>
    </row>
    <row r="6972" spans="2:78">
      <c r="B6972" s="7"/>
      <c r="O6972" s="7"/>
      <c r="X6972" s="7"/>
      <c r="AG6972" s="7"/>
      <c r="AP6972" s="7"/>
      <c r="AY6972" s="7"/>
      <c r="BH6972" s="7"/>
      <c r="BQ6972" s="7"/>
      <c r="BZ6972" s="7"/>
    </row>
    <row r="6973" spans="2:78">
      <c r="B6973" s="7"/>
      <c r="O6973" s="7"/>
      <c r="X6973" s="7"/>
      <c r="AG6973" s="7"/>
      <c r="AP6973" s="7"/>
      <c r="AY6973" s="7"/>
      <c r="BH6973" s="7"/>
      <c r="BQ6973" s="7"/>
      <c r="BZ6973" s="7"/>
    </row>
    <row r="6974" spans="2:78">
      <c r="B6974" s="7"/>
      <c r="O6974" s="7"/>
      <c r="X6974" s="7"/>
      <c r="AG6974" s="7"/>
      <c r="AP6974" s="7"/>
      <c r="AY6974" s="7"/>
      <c r="BH6974" s="7"/>
      <c r="BQ6974" s="7"/>
      <c r="BZ6974" s="7"/>
    </row>
    <row r="6975" spans="2:78">
      <c r="B6975" s="7"/>
      <c r="O6975" s="7"/>
      <c r="X6975" s="7"/>
      <c r="AG6975" s="7"/>
      <c r="AP6975" s="7"/>
      <c r="AY6975" s="7"/>
      <c r="BH6975" s="7"/>
      <c r="BQ6975" s="7"/>
      <c r="BZ6975" s="7"/>
    </row>
    <row r="6976" spans="2:78">
      <c r="B6976" s="7"/>
      <c r="O6976" s="7"/>
      <c r="X6976" s="7"/>
      <c r="AG6976" s="7"/>
      <c r="AP6976" s="7"/>
      <c r="AY6976" s="7"/>
      <c r="BH6976" s="7"/>
      <c r="BQ6976" s="7"/>
      <c r="BZ6976" s="7"/>
    </row>
    <row r="6977" spans="2:78">
      <c r="B6977" s="7"/>
      <c r="O6977" s="7"/>
      <c r="X6977" s="7"/>
      <c r="AG6977" s="7"/>
      <c r="AP6977" s="7"/>
      <c r="AY6977" s="7"/>
      <c r="BH6977" s="7"/>
      <c r="BQ6977" s="7"/>
      <c r="BZ6977" s="7"/>
    </row>
    <row r="6978" spans="2:78">
      <c r="B6978" s="7"/>
      <c r="O6978" s="7"/>
      <c r="X6978" s="7"/>
      <c r="AG6978" s="7"/>
      <c r="AP6978" s="7"/>
      <c r="AY6978" s="7"/>
      <c r="BH6978" s="7"/>
      <c r="BQ6978" s="7"/>
      <c r="BZ6978" s="7"/>
    </row>
    <row r="6979" spans="2:78">
      <c r="B6979" s="7"/>
      <c r="O6979" s="7"/>
      <c r="X6979" s="7"/>
      <c r="AG6979" s="7"/>
      <c r="AP6979" s="7"/>
      <c r="AY6979" s="7"/>
      <c r="BH6979" s="7"/>
      <c r="BQ6979" s="7"/>
      <c r="BZ6979" s="7"/>
    </row>
    <row r="6980" spans="2:78">
      <c r="B6980" s="7"/>
      <c r="O6980" s="7"/>
      <c r="X6980" s="7"/>
      <c r="AG6980" s="7"/>
      <c r="AP6980" s="7"/>
      <c r="AY6980" s="7"/>
      <c r="BH6980" s="7"/>
      <c r="BQ6980" s="7"/>
      <c r="BZ6980" s="7"/>
    </row>
    <row r="6981" spans="2:78">
      <c r="B6981" s="7"/>
      <c r="O6981" s="7"/>
      <c r="X6981" s="7"/>
      <c r="AG6981" s="7"/>
      <c r="AP6981" s="7"/>
      <c r="AY6981" s="7"/>
      <c r="BH6981" s="7"/>
      <c r="BQ6981" s="7"/>
      <c r="BZ6981" s="7"/>
    </row>
    <row r="6982" spans="2:78">
      <c r="B6982" s="7"/>
      <c r="O6982" s="7"/>
      <c r="X6982" s="7"/>
      <c r="AG6982" s="7"/>
      <c r="AP6982" s="7"/>
      <c r="AY6982" s="7"/>
      <c r="BH6982" s="7"/>
      <c r="BQ6982" s="7"/>
      <c r="BZ6982" s="7"/>
    </row>
    <row r="6983" spans="2:78">
      <c r="B6983" s="7"/>
      <c r="O6983" s="7"/>
      <c r="X6983" s="7"/>
      <c r="AG6983" s="7"/>
      <c r="AP6983" s="7"/>
      <c r="AY6983" s="7"/>
      <c r="BH6983" s="7"/>
      <c r="BQ6983" s="7"/>
      <c r="BZ6983" s="7"/>
    </row>
    <row r="6984" spans="2:78">
      <c r="B6984" s="7"/>
      <c r="O6984" s="7"/>
      <c r="X6984" s="7"/>
      <c r="AG6984" s="7"/>
      <c r="AP6984" s="7"/>
      <c r="AY6984" s="7"/>
      <c r="BH6984" s="7"/>
      <c r="BQ6984" s="7"/>
      <c r="BZ6984" s="7"/>
    </row>
    <row r="6985" spans="2:78">
      <c r="B6985" s="7"/>
      <c r="O6985" s="7"/>
      <c r="X6985" s="7"/>
      <c r="AG6985" s="7"/>
      <c r="AP6985" s="7"/>
      <c r="AY6985" s="7"/>
      <c r="BH6985" s="7"/>
      <c r="BQ6985" s="7"/>
      <c r="BZ6985" s="7"/>
    </row>
    <row r="6986" spans="2:78">
      <c r="B6986" s="7"/>
      <c r="O6986" s="7"/>
      <c r="X6986" s="7"/>
      <c r="AG6986" s="7"/>
      <c r="AP6986" s="7"/>
      <c r="AY6986" s="7"/>
      <c r="BH6986" s="7"/>
      <c r="BQ6986" s="7"/>
      <c r="BZ6986" s="7"/>
    </row>
    <row r="6987" spans="2:78">
      <c r="B6987" s="7"/>
      <c r="O6987" s="7"/>
      <c r="X6987" s="7"/>
      <c r="AG6987" s="7"/>
      <c r="AP6987" s="7"/>
      <c r="AY6987" s="7"/>
      <c r="BH6987" s="7"/>
      <c r="BQ6987" s="7"/>
      <c r="BZ6987" s="7"/>
    </row>
    <row r="6988" spans="2:78">
      <c r="B6988" s="7"/>
      <c r="O6988" s="7"/>
      <c r="X6988" s="7"/>
      <c r="AG6988" s="7"/>
      <c r="AP6988" s="7"/>
      <c r="AY6988" s="7"/>
      <c r="BH6988" s="7"/>
      <c r="BQ6988" s="7"/>
      <c r="BZ6988" s="7"/>
    </row>
    <row r="6989" spans="2:78">
      <c r="B6989" s="7"/>
      <c r="O6989" s="7"/>
      <c r="X6989" s="7"/>
      <c r="AG6989" s="7"/>
      <c r="AP6989" s="7"/>
      <c r="AY6989" s="7"/>
      <c r="BH6989" s="7"/>
      <c r="BQ6989" s="7"/>
      <c r="BZ6989" s="7"/>
    </row>
    <row r="6990" spans="2:78">
      <c r="B6990" s="7"/>
      <c r="O6990" s="7"/>
      <c r="X6990" s="7"/>
      <c r="AG6990" s="7"/>
      <c r="AP6990" s="7"/>
      <c r="AY6990" s="7"/>
      <c r="BH6990" s="7"/>
      <c r="BQ6990" s="7"/>
      <c r="BZ6990" s="7"/>
    </row>
    <row r="6991" spans="2:78">
      <c r="B6991" s="7"/>
      <c r="O6991" s="7"/>
      <c r="X6991" s="7"/>
      <c r="AG6991" s="7"/>
      <c r="AP6991" s="7"/>
      <c r="AY6991" s="7"/>
      <c r="BH6991" s="7"/>
      <c r="BQ6991" s="7"/>
      <c r="BZ6991" s="7"/>
    </row>
    <row r="6992" spans="2:78">
      <c r="B6992" s="7"/>
      <c r="O6992" s="7"/>
      <c r="X6992" s="7"/>
      <c r="AG6992" s="7"/>
      <c r="AP6992" s="7"/>
      <c r="AY6992" s="7"/>
      <c r="BH6992" s="7"/>
      <c r="BQ6992" s="7"/>
      <c r="BZ6992" s="7"/>
    </row>
    <row r="6993" spans="2:78">
      <c r="B6993" s="7"/>
      <c r="O6993" s="7"/>
      <c r="X6993" s="7"/>
      <c r="AG6993" s="7"/>
      <c r="AP6993" s="7"/>
      <c r="AY6993" s="7"/>
      <c r="BH6993" s="7"/>
      <c r="BQ6993" s="7"/>
      <c r="BZ6993" s="7"/>
    </row>
    <row r="6994" spans="2:78">
      <c r="B6994" s="7"/>
      <c r="O6994" s="7"/>
      <c r="X6994" s="7"/>
      <c r="AG6994" s="7"/>
      <c r="AP6994" s="7"/>
      <c r="AY6994" s="7"/>
      <c r="BH6994" s="7"/>
      <c r="BQ6994" s="7"/>
      <c r="BZ6994" s="7"/>
    </row>
    <row r="6995" spans="2:78">
      <c r="B6995" s="7"/>
      <c r="O6995" s="7"/>
      <c r="X6995" s="7"/>
      <c r="AG6995" s="7"/>
      <c r="AP6995" s="7"/>
      <c r="AY6995" s="7"/>
      <c r="BH6995" s="7"/>
      <c r="BQ6995" s="7"/>
      <c r="BZ6995" s="7"/>
    </row>
    <row r="6996" spans="2:78">
      <c r="B6996" s="7"/>
      <c r="O6996" s="7"/>
      <c r="X6996" s="7"/>
      <c r="AG6996" s="7"/>
      <c r="AP6996" s="7"/>
      <c r="AY6996" s="7"/>
      <c r="BH6996" s="7"/>
      <c r="BQ6996" s="7"/>
      <c r="BZ6996" s="7"/>
    </row>
    <row r="6997" spans="2:78">
      <c r="B6997" s="7"/>
      <c r="O6997" s="7"/>
      <c r="X6997" s="7"/>
      <c r="AG6997" s="7"/>
      <c r="AP6997" s="7"/>
      <c r="AY6997" s="7"/>
      <c r="BH6997" s="7"/>
      <c r="BQ6997" s="7"/>
      <c r="BZ6997" s="7"/>
    </row>
    <row r="6998" spans="2:78">
      <c r="B6998" s="7"/>
      <c r="O6998" s="7"/>
      <c r="X6998" s="7"/>
      <c r="AG6998" s="7"/>
      <c r="AP6998" s="7"/>
      <c r="AY6998" s="7"/>
      <c r="BH6998" s="7"/>
      <c r="BQ6998" s="7"/>
      <c r="BZ6998" s="7"/>
    </row>
    <row r="6999" spans="2:78">
      <c r="B6999" s="7"/>
      <c r="O6999" s="7"/>
      <c r="X6999" s="7"/>
      <c r="AG6999" s="7"/>
      <c r="AP6999" s="7"/>
      <c r="AY6999" s="7"/>
      <c r="BH6999" s="7"/>
      <c r="BQ6999" s="7"/>
      <c r="BZ6999" s="7"/>
    </row>
    <row r="7000" spans="2:78">
      <c r="B7000" s="7"/>
      <c r="O7000" s="7"/>
      <c r="X7000" s="7"/>
      <c r="AG7000" s="7"/>
      <c r="AP7000" s="7"/>
      <c r="AY7000" s="7"/>
      <c r="BH7000" s="7"/>
      <c r="BQ7000" s="7"/>
      <c r="BZ7000" s="7"/>
    </row>
    <row r="7001" spans="2:78">
      <c r="B7001" s="7"/>
      <c r="O7001" s="7"/>
      <c r="X7001" s="7"/>
      <c r="AG7001" s="7"/>
      <c r="AP7001" s="7"/>
      <c r="AY7001" s="7"/>
      <c r="BH7001" s="7"/>
      <c r="BQ7001" s="7"/>
      <c r="BZ7001" s="7"/>
    </row>
    <row r="7002" spans="2:78">
      <c r="B7002" s="7"/>
      <c r="O7002" s="7"/>
      <c r="X7002" s="7"/>
      <c r="AG7002" s="7"/>
      <c r="AP7002" s="7"/>
      <c r="AY7002" s="7"/>
      <c r="BH7002" s="7"/>
      <c r="BQ7002" s="7"/>
      <c r="BZ7002" s="7"/>
    </row>
    <row r="7003" spans="2:78">
      <c r="B7003" s="7"/>
      <c r="O7003" s="7"/>
      <c r="X7003" s="7"/>
      <c r="AG7003" s="7"/>
      <c r="AP7003" s="7"/>
      <c r="AY7003" s="7"/>
      <c r="BH7003" s="7"/>
      <c r="BQ7003" s="7"/>
      <c r="BZ7003" s="7"/>
    </row>
    <row r="7004" spans="2:78">
      <c r="B7004" s="7"/>
      <c r="O7004" s="7"/>
      <c r="X7004" s="7"/>
      <c r="AG7004" s="7"/>
      <c r="AP7004" s="7"/>
      <c r="AY7004" s="7"/>
      <c r="BH7004" s="7"/>
      <c r="BQ7004" s="7"/>
      <c r="BZ7004" s="7"/>
    </row>
    <row r="7005" spans="2:78">
      <c r="B7005" s="7"/>
      <c r="O7005" s="7"/>
      <c r="X7005" s="7"/>
      <c r="AG7005" s="7"/>
      <c r="AP7005" s="7"/>
      <c r="AY7005" s="7"/>
      <c r="BH7005" s="7"/>
      <c r="BQ7005" s="7"/>
      <c r="BZ7005" s="7"/>
    </row>
    <row r="7006" spans="2:78">
      <c r="B7006" s="7"/>
      <c r="O7006" s="7"/>
      <c r="X7006" s="7"/>
      <c r="AG7006" s="7"/>
      <c r="AP7006" s="7"/>
      <c r="AY7006" s="7"/>
      <c r="BH7006" s="7"/>
      <c r="BQ7006" s="7"/>
      <c r="BZ7006" s="7"/>
    </row>
    <row r="7007" spans="2:78">
      <c r="B7007" s="7"/>
      <c r="O7007" s="7"/>
      <c r="X7007" s="7"/>
      <c r="AG7007" s="7"/>
      <c r="AP7007" s="7"/>
      <c r="AY7007" s="7"/>
      <c r="BH7007" s="7"/>
      <c r="BQ7007" s="7"/>
      <c r="BZ7007" s="7"/>
    </row>
    <row r="7008" spans="2:78">
      <c r="B7008" s="7"/>
      <c r="O7008" s="7"/>
      <c r="X7008" s="7"/>
      <c r="AG7008" s="7"/>
      <c r="AP7008" s="7"/>
      <c r="AY7008" s="7"/>
      <c r="BH7008" s="7"/>
      <c r="BQ7008" s="7"/>
      <c r="BZ7008" s="7"/>
    </row>
    <row r="7009" spans="2:78">
      <c r="B7009" s="7"/>
      <c r="O7009" s="7"/>
      <c r="X7009" s="7"/>
      <c r="AG7009" s="7"/>
      <c r="AP7009" s="7"/>
      <c r="AY7009" s="7"/>
      <c r="BH7009" s="7"/>
      <c r="BQ7009" s="7"/>
      <c r="BZ7009" s="7"/>
    </row>
    <row r="7010" spans="2:78">
      <c r="B7010" s="7"/>
      <c r="O7010" s="7"/>
      <c r="X7010" s="7"/>
      <c r="AG7010" s="7"/>
      <c r="AP7010" s="7"/>
      <c r="AY7010" s="7"/>
      <c r="BH7010" s="7"/>
      <c r="BQ7010" s="7"/>
      <c r="BZ7010" s="7"/>
    </row>
    <row r="7011" spans="2:78">
      <c r="B7011" s="7"/>
      <c r="O7011" s="7"/>
      <c r="X7011" s="7"/>
      <c r="AG7011" s="7"/>
      <c r="AP7011" s="7"/>
      <c r="AY7011" s="7"/>
      <c r="BH7011" s="7"/>
      <c r="BQ7011" s="7"/>
      <c r="BZ7011" s="7"/>
    </row>
    <row r="7012" spans="2:78">
      <c r="B7012" s="7"/>
      <c r="O7012" s="7"/>
      <c r="X7012" s="7"/>
      <c r="AG7012" s="7"/>
      <c r="AP7012" s="7"/>
      <c r="AY7012" s="7"/>
      <c r="BH7012" s="7"/>
      <c r="BQ7012" s="7"/>
      <c r="BZ7012" s="7"/>
    </row>
    <row r="7013" spans="2:78">
      <c r="B7013" s="7"/>
      <c r="O7013" s="7"/>
      <c r="X7013" s="7"/>
      <c r="AG7013" s="7"/>
      <c r="AP7013" s="7"/>
      <c r="AY7013" s="7"/>
      <c r="BH7013" s="7"/>
      <c r="BQ7013" s="7"/>
      <c r="BZ7013" s="7"/>
    </row>
    <row r="7014" spans="2:78">
      <c r="B7014" s="7"/>
      <c r="O7014" s="7"/>
      <c r="X7014" s="7"/>
      <c r="AG7014" s="7"/>
      <c r="AP7014" s="7"/>
      <c r="AY7014" s="7"/>
      <c r="BH7014" s="7"/>
      <c r="BQ7014" s="7"/>
      <c r="BZ7014" s="7"/>
    </row>
    <row r="7015" spans="2:78">
      <c r="B7015" s="7"/>
      <c r="O7015" s="7"/>
      <c r="X7015" s="7"/>
      <c r="AG7015" s="7"/>
      <c r="AP7015" s="7"/>
      <c r="AY7015" s="7"/>
      <c r="BH7015" s="7"/>
      <c r="BQ7015" s="7"/>
      <c r="BZ7015" s="7"/>
    </row>
    <row r="7016" spans="2:78">
      <c r="B7016" s="7"/>
      <c r="O7016" s="7"/>
      <c r="X7016" s="7"/>
      <c r="AG7016" s="7"/>
      <c r="AP7016" s="7"/>
      <c r="AY7016" s="7"/>
      <c r="BH7016" s="7"/>
      <c r="BQ7016" s="7"/>
      <c r="BZ7016" s="7"/>
    </row>
    <row r="7017" spans="2:78">
      <c r="B7017" s="7"/>
      <c r="O7017" s="7"/>
      <c r="X7017" s="7"/>
      <c r="AG7017" s="7"/>
      <c r="AP7017" s="7"/>
      <c r="AY7017" s="7"/>
      <c r="BH7017" s="7"/>
      <c r="BQ7017" s="7"/>
      <c r="BZ7017" s="7"/>
    </row>
    <row r="7018" spans="2:78">
      <c r="B7018" s="7"/>
      <c r="O7018" s="7"/>
      <c r="X7018" s="7"/>
      <c r="AG7018" s="7"/>
      <c r="AP7018" s="7"/>
      <c r="AY7018" s="7"/>
      <c r="BH7018" s="7"/>
      <c r="BQ7018" s="7"/>
      <c r="BZ7018" s="7"/>
    </row>
    <row r="7019" spans="2:78">
      <c r="B7019" s="7"/>
      <c r="O7019" s="7"/>
      <c r="X7019" s="7"/>
      <c r="AG7019" s="7"/>
      <c r="AP7019" s="7"/>
      <c r="AY7019" s="7"/>
      <c r="BH7019" s="7"/>
      <c r="BQ7019" s="7"/>
      <c r="BZ7019" s="7"/>
    </row>
    <row r="7020" spans="2:78">
      <c r="B7020" s="7"/>
      <c r="O7020" s="7"/>
      <c r="X7020" s="7"/>
      <c r="AG7020" s="7"/>
      <c r="AP7020" s="7"/>
      <c r="AY7020" s="7"/>
      <c r="BH7020" s="7"/>
      <c r="BQ7020" s="7"/>
      <c r="BZ7020" s="7"/>
    </row>
    <row r="7021" spans="2:78">
      <c r="B7021" s="7"/>
      <c r="O7021" s="7"/>
      <c r="X7021" s="7"/>
      <c r="AG7021" s="7"/>
      <c r="AP7021" s="7"/>
      <c r="AY7021" s="7"/>
      <c r="BH7021" s="7"/>
      <c r="BQ7021" s="7"/>
      <c r="BZ7021" s="7"/>
    </row>
    <row r="7022" spans="2:78">
      <c r="B7022" s="7"/>
      <c r="O7022" s="7"/>
      <c r="X7022" s="7"/>
      <c r="AG7022" s="7"/>
      <c r="AP7022" s="7"/>
      <c r="AY7022" s="7"/>
      <c r="BH7022" s="7"/>
      <c r="BQ7022" s="7"/>
      <c r="BZ7022" s="7"/>
    </row>
    <row r="7023" spans="2:78">
      <c r="B7023" s="7"/>
      <c r="O7023" s="7"/>
      <c r="X7023" s="7"/>
      <c r="AG7023" s="7"/>
      <c r="AP7023" s="7"/>
      <c r="AY7023" s="7"/>
      <c r="BH7023" s="7"/>
      <c r="BQ7023" s="7"/>
      <c r="BZ7023" s="7"/>
    </row>
    <row r="7024" spans="2:78">
      <c r="B7024" s="7"/>
      <c r="O7024" s="7"/>
      <c r="X7024" s="7"/>
      <c r="AG7024" s="7"/>
      <c r="AP7024" s="7"/>
      <c r="AY7024" s="7"/>
      <c r="BH7024" s="7"/>
      <c r="BQ7024" s="7"/>
      <c r="BZ7024" s="7"/>
    </row>
    <row r="7025" spans="2:78">
      <c r="B7025" s="7"/>
      <c r="O7025" s="7"/>
      <c r="X7025" s="7"/>
      <c r="AG7025" s="7"/>
      <c r="AP7025" s="7"/>
      <c r="AY7025" s="7"/>
      <c r="BH7025" s="7"/>
      <c r="BQ7025" s="7"/>
      <c r="BZ7025" s="7"/>
    </row>
    <row r="7026" spans="2:78">
      <c r="B7026" s="7"/>
      <c r="O7026" s="7"/>
      <c r="X7026" s="7"/>
      <c r="AG7026" s="7"/>
      <c r="AP7026" s="7"/>
      <c r="AY7026" s="7"/>
      <c r="BH7026" s="7"/>
      <c r="BQ7026" s="7"/>
      <c r="BZ7026" s="7"/>
    </row>
    <row r="7027" spans="2:78">
      <c r="B7027" s="7"/>
      <c r="O7027" s="7"/>
      <c r="X7027" s="7"/>
      <c r="AG7027" s="7"/>
      <c r="AP7027" s="7"/>
      <c r="AY7027" s="7"/>
      <c r="BH7027" s="7"/>
      <c r="BQ7027" s="7"/>
      <c r="BZ7027" s="7"/>
    </row>
    <row r="7028" spans="2:78">
      <c r="B7028" s="7"/>
      <c r="O7028" s="7"/>
      <c r="X7028" s="7"/>
      <c r="AG7028" s="7"/>
      <c r="AP7028" s="7"/>
      <c r="AY7028" s="7"/>
      <c r="BH7028" s="7"/>
      <c r="BQ7028" s="7"/>
      <c r="BZ7028" s="7"/>
    </row>
    <row r="7029" spans="2:78">
      <c r="B7029" s="7"/>
      <c r="O7029" s="7"/>
      <c r="X7029" s="7"/>
      <c r="AG7029" s="7"/>
      <c r="AP7029" s="7"/>
      <c r="AY7029" s="7"/>
      <c r="BH7029" s="7"/>
      <c r="BQ7029" s="7"/>
      <c r="BZ7029" s="7"/>
    </row>
    <row r="7030" spans="2:78">
      <c r="B7030" s="7"/>
      <c r="O7030" s="7"/>
      <c r="X7030" s="7"/>
      <c r="AG7030" s="7"/>
      <c r="AP7030" s="7"/>
      <c r="AY7030" s="7"/>
      <c r="BH7030" s="7"/>
      <c r="BQ7030" s="7"/>
      <c r="BZ7030" s="7"/>
    </row>
    <row r="7031" spans="2:78">
      <c r="B7031" s="7"/>
      <c r="O7031" s="7"/>
      <c r="X7031" s="7"/>
      <c r="AG7031" s="7"/>
      <c r="AP7031" s="7"/>
      <c r="AY7031" s="7"/>
      <c r="BH7031" s="7"/>
      <c r="BQ7031" s="7"/>
      <c r="BZ7031" s="7"/>
    </row>
    <row r="7032" spans="2:78">
      <c r="B7032" s="7"/>
      <c r="O7032" s="7"/>
      <c r="X7032" s="7"/>
      <c r="AG7032" s="7"/>
      <c r="AP7032" s="7"/>
      <c r="AY7032" s="7"/>
      <c r="BH7032" s="7"/>
      <c r="BQ7032" s="7"/>
      <c r="BZ7032" s="7"/>
    </row>
    <row r="7033" spans="2:78">
      <c r="B7033" s="7"/>
      <c r="O7033" s="7"/>
      <c r="X7033" s="7"/>
      <c r="AG7033" s="7"/>
      <c r="AP7033" s="7"/>
      <c r="AY7033" s="7"/>
      <c r="BH7033" s="7"/>
      <c r="BQ7033" s="7"/>
      <c r="BZ7033" s="7"/>
    </row>
    <row r="7034" spans="2:78">
      <c r="B7034" s="7"/>
      <c r="O7034" s="7"/>
      <c r="X7034" s="7"/>
      <c r="AG7034" s="7"/>
      <c r="AP7034" s="7"/>
      <c r="AY7034" s="7"/>
      <c r="BH7034" s="7"/>
      <c r="BQ7034" s="7"/>
      <c r="BZ7034" s="7"/>
    </row>
    <row r="7035" spans="2:78">
      <c r="B7035" s="7"/>
      <c r="O7035" s="7"/>
      <c r="X7035" s="7"/>
      <c r="AG7035" s="7"/>
      <c r="AP7035" s="7"/>
      <c r="AY7035" s="7"/>
      <c r="BH7035" s="7"/>
      <c r="BQ7035" s="7"/>
      <c r="BZ7035" s="7"/>
    </row>
    <row r="7036" spans="2:78">
      <c r="B7036" s="7"/>
      <c r="O7036" s="7"/>
      <c r="X7036" s="7"/>
      <c r="AG7036" s="7"/>
      <c r="AP7036" s="7"/>
      <c r="AY7036" s="7"/>
      <c r="BH7036" s="7"/>
      <c r="BQ7036" s="7"/>
      <c r="BZ7036" s="7"/>
    </row>
    <row r="7037" spans="2:78">
      <c r="B7037" s="7"/>
      <c r="O7037" s="7"/>
      <c r="X7037" s="7"/>
      <c r="AG7037" s="7"/>
      <c r="AP7037" s="7"/>
      <c r="AY7037" s="7"/>
      <c r="BH7037" s="7"/>
      <c r="BQ7037" s="7"/>
      <c r="BZ7037" s="7"/>
    </row>
    <row r="7038" spans="2:78">
      <c r="B7038" s="7"/>
      <c r="O7038" s="7"/>
      <c r="X7038" s="7"/>
      <c r="AG7038" s="7"/>
      <c r="AP7038" s="7"/>
      <c r="AY7038" s="7"/>
      <c r="BH7038" s="7"/>
      <c r="BQ7038" s="7"/>
      <c r="BZ7038" s="7"/>
    </row>
    <row r="7039" spans="2:78">
      <c r="B7039" s="7"/>
      <c r="O7039" s="7"/>
      <c r="X7039" s="7"/>
      <c r="AG7039" s="7"/>
      <c r="AP7039" s="7"/>
      <c r="AY7039" s="7"/>
      <c r="BH7039" s="7"/>
      <c r="BQ7039" s="7"/>
      <c r="BZ7039" s="7"/>
    </row>
    <row r="7040" spans="2:78">
      <c r="B7040" s="7"/>
      <c r="O7040" s="7"/>
      <c r="X7040" s="7"/>
      <c r="AG7040" s="7"/>
      <c r="AP7040" s="7"/>
      <c r="AY7040" s="7"/>
      <c r="BH7040" s="7"/>
      <c r="BQ7040" s="7"/>
      <c r="BZ7040" s="7"/>
    </row>
    <row r="7041" spans="2:78">
      <c r="B7041" s="7"/>
      <c r="O7041" s="7"/>
      <c r="X7041" s="7"/>
      <c r="AG7041" s="7"/>
      <c r="AP7041" s="7"/>
      <c r="AY7041" s="7"/>
      <c r="BH7041" s="7"/>
      <c r="BQ7041" s="7"/>
      <c r="BZ7041" s="7"/>
    </row>
    <row r="7042" spans="2:78">
      <c r="B7042" s="7"/>
      <c r="O7042" s="7"/>
      <c r="X7042" s="7"/>
      <c r="AG7042" s="7"/>
      <c r="AP7042" s="7"/>
      <c r="AY7042" s="7"/>
      <c r="BH7042" s="7"/>
      <c r="BQ7042" s="7"/>
      <c r="BZ7042" s="7"/>
    </row>
    <row r="7043" spans="2:78">
      <c r="B7043" s="7"/>
      <c r="O7043" s="7"/>
      <c r="X7043" s="7"/>
      <c r="AG7043" s="7"/>
      <c r="AP7043" s="7"/>
      <c r="AY7043" s="7"/>
      <c r="BH7043" s="7"/>
      <c r="BQ7043" s="7"/>
      <c r="BZ7043" s="7"/>
    </row>
    <row r="7044" spans="2:78">
      <c r="B7044" s="7"/>
      <c r="O7044" s="7"/>
      <c r="X7044" s="7"/>
      <c r="AG7044" s="7"/>
      <c r="AP7044" s="7"/>
      <c r="AY7044" s="7"/>
      <c r="BH7044" s="7"/>
      <c r="BQ7044" s="7"/>
      <c r="BZ7044" s="7"/>
    </row>
    <row r="7045" spans="2:78">
      <c r="B7045" s="7"/>
      <c r="O7045" s="7"/>
      <c r="X7045" s="7"/>
      <c r="AG7045" s="7"/>
      <c r="AP7045" s="7"/>
      <c r="AY7045" s="7"/>
      <c r="BH7045" s="7"/>
      <c r="BQ7045" s="7"/>
      <c r="BZ7045" s="7"/>
    </row>
    <row r="7046" spans="2:78">
      <c r="B7046" s="7"/>
      <c r="O7046" s="7"/>
      <c r="X7046" s="7"/>
      <c r="AG7046" s="7"/>
      <c r="AP7046" s="7"/>
      <c r="AY7046" s="7"/>
      <c r="BH7046" s="7"/>
      <c r="BQ7046" s="7"/>
      <c r="BZ7046" s="7"/>
    </row>
    <row r="7047" spans="2:78">
      <c r="B7047" s="7"/>
      <c r="O7047" s="7"/>
      <c r="X7047" s="7"/>
      <c r="AG7047" s="7"/>
      <c r="AP7047" s="7"/>
      <c r="AY7047" s="7"/>
      <c r="BH7047" s="7"/>
      <c r="BQ7047" s="7"/>
      <c r="BZ7047" s="7"/>
    </row>
    <row r="7048" spans="2:78">
      <c r="B7048" s="7"/>
      <c r="O7048" s="7"/>
      <c r="X7048" s="7"/>
      <c r="AG7048" s="7"/>
      <c r="AP7048" s="7"/>
      <c r="AY7048" s="7"/>
      <c r="BH7048" s="7"/>
      <c r="BQ7048" s="7"/>
      <c r="BZ7048" s="7"/>
    </row>
    <row r="7049" spans="2:78">
      <c r="B7049" s="7"/>
      <c r="O7049" s="7"/>
      <c r="X7049" s="7"/>
      <c r="AG7049" s="7"/>
      <c r="AP7049" s="7"/>
      <c r="AY7049" s="7"/>
      <c r="BH7049" s="7"/>
      <c r="BQ7049" s="7"/>
      <c r="BZ7049" s="7"/>
    </row>
    <row r="7050" spans="2:78">
      <c r="B7050" s="7"/>
      <c r="O7050" s="7"/>
      <c r="X7050" s="7"/>
      <c r="AG7050" s="7"/>
      <c r="AP7050" s="7"/>
      <c r="AY7050" s="7"/>
      <c r="BH7050" s="7"/>
      <c r="BQ7050" s="7"/>
      <c r="BZ7050" s="7"/>
    </row>
    <row r="7051" spans="2:78">
      <c r="B7051" s="7"/>
      <c r="O7051" s="7"/>
      <c r="X7051" s="7"/>
      <c r="AG7051" s="7"/>
      <c r="AP7051" s="7"/>
      <c r="AY7051" s="7"/>
      <c r="BH7051" s="7"/>
      <c r="BQ7051" s="7"/>
      <c r="BZ7051" s="7"/>
    </row>
    <row r="7052" spans="2:78">
      <c r="B7052" s="7"/>
      <c r="O7052" s="7"/>
      <c r="X7052" s="7"/>
      <c r="AG7052" s="7"/>
      <c r="AP7052" s="7"/>
      <c r="AY7052" s="7"/>
      <c r="BH7052" s="7"/>
      <c r="BQ7052" s="7"/>
      <c r="BZ7052" s="7"/>
    </row>
    <row r="7053" spans="2:78">
      <c r="B7053" s="7"/>
      <c r="O7053" s="7"/>
      <c r="X7053" s="7"/>
      <c r="AG7053" s="7"/>
      <c r="AP7053" s="7"/>
      <c r="AY7053" s="7"/>
      <c r="BH7053" s="7"/>
      <c r="BQ7053" s="7"/>
      <c r="BZ7053" s="7"/>
    </row>
    <row r="7054" spans="2:78">
      <c r="B7054" s="7"/>
      <c r="O7054" s="7"/>
      <c r="X7054" s="7"/>
      <c r="AG7054" s="7"/>
      <c r="AP7054" s="7"/>
      <c r="AY7054" s="7"/>
      <c r="BH7054" s="7"/>
      <c r="BQ7054" s="7"/>
      <c r="BZ7054" s="7"/>
    </row>
    <row r="7055" spans="2:78">
      <c r="B7055" s="7"/>
      <c r="O7055" s="7"/>
      <c r="X7055" s="7"/>
      <c r="AG7055" s="7"/>
      <c r="AP7055" s="7"/>
      <c r="AY7055" s="7"/>
      <c r="BH7055" s="7"/>
      <c r="BQ7055" s="7"/>
      <c r="BZ7055" s="7"/>
    </row>
    <row r="7056" spans="2:78">
      <c r="B7056" s="7"/>
      <c r="O7056" s="7"/>
      <c r="X7056" s="7"/>
      <c r="AG7056" s="7"/>
      <c r="AP7056" s="7"/>
      <c r="AY7056" s="7"/>
      <c r="BH7056" s="7"/>
      <c r="BQ7056" s="7"/>
      <c r="BZ7056" s="7"/>
    </row>
    <row r="7057" spans="2:78">
      <c r="B7057" s="7"/>
      <c r="O7057" s="7"/>
      <c r="X7057" s="7"/>
      <c r="AG7057" s="7"/>
      <c r="AP7057" s="7"/>
      <c r="AY7057" s="7"/>
      <c r="BH7057" s="7"/>
      <c r="BQ7057" s="7"/>
      <c r="BZ7057" s="7"/>
    </row>
    <row r="7058" spans="2:78">
      <c r="B7058" s="7"/>
      <c r="O7058" s="7"/>
      <c r="X7058" s="7"/>
      <c r="AG7058" s="7"/>
      <c r="AP7058" s="7"/>
      <c r="AY7058" s="7"/>
      <c r="BH7058" s="7"/>
      <c r="BQ7058" s="7"/>
      <c r="BZ7058" s="7"/>
    </row>
    <row r="7059" spans="2:78">
      <c r="B7059" s="7"/>
      <c r="O7059" s="7"/>
      <c r="X7059" s="7"/>
      <c r="AG7059" s="7"/>
      <c r="AP7059" s="7"/>
      <c r="AY7059" s="7"/>
      <c r="BH7059" s="7"/>
      <c r="BQ7059" s="7"/>
      <c r="BZ7059" s="7"/>
    </row>
    <row r="7060" spans="2:78">
      <c r="B7060" s="7"/>
      <c r="O7060" s="7"/>
      <c r="X7060" s="7"/>
      <c r="AG7060" s="7"/>
      <c r="AP7060" s="7"/>
      <c r="AY7060" s="7"/>
      <c r="BH7060" s="7"/>
      <c r="BQ7060" s="7"/>
      <c r="BZ7060" s="7"/>
    </row>
    <row r="7061" spans="2:78">
      <c r="B7061" s="7"/>
      <c r="O7061" s="7"/>
      <c r="X7061" s="7"/>
      <c r="AG7061" s="7"/>
      <c r="AP7061" s="7"/>
      <c r="AY7061" s="7"/>
      <c r="BH7061" s="7"/>
      <c r="BQ7061" s="7"/>
      <c r="BZ7061" s="7"/>
    </row>
    <row r="7062" spans="2:78">
      <c r="B7062" s="7"/>
      <c r="O7062" s="7"/>
      <c r="X7062" s="7"/>
      <c r="AG7062" s="7"/>
      <c r="AP7062" s="7"/>
      <c r="AY7062" s="7"/>
      <c r="BH7062" s="7"/>
      <c r="BQ7062" s="7"/>
      <c r="BZ7062" s="7"/>
    </row>
    <row r="7063" spans="2:78">
      <c r="B7063" s="7"/>
      <c r="O7063" s="7"/>
      <c r="X7063" s="7"/>
      <c r="AG7063" s="7"/>
      <c r="AP7063" s="7"/>
      <c r="AY7063" s="7"/>
      <c r="BH7063" s="7"/>
      <c r="BQ7063" s="7"/>
      <c r="BZ7063" s="7"/>
    </row>
    <row r="7064" spans="2:78">
      <c r="B7064" s="7"/>
      <c r="O7064" s="7"/>
      <c r="X7064" s="7"/>
      <c r="AG7064" s="7"/>
      <c r="AP7064" s="7"/>
      <c r="AY7064" s="7"/>
      <c r="BH7064" s="7"/>
      <c r="BQ7064" s="7"/>
      <c r="BZ7064" s="7"/>
    </row>
    <row r="7065" spans="2:78">
      <c r="B7065" s="7"/>
      <c r="O7065" s="7"/>
      <c r="X7065" s="7"/>
      <c r="AG7065" s="7"/>
      <c r="AP7065" s="7"/>
      <c r="AY7065" s="7"/>
      <c r="BH7065" s="7"/>
      <c r="BQ7065" s="7"/>
      <c r="BZ7065" s="7"/>
    </row>
    <row r="7066" spans="2:78">
      <c r="B7066" s="7"/>
      <c r="O7066" s="7"/>
      <c r="X7066" s="7"/>
      <c r="AG7066" s="7"/>
      <c r="AP7066" s="7"/>
      <c r="AY7066" s="7"/>
      <c r="BH7066" s="7"/>
      <c r="BQ7066" s="7"/>
      <c r="BZ7066" s="7"/>
    </row>
    <row r="7067" spans="2:78">
      <c r="B7067" s="7"/>
      <c r="O7067" s="7"/>
      <c r="X7067" s="7"/>
      <c r="AG7067" s="7"/>
      <c r="AP7067" s="7"/>
      <c r="AY7067" s="7"/>
      <c r="BH7067" s="7"/>
      <c r="BQ7067" s="7"/>
      <c r="BZ7067" s="7"/>
    </row>
    <row r="7068" spans="2:78">
      <c r="B7068" s="7"/>
      <c r="O7068" s="7"/>
      <c r="X7068" s="7"/>
      <c r="AG7068" s="7"/>
      <c r="AP7068" s="7"/>
      <c r="AY7068" s="7"/>
      <c r="BH7068" s="7"/>
      <c r="BQ7068" s="7"/>
      <c r="BZ7068" s="7"/>
    </row>
    <row r="7069" spans="2:78">
      <c r="B7069" s="7"/>
      <c r="O7069" s="7"/>
      <c r="X7069" s="7"/>
      <c r="AG7069" s="7"/>
      <c r="AP7069" s="7"/>
      <c r="AY7069" s="7"/>
      <c r="BH7069" s="7"/>
      <c r="BQ7069" s="7"/>
      <c r="BZ7069" s="7"/>
    </row>
    <row r="7070" spans="2:78">
      <c r="B7070" s="7"/>
      <c r="O7070" s="7"/>
      <c r="X7070" s="7"/>
      <c r="AG7070" s="7"/>
      <c r="AP7070" s="7"/>
      <c r="AY7070" s="7"/>
      <c r="BH7070" s="7"/>
      <c r="BQ7070" s="7"/>
      <c r="BZ7070" s="7"/>
    </row>
    <row r="7071" spans="2:78">
      <c r="B7071" s="7"/>
      <c r="O7071" s="7"/>
      <c r="X7071" s="7"/>
      <c r="AG7071" s="7"/>
      <c r="AP7071" s="7"/>
      <c r="AY7071" s="7"/>
      <c r="BH7071" s="7"/>
      <c r="BQ7071" s="7"/>
      <c r="BZ7071" s="7"/>
    </row>
    <row r="7072" spans="2:78">
      <c r="B7072" s="7"/>
      <c r="O7072" s="7"/>
      <c r="X7072" s="7"/>
      <c r="AG7072" s="7"/>
      <c r="AP7072" s="7"/>
      <c r="AY7072" s="7"/>
      <c r="BH7072" s="7"/>
      <c r="BQ7072" s="7"/>
      <c r="BZ7072" s="7"/>
    </row>
    <row r="7073" spans="2:78">
      <c r="B7073" s="7"/>
      <c r="O7073" s="7"/>
      <c r="X7073" s="7"/>
      <c r="AG7073" s="7"/>
      <c r="AP7073" s="7"/>
      <c r="AY7073" s="7"/>
      <c r="BH7073" s="7"/>
      <c r="BQ7073" s="7"/>
      <c r="BZ7073" s="7"/>
    </row>
    <row r="7074" spans="2:78">
      <c r="B7074" s="7"/>
      <c r="O7074" s="7"/>
      <c r="X7074" s="7"/>
      <c r="AG7074" s="7"/>
      <c r="AP7074" s="7"/>
      <c r="AY7074" s="7"/>
      <c r="BH7074" s="7"/>
      <c r="BQ7074" s="7"/>
      <c r="BZ7074" s="7"/>
    </row>
    <row r="7075" spans="2:78">
      <c r="B7075" s="7"/>
      <c r="O7075" s="7"/>
      <c r="X7075" s="7"/>
      <c r="AG7075" s="7"/>
      <c r="AP7075" s="7"/>
      <c r="AY7075" s="7"/>
      <c r="BH7075" s="7"/>
      <c r="BQ7075" s="7"/>
      <c r="BZ7075" s="7"/>
    </row>
    <row r="7076" spans="2:78">
      <c r="B7076" s="7"/>
      <c r="O7076" s="7"/>
      <c r="X7076" s="7"/>
      <c r="AG7076" s="7"/>
      <c r="AP7076" s="7"/>
      <c r="AY7076" s="7"/>
      <c r="BH7076" s="7"/>
      <c r="BQ7076" s="7"/>
      <c r="BZ7076" s="7"/>
    </row>
    <row r="7077" spans="2:78">
      <c r="B7077" s="7"/>
      <c r="O7077" s="7"/>
      <c r="X7077" s="7"/>
      <c r="AG7077" s="7"/>
      <c r="AP7077" s="7"/>
      <c r="AY7077" s="7"/>
      <c r="BH7077" s="7"/>
      <c r="BQ7077" s="7"/>
      <c r="BZ7077" s="7"/>
    </row>
    <row r="7078" spans="2:78">
      <c r="B7078" s="7"/>
      <c r="O7078" s="7"/>
      <c r="X7078" s="7"/>
      <c r="AG7078" s="7"/>
      <c r="AP7078" s="7"/>
      <c r="AY7078" s="7"/>
      <c r="BH7078" s="7"/>
      <c r="BQ7078" s="7"/>
      <c r="BZ7078" s="7"/>
    </row>
    <row r="7079" spans="2:78">
      <c r="B7079" s="7"/>
      <c r="O7079" s="7"/>
      <c r="X7079" s="7"/>
      <c r="AG7079" s="7"/>
      <c r="AP7079" s="7"/>
      <c r="AY7079" s="7"/>
      <c r="BH7079" s="7"/>
      <c r="BQ7079" s="7"/>
      <c r="BZ7079" s="7"/>
    </row>
    <row r="7080" spans="2:78">
      <c r="B7080" s="7"/>
      <c r="O7080" s="7"/>
      <c r="X7080" s="7"/>
      <c r="AG7080" s="7"/>
      <c r="AP7080" s="7"/>
      <c r="AY7080" s="7"/>
      <c r="BH7080" s="7"/>
      <c r="BQ7080" s="7"/>
      <c r="BZ7080" s="7"/>
    </row>
    <row r="7081" spans="2:78">
      <c r="B7081" s="7"/>
      <c r="O7081" s="7"/>
      <c r="X7081" s="7"/>
      <c r="AG7081" s="7"/>
      <c r="AP7081" s="7"/>
      <c r="AY7081" s="7"/>
      <c r="BH7081" s="7"/>
      <c r="BQ7081" s="7"/>
      <c r="BZ7081" s="7"/>
    </row>
    <row r="7082" spans="2:78">
      <c r="B7082" s="7"/>
      <c r="O7082" s="7"/>
      <c r="X7082" s="7"/>
      <c r="AG7082" s="7"/>
      <c r="AP7082" s="7"/>
      <c r="AY7082" s="7"/>
      <c r="BH7082" s="7"/>
      <c r="BQ7082" s="7"/>
      <c r="BZ7082" s="7"/>
    </row>
    <row r="7083" spans="2:78">
      <c r="B7083" s="7"/>
      <c r="O7083" s="7"/>
      <c r="X7083" s="7"/>
      <c r="AG7083" s="7"/>
      <c r="AP7083" s="7"/>
      <c r="AY7083" s="7"/>
      <c r="BH7083" s="7"/>
      <c r="BQ7083" s="7"/>
      <c r="BZ7083" s="7"/>
    </row>
    <row r="7084" spans="2:78">
      <c r="B7084" s="7"/>
      <c r="O7084" s="7"/>
      <c r="X7084" s="7"/>
      <c r="AG7084" s="7"/>
      <c r="AP7084" s="7"/>
      <c r="AY7084" s="7"/>
      <c r="BH7084" s="7"/>
      <c r="BQ7084" s="7"/>
      <c r="BZ7084" s="7"/>
    </row>
    <row r="7085" spans="2:78">
      <c r="B7085" s="7"/>
      <c r="O7085" s="7"/>
      <c r="X7085" s="7"/>
      <c r="AG7085" s="7"/>
      <c r="AP7085" s="7"/>
      <c r="AY7085" s="7"/>
      <c r="BH7085" s="7"/>
      <c r="BQ7085" s="7"/>
      <c r="BZ7085" s="7"/>
    </row>
    <row r="7086" spans="2:78">
      <c r="B7086" s="7"/>
      <c r="O7086" s="7"/>
      <c r="X7086" s="7"/>
      <c r="AG7086" s="7"/>
      <c r="AP7086" s="7"/>
      <c r="AY7086" s="7"/>
      <c r="BH7086" s="7"/>
      <c r="BQ7086" s="7"/>
      <c r="BZ7086" s="7"/>
    </row>
    <row r="7087" spans="2:78">
      <c r="B7087" s="7"/>
      <c r="O7087" s="7"/>
      <c r="X7087" s="7"/>
      <c r="AG7087" s="7"/>
      <c r="AP7087" s="7"/>
      <c r="AY7087" s="7"/>
      <c r="BH7087" s="7"/>
      <c r="BQ7087" s="7"/>
      <c r="BZ7087" s="7"/>
    </row>
    <row r="7088" spans="2:78">
      <c r="B7088" s="7"/>
      <c r="O7088" s="7"/>
      <c r="X7088" s="7"/>
      <c r="AG7088" s="7"/>
      <c r="AP7088" s="7"/>
      <c r="AY7088" s="7"/>
      <c r="BH7088" s="7"/>
      <c r="BQ7088" s="7"/>
      <c r="BZ7088" s="7"/>
    </row>
    <row r="7089" spans="2:78">
      <c r="B7089" s="7"/>
      <c r="O7089" s="7"/>
      <c r="X7089" s="7"/>
      <c r="AG7089" s="7"/>
      <c r="AP7089" s="7"/>
      <c r="AY7089" s="7"/>
      <c r="BH7089" s="7"/>
      <c r="BQ7089" s="7"/>
      <c r="BZ7089" s="7"/>
    </row>
    <row r="7090" spans="2:78">
      <c r="B7090" s="7"/>
      <c r="O7090" s="7"/>
      <c r="X7090" s="7"/>
      <c r="AG7090" s="7"/>
      <c r="AP7090" s="7"/>
      <c r="AY7090" s="7"/>
      <c r="BH7090" s="7"/>
      <c r="BQ7090" s="7"/>
      <c r="BZ7090" s="7"/>
    </row>
    <row r="7091" spans="2:78">
      <c r="B7091" s="7"/>
      <c r="O7091" s="7"/>
      <c r="X7091" s="7"/>
      <c r="AG7091" s="7"/>
      <c r="AP7091" s="7"/>
      <c r="AY7091" s="7"/>
      <c r="BH7091" s="7"/>
      <c r="BQ7091" s="7"/>
      <c r="BZ7091" s="7"/>
    </row>
    <row r="7092" spans="2:78">
      <c r="B7092" s="7"/>
      <c r="O7092" s="7"/>
      <c r="X7092" s="7"/>
      <c r="AG7092" s="7"/>
      <c r="AP7092" s="7"/>
      <c r="AY7092" s="7"/>
      <c r="BH7092" s="7"/>
      <c r="BQ7092" s="7"/>
      <c r="BZ7092" s="7"/>
    </row>
    <row r="7093" spans="2:78">
      <c r="B7093" s="7"/>
      <c r="O7093" s="7"/>
      <c r="X7093" s="7"/>
      <c r="AG7093" s="7"/>
      <c r="AP7093" s="7"/>
      <c r="AY7093" s="7"/>
      <c r="BH7093" s="7"/>
      <c r="BQ7093" s="7"/>
      <c r="BZ7093" s="7"/>
    </row>
    <row r="7094" spans="2:78">
      <c r="B7094" s="7"/>
      <c r="O7094" s="7"/>
      <c r="X7094" s="7"/>
      <c r="AG7094" s="7"/>
      <c r="AP7094" s="7"/>
      <c r="AY7094" s="7"/>
      <c r="BH7094" s="7"/>
      <c r="BQ7094" s="7"/>
      <c r="BZ7094" s="7"/>
    </row>
    <row r="7095" spans="2:78">
      <c r="B7095" s="7"/>
      <c r="O7095" s="7"/>
      <c r="X7095" s="7"/>
      <c r="AG7095" s="7"/>
      <c r="AP7095" s="7"/>
      <c r="AY7095" s="7"/>
      <c r="BH7095" s="7"/>
      <c r="BQ7095" s="7"/>
      <c r="BZ7095" s="7"/>
    </row>
    <row r="7096" spans="2:78">
      <c r="B7096" s="7"/>
      <c r="O7096" s="7"/>
      <c r="X7096" s="7"/>
      <c r="AG7096" s="7"/>
      <c r="AP7096" s="7"/>
      <c r="AY7096" s="7"/>
      <c r="BH7096" s="7"/>
      <c r="BQ7096" s="7"/>
      <c r="BZ7096" s="7"/>
    </row>
    <row r="7097" spans="2:78">
      <c r="B7097" s="7"/>
      <c r="O7097" s="7"/>
      <c r="X7097" s="7"/>
      <c r="AG7097" s="7"/>
      <c r="AP7097" s="7"/>
      <c r="AY7097" s="7"/>
      <c r="BH7097" s="7"/>
      <c r="BQ7097" s="7"/>
      <c r="BZ7097" s="7"/>
    </row>
    <row r="7098" spans="2:78">
      <c r="B7098" s="7"/>
      <c r="O7098" s="7"/>
      <c r="X7098" s="7"/>
      <c r="AG7098" s="7"/>
      <c r="AP7098" s="7"/>
      <c r="AY7098" s="7"/>
      <c r="BH7098" s="7"/>
      <c r="BQ7098" s="7"/>
      <c r="BZ7098" s="7"/>
    </row>
    <row r="7099" spans="2:78">
      <c r="B7099" s="7"/>
      <c r="O7099" s="7"/>
      <c r="X7099" s="7"/>
      <c r="AG7099" s="7"/>
      <c r="AP7099" s="7"/>
      <c r="AY7099" s="7"/>
      <c r="BH7099" s="7"/>
      <c r="BQ7099" s="7"/>
      <c r="BZ7099" s="7"/>
    </row>
    <row r="7100" spans="2:78">
      <c r="B7100" s="7"/>
      <c r="O7100" s="7"/>
      <c r="X7100" s="7"/>
      <c r="AG7100" s="7"/>
      <c r="AP7100" s="7"/>
      <c r="AY7100" s="7"/>
      <c r="BH7100" s="7"/>
      <c r="BQ7100" s="7"/>
      <c r="BZ7100" s="7"/>
    </row>
    <row r="7101" spans="2:78">
      <c r="B7101" s="7"/>
      <c r="O7101" s="7"/>
      <c r="X7101" s="7"/>
      <c r="AG7101" s="7"/>
      <c r="AP7101" s="7"/>
      <c r="AY7101" s="7"/>
      <c r="BH7101" s="7"/>
      <c r="BQ7101" s="7"/>
      <c r="BZ7101" s="7"/>
    </row>
    <row r="7102" spans="2:78">
      <c r="B7102" s="7"/>
      <c r="O7102" s="7"/>
      <c r="X7102" s="7"/>
      <c r="AG7102" s="7"/>
      <c r="AP7102" s="7"/>
      <c r="AY7102" s="7"/>
      <c r="BH7102" s="7"/>
      <c r="BQ7102" s="7"/>
      <c r="BZ7102" s="7"/>
    </row>
    <row r="7103" spans="2:78">
      <c r="B7103" s="7"/>
      <c r="O7103" s="7"/>
      <c r="X7103" s="7"/>
      <c r="AG7103" s="7"/>
      <c r="AP7103" s="7"/>
      <c r="AY7103" s="7"/>
      <c r="BH7103" s="7"/>
      <c r="BQ7103" s="7"/>
      <c r="BZ7103" s="7"/>
    </row>
    <row r="7104" spans="2:78">
      <c r="B7104" s="7"/>
      <c r="O7104" s="7"/>
      <c r="X7104" s="7"/>
      <c r="AG7104" s="7"/>
      <c r="AP7104" s="7"/>
      <c r="AY7104" s="7"/>
      <c r="BH7104" s="7"/>
      <c r="BQ7104" s="7"/>
      <c r="BZ7104" s="7"/>
    </row>
    <row r="7105" spans="2:78">
      <c r="B7105" s="7"/>
      <c r="O7105" s="7"/>
      <c r="X7105" s="7"/>
      <c r="AG7105" s="7"/>
      <c r="AP7105" s="7"/>
      <c r="AY7105" s="7"/>
      <c r="BH7105" s="7"/>
      <c r="BQ7105" s="7"/>
      <c r="BZ7105" s="7"/>
    </row>
    <row r="7106" spans="2:78">
      <c r="B7106" s="7"/>
      <c r="O7106" s="7"/>
      <c r="X7106" s="7"/>
      <c r="AG7106" s="7"/>
      <c r="AP7106" s="7"/>
      <c r="AY7106" s="7"/>
      <c r="BH7106" s="7"/>
      <c r="BQ7106" s="7"/>
      <c r="BZ7106" s="7"/>
    </row>
    <row r="7107" spans="2:78">
      <c r="B7107" s="7"/>
      <c r="O7107" s="7"/>
      <c r="X7107" s="7"/>
      <c r="AG7107" s="7"/>
      <c r="AP7107" s="7"/>
      <c r="AY7107" s="7"/>
      <c r="BH7107" s="7"/>
      <c r="BQ7107" s="7"/>
      <c r="BZ7107" s="7"/>
    </row>
    <row r="7108" spans="2:78">
      <c r="B7108" s="7"/>
      <c r="O7108" s="7"/>
      <c r="X7108" s="7"/>
      <c r="AG7108" s="7"/>
      <c r="AP7108" s="7"/>
      <c r="AY7108" s="7"/>
      <c r="BH7108" s="7"/>
      <c r="BQ7108" s="7"/>
      <c r="BZ7108" s="7"/>
    </row>
    <row r="7109" spans="2:78">
      <c r="B7109" s="7"/>
      <c r="O7109" s="7"/>
      <c r="X7109" s="7"/>
      <c r="AG7109" s="7"/>
      <c r="AP7109" s="7"/>
      <c r="AY7109" s="7"/>
      <c r="BH7109" s="7"/>
      <c r="BQ7109" s="7"/>
      <c r="BZ7109" s="7"/>
    </row>
    <row r="7110" spans="2:78">
      <c r="B7110" s="7"/>
      <c r="O7110" s="7"/>
      <c r="X7110" s="7"/>
      <c r="AG7110" s="7"/>
      <c r="AP7110" s="7"/>
      <c r="AY7110" s="7"/>
      <c r="BH7110" s="7"/>
      <c r="BQ7110" s="7"/>
      <c r="BZ7110" s="7"/>
    </row>
    <row r="7111" spans="2:78">
      <c r="B7111" s="7"/>
      <c r="O7111" s="7"/>
      <c r="X7111" s="7"/>
      <c r="AG7111" s="7"/>
      <c r="AP7111" s="7"/>
      <c r="AY7111" s="7"/>
      <c r="BH7111" s="7"/>
      <c r="BQ7111" s="7"/>
      <c r="BZ7111" s="7"/>
    </row>
    <row r="7112" spans="2:78">
      <c r="B7112" s="7"/>
      <c r="O7112" s="7"/>
      <c r="X7112" s="7"/>
      <c r="AG7112" s="7"/>
      <c r="AP7112" s="7"/>
      <c r="AY7112" s="7"/>
      <c r="BH7112" s="7"/>
      <c r="BQ7112" s="7"/>
      <c r="BZ7112" s="7"/>
    </row>
    <row r="7113" spans="2:78">
      <c r="B7113" s="7"/>
      <c r="O7113" s="7"/>
      <c r="X7113" s="7"/>
      <c r="AG7113" s="7"/>
      <c r="AP7113" s="7"/>
      <c r="AY7113" s="7"/>
      <c r="BH7113" s="7"/>
      <c r="BQ7113" s="7"/>
      <c r="BZ7113" s="7"/>
    </row>
    <row r="7114" spans="2:78">
      <c r="B7114" s="7"/>
      <c r="O7114" s="7"/>
      <c r="X7114" s="7"/>
      <c r="AG7114" s="7"/>
      <c r="AP7114" s="7"/>
      <c r="AY7114" s="7"/>
      <c r="BH7114" s="7"/>
      <c r="BQ7114" s="7"/>
      <c r="BZ7114" s="7"/>
    </row>
    <row r="7115" spans="2:78">
      <c r="B7115" s="7"/>
      <c r="O7115" s="7"/>
      <c r="X7115" s="7"/>
      <c r="AG7115" s="7"/>
      <c r="AP7115" s="7"/>
      <c r="AY7115" s="7"/>
      <c r="BH7115" s="7"/>
      <c r="BQ7115" s="7"/>
      <c r="BZ7115" s="7"/>
    </row>
    <row r="7116" spans="2:78">
      <c r="B7116" s="7"/>
      <c r="O7116" s="7"/>
      <c r="X7116" s="7"/>
      <c r="AG7116" s="7"/>
      <c r="AP7116" s="7"/>
      <c r="AY7116" s="7"/>
      <c r="BH7116" s="7"/>
      <c r="BQ7116" s="7"/>
      <c r="BZ7116" s="7"/>
    </row>
    <row r="7117" spans="2:78">
      <c r="B7117" s="7"/>
      <c r="O7117" s="7"/>
      <c r="X7117" s="7"/>
      <c r="AG7117" s="7"/>
      <c r="AP7117" s="7"/>
      <c r="AY7117" s="7"/>
      <c r="BH7117" s="7"/>
      <c r="BQ7117" s="7"/>
      <c r="BZ7117" s="7"/>
    </row>
    <row r="7118" spans="2:78">
      <c r="B7118" s="7"/>
      <c r="O7118" s="7"/>
      <c r="X7118" s="7"/>
      <c r="AG7118" s="7"/>
      <c r="AP7118" s="7"/>
      <c r="AY7118" s="7"/>
      <c r="BH7118" s="7"/>
      <c r="BQ7118" s="7"/>
      <c r="BZ7118" s="7"/>
    </row>
    <row r="7119" spans="2:78">
      <c r="B7119" s="7"/>
      <c r="O7119" s="7"/>
      <c r="X7119" s="7"/>
      <c r="AG7119" s="7"/>
      <c r="AP7119" s="7"/>
      <c r="AY7119" s="7"/>
      <c r="BH7119" s="7"/>
      <c r="BQ7119" s="7"/>
      <c r="BZ7119" s="7"/>
    </row>
    <row r="7120" spans="2:78">
      <c r="B7120" s="7"/>
      <c r="O7120" s="7"/>
      <c r="X7120" s="7"/>
      <c r="AG7120" s="7"/>
      <c r="AP7120" s="7"/>
      <c r="AY7120" s="7"/>
      <c r="BH7120" s="7"/>
      <c r="BQ7120" s="7"/>
      <c r="BZ7120" s="7"/>
    </row>
    <row r="7121" spans="2:78">
      <c r="B7121" s="7"/>
      <c r="O7121" s="7"/>
      <c r="X7121" s="7"/>
      <c r="AG7121" s="7"/>
      <c r="AP7121" s="7"/>
      <c r="AY7121" s="7"/>
      <c r="BH7121" s="7"/>
      <c r="BQ7121" s="7"/>
      <c r="BZ7121" s="7"/>
    </row>
    <row r="7122" spans="2:78">
      <c r="B7122" s="7"/>
      <c r="O7122" s="7"/>
      <c r="X7122" s="7"/>
      <c r="AG7122" s="7"/>
      <c r="AP7122" s="7"/>
      <c r="AY7122" s="7"/>
      <c r="BH7122" s="7"/>
      <c r="BQ7122" s="7"/>
      <c r="BZ7122" s="7"/>
    </row>
    <row r="7123" spans="2:78">
      <c r="B7123" s="7"/>
      <c r="O7123" s="7"/>
      <c r="X7123" s="7"/>
      <c r="AG7123" s="7"/>
      <c r="AP7123" s="7"/>
      <c r="AY7123" s="7"/>
      <c r="BH7123" s="7"/>
      <c r="BQ7123" s="7"/>
      <c r="BZ7123" s="7"/>
    </row>
    <row r="7124" spans="2:78">
      <c r="B7124" s="7"/>
      <c r="O7124" s="7"/>
      <c r="X7124" s="7"/>
      <c r="AG7124" s="7"/>
      <c r="AP7124" s="7"/>
      <c r="AY7124" s="7"/>
      <c r="BH7124" s="7"/>
      <c r="BQ7124" s="7"/>
      <c r="BZ7124" s="7"/>
    </row>
    <row r="7125" spans="2:78">
      <c r="B7125" s="7"/>
      <c r="O7125" s="7"/>
      <c r="X7125" s="7"/>
      <c r="AG7125" s="7"/>
      <c r="AP7125" s="7"/>
      <c r="AY7125" s="7"/>
      <c r="BH7125" s="7"/>
      <c r="BQ7125" s="7"/>
      <c r="BZ7125" s="7"/>
    </row>
    <row r="7126" spans="2:78">
      <c r="B7126" s="7"/>
      <c r="O7126" s="7"/>
      <c r="X7126" s="7"/>
      <c r="AG7126" s="7"/>
      <c r="AP7126" s="7"/>
      <c r="AY7126" s="7"/>
      <c r="BH7126" s="7"/>
      <c r="BQ7126" s="7"/>
      <c r="BZ7126" s="7"/>
    </row>
    <row r="7127" spans="2:78">
      <c r="B7127" s="7"/>
      <c r="O7127" s="7"/>
      <c r="X7127" s="7"/>
      <c r="AG7127" s="7"/>
      <c r="AP7127" s="7"/>
      <c r="AY7127" s="7"/>
      <c r="BH7127" s="7"/>
      <c r="BQ7127" s="7"/>
      <c r="BZ7127" s="7"/>
    </row>
    <row r="7128" spans="2:78">
      <c r="B7128" s="7"/>
      <c r="O7128" s="7"/>
      <c r="X7128" s="7"/>
      <c r="AG7128" s="7"/>
      <c r="AP7128" s="7"/>
      <c r="AY7128" s="7"/>
      <c r="BH7128" s="7"/>
      <c r="BQ7128" s="7"/>
      <c r="BZ7128" s="7"/>
    </row>
    <row r="7129" spans="2:78">
      <c r="B7129" s="7"/>
      <c r="O7129" s="7"/>
      <c r="X7129" s="7"/>
      <c r="AG7129" s="7"/>
      <c r="AP7129" s="7"/>
      <c r="AY7129" s="7"/>
      <c r="BH7129" s="7"/>
      <c r="BQ7129" s="7"/>
      <c r="BZ7129" s="7"/>
    </row>
    <row r="7130" spans="2:78">
      <c r="B7130" s="7"/>
      <c r="O7130" s="7"/>
      <c r="X7130" s="7"/>
      <c r="AG7130" s="7"/>
      <c r="AP7130" s="7"/>
      <c r="AY7130" s="7"/>
      <c r="BH7130" s="7"/>
      <c r="BQ7130" s="7"/>
      <c r="BZ7130" s="7"/>
    </row>
    <row r="7131" spans="2:78">
      <c r="B7131" s="7"/>
      <c r="O7131" s="7"/>
      <c r="X7131" s="7"/>
      <c r="AG7131" s="7"/>
      <c r="AP7131" s="7"/>
      <c r="AY7131" s="7"/>
      <c r="BH7131" s="7"/>
      <c r="BQ7131" s="7"/>
      <c r="BZ7131" s="7"/>
    </row>
    <row r="7132" spans="2:78">
      <c r="B7132" s="7"/>
      <c r="O7132" s="7"/>
      <c r="X7132" s="7"/>
      <c r="AG7132" s="7"/>
      <c r="AP7132" s="7"/>
      <c r="AY7132" s="7"/>
      <c r="BH7132" s="7"/>
      <c r="BQ7132" s="7"/>
      <c r="BZ7132" s="7"/>
    </row>
    <row r="7133" spans="2:78">
      <c r="B7133" s="7"/>
      <c r="O7133" s="7"/>
      <c r="X7133" s="7"/>
      <c r="AG7133" s="7"/>
      <c r="AP7133" s="7"/>
      <c r="AY7133" s="7"/>
      <c r="BH7133" s="7"/>
      <c r="BQ7133" s="7"/>
      <c r="BZ7133" s="7"/>
    </row>
    <row r="7134" spans="2:78">
      <c r="B7134" s="7"/>
      <c r="O7134" s="7"/>
      <c r="X7134" s="7"/>
      <c r="AG7134" s="7"/>
      <c r="AP7134" s="7"/>
      <c r="AY7134" s="7"/>
      <c r="BH7134" s="7"/>
      <c r="BQ7134" s="7"/>
      <c r="BZ7134" s="7"/>
    </row>
    <row r="7135" spans="2:78">
      <c r="B7135" s="7"/>
      <c r="O7135" s="7"/>
      <c r="X7135" s="7"/>
      <c r="AG7135" s="7"/>
      <c r="AP7135" s="7"/>
      <c r="AY7135" s="7"/>
      <c r="BH7135" s="7"/>
      <c r="BQ7135" s="7"/>
      <c r="BZ7135" s="7"/>
    </row>
    <row r="7136" spans="2:78">
      <c r="B7136" s="7"/>
      <c r="O7136" s="7"/>
      <c r="X7136" s="7"/>
      <c r="AG7136" s="7"/>
      <c r="AP7136" s="7"/>
      <c r="AY7136" s="7"/>
      <c r="BH7136" s="7"/>
      <c r="BQ7136" s="7"/>
      <c r="BZ7136" s="7"/>
    </row>
    <row r="7137" spans="2:78">
      <c r="B7137" s="7"/>
      <c r="O7137" s="7"/>
      <c r="X7137" s="7"/>
      <c r="AG7137" s="7"/>
      <c r="AP7137" s="7"/>
      <c r="AY7137" s="7"/>
      <c r="BH7137" s="7"/>
      <c r="BQ7137" s="7"/>
      <c r="BZ7137" s="7"/>
    </row>
    <row r="7138" spans="2:78">
      <c r="B7138" s="7"/>
      <c r="O7138" s="7"/>
      <c r="X7138" s="7"/>
      <c r="AG7138" s="7"/>
      <c r="AP7138" s="7"/>
      <c r="AY7138" s="7"/>
      <c r="BH7138" s="7"/>
      <c r="BQ7138" s="7"/>
      <c r="BZ7138" s="7"/>
    </row>
    <row r="7139" spans="2:78">
      <c r="B7139" s="7"/>
      <c r="O7139" s="7"/>
      <c r="X7139" s="7"/>
      <c r="AG7139" s="7"/>
      <c r="AP7139" s="7"/>
      <c r="AY7139" s="7"/>
      <c r="BH7139" s="7"/>
      <c r="BQ7139" s="7"/>
      <c r="BZ7139" s="7"/>
    </row>
    <row r="7140" spans="2:78">
      <c r="B7140" s="7"/>
      <c r="O7140" s="7"/>
      <c r="X7140" s="7"/>
      <c r="AG7140" s="7"/>
      <c r="AP7140" s="7"/>
      <c r="AY7140" s="7"/>
      <c r="BH7140" s="7"/>
      <c r="BQ7140" s="7"/>
      <c r="BZ7140" s="7"/>
    </row>
    <row r="7141" spans="2:78">
      <c r="B7141" s="7"/>
      <c r="O7141" s="7"/>
      <c r="X7141" s="7"/>
      <c r="AG7141" s="7"/>
      <c r="AP7141" s="7"/>
      <c r="AY7141" s="7"/>
      <c r="BH7141" s="7"/>
      <c r="BQ7141" s="7"/>
      <c r="BZ7141" s="7"/>
    </row>
    <row r="7142" spans="2:78">
      <c r="B7142" s="7"/>
      <c r="O7142" s="7"/>
      <c r="X7142" s="7"/>
      <c r="AG7142" s="7"/>
      <c r="AP7142" s="7"/>
      <c r="AY7142" s="7"/>
      <c r="BH7142" s="7"/>
      <c r="BQ7142" s="7"/>
      <c r="BZ7142" s="7"/>
    </row>
    <row r="7143" spans="2:78">
      <c r="B7143" s="7"/>
      <c r="O7143" s="7"/>
      <c r="X7143" s="7"/>
      <c r="AG7143" s="7"/>
      <c r="AP7143" s="7"/>
      <c r="AY7143" s="7"/>
      <c r="BH7143" s="7"/>
      <c r="BQ7143" s="7"/>
      <c r="BZ7143" s="7"/>
    </row>
    <row r="7144" spans="2:78">
      <c r="B7144" s="7"/>
      <c r="O7144" s="7"/>
      <c r="X7144" s="7"/>
      <c r="AG7144" s="7"/>
      <c r="AP7144" s="7"/>
      <c r="AY7144" s="7"/>
      <c r="BH7144" s="7"/>
      <c r="BQ7144" s="7"/>
      <c r="BZ7144" s="7"/>
    </row>
    <row r="7145" spans="2:78">
      <c r="B7145" s="7"/>
      <c r="O7145" s="7"/>
      <c r="X7145" s="7"/>
      <c r="AG7145" s="7"/>
      <c r="AP7145" s="7"/>
      <c r="AY7145" s="7"/>
      <c r="BH7145" s="7"/>
      <c r="BQ7145" s="7"/>
      <c r="BZ7145" s="7"/>
    </row>
    <row r="7146" spans="2:78">
      <c r="B7146" s="7"/>
      <c r="O7146" s="7"/>
      <c r="X7146" s="7"/>
      <c r="AG7146" s="7"/>
      <c r="AP7146" s="7"/>
      <c r="AY7146" s="7"/>
      <c r="BH7146" s="7"/>
      <c r="BQ7146" s="7"/>
      <c r="BZ7146" s="7"/>
    </row>
    <row r="7147" spans="2:78">
      <c r="B7147" s="7"/>
      <c r="O7147" s="7"/>
      <c r="X7147" s="7"/>
      <c r="AG7147" s="7"/>
      <c r="AP7147" s="7"/>
      <c r="AY7147" s="7"/>
      <c r="BH7147" s="7"/>
      <c r="BQ7147" s="7"/>
      <c r="BZ7147" s="7"/>
    </row>
    <row r="7148" spans="2:78">
      <c r="B7148" s="7"/>
      <c r="O7148" s="7"/>
      <c r="X7148" s="7"/>
      <c r="AG7148" s="7"/>
      <c r="AP7148" s="7"/>
      <c r="AY7148" s="7"/>
      <c r="BH7148" s="7"/>
      <c r="BQ7148" s="7"/>
      <c r="BZ7148" s="7"/>
    </row>
    <row r="7149" spans="2:78">
      <c r="B7149" s="7"/>
      <c r="O7149" s="7"/>
      <c r="X7149" s="7"/>
      <c r="AG7149" s="7"/>
      <c r="AP7149" s="7"/>
      <c r="AY7149" s="7"/>
      <c r="BH7149" s="7"/>
      <c r="BQ7149" s="7"/>
      <c r="BZ7149" s="7"/>
    </row>
    <row r="7150" spans="2:78">
      <c r="B7150" s="7"/>
      <c r="O7150" s="7"/>
      <c r="X7150" s="7"/>
      <c r="AG7150" s="7"/>
      <c r="AP7150" s="7"/>
      <c r="AY7150" s="7"/>
      <c r="BH7150" s="7"/>
      <c r="BQ7150" s="7"/>
      <c r="BZ7150" s="7"/>
    </row>
    <row r="7151" spans="2:78">
      <c r="B7151" s="7"/>
      <c r="O7151" s="7"/>
      <c r="X7151" s="7"/>
      <c r="AG7151" s="7"/>
      <c r="AP7151" s="7"/>
      <c r="AY7151" s="7"/>
      <c r="BH7151" s="7"/>
      <c r="BQ7151" s="7"/>
      <c r="BZ7151" s="7"/>
    </row>
    <row r="7152" spans="2:78">
      <c r="B7152" s="7"/>
      <c r="O7152" s="7"/>
      <c r="X7152" s="7"/>
      <c r="AG7152" s="7"/>
      <c r="AP7152" s="7"/>
      <c r="AY7152" s="7"/>
      <c r="BH7152" s="7"/>
      <c r="BQ7152" s="7"/>
      <c r="BZ7152" s="7"/>
    </row>
    <row r="7153" spans="2:78">
      <c r="B7153" s="7"/>
      <c r="O7153" s="7"/>
      <c r="X7153" s="7"/>
      <c r="AG7153" s="7"/>
      <c r="AP7153" s="7"/>
      <c r="AY7153" s="7"/>
      <c r="BH7153" s="7"/>
      <c r="BQ7153" s="7"/>
      <c r="BZ7153" s="7"/>
    </row>
    <row r="7154" spans="2:78">
      <c r="B7154" s="7"/>
      <c r="O7154" s="7"/>
      <c r="X7154" s="7"/>
      <c r="AG7154" s="7"/>
      <c r="AP7154" s="7"/>
      <c r="AY7154" s="7"/>
      <c r="BH7154" s="7"/>
      <c r="BQ7154" s="7"/>
      <c r="BZ7154" s="7"/>
    </row>
    <row r="7155" spans="2:78">
      <c r="B7155" s="7"/>
      <c r="O7155" s="7"/>
      <c r="X7155" s="7"/>
      <c r="AG7155" s="7"/>
      <c r="AP7155" s="7"/>
      <c r="AY7155" s="7"/>
      <c r="BH7155" s="7"/>
      <c r="BQ7155" s="7"/>
      <c r="BZ7155" s="7"/>
    </row>
    <row r="7156" spans="2:78">
      <c r="B7156" s="7"/>
      <c r="O7156" s="7"/>
      <c r="X7156" s="7"/>
      <c r="AG7156" s="7"/>
      <c r="AP7156" s="7"/>
      <c r="AY7156" s="7"/>
      <c r="BH7156" s="7"/>
      <c r="BQ7156" s="7"/>
      <c r="BZ7156" s="7"/>
    </row>
    <row r="7157" spans="2:78">
      <c r="B7157" s="7"/>
      <c r="O7157" s="7"/>
      <c r="X7157" s="7"/>
      <c r="AG7157" s="7"/>
      <c r="AP7157" s="7"/>
      <c r="AY7157" s="7"/>
      <c r="BH7157" s="7"/>
      <c r="BQ7157" s="7"/>
      <c r="BZ7157" s="7"/>
    </row>
    <row r="7158" spans="2:78">
      <c r="B7158" s="7"/>
      <c r="O7158" s="7"/>
      <c r="X7158" s="7"/>
      <c r="AG7158" s="7"/>
      <c r="AP7158" s="7"/>
      <c r="AY7158" s="7"/>
      <c r="BH7158" s="7"/>
      <c r="BQ7158" s="7"/>
      <c r="BZ7158" s="7"/>
    </row>
    <row r="7159" spans="2:78">
      <c r="B7159" s="7"/>
      <c r="O7159" s="7"/>
      <c r="X7159" s="7"/>
      <c r="AG7159" s="7"/>
      <c r="AP7159" s="7"/>
      <c r="AY7159" s="7"/>
      <c r="BH7159" s="7"/>
      <c r="BQ7159" s="7"/>
      <c r="BZ7159" s="7"/>
    </row>
    <row r="7160" spans="2:78">
      <c r="B7160" s="7"/>
      <c r="O7160" s="7"/>
      <c r="X7160" s="7"/>
      <c r="AG7160" s="7"/>
      <c r="AP7160" s="7"/>
      <c r="AY7160" s="7"/>
      <c r="BH7160" s="7"/>
      <c r="BQ7160" s="7"/>
      <c r="BZ7160" s="7"/>
    </row>
    <row r="7161" spans="2:78">
      <c r="B7161" s="7"/>
      <c r="O7161" s="7"/>
      <c r="X7161" s="7"/>
      <c r="AG7161" s="7"/>
      <c r="AP7161" s="7"/>
      <c r="AY7161" s="7"/>
      <c r="BH7161" s="7"/>
      <c r="BQ7161" s="7"/>
      <c r="BZ7161" s="7"/>
    </row>
    <row r="7162" spans="2:78">
      <c r="B7162" s="7"/>
      <c r="O7162" s="7"/>
      <c r="X7162" s="7"/>
      <c r="AG7162" s="7"/>
      <c r="AP7162" s="7"/>
      <c r="AY7162" s="7"/>
      <c r="BH7162" s="7"/>
      <c r="BQ7162" s="7"/>
      <c r="BZ7162" s="7"/>
    </row>
    <row r="7163" spans="2:78">
      <c r="B7163" s="7"/>
      <c r="O7163" s="7"/>
      <c r="X7163" s="7"/>
      <c r="AG7163" s="7"/>
      <c r="AP7163" s="7"/>
      <c r="AY7163" s="7"/>
      <c r="BH7163" s="7"/>
      <c r="BQ7163" s="7"/>
      <c r="BZ7163" s="7"/>
    </row>
    <row r="7164" spans="2:78">
      <c r="B7164" s="7"/>
      <c r="O7164" s="7"/>
      <c r="X7164" s="7"/>
      <c r="AG7164" s="7"/>
      <c r="AP7164" s="7"/>
      <c r="AY7164" s="7"/>
      <c r="BH7164" s="7"/>
      <c r="BQ7164" s="7"/>
      <c r="BZ7164" s="7"/>
    </row>
    <row r="7165" spans="2:78">
      <c r="B7165" s="7"/>
      <c r="O7165" s="7"/>
      <c r="X7165" s="7"/>
      <c r="AG7165" s="7"/>
      <c r="AP7165" s="7"/>
      <c r="AY7165" s="7"/>
      <c r="BH7165" s="7"/>
      <c r="BQ7165" s="7"/>
      <c r="BZ7165" s="7"/>
    </row>
    <row r="7166" spans="2:78">
      <c r="B7166" s="7"/>
      <c r="O7166" s="7"/>
      <c r="X7166" s="7"/>
      <c r="AG7166" s="7"/>
      <c r="AP7166" s="7"/>
      <c r="AY7166" s="7"/>
      <c r="BH7166" s="7"/>
      <c r="BQ7166" s="7"/>
      <c r="BZ7166" s="7"/>
    </row>
    <row r="7167" spans="2:78">
      <c r="B7167" s="7"/>
      <c r="O7167" s="7"/>
      <c r="X7167" s="7"/>
      <c r="AG7167" s="7"/>
      <c r="AP7167" s="7"/>
      <c r="AY7167" s="7"/>
      <c r="BH7167" s="7"/>
      <c r="BQ7167" s="7"/>
      <c r="BZ7167" s="7"/>
    </row>
    <row r="7168" spans="2:78">
      <c r="B7168" s="7"/>
      <c r="O7168" s="7"/>
      <c r="X7168" s="7"/>
      <c r="AG7168" s="7"/>
      <c r="AP7168" s="7"/>
      <c r="AY7168" s="7"/>
      <c r="BH7168" s="7"/>
      <c r="BQ7168" s="7"/>
      <c r="BZ7168" s="7"/>
    </row>
    <row r="7169" spans="2:78">
      <c r="B7169" s="7"/>
      <c r="O7169" s="7"/>
      <c r="X7169" s="7"/>
      <c r="AG7169" s="7"/>
      <c r="AP7169" s="7"/>
      <c r="AY7169" s="7"/>
      <c r="BH7169" s="7"/>
      <c r="BQ7169" s="7"/>
      <c r="BZ7169" s="7"/>
    </row>
    <row r="7170" spans="2:78">
      <c r="B7170" s="7"/>
      <c r="O7170" s="7"/>
      <c r="X7170" s="7"/>
      <c r="AG7170" s="7"/>
      <c r="AP7170" s="7"/>
      <c r="AY7170" s="7"/>
      <c r="BH7170" s="7"/>
      <c r="BQ7170" s="7"/>
      <c r="BZ7170" s="7"/>
    </row>
    <row r="7171" spans="2:78">
      <c r="B7171" s="7"/>
      <c r="O7171" s="7"/>
      <c r="X7171" s="7"/>
      <c r="AG7171" s="7"/>
      <c r="AP7171" s="7"/>
      <c r="AY7171" s="7"/>
      <c r="BH7171" s="7"/>
      <c r="BQ7171" s="7"/>
      <c r="BZ7171" s="7"/>
    </row>
    <row r="7172" spans="2:78">
      <c r="B7172" s="7"/>
      <c r="O7172" s="7"/>
      <c r="X7172" s="7"/>
      <c r="AG7172" s="7"/>
      <c r="AP7172" s="7"/>
      <c r="AY7172" s="7"/>
      <c r="BH7172" s="7"/>
      <c r="BQ7172" s="7"/>
      <c r="BZ7172" s="7"/>
    </row>
    <row r="7173" spans="2:78">
      <c r="B7173" s="7"/>
      <c r="O7173" s="7"/>
      <c r="X7173" s="7"/>
      <c r="AG7173" s="7"/>
      <c r="AP7173" s="7"/>
      <c r="AY7173" s="7"/>
      <c r="BH7173" s="7"/>
      <c r="BQ7173" s="7"/>
      <c r="BZ7173" s="7"/>
    </row>
    <row r="7174" spans="2:78">
      <c r="B7174" s="7"/>
      <c r="O7174" s="7"/>
      <c r="X7174" s="7"/>
      <c r="AG7174" s="7"/>
      <c r="AP7174" s="7"/>
      <c r="AY7174" s="7"/>
      <c r="BH7174" s="7"/>
      <c r="BQ7174" s="7"/>
      <c r="BZ7174" s="7"/>
    </row>
    <row r="7175" spans="2:78">
      <c r="B7175" s="7"/>
      <c r="O7175" s="7"/>
      <c r="X7175" s="7"/>
      <c r="AG7175" s="7"/>
      <c r="AP7175" s="7"/>
      <c r="AY7175" s="7"/>
      <c r="BH7175" s="7"/>
      <c r="BQ7175" s="7"/>
      <c r="BZ7175" s="7"/>
    </row>
    <row r="7176" spans="2:78">
      <c r="B7176" s="7"/>
      <c r="O7176" s="7"/>
      <c r="X7176" s="7"/>
      <c r="AG7176" s="7"/>
      <c r="AP7176" s="7"/>
      <c r="AY7176" s="7"/>
      <c r="BH7176" s="7"/>
      <c r="BQ7176" s="7"/>
      <c r="BZ7176" s="7"/>
    </row>
    <row r="7177" spans="2:78">
      <c r="B7177" s="7"/>
      <c r="O7177" s="7"/>
      <c r="X7177" s="7"/>
      <c r="AG7177" s="7"/>
      <c r="AP7177" s="7"/>
      <c r="AY7177" s="7"/>
      <c r="BH7177" s="7"/>
      <c r="BQ7177" s="7"/>
      <c r="BZ7177" s="7"/>
    </row>
    <row r="7178" spans="2:78">
      <c r="B7178" s="7"/>
      <c r="O7178" s="7"/>
      <c r="X7178" s="7"/>
      <c r="AG7178" s="7"/>
      <c r="AP7178" s="7"/>
      <c r="AY7178" s="7"/>
      <c r="BH7178" s="7"/>
      <c r="BQ7178" s="7"/>
      <c r="BZ7178" s="7"/>
    </row>
    <row r="7179" spans="2:78">
      <c r="B7179" s="7"/>
      <c r="O7179" s="7"/>
      <c r="X7179" s="7"/>
      <c r="AG7179" s="7"/>
      <c r="AP7179" s="7"/>
      <c r="AY7179" s="7"/>
      <c r="BH7179" s="7"/>
      <c r="BQ7179" s="7"/>
      <c r="BZ7179" s="7"/>
    </row>
    <row r="7180" spans="2:78">
      <c r="B7180" s="7"/>
      <c r="O7180" s="7"/>
      <c r="X7180" s="7"/>
      <c r="AG7180" s="7"/>
      <c r="AP7180" s="7"/>
      <c r="AY7180" s="7"/>
      <c r="BH7180" s="7"/>
      <c r="BQ7180" s="7"/>
      <c r="BZ7180" s="7"/>
    </row>
    <row r="7181" spans="2:78">
      <c r="B7181" s="7"/>
      <c r="O7181" s="7"/>
      <c r="X7181" s="7"/>
      <c r="AG7181" s="7"/>
      <c r="AP7181" s="7"/>
      <c r="AY7181" s="7"/>
      <c r="BH7181" s="7"/>
      <c r="BQ7181" s="7"/>
      <c r="BZ7181" s="7"/>
    </row>
    <row r="7182" spans="2:78">
      <c r="B7182" s="7"/>
      <c r="O7182" s="7"/>
      <c r="X7182" s="7"/>
      <c r="AG7182" s="7"/>
      <c r="AP7182" s="7"/>
      <c r="AY7182" s="7"/>
      <c r="BH7182" s="7"/>
      <c r="BQ7182" s="7"/>
      <c r="BZ7182" s="7"/>
    </row>
    <row r="7183" spans="2:78">
      <c r="B7183" s="7"/>
      <c r="O7183" s="7"/>
      <c r="X7183" s="7"/>
      <c r="AG7183" s="7"/>
      <c r="AP7183" s="7"/>
      <c r="AY7183" s="7"/>
      <c r="BH7183" s="7"/>
      <c r="BQ7183" s="7"/>
      <c r="BZ7183" s="7"/>
    </row>
    <row r="7184" spans="2:78">
      <c r="B7184" s="7"/>
      <c r="O7184" s="7"/>
      <c r="X7184" s="7"/>
      <c r="AG7184" s="7"/>
      <c r="AP7184" s="7"/>
      <c r="AY7184" s="7"/>
      <c r="BH7184" s="7"/>
      <c r="BQ7184" s="7"/>
      <c r="BZ7184" s="7"/>
    </row>
    <row r="7185" spans="2:78">
      <c r="B7185" s="7"/>
      <c r="O7185" s="7"/>
      <c r="X7185" s="7"/>
      <c r="AG7185" s="7"/>
      <c r="AP7185" s="7"/>
      <c r="AY7185" s="7"/>
      <c r="BH7185" s="7"/>
      <c r="BQ7185" s="7"/>
      <c r="BZ7185" s="7"/>
    </row>
    <row r="7186" spans="2:78">
      <c r="B7186" s="7"/>
      <c r="O7186" s="7"/>
      <c r="X7186" s="7"/>
      <c r="AG7186" s="7"/>
      <c r="AP7186" s="7"/>
      <c r="AY7186" s="7"/>
      <c r="BH7186" s="7"/>
      <c r="BQ7186" s="7"/>
      <c r="BZ7186" s="7"/>
    </row>
    <row r="7187" spans="2:78">
      <c r="B7187" s="7"/>
      <c r="O7187" s="7"/>
      <c r="X7187" s="7"/>
      <c r="AG7187" s="7"/>
      <c r="AP7187" s="7"/>
      <c r="AY7187" s="7"/>
      <c r="BH7187" s="7"/>
      <c r="BQ7187" s="7"/>
      <c r="BZ7187" s="7"/>
    </row>
    <row r="7188" spans="2:78">
      <c r="B7188" s="7"/>
      <c r="O7188" s="7"/>
      <c r="X7188" s="7"/>
      <c r="AG7188" s="7"/>
      <c r="AP7188" s="7"/>
      <c r="AY7188" s="7"/>
      <c r="BH7188" s="7"/>
      <c r="BQ7188" s="7"/>
      <c r="BZ7188" s="7"/>
    </row>
    <row r="7189" spans="2:78">
      <c r="B7189" s="7"/>
      <c r="O7189" s="7"/>
      <c r="X7189" s="7"/>
      <c r="AG7189" s="7"/>
      <c r="AP7189" s="7"/>
      <c r="AY7189" s="7"/>
      <c r="BH7189" s="7"/>
      <c r="BQ7189" s="7"/>
      <c r="BZ7189" s="7"/>
    </row>
    <row r="7190" spans="2:78">
      <c r="B7190" s="7"/>
      <c r="O7190" s="7"/>
      <c r="X7190" s="7"/>
      <c r="AG7190" s="7"/>
      <c r="AP7190" s="7"/>
      <c r="AY7190" s="7"/>
      <c r="BH7190" s="7"/>
      <c r="BQ7190" s="7"/>
      <c r="BZ7190" s="7"/>
    </row>
    <row r="7191" spans="2:78">
      <c r="B7191" s="7"/>
      <c r="O7191" s="7"/>
      <c r="X7191" s="7"/>
      <c r="AG7191" s="7"/>
      <c r="AP7191" s="7"/>
      <c r="AY7191" s="7"/>
      <c r="BH7191" s="7"/>
      <c r="BQ7191" s="7"/>
      <c r="BZ7191" s="7"/>
    </row>
    <row r="7192" spans="2:78">
      <c r="B7192" s="7"/>
      <c r="O7192" s="7"/>
      <c r="X7192" s="7"/>
      <c r="AG7192" s="7"/>
      <c r="AP7192" s="7"/>
      <c r="AY7192" s="7"/>
      <c r="BH7192" s="7"/>
      <c r="BQ7192" s="7"/>
      <c r="BZ7192" s="7"/>
    </row>
    <row r="7193" spans="2:78">
      <c r="B7193" s="7"/>
      <c r="O7193" s="7"/>
      <c r="X7193" s="7"/>
      <c r="AG7193" s="7"/>
      <c r="AP7193" s="7"/>
      <c r="AY7193" s="7"/>
      <c r="BH7193" s="7"/>
      <c r="BQ7193" s="7"/>
      <c r="BZ7193" s="7"/>
    </row>
    <row r="7194" spans="2:78">
      <c r="B7194" s="7"/>
      <c r="O7194" s="7"/>
      <c r="X7194" s="7"/>
      <c r="AG7194" s="7"/>
      <c r="AP7194" s="7"/>
      <c r="AY7194" s="7"/>
      <c r="BH7194" s="7"/>
      <c r="BQ7194" s="7"/>
      <c r="BZ7194" s="7"/>
    </row>
    <row r="7195" spans="2:78">
      <c r="B7195" s="7"/>
      <c r="O7195" s="7"/>
      <c r="X7195" s="7"/>
      <c r="AG7195" s="7"/>
      <c r="AP7195" s="7"/>
      <c r="AY7195" s="7"/>
      <c r="BH7195" s="7"/>
      <c r="BQ7195" s="7"/>
      <c r="BZ7195" s="7"/>
    </row>
    <row r="7196" spans="2:78">
      <c r="B7196" s="7"/>
      <c r="O7196" s="7"/>
      <c r="X7196" s="7"/>
      <c r="AG7196" s="7"/>
      <c r="AP7196" s="7"/>
      <c r="AY7196" s="7"/>
      <c r="BH7196" s="7"/>
      <c r="BQ7196" s="7"/>
      <c r="BZ7196" s="7"/>
    </row>
    <row r="7197" spans="2:78">
      <c r="B7197" s="7"/>
      <c r="O7197" s="7"/>
      <c r="X7197" s="7"/>
      <c r="AG7197" s="7"/>
      <c r="AP7197" s="7"/>
      <c r="AY7197" s="7"/>
      <c r="BH7197" s="7"/>
      <c r="BQ7197" s="7"/>
      <c r="BZ7197" s="7"/>
    </row>
    <row r="7198" spans="2:78">
      <c r="B7198" s="7"/>
      <c r="O7198" s="7"/>
      <c r="X7198" s="7"/>
      <c r="AG7198" s="7"/>
      <c r="AP7198" s="7"/>
      <c r="AY7198" s="7"/>
      <c r="BH7198" s="7"/>
      <c r="BQ7198" s="7"/>
      <c r="BZ7198" s="7"/>
    </row>
    <row r="7199" spans="2:78">
      <c r="B7199" s="7"/>
      <c r="O7199" s="7"/>
      <c r="X7199" s="7"/>
      <c r="AG7199" s="7"/>
      <c r="AP7199" s="7"/>
      <c r="AY7199" s="7"/>
      <c r="BH7199" s="7"/>
      <c r="BQ7199" s="7"/>
      <c r="BZ7199" s="7"/>
    </row>
    <row r="7200" spans="2:78">
      <c r="B7200" s="7"/>
      <c r="O7200" s="7"/>
      <c r="X7200" s="7"/>
      <c r="AG7200" s="7"/>
      <c r="AP7200" s="7"/>
      <c r="AY7200" s="7"/>
      <c r="BH7200" s="7"/>
      <c r="BQ7200" s="7"/>
      <c r="BZ7200" s="7"/>
    </row>
    <row r="7201" spans="2:78">
      <c r="B7201" s="7"/>
      <c r="O7201" s="7"/>
      <c r="X7201" s="7"/>
      <c r="AG7201" s="7"/>
      <c r="AP7201" s="7"/>
      <c r="AY7201" s="7"/>
      <c r="BH7201" s="7"/>
      <c r="BQ7201" s="7"/>
      <c r="BZ7201" s="7"/>
    </row>
    <row r="7202" spans="2:78">
      <c r="B7202" s="7"/>
      <c r="O7202" s="7"/>
      <c r="X7202" s="7"/>
      <c r="AG7202" s="7"/>
      <c r="AP7202" s="7"/>
      <c r="AY7202" s="7"/>
      <c r="BH7202" s="7"/>
      <c r="BQ7202" s="7"/>
      <c r="BZ7202" s="7"/>
    </row>
    <row r="7203" spans="2:78">
      <c r="B7203" s="7"/>
      <c r="O7203" s="7"/>
      <c r="X7203" s="7"/>
      <c r="AG7203" s="7"/>
      <c r="AP7203" s="7"/>
      <c r="AY7203" s="7"/>
      <c r="BH7203" s="7"/>
      <c r="BQ7203" s="7"/>
      <c r="BZ7203" s="7"/>
    </row>
    <row r="7204" spans="2:78">
      <c r="B7204" s="7"/>
      <c r="O7204" s="7"/>
      <c r="X7204" s="7"/>
      <c r="AG7204" s="7"/>
      <c r="AP7204" s="7"/>
      <c r="AY7204" s="7"/>
      <c r="BH7204" s="7"/>
      <c r="BQ7204" s="7"/>
      <c r="BZ7204" s="7"/>
    </row>
    <row r="7205" spans="2:78">
      <c r="B7205" s="7"/>
      <c r="O7205" s="7"/>
      <c r="X7205" s="7"/>
      <c r="AG7205" s="7"/>
      <c r="AP7205" s="7"/>
      <c r="AY7205" s="7"/>
      <c r="BH7205" s="7"/>
      <c r="BQ7205" s="7"/>
      <c r="BZ7205" s="7"/>
    </row>
    <row r="7206" spans="2:78">
      <c r="B7206" s="7"/>
      <c r="O7206" s="7"/>
      <c r="X7206" s="7"/>
      <c r="AG7206" s="7"/>
      <c r="AP7206" s="7"/>
      <c r="AY7206" s="7"/>
      <c r="BH7206" s="7"/>
      <c r="BQ7206" s="7"/>
      <c r="BZ7206" s="7"/>
    </row>
    <row r="7207" spans="2:78">
      <c r="B7207" s="7"/>
      <c r="O7207" s="7"/>
      <c r="X7207" s="7"/>
      <c r="AG7207" s="7"/>
      <c r="AP7207" s="7"/>
      <c r="AY7207" s="7"/>
      <c r="BH7207" s="7"/>
      <c r="BQ7207" s="7"/>
      <c r="BZ7207" s="7"/>
    </row>
    <row r="7208" spans="2:78">
      <c r="B7208" s="7"/>
      <c r="O7208" s="7"/>
      <c r="X7208" s="7"/>
      <c r="AG7208" s="7"/>
      <c r="AP7208" s="7"/>
      <c r="AY7208" s="7"/>
      <c r="BH7208" s="7"/>
      <c r="BQ7208" s="7"/>
      <c r="BZ7208" s="7"/>
    </row>
    <row r="7209" spans="2:78">
      <c r="B7209" s="7"/>
      <c r="O7209" s="7"/>
      <c r="X7209" s="7"/>
      <c r="AG7209" s="7"/>
      <c r="AP7209" s="7"/>
      <c r="AY7209" s="7"/>
      <c r="BH7209" s="7"/>
      <c r="BQ7209" s="7"/>
      <c r="BZ7209" s="7"/>
    </row>
    <row r="7210" spans="2:78">
      <c r="B7210" s="7"/>
      <c r="O7210" s="7"/>
      <c r="X7210" s="7"/>
      <c r="AG7210" s="7"/>
      <c r="AP7210" s="7"/>
      <c r="AY7210" s="7"/>
      <c r="BH7210" s="7"/>
      <c r="BQ7210" s="7"/>
      <c r="BZ7210" s="7"/>
    </row>
    <row r="7211" spans="2:78">
      <c r="B7211" s="7"/>
      <c r="O7211" s="7"/>
      <c r="X7211" s="7"/>
      <c r="AG7211" s="7"/>
      <c r="AP7211" s="7"/>
      <c r="AY7211" s="7"/>
      <c r="BH7211" s="7"/>
      <c r="BQ7211" s="7"/>
      <c r="BZ7211" s="7"/>
    </row>
    <row r="7212" spans="2:78">
      <c r="B7212" s="7"/>
      <c r="O7212" s="7"/>
      <c r="X7212" s="7"/>
      <c r="AG7212" s="7"/>
      <c r="AP7212" s="7"/>
      <c r="AY7212" s="7"/>
      <c r="BH7212" s="7"/>
      <c r="BQ7212" s="7"/>
      <c r="BZ7212" s="7"/>
    </row>
    <row r="7213" spans="2:78">
      <c r="B7213" s="7"/>
      <c r="O7213" s="7"/>
      <c r="X7213" s="7"/>
      <c r="AG7213" s="7"/>
      <c r="AP7213" s="7"/>
      <c r="AY7213" s="7"/>
      <c r="BH7213" s="7"/>
      <c r="BQ7213" s="7"/>
      <c r="BZ7213" s="7"/>
    </row>
    <row r="7214" spans="2:78">
      <c r="B7214" s="7"/>
      <c r="O7214" s="7"/>
      <c r="X7214" s="7"/>
      <c r="AG7214" s="7"/>
      <c r="AP7214" s="7"/>
      <c r="AY7214" s="7"/>
      <c r="BH7214" s="7"/>
      <c r="BQ7214" s="7"/>
      <c r="BZ7214" s="7"/>
    </row>
    <row r="7215" spans="2:78">
      <c r="B7215" s="7"/>
      <c r="O7215" s="7"/>
      <c r="X7215" s="7"/>
      <c r="AG7215" s="7"/>
      <c r="AP7215" s="7"/>
      <c r="AY7215" s="7"/>
      <c r="BH7215" s="7"/>
      <c r="BQ7215" s="7"/>
      <c r="BZ7215" s="7"/>
    </row>
    <row r="7216" spans="2:78">
      <c r="B7216" s="7"/>
      <c r="O7216" s="7"/>
      <c r="X7216" s="7"/>
      <c r="AG7216" s="7"/>
      <c r="AP7216" s="7"/>
      <c r="AY7216" s="7"/>
      <c r="BH7216" s="7"/>
      <c r="BQ7216" s="7"/>
      <c r="BZ7216" s="7"/>
    </row>
    <row r="7217" spans="2:78">
      <c r="B7217" s="7"/>
      <c r="O7217" s="7"/>
      <c r="X7217" s="7"/>
      <c r="AG7217" s="7"/>
      <c r="AP7217" s="7"/>
      <c r="AY7217" s="7"/>
      <c r="BH7217" s="7"/>
      <c r="BQ7217" s="7"/>
      <c r="BZ7217" s="7"/>
    </row>
    <row r="7218" spans="2:78">
      <c r="B7218" s="7"/>
      <c r="O7218" s="7"/>
      <c r="X7218" s="7"/>
      <c r="AG7218" s="7"/>
      <c r="AP7218" s="7"/>
      <c r="AY7218" s="7"/>
      <c r="BH7218" s="7"/>
      <c r="BQ7218" s="7"/>
      <c r="BZ7218" s="7"/>
    </row>
    <row r="7219" spans="2:78">
      <c r="B7219" s="7"/>
      <c r="O7219" s="7"/>
      <c r="X7219" s="7"/>
      <c r="AG7219" s="7"/>
      <c r="AP7219" s="7"/>
      <c r="AY7219" s="7"/>
      <c r="BH7219" s="7"/>
      <c r="BQ7219" s="7"/>
      <c r="BZ7219" s="7"/>
    </row>
    <row r="7220" spans="2:78">
      <c r="B7220" s="7"/>
      <c r="O7220" s="7"/>
      <c r="X7220" s="7"/>
      <c r="AG7220" s="7"/>
      <c r="AP7220" s="7"/>
      <c r="AY7220" s="7"/>
      <c r="BH7220" s="7"/>
      <c r="BQ7220" s="7"/>
      <c r="BZ7220" s="7"/>
    </row>
    <row r="7221" spans="2:78">
      <c r="B7221" s="7"/>
      <c r="O7221" s="7"/>
      <c r="X7221" s="7"/>
      <c r="AG7221" s="7"/>
      <c r="AP7221" s="7"/>
      <c r="AY7221" s="7"/>
      <c r="BH7221" s="7"/>
      <c r="BQ7221" s="7"/>
      <c r="BZ7221" s="7"/>
    </row>
    <row r="7222" spans="2:78">
      <c r="B7222" s="7"/>
      <c r="O7222" s="7"/>
      <c r="X7222" s="7"/>
      <c r="AG7222" s="7"/>
      <c r="AP7222" s="7"/>
      <c r="AY7222" s="7"/>
      <c r="BH7222" s="7"/>
      <c r="BQ7222" s="7"/>
      <c r="BZ7222" s="7"/>
    </row>
    <row r="7223" spans="2:78">
      <c r="B7223" s="7"/>
      <c r="O7223" s="7"/>
      <c r="X7223" s="7"/>
      <c r="AG7223" s="7"/>
      <c r="AP7223" s="7"/>
      <c r="AY7223" s="7"/>
      <c r="BH7223" s="7"/>
      <c r="BQ7223" s="7"/>
      <c r="BZ7223" s="7"/>
    </row>
    <row r="7224" spans="2:78">
      <c r="B7224" s="7"/>
      <c r="O7224" s="7"/>
      <c r="X7224" s="7"/>
      <c r="AG7224" s="7"/>
      <c r="AP7224" s="7"/>
      <c r="AY7224" s="7"/>
      <c r="BH7224" s="7"/>
      <c r="BQ7224" s="7"/>
      <c r="BZ7224" s="7"/>
    </row>
    <row r="7225" spans="2:78">
      <c r="B7225" s="7"/>
      <c r="O7225" s="7"/>
      <c r="X7225" s="7"/>
      <c r="AG7225" s="7"/>
      <c r="AP7225" s="7"/>
      <c r="AY7225" s="7"/>
      <c r="BH7225" s="7"/>
      <c r="BQ7225" s="7"/>
      <c r="BZ7225" s="7"/>
    </row>
    <row r="7226" spans="2:78">
      <c r="B7226" s="7"/>
      <c r="O7226" s="7"/>
      <c r="X7226" s="7"/>
      <c r="AG7226" s="7"/>
      <c r="AP7226" s="7"/>
      <c r="AY7226" s="7"/>
      <c r="BH7226" s="7"/>
      <c r="BQ7226" s="7"/>
      <c r="BZ7226" s="7"/>
    </row>
    <row r="7227" spans="2:78">
      <c r="B7227" s="7"/>
      <c r="O7227" s="7"/>
      <c r="X7227" s="7"/>
      <c r="AG7227" s="7"/>
      <c r="AP7227" s="7"/>
      <c r="AY7227" s="7"/>
      <c r="BH7227" s="7"/>
      <c r="BQ7227" s="7"/>
      <c r="BZ7227" s="7"/>
    </row>
    <row r="7228" spans="2:78">
      <c r="B7228" s="7"/>
      <c r="O7228" s="7"/>
      <c r="X7228" s="7"/>
      <c r="AG7228" s="7"/>
      <c r="AP7228" s="7"/>
      <c r="AY7228" s="7"/>
      <c r="BH7228" s="7"/>
      <c r="BQ7228" s="7"/>
      <c r="BZ7228" s="7"/>
    </row>
    <row r="7229" spans="2:78">
      <c r="B7229" s="7"/>
      <c r="O7229" s="7"/>
      <c r="X7229" s="7"/>
      <c r="AG7229" s="7"/>
      <c r="AP7229" s="7"/>
      <c r="AY7229" s="7"/>
      <c r="BH7229" s="7"/>
      <c r="BQ7229" s="7"/>
      <c r="BZ7229" s="7"/>
    </row>
    <row r="7230" spans="2:78">
      <c r="B7230" s="7"/>
      <c r="O7230" s="7"/>
      <c r="X7230" s="7"/>
      <c r="AG7230" s="7"/>
      <c r="AP7230" s="7"/>
      <c r="AY7230" s="7"/>
      <c r="BH7230" s="7"/>
      <c r="BQ7230" s="7"/>
      <c r="BZ7230" s="7"/>
    </row>
    <row r="7231" spans="2:78">
      <c r="B7231" s="7"/>
      <c r="O7231" s="7"/>
      <c r="X7231" s="7"/>
      <c r="AG7231" s="7"/>
      <c r="AP7231" s="7"/>
      <c r="AY7231" s="7"/>
      <c r="BH7231" s="7"/>
      <c r="BQ7231" s="7"/>
      <c r="BZ7231" s="7"/>
    </row>
    <row r="7232" spans="2:78">
      <c r="B7232" s="7"/>
      <c r="O7232" s="7"/>
      <c r="X7232" s="7"/>
      <c r="AG7232" s="7"/>
      <c r="AP7232" s="7"/>
      <c r="AY7232" s="7"/>
      <c r="BH7232" s="7"/>
      <c r="BQ7232" s="7"/>
      <c r="BZ7232" s="7"/>
    </row>
    <row r="7233" spans="2:78">
      <c r="B7233" s="7"/>
      <c r="O7233" s="7"/>
      <c r="X7233" s="7"/>
      <c r="AG7233" s="7"/>
      <c r="AP7233" s="7"/>
      <c r="AY7233" s="7"/>
      <c r="BH7233" s="7"/>
      <c r="BQ7233" s="7"/>
      <c r="BZ7233" s="7"/>
    </row>
    <row r="7234" spans="2:78">
      <c r="B7234" s="7"/>
      <c r="O7234" s="7"/>
      <c r="X7234" s="7"/>
      <c r="AG7234" s="7"/>
      <c r="AP7234" s="7"/>
      <c r="AY7234" s="7"/>
      <c r="BH7234" s="7"/>
      <c r="BQ7234" s="7"/>
      <c r="BZ7234" s="7"/>
    </row>
    <row r="7235" spans="2:78">
      <c r="B7235" s="7"/>
      <c r="O7235" s="7"/>
      <c r="X7235" s="7"/>
      <c r="AG7235" s="7"/>
      <c r="AP7235" s="7"/>
      <c r="AY7235" s="7"/>
      <c r="BH7235" s="7"/>
      <c r="BQ7235" s="7"/>
      <c r="BZ7235" s="7"/>
    </row>
    <row r="7236" spans="2:78">
      <c r="B7236" s="7"/>
      <c r="O7236" s="7"/>
      <c r="X7236" s="7"/>
      <c r="AG7236" s="7"/>
      <c r="AP7236" s="7"/>
      <c r="AY7236" s="7"/>
      <c r="BH7236" s="7"/>
      <c r="BQ7236" s="7"/>
      <c r="BZ7236" s="7"/>
    </row>
    <row r="7237" spans="2:78">
      <c r="B7237" s="7"/>
      <c r="O7237" s="7"/>
      <c r="X7237" s="7"/>
      <c r="AG7237" s="7"/>
      <c r="AP7237" s="7"/>
      <c r="AY7237" s="7"/>
      <c r="BH7237" s="7"/>
      <c r="BQ7237" s="7"/>
      <c r="BZ7237" s="7"/>
    </row>
    <row r="7238" spans="2:78">
      <c r="B7238" s="7"/>
      <c r="O7238" s="7"/>
      <c r="X7238" s="7"/>
      <c r="AG7238" s="7"/>
      <c r="AP7238" s="7"/>
      <c r="AY7238" s="7"/>
      <c r="BH7238" s="7"/>
      <c r="BQ7238" s="7"/>
      <c r="BZ7238" s="7"/>
    </row>
    <row r="7239" spans="2:78">
      <c r="B7239" s="7"/>
      <c r="O7239" s="7"/>
      <c r="X7239" s="7"/>
      <c r="AG7239" s="7"/>
      <c r="AP7239" s="7"/>
      <c r="AY7239" s="7"/>
      <c r="BH7239" s="7"/>
      <c r="BQ7239" s="7"/>
      <c r="BZ7239" s="7"/>
    </row>
    <row r="7240" spans="2:78">
      <c r="B7240" s="7"/>
      <c r="O7240" s="7"/>
      <c r="X7240" s="7"/>
      <c r="AG7240" s="7"/>
      <c r="AP7240" s="7"/>
      <c r="AY7240" s="7"/>
      <c r="BH7240" s="7"/>
      <c r="BQ7240" s="7"/>
      <c r="BZ7240" s="7"/>
    </row>
    <row r="7241" spans="2:78">
      <c r="B7241" s="7"/>
      <c r="O7241" s="7"/>
      <c r="X7241" s="7"/>
      <c r="AG7241" s="7"/>
      <c r="AP7241" s="7"/>
      <c r="AY7241" s="7"/>
      <c r="BH7241" s="7"/>
      <c r="BQ7241" s="7"/>
      <c r="BZ7241" s="7"/>
    </row>
    <row r="7242" spans="2:78">
      <c r="B7242" s="7"/>
      <c r="O7242" s="7"/>
      <c r="X7242" s="7"/>
      <c r="AG7242" s="7"/>
      <c r="AP7242" s="7"/>
      <c r="AY7242" s="7"/>
      <c r="BH7242" s="7"/>
      <c r="BQ7242" s="7"/>
      <c r="BZ7242" s="7"/>
    </row>
    <row r="7243" spans="2:78">
      <c r="B7243" s="7"/>
      <c r="O7243" s="7"/>
      <c r="X7243" s="7"/>
      <c r="AG7243" s="7"/>
      <c r="AP7243" s="7"/>
      <c r="AY7243" s="7"/>
      <c r="BH7243" s="7"/>
      <c r="BQ7243" s="7"/>
      <c r="BZ7243" s="7"/>
    </row>
    <row r="7244" spans="2:78">
      <c r="B7244" s="7"/>
      <c r="O7244" s="7"/>
      <c r="X7244" s="7"/>
      <c r="AG7244" s="7"/>
      <c r="AP7244" s="7"/>
      <c r="AY7244" s="7"/>
      <c r="BH7244" s="7"/>
      <c r="BQ7244" s="7"/>
      <c r="BZ7244" s="7"/>
    </row>
    <row r="7245" spans="2:78">
      <c r="B7245" s="7"/>
      <c r="O7245" s="7"/>
      <c r="X7245" s="7"/>
      <c r="AG7245" s="7"/>
      <c r="AP7245" s="7"/>
      <c r="AY7245" s="7"/>
      <c r="BH7245" s="7"/>
      <c r="BQ7245" s="7"/>
      <c r="BZ7245" s="7"/>
    </row>
    <row r="7246" spans="2:78">
      <c r="B7246" s="7"/>
      <c r="O7246" s="7"/>
      <c r="X7246" s="7"/>
      <c r="AG7246" s="7"/>
      <c r="AP7246" s="7"/>
      <c r="AY7246" s="7"/>
      <c r="BH7246" s="7"/>
      <c r="BQ7246" s="7"/>
      <c r="BZ7246" s="7"/>
    </row>
    <row r="7247" spans="2:78">
      <c r="B7247" s="7"/>
      <c r="O7247" s="7"/>
      <c r="X7247" s="7"/>
      <c r="AG7247" s="7"/>
      <c r="AP7247" s="7"/>
      <c r="AY7247" s="7"/>
      <c r="BH7247" s="7"/>
      <c r="BQ7247" s="7"/>
      <c r="BZ7247" s="7"/>
    </row>
    <row r="7248" spans="2:78">
      <c r="B7248" s="7"/>
      <c r="O7248" s="7"/>
      <c r="X7248" s="7"/>
      <c r="AG7248" s="7"/>
      <c r="AP7248" s="7"/>
      <c r="AY7248" s="7"/>
      <c r="BH7248" s="7"/>
      <c r="BQ7248" s="7"/>
      <c r="BZ7248" s="7"/>
    </row>
    <row r="7249" spans="2:78">
      <c r="B7249" s="7"/>
      <c r="O7249" s="7"/>
      <c r="X7249" s="7"/>
      <c r="AG7249" s="7"/>
      <c r="AP7249" s="7"/>
      <c r="AY7249" s="7"/>
      <c r="BH7249" s="7"/>
      <c r="BQ7249" s="7"/>
      <c r="BZ7249" s="7"/>
    </row>
    <row r="7250" spans="2:78">
      <c r="B7250" s="7"/>
      <c r="O7250" s="7"/>
      <c r="X7250" s="7"/>
      <c r="AG7250" s="7"/>
      <c r="AP7250" s="7"/>
      <c r="AY7250" s="7"/>
      <c r="BH7250" s="7"/>
      <c r="BQ7250" s="7"/>
      <c r="BZ7250" s="7"/>
    </row>
    <row r="7251" spans="2:78">
      <c r="B7251" s="7"/>
      <c r="O7251" s="7"/>
      <c r="X7251" s="7"/>
      <c r="AG7251" s="7"/>
      <c r="AP7251" s="7"/>
      <c r="AY7251" s="7"/>
      <c r="BH7251" s="7"/>
      <c r="BQ7251" s="7"/>
      <c r="BZ7251" s="7"/>
    </row>
    <row r="7252" spans="2:78">
      <c r="B7252" s="7"/>
      <c r="O7252" s="7"/>
      <c r="X7252" s="7"/>
      <c r="AG7252" s="7"/>
      <c r="AP7252" s="7"/>
      <c r="AY7252" s="7"/>
      <c r="BH7252" s="7"/>
      <c r="BQ7252" s="7"/>
      <c r="BZ7252" s="7"/>
    </row>
    <row r="7253" spans="2:78">
      <c r="B7253" s="7"/>
      <c r="O7253" s="7"/>
      <c r="X7253" s="7"/>
      <c r="AG7253" s="7"/>
      <c r="AP7253" s="7"/>
      <c r="AY7253" s="7"/>
      <c r="BH7253" s="7"/>
      <c r="BQ7253" s="7"/>
      <c r="BZ7253" s="7"/>
    </row>
    <row r="7254" spans="2:78">
      <c r="B7254" s="7"/>
      <c r="O7254" s="7"/>
      <c r="X7254" s="7"/>
      <c r="AG7254" s="7"/>
      <c r="AP7254" s="7"/>
      <c r="AY7254" s="7"/>
      <c r="BH7254" s="7"/>
      <c r="BQ7254" s="7"/>
      <c r="BZ7254" s="7"/>
    </row>
    <row r="7255" spans="2:78">
      <c r="B7255" s="7"/>
      <c r="O7255" s="7"/>
      <c r="X7255" s="7"/>
      <c r="AG7255" s="7"/>
      <c r="AP7255" s="7"/>
      <c r="AY7255" s="7"/>
      <c r="BH7255" s="7"/>
      <c r="BQ7255" s="7"/>
      <c r="BZ7255" s="7"/>
    </row>
    <row r="7256" spans="2:78">
      <c r="B7256" s="7"/>
      <c r="O7256" s="7"/>
      <c r="X7256" s="7"/>
      <c r="AG7256" s="7"/>
      <c r="AP7256" s="7"/>
      <c r="AY7256" s="7"/>
      <c r="BH7256" s="7"/>
      <c r="BQ7256" s="7"/>
      <c r="BZ7256" s="7"/>
    </row>
    <row r="7257" spans="2:78">
      <c r="B7257" s="7"/>
      <c r="O7257" s="7"/>
      <c r="X7257" s="7"/>
      <c r="AG7257" s="7"/>
      <c r="AP7257" s="7"/>
      <c r="AY7257" s="7"/>
      <c r="BH7257" s="7"/>
      <c r="BQ7257" s="7"/>
      <c r="BZ7257" s="7"/>
    </row>
    <row r="7258" spans="2:78">
      <c r="B7258" s="7"/>
      <c r="O7258" s="7"/>
      <c r="X7258" s="7"/>
      <c r="AG7258" s="7"/>
      <c r="AP7258" s="7"/>
      <c r="AY7258" s="7"/>
      <c r="BH7258" s="7"/>
      <c r="BQ7258" s="7"/>
      <c r="BZ7258" s="7"/>
    </row>
    <row r="7259" spans="2:78">
      <c r="B7259" s="7"/>
      <c r="O7259" s="7"/>
      <c r="X7259" s="7"/>
      <c r="AG7259" s="7"/>
      <c r="AP7259" s="7"/>
      <c r="AY7259" s="7"/>
      <c r="BH7259" s="7"/>
      <c r="BQ7259" s="7"/>
      <c r="BZ7259" s="7"/>
    </row>
    <row r="7260" spans="2:78">
      <c r="B7260" s="7"/>
      <c r="O7260" s="7"/>
      <c r="X7260" s="7"/>
      <c r="AG7260" s="7"/>
      <c r="AP7260" s="7"/>
      <c r="AY7260" s="7"/>
      <c r="BH7260" s="7"/>
      <c r="BQ7260" s="7"/>
      <c r="BZ7260" s="7"/>
    </row>
    <row r="7261" spans="2:78">
      <c r="B7261" s="7"/>
      <c r="O7261" s="7"/>
      <c r="X7261" s="7"/>
      <c r="AG7261" s="7"/>
      <c r="AP7261" s="7"/>
      <c r="AY7261" s="7"/>
      <c r="BH7261" s="7"/>
      <c r="BQ7261" s="7"/>
      <c r="BZ7261" s="7"/>
    </row>
    <row r="7262" spans="2:78">
      <c r="B7262" s="7"/>
      <c r="O7262" s="7"/>
      <c r="X7262" s="7"/>
      <c r="AG7262" s="7"/>
      <c r="AP7262" s="7"/>
      <c r="AY7262" s="7"/>
      <c r="BH7262" s="7"/>
      <c r="BQ7262" s="7"/>
      <c r="BZ7262" s="7"/>
    </row>
    <row r="7263" spans="2:78">
      <c r="B7263" s="7"/>
      <c r="O7263" s="7"/>
      <c r="X7263" s="7"/>
      <c r="AG7263" s="7"/>
      <c r="AP7263" s="7"/>
      <c r="AY7263" s="7"/>
      <c r="BH7263" s="7"/>
      <c r="BQ7263" s="7"/>
      <c r="BZ7263" s="7"/>
    </row>
    <row r="7264" spans="2:78">
      <c r="B7264" s="7"/>
      <c r="O7264" s="7"/>
      <c r="X7264" s="7"/>
      <c r="AG7264" s="7"/>
      <c r="AP7264" s="7"/>
      <c r="AY7264" s="7"/>
      <c r="BH7264" s="7"/>
      <c r="BQ7264" s="7"/>
      <c r="BZ7264" s="7"/>
    </row>
    <row r="7265" spans="2:78">
      <c r="B7265" s="7"/>
      <c r="O7265" s="7"/>
      <c r="X7265" s="7"/>
      <c r="AG7265" s="7"/>
      <c r="AP7265" s="7"/>
      <c r="AY7265" s="7"/>
      <c r="BH7265" s="7"/>
      <c r="BQ7265" s="7"/>
      <c r="BZ7265" s="7"/>
    </row>
    <row r="7266" spans="2:78">
      <c r="B7266" s="7"/>
      <c r="O7266" s="7"/>
      <c r="X7266" s="7"/>
      <c r="AG7266" s="7"/>
      <c r="AP7266" s="7"/>
      <c r="AY7266" s="7"/>
      <c r="BH7266" s="7"/>
      <c r="BQ7266" s="7"/>
      <c r="BZ7266" s="7"/>
    </row>
    <row r="7267" spans="2:78">
      <c r="B7267" s="7"/>
      <c r="O7267" s="7"/>
      <c r="X7267" s="7"/>
      <c r="AG7267" s="7"/>
      <c r="AP7267" s="7"/>
      <c r="AY7267" s="7"/>
      <c r="BH7267" s="7"/>
      <c r="BQ7267" s="7"/>
      <c r="BZ7267" s="7"/>
    </row>
    <row r="7268" spans="2:78">
      <c r="B7268" s="7"/>
      <c r="O7268" s="7"/>
      <c r="X7268" s="7"/>
      <c r="AG7268" s="7"/>
      <c r="AP7268" s="7"/>
      <c r="AY7268" s="7"/>
      <c r="BH7268" s="7"/>
      <c r="BQ7268" s="7"/>
      <c r="BZ7268" s="7"/>
    </row>
    <row r="7269" spans="2:78">
      <c r="B7269" s="7"/>
      <c r="O7269" s="7"/>
      <c r="X7269" s="7"/>
      <c r="AG7269" s="7"/>
      <c r="AP7269" s="7"/>
      <c r="AY7269" s="7"/>
      <c r="BH7269" s="7"/>
      <c r="BQ7269" s="7"/>
      <c r="BZ7269" s="7"/>
    </row>
    <row r="7270" spans="2:78">
      <c r="B7270" s="7"/>
      <c r="O7270" s="7"/>
      <c r="X7270" s="7"/>
      <c r="AG7270" s="7"/>
      <c r="AP7270" s="7"/>
      <c r="AY7270" s="7"/>
      <c r="BH7270" s="7"/>
      <c r="BQ7270" s="7"/>
      <c r="BZ7270" s="7"/>
    </row>
    <row r="7271" spans="2:78">
      <c r="B7271" s="7"/>
      <c r="O7271" s="7"/>
      <c r="X7271" s="7"/>
      <c r="AG7271" s="7"/>
      <c r="AP7271" s="7"/>
      <c r="AY7271" s="7"/>
      <c r="BH7271" s="7"/>
      <c r="BQ7271" s="7"/>
      <c r="BZ7271" s="7"/>
    </row>
    <row r="7272" spans="2:78">
      <c r="B7272" s="7"/>
      <c r="O7272" s="7"/>
      <c r="X7272" s="7"/>
      <c r="AG7272" s="7"/>
      <c r="AP7272" s="7"/>
      <c r="AY7272" s="7"/>
      <c r="BH7272" s="7"/>
      <c r="BQ7272" s="7"/>
      <c r="BZ7272" s="7"/>
    </row>
    <row r="7273" spans="2:78">
      <c r="B7273" s="7"/>
      <c r="O7273" s="7"/>
      <c r="X7273" s="7"/>
      <c r="AG7273" s="7"/>
      <c r="AP7273" s="7"/>
      <c r="AY7273" s="7"/>
      <c r="BH7273" s="7"/>
      <c r="BQ7273" s="7"/>
      <c r="BZ7273" s="7"/>
    </row>
    <row r="7274" spans="2:78">
      <c r="B7274" s="7"/>
      <c r="O7274" s="7"/>
      <c r="X7274" s="7"/>
      <c r="AG7274" s="7"/>
      <c r="AP7274" s="7"/>
      <c r="AY7274" s="7"/>
      <c r="BH7274" s="7"/>
      <c r="BQ7274" s="7"/>
      <c r="BZ7274" s="7"/>
    </row>
    <row r="7275" spans="2:78">
      <c r="B7275" s="7"/>
      <c r="O7275" s="7"/>
      <c r="X7275" s="7"/>
      <c r="AG7275" s="7"/>
      <c r="AP7275" s="7"/>
      <c r="AY7275" s="7"/>
      <c r="BH7275" s="7"/>
      <c r="BQ7275" s="7"/>
      <c r="BZ7275" s="7"/>
    </row>
    <row r="7276" spans="2:78">
      <c r="B7276" s="7"/>
      <c r="O7276" s="7"/>
      <c r="X7276" s="7"/>
      <c r="AG7276" s="7"/>
      <c r="AP7276" s="7"/>
      <c r="AY7276" s="7"/>
      <c r="BH7276" s="7"/>
      <c r="BQ7276" s="7"/>
      <c r="BZ7276" s="7"/>
    </row>
    <row r="7277" spans="2:78">
      <c r="B7277" s="7"/>
      <c r="O7277" s="7"/>
      <c r="X7277" s="7"/>
      <c r="AG7277" s="7"/>
      <c r="AP7277" s="7"/>
      <c r="AY7277" s="7"/>
      <c r="BH7277" s="7"/>
      <c r="BQ7277" s="7"/>
      <c r="BZ7277" s="7"/>
    </row>
    <row r="7278" spans="2:78">
      <c r="B7278" s="7"/>
      <c r="O7278" s="7"/>
      <c r="X7278" s="7"/>
      <c r="AG7278" s="7"/>
      <c r="AP7278" s="7"/>
      <c r="AY7278" s="7"/>
      <c r="BH7278" s="7"/>
      <c r="BQ7278" s="7"/>
      <c r="BZ7278" s="7"/>
    </row>
    <row r="7279" spans="2:78">
      <c r="B7279" s="7"/>
      <c r="O7279" s="7"/>
      <c r="X7279" s="7"/>
      <c r="AG7279" s="7"/>
      <c r="AP7279" s="7"/>
      <c r="AY7279" s="7"/>
      <c r="BH7279" s="7"/>
      <c r="BQ7279" s="7"/>
      <c r="BZ7279" s="7"/>
    </row>
    <row r="7280" spans="2:78">
      <c r="B7280" s="7"/>
      <c r="O7280" s="7"/>
      <c r="X7280" s="7"/>
      <c r="AG7280" s="7"/>
      <c r="AP7280" s="7"/>
      <c r="AY7280" s="7"/>
      <c r="BH7280" s="7"/>
      <c r="BQ7280" s="7"/>
      <c r="BZ7280" s="7"/>
    </row>
    <row r="7281" spans="2:78">
      <c r="B7281" s="7"/>
      <c r="O7281" s="7"/>
      <c r="X7281" s="7"/>
      <c r="AG7281" s="7"/>
      <c r="AP7281" s="7"/>
      <c r="AY7281" s="7"/>
      <c r="BH7281" s="7"/>
      <c r="BQ7281" s="7"/>
      <c r="BZ7281" s="7"/>
    </row>
    <row r="7282" spans="2:78">
      <c r="B7282" s="7"/>
      <c r="O7282" s="7"/>
      <c r="X7282" s="7"/>
      <c r="AG7282" s="7"/>
      <c r="AP7282" s="7"/>
      <c r="AY7282" s="7"/>
      <c r="BH7282" s="7"/>
      <c r="BQ7282" s="7"/>
      <c r="BZ7282" s="7"/>
    </row>
    <row r="7283" spans="2:78">
      <c r="B7283" s="7"/>
      <c r="O7283" s="7"/>
      <c r="X7283" s="7"/>
      <c r="AG7283" s="7"/>
      <c r="AP7283" s="7"/>
      <c r="AY7283" s="7"/>
      <c r="BH7283" s="7"/>
      <c r="BQ7283" s="7"/>
      <c r="BZ7283" s="7"/>
    </row>
    <row r="7284" spans="2:78">
      <c r="B7284" s="7"/>
      <c r="O7284" s="7"/>
      <c r="X7284" s="7"/>
      <c r="AG7284" s="7"/>
      <c r="AP7284" s="7"/>
      <c r="AY7284" s="7"/>
      <c r="BH7284" s="7"/>
      <c r="BQ7284" s="7"/>
      <c r="BZ7284" s="7"/>
    </row>
    <row r="7285" spans="2:78">
      <c r="B7285" s="7"/>
      <c r="O7285" s="7"/>
      <c r="X7285" s="7"/>
      <c r="AG7285" s="7"/>
      <c r="AP7285" s="7"/>
      <c r="AY7285" s="7"/>
      <c r="BH7285" s="7"/>
      <c r="BQ7285" s="7"/>
      <c r="BZ7285" s="7"/>
    </row>
    <row r="7286" spans="2:78">
      <c r="B7286" s="7"/>
      <c r="O7286" s="7"/>
      <c r="X7286" s="7"/>
      <c r="AG7286" s="7"/>
      <c r="AP7286" s="7"/>
      <c r="AY7286" s="7"/>
      <c r="BH7286" s="7"/>
      <c r="BQ7286" s="7"/>
      <c r="BZ7286" s="7"/>
    </row>
    <row r="7287" spans="2:78">
      <c r="B7287" s="7"/>
      <c r="O7287" s="7"/>
      <c r="X7287" s="7"/>
      <c r="AG7287" s="7"/>
      <c r="AP7287" s="7"/>
      <c r="AY7287" s="7"/>
      <c r="BH7287" s="7"/>
      <c r="BQ7287" s="7"/>
      <c r="BZ7287" s="7"/>
    </row>
    <row r="7288" spans="2:78">
      <c r="B7288" s="7"/>
      <c r="O7288" s="7"/>
      <c r="X7288" s="7"/>
      <c r="AG7288" s="7"/>
      <c r="AP7288" s="7"/>
      <c r="AY7288" s="7"/>
      <c r="BH7288" s="7"/>
      <c r="BQ7288" s="7"/>
      <c r="BZ7288" s="7"/>
    </row>
    <row r="7289" spans="2:78">
      <c r="B7289" s="7"/>
      <c r="O7289" s="7"/>
      <c r="X7289" s="7"/>
      <c r="AG7289" s="7"/>
      <c r="AP7289" s="7"/>
      <c r="AY7289" s="7"/>
      <c r="BH7289" s="7"/>
      <c r="BQ7289" s="7"/>
      <c r="BZ7289" s="7"/>
    </row>
    <row r="7290" spans="2:78">
      <c r="B7290" s="7"/>
      <c r="O7290" s="7"/>
      <c r="X7290" s="7"/>
      <c r="AG7290" s="7"/>
      <c r="AP7290" s="7"/>
      <c r="AY7290" s="7"/>
      <c r="BH7290" s="7"/>
      <c r="BQ7290" s="7"/>
      <c r="BZ7290" s="7"/>
    </row>
    <row r="7291" spans="2:78">
      <c r="B7291" s="7"/>
      <c r="O7291" s="7"/>
      <c r="X7291" s="7"/>
      <c r="AG7291" s="7"/>
      <c r="AP7291" s="7"/>
      <c r="AY7291" s="7"/>
      <c r="BH7291" s="7"/>
      <c r="BQ7291" s="7"/>
      <c r="BZ7291" s="7"/>
    </row>
    <row r="7292" spans="2:78">
      <c r="B7292" s="7"/>
      <c r="O7292" s="7"/>
      <c r="X7292" s="7"/>
      <c r="AG7292" s="7"/>
      <c r="AP7292" s="7"/>
      <c r="AY7292" s="7"/>
      <c r="BH7292" s="7"/>
      <c r="BQ7292" s="7"/>
      <c r="BZ7292" s="7"/>
    </row>
    <row r="7293" spans="2:78">
      <c r="B7293" s="7"/>
      <c r="O7293" s="7"/>
      <c r="X7293" s="7"/>
      <c r="AG7293" s="7"/>
      <c r="AP7293" s="7"/>
      <c r="AY7293" s="7"/>
      <c r="BH7293" s="7"/>
      <c r="BQ7293" s="7"/>
      <c r="BZ7293" s="7"/>
    </row>
    <row r="7294" spans="2:78">
      <c r="B7294" s="7"/>
      <c r="O7294" s="7"/>
      <c r="X7294" s="7"/>
      <c r="AG7294" s="7"/>
      <c r="AP7294" s="7"/>
      <c r="AY7294" s="7"/>
      <c r="BH7294" s="7"/>
      <c r="BQ7294" s="7"/>
      <c r="BZ7294" s="7"/>
    </row>
    <row r="7295" spans="2:78">
      <c r="B7295" s="7"/>
      <c r="O7295" s="7"/>
      <c r="X7295" s="7"/>
      <c r="AG7295" s="7"/>
      <c r="AP7295" s="7"/>
      <c r="AY7295" s="7"/>
      <c r="BH7295" s="7"/>
      <c r="BQ7295" s="7"/>
      <c r="BZ7295" s="7"/>
    </row>
    <row r="7296" spans="2:78">
      <c r="B7296" s="7"/>
      <c r="O7296" s="7"/>
      <c r="X7296" s="7"/>
      <c r="AG7296" s="7"/>
      <c r="AP7296" s="7"/>
      <c r="AY7296" s="7"/>
      <c r="BH7296" s="7"/>
      <c r="BQ7296" s="7"/>
      <c r="BZ7296" s="7"/>
    </row>
    <row r="7297" spans="2:78">
      <c r="B7297" s="7"/>
      <c r="O7297" s="7"/>
      <c r="X7297" s="7"/>
      <c r="AG7297" s="7"/>
      <c r="AP7297" s="7"/>
      <c r="AY7297" s="7"/>
      <c r="BH7297" s="7"/>
      <c r="BQ7297" s="7"/>
      <c r="BZ7297" s="7"/>
    </row>
    <row r="7298" spans="2:78">
      <c r="B7298" s="7"/>
      <c r="O7298" s="7"/>
      <c r="X7298" s="7"/>
      <c r="AG7298" s="7"/>
      <c r="AP7298" s="7"/>
      <c r="AY7298" s="7"/>
      <c r="BH7298" s="7"/>
      <c r="BQ7298" s="7"/>
      <c r="BZ7298" s="7"/>
    </row>
    <row r="7299" spans="2:78">
      <c r="B7299" s="7"/>
      <c r="O7299" s="7"/>
      <c r="X7299" s="7"/>
      <c r="AG7299" s="7"/>
      <c r="AP7299" s="7"/>
      <c r="AY7299" s="7"/>
      <c r="BH7299" s="7"/>
      <c r="BQ7299" s="7"/>
      <c r="BZ7299" s="7"/>
    </row>
    <row r="7300" spans="2:78">
      <c r="B7300" s="7"/>
      <c r="O7300" s="7"/>
      <c r="X7300" s="7"/>
      <c r="AG7300" s="7"/>
      <c r="AP7300" s="7"/>
      <c r="AY7300" s="7"/>
      <c r="BH7300" s="7"/>
      <c r="BQ7300" s="7"/>
      <c r="BZ7300" s="7"/>
    </row>
    <row r="7301" spans="2:78">
      <c r="B7301" s="7"/>
      <c r="O7301" s="7"/>
      <c r="X7301" s="7"/>
      <c r="AG7301" s="7"/>
      <c r="AP7301" s="7"/>
      <c r="AY7301" s="7"/>
      <c r="BH7301" s="7"/>
      <c r="BQ7301" s="7"/>
      <c r="BZ7301" s="7"/>
    </row>
    <row r="7302" spans="2:78">
      <c r="B7302" s="7"/>
      <c r="O7302" s="7"/>
      <c r="X7302" s="7"/>
      <c r="AG7302" s="7"/>
      <c r="AP7302" s="7"/>
      <c r="AY7302" s="7"/>
      <c r="BH7302" s="7"/>
      <c r="BQ7302" s="7"/>
      <c r="BZ7302" s="7"/>
    </row>
    <row r="7303" spans="2:78">
      <c r="B7303" s="7"/>
      <c r="O7303" s="7"/>
      <c r="X7303" s="7"/>
      <c r="AG7303" s="7"/>
      <c r="AP7303" s="7"/>
      <c r="AY7303" s="7"/>
      <c r="BH7303" s="7"/>
      <c r="BQ7303" s="7"/>
      <c r="BZ7303" s="7"/>
    </row>
    <row r="7304" spans="2:78">
      <c r="B7304" s="7"/>
      <c r="O7304" s="7"/>
      <c r="X7304" s="7"/>
      <c r="AG7304" s="7"/>
      <c r="AP7304" s="7"/>
      <c r="AY7304" s="7"/>
      <c r="BH7304" s="7"/>
      <c r="BQ7304" s="7"/>
      <c r="BZ7304" s="7"/>
    </row>
    <row r="7305" spans="2:78">
      <c r="B7305" s="7"/>
      <c r="O7305" s="7"/>
      <c r="X7305" s="7"/>
      <c r="AG7305" s="7"/>
      <c r="AP7305" s="7"/>
      <c r="AY7305" s="7"/>
      <c r="BH7305" s="7"/>
      <c r="BQ7305" s="7"/>
      <c r="BZ7305" s="7"/>
    </row>
    <row r="7306" spans="2:78">
      <c r="B7306" s="7"/>
      <c r="O7306" s="7"/>
      <c r="X7306" s="7"/>
      <c r="AG7306" s="7"/>
      <c r="AP7306" s="7"/>
      <c r="AY7306" s="7"/>
      <c r="BH7306" s="7"/>
      <c r="BQ7306" s="7"/>
      <c r="BZ7306" s="7"/>
    </row>
    <row r="7307" spans="2:78">
      <c r="B7307" s="7"/>
      <c r="O7307" s="7"/>
      <c r="X7307" s="7"/>
      <c r="AG7307" s="7"/>
      <c r="AP7307" s="7"/>
      <c r="AY7307" s="7"/>
      <c r="BH7307" s="7"/>
      <c r="BQ7307" s="7"/>
      <c r="BZ7307" s="7"/>
    </row>
    <row r="7308" spans="2:78">
      <c r="B7308" s="7"/>
      <c r="O7308" s="7"/>
      <c r="X7308" s="7"/>
      <c r="AG7308" s="7"/>
      <c r="AP7308" s="7"/>
      <c r="AY7308" s="7"/>
      <c r="BH7308" s="7"/>
      <c r="BQ7308" s="7"/>
      <c r="BZ7308" s="7"/>
    </row>
    <row r="7309" spans="2:78">
      <c r="B7309" s="7"/>
      <c r="O7309" s="7"/>
      <c r="X7309" s="7"/>
      <c r="AG7309" s="7"/>
      <c r="AP7309" s="7"/>
      <c r="AY7309" s="7"/>
      <c r="BH7309" s="7"/>
      <c r="BQ7309" s="7"/>
      <c r="BZ7309" s="7"/>
    </row>
    <row r="7310" spans="2:78">
      <c r="B7310" s="7"/>
      <c r="O7310" s="7"/>
      <c r="X7310" s="7"/>
      <c r="AG7310" s="7"/>
      <c r="AP7310" s="7"/>
      <c r="AY7310" s="7"/>
      <c r="BH7310" s="7"/>
      <c r="BQ7310" s="7"/>
      <c r="BZ7310" s="7"/>
    </row>
    <row r="7311" spans="2:78">
      <c r="B7311" s="7"/>
      <c r="O7311" s="7"/>
      <c r="X7311" s="7"/>
      <c r="AG7311" s="7"/>
      <c r="AP7311" s="7"/>
      <c r="AY7311" s="7"/>
      <c r="BH7311" s="7"/>
      <c r="BQ7311" s="7"/>
      <c r="BZ7311" s="7"/>
    </row>
    <row r="7312" spans="2:78">
      <c r="B7312" s="7"/>
      <c r="O7312" s="7"/>
      <c r="X7312" s="7"/>
      <c r="AG7312" s="7"/>
      <c r="AP7312" s="7"/>
      <c r="AY7312" s="7"/>
      <c r="BH7312" s="7"/>
      <c r="BQ7312" s="7"/>
      <c r="BZ7312" s="7"/>
    </row>
    <row r="7313" spans="2:78">
      <c r="B7313" s="7"/>
      <c r="O7313" s="7"/>
      <c r="X7313" s="7"/>
      <c r="AG7313" s="7"/>
      <c r="AP7313" s="7"/>
      <c r="AY7313" s="7"/>
      <c r="BH7313" s="7"/>
      <c r="BQ7313" s="7"/>
      <c r="BZ7313" s="7"/>
    </row>
    <row r="7314" spans="2:78">
      <c r="B7314" s="7"/>
      <c r="O7314" s="7"/>
      <c r="X7314" s="7"/>
      <c r="AG7314" s="7"/>
      <c r="AP7314" s="7"/>
      <c r="AY7314" s="7"/>
      <c r="BH7314" s="7"/>
      <c r="BQ7314" s="7"/>
      <c r="BZ7314" s="7"/>
    </row>
    <row r="7315" spans="2:78">
      <c r="B7315" s="7"/>
      <c r="O7315" s="7"/>
      <c r="X7315" s="7"/>
      <c r="AG7315" s="7"/>
      <c r="AP7315" s="7"/>
      <c r="AY7315" s="7"/>
      <c r="BH7315" s="7"/>
      <c r="BQ7315" s="7"/>
      <c r="BZ7315" s="7"/>
    </row>
    <row r="7316" spans="2:78">
      <c r="B7316" s="7"/>
      <c r="O7316" s="7"/>
      <c r="X7316" s="7"/>
      <c r="AG7316" s="7"/>
      <c r="AP7316" s="7"/>
      <c r="AY7316" s="7"/>
      <c r="BH7316" s="7"/>
      <c r="BQ7316" s="7"/>
      <c r="BZ7316" s="7"/>
    </row>
    <row r="7317" spans="2:78">
      <c r="B7317" s="7"/>
      <c r="O7317" s="7"/>
      <c r="X7317" s="7"/>
      <c r="AG7317" s="7"/>
      <c r="AP7317" s="7"/>
      <c r="AY7317" s="7"/>
      <c r="BH7317" s="7"/>
      <c r="BQ7317" s="7"/>
      <c r="BZ7317" s="7"/>
    </row>
    <row r="7318" spans="2:78">
      <c r="B7318" s="7"/>
      <c r="O7318" s="7"/>
      <c r="X7318" s="7"/>
      <c r="AG7318" s="7"/>
      <c r="AP7318" s="7"/>
      <c r="AY7318" s="7"/>
      <c r="BH7318" s="7"/>
      <c r="BQ7318" s="7"/>
      <c r="BZ7318" s="7"/>
    </row>
    <row r="7319" spans="2:78">
      <c r="B7319" s="7"/>
      <c r="O7319" s="7"/>
      <c r="X7319" s="7"/>
      <c r="AG7319" s="7"/>
      <c r="AP7319" s="7"/>
      <c r="AY7319" s="7"/>
      <c r="BH7319" s="7"/>
      <c r="BQ7319" s="7"/>
      <c r="BZ7319" s="7"/>
    </row>
    <row r="7320" spans="2:78">
      <c r="B7320" s="7"/>
      <c r="O7320" s="7"/>
      <c r="X7320" s="7"/>
      <c r="AG7320" s="7"/>
      <c r="AP7320" s="7"/>
      <c r="AY7320" s="7"/>
      <c r="BH7320" s="7"/>
      <c r="BQ7320" s="7"/>
      <c r="BZ7320" s="7"/>
    </row>
    <row r="7321" spans="2:78">
      <c r="B7321" s="7"/>
      <c r="O7321" s="7"/>
      <c r="X7321" s="7"/>
      <c r="AG7321" s="7"/>
      <c r="AP7321" s="7"/>
      <c r="AY7321" s="7"/>
      <c r="BH7321" s="7"/>
      <c r="BQ7321" s="7"/>
      <c r="BZ7321" s="7"/>
    </row>
    <row r="7322" spans="2:78">
      <c r="B7322" s="7"/>
      <c r="O7322" s="7"/>
      <c r="X7322" s="7"/>
      <c r="AG7322" s="7"/>
      <c r="AP7322" s="7"/>
      <c r="AY7322" s="7"/>
      <c r="BH7322" s="7"/>
      <c r="BQ7322" s="7"/>
      <c r="BZ7322" s="7"/>
    </row>
    <row r="7323" spans="2:78">
      <c r="B7323" s="7"/>
      <c r="O7323" s="7"/>
      <c r="X7323" s="7"/>
      <c r="AG7323" s="7"/>
      <c r="AP7323" s="7"/>
      <c r="AY7323" s="7"/>
      <c r="BH7323" s="7"/>
      <c r="BQ7323" s="7"/>
      <c r="BZ7323" s="7"/>
    </row>
    <row r="7324" spans="2:78">
      <c r="B7324" s="7"/>
      <c r="O7324" s="7"/>
      <c r="X7324" s="7"/>
      <c r="AG7324" s="7"/>
      <c r="AP7324" s="7"/>
      <c r="AY7324" s="7"/>
      <c r="BH7324" s="7"/>
      <c r="BQ7324" s="7"/>
      <c r="BZ7324" s="7"/>
    </row>
    <row r="7325" spans="2:78">
      <c r="B7325" s="7"/>
      <c r="O7325" s="7"/>
      <c r="X7325" s="7"/>
      <c r="AG7325" s="7"/>
      <c r="AP7325" s="7"/>
      <c r="AY7325" s="7"/>
      <c r="BH7325" s="7"/>
      <c r="BQ7325" s="7"/>
      <c r="BZ7325" s="7"/>
    </row>
    <row r="7326" spans="2:78">
      <c r="B7326" s="7"/>
      <c r="O7326" s="7"/>
      <c r="X7326" s="7"/>
      <c r="AG7326" s="7"/>
      <c r="AP7326" s="7"/>
      <c r="AY7326" s="7"/>
      <c r="BH7326" s="7"/>
      <c r="BQ7326" s="7"/>
      <c r="BZ7326" s="7"/>
    </row>
    <row r="7327" spans="2:78">
      <c r="B7327" s="7"/>
      <c r="O7327" s="7"/>
      <c r="X7327" s="7"/>
      <c r="AG7327" s="7"/>
      <c r="AP7327" s="7"/>
      <c r="AY7327" s="7"/>
      <c r="BH7327" s="7"/>
      <c r="BQ7327" s="7"/>
      <c r="BZ7327" s="7"/>
    </row>
    <row r="7328" spans="2:78">
      <c r="B7328" s="7"/>
      <c r="O7328" s="7"/>
      <c r="X7328" s="7"/>
      <c r="AG7328" s="7"/>
      <c r="AP7328" s="7"/>
      <c r="AY7328" s="7"/>
      <c r="BH7328" s="7"/>
      <c r="BQ7328" s="7"/>
      <c r="BZ7328" s="7"/>
    </row>
    <row r="7329" spans="2:78">
      <c r="B7329" s="7"/>
      <c r="O7329" s="7"/>
      <c r="X7329" s="7"/>
      <c r="AG7329" s="7"/>
      <c r="AP7329" s="7"/>
      <c r="AY7329" s="7"/>
      <c r="BH7329" s="7"/>
      <c r="BQ7329" s="7"/>
      <c r="BZ7329" s="7"/>
    </row>
    <row r="7330" spans="2:78">
      <c r="B7330" s="7"/>
      <c r="O7330" s="7"/>
      <c r="X7330" s="7"/>
      <c r="AG7330" s="7"/>
      <c r="AP7330" s="7"/>
      <c r="AY7330" s="7"/>
      <c r="BH7330" s="7"/>
      <c r="BQ7330" s="7"/>
      <c r="BZ7330" s="7"/>
    </row>
    <row r="7331" spans="2:78">
      <c r="B7331" s="7"/>
      <c r="O7331" s="7"/>
      <c r="X7331" s="7"/>
      <c r="AG7331" s="7"/>
      <c r="AP7331" s="7"/>
      <c r="AY7331" s="7"/>
      <c r="BH7331" s="7"/>
      <c r="BQ7331" s="7"/>
      <c r="BZ7331" s="7"/>
    </row>
    <row r="7332" spans="2:78">
      <c r="B7332" s="7"/>
      <c r="O7332" s="7"/>
      <c r="X7332" s="7"/>
      <c r="AG7332" s="7"/>
      <c r="AP7332" s="7"/>
      <c r="AY7332" s="7"/>
      <c r="BH7332" s="7"/>
      <c r="BQ7332" s="7"/>
      <c r="BZ7332" s="7"/>
    </row>
    <row r="7333" spans="2:78">
      <c r="B7333" s="7"/>
      <c r="O7333" s="7"/>
      <c r="X7333" s="7"/>
      <c r="AG7333" s="7"/>
      <c r="AP7333" s="7"/>
      <c r="AY7333" s="7"/>
      <c r="BH7333" s="7"/>
      <c r="BQ7333" s="7"/>
      <c r="BZ7333" s="7"/>
    </row>
    <row r="7334" spans="2:78">
      <c r="B7334" s="7"/>
      <c r="O7334" s="7"/>
      <c r="X7334" s="7"/>
      <c r="AG7334" s="7"/>
      <c r="AP7334" s="7"/>
      <c r="AY7334" s="7"/>
      <c r="BH7334" s="7"/>
      <c r="BQ7334" s="7"/>
      <c r="BZ7334" s="7"/>
    </row>
    <row r="7335" spans="2:78">
      <c r="B7335" s="7"/>
      <c r="O7335" s="7"/>
      <c r="X7335" s="7"/>
      <c r="AG7335" s="7"/>
      <c r="AP7335" s="7"/>
      <c r="AY7335" s="7"/>
      <c r="BH7335" s="7"/>
      <c r="BQ7335" s="7"/>
      <c r="BZ7335" s="7"/>
    </row>
    <row r="7336" spans="2:78">
      <c r="B7336" s="7"/>
      <c r="O7336" s="7"/>
      <c r="X7336" s="7"/>
      <c r="AG7336" s="7"/>
      <c r="AP7336" s="7"/>
      <c r="AY7336" s="7"/>
      <c r="BH7336" s="7"/>
      <c r="BQ7336" s="7"/>
      <c r="BZ7336" s="7"/>
    </row>
    <row r="7337" spans="2:78">
      <c r="B7337" s="7"/>
      <c r="O7337" s="7"/>
      <c r="X7337" s="7"/>
      <c r="AG7337" s="7"/>
      <c r="AP7337" s="7"/>
      <c r="AY7337" s="7"/>
      <c r="BH7337" s="7"/>
      <c r="BQ7337" s="7"/>
      <c r="BZ7337" s="7"/>
    </row>
    <row r="7338" spans="2:78">
      <c r="B7338" s="7"/>
      <c r="O7338" s="7"/>
      <c r="X7338" s="7"/>
      <c r="AG7338" s="7"/>
      <c r="AP7338" s="7"/>
      <c r="AY7338" s="7"/>
      <c r="BH7338" s="7"/>
      <c r="BQ7338" s="7"/>
      <c r="BZ7338" s="7"/>
    </row>
    <row r="7339" spans="2:78">
      <c r="B7339" s="7"/>
      <c r="O7339" s="7"/>
      <c r="X7339" s="7"/>
      <c r="AG7339" s="7"/>
      <c r="AP7339" s="7"/>
      <c r="AY7339" s="7"/>
      <c r="BH7339" s="7"/>
      <c r="BQ7339" s="7"/>
      <c r="BZ7339" s="7"/>
    </row>
    <row r="7340" spans="2:78">
      <c r="B7340" s="7"/>
      <c r="O7340" s="7"/>
      <c r="X7340" s="7"/>
      <c r="AG7340" s="7"/>
      <c r="AP7340" s="7"/>
      <c r="AY7340" s="7"/>
      <c r="BH7340" s="7"/>
      <c r="BQ7340" s="7"/>
      <c r="BZ7340" s="7"/>
    </row>
    <row r="7341" spans="2:78">
      <c r="B7341" s="7"/>
      <c r="O7341" s="7"/>
      <c r="X7341" s="7"/>
      <c r="AG7341" s="7"/>
      <c r="AP7341" s="7"/>
      <c r="AY7341" s="7"/>
      <c r="BH7341" s="7"/>
      <c r="BQ7341" s="7"/>
      <c r="BZ7341" s="7"/>
    </row>
    <row r="7342" spans="2:78">
      <c r="B7342" s="7"/>
      <c r="O7342" s="7"/>
      <c r="X7342" s="7"/>
      <c r="AG7342" s="7"/>
      <c r="AP7342" s="7"/>
      <c r="AY7342" s="7"/>
      <c r="BH7342" s="7"/>
      <c r="BQ7342" s="7"/>
      <c r="BZ7342" s="7"/>
    </row>
    <row r="7343" spans="2:78">
      <c r="B7343" s="7"/>
      <c r="O7343" s="7"/>
      <c r="X7343" s="7"/>
      <c r="AG7343" s="7"/>
      <c r="AP7343" s="7"/>
      <c r="AY7343" s="7"/>
      <c r="BH7343" s="7"/>
      <c r="BQ7343" s="7"/>
      <c r="BZ7343" s="7"/>
    </row>
    <row r="7344" spans="2:78">
      <c r="B7344" s="7"/>
      <c r="O7344" s="7"/>
      <c r="X7344" s="7"/>
      <c r="AG7344" s="7"/>
      <c r="AP7344" s="7"/>
      <c r="AY7344" s="7"/>
      <c r="BH7344" s="7"/>
      <c r="BQ7344" s="7"/>
      <c r="BZ7344" s="7"/>
    </row>
    <row r="7345" spans="2:78">
      <c r="B7345" s="7"/>
      <c r="O7345" s="7"/>
      <c r="X7345" s="7"/>
      <c r="AG7345" s="7"/>
      <c r="AP7345" s="7"/>
      <c r="AY7345" s="7"/>
      <c r="BH7345" s="7"/>
      <c r="BQ7345" s="7"/>
      <c r="BZ7345" s="7"/>
    </row>
    <row r="7346" spans="2:78">
      <c r="B7346" s="7"/>
      <c r="O7346" s="7"/>
      <c r="X7346" s="7"/>
      <c r="AG7346" s="7"/>
      <c r="AP7346" s="7"/>
      <c r="AY7346" s="7"/>
      <c r="BH7346" s="7"/>
      <c r="BQ7346" s="7"/>
      <c r="BZ7346" s="7"/>
    </row>
    <row r="7347" spans="2:78">
      <c r="B7347" s="7"/>
      <c r="O7347" s="7"/>
      <c r="X7347" s="7"/>
      <c r="AG7347" s="7"/>
      <c r="AP7347" s="7"/>
      <c r="AY7347" s="7"/>
      <c r="BH7347" s="7"/>
      <c r="BQ7347" s="7"/>
      <c r="BZ7347" s="7"/>
    </row>
    <row r="7348" spans="2:78">
      <c r="B7348" s="7"/>
      <c r="O7348" s="7"/>
      <c r="X7348" s="7"/>
      <c r="AG7348" s="7"/>
      <c r="AP7348" s="7"/>
      <c r="AY7348" s="7"/>
      <c r="BH7348" s="7"/>
      <c r="BQ7348" s="7"/>
      <c r="BZ7348" s="7"/>
    </row>
    <row r="7349" spans="2:78">
      <c r="B7349" s="7"/>
      <c r="O7349" s="7"/>
      <c r="X7349" s="7"/>
      <c r="AG7349" s="7"/>
      <c r="AP7349" s="7"/>
      <c r="AY7349" s="7"/>
      <c r="BH7349" s="7"/>
      <c r="BQ7349" s="7"/>
      <c r="BZ7349" s="7"/>
    </row>
    <row r="7350" spans="2:78">
      <c r="B7350" s="7"/>
      <c r="O7350" s="7"/>
      <c r="X7350" s="7"/>
      <c r="AG7350" s="7"/>
      <c r="AP7350" s="7"/>
      <c r="AY7350" s="7"/>
      <c r="BH7350" s="7"/>
      <c r="BQ7350" s="7"/>
      <c r="BZ7350" s="7"/>
    </row>
    <row r="7351" spans="2:78">
      <c r="B7351" s="7"/>
      <c r="O7351" s="7"/>
      <c r="X7351" s="7"/>
      <c r="AG7351" s="7"/>
      <c r="AP7351" s="7"/>
      <c r="AY7351" s="7"/>
      <c r="BH7351" s="7"/>
      <c r="BQ7351" s="7"/>
      <c r="BZ7351" s="7"/>
    </row>
    <row r="7352" spans="2:78">
      <c r="B7352" s="7"/>
      <c r="O7352" s="7"/>
      <c r="X7352" s="7"/>
      <c r="AG7352" s="7"/>
      <c r="AP7352" s="7"/>
      <c r="AY7352" s="7"/>
      <c r="BH7352" s="7"/>
      <c r="BQ7352" s="7"/>
      <c r="BZ7352" s="7"/>
    </row>
    <row r="7353" spans="2:78">
      <c r="B7353" s="7"/>
      <c r="O7353" s="7"/>
      <c r="X7353" s="7"/>
      <c r="AG7353" s="7"/>
      <c r="AP7353" s="7"/>
      <c r="AY7353" s="7"/>
      <c r="BH7353" s="7"/>
      <c r="BQ7353" s="7"/>
      <c r="BZ7353" s="7"/>
    </row>
    <row r="7354" spans="2:78">
      <c r="B7354" s="7"/>
      <c r="O7354" s="7"/>
      <c r="X7354" s="7"/>
      <c r="AG7354" s="7"/>
      <c r="AP7354" s="7"/>
      <c r="AY7354" s="7"/>
      <c r="BH7354" s="7"/>
      <c r="BQ7354" s="7"/>
      <c r="BZ7354" s="7"/>
    </row>
    <row r="7355" spans="2:78">
      <c r="B7355" s="7"/>
      <c r="O7355" s="7"/>
      <c r="X7355" s="7"/>
      <c r="AG7355" s="7"/>
      <c r="AP7355" s="7"/>
      <c r="AY7355" s="7"/>
      <c r="BH7355" s="7"/>
      <c r="BQ7355" s="7"/>
      <c r="BZ7355" s="7"/>
    </row>
    <row r="7356" spans="2:78">
      <c r="B7356" s="7"/>
      <c r="O7356" s="7"/>
      <c r="X7356" s="7"/>
      <c r="AG7356" s="7"/>
      <c r="AP7356" s="7"/>
      <c r="AY7356" s="7"/>
      <c r="BH7356" s="7"/>
      <c r="BQ7356" s="7"/>
      <c r="BZ7356" s="7"/>
    </row>
    <row r="7357" spans="2:78">
      <c r="B7357" s="7"/>
      <c r="O7357" s="7"/>
      <c r="X7357" s="7"/>
      <c r="AG7357" s="7"/>
      <c r="AP7357" s="7"/>
      <c r="AY7357" s="7"/>
      <c r="BH7357" s="7"/>
      <c r="BQ7357" s="7"/>
      <c r="BZ7357" s="7"/>
    </row>
    <row r="7358" spans="2:78">
      <c r="B7358" s="7"/>
      <c r="O7358" s="7"/>
      <c r="X7358" s="7"/>
      <c r="AG7358" s="7"/>
      <c r="AP7358" s="7"/>
      <c r="AY7358" s="7"/>
      <c r="BH7358" s="7"/>
      <c r="BQ7358" s="7"/>
      <c r="BZ7358" s="7"/>
    </row>
    <row r="7359" spans="2:78">
      <c r="B7359" s="7"/>
      <c r="O7359" s="7"/>
      <c r="X7359" s="7"/>
      <c r="AG7359" s="7"/>
      <c r="AP7359" s="7"/>
      <c r="AY7359" s="7"/>
      <c r="BH7359" s="7"/>
      <c r="BQ7359" s="7"/>
      <c r="BZ7359" s="7"/>
    </row>
    <row r="7360" spans="2:78">
      <c r="B7360" s="7"/>
      <c r="O7360" s="7"/>
      <c r="X7360" s="7"/>
      <c r="AG7360" s="7"/>
      <c r="AP7360" s="7"/>
      <c r="AY7360" s="7"/>
      <c r="BH7360" s="7"/>
      <c r="BQ7360" s="7"/>
      <c r="BZ7360" s="7"/>
    </row>
    <row r="7361" spans="2:78">
      <c r="B7361" s="7"/>
      <c r="O7361" s="7"/>
      <c r="X7361" s="7"/>
      <c r="AG7361" s="7"/>
      <c r="AP7361" s="7"/>
      <c r="AY7361" s="7"/>
      <c r="BH7361" s="7"/>
      <c r="BQ7361" s="7"/>
      <c r="BZ7361" s="7"/>
    </row>
    <row r="7362" spans="2:78">
      <c r="B7362" s="7"/>
      <c r="O7362" s="7"/>
      <c r="X7362" s="7"/>
      <c r="AG7362" s="7"/>
      <c r="AP7362" s="7"/>
      <c r="AY7362" s="7"/>
      <c r="BH7362" s="7"/>
      <c r="BQ7362" s="7"/>
      <c r="BZ7362" s="7"/>
    </row>
    <row r="7363" spans="2:78">
      <c r="B7363" s="7"/>
      <c r="O7363" s="7"/>
      <c r="X7363" s="7"/>
      <c r="AG7363" s="7"/>
      <c r="AP7363" s="7"/>
      <c r="AY7363" s="7"/>
      <c r="BH7363" s="7"/>
      <c r="BQ7363" s="7"/>
      <c r="BZ7363" s="7"/>
    </row>
    <row r="7364" spans="2:78">
      <c r="B7364" s="7"/>
      <c r="O7364" s="7"/>
      <c r="X7364" s="7"/>
      <c r="AG7364" s="7"/>
      <c r="AP7364" s="7"/>
      <c r="AY7364" s="7"/>
      <c r="BH7364" s="7"/>
      <c r="BQ7364" s="7"/>
      <c r="BZ7364" s="7"/>
    </row>
    <row r="7365" spans="2:78">
      <c r="B7365" s="7"/>
      <c r="O7365" s="7"/>
      <c r="X7365" s="7"/>
      <c r="AG7365" s="7"/>
      <c r="AP7365" s="7"/>
      <c r="AY7365" s="7"/>
      <c r="BH7365" s="7"/>
      <c r="BQ7365" s="7"/>
      <c r="BZ7365" s="7"/>
    </row>
    <row r="7366" spans="2:78">
      <c r="B7366" s="7"/>
      <c r="O7366" s="7"/>
      <c r="X7366" s="7"/>
      <c r="AG7366" s="7"/>
      <c r="AP7366" s="7"/>
      <c r="AY7366" s="7"/>
      <c r="BH7366" s="7"/>
      <c r="BQ7366" s="7"/>
      <c r="BZ7366" s="7"/>
    </row>
    <row r="7367" spans="2:78">
      <c r="B7367" s="7"/>
      <c r="O7367" s="7"/>
      <c r="X7367" s="7"/>
      <c r="AG7367" s="7"/>
      <c r="AP7367" s="7"/>
      <c r="AY7367" s="7"/>
      <c r="BH7367" s="7"/>
      <c r="BQ7367" s="7"/>
      <c r="BZ7367" s="7"/>
    </row>
    <row r="7368" spans="2:78">
      <c r="B7368" s="7"/>
      <c r="O7368" s="7"/>
      <c r="X7368" s="7"/>
      <c r="AG7368" s="7"/>
      <c r="AP7368" s="7"/>
      <c r="AY7368" s="7"/>
      <c r="BH7368" s="7"/>
      <c r="BQ7368" s="7"/>
      <c r="BZ7368" s="7"/>
    </row>
    <row r="7369" spans="2:78">
      <c r="B7369" s="7"/>
      <c r="O7369" s="7"/>
      <c r="X7369" s="7"/>
      <c r="AG7369" s="7"/>
      <c r="AP7369" s="7"/>
      <c r="AY7369" s="7"/>
      <c r="BH7369" s="7"/>
      <c r="BQ7369" s="7"/>
      <c r="BZ7369" s="7"/>
    </row>
    <row r="7370" spans="2:78">
      <c r="B7370" s="7"/>
      <c r="O7370" s="7"/>
      <c r="X7370" s="7"/>
      <c r="AG7370" s="7"/>
      <c r="AP7370" s="7"/>
      <c r="AY7370" s="7"/>
      <c r="BH7370" s="7"/>
      <c r="BQ7370" s="7"/>
      <c r="BZ7370" s="7"/>
    </row>
    <row r="7371" spans="2:78">
      <c r="B7371" s="7"/>
      <c r="O7371" s="7"/>
      <c r="X7371" s="7"/>
      <c r="AG7371" s="7"/>
      <c r="AP7371" s="7"/>
      <c r="AY7371" s="7"/>
      <c r="BH7371" s="7"/>
      <c r="BQ7371" s="7"/>
      <c r="BZ7371" s="7"/>
    </row>
    <row r="7372" spans="2:78">
      <c r="B7372" s="7"/>
      <c r="O7372" s="7"/>
      <c r="X7372" s="7"/>
      <c r="AG7372" s="7"/>
      <c r="AP7372" s="7"/>
      <c r="AY7372" s="7"/>
      <c r="BH7372" s="7"/>
      <c r="BQ7372" s="7"/>
      <c r="BZ7372" s="7"/>
    </row>
    <row r="7373" spans="2:78">
      <c r="B7373" s="7"/>
      <c r="O7373" s="7"/>
      <c r="X7373" s="7"/>
      <c r="AG7373" s="7"/>
      <c r="AP7373" s="7"/>
      <c r="AY7373" s="7"/>
      <c r="BH7373" s="7"/>
      <c r="BQ7373" s="7"/>
      <c r="BZ7373" s="7"/>
    </row>
    <row r="7374" spans="2:78">
      <c r="B7374" s="7"/>
      <c r="O7374" s="7"/>
      <c r="X7374" s="7"/>
      <c r="AG7374" s="7"/>
      <c r="AP7374" s="7"/>
      <c r="AY7374" s="7"/>
      <c r="BH7374" s="7"/>
      <c r="BQ7374" s="7"/>
      <c r="BZ7374" s="7"/>
    </row>
    <row r="7375" spans="2:78">
      <c r="B7375" s="7"/>
      <c r="O7375" s="7"/>
      <c r="X7375" s="7"/>
      <c r="AG7375" s="7"/>
      <c r="AP7375" s="7"/>
      <c r="AY7375" s="7"/>
      <c r="BH7375" s="7"/>
      <c r="BQ7375" s="7"/>
      <c r="BZ7375" s="7"/>
    </row>
    <row r="7376" spans="2:78">
      <c r="B7376" s="7"/>
      <c r="O7376" s="7"/>
      <c r="X7376" s="7"/>
      <c r="AG7376" s="7"/>
      <c r="AP7376" s="7"/>
      <c r="AY7376" s="7"/>
      <c r="BH7376" s="7"/>
      <c r="BQ7376" s="7"/>
      <c r="BZ7376" s="7"/>
    </row>
    <row r="7377" spans="2:78">
      <c r="B7377" s="7"/>
      <c r="O7377" s="7"/>
      <c r="X7377" s="7"/>
      <c r="AG7377" s="7"/>
      <c r="AP7377" s="7"/>
      <c r="AY7377" s="7"/>
      <c r="BH7377" s="7"/>
      <c r="BQ7377" s="7"/>
      <c r="BZ7377" s="7"/>
    </row>
    <row r="7378" spans="2:78">
      <c r="B7378" s="7"/>
      <c r="O7378" s="7"/>
      <c r="X7378" s="7"/>
      <c r="AG7378" s="7"/>
      <c r="AP7378" s="7"/>
      <c r="AY7378" s="7"/>
      <c r="BH7378" s="7"/>
      <c r="BQ7378" s="7"/>
      <c r="BZ7378" s="7"/>
    </row>
    <row r="7379" spans="2:78">
      <c r="B7379" s="7"/>
      <c r="O7379" s="7"/>
      <c r="X7379" s="7"/>
      <c r="AG7379" s="7"/>
      <c r="AP7379" s="7"/>
      <c r="AY7379" s="7"/>
      <c r="BH7379" s="7"/>
      <c r="BQ7379" s="7"/>
      <c r="BZ7379" s="7"/>
    </row>
    <row r="7380" spans="2:78">
      <c r="B7380" s="7"/>
      <c r="O7380" s="7"/>
      <c r="X7380" s="7"/>
      <c r="AG7380" s="7"/>
      <c r="AP7380" s="7"/>
      <c r="AY7380" s="7"/>
      <c r="BH7380" s="7"/>
      <c r="BQ7380" s="7"/>
      <c r="BZ7380" s="7"/>
    </row>
    <row r="7381" spans="2:78">
      <c r="B7381" s="7"/>
      <c r="O7381" s="7"/>
      <c r="X7381" s="7"/>
      <c r="AG7381" s="7"/>
      <c r="AP7381" s="7"/>
      <c r="AY7381" s="7"/>
      <c r="BH7381" s="7"/>
      <c r="BQ7381" s="7"/>
      <c r="BZ7381" s="7"/>
    </row>
    <row r="7382" spans="2:78">
      <c r="B7382" s="7"/>
      <c r="O7382" s="7"/>
      <c r="X7382" s="7"/>
      <c r="AG7382" s="7"/>
      <c r="AP7382" s="7"/>
      <c r="AY7382" s="7"/>
      <c r="BH7382" s="7"/>
      <c r="BQ7382" s="7"/>
      <c r="BZ7382" s="7"/>
    </row>
    <row r="7383" spans="2:78">
      <c r="B7383" s="7"/>
      <c r="O7383" s="7"/>
      <c r="X7383" s="7"/>
      <c r="AG7383" s="7"/>
      <c r="AP7383" s="7"/>
      <c r="AY7383" s="7"/>
      <c r="BH7383" s="7"/>
      <c r="BQ7383" s="7"/>
      <c r="BZ7383" s="7"/>
    </row>
    <row r="7384" spans="2:78">
      <c r="B7384" s="7"/>
      <c r="O7384" s="7"/>
      <c r="X7384" s="7"/>
      <c r="AG7384" s="7"/>
      <c r="AP7384" s="7"/>
      <c r="AY7384" s="7"/>
      <c r="BH7384" s="7"/>
      <c r="BQ7384" s="7"/>
      <c r="BZ7384" s="7"/>
    </row>
    <row r="7385" spans="2:78">
      <c r="B7385" s="7"/>
      <c r="O7385" s="7"/>
      <c r="X7385" s="7"/>
      <c r="AG7385" s="7"/>
      <c r="AP7385" s="7"/>
      <c r="AY7385" s="7"/>
      <c r="BH7385" s="7"/>
      <c r="BQ7385" s="7"/>
      <c r="BZ7385" s="7"/>
    </row>
    <row r="7386" spans="2:78">
      <c r="B7386" s="7"/>
      <c r="O7386" s="7"/>
      <c r="X7386" s="7"/>
      <c r="AG7386" s="7"/>
      <c r="AP7386" s="7"/>
      <c r="AY7386" s="7"/>
      <c r="BH7386" s="7"/>
      <c r="BQ7386" s="7"/>
      <c r="BZ7386" s="7"/>
    </row>
    <row r="7387" spans="2:78">
      <c r="B7387" s="7"/>
      <c r="O7387" s="7"/>
      <c r="X7387" s="7"/>
      <c r="AG7387" s="7"/>
      <c r="AP7387" s="7"/>
      <c r="AY7387" s="7"/>
      <c r="BH7387" s="7"/>
      <c r="BQ7387" s="7"/>
      <c r="BZ7387" s="7"/>
    </row>
    <row r="7388" spans="2:78">
      <c r="B7388" s="7"/>
      <c r="O7388" s="7"/>
      <c r="X7388" s="7"/>
      <c r="AG7388" s="7"/>
      <c r="AP7388" s="7"/>
      <c r="AY7388" s="7"/>
      <c r="BH7388" s="7"/>
      <c r="BQ7388" s="7"/>
      <c r="BZ7388" s="7"/>
    </row>
    <row r="7389" spans="2:78">
      <c r="B7389" s="7"/>
      <c r="O7389" s="7"/>
      <c r="X7389" s="7"/>
      <c r="AG7389" s="7"/>
      <c r="AP7389" s="7"/>
      <c r="AY7389" s="7"/>
      <c r="BH7389" s="7"/>
      <c r="BQ7389" s="7"/>
      <c r="BZ7389" s="7"/>
    </row>
    <row r="7390" spans="2:78">
      <c r="B7390" s="7"/>
      <c r="O7390" s="7"/>
      <c r="X7390" s="7"/>
      <c r="AG7390" s="7"/>
      <c r="AP7390" s="7"/>
      <c r="AY7390" s="7"/>
      <c r="BH7390" s="7"/>
      <c r="BQ7390" s="7"/>
      <c r="BZ7390" s="7"/>
    </row>
    <row r="7391" spans="2:78">
      <c r="B7391" s="7"/>
      <c r="O7391" s="7"/>
      <c r="X7391" s="7"/>
      <c r="AG7391" s="7"/>
      <c r="AP7391" s="7"/>
      <c r="AY7391" s="7"/>
      <c r="BH7391" s="7"/>
      <c r="BQ7391" s="7"/>
      <c r="BZ7391" s="7"/>
    </row>
    <row r="7392" spans="2:78">
      <c r="B7392" s="7"/>
      <c r="O7392" s="7"/>
      <c r="X7392" s="7"/>
      <c r="AG7392" s="7"/>
      <c r="AP7392" s="7"/>
      <c r="AY7392" s="7"/>
      <c r="BH7392" s="7"/>
      <c r="BQ7392" s="7"/>
      <c r="BZ7392" s="7"/>
    </row>
    <row r="7393" spans="2:78">
      <c r="B7393" s="7"/>
      <c r="O7393" s="7"/>
      <c r="X7393" s="7"/>
      <c r="AG7393" s="7"/>
      <c r="AP7393" s="7"/>
      <c r="AY7393" s="7"/>
      <c r="BH7393" s="7"/>
      <c r="BQ7393" s="7"/>
      <c r="BZ7393" s="7"/>
    </row>
    <row r="7394" spans="2:78">
      <c r="B7394" s="7"/>
      <c r="O7394" s="7"/>
      <c r="X7394" s="7"/>
      <c r="AG7394" s="7"/>
      <c r="AP7394" s="7"/>
      <c r="AY7394" s="7"/>
      <c r="BH7394" s="7"/>
      <c r="BQ7394" s="7"/>
      <c r="BZ7394" s="7"/>
    </row>
    <row r="7395" spans="2:78">
      <c r="B7395" s="7"/>
      <c r="O7395" s="7"/>
      <c r="X7395" s="7"/>
      <c r="AG7395" s="7"/>
      <c r="AP7395" s="7"/>
      <c r="AY7395" s="7"/>
      <c r="BH7395" s="7"/>
      <c r="BQ7395" s="7"/>
      <c r="BZ7395" s="7"/>
    </row>
    <row r="7396" spans="2:78">
      <c r="B7396" s="7"/>
      <c r="O7396" s="7"/>
      <c r="X7396" s="7"/>
      <c r="AG7396" s="7"/>
      <c r="AP7396" s="7"/>
      <c r="AY7396" s="7"/>
      <c r="BH7396" s="7"/>
      <c r="BQ7396" s="7"/>
      <c r="BZ7396" s="7"/>
    </row>
    <row r="7397" spans="2:78">
      <c r="B7397" s="7"/>
      <c r="O7397" s="7"/>
      <c r="X7397" s="7"/>
      <c r="AG7397" s="7"/>
      <c r="AP7397" s="7"/>
      <c r="AY7397" s="7"/>
      <c r="BH7397" s="7"/>
      <c r="BQ7397" s="7"/>
      <c r="BZ7397" s="7"/>
    </row>
    <row r="7398" spans="2:78">
      <c r="B7398" s="7"/>
      <c r="O7398" s="7"/>
      <c r="X7398" s="7"/>
      <c r="AG7398" s="7"/>
      <c r="AP7398" s="7"/>
      <c r="AY7398" s="7"/>
      <c r="BH7398" s="7"/>
      <c r="BQ7398" s="7"/>
      <c r="BZ7398" s="7"/>
    </row>
    <row r="7399" spans="2:78">
      <c r="B7399" s="7"/>
      <c r="O7399" s="7"/>
      <c r="X7399" s="7"/>
      <c r="AG7399" s="7"/>
      <c r="AP7399" s="7"/>
      <c r="AY7399" s="7"/>
      <c r="BH7399" s="7"/>
      <c r="BQ7399" s="7"/>
      <c r="BZ7399" s="7"/>
    </row>
    <row r="7400" spans="2:78">
      <c r="B7400" s="7"/>
      <c r="O7400" s="7"/>
      <c r="X7400" s="7"/>
      <c r="AG7400" s="7"/>
      <c r="AP7400" s="7"/>
      <c r="AY7400" s="7"/>
      <c r="BH7400" s="7"/>
      <c r="BQ7400" s="7"/>
      <c r="BZ7400" s="7"/>
    </row>
    <row r="7401" spans="2:78">
      <c r="B7401" s="7"/>
      <c r="O7401" s="7"/>
      <c r="X7401" s="7"/>
      <c r="AG7401" s="7"/>
      <c r="AP7401" s="7"/>
      <c r="AY7401" s="7"/>
      <c r="BH7401" s="7"/>
      <c r="BQ7401" s="7"/>
      <c r="BZ7401" s="7"/>
    </row>
    <row r="7402" spans="2:78">
      <c r="B7402" s="7"/>
      <c r="O7402" s="7"/>
      <c r="X7402" s="7"/>
      <c r="AG7402" s="7"/>
      <c r="AP7402" s="7"/>
      <c r="AY7402" s="7"/>
      <c r="BH7402" s="7"/>
      <c r="BQ7402" s="7"/>
      <c r="BZ7402" s="7"/>
    </row>
    <row r="7403" spans="2:78">
      <c r="B7403" s="7"/>
      <c r="O7403" s="7"/>
      <c r="X7403" s="7"/>
      <c r="AG7403" s="7"/>
      <c r="AP7403" s="7"/>
      <c r="AY7403" s="7"/>
      <c r="BH7403" s="7"/>
      <c r="BQ7403" s="7"/>
      <c r="BZ7403" s="7"/>
    </row>
    <row r="7404" spans="2:78">
      <c r="B7404" s="7"/>
      <c r="O7404" s="7"/>
      <c r="X7404" s="7"/>
      <c r="AG7404" s="7"/>
      <c r="AP7404" s="7"/>
      <c r="AY7404" s="7"/>
      <c r="BH7404" s="7"/>
      <c r="BQ7404" s="7"/>
      <c r="BZ7404" s="7"/>
    </row>
    <row r="7405" spans="2:78">
      <c r="B7405" s="7"/>
      <c r="O7405" s="7"/>
      <c r="X7405" s="7"/>
      <c r="AG7405" s="7"/>
      <c r="AP7405" s="7"/>
      <c r="AY7405" s="7"/>
      <c r="BH7405" s="7"/>
      <c r="BQ7405" s="7"/>
      <c r="BZ7405" s="7"/>
    </row>
    <row r="7406" spans="2:78">
      <c r="B7406" s="7"/>
      <c r="O7406" s="7"/>
      <c r="X7406" s="7"/>
      <c r="AG7406" s="7"/>
      <c r="AP7406" s="7"/>
      <c r="AY7406" s="7"/>
      <c r="BH7406" s="7"/>
      <c r="BQ7406" s="7"/>
      <c r="BZ7406" s="7"/>
    </row>
    <row r="7407" spans="2:78">
      <c r="B7407" s="7"/>
      <c r="O7407" s="7"/>
      <c r="X7407" s="7"/>
      <c r="AG7407" s="7"/>
      <c r="AP7407" s="7"/>
      <c r="AY7407" s="7"/>
      <c r="BH7407" s="7"/>
      <c r="BQ7407" s="7"/>
      <c r="BZ7407" s="7"/>
    </row>
    <row r="7408" spans="2:78">
      <c r="B7408" s="7"/>
      <c r="O7408" s="7"/>
      <c r="X7408" s="7"/>
      <c r="AG7408" s="7"/>
      <c r="AP7408" s="7"/>
      <c r="AY7408" s="7"/>
      <c r="BH7408" s="7"/>
      <c r="BQ7408" s="7"/>
      <c r="BZ7408" s="7"/>
    </row>
    <row r="7409" spans="2:78">
      <c r="B7409" s="7"/>
      <c r="O7409" s="7"/>
      <c r="X7409" s="7"/>
      <c r="AG7409" s="7"/>
      <c r="AP7409" s="7"/>
      <c r="AY7409" s="7"/>
      <c r="BH7409" s="7"/>
      <c r="BQ7409" s="7"/>
      <c r="BZ7409" s="7"/>
    </row>
    <row r="7410" spans="2:78">
      <c r="B7410" s="7"/>
      <c r="O7410" s="7"/>
      <c r="X7410" s="7"/>
      <c r="AG7410" s="7"/>
      <c r="AP7410" s="7"/>
      <c r="AY7410" s="7"/>
      <c r="BH7410" s="7"/>
      <c r="BQ7410" s="7"/>
      <c r="BZ7410" s="7"/>
    </row>
    <row r="7411" spans="2:78">
      <c r="B7411" s="7"/>
      <c r="O7411" s="7"/>
      <c r="X7411" s="7"/>
      <c r="AG7411" s="7"/>
      <c r="AP7411" s="7"/>
      <c r="AY7411" s="7"/>
      <c r="BH7411" s="7"/>
      <c r="BQ7411" s="7"/>
      <c r="BZ7411" s="7"/>
    </row>
    <row r="7412" spans="2:78">
      <c r="B7412" s="7"/>
      <c r="O7412" s="7"/>
      <c r="X7412" s="7"/>
      <c r="AG7412" s="7"/>
      <c r="AP7412" s="7"/>
      <c r="AY7412" s="7"/>
      <c r="BH7412" s="7"/>
      <c r="BQ7412" s="7"/>
      <c r="BZ7412" s="7"/>
    </row>
    <row r="7413" spans="2:78">
      <c r="B7413" s="7"/>
      <c r="O7413" s="7"/>
      <c r="X7413" s="7"/>
      <c r="AG7413" s="7"/>
      <c r="AP7413" s="7"/>
      <c r="AY7413" s="7"/>
      <c r="BH7413" s="7"/>
      <c r="BQ7413" s="7"/>
      <c r="BZ7413" s="7"/>
    </row>
    <row r="7414" spans="2:78">
      <c r="B7414" s="7"/>
      <c r="O7414" s="7"/>
      <c r="X7414" s="7"/>
      <c r="AG7414" s="7"/>
      <c r="AP7414" s="7"/>
      <c r="AY7414" s="7"/>
      <c r="BH7414" s="7"/>
      <c r="BQ7414" s="7"/>
      <c r="BZ7414" s="7"/>
    </row>
    <row r="7415" spans="2:78">
      <c r="B7415" s="7"/>
      <c r="O7415" s="7"/>
      <c r="X7415" s="7"/>
      <c r="AG7415" s="7"/>
      <c r="AP7415" s="7"/>
      <c r="AY7415" s="7"/>
      <c r="BH7415" s="7"/>
      <c r="BQ7415" s="7"/>
      <c r="BZ7415" s="7"/>
    </row>
    <row r="7416" spans="2:78">
      <c r="B7416" s="7"/>
      <c r="O7416" s="7"/>
      <c r="X7416" s="7"/>
      <c r="AG7416" s="7"/>
      <c r="AP7416" s="7"/>
      <c r="AY7416" s="7"/>
      <c r="BH7416" s="7"/>
      <c r="BQ7416" s="7"/>
      <c r="BZ7416" s="7"/>
    </row>
    <row r="7417" spans="2:78">
      <c r="B7417" s="7"/>
      <c r="O7417" s="7"/>
      <c r="X7417" s="7"/>
      <c r="AG7417" s="7"/>
      <c r="AP7417" s="7"/>
      <c r="AY7417" s="7"/>
      <c r="BH7417" s="7"/>
      <c r="BQ7417" s="7"/>
      <c r="BZ7417" s="7"/>
    </row>
    <row r="7418" spans="2:78">
      <c r="B7418" s="7"/>
      <c r="O7418" s="7"/>
      <c r="X7418" s="7"/>
      <c r="AG7418" s="7"/>
      <c r="AP7418" s="7"/>
      <c r="AY7418" s="7"/>
      <c r="BH7418" s="7"/>
      <c r="BQ7418" s="7"/>
      <c r="BZ7418" s="7"/>
    </row>
    <row r="7419" spans="2:78">
      <c r="B7419" s="7"/>
      <c r="O7419" s="7"/>
      <c r="X7419" s="7"/>
      <c r="AG7419" s="7"/>
      <c r="AP7419" s="7"/>
      <c r="AY7419" s="7"/>
      <c r="BH7419" s="7"/>
      <c r="BQ7419" s="7"/>
      <c r="BZ7419" s="7"/>
    </row>
    <row r="7420" spans="2:78">
      <c r="B7420" s="7"/>
      <c r="O7420" s="7"/>
      <c r="X7420" s="7"/>
      <c r="AG7420" s="7"/>
      <c r="AP7420" s="7"/>
      <c r="AY7420" s="7"/>
      <c r="BH7420" s="7"/>
      <c r="BQ7420" s="7"/>
      <c r="BZ7420" s="7"/>
    </row>
    <row r="7421" spans="2:78">
      <c r="B7421" s="7"/>
      <c r="O7421" s="7"/>
      <c r="X7421" s="7"/>
      <c r="AG7421" s="7"/>
      <c r="AP7421" s="7"/>
      <c r="AY7421" s="7"/>
      <c r="BH7421" s="7"/>
      <c r="BQ7421" s="7"/>
      <c r="BZ7421" s="7"/>
    </row>
    <row r="7422" spans="2:78">
      <c r="B7422" s="7"/>
      <c r="O7422" s="7"/>
      <c r="X7422" s="7"/>
      <c r="AG7422" s="7"/>
      <c r="AP7422" s="7"/>
      <c r="AY7422" s="7"/>
      <c r="BH7422" s="7"/>
      <c r="BQ7422" s="7"/>
      <c r="BZ7422" s="7"/>
    </row>
    <row r="7423" spans="2:78">
      <c r="B7423" s="7"/>
      <c r="O7423" s="7"/>
      <c r="X7423" s="7"/>
      <c r="AG7423" s="7"/>
      <c r="AP7423" s="7"/>
      <c r="AY7423" s="7"/>
      <c r="BH7423" s="7"/>
      <c r="BQ7423" s="7"/>
      <c r="BZ7423" s="7"/>
    </row>
    <row r="7424" spans="2:78">
      <c r="B7424" s="7"/>
      <c r="O7424" s="7"/>
      <c r="X7424" s="7"/>
      <c r="AG7424" s="7"/>
      <c r="AP7424" s="7"/>
      <c r="AY7424" s="7"/>
      <c r="BH7424" s="7"/>
      <c r="BQ7424" s="7"/>
      <c r="BZ7424" s="7"/>
    </row>
    <row r="7425" spans="2:78">
      <c r="B7425" s="7"/>
      <c r="O7425" s="7"/>
      <c r="X7425" s="7"/>
      <c r="AG7425" s="7"/>
      <c r="AP7425" s="7"/>
      <c r="AY7425" s="7"/>
      <c r="BH7425" s="7"/>
      <c r="BQ7425" s="7"/>
      <c r="BZ7425" s="7"/>
    </row>
    <row r="7426" spans="2:78">
      <c r="B7426" s="7"/>
      <c r="O7426" s="7"/>
      <c r="X7426" s="7"/>
      <c r="AG7426" s="7"/>
      <c r="AP7426" s="7"/>
      <c r="AY7426" s="7"/>
      <c r="BH7426" s="7"/>
      <c r="BQ7426" s="7"/>
      <c r="BZ7426" s="7"/>
    </row>
    <row r="7427" spans="2:78">
      <c r="B7427" s="7"/>
      <c r="O7427" s="7"/>
      <c r="X7427" s="7"/>
      <c r="AG7427" s="7"/>
      <c r="AP7427" s="7"/>
      <c r="AY7427" s="7"/>
      <c r="BH7427" s="7"/>
      <c r="BQ7427" s="7"/>
      <c r="BZ7427" s="7"/>
    </row>
    <row r="7428" spans="2:78">
      <c r="B7428" s="7"/>
      <c r="O7428" s="7"/>
      <c r="X7428" s="7"/>
      <c r="AG7428" s="7"/>
      <c r="AP7428" s="7"/>
      <c r="AY7428" s="7"/>
      <c r="BH7428" s="7"/>
      <c r="BQ7428" s="7"/>
      <c r="BZ7428" s="7"/>
    </row>
    <row r="7429" spans="2:78">
      <c r="B7429" s="7"/>
      <c r="O7429" s="7"/>
      <c r="X7429" s="7"/>
      <c r="AG7429" s="7"/>
      <c r="AP7429" s="7"/>
      <c r="AY7429" s="7"/>
      <c r="BH7429" s="7"/>
      <c r="BQ7429" s="7"/>
      <c r="BZ7429" s="7"/>
    </row>
    <row r="7430" spans="2:78">
      <c r="B7430" s="7"/>
      <c r="O7430" s="7"/>
      <c r="X7430" s="7"/>
      <c r="AG7430" s="7"/>
      <c r="AP7430" s="7"/>
      <c r="AY7430" s="7"/>
      <c r="BH7430" s="7"/>
      <c r="BQ7430" s="7"/>
      <c r="BZ7430" s="7"/>
    </row>
    <row r="7431" spans="2:78">
      <c r="B7431" s="7"/>
      <c r="O7431" s="7"/>
      <c r="X7431" s="7"/>
      <c r="AG7431" s="7"/>
      <c r="AP7431" s="7"/>
      <c r="AY7431" s="7"/>
      <c r="BH7431" s="7"/>
      <c r="BQ7431" s="7"/>
      <c r="BZ7431" s="7"/>
    </row>
    <row r="7432" spans="2:78">
      <c r="B7432" s="7"/>
      <c r="O7432" s="7"/>
      <c r="X7432" s="7"/>
      <c r="AG7432" s="7"/>
      <c r="AP7432" s="7"/>
      <c r="AY7432" s="7"/>
      <c r="BH7432" s="7"/>
      <c r="BQ7432" s="7"/>
      <c r="BZ7432" s="7"/>
    </row>
    <row r="7433" spans="2:78">
      <c r="B7433" s="7"/>
      <c r="O7433" s="7"/>
      <c r="X7433" s="7"/>
      <c r="AG7433" s="7"/>
      <c r="AP7433" s="7"/>
      <c r="AY7433" s="7"/>
      <c r="BH7433" s="7"/>
      <c r="BQ7433" s="7"/>
      <c r="BZ7433" s="7"/>
    </row>
    <row r="7434" spans="2:78">
      <c r="B7434" s="7"/>
      <c r="O7434" s="7"/>
      <c r="X7434" s="7"/>
      <c r="AG7434" s="7"/>
      <c r="AP7434" s="7"/>
      <c r="AY7434" s="7"/>
      <c r="BH7434" s="7"/>
      <c r="BQ7434" s="7"/>
      <c r="BZ7434" s="7"/>
    </row>
    <row r="7435" spans="2:78">
      <c r="B7435" s="7"/>
      <c r="O7435" s="7"/>
      <c r="X7435" s="7"/>
      <c r="AG7435" s="7"/>
      <c r="AP7435" s="7"/>
      <c r="AY7435" s="7"/>
      <c r="BH7435" s="7"/>
      <c r="BQ7435" s="7"/>
      <c r="BZ7435" s="7"/>
    </row>
    <row r="7436" spans="2:78">
      <c r="B7436" s="7"/>
      <c r="O7436" s="7"/>
      <c r="X7436" s="7"/>
      <c r="AG7436" s="7"/>
      <c r="AP7436" s="7"/>
      <c r="AY7436" s="7"/>
      <c r="BH7436" s="7"/>
      <c r="BQ7436" s="7"/>
      <c r="BZ7436" s="7"/>
    </row>
    <row r="7437" spans="2:78">
      <c r="B7437" s="7"/>
      <c r="O7437" s="7"/>
      <c r="X7437" s="7"/>
      <c r="AG7437" s="7"/>
      <c r="AP7437" s="7"/>
      <c r="AY7437" s="7"/>
      <c r="BH7437" s="7"/>
      <c r="BQ7437" s="7"/>
      <c r="BZ7437" s="7"/>
    </row>
    <row r="7438" spans="2:78">
      <c r="B7438" s="7"/>
      <c r="O7438" s="7"/>
      <c r="X7438" s="7"/>
      <c r="AG7438" s="7"/>
      <c r="AP7438" s="7"/>
      <c r="AY7438" s="7"/>
      <c r="BH7438" s="7"/>
      <c r="BQ7438" s="7"/>
      <c r="BZ7438" s="7"/>
    </row>
    <row r="7439" spans="2:78">
      <c r="B7439" s="7"/>
      <c r="O7439" s="7"/>
      <c r="X7439" s="7"/>
      <c r="AG7439" s="7"/>
      <c r="AP7439" s="7"/>
      <c r="AY7439" s="7"/>
      <c r="BH7439" s="7"/>
      <c r="BQ7439" s="7"/>
      <c r="BZ7439" s="7"/>
    </row>
    <row r="7440" spans="2:78">
      <c r="B7440" s="7"/>
      <c r="O7440" s="7"/>
      <c r="X7440" s="7"/>
      <c r="AG7440" s="7"/>
      <c r="AP7440" s="7"/>
      <c r="AY7440" s="7"/>
      <c r="BH7440" s="7"/>
      <c r="BQ7440" s="7"/>
      <c r="BZ7440" s="7"/>
    </row>
    <row r="7441" spans="2:78">
      <c r="B7441" s="7"/>
      <c r="O7441" s="7"/>
      <c r="X7441" s="7"/>
      <c r="AG7441" s="7"/>
      <c r="AP7441" s="7"/>
      <c r="AY7441" s="7"/>
      <c r="BH7441" s="7"/>
      <c r="BQ7441" s="7"/>
      <c r="BZ7441" s="7"/>
    </row>
    <row r="7442" spans="2:78">
      <c r="B7442" s="7"/>
      <c r="O7442" s="7"/>
      <c r="X7442" s="7"/>
      <c r="AG7442" s="7"/>
      <c r="AP7442" s="7"/>
      <c r="AY7442" s="7"/>
      <c r="BH7442" s="7"/>
      <c r="BQ7442" s="7"/>
      <c r="BZ7442" s="7"/>
    </row>
    <row r="7443" spans="2:78">
      <c r="B7443" s="7"/>
      <c r="O7443" s="7"/>
      <c r="X7443" s="7"/>
      <c r="AG7443" s="7"/>
      <c r="AP7443" s="7"/>
      <c r="AY7443" s="7"/>
      <c r="BH7443" s="7"/>
      <c r="BQ7443" s="7"/>
      <c r="BZ7443" s="7"/>
    </row>
    <row r="7444" spans="2:78">
      <c r="B7444" s="7"/>
      <c r="O7444" s="7"/>
      <c r="X7444" s="7"/>
      <c r="AG7444" s="7"/>
      <c r="AP7444" s="7"/>
      <c r="AY7444" s="7"/>
      <c r="BH7444" s="7"/>
      <c r="BQ7444" s="7"/>
      <c r="BZ7444" s="7"/>
    </row>
    <row r="7445" spans="2:78">
      <c r="B7445" s="7"/>
      <c r="O7445" s="7"/>
      <c r="X7445" s="7"/>
      <c r="AG7445" s="7"/>
      <c r="AP7445" s="7"/>
      <c r="AY7445" s="7"/>
      <c r="BH7445" s="7"/>
      <c r="BQ7445" s="7"/>
      <c r="BZ7445" s="7"/>
    </row>
    <row r="7446" spans="2:78">
      <c r="B7446" s="7"/>
      <c r="O7446" s="7"/>
      <c r="X7446" s="7"/>
      <c r="AG7446" s="7"/>
      <c r="AP7446" s="7"/>
      <c r="AY7446" s="7"/>
      <c r="BH7446" s="7"/>
      <c r="BQ7446" s="7"/>
      <c r="BZ7446" s="7"/>
    </row>
    <row r="7447" spans="2:78">
      <c r="B7447" s="7"/>
      <c r="O7447" s="7"/>
      <c r="X7447" s="7"/>
      <c r="AG7447" s="7"/>
      <c r="AP7447" s="7"/>
      <c r="AY7447" s="7"/>
      <c r="BH7447" s="7"/>
      <c r="BQ7447" s="7"/>
      <c r="BZ7447" s="7"/>
    </row>
    <row r="7448" spans="2:78">
      <c r="B7448" s="7"/>
      <c r="O7448" s="7"/>
      <c r="X7448" s="7"/>
      <c r="AG7448" s="7"/>
      <c r="AP7448" s="7"/>
      <c r="AY7448" s="7"/>
      <c r="BH7448" s="7"/>
      <c r="BQ7448" s="7"/>
      <c r="BZ7448" s="7"/>
    </row>
    <row r="7449" spans="2:78">
      <c r="B7449" s="7"/>
      <c r="O7449" s="7"/>
      <c r="X7449" s="7"/>
      <c r="AG7449" s="7"/>
      <c r="AP7449" s="7"/>
      <c r="AY7449" s="7"/>
      <c r="BH7449" s="7"/>
      <c r="BQ7449" s="7"/>
      <c r="BZ7449" s="7"/>
    </row>
    <row r="7450" spans="2:78">
      <c r="B7450" s="7"/>
      <c r="O7450" s="7"/>
      <c r="X7450" s="7"/>
      <c r="AG7450" s="7"/>
      <c r="AP7450" s="7"/>
      <c r="AY7450" s="7"/>
      <c r="BH7450" s="7"/>
      <c r="BQ7450" s="7"/>
      <c r="BZ7450" s="7"/>
    </row>
    <row r="7451" spans="2:78">
      <c r="B7451" s="7"/>
      <c r="O7451" s="7"/>
      <c r="X7451" s="7"/>
      <c r="AG7451" s="7"/>
      <c r="AP7451" s="7"/>
      <c r="AY7451" s="7"/>
      <c r="BH7451" s="7"/>
      <c r="BQ7451" s="7"/>
      <c r="BZ7451" s="7"/>
    </row>
    <row r="7452" spans="2:78">
      <c r="B7452" s="7"/>
      <c r="O7452" s="7"/>
      <c r="X7452" s="7"/>
      <c r="AG7452" s="7"/>
      <c r="AP7452" s="7"/>
      <c r="AY7452" s="7"/>
      <c r="BH7452" s="7"/>
      <c r="BQ7452" s="7"/>
      <c r="BZ7452" s="7"/>
    </row>
    <row r="7453" spans="2:78">
      <c r="B7453" s="7"/>
      <c r="O7453" s="7"/>
      <c r="X7453" s="7"/>
      <c r="AG7453" s="7"/>
      <c r="AP7453" s="7"/>
      <c r="AY7453" s="7"/>
      <c r="BH7453" s="7"/>
      <c r="BQ7453" s="7"/>
      <c r="BZ7453" s="7"/>
    </row>
    <row r="7454" spans="2:78">
      <c r="B7454" s="7"/>
      <c r="O7454" s="7"/>
      <c r="X7454" s="7"/>
      <c r="AG7454" s="7"/>
      <c r="AP7454" s="7"/>
      <c r="AY7454" s="7"/>
      <c r="BH7454" s="7"/>
      <c r="BQ7454" s="7"/>
      <c r="BZ7454" s="7"/>
    </row>
    <row r="7455" spans="2:78">
      <c r="B7455" s="7"/>
      <c r="O7455" s="7"/>
      <c r="X7455" s="7"/>
      <c r="AG7455" s="7"/>
      <c r="AP7455" s="7"/>
      <c r="AY7455" s="7"/>
      <c r="BH7455" s="7"/>
      <c r="BQ7455" s="7"/>
      <c r="BZ7455" s="7"/>
    </row>
    <row r="7456" spans="2:78">
      <c r="B7456" s="7"/>
      <c r="O7456" s="7"/>
      <c r="X7456" s="7"/>
      <c r="AG7456" s="7"/>
      <c r="AP7456" s="7"/>
      <c r="AY7456" s="7"/>
      <c r="BH7456" s="7"/>
      <c r="BQ7456" s="7"/>
      <c r="BZ7456" s="7"/>
    </row>
    <row r="7457" spans="2:78">
      <c r="B7457" s="7"/>
      <c r="O7457" s="7"/>
      <c r="X7457" s="7"/>
      <c r="AG7457" s="7"/>
      <c r="AP7457" s="7"/>
      <c r="AY7457" s="7"/>
      <c r="BH7457" s="7"/>
      <c r="BQ7457" s="7"/>
      <c r="BZ7457" s="7"/>
    </row>
    <row r="7458" spans="2:78">
      <c r="B7458" s="7"/>
      <c r="O7458" s="7"/>
      <c r="X7458" s="7"/>
      <c r="AG7458" s="7"/>
      <c r="AP7458" s="7"/>
      <c r="AY7458" s="7"/>
      <c r="BH7458" s="7"/>
      <c r="BQ7458" s="7"/>
      <c r="BZ7458" s="7"/>
    </row>
    <row r="7459" spans="2:78">
      <c r="B7459" s="7"/>
      <c r="O7459" s="7"/>
      <c r="X7459" s="7"/>
      <c r="AG7459" s="7"/>
      <c r="AP7459" s="7"/>
      <c r="AY7459" s="7"/>
      <c r="BH7459" s="7"/>
      <c r="BQ7459" s="7"/>
      <c r="BZ7459" s="7"/>
    </row>
    <row r="7460" spans="2:78">
      <c r="B7460" s="7"/>
      <c r="O7460" s="7"/>
      <c r="X7460" s="7"/>
      <c r="AG7460" s="7"/>
      <c r="AP7460" s="7"/>
      <c r="AY7460" s="7"/>
      <c r="BH7460" s="7"/>
      <c r="BQ7460" s="7"/>
      <c r="BZ7460" s="7"/>
    </row>
    <row r="7461" spans="2:78">
      <c r="B7461" s="7"/>
      <c r="O7461" s="7"/>
      <c r="X7461" s="7"/>
      <c r="AG7461" s="7"/>
      <c r="AP7461" s="7"/>
      <c r="AY7461" s="7"/>
      <c r="BH7461" s="7"/>
      <c r="BQ7461" s="7"/>
      <c r="BZ7461" s="7"/>
    </row>
    <row r="7462" spans="2:78">
      <c r="B7462" s="7"/>
      <c r="O7462" s="7"/>
      <c r="X7462" s="7"/>
      <c r="AG7462" s="7"/>
      <c r="AP7462" s="7"/>
      <c r="AY7462" s="7"/>
      <c r="BH7462" s="7"/>
      <c r="BQ7462" s="7"/>
      <c r="BZ7462" s="7"/>
    </row>
    <row r="7463" spans="2:78">
      <c r="B7463" s="7"/>
      <c r="O7463" s="7"/>
      <c r="X7463" s="7"/>
      <c r="AG7463" s="7"/>
      <c r="AP7463" s="7"/>
      <c r="AY7463" s="7"/>
      <c r="BH7463" s="7"/>
      <c r="BQ7463" s="7"/>
      <c r="BZ7463" s="7"/>
    </row>
    <row r="7464" spans="2:78">
      <c r="B7464" s="7"/>
      <c r="O7464" s="7"/>
      <c r="X7464" s="7"/>
      <c r="AG7464" s="7"/>
      <c r="AP7464" s="7"/>
      <c r="AY7464" s="7"/>
      <c r="BH7464" s="7"/>
      <c r="BQ7464" s="7"/>
      <c r="BZ7464" s="7"/>
    </row>
    <row r="7465" spans="2:78">
      <c r="B7465" s="7"/>
      <c r="O7465" s="7"/>
      <c r="X7465" s="7"/>
      <c r="AG7465" s="7"/>
      <c r="AP7465" s="7"/>
      <c r="AY7465" s="7"/>
      <c r="BH7465" s="7"/>
      <c r="BQ7465" s="7"/>
      <c r="BZ7465" s="7"/>
    </row>
    <row r="7466" spans="2:78">
      <c r="B7466" s="7"/>
      <c r="O7466" s="7"/>
      <c r="X7466" s="7"/>
      <c r="AG7466" s="7"/>
      <c r="AP7466" s="7"/>
      <c r="AY7466" s="7"/>
      <c r="BH7466" s="7"/>
      <c r="BQ7466" s="7"/>
      <c r="BZ7466" s="7"/>
    </row>
    <row r="7467" spans="2:78">
      <c r="B7467" s="7"/>
      <c r="O7467" s="7"/>
      <c r="X7467" s="7"/>
      <c r="AG7467" s="7"/>
      <c r="AP7467" s="7"/>
      <c r="AY7467" s="7"/>
      <c r="BH7467" s="7"/>
      <c r="BQ7467" s="7"/>
      <c r="BZ7467" s="7"/>
    </row>
    <row r="7468" spans="2:78">
      <c r="B7468" s="7"/>
      <c r="O7468" s="7"/>
      <c r="X7468" s="7"/>
      <c r="AG7468" s="7"/>
      <c r="AP7468" s="7"/>
      <c r="AY7468" s="7"/>
      <c r="BH7468" s="7"/>
      <c r="BQ7468" s="7"/>
      <c r="BZ7468" s="7"/>
    </row>
    <row r="7469" spans="2:78">
      <c r="B7469" s="7"/>
      <c r="O7469" s="7"/>
      <c r="X7469" s="7"/>
      <c r="AG7469" s="7"/>
      <c r="AP7469" s="7"/>
      <c r="AY7469" s="7"/>
      <c r="BH7469" s="7"/>
      <c r="BQ7469" s="7"/>
      <c r="BZ7469" s="7"/>
    </row>
    <row r="7470" spans="2:78">
      <c r="B7470" s="7"/>
      <c r="O7470" s="7"/>
      <c r="X7470" s="7"/>
      <c r="AG7470" s="7"/>
      <c r="AP7470" s="7"/>
      <c r="AY7470" s="7"/>
      <c r="BH7470" s="7"/>
      <c r="BQ7470" s="7"/>
      <c r="BZ7470" s="7"/>
    </row>
    <row r="7471" spans="2:78">
      <c r="B7471" s="7"/>
      <c r="O7471" s="7"/>
      <c r="X7471" s="7"/>
      <c r="AG7471" s="7"/>
      <c r="AP7471" s="7"/>
      <c r="AY7471" s="7"/>
      <c r="BH7471" s="7"/>
      <c r="BQ7471" s="7"/>
      <c r="BZ7471" s="7"/>
    </row>
    <row r="7472" spans="2:78">
      <c r="B7472" s="7"/>
      <c r="O7472" s="7"/>
      <c r="X7472" s="7"/>
      <c r="AG7472" s="7"/>
      <c r="AP7472" s="7"/>
      <c r="AY7472" s="7"/>
      <c r="BH7472" s="7"/>
      <c r="BQ7472" s="7"/>
      <c r="BZ7472" s="7"/>
    </row>
    <row r="7473" spans="2:78">
      <c r="B7473" s="7"/>
      <c r="O7473" s="7"/>
      <c r="X7473" s="7"/>
      <c r="AG7473" s="7"/>
      <c r="AP7473" s="7"/>
      <c r="AY7473" s="7"/>
      <c r="BH7473" s="7"/>
      <c r="BQ7473" s="7"/>
      <c r="BZ7473" s="7"/>
    </row>
    <row r="7474" spans="2:78">
      <c r="B7474" s="7"/>
      <c r="O7474" s="7"/>
      <c r="X7474" s="7"/>
      <c r="AG7474" s="7"/>
      <c r="AP7474" s="7"/>
      <c r="AY7474" s="7"/>
      <c r="BH7474" s="7"/>
      <c r="BQ7474" s="7"/>
      <c r="BZ7474" s="7"/>
    </row>
    <row r="7475" spans="2:78">
      <c r="B7475" s="7"/>
      <c r="O7475" s="7"/>
      <c r="X7475" s="7"/>
      <c r="AG7475" s="7"/>
      <c r="AP7475" s="7"/>
      <c r="AY7475" s="7"/>
      <c r="BH7475" s="7"/>
      <c r="BQ7475" s="7"/>
      <c r="BZ7475" s="7"/>
    </row>
    <row r="7476" spans="2:78">
      <c r="B7476" s="7"/>
      <c r="O7476" s="7"/>
      <c r="X7476" s="7"/>
      <c r="AG7476" s="7"/>
      <c r="AP7476" s="7"/>
      <c r="AY7476" s="7"/>
      <c r="BH7476" s="7"/>
      <c r="BQ7476" s="7"/>
      <c r="BZ7476" s="7"/>
    </row>
    <row r="7477" spans="2:78">
      <c r="B7477" s="7"/>
      <c r="O7477" s="7"/>
      <c r="X7477" s="7"/>
      <c r="AG7477" s="7"/>
      <c r="AP7477" s="7"/>
      <c r="AY7477" s="7"/>
      <c r="BH7477" s="7"/>
      <c r="BQ7477" s="7"/>
      <c r="BZ7477" s="7"/>
    </row>
    <row r="7478" spans="2:78">
      <c r="B7478" s="7"/>
      <c r="O7478" s="7"/>
      <c r="X7478" s="7"/>
      <c r="AG7478" s="7"/>
      <c r="AP7478" s="7"/>
      <c r="AY7478" s="7"/>
      <c r="BH7478" s="7"/>
      <c r="BQ7478" s="7"/>
      <c r="BZ7478" s="7"/>
    </row>
    <row r="7479" spans="2:78">
      <c r="B7479" s="7"/>
      <c r="O7479" s="7"/>
      <c r="X7479" s="7"/>
      <c r="AG7479" s="7"/>
      <c r="AP7479" s="7"/>
      <c r="AY7479" s="7"/>
      <c r="BH7479" s="7"/>
      <c r="BQ7479" s="7"/>
      <c r="BZ7479" s="7"/>
    </row>
    <row r="7480" spans="2:78">
      <c r="B7480" s="7"/>
      <c r="O7480" s="7"/>
      <c r="X7480" s="7"/>
      <c r="AG7480" s="7"/>
      <c r="AP7480" s="7"/>
      <c r="AY7480" s="7"/>
      <c r="BH7480" s="7"/>
      <c r="BQ7480" s="7"/>
      <c r="BZ7480" s="7"/>
    </row>
    <row r="7481" spans="2:78">
      <c r="B7481" s="7"/>
      <c r="O7481" s="7"/>
      <c r="X7481" s="7"/>
      <c r="AG7481" s="7"/>
      <c r="AP7481" s="7"/>
      <c r="AY7481" s="7"/>
      <c r="BH7481" s="7"/>
      <c r="BQ7481" s="7"/>
      <c r="BZ7481" s="7"/>
    </row>
    <row r="7482" spans="2:78">
      <c r="B7482" s="7"/>
      <c r="O7482" s="7"/>
      <c r="X7482" s="7"/>
      <c r="AG7482" s="7"/>
      <c r="AP7482" s="7"/>
      <c r="AY7482" s="7"/>
      <c r="BH7482" s="7"/>
      <c r="BQ7482" s="7"/>
      <c r="BZ7482" s="7"/>
    </row>
    <row r="7483" spans="2:78">
      <c r="B7483" s="7"/>
      <c r="O7483" s="7"/>
      <c r="X7483" s="7"/>
      <c r="AG7483" s="7"/>
      <c r="AP7483" s="7"/>
      <c r="AY7483" s="7"/>
      <c r="BH7483" s="7"/>
      <c r="BQ7483" s="7"/>
      <c r="BZ7483" s="7"/>
    </row>
    <row r="7484" spans="2:78">
      <c r="B7484" s="7"/>
      <c r="O7484" s="7"/>
      <c r="X7484" s="7"/>
      <c r="AG7484" s="7"/>
      <c r="AP7484" s="7"/>
      <c r="AY7484" s="7"/>
      <c r="BH7484" s="7"/>
      <c r="BQ7484" s="7"/>
      <c r="BZ7484" s="7"/>
    </row>
    <row r="7485" spans="2:78">
      <c r="B7485" s="7"/>
      <c r="O7485" s="7"/>
      <c r="X7485" s="7"/>
      <c r="AG7485" s="7"/>
      <c r="AP7485" s="7"/>
      <c r="AY7485" s="7"/>
      <c r="BH7485" s="7"/>
      <c r="BQ7485" s="7"/>
      <c r="BZ7485" s="7"/>
    </row>
    <row r="7486" spans="2:78">
      <c r="B7486" s="7"/>
      <c r="O7486" s="7"/>
      <c r="X7486" s="7"/>
      <c r="AG7486" s="7"/>
      <c r="AP7486" s="7"/>
      <c r="AY7486" s="7"/>
      <c r="BH7486" s="7"/>
      <c r="BQ7486" s="7"/>
      <c r="BZ7486" s="7"/>
    </row>
    <row r="7487" spans="2:78">
      <c r="B7487" s="7"/>
      <c r="O7487" s="7"/>
      <c r="X7487" s="7"/>
      <c r="AG7487" s="7"/>
      <c r="AP7487" s="7"/>
      <c r="AY7487" s="7"/>
      <c r="BH7487" s="7"/>
      <c r="BQ7487" s="7"/>
      <c r="BZ7487" s="7"/>
    </row>
    <row r="7488" spans="2:78">
      <c r="B7488" s="7"/>
      <c r="O7488" s="7"/>
      <c r="X7488" s="7"/>
      <c r="AG7488" s="7"/>
      <c r="AP7488" s="7"/>
      <c r="AY7488" s="7"/>
      <c r="BH7488" s="7"/>
      <c r="BQ7488" s="7"/>
      <c r="BZ7488" s="7"/>
    </row>
    <row r="7489" spans="2:78">
      <c r="B7489" s="7"/>
      <c r="O7489" s="7"/>
      <c r="X7489" s="7"/>
      <c r="AG7489" s="7"/>
      <c r="AP7489" s="7"/>
      <c r="AY7489" s="7"/>
      <c r="BH7489" s="7"/>
      <c r="BQ7489" s="7"/>
      <c r="BZ7489" s="7"/>
    </row>
    <row r="7490" spans="2:78">
      <c r="B7490" s="7"/>
      <c r="O7490" s="7"/>
      <c r="X7490" s="7"/>
      <c r="AG7490" s="7"/>
      <c r="AP7490" s="7"/>
      <c r="AY7490" s="7"/>
      <c r="BH7490" s="7"/>
      <c r="BQ7490" s="7"/>
      <c r="BZ7490" s="7"/>
    </row>
    <row r="7491" spans="2:78">
      <c r="B7491" s="7"/>
      <c r="O7491" s="7"/>
      <c r="X7491" s="7"/>
      <c r="AG7491" s="7"/>
      <c r="AP7491" s="7"/>
      <c r="AY7491" s="7"/>
      <c r="BH7491" s="7"/>
      <c r="BQ7491" s="7"/>
      <c r="BZ7491" s="7"/>
    </row>
    <row r="7492" spans="2:78">
      <c r="B7492" s="7"/>
      <c r="O7492" s="7"/>
      <c r="X7492" s="7"/>
      <c r="AG7492" s="7"/>
      <c r="AP7492" s="7"/>
      <c r="AY7492" s="7"/>
      <c r="BH7492" s="7"/>
      <c r="BQ7492" s="7"/>
      <c r="BZ7492" s="7"/>
    </row>
    <row r="7493" spans="2:78">
      <c r="B7493" s="7"/>
      <c r="O7493" s="7"/>
      <c r="X7493" s="7"/>
      <c r="AG7493" s="7"/>
      <c r="AP7493" s="7"/>
      <c r="AY7493" s="7"/>
      <c r="BH7493" s="7"/>
      <c r="BQ7493" s="7"/>
      <c r="BZ7493" s="7"/>
    </row>
    <row r="7494" spans="2:78">
      <c r="B7494" s="7"/>
      <c r="O7494" s="7"/>
      <c r="X7494" s="7"/>
      <c r="AG7494" s="7"/>
      <c r="AP7494" s="7"/>
      <c r="AY7494" s="7"/>
      <c r="BH7494" s="7"/>
      <c r="BQ7494" s="7"/>
      <c r="BZ7494" s="7"/>
    </row>
    <row r="7495" spans="2:78">
      <c r="B7495" s="7"/>
      <c r="O7495" s="7"/>
      <c r="X7495" s="7"/>
      <c r="AG7495" s="7"/>
      <c r="AP7495" s="7"/>
      <c r="AY7495" s="7"/>
      <c r="BH7495" s="7"/>
      <c r="BQ7495" s="7"/>
      <c r="BZ7495" s="7"/>
    </row>
    <row r="7496" spans="2:78">
      <c r="B7496" s="7"/>
      <c r="O7496" s="7"/>
      <c r="X7496" s="7"/>
      <c r="AG7496" s="7"/>
      <c r="AP7496" s="7"/>
      <c r="AY7496" s="7"/>
      <c r="BH7496" s="7"/>
      <c r="BQ7496" s="7"/>
      <c r="BZ7496" s="7"/>
    </row>
    <row r="7497" spans="2:78">
      <c r="B7497" s="7"/>
      <c r="O7497" s="7"/>
      <c r="X7497" s="7"/>
      <c r="AG7497" s="7"/>
      <c r="AP7497" s="7"/>
      <c r="AY7497" s="7"/>
      <c r="BH7497" s="7"/>
      <c r="BQ7497" s="7"/>
      <c r="BZ7497" s="7"/>
    </row>
    <row r="7498" spans="2:78">
      <c r="B7498" s="7"/>
      <c r="O7498" s="7"/>
      <c r="X7498" s="7"/>
      <c r="AG7498" s="7"/>
      <c r="AP7498" s="7"/>
      <c r="AY7498" s="7"/>
      <c r="BH7498" s="7"/>
      <c r="BQ7498" s="7"/>
      <c r="BZ7498" s="7"/>
    </row>
    <row r="7499" spans="2:78">
      <c r="B7499" s="7"/>
      <c r="O7499" s="7"/>
      <c r="X7499" s="7"/>
      <c r="AG7499" s="7"/>
      <c r="AP7499" s="7"/>
      <c r="AY7499" s="7"/>
      <c r="BH7499" s="7"/>
      <c r="BQ7499" s="7"/>
      <c r="BZ7499" s="7"/>
    </row>
    <row r="7500" spans="2:78">
      <c r="B7500" s="7"/>
      <c r="O7500" s="7"/>
      <c r="X7500" s="7"/>
      <c r="AG7500" s="7"/>
      <c r="AP7500" s="7"/>
      <c r="AY7500" s="7"/>
      <c r="BH7500" s="7"/>
      <c r="BQ7500" s="7"/>
      <c r="BZ7500" s="7"/>
    </row>
    <row r="7501" spans="2:78">
      <c r="B7501" s="7"/>
      <c r="O7501" s="7"/>
      <c r="X7501" s="7"/>
      <c r="AG7501" s="7"/>
      <c r="AP7501" s="7"/>
      <c r="AY7501" s="7"/>
      <c r="BH7501" s="7"/>
      <c r="BQ7501" s="7"/>
      <c r="BZ7501" s="7"/>
    </row>
    <row r="7502" spans="2:78">
      <c r="B7502" s="7"/>
      <c r="O7502" s="7"/>
      <c r="X7502" s="7"/>
      <c r="AG7502" s="7"/>
      <c r="AP7502" s="7"/>
      <c r="AY7502" s="7"/>
      <c r="BH7502" s="7"/>
      <c r="BQ7502" s="7"/>
      <c r="BZ7502" s="7"/>
    </row>
    <row r="7503" spans="2:78">
      <c r="B7503" s="7"/>
      <c r="O7503" s="7"/>
      <c r="X7503" s="7"/>
      <c r="AG7503" s="7"/>
      <c r="AP7503" s="7"/>
      <c r="AY7503" s="7"/>
      <c r="BH7503" s="7"/>
      <c r="BQ7503" s="7"/>
      <c r="BZ7503" s="7"/>
    </row>
    <row r="7504" spans="2:78">
      <c r="B7504" s="7"/>
      <c r="O7504" s="7"/>
      <c r="X7504" s="7"/>
      <c r="AG7504" s="7"/>
      <c r="AP7504" s="7"/>
      <c r="AY7504" s="7"/>
      <c r="BH7504" s="7"/>
      <c r="BQ7504" s="7"/>
      <c r="BZ7504" s="7"/>
    </row>
    <row r="7505" spans="2:78">
      <c r="B7505" s="7"/>
      <c r="O7505" s="7"/>
      <c r="X7505" s="7"/>
      <c r="AG7505" s="7"/>
      <c r="AP7505" s="7"/>
      <c r="AY7505" s="7"/>
      <c r="BH7505" s="7"/>
      <c r="BQ7505" s="7"/>
      <c r="BZ7505" s="7"/>
    </row>
    <row r="7506" spans="2:78">
      <c r="B7506" s="7"/>
      <c r="O7506" s="7"/>
      <c r="X7506" s="7"/>
      <c r="AG7506" s="7"/>
      <c r="AP7506" s="7"/>
      <c r="AY7506" s="7"/>
      <c r="BH7506" s="7"/>
      <c r="BQ7506" s="7"/>
      <c r="BZ7506" s="7"/>
    </row>
    <row r="7507" spans="2:78">
      <c r="B7507" s="7"/>
      <c r="O7507" s="7"/>
      <c r="X7507" s="7"/>
      <c r="AG7507" s="7"/>
      <c r="AP7507" s="7"/>
      <c r="AY7507" s="7"/>
      <c r="BH7507" s="7"/>
      <c r="BQ7507" s="7"/>
      <c r="BZ7507" s="7"/>
    </row>
    <row r="7508" spans="2:78">
      <c r="B7508" s="7"/>
      <c r="O7508" s="7"/>
      <c r="X7508" s="7"/>
      <c r="AG7508" s="7"/>
      <c r="AP7508" s="7"/>
      <c r="AY7508" s="7"/>
      <c r="BH7508" s="7"/>
      <c r="BQ7508" s="7"/>
      <c r="BZ7508" s="7"/>
    </row>
    <row r="7509" spans="2:78">
      <c r="B7509" s="7"/>
      <c r="O7509" s="7"/>
      <c r="X7509" s="7"/>
      <c r="AG7509" s="7"/>
      <c r="AP7509" s="7"/>
      <c r="AY7509" s="7"/>
      <c r="BH7509" s="7"/>
      <c r="BQ7509" s="7"/>
      <c r="BZ7509" s="7"/>
    </row>
    <row r="7510" spans="2:78">
      <c r="B7510" s="7"/>
      <c r="O7510" s="7"/>
      <c r="X7510" s="7"/>
      <c r="AG7510" s="7"/>
      <c r="AP7510" s="7"/>
      <c r="AY7510" s="7"/>
      <c r="BH7510" s="7"/>
      <c r="BQ7510" s="7"/>
      <c r="BZ7510" s="7"/>
    </row>
    <row r="7511" spans="2:78">
      <c r="B7511" s="7"/>
      <c r="O7511" s="7"/>
      <c r="X7511" s="7"/>
      <c r="AG7511" s="7"/>
      <c r="AP7511" s="7"/>
      <c r="AY7511" s="7"/>
      <c r="BH7511" s="7"/>
      <c r="BQ7511" s="7"/>
      <c r="BZ7511" s="7"/>
    </row>
    <row r="7512" spans="2:78">
      <c r="B7512" s="7"/>
      <c r="O7512" s="7"/>
      <c r="X7512" s="7"/>
      <c r="AG7512" s="7"/>
      <c r="AP7512" s="7"/>
      <c r="AY7512" s="7"/>
      <c r="BH7512" s="7"/>
      <c r="BQ7512" s="7"/>
      <c r="BZ7512" s="7"/>
    </row>
    <row r="7513" spans="2:78">
      <c r="B7513" s="7"/>
      <c r="O7513" s="7"/>
      <c r="X7513" s="7"/>
      <c r="AG7513" s="7"/>
      <c r="AP7513" s="7"/>
      <c r="AY7513" s="7"/>
      <c r="BH7513" s="7"/>
      <c r="BQ7513" s="7"/>
      <c r="BZ7513" s="7"/>
    </row>
    <row r="7514" spans="2:78">
      <c r="B7514" s="7"/>
      <c r="O7514" s="7"/>
      <c r="X7514" s="7"/>
      <c r="AG7514" s="7"/>
      <c r="AP7514" s="7"/>
      <c r="AY7514" s="7"/>
      <c r="BH7514" s="7"/>
      <c r="BQ7514" s="7"/>
      <c r="BZ7514" s="7"/>
    </row>
    <row r="7515" spans="2:78">
      <c r="B7515" s="7"/>
      <c r="O7515" s="7"/>
      <c r="X7515" s="7"/>
      <c r="AG7515" s="7"/>
      <c r="AP7515" s="7"/>
      <c r="AY7515" s="7"/>
      <c r="BH7515" s="7"/>
      <c r="BQ7515" s="7"/>
      <c r="BZ7515" s="7"/>
    </row>
    <row r="7516" spans="2:78">
      <c r="B7516" s="7"/>
      <c r="O7516" s="7"/>
      <c r="X7516" s="7"/>
      <c r="AG7516" s="7"/>
      <c r="AP7516" s="7"/>
      <c r="AY7516" s="7"/>
      <c r="BH7516" s="7"/>
      <c r="BQ7516" s="7"/>
      <c r="BZ7516" s="7"/>
    </row>
    <row r="7517" spans="2:78">
      <c r="B7517" s="7"/>
      <c r="O7517" s="7"/>
      <c r="X7517" s="7"/>
      <c r="AG7517" s="7"/>
      <c r="AP7517" s="7"/>
      <c r="AY7517" s="7"/>
      <c r="BH7517" s="7"/>
      <c r="BQ7517" s="7"/>
      <c r="BZ7517" s="7"/>
    </row>
    <row r="7518" spans="2:78">
      <c r="B7518" s="7"/>
      <c r="O7518" s="7"/>
      <c r="X7518" s="7"/>
      <c r="AG7518" s="7"/>
      <c r="AP7518" s="7"/>
      <c r="AY7518" s="7"/>
      <c r="BH7518" s="7"/>
      <c r="BQ7518" s="7"/>
      <c r="BZ7518" s="7"/>
    </row>
    <row r="7519" spans="2:78">
      <c r="B7519" s="7"/>
      <c r="O7519" s="7"/>
      <c r="X7519" s="7"/>
      <c r="AG7519" s="7"/>
      <c r="AP7519" s="7"/>
      <c r="AY7519" s="7"/>
      <c r="BH7519" s="7"/>
      <c r="BQ7519" s="7"/>
      <c r="BZ7519" s="7"/>
    </row>
    <row r="7520" spans="2:78">
      <c r="B7520" s="7"/>
      <c r="O7520" s="7"/>
      <c r="X7520" s="7"/>
      <c r="AG7520" s="7"/>
      <c r="AP7520" s="7"/>
      <c r="AY7520" s="7"/>
      <c r="BH7520" s="7"/>
      <c r="BQ7520" s="7"/>
      <c r="BZ7520" s="7"/>
    </row>
    <row r="7521" spans="2:78">
      <c r="B7521" s="7"/>
      <c r="O7521" s="7"/>
      <c r="X7521" s="7"/>
      <c r="AG7521" s="7"/>
      <c r="AP7521" s="7"/>
      <c r="AY7521" s="7"/>
      <c r="BH7521" s="7"/>
      <c r="BQ7521" s="7"/>
      <c r="BZ7521" s="7"/>
    </row>
    <row r="7522" spans="2:78">
      <c r="B7522" s="7"/>
      <c r="O7522" s="7"/>
      <c r="X7522" s="7"/>
      <c r="AG7522" s="7"/>
      <c r="AP7522" s="7"/>
      <c r="AY7522" s="7"/>
      <c r="BH7522" s="7"/>
      <c r="BQ7522" s="7"/>
      <c r="BZ7522" s="7"/>
    </row>
    <row r="7523" spans="2:78">
      <c r="B7523" s="7"/>
      <c r="O7523" s="7"/>
      <c r="X7523" s="7"/>
      <c r="AG7523" s="7"/>
      <c r="AP7523" s="7"/>
      <c r="AY7523" s="7"/>
      <c r="BH7523" s="7"/>
      <c r="BQ7523" s="7"/>
      <c r="BZ7523" s="7"/>
    </row>
    <row r="7524" spans="2:78">
      <c r="B7524" s="7"/>
      <c r="O7524" s="7"/>
      <c r="X7524" s="7"/>
      <c r="AG7524" s="7"/>
      <c r="AP7524" s="7"/>
      <c r="AY7524" s="7"/>
      <c r="BH7524" s="7"/>
      <c r="BQ7524" s="7"/>
      <c r="BZ7524" s="7"/>
    </row>
    <row r="7525" spans="2:78">
      <c r="B7525" s="7"/>
      <c r="O7525" s="7"/>
      <c r="X7525" s="7"/>
      <c r="AG7525" s="7"/>
      <c r="AP7525" s="7"/>
      <c r="AY7525" s="7"/>
      <c r="BH7525" s="7"/>
      <c r="BQ7525" s="7"/>
      <c r="BZ7525" s="7"/>
    </row>
    <row r="7526" spans="2:78">
      <c r="B7526" s="7"/>
      <c r="O7526" s="7"/>
      <c r="X7526" s="7"/>
      <c r="AG7526" s="7"/>
      <c r="AP7526" s="7"/>
      <c r="AY7526" s="7"/>
      <c r="BH7526" s="7"/>
      <c r="BQ7526" s="7"/>
      <c r="BZ7526" s="7"/>
    </row>
    <row r="7527" spans="2:78">
      <c r="B7527" s="7"/>
      <c r="O7527" s="7"/>
      <c r="X7527" s="7"/>
      <c r="AG7527" s="7"/>
      <c r="AP7527" s="7"/>
      <c r="AY7527" s="7"/>
      <c r="BH7527" s="7"/>
      <c r="BQ7527" s="7"/>
      <c r="BZ7527" s="7"/>
    </row>
    <row r="7528" spans="2:78">
      <c r="B7528" s="7"/>
      <c r="O7528" s="7"/>
      <c r="X7528" s="7"/>
      <c r="AG7528" s="7"/>
      <c r="AP7528" s="7"/>
      <c r="AY7528" s="7"/>
      <c r="BH7528" s="7"/>
      <c r="BQ7528" s="7"/>
      <c r="BZ7528" s="7"/>
    </row>
    <row r="7529" spans="2:78">
      <c r="B7529" s="7"/>
      <c r="O7529" s="7"/>
      <c r="X7529" s="7"/>
      <c r="AG7529" s="7"/>
      <c r="AP7529" s="7"/>
      <c r="AY7529" s="7"/>
      <c r="BH7529" s="7"/>
      <c r="BQ7529" s="7"/>
      <c r="BZ7529" s="7"/>
    </row>
    <row r="7530" spans="2:78">
      <c r="B7530" s="7"/>
      <c r="O7530" s="7"/>
      <c r="X7530" s="7"/>
      <c r="AG7530" s="7"/>
      <c r="AP7530" s="7"/>
      <c r="AY7530" s="7"/>
      <c r="BH7530" s="7"/>
      <c r="BQ7530" s="7"/>
      <c r="BZ7530" s="7"/>
    </row>
    <row r="7531" spans="2:78">
      <c r="B7531" s="7"/>
      <c r="O7531" s="7"/>
      <c r="X7531" s="7"/>
      <c r="AG7531" s="7"/>
      <c r="AP7531" s="7"/>
      <c r="AY7531" s="7"/>
      <c r="BH7531" s="7"/>
      <c r="BQ7531" s="7"/>
      <c r="BZ7531" s="7"/>
    </row>
    <row r="7532" spans="2:78">
      <c r="B7532" s="7"/>
      <c r="O7532" s="7"/>
      <c r="X7532" s="7"/>
      <c r="AG7532" s="7"/>
      <c r="AP7532" s="7"/>
      <c r="AY7532" s="7"/>
      <c r="BH7532" s="7"/>
      <c r="BQ7532" s="7"/>
      <c r="BZ7532" s="7"/>
    </row>
    <row r="7533" spans="2:78">
      <c r="B7533" s="7"/>
      <c r="O7533" s="7"/>
      <c r="X7533" s="7"/>
      <c r="AG7533" s="7"/>
      <c r="AP7533" s="7"/>
      <c r="AY7533" s="7"/>
      <c r="BH7533" s="7"/>
      <c r="BQ7533" s="7"/>
      <c r="BZ7533" s="7"/>
    </row>
    <row r="7534" spans="2:78">
      <c r="B7534" s="7"/>
      <c r="O7534" s="7"/>
      <c r="X7534" s="7"/>
      <c r="AG7534" s="7"/>
      <c r="AP7534" s="7"/>
      <c r="AY7534" s="7"/>
      <c r="BH7534" s="7"/>
      <c r="BQ7534" s="7"/>
      <c r="BZ7534" s="7"/>
    </row>
    <row r="7535" spans="2:78">
      <c r="B7535" s="7"/>
      <c r="O7535" s="7"/>
      <c r="X7535" s="7"/>
      <c r="AG7535" s="7"/>
      <c r="AP7535" s="7"/>
      <c r="AY7535" s="7"/>
      <c r="BH7535" s="7"/>
      <c r="BQ7535" s="7"/>
      <c r="BZ7535" s="7"/>
    </row>
    <row r="7536" spans="2:78">
      <c r="B7536" s="7"/>
      <c r="O7536" s="7"/>
      <c r="X7536" s="7"/>
      <c r="AG7536" s="7"/>
      <c r="AP7536" s="7"/>
      <c r="AY7536" s="7"/>
      <c r="BH7536" s="7"/>
      <c r="BQ7536" s="7"/>
      <c r="BZ7536" s="7"/>
    </row>
    <row r="7537" spans="2:78">
      <c r="B7537" s="7"/>
      <c r="O7537" s="7"/>
      <c r="X7537" s="7"/>
      <c r="AG7537" s="7"/>
      <c r="AP7537" s="7"/>
      <c r="AY7537" s="7"/>
      <c r="BH7537" s="7"/>
      <c r="BQ7537" s="7"/>
      <c r="BZ7537" s="7"/>
    </row>
    <row r="7538" spans="2:78">
      <c r="B7538" s="7"/>
      <c r="O7538" s="7"/>
      <c r="X7538" s="7"/>
      <c r="AG7538" s="7"/>
      <c r="AP7538" s="7"/>
      <c r="AY7538" s="7"/>
      <c r="BH7538" s="7"/>
      <c r="BQ7538" s="7"/>
      <c r="BZ7538" s="7"/>
    </row>
    <row r="7539" spans="2:78">
      <c r="B7539" s="7"/>
      <c r="O7539" s="7"/>
      <c r="X7539" s="7"/>
      <c r="AG7539" s="7"/>
      <c r="AP7539" s="7"/>
      <c r="AY7539" s="7"/>
      <c r="BH7539" s="7"/>
      <c r="BQ7539" s="7"/>
      <c r="BZ7539" s="7"/>
    </row>
    <row r="7540" spans="2:78">
      <c r="B7540" s="7"/>
      <c r="O7540" s="7"/>
      <c r="X7540" s="7"/>
      <c r="AG7540" s="7"/>
      <c r="AP7540" s="7"/>
      <c r="AY7540" s="7"/>
      <c r="BH7540" s="7"/>
      <c r="BQ7540" s="7"/>
      <c r="BZ7540" s="7"/>
    </row>
    <row r="7541" spans="2:78">
      <c r="B7541" s="7"/>
      <c r="O7541" s="7"/>
      <c r="X7541" s="7"/>
      <c r="AG7541" s="7"/>
      <c r="AP7541" s="7"/>
      <c r="AY7541" s="7"/>
      <c r="BH7541" s="7"/>
      <c r="BQ7541" s="7"/>
      <c r="BZ7541" s="7"/>
    </row>
    <row r="7542" spans="2:78">
      <c r="B7542" s="7"/>
      <c r="O7542" s="7"/>
      <c r="X7542" s="7"/>
      <c r="AG7542" s="7"/>
      <c r="AP7542" s="7"/>
      <c r="AY7542" s="7"/>
      <c r="BH7542" s="7"/>
      <c r="BQ7542" s="7"/>
      <c r="BZ7542" s="7"/>
    </row>
    <row r="7543" spans="2:78">
      <c r="B7543" s="7"/>
      <c r="O7543" s="7"/>
      <c r="X7543" s="7"/>
      <c r="AG7543" s="7"/>
      <c r="AP7543" s="7"/>
      <c r="AY7543" s="7"/>
      <c r="BH7543" s="7"/>
      <c r="BQ7543" s="7"/>
      <c r="BZ7543" s="7"/>
    </row>
    <row r="7544" spans="2:78">
      <c r="B7544" s="7"/>
      <c r="O7544" s="7"/>
      <c r="X7544" s="7"/>
      <c r="AG7544" s="7"/>
      <c r="AP7544" s="7"/>
      <c r="AY7544" s="7"/>
      <c r="BH7544" s="7"/>
      <c r="BQ7544" s="7"/>
      <c r="BZ7544" s="7"/>
    </row>
    <row r="7545" spans="2:78">
      <c r="B7545" s="7"/>
      <c r="O7545" s="7"/>
      <c r="X7545" s="7"/>
      <c r="AG7545" s="7"/>
      <c r="AP7545" s="7"/>
      <c r="AY7545" s="7"/>
      <c r="BH7545" s="7"/>
      <c r="BQ7545" s="7"/>
      <c r="BZ7545" s="7"/>
    </row>
    <row r="7546" spans="2:78">
      <c r="B7546" s="7"/>
      <c r="O7546" s="7"/>
      <c r="X7546" s="7"/>
      <c r="AG7546" s="7"/>
      <c r="AP7546" s="7"/>
      <c r="AY7546" s="7"/>
      <c r="BH7546" s="7"/>
      <c r="BQ7546" s="7"/>
      <c r="BZ7546" s="7"/>
    </row>
    <row r="7547" spans="2:78">
      <c r="B7547" s="7"/>
      <c r="O7547" s="7"/>
      <c r="X7547" s="7"/>
      <c r="AG7547" s="7"/>
      <c r="AP7547" s="7"/>
      <c r="AY7547" s="7"/>
      <c r="BH7547" s="7"/>
      <c r="BQ7547" s="7"/>
      <c r="BZ7547" s="7"/>
    </row>
    <row r="7548" spans="2:78">
      <c r="B7548" s="7"/>
      <c r="O7548" s="7"/>
      <c r="X7548" s="7"/>
      <c r="AG7548" s="7"/>
      <c r="AP7548" s="7"/>
      <c r="AY7548" s="7"/>
      <c r="BH7548" s="7"/>
      <c r="BQ7548" s="7"/>
      <c r="BZ7548" s="7"/>
    </row>
    <row r="7549" spans="2:78">
      <c r="B7549" s="7"/>
      <c r="O7549" s="7"/>
      <c r="X7549" s="7"/>
      <c r="AG7549" s="7"/>
      <c r="AP7549" s="7"/>
      <c r="AY7549" s="7"/>
      <c r="BH7549" s="7"/>
      <c r="BQ7549" s="7"/>
      <c r="BZ7549" s="7"/>
    </row>
    <row r="7550" spans="2:78">
      <c r="B7550" s="7"/>
      <c r="O7550" s="7"/>
      <c r="X7550" s="7"/>
      <c r="AG7550" s="7"/>
      <c r="AP7550" s="7"/>
      <c r="AY7550" s="7"/>
      <c r="BH7550" s="7"/>
      <c r="BQ7550" s="7"/>
      <c r="BZ7550" s="7"/>
    </row>
    <row r="7551" spans="2:78">
      <c r="B7551" s="7"/>
      <c r="O7551" s="7"/>
      <c r="X7551" s="7"/>
      <c r="AG7551" s="7"/>
      <c r="AP7551" s="7"/>
      <c r="AY7551" s="7"/>
      <c r="BH7551" s="7"/>
      <c r="BQ7551" s="7"/>
      <c r="BZ7551" s="7"/>
    </row>
    <row r="7552" spans="2:78">
      <c r="B7552" s="7"/>
      <c r="O7552" s="7"/>
      <c r="X7552" s="7"/>
      <c r="AG7552" s="7"/>
      <c r="AP7552" s="7"/>
      <c r="AY7552" s="7"/>
      <c r="BH7552" s="7"/>
      <c r="BQ7552" s="7"/>
      <c r="BZ7552" s="7"/>
    </row>
    <row r="7553" spans="2:78">
      <c r="B7553" s="7"/>
      <c r="O7553" s="7"/>
      <c r="X7553" s="7"/>
      <c r="AG7553" s="7"/>
      <c r="AP7553" s="7"/>
      <c r="AY7553" s="7"/>
      <c r="BH7553" s="7"/>
      <c r="BQ7553" s="7"/>
      <c r="BZ7553" s="7"/>
    </row>
    <row r="7554" spans="2:78">
      <c r="B7554" s="7"/>
      <c r="O7554" s="7"/>
      <c r="X7554" s="7"/>
      <c r="AG7554" s="7"/>
      <c r="AP7554" s="7"/>
      <c r="AY7554" s="7"/>
      <c r="BH7554" s="7"/>
      <c r="BQ7554" s="7"/>
      <c r="BZ7554" s="7"/>
    </row>
    <row r="7555" spans="2:78">
      <c r="B7555" s="7"/>
      <c r="O7555" s="7"/>
      <c r="X7555" s="7"/>
      <c r="AG7555" s="7"/>
      <c r="AP7555" s="7"/>
      <c r="AY7555" s="7"/>
      <c r="BH7555" s="7"/>
      <c r="BQ7555" s="7"/>
      <c r="BZ7555" s="7"/>
    </row>
    <row r="7556" spans="2:78">
      <c r="B7556" s="7"/>
      <c r="O7556" s="7"/>
      <c r="X7556" s="7"/>
      <c r="AG7556" s="7"/>
      <c r="AP7556" s="7"/>
      <c r="AY7556" s="7"/>
      <c r="BH7556" s="7"/>
      <c r="BQ7556" s="7"/>
      <c r="BZ7556" s="7"/>
    </row>
    <row r="7557" spans="2:78">
      <c r="B7557" s="7"/>
      <c r="O7557" s="7"/>
      <c r="X7557" s="7"/>
      <c r="AG7557" s="7"/>
      <c r="AP7557" s="7"/>
      <c r="AY7557" s="7"/>
      <c r="BH7557" s="7"/>
      <c r="BQ7557" s="7"/>
      <c r="BZ7557" s="7"/>
    </row>
    <row r="7558" spans="2:78">
      <c r="B7558" s="7"/>
      <c r="O7558" s="7"/>
      <c r="X7558" s="7"/>
      <c r="AG7558" s="7"/>
      <c r="AP7558" s="7"/>
      <c r="AY7558" s="7"/>
      <c r="BH7558" s="7"/>
      <c r="BQ7558" s="7"/>
      <c r="BZ7558" s="7"/>
    </row>
    <row r="7559" spans="2:78">
      <c r="B7559" s="7"/>
      <c r="O7559" s="7"/>
      <c r="X7559" s="7"/>
      <c r="AG7559" s="7"/>
      <c r="AP7559" s="7"/>
      <c r="AY7559" s="7"/>
      <c r="BH7559" s="7"/>
      <c r="BQ7559" s="7"/>
      <c r="BZ7559" s="7"/>
    </row>
    <row r="7560" spans="2:78">
      <c r="B7560" s="7"/>
      <c r="O7560" s="7"/>
      <c r="X7560" s="7"/>
      <c r="AG7560" s="7"/>
      <c r="AP7560" s="7"/>
      <c r="AY7560" s="7"/>
      <c r="BH7560" s="7"/>
      <c r="BQ7560" s="7"/>
      <c r="BZ7560" s="7"/>
    </row>
    <row r="7561" spans="2:78">
      <c r="B7561" s="7"/>
      <c r="O7561" s="7"/>
      <c r="X7561" s="7"/>
      <c r="AG7561" s="7"/>
      <c r="AP7561" s="7"/>
      <c r="AY7561" s="7"/>
      <c r="BH7561" s="7"/>
      <c r="BQ7561" s="7"/>
      <c r="BZ7561" s="7"/>
    </row>
    <row r="7562" spans="2:78">
      <c r="B7562" s="7"/>
      <c r="O7562" s="7"/>
      <c r="X7562" s="7"/>
      <c r="AG7562" s="7"/>
      <c r="AP7562" s="7"/>
      <c r="AY7562" s="7"/>
      <c r="BH7562" s="7"/>
      <c r="BQ7562" s="7"/>
      <c r="BZ7562" s="7"/>
    </row>
    <row r="7563" spans="2:78">
      <c r="B7563" s="7"/>
      <c r="O7563" s="7"/>
      <c r="X7563" s="7"/>
      <c r="AG7563" s="7"/>
      <c r="AP7563" s="7"/>
      <c r="AY7563" s="7"/>
      <c r="BH7563" s="7"/>
      <c r="BQ7563" s="7"/>
      <c r="BZ7563" s="7"/>
    </row>
    <row r="7564" spans="2:78">
      <c r="B7564" s="7"/>
      <c r="O7564" s="7"/>
      <c r="X7564" s="7"/>
      <c r="AG7564" s="7"/>
      <c r="AP7564" s="7"/>
      <c r="AY7564" s="7"/>
      <c r="BH7564" s="7"/>
      <c r="BQ7564" s="7"/>
      <c r="BZ7564" s="7"/>
    </row>
    <row r="7565" spans="2:78">
      <c r="B7565" s="7"/>
      <c r="O7565" s="7"/>
      <c r="X7565" s="7"/>
      <c r="AG7565" s="7"/>
      <c r="AP7565" s="7"/>
      <c r="AY7565" s="7"/>
      <c r="BH7565" s="7"/>
      <c r="BQ7565" s="7"/>
      <c r="BZ7565" s="7"/>
    </row>
    <row r="7566" spans="2:78">
      <c r="B7566" s="7"/>
      <c r="O7566" s="7"/>
      <c r="X7566" s="7"/>
      <c r="AG7566" s="7"/>
      <c r="AP7566" s="7"/>
      <c r="AY7566" s="7"/>
      <c r="BH7566" s="7"/>
      <c r="BQ7566" s="7"/>
      <c r="BZ7566" s="7"/>
    </row>
    <row r="7567" spans="2:78">
      <c r="B7567" s="7"/>
      <c r="O7567" s="7"/>
      <c r="X7567" s="7"/>
      <c r="AG7567" s="7"/>
      <c r="AP7567" s="7"/>
      <c r="AY7567" s="7"/>
      <c r="BH7567" s="7"/>
      <c r="BQ7567" s="7"/>
      <c r="BZ7567" s="7"/>
    </row>
    <row r="7568" spans="2:78">
      <c r="B7568" s="7"/>
      <c r="O7568" s="7"/>
      <c r="X7568" s="7"/>
      <c r="AG7568" s="7"/>
      <c r="AP7568" s="7"/>
      <c r="AY7568" s="7"/>
      <c r="BH7568" s="7"/>
      <c r="BQ7568" s="7"/>
      <c r="BZ7568" s="7"/>
    </row>
    <row r="7569" spans="2:78">
      <c r="B7569" s="7"/>
      <c r="O7569" s="7"/>
      <c r="X7569" s="7"/>
      <c r="AG7569" s="7"/>
      <c r="AP7569" s="7"/>
      <c r="AY7569" s="7"/>
      <c r="BH7569" s="7"/>
      <c r="BQ7569" s="7"/>
      <c r="BZ7569" s="7"/>
    </row>
    <row r="7570" spans="2:78">
      <c r="B7570" s="7"/>
      <c r="O7570" s="7"/>
      <c r="X7570" s="7"/>
      <c r="AG7570" s="7"/>
      <c r="AP7570" s="7"/>
      <c r="AY7570" s="7"/>
      <c r="BH7570" s="7"/>
      <c r="BQ7570" s="7"/>
      <c r="BZ7570" s="7"/>
    </row>
    <row r="7571" spans="2:78">
      <c r="B7571" s="7"/>
      <c r="O7571" s="7"/>
      <c r="X7571" s="7"/>
      <c r="AG7571" s="7"/>
      <c r="AP7571" s="7"/>
      <c r="AY7571" s="7"/>
      <c r="BH7571" s="7"/>
      <c r="BQ7571" s="7"/>
      <c r="BZ7571" s="7"/>
    </row>
    <row r="7572" spans="2:78">
      <c r="B7572" s="7"/>
      <c r="O7572" s="7"/>
      <c r="X7572" s="7"/>
      <c r="AG7572" s="7"/>
      <c r="AP7572" s="7"/>
      <c r="AY7572" s="7"/>
      <c r="BH7572" s="7"/>
      <c r="BQ7572" s="7"/>
      <c r="BZ7572" s="7"/>
    </row>
    <row r="7573" spans="2:78">
      <c r="B7573" s="7"/>
      <c r="O7573" s="7"/>
      <c r="X7573" s="7"/>
      <c r="AG7573" s="7"/>
      <c r="AP7573" s="7"/>
      <c r="AY7573" s="7"/>
      <c r="BH7573" s="7"/>
      <c r="BQ7573" s="7"/>
      <c r="BZ7573" s="7"/>
    </row>
    <row r="7574" spans="2:78">
      <c r="B7574" s="7"/>
      <c r="O7574" s="7"/>
      <c r="X7574" s="7"/>
      <c r="AG7574" s="7"/>
      <c r="AP7574" s="7"/>
      <c r="AY7574" s="7"/>
      <c r="BH7574" s="7"/>
      <c r="BQ7574" s="7"/>
      <c r="BZ7574" s="7"/>
    </row>
    <row r="7575" spans="2:78">
      <c r="B7575" s="7"/>
      <c r="O7575" s="7"/>
      <c r="X7575" s="7"/>
      <c r="AG7575" s="7"/>
      <c r="AP7575" s="7"/>
      <c r="AY7575" s="7"/>
      <c r="BH7575" s="7"/>
      <c r="BQ7575" s="7"/>
      <c r="BZ7575" s="7"/>
    </row>
    <row r="7576" spans="2:78">
      <c r="B7576" s="7"/>
      <c r="O7576" s="7"/>
      <c r="X7576" s="7"/>
      <c r="AG7576" s="7"/>
      <c r="AP7576" s="7"/>
      <c r="AY7576" s="7"/>
      <c r="BH7576" s="7"/>
      <c r="BQ7576" s="7"/>
      <c r="BZ7576" s="7"/>
    </row>
    <row r="7577" spans="2:78">
      <c r="B7577" s="7"/>
      <c r="O7577" s="7"/>
      <c r="X7577" s="7"/>
      <c r="AG7577" s="7"/>
      <c r="AP7577" s="7"/>
      <c r="AY7577" s="7"/>
      <c r="BH7577" s="7"/>
      <c r="BQ7577" s="7"/>
      <c r="BZ7577" s="7"/>
    </row>
    <row r="7578" spans="2:78">
      <c r="B7578" s="7"/>
      <c r="O7578" s="7"/>
      <c r="X7578" s="7"/>
      <c r="AG7578" s="7"/>
      <c r="AP7578" s="7"/>
      <c r="AY7578" s="7"/>
      <c r="BH7578" s="7"/>
      <c r="BQ7578" s="7"/>
      <c r="BZ7578" s="7"/>
    </row>
    <row r="7579" spans="2:78">
      <c r="B7579" s="7"/>
      <c r="O7579" s="7"/>
      <c r="X7579" s="7"/>
      <c r="AG7579" s="7"/>
      <c r="AP7579" s="7"/>
      <c r="AY7579" s="7"/>
      <c r="BH7579" s="7"/>
      <c r="BQ7579" s="7"/>
      <c r="BZ7579" s="7"/>
    </row>
    <row r="7580" spans="2:78">
      <c r="B7580" s="7"/>
      <c r="O7580" s="7"/>
      <c r="X7580" s="7"/>
      <c r="AG7580" s="7"/>
      <c r="AP7580" s="7"/>
      <c r="AY7580" s="7"/>
      <c r="BH7580" s="7"/>
      <c r="BQ7580" s="7"/>
      <c r="BZ7580" s="7"/>
    </row>
    <row r="7581" spans="2:78">
      <c r="B7581" s="7"/>
      <c r="O7581" s="7"/>
      <c r="X7581" s="7"/>
      <c r="AG7581" s="7"/>
      <c r="AP7581" s="7"/>
      <c r="AY7581" s="7"/>
      <c r="BH7581" s="7"/>
      <c r="BQ7581" s="7"/>
      <c r="BZ7581" s="7"/>
    </row>
    <row r="7582" spans="2:78">
      <c r="B7582" s="7"/>
      <c r="O7582" s="7"/>
      <c r="X7582" s="7"/>
      <c r="AG7582" s="7"/>
      <c r="AP7582" s="7"/>
      <c r="AY7582" s="7"/>
      <c r="BH7582" s="7"/>
      <c r="BQ7582" s="7"/>
      <c r="BZ7582" s="7"/>
    </row>
    <row r="7583" spans="2:78">
      <c r="B7583" s="7"/>
      <c r="O7583" s="7"/>
      <c r="X7583" s="7"/>
      <c r="AG7583" s="7"/>
      <c r="AP7583" s="7"/>
      <c r="AY7583" s="7"/>
      <c r="BH7583" s="7"/>
      <c r="BQ7583" s="7"/>
      <c r="BZ7583" s="7"/>
    </row>
    <row r="7584" spans="2:78">
      <c r="B7584" s="7"/>
      <c r="O7584" s="7"/>
      <c r="X7584" s="7"/>
      <c r="AG7584" s="7"/>
      <c r="AP7584" s="7"/>
      <c r="AY7584" s="7"/>
      <c r="BH7584" s="7"/>
      <c r="BQ7584" s="7"/>
      <c r="BZ7584" s="7"/>
    </row>
    <row r="7585" spans="2:78">
      <c r="B7585" s="7"/>
      <c r="O7585" s="7"/>
      <c r="X7585" s="7"/>
      <c r="AG7585" s="7"/>
      <c r="AP7585" s="7"/>
      <c r="AY7585" s="7"/>
      <c r="BH7585" s="7"/>
      <c r="BQ7585" s="7"/>
      <c r="BZ7585" s="7"/>
    </row>
    <row r="7586" spans="2:78">
      <c r="B7586" s="7"/>
      <c r="O7586" s="7"/>
      <c r="X7586" s="7"/>
      <c r="AG7586" s="7"/>
      <c r="AP7586" s="7"/>
      <c r="AY7586" s="7"/>
      <c r="BH7586" s="7"/>
      <c r="BQ7586" s="7"/>
      <c r="BZ7586" s="7"/>
    </row>
    <row r="7587" spans="2:78">
      <c r="B7587" s="7"/>
      <c r="O7587" s="7"/>
      <c r="X7587" s="7"/>
      <c r="AG7587" s="7"/>
      <c r="AP7587" s="7"/>
      <c r="AY7587" s="7"/>
      <c r="BH7587" s="7"/>
      <c r="BQ7587" s="7"/>
      <c r="BZ7587" s="7"/>
    </row>
    <row r="7588" spans="2:78">
      <c r="B7588" s="7"/>
      <c r="O7588" s="7"/>
      <c r="X7588" s="7"/>
      <c r="AG7588" s="7"/>
      <c r="AP7588" s="7"/>
      <c r="AY7588" s="7"/>
      <c r="BH7588" s="7"/>
      <c r="BQ7588" s="7"/>
      <c r="BZ7588" s="7"/>
    </row>
    <row r="7589" spans="2:78">
      <c r="B7589" s="7"/>
      <c r="O7589" s="7"/>
      <c r="X7589" s="7"/>
      <c r="AG7589" s="7"/>
      <c r="AP7589" s="7"/>
      <c r="AY7589" s="7"/>
      <c r="BH7589" s="7"/>
      <c r="BQ7589" s="7"/>
      <c r="BZ7589" s="7"/>
    </row>
    <row r="7590" spans="2:78">
      <c r="B7590" s="7"/>
      <c r="O7590" s="7"/>
      <c r="X7590" s="7"/>
      <c r="AG7590" s="7"/>
      <c r="AP7590" s="7"/>
      <c r="AY7590" s="7"/>
      <c r="BH7590" s="7"/>
      <c r="BQ7590" s="7"/>
      <c r="BZ7590" s="7"/>
    </row>
    <row r="7591" spans="2:78">
      <c r="B7591" s="7"/>
      <c r="O7591" s="7"/>
      <c r="X7591" s="7"/>
      <c r="AG7591" s="7"/>
      <c r="AP7591" s="7"/>
      <c r="AY7591" s="7"/>
      <c r="BH7591" s="7"/>
      <c r="BQ7591" s="7"/>
      <c r="BZ7591" s="7"/>
    </row>
    <row r="7592" spans="2:78">
      <c r="B7592" s="7"/>
      <c r="O7592" s="7"/>
      <c r="X7592" s="7"/>
      <c r="AG7592" s="7"/>
      <c r="AP7592" s="7"/>
      <c r="AY7592" s="7"/>
      <c r="BH7592" s="7"/>
      <c r="BQ7592" s="7"/>
      <c r="BZ7592" s="7"/>
    </row>
    <row r="7593" spans="2:78">
      <c r="B7593" s="7"/>
      <c r="O7593" s="7"/>
      <c r="X7593" s="7"/>
      <c r="AG7593" s="7"/>
      <c r="AP7593" s="7"/>
      <c r="AY7593" s="7"/>
      <c r="BH7593" s="7"/>
      <c r="BQ7593" s="7"/>
      <c r="BZ7593" s="7"/>
    </row>
    <row r="7594" spans="2:78">
      <c r="B7594" s="7"/>
      <c r="O7594" s="7"/>
      <c r="X7594" s="7"/>
      <c r="AG7594" s="7"/>
      <c r="AP7594" s="7"/>
      <c r="AY7594" s="7"/>
      <c r="BH7594" s="7"/>
      <c r="BQ7594" s="7"/>
      <c r="BZ7594" s="7"/>
    </row>
    <row r="7595" spans="2:78">
      <c r="B7595" s="7"/>
      <c r="O7595" s="7"/>
      <c r="X7595" s="7"/>
      <c r="AG7595" s="7"/>
      <c r="AP7595" s="7"/>
      <c r="AY7595" s="7"/>
      <c r="BH7595" s="7"/>
      <c r="BQ7595" s="7"/>
      <c r="BZ7595" s="7"/>
    </row>
    <row r="7596" spans="2:78">
      <c r="B7596" s="7"/>
      <c r="O7596" s="7"/>
      <c r="X7596" s="7"/>
      <c r="AG7596" s="7"/>
      <c r="AP7596" s="7"/>
      <c r="AY7596" s="7"/>
      <c r="BH7596" s="7"/>
      <c r="BQ7596" s="7"/>
      <c r="BZ7596" s="7"/>
    </row>
    <row r="7597" spans="2:78">
      <c r="B7597" s="7"/>
      <c r="O7597" s="7"/>
      <c r="X7597" s="7"/>
      <c r="AG7597" s="7"/>
      <c r="AP7597" s="7"/>
      <c r="AY7597" s="7"/>
      <c r="BH7597" s="7"/>
      <c r="BQ7597" s="7"/>
      <c r="BZ7597" s="7"/>
    </row>
    <row r="7598" spans="2:78">
      <c r="B7598" s="7"/>
      <c r="O7598" s="7"/>
      <c r="X7598" s="7"/>
      <c r="AG7598" s="7"/>
      <c r="AP7598" s="7"/>
      <c r="AY7598" s="7"/>
      <c r="BH7598" s="7"/>
      <c r="BQ7598" s="7"/>
      <c r="BZ7598" s="7"/>
    </row>
    <row r="7599" spans="2:78">
      <c r="B7599" s="7"/>
      <c r="O7599" s="7"/>
      <c r="X7599" s="7"/>
      <c r="AG7599" s="7"/>
      <c r="AP7599" s="7"/>
      <c r="AY7599" s="7"/>
      <c r="BH7599" s="7"/>
      <c r="BQ7599" s="7"/>
      <c r="BZ7599" s="7"/>
    </row>
    <row r="7600" spans="2:78">
      <c r="B7600" s="7"/>
      <c r="O7600" s="7"/>
      <c r="X7600" s="7"/>
      <c r="AG7600" s="7"/>
      <c r="AP7600" s="7"/>
      <c r="AY7600" s="7"/>
      <c r="BH7600" s="7"/>
      <c r="BQ7600" s="7"/>
      <c r="BZ7600" s="7"/>
    </row>
    <row r="7601" spans="2:78">
      <c r="B7601" s="7"/>
      <c r="O7601" s="7"/>
      <c r="X7601" s="7"/>
      <c r="AG7601" s="7"/>
      <c r="AP7601" s="7"/>
      <c r="AY7601" s="7"/>
      <c r="BH7601" s="7"/>
      <c r="BQ7601" s="7"/>
      <c r="BZ7601" s="7"/>
    </row>
    <row r="7602" spans="2:78">
      <c r="B7602" s="7"/>
      <c r="O7602" s="7"/>
      <c r="X7602" s="7"/>
      <c r="AG7602" s="7"/>
      <c r="AP7602" s="7"/>
      <c r="AY7602" s="7"/>
      <c r="BH7602" s="7"/>
      <c r="BQ7602" s="7"/>
      <c r="BZ7602" s="7"/>
    </row>
    <row r="7603" spans="2:78">
      <c r="B7603" s="7"/>
      <c r="O7603" s="7"/>
      <c r="X7603" s="7"/>
      <c r="AG7603" s="7"/>
      <c r="AP7603" s="7"/>
      <c r="AY7603" s="7"/>
      <c r="BH7603" s="7"/>
      <c r="BQ7603" s="7"/>
      <c r="BZ7603" s="7"/>
    </row>
    <row r="7604" spans="2:78">
      <c r="B7604" s="7"/>
      <c r="O7604" s="7"/>
      <c r="X7604" s="7"/>
      <c r="AG7604" s="7"/>
      <c r="AP7604" s="7"/>
      <c r="AY7604" s="7"/>
      <c r="BH7604" s="7"/>
      <c r="BQ7604" s="7"/>
      <c r="BZ7604" s="7"/>
    </row>
    <row r="7605" spans="2:78">
      <c r="B7605" s="7"/>
      <c r="O7605" s="7"/>
      <c r="X7605" s="7"/>
      <c r="AG7605" s="7"/>
      <c r="AP7605" s="7"/>
      <c r="AY7605" s="7"/>
      <c r="BH7605" s="7"/>
      <c r="BQ7605" s="7"/>
      <c r="BZ7605" s="7"/>
    </row>
    <row r="7606" spans="2:78">
      <c r="B7606" s="7"/>
      <c r="O7606" s="7"/>
      <c r="X7606" s="7"/>
      <c r="AG7606" s="7"/>
      <c r="AP7606" s="7"/>
      <c r="AY7606" s="7"/>
      <c r="BH7606" s="7"/>
      <c r="BQ7606" s="7"/>
      <c r="BZ7606" s="7"/>
    </row>
    <row r="7607" spans="2:78">
      <c r="B7607" s="7"/>
      <c r="O7607" s="7"/>
      <c r="X7607" s="7"/>
      <c r="AG7607" s="7"/>
      <c r="AP7607" s="7"/>
      <c r="AY7607" s="7"/>
      <c r="BH7607" s="7"/>
      <c r="BQ7607" s="7"/>
      <c r="BZ7607" s="7"/>
    </row>
    <row r="7608" spans="2:78">
      <c r="B7608" s="7"/>
      <c r="O7608" s="7"/>
      <c r="X7608" s="7"/>
      <c r="AG7608" s="7"/>
      <c r="AP7608" s="7"/>
      <c r="AY7608" s="7"/>
      <c r="BH7608" s="7"/>
      <c r="BQ7608" s="7"/>
      <c r="BZ7608" s="7"/>
    </row>
    <row r="7609" spans="2:78">
      <c r="B7609" s="7"/>
      <c r="O7609" s="7"/>
      <c r="X7609" s="7"/>
      <c r="AG7609" s="7"/>
      <c r="AP7609" s="7"/>
      <c r="AY7609" s="7"/>
      <c r="BH7609" s="7"/>
      <c r="BQ7609" s="7"/>
      <c r="BZ7609" s="7"/>
    </row>
    <row r="7610" spans="2:78">
      <c r="B7610" s="7"/>
      <c r="O7610" s="7"/>
      <c r="X7610" s="7"/>
      <c r="AG7610" s="7"/>
      <c r="AP7610" s="7"/>
      <c r="AY7610" s="7"/>
      <c r="BH7610" s="7"/>
      <c r="BQ7610" s="7"/>
      <c r="BZ7610" s="7"/>
    </row>
    <row r="7611" spans="2:78">
      <c r="B7611" s="7"/>
      <c r="O7611" s="7"/>
      <c r="X7611" s="7"/>
      <c r="AG7611" s="7"/>
      <c r="AP7611" s="7"/>
      <c r="AY7611" s="7"/>
      <c r="BH7611" s="7"/>
      <c r="BQ7611" s="7"/>
      <c r="BZ7611" s="7"/>
    </row>
    <row r="7612" spans="2:78">
      <c r="B7612" s="7"/>
      <c r="O7612" s="7"/>
      <c r="X7612" s="7"/>
      <c r="AG7612" s="7"/>
      <c r="AP7612" s="7"/>
      <c r="AY7612" s="7"/>
      <c r="BH7612" s="7"/>
      <c r="BQ7612" s="7"/>
      <c r="BZ7612" s="7"/>
    </row>
    <row r="7613" spans="2:78">
      <c r="B7613" s="7"/>
      <c r="O7613" s="7"/>
      <c r="X7613" s="7"/>
      <c r="AG7613" s="7"/>
      <c r="AP7613" s="7"/>
      <c r="AY7613" s="7"/>
      <c r="BH7613" s="7"/>
      <c r="BQ7613" s="7"/>
      <c r="BZ7613" s="7"/>
    </row>
    <row r="7614" spans="2:78">
      <c r="B7614" s="7"/>
      <c r="O7614" s="7"/>
      <c r="X7614" s="7"/>
      <c r="AG7614" s="7"/>
      <c r="AP7614" s="7"/>
      <c r="AY7614" s="7"/>
      <c r="BH7614" s="7"/>
      <c r="BQ7614" s="7"/>
      <c r="BZ7614" s="7"/>
    </row>
    <row r="7615" spans="2:78">
      <c r="B7615" s="7"/>
      <c r="O7615" s="7"/>
      <c r="X7615" s="7"/>
      <c r="AG7615" s="7"/>
      <c r="AP7615" s="7"/>
      <c r="AY7615" s="7"/>
      <c r="BH7615" s="7"/>
      <c r="BQ7615" s="7"/>
      <c r="BZ7615" s="7"/>
    </row>
    <row r="7616" spans="2:78">
      <c r="B7616" s="7"/>
      <c r="O7616" s="7"/>
      <c r="X7616" s="7"/>
      <c r="AG7616" s="7"/>
      <c r="AP7616" s="7"/>
      <c r="AY7616" s="7"/>
      <c r="BH7616" s="7"/>
      <c r="BQ7616" s="7"/>
      <c r="BZ7616" s="7"/>
    </row>
    <row r="7617" spans="2:78">
      <c r="B7617" s="7"/>
      <c r="O7617" s="7"/>
      <c r="X7617" s="7"/>
      <c r="AG7617" s="7"/>
      <c r="AP7617" s="7"/>
      <c r="AY7617" s="7"/>
      <c r="BH7617" s="7"/>
      <c r="BQ7617" s="7"/>
      <c r="BZ7617" s="7"/>
    </row>
    <row r="7618" spans="2:78">
      <c r="B7618" s="7"/>
      <c r="O7618" s="7"/>
      <c r="X7618" s="7"/>
      <c r="AG7618" s="7"/>
      <c r="AP7618" s="7"/>
      <c r="AY7618" s="7"/>
      <c r="BH7618" s="7"/>
      <c r="BQ7618" s="7"/>
      <c r="BZ7618" s="7"/>
    </row>
    <row r="7619" spans="2:78">
      <c r="B7619" s="7"/>
      <c r="O7619" s="7"/>
      <c r="X7619" s="7"/>
      <c r="AG7619" s="7"/>
      <c r="AP7619" s="7"/>
      <c r="AY7619" s="7"/>
      <c r="BH7619" s="7"/>
      <c r="BQ7619" s="7"/>
      <c r="BZ7619" s="7"/>
    </row>
    <row r="7620" spans="2:78">
      <c r="B7620" s="7"/>
      <c r="O7620" s="7"/>
      <c r="X7620" s="7"/>
      <c r="AG7620" s="7"/>
      <c r="AP7620" s="7"/>
      <c r="AY7620" s="7"/>
      <c r="BH7620" s="7"/>
      <c r="BQ7620" s="7"/>
      <c r="BZ7620" s="7"/>
    </row>
    <row r="7621" spans="2:78">
      <c r="B7621" s="7"/>
      <c r="O7621" s="7"/>
      <c r="X7621" s="7"/>
      <c r="AG7621" s="7"/>
      <c r="AP7621" s="7"/>
      <c r="AY7621" s="7"/>
      <c r="BH7621" s="7"/>
      <c r="BQ7621" s="7"/>
      <c r="BZ7621" s="7"/>
    </row>
    <row r="7622" spans="2:78">
      <c r="B7622" s="7"/>
      <c r="O7622" s="7"/>
      <c r="X7622" s="7"/>
      <c r="AG7622" s="7"/>
      <c r="AP7622" s="7"/>
      <c r="AY7622" s="7"/>
      <c r="BH7622" s="7"/>
      <c r="BQ7622" s="7"/>
      <c r="BZ7622" s="7"/>
    </row>
    <row r="7623" spans="2:78">
      <c r="B7623" s="7"/>
      <c r="O7623" s="7"/>
      <c r="X7623" s="7"/>
      <c r="AG7623" s="7"/>
      <c r="AP7623" s="7"/>
      <c r="AY7623" s="7"/>
      <c r="BH7623" s="7"/>
      <c r="BQ7623" s="7"/>
      <c r="BZ7623" s="7"/>
    </row>
    <row r="7624" spans="2:78">
      <c r="B7624" s="7"/>
      <c r="O7624" s="7"/>
      <c r="X7624" s="7"/>
      <c r="AG7624" s="7"/>
      <c r="AP7624" s="7"/>
      <c r="AY7624" s="7"/>
      <c r="BH7624" s="7"/>
      <c r="BQ7624" s="7"/>
      <c r="BZ7624" s="7"/>
    </row>
    <row r="7625" spans="2:78">
      <c r="B7625" s="7"/>
      <c r="O7625" s="7"/>
      <c r="X7625" s="7"/>
      <c r="AG7625" s="7"/>
      <c r="AP7625" s="7"/>
      <c r="AY7625" s="7"/>
      <c r="BH7625" s="7"/>
      <c r="BQ7625" s="7"/>
      <c r="BZ7625" s="7"/>
    </row>
    <row r="7626" spans="2:78">
      <c r="B7626" s="7"/>
      <c r="O7626" s="7"/>
      <c r="X7626" s="7"/>
      <c r="AG7626" s="7"/>
      <c r="AP7626" s="7"/>
      <c r="AY7626" s="7"/>
      <c r="BH7626" s="7"/>
      <c r="BQ7626" s="7"/>
      <c r="BZ7626" s="7"/>
    </row>
    <row r="7627" spans="2:78">
      <c r="B7627" s="7"/>
      <c r="O7627" s="7"/>
      <c r="X7627" s="7"/>
      <c r="AG7627" s="7"/>
      <c r="AP7627" s="7"/>
      <c r="AY7627" s="7"/>
      <c r="BH7627" s="7"/>
      <c r="BQ7627" s="7"/>
      <c r="BZ7627" s="7"/>
    </row>
    <row r="7628" spans="2:78">
      <c r="B7628" s="7"/>
      <c r="O7628" s="7"/>
      <c r="X7628" s="7"/>
      <c r="AG7628" s="7"/>
      <c r="AP7628" s="7"/>
      <c r="AY7628" s="7"/>
      <c r="BH7628" s="7"/>
      <c r="BQ7628" s="7"/>
      <c r="BZ7628" s="7"/>
    </row>
    <row r="7629" spans="2:78">
      <c r="B7629" s="7"/>
      <c r="O7629" s="7"/>
      <c r="X7629" s="7"/>
      <c r="AG7629" s="7"/>
      <c r="AP7629" s="7"/>
      <c r="AY7629" s="7"/>
      <c r="BH7629" s="7"/>
      <c r="BQ7629" s="7"/>
      <c r="BZ7629" s="7"/>
    </row>
    <row r="7630" spans="2:78">
      <c r="B7630" s="7"/>
      <c r="O7630" s="7"/>
      <c r="X7630" s="7"/>
      <c r="AG7630" s="7"/>
      <c r="AP7630" s="7"/>
      <c r="AY7630" s="7"/>
      <c r="BH7630" s="7"/>
      <c r="BQ7630" s="7"/>
      <c r="BZ7630" s="7"/>
    </row>
    <row r="7631" spans="2:78">
      <c r="B7631" s="7"/>
      <c r="O7631" s="7"/>
      <c r="X7631" s="7"/>
      <c r="AG7631" s="7"/>
      <c r="AP7631" s="7"/>
      <c r="AY7631" s="7"/>
      <c r="BH7631" s="7"/>
      <c r="BQ7631" s="7"/>
      <c r="BZ7631" s="7"/>
    </row>
    <row r="7632" spans="2:78">
      <c r="B7632" s="7"/>
      <c r="O7632" s="7"/>
      <c r="X7632" s="7"/>
      <c r="AG7632" s="7"/>
      <c r="AP7632" s="7"/>
      <c r="AY7632" s="7"/>
      <c r="BH7632" s="7"/>
      <c r="BQ7632" s="7"/>
      <c r="BZ7632" s="7"/>
    </row>
    <row r="7633" spans="2:78">
      <c r="B7633" s="7"/>
      <c r="O7633" s="7"/>
      <c r="X7633" s="7"/>
      <c r="AG7633" s="7"/>
      <c r="AP7633" s="7"/>
      <c r="AY7633" s="7"/>
      <c r="BH7633" s="7"/>
      <c r="BQ7633" s="7"/>
      <c r="BZ7633" s="7"/>
    </row>
    <row r="7634" spans="2:78">
      <c r="B7634" s="7"/>
      <c r="O7634" s="7"/>
      <c r="X7634" s="7"/>
      <c r="AG7634" s="7"/>
      <c r="AP7634" s="7"/>
      <c r="AY7634" s="7"/>
      <c r="BH7634" s="7"/>
      <c r="BQ7634" s="7"/>
      <c r="BZ7634" s="7"/>
    </row>
    <row r="7635" spans="2:78">
      <c r="B7635" s="7"/>
      <c r="O7635" s="7"/>
      <c r="X7635" s="7"/>
      <c r="AG7635" s="7"/>
      <c r="AP7635" s="7"/>
      <c r="AY7635" s="7"/>
      <c r="BH7635" s="7"/>
      <c r="BQ7635" s="7"/>
      <c r="BZ7635" s="7"/>
    </row>
    <row r="7636" spans="2:78">
      <c r="B7636" s="7"/>
      <c r="O7636" s="7"/>
      <c r="X7636" s="7"/>
      <c r="AG7636" s="7"/>
      <c r="AP7636" s="7"/>
      <c r="AY7636" s="7"/>
      <c r="BH7636" s="7"/>
      <c r="BQ7636" s="7"/>
      <c r="BZ7636" s="7"/>
    </row>
    <row r="7637" spans="2:78">
      <c r="B7637" s="7"/>
      <c r="O7637" s="7"/>
      <c r="X7637" s="7"/>
      <c r="AG7637" s="7"/>
      <c r="AP7637" s="7"/>
      <c r="AY7637" s="7"/>
      <c r="BH7637" s="7"/>
      <c r="BQ7637" s="7"/>
      <c r="BZ7637" s="7"/>
    </row>
    <row r="7638" spans="2:78">
      <c r="B7638" s="7"/>
      <c r="O7638" s="7"/>
      <c r="X7638" s="7"/>
      <c r="AG7638" s="7"/>
      <c r="AP7638" s="7"/>
      <c r="AY7638" s="7"/>
      <c r="BH7638" s="7"/>
      <c r="BQ7638" s="7"/>
      <c r="BZ7638" s="7"/>
    </row>
    <row r="7639" spans="2:78">
      <c r="B7639" s="7"/>
      <c r="O7639" s="7"/>
      <c r="X7639" s="7"/>
      <c r="AG7639" s="7"/>
      <c r="AP7639" s="7"/>
      <c r="AY7639" s="7"/>
      <c r="BH7639" s="7"/>
      <c r="BQ7639" s="7"/>
      <c r="BZ7639" s="7"/>
    </row>
    <row r="7640" spans="2:78">
      <c r="B7640" s="7"/>
      <c r="O7640" s="7"/>
      <c r="X7640" s="7"/>
      <c r="AG7640" s="7"/>
      <c r="AP7640" s="7"/>
      <c r="AY7640" s="7"/>
      <c r="BH7640" s="7"/>
      <c r="BQ7640" s="7"/>
      <c r="BZ7640" s="7"/>
    </row>
    <row r="7641" spans="2:78">
      <c r="B7641" s="7"/>
      <c r="O7641" s="7"/>
      <c r="X7641" s="7"/>
      <c r="AG7641" s="7"/>
      <c r="AP7641" s="7"/>
      <c r="AY7641" s="7"/>
      <c r="BH7641" s="7"/>
      <c r="BQ7641" s="7"/>
      <c r="BZ7641" s="7"/>
    </row>
    <row r="7642" spans="2:78">
      <c r="B7642" s="7"/>
      <c r="O7642" s="7"/>
      <c r="X7642" s="7"/>
      <c r="AG7642" s="7"/>
      <c r="AP7642" s="7"/>
      <c r="AY7642" s="7"/>
      <c r="BH7642" s="7"/>
      <c r="BQ7642" s="7"/>
      <c r="BZ7642" s="7"/>
    </row>
    <row r="7643" spans="2:78">
      <c r="B7643" s="7"/>
      <c r="O7643" s="7"/>
      <c r="X7643" s="7"/>
      <c r="AG7643" s="7"/>
      <c r="AP7643" s="7"/>
      <c r="AY7643" s="7"/>
      <c r="BH7643" s="7"/>
      <c r="BQ7643" s="7"/>
      <c r="BZ7643" s="7"/>
    </row>
    <row r="7644" spans="2:78">
      <c r="B7644" s="7"/>
      <c r="O7644" s="7"/>
      <c r="X7644" s="7"/>
      <c r="AG7644" s="7"/>
      <c r="AP7644" s="7"/>
      <c r="AY7644" s="7"/>
      <c r="BH7644" s="7"/>
      <c r="BQ7644" s="7"/>
      <c r="BZ7644" s="7"/>
    </row>
    <row r="7645" spans="2:78">
      <c r="B7645" s="7"/>
      <c r="O7645" s="7"/>
      <c r="X7645" s="7"/>
      <c r="AG7645" s="7"/>
      <c r="AP7645" s="7"/>
      <c r="AY7645" s="7"/>
      <c r="BH7645" s="7"/>
      <c r="BQ7645" s="7"/>
      <c r="BZ7645" s="7"/>
    </row>
    <row r="7646" spans="2:78">
      <c r="B7646" s="7"/>
      <c r="O7646" s="7"/>
      <c r="X7646" s="7"/>
      <c r="AG7646" s="7"/>
      <c r="AP7646" s="7"/>
      <c r="AY7646" s="7"/>
      <c r="BH7646" s="7"/>
      <c r="BQ7646" s="7"/>
      <c r="BZ7646" s="7"/>
    </row>
    <row r="7647" spans="2:78">
      <c r="B7647" s="7"/>
      <c r="O7647" s="7"/>
      <c r="X7647" s="7"/>
      <c r="AG7647" s="7"/>
      <c r="AP7647" s="7"/>
      <c r="AY7647" s="7"/>
      <c r="BH7647" s="7"/>
      <c r="BQ7647" s="7"/>
      <c r="BZ7647" s="7"/>
    </row>
    <row r="7648" spans="2:78">
      <c r="B7648" s="7"/>
      <c r="O7648" s="7"/>
      <c r="X7648" s="7"/>
      <c r="AG7648" s="7"/>
      <c r="AP7648" s="7"/>
      <c r="AY7648" s="7"/>
      <c r="BH7648" s="7"/>
      <c r="BQ7648" s="7"/>
      <c r="BZ7648" s="7"/>
    </row>
    <row r="7649" spans="2:78">
      <c r="B7649" s="7"/>
      <c r="O7649" s="7"/>
      <c r="X7649" s="7"/>
      <c r="AG7649" s="7"/>
      <c r="AP7649" s="7"/>
      <c r="AY7649" s="7"/>
      <c r="BH7649" s="7"/>
      <c r="BQ7649" s="7"/>
      <c r="BZ7649" s="7"/>
    </row>
    <row r="7650" spans="2:78">
      <c r="B7650" s="7"/>
      <c r="O7650" s="7"/>
      <c r="X7650" s="7"/>
      <c r="AG7650" s="7"/>
      <c r="AP7650" s="7"/>
      <c r="AY7650" s="7"/>
      <c r="BH7650" s="7"/>
      <c r="BQ7650" s="7"/>
      <c r="BZ7650" s="7"/>
    </row>
    <row r="7651" spans="2:78">
      <c r="B7651" s="7"/>
      <c r="O7651" s="7"/>
      <c r="X7651" s="7"/>
      <c r="AG7651" s="7"/>
      <c r="AP7651" s="7"/>
      <c r="AY7651" s="7"/>
      <c r="BH7651" s="7"/>
      <c r="BQ7651" s="7"/>
      <c r="BZ7651" s="7"/>
    </row>
    <row r="7652" spans="2:78">
      <c r="B7652" s="7"/>
      <c r="O7652" s="7"/>
      <c r="X7652" s="7"/>
      <c r="AG7652" s="7"/>
      <c r="AP7652" s="7"/>
      <c r="AY7652" s="7"/>
      <c r="BH7652" s="7"/>
      <c r="BQ7652" s="7"/>
      <c r="BZ7652" s="7"/>
    </row>
    <row r="7653" spans="2:78">
      <c r="B7653" s="7"/>
      <c r="O7653" s="7"/>
      <c r="X7653" s="7"/>
      <c r="AG7653" s="7"/>
      <c r="AP7653" s="7"/>
      <c r="AY7653" s="7"/>
      <c r="BH7653" s="7"/>
      <c r="BQ7653" s="7"/>
      <c r="BZ7653" s="7"/>
    </row>
    <row r="7654" spans="2:78">
      <c r="B7654" s="7"/>
      <c r="O7654" s="7"/>
      <c r="X7654" s="7"/>
      <c r="AG7654" s="7"/>
      <c r="AP7654" s="7"/>
      <c r="AY7654" s="7"/>
      <c r="BH7654" s="7"/>
      <c r="BQ7654" s="7"/>
      <c r="BZ7654" s="7"/>
    </row>
    <row r="7655" spans="2:78">
      <c r="B7655" s="7"/>
      <c r="O7655" s="7"/>
      <c r="X7655" s="7"/>
      <c r="AG7655" s="7"/>
      <c r="AP7655" s="7"/>
      <c r="AY7655" s="7"/>
      <c r="BH7655" s="7"/>
      <c r="BQ7655" s="7"/>
      <c r="BZ7655" s="7"/>
    </row>
    <row r="7656" spans="2:78">
      <c r="B7656" s="7"/>
      <c r="O7656" s="7"/>
      <c r="X7656" s="7"/>
      <c r="AG7656" s="7"/>
      <c r="AP7656" s="7"/>
      <c r="AY7656" s="7"/>
      <c r="BH7656" s="7"/>
      <c r="BQ7656" s="7"/>
      <c r="BZ7656" s="7"/>
    </row>
    <row r="7657" spans="2:78">
      <c r="B7657" s="7"/>
      <c r="O7657" s="7"/>
      <c r="X7657" s="7"/>
      <c r="AG7657" s="7"/>
      <c r="AP7657" s="7"/>
      <c r="AY7657" s="7"/>
      <c r="BH7657" s="7"/>
      <c r="BQ7657" s="7"/>
      <c r="BZ7657" s="7"/>
    </row>
    <row r="7658" spans="2:78">
      <c r="B7658" s="7"/>
      <c r="O7658" s="7"/>
      <c r="X7658" s="7"/>
      <c r="AG7658" s="7"/>
      <c r="AP7658" s="7"/>
      <c r="AY7658" s="7"/>
      <c r="BH7658" s="7"/>
      <c r="BQ7658" s="7"/>
      <c r="BZ7658" s="7"/>
    </row>
    <row r="7659" spans="2:78">
      <c r="B7659" s="7"/>
      <c r="O7659" s="7"/>
      <c r="X7659" s="7"/>
      <c r="AG7659" s="7"/>
      <c r="AP7659" s="7"/>
      <c r="AY7659" s="7"/>
      <c r="BH7659" s="7"/>
      <c r="BQ7659" s="7"/>
      <c r="BZ7659" s="7"/>
    </row>
    <row r="7660" spans="2:78">
      <c r="B7660" s="7"/>
      <c r="O7660" s="7"/>
      <c r="X7660" s="7"/>
      <c r="AG7660" s="7"/>
      <c r="AP7660" s="7"/>
      <c r="AY7660" s="7"/>
      <c r="BH7660" s="7"/>
      <c r="BQ7660" s="7"/>
      <c r="BZ7660" s="7"/>
    </row>
    <row r="7661" spans="2:78">
      <c r="B7661" s="7"/>
      <c r="O7661" s="7"/>
      <c r="X7661" s="7"/>
      <c r="AG7661" s="7"/>
      <c r="AP7661" s="7"/>
      <c r="AY7661" s="7"/>
      <c r="BH7661" s="7"/>
      <c r="BQ7661" s="7"/>
      <c r="BZ7661" s="7"/>
    </row>
    <row r="7662" spans="2:78">
      <c r="B7662" s="7"/>
      <c r="O7662" s="7"/>
      <c r="X7662" s="7"/>
      <c r="AG7662" s="7"/>
      <c r="AP7662" s="7"/>
      <c r="AY7662" s="7"/>
      <c r="BH7662" s="7"/>
      <c r="BQ7662" s="7"/>
      <c r="BZ7662" s="7"/>
    </row>
    <row r="7663" spans="2:78">
      <c r="B7663" s="7"/>
      <c r="O7663" s="7"/>
      <c r="X7663" s="7"/>
      <c r="AG7663" s="7"/>
      <c r="AP7663" s="7"/>
      <c r="AY7663" s="7"/>
      <c r="BH7663" s="7"/>
      <c r="BQ7663" s="7"/>
      <c r="BZ7663" s="7"/>
    </row>
    <row r="7664" spans="2:78">
      <c r="B7664" s="7"/>
      <c r="O7664" s="7"/>
      <c r="X7664" s="7"/>
      <c r="AG7664" s="7"/>
      <c r="AP7664" s="7"/>
      <c r="AY7664" s="7"/>
      <c r="BH7664" s="7"/>
      <c r="BQ7664" s="7"/>
      <c r="BZ7664" s="7"/>
    </row>
    <row r="7665" spans="2:78">
      <c r="B7665" s="7"/>
      <c r="O7665" s="7"/>
      <c r="X7665" s="7"/>
      <c r="AG7665" s="7"/>
      <c r="AP7665" s="7"/>
      <c r="AY7665" s="7"/>
      <c r="BH7665" s="7"/>
      <c r="BQ7665" s="7"/>
      <c r="BZ7665" s="7"/>
    </row>
    <row r="7666" spans="2:78">
      <c r="B7666" s="7"/>
      <c r="O7666" s="7"/>
      <c r="X7666" s="7"/>
      <c r="AG7666" s="7"/>
      <c r="AP7666" s="7"/>
      <c r="AY7666" s="7"/>
      <c r="BH7666" s="7"/>
      <c r="BQ7666" s="7"/>
      <c r="BZ7666" s="7"/>
    </row>
    <row r="7667" spans="2:78">
      <c r="B7667" s="7"/>
      <c r="O7667" s="7"/>
      <c r="X7667" s="7"/>
      <c r="AG7667" s="7"/>
      <c r="AP7667" s="7"/>
      <c r="AY7667" s="7"/>
      <c r="BH7667" s="7"/>
      <c r="BQ7667" s="7"/>
      <c r="BZ7667" s="7"/>
    </row>
    <row r="7668" spans="2:78">
      <c r="B7668" s="7"/>
      <c r="O7668" s="7"/>
      <c r="X7668" s="7"/>
      <c r="AG7668" s="7"/>
      <c r="AP7668" s="7"/>
      <c r="AY7668" s="7"/>
      <c r="BH7668" s="7"/>
      <c r="BQ7668" s="7"/>
      <c r="BZ7668" s="7"/>
    </row>
    <row r="7669" spans="2:78">
      <c r="B7669" s="7"/>
      <c r="O7669" s="7"/>
      <c r="X7669" s="7"/>
      <c r="AG7669" s="7"/>
      <c r="AP7669" s="7"/>
      <c r="AY7669" s="7"/>
      <c r="BH7669" s="7"/>
      <c r="BQ7669" s="7"/>
      <c r="BZ7669" s="7"/>
    </row>
    <row r="7670" spans="2:78">
      <c r="B7670" s="7"/>
      <c r="O7670" s="7"/>
      <c r="X7670" s="7"/>
      <c r="AG7670" s="7"/>
      <c r="AP7670" s="7"/>
      <c r="AY7670" s="7"/>
      <c r="BH7670" s="7"/>
      <c r="BQ7670" s="7"/>
      <c r="BZ7670" s="7"/>
    </row>
    <row r="7671" spans="2:78">
      <c r="B7671" s="7"/>
      <c r="O7671" s="7"/>
      <c r="X7671" s="7"/>
      <c r="AG7671" s="7"/>
      <c r="AP7671" s="7"/>
      <c r="AY7671" s="7"/>
      <c r="BH7671" s="7"/>
      <c r="BQ7671" s="7"/>
      <c r="BZ7671" s="7"/>
    </row>
    <row r="7672" spans="2:78">
      <c r="B7672" s="7"/>
      <c r="O7672" s="7"/>
      <c r="X7672" s="7"/>
      <c r="AG7672" s="7"/>
      <c r="AP7672" s="7"/>
      <c r="AY7672" s="7"/>
      <c r="BH7672" s="7"/>
      <c r="BQ7672" s="7"/>
      <c r="BZ7672" s="7"/>
    </row>
    <row r="7673" spans="2:78">
      <c r="B7673" s="7"/>
      <c r="O7673" s="7"/>
      <c r="X7673" s="7"/>
      <c r="AG7673" s="7"/>
      <c r="AP7673" s="7"/>
      <c r="AY7673" s="7"/>
      <c r="BH7673" s="7"/>
      <c r="BQ7673" s="7"/>
      <c r="BZ7673" s="7"/>
    </row>
    <row r="7674" spans="2:78">
      <c r="B7674" s="7"/>
      <c r="O7674" s="7"/>
      <c r="X7674" s="7"/>
      <c r="AG7674" s="7"/>
      <c r="AP7674" s="7"/>
      <c r="AY7674" s="7"/>
      <c r="BH7674" s="7"/>
      <c r="BQ7674" s="7"/>
      <c r="BZ7674" s="7"/>
    </row>
    <row r="7675" spans="2:78">
      <c r="B7675" s="7"/>
      <c r="O7675" s="7"/>
      <c r="X7675" s="7"/>
      <c r="AG7675" s="7"/>
      <c r="AP7675" s="7"/>
      <c r="AY7675" s="7"/>
      <c r="BH7675" s="7"/>
      <c r="BQ7675" s="7"/>
      <c r="BZ7675" s="7"/>
    </row>
    <row r="7676" spans="2:78">
      <c r="B7676" s="7"/>
      <c r="O7676" s="7"/>
      <c r="X7676" s="7"/>
      <c r="AG7676" s="7"/>
      <c r="AP7676" s="7"/>
      <c r="AY7676" s="7"/>
      <c r="BH7676" s="7"/>
      <c r="BQ7676" s="7"/>
      <c r="BZ7676" s="7"/>
    </row>
    <row r="7677" spans="2:78">
      <c r="B7677" s="7"/>
      <c r="O7677" s="7"/>
      <c r="X7677" s="7"/>
      <c r="AG7677" s="7"/>
      <c r="AP7677" s="7"/>
      <c r="AY7677" s="7"/>
      <c r="BH7677" s="7"/>
      <c r="BQ7677" s="7"/>
      <c r="BZ7677" s="7"/>
    </row>
    <row r="7678" spans="2:78">
      <c r="B7678" s="7"/>
      <c r="O7678" s="7"/>
      <c r="X7678" s="7"/>
      <c r="AG7678" s="7"/>
      <c r="AP7678" s="7"/>
      <c r="AY7678" s="7"/>
      <c r="BH7678" s="7"/>
      <c r="BQ7678" s="7"/>
      <c r="BZ7678" s="7"/>
    </row>
    <row r="7679" spans="2:78">
      <c r="B7679" s="7"/>
      <c r="O7679" s="7"/>
      <c r="X7679" s="7"/>
      <c r="AG7679" s="7"/>
      <c r="AP7679" s="7"/>
      <c r="AY7679" s="7"/>
      <c r="BH7679" s="7"/>
      <c r="BQ7679" s="7"/>
      <c r="BZ7679" s="7"/>
    </row>
    <row r="7680" spans="2:78">
      <c r="B7680" s="7"/>
      <c r="O7680" s="7"/>
      <c r="X7680" s="7"/>
      <c r="AG7680" s="7"/>
      <c r="AP7680" s="7"/>
      <c r="AY7680" s="7"/>
      <c r="BH7680" s="7"/>
      <c r="BQ7680" s="7"/>
      <c r="BZ7680" s="7"/>
    </row>
    <row r="7681" spans="2:78">
      <c r="B7681" s="7"/>
      <c r="O7681" s="7"/>
      <c r="X7681" s="7"/>
      <c r="AG7681" s="7"/>
      <c r="AP7681" s="7"/>
      <c r="AY7681" s="7"/>
      <c r="BH7681" s="7"/>
      <c r="BQ7681" s="7"/>
      <c r="BZ7681" s="7"/>
    </row>
    <row r="7682" spans="2:78">
      <c r="B7682" s="7"/>
      <c r="O7682" s="7"/>
      <c r="X7682" s="7"/>
      <c r="AG7682" s="7"/>
      <c r="AP7682" s="7"/>
      <c r="AY7682" s="7"/>
      <c r="BH7682" s="7"/>
      <c r="BQ7682" s="7"/>
      <c r="BZ7682" s="7"/>
    </row>
    <row r="7683" spans="2:78">
      <c r="B7683" s="7"/>
      <c r="O7683" s="7"/>
      <c r="X7683" s="7"/>
      <c r="AG7683" s="7"/>
      <c r="AP7683" s="7"/>
      <c r="AY7683" s="7"/>
      <c r="BH7683" s="7"/>
      <c r="BQ7683" s="7"/>
      <c r="BZ7683" s="7"/>
    </row>
    <row r="7684" spans="2:78">
      <c r="B7684" s="7"/>
      <c r="O7684" s="7"/>
      <c r="X7684" s="7"/>
      <c r="AG7684" s="7"/>
      <c r="AP7684" s="7"/>
      <c r="AY7684" s="7"/>
      <c r="BH7684" s="7"/>
      <c r="BQ7684" s="7"/>
      <c r="BZ7684" s="7"/>
    </row>
    <row r="7685" spans="2:78">
      <c r="B7685" s="7"/>
      <c r="O7685" s="7"/>
      <c r="X7685" s="7"/>
      <c r="AG7685" s="7"/>
      <c r="AP7685" s="7"/>
      <c r="AY7685" s="7"/>
      <c r="BH7685" s="7"/>
      <c r="BQ7685" s="7"/>
      <c r="BZ7685" s="7"/>
    </row>
    <row r="7686" spans="2:78">
      <c r="B7686" s="7"/>
      <c r="O7686" s="7"/>
      <c r="X7686" s="7"/>
      <c r="AG7686" s="7"/>
      <c r="AP7686" s="7"/>
      <c r="AY7686" s="7"/>
      <c r="BH7686" s="7"/>
      <c r="BQ7686" s="7"/>
      <c r="BZ7686" s="7"/>
    </row>
    <row r="7687" spans="2:78">
      <c r="B7687" s="7"/>
      <c r="O7687" s="7"/>
      <c r="X7687" s="7"/>
      <c r="AG7687" s="7"/>
      <c r="AP7687" s="7"/>
      <c r="AY7687" s="7"/>
      <c r="BH7687" s="7"/>
      <c r="BQ7687" s="7"/>
      <c r="BZ7687" s="7"/>
    </row>
    <row r="7688" spans="2:78">
      <c r="B7688" s="7"/>
      <c r="O7688" s="7"/>
      <c r="X7688" s="7"/>
      <c r="AG7688" s="7"/>
      <c r="AP7688" s="7"/>
      <c r="AY7688" s="7"/>
      <c r="BH7688" s="7"/>
      <c r="BQ7688" s="7"/>
      <c r="BZ7688" s="7"/>
    </row>
    <row r="7689" spans="2:78">
      <c r="B7689" s="7"/>
      <c r="O7689" s="7"/>
      <c r="X7689" s="7"/>
      <c r="AG7689" s="7"/>
      <c r="AP7689" s="7"/>
      <c r="AY7689" s="7"/>
      <c r="BH7689" s="7"/>
      <c r="BQ7689" s="7"/>
      <c r="BZ7689" s="7"/>
    </row>
    <row r="7690" spans="2:78">
      <c r="B7690" s="7"/>
      <c r="O7690" s="7"/>
      <c r="X7690" s="7"/>
      <c r="AG7690" s="7"/>
      <c r="AP7690" s="7"/>
      <c r="AY7690" s="7"/>
      <c r="BH7690" s="7"/>
      <c r="BQ7690" s="7"/>
      <c r="BZ7690" s="7"/>
    </row>
    <row r="7691" spans="2:78">
      <c r="B7691" s="7"/>
      <c r="O7691" s="7"/>
      <c r="X7691" s="7"/>
      <c r="AG7691" s="7"/>
      <c r="AP7691" s="7"/>
      <c r="AY7691" s="7"/>
      <c r="BH7691" s="7"/>
      <c r="BQ7691" s="7"/>
      <c r="BZ7691" s="7"/>
    </row>
    <row r="7692" spans="2:78">
      <c r="B7692" s="7"/>
      <c r="O7692" s="7"/>
      <c r="X7692" s="7"/>
      <c r="AG7692" s="7"/>
      <c r="AP7692" s="7"/>
      <c r="AY7692" s="7"/>
      <c r="BH7692" s="7"/>
      <c r="BQ7692" s="7"/>
      <c r="BZ7692" s="7"/>
    </row>
    <row r="7693" spans="2:78">
      <c r="B7693" s="7"/>
      <c r="O7693" s="7"/>
      <c r="X7693" s="7"/>
      <c r="AG7693" s="7"/>
      <c r="AP7693" s="7"/>
      <c r="AY7693" s="7"/>
      <c r="BH7693" s="7"/>
      <c r="BQ7693" s="7"/>
      <c r="BZ7693" s="7"/>
    </row>
    <row r="7694" spans="2:78">
      <c r="B7694" s="7"/>
      <c r="O7694" s="7"/>
      <c r="X7694" s="7"/>
      <c r="AG7694" s="7"/>
      <c r="AP7694" s="7"/>
      <c r="AY7694" s="7"/>
      <c r="BH7694" s="7"/>
      <c r="BQ7694" s="7"/>
      <c r="BZ7694" s="7"/>
    </row>
    <row r="7695" spans="2:78">
      <c r="B7695" s="7"/>
      <c r="O7695" s="7"/>
      <c r="X7695" s="7"/>
      <c r="AG7695" s="7"/>
      <c r="AP7695" s="7"/>
      <c r="AY7695" s="7"/>
      <c r="BH7695" s="7"/>
      <c r="BQ7695" s="7"/>
      <c r="BZ7695" s="7"/>
    </row>
    <row r="7696" spans="2:78">
      <c r="B7696" s="7"/>
      <c r="O7696" s="7"/>
      <c r="X7696" s="7"/>
      <c r="AG7696" s="7"/>
      <c r="AP7696" s="7"/>
      <c r="AY7696" s="7"/>
      <c r="BH7696" s="7"/>
      <c r="BQ7696" s="7"/>
      <c r="BZ7696" s="7"/>
    </row>
    <row r="7697" spans="2:78">
      <c r="B7697" s="7"/>
      <c r="O7697" s="7"/>
      <c r="X7697" s="7"/>
      <c r="AG7697" s="7"/>
      <c r="AP7697" s="7"/>
      <c r="AY7697" s="7"/>
      <c r="BH7697" s="7"/>
      <c r="BQ7697" s="7"/>
      <c r="BZ7697" s="7"/>
    </row>
    <row r="7698" spans="2:78">
      <c r="B7698" s="7"/>
      <c r="O7698" s="7"/>
      <c r="X7698" s="7"/>
      <c r="AG7698" s="7"/>
      <c r="AP7698" s="7"/>
      <c r="AY7698" s="7"/>
      <c r="BH7698" s="7"/>
      <c r="BQ7698" s="7"/>
      <c r="BZ7698" s="7"/>
    </row>
    <row r="7699" spans="2:78">
      <c r="B7699" s="7"/>
      <c r="O7699" s="7"/>
      <c r="X7699" s="7"/>
      <c r="AG7699" s="7"/>
      <c r="AP7699" s="7"/>
      <c r="AY7699" s="7"/>
      <c r="BH7699" s="7"/>
      <c r="BQ7699" s="7"/>
      <c r="BZ7699" s="7"/>
    </row>
    <row r="7700" spans="2:78">
      <c r="B7700" s="7"/>
      <c r="O7700" s="7"/>
      <c r="X7700" s="7"/>
      <c r="AG7700" s="7"/>
      <c r="AP7700" s="7"/>
      <c r="AY7700" s="7"/>
      <c r="BH7700" s="7"/>
      <c r="BQ7700" s="7"/>
      <c r="BZ7700" s="7"/>
    </row>
    <row r="7701" spans="2:78">
      <c r="B7701" s="7"/>
      <c r="O7701" s="7"/>
      <c r="X7701" s="7"/>
      <c r="AG7701" s="7"/>
      <c r="AP7701" s="7"/>
      <c r="AY7701" s="7"/>
      <c r="BH7701" s="7"/>
      <c r="BQ7701" s="7"/>
      <c r="BZ7701" s="7"/>
    </row>
    <row r="7702" spans="2:78">
      <c r="B7702" s="7"/>
      <c r="O7702" s="7"/>
      <c r="X7702" s="7"/>
      <c r="AG7702" s="7"/>
      <c r="AP7702" s="7"/>
      <c r="AY7702" s="7"/>
      <c r="BH7702" s="7"/>
      <c r="BQ7702" s="7"/>
      <c r="BZ7702" s="7"/>
    </row>
    <row r="7703" spans="2:78">
      <c r="B7703" s="7"/>
      <c r="O7703" s="7"/>
      <c r="X7703" s="7"/>
      <c r="AG7703" s="7"/>
      <c r="AP7703" s="7"/>
      <c r="AY7703" s="7"/>
      <c r="BH7703" s="7"/>
      <c r="BQ7703" s="7"/>
      <c r="BZ7703" s="7"/>
    </row>
    <row r="7704" spans="2:78">
      <c r="B7704" s="7"/>
      <c r="O7704" s="7"/>
      <c r="X7704" s="7"/>
      <c r="AG7704" s="7"/>
      <c r="AP7704" s="7"/>
      <c r="AY7704" s="7"/>
      <c r="BH7704" s="7"/>
      <c r="BQ7704" s="7"/>
      <c r="BZ7704" s="7"/>
    </row>
    <row r="7705" spans="2:78">
      <c r="B7705" s="7"/>
      <c r="O7705" s="7"/>
      <c r="X7705" s="7"/>
      <c r="AG7705" s="7"/>
      <c r="AP7705" s="7"/>
      <c r="AY7705" s="7"/>
      <c r="BH7705" s="7"/>
      <c r="BQ7705" s="7"/>
      <c r="BZ7705" s="7"/>
    </row>
    <row r="7706" spans="2:78">
      <c r="B7706" s="7"/>
      <c r="O7706" s="7"/>
      <c r="X7706" s="7"/>
      <c r="AG7706" s="7"/>
      <c r="AP7706" s="7"/>
      <c r="AY7706" s="7"/>
      <c r="BH7706" s="7"/>
      <c r="BQ7706" s="7"/>
      <c r="BZ7706" s="7"/>
    </row>
    <row r="7707" spans="2:78">
      <c r="B7707" s="7"/>
      <c r="O7707" s="7"/>
      <c r="X7707" s="7"/>
      <c r="AG7707" s="7"/>
      <c r="AP7707" s="7"/>
      <c r="AY7707" s="7"/>
      <c r="BH7707" s="7"/>
      <c r="BQ7707" s="7"/>
      <c r="BZ7707" s="7"/>
    </row>
    <row r="7708" spans="2:78">
      <c r="B7708" s="7"/>
      <c r="O7708" s="7"/>
      <c r="X7708" s="7"/>
      <c r="AG7708" s="7"/>
      <c r="AP7708" s="7"/>
      <c r="AY7708" s="7"/>
      <c r="BH7708" s="7"/>
      <c r="BQ7708" s="7"/>
      <c r="BZ7708" s="7"/>
    </row>
    <row r="7709" spans="2:78">
      <c r="B7709" s="7"/>
      <c r="O7709" s="7"/>
      <c r="X7709" s="7"/>
      <c r="AG7709" s="7"/>
      <c r="AP7709" s="7"/>
      <c r="AY7709" s="7"/>
      <c r="BH7709" s="7"/>
      <c r="BQ7709" s="7"/>
      <c r="BZ7709" s="7"/>
    </row>
    <row r="7710" spans="2:78">
      <c r="B7710" s="7"/>
      <c r="O7710" s="7"/>
      <c r="X7710" s="7"/>
      <c r="AG7710" s="7"/>
      <c r="AP7710" s="7"/>
      <c r="AY7710" s="7"/>
      <c r="BH7710" s="7"/>
      <c r="BQ7710" s="7"/>
      <c r="BZ7710" s="7"/>
    </row>
    <row r="7711" spans="2:78">
      <c r="B7711" s="7"/>
      <c r="O7711" s="7"/>
      <c r="X7711" s="7"/>
      <c r="AG7711" s="7"/>
      <c r="AP7711" s="7"/>
      <c r="AY7711" s="7"/>
      <c r="BH7711" s="7"/>
      <c r="BQ7711" s="7"/>
      <c r="BZ7711" s="7"/>
    </row>
    <row r="7712" spans="2:78">
      <c r="B7712" s="7"/>
      <c r="O7712" s="7"/>
      <c r="X7712" s="7"/>
      <c r="AG7712" s="7"/>
      <c r="AP7712" s="7"/>
      <c r="AY7712" s="7"/>
      <c r="BH7712" s="7"/>
      <c r="BQ7712" s="7"/>
      <c r="BZ7712" s="7"/>
    </row>
    <row r="7713" spans="2:78">
      <c r="B7713" s="7"/>
      <c r="O7713" s="7"/>
      <c r="X7713" s="7"/>
      <c r="AG7713" s="7"/>
      <c r="AP7713" s="7"/>
      <c r="AY7713" s="7"/>
      <c r="BH7713" s="7"/>
      <c r="BQ7713" s="7"/>
      <c r="BZ7713" s="7"/>
    </row>
    <row r="7714" spans="2:78">
      <c r="B7714" s="7"/>
      <c r="O7714" s="7"/>
      <c r="X7714" s="7"/>
      <c r="AG7714" s="7"/>
      <c r="AP7714" s="7"/>
      <c r="AY7714" s="7"/>
      <c r="BH7714" s="7"/>
      <c r="BQ7714" s="7"/>
      <c r="BZ7714" s="7"/>
    </row>
    <row r="7715" spans="2:78">
      <c r="B7715" s="7"/>
      <c r="O7715" s="7"/>
      <c r="X7715" s="7"/>
      <c r="AG7715" s="7"/>
      <c r="AP7715" s="7"/>
      <c r="AY7715" s="7"/>
      <c r="BH7715" s="7"/>
      <c r="BQ7715" s="7"/>
      <c r="BZ7715" s="7"/>
    </row>
    <row r="7716" spans="2:78">
      <c r="B7716" s="7"/>
      <c r="O7716" s="7"/>
      <c r="X7716" s="7"/>
      <c r="AG7716" s="7"/>
      <c r="AP7716" s="7"/>
      <c r="AY7716" s="7"/>
      <c r="BH7716" s="7"/>
      <c r="BQ7716" s="7"/>
      <c r="BZ7716" s="7"/>
    </row>
    <row r="7717" spans="2:78">
      <c r="B7717" s="7"/>
      <c r="O7717" s="7"/>
      <c r="X7717" s="7"/>
      <c r="AG7717" s="7"/>
      <c r="AP7717" s="7"/>
      <c r="AY7717" s="7"/>
      <c r="BH7717" s="7"/>
      <c r="BQ7717" s="7"/>
      <c r="BZ7717" s="7"/>
    </row>
    <row r="7718" spans="2:78">
      <c r="B7718" s="7"/>
      <c r="O7718" s="7"/>
      <c r="X7718" s="7"/>
      <c r="AG7718" s="7"/>
      <c r="AP7718" s="7"/>
      <c r="AY7718" s="7"/>
      <c r="BH7718" s="7"/>
      <c r="BQ7718" s="7"/>
      <c r="BZ7718" s="7"/>
    </row>
    <row r="7719" spans="2:78">
      <c r="B7719" s="7"/>
      <c r="O7719" s="7"/>
      <c r="X7719" s="7"/>
      <c r="AG7719" s="7"/>
      <c r="AP7719" s="7"/>
      <c r="AY7719" s="7"/>
      <c r="BH7719" s="7"/>
      <c r="BQ7719" s="7"/>
      <c r="BZ7719" s="7"/>
    </row>
    <row r="7720" spans="2:78">
      <c r="B7720" s="7"/>
      <c r="O7720" s="7"/>
      <c r="X7720" s="7"/>
      <c r="AG7720" s="7"/>
      <c r="AP7720" s="7"/>
      <c r="AY7720" s="7"/>
      <c r="BH7720" s="7"/>
      <c r="BQ7720" s="7"/>
      <c r="BZ7720" s="7"/>
    </row>
    <row r="7721" spans="2:78">
      <c r="B7721" s="7"/>
      <c r="O7721" s="7"/>
      <c r="X7721" s="7"/>
      <c r="AG7721" s="7"/>
      <c r="AP7721" s="7"/>
      <c r="AY7721" s="7"/>
      <c r="BH7721" s="7"/>
      <c r="BQ7721" s="7"/>
      <c r="BZ7721" s="7"/>
    </row>
    <row r="7722" spans="2:78">
      <c r="B7722" s="7"/>
      <c r="O7722" s="7"/>
      <c r="X7722" s="7"/>
      <c r="AG7722" s="7"/>
      <c r="AP7722" s="7"/>
      <c r="AY7722" s="7"/>
      <c r="BH7722" s="7"/>
      <c r="BQ7722" s="7"/>
      <c r="BZ7722" s="7"/>
    </row>
    <row r="7723" spans="2:78">
      <c r="B7723" s="7"/>
      <c r="O7723" s="7"/>
      <c r="X7723" s="7"/>
      <c r="AG7723" s="7"/>
      <c r="AP7723" s="7"/>
      <c r="AY7723" s="7"/>
      <c r="BH7723" s="7"/>
      <c r="BQ7723" s="7"/>
      <c r="BZ7723" s="7"/>
    </row>
    <row r="7724" spans="2:78">
      <c r="B7724" s="7"/>
      <c r="O7724" s="7"/>
      <c r="X7724" s="7"/>
      <c r="AG7724" s="7"/>
      <c r="AP7724" s="7"/>
      <c r="AY7724" s="7"/>
      <c r="BH7724" s="7"/>
      <c r="BQ7724" s="7"/>
      <c r="BZ7724" s="7"/>
    </row>
    <row r="7725" spans="2:78">
      <c r="B7725" s="7"/>
      <c r="O7725" s="7"/>
      <c r="X7725" s="7"/>
      <c r="AG7725" s="7"/>
      <c r="AP7725" s="7"/>
      <c r="AY7725" s="7"/>
      <c r="BH7725" s="7"/>
      <c r="BQ7725" s="7"/>
      <c r="BZ7725" s="7"/>
    </row>
    <row r="7726" spans="2:78">
      <c r="B7726" s="7"/>
      <c r="O7726" s="7"/>
      <c r="X7726" s="7"/>
      <c r="AG7726" s="7"/>
      <c r="AP7726" s="7"/>
      <c r="AY7726" s="7"/>
      <c r="BH7726" s="7"/>
      <c r="BQ7726" s="7"/>
      <c r="BZ7726" s="7"/>
    </row>
    <row r="7727" spans="2:78">
      <c r="B7727" s="7"/>
      <c r="O7727" s="7"/>
      <c r="X7727" s="7"/>
      <c r="AG7727" s="7"/>
      <c r="AP7727" s="7"/>
      <c r="AY7727" s="7"/>
      <c r="BH7727" s="7"/>
      <c r="BQ7727" s="7"/>
      <c r="BZ7727" s="7"/>
    </row>
    <row r="7728" spans="2:78">
      <c r="B7728" s="7"/>
      <c r="O7728" s="7"/>
      <c r="X7728" s="7"/>
      <c r="AG7728" s="7"/>
      <c r="AP7728" s="7"/>
      <c r="AY7728" s="7"/>
      <c r="BH7728" s="7"/>
      <c r="BQ7728" s="7"/>
      <c r="BZ7728" s="7"/>
    </row>
    <row r="7729" spans="2:78">
      <c r="B7729" s="7"/>
      <c r="O7729" s="7"/>
      <c r="X7729" s="7"/>
      <c r="AG7729" s="7"/>
      <c r="AP7729" s="7"/>
      <c r="AY7729" s="7"/>
      <c r="BH7729" s="7"/>
      <c r="BQ7729" s="7"/>
      <c r="BZ7729" s="7"/>
    </row>
    <row r="7730" spans="2:78">
      <c r="B7730" s="7"/>
      <c r="O7730" s="7"/>
      <c r="X7730" s="7"/>
      <c r="AG7730" s="7"/>
      <c r="AP7730" s="7"/>
      <c r="AY7730" s="7"/>
      <c r="BH7730" s="7"/>
      <c r="BQ7730" s="7"/>
      <c r="BZ7730" s="7"/>
    </row>
    <row r="7731" spans="2:78">
      <c r="B7731" s="7"/>
      <c r="O7731" s="7"/>
      <c r="X7731" s="7"/>
      <c r="AG7731" s="7"/>
      <c r="AP7731" s="7"/>
      <c r="AY7731" s="7"/>
      <c r="BH7731" s="7"/>
      <c r="BQ7731" s="7"/>
      <c r="BZ7731" s="7"/>
    </row>
    <row r="7732" spans="2:78">
      <c r="B7732" s="7"/>
      <c r="O7732" s="7"/>
      <c r="X7732" s="7"/>
      <c r="AG7732" s="7"/>
      <c r="AP7732" s="7"/>
      <c r="AY7732" s="7"/>
      <c r="BH7732" s="7"/>
      <c r="BQ7732" s="7"/>
      <c r="BZ7732" s="7"/>
    </row>
    <row r="7733" spans="2:78">
      <c r="B7733" s="7"/>
      <c r="O7733" s="7"/>
      <c r="X7733" s="7"/>
      <c r="AG7733" s="7"/>
      <c r="AP7733" s="7"/>
      <c r="AY7733" s="7"/>
      <c r="BH7733" s="7"/>
      <c r="BQ7733" s="7"/>
      <c r="BZ7733" s="7"/>
    </row>
    <row r="7734" spans="2:78">
      <c r="B7734" s="7"/>
      <c r="O7734" s="7"/>
      <c r="X7734" s="7"/>
      <c r="AG7734" s="7"/>
      <c r="AP7734" s="7"/>
      <c r="AY7734" s="7"/>
      <c r="BH7734" s="7"/>
      <c r="BQ7734" s="7"/>
      <c r="BZ7734" s="7"/>
    </row>
    <row r="7735" spans="2:78">
      <c r="B7735" s="7"/>
      <c r="O7735" s="7"/>
      <c r="X7735" s="7"/>
      <c r="AG7735" s="7"/>
      <c r="AP7735" s="7"/>
      <c r="AY7735" s="7"/>
      <c r="BH7735" s="7"/>
      <c r="BQ7735" s="7"/>
      <c r="BZ7735" s="7"/>
    </row>
    <row r="7736" spans="2:78">
      <c r="B7736" s="7"/>
      <c r="O7736" s="7"/>
      <c r="X7736" s="7"/>
      <c r="AG7736" s="7"/>
      <c r="AP7736" s="7"/>
      <c r="AY7736" s="7"/>
      <c r="BH7736" s="7"/>
      <c r="BQ7736" s="7"/>
      <c r="BZ7736" s="7"/>
    </row>
    <row r="7737" spans="2:78">
      <c r="B7737" s="7"/>
      <c r="O7737" s="7"/>
      <c r="X7737" s="7"/>
      <c r="AG7737" s="7"/>
      <c r="AP7737" s="7"/>
      <c r="AY7737" s="7"/>
      <c r="BH7737" s="7"/>
      <c r="BQ7737" s="7"/>
      <c r="BZ7737" s="7"/>
    </row>
    <row r="7738" spans="2:78">
      <c r="B7738" s="7"/>
      <c r="O7738" s="7"/>
      <c r="X7738" s="7"/>
      <c r="AG7738" s="7"/>
      <c r="AP7738" s="7"/>
      <c r="AY7738" s="7"/>
      <c r="BH7738" s="7"/>
      <c r="BQ7738" s="7"/>
      <c r="BZ7738" s="7"/>
    </row>
    <row r="7739" spans="2:78">
      <c r="B7739" s="7"/>
      <c r="O7739" s="7"/>
      <c r="X7739" s="7"/>
      <c r="AG7739" s="7"/>
      <c r="AP7739" s="7"/>
      <c r="AY7739" s="7"/>
      <c r="BH7739" s="7"/>
      <c r="BQ7739" s="7"/>
      <c r="BZ7739" s="7"/>
    </row>
    <row r="7740" spans="2:78">
      <c r="B7740" s="7"/>
      <c r="O7740" s="7"/>
      <c r="X7740" s="7"/>
      <c r="AG7740" s="7"/>
      <c r="AP7740" s="7"/>
      <c r="AY7740" s="7"/>
      <c r="BH7740" s="7"/>
      <c r="BQ7740" s="7"/>
      <c r="BZ7740" s="7"/>
    </row>
    <row r="7741" spans="2:78">
      <c r="B7741" s="7"/>
      <c r="O7741" s="7"/>
      <c r="X7741" s="7"/>
      <c r="AG7741" s="7"/>
      <c r="AP7741" s="7"/>
      <c r="AY7741" s="7"/>
      <c r="BH7741" s="7"/>
      <c r="BQ7741" s="7"/>
      <c r="BZ7741" s="7"/>
    </row>
    <row r="7742" spans="2:78">
      <c r="B7742" s="7"/>
      <c r="O7742" s="7"/>
      <c r="X7742" s="7"/>
      <c r="AG7742" s="7"/>
      <c r="AP7742" s="7"/>
      <c r="AY7742" s="7"/>
      <c r="BH7742" s="7"/>
      <c r="BQ7742" s="7"/>
      <c r="BZ7742" s="7"/>
    </row>
    <row r="7743" spans="2:78">
      <c r="B7743" s="7"/>
      <c r="O7743" s="7"/>
      <c r="X7743" s="7"/>
      <c r="AG7743" s="7"/>
      <c r="AP7743" s="7"/>
      <c r="AY7743" s="7"/>
      <c r="BH7743" s="7"/>
      <c r="BQ7743" s="7"/>
      <c r="BZ7743" s="7"/>
    </row>
    <row r="7744" spans="2:78">
      <c r="B7744" s="7"/>
      <c r="O7744" s="7"/>
      <c r="X7744" s="7"/>
      <c r="AG7744" s="7"/>
      <c r="AP7744" s="7"/>
      <c r="AY7744" s="7"/>
      <c r="BH7744" s="7"/>
      <c r="BQ7744" s="7"/>
      <c r="BZ7744" s="7"/>
    </row>
    <row r="7745" spans="2:78">
      <c r="B7745" s="7"/>
      <c r="O7745" s="7"/>
      <c r="X7745" s="7"/>
      <c r="AG7745" s="7"/>
      <c r="AP7745" s="7"/>
      <c r="AY7745" s="7"/>
      <c r="BH7745" s="7"/>
      <c r="BQ7745" s="7"/>
      <c r="BZ7745" s="7"/>
    </row>
    <row r="7746" spans="2:78">
      <c r="B7746" s="7"/>
      <c r="O7746" s="7"/>
      <c r="X7746" s="7"/>
      <c r="AG7746" s="7"/>
      <c r="AP7746" s="7"/>
      <c r="AY7746" s="7"/>
      <c r="BH7746" s="7"/>
      <c r="BQ7746" s="7"/>
      <c r="BZ7746" s="7"/>
    </row>
    <row r="7747" spans="2:78">
      <c r="B7747" s="7"/>
      <c r="O7747" s="7"/>
      <c r="X7747" s="7"/>
      <c r="AG7747" s="7"/>
      <c r="AP7747" s="7"/>
      <c r="AY7747" s="7"/>
      <c r="BH7747" s="7"/>
      <c r="BQ7747" s="7"/>
      <c r="BZ7747" s="7"/>
    </row>
    <row r="7748" spans="2:78">
      <c r="B7748" s="7"/>
      <c r="O7748" s="7"/>
      <c r="X7748" s="7"/>
      <c r="AG7748" s="7"/>
      <c r="AP7748" s="7"/>
      <c r="AY7748" s="7"/>
      <c r="BH7748" s="7"/>
      <c r="BQ7748" s="7"/>
      <c r="BZ7748" s="7"/>
    </row>
    <row r="7749" spans="2:78">
      <c r="B7749" s="7"/>
      <c r="O7749" s="7"/>
      <c r="X7749" s="7"/>
      <c r="AG7749" s="7"/>
      <c r="AP7749" s="7"/>
      <c r="AY7749" s="7"/>
      <c r="BH7749" s="7"/>
      <c r="BQ7749" s="7"/>
      <c r="BZ7749" s="7"/>
    </row>
    <row r="7750" spans="2:78">
      <c r="B7750" s="7"/>
      <c r="O7750" s="7"/>
      <c r="X7750" s="7"/>
      <c r="AG7750" s="7"/>
      <c r="AP7750" s="7"/>
      <c r="AY7750" s="7"/>
      <c r="BH7750" s="7"/>
      <c r="BQ7750" s="7"/>
      <c r="BZ7750" s="7"/>
    </row>
    <row r="7751" spans="2:78">
      <c r="B7751" s="7"/>
      <c r="O7751" s="7"/>
      <c r="X7751" s="7"/>
      <c r="AG7751" s="7"/>
      <c r="AP7751" s="7"/>
      <c r="AY7751" s="7"/>
      <c r="BH7751" s="7"/>
      <c r="BQ7751" s="7"/>
      <c r="BZ7751" s="7"/>
    </row>
    <row r="7752" spans="2:78">
      <c r="B7752" s="7"/>
      <c r="O7752" s="7"/>
      <c r="X7752" s="7"/>
      <c r="AG7752" s="7"/>
      <c r="AP7752" s="7"/>
      <c r="AY7752" s="7"/>
      <c r="BH7752" s="7"/>
      <c r="BQ7752" s="7"/>
      <c r="BZ7752" s="7"/>
    </row>
    <row r="7753" spans="2:78">
      <c r="B7753" s="7"/>
      <c r="O7753" s="7"/>
      <c r="X7753" s="7"/>
      <c r="AG7753" s="7"/>
      <c r="AP7753" s="7"/>
      <c r="AY7753" s="7"/>
      <c r="BH7753" s="7"/>
      <c r="BQ7753" s="7"/>
      <c r="BZ7753" s="7"/>
    </row>
    <row r="7754" spans="2:78">
      <c r="B7754" s="7"/>
      <c r="O7754" s="7"/>
      <c r="X7754" s="7"/>
      <c r="AG7754" s="7"/>
      <c r="AP7754" s="7"/>
      <c r="AY7754" s="7"/>
      <c r="BH7754" s="7"/>
      <c r="BQ7754" s="7"/>
      <c r="BZ7754" s="7"/>
    </row>
    <row r="7755" spans="2:78">
      <c r="B7755" s="7"/>
      <c r="O7755" s="7"/>
      <c r="X7755" s="7"/>
      <c r="AG7755" s="7"/>
      <c r="AP7755" s="7"/>
      <c r="AY7755" s="7"/>
      <c r="BH7755" s="7"/>
      <c r="BQ7755" s="7"/>
      <c r="BZ7755" s="7"/>
    </row>
    <row r="7756" spans="2:78">
      <c r="B7756" s="7"/>
      <c r="O7756" s="7"/>
      <c r="X7756" s="7"/>
      <c r="AG7756" s="7"/>
      <c r="AP7756" s="7"/>
      <c r="AY7756" s="7"/>
      <c r="BH7756" s="7"/>
      <c r="BQ7756" s="7"/>
      <c r="BZ7756" s="7"/>
    </row>
    <row r="7757" spans="2:78">
      <c r="B7757" s="7"/>
      <c r="O7757" s="7"/>
      <c r="X7757" s="7"/>
      <c r="AG7757" s="7"/>
      <c r="AP7757" s="7"/>
      <c r="AY7757" s="7"/>
      <c r="BH7757" s="7"/>
      <c r="BQ7757" s="7"/>
      <c r="BZ7757" s="7"/>
    </row>
    <row r="7758" spans="2:78">
      <c r="B7758" s="7"/>
      <c r="O7758" s="7"/>
      <c r="X7758" s="7"/>
      <c r="AG7758" s="7"/>
      <c r="AP7758" s="7"/>
      <c r="AY7758" s="7"/>
      <c r="BH7758" s="7"/>
      <c r="BQ7758" s="7"/>
      <c r="BZ7758" s="7"/>
    </row>
    <row r="7759" spans="2:78">
      <c r="B7759" s="7"/>
      <c r="O7759" s="7"/>
      <c r="X7759" s="7"/>
      <c r="AG7759" s="7"/>
      <c r="AP7759" s="7"/>
      <c r="AY7759" s="7"/>
      <c r="BH7759" s="7"/>
      <c r="BQ7759" s="7"/>
      <c r="BZ7759" s="7"/>
    </row>
    <row r="7760" spans="2:78">
      <c r="B7760" s="7"/>
      <c r="O7760" s="7"/>
      <c r="X7760" s="7"/>
      <c r="AG7760" s="7"/>
      <c r="AP7760" s="7"/>
      <c r="AY7760" s="7"/>
      <c r="BH7760" s="7"/>
      <c r="BQ7760" s="7"/>
      <c r="BZ7760" s="7"/>
    </row>
    <row r="7761" spans="2:78">
      <c r="B7761" s="7"/>
      <c r="O7761" s="7"/>
      <c r="X7761" s="7"/>
      <c r="AG7761" s="7"/>
      <c r="AP7761" s="7"/>
      <c r="AY7761" s="7"/>
      <c r="BH7761" s="7"/>
      <c r="BQ7761" s="7"/>
      <c r="BZ7761" s="7"/>
    </row>
    <row r="7762" spans="2:78">
      <c r="B7762" s="7"/>
      <c r="O7762" s="7"/>
      <c r="X7762" s="7"/>
      <c r="AG7762" s="7"/>
      <c r="AP7762" s="7"/>
      <c r="AY7762" s="7"/>
      <c r="BH7762" s="7"/>
      <c r="BQ7762" s="7"/>
      <c r="BZ7762" s="7"/>
    </row>
    <row r="7763" spans="2:78">
      <c r="B7763" s="7"/>
      <c r="O7763" s="7"/>
      <c r="X7763" s="7"/>
      <c r="AG7763" s="7"/>
      <c r="AP7763" s="7"/>
      <c r="AY7763" s="7"/>
      <c r="BH7763" s="7"/>
      <c r="BQ7763" s="7"/>
      <c r="BZ7763" s="7"/>
    </row>
    <row r="7764" spans="2:78">
      <c r="B7764" s="7"/>
      <c r="O7764" s="7"/>
      <c r="X7764" s="7"/>
      <c r="AG7764" s="7"/>
      <c r="AP7764" s="7"/>
      <c r="AY7764" s="7"/>
      <c r="BH7764" s="7"/>
      <c r="BQ7764" s="7"/>
      <c r="BZ7764" s="7"/>
    </row>
    <row r="7765" spans="2:78">
      <c r="B7765" s="7"/>
      <c r="O7765" s="7"/>
      <c r="X7765" s="7"/>
      <c r="AG7765" s="7"/>
      <c r="AP7765" s="7"/>
      <c r="AY7765" s="7"/>
      <c r="BH7765" s="7"/>
      <c r="BQ7765" s="7"/>
      <c r="BZ7765" s="7"/>
    </row>
    <row r="7766" spans="2:78">
      <c r="B7766" s="7"/>
      <c r="O7766" s="7"/>
      <c r="X7766" s="7"/>
      <c r="AG7766" s="7"/>
      <c r="AP7766" s="7"/>
      <c r="AY7766" s="7"/>
      <c r="BH7766" s="7"/>
      <c r="BQ7766" s="7"/>
      <c r="BZ7766" s="7"/>
    </row>
    <row r="7767" spans="2:78">
      <c r="B7767" s="7"/>
      <c r="O7767" s="7"/>
      <c r="X7767" s="7"/>
      <c r="AG7767" s="7"/>
      <c r="AP7767" s="7"/>
      <c r="AY7767" s="7"/>
      <c r="BH7767" s="7"/>
      <c r="BQ7767" s="7"/>
      <c r="BZ7767" s="7"/>
    </row>
    <row r="7768" spans="2:78">
      <c r="B7768" s="7"/>
      <c r="O7768" s="7"/>
      <c r="X7768" s="7"/>
      <c r="AG7768" s="7"/>
      <c r="AP7768" s="7"/>
      <c r="AY7768" s="7"/>
      <c r="BH7768" s="7"/>
      <c r="BQ7768" s="7"/>
      <c r="BZ7768" s="7"/>
    </row>
    <row r="7769" spans="2:78">
      <c r="B7769" s="7"/>
      <c r="O7769" s="7"/>
      <c r="X7769" s="7"/>
      <c r="AG7769" s="7"/>
      <c r="AP7769" s="7"/>
      <c r="AY7769" s="7"/>
      <c r="BH7769" s="7"/>
      <c r="BQ7769" s="7"/>
      <c r="BZ7769" s="7"/>
    </row>
    <row r="7770" spans="2:78">
      <c r="B7770" s="7"/>
      <c r="O7770" s="7"/>
      <c r="X7770" s="7"/>
      <c r="AG7770" s="7"/>
      <c r="AP7770" s="7"/>
      <c r="AY7770" s="7"/>
      <c r="BH7770" s="7"/>
      <c r="BQ7770" s="7"/>
      <c r="BZ7770" s="7"/>
    </row>
    <row r="7771" spans="2:78">
      <c r="B7771" s="7"/>
      <c r="O7771" s="7"/>
      <c r="X7771" s="7"/>
      <c r="AG7771" s="7"/>
      <c r="AP7771" s="7"/>
      <c r="AY7771" s="7"/>
      <c r="BH7771" s="7"/>
      <c r="BQ7771" s="7"/>
      <c r="BZ7771" s="7"/>
    </row>
    <row r="7772" spans="2:78">
      <c r="B7772" s="7"/>
      <c r="O7772" s="7"/>
      <c r="X7772" s="7"/>
      <c r="AG7772" s="7"/>
      <c r="AP7772" s="7"/>
      <c r="AY7772" s="7"/>
      <c r="BH7772" s="7"/>
      <c r="BQ7772" s="7"/>
      <c r="BZ7772" s="7"/>
    </row>
    <row r="7773" spans="2:78">
      <c r="B7773" s="7"/>
      <c r="O7773" s="7"/>
      <c r="X7773" s="7"/>
      <c r="AG7773" s="7"/>
      <c r="AP7773" s="7"/>
      <c r="AY7773" s="7"/>
      <c r="BH7773" s="7"/>
      <c r="BQ7773" s="7"/>
      <c r="BZ7773" s="7"/>
    </row>
    <row r="7774" spans="2:78">
      <c r="B7774" s="7"/>
      <c r="O7774" s="7"/>
      <c r="X7774" s="7"/>
      <c r="AG7774" s="7"/>
      <c r="AP7774" s="7"/>
      <c r="AY7774" s="7"/>
      <c r="BH7774" s="7"/>
      <c r="BQ7774" s="7"/>
      <c r="BZ7774" s="7"/>
    </row>
    <row r="7775" spans="2:78">
      <c r="B7775" s="7"/>
      <c r="O7775" s="7"/>
      <c r="X7775" s="7"/>
      <c r="AG7775" s="7"/>
      <c r="AP7775" s="7"/>
      <c r="AY7775" s="7"/>
      <c r="BH7775" s="7"/>
      <c r="BQ7775" s="7"/>
      <c r="BZ7775" s="7"/>
    </row>
    <row r="7776" spans="2:78">
      <c r="B7776" s="7"/>
      <c r="O7776" s="7"/>
      <c r="X7776" s="7"/>
      <c r="AG7776" s="7"/>
      <c r="AP7776" s="7"/>
      <c r="AY7776" s="7"/>
      <c r="BH7776" s="7"/>
      <c r="BQ7776" s="7"/>
      <c r="BZ7776" s="7"/>
    </row>
    <row r="7777" spans="2:78">
      <c r="B7777" s="7"/>
      <c r="O7777" s="7"/>
      <c r="X7777" s="7"/>
      <c r="AG7777" s="7"/>
      <c r="AP7777" s="7"/>
      <c r="AY7777" s="7"/>
      <c r="BH7777" s="7"/>
      <c r="BQ7777" s="7"/>
      <c r="BZ7777" s="7"/>
    </row>
    <row r="7778" spans="2:78">
      <c r="B7778" s="7"/>
      <c r="O7778" s="7"/>
      <c r="X7778" s="7"/>
      <c r="AG7778" s="7"/>
      <c r="AP7778" s="7"/>
      <c r="AY7778" s="7"/>
      <c r="BH7778" s="7"/>
      <c r="BQ7778" s="7"/>
      <c r="BZ7778" s="7"/>
    </row>
    <row r="7779" spans="2:78">
      <c r="B7779" s="7"/>
      <c r="O7779" s="7"/>
      <c r="X7779" s="7"/>
      <c r="AG7779" s="7"/>
      <c r="AP7779" s="7"/>
      <c r="AY7779" s="7"/>
      <c r="BH7779" s="7"/>
      <c r="BQ7779" s="7"/>
      <c r="BZ7779" s="7"/>
    </row>
    <row r="7780" spans="2:78">
      <c r="B7780" s="7"/>
      <c r="O7780" s="7"/>
      <c r="X7780" s="7"/>
      <c r="AG7780" s="7"/>
      <c r="AP7780" s="7"/>
      <c r="AY7780" s="7"/>
      <c r="BH7780" s="7"/>
      <c r="BQ7780" s="7"/>
      <c r="BZ7780" s="7"/>
    </row>
    <row r="7781" spans="2:78">
      <c r="B7781" s="7"/>
      <c r="O7781" s="7"/>
      <c r="X7781" s="7"/>
      <c r="AG7781" s="7"/>
      <c r="AP7781" s="7"/>
      <c r="AY7781" s="7"/>
      <c r="BH7781" s="7"/>
      <c r="BQ7781" s="7"/>
      <c r="BZ7781" s="7"/>
    </row>
    <row r="7782" spans="2:78">
      <c r="B7782" s="7"/>
      <c r="O7782" s="7"/>
      <c r="X7782" s="7"/>
      <c r="AG7782" s="7"/>
      <c r="AP7782" s="7"/>
      <c r="AY7782" s="7"/>
      <c r="BH7782" s="7"/>
      <c r="BQ7782" s="7"/>
      <c r="BZ7782" s="7"/>
    </row>
    <row r="7783" spans="2:78">
      <c r="B7783" s="7"/>
      <c r="O7783" s="7"/>
      <c r="X7783" s="7"/>
      <c r="AG7783" s="7"/>
      <c r="AP7783" s="7"/>
      <c r="AY7783" s="7"/>
      <c r="BH7783" s="7"/>
      <c r="BQ7783" s="7"/>
      <c r="BZ7783" s="7"/>
    </row>
    <row r="7784" spans="2:78">
      <c r="B7784" s="7"/>
      <c r="O7784" s="7"/>
      <c r="X7784" s="7"/>
      <c r="AG7784" s="7"/>
      <c r="AP7784" s="7"/>
      <c r="AY7784" s="7"/>
      <c r="BH7784" s="7"/>
      <c r="BQ7784" s="7"/>
      <c r="BZ7784" s="7"/>
    </row>
    <row r="7785" spans="2:78">
      <c r="B7785" s="7"/>
      <c r="O7785" s="7"/>
      <c r="X7785" s="7"/>
      <c r="AG7785" s="7"/>
      <c r="AP7785" s="7"/>
      <c r="AY7785" s="7"/>
      <c r="BH7785" s="7"/>
      <c r="BQ7785" s="7"/>
      <c r="BZ7785" s="7"/>
    </row>
    <row r="7786" spans="2:78">
      <c r="B7786" s="7"/>
      <c r="O7786" s="7"/>
      <c r="X7786" s="7"/>
      <c r="AG7786" s="7"/>
      <c r="AP7786" s="7"/>
      <c r="AY7786" s="7"/>
      <c r="BH7786" s="7"/>
      <c r="BQ7786" s="7"/>
      <c r="BZ7786" s="7"/>
    </row>
    <row r="7787" spans="2:78">
      <c r="B7787" s="7"/>
      <c r="O7787" s="7"/>
      <c r="X7787" s="7"/>
      <c r="AG7787" s="7"/>
      <c r="AP7787" s="7"/>
      <c r="AY7787" s="7"/>
      <c r="BH7787" s="7"/>
      <c r="BQ7787" s="7"/>
      <c r="BZ7787" s="7"/>
    </row>
    <row r="7788" spans="2:78">
      <c r="B7788" s="7"/>
      <c r="O7788" s="7"/>
      <c r="X7788" s="7"/>
      <c r="AG7788" s="7"/>
      <c r="AP7788" s="7"/>
      <c r="AY7788" s="7"/>
      <c r="BH7788" s="7"/>
      <c r="BQ7788" s="7"/>
      <c r="BZ7788" s="7"/>
    </row>
    <row r="7789" spans="2:78">
      <c r="B7789" s="7"/>
      <c r="O7789" s="7"/>
      <c r="X7789" s="7"/>
      <c r="AG7789" s="7"/>
      <c r="AP7789" s="7"/>
      <c r="AY7789" s="7"/>
      <c r="BH7789" s="7"/>
      <c r="BQ7789" s="7"/>
      <c r="BZ7789" s="7"/>
    </row>
    <row r="7790" spans="2:78">
      <c r="B7790" s="7"/>
      <c r="O7790" s="7"/>
      <c r="X7790" s="7"/>
      <c r="AG7790" s="7"/>
      <c r="AP7790" s="7"/>
      <c r="AY7790" s="7"/>
      <c r="BH7790" s="7"/>
      <c r="BQ7790" s="7"/>
      <c r="BZ7790" s="7"/>
    </row>
    <row r="7791" spans="2:78">
      <c r="B7791" s="7"/>
      <c r="O7791" s="7"/>
      <c r="X7791" s="7"/>
      <c r="AG7791" s="7"/>
      <c r="AP7791" s="7"/>
      <c r="AY7791" s="7"/>
      <c r="BH7791" s="7"/>
      <c r="BQ7791" s="7"/>
      <c r="BZ7791" s="7"/>
    </row>
    <row r="7792" spans="2:78">
      <c r="B7792" s="7"/>
      <c r="O7792" s="7"/>
      <c r="X7792" s="7"/>
      <c r="AG7792" s="7"/>
      <c r="AP7792" s="7"/>
      <c r="AY7792" s="7"/>
      <c r="BH7792" s="7"/>
      <c r="BQ7792" s="7"/>
      <c r="BZ7792" s="7"/>
    </row>
    <row r="7793" spans="2:78">
      <c r="B7793" s="7"/>
      <c r="O7793" s="7"/>
      <c r="X7793" s="7"/>
      <c r="AG7793" s="7"/>
      <c r="AP7793" s="7"/>
      <c r="AY7793" s="7"/>
      <c r="BH7793" s="7"/>
      <c r="BQ7793" s="7"/>
      <c r="BZ7793" s="7"/>
    </row>
    <row r="7794" spans="2:78">
      <c r="B7794" s="7"/>
      <c r="O7794" s="7"/>
      <c r="X7794" s="7"/>
      <c r="AG7794" s="7"/>
      <c r="AP7794" s="7"/>
      <c r="AY7794" s="7"/>
      <c r="BH7794" s="7"/>
      <c r="BQ7794" s="7"/>
      <c r="BZ7794" s="7"/>
    </row>
    <row r="7795" spans="2:78">
      <c r="B7795" s="7"/>
      <c r="O7795" s="7"/>
      <c r="X7795" s="7"/>
      <c r="AG7795" s="7"/>
      <c r="AP7795" s="7"/>
      <c r="AY7795" s="7"/>
      <c r="BH7795" s="7"/>
      <c r="BQ7795" s="7"/>
      <c r="BZ7795" s="7"/>
    </row>
    <row r="7796" spans="2:78">
      <c r="B7796" s="7"/>
      <c r="O7796" s="7"/>
      <c r="X7796" s="7"/>
      <c r="AG7796" s="7"/>
      <c r="AP7796" s="7"/>
      <c r="AY7796" s="7"/>
      <c r="BH7796" s="7"/>
      <c r="BQ7796" s="7"/>
      <c r="BZ7796" s="7"/>
    </row>
    <row r="7797" spans="2:78">
      <c r="B7797" s="7"/>
      <c r="O7797" s="7"/>
      <c r="X7797" s="7"/>
      <c r="AG7797" s="7"/>
      <c r="AP7797" s="7"/>
      <c r="AY7797" s="7"/>
      <c r="BH7797" s="7"/>
      <c r="BQ7797" s="7"/>
      <c r="BZ7797" s="7"/>
    </row>
    <row r="7798" spans="2:78">
      <c r="B7798" s="7"/>
      <c r="O7798" s="7"/>
      <c r="X7798" s="7"/>
      <c r="AG7798" s="7"/>
      <c r="AP7798" s="7"/>
      <c r="AY7798" s="7"/>
      <c r="BH7798" s="7"/>
      <c r="BQ7798" s="7"/>
      <c r="BZ7798" s="7"/>
    </row>
    <row r="7799" spans="2:78">
      <c r="B7799" s="7"/>
      <c r="O7799" s="7"/>
      <c r="X7799" s="7"/>
      <c r="AG7799" s="7"/>
      <c r="AP7799" s="7"/>
      <c r="AY7799" s="7"/>
      <c r="BH7799" s="7"/>
      <c r="BQ7799" s="7"/>
      <c r="BZ7799" s="7"/>
    </row>
    <row r="7800" spans="2:78">
      <c r="B7800" s="7"/>
      <c r="O7800" s="7"/>
      <c r="X7800" s="7"/>
      <c r="AG7800" s="7"/>
      <c r="AP7800" s="7"/>
      <c r="AY7800" s="7"/>
      <c r="BH7800" s="7"/>
      <c r="BQ7800" s="7"/>
      <c r="BZ7800" s="7"/>
    </row>
    <row r="7801" spans="2:78">
      <c r="B7801" s="7"/>
      <c r="O7801" s="7"/>
      <c r="X7801" s="7"/>
      <c r="AG7801" s="7"/>
      <c r="AP7801" s="7"/>
      <c r="AY7801" s="7"/>
      <c r="BH7801" s="7"/>
      <c r="BQ7801" s="7"/>
      <c r="BZ7801" s="7"/>
    </row>
    <row r="7802" spans="2:78">
      <c r="B7802" s="7"/>
      <c r="O7802" s="7"/>
      <c r="X7802" s="7"/>
      <c r="AG7802" s="7"/>
      <c r="AP7802" s="7"/>
      <c r="AY7802" s="7"/>
      <c r="BH7802" s="7"/>
      <c r="BQ7802" s="7"/>
      <c r="BZ7802" s="7"/>
    </row>
    <row r="7803" spans="2:78">
      <c r="B7803" s="7"/>
      <c r="O7803" s="7"/>
      <c r="X7803" s="7"/>
      <c r="AG7803" s="7"/>
      <c r="AP7803" s="7"/>
      <c r="AY7803" s="7"/>
      <c r="BH7803" s="7"/>
      <c r="BQ7803" s="7"/>
      <c r="BZ7803" s="7"/>
    </row>
    <row r="7804" spans="2:78">
      <c r="B7804" s="7"/>
      <c r="O7804" s="7"/>
      <c r="X7804" s="7"/>
      <c r="AG7804" s="7"/>
      <c r="AP7804" s="7"/>
      <c r="AY7804" s="7"/>
      <c r="BH7804" s="7"/>
      <c r="BQ7804" s="7"/>
      <c r="BZ7804" s="7"/>
    </row>
    <row r="7805" spans="2:78">
      <c r="B7805" s="7"/>
      <c r="O7805" s="7"/>
      <c r="X7805" s="7"/>
      <c r="AG7805" s="7"/>
      <c r="AP7805" s="7"/>
      <c r="AY7805" s="7"/>
      <c r="BH7805" s="7"/>
      <c r="BQ7805" s="7"/>
      <c r="BZ7805" s="7"/>
    </row>
    <row r="7806" spans="2:78">
      <c r="B7806" s="7"/>
      <c r="O7806" s="7"/>
      <c r="X7806" s="7"/>
      <c r="AG7806" s="7"/>
      <c r="AP7806" s="7"/>
      <c r="AY7806" s="7"/>
      <c r="BH7806" s="7"/>
      <c r="BQ7806" s="7"/>
      <c r="BZ7806" s="7"/>
    </row>
    <row r="7807" spans="2:78">
      <c r="B7807" s="7"/>
      <c r="O7807" s="7"/>
      <c r="X7807" s="7"/>
      <c r="AG7807" s="7"/>
      <c r="AP7807" s="7"/>
      <c r="AY7807" s="7"/>
      <c r="BH7807" s="7"/>
      <c r="BQ7807" s="7"/>
      <c r="BZ7807" s="7"/>
    </row>
    <row r="7808" spans="2:78">
      <c r="B7808" s="7"/>
      <c r="O7808" s="7"/>
      <c r="X7808" s="7"/>
      <c r="AG7808" s="7"/>
      <c r="AP7808" s="7"/>
      <c r="AY7808" s="7"/>
      <c r="BH7808" s="7"/>
      <c r="BQ7808" s="7"/>
      <c r="BZ7808" s="7"/>
    </row>
    <row r="7809" spans="2:78">
      <c r="B7809" s="7"/>
      <c r="O7809" s="7"/>
      <c r="X7809" s="7"/>
      <c r="AG7809" s="7"/>
      <c r="AP7809" s="7"/>
      <c r="AY7809" s="7"/>
      <c r="BH7809" s="7"/>
      <c r="BQ7809" s="7"/>
      <c r="BZ7809" s="7"/>
    </row>
    <row r="7810" spans="2:78">
      <c r="B7810" s="7"/>
      <c r="O7810" s="7"/>
      <c r="X7810" s="7"/>
      <c r="AG7810" s="7"/>
      <c r="AP7810" s="7"/>
      <c r="AY7810" s="7"/>
      <c r="BH7810" s="7"/>
      <c r="BQ7810" s="7"/>
      <c r="BZ7810" s="7"/>
    </row>
    <row r="7811" spans="2:78">
      <c r="B7811" s="7"/>
      <c r="O7811" s="7"/>
      <c r="X7811" s="7"/>
      <c r="AG7811" s="7"/>
      <c r="AP7811" s="7"/>
      <c r="AY7811" s="7"/>
      <c r="BH7811" s="7"/>
      <c r="BQ7811" s="7"/>
      <c r="BZ7811" s="7"/>
    </row>
    <row r="7812" spans="2:78">
      <c r="B7812" s="7"/>
      <c r="O7812" s="7"/>
      <c r="X7812" s="7"/>
      <c r="AG7812" s="7"/>
      <c r="AP7812" s="7"/>
      <c r="AY7812" s="7"/>
      <c r="BH7812" s="7"/>
      <c r="BQ7812" s="7"/>
      <c r="BZ7812" s="7"/>
    </row>
    <row r="7813" spans="2:78">
      <c r="B7813" s="7"/>
      <c r="O7813" s="7"/>
      <c r="X7813" s="7"/>
      <c r="AG7813" s="7"/>
      <c r="AP7813" s="7"/>
      <c r="AY7813" s="7"/>
      <c r="BH7813" s="7"/>
      <c r="BQ7813" s="7"/>
      <c r="BZ7813" s="7"/>
    </row>
    <row r="7814" spans="2:78">
      <c r="B7814" s="7"/>
      <c r="O7814" s="7"/>
      <c r="X7814" s="7"/>
      <c r="AG7814" s="7"/>
      <c r="AP7814" s="7"/>
      <c r="AY7814" s="7"/>
      <c r="BH7814" s="7"/>
      <c r="BQ7814" s="7"/>
      <c r="BZ7814" s="7"/>
    </row>
    <row r="7815" spans="2:78">
      <c r="B7815" s="7"/>
      <c r="O7815" s="7"/>
      <c r="X7815" s="7"/>
      <c r="AG7815" s="7"/>
      <c r="AP7815" s="7"/>
      <c r="AY7815" s="7"/>
      <c r="BH7815" s="7"/>
      <c r="BQ7815" s="7"/>
      <c r="BZ7815" s="7"/>
    </row>
    <row r="7816" spans="2:78">
      <c r="B7816" s="7"/>
      <c r="O7816" s="7"/>
      <c r="X7816" s="7"/>
      <c r="AG7816" s="7"/>
      <c r="AP7816" s="7"/>
      <c r="AY7816" s="7"/>
      <c r="BH7816" s="7"/>
      <c r="BQ7816" s="7"/>
      <c r="BZ7816" s="7"/>
    </row>
    <row r="7817" spans="2:78">
      <c r="B7817" s="7"/>
      <c r="O7817" s="7"/>
      <c r="X7817" s="7"/>
      <c r="AG7817" s="7"/>
      <c r="AP7817" s="7"/>
      <c r="AY7817" s="7"/>
      <c r="BH7817" s="7"/>
      <c r="BQ7817" s="7"/>
      <c r="BZ7817" s="7"/>
    </row>
    <row r="7818" spans="2:78">
      <c r="B7818" s="7"/>
      <c r="O7818" s="7"/>
      <c r="X7818" s="7"/>
      <c r="AG7818" s="7"/>
      <c r="AP7818" s="7"/>
      <c r="AY7818" s="7"/>
      <c r="BH7818" s="7"/>
      <c r="BQ7818" s="7"/>
      <c r="BZ7818" s="7"/>
    </row>
    <row r="7819" spans="2:78">
      <c r="B7819" s="7"/>
      <c r="O7819" s="7"/>
      <c r="X7819" s="7"/>
      <c r="AG7819" s="7"/>
      <c r="AP7819" s="7"/>
      <c r="AY7819" s="7"/>
      <c r="BH7819" s="7"/>
      <c r="BQ7819" s="7"/>
      <c r="BZ7819" s="7"/>
    </row>
    <row r="7820" spans="2:78">
      <c r="B7820" s="7"/>
      <c r="O7820" s="7"/>
      <c r="X7820" s="7"/>
      <c r="AG7820" s="7"/>
      <c r="AP7820" s="7"/>
      <c r="AY7820" s="7"/>
      <c r="BH7820" s="7"/>
      <c r="BQ7820" s="7"/>
      <c r="BZ7820" s="7"/>
    </row>
    <row r="7821" spans="2:78">
      <c r="B7821" s="7"/>
      <c r="O7821" s="7"/>
      <c r="X7821" s="7"/>
      <c r="AG7821" s="7"/>
      <c r="AP7821" s="7"/>
      <c r="AY7821" s="7"/>
      <c r="BH7821" s="7"/>
      <c r="BQ7821" s="7"/>
      <c r="BZ7821" s="7"/>
    </row>
    <row r="7822" spans="2:78">
      <c r="B7822" s="7"/>
      <c r="O7822" s="7"/>
      <c r="X7822" s="7"/>
      <c r="AG7822" s="7"/>
      <c r="AP7822" s="7"/>
      <c r="AY7822" s="7"/>
      <c r="BH7822" s="7"/>
      <c r="BQ7822" s="7"/>
      <c r="BZ7822" s="7"/>
    </row>
    <row r="7823" spans="2:78">
      <c r="B7823" s="7"/>
      <c r="O7823" s="7"/>
      <c r="X7823" s="7"/>
      <c r="AG7823" s="7"/>
      <c r="AP7823" s="7"/>
      <c r="AY7823" s="7"/>
      <c r="BH7823" s="7"/>
      <c r="BQ7823" s="7"/>
      <c r="BZ7823" s="7"/>
    </row>
    <row r="7824" spans="2:78">
      <c r="B7824" s="7"/>
      <c r="O7824" s="7"/>
      <c r="X7824" s="7"/>
      <c r="AG7824" s="7"/>
      <c r="AP7824" s="7"/>
      <c r="AY7824" s="7"/>
      <c r="BH7824" s="7"/>
      <c r="BQ7824" s="7"/>
      <c r="BZ7824" s="7"/>
    </row>
    <row r="7825" spans="2:78">
      <c r="B7825" s="7"/>
      <c r="O7825" s="7"/>
      <c r="X7825" s="7"/>
      <c r="AG7825" s="7"/>
      <c r="AP7825" s="7"/>
      <c r="AY7825" s="7"/>
      <c r="BH7825" s="7"/>
      <c r="BQ7825" s="7"/>
      <c r="BZ7825" s="7"/>
    </row>
    <row r="7826" spans="2:78">
      <c r="B7826" s="7"/>
      <c r="O7826" s="7"/>
      <c r="X7826" s="7"/>
      <c r="AG7826" s="7"/>
      <c r="AP7826" s="7"/>
      <c r="AY7826" s="7"/>
      <c r="BH7826" s="7"/>
      <c r="BQ7826" s="7"/>
      <c r="BZ7826" s="7"/>
    </row>
    <row r="7827" spans="2:78">
      <c r="B7827" s="7"/>
      <c r="O7827" s="7"/>
      <c r="X7827" s="7"/>
      <c r="AG7827" s="7"/>
      <c r="AP7827" s="7"/>
      <c r="AY7827" s="7"/>
      <c r="BH7827" s="7"/>
      <c r="BQ7827" s="7"/>
      <c r="BZ7827" s="7"/>
    </row>
    <row r="7828" spans="2:78">
      <c r="B7828" s="7"/>
      <c r="O7828" s="7"/>
      <c r="X7828" s="7"/>
      <c r="AG7828" s="7"/>
      <c r="AP7828" s="7"/>
      <c r="AY7828" s="7"/>
      <c r="BH7828" s="7"/>
      <c r="BQ7828" s="7"/>
      <c r="BZ7828" s="7"/>
    </row>
    <row r="7829" spans="2:78">
      <c r="B7829" s="7"/>
      <c r="O7829" s="7"/>
      <c r="X7829" s="7"/>
      <c r="AG7829" s="7"/>
      <c r="AP7829" s="7"/>
      <c r="AY7829" s="7"/>
      <c r="BH7829" s="7"/>
      <c r="BQ7829" s="7"/>
      <c r="BZ7829" s="7"/>
    </row>
    <row r="7830" spans="2:78">
      <c r="B7830" s="7"/>
      <c r="O7830" s="7"/>
      <c r="X7830" s="7"/>
      <c r="AG7830" s="7"/>
      <c r="AP7830" s="7"/>
      <c r="AY7830" s="7"/>
      <c r="BH7830" s="7"/>
      <c r="BQ7830" s="7"/>
      <c r="BZ7830" s="7"/>
    </row>
    <row r="7831" spans="2:78">
      <c r="B7831" s="7"/>
      <c r="O7831" s="7"/>
      <c r="X7831" s="7"/>
      <c r="AG7831" s="7"/>
      <c r="AP7831" s="7"/>
      <c r="AY7831" s="7"/>
      <c r="BH7831" s="7"/>
      <c r="BQ7831" s="7"/>
      <c r="BZ7831" s="7"/>
    </row>
    <row r="7832" spans="2:78">
      <c r="B7832" s="7"/>
      <c r="O7832" s="7"/>
      <c r="X7832" s="7"/>
      <c r="AG7832" s="7"/>
      <c r="AP7832" s="7"/>
      <c r="AY7832" s="7"/>
      <c r="BH7832" s="7"/>
      <c r="BQ7832" s="7"/>
      <c r="BZ7832" s="7"/>
    </row>
    <row r="7833" spans="2:78">
      <c r="B7833" s="7"/>
      <c r="O7833" s="7"/>
      <c r="X7833" s="7"/>
      <c r="AG7833" s="7"/>
      <c r="AP7833" s="7"/>
      <c r="AY7833" s="7"/>
      <c r="BH7833" s="7"/>
      <c r="BQ7833" s="7"/>
      <c r="BZ7833" s="7"/>
    </row>
    <row r="7834" spans="2:78">
      <c r="B7834" s="7"/>
      <c r="O7834" s="7"/>
      <c r="X7834" s="7"/>
      <c r="AG7834" s="7"/>
      <c r="AP7834" s="7"/>
      <c r="AY7834" s="7"/>
      <c r="BH7834" s="7"/>
      <c r="BQ7834" s="7"/>
      <c r="BZ7834" s="7"/>
    </row>
    <row r="7835" spans="2:78">
      <c r="B7835" s="7"/>
      <c r="O7835" s="7"/>
      <c r="X7835" s="7"/>
      <c r="AG7835" s="7"/>
      <c r="AP7835" s="7"/>
      <c r="AY7835" s="7"/>
      <c r="BH7835" s="7"/>
      <c r="BQ7835" s="7"/>
      <c r="BZ7835" s="7"/>
    </row>
    <row r="7836" spans="2:78">
      <c r="B7836" s="7"/>
      <c r="O7836" s="7"/>
      <c r="X7836" s="7"/>
      <c r="AG7836" s="7"/>
      <c r="AP7836" s="7"/>
      <c r="AY7836" s="7"/>
      <c r="BH7836" s="7"/>
      <c r="BQ7836" s="7"/>
      <c r="BZ7836" s="7"/>
    </row>
    <row r="7837" spans="2:78">
      <c r="B7837" s="7"/>
      <c r="O7837" s="7"/>
      <c r="X7837" s="7"/>
      <c r="AG7837" s="7"/>
      <c r="AP7837" s="7"/>
      <c r="AY7837" s="7"/>
      <c r="BH7837" s="7"/>
      <c r="BQ7837" s="7"/>
      <c r="BZ7837" s="7"/>
    </row>
    <row r="7838" spans="2:78">
      <c r="B7838" s="7"/>
      <c r="O7838" s="7"/>
      <c r="X7838" s="7"/>
      <c r="AG7838" s="7"/>
      <c r="AP7838" s="7"/>
      <c r="AY7838" s="7"/>
      <c r="BH7838" s="7"/>
      <c r="BQ7838" s="7"/>
      <c r="BZ7838" s="7"/>
    </row>
    <row r="7839" spans="2:78">
      <c r="B7839" s="7"/>
      <c r="O7839" s="7"/>
      <c r="X7839" s="7"/>
      <c r="AG7839" s="7"/>
      <c r="AP7839" s="7"/>
      <c r="AY7839" s="7"/>
      <c r="BH7839" s="7"/>
      <c r="BQ7839" s="7"/>
      <c r="BZ7839" s="7"/>
    </row>
    <row r="7840" spans="2:78">
      <c r="B7840" s="7"/>
      <c r="O7840" s="7"/>
      <c r="X7840" s="7"/>
      <c r="AG7840" s="7"/>
      <c r="AP7840" s="7"/>
      <c r="AY7840" s="7"/>
      <c r="BH7840" s="7"/>
      <c r="BQ7840" s="7"/>
      <c r="BZ7840" s="7"/>
    </row>
    <row r="7841" spans="2:78">
      <c r="B7841" s="7"/>
      <c r="O7841" s="7"/>
      <c r="X7841" s="7"/>
      <c r="AG7841" s="7"/>
      <c r="AP7841" s="7"/>
      <c r="AY7841" s="7"/>
      <c r="BH7841" s="7"/>
      <c r="BQ7841" s="7"/>
      <c r="BZ7841" s="7"/>
    </row>
    <row r="7842" spans="2:78">
      <c r="B7842" s="7"/>
      <c r="O7842" s="7"/>
      <c r="X7842" s="7"/>
      <c r="AG7842" s="7"/>
      <c r="AP7842" s="7"/>
      <c r="AY7842" s="7"/>
      <c r="BH7842" s="7"/>
      <c r="BQ7842" s="7"/>
      <c r="BZ7842" s="7"/>
    </row>
    <row r="7843" spans="2:78">
      <c r="B7843" s="7"/>
      <c r="O7843" s="7"/>
      <c r="X7843" s="7"/>
      <c r="AG7843" s="7"/>
      <c r="AP7843" s="7"/>
      <c r="AY7843" s="7"/>
      <c r="BH7843" s="7"/>
      <c r="BQ7843" s="7"/>
      <c r="BZ7843" s="7"/>
    </row>
    <row r="7844" spans="2:78">
      <c r="B7844" s="7"/>
      <c r="O7844" s="7"/>
      <c r="X7844" s="7"/>
      <c r="AG7844" s="7"/>
      <c r="AP7844" s="7"/>
      <c r="AY7844" s="7"/>
      <c r="BH7844" s="7"/>
      <c r="BQ7844" s="7"/>
      <c r="BZ7844" s="7"/>
    </row>
    <row r="7845" spans="2:78">
      <c r="B7845" s="7"/>
      <c r="O7845" s="7"/>
      <c r="X7845" s="7"/>
      <c r="AG7845" s="7"/>
      <c r="AP7845" s="7"/>
      <c r="AY7845" s="7"/>
      <c r="BH7845" s="7"/>
      <c r="BQ7845" s="7"/>
      <c r="BZ7845" s="7"/>
    </row>
    <row r="7846" spans="2:78">
      <c r="B7846" s="7"/>
      <c r="O7846" s="7"/>
      <c r="X7846" s="7"/>
      <c r="AG7846" s="7"/>
      <c r="AP7846" s="7"/>
      <c r="AY7846" s="7"/>
      <c r="BH7846" s="7"/>
      <c r="BQ7846" s="7"/>
      <c r="BZ7846" s="7"/>
    </row>
    <row r="7847" spans="2:78">
      <c r="B7847" s="7"/>
      <c r="O7847" s="7"/>
      <c r="X7847" s="7"/>
      <c r="AG7847" s="7"/>
      <c r="AP7847" s="7"/>
      <c r="AY7847" s="7"/>
      <c r="BH7847" s="7"/>
      <c r="BQ7847" s="7"/>
      <c r="BZ7847" s="7"/>
    </row>
    <row r="7848" spans="2:78">
      <c r="B7848" s="7"/>
      <c r="O7848" s="7"/>
      <c r="X7848" s="7"/>
      <c r="AG7848" s="7"/>
      <c r="AP7848" s="7"/>
      <c r="AY7848" s="7"/>
      <c r="BH7848" s="7"/>
      <c r="BQ7848" s="7"/>
      <c r="BZ7848" s="7"/>
    </row>
    <row r="7849" spans="2:78">
      <c r="B7849" s="7"/>
      <c r="O7849" s="7"/>
      <c r="X7849" s="7"/>
      <c r="AG7849" s="7"/>
      <c r="AP7849" s="7"/>
      <c r="AY7849" s="7"/>
      <c r="BH7849" s="7"/>
      <c r="BQ7849" s="7"/>
      <c r="BZ7849" s="7"/>
    </row>
    <row r="7850" spans="2:78">
      <c r="B7850" s="7"/>
      <c r="O7850" s="7"/>
      <c r="X7850" s="7"/>
      <c r="AG7850" s="7"/>
      <c r="AP7850" s="7"/>
      <c r="AY7850" s="7"/>
      <c r="BH7850" s="7"/>
      <c r="BQ7850" s="7"/>
      <c r="BZ7850" s="7"/>
    </row>
    <row r="7851" spans="2:78">
      <c r="B7851" s="7"/>
      <c r="O7851" s="7"/>
      <c r="X7851" s="7"/>
      <c r="AG7851" s="7"/>
      <c r="AP7851" s="7"/>
      <c r="AY7851" s="7"/>
      <c r="BH7851" s="7"/>
      <c r="BQ7851" s="7"/>
      <c r="BZ7851" s="7"/>
    </row>
    <row r="7852" spans="2:78">
      <c r="B7852" s="7"/>
      <c r="O7852" s="7"/>
      <c r="X7852" s="7"/>
      <c r="AG7852" s="7"/>
      <c r="AP7852" s="7"/>
      <c r="AY7852" s="7"/>
      <c r="BH7852" s="7"/>
      <c r="BQ7852" s="7"/>
      <c r="BZ7852" s="7"/>
    </row>
    <row r="7853" spans="2:78">
      <c r="B7853" s="7"/>
      <c r="O7853" s="7"/>
      <c r="X7853" s="7"/>
      <c r="AG7853" s="7"/>
      <c r="AP7853" s="7"/>
      <c r="AY7853" s="7"/>
      <c r="BH7853" s="7"/>
      <c r="BQ7853" s="7"/>
      <c r="BZ7853" s="7"/>
    </row>
    <row r="7854" spans="2:78">
      <c r="B7854" s="7"/>
      <c r="O7854" s="7"/>
      <c r="X7854" s="7"/>
      <c r="AG7854" s="7"/>
      <c r="AP7854" s="7"/>
      <c r="AY7854" s="7"/>
      <c r="BH7854" s="7"/>
      <c r="BQ7854" s="7"/>
      <c r="BZ7854" s="7"/>
    </row>
    <row r="7855" spans="2:78">
      <c r="B7855" s="7"/>
      <c r="O7855" s="7"/>
      <c r="X7855" s="7"/>
      <c r="AG7855" s="7"/>
      <c r="AP7855" s="7"/>
      <c r="AY7855" s="7"/>
      <c r="BH7855" s="7"/>
      <c r="BQ7855" s="7"/>
      <c r="BZ7855" s="7"/>
    </row>
    <row r="7856" spans="2:78">
      <c r="B7856" s="7"/>
      <c r="O7856" s="7"/>
      <c r="X7856" s="7"/>
      <c r="AG7856" s="7"/>
      <c r="AP7856" s="7"/>
      <c r="AY7856" s="7"/>
      <c r="BH7856" s="7"/>
      <c r="BQ7856" s="7"/>
      <c r="BZ7856" s="7"/>
    </row>
    <row r="7857" spans="2:78">
      <c r="B7857" s="7"/>
      <c r="O7857" s="7"/>
      <c r="X7857" s="7"/>
      <c r="AG7857" s="7"/>
      <c r="AP7857" s="7"/>
      <c r="AY7857" s="7"/>
      <c r="BH7857" s="7"/>
      <c r="BQ7857" s="7"/>
      <c r="BZ7857" s="7"/>
    </row>
    <row r="7858" spans="2:78">
      <c r="B7858" s="7"/>
      <c r="O7858" s="7"/>
      <c r="X7858" s="7"/>
      <c r="AG7858" s="7"/>
      <c r="AP7858" s="7"/>
      <c r="AY7858" s="7"/>
      <c r="BH7858" s="7"/>
      <c r="BQ7858" s="7"/>
      <c r="BZ7858" s="7"/>
    </row>
    <row r="7859" spans="2:78">
      <c r="B7859" s="7"/>
      <c r="O7859" s="7"/>
      <c r="X7859" s="7"/>
      <c r="AG7859" s="7"/>
      <c r="AP7859" s="7"/>
      <c r="AY7859" s="7"/>
      <c r="BH7859" s="7"/>
      <c r="BQ7859" s="7"/>
      <c r="BZ7859" s="7"/>
    </row>
    <row r="7860" spans="2:78">
      <c r="B7860" s="7"/>
      <c r="O7860" s="7"/>
      <c r="X7860" s="7"/>
      <c r="AG7860" s="7"/>
      <c r="AP7860" s="7"/>
      <c r="AY7860" s="7"/>
      <c r="BH7860" s="7"/>
      <c r="BQ7860" s="7"/>
      <c r="BZ7860" s="7"/>
    </row>
    <row r="7861" spans="2:78">
      <c r="B7861" s="7"/>
      <c r="O7861" s="7"/>
      <c r="X7861" s="7"/>
      <c r="AG7861" s="7"/>
      <c r="AP7861" s="7"/>
      <c r="AY7861" s="7"/>
      <c r="BH7861" s="7"/>
      <c r="BQ7861" s="7"/>
      <c r="BZ7861" s="7"/>
    </row>
    <row r="7862" spans="2:78">
      <c r="B7862" s="7"/>
      <c r="O7862" s="7"/>
      <c r="X7862" s="7"/>
      <c r="AG7862" s="7"/>
      <c r="AP7862" s="7"/>
      <c r="AY7862" s="7"/>
      <c r="BH7862" s="7"/>
      <c r="BQ7862" s="7"/>
      <c r="BZ7862" s="7"/>
    </row>
    <row r="7863" spans="2:78">
      <c r="B7863" s="7"/>
      <c r="O7863" s="7"/>
      <c r="X7863" s="7"/>
      <c r="AG7863" s="7"/>
      <c r="AP7863" s="7"/>
      <c r="AY7863" s="7"/>
      <c r="BH7863" s="7"/>
      <c r="BQ7863" s="7"/>
      <c r="BZ7863" s="7"/>
    </row>
    <row r="7864" spans="2:78">
      <c r="B7864" s="7"/>
      <c r="O7864" s="7"/>
      <c r="X7864" s="7"/>
      <c r="AG7864" s="7"/>
      <c r="AP7864" s="7"/>
      <c r="AY7864" s="7"/>
      <c r="BH7864" s="7"/>
      <c r="BQ7864" s="7"/>
      <c r="BZ7864" s="7"/>
    </row>
    <row r="7865" spans="2:78">
      <c r="B7865" s="7"/>
      <c r="O7865" s="7"/>
      <c r="X7865" s="7"/>
      <c r="AG7865" s="7"/>
      <c r="AP7865" s="7"/>
      <c r="AY7865" s="7"/>
      <c r="BH7865" s="7"/>
      <c r="BQ7865" s="7"/>
      <c r="BZ7865" s="7"/>
    </row>
    <row r="7866" spans="2:78">
      <c r="B7866" s="7"/>
      <c r="O7866" s="7"/>
      <c r="X7866" s="7"/>
      <c r="AG7866" s="7"/>
      <c r="AP7866" s="7"/>
      <c r="AY7866" s="7"/>
      <c r="BH7866" s="7"/>
      <c r="BQ7866" s="7"/>
      <c r="BZ7866" s="7"/>
    </row>
    <row r="7867" spans="2:78">
      <c r="B7867" s="7"/>
      <c r="O7867" s="7"/>
      <c r="X7867" s="7"/>
      <c r="AG7867" s="7"/>
      <c r="AP7867" s="7"/>
      <c r="AY7867" s="7"/>
      <c r="BH7867" s="7"/>
      <c r="BQ7867" s="7"/>
      <c r="BZ7867" s="7"/>
    </row>
    <row r="7868" spans="2:78">
      <c r="B7868" s="7"/>
      <c r="O7868" s="7"/>
      <c r="X7868" s="7"/>
      <c r="AG7868" s="7"/>
      <c r="AP7868" s="7"/>
      <c r="AY7868" s="7"/>
      <c r="BH7868" s="7"/>
      <c r="BQ7868" s="7"/>
      <c r="BZ7868" s="7"/>
    </row>
    <row r="7869" spans="2:78">
      <c r="B7869" s="7"/>
      <c r="O7869" s="7"/>
      <c r="X7869" s="7"/>
      <c r="AG7869" s="7"/>
      <c r="AP7869" s="7"/>
      <c r="AY7869" s="7"/>
      <c r="BH7869" s="7"/>
      <c r="BQ7869" s="7"/>
      <c r="BZ7869" s="7"/>
    </row>
    <row r="7870" spans="2:78">
      <c r="B7870" s="7"/>
      <c r="O7870" s="7"/>
      <c r="X7870" s="7"/>
      <c r="AG7870" s="7"/>
      <c r="AP7870" s="7"/>
      <c r="AY7870" s="7"/>
      <c r="BH7870" s="7"/>
      <c r="BQ7870" s="7"/>
      <c r="BZ7870" s="7"/>
    </row>
    <row r="7871" spans="2:78">
      <c r="B7871" s="7"/>
      <c r="O7871" s="7"/>
      <c r="X7871" s="7"/>
      <c r="AG7871" s="7"/>
      <c r="AP7871" s="7"/>
      <c r="AY7871" s="7"/>
      <c r="BH7871" s="7"/>
      <c r="BQ7871" s="7"/>
      <c r="BZ7871" s="7"/>
    </row>
    <row r="7872" spans="2:78">
      <c r="B7872" s="7"/>
      <c r="O7872" s="7"/>
      <c r="X7872" s="7"/>
      <c r="AG7872" s="7"/>
      <c r="AP7872" s="7"/>
      <c r="AY7872" s="7"/>
      <c r="BH7872" s="7"/>
      <c r="BQ7872" s="7"/>
      <c r="BZ7872" s="7"/>
    </row>
    <row r="7873" spans="2:78">
      <c r="B7873" s="7"/>
      <c r="O7873" s="7"/>
      <c r="X7873" s="7"/>
      <c r="AG7873" s="7"/>
      <c r="AP7873" s="7"/>
      <c r="AY7873" s="7"/>
      <c r="BH7873" s="7"/>
      <c r="BQ7873" s="7"/>
      <c r="BZ7873" s="7"/>
    </row>
    <row r="7874" spans="2:78">
      <c r="B7874" s="7"/>
      <c r="O7874" s="7"/>
      <c r="X7874" s="7"/>
      <c r="AG7874" s="7"/>
      <c r="AP7874" s="7"/>
      <c r="AY7874" s="7"/>
      <c r="BH7874" s="7"/>
      <c r="BQ7874" s="7"/>
      <c r="BZ7874" s="7"/>
    </row>
    <row r="7875" spans="2:78">
      <c r="B7875" s="7"/>
      <c r="O7875" s="7"/>
      <c r="X7875" s="7"/>
      <c r="AG7875" s="7"/>
      <c r="AP7875" s="7"/>
      <c r="AY7875" s="7"/>
      <c r="BH7875" s="7"/>
      <c r="BQ7875" s="7"/>
      <c r="BZ7875" s="7"/>
    </row>
    <row r="7876" spans="2:78">
      <c r="B7876" s="7"/>
      <c r="O7876" s="7"/>
      <c r="X7876" s="7"/>
      <c r="AG7876" s="7"/>
      <c r="AP7876" s="7"/>
      <c r="AY7876" s="7"/>
      <c r="BH7876" s="7"/>
      <c r="BQ7876" s="7"/>
      <c r="BZ7876" s="7"/>
    </row>
    <row r="7877" spans="2:78">
      <c r="B7877" s="7"/>
      <c r="O7877" s="7"/>
      <c r="X7877" s="7"/>
      <c r="AG7877" s="7"/>
      <c r="AP7877" s="7"/>
      <c r="AY7877" s="7"/>
      <c r="BH7877" s="7"/>
      <c r="BQ7877" s="7"/>
      <c r="BZ7877" s="7"/>
    </row>
    <row r="7878" spans="2:78">
      <c r="B7878" s="7"/>
      <c r="O7878" s="7"/>
      <c r="X7878" s="7"/>
      <c r="AG7878" s="7"/>
      <c r="AP7878" s="7"/>
      <c r="AY7878" s="7"/>
      <c r="BH7878" s="7"/>
      <c r="BQ7878" s="7"/>
      <c r="BZ7878" s="7"/>
    </row>
    <row r="7879" spans="2:78">
      <c r="B7879" s="7"/>
      <c r="O7879" s="7"/>
      <c r="X7879" s="7"/>
      <c r="AG7879" s="7"/>
      <c r="AP7879" s="7"/>
      <c r="AY7879" s="7"/>
      <c r="BH7879" s="7"/>
      <c r="BQ7879" s="7"/>
      <c r="BZ7879" s="7"/>
    </row>
    <row r="7880" spans="2:78">
      <c r="B7880" s="7"/>
      <c r="O7880" s="7"/>
      <c r="X7880" s="7"/>
      <c r="AG7880" s="7"/>
      <c r="AP7880" s="7"/>
      <c r="AY7880" s="7"/>
      <c r="BH7880" s="7"/>
      <c r="BQ7880" s="7"/>
      <c r="BZ7880" s="7"/>
    </row>
    <row r="7881" spans="2:78">
      <c r="B7881" s="7"/>
      <c r="O7881" s="7"/>
      <c r="X7881" s="7"/>
      <c r="AG7881" s="7"/>
      <c r="AP7881" s="7"/>
      <c r="AY7881" s="7"/>
      <c r="BH7881" s="7"/>
      <c r="BQ7881" s="7"/>
      <c r="BZ7881" s="7"/>
    </row>
    <row r="7882" spans="2:78">
      <c r="B7882" s="7"/>
      <c r="O7882" s="7"/>
      <c r="X7882" s="7"/>
      <c r="AG7882" s="7"/>
      <c r="AP7882" s="7"/>
      <c r="AY7882" s="7"/>
      <c r="BH7882" s="7"/>
      <c r="BQ7882" s="7"/>
      <c r="BZ7882" s="7"/>
    </row>
    <row r="7883" spans="2:78">
      <c r="B7883" s="7"/>
      <c r="O7883" s="7"/>
      <c r="X7883" s="7"/>
      <c r="AG7883" s="7"/>
      <c r="AP7883" s="7"/>
      <c r="AY7883" s="7"/>
      <c r="BH7883" s="7"/>
      <c r="BQ7883" s="7"/>
      <c r="BZ7883" s="7"/>
    </row>
    <row r="7884" spans="2:78">
      <c r="B7884" s="7"/>
      <c r="O7884" s="7"/>
      <c r="X7884" s="7"/>
      <c r="AG7884" s="7"/>
      <c r="AP7884" s="7"/>
      <c r="AY7884" s="7"/>
      <c r="BH7884" s="7"/>
      <c r="BQ7884" s="7"/>
      <c r="BZ7884" s="7"/>
    </row>
    <row r="7885" spans="2:78">
      <c r="B7885" s="7"/>
      <c r="O7885" s="7"/>
      <c r="X7885" s="7"/>
      <c r="AG7885" s="7"/>
      <c r="AP7885" s="7"/>
      <c r="AY7885" s="7"/>
      <c r="BH7885" s="7"/>
      <c r="BQ7885" s="7"/>
      <c r="BZ7885" s="7"/>
    </row>
    <row r="7886" spans="2:78">
      <c r="B7886" s="7"/>
      <c r="O7886" s="7"/>
      <c r="X7886" s="7"/>
      <c r="AG7886" s="7"/>
      <c r="AP7886" s="7"/>
      <c r="AY7886" s="7"/>
      <c r="BH7886" s="7"/>
      <c r="BQ7886" s="7"/>
      <c r="BZ7886" s="7"/>
    </row>
    <row r="7887" spans="2:78">
      <c r="B7887" s="7"/>
      <c r="O7887" s="7"/>
      <c r="X7887" s="7"/>
      <c r="AG7887" s="7"/>
      <c r="AP7887" s="7"/>
      <c r="AY7887" s="7"/>
      <c r="BH7887" s="7"/>
      <c r="BQ7887" s="7"/>
      <c r="BZ7887" s="7"/>
    </row>
    <row r="7888" spans="2:78">
      <c r="B7888" s="7"/>
      <c r="O7888" s="7"/>
      <c r="X7888" s="7"/>
      <c r="AG7888" s="7"/>
      <c r="AP7888" s="7"/>
      <c r="AY7888" s="7"/>
      <c r="BH7888" s="7"/>
      <c r="BQ7888" s="7"/>
      <c r="BZ7888" s="7"/>
    </row>
    <row r="7889" spans="2:78">
      <c r="B7889" s="7"/>
      <c r="O7889" s="7"/>
      <c r="X7889" s="7"/>
      <c r="AG7889" s="7"/>
      <c r="AP7889" s="7"/>
      <c r="AY7889" s="7"/>
      <c r="BH7889" s="7"/>
      <c r="BQ7889" s="7"/>
      <c r="BZ7889" s="7"/>
    </row>
    <row r="7890" spans="2:78">
      <c r="B7890" s="7"/>
      <c r="O7890" s="7"/>
      <c r="X7890" s="7"/>
      <c r="AG7890" s="7"/>
      <c r="AP7890" s="7"/>
      <c r="AY7890" s="7"/>
      <c r="BH7890" s="7"/>
      <c r="BQ7890" s="7"/>
      <c r="BZ7890" s="7"/>
    </row>
    <row r="7891" spans="2:78">
      <c r="B7891" s="7"/>
      <c r="O7891" s="7"/>
      <c r="X7891" s="7"/>
      <c r="AG7891" s="7"/>
      <c r="AP7891" s="7"/>
      <c r="AY7891" s="7"/>
      <c r="BH7891" s="7"/>
      <c r="BQ7891" s="7"/>
      <c r="BZ7891" s="7"/>
    </row>
    <row r="7892" spans="2:78">
      <c r="B7892" s="7"/>
      <c r="O7892" s="7"/>
      <c r="X7892" s="7"/>
      <c r="AG7892" s="7"/>
      <c r="AP7892" s="7"/>
      <c r="AY7892" s="7"/>
      <c r="BH7892" s="7"/>
      <c r="BQ7892" s="7"/>
      <c r="BZ7892" s="7"/>
    </row>
    <row r="7893" spans="2:78">
      <c r="B7893" s="7"/>
      <c r="O7893" s="7"/>
      <c r="X7893" s="7"/>
      <c r="AG7893" s="7"/>
      <c r="AP7893" s="7"/>
      <c r="AY7893" s="7"/>
      <c r="BH7893" s="7"/>
      <c r="BQ7893" s="7"/>
      <c r="BZ7893" s="7"/>
    </row>
    <row r="7894" spans="2:78">
      <c r="B7894" s="7"/>
      <c r="O7894" s="7"/>
      <c r="X7894" s="7"/>
      <c r="AG7894" s="7"/>
      <c r="AP7894" s="7"/>
      <c r="AY7894" s="7"/>
      <c r="BH7894" s="7"/>
      <c r="BQ7894" s="7"/>
      <c r="BZ7894" s="7"/>
    </row>
    <row r="7895" spans="2:78">
      <c r="B7895" s="7"/>
      <c r="O7895" s="7"/>
      <c r="X7895" s="7"/>
      <c r="AG7895" s="7"/>
      <c r="AP7895" s="7"/>
      <c r="AY7895" s="7"/>
      <c r="BH7895" s="7"/>
      <c r="BQ7895" s="7"/>
      <c r="BZ7895" s="7"/>
    </row>
    <row r="7896" spans="2:78">
      <c r="B7896" s="7"/>
      <c r="O7896" s="7"/>
      <c r="X7896" s="7"/>
      <c r="AG7896" s="7"/>
      <c r="AP7896" s="7"/>
      <c r="AY7896" s="7"/>
      <c r="BH7896" s="7"/>
      <c r="BQ7896" s="7"/>
      <c r="BZ7896" s="7"/>
    </row>
    <row r="7897" spans="2:78">
      <c r="B7897" s="7"/>
      <c r="O7897" s="7"/>
      <c r="X7897" s="7"/>
      <c r="AG7897" s="7"/>
      <c r="AP7897" s="7"/>
      <c r="AY7897" s="7"/>
      <c r="BH7897" s="7"/>
      <c r="BQ7897" s="7"/>
      <c r="BZ7897" s="7"/>
    </row>
    <row r="7898" spans="2:78">
      <c r="B7898" s="7"/>
      <c r="O7898" s="7"/>
      <c r="X7898" s="7"/>
      <c r="AG7898" s="7"/>
      <c r="AP7898" s="7"/>
      <c r="AY7898" s="7"/>
      <c r="BH7898" s="7"/>
      <c r="BQ7898" s="7"/>
      <c r="BZ7898" s="7"/>
    </row>
    <row r="7899" spans="2:78">
      <c r="B7899" s="7"/>
      <c r="O7899" s="7"/>
      <c r="X7899" s="7"/>
      <c r="AG7899" s="7"/>
      <c r="AP7899" s="7"/>
      <c r="AY7899" s="7"/>
      <c r="BH7899" s="7"/>
      <c r="BQ7899" s="7"/>
      <c r="BZ7899" s="7"/>
    </row>
    <row r="7900" spans="2:78">
      <c r="B7900" s="7"/>
      <c r="O7900" s="7"/>
      <c r="X7900" s="7"/>
      <c r="AG7900" s="7"/>
      <c r="AP7900" s="7"/>
      <c r="AY7900" s="7"/>
      <c r="BH7900" s="7"/>
      <c r="BQ7900" s="7"/>
      <c r="BZ7900" s="7"/>
    </row>
    <row r="7901" spans="2:78">
      <c r="B7901" s="7"/>
      <c r="O7901" s="7"/>
      <c r="X7901" s="7"/>
      <c r="AG7901" s="7"/>
      <c r="AP7901" s="7"/>
      <c r="AY7901" s="7"/>
      <c r="BH7901" s="7"/>
      <c r="BQ7901" s="7"/>
      <c r="BZ7901" s="7"/>
    </row>
    <row r="7902" spans="2:78">
      <c r="B7902" s="7"/>
      <c r="O7902" s="7"/>
      <c r="X7902" s="7"/>
      <c r="AG7902" s="7"/>
      <c r="AP7902" s="7"/>
      <c r="AY7902" s="7"/>
      <c r="BH7902" s="7"/>
      <c r="BQ7902" s="7"/>
      <c r="BZ7902" s="7"/>
    </row>
    <row r="7903" spans="2:78">
      <c r="B7903" s="7"/>
      <c r="O7903" s="7"/>
      <c r="X7903" s="7"/>
      <c r="AG7903" s="7"/>
      <c r="AP7903" s="7"/>
      <c r="AY7903" s="7"/>
      <c r="BH7903" s="7"/>
      <c r="BQ7903" s="7"/>
      <c r="BZ7903" s="7"/>
    </row>
    <row r="7904" spans="2:78">
      <c r="B7904" s="7"/>
      <c r="O7904" s="7"/>
      <c r="X7904" s="7"/>
      <c r="AG7904" s="7"/>
      <c r="AP7904" s="7"/>
      <c r="AY7904" s="7"/>
      <c r="BH7904" s="7"/>
      <c r="BQ7904" s="7"/>
      <c r="BZ7904" s="7"/>
    </row>
    <row r="7905" spans="2:78">
      <c r="B7905" s="7"/>
      <c r="O7905" s="7"/>
      <c r="X7905" s="7"/>
      <c r="AG7905" s="7"/>
      <c r="AP7905" s="7"/>
      <c r="AY7905" s="7"/>
      <c r="BH7905" s="7"/>
      <c r="BQ7905" s="7"/>
      <c r="BZ7905" s="7"/>
    </row>
    <row r="7906" spans="2:78">
      <c r="B7906" s="7"/>
      <c r="O7906" s="7"/>
      <c r="X7906" s="7"/>
      <c r="AG7906" s="7"/>
      <c r="AP7906" s="7"/>
      <c r="AY7906" s="7"/>
      <c r="BH7906" s="7"/>
      <c r="BQ7906" s="7"/>
      <c r="BZ7906" s="7"/>
    </row>
    <row r="7907" spans="2:78">
      <c r="B7907" s="7"/>
      <c r="O7907" s="7"/>
      <c r="X7907" s="7"/>
      <c r="AG7907" s="7"/>
      <c r="AP7907" s="7"/>
      <c r="AY7907" s="7"/>
      <c r="BH7907" s="7"/>
      <c r="BQ7907" s="7"/>
      <c r="BZ7907" s="7"/>
    </row>
    <row r="7908" spans="2:78">
      <c r="B7908" s="7"/>
      <c r="O7908" s="7"/>
      <c r="X7908" s="7"/>
      <c r="AG7908" s="7"/>
      <c r="AP7908" s="7"/>
      <c r="AY7908" s="7"/>
      <c r="BH7908" s="7"/>
      <c r="BQ7908" s="7"/>
      <c r="BZ7908" s="7"/>
    </row>
    <row r="7909" spans="2:78">
      <c r="B7909" s="7"/>
      <c r="O7909" s="7"/>
      <c r="X7909" s="7"/>
      <c r="AG7909" s="7"/>
      <c r="AP7909" s="7"/>
      <c r="AY7909" s="7"/>
      <c r="BH7909" s="7"/>
      <c r="BQ7909" s="7"/>
      <c r="BZ7909" s="7"/>
    </row>
    <row r="7910" spans="2:78">
      <c r="B7910" s="7"/>
      <c r="O7910" s="7"/>
      <c r="X7910" s="7"/>
      <c r="AG7910" s="7"/>
      <c r="AP7910" s="7"/>
      <c r="AY7910" s="7"/>
      <c r="BH7910" s="7"/>
      <c r="BQ7910" s="7"/>
      <c r="BZ7910" s="7"/>
    </row>
    <row r="7911" spans="2:78">
      <c r="B7911" s="7"/>
      <c r="O7911" s="7"/>
      <c r="X7911" s="7"/>
      <c r="AG7911" s="7"/>
      <c r="AP7911" s="7"/>
      <c r="AY7911" s="7"/>
      <c r="BH7911" s="7"/>
      <c r="BQ7911" s="7"/>
      <c r="BZ7911" s="7"/>
    </row>
    <row r="7912" spans="2:78">
      <c r="B7912" s="7"/>
      <c r="O7912" s="7"/>
      <c r="X7912" s="7"/>
      <c r="AG7912" s="7"/>
      <c r="AP7912" s="7"/>
      <c r="AY7912" s="7"/>
      <c r="BH7912" s="7"/>
      <c r="BQ7912" s="7"/>
      <c r="BZ7912" s="7"/>
    </row>
    <row r="7913" spans="2:78">
      <c r="B7913" s="7"/>
      <c r="O7913" s="7"/>
      <c r="X7913" s="7"/>
      <c r="AG7913" s="7"/>
      <c r="AP7913" s="7"/>
      <c r="AY7913" s="7"/>
      <c r="BH7913" s="7"/>
      <c r="BQ7913" s="7"/>
      <c r="BZ7913" s="7"/>
    </row>
    <row r="7914" spans="2:78">
      <c r="B7914" s="7"/>
      <c r="O7914" s="7"/>
      <c r="X7914" s="7"/>
      <c r="AG7914" s="7"/>
      <c r="AP7914" s="7"/>
      <c r="AY7914" s="7"/>
      <c r="BH7914" s="7"/>
      <c r="BQ7914" s="7"/>
      <c r="BZ7914" s="7"/>
    </row>
    <row r="7915" spans="2:78">
      <c r="B7915" s="7"/>
      <c r="O7915" s="7"/>
      <c r="X7915" s="7"/>
      <c r="AG7915" s="7"/>
      <c r="AP7915" s="7"/>
      <c r="AY7915" s="7"/>
      <c r="BH7915" s="7"/>
      <c r="BQ7915" s="7"/>
      <c r="BZ7915" s="7"/>
    </row>
    <row r="7916" spans="2:78">
      <c r="B7916" s="7"/>
      <c r="O7916" s="7"/>
      <c r="X7916" s="7"/>
      <c r="AG7916" s="7"/>
      <c r="AP7916" s="7"/>
      <c r="AY7916" s="7"/>
      <c r="BH7916" s="7"/>
      <c r="BQ7916" s="7"/>
      <c r="BZ7916" s="7"/>
    </row>
    <row r="7917" spans="2:78">
      <c r="B7917" s="7"/>
      <c r="O7917" s="7"/>
      <c r="X7917" s="7"/>
      <c r="AG7917" s="7"/>
      <c r="AP7917" s="7"/>
      <c r="AY7917" s="7"/>
      <c r="BH7917" s="7"/>
      <c r="BQ7917" s="7"/>
      <c r="BZ7917" s="7"/>
    </row>
    <row r="7918" spans="2:78">
      <c r="B7918" s="7"/>
      <c r="O7918" s="7"/>
      <c r="X7918" s="7"/>
      <c r="AG7918" s="7"/>
      <c r="AP7918" s="7"/>
      <c r="AY7918" s="7"/>
      <c r="BH7918" s="7"/>
      <c r="BQ7918" s="7"/>
      <c r="BZ7918" s="7"/>
    </row>
    <row r="7919" spans="2:78">
      <c r="B7919" s="7"/>
      <c r="O7919" s="7"/>
      <c r="X7919" s="7"/>
      <c r="AG7919" s="7"/>
      <c r="AP7919" s="7"/>
      <c r="AY7919" s="7"/>
      <c r="BH7919" s="7"/>
      <c r="BQ7919" s="7"/>
      <c r="BZ7919" s="7"/>
    </row>
    <row r="7920" spans="2:78">
      <c r="B7920" s="7"/>
      <c r="O7920" s="7"/>
      <c r="X7920" s="7"/>
      <c r="AG7920" s="7"/>
      <c r="AP7920" s="7"/>
      <c r="AY7920" s="7"/>
      <c r="BH7920" s="7"/>
      <c r="BQ7920" s="7"/>
      <c r="BZ7920" s="7"/>
    </row>
    <row r="7921" spans="2:78">
      <c r="B7921" s="7"/>
      <c r="O7921" s="7"/>
      <c r="X7921" s="7"/>
      <c r="AG7921" s="7"/>
      <c r="AP7921" s="7"/>
      <c r="AY7921" s="7"/>
      <c r="BH7921" s="7"/>
      <c r="BQ7921" s="7"/>
      <c r="BZ7921" s="7"/>
    </row>
    <row r="7922" spans="2:78">
      <c r="B7922" s="7"/>
      <c r="O7922" s="7"/>
      <c r="X7922" s="7"/>
      <c r="AG7922" s="7"/>
      <c r="AP7922" s="7"/>
      <c r="AY7922" s="7"/>
      <c r="BH7922" s="7"/>
      <c r="BQ7922" s="7"/>
      <c r="BZ7922" s="7"/>
    </row>
    <row r="7923" spans="2:78">
      <c r="B7923" s="7"/>
      <c r="O7923" s="7"/>
      <c r="X7923" s="7"/>
      <c r="AG7923" s="7"/>
      <c r="AP7923" s="7"/>
      <c r="AY7923" s="7"/>
      <c r="BH7923" s="7"/>
      <c r="BQ7923" s="7"/>
      <c r="BZ7923" s="7"/>
    </row>
    <row r="7924" spans="2:78">
      <c r="B7924" s="7"/>
      <c r="O7924" s="7"/>
      <c r="X7924" s="7"/>
      <c r="AG7924" s="7"/>
      <c r="AP7924" s="7"/>
      <c r="AY7924" s="7"/>
      <c r="BH7924" s="7"/>
      <c r="BQ7924" s="7"/>
      <c r="BZ7924" s="7"/>
    </row>
    <row r="7925" spans="2:78">
      <c r="B7925" s="7"/>
      <c r="O7925" s="7"/>
      <c r="X7925" s="7"/>
      <c r="AG7925" s="7"/>
      <c r="AP7925" s="7"/>
      <c r="AY7925" s="7"/>
      <c r="BH7925" s="7"/>
      <c r="BQ7925" s="7"/>
      <c r="BZ7925" s="7"/>
    </row>
    <row r="7926" spans="2:78">
      <c r="B7926" s="7"/>
      <c r="O7926" s="7"/>
      <c r="X7926" s="7"/>
      <c r="AG7926" s="7"/>
      <c r="AP7926" s="7"/>
      <c r="AY7926" s="7"/>
      <c r="BH7926" s="7"/>
      <c r="BQ7926" s="7"/>
      <c r="BZ7926" s="7"/>
    </row>
    <row r="7927" spans="2:78">
      <c r="B7927" s="7"/>
      <c r="O7927" s="7"/>
      <c r="X7927" s="7"/>
      <c r="AG7927" s="7"/>
      <c r="AP7927" s="7"/>
      <c r="AY7927" s="7"/>
      <c r="BH7927" s="7"/>
      <c r="BQ7927" s="7"/>
      <c r="BZ7927" s="7"/>
    </row>
    <row r="7928" spans="2:78">
      <c r="B7928" s="7"/>
      <c r="O7928" s="7"/>
      <c r="X7928" s="7"/>
      <c r="AG7928" s="7"/>
      <c r="AP7928" s="7"/>
      <c r="AY7928" s="7"/>
      <c r="BH7928" s="7"/>
      <c r="BQ7928" s="7"/>
      <c r="BZ7928" s="7"/>
    </row>
    <row r="7929" spans="2:78">
      <c r="B7929" s="7"/>
      <c r="O7929" s="7"/>
      <c r="X7929" s="7"/>
      <c r="AG7929" s="7"/>
      <c r="AP7929" s="7"/>
      <c r="AY7929" s="7"/>
      <c r="BH7929" s="7"/>
      <c r="BQ7929" s="7"/>
      <c r="BZ7929" s="7"/>
    </row>
    <row r="7930" spans="2:78">
      <c r="B7930" s="7"/>
      <c r="O7930" s="7"/>
      <c r="X7930" s="7"/>
      <c r="AG7930" s="7"/>
      <c r="AP7930" s="7"/>
      <c r="AY7930" s="7"/>
      <c r="BH7930" s="7"/>
      <c r="BQ7930" s="7"/>
      <c r="BZ7930" s="7"/>
    </row>
    <row r="7931" spans="2:78">
      <c r="B7931" s="7"/>
      <c r="O7931" s="7"/>
      <c r="X7931" s="7"/>
      <c r="AG7931" s="7"/>
      <c r="AP7931" s="7"/>
      <c r="AY7931" s="7"/>
      <c r="BH7931" s="7"/>
      <c r="BQ7931" s="7"/>
      <c r="BZ7931" s="7"/>
    </row>
    <row r="7932" spans="2:78">
      <c r="B7932" s="7"/>
      <c r="O7932" s="7"/>
      <c r="X7932" s="7"/>
      <c r="AG7932" s="7"/>
      <c r="AP7932" s="7"/>
      <c r="AY7932" s="7"/>
      <c r="BH7932" s="7"/>
      <c r="BQ7932" s="7"/>
      <c r="BZ7932" s="7"/>
    </row>
    <row r="7933" spans="2:78">
      <c r="B7933" s="7"/>
      <c r="O7933" s="7"/>
      <c r="X7933" s="7"/>
      <c r="AG7933" s="7"/>
      <c r="AP7933" s="7"/>
      <c r="AY7933" s="7"/>
      <c r="BH7933" s="7"/>
      <c r="BQ7933" s="7"/>
      <c r="BZ7933" s="7"/>
    </row>
    <row r="7934" spans="2:78">
      <c r="B7934" s="7"/>
      <c r="O7934" s="7"/>
      <c r="X7934" s="7"/>
      <c r="AG7934" s="7"/>
      <c r="AP7934" s="7"/>
      <c r="AY7934" s="7"/>
      <c r="BH7934" s="7"/>
      <c r="BQ7934" s="7"/>
      <c r="BZ7934" s="7"/>
    </row>
    <row r="7935" spans="2:78">
      <c r="B7935" s="7"/>
      <c r="O7935" s="7"/>
      <c r="X7935" s="7"/>
      <c r="AG7935" s="7"/>
      <c r="AP7935" s="7"/>
      <c r="AY7935" s="7"/>
      <c r="BH7935" s="7"/>
      <c r="BQ7935" s="7"/>
      <c r="BZ7935" s="7"/>
    </row>
    <row r="7936" spans="2:78">
      <c r="B7936" s="7"/>
      <c r="O7936" s="7"/>
      <c r="X7936" s="7"/>
      <c r="AG7936" s="7"/>
      <c r="AP7936" s="7"/>
      <c r="AY7936" s="7"/>
      <c r="BH7936" s="7"/>
      <c r="BQ7936" s="7"/>
      <c r="BZ7936" s="7"/>
    </row>
    <row r="7937" spans="2:78">
      <c r="B7937" s="7"/>
      <c r="O7937" s="7"/>
      <c r="X7937" s="7"/>
      <c r="AG7937" s="7"/>
      <c r="AP7937" s="7"/>
      <c r="AY7937" s="7"/>
      <c r="BH7937" s="7"/>
      <c r="BQ7937" s="7"/>
      <c r="BZ7937" s="7"/>
    </row>
    <row r="7938" spans="2:78">
      <c r="B7938" s="7"/>
      <c r="O7938" s="7"/>
      <c r="X7938" s="7"/>
      <c r="AG7938" s="7"/>
      <c r="AP7938" s="7"/>
      <c r="AY7938" s="7"/>
      <c r="BH7938" s="7"/>
      <c r="BQ7938" s="7"/>
      <c r="BZ7938" s="7"/>
    </row>
    <row r="7939" spans="2:78">
      <c r="B7939" s="7"/>
      <c r="O7939" s="7"/>
      <c r="X7939" s="7"/>
      <c r="AG7939" s="7"/>
      <c r="AP7939" s="7"/>
      <c r="AY7939" s="7"/>
      <c r="BH7939" s="7"/>
      <c r="BQ7939" s="7"/>
      <c r="BZ7939" s="7"/>
    </row>
    <row r="7940" spans="2:78">
      <c r="B7940" s="7"/>
      <c r="O7940" s="7"/>
      <c r="X7940" s="7"/>
      <c r="AG7940" s="7"/>
      <c r="AP7940" s="7"/>
      <c r="AY7940" s="7"/>
      <c r="BH7940" s="7"/>
      <c r="BQ7940" s="7"/>
      <c r="BZ7940" s="7"/>
    </row>
    <row r="7941" spans="2:78">
      <c r="B7941" s="7"/>
      <c r="O7941" s="7"/>
      <c r="X7941" s="7"/>
      <c r="AG7941" s="7"/>
      <c r="AP7941" s="7"/>
      <c r="AY7941" s="7"/>
      <c r="BH7941" s="7"/>
      <c r="BQ7941" s="7"/>
      <c r="BZ7941" s="7"/>
    </row>
    <row r="7942" spans="2:78">
      <c r="B7942" s="7"/>
      <c r="O7942" s="7"/>
      <c r="X7942" s="7"/>
      <c r="AG7942" s="7"/>
      <c r="AP7942" s="7"/>
      <c r="AY7942" s="7"/>
      <c r="BH7942" s="7"/>
      <c r="BQ7942" s="7"/>
      <c r="BZ7942" s="7"/>
    </row>
    <row r="7943" spans="2:78">
      <c r="B7943" s="7"/>
      <c r="O7943" s="7"/>
      <c r="X7943" s="7"/>
      <c r="AG7943" s="7"/>
      <c r="AP7943" s="7"/>
      <c r="AY7943" s="7"/>
      <c r="BH7943" s="7"/>
      <c r="BQ7943" s="7"/>
      <c r="BZ7943" s="7"/>
    </row>
    <row r="7944" spans="2:78">
      <c r="B7944" s="7"/>
      <c r="O7944" s="7"/>
      <c r="X7944" s="7"/>
      <c r="AG7944" s="7"/>
      <c r="AP7944" s="7"/>
      <c r="AY7944" s="7"/>
      <c r="BH7944" s="7"/>
      <c r="BQ7944" s="7"/>
      <c r="BZ7944" s="7"/>
    </row>
    <row r="7945" spans="2:78">
      <c r="B7945" s="7"/>
      <c r="O7945" s="7"/>
      <c r="X7945" s="7"/>
      <c r="AG7945" s="7"/>
      <c r="AP7945" s="7"/>
      <c r="AY7945" s="7"/>
      <c r="BH7945" s="7"/>
      <c r="BQ7945" s="7"/>
      <c r="BZ7945" s="7"/>
    </row>
    <row r="7946" spans="2:78">
      <c r="B7946" s="7"/>
      <c r="O7946" s="7"/>
      <c r="X7946" s="7"/>
      <c r="AG7946" s="7"/>
      <c r="AP7946" s="7"/>
      <c r="AY7946" s="7"/>
      <c r="BH7946" s="7"/>
      <c r="BQ7946" s="7"/>
      <c r="BZ7946" s="7"/>
    </row>
    <row r="7947" spans="2:78">
      <c r="B7947" s="7"/>
      <c r="O7947" s="7"/>
      <c r="X7947" s="7"/>
      <c r="AG7947" s="7"/>
      <c r="AP7947" s="7"/>
      <c r="AY7947" s="7"/>
      <c r="BH7947" s="7"/>
      <c r="BQ7947" s="7"/>
      <c r="BZ7947" s="7"/>
    </row>
    <row r="7948" spans="2:78">
      <c r="B7948" s="7"/>
      <c r="O7948" s="7"/>
      <c r="X7948" s="7"/>
      <c r="AG7948" s="7"/>
      <c r="AP7948" s="7"/>
      <c r="AY7948" s="7"/>
      <c r="BH7948" s="7"/>
      <c r="BQ7948" s="7"/>
      <c r="BZ7948" s="7"/>
    </row>
    <row r="7949" spans="2:78">
      <c r="B7949" s="7"/>
      <c r="O7949" s="7"/>
      <c r="X7949" s="7"/>
      <c r="AG7949" s="7"/>
      <c r="AP7949" s="7"/>
      <c r="AY7949" s="7"/>
      <c r="BH7949" s="7"/>
      <c r="BQ7949" s="7"/>
      <c r="BZ7949" s="7"/>
    </row>
    <row r="7950" spans="2:78">
      <c r="B7950" s="7"/>
      <c r="O7950" s="7"/>
      <c r="X7950" s="7"/>
      <c r="AG7950" s="7"/>
      <c r="AP7950" s="7"/>
      <c r="AY7950" s="7"/>
      <c r="BH7950" s="7"/>
      <c r="BQ7950" s="7"/>
      <c r="BZ7950" s="7"/>
    </row>
    <row r="7951" spans="2:78">
      <c r="B7951" s="7"/>
      <c r="O7951" s="7"/>
      <c r="X7951" s="7"/>
      <c r="AG7951" s="7"/>
      <c r="AP7951" s="7"/>
      <c r="AY7951" s="7"/>
      <c r="BH7951" s="7"/>
      <c r="BQ7951" s="7"/>
      <c r="BZ7951" s="7"/>
    </row>
    <row r="7952" spans="2:78">
      <c r="B7952" s="7"/>
      <c r="O7952" s="7"/>
      <c r="X7952" s="7"/>
      <c r="AG7952" s="7"/>
      <c r="AP7952" s="7"/>
      <c r="AY7952" s="7"/>
      <c r="BH7952" s="7"/>
      <c r="BQ7952" s="7"/>
      <c r="BZ7952" s="7"/>
    </row>
    <row r="7953" spans="2:78">
      <c r="B7953" s="7"/>
      <c r="O7953" s="7"/>
      <c r="X7953" s="7"/>
      <c r="AG7953" s="7"/>
      <c r="AP7953" s="7"/>
      <c r="AY7953" s="7"/>
      <c r="BH7953" s="7"/>
      <c r="BQ7953" s="7"/>
      <c r="BZ7953" s="7"/>
    </row>
    <row r="7954" spans="2:78">
      <c r="B7954" s="7"/>
      <c r="O7954" s="7"/>
      <c r="X7954" s="7"/>
      <c r="AG7954" s="7"/>
      <c r="AP7954" s="7"/>
      <c r="AY7954" s="7"/>
      <c r="BH7954" s="7"/>
      <c r="BQ7954" s="7"/>
      <c r="BZ7954" s="7"/>
    </row>
    <row r="7955" spans="2:78">
      <c r="B7955" s="7"/>
      <c r="O7955" s="7"/>
      <c r="X7955" s="7"/>
      <c r="AG7955" s="7"/>
      <c r="AP7955" s="7"/>
      <c r="AY7955" s="7"/>
      <c r="BH7955" s="7"/>
      <c r="BQ7955" s="7"/>
      <c r="BZ7955" s="7"/>
    </row>
    <row r="7956" spans="2:78">
      <c r="B7956" s="7"/>
      <c r="O7956" s="7"/>
      <c r="X7956" s="7"/>
      <c r="AG7956" s="7"/>
      <c r="AP7956" s="7"/>
      <c r="AY7956" s="7"/>
      <c r="BH7956" s="7"/>
      <c r="BQ7956" s="7"/>
      <c r="BZ7956" s="7"/>
    </row>
    <row r="7957" spans="2:78">
      <c r="B7957" s="7"/>
      <c r="O7957" s="7"/>
      <c r="X7957" s="7"/>
      <c r="AG7957" s="7"/>
      <c r="AP7957" s="7"/>
      <c r="AY7957" s="7"/>
      <c r="BH7957" s="7"/>
      <c r="BQ7957" s="7"/>
      <c r="BZ7957" s="7"/>
    </row>
    <row r="7958" spans="2:78">
      <c r="B7958" s="7"/>
      <c r="O7958" s="7"/>
      <c r="X7958" s="7"/>
      <c r="AG7958" s="7"/>
      <c r="AP7958" s="7"/>
      <c r="AY7958" s="7"/>
      <c r="BH7958" s="7"/>
      <c r="BQ7958" s="7"/>
      <c r="BZ7958" s="7"/>
    </row>
    <row r="7959" spans="2:78">
      <c r="B7959" s="7"/>
      <c r="O7959" s="7"/>
      <c r="X7959" s="7"/>
      <c r="AG7959" s="7"/>
      <c r="AP7959" s="7"/>
      <c r="AY7959" s="7"/>
      <c r="BH7959" s="7"/>
      <c r="BQ7959" s="7"/>
      <c r="BZ7959" s="7"/>
    </row>
    <row r="7960" spans="2:78">
      <c r="B7960" s="7"/>
      <c r="O7960" s="7"/>
      <c r="X7960" s="7"/>
      <c r="AG7960" s="7"/>
      <c r="AP7960" s="7"/>
      <c r="AY7960" s="7"/>
      <c r="BH7960" s="7"/>
      <c r="BQ7960" s="7"/>
      <c r="BZ7960" s="7"/>
    </row>
    <row r="7961" spans="2:78">
      <c r="B7961" s="7"/>
      <c r="O7961" s="7"/>
      <c r="X7961" s="7"/>
      <c r="AG7961" s="7"/>
      <c r="AP7961" s="7"/>
      <c r="AY7961" s="7"/>
      <c r="BH7961" s="7"/>
      <c r="BQ7961" s="7"/>
      <c r="BZ7961" s="7"/>
    </row>
    <row r="7962" spans="2:78">
      <c r="B7962" s="7"/>
      <c r="O7962" s="7"/>
      <c r="X7962" s="7"/>
      <c r="AG7962" s="7"/>
      <c r="AP7962" s="7"/>
      <c r="AY7962" s="7"/>
      <c r="BH7962" s="7"/>
      <c r="BQ7962" s="7"/>
      <c r="BZ7962" s="7"/>
    </row>
    <row r="7963" spans="2:78">
      <c r="B7963" s="7"/>
      <c r="O7963" s="7"/>
      <c r="X7963" s="7"/>
      <c r="AG7963" s="7"/>
      <c r="AP7963" s="7"/>
      <c r="AY7963" s="7"/>
      <c r="BH7963" s="7"/>
      <c r="BQ7963" s="7"/>
      <c r="BZ7963" s="7"/>
    </row>
    <row r="7964" spans="2:78">
      <c r="B7964" s="7"/>
      <c r="O7964" s="7"/>
      <c r="X7964" s="7"/>
      <c r="AG7964" s="7"/>
      <c r="AP7964" s="7"/>
      <c r="AY7964" s="7"/>
      <c r="BH7964" s="7"/>
      <c r="BQ7964" s="7"/>
      <c r="BZ7964" s="7"/>
    </row>
    <row r="7965" spans="2:78">
      <c r="B7965" s="7"/>
      <c r="O7965" s="7"/>
      <c r="X7965" s="7"/>
      <c r="AG7965" s="7"/>
      <c r="AP7965" s="7"/>
      <c r="AY7965" s="7"/>
      <c r="BH7965" s="7"/>
      <c r="BQ7965" s="7"/>
      <c r="BZ7965" s="7"/>
    </row>
    <row r="7966" spans="2:78">
      <c r="B7966" s="7"/>
      <c r="O7966" s="7"/>
      <c r="X7966" s="7"/>
      <c r="AG7966" s="7"/>
      <c r="AP7966" s="7"/>
      <c r="AY7966" s="7"/>
      <c r="BH7966" s="7"/>
      <c r="BQ7966" s="7"/>
      <c r="BZ7966" s="7"/>
    </row>
    <row r="7967" spans="2:78">
      <c r="B7967" s="7"/>
      <c r="O7967" s="7"/>
      <c r="X7967" s="7"/>
      <c r="AG7967" s="7"/>
      <c r="AP7967" s="7"/>
      <c r="AY7967" s="7"/>
      <c r="BH7967" s="7"/>
      <c r="BQ7967" s="7"/>
      <c r="BZ7967" s="7"/>
    </row>
    <row r="7968" spans="2:78">
      <c r="B7968" s="7"/>
      <c r="O7968" s="7"/>
      <c r="X7968" s="7"/>
      <c r="AG7968" s="7"/>
      <c r="AP7968" s="7"/>
      <c r="AY7968" s="7"/>
      <c r="BH7968" s="7"/>
      <c r="BQ7968" s="7"/>
      <c r="BZ7968" s="7"/>
    </row>
    <row r="7969" spans="2:78">
      <c r="B7969" s="7"/>
      <c r="O7969" s="7"/>
      <c r="X7969" s="7"/>
      <c r="AG7969" s="7"/>
      <c r="AP7969" s="7"/>
      <c r="AY7969" s="7"/>
      <c r="BH7969" s="7"/>
      <c r="BQ7969" s="7"/>
      <c r="BZ7969" s="7"/>
    </row>
    <row r="7970" spans="2:78">
      <c r="B7970" s="7"/>
      <c r="O7970" s="7"/>
      <c r="X7970" s="7"/>
      <c r="AG7970" s="7"/>
      <c r="AP7970" s="7"/>
      <c r="AY7970" s="7"/>
      <c r="BH7970" s="7"/>
      <c r="BQ7970" s="7"/>
      <c r="BZ7970" s="7"/>
    </row>
    <row r="7971" spans="2:78">
      <c r="B7971" s="7"/>
      <c r="O7971" s="7"/>
      <c r="X7971" s="7"/>
      <c r="AG7971" s="7"/>
      <c r="AP7971" s="7"/>
      <c r="AY7971" s="7"/>
      <c r="BH7971" s="7"/>
      <c r="BQ7971" s="7"/>
      <c r="BZ7971" s="7"/>
    </row>
    <row r="7972" spans="2:78">
      <c r="B7972" s="7"/>
      <c r="O7972" s="7"/>
      <c r="X7972" s="7"/>
      <c r="AG7972" s="7"/>
      <c r="AP7972" s="7"/>
      <c r="AY7972" s="7"/>
      <c r="BH7972" s="7"/>
      <c r="BQ7972" s="7"/>
      <c r="BZ7972" s="7"/>
    </row>
    <row r="7973" spans="2:78">
      <c r="B7973" s="7"/>
      <c r="O7973" s="7"/>
      <c r="X7973" s="7"/>
      <c r="AG7973" s="7"/>
      <c r="AP7973" s="7"/>
      <c r="AY7973" s="7"/>
      <c r="BH7973" s="7"/>
      <c r="BQ7973" s="7"/>
      <c r="BZ7973" s="7"/>
    </row>
    <row r="7974" spans="2:78">
      <c r="B7974" s="7"/>
      <c r="O7974" s="7"/>
      <c r="X7974" s="7"/>
      <c r="AG7974" s="7"/>
      <c r="AP7974" s="7"/>
      <c r="AY7974" s="7"/>
      <c r="BH7974" s="7"/>
      <c r="BQ7974" s="7"/>
      <c r="BZ7974" s="7"/>
    </row>
    <row r="7975" spans="2:78">
      <c r="B7975" s="7"/>
      <c r="O7975" s="7"/>
      <c r="X7975" s="7"/>
      <c r="AG7975" s="7"/>
      <c r="AP7975" s="7"/>
      <c r="AY7975" s="7"/>
      <c r="BH7975" s="7"/>
      <c r="BQ7975" s="7"/>
      <c r="BZ7975" s="7"/>
    </row>
    <row r="7976" spans="2:78">
      <c r="B7976" s="7"/>
      <c r="O7976" s="7"/>
      <c r="X7976" s="7"/>
      <c r="AG7976" s="7"/>
      <c r="AP7976" s="7"/>
      <c r="AY7976" s="7"/>
      <c r="BH7976" s="7"/>
      <c r="BQ7976" s="7"/>
      <c r="BZ7976" s="7"/>
    </row>
    <row r="7977" spans="2:78">
      <c r="B7977" s="7"/>
      <c r="O7977" s="7"/>
      <c r="X7977" s="7"/>
      <c r="AG7977" s="7"/>
      <c r="AP7977" s="7"/>
      <c r="AY7977" s="7"/>
      <c r="BH7977" s="7"/>
      <c r="BQ7977" s="7"/>
      <c r="BZ7977" s="7"/>
    </row>
    <row r="7978" spans="2:78">
      <c r="B7978" s="7"/>
      <c r="O7978" s="7"/>
      <c r="X7978" s="7"/>
      <c r="AG7978" s="7"/>
      <c r="AP7978" s="7"/>
      <c r="AY7978" s="7"/>
      <c r="BH7978" s="7"/>
      <c r="BQ7978" s="7"/>
      <c r="BZ7978" s="7"/>
    </row>
    <row r="7979" spans="2:78">
      <c r="B7979" s="7"/>
      <c r="O7979" s="7"/>
      <c r="X7979" s="7"/>
      <c r="AG7979" s="7"/>
      <c r="AP7979" s="7"/>
      <c r="AY7979" s="7"/>
      <c r="BH7979" s="7"/>
      <c r="BQ7979" s="7"/>
      <c r="BZ7979" s="7"/>
    </row>
    <row r="7980" spans="2:78">
      <c r="B7980" s="7"/>
      <c r="O7980" s="7"/>
      <c r="X7980" s="7"/>
      <c r="AG7980" s="7"/>
      <c r="AP7980" s="7"/>
      <c r="AY7980" s="7"/>
      <c r="BH7980" s="7"/>
      <c r="BQ7980" s="7"/>
      <c r="BZ7980" s="7"/>
    </row>
    <row r="7981" spans="2:78">
      <c r="B7981" s="7"/>
      <c r="O7981" s="7"/>
      <c r="X7981" s="7"/>
      <c r="AG7981" s="7"/>
      <c r="AP7981" s="7"/>
      <c r="AY7981" s="7"/>
      <c r="BH7981" s="7"/>
      <c r="BQ7981" s="7"/>
      <c r="BZ7981" s="7"/>
    </row>
    <row r="7982" spans="2:78">
      <c r="B7982" s="7"/>
      <c r="O7982" s="7"/>
      <c r="X7982" s="7"/>
      <c r="AG7982" s="7"/>
      <c r="AP7982" s="7"/>
      <c r="AY7982" s="7"/>
      <c r="BH7982" s="7"/>
      <c r="BQ7982" s="7"/>
      <c r="BZ7982" s="7"/>
    </row>
    <row r="7983" spans="2:78">
      <c r="B7983" s="7"/>
      <c r="O7983" s="7"/>
      <c r="X7983" s="7"/>
      <c r="AG7983" s="7"/>
      <c r="AP7983" s="7"/>
      <c r="AY7983" s="7"/>
      <c r="BH7983" s="7"/>
      <c r="BQ7983" s="7"/>
      <c r="BZ7983" s="7"/>
    </row>
    <row r="7984" spans="2:78">
      <c r="B7984" s="7"/>
      <c r="O7984" s="7"/>
      <c r="X7984" s="7"/>
      <c r="AG7984" s="7"/>
      <c r="AP7984" s="7"/>
      <c r="AY7984" s="7"/>
      <c r="BH7984" s="7"/>
      <c r="BQ7984" s="7"/>
      <c r="BZ7984" s="7"/>
    </row>
    <row r="7985" spans="2:78">
      <c r="B7985" s="7"/>
      <c r="O7985" s="7"/>
      <c r="X7985" s="7"/>
      <c r="AG7985" s="7"/>
      <c r="AP7985" s="7"/>
      <c r="AY7985" s="7"/>
      <c r="BH7985" s="7"/>
      <c r="BQ7985" s="7"/>
      <c r="BZ7985" s="7"/>
    </row>
    <row r="7986" spans="2:78">
      <c r="B7986" s="7"/>
      <c r="O7986" s="7"/>
      <c r="X7986" s="7"/>
      <c r="AG7986" s="7"/>
      <c r="AP7986" s="7"/>
      <c r="AY7986" s="7"/>
      <c r="BH7986" s="7"/>
      <c r="BQ7986" s="7"/>
      <c r="BZ7986" s="7"/>
    </row>
    <row r="7987" spans="2:78">
      <c r="B7987" s="7"/>
      <c r="O7987" s="7"/>
      <c r="X7987" s="7"/>
      <c r="AG7987" s="7"/>
      <c r="AP7987" s="7"/>
      <c r="AY7987" s="7"/>
      <c r="BH7987" s="7"/>
      <c r="BQ7987" s="7"/>
      <c r="BZ7987" s="7"/>
    </row>
    <row r="7988" spans="2:78">
      <c r="B7988" s="7"/>
      <c r="O7988" s="7"/>
      <c r="X7988" s="7"/>
      <c r="AG7988" s="7"/>
      <c r="AP7988" s="7"/>
      <c r="AY7988" s="7"/>
      <c r="BH7988" s="7"/>
      <c r="BQ7988" s="7"/>
      <c r="BZ7988" s="7"/>
    </row>
    <row r="7989" spans="2:78">
      <c r="B7989" s="7"/>
      <c r="O7989" s="7"/>
      <c r="X7989" s="7"/>
      <c r="AG7989" s="7"/>
      <c r="AP7989" s="7"/>
      <c r="AY7989" s="7"/>
      <c r="BH7989" s="7"/>
      <c r="BQ7989" s="7"/>
      <c r="BZ7989" s="7"/>
    </row>
    <row r="7990" spans="2:78">
      <c r="B7990" s="7"/>
      <c r="O7990" s="7"/>
      <c r="X7990" s="7"/>
      <c r="AG7990" s="7"/>
      <c r="AP7990" s="7"/>
      <c r="AY7990" s="7"/>
      <c r="BH7990" s="7"/>
      <c r="BQ7990" s="7"/>
      <c r="BZ7990" s="7"/>
    </row>
    <row r="7991" spans="2:78">
      <c r="B7991" s="7"/>
      <c r="O7991" s="7"/>
      <c r="X7991" s="7"/>
      <c r="AG7991" s="7"/>
      <c r="AP7991" s="7"/>
      <c r="AY7991" s="7"/>
      <c r="BH7991" s="7"/>
      <c r="BQ7991" s="7"/>
      <c r="BZ7991" s="7"/>
    </row>
    <row r="7992" spans="2:78">
      <c r="B7992" s="7"/>
      <c r="O7992" s="7"/>
      <c r="X7992" s="7"/>
      <c r="AG7992" s="7"/>
      <c r="AP7992" s="7"/>
      <c r="AY7992" s="7"/>
      <c r="BH7992" s="7"/>
      <c r="BQ7992" s="7"/>
      <c r="BZ7992" s="7"/>
    </row>
    <row r="7993" spans="2:78">
      <c r="B7993" s="7"/>
      <c r="O7993" s="7"/>
      <c r="X7993" s="7"/>
      <c r="AG7993" s="7"/>
      <c r="AP7993" s="7"/>
      <c r="AY7993" s="7"/>
      <c r="BH7993" s="7"/>
      <c r="BQ7993" s="7"/>
      <c r="BZ7993" s="7"/>
    </row>
    <row r="7994" spans="2:78">
      <c r="B7994" s="7"/>
      <c r="O7994" s="7"/>
      <c r="X7994" s="7"/>
      <c r="AG7994" s="7"/>
      <c r="AP7994" s="7"/>
      <c r="AY7994" s="7"/>
      <c r="BH7994" s="7"/>
      <c r="BQ7994" s="7"/>
      <c r="BZ7994" s="7"/>
    </row>
    <row r="7995" spans="2:78">
      <c r="B7995" s="7"/>
      <c r="O7995" s="7"/>
      <c r="X7995" s="7"/>
      <c r="AG7995" s="7"/>
      <c r="AP7995" s="7"/>
      <c r="AY7995" s="7"/>
      <c r="BH7995" s="7"/>
      <c r="BQ7995" s="7"/>
      <c r="BZ7995" s="7"/>
    </row>
    <row r="7996" spans="2:78">
      <c r="B7996" s="7"/>
      <c r="O7996" s="7"/>
      <c r="X7996" s="7"/>
      <c r="AG7996" s="7"/>
      <c r="AP7996" s="7"/>
      <c r="AY7996" s="7"/>
      <c r="BH7996" s="7"/>
      <c r="BQ7996" s="7"/>
      <c r="BZ7996" s="7"/>
    </row>
    <row r="7997" spans="2:78">
      <c r="B7997" s="7"/>
      <c r="O7997" s="7"/>
      <c r="X7997" s="7"/>
      <c r="AG7997" s="7"/>
      <c r="AP7997" s="7"/>
      <c r="AY7997" s="7"/>
      <c r="BH7997" s="7"/>
      <c r="BQ7997" s="7"/>
      <c r="BZ7997" s="7"/>
    </row>
    <row r="7998" spans="2:78">
      <c r="B7998" s="7"/>
      <c r="O7998" s="7"/>
      <c r="X7998" s="7"/>
      <c r="AG7998" s="7"/>
      <c r="AP7998" s="7"/>
      <c r="AY7998" s="7"/>
      <c r="BH7998" s="7"/>
      <c r="BQ7998" s="7"/>
      <c r="BZ7998" s="7"/>
    </row>
    <row r="7999" spans="2:78">
      <c r="B7999" s="7"/>
      <c r="O7999" s="7"/>
      <c r="X7999" s="7"/>
      <c r="AG7999" s="7"/>
      <c r="AP7999" s="7"/>
      <c r="AY7999" s="7"/>
      <c r="BH7999" s="7"/>
      <c r="BQ7999" s="7"/>
      <c r="BZ7999" s="7"/>
    </row>
    <row r="8000" spans="2:78">
      <c r="B8000" s="7"/>
      <c r="O8000" s="7"/>
      <c r="X8000" s="7"/>
      <c r="AG8000" s="7"/>
      <c r="AP8000" s="7"/>
      <c r="AY8000" s="7"/>
      <c r="BH8000" s="7"/>
      <c r="BQ8000" s="7"/>
      <c r="BZ8000" s="7"/>
    </row>
    <row r="8001" spans="2:78">
      <c r="B8001" s="7"/>
      <c r="O8001" s="7"/>
      <c r="X8001" s="7"/>
      <c r="AG8001" s="7"/>
      <c r="AP8001" s="7"/>
      <c r="AY8001" s="7"/>
      <c r="BH8001" s="7"/>
      <c r="BQ8001" s="7"/>
      <c r="BZ8001" s="7"/>
    </row>
    <row r="8002" spans="2:78">
      <c r="B8002" s="7"/>
      <c r="O8002" s="7"/>
      <c r="X8002" s="7"/>
      <c r="AG8002" s="7"/>
      <c r="AP8002" s="7"/>
      <c r="AY8002" s="7"/>
      <c r="BH8002" s="7"/>
      <c r="BQ8002" s="7"/>
      <c r="BZ8002" s="7"/>
    </row>
    <row r="8003" spans="2:78">
      <c r="B8003" s="7"/>
      <c r="O8003" s="7"/>
      <c r="X8003" s="7"/>
      <c r="AG8003" s="7"/>
      <c r="AP8003" s="7"/>
      <c r="AY8003" s="7"/>
      <c r="BH8003" s="7"/>
      <c r="BQ8003" s="7"/>
      <c r="BZ8003" s="7"/>
    </row>
    <row r="8004" spans="2:78">
      <c r="B8004" s="7"/>
      <c r="O8004" s="7"/>
      <c r="X8004" s="7"/>
      <c r="AG8004" s="7"/>
      <c r="AP8004" s="7"/>
      <c r="AY8004" s="7"/>
      <c r="BH8004" s="7"/>
      <c r="BQ8004" s="7"/>
      <c r="BZ8004" s="7"/>
    </row>
    <row r="8005" spans="2:78">
      <c r="B8005" s="7"/>
      <c r="O8005" s="7"/>
      <c r="X8005" s="7"/>
      <c r="AG8005" s="7"/>
      <c r="AP8005" s="7"/>
      <c r="AY8005" s="7"/>
      <c r="BH8005" s="7"/>
      <c r="BQ8005" s="7"/>
      <c r="BZ8005" s="7"/>
    </row>
    <row r="8006" spans="2:78">
      <c r="B8006" s="7"/>
      <c r="O8006" s="7"/>
      <c r="X8006" s="7"/>
      <c r="AG8006" s="7"/>
      <c r="AP8006" s="7"/>
      <c r="AY8006" s="7"/>
      <c r="BH8006" s="7"/>
      <c r="BQ8006" s="7"/>
      <c r="BZ8006" s="7"/>
    </row>
    <row r="8007" spans="2:78">
      <c r="B8007" s="7"/>
      <c r="O8007" s="7"/>
      <c r="X8007" s="7"/>
      <c r="AG8007" s="7"/>
      <c r="AP8007" s="7"/>
      <c r="AY8007" s="7"/>
      <c r="BH8007" s="7"/>
      <c r="BQ8007" s="7"/>
      <c r="BZ8007" s="7"/>
    </row>
    <row r="8008" spans="2:78">
      <c r="B8008" s="7"/>
      <c r="O8008" s="7"/>
      <c r="X8008" s="7"/>
      <c r="AG8008" s="7"/>
      <c r="AP8008" s="7"/>
      <c r="AY8008" s="7"/>
      <c r="BH8008" s="7"/>
      <c r="BQ8008" s="7"/>
      <c r="BZ8008" s="7"/>
    </row>
    <row r="8009" spans="2:78">
      <c r="B8009" s="7"/>
      <c r="O8009" s="7"/>
      <c r="X8009" s="7"/>
      <c r="AG8009" s="7"/>
      <c r="AP8009" s="7"/>
      <c r="AY8009" s="7"/>
      <c r="BH8009" s="7"/>
      <c r="BQ8009" s="7"/>
      <c r="BZ8009" s="7"/>
    </row>
    <row r="8010" spans="2:78">
      <c r="B8010" s="7"/>
      <c r="O8010" s="7"/>
      <c r="X8010" s="7"/>
      <c r="AG8010" s="7"/>
      <c r="AP8010" s="7"/>
      <c r="AY8010" s="7"/>
      <c r="BH8010" s="7"/>
      <c r="BQ8010" s="7"/>
      <c r="BZ8010" s="7"/>
    </row>
    <row r="8011" spans="2:78">
      <c r="B8011" s="7"/>
      <c r="O8011" s="7"/>
      <c r="X8011" s="7"/>
      <c r="AG8011" s="7"/>
      <c r="AP8011" s="7"/>
      <c r="AY8011" s="7"/>
      <c r="BH8011" s="7"/>
      <c r="BQ8011" s="7"/>
      <c r="BZ8011" s="7"/>
    </row>
    <row r="8012" spans="2:78">
      <c r="B8012" s="7"/>
      <c r="O8012" s="7"/>
      <c r="X8012" s="7"/>
      <c r="AG8012" s="7"/>
      <c r="AP8012" s="7"/>
      <c r="AY8012" s="7"/>
      <c r="BH8012" s="7"/>
      <c r="BQ8012" s="7"/>
      <c r="BZ8012" s="7"/>
    </row>
    <row r="8013" spans="2:78">
      <c r="B8013" s="7"/>
      <c r="O8013" s="7"/>
      <c r="X8013" s="7"/>
      <c r="AG8013" s="7"/>
      <c r="AP8013" s="7"/>
      <c r="AY8013" s="7"/>
      <c r="BH8013" s="7"/>
      <c r="BQ8013" s="7"/>
      <c r="BZ8013" s="7"/>
    </row>
    <row r="8014" spans="2:78">
      <c r="B8014" s="7"/>
      <c r="O8014" s="7"/>
      <c r="X8014" s="7"/>
      <c r="AG8014" s="7"/>
      <c r="AP8014" s="7"/>
      <c r="AY8014" s="7"/>
      <c r="BH8014" s="7"/>
      <c r="BQ8014" s="7"/>
      <c r="BZ8014" s="7"/>
    </row>
    <row r="8015" spans="2:78">
      <c r="B8015" s="7"/>
      <c r="O8015" s="7"/>
      <c r="X8015" s="7"/>
      <c r="AG8015" s="7"/>
      <c r="AP8015" s="7"/>
      <c r="AY8015" s="7"/>
      <c r="BH8015" s="7"/>
      <c r="BQ8015" s="7"/>
      <c r="BZ8015" s="7"/>
    </row>
    <row r="8016" spans="2:78">
      <c r="B8016" s="7"/>
      <c r="O8016" s="7"/>
      <c r="X8016" s="7"/>
      <c r="AG8016" s="7"/>
      <c r="AP8016" s="7"/>
      <c r="AY8016" s="7"/>
      <c r="BH8016" s="7"/>
      <c r="BQ8016" s="7"/>
      <c r="BZ8016" s="7"/>
    </row>
    <row r="8017" spans="2:78">
      <c r="B8017" s="7"/>
      <c r="O8017" s="7"/>
      <c r="X8017" s="7"/>
      <c r="AG8017" s="7"/>
      <c r="AP8017" s="7"/>
      <c r="AY8017" s="7"/>
      <c r="BH8017" s="7"/>
      <c r="BQ8017" s="7"/>
      <c r="BZ8017" s="7"/>
    </row>
    <row r="8018" spans="2:78">
      <c r="B8018" s="7"/>
      <c r="O8018" s="7"/>
      <c r="X8018" s="7"/>
      <c r="AG8018" s="7"/>
      <c r="AP8018" s="7"/>
      <c r="AY8018" s="7"/>
      <c r="BH8018" s="7"/>
      <c r="BQ8018" s="7"/>
      <c r="BZ8018" s="7"/>
    </row>
    <row r="8019" spans="2:78">
      <c r="B8019" s="7"/>
      <c r="O8019" s="7"/>
      <c r="X8019" s="7"/>
      <c r="AG8019" s="7"/>
      <c r="AP8019" s="7"/>
      <c r="AY8019" s="7"/>
      <c r="BH8019" s="7"/>
      <c r="BQ8019" s="7"/>
      <c r="BZ8019" s="7"/>
    </row>
    <row r="8020" spans="2:78">
      <c r="B8020" s="7"/>
      <c r="O8020" s="7"/>
      <c r="X8020" s="7"/>
      <c r="AG8020" s="7"/>
      <c r="AP8020" s="7"/>
      <c r="AY8020" s="7"/>
      <c r="BH8020" s="7"/>
      <c r="BQ8020" s="7"/>
      <c r="BZ8020" s="7"/>
    </row>
    <row r="8021" spans="2:78">
      <c r="B8021" s="7"/>
      <c r="O8021" s="7"/>
      <c r="X8021" s="7"/>
      <c r="AG8021" s="7"/>
      <c r="AP8021" s="7"/>
      <c r="AY8021" s="7"/>
      <c r="BH8021" s="7"/>
      <c r="BQ8021" s="7"/>
      <c r="BZ8021" s="7"/>
    </row>
    <row r="8022" spans="2:78">
      <c r="B8022" s="7"/>
      <c r="O8022" s="7"/>
      <c r="X8022" s="7"/>
      <c r="AG8022" s="7"/>
      <c r="AP8022" s="7"/>
      <c r="AY8022" s="7"/>
      <c r="BH8022" s="7"/>
      <c r="BQ8022" s="7"/>
      <c r="BZ8022" s="7"/>
    </row>
    <row r="8023" spans="2:78">
      <c r="B8023" s="7"/>
      <c r="O8023" s="7"/>
      <c r="X8023" s="7"/>
      <c r="AG8023" s="7"/>
      <c r="AP8023" s="7"/>
      <c r="AY8023" s="7"/>
      <c r="BH8023" s="7"/>
      <c r="BQ8023" s="7"/>
      <c r="BZ8023" s="7"/>
    </row>
    <row r="8024" spans="2:78">
      <c r="B8024" s="7"/>
      <c r="O8024" s="7"/>
      <c r="X8024" s="7"/>
      <c r="AG8024" s="7"/>
      <c r="AP8024" s="7"/>
      <c r="AY8024" s="7"/>
      <c r="BH8024" s="7"/>
      <c r="BQ8024" s="7"/>
      <c r="BZ8024" s="7"/>
    </row>
    <row r="8025" spans="2:78">
      <c r="B8025" s="7"/>
      <c r="O8025" s="7"/>
      <c r="X8025" s="7"/>
      <c r="AG8025" s="7"/>
      <c r="AP8025" s="7"/>
      <c r="AY8025" s="7"/>
      <c r="BH8025" s="7"/>
      <c r="BQ8025" s="7"/>
      <c r="BZ8025" s="7"/>
    </row>
    <row r="8026" spans="2:78">
      <c r="B8026" s="7"/>
      <c r="O8026" s="7"/>
      <c r="X8026" s="7"/>
      <c r="AG8026" s="7"/>
      <c r="AP8026" s="7"/>
      <c r="AY8026" s="7"/>
      <c r="BH8026" s="7"/>
      <c r="BQ8026" s="7"/>
      <c r="BZ8026" s="7"/>
    </row>
    <row r="8027" spans="2:78">
      <c r="B8027" s="7"/>
      <c r="O8027" s="7"/>
      <c r="X8027" s="7"/>
      <c r="AG8027" s="7"/>
      <c r="AP8027" s="7"/>
      <c r="AY8027" s="7"/>
      <c r="BH8027" s="7"/>
      <c r="BQ8027" s="7"/>
      <c r="BZ8027" s="7"/>
    </row>
    <row r="8028" spans="2:78">
      <c r="B8028" s="7"/>
      <c r="O8028" s="7"/>
      <c r="X8028" s="7"/>
      <c r="AG8028" s="7"/>
      <c r="AP8028" s="7"/>
      <c r="AY8028" s="7"/>
      <c r="BH8028" s="7"/>
      <c r="BQ8028" s="7"/>
      <c r="BZ8028" s="7"/>
    </row>
    <row r="8029" spans="2:78">
      <c r="B8029" s="7"/>
      <c r="O8029" s="7"/>
      <c r="X8029" s="7"/>
      <c r="AG8029" s="7"/>
      <c r="AP8029" s="7"/>
      <c r="AY8029" s="7"/>
      <c r="BH8029" s="7"/>
      <c r="BQ8029" s="7"/>
      <c r="BZ8029" s="7"/>
    </row>
    <row r="8030" spans="2:78">
      <c r="B8030" s="7"/>
      <c r="O8030" s="7"/>
      <c r="X8030" s="7"/>
      <c r="AG8030" s="7"/>
      <c r="AP8030" s="7"/>
      <c r="AY8030" s="7"/>
      <c r="BH8030" s="7"/>
      <c r="BQ8030" s="7"/>
      <c r="BZ8030" s="7"/>
    </row>
    <row r="8031" spans="2:78">
      <c r="B8031" s="7"/>
      <c r="O8031" s="7"/>
      <c r="X8031" s="7"/>
      <c r="AG8031" s="7"/>
      <c r="AP8031" s="7"/>
      <c r="AY8031" s="7"/>
      <c r="BH8031" s="7"/>
      <c r="BQ8031" s="7"/>
      <c r="BZ8031" s="7"/>
    </row>
    <row r="8032" spans="2:78">
      <c r="B8032" s="7"/>
      <c r="O8032" s="7"/>
      <c r="X8032" s="7"/>
      <c r="AG8032" s="7"/>
      <c r="AP8032" s="7"/>
      <c r="AY8032" s="7"/>
      <c r="BH8032" s="7"/>
      <c r="BQ8032" s="7"/>
      <c r="BZ8032" s="7"/>
    </row>
    <row r="8033" spans="2:78">
      <c r="B8033" s="7"/>
      <c r="O8033" s="7"/>
      <c r="X8033" s="7"/>
      <c r="AG8033" s="7"/>
      <c r="AP8033" s="7"/>
      <c r="AY8033" s="7"/>
      <c r="BH8033" s="7"/>
      <c r="BQ8033" s="7"/>
      <c r="BZ8033" s="7"/>
    </row>
    <row r="8034" spans="2:78">
      <c r="B8034" s="7"/>
      <c r="O8034" s="7"/>
      <c r="X8034" s="7"/>
      <c r="AG8034" s="7"/>
      <c r="AP8034" s="7"/>
      <c r="AY8034" s="7"/>
      <c r="BH8034" s="7"/>
      <c r="BQ8034" s="7"/>
      <c r="BZ8034" s="7"/>
    </row>
    <row r="8035" spans="2:78">
      <c r="B8035" s="7"/>
      <c r="O8035" s="7"/>
      <c r="X8035" s="7"/>
      <c r="AG8035" s="7"/>
      <c r="AP8035" s="7"/>
      <c r="AY8035" s="7"/>
      <c r="BH8035" s="7"/>
      <c r="BQ8035" s="7"/>
      <c r="BZ8035" s="7"/>
    </row>
    <row r="8036" spans="2:78">
      <c r="B8036" s="7"/>
      <c r="O8036" s="7"/>
      <c r="X8036" s="7"/>
      <c r="AG8036" s="7"/>
      <c r="AP8036" s="7"/>
      <c r="AY8036" s="7"/>
      <c r="BH8036" s="7"/>
      <c r="BQ8036" s="7"/>
      <c r="BZ8036" s="7"/>
    </row>
    <row r="8037" spans="2:78">
      <c r="B8037" s="7"/>
      <c r="O8037" s="7"/>
      <c r="X8037" s="7"/>
      <c r="AG8037" s="7"/>
      <c r="AP8037" s="7"/>
      <c r="AY8037" s="7"/>
      <c r="BH8037" s="7"/>
      <c r="BQ8037" s="7"/>
      <c r="BZ8037" s="7"/>
    </row>
    <row r="8038" spans="2:78">
      <c r="B8038" s="7"/>
      <c r="O8038" s="7"/>
      <c r="X8038" s="7"/>
      <c r="AG8038" s="7"/>
      <c r="AP8038" s="7"/>
      <c r="AY8038" s="7"/>
      <c r="BH8038" s="7"/>
      <c r="BQ8038" s="7"/>
      <c r="BZ8038" s="7"/>
    </row>
    <row r="8039" spans="2:78">
      <c r="B8039" s="7"/>
      <c r="O8039" s="7"/>
      <c r="X8039" s="7"/>
      <c r="AG8039" s="7"/>
      <c r="AP8039" s="7"/>
      <c r="AY8039" s="7"/>
      <c r="BH8039" s="7"/>
      <c r="BQ8039" s="7"/>
      <c r="BZ8039" s="7"/>
    </row>
    <row r="8040" spans="2:78">
      <c r="B8040" s="7"/>
      <c r="O8040" s="7"/>
      <c r="X8040" s="7"/>
      <c r="AG8040" s="7"/>
      <c r="AP8040" s="7"/>
      <c r="AY8040" s="7"/>
      <c r="BH8040" s="7"/>
      <c r="BQ8040" s="7"/>
      <c r="BZ8040" s="7"/>
    </row>
    <row r="8041" spans="2:78">
      <c r="B8041" s="7"/>
      <c r="O8041" s="7"/>
      <c r="X8041" s="7"/>
      <c r="AG8041" s="7"/>
      <c r="AP8041" s="7"/>
      <c r="AY8041" s="7"/>
      <c r="BH8041" s="7"/>
      <c r="BQ8041" s="7"/>
      <c r="BZ8041" s="7"/>
    </row>
    <row r="8042" spans="2:78">
      <c r="B8042" s="7"/>
      <c r="O8042" s="7"/>
      <c r="X8042" s="7"/>
      <c r="AG8042" s="7"/>
      <c r="AP8042" s="7"/>
      <c r="AY8042" s="7"/>
      <c r="BH8042" s="7"/>
      <c r="BQ8042" s="7"/>
      <c r="BZ8042" s="7"/>
    </row>
    <row r="8043" spans="2:78">
      <c r="B8043" s="7"/>
      <c r="O8043" s="7"/>
      <c r="X8043" s="7"/>
      <c r="AG8043" s="7"/>
      <c r="AP8043" s="7"/>
      <c r="AY8043" s="7"/>
      <c r="BH8043" s="7"/>
      <c r="BQ8043" s="7"/>
      <c r="BZ8043" s="7"/>
    </row>
    <row r="8044" spans="2:78">
      <c r="B8044" s="7"/>
      <c r="O8044" s="7"/>
      <c r="X8044" s="7"/>
      <c r="AG8044" s="7"/>
      <c r="AP8044" s="7"/>
      <c r="AY8044" s="7"/>
      <c r="BH8044" s="7"/>
      <c r="BQ8044" s="7"/>
      <c r="BZ8044" s="7"/>
    </row>
    <row r="8045" spans="2:78">
      <c r="B8045" s="7"/>
      <c r="O8045" s="7"/>
      <c r="X8045" s="7"/>
      <c r="AG8045" s="7"/>
      <c r="AP8045" s="7"/>
      <c r="AY8045" s="7"/>
      <c r="BH8045" s="7"/>
      <c r="BQ8045" s="7"/>
      <c r="BZ8045" s="7"/>
    </row>
    <row r="8046" spans="2:78">
      <c r="B8046" s="7"/>
      <c r="O8046" s="7"/>
      <c r="X8046" s="7"/>
      <c r="AG8046" s="7"/>
      <c r="AP8046" s="7"/>
      <c r="AY8046" s="7"/>
      <c r="BH8046" s="7"/>
      <c r="BQ8046" s="7"/>
      <c r="BZ8046" s="7"/>
    </row>
    <row r="8047" spans="2:78">
      <c r="B8047" s="7"/>
      <c r="O8047" s="7"/>
      <c r="X8047" s="7"/>
      <c r="AG8047" s="7"/>
      <c r="AP8047" s="7"/>
      <c r="AY8047" s="7"/>
      <c r="BH8047" s="7"/>
      <c r="BQ8047" s="7"/>
      <c r="BZ8047" s="7"/>
    </row>
    <row r="8048" spans="2:78">
      <c r="B8048" s="7"/>
      <c r="O8048" s="7"/>
      <c r="X8048" s="7"/>
      <c r="AG8048" s="7"/>
      <c r="AP8048" s="7"/>
      <c r="AY8048" s="7"/>
      <c r="BH8048" s="7"/>
      <c r="BQ8048" s="7"/>
      <c r="BZ8048" s="7"/>
    </row>
    <row r="8049" spans="2:78">
      <c r="B8049" s="7"/>
      <c r="O8049" s="7"/>
      <c r="X8049" s="7"/>
      <c r="AG8049" s="7"/>
      <c r="AP8049" s="7"/>
      <c r="AY8049" s="7"/>
      <c r="BH8049" s="7"/>
      <c r="BQ8049" s="7"/>
      <c r="BZ8049" s="7"/>
    </row>
    <row r="8050" spans="2:78">
      <c r="B8050" s="7"/>
      <c r="O8050" s="7"/>
      <c r="X8050" s="7"/>
      <c r="AG8050" s="7"/>
      <c r="AP8050" s="7"/>
      <c r="AY8050" s="7"/>
      <c r="BH8050" s="7"/>
      <c r="BQ8050" s="7"/>
      <c r="BZ8050" s="7"/>
    </row>
    <row r="8051" spans="2:78">
      <c r="B8051" s="7"/>
      <c r="O8051" s="7"/>
      <c r="X8051" s="7"/>
      <c r="AG8051" s="7"/>
      <c r="AP8051" s="7"/>
      <c r="AY8051" s="7"/>
      <c r="BH8051" s="7"/>
      <c r="BQ8051" s="7"/>
      <c r="BZ8051" s="7"/>
    </row>
    <row r="8052" spans="2:78">
      <c r="B8052" s="7"/>
      <c r="O8052" s="7"/>
      <c r="X8052" s="7"/>
      <c r="AG8052" s="7"/>
      <c r="AP8052" s="7"/>
      <c r="AY8052" s="7"/>
      <c r="BH8052" s="7"/>
      <c r="BQ8052" s="7"/>
      <c r="BZ8052" s="7"/>
    </row>
    <row r="8053" spans="2:78">
      <c r="B8053" s="7"/>
      <c r="O8053" s="7"/>
      <c r="X8053" s="7"/>
      <c r="AG8053" s="7"/>
      <c r="AP8053" s="7"/>
      <c r="AY8053" s="7"/>
      <c r="BH8053" s="7"/>
      <c r="BQ8053" s="7"/>
      <c r="BZ8053" s="7"/>
    </row>
    <row r="8054" spans="2:78">
      <c r="B8054" s="7"/>
      <c r="O8054" s="7"/>
      <c r="X8054" s="7"/>
      <c r="AG8054" s="7"/>
      <c r="AP8054" s="7"/>
      <c r="AY8054" s="7"/>
      <c r="BH8054" s="7"/>
      <c r="BQ8054" s="7"/>
      <c r="BZ8054" s="7"/>
    </row>
    <row r="8055" spans="2:78">
      <c r="B8055" s="7"/>
      <c r="O8055" s="7"/>
      <c r="X8055" s="7"/>
      <c r="AG8055" s="7"/>
      <c r="AP8055" s="7"/>
      <c r="AY8055" s="7"/>
      <c r="BH8055" s="7"/>
      <c r="BQ8055" s="7"/>
      <c r="BZ8055" s="7"/>
    </row>
    <row r="8056" spans="2:78">
      <c r="B8056" s="7"/>
      <c r="O8056" s="7"/>
      <c r="X8056" s="7"/>
      <c r="AG8056" s="7"/>
      <c r="AP8056" s="7"/>
      <c r="AY8056" s="7"/>
      <c r="BH8056" s="7"/>
      <c r="BQ8056" s="7"/>
      <c r="BZ8056" s="7"/>
    </row>
    <row r="8057" spans="2:78">
      <c r="B8057" s="7"/>
      <c r="O8057" s="7"/>
      <c r="X8057" s="7"/>
      <c r="AG8057" s="7"/>
      <c r="AP8057" s="7"/>
      <c r="AY8057" s="7"/>
      <c r="BH8057" s="7"/>
      <c r="BQ8057" s="7"/>
      <c r="BZ8057" s="7"/>
    </row>
    <row r="8058" spans="2:78">
      <c r="B8058" s="7"/>
      <c r="O8058" s="7"/>
      <c r="X8058" s="7"/>
      <c r="AG8058" s="7"/>
      <c r="AP8058" s="7"/>
      <c r="AY8058" s="7"/>
      <c r="BH8058" s="7"/>
      <c r="BQ8058" s="7"/>
      <c r="BZ8058" s="7"/>
    </row>
    <row r="8059" spans="2:78">
      <c r="B8059" s="7"/>
      <c r="O8059" s="7"/>
      <c r="X8059" s="7"/>
      <c r="AG8059" s="7"/>
      <c r="AP8059" s="7"/>
      <c r="AY8059" s="7"/>
      <c r="BH8059" s="7"/>
      <c r="BQ8059" s="7"/>
      <c r="BZ8059" s="7"/>
    </row>
    <row r="8060" spans="2:78">
      <c r="B8060" s="7"/>
      <c r="O8060" s="7"/>
      <c r="X8060" s="7"/>
      <c r="AG8060" s="7"/>
      <c r="AP8060" s="7"/>
      <c r="AY8060" s="7"/>
      <c r="BH8060" s="7"/>
      <c r="BQ8060" s="7"/>
      <c r="BZ8060" s="7"/>
    </row>
    <row r="8061" spans="2:78">
      <c r="B8061" s="7"/>
      <c r="O8061" s="7"/>
      <c r="X8061" s="7"/>
      <c r="AG8061" s="7"/>
      <c r="AP8061" s="7"/>
      <c r="AY8061" s="7"/>
      <c r="BH8061" s="7"/>
      <c r="BQ8061" s="7"/>
      <c r="BZ8061" s="7"/>
    </row>
    <row r="8062" spans="2:78">
      <c r="B8062" s="7"/>
      <c r="O8062" s="7"/>
      <c r="X8062" s="7"/>
      <c r="AG8062" s="7"/>
      <c r="AP8062" s="7"/>
      <c r="AY8062" s="7"/>
      <c r="BH8062" s="7"/>
      <c r="BQ8062" s="7"/>
      <c r="BZ8062" s="7"/>
    </row>
    <row r="8063" spans="2:78">
      <c r="B8063" s="7"/>
      <c r="O8063" s="7"/>
      <c r="X8063" s="7"/>
      <c r="AG8063" s="7"/>
      <c r="AP8063" s="7"/>
      <c r="AY8063" s="7"/>
      <c r="BH8063" s="7"/>
      <c r="BQ8063" s="7"/>
      <c r="BZ8063" s="7"/>
    </row>
    <row r="8064" spans="2:78">
      <c r="B8064" s="7"/>
      <c r="O8064" s="7"/>
      <c r="X8064" s="7"/>
      <c r="AG8064" s="7"/>
      <c r="AP8064" s="7"/>
      <c r="AY8064" s="7"/>
      <c r="BH8064" s="7"/>
      <c r="BQ8064" s="7"/>
      <c r="BZ8064" s="7"/>
    </row>
    <row r="8065" spans="2:78">
      <c r="B8065" s="7"/>
      <c r="O8065" s="7"/>
      <c r="X8065" s="7"/>
      <c r="AG8065" s="7"/>
      <c r="AP8065" s="7"/>
      <c r="AY8065" s="7"/>
      <c r="BH8065" s="7"/>
      <c r="BQ8065" s="7"/>
      <c r="BZ8065" s="7"/>
    </row>
    <row r="8066" spans="2:78">
      <c r="B8066" s="7"/>
      <c r="O8066" s="7"/>
      <c r="X8066" s="7"/>
      <c r="AG8066" s="7"/>
      <c r="AP8066" s="7"/>
      <c r="AY8066" s="7"/>
      <c r="BH8066" s="7"/>
      <c r="BQ8066" s="7"/>
      <c r="BZ8066" s="7"/>
    </row>
    <row r="8067" spans="2:78">
      <c r="B8067" s="7"/>
      <c r="O8067" s="7"/>
      <c r="X8067" s="7"/>
      <c r="AG8067" s="7"/>
      <c r="AP8067" s="7"/>
      <c r="AY8067" s="7"/>
      <c r="BH8067" s="7"/>
      <c r="BQ8067" s="7"/>
      <c r="BZ8067" s="7"/>
    </row>
    <row r="8068" spans="2:78">
      <c r="B8068" s="7"/>
      <c r="O8068" s="7"/>
      <c r="X8068" s="7"/>
      <c r="AG8068" s="7"/>
      <c r="AP8068" s="7"/>
      <c r="AY8068" s="7"/>
      <c r="BH8068" s="7"/>
      <c r="BQ8068" s="7"/>
      <c r="BZ8068" s="7"/>
    </row>
    <row r="8069" spans="2:78">
      <c r="B8069" s="7"/>
      <c r="O8069" s="7"/>
      <c r="X8069" s="7"/>
      <c r="AG8069" s="7"/>
      <c r="AP8069" s="7"/>
      <c r="AY8069" s="7"/>
      <c r="BH8069" s="7"/>
      <c r="BQ8069" s="7"/>
      <c r="BZ8069" s="7"/>
    </row>
    <row r="8070" spans="2:78">
      <c r="B8070" s="7"/>
      <c r="O8070" s="7"/>
      <c r="X8070" s="7"/>
      <c r="AG8070" s="7"/>
      <c r="AP8070" s="7"/>
      <c r="AY8070" s="7"/>
      <c r="BH8070" s="7"/>
      <c r="BQ8070" s="7"/>
      <c r="BZ8070" s="7"/>
    </row>
    <row r="8071" spans="2:78">
      <c r="B8071" s="7"/>
      <c r="O8071" s="7"/>
      <c r="X8071" s="7"/>
      <c r="AG8071" s="7"/>
      <c r="AP8071" s="7"/>
      <c r="AY8071" s="7"/>
      <c r="BH8071" s="7"/>
      <c r="BQ8071" s="7"/>
      <c r="BZ8071" s="7"/>
    </row>
    <row r="8072" spans="2:78">
      <c r="B8072" s="7"/>
      <c r="O8072" s="7"/>
      <c r="X8072" s="7"/>
      <c r="AG8072" s="7"/>
      <c r="AP8072" s="7"/>
      <c r="AY8072" s="7"/>
      <c r="BH8072" s="7"/>
      <c r="BQ8072" s="7"/>
      <c r="BZ8072" s="7"/>
    </row>
    <row r="8073" spans="2:78">
      <c r="B8073" s="7"/>
      <c r="O8073" s="7"/>
      <c r="X8073" s="7"/>
      <c r="AG8073" s="7"/>
      <c r="AP8073" s="7"/>
      <c r="AY8073" s="7"/>
      <c r="BH8073" s="7"/>
      <c r="BQ8073" s="7"/>
      <c r="BZ8073" s="7"/>
    </row>
    <row r="8074" spans="2:78">
      <c r="B8074" s="7"/>
      <c r="O8074" s="7"/>
      <c r="X8074" s="7"/>
      <c r="AG8074" s="7"/>
      <c r="AP8074" s="7"/>
      <c r="AY8074" s="7"/>
      <c r="BH8074" s="7"/>
      <c r="BQ8074" s="7"/>
      <c r="BZ8074" s="7"/>
    </row>
    <row r="8075" spans="2:78">
      <c r="B8075" s="7"/>
      <c r="O8075" s="7"/>
      <c r="X8075" s="7"/>
      <c r="AG8075" s="7"/>
      <c r="AP8075" s="7"/>
      <c r="AY8075" s="7"/>
      <c r="BH8075" s="7"/>
      <c r="BQ8075" s="7"/>
      <c r="BZ8075" s="7"/>
    </row>
    <row r="8076" spans="2:78">
      <c r="B8076" s="7"/>
      <c r="O8076" s="7"/>
      <c r="X8076" s="7"/>
      <c r="AG8076" s="7"/>
      <c r="AP8076" s="7"/>
      <c r="AY8076" s="7"/>
      <c r="BH8076" s="7"/>
      <c r="BQ8076" s="7"/>
      <c r="BZ8076" s="7"/>
    </row>
    <row r="8077" spans="2:78">
      <c r="B8077" s="7"/>
      <c r="O8077" s="7"/>
      <c r="X8077" s="7"/>
      <c r="AG8077" s="7"/>
      <c r="AP8077" s="7"/>
      <c r="AY8077" s="7"/>
      <c r="BH8077" s="7"/>
      <c r="BQ8077" s="7"/>
      <c r="BZ8077" s="7"/>
    </row>
    <row r="8078" spans="2:78">
      <c r="B8078" s="7"/>
      <c r="O8078" s="7"/>
      <c r="X8078" s="7"/>
      <c r="AG8078" s="7"/>
      <c r="AP8078" s="7"/>
      <c r="AY8078" s="7"/>
      <c r="BH8078" s="7"/>
      <c r="BQ8078" s="7"/>
      <c r="BZ8078" s="7"/>
    </row>
    <row r="8079" spans="2:78">
      <c r="B8079" s="7"/>
      <c r="O8079" s="7"/>
      <c r="X8079" s="7"/>
      <c r="AG8079" s="7"/>
      <c r="AP8079" s="7"/>
      <c r="AY8079" s="7"/>
      <c r="BH8079" s="7"/>
      <c r="BQ8079" s="7"/>
      <c r="BZ8079" s="7"/>
    </row>
    <row r="8080" spans="2:78">
      <c r="B8080" s="7"/>
      <c r="O8080" s="7"/>
      <c r="X8080" s="7"/>
      <c r="AG8080" s="7"/>
      <c r="AP8080" s="7"/>
      <c r="AY8080" s="7"/>
      <c r="BH8080" s="7"/>
      <c r="BQ8080" s="7"/>
      <c r="BZ8080" s="7"/>
    </row>
    <row r="8081" spans="2:78">
      <c r="B8081" s="7"/>
      <c r="O8081" s="7"/>
      <c r="X8081" s="7"/>
      <c r="AG8081" s="7"/>
      <c r="AP8081" s="7"/>
      <c r="AY8081" s="7"/>
      <c r="BH8081" s="7"/>
      <c r="BQ8081" s="7"/>
      <c r="BZ8081" s="7"/>
    </row>
    <row r="8082" spans="2:78">
      <c r="B8082" s="7"/>
      <c r="O8082" s="7"/>
      <c r="X8082" s="7"/>
      <c r="AG8082" s="7"/>
      <c r="AP8082" s="7"/>
      <c r="AY8082" s="7"/>
      <c r="BH8082" s="7"/>
      <c r="BQ8082" s="7"/>
      <c r="BZ8082" s="7"/>
    </row>
    <row r="8083" spans="2:78">
      <c r="B8083" s="7"/>
      <c r="O8083" s="7"/>
      <c r="X8083" s="7"/>
      <c r="AG8083" s="7"/>
      <c r="AP8083" s="7"/>
      <c r="AY8083" s="7"/>
      <c r="BH8083" s="7"/>
      <c r="BQ8083" s="7"/>
      <c r="BZ8083" s="7"/>
    </row>
    <row r="8084" spans="2:78">
      <c r="B8084" s="7"/>
      <c r="O8084" s="7"/>
      <c r="X8084" s="7"/>
      <c r="AG8084" s="7"/>
      <c r="AP8084" s="7"/>
      <c r="AY8084" s="7"/>
      <c r="BH8084" s="7"/>
      <c r="BQ8084" s="7"/>
      <c r="BZ8084" s="7"/>
    </row>
    <row r="8085" spans="2:78">
      <c r="B8085" s="7"/>
      <c r="O8085" s="7"/>
      <c r="X8085" s="7"/>
      <c r="AG8085" s="7"/>
      <c r="AP8085" s="7"/>
      <c r="AY8085" s="7"/>
      <c r="BH8085" s="7"/>
      <c r="BQ8085" s="7"/>
      <c r="BZ8085" s="7"/>
    </row>
    <row r="8086" spans="2:78">
      <c r="B8086" s="7"/>
      <c r="O8086" s="7"/>
      <c r="X8086" s="7"/>
      <c r="AG8086" s="7"/>
      <c r="AP8086" s="7"/>
      <c r="AY8086" s="7"/>
      <c r="BH8086" s="7"/>
      <c r="BQ8086" s="7"/>
      <c r="BZ8086" s="7"/>
    </row>
    <row r="8087" spans="2:78">
      <c r="B8087" s="7"/>
      <c r="O8087" s="7"/>
      <c r="X8087" s="7"/>
      <c r="AG8087" s="7"/>
      <c r="AP8087" s="7"/>
      <c r="AY8087" s="7"/>
      <c r="BH8087" s="7"/>
      <c r="BQ8087" s="7"/>
      <c r="BZ8087" s="7"/>
    </row>
    <row r="8088" spans="2:78">
      <c r="B8088" s="7"/>
      <c r="O8088" s="7"/>
      <c r="X8088" s="7"/>
      <c r="AG8088" s="7"/>
      <c r="AP8088" s="7"/>
      <c r="AY8088" s="7"/>
      <c r="BH8088" s="7"/>
      <c r="BQ8088" s="7"/>
      <c r="BZ8088" s="7"/>
    </row>
    <row r="8089" spans="2:78">
      <c r="B8089" s="7"/>
      <c r="O8089" s="7"/>
      <c r="X8089" s="7"/>
      <c r="AG8089" s="7"/>
      <c r="AP8089" s="7"/>
      <c r="AY8089" s="7"/>
      <c r="BH8089" s="7"/>
      <c r="BQ8089" s="7"/>
      <c r="BZ8089" s="7"/>
    </row>
    <row r="8090" spans="2:78">
      <c r="B8090" s="7"/>
      <c r="O8090" s="7"/>
      <c r="X8090" s="7"/>
      <c r="AG8090" s="7"/>
      <c r="AP8090" s="7"/>
      <c r="AY8090" s="7"/>
      <c r="BH8090" s="7"/>
      <c r="BQ8090" s="7"/>
      <c r="BZ8090" s="7"/>
    </row>
    <row r="8091" spans="2:78">
      <c r="B8091" s="7"/>
      <c r="O8091" s="7"/>
      <c r="X8091" s="7"/>
      <c r="AG8091" s="7"/>
      <c r="AP8091" s="7"/>
      <c r="AY8091" s="7"/>
      <c r="BH8091" s="7"/>
      <c r="BQ8091" s="7"/>
      <c r="BZ8091" s="7"/>
    </row>
    <row r="8092" spans="2:78">
      <c r="B8092" s="7"/>
      <c r="O8092" s="7"/>
      <c r="X8092" s="7"/>
      <c r="AG8092" s="7"/>
      <c r="AP8092" s="7"/>
      <c r="AY8092" s="7"/>
      <c r="BH8092" s="7"/>
      <c r="BQ8092" s="7"/>
      <c r="BZ8092" s="7"/>
    </row>
    <row r="8093" spans="2:78">
      <c r="B8093" s="7"/>
      <c r="O8093" s="7"/>
      <c r="X8093" s="7"/>
      <c r="AG8093" s="7"/>
      <c r="AP8093" s="7"/>
      <c r="AY8093" s="7"/>
      <c r="BH8093" s="7"/>
      <c r="BQ8093" s="7"/>
      <c r="BZ8093" s="7"/>
    </row>
    <row r="8094" spans="2:78">
      <c r="B8094" s="7"/>
      <c r="O8094" s="7"/>
      <c r="X8094" s="7"/>
      <c r="AG8094" s="7"/>
      <c r="AP8094" s="7"/>
      <c r="AY8094" s="7"/>
      <c r="BH8094" s="7"/>
      <c r="BQ8094" s="7"/>
      <c r="BZ8094" s="7"/>
    </row>
    <row r="8095" spans="2:78">
      <c r="B8095" s="7"/>
      <c r="O8095" s="7"/>
      <c r="X8095" s="7"/>
      <c r="AG8095" s="7"/>
      <c r="AP8095" s="7"/>
      <c r="AY8095" s="7"/>
      <c r="BH8095" s="7"/>
      <c r="BQ8095" s="7"/>
      <c r="BZ8095" s="7"/>
    </row>
    <row r="8096" spans="2:78">
      <c r="B8096" s="7"/>
      <c r="O8096" s="7"/>
      <c r="X8096" s="7"/>
      <c r="AG8096" s="7"/>
      <c r="AP8096" s="7"/>
      <c r="AY8096" s="7"/>
      <c r="BH8096" s="7"/>
      <c r="BQ8096" s="7"/>
      <c r="BZ8096" s="7"/>
    </row>
    <row r="8097" spans="2:78">
      <c r="B8097" s="7"/>
      <c r="O8097" s="7"/>
      <c r="X8097" s="7"/>
      <c r="AG8097" s="7"/>
      <c r="AP8097" s="7"/>
      <c r="AY8097" s="7"/>
      <c r="BH8097" s="7"/>
      <c r="BQ8097" s="7"/>
      <c r="BZ8097" s="7"/>
    </row>
    <row r="8098" spans="2:78">
      <c r="B8098" s="7"/>
      <c r="O8098" s="7"/>
      <c r="X8098" s="7"/>
      <c r="AG8098" s="7"/>
      <c r="AP8098" s="7"/>
      <c r="AY8098" s="7"/>
      <c r="BH8098" s="7"/>
      <c r="BQ8098" s="7"/>
      <c r="BZ8098" s="7"/>
    </row>
    <row r="8099" spans="2:78">
      <c r="B8099" s="7"/>
      <c r="O8099" s="7"/>
      <c r="X8099" s="7"/>
      <c r="AG8099" s="7"/>
      <c r="AP8099" s="7"/>
      <c r="AY8099" s="7"/>
      <c r="BH8099" s="7"/>
      <c r="BQ8099" s="7"/>
      <c r="BZ8099" s="7"/>
    </row>
    <row r="8100" spans="2:78">
      <c r="B8100" s="7"/>
      <c r="O8100" s="7"/>
      <c r="X8100" s="7"/>
      <c r="AG8100" s="7"/>
      <c r="AP8100" s="7"/>
      <c r="AY8100" s="7"/>
      <c r="BH8100" s="7"/>
      <c r="BQ8100" s="7"/>
      <c r="BZ8100" s="7"/>
    </row>
    <row r="8101" spans="2:78">
      <c r="B8101" s="7"/>
      <c r="O8101" s="7"/>
      <c r="X8101" s="7"/>
      <c r="AG8101" s="7"/>
      <c r="AP8101" s="7"/>
      <c r="AY8101" s="7"/>
      <c r="BH8101" s="7"/>
      <c r="BQ8101" s="7"/>
      <c r="BZ8101" s="7"/>
    </row>
    <row r="8102" spans="2:78">
      <c r="B8102" s="7"/>
      <c r="O8102" s="7"/>
      <c r="X8102" s="7"/>
      <c r="AG8102" s="7"/>
      <c r="AP8102" s="7"/>
      <c r="AY8102" s="7"/>
      <c r="BH8102" s="7"/>
      <c r="BQ8102" s="7"/>
      <c r="BZ8102" s="7"/>
    </row>
    <row r="8103" spans="2:78">
      <c r="B8103" s="7"/>
      <c r="O8103" s="7"/>
      <c r="X8103" s="7"/>
      <c r="AG8103" s="7"/>
      <c r="AP8103" s="7"/>
      <c r="AY8103" s="7"/>
      <c r="BH8103" s="7"/>
      <c r="BQ8103" s="7"/>
      <c r="BZ8103" s="7"/>
    </row>
    <row r="8104" spans="2:78">
      <c r="B8104" s="7"/>
      <c r="O8104" s="7"/>
      <c r="X8104" s="7"/>
      <c r="AG8104" s="7"/>
      <c r="AP8104" s="7"/>
      <c r="AY8104" s="7"/>
      <c r="BH8104" s="7"/>
      <c r="BQ8104" s="7"/>
      <c r="BZ8104" s="7"/>
    </row>
    <row r="8105" spans="2:78">
      <c r="B8105" s="7"/>
      <c r="O8105" s="7"/>
      <c r="X8105" s="7"/>
      <c r="AG8105" s="7"/>
      <c r="AP8105" s="7"/>
      <c r="AY8105" s="7"/>
      <c r="BH8105" s="7"/>
      <c r="BQ8105" s="7"/>
      <c r="BZ8105" s="7"/>
    </row>
    <row r="8106" spans="2:78">
      <c r="B8106" s="7"/>
      <c r="O8106" s="7"/>
      <c r="X8106" s="7"/>
      <c r="AG8106" s="7"/>
      <c r="AP8106" s="7"/>
      <c r="AY8106" s="7"/>
      <c r="BH8106" s="7"/>
      <c r="BQ8106" s="7"/>
      <c r="BZ8106" s="7"/>
    </row>
    <row r="8107" spans="2:78">
      <c r="B8107" s="7"/>
      <c r="O8107" s="7"/>
      <c r="X8107" s="7"/>
      <c r="AG8107" s="7"/>
      <c r="AP8107" s="7"/>
      <c r="AY8107" s="7"/>
      <c r="BH8107" s="7"/>
      <c r="BQ8107" s="7"/>
      <c r="BZ8107" s="7"/>
    </row>
    <row r="8108" spans="2:78">
      <c r="B8108" s="7"/>
      <c r="O8108" s="7"/>
      <c r="X8108" s="7"/>
      <c r="AG8108" s="7"/>
      <c r="AP8108" s="7"/>
      <c r="AY8108" s="7"/>
      <c r="BH8108" s="7"/>
      <c r="BQ8108" s="7"/>
      <c r="BZ8108" s="7"/>
    </row>
    <row r="8109" spans="2:78">
      <c r="B8109" s="7"/>
      <c r="O8109" s="7"/>
      <c r="X8109" s="7"/>
      <c r="AG8109" s="7"/>
      <c r="AP8109" s="7"/>
      <c r="AY8109" s="7"/>
      <c r="BH8109" s="7"/>
      <c r="BQ8109" s="7"/>
      <c r="BZ8109" s="7"/>
    </row>
    <row r="8110" spans="2:78">
      <c r="B8110" s="7"/>
      <c r="O8110" s="7"/>
      <c r="X8110" s="7"/>
      <c r="AG8110" s="7"/>
      <c r="AP8110" s="7"/>
      <c r="AY8110" s="7"/>
      <c r="BH8110" s="7"/>
      <c r="BQ8110" s="7"/>
      <c r="BZ8110" s="7"/>
    </row>
    <row r="8111" spans="2:78">
      <c r="B8111" s="7"/>
      <c r="O8111" s="7"/>
      <c r="X8111" s="7"/>
      <c r="AG8111" s="7"/>
      <c r="AP8111" s="7"/>
      <c r="AY8111" s="7"/>
      <c r="BH8111" s="7"/>
      <c r="BQ8111" s="7"/>
      <c r="BZ8111" s="7"/>
    </row>
    <row r="8112" spans="2:78">
      <c r="B8112" s="7"/>
      <c r="O8112" s="7"/>
      <c r="X8112" s="7"/>
      <c r="AG8112" s="7"/>
      <c r="AP8112" s="7"/>
      <c r="AY8112" s="7"/>
      <c r="BH8112" s="7"/>
      <c r="BQ8112" s="7"/>
      <c r="BZ8112" s="7"/>
    </row>
    <row r="8113" spans="2:78">
      <c r="B8113" s="7"/>
      <c r="O8113" s="7"/>
      <c r="X8113" s="7"/>
      <c r="AG8113" s="7"/>
      <c r="AP8113" s="7"/>
      <c r="AY8113" s="7"/>
      <c r="BH8113" s="7"/>
      <c r="BQ8113" s="7"/>
      <c r="BZ8113" s="7"/>
    </row>
    <row r="8114" spans="2:78">
      <c r="B8114" s="7"/>
      <c r="O8114" s="7"/>
      <c r="X8114" s="7"/>
      <c r="AG8114" s="7"/>
      <c r="AP8114" s="7"/>
      <c r="AY8114" s="7"/>
      <c r="BH8114" s="7"/>
      <c r="BQ8114" s="7"/>
      <c r="BZ8114" s="7"/>
    </row>
    <row r="8115" spans="2:78">
      <c r="B8115" s="7"/>
      <c r="O8115" s="7"/>
      <c r="X8115" s="7"/>
      <c r="AG8115" s="7"/>
      <c r="AP8115" s="7"/>
      <c r="AY8115" s="7"/>
      <c r="BH8115" s="7"/>
      <c r="BQ8115" s="7"/>
      <c r="BZ8115" s="7"/>
    </row>
    <row r="8116" spans="2:78">
      <c r="B8116" s="7"/>
      <c r="O8116" s="7"/>
      <c r="X8116" s="7"/>
      <c r="AG8116" s="7"/>
      <c r="AP8116" s="7"/>
      <c r="AY8116" s="7"/>
      <c r="BH8116" s="7"/>
      <c r="BQ8116" s="7"/>
      <c r="BZ8116" s="7"/>
    </row>
    <row r="8117" spans="2:78">
      <c r="B8117" s="7"/>
      <c r="O8117" s="7"/>
      <c r="X8117" s="7"/>
      <c r="AG8117" s="7"/>
      <c r="AP8117" s="7"/>
      <c r="AY8117" s="7"/>
      <c r="BH8117" s="7"/>
      <c r="BQ8117" s="7"/>
      <c r="BZ8117" s="7"/>
    </row>
    <row r="8118" spans="2:78">
      <c r="B8118" s="7"/>
      <c r="O8118" s="7"/>
      <c r="X8118" s="7"/>
      <c r="AG8118" s="7"/>
      <c r="AP8118" s="7"/>
      <c r="AY8118" s="7"/>
      <c r="BH8118" s="7"/>
      <c r="BQ8118" s="7"/>
      <c r="BZ8118" s="7"/>
    </row>
    <row r="8119" spans="2:78">
      <c r="B8119" s="7"/>
      <c r="O8119" s="7"/>
      <c r="X8119" s="7"/>
      <c r="AG8119" s="7"/>
      <c r="AP8119" s="7"/>
      <c r="AY8119" s="7"/>
      <c r="BH8119" s="7"/>
      <c r="BQ8119" s="7"/>
      <c r="BZ8119" s="7"/>
    </row>
    <row r="8120" spans="2:78">
      <c r="B8120" s="7"/>
      <c r="O8120" s="7"/>
      <c r="X8120" s="7"/>
      <c r="AG8120" s="7"/>
      <c r="AP8120" s="7"/>
      <c r="AY8120" s="7"/>
      <c r="BH8120" s="7"/>
      <c r="BQ8120" s="7"/>
      <c r="BZ8120" s="7"/>
    </row>
    <row r="8121" spans="2:78">
      <c r="B8121" s="7"/>
      <c r="O8121" s="7"/>
      <c r="X8121" s="7"/>
      <c r="AG8121" s="7"/>
      <c r="AP8121" s="7"/>
      <c r="AY8121" s="7"/>
      <c r="BH8121" s="7"/>
      <c r="BQ8121" s="7"/>
      <c r="BZ8121" s="7"/>
    </row>
    <row r="8122" spans="2:78">
      <c r="B8122" s="7"/>
      <c r="O8122" s="7"/>
      <c r="X8122" s="7"/>
      <c r="AG8122" s="7"/>
      <c r="AP8122" s="7"/>
      <c r="AY8122" s="7"/>
      <c r="BH8122" s="7"/>
      <c r="BQ8122" s="7"/>
      <c r="BZ8122" s="7"/>
    </row>
    <row r="8123" spans="2:78">
      <c r="B8123" s="7"/>
      <c r="O8123" s="7"/>
      <c r="X8123" s="7"/>
      <c r="AG8123" s="7"/>
      <c r="AP8123" s="7"/>
      <c r="AY8123" s="7"/>
      <c r="BH8123" s="7"/>
      <c r="BQ8123" s="7"/>
      <c r="BZ8123" s="7"/>
    </row>
    <row r="8124" spans="2:78">
      <c r="B8124" s="7"/>
      <c r="O8124" s="7"/>
      <c r="X8124" s="7"/>
      <c r="AG8124" s="7"/>
      <c r="AP8124" s="7"/>
      <c r="AY8124" s="7"/>
      <c r="BH8124" s="7"/>
      <c r="BQ8124" s="7"/>
      <c r="BZ8124" s="7"/>
    </row>
    <row r="8125" spans="2:78">
      <c r="B8125" s="7"/>
      <c r="O8125" s="7"/>
      <c r="X8125" s="7"/>
      <c r="AG8125" s="7"/>
      <c r="AP8125" s="7"/>
      <c r="AY8125" s="7"/>
      <c r="BH8125" s="7"/>
      <c r="BQ8125" s="7"/>
      <c r="BZ8125" s="7"/>
    </row>
    <row r="8126" spans="2:78">
      <c r="B8126" s="7"/>
      <c r="O8126" s="7"/>
      <c r="X8126" s="7"/>
      <c r="AG8126" s="7"/>
      <c r="AP8126" s="7"/>
      <c r="AY8126" s="7"/>
      <c r="BH8126" s="7"/>
      <c r="BQ8126" s="7"/>
      <c r="BZ8126" s="7"/>
    </row>
    <row r="8127" spans="2:78">
      <c r="B8127" s="7"/>
      <c r="O8127" s="7"/>
      <c r="X8127" s="7"/>
      <c r="AG8127" s="7"/>
      <c r="AP8127" s="7"/>
      <c r="AY8127" s="7"/>
      <c r="BH8127" s="7"/>
      <c r="BQ8127" s="7"/>
      <c r="BZ8127" s="7"/>
    </row>
    <row r="8128" spans="2:78">
      <c r="B8128" s="7"/>
      <c r="O8128" s="7"/>
      <c r="X8128" s="7"/>
      <c r="AG8128" s="7"/>
      <c r="AP8128" s="7"/>
      <c r="AY8128" s="7"/>
      <c r="BH8128" s="7"/>
      <c r="BQ8128" s="7"/>
      <c r="BZ8128" s="7"/>
    </row>
    <row r="8129" spans="2:78">
      <c r="B8129" s="7"/>
      <c r="O8129" s="7"/>
      <c r="X8129" s="7"/>
      <c r="AG8129" s="7"/>
      <c r="AP8129" s="7"/>
      <c r="AY8129" s="7"/>
      <c r="BH8129" s="7"/>
      <c r="BQ8129" s="7"/>
      <c r="BZ8129" s="7"/>
    </row>
    <row r="8130" spans="2:78">
      <c r="B8130" s="7"/>
      <c r="O8130" s="7"/>
      <c r="X8130" s="7"/>
      <c r="AG8130" s="7"/>
      <c r="AP8130" s="7"/>
      <c r="AY8130" s="7"/>
      <c r="BH8130" s="7"/>
      <c r="BQ8130" s="7"/>
      <c r="BZ8130" s="7"/>
    </row>
    <row r="8131" spans="2:78">
      <c r="B8131" s="7"/>
      <c r="O8131" s="7"/>
      <c r="X8131" s="7"/>
      <c r="AG8131" s="7"/>
      <c r="AP8131" s="7"/>
      <c r="AY8131" s="7"/>
      <c r="BH8131" s="7"/>
      <c r="BQ8131" s="7"/>
      <c r="BZ8131" s="7"/>
    </row>
    <row r="8132" spans="2:78">
      <c r="B8132" s="7"/>
      <c r="O8132" s="7"/>
      <c r="X8132" s="7"/>
      <c r="AG8132" s="7"/>
      <c r="AP8132" s="7"/>
      <c r="AY8132" s="7"/>
      <c r="BH8132" s="7"/>
      <c r="BQ8132" s="7"/>
      <c r="BZ8132" s="7"/>
    </row>
    <row r="8133" spans="2:78">
      <c r="B8133" s="7"/>
      <c r="O8133" s="7"/>
      <c r="X8133" s="7"/>
      <c r="AG8133" s="7"/>
      <c r="AP8133" s="7"/>
      <c r="AY8133" s="7"/>
      <c r="BH8133" s="7"/>
      <c r="BQ8133" s="7"/>
      <c r="BZ8133" s="7"/>
    </row>
    <row r="8134" spans="2:78">
      <c r="B8134" s="7"/>
      <c r="O8134" s="7"/>
      <c r="X8134" s="7"/>
      <c r="AG8134" s="7"/>
      <c r="AP8134" s="7"/>
      <c r="AY8134" s="7"/>
      <c r="BH8134" s="7"/>
      <c r="BQ8134" s="7"/>
      <c r="BZ8134" s="7"/>
    </row>
    <row r="8135" spans="2:78">
      <c r="B8135" s="7"/>
      <c r="O8135" s="7"/>
      <c r="X8135" s="7"/>
      <c r="AG8135" s="7"/>
      <c r="AP8135" s="7"/>
      <c r="AY8135" s="7"/>
      <c r="BH8135" s="7"/>
      <c r="BQ8135" s="7"/>
      <c r="BZ8135" s="7"/>
    </row>
    <row r="8136" spans="2:78">
      <c r="B8136" s="7"/>
      <c r="O8136" s="7"/>
      <c r="X8136" s="7"/>
      <c r="AG8136" s="7"/>
      <c r="AP8136" s="7"/>
      <c r="AY8136" s="7"/>
      <c r="BH8136" s="7"/>
      <c r="BQ8136" s="7"/>
      <c r="BZ8136" s="7"/>
    </row>
    <row r="8137" spans="2:78">
      <c r="B8137" s="7"/>
      <c r="O8137" s="7"/>
      <c r="X8137" s="7"/>
      <c r="AG8137" s="7"/>
      <c r="AP8137" s="7"/>
      <c r="AY8137" s="7"/>
      <c r="BH8137" s="7"/>
      <c r="BQ8137" s="7"/>
      <c r="BZ8137" s="7"/>
    </row>
    <row r="8138" spans="2:78">
      <c r="B8138" s="7"/>
      <c r="O8138" s="7"/>
      <c r="X8138" s="7"/>
      <c r="AG8138" s="7"/>
      <c r="AP8138" s="7"/>
      <c r="AY8138" s="7"/>
      <c r="BH8138" s="7"/>
      <c r="BQ8138" s="7"/>
      <c r="BZ8138" s="7"/>
    </row>
    <row r="8139" spans="2:78">
      <c r="B8139" s="7"/>
      <c r="O8139" s="7"/>
      <c r="X8139" s="7"/>
      <c r="AG8139" s="7"/>
      <c r="AP8139" s="7"/>
      <c r="AY8139" s="7"/>
      <c r="BH8139" s="7"/>
      <c r="BQ8139" s="7"/>
      <c r="BZ8139" s="7"/>
    </row>
    <row r="8140" spans="2:78">
      <c r="B8140" s="7"/>
      <c r="O8140" s="7"/>
      <c r="X8140" s="7"/>
      <c r="AG8140" s="7"/>
      <c r="AP8140" s="7"/>
      <c r="AY8140" s="7"/>
      <c r="BH8140" s="7"/>
      <c r="BQ8140" s="7"/>
      <c r="BZ8140" s="7"/>
    </row>
    <row r="8141" spans="2:78">
      <c r="B8141" s="7"/>
      <c r="O8141" s="7"/>
      <c r="X8141" s="7"/>
      <c r="AG8141" s="7"/>
      <c r="AP8141" s="7"/>
      <c r="AY8141" s="7"/>
      <c r="BH8141" s="7"/>
      <c r="BQ8141" s="7"/>
      <c r="BZ8141" s="7"/>
    </row>
    <row r="8142" spans="2:78">
      <c r="B8142" s="7"/>
      <c r="O8142" s="7"/>
      <c r="X8142" s="7"/>
      <c r="AG8142" s="7"/>
      <c r="AP8142" s="7"/>
      <c r="AY8142" s="7"/>
      <c r="BH8142" s="7"/>
      <c r="BQ8142" s="7"/>
      <c r="BZ8142" s="7"/>
    </row>
    <row r="8143" spans="2:78">
      <c r="B8143" s="7"/>
      <c r="O8143" s="7"/>
      <c r="X8143" s="7"/>
      <c r="AG8143" s="7"/>
      <c r="AP8143" s="7"/>
      <c r="AY8143" s="7"/>
      <c r="BH8143" s="7"/>
      <c r="BQ8143" s="7"/>
      <c r="BZ8143" s="7"/>
    </row>
    <row r="8144" spans="2:78">
      <c r="B8144" s="7"/>
      <c r="O8144" s="7"/>
      <c r="X8144" s="7"/>
      <c r="AG8144" s="7"/>
      <c r="AP8144" s="7"/>
      <c r="AY8144" s="7"/>
      <c r="BH8144" s="7"/>
      <c r="BQ8144" s="7"/>
      <c r="BZ8144" s="7"/>
    </row>
    <row r="8145" spans="2:78">
      <c r="B8145" s="7"/>
      <c r="O8145" s="7"/>
      <c r="X8145" s="7"/>
      <c r="AG8145" s="7"/>
      <c r="AP8145" s="7"/>
      <c r="AY8145" s="7"/>
      <c r="BH8145" s="7"/>
      <c r="BQ8145" s="7"/>
      <c r="BZ8145" s="7"/>
    </row>
    <row r="8146" spans="2:78">
      <c r="B8146" s="7"/>
      <c r="O8146" s="7"/>
      <c r="X8146" s="7"/>
      <c r="AG8146" s="7"/>
      <c r="AP8146" s="7"/>
      <c r="AY8146" s="7"/>
      <c r="BH8146" s="7"/>
      <c r="BQ8146" s="7"/>
      <c r="BZ8146" s="7"/>
    </row>
    <row r="8147" spans="2:78">
      <c r="B8147" s="7"/>
      <c r="O8147" s="7"/>
      <c r="X8147" s="7"/>
      <c r="AG8147" s="7"/>
      <c r="AP8147" s="7"/>
      <c r="AY8147" s="7"/>
      <c r="BH8147" s="7"/>
      <c r="BQ8147" s="7"/>
      <c r="BZ8147" s="7"/>
    </row>
    <row r="8148" spans="2:78">
      <c r="B8148" s="7"/>
      <c r="O8148" s="7"/>
      <c r="X8148" s="7"/>
      <c r="AG8148" s="7"/>
      <c r="AP8148" s="7"/>
      <c r="AY8148" s="7"/>
      <c r="BH8148" s="7"/>
      <c r="BQ8148" s="7"/>
      <c r="BZ8148" s="7"/>
    </row>
    <row r="8149" spans="2:78">
      <c r="B8149" s="7"/>
      <c r="O8149" s="7"/>
      <c r="X8149" s="7"/>
      <c r="AG8149" s="7"/>
      <c r="AP8149" s="7"/>
      <c r="AY8149" s="7"/>
      <c r="BH8149" s="7"/>
      <c r="BQ8149" s="7"/>
      <c r="BZ8149" s="7"/>
    </row>
    <row r="8150" spans="2:78">
      <c r="B8150" s="7"/>
      <c r="O8150" s="7"/>
      <c r="X8150" s="7"/>
      <c r="AG8150" s="7"/>
      <c r="AP8150" s="7"/>
      <c r="AY8150" s="7"/>
      <c r="BH8150" s="7"/>
      <c r="BQ8150" s="7"/>
      <c r="BZ8150" s="7"/>
    </row>
    <row r="8151" spans="2:78">
      <c r="B8151" s="7"/>
      <c r="O8151" s="7"/>
      <c r="X8151" s="7"/>
      <c r="AG8151" s="7"/>
      <c r="AP8151" s="7"/>
      <c r="AY8151" s="7"/>
      <c r="BH8151" s="7"/>
      <c r="BQ8151" s="7"/>
      <c r="BZ8151" s="7"/>
    </row>
    <row r="8152" spans="2:78">
      <c r="B8152" s="7"/>
      <c r="O8152" s="7"/>
      <c r="X8152" s="7"/>
      <c r="AG8152" s="7"/>
      <c r="AP8152" s="7"/>
      <c r="AY8152" s="7"/>
      <c r="BH8152" s="7"/>
      <c r="BQ8152" s="7"/>
      <c r="BZ8152" s="7"/>
    </row>
    <row r="8153" spans="2:78">
      <c r="B8153" s="7"/>
      <c r="O8153" s="7"/>
      <c r="X8153" s="7"/>
      <c r="AG8153" s="7"/>
      <c r="AP8153" s="7"/>
      <c r="AY8153" s="7"/>
      <c r="BH8153" s="7"/>
      <c r="BQ8153" s="7"/>
      <c r="BZ8153" s="7"/>
    </row>
    <row r="8154" spans="2:78">
      <c r="B8154" s="7"/>
      <c r="O8154" s="7"/>
      <c r="X8154" s="7"/>
      <c r="AG8154" s="7"/>
      <c r="AP8154" s="7"/>
      <c r="AY8154" s="7"/>
      <c r="BH8154" s="7"/>
      <c r="BQ8154" s="7"/>
      <c r="BZ8154" s="7"/>
    </row>
    <row r="8155" spans="2:78">
      <c r="B8155" s="7"/>
      <c r="O8155" s="7"/>
      <c r="X8155" s="7"/>
      <c r="AG8155" s="7"/>
      <c r="AP8155" s="7"/>
      <c r="AY8155" s="7"/>
      <c r="BH8155" s="7"/>
      <c r="BQ8155" s="7"/>
      <c r="BZ8155" s="7"/>
    </row>
    <row r="8156" spans="2:78">
      <c r="B8156" s="7"/>
      <c r="O8156" s="7"/>
      <c r="X8156" s="7"/>
      <c r="AG8156" s="7"/>
      <c r="AP8156" s="7"/>
      <c r="AY8156" s="7"/>
      <c r="BH8156" s="7"/>
      <c r="BQ8156" s="7"/>
      <c r="BZ8156" s="7"/>
    </row>
    <row r="8157" spans="2:78">
      <c r="B8157" s="7"/>
      <c r="O8157" s="7"/>
      <c r="X8157" s="7"/>
      <c r="AG8157" s="7"/>
      <c r="AP8157" s="7"/>
      <c r="AY8157" s="7"/>
      <c r="BH8157" s="7"/>
      <c r="BQ8157" s="7"/>
      <c r="BZ8157" s="7"/>
    </row>
    <row r="8158" spans="2:78">
      <c r="B8158" s="7"/>
      <c r="O8158" s="7"/>
      <c r="X8158" s="7"/>
      <c r="AG8158" s="7"/>
      <c r="AP8158" s="7"/>
      <c r="AY8158" s="7"/>
      <c r="BH8158" s="7"/>
      <c r="BQ8158" s="7"/>
      <c r="BZ8158" s="7"/>
    </row>
    <row r="8159" spans="2:78">
      <c r="B8159" s="7"/>
      <c r="O8159" s="7"/>
      <c r="X8159" s="7"/>
      <c r="AG8159" s="7"/>
      <c r="AP8159" s="7"/>
      <c r="AY8159" s="7"/>
      <c r="BH8159" s="7"/>
      <c r="BQ8159" s="7"/>
      <c r="BZ8159" s="7"/>
    </row>
    <row r="8160" spans="2:78">
      <c r="B8160" s="7"/>
      <c r="O8160" s="7"/>
      <c r="X8160" s="7"/>
      <c r="AG8160" s="7"/>
      <c r="AP8160" s="7"/>
      <c r="AY8160" s="7"/>
      <c r="BH8160" s="7"/>
      <c r="BQ8160" s="7"/>
      <c r="BZ8160" s="7"/>
    </row>
    <row r="8161" spans="2:78">
      <c r="B8161" s="7"/>
      <c r="O8161" s="7"/>
      <c r="X8161" s="7"/>
      <c r="AG8161" s="7"/>
      <c r="AP8161" s="7"/>
      <c r="AY8161" s="7"/>
      <c r="BH8161" s="7"/>
      <c r="BQ8161" s="7"/>
      <c r="BZ8161" s="7"/>
    </row>
    <row r="8162" spans="2:78">
      <c r="B8162" s="7"/>
      <c r="O8162" s="7"/>
      <c r="X8162" s="7"/>
      <c r="AG8162" s="7"/>
      <c r="AP8162" s="7"/>
      <c r="AY8162" s="7"/>
      <c r="BH8162" s="7"/>
      <c r="BQ8162" s="7"/>
      <c r="BZ8162" s="7"/>
    </row>
    <row r="8163" spans="2:78">
      <c r="B8163" s="7"/>
      <c r="O8163" s="7"/>
      <c r="X8163" s="7"/>
      <c r="AG8163" s="7"/>
      <c r="AP8163" s="7"/>
      <c r="AY8163" s="7"/>
      <c r="BH8163" s="7"/>
      <c r="BQ8163" s="7"/>
      <c r="BZ8163" s="7"/>
    </row>
    <row r="8164" spans="2:78">
      <c r="B8164" s="7"/>
      <c r="O8164" s="7"/>
      <c r="X8164" s="7"/>
      <c r="AG8164" s="7"/>
      <c r="AP8164" s="7"/>
      <c r="AY8164" s="7"/>
      <c r="BH8164" s="7"/>
      <c r="BQ8164" s="7"/>
      <c r="BZ8164" s="7"/>
    </row>
    <row r="8165" spans="2:78">
      <c r="B8165" s="7"/>
      <c r="O8165" s="7"/>
      <c r="X8165" s="7"/>
      <c r="AG8165" s="7"/>
      <c r="AP8165" s="7"/>
      <c r="AY8165" s="7"/>
      <c r="BH8165" s="7"/>
      <c r="BQ8165" s="7"/>
      <c r="BZ8165" s="7"/>
    </row>
    <row r="8166" spans="2:78">
      <c r="B8166" s="7"/>
      <c r="O8166" s="7"/>
      <c r="X8166" s="7"/>
      <c r="AG8166" s="7"/>
      <c r="AP8166" s="7"/>
      <c r="AY8166" s="7"/>
      <c r="BH8166" s="7"/>
      <c r="BQ8166" s="7"/>
      <c r="BZ8166" s="7"/>
    </row>
    <row r="8167" spans="2:78">
      <c r="B8167" s="7"/>
      <c r="O8167" s="7"/>
      <c r="X8167" s="7"/>
      <c r="AG8167" s="7"/>
      <c r="AP8167" s="7"/>
      <c r="AY8167" s="7"/>
      <c r="BH8167" s="7"/>
      <c r="BQ8167" s="7"/>
      <c r="BZ8167" s="7"/>
    </row>
    <row r="8168" spans="2:78">
      <c r="B8168" s="7"/>
      <c r="O8168" s="7"/>
      <c r="X8168" s="7"/>
      <c r="AG8168" s="7"/>
      <c r="AP8168" s="7"/>
      <c r="AY8168" s="7"/>
      <c r="BH8168" s="7"/>
      <c r="BQ8168" s="7"/>
      <c r="BZ8168" s="7"/>
    </row>
    <row r="8169" spans="2:78">
      <c r="B8169" s="7"/>
      <c r="O8169" s="7"/>
      <c r="X8169" s="7"/>
      <c r="AG8169" s="7"/>
      <c r="AP8169" s="7"/>
      <c r="AY8169" s="7"/>
      <c r="BH8169" s="7"/>
      <c r="BQ8169" s="7"/>
      <c r="BZ8169" s="7"/>
    </row>
    <row r="8170" spans="2:78">
      <c r="B8170" s="7"/>
      <c r="O8170" s="7"/>
      <c r="X8170" s="7"/>
      <c r="AG8170" s="7"/>
      <c r="AP8170" s="7"/>
      <c r="AY8170" s="7"/>
      <c r="BH8170" s="7"/>
      <c r="BQ8170" s="7"/>
      <c r="BZ8170" s="7"/>
    </row>
    <row r="8171" spans="2:78">
      <c r="B8171" s="7"/>
      <c r="O8171" s="7"/>
      <c r="X8171" s="7"/>
      <c r="AG8171" s="7"/>
      <c r="AP8171" s="7"/>
      <c r="AY8171" s="7"/>
      <c r="BH8171" s="7"/>
      <c r="BQ8171" s="7"/>
      <c r="BZ8171" s="7"/>
    </row>
    <row r="8172" spans="2:78">
      <c r="B8172" s="7"/>
      <c r="O8172" s="7"/>
      <c r="X8172" s="7"/>
      <c r="AG8172" s="7"/>
      <c r="AP8172" s="7"/>
      <c r="AY8172" s="7"/>
      <c r="BH8172" s="7"/>
      <c r="BQ8172" s="7"/>
      <c r="BZ8172" s="7"/>
    </row>
    <row r="8173" spans="2:78">
      <c r="B8173" s="7"/>
      <c r="O8173" s="7"/>
      <c r="X8173" s="7"/>
      <c r="AG8173" s="7"/>
      <c r="AP8173" s="7"/>
      <c r="AY8173" s="7"/>
      <c r="BH8173" s="7"/>
      <c r="BQ8173" s="7"/>
      <c r="BZ8173" s="7"/>
    </row>
    <row r="8174" spans="2:78">
      <c r="B8174" s="7"/>
      <c r="O8174" s="7"/>
      <c r="X8174" s="7"/>
      <c r="AG8174" s="7"/>
      <c r="AP8174" s="7"/>
      <c r="AY8174" s="7"/>
      <c r="BH8174" s="7"/>
      <c r="BQ8174" s="7"/>
      <c r="BZ8174" s="7"/>
    </row>
    <row r="8175" spans="2:78">
      <c r="B8175" s="7"/>
      <c r="O8175" s="7"/>
      <c r="X8175" s="7"/>
      <c r="AG8175" s="7"/>
      <c r="AP8175" s="7"/>
      <c r="AY8175" s="7"/>
      <c r="BH8175" s="7"/>
      <c r="BQ8175" s="7"/>
      <c r="BZ8175" s="7"/>
    </row>
    <row r="8176" spans="2:78">
      <c r="B8176" s="7"/>
      <c r="O8176" s="7"/>
      <c r="X8176" s="7"/>
      <c r="AG8176" s="7"/>
      <c r="AP8176" s="7"/>
      <c r="AY8176" s="7"/>
      <c r="BH8176" s="7"/>
      <c r="BQ8176" s="7"/>
      <c r="BZ8176" s="7"/>
    </row>
    <row r="8177" spans="2:78">
      <c r="B8177" s="7"/>
      <c r="O8177" s="7"/>
      <c r="X8177" s="7"/>
      <c r="AG8177" s="7"/>
      <c r="AP8177" s="7"/>
      <c r="AY8177" s="7"/>
      <c r="BH8177" s="7"/>
      <c r="BQ8177" s="7"/>
      <c r="BZ8177" s="7"/>
    </row>
    <row r="8178" spans="2:78">
      <c r="B8178" s="7"/>
      <c r="O8178" s="7"/>
      <c r="X8178" s="7"/>
      <c r="AG8178" s="7"/>
      <c r="AP8178" s="7"/>
      <c r="AY8178" s="7"/>
      <c r="BH8178" s="7"/>
      <c r="BQ8178" s="7"/>
      <c r="BZ8178" s="7"/>
    </row>
    <row r="8179" spans="2:78">
      <c r="B8179" s="7"/>
      <c r="O8179" s="7"/>
      <c r="X8179" s="7"/>
      <c r="AG8179" s="7"/>
      <c r="AP8179" s="7"/>
      <c r="AY8179" s="7"/>
      <c r="BH8179" s="7"/>
      <c r="BQ8179" s="7"/>
      <c r="BZ8179" s="7"/>
    </row>
    <row r="8180" spans="2:78">
      <c r="B8180" s="7"/>
      <c r="O8180" s="7"/>
      <c r="X8180" s="7"/>
      <c r="AG8180" s="7"/>
      <c r="AP8180" s="7"/>
      <c r="AY8180" s="7"/>
      <c r="BH8180" s="7"/>
      <c r="BQ8180" s="7"/>
      <c r="BZ8180" s="7"/>
    </row>
    <row r="8181" spans="2:78">
      <c r="B8181" s="7"/>
      <c r="O8181" s="7"/>
      <c r="X8181" s="7"/>
      <c r="AG8181" s="7"/>
      <c r="AP8181" s="7"/>
      <c r="AY8181" s="7"/>
      <c r="BH8181" s="7"/>
      <c r="BQ8181" s="7"/>
      <c r="BZ8181" s="7"/>
    </row>
    <row r="8182" spans="2:78">
      <c r="B8182" s="7"/>
      <c r="O8182" s="7"/>
      <c r="X8182" s="7"/>
      <c r="AG8182" s="7"/>
      <c r="AP8182" s="7"/>
      <c r="AY8182" s="7"/>
      <c r="BH8182" s="7"/>
      <c r="BQ8182" s="7"/>
      <c r="BZ8182" s="7"/>
    </row>
    <row r="8183" spans="2:78">
      <c r="B8183" s="7"/>
      <c r="O8183" s="7"/>
      <c r="X8183" s="7"/>
      <c r="AG8183" s="7"/>
      <c r="AP8183" s="7"/>
      <c r="AY8183" s="7"/>
      <c r="BH8183" s="7"/>
      <c r="BQ8183" s="7"/>
      <c r="BZ8183" s="7"/>
    </row>
    <row r="8184" spans="2:78">
      <c r="B8184" s="7"/>
      <c r="O8184" s="7"/>
      <c r="X8184" s="7"/>
      <c r="AG8184" s="7"/>
      <c r="AP8184" s="7"/>
      <c r="AY8184" s="7"/>
      <c r="BH8184" s="7"/>
      <c r="BQ8184" s="7"/>
      <c r="BZ8184" s="7"/>
    </row>
    <row r="8185" spans="2:78">
      <c r="B8185" s="7"/>
      <c r="O8185" s="7"/>
      <c r="X8185" s="7"/>
      <c r="AG8185" s="7"/>
      <c r="AP8185" s="7"/>
      <c r="AY8185" s="7"/>
      <c r="BH8185" s="7"/>
      <c r="BQ8185" s="7"/>
      <c r="BZ8185" s="7"/>
    </row>
    <row r="8186" spans="2:78">
      <c r="B8186" s="7"/>
      <c r="O8186" s="7"/>
      <c r="X8186" s="7"/>
      <c r="AG8186" s="7"/>
      <c r="AP8186" s="7"/>
      <c r="AY8186" s="7"/>
      <c r="BH8186" s="7"/>
      <c r="BQ8186" s="7"/>
      <c r="BZ8186" s="7"/>
    </row>
    <row r="8187" spans="2:78">
      <c r="B8187" s="7"/>
      <c r="O8187" s="7"/>
      <c r="X8187" s="7"/>
      <c r="AG8187" s="7"/>
      <c r="AP8187" s="7"/>
      <c r="AY8187" s="7"/>
      <c r="BH8187" s="7"/>
      <c r="BQ8187" s="7"/>
      <c r="BZ8187" s="7"/>
    </row>
    <row r="8188" spans="2:78">
      <c r="B8188" s="7"/>
      <c r="O8188" s="7"/>
      <c r="X8188" s="7"/>
      <c r="AG8188" s="7"/>
      <c r="AP8188" s="7"/>
      <c r="AY8188" s="7"/>
      <c r="BH8188" s="7"/>
      <c r="BQ8188" s="7"/>
      <c r="BZ8188" s="7"/>
    </row>
    <row r="8189" spans="2:78">
      <c r="B8189" s="7"/>
      <c r="O8189" s="7"/>
      <c r="X8189" s="7"/>
      <c r="AG8189" s="7"/>
      <c r="AP8189" s="7"/>
      <c r="AY8189" s="7"/>
      <c r="BH8189" s="7"/>
      <c r="BQ8189" s="7"/>
      <c r="BZ8189" s="7"/>
    </row>
    <row r="8190" spans="2:78">
      <c r="B8190" s="7"/>
      <c r="O8190" s="7"/>
      <c r="X8190" s="7"/>
      <c r="AG8190" s="7"/>
      <c r="AP8190" s="7"/>
      <c r="AY8190" s="7"/>
      <c r="BH8190" s="7"/>
      <c r="BQ8190" s="7"/>
      <c r="BZ8190" s="7"/>
    </row>
    <row r="8191" spans="2:78">
      <c r="B8191" s="7"/>
      <c r="O8191" s="7"/>
      <c r="X8191" s="7"/>
      <c r="AG8191" s="7"/>
      <c r="AP8191" s="7"/>
      <c r="AY8191" s="7"/>
      <c r="BH8191" s="7"/>
      <c r="BQ8191" s="7"/>
      <c r="BZ8191" s="7"/>
    </row>
    <row r="8192" spans="2:78">
      <c r="B8192" s="7"/>
      <c r="O8192" s="7"/>
      <c r="X8192" s="7"/>
      <c r="AG8192" s="7"/>
      <c r="AP8192" s="7"/>
      <c r="AY8192" s="7"/>
      <c r="BH8192" s="7"/>
      <c r="BQ8192" s="7"/>
      <c r="BZ8192" s="7"/>
    </row>
    <row r="8193" spans="2:78">
      <c r="B8193" s="7"/>
      <c r="O8193" s="7"/>
      <c r="X8193" s="7"/>
      <c r="AG8193" s="7"/>
      <c r="AP8193" s="7"/>
      <c r="AY8193" s="7"/>
      <c r="BH8193" s="7"/>
      <c r="BQ8193" s="7"/>
      <c r="BZ8193" s="7"/>
    </row>
    <row r="8194" spans="2:78">
      <c r="B8194" s="7"/>
      <c r="O8194" s="7"/>
      <c r="X8194" s="7"/>
      <c r="AG8194" s="7"/>
      <c r="AP8194" s="7"/>
      <c r="AY8194" s="7"/>
      <c r="BH8194" s="7"/>
      <c r="BQ8194" s="7"/>
      <c r="BZ8194" s="7"/>
    </row>
    <row r="8195" spans="2:78">
      <c r="B8195" s="7"/>
      <c r="O8195" s="7"/>
      <c r="X8195" s="7"/>
      <c r="AG8195" s="7"/>
      <c r="AP8195" s="7"/>
      <c r="AY8195" s="7"/>
      <c r="BH8195" s="7"/>
      <c r="BQ8195" s="7"/>
      <c r="BZ8195" s="7"/>
    </row>
    <row r="8196" spans="2:78">
      <c r="B8196" s="7"/>
      <c r="O8196" s="7"/>
      <c r="X8196" s="7"/>
      <c r="AG8196" s="7"/>
      <c r="AP8196" s="7"/>
      <c r="AY8196" s="7"/>
      <c r="BH8196" s="7"/>
      <c r="BQ8196" s="7"/>
      <c r="BZ8196" s="7"/>
    </row>
    <row r="8197" spans="2:78">
      <c r="B8197" s="7"/>
      <c r="O8197" s="7"/>
      <c r="X8197" s="7"/>
      <c r="AG8197" s="7"/>
      <c r="AP8197" s="7"/>
      <c r="AY8197" s="7"/>
      <c r="BH8197" s="7"/>
      <c r="BQ8197" s="7"/>
      <c r="BZ8197" s="7"/>
    </row>
    <row r="8198" spans="2:78">
      <c r="B8198" s="7"/>
      <c r="O8198" s="7"/>
      <c r="X8198" s="7"/>
      <c r="AG8198" s="7"/>
      <c r="AP8198" s="7"/>
      <c r="AY8198" s="7"/>
      <c r="BH8198" s="7"/>
      <c r="BQ8198" s="7"/>
      <c r="BZ8198" s="7"/>
    </row>
    <row r="8199" spans="2:78">
      <c r="B8199" s="7"/>
      <c r="O8199" s="7"/>
      <c r="X8199" s="7"/>
      <c r="AG8199" s="7"/>
      <c r="AP8199" s="7"/>
      <c r="AY8199" s="7"/>
      <c r="BH8199" s="7"/>
      <c r="BQ8199" s="7"/>
      <c r="BZ8199" s="7"/>
    </row>
    <row r="8200" spans="2:78">
      <c r="B8200" s="7"/>
      <c r="O8200" s="7"/>
      <c r="X8200" s="7"/>
      <c r="AG8200" s="7"/>
      <c r="AP8200" s="7"/>
      <c r="AY8200" s="7"/>
      <c r="BH8200" s="7"/>
      <c r="BQ8200" s="7"/>
      <c r="BZ8200" s="7"/>
    </row>
    <row r="8201" spans="2:78">
      <c r="B8201" s="7"/>
      <c r="O8201" s="7"/>
      <c r="X8201" s="7"/>
      <c r="AG8201" s="7"/>
      <c r="AP8201" s="7"/>
      <c r="AY8201" s="7"/>
      <c r="BH8201" s="7"/>
      <c r="BQ8201" s="7"/>
      <c r="BZ8201" s="7"/>
    </row>
    <row r="8202" spans="2:78">
      <c r="B8202" s="7"/>
      <c r="O8202" s="7"/>
      <c r="X8202" s="7"/>
      <c r="AG8202" s="7"/>
      <c r="AP8202" s="7"/>
      <c r="AY8202" s="7"/>
      <c r="BH8202" s="7"/>
      <c r="BQ8202" s="7"/>
      <c r="BZ8202" s="7"/>
    </row>
    <row r="8203" spans="2:78">
      <c r="B8203" s="7"/>
      <c r="O8203" s="7"/>
      <c r="X8203" s="7"/>
      <c r="AG8203" s="7"/>
      <c r="AP8203" s="7"/>
      <c r="AY8203" s="7"/>
      <c r="BH8203" s="7"/>
      <c r="BQ8203" s="7"/>
      <c r="BZ8203" s="7"/>
    </row>
    <row r="8204" spans="2:78">
      <c r="B8204" s="7"/>
      <c r="O8204" s="7"/>
      <c r="X8204" s="7"/>
      <c r="AG8204" s="7"/>
      <c r="AP8204" s="7"/>
      <c r="AY8204" s="7"/>
      <c r="BH8204" s="7"/>
      <c r="BQ8204" s="7"/>
      <c r="BZ8204" s="7"/>
    </row>
    <row r="8205" spans="2:78">
      <c r="B8205" s="7"/>
      <c r="O8205" s="7"/>
      <c r="X8205" s="7"/>
      <c r="AG8205" s="7"/>
      <c r="AP8205" s="7"/>
      <c r="AY8205" s="7"/>
      <c r="BH8205" s="7"/>
      <c r="BQ8205" s="7"/>
      <c r="BZ8205" s="7"/>
    </row>
    <row r="8206" spans="2:78">
      <c r="B8206" s="7"/>
      <c r="O8206" s="7"/>
      <c r="X8206" s="7"/>
      <c r="AG8206" s="7"/>
      <c r="AP8206" s="7"/>
      <c r="AY8206" s="7"/>
      <c r="BH8206" s="7"/>
      <c r="BQ8206" s="7"/>
      <c r="BZ8206" s="7"/>
    </row>
    <row r="8207" spans="2:78">
      <c r="B8207" s="7"/>
      <c r="O8207" s="7"/>
      <c r="X8207" s="7"/>
      <c r="AG8207" s="7"/>
      <c r="AP8207" s="7"/>
      <c r="AY8207" s="7"/>
      <c r="BH8207" s="7"/>
      <c r="BQ8207" s="7"/>
      <c r="BZ8207" s="7"/>
    </row>
    <row r="8208" spans="2:78">
      <c r="B8208" s="7"/>
      <c r="O8208" s="7"/>
      <c r="X8208" s="7"/>
      <c r="AG8208" s="7"/>
      <c r="AP8208" s="7"/>
      <c r="AY8208" s="7"/>
      <c r="BH8208" s="7"/>
      <c r="BQ8208" s="7"/>
      <c r="BZ8208" s="7"/>
    </row>
    <row r="8209" spans="2:78">
      <c r="B8209" s="7"/>
      <c r="O8209" s="7"/>
      <c r="X8209" s="7"/>
      <c r="AG8209" s="7"/>
      <c r="AP8209" s="7"/>
      <c r="AY8209" s="7"/>
      <c r="BH8209" s="7"/>
      <c r="BQ8209" s="7"/>
      <c r="BZ8209" s="7"/>
    </row>
    <row r="8210" spans="2:78">
      <c r="B8210" s="7"/>
      <c r="O8210" s="7"/>
      <c r="X8210" s="7"/>
      <c r="AG8210" s="7"/>
      <c r="AP8210" s="7"/>
      <c r="AY8210" s="7"/>
      <c r="BH8210" s="7"/>
      <c r="BQ8210" s="7"/>
      <c r="BZ8210" s="7"/>
    </row>
    <row r="8211" spans="2:78">
      <c r="B8211" s="7"/>
      <c r="O8211" s="7"/>
      <c r="X8211" s="7"/>
      <c r="AG8211" s="7"/>
      <c r="AP8211" s="7"/>
      <c r="AY8211" s="7"/>
      <c r="BH8211" s="7"/>
      <c r="BQ8211" s="7"/>
      <c r="BZ8211" s="7"/>
    </row>
    <row r="8212" spans="2:78">
      <c r="B8212" s="7"/>
      <c r="O8212" s="7"/>
      <c r="X8212" s="7"/>
      <c r="AG8212" s="7"/>
      <c r="AP8212" s="7"/>
      <c r="AY8212" s="7"/>
      <c r="BH8212" s="7"/>
      <c r="BQ8212" s="7"/>
      <c r="BZ8212" s="7"/>
    </row>
    <row r="8213" spans="2:78">
      <c r="B8213" s="7"/>
      <c r="O8213" s="7"/>
      <c r="X8213" s="7"/>
      <c r="AG8213" s="7"/>
      <c r="AP8213" s="7"/>
      <c r="AY8213" s="7"/>
      <c r="BH8213" s="7"/>
      <c r="BQ8213" s="7"/>
      <c r="BZ8213" s="7"/>
    </row>
    <row r="8214" spans="2:78">
      <c r="B8214" s="7"/>
      <c r="O8214" s="7"/>
      <c r="X8214" s="7"/>
      <c r="AG8214" s="7"/>
      <c r="AP8214" s="7"/>
      <c r="AY8214" s="7"/>
      <c r="BH8214" s="7"/>
      <c r="BQ8214" s="7"/>
      <c r="BZ8214" s="7"/>
    </row>
    <row r="8215" spans="2:78">
      <c r="B8215" s="7"/>
      <c r="O8215" s="7"/>
      <c r="X8215" s="7"/>
      <c r="AG8215" s="7"/>
      <c r="AP8215" s="7"/>
      <c r="AY8215" s="7"/>
      <c r="BH8215" s="7"/>
      <c r="BQ8215" s="7"/>
      <c r="BZ8215" s="7"/>
    </row>
    <row r="8216" spans="2:78">
      <c r="B8216" s="7"/>
      <c r="O8216" s="7"/>
      <c r="X8216" s="7"/>
      <c r="AG8216" s="7"/>
      <c r="AP8216" s="7"/>
      <c r="AY8216" s="7"/>
      <c r="BH8216" s="7"/>
      <c r="BQ8216" s="7"/>
      <c r="BZ8216" s="7"/>
    </row>
    <row r="8217" spans="2:78">
      <c r="B8217" s="7"/>
      <c r="O8217" s="7"/>
      <c r="X8217" s="7"/>
      <c r="AG8217" s="7"/>
      <c r="AP8217" s="7"/>
      <c r="AY8217" s="7"/>
      <c r="BH8217" s="7"/>
      <c r="BQ8217" s="7"/>
      <c r="BZ8217" s="7"/>
    </row>
    <row r="8218" spans="2:78">
      <c r="B8218" s="7"/>
      <c r="O8218" s="7"/>
      <c r="X8218" s="7"/>
      <c r="AG8218" s="7"/>
      <c r="AP8218" s="7"/>
      <c r="AY8218" s="7"/>
      <c r="BH8218" s="7"/>
      <c r="BQ8218" s="7"/>
      <c r="BZ8218" s="7"/>
    </row>
    <row r="8219" spans="2:78">
      <c r="B8219" s="7"/>
      <c r="O8219" s="7"/>
      <c r="X8219" s="7"/>
      <c r="AG8219" s="7"/>
      <c r="AP8219" s="7"/>
      <c r="AY8219" s="7"/>
      <c r="BH8219" s="7"/>
      <c r="BQ8219" s="7"/>
      <c r="BZ8219" s="7"/>
    </row>
    <row r="8220" spans="2:78">
      <c r="B8220" s="7"/>
      <c r="O8220" s="7"/>
      <c r="X8220" s="7"/>
      <c r="AG8220" s="7"/>
      <c r="AP8220" s="7"/>
      <c r="AY8220" s="7"/>
      <c r="BH8220" s="7"/>
      <c r="BQ8220" s="7"/>
      <c r="BZ8220" s="7"/>
    </row>
    <row r="8221" spans="2:78">
      <c r="B8221" s="7"/>
      <c r="O8221" s="7"/>
      <c r="X8221" s="7"/>
      <c r="AG8221" s="7"/>
      <c r="AP8221" s="7"/>
      <c r="AY8221" s="7"/>
      <c r="BH8221" s="7"/>
      <c r="BQ8221" s="7"/>
      <c r="BZ8221" s="7"/>
    </row>
    <row r="8222" spans="2:78">
      <c r="B8222" s="7"/>
      <c r="O8222" s="7"/>
      <c r="X8222" s="7"/>
      <c r="AG8222" s="7"/>
      <c r="AP8222" s="7"/>
      <c r="AY8222" s="7"/>
      <c r="BH8222" s="7"/>
      <c r="BQ8222" s="7"/>
      <c r="BZ8222" s="7"/>
    </row>
    <row r="8223" spans="2:78">
      <c r="B8223" s="7"/>
      <c r="O8223" s="7"/>
      <c r="X8223" s="7"/>
      <c r="AG8223" s="7"/>
      <c r="AP8223" s="7"/>
      <c r="AY8223" s="7"/>
      <c r="BH8223" s="7"/>
      <c r="BQ8223" s="7"/>
      <c r="BZ8223" s="7"/>
    </row>
    <row r="8224" spans="2:78">
      <c r="B8224" s="7"/>
      <c r="O8224" s="7"/>
      <c r="X8224" s="7"/>
      <c r="AG8224" s="7"/>
      <c r="AP8224" s="7"/>
      <c r="AY8224" s="7"/>
      <c r="BH8224" s="7"/>
      <c r="BQ8224" s="7"/>
      <c r="BZ8224" s="7"/>
    </row>
    <row r="8225" spans="2:78">
      <c r="B8225" s="7"/>
      <c r="O8225" s="7"/>
      <c r="X8225" s="7"/>
      <c r="AG8225" s="7"/>
      <c r="AP8225" s="7"/>
      <c r="AY8225" s="7"/>
      <c r="BH8225" s="7"/>
      <c r="BQ8225" s="7"/>
      <c r="BZ8225" s="7"/>
    </row>
    <row r="8226" spans="2:78">
      <c r="B8226" s="7"/>
      <c r="O8226" s="7"/>
      <c r="X8226" s="7"/>
      <c r="AG8226" s="7"/>
      <c r="AP8226" s="7"/>
      <c r="AY8226" s="7"/>
      <c r="BH8226" s="7"/>
      <c r="BQ8226" s="7"/>
      <c r="BZ8226" s="7"/>
    </row>
    <row r="8227" spans="2:78">
      <c r="B8227" s="7"/>
      <c r="O8227" s="7"/>
      <c r="X8227" s="7"/>
      <c r="AG8227" s="7"/>
      <c r="AP8227" s="7"/>
      <c r="AY8227" s="7"/>
      <c r="BH8227" s="7"/>
      <c r="BQ8227" s="7"/>
      <c r="BZ8227" s="7"/>
    </row>
    <row r="8228" spans="2:78">
      <c r="B8228" s="7"/>
      <c r="O8228" s="7"/>
      <c r="X8228" s="7"/>
      <c r="AG8228" s="7"/>
      <c r="AP8228" s="7"/>
      <c r="AY8228" s="7"/>
      <c r="BH8228" s="7"/>
      <c r="BQ8228" s="7"/>
      <c r="BZ8228" s="7"/>
    </row>
    <row r="8229" spans="2:78">
      <c r="B8229" s="7"/>
      <c r="O8229" s="7"/>
      <c r="X8229" s="7"/>
      <c r="AG8229" s="7"/>
      <c r="AP8229" s="7"/>
      <c r="AY8229" s="7"/>
      <c r="BH8229" s="7"/>
      <c r="BQ8229" s="7"/>
      <c r="BZ8229" s="7"/>
    </row>
    <row r="8230" spans="2:78">
      <c r="B8230" s="7"/>
      <c r="O8230" s="7"/>
      <c r="X8230" s="7"/>
      <c r="AG8230" s="7"/>
      <c r="AP8230" s="7"/>
      <c r="AY8230" s="7"/>
      <c r="BH8230" s="7"/>
      <c r="BQ8230" s="7"/>
      <c r="BZ8230" s="7"/>
    </row>
    <row r="8231" spans="2:78">
      <c r="B8231" s="7"/>
      <c r="O8231" s="7"/>
      <c r="X8231" s="7"/>
      <c r="AG8231" s="7"/>
      <c r="AP8231" s="7"/>
      <c r="AY8231" s="7"/>
      <c r="BH8231" s="7"/>
      <c r="BQ8231" s="7"/>
      <c r="BZ8231" s="7"/>
    </row>
    <row r="8232" spans="2:78">
      <c r="B8232" s="7"/>
      <c r="O8232" s="7"/>
      <c r="X8232" s="7"/>
      <c r="AG8232" s="7"/>
      <c r="AP8232" s="7"/>
      <c r="AY8232" s="7"/>
      <c r="BH8232" s="7"/>
      <c r="BQ8232" s="7"/>
      <c r="BZ8232" s="7"/>
    </row>
    <row r="8233" spans="2:78">
      <c r="B8233" s="7"/>
      <c r="O8233" s="7"/>
      <c r="X8233" s="7"/>
      <c r="AG8233" s="7"/>
      <c r="AP8233" s="7"/>
      <c r="AY8233" s="7"/>
      <c r="BH8233" s="7"/>
      <c r="BQ8233" s="7"/>
      <c r="BZ8233" s="7"/>
    </row>
    <row r="8234" spans="2:78">
      <c r="B8234" s="7"/>
      <c r="O8234" s="7"/>
      <c r="X8234" s="7"/>
      <c r="AG8234" s="7"/>
      <c r="AP8234" s="7"/>
      <c r="AY8234" s="7"/>
      <c r="BH8234" s="7"/>
      <c r="BQ8234" s="7"/>
      <c r="BZ8234" s="7"/>
    </row>
    <row r="8235" spans="2:78">
      <c r="B8235" s="7"/>
      <c r="O8235" s="7"/>
      <c r="X8235" s="7"/>
      <c r="AG8235" s="7"/>
      <c r="AP8235" s="7"/>
      <c r="AY8235" s="7"/>
      <c r="BH8235" s="7"/>
      <c r="BQ8235" s="7"/>
      <c r="BZ8235" s="7"/>
    </row>
    <row r="8236" spans="2:78">
      <c r="B8236" s="7"/>
      <c r="O8236" s="7"/>
      <c r="X8236" s="7"/>
      <c r="AG8236" s="7"/>
      <c r="AP8236" s="7"/>
      <c r="AY8236" s="7"/>
      <c r="BH8236" s="7"/>
      <c r="BQ8236" s="7"/>
      <c r="BZ8236" s="7"/>
    </row>
    <row r="8237" spans="2:78">
      <c r="B8237" s="7"/>
      <c r="O8237" s="7"/>
      <c r="X8237" s="7"/>
      <c r="AG8237" s="7"/>
      <c r="AP8237" s="7"/>
      <c r="AY8237" s="7"/>
      <c r="BH8237" s="7"/>
      <c r="BQ8237" s="7"/>
      <c r="BZ8237" s="7"/>
    </row>
    <row r="8238" spans="2:78">
      <c r="B8238" s="7"/>
      <c r="O8238" s="7"/>
      <c r="X8238" s="7"/>
      <c r="AG8238" s="7"/>
      <c r="AP8238" s="7"/>
      <c r="AY8238" s="7"/>
      <c r="BH8238" s="7"/>
      <c r="BQ8238" s="7"/>
      <c r="BZ8238" s="7"/>
    </row>
    <row r="8239" spans="2:78">
      <c r="B8239" s="7"/>
      <c r="O8239" s="7"/>
      <c r="X8239" s="7"/>
      <c r="AG8239" s="7"/>
      <c r="AP8239" s="7"/>
      <c r="AY8239" s="7"/>
      <c r="BH8239" s="7"/>
      <c r="BQ8239" s="7"/>
      <c r="BZ8239" s="7"/>
    </row>
    <row r="8240" spans="2:78">
      <c r="B8240" s="7"/>
      <c r="O8240" s="7"/>
      <c r="X8240" s="7"/>
      <c r="AG8240" s="7"/>
      <c r="AP8240" s="7"/>
      <c r="AY8240" s="7"/>
      <c r="BH8240" s="7"/>
      <c r="BQ8240" s="7"/>
      <c r="BZ8240" s="7"/>
    </row>
    <row r="8241" spans="2:78">
      <c r="B8241" s="7"/>
      <c r="O8241" s="7"/>
      <c r="X8241" s="7"/>
      <c r="AG8241" s="7"/>
      <c r="AP8241" s="7"/>
      <c r="AY8241" s="7"/>
      <c r="BH8241" s="7"/>
      <c r="BQ8241" s="7"/>
      <c r="BZ8241" s="7"/>
    </row>
    <row r="8242" spans="2:78">
      <c r="B8242" s="7"/>
      <c r="O8242" s="7"/>
      <c r="X8242" s="7"/>
      <c r="AG8242" s="7"/>
      <c r="AP8242" s="7"/>
      <c r="AY8242" s="7"/>
      <c r="BH8242" s="7"/>
      <c r="BQ8242" s="7"/>
      <c r="BZ8242" s="7"/>
    </row>
    <row r="8243" spans="2:78">
      <c r="B8243" s="7"/>
      <c r="O8243" s="7"/>
      <c r="X8243" s="7"/>
      <c r="AG8243" s="7"/>
      <c r="AP8243" s="7"/>
      <c r="AY8243" s="7"/>
      <c r="BH8243" s="7"/>
      <c r="BQ8243" s="7"/>
      <c r="BZ8243" s="7"/>
    </row>
    <row r="8244" spans="2:78">
      <c r="B8244" s="7"/>
      <c r="O8244" s="7"/>
      <c r="X8244" s="7"/>
      <c r="AG8244" s="7"/>
      <c r="AP8244" s="7"/>
      <c r="AY8244" s="7"/>
      <c r="BH8244" s="7"/>
      <c r="BQ8244" s="7"/>
      <c r="BZ8244" s="7"/>
    </row>
    <row r="8245" spans="2:78">
      <c r="B8245" s="7"/>
      <c r="O8245" s="7"/>
      <c r="X8245" s="7"/>
      <c r="AG8245" s="7"/>
      <c r="AP8245" s="7"/>
      <c r="AY8245" s="7"/>
      <c r="BH8245" s="7"/>
      <c r="BQ8245" s="7"/>
      <c r="BZ8245" s="7"/>
    </row>
    <row r="8246" spans="2:78">
      <c r="B8246" s="7"/>
      <c r="O8246" s="7"/>
      <c r="X8246" s="7"/>
      <c r="AG8246" s="7"/>
      <c r="AP8246" s="7"/>
      <c r="AY8246" s="7"/>
      <c r="BH8246" s="7"/>
      <c r="BQ8246" s="7"/>
      <c r="BZ8246" s="7"/>
    </row>
    <row r="8247" spans="2:78">
      <c r="B8247" s="7"/>
      <c r="O8247" s="7"/>
      <c r="X8247" s="7"/>
      <c r="AG8247" s="7"/>
      <c r="AP8247" s="7"/>
      <c r="AY8247" s="7"/>
      <c r="BH8247" s="7"/>
      <c r="BQ8247" s="7"/>
      <c r="BZ8247" s="7"/>
    </row>
    <row r="8248" spans="2:78">
      <c r="B8248" s="7"/>
      <c r="O8248" s="7"/>
      <c r="X8248" s="7"/>
      <c r="AG8248" s="7"/>
      <c r="AP8248" s="7"/>
      <c r="AY8248" s="7"/>
      <c r="BH8248" s="7"/>
      <c r="BQ8248" s="7"/>
      <c r="BZ8248" s="7"/>
    </row>
    <row r="8249" spans="2:78">
      <c r="B8249" s="7"/>
      <c r="O8249" s="7"/>
      <c r="X8249" s="7"/>
      <c r="AG8249" s="7"/>
      <c r="AP8249" s="7"/>
      <c r="AY8249" s="7"/>
      <c r="BH8249" s="7"/>
      <c r="BQ8249" s="7"/>
      <c r="BZ8249" s="7"/>
    </row>
    <row r="8250" spans="2:78">
      <c r="B8250" s="7"/>
      <c r="O8250" s="7"/>
      <c r="X8250" s="7"/>
      <c r="AG8250" s="7"/>
      <c r="AP8250" s="7"/>
      <c r="AY8250" s="7"/>
      <c r="BH8250" s="7"/>
      <c r="BQ8250" s="7"/>
      <c r="BZ8250" s="7"/>
    </row>
    <row r="8251" spans="2:78">
      <c r="B8251" s="7"/>
      <c r="O8251" s="7"/>
      <c r="X8251" s="7"/>
      <c r="AG8251" s="7"/>
      <c r="AP8251" s="7"/>
      <c r="AY8251" s="7"/>
      <c r="BH8251" s="7"/>
      <c r="BQ8251" s="7"/>
      <c r="BZ8251" s="7"/>
    </row>
    <row r="8252" spans="2:78">
      <c r="B8252" s="7"/>
      <c r="O8252" s="7"/>
      <c r="X8252" s="7"/>
      <c r="AG8252" s="7"/>
      <c r="AP8252" s="7"/>
      <c r="AY8252" s="7"/>
      <c r="BH8252" s="7"/>
      <c r="BQ8252" s="7"/>
      <c r="BZ8252" s="7"/>
    </row>
    <row r="8253" spans="2:78">
      <c r="B8253" s="7"/>
      <c r="O8253" s="7"/>
      <c r="X8253" s="7"/>
      <c r="AG8253" s="7"/>
      <c r="AP8253" s="7"/>
      <c r="AY8253" s="7"/>
      <c r="BH8253" s="7"/>
      <c r="BQ8253" s="7"/>
      <c r="BZ8253" s="7"/>
    </row>
    <row r="8254" spans="2:78">
      <c r="B8254" s="7"/>
      <c r="O8254" s="7"/>
      <c r="X8254" s="7"/>
      <c r="AG8254" s="7"/>
      <c r="AP8254" s="7"/>
      <c r="AY8254" s="7"/>
      <c r="BH8254" s="7"/>
      <c r="BQ8254" s="7"/>
      <c r="BZ8254" s="7"/>
    </row>
    <row r="8255" spans="2:78">
      <c r="B8255" s="7"/>
      <c r="O8255" s="7"/>
      <c r="X8255" s="7"/>
      <c r="AG8255" s="7"/>
      <c r="AP8255" s="7"/>
      <c r="AY8255" s="7"/>
      <c r="BH8255" s="7"/>
      <c r="BQ8255" s="7"/>
      <c r="BZ8255" s="7"/>
    </row>
    <row r="8256" spans="2:78">
      <c r="B8256" s="7"/>
      <c r="O8256" s="7"/>
      <c r="X8256" s="7"/>
      <c r="AG8256" s="7"/>
      <c r="AP8256" s="7"/>
      <c r="AY8256" s="7"/>
      <c r="BH8256" s="7"/>
      <c r="BQ8256" s="7"/>
      <c r="BZ8256" s="7"/>
    </row>
    <row r="8257" spans="2:78">
      <c r="B8257" s="7"/>
      <c r="O8257" s="7"/>
      <c r="X8257" s="7"/>
      <c r="AG8257" s="7"/>
      <c r="AP8257" s="7"/>
      <c r="AY8257" s="7"/>
      <c r="BH8257" s="7"/>
      <c r="BQ8257" s="7"/>
      <c r="BZ8257" s="7"/>
    </row>
    <row r="8258" spans="2:78">
      <c r="B8258" s="7"/>
      <c r="O8258" s="7"/>
      <c r="X8258" s="7"/>
      <c r="AG8258" s="7"/>
      <c r="AP8258" s="7"/>
      <c r="AY8258" s="7"/>
      <c r="BH8258" s="7"/>
      <c r="BQ8258" s="7"/>
      <c r="BZ8258" s="7"/>
    </row>
    <row r="8259" spans="2:78">
      <c r="B8259" s="7"/>
      <c r="O8259" s="7"/>
      <c r="X8259" s="7"/>
      <c r="AG8259" s="7"/>
      <c r="AP8259" s="7"/>
      <c r="AY8259" s="7"/>
      <c r="BH8259" s="7"/>
      <c r="BQ8259" s="7"/>
      <c r="BZ8259" s="7"/>
    </row>
    <row r="8260" spans="2:78">
      <c r="B8260" s="7"/>
      <c r="O8260" s="7"/>
      <c r="X8260" s="7"/>
      <c r="AG8260" s="7"/>
      <c r="AP8260" s="7"/>
      <c r="AY8260" s="7"/>
      <c r="BH8260" s="7"/>
      <c r="BQ8260" s="7"/>
      <c r="BZ8260" s="7"/>
    </row>
    <row r="8261" spans="2:78">
      <c r="B8261" s="7"/>
      <c r="O8261" s="7"/>
      <c r="X8261" s="7"/>
      <c r="AG8261" s="7"/>
      <c r="AP8261" s="7"/>
      <c r="AY8261" s="7"/>
      <c r="BH8261" s="7"/>
      <c r="BQ8261" s="7"/>
      <c r="BZ8261" s="7"/>
    </row>
    <row r="8262" spans="2:78">
      <c r="B8262" s="7"/>
      <c r="O8262" s="7"/>
      <c r="X8262" s="7"/>
      <c r="AG8262" s="7"/>
      <c r="AP8262" s="7"/>
      <c r="AY8262" s="7"/>
      <c r="BH8262" s="7"/>
      <c r="BQ8262" s="7"/>
      <c r="BZ8262" s="7"/>
    </row>
    <row r="8263" spans="2:78">
      <c r="B8263" s="7"/>
      <c r="O8263" s="7"/>
      <c r="X8263" s="7"/>
      <c r="AG8263" s="7"/>
      <c r="AP8263" s="7"/>
      <c r="AY8263" s="7"/>
      <c r="BH8263" s="7"/>
      <c r="BQ8263" s="7"/>
      <c r="BZ8263" s="7"/>
    </row>
    <row r="8264" spans="2:78">
      <c r="B8264" s="7"/>
      <c r="O8264" s="7"/>
      <c r="X8264" s="7"/>
      <c r="AG8264" s="7"/>
      <c r="AP8264" s="7"/>
      <c r="AY8264" s="7"/>
      <c r="BH8264" s="7"/>
      <c r="BQ8264" s="7"/>
      <c r="BZ8264" s="7"/>
    </row>
    <row r="8265" spans="2:78">
      <c r="B8265" s="7"/>
      <c r="O8265" s="7"/>
      <c r="X8265" s="7"/>
      <c r="AG8265" s="7"/>
      <c r="AP8265" s="7"/>
      <c r="AY8265" s="7"/>
      <c r="BH8265" s="7"/>
      <c r="BQ8265" s="7"/>
      <c r="BZ8265" s="7"/>
    </row>
    <row r="8266" spans="2:78">
      <c r="B8266" s="7"/>
      <c r="O8266" s="7"/>
      <c r="X8266" s="7"/>
      <c r="AG8266" s="7"/>
      <c r="AP8266" s="7"/>
      <c r="AY8266" s="7"/>
      <c r="BH8266" s="7"/>
      <c r="BQ8266" s="7"/>
      <c r="BZ8266" s="7"/>
    </row>
    <row r="8267" spans="2:78">
      <c r="B8267" s="7"/>
      <c r="O8267" s="7"/>
      <c r="X8267" s="7"/>
      <c r="AG8267" s="7"/>
      <c r="AP8267" s="7"/>
      <c r="AY8267" s="7"/>
      <c r="BH8267" s="7"/>
      <c r="BQ8267" s="7"/>
      <c r="BZ8267" s="7"/>
    </row>
    <row r="8268" spans="2:78">
      <c r="B8268" s="7"/>
      <c r="O8268" s="7"/>
      <c r="X8268" s="7"/>
      <c r="AG8268" s="7"/>
      <c r="AP8268" s="7"/>
      <c r="AY8268" s="7"/>
      <c r="BH8268" s="7"/>
      <c r="BQ8268" s="7"/>
      <c r="BZ8268" s="7"/>
    </row>
    <row r="8269" spans="2:78">
      <c r="B8269" s="7"/>
      <c r="O8269" s="7"/>
      <c r="X8269" s="7"/>
      <c r="AG8269" s="7"/>
      <c r="AP8269" s="7"/>
      <c r="AY8269" s="7"/>
      <c r="BH8269" s="7"/>
      <c r="BQ8269" s="7"/>
      <c r="BZ8269" s="7"/>
    </row>
    <row r="8270" spans="2:78">
      <c r="B8270" s="7"/>
      <c r="O8270" s="7"/>
      <c r="X8270" s="7"/>
      <c r="AG8270" s="7"/>
      <c r="AP8270" s="7"/>
      <c r="AY8270" s="7"/>
      <c r="BH8270" s="7"/>
      <c r="BQ8270" s="7"/>
      <c r="BZ8270" s="7"/>
    </row>
    <row r="8271" spans="2:78">
      <c r="B8271" s="7"/>
      <c r="O8271" s="7"/>
      <c r="X8271" s="7"/>
      <c r="AG8271" s="7"/>
      <c r="AP8271" s="7"/>
      <c r="AY8271" s="7"/>
      <c r="BH8271" s="7"/>
      <c r="BQ8271" s="7"/>
      <c r="BZ8271" s="7"/>
    </row>
    <row r="8272" spans="2:78">
      <c r="B8272" s="7"/>
      <c r="O8272" s="7"/>
      <c r="X8272" s="7"/>
      <c r="AG8272" s="7"/>
      <c r="AP8272" s="7"/>
      <c r="AY8272" s="7"/>
      <c r="BH8272" s="7"/>
      <c r="BQ8272" s="7"/>
      <c r="BZ8272" s="7"/>
    </row>
    <row r="8273" spans="2:78">
      <c r="B8273" s="7"/>
      <c r="O8273" s="7"/>
      <c r="X8273" s="7"/>
      <c r="AG8273" s="7"/>
      <c r="AP8273" s="7"/>
      <c r="AY8273" s="7"/>
      <c r="BH8273" s="7"/>
      <c r="BQ8273" s="7"/>
      <c r="BZ8273" s="7"/>
    </row>
    <row r="8274" spans="2:78">
      <c r="B8274" s="7"/>
      <c r="O8274" s="7"/>
      <c r="X8274" s="7"/>
      <c r="AG8274" s="7"/>
      <c r="AP8274" s="7"/>
      <c r="AY8274" s="7"/>
      <c r="BH8274" s="7"/>
      <c r="BQ8274" s="7"/>
      <c r="BZ8274" s="7"/>
    </row>
    <row r="8275" spans="2:78">
      <c r="B8275" s="7"/>
      <c r="O8275" s="7"/>
      <c r="X8275" s="7"/>
      <c r="AG8275" s="7"/>
      <c r="AP8275" s="7"/>
      <c r="AY8275" s="7"/>
      <c r="BH8275" s="7"/>
      <c r="BQ8275" s="7"/>
      <c r="BZ8275" s="7"/>
    </row>
    <row r="8276" spans="2:78">
      <c r="B8276" s="7"/>
      <c r="O8276" s="7"/>
      <c r="X8276" s="7"/>
      <c r="AG8276" s="7"/>
      <c r="AP8276" s="7"/>
      <c r="AY8276" s="7"/>
      <c r="BH8276" s="7"/>
      <c r="BQ8276" s="7"/>
      <c r="BZ8276" s="7"/>
    </row>
    <row r="8277" spans="2:78">
      <c r="B8277" s="7"/>
      <c r="O8277" s="7"/>
      <c r="X8277" s="7"/>
      <c r="AG8277" s="7"/>
      <c r="AP8277" s="7"/>
      <c r="AY8277" s="7"/>
      <c r="BH8277" s="7"/>
      <c r="BQ8277" s="7"/>
      <c r="BZ8277" s="7"/>
    </row>
    <row r="8278" spans="2:78">
      <c r="B8278" s="7"/>
      <c r="O8278" s="7"/>
      <c r="X8278" s="7"/>
      <c r="AG8278" s="7"/>
      <c r="AP8278" s="7"/>
      <c r="AY8278" s="7"/>
      <c r="BH8278" s="7"/>
      <c r="BQ8278" s="7"/>
      <c r="BZ8278" s="7"/>
    </row>
    <row r="8279" spans="2:78">
      <c r="B8279" s="7"/>
      <c r="O8279" s="7"/>
      <c r="X8279" s="7"/>
      <c r="AG8279" s="7"/>
      <c r="AP8279" s="7"/>
      <c r="AY8279" s="7"/>
      <c r="BH8279" s="7"/>
      <c r="BQ8279" s="7"/>
      <c r="BZ8279" s="7"/>
    </row>
    <row r="8280" spans="2:78">
      <c r="B8280" s="7"/>
      <c r="O8280" s="7"/>
      <c r="X8280" s="7"/>
      <c r="AG8280" s="7"/>
      <c r="AP8280" s="7"/>
      <c r="AY8280" s="7"/>
      <c r="BH8280" s="7"/>
      <c r="BQ8280" s="7"/>
      <c r="BZ8280" s="7"/>
    </row>
    <row r="8281" spans="2:78">
      <c r="B8281" s="7"/>
      <c r="O8281" s="7"/>
      <c r="X8281" s="7"/>
      <c r="AG8281" s="7"/>
      <c r="AP8281" s="7"/>
      <c r="AY8281" s="7"/>
      <c r="BH8281" s="7"/>
      <c r="BQ8281" s="7"/>
      <c r="BZ8281" s="7"/>
    </row>
    <row r="8282" spans="2:78">
      <c r="B8282" s="7"/>
      <c r="O8282" s="7"/>
      <c r="X8282" s="7"/>
      <c r="AG8282" s="7"/>
      <c r="AP8282" s="7"/>
      <c r="AY8282" s="7"/>
      <c r="BH8282" s="7"/>
      <c r="BQ8282" s="7"/>
      <c r="BZ8282" s="7"/>
    </row>
    <row r="8283" spans="2:78">
      <c r="B8283" s="7"/>
      <c r="O8283" s="7"/>
      <c r="X8283" s="7"/>
      <c r="AG8283" s="7"/>
      <c r="AP8283" s="7"/>
      <c r="AY8283" s="7"/>
      <c r="BH8283" s="7"/>
      <c r="BQ8283" s="7"/>
      <c r="BZ8283" s="7"/>
    </row>
    <row r="8284" spans="2:78">
      <c r="B8284" s="7"/>
      <c r="O8284" s="7"/>
      <c r="X8284" s="7"/>
      <c r="AG8284" s="7"/>
      <c r="AP8284" s="7"/>
      <c r="AY8284" s="7"/>
      <c r="BH8284" s="7"/>
      <c r="BQ8284" s="7"/>
      <c r="BZ8284" s="7"/>
    </row>
    <row r="8285" spans="2:78">
      <c r="B8285" s="7"/>
      <c r="O8285" s="7"/>
      <c r="X8285" s="7"/>
      <c r="AG8285" s="7"/>
      <c r="AP8285" s="7"/>
      <c r="AY8285" s="7"/>
      <c r="BH8285" s="7"/>
      <c r="BQ8285" s="7"/>
      <c r="BZ8285" s="7"/>
    </row>
    <row r="8286" spans="2:78">
      <c r="B8286" s="7"/>
      <c r="O8286" s="7"/>
      <c r="X8286" s="7"/>
      <c r="AG8286" s="7"/>
      <c r="AP8286" s="7"/>
      <c r="AY8286" s="7"/>
      <c r="BH8286" s="7"/>
      <c r="BQ8286" s="7"/>
      <c r="BZ8286" s="7"/>
    </row>
    <row r="8287" spans="2:78">
      <c r="B8287" s="7"/>
      <c r="O8287" s="7"/>
      <c r="X8287" s="7"/>
      <c r="AG8287" s="7"/>
      <c r="AP8287" s="7"/>
      <c r="AY8287" s="7"/>
      <c r="BH8287" s="7"/>
      <c r="BQ8287" s="7"/>
      <c r="BZ8287" s="7"/>
    </row>
    <row r="8288" spans="2:78">
      <c r="B8288" s="7"/>
      <c r="O8288" s="7"/>
      <c r="X8288" s="7"/>
      <c r="AG8288" s="7"/>
      <c r="AP8288" s="7"/>
      <c r="AY8288" s="7"/>
      <c r="BH8288" s="7"/>
      <c r="BQ8288" s="7"/>
      <c r="BZ8288" s="7"/>
    </row>
    <row r="8289" spans="2:78">
      <c r="B8289" s="7"/>
      <c r="O8289" s="7"/>
      <c r="X8289" s="7"/>
      <c r="AG8289" s="7"/>
      <c r="AP8289" s="7"/>
      <c r="AY8289" s="7"/>
      <c r="BH8289" s="7"/>
      <c r="BQ8289" s="7"/>
      <c r="BZ8289" s="7"/>
    </row>
    <row r="8290" spans="2:78">
      <c r="B8290" s="7"/>
      <c r="O8290" s="7"/>
      <c r="X8290" s="7"/>
      <c r="AG8290" s="7"/>
      <c r="AP8290" s="7"/>
      <c r="AY8290" s="7"/>
      <c r="BH8290" s="7"/>
      <c r="BQ8290" s="7"/>
      <c r="BZ8290" s="7"/>
    </row>
    <row r="8291" spans="2:78">
      <c r="B8291" s="7"/>
      <c r="O8291" s="7"/>
      <c r="X8291" s="7"/>
      <c r="AG8291" s="7"/>
      <c r="AP8291" s="7"/>
      <c r="AY8291" s="7"/>
      <c r="BH8291" s="7"/>
      <c r="BQ8291" s="7"/>
      <c r="BZ8291" s="7"/>
    </row>
    <row r="8292" spans="2:78">
      <c r="B8292" s="7"/>
      <c r="O8292" s="7"/>
      <c r="X8292" s="7"/>
      <c r="AG8292" s="7"/>
      <c r="AP8292" s="7"/>
      <c r="AY8292" s="7"/>
      <c r="BH8292" s="7"/>
      <c r="BQ8292" s="7"/>
      <c r="BZ8292" s="7"/>
    </row>
    <row r="8293" spans="2:78">
      <c r="B8293" s="7"/>
      <c r="O8293" s="7"/>
      <c r="X8293" s="7"/>
      <c r="AG8293" s="7"/>
      <c r="AP8293" s="7"/>
      <c r="AY8293" s="7"/>
      <c r="BH8293" s="7"/>
      <c r="BQ8293" s="7"/>
      <c r="BZ8293" s="7"/>
    </row>
    <row r="8294" spans="2:78">
      <c r="B8294" s="7"/>
      <c r="O8294" s="7"/>
      <c r="X8294" s="7"/>
      <c r="AG8294" s="7"/>
      <c r="AP8294" s="7"/>
      <c r="AY8294" s="7"/>
      <c r="BH8294" s="7"/>
      <c r="BQ8294" s="7"/>
      <c r="BZ8294" s="7"/>
    </row>
    <row r="8295" spans="2:78">
      <c r="B8295" s="7"/>
      <c r="O8295" s="7"/>
      <c r="X8295" s="7"/>
      <c r="AG8295" s="7"/>
      <c r="AP8295" s="7"/>
      <c r="AY8295" s="7"/>
      <c r="BH8295" s="7"/>
      <c r="BQ8295" s="7"/>
      <c r="BZ8295" s="7"/>
    </row>
    <row r="8296" spans="2:78">
      <c r="B8296" s="7"/>
      <c r="O8296" s="7"/>
      <c r="X8296" s="7"/>
      <c r="AG8296" s="7"/>
      <c r="AP8296" s="7"/>
      <c r="AY8296" s="7"/>
      <c r="BH8296" s="7"/>
      <c r="BQ8296" s="7"/>
      <c r="BZ8296" s="7"/>
    </row>
    <row r="8297" spans="2:78">
      <c r="B8297" s="7"/>
      <c r="O8297" s="7"/>
      <c r="X8297" s="7"/>
      <c r="AG8297" s="7"/>
      <c r="AP8297" s="7"/>
      <c r="AY8297" s="7"/>
      <c r="BH8297" s="7"/>
      <c r="BQ8297" s="7"/>
      <c r="BZ8297" s="7"/>
    </row>
    <row r="8298" spans="2:78">
      <c r="B8298" s="7"/>
      <c r="O8298" s="7"/>
      <c r="X8298" s="7"/>
      <c r="AG8298" s="7"/>
      <c r="AP8298" s="7"/>
      <c r="AY8298" s="7"/>
      <c r="BH8298" s="7"/>
      <c r="BQ8298" s="7"/>
      <c r="BZ8298" s="7"/>
    </row>
    <row r="8299" spans="2:78">
      <c r="B8299" s="7"/>
      <c r="O8299" s="7"/>
      <c r="X8299" s="7"/>
      <c r="AG8299" s="7"/>
      <c r="AP8299" s="7"/>
      <c r="AY8299" s="7"/>
      <c r="BH8299" s="7"/>
      <c r="BQ8299" s="7"/>
      <c r="BZ8299" s="7"/>
    </row>
    <row r="8300" spans="2:78">
      <c r="B8300" s="7"/>
      <c r="O8300" s="7"/>
      <c r="X8300" s="7"/>
      <c r="AG8300" s="7"/>
      <c r="AP8300" s="7"/>
      <c r="AY8300" s="7"/>
      <c r="BH8300" s="7"/>
      <c r="BQ8300" s="7"/>
      <c r="BZ8300" s="7"/>
    </row>
    <row r="8301" spans="2:78">
      <c r="B8301" s="7"/>
      <c r="O8301" s="7"/>
      <c r="X8301" s="7"/>
      <c r="AG8301" s="7"/>
      <c r="AP8301" s="7"/>
      <c r="AY8301" s="7"/>
      <c r="BH8301" s="7"/>
      <c r="BQ8301" s="7"/>
      <c r="BZ8301" s="7"/>
    </row>
    <row r="8302" spans="2:78">
      <c r="B8302" s="7"/>
      <c r="O8302" s="7"/>
      <c r="X8302" s="7"/>
      <c r="AG8302" s="7"/>
      <c r="AP8302" s="7"/>
      <c r="AY8302" s="7"/>
      <c r="BH8302" s="7"/>
      <c r="BQ8302" s="7"/>
      <c r="BZ8302" s="7"/>
    </row>
    <row r="8303" spans="2:78">
      <c r="B8303" s="7"/>
      <c r="O8303" s="7"/>
      <c r="X8303" s="7"/>
      <c r="AG8303" s="7"/>
      <c r="AP8303" s="7"/>
      <c r="AY8303" s="7"/>
      <c r="BH8303" s="7"/>
      <c r="BQ8303" s="7"/>
      <c r="BZ8303" s="7"/>
    </row>
    <row r="8304" spans="2:78">
      <c r="B8304" s="7"/>
      <c r="O8304" s="7"/>
      <c r="X8304" s="7"/>
      <c r="AG8304" s="7"/>
      <c r="AP8304" s="7"/>
      <c r="AY8304" s="7"/>
      <c r="BH8304" s="7"/>
      <c r="BQ8304" s="7"/>
      <c r="BZ8304" s="7"/>
    </row>
    <row r="8305" spans="2:78">
      <c r="B8305" s="7"/>
      <c r="O8305" s="7"/>
      <c r="X8305" s="7"/>
      <c r="AG8305" s="7"/>
      <c r="AP8305" s="7"/>
      <c r="AY8305" s="7"/>
      <c r="BH8305" s="7"/>
      <c r="BQ8305" s="7"/>
      <c r="BZ8305" s="7"/>
    </row>
    <row r="8306" spans="2:78">
      <c r="B8306" s="7"/>
      <c r="O8306" s="7"/>
      <c r="X8306" s="7"/>
      <c r="AG8306" s="7"/>
      <c r="AP8306" s="7"/>
      <c r="AY8306" s="7"/>
      <c r="BH8306" s="7"/>
      <c r="BQ8306" s="7"/>
      <c r="BZ8306" s="7"/>
    </row>
    <row r="8307" spans="2:78">
      <c r="B8307" s="7"/>
      <c r="O8307" s="7"/>
      <c r="X8307" s="7"/>
      <c r="AG8307" s="7"/>
      <c r="AP8307" s="7"/>
      <c r="AY8307" s="7"/>
      <c r="BH8307" s="7"/>
      <c r="BQ8307" s="7"/>
      <c r="BZ8307" s="7"/>
    </row>
    <row r="8308" spans="2:78">
      <c r="B8308" s="7"/>
      <c r="O8308" s="7"/>
      <c r="X8308" s="7"/>
      <c r="AG8308" s="7"/>
      <c r="AP8308" s="7"/>
      <c r="AY8308" s="7"/>
      <c r="BH8308" s="7"/>
      <c r="BQ8308" s="7"/>
      <c r="BZ8308" s="7"/>
    </row>
    <row r="8309" spans="2:78">
      <c r="B8309" s="7"/>
      <c r="O8309" s="7"/>
      <c r="X8309" s="7"/>
      <c r="AG8309" s="7"/>
      <c r="AP8309" s="7"/>
      <c r="AY8309" s="7"/>
      <c r="BH8309" s="7"/>
      <c r="BQ8309" s="7"/>
      <c r="BZ8309" s="7"/>
    </row>
    <row r="8310" spans="2:78">
      <c r="B8310" s="7"/>
      <c r="O8310" s="7"/>
      <c r="X8310" s="7"/>
      <c r="AG8310" s="7"/>
      <c r="AP8310" s="7"/>
      <c r="AY8310" s="7"/>
      <c r="BH8310" s="7"/>
      <c r="BQ8310" s="7"/>
      <c r="BZ8310" s="7"/>
    </row>
    <row r="8311" spans="2:78">
      <c r="B8311" s="7"/>
      <c r="O8311" s="7"/>
      <c r="X8311" s="7"/>
      <c r="AG8311" s="7"/>
      <c r="AP8311" s="7"/>
      <c r="AY8311" s="7"/>
      <c r="BH8311" s="7"/>
      <c r="BQ8311" s="7"/>
      <c r="BZ8311" s="7"/>
    </row>
    <row r="8312" spans="2:78">
      <c r="B8312" s="7"/>
      <c r="O8312" s="7"/>
      <c r="X8312" s="7"/>
      <c r="AG8312" s="7"/>
      <c r="AP8312" s="7"/>
      <c r="AY8312" s="7"/>
      <c r="BH8312" s="7"/>
      <c r="BQ8312" s="7"/>
      <c r="BZ8312" s="7"/>
    </row>
    <row r="8313" spans="2:78">
      <c r="B8313" s="7"/>
      <c r="O8313" s="7"/>
      <c r="X8313" s="7"/>
      <c r="AG8313" s="7"/>
      <c r="AP8313" s="7"/>
      <c r="AY8313" s="7"/>
      <c r="BH8313" s="7"/>
      <c r="BQ8313" s="7"/>
      <c r="BZ8313" s="7"/>
    </row>
    <row r="8314" spans="2:78">
      <c r="B8314" s="7"/>
      <c r="O8314" s="7"/>
      <c r="X8314" s="7"/>
      <c r="AG8314" s="7"/>
      <c r="AP8314" s="7"/>
      <c r="AY8314" s="7"/>
      <c r="BH8314" s="7"/>
      <c r="BQ8314" s="7"/>
      <c r="BZ8314" s="7"/>
    </row>
    <row r="8315" spans="2:78">
      <c r="B8315" s="7"/>
      <c r="O8315" s="7"/>
      <c r="X8315" s="7"/>
      <c r="AG8315" s="7"/>
      <c r="AP8315" s="7"/>
      <c r="AY8315" s="7"/>
      <c r="BH8315" s="7"/>
      <c r="BQ8315" s="7"/>
      <c r="BZ8315" s="7"/>
    </row>
    <row r="8316" spans="2:78">
      <c r="B8316" s="7"/>
      <c r="O8316" s="7"/>
      <c r="X8316" s="7"/>
      <c r="AG8316" s="7"/>
      <c r="AP8316" s="7"/>
      <c r="AY8316" s="7"/>
      <c r="BH8316" s="7"/>
      <c r="BQ8316" s="7"/>
      <c r="BZ8316" s="7"/>
    </row>
    <row r="8317" spans="2:78">
      <c r="B8317" s="7"/>
      <c r="O8317" s="7"/>
      <c r="X8317" s="7"/>
      <c r="AG8317" s="7"/>
      <c r="AP8317" s="7"/>
      <c r="AY8317" s="7"/>
      <c r="BH8317" s="7"/>
      <c r="BQ8317" s="7"/>
      <c r="BZ8317" s="7"/>
    </row>
    <row r="8318" spans="2:78">
      <c r="B8318" s="7"/>
      <c r="O8318" s="7"/>
      <c r="X8318" s="7"/>
      <c r="AG8318" s="7"/>
      <c r="AP8318" s="7"/>
      <c r="AY8318" s="7"/>
      <c r="BH8318" s="7"/>
      <c r="BQ8318" s="7"/>
      <c r="BZ8318" s="7"/>
    </row>
    <row r="8319" spans="2:78">
      <c r="B8319" s="7"/>
      <c r="O8319" s="7"/>
      <c r="X8319" s="7"/>
      <c r="AG8319" s="7"/>
      <c r="AP8319" s="7"/>
      <c r="AY8319" s="7"/>
      <c r="BH8319" s="7"/>
      <c r="BQ8319" s="7"/>
      <c r="BZ8319" s="7"/>
    </row>
    <row r="8320" spans="2:78">
      <c r="B8320" s="7"/>
      <c r="O8320" s="7"/>
      <c r="X8320" s="7"/>
      <c r="AG8320" s="7"/>
      <c r="AP8320" s="7"/>
      <c r="AY8320" s="7"/>
      <c r="BH8320" s="7"/>
      <c r="BQ8320" s="7"/>
      <c r="BZ8320" s="7"/>
    </row>
    <row r="8321" spans="2:78">
      <c r="B8321" s="7"/>
      <c r="O8321" s="7"/>
      <c r="X8321" s="7"/>
      <c r="AG8321" s="7"/>
      <c r="AP8321" s="7"/>
      <c r="AY8321" s="7"/>
      <c r="BH8321" s="7"/>
      <c r="BQ8321" s="7"/>
      <c r="BZ8321" s="7"/>
    </row>
    <row r="8322" spans="2:78">
      <c r="B8322" s="7"/>
      <c r="O8322" s="7"/>
      <c r="X8322" s="7"/>
      <c r="AG8322" s="7"/>
      <c r="AP8322" s="7"/>
      <c r="AY8322" s="7"/>
      <c r="BH8322" s="7"/>
      <c r="BQ8322" s="7"/>
      <c r="BZ8322" s="7"/>
    </row>
    <row r="8323" spans="2:78">
      <c r="B8323" s="7"/>
      <c r="O8323" s="7"/>
      <c r="X8323" s="7"/>
      <c r="AG8323" s="7"/>
      <c r="AP8323" s="7"/>
      <c r="AY8323" s="7"/>
      <c r="BH8323" s="7"/>
      <c r="BQ8323" s="7"/>
      <c r="BZ8323" s="7"/>
    </row>
    <row r="8324" spans="2:78">
      <c r="B8324" s="7"/>
      <c r="O8324" s="7"/>
      <c r="X8324" s="7"/>
      <c r="AG8324" s="7"/>
      <c r="AP8324" s="7"/>
      <c r="AY8324" s="7"/>
      <c r="BH8324" s="7"/>
      <c r="BQ8324" s="7"/>
      <c r="BZ8324" s="7"/>
    </row>
    <row r="8325" spans="2:78">
      <c r="B8325" s="7"/>
      <c r="O8325" s="7"/>
      <c r="X8325" s="7"/>
      <c r="AG8325" s="7"/>
      <c r="AP8325" s="7"/>
      <c r="AY8325" s="7"/>
      <c r="BH8325" s="7"/>
      <c r="BQ8325" s="7"/>
      <c r="BZ8325" s="7"/>
    </row>
    <row r="8326" spans="2:78">
      <c r="B8326" s="7"/>
      <c r="O8326" s="7"/>
      <c r="X8326" s="7"/>
      <c r="AG8326" s="7"/>
      <c r="AP8326" s="7"/>
      <c r="AY8326" s="7"/>
      <c r="BH8326" s="7"/>
      <c r="BQ8326" s="7"/>
      <c r="BZ8326" s="7"/>
    </row>
    <row r="8327" spans="2:78">
      <c r="B8327" s="7"/>
      <c r="O8327" s="7"/>
      <c r="X8327" s="7"/>
      <c r="AG8327" s="7"/>
      <c r="AP8327" s="7"/>
      <c r="AY8327" s="7"/>
      <c r="BH8327" s="7"/>
      <c r="BQ8327" s="7"/>
      <c r="BZ8327" s="7"/>
    </row>
    <row r="8328" spans="2:78">
      <c r="B8328" s="7"/>
      <c r="O8328" s="7"/>
      <c r="X8328" s="7"/>
      <c r="AG8328" s="7"/>
      <c r="AP8328" s="7"/>
      <c r="AY8328" s="7"/>
      <c r="BH8328" s="7"/>
      <c r="BQ8328" s="7"/>
      <c r="BZ8328" s="7"/>
    </row>
    <row r="8329" spans="2:78">
      <c r="B8329" s="7"/>
      <c r="O8329" s="7"/>
      <c r="X8329" s="7"/>
      <c r="AG8329" s="7"/>
      <c r="AP8329" s="7"/>
      <c r="AY8329" s="7"/>
      <c r="BH8329" s="7"/>
      <c r="BQ8329" s="7"/>
      <c r="BZ8329" s="7"/>
    </row>
    <row r="8330" spans="2:78">
      <c r="B8330" s="7"/>
      <c r="O8330" s="7"/>
      <c r="X8330" s="7"/>
      <c r="AG8330" s="7"/>
      <c r="AP8330" s="7"/>
      <c r="AY8330" s="7"/>
      <c r="BH8330" s="7"/>
      <c r="BQ8330" s="7"/>
      <c r="BZ8330" s="7"/>
    </row>
    <row r="8331" spans="2:78">
      <c r="B8331" s="7"/>
      <c r="O8331" s="7"/>
      <c r="X8331" s="7"/>
      <c r="AG8331" s="7"/>
      <c r="AP8331" s="7"/>
      <c r="AY8331" s="7"/>
      <c r="BH8331" s="7"/>
      <c r="BQ8331" s="7"/>
      <c r="BZ8331" s="7"/>
    </row>
    <row r="8332" spans="2:78">
      <c r="B8332" s="7"/>
      <c r="O8332" s="7"/>
      <c r="X8332" s="7"/>
      <c r="AG8332" s="7"/>
      <c r="AP8332" s="7"/>
      <c r="AY8332" s="7"/>
      <c r="BH8332" s="7"/>
      <c r="BQ8332" s="7"/>
      <c r="BZ8332" s="7"/>
    </row>
    <row r="8333" spans="2:78">
      <c r="B8333" s="7"/>
      <c r="O8333" s="7"/>
      <c r="X8333" s="7"/>
      <c r="AG8333" s="7"/>
      <c r="AP8333" s="7"/>
      <c r="AY8333" s="7"/>
      <c r="BH8333" s="7"/>
      <c r="BQ8333" s="7"/>
      <c r="BZ8333" s="7"/>
    </row>
    <row r="8334" spans="2:78">
      <c r="B8334" s="7"/>
      <c r="O8334" s="7"/>
      <c r="X8334" s="7"/>
      <c r="AG8334" s="7"/>
      <c r="AP8334" s="7"/>
      <c r="AY8334" s="7"/>
      <c r="BH8334" s="7"/>
      <c r="BQ8334" s="7"/>
      <c r="BZ8334" s="7"/>
    </row>
    <row r="8335" spans="2:78">
      <c r="B8335" s="7"/>
      <c r="O8335" s="7"/>
      <c r="X8335" s="7"/>
      <c r="AG8335" s="7"/>
      <c r="AP8335" s="7"/>
      <c r="AY8335" s="7"/>
      <c r="BH8335" s="7"/>
      <c r="BQ8335" s="7"/>
      <c r="BZ8335" s="7"/>
    </row>
    <row r="8336" spans="2:78">
      <c r="B8336" s="7"/>
      <c r="O8336" s="7"/>
      <c r="X8336" s="7"/>
      <c r="AG8336" s="7"/>
      <c r="AP8336" s="7"/>
      <c r="AY8336" s="7"/>
      <c r="BH8336" s="7"/>
      <c r="BQ8336" s="7"/>
      <c r="BZ8336" s="7"/>
    </row>
    <row r="8337" spans="2:78">
      <c r="B8337" s="7"/>
      <c r="O8337" s="7"/>
      <c r="X8337" s="7"/>
      <c r="AG8337" s="7"/>
      <c r="AP8337" s="7"/>
      <c r="AY8337" s="7"/>
      <c r="BH8337" s="7"/>
      <c r="BQ8337" s="7"/>
      <c r="BZ8337" s="7"/>
    </row>
    <row r="8338" spans="2:78">
      <c r="B8338" s="7"/>
      <c r="O8338" s="7"/>
      <c r="X8338" s="7"/>
      <c r="AG8338" s="7"/>
      <c r="AP8338" s="7"/>
      <c r="AY8338" s="7"/>
      <c r="BH8338" s="7"/>
      <c r="BQ8338" s="7"/>
      <c r="BZ8338" s="7"/>
    </row>
    <row r="8339" spans="2:78">
      <c r="B8339" s="7"/>
      <c r="O8339" s="7"/>
      <c r="X8339" s="7"/>
      <c r="AG8339" s="7"/>
      <c r="AP8339" s="7"/>
      <c r="AY8339" s="7"/>
      <c r="BH8339" s="7"/>
      <c r="BQ8339" s="7"/>
      <c r="BZ8339" s="7"/>
    </row>
    <row r="8340" spans="2:78">
      <c r="B8340" s="7"/>
      <c r="O8340" s="7"/>
      <c r="X8340" s="7"/>
      <c r="AG8340" s="7"/>
      <c r="AP8340" s="7"/>
      <c r="AY8340" s="7"/>
      <c r="BH8340" s="7"/>
      <c r="BQ8340" s="7"/>
      <c r="BZ8340" s="7"/>
    </row>
    <row r="8341" spans="2:78">
      <c r="B8341" s="7"/>
      <c r="O8341" s="7"/>
      <c r="X8341" s="7"/>
      <c r="AG8341" s="7"/>
      <c r="AP8341" s="7"/>
      <c r="AY8341" s="7"/>
      <c r="BH8341" s="7"/>
      <c r="BQ8341" s="7"/>
      <c r="BZ8341" s="7"/>
    </row>
    <row r="8342" spans="2:78">
      <c r="B8342" s="7"/>
      <c r="O8342" s="7"/>
      <c r="X8342" s="7"/>
      <c r="AG8342" s="7"/>
      <c r="AP8342" s="7"/>
      <c r="AY8342" s="7"/>
      <c r="BH8342" s="7"/>
      <c r="BQ8342" s="7"/>
      <c r="BZ8342" s="7"/>
    </row>
    <row r="8343" spans="2:78">
      <c r="B8343" s="7"/>
      <c r="O8343" s="7"/>
      <c r="X8343" s="7"/>
      <c r="AG8343" s="7"/>
      <c r="AP8343" s="7"/>
      <c r="AY8343" s="7"/>
      <c r="BH8343" s="7"/>
      <c r="BQ8343" s="7"/>
      <c r="BZ8343" s="7"/>
    </row>
    <row r="8344" spans="2:78">
      <c r="B8344" s="7"/>
      <c r="O8344" s="7"/>
      <c r="X8344" s="7"/>
      <c r="AG8344" s="7"/>
      <c r="AP8344" s="7"/>
      <c r="AY8344" s="7"/>
      <c r="BH8344" s="7"/>
      <c r="BQ8344" s="7"/>
      <c r="BZ8344" s="7"/>
    </row>
    <row r="8345" spans="2:78">
      <c r="B8345" s="7"/>
      <c r="O8345" s="7"/>
      <c r="X8345" s="7"/>
      <c r="AG8345" s="7"/>
      <c r="AP8345" s="7"/>
      <c r="AY8345" s="7"/>
      <c r="BH8345" s="7"/>
      <c r="BQ8345" s="7"/>
      <c r="BZ8345" s="7"/>
    </row>
    <row r="8346" spans="2:78">
      <c r="B8346" s="7"/>
      <c r="O8346" s="7"/>
      <c r="X8346" s="7"/>
      <c r="AG8346" s="7"/>
      <c r="AP8346" s="7"/>
      <c r="AY8346" s="7"/>
      <c r="BH8346" s="7"/>
      <c r="BQ8346" s="7"/>
      <c r="BZ8346" s="7"/>
    </row>
    <row r="8347" spans="2:78">
      <c r="B8347" s="7"/>
      <c r="O8347" s="7"/>
      <c r="X8347" s="7"/>
      <c r="AG8347" s="7"/>
      <c r="AP8347" s="7"/>
      <c r="AY8347" s="7"/>
      <c r="BH8347" s="7"/>
      <c r="BQ8347" s="7"/>
      <c r="BZ8347" s="7"/>
    </row>
    <row r="8348" spans="2:78">
      <c r="B8348" s="7"/>
      <c r="O8348" s="7"/>
      <c r="X8348" s="7"/>
      <c r="AG8348" s="7"/>
      <c r="AP8348" s="7"/>
      <c r="AY8348" s="7"/>
      <c r="BH8348" s="7"/>
      <c r="BQ8348" s="7"/>
      <c r="BZ8348" s="7"/>
    </row>
    <row r="8349" spans="2:78">
      <c r="B8349" s="7"/>
      <c r="O8349" s="7"/>
      <c r="X8349" s="7"/>
      <c r="AG8349" s="7"/>
      <c r="AP8349" s="7"/>
      <c r="AY8349" s="7"/>
      <c r="BH8349" s="7"/>
      <c r="BQ8349" s="7"/>
      <c r="BZ8349" s="7"/>
    </row>
    <row r="8350" spans="2:78">
      <c r="B8350" s="7"/>
      <c r="O8350" s="7"/>
      <c r="X8350" s="7"/>
      <c r="AG8350" s="7"/>
      <c r="AP8350" s="7"/>
      <c r="AY8350" s="7"/>
      <c r="BH8350" s="7"/>
      <c r="BQ8350" s="7"/>
      <c r="BZ8350" s="7"/>
    </row>
    <row r="8351" spans="2:78">
      <c r="B8351" s="7"/>
      <c r="O8351" s="7"/>
      <c r="X8351" s="7"/>
      <c r="AG8351" s="7"/>
      <c r="AP8351" s="7"/>
      <c r="AY8351" s="7"/>
      <c r="BH8351" s="7"/>
      <c r="BQ8351" s="7"/>
      <c r="BZ8351" s="7"/>
    </row>
    <row r="8352" spans="2:78">
      <c r="B8352" s="7"/>
      <c r="O8352" s="7"/>
      <c r="X8352" s="7"/>
      <c r="AG8352" s="7"/>
      <c r="AP8352" s="7"/>
      <c r="AY8352" s="7"/>
      <c r="BH8352" s="7"/>
      <c r="BQ8352" s="7"/>
      <c r="BZ8352" s="7"/>
    </row>
    <row r="8353" spans="2:78">
      <c r="B8353" s="7"/>
      <c r="O8353" s="7"/>
      <c r="X8353" s="7"/>
      <c r="AG8353" s="7"/>
      <c r="AP8353" s="7"/>
      <c r="AY8353" s="7"/>
      <c r="BH8353" s="7"/>
      <c r="BQ8353" s="7"/>
      <c r="BZ8353" s="7"/>
    </row>
    <row r="8354" spans="2:78">
      <c r="B8354" s="7"/>
      <c r="O8354" s="7"/>
      <c r="X8354" s="7"/>
      <c r="AG8354" s="7"/>
      <c r="AP8354" s="7"/>
      <c r="AY8354" s="7"/>
      <c r="BH8354" s="7"/>
      <c r="BQ8354" s="7"/>
      <c r="BZ8354" s="7"/>
    </row>
    <row r="8355" spans="2:78">
      <c r="B8355" s="7"/>
      <c r="O8355" s="7"/>
      <c r="X8355" s="7"/>
      <c r="AG8355" s="7"/>
      <c r="AP8355" s="7"/>
      <c r="AY8355" s="7"/>
      <c r="BH8355" s="7"/>
      <c r="BQ8355" s="7"/>
      <c r="BZ8355" s="7"/>
    </row>
    <row r="8356" spans="2:78">
      <c r="B8356" s="7"/>
      <c r="O8356" s="7"/>
      <c r="X8356" s="7"/>
      <c r="AG8356" s="7"/>
      <c r="AP8356" s="7"/>
      <c r="AY8356" s="7"/>
      <c r="BH8356" s="7"/>
      <c r="BQ8356" s="7"/>
      <c r="BZ8356" s="7"/>
    </row>
    <row r="8357" spans="2:78">
      <c r="B8357" s="7"/>
      <c r="O8357" s="7"/>
      <c r="X8357" s="7"/>
      <c r="AG8357" s="7"/>
      <c r="AP8357" s="7"/>
      <c r="AY8357" s="7"/>
      <c r="BH8357" s="7"/>
      <c r="BQ8357" s="7"/>
      <c r="BZ8357" s="7"/>
    </row>
    <row r="8358" spans="2:78">
      <c r="B8358" s="7"/>
      <c r="O8358" s="7"/>
      <c r="X8358" s="7"/>
      <c r="AG8358" s="7"/>
      <c r="AP8358" s="7"/>
      <c r="AY8358" s="7"/>
      <c r="BH8358" s="7"/>
      <c r="BQ8358" s="7"/>
      <c r="BZ8358" s="7"/>
    </row>
    <row r="8359" spans="2:78">
      <c r="B8359" s="7"/>
      <c r="O8359" s="7"/>
      <c r="X8359" s="7"/>
      <c r="AG8359" s="7"/>
      <c r="AP8359" s="7"/>
      <c r="AY8359" s="7"/>
      <c r="BH8359" s="7"/>
      <c r="BQ8359" s="7"/>
      <c r="BZ8359" s="7"/>
    </row>
    <row r="8360" spans="2:78">
      <c r="B8360" s="7"/>
      <c r="O8360" s="7"/>
      <c r="X8360" s="7"/>
      <c r="AG8360" s="7"/>
      <c r="AP8360" s="7"/>
      <c r="AY8360" s="7"/>
      <c r="BH8360" s="7"/>
      <c r="BQ8360" s="7"/>
      <c r="BZ8360" s="7"/>
    </row>
    <row r="8361" spans="2:78">
      <c r="B8361" s="7"/>
      <c r="O8361" s="7"/>
      <c r="X8361" s="7"/>
      <c r="AG8361" s="7"/>
      <c r="AP8361" s="7"/>
      <c r="AY8361" s="7"/>
      <c r="BH8361" s="7"/>
      <c r="BQ8361" s="7"/>
      <c r="BZ8361" s="7"/>
    </row>
    <row r="8362" spans="2:78">
      <c r="B8362" s="7"/>
      <c r="O8362" s="7"/>
      <c r="X8362" s="7"/>
      <c r="AG8362" s="7"/>
      <c r="AP8362" s="7"/>
      <c r="AY8362" s="7"/>
      <c r="BH8362" s="7"/>
      <c r="BQ8362" s="7"/>
      <c r="BZ8362" s="7"/>
    </row>
    <row r="8363" spans="2:78">
      <c r="B8363" s="7"/>
      <c r="O8363" s="7"/>
      <c r="X8363" s="7"/>
      <c r="AG8363" s="7"/>
      <c r="AP8363" s="7"/>
      <c r="AY8363" s="7"/>
      <c r="BH8363" s="7"/>
      <c r="BQ8363" s="7"/>
      <c r="BZ8363" s="7"/>
    </row>
    <row r="8364" spans="2:78">
      <c r="B8364" s="7"/>
      <c r="O8364" s="7"/>
      <c r="X8364" s="7"/>
      <c r="AG8364" s="7"/>
      <c r="AP8364" s="7"/>
      <c r="AY8364" s="7"/>
      <c r="BH8364" s="7"/>
      <c r="BQ8364" s="7"/>
      <c r="BZ8364" s="7"/>
    </row>
    <row r="8365" spans="2:78">
      <c r="B8365" s="7"/>
      <c r="O8365" s="7"/>
      <c r="X8365" s="7"/>
      <c r="AG8365" s="7"/>
      <c r="AP8365" s="7"/>
      <c r="AY8365" s="7"/>
      <c r="BH8365" s="7"/>
      <c r="BQ8365" s="7"/>
      <c r="BZ8365" s="7"/>
    </row>
    <row r="8366" spans="2:78">
      <c r="B8366" s="7"/>
      <c r="O8366" s="7"/>
      <c r="X8366" s="7"/>
      <c r="AG8366" s="7"/>
      <c r="AP8366" s="7"/>
      <c r="AY8366" s="7"/>
      <c r="BH8366" s="7"/>
      <c r="BQ8366" s="7"/>
      <c r="BZ8366" s="7"/>
    </row>
    <row r="8367" spans="2:78">
      <c r="B8367" s="7"/>
      <c r="O8367" s="7"/>
      <c r="X8367" s="7"/>
      <c r="AG8367" s="7"/>
      <c r="AP8367" s="7"/>
      <c r="AY8367" s="7"/>
      <c r="BH8367" s="7"/>
      <c r="BQ8367" s="7"/>
      <c r="BZ8367" s="7"/>
    </row>
    <row r="8368" spans="2:78">
      <c r="B8368" s="7"/>
      <c r="O8368" s="7"/>
      <c r="X8368" s="7"/>
      <c r="AG8368" s="7"/>
      <c r="AP8368" s="7"/>
      <c r="AY8368" s="7"/>
      <c r="BH8368" s="7"/>
      <c r="BQ8368" s="7"/>
      <c r="BZ8368" s="7"/>
    </row>
    <row r="8369" spans="2:78">
      <c r="B8369" s="7"/>
      <c r="O8369" s="7"/>
      <c r="X8369" s="7"/>
      <c r="AG8369" s="7"/>
      <c r="AP8369" s="7"/>
      <c r="AY8369" s="7"/>
      <c r="BH8369" s="7"/>
      <c r="BQ8369" s="7"/>
      <c r="BZ8369" s="7"/>
    </row>
    <row r="8370" spans="2:78">
      <c r="B8370" s="7"/>
      <c r="O8370" s="7"/>
      <c r="X8370" s="7"/>
      <c r="AG8370" s="7"/>
      <c r="AP8370" s="7"/>
      <c r="AY8370" s="7"/>
      <c r="BH8370" s="7"/>
      <c r="BQ8370" s="7"/>
      <c r="BZ8370" s="7"/>
    </row>
    <row r="8371" spans="2:78">
      <c r="B8371" s="7"/>
      <c r="O8371" s="7"/>
      <c r="X8371" s="7"/>
      <c r="AG8371" s="7"/>
      <c r="AP8371" s="7"/>
      <c r="AY8371" s="7"/>
      <c r="BH8371" s="7"/>
      <c r="BQ8371" s="7"/>
      <c r="BZ8371" s="7"/>
    </row>
    <row r="8372" spans="2:78">
      <c r="B8372" s="7"/>
      <c r="O8372" s="7"/>
      <c r="X8372" s="7"/>
      <c r="AG8372" s="7"/>
      <c r="AP8372" s="7"/>
      <c r="AY8372" s="7"/>
      <c r="BH8372" s="7"/>
      <c r="BQ8372" s="7"/>
      <c r="BZ8372" s="7"/>
    </row>
    <row r="8373" spans="2:78">
      <c r="B8373" s="7"/>
      <c r="O8373" s="7"/>
      <c r="X8373" s="7"/>
      <c r="AG8373" s="7"/>
      <c r="AP8373" s="7"/>
      <c r="AY8373" s="7"/>
      <c r="BH8373" s="7"/>
      <c r="BQ8373" s="7"/>
      <c r="BZ8373" s="7"/>
    </row>
    <row r="8374" spans="2:78">
      <c r="B8374" s="7"/>
      <c r="O8374" s="7"/>
      <c r="X8374" s="7"/>
      <c r="AG8374" s="7"/>
      <c r="AP8374" s="7"/>
      <c r="AY8374" s="7"/>
      <c r="BH8374" s="7"/>
      <c r="BQ8374" s="7"/>
      <c r="BZ8374" s="7"/>
    </row>
    <row r="8375" spans="2:78">
      <c r="B8375" s="7"/>
      <c r="O8375" s="7"/>
      <c r="X8375" s="7"/>
      <c r="AG8375" s="7"/>
      <c r="AP8375" s="7"/>
      <c r="AY8375" s="7"/>
      <c r="BH8375" s="7"/>
      <c r="BQ8375" s="7"/>
      <c r="BZ8375" s="7"/>
    </row>
    <row r="8376" spans="2:78">
      <c r="B8376" s="7"/>
      <c r="O8376" s="7"/>
      <c r="X8376" s="7"/>
      <c r="AG8376" s="7"/>
      <c r="AP8376" s="7"/>
      <c r="AY8376" s="7"/>
      <c r="BH8376" s="7"/>
      <c r="BQ8376" s="7"/>
      <c r="BZ8376" s="7"/>
    </row>
    <row r="8377" spans="2:78">
      <c r="B8377" s="7"/>
      <c r="O8377" s="7"/>
      <c r="X8377" s="7"/>
      <c r="AG8377" s="7"/>
      <c r="AP8377" s="7"/>
      <c r="AY8377" s="7"/>
      <c r="BH8377" s="7"/>
      <c r="BQ8377" s="7"/>
      <c r="BZ8377" s="7"/>
    </row>
    <row r="8378" spans="2:78">
      <c r="B8378" s="7"/>
      <c r="O8378" s="7"/>
      <c r="X8378" s="7"/>
      <c r="AG8378" s="7"/>
      <c r="AP8378" s="7"/>
      <c r="AY8378" s="7"/>
      <c r="BH8378" s="7"/>
      <c r="BQ8378" s="7"/>
      <c r="BZ8378" s="7"/>
    </row>
    <row r="8379" spans="2:78">
      <c r="B8379" s="7"/>
      <c r="O8379" s="7"/>
      <c r="X8379" s="7"/>
      <c r="AG8379" s="7"/>
      <c r="AP8379" s="7"/>
      <c r="AY8379" s="7"/>
      <c r="BH8379" s="7"/>
      <c r="BQ8379" s="7"/>
      <c r="BZ8379" s="7"/>
    </row>
    <row r="8380" spans="2:78">
      <c r="B8380" s="7"/>
      <c r="O8380" s="7"/>
      <c r="X8380" s="7"/>
      <c r="AG8380" s="7"/>
      <c r="AP8380" s="7"/>
      <c r="AY8380" s="7"/>
      <c r="BH8380" s="7"/>
      <c r="BQ8380" s="7"/>
      <c r="BZ8380" s="7"/>
    </row>
    <row r="8381" spans="2:78">
      <c r="B8381" s="7"/>
      <c r="O8381" s="7"/>
      <c r="X8381" s="7"/>
      <c r="AG8381" s="7"/>
      <c r="AP8381" s="7"/>
      <c r="AY8381" s="7"/>
      <c r="BH8381" s="7"/>
      <c r="BQ8381" s="7"/>
      <c r="BZ8381" s="7"/>
    </row>
    <row r="8382" spans="2:78">
      <c r="B8382" s="7"/>
      <c r="O8382" s="7"/>
      <c r="X8382" s="7"/>
      <c r="AG8382" s="7"/>
      <c r="AP8382" s="7"/>
      <c r="AY8382" s="7"/>
      <c r="BH8382" s="7"/>
      <c r="BQ8382" s="7"/>
      <c r="BZ8382" s="7"/>
    </row>
    <row r="8383" spans="2:78">
      <c r="B8383" s="7"/>
      <c r="O8383" s="7"/>
      <c r="X8383" s="7"/>
      <c r="AG8383" s="7"/>
      <c r="AP8383" s="7"/>
      <c r="AY8383" s="7"/>
      <c r="BH8383" s="7"/>
      <c r="BQ8383" s="7"/>
      <c r="BZ8383" s="7"/>
    </row>
    <row r="8384" spans="2:78">
      <c r="B8384" s="7"/>
      <c r="O8384" s="7"/>
      <c r="X8384" s="7"/>
      <c r="AG8384" s="7"/>
      <c r="AP8384" s="7"/>
      <c r="AY8384" s="7"/>
      <c r="BH8384" s="7"/>
      <c r="BQ8384" s="7"/>
      <c r="BZ8384" s="7"/>
    </row>
    <row r="8385" spans="2:78">
      <c r="B8385" s="7"/>
      <c r="O8385" s="7"/>
      <c r="X8385" s="7"/>
      <c r="AG8385" s="7"/>
      <c r="AP8385" s="7"/>
      <c r="AY8385" s="7"/>
      <c r="BH8385" s="7"/>
      <c r="BQ8385" s="7"/>
      <c r="BZ8385" s="7"/>
    </row>
    <row r="8386" spans="2:78">
      <c r="B8386" s="7"/>
      <c r="O8386" s="7"/>
      <c r="X8386" s="7"/>
      <c r="AG8386" s="7"/>
      <c r="AP8386" s="7"/>
      <c r="AY8386" s="7"/>
      <c r="BH8386" s="7"/>
      <c r="BQ8386" s="7"/>
      <c r="BZ8386" s="7"/>
    </row>
    <row r="8387" spans="2:78">
      <c r="B8387" s="7"/>
      <c r="O8387" s="7"/>
      <c r="X8387" s="7"/>
      <c r="AG8387" s="7"/>
      <c r="AP8387" s="7"/>
      <c r="AY8387" s="7"/>
      <c r="BH8387" s="7"/>
      <c r="BQ8387" s="7"/>
      <c r="BZ8387" s="7"/>
    </row>
    <row r="8388" spans="2:78">
      <c r="B8388" s="7"/>
      <c r="O8388" s="7"/>
      <c r="X8388" s="7"/>
      <c r="AG8388" s="7"/>
      <c r="AP8388" s="7"/>
      <c r="AY8388" s="7"/>
      <c r="BH8388" s="7"/>
      <c r="BQ8388" s="7"/>
      <c r="BZ8388" s="7"/>
    </row>
    <row r="8389" spans="2:78">
      <c r="B8389" s="7"/>
      <c r="O8389" s="7"/>
      <c r="X8389" s="7"/>
      <c r="AG8389" s="7"/>
      <c r="AP8389" s="7"/>
      <c r="AY8389" s="7"/>
      <c r="BH8389" s="7"/>
      <c r="BQ8389" s="7"/>
      <c r="BZ8389" s="7"/>
    </row>
    <row r="8390" spans="2:78">
      <c r="B8390" s="7"/>
      <c r="O8390" s="7"/>
      <c r="X8390" s="7"/>
      <c r="AG8390" s="7"/>
      <c r="AP8390" s="7"/>
      <c r="AY8390" s="7"/>
      <c r="BH8390" s="7"/>
      <c r="BQ8390" s="7"/>
      <c r="BZ8390" s="7"/>
    </row>
    <row r="8391" spans="2:78">
      <c r="B8391" s="7"/>
      <c r="O8391" s="7"/>
      <c r="X8391" s="7"/>
      <c r="AG8391" s="7"/>
      <c r="AP8391" s="7"/>
      <c r="AY8391" s="7"/>
      <c r="BH8391" s="7"/>
      <c r="BQ8391" s="7"/>
      <c r="BZ8391" s="7"/>
    </row>
    <row r="8392" spans="2:78">
      <c r="B8392" s="7"/>
      <c r="O8392" s="7"/>
      <c r="X8392" s="7"/>
      <c r="AG8392" s="7"/>
      <c r="AP8392" s="7"/>
      <c r="AY8392" s="7"/>
      <c r="BH8392" s="7"/>
      <c r="BQ8392" s="7"/>
      <c r="BZ8392" s="7"/>
    </row>
    <row r="8393" spans="2:78">
      <c r="B8393" s="7"/>
      <c r="O8393" s="7"/>
      <c r="X8393" s="7"/>
      <c r="AG8393" s="7"/>
      <c r="AP8393" s="7"/>
      <c r="AY8393" s="7"/>
      <c r="BH8393" s="7"/>
      <c r="BQ8393" s="7"/>
      <c r="BZ8393" s="7"/>
    </row>
    <row r="8394" spans="2:78">
      <c r="B8394" s="7"/>
      <c r="O8394" s="7"/>
      <c r="X8394" s="7"/>
      <c r="AG8394" s="7"/>
      <c r="AP8394" s="7"/>
      <c r="AY8394" s="7"/>
      <c r="BH8394" s="7"/>
      <c r="BQ8394" s="7"/>
      <c r="BZ8394" s="7"/>
    </row>
    <row r="8395" spans="2:78">
      <c r="B8395" s="7"/>
      <c r="O8395" s="7"/>
      <c r="X8395" s="7"/>
      <c r="AG8395" s="7"/>
      <c r="AP8395" s="7"/>
      <c r="AY8395" s="7"/>
      <c r="BH8395" s="7"/>
      <c r="BQ8395" s="7"/>
      <c r="BZ8395" s="7"/>
    </row>
    <row r="8396" spans="2:78">
      <c r="B8396" s="7"/>
      <c r="O8396" s="7"/>
      <c r="X8396" s="7"/>
      <c r="AG8396" s="7"/>
      <c r="AP8396" s="7"/>
      <c r="AY8396" s="7"/>
      <c r="BH8396" s="7"/>
      <c r="BQ8396" s="7"/>
      <c r="BZ8396" s="7"/>
    </row>
    <row r="8397" spans="2:78">
      <c r="B8397" s="7"/>
      <c r="O8397" s="7"/>
      <c r="X8397" s="7"/>
      <c r="AG8397" s="7"/>
      <c r="AP8397" s="7"/>
      <c r="AY8397" s="7"/>
      <c r="BH8397" s="7"/>
      <c r="BQ8397" s="7"/>
      <c r="BZ8397" s="7"/>
    </row>
    <row r="8398" spans="2:78">
      <c r="B8398" s="7"/>
      <c r="O8398" s="7"/>
      <c r="X8398" s="7"/>
      <c r="AG8398" s="7"/>
      <c r="AP8398" s="7"/>
      <c r="AY8398" s="7"/>
      <c r="BH8398" s="7"/>
      <c r="BQ8398" s="7"/>
      <c r="BZ8398" s="7"/>
    </row>
    <row r="8399" spans="2:78">
      <c r="B8399" s="7"/>
      <c r="O8399" s="7"/>
      <c r="X8399" s="7"/>
      <c r="AG8399" s="7"/>
      <c r="AP8399" s="7"/>
      <c r="AY8399" s="7"/>
      <c r="BH8399" s="7"/>
      <c r="BQ8399" s="7"/>
      <c r="BZ8399" s="7"/>
    </row>
    <row r="8400" spans="2:78">
      <c r="B8400" s="7"/>
      <c r="O8400" s="7"/>
      <c r="X8400" s="7"/>
      <c r="AG8400" s="7"/>
      <c r="AP8400" s="7"/>
      <c r="AY8400" s="7"/>
      <c r="BH8400" s="7"/>
      <c r="BQ8400" s="7"/>
      <c r="BZ8400" s="7"/>
    </row>
    <row r="8401" spans="2:78">
      <c r="B8401" s="7"/>
      <c r="O8401" s="7"/>
      <c r="X8401" s="7"/>
      <c r="AG8401" s="7"/>
      <c r="AP8401" s="7"/>
      <c r="AY8401" s="7"/>
      <c r="BH8401" s="7"/>
      <c r="BQ8401" s="7"/>
      <c r="BZ8401" s="7"/>
    </row>
    <row r="8402" spans="2:78">
      <c r="B8402" s="7"/>
      <c r="O8402" s="7"/>
      <c r="X8402" s="7"/>
      <c r="AG8402" s="7"/>
      <c r="AP8402" s="7"/>
      <c r="AY8402" s="7"/>
      <c r="BH8402" s="7"/>
      <c r="BQ8402" s="7"/>
      <c r="BZ8402" s="7"/>
    </row>
    <row r="8403" spans="2:78">
      <c r="B8403" s="7"/>
      <c r="O8403" s="7"/>
      <c r="X8403" s="7"/>
      <c r="AG8403" s="7"/>
      <c r="AP8403" s="7"/>
      <c r="AY8403" s="7"/>
      <c r="BH8403" s="7"/>
      <c r="BQ8403" s="7"/>
      <c r="BZ8403" s="7"/>
    </row>
    <row r="8404" spans="2:78">
      <c r="B8404" s="7"/>
      <c r="O8404" s="7"/>
      <c r="X8404" s="7"/>
      <c r="AG8404" s="7"/>
      <c r="AP8404" s="7"/>
      <c r="AY8404" s="7"/>
      <c r="BH8404" s="7"/>
      <c r="BQ8404" s="7"/>
      <c r="BZ8404" s="7"/>
    </row>
    <row r="8405" spans="2:78">
      <c r="B8405" s="7"/>
      <c r="O8405" s="7"/>
      <c r="X8405" s="7"/>
      <c r="AG8405" s="7"/>
      <c r="AP8405" s="7"/>
      <c r="AY8405" s="7"/>
      <c r="BH8405" s="7"/>
      <c r="BQ8405" s="7"/>
      <c r="BZ8405" s="7"/>
    </row>
    <row r="8406" spans="2:78">
      <c r="B8406" s="7"/>
      <c r="O8406" s="7"/>
      <c r="X8406" s="7"/>
      <c r="AG8406" s="7"/>
      <c r="AP8406" s="7"/>
      <c r="AY8406" s="7"/>
      <c r="BH8406" s="7"/>
      <c r="BQ8406" s="7"/>
      <c r="BZ8406" s="7"/>
    </row>
    <row r="8407" spans="2:78">
      <c r="B8407" s="7"/>
      <c r="O8407" s="7"/>
      <c r="X8407" s="7"/>
      <c r="AG8407" s="7"/>
      <c r="AP8407" s="7"/>
      <c r="AY8407" s="7"/>
      <c r="BH8407" s="7"/>
      <c r="BQ8407" s="7"/>
      <c r="BZ8407" s="7"/>
    </row>
    <row r="8408" spans="2:78">
      <c r="B8408" s="7"/>
      <c r="O8408" s="7"/>
      <c r="X8408" s="7"/>
      <c r="AG8408" s="7"/>
      <c r="AP8408" s="7"/>
      <c r="AY8408" s="7"/>
      <c r="BH8408" s="7"/>
      <c r="BQ8408" s="7"/>
      <c r="BZ8408" s="7"/>
    </row>
    <row r="8409" spans="2:78">
      <c r="B8409" s="7"/>
      <c r="O8409" s="7"/>
      <c r="X8409" s="7"/>
      <c r="AG8409" s="7"/>
      <c r="AP8409" s="7"/>
      <c r="AY8409" s="7"/>
      <c r="BH8409" s="7"/>
      <c r="BQ8409" s="7"/>
      <c r="BZ8409" s="7"/>
    </row>
    <row r="8410" spans="2:78">
      <c r="B8410" s="7"/>
      <c r="O8410" s="7"/>
      <c r="X8410" s="7"/>
      <c r="AG8410" s="7"/>
      <c r="AP8410" s="7"/>
      <c r="AY8410" s="7"/>
      <c r="BH8410" s="7"/>
      <c r="BQ8410" s="7"/>
      <c r="BZ8410" s="7"/>
    </row>
    <row r="8411" spans="2:78">
      <c r="B8411" s="7"/>
      <c r="O8411" s="7"/>
      <c r="X8411" s="7"/>
      <c r="AG8411" s="7"/>
      <c r="AP8411" s="7"/>
      <c r="AY8411" s="7"/>
      <c r="BH8411" s="7"/>
      <c r="BQ8411" s="7"/>
      <c r="BZ8411" s="7"/>
    </row>
    <row r="8412" spans="2:78">
      <c r="B8412" s="7"/>
      <c r="O8412" s="7"/>
      <c r="X8412" s="7"/>
      <c r="AG8412" s="7"/>
      <c r="AP8412" s="7"/>
      <c r="AY8412" s="7"/>
      <c r="BH8412" s="7"/>
      <c r="BQ8412" s="7"/>
      <c r="BZ8412" s="7"/>
    </row>
    <row r="8413" spans="2:78">
      <c r="B8413" s="7"/>
      <c r="O8413" s="7"/>
      <c r="X8413" s="7"/>
      <c r="AG8413" s="7"/>
      <c r="AP8413" s="7"/>
      <c r="AY8413" s="7"/>
      <c r="BH8413" s="7"/>
      <c r="BQ8413" s="7"/>
      <c r="BZ8413" s="7"/>
    </row>
    <row r="8414" spans="2:78">
      <c r="B8414" s="7"/>
      <c r="O8414" s="7"/>
      <c r="X8414" s="7"/>
      <c r="AG8414" s="7"/>
      <c r="AP8414" s="7"/>
      <c r="AY8414" s="7"/>
      <c r="BH8414" s="7"/>
      <c r="BQ8414" s="7"/>
      <c r="BZ8414" s="7"/>
    </row>
    <row r="8415" spans="2:78">
      <c r="B8415" s="7"/>
      <c r="O8415" s="7"/>
      <c r="X8415" s="7"/>
      <c r="AG8415" s="7"/>
      <c r="AP8415" s="7"/>
      <c r="AY8415" s="7"/>
      <c r="BH8415" s="7"/>
      <c r="BQ8415" s="7"/>
      <c r="BZ8415" s="7"/>
    </row>
    <row r="8416" spans="2:78">
      <c r="B8416" s="7"/>
      <c r="O8416" s="7"/>
      <c r="X8416" s="7"/>
      <c r="AG8416" s="7"/>
      <c r="AP8416" s="7"/>
      <c r="AY8416" s="7"/>
      <c r="BH8416" s="7"/>
      <c r="BQ8416" s="7"/>
      <c r="BZ8416" s="7"/>
    </row>
    <row r="8417" spans="2:78">
      <c r="B8417" s="7"/>
      <c r="O8417" s="7"/>
      <c r="X8417" s="7"/>
      <c r="AG8417" s="7"/>
      <c r="AP8417" s="7"/>
      <c r="AY8417" s="7"/>
      <c r="BH8417" s="7"/>
      <c r="BQ8417" s="7"/>
      <c r="BZ8417" s="7"/>
    </row>
    <row r="8418" spans="2:78">
      <c r="B8418" s="7"/>
      <c r="O8418" s="7"/>
      <c r="X8418" s="7"/>
      <c r="AG8418" s="7"/>
      <c r="AP8418" s="7"/>
      <c r="AY8418" s="7"/>
      <c r="BH8418" s="7"/>
      <c r="BQ8418" s="7"/>
      <c r="BZ8418" s="7"/>
    </row>
    <row r="8419" spans="2:78">
      <c r="B8419" s="7"/>
      <c r="O8419" s="7"/>
      <c r="X8419" s="7"/>
      <c r="AG8419" s="7"/>
      <c r="AP8419" s="7"/>
      <c r="AY8419" s="7"/>
      <c r="BH8419" s="7"/>
      <c r="BQ8419" s="7"/>
      <c r="BZ8419" s="7"/>
    </row>
    <row r="8420" spans="2:78">
      <c r="B8420" s="7"/>
      <c r="O8420" s="7"/>
      <c r="X8420" s="7"/>
      <c r="AG8420" s="7"/>
      <c r="AP8420" s="7"/>
      <c r="AY8420" s="7"/>
      <c r="BH8420" s="7"/>
      <c r="BQ8420" s="7"/>
      <c r="BZ8420" s="7"/>
    </row>
    <row r="8421" spans="2:78">
      <c r="B8421" s="7"/>
      <c r="O8421" s="7"/>
      <c r="X8421" s="7"/>
      <c r="AG8421" s="7"/>
      <c r="AP8421" s="7"/>
      <c r="AY8421" s="7"/>
      <c r="BH8421" s="7"/>
      <c r="BQ8421" s="7"/>
      <c r="BZ8421" s="7"/>
    </row>
    <row r="8422" spans="2:78">
      <c r="B8422" s="7"/>
      <c r="O8422" s="7"/>
      <c r="X8422" s="7"/>
      <c r="AG8422" s="7"/>
      <c r="AP8422" s="7"/>
      <c r="AY8422" s="7"/>
      <c r="BH8422" s="7"/>
      <c r="BQ8422" s="7"/>
      <c r="BZ8422" s="7"/>
    </row>
    <row r="8423" spans="2:78">
      <c r="B8423" s="7"/>
      <c r="O8423" s="7"/>
      <c r="X8423" s="7"/>
      <c r="AG8423" s="7"/>
      <c r="AP8423" s="7"/>
      <c r="AY8423" s="7"/>
      <c r="BH8423" s="7"/>
      <c r="BQ8423" s="7"/>
      <c r="BZ8423" s="7"/>
    </row>
    <row r="8424" spans="2:78">
      <c r="B8424" s="7"/>
      <c r="O8424" s="7"/>
      <c r="X8424" s="7"/>
      <c r="AG8424" s="7"/>
      <c r="AP8424" s="7"/>
      <c r="AY8424" s="7"/>
      <c r="BH8424" s="7"/>
      <c r="BQ8424" s="7"/>
      <c r="BZ8424" s="7"/>
    </row>
    <row r="8425" spans="2:78">
      <c r="B8425" s="7"/>
      <c r="O8425" s="7"/>
      <c r="X8425" s="7"/>
      <c r="AG8425" s="7"/>
      <c r="AP8425" s="7"/>
      <c r="AY8425" s="7"/>
      <c r="BH8425" s="7"/>
      <c r="BQ8425" s="7"/>
      <c r="BZ8425" s="7"/>
    </row>
    <row r="8426" spans="2:78">
      <c r="B8426" s="7"/>
      <c r="O8426" s="7"/>
      <c r="X8426" s="7"/>
      <c r="AG8426" s="7"/>
      <c r="AP8426" s="7"/>
      <c r="AY8426" s="7"/>
      <c r="BH8426" s="7"/>
      <c r="BQ8426" s="7"/>
      <c r="BZ8426" s="7"/>
    </row>
    <row r="8427" spans="2:78">
      <c r="B8427" s="7"/>
      <c r="O8427" s="7"/>
      <c r="X8427" s="7"/>
      <c r="AG8427" s="7"/>
      <c r="AP8427" s="7"/>
      <c r="AY8427" s="7"/>
      <c r="BH8427" s="7"/>
      <c r="BQ8427" s="7"/>
      <c r="BZ8427" s="7"/>
    </row>
    <row r="8428" spans="2:78">
      <c r="B8428" s="7"/>
      <c r="O8428" s="7"/>
      <c r="X8428" s="7"/>
      <c r="AG8428" s="7"/>
      <c r="AP8428" s="7"/>
      <c r="AY8428" s="7"/>
      <c r="BH8428" s="7"/>
      <c r="BQ8428" s="7"/>
      <c r="BZ8428" s="7"/>
    </row>
    <row r="8429" spans="2:78">
      <c r="B8429" s="7"/>
      <c r="O8429" s="7"/>
      <c r="X8429" s="7"/>
      <c r="AG8429" s="7"/>
      <c r="AP8429" s="7"/>
      <c r="AY8429" s="7"/>
      <c r="BH8429" s="7"/>
      <c r="BQ8429" s="7"/>
      <c r="BZ8429" s="7"/>
    </row>
    <row r="8430" spans="2:78">
      <c r="B8430" s="7"/>
      <c r="O8430" s="7"/>
      <c r="X8430" s="7"/>
      <c r="AG8430" s="7"/>
      <c r="AP8430" s="7"/>
      <c r="AY8430" s="7"/>
      <c r="BH8430" s="7"/>
      <c r="BQ8430" s="7"/>
      <c r="BZ8430" s="7"/>
    </row>
    <row r="8431" spans="2:78">
      <c r="B8431" s="7"/>
      <c r="O8431" s="7"/>
      <c r="X8431" s="7"/>
      <c r="AG8431" s="7"/>
      <c r="AP8431" s="7"/>
      <c r="AY8431" s="7"/>
      <c r="BH8431" s="7"/>
      <c r="BQ8431" s="7"/>
      <c r="BZ8431" s="7"/>
    </row>
    <row r="8432" spans="2:78">
      <c r="B8432" s="7"/>
      <c r="O8432" s="7"/>
      <c r="X8432" s="7"/>
      <c r="AG8432" s="7"/>
      <c r="AP8432" s="7"/>
      <c r="AY8432" s="7"/>
      <c r="BH8432" s="7"/>
      <c r="BQ8432" s="7"/>
      <c r="BZ8432" s="7"/>
    </row>
    <row r="8433" spans="2:78">
      <c r="B8433" s="7"/>
      <c r="O8433" s="7"/>
      <c r="X8433" s="7"/>
      <c r="AG8433" s="7"/>
      <c r="AP8433" s="7"/>
      <c r="AY8433" s="7"/>
      <c r="BH8433" s="7"/>
      <c r="BQ8433" s="7"/>
      <c r="BZ8433" s="7"/>
    </row>
    <row r="8434" spans="2:78">
      <c r="B8434" s="7"/>
      <c r="O8434" s="7"/>
      <c r="X8434" s="7"/>
      <c r="AG8434" s="7"/>
      <c r="AP8434" s="7"/>
      <c r="AY8434" s="7"/>
      <c r="BH8434" s="7"/>
      <c r="BQ8434" s="7"/>
      <c r="BZ8434" s="7"/>
    </row>
    <row r="8435" spans="2:78">
      <c r="B8435" s="7"/>
      <c r="O8435" s="7"/>
      <c r="X8435" s="7"/>
      <c r="AG8435" s="7"/>
      <c r="AP8435" s="7"/>
      <c r="AY8435" s="7"/>
      <c r="BH8435" s="7"/>
      <c r="BQ8435" s="7"/>
      <c r="BZ8435" s="7"/>
    </row>
    <row r="8436" spans="2:78">
      <c r="B8436" s="7"/>
      <c r="O8436" s="7"/>
      <c r="X8436" s="7"/>
      <c r="AG8436" s="7"/>
      <c r="AP8436" s="7"/>
      <c r="AY8436" s="7"/>
      <c r="BH8436" s="7"/>
      <c r="BQ8436" s="7"/>
      <c r="BZ8436" s="7"/>
    </row>
    <row r="8437" spans="2:78">
      <c r="B8437" s="7"/>
      <c r="O8437" s="7"/>
      <c r="X8437" s="7"/>
      <c r="AG8437" s="7"/>
      <c r="AP8437" s="7"/>
      <c r="AY8437" s="7"/>
      <c r="BH8437" s="7"/>
      <c r="BQ8437" s="7"/>
      <c r="BZ8437" s="7"/>
    </row>
    <row r="8438" spans="2:78">
      <c r="B8438" s="7"/>
      <c r="O8438" s="7"/>
      <c r="X8438" s="7"/>
      <c r="AG8438" s="7"/>
      <c r="AP8438" s="7"/>
      <c r="AY8438" s="7"/>
      <c r="BH8438" s="7"/>
      <c r="BQ8438" s="7"/>
      <c r="BZ8438" s="7"/>
    </row>
    <row r="8439" spans="2:78">
      <c r="B8439" s="7"/>
      <c r="O8439" s="7"/>
      <c r="X8439" s="7"/>
      <c r="AG8439" s="7"/>
      <c r="AP8439" s="7"/>
      <c r="AY8439" s="7"/>
      <c r="BH8439" s="7"/>
      <c r="BQ8439" s="7"/>
      <c r="BZ8439" s="7"/>
    </row>
    <row r="8440" spans="2:78">
      <c r="B8440" s="7"/>
      <c r="O8440" s="7"/>
      <c r="X8440" s="7"/>
      <c r="AG8440" s="7"/>
      <c r="AP8440" s="7"/>
      <c r="AY8440" s="7"/>
      <c r="BH8440" s="7"/>
      <c r="BQ8440" s="7"/>
      <c r="BZ8440" s="7"/>
    </row>
    <row r="8441" spans="2:78">
      <c r="B8441" s="7"/>
      <c r="O8441" s="7"/>
      <c r="X8441" s="7"/>
      <c r="AG8441" s="7"/>
      <c r="AP8441" s="7"/>
      <c r="AY8441" s="7"/>
      <c r="BH8441" s="7"/>
      <c r="BQ8441" s="7"/>
      <c r="BZ8441" s="7"/>
    </row>
    <row r="8442" spans="2:78">
      <c r="B8442" s="7"/>
      <c r="O8442" s="7"/>
      <c r="X8442" s="7"/>
      <c r="AG8442" s="7"/>
      <c r="AP8442" s="7"/>
      <c r="AY8442" s="7"/>
      <c r="BH8442" s="7"/>
      <c r="BQ8442" s="7"/>
      <c r="BZ8442" s="7"/>
    </row>
    <row r="8443" spans="2:78">
      <c r="B8443" s="7"/>
      <c r="O8443" s="7"/>
      <c r="X8443" s="7"/>
      <c r="AG8443" s="7"/>
      <c r="AP8443" s="7"/>
      <c r="AY8443" s="7"/>
      <c r="BH8443" s="7"/>
      <c r="BQ8443" s="7"/>
      <c r="BZ8443" s="7"/>
    </row>
    <row r="8444" spans="2:78">
      <c r="B8444" s="7"/>
      <c r="O8444" s="7"/>
      <c r="X8444" s="7"/>
      <c r="AG8444" s="7"/>
      <c r="AP8444" s="7"/>
      <c r="AY8444" s="7"/>
      <c r="BH8444" s="7"/>
      <c r="BQ8444" s="7"/>
      <c r="BZ8444" s="7"/>
    </row>
    <row r="8445" spans="2:78">
      <c r="B8445" s="7"/>
      <c r="O8445" s="7"/>
      <c r="X8445" s="7"/>
      <c r="AG8445" s="7"/>
      <c r="AP8445" s="7"/>
      <c r="AY8445" s="7"/>
      <c r="BH8445" s="7"/>
      <c r="BQ8445" s="7"/>
      <c r="BZ8445" s="7"/>
    </row>
    <row r="8446" spans="2:78">
      <c r="B8446" s="7"/>
      <c r="O8446" s="7"/>
      <c r="X8446" s="7"/>
      <c r="AG8446" s="7"/>
      <c r="AP8446" s="7"/>
      <c r="AY8446" s="7"/>
      <c r="BH8446" s="7"/>
      <c r="BQ8446" s="7"/>
      <c r="BZ8446" s="7"/>
    </row>
    <row r="8447" spans="2:78">
      <c r="B8447" s="7"/>
      <c r="O8447" s="7"/>
      <c r="X8447" s="7"/>
      <c r="AG8447" s="7"/>
      <c r="AP8447" s="7"/>
      <c r="AY8447" s="7"/>
      <c r="BH8447" s="7"/>
      <c r="BQ8447" s="7"/>
      <c r="BZ8447" s="7"/>
    </row>
    <row r="8448" spans="2:78">
      <c r="B8448" s="7"/>
      <c r="O8448" s="7"/>
      <c r="X8448" s="7"/>
      <c r="AG8448" s="7"/>
      <c r="AP8448" s="7"/>
      <c r="AY8448" s="7"/>
      <c r="BH8448" s="7"/>
      <c r="BQ8448" s="7"/>
      <c r="BZ8448" s="7"/>
    </row>
    <row r="8449" spans="2:78">
      <c r="B8449" s="7"/>
      <c r="O8449" s="7"/>
      <c r="X8449" s="7"/>
      <c r="AG8449" s="7"/>
      <c r="AP8449" s="7"/>
      <c r="AY8449" s="7"/>
      <c r="BH8449" s="7"/>
      <c r="BQ8449" s="7"/>
      <c r="BZ8449" s="7"/>
    </row>
    <row r="8450" spans="2:78">
      <c r="B8450" s="7"/>
      <c r="O8450" s="7"/>
      <c r="X8450" s="7"/>
      <c r="AG8450" s="7"/>
      <c r="AP8450" s="7"/>
      <c r="AY8450" s="7"/>
      <c r="BH8450" s="7"/>
      <c r="BQ8450" s="7"/>
      <c r="BZ8450" s="7"/>
    </row>
    <row r="8451" spans="2:78">
      <c r="B8451" s="7"/>
      <c r="O8451" s="7"/>
      <c r="X8451" s="7"/>
      <c r="AG8451" s="7"/>
      <c r="AP8451" s="7"/>
      <c r="AY8451" s="7"/>
      <c r="BH8451" s="7"/>
      <c r="BQ8451" s="7"/>
      <c r="BZ8451" s="7"/>
    </row>
    <row r="8452" spans="2:78">
      <c r="B8452" s="7"/>
      <c r="O8452" s="7"/>
      <c r="X8452" s="7"/>
      <c r="AG8452" s="7"/>
      <c r="AP8452" s="7"/>
      <c r="AY8452" s="7"/>
      <c r="BH8452" s="7"/>
      <c r="BQ8452" s="7"/>
      <c r="BZ8452" s="7"/>
    </row>
    <row r="8453" spans="2:78">
      <c r="B8453" s="7"/>
      <c r="O8453" s="7"/>
      <c r="X8453" s="7"/>
      <c r="AG8453" s="7"/>
      <c r="AP8453" s="7"/>
      <c r="AY8453" s="7"/>
      <c r="BH8453" s="7"/>
      <c r="BQ8453" s="7"/>
      <c r="BZ8453" s="7"/>
    </row>
    <row r="8454" spans="2:78">
      <c r="B8454" s="7"/>
      <c r="O8454" s="7"/>
      <c r="X8454" s="7"/>
      <c r="AG8454" s="7"/>
      <c r="AP8454" s="7"/>
      <c r="AY8454" s="7"/>
      <c r="BH8454" s="7"/>
      <c r="BQ8454" s="7"/>
      <c r="BZ8454" s="7"/>
    </row>
    <row r="8455" spans="2:78">
      <c r="B8455" s="7"/>
      <c r="O8455" s="7"/>
      <c r="X8455" s="7"/>
      <c r="AG8455" s="7"/>
      <c r="AP8455" s="7"/>
      <c r="AY8455" s="7"/>
      <c r="BH8455" s="7"/>
      <c r="BQ8455" s="7"/>
      <c r="BZ8455" s="7"/>
    </row>
    <row r="8456" spans="2:78">
      <c r="B8456" s="7"/>
      <c r="O8456" s="7"/>
      <c r="X8456" s="7"/>
      <c r="AG8456" s="7"/>
      <c r="AP8456" s="7"/>
      <c r="AY8456" s="7"/>
      <c r="BH8456" s="7"/>
      <c r="BQ8456" s="7"/>
      <c r="BZ8456" s="7"/>
    </row>
    <row r="8457" spans="2:78">
      <c r="B8457" s="7"/>
      <c r="O8457" s="7"/>
      <c r="X8457" s="7"/>
      <c r="AG8457" s="7"/>
      <c r="AP8457" s="7"/>
      <c r="AY8457" s="7"/>
      <c r="BH8457" s="7"/>
      <c r="BQ8457" s="7"/>
      <c r="BZ8457" s="7"/>
    </row>
    <row r="8458" spans="2:78">
      <c r="B8458" s="7"/>
      <c r="O8458" s="7"/>
      <c r="X8458" s="7"/>
      <c r="AG8458" s="7"/>
      <c r="AP8458" s="7"/>
      <c r="AY8458" s="7"/>
      <c r="BH8458" s="7"/>
      <c r="BQ8458" s="7"/>
      <c r="BZ8458" s="7"/>
    </row>
    <row r="8459" spans="2:78">
      <c r="B8459" s="7"/>
      <c r="O8459" s="7"/>
      <c r="X8459" s="7"/>
      <c r="AG8459" s="7"/>
      <c r="AP8459" s="7"/>
      <c r="AY8459" s="7"/>
      <c r="BH8459" s="7"/>
      <c r="BQ8459" s="7"/>
      <c r="BZ8459" s="7"/>
    </row>
    <row r="8460" spans="2:78">
      <c r="B8460" s="7"/>
      <c r="O8460" s="7"/>
      <c r="X8460" s="7"/>
      <c r="AG8460" s="7"/>
      <c r="AP8460" s="7"/>
      <c r="AY8460" s="7"/>
      <c r="BH8460" s="7"/>
      <c r="BQ8460" s="7"/>
      <c r="BZ8460" s="7"/>
    </row>
    <row r="8461" spans="2:78">
      <c r="B8461" s="7"/>
      <c r="O8461" s="7"/>
      <c r="X8461" s="7"/>
      <c r="AG8461" s="7"/>
      <c r="AP8461" s="7"/>
      <c r="AY8461" s="7"/>
      <c r="BH8461" s="7"/>
      <c r="BQ8461" s="7"/>
      <c r="BZ8461" s="7"/>
    </row>
    <row r="8462" spans="2:78">
      <c r="B8462" s="7"/>
      <c r="O8462" s="7"/>
      <c r="X8462" s="7"/>
      <c r="AG8462" s="7"/>
      <c r="AP8462" s="7"/>
      <c r="AY8462" s="7"/>
      <c r="BH8462" s="7"/>
      <c r="BQ8462" s="7"/>
      <c r="BZ8462" s="7"/>
    </row>
    <row r="8463" spans="2:78">
      <c r="B8463" s="7"/>
      <c r="O8463" s="7"/>
      <c r="X8463" s="7"/>
      <c r="AG8463" s="7"/>
      <c r="AP8463" s="7"/>
      <c r="AY8463" s="7"/>
      <c r="BH8463" s="7"/>
      <c r="BQ8463" s="7"/>
      <c r="BZ8463" s="7"/>
    </row>
    <row r="8464" spans="2:78">
      <c r="B8464" s="7"/>
      <c r="O8464" s="7"/>
      <c r="X8464" s="7"/>
      <c r="AG8464" s="7"/>
      <c r="AP8464" s="7"/>
      <c r="AY8464" s="7"/>
      <c r="BH8464" s="7"/>
      <c r="BQ8464" s="7"/>
      <c r="BZ8464" s="7"/>
    </row>
    <row r="8465" spans="2:78">
      <c r="B8465" s="7"/>
      <c r="O8465" s="7"/>
      <c r="X8465" s="7"/>
      <c r="AG8465" s="7"/>
      <c r="AP8465" s="7"/>
      <c r="AY8465" s="7"/>
      <c r="BH8465" s="7"/>
      <c r="BQ8465" s="7"/>
      <c r="BZ8465" s="7"/>
    </row>
    <row r="8466" spans="2:78">
      <c r="B8466" s="7"/>
      <c r="O8466" s="7"/>
      <c r="X8466" s="7"/>
      <c r="AG8466" s="7"/>
      <c r="AP8466" s="7"/>
      <c r="AY8466" s="7"/>
      <c r="BH8466" s="7"/>
      <c r="BQ8466" s="7"/>
      <c r="BZ8466" s="7"/>
    </row>
    <row r="8467" spans="2:78">
      <c r="B8467" s="7"/>
      <c r="O8467" s="7"/>
      <c r="X8467" s="7"/>
      <c r="AG8467" s="7"/>
      <c r="AP8467" s="7"/>
      <c r="AY8467" s="7"/>
      <c r="BH8467" s="7"/>
      <c r="BQ8467" s="7"/>
      <c r="BZ8467" s="7"/>
    </row>
    <row r="8468" spans="2:78">
      <c r="B8468" s="7"/>
      <c r="O8468" s="7"/>
      <c r="X8468" s="7"/>
      <c r="AG8468" s="7"/>
      <c r="AP8468" s="7"/>
      <c r="AY8468" s="7"/>
      <c r="BH8468" s="7"/>
      <c r="BQ8468" s="7"/>
      <c r="BZ8468" s="7"/>
    </row>
    <row r="8469" spans="2:78">
      <c r="B8469" s="7"/>
      <c r="O8469" s="7"/>
      <c r="X8469" s="7"/>
      <c r="AG8469" s="7"/>
      <c r="AP8469" s="7"/>
      <c r="AY8469" s="7"/>
      <c r="BH8469" s="7"/>
      <c r="BQ8469" s="7"/>
      <c r="BZ8469" s="7"/>
    </row>
    <row r="8470" spans="2:78">
      <c r="B8470" s="7"/>
      <c r="O8470" s="7"/>
      <c r="X8470" s="7"/>
      <c r="AG8470" s="7"/>
      <c r="AP8470" s="7"/>
      <c r="AY8470" s="7"/>
      <c r="BH8470" s="7"/>
      <c r="BQ8470" s="7"/>
      <c r="BZ8470" s="7"/>
    </row>
    <row r="8471" spans="2:78">
      <c r="B8471" s="7"/>
      <c r="O8471" s="7"/>
      <c r="X8471" s="7"/>
      <c r="AG8471" s="7"/>
      <c r="AP8471" s="7"/>
      <c r="AY8471" s="7"/>
      <c r="BH8471" s="7"/>
      <c r="BQ8471" s="7"/>
      <c r="BZ8471" s="7"/>
    </row>
    <row r="8472" spans="2:78">
      <c r="B8472" s="7"/>
      <c r="O8472" s="7"/>
      <c r="X8472" s="7"/>
      <c r="AG8472" s="7"/>
      <c r="AP8472" s="7"/>
      <c r="AY8472" s="7"/>
      <c r="BH8472" s="7"/>
      <c r="BQ8472" s="7"/>
      <c r="BZ8472" s="7"/>
    </row>
    <row r="8473" spans="2:78">
      <c r="B8473" s="7"/>
      <c r="O8473" s="7"/>
      <c r="X8473" s="7"/>
      <c r="AG8473" s="7"/>
      <c r="AP8473" s="7"/>
      <c r="AY8473" s="7"/>
      <c r="BH8473" s="7"/>
      <c r="BQ8473" s="7"/>
      <c r="BZ8473" s="7"/>
    </row>
    <row r="8474" spans="2:78">
      <c r="B8474" s="7"/>
      <c r="O8474" s="7"/>
      <c r="X8474" s="7"/>
      <c r="AG8474" s="7"/>
      <c r="AP8474" s="7"/>
      <c r="AY8474" s="7"/>
      <c r="BH8474" s="7"/>
      <c r="BQ8474" s="7"/>
      <c r="BZ8474" s="7"/>
    </row>
    <row r="8475" spans="2:78">
      <c r="B8475" s="7"/>
      <c r="O8475" s="7"/>
      <c r="X8475" s="7"/>
      <c r="AG8475" s="7"/>
      <c r="AP8475" s="7"/>
      <c r="AY8475" s="7"/>
      <c r="BH8475" s="7"/>
      <c r="BQ8475" s="7"/>
      <c r="BZ8475" s="7"/>
    </row>
    <row r="8476" spans="2:78">
      <c r="B8476" s="7"/>
      <c r="O8476" s="7"/>
      <c r="X8476" s="7"/>
      <c r="AG8476" s="7"/>
      <c r="AP8476" s="7"/>
      <c r="AY8476" s="7"/>
      <c r="BH8476" s="7"/>
      <c r="BQ8476" s="7"/>
      <c r="BZ8476" s="7"/>
    </row>
    <row r="8477" spans="2:78">
      <c r="B8477" s="7"/>
      <c r="O8477" s="7"/>
      <c r="X8477" s="7"/>
      <c r="AG8477" s="7"/>
      <c r="AP8477" s="7"/>
      <c r="AY8477" s="7"/>
      <c r="BH8477" s="7"/>
      <c r="BQ8477" s="7"/>
      <c r="BZ8477" s="7"/>
    </row>
    <row r="8478" spans="2:78">
      <c r="B8478" s="7"/>
      <c r="O8478" s="7"/>
      <c r="X8478" s="7"/>
      <c r="AG8478" s="7"/>
      <c r="AP8478" s="7"/>
      <c r="AY8478" s="7"/>
      <c r="BH8478" s="7"/>
      <c r="BQ8478" s="7"/>
      <c r="BZ8478" s="7"/>
    </row>
    <row r="8479" spans="2:78">
      <c r="B8479" s="7"/>
      <c r="O8479" s="7"/>
      <c r="X8479" s="7"/>
      <c r="AG8479" s="7"/>
      <c r="AP8479" s="7"/>
      <c r="AY8479" s="7"/>
      <c r="BH8479" s="7"/>
      <c r="BQ8479" s="7"/>
      <c r="BZ8479" s="7"/>
    </row>
    <row r="8480" spans="2:78">
      <c r="B8480" s="7"/>
      <c r="O8480" s="7"/>
      <c r="X8480" s="7"/>
      <c r="AG8480" s="7"/>
      <c r="AP8480" s="7"/>
      <c r="AY8480" s="7"/>
      <c r="BH8480" s="7"/>
      <c r="BQ8480" s="7"/>
      <c r="BZ8480" s="7"/>
    </row>
    <row r="8481" spans="2:78">
      <c r="B8481" s="7"/>
      <c r="O8481" s="7"/>
      <c r="X8481" s="7"/>
      <c r="AG8481" s="7"/>
      <c r="AP8481" s="7"/>
      <c r="AY8481" s="7"/>
      <c r="BH8481" s="7"/>
      <c r="BQ8481" s="7"/>
      <c r="BZ8481" s="7"/>
    </row>
    <row r="8482" spans="2:78">
      <c r="B8482" s="7"/>
      <c r="O8482" s="7"/>
      <c r="X8482" s="7"/>
      <c r="AG8482" s="7"/>
      <c r="AP8482" s="7"/>
      <c r="AY8482" s="7"/>
      <c r="BH8482" s="7"/>
      <c r="BQ8482" s="7"/>
      <c r="BZ8482" s="7"/>
    </row>
    <row r="8483" spans="2:78">
      <c r="B8483" s="7"/>
      <c r="O8483" s="7"/>
      <c r="X8483" s="7"/>
      <c r="AG8483" s="7"/>
      <c r="AP8483" s="7"/>
      <c r="AY8483" s="7"/>
      <c r="BH8483" s="7"/>
      <c r="BQ8483" s="7"/>
      <c r="BZ8483" s="7"/>
    </row>
    <row r="8484" spans="2:78">
      <c r="B8484" s="7"/>
      <c r="O8484" s="7"/>
      <c r="X8484" s="7"/>
      <c r="AG8484" s="7"/>
      <c r="AP8484" s="7"/>
      <c r="AY8484" s="7"/>
      <c r="BH8484" s="7"/>
      <c r="BQ8484" s="7"/>
      <c r="BZ8484" s="7"/>
    </row>
    <row r="8485" spans="2:78">
      <c r="B8485" s="7"/>
      <c r="O8485" s="7"/>
      <c r="X8485" s="7"/>
      <c r="AG8485" s="7"/>
      <c r="AP8485" s="7"/>
      <c r="AY8485" s="7"/>
      <c r="BH8485" s="7"/>
      <c r="BQ8485" s="7"/>
      <c r="BZ8485" s="7"/>
    </row>
    <row r="8486" spans="2:78">
      <c r="B8486" s="7"/>
      <c r="O8486" s="7"/>
      <c r="X8486" s="7"/>
      <c r="AG8486" s="7"/>
      <c r="AP8486" s="7"/>
      <c r="AY8486" s="7"/>
      <c r="BH8486" s="7"/>
      <c r="BQ8486" s="7"/>
      <c r="BZ8486" s="7"/>
    </row>
    <row r="8487" spans="2:78">
      <c r="B8487" s="7"/>
      <c r="O8487" s="7"/>
      <c r="X8487" s="7"/>
      <c r="AG8487" s="7"/>
      <c r="AP8487" s="7"/>
      <c r="AY8487" s="7"/>
      <c r="BH8487" s="7"/>
      <c r="BQ8487" s="7"/>
      <c r="BZ8487" s="7"/>
    </row>
    <row r="8488" spans="2:78">
      <c r="B8488" s="7"/>
      <c r="O8488" s="7"/>
      <c r="X8488" s="7"/>
      <c r="AG8488" s="7"/>
      <c r="AP8488" s="7"/>
      <c r="AY8488" s="7"/>
      <c r="BH8488" s="7"/>
      <c r="BQ8488" s="7"/>
      <c r="BZ8488" s="7"/>
    </row>
    <row r="8489" spans="2:78">
      <c r="B8489" s="7"/>
      <c r="O8489" s="7"/>
      <c r="X8489" s="7"/>
      <c r="AG8489" s="7"/>
      <c r="AP8489" s="7"/>
      <c r="AY8489" s="7"/>
      <c r="BH8489" s="7"/>
      <c r="BQ8489" s="7"/>
      <c r="BZ8489" s="7"/>
    </row>
    <row r="8490" spans="2:78">
      <c r="B8490" s="7"/>
      <c r="O8490" s="7"/>
      <c r="X8490" s="7"/>
      <c r="AG8490" s="7"/>
      <c r="AP8490" s="7"/>
      <c r="AY8490" s="7"/>
      <c r="BH8490" s="7"/>
      <c r="BQ8490" s="7"/>
      <c r="BZ8490" s="7"/>
    </row>
    <row r="8491" spans="2:78">
      <c r="B8491" s="7"/>
      <c r="O8491" s="7"/>
      <c r="X8491" s="7"/>
      <c r="AG8491" s="7"/>
      <c r="AP8491" s="7"/>
      <c r="AY8491" s="7"/>
      <c r="BH8491" s="7"/>
      <c r="BQ8491" s="7"/>
      <c r="BZ8491" s="7"/>
    </row>
    <row r="8492" spans="2:78">
      <c r="B8492" s="7"/>
      <c r="O8492" s="7"/>
      <c r="X8492" s="7"/>
      <c r="AG8492" s="7"/>
      <c r="AP8492" s="7"/>
      <c r="AY8492" s="7"/>
      <c r="BH8492" s="7"/>
      <c r="BQ8492" s="7"/>
      <c r="BZ8492" s="7"/>
    </row>
    <row r="8493" spans="2:78">
      <c r="B8493" s="7"/>
      <c r="O8493" s="7"/>
      <c r="X8493" s="7"/>
      <c r="AG8493" s="7"/>
      <c r="AP8493" s="7"/>
      <c r="AY8493" s="7"/>
      <c r="BH8493" s="7"/>
      <c r="BQ8493" s="7"/>
      <c r="BZ8493" s="7"/>
    </row>
    <row r="8494" spans="2:78">
      <c r="B8494" s="7"/>
      <c r="O8494" s="7"/>
      <c r="X8494" s="7"/>
      <c r="AG8494" s="7"/>
      <c r="AP8494" s="7"/>
      <c r="AY8494" s="7"/>
      <c r="BH8494" s="7"/>
      <c r="BQ8494" s="7"/>
      <c r="BZ8494" s="7"/>
    </row>
    <row r="8495" spans="2:78">
      <c r="B8495" s="7"/>
      <c r="O8495" s="7"/>
      <c r="X8495" s="7"/>
      <c r="AG8495" s="7"/>
      <c r="AP8495" s="7"/>
      <c r="AY8495" s="7"/>
      <c r="BH8495" s="7"/>
      <c r="BQ8495" s="7"/>
      <c r="BZ8495" s="7"/>
    </row>
    <row r="8496" spans="2:78">
      <c r="B8496" s="7"/>
      <c r="O8496" s="7"/>
      <c r="X8496" s="7"/>
      <c r="AG8496" s="7"/>
      <c r="AP8496" s="7"/>
      <c r="AY8496" s="7"/>
      <c r="BH8496" s="7"/>
      <c r="BQ8496" s="7"/>
      <c r="BZ8496" s="7"/>
    </row>
    <row r="8497" spans="2:78">
      <c r="B8497" s="7"/>
      <c r="O8497" s="7"/>
      <c r="X8497" s="7"/>
      <c r="AG8497" s="7"/>
      <c r="AP8497" s="7"/>
      <c r="AY8497" s="7"/>
      <c r="BH8497" s="7"/>
      <c r="BQ8497" s="7"/>
      <c r="BZ8497" s="7"/>
    </row>
    <row r="8498" spans="2:78">
      <c r="B8498" s="7"/>
      <c r="O8498" s="7"/>
      <c r="X8498" s="7"/>
      <c r="AG8498" s="7"/>
      <c r="AP8498" s="7"/>
      <c r="AY8498" s="7"/>
      <c r="BH8498" s="7"/>
      <c r="BQ8498" s="7"/>
      <c r="BZ8498" s="7"/>
    </row>
    <row r="8499" spans="2:78">
      <c r="B8499" s="7"/>
      <c r="O8499" s="7"/>
      <c r="X8499" s="7"/>
      <c r="AG8499" s="7"/>
      <c r="AP8499" s="7"/>
      <c r="AY8499" s="7"/>
      <c r="BH8499" s="7"/>
      <c r="BQ8499" s="7"/>
      <c r="BZ8499" s="7"/>
    </row>
    <row r="8500" spans="2:78">
      <c r="B8500" s="7"/>
      <c r="O8500" s="7"/>
      <c r="X8500" s="7"/>
      <c r="AG8500" s="7"/>
      <c r="AP8500" s="7"/>
      <c r="AY8500" s="7"/>
      <c r="BH8500" s="7"/>
      <c r="BQ8500" s="7"/>
      <c r="BZ8500" s="7"/>
    </row>
    <row r="8501" spans="2:78">
      <c r="B8501" s="7"/>
      <c r="O8501" s="7"/>
      <c r="X8501" s="7"/>
      <c r="AG8501" s="7"/>
      <c r="AP8501" s="7"/>
      <c r="AY8501" s="7"/>
      <c r="BH8501" s="7"/>
      <c r="BQ8501" s="7"/>
      <c r="BZ8501" s="7"/>
    </row>
    <row r="8502" spans="2:78">
      <c r="B8502" s="7"/>
      <c r="O8502" s="7"/>
      <c r="X8502" s="7"/>
      <c r="AG8502" s="7"/>
      <c r="AP8502" s="7"/>
      <c r="AY8502" s="7"/>
      <c r="BH8502" s="7"/>
      <c r="BQ8502" s="7"/>
      <c r="BZ8502" s="7"/>
    </row>
    <row r="8503" spans="2:78">
      <c r="B8503" s="7"/>
      <c r="O8503" s="7"/>
      <c r="X8503" s="7"/>
      <c r="AG8503" s="7"/>
      <c r="AP8503" s="7"/>
      <c r="AY8503" s="7"/>
      <c r="BH8503" s="7"/>
      <c r="BQ8503" s="7"/>
      <c r="BZ8503" s="7"/>
    </row>
    <row r="8504" spans="2:78">
      <c r="B8504" s="7"/>
      <c r="O8504" s="7"/>
      <c r="X8504" s="7"/>
      <c r="AG8504" s="7"/>
      <c r="AP8504" s="7"/>
      <c r="AY8504" s="7"/>
      <c r="BH8504" s="7"/>
      <c r="BQ8504" s="7"/>
      <c r="BZ8504" s="7"/>
    </row>
    <row r="8505" spans="2:78">
      <c r="B8505" s="7"/>
      <c r="O8505" s="7"/>
      <c r="X8505" s="7"/>
      <c r="AG8505" s="7"/>
      <c r="AP8505" s="7"/>
      <c r="AY8505" s="7"/>
      <c r="BH8505" s="7"/>
      <c r="BQ8505" s="7"/>
      <c r="BZ8505" s="7"/>
    </row>
    <row r="8506" spans="2:78">
      <c r="B8506" s="7"/>
      <c r="O8506" s="7"/>
      <c r="X8506" s="7"/>
      <c r="AG8506" s="7"/>
      <c r="AP8506" s="7"/>
      <c r="AY8506" s="7"/>
      <c r="BH8506" s="7"/>
      <c r="BQ8506" s="7"/>
      <c r="BZ8506" s="7"/>
    </row>
    <row r="8507" spans="2:78">
      <c r="B8507" s="7"/>
      <c r="O8507" s="7"/>
      <c r="X8507" s="7"/>
      <c r="AG8507" s="7"/>
      <c r="AP8507" s="7"/>
      <c r="AY8507" s="7"/>
      <c r="BH8507" s="7"/>
      <c r="BQ8507" s="7"/>
      <c r="BZ8507" s="7"/>
    </row>
    <row r="8508" spans="2:78">
      <c r="B8508" s="7"/>
      <c r="O8508" s="7"/>
      <c r="X8508" s="7"/>
      <c r="AG8508" s="7"/>
      <c r="AP8508" s="7"/>
      <c r="AY8508" s="7"/>
      <c r="BH8508" s="7"/>
      <c r="BQ8508" s="7"/>
      <c r="BZ8508" s="7"/>
    </row>
    <row r="8509" spans="2:78">
      <c r="B8509" s="7"/>
      <c r="O8509" s="7"/>
      <c r="X8509" s="7"/>
      <c r="AG8509" s="7"/>
      <c r="AP8509" s="7"/>
      <c r="AY8509" s="7"/>
      <c r="BH8509" s="7"/>
      <c r="BQ8509" s="7"/>
      <c r="BZ8509" s="7"/>
    </row>
    <row r="8510" spans="2:78">
      <c r="B8510" s="7"/>
      <c r="O8510" s="7"/>
      <c r="X8510" s="7"/>
      <c r="AG8510" s="7"/>
      <c r="AP8510" s="7"/>
      <c r="AY8510" s="7"/>
      <c r="BH8510" s="7"/>
      <c r="BQ8510" s="7"/>
      <c r="BZ8510" s="7"/>
    </row>
    <row r="8511" spans="2:78">
      <c r="B8511" s="7"/>
      <c r="O8511" s="7"/>
      <c r="X8511" s="7"/>
      <c r="AG8511" s="7"/>
      <c r="AP8511" s="7"/>
      <c r="AY8511" s="7"/>
      <c r="BH8511" s="7"/>
      <c r="BQ8511" s="7"/>
      <c r="BZ8511" s="7"/>
    </row>
    <row r="8512" spans="2:78">
      <c r="B8512" s="7"/>
      <c r="O8512" s="7"/>
      <c r="X8512" s="7"/>
      <c r="AG8512" s="7"/>
      <c r="AP8512" s="7"/>
      <c r="AY8512" s="7"/>
      <c r="BH8512" s="7"/>
      <c r="BQ8512" s="7"/>
      <c r="BZ8512" s="7"/>
    </row>
    <row r="8513" spans="2:78">
      <c r="B8513" s="7"/>
      <c r="O8513" s="7"/>
      <c r="X8513" s="7"/>
      <c r="AG8513" s="7"/>
      <c r="AP8513" s="7"/>
      <c r="AY8513" s="7"/>
      <c r="BH8513" s="7"/>
      <c r="BQ8513" s="7"/>
      <c r="BZ8513" s="7"/>
    </row>
    <row r="8514" spans="2:78">
      <c r="B8514" s="7"/>
      <c r="O8514" s="7"/>
      <c r="X8514" s="7"/>
      <c r="AG8514" s="7"/>
      <c r="AP8514" s="7"/>
      <c r="AY8514" s="7"/>
      <c r="BH8514" s="7"/>
      <c r="BQ8514" s="7"/>
      <c r="BZ8514" s="7"/>
    </row>
    <row r="8515" spans="2:78">
      <c r="B8515" s="7"/>
      <c r="O8515" s="7"/>
      <c r="X8515" s="7"/>
      <c r="AG8515" s="7"/>
      <c r="AP8515" s="7"/>
      <c r="AY8515" s="7"/>
      <c r="BH8515" s="7"/>
      <c r="BQ8515" s="7"/>
      <c r="BZ8515" s="7"/>
    </row>
    <row r="8516" spans="2:78">
      <c r="B8516" s="7"/>
      <c r="O8516" s="7"/>
      <c r="X8516" s="7"/>
      <c r="AG8516" s="7"/>
      <c r="AP8516" s="7"/>
      <c r="AY8516" s="7"/>
      <c r="BH8516" s="7"/>
      <c r="BQ8516" s="7"/>
      <c r="BZ8516" s="7"/>
    </row>
    <row r="8517" spans="2:78">
      <c r="B8517" s="7"/>
      <c r="O8517" s="7"/>
      <c r="X8517" s="7"/>
      <c r="AG8517" s="7"/>
      <c r="AP8517" s="7"/>
      <c r="AY8517" s="7"/>
      <c r="BH8517" s="7"/>
      <c r="BQ8517" s="7"/>
      <c r="BZ8517" s="7"/>
    </row>
    <row r="8518" spans="2:78">
      <c r="B8518" s="7"/>
      <c r="O8518" s="7"/>
      <c r="X8518" s="7"/>
      <c r="AG8518" s="7"/>
      <c r="AP8518" s="7"/>
      <c r="AY8518" s="7"/>
      <c r="BH8518" s="7"/>
      <c r="BQ8518" s="7"/>
      <c r="BZ8518" s="7"/>
    </row>
    <row r="8519" spans="2:78">
      <c r="B8519" s="7"/>
      <c r="O8519" s="7"/>
      <c r="X8519" s="7"/>
      <c r="AG8519" s="7"/>
      <c r="AP8519" s="7"/>
      <c r="AY8519" s="7"/>
      <c r="BH8519" s="7"/>
      <c r="BQ8519" s="7"/>
      <c r="BZ8519" s="7"/>
    </row>
    <row r="8520" spans="2:78">
      <c r="B8520" s="7"/>
      <c r="O8520" s="7"/>
      <c r="X8520" s="7"/>
      <c r="AG8520" s="7"/>
      <c r="AP8520" s="7"/>
      <c r="AY8520" s="7"/>
      <c r="BH8520" s="7"/>
      <c r="BQ8520" s="7"/>
      <c r="BZ8520" s="7"/>
    </row>
    <row r="8521" spans="2:78">
      <c r="B8521" s="7"/>
      <c r="O8521" s="7"/>
      <c r="X8521" s="7"/>
      <c r="AG8521" s="7"/>
      <c r="AP8521" s="7"/>
      <c r="AY8521" s="7"/>
      <c r="BH8521" s="7"/>
      <c r="BQ8521" s="7"/>
      <c r="BZ8521" s="7"/>
    </row>
    <row r="8522" spans="2:78">
      <c r="B8522" s="7"/>
      <c r="O8522" s="7"/>
      <c r="X8522" s="7"/>
      <c r="AG8522" s="7"/>
      <c r="AP8522" s="7"/>
      <c r="AY8522" s="7"/>
      <c r="BH8522" s="7"/>
      <c r="BQ8522" s="7"/>
      <c r="BZ8522" s="7"/>
    </row>
    <row r="8523" spans="2:78">
      <c r="B8523" s="7"/>
      <c r="O8523" s="7"/>
      <c r="X8523" s="7"/>
      <c r="AG8523" s="7"/>
      <c r="AP8523" s="7"/>
      <c r="AY8523" s="7"/>
      <c r="BH8523" s="7"/>
      <c r="BQ8523" s="7"/>
      <c r="BZ8523" s="7"/>
    </row>
    <row r="8524" spans="2:78">
      <c r="B8524" s="7"/>
      <c r="O8524" s="7"/>
      <c r="X8524" s="7"/>
      <c r="AG8524" s="7"/>
      <c r="AP8524" s="7"/>
      <c r="AY8524" s="7"/>
      <c r="BH8524" s="7"/>
      <c r="BQ8524" s="7"/>
      <c r="BZ8524" s="7"/>
    </row>
    <row r="8525" spans="2:78">
      <c r="B8525" s="7"/>
      <c r="O8525" s="7"/>
      <c r="X8525" s="7"/>
      <c r="AG8525" s="7"/>
      <c r="AP8525" s="7"/>
      <c r="AY8525" s="7"/>
      <c r="BH8525" s="7"/>
      <c r="BQ8525" s="7"/>
      <c r="BZ8525" s="7"/>
    </row>
    <row r="8526" spans="2:78">
      <c r="B8526" s="7"/>
      <c r="O8526" s="7"/>
      <c r="X8526" s="7"/>
      <c r="AG8526" s="7"/>
      <c r="AP8526" s="7"/>
      <c r="AY8526" s="7"/>
      <c r="BH8526" s="7"/>
      <c r="BQ8526" s="7"/>
      <c r="BZ8526" s="7"/>
    </row>
    <row r="8527" spans="2:78">
      <c r="B8527" s="7"/>
      <c r="O8527" s="7"/>
      <c r="X8527" s="7"/>
      <c r="AG8527" s="7"/>
      <c r="AP8527" s="7"/>
      <c r="AY8527" s="7"/>
      <c r="BH8527" s="7"/>
      <c r="BQ8527" s="7"/>
      <c r="BZ8527" s="7"/>
    </row>
    <row r="8528" spans="2:78">
      <c r="B8528" s="7"/>
      <c r="O8528" s="7"/>
      <c r="X8528" s="7"/>
      <c r="AG8528" s="7"/>
      <c r="AP8528" s="7"/>
      <c r="AY8528" s="7"/>
      <c r="BH8528" s="7"/>
      <c r="BQ8528" s="7"/>
      <c r="BZ8528" s="7"/>
    </row>
    <row r="8529" spans="2:78">
      <c r="B8529" s="7"/>
      <c r="O8529" s="7"/>
      <c r="X8529" s="7"/>
      <c r="AG8529" s="7"/>
      <c r="AP8529" s="7"/>
      <c r="AY8529" s="7"/>
      <c r="BH8529" s="7"/>
      <c r="BQ8529" s="7"/>
      <c r="BZ8529" s="7"/>
    </row>
    <row r="8530" spans="2:78">
      <c r="B8530" s="7"/>
      <c r="O8530" s="7"/>
      <c r="X8530" s="7"/>
      <c r="AG8530" s="7"/>
      <c r="AP8530" s="7"/>
      <c r="AY8530" s="7"/>
      <c r="BH8530" s="7"/>
      <c r="BQ8530" s="7"/>
      <c r="BZ8530" s="7"/>
    </row>
    <row r="8531" spans="2:78">
      <c r="B8531" s="7"/>
      <c r="O8531" s="7"/>
      <c r="X8531" s="7"/>
      <c r="AG8531" s="7"/>
      <c r="AP8531" s="7"/>
      <c r="AY8531" s="7"/>
      <c r="BH8531" s="7"/>
      <c r="BQ8531" s="7"/>
      <c r="BZ8531" s="7"/>
    </row>
    <row r="8532" spans="2:78">
      <c r="B8532" s="7"/>
      <c r="O8532" s="7"/>
      <c r="X8532" s="7"/>
      <c r="AG8532" s="7"/>
      <c r="AP8532" s="7"/>
      <c r="AY8532" s="7"/>
      <c r="BH8532" s="7"/>
      <c r="BQ8532" s="7"/>
      <c r="BZ8532" s="7"/>
    </row>
    <row r="8533" spans="2:78">
      <c r="B8533" s="7"/>
      <c r="O8533" s="7"/>
      <c r="X8533" s="7"/>
      <c r="AG8533" s="7"/>
      <c r="AP8533" s="7"/>
      <c r="AY8533" s="7"/>
      <c r="BH8533" s="7"/>
      <c r="BQ8533" s="7"/>
      <c r="BZ8533" s="7"/>
    </row>
    <row r="8534" spans="2:78">
      <c r="B8534" s="7"/>
      <c r="O8534" s="7"/>
      <c r="X8534" s="7"/>
      <c r="AG8534" s="7"/>
      <c r="AP8534" s="7"/>
      <c r="AY8534" s="7"/>
      <c r="BH8534" s="7"/>
      <c r="BQ8534" s="7"/>
      <c r="BZ8534" s="7"/>
    </row>
    <row r="8535" spans="2:78">
      <c r="B8535" s="7"/>
      <c r="O8535" s="7"/>
      <c r="X8535" s="7"/>
      <c r="AG8535" s="7"/>
      <c r="AP8535" s="7"/>
      <c r="AY8535" s="7"/>
      <c r="BH8535" s="7"/>
      <c r="BQ8535" s="7"/>
      <c r="BZ8535" s="7"/>
    </row>
    <row r="8536" spans="2:78">
      <c r="B8536" s="7"/>
      <c r="O8536" s="7"/>
      <c r="X8536" s="7"/>
      <c r="AG8536" s="7"/>
      <c r="AP8536" s="7"/>
      <c r="AY8536" s="7"/>
      <c r="BH8536" s="7"/>
      <c r="BQ8536" s="7"/>
      <c r="BZ8536" s="7"/>
    </row>
    <row r="8537" spans="2:78">
      <c r="B8537" s="7"/>
      <c r="O8537" s="7"/>
      <c r="X8537" s="7"/>
      <c r="AG8537" s="7"/>
      <c r="AP8537" s="7"/>
      <c r="AY8537" s="7"/>
      <c r="BH8537" s="7"/>
      <c r="BQ8537" s="7"/>
      <c r="BZ8537" s="7"/>
    </row>
    <row r="8538" spans="2:78">
      <c r="B8538" s="7"/>
      <c r="O8538" s="7"/>
      <c r="X8538" s="7"/>
      <c r="AG8538" s="7"/>
      <c r="AP8538" s="7"/>
      <c r="AY8538" s="7"/>
      <c r="BH8538" s="7"/>
      <c r="BQ8538" s="7"/>
      <c r="BZ8538" s="7"/>
    </row>
    <row r="8539" spans="2:78">
      <c r="B8539" s="7"/>
      <c r="O8539" s="7"/>
      <c r="X8539" s="7"/>
      <c r="AG8539" s="7"/>
      <c r="AP8539" s="7"/>
      <c r="AY8539" s="7"/>
      <c r="BH8539" s="7"/>
      <c r="BQ8539" s="7"/>
      <c r="BZ8539" s="7"/>
    </row>
    <row r="8540" spans="2:78">
      <c r="B8540" s="7"/>
      <c r="O8540" s="7"/>
      <c r="X8540" s="7"/>
      <c r="AG8540" s="7"/>
      <c r="AP8540" s="7"/>
      <c r="AY8540" s="7"/>
      <c r="BH8540" s="7"/>
      <c r="BQ8540" s="7"/>
      <c r="BZ8540" s="7"/>
    </row>
    <row r="8541" spans="2:78">
      <c r="B8541" s="7"/>
      <c r="O8541" s="7"/>
      <c r="X8541" s="7"/>
      <c r="AG8541" s="7"/>
      <c r="AP8541" s="7"/>
      <c r="AY8541" s="7"/>
      <c r="BH8541" s="7"/>
      <c r="BQ8541" s="7"/>
      <c r="BZ8541" s="7"/>
    </row>
    <row r="8542" spans="2:78">
      <c r="B8542" s="7"/>
      <c r="O8542" s="7"/>
      <c r="X8542" s="7"/>
      <c r="AG8542" s="7"/>
      <c r="AP8542" s="7"/>
      <c r="AY8542" s="7"/>
      <c r="BH8542" s="7"/>
      <c r="BQ8542" s="7"/>
      <c r="BZ8542" s="7"/>
    </row>
    <row r="8543" spans="2:78">
      <c r="B8543" s="7"/>
      <c r="O8543" s="7"/>
      <c r="X8543" s="7"/>
      <c r="AG8543" s="7"/>
      <c r="AP8543" s="7"/>
      <c r="AY8543" s="7"/>
      <c r="BH8543" s="7"/>
      <c r="BQ8543" s="7"/>
      <c r="BZ8543" s="7"/>
    </row>
    <row r="8544" spans="2:78">
      <c r="B8544" s="7"/>
      <c r="O8544" s="7"/>
      <c r="X8544" s="7"/>
      <c r="AG8544" s="7"/>
      <c r="AP8544" s="7"/>
      <c r="AY8544" s="7"/>
      <c r="BH8544" s="7"/>
      <c r="BQ8544" s="7"/>
      <c r="BZ8544" s="7"/>
    </row>
    <row r="8545" spans="2:78">
      <c r="B8545" s="7"/>
      <c r="O8545" s="7"/>
      <c r="X8545" s="7"/>
      <c r="AG8545" s="7"/>
      <c r="AP8545" s="7"/>
      <c r="AY8545" s="7"/>
      <c r="BH8545" s="7"/>
      <c r="BQ8545" s="7"/>
      <c r="BZ8545" s="7"/>
    </row>
    <row r="8546" spans="2:78">
      <c r="B8546" s="7"/>
      <c r="O8546" s="7"/>
      <c r="X8546" s="7"/>
      <c r="AG8546" s="7"/>
      <c r="AP8546" s="7"/>
      <c r="AY8546" s="7"/>
      <c r="BH8546" s="7"/>
      <c r="BQ8546" s="7"/>
      <c r="BZ8546" s="7"/>
    </row>
    <row r="8547" spans="2:78">
      <c r="B8547" s="7"/>
      <c r="O8547" s="7"/>
      <c r="X8547" s="7"/>
      <c r="AG8547" s="7"/>
      <c r="AP8547" s="7"/>
      <c r="AY8547" s="7"/>
      <c r="BH8547" s="7"/>
      <c r="BQ8547" s="7"/>
      <c r="BZ8547" s="7"/>
    </row>
    <row r="8548" spans="2:78">
      <c r="B8548" s="7"/>
      <c r="O8548" s="7"/>
      <c r="X8548" s="7"/>
      <c r="AG8548" s="7"/>
      <c r="AP8548" s="7"/>
      <c r="AY8548" s="7"/>
      <c r="BH8548" s="7"/>
      <c r="BQ8548" s="7"/>
      <c r="BZ8548" s="7"/>
    </row>
    <row r="8549" spans="2:78">
      <c r="B8549" s="7"/>
      <c r="O8549" s="7"/>
      <c r="X8549" s="7"/>
      <c r="AG8549" s="7"/>
      <c r="AP8549" s="7"/>
      <c r="AY8549" s="7"/>
      <c r="BH8549" s="7"/>
      <c r="BQ8549" s="7"/>
      <c r="BZ8549" s="7"/>
    </row>
    <row r="8550" spans="2:78">
      <c r="B8550" s="7"/>
      <c r="O8550" s="7"/>
      <c r="X8550" s="7"/>
      <c r="AG8550" s="7"/>
      <c r="AP8550" s="7"/>
      <c r="AY8550" s="7"/>
      <c r="BH8550" s="7"/>
      <c r="BQ8550" s="7"/>
      <c r="BZ8550" s="7"/>
    </row>
    <row r="8551" spans="2:78">
      <c r="B8551" s="7"/>
      <c r="O8551" s="7"/>
      <c r="X8551" s="7"/>
      <c r="AG8551" s="7"/>
      <c r="AP8551" s="7"/>
      <c r="AY8551" s="7"/>
      <c r="BH8551" s="7"/>
      <c r="BQ8551" s="7"/>
      <c r="BZ8551" s="7"/>
    </row>
    <row r="8552" spans="2:78">
      <c r="B8552" s="7"/>
      <c r="O8552" s="7"/>
      <c r="X8552" s="7"/>
      <c r="AG8552" s="7"/>
      <c r="AP8552" s="7"/>
      <c r="AY8552" s="7"/>
      <c r="BH8552" s="7"/>
      <c r="BQ8552" s="7"/>
      <c r="BZ8552" s="7"/>
    </row>
    <row r="8553" spans="2:78">
      <c r="B8553" s="7"/>
      <c r="O8553" s="7"/>
      <c r="X8553" s="7"/>
      <c r="AG8553" s="7"/>
      <c r="AP8553" s="7"/>
      <c r="AY8553" s="7"/>
      <c r="BH8553" s="7"/>
      <c r="BQ8553" s="7"/>
      <c r="BZ8553" s="7"/>
    </row>
    <row r="8554" spans="2:78">
      <c r="B8554" s="7"/>
      <c r="O8554" s="7"/>
      <c r="X8554" s="7"/>
      <c r="AG8554" s="7"/>
      <c r="AP8554" s="7"/>
      <c r="AY8554" s="7"/>
      <c r="BH8554" s="7"/>
      <c r="BQ8554" s="7"/>
      <c r="BZ8554" s="7"/>
    </row>
    <row r="8555" spans="2:78">
      <c r="B8555" s="7"/>
      <c r="O8555" s="7"/>
      <c r="X8555" s="7"/>
      <c r="AG8555" s="7"/>
      <c r="AP8555" s="7"/>
      <c r="AY8555" s="7"/>
      <c r="BH8555" s="7"/>
      <c r="BQ8555" s="7"/>
      <c r="BZ8555" s="7"/>
    </row>
    <row r="8556" spans="2:78">
      <c r="B8556" s="7"/>
      <c r="O8556" s="7"/>
      <c r="X8556" s="7"/>
      <c r="AG8556" s="7"/>
      <c r="AP8556" s="7"/>
      <c r="AY8556" s="7"/>
      <c r="BH8556" s="7"/>
      <c r="BQ8556" s="7"/>
      <c r="BZ8556" s="7"/>
    </row>
    <row r="8557" spans="2:78">
      <c r="B8557" s="7"/>
      <c r="O8557" s="7"/>
      <c r="X8557" s="7"/>
      <c r="AG8557" s="7"/>
      <c r="AP8557" s="7"/>
      <c r="AY8557" s="7"/>
      <c r="BH8557" s="7"/>
      <c r="BQ8557" s="7"/>
      <c r="BZ8557" s="7"/>
    </row>
    <row r="8558" spans="2:78">
      <c r="B8558" s="7"/>
      <c r="O8558" s="7"/>
      <c r="X8558" s="7"/>
      <c r="AG8558" s="7"/>
      <c r="AP8558" s="7"/>
      <c r="AY8558" s="7"/>
      <c r="BH8558" s="7"/>
      <c r="BQ8558" s="7"/>
      <c r="BZ8558" s="7"/>
    </row>
    <row r="8559" spans="2:78">
      <c r="B8559" s="7"/>
      <c r="O8559" s="7"/>
      <c r="X8559" s="7"/>
      <c r="AG8559" s="7"/>
      <c r="AP8559" s="7"/>
      <c r="AY8559" s="7"/>
      <c r="BH8559" s="7"/>
      <c r="BQ8559" s="7"/>
      <c r="BZ8559" s="7"/>
    </row>
    <row r="8560" spans="2:78">
      <c r="B8560" s="7"/>
      <c r="O8560" s="7"/>
      <c r="X8560" s="7"/>
      <c r="AG8560" s="7"/>
      <c r="AP8560" s="7"/>
      <c r="AY8560" s="7"/>
      <c r="BH8560" s="7"/>
      <c r="BQ8560" s="7"/>
      <c r="BZ8560" s="7"/>
    </row>
    <row r="8561" spans="2:78">
      <c r="B8561" s="7"/>
      <c r="O8561" s="7"/>
      <c r="X8561" s="7"/>
      <c r="AG8561" s="7"/>
      <c r="AP8561" s="7"/>
      <c r="AY8561" s="7"/>
      <c r="BH8561" s="7"/>
      <c r="BQ8561" s="7"/>
      <c r="BZ8561" s="7"/>
    </row>
    <row r="8562" spans="2:78">
      <c r="B8562" s="7"/>
      <c r="O8562" s="7"/>
      <c r="X8562" s="7"/>
      <c r="AG8562" s="7"/>
      <c r="AP8562" s="7"/>
      <c r="AY8562" s="7"/>
      <c r="BH8562" s="7"/>
      <c r="BQ8562" s="7"/>
      <c r="BZ8562" s="7"/>
    </row>
    <row r="8563" spans="2:78">
      <c r="B8563" s="7"/>
      <c r="O8563" s="7"/>
      <c r="X8563" s="7"/>
      <c r="AG8563" s="7"/>
      <c r="AP8563" s="7"/>
      <c r="AY8563" s="7"/>
      <c r="BH8563" s="7"/>
      <c r="BQ8563" s="7"/>
      <c r="BZ8563" s="7"/>
    </row>
    <row r="8564" spans="2:78">
      <c r="B8564" s="7"/>
      <c r="O8564" s="7"/>
      <c r="X8564" s="7"/>
      <c r="AG8564" s="7"/>
      <c r="AP8564" s="7"/>
      <c r="AY8564" s="7"/>
      <c r="BH8564" s="7"/>
      <c r="BQ8564" s="7"/>
      <c r="BZ8564" s="7"/>
    </row>
    <row r="8565" spans="2:78">
      <c r="B8565" s="7"/>
      <c r="O8565" s="7"/>
      <c r="X8565" s="7"/>
      <c r="AG8565" s="7"/>
      <c r="AP8565" s="7"/>
      <c r="AY8565" s="7"/>
      <c r="BH8565" s="7"/>
      <c r="BQ8565" s="7"/>
      <c r="BZ8565" s="7"/>
    </row>
    <row r="8566" spans="2:78">
      <c r="B8566" s="7"/>
      <c r="O8566" s="7"/>
      <c r="X8566" s="7"/>
      <c r="AG8566" s="7"/>
      <c r="AP8566" s="7"/>
      <c r="AY8566" s="7"/>
      <c r="BH8566" s="7"/>
      <c r="BQ8566" s="7"/>
      <c r="BZ8566" s="7"/>
    </row>
    <row r="8567" spans="2:78">
      <c r="B8567" s="7"/>
      <c r="O8567" s="7"/>
      <c r="X8567" s="7"/>
      <c r="AG8567" s="7"/>
      <c r="AP8567" s="7"/>
      <c r="AY8567" s="7"/>
      <c r="BH8567" s="7"/>
      <c r="BQ8567" s="7"/>
      <c r="BZ8567" s="7"/>
    </row>
    <row r="8568" spans="2:78">
      <c r="B8568" s="7"/>
      <c r="O8568" s="7"/>
      <c r="X8568" s="7"/>
      <c r="AG8568" s="7"/>
      <c r="AP8568" s="7"/>
      <c r="AY8568" s="7"/>
      <c r="BH8568" s="7"/>
      <c r="BQ8568" s="7"/>
      <c r="BZ8568" s="7"/>
    </row>
    <row r="8569" spans="2:78">
      <c r="B8569" s="7"/>
      <c r="O8569" s="7"/>
      <c r="X8569" s="7"/>
      <c r="AG8569" s="7"/>
      <c r="AP8569" s="7"/>
      <c r="AY8569" s="7"/>
      <c r="BH8569" s="7"/>
      <c r="BQ8569" s="7"/>
      <c r="BZ8569" s="7"/>
    </row>
    <row r="8570" spans="2:78">
      <c r="B8570" s="7"/>
      <c r="O8570" s="7"/>
      <c r="X8570" s="7"/>
      <c r="AG8570" s="7"/>
      <c r="AP8570" s="7"/>
      <c r="AY8570" s="7"/>
      <c r="BH8570" s="7"/>
      <c r="BQ8570" s="7"/>
      <c r="BZ8570" s="7"/>
    </row>
    <row r="8571" spans="2:78">
      <c r="B8571" s="7"/>
      <c r="O8571" s="7"/>
      <c r="X8571" s="7"/>
      <c r="AG8571" s="7"/>
      <c r="AP8571" s="7"/>
      <c r="AY8571" s="7"/>
      <c r="BH8571" s="7"/>
      <c r="BQ8571" s="7"/>
      <c r="BZ8571" s="7"/>
    </row>
    <row r="8572" spans="2:78">
      <c r="B8572" s="7"/>
      <c r="O8572" s="7"/>
      <c r="X8572" s="7"/>
      <c r="AG8572" s="7"/>
      <c r="AP8572" s="7"/>
      <c r="AY8572" s="7"/>
      <c r="BH8572" s="7"/>
      <c r="BQ8572" s="7"/>
      <c r="BZ8572" s="7"/>
    </row>
    <row r="8573" spans="2:78">
      <c r="B8573" s="7"/>
      <c r="O8573" s="7"/>
      <c r="X8573" s="7"/>
      <c r="AG8573" s="7"/>
      <c r="AP8573" s="7"/>
      <c r="AY8573" s="7"/>
      <c r="BH8573" s="7"/>
      <c r="BQ8573" s="7"/>
      <c r="BZ8573" s="7"/>
    </row>
    <row r="8574" spans="2:78">
      <c r="B8574" s="7"/>
      <c r="O8574" s="7"/>
      <c r="X8574" s="7"/>
      <c r="AG8574" s="7"/>
      <c r="AP8574" s="7"/>
      <c r="AY8574" s="7"/>
      <c r="BH8574" s="7"/>
      <c r="BQ8574" s="7"/>
      <c r="BZ8574" s="7"/>
    </row>
    <row r="8575" spans="2:78">
      <c r="B8575" s="7"/>
      <c r="O8575" s="7"/>
      <c r="X8575" s="7"/>
      <c r="AG8575" s="7"/>
      <c r="AP8575" s="7"/>
      <c r="AY8575" s="7"/>
      <c r="BH8575" s="7"/>
      <c r="BQ8575" s="7"/>
      <c r="BZ8575" s="7"/>
    </row>
    <row r="8576" spans="2:78">
      <c r="B8576" s="7"/>
      <c r="O8576" s="7"/>
      <c r="X8576" s="7"/>
      <c r="AG8576" s="7"/>
      <c r="AP8576" s="7"/>
      <c r="AY8576" s="7"/>
      <c r="BH8576" s="7"/>
      <c r="BQ8576" s="7"/>
      <c r="BZ8576" s="7"/>
    </row>
    <row r="8577" spans="2:78">
      <c r="B8577" s="7"/>
      <c r="O8577" s="7"/>
      <c r="X8577" s="7"/>
      <c r="AG8577" s="7"/>
      <c r="AP8577" s="7"/>
      <c r="AY8577" s="7"/>
      <c r="BH8577" s="7"/>
      <c r="BQ8577" s="7"/>
      <c r="BZ8577" s="7"/>
    </row>
    <row r="8578" spans="2:78">
      <c r="B8578" s="7"/>
      <c r="O8578" s="7"/>
      <c r="X8578" s="7"/>
      <c r="AG8578" s="7"/>
      <c r="AP8578" s="7"/>
      <c r="AY8578" s="7"/>
      <c r="BH8578" s="7"/>
      <c r="BQ8578" s="7"/>
      <c r="BZ8578" s="7"/>
    </row>
    <row r="8579" spans="2:78">
      <c r="B8579" s="7"/>
      <c r="O8579" s="7"/>
      <c r="X8579" s="7"/>
      <c r="AG8579" s="7"/>
      <c r="AP8579" s="7"/>
      <c r="AY8579" s="7"/>
      <c r="BH8579" s="7"/>
      <c r="BQ8579" s="7"/>
      <c r="BZ8579" s="7"/>
    </row>
    <row r="8580" spans="2:78">
      <c r="B8580" s="7"/>
      <c r="O8580" s="7"/>
      <c r="X8580" s="7"/>
      <c r="AG8580" s="7"/>
      <c r="AP8580" s="7"/>
      <c r="AY8580" s="7"/>
      <c r="BH8580" s="7"/>
      <c r="BQ8580" s="7"/>
      <c r="BZ8580" s="7"/>
    </row>
    <row r="8581" spans="2:78">
      <c r="B8581" s="7"/>
      <c r="O8581" s="7"/>
      <c r="X8581" s="7"/>
      <c r="AG8581" s="7"/>
      <c r="AP8581" s="7"/>
      <c r="AY8581" s="7"/>
      <c r="BH8581" s="7"/>
      <c r="BQ8581" s="7"/>
      <c r="BZ8581" s="7"/>
    </row>
    <row r="8582" spans="2:78">
      <c r="B8582" s="7"/>
      <c r="O8582" s="7"/>
      <c r="X8582" s="7"/>
      <c r="AG8582" s="7"/>
      <c r="AP8582" s="7"/>
      <c r="AY8582" s="7"/>
      <c r="BH8582" s="7"/>
      <c r="BQ8582" s="7"/>
      <c r="BZ8582" s="7"/>
    </row>
    <row r="8583" spans="2:78">
      <c r="B8583" s="7"/>
      <c r="O8583" s="7"/>
      <c r="X8583" s="7"/>
      <c r="AG8583" s="7"/>
      <c r="AP8583" s="7"/>
      <c r="AY8583" s="7"/>
      <c r="BH8583" s="7"/>
      <c r="BQ8583" s="7"/>
      <c r="BZ8583" s="7"/>
    </row>
    <row r="8584" spans="2:78">
      <c r="B8584" s="7"/>
      <c r="O8584" s="7"/>
      <c r="X8584" s="7"/>
      <c r="AG8584" s="7"/>
      <c r="AP8584" s="7"/>
      <c r="AY8584" s="7"/>
      <c r="BH8584" s="7"/>
      <c r="BQ8584" s="7"/>
      <c r="BZ8584" s="7"/>
    </row>
    <row r="8585" spans="2:78">
      <c r="B8585" s="7"/>
      <c r="O8585" s="7"/>
      <c r="X8585" s="7"/>
      <c r="AG8585" s="7"/>
      <c r="AP8585" s="7"/>
      <c r="AY8585" s="7"/>
      <c r="BH8585" s="7"/>
      <c r="BQ8585" s="7"/>
      <c r="BZ8585" s="7"/>
    </row>
    <row r="8586" spans="2:78">
      <c r="B8586" s="7"/>
      <c r="O8586" s="7"/>
      <c r="X8586" s="7"/>
      <c r="AG8586" s="7"/>
      <c r="AP8586" s="7"/>
      <c r="AY8586" s="7"/>
      <c r="BH8586" s="7"/>
      <c r="BQ8586" s="7"/>
      <c r="BZ8586" s="7"/>
    </row>
    <row r="8587" spans="2:78">
      <c r="B8587" s="7"/>
      <c r="O8587" s="7"/>
      <c r="X8587" s="7"/>
      <c r="AG8587" s="7"/>
      <c r="AP8587" s="7"/>
      <c r="AY8587" s="7"/>
      <c r="BH8587" s="7"/>
      <c r="BQ8587" s="7"/>
      <c r="BZ8587" s="7"/>
    </row>
    <row r="8588" spans="2:78">
      <c r="B8588" s="7"/>
      <c r="O8588" s="7"/>
      <c r="X8588" s="7"/>
      <c r="AG8588" s="7"/>
      <c r="AP8588" s="7"/>
      <c r="AY8588" s="7"/>
      <c r="BH8588" s="7"/>
      <c r="BQ8588" s="7"/>
      <c r="BZ8588" s="7"/>
    </row>
    <row r="8589" spans="2:78">
      <c r="B8589" s="7"/>
      <c r="O8589" s="7"/>
      <c r="X8589" s="7"/>
      <c r="AG8589" s="7"/>
      <c r="AP8589" s="7"/>
      <c r="AY8589" s="7"/>
      <c r="BH8589" s="7"/>
      <c r="BQ8589" s="7"/>
      <c r="BZ8589" s="7"/>
    </row>
    <row r="8590" spans="2:78">
      <c r="B8590" s="7"/>
      <c r="O8590" s="7"/>
      <c r="X8590" s="7"/>
      <c r="AG8590" s="7"/>
      <c r="AP8590" s="7"/>
      <c r="AY8590" s="7"/>
      <c r="BH8590" s="7"/>
      <c r="BQ8590" s="7"/>
      <c r="BZ8590" s="7"/>
    </row>
    <row r="8591" spans="2:78">
      <c r="B8591" s="7"/>
      <c r="O8591" s="7"/>
      <c r="X8591" s="7"/>
      <c r="AG8591" s="7"/>
      <c r="AP8591" s="7"/>
      <c r="AY8591" s="7"/>
      <c r="BH8591" s="7"/>
      <c r="BQ8591" s="7"/>
      <c r="BZ8591" s="7"/>
    </row>
    <row r="8592" spans="2:78">
      <c r="B8592" s="7"/>
      <c r="O8592" s="7"/>
      <c r="X8592" s="7"/>
      <c r="AG8592" s="7"/>
      <c r="AP8592" s="7"/>
      <c r="AY8592" s="7"/>
      <c r="BH8592" s="7"/>
      <c r="BQ8592" s="7"/>
      <c r="BZ8592" s="7"/>
    </row>
    <row r="8593" spans="2:78">
      <c r="B8593" s="7"/>
      <c r="O8593" s="7"/>
      <c r="X8593" s="7"/>
      <c r="AG8593" s="7"/>
      <c r="AP8593" s="7"/>
      <c r="AY8593" s="7"/>
      <c r="BH8593" s="7"/>
      <c r="BQ8593" s="7"/>
      <c r="BZ8593" s="7"/>
    </row>
    <row r="8594" spans="2:78">
      <c r="B8594" s="7"/>
      <c r="O8594" s="7"/>
      <c r="X8594" s="7"/>
      <c r="AG8594" s="7"/>
      <c r="AP8594" s="7"/>
      <c r="AY8594" s="7"/>
      <c r="BH8594" s="7"/>
      <c r="BQ8594" s="7"/>
      <c r="BZ8594" s="7"/>
    </row>
    <row r="8595" spans="2:78">
      <c r="B8595" s="7"/>
      <c r="O8595" s="7"/>
      <c r="X8595" s="7"/>
      <c r="AG8595" s="7"/>
      <c r="AP8595" s="7"/>
      <c r="AY8595" s="7"/>
      <c r="BH8595" s="7"/>
      <c r="BQ8595" s="7"/>
      <c r="BZ8595" s="7"/>
    </row>
    <row r="8596" spans="2:78">
      <c r="B8596" s="7"/>
      <c r="O8596" s="7"/>
      <c r="X8596" s="7"/>
      <c r="AG8596" s="7"/>
      <c r="AP8596" s="7"/>
      <c r="AY8596" s="7"/>
      <c r="BH8596" s="7"/>
      <c r="BQ8596" s="7"/>
      <c r="BZ8596" s="7"/>
    </row>
    <row r="8597" spans="2:78">
      <c r="B8597" s="7"/>
      <c r="O8597" s="7"/>
      <c r="X8597" s="7"/>
      <c r="AG8597" s="7"/>
      <c r="AP8597" s="7"/>
      <c r="AY8597" s="7"/>
      <c r="BH8597" s="7"/>
      <c r="BQ8597" s="7"/>
      <c r="BZ8597" s="7"/>
    </row>
    <row r="8598" spans="2:78">
      <c r="B8598" s="7"/>
      <c r="O8598" s="7"/>
      <c r="X8598" s="7"/>
      <c r="AG8598" s="7"/>
      <c r="AP8598" s="7"/>
      <c r="AY8598" s="7"/>
      <c r="BH8598" s="7"/>
      <c r="BQ8598" s="7"/>
      <c r="BZ8598" s="7"/>
    </row>
    <row r="8599" spans="2:78">
      <c r="B8599" s="7"/>
      <c r="O8599" s="7"/>
      <c r="X8599" s="7"/>
      <c r="AG8599" s="7"/>
      <c r="AP8599" s="7"/>
      <c r="AY8599" s="7"/>
      <c r="BH8599" s="7"/>
      <c r="BQ8599" s="7"/>
      <c r="BZ8599" s="7"/>
    </row>
    <row r="8600" spans="2:78">
      <c r="B8600" s="7"/>
      <c r="O8600" s="7"/>
      <c r="X8600" s="7"/>
      <c r="AG8600" s="7"/>
      <c r="AP8600" s="7"/>
      <c r="AY8600" s="7"/>
      <c r="BH8600" s="7"/>
      <c r="BQ8600" s="7"/>
      <c r="BZ8600" s="7"/>
    </row>
    <row r="8601" spans="2:78">
      <c r="B8601" s="7"/>
      <c r="O8601" s="7"/>
      <c r="X8601" s="7"/>
      <c r="AG8601" s="7"/>
      <c r="AP8601" s="7"/>
      <c r="AY8601" s="7"/>
      <c r="BH8601" s="7"/>
      <c r="BQ8601" s="7"/>
      <c r="BZ8601" s="7"/>
    </row>
    <row r="8602" spans="2:78">
      <c r="B8602" s="7"/>
      <c r="O8602" s="7"/>
      <c r="X8602" s="7"/>
      <c r="AG8602" s="7"/>
      <c r="AP8602" s="7"/>
      <c r="AY8602" s="7"/>
      <c r="BH8602" s="7"/>
      <c r="BQ8602" s="7"/>
      <c r="BZ8602" s="7"/>
    </row>
    <row r="8603" spans="2:78">
      <c r="B8603" s="7"/>
      <c r="O8603" s="7"/>
      <c r="X8603" s="7"/>
      <c r="AG8603" s="7"/>
      <c r="AP8603" s="7"/>
      <c r="AY8603" s="7"/>
      <c r="BH8603" s="7"/>
      <c r="BQ8603" s="7"/>
      <c r="BZ8603" s="7"/>
    </row>
    <row r="8604" spans="2:78">
      <c r="B8604" s="7"/>
      <c r="O8604" s="7"/>
      <c r="X8604" s="7"/>
      <c r="AG8604" s="7"/>
      <c r="AP8604" s="7"/>
      <c r="AY8604" s="7"/>
      <c r="BH8604" s="7"/>
      <c r="BQ8604" s="7"/>
      <c r="BZ8604" s="7"/>
    </row>
    <row r="8605" spans="2:78">
      <c r="B8605" s="7"/>
      <c r="O8605" s="7"/>
      <c r="X8605" s="7"/>
      <c r="AG8605" s="7"/>
      <c r="AP8605" s="7"/>
      <c r="AY8605" s="7"/>
      <c r="BH8605" s="7"/>
      <c r="BQ8605" s="7"/>
      <c r="BZ8605" s="7"/>
    </row>
    <row r="8606" spans="2:78">
      <c r="B8606" s="7"/>
      <c r="O8606" s="7"/>
      <c r="X8606" s="7"/>
      <c r="AG8606" s="7"/>
      <c r="AP8606" s="7"/>
      <c r="AY8606" s="7"/>
      <c r="BH8606" s="7"/>
      <c r="BQ8606" s="7"/>
      <c r="BZ8606" s="7"/>
    </row>
    <row r="8607" spans="2:78">
      <c r="B8607" s="7"/>
      <c r="O8607" s="7"/>
      <c r="X8607" s="7"/>
      <c r="AG8607" s="7"/>
      <c r="AP8607" s="7"/>
      <c r="AY8607" s="7"/>
      <c r="BH8607" s="7"/>
      <c r="BQ8607" s="7"/>
      <c r="BZ8607" s="7"/>
    </row>
    <row r="8608" spans="2:78">
      <c r="B8608" s="7"/>
      <c r="O8608" s="7"/>
      <c r="X8608" s="7"/>
      <c r="AG8608" s="7"/>
      <c r="AP8608" s="7"/>
      <c r="AY8608" s="7"/>
      <c r="BH8608" s="7"/>
      <c r="BQ8608" s="7"/>
      <c r="BZ8608" s="7"/>
    </row>
    <row r="8609" spans="2:78">
      <c r="B8609" s="7"/>
      <c r="O8609" s="7"/>
      <c r="X8609" s="7"/>
      <c r="AG8609" s="7"/>
      <c r="AP8609" s="7"/>
      <c r="AY8609" s="7"/>
      <c r="BH8609" s="7"/>
      <c r="BQ8609" s="7"/>
      <c r="BZ8609" s="7"/>
    </row>
    <row r="8610" spans="2:78">
      <c r="B8610" s="7"/>
      <c r="O8610" s="7"/>
      <c r="X8610" s="7"/>
      <c r="AG8610" s="7"/>
      <c r="AP8610" s="7"/>
      <c r="AY8610" s="7"/>
      <c r="BH8610" s="7"/>
      <c r="BQ8610" s="7"/>
      <c r="BZ8610" s="7"/>
    </row>
    <row r="8611" spans="2:78">
      <c r="B8611" s="7"/>
      <c r="O8611" s="7"/>
      <c r="X8611" s="7"/>
      <c r="AG8611" s="7"/>
      <c r="AP8611" s="7"/>
      <c r="AY8611" s="7"/>
      <c r="BH8611" s="7"/>
      <c r="BQ8611" s="7"/>
      <c r="BZ8611" s="7"/>
    </row>
    <row r="8612" spans="2:78">
      <c r="B8612" s="7"/>
      <c r="O8612" s="7"/>
      <c r="X8612" s="7"/>
      <c r="AG8612" s="7"/>
      <c r="AP8612" s="7"/>
      <c r="AY8612" s="7"/>
      <c r="BH8612" s="7"/>
      <c r="BQ8612" s="7"/>
      <c r="BZ8612" s="7"/>
    </row>
    <row r="8613" spans="2:78">
      <c r="B8613" s="7"/>
      <c r="O8613" s="7"/>
      <c r="X8613" s="7"/>
      <c r="AG8613" s="7"/>
      <c r="AP8613" s="7"/>
      <c r="AY8613" s="7"/>
      <c r="BH8613" s="7"/>
      <c r="BQ8613" s="7"/>
      <c r="BZ8613" s="7"/>
    </row>
    <row r="8614" spans="2:78">
      <c r="B8614" s="7"/>
      <c r="O8614" s="7"/>
      <c r="X8614" s="7"/>
      <c r="AG8614" s="7"/>
      <c r="AP8614" s="7"/>
      <c r="AY8614" s="7"/>
      <c r="BH8614" s="7"/>
      <c r="BQ8614" s="7"/>
      <c r="BZ8614" s="7"/>
    </row>
    <row r="8615" spans="2:78">
      <c r="B8615" s="7"/>
      <c r="O8615" s="7"/>
      <c r="X8615" s="7"/>
      <c r="AG8615" s="7"/>
      <c r="AP8615" s="7"/>
      <c r="AY8615" s="7"/>
      <c r="BH8615" s="7"/>
      <c r="BQ8615" s="7"/>
      <c r="BZ8615" s="7"/>
    </row>
    <row r="8616" spans="2:78">
      <c r="B8616" s="7"/>
      <c r="O8616" s="7"/>
      <c r="X8616" s="7"/>
      <c r="AG8616" s="7"/>
      <c r="AP8616" s="7"/>
      <c r="AY8616" s="7"/>
      <c r="BH8616" s="7"/>
      <c r="BQ8616" s="7"/>
      <c r="BZ8616" s="7"/>
    </row>
    <row r="8617" spans="2:78">
      <c r="B8617" s="7"/>
      <c r="O8617" s="7"/>
      <c r="X8617" s="7"/>
      <c r="AG8617" s="7"/>
      <c r="AP8617" s="7"/>
      <c r="AY8617" s="7"/>
      <c r="BH8617" s="7"/>
      <c r="BQ8617" s="7"/>
      <c r="BZ8617" s="7"/>
    </row>
    <row r="8618" spans="2:78">
      <c r="B8618" s="7"/>
      <c r="O8618" s="7"/>
      <c r="X8618" s="7"/>
      <c r="AG8618" s="7"/>
      <c r="AP8618" s="7"/>
      <c r="AY8618" s="7"/>
      <c r="BH8618" s="7"/>
      <c r="BQ8618" s="7"/>
      <c r="BZ8618" s="7"/>
    </row>
    <row r="8619" spans="2:78">
      <c r="B8619" s="7"/>
      <c r="O8619" s="7"/>
      <c r="X8619" s="7"/>
      <c r="AG8619" s="7"/>
      <c r="AP8619" s="7"/>
      <c r="AY8619" s="7"/>
      <c r="BH8619" s="7"/>
      <c r="BQ8619" s="7"/>
      <c r="BZ8619" s="7"/>
    </row>
    <row r="8620" spans="2:78">
      <c r="B8620" s="7"/>
      <c r="O8620" s="7"/>
      <c r="X8620" s="7"/>
      <c r="AG8620" s="7"/>
      <c r="AP8620" s="7"/>
      <c r="AY8620" s="7"/>
      <c r="BH8620" s="7"/>
      <c r="BQ8620" s="7"/>
      <c r="BZ8620" s="7"/>
    </row>
    <row r="8621" spans="2:78">
      <c r="B8621" s="7"/>
      <c r="O8621" s="7"/>
      <c r="X8621" s="7"/>
      <c r="AG8621" s="7"/>
      <c r="AP8621" s="7"/>
      <c r="AY8621" s="7"/>
      <c r="BH8621" s="7"/>
      <c r="BQ8621" s="7"/>
      <c r="BZ8621" s="7"/>
    </row>
    <row r="8622" spans="2:78">
      <c r="B8622" s="7"/>
      <c r="O8622" s="7"/>
      <c r="X8622" s="7"/>
      <c r="AG8622" s="7"/>
      <c r="AP8622" s="7"/>
      <c r="AY8622" s="7"/>
      <c r="BH8622" s="7"/>
      <c r="BQ8622" s="7"/>
      <c r="BZ8622" s="7"/>
    </row>
    <row r="8623" spans="2:78">
      <c r="B8623" s="7"/>
      <c r="O8623" s="7"/>
      <c r="X8623" s="7"/>
      <c r="AG8623" s="7"/>
      <c r="AP8623" s="7"/>
      <c r="AY8623" s="7"/>
      <c r="BH8623" s="7"/>
      <c r="BQ8623" s="7"/>
      <c r="BZ8623" s="7"/>
    </row>
    <row r="8624" spans="2:78">
      <c r="B8624" s="7"/>
      <c r="O8624" s="7"/>
      <c r="X8624" s="7"/>
      <c r="AG8624" s="7"/>
      <c r="AP8624" s="7"/>
      <c r="AY8624" s="7"/>
      <c r="BH8624" s="7"/>
      <c r="BQ8624" s="7"/>
      <c r="BZ8624" s="7"/>
    </row>
    <row r="8625" spans="2:78">
      <c r="B8625" s="7"/>
      <c r="O8625" s="7"/>
      <c r="X8625" s="7"/>
      <c r="AG8625" s="7"/>
      <c r="AP8625" s="7"/>
      <c r="AY8625" s="7"/>
      <c r="BH8625" s="7"/>
      <c r="BQ8625" s="7"/>
      <c r="BZ8625" s="7"/>
    </row>
    <row r="8626" spans="2:78">
      <c r="B8626" s="7"/>
      <c r="O8626" s="7"/>
      <c r="X8626" s="7"/>
      <c r="AG8626" s="7"/>
      <c r="AP8626" s="7"/>
      <c r="AY8626" s="7"/>
      <c r="BH8626" s="7"/>
      <c r="BQ8626" s="7"/>
      <c r="BZ8626" s="7"/>
    </row>
    <row r="8627" spans="2:78">
      <c r="B8627" s="7"/>
      <c r="O8627" s="7"/>
      <c r="X8627" s="7"/>
      <c r="AG8627" s="7"/>
      <c r="AP8627" s="7"/>
      <c r="AY8627" s="7"/>
      <c r="BH8627" s="7"/>
      <c r="BQ8627" s="7"/>
      <c r="BZ8627" s="7"/>
    </row>
    <row r="8628" spans="2:78">
      <c r="B8628" s="7"/>
      <c r="O8628" s="7"/>
      <c r="X8628" s="7"/>
      <c r="AG8628" s="7"/>
      <c r="AP8628" s="7"/>
      <c r="AY8628" s="7"/>
      <c r="BH8628" s="7"/>
      <c r="BQ8628" s="7"/>
      <c r="BZ8628" s="7"/>
    </row>
    <row r="8629" spans="2:78">
      <c r="B8629" s="7"/>
      <c r="O8629" s="7"/>
      <c r="X8629" s="7"/>
      <c r="AG8629" s="7"/>
      <c r="AP8629" s="7"/>
      <c r="AY8629" s="7"/>
      <c r="BH8629" s="7"/>
      <c r="BQ8629" s="7"/>
      <c r="BZ8629" s="7"/>
    </row>
    <row r="8630" spans="2:78">
      <c r="B8630" s="7"/>
      <c r="O8630" s="7"/>
      <c r="X8630" s="7"/>
      <c r="AG8630" s="7"/>
      <c r="AP8630" s="7"/>
      <c r="AY8630" s="7"/>
      <c r="BH8630" s="7"/>
      <c r="BQ8630" s="7"/>
      <c r="BZ8630" s="7"/>
    </row>
    <row r="8631" spans="2:78">
      <c r="B8631" s="7"/>
      <c r="O8631" s="7"/>
      <c r="X8631" s="7"/>
      <c r="AG8631" s="7"/>
      <c r="AP8631" s="7"/>
      <c r="AY8631" s="7"/>
      <c r="BH8631" s="7"/>
      <c r="BQ8631" s="7"/>
      <c r="BZ8631" s="7"/>
    </row>
    <row r="8632" spans="2:78">
      <c r="B8632" s="7"/>
      <c r="O8632" s="7"/>
      <c r="X8632" s="7"/>
      <c r="AG8632" s="7"/>
      <c r="AP8632" s="7"/>
      <c r="AY8632" s="7"/>
      <c r="BH8632" s="7"/>
      <c r="BQ8632" s="7"/>
      <c r="BZ8632" s="7"/>
    </row>
    <row r="8633" spans="2:78">
      <c r="B8633" s="7"/>
      <c r="O8633" s="7"/>
      <c r="X8633" s="7"/>
      <c r="AG8633" s="7"/>
      <c r="AP8633" s="7"/>
      <c r="AY8633" s="7"/>
      <c r="BH8633" s="7"/>
      <c r="BQ8633" s="7"/>
      <c r="BZ8633" s="7"/>
    </row>
    <row r="8634" spans="2:78">
      <c r="B8634" s="7"/>
      <c r="O8634" s="7"/>
      <c r="X8634" s="7"/>
      <c r="AG8634" s="7"/>
      <c r="AP8634" s="7"/>
      <c r="AY8634" s="7"/>
      <c r="BH8634" s="7"/>
      <c r="BQ8634" s="7"/>
      <c r="BZ8634" s="7"/>
    </row>
    <row r="8635" spans="2:78">
      <c r="B8635" s="7"/>
      <c r="O8635" s="7"/>
      <c r="X8635" s="7"/>
      <c r="AG8635" s="7"/>
      <c r="AP8635" s="7"/>
      <c r="AY8635" s="7"/>
      <c r="BH8635" s="7"/>
      <c r="BQ8635" s="7"/>
      <c r="BZ8635" s="7"/>
    </row>
    <row r="8636" spans="2:78">
      <c r="B8636" s="7"/>
      <c r="O8636" s="7"/>
      <c r="X8636" s="7"/>
      <c r="AG8636" s="7"/>
      <c r="AP8636" s="7"/>
      <c r="AY8636" s="7"/>
      <c r="BH8636" s="7"/>
      <c r="BQ8636" s="7"/>
      <c r="BZ8636" s="7"/>
    </row>
    <row r="8637" spans="2:78">
      <c r="B8637" s="7"/>
      <c r="O8637" s="7"/>
      <c r="X8637" s="7"/>
      <c r="AG8637" s="7"/>
      <c r="AP8637" s="7"/>
      <c r="AY8637" s="7"/>
      <c r="BH8637" s="7"/>
      <c r="BQ8637" s="7"/>
      <c r="BZ8637" s="7"/>
    </row>
    <row r="8638" spans="2:78">
      <c r="B8638" s="7"/>
      <c r="O8638" s="7"/>
      <c r="X8638" s="7"/>
      <c r="AG8638" s="7"/>
      <c r="AP8638" s="7"/>
      <c r="AY8638" s="7"/>
      <c r="BH8638" s="7"/>
      <c r="BQ8638" s="7"/>
      <c r="BZ8638" s="7"/>
    </row>
    <row r="8639" spans="2:78">
      <c r="B8639" s="7"/>
      <c r="O8639" s="7"/>
      <c r="X8639" s="7"/>
      <c r="AG8639" s="7"/>
      <c r="AP8639" s="7"/>
      <c r="AY8639" s="7"/>
      <c r="BH8639" s="7"/>
      <c r="BQ8639" s="7"/>
      <c r="BZ8639" s="7"/>
    </row>
    <row r="8640" spans="2:78">
      <c r="B8640" s="7"/>
      <c r="O8640" s="7"/>
      <c r="X8640" s="7"/>
      <c r="AG8640" s="7"/>
      <c r="AP8640" s="7"/>
      <c r="AY8640" s="7"/>
      <c r="BH8640" s="7"/>
      <c r="BQ8640" s="7"/>
      <c r="BZ8640" s="7"/>
    </row>
    <row r="8641" spans="2:78">
      <c r="B8641" s="7"/>
      <c r="O8641" s="7"/>
      <c r="X8641" s="7"/>
      <c r="AG8641" s="7"/>
      <c r="AP8641" s="7"/>
      <c r="AY8641" s="7"/>
      <c r="BH8641" s="7"/>
      <c r="BQ8641" s="7"/>
      <c r="BZ8641" s="7"/>
    </row>
    <row r="8642" spans="2:78">
      <c r="B8642" s="7"/>
      <c r="O8642" s="7"/>
      <c r="X8642" s="7"/>
      <c r="AG8642" s="7"/>
      <c r="AP8642" s="7"/>
      <c r="AY8642" s="7"/>
      <c r="BH8642" s="7"/>
      <c r="BQ8642" s="7"/>
      <c r="BZ8642" s="7"/>
    </row>
    <row r="8643" spans="2:78">
      <c r="B8643" s="7"/>
      <c r="O8643" s="7"/>
      <c r="X8643" s="7"/>
      <c r="AG8643" s="7"/>
      <c r="AP8643" s="7"/>
      <c r="AY8643" s="7"/>
      <c r="BH8643" s="7"/>
      <c r="BQ8643" s="7"/>
      <c r="BZ8643" s="7"/>
    </row>
    <row r="8644" spans="2:78">
      <c r="B8644" s="7"/>
      <c r="O8644" s="7"/>
      <c r="X8644" s="7"/>
      <c r="AG8644" s="7"/>
      <c r="AP8644" s="7"/>
      <c r="AY8644" s="7"/>
      <c r="BH8644" s="7"/>
      <c r="BQ8644" s="7"/>
      <c r="BZ8644" s="7"/>
    </row>
    <row r="8645" spans="2:78">
      <c r="B8645" s="7"/>
      <c r="O8645" s="7"/>
      <c r="X8645" s="7"/>
      <c r="AG8645" s="7"/>
      <c r="AP8645" s="7"/>
      <c r="AY8645" s="7"/>
      <c r="BH8645" s="7"/>
      <c r="BQ8645" s="7"/>
      <c r="BZ8645" s="7"/>
    </row>
    <row r="8646" spans="2:78">
      <c r="B8646" s="7"/>
      <c r="O8646" s="7"/>
      <c r="X8646" s="7"/>
      <c r="AG8646" s="7"/>
      <c r="AP8646" s="7"/>
      <c r="AY8646" s="7"/>
      <c r="BH8646" s="7"/>
      <c r="BQ8646" s="7"/>
      <c r="BZ8646" s="7"/>
    </row>
    <row r="8647" spans="2:78">
      <c r="B8647" s="7"/>
      <c r="O8647" s="7"/>
      <c r="X8647" s="7"/>
      <c r="AG8647" s="7"/>
      <c r="AP8647" s="7"/>
      <c r="AY8647" s="7"/>
      <c r="BH8647" s="7"/>
      <c r="BQ8647" s="7"/>
      <c r="BZ8647" s="7"/>
    </row>
    <row r="8648" spans="2:78">
      <c r="B8648" s="7"/>
      <c r="O8648" s="7"/>
      <c r="X8648" s="7"/>
      <c r="AG8648" s="7"/>
      <c r="AP8648" s="7"/>
      <c r="AY8648" s="7"/>
      <c r="BH8648" s="7"/>
      <c r="BQ8648" s="7"/>
      <c r="BZ8648" s="7"/>
    </row>
    <row r="8649" spans="2:78">
      <c r="B8649" s="7"/>
      <c r="O8649" s="7"/>
      <c r="X8649" s="7"/>
      <c r="AG8649" s="7"/>
      <c r="AP8649" s="7"/>
      <c r="AY8649" s="7"/>
      <c r="BH8649" s="7"/>
      <c r="BQ8649" s="7"/>
      <c r="BZ8649" s="7"/>
    </row>
    <row r="8650" spans="2:78">
      <c r="B8650" s="7"/>
      <c r="O8650" s="7"/>
      <c r="X8650" s="7"/>
      <c r="AG8650" s="7"/>
      <c r="AP8650" s="7"/>
      <c r="AY8650" s="7"/>
      <c r="BH8650" s="7"/>
      <c r="BQ8650" s="7"/>
      <c r="BZ8650" s="7"/>
    </row>
    <row r="8651" spans="2:78">
      <c r="B8651" s="7"/>
      <c r="O8651" s="7"/>
      <c r="X8651" s="7"/>
      <c r="AG8651" s="7"/>
      <c r="AP8651" s="7"/>
      <c r="AY8651" s="7"/>
      <c r="BH8651" s="7"/>
      <c r="BQ8651" s="7"/>
      <c r="BZ8651" s="7"/>
    </row>
    <row r="8652" spans="2:78">
      <c r="B8652" s="7"/>
      <c r="O8652" s="7"/>
      <c r="X8652" s="7"/>
      <c r="AG8652" s="7"/>
      <c r="AP8652" s="7"/>
      <c r="AY8652" s="7"/>
      <c r="BH8652" s="7"/>
      <c r="BQ8652" s="7"/>
      <c r="BZ8652" s="7"/>
    </row>
    <row r="8653" spans="2:78">
      <c r="B8653" s="7"/>
      <c r="O8653" s="7"/>
      <c r="X8653" s="7"/>
      <c r="AG8653" s="7"/>
      <c r="AP8653" s="7"/>
      <c r="AY8653" s="7"/>
      <c r="BH8653" s="7"/>
      <c r="BQ8653" s="7"/>
      <c r="BZ8653" s="7"/>
    </row>
    <row r="8654" spans="2:78">
      <c r="B8654" s="7"/>
      <c r="O8654" s="7"/>
      <c r="X8654" s="7"/>
      <c r="AG8654" s="7"/>
      <c r="AP8654" s="7"/>
      <c r="AY8654" s="7"/>
      <c r="BH8654" s="7"/>
      <c r="BQ8654" s="7"/>
      <c r="BZ8654" s="7"/>
    </row>
    <row r="8655" spans="2:78">
      <c r="B8655" s="7"/>
      <c r="O8655" s="7"/>
      <c r="X8655" s="7"/>
      <c r="AG8655" s="7"/>
      <c r="AP8655" s="7"/>
      <c r="AY8655" s="7"/>
      <c r="BH8655" s="7"/>
      <c r="BQ8655" s="7"/>
      <c r="BZ8655" s="7"/>
    </row>
    <row r="8656" spans="2:78">
      <c r="B8656" s="7"/>
      <c r="O8656" s="7"/>
      <c r="X8656" s="7"/>
      <c r="AG8656" s="7"/>
      <c r="AP8656" s="7"/>
      <c r="AY8656" s="7"/>
      <c r="BH8656" s="7"/>
      <c r="BQ8656" s="7"/>
      <c r="BZ8656" s="7"/>
    </row>
    <row r="8657" spans="2:78">
      <c r="B8657" s="7"/>
      <c r="O8657" s="7"/>
      <c r="X8657" s="7"/>
      <c r="AG8657" s="7"/>
      <c r="AP8657" s="7"/>
      <c r="AY8657" s="7"/>
      <c r="BH8657" s="7"/>
      <c r="BQ8657" s="7"/>
      <c r="BZ8657" s="7"/>
    </row>
    <row r="8658" spans="2:78">
      <c r="B8658" s="7"/>
      <c r="O8658" s="7"/>
      <c r="X8658" s="7"/>
      <c r="AG8658" s="7"/>
      <c r="AP8658" s="7"/>
      <c r="AY8658" s="7"/>
      <c r="BH8658" s="7"/>
      <c r="BQ8658" s="7"/>
      <c r="BZ8658" s="7"/>
    </row>
    <row r="8659" spans="2:78">
      <c r="B8659" s="7"/>
      <c r="O8659" s="7"/>
      <c r="X8659" s="7"/>
      <c r="AG8659" s="7"/>
      <c r="AP8659" s="7"/>
      <c r="AY8659" s="7"/>
      <c r="BH8659" s="7"/>
      <c r="BQ8659" s="7"/>
      <c r="BZ8659" s="7"/>
    </row>
    <row r="8660" spans="2:78">
      <c r="B8660" s="7"/>
      <c r="O8660" s="7"/>
      <c r="X8660" s="7"/>
      <c r="AG8660" s="7"/>
      <c r="AP8660" s="7"/>
      <c r="AY8660" s="7"/>
      <c r="BH8660" s="7"/>
      <c r="BQ8660" s="7"/>
      <c r="BZ8660" s="7"/>
    </row>
    <row r="8661" spans="2:78">
      <c r="B8661" s="7"/>
      <c r="O8661" s="7"/>
      <c r="X8661" s="7"/>
      <c r="AG8661" s="7"/>
      <c r="AP8661" s="7"/>
      <c r="AY8661" s="7"/>
      <c r="BH8661" s="7"/>
      <c r="BQ8661" s="7"/>
      <c r="BZ8661" s="7"/>
    </row>
    <row r="8662" spans="2:78">
      <c r="B8662" s="7"/>
      <c r="O8662" s="7"/>
      <c r="X8662" s="7"/>
      <c r="AG8662" s="7"/>
      <c r="AP8662" s="7"/>
      <c r="AY8662" s="7"/>
      <c r="BH8662" s="7"/>
      <c r="BQ8662" s="7"/>
      <c r="BZ8662" s="7"/>
    </row>
    <row r="8663" spans="2:78">
      <c r="B8663" s="7"/>
      <c r="O8663" s="7"/>
      <c r="X8663" s="7"/>
      <c r="AG8663" s="7"/>
      <c r="AP8663" s="7"/>
      <c r="AY8663" s="7"/>
      <c r="BH8663" s="7"/>
      <c r="BQ8663" s="7"/>
      <c r="BZ8663" s="7"/>
    </row>
    <row r="8664" spans="2:78">
      <c r="B8664" s="7"/>
      <c r="O8664" s="7"/>
      <c r="X8664" s="7"/>
      <c r="AG8664" s="7"/>
      <c r="AP8664" s="7"/>
      <c r="AY8664" s="7"/>
      <c r="BH8664" s="7"/>
      <c r="BQ8664" s="7"/>
      <c r="BZ8664" s="7"/>
    </row>
    <row r="8665" spans="2:78">
      <c r="B8665" s="7"/>
      <c r="O8665" s="7"/>
      <c r="X8665" s="7"/>
      <c r="AG8665" s="7"/>
      <c r="AP8665" s="7"/>
      <c r="AY8665" s="7"/>
      <c r="BH8665" s="7"/>
      <c r="BQ8665" s="7"/>
      <c r="BZ8665" s="7"/>
    </row>
    <row r="8666" spans="2:78">
      <c r="B8666" s="7"/>
      <c r="O8666" s="7"/>
      <c r="X8666" s="7"/>
      <c r="AG8666" s="7"/>
      <c r="AP8666" s="7"/>
      <c r="AY8666" s="7"/>
      <c r="BH8666" s="7"/>
      <c r="BQ8666" s="7"/>
      <c r="BZ8666" s="7"/>
    </row>
    <row r="8667" spans="2:78">
      <c r="B8667" s="7"/>
      <c r="O8667" s="7"/>
      <c r="X8667" s="7"/>
      <c r="AG8667" s="7"/>
      <c r="AP8667" s="7"/>
      <c r="AY8667" s="7"/>
      <c r="BH8667" s="7"/>
      <c r="BQ8667" s="7"/>
      <c r="BZ8667" s="7"/>
    </row>
    <row r="8668" spans="2:78">
      <c r="B8668" s="7"/>
      <c r="O8668" s="7"/>
      <c r="X8668" s="7"/>
      <c r="AG8668" s="7"/>
      <c r="AP8668" s="7"/>
      <c r="AY8668" s="7"/>
      <c r="BH8668" s="7"/>
      <c r="BQ8668" s="7"/>
      <c r="BZ8668" s="7"/>
    </row>
    <row r="8669" spans="2:78">
      <c r="B8669" s="7"/>
      <c r="O8669" s="7"/>
      <c r="X8669" s="7"/>
      <c r="AG8669" s="7"/>
      <c r="AP8669" s="7"/>
      <c r="AY8669" s="7"/>
      <c r="BH8669" s="7"/>
      <c r="BQ8669" s="7"/>
      <c r="BZ8669" s="7"/>
    </row>
    <row r="8670" spans="2:78">
      <c r="B8670" s="7"/>
      <c r="O8670" s="7"/>
      <c r="X8670" s="7"/>
      <c r="AG8670" s="7"/>
      <c r="AP8670" s="7"/>
      <c r="AY8670" s="7"/>
      <c r="BH8670" s="7"/>
      <c r="BQ8670" s="7"/>
      <c r="BZ8670" s="7"/>
    </row>
    <row r="8671" spans="2:78">
      <c r="B8671" s="7"/>
      <c r="O8671" s="7"/>
      <c r="X8671" s="7"/>
      <c r="AG8671" s="7"/>
      <c r="AP8671" s="7"/>
      <c r="AY8671" s="7"/>
      <c r="BH8671" s="7"/>
      <c r="BQ8671" s="7"/>
      <c r="BZ8671" s="7"/>
    </row>
    <row r="8672" spans="2:78">
      <c r="B8672" s="7"/>
      <c r="O8672" s="7"/>
      <c r="X8672" s="7"/>
      <c r="AG8672" s="7"/>
      <c r="AP8672" s="7"/>
      <c r="AY8672" s="7"/>
      <c r="BH8672" s="7"/>
      <c r="BQ8672" s="7"/>
      <c r="BZ8672" s="7"/>
    </row>
    <row r="8673" spans="2:78">
      <c r="B8673" s="7"/>
      <c r="O8673" s="7"/>
      <c r="X8673" s="7"/>
      <c r="AG8673" s="7"/>
      <c r="AP8673" s="7"/>
      <c r="AY8673" s="7"/>
      <c r="BH8673" s="7"/>
      <c r="BQ8673" s="7"/>
      <c r="BZ8673" s="7"/>
    </row>
    <row r="8674" spans="2:78">
      <c r="B8674" s="7"/>
      <c r="O8674" s="7"/>
      <c r="X8674" s="7"/>
      <c r="AG8674" s="7"/>
      <c r="AP8674" s="7"/>
      <c r="AY8674" s="7"/>
      <c r="BH8674" s="7"/>
      <c r="BQ8674" s="7"/>
      <c r="BZ8674" s="7"/>
    </row>
    <row r="8675" spans="2:78">
      <c r="B8675" s="7"/>
      <c r="O8675" s="7"/>
      <c r="X8675" s="7"/>
      <c r="AG8675" s="7"/>
      <c r="AP8675" s="7"/>
      <c r="AY8675" s="7"/>
      <c r="BH8675" s="7"/>
      <c r="BQ8675" s="7"/>
      <c r="BZ8675" s="7"/>
    </row>
    <row r="8676" spans="2:78">
      <c r="B8676" s="7"/>
      <c r="O8676" s="7"/>
      <c r="X8676" s="7"/>
      <c r="AG8676" s="7"/>
      <c r="AP8676" s="7"/>
      <c r="AY8676" s="7"/>
      <c r="BH8676" s="7"/>
      <c r="BQ8676" s="7"/>
      <c r="BZ8676" s="7"/>
    </row>
    <row r="8677" spans="2:78">
      <c r="B8677" s="7"/>
      <c r="O8677" s="7"/>
      <c r="X8677" s="7"/>
      <c r="AG8677" s="7"/>
      <c r="AP8677" s="7"/>
      <c r="AY8677" s="7"/>
      <c r="BH8677" s="7"/>
      <c r="BQ8677" s="7"/>
      <c r="BZ8677" s="7"/>
    </row>
    <row r="8678" spans="2:78">
      <c r="B8678" s="7"/>
      <c r="O8678" s="7"/>
      <c r="X8678" s="7"/>
      <c r="AG8678" s="7"/>
      <c r="AP8678" s="7"/>
      <c r="AY8678" s="7"/>
      <c r="BH8678" s="7"/>
      <c r="BQ8678" s="7"/>
      <c r="BZ8678" s="7"/>
    </row>
    <row r="8679" spans="2:78">
      <c r="B8679" s="7"/>
      <c r="O8679" s="7"/>
      <c r="X8679" s="7"/>
      <c r="AG8679" s="7"/>
      <c r="AP8679" s="7"/>
      <c r="AY8679" s="7"/>
      <c r="BH8679" s="7"/>
      <c r="BQ8679" s="7"/>
      <c r="BZ8679" s="7"/>
    </row>
    <row r="8680" spans="2:78">
      <c r="B8680" s="7"/>
      <c r="O8680" s="7"/>
      <c r="X8680" s="7"/>
      <c r="AG8680" s="7"/>
      <c r="AP8680" s="7"/>
      <c r="AY8680" s="7"/>
      <c r="BH8680" s="7"/>
      <c r="BQ8680" s="7"/>
      <c r="BZ8680" s="7"/>
    </row>
    <row r="8681" spans="2:78">
      <c r="B8681" s="7"/>
      <c r="O8681" s="7"/>
      <c r="X8681" s="7"/>
      <c r="AG8681" s="7"/>
      <c r="AP8681" s="7"/>
      <c r="AY8681" s="7"/>
      <c r="BH8681" s="7"/>
      <c r="BQ8681" s="7"/>
      <c r="BZ8681" s="7"/>
    </row>
    <row r="8682" spans="2:78">
      <c r="B8682" s="7"/>
      <c r="O8682" s="7"/>
      <c r="X8682" s="7"/>
      <c r="AG8682" s="7"/>
      <c r="AP8682" s="7"/>
      <c r="AY8682" s="7"/>
      <c r="BH8682" s="7"/>
      <c r="BQ8682" s="7"/>
      <c r="BZ8682" s="7"/>
    </row>
    <row r="8683" spans="2:78">
      <c r="B8683" s="7"/>
      <c r="O8683" s="7"/>
      <c r="X8683" s="7"/>
      <c r="AG8683" s="7"/>
      <c r="AP8683" s="7"/>
      <c r="AY8683" s="7"/>
      <c r="BH8683" s="7"/>
      <c r="BQ8683" s="7"/>
      <c r="BZ8683" s="7"/>
    </row>
    <row r="8684" spans="2:78">
      <c r="B8684" s="7"/>
      <c r="O8684" s="7"/>
      <c r="X8684" s="7"/>
      <c r="AG8684" s="7"/>
      <c r="AP8684" s="7"/>
      <c r="AY8684" s="7"/>
      <c r="BH8684" s="7"/>
      <c r="BQ8684" s="7"/>
      <c r="BZ8684" s="7"/>
    </row>
    <row r="8685" spans="2:78">
      <c r="B8685" s="7"/>
      <c r="O8685" s="7"/>
      <c r="X8685" s="7"/>
      <c r="AG8685" s="7"/>
      <c r="AP8685" s="7"/>
      <c r="AY8685" s="7"/>
      <c r="BH8685" s="7"/>
      <c r="BQ8685" s="7"/>
      <c r="BZ8685" s="7"/>
    </row>
    <row r="8686" spans="2:78">
      <c r="B8686" s="7"/>
      <c r="O8686" s="7"/>
      <c r="X8686" s="7"/>
      <c r="AG8686" s="7"/>
      <c r="AP8686" s="7"/>
      <c r="AY8686" s="7"/>
      <c r="BH8686" s="7"/>
      <c r="BQ8686" s="7"/>
      <c r="BZ8686" s="7"/>
    </row>
    <row r="8687" spans="2:78">
      <c r="B8687" s="7"/>
      <c r="O8687" s="7"/>
      <c r="X8687" s="7"/>
      <c r="AG8687" s="7"/>
      <c r="AP8687" s="7"/>
      <c r="AY8687" s="7"/>
      <c r="BH8687" s="7"/>
      <c r="BQ8687" s="7"/>
      <c r="BZ8687" s="7"/>
    </row>
    <row r="8688" spans="2:78">
      <c r="B8688" s="7"/>
      <c r="O8688" s="7"/>
      <c r="X8688" s="7"/>
      <c r="AG8688" s="7"/>
      <c r="AP8688" s="7"/>
      <c r="AY8688" s="7"/>
      <c r="BH8688" s="7"/>
      <c r="BQ8688" s="7"/>
      <c r="BZ8688" s="7"/>
    </row>
    <row r="8689" spans="2:78">
      <c r="B8689" s="7"/>
      <c r="O8689" s="7"/>
      <c r="X8689" s="7"/>
      <c r="AG8689" s="7"/>
      <c r="AP8689" s="7"/>
      <c r="AY8689" s="7"/>
      <c r="BH8689" s="7"/>
      <c r="BQ8689" s="7"/>
      <c r="BZ8689" s="7"/>
    </row>
    <row r="8690" spans="2:78">
      <c r="B8690" s="7"/>
      <c r="O8690" s="7"/>
      <c r="X8690" s="7"/>
      <c r="AG8690" s="7"/>
      <c r="AP8690" s="7"/>
      <c r="AY8690" s="7"/>
      <c r="BH8690" s="7"/>
      <c r="BQ8690" s="7"/>
      <c r="BZ8690" s="7"/>
    </row>
    <row r="8691" spans="2:78">
      <c r="B8691" s="7"/>
      <c r="O8691" s="7"/>
      <c r="X8691" s="7"/>
      <c r="AG8691" s="7"/>
      <c r="AP8691" s="7"/>
      <c r="AY8691" s="7"/>
      <c r="BH8691" s="7"/>
      <c r="BQ8691" s="7"/>
      <c r="BZ8691" s="7"/>
    </row>
    <row r="8692" spans="2:78">
      <c r="B8692" s="7"/>
      <c r="O8692" s="7"/>
      <c r="X8692" s="7"/>
      <c r="AG8692" s="7"/>
      <c r="AP8692" s="7"/>
      <c r="AY8692" s="7"/>
      <c r="BH8692" s="7"/>
      <c r="BQ8692" s="7"/>
      <c r="BZ8692" s="7"/>
    </row>
    <row r="8693" spans="2:78">
      <c r="B8693" s="7"/>
      <c r="O8693" s="7"/>
      <c r="X8693" s="7"/>
      <c r="AG8693" s="7"/>
      <c r="AP8693" s="7"/>
      <c r="AY8693" s="7"/>
      <c r="BH8693" s="7"/>
      <c r="BQ8693" s="7"/>
      <c r="BZ8693" s="7"/>
    </row>
    <row r="8694" spans="2:78">
      <c r="B8694" s="7"/>
      <c r="O8694" s="7"/>
      <c r="X8694" s="7"/>
      <c r="AG8694" s="7"/>
      <c r="AP8694" s="7"/>
      <c r="AY8694" s="7"/>
      <c r="BH8694" s="7"/>
      <c r="BQ8694" s="7"/>
      <c r="BZ8694" s="7"/>
    </row>
    <row r="8695" spans="2:78">
      <c r="B8695" s="7"/>
      <c r="O8695" s="7"/>
      <c r="X8695" s="7"/>
      <c r="AG8695" s="7"/>
      <c r="AP8695" s="7"/>
      <c r="AY8695" s="7"/>
      <c r="BH8695" s="7"/>
      <c r="BQ8695" s="7"/>
      <c r="BZ8695" s="7"/>
    </row>
    <row r="8696" spans="2:78">
      <c r="B8696" s="7"/>
      <c r="O8696" s="7"/>
      <c r="X8696" s="7"/>
      <c r="AG8696" s="7"/>
      <c r="AP8696" s="7"/>
      <c r="AY8696" s="7"/>
      <c r="BH8696" s="7"/>
      <c r="BQ8696" s="7"/>
      <c r="BZ8696" s="7"/>
    </row>
    <row r="8697" spans="2:78">
      <c r="B8697" s="7"/>
      <c r="O8697" s="7"/>
      <c r="X8697" s="7"/>
      <c r="AG8697" s="7"/>
      <c r="AP8697" s="7"/>
      <c r="AY8697" s="7"/>
      <c r="BH8697" s="7"/>
      <c r="BQ8697" s="7"/>
      <c r="BZ8697" s="7"/>
    </row>
    <row r="8698" spans="2:78">
      <c r="B8698" s="7"/>
      <c r="O8698" s="7"/>
      <c r="X8698" s="7"/>
      <c r="AG8698" s="7"/>
      <c r="AP8698" s="7"/>
      <c r="AY8698" s="7"/>
      <c r="BH8698" s="7"/>
      <c r="BQ8698" s="7"/>
      <c r="BZ8698" s="7"/>
    </row>
    <row r="8699" spans="2:78">
      <c r="B8699" s="7"/>
      <c r="O8699" s="7"/>
      <c r="X8699" s="7"/>
      <c r="AG8699" s="7"/>
      <c r="AP8699" s="7"/>
      <c r="AY8699" s="7"/>
      <c r="BH8699" s="7"/>
      <c r="BQ8699" s="7"/>
      <c r="BZ8699" s="7"/>
    </row>
    <row r="8700" spans="2:78">
      <c r="B8700" s="7"/>
      <c r="O8700" s="7"/>
      <c r="X8700" s="7"/>
      <c r="AG8700" s="7"/>
      <c r="AP8700" s="7"/>
      <c r="AY8700" s="7"/>
      <c r="BH8700" s="7"/>
      <c r="BQ8700" s="7"/>
      <c r="BZ8700" s="7"/>
    </row>
    <row r="8701" spans="2:78">
      <c r="B8701" s="7"/>
      <c r="O8701" s="7"/>
      <c r="X8701" s="7"/>
      <c r="AG8701" s="7"/>
      <c r="AP8701" s="7"/>
      <c r="AY8701" s="7"/>
      <c r="BH8701" s="7"/>
      <c r="BQ8701" s="7"/>
      <c r="BZ8701" s="7"/>
    </row>
    <row r="8702" spans="2:78">
      <c r="B8702" s="7"/>
      <c r="O8702" s="7"/>
      <c r="X8702" s="7"/>
      <c r="AG8702" s="7"/>
      <c r="AP8702" s="7"/>
      <c r="AY8702" s="7"/>
      <c r="BH8702" s="7"/>
      <c r="BQ8702" s="7"/>
      <c r="BZ8702" s="7"/>
    </row>
    <row r="8703" spans="2:78">
      <c r="B8703" s="7"/>
      <c r="O8703" s="7"/>
      <c r="X8703" s="7"/>
      <c r="AG8703" s="7"/>
      <c r="AP8703" s="7"/>
      <c r="AY8703" s="7"/>
      <c r="BH8703" s="7"/>
      <c r="BQ8703" s="7"/>
      <c r="BZ8703" s="7"/>
    </row>
    <row r="8704" spans="2:78">
      <c r="B8704" s="7"/>
      <c r="O8704" s="7"/>
      <c r="X8704" s="7"/>
      <c r="AG8704" s="7"/>
      <c r="AP8704" s="7"/>
      <c r="AY8704" s="7"/>
      <c r="BH8704" s="7"/>
      <c r="BQ8704" s="7"/>
      <c r="BZ8704" s="7"/>
    </row>
    <row r="8705" spans="2:78">
      <c r="B8705" s="7"/>
      <c r="O8705" s="7"/>
      <c r="X8705" s="7"/>
      <c r="AG8705" s="7"/>
      <c r="AP8705" s="7"/>
      <c r="AY8705" s="7"/>
      <c r="BH8705" s="7"/>
      <c r="BQ8705" s="7"/>
      <c r="BZ8705" s="7"/>
    </row>
    <row r="8706" spans="2:78">
      <c r="B8706" s="7"/>
      <c r="O8706" s="7"/>
      <c r="X8706" s="7"/>
      <c r="AG8706" s="7"/>
      <c r="AP8706" s="7"/>
      <c r="AY8706" s="7"/>
      <c r="BH8706" s="7"/>
      <c r="BQ8706" s="7"/>
      <c r="BZ8706" s="7"/>
    </row>
    <row r="8707" spans="2:78">
      <c r="B8707" s="7"/>
      <c r="O8707" s="7"/>
      <c r="X8707" s="7"/>
      <c r="AG8707" s="7"/>
      <c r="AP8707" s="7"/>
      <c r="AY8707" s="7"/>
      <c r="BH8707" s="7"/>
      <c r="BQ8707" s="7"/>
      <c r="BZ8707" s="7"/>
    </row>
    <row r="8708" spans="2:78">
      <c r="B8708" s="7"/>
      <c r="O8708" s="7"/>
      <c r="X8708" s="7"/>
      <c r="AG8708" s="7"/>
      <c r="AP8708" s="7"/>
      <c r="AY8708" s="7"/>
      <c r="BH8708" s="7"/>
      <c r="BQ8708" s="7"/>
      <c r="BZ8708" s="7"/>
    </row>
    <row r="8709" spans="2:78">
      <c r="B8709" s="7"/>
      <c r="O8709" s="7"/>
      <c r="X8709" s="7"/>
      <c r="AG8709" s="7"/>
      <c r="AP8709" s="7"/>
      <c r="AY8709" s="7"/>
      <c r="BH8709" s="7"/>
      <c r="BQ8709" s="7"/>
      <c r="BZ8709" s="7"/>
    </row>
    <row r="8710" spans="2:78">
      <c r="B8710" s="7"/>
      <c r="O8710" s="7"/>
      <c r="X8710" s="7"/>
      <c r="AG8710" s="7"/>
      <c r="AP8710" s="7"/>
      <c r="AY8710" s="7"/>
      <c r="BH8710" s="7"/>
      <c r="BQ8710" s="7"/>
      <c r="BZ8710" s="7"/>
    </row>
    <row r="8711" spans="2:78">
      <c r="B8711" s="7"/>
      <c r="O8711" s="7"/>
      <c r="X8711" s="7"/>
      <c r="AG8711" s="7"/>
      <c r="AP8711" s="7"/>
      <c r="AY8711" s="7"/>
      <c r="BH8711" s="7"/>
      <c r="BQ8711" s="7"/>
      <c r="BZ8711" s="7"/>
    </row>
    <row r="8712" spans="2:78">
      <c r="B8712" s="7"/>
      <c r="O8712" s="7"/>
      <c r="X8712" s="7"/>
      <c r="AG8712" s="7"/>
      <c r="AP8712" s="7"/>
      <c r="AY8712" s="7"/>
      <c r="BH8712" s="7"/>
      <c r="BQ8712" s="7"/>
      <c r="BZ8712" s="7"/>
    </row>
    <row r="8713" spans="2:78">
      <c r="B8713" s="7"/>
      <c r="O8713" s="7"/>
      <c r="X8713" s="7"/>
      <c r="AG8713" s="7"/>
      <c r="AP8713" s="7"/>
      <c r="AY8713" s="7"/>
      <c r="BH8713" s="7"/>
      <c r="BQ8713" s="7"/>
      <c r="BZ8713" s="7"/>
    </row>
    <row r="8714" spans="2:78">
      <c r="B8714" s="7"/>
      <c r="O8714" s="7"/>
      <c r="X8714" s="7"/>
      <c r="AG8714" s="7"/>
      <c r="AP8714" s="7"/>
      <c r="AY8714" s="7"/>
      <c r="BH8714" s="7"/>
      <c r="BQ8714" s="7"/>
      <c r="BZ8714" s="7"/>
    </row>
    <row r="8715" spans="2:78">
      <c r="B8715" s="7"/>
      <c r="O8715" s="7"/>
      <c r="X8715" s="7"/>
      <c r="AG8715" s="7"/>
      <c r="AP8715" s="7"/>
      <c r="AY8715" s="7"/>
      <c r="BH8715" s="7"/>
      <c r="BQ8715" s="7"/>
      <c r="BZ8715" s="7"/>
    </row>
    <row r="8716" spans="2:78">
      <c r="B8716" s="7"/>
      <c r="O8716" s="7"/>
      <c r="X8716" s="7"/>
      <c r="AG8716" s="7"/>
      <c r="AP8716" s="7"/>
      <c r="AY8716" s="7"/>
      <c r="BH8716" s="7"/>
      <c r="BQ8716" s="7"/>
      <c r="BZ8716" s="7"/>
    </row>
    <row r="8717" spans="2:78">
      <c r="B8717" s="7"/>
      <c r="O8717" s="7"/>
      <c r="X8717" s="7"/>
      <c r="AG8717" s="7"/>
      <c r="AP8717" s="7"/>
      <c r="AY8717" s="7"/>
      <c r="BH8717" s="7"/>
      <c r="BQ8717" s="7"/>
      <c r="BZ8717" s="7"/>
    </row>
    <row r="8718" spans="2:78">
      <c r="B8718" s="7"/>
      <c r="O8718" s="7"/>
      <c r="X8718" s="7"/>
      <c r="AG8718" s="7"/>
      <c r="AP8718" s="7"/>
      <c r="AY8718" s="7"/>
      <c r="BH8718" s="7"/>
      <c r="BQ8718" s="7"/>
      <c r="BZ8718" s="7"/>
    </row>
    <row r="8719" spans="2:78">
      <c r="B8719" s="7"/>
      <c r="O8719" s="7"/>
      <c r="X8719" s="7"/>
      <c r="AG8719" s="7"/>
      <c r="AP8719" s="7"/>
      <c r="AY8719" s="7"/>
      <c r="BH8719" s="7"/>
      <c r="BQ8719" s="7"/>
      <c r="BZ8719" s="7"/>
    </row>
    <row r="8720" spans="2:78">
      <c r="B8720" s="7"/>
      <c r="O8720" s="7"/>
      <c r="X8720" s="7"/>
      <c r="AG8720" s="7"/>
      <c r="AP8720" s="7"/>
      <c r="AY8720" s="7"/>
      <c r="BH8720" s="7"/>
      <c r="BQ8720" s="7"/>
      <c r="BZ8720" s="7"/>
    </row>
    <row r="8721" spans="2:78">
      <c r="B8721" s="7"/>
      <c r="O8721" s="7"/>
      <c r="X8721" s="7"/>
      <c r="AG8721" s="7"/>
      <c r="AP8721" s="7"/>
      <c r="AY8721" s="7"/>
      <c r="BH8721" s="7"/>
      <c r="BQ8721" s="7"/>
      <c r="BZ8721" s="7"/>
    </row>
    <row r="8722" spans="2:78">
      <c r="B8722" s="7"/>
      <c r="O8722" s="7"/>
      <c r="X8722" s="7"/>
      <c r="AG8722" s="7"/>
      <c r="AP8722" s="7"/>
      <c r="AY8722" s="7"/>
      <c r="BH8722" s="7"/>
      <c r="BQ8722" s="7"/>
      <c r="BZ8722" s="7"/>
    </row>
    <row r="8723" spans="2:78">
      <c r="B8723" s="7"/>
      <c r="O8723" s="7"/>
      <c r="X8723" s="7"/>
      <c r="AG8723" s="7"/>
      <c r="AP8723" s="7"/>
      <c r="AY8723" s="7"/>
      <c r="BH8723" s="7"/>
      <c r="BQ8723" s="7"/>
      <c r="BZ8723" s="7"/>
    </row>
    <row r="8724" spans="2:78">
      <c r="B8724" s="7"/>
      <c r="O8724" s="7"/>
      <c r="X8724" s="7"/>
      <c r="AG8724" s="7"/>
      <c r="AP8724" s="7"/>
      <c r="AY8724" s="7"/>
      <c r="BH8724" s="7"/>
      <c r="BQ8724" s="7"/>
      <c r="BZ8724" s="7"/>
    </row>
    <row r="8725" spans="2:78">
      <c r="B8725" s="7"/>
      <c r="O8725" s="7"/>
      <c r="X8725" s="7"/>
      <c r="AG8725" s="7"/>
      <c r="AP8725" s="7"/>
      <c r="AY8725" s="7"/>
      <c r="BH8725" s="7"/>
      <c r="BQ8725" s="7"/>
      <c r="BZ8725" s="7"/>
    </row>
    <row r="8726" spans="2:78">
      <c r="B8726" s="7"/>
      <c r="O8726" s="7"/>
      <c r="X8726" s="7"/>
      <c r="AG8726" s="7"/>
      <c r="AP8726" s="7"/>
      <c r="AY8726" s="7"/>
      <c r="BH8726" s="7"/>
      <c r="BQ8726" s="7"/>
      <c r="BZ8726" s="7"/>
    </row>
    <row r="8727" spans="2:78">
      <c r="B8727" s="7"/>
      <c r="O8727" s="7"/>
      <c r="X8727" s="7"/>
      <c r="AG8727" s="7"/>
      <c r="AP8727" s="7"/>
      <c r="AY8727" s="7"/>
      <c r="BH8727" s="7"/>
      <c r="BQ8727" s="7"/>
      <c r="BZ8727" s="7"/>
    </row>
    <row r="8728" spans="2:78">
      <c r="B8728" s="7"/>
      <c r="O8728" s="7"/>
      <c r="X8728" s="7"/>
      <c r="AG8728" s="7"/>
      <c r="AP8728" s="7"/>
      <c r="AY8728" s="7"/>
      <c r="BH8728" s="7"/>
      <c r="BQ8728" s="7"/>
      <c r="BZ8728" s="7"/>
    </row>
    <row r="8729" spans="2:78">
      <c r="B8729" s="7"/>
      <c r="O8729" s="7"/>
      <c r="X8729" s="7"/>
      <c r="AG8729" s="7"/>
      <c r="AP8729" s="7"/>
      <c r="AY8729" s="7"/>
      <c r="BH8729" s="7"/>
      <c r="BQ8729" s="7"/>
      <c r="BZ8729" s="7"/>
    </row>
    <row r="8730" spans="2:78">
      <c r="B8730" s="7"/>
      <c r="O8730" s="7"/>
      <c r="X8730" s="7"/>
      <c r="AG8730" s="7"/>
      <c r="AP8730" s="7"/>
      <c r="AY8730" s="7"/>
      <c r="BH8730" s="7"/>
      <c r="BQ8730" s="7"/>
      <c r="BZ8730" s="7"/>
    </row>
    <row r="8731" spans="2:78">
      <c r="B8731" s="7"/>
      <c r="O8731" s="7"/>
      <c r="X8731" s="7"/>
      <c r="AG8731" s="7"/>
      <c r="AP8731" s="7"/>
      <c r="AY8731" s="7"/>
      <c r="BH8731" s="7"/>
      <c r="BQ8731" s="7"/>
      <c r="BZ8731" s="7"/>
    </row>
    <row r="8732" spans="2:78">
      <c r="B8732" s="7"/>
      <c r="O8732" s="7"/>
      <c r="X8732" s="7"/>
      <c r="AG8732" s="7"/>
      <c r="AP8732" s="7"/>
      <c r="AY8732" s="7"/>
      <c r="BH8732" s="7"/>
      <c r="BQ8732" s="7"/>
      <c r="BZ8732" s="7"/>
    </row>
    <row r="8733" spans="2:78">
      <c r="B8733" s="7"/>
      <c r="O8733" s="7"/>
      <c r="X8733" s="7"/>
      <c r="AG8733" s="7"/>
      <c r="AP8733" s="7"/>
      <c r="AY8733" s="7"/>
      <c r="BH8733" s="7"/>
      <c r="BQ8733" s="7"/>
      <c r="BZ8733" s="7"/>
    </row>
    <row r="8734" spans="2:78">
      <c r="B8734" s="7"/>
      <c r="O8734" s="7"/>
      <c r="X8734" s="7"/>
      <c r="AG8734" s="7"/>
      <c r="AP8734" s="7"/>
      <c r="AY8734" s="7"/>
      <c r="BH8734" s="7"/>
      <c r="BQ8734" s="7"/>
      <c r="BZ8734" s="7"/>
    </row>
    <row r="8735" spans="2:78">
      <c r="B8735" s="7"/>
      <c r="O8735" s="7"/>
      <c r="X8735" s="7"/>
      <c r="AG8735" s="7"/>
      <c r="AP8735" s="7"/>
      <c r="AY8735" s="7"/>
      <c r="BH8735" s="7"/>
      <c r="BQ8735" s="7"/>
      <c r="BZ8735" s="7"/>
    </row>
    <row r="8736" spans="2:78">
      <c r="B8736" s="7"/>
      <c r="O8736" s="7"/>
      <c r="X8736" s="7"/>
      <c r="AG8736" s="7"/>
      <c r="AP8736" s="7"/>
      <c r="AY8736" s="7"/>
      <c r="BH8736" s="7"/>
      <c r="BQ8736" s="7"/>
      <c r="BZ8736" s="7"/>
    </row>
    <row r="8737" spans="2:78">
      <c r="B8737" s="7"/>
      <c r="O8737" s="7"/>
      <c r="X8737" s="7"/>
      <c r="AG8737" s="7"/>
      <c r="AP8737" s="7"/>
      <c r="AY8737" s="7"/>
      <c r="BH8737" s="7"/>
      <c r="BQ8737" s="7"/>
      <c r="BZ8737" s="7"/>
    </row>
    <row r="8738" spans="2:78">
      <c r="B8738" s="7"/>
      <c r="O8738" s="7"/>
      <c r="X8738" s="7"/>
      <c r="AG8738" s="7"/>
      <c r="AP8738" s="7"/>
      <c r="AY8738" s="7"/>
      <c r="BH8738" s="7"/>
      <c r="BQ8738" s="7"/>
      <c r="BZ8738" s="7"/>
    </row>
    <row r="8739" spans="2:78">
      <c r="B8739" s="7"/>
      <c r="O8739" s="7"/>
      <c r="X8739" s="7"/>
      <c r="AG8739" s="7"/>
      <c r="AP8739" s="7"/>
      <c r="AY8739" s="7"/>
      <c r="BH8739" s="7"/>
      <c r="BQ8739" s="7"/>
      <c r="BZ8739" s="7"/>
    </row>
    <row r="8740" spans="2:78">
      <c r="B8740" s="7"/>
      <c r="O8740" s="7"/>
      <c r="X8740" s="7"/>
      <c r="AG8740" s="7"/>
      <c r="AP8740" s="7"/>
      <c r="AY8740" s="7"/>
      <c r="BH8740" s="7"/>
      <c r="BQ8740" s="7"/>
      <c r="BZ8740" s="7"/>
    </row>
    <row r="8741" spans="2:78">
      <c r="B8741" s="7"/>
      <c r="O8741" s="7"/>
      <c r="X8741" s="7"/>
      <c r="AG8741" s="7"/>
      <c r="AP8741" s="7"/>
      <c r="AY8741" s="7"/>
      <c r="BH8741" s="7"/>
      <c r="BQ8741" s="7"/>
      <c r="BZ8741" s="7"/>
    </row>
    <row r="8742" spans="2:78">
      <c r="B8742" s="7"/>
      <c r="O8742" s="7"/>
      <c r="X8742" s="7"/>
      <c r="AG8742" s="7"/>
      <c r="AP8742" s="7"/>
      <c r="AY8742" s="7"/>
      <c r="BH8742" s="7"/>
      <c r="BQ8742" s="7"/>
      <c r="BZ8742" s="7"/>
    </row>
    <row r="8743" spans="2:78">
      <c r="B8743" s="7"/>
      <c r="O8743" s="7"/>
      <c r="X8743" s="7"/>
      <c r="AG8743" s="7"/>
      <c r="AP8743" s="7"/>
      <c r="AY8743" s="7"/>
      <c r="BH8743" s="7"/>
      <c r="BQ8743" s="7"/>
      <c r="BZ8743" s="7"/>
    </row>
    <row r="8744" spans="2:78">
      <c r="B8744" s="7"/>
      <c r="O8744" s="7"/>
      <c r="X8744" s="7"/>
      <c r="AG8744" s="7"/>
      <c r="AP8744" s="7"/>
      <c r="AY8744" s="7"/>
      <c r="BH8744" s="7"/>
      <c r="BQ8744" s="7"/>
      <c r="BZ8744" s="7"/>
    </row>
    <row r="8745" spans="2:78">
      <c r="B8745" s="7"/>
      <c r="O8745" s="7"/>
      <c r="X8745" s="7"/>
      <c r="AG8745" s="7"/>
      <c r="AP8745" s="7"/>
      <c r="AY8745" s="7"/>
      <c r="BH8745" s="7"/>
      <c r="BQ8745" s="7"/>
      <c r="BZ8745" s="7"/>
    </row>
    <row r="8746" spans="2:78">
      <c r="B8746" s="7"/>
      <c r="O8746" s="7"/>
      <c r="X8746" s="7"/>
      <c r="AG8746" s="7"/>
      <c r="AP8746" s="7"/>
      <c r="AY8746" s="7"/>
      <c r="BH8746" s="7"/>
      <c r="BQ8746" s="7"/>
      <c r="BZ8746" s="7"/>
    </row>
    <row r="8747" spans="2:78">
      <c r="B8747" s="7"/>
      <c r="O8747" s="7"/>
      <c r="X8747" s="7"/>
      <c r="AG8747" s="7"/>
      <c r="AP8747" s="7"/>
      <c r="AY8747" s="7"/>
      <c r="BH8747" s="7"/>
      <c r="BQ8747" s="7"/>
      <c r="BZ8747" s="7"/>
    </row>
    <row r="8748" spans="2:78">
      <c r="B8748" s="7"/>
      <c r="O8748" s="7"/>
      <c r="X8748" s="7"/>
      <c r="AG8748" s="7"/>
      <c r="AP8748" s="7"/>
      <c r="AY8748" s="7"/>
      <c r="BH8748" s="7"/>
      <c r="BQ8748" s="7"/>
      <c r="BZ8748" s="7"/>
    </row>
    <row r="8749" spans="2:78">
      <c r="B8749" s="7"/>
      <c r="O8749" s="7"/>
      <c r="X8749" s="7"/>
      <c r="AG8749" s="7"/>
      <c r="AP8749" s="7"/>
      <c r="AY8749" s="7"/>
      <c r="BH8749" s="7"/>
      <c r="BQ8749" s="7"/>
      <c r="BZ8749" s="7"/>
    </row>
    <row r="8750" spans="2:78">
      <c r="B8750" s="7"/>
      <c r="O8750" s="7"/>
      <c r="X8750" s="7"/>
      <c r="AG8750" s="7"/>
      <c r="AP8750" s="7"/>
      <c r="AY8750" s="7"/>
      <c r="BH8750" s="7"/>
      <c r="BQ8750" s="7"/>
      <c r="BZ8750" s="7"/>
    </row>
    <row r="8751" spans="2:78">
      <c r="B8751" s="7"/>
      <c r="O8751" s="7"/>
      <c r="X8751" s="7"/>
      <c r="AG8751" s="7"/>
      <c r="AP8751" s="7"/>
      <c r="AY8751" s="7"/>
      <c r="BH8751" s="7"/>
      <c r="BQ8751" s="7"/>
      <c r="BZ8751" s="7"/>
    </row>
    <row r="8752" spans="2:78">
      <c r="B8752" s="7"/>
      <c r="O8752" s="7"/>
      <c r="X8752" s="7"/>
      <c r="AG8752" s="7"/>
      <c r="AP8752" s="7"/>
      <c r="AY8752" s="7"/>
      <c r="BH8752" s="7"/>
      <c r="BQ8752" s="7"/>
      <c r="BZ8752" s="7"/>
    </row>
    <row r="8753" spans="2:78">
      <c r="B8753" s="7"/>
      <c r="O8753" s="7"/>
      <c r="X8753" s="7"/>
      <c r="AG8753" s="7"/>
      <c r="AP8753" s="7"/>
      <c r="AY8753" s="7"/>
      <c r="BH8753" s="7"/>
      <c r="BQ8753" s="7"/>
      <c r="BZ8753" s="7"/>
    </row>
    <row r="8754" spans="2:78">
      <c r="B8754" s="7"/>
      <c r="O8754" s="7"/>
      <c r="X8754" s="7"/>
      <c r="AG8754" s="7"/>
      <c r="AP8754" s="7"/>
      <c r="AY8754" s="7"/>
      <c r="BH8754" s="7"/>
      <c r="BQ8754" s="7"/>
      <c r="BZ8754" s="7"/>
    </row>
    <row r="8755" spans="2:78">
      <c r="B8755" s="7"/>
      <c r="O8755" s="7"/>
      <c r="X8755" s="7"/>
      <c r="AG8755" s="7"/>
      <c r="AP8755" s="7"/>
      <c r="AY8755" s="7"/>
      <c r="BH8755" s="7"/>
      <c r="BQ8755" s="7"/>
      <c r="BZ8755" s="7"/>
    </row>
    <row r="8756" spans="2:78">
      <c r="B8756" s="7"/>
      <c r="O8756" s="7"/>
      <c r="X8756" s="7"/>
      <c r="AG8756" s="7"/>
      <c r="AP8756" s="7"/>
      <c r="AY8756" s="7"/>
      <c r="BH8756" s="7"/>
      <c r="BQ8756" s="7"/>
      <c r="BZ8756" s="7"/>
    </row>
    <row r="8757" spans="2:78">
      <c r="B8757" s="7"/>
      <c r="O8757" s="7"/>
      <c r="X8757" s="7"/>
      <c r="AG8757" s="7"/>
      <c r="AP8757" s="7"/>
      <c r="AY8757" s="7"/>
      <c r="BH8757" s="7"/>
      <c r="BQ8757" s="7"/>
      <c r="BZ8757" s="7"/>
    </row>
    <row r="8758" spans="2:78">
      <c r="B8758" s="7"/>
      <c r="O8758" s="7"/>
      <c r="X8758" s="7"/>
      <c r="AG8758" s="7"/>
      <c r="AP8758" s="7"/>
      <c r="AY8758" s="7"/>
      <c r="BH8758" s="7"/>
      <c r="BQ8758" s="7"/>
      <c r="BZ8758" s="7"/>
    </row>
    <row r="8759" spans="2:78">
      <c r="B8759" s="7"/>
      <c r="O8759" s="7"/>
      <c r="X8759" s="7"/>
      <c r="AG8759" s="7"/>
      <c r="AP8759" s="7"/>
      <c r="AY8759" s="7"/>
      <c r="BH8759" s="7"/>
      <c r="BQ8759" s="7"/>
      <c r="BZ8759" s="7"/>
    </row>
    <row r="8760" spans="2:78">
      <c r="B8760" s="7"/>
      <c r="O8760" s="7"/>
      <c r="X8760" s="7"/>
      <c r="AG8760" s="7"/>
      <c r="AP8760" s="7"/>
      <c r="AY8760" s="7"/>
      <c r="BH8760" s="7"/>
      <c r="BQ8760" s="7"/>
      <c r="BZ8760" s="7"/>
    </row>
    <row r="8761" spans="2:78">
      <c r="B8761" s="7"/>
      <c r="O8761" s="7"/>
      <c r="X8761" s="7"/>
      <c r="AG8761" s="7"/>
      <c r="AP8761" s="7"/>
      <c r="AY8761" s="7"/>
      <c r="BH8761" s="7"/>
      <c r="BQ8761" s="7"/>
      <c r="BZ8761" s="7"/>
    </row>
    <row r="8762" spans="2:78">
      <c r="B8762" s="7"/>
      <c r="O8762" s="7"/>
      <c r="X8762" s="7"/>
      <c r="AG8762" s="7"/>
      <c r="AP8762" s="7"/>
      <c r="AY8762" s="7"/>
      <c r="BH8762" s="7"/>
      <c r="BQ8762" s="7"/>
      <c r="BZ8762" s="7"/>
    </row>
    <row r="8763" spans="2:78">
      <c r="B8763" s="7"/>
      <c r="O8763" s="7"/>
      <c r="X8763" s="7"/>
      <c r="AG8763" s="7"/>
      <c r="AP8763" s="7"/>
      <c r="AY8763" s="7"/>
      <c r="BH8763" s="7"/>
      <c r="BQ8763" s="7"/>
      <c r="BZ8763" s="7"/>
    </row>
    <row r="8764" spans="2:78">
      <c r="B8764" s="7"/>
      <c r="O8764" s="7"/>
      <c r="X8764" s="7"/>
      <c r="AG8764" s="7"/>
      <c r="AP8764" s="7"/>
      <c r="AY8764" s="7"/>
      <c r="BH8764" s="7"/>
      <c r="BQ8764" s="7"/>
      <c r="BZ8764" s="7"/>
    </row>
    <row r="8765" spans="2:78">
      <c r="B8765" s="7"/>
      <c r="O8765" s="7"/>
      <c r="X8765" s="7"/>
      <c r="AG8765" s="7"/>
      <c r="AP8765" s="7"/>
      <c r="AY8765" s="7"/>
      <c r="BH8765" s="7"/>
      <c r="BQ8765" s="7"/>
      <c r="BZ8765" s="7"/>
    </row>
    <row r="8766" spans="2:78">
      <c r="B8766" s="7"/>
      <c r="O8766" s="7"/>
      <c r="X8766" s="7"/>
      <c r="AG8766" s="7"/>
      <c r="AP8766" s="7"/>
      <c r="AY8766" s="7"/>
      <c r="BH8766" s="7"/>
      <c r="BQ8766" s="7"/>
      <c r="BZ8766" s="7"/>
    </row>
    <row r="8767" spans="2:78">
      <c r="B8767" s="7"/>
      <c r="O8767" s="7"/>
      <c r="X8767" s="7"/>
      <c r="AG8767" s="7"/>
      <c r="AP8767" s="7"/>
      <c r="AY8767" s="7"/>
      <c r="BH8767" s="7"/>
      <c r="BQ8767" s="7"/>
      <c r="BZ8767" s="7"/>
    </row>
    <row r="8768" spans="2:78">
      <c r="B8768" s="7"/>
      <c r="O8768" s="7"/>
      <c r="X8768" s="7"/>
      <c r="AG8768" s="7"/>
      <c r="AP8768" s="7"/>
      <c r="AY8768" s="7"/>
      <c r="BH8768" s="7"/>
      <c r="BQ8768" s="7"/>
      <c r="BZ8768" s="7"/>
    </row>
    <row r="8769" spans="2:78">
      <c r="B8769" s="7"/>
      <c r="O8769" s="7"/>
      <c r="X8769" s="7"/>
      <c r="AG8769" s="7"/>
      <c r="AP8769" s="7"/>
      <c r="AY8769" s="7"/>
      <c r="BH8769" s="7"/>
      <c r="BQ8769" s="7"/>
      <c r="BZ8769" s="7"/>
    </row>
    <row r="8770" spans="2:78">
      <c r="B8770" s="7"/>
      <c r="O8770" s="7"/>
      <c r="X8770" s="7"/>
      <c r="AG8770" s="7"/>
      <c r="AP8770" s="7"/>
      <c r="AY8770" s="7"/>
      <c r="BH8770" s="7"/>
      <c r="BQ8770" s="7"/>
      <c r="BZ8770" s="7"/>
    </row>
    <row r="8771" spans="2:78">
      <c r="B8771" s="7"/>
      <c r="O8771" s="7"/>
      <c r="X8771" s="7"/>
      <c r="AG8771" s="7"/>
      <c r="AP8771" s="7"/>
      <c r="AY8771" s="7"/>
      <c r="BH8771" s="7"/>
      <c r="BQ8771" s="7"/>
      <c r="BZ8771" s="7"/>
    </row>
    <row r="8772" spans="2:78">
      <c r="B8772" s="7"/>
      <c r="O8772" s="7"/>
      <c r="X8772" s="7"/>
      <c r="AG8772" s="7"/>
      <c r="AP8772" s="7"/>
      <c r="AY8772" s="7"/>
      <c r="BH8772" s="7"/>
      <c r="BQ8772" s="7"/>
      <c r="BZ8772" s="7"/>
    </row>
    <row r="8773" spans="2:78">
      <c r="B8773" s="7"/>
      <c r="O8773" s="7"/>
      <c r="X8773" s="7"/>
      <c r="AG8773" s="7"/>
      <c r="AP8773" s="7"/>
      <c r="AY8773" s="7"/>
      <c r="BH8773" s="7"/>
      <c r="BQ8773" s="7"/>
      <c r="BZ8773" s="7"/>
    </row>
    <row r="8774" spans="2:78">
      <c r="B8774" s="7"/>
      <c r="O8774" s="7"/>
      <c r="X8774" s="7"/>
      <c r="AG8774" s="7"/>
      <c r="AP8774" s="7"/>
      <c r="AY8774" s="7"/>
      <c r="BH8774" s="7"/>
      <c r="BQ8774" s="7"/>
      <c r="BZ8774" s="7"/>
    </row>
    <row r="8775" spans="2:78">
      <c r="B8775" s="7"/>
      <c r="O8775" s="7"/>
      <c r="X8775" s="7"/>
      <c r="AG8775" s="7"/>
      <c r="AP8775" s="7"/>
      <c r="AY8775" s="7"/>
      <c r="BH8775" s="7"/>
      <c r="BQ8775" s="7"/>
      <c r="BZ8775" s="7"/>
    </row>
    <row r="8776" spans="2:78">
      <c r="B8776" s="7"/>
      <c r="O8776" s="7"/>
      <c r="X8776" s="7"/>
      <c r="AG8776" s="7"/>
      <c r="AP8776" s="7"/>
      <c r="AY8776" s="7"/>
      <c r="BH8776" s="7"/>
      <c r="BQ8776" s="7"/>
      <c r="BZ8776" s="7"/>
    </row>
    <row r="8777" spans="2:78">
      <c r="B8777" s="7"/>
      <c r="O8777" s="7"/>
      <c r="X8777" s="7"/>
      <c r="AG8777" s="7"/>
      <c r="AP8777" s="7"/>
      <c r="AY8777" s="7"/>
      <c r="BH8777" s="7"/>
      <c r="BQ8777" s="7"/>
      <c r="BZ8777" s="7"/>
    </row>
    <row r="8778" spans="2:78">
      <c r="B8778" s="7"/>
      <c r="O8778" s="7"/>
      <c r="X8778" s="7"/>
      <c r="AG8778" s="7"/>
      <c r="AP8778" s="7"/>
      <c r="AY8778" s="7"/>
      <c r="BH8778" s="7"/>
      <c r="BQ8778" s="7"/>
      <c r="BZ8778" s="7"/>
    </row>
    <row r="8779" spans="2:78">
      <c r="B8779" s="7"/>
      <c r="O8779" s="7"/>
      <c r="X8779" s="7"/>
      <c r="AG8779" s="7"/>
      <c r="AP8779" s="7"/>
      <c r="AY8779" s="7"/>
      <c r="BH8779" s="7"/>
      <c r="BQ8779" s="7"/>
      <c r="BZ8779" s="7"/>
    </row>
    <row r="8780" spans="2:78">
      <c r="B8780" s="7"/>
      <c r="O8780" s="7"/>
      <c r="X8780" s="7"/>
      <c r="AG8780" s="7"/>
      <c r="AP8780" s="7"/>
      <c r="AY8780" s="7"/>
      <c r="BH8780" s="7"/>
      <c r="BQ8780" s="7"/>
      <c r="BZ8780" s="7"/>
    </row>
    <row r="8781" spans="2:78">
      <c r="B8781" s="7"/>
      <c r="O8781" s="7"/>
      <c r="X8781" s="7"/>
      <c r="AG8781" s="7"/>
      <c r="AP8781" s="7"/>
      <c r="AY8781" s="7"/>
      <c r="BH8781" s="7"/>
      <c r="BQ8781" s="7"/>
      <c r="BZ8781" s="7"/>
    </row>
    <row r="8782" spans="2:78">
      <c r="B8782" s="7"/>
      <c r="O8782" s="7"/>
      <c r="X8782" s="7"/>
      <c r="AG8782" s="7"/>
      <c r="AP8782" s="7"/>
      <c r="AY8782" s="7"/>
      <c r="BH8782" s="7"/>
      <c r="BQ8782" s="7"/>
      <c r="BZ8782" s="7"/>
    </row>
    <row r="8783" spans="2:78">
      <c r="B8783" s="7"/>
      <c r="O8783" s="7"/>
      <c r="X8783" s="7"/>
      <c r="AG8783" s="7"/>
      <c r="AP8783" s="7"/>
      <c r="AY8783" s="7"/>
      <c r="BH8783" s="7"/>
      <c r="BQ8783" s="7"/>
      <c r="BZ8783" s="7"/>
    </row>
    <row r="8784" spans="2:78">
      <c r="B8784" s="7"/>
      <c r="O8784" s="7"/>
      <c r="X8784" s="7"/>
      <c r="AG8784" s="7"/>
      <c r="AP8784" s="7"/>
      <c r="AY8784" s="7"/>
      <c r="BH8784" s="7"/>
      <c r="BQ8784" s="7"/>
      <c r="BZ8784" s="7"/>
    </row>
    <row r="8785" spans="2:78">
      <c r="B8785" s="7"/>
      <c r="O8785" s="7"/>
      <c r="X8785" s="7"/>
      <c r="AG8785" s="7"/>
      <c r="AP8785" s="7"/>
      <c r="AY8785" s="7"/>
      <c r="BH8785" s="7"/>
      <c r="BQ8785" s="7"/>
      <c r="BZ8785" s="7"/>
    </row>
    <row r="8786" spans="2:78">
      <c r="B8786" s="7"/>
      <c r="O8786" s="7"/>
      <c r="X8786" s="7"/>
      <c r="AG8786" s="7"/>
      <c r="AP8786" s="7"/>
      <c r="AY8786" s="7"/>
      <c r="BH8786" s="7"/>
      <c r="BQ8786" s="7"/>
      <c r="BZ8786" s="7"/>
    </row>
    <row r="8787" spans="2:78">
      <c r="B8787" s="7"/>
      <c r="O8787" s="7"/>
      <c r="X8787" s="7"/>
      <c r="AG8787" s="7"/>
      <c r="AP8787" s="7"/>
      <c r="AY8787" s="7"/>
      <c r="BH8787" s="7"/>
      <c r="BQ8787" s="7"/>
      <c r="BZ8787" s="7"/>
    </row>
    <row r="8788" spans="2:78">
      <c r="B8788" s="7"/>
      <c r="O8788" s="7"/>
      <c r="X8788" s="7"/>
      <c r="AG8788" s="7"/>
      <c r="AP8788" s="7"/>
      <c r="AY8788" s="7"/>
      <c r="BH8788" s="7"/>
      <c r="BQ8788" s="7"/>
      <c r="BZ8788" s="7"/>
    </row>
    <row r="8789" spans="2:78">
      <c r="B8789" s="7"/>
      <c r="O8789" s="7"/>
      <c r="X8789" s="7"/>
      <c r="AG8789" s="7"/>
      <c r="AP8789" s="7"/>
      <c r="AY8789" s="7"/>
      <c r="BH8789" s="7"/>
      <c r="BQ8789" s="7"/>
      <c r="BZ8789" s="7"/>
    </row>
    <row r="8790" spans="2:78">
      <c r="B8790" s="7"/>
      <c r="O8790" s="7"/>
      <c r="X8790" s="7"/>
      <c r="AG8790" s="7"/>
      <c r="AP8790" s="7"/>
      <c r="AY8790" s="7"/>
      <c r="BH8790" s="7"/>
      <c r="BQ8790" s="7"/>
      <c r="BZ8790" s="7"/>
    </row>
    <row r="8791" spans="2:78">
      <c r="B8791" s="7"/>
      <c r="O8791" s="7"/>
      <c r="X8791" s="7"/>
      <c r="AG8791" s="7"/>
      <c r="AP8791" s="7"/>
      <c r="AY8791" s="7"/>
      <c r="BH8791" s="7"/>
      <c r="BQ8791" s="7"/>
      <c r="BZ8791" s="7"/>
    </row>
    <row r="8792" spans="2:78">
      <c r="B8792" s="7"/>
      <c r="O8792" s="7"/>
      <c r="X8792" s="7"/>
      <c r="AG8792" s="7"/>
      <c r="AP8792" s="7"/>
      <c r="AY8792" s="7"/>
      <c r="BH8792" s="7"/>
      <c r="BQ8792" s="7"/>
      <c r="BZ8792" s="7"/>
    </row>
    <row r="8793" spans="2:78">
      <c r="B8793" s="7"/>
      <c r="O8793" s="7"/>
      <c r="X8793" s="7"/>
      <c r="AG8793" s="7"/>
      <c r="AP8793" s="7"/>
      <c r="AY8793" s="7"/>
      <c r="BH8793" s="7"/>
      <c r="BQ8793" s="7"/>
      <c r="BZ8793" s="7"/>
    </row>
    <row r="8794" spans="2:78">
      <c r="B8794" s="7"/>
      <c r="O8794" s="7"/>
      <c r="X8794" s="7"/>
      <c r="AG8794" s="7"/>
      <c r="AP8794" s="7"/>
      <c r="AY8794" s="7"/>
      <c r="BH8794" s="7"/>
      <c r="BQ8794" s="7"/>
      <c r="BZ8794" s="7"/>
    </row>
    <row r="8795" spans="2:78">
      <c r="B8795" s="7"/>
      <c r="O8795" s="7"/>
      <c r="X8795" s="7"/>
      <c r="AG8795" s="7"/>
      <c r="AP8795" s="7"/>
      <c r="AY8795" s="7"/>
      <c r="BH8795" s="7"/>
      <c r="BQ8795" s="7"/>
      <c r="BZ8795" s="7"/>
    </row>
    <row r="8796" spans="2:78">
      <c r="B8796" s="7"/>
      <c r="O8796" s="7"/>
      <c r="X8796" s="7"/>
      <c r="AG8796" s="7"/>
      <c r="AP8796" s="7"/>
      <c r="AY8796" s="7"/>
      <c r="BH8796" s="7"/>
      <c r="BQ8796" s="7"/>
      <c r="BZ8796" s="7"/>
    </row>
    <row r="8797" spans="2:78">
      <c r="B8797" s="7"/>
      <c r="O8797" s="7"/>
      <c r="X8797" s="7"/>
      <c r="AG8797" s="7"/>
      <c r="AP8797" s="7"/>
      <c r="AY8797" s="7"/>
      <c r="BH8797" s="7"/>
      <c r="BQ8797" s="7"/>
      <c r="BZ8797" s="7"/>
    </row>
    <row r="8798" spans="2:78">
      <c r="B8798" s="7"/>
      <c r="O8798" s="7"/>
      <c r="X8798" s="7"/>
      <c r="AG8798" s="7"/>
      <c r="AP8798" s="7"/>
      <c r="AY8798" s="7"/>
      <c r="BH8798" s="7"/>
      <c r="BQ8798" s="7"/>
      <c r="BZ8798" s="7"/>
    </row>
    <row r="8799" spans="2:78">
      <c r="B8799" s="7"/>
      <c r="O8799" s="7"/>
      <c r="X8799" s="7"/>
      <c r="AG8799" s="7"/>
      <c r="AP8799" s="7"/>
      <c r="AY8799" s="7"/>
      <c r="BH8799" s="7"/>
      <c r="BQ8799" s="7"/>
      <c r="BZ8799" s="7"/>
    </row>
    <row r="8800" spans="2:78">
      <c r="B8800" s="7"/>
      <c r="O8800" s="7"/>
      <c r="X8800" s="7"/>
      <c r="AG8800" s="7"/>
      <c r="AP8800" s="7"/>
      <c r="AY8800" s="7"/>
      <c r="BH8800" s="7"/>
      <c r="BQ8800" s="7"/>
      <c r="BZ8800" s="7"/>
    </row>
    <row r="8801" spans="2:78">
      <c r="B8801" s="7"/>
      <c r="O8801" s="7"/>
      <c r="X8801" s="7"/>
      <c r="AG8801" s="7"/>
      <c r="AP8801" s="7"/>
      <c r="AY8801" s="7"/>
      <c r="BH8801" s="7"/>
      <c r="BQ8801" s="7"/>
      <c r="BZ8801" s="7"/>
    </row>
    <row r="8802" spans="2:78">
      <c r="B8802" s="7"/>
      <c r="O8802" s="7"/>
      <c r="X8802" s="7"/>
      <c r="AG8802" s="7"/>
      <c r="AP8802" s="7"/>
      <c r="AY8802" s="7"/>
      <c r="BH8802" s="7"/>
      <c r="BQ8802" s="7"/>
      <c r="BZ8802" s="7"/>
    </row>
    <row r="8803" spans="2:78">
      <c r="B8803" s="7"/>
      <c r="O8803" s="7"/>
      <c r="X8803" s="7"/>
      <c r="AG8803" s="7"/>
      <c r="AP8803" s="7"/>
      <c r="AY8803" s="7"/>
      <c r="BH8803" s="7"/>
      <c r="BQ8803" s="7"/>
      <c r="BZ8803" s="7"/>
    </row>
    <row r="8804" spans="2:78">
      <c r="B8804" s="7"/>
      <c r="O8804" s="7"/>
      <c r="X8804" s="7"/>
      <c r="AG8804" s="7"/>
      <c r="AP8804" s="7"/>
      <c r="AY8804" s="7"/>
      <c r="BH8804" s="7"/>
      <c r="BQ8804" s="7"/>
      <c r="BZ8804" s="7"/>
    </row>
    <row r="8805" spans="2:78">
      <c r="B8805" s="7"/>
      <c r="O8805" s="7"/>
      <c r="X8805" s="7"/>
      <c r="AG8805" s="7"/>
      <c r="AP8805" s="7"/>
      <c r="AY8805" s="7"/>
      <c r="BH8805" s="7"/>
      <c r="BQ8805" s="7"/>
      <c r="BZ8805" s="7"/>
    </row>
    <row r="8806" spans="2:78">
      <c r="B8806" s="7"/>
      <c r="O8806" s="7"/>
      <c r="X8806" s="7"/>
      <c r="AG8806" s="7"/>
      <c r="AP8806" s="7"/>
      <c r="AY8806" s="7"/>
      <c r="BH8806" s="7"/>
      <c r="BQ8806" s="7"/>
      <c r="BZ8806" s="7"/>
    </row>
    <row r="8807" spans="2:78">
      <c r="B8807" s="7"/>
      <c r="O8807" s="7"/>
      <c r="X8807" s="7"/>
      <c r="AG8807" s="7"/>
      <c r="AP8807" s="7"/>
      <c r="AY8807" s="7"/>
      <c r="BH8807" s="7"/>
      <c r="BQ8807" s="7"/>
      <c r="BZ8807" s="7"/>
    </row>
    <row r="8808" spans="2:78">
      <c r="B8808" s="7"/>
      <c r="O8808" s="7"/>
      <c r="X8808" s="7"/>
      <c r="AG8808" s="7"/>
      <c r="AP8808" s="7"/>
      <c r="AY8808" s="7"/>
      <c r="BH8808" s="7"/>
      <c r="BQ8808" s="7"/>
      <c r="BZ8808" s="7"/>
    </row>
    <row r="8809" spans="2:78">
      <c r="B8809" s="7"/>
      <c r="O8809" s="7"/>
      <c r="X8809" s="7"/>
      <c r="AG8809" s="7"/>
      <c r="AP8809" s="7"/>
      <c r="AY8809" s="7"/>
      <c r="BH8809" s="7"/>
      <c r="BQ8809" s="7"/>
      <c r="BZ8809" s="7"/>
    </row>
    <row r="8810" spans="2:78">
      <c r="B8810" s="7"/>
      <c r="O8810" s="7"/>
      <c r="X8810" s="7"/>
      <c r="AG8810" s="7"/>
      <c r="AP8810" s="7"/>
      <c r="AY8810" s="7"/>
      <c r="BH8810" s="7"/>
      <c r="BQ8810" s="7"/>
      <c r="BZ8810" s="7"/>
    </row>
    <row r="8811" spans="2:78">
      <c r="B8811" s="7"/>
      <c r="O8811" s="7"/>
      <c r="X8811" s="7"/>
      <c r="AG8811" s="7"/>
      <c r="AP8811" s="7"/>
      <c r="AY8811" s="7"/>
      <c r="BH8811" s="7"/>
      <c r="BQ8811" s="7"/>
      <c r="BZ8811" s="7"/>
    </row>
    <row r="8812" spans="2:78">
      <c r="B8812" s="7"/>
      <c r="O8812" s="7"/>
      <c r="X8812" s="7"/>
      <c r="AG8812" s="7"/>
      <c r="AP8812" s="7"/>
      <c r="AY8812" s="7"/>
      <c r="BH8812" s="7"/>
      <c r="BQ8812" s="7"/>
      <c r="BZ8812" s="7"/>
    </row>
    <row r="8813" spans="2:78">
      <c r="B8813" s="7"/>
      <c r="O8813" s="7"/>
      <c r="X8813" s="7"/>
      <c r="AG8813" s="7"/>
      <c r="AP8813" s="7"/>
      <c r="AY8813" s="7"/>
      <c r="BH8813" s="7"/>
      <c r="BQ8813" s="7"/>
      <c r="BZ8813" s="7"/>
    </row>
    <row r="8814" spans="2:78">
      <c r="B8814" s="7"/>
      <c r="O8814" s="7"/>
      <c r="X8814" s="7"/>
      <c r="AG8814" s="7"/>
      <c r="AP8814" s="7"/>
      <c r="AY8814" s="7"/>
      <c r="BH8814" s="7"/>
      <c r="BQ8814" s="7"/>
      <c r="BZ8814" s="7"/>
    </row>
    <row r="8815" spans="2:78">
      <c r="B8815" s="7"/>
      <c r="O8815" s="7"/>
      <c r="X8815" s="7"/>
      <c r="AG8815" s="7"/>
      <c r="AP8815" s="7"/>
      <c r="AY8815" s="7"/>
      <c r="BH8815" s="7"/>
      <c r="BQ8815" s="7"/>
      <c r="BZ8815" s="7"/>
    </row>
    <row r="8816" spans="2:78">
      <c r="B8816" s="7"/>
      <c r="O8816" s="7"/>
      <c r="X8816" s="7"/>
      <c r="AG8816" s="7"/>
      <c r="AP8816" s="7"/>
      <c r="AY8816" s="7"/>
      <c r="BH8816" s="7"/>
      <c r="BQ8816" s="7"/>
      <c r="BZ8816" s="7"/>
    </row>
    <row r="8817" spans="2:78">
      <c r="B8817" s="7"/>
      <c r="O8817" s="7"/>
      <c r="X8817" s="7"/>
      <c r="AG8817" s="7"/>
      <c r="AP8817" s="7"/>
      <c r="AY8817" s="7"/>
      <c r="BH8817" s="7"/>
      <c r="BQ8817" s="7"/>
      <c r="BZ8817" s="7"/>
    </row>
    <row r="8818" spans="2:78">
      <c r="B8818" s="7"/>
      <c r="O8818" s="7"/>
      <c r="X8818" s="7"/>
      <c r="AG8818" s="7"/>
      <c r="AP8818" s="7"/>
      <c r="AY8818" s="7"/>
      <c r="BH8818" s="7"/>
      <c r="BQ8818" s="7"/>
      <c r="BZ8818" s="7"/>
    </row>
    <row r="8819" spans="2:78">
      <c r="B8819" s="7"/>
      <c r="O8819" s="7"/>
      <c r="X8819" s="7"/>
      <c r="AG8819" s="7"/>
      <c r="AP8819" s="7"/>
      <c r="AY8819" s="7"/>
      <c r="BH8819" s="7"/>
      <c r="BQ8819" s="7"/>
      <c r="BZ8819" s="7"/>
    </row>
    <row r="8820" spans="2:78">
      <c r="B8820" s="7"/>
      <c r="O8820" s="7"/>
      <c r="X8820" s="7"/>
      <c r="AG8820" s="7"/>
      <c r="AP8820" s="7"/>
      <c r="AY8820" s="7"/>
      <c r="BH8820" s="7"/>
      <c r="BQ8820" s="7"/>
      <c r="BZ8820" s="7"/>
    </row>
    <row r="8821" spans="2:78">
      <c r="B8821" s="7"/>
      <c r="O8821" s="7"/>
      <c r="X8821" s="7"/>
      <c r="AG8821" s="7"/>
      <c r="AP8821" s="7"/>
      <c r="AY8821" s="7"/>
      <c r="BH8821" s="7"/>
      <c r="BQ8821" s="7"/>
      <c r="BZ8821" s="7"/>
    </row>
    <row r="8822" spans="2:78">
      <c r="B8822" s="7"/>
      <c r="O8822" s="7"/>
      <c r="X8822" s="7"/>
      <c r="AG8822" s="7"/>
      <c r="AP8822" s="7"/>
      <c r="AY8822" s="7"/>
      <c r="BH8822" s="7"/>
      <c r="BQ8822" s="7"/>
      <c r="BZ8822" s="7"/>
    </row>
    <row r="8823" spans="2:78">
      <c r="B8823" s="7"/>
      <c r="O8823" s="7"/>
      <c r="X8823" s="7"/>
      <c r="AG8823" s="7"/>
      <c r="AP8823" s="7"/>
      <c r="AY8823" s="7"/>
      <c r="BH8823" s="7"/>
      <c r="BQ8823" s="7"/>
      <c r="BZ8823" s="7"/>
    </row>
    <row r="8824" spans="2:78">
      <c r="B8824" s="7"/>
      <c r="O8824" s="7"/>
      <c r="X8824" s="7"/>
      <c r="AG8824" s="7"/>
      <c r="AP8824" s="7"/>
      <c r="AY8824" s="7"/>
      <c r="BH8824" s="7"/>
      <c r="BQ8824" s="7"/>
      <c r="BZ8824" s="7"/>
    </row>
    <row r="8825" spans="2:78">
      <c r="B8825" s="7"/>
      <c r="O8825" s="7"/>
      <c r="X8825" s="7"/>
      <c r="AG8825" s="7"/>
      <c r="AP8825" s="7"/>
      <c r="AY8825" s="7"/>
      <c r="BH8825" s="7"/>
      <c r="BQ8825" s="7"/>
      <c r="BZ8825" s="7"/>
    </row>
    <row r="8826" spans="2:78">
      <c r="B8826" s="7"/>
      <c r="O8826" s="7"/>
      <c r="X8826" s="7"/>
      <c r="AG8826" s="7"/>
      <c r="AP8826" s="7"/>
      <c r="AY8826" s="7"/>
      <c r="BH8826" s="7"/>
      <c r="BQ8826" s="7"/>
      <c r="BZ8826" s="7"/>
    </row>
    <row r="8827" spans="2:78">
      <c r="B8827" s="7"/>
      <c r="O8827" s="7"/>
      <c r="X8827" s="7"/>
      <c r="AG8827" s="7"/>
      <c r="AP8827" s="7"/>
      <c r="AY8827" s="7"/>
      <c r="BH8827" s="7"/>
      <c r="BQ8827" s="7"/>
      <c r="BZ8827" s="7"/>
    </row>
    <row r="8828" spans="2:78">
      <c r="B8828" s="7"/>
      <c r="O8828" s="7"/>
      <c r="X8828" s="7"/>
      <c r="AG8828" s="7"/>
      <c r="AP8828" s="7"/>
      <c r="AY8828" s="7"/>
      <c r="BH8828" s="7"/>
      <c r="BQ8828" s="7"/>
      <c r="BZ8828" s="7"/>
    </row>
    <row r="8829" spans="2:78">
      <c r="B8829" s="7"/>
      <c r="O8829" s="7"/>
      <c r="X8829" s="7"/>
      <c r="AG8829" s="7"/>
      <c r="AP8829" s="7"/>
      <c r="AY8829" s="7"/>
      <c r="BH8829" s="7"/>
      <c r="BQ8829" s="7"/>
      <c r="BZ8829" s="7"/>
    </row>
    <row r="8830" spans="2:78">
      <c r="B8830" s="7"/>
      <c r="O8830" s="7"/>
      <c r="X8830" s="7"/>
      <c r="AG8830" s="7"/>
      <c r="AP8830" s="7"/>
      <c r="AY8830" s="7"/>
      <c r="BH8830" s="7"/>
      <c r="BQ8830" s="7"/>
      <c r="BZ8830" s="7"/>
    </row>
    <row r="8831" spans="2:78">
      <c r="B8831" s="7"/>
      <c r="O8831" s="7"/>
      <c r="X8831" s="7"/>
      <c r="AG8831" s="7"/>
      <c r="AP8831" s="7"/>
      <c r="AY8831" s="7"/>
      <c r="BH8831" s="7"/>
      <c r="BQ8831" s="7"/>
      <c r="BZ8831" s="7"/>
    </row>
    <row r="8832" spans="2:78">
      <c r="B8832" s="7"/>
      <c r="O8832" s="7"/>
      <c r="X8832" s="7"/>
      <c r="AG8832" s="7"/>
      <c r="AP8832" s="7"/>
      <c r="AY8832" s="7"/>
      <c r="BH8832" s="7"/>
      <c r="BQ8832" s="7"/>
      <c r="BZ8832" s="7"/>
    </row>
    <row r="8833" spans="2:78">
      <c r="B8833" s="7"/>
      <c r="O8833" s="7"/>
      <c r="X8833" s="7"/>
      <c r="AG8833" s="7"/>
      <c r="AP8833" s="7"/>
      <c r="AY8833" s="7"/>
      <c r="BH8833" s="7"/>
      <c r="BQ8833" s="7"/>
      <c r="BZ8833" s="7"/>
    </row>
    <row r="8834" spans="2:78">
      <c r="B8834" s="7"/>
      <c r="O8834" s="7"/>
      <c r="X8834" s="7"/>
      <c r="AG8834" s="7"/>
      <c r="AP8834" s="7"/>
      <c r="AY8834" s="7"/>
      <c r="BH8834" s="7"/>
      <c r="BQ8834" s="7"/>
      <c r="BZ8834" s="7"/>
    </row>
    <row r="8835" spans="2:78">
      <c r="B8835" s="7"/>
      <c r="O8835" s="7"/>
      <c r="X8835" s="7"/>
      <c r="AG8835" s="7"/>
      <c r="AP8835" s="7"/>
      <c r="AY8835" s="7"/>
      <c r="BH8835" s="7"/>
      <c r="BQ8835" s="7"/>
      <c r="BZ8835" s="7"/>
    </row>
    <row r="8836" spans="2:78">
      <c r="B8836" s="7"/>
      <c r="O8836" s="7"/>
      <c r="X8836" s="7"/>
      <c r="AG8836" s="7"/>
      <c r="AP8836" s="7"/>
      <c r="AY8836" s="7"/>
      <c r="BH8836" s="7"/>
      <c r="BQ8836" s="7"/>
      <c r="BZ8836" s="7"/>
    </row>
    <row r="8837" spans="2:78">
      <c r="B8837" s="7"/>
      <c r="O8837" s="7"/>
      <c r="X8837" s="7"/>
      <c r="AG8837" s="7"/>
      <c r="AP8837" s="7"/>
      <c r="AY8837" s="7"/>
      <c r="BH8837" s="7"/>
      <c r="BQ8837" s="7"/>
      <c r="BZ8837" s="7"/>
    </row>
    <row r="8838" spans="2:78">
      <c r="B8838" s="7"/>
      <c r="O8838" s="7"/>
      <c r="X8838" s="7"/>
      <c r="AG8838" s="7"/>
      <c r="AP8838" s="7"/>
      <c r="AY8838" s="7"/>
      <c r="BH8838" s="7"/>
      <c r="BQ8838" s="7"/>
      <c r="BZ8838" s="7"/>
    </row>
    <row r="8839" spans="2:78">
      <c r="B8839" s="7"/>
      <c r="O8839" s="7"/>
      <c r="X8839" s="7"/>
      <c r="AG8839" s="7"/>
      <c r="AP8839" s="7"/>
      <c r="AY8839" s="7"/>
      <c r="BH8839" s="7"/>
      <c r="BQ8839" s="7"/>
      <c r="BZ8839" s="7"/>
    </row>
    <row r="8840" spans="2:78">
      <c r="B8840" s="7"/>
      <c r="O8840" s="7"/>
      <c r="X8840" s="7"/>
      <c r="AG8840" s="7"/>
      <c r="AP8840" s="7"/>
      <c r="AY8840" s="7"/>
      <c r="BH8840" s="7"/>
      <c r="BQ8840" s="7"/>
      <c r="BZ8840" s="7"/>
    </row>
    <row r="8841" spans="2:78">
      <c r="B8841" s="7"/>
      <c r="O8841" s="7"/>
      <c r="X8841" s="7"/>
      <c r="AG8841" s="7"/>
      <c r="AP8841" s="7"/>
      <c r="AY8841" s="7"/>
      <c r="BH8841" s="7"/>
      <c r="BQ8841" s="7"/>
      <c r="BZ8841" s="7"/>
    </row>
    <row r="8842" spans="2:78">
      <c r="B8842" s="7"/>
      <c r="O8842" s="7"/>
      <c r="X8842" s="7"/>
      <c r="AG8842" s="7"/>
      <c r="AP8842" s="7"/>
      <c r="AY8842" s="7"/>
      <c r="BH8842" s="7"/>
      <c r="BQ8842" s="7"/>
      <c r="BZ8842" s="7"/>
    </row>
    <row r="8843" spans="2:78">
      <c r="B8843" s="7"/>
      <c r="O8843" s="7"/>
      <c r="X8843" s="7"/>
      <c r="AG8843" s="7"/>
      <c r="AP8843" s="7"/>
      <c r="AY8843" s="7"/>
      <c r="BH8843" s="7"/>
      <c r="BQ8843" s="7"/>
      <c r="BZ8843" s="7"/>
    </row>
    <row r="8844" spans="2:78">
      <c r="B8844" s="7"/>
      <c r="O8844" s="7"/>
      <c r="X8844" s="7"/>
      <c r="AG8844" s="7"/>
      <c r="AP8844" s="7"/>
      <c r="AY8844" s="7"/>
      <c r="BH8844" s="7"/>
      <c r="BQ8844" s="7"/>
      <c r="BZ8844" s="7"/>
    </row>
    <row r="8845" spans="2:78">
      <c r="B8845" s="7"/>
      <c r="O8845" s="7"/>
      <c r="X8845" s="7"/>
      <c r="AG8845" s="7"/>
      <c r="AP8845" s="7"/>
      <c r="AY8845" s="7"/>
      <c r="BH8845" s="7"/>
      <c r="BQ8845" s="7"/>
      <c r="BZ8845" s="7"/>
    </row>
    <row r="8846" spans="2:78">
      <c r="B8846" s="7"/>
      <c r="O8846" s="7"/>
      <c r="X8846" s="7"/>
      <c r="AG8846" s="7"/>
      <c r="AP8846" s="7"/>
      <c r="AY8846" s="7"/>
      <c r="BH8846" s="7"/>
      <c r="BQ8846" s="7"/>
      <c r="BZ8846" s="7"/>
    </row>
    <row r="8847" spans="2:78">
      <c r="B8847" s="7"/>
      <c r="O8847" s="7"/>
      <c r="X8847" s="7"/>
      <c r="AG8847" s="7"/>
      <c r="AP8847" s="7"/>
      <c r="AY8847" s="7"/>
      <c r="BH8847" s="7"/>
      <c r="BQ8847" s="7"/>
      <c r="BZ8847" s="7"/>
    </row>
    <row r="8848" spans="2:78">
      <c r="B8848" s="7"/>
      <c r="O8848" s="7"/>
      <c r="X8848" s="7"/>
      <c r="AG8848" s="7"/>
      <c r="AP8848" s="7"/>
      <c r="AY8848" s="7"/>
      <c r="BH8848" s="7"/>
      <c r="BQ8848" s="7"/>
      <c r="BZ8848" s="7"/>
    </row>
    <row r="8849" spans="2:78">
      <c r="B8849" s="7"/>
      <c r="O8849" s="7"/>
      <c r="X8849" s="7"/>
      <c r="AG8849" s="7"/>
      <c r="AP8849" s="7"/>
      <c r="AY8849" s="7"/>
      <c r="BH8849" s="7"/>
      <c r="BQ8849" s="7"/>
      <c r="BZ8849" s="7"/>
    </row>
    <row r="8850" spans="2:78">
      <c r="B8850" s="7"/>
      <c r="O8850" s="7"/>
      <c r="X8850" s="7"/>
      <c r="AG8850" s="7"/>
      <c r="AP8850" s="7"/>
      <c r="AY8850" s="7"/>
      <c r="BH8850" s="7"/>
      <c r="BQ8850" s="7"/>
      <c r="BZ8850" s="7"/>
    </row>
    <row r="8851" spans="2:78">
      <c r="B8851" s="7"/>
      <c r="O8851" s="7"/>
      <c r="X8851" s="7"/>
      <c r="AG8851" s="7"/>
      <c r="AP8851" s="7"/>
      <c r="AY8851" s="7"/>
      <c r="BH8851" s="7"/>
      <c r="BQ8851" s="7"/>
      <c r="BZ8851" s="7"/>
    </row>
    <row r="8852" spans="2:78">
      <c r="B8852" s="7"/>
      <c r="O8852" s="7"/>
      <c r="X8852" s="7"/>
      <c r="AG8852" s="7"/>
      <c r="AP8852" s="7"/>
      <c r="AY8852" s="7"/>
      <c r="BH8852" s="7"/>
      <c r="BQ8852" s="7"/>
      <c r="BZ8852" s="7"/>
    </row>
    <row r="8853" spans="2:78">
      <c r="B8853" s="7"/>
      <c r="O8853" s="7"/>
      <c r="X8853" s="7"/>
      <c r="AG8853" s="7"/>
      <c r="AP8853" s="7"/>
      <c r="AY8853" s="7"/>
      <c r="BH8853" s="7"/>
      <c r="BQ8853" s="7"/>
      <c r="BZ8853" s="7"/>
    </row>
    <row r="8854" spans="2:78">
      <c r="B8854" s="7"/>
      <c r="O8854" s="7"/>
      <c r="X8854" s="7"/>
      <c r="AG8854" s="7"/>
      <c r="AP8854" s="7"/>
      <c r="AY8854" s="7"/>
      <c r="BH8854" s="7"/>
      <c r="BQ8854" s="7"/>
      <c r="BZ8854" s="7"/>
    </row>
    <row r="8855" spans="2:78">
      <c r="B8855" s="7"/>
      <c r="O8855" s="7"/>
      <c r="X8855" s="7"/>
      <c r="AG8855" s="7"/>
      <c r="AP8855" s="7"/>
      <c r="AY8855" s="7"/>
      <c r="BH8855" s="7"/>
      <c r="BQ8855" s="7"/>
      <c r="BZ8855" s="7"/>
    </row>
    <row r="8856" spans="2:78">
      <c r="B8856" s="7"/>
      <c r="O8856" s="7"/>
      <c r="X8856" s="7"/>
      <c r="AG8856" s="7"/>
      <c r="AP8856" s="7"/>
      <c r="AY8856" s="7"/>
      <c r="BH8856" s="7"/>
      <c r="BQ8856" s="7"/>
      <c r="BZ8856" s="7"/>
    </row>
    <row r="8857" spans="2:78">
      <c r="B8857" s="7"/>
      <c r="O8857" s="7"/>
      <c r="X8857" s="7"/>
      <c r="AG8857" s="7"/>
      <c r="AP8857" s="7"/>
      <c r="AY8857" s="7"/>
      <c r="BH8857" s="7"/>
      <c r="BQ8857" s="7"/>
      <c r="BZ8857" s="7"/>
    </row>
    <row r="8858" spans="2:78">
      <c r="B8858" s="7"/>
      <c r="O8858" s="7"/>
      <c r="X8858" s="7"/>
      <c r="AG8858" s="7"/>
      <c r="AP8858" s="7"/>
      <c r="AY8858" s="7"/>
      <c r="BH8858" s="7"/>
      <c r="BQ8858" s="7"/>
      <c r="BZ8858" s="7"/>
    </row>
    <row r="8859" spans="2:78">
      <c r="B8859" s="7"/>
      <c r="O8859" s="7"/>
      <c r="X8859" s="7"/>
      <c r="AG8859" s="7"/>
      <c r="AP8859" s="7"/>
      <c r="AY8859" s="7"/>
      <c r="BH8859" s="7"/>
      <c r="BQ8859" s="7"/>
      <c r="BZ8859" s="7"/>
    </row>
    <row r="8860" spans="2:78">
      <c r="B8860" s="7"/>
      <c r="O8860" s="7"/>
      <c r="X8860" s="7"/>
      <c r="AG8860" s="7"/>
      <c r="AP8860" s="7"/>
      <c r="AY8860" s="7"/>
      <c r="BH8860" s="7"/>
      <c r="BQ8860" s="7"/>
      <c r="BZ8860" s="7"/>
    </row>
    <row r="8861" spans="2:78">
      <c r="B8861" s="7"/>
      <c r="O8861" s="7"/>
      <c r="X8861" s="7"/>
      <c r="AG8861" s="7"/>
      <c r="AP8861" s="7"/>
      <c r="AY8861" s="7"/>
      <c r="BH8861" s="7"/>
      <c r="BQ8861" s="7"/>
      <c r="BZ8861" s="7"/>
    </row>
    <row r="8862" spans="2:78">
      <c r="B8862" s="7"/>
      <c r="O8862" s="7"/>
      <c r="X8862" s="7"/>
      <c r="AG8862" s="7"/>
      <c r="AP8862" s="7"/>
      <c r="AY8862" s="7"/>
      <c r="BH8862" s="7"/>
      <c r="BQ8862" s="7"/>
      <c r="BZ8862" s="7"/>
    </row>
    <row r="8863" spans="2:78">
      <c r="B8863" s="7"/>
      <c r="O8863" s="7"/>
      <c r="X8863" s="7"/>
      <c r="AG8863" s="7"/>
      <c r="AP8863" s="7"/>
      <c r="AY8863" s="7"/>
      <c r="BH8863" s="7"/>
      <c r="BQ8863" s="7"/>
      <c r="BZ8863" s="7"/>
    </row>
    <row r="8864" spans="2:78">
      <c r="B8864" s="7"/>
      <c r="O8864" s="7"/>
      <c r="X8864" s="7"/>
      <c r="AG8864" s="7"/>
      <c r="AP8864" s="7"/>
      <c r="AY8864" s="7"/>
      <c r="BH8864" s="7"/>
      <c r="BQ8864" s="7"/>
      <c r="BZ8864" s="7"/>
    </row>
    <row r="8865" spans="2:78">
      <c r="B8865" s="7"/>
      <c r="O8865" s="7"/>
      <c r="X8865" s="7"/>
      <c r="AG8865" s="7"/>
      <c r="AP8865" s="7"/>
      <c r="AY8865" s="7"/>
      <c r="BH8865" s="7"/>
      <c r="BQ8865" s="7"/>
      <c r="BZ8865" s="7"/>
    </row>
    <row r="8866" spans="2:78">
      <c r="B8866" s="7"/>
      <c r="O8866" s="7"/>
      <c r="X8866" s="7"/>
      <c r="AG8866" s="7"/>
      <c r="AP8866" s="7"/>
      <c r="AY8866" s="7"/>
      <c r="BH8866" s="7"/>
      <c r="BQ8866" s="7"/>
      <c r="BZ8866" s="7"/>
    </row>
    <row r="8867" spans="2:78">
      <c r="B8867" s="7"/>
      <c r="O8867" s="7"/>
      <c r="X8867" s="7"/>
      <c r="AG8867" s="7"/>
      <c r="AP8867" s="7"/>
      <c r="AY8867" s="7"/>
      <c r="BH8867" s="7"/>
      <c r="BQ8867" s="7"/>
      <c r="BZ8867" s="7"/>
    </row>
    <row r="8868" spans="2:78">
      <c r="B8868" s="7"/>
      <c r="O8868" s="7"/>
      <c r="X8868" s="7"/>
      <c r="AG8868" s="7"/>
      <c r="AP8868" s="7"/>
      <c r="AY8868" s="7"/>
      <c r="BH8868" s="7"/>
      <c r="BQ8868" s="7"/>
      <c r="BZ8868" s="7"/>
    </row>
    <row r="8869" spans="2:78">
      <c r="B8869" s="7"/>
      <c r="O8869" s="7"/>
      <c r="X8869" s="7"/>
      <c r="AG8869" s="7"/>
      <c r="AP8869" s="7"/>
      <c r="AY8869" s="7"/>
      <c r="BH8869" s="7"/>
      <c r="BQ8869" s="7"/>
      <c r="BZ8869" s="7"/>
    </row>
    <row r="8870" spans="2:78">
      <c r="B8870" s="7"/>
      <c r="O8870" s="7"/>
      <c r="X8870" s="7"/>
      <c r="AG8870" s="7"/>
      <c r="AP8870" s="7"/>
      <c r="AY8870" s="7"/>
      <c r="BH8870" s="7"/>
      <c r="BQ8870" s="7"/>
      <c r="BZ8870" s="7"/>
    </row>
    <row r="8871" spans="2:78">
      <c r="B8871" s="7"/>
      <c r="O8871" s="7"/>
      <c r="X8871" s="7"/>
      <c r="AG8871" s="7"/>
      <c r="AP8871" s="7"/>
      <c r="AY8871" s="7"/>
      <c r="BH8871" s="7"/>
      <c r="BQ8871" s="7"/>
      <c r="BZ8871" s="7"/>
    </row>
    <row r="8872" spans="2:78">
      <c r="B8872" s="7"/>
      <c r="O8872" s="7"/>
      <c r="X8872" s="7"/>
      <c r="AG8872" s="7"/>
      <c r="AP8872" s="7"/>
      <c r="AY8872" s="7"/>
      <c r="BH8872" s="7"/>
      <c r="BQ8872" s="7"/>
      <c r="BZ8872" s="7"/>
    </row>
    <row r="8873" spans="2:78">
      <c r="B8873" s="7"/>
      <c r="O8873" s="7"/>
      <c r="X8873" s="7"/>
      <c r="AG8873" s="7"/>
      <c r="AP8873" s="7"/>
      <c r="AY8873" s="7"/>
      <c r="BH8873" s="7"/>
      <c r="BQ8873" s="7"/>
      <c r="BZ8873" s="7"/>
    </row>
    <row r="8874" spans="2:78">
      <c r="B8874" s="7"/>
      <c r="O8874" s="7"/>
      <c r="X8874" s="7"/>
      <c r="AG8874" s="7"/>
      <c r="AP8874" s="7"/>
      <c r="AY8874" s="7"/>
      <c r="BH8874" s="7"/>
      <c r="BQ8874" s="7"/>
      <c r="BZ8874" s="7"/>
    </row>
    <row r="8875" spans="2:78">
      <c r="B8875" s="7"/>
      <c r="O8875" s="7"/>
      <c r="X8875" s="7"/>
      <c r="AG8875" s="7"/>
      <c r="AP8875" s="7"/>
      <c r="AY8875" s="7"/>
      <c r="BH8875" s="7"/>
      <c r="BQ8875" s="7"/>
      <c r="BZ8875" s="7"/>
    </row>
    <row r="8876" spans="2:78">
      <c r="B8876" s="7"/>
      <c r="O8876" s="7"/>
      <c r="X8876" s="7"/>
      <c r="AG8876" s="7"/>
      <c r="AP8876" s="7"/>
      <c r="AY8876" s="7"/>
      <c r="BH8876" s="7"/>
      <c r="BQ8876" s="7"/>
      <c r="BZ8876" s="7"/>
    </row>
    <row r="8877" spans="2:78">
      <c r="B8877" s="7"/>
      <c r="O8877" s="7"/>
      <c r="X8877" s="7"/>
      <c r="AG8877" s="7"/>
      <c r="AP8877" s="7"/>
      <c r="AY8877" s="7"/>
      <c r="BH8877" s="7"/>
      <c r="BQ8877" s="7"/>
      <c r="BZ8877" s="7"/>
    </row>
    <row r="8878" spans="2:78">
      <c r="B8878" s="7"/>
      <c r="O8878" s="7"/>
      <c r="X8878" s="7"/>
      <c r="AG8878" s="7"/>
      <c r="AP8878" s="7"/>
      <c r="AY8878" s="7"/>
      <c r="BH8878" s="7"/>
      <c r="BQ8878" s="7"/>
      <c r="BZ8878" s="7"/>
    </row>
    <row r="8879" spans="2:78">
      <c r="B8879" s="7"/>
      <c r="O8879" s="7"/>
      <c r="X8879" s="7"/>
      <c r="AG8879" s="7"/>
      <c r="AP8879" s="7"/>
      <c r="AY8879" s="7"/>
      <c r="BH8879" s="7"/>
      <c r="BQ8879" s="7"/>
      <c r="BZ8879" s="7"/>
    </row>
    <row r="8880" spans="2:78">
      <c r="B8880" s="7"/>
      <c r="O8880" s="7"/>
      <c r="X8880" s="7"/>
      <c r="AG8880" s="7"/>
      <c r="AP8880" s="7"/>
      <c r="AY8880" s="7"/>
      <c r="BH8880" s="7"/>
      <c r="BQ8880" s="7"/>
      <c r="BZ8880" s="7"/>
    </row>
    <row r="8881" spans="2:78">
      <c r="B8881" s="7"/>
      <c r="O8881" s="7"/>
      <c r="X8881" s="7"/>
      <c r="AG8881" s="7"/>
      <c r="AP8881" s="7"/>
      <c r="AY8881" s="7"/>
      <c r="BH8881" s="7"/>
      <c r="BQ8881" s="7"/>
      <c r="BZ8881" s="7"/>
    </row>
    <row r="8882" spans="2:78">
      <c r="B8882" s="7"/>
      <c r="O8882" s="7"/>
      <c r="X8882" s="7"/>
      <c r="AG8882" s="7"/>
      <c r="AP8882" s="7"/>
      <c r="AY8882" s="7"/>
      <c r="BH8882" s="7"/>
      <c r="BQ8882" s="7"/>
      <c r="BZ8882" s="7"/>
    </row>
    <row r="8883" spans="2:78">
      <c r="B8883" s="7"/>
      <c r="O8883" s="7"/>
      <c r="X8883" s="7"/>
      <c r="AG8883" s="7"/>
      <c r="AP8883" s="7"/>
      <c r="AY8883" s="7"/>
      <c r="BH8883" s="7"/>
      <c r="BQ8883" s="7"/>
      <c r="BZ8883" s="7"/>
    </row>
    <row r="8884" spans="2:78">
      <c r="B8884" s="7"/>
      <c r="O8884" s="7"/>
      <c r="X8884" s="7"/>
      <c r="AG8884" s="7"/>
      <c r="AP8884" s="7"/>
      <c r="AY8884" s="7"/>
      <c r="BH8884" s="7"/>
      <c r="BQ8884" s="7"/>
      <c r="BZ8884" s="7"/>
    </row>
    <row r="8885" spans="2:78">
      <c r="B8885" s="7"/>
      <c r="O8885" s="7"/>
      <c r="X8885" s="7"/>
      <c r="AG8885" s="7"/>
      <c r="AP8885" s="7"/>
      <c r="AY8885" s="7"/>
      <c r="BH8885" s="7"/>
      <c r="BQ8885" s="7"/>
      <c r="BZ8885" s="7"/>
    </row>
    <row r="8886" spans="2:78">
      <c r="B8886" s="7"/>
      <c r="O8886" s="7"/>
      <c r="X8886" s="7"/>
      <c r="AG8886" s="7"/>
      <c r="AP8886" s="7"/>
      <c r="AY8886" s="7"/>
      <c r="BH8886" s="7"/>
      <c r="BQ8886" s="7"/>
      <c r="BZ8886" s="7"/>
    </row>
    <row r="8887" spans="2:78">
      <c r="B8887" s="7"/>
      <c r="O8887" s="7"/>
      <c r="X8887" s="7"/>
      <c r="AG8887" s="7"/>
      <c r="AP8887" s="7"/>
      <c r="AY8887" s="7"/>
      <c r="BH8887" s="7"/>
      <c r="BQ8887" s="7"/>
      <c r="BZ8887" s="7"/>
    </row>
    <row r="8888" spans="2:78">
      <c r="B8888" s="7"/>
      <c r="O8888" s="7"/>
      <c r="X8888" s="7"/>
      <c r="AG8888" s="7"/>
      <c r="AP8888" s="7"/>
      <c r="AY8888" s="7"/>
      <c r="BH8888" s="7"/>
      <c r="BQ8888" s="7"/>
      <c r="BZ8888" s="7"/>
    </row>
    <row r="8889" spans="2:78">
      <c r="B8889" s="7"/>
      <c r="O8889" s="7"/>
      <c r="X8889" s="7"/>
      <c r="AG8889" s="7"/>
      <c r="AP8889" s="7"/>
      <c r="AY8889" s="7"/>
      <c r="BH8889" s="7"/>
      <c r="BQ8889" s="7"/>
      <c r="BZ8889" s="7"/>
    </row>
    <row r="8890" spans="2:78">
      <c r="B8890" s="7"/>
      <c r="O8890" s="7"/>
      <c r="X8890" s="7"/>
      <c r="AG8890" s="7"/>
      <c r="AP8890" s="7"/>
      <c r="AY8890" s="7"/>
      <c r="BH8890" s="7"/>
      <c r="BQ8890" s="7"/>
      <c r="BZ8890" s="7"/>
    </row>
    <row r="8891" spans="2:78">
      <c r="B8891" s="7"/>
      <c r="O8891" s="7"/>
      <c r="X8891" s="7"/>
      <c r="AG8891" s="7"/>
      <c r="AP8891" s="7"/>
      <c r="AY8891" s="7"/>
      <c r="BH8891" s="7"/>
      <c r="BQ8891" s="7"/>
      <c r="BZ8891" s="7"/>
    </row>
    <row r="8892" spans="2:78">
      <c r="B8892" s="7"/>
      <c r="O8892" s="7"/>
      <c r="X8892" s="7"/>
      <c r="AG8892" s="7"/>
      <c r="AP8892" s="7"/>
      <c r="AY8892" s="7"/>
      <c r="BH8892" s="7"/>
      <c r="BQ8892" s="7"/>
      <c r="BZ8892" s="7"/>
    </row>
    <row r="8893" spans="2:78">
      <c r="B8893" s="7"/>
      <c r="O8893" s="7"/>
      <c r="X8893" s="7"/>
      <c r="AG8893" s="7"/>
      <c r="AP8893" s="7"/>
      <c r="AY8893" s="7"/>
      <c r="BH8893" s="7"/>
      <c r="BQ8893" s="7"/>
      <c r="BZ8893" s="7"/>
    </row>
    <row r="8894" spans="2:78">
      <c r="B8894" s="7"/>
      <c r="O8894" s="7"/>
      <c r="X8894" s="7"/>
      <c r="AG8894" s="7"/>
      <c r="AP8894" s="7"/>
      <c r="AY8894" s="7"/>
      <c r="BH8894" s="7"/>
      <c r="BQ8894" s="7"/>
      <c r="BZ8894" s="7"/>
    </row>
    <row r="8895" spans="2:78">
      <c r="B8895" s="7"/>
      <c r="O8895" s="7"/>
      <c r="X8895" s="7"/>
      <c r="AG8895" s="7"/>
      <c r="AP8895" s="7"/>
      <c r="AY8895" s="7"/>
      <c r="BH8895" s="7"/>
      <c r="BQ8895" s="7"/>
      <c r="BZ8895" s="7"/>
    </row>
    <row r="8896" spans="2:78">
      <c r="B8896" s="7"/>
      <c r="O8896" s="7"/>
      <c r="X8896" s="7"/>
      <c r="AG8896" s="7"/>
      <c r="AP8896" s="7"/>
      <c r="AY8896" s="7"/>
      <c r="BH8896" s="7"/>
      <c r="BQ8896" s="7"/>
      <c r="BZ8896" s="7"/>
    </row>
    <row r="8897" spans="2:78">
      <c r="B8897" s="7"/>
      <c r="O8897" s="7"/>
      <c r="X8897" s="7"/>
      <c r="AG8897" s="7"/>
      <c r="AP8897" s="7"/>
      <c r="AY8897" s="7"/>
      <c r="BH8897" s="7"/>
      <c r="BQ8897" s="7"/>
      <c r="BZ8897" s="7"/>
    </row>
    <row r="8898" spans="2:78">
      <c r="B8898" s="7"/>
      <c r="O8898" s="7"/>
      <c r="X8898" s="7"/>
      <c r="AG8898" s="7"/>
      <c r="AP8898" s="7"/>
      <c r="AY8898" s="7"/>
      <c r="BH8898" s="7"/>
      <c r="BQ8898" s="7"/>
      <c r="BZ8898" s="7"/>
    </row>
    <row r="8899" spans="2:78">
      <c r="B8899" s="7"/>
      <c r="O8899" s="7"/>
      <c r="X8899" s="7"/>
      <c r="AG8899" s="7"/>
      <c r="AP8899" s="7"/>
      <c r="AY8899" s="7"/>
      <c r="BH8899" s="7"/>
      <c r="BQ8899" s="7"/>
      <c r="BZ8899" s="7"/>
    </row>
    <row r="8900" spans="2:78">
      <c r="B8900" s="7"/>
      <c r="O8900" s="7"/>
      <c r="X8900" s="7"/>
      <c r="AG8900" s="7"/>
      <c r="AP8900" s="7"/>
      <c r="AY8900" s="7"/>
      <c r="BH8900" s="7"/>
      <c r="BQ8900" s="7"/>
      <c r="BZ8900" s="7"/>
    </row>
    <row r="8901" spans="2:78">
      <c r="B8901" s="7"/>
      <c r="O8901" s="7"/>
      <c r="X8901" s="7"/>
      <c r="AG8901" s="7"/>
      <c r="AP8901" s="7"/>
      <c r="AY8901" s="7"/>
      <c r="BH8901" s="7"/>
      <c r="BQ8901" s="7"/>
      <c r="BZ8901" s="7"/>
    </row>
    <row r="8902" spans="2:78">
      <c r="B8902" s="7"/>
      <c r="O8902" s="7"/>
      <c r="X8902" s="7"/>
      <c r="AG8902" s="7"/>
      <c r="AP8902" s="7"/>
      <c r="AY8902" s="7"/>
      <c r="BH8902" s="7"/>
      <c r="BQ8902" s="7"/>
      <c r="BZ8902" s="7"/>
    </row>
    <row r="8903" spans="2:78">
      <c r="B8903" s="7"/>
      <c r="O8903" s="7"/>
      <c r="X8903" s="7"/>
      <c r="AG8903" s="7"/>
      <c r="AP8903" s="7"/>
      <c r="AY8903" s="7"/>
      <c r="BH8903" s="7"/>
      <c r="BQ8903" s="7"/>
      <c r="BZ8903" s="7"/>
    </row>
    <row r="8904" spans="2:78">
      <c r="B8904" s="7"/>
      <c r="O8904" s="7"/>
      <c r="X8904" s="7"/>
      <c r="AG8904" s="7"/>
      <c r="AP8904" s="7"/>
      <c r="AY8904" s="7"/>
      <c r="BH8904" s="7"/>
      <c r="BQ8904" s="7"/>
      <c r="BZ8904" s="7"/>
    </row>
    <row r="8905" spans="2:78">
      <c r="B8905" s="7"/>
      <c r="O8905" s="7"/>
      <c r="X8905" s="7"/>
      <c r="AG8905" s="7"/>
      <c r="AP8905" s="7"/>
      <c r="AY8905" s="7"/>
      <c r="BH8905" s="7"/>
      <c r="BQ8905" s="7"/>
      <c r="BZ8905" s="7"/>
    </row>
    <row r="8906" spans="2:78">
      <c r="B8906" s="7"/>
      <c r="O8906" s="7"/>
      <c r="X8906" s="7"/>
      <c r="AG8906" s="7"/>
      <c r="AP8906" s="7"/>
      <c r="AY8906" s="7"/>
      <c r="BH8906" s="7"/>
      <c r="BQ8906" s="7"/>
      <c r="BZ8906" s="7"/>
    </row>
    <row r="8907" spans="2:78">
      <c r="B8907" s="7"/>
      <c r="O8907" s="7"/>
      <c r="X8907" s="7"/>
      <c r="AG8907" s="7"/>
      <c r="AP8907" s="7"/>
      <c r="AY8907" s="7"/>
      <c r="BH8907" s="7"/>
      <c r="BQ8907" s="7"/>
      <c r="BZ8907" s="7"/>
    </row>
    <row r="8908" spans="2:78">
      <c r="B8908" s="7"/>
      <c r="O8908" s="7"/>
      <c r="X8908" s="7"/>
      <c r="AG8908" s="7"/>
      <c r="AP8908" s="7"/>
      <c r="AY8908" s="7"/>
      <c r="BH8908" s="7"/>
      <c r="BQ8908" s="7"/>
      <c r="BZ8908" s="7"/>
    </row>
    <row r="8909" spans="2:78">
      <c r="B8909" s="7"/>
      <c r="O8909" s="7"/>
      <c r="X8909" s="7"/>
      <c r="AG8909" s="7"/>
      <c r="AP8909" s="7"/>
      <c r="AY8909" s="7"/>
      <c r="BH8909" s="7"/>
      <c r="BQ8909" s="7"/>
      <c r="BZ8909" s="7"/>
    </row>
    <row r="8910" spans="2:78">
      <c r="B8910" s="7"/>
      <c r="O8910" s="7"/>
      <c r="X8910" s="7"/>
      <c r="AG8910" s="7"/>
      <c r="AP8910" s="7"/>
      <c r="AY8910" s="7"/>
      <c r="BH8910" s="7"/>
      <c r="BQ8910" s="7"/>
      <c r="BZ8910" s="7"/>
    </row>
    <row r="8911" spans="2:78">
      <c r="B8911" s="7"/>
      <c r="O8911" s="7"/>
      <c r="X8911" s="7"/>
      <c r="AG8911" s="7"/>
      <c r="AP8911" s="7"/>
      <c r="AY8911" s="7"/>
      <c r="BH8911" s="7"/>
      <c r="BQ8911" s="7"/>
      <c r="BZ8911" s="7"/>
    </row>
    <row r="8912" spans="2:78">
      <c r="B8912" s="7"/>
      <c r="O8912" s="7"/>
      <c r="X8912" s="7"/>
      <c r="AG8912" s="7"/>
      <c r="AP8912" s="7"/>
      <c r="AY8912" s="7"/>
      <c r="BH8912" s="7"/>
      <c r="BQ8912" s="7"/>
      <c r="BZ8912" s="7"/>
    </row>
    <row r="8913" spans="2:78">
      <c r="B8913" s="7"/>
      <c r="O8913" s="7"/>
      <c r="X8913" s="7"/>
      <c r="AG8913" s="7"/>
      <c r="AP8913" s="7"/>
      <c r="AY8913" s="7"/>
      <c r="BH8913" s="7"/>
      <c r="BQ8913" s="7"/>
      <c r="BZ8913" s="7"/>
    </row>
    <row r="8914" spans="2:78">
      <c r="B8914" s="7"/>
      <c r="O8914" s="7"/>
      <c r="X8914" s="7"/>
      <c r="AG8914" s="7"/>
      <c r="AP8914" s="7"/>
      <c r="AY8914" s="7"/>
      <c r="BH8914" s="7"/>
      <c r="BQ8914" s="7"/>
      <c r="BZ8914" s="7"/>
    </row>
    <row r="8915" spans="2:78">
      <c r="B8915" s="7"/>
      <c r="O8915" s="7"/>
      <c r="X8915" s="7"/>
      <c r="AG8915" s="7"/>
      <c r="AP8915" s="7"/>
      <c r="AY8915" s="7"/>
      <c r="BH8915" s="7"/>
      <c r="BQ8915" s="7"/>
      <c r="BZ8915" s="7"/>
    </row>
    <row r="8916" spans="2:78">
      <c r="B8916" s="7"/>
      <c r="O8916" s="7"/>
      <c r="X8916" s="7"/>
      <c r="AG8916" s="7"/>
      <c r="AP8916" s="7"/>
      <c r="AY8916" s="7"/>
      <c r="BH8916" s="7"/>
      <c r="BQ8916" s="7"/>
      <c r="BZ8916" s="7"/>
    </row>
    <row r="8917" spans="2:78">
      <c r="B8917" s="7"/>
      <c r="O8917" s="7"/>
      <c r="X8917" s="7"/>
      <c r="AG8917" s="7"/>
      <c r="AP8917" s="7"/>
      <c r="AY8917" s="7"/>
      <c r="BH8917" s="7"/>
      <c r="BQ8917" s="7"/>
      <c r="BZ8917" s="7"/>
    </row>
    <row r="8918" spans="2:78">
      <c r="B8918" s="7"/>
      <c r="O8918" s="7"/>
      <c r="X8918" s="7"/>
      <c r="AG8918" s="7"/>
      <c r="AP8918" s="7"/>
      <c r="AY8918" s="7"/>
      <c r="BH8918" s="7"/>
      <c r="BQ8918" s="7"/>
      <c r="BZ8918" s="7"/>
    </row>
    <row r="8919" spans="2:78">
      <c r="B8919" s="7"/>
      <c r="O8919" s="7"/>
      <c r="X8919" s="7"/>
      <c r="AG8919" s="7"/>
      <c r="AP8919" s="7"/>
      <c r="AY8919" s="7"/>
      <c r="BH8919" s="7"/>
      <c r="BQ8919" s="7"/>
      <c r="BZ8919" s="7"/>
    </row>
    <row r="8920" spans="2:78">
      <c r="B8920" s="7"/>
      <c r="O8920" s="7"/>
      <c r="X8920" s="7"/>
      <c r="AG8920" s="7"/>
      <c r="AP8920" s="7"/>
      <c r="AY8920" s="7"/>
      <c r="BH8920" s="7"/>
      <c r="BQ8920" s="7"/>
      <c r="BZ8920" s="7"/>
    </row>
    <row r="8921" spans="2:78">
      <c r="B8921" s="7"/>
      <c r="O8921" s="7"/>
      <c r="X8921" s="7"/>
      <c r="AG8921" s="7"/>
      <c r="AP8921" s="7"/>
      <c r="AY8921" s="7"/>
      <c r="BH8921" s="7"/>
      <c r="BQ8921" s="7"/>
      <c r="BZ8921" s="7"/>
    </row>
    <row r="8922" spans="2:78">
      <c r="B8922" s="7"/>
      <c r="O8922" s="7"/>
      <c r="X8922" s="7"/>
      <c r="AG8922" s="7"/>
      <c r="AP8922" s="7"/>
      <c r="AY8922" s="7"/>
      <c r="BH8922" s="7"/>
      <c r="BQ8922" s="7"/>
      <c r="BZ8922" s="7"/>
    </row>
    <row r="8923" spans="2:78">
      <c r="B8923" s="7"/>
      <c r="O8923" s="7"/>
      <c r="X8923" s="7"/>
      <c r="AG8923" s="7"/>
      <c r="AP8923" s="7"/>
      <c r="AY8923" s="7"/>
      <c r="BH8923" s="7"/>
      <c r="BQ8923" s="7"/>
      <c r="BZ8923" s="7"/>
    </row>
    <row r="8924" spans="2:78">
      <c r="B8924" s="7"/>
      <c r="O8924" s="7"/>
      <c r="X8924" s="7"/>
      <c r="AG8924" s="7"/>
      <c r="AP8924" s="7"/>
      <c r="AY8924" s="7"/>
      <c r="BH8924" s="7"/>
      <c r="BQ8924" s="7"/>
      <c r="BZ8924" s="7"/>
    </row>
    <row r="8925" spans="2:78">
      <c r="B8925" s="7"/>
      <c r="O8925" s="7"/>
      <c r="X8925" s="7"/>
      <c r="AG8925" s="7"/>
      <c r="AP8925" s="7"/>
      <c r="AY8925" s="7"/>
      <c r="BH8925" s="7"/>
      <c r="BQ8925" s="7"/>
      <c r="BZ8925" s="7"/>
    </row>
    <row r="8926" spans="2:78">
      <c r="B8926" s="7"/>
      <c r="O8926" s="7"/>
      <c r="X8926" s="7"/>
      <c r="AG8926" s="7"/>
      <c r="AP8926" s="7"/>
      <c r="AY8926" s="7"/>
      <c r="BH8926" s="7"/>
      <c r="BQ8926" s="7"/>
      <c r="BZ8926" s="7"/>
    </row>
    <row r="8927" spans="2:78">
      <c r="B8927" s="7"/>
      <c r="O8927" s="7"/>
      <c r="X8927" s="7"/>
      <c r="AG8927" s="7"/>
      <c r="AP8927" s="7"/>
      <c r="AY8927" s="7"/>
      <c r="BH8927" s="7"/>
      <c r="BQ8927" s="7"/>
      <c r="BZ8927" s="7"/>
    </row>
    <row r="8928" spans="2:78">
      <c r="B8928" s="7"/>
      <c r="O8928" s="7"/>
      <c r="X8928" s="7"/>
      <c r="AG8928" s="7"/>
      <c r="AP8928" s="7"/>
      <c r="AY8928" s="7"/>
      <c r="BH8928" s="7"/>
      <c r="BQ8928" s="7"/>
      <c r="BZ8928" s="7"/>
    </row>
    <row r="8929" spans="2:78">
      <c r="B8929" s="7"/>
      <c r="O8929" s="7"/>
      <c r="X8929" s="7"/>
      <c r="AG8929" s="7"/>
      <c r="AP8929" s="7"/>
      <c r="AY8929" s="7"/>
      <c r="BH8929" s="7"/>
      <c r="BQ8929" s="7"/>
      <c r="BZ8929" s="7"/>
    </row>
    <row r="8930" spans="2:78">
      <c r="B8930" s="7"/>
      <c r="O8930" s="7"/>
      <c r="X8930" s="7"/>
      <c r="AG8930" s="7"/>
      <c r="AP8930" s="7"/>
      <c r="AY8930" s="7"/>
      <c r="BH8930" s="7"/>
      <c r="BQ8930" s="7"/>
      <c r="BZ8930" s="7"/>
    </row>
    <row r="8931" spans="2:78">
      <c r="B8931" s="7"/>
      <c r="O8931" s="7"/>
      <c r="X8931" s="7"/>
      <c r="AG8931" s="7"/>
      <c r="AP8931" s="7"/>
      <c r="AY8931" s="7"/>
      <c r="BH8931" s="7"/>
      <c r="BQ8931" s="7"/>
      <c r="BZ8931" s="7"/>
    </row>
    <row r="8932" spans="2:78">
      <c r="B8932" s="7"/>
      <c r="O8932" s="7"/>
      <c r="X8932" s="7"/>
      <c r="AG8932" s="7"/>
      <c r="AP8932" s="7"/>
      <c r="AY8932" s="7"/>
      <c r="BH8932" s="7"/>
      <c r="BQ8932" s="7"/>
      <c r="BZ8932" s="7"/>
    </row>
    <row r="8933" spans="2:78">
      <c r="B8933" s="7"/>
      <c r="O8933" s="7"/>
      <c r="X8933" s="7"/>
      <c r="AG8933" s="7"/>
      <c r="AP8933" s="7"/>
      <c r="AY8933" s="7"/>
      <c r="BH8933" s="7"/>
      <c r="BQ8933" s="7"/>
      <c r="BZ8933" s="7"/>
    </row>
    <row r="8934" spans="2:78">
      <c r="B8934" s="7"/>
      <c r="O8934" s="7"/>
      <c r="X8934" s="7"/>
      <c r="AG8934" s="7"/>
      <c r="AP8934" s="7"/>
      <c r="AY8934" s="7"/>
      <c r="BH8934" s="7"/>
      <c r="BQ8934" s="7"/>
      <c r="BZ8934" s="7"/>
    </row>
    <row r="8935" spans="2:78">
      <c r="B8935" s="7"/>
      <c r="O8935" s="7"/>
      <c r="X8935" s="7"/>
      <c r="AG8935" s="7"/>
      <c r="AP8935" s="7"/>
      <c r="AY8935" s="7"/>
      <c r="BH8935" s="7"/>
      <c r="BQ8935" s="7"/>
      <c r="BZ8935" s="7"/>
    </row>
    <row r="8936" spans="2:78">
      <c r="B8936" s="7"/>
      <c r="O8936" s="7"/>
      <c r="X8936" s="7"/>
      <c r="AG8936" s="7"/>
      <c r="AP8936" s="7"/>
      <c r="AY8936" s="7"/>
      <c r="BH8936" s="7"/>
      <c r="BQ8936" s="7"/>
      <c r="BZ8936" s="7"/>
    </row>
    <row r="8937" spans="2:78">
      <c r="B8937" s="7"/>
      <c r="O8937" s="7"/>
      <c r="X8937" s="7"/>
      <c r="AG8937" s="7"/>
      <c r="AP8937" s="7"/>
      <c r="AY8937" s="7"/>
      <c r="BH8937" s="7"/>
      <c r="BQ8937" s="7"/>
      <c r="BZ8937" s="7"/>
    </row>
    <row r="8938" spans="2:78">
      <c r="B8938" s="7"/>
      <c r="O8938" s="7"/>
      <c r="X8938" s="7"/>
      <c r="AG8938" s="7"/>
      <c r="AP8938" s="7"/>
      <c r="AY8938" s="7"/>
      <c r="BH8938" s="7"/>
      <c r="BQ8938" s="7"/>
      <c r="BZ8938" s="7"/>
    </row>
    <row r="8939" spans="2:78">
      <c r="B8939" s="7"/>
      <c r="O8939" s="7"/>
      <c r="X8939" s="7"/>
      <c r="AG8939" s="7"/>
      <c r="AP8939" s="7"/>
      <c r="AY8939" s="7"/>
      <c r="BH8939" s="7"/>
      <c r="BQ8939" s="7"/>
      <c r="BZ8939" s="7"/>
    </row>
    <row r="8940" spans="2:78">
      <c r="B8940" s="7"/>
      <c r="O8940" s="7"/>
      <c r="X8940" s="7"/>
      <c r="AG8940" s="7"/>
      <c r="AP8940" s="7"/>
      <c r="AY8940" s="7"/>
      <c r="BH8940" s="7"/>
      <c r="BQ8940" s="7"/>
      <c r="BZ8940" s="7"/>
    </row>
    <row r="8941" spans="2:78">
      <c r="B8941" s="7"/>
      <c r="O8941" s="7"/>
      <c r="X8941" s="7"/>
      <c r="AG8941" s="7"/>
      <c r="AP8941" s="7"/>
      <c r="AY8941" s="7"/>
      <c r="BH8941" s="7"/>
      <c r="BQ8941" s="7"/>
      <c r="BZ8941" s="7"/>
    </row>
    <row r="8942" spans="2:78">
      <c r="B8942" s="7"/>
      <c r="O8942" s="7"/>
      <c r="X8942" s="7"/>
      <c r="AG8942" s="7"/>
      <c r="AP8942" s="7"/>
      <c r="AY8942" s="7"/>
      <c r="BH8942" s="7"/>
      <c r="BQ8942" s="7"/>
      <c r="BZ8942" s="7"/>
    </row>
    <row r="8943" spans="2:78">
      <c r="B8943" s="7"/>
      <c r="O8943" s="7"/>
      <c r="X8943" s="7"/>
      <c r="AG8943" s="7"/>
      <c r="AP8943" s="7"/>
      <c r="AY8943" s="7"/>
      <c r="BH8943" s="7"/>
      <c r="BQ8943" s="7"/>
      <c r="BZ8943" s="7"/>
    </row>
    <row r="8944" spans="2:78">
      <c r="B8944" s="7"/>
      <c r="O8944" s="7"/>
      <c r="X8944" s="7"/>
      <c r="AG8944" s="7"/>
      <c r="AP8944" s="7"/>
      <c r="AY8944" s="7"/>
      <c r="BH8944" s="7"/>
      <c r="BQ8944" s="7"/>
      <c r="BZ8944" s="7"/>
    </row>
    <row r="8945" spans="2:78">
      <c r="B8945" s="7"/>
      <c r="O8945" s="7"/>
      <c r="X8945" s="7"/>
      <c r="AG8945" s="7"/>
      <c r="AP8945" s="7"/>
      <c r="AY8945" s="7"/>
      <c r="BH8945" s="7"/>
      <c r="BQ8945" s="7"/>
      <c r="BZ8945" s="7"/>
    </row>
    <row r="8946" spans="2:78">
      <c r="B8946" s="7"/>
      <c r="O8946" s="7"/>
      <c r="X8946" s="7"/>
      <c r="AG8946" s="7"/>
      <c r="AP8946" s="7"/>
      <c r="AY8946" s="7"/>
      <c r="BH8946" s="7"/>
      <c r="BQ8946" s="7"/>
      <c r="BZ8946" s="7"/>
    </row>
    <row r="8947" spans="2:78">
      <c r="B8947" s="7"/>
      <c r="O8947" s="7"/>
      <c r="X8947" s="7"/>
      <c r="AG8947" s="7"/>
      <c r="AP8947" s="7"/>
      <c r="AY8947" s="7"/>
      <c r="BH8947" s="7"/>
      <c r="BQ8947" s="7"/>
      <c r="BZ8947" s="7"/>
    </row>
    <row r="8948" spans="2:78">
      <c r="B8948" s="7"/>
      <c r="O8948" s="7"/>
      <c r="X8948" s="7"/>
      <c r="AG8948" s="7"/>
      <c r="AP8948" s="7"/>
      <c r="AY8948" s="7"/>
      <c r="BH8948" s="7"/>
      <c r="BQ8948" s="7"/>
      <c r="BZ8948" s="7"/>
    </row>
    <row r="8949" spans="2:78">
      <c r="B8949" s="7"/>
      <c r="O8949" s="7"/>
      <c r="X8949" s="7"/>
      <c r="AG8949" s="7"/>
      <c r="AP8949" s="7"/>
      <c r="AY8949" s="7"/>
      <c r="BH8949" s="7"/>
      <c r="BQ8949" s="7"/>
      <c r="BZ8949" s="7"/>
    </row>
    <row r="8950" spans="2:78">
      <c r="B8950" s="7"/>
      <c r="O8950" s="7"/>
      <c r="X8950" s="7"/>
      <c r="AG8950" s="7"/>
      <c r="AP8950" s="7"/>
      <c r="AY8950" s="7"/>
      <c r="BH8950" s="7"/>
      <c r="BQ8950" s="7"/>
      <c r="BZ8950" s="7"/>
    </row>
    <row r="8951" spans="2:78">
      <c r="B8951" s="7"/>
      <c r="O8951" s="7"/>
      <c r="X8951" s="7"/>
      <c r="AG8951" s="7"/>
      <c r="AP8951" s="7"/>
      <c r="AY8951" s="7"/>
      <c r="BH8951" s="7"/>
      <c r="BQ8951" s="7"/>
      <c r="BZ8951" s="7"/>
    </row>
    <row r="8952" spans="2:78">
      <c r="B8952" s="7"/>
      <c r="O8952" s="7"/>
      <c r="X8952" s="7"/>
      <c r="AG8952" s="7"/>
      <c r="AP8952" s="7"/>
      <c r="AY8952" s="7"/>
      <c r="BH8952" s="7"/>
      <c r="BQ8952" s="7"/>
      <c r="BZ8952" s="7"/>
    </row>
    <row r="8953" spans="2:78">
      <c r="B8953" s="7"/>
      <c r="O8953" s="7"/>
      <c r="X8953" s="7"/>
      <c r="AG8953" s="7"/>
      <c r="AP8953" s="7"/>
      <c r="AY8953" s="7"/>
      <c r="BH8953" s="7"/>
      <c r="BQ8953" s="7"/>
      <c r="BZ8953" s="7"/>
    </row>
    <row r="8954" spans="2:78">
      <c r="B8954" s="7"/>
      <c r="O8954" s="7"/>
      <c r="X8954" s="7"/>
      <c r="AG8954" s="7"/>
      <c r="AP8954" s="7"/>
      <c r="AY8954" s="7"/>
      <c r="BH8954" s="7"/>
      <c r="BQ8954" s="7"/>
      <c r="BZ8954" s="7"/>
    </row>
    <row r="8955" spans="2:78">
      <c r="B8955" s="7"/>
      <c r="O8955" s="7"/>
      <c r="X8955" s="7"/>
      <c r="AG8955" s="7"/>
      <c r="AP8955" s="7"/>
      <c r="AY8955" s="7"/>
      <c r="BH8955" s="7"/>
      <c r="BQ8955" s="7"/>
      <c r="BZ8955" s="7"/>
    </row>
    <row r="8956" spans="2:78">
      <c r="B8956" s="7"/>
      <c r="O8956" s="7"/>
      <c r="X8956" s="7"/>
      <c r="AG8956" s="7"/>
      <c r="AP8956" s="7"/>
      <c r="AY8956" s="7"/>
      <c r="BH8956" s="7"/>
      <c r="BQ8956" s="7"/>
      <c r="BZ8956" s="7"/>
    </row>
    <row r="8957" spans="2:78">
      <c r="B8957" s="7"/>
      <c r="O8957" s="7"/>
      <c r="X8957" s="7"/>
      <c r="AG8957" s="7"/>
      <c r="AP8957" s="7"/>
      <c r="AY8957" s="7"/>
      <c r="BH8957" s="7"/>
      <c r="BQ8957" s="7"/>
      <c r="BZ8957" s="7"/>
    </row>
    <row r="8958" spans="2:78">
      <c r="B8958" s="7"/>
      <c r="O8958" s="7"/>
      <c r="X8958" s="7"/>
      <c r="AG8958" s="7"/>
      <c r="AP8958" s="7"/>
      <c r="AY8958" s="7"/>
      <c r="BH8958" s="7"/>
      <c r="BQ8958" s="7"/>
      <c r="BZ8958" s="7"/>
    </row>
    <row r="8959" spans="2:78">
      <c r="B8959" s="7"/>
      <c r="O8959" s="7"/>
      <c r="X8959" s="7"/>
      <c r="AG8959" s="7"/>
      <c r="AP8959" s="7"/>
      <c r="AY8959" s="7"/>
      <c r="BH8959" s="7"/>
      <c r="BQ8959" s="7"/>
      <c r="BZ8959" s="7"/>
    </row>
    <row r="8960" spans="2:78">
      <c r="B8960" s="7"/>
      <c r="O8960" s="7"/>
      <c r="X8960" s="7"/>
      <c r="AG8960" s="7"/>
      <c r="AP8960" s="7"/>
      <c r="AY8960" s="7"/>
      <c r="BH8960" s="7"/>
      <c r="BQ8960" s="7"/>
      <c r="BZ8960" s="7"/>
    </row>
    <row r="8961" spans="2:78">
      <c r="B8961" s="7"/>
      <c r="O8961" s="7"/>
      <c r="X8961" s="7"/>
      <c r="AG8961" s="7"/>
      <c r="AP8961" s="7"/>
      <c r="AY8961" s="7"/>
      <c r="BH8961" s="7"/>
      <c r="BQ8961" s="7"/>
      <c r="BZ8961" s="7"/>
    </row>
    <row r="8962" spans="2:78">
      <c r="B8962" s="7"/>
      <c r="O8962" s="7"/>
      <c r="X8962" s="7"/>
      <c r="AG8962" s="7"/>
      <c r="AP8962" s="7"/>
      <c r="AY8962" s="7"/>
      <c r="BH8962" s="7"/>
      <c r="BQ8962" s="7"/>
      <c r="BZ8962" s="7"/>
    </row>
    <row r="8963" spans="2:78">
      <c r="B8963" s="7"/>
      <c r="O8963" s="7"/>
      <c r="X8963" s="7"/>
      <c r="AG8963" s="7"/>
      <c r="AP8963" s="7"/>
      <c r="AY8963" s="7"/>
      <c r="BH8963" s="7"/>
      <c r="BQ8963" s="7"/>
      <c r="BZ8963" s="7"/>
    </row>
    <row r="8964" spans="2:78">
      <c r="B8964" s="7"/>
      <c r="O8964" s="7"/>
      <c r="X8964" s="7"/>
      <c r="AG8964" s="7"/>
      <c r="AP8964" s="7"/>
      <c r="AY8964" s="7"/>
      <c r="BH8964" s="7"/>
      <c r="BQ8964" s="7"/>
      <c r="BZ8964" s="7"/>
    </row>
    <row r="8965" spans="2:78">
      <c r="B8965" s="7"/>
      <c r="O8965" s="7"/>
      <c r="X8965" s="7"/>
      <c r="AG8965" s="7"/>
      <c r="AP8965" s="7"/>
      <c r="AY8965" s="7"/>
      <c r="BH8965" s="7"/>
      <c r="BQ8965" s="7"/>
      <c r="BZ8965" s="7"/>
    </row>
    <row r="8966" spans="2:78">
      <c r="B8966" s="7"/>
      <c r="O8966" s="7"/>
      <c r="X8966" s="7"/>
      <c r="AG8966" s="7"/>
      <c r="AP8966" s="7"/>
      <c r="AY8966" s="7"/>
      <c r="BH8966" s="7"/>
      <c r="BQ8966" s="7"/>
      <c r="BZ8966" s="7"/>
    </row>
    <row r="8967" spans="2:78">
      <c r="B8967" s="7"/>
      <c r="O8967" s="7"/>
      <c r="X8967" s="7"/>
      <c r="AG8967" s="7"/>
      <c r="AP8967" s="7"/>
      <c r="AY8967" s="7"/>
      <c r="BH8967" s="7"/>
      <c r="BQ8967" s="7"/>
      <c r="BZ8967" s="7"/>
    </row>
    <row r="8968" spans="2:78">
      <c r="B8968" s="7"/>
      <c r="O8968" s="7"/>
      <c r="X8968" s="7"/>
      <c r="AG8968" s="7"/>
      <c r="AP8968" s="7"/>
      <c r="AY8968" s="7"/>
      <c r="BH8968" s="7"/>
      <c r="BQ8968" s="7"/>
      <c r="BZ8968" s="7"/>
    </row>
    <row r="8969" spans="2:78">
      <c r="B8969" s="7"/>
      <c r="O8969" s="7"/>
      <c r="X8969" s="7"/>
      <c r="AG8969" s="7"/>
      <c r="AP8969" s="7"/>
      <c r="AY8969" s="7"/>
      <c r="BH8969" s="7"/>
      <c r="BQ8969" s="7"/>
      <c r="BZ8969" s="7"/>
    </row>
    <row r="8970" spans="2:78">
      <c r="B8970" s="7"/>
      <c r="O8970" s="7"/>
      <c r="X8970" s="7"/>
      <c r="AG8970" s="7"/>
      <c r="AP8970" s="7"/>
      <c r="AY8970" s="7"/>
      <c r="BH8970" s="7"/>
      <c r="BQ8970" s="7"/>
      <c r="BZ8970" s="7"/>
    </row>
    <row r="8971" spans="2:78">
      <c r="B8971" s="7"/>
      <c r="O8971" s="7"/>
      <c r="X8971" s="7"/>
      <c r="AG8971" s="7"/>
      <c r="AP8971" s="7"/>
      <c r="AY8971" s="7"/>
      <c r="BH8971" s="7"/>
      <c r="BQ8971" s="7"/>
      <c r="BZ8971" s="7"/>
    </row>
    <row r="8972" spans="2:78">
      <c r="B8972" s="7"/>
      <c r="O8972" s="7"/>
      <c r="X8972" s="7"/>
      <c r="AG8972" s="7"/>
      <c r="AP8972" s="7"/>
      <c r="AY8972" s="7"/>
      <c r="BH8972" s="7"/>
      <c r="BQ8972" s="7"/>
      <c r="BZ8972" s="7"/>
    </row>
    <row r="8973" spans="2:78">
      <c r="B8973" s="7"/>
      <c r="O8973" s="7"/>
      <c r="X8973" s="7"/>
      <c r="AG8973" s="7"/>
      <c r="AP8973" s="7"/>
      <c r="AY8973" s="7"/>
      <c r="BH8973" s="7"/>
      <c r="BQ8973" s="7"/>
      <c r="BZ8973" s="7"/>
    </row>
    <row r="8974" spans="2:78">
      <c r="B8974" s="7"/>
      <c r="O8974" s="7"/>
      <c r="X8974" s="7"/>
      <c r="AG8974" s="7"/>
      <c r="AP8974" s="7"/>
      <c r="AY8974" s="7"/>
      <c r="BH8974" s="7"/>
      <c r="BQ8974" s="7"/>
      <c r="BZ8974" s="7"/>
    </row>
    <row r="8975" spans="2:78">
      <c r="B8975" s="7"/>
      <c r="O8975" s="7"/>
      <c r="X8975" s="7"/>
      <c r="AG8975" s="7"/>
      <c r="AP8975" s="7"/>
      <c r="AY8975" s="7"/>
      <c r="BH8975" s="7"/>
      <c r="BQ8975" s="7"/>
      <c r="BZ8975" s="7"/>
    </row>
    <row r="8976" spans="2:78">
      <c r="B8976" s="7"/>
      <c r="O8976" s="7"/>
      <c r="X8976" s="7"/>
      <c r="AG8976" s="7"/>
      <c r="AP8976" s="7"/>
      <c r="AY8976" s="7"/>
      <c r="BH8976" s="7"/>
      <c r="BQ8976" s="7"/>
      <c r="BZ8976" s="7"/>
    </row>
    <row r="8977" spans="2:78">
      <c r="B8977" s="7"/>
      <c r="O8977" s="7"/>
      <c r="X8977" s="7"/>
      <c r="AG8977" s="7"/>
      <c r="AP8977" s="7"/>
      <c r="AY8977" s="7"/>
      <c r="BH8977" s="7"/>
      <c r="BQ8977" s="7"/>
      <c r="BZ8977" s="7"/>
    </row>
    <row r="8978" spans="2:78">
      <c r="B8978" s="7"/>
      <c r="O8978" s="7"/>
      <c r="X8978" s="7"/>
      <c r="AG8978" s="7"/>
      <c r="AP8978" s="7"/>
      <c r="AY8978" s="7"/>
      <c r="BH8978" s="7"/>
      <c r="BQ8978" s="7"/>
      <c r="BZ8978" s="7"/>
    </row>
    <row r="8979" spans="2:78">
      <c r="B8979" s="7"/>
      <c r="O8979" s="7"/>
      <c r="X8979" s="7"/>
      <c r="AG8979" s="7"/>
      <c r="AP8979" s="7"/>
      <c r="AY8979" s="7"/>
      <c r="BH8979" s="7"/>
      <c r="BQ8979" s="7"/>
      <c r="BZ8979" s="7"/>
    </row>
    <row r="8980" spans="2:78">
      <c r="B8980" s="7"/>
      <c r="O8980" s="7"/>
      <c r="X8980" s="7"/>
      <c r="AG8980" s="7"/>
      <c r="AP8980" s="7"/>
      <c r="AY8980" s="7"/>
      <c r="BH8980" s="7"/>
      <c r="BQ8980" s="7"/>
      <c r="BZ8980" s="7"/>
    </row>
    <row r="8981" spans="2:78">
      <c r="B8981" s="7"/>
      <c r="O8981" s="7"/>
      <c r="X8981" s="7"/>
      <c r="AG8981" s="7"/>
      <c r="AP8981" s="7"/>
      <c r="AY8981" s="7"/>
      <c r="BH8981" s="7"/>
      <c r="BQ8981" s="7"/>
      <c r="BZ8981" s="7"/>
    </row>
    <row r="8982" spans="2:78">
      <c r="B8982" s="7"/>
      <c r="O8982" s="7"/>
      <c r="X8982" s="7"/>
      <c r="AG8982" s="7"/>
      <c r="AP8982" s="7"/>
      <c r="AY8982" s="7"/>
      <c r="BH8982" s="7"/>
      <c r="BQ8982" s="7"/>
      <c r="BZ8982" s="7"/>
    </row>
    <row r="8983" spans="2:78">
      <c r="B8983" s="7"/>
      <c r="O8983" s="7"/>
      <c r="X8983" s="7"/>
      <c r="AG8983" s="7"/>
      <c r="AP8983" s="7"/>
      <c r="AY8983" s="7"/>
      <c r="BH8983" s="7"/>
      <c r="BQ8983" s="7"/>
      <c r="BZ8983" s="7"/>
    </row>
    <row r="8984" spans="2:78">
      <c r="B8984" s="7"/>
      <c r="O8984" s="7"/>
      <c r="X8984" s="7"/>
      <c r="AG8984" s="7"/>
      <c r="AP8984" s="7"/>
      <c r="AY8984" s="7"/>
      <c r="BH8984" s="7"/>
      <c r="BQ8984" s="7"/>
      <c r="BZ8984" s="7"/>
    </row>
    <row r="8985" spans="2:78">
      <c r="B8985" s="7"/>
      <c r="O8985" s="7"/>
      <c r="X8985" s="7"/>
      <c r="AG8985" s="7"/>
      <c r="AP8985" s="7"/>
      <c r="AY8985" s="7"/>
      <c r="BH8985" s="7"/>
      <c r="BQ8985" s="7"/>
      <c r="BZ8985" s="7"/>
    </row>
    <row r="8986" spans="2:78">
      <c r="B8986" s="7"/>
      <c r="O8986" s="7"/>
      <c r="X8986" s="7"/>
      <c r="AG8986" s="7"/>
      <c r="AP8986" s="7"/>
      <c r="AY8986" s="7"/>
      <c r="BH8986" s="7"/>
      <c r="BQ8986" s="7"/>
      <c r="BZ8986" s="7"/>
    </row>
    <row r="8987" spans="2:78">
      <c r="B8987" s="7"/>
      <c r="O8987" s="7"/>
      <c r="X8987" s="7"/>
      <c r="AG8987" s="7"/>
      <c r="AP8987" s="7"/>
      <c r="AY8987" s="7"/>
      <c r="BH8987" s="7"/>
      <c r="BQ8987" s="7"/>
      <c r="BZ8987" s="7"/>
    </row>
    <row r="8988" spans="2:78">
      <c r="B8988" s="7"/>
      <c r="O8988" s="7"/>
      <c r="X8988" s="7"/>
      <c r="AG8988" s="7"/>
      <c r="AP8988" s="7"/>
      <c r="AY8988" s="7"/>
      <c r="BH8988" s="7"/>
      <c r="BQ8988" s="7"/>
      <c r="BZ8988" s="7"/>
    </row>
    <row r="8989" spans="2:78">
      <c r="B8989" s="7"/>
      <c r="O8989" s="7"/>
      <c r="X8989" s="7"/>
      <c r="AG8989" s="7"/>
      <c r="AP8989" s="7"/>
      <c r="AY8989" s="7"/>
      <c r="BH8989" s="7"/>
      <c r="BQ8989" s="7"/>
      <c r="BZ8989" s="7"/>
    </row>
    <row r="8990" spans="2:78">
      <c r="B8990" s="7"/>
      <c r="O8990" s="7"/>
      <c r="X8990" s="7"/>
      <c r="AG8990" s="7"/>
      <c r="AP8990" s="7"/>
      <c r="AY8990" s="7"/>
      <c r="BH8990" s="7"/>
      <c r="BQ8990" s="7"/>
      <c r="BZ8990" s="7"/>
    </row>
    <row r="8991" spans="2:78">
      <c r="B8991" s="7"/>
      <c r="O8991" s="7"/>
      <c r="X8991" s="7"/>
      <c r="AG8991" s="7"/>
      <c r="AP8991" s="7"/>
      <c r="AY8991" s="7"/>
      <c r="BH8991" s="7"/>
      <c r="BQ8991" s="7"/>
      <c r="BZ8991" s="7"/>
    </row>
    <row r="8992" spans="2:78">
      <c r="B8992" s="7"/>
      <c r="O8992" s="7"/>
      <c r="X8992" s="7"/>
      <c r="AG8992" s="7"/>
      <c r="AP8992" s="7"/>
      <c r="AY8992" s="7"/>
      <c r="BH8992" s="7"/>
      <c r="BQ8992" s="7"/>
      <c r="BZ8992" s="7"/>
    </row>
    <row r="8993" spans="2:78">
      <c r="B8993" s="7"/>
      <c r="O8993" s="7"/>
      <c r="X8993" s="7"/>
      <c r="AG8993" s="7"/>
      <c r="AP8993" s="7"/>
      <c r="AY8993" s="7"/>
      <c r="BH8993" s="7"/>
      <c r="BQ8993" s="7"/>
      <c r="BZ8993" s="7"/>
    </row>
    <row r="8994" spans="2:78">
      <c r="B8994" s="7"/>
      <c r="O8994" s="7"/>
      <c r="X8994" s="7"/>
      <c r="AG8994" s="7"/>
      <c r="AP8994" s="7"/>
      <c r="AY8994" s="7"/>
      <c r="BH8994" s="7"/>
      <c r="BQ8994" s="7"/>
      <c r="BZ8994" s="7"/>
    </row>
    <row r="8995" spans="2:78">
      <c r="B8995" s="7"/>
      <c r="O8995" s="7"/>
      <c r="X8995" s="7"/>
      <c r="AG8995" s="7"/>
      <c r="AP8995" s="7"/>
      <c r="AY8995" s="7"/>
      <c r="BH8995" s="7"/>
      <c r="BQ8995" s="7"/>
      <c r="BZ8995" s="7"/>
    </row>
    <row r="8996" spans="2:78">
      <c r="B8996" s="7"/>
      <c r="O8996" s="7"/>
      <c r="X8996" s="7"/>
      <c r="AG8996" s="7"/>
      <c r="AP8996" s="7"/>
      <c r="AY8996" s="7"/>
      <c r="BH8996" s="7"/>
      <c r="BQ8996" s="7"/>
      <c r="BZ8996" s="7"/>
    </row>
    <row r="8997" spans="2:78">
      <c r="B8997" s="7"/>
      <c r="O8997" s="7"/>
      <c r="X8997" s="7"/>
      <c r="AG8997" s="7"/>
      <c r="AP8997" s="7"/>
      <c r="AY8997" s="7"/>
      <c r="BH8997" s="7"/>
      <c r="BQ8997" s="7"/>
      <c r="BZ8997" s="7"/>
    </row>
    <row r="8998" spans="2:78">
      <c r="B8998" s="7"/>
      <c r="O8998" s="7"/>
      <c r="X8998" s="7"/>
      <c r="AG8998" s="7"/>
      <c r="AP8998" s="7"/>
      <c r="AY8998" s="7"/>
      <c r="BH8998" s="7"/>
      <c r="BQ8998" s="7"/>
      <c r="BZ8998" s="7"/>
    </row>
    <row r="8999" spans="2:78">
      <c r="B8999" s="7"/>
      <c r="O8999" s="7"/>
      <c r="X8999" s="7"/>
      <c r="AG8999" s="7"/>
      <c r="AP8999" s="7"/>
      <c r="AY8999" s="7"/>
      <c r="BH8999" s="7"/>
      <c r="BQ8999" s="7"/>
      <c r="BZ8999" s="7"/>
    </row>
    <row r="9000" spans="2:78">
      <c r="B9000" s="7"/>
      <c r="O9000" s="7"/>
      <c r="X9000" s="7"/>
      <c r="AG9000" s="7"/>
      <c r="AP9000" s="7"/>
      <c r="AY9000" s="7"/>
      <c r="BH9000" s="7"/>
      <c r="BQ9000" s="7"/>
      <c r="BZ9000" s="7"/>
    </row>
    <row r="9001" spans="2:78">
      <c r="B9001" s="7"/>
      <c r="O9001" s="7"/>
      <c r="X9001" s="7"/>
      <c r="AG9001" s="7"/>
      <c r="AP9001" s="7"/>
      <c r="AY9001" s="7"/>
      <c r="BH9001" s="7"/>
      <c r="BQ9001" s="7"/>
      <c r="BZ9001" s="7"/>
    </row>
    <row r="9002" spans="2:78">
      <c r="B9002" s="7"/>
      <c r="O9002" s="7"/>
      <c r="X9002" s="7"/>
      <c r="AG9002" s="7"/>
      <c r="AP9002" s="7"/>
      <c r="AY9002" s="7"/>
      <c r="BH9002" s="7"/>
      <c r="BQ9002" s="7"/>
      <c r="BZ9002" s="7"/>
    </row>
    <row r="9003" spans="2:78">
      <c r="B9003" s="7"/>
      <c r="O9003" s="7"/>
      <c r="X9003" s="7"/>
      <c r="AG9003" s="7"/>
      <c r="AP9003" s="7"/>
      <c r="AY9003" s="7"/>
      <c r="BH9003" s="7"/>
      <c r="BQ9003" s="7"/>
      <c r="BZ9003" s="7"/>
    </row>
    <row r="9004" spans="2:78">
      <c r="B9004" s="7"/>
      <c r="O9004" s="7"/>
      <c r="X9004" s="7"/>
      <c r="AG9004" s="7"/>
      <c r="AP9004" s="7"/>
      <c r="AY9004" s="7"/>
      <c r="BH9004" s="7"/>
      <c r="BQ9004" s="7"/>
      <c r="BZ9004" s="7"/>
    </row>
    <row r="9005" spans="2:78">
      <c r="B9005" s="7"/>
      <c r="O9005" s="7"/>
      <c r="X9005" s="7"/>
      <c r="AG9005" s="7"/>
      <c r="AP9005" s="7"/>
      <c r="AY9005" s="7"/>
      <c r="BH9005" s="7"/>
      <c r="BQ9005" s="7"/>
      <c r="BZ9005" s="7"/>
    </row>
    <row r="9006" spans="2:78">
      <c r="B9006" s="7"/>
      <c r="O9006" s="7"/>
      <c r="X9006" s="7"/>
      <c r="AG9006" s="7"/>
      <c r="AP9006" s="7"/>
      <c r="AY9006" s="7"/>
      <c r="BH9006" s="7"/>
      <c r="BQ9006" s="7"/>
      <c r="BZ9006" s="7"/>
    </row>
    <row r="9007" spans="2:78">
      <c r="B9007" s="7"/>
      <c r="O9007" s="7"/>
      <c r="X9007" s="7"/>
      <c r="AG9007" s="7"/>
      <c r="AP9007" s="7"/>
      <c r="AY9007" s="7"/>
      <c r="BH9007" s="7"/>
      <c r="BQ9007" s="7"/>
      <c r="BZ9007" s="7"/>
    </row>
    <row r="9008" spans="2:78">
      <c r="B9008" s="7"/>
      <c r="O9008" s="7"/>
      <c r="X9008" s="7"/>
      <c r="AG9008" s="7"/>
      <c r="AP9008" s="7"/>
      <c r="AY9008" s="7"/>
      <c r="BH9008" s="7"/>
      <c r="BQ9008" s="7"/>
      <c r="BZ9008" s="7"/>
    </row>
    <row r="9009" spans="2:78">
      <c r="B9009" s="7"/>
      <c r="O9009" s="7"/>
      <c r="X9009" s="7"/>
      <c r="AG9009" s="7"/>
      <c r="AP9009" s="7"/>
      <c r="AY9009" s="7"/>
      <c r="BH9009" s="7"/>
      <c r="BQ9009" s="7"/>
      <c r="BZ9009" s="7"/>
    </row>
    <row r="9010" spans="2:78">
      <c r="B9010" s="7"/>
      <c r="O9010" s="7"/>
      <c r="X9010" s="7"/>
      <c r="AG9010" s="7"/>
      <c r="AP9010" s="7"/>
      <c r="AY9010" s="7"/>
      <c r="BH9010" s="7"/>
      <c r="BQ9010" s="7"/>
      <c r="BZ9010" s="7"/>
    </row>
    <row r="9011" spans="2:78">
      <c r="B9011" s="7"/>
      <c r="O9011" s="7"/>
      <c r="X9011" s="7"/>
      <c r="AG9011" s="7"/>
      <c r="AP9011" s="7"/>
      <c r="AY9011" s="7"/>
      <c r="BH9011" s="7"/>
      <c r="BQ9011" s="7"/>
      <c r="BZ9011" s="7"/>
    </row>
    <row r="9012" spans="2:78">
      <c r="B9012" s="7"/>
      <c r="O9012" s="7"/>
      <c r="X9012" s="7"/>
      <c r="AG9012" s="7"/>
      <c r="AP9012" s="7"/>
      <c r="AY9012" s="7"/>
      <c r="BH9012" s="7"/>
      <c r="BQ9012" s="7"/>
      <c r="BZ9012" s="7"/>
    </row>
    <row r="9013" spans="2:78">
      <c r="B9013" s="7"/>
      <c r="O9013" s="7"/>
      <c r="X9013" s="7"/>
      <c r="AG9013" s="7"/>
      <c r="AP9013" s="7"/>
      <c r="AY9013" s="7"/>
      <c r="BH9013" s="7"/>
      <c r="BQ9013" s="7"/>
      <c r="BZ9013" s="7"/>
    </row>
    <row r="9014" spans="2:78">
      <c r="B9014" s="7"/>
      <c r="O9014" s="7"/>
      <c r="X9014" s="7"/>
      <c r="AG9014" s="7"/>
      <c r="AP9014" s="7"/>
      <c r="AY9014" s="7"/>
      <c r="BH9014" s="7"/>
      <c r="BQ9014" s="7"/>
      <c r="BZ9014" s="7"/>
    </row>
    <row r="9015" spans="2:78">
      <c r="B9015" s="7"/>
      <c r="O9015" s="7"/>
      <c r="X9015" s="7"/>
      <c r="AG9015" s="7"/>
      <c r="AP9015" s="7"/>
      <c r="AY9015" s="7"/>
      <c r="BH9015" s="7"/>
      <c r="BQ9015" s="7"/>
      <c r="BZ9015" s="7"/>
    </row>
    <row r="9016" spans="2:78">
      <c r="B9016" s="7"/>
      <c r="O9016" s="7"/>
      <c r="X9016" s="7"/>
      <c r="AG9016" s="7"/>
      <c r="AP9016" s="7"/>
      <c r="AY9016" s="7"/>
      <c r="BH9016" s="7"/>
      <c r="BQ9016" s="7"/>
      <c r="BZ9016" s="7"/>
    </row>
    <row r="9017" spans="2:78">
      <c r="B9017" s="7"/>
      <c r="O9017" s="7"/>
      <c r="X9017" s="7"/>
      <c r="AG9017" s="7"/>
      <c r="AP9017" s="7"/>
      <c r="AY9017" s="7"/>
      <c r="BH9017" s="7"/>
      <c r="BQ9017" s="7"/>
      <c r="BZ9017" s="7"/>
    </row>
    <row r="9018" spans="2:78">
      <c r="B9018" s="7"/>
      <c r="O9018" s="7"/>
      <c r="X9018" s="7"/>
      <c r="AG9018" s="7"/>
      <c r="AP9018" s="7"/>
      <c r="AY9018" s="7"/>
      <c r="BH9018" s="7"/>
      <c r="BQ9018" s="7"/>
      <c r="BZ9018" s="7"/>
    </row>
    <row r="9019" spans="2:78">
      <c r="B9019" s="7"/>
      <c r="O9019" s="7"/>
      <c r="X9019" s="7"/>
      <c r="AG9019" s="7"/>
      <c r="AP9019" s="7"/>
      <c r="AY9019" s="7"/>
      <c r="BH9019" s="7"/>
      <c r="BQ9019" s="7"/>
      <c r="BZ9019" s="7"/>
    </row>
    <row r="9020" spans="2:78">
      <c r="B9020" s="7"/>
      <c r="O9020" s="7"/>
      <c r="X9020" s="7"/>
      <c r="AG9020" s="7"/>
      <c r="AP9020" s="7"/>
      <c r="AY9020" s="7"/>
      <c r="BH9020" s="7"/>
      <c r="BQ9020" s="7"/>
      <c r="BZ9020" s="7"/>
    </row>
    <row r="9021" spans="2:78">
      <c r="B9021" s="7"/>
      <c r="O9021" s="7"/>
      <c r="X9021" s="7"/>
      <c r="AG9021" s="7"/>
      <c r="AP9021" s="7"/>
      <c r="AY9021" s="7"/>
      <c r="BH9021" s="7"/>
      <c r="BQ9021" s="7"/>
      <c r="BZ9021" s="7"/>
    </row>
    <row r="9022" spans="2:78">
      <c r="B9022" s="7"/>
      <c r="O9022" s="7"/>
      <c r="X9022" s="7"/>
      <c r="AG9022" s="7"/>
      <c r="AP9022" s="7"/>
      <c r="AY9022" s="7"/>
      <c r="BH9022" s="7"/>
      <c r="BQ9022" s="7"/>
      <c r="BZ9022" s="7"/>
    </row>
    <row r="9023" spans="2:78">
      <c r="B9023" s="7"/>
      <c r="O9023" s="7"/>
      <c r="X9023" s="7"/>
      <c r="AG9023" s="7"/>
      <c r="AP9023" s="7"/>
      <c r="AY9023" s="7"/>
      <c r="BH9023" s="7"/>
      <c r="BQ9023" s="7"/>
      <c r="BZ9023" s="7"/>
    </row>
    <row r="9024" spans="2:78">
      <c r="B9024" s="7"/>
      <c r="O9024" s="7"/>
      <c r="X9024" s="7"/>
      <c r="AG9024" s="7"/>
      <c r="AP9024" s="7"/>
      <c r="AY9024" s="7"/>
      <c r="BH9024" s="7"/>
      <c r="BQ9024" s="7"/>
      <c r="BZ9024" s="7"/>
    </row>
    <row r="9025" spans="2:78">
      <c r="B9025" s="7"/>
      <c r="O9025" s="7"/>
      <c r="X9025" s="7"/>
      <c r="AG9025" s="7"/>
      <c r="AP9025" s="7"/>
      <c r="AY9025" s="7"/>
      <c r="BH9025" s="7"/>
      <c r="BQ9025" s="7"/>
      <c r="BZ9025" s="7"/>
    </row>
    <row r="9026" spans="2:78">
      <c r="B9026" s="7"/>
      <c r="O9026" s="7"/>
      <c r="X9026" s="7"/>
      <c r="AG9026" s="7"/>
      <c r="AP9026" s="7"/>
      <c r="AY9026" s="7"/>
      <c r="BH9026" s="7"/>
      <c r="BQ9026" s="7"/>
      <c r="BZ9026" s="7"/>
    </row>
    <row r="9027" spans="2:78">
      <c r="B9027" s="7"/>
      <c r="O9027" s="7"/>
      <c r="X9027" s="7"/>
      <c r="AG9027" s="7"/>
      <c r="AP9027" s="7"/>
      <c r="AY9027" s="7"/>
      <c r="BH9027" s="7"/>
      <c r="BQ9027" s="7"/>
      <c r="BZ9027" s="7"/>
    </row>
    <row r="9028" spans="2:78">
      <c r="B9028" s="7"/>
      <c r="O9028" s="7"/>
      <c r="X9028" s="7"/>
      <c r="AG9028" s="7"/>
      <c r="AP9028" s="7"/>
      <c r="AY9028" s="7"/>
      <c r="BH9028" s="7"/>
      <c r="BQ9028" s="7"/>
      <c r="BZ9028" s="7"/>
    </row>
    <row r="9029" spans="2:78">
      <c r="B9029" s="7"/>
      <c r="O9029" s="7"/>
      <c r="X9029" s="7"/>
      <c r="AG9029" s="7"/>
      <c r="AP9029" s="7"/>
      <c r="AY9029" s="7"/>
      <c r="BH9029" s="7"/>
      <c r="BQ9029" s="7"/>
      <c r="BZ9029" s="7"/>
    </row>
    <row r="9030" spans="2:78">
      <c r="B9030" s="7"/>
      <c r="O9030" s="7"/>
      <c r="X9030" s="7"/>
      <c r="AG9030" s="7"/>
      <c r="AP9030" s="7"/>
      <c r="AY9030" s="7"/>
      <c r="BH9030" s="7"/>
      <c r="BQ9030" s="7"/>
      <c r="BZ9030" s="7"/>
    </row>
    <row r="9031" spans="2:78">
      <c r="B9031" s="7"/>
      <c r="O9031" s="7"/>
      <c r="X9031" s="7"/>
      <c r="AG9031" s="7"/>
      <c r="AP9031" s="7"/>
      <c r="AY9031" s="7"/>
      <c r="BH9031" s="7"/>
      <c r="BQ9031" s="7"/>
      <c r="BZ9031" s="7"/>
    </row>
    <row r="9032" spans="2:78">
      <c r="B9032" s="7"/>
      <c r="O9032" s="7"/>
      <c r="X9032" s="7"/>
      <c r="AG9032" s="7"/>
      <c r="AP9032" s="7"/>
      <c r="AY9032" s="7"/>
      <c r="BH9032" s="7"/>
      <c r="BQ9032" s="7"/>
      <c r="BZ9032" s="7"/>
    </row>
    <row r="9033" spans="2:78">
      <c r="B9033" s="7"/>
      <c r="O9033" s="7"/>
      <c r="X9033" s="7"/>
      <c r="AG9033" s="7"/>
      <c r="AP9033" s="7"/>
      <c r="AY9033" s="7"/>
      <c r="BH9033" s="7"/>
      <c r="BQ9033" s="7"/>
      <c r="BZ9033" s="7"/>
    </row>
    <row r="9034" spans="2:78">
      <c r="B9034" s="7"/>
      <c r="O9034" s="7"/>
      <c r="X9034" s="7"/>
      <c r="AG9034" s="7"/>
      <c r="AP9034" s="7"/>
      <c r="AY9034" s="7"/>
      <c r="BH9034" s="7"/>
      <c r="BQ9034" s="7"/>
      <c r="BZ9034" s="7"/>
    </row>
    <row r="9035" spans="2:78">
      <c r="B9035" s="7"/>
      <c r="O9035" s="7"/>
      <c r="X9035" s="7"/>
      <c r="AG9035" s="7"/>
      <c r="AP9035" s="7"/>
      <c r="AY9035" s="7"/>
      <c r="BH9035" s="7"/>
      <c r="BQ9035" s="7"/>
      <c r="BZ9035" s="7"/>
    </row>
    <row r="9036" spans="2:78">
      <c r="B9036" s="7"/>
      <c r="O9036" s="7"/>
      <c r="X9036" s="7"/>
      <c r="AG9036" s="7"/>
      <c r="AP9036" s="7"/>
      <c r="AY9036" s="7"/>
      <c r="BH9036" s="7"/>
      <c r="BQ9036" s="7"/>
      <c r="BZ9036" s="7"/>
    </row>
    <row r="9037" spans="2:78">
      <c r="B9037" s="7"/>
      <c r="O9037" s="7"/>
      <c r="X9037" s="7"/>
      <c r="AG9037" s="7"/>
      <c r="AP9037" s="7"/>
      <c r="AY9037" s="7"/>
      <c r="BH9037" s="7"/>
      <c r="BQ9037" s="7"/>
      <c r="BZ9037" s="7"/>
    </row>
    <row r="9038" spans="2:78">
      <c r="B9038" s="7"/>
      <c r="O9038" s="7"/>
      <c r="X9038" s="7"/>
      <c r="AG9038" s="7"/>
      <c r="AP9038" s="7"/>
      <c r="AY9038" s="7"/>
      <c r="BH9038" s="7"/>
      <c r="BQ9038" s="7"/>
      <c r="BZ9038" s="7"/>
    </row>
    <row r="9039" spans="2:78">
      <c r="B9039" s="7"/>
      <c r="O9039" s="7"/>
      <c r="X9039" s="7"/>
      <c r="AG9039" s="7"/>
      <c r="AP9039" s="7"/>
      <c r="AY9039" s="7"/>
      <c r="BH9039" s="7"/>
      <c r="BQ9039" s="7"/>
      <c r="BZ9039" s="7"/>
    </row>
    <row r="9040" spans="2:78">
      <c r="B9040" s="7"/>
      <c r="O9040" s="7"/>
      <c r="X9040" s="7"/>
      <c r="AG9040" s="7"/>
      <c r="AP9040" s="7"/>
      <c r="AY9040" s="7"/>
      <c r="BH9040" s="7"/>
      <c r="BQ9040" s="7"/>
      <c r="BZ9040" s="7"/>
    </row>
    <row r="9041" spans="2:78">
      <c r="B9041" s="7"/>
      <c r="O9041" s="7"/>
      <c r="X9041" s="7"/>
      <c r="AG9041" s="7"/>
      <c r="AP9041" s="7"/>
      <c r="AY9041" s="7"/>
      <c r="BH9041" s="7"/>
      <c r="BQ9041" s="7"/>
      <c r="BZ9041" s="7"/>
    </row>
    <row r="9042" spans="2:78">
      <c r="B9042" s="7"/>
      <c r="O9042" s="7"/>
      <c r="X9042" s="7"/>
      <c r="AG9042" s="7"/>
      <c r="AP9042" s="7"/>
      <c r="AY9042" s="7"/>
      <c r="BH9042" s="7"/>
      <c r="BQ9042" s="7"/>
      <c r="BZ9042" s="7"/>
    </row>
    <row r="9043" spans="2:78">
      <c r="B9043" s="7"/>
      <c r="O9043" s="7"/>
      <c r="X9043" s="7"/>
      <c r="AG9043" s="7"/>
      <c r="AP9043" s="7"/>
      <c r="AY9043" s="7"/>
      <c r="BH9043" s="7"/>
      <c r="BQ9043" s="7"/>
      <c r="BZ9043" s="7"/>
    </row>
    <row r="9044" spans="2:78">
      <c r="B9044" s="7"/>
      <c r="O9044" s="7"/>
      <c r="X9044" s="7"/>
      <c r="AG9044" s="7"/>
      <c r="AP9044" s="7"/>
      <c r="AY9044" s="7"/>
      <c r="BH9044" s="7"/>
      <c r="BQ9044" s="7"/>
      <c r="BZ9044" s="7"/>
    </row>
    <row r="9045" spans="2:78">
      <c r="B9045" s="7"/>
      <c r="O9045" s="7"/>
      <c r="X9045" s="7"/>
      <c r="AG9045" s="7"/>
      <c r="AP9045" s="7"/>
      <c r="AY9045" s="7"/>
      <c r="BH9045" s="7"/>
      <c r="BQ9045" s="7"/>
      <c r="BZ9045" s="7"/>
    </row>
    <row r="9046" spans="2:78">
      <c r="B9046" s="7"/>
      <c r="O9046" s="7"/>
      <c r="X9046" s="7"/>
      <c r="AG9046" s="7"/>
      <c r="AP9046" s="7"/>
      <c r="AY9046" s="7"/>
      <c r="BH9046" s="7"/>
      <c r="BQ9046" s="7"/>
      <c r="BZ9046" s="7"/>
    </row>
    <row r="9047" spans="2:78">
      <c r="B9047" s="7"/>
      <c r="O9047" s="7"/>
      <c r="X9047" s="7"/>
      <c r="AG9047" s="7"/>
      <c r="AP9047" s="7"/>
      <c r="AY9047" s="7"/>
      <c r="BH9047" s="7"/>
      <c r="BQ9047" s="7"/>
      <c r="BZ9047" s="7"/>
    </row>
    <row r="9048" spans="2:78">
      <c r="B9048" s="7"/>
      <c r="O9048" s="7"/>
      <c r="X9048" s="7"/>
      <c r="AG9048" s="7"/>
      <c r="AP9048" s="7"/>
      <c r="AY9048" s="7"/>
      <c r="BH9048" s="7"/>
      <c r="BQ9048" s="7"/>
      <c r="BZ9048" s="7"/>
    </row>
    <row r="9049" spans="2:78">
      <c r="B9049" s="7"/>
      <c r="O9049" s="7"/>
      <c r="X9049" s="7"/>
      <c r="AG9049" s="7"/>
      <c r="AP9049" s="7"/>
      <c r="AY9049" s="7"/>
      <c r="BH9049" s="7"/>
      <c r="BQ9049" s="7"/>
      <c r="BZ9049" s="7"/>
    </row>
    <row r="9050" spans="2:78">
      <c r="B9050" s="7"/>
      <c r="O9050" s="7"/>
      <c r="X9050" s="7"/>
      <c r="AG9050" s="7"/>
      <c r="AP9050" s="7"/>
      <c r="AY9050" s="7"/>
      <c r="BH9050" s="7"/>
      <c r="BQ9050" s="7"/>
      <c r="BZ9050" s="7"/>
    </row>
    <row r="9051" spans="2:78">
      <c r="B9051" s="7"/>
      <c r="O9051" s="7"/>
      <c r="X9051" s="7"/>
      <c r="AG9051" s="7"/>
      <c r="AP9051" s="7"/>
      <c r="AY9051" s="7"/>
      <c r="BH9051" s="7"/>
      <c r="BQ9051" s="7"/>
      <c r="BZ9051" s="7"/>
    </row>
    <row r="9052" spans="2:78">
      <c r="B9052" s="7"/>
      <c r="O9052" s="7"/>
      <c r="X9052" s="7"/>
      <c r="AG9052" s="7"/>
      <c r="AP9052" s="7"/>
      <c r="AY9052" s="7"/>
      <c r="BH9052" s="7"/>
      <c r="BQ9052" s="7"/>
      <c r="BZ9052" s="7"/>
    </row>
    <row r="9053" spans="2:78">
      <c r="B9053" s="7"/>
      <c r="O9053" s="7"/>
      <c r="X9053" s="7"/>
      <c r="AG9053" s="7"/>
      <c r="AP9053" s="7"/>
      <c r="AY9053" s="7"/>
      <c r="BH9053" s="7"/>
      <c r="BQ9053" s="7"/>
      <c r="BZ9053" s="7"/>
    </row>
    <row r="9054" spans="2:78">
      <c r="B9054" s="7"/>
      <c r="O9054" s="7"/>
      <c r="X9054" s="7"/>
      <c r="AG9054" s="7"/>
      <c r="AP9054" s="7"/>
      <c r="AY9054" s="7"/>
      <c r="BH9054" s="7"/>
      <c r="BQ9054" s="7"/>
      <c r="BZ9054" s="7"/>
    </row>
    <row r="9055" spans="2:78">
      <c r="B9055" s="7"/>
      <c r="O9055" s="7"/>
      <c r="X9055" s="7"/>
      <c r="AG9055" s="7"/>
      <c r="AP9055" s="7"/>
      <c r="AY9055" s="7"/>
      <c r="BH9055" s="7"/>
      <c r="BQ9055" s="7"/>
      <c r="BZ9055" s="7"/>
    </row>
    <row r="9056" spans="2:78">
      <c r="B9056" s="7"/>
      <c r="O9056" s="7"/>
      <c r="X9056" s="7"/>
      <c r="AG9056" s="7"/>
      <c r="AP9056" s="7"/>
      <c r="AY9056" s="7"/>
      <c r="BH9056" s="7"/>
      <c r="BQ9056" s="7"/>
      <c r="BZ9056" s="7"/>
    </row>
    <row r="9057" spans="2:78">
      <c r="B9057" s="7"/>
      <c r="O9057" s="7"/>
      <c r="X9057" s="7"/>
      <c r="AG9057" s="7"/>
      <c r="AP9057" s="7"/>
      <c r="AY9057" s="7"/>
      <c r="BH9057" s="7"/>
      <c r="BQ9057" s="7"/>
      <c r="BZ9057" s="7"/>
    </row>
    <row r="9058" spans="2:78">
      <c r="B9058" s="7"/>
      <c r="O9058" s="7"/>
      <c r="X9058" s="7"/>
      <c r="AG9058" s="7"/>
      <c r="AP9058" s="7"/>
      <c r="AY9058" s="7"/>
      <c r="BH9058" s="7"/>
      <c r="BQ9058" s="7"/>
      <c r="BZ9058" s="7"/>
    </row>
    <row r="9059" spans="2:78">
      <c r="B9059" s="7"/>
      <c r="O9059" s="7"/>
      <c r="X9059" s="7"/>
      <c r="AG9059" s="7"/>
      <c r="AP9059" s="7"/>
      <c r="AY9059" s="7"/>
      <c r="BH9059" s="7"/>
      <c r="BQ9059" s="7"/>
      <c r="BZ9059" s="7"/>
    </row>
    <row r="9060" spans="2:78">
      <c r="B9060" s="7"/>
      <c r="O9060" s="7"/>
      <c r="X9060" s="7"/>
      <c r="AG9060" s="7"/>
      <c r="AP9060" s="7"/>
      <c r="AY9060" s="7"/>
      <c r="BH9060" s="7"/>
      <c r="BQ9060" s="7"/>
      <c r="BZ9060" s="7"/>
    </row>
    <row r="9061" spans="2:78">
      <c r="B9061" s="7"/>
      <c r="O9061" s="7"/>
      <c r="X9061" s="7"/>
      <c r="AG9061" s="7"/>
      <c r="AP9061" s="7"/>
      <c r="AY9061" s="7"/>
      <c r="BH9061" s="7"/>
      <c r="BQ9061" s="7"/>
      <c r="BZ9061" s="7"/>
    </row>
    <row r="9062" spans="2:78">
      <c r="B9062" s="7"/>
      <c r="O9062" s="7"/>
      <c r="X9062" s="7"/>
      <c r="AG9062" s="7"/>
      <c r="AP9062" s="7"/>
      <c r="AY9062" s="7"/>
      <c r="BH9062" s="7"/>
      <c r="BQ9062" s="7"/>
      <c r="BZ9062" s="7"/>
    </row>
    <row r="9063" spans="2:78">
      <c r="B9063" s="7"/>
      <c r="O9063" s="7"/>
      <c r="X9063" s="7"/>
      <c r="AG9063" s="7"/>
      <c r="AP9063" s="7"/>
      <c r="AY9063" s="7"/>
      <c r="BH9063" s="7"/>
      <c r="BQ9063" s="7"/>
      <c r="BZ9063" s="7"/>
    </row>
    <row r="9064" spans="2:78">
      <c r="B9064" s="7"/>
      <c r="O9064" s="7"/>
      <c r="X9064" s="7"/>
      <c r="AG9064" s="7"/>
      <c r="AP9064" s="7"/>
      <c r="AY9064" s="7"/>
      <c r="BH9064" s="7"/>
      <c r="BQ9064" s="7"/>
      <c r="BZ9064" s="7"/>
    </row>
    <row r="9065" spans="2:78">
      <c r="B9065" s="7"/>
      <c r="O9065" s="7"/>
      <c r="X9065" s="7"/>
      <c r="AG9065" s="7"/>
      <c r="AP9065" s="7"/>
      <c r="AY9065" s="7"/>
      <c r="BH9065" s="7"/>
      <c r="BQ9065" s="7"/>
      <c r="BZ9065" s="7"/>
    </row>
    <row r="9066" spans="2:78">
      <c r="B9066" s="7"/>
      <c r="O9066" s="7"/>
      <c r="X9066" s="7"/>
      <c r="AG9066" s="7"/>
      <c r="AP9066" s="7"/>
      <c r="AY9066" s="7"/>
      <c r="BH9066" s="7"/>
      <c r="BQ9066" s="7"/>
      <c r="BZ9066" s="7"/>
    </row>
    <row r="9067" spans="2:78">
      <c r="B9067" s="7"/>
      <c r="O9067" s="7"/>
      <c r="X9067" s="7"/>
      <c r="AG9067" s="7"/>
      <c r="AP9067" s="7"/>
      <c r="AY9067" s="7"/>
      <c r="BH9067" s="7"/>
      <c r="BQ9067" s="7"/>
      <c r="BZ9067" s="7"/>
    </row>
    <row r="9068" spans="2:78">
      <c r="B9068" s="7"/>
      <c r="O9068" s="7"/>
      <c r="X9068" s="7"/>
      <c r="AG9068" s="7"/>
      <c r="AP9068" s="7"/>
      <c r="AY9068" s="7"/>
      <c r="BH9068" s="7"/>
      <c r="BQ9068" s="7"/>
      <c r="BZ9068" s="7"/>
    </row>
    <row r="9069" spans="2:78">
      <c r="B9069" s="7"/>
      <c r="O9069" s="7"/>
      <c r="X9069" s="7"/>
      <c r="AG9069" s="7"/>
      <c r="AP9069" s="7"/>
      <c r="AY9069" s="7"/>
      <c r="BH9069" s="7"/>
      <c r="BQ9069" s="7"/>
      <c r="BZ9069" s="7"/>
    </row>
    <row r="9070" spans="2:78">
      <c r="B9070" s="7"/>
      <c r="O9070" s="7"/>
      <c r="X9070" s="7"/>
      <c r="AG9070" s="7"/>
      <c r="AP9070" s="7"/>
      <c r="AY9070" s="7"/>
      <c r="BH9070" s="7"/>
      <c r="BQ9070" s="7"/>
      <c r="BZ9070" s="7"/>
    </row>
    <row r="9071" spans="2:78">
      <c r="B9071" s="7"/>
      <c r="O9071" s="7"/>
      <c r="X9071" s="7"/>
      <c r="AG9071" s="7"/>
      <c r="AP9071" s="7"/>
      <c r="AY9071" s="7"/>
      <c r="BH9071" s="7"/>
      <c r="BQ9071" s="7"/>
      <c r="BZ9071" s="7"/>
    </row>
    <row r="9072" spans="2:78">
      <c r="B9072" s="7"/>
      <c r="O9072" s="7"/>
      <c r="X9072" s="7"/>
      <c r="AG9072" s="7"/>
      <c r="AP9072" s="7"/>
      <c r="AY9072" s="7"/>
      <c r="BH9072" s="7"/>
      <c r="BQ9072" s="7"/>
      <c r="BZ9072" s="7"/>
    </row>
    <row r="9073" spans="2:78">
      <c r="B9073" s="7"/>
      <c r="O9073" s="7"/>
      <c r="X9073" s="7"/>
      <c r="AG9073" s="7"/>
      <c r="AP9073" s="7"/>
      <c r="AY9073" s="7"/>
      <c r="BH9073" s="7"/>
      <c r="BQ9073" s="7"/>
      <c r="BZ9073" s="7"/>
    </row>
    <row r="9074" spans="2:78">
      <c r="B9074" s="7"/>
      <c r="O9074" s="7"/>
      <c r="X9074" s="7"/>
      <c r="AG9074" s="7"/>
      <c r="AP9074" s="7"/>
      <c r="AY9074" s="7"/>
      <c r="BH9074" s="7"/>
      <c r="BQ9074" s="7"/>
      <c r="BZ9074" s="7"/>
    </row>
    <row r="9075" spans="2:78">
      <c r="B9075" s="7"/>
      <c r="O9075" s="7"/>
      <c r="X9075" s="7"/>
      <c r="AG9075" s="7"/>
      <c r="AP9075" s="7"/>
      <c r="AY9075" s="7"/>
      <c r="BH9075" s="7"/>
      <c r="BQ9075" s="7"/>
      <c r="BZ9075" s="7"/>
    </row>
    <row r="9076" spans="2:78">
      <c r="B9076" s="7"/>
      <c r="O9076" s="7"/>
      <c r="X9076" s="7"/>
      <c r="AG9076" s="7"/>
      <c r="AP9076" s="7"/>
      <c r="AY9076" s="7"/>
      <c r="BH9076" s="7"/>
      <c r="BQ9076" s="7"/>
      <c r="BZ9076" s="7"/>
    </row>
    <row r="9077" spans="2:78">
      <c r="B9077" s="7"/>
      <c r="O9077" s="7"/>
      <c r="X9077" s="7"/>
      <c r="AG9077" s="7"/>
      <c r="AP9077" s="7"/>
      <c r="AY9077" s="7"/>
      <c r="BH9077" s="7"/>
      <c r="BQ9077" s="7"/>
      <c r="BZ9077" s="7"/>
    </row>
    <row r="9078" spans="2:78">
      <c r="B9078" s="7"/>
      <c r="O9078" s="7"/>
      <c r="X9078" s="7"/>
      <c r="AG9078" s="7"/>
      <c r="AP9078" s="7"/>
      <c r="AY9078" s="7"/>
      <c r="BH9078" s="7"/>
      <c r="BQ9078" s="7"/>
      <c r="BZ9078" s="7"/>
    </row>
    <row r="9079" spans="2:78">
      <c r="B9079" s="7"/>
      <c r="O9079" s="7"/>
      <c r="X9079" s="7"/>
      <c r="AG9079" s="7"/>
      <c r="AP9079" s="7"/>
      <c r="AY9079" s="7"/>
      <c r="BH9079" s="7"/>
      <c r="BQ9079" s="7"/>
      <c r="BZ9079" s="7"/>
    </row>
    <row r="9080" spans="2:78">
      <c r="B9080" s="7"/>
      <c r="O9080" s="7"/>
      <c r="X9080" s="7"/>
      <c r="AG9080" s="7"/>
      <c r="AP9080" s="7"/>
      <c r="AY9080" s="7"/>
      <c r="BH9080" s="7"/>
      <c r="BQ9080" s="7"/>
      <c r="BZ9080" s="7"/>
    </row>
    <row r="9081" spans="2:78">
      <c r="B9081" s="7"/>
      <c r="O9081" s="7"/>
      <c r="X9081" s="7"/>
      <c r="AG9081" s="7"/>
      <c r="AP9081" s="7"/>
      <c r="AY9081" s="7"/>
      <c r="BH9081" s="7"/>
      <c r="BQ9081" s="7"/>
      <c r="BZ9081" s="7"/>
    </row>
    <row r="9082" spans="2:78">
      <c r="B9082" s="7"/>
      <c r="O9082" s="7"/>
      <c r="X9082" s="7"/>
      <c r="AG9082" s="7"/>
      <c r="AP9082" s="7"/>
      <c r="AY9082" s="7"/>
      <c r="BH9082" s="7"/>
      <c r="BQ9082" s="7"/>
      <c r="BZ9082" s="7"/>
    </row>
    <row r="9083" spans="2:78">
      <c r="B9083" s="7"/>
      <c r="O9083" s="7"/>
      <c r="X9083" s="7"/>
      <c r="AG9083" s="7"/>
      <c r="AP9083" s="7"/>
      <c r="AY9083" s="7"/>
      <c r="BH9083" s="7"/>
      <c r="BQ9083" s="7"/>
      <c r="BZ9083" s="7"/>
    </row>
    <row r="9084" spans="2:78">
      <c r="B9084" s="7"/>
      <c r="O9084" s="7"/>
      <c r="X9084" s="7"/>
      <c r="AG9084" s="7"/>
      <c r="AP9084" s="7"/>
      <c r="AY9084" s="7"/>
      <c r="BH9084" s="7"/>
      <c r="BQ9084" s="7"/>
      <c r="BZ9084" s="7"/>
    </row>
    <row r="9085" spans="2:78">
      <c r="B9085" s="7"/>
      <c r="O9085" s="7"/>
      <c r="X9085" s="7"/>
      <c r="AG9085" s="7"/>
      <c r="AP9085" s="7"/>
      <c r="AY9085" s="7"/>
      <c r="BH9085" s="7"/>
      <c r="BQ9085" s="7"/>
      <c r="BZ9085" s="7"/>
    </row>
    <row r="9086" spans="2:78">
      <c r="B9086" s="7"/>
      <c r="O9086" s="7"/>
      <c r="X9086" s="7"/>
      <c r="AG9086" s="7"/>
      <c r="AP9086" s="7"/>
      <c r="AY9086" s="7"/>
      <c r="BH9086" s="7"/>
      <c r="BQ9086" s="7"/>
      <c r="BZ9086" s="7"/>
    </row>
    <row r="9087" spans="2:78">
      <c r="B9087" s="7"/>
      <c r="O9087" s="7"/>
      <c r="X9087" s="7"/>
      <c r="AG9087" s="7"/>
      <c r="AP9087" s="7"/>
      <c r="AY9087" s="7"/>
      <c r="BH9087" s="7"/>
      <c r="BQ9087" s="7"/>
      <c r="BZ9087" s="7"/>
    </row>
    <row r="9088" spans="2:78">
      <c r="B9088" s="7"/>
      <c r="O9088" s="7"/>
      <c r="X9088" s="7"/>
      <c r="AG9088" s="7"/>
      <c r="AP9088" s="7"/>
      <c r="AY9088" s="7"/>
      <c r="BH9088" s="7"/>
      <c r="BQ9088" s="7"/>
      <c r="BZ9088" s="7"/>
    </row>
    <row r="9089" spans="2:78">
      <c r="B9089" s="7"/>
      <c r="O9089" s="7"/>
      <c r="X9089" s="7"/>
      <c r="AG9089" s="7"/>
      <c r="AP9089" s="7"/>
      <c r="AY9089" s="7"/>
      <c r="BH9089" s="7"/>
      <c r="BQ9089" s="7"/>
      <c r="BZ9089" s="7"/>
    </row>
    <row r="9090" spans="2:78">
      <c r="B9090" s="7"/>
      <c r="O9090" s="7"/>
      <c r="X9090" s="7"/>
      <c r="AG9090" s="7"/>
      <c r="AP9090" s="7"/>
      <c r="AY9090" s="7"/>
      <c r="BH9090" s="7"/>
      <c r="BQ9090" s="7"/>
      <c r="BZ9090" s="7"/>
    </row>
    <row r="9091" spans="2:78">
      <c r="B9091" s="7"/>
      <c r="O9091" s="7"/>
      <c r="X9091" s="7"/>
      <c r="AG9091" s="7"/>
      <c r="AP9091" s="7"/>
      <c r="AY9091" s="7"/>
      <c r="BH9091" s="7"/>
      <c r="BQ9091" s="7"/>
      <c r="BZ9091" s="7"/>
    </row>
    <row r="9092" spans="2:78">
      <c r="B9092" s="7"/>
      <c r="O9092" s="7"/>
      <c r="X9092" s="7"/>
      <c r="AG9092" s="7"/>
      <c r="AP9092" s="7"/>
      <c r="AY9092" s="7"/>
      <c r="BH9092" s="7"/>
      <c r="BQ9092" s="7"/>
      <c r="BZ9092" s="7"/>
    </row>
    <row r="9093" spans="2:78">
      <c r="B9093" s="7"/>
      <c r="O9093" s="7"/>
      <c r="X9093" s="7"/>
      <c r="AG9093" s="7"/>
      <c r="AP9093" s="7"/>
      <c r="AY9093" s="7"/>
      <c r="BH9093" s="7"/>
      <c r="BQ9093" s="7"/>
      <c r="BZ9093" s="7"/>
    </row>
    <row r="9094" spans="2:78">
      <c r="B9094" s="7"/>
      <c r="O9094" s="7"/>
      <c r="X9094" s="7"/>
      <c r="AG9094" s="7"/>
      <c r="AP9094" s="7"/>
      <c r="AY9094" s="7"/>
      <c r="BH9094" s="7"/>
      <c r="BQ9094" s="7"/>
      <c r="BZ9094" s="7"/>
    </row>
    <row r="9095" spans="2:78">
      <c r="B9095" s="7"/>
      <c r="O9095" s="7"/>
      <c r="X9095" s="7"/>
      <c r="AG9095" s="7"/>
      <c r="AP9095" s="7"/>
      <c r="AY9095" s="7"/>
      <c r="BH9095" s="7"/>
      <c r="BQ9095" s="7"/>
      <c r="BZ9095" s="7"/>
    </row>
    <row r="9096" spans="2:78">
      <c r="B9096" s="7"/>
      <c r="O9096" s="7"/>
      <c r="X9096" s="7"/>
      <c r="AG9096" s="7"/>
      <c r="AP9096" s="7"/>
      <c r="AY9096" s="7"/>
      <c r="BH9096" s="7"/>
      <c r="BQ9096" s="7"/>
      <c r="BZ9096" s="7"/>
    </row>
    <row r="9097" spans="2:78">
      <c r="B9097" s="7"/>
      <c r="O9097" s="7"/>
      <c r="X9097" s="7"/>
      <c r="AG9097" s="7"/>
      <c r="AP9097" s="7"/>
      <c r="AY9097" s="7"/>
      <c r="BH9097" s="7"/>
      <c r="BQ9097" s="7"/>
      <c r="BZ9097" s="7"/>
    </row>
    <row r="9098" spans="2:78">
      <c r="B9098" s="7"/>
      <c r="O9098" s="7"/>
      <c r="X9098" s="7"/>
      <c r="AG9098" s="7"/>
      <c r="AP9098" s="7"/>
      <c r="AY9098" s="7"/>
      <c r="BH9098" s="7"/>
      <c r="BQ9098" s="7"/>
      <c r="BZ9098" s="7"/>
    </row>
    <row r="9099" spans="2:78">
      <c r="B9099" s="7"/>
      <c r="O9099" s="7"/>
      <c r="X9099" s="7"/>
      <c r="AG9099" s="7"/>
      <c r="AP9099" s="7"/>
      <c r="AY9099" s="7"/>
      <c r="BH9099" s="7"/>
      <c r="BQ9099" s="7"/>
      <c r="BZ9099" s="7"/>
    </row>
    <row r="9100" spans="2:78">
      <c r="B9100" s="7"/>
      <c r="O9100" s="7"/>
      <c r="X9100" s="7"/>
      <c r="AG9100" s="7"/>
      <c r="AP9100" s="7"/>
      <c r="AY9100" s="7"/>
      <c r="BH9100" s="7"/>
      <c r="BQ9100" s="7"/>
      <c r="BZ9100" s="7"/>
    </row>
    <row r="9101" spans="2:78">
      <c r="B9101" s="7"/>
      <c r="O9101" s="7"/>
      <c r="X9101" s="7"/>
      <c r="AG9101" s="7"/>
      <c r="AP9101" s="7"/>
      <c r="AY9101" s="7"/>
      <c r="BH9101" s="7"/>
      <c r="BQ9101" s="7"/>
      <c r="BZ9101" s="7"/>
    </row>
    <row r="9102" spans="2:78">
      <c r="B9102" s="7"/>
      <c r="O9102" s="7"/>
      <c r="X9102" s="7"/>
      <c r="AG9102" s="7"/>
      <c r="AP9102" s="7"/>
      <c r="AY9102" s="7"/>
      <c r="BH9102" s="7"/>
      <c r="BQ9102" s="7"/>
      <c r="BZ9102" s="7"/>
    </row>
    <row r="9103" spans="2:78">
      <c r="B9103" s="7"/>
      <c r="O9103" s="7"/>
      <c r="X9103" s="7"/>
      <c r="AG9103" s="7"/>
      <c r="AP9103" s="7"/>
      <c r="AY9103" s="7"/>
      <c r="BH9103" s="7"/>
      <c r="BQ9103" s="7"/>
      <c r="BZ9103" s="7"/>
    </row>
    <row r="9104" spans="2:78">
      <c r="B9104" s="7"/>
      <c r="O9104" s="7"/>
      <c r="X9104" s="7"/>
      <c r="AG9104" s="7"/>
      <c r="AP9104" s="7"/>
      <c r="AY9104" s="7"/>
      <c r="BH9104" s="7"/>
      <c r="BQ9104" s="7"/>
      <c r="BZ9104" s="7"/>
    </row>
    <row r="9105" spans="2:78">
      <c r="B9105" s="7"/>
      <c r="O9105" s="7"/>
      <c r="X9105" s="7"/>
      <c r="AG9105" s="7"/>
      <c r="AP9105" s="7"/>
      <c r="AY9105" s="7"/>
      <c r="BH9105" s="7"/>
      <c r="BQ9105" s="7"/>
      <c r="BZ9105" s="7"/>
    </row>
    <row r="9106" spans="2:78">
      <c r="B9106" s="7"/>
      <c r="O9106" s="7"/>
      <c r="X9106" s="7"/>
      <c r="AG9106" s="7"/>
      <c r="AP9106" s="7"/>
      <c r="AY9106" s="7"/>
      <c r="BH9106" s="7"/>
      <c r="BQ9106" s="7"/>
      <c r="BZ9106" s="7"/>
    </row>
    <row r="9107" spans="2:78">
      <c r="B9107" s="7"/>
      <c r="O9107" s="7"/>
      <c r="X9107" s="7"/>
      <c r="AG9107" s="7"/>
      <c r="AP9107" s="7"/>
      <c r="AY9107" s="7"/>
      <c r="BH9107" s="7"/>
      <c r="BQ9107" s="7"/>
      <c r="BZ9107" s="7"/>
    </row>
    <row r="9108" spans="2:78">
      <c r="B9108" s="7"/>
      <c r="O9108" s="7"/>
      <c r="X9108" s="7"/>
      <c r="AG9108" s="7"/>
      <c r="AP9108" s="7"/>
      <c r="AY9108" s="7"/>
      <c r="BH9108" s="7"/>
      <c r="BQ9108" s="7"/>
      <c r="BZ9108" s="7"/>
    </row>
    <row r="9109" spans="2:78">
      <c r="B9109" s="7"/>
      <c r="O9109" s="7"/>
      <c r="X9109" s="7"/>
      <c r="AG9109" s="7"/>
      <c r="AP9109" s="7"/>
      <c r="AY9109" s="7"/>
      <c r="BH9109" s="7"/>
      <c r="BQ9109" s="7"/>
      <c r="BZ9109" s="7"/>
    </row>
    <row r="9110" spans="2:78">
      <c r="B9110" s="7"/>
      <c r="O9110" s="7"/>
      <c r="X9110" s="7"/>
      <c r="AG9110" s="7"/>
      <c r="AP9110" s="7"/>
      <c r="AY9110" s="7"/>
      <c r="BH9110" s="7"/>
      <c r="BQ9110" s="7"/>
      <c r="BZ9110" s="7"/>
    </row>
    <row r="9111" spans="2:78">
      <c r="B9111" s="7"/>
      <c r="O9111" s="7"/>
      <c r="X9111" s="7"/>
      <c r="AG9111" s="7"/>
      <c r="AP9111" s="7"/>
      <c r="AY9111" s="7"/>
      <c r="BH9111" s="7"/>
      <c r="BQ9111" s="7"/>
      <c r="BZ9111" s="7"/>
    </row>
    <row r="9112" spans="2:78">
      <c r="B9112" s="7"/>
      <c r="O9112" s="7"/>
      <c r="X9112" s="7"/>
      <c r="AG9112" s="7"/>
      <c r="AP9112" s="7"/>
      <c r="AY9112" s="7"/>
      <c r="BH9112" s="7"/>
      <c r="BQ9112" s="7"/>
      <c r="BZ9112" s="7"/>
    </row>
    <row r="9113" spans="2:78">
      <c r="B9113" s="7"/>
      <c r="O9113" s="7"/>
      <c r="X9113" s="7"/>
      <c r="AG9113" s="7"/>
      <c r="AP9113" s="7"/>
      <c r="AY9113" s="7"/>
      <c r="BH9113" s="7"/>
      <c r="BQ9113" s="7"/>
      <c r="BZ9113" s="7"/>
    </row>
    <row r="9114" spans="2:78">
      <c r="B9114" s="7"/>
      <c r="O9114" s="7"/>
      <c r="X9114" s="7"/>
      <c r="AG9114" s="7"/>
      <c r="AP9114" s="7"/>
      <c r="AY9114" s="7"/>
      <c r="BH9114" s="7"/>
      <c r="BQ9114" s="7"/>
      <c r="BZ9114" s="7"/>
    </row>
    <row r="9115" spans="2:78">
      <c r="B9115" s="7"/>
      <c r="O9115" s="7"/>
      <c r="X9115" s="7"/>
      <c r="AG9115" s="7"/>
      <c r="AP9115" s="7"/>
      <c r="AY9115" s="7"/>
      <c r="BH9115" s="7"/>
      <c r="BQ9115" s="7"/>
      <c r="BZ9115" s="7"/>
    </row>
    <row r="9116" spans="2:78">
      <c r="B9116" s="7"/>
      <c r="O9116" s="7"/>
      <c r="X9116" s="7"/>
      <c r="AG9116" s="7"/>
      <c r="AP9116" s="7"/>
      <c r="AY9116" s="7"/>
      <c r="BH9116" s="7"/>
      <c r="BQ9116" s="7"/>
      <c r="BZ9116" s="7"/>
    </row>
    <row r="9117" spans="2:78">
      <c r="B9117" s="7"/>
      <c r="O9117" s="7"/>
      <c r="X9117" s="7"/>
      <c r="AG9117" s="7"/>
      <c r="AP9117" s="7"/>
      <c r="AY9117" s="7"/>
      <c r="BH9117" s="7"/>
      <c r="BQ9117" s="7"/>
      <c r="BZ9117" s="7"/>
    </row>
    <row r="9118" spans="2:78">
      <c r="B9118" s="7"/>
      <c r="O9118" s="7"/>
      <c r="X9118" s="7"/>
      <c r="AG9118" s="7"/>
      <c r="AP9118" s="7"/>
      <c r="AY9118" s="7"/>
      <c r="BH9118" s="7"/>
      <c r="BQ9118" s="7"/>
      <c r="BZ9118" s="7"/>
    </row>
    <row r="9119" spans="2:78">
      <c r="B9119" s="7"/>
      <c r="O9119" s="7"/>
      <c r="X9119" s="7"/>
      <c r="AG9119" s="7"/>
      <c r="AP9119" s="7"/>
      <c r="AY9119" s="7"/>
      <c r="BH9119" s="7"/>
      <c r="BQ9119" s="7"/>
      <c r="BZ9119" s="7"/>
    </row>
    <row r="9120" spans="2:78">
      <c r="B9120" s="7"/>
      <c r="O9120" s="7"/>
      <c r="X9120" s="7"/>
      <c r="AG9120" s="7"/>
      <c r="AP9120" s="7"/>
      <c r="AY9120" s="7"/>
      <c r="BH9120" s="7"/>
      <c r="BQ9120" s="7"/>
      <c r="BZ9120" s="7"/>
    </row>
    <row r="9121" spans="2:78">
      <c r="B9121" s="7"/>
      <c r="O9121" s="7"/>
      <c r="X9121" s="7"/>
      <c r="AG9121" s="7"/>
      <c r="AP9121" s="7"/>
      <c r="AY9121" s="7"/>
      <c r="BH9121" s="7"/>
      <c r="BQ9121" s="7"/>
      <c r="BZ9121" s="7"/>
    </row>
    <row r="9122" spans="2:78">
      <c r="B9122" s="7"/>
      <c r="O9122" s="7"/>
      <c r="X9122" s="7"/>
      <c r="AG9122" s="7"/>
      <c r="AP9122" s="7"/>
      <c r="AY9122" s="7"/>
      <c r="BH9122" s="7"/>
      <c r="BQ9122" s="7"/>
      <c r="BZ9122" s="7"/>
    </row>
    <row r="9123" spans="2:78">
      <c r="B9123" s="7"/>
      <c r="O9123" s="7"/>
      <c r="X9123" s="7"/>
      <c r="AG9123" s="7"/>
      <c r="AP9123" s="7"/>
      <c r="AY9123" s="7"/>
      <c r="BH9123" s="7"/>
      <c r="BQ9123" s="7"/>
      <c r="BZ9123" s="7"/>
    </row>
    <row r="9124" spans="2:78">
      <c r="B9124" s="7"/>
      <c r="O9124" s="7"/>
      <c r="X9124" s="7"/>
      <c r="AG9124" s="7"/>
      <c r="AP9124" s="7"/>
      <c r="AY9124" s="7"/>
      <c r="BH9124" s="7"/>
      <c r="BQ9124" s="7"/>
      <c r="BZ9124" s="7"/>
    </row>
    <row r="9125" spans="2:78">
      <c r="B9125" s="7"/>
      <c r="O9125" s="7"/>
      <c r="X9125" s="7"/>
      <c r="AG9125" s="7"/>
      <c r="AP9125" s="7"/>
      <c r="AY9125" s="7"/>
      <c r="BH9125" s="7"/>
      <c r="BQ9125" s="7"/>
      <c r="BZ9125" s="7"/>
    </row>
    <row r="9126" spans="2:78">
      <c r="B9126" s="7"/>
      <c r="O9126" s="7"/>
      <c r="X9126" s="7"/>
      <c r="AG9126" s="7"/>
      <c r="AP9126" s="7"/>
      <c r="AY9126" s="7"/>
      <c r="BH9126" s="7"/>
      <c r="BQ9126" s="7"/>
      <c r="BZ9126" s="7"/>
    </row>
    <row r="9127" spans="2:78">
      <c r="B9127" s="7"/>
      <c r="O9127" s="7"/>
      <c r="X9127" s="7"/>
      <c r="AG9127" s="7"/>
      <c r="AP9127" s="7"/>
      <c r="AY9127" s="7"/>
      <c r="BH9127" s="7"/>
      <c r="BQ9127" s="7"/>
      <c r="BZ9127" s="7"/>
    </row>
    <row r="9128" spans="2:78">
      <c r="B9128" s="7"/>
      <c r="O9128" s="7"/>
      <c r="X9128" s="7"/>
      <c r="AG9128" s="7"/>
      <c r="AP9128" s="7"/>
      <c r="AY9128" s="7"/>
      <c r="BH9128" s="7"/>
      <c r="BQ9128" s="7"/>
      <c r="BZ9128" s="7"/>
    </row>
    <row r="9129" spans="2:78">
      <c r="B9129" s="7"/>
      <c r="O9129" s="7"/>
      <c r="X9129" s="7"/>
      <c r="AG9129" s="7"/>
      <c r="AP9129" s="7"/>
      <c r="AY9129" s="7"/>
      <c r="BH9129" s="7"/>
      <c r="BQ9129" s="7"/>
      <c r="BZ9129" s="7"/>
    </row>
    <row r="9130" spans="2:78">
      <c r="B9130" s="7"/>
      <c r="O9130" s="7"/>
      <c r="X9130" s="7"/>
      <c r="AG9130" s="7"/>
      <c r="AP9130" s="7"/>
      <c r="AY9130" s="7"/>
      <c r="BH9130" s="7"/>
      <c r="BQ9130" s="7"/>
      <c r="BZ9130" s="7"/>
    </row>
    <row r="9131" spans="2:78">
      <c r="B9131" s="7"/>
      <c r="O9131" s="7"/>
      <c r="X9131" s="7"/>
      <c r="AG9131" s="7"/>
      <c r="AP9131" s="7"/>
      <c r="AY9131" s="7"/>
      <c r="BH9131" s="7"/>
      <c r="BQ9131" s="7"/>
      <c r="BZ9131" s="7"/>
    </row>
    <row r="9132" spans="2:78">
      <c r="B9132" s="7"/>
      <c r="O9132" s="7"/>
      <c r="X9132" s="7"/>
      <c r="AG9132" s="7"/>
      <c r="AP9132" s="7"/>
      <c r="AY9132" s="7"/>
      <c r="BH9132" s="7"/>
      <c r="BQ9132" s="7"/>
      <c r="BZ9132" s="7"/>
    </row>
    <row r="9133" spans="2:78">
      <c r="B9133" s="7"/>
      <c r="O9133" s="7"/>
      <c r="X9133" s="7"/>
      <c r="AG9133" s="7"/>
      <c r="AP9133" s="7"/>
      <c r="AY9133" s="7"/>
      <c r="BH9133" s="7"/>
      <c r="BQ9133" s="7"/>
      <c r="BZ9133" s="7"/>
    </row>
    <row r="9134" spans="2:78">
      <c r="B9134" s="7"/>
      <c r="O9134" s="7"/>
      <c r="X9134" s="7"/>
      <c r="AG9134" s="7"/>
      <c r="AP9134" s="7"/>
      <c r="AY9134" s="7"/>
      <c r="BH9134" s="7"/>
      <c r="BQ9134" s="7"/>
      <c r="BZ9134" s="7"/>
    </row>
    <row r="9135" spans="2:78">
      <c r="B9135" s="7"/>
      <c r="O9135" s="7"/>
      <c r="X9135" s="7"/>
      <c r="AG9135" s="7"/>
      <c r="AP9135" s="7"/>
      <c r="AY9135" s="7"/>
      <c r="BH9135" s="7"/>
      <c r="BQ9135" s="7"/>
      <c r="BZ9135" s="7"/>
    </row>
    <row r="9136" spans="2:78">
      <c r="B9136" s="7"/>
      <c r="O9136" s="7"/>
      <c r="X9136" s="7"/>
      <c r="AG9136" s="7"/>
      <c r="AP9136" s="7"/>
      <c r="AY9136" s="7"/>
      <c r="BH9136" s="7"/>
      <c r="BQ9136" s="7"/>
      <c r="BZ9136" s="7"/>
    </row>
    <row r="9137" spans="2:78">
      <c r="B9137" s="7"/>
      <c r="O9137" s="7"/>
      <c r="X9137" s="7"/>
      <c r="AG9137" s="7"/>
      <c r="AP9137" s="7"/>
      <c r="AY9137" s="7"/>
      <c r="BH9137" s="7"/>
      <c r="BQ9137" s="7"/>
      <c r="BZ9137" s="7"/>
    </row>
    <row r="9138" spans="2:78">
      <c r="B9138" s="7"/>
      <c r="O9138" s="7"/>
      <c r="X9138" s="7"/>
      <c r="AG9138" s="7"/>
      <c r="AP9138" s="7"/>
      <c r="AY9138" s="7"/>
      <c r="BH9138" s="7"/>
      <c r="BQ9138" s="7"/>
      <c r="BZ9138" s="7"/>
    </row>
    <row r="9139" spans="2:78">
      <c r="B9139" s="7"/>
      <c r="O9139" s="7"/>
      <c r="X9139" s="7"/>
      <c r="AG9139" s="7"/>
      <c r="AP9139" s="7"/>
      <c r="AY9139" s="7"/>
      <c r="BH9139" s="7"/>
      <c r="BQ9139" s="7"/>
      <c r="BZ9139" s="7"/>
    </row>
    <row r="9140" spans="2:78">
      <c r="B9140" s="7"/>
      <c r="O9140" s="7"/>
      <c r="X9140" s="7"/>
      <c r="AG9140" s="7"/>
      <c r="AP9140" s="7"/>
      <c r="AY9140" s="7"/>
      <c r="BH9140" s="7"/>
      <c r="BQ9140" s="7"/>
      <c r="BZ9140" s="7"/>
    </row>
    <row r="9141" spans="2:78">
      <c r="B9141" s="7"/>
      <c r="O9141" s="7"/>
      <c r="X9141" s="7"/>
      <c r="AG9141" s="7"/>
      <c r="AP9141" s="7"/>
      <c r="AY9141" s="7"/>
      <c r="BH9141" s="7"/>
      <c r="BQ9141" s="7"/>
      <c r="BZ9141" s="7"/>
    </row>
    <row r="9142" spans="2:78">
      <c r="B9142" s="7"/>
      <c r="O9142" s="7"/>
      <c r="X9142" s="7"/>
      <c r="AG9142" s="7"/>
      <c r="AP9142" s="7"/>
      <c r="AY9142" s="7"/>
      <c r="BH9142" s="7"/>
      <c r="BQ9142" s="7"/>
      <c r="BZ9142" s="7"/>
    </row>
    <row r="9143" spans="2:78">
      <c r="B9143" s="7"/>
      <c r="O9143" s="7"/>
      <c r="X9143" s="7"/>
      <c r="AG9143" s="7"/>
      <c r="AP9143" s="7"/>
      <c r="AY9143" s="7"/>
      <c r="BH9143" s="7"/>
      <c r="BQ9143" s="7"/>
      <c r="BZ9143" s="7"/>
    </row>
    <row r="9144" spans="2:78">
      <c r="B9144" s="7"/>
      <c r="O9144" s="7"/>
      <c r="X9144" s="7"/>
      <c r="AG9144" s="7"/>
      <c r="AP9144" s="7"/>
      <c r="AY9144" s="7"/>
      <c r="BH9144" s="7"/>
      <c r="BQ9144" s="7"/>
      <c r="BZ9144" s="7"/>
    </row>
    <row r="9145" spans="2:78">
      <c r="B9145" s="7"/>
      <c r="O9145" s="7"/>
      <c r="X9145" s="7"/>
      <c r="AG9145" s="7"/>
      <c r="AP9145" s="7"/>
      <c r="AY9145" s="7"/>
      <c r="BH9145" s="7"/>
      <c r="BQ9145" s="7"/>
      <c r="BZ9145" s="7"/>
    </row>
    <row r="9146" spans="2:78">
      <c r="B9146" s="7"/>
      <c r="O9146" s="7"/>
      <c r="X9146" s="7"/>
      <c r="AG9146" s="7"/>
      <c r="AP9146" s="7"/>
      <c r="AY9146" s="7"/>
      <c r="BH9146" s="7"/>
      <c r="BQ9146" s="7"/>
      <c r="BZ9146" s="7"/>
    </row>
    <row r="9147" spans="2:78">
      <c r="B9147" s="7"/>
      <c r="O9147" s="7"/>
      <c r="X9147" s="7"/>
      <c r="AG9147" s="7"/>
      <c r="AP9147" s="7"/>
      <c r="AY9147" s="7"/>
      <c r="BH9147" s="7"/>
      <c r="BQ9147" s="7"/>
      <c r="BZ9147" s="7"/>
    </row>
    <row r="9148" spans="2:78">
      <c r="B9148" s="7"/>
      <c r="O9148" s="7"/>
      <c r="X9148" s="7"/>
      <c r="AG9148" s="7"/>
      <c r="AP9148" s="7"/>
      <c r="AY9148" s="7"/>
      <c r="BH9148" s="7"/>
      <c r="BQ9148" s="7"/>
      <c r="BZ9148" s="7"/>
    </row>
    <row r="9149" spans="2:78">
      <c r="B9149" s="7"/>
      <c r="O9149" s="7"/>
      <c r="X9149" s="7"/>
      <c r="AG9149" s="7"/>
      <c r="AP9149" s="7"/>
      <c r="AY9149" s="7"/>
      <c r="BH9149" s="7"/>
      <c r="BQ9149" s="7"/>
      <c r="BZ9149" s="7"/>
    </row>
    <row r="9150" spans="2:78">
      <c r="B9150" s="7"/>
      <c r="O9150" s="7"/>
      <c r="X9150" s="7"/>
      <c r="AG9150" s="7"/>
      <c r="AP9150" s="7"/>
      <c r="AY9150" s="7"/>
      <c r="BH9150" s="7"/>
      <c r="BQ9150" s="7"/>
      <c r="BZ9150" s="7"/>
    </row>
    <row r="9151" spans="2:78">
      <c r="B9151" s="7"/>
      <c r="O9151" s="7"/>
      <c r="X9151" s="7"/>
      <c r="AG9151" s="7"/>
      <c r="AP9151" s="7"/>
      <c r="AY9151" s="7"/>
      <c r="BH9151" s="7"/>
      <c r="BQ9151" s="7"/>
      <c r="BZ9151" s="7"/>
    </row>
    <row r="9152" spans="2:78">
      <c r="B9152" s="7"/>
      <c r="O9152" s="7"/>
      <c r="X9152" s="7"/>
      <c r="AG9152" s="7"/>
      <c r="AP9152" s="7"/>
      <c r="AY9152" s="7"/>
      <c r="BH9152" s="7"/>
      <c r="BQ9152" s="7"/>
      <c r="BZ9152" s="7"/>
    </row>
    <row r="9153" spans="2:78">
      <c r="B9153" s="7"/>
      <c r="O9153" s="7"/>
      <c r="X9153" s="7"/>
      <c r="AG9153" s="7"/>
      <c r="AP9153" s="7"/>
      <c r="AY9153" s="7"/>
      <c r="BH9153" s="7"/>
      <c r="BQ9153" s="7"/>
      <c r="BZ9153" s="7"/>
    </row>
    <row r="9154" spans="2:78">
      <c r="B9154" s="7"/>
      <c r="O9154" s="7"/>
      <c r="X9154" s="7"/>
      <c r="AG9154" s="7"/>
      <c r="AP9154" s="7"/>
      <c r="AY9154" s="7"/>
      <c r="BH9154" s="7"/>
      <c r="BQ9154" s="7"/>
      <c r="BZ9154" s="7"/>
    </row>
    <row r="9155" spans="2:78">
      <c r="B9155" s="7"/>
      <c r="O9155" s="7"/>
      <c r="X9155" s="7"/>
      <c r="AG9155" s="7"/>
      <c r="AP9155" s="7"/>
      <c r="AY9155" s="7"/>
      <c r="BH9155" s="7"/>
      <c r="BQ9155" s="7"/>
      <c r="BZ9155" s="7"/>
    </row>
    <row r="9156" spans="2:78">
      <c r="B9156" s="7"/>
      <c r="O9156" s="7"/>
      <c r="X9156" s="7"/>
      <c r="AG9156" s="7"/>
      <c r="AP9156" s="7"/>
      <c r="AY9156" s="7"/>
      <c r="BH9156" s="7"/>
      <c r="BQ9156" s="7"/>
      <c r="BZ9156" s="7"/>
    </row>
    <row r="9157" spans="2:78">
      <c r="B9157" s="7"/>
      <c r="O9157" s="7"/>
      <c r="X9157" s="7"/>
      <c r="AG9157" s="7"/>
      <c r="AP9157" s="7"/>
      <c r="AY9157" s="7"/>
      <c r="BH9157" s="7"/>
      <c r="BQ9157" s="7"/>
      <c r="BZ9157" s="7"/>
    </row>
    <row r="9158" spans="2:78">
      <c r="B9158" s="7"/>
      <c r="O9158" s="7"/>
      <c r="X9158" s="7"/>
      <c r="AG9158" s="7"/>
      <c r="AP9158" s="7"/>
      <c r="AY9158" s="7"/>
      <c r="BH9158" s="7"/>
      <c r="BQ9158" s="7"/>
      <c r="BZ9158" s="7"/>
    </row>
    <row r="9159" spans="2:78">
      <c r="B9159" s="7"/>
      <c r="O9159" s="7"/>
      <c r="X9159" s="7"/>
      <c r="AG9159" s="7"/>
      <c r="AP9159" s="7"/>
      <c r="AY9159" s="7"/>
      <c r="BH9159" s="7"/>
      <c r="BQ9159" s="7"/>
      <c r="BZ9159" s="7"/>
    </row>
    <row r="9160" spans="2:78">
      <c r="B9160" s="7"/>
      <c r="O9160" s="7"/>
      <c r="X9160" s="7"/>
      <c r="AG9160" s="7"/>
      <c r="AP9160" s="7"/>
      <c r="AY9160" s="7"/>
      <c r="BH9160" s="7"/>
      <c r="BQ9160" s="7"/>
      <c r="BZ9160" s="7"/>
    </row>
    <row r="9161" spans="2:78">
      <c r="B9161" s="7"/>
      <c r="O9161" s="7"/>
      <c r="X9161" s="7"/>
      <c r="AG9161" s="7"/>
      <c r="AP9161" s="7"/>
      <c r="AY9161" s="7"/>
      <c r="BH9161" s="7"/>
      <c r="BQ9161" s="7"/>
      <c r="BZ9161" s="7"/>
    </row>
    <row r="9162" spans="2:78">
      <c r="B9162" s="7"/>
      <c r="O9162" s="7"/>
      <c r="X9162" s="7"/>
      <c r="AG9162" s="7"/>
      <c r="AP9162" s="7"/>
      <c r="AY9162" s="7"/>
      <c r="BH9162" s="7"/>
      <c r="BQ9162" s="7"/>
      <c r="BZ9162" s="7"/>
    </row>
    <row r="9163" spans="2:78">
      <c r="B9163" s="7"/>
      <c r="O9163" s="7"/>
      <c r="X9163" s="7"/>
      <c r="AG9163" s="7"/>
      <c r="AP9163" s="7"/>
      <c r="AY9163" s="7"/>
      <c r="BH9163" s="7"/>
      <c r="BQ9163" s="7"/>
      <c r="BZ9163" s="7"/>
    </row>
    <row r="9164" spans="2:78">
      <c r="B9164" s="7"/>
      <c r="O9164" s="7"/>
      <c r="X9164" s="7"/>
      <c r="AG9164" s="7"/>
      <c r="AP9164" s="7"/>
      <c r="AY9164" s="7"/>
      <c r="BH9164" s="7"/>
      <c r="BQ9164" s="7"/>
      <c r="BZ9164" s="7"/>
    </row>
    <row r="9165" spans="2:78">
      <c r="B9165" s="7"/>
      <c r="O9165" s="7"/>
      <c r="X9165" s="7"/>
      <c r="AG9165" s="7"/>
      <c r="AP9165" s="7"/>
      <c r="AY9165" s="7"/>
      <c r="BH9165" s="7"/>
      <c r="BQ9165" s="7"/>
      <c r="BZ9165" s="7"/>
    </row>
    <row r="9166" spans="2:78">
      <c r="B9166" s="7"/>
      <c r="O9166" s="7"/>
      <c r="X9166" s="7"/>
      <c r="AG9166" s="7"/>
      <c r="AP9166" s="7"/>
      <c r="AY9166" s="7"/>
      <c r="BH9166" s="7"/>
      <c r="BQ9166" s="7"/>
      <c r="BZ9166" s="7"/>
    </row>
    <row r="9167" spans="2:78">
      <c r="B9167" s="7"/>
      <c r="O9167" s="7"/>
      <c r="X9167" s="7"/>
      <c r="AG9167" s="7"/>
      <c r="AP9167" s="7"/>
      <c r="AY9167" s="7"/>
      <c r="BH9167" s="7"/>
      <c r="BQ9167" s="7"/>
      <c r="BZ9167" s="7"/>
    </row>
    <row r="9168" spans="2:78">
      <c r="B9168" s="7"/>
      <c r="O9168" s="7"/>
      <c r="X9168" s="7"/>
      <c r="AG9168" s="7"/>
      <c r="AP9168" s="7"/>
      <c r="AY9168" s="7"/>
      <c r="BH9168" s="7"/>
      <c r="BQ9168" s="7"/>
      <c r="BZ9168" s="7"/>
    </row>
    <row r="9169" spans="2:78">
      <c r="B9169" s="7"/>
      <c r="O9169" s="7"/>
      <c r="X9169" s="7"/>
      <c r="AG9169" s="7"/>
      <c r="AP9169" s="7"/>
      <c r="AY9169" s="7"/>
      <c r="BH9169" s="7"/>
      <c r="BQ9169" s="7"/>
      <c r="BZ9169" s="7"/>
    </row>
    <row r="9170" spans="2:78">
      <c r="B9170" s="7"/>
      <c r="O9170" s="7"/>
      <c r="X9170" s="7"/>
      <c r="AG9170" s="7"/>
      <c r="AP9170" s="7"/>
      <c r="AY9170" s="7"/>
      <c r="BH9170" s="7"/>
      <c r="BQ9170" s="7"/>
      <c r="BZ9170" s="7"/>
    </row>
    <row r="9171" spans="2:78">
      <c r="B9171" s="7"/>
      <c r="O9171" s="7"/>
      <c r="X9171" s="7"/>
      <c r="AG9171" s="7"/>
      <c r="AP9171" s="7"/>
      <c r="AY9171" s="7"/>
      <c r="BH9171" s="7"/>
      <c r="BQ9171" s="7"/>
      <c r="BZ9171" s="7"/>
    </row>
    <row r="9172" spans="2:78">
      <c r="B9172" s="7"/>
      <c r="O9172" s="7"/>
      <c r="X9172" s="7"/>
      <c r="AG9172" s="7"/>
      <c r="AP9172" s="7"/>
      <c r="AY9172" s="7"/>
      <c r="BH9172" s="7"/>
      <c r="BQ9172" s="7"/>
      <c r="BZ9172" s="7"/>
    </row>
    <row r="9173" spans="2:78">
      <c r="B9173" s="7"/>
      <c r="O9173" s="7"/>
      <c r="X9173" s="7"/>
      <c r="AG9173" s="7"/>
      <c r="AP9173" s="7"/>
      <c r="AY9173" s="7"/>
      <c r="BH9173" s="7"/>
      <c r="BQ9173" s="7"/>
      <c r="BZ9173" s="7"/>
    </row>
    <row r="9174" spans="2:78">
      <c r="B9174" s="7"/>
      <c r="O9174" s="7"/>
      <c r="X9174" s="7"/>
      <c r="AG9174" s="7"/>
      <c r="AP9174" s="7"/>
      <c r="AY9174" s="7"/>
      <c r="BH9174" s="7"/>
      <c r="BQ9174" s="7"/>
      <c r="BZ9174" s="7"/>
    </row>
    <row r="9175" spans="2:78">
      <c r="B9175" s="7"/>
      <c r="O9175" s="7"/>
      <c r="X9175" s="7"/>
      <c r="AG9175" s="7"/>
      <c r="AP9175" s="7"/>
      <c r="AY9175" s="7"/>
      <c r="BH9175" s="7"/>
      <c r="BQ9175" s="7"/>
      <c r="BZ9175" s="7"/>
    </row>
    <row r="9176" spans="2:78">
      <c r="B9176" s="7"/>
      <c r="O9176" s="7"/>
      <c r="X9176" s="7"/>
      <c r="AG9176" s="7"/>
      <c r="AP9176" s="7"/>
      <c r="AY9176" s="7"/>
      <c r="BH9176" s="7"/>
      <c r="BQ9176" s="7"/>
      <c r="BZ9176" s="7"/>
    </row>
    <row r="9177" spans="2:78">
      <c r="B9177" s="7"/>
      <c r="O9177" s="7"/>
      <c r="X9177" s="7"/>
      <c r="AG9177" s="7"/>
      <c r="AP9177" s="7"/>
      <c r="AY9177" s="7"/>
      <c r="BH9177" s="7"/>
      <c r="BQ9177" s="7"/>
      <c r="BZ9177" s="7"/>
    </row>
    <row r="9178" spans="2:78">
      <c r="B9178" s="7"/>
      <c r="O9178" s="7"/>
      <c r="X9178" s="7"/>
      <c r="AG9178" s="7"/>
      <c r="AP9178" s="7"/>
      <c r="AY9178" s="7"/>
      <c r="BH9178" s="7"/>
      <c r="BQ9178" s="7"/>
      <c r="BZ9178" s="7"/>
    </row>
    <row r="9179" spans="2:78">
      <c r="B9179" s="7"/>
      <c r="O9179" s="7"/>
      <c r="X9179" s="7"/>
      <c r="AG9179" s="7"/>
      <c r="AP9179" s="7"/>
      <c r="AY9179" s="7"/>
      <c r="BH9179" s="7"/>
      <c r="BQ9179" s="7"/>
      <c r="BZ9179" s="7"/>
    </row>
    <row r="9180" spans="2:78">
      <c r="B9180" s="7"/>
      <c r="O9180" s="7"/>
      <c r="X9180" s="7"/>
      <c r="AG9180" s="7"/>
      <c r="AP9180" s="7"/>
      <c r="AY9180" s="7"/>
      <c r="BH9180" s="7"/>
      <c r="BQ9180" s="7"/>
      <c r="BZ9180" s="7"/>
    </row>
    <row r="9181" spans="2:78">
      <c r="B9181" s="7"/>
      <c r="O9181" s="7"/>
      <c r="X9181" s="7"/>
      <c r="AG9181" s="7"/>
      <c r="AP9181" s="7"/>
      <c r="AY9181" s="7"/>
      <c r="BH9181" s="7"/>
      <c r="BQ9181" s="7"/>
      <c r="BZ9181" s="7"/>
    </row>
    <row r="9182" spans="2:78">
      <c r="B9182" s="7"/>
      <c r="O9182" s="7"/>
      <c r="X9182" s="7"/>
      <c r="AG9182" s="7"/>
      <c r="AP9182" s="7"/>
      <c r="AY9182" s="7"/>
      <c r="BH9182" s="7"/>
      <c r="BQ9182" s="7"/>
      <c r="BZ9182" s="7"/>
    </row>
    <row r="9183" spans="2:78">
      <c r="B9183" s="7"/>
      <c r="O9183" s="7"/>
      <c r="X9183" s="7"/>
      <c r="AG9183" s="7"/>
      <c r="AP9183" s="7"/>
      <c r="AY9183" s="7"/>
      <c r="BH9183" s="7"/>
      <c r="BQ9183" s="7"/>
      <c r="BZ9183" s="7"/>
    </row>
    <row r="9184" spans="2:78">
      <c r="B9184" s="7"/>
      <c r="O9184" s="7"/>
      <c r="X9184" s="7"/>
      <c r="AG9184" s="7"/>
      <c r="AP9184" s="7"/>
      <c r="AY9184" s="7"/>
      <c r="BH9184" s="7"/>
      <c r="BQ9184" s="7"/>
      <c r="BZ9184" s="7"/>
    </row>
    <row r="9185" spans="2:78">
      <c r="B9185" s="7"/>
      <c r="O9185" s="7"/>
      <c r="X9185" s="7"/>
      <c r="AG9185" s="7"/>
      <c r="AP9185" s="7"/>
      <c r="AY9185" s="7"/>
      <c r="BH9185" s="7"/>
      <c r="BQ9185" s="7"/>
      <c r="BZ9185" s="7"/>
    </row>
    <row r="9186" spans="2:78">
      <c r="B9186" s="7"/>
      <c r="O9186" s="7"/>
      <c r="X9186" s="7"/>
      <c r="AG9186" s="7"/>
      <c r="AP9186" s="7"/>
      <c r="AY9186" s="7"/>
      <c r="BH9186" s="7"/>
      <c r="BQ9186" s="7"/>
      <c r="BZ9186" s="7"/>
    </row>
    <row r="9187" spans="2:78">
      <c r="B9187" s="7"/>
      <c r="O9187" s="7"/>
      <c r="X9187" s="7"/>
      <c r="AG9187" s="7"/>
      <c r="AP9187" s="7"/>
      <c r="AY9187" s="7"/>
      <c r="BH9187" s="7"/>
      <c r="BQ9187" s="7"/>
      <c r="BZ9187" s="7"/>
    </row>
    <row r="9188" spans="2:78">
      <c r="B9188" s="7"/>
      <c r="O9188" s="7"/>
      <c r="X9188" s="7"/>
      <c r="AG9188" s="7"/>
      <c r="AP9188" s="7"/>
      <c r="AY9188" s="7"/>
      <c r="BH9188" s="7"/>
      <c r="BQ9188" s="7"/>
      <c r="BZ9188" s="7"/>
    </row>
    <row r="9189" spans="2:78">
      <c r="B9189" s="7"/>
      <c r="O9189" s="7"/>
      <c r="X9189" s="7"/>
      <c r="AG9189" s="7"/>
      <c r="AP9189" s="7"/>
      <c r="AY9189" s="7"/>
      <c r="BH9189" s="7"/>
      <c r="BQ9189" s="7"/>
      <c r="BZ9189" s="7"/>
    </row>
    <row r="9190" spans="2:78">
      <c r="B9190" s="7"/>
      <c r="O9190" s="7"/>
      <c r="X9190" s="7"/>
      <c r="AG9190" s="7"/>
      <c r="AP9190" s="7"/>
      <c r="AY9190" s="7"/>
      <c r="BH9190" s="7"/>
      <c r="BQ9190" s="7"/>
      <c r="BZ9190" s="7"/>
    </row>
    <row r="9191" spans="2:78">
      <c r="B9191" s="7"/>
      <c r="O9191" s="7"/>
      <c r="X9191" s="7"/>
      <c r="AG9191" s="7"/>
      <c r="AP9191" s="7"/>
      <c r="AY9191" s="7"/>
      <c r="BH9191" s="7"/>
      <c r="BQ9191" s="7"/>
      <c r="BZ9191" s="7"/>
    </row>
    <row r="9192" spans="2:78">
      <c r="B9192" s="7"/>
      <c r="O9192" s="7"/>
      <c r="X9192" s="7"/>
      <c r="AG9192" s="7"/>
      <c r="AP9192" s="7"/>
      <c r="AY9192" s="7"/>
      <c r="BH9192" s="7"/>
      <c r="BQ9192" s="7"/>
      <c r="BZ9192" s="7"/>
    </row>
    <row r="9193" spans="2:78">
      <c r="B9193" s="7"/>
      <c r="O9193" s="7"/>
      <c r="X9193" s="7"/>
      <c r="AG9193" s="7"/>
      <c r="AP9193" s="7"/>
      <c r="AY9193" s="7"/>
      <c r="BH9193" s="7"/>
      <c r="BQ9193" s="7"/>
      <c r="BZ9193" s="7"/>
    </row>
    <row r="9194" spans="2:78">
      <c r="B9194" s="7"/>
      <c r="O9194" s="7"/>
      <c r="X9194" s="7"/>
      <c r="AG9194" s="7"/>
      <c r="AP9194" s="7"/>
      <c r="AY9194" s="7"/>
      <c r="BH9194" s="7"/>
      <c r="BQ9194" s="7"/>
      <c r="BZ9194" s="7"/>
    </row>
    <row r="9195" spans="2:78">
      <c r="B9195" s="7"/>
      <c r="O9195" s="7"/>
      <c r="X9195" s="7"/>
      <c r="AG9195" s="7"/>
      <c r="AP9195" s="7"/>
      <c r="AY9195" s="7"/>
      <c r="BH9195" s="7"/>
      <c r="BQ9195" s="7"/>
      <c r="BZ9195" s="7"/>
    </row>
    <row r="9196" spans="2:78">
      <c r="B9196" s="7"/>
      <c r="O9196" s="7"/>
      <c r="X9196" s="7"/>
      <c r="AG9196" s="7"/>
      <c r="AP9196" s="7"/>
      <c r="AY9196" s="7"/>
      <c r="BH9196" s="7"/>
      <c r="BQ9196" s="7"/>
      <c r="BZ9196" s="7"/>
    </row>
    <row r="9197" spans="2:78">
      <c r="B9197" s="7"/>
      <c r="O9197" s="7"/>
      <c r="X9197" s="7"/>
      <c r="AG9197" s="7"/>
      <c r="AP9197" s="7"/>
      <c r="AY9197" s="7"/>
      <c r="BH9197" s="7"/>
      <c r="BQ9197" s="7"/>
      <c r="BZ9197" s="7"/>
    </row>
    <row r="9198" spans="2:78">
      <c r="B9198" s="7"/>
      <c r="O9198" s="7"/>
      <c r="X9198" s="7"/>
      <c r="AG9198" s="7"/>
      <c r="AP9198" s="7"/>
      <c r="AY9198" s="7"/>
      <c r="BH9198" s="7"/>
      <c r="BQ9198" s="7"/>
      <c r="BZ9198" s="7"/>
    </row>
    <row r="9199" spans="2:78">
      <c r="B9199" s="7"/>
      <c r="O9199" s="7"/>
      <c r="X9199" s="7"/>
      <c r="AG9199" s="7"/>
      <c r="AP9199" s="7"/>
      <c r="AY9199" s="7"/>
      <c r="BH9199" s="7"/>
      <c r="BQ9199" s="7"/>
      <c r="BZ9199" s="7"/>
    </row>
    <row r="9200" spans="2:78">
      <c r="B9200" s="7"/>
      <c r="O9200" s="7"/>
      <c r="X9200" s="7"/>
      <c r="AG9200" s="7"/>
      <c r="AP9200" s="7"/>
      <c r="AY9200" s="7"/>
      <c r="BH9200" s="7"/>
      <c r="BQ9200" s="7"/>
      <c r="BZ9200" s="7"/>
    </row>
    <row r="9201" spans="2:78">
      <c r="B9201" s="7"/>
      <c r="O9201" s="7"/>
      <c r="X9201" s="7"/>
      <c r="AG9201" s="7"/>
      <c r="AP9201" s="7"/>
      <c r="AY9201" s="7"/>
      <c r="BH9201" s="7"/>
      <c r="BQ9201" s="7"/>
      <c r="BZ9201" s="7"/>
    </row>
    <row r="9202" spans="2:78">
      <c r="B9202" s="7"/>
      <c r="O9202" s="7"/>
      <c r="X9202" s="7"/>
      <c r="AG9202" s="7"/>
      <c r="AP9202" s="7"/>
      <c r="AY9202" s="7"/>
      <c r="BH9202" s="7"/>
      <c r="BQ9202" s="7"/>
      <c r="BZ9202" s="7"/>
    </row>
    <row r="9203" spans="2:78">
      <c r="B9203" s="7"/>
      <c r="O9203" s="7"/>
      <c r="X9203" s="7"/>
      <c r="AG9203" s="7"/>
      <c r="AP9203" s="7"/>
      <c r="AY9203" s="7"/>
      <c r="BH9203" s="7"/>
      <c r="BQ9203" s="7"/>
      <c r="BZ9203" s="7"/>
    </row>
    <row r="9204" spans="2:78">
      <c r="B9204" s="7"/>
      <c r="O9204" s="7"/>
      <c r="X9204" s="7"/>
      <c r="AG9204" s="7"/>
      <c r="AP9204" s="7"/>
      <c r="AY9204" s="7"/>
      <c r="BH9204" s="7"/>
      <c r="BQ9204" s="7"/>
      <c r="BZ9204" s="7"/>
    </row>
    <row r="9205" spans="2:78">
      <c r="B9205" s="7"/>
      <c r="O9205" s="7"/>
      <c r="X9205" s="7"/>
      <c r="AG9205" s="7"/>
      <c r="AP9205" s="7"/>
      <c r="AY9205" s="7"/>
      <c r="BH9205" s="7"/>
      <c r="BQ9205" s="7"/>
      <c r="BZ9205" s="7"/>
    </row>
    <row r="9206" spans="2:78">
      <c r="B9206" s="7"/>
      <c r="O9206" s="7"/>
      <c r="X9206" s="7"/>
      <c r="AG9206" s="7"/>
      <c r="AP9206" s="7"/>
      <c r="AY9206" s="7"/>
      <c r="BH9206" s="7"/>
      <c r="BQ9206" s="7"/>
      <c r="BZ9206" s="7"/>
    </row>
    <row r="9207" spans="2:78">
      <c r="B9207" s="7"/>
      <c r="O9207" s="7"/>
      <c r="X9207" s="7"/>
      <c r="AG9207" s="7"/>
      <c r="AP9207" s="7"/>
      <c r="AY9207" s="7"/>
      <c r="BH9207" s="7"/>
      <c r="BQ9207" s="7"/>
      <c r="BZ9207" s="7"/>
    </row>
    <row r="9208" spans="2:78">
      <c r="B9208" s="7"/>
      <c r="O9208" s="7"/>
      <c r="X9208" s="7"/>
      <c r="AG9208" s="7"/>
      <c r="AP9208" s="7"/>
      <c r="AY9208" s="7"/>
      <c r="BH9208" s="7"/>
      <c r="BQ9208" s="7"/>
      <c r="BZ9208" s="7"/>
    </row>
    <row r="9209" spans="2:78">
      <c r="B9209" s="7"/>
      <c r="O9209" s="7"/>
      <c r="X9209" s="7"/>
      <c r="AG9209" s="7"/>
      <c r="AP9209" s="7"/>
      <c r="AY9209" s="7"/>
      <c r="BH9209" s="7"/>
      <c r="BQ9209" s="7"/>
      <c r="BZ9209" s="7"/>
    </row>
    <row r="9210" spans="2:78">
      <c r="B9210" s="7"/>
      <c r="O9210" s="7"/>
      <c r="X9210" s="7"/>
      <c r="AG9210" s="7"/>
      <c r="AP9210" s="7"/>
      <c r="AY9210" s="7"/>
      <c r="BH9210" s="7"/>
      <c r="BQ9210" s="7"/>
      <c r="BZ9210" s="7"/>
    </row>
    <row r="9211" spans="2:78">
      <c r="B9211" s="7"/>
      <c r="O9211" s="7"/>
      <c r="X9211" s="7"/>
      <c r="AG9211" s="7"/>
      <c r="AP9211" s="7"/>
      <c r="AY9211" s="7"/>
      <c r="BH9211" s="7"/>
      <c r="BQ9211" s="7"/>
      <c r="BZ9211" s="7"/>
    </row>
    <row r="9212" spans="2:78">
      <c r="B9212" s="7"/>
      <c r="O9212" s="7"/>
      <c r="X9212" s="7"/>
      <c r="AG9212" s="7"/>
      <c r="AP9212" s="7"/>
      <c r="AY9212" s="7"/>
      <c r="BH9212" s="7"/>
      <c r="BQ9212" s="7"/>
      <c r="BZ9212" s="7"/>
    </row>
    <row r="9213" spans="2:78">
      <c r="B9213" s="7"/>
      <c r="O9213" s="7"/>
      <c r="X9213" s="7"/>
      <c r="AG9213" s="7"/>
      <c r="AP9213" s="7"/>
      <c r="AY9213" s="7"/>
      <c r="BH9213" s="7"/>
      <c r="BQ9213" s="7"/>
      <c r="BZ9213" s="7"/>
    </row>
    <row r="9214" spans="2:78">
      <c r="B9214" s="7"/>
      <c r="O9214" s="7"/>
      <c r="X9214" s="7"/>
      <c r="AG9214" s="7"/>
      <c r="AP9214" s="7"/>
      <c r="AY9214" s="7"/>
      <c r="BH9214" s="7"/>
      <c r="BQ9214" s="7"/>
      <c r="BZ9214" s="7"/>
    </row>
    <row r="9215" spans="2:78">
      <c r="B9215" s="7"/>
      <c r="O9215" s="7"/>
      <c r="X9215" s="7"/>
      <c r="AG9215" s="7"/>
      <c r="AP9215" s="7"/>
      <c r="AY9215" s="7"/>
      <c r="BH9215" s="7"/>
      <c r="BQ9215" s="7"/>
      <c r="BZ9215" s="7"/>
    </row>
    <row r="9216" spans="2:78">
      <c r="B9216" s="7"/>
      <c r="O9216" s="7"/>
      <c r="X9216" s="7"/>
      <c r="AG9216" s="7"/>
      <c r="AP9216" s="7"/>
      <c r="AY9216" s="7"/>
      <c r="BH9216" s="7"/>
      <c r="BQ9216" s="7"/>
      <c r="BZ9216" s="7"/>
    </row>
    <row r="9217" spans="2:78">
      <c r="B9217" s="7"/>
      <c r="O9217" s="7"/>
      <c r="X9217" s="7"/>
      <c r="AG9217" s="7"/>
      <c r="AP9217" s="7"/>
      <c r="AY9217" s="7"/>
      <c r="BH9217" s="7"/>
      <c r="BQ9217" s="7"/>
      <c r="BZ9217" s="7"/>
    </row>
    <row r="9218" spans="2:78">
      <c r="B9218" s="7"/>
      <c r="O9218" s="7"/>
      <c r="X9218" s="7"/>
      <c r="AG9218" s="7"/>
      <c r="AP9218" s="7"/>
      <c r="AY9218" s="7"/>
      <c r="BH9218" s="7"/>
      <c r="BQ9218" s="7"/>
      <c r="BZ9218" s="7"/>
    </row>
    <row r="9219" spans="2:78">
      <c r="B9219" s="7"/>
      <c r="O9219" s="7"/>
      <c r="X9219" s="7"/>
      <c r="AG9219" s="7"/>
      <c r="AP9219" s="7"/>
      <c r="AY9219" s="7"/>
      <c r="BH9219" s="7"/>
      <c r="BQ9219" s="7"/>
      <c r="BZ9219" s="7"/>
    </row>
    <row r="9220" spans="2:78">
      <c r="B9220" s="7"/>
      <c r="O9220" s="7"/>
      <c r="X9220" s="7"/>
      <c r="AG9220" s="7"/>
      <c r="AP9220" s="7"/>
      <c r="AY9220" s="7"/>
      <c r="BH9220" s="7"/>
      <c r="BQ9220" s="7"/>
      <c r="BZ9220" s="7"/>
    </row>
    <row r="9221" spans="2:78">
      <c r="B9221" s="7"/>
      <c r="O9221" s="7"/>
      <c r="X9221" s="7"/>
      <c r="AG9221" s="7"/>
      <c r="AP9221" s="7"/>
      <c r="AY9221" s="7"/>
      <c r="BH9221" s="7"/>
      <c r="BQ9221" s="7"/>
      <c r="BZ9221" s="7"/>
    </row>
    <row r="9222" spans="2:78">
      <c r="B9222" s="7"/>
      <c r="O9222" s="7"/>
      <c r="X9222" s="7"/>
      <c r="AG9222" s="7"/>
      <c r="AP9222" s="7"/>
      <c r="AY9222" s="7"/>
      <c r="BH9222" s="7"/>
      <c r="BQ9222" s="7"/>
      <c r="BZ9222" s="7"/>
    </row>
    <row r="9223" spans="2:78">
      <c r="B9223" s="7"/>
      <c r="O9223" s="7"/>
      <c r="X9223" s="7"/>
      <c r="AG9223" s="7"/>
      <c r="AP9223" s="7"/>
      <c r="AY9223" s="7"/>
      <c r="BH9223" s="7"/>
      <c r="BQ9223" s="7"/>
      <c r="BZ9223" s="7"/>
    </row>
    <row r="9224" spans="2:78">
      <c r="B9224" s="7"/>
      <c r="O9224" s="7"/>
      <c r="X9224" s="7"/>
      <c r="AG9224" s="7"/>
      <c r="AP9224" s="7"/>
      <c r="AY9224" s="7"/>
      <c r="BH9224" s="7"/>
      <c r="BQ9224" s="7"/>
      <c r="BZ9224" s="7"/>
    </row>
    <row r="9225" spans="2:78">
      <c r="B9225" s="7"/>
      <c r="O9225" s="7"/>
      <c r="X9225" s="7"/>
      <c r="AG9225" s="7"/>
      <c r="AP9225" s="7"/>
      <c r="AY9225" s="7"/>
      <c r="BH9225" s="7"/>
      <c r="BQ9225" s="7"/>
      <c r="BZ9225" s="7"/>
    </row>
    <row r="9226" spans="2:78">
      <c r="B9226" s="7"/>
      <c r="O9226" s="7"/>
      <c r="X9226" s="7"/>
      <c r="AG9226" s="7"/>
      <c r="AP9226" s="7"/>
      <c r="AY9226" s="7"/>
      <c r="BH9226" s="7"/>
      <c r="BQ9226" s="7"/>
      <c r="BZ9226" s="7"/>
    </row>
    <row r="9227" spans="2:78">
      <c r="B9227" s="7"/>
      <c r="O9227" s="7"/>
      <c r="X9227" s="7"/>
      <c r="AG9227" s="7"/>
      <c r="AP9227" s="7"/>
      <c r="AY9227" s="7"/>
      <c r="BH9227" s="7"/>
      <c r="BQ9227" s="7"/>
      <c r="BZ9227" s="7"/>
    </row>
    <row r="9228" spans="2:78">
      <c r="B9228" s="7"/>
      <c r="O9228" s="7"/>
      <c r="X9228" s="7"/>
      <c r="AG9228" s="7"/>
      <c r="AP9228" s="7"/>
      <c r="AY9228" s="7"/>
      <c r="BH9228" s="7"/>
      <c r="BQ9228" s="7"/>
      <c r="BZ9228" s="7"/>
    </row>
    <row r="9229" spans="2:78">
      <c r="B9229" s="7"/>
      <c r="O9229" s="7"/>
      <c r="X9229" s="7"/>
      <c r="AG9229" s="7"/>
      <c r="AP9229" s="7"/>
      <c r="AY9229" s="7"/>
      <c r="BH9229" s="7"/>
      <c r="BQ9229" s="7"/>
      <c r="BZ9229" s="7"/>
    </row>
    <row r="9230" spans="2:78">
      <c r="B9230" s="7"/>
      <c r="O9230" s="7"/>
      <c r="X9230" s="7"/>
      <c r="AG9230" s="7"/>
      <c r="AP9230" s="7"/>
      <c r="AY9230" s="7"/>
      <c r="BH9230" s="7"/>
      <c r="BQ9230" s="7"/>
      <c r="BZ9230" s="7"/>
    </row>
    <row r="9231" spans="2:78">
      <c r="B9231" s="7"/>
      <c r="O9231" s="7"/>
      <c r="X9231" s="7"/>
      <c r="AG9231" s="7"/>
      <c r="AP9231" s="7"/>
      <c r="AY9231" s="7"/>
      <c r="BH9231" s="7"/>
      <c r="BQ9231" s="7"/>
      <c r="BZ9231" s="7"/>
    </row>
    <row r="9232" spans="2:78">
      <c r="B9232" s="7"/>
      <c r="O9232" s="7"/>
      <c r="X9232" s="7"/>
      <c r="AG9232" s="7"/>
      <c r="AP9232" s="7"/>
      <c r="AY9232" s="7"/>
      <c r="BH9232" s="7"/>
      <c r="BQ9232" s="7"/>
      <c r="BZ9232" s="7"/>
    </row>
    <row r="9233" spans="2:78">
      <c r="B9233" s="7"/>
      <c r="O9233" s="7"/>
      <c r="X9233" s="7"/>
      <c r="AG9233" s="7"/>
      <c r="AP9233" s="7"/>
      <c r="AY9233" s="7"/>
      <c r="BH9233" s="7"/>
      <c r="BQ9233" s="7"/>
      <c r="BZ9233" s="7"/>
    </row>
    <row r="9234" spans="2:78">
      <c r="B9234" s="7"/>
      <c r="O9234" s="7"/>
      <c r="X9234" s="7"/>
      <c r="AG9234" s="7"/>
      <c r="AP9234" s="7"/>
      <c r="AY9234" s="7"/>
      <c r="BH9234" s="7"/>
      <c r="BQ9234" s="7"/>
      <c r="BZ9234" s="7"/>
    </row>
    <row r="9235" spans="2:78">
      <c r="B9235" s="7"/>
      <c r="O9235" s="7"/>
      <c r="X9235" s="7"/>
      <c r="AG9235" s="7"/>
      <c r="AP9235" s="7"/>
      <c r="AY9235" s="7"/>
      <c r="BH9235" s="7"/>
      <c r="BQ9235" s="7"/>
      <c r="BZ9235" s="7"/>
    </row>
    <row r="9236" spans="2:78">
      <c r="B9236" s="7"/>
      <c r="O9236" s="7"/>
      <c r="X9236" s="7"/>
      <c r="AG9236" s="7"/>
      <c r="AP9236" s="7"/>
      <c r="AY9236" s="7"/>
      <c r="BH9236" s="7"/>
      <c r="BQ9236" s="7"/>
      <c r="BZ9236" s="7"/>
    </row>
    <row r="9237" spans="2:78">
      <c r="B9237" s="7"/>
      <c r="O9237" s="7"/>
      <c r="X9237" s="7"/>
      <c r="AG9237" s="7"/>
      <c r="AP9237" s="7"/>
      <c r="AY9237" s="7"/>
      <c r="BH9237" s="7"/>
      <c r="BQ9237" s="7"/>
      <c r="BZ9237" s="7"/>
    </row>
    <row r="9238" spans="2:78">
      <c r="B9238" s="7"/>
      <c r="O9238" s="7"/>
      <c r="X9238" s="7"/>
      <c r="AG9238" s="7"/>
      <c r="AP9238" s="7"/>
      <c r="AY9238" s="7"/>
      <c r="BH9238" s="7"/>
      <c r="BQ9238" s="7"/>
      <c r="BZ9238" s="7"/>
    </row>
    <row r="9239" spans="2:78">
      <c r="B9239" s="7"/>
      <c r="O9239" s="7"/>
      <c r="X9239" s="7"/>
      <c r="AG9239" s="7"/>
      <c r="AP9239" s="7"/>
      <c r="AY9239" s="7"/>
      <c r="BH9239" s="7"/>
      <c r="BQ9239" s="7"/>
      <c r="BZ9239" s="7"/>
    </row>
    <row r="9240" spans="2:78">
      <c r="B9240" s="7"/>
      <c r="O9240" s="7"/>
      <c r="X9240" s="7"/>
      <c r="AG9240" s="7"/>
      <c r="AP9240" s="7"/>
      <c r="AY9240" s="7"/>
      <c r="BH9240" s="7"/>
      <c r="BQ9240" s="7"/>
      <c r="BZ9240" s="7"/>
    </row>
    <row r="9241" spans="2:78">
      <c r="B9241" s="7"/>
      <c r="O9241" s="7"/>
      <c r="X9241" s="7"/>
      <c r="AG9241" s="7"/>
      <c r="AP9241" s="7"/>
      <c r="AY9241" s="7"/>
      <c r="BH9241" s="7"/>
      <c r="BQ9241" s="7"/>
      <c r="BZ9241" s="7"/>
    </row>
    <row r="9242" spans="2:78">
      <c r="B9242" s="7"/>
      <c r="O9242" s="7"/>
      <c r="X9242" s="7"/>
      <c r="AG9242" s="7"/>
      <c r="AP9242" s="7"/>
      <c r="AY9242" s="7"/>
      <c r="BH9242" s="7"/>
      <c r="BQ9242" s="7"/>
      <c r="BZ9242" s="7"/>
    </row>
    <row r="9243" spans="2:78">
      <c r="B9243" s="7"/>
      <c r="O9243" s="7"/>
      <c r="X9243" s="7"/>
      <c r="AG9243" s="7"/>
      <c r="AP9243" s="7"/>
      <c r="AY9243" s="7"/>
      <c r="BH9243" s="7"/>
      <c r="BQ9243" s="7"/>
      <c r="BZ9243" s="7"/>
    </row>
    <row r="9244" spans="2:78">
      <c r="B9244" s="7"/>
      <c r="O9244" s="7"/>
      <c r="X9244" s="7"/>
      <c r="AG9244" s="7"/>
      <c r="AP9244" s="7"/>
      <c r="AY9244" s="7"/>
      <c r="BH9244" s="7"/>
      <c r="BQ9244" s="7"/>
      <c r="BZ9244" s="7"/>
    </row>
    <row r="9245" spans="2:78">
      <c r="B9245" s="7"/>
      <c r="O9245" s="7"/>
      <c r="X9245" s="7"/>
      <c r="AG9245" s="7"/>
      <c r="AP9245" s="7"/>
      <c r="AY9245" s="7"/>
      <c r="BH9245" s="7"/>
      <c r="BQ9245" s="7"/>
      <c r="BZ9245" s="7"/>
    </row>
    <row r="9246" spans="2:78">
      <c r="B9246" s="7"/>
      <c r="O9246" s="7"/>
      <c r="X9246" s="7"/>
      <c r="AG9246" s="7"/>
      <c r="AP9246" s="7"/>
      <c r="AY9246" s="7"/>
      <c r="BH9246" s="7"/>
      <c r="BQ9246" s="7"/>
      <c r="BZ9246" s="7"/>
    </row>
    <row r="9247" spans="2:78">
      <c r="B9247" s="7"/>
      <c r="O9247" s="7"/>
      <c r="X9247" s="7"/>
      <c r="AG9247" s="7"/>
      <c r="AP9247" s="7"/>
      <c r="AY9247" s="7"/>
      <c r="BH9247" s="7"/>
      <c r="BQ9247" s="7"/>
      <c r="BZ9247" s="7"/>
    </row>
    <row r="9248" spans="2:78">
      <c r="B9248" s="7"/>
      <c r="O9248" s="7"/>
      <c r="X9248" s="7"/>
      <c r="AG9248" s="7"/>
      <c r="AP9248" s="7"/>
      <c r="AY9248" s="7"/>
      <c r="BH9248" s="7"/>
      <c r="BQ9248" s="7"/>
      <c r="BZ9248" s="7"/>
    </row>
    <row r="9249" spans="2:78">
      <c r="B9249" s="7"/>
      <c r="O9249" s="7"/>
      <c r="X9249" s="7"/>
      <c r="AG9249" s="7"/>
      <c r="AP9249" s="7"/>
      <c r="AY9249" s="7"/>
      <c r="BH9249" s="7"/>
      <c r="BQ9249" s="7"/>
      <c r="BZ9249" s="7"/>
    </row>
    <row r="9250" spans="2:78">
      <c r="B9250" s="7"/>
      <c r="O9250" s="7"/>
      <c r="X9250" s="7"/>
      <c r="AG9250" s="7"/>
      <c r="AP9250" s="7"/>
      <c r="AY9250" s="7"/>
      <c r="BH9250" s="7"/>
      <c r="BQ9250" s="7"/>
      <c r="BZ9250" s="7"/>
    </row>
    <row r="9251" spans="2:78">
      <c r="B9251" s="7"/>
      <c r="O9251" s="7"/>
      <c r="X9251" s="7"/>
      <c r="AG9251" s="7"/>
      <c r="AP9251" s="7"/>
      <c r="AY9251" s="7"/>
      <c r="BH9251" s="7"/>
      <c r="BQ9251" s="7"/>
      <c r="BZ9251" s="7"/>
    </row>
    <row r="9252" spans="2:78">
      <c r="B9252" s="7"/>
      <c r="O9252" s="7"/>
      <c r="X9252" s="7"/>
      <c r="AG9252" s="7"/>
      <c r="AP9252" s="7"/>
      <c r="AY9252" s="7"/>
      <c r="BH9252" s="7"/>
      <c r="BQ9252" s="7"/>
      <c r="BZ9252" s="7"/>
    </row>
    <row r="9253" spans="2:78">
      <c r="B9253" s="7"/>
      <c r="O9253" s="7"/>
      <c r="X9253" s="7"/>
      <c r="AG9253" s="7"/>
      <c r="AP9253" s="7"/>
      <c r="AY9253" s="7"/>
      <c r="BH9253" s="7"/>
      <c r="BQ9253" s="7"/>
      <c r="BZ9253" s="7"/>
    </row>
    <row r="9254" spans="2:78">
      <c r="B9254" s="7"/>
      <c r="O9254" s="7"/>
      <c r="X9254" s="7"/>
      <c r="AG9254" s="7"/>
      <c r="AP9254" s="7"/>
      <c r="AY9254" s="7"/>
      <c r="BH9254" s="7"/>
      <c r="BQ9254" s="7"/>
      <c r="BZ9254" s="7"/>
    </row>
    <row r="9255" spans="2:78">
      <c r="B9255" s="7"/>
      <c r="O9255" s="7"/>
      <c r="X9255" s="7"/>
      <c r="AG9255" s="7"/>
      <c r="AP9255" s="7"/>
      <c r="AY9255" s="7"/>
      <c r="BH9255" s="7"/>
      <c r="BQ9255" s="7"/>
      <c r="BZ9255" s="7"/>
    </row>
    <row r="9256" spans="2:78">
      <c r="B9256" s="7"/>
      <c r="O9256" s="7"/>
      <c r="X9256" s="7"/>
      <c r="AG9256" s="7"/>
      <c r="AP9256" s="7"/>
      <c r="AY9256" s="7"/>
      <c r="BH9256" s="7"/>
      <c r="BQ9256" s="7"/>
      <c r="BZ9256" s="7"/>
    </row>
    <row r="9257" spans="2:78">
      <c r="B9257" s="7"/>
      <c r="O9257" s="7"/>
      <c r="X9257" s="7"/>
      <c r="AG9257" s="7"/>
      <c r="AP9257" s="7"/>
      <c r="AY9257" s="7"/>
      <c r="BH9257" s="7"/>
      <c r="BQ9257" s="7"/>
      <c r="BZ9257" s="7"/>
    </row>
    <row r="9258" spans="2:78">
      <c r="B9258" s="7"/>
      <c r="O9258" s="7"/>
      <c r="X9258" s="7"/>
      <c r="AG9258" s="7"/>
      <c r="AP9258" s="7"/>
      <c r="AY9258" s="7"/>
      <c r="BH9258" s="7"/>
      <c r="BQ9258" s="7"/>
      <c r="BZ9258" s="7"/>
    </row>
    <row r="9259" spans="2:78">
      <c r="B9259" s="7"/>
      <c r="O9259" s="7"/>
      <c r="X9259" s="7"/>
      <c r="AG9259" s="7"/>
      <c r="AP9259" s="7"/>
      <c r="AY9259" s="7"/>
      <c r="BH9259" s="7"/>
      <c r="BQ9259" s="7"/>
      <c r="BZ9259" s="7"/>
    </row>
    <row r="9260" spans="2:78">
      <c r="B9260" s="7"/>
      <c r="O9260" s="7"/>
      <c r="X9260" s="7"/>
      <c r="AG9260" s="7"/>
      <c r="AP9260" s="7"/>
      <c r="AY9260" s="7"/>
      <c r="BH9260" s="7"/>
      <c r="BQ9260" s="7"/>
      <c r="BZ9260" s="7"/>
    </row>
    <row r="9261" spans="2:78">
      <c r="B9261" s="7"/>
      <c r="O9261" s="7"/>
      <c r="X9261" s="7"/>
      <c r="AG9261" s="7"/>
      <c r="AP9261" s="7"/>
      <c r="AY9261" s="7"/>
      <c r="BH9261" s="7"/>
      <c r="BQ9261" s="7"/>
      <c r="BZ9261" s="7"/>
    </row>
    <row r="9262" spans="2:78">
      <c r="B9262" s="7"/>
      <c r="O9262" s="7"/>
      <c r="X9262" s="7"/>
      <c r="AG9262" s="7"/>
      <c r="AP9262" s="7"/>
      <c r="AY9262" s="7"/>
      <c r="BH9262" s="7"/>
      <c r="BQ9262" s="7"/>
      <c r="BZ9262" s="7"/>
    </row>
    <row r="9263" spans="2:78">
      <c r="B9263" s="7"/>
      <c r="O9263" s="7"/>
      <c r="X9263" s="7"/>
      <c r="AG9263" s="7"/>
      <c r="AP9263" s="7"/>
      <c r="AY9263" s="7"/>
      <c r="BH9263" s="7"/>
      <c r="BQ9263" s="7"/>
      <c r="BZ9263" s="7"/>
    </row>
    <row r="9264" spans="2:78">
      <c r="B9264" s="7"/>
      <c r="O9264" s="7"/>
      <c r="X9264" s="7"/>
      <c r="AG9264" s="7"/>
      <c r="AP9264" s="7"/>
      <c r="AY9264" s="7"/>
      <c r="BH9264" s="7"/>
      <c r="BQ9264" s="7"/>
      <c r="BZ9264" s="7"/>
    </row>
    <row r="9265" spans="2:78">
      <c r="B9265" s="7"/>
      <c r="O9265" s="7"/>
      <c r="X9265" s="7"/>
      <c r="AG9265" s="7"/>
      <c r="AP9265" s="7"/>
      <c r="AY9265" s="7"/>
      <c r="BH9265" s="7"/>
      <c r="BQ9265" s="7"/>
      <c r="BZ9265" s="7"/>
    </row>
    <row r="9266" spans="2:78">
      <c r="B9266" s="7"/>
      <c r="O9266" s="7"/>
      <c r="X9266" s="7"/>
      <c r="AG9266" s="7"/>
      <c r="AP9266" s="7"/>
      <c r="AY9266" s="7"/>
      <c r="BH9266" s="7"/>
      <c r="BQ9266" s="7"/>
      <c r="BZ9266" s="7"/>
    </row>
    <row r="9267" spans="2:78">
      <c r="B9267" s="7"/>
      <c r="O9267" s="7"/>
      <c r="X9267" s="7"/>
      <c r="AG9267" s="7"/>
      <c r="AP9267" s="7"/>
      <c r="AY9267" s="7"/>
      <c r="BH9267" s="7"/>
      <c r="BQ9267" s="7"/>
      <c r="BZ9267" s="7"/>
    </row>
    <row r="9268" spans="2:78">
      <c r="B9268" s="7"/>
      <c r="O9268" s="7"/>
      <c r="X9268" s="7"/>
      <c r="AG9268" s="7"/>
      <c r="AP9268" s="7"/>
      <c r="AY9268" s="7"/>
      <c r="BH9268" s="7"/>
      <c r="BQ9268" s="7"/>
      <c r="BZ9268" s="7"/>
    </row>
    <row r="9269" spans="2:78">
      <c r="B9269" s="7"/>
      <c r="O9269" s="7"/>
      <c r="X9269" s="7"/>
      <c r="AG9269" s="7"/>
      <c r="AP9269" s="7"/>
      <c r="AY9269" s="7"/>
      <c r="BH9269" s="7"/>
      <c r="BQ9269" s="7"/>
      <c r="BZ9269" s="7"/>
    </row>
    <row r="9270" spans="2:78">
      <c r="B9270" s="7"/>
      <c r="O9270" s="7"/>
      <c r="X9270" s="7"/>
      <c r="AG9270" s="7"/>
      <c r="AP9270" s="7"/>
      <c r="AY9270" s="7"/>
      <c r="BH9270" s="7"/>
      <c r="BQ9270" s="7"/>
      <c r="BZ9270" s="7"/>
    </row>
    <row r="9271" spans="2:78">
      <c r="B9271" s="7"/>
      <c r="O9271" s="7"/>
      <c r="X9271" s="7"/>
      <c r="AG9271" s="7"/>
      <c r="AP9271" s="7"/>
      <c r="AY9271" s="7"/>
      <c r="BH9271" s="7"/>
      <c r="BQ9271" s="7"/>
      <c r="BZ9271" s="7"/>
    </row>
    <row r="9272" spans="2:78">
      <c r="B9272" s="7"/>
      <c r="O9272" s="7"/>
      <c r="X9272" s="7"/>
      <c r="AG9272" s="7"/>
      <c r="AP9272" s="7"/>
      <c r="AY9272" s="7"/>
      <c r="BH9272" s="7"/>
      <c r="BQ9272" s="7"/>
      <c r="BZ9272" s="7"/>
    </row>
    <row r="9273" spans="2:78">
      <c r="B9273" s="7"/>
      <c r="O9273" s="7"/>
      <c r="X9273" s="7"/>
      <c r="AG9273" s="7"/>
      <c r="AP9273" s="7"/>
      <c r="AY9273" s="7"/>
      <c r="BH9273" s="7"/>
      <c r="BQ9273" s="7"/>
      <c r="BZ9273" s="7"/>
    </row>
    <row r="9274" spans="2:78">
      <c r="B9274" s="7"/>
      <c r="O9274" s="7"/>
      <c r="X9274" s="7"/>
      <c r="AG9274" s="7"/>
      <c r="AP9274" s="7"/>
      <c r="AY9274" s="7"/>
      <c r="BH9274" s="7"/>
      <c r="BQ9274" s="7"/>
      <c r="BZ9274" s="7"/>
    </row>
    <row r="9275" spans="2:78">
      <c r="B9275" s="7"/>
      <c r="O9275" s="7"/>
      <c r="X9275" s="7"/>
      <c r="AG9275" s="7"/>
      <c r="AP9275" s="7"/>
      <c r="AY9275" s="7"/>
      <c r="BH9275" s="7"/>
      <c r="BQ9275" s="7"/>
      <c r="BZ9275" s="7"/>
    </row>
    <row r="9276" spans="2:78">
      <c r="B9276" s="7"/>
      <c r="O9276" s="7"/>
      <c r="X9276" s="7"/>
      <c r="AG9276" s="7"/>
      <c r="AP9276" s="7"/>
      <c r="AY9276" s="7"/>
      <c r="BH9276" s="7"/>
      <c r="BQ9276" s="7"/>
      <c r="BZ9276" s="7"/>
    </row>
    <row r="9277" spans="2:78">
      <c r="B9277" s="7"/>
      <c r="O9277" s="7"/>
      <c r="X9277" s="7"/>
      <c r="AG9277" s="7"/>
      <c r="AP9277" s="7"/>
      <c r="AY9277" s="7"/>
      <c r="BH9277" s="7"/>
      <c r="BQ9277" s="7"/>
      <c r="BZ9277" s="7"/>
    </row>
    <row r="9278" spans="2:78">
      <c r="B9278" s="7"/>
      <c r="O9278" s="7"/>
      <c r="X9278" s="7"/>
      <c r="AG9278" s="7"/>
      <c r="AP9278" s="7"/>
      <c r="AY9278" s="7"/>
      <c r="BH9278" s="7"/>
      <c r="BQ9278" s="7"/>
      <c r="BZ9278" s="7"/>
    </row>
    <row r="9279" spans="2:78">
      <c r="B9279" s="7"/>
      <c r="O9279" s="7"/>
      <c r="X9279" s="7"/>
      <c r="AG9279" s="7"/>
      <c r="AP9279" s="7"/>
      <c r="AY9279" s="7"/>
      <c r="BH9279" s="7"/>
      <c r="BQ9279" s="7"/>
      <c r="BZ9279" s="7"/>
    </row>
    <row r="9280" spans="2:78">
      <c r="B9280" s="7"/>
      <c r="O9280" s="7"/>
      <c r="X9280" s="7"/>
      <c r="AG9280" s="7"/>
      <c r="AP9280" s="7"/>
      <c r="AY9280" s="7"/>
      <c r="BH9280" s="7"/>
      <c r="BQ9280" s="7"/>
      <c r="BZ9280" s="7"/>
    </row>
    <row r="9281" spans="2:78">
      <c r="B9281" s="7"/>
      <c r="O9281" s="7"/>
      <c r="X9281" s="7"/>
      <c r="AG9281" s="7"/>
      <c r="AP9281" s="7"/>
      <c r="AY9281" s="7"/>
      <c r="BH9281" s="7"/>
      <c r="BQ9281" s="7"/>
      <c r="BZ9281" s="7"/>
    </row>
    <row r="9282" spans="2:78">
      <c r="B9282" s="7"/>
      <c r="O9282" s="7"/>
      <c r="X9282" s="7"/>
      <c r="AG9282" s="7"/>
      <c r="AP9282" s="7"/>
      <c r="AY9282" s="7"/>
      <c r="BH9282" s="7"/>
      <c r="BQ9282" s="7"/>
      <c r="BZ9282" s="7"/>
    </row>
    <row r="9283" spans="2:78">
      <c r="B9283" s="7"/>
      <c r="O9283" s="7"/>
      <c r="X9283" s="7"/>
      <c r="AG9283" s="7"/>
      <c r="AP9283" s="7"/>
      <c r="AY9283" s="7"/>
      <c r="BH9283" s="7"/>
      <c r="BQ9283" s="7"/>
      <c r="BZ9283" s="7"/>
    </row>
    <row r="9284" spans="2:78">
      <c r="B9284" s="7"/>
      <c r="O9284" s="7"/>
      <c r="X9284" s="7"/>
      <c r="AG9284" s="7"/>
      <c r="AP9284" s="7"/>
      <c r="AY9284" s="7"/>
      <c r="BH9284" s="7"/>
      <c r="BQ9284" s="7"/>
      <c r="BZ9284" s="7"/>
    </row>
    <row r="9285" spans="2:78">
      <c r="B9285" s="7"/>
      <c r="O9285" s="7"/>
      <c r="X9285" s="7"/>
      <c r="AG9285" s="7"/>
      <c r="AP9285" s="7"/>
      <c r="AY9285" s="7"/>
      <c r="BH9285" s="7"/>
      <c r="BQ9285" s="7"/>
      <c r="BZ9285" s="7"/>
    </row>
    <row r="9286" spans="2:78">
      <c r="B9286" s="7"/>
      <c r="O9286" s="7"/>
      <c r="X9286" s="7"/>
      <c r="AG9286" s="7"/>
      <c r="AP9286" s="7"/>
      <c r="AY9286" s="7"/>
      <c r="BH9286" s="7"/>
      <c r="BQ9286" s="7"/>
      <c r="BZ9286" s="7"/>
    </row>
    <row r="9287" spans="2:78">
      <c r="B9287" s="7"/>
      <c r="O9287" s="7"/>
      <c r="X9287" s="7"/>
      <c r="AG9287" s="7"/>
      <c r="AP9287" s="7"/>
      <c r="AY9287" s="7"/>
      <c r="BH9287" s="7"/>
      <c r="BQ9287" s="7"/>
      <c r="BZ9287" s="7"/>
    </row>
    <row r="9288" spans="2:78">
      <c r="B9288" s="7"/>
      <c r="O9288" s="7"/>
      <c r="X9288" s="7"/>
      <c r="AG9288" s="7"/>
      <c r="AP9288" s="7"/>
      <c r="AY9288" s="7"/>
      <c r="BH9288" s="7"/>
      <c r="BQ9288" s="7"/>
      <c r="BZ9288" s="7"/>
    </row>
    <row r="9289" spans="2:78">
      <c r="B9289" s="7"/>
      <c r="O9289" s="7"/>
      <c r="X9289" s="7"/>
      <c r="AG9289" s="7"/>
      <c r="AP9289" s="7"/>
      <c r="AY9289" s="7"/>
      <c r="BH9289" s="7"/>
      <c r="BQ9289" s="7"/>
      <c r="BZ9289" s="7"/>
    </row>
    <row r="9290" spans="2:78">
      <c r="B9290" s="7"/>
      <c r="O9290" s="7"/>
      <c r="X9290" s="7"/>
      <c r="AG9290" s="7"/>
      <c r="AP9290" s="7"/>
      <c r="AY9290" s="7"/>
      <c r="BH9290" s="7"/>
      <c r="BQ9290" s="7"/>
      <c r="BZ9290" s="7"/>
    </row>
    <row r="9291" spans="2:78">
      <c r="B9291" s="7"/>
      <c r="O9291" s="7"/>
      <c r="X9291" s="7"/>
      <c r="AG9291" s="7"/>
      <c r="AP9291" s="7"/>
      <c r="AY9291" s="7"/>
      <c r="BH9291" s="7"/>
      <c r="BQ9291" s="7"/>
      <c r="BZ9291" s="7"/>
    </row>
    <row r="9292" spans="2:78">
      <c r="B9292" s="7"/>
      <c r="O9292" s="7"/>
      <c r="X9292" s="7"/>
      <c r="AG9292" s="7"/>
      <c r="AP9292" s="7"/>
      <c r="AY9292" s="7"/>
      <c r="BH9292" s="7"/>
      <c r="BQ9292" s="7"/>
      <c r="BZ9292" s="7"/>
    </row>
    <row r="9293" spans="2:78">
      <c r="B9293" s="7"/>
      <c r="O9293" s="7"/>
      <c r="X9293" s="7"/>
      <c r="AG9293" s="7"/>
      <c r="AP9293" s="7"/>
      <c r="AY9293" s="7"/>
      <c r="BH9293" s="7"/>
      <c r="BQ9293" s="7"/>
      <c r="BZ9293" s="7"/>
    </row>
    <row r="9294" spans="2:78">
      <c r="B9294" s="7"/>
      <c r="O9294" s="7"/>
      <c r="X9294" s="7"/>
      <c r="AG9294" s="7"/>
      <c r="AP9294" s="7"/>
      <c r="AY9294" s="7"/>
      <c r="BH9294" s="7"/>
      <c r="BQ9294" s="7"/>
      <c r="BZ9294" s="7"/>
    </row>
    <row r="9295" spans="2:78">
      <c r="B9295" s="7"/>
      <c r="O9295" s="7"/>
      <c r="X9295" s="7"/>
      <c r="AG9295" s="7"/>
      <c r="AP9295" s="7"/>
      <c r="AY9295" s="7"/>
      <c r="BH9295" s="7"/>
      <c r="BQ9295" s="7"/>
      <c r="BZ9295" s="7"/>
    </row>
    <row r="9296" spans="2:78">
      <c r="B9296" s="7"/>
      <c r="O9296" s="7"/>
      <c r="X9296" s="7"/>
      <c r="AG9296" s="7"/>
      <c r="AP9296" s="7"/>
      <c r="AY9296" s="7"/>
      <c r="BH9296" s="7"/>
      <c r="BQ9296" s="7"/>
      <c r="BZ9296" s="7"/>
    </row>
    <row r="9297" spans="2:78">
      <c r="B9297" s="7"/>
      <c r="O9297" s="7"/>
      <c r="X9297" s="7"/>
      <c r="AG9297" s="7"/>
      <c r="AP9297" s="7"/>
      <c r="AY9297" s="7"/>
      <c r="BH9297" s="7"/>
      <c r="BQ9297" s="7"/>
      <c r="BZ9297" s="7"/>
    </row>
    <row r="9298" spans="2:78">
      <c r="B9298" s="7"/>
      <c r="O9298" s="7"/>
      <c r="X9298" s="7"/>
      <c r="AG9298" s="7"/>
      <c r="AP9298" s="7"/>
      <c r="AY9298" s="7"/>
      <c r="BH9298" s="7"/>
      <c r="BQ9298" s="7"/>
      <c r="BZ9298" s="7"/>
    </row>
    <row r="9299" spans="2:78">
      <c r="B9299" s="7"/>
      <c r="O9299" s="7"/>
      <c r="X9299" s="7"/>
      <c r="AG9299" s="7"/>
      <c r="AP9299" s="7"/>
      <c r="AY9299" s="7"/>
      <c r="BH9299" s="7"/>
      <c r="BQ9299" s="7"/>
      <c r="BZ9299" s="7"/>
    </row>
    <row r="9300" spans="2:78">
      <c r="B9300" s="7"/>
      <c r="O9300" s="7"/>
      <c r="X9300" s="7"/>
      <c r="AG9300" s="7"/>
      <c r="AP9300" s="7"/>
      <c r="AY9300" s="7"/>
      <c r="BH9300" s="7"/>
      <c r="BQ9300" s="7"/>
      <c r="BZ9300" s="7"/>
    </row>
    <row r="9301" spans="2:78">
      <c r="B9301" s="7"/>
      <c r="O9301" s="7"/>
      <c r="X9301" s="7"/>
      <c r="AG9301" s="7"/>
      <c r="AP9301" s="7"/>
      <c r="AY9301" s="7"/>
      <c r="BH9301" s="7"/>
      <c r="BQ9301" s="7"/>
      <c r="BZ9301" s="7"/>
    </row>
    <row r="9302" spans="2:78">
      <c r="B9302" s="7"/>
      <c r="O9302" s="7"/>
      <c r="X9302" s="7"/>
      <c r="AG9302" s="7"/>
      <c r="AP9302" s="7"/>
      <c r="AY9302" s="7"/>
      <c r="BH9302" s="7"/>
      <c r="BQ9302" s="7"/>
      <c r="BZ9302" s="7"/>
    </row>
    <row r="9303" spans="2:78">
      <c r="B9303" s="7"/>
      <c r="O9303" s="7"/>
      <c r="X9303" s="7"/>
      <c r="AG9303" s="7"/>
      <c r="AP9303" s="7"/>
      <c r="AY9303" s="7"/>
      <c r="BH9303" s="7"/>
      <c r="BQ9303" s="7"/>
      <c r="BZ9303" s="7"/>
    </row>
    <row r="9304" spans="2:78">
      <c r="B9304" s="7"/>
      <c r="O9304" s="7"/>
      <c r="X9304" s="7"/>
      <c r="AG9304" s="7"/>
      <c r="AP9304" s="7"/>
      <c r="AY9304" s="7"/>
      <c r="BH9304" s="7"/>
      <c r="BQ9304" s="7"/>
      <c r="BZ9304" s="7"/>
    </row>
    <row r="9305" spans="2:78">
      <c r="B9305" s="7"/>
      <c r="O9305" s="7"/>
      <c r="X9305" s="7"/>
      <c r="AG9305" s="7"/>
      <c r="AP9305" s="7"/>
      <c r="AY9305" s="7"/>
      <c r="BH9305" s="7"/>
      <c r="BQ9305" s="7"/>
      <c r="BZ9305" s="7"/>
    </row>
    <row r="9306" spans="2:78">
      <c r="B9306" s="7"/>
      <c r="O9306" s="7"/>
      <c r="X9306" s="7"/>
      <c r="AG9306" s="7"/>
      <c r="AP9306" s="7"/>
      <c r="AY9306" s="7"/>
      <c r="BH9306" s="7"/>
      <c r="BQ9306" s="7"/>
      <c r="BZ9306" s="7"/>
    </row>
    <row r="9307" spans="2:78">
      <c r="B9307" s="7"/>
      <c r="O9307" s="7"/>
      <c r="X9307" s="7"/>
      <c r="AG9307" s="7"/>
      <c r="AP9307" s="7"/>
      <c r="AY9307" s="7"/>
      <c r="BH9307" s="7"/>
      <c r="BQ9307" s="7"/>
      <c r="BZ9307" s="7"/>
    </row>
    <row r="9308" spans="2:78">
      <c r="B9308" s="7"/>
      <c r="O9308" s="7"/>
      <c r="X9308" s="7"/>
      <c r="AG9308" s="7"/>
      <c r="AP9308" s="7"/>
      <c r="AY9308" s="7"/>
      <c r="BH9308" s="7"/>
      <c r="BQ9308" s="7"/>
      <c r="BZ9308" s="7"/>
    </row>
    <row r="9309" spans="2:78">
      <c r="B9309" s="7"/>
      <c r="O9309" s="7"/>
      <c r="X9309" s="7"/>
      <c r="AG9309" s="7"/>
      <c r="AP9309" s="7"/>
      <c r="AY9309" s="7"/>
      <c r="BH9309" s="7"/>
      <c r="BQ9309" s="7"/>
      <c r="BZ9309" s="7"/>
    </row>
    <row r="9310" spans="2:78">
      <c r="B9310" s="7"/>
      <c r="O9310" s="7"/>
      <c r="X9310" s="7"/>
      <c r="AG9310" s="7"/>
      <c r="AP9310" s="7"/>
      <c r="AY9310" s="7"/>
      <c r="BH9310" s="7"/>
      <c r="BQ9310" s="7"/>
      <c r="BZ9310" s="7"/>
    </row>
    <row r="9311" spans="2:78">
      <c r="B9311" s="7"/>
      <c r="O9311" s="7"/>
      <c r="X9311" s="7"/>
      <c r="AG9311" s="7"/>
      <c r="AP9311" s="7"/>
      <c r="AY9311" s="7"/>
      <c r="BH9311" s="7"/>
      <c r="BQ9311" s="7"/>
      <c r="BZ9311" s="7"/>
    </row>
    <row r="9312" spans="2:78">
      <c r="B9312" s="7"/>
      <c r="O9312" s="7"/>
      <c r="X9312" s="7"/>
      <c r="AG9312" s="7"/>
      <c r="AP9312" s="7"/>
      <c r="AY9312" s="7"/>
      <c r="BH9312" s="7"/>
      <c r="BQ9312" s="7"/>
      <c r="BZ9312" s="7"/>
    </row>
    <row r="9313" spans="2:78">
      <c r="B9313" s="7"/>
      <c r="O9313" s="7"/>
      <c r="X9313" s="7"/>
      <c r="AG9313" s="7"/>
      <c r="AP9313" s="7"/>
      <c r="AY9313" s="7"/>
      <c r="BH9313" s="7"/>
      <c r="BQ9313" s="7"/>
      <c r="BZ9313" s="7"/>
    </row>
    <row r="9314" spans="2:78">
      <c r="B9314" s="7"/>
      <c r="O9314" s="7"/>
      <c r="X9314" s="7"/>
      <c r="AG9314" s="7"/>
      <c r="AP9314" s="7"/>
      <c r="AY9314" s="7"/>
      <c r="BH9314" s="7"/>
      <c r="BQ9314" s="7"/>
      <c r="BZ9314" s="7"/>
    </row>
    <row r="9315" spans="2:78">
      <c r="B9315" s="7"/>
      <c r="O9315" s="7"/>
      <c r="X9315" s="7"/>
      <c r="AG9315" s="7"/>
      <c r="AP9315" s="7"/>
      <c r="AY9315" s="7"/>
      <c r="BH9315" s="7"/>
      <c r="BQ9315" s="7"/>
      <c r="BZ9315" s="7"/>
    </row>
    <row r="9316" spans="2:78">
      <c r="B9316" s="7"/>
      <c r="O9316" s="7"/>
      <c r="X9316" s="7"/>
      <c r="AG9316" s="7"/>
      <c r="AP9316" s="7"/>
      <c r="AY9316" s="7"/>
      <c r="BH9316" s="7"/>
      <c r="BQ9316" s="7"/>
      <c r="BZ9316" s="7"/>
    </row>
    <row r="9317" spans="2:78">
      <c r="B9317" s="7"/>
      <c r="O9317" s="7"/>
      <c r="X9317" s="7"/>
      <c r="AG9317" s="7"/>
      <c r="AP9317" s="7"/>
      <c r="AY9317" s="7"/>
      <c r="BH9317" s="7"/>
      <c r="BQ9317" s="7"/>
      <c r="BZ9317" s="7"/>
    </row>
    <row r="9318" spans="2:78">
      <c r="B9318" s="7"/>
      <c r="O9318" s="7"/>
      <c r="X9318" s="7"/>
      <c r="AG9318" s="7"/>
      <c r="AP9318" s="7"/>
      <c r="AY9318" s="7"/>
      <c r="BH9318" s="7"/>
      <c r="BQ9318" s="7"/>
      <c r="BZ9318" s="7"/>
    </row>
    <row r="9319" spans="2:78">
      <c r="B9319" s="7"/>
      <c r="O9319" s="7"/>
      <c r="X9319" s="7"/>
      <c r="AG9319" s="7"/>
      <c r="AP9319" s="7"/>
      <c r="AY9319" s="7"/>
      <c r="BH9319" s="7"/>
      <c r="BQ9319" s="7"/>
      <c r="BZ9319" s="7"/>
    </row>
    <row r="9320" spans="2:78">
      <c r="B9320" s="7"/>
      <c r="O9320" s="7"/>
      <c r="X9320" s="7"/>
      <c r="AG9320" s="7"/>
      <c r="AP9320" s="7"/>
      <c r="AY9320" s="7"/>
      <c r="BH9320" s="7"/>
      <c r="BQ9320" s="7"/>
      <c r="BZ9320" s="7"/>
    </row>
    <row r="9321" spans="2:78">
      <c r="B9321" s="7"/>
      <c r="O9321" s="7"/>
      <c r="X9321" s="7"/>
      <c r="AG9321" s="7"/>
      <c r="AP9321" s="7"/>
      <c r="AY9321" s="7"/>
      <c r="BH9321" s="7"/>
      <c r="BQ9321" s="7"/>
      <c r="BZ9321" s="7"/>
    </row>
    <row r="9322" spans="2:78">
      <c r="B9322" s="7"/>
      <c r="O9322" s="7"/>
      <c r="X9322" s="7"/>
      <c r="AG9322" s="7"/>
      <c r="AP9322" s="7"/>
      <c r="AY9322" s="7"/>
      <c r="BH9322" s="7"/>
      <c r="BQ9322" s="7"/>
      <c r="BZ9322" s="7"/>
    </row>
    <row r="9323" spans="2:78">
      <c r="B9323" s="7"/>
      <c r="O9323" s="7"/>
      <c r="X9323" s="7"/>
      <c r="AG9323" s="7"/>
      <c r="AP9323" s="7"/>
      <c r="AY9323" s="7"/>
      <c r="BH9323" s="7"/>
      <c r="BQ9323" s="7"/>
      <c r="BZ9323" s="7"/>
    </row>
    <row r="9324" spans="2:78">
      <c r="B9324" s="7"/>
      <c r="O9324" s="7"/>
      <c r="X9324" s="7"/>
      <c r="AG9324" s="7"/>
      <c r="AP9324" s="7"/>
      <c r="AY9324" s="7"/>
      <c r="BH9324" s="7"/>
      <c r="BQ9324" s="7"/>
      <c r="BZ9324" s="7"/>
    </row>
    <row r="9325" spans="2:78">
      <c r="B9325" s="7"/>
      <c r="O9325" s="7"/>
      <c r="X9325" s="7"/>
      <c r="AG9325" s="7"/>
      <c r="AP9325" s="7"/>
      <c r="AY9325" s="7"/>
      <c r="BH9325" s="7"/>
      <c r="BQ9325" s="7"/>
      <c r="BZ9325" s="7"/>
    </row>
    <row r="9326" spans="2:78">
      <c r="B9326" s="7"/>
      <c r="O9326" s="7"/>
      <c r="X9326" s="7"/>
      <c r="AG9326" s="7"/>
      <c r="AP9326" s="7"/>
      <c r="AY9326" s="7"/>
      <c r="BH9326" s="7"/>
      <c r="BQ9326" s="7"/>
      <c r="BZ9326" s="7"/>
    </row>
    <row r="9327" spans="2:78">
      <c r="B9327" s="7"/>
      <c r="O9327" s="7"/>
      <c r="X9327" s="7"/>
      <c r="AG9327" s="7"/>
      <c r="AP9327" s="7"/>
      <c r="AY9327" s="7"/>
      <c r="BH9327" s="7"/>
      <c r="BQ9327" s="7"/>
      <c r="BZ9327" s="7"/>
    </row>
    <row r="9328" spans="2:78">
      <c r="B9328" s="7"/>
      <c r="O9328" s="7"/>
      <c r="X9328" s="7"/>
      <c r="AG9328" s="7"/>
      <c r="AP9328" s="7"/>
      <c r="AY9328" s="7"/>
      <c r="BH9328" s="7"/>
      <c r="BQ9328" s="7"/>
      <c r="BZ9328" s="7"/>
    </row>
    <row r="9329" spans="2:78">
      <c r="B9329" s="7"/>
      <c r="O9329" s="7"/>
      <c r="X9329" s="7"/>
      <c r="AG9329" s="7"/>
      <c r="AP9329" s="7"/>
      <c r="AY9329" s="7"/>
      <c r="BH9329" s="7"/>
      <c r="BQ9329" s="7"/>
      <c r="BZ9329" s="7"/>
    </row>
    <row r="9330" spans="2:78">
      <c r="B9330" s="7"/>
      <c r="O9330" s="7"/>
      <c r="X9330" s="7"/>
      <c r="AG9330" s="7"/>
      <c r="AP9330" s="7"/>
      <c r="AY9330" s="7"/>
      <c r="BH9330" s="7"/>
      <c r="BQ9330" s="7"/>
      <c r="BZ9330" s="7"/>
    </row>
    <row r="9331" spans="2:78">
      <c r="B9331" s="7"/>
      <c r="O9331" s="7"/>
      <c r="X9331" s="7"/>
      <c r="AG9331" s="7"/>
      <c r="AP9331" s="7"/>
      <c r="AY9331" s="7"/>
      <c r="BH9331" s="7"/>
      <c r="BQ9331" s="7"/>
      <c r="BZ9331" s="7"/>
    </row>
    <row r="9332" spans="2:78">
      <c r="B9332" s="7"/>
      <c r="O9332" s="7"/>
      <c r="X9332" s="7"/>
      <c r="AG9332" s="7"/>
      <c r="AP9332" s="7"/>
      <c r="AY9332" s="7"/>
      <c r="BH9332" s="7"/>
      <c r="BQ9332" s="7"/>
      <c r="BZ9332" s="7"/>
    </row>
    <row r="9333" spans="2:78">
      <c r="B9333" s="7"/>
      <c r="O9333" s="7"/>
      <c r="X9333" s="7"/>
      <c r="AG9333" s="7"/>
      <c r="AP9333" s="7"/>
      <c r="AY9333" s="7"/>
      <c r="BH9333" s="7"/>
      <c r="BQ9333" s="7"/>
      <c r="BZ9333" s="7"/>
    </row>
    <row r="9334" spans="2:78">
      <c r="B9334" s="7"/>
      <c r="O9334" s="7"/>
      <c r="X9334" s="7"/>
      <c r="AG9334" s="7"/>
      <c r="AP9334" s="7"/>
      <c r="AY9334" s="7"/>
      <c r="BH9334" s="7"/>
      <c r="BQ9334" s="7"/>
      <c r="BZ9334" s="7"/>
    </row>
    <row r="9335" spans="2:78">
      <c r="B9335" s="7"/>
      <c r="O9335" s="7"/>
      <c r="X9335" s="7"/>
      <c r="AG9335" s="7"/>
      <c r="AP9335" s="7"/>
      <c r="AY9335" s="7"/>
      <c r="BH9335" s="7"/>
      <c r="BQ9335" s="7"/>
      <c r="BZ9335" s="7"/>
    </row>
    <row r="9336" spans="2:78">
      <c r="B9336" s="7"/>
      <c r="O9336" s="7"/>
      <c r="X9336" s="7"/>
      <c r="AG9336" s="7"/>
      <c r="AP9336" s="7"/>
      <c r="AY9336" s="7"/>
      <c r="BH9336" s="7"/>
      <c r="BQ9336" s="7"/>
      <c r="BZ9336" s="7"/>
    </row>
    <row r="9337" spans="2:78">
      <c r="B9337" s="7"/>
      <c r="O9337" s="7"/>
      <c r="X9337" s="7"/>
      <c r="AG9337" s="7"/>
      <c r="AP9337" s="7"/>
      <c r="AY9337" s="7"/>
      <c r="BH9337" s="7"/>
      <c r="BQ9337" s="7"/>
      <c r="BZ9337" s="7"/>
    </row>
    <row r="9338" spans="2:78">
      <c r="B9338" s="7"/>
      <c r="O9338" s="7"/>
      <c r="X9338" s="7"/>
      <c r="AG9338" s="7"/>
      <c r="AP9338" s="7"/>
      <c r="AY9338" s="7"/>
      <c r="BH9338" s="7"/>
      <c r="BQ9338" s="7"/>
      <c r="BZ9338" s="7"/>
    </row>
    <row r="9339" spans="2:78">
      <c r="B9339" s="7"/>
      <c r="O9339" s="7"/>
      <c r="X9339" s="7"/>
      <c r="AG9339" s="7"/>
      <c r="AP9339" s="7"/>
      <c r="AY9339" s="7"/>
      <c r="BH9339" s="7"/>
      <c r="BQ9339" s="7"/>
      <c r="BZ9339" s="7"/>
    </row>
    <row r="9340" spans="2:78">
      <c r="B9340" s="7"/>
      <c r="O9340" s="7"/>
      <c r="X9340" s="7"/>
      <c r="AG9340" s="7"/>
      <c r="AP9340" s="7"/>
      <c r="AY9340" s="7"/>
      <c r="BH9340" s="7"/>
      <c r="BQ9340" s="7"/>
      <c r="BZ9340" s="7"/>
    </row>
    <row r="9341" spans="2:78">
      <c r="B9341" s="7"/>
      <c r="O9341" s="7"/>
      <c r="X9341" s="7"/>
      <c r="AG9341" s="7"/>
      <c r="AP9341" s="7"/>
      <c r="AY9341" s="7"/>
      <c r="BH9341" s="7"/>
      <c r="BQ9341" s="7"/>
      <c r="BZ9341" s="7"/>
    </row>
    <row r="9342" spans="2:78">
      <c r="B9342" s="7"/>
      <c r="O9342" s="7"/>
      <c r="X9342" s="7"/>
      <c r="AG9342" s="7"/>
      <c r="AP9342" s="7"/>
      <c r="AY9342" s="7"/>
      <c r="BH9342" s="7"/>
      <c r="BQ9342" s="7"/>
      <c r="BZ9342" s="7"/>
    </row>
    <row r="9343" spans="2:78">
      <c r="B9343" s="7"/>
      <c r="O9343" s="7"/>
      <c r="X9343" s="7"/>
      <c r="AG9343" s="7"/>
      <c r="AP9343" s="7"/>
      <c r="AY9343" s="7"/>
      <c r="BH9343" s="7"/>
      <c r="BQ9343" s="7"/>
      <c r="BZ9343" s="7"/>
    </row>
    <row r="9344" spans="2:78">
      <c r="B9344" s="7"/>
      <c r="O9344" s="7"/>
      <c r="X9344" s="7"/>
      <c r="AG9344" s="7"/>
      <c r="AP9344" s="7"/>
      <c r="AY9344" s="7"/>
      <c r="BH9344" s="7"/>
      <c r="BQ9344" s="7"/>
      <c r="BZ9344" s="7"/>
    </row>
    <row r="9345" spans="2:78">
      <c r="B9345" s="7"/>
      <c r="O9345" s="7"/>
      <c r="X9345" s="7"/>
      <c r="AG9345" s="7"/>
      <c r="AP9345" s="7"/>
      <c r="AY9345" s="7"/>
      <c r="BH9345" s="7"/>
      <c r="BQ9345" s="7"/>
      <c r="BZ9345" s="7"/>
    </row>
    <row r="9346" spans="2:78">
      <c r="B9346" s="7"/>
      <c r="O9346" s="7"/>
      <c r="X9346" s="7"/>
      <c r="AG9346" s="7"/>
      <c r="AP9346" s="7"/>
      <c r="AY9346" s="7"/>
      <c r="BH9346" s="7"/>
      <c r="BQ9346" s="7"/>
      <c r="BZ9346" s="7"/>
    </row>
    <row r="9347" spans="2:78">
      <c r="B9347" s="7"/>
      <c r="O9347" s="7"/>
      <c r="X9347" s="7"/>
      <c r="AG9347" s="7"/>
      <c r="AP9347" s="7"/>
      <c r="AY9347" s="7"/>
      <c r="BH9347" s="7"/>
      <c r="BQ9347" s="7"/>
      <c r="BZ9347" s="7"/>
    </row>
    <row r="9348" spans="2:78">
      <c r="B9348" s="7"/>
      <c r="O9348" s="7"/>
      <c r="X9348" s="7"/>
      <c r="AG9348" s="7"/>
      <c r="AP9348" s="7"/>
      <c r="AY9348" s="7"/>
      <c r="BH9348" s="7"/>
      <c r="BQ9348" s="7"/>
      <c r="BZ9348" s="7"/>
    </row>
    <row r="9349" spans="2:78">
      <c r="B9349" s="7"/>
      <c r="O9349" s="7"/>
      <c r="X9349" s="7"/>
      <c r="AG9349" s="7"/>
      <c r="AP9349" s="7"/>
      <c r="AY9349" s="7"/>
      <c r="BH9349" s="7"/>
      <c r="BQ9349" s="7"/>
      <c r="BZ9349" s="7"/>
    </row>
    <row r="9350" spans="2:78">
      <c r="B9350" s="7"/>
      <c r="O9350" s="7"/>
      <c r="X9350" s="7"/>
      <c r="AG9350" s="7"/>
      <c r="AP9350" s="7"/>
      <c r="AY9350" s="7"/>
      <c r="BH9350" s="7"/>
      <c r="BQ9350" s="7"/>
      <c r="BZ9350" s="7"/>
    </row>
    <row r="9351" spans="2:78">
      <c r="B9351" s="7"/>
      <c r="O9351" s="7"/>
      <c r="X9351" s="7"/>
      <c r="AG9351" s="7"/>
      <c r="AP9351" s="7"/>
      <c r="AY9351" s="7"/>
      <c r="BH9351" s="7"/>
      <c r="BQ9351" s="7"/>
      <c r="BZ9351" s="7"/>
    </row>
    <row r="9352" spans="2:78">
      <c r="B9352" s="7"/>
      <c r="O9352" s="7"/>
      <c r="X9352" s="7"/>
      <c r="AG9352" s="7"/>
      <c r="AP9352" s="7"/>
      <c r="AY9352" s="7"/>
      <c r="BH9352" s="7"/>
      <c r="BQ9352" s="7"/>
      <c r="BZ9352" s="7"/>
    </row>
    <row r="9353" spans="2:78">
      <c r="B9353" s="7"/>
      <c r="O9353" s="7"/>
      <c r="X9353" s="7"/>
      <c r="AG9353" s="7"/>
      <c r="AP9353" s="7"/>
      <c r="AY9353" s="7"/>
      <c r="BH9353" s="7"/>
      <c r="BQ9353" s="7"/>
      <c r="BZ9353" s="7"/>
    </row>
    <row r="9354" spans="2:78">
      <c r="B9354" s="7"/>
      <c r="O9354" s="7"/>
      <c r="X9354" s="7"/>
      <c r="AG9354" s="7"/>
      <c r="AP9354" s="7"/>
      <c r="AY9354" s="7"/>
      <c r="BH9354" s="7"/>
      <c r="BQ9354" s="7"/>
      <c r="BZ9354" s="7"/>
    </row>
    <row r="9355" spans="2:78">
      <c r="B9355" s="7"/>
      <c r="O9355" s="7"/>
      <c r="X9355" s="7"/>
      <c r="AG9355" s="7"/>
      <c r="AP9355" s="7"/>
      <c r="AY9355" s="7"/>
      <c r="BH9355" s="7"/>
      <c r="BQ9355" s="7"/>
      <c r="BZ9355" s="7"/>
    </row>
    <row r="9356" spans="2:78">
      <c r="B9356" s="7"/>
      <c r="O9356" s="7"/>
      <c r="X9356" s="7"/>
      <c r="AG9356" s="7"/>
      <c r="AP9356" s="7"/>
      <c r="AY9356" s="7"/>
      <c r="BH9356" s="7"/>
      <c r="BQ9356" s="7"/>
      <c r="BZ9356" s="7"/>
    </row>
    <row r="9357" spans="2:78">
      <c r="B9357" s="7"/>
      <c r="O9357" s="7"/>
      <c r="X9357" s="7"/>
      <c r="AG9357" s="7"/>
      <c r="AP9357" s="7"/>
      <c r="AY9357" s="7"/>
      <c r="BH9357" s="7"/>
      <c r="BQ9357" s="7"/>
      <c r="BZ9357" s="7"/>
    </row>
    <row r="9358" spans="2:78">
      <c r="B9358" s="7"/>
      <c r="O9358" s="7"/>
      <c r="X9358" s="7"/>
      <c r="AG9358" s="7"/>
      <c r="AP9358" s="7"/>
      <c r="AY9358" s="7"/>
      <c r="BH9358" s="7"/>
      <c r="BQ9358" s="7"/>
      <c r="BZ9358" s="7"/>
    </row>
    <row r="9359" spans="2:78">
      <c r="B9359" s="7"/>
      <c r="O9359" s="7"/>
      <c r="X9359" s="7"/>
      <c r="AG9359" s="7"/>
      <c r="AP9359" s="7"/>
      <c r="AY9359" s="7"/>
      <c r="BH9359" s="7"/>
      <c r="BQ9359" s="7"/>
      <c r="BZ9359" s="7"/>
    </row>
    <row r="9360" spans="2:78">
      <c r="B9360" s="7"/>
      <c r="O9360" s="7"/>
      <c r="X9360" s="7"/>
      <c r="AG9360" s="7"/>
      <c r="AP9360" s="7"/>
      <c r="AY9360" s="7"/>
      <c r="BH9360" s="7"/>
      <c r="BQ9360" s="7"/>
      <c r="BZ9360" s="7"/>
    </row>
    <row r="9361" spans="2:78">
      <c r="B9361" s="7"/>
      <c r="O9361" s="7"/>
      <c r="X9361" s="7"/>
      <c r="AG9361" s="7"/>
      <c r="AP9361" s="7"/>
      <c r="AY9361" s="7"/>
      <c r="BH9361" s="7"/>
      <c r="BQ9361" s="7"/>
      <c r="BZ9361" s="7"/>
    </row>
    <row r="9362" spans="2:78">
      <c r="B9362" s="7"/>
      <c r="O9362" s="7"/>
      <c r="X9362" s="7"/>
      <c r="AG9362" s="7"/>
      <c r="AP9362" s="7"/>
      <c r="AY9362" s="7"/>
      <c r="BH9362" s="7"/>
      <c r="BQ9362" s="7"/>
      <c r="BZ9362" s="7"/>
    </row>
    <row r="9363" spans="2:78">
      <c r="B9363" s="7"/>
      <c r="O9363" s="7"/>
      <c r="X9363" s="7"/>
      <c r="AG9363" s="7"/>
      <c r="AP9363" s="7"/>
      <c r="AY9363" s="7"/>
      <c r="BH9363" s="7"/>
      <c r="BQ9363" s="7"/>
      <c r="BZ9363" s="7"/>
    </row>
    <row r="9364" spans="2:78">
      <c r="B9364" s="7"/>
      <c r="O9364" s="7"/>
      <c r="X9364" s="7"/>
      <c r="AG9364" s="7"/>
      <c r="AP9364" s="7"/>
      <c r="AY9364" s="7"/>
      <c r="BH9364" s="7"/>
      <c r="BQ9364" s="7"/>
      <c r="BZ9364" s="7"/>
    </row>
    <row r="9365" spans="2:78">
      <c r="B9365" s="7"/>
      <c r="O9365" s="7"/>
      <c r="X9365" s="7"/>
      <c r="AG9365" s="7"/>
      <c r="AP9365" s="7"/>
      <c r="AY9365" s="7"/>
      <c r="BH9365" s="7"/>
      <c r="BQ9365" s="7"/>
      <c r="BZ9365" s="7"/>
    </row>
    <row r="9366" spans="2:78">
      <c r="B9366" s="7"/>
      <c r="O9366" s="7"/>
      <c r="X9366" s="7"/>
      <c r="AG9366" s="7"/>
      <c r="AP9366" s="7"/>
      <c r="AY9366" s="7"/>
      <c r="BH9366" s="7"/>
      <c r="BQ9366" s="7"/>
      <c r="BZ9366" s="7"/>
    </row>
    <row r="9367" spans="2:78">
      <c r="B9367" s="7"/>
      <c r="O9367" s="7"/>
      <c r="X9367" s="7"/>
      <c r="AG9367" s="7"/>
      <c r="AP9367" s="7"/>
      <c r="AY9367" s="7"/>
      <c r="BH9367" s="7"/>
      <c r="BQ9367" s="7"/>
      <c r="BZ9367" s="7"/>
    </row>
    <row r="9368" spans="2:78">
      <c r="B9368" s="7"/>
      <c r="O9368" s="7"/>
      <c r="X9368" s="7"/>
      <c r="AG9368" s="7"/>
      <c r="AP9368" s="7"/>
      <c r="AY9368" s="7"/>
      <c r="BH9368" s="7"/>
      <c r="BQ9368" s="7"/>
      <c r="BZ9368" s="7"/>
    </row>
    <row r="9369" spans="2:78">
      <c r="B9369" s="7"/>
      <c r="O9369" s="7"/>
      <c r="X9369" s="7"/>
      <c r="AG9369" s="7"/>
      <c r="AP9369" s="7"/>
      <c r="AY9369" s="7"/>
      <c r="BH9369" s="7"/>
      <c r="BQ9369" s="7"/>
      <c r="BZ9369" s="7"/>
    </row>
    <row r="9370" spans="2:78">
      <c r="B9370" s="7"/>
      <c r="O9370" s="7"/>
      <c r="X9370" s="7"/>
      <c r="AG9370" s="7"/>
      <c r="AP9370" s="7"/>
      <c r="AY9370" s="7"/>
      <c r="BH9370" s="7"/>
      <c r="BQ9370" s="7"/>
      <c r="BZ9370" s="7"/>
    </row>
    <row r="9371" spans="2:78">
      <c r="B9371" s="7"/>
      <c r="O9371" s="7"/>
      <c r="X9371" s="7"/>
      <c r="AG9371" s="7"/>
      <c r="AP9371" s="7"/>
      <c r="AY9371" s="7"/>
      <c r="BH9371" s="7"/>
      <c r="BQ9371" s="7"/>
      <c r="BZ9371" s="7"/>
    </row>
    <row r="9372" spans="2:78">
      <c r="B9372" s="7"/>
      <c r="O9372" s="7"/>
      <c r="X9372" s="7"/>
      <c r="AG9372" s="7"/>
      <c r="AP9372" s="7"/>
      <c r="AY9372" s="7"/>
      <c r="BH9372" s="7"/>
      <c r="BQ9372" s="7"/>
      <c r="BZ9372" s="7"/>
    </row>
    <row r="9373" spans="2:78">
      <c r="B9373" s="7"/>
      <c r="O9373" s="7"/>
      <c r="X9373" s="7"/>
      <c r="AG9373" s="7"/>
      <c r="AP9373" s="7"/>
      <c r="AY9373" s="7"/>
      <c r="BH9373" s="7"/>
      <c r="BQ9373" s="7"/>
      <c r="BZ9373" s="7"/>
    </row>
    <row r="9374" spans="2:78">
      <c r="B9374" s="7"/>
      <c r="O9374" s="7"/>
      <c r="X9374" s="7"/>
      <c r="AG9374" s="7"/>
      <c r="AP9374" s="7"/>
      <c r="AY9374" s="7"/>
      <c r="BH9374" s="7"/>
      <c r="BQ9374" s="7"/>
      <c r="BZ9374" s="7"/>
    </row>
    <row r="9375" spans="2:78">
      <c r="B9375" s="7"/>
      <c r="O9375" s="7"/>
      <c r="X9375" s="7"/>
      <c r="AG9375" s="7"/>
      <c r="AP9375" s="7"/>
      <c r="AY9375" s="7"/>
      <c r="BH9375" s="7"/>
      <c r="BQ9375" s="7"/>
      <c r="BZ9375" s="7"/>
    </row>
    <row r="9376" spans="2:78">
      <c r="B9376" s="7"/>
      <c r="O9376" s="7"/>
      <c r="X9376" s="7"/>
      <c r="AG9376" s="7"/>
      <c r="AP9376" s="7"/>
      <c r="AY9376" s="7"/>
      <c r="BH9376" s="7"/>
      <c r="BQ9376" s="7"/>
      <c r="BZ9376" s="7"/>
    </row>
    <row r="9377" spans="2:78">
      <c r="B9377" s="7"/>
      <c r="O9377" s="7"/>
      <c r="X9377" s="7"/>
      <c r="AG9377" s="7"/>
      <c r="AP9377" s="7"/>
      <c r="AY9377" s="7"/>
      <c r="BH9377" s="7"/>
      <c r="BQ9377" s="7"/>
      <c r="BZ9377" s="7"/>
    </row>
    <row r="9378" spans="2:78">
      <c r="B9378" s="7"/>
      <c r="O9378" s="7"/>
      <c r="X9378" s="7"/>
      <c r="AG9378" s="7"/>
      <c r="AP9378" s="7"/>
      <c r="AY9378" s="7"/>
      <c r="BH9378" s="7"/>
      <c r="BQ9378" s="7"/>
      <c r="BZ9378" s="7"/>
    </row>
    <row r="9379" spans="2:78">
      <c r="B9379" s="7"/>
      <c r="O9379" s="7"/>
      <c r="X9379" s="7"/>
      <c r="AG9379" s="7"/>
      <c r="AP9379" s="7"/>
      <c r="AY9379" s="7"/>
      <c r="BH9379" s="7"/>
      <c r="BQ9379" s="7"/>
      <c r="BZ9379" s="7"/>
    </row>
    <row r="9380" spans="2:78">
      <c r="B9380" s="7"/>
      <c r="O9380" s="7"/>
      <c r="X9380" s="7"/>
      <c r="AG9380" s="7"/>
      <c r="AP9380" s="7"/>
      <c r="AY9380" s="7"/>
      <c r="BH9380" s="7"/>
      <c r="BQ9380" s="7"/>
      <c r="BZ9380" s="7"/>
    </row>
    <row r="9381" spans="2:78">
      <c r="B9381" s="7"/>
      <c r="O9381" s="7"/>
      <c r="X9381" s="7"/>
      <c r="AG9381" s="7"/>
      <c r="AP9381" s="7"/>
      <c r="AY9381" s="7"/>
      <c r="BH9381" s="7"/>
      <c r="BQ9381" s="7"/>
      <c r="BZ9381" s="7"/>
    </row>
    <row r="9382" spans="2:78">
      <c r="B9382" s="7"/>
      <c r="O9382" s="7"/>
      <c r="X9382" s="7"/>
      <c r="AG9382" s="7"/>
      <c r="AP9382" s="7"/>
      <c r="AY9382" s="7"/>
      <c r="BH9382" s="7"/>
      <c r="BQ9382" s="7"/>
      <c r="BZ9382" s="7"/>
    </row>
    <row r="9383" spans="2:78">
      <c r="B9383" s="7"/>
      <c r="O9383" s="7"/>
      <c r="X9383" s="7"/>
      <c r="AG9383" s="7"/>
      <c r="AP9383" s="7"/>
      <c r="AY9383" s="7"/>
      <c r="BH9383" s="7"/>
      <c r="BQ9383" s="7"/>
      <c r="BZ9383" s="7"/>
    </row>
    <row r="9384" spans="2:78">
      <c r="B9384" s="7"/>
      <c r="O9384" s="7"/>
      <c r="X9384" s="7"/>
      <c r="AG9384" s="7"/>
      <c r="AP9384" s="7"/>
      <c r="AY9384" s="7"/>
      <c r="BH9384" s="7"/>
      <c r="BQ9384" s="7"/>
      <c r="BZ9384" s="7"/>
    </row>
    <row r="9385" spans="2:78">
      <c r="B9385" s="7"/>
      <c r="O9385" s="7"/>
      <c r="X9385" s="7"/>
      <c r="AG9385" s="7"/>
      <c r="AP9385" s="7"/>
      <c r="AY9385" s="7"/>
      <c r="BH9385" s="7"/>
      <c r="BQ9385" s="7"/>
      <c r="BZ9385" s="7"/>
    </row>
    <row r="9386" spans="2:78">
      <c r="B9386" s="7"/>
      <c r="O9386" s="7"/>
      <c r="X9386" s="7"/>
      <c r="AG9386" s="7"/>
      <c r="AP9386" s="7"/>
      <c r="AY9386" s="7"/>
      <c r="BH9386" s="7"/>
      <c r="BQ9386" s="7"/>
      <c r="BZ9386" s="7"/>
    </row>
    <row r="9387" spans="2:78">
      <c r="B9387" s="7"/>
      <c r="O9387" s="7"/>
      <c r="X9387" s="7"/>
      <c r="AG9387" s="7"/>
      <c r="AP9387" s="7"/>
      <c r="AY9387" s="7"/>
      <c r="BH9387" s="7"/>
      <c r="BQ9387" s="7"/>
      <c r="BZ9387" s="7"/>
    </row>
    <row r="9388" spans="2:78">
      <c r="B9388" s="7"/>
      <c r="O9388" s="7"/>
      <c r="X9388" s="7"/>
      <c r="AG9388" s="7"/>
      <c r="AP9388" s="7"/>
      <c r="AY9388" s="7"/>
      <c r="BH9388" s="7"/>
      <c r="BQ9388" s="7"/>
      <c r="BZ9388" s="7"/>
    </row>
    <row r="9389" spans="2:78">
      <c r="B9389" s="7"/>
      <c r="O9389" s="7"/>
      <c r="X9389" s="7"/>
      <c r="AG9389" s="7"/>
      <c r="AP9389" s="7"/>
      <c r="AY9389" s="7"/>
      <c r="BH9389" s="7"/>
      <c r="BQ9389" s="7"/>
      <c r="BZ9389" s="7"/>
    </row>
    <row r="9390" spans="2:78">
      <c r="B9390" s="7"/>
      <c r="O9390" s="7"/>
      <c r="X9390" s="7"/>
      <c r="AG9390" s="7"/>
      <c r="AP9390" s="7"/>
      <c r="AY9390" s="7"/>
      <c r="BH9390" s="7"/>
      <c r="BQ9390" s="7"/>
      <c r="BZ9390" s="7"/>
    </row>
    <row r="9391" spans="2:78">
      <c r="B9391" s="7"/>
      <c r="O9391" s="7"/>
      <c r="X9391" s="7"/>
      <c r="AG9391" s="7"/>
      <c r="AP9391" s="7"/>
      <c r="AY9391" s="7"/>
      <c r="BH9391" s="7"/>
      <c r="BQ9391" s="7"/>
      <c r="BZ9391" s="7"/>
    </row>
    <row r="9392" spans="2:78">
      <c r="B9392" s="7"/>
      <c r="O9392" s="7"/>
      <c r="X9392" s="7"/>
      <c r="AG9392" s="7"/>
      <c r="AP9392" s="7"/>
      <c r="AY9392" s="7"/>
      <c r="BH9392" s="7"/>
      <c r="BQ9392" s="7"/>
      <c r="BZ9392" s="7"/>
    </row>
    <row r="9393" spans="2:78">
      <c r="B9393" s="7"/>
      <c r="O9393" s="7"/>
      <c r="X9393" s="7"/>
      <c r="AG9393" s="7"/>
      <c r="AP9393" s="7"/>
      <c r="AY9393" s="7"/>
      <c r="BH9393" s="7"/>
      <c r="BQ9393" s="7"/>
      <c r="BZ9393" s="7"/>
    </row>
    <row r="9394" spans="2:78">
      <c r="B9394" s="7"/>
      <c r="O9394" s="7"/>
      <c r="X9394" s="7"/>
      <c r="AG9394" s="7"/>
      <c r="AP9394" s="7"/>
      <c r="AY9394" s="7"/>
      <c r="BH9394" s="7"/>
      <c r="BQ9394" s="7"/>
      <c r="BZ9394" s="7"/>
    </row>
    <row r="9395" spans="2:78">
      <c r="B9395" s="7"/>
      <c r="O9395" s="7"/>
      <c r="X9395" s="7"/>
      <c r="AG9395" s="7"/>
      <c r="AP9395" s="7"/>
      <c r="AY9395" s="7"/>
      <c r="BH9395" s="7"/>
      <c r="BQ9395" s="7"/>
      <c r="BZ9395" s="7"/>
    </row>
    <row r="9396" spans="2:78">
      <c r="B9396" s="7"/>
      <c r="O9396" s="7"/>
      <c r="X9396" s="7"/>
      <c r="AG9396" s="7"/>
      <c r="AP9396" s="7"/>
      <c r="AY9396" s="7"/>
      <c r="BH9396" s="7"/>
      <c r="BQ9396" s="7"/>
      <c r="BZ9396" s="7"/>
    </row>
    <row r="9397" spans="2:78">
      <c r="B9397" s="7"/>
      <c r="O9397" s="7"/>
      <c r="X9397" s="7"/>
      <c r="AG9397" s="7"/>
      <c r="AP9397" s="7"/>
      <c r="AY9397" s="7"/>
      <c r="BH9397" s="7"/>
      <c r="BQ9397" s="7"/>
      <c r="BZ9397" s="7"/>
    </row>
    <row r="9398" spans="2:78">
      <c r="B9398" s="7"/>
      <c r="O9398" s="7"/>
      <c r="X9398" s="7"/>
      <c r="AG9398" s="7"/>
      <c r="AP9398" s="7"/>
      <c r="AY9398" s="7"/>
      <c r="BH9398" s="7"/>
      <c r="BQ9398" s="7"/>
      <c r="BZ9398" s="7"/>
    </row>
    <row r="9399" spans="2:78">
      <c r="B9399" s="7"/>
      <c r="O9399" s="7"/>
      <c r="X9399" s="7"/>
      <c r="AG9399" s="7"/>
      <c r="AP9399" s="7"/>
      <c r="AY9399" s="7"/>
      <c r="BH9399" s="7"/>
      <c r="BQ9399" s="7"/>
      <c r="BZ9399" s="7"/>
    </row>
    <row r="9400" spans="2:78">
      <c r="B9400" s="7"/>
      <c r="O9400" s="7"/>
      <c r="X9400" s="7"/>
      <c r="AG9400" s="7"/>
      <c r="AP9400" s="7"/>
      <c r="AY9400" s="7"/>
      <c r="BH9400" s="7"/>
      <c r="BQ9400" s="7"/>
      <c r="BZ9400" s="7"/>
    </row>
    <row r="9401" spans="2:78">
      <c r="B9401" s="7"/>
      <c r="O9401" s="7"/>
      <c r="X9401" s="7"/>
      <c r="AG9401" s="7"/>
      <c r="AP9401" s="7"/>
      <c r="AY9401" s="7"/>
      <c r="BH9401" s="7"/>
      <c r="BQ9401" s="7"/>
      <c r="BZ9401" s="7"/>
    </row>
    <row r="9402" spans="2:78">
      <c r="B9402" s="7"/>
      <c r="O9402" s="7"/>
      <c r="X9402" s="7"/>
      <c r="AG9402" s="7"/>
      <c r="AP9402" s="7"/>
      <c r="AY9402" s="7"/>
      <c r="BH9402" s="7"/>
      <c r="BQ9402" s="7"/>
      <c r="BZ9402" s="7"/>
    </row>
    <row r="9403" spans="2:78">
      <c r="B9403" s="7"/>
      <c r="O9403" s="7"/>
      <c r="X9403" s="7"/>
      <c r="AG9403" s="7"/>
      <c r="AP9403" s="7"/>
      <c r="AY9403" s="7"/>
      <c r="BH9403" s="7"/>
      <c r="BQ9403" s="7"/>
      <c r="BZ9403" s="7"/>
    </row>
    <row r="9404" spans="2:78">
      <c r="B9404" s="7"/>
      <c r="O9404" s="7"/>
      <c r="X9404" s="7"/>
      <c r="AG9404" s="7"/>
      <c r="AP9404" s="7"/>
      <c r="AY9404" s="7"/>
      <c r="BH9404" s="7"/>
      <c r="BQ9404" s="7"/>
      <c r="BZ9404" s="7"/>
    </row>
    <row r="9405" spans="2:78">
      <c r="B9405" s="7"/>
      <c r="O9405" s="7"/>
      <c r="X9405" s="7"/>
      <c r="AG9405" s="7"/>
      <c r="AP9405" s="7"/>
      <c r="AY9405" s="7"/>
      <c r="BH9405" s="7"/>
      <c r="BQ9405" s="7"/>
      <c r="BZ9405" s="7"/>
    </row>
    <row r="9406" spans="2:78">
      <c r="B9406" s="7"/>
      <c r="O9406" s="7"/>
      <c r="X9406" s="7"/>
      <c r="AG9406" s="7"/>
      <c r="AP9406" s="7"/>
      <c r="AY9406" s="7"/>
      <c r="BH9406" s="7"/>
      <c r="BQ9406" s="7"/>
      <c r="BZ9406" s="7"/>
    </row>
    <row r="9407" spans="2:78">
      <c r="B9407" s="7"/>
      <c r="O9407" s="7"/>
      <c r="X9407" s="7"/>
      <c r="AG9407" s="7"/>
      <c r="AP9407" s="7"/>
      <c r="AY9407" s="7"/>
      <c r="BH9407" s="7"/>
      <c r="BQ9407" s="7"/>
      <c r="BZ9407" s="7"/>
    </row>
    <row r="9408" spans="2:78">
      <c r="B9408" s="7"/>
      <c r="O9408" s="7"/>
      <c r="X9408" s="7"/>
      <c r="AG9408" s="7"/>
      <c r="AP9408" s="7"/>
      <c r="AY9408" s="7"/>
      <c r="BH9408" s="7"/>
      <c r="BQ9408" s="7"/>
      <c r="BZ9408" s="7"/>
    </row>
    <row r="9409" spans="2:78">
      <c r="B9409" s="7"/>
      <c r="O9409" s="7"/>
      <c r="X9409" s="7"/>
      <c r="AG9409" s="7"/>
      <c r="AP9409" s="7"/>
      <c r="AY9409" s="7"/>
      <c r="BH9409" s="7"/>
      <c r="BQ9409" s="7"/>
      <c r="BZ9409" s="7"/>
    </row>
    <row r="9410" spans="2:78">
      <c r="B9410" s="7"/>
      <c r="O9410" s="7"/>
      <c r="X9410" s="7"/>
      <c r="AG9410" s="7"/>
      <c r="AP9410" s="7"/>
      <c r="AY9410" s="7"/>
      <c r="BH9410" s="7"/>
      <c r="BQ9410" s="7"/>
      <c r="BZ9410" s="7"/>
    </row>
    <row r="9411" spans="2:78">
      <c r="B9411" s="7"/>
      <c r="O9411" s="7"/>
      <c r="X9411" s="7"/>
      <c r="AG9411" s="7"/>
      <c r="AP9411" s="7"/>
      <c r="AY9411" s="7"/>
      <c r="BH9411" s="7"/>
      <c r="BQ9411" s="7"/>
      <c r="BZ9411" s="7"/>
    </row>
    <row r="9412" spans="2:78">
      <c r="B9412" s="7"/>
      <c r="O9412" s="7"/>
      <c r="X9412" s="7"/>
      <c r="AG9412" s="7"/>
      <c r="AP9412" s="7"/>
      <c r="AY9412" s="7"/>
      <c r="BH9412" s="7"/>
      <c r="BQ9412" s="7"/>
      <c r="BZ9412" s="7"/>
    </row>
    <row r="9413" spans="2:78">
      <c r="B9413" s="7"/>
      <c r="O9413" s="7"/>
      <c r="X9413" s="7"/>
      <c r="AG9413" s="7"/>
      <c r="AP9413" s="7"/>
      <c r="AY9413" s="7"/>
      <c r="BH9413" s="7"/>
      <c r="BQ9413" s="7"/>
      <c r="BZ9413" s="7"/>
    </row>
    <row r="9414" spans="2:78">
      <c r="B9414" s="7"/>
      <c r="O9414" s="7"/>
      <c r="X9414" s="7"/>
      <c r="AG9414" s="7"/>
      <c r="AP9414" s="7"/>
      <c r="AY9414" s="7"/>
      <c r="BH9414" s="7"/>
      <c r="BQ9414" s="7"/>
      <c r="BZ9414" s="7"/>
    </row>
    <row r="9415" spans="2:78">
      <c r="B9415" s="7"/>
      <c r="O9415" s="7"/>
      <c r="X9415" s="7"/>
      <c r="AG9415" s="7"/>
      <c r="AP9415" s="7"/>
      <c r="AY9415" s="7"/>
      <c r="BH9415" s="7"/>
      <c r="BQ9415" s="7"/>
      <c r="BZ9415" s="7"/>
    </row>
    <row r="9416" spans="2:78">
      <c r="B9416" s="7"/>
      <c r="O9416" s="7"/>
      <c r="X9416" s="7"/>
      <c r="AG9416" s="7"/>
      <c r="AP9416" s="7"/>
      <c r="AY9416" s="7"/>
      <c r="BH9416" s="7"/>
      <c r="BQ9416" s="7"/>
      <c r="BZ9416" s="7"/>
    </row>
    <row r="9417" spans="2:78">
      <c r="B9417" s="7"/>
      <c r="O9417" s="7"/>
      <c r="X9417" s="7"/>
      <c r="AG9417" s="7"/>
      <c r="AP9417" s="7"/>
      <c r="AY9417" s="7"/>
      <c r="BH9417" s="7"/>
      <c r="BQ9417" s="7"/>
      <c r="BZ9417" s="7"/>
    </row>
    <row r="9418" spans="2:78">
      <c r="B9418" s="7"/>
      <c r="O9418" s="7"/>
      <c r="X9418" s="7"/>
      <c r="AG9418" s="7"/>
      <c r="AP9418" s="7"/>
      <c r="AY9418" s="7"/>
      <c r="BH9418" s="7"/>
      <c r="BQ9418" s="7"/>
      <c r="BZ9418" s="7"/>
    </row>
    <row r="9419" spans="2:78">
      <c r="B9419" s="7"/>
      <c r="O9419" s="7"/>
      <c r="X9419" s="7"/>
      <c r="AG9419" s="7"/>
      <c r="AP9419" s="7"/>
      <c r="AY9419" s="7"/>
      <c r="BH9419" s="7"/>
      <c r="BQ9419" s="7"/>
      <c r="BZ9419" s="7"/>
    </row>
    <row r="9420" spans="2:78">
      <c r="B9420" s="7"/>
      <c r="O9420" s="7"/>
      <c r="X9420" s="7"/>
      <c r="AG9420" s="7"/>
      <c r="AP9420" s="7"/>
      <c r="AY9420" s="7"/>
      <c r="BH9420" s="7"/>
      <c r="BQ9420" s="7"/>
      <c r="BZ9420" s="7"/>
    </row>
    <row r="9421" spans="2:78">
      <c r="B9421" s="7"/>
      <c r="O9421" s="7"/>
      <c r="X9421" s="7"/>
      <c r="AG9421" s="7"/>
      <c r="AP9421" s="7"/>
      <c r="AY9421" s="7"/>
      <c r="BH9421" s="7"/>
      <c r="BQ9421" s="7"/>
      <c r="BZ9421" s="7"/>
    </row>
    <row r="9422" spans="2:78">
      <c r="B9422" s="7"/>
      <c r="O9422" s="7"/>
      <c r="X9422" s="7"/>
      <c r="AG9422" s="7"/>
      <c r="AP9422" s="7"/>
      <c r="AY9422" s="7"/>
      <c r="BH9422" s="7"/>
      <c r="BQ9422" s="7"/>
      <c r="BZ9422" s="7"/>
    </row>
    <row r="9423" spans="2:78">
      <c r="B9423" s="7"/>
      <c r="O9423" s="7"/>
      <c r="X9423" s="7"/>
      <c r="AG9423" s="7"/>
      <c r="AP9423" s="7"/>
      <c r="AY9423" s="7"/>
      <c r="BH9423" s="7"/>
      <c r="BQ9423" s="7"/>
      <c r="BZ9423" s="7"/>
    </row>
    <row r="9424" spans="2:78">
      <c r="B9424" s="7"/>
      <c r="O9424" s="7"/>
      <c r="X9424" s="7"/>
      <c r="AG9424" s="7"/>
      <c r="AP9424" s="7"/>
      <c r="AY9424" s="7"/>
      <c r="BH9424" s="7"/>
      <c r="BQ9424" s="7"/>
      <c r="BZ9424" s="7"/>
    </row>
    <row r="9425" spans="2:78">
      <c r="B9425" s="7"/>
      <c r="O9425" s="7"/>
      <c r="X9425" s="7"/>
      <c r="AG9425" s="7"/>
      <c r="AP9425" s="7"/>
      <c r="AY9425" s="7"/>
      <c r="BH9425" s="7"/>
      <c r="BQ9425" s="7"/>
      <c r="BZ9425" s="7"/>
    </row>
    <row r="9426" spans="2:78">
      <c r="B9426" s="7"/>
      <c r="O9426" s="7"/>
      <c r="X9426" s="7"/>
      <c r="AG9426" s="7"/>
      <c r="AP9426" s="7"/>
      <c r="AY9426" s="7"/>
      <c r="BH9426" s="7"/>
      <c r="BQ9426" s="7"/>
      <c r="BZ9426" s="7"/>
    </row>
    <row r="9427" spans="2:78">
      <c r="B9427" s="7"/>
      <c r="O9427" s="7"/>
      <c r="X9427" s="7"/>
      <c r="AG9427" s="7"/>
      <c r="AP9427" s="7"/>
      <c r="AY9427" s="7"/>
      <c r="BH9427" s="7"/>
      <c r="BQ9427" s="7"/>
      <c r="BZ9427" s="7"/>
    </row>
    <row r="9428" spans="2:78">
      <c r="B9428" s="7"/>
      <c r="O9428" s="7"/>
      <c r="X9428" s="7"/>
      <c r="AG9428" s="7"/>
      <c r="AP9428" s="7"/>
      <c r="AY9428" s="7"/>
      <c r="BH9428" s="7"/>
      <c r="BQ9428" s="7"/>
      <c r="BZ9428" s="7"/>
    </row>
    <row r="9429" spans="2:78">
      <c r="B9429" s="7"/>
      <c r="O9429" s="7"/>
      <c r="X9429" s="7"/>
      <c r="AG9429" s="7"/>
      <c r="AP9429" s="7"/>
      <c r="AY9429" s="7"/>
      <c r="BH9429" s="7"/>
      <c r="BQ9429" s="7"/>
      <c r="BZ9429" s="7"/>
    </row>
    <row r="9430" spans="2:78">
      <c r="B9430" s="7"/>
      <c r="O9430" s="7"/>
      <c r="X9430" s="7"/>
      <c r="AG9430" s="7"/>
      <c r="AP9430" s="7"/>
      <c r="AY9430" s="7"/>
      <c r="BH9430" s="7"/>
      <c r="BQ9430" s="7"/>
      <c r="BZ9430" s="7"/>
    </row>
    <row r="9431" spans="2:78">
      <c r="B9431" s="7"/>
      <c r="O9431" s="7"/>
      <c r="X9431" s="7"/>
      <c r="AG9431" s="7"/>
      <c r="AP9431" s="7"/>
      <c r="AY9431" s="7"/>
      <c r="BH9431" s="7"/>
      <c r="BQ9431" s="7"/>
      <c r="BZ9431" s="7"/>
    </row>
    <row r="9432" spans="2:78">
      <c r="B9432" s="7"/>
      <c r="O9432" s="7"/>
      <c r="X9432" s="7"/>
      <c r="AG9432" s="7"/>
      <c r="AP9432" s="7"/>
      <c r="AY9432" s="7"/>
      <c r="BH9432" s="7"/>
      <c r="BQ9432" s="7"/>
      <c r="BZ9432" s="7"/>
    </row>
    <row r="9433" spans="2:78">
      <c r="B9433" s="7"/>
      <c r="O9433" s="7"/>
      <c r="X9433" s="7"/>
      <c r="AG9433" s="7"/>
      <c r="AP9433" s="7"/>
      <c r="AY9433" s="7"/>
      <c r="BH9433" s="7"/>
      <c r="BQ9433" s="7"/>
      <c r="BZ9433" s="7"/>
    </row>
    <row r="9434" spans="2:78">
      <c r="B9434" s="7"/>
      <c r="O9434" s="7"/>
      <c r="X9434" s="7"/>
      <c r="AG9434" s="7"/>
      <c r="AP9434" s="7"/>
      <c r="AY9434" s="7"/>
      <c r="BH9434" s="7"/>
      <c r="BQ9434" s="7"/>
      <c r="BZ9434" s="7"/>
    </row>
    <row r="9435" spans="2:78">
      <c r="B9435" s="7"/>
      <c r="O9435" s="7"/>
      <c r="X9435" s="7"/>
      <c r="AG9435" s="7"/>
      <c r="AP9435" s="7"/>
      <c r="AY9435" s="7"/>
      <c r="BH9435" s="7"/>
      <c r="BQ9435" s="7"/>
      <c r="BZ9435" s="7"/>
    </row>
    <row r="9436" spans="2:78">
      <c r="B9436" s="7"/>
      <c r="O9436" s="7"/>
      <c r="X9436" s="7"/>
      <c r="AG9436" s="7"/>
      <c r="AP9436" s="7"/>
      <c r="AY9436" s="7"/>
      <c r="BH9436" s="7"/>
      <c r="BQ9436" s="7"/>
      <c r="BZ9436" s="7"/>
    </row>
    <row r="9437" spans="2:78">
      <c r="B9437" s="7"/>
      <c r="O9437" s="7"/>
      <c r="X9437" s="7"/>
      <c r="AG9437" s="7"/>
      <c r="AP9437" s="7"/>
      <c r="AY9437" s="7"/>
      <c r="BH9437" s="7"/>
      <c r="BQ9437" s="7"/>
      <c r="BZ9437" s="7"/>
    </row>
    <row r="9438" spans="2:78">
      <c r="B9438" s="7"/>
      <c r="O9438" s="7"/>
      <c r="X9438" s="7"/>
      <c r="AG9438" s="7"/>
      <c r="AP9438" s="7"/>
      <c r="AY9438" s="7"/>
      <c r="BH9438" s="7"/>
      <c r="BQ9438" s="7"/>
      <c r="BZ9438" s="7"/>
    </row>
    <row r="9439" spans="2:78">
      <c r="B9439" s="7"/>
      <c r="O9439" s="7"/>
      <c r="X9439" s="7"/>
      <c r="AG9439" s="7"/>
      <c r="AP9439" s="7"/>
      <c r="AY9439" s="7"/>
      <c r="BH9439" s="7"/>
      <c r="BQ9439" s="7"/>
      <c r="BZ9439" s="7"/>
    </row>
    <row r="9440" spans="2:78">
      <c r="B9440" s="7"/>
      <c r="O9440" s="7"/>
      <c r="X9440" s="7"/>
      <c r="AG9440" s="7"/>
      <c r="AP9440" s="7"/>
      <c r="AY9440" s="7"/>
      <c r="BH9440" s="7"/>
      <c r="BQ9440" s="7"/>
      <c r="BZ9440" s="7"/>
    </row>
    <row r="9441" spans="2:78">
      <c r="B9441" s="7"/>
      <c r="O9441" s="7"/>
      <c r="X9441" s="7"/>
      <c r="AG9441" s="7"/>
      <c r="AP9441" s="7"/>
      <c r="AY9441" s="7"/>
      <c r="BH9441" s="7"/>
      <c r="BQ9441" s="7"/>
      <c r="BZ9441" s="7"/>
    </row>
    <row r="9442" spans="2:78">
      <c r="B9442" s="7"/>
      <c r="O9442" s="7"/>
      <c r="X9442" s="7"/>
      <c r="AG9442" s="7"/>
      <c r="AP9442" s="7"/>
      <c r="AY9442" s="7"/>
      <c r="BH9442" s="7"/>
      <c r="BQ9442" s="7"/>
      <c r="BZ9442" s="7"/>
    </row>
    <row r="9443" spans="2:78">
      <c r="B9443" s="7"/>
      <c r="O9443" s="7"/>
      <c r="X9443" s="7"/>
      <c r="AG9443" s="7"/>
      <c r="AP9443" s="7"/>
      <c r="AY9443" s="7"/>
      <c r="BH9443" s="7"/>
      <c r="BQ9443" s="7"/>
      <c r="BZ9443" s="7"/>
    </row>
    <row r="9444" spans="2:78">
      <c r="B9444" s="7"/>
      <c r="O9444" s="7"/>
      <c r="X9444" s="7"/>
      <c r="AG9444" s="7"/>
      <c r="AP9444" s="7"/>
      <c r="AY9444" s="7"/>
      <c r="BH9444" s="7"/>
      <c r="BQ9444" s="7"/>
      <c r="BZ9444" s="7"/>
    </row>
    <row r="9445" spans="2:78">
      <c r="B9445" s="7"/>
      <c r="O9445" s="7"/>
      <c r="X9445" s="7"/>
      <c r="AG9445" s="7"/>
      <c r="AP9445" s="7"/>
      <c r="AY9445" s="7"/>
      <c r="BH9445" s="7"/>
      <c r="BQ9445" s="7"/>
      <c r="BZ9445" s="7"/>
    </row>
    <row r="9446" spans="2:78">
      <c r="B9446" s="7"/>
      <c r="O9446" s="7"/>
      <c r="X9446" s="7"/>
      <c r="AG9446" s="7"/>
      <c r="AP9446" s="7"/>
      <c r="AY9446" s="7"/>
      <c r="BH9446" s="7"/>
      <c r="BQ9446" s="7"/>
      <c r="BZ9446" s="7"/>
    </row>
    <row r="9447" spans="2:78">
      <c r="B9447" s="7"/>
      <c r="O9447" s="7"/>
      <c r="X9447" s="7"/>
      <c r="AG9447" s="7"/>
      <c r="AP9447" s="7"/>
      <c r="AY9447" s="7"/>
      <c r="BH9447" s="7"/>
      <c r="BQ9447" s="7"/>
      <c r="BZ9447" s="7"/>
    </row>
    <row r="9448" spans="2:78">
      <c r="B9448" s="7"/>
      <c r="O9448" s="7"/>
      <c r="X9448" s="7"/>
      <c r="AG9448" s="7"/>
      <c r="AP9448" s="7"/>
      <c r="AY9448" s="7"/>
      <c r="BH9448" s="7"/>
      <c r="BQ9448" s="7"/>
      <c r="BZ9448" s="7"/>
    </row>
    <row r="9449" spans="2:78">
      <c r="B9449" s="7"/>
      <c r="O9449" s="7"/>
      <c r="X9449" s="7"/>
      <c r="AG9449" s="7"/>
      <c r="AP9449" s="7"/>
      <c r="AY9449" s="7"/>
      <c r="BH9449" s="7"/>
      <c r="BQ9449" s="7"/>
      <c r="BZ9449" s="7"/>
    </row>
    <row r="9450" spans="2:78">
      <c r="B9450" s="7"/>
      <c r="O9450" s="7"/>
      <c r="X9450" s="7"/>
      <c r="AG9450" s="7"/>
      <c r="AP9450" s="7"/>
      <c r="AY9450" s="7"/>
      <c r="BH9450" s="7"/>
      <c r="BQ9450" s="7"/>
      <c r="BZ9450" s="7"/>
    </row>
    <row r="9451" spans="2:78">
      <c r="B9451" s="7"/>
      <c r="O9451" s="7"/>
      <c r="X9451" s="7"/>
      <c r="AG9451" s="7"/>
      <c r="AP9451" s="7"/>
      <c r="AY9451" s="7"/>
      <c r="BH9451" s="7"/>
      <c r="BQ9451" s="7"/>
      <c r="BZ9451" s="7"/>
    </row>
    <row r="9452" spans="2:78">
      <c r="B9452" s="7"/>
      <c r="O9452" s="7"/>
      <c r="X9452" s="7"/>
      <c r="AG9452" s="7"/>
      <c r="AP9452" s="7"/>
      <c r="AY9452" s="7"/>
      <c r="BH9452" s="7"/>
      <c r="BQ9452" s="7"/>
      <c r="BZ9452" s="7"/>
    </row>
    <row r="9453" spans="2:78">
      <c r="B9453" s="7"/>
      <c r="O9453" s="7"/>
      <c r="X9453" s="7"/>
      <c r="AG9453" s="7"/>
      <c r="AP9453" s="7"/>
      <c r="AY9453" s="7"/>
      <c r="BH9453" s="7"/>
      <c r="BQ9453" s="7"/>
      <c r="BZ9453" s="7"/>
    </row>
    <row r="9454" spans="2:78">
      <c r="B9454" s="7"/>
      <c r="O9454" s="7"/>
      <c r="X9454" s="7"/>
      <c r="AG9454" s="7"/>
      <c r="AP9454" s="7"/>
      <c r="AY9454" s="7"/>
      <c r="BH9454" s="7"/>
      <c r="BQ9454" s="7"/>
      <c r="BZ9454" s="7"/>
    </row>
    <row r="9455" spans="2:78">
      <c r="B9455" s="7"/>
      <c r="O9455" s="7"/>
      <c r="X9455" s="7"/>
      <c r="AG9455" s="7"/>
      <c r="AP9455" s="7"/>
      <c r="AY9455" s="7"/>
      <c r="BH9455" s="7"/>
      <c r="BQ9455" s="7"/>
      <c r="BZ9455" s="7"/>
    </row>
    <row r="9456" spans="2:78">
      <c r="B9456" s="7"/>
      <c r="O9456" s="7"/>
      <c r="X9456" s="7"/>
      <c r="AG9456" s="7"/>
      <c r="AP9456" s="7"/>
      <c r="AY9456" s="7"/>
      <c r="BH9456" s="7"/>
      <c r="BQ9456" s="7"/>
      <c r="BZ9456" s="7"/>
    </row>
    <row r="9457" spans="2:78">
      <c r="B9457" s="7"/>
      <c r="O9457" s="7"/>
      <c r="X9457" s="7"/>
      <c r="AG9457" s="7"/>
      <c r="AP9457" s="7"/>
      <c r="AY9457" s="7"/>
      <c r="BH9457" s="7"/>
      <c r="BQ9457" s="7"/>
      <c r="BZ9457" s="7"/>
    </row>
    <row r="9458" spans="2:78">
      <c r="B9458" s="7"/>
      <c r="O9458" s="7"/>
      <c r="X9458" s="7"/>
      <c r="AG9458" s="7"/>
      <c r="AP9458" s="7"/>
      <c r="AY9458" s="7"/>
      <c r="BH9458" s="7"/>
      <c r="BQ9458" s="7"/>
      <c r="BZ9458" s="7"/>
    </row>
    <row r="9459" spans="2:78">
      <c r="B9459" s="7"/>
      <c r="O9459" s="7"/>
      <c r="X9459" s="7"/>
      <c r="AG9459" s="7"/>
      <c r="AP9459" s="7"/>
      <c r="AY9459" s="7"/>
      <c r="BH9459" s="7"/>
      <c r="BQ9459" s="7"/>
      <c r="BZ9459" s="7"/>
    </row>
    <row r="9460" spans="2:78">
      <c r="B9460" s="7"/>
      <c r="O9460" s="7"/>
      <c r="X9460" s="7"/>
      <c r="AG9460" s="7"/>
      <c r="AP9460" s="7"/>
      <c r="AY9460" s="7"/>
      <c r="BH9460" s="7"/>
      <c r="BQ9460" s="7"/>
      <c r="BZ9460" s="7"/>
    </row>
    <row r="9461" spans="2:78">
      <c r="B9461" s="7"/>
      <c r="O9461" s="7"/>
      <c r="X9461" s="7"/>
      <c r="AG9461" s="7"/>
      <c r="AP9461" s="7"/>
      <c r="AY9461" s="7"/>
      <c r="BH9461" s="7"/>
      <c r="BQ9461" s="7"/>
      <c r="BZ9461" s="7"/>
    </row>
    <row r="9462" spans="2:78">
      <c r="B9462" s="7"/>
      <c r="O9462" s="7"/>
      <c r="X9462" s="7"/>
      <c r="AG9462" s="7"/>
      <c r="AP9462" s="7"/>
      <c r="AY9462" s="7"/>
      <c r="BH9462" s="7"/>
      <c r="BQ9462" s="7"/>
      <c r="BZ9462" s="7"/>
    </row>
    <row r="9463" spans="2:78">
      <c r="B9463" s="7"/>
      <c r="O9463" s="7"/>
      <c r="X9463" s="7"/>
      <c r="AG9463" s="7"/>
      <c r="AP9463" s="7"/>
      <c r="AY9463" s="7"/>
      <c r="BH9463" s="7"/>
      <c r="BQ9463" s="7"/>
      <c r="BZ9463" s="7"/>
    </row>
    <row r="9464" spans="2:78">
      <c r="B9464" s="7"/>
      <c r="O9464" s="7"/>
      <c r="X9464" s="7"/>
      <c r="AG9464" s="7"/>
      <c r="AP9464" s="7"/>
      <c r="AY9464" s="7"/>
      <c r="BH9464" s="7"/>
      <c r="BQ9464" s="7"/>
      <c r="BZ9464" s="7"/>
    </row>
    <row r="9465" spans="2:78">
      <c r="B9465" s="7"/>
      <c r="O9465" s="7"/>
      <c r="X9465" s="7"/>
      <c r="AG9465" s="7"/>
      <c r="AP9465" s="7"/>
      <c r="AY9465" s="7"/>
      <c r="BH9465" s="7"/>
      <c r="BQ9465" s="7"/>
      <c r="BZ9465" s="7"/>
    </row>
    <row r="9466" spans="2:78">
      <c r="B9466" s="7"/>
      <c r="O9466" s="7"/>
      <c r="X9466" s="7"/>
      <c r="AG9466" s="7"/>
      <c r="AP9466" s="7"/>
      <c r="AY9466" s="7"/>
      <c r="BH9466" s="7"/>
      <c r="BQ9466" s="7"/>
      <c r="BZ9466" s="7"/>
    </row>
    <row r="9467" spans="2:78">
      <c r="B9467" s="7"/>
      <c r="O9467" s="7"/>
      <c r="X9467" s="7"/>
      <c r="AG9467" s="7"/>
      <c r="AP9467" s="7"/>
      <c r="AY9467" s="7"/>
      <c r="BH9467" s="7"/>
      <c r="BQ9467" s="7"/>
      <c r="BZ9467" s="7"/>
    </row>
    <row r="9468" spans="2:78">
      <c r="B9468" s="7"/>
      <c r="O9468" s="7"/>
      <c r="X9468" s="7"/>
      <c r="AG9468" s="7"/>
      <c r="AP9468" s="7"/>
      <c r="AY9468" s="7"/>
      <c r="BH9468" s="7"/>
      <c r="BQ9468" s="7"/>
      <c r="BZ9468" s="7"/>
    </row>
    <row r="9469" spans="2:78">
      <c r="B9469" s="7"/>
      <c r="O9469" s="7"/>
      <c r="X9469" s="7"/>
      <c r="AG9469" s="7"/>
      <c r="AP9469" s="7"/>
      <c r="AY9469" s="7"/>
      <c r="BH9469" s="7"/>
      <c r="BQ9469" s="7"/>
      <c r="BZ9469" s="7"/>
    </row>
    <row r="9470" spans="2:78">
      <c r="B9470" s="7"/>
      <c r="O9470" s="7"/>
      <c r="X9470" s="7"/>
      <c r="AG9470" s="7"/>
      <c r="AP9470" s="7"/>
      <c r="AY9470" s="7"/>
      <c r="BH9470" s="7"/>
      <c r="BQ9470" s="7"/>
      <c r="BZ9470" s="7"/>
    </row>
    <row r="9471" spans="2:78">
      <c r="B9471" s="7"/>
      <c r="O9471" s="7"/>
      <c r="X9471" s="7"/>
      <c r="AG9471" s="7"/>
      <c r="AP9471" s="7"/>
      <c r="AY9471" s="7"/>
      <c r="BH9471" s="7"/>
      <c r="BQ9471" s="7"/>
      <c r="BZ9471" s="7"/>
    </row>
    <row r="9472" spans="2:78">
      <c r="B9472" s="7"/>
      <c r="O9472" s="7"/>
      <c r="X9472" s="7"/>
      <c r="AG9472" s="7"/>
      <c r="AP9472" s="7"/>
      <c r="AY9472" s="7"/>
      <c r="BH9472" s="7"/>
      <c r="BQ9472" s="7"/>
      <c r="BZ9472" s="7"/>
    </row>
    <row r="9473" spans="2:78">
      <c r="B9473" s="7"/>
      <c r="O9473" s="7"/>
      <c r="X9473" s="7"/>
      <c r="AG9473" s="7"/>
      <c r="AP9473" s="7"/>
      <c r="AY9473" s="7"/>
      <c r="BH9473" s="7"/>
      <c r="BQ9473" s="7"/>
      <c r="BZ9473" s="7"/>
    </row>
    <row r="9474" spans="2:78">
      <c r="B9474" s="7"/>
      <c r="O9474" s="7"/>
      <c r="X9474" s="7"/>
      <c r="AG9474" s="7"/>
      <c r="AP9474" s="7"/>
      <c r="AY9474" s="7"/>
      <c r="BH9474" s="7"/>
      <c r="BQ9474" s="7"/>
      <c r="BZ9474" s="7"/>
    </row>
    <row r="9475" spans="2:78">
      <c r="B9475" s="7"/>
      <c r="O9475" s="7"/>
      <c r="X9475" s="7"/>
      <c r="AG9475" s="7"/>
      <c r="AP9475" s="7"/>
      <c r="AY9475" s="7"/>
      <c r="BH9475" s="7"/>
      <c r="BQ9475" s="7"/>
      <c r="BZ9475" s="7"/>
    </row>
    <row r="9476" spans="2:78">
      <c r="B9476" s="7"/>
      <c r="O9476" s="7"/>
      <c r="X9476" s="7"/>
      <c r="AG9476" s="7"/>
      <c r="AP9476" s="7"/>
      <c r="AY9476" s="7"/>
      <c r="BH9476" s="7"/>
      <c r="BQ9476" s="7"/>
      <c r="BZ9476" s="7"/>
    </row>
    <row r="9477" spans="2:78">
      <c r="B9477" s="7"/>
      <c r="O9477" s="7"/>
      <c r="X9477" s="7"/>
      <c r="AG9477" s="7"/>
      <c r="AP9477" s="7"/>
      <c r="AY9477" s="7"/>
      <c r="BH9477" s="7"/>
      <c r="BQ9477" s="7"/>
      <c r="BZ9477" s="7"/>
    </row>
    <row r="9478" spans="2:78">
      <c r="B9478" s="7"/>
      <c r="O9478" s="7"/>
      <c r="X9478" s="7"/>
      <c r="AG9478" s="7"/>
      <c r="AP9478" s="7"/>
      <c r="AY9478" s="7"/>
      <c r="BH9478" s="7"/>
      <c r="BQ9478" s="7"/>
      <c r="BZ9478" s="7"/>
    </row>
    <row r="9479" spans="2:78">
      <c r="B9479" s="7"/>
      <c r="O9479" s="7"/>
      <c r="X9479" s="7"/>
      <c r="AG9479" s="7"/>
      <c r="AP9479" s="7"/>
      <c r="AY9479" s="7"/>
      <c r="BH9479" s="7"/>
      <c r="BQ9479" s="7"/>
      <c r="BZ9479" s="7"/>
    </row>
    <row r="9480" spans="2:78">
      <c r="B9480" s="7"/>
      <c r="O9480" s="7"/>
      <c r="X9480" s="7"/>
      <c r="AG9480" s="7"/>
      <c r="AP9480" s="7"/>
      <c r="AY9480" s="7"/>
      <c r="BH9480" s="7"/>
      <c r="BQ9480" s="7"/>
      <c r="BZ9480" s="7"/>
    </row>
    <row r="9481" spans="2:78">
      <c r="B9481" s="7"/>
      <c r="O9481" s="7"/>
      <c r="X9481" s="7"/>
      <c r="AG9481" s="7"/>
      <c r="AP9481" s="7"/>
      <c r="AY9481" s="7"/>
      <c r="BH9481" s="7"/>
      <c r="BQ9481" s="7"/>
      <c r="BZ9481" s="7"/>
    </row>
    <row r="9482" spans="2:78">
      <c r="B9482" s="7"/>
      <c r="O9482" s="7"/>
      <c r="X9482" s="7"/>
      <c r="AG9482" s="7"/>
      <c r="AP9482" s="7"/>
      <c r="AY9482" s="7"/>
      <c r="BH9482" s="7"/>
      <c r="BQ9482" s="7"/>
      <c r="BZ9482" s="7"/>
    </row>
    <row r="9483" spans="2:78">
      <c r="B9483" s="7"/>
      <c r="O9483" s="7"/>
      <c r="X9483" s="7"/>
      <c r="AG9483" s="7"/>
      <c r="AP9483" s="7"/>
      <c r="AY9483" s="7"/>
      <c r="BH9483" s="7"/>
      <c r="BQ9483" s="7"/>
      <c r="BZ9483" s="7"/>
    </row>
    <row r="9484" spans="2:78">
      <c r="B9484" s="7"/>
      <c r="O9484" s="7"/>
      <c r="X9484" s="7"/>
      <c r="AG9484" s="7"/>
      <c r="AP9484" s="7"/>
      <c r="AY9484" s="7"/>
      <c r="BH9484" s="7"/>
      <c r="BQ9484" s="7"/>
      <c r="BZ9484" s="7"/>
    </row>
    <row r="9485" spans="2:78">
      <c r="B9485" s="7"/>
      <c r="O9485" s="7"/>
      <c r="X9485" s="7"/>
      <c r="AG9485" s="7"/>
      <c r="AP9485" s="7"/>
      <c r="AY9485" s="7"/>
      <c r="BH9485" s="7"/>
      <c r="BQ9485" s="7"/>
      <c r="BZ9485" s="7"/>
    </row>
    <row r="9486" spans="2:78">
      <c r="B9486" s="7"/>
      <c r="O9486" s="7"/>
      <c r="X9486" s="7"/>
      <c r="AG9486" s="7"/>
      <c r="AP9486" s="7"/>
      <c r="AY9486" s="7"/>
      <c r="BH9486" s="7"/>
      <c r="BQ9486" s="7"/>
      <c r="BZ9486" s="7"/>
    </row>
    <row r="9487" spans="2:78">
      <c r="B9487" s="7"/>
      <c r="O9487" s="7"/>
      <c r="X9487" s="7"/>
      <c r="AG9487" s="7"/>
      <c r="AP9487" s="7"/>
      <c r="AY9487" s="7"/>
      <c r="BH9487" s="7"/>
      <c r="BQ9487" s="7"/>
      <c r="BZ9487" s="7"/>
    </row>
    <row r="9488" spans="2:78">
      <c r="B9488" s="7"/>
      <c r="O9488" s="7"/>
      <c r="X9488" s="7"/>
      <c r="AG9488" s="7"/>
      <c r="AP9488" s="7"/>
      <c r="AY9488" s="7"/>
      <c r="BH9488" s="7"/>
      <c r="BQ9488" s="7"/>
      <c r="BZ9488" s="7"/>
    </row>
    <row r="9489" spans="2:78">
      <c r="B9489" s="7"/>
      <c r="O9489" s="7"/>
      <c r="X9489" s="7"/>
      <c r="AG9489" s="7"/>
      <c r="AP9489" s="7"/>
      <c r="AY9489" s="7"/>
      <c r="BH9489" s="7"/>
      <c r="BQ9489" s="7"/>
      <c r="BZ9489" s="7"/>
    </row>
    <row r="9490" spans="2:78">
      <c r="B9490" s="7"/>
      <c r="O9490" s="7"/>
      <c r="X9490" s="7"/>
      <c r="AG9490" s="7"/>
      <c r="AP9490" s="7"/>
      <c r="AY9490" s="7"/>
      <c r="BH9490" s="7"/>
      <c r="BQ9490" s="7"/>
      <c r="BZ9490" s="7"/>
    </row>
    <row r="9491" spans="2:78">
      <c r="B9491" s="7"/>
      <c r="O9491" s="7"/>
      <c r="X9491" s="7"/>
      <c r="AG9491" s="7"/>
      <c r="AP9491" s="7"/>
      <c r="AY9491" s="7"/>
      <c r="BH9491" s="7"/>
      <c r="BQ9491" s="7"/>
      <c r="BZ9491" s="7"/>
    </row>
    <row r="9492" spans="2:78">
      <c r="B9492" s="7"/>
      <c r="O9492" s="7"/>
      <c r="X9492" s="7"/>
      <c r="AG9492" s="7"/>
      <c r="AP9492" s="7"/>
      <c r="AY9492" s="7"/>
      <c r="BH9492" s="7"/>
      <c r="BQ9492" s="7"/>
      <c r="BZ9492" s="7"/>
    </row>
    <row r="9493" spans="2:78">
      <c r="B9493" s="7"/>
      <c r="O9493" s="7"/>
      <c r="X9493" s="7"/>
      <c r="AG9493" s="7"/>
      <c r="AP9493" s="7"/>
      <c r="AY9493" s="7"/>
      <c r="BH9493" s="7"/>
      <c r="BQ9493" s="7"/>
      <c r="BZ9493" s="7"/>
    </row>
    <row r="9494" spans="2:78">
      <c r="B9494" s="7"/>
      <c r="O9494" s="7"/>
      <c r="X9494" s="7"/>
      <c r="AG9494" s="7"/>
      <c r="AP9494" s="7"/>
      <c r="AY9494" s="7"/>
      <c r="BH9494" s="7"/>
      <c r="BQ9494" s="7"/>
      <c r="BZ9494" s="7"/>
    </row>
    <row r="9495" spans="2:78">
      <c r="B9495" s="7"/>
      <c r="O9495" s="7"/>
      <c r="X9495" s="7"/>
      <c r="AG9495" s="7"/>
      <c r="AP9495" s="7"/>
      <c r="AY9495" s="7"/>
      <c r="BH9495" s="7"/>
      <c r="BQ9495" s="7"/>
      <c r="BZ9495" s="7"/>
    </row>
    <row r="9496" spans="2:78">
      <c r="B9496" s="7"/>
      <c r="O9496" s="7"/>
      <c r="X9496" s="7"/>
      <c r="AG9496" s="7"/>
      <c r="AP9496" s="7"/>
      <c r="AY9496" s="7"/>
      <c r="BH9496" s="7"/>
      <c r="BQ9496" s="7"/>
      <c r="BZ9496" s="7"/>
    </row>
    <row r="9497" spans="2:78">
      <c r="B9497" s="7"/>
      <c r="O9497" s="7"/>
      <c r="X9497" s="7"/>
      <c r="AG9497" s="7"/>
      <c r="AP9497" s="7"/>
      <c r="AY9497" s="7"/>
      <c r="BH9497" s="7"/>
      <c r="BQ9497" s="7"/>
      <c r="BZ9497" s="7"/>
    </row>
    <row r="9498" spans="2:78">
      <c r="B9498" s="7"/>
      <c r="O9498" s="7"/>
      <c r="X9498" s="7"/>
      <c r="AG9498" s="7"/>
      <c r="AP9498" s="7"/>
      <c r="AY9498" s="7"/>
      <c r="BH9498" s="7"/>
      <c r="BQ9498" s="7"/>
      <c r="BZ9498" s="7"/>
    </row>
    <row r="9499" spans="2:78">
      <c r="B9499" s="7"/>
      <c r="O9499" s="7"/>
      <c r="X9499" s="7"/>
      <c r="AG9499" s="7"/>
      <c r="AP9499" s="7"/>
      <c r="AY9499" s="7"/>
      <c r="BH9499" s="7"/>
      <c r="BQ9499" s="7"/>
      <c r="BZ9499" s="7"/>
    </row>
    <row r="9500" spans="2:78">
      <c r="B9500" s="7"/>
      <c r="O9500" s="7"/>
      <c r="X9500" s="7"/>
      <c r="AG9500" s="7"/>
      <c r="AP9500" s="7"/>
      <c r="AY9500" s="7"/>
      <c r="BH9500" s="7"/>
      <c r="BQ9500" s="7"/>
      <c r="BZ9500" s="7"/>
    </row>
    <row r="9501" spans="2:78">
      <c r="B9501" s="7"/>
      <c r="O9501" s="7"/>
      <c r="X9501" s="7"/>
      <c r="AG9501" s="7"/>
      <c r="AP9501" s="7"/>
      <c r="AY9501" s="7"/>
      <c r="BH9501" s="7"/>
      <c r="BQ9501" s="7"/>
      <c r="BZ9501" s="7"/>
    </row>
    <row r="9502" spans="2:78">
      <c r="B9502" s="7"/>
      <c r="O9502" s="7"/>
      <c r="X9502" s="7"/>
      <c r="AG9502" s="7"/>
      <c r="AP9502" s="7"/>
      <c r="AY9502" s="7"/>
      <c r="BH9502" s="7"/>
      <c r="BQ9502" s="7"/>
      <c r="BZ9502" s="7"/>
    </row>
    <row r="9503" spans="2:78">
      <c r="B9503" s="7"/>
      <c r="O9503" s="7"/>
      <c r="X9503" s="7"/>
      <c r="AG9503" s="7"/>
      <c r="AP9503" s="7"/>
      <c r="AY9503" s="7"/>
      <c r="BH9503" s="7"/>
      <c r="BQ9503" s="7"/>
      <c r="BZ9503" s="7"/>
    </row>
    <row r="9504" spans="2:78">
      <c r="B9504" s="7"/>
      <c r="O9504" s="7"/>
      <c r="X9504" s="7"/>
      <c r="AG9504" s="7"/>
      <c r="AP9504" s="7"/>
      <c r="AY9504" s="7"/>
      <c r="BH9504" s="7"/>
      <c r="BQ9504" s="7"/>
      <c r="BZ9504" s="7"/>
    </row>
    <row r="9505" spans="2:78">
      <c r="B9505" s="7"/>
      <c r="O9505" s="7"/>
      <c r="X9505" s="7"/>
      <c r="AG9505" s="7"/>
      <c r="AP9505" s="7"/>
      <c r="AY9505" s="7"/>
      <c r="BH9505" s="7"/>
      <c r="BQ9505" s="7"/>
      <c r="BZ9505" s="7"/>
    </row>
    <row r="9506" spans="2:78">
      <c r="B9506" s="7"/>
      <c r="O9506" s="7"/>
      <c r="X9506" s="7"/>
      <c r="AG9506" s="7"/>
      <c r="AP9506" s="7"/>
      <c r="AY9506" s="7"/>
      <c r="BH9506" s="7"/>
      <c r="BQ9506" s="7"/>
      <c r="BZ9506" s="7"/>
    </row>
    <row r="9507" spans="2:78">
      <c r="B9507" s="7"/>
      <c r="O9507" s="7"/>
      <c r="X9507" s="7"/>
      <c r="AG9507" s="7"/>
      <c r="AP9507" s="7"/>
      <c r="AY9507" s="7"/>
      <c r="BH9507" s="7"/>
      <c r="BQ9507" s="7"/>
      <c r="BZ9507" s="7"/>
    </row>
    <row r="9508" spans="2:78">
      <c r="B9508" s="7"/>
      <c r="O9508" s="7"/>
      <c r="X9508" s="7"/>
      <c r="AG9508" s="7"/>
      <c r="AP9508" s="7"/>
      <c r="AY9508" s="7"/>
      <c r="BH9508" s="7"/>
      <c r="BQ9508" s="7"/>
      <c r="BZ9508" s="7"/>
    </row>
    <row r="9509" spans="2:78">
      <c r="B9509" s="7"/>
      <c r="O9509" s="7"/>
      <c r="X9509" s="7"/>
      <c r="AG9509" s="7"/>
      <c r="AP9509" s="7"/>
      <c r="AY9509" s="7"/>
      <c r="BH9509" s="7"/>
      <c r="BQ9509" s="7"/>
      <c r="BZ9509" s="7"/>
    </row>
    <row r="9510" spans="2:78">
      <c r="B9510" s="7"/>
      <c r="O9510" s="7"/>
      <c r="X9510" s="7"/>
      <c r="AG9510" s="7"/>
      <c r="AP9510" s="7"/>
      <c r="AY9510" s="7"/>
      <c r="BH9510" s="7"/>
      <c r="BQ9510" s="7"/>
      <c r="BZ9510" s="7"/>
    </row>
    <row r="9511" spans="2:78">
      <c r="B9511" s="7"/>
      <c r="O9511" s="7"/>
      <c r="X9511" s="7"/>
      <c r="AG9511" s="7"/>
      <c r="AP9511" s="7"/>
      <c r="AY9511" s="7"/>
      <c r="BH9511" s="7"/>
      <c r="BQ9511" s="7"/>
      <c r="BZ9511" s="7"/>
    </row>
    <row r="9512" spans="2:78">
      <c r="B9512" s="7"/>
      <c r="O9512" s="7"/>
      <c r="X9512" s="7"/>
      <c r="AG9512" s="7"/>
      <c r="AP9512" s="7"/>
      <c r="AY9512" s="7"/>
      <c r="BH9512" s="7"/>
      <c r="BQ9512" s="7"/>
      <c r="BZ9512" s="7"/>
    </row>
    <row r="9513" spans="2:78">
      <c r="B9513" s="7"/>
      <c r="O9513" s="7"/>
      <c r="X9513" s="7"/>
      <c r="AG9513" s="7"/>
      <c r="AP9513" s="7"/>
      <c r="AY9513" s="7"/>
      <c r="BH9513" s="7"/>
      <c r="BQ9513" s="7"/>
      <c r="BZ9513" s="7"/>
    </row>
    <row r="9514" spans="2:78">
      <c r="B9514" s="7"/>
      <c r="O9514" s="7"/>
      <c r="X9514" s="7"/>
      <c r="AG9514" s="7"/>
      <c r="AP9514" s="7"/>
      <c r="AY9514" s="7"/>
      <c r="BH9514" s="7"/>
      <c r="BQ9514" s="7"/>
      <c r="BZ9514" s="7"/>
    </row>
    <row r="9515" spans="2:78">
      <c r="B9515" s="7"/>
      <c r="O9515" s="7"/>
      <c r="X9515" s="7"/>
      <c r="AG9515" s="7"/>
      <c r="AP9515" s="7"/>
      <c r="AY9515" s="7"/>
      <c r="BH9515" s="7"/>
      <c r="BQ9515" s="7"/>
      <c r="BZ9515" s="7"/>
    </row>
    <row r="9516" spans="2:78">
      <c r="B9516" s="7"/>
      <c r="O9516" s="7"/>
      <c r="X9516" s="7"/>
      <c r="AG9516" s="7"/>
      <c r="AP9516" s="7"/>
      <c r="AY9516" s="7"/>
      <c r="BH9516" s="7"/>
      <c r="BQ9516" s="7"/>
      <c r="BZ9516" s="7"/>
    </row>
    <row r="9517" spans="2:78">
      <c r="B9517" s="7"/>
      <c r="O9517" s="7"/>
      <c r="X9517" s="7"/>
      <c r="AG9517" s="7"/>
      <c r="AP9517" s="7"/>
      <c r="AY9517" s="7"/>
      <c r="BH9517" s="7"/>
      <c r="BQ9517" s="7"/>
      <c r="BZ9517" s="7"/>
    </row>
    <row r="9518" spans="2:78">
      <c r="B9518" s="7"/>
      <c r="O9518" s="7"/>
      <c r="X9518" s="7"/>
      <c r="AG9518" s="7"/>
      <c r="AP9518" s="7"/>
      <c r="AY9518" s="7"/>
      <c r="BH9518" s="7"/>
      <c r="BQ9518" s="7"/>
      <c r="BZ9518" s="7"/>
    </row>
    <row r="9519" spans="2:78">
      <c r="B9519" s="7"/>
      <c r="O9519" s="7"/>
      <c r="X9519" s="7"/>
      <c r="AG9519" s="7"/>
      <c r="AP9519" s="7"/>
      <c r="AY9519" s="7"/>
      <c r="BH9519" s="7"/>
      <c r="BQ9519" s="7"/>
      <c r="BZ9519" s="7"/>
    </row>
    <row r="9520" spans="2:78">
      <c r="B9520" s="7"/>
      <c r="O9520" s="7"/>
      <c r="X9520" s="7"/>
      <c r="AG9520" s="7"/>
      <c r="AP9520" s="7"/>
      <c r="AY9520" s="7"/>
      <c r="BH9520" s="7"/>
      <c r="BQ9520" s="7"/>
      <c r="BZ9520" s="7"/>
    </row>
    <row r="9521" spans="2:78">
      <c r="B9521" s="7"/>
      <c r="O9521" s="7"/>
      <c r="X9521" s="7"/>
      <c r="AG9521" s="7"/>
      <c r="AP9521" s="7"/>
      <c r="AY9521" s="7"/>
      <c r="BH9521" s="7"/>
      <c r="BQ9521" s="7"/>
      <c r="BZ9521" s="7"/>
    </row>
    <row r="9522" spans="2:78">
      <c r="B9522" s="7"/>
      <c r="O9522" s="7"/>
      <c r="X9522" s="7"/>
      <c r="AG9522" s="7"/>
      <c r="AP9522" s="7"/>
      <c r="AY9522" s="7"/>
      <c r="BH9522" s="7"/>
      <c r="BQ9522" s="7"/>
      <c r="BZ9522" s="7"/>
    </row>
    <row r="9523" spans="2:78">
      <c r="B9523" s="7"/>
      <c r="O9523" s="7"/>
      <c r="X9523" s="7"/>
      <c r="AG9523" s="7"/>
      <c r="AP9523" s="7"/>
      <c r="AY9523" s="7"/>
      <c r="BH9523" s="7"/>
      <c r="BQ9523" s="7"/>
      <c r="BZ9523" s="7"/>
    </row>
    <row r="9524" spans="2:78">
      <c r="B9524" s="7"/>
      <c r="O9524" s="7"/>
      <c r="X9524" s="7"/>
      <c r="AG9524" s="7"/>
      <c r="AP9524" s="7"/>
      <c r="AY9524" s="7"/>
      <c r="BH9524" s="7"/>
      <c r="BQ9524" s="7"/>
      <c r="BZ9524" s="7"/>
    </row>
    <row r="9525" spans="2:78">
      <c r="B9525" s="7"/>
      <c r="O9525" s="7"/>
      <c r="X9525" s="7"/>
      <c r="AG9525" s="7"/>
      <c r="AP9525" s="7"/>
      <c r="AY9525" s="7"/>
      <c r="BH9525" s="7"/>
      <c r="BQ9525" s="7"/>
      <c r="BZ9525" s="7"/>
    </row>
    <row r="9526" spans="2:78">
      <c r="B9526" s="7"/>
      <c r="O9526" s="7"/>
      <c r="X9526" s="7"/>
      <c r="AG9526" s="7"/>
      <c r="AP9526" s="7"/>
      <c r="AY9526" s="7"/>
      <c r="BH9526" s="7"/>
      <c r="BQ9526" s="7"/>
      <c r="BZ9526" s="7"/>
    </row>
    <row r="9527" spans="2:78">
      <c r="B9527" s="7"/>
      <c r="O9527" s="7"/>
      <c r="X9527" s="7"/>
      <c r="AG9527" s="7"/>
      <c r="AP9527" s="7"/>
      <c r="AY9527" s="7"/>
      <c r="BH9527" s="7"/>
      <c r="BQ9527" s="7"/>
      <c r="BZ9527" s="7"/>
    </row>
    <row r="9528" spans="2:78">
      <c r="B9528" s="7"/>
      <c r="O9528" s="7"/>
      <c r="X9528" s="7"/>
      <c r="AG9528" s="7"/>
      <c r="AP9528" s="7"/>
      <c r="AY9528" s="7"/>
      <c r="BH9528" s="7"/>
      <c r="BQ9528" s="7"/>
      <c r="BZ9528" s="7"/>
    </row>
    <row r="9529" spans="2:78">
      <c r="B9529" s="7"/>
      <c r="O9529" s="7"/>
      <c r="X9529" s="7"/>
      <c r="AG9529" s="7"/>
      <c r="AP9529" s="7"/>
      <c r="AY9529" s="7"/>
      <c r="BH9529" s="7"/>
      <c r="BQ9529" s="7"/>
      <c r="BZ9529" s="7"/>
    </row>
    <row r="9530" spans="2:78">
      <c r="B9530" s="7"/>
      <c r="O9530" s="7"/>
      <c r="X9530" s="7"/>
      <c r="AG9530" s="7"/>
      <c r="AP9530" s="7"/>
      <c r="AY9530" s="7"/>
      <c r="BH9530" s="7"/>
      <c r="BQ9530" s="7"/>
      <c r="BZ9530" s="7"/>
    </row>
    <row r="9531" spans="2:78">
      <c r="B9531" s="7"/>
      <c r="O9531" s="7"/>
      <c r="X9531" s="7"/>
      <c r="AG9531" s="7"/>
      <c r="AP9531" s="7"/>
      <c r="AY9531" s="7"/>
      <c r="BH9531" s="7"/>
      <c r="BQ9531" s="7"/>
      <c r="BZ9531" s="7"/>
    </row>
    <row r="9532" spans="2:78">
      <c r="B9532" s="7"/>
      <c r="O9532" s="7"/>
      <c r="X9532" s="7"/>
      <c r="AG9532" s="7"/>
      <c r="AP9532" s="7"/>
      <c r="AY9532" s="7"/>
      <c r="BH9532" s="7"/>
      <c r="BQ9532" s="7"/>
      <c r="BZ9532" s="7"/>
    </row>
    <row r="9533" spans="2:78">
      <c r="B9533" s="7"/>
      <c r="O9533" s="7"/>
      <c r="X9533" s="7"/>
      <c r="AG9533" s="7"/>
      <c r="AP9533" s="7"/>
      <c r="AY9533" s="7"/>
      <c r="BH9533" s="7"/>
      <c r="BQ9533" s="7"/>
      <c r="BZ9533" s="7"/>
    </row>
    <row r="9534" spans="2:78">
      <c r="B9534" s="7"/>
      <c r="O9534" s="7"/>
      <c r="X9534" s="7"/>
      <c r="AG9534" s="7"/>
      <c r="AP9534" s="7"/>
      <c r="AY9534" s="7"/>
      <c r="BH9534" s="7"/>
      <c r="BQ9534" s="7"/>
      <c r="BZ9534" s="7"/>
    </row>
    <row r="9535" spans="2:78">
      <c r="B9535" s="7"/>
      <c r="O9535" s="7"/>
      <c r="X9535" s="7"/>
      <c r="AG9535" s="7"/>
      <c r="AP9535" s="7"/>
      <c r="AY9535" s="7"/>
      <c r="BH9535" s="7"/>
      <c r="BQ9535" s="7"/>
      <c r="BZ9535" s="7"/>
    </row>
    <row r="9536" spans="2:78">
      <c r="B9536" s="7"/>
      <c r="O9536" s="7"/>
      <c r="X9536" s="7"/>
      <c r="AG9536" s="7"/>
      <c r="AP9536" s="7"/>
      <c r="AY9536" s="7"/>
      <c r="BH9536" s="7"/>
      <c r="BQ9536" s="7"/>
      <c r="BZ9536" s="7"/>
    </row>
    <row r="9537" spans="2:78">
      <c r="B9537" s="7"/>
      <c r="O9537" s="7"/>
      <c r="X9537" s="7"/>
      <c r="AG9537" s="7"/>
      <c r="AP9537" s="7"/>
      <c r="AY9537" s="7"/>
      <c r="BH9537" s="7"/>
      <c r="BQ9537" s="7"/>
      <c r="BZ9537" s="7"/>
    </row>
    <row r="9538" spans="2:78">
      <c r="B9538" s="7"/>
      <c r="O9538" s="7"/>
      <c r="X9538" s="7"/>
      <c r="AG9538" s="7"/>
      <c r="AP9538" s="7"/>
      <c r="AY9538" s="7"/>
      <c r="BH9538" s="7"/>
      <c r="BQ9538" s="7"/>
      <c r="BZ9538" s="7"/>
    </row>
    <row r="9539" spans="2:78">
      <c r="B9539" s="7"/>
      <c r="O9539" s="7"/>
      <c r="X9539" s="7"/>
      <c r="AG9539" s="7"/>
      <c r="AP9539" s="7"/>
      <c r="AY9539" s="7"/>
      <c r="BH9539" s="7"/>
      <c r="BQ9539" s="7"/>
      <c r="BZ9539" s="7"/>
    </row>
    <row r="9540" spans="2:78">
      <c r="B9540" s="7"/>
      <c r="O9540" s="7"/>
      <c r="X9540" s="7"/>
      <c r="AG9540" s="7"/>
      <c r="AP9540" s="7"/>
      <c r="AY9540" s="7"/>
      <c r="BH9540" s="7"/>
      <c r="BQ9540" s="7"/>
      <c r="BZ9540" s="7"/>
    </row>
    <row r="9541" spans="2:78">
      <c r="B9541" s="7"/>
      <c r="O9541" s="7"/>
      <c r="X9541" s="7"/>
      <c r="AG9541" s="7"/>
      <c r="AP9541" s="7"/>
      <c r="AY9541" s="7"/>
      <c r="BH9541" s="7"/>
      <c r="BQ9541" s="7"/>
      <c r="BZ9541" s="7"/>
    </row>
    <row r="9542" spans="2:78">
      <c r="B9542" s="7"/>
      <c r="O9542" s="7"/>
      <c r="X9542" s="7"/>
      <c r="AG9542" s="7"/>
      <c r="AP9542" s="7"/>
      <c r="AY9542" s="7"/>
      <c r="BH9542" s="7"/>
      <c r="BQ9542" s="7"/>
      <c r="BZ9542" s="7"/>
    </row>
    <row r="9543" spans="2:78">
      <c r="B9543" s="7"/>
      <c r="O9543" s="7"/>
      <c r="X9543" s="7"/>
      <c r="AG9543" s="7"/>
      <c r="AP9543" s="7"/>
      <c r="AY9543" s="7"/>
      <c r="BH9543" s="7"/>
      <c r="BQ9543" s="7"/>
      <c r="BZ9543" s="7"/>
    </row>
    <row r="9544" spans="2:78">
      <c r="B9544" s="7"/>
      <c r="O9544" s="7"/>
      <c r="X9544" s="7"/>
      <c r="AG9544" s="7"/>
      <c r="AP9544" s="7"/>
      <c r="AY9544" s="7"/>
      <c r="BH9544" s="7"/>
      <c r="BQ9544" s="7"/>
      <c r="BZ9544" s="7"/>
    </row>
    <row r="9545" spans="2:78">
      <c r="B9545" s="7"/>
      <c r="O9545" s="7"/>
      <c r="X9545" s="7"/>
      <c r="AG9545" s="7"/>
      <c r="AP9545" s="7"/>
      <c r="AY9545" s="7"/>
      <c r="BH9545" s="7"/>
      <c r="BQ9545" s="7"/>
      <c r="BZ9545" s="7"/>
    </row>
    <row r="9546" spans="2:78">
      <c r="B9546" s="7"/>
      <c r="O9546" s="7"/>
      <c r="X9546" s="7"/>
      <c r="AG9546" s="7"/>
      <c r="AP9546" s="7"/>
      <c r="AY9546" s="7"/>
      <c r="BH9546" s="7"/>
      <c r="BQ9546" s="7"/>
      <c r="BZ9546" s="7"/>
    </row>
    <row r="9547" spans="2:78">
      <c r="B9547" s="7"/>
      <c r="O9547" s="7"/>
      <c r="X9547" s="7"/>
      <c r="AG9547" s="7"/>
      <c r="AP9547" s="7"/>
      <c r="AY9547" s="7"/>
      <c r="BH9547" s="7"/>
      <c r="BQ9547" s="7"/>
      <c r="BZ9547" s="7"/>
    </row>
    <row r="9548" spans="2:78">
      <c r="B9548" s="7"/>
      <c r="O9548" s="7"/>
      <c r="X9548" s="7"/>
      <c r="AG9548" s="7"/>
      <c r="AP9548" s="7"/>
      <c r="AY9548" s="7"/>
      <c r="BH9548" s="7"/>
      <c r="BQ9548" s="7"/>
      <c r="BZ9548" s="7"/>
    </row>
    <row r="9549" spans="2:78">
      <c r="B9549" s="7"/>
      <c r="O9549" s="7"/>
      <c r="X9549" s="7"/>
      <c r="AG9549" s="7"/>
      <c r="AP9549" s="7"/>
      <c r="AY9549" s="7"/>
      <c r="BH9549" s="7"/>
      <c r="BQ9549" s="7"/>
      <c r="BZ9549" s="7"/>
    </row>
    <row r="9550" spans="2:78">
      <c r="B9550" s="7"/>
      <c r="O9550" s="7"/>
      <c r="X9550" s="7"/>
      <c r="AG9550" s="7"/>
      <c r="AP9550" s="7"/>
      <c r="AY9550" s="7"/>
      <c r="BH9550" s="7"/>
      <c r="BQ9550" s="7"/>
      <c r="BZ9550" s="7"/>
    </row>
    <row r="9551" spans="2:78">
      <c r="B9551" s="7"/>
      <c r="O9551" s="7"/>
      <c r="X9551" s="7"/>
      <c r="AG9551" s="7"/>
      <c r="AP9551" s="7"/>
      <c r="AY9551" s="7"/>
      <c r="BH9551" s="7"/>
      <c r="BQ9551" s="7"/>
      <c r="BZ9551" s="7"/>
    </row>
    <row r="9552" spans="2:78">
      <c r="B9552" s="7"/>
      <c r="O9552" s="7"/>
      <c r="X9552" s="7"/>
      <c r="AG9552" s="7"/>
      <c r="AP9552" s="7"/>
      <c r="AY9552" s="7"/>
      <c r="BH9552" s="7"/>
      <c r="BQ9552" s="7"/>
      <c r="BZ9552" s="7"/>
    </row>
    <row r="9553" spans="2:78">
      <c r="B9553" s="7"/>
      <c r="O9553" s="7"/>
      <c r="X9553" s="7"/>
      <c r="AG9553" s="7"/>
      <c r="AP9553" s="7"/>
      <c r="AY9553" s="7"/>
      <c r="BH9553" s="7"/>
      <c r="BQ9553" s="7"/>
      <c r="BZ9553" s="7"/>
    </row>
    <row r="9554" spans="2:78">
      <c r="B9554" s="7"/>
      <c r="O9554" s="7"/>
      <c r="X9554" s="7"/>
      <c r="AG9554" s="7"/>
      <c r="AP9554" s="7"/>
      <c r="AY9554" s="7"/>
      <c r="BH9554" s="7"/>
      <c r="BQ9554" s="7"/>
      <c r="BZ9554" s="7"/>
    </row>
    <row r="9555" spans="2:78">
      <c r="B9555" s="7"/>
      <c r="O9555" s="7"/>
      <c r="X9555" s="7"/>
      <c r="AG9555" s="7"/>
      <c r="AP9555" s="7"/>
      <c r="AY9555" s="7"/>
      <c r="BH9555" s="7"/>
      <c r="BQ9555" s="7"/>
      <c r="BZ9555" s="7"/>
    </row>
    <row r="9556" spans="2:78">
      <c r="B9556" s="7"/>
      <c r="O9556" s="7"/>
      <c r="X9556" s="7"/>
      <c r="AG9556" s="7"/>
      <c r="AP9556" s="7"/>
      <c r="AY9556" s="7"/>
      <c r="BH9556" s="7"/>
      <c r="BQ9556" s="7"/>
      <c r="BZ9556" s="7"/>
    </row>
    <row r="9557" spans="2:78">
      <c r="B9557" s="7"/>
      <c r="O9557" s="7"/>
      <c r="X9557" s="7"/>
      <c r="AG9557" s="7"/>
      <c r="AP9557" s="7"/>
      <c r="AY9557" s="7"/>
      <c r="BH9557" s="7"/>
      <c r="BQ9557" s="7"/>
      <c r="BZ9557" s="7"/>
    </row>
    <row r="9558" spans="2:78">
      <c r="B9558" s="7"/>
      <c r="O9558" s="7"/>
      <c r="X9558" s="7"/>
      <c r="AG9558" s="7"/>
      <c r="AP9558" s="7"/>
      <c r="AY9558" s="7"/>
      <c r="BH9558" s="7"/>
      <c r="BQ9558" s="7"/>
      <c r="BZ9558" s="7"/>
    </row>
    <row r="9559" spans="2:78">
      <c r="B9559" s="7"/>
      <c r="O9559" s="7"/>
      <c r="X9559" s="7"/>
      <c r="AG9559" s="7"/>
      <c r="AP9559" s="7"/>
      <c r="AY9559" s="7"/>
      <c r="BH9559" s="7"/>
      <c r="BQ9559" s="7"/>
      <c r="BZ9559" s="7"/>
    </row>
    <row r="9560" spans="2:78">
      <c r="B9560" s="7"/>
      <c r="O9560" s="7"/>
      <c r="X9560" s="7"/>
      <c r="AG9560" s="7"/>
      <c r="AP9560" s="7"/>
      <c r="AY9560" s="7"/>
      <c r="BH9560" s="7"/>
      <c r="BQ9560" s="7"/>
      <c r="BZ9560" s="7"/>
    </row>
    <row r="9561" spans="2:78">
      <c r="B9561" s="7"/>
      <c r="O9561" s="7"/>
      <c r="X9561" s="7"/>
      <c r="AG9561" s="7"/>
      <c r="AP9561" s="7"/>
      <c r="AY9561" s="7"/>
      <c r="BH9561" s="7"/>
      <c r="BQ9561" s="7"/>
      <c r="BZ9561" s="7"/>
    </row>
    <row r="9562" spans="2:78">
      <c r="B9562" s="7"/>
      <c r="O9562" s="7"/>
      <c r="X9562" s="7"/>
      <c r="AG9562" s="7"/>
      <c r="AP9562" s="7"/>
      <c r="AY9562" s="7"/>
      <c r="BH9562" s="7"/>
      <c r="BQ9562" s="7"/>
      <c r="BZ9562" s="7"/>
    </row>
    <row r="9563" spans="2:78">
      <c r="B9563" s="7"/>
      <c r="O9563" s="7"/>
      <c r="X9563" s="7"/>
      <c r="AG9563" s="7"/>
      <c r="AP9563" s="7"/>
      <c r="AY9563" s="7"/>
      <c r="BH9563" s="7"/>
      <c r="BQ9563" s="7"/>
      <c r="BZ9563" s="7"/>
    </row>
    <row r="9564" spans="2:78">
      <c r="B9564" s="7"/>
      <c r="O9564" s="7"/>
      <c r="X9564" s="7"/>
      <c r="AG9564" s="7"/>
      <c r="AP9564" s="7"/>
      <c r="AY9564" s="7"/>
      <c r="BH9564" s="7"/>
      <c r="BQ9564" s="7"/>
      <c r="BZ9564" s="7"/>
    </row>
    <row r="9565" spans="2:78">
      <c r="B9565" s="7"/>
      <c r="O9565" s="7"/>
      <c r="X9565" s="7"/>
      <c r="AG9565" s="7"/>
      <c r="AP9565" s="7"/>
      <c r="AY9565" s="7"/>
      <c r="BH9565" s="7"/>
      <c r="BQ9565" s="7"/>
      <c r="BZ9565" s="7"/>
    </row>
    <row r="9566" spans="2:78">
      <c r="B9566" s="7"/>
      <c r="O9566" s="7"/>
      <c r="X9566" s="7"/>
      <c r="AG9566" s="7"/>
      <c r="AP9566" s="7"/>
      <c r="AY9566" s="7"/>
      <c r="BH9566" s="7"/>
      <c r="BQ9566" s="7"/>
      <c r="BZ9566" s="7"/>
    </row>
    <row r="9567" spans="2:78">
      <c r="B9567" s="7"/>
      <c r="O9567" s="7"/>
      <c r="X9567" s="7"/>
      <c r="AG9567" s="7"/>
      <c r="AP9567" s="7"/>
      <c r="AY9567" s="7"/>
      <c r="BH9567" s="7"/>
      <c r="BQ9567" s="7"/>
      <c r="BZ9567" s="7"/>
    </row>
    <row r="9568" spans="2:78">
      <c r="B9568" s="7"/>
      <c r="O9568" s="7"/>
      <c r="X9568" s="7"/>
      <c r="AG9568" s="7"/>
      <c r="AP9568" s="7"/>
      <c r="AY9568" s="7"/>
      <c r="BH9568" s="7"/>
      <c r="BQ9568" s="7"/>
      <c r="BZ9568" s="7"/>
    </row>
    <row r="9569" spans="2:78">
      <c r="B9569" s="7"/>
      <c r="O9569" s="7"/>
      <c r="X9569" s="7"/>
      <c r="AG9569" s="7"/>
      <c r="AP9569" s="7"/>
      <c r="AY9569" s="7"/>
      <c r="BH9569" s="7"/>
      <c r="BQ9569" s="7"/>
      <c r="BZ9569" s="7"/>
    </row>
    <row r="9570" spans="2:78">
      <c r="B9570" s="7"/>
      <c r="O9570" s="7"/>
      <c r="X9570" s="7"/>
      <c r="AG9570" s="7"/>
      <c r="AP9570" s="7"/>
      <c r="AY9570" s="7"/>
      <c r="BH9570" s="7"/>
      <c r="BQ9570" s="7"/>
      <c r="BZ9570" s="7"/>
    </row>
    <row r="9571" spans="2:78">
      <c r="B9571" s="7"/>
      <c r="O9571" s="7"/>
      <c r="X9571" s="7"/>
      <c r="AG9571" s="7"/>
      <c r="AP9571" s="7"/>
      <c r="AY9571" s="7"/>
      <c r="BH9571" s="7"/>
      <c r="BQ9571" s="7"/>
      <c r="BZ9571" s="7"/>
    </row>
    <row r="9572" spans="2:78">
      <c r="B9572" s="7"/>
      <c r="O9572" s="7"/>
      <c r="X9572" s="7"/>
      <c r="AG9572" s="7"/>
      <c r="AP9572" s="7"/>
      <c r="AY9572" s="7"/>
      <c r="BH9572" s="7"/>
      <c r="BQ9572" s="7"/>
      <c r="BZ9572" s="7"/>
    </row>
    <row r="9573" spans="2:78">
      <c r="B9573" s="7"/>
      <c r="O9573" s="7"/>
      <c r="X9573" s="7"/>
      <c r="AG9573" s="7"/>
      <c r="AP9573" s="7"/>
      <c r="AY9573" s="7"/>
      <c r="BH9573" s="7"/>
      <c r="BQ9573" s="7"/>
      <c r="BZ9573" s="7"/>
    </row>
    <row r="9574" spans="2:78">
      <c r="B9574" s="7"/>
      <c r="O9574" s="7"/>
      <c r="X9574" s="7"/>
      <c r="AG9574" s="7"/>
      <c r="AP9574" s="7"/>
      <c r="AY9574" s="7"/>
      <c r="BH9574" s="7"/>
      <c r="BQ9574" s="7"/>
      <c r="BZ9574" s="7"/>
    </row>
    <row r="9575" spans="2:78">
      <c r="B9575" s="7"/>
      <c r="O9575" s="7"/>
      <c r="X9575" s="7"/>
      <c r="AG9575" s="7"/>
      <c r="AP9575" s="7"/>
      <c r="AY9575" s="7"/>
      <c r="BH9575" s="7"/>
      <c r="BQ9575" s="7"/>
      <c r="BZ9575" s="7"/>
    </row>
    <row r="9576" spans="2:78">
      <c r="B9576" s="7"/>
      <c r="O9576" s="7"/>
      <c r="X9576" s="7"/>
      <c r="AG9576" s="7"/>
      <c r="AP9576" s="7"/>
      <c r="AY9576" s="7"/>
      <c r="BH9576" s="7"/>
      <c r="BQ9576" s="7"/>
      <c r="BZ9576" s="7"/>
    </row>
    <row r="9577" spans="2:78">
      <c r="B9577" s="7"/>
      <c r="O9577" s="7"/>
      <c r="X9577" s="7"/>
      <c r="AG9577" s="7"/>
      <c r="AP9577" s="7"/>
      <c r="AY9577" s="7"/>
      <c r="BH9577" s="7"/>
      <c r="BQ9577" s="7"/>
      <c r="BZ9577" s="7"/>
    </row>
    <row r="9578" spans="2:78">
      <c r="B9578" s="7"/>
      <c r="O9578" s="7"/>
      <c r="X9578" s="7"/>
      <c r="AG9578" s="7"/>
      <c r="AP9578" s="7"/>
      <c r="AY9578" s="7"/>
      <c r="BH9578" s="7"/>
      <c r="BQ9578" s="7"/>
      <c r="BZ9578" s="7"/>
    </row>
    <row r="9579" spans="2:78">
      <c r="B9579" s="7"/>
      <c r="O9579" s="7"/>
      <c r="X9579" s="7"/>
      <c r="AG9579" s="7"/>
      <c r="AP9579" s="7"/>
      <c r="AY9579" s="7"/>
      <c r="BH9579" s="7"/>
      <c r="BQ9579" s="7"/>
      <c r="BZ9579" s="7"/>
    </row>
    <row r="9580" spans="2:78">
      <c r="B9580" s="7"/>
      <c r="O9580" s="7"/>
      <c r="X9580" s="7"/>
      <c r="AG9580" s="7"/>
      <c r="AP9580" s="7"/>
      <c r="AY9580" s="7"/>
      <c r="BH9580" s="7"/>
      <c r="BQ9580" s="7"/>
      <c r="BZ9580" s="7"/>
    </row>
    <row r="9581" spans="2:78">
      <c r="B9581" s="7"/>
      <c r="O9581" s="7"/>
      <c r="X9581" s="7"/>
      <c r="AG9581" s="7"/>
      <c r="AP9581" s="7"/>
      <c r="AY9581" s="7"/>
      <c r="BH9581" s="7"/>
      <c r="BQ9581" s="7"/>
      <c r="BZ9581" s="7"/>
    </row>
    <row r="9582" spans="2:78">
      <c r="B9582" s="7"/>
      <c r="O9582" s="7"/>
      <c r="X9582" s="7"/>
      <c r="AG9582" s="7"/>
      <c r="AP9582" s="7"/>
      <c r="AY9582" s="7"/>
      <c r="BH9582" s="7"/>
      <c r="BQ9582" s="7"/>
      <c r="BZ9582" s="7"/>
    </row>
    <row r="9583" spans="2:78">
      <c r="B9583" s="7"/>
      <c r="O9583" s="7"/>
      <c r="X9583" s="7"/>
      <c r="AG9583" s="7"/>
      <c r="AP9583" s="7"/>
      <c r="AY9583" s="7"/>
      <c r="BH9583" s="7"/>
      <c r="BQ9583" s="7"/>
      <c r="BZ9583" s="7"/>
    </row>
    <row r="9584" spans="2:78">
      <c r="B9584" s="7"/>
      <c r="O9584" s="7"/>
      <c r="X9584" s="7"/>
      <c r="AG9584" s="7"/>
      <c r="AP9584" s="7"/>
      <c r="AY9584" s="7"/>
      <c r="BH9584" s="7"/>
      <c r="BQ9584" s="7"/>
      <c r="BZ9584" s="7"/>
    </row>
    <row r="9585" spans="2:78">
      <c r="B9585" s="7"/>
      <c r="O9585" s="7"/>
      <c r="X9585" s="7"/>
      <c r="AG9585" s="7"/>
      <c r="AP9585" s="7"/>
      <c r="AY9585" s="7"/>
      <c r="BH9585" s="7"/>
      <c r="BQ9585" s="7"/>
      <c r="BZ9585" s="7"/>
    </row>
    <row r="9586" spans="2:78">
      <c r="B9586" s="7"/>
      <c r="O9586" s="7"/>
      <c r="X9586" s="7"/>
      <c r="AG9586" s="7"/>
      <c r="AP9586" s="7"/>
      <c r="AY9586" s="7"/>
      <c r="BH9586" s="7"/>
      <c r="BQ9586" s="7"/>
      <c r="BZ9586" s="7"/>
    </row>
    <row r="9587" spans="2:78">
      <c r="B9587" s="7"/>
      <c r="O9587" s="7"/>
      <c r="X9587" s="7"/>
      <c r="AG9587" s="7"/>
      <c r="AP9587" s="7"/>
      <c r="AY9587" s="7"/>
      <c r="BH9587" s="7"/>
      <c r="BQ9587" s="7"/>
      <c r="BZ9587" s="7"/>
    </row>
    <row r="9588" spans="2:78">
      <c r="B9588" s="7"/>
      <c r="O9588" s="7"/>
      <c r="X9588" s="7"/>
      <c r="AG9588" s="7"/>
      <c r="AP9588" s="7"/>
      <c r="AY9588" s="7"/>
      <c r="BH9588" s="7"/>
      <c r="BQ9588" s="7"/>
      <c r="BZ9588" s="7"/>
    </row>
    <row r="9589" spans="2:78">
      <c r="B9589" s="7"/>
      <c r="O9589" s="7"/>
      <c r="X9589" s="7"/>
      <c r="AG9589" s="7"/>
      <c r="AP9589" s="7"/>
      <c r="AY9589" s="7"/>
      <c r="BH9589" s="7"/>
      <c r="BQ9589" s="7"/>
      <c r="BZ9589" s="7"/>
    </row>
    <row r="9590" spans="2:78">
      <c r="B9590" s="7"/>
      <c r="O9590" s="7"/>
      <c r="X9590" s="7"/>
      <c r="AG9590" s="7"/>
      <c r="AP9590" s="7"/>
      <c r="AY9590" s="7"/>
      <c r="BH9590" s="7"/>
      <c r="BQ9590" s="7"/>
      <c r="BZ9590" s="7"/>
    </row>
    <row r="9591" spans="2:78">
      <c r="B9591" s="7"/>
      <c r="O9591" s="7"/>
      <c r="X9591" s="7"/>
      <c r="AG9591" s="7"/>
      <c r="AP9591" s="7"/>
      <c r="AY9591" s="7"/>
      <c r="BH9591" s="7"/>
      <c r="BQ9591" s="7"/>
      <c r="BZ9591" s="7"/>
    </row>
    <row r="9592" spans="2:78">
      <c r="B9592" s="7"/>
      <c r="O9592" s="7"/>
      <c r="X9592" s="7"/>
      <c r="AG9592" s="7"/>
      <c r="AP9592" s="7"/>
      <c r="AY9592" s="7"/>
      <c r="BH9592" s="7"/>
      <c r="BQ9592" s="7"/>
      <c r="BZ9592" s="7"/>
    </row>
    <row r="9593" spans="2:78">
      <c r="B9593" s="7"/>
      <c r="O9593" s="7"/>
      <c r="X9593" s="7"/>
      <c r="AG9593" s="7"/>
      <c r="AP9593" s="7"/>
      <c r="AY9593" s="7"/>
      <c r="BH9593" s="7"/>
      <c r="BQ9593" s="7"/>
      <c r="BZ9593" s="7"/>
    </row>
    <row r="9594" spans="2:78">
      <c r="B9594" s="7"/>
      <c r="O9594" s="7"/>
      <c r="X9594" s="7"/>
      <c r="AG9594" s="7"/>
      <c r="AP9594" s="7"/>
      <c r="AY9594" s="7"/>
      <c r="BH9594" s="7"/>
      <c r="BQ9594" s="7"/>
      <c r="BZ9594" s="7"/>
    </row>
    <row r="9595" spans="2:78">
      <c r="B9595" s="7"/>
      <c r="O9595" s="7"/>
      <c r="X9595" s="7"/>
      <c r="AG9595" s="7"/>
      <c r="AP9595" s="7"/>
      <c r="AY9595" s="7"/>
      <c r="BH9595" s="7"/>
      <c r="BQ9595" s="7"/>
      <c r="BZ9595" s="7"/>
    </row>
    <row r="9596" spans="2:78">
      <c r="B9596" s="7"/>
      <c r="O9596" s="7"/>
      <c r="X9596" s="7"/>
      <c r="AG9596" s="7"/>
      <c r="AP9596" s="7"/>
      <c r="AY9596" s="7"/>
      <c r="BH9596" s="7"/>
      <c r="BQ9596" s="7"/>
      <c r="BZ9596" s="7"/>
    </row>
    <row r="9597" spans="2:78">
      <c r="B9597" s="7"/>
      <c r="O9597" s="7"/>
      <c r="X9597" s="7"/>
      <c r="AG9597" s="7"/>
      <c r="AP9597" s="7"/>
      <c r="AY9597" s="7"/>
      <c r="BH9597" s="7"/>
      <c r="BQ9597" s="7"/>
      <c r="BZ9597" s="7"/>
    </row>
    <row r="9598" spans="2:78">
      <c r="B9598" s="7"/>
      <c r="O9598" s="7"/>
      <c r="X9598" s="7"/>
      <c r="AG9598" s="7"/>
      <c r="AP9598" s="7"/>
      <c r="AY9598" s="7"/>
      <c r="BH9598" s="7"/>
      <c r="BQ9598" s="7"/>
      <c r="BZ9598" s="7"/>
    </row>
    <row r="9599" spans="2:78">
      <c r="B9599" s="7"/>
      <c r="O9599" s="7"/>
      <c r="X9599" s="7"/>
      <c r="AG9599" s="7"/>
      <c r="AP9599" s="7"/>
      <c r="AY9599" s="7"/>
      <c r="BH9599" s="7"/>
      <c r="BQ9599" s="7"/>
      <c r="BZ9599" s="7"/>
    </row>
    <row r="9600" spans="2:78">
      <c r="B9600" s="7"/>
      <c r="O9600" s="7"/>
      <c r="X9600" s="7"/>
      <c r="AG9600" s="7"/>
      <c r="AP9600" s="7"/>
      <c r="AY9600" s="7"/>
      <c r="BH9600" s="7"/>
      <c r="BQ9600" s="7"/>
      <c r="BZ9600" s="7"/>
    </row>
    <row r="9601" spans="2:78">
      <c r="B9601" s="7"/>
      <c r="O9601" s="7"/>
      <c r="X9601" s="7"/>
      <c r="AG9601" s="7"/>
      <c r="AP9601" s="7"/>
      <c r="AY9601" s="7"/>
      <c r="BH9601" s="7"/>
      <c r="BQ9601" s="7"/>
      <c r="BZ9601" s="7"/>
    </row>
    <row r="9602" spans="2:78">
      <c r="B9602" s="7"/>
      <c r="O9602" s="7"/>
      <c r="X9602" s="7"/>
      <c r="AG9602" s="7"/>
      <c r="AP9602" s="7"/>
      <c r="AY9602" s="7"/>
      <c r="BH9602" s="7"/>
      <c r="BQ9602" s="7"/>
      <c r="BZ9602" s="7"/>
    </row>
    <row r="9603" spans="2:78">
      <c r="B9603" s="7"/>
      <c r="O9603" s="7"/>
      <c r="X9603" s="7"/>
      <c r="AG9603" s="7"/>
      <c r="AP9603" s="7"/>
      <c r="AY9603" s="7"/>
      <c r="BH9603" s="7"/>
      <c r="BQ9603" s="7"/>
      <c r="BZ9603" s="7"/>
    </row>
    <row r="9604" spans="2:78">
      <c r="B9604" s="7"/>
      <c r="O9604" s="7"/>
      <c r="X9604" s="7"/>
      <c r="AG9604" s="7"/>
      <c r="AP9604" s="7"/>
      <c r="AY9604" s="7"/>
      <c r="BH9604" s="7"/>
      <c r="BQ9604" s="7"/>
      <c r="BZ9604" s="7"/>
    </row>
    <row r="9605" spans="2:78">
      <c r="B9605" s="7"/>
      <c r="O9605" s="7"/>
      <c r="X9605" s="7"/>
      <c r="AG9605" s="7"/>
      <c r="AP9605" s="7"/>
      <c r="AY9605" s="7"/>
      <c r="BH9605" s="7"/>
      <c r="BQ9605" s="7"/>
      <c r="BZ9605" s="7"/>
    </row>
    <row r="9606" spans="2:78">
      <c r="B9606" s="7"/>
      <c r="O9606" s="7"/>
      <c r="X9606" s="7"/>
      <c r="AG9606" s="7"/>
      <c r="AP9606" s="7"/>
      <c r="AY9606" s="7"/>
      <c r="BH9606" s="7"/>
      <c r="BQ9606" s="7"/>
      <c r="BZ9606" s="7"/>
    </row>
    <row r="9607" spans="2:78">
      <c r="B9607" s="7"/>
      <c r="O9607" s="7"/>
      <c r="X9607" s="7"/>
      <c r="AG9607" s="7"/>
      <c r="AP9607" s="7"/>
      <c r="AY9607" s="7"/>
      <c r="BH9607" s="7"/>
      <c r="BQ9607" s="7"/>
      <c r="BZ9607" s="7"/>
    </row>
    <row r="9608" spans="2:78">
      <c r="B9608" s="7"/>
      <c r="O9608" s="7"/>
      <c r="X9608" s="7"/>
      <c r="AG9608" s="7"/>
      <c r="AP9608" s="7"/>
      <c r="AY9608" s="7"/>
      <c r="BH9608" s="7"/>
      <c r="BQ9608" s="7"/>
      <c r="BZ9608" s="7"/>
    </row>
    <row r="9609" spans="2:78">
      <c r="B9609" s="7"/>
      <c r="O9609" s="7"/>
      <c r="X9609" s="7"/>
      <c r="AG9609" s="7"/>
      <c r="AP9609" s="7"/>
      <c r="AY9609" s="7"/>
      <c r="BH9609" s="7"/>
      <c r="BQ9609" s="7"/>
      <c r="BZ9609" s="7"/>
    </row>
    <row r="9610" spans="2:78">
      <c r="B9610" s="7"/>
      <c r="O9610" s="7"/>
      <c r="X9610" s="7"/>
      <c r="AG9610" s="7"/>
      <c r="AP9610" s="7"/>
      <c r="AY9610" s="7"/>
      <c r="BH9610" s="7"/>
      <c r="BQ9610" s="7"/>
      <c r="BZ9610" s="7"/>
    </row>
    <row r="9611" spans="2:78">
      <c r="B9611" s="7"/>
      <c r="O9611" s="7"/>
      <c r="X9611" s="7"/>
      <c r="AG9611" s="7"/>
      <c r="AP9611" s="7"/>
      <c r="AY9611" s="7"/>
      <c r="BH9611" s="7"/>
      <c r="BQ9611" s="7"/>
      <c r="BZ9611" s="7"/>
    </row>
    <row r="9612" spans="2:78">
      <c r="B9612" s="7"/>
      <c r="O9612" s="7"/>
      <c r="X9612" s="7"/>
      <c r="AG9612" s="7"/>
      <c r="AP9612" s="7"/>
      <c r="AY9612" s="7"/>
      <c r="BH9612" s="7"/>
      <c r="BQ9612" s="7"/>
      <c r="BZ9612" s="7"/>
    </row>
    <row r="9613" spans="2:78">
      <c r="B9613" s="7"/>
      <c r="O9613" s="7"/>
      <c r="X9613" s="7"/>
      <c r="AG9613" s="7"/>
      <c r="AP9613" s="7"/>
      <c r="AY9613" s="7"/>
      <c r="BH9613" s="7"/>
      <c r="BQ9613" s="7"/>
      <c r="BZ9613" s="7"/>
    </row>
    <row r="9614" spans="2:78">
      <c r="B9614" s="7"/>
      <c r="O9614" s="7"/>
      <c r="X9614" s="7"/>
      <c r="AG9614" s="7"/>
      <c r="AP9614" s="7"/>
      <c r="AY9614" s="7"/>
      <c r="BH9614" s="7"/>
      <c r="BQ9614" s="7"/>
      <c r="BZ9614" s="7"/>
    </row>
    <row r="9615" spans="2:78">
      <c r="B9615" s="7"/>
      <c r="O9615" s="7"/>
      <c r="X9615" s="7"/>
      <c r="AG9615" s="7"/>
      <c r="AP9615" s="7"/>
      <c r="AY9615" s="7"/>
      <c r="BH9615" s="7"/>
      <c r="BQ9615" s="7"/>
      <c r="BZ9615" s="7"/>
    </row>
    <row r="9616" spans="2:78">
      <c r="B9616" s="7"/>
      <c r="O9616" s="7"/>
      <c r="X9616" s="7"/>
      <c r="AG9616" s="7"/>
      <c r="AP9616" s="7"/>
      <c r="AY9616" s="7"/>
      <c r="BH9616" s="7"/>
      <c r="BQ9616" s="7"/>
      <c r="BZ9616" s="7"/>
    </row>
    <row r="9617" spans="2:78">
      <c r="B9617" s="7"/>
      <c r="O9617" s="7"/>
      <c r="X9617" s="7"/>
      <c r="AG9617" s="7"/>
      <c r="AP9617" s="7"/>
      <c r="AY9617" s="7"/>
      <c r="BH9617" s="7"/>
      <c r="BQ9617" s="7"/>
      <c r="BZ9617" s="7"/>
    </row>
    <row r="9618" spans="2:78">
      <c r="B9618" s="7"/>
      <c r="O9618" s="7"/>
      <c r="X9618" s="7"/>
      <c r="AG9618" s="7"/>
      <c r="AP9618" s="7"/>
      <c r="AY9618" s="7"/>
      <c r="BH9618" s="7"/>
      <c r="BQ9618" s="7"/>
      <c r="BZ9618" s="7"/>
    </row>
    <row r="9619" spans="2:78">
      <c r="B9619" s="7"/>
      <c r="O9619" s="7"/>
      <c r="X9619" s="7"/>
      <c r="AG9619" s="7"/>
      <c r="AP9619" s="7"/>
      <c r="AY9619" s="7"/>
      <c r="BH9619" s="7"/>
      <c r="BQ9619" s="7"/>
      <c r="BZ9619" s="7"/>
    </row>
    <row r="9620" spans="2:78">
      <c r="B9620" s="7"/>
      <c r="O9620" s="7"/>
      <c r="X9620" s="7"/>
      <c r="AG9620" s="7"/>
      <c r="AP9620" s="7"/>
      <c r="AY9620" s="7"/>
      <c r="BH9620" s="7"/>
      <c r="BQ9620" s="7"/>
      <c r="BZ9620" s="7"/>
    </row>
    <row r="9621" spans="2:78">
      <c r="B9621" s="7"/>
      <c r="O9621" s="7"/>
      <c r="X9621" s="7"/>
      <c r="AG9621" s="7"/>
      <c r="AP9621" s="7"/>
      <c r="AY9621" s="7"/>
      <c r="BH9621" s="7"/>
      <c r="BQ9621" s="7"/>
      <c r="BZ9621" s="7"/>
    </row>
    <row r="9622" spans="2:78">
      <c r="B9622" s="7"/>
      <c r="O9622" s="7"/>
      <c r="X9622" s="7"/>
      <c r="AG9622" s="7"/>
      <c r="AP9622" s="7"/>
      <c r="AY9622" s="7"/>
      <c r="BH9622" s="7"/>
      <c r="BQ9622" s="7"/>
      <c r="BZ9622" s="7"/>
    </row>
    <row r="9623" spans="2:78">
      <c r="B9623" s="7"/>
      <c r="O9623" s="7"/>
      <c r="X9623" s="7"/>
      <c r="AG9623" s="7"/>
      <c r="AP9623" s="7"/>
      <c r="AY9623" s="7"/>
      <c r="BH9623" s="7"/>
      <c r="BQ9623" s="7"/>
      <c r="BZ9623" s="7"/>
    </row>
    <row r="9624" spans="2:78">
      <c r="B9624" s="7"/>
      <c r="O9624" s="7"/>
      <c r="X9624" s="7"/>
      <c r="AG9624" s="7"/>
      <c r="AP9624" s="7"/>
      <c r="AY9624" s="7"/>
      <c r="BH9624" s="7"/>
      <c r="BQ9624" s="7"/>
      <c r="BZ9624" s="7"/>
    </row>
    <row r="9625" spans="2:78">
      <c r="B9625" s="7"/>
      <c r="O9625" s="7"/>
      <c r="X9625" s="7"/>
      <c r="AG9625" s="7"/>
      <c r="AP9625" s="7"/>
      <c r="AY9625" s="7"/>
      <c r="BH9625" s="7"/>
      <c r="BQ9625" s="7"/>
      <c r="BZ9625" s="7"/>
    </row>
    <row r="9626" spans="2:78">
      <c r="B9626" s="7"/>
      <c r="O9626" s="7"/>
      <c r="X9626" s="7"/>
      <c r="AG9626" s="7"/>
      <c r="AP9626" s="7"/>
      <c r="AY9626" s="7"/>
      <c r="BH9626" s="7"/>
      <c r="BQ9626" s="7"/>
      <c r="BZ9626" s="7"/>
    </row>
    <row r="9627" spans="2:78">
      <c r="B9627" s="7"/>
      <c r="O9627" s="7"/>
      <c r="X9627" s="7"/>
      <c r="AG9627" s="7"/>
      <c r="AP9627" s="7"/>
      <c r="AY9627" s="7"/>
      <c r="BH9627" s="7"/>
      <c r="BQ9627" s="7"/>
      <c r="BZ9627" s="7"/>
    </row>
    <row r="9628" spans="2:78">
      <c r="B9628" s="7"/>
      <c r="O9628" s="7"/>
      <c r="X9628" s="7"/>
      <c r="AG9628" s="7"/>
      <c r="AP9628" s="7"/>
      <c r="AY9628" s="7"/>
      <c r="BH9628" s="7"/>
      <c r="BQ9628" s="7"/>
      <c r="BZ9628" s="7"/>
    </row>
    <row r="9629" spans="2:78">
      <c r="B9629" s="7"/>
      <c r="O9629" s="7"/>
      <c r="X9629" s="7"/>
      <c r="AG9629" s="7"/>
      <c r="AP9629" s="7"/>
      <c r="AY9629" s="7"/>
      <c r="BH9629" s="7"/>
      <c r="BQ9629" s="7"/>
      <c r="BZ9629" s="7"/>
    </row>
    <row r="9630" spans="2:78">
      <c r="B9630" s="7"/>
      <c r="O9630" s="7"/>
      <c r="X9630" s="7"/>
      <c r="AG9630" s="7"/>
      <c r="AP9630" s="7"/>
      <c r="AY9630" s="7"/>
      <c r="BH9630" s="7"/>
      <c r="BQ9630" s="7"/>
      <c r="BZ9630" s="7"/>
    </row>
    <row r="9631" spans="2:78">
      <c r="B9631" s="7"/>
      <c r="O9631" s="7"/>
      <c r="X9631" s="7"/>
      <c r="AG9631" s="7"/>
      <c r="AP9631" s="7"/>
      <c r="AY9631" s="7"/>
      <c r="BH9631" s="7"/>
      <c r="BQ9631" s="7"/>
      <c r="BZ9631" s="7"/>
    </row>
    <row r="9632" spans="2:78">
      <c r="B9632" s="7"/>
      <c r="O9632" s="7"/>
      <c r="X9632" s="7"/>
      <c r="AG9632" s="7"/>
      <c r="AP9632" s="7"/>
      <c r="AY9632" s="7"/>
      <c r="BH9632" s="7"/>
      <c r="BQ9632" s="7"/>
      <c r="BZ9632" s="7"/>
    </row>
    <row r="9633" spans="2:78">
      <c r="B9633" s="7"/>
      <c r="O9633" s="7"/>
      <c r="X9633" s="7"/>
      <c r="AG9633" s="7"/>
      <c r="AP9633" s="7"/>
      <c r="AY9633" s="7"/>
      <c r="BH9633" s="7"/>
      <c r="BQ9633" s="7"/>
      <c r="BZ9633" s="7"/>
    </row>
    <row r="9634" spans="2:78">
      <c r="B9634" s="7"/>
      <c r="O9634" s="7"/>
      <c r="X9634" s="7"/>
      <c r="AG9634" s="7"/>
      <c r="AP9634" s="7"/>
      <c r="AY9634" s="7"/>
      <c r="BH9634" s="7"/>
      <c r="BQ9634" s="7"/>
      <c r="BZ9634" s="7"/>
    </row>
    <row r="9635" spans="2:78">
      <c r="B9635" s="7"/>
      <c r="O9635" s="7"/>
      <c r="X9635" s="7"/>
      <c r="AG9635" s="7"/>
      <c r="AP9635" s="7"/>
      <c r="AY9635" s="7"/>
      <c r="BH9635" s="7"/>
      <c r="BQ9635" s="7"/>
      <c r="BZ9635" s="7"/>
    </row>
    <row r="9636" spans="2:78">
      <c r="B9636" s="7"/>
      <c r="O9636" s="7"/>
      <c r="X9636" s="7"/>
      <c r="AG9636" s="7"/>
      <c r="AP9636" s="7"/>
      <c r="AY9636" s="7"/>
      <c r="BH9636" s="7"/>
      <c r="BQ9636" s="7"/>
      <c r="BZ9636" s="7"/>
    </row>
    <row r="9637" spans="2:78">
      <c r="B9637" s="7"/>
      <c r="O9637" s="7"/>
      <c r="X9637" s="7"/>
      <c r="AG9637" s="7"/>
      <c r="AP9637" s="7"/>
      <c r="AY9637" s="7"/>
      <c r="BH9637" s="7"/>
      <c r="BQ9637" s="7"/>
      <c r="BZ9637" s="7"/>
    </row>
    <row r="9638" spans="2:78">
      <c r="B9638" s="7"/>
      <c r="O9638" s="7"/>
      <c r="X9638" s="7"/>
      <c r="AG9638" s="7"/>
      <c r="AP9638" s="7"/>
      <c r="AY9638" s="7"/>
      <c r="BH9638" s="7"/>
      <c r="BQ9638" s="7"/>
      <c r="BZ9638" s="7"/>
    </row>
    <row r="9639" spans="2:78">
      <c r="B9639" s="7"/>
      <c r="O9639" s="7"/>
      <c r="X9639" s="7"/>
      <c r="AG9639" s="7"/>
      <c r="AP9639" s="7"/>
      <c r="AY9639" s="7"/>
      <c r="BH9639" s="7"/>
      <c r="BQ9639" s="7"/>
      <c r="BZ9639" s="7"/>
    </row>
    <row r="9640" spans="2:78">
      <c r="B9640" s="7"/>
      <c r="O9640" s="7"/>
      <c r="X9640" s="7"/>
      <c r="AG9640" s="7"/>
      <c r="AP9640" s="7"/>
      <c r="AY9640" s="7"/>
      <c r="BH9640" s="7"/>
      <c r="BQ9640" s="7"/>
      <c r="BZ9640" s="7"/>
    </row>
    <row r="9641" spans="2:78">
      <c r="B9641" s="7"/>
      <c r="O9641" s="7"/>
      <c r="X9641" s="7"/>
      <c r="AG9641" s="7"/>
      <c r="AP9641" s="7"/>
      <c r="AY9641" s="7"/>
      <c r="BH9641" s="7"/>
      <c r="BQ9641" s="7"/>
      <c r="BZ9641" s="7"/>
    </row>
    <row r="9642" spans="2:78">
      <c r="B9642" s="7"/>
      <c r="O9642" s="7"/>
      <c r="X9642" s="7"/>
      <c r="AG9642" s="7"/>
      <c r="AP9642" s="7"/>
      <c r="AY9642" s="7"/>
      <c r="BH9642" s="7"/>
      <c r="BQ9642" s="7"/>
      <c r="BZ9642" s="7"/>
    </row>
    <row r="9643" spans="2:78">
      <c r="B9643" s="7"/>
      <c r="O9643" s="7"/>
      <c r="X9643" s="7"/>
      <c r="AG9643" s="7"/>
      <c r="AP9643" s="7"/>
      <c r="AY9643" s="7"/>
      <c r="BH9643" s="7"/>
      <c r="BQ9643" s="7"/>
      <c r="BZ9643" s="7"/>
    </row>
    <row r="9644" spans="2:78">
      <c r="B9644" s="7"/>
      <c r="O9644" s="7"/>
      <c r="X9644" s="7"/>
      <c r="AG9644" s="7"/>
      <c r="AP9644" s="7"/>
      <c r="AY9644" s="7"/>
      <c r="BH9644" s="7"/>
      <c r="BQ9644" s="7"/>
      <c r="BZ9644" s="7"/>
    </row>
    <row r="9645" spans="2:78">
      <c r="B9645" s="7"/>
      <c r="O9645" s="7"/>
      <c r="X9645" s="7"/>
      <c r="AG9645" s="7"/>
      <c r="AP9645" s="7"/>
      <c r="AY9645" s="7"/>
      <c r="BH9645" s="7"/>
      <c r="BQ9645" s="7"/>
      <c r="BZ9645" s="7"/>
    </row>
    <row r="9646" spans="2:78">
      <c r="B9646" s="7"/>
      <c r="O9646" s="7"/>
      <c r="X9646" s="7"/>
      <c r="AG9646" s="7"/>
      <c r="AP9646" s="7"/>
      <c r="AY9646" s="7"/>
      <c r="BH9646" s="7"/>
      <c r="BQ9646" s="7"/>
      <c r="BZ9646" s="7"/>
    </row>
    <row r="9647" spans="2:78">
      <c r="B9647" s="7"/>
      <c r="O9647" s="7"/>
      <c r="X9647" s="7"/>
      <c r="AG9647" s="7"/>
      <c r="AP9647" s="7"/>
      <c r="AY9647" s="7"/>
      <c r="BH9647" s="7"/>
      <c r="BQ9647" s="7"/>
      <c r="BZ9647" s="7"/>
    </row>
    <row r="9648" spans="2:78">
      <c r="B9648" s="7"/>
      <c r="O9648" s="7"/>
      <c r="X9648" s="7"/>
      <c r="AG9648" s="7"/>
      <c r="AP9648" s="7"/>
      <c r="AY9648" s="7"/>
      <c r="BH9648" s="7"/>
      <c r="BQ9648" s="7"/>
      <c r="BZ9648" s="7"/>
    </row>
    <row r="9649" spans="2:78">
      <c r="B9649" s="7"/>
      <c r="O9649" s="7"/>
      <c r="X9649" s="7"/>
      <c r="AG9649" s="7"/>
      <c r="AP9649" s="7"/>
      <c r="AY9649" s="7"/>
      <c r="BH9649" s="7"/>
      <c r="BQ9649" s="7"/>
      <c r="BZ9649" s="7"/>
    </row>
    <row r="9650" spans="2:78">
      <c r="B9650" s="7"/>
      <c r="O9650" s="7"/>
      <c r="X9650" s="7"/>
      <c r="AG9650" s="7"/>
      <c r="AP9650" s="7"/>
      <c r="AY9650" s="7"/>
      <c r="BH9650" s="7"/>
      <c r="BQ9650" s="7"/>
      <c r="BZ9650" s="7"/>
    </row>
    <row r="9651" spans="2:78">
      <c r="B9651" s="7"/>
      <c r="O9651" s="7"/>
      <c r="X9651" s="7"/>
      <c r="AG9651" s="7"/>
      <c r="AP9651" s="7"/>
      <c r="AY9651" s="7"/>
      <c r="BH9651" s="7"/>
      <c r="BQ9651" s="7"/>
      <c r="BZ9651" s="7"/>
    </row>
    <row r="9652" spans="2:78">
      <c r="B9652" s="7"/>
      <c r="O9652" s="7"/>
      <c r="X9652" s="7"/>
      <c r="AG9652" s="7"/>
      <c r="AP9652" s="7"/>
      <c r="AY9652" s="7"/>
      <c r="BH9652" s="7"/>
      <c r="BQ9652" s="7"/>
      <c r="BZ9652" s="7"/>
    </row>
    <row r="9653" spans="2:78">
      <c r="B9653" s="7"/>
      <c r="O9653" s="7"/>
      <c r="X9653" s="7"/>
      <c r="AG9653" s="7"/>
      <c r="AP9653" s="7"/>
      <c r="AY9653" s="7"/>
      <c r="BH9653" s="7"/>
      <c r="BQ9653" s="7"/>
      <c r="BZ9653" s="7"/>
    </row>
    <row r="9654" spans="2:78">
      <c r="B9654" s="7"/>
      <c r="O9654" s="7"/>
      <c r="X9654" s="7"/>
      <c r="AG9654" s="7"/>
      <c r="AP9654" s="7"/>
      <c r="AY9654" s="7"/>
      <c r="BH9654" s="7"/>
      <c r="BQ9654" s="7"/>
      <c r="BZ9654" s="7"/>
    </row>
    <row r="9655" spans="2:78">
      <c r="B9655" s="7"/>
      <c r="O9655" s="7"/>
      <c r="X9655" s="7"/>
      <c r="AG9655" s="7"/>
      <c r="AP9655" s="7"/>
      <c r="AY9655" s="7"/>
      <c r="BH9655" s="7"/>
      <c r="BQ9655" s="7"/>
      <c r="BZ9655" s="7"/>
    </row>
    <row r="9656" spans="2:78">
      <c r="B9656" s="7"/>
      <c r="O9656" s="7"/>
      <c r="X9656" s="7"/>
      <c r="AG9656" s="7"/>
      <c r="AP9656" s="7"/>
      <c r="AY9656" s="7"/>
      <c r="BH9656" s="7"/>
      <c r="BQ9656" s="7"/>
      <c r="BZ9656" s="7"/>
    </row>
    <row r="9657" spans="2:78">
      <c r="B9657" s="7"/>
      <c r="O9657" s="7"/>
      <c r="X9657" s="7"/>
      <c r="AG9657" s="7"/>
      <c r="AP9657" s="7"/>
      <c r="AY9657" s="7"/>
      <c r="BH9657" s="7"/>
      <c r="BQ9657" s="7"/>
      <c r="BZ9657" s="7"/>
    </row>
    <row r="9658" spans="2:78">
      <c r="B9658" s="7"/>
      <c r="O9658" s="7"/>
      <c r="X9658" s="7"/>
      <c r="AG9658" s="7"/>
      <c r="AP9658" s="7"/>
      <c r="AY9658" s="7"/>
      <c r="BH9658" s="7"/>
      <c r="BQ9658" s="7"/>
      <c r="BZ9658" s="7"/>
    </row>
    <row r="9659" spans="2:78">
      <c r="B9659" s="7"/>
      <c r="O9659" s="7"/>
      <c r="X9659" s="7"/>
      <c r="AG9659" s="7"/>
      <c r="AP9659" s="7"/>
      <c r="AY9659" s="7"/>
      <c r="BH9659" s="7"/>
      <c r="BQ9659" s="7"/>
      <c r="BZ9659" s="7"/>
    </row>
    <row r="9660" spans="2:78">
      <c r="B9660" s="7"/>
      <c r="O9660" s="7"/>
      <c r="X9660" s="7"/>
      <c r="AG9660" s="7"/>
      <c r="AP9660" s="7"/>
      <c r="AY9660" s="7"/>
      <c r="BH9660" s="7"/>
      <c r="BQ9660" s="7"/>
      <c r="BZ9660" s="7"/>
    </row>
    <row r="9661" spans="2:78">
      <c r="B9661" s="7"/>
      <c r="O9661" s="7"/>
      <c r="X9661" s="7"/>
      <c r="AG9661" s="7"/>
      <c r="AP9661" s="7"/>
      <c r="AY9661" s="7"/>
      <c r="BH9661" s="7"/>
      <c r="BQ9661" s="7"/>
      <c r="BZ9661" s="7"/>
    </row>
    <row r="9662" spans="2:78">
      <c r="B9662" s="7"/>
      <c r="O9662" s="7"/>
      <c r="X9662" s="7"/>
      <c r="AG9662" s="7"/>
      <c r="AP9662" s="7"/>
      <c r="AY9662" s="7"/>
      <c r="BH9662" s="7"/>
      <c r="BQ9662" s="7"/>
      <c r="BZ9662" s="7"/>
    </row>
    <row r="9663" spans="2:78">
      <c r="B9663" s="7"/>
      <c r="O9663" s="7"/>
      <c r="X9663" s="7"/>
      <c r="AG9663" s="7"/>
      <c r="AP9663" s="7"/>
      <c r="AY9663" s="7"/>
      <c r="BH9663" s="7"/>
      <c r="BQ9663" s="7"/>
      <c r="BZ9663" s="7"/>
    </row>
    <row r="9664" spans="2:78">
      <c r="B9664" s="7"/>
      <c r="O9664" s="7"/>
      <c r="X9664" s="7"/>
      <c r="AG9664" s="7"/>
      <c r="AP9664" s="7"/>
      <c r="AY9664" s="7"/>
      <c r="BH9664" s="7"/>
      <c r="BQ9664" s="7"/>
      <c r="BZ9664" s="7"/>
    </row>
    <row r="9665" spans="2:78">
      <c r="B9665" s="7"/>
      <c r="O9665" s="7"/>
      <c r="X9665" s="7"/>
      <c r="AG9665" s="7"/>
      <c r="AP9665" s="7"/>
      <c r="AY9665" s="7"/>
      <c r="BH9665" s="7"/>
      <c r="BQ9665" s="7"/>
      <c r="BZ9665" s="7"/>
    </row>
    <row r="9666" spans="2:78">
      <c r="B9666" s="7"/>
      <c r="O9666" s="7"/>
      <c r="X9666" s="7"/>
      <c r="AG9666" s="7"/>
      <c r="AP9666" s="7"/>
      <c r="AY9666" s="7"/>
      <c r="BH9666" s="7"/>
      <c r="BQ9666" s="7"/>
      <c r="BZ9666" s="7"/>
    </row>
    <row r="9667" spans="2:78">
      <c r="B9667" s="7"/>
      <c r="O9667" s="7"/>
      <c r="X9667" s="7"/>
      <c r="AG9667" s="7"/>
      <c r="AP9667" s="7"/>
      <c r="AY9667" s="7"/>
      <c r="BH9667" s="7"/>
      <c r="BQ9667" s="7"/>
      <c r="BZ9667" s="7"/>
    </row>
    <row r="9668" spans="2:78">
      <c r="B9668" s="7"/>
      <c r="O9668" s="7"/>
      <c r="X9668" s="7"/>
      <c r="AG9668" s="7"/>
      <c r="AP9668" s="7"/>
      <c r="AY9668" s="7"/>
      <c r="BH9668" s="7"/>
      <c r="BQ9668" s="7"/>
      <c r="BZ9668" s="7"/>
    </row>
    <row r="9669" spans="2:78">
      <c r="B9669" s="7"/>
      <c r="O9669" s="7"/>
      <c r="X9669" s="7"/>
      <c r="AG9669" s="7"/>
      <c r="AP9669" s="7"/>
      <c r="AY9669" s="7"/>
      <c r="BH9669" s="7"/>
      <c r="BQ9669" s="7"/>
      <c r="BZ9669" s="7"/>
    </row>
    <row r="9670" spans="2:78">
      <c r="B9670" s="7"/>
      <c r="O9670" s="7"/>
      <c r="X9670" s="7"/>
      <c r="AG9670" s="7"/>
      <c r="AP9670" s="7"/>
      <c r="AY9670" s="7"/>
      <c r="BH9670" s="7"/>
      <c r="BQ9670" s="7"/>
      <c r="BZ9670" s="7"/>
    </row>
    <row r="9671" spans="2:78">
      <c r="B9671" s="7"/>
      <c r="O9671" s="7"/>
      <c r="X9671" s="7"/>
      <c r="AG9671" s="7"/>
      <c r="AP9671" s="7"/>
      <c r="AY9671" s="7"/>
      <c r="BH9671" s="7"/>
      <c r="BQ9671" s="7"/>
      <c r="BZ9671" s="7"/>
    </row>
    <row r="9672" spans="2:78">
      <c r="B9672" s="7"/>
      <c r="O9672" s="7"/>
      <c r="X9672" s="7"/>
      <c r="AG9672" s="7"/>
      <c r="AP9672" s="7"/>
      <c r="AY9672" s="7"/>
      <c r="BH9672" s="7"/>
      <c r="BQ9672" s="7"/>
      <c r="BZ9672" s="7"/>
    </row>
    <row r="9673" spans="2:78">
      <c r="B9673" s="7"/>
      <c r="O9673" s="7"/>
      <c r="X9673" s="7"/>
      <c r="AG9673" s="7"/>
      <c r="AP9673" s="7"/>
      <c r="AY9673" s="7"/>
      <c r="BH9673" s="7"/>
      <c r="BQ9673" s="7"/>
      <c r="BZ9673" s="7"/>
    </row>
    <row r="9674" spans="2:78">
      <c r="B9674" s="7"/>
      <c r="O9674" s="7"/>
      <c r="X9674" s="7"/>
      <c r="AG9674" s="7"/>
      <c r="AP9674" s="7"/>
      <c r="AY9674" s="7"/>
      <c r="BH9674" s="7"/>
      <c r="BQ9674" s="7"/>
      <c r="BZ9674" s="7"/>
    </row>
    <row r="9675" spans="2:78">
      <c r="B9675" s="7"/>
      <c r="O9675" s="7"/>
      <c r="X9675" s="7"/>
      <c r="AG9675" s="7"/>
      <c r="AP9675" s="7"/>
      <c r="AY9675" s="7"/>
      <c r="BH9675" s="7"/>
      <c r="BQ9675" s="7"/>
      <c r="BZ9675" s="7"/>
    </row>
    <row r="9676" spans="2:78">
      <c r="B9676" s="7"/>
      <c r="O9676" s="7"/>
      <c r="X9676" s="7"/>
      <c r="AG9676" s="7"/>
      <c r="AP9676" s="7"/>
      <c r="AY9676" s="7"/>
      <c r="BH9676" s="7"/>
      <c r="BQ9676" s="7"/>
      <c r="BZ9676" s="7"/>
    </row>
    <row r="9677" spans="2:78">
      <c r="B9677" s="7"/>
      <c r="O9677" s="7"/>
      <c r="X9677" s="7"/>
      <c r="AG9677" s="7"/>
      <c r="AP9677" s="7"/>
      <c r="AY9677" s="7"/>
      <c r="BH9677" s="7"/>
      <c r="BQ9677" s="7"/>
      <c r="BZ9677" s="7"/>
    </row>
    <row r="9678" spans="2:78">
      <c r="B9678" s="7"/>
      <c r="O9678" s="7"/>
      <c r="X9678" s="7"/>
      <c r="AG9678" s="7"/>
      <c r="AP9678" s="7"/>
      <c r="AY9678" s="7"/>
      <c r="BH9678" s="7"/>
      <c r="BQ9678" s="7"/>
      <c r="BZ9678" s="7"/>
    </row>
    <row r="9679" spans="2:78">
      <c r="B9679" s="7"/>
      <c r="O9679" s="7"/>
      <c r="X9679" s="7"/>
      <c r="AG9679" s="7"/>
      <c r="AP9679" s="7"/>
      <c r="AY9679" s="7"/>
      <c r="BH9679" s="7"/>
      <c r="BQ9679" s="7"/>
      <c r="BZ9679" s="7"/>
    </row>
    <row r="9680" spans="2:78">
      <c r="B9680" s="7"/>
      <c r="O9680" s="7"/>
      <c r="X9680" s="7"/>
      <c r="AG9680" s="7"/>
      <c r="AP9680" s="7"/>
      <c r="AY9680" s="7"/>
      <c r="BH9680" s="7"/>
      <c r="BQ9680" s="7"/>
      <c r="BZ9680" s="7"/>
    </row>
    <row r="9681" spans="2:78">
      <c r="B9681" s="7"/>
      <c r="O9681" s="7"/>
      <c r="X9681" s="7"/>
      <c r="AG9681" s="7"/>
      <c r="AP9681" s="7"/>
      <c r="AY9681" s="7"/>
      <c r="BH9681" s="7"/>
      <c r="BQ9681" s="7"/>
      <c r="BZ9681" s="7"/>
    </row>
    <row r="9682" spans="2:78">
      <c r="B9682" s="7"/>
      <c r="O9682" s="7"/>
      <c r="X9682" s="7"/>
      <c r="AG9682" s="7"/>
      <c r="AP9682" s="7"/>
      <c r="AY9682" s="7"/>
      <c r="BH9682" s="7"/>
      <c r="BQ9682" s="7"/>
      <c r="BZ9682" s="7"/>
    </row>
    <row r="9683" spans="2:78">
      <c r="B9683" s="7"/>
      <c r="O9683" s="7"/>
      <c r="X9683" s="7"/>
      <c r="AG9683" s="7"/>
      <c r="AP9683" s="7"/>
      <c r="AY9683" s="7"/>
      <c r="BH9683" s="7"/>
      <c r="BQ9683" s="7"/>
      <c r="BZ9683" s="7"/>
    </row>
    <row r="9684" spans="2:78">
      <c r="B9684" s="7"/>
      <c r="O9684" s="7"/>
      <c r="X9684" s="7"/>
      <c r="AG9684" s="7"/>
      <c r="AP9684" s="7"/>
      <c r="AY9684" s="7"/>
      <c r="BH9684" s="7"/>
      <c r="BQ9684" s="7"/>
      <c r="BZ9684" s="7"/>
    </row>
    <row r="9685" spans="2:78">
      <c r="B9685" s="7"/>
      <c r="O9685" s="7"/>
      <c r="X9685" s="7"/>
      <c r="AG9685" s="7"/>
      <c r="AP9685" s="7"/>
      <c r="AY9685" s="7"/>
      <c r="BH9685" s="7"/>
      <c r="BQ9685" s="7"/>
      <c r="BZ9685" s="7"/>
    </row>
    <row r="9686" spans="2:78">
      <c r="B9686" s="7"/>
      <c r="O9686" s="7"/>
      <c r="X9686" s="7"/>
      <c r="AG9686" s="7"/>
      <c r="AP9686" s="7"/>
      <c r="AY9686" s="7"/>
      <c r="BH9686" s="7"/>
      <c r="BQ9686" s="7"/>
      <c r="BZ9686" s="7"/>
    </row>
    <row r="9687" spans="2:78">
      <c r="B9687" s="7"/>
      <c r="O9687" s="7"/>
      <c r="X9687" s="7"/>
      <c r="AG9687" s="7"/>
      <c r="AP9687" s="7"/>
      <c r="AY9687" s="7"/>
      <c r="BH9687" s="7"/>
      <c r="BQ9687" s="7"/>
      <c r="BZ9687" s="7"/>
    </row>
    <row r="9688" spans="2:78">
      <c r="B9688" s="7"/>
      <c r="O9688" s="7"/>
      <c r="X9688" s="7"/>
      <c r="AG9688" s="7"/>
      <c r="AP9688" s="7"/>
      <c r="AY9688" s="7"/>
      <c r="BH9688" s="7"/>
      <c r="BQ9688" s="7"/>
      <c r="BZ9688" s="7"/>
    </row>
    <row r="9689" spans="2:78">
      <c r="B9689" s="7"/>
      <c r="O9689" s="7"/>
      <c r="X9689" s="7"/>
      <c r="AG9689" s="7"/>
      <c r="AP9689" s="7"/>
      <c r="AY9689" s="7"/>
      <c r="BH9689" s="7"/>
      <c r="BQ9689" s="7"/>
      <c r="BZ9689" s="7"/>
    </row>
    <row r="9690" spans="2:78">
      <c r="B9690" s="7"/>
      <c r="O9690" s="7"/>
      <c r="X9690" s="7"/>
      <c r="AG9690" s="7"/>
      <c r="AP9690" s="7"/>
      <c r="AY9690" s="7"/>
      <c r="BH9690" s="7"/>
      <c r="BQ9690" s="7"/>
      <c r="BZ9690" s="7"/>
    </row>
    <row r="9691" spans="2:78">
      <c r="B9691" s="7"/>
      <c r="O9691" s="7"/>
      <c r="X9691" s="7"/>
      <c r="AG9691" s="7"/>
      <c r="AP9691" s="7"/>
      <c r="AY9691" s="7"/>
      <c r="BH9691" s="7"/>
      <c r="BQ9691" s="7"/>
      <c r="BZ9691" s="7"/>
    </row>
    <row r="9692" spans="2:78">
      <c r="B9692" s="7"/>
      <c r="O9692" s="7"/>
      <c r="X9692" s="7"/>
      <c r="AG9692" s="7"/>
      <c r="AP9692" s="7"/>
      <c r="AY9692" s="7"/>
      <c r="BH9692" s="7"/>
      <c r="BQ9692" s="7"/>
      <c r="BZ9692" s="7"/>
    </row>
    <row r="9693" spans="2:78">
      <c r="B9693" s="7"/>
      <c r="O9693" s="7"/>
      <c r="X9693" s="7"/>
      <c r="AG9693" s="7"/>
      <c r="AP9693" s="7"/>
      <c r="AY9693" s="7"/>
      <c r="BH9693" s="7"/>
      <c r="BQ9693" s="7"/>
      <c r="BZ9693" s="7"/>
    </row>
    <row r="9694" spans="2:78">
      <c r="B9694" s="7"/>
      <c r="O9694" s="7"/>
      <c r="X9694" s="7"/>
      <c r="AG9694" s="7"/>
      <c r="AP9694" s="7"/>
      <c r="AY9694" s="7"/>
      <c r="BH9694" s="7"/>
      <c r="BQ9694" s="7"/>
      <c r="BZ9694" s="7"/>
    </row>
    <row r="9695" spans="2:78">
      <c r="B9695" s="7"/>
      <c r="O9695" s="7"/>
      <c r="X9695" s="7"/>
      <c r="AG9695" s="7"/>
      <c r="AP9695" s="7"/>
      <c r="AY9695" s="7"/>
      <c r="BH9695" s="7"/>
      <c r="BQ9695" s="7"/>
      <c r="BZ9695" s="7"/>
    </row>
    <row r="9696" spans="2:78">
      <c r="B9696" s="7"/>
      <c r="O9696" s="7"/>
      <c r="X9696" s="7"/>
      <c r="AG9696" s="7"/>
      <c r="AP9696" s="7"/>
      <c r="AY9696" s="7"/>
      <c r="BH9696" s="7"/>
      <c r="BQ9696" s="7"/>
      <c r="BZ9696" s="7"/>
    </row>
    <row r="9697" spans="2:78">
      <c r="B9697" s="7"/>
      <c r="O9697" s="7"/>
      <c r="X9697" s="7"/>
      <c r="AG9697" s="7"/>
      <c r="AP9697" s="7"/>
      <c r="AY9697" s="7"/>
      <c r="BH9697" s="7"/>
      <c r="BQ9697" s="7"/>
      <c r="BZ9697" s="7"/>
    </row>
    <row r="9698" spans="2:78">
      <c r="B9698" s="7"/>
      <c r="O9698" s="7"/>
      <c r="X9698" s="7"/>
      <c r="AG9698" s="7"/>
      <c r="AP9698" s="7"/>
      <c r="AY9698" s="7"/>
      <c r="BH9698" s="7"/>
      <c r="BQ9698" s="7"/>
      <c r="BZ9698" s="7"/>
    </row>
    <row r="9699" spans="2:78">
      <c r="B9699" s="7"/>
      <c r="O9699" s="7"/>
      <c r="X9699" s="7"/>
      <c r="AG9699" s="7"/>
      <c r="AP9699" s="7"/>
      <c r="AY9699" s="7"/>
      <c r="BH9699" s="7"/>
      <c r="BQ9699" s="7"/>
      <c r="BZ9699" s="7"/>
    </row>
    <row r="9700" spans="2:78">
      <c r="B9700" s="7"/>
      <c r="O9700" s="7"/>
      <c r="X9700" s="7"/>
      <c r="AG9700" s="7"/>
      <c r="AP9700" s="7"/>
      <c r="AY9700" s="7"/>
      <c r="BH9700" s="7"/>
      <c r="BQ9700" s="7"/>
      <c r="BZ9700" s="7"/>
    </row>
    <row r="9701" spans="2:78">
      <c r="B9701" s="7"/>
      <c r="O9701" s="7"/>
      <c r="X9701" s="7"/>
      <c r="AG9701" s="7"/>
      <c r="AP9701" s="7"/>
      <c r="AY9701" s="7"/>
      <c r="BH9701" s="7"/>
      <c r="BQ9701" s="7"/>
      <c r="BZ9701" s="7"/>
    </row>
    <row r="9702" spans="2:78">
      <c r="B9702" s="7"/>
      <c r="O9702" s="7"/>
      <c r="X9702" s="7"/>
      <c r="AG9702" s="7"/>
      <c r="AP9702" s="7"/>
      <c r="AY9702" s="7"/>
      <c r="BH9702" s="7"/>
      <c r="BQ9702" s="7"/>
      <c r="BZ9702" s="7"/>
    </row>
    <row r="9703" spans="2:78">
      <c r="B9703" s="7"/>
      <c r="O9703" s="7"/>
      <c r="X9703" s="7"/>
      <c r="AG9703" s="7"/>
      <c r="AP9703" s="7"/>
      <c r="AY9703" s="7"/>
      <c r="BH9703" s="7"/>
      <c r="BQ9703" s="7"/>
      <c r="BZ9703" s="7"/>
    </row>
    <row r="9704" spans="2:78">
      <c r="B9704" s="7"/>
      <c r="O9704" s="7"/>
      <c r="X9704" s="7"/>
      <c r="AG9704" s="7"/>
      <c r="AP9704" s="7"/>
      <c r="AY9704" s="7"/>
      <c r="BH9704" s="7"/>
      <c r="BQ9704" s="7"/>
      <c r="BZ9704" s="7"/>
    </row>
    <row r="9705" spans="2:78">
      <c r="B9705" s="7"/>
      <c r="O9705" s="7"/>
      <c r="X9705" s="7"/>
      <c r="AG9705" s="7"/>
      <c r="AP9705" s="7"/>
      <c r="AY9705" s="7"/>
      <c r="BH9705" s="7"/>
      <c r="BQ9705" s="7"/>
      <c r="BZ9705" s="7"/>
    </row>
    <row r="9706" spans="2:78">
      <c r="B9706" s="7"/>
      <c r="O9706" s="7"/>
      <c r="X9706" s="7"/>
      <c r="AG9706" s="7"/>
      <c r="AP9706" s="7"/>
      <c r="AY9706" s="7"/>
      <c r="BH9706" s="7"/>
      <c r="BQ9706" s="7"/>
      <c r="BZ9706" s="7"/>
    </row>
    <row r="9707" spans="2:78">
      <c r="B9707" s="7"/>
      <c r="O9707" s="7"/>
      <c r="X9707" s="7"/>
      <c r="AG9707" s="7"/>
      <c r="AP9707" s="7"/>
      <c r="AY9707" s="7"/>
      <c r="BH9707" s="7"/>
      <c r="BQ9707" s="7"/>
      <c r="BZ9707" s="7"/>
    </row>
    <row r="9708" spans="2:78">
      <c r="B9708" s="7"/>
      <c r="O9708" s="7"/>
      <c r="X9708" s="7"/>
      <c r="AG9708" s="7"/>
      <c r="AP9708" s="7"/>
      <c r="AY9708" s="7"/>
      <c r="BH9708" s="7"/>
      <c r="BQ9708" s="7"/>
      <c r="BZ9708" s="7"/>
    </row>
    <row r="9709" spans="2:78">
      <c r="B9709" s="7"/>
      <c r="O9709" s="7"/>
      <c r="X9709" s="7"/>
      <c r="AG9709" s="7"/>
      <c r="AP9709" s="7"/>
      <c r="AY9709" s="7"/>
      <c r="BH9709" s="7"/>
      <c r="BQ9709" s="7"/>
      <c r="BZ9709" s="7"/>
    </row>
    <row r="9710" spans="2:78">
      <c r="B9710" s="7"/>
      <c r="O9710" s="7"/>
      <c r="X9710" s="7"/>
      <c r="AG9710" s="7"/>
      <c r="AP9710" s="7"/>
      <c r="AY9710" s="7"/>
      <c r="BH9710" s="7"/>
      <c r="BQ9710" s="7"/>
      <c r="BZ9710" s="7"/>
    </row>
    <row r="9711" spans="2:78">
      <c r="B9711" s="7"/>
      <c r="O9711" s="7"/>
      <c r="X9711" s="7"/>
      <c r="AG9711" s="7"/>
      <c r="AP9711" s="7"/>
      <c r="AY9711" s="7"/>
      <c r="BH9711" s="7"/>
      <c r="BQ9711" s="7"/>
      <c r="BZ9711" s="7"/>
    </row>
    <row r="9712" spans="2:78">
      <c r="B9712" s="7"/>
      <c r="O9712" s="7"/>
      <c r="X9712" s="7"/>
      <c r="AG9712" s="7"/>
      <c r="AP9712" s="7"/>
      <c r="AY9712" s="7"/>
      <c r="BH9712" s="7"/>
      <c r="BQ9712" s="7"/>
      <c r="BZ9712" s="7"/>
    </row>
    <row r="9713" spans="2:78">
      <c r="B9713" s="7"/>
      <c r="O9713" s="7"/>
      <c r="X9713" s="7"/>
      <c r="AG9713" s="7"/>
      <c r="AP9713" s="7"/>
      <c r="AY9713" s="7"/>
      <c r="BH9713" s="7"/>
      <c r="BQ9713" s="7"/>
      <c r="BZ9713" s="7"/>
    </row>
    <row r="9714" spans="2:78">
      <c r="B9714" s="7"/>
      <c r="O9714" s="7"/>
      <c r="X9714" s="7"/>
      <c r="AG9714" s="7"/>
      <c r="AP9714" s="7"/>
      <c r="AY9714" s="7"/>
      <c r="BH9714" s="7"/>
      <c r="BQ9714" s="7"/>
      <c r="BZ9714" s="7"/>
    </row>
    <row r="9715" spans="2:78">
      <c r="B9715" s="7"/>
      <c r="O9715" s="7"/>
      <c r="X9715" s="7"/>
      <c r="AG9715" s="7"/>
      <c r="AP9715" s="7"/>
      <c r="AY9715" s="7"/>
      <c r="BH9715" s="7"/>
      <c r="BQ9715" s="7"/>
      <c r="BZ9715" s="7"/>
    </row>
    <row r="9716" spans="2:78">
      <c r="B9716" s="7"/>
      <c r="O9716" s="7"/>
      <c r="X9716" s="7"/>
      <c r="AG9716" s="7"/>
      <c r="AP9716" s="7"/>
      <c r="AY9716" s="7"/>
      <c r="BH9716" s="7"/>
      <c r="BQ9716" s="7"/>
      <c r="BZ9716" s="7"/>
    </row>
    <row r="9717" spans="2:78">
      <c r="B9717" s="7"/>
      <c r="O9717" s="7"/>
      <c r="X9717" s="7"/>
      <c r="AG9717" s="7"/>
      <c r="AP9717" s="7"/>
      <c r="AY9717" s="7"/>
      <c r="BH9717" s="7"/>
      <c r="BQ9717" s="7"/>
      <c r="BZ9717" s="7"/>
    </row>
    <row r="9718" spans="2:78">
      <c r="B9718" s="7"/>
      <c r="O9718" s="7"/>
      <c r="X9718" s="7"/>
      <c r="AG9718" s="7"/>
      <c r="AP9718" s="7"/>
      <c r="AY9718" s="7"/>
      <c r="BH9718" s="7"/>
      <c r="BQ9718" s="7"/>
      <c r="BZ9718" s="7"/>
    </row>
    <row r="9719" spans="2:78">
      <c r="B9719" s="7"/>
      <c r="O9719" s="7"/>
      <c r="X9719" s="7"/>
      <c r="AG9719" s="7"/>
      <c r="AP9719" s="7"/>
      <c r="AY9719" s="7"/>
      <c r="BH9719" s="7"/>
      <c r="BQ9719" s="7"/>
      <c r="BZ9719" s="7"/>
    </row>
    <row r="9720" spans="2:78">
      <c r="B9720" s="7"/>
      <c r="O9720" s="7"/>
      <c r="X9720" s="7"/>
      <c r="AG9720" s="7"/>
      <c r="AP9720" s="7"/>
      <c r="AY9720" s="7"/>
      <c r="BH9720" s="7"/>
      <c r="BQ9720" s="7"/>
      <c r="BZ9720" s="7"/>
    </row>
    <row r="9721" spans="2:78">
      <c r="B9721" s="7"/>
      <c r="O9721" s="7"/>
      <c r="X9721" s="7"/>
      <c r="AG9721" s="7"/>
      <c r="AP9721" s="7"/>
      <c r="AY9721" s="7"/>
      <c r="BH9721" s="7"/>
      <c r="BQ9721" s="7"/>
      <c r="BZ9721" s="7"/>
    </row>
    <row r="9722" spans="2:78">
      <c r="B9722" s="7"/>
      <c r="O9722" s="7"/>
      <c r="X9722" s="7"/>
      <c r="AG9722" s="7"/>
      <c r="AP9722" s="7"/>
      <c r="AY9722" s="7"/>
      <c r="BH9722" s="7"/>
      <c r="BQ9722" s="7"/>
      <c r="BZ9722" s="7"/>
    </row>
    <row r="9723" spans="2:78">
      <c r="B9723" s="7"/>
      <c r="O9723" s="7"/>
      <c r="X9723" s="7"/>
      <c r="AG9723" s="7"/>
      <c r="AP9723" s="7"/>
      <c r="AY9723" s="7"/>
      <c r="BH9723" s="7"/>
      <c r="BQ9723" s="7"/>
      <c r="BZ9723" s="7"/>
    </row>
    <row r="9724" spans="2:78">
      <c r="B9724" s="7"/>
      <c r="O9724" s="7"/>
      <c r="X9724" s="7"/>
      <c r="AG9724" s="7"/>
      <c r="AP9724" s="7"/>
      <c r="AY9724" s="7"/>
      <c r="BH9724" s="7"/>
      <c r="BQ9724" s="7"/>
      <c r="BZ9724" s="7"/>
    </row>
    <row r="9725" spans="2:78">
      <c r="B9725" s="7"/>
      <c r="O9725" s="7"/>
      <c r="X9725" s="7"/>
      <c r="AG9725" s="7"/>
      <c r="AP9725" s="7"/>
      <c r="AY9725" s="7"/>
      <c r="BH9725" s="7"/>
      <c r="BQ9725" s="7"/>
      <c r="BZ9725" s="7"/>
    </row>
    <row r="9726" spans="2:78">
      <c r="B9726" s="7"/>
      <c r="O9726" s="7"/>
      <c r="X9726" s="7"/>
      <c r="AG9726" s="7"/>
      <c r="AP9726" s="7"/>
      <c r="AY9726" s="7"/>
      <c r="BH9726" s="7"/>
      <c r="BQ9726" s="7"/>
      <c r="BZ9726" s="7"/>
    </row>
    <row r="9727" spans="2:78">
      <c r="B9727" s="7"/>
      <c r="O9727" s="7"/>
      <c r="X9727" s="7"/>
      <c r="AG9727" s="7"/>
      <c r="AP9727" s="7"/>
      <c r="AY9727" s="7"/>
      <c r="BH9727" s="7"/>
      <c r="BQ9727" s="7"/>
      <c r="BZ9727" s="7"/>
    </row>
    <row r="9728" spans="2:78">
      <c r="B9728" s="7"/>
      <c r="O9728" s="7"/>
      <c r="X9728" s="7"/>
      <c r="AG9728" s="7"/>
      <c r="AP9728" s="7"/>
      <c r="AY9728" s="7"/>
      <c r="BH9728" s="7"/>
      <c r="BQ9728" s="7"/>
      <c r="BZ9728" s="7"/>
    </row>
    <row r="9729" spans="2:78">
      <c r="B9729" s="7"/>
      <c r="O9729" s="7"/>
      <c r="X9729" s="7"/>
      <c r="AG9729" s="7"/>
      <c r="AP9729" s="7"/>
      <c r="AY9729" s="7"/>
      <c r="BH9729" s="7"/>
      <c r="BQ9729" s="7"/>
      <c r="BZ9729" s="7"/>
    </row>
    <row r="9730" spans="2:78">
      <c r="B9730" s="7"/>
      <c r="O9730" s="7"/>
      <c r="X9730" s="7"/>
      <c r="AG9730" s="7"/>
      <c r="AP9730" s="7"/>
      <c r="AY9730" s="7"/>
      <c r="BH9730" s="7"/>
      <c r="BQ9730" s="7"/>
      <c r="BZ9730" s="7"/>
    </row>
    <row r="9731" spans="2:78">
      <c r="B9731" s="7"/>
      <c r="O9731" s="7"/>
      <c r="X9731" s="7"/>
      <c r="AG9731" s="7"/>
      <c r="AP9731" s="7"/>
      <c r="AY9731" s="7"/>
      <c r="BH9731" s="7"/>
      <c r="BQ9731" s="7"/>
      <c r="BZ9731" s="7"/>
    </row>
    <row r="9732" spans="2:78">
      <c r="B9732" s="7"/>
      <c r="O9732" s="7"/>
      <c r="X9732" s="7"/>
      <c r="AG9732" s="7"/>
      <c r="AP9732" s="7"/>
      <c r="AY9732" s="7"/>
      <c r="BH9732" s="7"/>
      <c r="BQ9732" s="7"/>
      <c r="BZ9732" s="7"/>
    </row>
    <row r="9733" spans="2:78">
      <c r="B9733" s="7"/>
      <c r="O9733" s="7"/>
      <c r="X9733" s="7"/>
      <c r="AG9733" s="7"/>
      <c r="AP9733" s="7"/>
      <c r="AY9733" s="7"/>
      <c r="BH9733" s="7"/>
      <c r="BQ9733" s="7"/>
      <c r="BZ9733" s="7"/>
    </row>
    <row r="9734" spans="2:78">
      <c r="B9734" s="7"/>
      <c r="O9734" s="7"/>
      <c r="X9734" s="7"/>
      <c r="AG9734" s="7"/>
      <c r="AP9734" s="7"/>
      <c r="AY9734" s="7"/>
      <c r="BH9734" s="7"/>
      <c r="BQ9734" s="7"/>
      <c r="BZ9734" s="7"/>
    </row>
    <row r="9735" spans="2:78">
      <c r="B9735" s="7"/>
      <c r="O9735" s="7"/>
      <c r="X9735" s="7"/>
      <c r="AG9735" s="7"/>
      <c r="AP9735" s="7"/>
      <c r="AY9735" s="7"/>
      <c r="BH9735" s="7"/>
      <c r="BQ9735" s="7"/>
      <c r="BZ9735" s="7"/>
    </row>
    <row r="9736" spans="2:78">
      <c r="B9736" s="7"/>
      <c r="O9736" s="7"/>
      <c r="X9736" s="7"/>
      <c r="AG9736" s="7"/>
      <c r="AP9736" s="7"/>
      <c r="AY9736" s="7"/>
      <c r="BH9736" s="7"/>
      <c r="BQ9736" s="7"/>
      <c r="BZ9736" s="7"/>
    </row>
    <row r="9737" spans="2:78">
      <c r="B9737" s="7"/>
      <c r="O9737" s="7"/>
      <c r="X9737" s="7"/>
      <c r="AG9737" s="7"/>
      <c r="AP9737" s="7"/>
      <c r="AY9737" s="7"/>
      <c r="BH9737" s="7"/>
      <c r="BQ9737" s="7"/>
      <c r="BZ9737" s="7"/>
    </row>
    <row r="9738" spans="2:78">
      <c r="B9738" s="7"/>
      <c r="O9738" s="7"/>
      <c r="X9738" s="7"/>
      <c r="AG9738" s="7"/>
      <c r="AP9738" s="7"/>
      <c r="AY9738" s="7"/>
      <c r="BH9738" s="7"/>
      <c r="BQ9738" s="7"/>
      <c r="BZ9738" s="7"/>
    </row>
    <row r="9739" spans="2:78">
      <c r="B9739" s="7"/>
      <c r="O9739" s="7"/>
      <c r="X9739" s="7"/>
      <c r="AG9739" s="7"/>
      <c r="AP9739" s="7"/>
      <c r="AY9739" s="7"/>
      <c r="BH9739" s="7"/>
      <c r="BQ9739" s="7"/>
      <c r="BZ9739" s="7"/>
    </row>
    <row r="9740" spans="2:78">
      <c r="B9740" s="7"/>
      <c r="O9740" s="7"/>
      <c r="X9740" s="7"/>
      <c r="AG9740" s="7"/>
      <c r="AP9740" s="7"/>
      <c r="AY9740" s="7"/>
      <c r="BH9740" s="7"/>
      <c r="BQ9740" s="7"/>
      <c r="BZ9740" s="7"/>
    </row>
    <row r="9741" spans="2:78">
      <c r="B9741" s="7"/>
      <c r="O9741" s="7"/>
      <c r="X9741" s="7"/>
      <c r="AG9741" s="7"/>
      <c r="AP9741" s="7"/>
      <c r="AY9741" s="7"/>
      <c r="BH9741" s="7"/>
      <c r="BQ9741" s="7"/>
      <c r="BZ9741" s="7"/>
    </row>
    <row r="9742" spans="2:78">
      <c r="B9742" s="7"/>
      <c r="O9742" s="7"/>
      <c r="X9742" s="7"/>
      <c r="AG9742" s="7"/>
      <c r="AP9742" s="7"/>
      <c r="AY9742" s="7"/>
      <c r="BH9742" s="7"/>
      <c r="BQ9742" s="7"/>
      <c r="BZ9742" s="7"/>
    </row>
    <row r="9743" spans="2:78">
      <c r="B9743" s="7"/>
      <c r="O9743" s="7"/>
      <c r="X9743" s="7"/>
      <c r="AG9743" s="7"/>
      <c r="AP9743" s="7"/>
      <c r="AY9743" s="7"/>
      <c r="BH9743" s="7"/>
      <c r="BQ9743" s="7"/>
      <c r="BZ9743" s="7"/>
    </row>
    <row r="9744" spans="2:78">
      <c r="B9744" s="7"/>
      <c r="O9744" s="7"/>
      <c r="X9744" s="7"/>
      <c r="AG9744" s="7"/>
      <c r="AP9744" s="7"/>
      <c r="AY9744" s="7"/>
      <c r="BH9744" s="7"/>
      <c r="BQ9744" s="7"/>
      <c r="BZ9744" s="7"/>
    </row>
    <row r="9745" spans="2:78">
      <c r="B9745" s="7"/>
      <c r="O9745" s="7"/>
      <c r="X9745" s="7"/>
      <c r="AG9745" s="7"/>
      <c r="AP9745" s="7"/>
      <c r="AY9745" s="7"/>
      <c r="BH9745" s="7"/>
      <c r="BQ9745" s="7"/>
      <c r="BZ9745" s="7"/>
    </row>
    <row r="9746" spans="2:78">
      <c r="B9746" s="7"/>
      <c r="O9746" s="7"/>
      <c r="X9746" s="7"/>
      <c r="AG9746" s="7"/>
      <c r="AP9746" s="7"/>
      <c r="AY9746" s="7"/>
      <c r="BH9746" s="7"/>
      <c r="BQ9746" s="7"/>
      <c r="BZ9746" s="7"/>
    </row>
    <row r="9747" spans="2:78">
      <c r="B9747" s="7"/>
      <c r="O9747" s="7"/>
      <c r="X9747" s="7"/>
      <c r="AG9747" s="7"/>
      <c r="AP9747" s="7"/>
      <c r="AY9747" s="7"/>
      <c r="BH9747" s="7"/>
      <c r="BQ9747" s="7"/>
      <c r="BZ9747" s="7"/>
    </row>
    <row r="9748" spans="2:78">
      <c r="B9748" s="7"/>
      <c r="O9748" s="7"/>
      <c r="X9748" s="7"/>
      <c r="AG9748" s="7"/>
      <c r="AP9748" s="7"/>
      <c r="AY9748" s="7"/>
      <c r="BH9748" s="7"/>
      <c r="BQ9748" s="7"/>
      <c r="BZ9748" s="7"/>
    </row>
    <row r="9749" spans="2:78">
      <c r="B9749" s="7"/>
      <c r="O9749" s="7"/>
      <c r="X9749" s="7"/>
      <c r="AG9749" s="7"/>
      <c r="AP9749" s="7"/>
      <c r="AY9749" s="7"/>
      <c r="BH9749" s="7"/>
      <c r="BQ9749" s="7"/>
      <c r="BZ9749" s="7"/>
    </row>
    <row r="9750" spans="2:78">
      <c r="B9750" s="7"/>
      <c r="O9750" s="7"/>
      <c r="X9750" s="7"/>
      <c r="AG9750" s="7"/>
      <c r="AP9750" s="7"/>
      <c r="AY9750" s="7"/>
      <c r="BH9750" s="7"/>
      <c r="BQ9750" s="7"/>
      <c r="BZ9750" s="7"/>
    </row>
    <row r="9751" spans="2:78">
      <c r="B9751" s="7"/>
      <c r="O9751" s="7"/>
      <c r="X9751" s="7"/>
      <c r="AG9751" s="7"/>
      <c r="AP9751" s="7"/>
      <c r="AY9751" s="7"/>
      <c r="BH9751" s="7"/>
      <c r="BQ9751" s="7"/>
      <c r="BZ9751" s="7"/>
    </row>
    <row r="9752" spans="2:78">
      <c r="B9752" s="7"/>
      <c r="O9752" s="7"/>
      <c r="X9752" s="7"/>
      <c r="AG9752" s="7"/>
      <c r="AP9752" s="7"/>
      <c r="AY9752" s="7"/>
      <c r="BH9752" s="7"/>
      <c r="BQ9752" s="7"/>
      <c r="BZ9752" s="7"/>
    </row>
    <row r="9753" spans="2:78">
      <c r="B9753" s="7"/>
      <c r="O9753" s="7"/>
      <c r="X9753" s="7"/>
      <c r="AG9753" s="7"/>
      <c r="AP9753" s="7"/>
      <c r="AY9753" s="7"/>
      <c r="BH9753" s="7"/>
      <c r="BQ9753" s="7"/>
      <c r="BZ9753" s="7"/>
    </row>
    <row r="9754" spans="2:78">
      <c r="B9754" s="7"/>
      <c r="O9754" s="7"/>
      <c r="X9754" s="7"/>
      <c r="AG9754" s="7"/>
      <c r="AP9754" s="7"/>
      <c r="AY9754" s="7"/>
      <c r="BH9754" s="7"/>
      <c r="BQ9754" s="7"/>
      <c r="BZ9754" s="7"/>
    </row>
    <row r="9755" spans="2:78">
      <c r="B9755" s="7"/>
      <c r="O9755" s="7"/>
      <c r="X9755" s="7"/>
      <c r="AG9755" s="7"/>
      <c r="AP9755" s="7"/>
      <c r="AY9755" s="7"/>
      <c r="BH9755" s="7"/>
      <c r="BQ9755" s="7"/>
      <c r="BZ9755" s="7"/>
    </row>
    <row r="9756" spans="2:78">
      <c r="B9756" s="7"/>
      <c r="O9756" s="7"/>
      <c r="X9756" s="7"/>
      <c r="AG9756" s="7"/>
      <c r="AP9756" s="7"/>
      <c r="AY9756" s="7"/>
      <c r="BH9756" s="7"/>
      <c r="BQ9756" s="7"/>
      <c r="BZ9756" s="7"/>
    </row>
    <row r="9757" spans="2:78">
      <c r="B9757" s="7"/>
      <c r="O9757" s="7"/>
      <c r="X9757" s="7"/>
      <c r="AG9757" s="7"/>
      <c r="AP9757" s="7"/>
      <c r="AY9757" s="7"/>
      <c r="BH9757" s="7"/>
      <c r="BQ9757" s="7"/>
      <c r="BZ9757" s="7"/>
    </row>
    <row r="9758" spans="2:78">
      <c r="B9758" s="7"/>
      <c r="O9758" s="7"/>
      <c r="X9758" s="7"/>
      <c r="AG9758" s="7"/>
      <c r="AP9758" s="7"/>
      <c r="AY9758" s="7"/>
      <c r="BH9758" s="7"/>
      <c r="BQ9758" s="7"/>
      <c r="BZ9758" s="7"/>
    </row>
    <row r="9759" spans="2:78">
      <c r="B9759" s="7"/>
      <c r="O9759" s="7"/>
      <c r="X9759" s="7"/>
      <c r="AG9759" s="7"/>
      <c r="AP9759" s="7"/>
      <c r="AY9759" s="7"/>
      <c r="BH9759" s="7"/>
      <c r="BQ9759" s="7"/>
      <c r="BZ9759" s="7"/>
    </row>
    <row r="9760" spans="2:78">
      <c r="B9760" s="7"/>
      <c r="O9760" s="7"/>
      <c r="X9760" s="7"/>
      <c r="AG9760" s="7"/>
      <c r="AP9760" s="7"/>
      <c r="AY9760" s="7"/>
      <c r="BH9760" s="7"/>
      <c r="BQ9760" s="7"/>
      <c r="BZ9760" s="7"/>
    </row>
    <row r="9761" spans="2:78">
      <c r="B9761" s="7"/>
      <c r="O9761" s="7"/>
      <c r="X9761" s="7"/>
      <c r="AG9761" s="7"/>
      <c r="AP9761" s="7"/>
      <c r="AY9761" s="7"/>
      <c r="BH9761" s="7"/>
      <c r="BQ9761" s="7"/>
      <c r="BZ9761" s="7"/>
    </row>
    <row r="9762" spans="2:78">
      <c r="B9762" s="7"/>
      <c r="O9762" s="7"/>
      <c r="X9762" s="7"/>
      <c r="AG9762" s="7"/>
      <c r="AP9762" s="7"/>
      <c r="AY9762" s="7"/>
      <c r="BH9762" s="7"/>
      <c r="BQ9762" s="7"/>
      <c r="BZ9762" s="7"/>
    </row>
    <row r="9763" spans="2:78">
      <c r="B9763" s="7"/>
      <c r="O9763" s="7"/>
      <c r="X9763" s="7"/>
      <c r="AG9763" s="7"/>
      <c r="AP9763" s="7"/>
      <c r="AY9763" s="7"/>
      <c r="BH9763" s="7"/>
      <c r="BQ9763" s="7"/>
      <c r="BZ9763" s="7"/>
    </row>
    <row r="9764" spans="2:78">
      <c r="B9764" s="7"/>
      <c r="O9764" s="7"/>
      <c r="X9764" s="7"/>
      <c r="AG9764" s="7"/>
      <c r="AP9764" s="7"/>
      <c r="AY9764" s="7"/>
      <c r="BH9764" s="7"/>
      <c r="BQ9764" s="7"/>
      <c r="BZ9764" s="7"/>
    </row>
    <row r="9765" spans="2:78">
      <c r="B9765" s="7"/>
      <c r="O9765" s="7"/>
      <c r="X9765" s="7"/>
      <c r="AG9765" s="7"/>
      <c r="AP9765" s="7"/>
      <c r="AY9765" s="7"/>
      <c r="BH9765" s="7"/>
      <c r="BQ9765" s="7"/>
      <c r="BZ9765" s="7"/>
    </row>
    <row r="9766" spans="2:78">
      <c r="B9766" s="7"/>
      <c r="O9766" s="7"/>
      <c r="X9766" s="7"/>
      <c r="AG9766" s="7"/>
      <c r="AP9766" s="7"/>
      <c r="AY9766" s="7"/>
      <c r="BH9766" s="7"/>
      <c r="BQ9766" s="7"/>
      <c r="BZ9766" s="7"/>
    </row>
    <row r="9767" spans="2:78">
      <c r="B9767" s="7"/>
      <c r="O9767" s="7"/>
      <c r="X9767" s="7"/>
      <c r="AG9767" s="7"/>
      <c r="AP9767" s="7"/>
      <c r="AY9767" s="7"/>
      <c r="BH9767" s="7"/>
      <c r="BQ9767" s="7"/>
      <c r="BZ9767" s="7"/>
    </row>
    <row r="9768" spans="2:78">
      <c r="B9768" s="7"/>
      <c r="O9768" s="7"/>
      <c r="X9768" s="7"/>
      <c r="AG9768" s="7"/>
      <c r="AP9768" s="7"/>
      <c r="AY9768" s="7"/>
      <c r="BH9768" s="7"/>
      <c r="BQ9768" s="7"/>
      <c r="BZ9768" s="7"/>
    </row>
    <row r="9769" spans="2:78">
      <c r="B9769" s="7"/>
      <c r="O9769" s="7"/>
      <c r="X9769" s="7"/>
      <c r="AG9769" s="7"/>
      <c r="AP9769" s="7"/>
      <c r="AY9769" s="7"/>
      <c r="BH9769" s="7"/>
      <c r="BQ9769" s="7"/>
      <c r="BZ9769" s="7"/>
    </row>
    <row r="9770" spans="2:78">
      <c r="B9770" s="7"/>
      <c r="O9770" s="7"/>
      <c r="X9770" s="7"/>
      <c r="AG9770" s="7"/>
      <c r="AP9770" s="7"/>
      <c r="AY9770" s="7"/>
      <c r="BH9770" s="7"/>
      <c r="BQ9770" s="7"/>
      <c r="BZ9770" s="7"/>
    </row>
    <row r="9771" spans="2:78">
      <c r="B9771" s="7"/>
      <c r="O9771" s="7"/>
      <c r="X9771" s="7"/>
      <c r="AG9771" s="7"/>
      <c r="AP9771" s="7"/>
      <c r="AY9771" s="7"/>
      <c r="BH9771" s="7"/>
      <c r="BQ9771" s="7"/>
      <c r="BZ9771" s="7"/>
    </row>
    <row r="9772" spans="2:78">
      <c r="B9772" s="7"/>
      <c r="O9772" s="7"/>
      <c r="X9772" s="7"/>
      <c r="AG9772" s="7"/>
      <c r="AP9772" s="7"/>
      <c r="AY9772" s="7"/>
      <c r="BH9772" s="7"/>
      <c r="BQ9772" s="7"/>
      <c r="BZ9772" s="7"/>
    </row>
    <row r="9773" spans="2:78">
      <c r="B9773" s="7"/>
      <c r="O9773" s="7"/>
      <c r="X9773" s="7"/>
      <c r="AG9773" s="7"/>
      <c r="AP9773" s="7"/>
      <c r="AY9773" s="7"/>
      <c r="BH9773" s="7"/>
      <c r="BQ9773" s="7"/>
      <c r="BZ9773" s="7"/>
    </row>
    <row r="9774" spans="2:78">
      <c r="B9774" s="7"/>
      <c r="O9774" s="7"/>
      <c r="X9774" s="7"/>
      <c r="AG9774" s="7"/>
      <c r="AP9774" s="7"/>
      <c r="AY9774" s="7"/>
      <c r="BH9774" s="7"/>
      <c r="BQ9774" s="7"/>
      <c r="BZ9774" s="7"/>
    </row>
    <row r="9775" spans="2:78">
      <c r="B9775" s="7"/>
      <c r="O9775" s="7"/>
      <c r="X9775" s="7"/>
      <c r="AG9775" s="7"/>
      <c r="AP9775" s="7"/>
      <c r="AY9775" s="7"/>
      <c r="BH9775" s="7"/>
      <c r="BQ9775" s="7"/>
      <c r="BZ9775" s="7"/>
    </row>
    <row r="9776" spans="2:78">
      <c r="B9776" s="7"/>
      <c r="O9776" s="7"/>
      <c r="X9776" s="7"/>
      <c r="AG9776" s="7"/>
      <c r="AP9776" s="7"/>
      <c r="AY9776" s="7"/>
      <c r="BH9776" s="7"/>
      <c r="BQ9776" s="7"/>
      <c r="BZ9776" s="7"/>
    </row>
    <row r="9777" spans="2:78">
      <c r="B9777" s="7"/>
      <c r="O9777" s="7"/>
      <c r="X9777" s="7"/>
      <c r="AG9777" s="7"/>
      <c r="AP9777" s="7"/>
      <c r="AY9777" s="7"/>
      <c r="BH9777" s="7"/>
      <c r="BQ9777" s="7"/>
      <c r="BZ9777" s="7"/>
    </row>
    <row r="9778" spans="2:78">
      <c r="B9778" s="7"/>
      <c r="O9778" s="7"/>
      <c r="X9778" s="7"/>
      <c r="AG9778" s="7"/>
      <c r="AP9778" s="7"/>
      <c r="AY9778" s="7"/>
      <c r="BH9778" s="7"/>
      <c r="BQ9778" s="7"/>
      <c r="BZ9778" s="7"/>
    </row>
    <row r="9779" spans="2:78">
      <c r="B9779" s="7"/>
      <c r="O9779" s="7"/>
      <c r="X9779" s="7"/>
      <c r="AG9779" s="7"/>
      <c r="AP9779" s="7"/>
      <c r="AY9779" s="7"/>
      <c r="BH9779" s="7"/>
      <c r="BQ9779" s="7"/>
      <c r="BZ9779" s="7"/>
    </row>
    <row r="9780" spans="2:78">
      <c r="B9780" s="7"/>
      <c r="O9780" s="7"/>
      <c r="X9780" s="7"/>
      <c r="AG9780" s="7"/>
      <c r="AP9780" s="7"/>
      <c r="AY9780" s="7"/>
      <c r="BH9780" s="7"/>
      <c r="BQ9780" s="7"/>
      <c r="BZ9780" s="7"/>
    </row>
    <row r="9781" spans="2:78">
      <c r="B9781" s="7"/>
      <c r="O9781" s="7"/>
      <c r="X9781" s="7"/>
      <c r="AG9781" s="7"/>
      <c r="AP9781" s="7"/>
      <c r="AY9781" s="7"/>
      <c r="BH9781" s="7"/>
      <c r="BQ9781" s="7"/>
      <c r="BZ9781" s="7"/>
    </row>
    <row r="9782" spans="2:78">
      <c r="B9782" s="7"/>
      <c r="O9782" s="7"/>
      <c r="X9782" s="7"/>
      <c r="AG9782" s="7"/>
      <c r="AP9782" s="7"/>
      <c r="AY9782" s="7"/>
      <c r="BH9782" s="7"/>
      <c r="BQ9782" s="7"/>
      <c r="BZ9782" s="7"/>
    </row>
    <row r="9783" spans="2:78">
      <c r="B9783" s="7"/>
      <c r="O9783" s="7"/>
      <c r="X9783" s="7"/>
      <c r="AG9783" s="7"/>
      <c r="AP9783" s="7"/>
      <c r="AY9783" s="7"/>
      <c r="BH9783" s="7"/>
      <c r="BQ9783" s="7"/>
      <c r="BZ9783" s="7"/>
    </row>
    <row r="9784" spans="2:78">
      <c r="B9784" s="7"/>
      <c r="O9784" s="7"/>
      <c r="X9784" s="7"/>
      <c r="AG9784" s="7"/>
      <c r="AP9784" s="7"/>
      <c r="AY9784" s="7"/>
      <c r="BH9784" s="7"/>
      <c r="BQ9784" s="7"/>
      <c r="BZ9784" s="7"/>
    </row>
    <row r="9785" spans="2:78">
      <c r="B9785" s="7"/>
      <c r="O9785" s="7"/>
      <c r="X9785" s="7"/>
      <c r="AG9785" s="7"/>
      <c r="AP9785" s="7"/>
      <c r="AY9785" s="7"/>
      <c r="BH9785" s="7"/>
      <c r="BQ9785" s="7"/>
      <c r="BZ9785" s="7"/>
    </row>
    <row r="9786" spans="2:78">
      <c r="B9786" s="7"/>
      <c r="O9786" s="7"/>
      <c r="X9786" s="7"/>
      <c r="AG9786" s="7"/>
      <c r="AP9786" s="7"/>
      <c r="AY9786" s="7"/>
      <c r="BH9786" s="7"/>
      <c r="BQ9786" s="7"/>
      <c r="BZ9786" s="7"/>
    </row>
    <row r="9787" spans="2:78">
      <c r="B9787" s="7"/>
      <c r="O9787" s="7"/>
      <c r="X9787" s="7"/>
      <c r="AG9787" s="7"/>
      <c r="AP9787" s="7"/>
      <c r="AY9787" s="7"/>
      <c r="BH9787" s="7"/>
      <c r="BQ9787" s="7"/>
      <c r="BZ9787" s="7"/>
    </row>
    <row r="9788" spans="2:78">
      <c r="B9788" s="7"/>
      <c r="O9788" s="7"/>
      <c r="X9788" s="7"/>
      <c r="AG9788" s="7"/>
      <c r="AP9788" s="7"/>
      <c r="AY9788" s="7"/>
      <c r="BH9788" s="7"/>
      <c r="BQ9788" s="7"/>
      <c r="BZ9788" s="7"/>
    </row>
    <row r="9789" spans="2:78">
      <c r="B9789" s="7"/>
      <c r="O9789" s="7"/>
      <c r="X9789" s="7"/>
      <c r="AG9789" s="7"/>
      <c r="AP9789" s="7"/>
      <c r="AY9789" s="7"/>
      <c r="BH9789" s="7"/>
      <c r="BQ9789" s="7"/>
      <c r="BZ9789" s="7"/>
    </row>
    <row r="9790" spans="2:78">
      <c r="B9790" s="7"/>
      <c r="O9790" s="7"/>
      <c r="X9790" s="7"/>
      <c r="AG9790" s="7"/>
      <c r="AP9790" s="7"/>
      <c r="AY9790" s="7"/>
      <c r="BH9790" s="7"/>
      <c r="BQ9790" s="7"/>
      <c r="BZ9790" s="7"/>
    </row>
    <row r="9791" spans="2:78">
      <c r="B9791" s="7"/>
      <c r="O9791" s="7"/>
      <c r="X9791" s="7"/>
      <c r="AG9791" s="7"/>
      <c r="AP9791" s="7"/>
      <c r="AY9791" s="7"/>
      <c r="BH9791" s="7"/>
      <c r="BQ9791" s="7"/>
      <c r="BZ9791" s="7"/>
    </row>
    <row r="9792" spans="2:78">
      <c r="B9792" s="7"/>
      <c r="O9792" s="7"/>
      <c r="X9792" s="7"/>
      <c r="AG9792" s="7"/>
      <c r="AP9792" s="7"/>
      <c r="AY9792" s="7"/>
      <c r="BH9792" s="7"/>
      <c r="BQ9792" s="7"/>
      <c r="BZ9792" s="7"/>
    </row>
    <row r="9793" spans="2:78">
      <c r="B9793" s="7"/>
      <c r="O9793" s="7"/>
      <c r="X9793" s="7"/>
      <c r="AG9793" s="7"/>
      <c r="AP9793" s="7"/>
      <c r="AY9793" s="7"/>
      <c r="BH9793" s="7"/>
      <c r="BQ9793" s="7"/>
      <c r="BZ9793" s="7"/>
    </row>
    <row r="9794" spans="2:78">
      <c r="B9794" s="7"/>
      <c r="O9794" s="7"/>
      <c r="X9794" s="7"/>
      <c r="AG9794" s="7"/>
      <c r="AP9794" s="7"/>
      <c r="AY9794" s="7"/>
      <c r="BH9794" s="7"/>
      <c r="BQ9794" s="7"/>
      <c r="BZ9794" s="7"/>
    </row>
    <row r="9795" spans="2:78">
      <c r="B9795" s="7"/>
      <c r="O9795" s="7"/>
      <c r="X9795" s="7"/>
      <c r="AG9795" s="7"/>
      <c r="AP9795" s="7"/>
      <c r="AY9795" s="7"/>
      <c r="BH9795" s="7"/>
      <c r="BQ9795" s="7"/>
      <c r="BZ9795" s="7"/>
    </row>
    <row r="9796" spans="2:78">
      <c r="B9796" s="7"/>
      <c r="O9796" s="7"/>
      <c r="X9796" s="7"/>
      <c r="AG9796" s="7"/>
      <c r="AP9796" s="7"/>
      <c r="AY9796" s="7"/>
      <c r="BH9796" s="7"/>
      <c r="BQ9796" s="7"/>
      <c r="BZ9796" s="7"/>
    </row>
    <row r="9797" spans="2:78">
      <c r="B9797" s="7"/>
      <c r="O9797" s="7"/>
      <c r="X9797" s="7"/>
      <c r="AG9797" s="7"/>
      <c r="AP9797" s="7"/>
      <c r="AY9797" s="7"/>
      <c r="BH9797" s="7"/>
      <c r="BQ9797" s="7"/>
      <c r="BZ9797" s="7"/>
    </row>
    <row r="9798" spans="2:78">
      <c r="B9798" s="7"/>
      <c r="O9798" s="7"/>
      <c r="X9798" s="7"/>
      <c r="AG9798" s="7"/>
      <c r="AP9798" s="7"/>
      <c r="AY9798" s="7"/>
      <c r="BH9798" s="7"/>
      <c r="BQ9798" s="7"/>
      <c r="BZ9798" s="7"/>
    </row>
    <row r="9799" spans="2:78">
      <c r="B9799" s="7"/>
      <c r="O9799" s="7"/>
      <c r="X9799" s="7"/>
      <c r="AG9799" s="7"/>
      <c r="AP9799" s="7"/>
      <c r="AY9799" s="7"/>
      <c r="BH9799" s="7"/>
      <c r="BQ9799" s="7"/>
      <c r="BZ9799" s="7"/>
    </row>
    <row r="9800" spans="2:78">
      <c r="B9800" s="7"/>
      <c r="O9800" s="7"/>
      <c r="X9800" s="7"/>
      <c r="AG9800" s="7"/>
      <c r="AP9800" s="7"/>
      <c r="AY9800" s="7"/>
      <c r="BH9800" s="7"/>
      <c r="BQ9800" s="7"/>
      <c r="BZ9800" s="7"/>
    </row>
    <row r="9801" spans="2:78">
      <c r="B9801" s="7"/>
      <c r="O9801" s="7"/>
      <c r="X9801" s="7"/>
      <c r="AG9801" s="7"/>
      <c r="AP9801" s="7"/>
      <c r="AY9801" s="7"/>
      <c r="BH9801" s="7"/>
      <c r="BQ9801" s="7"/>
      <c r="BZ9801" s="7"/>
    </row>
    <row r="9802" spans="2:78">
      <c r="B9802" s="7"/>
      <c r="O9802" s="7"/>
      <c r="X9802" s="7"/>
      <c r="AG9802" s="7"/>
      <c r="AP9802" s="7"/>
      <c r="AY9802" s="7"/>
      <c r="BH9802" s="7"/>
      <c r="BQ9802" s="7"/>
      <c r="BZ9802" s="7"/>
    </row>
    <row r="9803" spans="2:78">
      <c r="B9803" s="7"/>
      <c r="O9803" s="7"/>
      <c r="X9803" s="7"/>
      <c r="AG9803" s="7"/>
      <c r="AP9803" s="7"/>
      <c r="AY9803" s="7"/>
      <c r="BH9803" s="7"/>
      <c r="BQ9803" s="7"/>
      <c r="BZ9803" s="7"/>
    </row>
    <row r="9804" spans="2:78">
      <c r="B9804" s="7"/>
      <c r="O9804" s="7"/>
      <c r="X9804" s="7"/>
      <c r="AG9804" s="7"/>
      <c r="AP9804" s="7"/>
      <c r="AY9804" s="7"/>
      <c r="BH9804" s="7"/>
      <c r="BQ9804" s="7"/>
      <c r="BZ9804" s="7"/>
    </row>
    <row r="9805" spans="2:78">
      <c r="B9805" s="7"/>
      <c r="O9805" s="7"/>
      <c r="X9805" s="7"/>
      <c r="AG9805" s="7"/>
      <c r="AP9805" s="7"/>
      <c r="AY9805" s="7"/>
      <c r="BH9805" s="7"/>
      <c r="BQ9805" s="7"/>
      <c r="BZ9805" s="7"/>
    </row>
    <row r="9806" spans="2:78">
      <c r="B9806" s="7"/>
      <c r="O9806" s="7"/>
      <c r="X9806" s="7"/>
      <c r="AG9806" s="7"/>
      <c r="AP9806" s="7"/>
      <c r="AY9806" s="7"/>
      <c r="BH9806" s="7"/>
      <c r="BQ9806" s="7"/>
      <c r="BZ9806" s="7"/>
    </row>
    <row r="9807" spans="2:78">
      <c r="B9807" s="7"/>
      <c r="O9807" s="7"/>
      <c r="X9807" s="7"/>
      <c r="AG9807" s="7"/>
      <c r="AP9807" s="7"/>
      <c r="AY9807" s="7"/>
      <c r="BH9807" s="7"/>
      <c r="BQ9807" s="7"/>
      <c r="BZ9807" s="7"/>
    </row>
    <row r="9808" spans="2:78">
      <c r="B9808" s="7"/>
      <c r="O9808" s="7"/>
      <c r="X9808" s="7"/>
      <c r="AG9808" s="7"/>
      <c r="AP9808" s="7"/>
      <c r="AY9808" s="7"/>
      <c r="BH9808" s="7"/>
      <c r="BQ9808" s="7"/>
      <c r="BZ9808" s="7"/>
    </row>
    <row r="9809" spans="2:78">
      <c r="B9809" s="7"/>
      <c r="O9809" s="7"/>
      <c r="X9809" s="7"/>
      <c r="AG9809" s="7"/>
      <c r="AP9809" s="7"/>
      <c r="AY9809" s="7"/>
      <c r="BH9809" s="7"/>
      <c r="BQ9809" s="7"/>
      <c r="BZ9809" s="7"/>
    </row>
    <row r="9810" spans="2:78">
      <c r="B9810" s="7"/>
      <c r="O9810" s="7"/>
      <c r="X9810" s="7"/>
      <c r="AG9810" s="7"/>
      <c r="AP9810" s="7"/>
      <c r="AY9810" s="7"/>
      <c r="BH9810" s="7"/>
      <c r="BQ9810" s="7"/>
      <c r="BZ9810" s="7"/>
    </row>
    <row r="9811" spans="2:78">
      <c r="B9811" s="7"/>
      <c r="O9811" s="7"/>
      <c r="X9811" s="7"/>
      <c r="AG9811" s="7"/>
      <c r="AP9811" s="7"/>
      <c r="AY9811" s="7"/>
      <c r="BH9811" s="7"/>
      <c r="BQ9811" s="7"/>
      <c r="BZ9811" s="7"/>
    </row>
    <row r="9812" spans="2:78">
      <c r="B9812" s="7"/>
      <c r="O9812" s="7"/>
      <c r="X9812" s="7"/>
      <c r="AG9812" s="7"/>
      <c r="AP9812" s="7"/>
      <c r="AY9812" s="7"/>
      <c r="BH9812" s="7"/>
      <c r="BQ9812" s="7"/>
      <c r="BZ9812" s="7"/>
    </row>
    <row r="9813" spans="2:78">
      <c r="B9813" s="7"/>
      <c r="O9813" s="7"/>
      <c r="X9813" s="7"/>
      <c r="AG9813" s="7"/>
      <c r="AP9813" s="7"/>
      <c r="AY9813" s="7"/>
      <c r="BH9813" s="7"/>
      <c r="BQ9813" s="7"/>
      <c r="BZ9813" s="7"/>
    </row>
    <row r="9814" spans="2:78">
      <c r="B9814" s="7"/>
      <c r="O9814" s="7"/>
      <c r="X9814" s="7"/>
      <c r="AG9814" s="7"/>
      <c r="AP9814" s="7"/>
      <c r="AY9814" s="7"/>
      <c r="BH9814" s="7"/>
      <c r="BQ9814" s="7"/>
      <c r="BZ9814" s="7"/>
    </row>
    <row r="9815" spans="2:78">
      <c r="B9815" s="7"/>
      <c r="O9815" s="7"/>
      <c r="X9815" s="7"/>
      <c r="AG9815" s="7"/>
      <c r="AP9815" s="7"/>
      <c r="AY9815" s="7"/>
      <c r="BH9815" s="7"/>
      <c r="BQ9815" s="7"/>
      <c r="BZ9815" s="7"/>
    </row>
    <row r="9816" spans="2:78">
      <c r="B9816" s="7"/>
      <c r="O9816" s="7"/>
      <c r="X9816" s="7"/>
      <c r="AG9816" s="7"/>
      <c r="AP9816" s="7"/>
      <c r="AY9816" s="7"/>
      <c r="BH9816" s="7"/>
      <c r="BQ9816" s="7"/>
      <c r="BZ9816" s="7"/>
    </row>
    <row r="9817" spans="2:78">
      <c r="B9817" s="7"/>
      <c r="O9817" s="7"/>
      <c r="X9817" s="7"/>
      <c r="AG9817" s="7"/>
      <c r="AP9817" s="7"/>
      <c r="AY9817" s="7"/>
      <c r="BH9817" s="7"/>
      <c r="BQ9817" s="7"/>
      <c r="BZ9817" s="7"/>
    </row>
    <row r="9818" spans="2:78">
      <c r="B9818" s="7"/>
      <c r="O9818" s="7"/>
      <c r="X9818" s="7"/>
      <c r="AG9818" s="7"/>
      <c r="AP9818" s="7"/>
      <c r="AY9818" s="7"/>
      <c r="BH9818" s="7"/>
      <c r="BQ9818" s="7"/>
      <c r="BZ9818" s="7"/>
    </row>
    <row r="9819" spans="2:78">
      <c r="B9819" s="7"/>
      <c r="O9819" s="7"/>
      <c r="X9819" s="7"/>
      <c r="AG9819" s="7"/>
      <c r="AP9819" s="7"/>
      <c r="AY9819" s="7"/>
      <c r="BH9819" s="7"/>
      <c r="BQ9819" s="7"/>
      <c r="BZ9819" s="7"/>
    </row>
    <row r="9820" spans="2:78">
      <c r="B9820" s="7"/>
      <c r="O9820" s="7"/>
      <c r="X9820" s="7"/>
      <c r="AG9820" s="7"/>
      <c r="AP9820" s="7"/>
      <c r="AY9820" s="7"/>
      <c r="BH9820" s="7"/>
      <c r="BQ9820" s="7"/>
      <c r="BZ9820" s="7"/>
    </row>
    <row r="9821" spans="2:78">
      <c r="B9821" s="7"/>
      <c r="O9821" s="7"/>
      <c r="X9821" s="7"/>
      <c r="AG9821" s="7"/>
      <c r="AP9821" s="7"/>
      <c r="AY9821" s="7"/>
      <c r="BH9821" s="7"/>
      <c r="BQ9821" s="7"/>
      <c r="BZ9821" s="7"/>
    </row>
    <row r="9822" spans="2:78">
      <c r="B9822" s="7"/>
      <c r="O9822" s="7"/>
      <c r="X9822" s="7"/>
      <c r="AG9822" s="7"/>
      <c r="AP9822" s="7"/>
      <c r="AY9822" s="7"/>
      <c r="BH9822" s="7"/>
      <c r="BQ9822" s="7"/>
      <c r="BZ9822" s="7"/>
    </row>
    <row r="9823" spans="2:78">
      <c r="B9823" s="7"/>
      <c r="O9823" s="7"/>
      <c r="X9823" s="7"/>
      <c r="AG9823" s="7"/>
      <c r="AP9823" s="7"/>
      <c r="AY9823" s="7"/>
      <c r="BH9823" s="7"/>
      <c r="BQ9823" s="7"/>
      <c r="BZ9823" s="7"/>
    </row>
    <row r="9824" spans="2:78">
      <c r="B9824" s="7"/>
      <c r="O9824" s="7"/>
      <c r="X9824" s="7"/>
      <c r="AG9824" s="7"/>
      <c r="AP9824" s="7"/>
      <c r="AY9824" s="7"/>
      <c r="BH9824" s="7"/>
      <c r="BQ9824" s="7"/>
      <c r="BZ9824" s="7"/>
    </row>
    <row r="9825" spans="2:78">
      <c r="B9825" s="7"/>
      <c r="O9825" s="7"/>
      <c r="X9825" s="7"/>
      <c r="AG9825" s="7"/>
      <c r="AP9825" s="7"/>
      <c r="AY9825" s="7"/>
      <c r="BH9825" s="7"/>
      <c r="BQ9825" s="7"/>
      <c r="BZ9825" s="7"/>
    </row>
    <row r="9826" spans="2:78">
      <c r="B9826" s="7"/>
      <c r="O9826" s="7"/>
      <c r="X9826" s="7"/>
      <c r="AG9826" s="7"/>
      <c r="AP9826" s="7"/>
      <c r="AY9826" s="7"/>
      <c r="BH9826" s="7"/>
      <c r="BQ9826" s="7"/>
      <c r="BZ9826" s="7"/>
    </row>
    <row r="9827" spans="2:78">
      <c r="B9827" s="7"/>
      <c r="O9827" s="7"/>
      <c r="X9827" s="7"/>
      <c r="AG9827" s="7"/>
      <c r="AP9827" s="7"/>
      <c r="AY9827" s="7"/>
      <c r="BH9827" s="7"/>
      <c r="BQ9827" s="7"/>
      <c r="BZ9827" s="7"/>
    </row>
    <row r="9828" spans="2:78">
      <c r="B9828" s="7"/>
      <c r="O9828" s="7"/>
      <c r="X9828" s="7"/>
      <c r="AG9828" s="7"/>
      <c r="AP9828" s="7"/>
      <c r="AY9828" s="7"/>
      <c r="BH9828" s="7"/>
      <c r="BQ9828" s="7"/>
      <c r="BZ9828" s="7"/>
    </row>
    <row r="9829" spans="2:78">
      <c r="B9829" s="7"/>
      <c r="O9829" s="7"/>
      <c r="X9829" s="7"/>
      <c r="AG9829" s="7"/>
      <c r="AP9829" s="7"/>
      <c r="AY9829" s="7"/>
      <c r="BH9829" s="7"/>
      <c r="BQ9829" s="7"/>
      <c r="BZ9829" s="7"/>
    </row>
    <row r="9830" spans="2:78">
      <c r="B9830" s="7"/>
      <c r="O9830" s="7"/>
      <c r="X9830" s="7"/>
      <c r="AG9830" s="7"/>
      <c r="AP9830" s="7"/>
      <c r="AY9830" s="7"/>
      <c r="BH9830" s="7"/>
      <c r="BQ9830" s="7"/>
      <c r="BZ9830" s="7"/>
    </row>
    <row r="9831" spans="2:78">
      <c r="B9831" s="7"/>
      <c r="O9831" s="7"/>
      <c r="X9831" s="7"/>
      <c r="AG9831" s="7"/>
      <c r="AP9831" s="7"/>
      <c r="AY9831" s="7"/>
      <c r="BH9831" s="7"/>
      <c r="BQ9831" s="7"/>
      <c r="BZ9831" s="7"/>
    </row>
    <row r="9832" spans="2:78">
      <c r="B9832" s="7"/>
      <c r="O9832" s="7"/>
      <c r="X9832" s="7"/>
      <c r="AG9832" s="7"/>
      <c r="AP9832" s="7"/>
      <c r="AY9832" s="7"/>
      <c r="BH9832" s="7"/>
      <c r="BQ9832" s="7"/>
      <c r="BZ9832" s="7"/>
    </row>
    <row r="9833" spans="2:78">
      <c r="B9833" s="7"/>
      <c r="O9833" s="7"/>
      <c r="X9833" s="7"/>
      <c r="AG9833" s="7"/>
      <c r="AP9833" s="7"/>
      <c r="AY9833" s="7"/>
      <c r="BH9833" s="7"/>
      <c r="BQ9833" s="7"/>
      <c r="BZ9833" s="7"/>
    </row>
    <row r="9834" spans="2:78">
      <c r="B9834" s="7"/>
      <c r="O9834" s="7"/>
      <c r="X9834" s="7"/>
      <c r="AG9834" s="7"/>
      <c r="AP9834" s="7"/>
      <c r="AY9834" s="7"/>
      <c r="BH9834" s="7"/>
      <c r="BQ9834" s="7"/>
      <c r="BZ9834" s="7"/>
    </row>
    <row r="9835" spans="2:78">
      <c r="B9835" s="7"/>
      <c r="O9835" s="7"/>
      <c r="X9835" s="7"/>
      <c r="AG9835" s="7"/>
      <c r="AP9835" s="7"/>
      <c r="AY9835" s="7"/>
      <c r="BH9835" s="7"/>
      <c r="BQ9835" s="7"/>
      <c r="BZ9835" s="7"/>
    </row>
    <row r="9836" spans="2:78">
      <c r="B9836" s="7"/>
      <c r="O9836" s="7"/>
      <c r="X9836" s="7"/>
      <c r="AG9836" s="7"/>
      <c r="AP9836" s="7"/>
      <c r="AY9836" s="7"/>
      <c r="BH9836" s="7"/>
      <c r="BQ9836" s="7"/>
      <c r="BZ9836" s="7"/>
    </row>
    <row r="9837" spans="2:78">
      <c r="B9837" s="7"/>
      <c r="O9837" s="7"/>
      <c r="X9837" s="7"/>
      <c r="AG9837" s="7"/>
      <c r="AP9837" s="7"/>
      <c r="AY9837" s="7"/>
      <c r="BH9837" s="7"/>
      <c r="BQ9837" s="7"/>
      <c r="BZ9837" s="7"/>
    </row>
    <row r="9838" spans="2:78">
      <c r="B9838" s="7"/>
      <c r="O9838" s="7"/>
      <c r="X9838" s="7"/>
      <c r="AG9838" s="7"/>
      <c r="AP9838" s="7"/>
      <c r="AY9838" s="7"/>
      <c r="BH9838" s="7"/>
      <c r="BQ9838" s="7"/>
      <c r="BZ9838" s="7"/>
    </row>
    <row r="9839" spans="2:78">
      <c r="B9839" s="7"/>
      <c r="O9839" s="7"/>
      <c r="X9839" s="7"/>
      <c r="AG9839" s="7"/>
      <c r="AP9839" s="7"/>
      <c r="AY9839" s="7"/>
      <c r="BH9839" s="7"/>
      <c r="BQ9839" s="7"/>
      <c r="BZ9839" s="7"/>
    </row>
    <row r="9840" spans="2:78">
      <c r="B9840" s="7"/>
      <c r="O9840" s="7"/>
      <c r="X9840" s="7"/>
      <c r="AG9840" s="7"/>
      <c r="AP9840" s="7"/>
      <c r="AY9840" s="7"/>
      <c r="BH9840" s="7"/>
      <c r="BQ9840" s="7"/>
      <c r="BZ9840" s="7"/>
    </row>
    <row r="9841" spans="2:78">
      <c r="B9841" s="7"/>
      <c r="O9841" s="7"/>
      <c r="X9841" s="7"/>
      <c r="AG9841" s="7"/>
      <c r="AP9841" s="7"/>
      <c r="AY9841" s="7"/>
      <c r="BH9841" s="7"/>
      <c r="BQ9841" s="7"/>
      <c r="BZ9841" s="7"/>
    </row>
    <row r="9842" spans="2:78">
      <c r="B9842" s="7"/>
      <c r="O9842" s="7"/>
      <c r="X9842" s="7"/>
      <c r="AG9842" s="7"/>
      <c r="AP9842" s="7"/>
      <c r="AY9842" s="7"/>
      <c r="BH9842" s="7"/>
      <c r="BQ9842" s="7"/>
      <c r="BZ9842" s="7"/>
    </row>
    <row r="9843" spans="2:78">
      <c r="B9843" s="7"/>
      <c r="O9843" s="7"/>
      <c r="X9843" s="7"/>
      <c r="AG9843" s="7"/>
      <c r="AP9843" s="7"/>
      <c r="AY9843" s="7"/>
      <c r="BH9843" s="7"/>
      <c r="BQ9843" s="7"/>
      <c r="BZ9843" s="7"/>
    </row>
    <row r="9844" spans="2:78">
      <c r="B9844" s="7"/>
      <c r="O9844" s="7"/>
      <c r="X9844" s="7"/>
      <c r="AG9844" s="7"/>
      <c r="AP9844" s="7"/>
      <c r="AY9844" s="7"/>
      <c r="BH9844" s="7"/>
      <c r="BQ9844" s="7"/>
      <c r="BZ9844" s="7"/>
    </row>
    <row r="9845" spans="2:78">
      <c r="B9845" s="7"/>
      <c r="O9845" s="7"/>
      <c r="X9845" s="7"/>
      <c r="AG9845" s="7"/>
      <c r="AP9845" s="7"/>
      <c r="AY9845" s="7"/>
      <c r="BH9845" s="7"/>
      <c r="BQ9845" s="7"/>
      <c r="BZ9845" s="7"/>
    </row>
    <row r="9846" spans="2:78">
      <c r="B9846" s="7"/>
      <c r="O9846" s="7"/>
      <c r="X9846" s="7"/>
      <c r="AG9846" s="7"/>
      <c r="AP9846" s="7"/>
      <c r="AY9846" s="7"/>
      <c r="BH9846" s="7"/>
      <c r="BQ9846" s="7"/>
      <c r="BZ9846" s="7"/>
    </row>
    <row r="9847" spans="2:78">
      <c r="B9847" s="7"/>
      <c r="O9847" s="7"/>
      <c r="X9847" s="7"/>
      <c r="AG9847" s="7"/>
      <c r="AP9847" s="7"/>
      <c r="AY9847" s="7"/>
      <c r="BH9847" s="7"/>
      <c r="BQ9847" s="7"/>
      <c r="BZ9847" s="7"/>
    </row>
    <row r="9848" spans="2:78">
      <c r="B9848" s="7"/>
      <c r="O9848" s="7"/>
      <c r="X9848" s="7"/>
      <c r="AG9848" s="7"/>
      <c r="AP9848" s="7"/>
      <c r="AY9848" s="7"/>
      <c r="BH9848" s="7"/>
      <c r="BQ9848" s="7"/>
      <c r="BZ9848" s="7"/>
    </row>
    <row r="9849" spans="2:78">
      <c r="B9849" s="7"/>
      <c r="O9849" s="7"/>
      <c r="X9849" s="7"/>
      <c r="AG9849" s="7"/>
      <c r="AP9849" s="7"/>
      <c r="AY9849" s="7"/>
      <c r="BH9849" s="7"/>
      <c r="BQ9849" s="7"/>
      <c r="BZ9849" s="7"/>
    </row>
    <row r="9850" spans="2:78">
      <c r="B9850" s="7"/>
      <c r="O9850" s="7"/>
      <c r="X9850" s="7"/>
      <c r="AG9850" s="7"/>
      <c r="AP9850" s="7"/>
      <c r="AY9850" s="7"/>
      <c r="BH9850" s="7"/>
      <c r="BQ9850" s="7"/>
      <c r="BZ9850" s="7"/>
    </row>
    <row r="9851" spans="2:78">
      <c r="B9851" s="7"/>
      <c r="O9851" s="7"/>
      <c r="X9851" s="7"/>
      <c r="AG9851" s="7"/>
      <c r="AP9851" s="7"/>
      <c r="AY9851" s="7"/>
      <c r="BH9851" s="7"/>
      <c r="BQ9851" s="7"/>
      <c r="BZ9851" s="7"/>
    </row>
    <row r="9852" spans="2:78">
      <c r="B9852" s="7"/>
      <c r="O9852" s="7"/>
      <c r="X9852" s="7"/>
      <c r="AG9852" s="7"/>
      <c r="AP9852" s="7"/>
      <c r="AY9852" s="7"/>
      <c r="BH9852" s="7"/>
      <c r="BQ9852" s="7"/>
      <c r="BZ9852" s="7"/>
    </row>
    <row r="9853" spans="2:78">
      <c r="B9853" s="7"/>
      <c r="O9853" s="7"/>
      <c r="X9853" s="7"/>
      <c r="AG9853" s="7"/>
      <c r="AP9853" s="7"/>
      <c r="AY9853" s="7"/>
      <c r="BH9853" s="7"/>
      <c r="BQ9853" s="7"/>
      <c r="BZ9853" s="7"/>
    </row>
    <row r="9854" spans="2:78">
      <c r="B9854" s="7"/>
      <c r="O9854" s="7"/>
      <c r="X9854" s="7"/>
      <c r="AG9854" s="7"/>
      <c r="AP9854" s="7"/>
      <c r="AY9854" s="7"/>
      <c r="BH9854" s="7"/>
      <c r="BQ9854" s="7"/>
      <c r="BZ9854" s="7"/>
    </row>
    <row r="9855" spans="2:78">
      <c r="B9855" s="7"/>
      <c r="O9855" s="7"/>
      <c r="X9855" s="7"/>
      <c r="AG9855" s="7"/>
      <c r="AP9855" s="7"/>
      <c r="AY9855" s="7"/>
      <c r="BH9855" s="7"/>
      <c r="BQ9855" s="7"/>
      <c r="BZ9855" s="7"/>
    </row>
    <row r="9856" spans="2:78">
      <c r="B9856" s="7"/>
      <c r="O9856" s="7"/>
      <c r="X9856" s="7"/>
      <c r="AG9856" s="7"/>
      <c r="AP9856" s="7"/>
      <c r="AY9856" s="7"/>
      <c r="BH9856" s="7"/>
      <c r="BQ9856" s="7"/>
      <c r="BZ9856" s="7"/>
    </row>
    <row r="9857" spans="2:78">
      <c r="B9857" s="7"/>
      <c r="O9857" s="7"/>
      <c r="X9857" s="7"/>
      <c r="AG9857" s="7"/>
      <c r="AP9857" s="7"/>
      <c r="AY9857" s="7"/>
      <c r="BH9857" s="7"/>
      <c r="BQ9857" s="7"/>
      <c r="BZ9857" s="7"/>
    </row>
    <row r="9858" spans="2:78">
      <c r="B9858" s="7"/>
      <c r="O9858" s="7"/>
      <c r="X9858" s="7"/>
      <c r="AG9858" s="7"/>
      <c r="AP9858" s="7"/>
      <c r="AY9858" s="7"/>
      <c r="BH9858" s="7"/>
      <c r="BQ9858" s="7"/>
      <c r="BZ9858" s="7"/>
    </row>
    <row r="9859" spans="2:78">
      <c r="B9859" s="7"/>
      <c r="O9859" s="7"/>
      <c r="X9859" s="7"/>
      <c r="AG9859" s="7"/>
      <c r="AP9859" s="7"/>
      <c r="AY9859" s="7"/>
      <c r="BH9859" s="7"/>
      <c r="BQ9859" s="7"/>
      <c r="BZ9859" s="7"/>
    </row>
    <row r="9860" spans="2:78">
      <c r="B9860" s="7"/>
      <c r="O9860" s="7"/>
      <c r="X9860" s="7"/>
      <c r="AG9860" s="7"/>
      <c r="AP9860" s="7"/>
      <c r="AY9860" s="7"/>
      <c r="BH9860" s="7"/>
      <c r="BQ9860" s="7"/>
      <c r="BZ9860" s="7"/>
    </row>
    <row r="9861" spans="2:78">
      <c r="B9861" s="7"/>
      <c r="O9861" s="7"/>
      <c r="X9861" s="7"/>
      <c r="AG9861" s="7"/>
      <c r="AP9861" s="7"/>
      <c r="AY9861" s="7"/>
      <c r="BH9861" s="7"/>
      <c r="BQ9861" s="7"/>
      <c r="BZ9861" s="7"/>
    </row>
    <row r="9862" spans="2:78">
      <c r="B9862" s="7"/>
      <c r="O9862" s="7"/>
      <c r="X9862" s="7"/>
      <c r="AG9862" s="7"/>
      <c r="AP9862" s="7"/>
      <c r="AY9862" s="7"/>
      <c r="BH9862" s="7"/>
      <c r="BQ9862" s="7"/>
      <c r="BZ9862" s="7"/>
    </row>
    <row r="9863" spans="2:78">
      <c r="B9863" s="7"/>
      <c r="O9863" s="7"/>
      <c r="X9863" s="7"/>
      <c r="AG9863" s="7"/>
      <c r="AP9863" s="7"/>
      <c r="AY9863" s="7"/>
      <c r="BH9863" s="7"/>
      <c r="BQ9863" s="7"/>
      <c r="BZ9863" s="7"/>
    </row>
    <row r="9864" spans="2:78">
      <c r="B9864" s="7"/>
      <c r="O9864" s="7"/>
      <c r="X9864" s="7"/>
      <c r="AG9864" s="7"/>
      <c r="AP9864" s="7"/>
      <c r="AY9864" s="7"/>
      <c r="BH9864" s="7"/>
      <c r="BQ9864" s="7"/>
      <c r="BZ9864" s="7"/>
    </row>
    <row r="9865" spans="2:78">
      <c r="B9865" s="7"/>
      <c r="O9865" s="7"/>
      <c r="X9865" s="7"/>
      <c r="AG9865" s="7"/>
      <c r="AP9865" s="7"/>
      <c r="AY9865" s="7"/>
      <c r="BH9865" s="7"/>
      <c r="BQ9865" s="7"/>
      <c r="BZ9865" s="7"/>
    </row>
    <row r="9866" spans="2:78">
      <c r="B9866" s="7"/>
      <c r="O9866" s="7"/>
      <c r="X9866" s="7"/>
      <c r="AG9866" s="7"/>
      <c r="AP9866" s="7"/>
      <c r="AY9866" s="7"/>
      <c r="BH9866" s="7"/>
      <c r="BQ9866" s="7"/>
      <c r="BZ9866" s="7"/>
    </row>
    <row r="9867" spans="2:78">
      <c r="B9867" s="7"/>
      <c r="O9867" s="7"/>
      <c r="X9867" s="7"/>
      <c r="AG9867" s="7"/>
      <c r="AP9867" s="7"/>
      <c r="AY9867" s="7"/>
      <c r="BH9867" s="7"/>
      <c r="BQ9867" s="7"/>
      <c r="BZ9867" s="7"/>
    </row>
    <row r="9868" spans="2:78">
      <c r="B9868" s="7"/>
      <c r="O9868" s="7"/>
      <c r="X9868" s="7"/>
      <c r="AG9868" s="7"/>
      <c r="AP9868" s="7"/>
      <c r="AY9868" s="7"/>
      <c r="BH9868" s="7"/>
      <c r="BQ9868" s="7"/>
      <c r="BZ9868" s="7"/>
    </row>
    <row r="9869" spans="2:78">
      <c r="B9869" s="7"/>
      <c r="O9869" s="7"/>
      <c r="X9869" s="7"/>
      <c r="AG9869" s="7"/>
      <c r="AP9869" s="7"/>
      <c r="AY9869" s="7"/>
      <c r="BH9869" s="7"/>
      <c r="BQ9869" s="7"/>
      <c r="BZ9869" s="7"/>
    </row>
    <row r="9870" spans="2:78">
      <c r="B9870" s="7"/>
      <c r="O9870" s="7"/>
      <c r="X9870" s="7"/>
      <c r="AG9870" s="7"/>
      <c r="AP9870" s="7"/>
      <c r="AY9870" s="7"/>
      <c r="BH9870" s="7"/>
      <c r="BQ9870" s="7"/>
      <c r="BZ9870" s="7"/>
    </row>
    <row r="9871" spans="2:78">
      <c r="B9871" s="7"/>
      <c r="O9871" s="7"/>
      <c r="X9871" s="7"/>
      <c r="AG9871" s="7"/>
      <c r="AP9871" s="7"/>
      <c r="AY9871" s="7"/>
      <c r="BH9871" s="7"/>
      <c r="BQ9871" s="7"/>
      <c r="BZ9871" s="7"/>
    </row>
    <row r="9872" spans="2:78">
      <c r="B9872" s="7"/>
      <c r="O9872" s="7"/>
      <c r="X9872" s="7"/>
      <c r="AG9872" s="7"/>
      <c r="AP9872" s="7"/>
      <c r="AY9872" s="7"/>
      <c r="BH9872" s="7"/>
      <c r="BQ9872" s="7"/>
      <c r="BZ9872" s="7"/>
    </row>
    <row r="9873" spans="2:78">
      <c r="B9873" s="7"/>
      <c r="O9873" s="7"/>
      <c r="X9873" s="7"/>
      <c r="AG9873" s="7"/>
      <c r="AP9873" s="7"/>
      <c r="AY9873" s="7"/>
      <c r="BH9873" s="7"/>
      <c r="BQ9873" s="7"/>
      <c r="BZ9873" s="7"/>
    </row>
    <row r="9874" spans="2:78">
      <c r="B9874" s="7"/>
      <c r="O9874" s="7"/>
      <c r="X9874" s="7"/>
      <c r="AG9874" s="7"/>
      <c r="AP9874" s="7"/>
      <c r="AY9874" s="7"/>
      <c r="BH9874" s="7"/>
      <c r="BQ9874" s="7"/>
      <c r="BZ9874" s="7"/>
    </row>
    <row r="9875" spans="2:78">
      <c r="B9875" s="7"/>
      <c r="O9875" s="7"/>
      <c r="X9875" s="7"/>
      <c r="AG9875" s="7"/>
      <c r="AP9875" s="7"/>
      <c r="AY9875" s="7"/>
      <c r="BH9875" s="7"/>
      <c r="BQ9875" s="7"/>
      <c r="BZ9875" s="7"/>
    </row>
    <row r="9876" spans="2:78">
      <c r="B9876" s="7"/>
      <c r="O9876" s="7"/>
      <c r="X9876" s="7"/>
      <c r="AG9876" s="7"/>
      <c r="AP9876" s="7"/>
      <c r="AY9876" s="7"/>
      <c r="BH9876" s="7"/>
      <c r="BQ9876" s="7"/>
      <c r="BZ9876" s="7"/>
    </row>
    <row r="9877" spans="2:78">
      <c r="B9877" s="7"/>
      <c r="O9877" s="7"/>
      <c r="X9877" s="7"/>
      <c r="AG9877" s="7"/>
      <c r="AP9877" s="7"/>
      <c r="AY9877" s="7"/>
      <c r="BH9877" s="7"/>
      <c r="BQ9877" s="7"/>
      <c r="BZ9877" s="7"/>
    </row>
    <row r="9878" spans="2:78">
      <c r="B9878" s="7"/>
      <c r="O9878" s="7"/>
      <c r="X9878" s="7"/>
      <c r="AG9878" s="7"/>
      <c r="AP9878" s="7"/>
      <c r="AY9878" s="7"/>
      <c r="BH9878" s="7"/>
      <c r="BQ9878" s="7"/>
      <c r="BZ9878" s="7"/>
    </row>
    <row r="9879" spans="2:78">
      <c r="B9879" s="7"/>
      <c r="O9879" s="7"/>
      <c r="X9879" s="7"/>
      <c r="AG9879" s="7"/>
      <c r="AP9879" s="7"/>
      <c r="AY9879" s="7"/>
      <c r="BH9879" s="7"/>
      <c r="BQ9879" s="7"/>
      <c r="BZ9879" s="7"/>
    </row>
    <row r="9880" spans="2:78">
      <c r="B9880" s="7"/>
      <c r="O9880" s="7"/>
      <c r="X9880" s="7"/>
      <c r="AG9880" s="7"/>
      <c r="AP9880" s="7"/>
      <c r="AY9880" s="7"/>
      <c r="BH9880" s="7"/>
      <c r="BQ9880" s="7"/>
      <c r="BZ9880" s="7"/>
    </row>
    <row r="9881" spans="2:78">
      <c r="B9881" s="7"/>
      <c r="O9881" s="7"/>
      <c r="X9881" s="7"/>
      <c r="AG9881" s="7"/>
      <c r="AP9881" s="7"/>
      <c r="AY9881" s="7"/>
      <c r="BH9881" s="7"/>
      <c r="BQ9881" s="7"/>
      <c r="BZ9881" s="7"/>
    </row>
    <row r="9882" spans="2:78">
      <c r="B9882" s="7"/>
      <c r="O9882" s="7"/>
      <c r="X9882" s="7"/>
      <c r="AG9882" s="7"/>
      <c r="AP9882" s="7"/>
      <c r="AY9882" s="7"/>
      <c r="BH9882" s="7"/>
      <c r="BQ9882" s="7"/>
      <c r="BZ9882" s="7"/>
    </row>
    <row r="9883" spans="2:78">
      <c r="B9883" s="7"/>
      <c r="O9883" s="7"/>
      <c r="X9883" s="7"/>
      <c r="AG9883" s="7"/>
      <c r="AP9883" s="7"/>
      <c r="AY9883" s="7"/>
      <c r="BH9883" s="7"/>
      <c r="BQ9883" s="7"/>
      <c r="BZ9883" s="7"/>
    </row>
    <row r="9884" spans="2:78">
      <c r="B9884" s="7"/>
      <c r="O9884" s="7"/>
      <c r="X9884" s="7"/>
      <c r="AG9884" s="7"/>
      <c r="AP9884" s="7"/>
      <c r="AY9884" s="7"/>
      <c r="BH9884" s="7"/>
      <c r="BQ9884" s="7"/>
      <c r="BZ9884" s="7"/>
    </row>
    <row r="9885" spans="2:78">
      <c r="B9885" s="7"/>
      <c r="O9885" s="7"/>
      <c r="X9885" s="7"/>
      <c r="AG9885" s="7"/>
      <c r="AP9885" s="7"/>
      <c r="AY9885" s="7"/>
      <c r="BH9885" s="7"/>
      <c r="BQ9885" s="7"/>
      <c r="BZ9885" s="7"/>
    </row>
    <row r="9886" spans="2:78">
      <c r="B9886" s="7"/>
      <c r="O9886" s="7"/>
      <c r="X9886" s="7"/>
      <c r="AG9886" s="7"/>
      <c r="AP9886" s="7"/>
      <c r="AY9886" s="7"/>
      <c r="BH9886" s="7"/>
      <c r="BQ9886" s="7"/>
      <c r="BZ9886" s="7"/>
    </row>
    <row r="9887" spans="2:78">
      <c r="B9887" s="7"/>
      <c r="O9887" s="7"/>
      <c r="X9887" s="7"/>
      <c r="AG9887" s="7"/>
      <c r="AP9887" s="7"/>
      <c r="AY9887" s="7"/>
      <c r="BH9887" s="7"/>
      <c r="BQ9887" s="7"/>
      <c r="BZ9887" s="7"/>
    </row>
    <row r="9888" spans="2:78">
      <c r="B9888" s="7"/>
      <c r="O9888" s="7"/>
      <c r="X9888" s="7"/>
      <c r="AG9888" s="7"/>
      <c r="AP9888" s="7"/>
      <c r="AY9888" s="7"/>
      <c r="BH9888" s="7"/>
      <c r="BQ9888" s="7"/>
      <c r="BZ9888" s="7"/>
    </row>
    <row r="9889" spans="2:78">
      <c r="B9889" s="7"/>
      <c r="O9889" s="7"/>
      <c r="X9889" s="7"/>
      <c r="AG9889" s="7"/>
      <c r="AP9889" s="7"/>
      <c r="AY9889" s="7"/>
      <c r="BH9889" s="7"/>
      <c r="BQ9889" s="7"/>
      <c r="BZ9889" s="7"/>
    </row>
    <row r="9890" spans="2:78">
      <c r="B9890" s="7"/>
      <c r="O9890" s="7"/>
      <c r="X9890" s="7"/>
      <c r="AG9890" s="7"/>
      <c r="AP9890" s="7"/>
      <c r="AY9890" s="7"/>
      <c r="BH9890" s="7"/>
      <c r="BQ9890" s="7"/>
      <c r="BZ9890" s="7"/>
    </row>
    <row r="9891" spans="2:78">
      <c r="B9891" s="7"/>
      <c r="O9891" s="7"/>
      <c r="X9891" s="7"/>
      <c r="AG9891" s="7"/>
      <c r="AP9891" s="7"/>
      <c r="AY9891" s="7"/>
      <c r="BH9891" s="7"/>
      <c r="BQ9891" s="7"/>
      <c r="BZ9891" s="7"/>
    </row>
    <row r="9892" spans="2:78">
      <c r="B9892" s="7"/>
      <c r="O9892" s="7"/>
      <c r="X9892" s="7"/>
      <c r="AG9892" s="7"/>
      <c r="AP9892" s="7"/>
      <c r="AY9892" s="7"/>
      <c r="BH9892" s="7"/>
      <c r="BQ9892" s="7"/>
      <c r="BZ9892" s="7"/>
    </row>
    <row r="9893" spans="2:78">
      <c r="B9893" s="7"/>
      <c r="O9893" s="7"/>
      <c r="X9893" s="7"/>
      <c r="AG9893" s="7"/>
      <c r="AP9893" s="7"/>
      <c r="AY9893" s="7"/>
      <c r="BH9893" s="7"/>
      <c r="BQ9893" s="7"/>
      <c r="BZ9893" s="7"/>
    </row>
    <row r="9894" spans="2:78">
      <c r="B9894" s="7"/>
      <c r="O9894" s="7"/>
      <c r="X9894" s="7"/>
      <c r="AG9894" s="7"/>
      <c r="AP9894" s="7"/>
      <c r="AY9894" s="7"/>
      <c r="BH9894" s="7"/>
      <c r="BQ9894" s="7"/>
      <c r="BZ9894" s="7"/>
    </row>
    <row r="9895" spans="2:78">
      <c r="B9895" s="7"/>
      <c r="O9895" s="7"/>
      <c r="X9895" s="7"/>
      <c r="AG9895" s="7"/>
      <c r="AP9895" s="7"/>
      <c r="AY9895" s="7"/>
      <c r="BH9895" s="7"/>
      <c r="BQ9895" s="7"/>
      <c r="BZ9895" s="7"/>
    </row>
    <row r="9896" spans="2:78">
      <c r="B9896" s="7"/>
      <c r="O9896" s="7"/>
      <c r="X9896" s="7"/>
      <c r="AG9896" s="7"/>
      <c r="AP9896" s="7"/>
      <c r="AY9896" s="7"/>
      <c r="BH9896" s="7"/>
      <c r="BQ9896" s="7"/>
      <c r="BZ9896" s="7"/>
    </row>
    <row r="9897" spans="2:78">
      <c r="B9897" s="7"/>
      <c r="O9897" s="7"/>
      <c r="X9897" s="7"/>
      <c r="AG9897" s="7"/>
      <c r="AP9897" s="7"/>
      <c r="AY9897" s="7"/>
      <c r="BH9897" s="7"/>
      <c r="BQ9897" s="7"/>
      <c r="BZ9897" s="7"/>
    </row>
    <row r="9898" spans="2:78">
      <c r="B9898" s="7"/>
      <c r="O9898" s="7"/>
      <c r="X9898" s="7"/>
      <c r="AG9898" s="7"/>
      <c r="AP9898" s="7"/>
      <c r="AY9898" s="7"/>
      <c r="BH9898" s="7"/>
      <c r="BQ9898" s="7"/>
      <c r="BZ9898" s="7"/>
    </row>
    <row r="9899" spans="2:78">
      <c r="B9899" s="7"/>
      <c r="O9899" s="7"/>
      <c r="X9899" s="7"/>
      <c r="AG9899" s="7"/>
      <c r="AP9899" s="7"/>
      <c r="AY9899" s="7"/>
      <c r="BH9899" s="7"/>
      <c r="BQ9899" s="7"/>
      <c r="BZ9899" s="7"/>
    </row>
    <row r="9900" spans="2:78">
      <c r="B9900" s="7"/>
      <c r="O9900" s="7"/>
      <c r="X9900" s="7"/>
      <c r="AG9900" s="7"/>
      <c r="AP9900" s="7"/>
      <c r="AY9900" s="7"/>
      <c r="BH9900" s="7"/>
      <c r="BQ9900" s="7"/>
      <c r="BZ9900" s="7"/>
    </row>
    <row r="9901" spans="2:78">
      <c r="B9901" s="7"/>
      <c r="O9901" s="7"/>
      <c r="X9901" s="7"/>
      <c r="AG9901" s="7"/>
      <c r="AP9901" s="7"/>
      <c r="AY9901" s="7"/>
      <c r="BH9901" s="7"/>
      <c r="BQ9901" s="7"/>
      <c r="BZ9901" s="7"/>
    </row>
    <row r="9902" spans="2:78">
      <c r="B9902" s="7"/>
      <c r="O9902" s="7"/>
      <c r="X9902" s="7"/>
      <c r="AG9902" s="7"/>
      <c r="AP9902" s="7"/>
      <c r="AY9902" s="7"/>
      <c r="BH9902" s="7"/>
      <c r="BQ9902" s="7"/>
      <c r="BZ9902" s="7"/>
    </row>
    <row r="9903" spans="2:78">
      <c r="B9903" s="7"/>
      <c r="O9903" s="7"/>
      <c r="X9903" s="7"/>
      <c r="AG9903" s="7"/>
      <c r="AP9903" s="7"/>
      <c r="AY9903" s="7"/>
      <c r="BH9903" s="7"/>
      <c r="BQ9903" s="7"/>
      <c r="BZ9903" s="7"/>
    </row>
    <row r="9904" spans="2:78">
      <c r="B9904" s="7"/>
      <c r="O9904" s="7"/>
      <c r="X9904" s="7"/>
      <c r="AG9904" s="7"/>
      <c r="AP9904" s="7"/>
      <c r="AY9904" s="7"/>
      <c r="BH9904" s="7"/>
      <c r="BQ9904" s="7"/>
      <c r="BZ9904" s="7"/>
    </row>
    <row r="9905" spans="2:78">
      <c r="B9905" s="7"/>
      <c r="O9905" s="7"/>
      <c r="X9905" s="7"/>
      <c r="AG9905" s="7"/>
      <c r="AP9905" s="7"/>
      <c r="AY9905" s="7"/>
      <c r="BH9905" s="7"/>
      <c r="BQ9905" s="7"/>
      <c r="BZ9905" s="7"/>
    </row>
    <row r="9906" spans="2:78">
      <c r="B9906" s="7"/>
      <c r="O9906" s="7"/>
      <c r="X9906" s="7"/>
      <c r="AG9906" s="7"/>
      <c r="AP9906" s="7"/>
      <c r="AY9906" s="7"/>
      <c r="BH9906" s="7"/>
      <c r="BQ9906" s="7"/>
      <c r="BZ9906" s="7"/>
    </row>
    <row r="9907" spans="2:78">
      <c r="B9907" s="7"/>
      <c r="O9907" s="7"/>
      <c r="X9907" s="7"/>
      <c r="AG9907" s="7"/>
      <c r="AP9907" s="7"/>
      <c r="AY9907" s="7"/>
      <c r="BH9907" s="7"/>
      <c r="BQ9907" s="7"/>
      <c r="BZ9907" s="7"/>
    </row>
    <row r="9908" spans="2:78">
      <c r="B9908" s="7"/>
      <c r="O9908" s="7"/>
      <c r="X9908" s="7"/>
      <c r="AG9908" s="7"/>
      <c r="AP9908" s="7"/>
      <c r="AY9908" s="7"/>
      <c r="BH9908" s="7"/>
      <c r="BQ9908" s="7"/>
      <c r="BZ9908" s="7"/>
    </row>
    <row r="9909" spans="2:78">
      <c r="B9909" s="7"/>
      <c r="O9909" s="7"/>
      <c r="X9909" s="7"/>
      <c r="AG9909" s="7"/>
      <c r="AP9909" s="7"/>
      <c r="AY9909" s="7"/>
      <c r="BH9909" s="7"/>
      <c r="BQ9909" s="7"/>
      <c r="BZ9909" s="7"/>
    </row>
    <row r="9910" spans="2:78">
      <c r="B9910" s="7"/>
      <c r="O9910" s="7"/>
      <c r="X9910" s="7"/>
      <c r="AG9910" s="7"/>
      <c r="AP9910" s="7"/>
      <c r="AY9910" s="7"/>
      <c r="BH9910" s="7"/>
      <c r="BQ9910" s="7"/>
      <c r="BZ9910" s="7"/>
    </row>
    <row r="9911" spans="2:78">
      <c r="B9911" s="7"/>
      <c r="O9911" s="7"/>
      <c r="X9911" s="7"/>
      <c r="AG9911" s="7"/>
      <c r="AP9911" s="7"/>
      <c r="AY9911" s="7"/>
      <c r="BH9911" s="7"/>
      <c r="BQ9911" s="7"/>
      <c r="BZ9911" s="7"/>
    </row>
    <row r="9912" spans="2:78">
      <c r="B9912" s="7"/>
      <c r="O9912" s="7"/>
      <c r="X9912" s="7"/>
      <c r="AG9912" s="7"/>
      <c r="AP9912" s="7"/>
      <c r="AY9912" s="7"/>
      <c r="BH9912" s="7"/>
      <c r="BQ9912" s="7"/>
      <c r="BZ9912" s="7"/>
    </row>
    <row r="9913" spans="2:78">
      <c r="B9913" s="7"/>
      <c r="O9913" s="7"/>
      <c r="X9913" s="7"/>
      <c r="AG9913" s="7"/>
      <c r="AP9913" s="7"/>
      <c r="AY9913" s="7"/>
      <c r="BH9913" s="7"/>
      <c r="BQ9913" s="7"/>
      <c r="BZ9913" s="7"/>
    </row>
    <row r="9914" spans="2:78">
      <c r="B9914" s="7"/>
      <c r="O9914" s="7"/>
      <c r="X9914" s="7"/>
      <c r="AG9914" s="7"/>
      <c r="AP9914" s="7"/>
      <c r="AY9914" s="7"/>
      <c r="BH9914" s="7"/>
      <c r="BQ9914" s="7"/>
      <c r="BZ9914" s="7"/>
    </row>
    <row r="9915" spans="2:78">
      <c r="B9915" s="7"/>
      <c r="O9915" s="7"/>
      <c r="X9915" s="7"/>
      <c r="AG9915" s="7"/>
      <c r="AP9915" s="7"/>
      <c r="AY9915" s="7"/>
      <c r="BH9915" s="7"/>
      <c r="BQ9915" s="7"/>
      <c r="BZ9915" s="7"/>
    </row>
    <row r="9916" spans="2:78">
      <c r="B9916" s="7"/>
      <c r="O9916" s="7"/>
      <c r="X9916" s="7"/>
      <c r="AG9916" s="7"/>
      <c r="AP9916" s="7"/>
      <c r="AY9916" s="7"/>
      <c r="BH9916" s="7"/>
      <c r="BQ9916" s="7"/>
      <c r="BZ9916" s="7"/>
    </row>
    <row r="9917" spans="2:78">
      <c r="B9917" s="7"/>
      <c r="O9917" s="7"/>
      <c r="X9917" s="7"/>
      <c r="AG9917" s="7"/>
      <c r="AP9917" s="7"/>
      <c r="AY9917" s="7"/>
      <c r="BH9917" s="7"/>
      <c r="BQ9917" s="7"/>
      <c r="BZ9917" s="7"/>
    </row>
    <row r="9918" spans="2:78">
      <c r="B9918" s="7"/>
      <c r="O9918" s="7"/>
      <c r="X9918" s="7"/>
      <c r="AG9918" s="7"/>
      <c r="AP9918" s="7"/>
      <c r="AY9918" s="7"/>
      <c r="BH9918" s="7"/>
      <c r="BQ9918" s="7"/>
      <c r="BZ9918" s="7"/>
    </row>
    <row r="9919" spans="2:78">
      <c r="B9919" s="7"/>
      <c r="O9919" s="7"/>
      <c r="X9919" s="7"/>
      <c r="AG9919" s="7"/>
      <c r="AP9919" s="7"/>
      <c r="AY9919" s="7"/>
      <c r="BH9919" s="7"/>
      <c r="BQ9919" s="7"/>
      <c r="BZ9919" s="7"/>
    </row>
    <row r="9920" spans="2:78">
      <c r="B9920" s="7"/>
      <c r="O9920" s="7"/>
      <c r="X9920" s="7"/>
      <c r="AG9920" s="7"/>
      <c r="AP9920" s="7"/>
      <c r="AY9920" s="7"/>
      <c r="BH9920" s="7"/>
      <c r="BQ9920" s="7"/>
      <c r="BZ9920" s="7"/>
    </row>
    <row r="9921" spans="2:78">
      <c r="B9921" s="7"/>
      <c r="O9921" s="7"/>
      <c r="X9921" s="7"/>
      <c r="AG9921" s="7"/>
      <c r="AP9921" s="7"/>
      <c r="AY9921" s="7"/>
      <c r="BH9921" s="7"/>
      <c r="BQ9921" s="7"/>
      <c r="BZ9921" s="7"/>
    </row>
    <row r="9922" spans="2:78">
      <c r="B9922" s="7"/>
      <c r="O9922" s="7"/>
      <c r="X9922" s="7"/>
      <c r="AG9922" s="7"/>
      <c r="AP9922" s="7"/>
      <c r="AY9922" s="7"/>
      <c r="BH9922" s="7"/>
      <c r="BQ9922" s="7"/>
      <c r="BZ9922" s="7"/>
    </row>
    <row r="9923" spans="2:78">
      <c r="B9923" s="7"/>
      <c r="O9923" s="7"/>
      <c r="X9923" s="7"/>
      <c r="AG9923" s="7"/>
      <c r="AP9923" s="7"/>
      <c r="AY9923" s="7"/>
      <c r="BH9923" s="7"/>
      <c r="BQ9923" s="7"/>
      <c r="BZ9923" s="7"/>
    </row>
    <row r="9924" spans="2:78">
      <c r="B9924" s="7"/>
      <c r="O9924" s="7"/>
      <c r="X9924" s="7"/>
      <c r="AG9924" s="7"/>
      <c r="AP9924" s="7"/>
      <c r="AY9924" s="7"/>
      <c r="BH9924" s="7"/>
      <c r="BQ9924" s="7"/>
      <c r="BZ9924" s="7"/>
    </row>
    <row r="9925" spans="2:78">
      <c r="B9925" s="7"/>
      <c r="O9925" s="7"/>
      <c r="X9925" s="7"/>
      <c r="AG9925" s="7"/>
      <c r="AP9925" s="7"/>
      <c r="AY9925" s="7"/>
      <c r="BH9925" s="7"/>
      <c r="BQ9925" s="7"/>
      <c r="BZ9925" s="7"/>
    </row>
    <row r="9926" spans="2:78">
      <c r="B9926" s="7"/>
      <c r="O9926" s="7"/>
      <c r="X9926" s="7"/>
      <c r="AG9926" s="7"/>
      <c r="AP9926" s="7"/>
      <c r="AY9926" s="7"/>
      <c r="BH9926" s="7"/>
      <c r="BQ9926" s="7"/>
      <c r="BZ9926" s="7"/>
    </row>
    <row r="9927" spans="2:78">
      <c r="B9927" s="7"/>
      <c r="O9927" s="7"/>
      <c r="X9927" s="7"/>
      <c r="AG9927" s="7"/>
      <c r="AP9927" s="7"/>
      <c r="AY9927" s="7"/>
      <c r="BH9927" s="7"/>
      <c r="BQ9927" s="7"/>
      <c r="BZ9927" s="7"/>
    </row>
    <row r="9928" spans="2:78">
      <c r="B9928" s="7"/>
      <c r="O9928" s="7"/>
      <c r="X9928" s="7"/>
      <c r="AG9928" s="7"/>
      <c r="AP9928" s="7"/>
      <c r="AY9928" s="7"/>
      <c r="BH9928" s="7"/>
      <c r="BQ9928" s="7"/>
      <c r="BZ9928" s="7"/>
    </row>
    <row r="9929" spans="2:78">
      <c r="B9929" s="7"/>
      <c r="O9929" s="7"/>
      <c r="X9929" s="7"/>
      <c r="AG9929" s="7"/>
      <c r="AP9929" s="7"/>
      <c r="AY9929" s="7"/>
      <c r="BH9929" s="7"/>
      <c r="BQ9929" s="7"/>
      <c r="BZ9929" s="7"/>
    </row>
    <row r="9930" spans="2:78">
      <c r="B9930" s="7"/>
      <c r="O9930" s="7"/>
      <c r="X9930" s="7"/>
      <c r="AG9930" s="7"/>
      <c r="AP9930" s="7"/>
      <c r="AY9930" s="7"/>
      <c r="BH9930" s="7"/>
      <c r="BQ9930" s="7"/>
      <c r="BZ9930" s="7"/>
    </row>
    <row r="9931" spans="2:78">
      <c r="B9931" s="7"/>
      <c r="O9931" s="7"/>
      <c r="X9931" s="7"/>
      <c r="AG9931" s="7"/>
      <c r="AP9931" s="7"/>
      <c r="AY9931" s="7"/>
      <c r="BH9931" s="7"/>
      <c r="BQ9931" s="7"/>
      <c r="BZ9931" s="7"/>
    </row>
    <row r="9932" spans="2:78">
      <c r="B9932" s="7"/>
      <c r="O9932" s="7"/>
      <c r="X9932" s="7"/>
      <c r="AG9932" s="7"/>
      <c r="AP9932" s="7"/>
      <c r="AY9932" s="7"/>
      <c r="BH9932" s="7"/>
      <c r="BQ9932" s="7"/>
      <c r="BZ9932" s="7"/>
    </row>
    <row r="9933" spans="2:78">
      <c r="B9933" s="7"/>
      <c r="O9933" s="7"/>
      <c r="X9933" s="7"/>
      <c r="AG9933" s="7"/>
      <c r="AP9933" s="7"/>
      <c r="AY9933" s="7"/>
      <c r="BH9933" s="7"/>
      <c r="BQ9933" s="7"/>
      <c r="BZ9933" s="7"/>
    </row>
    <row r="9934" spans="2:78">
      <c r="B9934" s="7"/>
      <c r="O9934" s="7"/>
      <c r="X9934" s="7"/>
      <c r="AG9934" s="7"/>
      <c r="AP9934" s="7"/>
      <c r="AY9934" s="7"/>
      <c r="BH9934" s="7"/>
      <c r="BQ9934" s="7"/>
      <c r="BZ9934" s="7"/>
    </row>
    <row r="9935" spans="2:78">
      <c r="B9935" s="7"/>
      <c r="O9935" s="7"/>
      <c r="X9935" s="7"/>
      <c r="AG9935" s="7"/>
      <c r="AP9935" s="7"/>
      <c r="AY9935" s="7"/>
      <c r="BH9935" s="7"/>
      <c r="BQ9935" s="7"/>
      <c r="BZ9935" s="7"/>
    </row>
    <row r="9936" spans="2:78">
      <c r="B9936" s="7"/>
      <c r="O9936" s="7"/>
      <c r="X9936" s="7"/>
      <c r="AG9936" s="7"/>
      <c r="AP9936" s="7"/>
      <c r="AY9936" s="7"/>
      <c r="BH9936" s="7"/>
      <c r="BQ9936" s="7"/>
      <c r="BZ9936" s="7"/>
    </row>
    <row r="9937" spans="2:78">
      <c r="B9937" s="7"/>
      <c r="O9937" s="7"/>
      <c r="X9937" s="7"/>
      <c r="AG9937" s="7"/>
      <c r="AP9937" s="7"/>
      <c r="AY9937" s="7"/>
      <c r="BH9937" s="7"/>
      <c r="BQ9937" s="7"/>
      <c r="BZ9937" s="7"/>
    </row>
    <row r="9938" spans="2:78">
      <c r="B9938" s="7"/>
      <c r="O9938" s="7"/>
      <c r="X9938" s="7"/>
      <c r="AG9938" s="7"/>
      <c r="AP9938" s="7"/>
      <c r="AY9938" s="7"/>
      <c r="BH9938" s="7"/>
      <c r="BQ9938" s="7"/>
      <c r="BZ9938" s="7"/>
    </row>
    <row r="9939" spans="2:78">
      <c r="B9939" s="7"/>
      <c r="O9939" s="7"/>
      <c r="X9939" s="7"/>
      <c r="AG9939" s="7"/>
      <c r="AP9939" s="7"/>
      <c r="AY9939" s="7"/>
      <c r="BH9939" s="7"/>
      <c r="BQ9939" s="7"/>
      <c r="BZ9939" s="7"/>
    </row>
    <row r="9940" spans="2:78">
      <c r="B9940" s="7"/>
      <c r="O9940" s="7"/>
      <c r="X9940" s="7"/>
      <c r="AG9940" s="7"/>
      <c r="AP9940" s="7"/>
      <c r="AY9940" s="7"/>
      <c r="BH9940" s="7"/>
      <c r="BQ9940" s="7"/>
      <c r="BZ9940" s="7"/>
    </row>
    <row r="9941" spans="2:78">
      <c r="B9941" s="7"/>
      <c r="O9941" s="7"/>
      <c r="X9941" s="7"/>
      <c r="AG9941" s="7"/>
      <c r="AP9941" s="7"/>
      <c r="AY9941" s="7"/>
      <c r="BH9941" s="7"/>
      <c r="BQ9941" s="7"/>
      <c r="BZ9941" s="7"/>
    </row>
    <row r="9942" spans="2:78">
      <c r="B9942" s="7"/>
      <c r="O9942" s="7"/>
      <c r="X9942" s="7"/>
      <c r="AG9942" s="7"/>
      <c r="AP9942" s="7"/>
      <c r="AY9942" s="7"/>
      <c r="BH9942" s="7"/>
      <c r="BQ9942" s="7"/>
      <c r="BZ9942" s="7"/>
    </row>
    <row r="9943" spans="2:78">
      <c r="B9943" s="7"/>
      <c r="O9943" s="7"/>
      <c r="X9943" s="7"/>
      <c r="AG9943" s="7"/>
      <c r="AP9943" s="7"/>
      <c r="AY9943" s="7"/>
      <c r="BH9943" s="7"/>
      <c r="BQ9943" s="7"/>
      <c r="BZ9943" s="7"/>
    </row>
    <row r="9944" spans="2:78">
      <c r="B9944" s="7"/>
      <c r="O9944" s="7"/>
      <c r="X9944" s="7"/>
      <c r="AG9944" s="7"/>
      <c r="AP9944" s="7"/>
      <c r="AY9944" s="7"/>
      <c r="BH9944" s="7"/>
      <c r="BQ9944" s="7"/>
      <c r="BZ9944" s="7"/>
    </row>
    <row r="9945" spans="2:78">
      <c r="B9945" s="7"/>
      <c r="O9945" s="7"/>
      <c r="X9945" s="7"/>
      <c r="AG9945" s="7"/>
      <c r="AP9945" s="7"/>
      <c r="AY9945" s="7"/>
      <c r="BH9945" s="7"/>
      <c r="BQ9945" s="7"/>
      <c r="BZ9945" s="7"/>
    </row>
    <row r="9946" spans="2:78">
      <c r="B9946" s="7"/>
      <c r="O9946" s="7"/>
      <c r="X9946" s="7"/>
      <c r="AG9946" s="7"/>
      <c r="AP9946" s="7"/>
      <c r="AY9946" s="7"/>
      <c r="BH9946" s="7"/>
      <c r="BQ9946" s="7"/>
      <c r="BZ9946" s="7"/>
    </row>
    <row r="9947" spans="2:78">
      <c r="B9947" s="7"/>
      <c r="O9947" s="7"/>
      <c r="X9947" s="7"/>
      <c r="AG9947" s="7"/>
      <c r="AP9947" s="7"/>
      <c r="AY9947" s="7"/>
      <c r="BH9947" s="7"/>
      <c r="BQ9947" s="7"/>
      <c r="BZ9947" s="7"/>
    </row>
    <row r="9948" spans="2:78">
      <c r="B9948" s="7"/>
      <c r="O9948" s="7"/>
      <c r="X9948" s="7"/>
      <c r="AG9948" s="7"/>
      <c r="AP9948" s="7"/>
      <c r="AY9948" s="7"/>
      <c r="BH9948" s="7"/>
      <c r="BQ9948" s="7"/>
      <c r="BZ9948" s="7"/>
    </row>
    <row r="9949" spans="2:78">
      <c r="B9949" s="7"/>
      <c r="O9949" s="7"/>
      <c r="X9949" s="7"/>
      <c r="AG9949" s="7"/>
      <c r="AP9949" s="7"/>
      <c r="AY9949" s="7"/>
      <c r="BH9949" s="7"/>
      <c r="BQ9949" s="7"/>
      <c r="BZ9949" s="7"/>
    </row>
    <row r="9950" spans="2:78">
      <c r="B9950" s="7"/>
      <c r="O9950" s="7"/>
      <c r="X9950" s="7"/>
      <c r="AG9950" s="7"/>
      <c r="AP9950" s="7"/>
      <c r="AY9950" s="7"/>
      <c r="BH9950" s="7"/>
      <c r="BQ9950" s="7"/>
      <c r="BZ9950" s="7"/>
    </row>
    <row r="9951" spans="2:78">
      <c r="B9951" s="7"/>
      <c r="O9951" s="7"/>
      <c r="X9951" s="7"/>
      <c r="AG9951" s="7"/>
      <c r="AP9951" s="7"/>
      <c r="AY9951" s="7"/>
      <c r="BH9951" s="7"/>
      <c r="BQ9951" s="7"/>
      <c r="BZ9951" s="7"/>
    </row>
    <row r="9952" spans="2:78">
      <c r="B9952" s="7"/>
      <c r="O9952" s="7"/>
      <c r="X9952" s="7"/>
      <c r="AG9952" s="7"/>
      <c r="AP9952" s="7"/>
      <c r="AY9952" s="7"/>
      <c r="BH9952" s="7"/>
      <c r="BQ9952" s="7"/>
      <c r="BZ9952" s="7"/>
    </row>
    <row r="9953" spans="2:78">
      <c r="B9953" s="7"/>
      <c r="O9953" s="7"/>
      <c r="X9953" s="7"/>
      <c r="AG9953" s="7"/>
      <c r="AP9953" s="7"/>
      <c r="AY9953" s="7"/>
      <c r="BH9953" s="7"/>
      <c r="BQ9953" s="7"/>
      <c r="BZ9953" s="7"/>
    </row>
    <row r="9954" spans="2:78">
      <c r="B9954" s="7"/>
      <c r="O9954" s="7"/>
      <c r="X9954" s="7"/>
      <c r="AG9954" s="7"/>
      <c r="AP9954" s="7"/>
      <c r="AY9954" s="7"/>
      <c r="BH9954" s="7"/>
      <c r="BQ9954" s="7"/>
      <c r="BZ9954" s="7"/>
    </row>
    <row r="9955" spans="2:78">
      <c r="B9955" s="7"/>
      <c r="O9955" s="7"/>
      <c r="X9955" s="7"/>
      <c r="AG9955" s="7"/>
      <c r="AP9955" s="7"/>
      <c r="AY9955" s="7"/>
      <c r="BH9955" s="7"/>
      <c r="BQ9955" s="7"/>
      <c r="BZ9955" s="7"/>
    </row>
    <row r="9956" spans="2:78">
      <c r="B9956" s="7"/>
      <c r="O9956" s="7"/>
      <c r="X9956" s="7"/>
      <c r="AG9956" s="7"/>
      <c r="AP9956" s="7"/>
      <c r="AY9956" s="7"/>
      <c r="BH9956" s="7"/>
      <c r="BQ9956" s="7"/>
      <c r="BZ9956" s="7"/>
    </row>
    <row r="9957" spans="2:78">
      <c r="B9957" s="7"/>
      <c r="O9957" s="7"/>
      <c r="X9957" s="7"/>
      <c r="AG9957" s="7"/>
      <c r="AP9957" s="7"/>
      <c r="AY9957" s="7"/>
      <c r="BH9957" s="7"/>
      <c r="BQ9957" s="7"/>
      <c r="BZ9957" s="7"/>
    </row>
    <row r="9958" spans="2:78">
      <c r="B9958" s="7"/>
      <c r="O9958" s="7"/>
      <c r="X9958" s="7"/>
      <c r="AG9958" s="7"/>
      <c r="AP9958" s="7"/>
      <c r="AY9958" s="7"/>
      <c r="BH9958" s="7"/>
      <c r="BQ9958" s="7"/>
      <c r="BZ9958" s="7"/>
    </row>
    <row r="9959" spans="2:78">
      <c r="B9959" s="7"/>
      <c r="O9959" s="7"/>
      <c r="X9959" s="7"/>
      <c r="AG9959" s="7"/>
      <c r="AP9959" s="7"/>
      <c r="AY9959" s="7"/>
      <c r="BH9959" s="7"/>
      <c r="BQ9959" s="7"/>
      <c r="BZ9959" s="7"/>
    </row>
    <row r="9960" spans="2:78">
      <c r="B9960" s="7"/>
      <c r="O9960" s="7"/>
      <c r="X9960" s="7"/>
      <c r="AG9960" s="7"/>
      <c r="AP9960" s="7"/>
      <c r="AY9960" s="7"/>
      <c r="BH9960" s="7"/>
      <c r="BQ9960" s="7"/>
      <c r="BZ9960" s="7"/>
    </row>
    <row r="9961" spans="2:78">
      <c r="B9961" s="7"/>
      <c r="O9961" s="7"/>
      <c r="X9961" s="7"/>
      <c r="AG9961" s="7"/>
      <c r="AP9961" s="7"/>
      <c r="AY9961" s="7"/>
      <c r="BH9961" s="7"/>
      <c r="BQ9961" s="7"/>
      <c r="BZ9961" s="7"/>
    </row>
    <row r="9962" spans="2:78">
      <c r="B9962" s="7"/>
      <c r="O9962" s="7"/>
      <c r="X9962" s="7"/>
      <c r="AG9962" s="7"/>
      <c r="AP9962" s="7"/>
      <c r="AY9962" s="7"/>
      <c r="BH9962" s="7"/>
      <c r="BQ9962" s="7"/>
      <c r="BZ9962" s="7"/>
    </row>
    <row r="9963" spans="2:78">
      <c r="B9963" s="7"/>
      <c r="O9963" s="7"/>
      <c r="X9963" s="7"/>
      <c r="AG9963" s="7"/>
      <c r="AP9963" s="7"/>
      <c r="AY9963" s="7"/>
      <c r="BH9963" s="7"/>
      <c r="BQ9963" s="7"/>
      <c r="BZ9963" s="7"/>
    </row>
    <row r="9964" spans="2:78">
      <c r="B9964" s="7"/>
      <c r="O9964" s="7"/>
      <c r="X9964" s="7"/>
      <c r="AG9964" s="7"/>
      <c r="AP9964" s="7"/>
      <c r="AY9964" s="7"/>
      <c r="BH9964" s="7"/>
      <c r="BQ9964" s="7"/>
      <c r="BZ9964" s="7"/>
    </row>
    <row r="9965" spans="2:78">
      <c r="B9965" s="7"/>
      <c r="O9965" s="7"/>
      <c r="X9965" s="7"/>
      <c r="AG9965" s="7"/>
      <c r="AP9965" s="7"/>
      <c r="AY9965" s="7"/>
      <c r="BH9965" s="7"/>
      <c r="BQ9965" s="7"/>
      <c r="BZ9965" s="7"/>
    </row>
    <row r="9966" spans="2:78">
      <c r="B9966" s="7"/>
      <c r="O9966" s="7"/>
      <c r="X9966" s="7"/>
      <c r="AG9966" s="7"/>
      <c r="AP9966" s="7"/>
      <c r="AY9966" s="7"/>
      <c r="BH9966" s="7"/>
      <c r="BQ9966" s="7"/>
      <c r="BZ9966" s="7"/>
    </row>
    <row r="9967" spans="2:78">
      <c r="B9967" s="7"/>
      <c r="O9967" s="7"/>
      <c r="X9967" s="7"/>
      <c r="AG9967" s="7"/>
      <c r="AP9967" s="7"/>
      <c r="AY9967" s="7"/>
      <c r="BH9967" s="7"/>
      <c r="BQ9967" s="7"/>
      <c r="BZ9967" s="7"/>
    </row>
    <row r="9968" spans="2:78">
      <c r="B9968" s="7"/>
      <c r="O9968" s="7"/>
      <c r="X9968" s="7"/>
      <c r="AG9968" s="7"/>
      <c r="AP9968" s="7"/>
      <c r="AY9968" s="7"/>
      <c r="BH9968" s="7"/>
      <c r="BQ9968" s="7"/>
      <c r="BZ9968" s="7"/>
    </row>
    <row r="9969" spans="2:78">
      <c r="B9969" s="7"/>
      <c r="O9969" s="7"/>
      <c r="X9969" s="7"/>
      <c r="AG9969" s="7"/>
      <c r="AP9969" s="7"/>
      <c r="AY9969" s="7"/>
      <c r="BH9969" s="7"/>
      <c r="BQ9969" s="7"/>
      <c r="BZ9969" s="7"/>
    </row>
    <row r="9970" spans="2:78">
      <c r="B9970" s="7"/>
      <c r="O9970" s="7"/>
      <c r="X9970" s="7"/>
      <c r="AG9970" s="7"/>
      <c r="AP9970" s="7"/>
      <c r="AY9970" s="7"/>
      <c r="BH9970" s="7"/>
      <c r="BQ9970" s="7"/>
      <c r="BZ9970" s="7"/>
    </row>
    <row r="9971" spans="2:78">
      <c r="B9971" s="7"/>
      <c r="O9971" s="7"/>
      <c r="X9971" s="7"/>
      <c r="AG9971" s="7"/>
      <c r="AP9971" s="7"/>
      <c r="AY9971" s="7"/>
      <c r="BH9971" s="7"/>
      <c r="BQ9971" s="7"/>
      <c r="BZ9971" s="7"/>
    </row>
    <row r="9972" spans="2:78">
      <c r="B9972" s="7"/>
      <c r="O9972" s="7"/>
      <c r="X9972" s="7"/>
      <c r="AG9972" s="7"/>
      <c r="AP9972" s="7"/>
      <c r="AY9972" s="7"/>
      <c r="BH9972" s="7"/>
      <c r="BQ9972" s="7"/>
      <c r="BZ9972" s="7"/>
    </row>
    <row r="9973" spans="2:78">
      <c r="B9973" s="7"/>
      <c r="O9973" s="7"/>
      <c r="X9973" s="7"/>
      <c r="AG9973" s="7"/>
      <c r="AP9973" s="7"/>
      <c r="AY9973" s="7"/>
      <c r="BH9973" s="7"/>
      <c r="BQ9973" s="7"/>
      <c r="BZ9973" s="7"/>
    </row>
    <row r="9974" spans="2:78">
      <c r="B9974" s="7"/>
      <c r="O9974" s="7"/>
      <c r="X9974" s="7"/>
      <c r="AG9974" s="7"/>
      <c r="AP9974" s="7"/>
      <c r="AY9974" s="7"/>
      <c r="BH9974" s="7"/>
      <c r="BQ9974" s="7"/>
      <c r="BZ9974" s="7"/>
    </row>
    <row r="9975" spans="2:78">
      <c r="B9975" s="7"/>
      <c r="O9975" s="7"/>
      <c r="X9975" s="7"/>
      <c r="AG9975" s="7"/>
      <c r="AP9975" s="7"/>
      <c r="AY9975" s="7"/>
      <c r="BH9975" s="7"/>
      <c r="BQ9975" s="7"/>
      <c r="BZ9975" s="7"/>
    </row>
    <row r="9976" spans="2:78">
      <c r="B9976" s="7"/>
      <c r="O9976" s="7"/>
      <c r="X9976" s="7"/>
      <c r="AG9976" s="7"/>
      <c r="AP9976" s="7"/>
      <c r="AY9976" s="7"/>
      <c r="BH9976" s="7"/>
      <c r="BQ9976" s="7"/>
      <c r="BZ9976" s="7"/>
    </row>
    <row r="9977" spans="2:78">
      <c r="B9977" s="7"/>
      <c r="O9977" s="7"/>
      <c r="X9977" s="7"/>
      <c r="AG9977" s="7"/>
      <c r="AP9977" s="7"/>
      <c r="AY9977" s="7"/>
      <c r="BH9977" s="7"/>
      <c r="BQ9977" s="7"/>
      <c r="BZ9977" s="7"/>
    </row>
    <row r="9978" spans="2:78">
      <c r="B9978" s="7"/>
      <c r="O9978" s="7"/>
      <c r="X9978" s="7"/>
      <c r="AG9978" s="7"/>
      <c r="AP9978" s="7"/>
      <c r="AY9978" s="7"/>
      <c r="BH9978" s="7"/>
      <c r="BQ9978" s="7"/>
      <c r="BZ9978" s="7"/>
    </row>
    <row r="9979" spans="2:78">
      <c r="B9979" s="7"/>
      <c r="O9979" s="7"/>
      <c r="X9979" s="7"/>
      <c r="AG9979" s="7"/>
      <c r="AP9979" s="7"/>
      <c r="AY9979" s="7"/>
      <c r="BH9979" s="7"/>
      <c r="BQ9979" s="7"/>
      <c r="BZ9979" s="7"/>
    </row>
    <row r="9980" spans="2:78">
      <c r="B9980" s="7"/>
      <c r="O9980" s="7"/>
      <c r="X9980" s="7"/>
      <c r="AG9980" s="7"/>
      <c r="AP9980" s="7"/>
      <c r="AY9980" s="7"/>
      <c r="BH9980" s="7"/>
      <c r="BQ9980" s="7"/>
      <c r="BZ9980" s="7"/>
    </row>
    <row r="9981" spans="2:78">
      <c r="B9981" s="7"/>
      <c r="O9981" s="7"/>
      <c r="X9981" s="7"/>
      <c r="AG9981" s="7"/>
      <c r="AP9981" s="7"/>
      <c r="AY9981" s="7"/>
      <c r="BH9981" s="7"/>
      <c r="BQ9981" s="7"/>
      <c r="BZ9981" s="7"/>
    </row>
    <row r="9982" spans="2:78">
      <c r="B9982" s="7"/>
      <c r="O9982" s="7"/>
      <c r="X9982" s="7"/>
      <c r="AG9982" s="7"/>
      <c r="AP9982" s="7"/>
      <c r="AY9982" s="7"/>
      <c r="BH9982" s="7"/>
      <c r="BQ9982" s="7"/>
      <c r="BZ9982" s="7"/>
    </row>
    <row r="9983" spans="2:78">
      <c r="B9983" s="7"/>
      <c r="O9983" s="7"/>
      <c r="X9983" s="7"/>
      <c r="AG9983" s="7"/>
      <c r="AP9983" s="7"/>
      <c r="AY9983" s="7"/>
      <c r="BH9983" s="7"/>
      <c r="BQ9983" s="7"/>
      <c r="BZ9983" s="7"/>
    </row>
    <row r="9984" spans="2:78">
      <c r="B9984" s="7"/>
      <c r="O9984" s="7"/>
      <c r="X9984" s="7"/>
      <c r="AG9984" s="7"/>
      <c r="AP9984" s="7"/>
      <c r="AY9984" s="7"/>
      <c r="BH9984" s="7"/>
      <c r="BQ9984" s="7"/>
      <c r="BZ9984" s="7"/>
    </row>
    <row r="9985" spans="2:78">
      <c r="B9985" s="7"/>
      <c r="O9985" s="7"/>
      <c r="X9985" s="7"/>
      <c r="AG9985" s="7"/>
      <c r="AP9985" s="7"/>
      <c r="AY9985" s="7"/>
      <c r="BH9985" s="7"/>
      <c r="BQ9985" s="7"/>
      <c r="BZ9985" s="7"/>
    </row>
    <row r="9986" spans="2:78">
      <c r="B9986" s="7"/>
      <c r="O9986" s="7"/>
      <c r="X9986" s="7"/>
      <c r="AG9986" s="7"/>
      <c r="AP9986" s="7"/>
      <c r="AY9986" s="7"/>
      <c r="BH9986" s="7"/>
      <c r="BQ9986" s="7"/>
      <c r="BZ9986" s="7"/>
    </row>
    <row r="9987" spans="2:78">
      <c r="B9987" s="7"/>
      <c r="O9987" s="7"/>
      <c r="X9987" s="7"/>
      <c r="AG9987" s="7"/>
      <c r="AP9987" s="7"/>
      <c r="AY9987" s="7"/>
      <c r="BH9987" s="7"/>
      <c r="BQ9987" s="7"/>
      <c r="BZ9987" s="7"/>
    </row>
    <row r="9988" spans="2:78">
      <c r="B9988" s="7"/>
      <c r="O9988" s="7"/>
      <c r="X9988" s="7"/>
      <c r="AG9988" s="7"/>
      <c r="AP9988" s="7"/>
      <c r="AY9988" s="7"/>
      <c r="BH9988" s="7"/>
      <c r="BQ9988" s="7"/>
      <c r="BZ9988" s="7"/>
    </row>
    <row r="9989" spans="2:78">
      <c r="B9989" s="7"/>
      <c r="O9989" s="7"/>
      <c r="X9989" s="7"/>
      <c r="AG9989" s="7"/>
      <c r="AP9989" s="7"/>
      <c r="AY9989" s="7"/>
      <c r="BH9989" s="7"/>
      <c r="BQ9989" s="7"/>
      <c r="BZ9989" s="7"/>
    </row>
    <row r="9990" spans="2:78">
      <c r="B9990" s="7"/>
      <c r="O9990" s="7"/>
      <c r="X9990" s="7"/>
      <c r="AG9990" s="7"/>
      <c r="AP9990" s="7"/>
      <c r="AY9990" s="7"/>
      <c r="BH9990" s="7"/>
      <c r="BQ9990" s="7"/>
      <c r="BZ9990" s="7"/>
    </row>
    <row r="9991" spans="2:78">
      <c r="B9991" s="7"/>
      <c r="O9991" s="7"/>
      <c r="X9991" s="7"/>
      <c r="AG9991" s="7"/>
      <c r="AP9991" s="7"/>
      <c r="AY9991" s="7"/>
      <c r="BH9991" s="7"/>
      <c r="BQ9991" s="7"/>
      <c r="BZ9991" s="7"/>
    </row>
    <row r="9992" spans="2:78">
      <c r="B9992" s="7"/>
      <c r="O9992" s="7"/>
      <c r="X9992" s="7"/>
      <c r="AG9992" s="7"/>
      <c r="AP9992" s="7"/>
      <c r="AY9992" s="7"/>
      <c r="BH9992" s="7"/>
      <c r="BQ9992" s="7"/>
      <c r="BZ9992" s="7"/>
    </row>
    <row r="9993" spans="2:78">
      <c r="B9993" s="7"/>
      <c r="O9993" s="7"/>
      <c r="X9993" s="7"/>
      <c r="AG9993" s="7"/>
      <c r="AP9993" s="7"/>
      <c r="AY9993" s="7"/>
      <c r="BH9993" s="7"/>
      <c r="BQ9993" s="7"/>
      <c r="BZ9993" s="7"/>
    </row>
    <row r="9994" spans="2:78">
      <c r="B9994" s="7"/>
      <c r="O9994" s="7"/>
      <c r="X9994" s="7"/>
      <c r="AG9994" s="7"/>
      <c r="AP9994" s="7"/>
      <c r="AY9994" s="7"/>
      <c r="BH9994" s="7"/>
      <c r="BQ9994" s="7"/>
      <c r="BZ9994" s="7"/>
    </row>
    <row r="9995" spans="2:78">
      <c r="B9995" s="7"/>
      <c r="O9995" s="7"/>
      <c r="X9995" s="7"/>
      <c r="AG9995" s="7"/>
      <c r="AP9995" s="7"/>
      <c r="AY9995" s="7"/>
      <c r="BH9995" s="7"/>
      <c r="BQ9995" s="7"/>
      <c r="BZ9995" s="7"/>
    </row>
    <row r="9996" spans="2:78">
      <c r="B9996" s="7"/>
      <c r="O9996" s="7"/>
      <c r="X9996" s="7"/>
      <c r="AG9996" s="7"/>
      <c r="AP9996" s="7"/>
      <c r="AY9996" s="7"/>
      <c r="BH9996" s="7"/>
      <c r="BQ9996" s="7"/>
      <c r="BZ9996" s="7"/>
    </row>
    <row r="9997" spans="2:78">
      <c r="B9997" s="7"/>
      <c r="O9997" s="7"/>
      <c r="X9997" s="7"/>
      <c r="AG9997" s="7"/>
      <c r="AP9997" s="7"/>
      <c r="AY9997" s="7"/>
      <c r="BH9997" s="7"/>
      <c r="BQ9997" s="7"/>
      <c r="BZ9997" s="7"/>
    </row>
    <row r="9998" spans="2:78">
      <c r="B9998" s="7"/>
      <c r="O9998" s="7"/>
      <c r="X9998" s="7"/>
      <c r="AG9998" s="7"/>
      <c r="AP9998" s="7"/>
      <c r="AY9998" s="7"/>
      <c r="BH9998" s="7"/>
      <c r="BQ9998" s="7"/>
      <c r="BZ9998" s="7"/>
    </row>
    <row r="9999" spans="2:78">
      <c r="B9999" s="7"/>
      <c r="O9999" s="7"/>
      <c r="X9999" s="7"/>
      <c r="AG9999" s="7"/>
      <c r="AP9999" s="7"/>
      <c r="AY9999" s="7"/>
      <c r="BH9999" s="7"/>
      <c r="BQ9999" s="7"/>
      <c r="BZ9999" s="7"/>
    </row>
    <row r="10000" spans="2:78">
      <c r="B10000" s="7"/>
      <c r="O10000" s="7"/>
      <c r="X10000" s="7"/>
      <c r="AG10000" s="7"/>
      <c r="AP10000" s="7"/>
      <c r="AY10000" s="7"/>
      <c r="BH10000" s="7"/>
      <c r="BQ10000" s="7"/>
      <c r="BZ10000" s="7"/>
    </row>
    <row r="10001" spans="2:78">
      <c r="B10001" s="7"/>
      <c r="O10001" s="7"/>
      <c r="X10001" s="7"/>
      <c r="AG10001" s="7"/>
      <c r="AP10001" s="7"/>
      <c r="AY10001" s="7"/>
      <c r="BH10001" s="7"/>
      <c r="BQ10001" s="7"/>
      <c r="BZ10001" s="7"/>
    </row>
    <row r="10002" spans="2:78">
      <c r="B10002" s="7"/>
      <c r="O10002" s="7"/>
      <c r="X10002" s="7"/>
      <c r="AG10002" s="7"/>
      <c r="AP10002" s="7"/>
      <c r="AY10002" s="7"/>
      <c r="BH10002" s="7"/>
      <c r="BQ10002" s="7"/>
      <c r="BZ10002" s="7"/>
    </row>
    <row r="10003" spans="2:78">
      <c r="B10003" s="7"/>
      <c r="O10003" s="7"/>
      <c r="X10003" s="7"/>
      <c r="AG10003" s="7"/>
      <c r="AP10003" s="7"/>
      <c r="AY10003" s="7"/>
      <c r="BH10003" s="7"/>
      <c r="BQ10003" s="7"/>
      <c r="BZ10003" s="7"/>
    </row>
    <row r="10004" spans="2:78">
      <c r="B10004" s="7"/>
      <c r="O10004" s="7"/>
      <c r="X10004" s="7"/>
      <c r="AG10004" s="7"/>
      <c r="AP10004" s="7"/>
      <c r="AY10004" s="7"/>
      <c r="BH10004" s="7"/>
      <c r="BQ10004" s="7"/>
      <c r="BZ10004" s="7"/>
    </row>
    <row r="10005" spans="2:78">
      <c r="B10005" s="7"/>
      <c r="O10005" s="7"/>
      <c r="X10005" s="7"/>
      <c r="AG10005" s="7"/>
      <c r="AP10005" s="7"/>
      <c r="AY10005" s="7"/>
      <c r="BH10005" s="7"/>
      <c r="BQ10005" s="7"/>
      <c r="BZ10005" s="7"/>
    </row>
    <row r="10006" spans="2:78">
      <c r="B10006" s="7"/>
      <c r="O10006" s="7"/>
      <c r="X10006" s="7"/>
      <c r="AG10006" s="7"/>
      <c r="AP10006" s="7"/>
      <c r="AY10006" s="7"/>
      <c r="BH10006" s="7"/>
      <c r="BQ10006" s="7"/>
      <c r="BZ10006" s="7"/>
    </row>
    <row r="10007" spans="2:78">
      <c r="B10007" s="7"/>
      <c r="O10007" s="7"/>
      <c r="X10007" s="7"/>
      <c r="AG10007" s="7"/>
      <c r="AP10007" s="7"/>
      <c r="AY10007" s="7"/>
      <c r="BH10007" s="7"/>
      <c r="BQ10007" s="7"/>
      <c r="BZ10007" s="7"/>
    </row>
    <row r="10008" spans="2:78">
      <c r="B10008" s="7"/>
      <c r="O10008" s="7"/>
      <c r="X10008" s="7"/>
      <c r="AG10008" s="7"/>
      <c r="AP10008" s="7"/>
      <c r="AY10008" s="7"/>
      <c r="BH10008" s="7"/>
      <c r="BQ10008" s="7"/>
      <c r="BZ10008" s="7"/>
    </row>
    <row r="10009" spans="2:78">
      <c r="B10009" s="7"/>
      <c r="O10009" s="7"/>
      <c r="X10009" s="7"/>
      <c r="AG10009" s="7"/>
      <c r="AP10009" s="7"/>
      <c r="AY10009" s="7"/>
      <c r="BH10009" s="7"/>
      <c r="BQ10009" s="7"/>
      <c r="BZ10009" s="7"/>
    </row>
    <row r="10010" spans="2:78">
      <c r="B10010" s="7"/>
      <c r="O10010" s="7"/>
      <c r="X10010" s="7"/>
      <c r="AG10010" s="7"/>
      <c r="AP10010" s="7"/>
      <c r="AY10010" s="7"/>
      <c r="BH10010" s="7"/>
      <c r="BQ10010" s="7"/>
      <c r="BZ10010" s="7"/>
    </row>
    <row r="10011" spans="2:78">
      <c r="B10011" s="7"/>
      <c r="O10011" s="7"/>
      <c r="X10011" s="7"/>
      <c r="AG10011" s="7"/>
      <c r="AP10011" s="7"/>
      <c r="AY10011" s="7"/>
      <c r="BH10011" s="7"/>
      <c r="BQ10011" s="7"/>
      <c r="BZ10011" s="7"/>
    </row>
    <row r="10012" spans="2:78">
      <c r="B10012" s="7"/>
      <c r="O10012" s="7"/>
      <c r="X10012" s="7"/>
      <c r="AG10012" s="7"/>
      <c r="AP10012" s="7"/>
      <c r="AY10012" s="7"/>
      <c r="BH10012" s="7"/>
      <c r="BQ10012" s="7"/>
      <c r="BZ10012" s="7"/>
    </row>
    <row r="10013" spans="2:78">
      <c r="B10013" s="7"/>
      <c r="O10013" s="7"/>
      <c r="X10013" s="7"/>
      <c r="AG10013" s="7"/>
      <c r="AP10013" s="7"/>
      <c r="AY10013" s="7"/>
      <c r="BH10013" s="7"/>
      <c r="BQ10013" s="7"/>
      <c r="BZ10013" s="7"/>
    </row>
    <row r="10014" spans="2:78">
      <c r="B10014" s="7"/>
      <c r="O10014" s="7"/>
      <c r="X10014" s="7"/>
      <c r="AG10014" s="7"/>
      <c r="AP10014" s="7"/>
      <c r="AY10014" s="7"/>
      <c r="BH10014" s="7"/>
      <c r="BQ10014" s="7"/>
      <c r="BZ10014" s="7"/>
    </row>
    <row r="10015" spans="2:78">
      <c r="B10015" s="7"/>
      <c r="O10015" s="7"/>
      <c r="X10015" s="7"/>
      <c r="AG10015" s="7"/>
      <c r="AP10015" s="7"/>
      <c r="AY10015" s="7"/>
      <c r="BH10015" s="7"/>
      <c r="BQ10015" s="7"/>
      <c r="BZ10015" s="7"/>
    </row>
    <row r="10016" spans="2:78">
      <c r="B10016" s="7"/>
      <c r="O10016" s="7"/>
      <c r="X10016" s="7"/>
      <c r="AG10016" s="7"/>
      <c r="AP10016" s="7"/>
      <c r="AY10016" s="7"/>
      <c r="BH10016" s="7"/>
      <c r="BQ10016" s="7"/>
      <c r="BZ10016" s="7"/>
    </row>
    <row r="10017" spans="2:78">
      <c r="B10017" s="7"/>
      <c r="O10017" s="7"/>
      <c r="X10017" s="7"/>
      <c r="AG10017" s="7"/>
      <c r="AP10017" s="7"/>
      <c r="AY10017" s="7"/>
      <c r="BH10017" s="7"/>
      <c r="BQ10017" s="7"/>
      <c r="BZ10017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0017"/>
  <sheetViews>
    <sheetView showGridLines="0" workbookViewId="0"/>
  </sheetViews>
  <sheetFormatPr defaultRowHeight="13.5"/>
  <cols>
    <col min="1" max="1" width="1.5703125" style="6" customWidth="1"/>
    <col min="2" max="2" width="11.28515625" style="6" bestFit="1" customWidth="1"/>
    <col min="3" max="3" width="12.85546875" style="6" customWidth="1"/>
    <col min="4" max="4" width="11.42578125" style="6" customWidth="1"/>
    <col min="5" max="5" width="13.5703125" style="6" customWidth="1"/>
    <col min="6" max="6" width="11.28515625" style="6" bestFit="1" customWidth="1"/>
    <col min="7" max="7" width="12.140625" style="6" customWidth="1"/>
    <col min="8" max="8" width="11.42578125" style="6" customWidth="1"/>
    <col min="9" max="9" width="12.42578125" style="6" customWidth="1"/>
    <col min="10" max="10" width="10.7109375" style="6" customWidth="1"/>
    <col min="11" max="11" width="12.140625" style="6" customWidth="1"/>
    <col min="12" max="13" width="11.7109375" style="6" customWidth="1"/>
    <col min="14" max="14" width="11.5703125" style="6" customWidth="1"/>
    <col min="15" max="15" width="11.85546875" style="6" customWidth="1"/>
    <col min="16" max="16" width="11.28515625" style="6" bestFit="1" customWidth="1"/>
    <col min="17" max="17" width="13" style="6" bestFit="1" customWidth="1"/>
    <col min="18" max="18" width="11.28515625" style="6" bestFit="1" customWidth="1"/>
    <col min="19" max="19" width="13" style="6" bestFit="1" customWidth="1"/>
    <col min="20" max="20" width="11.28515625" style="6" bestFit="1" customWidth="1"/>
    <col min="21" max="21" width="9.140625" style="6"/>
    <col min="22" max="22" width="11.28515625" style="6" bestFit="1" customWidth="1"/>
    <col min="23" max="23" width="9.140625" style="6"/>
    <col min="24" max="24" width="11.28515625" style="6" bestFit="1" customWidth="1"/>
    <col min="25" max="16384" width="9.140625" style="6"/>
  </cols>
  <sheetData>
    <row r="1" spans="1:25" ht="7.5" customHeight="1" thickBot="1">
      <c r="A1" s="3"/>
      <c r="B1"/>
      <c r="C1" t="s">
        <v>321</v>
      </c>
      <c r="D1"/>
      <c r="E1" s="6" t="s">
        <v>322</v>
      </c>
      <c r="F1"/>
      <c r="G1" s="6" t="s">
        <v>323</v>
      </c>
      <c r="H1" s="45"/>
      <c r="I1" s="6" t="s">
        <v>320</v>
      </c>
      <c r="J1"/>
      <c r="K1" s="6" t="s">
        <v>324</v>
      </c>
      <c r="L1"/>
      <c r="M1" s="6" t="s">
        <v>325</v>
      </c>
      <c r="N1"/>
      <c r="O1" s="6" t="s">
        <v>326</v>
      </c>
      <c r="P1"/>
      <c r="Q1" s="6" t="s">
        <v>327</v>
      </c>
      <c r="R1"/>
      <c r="S1" s="6" t="s">
        <v>328</v>
      </c>
      <c r="T1"/>
      <c r="U1" s="6" t="s">
        <v>329</v>
      </c>
      <c r="V1"/>
      <c r="W1" s="6" t="s">
        <v>330</v>
      </c>
      <c r="Y1" s="6" t="s">
        <v>331</v>
      </c>
    </row>
    <row r="2" spans="1:25">
      <c r="A2" s="3"/>
      <c r="B2" s="8" t="str">
        <f>BOND!$B2</f>
        <v>Ave(20D)</v>
      </c>
      <c r="C2" s="9">
        <f>AVERAGE(C$19:C$38)</f>
        <v>2.7657500000000002</v>
      </c>
      <c r="D2" s="8" t="str">
        <f>BOND!$B2</f>
        <v>Ave(20D)</v>
      </c>
      <c r="E2" s="9">
        <f>AVERAGE(E$19:E$38)</f>
        <v>2.6969999999999992</v>
      </c>
      <c r="F2" s="8" t="str">
        <f>BOND!$B2</f>
        <v>Ave(20D)</v>
      </c>
      <c r="G2" s="9">
        <f>AVERAGE(G$19:G$38)</f>
        <v>2.6527500000000002</v>
      </c>
      <c r="H2" s="8" t="str">
        <f>BOND!$B2</f>
        <v>Ave(20D)</v>
      </c>
      <c r="I2" s="9">
        <f>AVERAGE(I$19:I$38)</f>
        <v>2.6067499999999995</v>
      </c>
      <c r="J2" s="8" t="str">
        <f>BOND!$B2</f>
        <v>Ave(20D)</v>
      </c>
      <c r="K2" s="9">
        <f>AVERAGE(K$19:K$38)</f>
        <v>2.5745</v>
      </c>
      <c r="L2" s="8" t="str">
        <f>BOND!$B2</f>
        <v>Ave(20D)</v>
      </c>
      <c r="M2" s="11">
        <f>AVERAGE(M$19:M$38)</f>
        <v>2.5591250000000008</v>
      </c>
      <c r="N2" s="8" t="str">
        <f>BOND!$B2</f>
        <v>Ave(20D)</v>
      </c>
      <c r="O2" s="11">
        <f>AVERAGE(O$19:O$38)</f>
        <v>2.5718750000000004</v>
      </c>
      <c r="P2" s="8" t="str">
        <f>BOND!$B2</f>
        <v>Ave(20D)</v>
      </c>
      <c r="Q2" s="11">
        <f>AVERAGE(Q$19:Q$38)</f>
        <v>2.5801249999999998</v>
      </c>
      <c r="R2" s="8" t="str">
        <f>BOND!$B2</f>
        <v>Ave(20D)</v>
      </c>
      <c r="S2" s="11">
        <f>AVERAGE(S$19:S$38)</f>
        <v>2.6078749999999999</v>
      </c>
      <c r="T2" s="8" t="str">
        <f>BOND!$B2</f>
        <v>Ave(20D)</v>
      </c>
      <c r="U2" s="11">
        <f>AVERAGE(U$19:U$38)</f>
        <v>2.6419999999999999</v>
      </c>
      <c r="V2" s="8" t="str">
        <f>BOND!$B2</f>
        <v>Ave(20D)</v>
      </c>
      <c r="W2" s="11">
        <f>AVERAGE(W$19:W$38)</f>
        <v>2.5058750000000005</v>
      </c>
      <c r="X2" s="8" t="str">
        <f>BOND!$B2</f>
        <v>Ave(20D)</v>
      </c>
      <c r="Y2" s="11">
        <f>AVERAGE(Y$19:Y$38)</f>
        <v>2.2496250000000004</v>
      </c>
    </row>
    <row r="3" spans="1:25">
      <c r="A3" s="3"/>
      <c r="B3" s="18" t="str">
        <f>BOND!$B3</f>
        <v>Min(20D)</v>
      </c>
      <c r="C3" s="19">
        <f>MIN(C$19:C$38)</f>
        <v>2.7450000000000001</v>
      </c>
      <c r="D3" s="18" t="str">
        <f>BOND!$B3</f>
        <v>Min(20D)</v>
      </c>
      <c r="E3" s="19">
        <f>MIN(E$19:E$38)</f>
        <v>2.6724999999999999</v>
      </c>
      <c r="F3" s="18" t="str">
        <f>BOND!$B3</f>
        <v>Min(20D)</v>
      </c>
      <c r="G3" s="19">
        <f>MIN(G$19:G$38)</f>
        <v>2.625</v>
      </c>
      <c r="H3" s="18" t="str">
        <f>BOND!$B3</f>
        <v>Min(20D)</v>
      </c>
      <c r="I3" s="19">
        <f>MIN(I$19:I$38)</f>
        <v>2.5724999999999998</v>
      </c>
      <c r="J3" s="18" t="str">
        <f>BOND!$B3</f>
        <v>Min(20D)</v>
      </c>
      <c r="K3" s="19">
        <f>MIN(K$19:K$38)</f>
        <v>2.5299999999999998</v>
      </c>
      <c r="L3" s="18" t="str">
        <f>BOND!$B3</f>
        <v>Min(20D)</v>
      </c>
      <c r="M3" s="21">
        <f>MIN(M$19:M$38)</f>
        <v>2.5125000000000002</v>
      </c>
      <c r="N3" s="18" t="str">
        <f>BOND!$B3</f>
        <v>Min(20D)</v>
      </c>
      <c r="O3" s="21">
        <f>MIN(O$19:O$38)</f>
        <v>2.5274999999999999</v>
      </c>
      <c r="P3" s="18" t="str">
        <f>BOND!$B3</f>
        <v>Min(20D)</v>
      </c>
      <c r="Q3" s="21">
        <f>MIN(Q$19:Q$38)</f>
        <v>2.5350000000000001</v>
      </c>
      <c r="R3" s="18" t="str">
        <f>BOND!$B3</f>
        <v>Min(20D)</v>
      </c>
      <c r="S3" s="21">
        <f>MIN(S$19:S$38)</f>
        <v>2.5575000000000001</v>
      </c>
      <c r="T3" s="18" t="str">
        <f>BOND!$B3</f>
        <v>Min(20D)</v>
      </c>
      <c r="U3" s="21">
        <f>MIN(U$19:U$38)</f>
        <v>2.585</v>
      </c>
      <c r="V3" s="18" t="str">
        <f>BOND!$B3</f>
        <v>Min(20D)</v>
      </c>
      <c r="W3" s="21">
        <f>MIN(W$19:W$38)</f>
        <v>2.4500000000000002</v>
      </c>
      <c r="X3" s="18" t="str">
        <f>BOND!$B3</f>
        <v>Min(20D)</v>
      </c>
      <c r="Y3" s="21">
        <f>MIN(Y$19:Y$38)</f>
        <v>2.1949999999999998</v>
      </c>
    </row>
    <row r="4" spans="1:25" ht="14.25" thickBot="1">
      <c r="A4" s="3"/>
      <c r="B4" s="12" t="str">
        <f>BOND!$B4</f>
        <v>Max(20D)</v>
      </c>
      <c r="C4" s="13">
        <f>MAX(C$19:C$38)</f>
        <v>2.8</v>
      </c>
      <c r="D4" s="12" t="str">
        <f>BOND!$B4</f>
        <v>Max(20D)</v>
      </c>
      <c r="E4" s="13">
        <f>MAX(E$19:E$38)</f>
        <v>2.73</v>
      </c>
      <c r="F4" s="12" t="str">
        <f>BOND!$B4</f>
        <v>Max(20D)</v>
      </c>
      <c r="G4" s="13">
        <f>MAX(G$19:G$38)</f>
        <v>2.68</v>
      </c>
      <c r="H4" s="12" t="str">
        <f>BOND!$B4</f>
        <v>Max(20D)</v>
      </c>
      <c r="I4" s="13">
        <f>MAX(I$19:I$38)</f>
        <v>2.6349999999999998</v>
      </c>
      <c r="J4" s="12" t="str">
        <f>BOND!$B4</f>
        <v>Max(20D)</v>
      </c>
      <c r="K4" s="13">
        <f>MAX(K$19:K$38)</f>
        <v>2.61</v>
      </c>
      <c r="L4" s="12" t="str">
        <f>BOND!$B4</f>
        <v>Max(20D)</v>
      </c>
      <c r="M4" s="15">
        <f>MAX(M$19:M$38)</f>
        <v>2.6</v>
      </c>
      <c r="N4" s="12" t="str">
        <f>BOND!$B4</f>
        <v>Max(20D)</v>
      </c>
      <c r="O4" s="15">
        <f>MAX(O$19:O$38)</f>
        <v>2.6150000000000002</v>
      </c>
      <c r="P4" s="12" t="str">
        <f>BOND!$B4</f>
        <v>Max(20D)</v>
      </c>
      <c r="Q4" s="15">
        <f>MAX(Q$19:Q$38)</f>
        <v>2.625</v>
      </c>
      <c r="R4" s="12" t="str">
        <f>BOND!$B4</f>
        <v>Max(20D)</v>
      </c>
      <c r="S4" s="15">
        <f>MAX(S$19:S$38)</f>
        <v>2.6475</v>
      </c>
      <c r="T4" s="12" t="str">
        <f>BOND!$B4</f>
        <v>Max(20D)</v>
      </c>
      <c r="U4" s="15">
        <f>MAX(U$19:U$38)</f>
        <v>2.6825000000000001</v>
      </c>
      <c r="V4" s="12" t="str">
        <f>BOND!$B4</f>
        <v>Max(20D)</v>
      </c>
      <c r="W4" s="15">
        <f>MAX(W$19:W$38)</f>
        <v>2.585</v>
      </c>
      <c r="X4" s="12" t="str">
        <f>BOND!$B4</f>
        <v>Max(20D)</v>
      </c>
      <c r="Y4" s="15">
        <f>MAX(Y$19:Y$38)</f>
        <v>2.33</v>
      </c>
    </row>
    <row r="5" spans="1:25">
      <c r="A5" s="3"/>
      <c r="B5" s="8" t="str">
        <f>BOND!$B5</f>
        <v>Ave(60D)</v>
      </c>
      <c r="C5" s="9">
        <f>AVERAGE(C$19:C$78)</f>
        <v>2.8778750000000004</v>
      </c>
      <c r="D5" s="8" t="str">
        <f>BOND!$B5</f>
        <v>Ave(60D)</v>
      </c>
      <c r="E5" s="9">
        <f>AVERAGE(E$19:E$78)</f>
        <v>2.7804166666666661</v>
      </c>
      <c r="F5" s="8" t="str">
        <f>BOND!$B5</f>
        <v>Ave(60D)</v>
      </c>
      <c r="G5" s="9">
        <f>AVERAGE(G$19:G$78)</f>
        <v>2.7137500000000001</v>
      </c>
      <c r="H5" s="8" t="str">
        <f>BOND!$B5</f>
        <v>Ave(60D)</v>
      </c>
      <c r="I5" s="9">
        <f>AVERAGE(I$19:I$78)</f>
        <v>2.6569999999999991</v>
      </c>
      <c r="J5" s="8" t="str">
        <f>BOND!$B5</f>
        <v>Ave(60D)</v>
      </c>
      <c r="K5" s="9">
        <f>AVERAGE(K$19:K$78)</f>
        <v>2.6257083333333333</v>
      </c>
      <c r="L5" s="8" t="str">
        <f>BOND!$B5</f>
        <v>Ave(60D)</v>
      </c>
      <c r="M5" s="11">
        <f>AVERAGE(M$19:M$78)</f>
        <v>2.6097916666666672</v>
      </c>
      <c r="N5" s="8" t="str">
        <f>BOND!$B5</f>
        <v>Ave(60D)</v>
      </c>
      <c r="O5" s="11">
        <f>AVERAGE(O$19:O$78)</f>
        <v>2.6257083333333333</v>
      </c>
      <c r="P5" s="8" t="str">
        <f>BOND!$B5</f>
        <v>Ave(60D)</v>
      </c>
      <c r="Q5" s="11">
        <f>AVERAGE(Q$19:Q$78)</f>
        <v>2.6343333333333327</v>
      </c>
      <c r="R5" s="8" t="str">
        <f>BOND!$B5</f>
        <v>Ave(60D)</v>
      </c>
      <c r="S5" s="11">
        <f>AVERAGE(S$19:S$78)</f>
        <v>2.6615833333333327</v>
      </c>
      <c r="T5" s="8" t="str">
        <f>BOND!$B5</f>
        <v>Ave(60D)</v>
      </c>
      <c r="U5" s="11">
        <f>AVERAGE(U$19:U$78)</f>
        <v>2.6975833333333332</v>
      </c>
      <c r="V5" s="8" t="str">
        <f>BOND!$B5</f>
        <v>Ave(60D)</v>
      </c>
      <c r="W5" s="11">
        <f>AVERAGE(W$19:W$78)</f>
        <v>2.5362083333333336</v>
      </c>
      <c r="X5" s="8" t="str">
        <f>BOND!$B5</f>
        <v>Ave(60D)</v>
      </c>
      <c r="Y5" s="11">
        <f>AVERAGE(Y$19:Y$78)</f>
        <v>2.2729166666666667</v>
      </c>
    </row>
    <row r="6" spans="1:25">
      <c r="A6" s="3"/>
      <c r="B6" s="18" t="str">
        <f>BOND!$B6</f>
        <v>Min(60D)</v>
      </c>
      <c r="C6" s="19">
        <f>MIN(C$19:C$78)</f>
        <v>2.7450000000000001</v>
      </c>
      <c r="D6" s="18" t="str">
        <f>BOND!$B6</f>
        <v>Min(60D)</v>
      </c>
      <c r="E6" s="19">
        <f>MIN(E$19:E$78)</f>
        <v>2.6724999999999999</v>
      </c>
      <c r="F6" s="18" t="str">
        <f>BOND!$B6</f>
        <v>Min(60D)</v>
      </c>
      <c r="G6" s="19">
        <f>MIN(G$19:G$78)</f>
        <v>2.625</v>
      </c>
      <c r="H6" s="18" t="str">
        <f>BOND!$B6</f>
        <v>Min(60D)</v>
      </c>
      <c r="I6" s="19">
        <f>MIN(I$19:I$78)</f>
        <v>2.5724999999999998</v>
      </c>
      <c r="J6" s="18" t="str">
        <f>BOND!$B6</f>
        <v>Min(60D)</v>
      </c>
      <c r="K6" s="19">
        <f>MIN(K$19:K$78)</f>
        <v>2.5299999999999998</v>
      </c>
      <c r="L6" s="18" t="str">
        <f>BOND!$B6</f>
        <v>Min(60D)</v>
      </c>
      <c r="M6" s="21">
        <f>MIN(M$19:M$78)</f>
        <v>2.5125000000000002</v>
      </c>
      <c r="N6" s="18" t="str">
        <f>BOND!$B6</f>
        <v>Min(60D)</v>
      </c>
      <c r="O6" s="21">
        <f>MIN(O$19:O$78)</f>
        <v>2.5274999999999999</v>
      </c>
      <c r="P6" s="18" t="str">
        <f>BOND!$B6</f>
        <v>Min(60D)</v>
      </c>
      <c r="Q6" s="21">
        <f>MIN(Q$19:Q$78)</f>
        <v>2.5350000000000001</v>
      </c>
      <c r="R6" s="18" t="str">
        <f>BOND!$B6</f>
        <v>Min(60D)</v>
      </c>
      <c r="S6" s="21">
        <f>MIN(S$19:S$78)</f>
        <v>2.5575000000000001</v>
      </c>
      <c r="T6" s="18" t="str">
        <f>BOND!$B6</f>
        <v>Min(60D)</v>
      </c>
      <c r="U6" s="21">
        <f>MIN(U$19:U$78)</f>
        <v>2.585</v>
      </c>
      <c r="V6" s="18" t="str">
        <f>BOND!$B6</f>
        <v>Min(60D)</v>
      </c>
      <c r="W6" s="21">
        <f>MIN(W$19:W$78)</f>
        <v>2.4500000000000002</v>
      </c>
      <c r="X6" s="18" t="str">
        <f>BOND!$B6</f>
        <v>Min(60D)</v>
      </c>
      <c r="Y6" s="21">
        <f>MIN(Y$19:Y$78)</f>
        <v>2.1949999999999998</v>
      </c>
    </row>
    <row r="7" spans="1:25" ht="14.25" thickBot="1">
      <c r="A7"/>
      <c r="B7" s="12" t="str">
        <f>BOND!$B7</f>
        <v>Max(60D)</v>
      </c>
      <c r="C7" s="13">
        <f>MAX(C$19:C$78)</f>
        <v>3.1875</v>
      </c>
      <c r="D7" s="12" t="str">
        <f>BOND!$B7</f>
        <v>Max(60D)</v>
      </c>
      <c r="E7" s="13">
        <f>MAX(E$19:E$78)</f>
        <v>3.0074999999999998</v>
      </c>
      <c r="F7" s="12" t="str">
        <f>BOND!$B7</f>
        <v>Max(60D)</v>
      </c>
      <c r="G7" s="13">
        <f>MAX(G$19:G$78)</f>
        <v>2.8774999999999999</v>
      </c>
      <c r="H7" s="12" t="str">
        <f>BOND!$B7</f>
        <v>Max(60D)</v>
      </c>
      <c r="I7" s="13">
        <f>MAX(I$19:I$78)</f>
        <v>2.8025000000000002</v>
      </c>
      <c r="J7" s="12" t="str">
        <f>BOND!$B7</f>
        <v>Max(60D)</v>
      </c>
      <c r="K7" s="13">
        <f>MAX(K$19:K$78)</f>
        <v>2.7749999999999999</v>
      </c>
      <c r="L7" s="12" t="str">
        <f>BOND!$B7</f>
        <v>Max(60D)</v>
      </c>
      <c r="M7" s="15">
        <f>MAX(M$19:M$78)</f>
        <v>2.7450000000000001</v>
      </c>
      <c r="N7" s="12" t="str">
        <f>BOND!$B7</f>
        <v>Max(60D)</v>
      </c>
      <c r="O7" s="15">
        <f>MAX(O$19:O$78)</f>
        <v>2.7549999999999999</v>
      </c>
      <c r="P7" s="12" t="str">
        <f>BOND!$B7</f>
        <v>Max(60D)</v>
      </c>
      <c r="Q7" s="15">
        <f>MAX(Q$19:Q$78)</f>
        <v>2.76</v>
      </c>
      <c r="R7" s="12" t="str">
        <f>BOND!$B7</f>
        <v>Max(60D)</v>
      </c>
      <c r="S7" s="15">
        <f>MAX(S$19:S$78)</f>
        <v>2.7875000000000001</v>
      </c>
      <c r="T7" s="12" t="str">
        <f>BOND!$B7</f>
        <v>Max(60D)</v>
      </c>
      <c r="U7" s="15">
        <f>MAX(U$19:U$78)</f>
        <v>2.8325</v>
      </c>
      <c r="V7" s="12" t="str">
        <f>BOND!$B7</f>
        <v>Max(60D)</v>
      </c>
      <c r="W7" s="15">
        <f>MAX(W$19:W$78)</f>
        <v>2.6324999999999998</v>
      </c>
      <c r="X7" s="12" t="str">
        <f>BOND!$B7</f>
        <v>Max(60D)</v>
      </c>
      <c r="Y7" s="15">
        <f>MAX(Y$19:Y$78)</f>
        <v>2.3675000000000002</v>
      </c>
    </row>
    <row r="8" spans="1:25">
      <c r="A8"/>
      <c r="B8" s="8" t="str">
        <f>BOND!$B8</f>
        <v>Ave(120D)</v>
      </c>
      <c r="C8" s="9">
        <f>AVERAGE(C$19:C$138)</f>
        <v>3.0646458333333344</v>
      </c>
      <c r="D8" s="8" t="str">
        <f>BOND!$B8</f>
        <v>Ave(120D)</v>
      </c>
      <c r="E8" s="9">
        <f t="shared" ref="E8" si="0">AVERAGE(E$19:E$138)</f>
        <v>2.953270833333332</v>
      </c>
      <c r="F8" s="8" t="str">
        <f>BOND!$B8</f>
        <v>Ave(120D)</v>
      </c>
      <c r="G8" s="9">
        <f t="shared" ref="G8" si="1">AVERAGE(G$19:G$138)</f>
        <v>2.8707708333333324</v>
      </c>
      <c r="H8" s="8" t="str">
        <f>BOND!$B8</f>
        <v>Ave(120D)</v>
      </c>
      <c r="I8" s="9">
        <f t="shared" ref="I8" si="2">AVERAGE(I$19:I$138)</f>
        <v>2.7906041666666663</v>
      </c>
      <c r="J8" s="8" t="str">
        <f>BOND!$B8</f>
        <v>Ave(120D)</v>
      </c>
      <c r="K8" s="9">
        <f t="shared" ref="K8" si="3">AVERAGE(K$19:K$138)</f>
        <v>2.7486874999999995</v>
      </c>
      <c r="L8" s="8" t="str">
        <f>BOND!$B8</f>
        <v>Ave(120D)</v>
      </c>
      <c r="M8" s="11">
        <f t="shared" ref="M8" si="4">AVERAGE(M$19:M$138)</f>
        <v>2.7159375000000008</v>
      </c>
      <c r="N8" s="8" t="str">
        <f>BOND!$B8</f>
        <v>Ave(120D)</v>
      </c>
      <c r="O8" s="11">
        <f t="shared" ref="O8" si="5">AVERAGE(O$19:O$138)</f>
        <v>2.7193749999999985</v>
      </c>
      <c r="P8" s="8" t="str">
        <f>BOND!$B8</f>
        <v>Ave(120D)</v>
      </c>
      <c r="Q8" s="11">
        <f t="shared" ref="Q8" si="6">AVERAGE(Q$19:Q$138)</f>
        <v>2.7214166666666659</v>
      </c>
      <c r="R8" s="8" t="str">
        <f>BOND!$B8</f>
        <v>Ave(120D)</v>
      </c>
      <c r="S8" s="11">
        <f t="shared" ref="S8" si="7">AVERAGE(S$19:S$138)</f>
        <v>2.740187500000002</v>
      </c>
      <c r="T8" s="8" t="str">
        <f>BOND!$B8</f>
        <v>Ave(120D)</v>
      </c>
      <c r="U8" s="11">
        <f t="shared" ref="U8" si="8">AVERAGE(U$19:U$138)</f>
        <v>2.7709166666666665</v>
      </c>
      <c r="V8" s="8" t="str">
        <f>BOND!$B8</f>
        <v>Ave(120D)</v>
      </c>
      <c r="W8" s="11">
        <f t="shared" ref="W8:Y8" si="9">AVERAGE(W$19:W$138)</f>
        <v>2.6172708333333339</v>
      </c>
      <c r="X8" s="8" t="str">
        <f>BOND!$B8</f>
        <v>Ave(120D)</v>
      </c>
      <c r="Y8" s="11">
        <f t="shared" si="9"/>
        <v>2.3435416666666673</v>
      </c>
    </row>
    <row r="9" spans="1:25">
      <c r="A9"/>
      <c r="B9" s="18" t="str">
        <f>BOND!$B9</f>
        <v>Min(120D)</v>
      </c>
      <c r="C9" s="19">
        <f>MIN(C$19:C$138)</f>
        <v>2.7450000000000001</v>
      </c>
      <c r="D9" s="18" t="str">
        <f>BOND!$B9</f>
        <v>Min(120D)</v>
      </c>
      <c r="E9" s="19">
        <f t="shared" ref="E9" si="10">MIN(E$19:E$138)</f>
        <v>2.6724999999999999</v>
      </c>
      <c r="F9" s="18" t="str">
        <f>BOND!$B9</f>
        <v>Min(120D)</v>
      </c>
      <c r="G9" s="19">
        <f t="shared" ref="G9" si="11">MIN(G$19:G$138)</f>
        <v>2.625</v>
      </c>
      <c r="H9" s="18" t="str">
        <f>BOND!$B9</f>
        <v>Min(120D)</v>
      </c>
      <c r="I9" s="19">
        <f t="shared" ref="I9" si="12">MIN(I$19:I$138)</f>
        <v>2.5724999999999998</v>
      </c>
      <c r="J9" s="18" t="str">
        <f>BOND!$B9</f>
        <v>Min(120D)</v>
      </c>
      <c r="K9" s="19">
        <f t="shared" ref="K9" si="13">MIN(K$19:K$138)</f>
        <v>2.5299999999999998</v>
      </c>
      <c r="L9" s="18" t="str">
        <f>BOND!$B9</f>
        <v>Min(120D)</v>
      </c>
      <c r="M9" s="21">
        <f t="shared" ref="M9" si="14">MIN(M$19:M$138)</f>
        <v>2.5125000000000002</v>
      </c>
      <c r="N9" s="18" t="str">
        <f>BOND!$B9</f>
        <v>Min(120D)</v>
      </c>
      <c r="O9" s="21">
        <f t="shared" ref="O9" si="15">MIN(O$19:O$138)</f>
        <v>2.52</v>
      </c>
      <c r="P9" s="18" t="str">
        <f>BOND!$B9</f>
        <v>Min(120D)</v>
      </c>
      <c r="Q9" s="21">
        <f t="shared" ref="Q9" si="16">MIN(Q$19:Q$138)</f>
        <v>2.5074999999999998</v>
      </c>
      <c r="R9" s="18" t="str">
        <f>BOND!$B9</f>
        <v>Min(120D)</v>
      </c>
      <c r="S9" s="21">
        <f t="shared" ref="S9" si="17">MIN(S$19:S$138)</f>
        <v>2.5150000000000001</v>
      </c>
      <c r="T9" s="18" t="str">
        <f>BOND!$B9</f>
        <v>Min(120D)</v>
      </c>
      <c r="U9" s="21">
        <f t="shared" ref="U9" si="18">MIN(U$19:U$138)</f>
        <v>2.5350000000000001</v>
      </c>
      <c r="V9" s="18" t="str">
        <f>BOND!$B9</f>
        <v>Min(120D)</v>
      </c>
      <c r="W9" s="21">
        <f t="shared" ref="W9:Y9" si="19">MIN(W$19:W$138)</f>
        <v>2.36</v>
      </c>
      <c r="X9" s="18" t="str">
        <f>BOND!$B9</f>
        <v>Min(120D)</v>
      </c>
      <c r="Y9" s="21">
        <f t="shared" si="19"/>
        <v>2.09</v>
      </c>
    </row>
    <row r="10" spans="1:25" ht="14.25" thickBot="1">
      <c r="A10"/>
      <c r="B10" s="12" t="str">
        <f>BOND!$B10</f>
        <v>Max(120D)</v>
      </c>
      <c r="C10" s="13">
        <f>MAX(C$19:C$138)</f>
        <v>3.4125000000000001</v>
      </c>
      <c r="D10" s="12" t="str">
        <f>BOND!$B10</f>
        <v>Max(120D)</v>
      </c>
      <c r="E10" s="13">
        <f t="shared" ref="E10" si="20">MAX(E$19:E$138)</f>
        <v>3.2925</v>
      </c>
      <c r="F10" s="12" t="str">
        <f>BOND!$B10</f>
        <v>Max(120D)</v>
      </c>
      <c r="G10" s="13">
        <f t="shared" ref="G10" si="21">MAX(G$19:G$138)</f>
        <v>3.1974999999999998</v>
      </c>
      <c r="H10" s="12" t="str">
        <f>BOND!$B10</f>
        <v>Max(120D)</v>
      </c>
      <c r="I10" s="13">
        <f t="shared" ref="I10" si="22">MAX(I$19:I$138)</f>
        <v>3.1</v>
      </c>
      <c r="J10" s="12" t="str">
        <f>BOND!$B10</f>
        <v>Max(120D)</v>
      </c>
      <c r="K10" s="13">
        <f t="shared" ref="K10" si="23">MAX(K$19:K$138)</f>
        <v>3.05</v>
      </c>
      <c r="L10" s="12" t="str">
        <f>BOND!$B10</f>
        <v>Max(120D)</v>
      </c>
      <c r="M10" s="15">
        <f t="shared" ref="M10" si="24">MAX(M$19:M$138)</f>
        <v>3.0150000000000001</v>
      </c>
      <c r="N10" s="12" t="str">
        <f>BOND!$B10</f>
        <v>Max(120D)</v>
      </c>
      <c r="O10" s="15">
        <f t="shared" ref="O10" si="25">MAX(O$19:O$138)</f>
        <v>3.0150000000000001</v>
      </c>
      <c r="P10" s="12" t="str">
        <f>BOND!$B10</f>
        <v>Max(120D)</v>
      </c>
      <c r="Q10" s="15">
        <f t="shared" ref="Q10" si="26">MAX(Q$19:Q$138)</f>
        <v>3.02</v>
      </c>
      <c r="R10" s="12" t="str">
        <f>BOND!$B10</f>
        <v>Max(120D)</v>
      </c>
      <c r="S10" s="15">
        <f t="shared" ref="S10" si="27">MAX(S$19:S$138)</f>
        <v>3.03</v>
      </c>
      <c r="T10" s="12" t="str">
        <f>BOND!$B10</f>
        <v>Max(120D)</v>
      </c>
      <c r="U10" s="15">
        <f t="shared" ref="U10" si="28">MAX(U$19:U$138)</f>
        <v>3.0550000000000002</v>
      </c>
      <c r="V10" s="12" t="str">
        <f>BOND!$B10</f>
        <v>Max(120D)</v>
      </c>
      <c r="W10" s="15">
        <f t="shared" ref="W10:Y10" si="29">MAX(W$19:W$138)</f>
        <v>2.8875000000000002</v>
      </c>
      <c r="X10" s="12" t="str">
        <f>BOND!$B10</f>
        <v>Max(120D)</v>
      </c>
      <c r="Y10" s="15">
        <f t="shared" si="29"/>
        <v>2.6175000000000002</v>
      </c>
    </row>
    <row r="11" spans="1:25">
      <c r="A11"/>
      <c r="B11" s="8" t="str">
        <f>BOND!$B11</f>
        <v>Ave(250D)</v>
      </c>
      <c r="C11" s="9">
        <f>AVERAGE(C$19:C$268)</f>
        <v>3.299790000000002</v>
      </c>
      <c r="D11" s="8" t="str">
        <f>BOND!$B11</f>
        <v>Ave(250D)</v>
      </c>
      <c r="E11" s="9">
        <f t="shared" ref="E11" si="30">AVERAGE(E$19:E$268)</f>
        <v>3.2131399999999988</v>
      </c>
      <c r="F11" s="8" t="str">
        <f>BOND!$B11</f>
        <v>Ave(250D)</v>
      </c>
      <c r="G11" s="9">
        <f t="shared" ref="G11" si="31">AVERAGE(G$19:G$268)</f>
        <v>3.1426700000000012</v>
      </c>
      <c r="H11" s="8" t="str">
        <f>BOND!$B11</f>
        <v>Ave(250D)</v>
      </c>
      <c r="I11" s="9">
        <f t="shared" ref="I11" si="32">AVERAGE(I$19:I$268)</f>
        <v>3.0618300000000009</v>
      </c>
      <c r="J11" s="8" t="str">
        <f>BOND!$B11</f>
        <v>Ave(250D)</v>
      </c>
      <c r="K11" s="9">
        <f t="shared" ref="K11" si="33">AVERAGE(K$19:K$268)</f>
        <v>3.0097200000000011</v>
      </c>
      <c r="L11" s="8" t="str">
        <f>BOND!$B11</f>
        <v>Ave(250D)</v>
      </c>
      <c r="M11" s="11">
        <f t="shared" ref="M11" si="34">AVERAGE(M$19:M$268)</f>
        <v>2.9598200000000014</v>
      </c>
      <c r="N11" s="8" t="str">
        <f>BOND!$B11</f>
        <v>Ave(250D)</v>
      </c>
      <c r="O11" s="11">
        <f t="shared" ref="O11" si="35">AVERAGE(O$19:O$268)</f>
        <v>2.9498599999999984</v>
      </c>
      <c r="P11" s="8" t="str">
        <f>BOND!$B11</f>
        <v>Ave(250D)</v>
      </c>
      <c r="Q11" s="11">
        <f t="shared" ref="Q11" si="36">AVERAGE(Q$19:Q$268)</f>
        <v>2.9448199999999978</v>
      </c>
      <c r="R11" s="8" t="str">
        <f>BOND!$B11</f>
        <v>Ave(250D)</v>
      </c>
      <c r="S11" s="11">
        <f t="shared" ref="S11" si="37">AVERAGE(S$19:S$268)</f>
        <v>2.9537200000000006</v>
      </c>
      <c r="T11" s="8" t="str">
        <f>BOND!$B11</f>
        <v>Ave(250D)</v>
      </c>
      <c r="U11" s="11">
        <f t="shared" ref="U11" si="38">AVERAGE(U$19:U$268)</f>
        <v>2.9769599999999996</v>
      </c>
      <c r="V11" s="8" t="str">
        <f>BOND!$B11</f>
        <v>Ave(250D)</v>
      </c>
      <c r="W11" s="11">
        <f t="shared" ref="W11:Y11" si="39">AVERAGE(W$19:W$268)</f>
        <v>2.8523700000000001</v>
      </c>
      <c r="X11" s="8" t="str">
        <f>BOND!$B11</f>
        <v>Ave(250D)</v>
      </c>
      <c r="Y11" s="11">
        <f t="shared" si="39"/>
        <v>2.5684200000000006</v>
      </c>
    </row>
    <row r="12" spans="1:25">
      <c r="A12"/>
      <c r="B12" s="18" t="str">
        <f>BOND!$B12</f>
        <v>Min(250D)</v>
      </c>
      <c r="C12" s="19">
        <f>MIN(C$19:C$268)</f>
        <v>2.7450000000000001</v>
      </c>
      <c r="D12" s="18" t="str">
        <f>BOND!$B12</f>
        <v>Min(250D)</v>
      </c>
      <c r="E12" s="19">
        <f t="shared" ref="E12" si="40">MIN(E$19:E$268)</f>
        <v>2.6724999999999999</v>
      </c>
      <c r="F12" s="18" t="str">
        <f>BOND!$B12</f>
        <v>Min(250D)</v>
      </c>
      <c r="G12" s="19">
        <f t="shared" ref="G12" si="41">MIN(G$19:G$268)</f>
        <v>2.625</v>
      </c>
      <c r="H12" s="18" t="str">
        <f>BOND!$B12</f>
        <v>Min(250D)</v>
      </c>
      <c r="I12" s="19">
        <f t="shared" ref="I12" si="42">MIN(I$19:I$268)</f>
        <v>2.5724999999999998</v>
      </c>
      <c r="J12" s="18" t="str">
        <f>BOND!$B12</f>
        <v>Min(250D)</v>
      </c>
      <c r="K12" s="19">
        <f t="shared" ref="K12" si="43">MIN(K$19:K$268)</f>
        <v>2.5299999999999998</v>
      </c>
      <c r="L12" s="18" t="str">
        <f>BOND!$B12</f>
        <v>Min(250D)</v>
      </c>
      <c r="M12" s="21">
        <f t="shared" ref="M12" si="44">MIN(M$19:M$268)</f>
        <v>2.5125000000000002</v>
      </c>
      <c r="N12" s="18" t="str">
        <f>BOND!$B12</f>
        <v>Min(250D)</v>
      </c>
      <c r="O12" s="21">
        <f t="shared" ref="O12" si="45">MIN(O$19:O$268)</f>
        <v>2.52</v>
      </c>
      <c r="P12" s="18" t="str">
        <f>BOND!$B12</f>
        <v>Min(250D)</v>
      </c>
      <c r="Q12" s="21">
        <f t="shared" ref="Q12" si="46">MIN(Q$19:Q$268)</f>
        <v>2.5074999999999998</v>
      </c>
      <c r="R12" s="18" t="str">
        <f>BOND!$B12</f>
        <v>Min(250D)</v>
      </c>
      <c r="S12" s="21">
        <f t="shared" ref="S12" si="47">MIN(S$19:S$268)</f>
        <v>2.5150000000000001</v>
      </c>
      <c r="T12" s="18" t="str">
        <f>BOND!$B12</f>
        <v>Min(250D)</v>
      </c>
      <c r="U12" s="21">
        <f t="shared" ref="U12" si="48">MIN(U$19:U$268)</f>
        <v>2.5350000000000001</v>
      </c>
      <c r="V12" s="18" t="str">
        <f>BOND!$B12</f>
        <v>Min(250D)</v>
      </c>
      <c r="W12" s="21">
        <f t="shared" ref="W12:Y12" si="49">MIN(W$19:W$268)</f>
        <v>2.36</v>
      </c>
      <c r="X12" s="18" t="str">
        <f>BOND!$B12</f>
        <v>Min(250D)</v>
      </c>
      <c r="Y12" s="21">
        <f t="shared" si="49"/>
        <v>2.09</v>
      </c>
    </row>
    <row r="13" spans="1:25" ht="14.25" thickBot="1">
      <c r="A13"/>
      <c r="B13" s="12" t="str">
        <f>BOND!$B13</f>
        <v>Max(250D)</v>
      </c>
      <c r="C13" s="13">
        <f>MAX(C$19:C$268)</f>
        <v>3.6375000000000002</v>
      </c>
      <c r="D13" s="12" t="str">
        <f>BOND!$B13</f>
        <v>Max(250D)</v>
      </c>
      <c r="E13" s="13">
        <f t="shared" ref="E13" si="50">MAX(E$19:E$268)</f>
        <v>3.61</v>
      </c>
      <c r="F13" s="12" t="str">
        <f>BOND!$B13</f>
        <v>Max(250D)</v>
      </c>
      <c r="G13" s="13">
        <f t="shared" ref="G13" si="51">MAX(G$19:G$268)</f>
        <v>3.62</v>
      </c>
      <c r="H13" s="12" t="str">
        <f>BOND!$B13</f>
        <v>Max(250D)</v>
      </c>
      <c r="I13" s="13">
        <f t="shared" ref="I13" si="52">MAX(I$19:I$268)</f>
        <v>3.6</v>
      </c>
      <c r="J13" s="12" t="str">
        <f>BOND!$B13</f>
        <v>Max(250D)</v>
      </c>
      <c r="K13" s="13">
        <f t="shared" ref="K13" si="53">MAX(K$19:K$268)</f>
        <v>3.58</v>
      </c>
      <c r="L13" s="12" t="str">
        <f>BOND!$B13</f>
        <v>Max(250D)</v>
      </c>
      <c r="M13" s="15">
        <f t="shared" ref="M13" si="54">MAX(M$19:M$268)</f>
        <v>3.56</v>
      </c>
      <c r="N13" s="12" t="str">
        <f>BOND!$B13</f>
        <v>Max(250D)</v>
      </c>
      <c r="O13" s="15">
        <f t="shared" ref="O13" si="55">MAX(O$19:O$268)</f>
        <v>3.5649999999999999</v>
      </c>
      <c r="P13" s="12" t="str">
        <f>BOND!$B13</f>
        <v>Max(250D)</v>
      </c>
      <c r="Q13" s="15">
        <f t="shared" ref="Q13" si="56">MAX(Q$19:Q$268)</f>
        <v>3.5724999999999998</v>
      </c>
      <c r="R13" s="12" t="str">
        <f>BOND!$B13</f>
        <v>Max(250D)</v>
      </c>
      <c r="S13" s="15">
        <f t="shared" ref="S13" si="57">MAX(S$19:S$268)</f>
        <v>3.5724999999999998</v>
      </c>
      <c r="T13" s="12" t="str">
        <f>BOND!$B13</f>
        <v>Max(250D)</v>
      </c>
      <c r="U13" s="15">
        <f t="shared" ref="U13" si="58">MAX(U$19:U$268)</f>
        <v>3.5874999999999999</v>
      </c>
      <c r="V13" s="12" t="str">
        <f>BOND!$B13</f>
        <v>Max(250D)</v>
      </c>
      <c r="W13" s="15">
        <f t="shared" ref="W13:Y13" si="59">MAX(W$19:W$268)</f>
        <v>3.4775</v>
      </c>
      <c r="X13" s="12" t="str">
        <f>BOND!$B13</f>
        <v>Max(250D)</v>
      </c>
      <c r="Y13" s="15">
        <f t="shared" si="59"/>
        <v>3.2174999999999998</v>
      </c>
    </row>
    <row r="14" spans="1:25" ht="9" customHeight="1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</row>
    <row r="15" spans="1:25">
      <c r="B15" s="23" t="s">
        <v>31</v>
      </c>
      <c r="C15" s="24">
        <f ca="1">EDATE(E15,-13)</f>
        <v>45347</v>
      </c>
      <c r="D15" s="23" t="s">
        <v>32</v>
      </c>
      <c r="E15" s="24">
        <f ca="1">TODAY()-1</f>
        <v>45741</v>
      </c>
      <c r="F15" s="23" t="s">
        <v>33</v>
      </c>
      <c r="G15" s="25">
        <v>400</v>
      </c>
      <c r="H15" s="23" t="s">
        <v>34</v>
      </c>
      <c r="I15" s="25" t="s">
        <v>35</v>
      </c>
      <c r="J15" s="23" t="s">
        <v>36</v>
      </c>
      <c r="K15" s="25" t="s">
        <v>37</v>
      </c>
      <c r="L15" s="23" t="s">
        <v>38</v>
      </c>
      <c r="M15" s="25">
        <v>0</v>
      </c>
      <c r="N15" s="23" t="s">
        <v>39</v>
      </c>
      <c r="O15" s="25" t="s">
        <v>40</v>
      </c>
    </row>
    <row r="16" spans="1:25">
      <c r="A16" s="22"/>
      <c r="B16" s="29" t="s">
        <v>48</v>
      </c>
      <c r="C16" s="33"/>
      <c r="D16" s="29" t="s">
        <v>50</v>
      </c>
      <c r="E16" s="33"/>
      <c r="F16" s="29" t="s">
        <v>51</v>
      </c>
      <c r="G16" s="33"/>
      <c r="H16" s="29" t="s">
        <v>52</v>
      </c>
      <c r="I16" s="33"/>
      <c r="J16" s="29" t="s">
        <v>53</v>
      </c>
      <c r="K16" s="33"/>
      <c r="L16" s="29" t="s">
        <v>54</v>
      </c>
      <c r="M16" s="33"/>
      <c r="N16" s="29" t="s">
        <v>262</v>
      </c>
      <c r="O16" s="33"/>
      <c r="P16" s="29" t="s">
        <v>263</v>
      </c>
      <c r="Q16" s="33"/>
      <c r="R16" s="29" t="s">
        <v>264</v>
      </c>
      <c r="S16" s="33"/>
      <c r="T16" s="29" t="s">
        <v>265</v>
      </c>
      <c r="U16" s="33"/>
      <c r="V16" s="29" t="s">
        <v>266</v>
      </c>
      <c r="W16" s="33"/>
      <c r="X16" s="29" t="s">
        <v>314</v>
      </c>
      <c r="Y16" s="33"/>
    </row>
    <row r="17" spans="1:25">
      <c r="A17" s="22"/>
      <c r="B17" s="30" t="str">
        <f ca="1">_xll.IMDH("IR",$B$16,B18:C18,$C$15,$E$15,$G$15,"Per="&amp;$I$15&amp;",sort="&amp;$K$15&amp;",real=true,Bizday="&amp;$M$15&amp;",Quote="&amp;$O$15&amp;",Pos=20,Orient=V,Title=IRS 6M,DtFmt=1,TmFmt=1,unit=true")</f>
        <v>IRS 6M</v>
      </c>
      <c r="C17" s="31"/>
      <c r="D17" s="30" t="str">
        <f ca="1">_xll.IMDH("IR",$D$16,D18:E18,$C$15,$E$15,$G$15,"Per="&amp;$I$15&amp;",sort="&amp;$K$15&amp;",real=true,Bizday="&amp;$M$15&amp;",Quote="&amp;$O$15&amp;",Pos=20,Orient=V,Title=IRS 9M,DtFmt=1,TmFmt=1,unit=true")</f>
        <v>IRS 9M</v>
      </c>
      <c r="E17" s="31"/>
      <c r="F17" s="30" t="str">
        <f ca="1">_xll.IMDH("IR",$F$16,F18:G18,$C$15,$E$15,$G$15,"Per="&amp;$I$15&amp;",sort="&amp;$K$15&amp;",real=true,Bizday="&amp;$M$15&amp;",Quote="&amp;$O$15&amp;",Pos=20,Orient=V,Title=IRS 1Y,DtFmt=1,TmFmt=1,unit=true")</f>
        <v>IRS 1Y</v>
      </c>
      <c r="G17" s="31"/>
      <c r="H17" s="30" t="str">
        <f ca="1">_xll.IMDH("IR",$H$16,H18:I18,$C$15,$E$15,$G$15,"Per="&amp;$I$15&amp;",sort="&amp;$K$15&amp;",real=true,Bizday="&amp;$M$15&amp;",Quote="&amp;$O$15&amp;",Pos=20,Orient=V,Title=IRS 1.5Y,DtFmt=1,TmFmt=1,unit=true")</f>
        <v>IRS 1.5Y</v>
      </c>
      <c r="I17" s="31"/>
      <c r="J17" s="30" t="str">
        <f ca="1">_xll.IMDH("IR",$J$16,J18:K18,$C$15,$E$15,$G$15,"Per="&amp;$I$15&amp;",sort="&amp;$K$15&amp;",real=true,Bizday="&amp;$M$15&amp;",Quote="&amp;$O$15&amp;",Pos=20,Orient=V,Title=IRS 2Y,DtFmt=1,TmFmt=1,unit=true")</f>
        <v>IRS 2Y</v>
      </c>
      <c r="K17" s="31"/>
      <c r="L17" s="30" t="str">
        <f ca="1">_xll.IMDH("IR",$L$16,L18:M18,$C$15,$E$15,$G$15,"Per="&amp;$I$15&amp;",sort="&amp;$K$15&amp;",real=true,Bizday="&amp;$M$15&amp;",Quote="&amp;$O$15&amp;",Pos=20,Orient=V,Title=IRS 3Y,DtFmt=1,TmFmt=1,unit=true")</f>
        <v>IRS 3Y</v>
      </c>
      <c r="M17" s="31"/>
      <c r="N17" s="30" t="str">
        <f ca="1">_xll.IMDH("IR",N$16,N18:O18,$C$15,$E$15,$G$15,"Per="&amp;$I$15&amp;",sort="&amp;$K$15&amp;",real=true,Bizday="&amp;$M$15&amp;",Quote="&amp;$O$15&amp;",Pos=20,Orient=V,Title=IRS 4Y,DtFmt=1,TmFmt=1,unit=true")</f>
        <v>IRS 4Y</v>
      </c>
      <c r="O17" s="31"/>
      <c r="P17" s="30" t="str">
        <f ca="1">_xll.IMDH("IR",P$16,P18:Q18,$C$15,$E$15,$G$15,"Per="&amp;$I$15&amp;",sort="&amp;$K$15&amp;",real=true,Bizday="&amp;$M$15&amp;",Quote="&amp;$O$15&amp;",Pos=20,Orient=V,Title=IRS 5Y,DtFmt=1,TmFmt=1,unit=true")</f>
        <v>IRS 5Y</v>
      </c>
      <c r="Q17" s="31"/>
      <c r="R17" s="30" t="str">
        <f ca="1">_xll.IMDH("IR",R$16,R18:S18,$C$15,$E$15,$G$15,"Per="&amp;$I$15&amp;",sort="&amp;$K$15&amp;",real=true,Bizday="&amp;$M$15&amp;",Quote="&amp;$O$15&amp;",Pos=20,Orient=V,Title=IRS 7Y,DtFmt=1,TmFmt=1,unit=true")</f>
        <v>IRS 7Y</v>
      </c>
      <c r="S17" s="31"/>
      <c r="T17" s="30" t="str">
        <f ca="1">_xll.IMDH("IR",T$16,T18:U18,$C$15,$E$15,$G$15,"Per="&amp;$I$15&amp;",sort="&amp;$K$15&amp;",real=true,Bizday="&amp;$M$15&amp;",Quote="&amp;$O$15&amp;",Pos=20,Orient=V,Title=IRS 10Y,DtFmt=1,TmFmt=1,unit=true")</f>
        <v>IRS 10Y</v>
      </c>
      <c r="U17" s="31"/>
      <c r="V17" s="30" t="str">
        <f ca="1">_xll.IMDH("IR",V$16,V18:W18,$C$15,$E$15,$G$15,"Per="&amp;$I$15&amp;",sort="&amp;$K$15&amp;",real=true,Bizday="&amp;$M$15&amp;",Quote="&amp;$O$15&amp;",Pos=20,Orient=V,Title=IRS 20Y,DtFmt=1,TmFmt=1,unit=true")</f>
        <v>IRS 20Y</v>
      </c>
      <c r="W17" s="31"/>
      <c r="X17" s="30" t="str">
        <f ca="1">_xll.IMDH("IR",X$16,X18:Y18,$C$15,$E$15,$G$15,"Per="&amp;$I$15&amp;",sort="&amp;$K$15&amp;",real=true,Bizday="&amp;$M$15&amp;",Quote="&amp;$O$15&amp;",Pos=20,Orient=V,Title=IRS 30Y,DtFmt=1,TmFmt=1,unit=true")</f>
        <v>IRS 30Y</v>
      </c>
      <c r="Y17" s="31"/>
    </row>
    <row r="18" spans="1:25">
      <c r="B18" s="32" t="s">
        <v>41</v>
      </c>
      <c r="C18" s="27" t="s">
        <v>49</v>
      </c>
      <c r="D18" s="32" t="s">
        <v>41</v>
      </c>
      <c r="E18" s="27" t="s">
        <v>49</v>
      </c>
      <c r="F18" s="32" t="s">
        <v>41</v>
      </c>
      <c r="G18" s="27" t="s">
        <v>49</v>
      </c>
      <c r="H18" s="32" t="s">
        <v>41</v>
      </c>
      <c r="I18" s="27" t="s">
        <v>49</v>
      </c>
      <c r="J18" s="32" t="s">
        <v>41</v>
      </c>
      <c r="K18" s="27" t="s">
        <v>49</v>
      </c>
      <c r="L18" s="32" t="s">
        <v>41</v>
      </c>
      <c r="M18" s="27" t="s">
        <v>49</v>
      </c>
      <c r="N18" s="32" t="s">
        <v>41</v>
      </c>
      <c r="O18" s="27" t="s">
        <v>49</v>
      </c>
      <c r="P18" s="32" t="s">
        <v>41</v>
      </c>
      <c r="Q18" s="27" t="s">
        <v>49</v>
      </c>
      <c r="R18" s="32" t="s">
        <v>41</v>
      </c>
      <c r="S18" s="27" t="s">
        <v>49</v>
      </c>
      <c r="T18" s="32" t="s">
        <v>41</v>
      </c>
      <c r="U18" s="27" t="s">
        <v>49</v>
      </c>
      <c r="V18" s="32" t="s">
        <v>41</v>
      </c>
      <c r="W18" s="27" t="s">
        <v>49</v>
      </c>
      <c r="X18" s="32" t="s">
        <v>41</v>
      </c>
      <c r="Y18" s="27" t="s">
        <v>49</v>
      </c>
    </row>
    <row r="19" spans="1:25">
      <c r="A19"/>
      <c r="B19" s="7">
        <v>45741</v>
      </c>
      <c r="C19">
        <v>2.7725</v>
      </c>
      <c r="D19" s="7">
        <v>45741</v>
      </c>
      <c r="E19" s="6">
        <v>2.7124999999999999</v>
      </c>
      <c r="F19" s="7">
        <v>45741</v>
      </c>
      <c r="G19" s="6">
        <v>2.68</v>
      </c>
      <c r="H19" s="7">
        <v>45741</v>
      </c>
      <c r="I19" s="6">
        <v>2.6349999999999998</v>
      </c>
      <c r="J19" s="7">
        <v>45741</v>
      </c>
      <c r="K19">
        <v>2.61</v>
      </c>
      <c r="L19" s="7">
        <v>45741</v>
      </c>
      <c r="M19">
        <v>2.5950000000000002</v>
      </c>
      <c r="N19" s="7">
        <v>45741</v>
      </c>
      <c r="O19">
        <v>2.6025</v>
      </c>
      <c r="P19" s="7">
        <v>45741</v>
      </c>
      <c r="Q19">
        <v>2.6124999999999998</v>
      </c>
      <c r="R19" s="7">
        <v>45741</v>
      </c>
      <c r="S19">
        <v>2.6375000000000002</v>
      </c>
      <c r="T19" s="7">
        <v>45741</v>
      </c>
      <c r="U19">
        <v>2.6724999999999999</v>
      </c>
      <c r="V19" s="7">
        <v>45741</v>
      </c>
      <c r="W19">
        <v>2.5325000000000002</v>
      </c>
      <c r="X19" s="7">
        <v>45741</v>
      </c>
      <c r="Y19" s="6">
        <v>2.2524999999999999</v>
      </c>
    </row>
    <row r="20" spans="1:25">
      <c r="A20"/>
      <c r="B20" s="7">
        <v>45740</v>
      </c>
      <c r="C20">
        <v>2.7650000000000001</v>
      </c>
      <c r="D20" s="7">
        <v>45740</v>
      </c>
      <c r="E20" s="6">
        <v>2.7025000000000001</v>
      </c>
      <c r="F20" s="7">
        <v>45740</v>
      </c>
      <c r="G20" s="6">
        <v>2.665</v>
      </c>
      <c r="H20" s="7">
        <v>45740</v>
      </c>
      <c r="I20" s="6">
        <v>2.6225000000000001</v>
      </c>
      <c r="J20" s="7">
        <v>45740</v>
      </c>
      <c r="K20">
        <v>2.5975000000000001</v>
      </c>
      <c r="L20" s="7">
        <v>45740</v>
      </c>
      <c r="M20">
        <v>2.5825</v>
      </c>
      <c r="N20" s="7">
        <v>45740</v>
      </c>
      <c r="O20">
        <v>2.5924999999999998</v>
      </c>
      <c r="P20" s="7">
        <v>45740</v>
      </c>
      <c r="Q20">
        <v>2.6025</v>
      </c>
      <c r="R20" s="7">
        <v>45740</v>
      </c>
      <c r="S20">
        <v>2.6274999999999999</v>
      </c>
      <c r="T20" s="7">
        <v>45740</v>
      </c>
      <c r="U20">
        <v>2.6625000000000001</v>
      </c>
      <c r="V20" s="7">
        <v>45740</v>
      </c>
      <c r="W20">
        <v>2.5249999999999999</v>
      </c>
      <c r="X20" s="7">
        <v>45740</v>
      </c>
      <c r="Y20" s="6">
        <v>2.27</v>
      </c>
    </row>
    <row r="21" spans="1:25">
      <c r="A21"/>
      <c r="B21" s="7">
        <v>45737</v>
      </c>
      <c r="C21">
        <v>2.7625000000000002</v>
      </c>
      <c r="D21" s="7">
        <v>45737</v>
      </c>
      <c r="E21">
        <v>2.7</v>
      </c>
      <c r="F21" s="7">
        <v>45737</v>
      </c>
      <c r="G21">
        <v>2.6625000000000001</v>
      </c>
      <c r="H21" s="7">
        <v>45737</v>
      </c>
      <c r="I21">
        <v>2.6150000000000002</v>
      </c>
      <c r="J21" s="7">
        <v>45737</v>
      </c>
      <c r="K21">
        <v>2.5874999999999999</v>
      </c>
      <c r="L21" s="7">
        <v>45737</v>
      </c>
      <c r="M21">
        <v>2.5724999999999998</v>
      </c>
      <c r="N21" s="7">
        <v>45737</v>
      </c>
      <c r="O21">
        <v>2.585</v>
      </c>
      <c r="P21" s="7">
        <v>45737</v>
      </c>
      <c r="Q21">
        <v>2.5950000000000002</v>
      </c>
      <c r="R21" s="7">
        <v>45737</v>
      </c>
      <c r="S21">
        <v>2.62</v>
      </c>
      <c r="T21" s="7">
        <v>45737</v>
      </c>
      <c r="U21">
        <v>2.6549999999999998</v>
      </c>
      <c r="V21" s="7">
        <v>45737</v>
      </c>
      <c r="W21">
        <v>2.5175000000000001</v>
      </c>
      <c r="X21" s="7">
        <v>45737</v>
      </c>
      <c r="Y21" s="6">
        <v>2.2625000000000002</v>
      </c>
    </row>
    <row r="22" spans="1:25">
      <c r="A22"/>
      <c r="B22" s="7">
        <v>45736</v>
      </c>
      <c r="C22">
        <v>2.76</v>
      </c>
      <c r="D22" s="7">
        <v>45736</v>
      </c>
      <c r="E22">
        <v>2.6974999999999998</v>
      </c>
      <c r="F22" s="7">
        <v>45736</v>
      </c>
      <c r="G22">
        <v>2.66</v>
      </c>
      <c r="H22" s="7">
        <v>45736</v>
      </c>
      <c r="I22">
        <v>2.61</v>
      </c>
      <c r="J22" s="7">
        <v>45736</v>
      </c>
      <c r="K22">
        <v>2.5775000000000001</v>
      </c>
      <c r="L22" s="7">
        <v>45736</v>
      </c>
      <c r="M22">
        <v>2.5625</v>
      </c>
      <c r="N22" s="7">
        <v>45736</v>
      </c>
      <c r="O22">
        <v>2.5750000000000002</v>
      </c>
      <c r="P22" s="7">
        <v>45736</v>
      </c>
      <c r="Q22">
        <v>2.5825</v>
      </c>
      <c r="R22" s="7">
        <v>45736</v>
      </c>
      <c r="S22">
        <v>2.61</v>
      </c>
      <c r="T22" s="7">
        <v>45736</v>
      </c>
      <c r="U22">
        <v>2.645</v>
      </c>
      <c r="V22" s="7">
        <v>45736</v>
      </c>
      <c r="W22">
        <v>2.5049999999999999</v>
      </c>
      <c r="X22" s="7">
        <v>45736</v>
      </c>
      <c r="Y22" s="6">
        <v>2.25</v>
      </c>
    </row>
    <row r="23" spans="1:25">
      <c r="A23"/>
      <c r="B23" s="7">
        <v>45735</v>
      </c>
      <c r="C23">
        <v>2.7675000000000001</v>
      </c>
      <c r="D23" s="7">
        <v>45735</v>
      </c>
      <c r="E23">
        <v>2.7050000000000001</v>
      </c>
      <c r="F23" s="7">
        <v>45735</v>
      </c>
      <c r="G23">
        <v>2.6675</v>
      </c>
      <c r="H23" s="7">
        <v>45735</v>
      </c>
      <c r="I23">
        <v>2.62</v>
      </c>
      <c r="J23" s="7">
        <v>45735</v>
      </c>
      <c r="K23">
        <v>2.585</v>
      </c>
      <c r="L23" s="7">
        <v>45735</v>
      </c>
      <c r="M23">
        <v>2.57</v>
      </c>
      <c r="N23" s="7">
        <v>45735</v>
      </c>
      <c r="O23">
        <v>2.585</v>
      </c>
      <c r="P23" s="7">
        <v>45735</v>
      </c>
      <c r="Q23">
        <v>2.5924999999999998</v>
      </c>
      <c r="R23" s="7">
        <v>45735</v>
      </c>
      <c r="S23">
        <v>2.6225000000000001</v>
      </c>
      <c r="T23" s="7">
        <v>45735</v>
      </c>
      <c r="U23">
        <v>2.6575000000000002</v>
      </c>
      <c r="V23" s="7">
        <v>45735</v>
      </c>
      <c r="W23">
        <v>2.5175000000000001</v>
      </c>
      <c r="X23" s="7">
        <v>45735</v>
      </c>
      <c r="Y23" s="6">
        <v>2.2625000000000002</v>
      </c>
    </row>
    <row r="24" spans="1:25">
      <c r="A24"/>
      <c r="B24" s="7">
        <v>45734</v>
      </c>
      <c r="C24">
        <v>2.7650000000000001</v>
      </c>
      <c r="D24" s="7">
        <v>45734</v>
      </c>
      <c r="E24">
        <v>2.7</v>
      </c>
      <c r="F24" s="7">
        <v>45734</v>
      </c>
      <c r="G24">
        <v>2.66</v>
      </c>
      <c r="H24" s="7">
        <v>45734</v>
      </c>
      <c r="I24">
        <v>2.61</v>
      </c>
      <c r="J24" s="7">
        <v>45734</v>
      </c>
      <c r="K24">
        <v>2.57</v>
      </c>
      <c r="L24" s="7">
        <v>45734</v>
      </c>
      <c r="M24">
        <v>2.5525000000000002</v>
      </c>
      <c r="N24" s="7">
        <v>45734</v>
      </c>
      <c r="O24">
        <v>2.5625</v>
      </c>
      <c r="P24" s="7">
        <v>45734</v>
      </c>
      <c r="Q24">
        <v>2.5724999999999998</v>
      </c>
      <c r="R24" s="7">
        <v>45734</v>
      </c>
      <c r="S24">
        <v>2.61</v>
      </c>
      <c r="T24" s="7">
        <v>45734</v>
      </c>
      <c r="U24">
        <v>2.645</v>
      </c>
      <c r="V24" s="7">
        <v>45734</v>
      </c>
      <c r="W24">
        <v>2.5049999999999999</v>
      </c>
      <c r="X24" s="7">
        <v>45734</v>
      </c>
      <c r="Y24" s="6">
        <v>2.25</v>
      </c>
    </row>
    <row r="25" spans="1:25">
      <c r="A25"/>
      <c r="B25" s="7">
        <v>45733</v>
      </c>
      <c r="C25">
        <v>2.7650000000000001</v>
      </c>
      <c r="D25" s="7">
        <v>45733</v>
      </c>
      <c r="E25">
        <v>2.7</v>
      </c>
      <c r="F25" s="7">
        <v>45733</v>
      </c>
      <c r="G25">
        <v>2.66</v>
      </c>
      <c r="H25" s="7">
        <v>45733</v>
      </c>
      <c r="I25">
        <v>2.61</v>
      </c>
      <c r="J25" s="7">
        <v>45733</v>
      </c>
      <c r="K25">
        <v>2.57</v>
      </c>
      <c r="L25" s="7">
        <v>45733</v>
      </c>
      <c r="M25">
        <v>2.5550000000000002</v>
      </c>
      <c r="N25" s="7">
        <v>45733</v>
      </c>
      <c r="O25">
        <v>2.57</v>
      </c>
      <c r="P25" s="7">
        <v>45733</v>
      </c>
      <c r="Q25">
        <v>2.5825</v>
      </c>
      <c r="R25" s="7">
        <v>45733</v>
      </c>
      <c r="S25">
        <v>2.62</v>
      </c>
      <c r="T25" s="7">
        <v>45733</v>
      </c>
      <c r="U25">
        <v>2.6549999999999998</v>
      </c>
      <c r="V25" s="7">
        <v>45733</v>
      </c>
      <c r="W25">
        <v>2.5150000000000001</v>
      </c>
      <c r="X25" s="7">
        <v>45733</v>
      </c>
      <c r="Y25" s="6">
        <v>2.2599999999999998</v>
      </c>
    </row>
    <row r="26" spans="1:25">
      <c r="A26"/>
      <c r="B26" s="7">
        <v>45730</v>
      </c>
      <c r="C26">
        <v>2.76</v>
      </c>
      <c r="D26" s="7">
        <v>45730</v>
      </c>
      <c r="E26">
        <v>2.6949999999999998</v>
      </c>
      <c r="F26" s="7">
        <v>45730</v>
      </c>
      <c r="G26">
        <v>2.6524999999999999</v>
      </c>
      <c r="H26" s="7">
        <v>45730</v>
      </c>
      <c r="I26">
        <v>2.605</v>
      </c>
      <c r="J26" s="7">
        <v>45730</v>
      </c>
      <c r="K26">
        <v>2.5674999999999999</v>
      </c>
      <c r="L26" s="7">
        <v>45730</v>
      </c>
      <c r="M26">
        <v>2.5525000000000002</v>
      </c>
      <c r="N26" s="7">
        <v>45730</v>
      </c>
      <c r="O26">
        <v>2.5724999999999998</v>
      </c>
      <c r="P26" s="7">
        <v>45730</v>
      </c>
      <c r="Q26">
        <v>2.585</v>
      </c>
      <c r="R26" s="7">
        <v>45730</v>
      </c>
      <c r="S26">
        <v>2.625</v>
      </c>
      <c r="T26" s="7">
        <v>45730</v>
      </c>
      <c r="U26">
        <v>2.665</v>
      </c>
      <c r="V26" s="7">
        <v>45730</v>
      </c>
      <c r="W26">
        <v>2.5249999999999999</v>
      </c>
      <c r="X26" s="7">
        <v>45730</v>
      </c>
      <c r="Y26" s="6">
        <v>2.27</v>
      </c>
    </row>
    <row r="27" spans="1:25">
      <c r="A27"/>
      <c r="B27" s="7">
        <v>45729</v>
      </c>
      <c r="C27">
        <v>2.7574999999999998</v>
      </c>
      <c r="D27" s="7">
        <v>45729</v>
      </c>
      <c r="E27">
        <v>2.6875</v>
      </c>
      <c r="F27" s="7">
        <v>45729</v>
      </c>
      <c r="G27">
        <v>2.6425000000000001</v>
      </c>
      <c r="H27" s="7">
        <v>45729</v>
      </c>
      <c r="I27">
        <v>2.59</v>
      </c>
      <c r="J27" s="7">
        <v>45729</v>
      </c>
      <c r="K27">
        <v>2.5474999999999999</v>
      </c>
      <c r="L27" s="7">
        <v>45729</v>
      </c>
      <c r="M27">
        <v>2.5325000000000002</v>
      </c>
      <c r="N27" s="7">
        <v>45729</v>
      </c>
      <c r="O27">
        <v>2.5474999999999999</v>
      </c>
      <c r="P27" s="7">
        <v>45729</v>
      </c>
      <c r="Q27">
        <v>2.5575000000000001</v>
      </c>
      <c r="R27" s="7">
        <v>45729</v>
      </c>
      <c r="S27">
        <v>2.5874999999999999</v>
      </c>
      <c r="T27" s="7">
        <v>45729</v>
      </c>
      <c r="U27">
        <v>2.625</v>
      </c>
      <c r="V27" s="7">
        <v>45729</v>
      </c>
      <c r="W27">
        <v>2.4849999999999999</v>
      </c>
      <c r="X27" s="7">
        <v>45729</v>
      </c>
      <c r="Y27" s="6">
        <v>2.23</v>
      </c>
    </row>
    <row r="28" spans="1:25">
      <c r="A28"/>
      <c r="B28" s="7">
        <v>45728</v>
      </c>
      <c r="C28">
        <v>2.7450000000000001</v>
      </c>
      <c r="D28" s="7">
        <v>45728</v>
      </c>
      <c r="E28">
        <v>2.6724999999999999</v>
      </c>
      <c r="F28" s="7">
        <v>45728</v>
      </c>
      <c r="G28">
        <v>2.625</v>
      </c>
      <c r="H28" s="7">
        <v>45728</v>
      </c>
      <c r="I28">
        <v>2.5724999999999998</v>
      </c>
      <c r="J28" s="7">
        <v>45728</v>
      </c>
      <c r="K28">
        <v>2.5299999999999998</v>
      </c>
      <c r="L28" s="7">
        <v>45728</v>
      </c>
      <c r="M28">
        <v>2.5125000000000002</v>
      </c>
      <c r="N28" s="7">
        <v>45728</v>
      </c>
      <c r="O28">
        <v>2.5274999999999999</v>
      </c>
      <c r="P28" s="7">
        <v>45728</v>
      </c>
      <c r="Q28">
        <v>2.5375000000000001</v>
      </c>
      <c r="R28" s="7">
        <v>45728</v>
      </c>
      <c r="S28">
        <v>2.5649999999999999</v>
      </c>
      <c r="T28" s="7">
        <v>45728</v>
      </c>
      <c r="U28">
        <v>2.6</v>
      </c>
      <c r="V28" s="7">
        <v>45728</v>
      </c>
      <c r="W28">
        <v>2.46</v>
      </c>
      <c r="X28" s="7">
        <v>45728</v>
      </c>
      <c r="Y28" s="6">
        <v>2.2050000000000001</v>
      </c>
    </row>
    <row r="29" spans="1:25">
      <c r="A29"/>
      <c r="B29" s="7">
        <v>45727</v>
      </c>
      <c r="C29">
        <v>2.75</v>
      </c>
      <c r="D29" s="7">
        <v>45727</v>
      </c>
      <c r="E29">
        <v>2.6775000000000002</v>
      </c>
      <c r="F29" s="7">
        <v>45727</v>
      </c>
      <c r="G29">
        <v>2.63</v>
      </c>
      <c r="H29" s="7">
        <v>45727</v>
      </c>
      <c r="I29">
        <v>2.58</v>
      </c>
      <c r="J29" s="7">
        <v>45727</v>
      </c>
      <c r="K29">
        <v>2.54</v>
      </c>
      <c r="L29" s="7">
        <v>45727</v>
      </c>
      <c r="M29">
        <v>2.5325000000000002</v>
      </c>
      <c r="N29" s="7">
        <v>45727</v>
      </c>
      <c r="O29">
        <v>2.54</v>
      </c>
      <c r="P29" s="7">
        <v>45727</v>
      </c>
      <c r="Q29">
        <v>2.5474999999999999</v>
      </c>
      <c r="R29" s="7">
        <v>45727</v>
      </c>
      <c r="S29">
        <v>2.5724999999999998</v>
      </c>
      <c r="T29" s="7">
        <v>45727</v>
      </c>
      <c r="U29">
        <v>2.6025</v>
      </c>
      <c r="V29" s="7">
        <v>45727</v>
      </c>
      <c r="W29">
        <v>2.4575</v>
      </c>
      <c r="X29" s="7">
        <v>45727</v>
      </c>
      <c r="Y29" s="6">
        <v>2.2025000000000001</v>
      </c>
    </row>
    <row r="30" spans="1:25">
      <c r="A30"/>
      <c r="B30" s="7">
        <v>45726</v>
      </c>
      <c r="C30">
        <v>2.76</v>
      </c>
      <c r="D30" s="7">
        <v>45726</v>
      </c>
      <c r="E30">
        <v>2.6875</v>
      </c>
      <c r="F30" s="7">
        <v>45726</v>
      </c>
      <c r="G30">
        <v>2.64</v>
      </c>
      <c r="H30" s="7">
        <v>45726</v>
      </c>
      <c r="I30">
        <v>2.605</v>
      </c>
      <c r="J30" s="7">
        <v>45726</v>
      </c>
      <c r="K30">
        <v>2.5750000000000002</v>
      </c>
      <c r="L30" s="7">
        <v>45726</v>
      </c>
      <c r="M30">
        <v>2.57</v>
      </c>
      <c r="N30" s="7">
        <v>45726</v>
      </c>
      <c r="O30">
        <v>2.59</v>
      </c>
      <c r="P30" s="7">
        <v>45726</v>
      </c>
      <c r="Q30">
        <v>2.5975000000000001</v>
      </c>
      <c r="R30" s="7">
        <v>45726</v>
      </c>
      <c r="S30">
        <v>2.6225000000000001</v>
      </c>
      <c r="T30" s="7">
        <v>45726</v>
      </c>
      <c r="U30">
        <v>2.66</v>
      </c>
      <c r="V30" s="7">
        <v>45726</v>
      </c>
      <c r="W30">
        <v>2.5150000000000001</v>
      </c>
      <c r="X30" s="7">
        <v>45726</v>
      </c>
      <c r="Y30" s="6">
        <v>2.2599999999999998</v>
      </c>
    </row>
    <row r="31" spans="1:25">
      <c r="A31"/>
      <c r="B31" s="7">
        <v>45723</v>
      </c>
      <c r="C31">
        <v>2.7475000000000001</v>
      </c>
      <c r="D31" s="7">
        <v>45723</v>
      </c>
      <c r="E31">
        <v>2.6749999999999998</v>
      </c>
      <c r="F31" s="7">
        <v>45723</v>
      </c>
      <c r="G31">
        <v>2.6274999999999999</v>
      </c>
      <c r="H31" s="7">
        <v>45723</v>
      </c>
      <c r="I31">
        <v>2.5874999999999999</v>
      </c>
      <c r="J31" s="7">
        <v>45723</v>
      </c>
      <c r="K31">
        <v>2.5550000000000002</v>
      </c>
      <c r="L31" s="7">
        <v>45723</v>
      </c>
      <c r="M31">
        <v>2.54</v>
      </c>
      <c r="N31" s="7">
        <v>45723</v>
      </c>
      <c r="O31">
        <v>2.56</v>
      </c>
      <c r="P31" s="7">
        <v>45723</v>
      </c>
      <c r="Q31">
        <v>2.57</v>
      </c>
      <c r="R31" s="7">
        <v>45723</v>
      </c>
      <c r="S31">
        <v>2.5950000000000002</v>
      </c>
      <c r="T31" s="7">
        <v>45723</v>
      </c>
      <c r="U31">
        <v>2.63</v>
      </c>
      <c r="V31" s="7">
        <v>45723</v>
      </c>
      <c r="W31">
        <v>2.4849999999999999</v>
      </c>
      <c r="X31" s="7">
        <v>45723</v>
      </c>
      <c r="Y31" s="6">
        <v>2.23</v>
      </c>
    </row>
    <row r="32" spans="1:25">
      <c r="A32"/>
      <c r="B32" s="7">
        <v>45722</v>
      </c>
      <c r="C32">
        <v>2.7549999999999999</v>
      </c>
      <c r="D32" s="7">
        <v>45722</v>
      </c>
      <c r="E32">
        <v>2.6825000000000001</v>
      </c>
      <c r="F32" s="7">
        <v>45722</v>
      </c>
      <c r="G32">
        <v>2.6349999999999998</v>
      </c>
      <c r="H32" s="7">
        <v>45722</v>
      </c>
      <c r="I32">
        <v>2.605</v>
      </c>
      <c r="J32" s="7">
        <v>45722</v>
      </c>
      <c r="K32">
        <v>2.585</v>
      </c>
      <c r="L32" s="7">
        <v>45722</v>
      </c>
      <c r="M32">
        <v>2.5750000000000002</v>
      </c>
      <c r="N32" s="7">
        <v>45722</v>
      </c>
      <c r="O32">
        <v>2.5975000000000001</v>
      </c>
      <c r="P32" s="7">
        <v>45722</v>
      </c>
      <c r="Q32">
        <v>2.6124999999999998</v>
      </c>
      <c r="R32" s="7">
        <v>45722</v>
      </c>
      <c r="S32">
        <v>2.6425000000000001</v>
      </c>
      <c r="T32" s="7">
        <v>45722</v>
      </c>
      <c r="U32">
        <v>2.6825000000000001</v>
      </c>
      <c r="V32" s="7">
        <v>45722</v>
      </c>
      <c r="W32">
        <v>2.5449999999999999</v>
      </c>
      <c r="X32" s="7">
        <v>45722</v>
      </c>
      <c r="Y32" s="6">
        <v>2.29</v>
      </c>
    </row>
    <row r="33" spans="1:25">
      <c r="A33"/>
      <c r="B33" s="7">
        <v>45721</v>
      </c>
      <c r="C33">
        <v>2.76</v>
      </c>
      <c r="D33" s="7">
        <v>45721</v>
      </c>
      <c r="E33">
        <v>2.6875</v>
      </c>
      <c r="F33" s="7">
        <v>45721</v>
      </c>
      <c r="G33">
        <v>2.64</v>
      </c>
      <c r="H33" s="7">
        <v>45721</v>
      </c>
      <c r="I33">
        <v>2.6</v>
      </c>
      <c r="J33" s="7">
        <v>45721</v>
      </c>
      <c r="K33">
        <v>2.5724999999999998</v>
      </c>
      <c r="L33" s="7">
        <v>45721</v>
      </c>
      <c r="M33">
        <v>2.56</v>
      </c>
      <c r="N33" s="7">
        <v>45721</v>
      </c>
      <c r="O33">
        <v>2.5775000000000001</v>
      </c>
      <c r="P33" s="7">
        <v>45721</v>
      </c>
      <c r="Q33">
        <v>2.59</v>
      </c>
      <c r="R33" s="7">
        <v>45721</v>
      </c>
      <c r="S33">
        <v>2.6175000000000002</v>
      </c>
      <c r="T33" s="7">
        <v>45721</v>
      </c>
      <c r="U33">
        <v>2.6524999999999999</v>
      </c>
      <c r="V33" s="7">
        <v>45721</v>
      </c>
      <c r="W33">
        <v>2.5150000000000001</v>
      </c>
      <c r="X33" s="7">
        <v>45721</v>
      </c>
      <c r="Y33" s="6">
        <v>2.2599999999999998</v>
      </c>
    </row>
    <row r="34" spans="1:25">
      <c r="A34"/>
      <c r="B34" s="7">
        <v>45720</v>
      </c>
      <c r="C34">
        <v>2.77</v>
      </c>
      <c r="D34" s="7">
        <v>45720</v>
      </c>
      <c r="E34">
        <v>2.6949999999999998</v>
      </c>
      <c r="F34" s="7">
        <v>45720</v>
      </c>
      <c r="G34">
        <v>2.645</v>
      </c>
      <c r="H34" s="7">
        <v>45720</v>
      </c>
      <c r="I34">
        <v>2.5924999999999998</v>
      </c>
      <c r="J34" s="7">
        <v>45720</v>
      </c>
      <c r="K34">
        <v>2.5575000000000001</v>
      </c>
      <c r="L34" s="7">
        <v>45720</v>
      </c>
      <c r="M34">
        <v>2.5274999999999999</v>
      </c>
      <c r="N34" s="7">
        <v>45720</v>
      </c>
      <c r="O34">
        <v>2.5325000000000002</v>
      </c>
      <c r="P34" s="7">
        <v>45720</v>
      </c>
      <c r="Q34">
        <v>2.5350000000000001</v>
      </c>
      <c r="R34" s="7">
        <v>45720</v>
      </c>
      <c r="S34">
        <v>2.56</v>
      </c>
      <c r="T34" s="7">
        <v>45720</v>
      </c>
      <c r="U34">
        <v>2.59</v>
      </c>
      <c r="V34" s="7">
        <v>45720</v>
      </c>
      <c r="W34">
        <v>2.4550000000000001</v>
      </c>
      <c r="X34" s="7">
        <v>45720</v>
      </c>
      <c r="Y34" s="6">
        <v>2.2000000000000002</v>
      </c>
    </row>
    <row r="35" spans="1:25">
      <c r="A35"/>
      <c r="B35" s="7">
        <v>45716</v>
      </c>
      <c r="C35">
        <v>2.7825000000000002</v>
      </c>
      <c r="D35" s="7">
        <v>45716</v>
      </c>
      <c r="E35">
        <v>2.7050000000000001</v>
      </c>
      <c r="F35" s="7">
        <v>45716</v>
      </c>
      <c r="G35">
        <v>2.6549999999999998</v>
      </c>
      <c r="H35" s="7">
        <v>45716</v>
      </c>
      <c r="I35">
        <v>2.6025</v>
      </c>
      <c r="J35" s="7">
        <v>45716</v>
      </c>
      <c r="K35">
        <v>2.5674999999999999</v>
      </c>
      <c r="L35" s="7">
        <v>45716</v>
      </c>
      <c r="M35">
        <v>2.5375000000000001</v>
      </c>
      <c r="N35" s="7">
        <v>45716</v>
      </c>
      <c r="O35">
        <v>2.54</v>
      </c>
      <c r="P35" s="7">
        <v>45716</v>
      </c>
      <c r="Q35">
        <v>2.5375000000000001</v>
      </c>
      <c r="R35" s="7">
        <v>45716</v>
      </c>
      <c r="S35">
        <v>2.5575000000000001</v>
      </c>
      <c r="T35" s="7">
        <v>45716</v>
      </c>
      <c r="U35">
        <v>2.585</v>
      </c>
      <c r="V35" s="7">
        <v>45716</v>
      </c>
      <c r="W35">
        <v>2.4500000000000002</v>
      </c>
      <c r="X35" s="7">
        <v>45716</v>
      </c>
      <c r="Y35" s="6">
        <v>2.1949999999999998</v>
      </c>
    </row>
    <row r="36" spans="1:25">
      <c r="A36"/>
      <c r="B36" s="7">
        <v>45715</v>
      </c>
      <c r="C36">
        <v>2.77</v>
      </c>
      <c r="D36" s="7">
        <v>45715</v>
      </c>
      <c r="E36">
        <v>2.6974999999999998</v>
      </c>
      <c r="F36" s="7">
        <v>45715</v>
      </c>
      <c r="G36">
        <v>2.6475</v>
      </c>
      <c r="H36" s="7">
        <v>45715</v>
      </c>
      <c r="I36">
        <v>2.605</v>
      </c>
      <c r="J36" s="7">
        <v>45715</v>
      </c>
      <c r="K36">
        <v>2.5825</v>
      </c>
      <c r="L36" s="7">
        <v>45715</v>
      </c>
      <c r="M36">
        <v>2.5674999999999999</v>
      </c>
      <c r="N36" s="7">
        <v>45715</v>
      </c>
      <c r="O36">
        <v>2.5750000000000002</v>
      </c>
      <c r="P36" s="7">
        <v>45715</v>
      </c>
      <c r="Q36">
        <v>2.5775000000000001</v>
      </c>
      <c r="R36" s="7">
        <v>45715</v>
      </c>
      <c r="S36">
        <v>2.6025</v>
      </c>
      <c r="T36" s="7">
        <v>45715</v>
      </c>
      <c r="U36">
        <v>2.6324999999999998</v>
      </c>
      <c r="V36" s="7">
        <v>45715</v>
      </c>
      <c r="W36">
        <v>2.4975000000000001</v>
      </c>
      <c r="X36" s="7">
        <v>45715</v>
      </c>
      <c r="Y36" s="6">
        <v>2.2425000000000002</v>
      </c>
    </row>
    <row r="37" spans="1:25">
      <c r="A37"/>
      <c r="B37" s="7">
        <v>45714</v>
      </c>
      <c r="C37">
        <v>2.8</v>
      </c>
      <c r="D37" s="7">
        <v>45714</v>
      </c>
      <c r="E37">
        <v>2.73</v>
      </c>
      <c r="F37" s="7">
        <v>45714</v>
      </c>
      <c r="G37">
        <v>2.68</v>
      </c>
      <c r="H37" s="7">
        <v>45714</v>
      </c>
      <c r="I37">
        <v>2.6349999999999998</v>
      </c>
      <c r="J37" s="7">
        <v>45714</v>
      </c>
      <c r="K37">
        <v>2.6025</v>
      </c>
      <c r="L37" s="7">
        <v>45714</v>
      </c>
      <c r="M37">
        <v>2.585</v>
      </c>
      <c r="N37" s="7">
        <v>45714</v>
      </c>
      <c r="O37">
        <v>2.59</v>
      </c>
      <c r="P37" s="7">
        <v>45714</v>
      </c>
      <c r="Q37">
        <v>2.59</v>
      </c>
      <c r="R37" s="7">
        <v>45714</v>
      </c>
      <c r="S37">
        <v>2.6150000000000002</v>
      </c>
      <c r="T37" s="7">
        <v>45714</v>
      </c>
      <c r="U37">
        <v>2.64</v>
      </c>
      <c r="V37" s="7">
        <v>45714</v>
      </c>
      <c r="W37">
        <v>2.5249999999999999</v>
      </c>
      <c r="X37" s="7">
        <v>45714</v>
      </c>
      <c r="Y37" s="6">
        <v>2.27</v>
      </c>
    </row>
    <row r="38" spans="1:25">
      <c r="A38"/>
      <c r="B38" s="7">
        <v>45713</v>
      </c>
      <c r="C38">
        <v>2.8</v>
      </c>
      <c r="D38" s="7">
        <v>45713</v>
      </c>
      <c r="E38">
        <v>2.73</v>
      </c>
      <c r="F38" s="7">
        <v>45713</v>
      </c>
      <c r="G38">
        <v>2.68</v>
      </c>
      <c r="H38" s="7">
        <v>45713</v>
      </c>
      <c r="I38">
        <v>2.6324999999999998</v>
      </c>
      <c r="J38" s="7">
        <v>45713</v>
      </c>
      <c r="K38">
        <v>2.61</v>
      </c>
      <c r="L38" s="7">
        <v>45713</v>
      </c>
      <c r="M38">
        <v>2.6</v>
      </c>
      <c r="N38" s="7">
        <v>45713</v>
      </c>
      <c r="O38">
        <v>2.6150000000000002</v>
      </c>
      <c r="P38" s="7">
        <v>45713</v>
      </c>
      <c r="Q38">
        <v>2.625</v>
      </c>
      <c r="R38" s="7">
        <v>45713</v>
      </c>
      <c r="S38">
        <v>2.6475</v>
      </c>
      <c r="T38" s="7">
        <v>45713</v>
      </c>
      <c r="U38">
        <v>2.6825000000000001</v>
      </c>
      <c r="V38" s="7">
        <v>45713</v>
      </c>
      <c r="W38">
        <v>2.585</v>
      </c>
      <c r="X38" s="7">
        <v>45713</v>
      </c>
      <c r="Y38" s="6">
        <v>2.33</v>
      </c>
    </row>
    <row r="39" spans="1:25">
      <c r="A39"/>
      <c r="B39" s="7">
        <v>45712</v>
      </c>
      <c r="C39">
        <v>2.8125</v>
      </c>
      <c r="D39" s="7">
        <v>45712</v>
      </c>
      <c r="E39">
        <v>2.74</v>
      </c>
      <c r="F39" s="7">
        <v>45712</v>
      </c>
      <c r="G39">
        <v>2.6924999999999999</v>
      </c>
      <c r="H39" s="7">
        <v>45712</v>
      </c>
      <c r="I39">
        <v>2.65</v>
      </c>
      <c r="J39" s="7">
        <v>45712</v>
      </c>
      <c r="K39">
        <v>2.625</v>
      </c>
      <c r="L39" s="7">
        <v>45712</v>
      </c>
      <c r="M39">
        <v>2.6150000000000002</v>
      </c>
      <c r="N39" s="7">
        <v>45712</v>
      </c>
      <c r="O39">
        <v>2.6324999999999998</v>
      </c>
      <c r="P39" s="7">
        <v>45712</v>
      </c>
      <c r="Q39">
        <v>2.6425000000000001</v>
      </c>
      <c r="R39" s="7">
        <v>45712</v>
      </c>
      <c r="S39">
        <v>2.665</v>
      </c>
      <c r="T39" s="7">
        <v>45712</v>
      </c>
      <c r="U39">
        <v>2.7</v>
      </c>
      <c r="V39" s="7">
        <v>45712</v>
      </c>
      <c r="W39">
        <v>2.59</v>
      </c>
      <c r="X39" s="7">
        <v>45712</v>
      </c>
      <c r="Y39" s="6">
        <v>2.335</v>
      </c>
    </row>
    <row r="40" spans="1:25">
      <c r="A40"/>
      <c r="B40" s="7">
        <v>45709</v>
      </c>
      <c r="C40">
        <v>2.8174999999999999</v>
      </c>
      <c r="D40" s="7">
        <v>45709</v>
      </c>
      <c r="E40">
        <v>2.7450000000000001</v>
      </c>
      <c r="F40" s="7">
        <v>45709</v>
      </c>
      <c r="G40">
        <v>2.6974999999999998</v>
      </c>
      <c r="H40" s="7">
        <v>45709</v>
      </c>
      <c r="I40">
        <v>2.6549999999999998</v>
      </c>
      <c r="J40" s="7">
        <v>45709</v>
      </c>
      <c r="K40">
        <v>2.6324999999999998</v>
      </c>
      <c r="L40" s="7">
        <v>45709</v>
      </c>
      <c r="M40">
        <v>2.625</v>
      </c>
      <c r="N40" s="7">
        <v>45709</v>
      </c>
      <c r="O40">
        <v>2.6475</v>
      </c>
      <c r="P40" s="7">
        <v>45709</v>
      </c>
      <c r="Q40">
        <v>2.66</v>
      </c>
      <c r="R40" s="7">
        <v>45709</v>
      </c>
      <c r="S40">
        <v>2.6875</v>
      </c>
      <c r="T40" s="7">
        <v>45709</v>
      </c>
      <c r="U40">
        <v>2.7225000000000001</v>
      </c>
      <c r="V40" s="7">
        <v>45709</v>
      </c>
      <c r="W40">
        <v>2.6074999999999999</v>
      </c>
      <c r="X40" s="7">
        <v>45709</v>
      </c>
      <c r="Y40" s="6">
        <v>2.3525</v>
      </c>
    </row>
    <row r="41" spans="1:25">
      <c r="A41"/>
      <c r="B41" s="7">
        <v>45708</v>
      </c>
      <c r="C41">
        <v>2.85</v>
      </c>
      <c r="D41" s="7">
        <v>45708</v>
      </c>
      <c r="E41">
        <v>2.7774999999999999</v>
      </c>
      <c r="F41" s="7">
        <v>45708</v>
      </c>
      <c r="G41">
        <v>2.7275</v>
      </c>
      <c r="H41" s="7">
        <v>45708</v>
      </c>
      <c r="I41">
        <v>2.6850000000000001</v>
      </c>
      <c r="J41" s="7">
        <v>45708</v>
      </c>
      <c r="K41">
        <v>2.6575000000000002</v>
      </c>
      <c r="L41" s="7">
        <v>45708</v>
      </c>
      <c r="M41">
        <v>2.65</v>
      </c>
      <c r="N41" s="7">
        <v>45708</v>
      </c>
      <c r="O41">
        <v>2.6724999999999999</v>
      </c>
      <c r="P41" s="7">
        <v>45708</v>
      </c>
      <c r="Q41">
        <v>2.6875</v>
      </c>
      <c r="R41" s="7">
        <v>45708</v>
      </c>
      <c r="S41">
        <v>2.7174999999999998</v>
      </c>
      <c r="T41" s="7">
        <v>45708</v>
      </c>
      <c r="U41">
        <v>2.7549999999999999</v>
      </c>
      <c r="V41" s="7">
        <v>45708</v>
      </c>
      <c r="W41">
        <v>2.63</v>
      </c>
      <c r="X41" s="7">
        <v>45708</v>
      </c>
      <c r="Y41" s="6">
        <v>2.3675000000000002</v>
      </c>
    </row>
    <row r="42" spans="1:25">
      <c r="A42"/>
      <c r="B42" s="7">
        <v>45707</v>
      </c>
      <c r="C42">
        <v>2.875</v>
      </c>
      <c r="D42" s="7">
        <v>45707</v>
      </c>
      <c r="E42">
        <v>2.8025000000000002</v>
      </c>
      <c r="F42" s="7">
        <v>45707</v>
      </c>
      <c r="G42">
        <v>2.7524999999999999</v>
      </c>
      <c r="H42" s="7">
        <v>45707</v>
      </c>
      <c r="I42">
        <v>2.7050000000000001</v>
      </c>
      <c r="J42" s="7">
        <v>45707</v>
      </c>
      <c r="K42">
        <v>2.6724999999999999</v>
      </c>
      <c r="L42" s="7">
        <v>45707</v>
      </c>
      <c r="M42">
        <v>2.6524999999999999</v>
      </c>
      <c r="N42" s="7">
        <v>45707</v>
      </c>
      <c r="O42">
        <v>2.6675</v>
      </c>
      <c r="P42" s="7">
        <v>45707</v>
      </c>
      <c r="Q42">
        <v>2.68</v>
      </c>
      <c r="R42" s="7">
        <v>45707</v>
      </c>
      <c r="S42">
        <v>2.7075</v>
      </c>
      <c r="T42" s="7">
        <v>45707</v>
      </c>
      <c r="U42">
        <v>2.7425000000000002</v>
      </c>
      <c r="V42" s="7">
        <v>45707</v>
      </c>
      <c r="W42">
        <v>2.6074999999999999</v>
      </c>
      <c r="X42" s="7">
        <v>45707</v>
      </c>
      <c r="Y42" s="6">
        <v>2.3450000000000002</v>
      </c>
    </row>
    <row r="43" spans="1:25">
      <c r="A43"/>
      <c r="B43" s="7">
        <v>45706</v>
      </c>
      <c r="C43">
        <v>2.89</v>
      </c>
      <c r="D43" s="7">
        <v>45706</v>
      </c>
      <c r="E43">
        <v>2.8149999999999999</v>
      </c>
      <c r="F43" s="7">
        <v>45706</v>
      </c>
      <c r="G43">
        <v>2.7625000000000002</v>
      </c>
      <c r="H43" s="7">
        <v>45706</v>
      </c>
      <c r="I43">
        <v>2.7174999999999998</v>
      </c>
      <c r="J43" s="7">
        <v>45706</v>
      </c>
      <c r="K43">
        <v>2.6875</v>
      </c>
      <c r="L43" s="7">
        <v>45706</v>
      </c>
      <c r="M43">
        <v>2.6675</v>
      </c>
      <c r="N43" s="7">
        <v>45706</v>
      </c>
      <c r="O43">
        <v>2.68</v>
      </c>
      <c r="P43" s="7">
        <v>45706</v>
      </c>
      <c r="Q43">
        <v>2.69</v>
      </c>
      <c r="R43" s="7">
        <v>45706</v>
      </c>
      <c r="S43">
        <v>2.7149999999999999</v>
      </c>
      <c r="T43" s="7">
        <v>45706</v>
      </c>
      <c r="U43">
        <v>2.7475000000000001</v>
      </c>
      <c r="V43" s="7">
        <v>45706</v>
      </c>
      <c r="W43">
        <v>2.6</v>
      </c>
      <c r="X43" s="7">
        <v>45706</v>
      </c>
      <c r="Y43" s="6">
        <v>2.3374999999999999</v>
      </c>
    </row>
    <row r="44" spans="1:25">
      <c r="A44"/>
      <c r="B44" s="7">
        <v>45705</v>
      </c>
      <c r="C44">
        <v>2.8925000000000001</v>
      </c>
      <c r="D44" s="7">
        <v>45705</v>
      </c>
      <c r="E44">
        <v>2.8125</v>
      </c>
      <c r="F44" s="7">
        <v>45705</v>
      </c>
      <c r="G44">
        <v>2.7549999999999999</v>
      </c>
      <c r="H44" s="7">
        <v>45705</v>
      </c>
      <c r="I44">
        <v>2.7050000000000001</v>
      </c>
      <c r="J44" s="7">
        <v>45705</v>
      </c>
      <c r="K44">
        <v>2.6724999999999999</v>
      </c>
      <c r="L44" s="7">
        <v>45705</v>
      </c>
      <c r="M44">
        <v>2.645</v>
      </c>
      <c r="N44" s="7">
        <v>45705</v>
      </c>
      <c r="O44">
        <v>2.6625000000000001</v>
      </c>
      <c r="P44" s="7">
        <v>45705</v>
      </c>
      <c r="Q44">
        <v>2.6675</v>
      </c>
      <c r="R44" s="7">
        <v>45705</v>
      </c>
      <c r="S44">
        <v>2.6949999999999998</v>
      </c>
      <c r="T44" s="7">
        <v>45705</v>
      </c>
      <c r="U44">
        <v>2.73</v>
      </c>
      <c r="V44" s="7">
        <v>45705</v>
      </c>
      <c r="W44">
        <v>2.5750000000000002</v>
      </c>
      <c r="X44" s="7">
        <v>45705</v>
      </c>
      <c r="Y44" s="6">
        <v>2.3125</v>
      </c>
    </row>
    <row r="45" spans="1:25">
      <c r="A45"/>
      <c r="B45" s="7">
        <v>45702</v>
      </c>
      <c r="C45">
        <v>2.8875000000000002</v>
      </c>
      <c r="D45" s="7">
        <v>45702</v>
      </c>
      <c r="E45">
        <v>2.8075000000000001</v>
      </c>
      <c r="F45" s="7">
        <v>45702</v>
      </c>
      <c r="G45">
        <v>2.75</v>
      </c>
      <c r="H45" s="7">
        <v>45702</v>
      </c>
      <c r="I45">
        <v>2.6924999999999999</v>
      </c>
      <c r="J45" s="7">
        <v>45702</v>
      </c>
      <c r="K45">
        <v>2.6549999999999998</v>
      </c>
      <c r="L45" s="7">
        <v>45702</v>
      </c>
      <c r="M45">
        <v>2.625</v>
      </c>
      <c r="N45" s="7">
        <v>45702</v>
      </c>
      <c r="O45">
        <v>2.6425000000000001</v>
      </c>
      <c r="P45" s="7">
        <v>45702</v>
      </c>
      <c r="Q45">
        <v>2.65</v>
      </c>
      <c r="R45" s="7">
        <v>45702</v>
      </c>
      <c r="S45">
        <v>2.6775000000000002</v>
      </c>
      <c r="T45" s="7">
        <v>45702</v>
      </c>
      <c r="U45">
        <v>2.7124999999999999</v>
      </c>
      <c r="V45" s="7">
        <v>45702</v>
      </c>
      <c r="W45">
        <v>2.5575000000000001</v>
      </c>
      <c r="X45" s="7">
        <v>45702</v>
      </c>
      <c r="Y45" s="6">
        <v>2.2949999999999999</v>
      </c>
    </row>
    <row r="46" spans="1:25">
      <c r="A46"/>
      <c r="B46" s="7">
        <v>45701</v>
      </c>
      <c r="C46">
        <v>2.8849999999999998</v>
      </c>
      <c r="D46" s="7">
        <v>45701</v>
      </c>
      <c r="E46">
        <v>2.8050000000000002</v>
      </c>
      <c r="F46" s="7">
        <v>45701</v>
      </c>
      <c r="G46">
        <v>2.7475000000000001</v>
      </c>
      <c r="H46" s="7">
        <v>45701</v>
      </c>
      <c r="I46">
        <v>2.6949999999999998</v>
      </c>
      <c r="J46" s="7">
        <v>45701</v>
      </c>
      <c r="K46">
        <v>2.6575000000000002</v>
      </c>
      <c r="L46" s="7">
        <v>45701</v>
      </c>
      <c r="M46">
        <v>2.6375000000000002</v>
      </c>
      <c r="N46" s="7">
        <v>45701</v>
      </c>
      <c r="O46">
        <v>2.6625000000000001</v>
      </c>
      <c r="P46" s="7">
        <v>45701</v>
      </c>
      <c r="Q46">
        <v>2.6749999999999998</v>
      </c>
      <c r="R46" s="7">
        <v>45701</v>
      </c>
      <c r="S46">
        <v>2.7075</v>
      </c>
      <c r="T46" s="7">
        <v>45701</v>
      </c>
      <c r="U46">
        <v>2.7475000000000001</v>
      </c>
      <c r="V46" s="7">
        <v>45701</v>
      </c>
      <c r="W46">
        <v>2.5924999999999998</v>
      </c>
      <c r="X46" s="7">
        <v>45701</v>
      </c>
      <c r="Y46" s="6">
        <v>2.33</v>
      </c>
    </row>
    <row r="47" spans="1:25">
      <c r="A47"/>
      <c r="B47" s="7">
        <v>45700</v>
      </c>
      <c r="C47">
        <v>2.895</v>
      </c>
      <c r="D47" s="7">
        <v>45700</v>
      </c>
      <c r="E47">
        <v>2.8075000000000001</v>
      </c>
      <c r="F47" s="7">
        <v>45700</v>
      </c>
      <c r="G47">
        <v>2.7524999999999999</v>
      </c>
      <c r="H47" s="7">
        <v>45700</v>
      </c>
      <c r="I47">
        <v>2.7025000000000001</v>
      </c>
      <c r="J47" s="7">
        <v>45700</v>
      </c>
      <c r="K47">
        <v>2.67</v>
      </c>
      <c r="L47" s="7">
        <v>45700</v>
      </c>
      <c r="M47">
        <v>2.66</v>
      </c>
      <c r="N47" s="7">
        <v>45700</v>
      </c>
      <c r="O47">
        <v>2.6749999999999998</v>
      </c>
      <c r="P47" s="7">
        <v>45700</v>
      </c>
      <c r="Q47">
        <v>2.6875</v>
      </c>
      <c r="R47" s="7">
        <v>45700</v>
      </c>
      <c r="S47">
        <v>2.7149999999999999</v>
      </c>
      <c r="T47" s="7">
        <v>45700</v>
      </c>
      <c r="U47">
        <v>2.75</v>
      </c>
      <c r="V47" s="7">
        <v>45700</v>
      </c>
      <c r="W47">
        <v>2.5950000000000002</v>
      </c>
      <c r="X47" s="7">
        <v>45700</v>
      </c>
      <c r="Y47" s="6">
        <v>2.3325</v>
      </c>
    </row>
    <row r="48" spans="1:25">
      <c r="A48"/>
      <c r="B48" s="7">
        <v>45699</v>
      </c>
      <c r="C48">
        <v>2.89</v>
      </c>
      <c r="D48" s="7">
        <v>45699</v>
      </c>
      <c r="E48">
        <v>2.8</v>
      </c>
      <c r="F48" s="7">
        <v>45699</v>
      </c>
      <c r="G48">
        <v>2.7425000000000002</v>
      </c>
      <c r="H48" s="7">
        <v>45699</v>
      </c>
      <c r="I48">
        <v>2.6875</v>
      </c>
      <c r="J48" s="7">
        <v>45699</v>
      </c>
      <c r="K48">
        <v>2.6575000000000002</v>
      </c>
      <c r="L48" s="7">
        <v>45699</v>
      </c>
      <c r="M48">
        <v>2.6425000000000001</v>
      </c>
      <c r="N48" s="7">
        <v>45699</v>
      </c>
      <c r="O48">
        <v>2.6524999999999999</v>
      </c>
      <c r="P48" s="7">
        <v>45699</v>
      </c>
      <c r="Q48">
        <v>2.6625000000000001</v>
      </c>
      <c r="R48" s="7">
        <v>45699</v>
      </c>
      <c r="S48">
        <v>2.6875</v>
      </c>
      <c r="T48" s="7">
        <v>45699</v>
      </c>
      <c r="U48">
        <v>2.72</v>
      </c>
      <c r="V48" s="7">
        <v>45699</v>
      </c>
      <c r="W48">
        <v>2.5550000000000002</v>
      </c>
      <c r="X48" s="7">
        <v>45699</v>
      </c>
      <c r="Y48" s="6">
        <v>2.2925</v>
      </c>
    </row>
    <row r="49" spans="1:25">
      <c r="A49"/>
      <c r="B49" s="7">
        <v>45698</v>
      </c>
      <c r="C49">
        <v>2.89</v>
      </c>
      <c r="D49" s="7">
        <v>45698</v>
      </c>
      <c r="E49">
        <v>2.8</v>
      </c>
      <c r="F49" s="7">
        <v>45698</v>
      </c>
      <c r="G49">
        <v>2.7425000000000002</v>
      </c>
      <c r="H49" s="7">
        <v>45698</v>
      </c>
      <c r="I49">
        <v>2.6850000000000001</v>
      </c>
      <c r="J49" s="7">
        <v>45698</v>
      </c>
      <c r="K49">
        <v>2.6524999999999999</v>
      </c>
      <c r="L49" s="7">
        <v>45698</v>
      </c>
      <c r="M49">
        <v>2.6349999999999998</v>
      </c>
      <c r="N49" s="7">
        <v>45698</v>
      </c>
      <c r="O49">
        <v>2.6425000000000001</v>
      </c>
      <c r="P49" s="7">
        <v>45698</v>
      </c>
      <c r="Q49">
        <v>2.65</v>
      </c>
      <c r="R49" s="7">
        <v>45698</v>
      </c>
      <c r="S49">
        <v>2.6724999999999999</v>
      </c>
      <c r="T49" s="7">
        <v>45698</v>
      </c>
      <c r="U49">
        <v>2.7025000000000001</v>
      </c>
      <c r="V49" s="7">
        <v>45698</v>
      </c>
      <c r="W49">
        <v>2.5375000000000001</v>
      </c>
      <c r="X49" s="7">
        <v>45698</v>
      </c>
      <c r="Y49" s="6">
        <v>2.2749999999999999</v>
      </c>
    </row>
    <row r="50" spans="1:25">
      <c r="A50"/>
      <c r="B50" s="7">
        <v>45695</v>
      </c>
      <c r="C50">
        <v>2.8975</v>
      </c>
      <c r="D50" s="7">
        <v>45695</v>
      </c>
      <c r="E50">
        <v>2.8050000000000002</v>
      </c>
      <c r="F50" s="7">
        <v>45695</v>
      </c>
      <c r="G50">
        <v>2.7450000000000001</v>
      </c>
      <c r="H50" s="7">
        <v>45695</v>
      </c>
      <c r="I50">
        <v>2.6875</v>
      </c>
      <c r="J50" s="7">
        <v>45695</v>
      </c>
      <c r="K50">
        <v>2.6549999999999998</v>
      </c>
      <c r="L50" s="7">
        <v>45695</v>
      </c>
      <c r="M50">
        <v>2.6375000000000002</v>
      </c>
      <c r="N50" s="7">
        <v>45695</v>
      </c>
      <c r="O50">
        <v>2.645</v>
      </c>
      <c r="P50" s="7">
        <v>45695</v>
      </c>
      <c r="Q50">
        <v>2.6475</v>
      </c>
      <c r="R50" s="7">
        <v>45695</v>
      </c>
      <c r="S50">
        <v>2.6675</v>
      </c>
      <c r="T50" s="7">
        <v>45695</v>
      </c>
      <c r="U50">
        <v>2.6974999999999998</v>
      </c>
      <c r="V50" s="7">
        <v>45695</v>
      </c>
      <c r="W50">
        <v>2.5375000000000001</v>
      </c>
      <c r="X50" s="7">
        <v>45695</v>
      </c>
      <c r="Y50" s="6">
        <v>2.2749999999999999</v>
      </c>
    </row>
    <row r="51" spans="1:25">
      <c r="A51"/>
      <c r="B51" s="7">
        <v>45694</v>
      </c>
      <c r="C51">
        <v>2.8875000000000002</v>
      </c>
      <c r="D51" s="7">
        <v>45694</v>
      </c>
      <c r="E51">
        <v>2.7850000000000001</v>
      </c>
      <c r="F51" s="7">
        <v>45694</v>
      </c>
      <c r="G51">
        <v>2.7075</v>
      </c>
      <c r="H51" s="7">
        <v>45694</v>
      </c>
      <c r="I51">
        <v>2.65</v>
      </c>
      <c r="J51" s="7">
        <v>45694</v>
      </c>
      <c r="K51">
        <v>2.61</v>
      </c>
      <c r="L51" s="7">
        <v>45694</v>
      </c>
      <c r="M51">
        <v>2.5874999999999999</v>
      </c>
      <c r="N51" s="7">
        <v>45694</v>
      </c>
      <c r="O51">
        <v>2.5924999999999998</v>
      </c>
      <c r="P51" s="7">
        <v>45694</v>
      </c>
      <c r="Q51">
        <v>2.5924999999999998</v>
      </c>
      <c r="R51" s="7">
        <v>45694</v>
      </c>
      <c r="S51">
        <v>2.6124999999999998</v>
      </c>
      <c r="T51" s="7">
        <v>45694</v>
      </c>
      <c r="U51">
        <v>2.6425000000000001</v>
      </c>
      <c r="V51" s="7">
        <v>45694</v>
      </c>
      <c r="W51">
        <v>2.4824999999999999</v>
      </c>
      <c r="X51" s="7">
        <v>45694</v>
      </c>
      <c r="Y51" s="6">
        <v>2.2200000000000002</v>
      </c>
    </row>
    <row r="52" spans="1:25">
      <c r="A52"/>
      <c r="B52" s="7">
        <v>45693</v>
      </c>
      <c r="C52">
        <v>2.8774999999999999</v>
      </c>
      <c r="D52" s="7">
        <v>45693</v>
      </c>
      <c r="E52">
        <v>2.7725</v>
      </c>
      <c r="F52" s="7">
        <v>45693</v>
      </c>
      <c r="G52">
        <v>2.6924999999999999</v>
      </c>
      <c r="H52" s="7">
        <v>45693</v>
      </c>
      <c r="I52">
        <v>2.6324999999999998</v>
      </c>
      <c r="J52" s="7">
        <v>45693</v>
      </c>
      <c r="K52">
        <v>2.59</v>
      </c>
      <c r="L52" s="7">
        <v>45693</v>
      </c>
      <c r="M52">
        <v>2.5750000000000002</v>
      </c>
      <c r="N52" s="7">
        <v>45693</v>
      </c>
      <c r="O52">
        <v>2.585</v>
      </c>
      <c r="P52" s="7">
        <v>45693</v>
      </c>
      <c r="Q52">
        <v>2.5825</v>
      </c>
      <c r="R52" s="7">
        <v>45693</v>
      </c>
      <c r="S52">
        <v>2.605</v>
      </c>
      <c r="T52" s="7">
        <v>45693</v>
      </c>
      <c r="U52">
        <v>2.6375000000000002</v>
      </c>
      <c r="V52" s="7">
        <v>45693</v>
      </c>
      <c r="W52">
        <v>2.4775</v>
      </c>
      <c r="X52" s="7">
        <v>45693</v>
      </c>
      <c r="Y52" s="6">
        <v>2.2149999999999999</v>
      </c>
    </row>
    <row r="53" spans="1:25">
      <c r="A53"/>
      <c r="B53" s="7">
        <v>45692</v>
      </c>
      <c r="C53">
        <v>2.8675000000000002</v>
      </c>
      <c r="D53" s="7">
        <v>45692</v>
      </c>
      <c r="E53">
        <v>2.7625000000000002</v>
      </c>
      <c r="F53" s="7">
        <v>45692</v>
      </c>
      <c r="G53">
        <v>2.6825000000000001</v>
      </c>
      <c r="H53" s="7">
        <v>45692</v>
      </c>
      <c r="I53">
        <v>2.6274999999999999</v>
      </c>
      <c r="J53" s="7">
        <v>45692</v>
      </c>
      <c r="K53">
        <v>2.5924999999999998</v>
      </c>
      <c r="L53" s="7">
        <v>45692</v>
      </c>
      <c r="M53">
        <v>2.585</v>
      </c>
      <c r="N53" s="7">
        <v>45692</v>
      </c>
      <c r="O53">
        <v>2.6</v>
      </c>
      <c r="P53" s="7">
        <v>45692</v>
      </c>
      <c r="Q53">
        <v>2.6025</v>
      </c>
      <c r="R53" s="7">
        <v>45692</v>
      </c>
      <c r="S53">
        <v>2.625</v>
      </c>
      <c r="T53" s="7">
        <v>45692</v>
      </c>
      <c r="U53">
        <v>2.6575000000000002</v>
      </c>
      <c r="V53" s="7">
        <v>45692</v>
      </c>
      <c r="W53">
        <v>2.4874999999999998</v>
      </c>
      <c r="X53" s="7">
        <v>45692</v>
      </c>
      <c r="Y53" s="6">
        <v>2.2149999999999999</v>
      </c>
    </row>
    <row r="54" spans="1:25">
      <c r="A54"/>
      <c r="B54" s="7">
        <v>45691</v>
      </c>
      <c r="C54">
        <v>2.86</v>
      </c>
      <c r="D54" s="7">
        <v>45691</v>
      </c>
      <c r="E54">
        <v>2.75</v>
      </c>
      <c r="F54" s="7">
        <v>45691</v>
      </c>
      <c r="G54">
        <v>2.67</v>
      </c>
      <c r="H54" s="7">
        <v>45691</v>
      </c>
      <c r="I54">
        <v>2.6175000000000002</v>
      </c>
      <c r="J54" s="7">
        <v>45691</v>
      </c>
      <c r="K54">
        <v>2.585</v>
      </c>
      <c r="L54" s="7">
        <v>45691</v>
      </c>
      <c r="M54">
        <v>2.5750000000000002</v>
      </c>
      <c r="N54" s="7">
        <v>45691</v>
      </c>
      <c r="O54">
        <v>2.59</v>
      </c>
      <c r="P54" s="7">
        <v>45691</v>
      </c>
      <c r="Q54">
        <v>2.5924999999999998</v>
      </c>
      <c r="R54" s="7">
        <v>45691</v>
      </c>
      <c r="S54">
        <v>2.6150000000000002</v>
      </c>
      <c r="T54" s="7">
        <v>45691</v>
      </c>
      <c r="U54">
        <v>2.645</v>
      </c>
      <c r="V54" s="7">
        <v>45691</v>
      </c>
      <c r="W54">
        <v>2.4700000000000002</v>
      </c>
      <c r="X54" s="7">
        <v>45691</v>
      </c>
      <c r="Y54" s="6">
        <v>2.1974999999999998</v>
      </c>
    </row>
    <row r="55" spans="1:25">
      <c r="A55"/>
      <c r="B55" s="7">
        <v>45688</v>
      </c>
      <c r="C55">
        <v>2.8650000000000002</v>
      </c>
      <c r="D55" s="7">
        <v>45688</v>
      </c>
      <c r="E55">
        <v>2.7549999999999999</v>
      </c>
      <c r="F55" s="7">
        <v>45688</v>
      </c>
      <c r="G55">
        <v>2.6749999999999998</v>
      </c>
      <c r="H55" s="7">
        <v>45688</v>
      </c>
      <c r="I55">
        <v>2.6274999999999999</v>
      </c>
      <c r="J55" s="7">
        <v>45688</v>
      </c>
      <c r="K55">
        <v>2.6025</v>
      </c>
      <c r="L55" s="7">
        <v>45688</v>
      </c>
      <c r="M55">
        <v>2.5975000000000001</v>
      </c>
      <c r="N55" s="7">
        <v>45688</v>
      </c>
      <c r="O55">
        <v>2.6124999999999998</v>
      </c>
      <c r="P55" s="7">
        <v>45688</v>
      </c>
      <c r="Q55">
        <v>2.6175000000000002</v>
      </c>
      <c r="R55" s="7">
        <v>45688</v>
      </c>
      <c r="S55">
        <v>2.645</v>
      </c>
      <c r="T55" s="7">
        <v>45688</v>
      </c>
      <c r="U55">
        <v>2.68</v>
      </c>
      <c r="V55" s="7">
        <v>45688</v>
      </c>
      <c r="W55">
        <v>2.5049999999999999</v>
      </c>
      <c r="X55" s="7">
        <v>45688</v>
      </c>
      <c r="Y55" s="6">
        <v>2.2324999999999999</v>
      </c>
    </row>
    <row r="56" spans="1:25">
      <c r="A56"/>
      <c r="B56" s="7">
        <v>45681</v>
      </c>
      <c r="C56">
        <v>2.86</v>
      </c>
      <c r="D56" s="7">
        <v>45681</v>
      </c>
      <c r="E56">
        <v>2.7574999999999998</v>
      </c>
      <c r="F56" s="7">
        <v>45681</v>
      </c>
      <c r="G56">
        <v>2.6825000000000001</v>
      </c>
      <c r="H56" s="7">
        <v>45681</v>
      </c>
      <c r="I56">
        <v>2.63</v>
      </c>
      <c r="J56" s="7">
        <v>45681</v>
      </c>
      <c r="K56">
        <v>2.6025</v>
      </c>
      <c r="L56" s="7">
        <v>45681</v>
      </c>
      <c r="M56">
        <v>2.5950000000000002</v>
      </c>
      <c r="N56" s="7">
        <v>45681</v>
      </c>
      <c r="O56">
        <v>2.6225000000000001</v>
      </c>
      <c r="P56" s="7">
        <v>45681</v>
      </c>
      <c r="Q56">
        <v>2.64</v>
      </c>
      <c r="R56" s="7">
        <v>45681</v>
      </c>
      <c r="S56">
        <v>2.6749999999999998</v>
      </c>
      <c r="T56" s="7">
        <v>45681</v>
      </c>
      <c r="U56">
        <v>2.72</v>
      </c>
      <c r="V56" s="7">
        <v>45681</v>
      </c>
      <c r="W56">
        <v>2.5449999999999999</v>
      </c>
      <c r="X56" s="7">
        <v>45681</v>
      </c>
      <c r="Y56" s="6">
        <v>2.2725</v>
      </c>
    </row>
    <row r="57" spans="1:25">
      <c r="A57"/>
      <c r="B57" s="7">
        <v>45680</v>
      </c>
      <c r="C57">
        <v>2.8650000000000002</v>
      </c>
      <c r="D57" s="7">
        <v>45680</v>
      </c>
      <c r="E57">
        <v>2.76</v>
      </c>
      <c r="F57" s="7">
        <v>45680</v>
      </c>
      <c r="G57">
        <v>2.6850000000000001</v>
      </c>
      <c r="H57" s="7">
        <v>45680</v>
      </c>
      <c r="I57">
        <v>2.6324999999999998</v>
      </c>
      <c r="J57" s="7">
        <v>45680</v>
      </c>
      <c r="K57">
        <v>2.6025</v>
      </c>
      <c r="L57" s="7">
        <v>45680</v>
      </c>
      <c r="M57">
        <v>2.585</v>
      </c>
      <c r="N57" s="7">
        <v>45680</v>
      </c>
      <c r="O57">
        <v>2.6124999999999998</v>
      </c>
      <c r="P57" s="7">
        <v>45680</v>
      </c>
      <c r="Q57">
        <v>2.625</v>
      </c>
      <c r="R57" s="7">
        <v>45680</v>
      </c>
      <c r="S57">
        <v>2.66</v>
      </c>
      <c r="T57" s="7">
        <v>45680</v>
      </c>
      <c r="U57">
        <v>2.7050000000000001</v>
      </c>
      <c r="V57" s="7">
        <v>45680</v>
      </c>
      <c r="W57">
        <v>2.5125000000000002</v>
      </c>
      <c r="X57" s="7">
        <v>45680</v>
      </c>
      <c r="Y57" s="6">
        <v>2.2400000000000002</v>
      </c>
    </row>
    <row r="58" spans="1:25">
      <c r="A58"/>
      <c r="B58" s="7">
        <v>45679</v>
      </c>
      <c r="C58">
        <v>2.875</v>
      </c>
      <c r="D58" s="7">
        <v>45679</v>
      </c>
      <c r="E58">
        <v>2.7650000000000001</v>
      </c>
      <c r="F58" s="7">
        <v>45679</v>
      </c>
      <c r="G58">
        <v>2.71</v>
      </c>
      <c r="H58" s="7">
        <v>45679</v>
      </c>
      <c r="I58">
        <v>2.6475</v>
      </c>
      <c r="J58" s="7">
        <v>45679</v>
      </c>
      <c r="K58">
        <v>2.6150000000000002</v>
      </c>
      <c r="L58" s="7">
        <v>45679</v>
      </c>
      <c r="M58">
        <v>2.5924999999999998</v>
      </c>
      <c r="N58" s="7">
        <v>45679</v>
      </c>
      <c r="O58">
        <v>2.61</v>
      </c>
      <c r="P58" s="7">
        <v>45679</v>
      </c>
      <c r="Q58">
        <v>2.6150000000000002</v>
      </c>
      <c r="R58" s="7">
        <v>45679</v>
      </c>
      <c r="S58">
        <v>2.6475</v>
      </c>
      <c r="T58" s="7">
        <v>45679</v>
      </c>
      <c r="U58">
        <v>2.69</v>
      </c>
      <c r="V58" s="7">
        <v>45679</v>
      </c>
      <c r="W58">
        <v>2.4975000000000001</v>
      </c>
      <c r="X58" s="7">
        <v>45679</v>
      </c>
      <c r="Y58" s="6">
        <v>2.2250000000000001</v>
      </c>
    </row>
    <row r="59" spans="1:25">
      <c r="A59"/>
      <c r="B59" s="7">
        <v>45678</v>
      </c>
      <c r="C59">
        <v>2.85</v>
      </c>
      <c r="D59" s="7">
        <v>45678</v>
      </c>
      <c r="E59">
        <v>2.7475000000000001</v>
      </c>
      <c r="F59" s="7">
        <v>45678</v>
      </c>
      <c r="G59">
        <v>2.6924999999999999</v>
      </c>
      <c r="H59" s="7">
        <v>45678</v>
      </c>
      <c r="I59">
        <v>2.6324999999999998</v>
      </c>
      <c r="J59" s="7">
        <v>45678</v>
      </c>
      <c r="K59">
        <v>2.6</v>
      </c>
      <c r="L59" s="7">
        <v>45678</v>
      </c>
      <c r="M59">
        <v>2.5775000000000001</v>
      </c>
      <c r="N59" s="7">
        <v>45678</v>
      </c>
      <c r="O59">
        <v>2.5924999999999998</v>
      </c>
      <c r="P59" s="7">
        <v>45678</v>
      </c>
      <c r="Q59">
        <v>2.5975000000000001</v>
      </c>
      <c r="R59" s="7">
        <v>45678</v>
      </c>
      <c r="S59">
        <v>2.63</v>
      </c>
      <c r="T59" s="7">
        <v>45678</v>
      </c>
      <c r="U59">
        <v>2.6724999999999999</v>
      </c>
      <c r="V59" s="7">
        <v>45678</v>
      </c>
      <c r="W59">
        <v>2.48</v>
      </c>
      <c r="X59" s="7">
        <v>45678</v>
      </c>
      <c r="Y59" s="6">
        <v>2.2075</v>
      </c>
    </row>
    <row r="60" spans="1:25">
      <c r="A60"/>
      <c r="B60" s="7">
        <v>45677</v>
      </c>
      <c r="C60">
        <v>2.8725000000000001</v>
      </c>
      <c r="D60" s="7">
        <v>45677</v>
      </c>
      <c r="E60">
        <v>2.7625000000000002</v>
      </c>
      <c r="F60" s="7">
        <v>45677</v>
      </c>
      <c r="G60">
        <v>2.71</v>
      </c>
      <c r="H60" s="7">
        <v>45677</v>
      </c>
      <c r="I60">
        <v>2.6549999999999998</v>
      </c>
      <c r="J60" s="7">
        <v>45677</v>
      </c>
      <c r="K60">
        <v>2.625</v>
      </c>
      <c r="L60" s="7">
        <v>45677</v>
      </c>
      <c r="M60">
        <v>2.6150000000000002</v>
      </c>
      <c r="N60" s="7">
        <v>45677</v>
      </c>
      <c r="O60">
        <v>2.6375000000000002</v>
      </c>
      <c r="P60" s="7">
        <v>45677</v>
      </c>
      <c r="Q60">
        <v>2.65</v>
      </c>
      <c r="R60" s="7">
        <v>45677</v>
      </c>
      <c r="S60">
        <v>2.6850000000000001</v>
      </c>
      <c r="T60" s="7">
        <v>45677</v>
      </c>
      <c r="U60">
        <v>2.73</v>
      </c>
      <c r="V60" s="7">
        <v>45677</v>
      </c>
      <c r="W60">
        <v>2.5299999999999998</v>
      </c>
      <c r="X60" s="7">
        <v>45677</v>
      </c>
      <c r="Y60" s="6">
        <v>2.2574999999999998</v>
      </c>
    </row>
    <row r="61" spans="1:25">
      <c r="A61"/>
      <c r="B61" s="7">
        <v>45674</v>
      </c>
      <c r="C61">
        <v>2.8725000000000001</v>
      </c>
      <c r="D61" s="7">
        <v>45674</v>
      </c>
      <c r="E61">
        <v>2.76</v>
      </c>
      <c r="F61" s="7">
        <v>45674</v>
      </c>
      <c r="G61">
        <v>2.6974999999999998</v>
      </c>
      <c r="H61" s="7">
        <v>45674</v>
      </c>
      <c r="I61">
        <v>2.64</v>
      </c>
      <c r="J61" s="7">
        <v>45674</v>
      </c>
      <c r="K61">
        <v>2.6074999999999999</v>
      </c>
      <c r="L61" s="7">
        <v>45674</v>
      </c>
      <c r="M61">
        <v>2.6</v>
      </c>
      <c r="N61" s="7">
        <v>45674</v>
      </c>
      <c r="O61">
        <v>2.625</v>
      </c>
      <c r="P61" s="7">
        <v>45674</v>
      </c>
      <c r="Q61">
        <v>2.6425000000000001</v>
      </c>
      <c r="R61" s="7">
        <v>45674</v>
      </c>
      <c r="S61">
        <v>2.68</v>
      </c>
      <c r="T61" s="7">
        <v>45674</v>
      </c>
      <c r="U61">
        <v>2.7275</v>
      </c>
      <c r="V61" s="7">
        <v>45674</v>
      </c>
      <c r="W61">
        <v>2.5274999999999999</v>
      </c>
      <c r="X61" s="7">
        <v>45674</v>
      </c>
      <c r="Y61" s="6">
        <v>2.2549999999999999</v>
      </c>
    </row>
    <row r="62" spans="1:25">
      <c r="A62"/>
      <c r="B62" s="7">
        <v>45673</v>
      </c>
      <c r="C62">
        <v>2.9024999999999999</v>
      </c>
      <c r="D62" s="7">
        <v>45673</v>
      </c>
      <c r="E62">
        <v>2.79</v>
      </c>
      <c r="F62" s="7">
        <v>45673</v>
      </c>
      <c r="G62">
        <v>2.7275</v>
      </c>
      <c r="H62" s="7">
        <v>45673</v>
      </c>
      <c r="I62">
        <v>2.6724999999999999</v>
      </c>
      <c r="J62" s="7">
        <v>45673</v>
      </c>
      <c r="K62">
        <v>2.645</v>
      </c>
      <c r="L62" s="7">
        <v>45673</v>
      </c>
      <c r="M62">
        <v>2.64</v>
      </c>
      <c r="N62" s="7">
        <v>45673</v>
      </c>
      <c r="O62">
        <v>2.6724999999999999</v>
      </c>
      <c r="P62" s="7">
        <v>45673</v>
      </c>
      <c r="Q62">
        <v>2.6875</v>
      </c>
      <c r="R62" s="7">
        <v>45673</v>
      </c>
      <c r="S62">
        <v>2.72</v>
      </c>
      <c r="T62" s="7">
        <v>45673</v>
      </c>
      <c r="U62">
        <v>2.76</v>
      </c>
      <c r="V62" s="7">
        <v>45673</v>
      </c>
      <c r="W62">
        <v>2.56</v>
      </c>
      <c r="X62" s="7">
        <v>45673</v>
      </c>
      <c r="Y62" s="6">
        <v>2.2875000000000001</v>
      </c>
    </row>
    <row r="63" spans="1:25">
      <c r="A63"/>
      <c r="B63" s="7">
        <v>45672</v>
      </c>
      <c r="C63">
        <v>2.9075000000000002</v>
      </c>
      <c r="D63" s="7">
        <v>45672</v>
      </c>
      <c r="E63">
        <v>2.8174999999999999</v>
      </c>
      <c r="F63" s="7">
        <v>45672</v>
      </c>
      <c r="G63">
        <v>2.7650000000000001</v>
      </c>
      <c r="H63" s="7">
        <v>45672</v>
      </c>
      <c r="I63">
        <v>2.7174999999999998</v>
      </c>
      <c r="J63" s="7">
        <v>45672</v>
      </c>
      <c r="K63">
        <v>2.7025000000000001</v>
      </c>
      <c r="L63" s="7">
        <v>45672</v>
      </c>
      <c r="M63">
        <v>2.7050000000000001</v>
      </c>
      <c r="N63" s="7">
        <v>45672</v>
      </c>
      <c r="O63">
        <v>2.7374999999999998</v>
      </c>
      <c r="P63" s="7">
        <v>45672</v>
      </c>
      <c r="Q63">
        <v>2.7574999999999998</v>
      </c>
      <c r="R63" s="7">
        <v>45672</v>
      </c>
      <c r="S63">
        <v>2.7875000000000001</v>
      </c>
      <c r="T63" s="7">
        <v>45672</v>
      </c>
      <c r="U63">
        <v>2.8325</v>
      </c>
      <c r="V63" s="7">
        <v>45672</v>
      </c>
      <c r="W63">
        <v>2.6274999999999999</v>
      </c>
      <c r="X63" s="7">
        <v>45672</v>
      </c>
      <c r="Y63" s="6">
        <v>2.355</v>
      </c>
    </row>
    <row r="64" spans="1:25">
      <c r="A64"/>
      <c r="B64" s="7">
        <v>45671</v>
      </c>
      <c r="C64">
        <v>2.91</v>
      </c>
      <c r="D64" s="7">
        <v>45671</v>
      </c>
      <c r="E64">
        <v>2.8149999999999999</v>
      </c>
      <c r="F64" s="7">
        <v>45671</v>
      </c>
      <c r="G64">
        <v>2.75</v>
      </c>
      <c r="H64" s="7">
        <v>45671</v>
      </c>
      <c r="I64">
        <v>2.6924999999999999</v>
      </c>
      <c r="J64" s="7">
        <v>45671</v>
      </c>
      <c r="K64">
        <v>2.6775000000000002</v>
      </c>
      <c r="L64" s="7">
        <v>45671</v>
      </c>
      <c r="M64">
        <v>2.6775000000000002</v>
      </c>
      <c r="N64" s="7">
        <v>45671</v>
      </c>
      <c r="O64">
        <v>2.71</v>
      </c>
      <c r="P64" s="7">
        <v>45671</v>
      </c>
      <c r="Q64">
        <v>2.7275</v>
      </c>
      <c r="R64" s="7">
        <v>45671</v>
      </c>
      <c r="S64">
        <v>2.7574999999999998</v>
      </c>
      <c r="T64" s="7">
        <v>45671</v>
      </c>
      <c r="U64">
        <v>2.8</v>
      </c>
      <c r="V64" s="7">
        <v>45671</v>
      </c>
      <c r="W64">
        <v>2.5950000000000002</v>
      </c>
      <c r="X64" s="7">
        <v>45671</v>
      </c>
      <c r="Y64" s="6">
        <v>2.3224999999999998</v>
      </c>
    </row>
    <row r="65" spans="1:25">
      <c r="A65"/>
      <c r="B65" s="7">
        <v>45670</v>
      </c>
      <c r="C65">
        <v>2.9249999999999998</v>
      </c>
      <c r="D65" s="7">
        <v>45670</v>
      </c>
      <c r="E65">
        <v>2.8250000000000002</v>
      </c>
      <c r="F65" s="7">
        <v>45670</v>
      </c>
      <c r="G65">
        <v>2.76</v>
      </c>
      <c r="H65" s="7">
        <v>45670</v>
      </c>
      <c r="I65">
        <v>2.7025000000000001</v>
      </c>
      <c r="J65" s="7">
        <v>45670</v>
      </c>
      <c r="K65">
        <v>2.6949999999999998</v>
      </c>
      <c r="L65" s="7">
        <v>45670</v>
      </c>
      <c r="M65">
        <v>2.7050000000000001</v>
      </c>
      <c r="N65" s="7">
        <v>45670</v>
      </c>
      <c r="O65">
        <v>2.7349999999999999</v>
      </c>
      <c r="P65" s="7">
        <v>45670</v>
      </c>
      <c r="Q65">
        <v>2.7549999999999999</v>
      </c>
      <c r="R65" s="7">
        <v>45670</v>
      </c>
      <c r="S65">
        <v>2.7850000000000001</v>
      </c>
      <c r="T65" s="7">
        <v>45670</v>
      </c>
      <c r="U65">
        <v>2.8275000000000001</v>
      </c>
      <c r="V65" s="7">
        <v>45670</v>
      </c>
      <c r="W65">
        <v>2.6324999999999998</v>
      </c>
      <c r="X65" s="7">
        <v>45670</v>
      </c>
      <c r="Y65" s="6">
        <v>2.36</v>
      </c>
    </row>
    <row r="66" spans="1:25">
      <c r="A66"/>
      <c r="B66" s="7">
        <v>45667</v>
      </c>
      <c r="C66">
        <v>2.9049999999999998</v>
      </c>
      <c r="D66" s="7">
        <v>45667</v>
      </c>
      <c r="E66">
        <v>2.79</v>
      </c>
      <c r="F66" s="7">
        <v>45667</v>
      </c>
      <c r="G66">
        <v>2.7174999999999998</v>
      </c>
      <c r="H66" s="7">
        <v>45667</v>
      </c>
      <c r="I66">
        <v>2.65</v>
      </c>
      <c r="J66" s="7">
        <v>45667</v>
      </c>
      <c r="K66">
        <v>2.625</v>
      </c>
      <c r="L66" s="7">
        <v>45667</v>
      </c>
      <c r="M66">
        <v>2.62</v>
      </c>
      <c r="N66" s="7">
        <v>45667</v>
      </c>
      <c r="O66">
        <v>2.65</v>
      </c>
      <c r="P66" s="7">
        <v>45667</v>
      </c>
      <c r="Q66">
        <v>2.67</v>
      </c>
      <c r="R66" s="7">
        <v>45667</v>
      </c>
      <c r="S66">
        <v>2.7050000000000001</v>
      </c>
      <c r="T66" s="7">
        <v>45667</v>
      </c>
      <c r="U66">
        <v>2.75</v>
      </c>
      <c r="V66" s="7">
        <v>45667</v>
      </c>
      <c r="W66">
        <v>2.56</v>
      </c>
      <c r="X66" s="7">
        <v>45667</v>
      </c>
      <c r="Y66" s="6">
        <v>2.2875000000000001</v>
      </c>
    </row>
    <row r="67" spans="1:25">
      <c r="A67"/>
      <c r="B67" s="7">
        <v>45666</v>
      </c>
      <c r="C67">
        <v>2.8725000000000001</v>
      </c>
      <c r="D67" s="7">
        <v>45666</v>
      </c>
      <c r="E67">
        <v>2.75</v>
      </c>
      <c r="F67" s="7">
        <v>45666</v>
      </c>
      <c r="G67">
        <v>2.6675</v>
      </c>
      <c r="H67" s="7">
        <v>45666</v>
      </c>
      <c r="I67">
        <v>2.6</v>
      </c>
      <c r="J67" s="7">
        <v>45666</v>
      </c>
      <c r="K67">
        <v>2.5775000000000001</v>
      </c>
      <c r="L67" s="7">
        <v>45666</v>
      </c>
      <c r="M67">
        <v>2.57</v>
      </c>
      <c r="N67" s="7">
        <v>45666</v>
      </c>
      <c r="O67">
        <v>2.5950000000000002</v>
      </c>
      <c r="P67" s="7">
        <v>45666</v>
      </c>
      <c r="Q67">
        <v>2.61</v>
      </c>
      <c r="R67" s="7">
        <v>45666</v>
      </c>
      <c r="S67">
        <v>2.6425000000000001</v>
      </c>
      <c r="T67" s="7">
        <v>45666</v>
      </c>
      <c r="U67">
        <v>2.6875</v>
      </c>
      <c r="V67" s="7">
        <v>45666</v>
      </c>
      <c r="W67">
        <v>2.5</v>
      </c>
      <c r="X67" s="7">
        <v>45666</v>
      </c>
      <c r="Y67" s="6">
        <v>2.2275</v>
      </c>
    </row>
    <row r="68" spans="1:25">
      <c r="A68"/>
      <c r="B68" s="7">
        <v>45665</v>
      </c>
      <c r="C68">
        <v>2.8975</v>
      </c>
      <c r="D68" s="7">
        <v>45665</v>
      </c>
      <c r="E68">
        <v>2.7749999999999999</v>
      </c>
      <c r="F68" s="7">
        <v>45665</v>
      </c>
      <c r="G68">
        <v>2.6924999999999999</v>
      </c>
      <c r="H68" s="7">
        <v>45665</v>
      </c>
      <c r="I68">
        <v>2.6274999999999999</v>
      </c>
      <c r="J68" s="7">
        <v>45665</v>
      </c>
      <c r="K68">
        <v>2.6074999999999999</v>
      </c>
      <c r="L68" s="7">
        <v>45665</v>
      </c>
      <c r="M68">
        <v>2.5874999999999999</v>
      </c>
      <c r="N68" s="7">
        <v>45665</v>
      </c>
      <c r="O68">
        <v>2.6124999999999998</v>
      </c>
      <c r="P68" s="7">
        <v>45665</v>
      </c>
      <c r="Q68">
        <v>2.62</v>
      </c>
      <c r="R68" s="7">
        <v>45665</v>
      </c>
      <c r="S68">
        <v>2.65</v>
      </c>
      <c r="T68" s="7">
        <v>45665</v>
      </c>
      <c r="U68">
        <v>2.6924999999999999</v>
      </c>
      <c r="V68" s="7">
        <v>45665</v>
      </c>
      <c r="W68">
        <v>2.5125000000000002</v>
      </c>
      <c r="X68" s="7">
        <v>45665</v>
      </c>
      <c r="Y68" s="6">
        <v>2.2475000000000001</v>
      </c>
    </row>
    <row r="69" spans="1:25">
      <c r="A69"/>
      <c r="B69" s="7">
        <v>45664</v>
      </c>
      <c r="C69">
        <v>2.9325000000000001</v>
      </c>
      <c r="D69" s="7">
        <v>45664</v>
      </c>
      <c r="E69">
        <v>2.8075000000000001</v>
      </c>
      <c r="F69" s="7">
        <v>45664</v>
      </c>
      <c r="G69">
        <v>2.7250000000000001</v>
      </c>
      <c r="H69" s="7">
        <v>45664</v>
      </c>
      <c r="I69">
        <v>2.6549999999999998</v>
      </c>
      <c r="J69" s="7">
        <v>45664</v>
      </c>
      <c r="K69">
        <v>2.6274999999999999</v>
      </c>
      <c r="L69" s="7">
        <v>45664</v>
      </c>
      <c r="M69">
        <v>2.6074999999999999</v>
      </c>
      <c r="N69" s="7">
        <v>45664</v>
      </c>
      <c r="O69">
        <v>2.6225000000000001</v>
      </c>
      <c r="P69" s="7">
        <v>45664</v>
      </c>
      <c r="Q69">
        <v>2.6274999999999999</v>
      </c>
      <c r="R69" s="7">
        <v>45664</v>
      </c>
      <c r="S69">
        <v>2.6549999999999998</v>
      </c>
      <c r="T69" s="7">
        <v>45664</v>
      </c>
      <c r="U69">
        <v>2.6924999999999999</v>
      </c>
      <c r="V69" s="7">
        <v>45664</v>
      </c>
      <c r="W69">
        <v>2.5150000000000001</v>
      </c>
      <c r="X69" s="7">
        <v>45664</v>
      </c>
      <c r="Y69" s="6">
        <v>2.25</v>
      </c>
    </row>
    <row r="70" spans="1:25">
      <c r="A70"/>
      <c r="B70" s="7">
        <v>45663</v>
      </c>
      <c r="C70">
        <v>2.98</v>
      </c>
      <c r="D70" s="7">
        <v>45663</v>
      </c>
      <c r="E70">
        <v>2.8574999999999999</v>
      </c>
      <c r="F70" s="7">
        <v>45663</v>
      </c>
      <c r="G70">
        <v>2.7749999999999999</v>
      </c>
      <c r="H70" s="7">
        <v>45663</v>
      </c>
      <c r="I70">
        <v>2.6924999999999999</v>
      </c>
      <c r="J70" s="7">
        <v>45663</v>
      </c>
      <c r="K70">
        <v>2.6575000000000002</v>
      </c>
      <c r="L70" s="7">
        <v>45663</v>
      </c>
      <c r="M70">
        <v>2.6349999999999998</v>
      </c>
      <c r="N70" s="7">
        <v>45663</v>
      </c>
      <c r="O70">
        <v>2.65</v>
      </c>
      <c r="P70" s="7">
        <v>45663</v>
      </c>
      <c r="Q70">
        <v>2.6575000000000002</v>
      </c>
      <c r="R70" s="7">
        <v>45663</v>
      </c>
      <c r="S70">
        <v>2.6850000000000001</v>
      </c>
      <c r="T70" s="7">
        <v>45663</v>
      </c>
      <c r="U70">
        <v>2.7225000000000001</v>
      </c>
      <c r="V70" s="7">
        <v>45663</v>
      </c>
      <c r="W70">
        <v>2.5449999999999999</v>
      </c>
      <c r="X70" s="7">
        <v>45663</v>
      </c>
      <c r="Y70" s="6">
        <v>2.2799999999999998</v>
      </c>
    </row>
    <row r="71" spans="1:25">
      <c r="A71"/>
      <c r="B71" s="7">
        <v>45660</v>
      </c>
      <c r="C71">
        <v>3.01</v>
      </c>
      <c r="D71" s="7">
        <v>45660</v>
      </c>
      <c r="E71">
        <v>2.8650000000000002</v>
      </c>
      <c r="F71" s="7">
        <v>45660</v>
      </c>
      <c r="G71">
        <v>2.7625000000000002</v>
      </c>
      <c r="H71" s="7">
        <v>45660</v>
      </c>
      <c r="I71">
        <v>2.665</v>
      </c>
      <c r="J71" s="7">
        <v>45660</v>
      </c>
      <c r="K71">
        <v>2.6175000000000002</v>
      </c>
      <c r="L71" s="7">
        <v>45660</v>
      </c>
      <c r="M71">
        <v>2.5924999999999998</v>
      </c>
      <c r="N71" s="7">
        <v>45660</v>
      </c>
      <c r="O71">
        <v>2.605</v>
      </c>
      <c r="P71" s="7">
        <v>45660</v>
      </c>
      <c r="Q71">
        <v>2.6074999999999999</v>
      </c>
      <c r="R71" s="7">
        <v>45660</v>
      </c>
      <c r="S71">
        <v>2.6324999999999998</v>
      </c>
      <c r="T71" s="7">
        <v>45660</v>
      </c>
      <c r="U71">
        <v>2.6675</v>
      </c>
      <c r="V71" s="7">
        <v>45660</v>
      </c>
      <c r="W71">
        <v>2.4725000000000001</v>
      </c>
      <c r="X71" s="7">
        <v>45660</v>
      </c>
      <c r="Y71" s="6">
        <v>2.2075</v>
      </c>
    </row>
    <row r="72" spans="1:25">
      <c r="A72"/>
      <c r="B72" s="7">
        <v>45659</v>
      </c>
      <c r="C72">
        <v>3.0625</v>
      </c>
      <c r="D72" s="7">
        <v>45659</v>
      </c>
      <c r="E72">
        <v>2.9024999999999999</v>
      </c>
      <c r="F72" s="7">
        <v>45659</v>
      </c>
      <c r="G72">
        <v>2.7774999999999999</v>
      </c>
      <c r="H72" s="7">
        <v>45659</v>
      </c>
      <c r="I72">
        <v>2.6850000000000001</v>
      </c>
      <c r="J72" s="7">
        <v>45659</v>
      </c>
      <c r="K72">
        <v>2.6425000000000001</v>
      </c>
      <c r="L72" s="7">
        <v>45659</v>
      </c>
      <c r="M72">
        <v>2.62</v>
      </c>
      <c r="N72" s="7">
        <v>45659</v>
      </c>
      <c r="O72">
        <v>2.6324999999999998</v>
      </c>
      <c r="P72" s="7">
        <v>45659</v>
      </c>
      <c r="Q72">
        <v>2.6375000000000002</v>
      </c>
      <c r="R72" s="7">
        <v>45659</v>
      </c>
      <c r="S72">
        <v>2.6625000000000001</v>
      </c>
      <c r="T72" s="7">
        <v>45659</v>
      </c>
      <c r="U72">
        <v>2.6974999999999998</v>
      </c>
      <c r="V72" s="7">
        <v>45659</v>
      </c>
      <c r="W72">
        <v>2.5024999999999999</v>
      </c>
      <c r="X72" s="7">
        <v>45659</v>
      </c>
      <c r="Y72" s="6">
        <v>2.2374999999999998</v>
      </c>
    </row>
    <row r="73" spans="1:25">
      <c r="A73"/>
      <c r="B73" s="7">
        <v>45657</v>
      </c>
      <c r="C73">
        <v>3.1875</v>
      </c>
      <c r="D73" s="7">
        <v>45657</v>
      </c>
      <c r="E73">
        <v>3.0074999999999998</v>
      </c>
      <c r="F73" s="7">
        <v>45657</v>
      </c>
      <c r="G73">
        <v>2.8624999999999998</v>
      </c>
      <c r="H73" s="7">
        <v>45657</v>
      </c>
      <c r="I73">
        <v>2.77</v>
      </c>
      <c r="J73" s="7">
        <v>45657</v>
      </c>
      <c r="K73">
        <v>2.7275</v>
      </c>
      <c r="L73" s="7">
        <v>45657</v>
      </c>
      <c r="M73">
        <v>2.7050000000000001</v>
      </c>
      <c r="N73" s="7">
        <v>45657</v>
      </c>
      <c r="O73">
        <v>2.7149999999999999</v>
      </c>
      <c r="P73" s="7">
        <v>45657</v>
      </c>
      <c r="Q73">
        <v>2.72</v>
      </c>
      <c r="R73" s="7">
        <v>45657</v>
      </c>
      <c r="S73">
        <v>2.7450000000000001</v>
      </c>
      <c r="T73" s="7">
        <v>45657</v>
      </c>
      <c r="U73">
        <v>2.78</v>
      </c>
      <c r="V73" s="7">
        <v>45657</v>
      </c>
      <c r="W73">
        <v>2.585</v>
      </c>
      <c r="X73" s="7">
        <v>45657</v>
      </c>
      <c r="Y73" s="6">
        <v>2.3199999999999998</v>
      </c>
    </row>
    <row r="74" spans="1:25">
      <c r="A74"/>
      <c r="B74" s="7">
        <v>45656</v>
      </c>
      <c r="C74">
        <v>3.1875</v>
      </c>
      <c r="D74" s="7">
        <v>45656</v>
      </c>
      <c r="E74">
        <v>3.0074999999999998</v>
      </c>
      <c r="F74" s="7">
        <v>45656</v>
      </c>
      <c r="G74">
        <v>2.8624999999999998</v>
      </c>
      <c r="H74" s="7">
        <v>45656</v>
      </c>
      <c r="I74">
        <v>2.77</v>
      </c>
      <c r="J74" s="7">
        <v>45656</v>
      </c>
      <c r="K74">
        <v>2.7275</v>
      </c>
      <c r="L74" s="7">
        <v>45656</v>
      </c>
      <c r="M74">
        <v>2.7050000000000001</v>
      </c>
      <c r="N74" s="7">
        <v>45656</v>
      </c>
      <c r="O74">
        <v>2.7149999999999999</v>
      </c>
      <c r="P74" s="7">
        <v>45656</v>
      </c>
      <c r="Q74">
        <v>2.72</v>
      </c>
      <c r="R74" s="7">
        <v>45656</v>
      </c>
      <c r="S74">
        <v>2.7450000000000001</v>
      </c>
      <c r="T74" s="7">
        <v>45656</v>
      </c>
      <c r="U74">
        <v>2.78</v>
      </c>
      <c r="V74" s="7">
        <v>45656</v>
      </c>
      <c r="W74">
        <v>2.585</v>
      </c>
      <c r="X74" s="7">
        <v>45656</v>
      </c>
      <c r="Y74" s="6">
        <v>2.3199999999999998</v>
      </c>
    </row>
    <row r="75" spans="1:25">
      <c r="A75"/>
      <c r="B75" s="7">
        <v>45653</v>
      </c>
      <c r="C75">
        <v>3.17</v>
      </c>
      <c r="D75" s="7">
        <v>45653</v>
      </c>
      <c r="E75">
        <v>2.9975000000000001</v>
      </c>
      <c r="F75" s="7">
        <v>45653</v>
      </c>
      <c r="G75">
        <v>2.86</v>
      </c>
      <c r="H75" s="7">
        <v>45653</v>
      </c>
      <c r="I75">
        <v>2.7749999999999999</v>
      </c>
      <c r="J75" s="7">
        <v>45653</v>
      </c>
      <c r="K75">
        <v>2.7425000000000002</v>
      </c>
      <c r="L75" s="7">
        <v>45653</v>
      </c>
      <c r="M75">
        <v>2.72</v>
      </c>
      <c r="N75" s="7">
        <v>45653</v>
      </c>
      <c r="O75">
        <v>2.73</v>
      </c>
      <c r="P75" s="7">
        <v>45653</v>
      </c>
      <c r="Q75">
        <v>2.7349999999999999</v>
      </c>
      <c r="R75" s="7">
        <v>45653</v>
      </c>
      <c r="S75">
        <v>2.7549999999999999</v>
      </c>
      <c r="T75" s="7">
        <v>45653</v>
      </c>
      <c r="U75">
        <v>2.7850000000000001</v>
      </c>
      <c r="V75" s="7">
        <v>45653</v>
      </c>
      <c r="W75">
        <v>2.605</v>
      </c>
      <c r="X75" s="7">
        <v>45653</v>
      </c>
      <c r="Y75" s="6">
        <v>2.3374999999999999</v>
      </c>
    </row>
    <row r="76" spans="1:25">
      <c r="A76"/>
      <c r="B76" s="7">
        <v>45652</v>
      </c>
      <c r="C76">
        <v>3.1675</v>
      </c>
      <c r="D76" s="7">
        <v>45652</v>
      </c>
      <c r="E76">
        <v>3.0049999999999999</v>
      </c>
      <c r="F76" s="7">
        <v>45652</v>
      </c>
      <c r="G76">
        <v>2.8774999999999999</v>
      </c>
      <c r="H76" s="7">
        <v>45652</v>
      </c>
      <c r="I76">
        <v>2.8025000000000002</v>
      </c>
      <c r="J76" s="7">
        <v>45652</v>
      </c>
      <c r="K76">
        <v>2.7749999999999999</v>
      </c>
      <c r="L76" s="7">
        <v>45652</v>
      </c>
      <c r="M76">
        <v>2.7450000000000001</v>
      </c>
      <c r="N76" s="7">
        <v>45652</v>
      </c>
      <c r="O76">
        <v>2.7549999999999999</v>
      </c>
      <c r="P76" s="7">
        <v>45652</v>
      </c>
      <c r="Q76">
        <v>2.76</v>
      </c>
      <c r="R76" s="7">
        <v>45652</v>
      </c>
      <c r="S76">
        <v>2.7774999999999999</v>
      </c>
      <c r="T76" s="7">
        <v>45652</v>
      </c>
      <c r="U76">
        <v>2.8075000000000001</v>
      </c>
      <c r="V76" s="7">
        <v>45652</v>
      </c>
      <c r="W76">
        <v>2.6274999999999999</v>
      </c>
      <c r="X76" s="7">
        <v>45652</v>
      </c>
      <c r="Y76" s="6">
        <v>2.36</v>
      </c>
    </row>
    <row r="77" spans="1:25">
      <c r="A77"/>
      <c r="B77" s="7">
        <v>45650</v>
      </c>
      <c r="C77">
        <v>3.16</v>
      </c>
      <c r="D77" s="7">
        <v>45650</v>
      </c>
      <c r="E77">
        <v>2.9975000000000001</v>
      </c>
      <c r="F77" s="7">
        <v>45650</v>
      </c>
      <c r="G77">
        <v>2.8675000000000002</v>
      </c>
      <c r="H77" s="7">
        <v>45650</v>
      </c>
      <c r="I77">
        <v>2.7875000000000001</v>
      </c>
      <c r="J77" s="7">
        <v>45650</v>
      </c>
      <c r="K77">
        <v>2.7574999999999998</v>
      </c>
      <c r="L77" s="7">
        <v>45650</v>
      </c>
      <c r="M77">
        <v>2.7174999999999998</v>
      </c>
      <c r="N77" s="7">
        <v>45650</v>
      </c>
      <c r="O77">
        <v>2.7250000000000001</v>
      </c>
      <c r="P77" s="7">
        <v>45650</v>
      </c>
      <c r="Q77">
        <v>2.7275</v>
      </c>
      <c r="R77" s="7">
        <v>45650</v>
      </c>
      <c r="S77">
        <v>2.7425000000000002</v>
      </c>
      <c r="T77" s="7">
        <v>45650</v>
      </c>
      <c r="U77">
        <v>2.7725</v>
      </c>
      <c r="V77" s="7">
        <v>45650</v>
      </c>
      <c r="W77">
        <v>2.5924999999999998</v>
      </c>
      <c r="X77" s="7">
        <v>45650</v>
      </c>
      <c r="Y77" s="6">
        <v>2.3250000000000002</v>
      </c>
    </row>
    <row r="78" spans="1:25">
      <c r="A78"/>
      <c r="B78" s="7">
        <v>45649</v>
      </c>
      <c r="C78">
        <v>3.145</v>
      </c>
      <c r="D78" s="7">
        <v>45649</v>
      </c>
      <c r="E78">
        <v>2.98</v>
      </c>
      <c r="F78" s="7">
        <v>45649</v>
      </c>
      <c r="G78">
        <v>2.8475000000000001</v>
      </c>
      <c r="H78" s="7">
        <v>45649</v>
      </c>
      <c r="I78">
        <v>2.76</v>
      </c>
      <c r="J78" s="7">
        <v>45649</v>
      </c>
      <c r="K78">
        <v>2.72</v>
      </c>
      <c r="L78" s="7">
        <v>45649</v>
      </c>
      <c r="M78">
        <v>2.6749999999999998</v>
      </c>
      <c r="N78" s="7">
        <v>45649</v>
      </c>
      <c r="O78">
        <v>2.68</v>
      </c>
      <c r="P78" s="7">
        <v>45649</v>
      </c>
      <c r="Q78">
        <v>2.68</v>
      </c>
      <c r="R78" s="7">
        <v>45649</v>
      </c>
      <c r="S78">
        <v>2.6949999999999998</v>
      </c>
      <c r="T78" s="7">
        <v>45649</v>
      </c>
      <c r="U78">
        <v>2.7250000000000001</v>
      </c>
      <c r="V78" s="7">
        <v>45649</v>
      </c>
      <c r="W78">
        <v>2.5375000000000001</v>
      </c>
      <c r="X78" s="7">
        <v>45649</v>
      </c>
      <c r="Y78" s="6">
        <v>2.27</v>
      </c>
    </row>
    <row r="79" spans="1:25">
      <c r="A79"/>
      <c r="B79" s="7">
        <v>45646</v>
      </c>
      <c r="C79">
        <v>3.1375000000000002</v>
      </c>
      <c r="D79" s="7">
        <v>45646</v>
      </c>
      <c r="E79">
        <v>2.9725000000000001</v>
      </c>
      <c r="F79" s="7">
        <v>45646</v>
      </c>
      <c r="G79">
        <v>2.84</v>
      </c>
      <c r="H79" s="7">
        <v>45646</v>
      </c>
      <c r="I79">
        <v>2.7574999999999998</v>
      </c>
      <c r="J79" s="7">
        <v>45646</v>
      </c>
      <c r="K79">
        <v>2.72</v>
      </c>
      <c r="L79" s="7">
        <v>45646</v>
      </c>
      <c r="M79">
        <v>2.6749999999999998</v>
      </c>
      <c r="N79" s="7">
        <v>45646</v>
      </c>
      <c r="O79">
        <v>2.6825000000000001</v>
      </c>
      <c r="P79" s="7">
        <v>45646</v>
      </c>
      <c r="Q79">
        <v>2.6875</v>
      </c>
      <c r="R79" s="7">
        <v>45646</v>
      </c>
      <c r="S79">
        <v>2.7050000000000001</v>
      </c>
      <c r="T79" s="7">
        <v>45646</v>
      </c>
      <c r="U79">
        <v>2.7374999999999998</v>
      </c>
      <c r="V79" s="7">
        <v>45646</v>
      </c>
      <c r="W79">
        <v>2.5499999999999998</v>
      </c>
      <c r="X79" s="7">
        <v>45646</v>
      </c>
      <c r="Y79" s="6">
        <v>2.2825000000000002</v>
      </c>
    </row>
    <row r="80" spans="1:25">
      <c r="A80"/>
      <c r="B80" s="7">
        <v>45645</v>
      </c>
      <c r="C80">
        <v>3.14</v>
      </c>
      <c r="D80" s="7">
        <v>45645</v>
      </c>
      <c r="E80">
        <v>2.9725000000000001</v>
      </c>
      <c r="F80" s="7">
        <v>45645</v>
      </c>
      <c r="G80">
        <v>2.835</v>
      </c>
      <c r="H80" s="7">
        <v>45645</v>
      </c>
      <c r="I80">
        <v>2.7450000000000001</v>
      </c>
      <c r="J80" s="7">
        <v>45645</v>
      </c>
      <c r="K80">
        <v>2.7</v>
      </c>
      <c r="L80" s="7">
        <v>45645</v>
      </c>
      <c r="M80">
        <v>2.65</v>
      </c>
      <c r="N80" s="7">
        <v>45645</v>
      </c>
      <c r="O80">
        <v>2.6475</v>
      </c>
      <c r="P80" s="7">
        <v>45645</v>
      </c>
      <c r="Q80">
        <v>2.6425000000000001</v>
      </c>
      <c r="R80" s="7">
        <v>45645</v>
      </c>
      <c r="S80">
        <v>2.6549999999999998</v>
      </c>
      <c r="T80" s="7">
        <v>45645</v>
      </c>
      <c r="U80">
        <v>2.6850000000000001</v>
      </c>
      <c r="V80" s="7">
        <v>45645</v>
      </c>
      <c r="W80">
        <v>2.4975000000000001</v>
      </c>
      <c r="X80" s="7">
        <v>45645</v>
      </c>
      <c r="Y80" s="6">
        <v>2.23</v>
      </c>
    </row>
    <row r="81" spans="1:25">
      <c r="A81"/>
      <c r="B81" s="7">
        <v>45644</v>
      </c>
      <c r="C81">
        <v>3.105</v>
      </c>
      <c r="D81" s="7">
        <v>45644</v>
      </c>
      <c r="E81">
        <v>2.9375</v>
      </c>
      <c r="F81" s="7">
        <v>45644</v>
      </c>
      <c r="G81">
        <v>2.7974999999999999</v>
      </c>
      <c r="H81" s="7">
        <v>45644</v>
      </c>
      <c r="I81">
        <v>2.6924999999999999</v>
      </c>
      <c r="J81" s="7">
        <v>45644</v>
      </c>
      <c r="K81">
        <v>2.6324999999999998</v>
      </c>
      <c r="L81" s="7">
        <v>45644</v>
      </c>
      <c r="M81">
        <v>2.5775000000000001</v>
      </c>
      <c r="N81" s="7">
        <v>45644</v>
      </c>
      <c r="O81">
        <v>2.5724999999999998</v>
      </c>
      <c r="P81" s="7">
        <v>45644</v>
      </c>
      <c r="Q81">
        <v>2.57</v>
      </c>
      <c r="R81" s="7">
        <v>45644</v>
      </c>
      <c r="S81">
        <v>2.5874999999999999</v>
      </c>
      <c r="T81" s="7">
        <v>45644</v>
      </c>
      <c r="U81">
        <v>2.6175000000000002</v>
      </c>
      <c r="V81" s="7">
        <v>45644</v>
      </c>
      <c r="W81">
        <v>2.4300000000000002</v>
      </c>
      <c r="X81" s="7">
        <v>45644</v>
      </c>
      <c r="Y81" s="6">
        <v>2.1625000000000001</v>
      </c>
    </row>
    <row r="82" spans="1:25">
      <c r="A82"/>
      <c r="B82" s="7">
        <v>45643</v>
      </c>
      <c r="C82">
        <v>3.125</v>
      </c>
      <c r="D82" s="7">
        <v>45643</v>
      </c>
      <c r="E82">
        <v>2.97</v>
      </c>
      <c r="F82" s="7">
        <v>45643</v>
      </c>
      <c r="G82">
        <v>2.8450000000000002</v>
      </c>
      <c r="H82" s="7">
        <v>45643</v>
      </c>
      <c r="I82">
        <v>2.7524999999999999</v>
      </c>
      <c r="J82" s="7">
        <v>45643</v>
      </c>
      <c r="K82">
        <v>2.6949999999999998</v>
      </c>
      <c r="L82" s="7">
        <v>45643</v>
      </c>
      <c r="M82">
        <v>2.64</v>
      </c>
      <c r="N82" s="7">
        <v>45643</v>
      </c>
      <c r="O82">
        <v>2.6349999999999998</v>
      </c>
      <c r="P82" s="7">
        <v>45643</v>
      </c>
      <c r="Q82">
        <v>2.63</v>
      </c>
      <c r="R82" s="7">
        <v>45643</v>
      </c>
      <c r="S82">
        <v>2.645</v>
      </c>
      <c r="T82" s="7">
        <v>45643</v>
      </c>
      <c r="U82">
        <v>2.6749999999999998</v>
      </c>
      <c r="V82" s="7">
        <v>45643</v>
      </c>
      <c r="W82">
        <v>2.4925000000000002</v>
      </c>
      <c r="X82" s="7">
        <v>45643</v>
      </c>
      <c r="Y82" s="6">
        <v>2.2250000000000001</v>
      </c>
    </row>
    <row r="83" spans="1:25">
      <c r="A83"/>
      <c r="B83" s="7">
        <v>45642</v>
      </c>
      <c r="C83">
        <v>3.08</v>
      </c>
      <c r="D83" s="7">
        <v>45642</v>
      </c>
      <c r="E83">
        <v>2.9275000000000002</v>
      </c>
      <c r="F83" s="7">
        <v>45642</v>
      </c>
      <c r="G83">
        <v>2.8025000000000002</v>
      </c>
      <c r="H83" s="7">
        <v>45642</v>
      </c>
      <c r="I83">
        <v>2.6974999999999998</v>
      </c>
      <c r="J83" s="7">
        <v>45642</v>
      </c>
      <c r="K83">
        <v>2.6274999999999999</v>
      </c>
      <c r="L83" s="7">
        <v>45642</v>
      </c>
      <c r="M83">
        <v>2.5724999999999998</v>
      </c>
      <c r="N83" s="7">
        <v>45642</v>
      </c>
      <c r="O83">
        <v>2.57</v>
      </c>
      <c r="P83" s="7">
        <v>45642</v>
      </c>
      <c r="Q83">
        <v>2.5649999999999999</v>
      </c>
      <c r="R83" s="7">
        <v>45642</v>
      </c>
      <c r="S83">
        <v>2.58</v>
      </c>
      <c r="T83" s="7">
        <v>45642</v>
      </c>
      <c r="U83">
        <v>2.6124999999999998</v>
      </c>
      <c r="V83" s="7">
        <v>45642</v>
      </c>
      <c r="W83">
        <v>2.4300000000000002</v>
      </c>
      <c r="X83" s="7">
        <v>45642</v>
      </c>
      <c r="Y83" s="6">
        <v>2.1625000000000001</v>
      </c>
    </row>
    <row r="84" spans="1:25">
      <c r="A84"/>
      <c r="B84" s="7">
        <v>45639</v>
      </c>
      <c r="C84">
        <v>3.0674999999999999</v>
      </c>
      <c r="D84" s="7">
        <v>45639</v>
      </c>
      <c r="E84">
        <v>2.915</v>
      </c>
      <c r="F84" s="7">
        <v>45639</v>
      </c>
      <c r="G84">
        <v>2.79</v>
      </c>
      <c r="H84" s="7">
        <v>45639</v>
      </c>
      <c r="I84">
        <v>2.68</v>
      </c>
      <c r="J84" s="7">
        <v>45639</v>
      </c>
      <c r="K84">
        <v>2.6074999999999999</v>
      </c>
      <c r="L84" s="7">
        <v>45639</v>
      </c>
      <c r="M84">
        <v>2.5499999999999998</v>
      </c>
      <c r="N84" s="7">
        <v>45639</v>
      </c>
      <c r="O84">
        <v>2.5474999999999999</v>
      </c>
      <c r="P84" s="7">
        <v>45639</v>
      </c>
      <c r="Q84">
        <v>2.54</v>
      </c>
      <c r="R84" s="7">
        <v>45639</v>
      </c>
      <c r="S84">
        <v>2.5525000000000002</v>
      </c>
      <c r="T84" s="7">
        <v>45639</v>
      </c>
      <c r="U84">
        <v>2.5825</v>
      </c>
      <c r="V84" s="7">
        <v>45639</v>
      </c>
      <c r="W84">
        <v>2.4</v>
      </c>
      <c r="X84" s="7">
        <v>45639</v>
      </c>
      <c r="Y84" s="6">
        <v>2.1324999999999998</v>
      </c>
    </row>
    <row r="85" spans="1:25">
      <c r="A85"/>
      <c r="B85" s="7">
        <v>45638</v>
      </c>
      <c r="C85">
        <v>3.0825</v>
      </c>
      <c r="D85" s="7">
        <v>45638</v>
      </c>
      <c r="E85">
        <v>2.93</v>
      </c>
      <c r="F85" s="7">
        <v>45638</v>
      </c>
      <c r="G85">
        <v>2.8050000000000002</v>
      </c>
      <c r="H85" s="7">
        <v>45638</v>
      </c>
      <c r="I85">
        <v>2.6924999999999999</v>
      </c>
      <c r="J85" s="7">
        <v>45638</v>
      </c>
      <c r="K85">
        <v>2.6175000000000002</v>
      </c>
      <c r="L85" s="7">
        <v>45638</v>
      </c>
      <c r="M85">
        <v>2.5649999999999999</v>
      </c>
      <c r="N85" s="7">
        <v>45638</v>
      </c>
      <c r="O85">
        <v>2.5674999999999999</v>
      </c>
      <c r="P85" s="7">
        <v>45638</v>
      </c>
      <c r="Q85">
        <v>2.5649999999999999</v>
      </c>
      <c r="R85" s="7">
        <v>45638</v>
      </c>
      <c r="S85">
        <v>2.5825</v>
      </c>
      <c r="T85" s="7">
        <v>45638</v>
      </c>
      <c r="U85">
        <v>2.6150000000000002</v>
      </c>
      <c r="V85" s="7">
        <v>45638</v>
      </c>
      <c r="W85">
        <v>2.4325000000000001</v>
      </c>
      <c r="X85" s="7">
        <v>45638</v>
      </c>
      <c r="Y85" s="6">
        <v>2.165</v>
      </c>
    </row>
    <row r="86" spans="1:25">
      <c r="A86"/>
      <c r="B86" s="7">
        <v>45637</v>
      </c>
      <c r="C86">
        <v>3.085</v>
      </c>
      <c r="D86" s="7">
        <v>45637</v>
      </c>
      <c r="E86">
        <v>2.9325000000000001</v>
      </c>
      <c r="F86" s="7">
        <v>45637</v>
      </c>
      <c r="G86">
        <v>2.8075000000000001</v>
      </c>
      <c r="H86" s="7">
        <v>45637</v>
      </c>
      <c r="I86">
        <v>2.69</v>
      </c>
      <c r="J86" s="7">
        <v>45637</v>
      </c>
      <c r="K86">
        <v>2.61</v>
      </c>
      <c r="L86" s="7">
        <v>45637</v>
      </c>
      <c r="M86">
        <v>2.5550000000000002</v>
      </c>
      <c r="N86" s="7">
        <v>45637</v>
      </c>
      <c r="O86">
        <v>2.5550000000000002</v>
      </c>
      <c r="P86" s="7">
        <v>45637</v>
      </c>
      <c r="Q86">
        <v>2.5525000000000002</v>
      </c>
      <c r="R86" s="7">
        <v>45637</v>
      </c>
      <c r="S86">
        <v>2.5674999999999999</v>
      </c>
      <c r="T86" s="7">
        <v>45637</v>
      </c>
      <c r="U86">
        <v>2.6</v>
      </c>
      <c r="V86" s="7">
        <v>45637</v>
      </c>
      <c r="W86">
        <v>2.4224999999999999</v>
      </c>
      <c r="X86" s="7">
        <v>45637</v>
      </c>
      <c r="Y86" s="6">
        <v>2.1549999999999998</v>
      </c>
    </row>
    <row r="87" spans="1:25">
      <c r="A87"/>
      <c r="B87" s="7">
        <v>45636</v>
      </c>
      <c r="C87">
        <v>3.0625</v>
      </c>
      <c r="D87" s="7">
        <v>45636</v>
      </c>
      <c r="E87">
        <v>2.9075000000000002</v>
      </c>
      <c r="F87" s="7">
        <v>45636</v>
      </c>
      <c r="G87">
        <v>2.7825000000000002</v>
      </c>
      <c r="H87" s="7">
        <v>45636</v>
      </c>
      <c r="I87">
        <v>2.665</v>
      </c>
      <c r="J87" s="7">
        <v>45636</v>
      </c>
      <c r="K87">
        <v>2.5924999999999998</v>
      </c>
      <c r="L87" s="7">
        <v>45636</v>
      </c>
      <c r="M87">
        <v>2.5375000000000001</v>
      </c>
      <c r="N87" s="7">
        <v>45636</v>
      </c>
      <c r="O87">
        <v>2.5274999999999999</v>
      </c>
      <c r="P87" s="7">
        <v>45636</v>
      </c>
      <c r="Q87">
        <v>2.52</v>
      </c>
      <c r="R87" s="7">
        <v>45636</v>
      </c>
      <c r="S87">
        <v>2.5325000000000002</v>
      </c>
      <c r="T87" s="7">
        <v>45636</v>
      </c>
      <c r="U87">
        <v>2.5575000000000001</v>
      </c>
      <c r="V87" s="7">
        <v>45636</v>
      </c>
      <c r="W87">
        <v>2.3774999999999999</v>
      </c>
      <c r="X87" s="7">
        <v>45636</v>
      </c>
      <c r="Y87" s="6">
        <v>2.1074999999999999</v>
      </c>
    </row>
    <row r="88" spans="1:25">
      <c r="A88"/>
      <c r="B88" s="7">
        <v>45635</v>
      </c>
      <c r="C88">
        <v>3.05</v>
      </c>
      <c r="D88" s="7">
        <v>45635</v>
      </c>
      <c r="E88">
        <v>2.8975</v>
      </c>
      <c r="F88" s="7">
        <v>45635</v>
      </c>
      <c r="G88">
        <v>2.7774999999999999</v>
      </c>
      <c r="H88" s="7">
        <v>45635</v>
      </c>
      <c r="I88">
        <v>2.66</v>
      </c>
      <c r="J88" s="7">
        <v>45635</v>
      </c>
      <c r="K88">
        <v>2.5924999999999998</v>
      </c>
      <c r="L88" s="7">
        <v>45635</v>
      </c>
      <c r="M88">
        <v>2.5350000000000001</v>
      </c>
      <c r="N88" s="7">
        <v>45635</v>
      </c>
      <c r="O88">
        <v>2.52</v>
      </c>
      <c r="P88" s="7">
        <v>45635</v>
      </c>
      <c r="Q88">
        <v>2.5074999999999998</v>
      </c>
      <c r="R88" s="7">
        <v>45635</v>
      </c>
      <c r="S88">
        <v>2.5150000000000001</v>
      </c>
      <c r="T88" s="7">
        <v>45635</v>
      </c>
      <c r="U88">
        <v>2.5350000000000001</v>
      </c>
      <c r="V88" s="7">
        <v>45635</v>
      </c>
      <c r="W88">
        <v>2.36</v>
      </c>
      <c r="X88" s="7">
        <v>45635</v>
      </c>
      <c r="Y88" s="6">
        <v>2.09</v>
      </c>
    </row>
    <row r="89" spans="1:25">
      <c r="A89"/>
      <c r="B89" s="7">
        <v>45632</v>
      </c>
      <c r="C89">
        <v>3.0750000000000002</v>
      </c>
      <c r="D89" s="7">
        <v>45632</v>
      </c>
      <c r="E89">
        <v>2.93</v>
      </c>
      <c r="F89" s="7">
        <v>45632</v>
      </c>
      <c r="G89">
        <v>2.8149999999999999</v>
      </c>
      <c r="H89" s="7">
        <v>45632</v>
      </c>
      <c r="I89">
        <v>2.7124999999999999</v>
      </c>
      <c r="J89" s="7">
        <v>45632</v>
      </c>
      <c r="K89">
        <v>2.6575000000000002</v>
      </c>
      <c r="L89" s="7">
        <v>45632</v>
      </c>
      <c r="M89">
        <v>2.5950000000000002</v>
      </c>
      <c r="N89" s="7">
        <v>45632</v>
      </c>
      <c r="O89">
        <v>2.5825</v>
      </c>
      <c r="P89" s="7">
        <v>45632</v>
      </c>
      <c r="Q89">
        <v>2.5724999999999998</v>
      </c>
      <c r="R89" s="7">
        <v>45632</v>
      </c>
      <c r="S89">
        <v>2.5825</v>
      </c>
      <c r="T89" s="7">
        <v>45632</v>
      </c>
      <c r="U89">
        <v>2.6025</v>
      </c>
      <c r="V89" s="7">
        <v>45632</v>
      </c>
      <c r="W89">
        <v>2.4375</v>
      </c>
      <c r="X89" s="7">
        <v>45632</v>
      </c>
      <c r="Y89" s="6">
        <v>2.1675</v>
      </c>
    </row>
    <row r="90" spans="1:25">
      <c r="A90"/>
      <c r="B90" s="7">
        <v>45631</v>
      </c>
      <c r="C90">
        <v>3.07</v>
      </c>
      <c r="D90" s="7">
        <v>45631</v>
      </c>
      <c r="E90">
        <v>2.9249999999999998</v>
      </c>
      <c r="F90" s="7">
        <v>45631</v>
      </c>
      <c r="G90">
        <v>2.81</v>
      </c>
      <c r="H90" s="7">
        <v>45631</v>
      </c>
      <c r="I90">
        <v>2.7</v>
      </c>
      <c r="J90" s="7">
        <v>45631</v>
      </c>
      <c r="K90">
        <v>2.6375000000000002</v>
      </c>
      <c r="L90" s="7">
        <v>45631</v>
      </c>
      <c r="M90">
        <v>2.5724999999999998</v>
      </c>
      <c r="N90" s="7">
        <v>45631</v>
      </c>
      <c r="O90">
        <v>2.5625</v>
      </c>
      <c r="P90" s="7">
        <v>45631</v>
      </c>
      <c r="Q90">
        <v>2.5525000000000002</v>
      </c>
      <c r="R90" s="7">
        <v>45631</v>
      </c>
      <c r="S90">
        <v>2.5625</v>
      </c>
      <c r="T90" s="7">
        <v>45631</v>
      </c>
      <c r="U90">
        <v>2.585</v>
      </c>
      <c r="V90" s="7">
        <v>45631</v>
      </c>
      <c r="W90">
        <v>2.4275000000000002</v>
      </c>
      <c r="X90" s="7">
        <v>45631</v>
      </c>
      <c r="Y90" s="6">
        <v>2.1575000000000002</v>
      </c>
    </row>
    <row r="91" spans="1:25">
      <c r="A91"/>
      <c r="B91" s="7">
        <v>45630</v>
      </c>
      <c r="C91">
        <v>3.0775000000000001</v>
      </c>
      <c r="D91" s="7">
        <v>45630</v>
      </c>
      <c r="E91">
        <v>2.9325000000000001</v>
      </c>
      <c r="F91" s="7">
        <v>45630</v>
      </c>
      <c r="G91">
        <v>2.8174999999999999</v>
      </c>
      <c r="H91" s="7">
        <v>45630</v>
      </c>
      <c r="I91">
        <v>2.7149999999999999</v>
      </c>
      <c r="J91" s="7">
        <v>45630</v>
      </c>
      <c r="K91">
        <v>2.66</v>
      </c>
      <c r="L91" s="7">
        <v>45630</v>
      </c>
      <c r="M91">
        <v>2.6</v>
      </c>
      <c r="N91" s="7">
        <v>45630</v>
      </c>
      <c r="O91">
        <v>2.5950000000000002</v>
      </c>
      <c r="P91" s="7">
        <v>45630</v>
      </c>
      <c r="Q91">
        <v>2.59</v>
      </c>
      <c r="R91" s="7">
        <v>45630</v>
      </c>
      <c r="S91">
        <v>2.6</v>
      </c>
      <c r="T91" s="7">
        <v>45630</v>
      </c>
      <c r="U91">
        <v>2.6225000000000001</v>
      </c>
      <c r="V91" s="7">
        <v>45630</v>
      </c>
      <c r="W91">
        <v>2.4900000000000002</v>
      </c>
      <c r="X91" s="7">
        <v>45630</v>
      </c>
      <c r="Y91" s="6">
        <v>2.2000000000000002</v>
      </c>
    </row>
    <row r="92" spans="1:25">
      <c r="A92"/>
      <c r="B92" s="7">
        <v>45629</v>
      </c>
      <c r="C92">
        <v>3.0825</v>
      </c>
      <c r="D92" s="7">
        <v>45629</v>
      </c>
      <c r="E92">
        <v>2.9375</v>
      </c>
      <c r="F92" s="7">
        <v>45629</v>
      </c>
      <c r="G92">
        <v>2.8224999999999998</v>
      </c>
      <c r="H92" s="7">
        <v>45629</v>
      </c>
      <c r="I92">
        <v>2.7025000000000001</v>
      </c>
      <c r="J92" s="7">
        <v>45629</v>
      </c>
      <c r="K92">
        <v>2.6425000000000001</v>
      </c>
      <c r="L92" s="7">
        <v>45629</v>
      </c>
      <c r="M92">
        <v>2.5825</v>
      </c>
      <c r="N92" s="7">
        <v>45629</v>
      </c>
      <c r="O92">
        <v>2.5649999999999999</v>
      </c>
      <c r="P92" s="7">
        <v>45629</v>
      </c>
      <c r="Q92">
        <v>2.5550000000000002</v>
      </c>
      <c r="R92" s="7">
        <v>45629</v>
      </c>
      <c r="S92">
        <v>2.5625</v>
      </c>
      <c r="T92" s="7">
        <v>45629</v>
      </c>
      <c r="U92">
        <v>2.58</v>
      </c>
      <c r="V92" s="7">
        <v>45629</v>
      </c>
      <c r="W92">
        <v>2.4500000000000002</v>
      </c>
      <c r="X92" s="7">
        <v>45629</v>
      </c>
      <c r="Y92" s="6">
        <v>2.16</v>
      </c>
    </row>
    <row r="93" spans="1:25">
      <c r="A93"/>
      <c r="B93" s="7">
        <v>45628</v>
      </c>
      <c r="C93">
        <v>3.0775000000000001</v>
      </c>
      <c r="D93" s="7">
        <v>45628</v>
      </c>
      <c r="E93">
        <v>2.9325000000000001</v>
      </c>
      <c r="F93" s="7">
        <v>45628</v>
      </c>
      <c r="G93">
        <v>2.8174999999999999</v>
      </c>
      <c r="H93" s="7">
        <v>45628</v>
      </c>
      <c r="I93">
        <v>2.69</v>
      </c>
      <c r="J93" s="7">
        <v>45628</v>
      </c>
      <c r="K93">
        <v>2.625</v>
      </c>
      <c r="L93" s="7">
        <v>45628</v>
      </c>
      <c r="M93">
        <v>2.5750000000000002</v>
      </c>
      <c r="N93" s="7">
        <v>45628</v>
      </c>
      <c r="O93">
        <v>2.5575000000000001</v>
      </c>
      <c r="P93" s="7">
        <v>45628</v>
      </c>
      <c r="Q93">
        <v>2.5474999999999999</v>
      </c>
      <c r="R93" s="7">
        <v>45628</v>
      </c>
      <c r="S93">
        <v>2.5550000000000002</v>
      </c>
      <c r="T93" s="7">
        <v>45628</v>
      </c>
      <c r="U93">
        <v>2.5724999999999998</v>
      </c>
      <c r="V93" s="7">
        <v>45628</v>
      </c>
      <c r="W93">
        <v>2.4550000000000001</v>
      </c>
      <c r="X93" s="7">
        <v>45628</v>
      </c>
      <c r="Y93" s="6">
        <v>2.165</v>
      </c>
    </row>
    <row r="94" spans="1:25">
      <c r="A94"/>
      <c r="B94" s="7">
        <v>45625</v>
      </c>
      <c r="C94">
        <v>3.09</v>
      </c>
      <c r="D94" s="7">
        <v>45625</v>
      </c>
      <c r="E94">
        <v>2.9575</v>
      </c>
      <c r="F94" s="7">
        <v>45625</v>
      </c>
      <c r="G94">
        <v>2.855</v>
      </c>
      <c r="H94" s="7">
        <v>45625</v>
      </c>
      <c r="I94">
        <v>2.7450000000000001</v>
      </c>
      <c r="J94" s="7">
        <v>45625</v>
      </c>
      <c r="K94">
        <v>2.6974999999999998</v>
      </c>
      <c r="L94" s="7">
        <v>45625</v>
      </c>
      <c r="M94">
        <v>2.6549999999999998</v>
      </c>
      <c r="N94" s="7">
        <v>45625</v>
      </c>
      <c r="O94">
        <v>2.64</v>
      </c>
      <c r="P94" s="7">
        <v>45625</v>
      </c>
      <c r="Q94">
        <v>2.63</v>
      </c>
      <c r="R94" s="7">
        <v>45625</v>
      </c>
      <c r="S94">
        <v>2.6375000000000002</v>
      </c>
      <c r="T94" s="7">
        <v>45625</v>
      </c>
      <c r="U94">
        <v>2.6575000000000002</v>
      </c>
      <c r="V94" s="7">
        <v>45625</v>
      </c>
      <c r="W94">
        <v>2.5299999999999998</v>
      </c>
      <c r="X94" s="7">
        <v>45625</v>
      </c>
      <c r="Y94" s="6">
        <v>2.2400000000000002</v>
      </c>
    </row>
    <row r="95" spans="1:25">
      <c r="A95"/>
      <c r="B95" s="7">
        <v>45624</v>
      </c>
      <c r="C95">
        <v>3.0724999999999998</v>
      </c>
      <c r="D95" s="7">
        <v>45624</v>
      </c>
      <c r="E95">
        <v>2.9525000000000001</v>
      </c>
      <c r="F95" s="7">
        <v>45624</v>
      </c>
      <c r="G95">
        <v>2.8650000000000002</v>
      </c>
      <c r="H95" s="7">
        <v>45624</v>
      </c>
      <c r="I95">
        <v>2.7650000000000001</v>
      </c>
      <c r="J95" s="7">
        <v>45624</v>
      </c>
      <c r="K95">
        <v>2.7275</v>
      </c>
      <c r="L95" s="7">
        <v>45624</v>
      </c>
      <c r="M95">
        <v>2.6850000000000001</v>
      </c>
      <c r="N95" s="7">
        <v>45624</v>
      </c>
      <c r="O95">
        <v>2.67</v>
      </c>
      <c r="P95" s="7">
        <v>45624</v>
      </c>
      <c r="Q95">
        <v>2.66</v>
      </c>
      <c r="R95" s="7">
        <v>45624</v>
      </c>
      <c r="S95">
        <v>2.6675</v>
      </c>
      <c r="T95" s="7">
        <v>45624</v>
      </c>
      <c r="U95">
        <v>2.6875</v>
      </c>
      <c r="V95" s="7">
        <v>45624</v>
      </c>
      <c r="W95">
        <v>2.5525000000000002</v>
      </c>
      <c r="X95" s="7">
        <v>45624</v>
      </c>
      <c r="Y95" s="6">
        <v>2.2625000000000002</v>
      </c>
    </row>
    <row r="96" spans="1:25">
      <c r="A96"/>
      <c r="B96" s="7">
        <v>45623</v>
      </c>
      <c r="C96">
        <v>3.22</v>
      </c>
      <c r="D96" s="7">
        <v>45623</v>
      </c>
      <c r="E96">
        <v>3.0975000000000001</v>
      </c>
      <c r="F96" s="7">
        <v>45623</v>
      </c>
      <c r="G96">
        <v>2.9975000000000001</v>
      </c>
      <c r="H96" s="7">
        <v>45623</v>
      </c>
      <c r="I96">
        <v>2.8925000000000001</v>
      </c>
      <c r="J96" s="7">
        <v>45623</v>
      </c>
      <c r="K96">
        <v>2.8450000000000002</v>
      </c>
      <c r="L96" s="7">
        <v>45623</v>
      </c>
      <c r="M96">
        <v>2.7875000000000001</v>
      </c>
      <c r="N96" s="7">
        <v>45623</v>
      </c>
      <c r="O96">
        <v>2.7749999999999999</v>
      </c>
      <c r="P96" s="7">
        <v>45623</v>
      </c>
      <c r="Q96">
        <v>2.7650000000000001</v>
      </c>
      <c r="R96" s="7">
        <v>45623</v>
      </c>
      <c r="S96">
        <v>2.77</v>
      </c>
      <c r="T96" s="7">
        <v>45623</v>
      </c>
      <c r="U96">
        <v>2.7825000000000002</v>
      </c>
      <c r="V96" s="7">
        <v>45623</v>
      </c>
      <c r="W96">
        <v>2.6375000000000002</v>
      </c>
      <c r="X96" s="7">
        <v>45623</v>
      </c>
      <c r="Y96" s="6">
        <v>2.3475000000000001</v>
      </c>
    </row>
    <row r="97" spans="1:25">
      <c r="A97"/>
      <c r="B97" s="7">
        <v>45622</v>
      </c>
      <c r="C97">
        <v>3.2374999999999998</v>
      </c>
      <c r="D97" s="7">
        <v>45622</v>
      </c>
      <c r="E97">
        <v>3.1124999999999998</v>
      </c>
      <c r="F97" s="7">
        <v>45622</v>
      </c>
      <c r="G97">
        <v>3.0074999999999998</v>
      </c>
      <c r="H97" s="7">
        <v>45622</v>
      </c>
      <c r="I97">
        <v>2.91</v>
      </c>
      <c r="J97" s="7">
        <v>45622</v>
      </c>
      <c r="K97">
        <v>2.8675000000000002</v>
      </c>
      <c r="L97" s="7">
        <v>45622</v>
      </c>
      <c r="M97">
        <v>2.81</v>
      </c>
      <c r="N97" s="7">
        <v>45622</v>
      </c>
      <c r="O97">
        <v>2.7974999999999999</v>
      </c>
      <c r="P97" s="7">
        <v>45622</v>
      </c>
      <c r="Q97">
        <v>2.7875000000000001</v>
      </c>
      <c r="R97" s="7">
        <v>45622</v>
      </c>
      <c r="S97">
        <v>2.7949999999999999</v>
      </c>
      <c r="T97" s="7">
        <v>45622</v>
      </c>
      <c r="U97">
        <v>2.81</v>
      </c>
      <c r="V97" s="7">
        <v>45622</v>
      </c>
      <c r="W97">
        <v>2.6575000000000002</v>
      </c>
      <c r="X97" s="7">
        <v>45622</v>
      </c>
      <c r="Y97" s="6">
        <v>2.3675000000000002</v>
      </c>
    </row>
    <row r="98" spans="1:25">
      <c r="A98"/>
      <c r="B98" s="7">
        <v>45621</v>
      </c>
      <c r="C98">
        <v>3.2349999999999999</v>
      </c>
      <c r="D98" s="7">
        <v>45621</v>
      </c>
      <c r="E98">
        <v>3.11</v>
      </c>
      <c r="F98" s="7">
        <v>45621</v>
      </c>
      <c r="G98">
        <v>3.0049999999999999</v>
      </c>
      <c r="H98" s="7">
        <v>45621</v>
      </c>
      <c r="I98">
        <v>2.91</v>
      </c>
      <c r="J98" s="7">
        <v>45621</v>
      </c>
      <c r="K98">
        <v>2.87</v>
      </c>
      <c r="L98" s="7">
        <v>45621</v>
      </c>
      <c r="M98">
        <v>2.8125</v>
      </c>
      <c r="N98" s="7">
        <v>45621</v>
      </c>
      <c r="O98">
        <v>2.8</v>
      </c>
      <c r="P98" s="7">
        <v>45621</v>
      </c>
      <c r="Q98">
        <v>2.7925</v>
      </c>
      <c r="R98" s="7">
        <v>45621</v>
      </c>
      <c r="S98">
        <v>2.8050000000000002</v>
      </c>
      <c r="T98" s="7">
        <v>45621</v>
      </c>
      <c r="U98">
        <v>2.8250000000000002</v>
      </c>
      <c r="V98" s="7">
        <v>45621</v>
      </c>
      <c r="W98">
        <v>2.67</v>
      </c>
      <c r="X98" s="7">
        <v>45621</v>
      </c>
      <c r="Y98" s="6">
        <v>2.38</v>
      </c>
    </row>
    <row r="99" spans="1:25">
      <c r="A99"/>
      <c r="B99" s="7">
        <v>45618</v>
      </c>
      <c r="C99">
        <v>3.2850000000000001</v>
      </c>
      <c r="D99" s="7">
        <v>45618</v>
      </c>
      <c r="E99">
        <v>3.1549999999999998</v>
      </c>
      <c r="F99" s="7">
        <v>45618</v>
      </c>
      <c r="G99">
        <v>3.0449999999999999</v>
      </c>
      <c r="H99" s="7">
        <v>45618</v>
      </c>
      <c r="I99">
        <v>2.9474999999999998</v>
      </c>
      <c r="J99" s="7">
        <v>45618</v>
      </c>
      <c r="K99">
        <v>2.9049999999999998</v>
      </c>
      <c r="L99" s="7">
        <v>45618</v>
      </c>
      <c r="M99">
        <v>2.85</v>
      </c>
      <c r="N99" s="7">
        <v>45618</v>
      </c>
      <c r="O99">
        <v>2.84</v>
      </c>
      <c r="P99" s="7">
        <v>45618</v>
      </c>
      <c r="Q99">
        <v>2.835</v>
      </c>
      <c r="R99" s="7">
        <v>45618</v>
      </c>
      <c r="S99">
        <v>2.85</v>
      </c>
      <c r="T99" s="7">
        <v>45618</v>
      </c>
      <c r="U99">
        <v>2.8725000000000001</v>
      </c>
      <c r="V99" s="7">
        <v>45618</v>
      </c>
      <c r="W99">
        <v>2.7174999999999998</v>
      </c>
      <c r="X99" s="7">
        <v>45618</v>
      </c>
      <c r="Y99" s="6">
        <v>2.4275000000000002</v>
      </c>
    </row>
    <row r="100" spans="1:25">
      <c r="A100"/>
      <c r="B100" s="7">
        <v>45617</v>
      </c>
      <c r="C100">
        <v>3.3</v>
      </c>
      <c r="D100" s="7">
        <v>45617</v>
      </c>
      <c r="E100">
        <v>3.1724999999999999</v>
      </c>
      <c r="F100" s="7">
        <v>45617</v>
      </c>
      <c r="G100">
        <v>3.0649999999999999</v>
      </c>
      <c r="H100" s="7">
        <v>45617</v>
      </c>
      <c r="I100">
        <v>2.9649999999999999</v>
      </c>
      <c r="J100" s="7">
        <v>45617</v>
      </c>
      <c r="K100">
        <v>2.915</v>
      </c>
      <c r="L100" s="7">
        <v>45617</v>
      </c>
      <c r="M100">
        <v>2.86</v>
      </c>
      <c r="N100" s="7">
        <v>45617</v>
      </c>
      <c r="O100">
        <v>2.8475000000000001</v>
      </c>
      <c r="P100" s="7">
        <v>45617</v>
      </c>
      <c r="Q100">
        <v>2.84</v>
      </c>
      <c r="R100" s="7">
        <v>45617</v>
      </c>
      <c r="S100">
        <v>2.85</v>
      </c>
      <c r="T100" s="7">
        <v>45617</v>
      </c>
      <c r="U100">
        <v>2.87</v>
      </c>
      <c r="V100" s="7">
        <v>45617</v>
      </c>
      <c r="W100">
        <v>2.7149999999999999</v>
      </c>
      <c r="X100" s="7">
        <v>45617</v>
      </c>
      <c r="Y100" s="6">
        <v>2.4249999999999998</v>
      </c>
    </row>
    <row r="101" spans="1:25">
      <c r="A101"/>
      <c r="B101" s="7">
        <v>45616</v>
      </c>
      <c r="C101">
        <v>3.3149999999999999</v>
      </c>
      <c r="D101" s="7">
        <v>45616</v>
      </c>
      <c r="E101">
        <v>3.2025000000000001</v>
      </c>
      <c r="F101" s="7">
        <v>45616</v>
      </c>
      <c r="G101">
        <v>3.105</v>
      </c>
      <c r="H101" s="7">
        <v>45616</v>
      </c>
      <c r="I101">
        <v>3.0024999999999999</v>
      </c>
      <c r="J101" s="7">
        <v>45616</v>
      </c>
      <c r="K101">
        <v>2.9525000000000001</v>
      </c>
      <c r="L101" s="7">
        <v>45616</v>
      </c>
      <c r="M101">
        <v>2.8975</v>
      </c>
      <c r="N101" s="7">
        <v>45616</v>
      </c>
      <c r="O101">
        <v>2.8824999999999998</v>
      </c>
      <c r="P101" s="7">
        <v>45616</v>
      </c>
      <c r="Q101">
        <v>2.875</v>
      </c>
      <c r="R101" s="7">
        <v>45616</v>
      </c>
      <c r="S101">
        <v>2.8824999999999998</v>
      </c>
      <c r="T101" s="7">
        <v>45616</v>
      </c>
      <c r="U101">
        <v>2.9024999999999999</v>
      </c>
      <c r="V101" s="7">
        <v>45616</v>
      </c>
      <c r="W101">
        <v>2.7374999999999998</v>
      </c>
      <c r="X101" s="7">
        <v>45616</v>
      </c>
      <c r="Y101" s="6">
        <v>2.4474999999999998</v>
      </c>
    </row>
    <row r="102" spans="1:25">
      <c r="A102"/>
      <c r="B102" s="7">
        <v>45615</v>
      </c>
      <c r="C102">
        <v>3.3174999999999999</v>
      </c>
      <c r="D102" s="7">
        <v>45615</v>
      </c>
      <c r="E102">
        <v>3.2149999999999999</v>
      </c>
      <c r="F102" s="7">
        <v>45615</v>
      </c>
      <c r="G102">
        <v>3.1274999999999999</v>
      </c>
      <c r="H102" s="7">
        <v>45615</v>
      </c>
      <c r="I102">
        <v>3.0249999999999999</v>
      </c>
      <c r="J102" s="7">
        <v>45615</v>
      </c>
      <c r="K102">
        <v>2.9750000000000001</v>
      </c>
      <c r="L102" s="7">
        <v>45615</v>
      </c>
      <c r="M102">
        <v>2.92</v>
      </c>
      <c r="N102" s="7">
        <v>45615</v>
      </c>
      <c r="O102">
        <v>2.9075000000000002</v>
      </c>
      <c r="P102" s="7">
        <v>45615</v>
      </c>
      <c r="Q102">
        <v>2.9024999999999999</v>
      </c>
      <c r="R102" s="7">
        <v>45615</v>
      </c>
      <c r="S102">
        <v>2.91</v>
      </c>
      <c r="T102" s="7">
        <v>45615</v>
      </c>
      <c r="U102">
        <v>2.93</v>
      </c>
      <c r="V102" s="7">
        <v>45615</v>
      </c>
      <c r="W102">
        <v>2.7625000000000002</v>
      </c>
      <c r="X102" s="7">
        <v>45615</v>
      </c>
      <c r="Y102" s="6">
        <v>2.4725000000000001</v>
      </c>
    </row>
    <row r="103" spans="1:25">
      <c r="A103"/>
      <c r="B103" s="7">
        <v>45614</v>
      </c>
      <c r="C103">
        <v>3.3149999999999999</v>
      </c>
      <c r="D103" s="7">
        <v>45614</v>
      </c>
      <c r="E103">
        <v>3.2250000000000001</v>
      </c>
      <c r="F103" s="7">
        <v>45614</v>
      </c>
      <c r="G103">
        <v>3.15</v>
      </c>
      <c r="H103" s="7">
        <v>45614</v>
      </c>
      <c r="I103">
        <v>3.0525000000000002</v>
      </c>
      <c r="J103" s="7">
        <v>45614</v>
      </c>
      <c r="K103">
        <v>3.0024999999999999</v>
      </c>
      <c r="L103" s="7">
        <v>45614</v>
      </c>
      <c r="M103">
        <v>2.95</v>
      </c>
      <c r="N103" s="7">
        <v>45614</v>
      </c>
      <c r="O103">
        <v>2.9375</v>
      </c>
      <c r="P103" s="7">
        <v>45614</v>
      </c>
      <c r="Q103">
        <v>2.9325000000000001</v>
      </c>
      <c r="R103" s="7">
        <v>45614</v>
      </c>
      <c r="S103">
        <v>2.94</v>
      </c>
      <c r="T103" s="7">
        <v>45614</v>
      </c>
      <c r="U103">
        <v>2.96</v>
      </c>
      <c r="V103" s="7">
        <v>45614</v>
      </c>
      <c r="W103">
        <v>2.7825000000000002</v>
      </c>
      <c r="X103" s="7">
        <v>45614</v>
      </c>
      <c r="Y103" s="6">
        <v>2.4925000000000002</v>
      </c>
    </row>
    <row r="104" spans="1:25">
      <c r="A104"/>
      <c r="B104" s="7">
        <v>45611</v>
      </c>
      <c r="C104">
        <v>3.3275000000000001</v>
      </c>
      <c r="D104" s="7">
        <v>45611</v>
      </c>
      <c r="E104">
        <v>3.2425000000000002</v>
      </c>
      <c r="F104" s="7">
        <v>45611</v>
      </c>
      <c r="G104">
        <v>3.17</v>
      </c>
      <c r="H104" s="7">
        <v>45611</v>
      </c>
      <c r="I104">
        <v>3.0750000000000002</v>
      </c>
      <c r="J104" s="7">
        <v>45611</v>
      </c>
      <c r="K104">
        <v>3.0274999999999999</v>
      </c>
      <c r="L104" s="7">
        <v>45611</v>
      </c>
      <c r="M104">
        <v>2.9750000000000001</v>
      </c>
      <c r="N104" s="7">
        <v>45611</v>
      </c>
      <c r="O104">
        <v>2.9624999999999999</v>
      </c>
      <c r="P104" s="7">
        <v>45611</v>
      </c>
      <c r="Q104">
        <v>2.9575</v>
      </c>
      <c r="R104" s="7">
        <v>45611</v>
      </c>
      <c r="S104">
        <v>2.9649999999999999</v>
      </c>
      <c r="T104" s="7">
        <v>45611</v>
      </c>
      <c r="U104">
        <v>2.9849999999999999</v>
      </c>
      <c r="V104" s="7">
        <v>45611</v>
      </c>
      <c r="W104">
        <v>2.8075000000000001</v>
      </c>
      <c r="X104" s="7">
        <v>45611</v>
      </c>
      <c r="Y104" s="6">
        <v>2.5175000000000001</v>
      </c>
    </row>
    <row r="105" spans="1:25">
      <c r="A105"/>
      <c r="B105" s="7">
        <v>45610</v>
      </c>
      <c r="C105">
        <v>3.3250000000000002</v>
      </c>
      <c r="D105" s="7">
        <v>45610</v>
      </c>
      <c r="E105">
        <v>3.2374999999999998</v>
      </c>
      <c r="F105" s="7">
        <v>45610</v>
      </c>
      <c r="G105">
        <v>3.1625000000000001</v>
      </c>
      <c r="H105" s="7">
        <v>45610</v>
      </c>
      <c r="I105">
        <v>3.0649999999999999</v>
      </c>
      <c r="J105" s="7">
        <v>45610</v>
      </c>
      <c r="K105">
        <v>3.0175000000000001</v>
      </c>
      <c r="L105" s="7">
        <v>45610</v>
      </c>
      <c r="M105">
        <v>2.9624999999999999</v>
      </c>
      <c r="N105" s="7">
        <v>45610</v>
      </c>
      <c r="O105">
        <v>2.95</v>
      </c>
      <c r="P105" s="7">
        <v>45610</v>
      </c>
      <c r="Q105">
        <v>2.9449999999999998</v>
      </c>
      <c r="R105" s="7">
        <v>45610</v>
      </c>
      <c r="S105">
        <v>2.9525000000000001</v>
      </c>
      <c r="T105" s="7">
        <v>45610</v>
      </c>
      <c r="U105">
        <v>2.98</v>
      </c>
      <c r="V105" s="7">
        <v>45610</v>
      </c>
      <c r="W105">
        <v>2.79</v>
      </c>
      <c r="X105" s="7">
        <v>45610</v>
      </c>
      <c r="Y105" s="6">
        <v>2.5</v>
      </c>
    </row>
    <row r="106" spans="1:25">
      <c r="A106"/>
      <c r="B106" s="7">
        <v>45609</v>
      </c>
      <c r="C106">
        <v>3.3250000000000002</v>
      </c>
      <c r="D106" s="7">
        <v>45609</v>
      </c>
      <c r="E106">
        <v>3.24</v>
      </c>
      <c r="F106" s="7">
        <v>45609</v>
      </c>
      <c r="G106">
        <v>3.17</v>
      </c>
      <c r="H106" s="7">
        <v>45609</v>
      </c>
      <c r="I106">
        <v>3.07</v>
      </c>
      <c r="J106" s="7">
        <v>45609</v>
      </c>
      <c r="K106">
        <v>3.02</v>
      </c>
      <c r="L106" s="7">
        <v>45609</v>
      </c>
      <c r="M106">
        <v>2.9674999999999998</v>
      </c>
      <c r="N106" s="7">
        <v>45609</v>
      </c>
      <c r="O106">
        <v>2.9474999999999998</v>
      </c>
      <c r="P106" s="7">
        <v>45609</v>
      </c>
      <c r="Q106">
        <v>2.9375</v>
      </c>
      <c r="R106" s="7">
        <v>45609</v>
      </c>
      <c r="S106">
        <v>2.9424999999999999</v>
      </c>
      <c r="T106" s="7">
        <v>45609</v>
      </c>
      <c r="U106">
        <v>2.9649999999999999</v>
      </c>
      <c r="V106" s="7">
        <v>45609</v>
      </c>
      <c r="W106">
        <v>2.78</v>
      </c>
      <c r="X106" s="7">
        <v>45609</v>
      </c>
      <c r="Y106" s="6">
        <v>2.4900000000000002</v>
      </c>
    </row>
    <row r="107" spans="1:25">
      <c r="A107"/>
      <c r="B107" s="7">
        <v>45608</v>
      </c>
      <c r="C107">
        <v>3.3149999999999999</v>
      </c>
      <c r="D107" s="7">
        <v>45608</v>
      </c>
      <c r="E107">
        <v>3.22</v>
      </c>
      <c r="F107" s="7">
        <v>45608</v>
      </c>
      <c r="G107">
        <v>3.145</v>
      </c>
      <c r="H107" s="7">
        <v>45608</v>
      </c>
      <c r="I107">
        <v>3.0350000000000001</v>
      </c>
      <c r="J107" s="7">
        <v>45608</v>
      </c>
      <c r="K107">
        <v>2.98</v>
      </c>
      <c r="L107" s="7">
        <v>45608</v>
      </c>
      <c r="M107">
        <v>2.9275000000000002</v>
      </c>
      <c r="N107" s="7">
        <v>45608</v>
      </c>
      <c r="O107">
        <v>2.91</v>
      </c>
      <c r="P107" s="7">
        <v>45608</v>
      </c>
      <c r="Q107">
        <v>2.9</v>
      </c>
      <c r="R107" s="7">
        <v>45608</v>
      </c>
      <c r="S107">
        <v>2.9049999999999998</v>
      </c>
      <c r="T107" s="7">
        <v>45608</v>
      </c>
      <c r="U107">
        <v>2.9275000000000002</v>
      </c>
      <c r="V107" s="7">
        <v>45608</v>
      </c>
      <c r="W107">
        <v>2.7349999999999999</v>
      </c>
      <c r="X107" s="7">
        <v>45608</v>
      </c>
      <c r="Y107" s="6">
        <v>2.4449999999999998</v>
      </c>
    </row>
    <row r="108" spans="1:25">
      <c r="A108"/>
      <c r="B108" s="7">
        <v>45607</v>
      </c>
      <c r="C108">
        <v>3.3125</v>
      </c>
      <c r="D108" s="7">
        <v>45607</v>
      </c>
      <c r="E108">
        <v>3.2174999999999998</v>
      </c>
      <c r="F108" s="7">
        <v>45607</v>
      </c>
      <c r="G108">
        <v>3.1425000000000001</v>
      </c>
      <c r="H108" s="7">
        <v>45607</v>
      </c>
      <c r="I108">
        <v>3.0350000000000001</v>
      </c>
      <c r="J108" s="7">
        <v>45607</v>
      </c>
      <c r="K108">
        <v>2.9824999999999999</v>
      </c>
      <c r="L108" s="7">
        <v>45607</v>
      </c>
      <c r="M108">
        <v>2.9325000000000001</v>
      </c>
      <c r="N108" s="7">
        <v>45607</v>
      </c>
      <c r="O108">
        <v>2.9175</v>
      </c>
      <c r="P108" s="7">
        <v>45607</v>
      </c>
      <c r="Q108">
        <v>2.9075000000000002</v>
      </c>
      <c r="R108" s="7">
        <v>45607</v>
      </c>
      <c r="S108">
        <v>2.915</v>
      </c>
      <c r="T108" s="7">
        <v>45607</v>
      </c>
      <c r="U108">
        <v>2.9375</v>
      </c>
      <c r="V108" s="7">
        <v>45607</v>
      </c>
      <c r="W108">
        <v>2.7450000000000001</v>
      </c>
      <c r="X108" s="7">
        <v>45607</v>
      </c>
      <c r="Y108" s="6">
        <v>2.4550000000000001</v>
      </c>
    </row>
    <row r="109" spans="1:25">
      <c r="A109"/>
      <c r="B109" s="7">
        <v>45604</v>
      </c>
      <c r="C109">
        <v>3.3050000000000002</v>
      </c>
      <c r="D109" s="7">
        <v>45604</v>
      </c>
      <c r="E109">
        <v>3.2075</v>
      </c>
      <c r="F109" s="7">
        <v>45604</v>
      </c>
      <c r="G109">
        <v>3.13</v>
      </c>
      <c r="H109" s="7">
        <v>45604</v>
      </c>
      <c r="I109">
        <v>3.02</v>
      </c>
      <c r="J109" s="7">
        <v>45604</v>
      </c>
      <c r="K109">
        <v>2.9649999999999999</v>
      </c>
      <c r="L109" s="7">
        <v>45604</v>
      </c>
      <c r="M109">
        <v>2.9175</v>
      </c>
      <c r="N109" s="7">
        <v>45604</v>
      </c>
      <c r="O109">
        <v>2.9075000000000002</v>
      </c>
      <c r="P109" s="7">
        <v>45604</v>
      </c>
      <c r="Q109">
        <v>2.9</v>
      </c>
      <c r="R109" s="7">
        <v>45604</v>
      </c>
      <c r="S109">
        <v>2.91</v>
      </c>
      <c r="T109" s="7">
        <v>45604</v>
      </c>
      <c r="U109">
        <v>2.9350000000000001</v>
      </c>
      <c r="V109" s="7">
        <v>45604</v>
      </c>
      <c r="W109">
        <v>2.7524999999999999</v>
      </c>
      <c r="X109" s="7">
        <v>45604</v>
      </c>
      <c r="Y109" s="6">
        <v>2.4624999999999999</v>
      </c>
    </row>
    <row r="110" spans="1:25">
      <c r="A110"/>
      <c r="B110" s="7">
        <v>45603</v>
      </c>
      <c r="C110">
        <v>3.31</v>
      </c>
      <c r="D110" s="7">
        <v>45603</v>
      </c>
      <c r="E110">
        <v>3.2174999999999998</v>
      </c>
      <c r="F110" s="7">
        <v>45603</v>
      </c>
      <c r="G110">
        <v>3.15</v>
      </c>
      <c r="H110" s="7">
        <v>45603</v>
      </c>
      <c r="I110">
        <v>3.0525000000000002</v>
      </c>
      <c r="J110" s="7">
        <v>45603</v>
      </c>
      <c r="K110">
        <v>3.0049999999999999</v>
      </c>
      <c r="L110" s="7">
        <v>45603</v>
      </c>
      <c r="M110">
        <v>2.97</v>
      </c>
      <c r="N110" s="7">
        <v>45603</v>
      </c>
      <c r="O110">
        <v>2.9674999999999998</v>
      </c>
      <c r="P110" s="7">
        <v>45603</v>
      </c>
      <c r="Q110">
        <v>2.9674999999999998</v>
      </c>
      <c r="R110" s="7">
        <v>45603</v>
      </c>
      <c r="S110">
        <v>2.98</v>
      </c>
      <c r="T110" s="7">
        <v>45603</v>
      </c>
      <c r="U110">
        <v>3.0074999999999998</v>
      </c>
      <c r="V110" s="7">
        <v>45603</v>
      </c>
      <c r="W110">
        <v>2.8250000000000002</v>
      </c>
      <c r="X110" s="7">
        <v>45603</v>
      </c>
      <c r="Y110" s="6">
        <v>2.5350000000000001</v>
      </c>
    </row>
    <row r="111" spans="1:25">
      <c r="A111"/>
      <c r="B111" s="7">
        <v>45602</v>
      </c>
      <c r="C111">
        <v>3.3250000000000002</v>
      </c>
      <c r="D111" s="7">
        <v>45602</v>
      </c>
      <c r="E111">
        <v>3.2349999999999999</v>
      </c>
      <c r="F111" s="7">
        <v>45602</v>
      </c>
      <c r="G111">
        <v>3.17</v>
      </c>
      <c r="H111" s="7">
        <v>45602</v>
      </c>
      <c r="I111">
        <v>3.0874999999999999</v>
      </c>
      <c r="J111" s="7">
        <v>45602</v>
      </c>
      <c r="K111">
        <v>3.05</v>
      </c>
      <c r="L111" s="7">
        <v>45602</v>
      </c>
      <c r="M111">
        <v>3.0150000000000001</v>
      </c>
      <c r="N111" s="7">
        <v>45602</v>
      </c>
      <c r="O111">
        <v>3.0150000000000001</v>
      </c>
      <c r="P111" s="7">
        <v>45602</v>
      </c>
      <c r="Q111">
        <v>3.02</v>
      </c>
      <c r="R111" s="7">
        <v>45602</v>
      </c>
      <c r="S111">
        <v>3.03</v>
      </c>
      <c r="T111" s="7">
        <v>45602</v>
      </c>
      <c r="U111">
        <v>3.0550000000000002</v>
      </c>
      <c r="V111" s="7">
        <v>45602</v>
      </c>
      <c r="W111">
        <v>2.875</v>
      </c>
      <c r="X111" s="7">
        <v>45602</v>
      </c>
      <c r="Y111" s="6">
        <v>2.585</v>
      </c>
    </row>
    <row r="112" spans="1:25">
      <c r="A112"/>
      <c r="B112" s="7">
        <v>45601</v>
      </c>
      <c r="C112">
        <v>3.3125</v>
      </c>
      <c r="D112" s="7">
        <v>45601</v>
      </c>
      <c r="E112">
        <v>3.2124999999999999</v>
      </c>
      <c r="F112" s="7">
        <v>45601</v>
      </c>
      <c r="G112">
        <v>3.1375000000000002</v>
      </c>
      <c r="H112" s="7">
        <v>45601</v>
      </c>
      <c r="I112">
        <v>3.0449999999999999</v>
      </c>
      <c r="J112" s="7">
        <v>45601</v>
      </c>
      <c r="K112">
        <v>2.9950000000000001</v>
      </c>
      <c r="L112" s="7">
        <v>45601</v>
      </c>
      <c r="M112">
        <v>2.9575</v>
      </c>
      <c r="N112" s="7">
        <v>45601</v>
      </c>
      <c r="O112">
        <v>2.9550000000000001</v>
      </c>
      <c r="P112" s="7">
        <v>45601</v>
      </c>
      <c r="Q112">
        <v>2.9550000000000001</v>
      </c>
      <c r="R112" s="7">
        <v>45601</v>
      </c>
      <c r="S112">
        <v>2.9624999999999999</v>
      </c>
      <c r="T112" s="7">
        <v>45601</v>
      </c>
      <c r="U112">
        <v>2.9874999999999998</v>
      </c>
      <c r="V112" s="7">
        <v>45601</v>
      </c>
      <c r="W112">
        <v>2.8174999999999999</v>
      </c>
      <c r="X112" s="7">
        <v>45601</v>
      </c>
      <c r="Y112" s="6">
        <v>2.5225</v>
      </c>
    </row>
    <row r="113" spans="1:25">
      <c r="A113"/>
      <c r="B113" s="7">
        <v>45600</v>
      </c>
      <c r="C113">
        <v>3.31</v>
      </c>
      <c r="D113" s="7">
        <v>45600</v>
      </c>
      <c r="E113">
        <v>3.21</v>
      </c>
      <c r="F113" s="7">
        <v>45600</v>
      </c>
      <c r="G113">
        <v>3.1349999999999998</v>
      </c>
      <c r="H113" s="7">
        <v>45600</v>
      </c>
      <c r="I113">
        <v>3.05</v>
      </c>
      <c r="J113" s="7">
        <v>45600</v>
      </c>
      <c r="K113">
        <v>3.01</v>
      </c>
      <c r="L113" s="7">
        <v>45600</v>
      </c>
      <c r="M113">
        <v>2.9775</v>
      </c>
      <c r="N113" s="7">
        <v>45600</v>
      </c>
      <c r="O113">
        <v>2.97</v>
      </c>
      <c r="P113" s="7">
        <v>45600</v>
      </c>
      <c r="Q113">
        <v>2.97</v>
      </c>
      <c r="R113" s="7">
        <v>45600</v>
      </c>
      <c r="S113">
        <v>2.9775</v>
      </c>
      <c r="T113" s="7">
        <v>45600</v>
      </c>
      <c r="U113">
        <v>3.0024999999999999</v>
      </c>
      <c r="V113" s="7">
        <v>45600</v>
      </c>
      <c r="W113">
        <v>2.8325</v>
      </c>
      <c r="X113" s="7">
        <v>45600</v>
      </c>
      <c r="Y113" s="6">
        <v>2.5375000000000001</v>
      </c>
    </row>
    <row r="114" spans="1:25">
      <c r="A114"/>
      <c r="B114" s="7">
        <v>45597</v>
      </c>
      <c r="C114">
        <v>3.3075000000000001</v>
      </c>
      <c r="D114" s="7">
        <v>45597</v>
      </c>
      <c r="E114">
        <v>3.2025000000000001</v>
      </c>
      <c r="F114" s="7">
        <v>45597</v>
      </c>
      <c r="G114">
        <v>3.125</v>
      </c>
      <c r="H114" s="7">
        <v>45597</v>
      </c>
      <c r="I114">
        <v>3.0425</v>
      </c>
      <c r="J114" s="7">
        <v>45597</v>
      </c>
      <c r="K114">
        <v>3.0074999999999998</v>
      </c>
      <c r="L114" s="7">
        <v>45597</v>
      </c>
      <c r="M114">
        <v>2.9750000000000001</v>
      </c>
      <c r="N114" s="7">
        <v>45597</v>
      </c>
      <c r="O114">
        <v>2.9674999999999998</v>
      </c>
      <c r="P114" s="7">
        <v>45597</v>
      </c>
      <c r="Q114">
        <v>2.9649999999999999</v>
      </c>
      <c r="R114" s="7">
        <v>45597</v>
      </c>
      <c r="S114">
        <v>2.9725000000000001</v>
      </c>
      <c r="T114" s="7">
        <v>45597</v>
      </c>
      <c r="U114">
        <v>2.9975000000000001</v>
      </c>
      <c r="V114" s="7">
        <v>45597</v>
      </c>
      <c r="W114">
        <v>2.835</v>
      </c>
      <c r="X114" s="7">
        <v>45597</v>
      </c>
      <c r="Y114" s="6">
        <v>2.54</v>
      </c>
    </row>
    <row r="115" spans="1:25">
      <c r="A115"/>
      <c r="B115" s="7">
        <v>45596</v>
      </c>
      <c r="C115">
        <v>3.3</v>
      </c>
      <c r="D115" s="7">
        <v>45596</v>
      </c>
      <c r="E115">
        <v>3.1949999999999998</v>
      </c>
      <c r="F115" s="7">
        <v>45596</v>
      </c>
      <c r="G115">
        <v>3.12</v>
      </c>
      <c r="H115" s="7">
        <v>45596</v>
      </c>
      <c r="I115">
        <v>3.0375000000000001</v>
      </c>
      <c r="J115" s="7">
        <v>45596</v>
      </c>
      <c r="K115">
        <v>3.0024999999999999</v>
      </c>
      <c r="L115" s="7">
        <v>45596</v>
      </c>
      <c r="M115">
        <v>2.9725000000000001</v>
      </c>
      <c r="N115" s="7">
        <v>45596</v>
      </c>
      <c r="O115">
        <v>2.9649999999999999</v>
      </c>
      <c r="P115" s="7">
        <v>45596</v>
      </c>
      <c r="Q115">
        <v>2.9624999999999999</v>
      </c>
      <c r="R115" s="7">
        <v>45596</v>
      </c>
      <c r="S115">
        <v>2.9725000000000001</v>
      </c>
      <c r="T115" s="7">
        <v>45596</v>
      </c>
      <c r="U115">
        <v>2.9975000000000001</v>
      </c>
      <c r="V115" s="7">
        <v>45596</v>
      </c>
      <c r="W115">
        <v>2.835</v>
      </c>
      <c r="X115" s="7">
        <v>45596</v>
      </c>
      <c r="Y115" s="6">
        <v>2.54</v>
      </c>
    </row>
    <row r="116" spans="1:25">
      <c r="A116"/>
      <c r="B116" s="7">
        <v>45595</v>
      </c>
      <c r="C116">
        <v>3.3075000000000001</v>
      </c>
      <c r="D116" s="7">
        <v>45595</v>
      </c>
      <c r="E116">
        <v>3.1974999999999998</v>
      </c>
      <c r="F116" s="7">
        <v>45595</v>
      </c>
      <c r="G116">
        <v>3.12</v>
      </c>
      <c r="H116" s="7">
        <v>45595</v>
      </c>
      <c r="I116">
        <v>3.0375000000000001</v>
      </c>
      <c r="J116" s="7">
        <v>45595</v>
      </c>
      <c r="K116">
        <v>3.0049999999999999</v>
      </c>
      <c r="L116" s="7">
        <v>45595</v>
      </c>
      <c r="M116">
        <v>2.97</v>
      </c>
      <c r="N116" s="7">
        <v>45595</v>
      </c>
      <c r="O116">
        <v>2.9649999999999999</v>
      </c>
      <c r="P116" s="7">
        <v>45595</v>
      </c>
      <c r="Q116">
        <v>2.9649999999999999</v>
      </c>
      <c r="R116" s="7">
        <v>45595</v>
      </c>
      <c r="S116">
        <v>2.9750000000000001</v>
      </c>
      <c r="T116" s="7">
        <v>45595</v>
      </c>
      <c r="U116">
        <v>3.0024999999999999</v>
      </c>
      <c r="V116" s="7">
        <v>45595</v>
      </c>
      <c r="W116">
        <v>2.84</v>
      </c>
      <c r="X116" s="7">
        <v>45595</v>
      </c>
      <c r="Y116" s="6">
        <v>2.5449999999999999</v>
      </c>
    </row>
    <row r="117" spans="1:25">
      <c r="A117"/>
      <c r="B117" s="7">
        <v>45594</v>
      </c>
      <c r="C117">
        <v>3.2974999999999999</v>
      </c>
      <c r="D117" s="7">
        <v>45594</v>
      </c>
      <c r="E117">
        <v>3.19</v>
      </c>
      <c r="F117" s="7">
        <v>45594</v>
      </c>
      <c r="G117">
        <v>3.1150000000000002</v>
      </c>
      <c r="H117" s="7">
        <v>45594</v>
      </c>
      <c r="I117">
        <v>3.0350000000000001</v>
      </c>
      <c r="J117" s="7">
        <v>45594</v>
      </c>
      <c r="K117">
        <v>3.0074999999999998</v>
      </c>
      <c r="L117" s="7">
        <v>45594</v>
      </c>
      <c r="M117">
        <v>2.9725000000000001</v>
      </c>
      <c r="N117" s="7">
        <v>45594</v>
      </c>
      <c r="O117">
        <v>2.9674999999999998</v>
      </c>
      <c r="P117" s="7">
        <v>45594</v>
      </c>
      <c r="Q117">
        <v>2.9674999999999998</v>
      </c>
      <c r="R117" s="7">
        <v>45594</v>
      </c>
      <c r="S117">
        <v>2.9775</v>
      </c>
      <c r="T117" s="7">
        <v>45594</v>
      </c>
      <c r="U117">
        <v>3.0074999999999998</v>
      </c>
      <c r="V117" s="7">
        <v>45594</v>
      </c>
      <c r="W117">
        <v>2.8574999999999999</v>
      </c>
      <c r="X117" s="7">
        <v>45594</v>
      </c>
      <c r="Y117" s="6">
        <v>2.5625</v>
      </c>
    </row>
    <row r="118" spans="1:25">
      <c r="A118"/>
      <c r="B118" s="7">
        <v>45593</v>
      </c>
      <c r="C118">
        <v>3.2949999999999999</v>
      </c>
      <c r="D118" s="7">
        <v>45593</v>
      </c>
      <c r="E118">
        <v>3.1875</v>
      </c>
      <c r="F118" s="7">
        <v>45593</v>
      </c>
      <c r="G118">
        <v>3.1124999999999998</v>
      </c>
      <c r="H118" s="7">
        <v>45593</v>
      </c>
      <c r="I118">
        <v>3.03</v>
      </c>
      <c r="J118" s="7">
        <v>45593</v>
      </c>
      <c r="K118">
        <v>3</v>
      </c>
      <c r="L118" s="7">
        <v>45593</v>
      </c>
      <c r="M118">
        <v>2.9649999999999999</v>
      </c>
      <c r="N118" s="7">
        <v>45593</v>
      </c>
      <c r="O118">
        <v>2.96</v>
      </c>
      <c r="P118" s="7">
        <v>45593</v>
      </c>
      <c r="Q118">
        <v>2.96</v>
      </c>
      <c r="R118" s="7">
        <v>45593</v>
      </c>
      <c r="S118">
        <v>2.9725000000000001</v>
      </c>
      <c r="T118" s="7">
        <v>45593</v>
      </c>
      <c r="U118">
        <v>3.0024999999999999</v>
      </c>
      <c r="V118" s="7">
        <v>45593</v>
      </c>
      <c r="W118">
        <v>2.8675000000000002</v>
      </c>
      <c r="X118" s="7">
        <v>45593</v>
      </c>
      <c r="Y118" s="6">
        <v>2.5674999999999999</v>
      </c>
    </row>
    <row r="119" spans="1:25">
      <c r="A119"/>
      <c r="B119" s="7">
        <v>45590</v>
      </c>
      <c r="C119">
        <v>3.2725</v>
      </c>
      <c r="D119" s="7">
        <v>45590</v>
      </c>
      <c r="E119">
        <v>3.1549999999999998</v>
      </c>
      <c r="F119" s="7">
        <v>45590</v>
      </c>
      <c r="G119">
        <v>3.0775000000000001</v>
      </c>
      <c r="H119" s="7">
        <v>45590</v>
      </c>
      <c r="I119">
        <v>2.9874999999999998</v>
      </c>
      <c r="J119" s="7">
        <v>45590</v>
      </c>
      <c r="K119">
        <v>2.95</v>
      </c>
      <c r="L119" s="7">
        <v>45590</v>
      </c>
      <c r="M119">
        <v>2.9125000000000001</v>
      </c>
      <c r="N119" s="7">
        <v>45590</v>
      </c>
      <c r="O119">
        <v>2.9049999999999998</v>
      </c>
      <c r="P119" s="7">
        <v>45590</v>
      </c>
      <c r="Q119">
        <v>2.9024999999999999</v>
      </c>
      <c r="R119" s="7">
        <v>45590</v>
      </c>
      <c r="S119">
        <v>2.915</v>
      </c>
      <c r="T119" s="7">
        <v>45590</v>
      </c>
      <c r="U119">
        <v>2.9424999999999999</v>
      </c>
      <c r="V119" s="7">
        <v>45590</v>
      </c>
      <c r="W119">
        <v>2.8075000000000001</v>
      </c>
      <c r="X119" s="7">
        <v>45590</v>
      </c>
      <c r="Y119" s="6">
        <v>2.5074999999999998</v>
      </c>
    </row>
    <row r="120" spans="1:25">
      <c r="A120"/>
      <c r="B120" s="7">
        <v>45589</v>
      </c>
      <c r="C120">
        <v>3.27</v>
      </c>
      <c r="D120" s="7">
        <v>45589</v>
      </c>
      <c r="E120">
        <v>3.1549999999999998</v>
      </c>
      <c r="F120" s="7">
        <v>45589</v>
      </c>
      <c r="G120">
        <v>3.08</v>
      </c>
      <c r="H120" s="7">
        <v>45589</v>
      </c>
      <c r="I120">
        <v>2.9874999999999998</v>
      </c>
      <c r="J120" s="7">
        <v>45589</v>
      </c>
      <c r="K120">
        <v>2.9474999999999998</v>
      </c>
      <c r="L120" s="7">
        <v>45589</v>
      </c>
      <c r="M120">
        <v>2.91</v>
      </c>
      <c r="N120" s="7">
        <v>45589</v>
      </c>
      <c r="O120">
        <v>2.9049999999999998</v>
      </c>
      <c r="P120" s="7">
        <v>45589</v>
      </c>
      <c r="Q120">
        <v>2.9075000000000002</v>
      </c>
      <c r="R120" s="7">
        <v>45589</v>
      </c>
      <c r="S120">
        <v>2.9224999999999999</v>
      </c>
      <c r="T120" s="7">
        <v>45589</v>
      </c>
      <c r="U120">
        <v>2.9525000000000001</v>
      </c>
      <c r="V120" s="7">
        <v>45589</v>
      </c>
      <c r="W120">
        <v>2.8174999999999999</v>
      </c>
      <c r="X120" s="7">
        <v>45589</v>
      </c>
      <c r="Y120" s="6">
        <v>2.5175000000000001</v>
      </c>
    </row>
    <row r="121" spans="1:25">
      <c r="A121"/>
      <c r="B121" s="7">
        <v>45588</v>
      </c>
      <c r="C121">
        <v>3.2925</v>
      </c>
      <c r="D121" s="7">
        <v>45588</v>
      </c>
      <c r="E121">
        <v>3.1875</v>
      </c>
      <c r="F121" s="7">
        <v>45588</v>
      </c>
      <c r="G121">
        <v>3.1150000000000002</v>
      </c>
      <c r="H121" s="7">
        <v>45588</v>
      </c>
      <c r="I121">
        <v>3.0274999999999999</v>
      </c>
      <c r="J121" s="7">
        <v>45588</v>
      </c>
      <c r="K121">
        <v>2.9950000000000001</v>
      </c>
      <c r="L121" s="7">
        <v>45588</v>
      </c>
      <c r="M121">
        <v>2.9550000000000001</v>
      </c>
      <c r="N121" s="7">
        <v>45588</v>
      </c>
      <c r="O121">
        <v>2.9550000000000001</v>
      </c>
      <c r="P121" s="7">
        <v>45588</v>
      </c>
      <c r="Q121">
        <v>2.96</v>
      </c>
      <c r="R121" s="7">
        <v>45588</v>
      </c>
      <c r="S121">
        <v>2.9750000000000001</v>
      </c>
      <c r="T121" s="7">
        <v>45588</v>
      </c>
      <c r="U121">
        <v>3.0074999999999998</v>
      </c>
      <c r="V121" s="7">
        <v>45588</v>
      </c>
      <c r="W121">
        <v>2.8774999999999999</v>
      </c>
      <c r="X121" s="7">
        <v>45588</v>
      </c>
      <c r="Y121" s="6">
        <v>2.5775000000000001</v>
      </c>
    </row>
    <row r="122" spans="1:25">
      <c r="A122"/>
      <c r="B122" s="7">
        <v>45587</v>
      </c>
      <c r="C122">
        <v>3.3</v>
      </c>
      <c r="D122" s="7">
        <v>45587</v>
      </c>
      <c r="E122">
        <v>3.1949999999999998</v>
      </c>
      <c r="F122" s="7">
        <v>45587</v>
      </c>
      <c r="G122">
        <v>3.1150000000000002</v>
      </c>
      <c r="H122" s="7">
        <v>45587</v>
      </c>
      <c r="I122">
        <v>3.0274999999999999</v>
      </c>
      <c r="J122" s="7">
        <v>45587</v>
      </c>
      <c r="K122">
        <v>2.9950000000000001</v>
      </c>
      <c r="L122" s="7">
        <v>45587</v>
      </c>
      <c r="M122">
        <v>2.9550000000000001</v>
      </c>
      <c r="N122" s="7">
        <v>45587</v>
      </c>
      <c r="O122">
        <v>2.9550000000000001</v>
      </c>
      <c r="P122" s="7">
        <v>45587</v>
      </c>
      <c r="Q122">
        <v>2.96</v>
      </c>
      <c r="R122" s="7">
        <v>45587</v>
      </c>
      <c r="S122">
        <v>2.9775</v>
      </c>
      <c r="T122" s="7">
        <v>45587</v>
      </c>
      <c r="U122">
        <v>3.01</v>
      </c>
      <c r="V122" s="7">
        <v>45587</v>
      </c>
      <c r="W122">
        <v>2.88</v>
      </c>
      <c r="X122" s="7">
        <v>45587</v>
      </c>
      <c r="Y122" s="6">
        <v>2.58</v>
      </c>
    </row>
    <row r="123" spans="1:25">
      <c r="A123"/>
      <c r="B123" s="7">
        <v>45586</v>
      </c>
      <c r="C123">
        <v>3.2875000000000001</v>
      </c>
      <c r="D123" s="7">
        <v>45586</v>
      </c>
      <c r="E123">
        <v>3.1749999999999998</v>
      </c>
      <c r="F123" s="7">
        <v>45586</v>
      </c>
      <c r="G123">
        <v>3.09</v>
      </c>
      <c r="H123" s="7">
        <v>45586</v>
      </c>
      <c r="I123">
        <v>2.9925000000000002</v>
      </c>
      <c r="J123" s="7">
        <v>45586</v>
      </c>
      <c r="K123">
        <v>2.95</v>
      </c>
      <c r="L123" s="7">
        <v>45586</v>
      </c>
      <c r="M123">
        <v>2.9049999999999998</v>
      </c>
      <c r="N123" s="7">
        <v>45586</v>
      </c>
      <c r="O123">
        <v>2.9</v>
      </c>
      <c r="P123" s="7">
        <v>45586</v>
      </c>
      <c r="Q123">
        <v>2.8975</v>
      </c>
      <c r="R123" s="7">
        <v>45586</v>
      </c>
      <c r="S123">
        <v>2.9075000000000002</v>
      </c>
      <c r="T123" s="7">
        <v>45586</v>
      </c>
      <c r="U123">
        <v>2.9375</v>
      </c>
      <c r="V123" s="7">
        <v>45586</v>
      </c>
      <c r="W123">
        <v>2.8125</v>
      </c>
      <c r="X123" s="7">
        <v>45586</v>
      </c>
      <c r="Y123" s="6">
        <v>2.5125000000000002</v>
      </c>
    </row>
    <row r="124" spans="1:25">
      <c r="A124"/>
      <c r="B124" s="7">
        <v>45583</v>
      </c>
      <c r="C124">
        <v>3.3</v>
      </c>
      <c r="D124" s="7">
        <v>45583</v>
      </c>
      <c r="E124">
        <v>3.1875</v>
      </c>
      <c r="F124" s="7">
        <v>45583</v>
      </c>
      <c r="G124">
        <v>3.1025</v>
      </c>
      <c r="H124" s="7">
        <v>45583</v>
      </c>
      <c r="I124">
        <v>3.01</v>
      </c>
      <c r="J124" s="7">
        <v>45583</v>
      </c>
      <c r="K124">
        <v>2.9674999999999998</v>
      </c>
      <c r="L124" s="7">
        <v>45583</v>
      </c>
      <c r="M124">
        <v>2.9224999999999999</v>
      </c>
      <c r="N124" s="7">
        <v>45583</v>
      </c>
      <c r="O124">
        <v>2.92</v>
      </c>
      <c r="P124" s="7">
        <v>45583</v>
      </c>
      <c r="Q124">
        <v>2.9175</v>
      </c>
      <c r="R124" s="7">
        <v>45583</v>
      </c>
      <c r="S124">
        <v>2.9275000000000002</v>
      </c>
      <c r="T124" s="7">
        <v>45583</v>
      </c>
      <c r="U124">
        <v>2.9575</v>
      </c>
      <c r="V124" s="7">
        <v>45583</v>
      </c>
      <c r="W124">
        <v>2.8325</v>
      </c>
      <c r="X124" s="7">
        <v>45583</v>
      </c>
      <c r="Y124" s="6">
        <v>2.5325000000000002</v>
      </c>
    </row>
    <row r="125" spans="1:25">
      <c r="A125"/>
      <c r="B125" s="7">
        <v>45582</v>
      </c>
      <c r="C125">
        <v>3.3</v>
      </c>
      <c r="D125" s="7">
        <v>45582</v>
      </c>
      <c r="E125">
        <v>3.1875</v>
      </c>
      <c r="F125" s="7">
        <v>45582</v>
      </c>
      <c r="G125">
        <v>3.1</v>
      </c>
      <c r="H125" s="7">
        <v>45582</v>
      </c>
      <c r="I125">
        <v>2.9975000000000001</v>
      </c>
      <c r="J125" s="7">
        <v>45582</v>
      </c>
      <c r="K125">
        <v>2.9449999999999998</v>
      </c>
      <c r="L125" s="7">
        <v>45582</v>
      </c>
      <c r="M125">
        <v>2.895</v>
      </c>
      <c r="N125" s="7">
        <v>45582</v>
      </c>
      <c r="O125">
        <v>2.89</v>
      </c>
      <c r="P125" s="7">
        <v>45582</v>
      </c>
      <c r="Q125">
        <v>2.8849999999999998</v>
      </c>
      <c r="R125" s="7">
        <v>45582</v>
      </c>
      <c r="S125">
        <v>2.8925000000000001</v>
      </c>
      <c r="T125" s="7">
        <v>45582</v>
      </c>
      <c r="U125">
        <v>2.92</v>
      </c>
      <c r="V125" s="7">
        <v>45582</v>
      </c>
      <c r="W125">
        <v>2.8</v>
      </c>
      <c r="X125" s="7">
        <v>45582</v>
      </c>
      <c r="Y125" s="6">
        <v>2.5</v>
      </c>
    </row>
    <row r="126" spans="1:25">
      <c r="A126"/>
      <c r="B126" s="7">
        <v>45581</v>
      </c>
      <c r="C126">
        <v>3.2974999999999999</v>
      </c>
      <c r="D126" s="7">
        <v>45581</v>
      </c>
      <c r="E126">
        <v>3.1825000000000001</v>
      </c>
      <c r="F126" s="7">
        <v>45581</v>
      </c>
      <c r="G126">
        <v>3.0924999999999998</v>
      </c>
      <c r="H126" s="7">
        <v>45581</v>
      </c>
      <c r="I126">
        <v>2.9824999999999999</v>
      </c>
      <c r="J126" s="7">
        <v>45581</v>
      </c>
      <c r="K126">
        <v>2.9249999999999998</v>
      </c>
      <c r="L126" s="7">
        <v>45581</v>
      </c>
      <c r="M126">
        <v>2.875</v>
      </c>
      <c r="N126" s="7">
        <v>45581</v>
      </c>
      <c r="O126">
        <v>2.87</v>
      </c>
      <c r="P126" s="7">
        <v>45581</v>
      </c>
      <c r="Q126">
        <v>2.8624999999999998</v>
      </c>
      <c r="R126" s="7">
        <v>45581</v>
      </c>
      <c r="S126">
        <v>2.8675000000000002</v>
      </c>
      <c r="T126" s="7">
        <v>45581</v>
      </c>
      <c r="U126">
        <v>2.8925000000000001</v>
      </c>
      <c r="V126" s="7">
        <v>45581</v>
      </c>
      <c r="W126">
        <v>2.7725</v>
      </c>
      <c r="X126" s="7">
        <v>45581</v>
      </c>
      <c r="Y126" s="6">
        <v>2.4725000000000001</v>
      </c>
    </row>
    <row r="127" spans="1:25">
      <c r="A127"/>
      <c r="B127" s="7">
        <v>45580</v>
      </c>
      <c r="C127">
        <v>3.2974999999999999</v>
      </c>
      <c r="D127" s="7">
        <v>45580</v>
      </c>
      <c r="E127">
        <v>3.19</v>
      </c>
      <c r="F127" s="7">
        <v>45580</v>
      </c>
      <c r="G127">
        <v>3.1074999999999999</v>
      </c>
      <c r="H127" s="7">
        <v>45580</v>
      </c>
      <c r="I127">
        <v>3.0049999999999999</v>
      </c>
      <c r="J127" s="7">
        <v>45580</v>
      </c>
      <c r="K127">
        <v>2.9550000000000001</v>
      </c>
      <c r="L127" s="7">
        <v>45580</v>
      </c>
      <c r="M127">
        <v>2.92</v>
      </c>
      <c r="N127" s="7">
        <v>45580</v>
      </c>
      <c r="O127">
        <v>2.92</v>
      </c>
      <c r="P127" s="7">
        <v>45580</v>
      </c>
      <c r="Q127">
        <v>2.915</v>
      </c>
      <c r="R127" s="7">
        <v>45580</v>
      </c>
      <c r="S127">
        <v>2.9275000000000002</v>
      </c>
      <c r="T127" s="7">
        <v>45580</v>
      </c>
      <c r="U127">
        <v>2.9550000000000001</v>
      </c>
      <c r="V127" s="7">
        <v>45580</v>
      </c>
      <c r="W127">
        <v>2.8475000000000001</v>
      </c>
      <c r="X127" s="7">
        <v>45580</v>
      </c>
      <c r="Y127" s="6">
        <v>2.5474999999999999</v>
      </c>
    </row>
    <row r="128" spans="1:25">
      <c r="A128"/>
      <c r="B128" s="7">
        <v>45579</v>
      </c>
      <c r="C128">
        <v>3.3075000000000001</v>
      </c>
      <c r="D128" s="7">
        <v>45579</v>
      </c>
      <c r="E128">
        <v>3.2050000000000001</v>
      </c>
      <c r="F128" s="7">
        <v>45579</v>
      </c>
      <c r="G128">
        <v>3.1274999999999999</v>
      </c>
      <c r="H128" s="7">
        <v>45579</v>
      </c>
      <c r="I128">
        <v>3.03</v>
      </c>
      <c r="J128" s="7">
        <v>45579</v>
      </c>
      <c r="K128">
        <v>2.9849999999999999</v>
      </c>
      <c r="L128" s="7">
        <v>45579</v>
      </c>
      <c r="M128">
        <v>2.9525000000000001</v>
      </c>
      <c r="N128" s="7">
        <v>45579</v>
      </c>
      <c r="O128">
        <v>2.95</v>
      </c>
      <c r="P128" s="7">
        <v>45579</v>
      </c>
      <c r="Q128">
        <v>2.9449999999999998</v>
      </c>
      <c r="R128" s="7">
        <v>45579</v>
      </c>
      <c r="S128">
        <v>2.9575</v>
      </c>
      <c r="T128" s="7">
        <v>45579</v>
      </c>
      <c r="U128">
        <v>2.9849999999999999</v>
      </c>
      <c r="V128" s="7">
        <v>45579</v>
      </c>
      <c r="W128">
        <v>2.8774999999999999</v>
      </c>
      <c r="X128" s="7">
        <v>45579</v>
      </c>
      <c r="Y128" s="6">
        <v>2.6074999999999999</v>
      </c>
    </row>
    <row r="129" spans="1:25">
      <c r="A129"/>
      <c r="B129" s="7">
        <v>45576</v>
      </c>
      <c r="C129">
        <v>3.31</v>
      </c>
      <c r="D129" s="7">
        <v>45576</v>
      </c>
      <c r="E129">
        <v>3.2075</v>
      </c>
      <c r="F129" s="7">
        <v>45576</v>
      </c>
      <c r="G129">
        <v>3.1349999999999998</v>
      </c>
      <c r="H129" s="7">
        <v>45576</v>
      </c>
      <c r="I129">
        <v>3.0525000000000002</v>
      </c>
      <c r="J129" s="7">
        <v>45576</v>
      </c>
      <c r="K129">
        <v>3.0125000000000002</v>
      </c>
      <c r="L129" s="7">
        <v>45576</v>
      </c>
      <c r="M129">
        <v>2.9775</v>
      </c>
      <c r="N129" s="7">
        <v>45576</v>
      </c>
      <c r="O129">
        <v>2.9674999999999998</v>
      </c>
      <c r="P129" s="7">
        <v>45576</v>
      </c>
      <c r="Q129">
        <v>2.9624999999999999</v>
      </c>
      <c r="R129" s="7">
        <v>45576</v>
      </c>
      <c r="S129">
        <v>2.97</v>
      </c>
      <c r="T129" s="7">
        <v>45576</v>
      </c>
      <c r="U129">
        <v>2.99</v>
      </c>
      <c r="V129" s="7">
        <v>45576</v>
      </c>
      <c r="W129">
        <v>2.8875000000000002</v>
      </c>
      <c r="X129" s="7">
        <v>45576</v>
      </c>
      <c r="Y129" s="6">
        <v>2.6175000000000002</v>
      </c>
    </row>
    <row r="130" spans="1:25">
      <c r="A130"/>
      <c r="B130" s="7">
        <v>45575</v>
      </c>
      <c r="C130">
        <v>3.38</v>
      </c>
      <c r="D130" s="7">
        <v>45575</v>
      </c>
      <c r="E130">
        <v>3.28</v>
      </c>
      <c r="F130" s="7">
        <v>45575</v>
      </c>
      <c r="G130">
        <v>3.1949999999999998</v>
      </c>
      <c r="H130" s="7">
        <v>45575</v>
      </c>
      <c r="I130">
        <v>3.1</v>
      </c>
      <c r="J130" s="7">
        <v>45575</v>
      </c>
      <c r="K130">
        <v>3.0474999999999999</v>
      </c>
      <c r="L130" s="7">
        <v>45575</v>
      </c>
      <c r="M130">
        <v>2.9975000000000001</v>
      </c>
      <c r="N130" s="7">
        <v>45575</v>
      </c>
      <c r="O130">
        <v>2.9775</v>
      </c>
      <c r="P130" s="7">
        <v>45575</v>
      </c>
      <c r="Q130">
        <v>2.9624999999999999</v>
      </c>
      <c r="R130" s="7">
        <v>45575</v>
      </c>
      <c r="S130">
        <v>2.9674999999999998</v>
      </c>
      <c r="T130" s="7">
        <v>45575</v>
      </c>
      <c r="U130">
        <v>2.9849999999999999</v>
      </c>
      <c r="V130" s="7">
        <v>45575</v>
      </c>
      <c r="W130">
        <v>2.8849999999999998</v>
      </c>
      <c r="X130" s="7">
        <v>45575</v>
      </c>
      <c r="Y130" s="6">
        <v>2.6150000000000002</v>
      </c>
    </row>
    <row r="131" spans="1:25">
      <c r="A131"/>
      <c r="B131" s="7">
        <v>45573</v>
      </c>
      <c r="C131">
        <v>3.4075000000000002</v>
      </c>
      <c r="D131" s="7">
        <v>45573</v>
      </c>
      <c r="E131">
        <v>3.2925</v>
      </c>
      <c r="F131" s="7">
        <v>45573</v>
      </c>
      <c r="G131">
        <v>3.1974999999999998</v>
      </c>
      <c r="H131" s="7">
        <v>45573</v>
      </c>
      <c r="I131">
        <v>3.0775000000000001</v>
      </c>
      <c r="J131" s="7">
        <v>45573</v>
      </c>
      <c r="K131">
        <v>3.0150000000000001</v>
      </c>
      <c r="L131" s="7">
        <v>45573</v>
      </c>
      <c r="M131">
        <v>2.9575</v>
      </c>
      <c r="N131" s="7">
        <v>45573</v>
      </c>
      <c r="O131">
        <v>2.9474999999999998</v>
      </c>
      <c r="P131" s="7">
        <v>45573</v>
      </c>
      <c r="Q131">
        <v>2.9375</v>
      </c>
      <c r="R131" s="7">
        <v>45573</v>
      </c>
      <c r="S131">
        <v>2.9449999999999998</v>
      </c>
      <c r="T131" s="7">
        <v>45573</v>
      </c>
      <c r="U131">
        <v>2.9674999999999998</v>
      </c>
      <c r="V131" s="7">
        <v>45573</v>
      </c>
      <c r="W131">
        <v>2.8675000000000002</v>
      </c>
      <c r="X131" s="7">
        <v>45573</v>
      </c>
      <c r="Y131" s="6">
        <v>2.5975000000000001</v>
      </c>
    </row>
    <row r="132" spans="1:25">
      <c r="A132"/>
      <c r="B132" s="7">
        <v>45572</v>
      </c>
      <c r="C132">
        <v>3.4125000000000001</v>
      </c>
      <c r="D132" s="7">
        <v>45572</v>
      </c>
      <c r="E132">
        <v>3.28</v>
      </c>
      <c r="F132" s="7">
        <v>45572</v>
      </c>
      <c r="G132">
        <v>3.1825000000000001</v>
      </c>
      <c r="H132" s="7">
        <v>45572</v>
      </c>
      <c r="I132">
        <v>3.0775000000000001</v>
      </c>
      <c r="J132" s="7">
        <v>45572</v>
      </c>
      <c r="K132">
        <v>3.0274999999999999</v>
      </c>
      <c r="L132" s="7">
        <v>45572</v>
      </c>
      <c r="M132">
        <v>2.9674999999999998</v>
      </c>
      <c r="N132" s="7">
        <v>45572</v>
      </c>
      <c r="O132">
        <v>2.9449999999999998</v>
      </c>
      <c r="P132" s="7">
        <v>45572</v>
      </c>
      <c r="Q132">
        <v>2.9350000000000001</v>
      </c>
      <c r="R132" s="7">
        <v>45572</v>
      </c>
      <c r="S132">
        <v>2.9449999999999998</v>
      </c>
      <c r="T132" s="7">
        <v>45572</v>
      </c>
      <c r="U132">
        <v>2.97</v>
      </c>
      <c r="V132" s="7">
        <v>45572</v>
      </c>
      <c r="W132">
        <v>2.87</v>
      </c>
      <c r="X132" s="7">
        <v>45572</v>
      </c>
      <c r="Y132" s="6">
        <v>2.6</v>
      </c>
    </row>
    <row r="133" spans="1:25">
      <c r="A133"/>
      <c r="B133" s="7">
        <v>45569</v>
      </c>
      <c r="C133">
        <v>3.3849999999999998</v>
      </c>
      <c r="D133" s="7">
        <v>45569</v>
      </c>
      <c r="E133">
        <v>3.22</v>
      </c>
      <c r="F133" s="7">
        <v>45569</v>
      </c>
      <c r="G133">
        <v>3.0924999999999998</v>
      </c>
      <c r="H133" s="7">
        <v>45569</v>
      </c>
      <c r="I133">
        <v>2.9550000000000001</v>
      </c>
      <c r="J133" s="7">
        <v>45569</v>
      </c>
      <c r="K133">
        <v>2.88</v>
      </c>
      <c r="L133" s="7">
        <v>45569</v>
      </c>
      <c r="M133">
        <v>2.82</v>
      </c>
      <c r="N133" s="7">
        <v>45569</v>
      </c>
      <c r="O133">
        <v>2.8025000000000002</v>
      </c>
      <c r="P133" s="7">
        <v>45569</v>
      </c>
      <c r="Q133">
        <v>2.7974999999999999</v>
      </c>
      <c r="R133" s="7">
        <v>45569</v>
      </c>
      <c r="S133">
        <v>2.8149999999999999</v>
      </c>
      <c r="T133" s="7">
        <v>45569</v>
      </c>
      <c r="U133">
        <v>2.8475000000000001</v>
      </c>
      <c r="V133" s="7">
        <v>45569</v>
      </c>
      <c r="W133">
        <v>2.7774999999999999</v>
      </c>
      <c r="X133" s="7">
        <v>45569</v>
      </c>
      <c r="Y133" s="6">
        <v>2.5074999999999998</v>
      </c>
    </row>
    <row r="134" spans="1:25">
      <c r="A134"/>
      <c r="B134" s="7">
        <v>45567</v>
      </c>
      <c r="C134">
        <v>3.37</v>
      </c>
      <c r="D134" s="7">
        <v>45567</v>
      </c>
      <c r="E134">
        <v>3.1949999999999998</v>
      </c>
      <c r="F134" s="7">
        <v>45567</v>
      </c>
      <c r="G134">
        <v>3.0649999999999999</v>
      </c>
      <c r="H134" s="7">
        <v>45567</v>
      </c>
      <c r="I134">
        <v>2.915</v>
      </c>
      <c r="J134" s="7">
        <v>45567</v>
      </c>
      <c r="K134">
        <v>2.83</v>
      </c>
      <c r="L134" s="7">
        <v>45567</v>
      </c>
      <c r="M134">
        <v>2.7625000000000002</v>
      </c>
      <c r="N134" s="7">
        <v>45567</v>
      </c>
      <c r="O134">
        <v>2.74</v>
      </c>
      <c r="P134" s="7">
        <v>45567</v>
      </c>
      <c r="Q134">
        <v>2.7324999999999999</v>
      </c>
      <c r="R134" s="7">
        <v>45567</v>
      </c>
      <c r="S134">
        <v>2.7425000000000002</v>
      </c>
      <c r="T134" s="7">
        <v>45567</v>
      </c>
      <c r="U134">
        <v>2.7725</v>
      </c>
      <c r="V134" s="7">
        <v>45567</v>
      </c>
      <c r="W134">
        <v>2.6974999999999998</v>
      </c>
      <c r="X134" s="7">
        <v>45567</v>
      </c>
      <c r="Y134" s="6">
        <v>2.4275000000000002</v>
      </c>
    </row>
    <row r="135" spans="1:25">
      <c r="A135"/>
      <c r="B135" s="7">
        <v>45565</v>
      </c>
      <c r="C135">
        <v>3.3774999999999999</v>
      </c>
      <c r="D135" s="7">
        <v>45565</v>
      </c>
      <c r="E135">
        <v>3.2050000000000001</v>
      </c>
      <c r="F135" s="7">
        <v>45565</v>
      </c>
      <c r="G135">
        <v>3.0750000000000002</v>
      </c>
      <c r="H135" s="7">
        <v>45565</v>
      </c>
      <c r="I135">
        <v>2.93</v>
      </c>
      <c r="J135" s="7">
        <v>45565</v>
      </c>
      <c r="K135">
        <v>2.8475000000000001</v>
      </c>
      <c r="L135" s="7">
        <v>45565</v>
      </c>
      <c r="M135">
        <v>2.7850000000000001</v>
      </c>
      <c r="N135" s="7">
        <v>45565</v>
      </c>
      <c r="O135">
        <v>2.77</v>
      </c>
      <c r="P135" s="7">
        <v>45565</v>
      </c>
      <c r="Q135">
        <v>2.7725</v>
      </c>
      <c r="R135" s="7">
        <v>45565</v>
      </c>
      <c r="S135">
        <v>2.7850000000000001</v>
      </c>
      <c r="T135" s="7">
        <v>45565</v>
      </c>
      <c r="U135">
        <v>2.82</v>
      </c>
      <c r="V135" s="7">
        <v>45565</v>
      </c>
      <c r="W135">
        <v>2.74</v>
      </c>
      <c r="X135" s="7">
        <v>45565</v>
      </c>
      <c r="Y135" s="6">
        <v>2.4700000000000002</v>
      </c>
    </row>
    <row r="136" spans="1:25">
      <c r="A136"/>
      <c r="B136" s="7">
        <v>45562</v>
      </c>
      <c r="C136">
        <v>3.38</v>
      </c>
      <c r="D136" s="7">
        <v>45562</v>
      </c>
      <c r="E136">
        <v>3.21</v>
      </c>
      <c r="F136" s="7">
        <v>45562</v>
      </c>
      <c r="G136">
        <v>3.08</v>
      </c>
      <c r="H136" s="7">
        <v>45562</v>
      </c>
      <c r="I136">
        <v>2.9424999999999999</v>
      </c>
      <c r="J136" s="7">
        <v>45562</v>
      </c>
      <c r="K136">
        <v>2.86</v>
      </c>
      <c r="L136" s="7">
        <v>45562</v>
      </c>
      <c r="M136">
        <v>2.7974999999999999</v>
      </c>
      <c r="N136" s="7">
        <v>45562</v>
      </c>
      <c r="O136">
        <v>2.7850000000000001</v>
      </c>
      <c r="P136" s="7">
        <v>45562</v>
      </c>
      <c r="Q136">
        <v>2.7875000000000001</v>
      </c>
      <c r="R136" s="7">
        <v>45562</v>
      </c>
      <c r="S136">
        <v>2.7974999999999999</v>
      </c>
      <c r="T136" s="7">
        <v>45562</v>
      </c>
      <c r="U136">
        <v>2.8275000000000001</v>
      </c>
      <c r="V136" s="7">
        <v>45562</v>
      </c>
      <c r="W136">
        <v>2.7475000000000001</v>
      </c>
      <c r="X136" s="7">
        <v>45562</v>
      </c>
      <c r="Y136" s="6">
        <v>2.4775</v>
      </c>
    </row>
    <row r="137" spans="1:25">
      <c r="A137"/>
      <c r="B137" s="7">
        <v>45561</v>
      </c>
      <c r="C137">
        <v>3.375</v>
      </c>
      <c r="D137" s="7">
        <v>45561</v>
      </c>
      <c r="E137">
        <v>3.2050000000000001</v>
      </c>
      <c r="F137" s="7">
        <v>45561</v>
      </c>
      <c r="G137">
        <v>3.0649999999999999</v>
      </c>
      <c r="H137" s="7">
        <v>45561</v>
      </c>
      <c r="I137">
        <v>2.93</v>
      </c>
      <c r="J137" s="7">
        <v>45561</v>
      </c>
      <c r="K137">
        <v>2.8525</v>
      </c>
      <c r="L137" s="7">
        <v>45561</v>
      </c>
      <c r="M137">
        <v>2.7925</v>
      </c>
      <c r="N137" s="7">
        <v>45561</v>
      </c>
      <c r="O137">
        <v>2.7825000000000002</v>
      </c>
      <c r="P137" s="7">
        <v>45561</v>
      </c>
      <c r="Q137">
        <v>2.79</v>
      </c>
      <c r="R137" s="7">
        <v>45561</v>
      </c>
      <c r="S137">
        <v>2.7974999999999999</v>
      </c>
      <c r="T137" s="7">
        <v>45561</v>
      </c>
      <c r="U137">
        <v>2.8275000000000001</v>
      </c>
      <c r="V137" s="7">
        <v>45561</v>
      </c>
      <c r="W137">
        <v>2.7475000000000001</v>
      </c>
      <c r="X137" s="7">
        <v>45561</v>
      </c>
      <c r="Y137" s="6">
        <v>2.4775</v>
      </c>
    </row>
    <row r="138" spans="1:25">
      <c r="A138"/>
      <c r="B138" s="7">
        <v>45560</v>
      </c>
      <c r="C138">
        <v>3.3824999999999998</v>
      </c>
      <c r="D138" s="7">
        <v>45560</v>
      </c>
      <c r="E138">
        <v>3.22</v>
      </c>
      <c r="F138" s="7">
        <v>45560</v>
      </c>
      <c r="G138">
        <v>3.08</v>
      </c>
      <c r="H138" s="7">
        <v>45560</v>
      </c>
      <c r="I138">
        <v>2.94</v>
      </c>
      <c r="J138" s="7">
        <v>45560</v>
      </c>
      <c r="K138">
        <v>2.8624999999999998</v>
      </c>
      <c r="L138" s="7">
        <v>45560</v>
      </c>
      <c r="M138">
        <v>2.7974999999999999</v>
      </c>
      <c r="N138" s="7">
        <v>45560</v>
      </c>
      <c r="O138">
        <v>2.7825000000000002</v>
      </c>
      <c r="P138" s="7">
        <v>45560</v>
      </c>
      <c r="Q138">
        <v>2.7825000000000002</v>
      </c>
      <c r="R138" s="7">
        <v>45560</v>
      </c>
      <c r="S138">
        <v>2.79</v>
      </c>
      <c r="T138" s="7">
        <v>45560</v>
      </c>
      <c r="U138">
        <v>2.82</v>
      </c>
      <c r="V138" s="7">
        <v>45560</v>
      </c>
      <c r="W138">
        <v>2.7450000000000001</v>
      </c>
      <c r="X138" s="7">
        <v>45560</v>
      </c>
      <c r="Y138" s="6">
        <v>2.4750000000000001</v>
      </c>
    </row>
    <row r="139" spans="1:25">
      <c r="A139"/>
      <c r="B139" s="7">
        <v>45559</v>
      </c>
      <c r="C139">
        <v>3.3925000000000001</v>
      </c>
      <c r="D139" s="7">
        <v>45559</v>
      </c>
      <c r="E139">
        <v>3.2524999999999999</v>
      </c>
      <c r="F139" s="7">
        <v>45559</v>
      </c>
      <c r="G139">
        <v>3.12</v>
      </c>
      <c r="H139" s="7">
        <v>45559</v>
      </c>
      <c r="I139">
        <v>2.97</v>
      </c>
      <c r="J139" s="7">
        <v>45559</v>
      </c>
      <c r="K139">
        <v>2.8975</v>
      </c>
      <c r="L139" s="7">
        <v>45559</v>
      </c>
      <c r="M139">
        <v>2.83</v>
      </c>
      <c r="N139" s="7">
        <v>45559</v>
      </c>
      <c r="O139">
        <v>2.8149999999999999</v>
      </c>
      <c r="P139" s="7">
        <v>45559</v>
      </c>
      <c r="Q139">
        <v>2.8125</v>
      </c>
      <c r="R139" s="7">
        <v>45559</v>
      </c>
      <c r="S139">
        <v>2.82</v>
      </c>
      <c r="T139" s="7">
        <v>45559</v>
      </c>
      <c r="U139">
        <v>2.8475000000000001</v>
      </c>
      <c r="V139" s="7">
        <v>45559</v>
      </c>
      <c r="W139">
        <v>2.7625000000000002</v>
      </c>
      <c r="X139" s="7">
        <v>45559</v>
      </c>
      <c r="Y139" s="6">
        <v>2.4925000000000002</v>
      </c>
    </row>
    <row r="140" spans="1:25">
      <c r="A140"/>
      <c r="B140" s="7">
        <v>45558</v>
      </c>
      <c r="C140">
        <v>3.4</v>
      </c>
      <c r="D140" s="7">
        <v>45558</v>
      </c>
      <c r="E140">
        <v>3.2625000000000002</v>
      </c>
      <c r="F140" s="7">
        <v>45558</v>
      </c>
      <c r="G140">
        <v>3.13</v>
      </c>
      <c r="H140" s="7">
        <v>45558</v>
      </c>
      <c r="I140">
        <v>2.9775</v>
      </c>
      <c r="J140" s="7">
        <v>45558</v>
      </c>
      <c r="K140">
        <v>2.895</v>
      </c>
      <c r="L140" s="7">
        <v>45558</v>
      </c>
      <c r="M140">
        <v>2.8275000000000001</v>
      </c>
      <c r="N140" s="7">
        <v>45558</v>
      </c>
      <c r="O140">
        <v>2.8050000000000002</v>
      </c>
      <c r="P140" s="7">
        <v>45558</v>
      </c>
      <c r="Q140">
        <v>2.7974999999999999</v>
      </c>
      <c r="R140" s="7">
        <v>45558</v>
      </c>
      <c r="S140">
        <v>2.8050000000000002</v>
      </c>
      <c r="T140" s="7">
        <v>45558</v>
      </c>
      <c r="U140">
        <v>2.8325</v>
      </c>
      <c r="V140" s="7">
        <v>45558</v>
      </c>
      <c r="W140">
        <v>2.7425000000000002</v>
      </c>
      <c r="X140" s="7">
        <v>45558</v>
      </c>
      <c r="Y140" s="6">
        <v>2.4725000000000001</v>
      </c>
    </row>
    <row r="141" spans="1:25">
      <c r="A141"/>
      <c r="B141" s="7">
        <v>45555</v>
      </c>
      <c r="C141">
        <v>3.4049999999999998</v>
      </c>
      <c r="D141" s="7">
        <v>45555</v>
      </c>
      <c r="E141">
        <v>3.2675000000000001</v>
      </c>
      <c r="F141" s="7">
        <v>45555</v>
      </c>
      <c r="G141">
        <v>3.1324999999999998</v>
      </c>
      <c r="H141" s="7">
        <v>45555</v>
      </c>
      <c r="I141">
        <v>2.97</v>
      </c>
      <c r="J141" s="7">
        <v>45555</v>
      </c>
      <c r="K141">
        <v>2.8774999999999999</v>
      </c>
      <c r="L141" s="7">
        <v>45555</v>
      </c>
      <c r="M141">
        <v>2.8025000000000002</v>
      </c>
      <c r="N141" s="7">
        <v>45555</v>
      </c>
      <c r="O141">
        <v>2.78</v>
      </c>
      <c r="P141" s="7">
        <v>45555</v>
      </c>
      <c r="Q141">
        <v>2.77</v>
      </c>
      <c r="R141" s="7">
        <v>45555</v>
      </c>
      <c r="S141">
        <v>2.7774999999999999</v>
      </c>
      <c r="T141" s="7">
        <v>45555</v>
      </c>
      <c r="U141">
        <v>2.8050000000000002</v>
      </c>
      <c r="V141" s="7">
        <v>45555</v>
      </c>
      <c r="W141">
        <v>2.7149999999999999</v>
      </c>
      <c r="X141" s="7">
        <v>45555</v>
      </c>
      <c r="Y141" s="6">
        <v>2.4449999999999998</v>
      </c>
    </row>
    <row r="142" spans="1:25">
      <c r="A142"/>
      <c r="B142" s="7">
        <v>45554</v>
      </c>
      <c r="C142">
        <v>3.4075000000000002</v>
      </c>
      <c r="D142" s="7">
        <v>45554</v>
      </c>
      <c r="E142">
        <v>3.2774999999999999</v>
      </c>
      <c r="F142" s="7">
        <v>45554</v>
      </c>
      <c r="G142">
        <v>3.15</v>
      </c>
      <c r="H142" s="7">
        <v>45554</v>
      </c>
      <c r="I142">
        <v>2.99</v>
      </c>
      <c r="J142" s="7">
        <v>45554</v>
      </c>
      <c r="K142">
        <v>2.8849999999999998</v>
      </c>
      <c r="L142" s="7">
        <v>45554</v>
      </c>
      <c r="M142">
        <v>2.7949999999999999</v>
      </c>
      <c r="N142" s="7">
        <v>45554</v>
      </c>
      <c r="O142">
        <v>2.77</v>
      </c>
      <c r="P142" s="7">
        <v>45554</v>
      </c>
      <c r="Q142">
        <v>2.76</v>
      </c>
      <c r="R142" s="7">
        <v>45554</v>
      </c>
      <c r="S142">
        <v>2.76</v>
      </c>
      <c r="T142" s="7">
        <v>45554</v>
      </c>
      <c r="U142">
        <v>2.7850000000000001</v>
      </c>
      <c r="V142" s="7">
        <v>45554</v>
      </c>
      <c r="W142">
        <v>2.69</v>
      </c>
      <c r="X142" s="7">
        <v>45554</v>
      </c>
      <c r="Y142" s="6">
        <v>2.42</v>
      </c>
    </row>
    <row r="143" spans="1:25">
      <c r="A143"/>
      <c r="B143" s="7">
        <v>45548</v>
      </c>
      <c r="C143">
        <v>3.4049999999999998</v>
      </c>
      <c r="D143" s="7">
        <v>45548</v>
      </c>
      <c r="E143">
        <v>3.2774999999999999</v>
      </c>
      <c r="F143" s="7">
        <v>45548</v>
      </c>
      <c r="G143">
        <v>3.145</v>
      </c>
      <c r="H143" s="7">
        <v>45548</v>
      </c>
      <c r="I143">
        <v>2.9874999999999998</v>
      </c>
      <c r="J143" s="7">
        <v>45548</v>
      </c>
      <c r="K143">
        <v>2.8824999999999998</v>
      </c>
      <c r="L143" s="7">
        <v>45548</v>
      </c>
      <c r="M143">
        <v>2.79</v>
      </c>
      <c r="N143" s="7">
        <v>45548</v>
      </c>
      <c r="O143">
        <v>2.76</v>
      </c>
      <c r="P143" s="7">
        <v>45548</v>
      </c>
      <c r="Q143">
        <v>2.7425000000000002</v>
      </c>
      <c r="R143" s="7">
        <v>45548</v>
      </c>
      <c r="S143">
        <v>2.74</v>
      </c>
      <c r="T143" s="7">
        <v>45548</v>
      </c>
      <c r="U143">
        <v>2.7625000000000002</v>
      </c>
      <c r="V143" s="7">
        <v>45548</v>
      </c>
      <c r="W143">
        <v>2.6625000000000001</v>
      </c>
      <c r="X143" s="7">
        <v>45548</v>
      </c>
      <c r="Y143" s="6">
        <v>2.3925000000000001</v>
      </c>
    </row>
    <row r="144" spans="1:25">
      <c r="A144"/>
      <c r="B144" s="7">
        <v>45547</v>
      </c>
      <c r="C144">
        <v>3.4175</v>
      </c>
      <c r="D144" s="7">
        <v>45547</v>
      </c>
      <c r="E144">
        <v>3.2949999999999999</v>
      </c>
      <c r="F144" s="7">
        <v>45547</v>
      </c>
      <c r="G144">
        <v>3.1675</v>
      </c>
      <c r="H144" s="7">
        <v>45547</v>
      </c>
      <c r="I144">
        <v>3.02</v>
      </c>
      <c r="J144" s="7">
        <v>45547</v>
      </c>
      <c r="K144">
        <v>2.9275000000000002</v>
      </c>
      <c r="L144" s="7">
        <v>45547</v>
      </c>
      <c r="M144">
        <v>2.8374999999999999</v>
      </c>
      <c r="N144" s="7">
        <v>45547</v>
      </c>
      <c r="O144">
        <v>2.8025000000000002</v>
      </c>
      <c r="P144" s="7">
        <v>45547</v>
      </c>
      <c r="Q144">
        <v>2.7875000000000001</v>
      </c>
      <c r="R144" s="7">
        <v>45547</v>
      </c>
      <c r="S144">
        <v>2.7825000000000002</v>
      </c>
      <c r="T144" s="7">
        <v>45547</v>
      </c>
      <c r="U144">
        <v>2.8025000000000002</v>
      </c>
      <c r="V144" s="7">
        <v>45547</v>
      </c>
      <c r="W144">
        <v>2.6825000000000001</v>
      </c>
      <c r="X144" s="7">
        <v>45547</v>
      </c>
      <c r="Y144" s="6">
        <v>2.4125000000000001</v>
      </c>
    </row>
    <row r="145" spans="1:25">
      <c r="A145"/>
      <c r="B145" s="7">
        <v>45546</v>
      </c>
      <c r="C145">
        <v>3.3975</v>
      </c>
      <c r="D145" s="7">
        <v>45546</v>
      </c>
      <c r="E145">
        <v>3.27</v>
      </c>
      <c r="F145" s="7">
        <v>45546</v>
      </c>
      <c r="G145">
        <v>3.14</v>
      </c>
      <c r="H145" s="7">
        <v>45546</v>
      </c>
      <c r="I145">
        <v>2.9874999999999998</v>
      </c>
      <c r="J145" s="7">
        <v>45546</v>
      </c>
      <c r="K145">
        <v>2.8925000000000001</v>
      </c>
      <c r="L145" s="7">
        <v>45546</v>
      </c>
      <c r="M145">
        <v>2.8050000000000002</v>
      </c>
      <c r="N145" s="7">
        <v>45546</v>
      </c>
      <c r="O145">
        <v>2.7650000000000001</v>
      </c>
      <c r="P145" s="7">
        <v>45546</v>
      </c>
      <c r="Q145">
        <v>2.7475000000000001</v>
      </c>
      <c r="R145" s="7">
        <v>45546</v>
      </c>
      <c r="S145">
        <v>2.75</v>
      </c>
      <c r="T145" s="7">
        <v>45546</v>
      </c>
      <c r="U145">
        <v>2.7749999999999999</v>
      </c>
      <c r="V145" s="7">
        <v>45546</v>
      </c>
      <c r="W145">
        <v>2.71</v>
      </c>
      <c r="X145" s="7">
        <v>45546</v>
      </c>
      <c r="Y145" s="6">
        <v>2.4500000000000002</v>
      </c>
    </row>
    <row r="146" spans="1:25">
      <c r="A146"/>
      <c r="B146" s="7">
        <v>45545</v>
      </c>
      <c r="C146">
        <v>3.4</v>
      </c>
      <c r="D146" s="7">
        <v>45545</v>
      </c>
      <c r="E146">
        <v>3.2774999999999999</v>
      </c>
      <c r="F146" s="7">
        <v>45545</v>
      </c>
      <c r="G146">
        <v>3.1575000000000002</v>
      </c>
      <c r="H146" s="7">
        <v>45545</v>
      </c>
      <c r="I146">
        <v>3.0150000000000001</v>
      </c>
      <c r="J146" s="7">
        <v>45545</v>
      </c>
      <c r="K146">
        <v>2.93</v>
      </c>
      <c r="L146" s="7">
        <v>45545</v>
      </c>
      <c r="M146">
        <v>2.85</v>
      </c>
      <c r="N146" s="7">
        <v>45545</v>
      </c>
      <c r="O146">
        <v>2.8174999999999999</v>
      </c>
      <c r="P146" s="7">
        <v>45545</v>
      </c>
      <c r="Q146">
        <v>2.8050000000000002</v>
      </c>
      <c r="R146" s="7">
        <v>45545</v>
      </c>
      <c r="S146">
        <v>2.81</v>
      </c>
      <c r="T146" s="7">
        <v>45545</v>
      </c>
      <c r="U146">
        <v>2.8374999999999999</v>
      </c>
      <c r="V146" s="7">
        <v>45545</v>
      </c>
      <c r="W146">
        <v>2.7774999999999999</v>
      </c>
      <c r="X146" s="7">
        <v>45545</v>
      </c>
      <c r="Y146" s="6">
        <v>2.5175000000000001</v>
      </c>
    </row>
    <row r="147" spans="1:25">
      <c r="A147"/>
      <c r="B147" s="7">
        <v>45544</v>
      </c>
      <c r="C147">
        <v>3.4</v>
      </c>
      <c r="D147" s="7">
        <v>45544</v>
      </c>
      <c r="E147">
        <v>3.2774999999999999</v>
      </c>
      <c r="F147" s="7">
        <v>45544</v>
      </c>
      <c r="G147">
        <v>3.1575000000000002</v>
      </c>
      <c r="H147" s="7">
        <v>45544</v>
      </c>
      <c r="I147">
        <v>3.0274999999999999</v>
      </c>
      <c r="J147" s="7">
        <v>45544</v>
      </c>
      <c r="K147">
        <v>2.94</v>
      </c>
      <c r="L147" s="7">
        <v>45544</v>
      </c>
      <c r="M147">
        <v>2.8574999999999999</v>
      </c>
      <c r="N147" s="7">
        <v>45544</v>
      </c>
      <c r="O147">
        <v>2.8275000000000001</v>
      </c>
      <c r="P147" s="7">
        <v>45544</v>
      </c>
      <c r="Q147">
        <v>2.8174999999999999</v>
      </c>
      <c r="R147" s="7">
        <v>45544</v>
      </c>
      <c r="S147">
        <v>2.8224999999999998</v>
      </c>
      <c r="T147" s="7">
        <v>45544</v>
      </c>
      <c r="U147">
        <v>2.85</v>
      </c>
      <c r="V147" s="7">
        <v>45544</v>
      </c>
      <c r="W147">
        <v>2.79</v>
      </c>
      <c r="X147" s="7">
        <v>45544</v>
      </c>
      <c r="Y147" s="6">
        <v>2.5299999999999998</v>
      </c>
    </row>
    <row r="148" spans="1:25">
      <c r="A148"/>
      <c r="B148" s="7">
        <v>45541</v>
      </c>
      <c r="C148">
        <v>3.3925000000000001</v>
      </c>
      <c r="D148" s="7">
        <v>45541</v>
      </c>
      <c r="E148">
        <v>3.27</v>
      </c>
      <c r="F148" s="7">
        <v>45541</v>
      </c>
      <c r="G148">
        <v>3.1524999999999999</v>
      </c>
      <c r="H148" s="7">
        <v>45541</v>
      </c>
      <c r="I148">
        <v>3.02</v>
      </c>
      <c r="J148" s="7">
        <v>45541</v>
      </c>
      <c r="K148">
        <v>2.9249999999999998</v>
      </c>
      <c r="L148" s="7">
        <v>45541</v>
      </c>
      <c r="M148">
        <v>2.8374999999999999</v>
      </c>
      <c r="N148" s="7">
        <v>45541</v>
      </c>
      <c r="O148">
        <v>2.8025000000000002</v>
      </c>
      <c r="P148" s="7">
        <v>45541</v>
      </c>
      <c r="Q148">
        <v>2.7875000000000001</v>
      </c>
      <c r="R148" s="7">
        <v>45541</v>
      </c>
      <c r="S148">
        <v>2.7875000000000001</v>
      </c>
      <c r="T148" s="7">
        <v>45541</v>
      </c>
      <c r="U148">
        <v>2.81</v>
      </c>
      <c r="V148" s="7">
        <v>45541</v>
      </c>
      <c r="W148">
        <v>2.75</v>
      </c>
      <c r="X148" s="7">
        <v>45541</v>
      </c>
      <c r="Y148" s="6">
        <v>2.4900000000000002</v>
      </c>
    </row>
    <row r="149" spans="1:25">
      <c r="A149"/>
      <c r="B149" s="7">
        <v>45540</v>
      </c>
      <c r="C149">
        <v>3.395</v>
      </c>
      <c r="D149" s="7">
        <v>45540</v>
      </c>
      <c r="E149">
        <v>3.2875000000000001</v>
      </c>
      <c r="F149" s="7">
        <v>45540</v>
      </c>
      <c r="G149">
        <v>3.18</v>
      </c>
      <c r="H149" s="7">
        <v>45540</v>
      </c>
      <c r="I149">
        <v>3.0474999999999999</v>
      </c>
      <c r="J149" s="7">
        <v>45540</v>
      </c>
      <c r="K149">
        <v>2.9550000000000001</v>
      </c>
      <c r="L149" s="7">
        <v>45540</v>
      </c>
      <c r="M149">
        <v>2.87</v>
      </c>
      <c r="N149" s="7">
        <v>45540</v>
      </c>
      <c r="O149">
        <v>2.8374999999999999</v>
      </c>
      <c r="P149" s="7">
        <v>45540</v>
      </c>
      <c r="Q149">
        <v>2.8224999999999998</v>
      </c>
      <c r="R149" s="7">
        <v>45540</v>
      </c>
      <c r="S149">
        <v>2.8250000000000002</v>
      </c>
      <c r="T149" s="7">
        <v>45540</v>
      </c>
      <c r="U149">
        <v>2.8475000000000001</v>
      </c>
      <c r="V149" s="7">
        <v>45540</v>
      </c>
      <c r="W149">
        <v>2.7875000000000001</v>
      </c>
      <c r="X149" s="7">
        <v>45540</v>
      </c>
      <c r="Y149" s="6">
        <v>2.5274999999999999</v>
      </c>
    </row>
    <row r="150" spans="1:25">
      <c r="A150"/>
      <c r="B150" s="7">
        <v>45539</v>
      </c>
      <c r="C150">
        <v>3.4</v>
      </c>
      <c r="D150" s="7">
        <v>45539</v>
      </c>
      <c r="E150">
        <v>3.2949999999999999</v>
      </c>
      <c r="F150" s="7">
        <v>45539</v>
      </c>
      <c r="G150">
        <v>3.19</v>
      </c>
      <c r="H150" s="7">
        <v>45539</v>
      </c>
      <c r="I150">
        <v>3.0625</v>
      </c>
      <c r="J150" s="7">
        <v>45539</v>
      </c>
      <c r="K150">
        <v>2.9775</v>
      </c>
      <c r="L150" s="7">
        <v>45539</v>
      </c>
      <c r="M150">
        <v>2.89</v>
      </c>
      <c r="N150" s="7">
        <v>45539</v>
      </c>
      <c r="O150">
        <v>2.86</v>
      </c>
      <c r="P150" s="7">
        <v>45539</v>
      </c>
      <c r="Q150">
        <v>2.84</v>
      </c>
      <c r="R150" s="7">
        <v>45539</v>
      </c>
      <c r="S150">
        <v>2.8424999999999998</v>
      </c>
      <c r="T150" s="7">
        <v>45539</v>
      </c>
      <c r="U150">
        <v>2.8650000000000002</v>
      </c>
      <c r="V150" s="7">
        <v>45539</v>
      </c>
      <c r="W150">
        <v>2.8050000000000002</v>
      </c>
      <c r="X150" s="7">
        <v>45539</v>
      </c>
      <c r="Y150" s="6">
        <v>2.5449999999999999</v>
      </c>
    </row>
    <row r="151" spans="1:25">
      <c r="A151"/>
      <c r="B151" s="7">
        <v>45538</v>
      </c>
      <c r="C151">
        <v>3.4075000000000002</v>
      </c>
      <c r="D151" s="7">
        <v>45538</v>
      </c>
      <c r="E151">
        <v>3.3075000000000001</v>
      </c>
      <c r="F151" s="7">
        <v>45538</v>
      </c>
      <c r="G151">
        <v>3.2050000000000001</v>
      </c>
      <c r="H151" s="7">
        <v>45538</v>
      </c>
      <c r="I151">
        <v>3.09</v>
      </c>
      <c r="J151" s="7">
        <v>45538</v>
      </c>
      <c r="K151">
        <v>3.0150000000000001</v>
      </c>
      <c r="L151" s="7">
        <v>45538</v>
      </c>
      <c r="M151">
        <v>2.9449999999999998</v>
      </c>
      <c r="N151" s="7">
        <v>45538</v>
      </c>
      <c r="O151">
        <v>2.9175</v>
      </c>
      <c r="P151" s="7">
        <v>45538</v>
      </c>
      <c r="Q151">
        <v>2.9049999999999998</v>
      </c>
      <c r="R151" s="7">
        <v>45538</v>
      </c>
      <c r="S151">
        <v>2.9075000000000002</v>
      </c>
      <c r="T151" s="7">
        <v>45538</v>
      </c>
      <c r="U151">
        <v>2.9325000000000001</v>
      </c>
      <c r="V151" s="7">
        <v>45538</v>
      </c>
      <c r="W151">
        <v>2.8725000000000001</v>
      </c>
      <c r="X151" s="7">
        <v>45538</v>
      </c>
      <c r="Y151" s="6">
        <v>2.6124999999999998</v>
      </c>
    </row>
    <row r="152" spans="1:25">
      <c r="A152"/>
      <c r="B152" s="7">
        <v>45537</v>
      </c>
      <c r="C152">
        <v>3.41</v>
      </c>
      <c r="D152" s="7">
        <v>45537</v>
      </c>
      <c r="E152">
        <v>3.31</v>
      </c>
      <c r="F152" s="7">
        <v>45537</v>
      </c>
      <c r="G152">
        <v>3.2075</v>
      </c>
      <c r="H152" s="7">
        <v>45537</v>
      </c>
      <c r="I152">
        <v>3.1</v>
      </c>
      <c r="J152" s="7">
        <v>45537</v>
      </c>
      <c r="K152">
        <v>3.0325000000000002</v>
      </c>
      <c r="L152" s="7">
        <v>45537</v>
      </c>
      <c r="M152">
        <v>2.9575</v>
      </c>
      <c r="N152" s="7">
        <v>45537</v>
      </c>
      <c r="O152">
        <v>2.9275000000000002</v>
      </c>
      <c r="P152" s="7">
        <v>45537</v>
      </c>
      <c r="Q152">
        <v>2.92</v>
      </c>
      <c r="R152" s="7">
        <v>45537</v>
      </c>
      <c r="S152">
        <v>2.9249999999999998</v>
      </c>
      <c r="T152" s="7">
        <v>45537</v>
      </c>
      <c r="U152">
        <v>2.95</v>
      </c>
      <c r="V152" s="7">
        <v>45537</v>
      </c>
      <c r="W152">
        <v>2.89</v>
      </c>
      <c r="X152" s="7">
        <v>45537</v>
      </c>
      <c r="Y152" s="6">
        <v>2.63</v>
      </c>
    </row>
    <row r="153" spans="1:25">
      <c r="A153"/>
      <c r="B153" s="7">
        <v>45534</v>
      </c>
      <c r="C153">
        <v>3.4024999999999999</v>
      </c>
      <c r="D153" s="7">
        <v>45534</v>
      </c>
      <c r="E153">
        <v>3.3025000000000002</v>
      </c>
      <c r="F153" s="7">
        <v>45534</v>
      </c>
      <c r="G153">
        <v>3.1974999999999998</v>
      </c>
      <c r="H153" s="7">
        <v>45534</v>
      </c>
      <c r="I153">
        <v>3.0825</v>
      </c>
      <c r="J153" s="7">
        <v>45534</v>
      </c>
      <c r="K153">
        <v>3.0074999999999998</v>
      </c>
      <c r="L153" s="7">
        <v>45534</v>
      </c>
      <c r="M153">
        <v>2.93</v>
      </c>
      <c r="N153" s="7">
        <v>45534</v>
      </c>
      <c r="O153">
        <v>2.9</v>
      </c>
      <c r="P153" s="7">
        <v>45534</v>
      </c>
      <c r="Q153">
        <v>2.895</v>
      </c>
      <c r="R153" s="7">
        <v>45534</v>
      </c>
      <c r="S153">
        <v>2.9024999999999999</v>
      </c>
      <c r="T153" s="7">
        <v>45534</v>
      </c>
      <c r="U153">
        <v>2.93</v>
      </c>
      <c r="V153" s="7">
        <v>45534</v>
      </c>
      <c r="W153">
        <v>2.8675000000000002</v>
      </c>
      <c r="X153" s="7">
        <v>45534</v>
      </c>
      <c r="Y153" s="6">
        <v>2.6074999999999999</v>
      </c>
    </row>
    <row r="154" spans="1:25">
      <c r="A154"/>
      <c r="B154" s="7">
        <v>45533</v>
      </c>
      <c r="C154">
        <v>3.41</v>
      </c>
      <c r="D154" s="7">
        <v>45533</v>
      </c>
      <c r="E154">
        <v>3.3075000000000001</v>
      </c>
      <c r="F154" s="7">
        <v>45533</v>
      </c>
      <c r="G154">
        <v>3.2050000000000001</v>
      </c>
      <c r="H154" s="7">
        <v>45533</v>
      </c>
      <c r="I154">
        <v>3.0825</v>
      </c>
      <c r="J154" s="7">
        <v>45533</v>
      </c>
      <c r="K154">
        <v>3</v>
      </c>
      <c r="L154" s="7">
        <v>45533</v>
      </c>
      <c r="M154">
        <v>2.92</v>
      </c>
      <c r="N154" s="7">
        <v>45533</v>
      </c>
      <c r="O154">
        <v>2.8975</v>
      </c>
      <c r="P154" s="7">
        <v>45533</v>
      </c>
      <c r="Q154">
        <v>2.8925000000000001</v>
      </c>
      <c r="R154" s="7">
        <v>45533</v>
      </c>
      <c r="S154">
        <v>2.9</v>
      </c>
      <c r="T154" s="7">
        <v>45533</v>
      </c>
      <c r="U154">
        <v>2.9325000000000001</v>
      </c>
      <c r="V154" s="7">
        <v>45533</v>
      </c>
      <c r="W154">
        <v>2.8675000000000002</v>
      </c>
      <c r="X154" s="7">
        <v>45533</v>
      </c>
      <c r="Y154" s="6">
        <v>2.6074999999999999</v>
      </c>
    </row>
    <row r="155" spans="1:25">
      <c r="A155"/>
      <c r="B155" s="7">
        <v>45532</v>
      </c>
      <c r="C155">
        <v>3.4049999999999998</v>
      </c>
      <c r="D155" s="7">
        <v>45532</v>
      </c>
      <c r="E155">
        <v>3.2974999999999999</v>
      </c>
      <c r="F155" s="7">
        <v>45532</v>
      </c>
      <c r="G155">
        <v>3.19</v>
      </c>
      <c r="H155" s="7">
        <v>45532</v>
      </c>
      <c r="I155">
        <v>3.0649999999999999</v>
      </c>
      <c r="J155" s="7">
        <v>45532</v>
      </c>
      <c r="K155">
        <v>2.98</v>
      </c>
      <c r="L155" s="7">
        <v>45532</v>
      </c>
      <c r="M155">
        <v>2.9</v>
      </c>
      <c r="N155" s="7">
        <v>45532</v>
      </c>
      <c r="O155">
        <v>2.8824999999999998</v>
      </c>
      <c r="P155" s="7">
        <v>45532</v>
      </c>
      <c r="Q155">
        <v>2.88</v>
      </c>
      <c r="R155" s="7">
        <v>45532</v>
      </c>
      <c r="S155">
        <v>2.89</v>
      </c>
      <c r="T155" s="7">
        <v>45532</v>
      </c>
      <c r="U155">
        <v>2.9224999999999999</v>
      </c>
      <c r="V155" s="7">
        <v>45532</v>
      </c>
      <c r="W155">
        <v>2.8574999999999999</v>
      </c>
      <c r="X155" s="7">
        <v>45532</v>
      </c>
      <c r="Y155" s="6">
        <v>2.5975000000000001</v>
      </c>
    </row>
    <row r="156" spans="1:25">
      <c r="A156"/>
      <c r="B156" s="7">
        <v>45531</v>
      </c>
      <c r="C156">
        <v>3.42</v>
      </c>
      <c r="D156" s="7">
        <v>45531</v>
      </c>
      <c r="E156">
        <v>3.3149999999999999</v>
      </c>
      <c r="F156" s="7">
        <v>45531</v>
      </c>
      <c r="G156">
        <v>3.2124999999999999</v>
      </c>
      <c r="H156" s="7">
        <v>45531</v>
      </c>
      <c r="I156">
        <v>3.09</v>
      </c>
      <c r="J156" s="7">
        <v>45531</v>
      </c>
      <c r="K156">
        <v>3.01</v>
      </c>
      <c r="L156" s="7">
        <v>45531</v>
      </c>
      <c r="M156">
        <v>2.9350000000000001</v>
      </c>
      <c r="N156" s="7">
        <v>45531</v>
      </c>
      <c r="O156">
        <v>2.9175</v>
      </c>
      <c r="P156" s="7">
        <v>45531</v>
      </c>
      <c r="Q156">
        <v>2.915</v>
      </c>
      <c r="R156" s="7">
        <v>45531</v>
      </c>
      <c r="S156">
        <v>2.9249999999999998</v>
      </c>
      <c r="T156" s="7">
        <v>45531</v>
      </c>
      <c r="U156">
        <v>2.9575</v>
      </c>
      <c r="V156" s="7">
        <v>45531</v>
      </c>
      <c r="W156">
        <v>2.9024999999999999</v>
      </c>
      <c r="X156" s="7">
        <v>45531</v>
      </c>
      <c r="Y156" s="6">
        <v>2.6425000000000001</v>
      </c>
    </row>
    <row r="157" spans="1:25">
      <c r="A157"/>
      <c r="B157" s="7">
        <v>45530</v>
      </c>
      <c r="C157">
        <v>3.415</v>
      </c>
      <c r="D157" s="7">
        <v>45530</v>
      </c>
      <c r="E157">
        <v>3.3025000000000002</v>
      </c>
      <c r="F157" s="7">
        <v>45530</v>
      </c>
      <c r="G157">
        <v>3.1924999999999999</v>
      </c>
      <c r="H157" s="7">
        <v>45530</v>
      </c>
      <c r="I157">
        <v>3.0625</v>
      </c>
      <c r="J157" s="7">
        <v>45530</v>
      </c>
      <c r="K157">
        <v>2.9750000000000001</v>
      </c>
      <c r="L157" s="7">
        <v>45530</v>
      </c>
      <c r="M157">
        <v>2.8849999999999998</v>
      </c>
      <c r="N157" s="7">
        <v>45530</v>
      </c>
      <c r="O157">
        <v>2.8574999999999999</v>
      </c>
      <c r="P157" s="7">
        <v>45530</v>
      </c>
      <c r="Q157">
        <v>2.8475000000000001</v>
      </c>
      <c r="R157" s="7">
        <v>45530</v>
      </c>
      <c r="S157">
        <v>2.8525</v>
      </c>
      <c r="T157" s="7">
        <v>45530</v>
      </c>
      <c r="U157">
        <v>2.8774999999999999</v>
      </c>
      <c r="V157" s="7">
        <v>45530</v>
      </c>
      <c r="W157">
        <v>2.8325</v>
      </c>
      <c r="X157" s="7">
        <v>45530</v>
      </c>
      <c r="Y157" s="6">
        <v>2.5724999999999998</v>
      </c>
    </row>
    <row r="158" spans="1:25">
      <c r="A158"/>
      <c r="B158" s="7">
        <v>45527</v>
      </c>
      <c r="C158">
        <v>3.4224999999999999</v>
      </c>
      <c r="D158" s="7">
        <v>45527</v>
      </c>
      <c r="E158">
        <v>3.32</v>
      </c>
      <c r="F158" s="7">
        <v>45527</v>
      </c>
      <c r="G158">
        <v>3.21</v>
      </c>
      <c r="H158" s="7">
        <v>45527</v>
      </c>
      <c r="I158">
        <v>3.09</v>
      </c>
      <c r="J158" s="7">
        <v>45527</v>
      </c>
      <c r="K158">
        <v>3.01</v>
      </c>
      <c r="L158" s="7">
        <v>45527</v>
      </c>
      <c r="M158">
        <v>2.92</v>
      </c>
      <c r="N158" s="7">
        <v>45527</v>
      </c>
      <c r="O158">
        <v>2.8925000000000001</v>
      </c>
      <c r="P158" s="7">
        <v>45527</v>
      </c>
      <c r="Q158">
        <v>2.8824999999999998</v>
      </c>
      <c r="R158" s="7">
        <v>45527</v>
      </c>
      <c r="S158">
        <v>2.8875000000000002</v>
      </c>
      <c r="T158" s="7">
        <v>45527</v>
      </c>
      <c r="U158">
        <v>2.9125000000000001</v>
      </c>
      <c r="V158" s="7">
        <v>45527</v>
      </c>
      <c r="W158">
        <v>2.8725000000000001</v>
      </c>
      <c r="X158" s="7">
        <v>45527</v>
      </c>
      <c r="Y158" s="6">
        <v>2.6124999999999998</v>
      </c>
    </row>
    <row r="159" spans="1:25">
      <c r="A159"/>
      <c r="B159" s="7">
        <v>45526</v>
      </c>
      <c r="C159">
        <v>3.4075000000000002</v>
      </c>
      <c r="D159" s="7">
        <v>45526</v>
      </c>
      <c r="E159">
        <v>3.31</v>
      </c>
      <c r="F159" s="7">
        <v>45526</v>
      </c>
      <c r="G159">
        <v>3.2025000000000001</v>
      </c>
      <c r="H159" s="7">
        <v>45526</v>
      </c>
      <c r="I159">
        <v>3.0825</v>
      </c>
      <c r="J159" s="7">
        <v>45526</v>
      </c>
      <c r="K159">
        <v>3</v>
      </c>
      <c r="L159" s="7">
        <v>45526</v>
      </c>
      <c r="M159">
        <v>2.91</v>
      </c>
      <c r="N159" s="7">
        <v>45526</v>
      </c>
      <c r="O159">
        <v>2.88</v>
      </c>
      <c r="P159" s="7">
        <v>45526</v>
      </c>
      <c r="Q159">
        <v>2.87</v>
      </c>
      <c r="R159" s="7">
        <v>45526</v>
      </c>
      <c r="S159">
        <v>2.875</v>
      </c>
      <c r="T159" s="7">
        <v>45526</v>
      </c>
      <c r="U159">
        <v>2.8975</v>
      </c>
      <c r="V159" s="7">
        <v>45526</v>
      </c>
      <c r="W159">
        <v>2.8574999999999999</v>
      </c>
      <c r="X159" s="7">
        <v>45526</v>
      </c>
      <c r="Y159" s="6">
        <v>2.5975000000000001</v>
      </c>
    </row>
    <row r="160" spans="1:25">
      <c r="A160"/>
      <c r="B160" s="7">
        <v>45525</v>
      </c>
      <c r="C160">
        <v>3.4175</v>
      </c>
      <c r="D160" s="7">
        <v>45525</v>
      </c>
      <c r="E160">
        <v>3.3250000000000002</v>
      </c>
      <c r="F160" s="7">
        <v>45525</v>
      </c>
      <c r="G160">
        <v>3.2225000000000001</v>
      </c>
      <c r="H160" s="7">
        <v>45525</v>
      </c>
      <c r="I160">
        <v>3.11</v>
      </c>
      <c r="J160" s="7">
        <v>45525</v>
      </c>
      <c r="K160">
        <v>3.03</v>
      </c>
      <c r="L160" s="7">
        <v>45525</v>
      </c>
      <c r="M160">
        <v>2.94</v>
      </c>
      <c r="N160" s="7">
        <v>45525</v>
      </c>
      <c r="O160">
        <v>2.9049999999999998</v>
      </c>
      <c r="P160" s="7">
        <v>45525</v>
      </c>
      <c r="Q160">
        <v>2.89</v>
      </c>
      <c r="R160" s="7">
        <v>45525</v>
      </c>
      <c r="S160">
        <v>2.89</v>
      </c>
      <c r="T160" s="7">
        <v>45525</v>
      </c>
      <c r="U160">
        <v>2.9075000000000002</v>
      </c>
      <c r="V160" s="7">
        <v>45525</v>
      </c>
      <c r="W160">
        <v>2.8675000000000002</v>
      </c>
      <c r="X160" s="7">
        <v>45525</v>
      </c>
      <c r="Y160" s="6">
        <v>2.6074999999999999</v>
      </c>
    </row>
    <row r="161" spans="1:25">
      <c r="A161"/>
      <c r="B161" s="7">
        <v>45524</v>
      </c>
      <c r="C161">
        <v>3.4224999999999999</v>
      </c>
      <c r="D161" s="7">
        <v>45524</v>
      </c>
      <c r="E161">
        <v>3.3275000000000001</v>
      </c>
      <c r="F161" s="7">
        <v>45524</v>
      </c>
      <c r="G161">
        <v>3.2225000000000001</v>
      </c>
      <c r="H161" s="7">
        <v>45524</v>
      </c>
      <c r="I161">
        <v>3.1074999999999999</v>
      </c>
      <c r="J161" s="7">
        <v>45524</v>
      </c>
      <c r="K161">
        <v>3.0249999999999999</v>
      </c>
      <c r="L161" s="7">
        <v>45524</v>
      </c>
      <c r="M161">
        <v>2.93</v>
      </c>
      <c r="N161" s="7">
        <v>45524</v>
      </c>
      <c r="O161">
        <v>2.895</v>
      </c>
      <c r="P161" s="7">
        <v>45524</v>
      </c>
      <c r="Q161">
        <v>2.88</v>
      </c>
      <c r="R161" s="7">
        <v>45524</v>
      </c>
      <c r="S161">
        <v>2.88</v>
      </c>
      <c r="T161" s="7">
        <v>45524</v>
      </c>
      <c r="U161">
        <v>2.8975</v>
      </c>
      <c r="V161" s="7">
        <v>45524</v>
      </c>
      <c r="W161">
        <v>2.8574999999999999</v>
      </c>
      <c r="X161" s="7">
        <v>45524</v>
      </c>
      <c r="Y161" s="6">
        <v>2.5975000000000001</v>
      </c>
    </row>
    <row r="162" spans="1:25">
      <c r="A162"/>
      <c r="B162" s="7">
        <v>45523</v>
      </c>
      <c r="C162">
        <v>3.4125000000000001</v>
      </c>
      <c r="D162" s="7">
        <v>45523</v>
      </c>
      <c r="E162">
        <v>3.3125</v>
      </c>
      <c r="F162" s="7">
        <v>45523</v>
      </c>
      <c r="G162">
        <v>3.2075</v>
      </c>
      <c r="H162" s="7">
        <v>45523</v>
      </c>
      <c r="I162">
        <v>3.0874999999999999</v>
      </c>
      <c r="J162" s="7">
        <v>45523</v>
      </c>
      <c r="K162">
        <v>3</v>
      </c>
      <c r="L162" s="7">
        <v>45523</v>
      </c>
      <c r="M162">
        <v>2.9075000000000002</v>
      </c>
      <c r="N162" s="7">
        <v>45523</v>
      </c>
      <c r="O162">
        <v>2.8725000000000001</v>
      </c>
      <c r="P162" s="7">
        <v>45523</v>
      </c>
      <c r="Q162">
        <v>2.8574999999999999</v>
      </c>
      <c r="R162" s="7">
        <v>45523</v>
      </c>
      <c r="S162">
        <v>2.8574999999999999</v>
      </c>
      <c r="T162" s="7">
        <v>45523</v>
      </c>
      <c r="U162">
        <v>2.8774999999999999</v>
      </c>
      <c r="V162" s="7">
        <v>45523</v>
      </c>
      <c r="W162">
        <v>2.8374999999999999</v>
      </c>
      <c r="X162" s="7">
        <v>45523</v>
      </c>
      <c r="Y162" s="6">
        <v>2.5775000000000001</v>
      </c>
    </row>
    <row r="163" spans="1:25">
      <c r="A163"/>
      <c r="B163" s="7">
        <v>45520</v>
      </c>
      <c r="C163">
        <v>3.4125000000000001</v>
      </c>
      <c r="D163" s="7">
        <v>45520</v>
      </c>
      <c r="E163">
        <v>3.3075000000000001</v>
      </c>
      <c r="F163" s="7">
        <v>45520</v>
      </c>
      <c r="G163">
        <v>3.2025000000000001</v>
      </c>
      <c r="H163" s="7">
        <v>45520</v>
      </c>
      <c r="I163">
        <v>3.08</v>
      </c>
      <c r="J163" s="7">
        <v>45520</v>
      </c>
      <c r="K163">
        <v>2.9849999999999999</v>
      </c>
      <c r="L163" s="7">
        <v>45520</v>
      </c>
      <c r="M163">
        <v>2.8925000000000001</v>
      </c>
      <c r="N163" s="7">
        <v>45520</v>
      </c>
      <c r="O163">
        <v>2.8624999999999998</v>
      </c>
      <c r="P163" s="7">
        <v>45520</v>
      </c>
      <c r="Q163">
        <v>2.85</v>
      </c>
      <c r="R163" s="7">
        <v>45520</v>
      </c>
      <c r="S163">
        <v>2.85</v>
      </c>
      <c r="T163" s="7">
        <v>45520</v>
      </c>
      <c r="U163">
        <v>2.8725000000000001</v>
      </c>
      <c r="V163" s="7">
        <v>45520</v>
      </c>
      <c r="W163">
        <v>2.8325</v>
      </c>
      <c r="X163" s="7">
        <v>45520</v>
      </c>
      <c r="Y163" s="6">
        <v>2.5724999999999998</v>
      </c>
    </row>
    <row r="164" spans="1:25">
      <c r="A164"/>
      <c r="B164" s="7">
        <v>45518</v>
      </c>
      <c r="C164">
        <v>3.395</v>
      </c>
      <c r="D164" s="7">
        <v>45518</v>
      </c>
      <c r="E164">
        <v>3.2875000000000001</v>
      </c>
      <c r="F164" s="7">
        <v>45518</v>
      </c>
      <c r="G164">
        <v>3.1825000000000001</v>
      </c>
      <c r="H164" s="7">
        <v>45518</v>
      </c>
      <c r="I164">
        <v>3.0449999999999999</v>
      </c>
      <c r="J164" s="7">
        <v>45518</v>
      </c>
      <c r="K164">
        <v>2.9424999999999999</v>
      </c>
      <c r="L164" s="7">
        <v>45518</v>
      </c>
      <c r="M164">
        <v>2.8525</v>
      </c>
      <c r="N164" s="7">
        <v>45518</v>
      </c>
      <c r="O164">
        <v>2.8250000000000002</v>
      </c>
      <c r="P164" s="7">
        <v>45518</v>
      </c>
      <c r="Q164">
        <v>2.8149999999999999</v>
      </c>
      <c r="R164" s="7">
        <v>45518</v>
      </c>
      <c r="S164">
        <v>2.82</v>
      </c>
      <c r="T164" s="7">
        <v>45518</v>
      </c>
      <c r="U164">
        <v>2.8450000000000002</v>
      </c>
      <c r="V164" s="7">
        <v>45518</v>
      </c>
      <c r="W164">
        <v>2.8</v>
      </c>
      <c r="X164" s="7">
        <v>45518</v>
      </c>
      <c r="Y164" s="6">
        <v>2.54</v>
      </c>
    </row>
    <row r="165" spans="1:25">
      <c r="A165"/>
      <c r="B165" s="7">
        <v>45517</v>
      </c>
      <c r="C165">
        <v>3.3849999999999998</v>
      </c>
      <c r="D165" s="7">
        <v>45517</v>
      </c>
      <c r="E165">
        <v>3.2774999999999999</v>
      </c>
      <c r="F165" s="7">
        <v>45517</v>
      </c>
      <c r="G165">
        <v>3.1749999999999998</v>
      </c>
      <c r="H165" s="7">
        <v>45517</v>
      </c>
      <c r="I165">
        <v>3.05</v>
      </c>
      <c r="J165" s="7">
        <v>45517</v>
      </c>
      <c r="K165">
        <v>2.9624999999999999</v>
      </c>
      <c r="L165" s="7">
        <v>45517</v>
      </c>
      <c r="M165">
        <v>2.88</v>
      </c>
      <c r="N165" s="7">
        <v>45517</v>
      </c>
      <c r="O165">
        <v>2.8525</v>
      </c>
      <c r="P165" s="7">
        <v>45517</v>
      </c>
      <c r="Q165">
        <v>2.84</v>
      </c>
      <c r="R165" s="7">
        <v>45517</v>
      </c>
      <c r="S165">
        <v>2.8475000000000001</v>
      </c>
      <c r="T165" s="7">
        <v>45517</v>
      </c>
      <c r="U165">
        <v>2.875</v>
      </c>
      <c r="V165" s="7">
        <v>45517</v>
      </c>
      <c r="W165">
        <v>2.83</v>
      </c>
      <c r="X165" s="7">
        <v>45517</v>
      </c>
      <c r="Y165" s="6">
        <v>2.57</v>
      </c>
    </row>
    <row r="166" spans="1:25">
      <c r="A166"/>
      <c r="B166" s="7">
        <v>45516</v>
      </c>
      <c r="C166">
        <v>3.39</v>
      </c>
      <c r="D166" s="7">
        <v>45516</v>
      </c>
      <c r="E166">
        <v>3.2825000000000002</v>
      </c>
      <c r="F166" s="7">
        <v>45516</v>
      </c>
      <c r="G166">
        <v>3.1825000000000001</v>
      </c>
      <c r="H166" s="7">
        <v>45516</v>
      </c>
      <c r="I166">
        <v>3.0625</v>
      </c>
      <c r="J166" s="7">
        <v>45516</v>
      </c>
      <c r="K166">
        <v>2.9824999999999999</v>
      </c>
      <c r="L166" s="7">
        <v>45516</v>
      </c>
      <c r="M166">
        <v>2.9075000000000002</v>
      </c>
      <c r="N166" s="7">
        <v>45516</v>
      </c>
      <c r="O166">
        <v>2.8824999999999998</v>
      </c>
      <c r="P166" s="7">
        <v>45516</v>
      </c>
      <c r="Q166">
        <v>2.87</v>
      </c>
      <c r="R166" s="7">
        <v>45516</v>
      </c>
      <c r="S166">
        <v>2.8774999999999999</v>
      </c>
      <c r="T166" s="7">
        <v>45516</v>
      </c>
      <c r="U166">
        <v>2.9075000000000002</v>
      </c>
      <c r="V166" s="7">
        <v>45516</v>
      </c>
      <c r="W166">
        <v>2.8624999999999998</v>
      </c>
      <c r="X166" s="7">
        <v>45516</v>
      </c>
      <c r="Y166" s="6">
        <v>2.6025</v>
      </c>
    </row>
    <row r="167" spans="1:25">
      <c r="A167"/>
      <c r="B167" s="7">
        <v>45513</v>
      </c>
      <c r="C167">
        <v>3.38</v>
      </c>
      <c r="D167" s="7">
        <v>45513</v>
      </c>
      <c r="E167">
        <v>3.27</v>
      </c>
      <c r="F167" s="7">
        <v>45513</v>
      </c>
      <c r="G167">
        <v>3.165</v>
      </c>
      <c r="H167" s="7">
        <v>45513</v>
      </c>
      <c r="I167">
        <v>3.05</v>
      </c>
      <c r="J167" s="7">
        <v>45513</v>
      </c>
      <c r="K167">
        <v>2.9725000000000001</v>
      </c>
      <c r="L167" s="7">
        <v>45513</v>
      </c>
      <c r="M167">
        <v>2.91</v>
      </c>
      <c r="N167" s="7">
        <v>45513</v>
      </c>
      <c r="O167">
        <v>2.89</v>
      </c>
      <c r="P167" s="7">
        <v>45513</v>
      </c>
      <c r="Q167">
        <v>2.8824999999999998</v>
      </c>
      <c r="R167" s="7">
        <v>45513</v>
      </c>
      <c r="S167">
        <v>2.8925000000000001</v>
      </c>
      <c r="T167" s="7">
        <v>45513</v>
      </c>
      <c r="U167">
        <v>2.9224999999999999</v>
      </c>
      <c r="V167" s="7">
        <v>45513</v>
      </c>
      <c r="W167">
        <v>2.8774999999999999</v>
      </c>
      <c r="X167" s="7">
        <v>45513</v>
      </c>
      <c r="Y167" s="6">
        <v>2.6175000000000002</v>
      </c>
    </row>
    <row r="168" spans="1:25">
      <c r="A168"/>
      <c r="B168" s="7">
        <v>45512</v>
      </c>
      <c r="C168">
        <v>3.3650000000000002</v>
      </c>
      <c r="D168" s="7">
        <v>45512</v>
      </c>
      <c r="E168">
        <v>3.25</v>
      </c>
      <c r="F168" s="7">
        <v>45512</v>
      </c>
      <c r="G168">
        <v>3.14</v>
      </c>
      <c r="H168" s="7">
        <v>45512</v>
      </c>
      <c r="I168">
        <v>3.0274999999999999</v>
      </c>
      <c r="J168" s="7">
        <v>45512</v>
      </c>
      <c r="K168">
        <v>2.9550000000000001</v>
      </c>
      <c r="L168" s="7">
        <v>45512</v>
      </c>
      <c r="M168">
        <v>2.895</v>
      </c>
      <c r="N168" s="7">
        <v>45512</v>
      </c>
      <c r="O168">
        <v>2.88</v>
      </c>
      <c r="P168" s="7">
        <v>45512</v>
      </c>
      <c r="Q168">
        <v>2.87</v>
      </c>
      <c r="R168" s="7">
        <v>45512</v>
      </c>
      <c r="S168">
        <v>2.8824999999999998</v>
      </c>
      <c r="T168" s="7">
        <v>45512</v>
      </c>
      <c r="U168">
        <v>2.9125000000000001</v>
      </c>
      <c r="V168" s="7">
        <v>45512</v>
      </c>
      <c r="W168">
        <v>2.8675000000000002</v>
      </c>
      <c r="X168" s="7">
        <v>45512</v>
      </c>
      <c r="Y168" s="6">
        <v>2.6074999999999999</v>
      </c>
    </row>
    <row r="169" spans="1:25">
      <c r="A169"/>
      <c r="B169" s="7">
        <v>45511</v>
      </c>
      <c r="C169">
        <v>3.3650000000000002</v>
      </c>
      <c r="D169" s="7">
        <v>45511</v>
      </c>
      <c r="E169">
        <v>3.26</v>
      </c>
      <c r="F169" s="7">
        <v>45511</v>
      </c>
      <c r="G169">
        <v>3.1549999999999998</v>
      </c>
      <c r="H169" s="7">
        <v>45511</v>
      </c>
      <c r="I169">
        <v>3.05</v>
      </c>
      <c r="J169" s="7">
        <v>45511</v>
      </c>
      <c r="K169">
        <v>2.98</v>
      </c>
      <c r="L169" s="7">
        <v>45511</v>
      </c>
      <c r="M169">
        <v>2.9075000000000002</v>
      </c>
      <c r="N169" s="7">
        <v>45511</v>
      </c>
      <c r="O169">
        <v>2.8849999999999998</v>
      </c>
      <c r="P169" s="7">
        <v>45511</v>
      </c>
      <c r="Q169">
        <v>2.875</v>
      </c>
      <c r="R169" s="7">
        <v>45511</v>
      </c>
      <c r="S169">
        <v>2.8824999999999998</v>
      </c>
      <c r="T169" s="7">
        <v>45511</v>
      </c>
      <c r="U169">
        <v>2.91</v>
      </c>
      <c r="V169" s="7">
        <v>45511</v>
      </c>
      <c r="W169">
        <v>2.86</v>
      </c>
      <c r="X169" s="7">
        <v>45511</v>
      </c>
      <c r="Y169" s="6">
        <v>2.6</v>
      </c>
    </row>
    <row r="170" spans="1:25">
      <c r="A170"/>
      <c r="B170" s="7">
        <v>45510</v>
      </c>
      <c r="C170">
        <v>3.3675000000000002</v>
      </c>
      <c r="D170" s="7">
        <v>45510</v>
      </c>
      <c r="E170">
        <v>3.2675000000000001</v>
      </c>
      <c r="F170" s="7">
        <v>45510</v>
      </c>
      <c r="G170">
        <v>3.1675</v>
      </c>
      <c r="H170" s="7">
        <v>45510</v>
      </c>
      <c r="I170">
        <v>3.0625</v>
      </c>
      <c r="J170" s="7">
        <v>45510</v>
      </c>
      <c r="K170">
        <v>2.9925000000000002</v>
      </c>
      <c r="L170" s="7">
        <v>45510</v>
      </c>
      <c r="M170">
        <v>2.91</v>
      </c>
      <c r="N170" s="7">
        <v>45510</v>
      </c>
      <c r="O170">
        <v>2.8849999999999998</v>
      </c>
      <c r="P170" s="7">
        <v>45510</v>
      </c>
      <c r="Q170">
        <v>2.875</v>
      </c>
      <c r="R170" s="7">
        <v>45510</v>
      </c>
      <c r="S170">
        <v>2.8824999999999998</v>
      </c>
      <c r="T170" s="7">
        <v>45510</v>
      </c>
      <c r="U170">
        <v>2.91</v>
      </c>
      <c r="V170" s="7">
        <v>45510</v>
      </c>
      <c r="W170">
        <v>2.86</v>
      </c>
      <c r="X170" s="7">
        <v>45510</v>
      </c>
      <c r="Y170" s="6">
        <v>2.6</v>
      </c>
    </row>
    <row r="171" spans="1:25">
      <c r="A171"/>
      <c r="B171" s="7">
        <v>45509</v>
      </c>
      <c r="C171">
        <v>3.33</v>
      </c>
      <c r="D171" s="7">
        <v>45509</v>
      </c>
      <c r="E171">
        <v>3.21</v>
      </c>
      <c r="F171" s="7">
        <v>45509</v>
      </c>
      <c r="G171">
        <v>3.085</v>
      </c>
      <c r="H171" s="7">
        <v>45509</v>
      </c>
      <c r="I171">
        <v>2.9750000000000001</v>
      </c>
      <c r="J171" s="7">
        <v>45509</v>
      </c>
      <c r="K171">
        <v>2.8925000000000001</v>
      </c>
      <c r="L171" s="7">
        <v>45509</v>
      </c>
      <c r="M171">
        <v>2.8025000000000002</v>
      </c>
      <c r="N171" s="7">
        <v>45509</v>
      </c>
      <c r="O171">
        <v>2.7749999999999999</v>
      </c>
      <c r="P171" s="7">
        <v>45509</v>
      </c>
      <c r="Q171">
        <v>2.7625000000000002</v>
      </c>
      <c r="R171" s="7">
        <v>45509</v>
      </c>
      <c r="S171">
        <v>2.7725</v>
      </c>
      <c r="T171" s="7">
        <v>45509</v>
      </c>
      <c r="U171">
        <v>2.8025000000000002</v>
      </c>
      <c r="V171" s="7">
        <v>45509</v>
      </c>
      <c r="W171">
        <v>2.7524999999999999</v>
      </c>
      <c r="X171" s="7">
        <v>45509</v>
      </c>
      <c r="Y171" s="6">
        <v>2.4925000000000002</v>
      </c>
    </row>
    <row r="172" spans="1:25">
      <c r="A172"/>
      <c r="B172" s="7">
        <v>45506</v>
      </c>
      <c r="C172">
        <v>3.415</v>
      </c>
      <c r="D172" s="7">
        <v>45506</v>
      </c>
      <c r="E172">
        <v>3.32</v>
      </c>
      <c r="F172" s="7">
        <v>45506</v>
      </c>
      <c r="G172">
        <v>3.2225000000000001</v>
      </c>
      <c r="H172" s="7">
        <v>45506</v>
      </c>
      <c r="I172">
        <v>3.105</v>
      </c>
      <c r="J172" s="7">
        <v>45506</v>
      </c>
      <c r="K172">
        <v>3.0049999999999999</v>
      </c>
      <c r="L172" s="7">
        <v>45506</v>
      </c>
      <c r="M172">
        <v>2.91</v>
      </c>
      <c r="N172" s="7">
        <v>45506</v>
      </c>
      <c r="O172">
        <v>2.8725000000000001</v>
      </c>
      <c r="P172" s="7">
        <v>45506</v>
      </c>
      <c r="Q172">
        <v>2.8475000000000001</v>
      </c>
      <c r="R172" s="7">
        <v>45506</v>
      </c>
      <c r="S172">
        <v>2.8525</v>
      </c>
      <c r="T172" s="7">
        <v>45506</v>
      </c>
      <c r="U172">
        <v>2.8774999999999999</v>
      </c>
      <c r="V172" s="7">
        <v>45506</v>
      </c>
      <c r="W172">
        <v>2.8174999999999999</v>
      </c>
      <c r="X172" s="7">
        <v>45506</v>
      </c>
      <c r="Y172" s="6">
        <v>2.5575000000000001</v>
      </c>
    </row>
    <row r="173" spans="1:25">
      <c r="A173"/>
      <c r="B173" s="7">
        <v>45505</v>
      </c>
      <c r="C173">
        <v>3.4249999999999998</v>
      </c>
      <c r="D173" s="7">
        <v>45505</v>
      </c>
      <c r="E173">
        <v>3.3374999999999999</v>
      </c>
      <c r="F173" s="7">
        <v>45505</v>
      </c>
      <c r="G173">
        <v>3.2450000000000001</v>
      </c>
      <c r="H173" s="7">
        <v>45505</v>
      </c>
      <c r="I173">
        <v>3.1375000000000002</v>
      </c>
      <c r="J173" s="7">
        <v>45505</v>
      </c>
      <c r="K173">
        <v>3.0425</v>
      </c>
      <c r="L173" s="7">
        <v>45505</v>
      </c>
      <c r="M173">
        <v>2.9474999999999998</v>
      </c>
      <c r="N173" s="7">
        <v>45505</v>
      </c>
      <c r="O173">
        <v>2.91</v>
      </c>
      <c r="P173" s="7">
        <v>45505</v>
      </c>
      <c r="Q173">
        <v>2.89</v>
      </c>
      <c r="R173" s="7">
        <v>45505</v>
      </c>
      <c r="S173">
        <v>2.8925000000000001</v>
      </c>
      <c r="T173" s="7">
        <v>45505</v>
      </c>
      <c r="U173">
        <v>2.9175</v>
      </c>
      <c r="V173" s="7">
        <v>45505</v>
      </c>
      <c r="W173">
        <v>2.855</v>
      </c>
      <c r="X173" s="7">
        <v>45505</v>
      </c>
      <c r="Y173" s="6">
        <v>2.5950000000000002</v>
      </c>
    </row>
    <row r="174" spans="1:25">
      <c r="A174"/>
      <c r="B174" s="7">
        <v>45504</v>
      </c>
      <c r="C174">
        <v>3.4325000000000001</v>
      </c>
      <c r="D174" s="7">
        <v>45504</v>
      </c>
      <c r="E174">
        <v>3.3424999999999998</v>
      </c>
      <c r="F174" s="7">
        <v>45504</v>
      </c>
      <c r="G174">
        <v>3.2549999999999999</v>
      </c>
      <c r="H174" s="7">
        <v>45504</v>
      </c>
      <c r="I174">
        <v>3.1549999999999998</v>
      </c>
      <c r="J174" s="7">
        <v>45504</v>
      </c>
      <c r="K174">
        <v>3.07</v>
      </c>
      <c r="L174" s="7">
        <v>45504</v>
      </c>
      <c r="M174">
        <v>2.98</v>
      </c>
      <c r="N174" s="7">
        <v>45504</v>
      </c>
      <c r="O174">
        <v>2.95</v>
      </c>
      <c r="P174" s="7">
        <v>45504</v>
      </c>
      <c r="Q174">
        <v>2.9325000000000001</v>
      </c>
      <c r="R174" s="7">
        <v>45504</v>
      </c>
      <c r="S174">
        <v>2.9375</v>
      </c>
      <c r="T174" s="7">
        <v>45504</v>
      </c>
      <c r="U174">
        <v>2.9649999999999999</v>
      </c>
      <c r="V174" s="7">
        <v>45504</v>
      </c>
      <c r="W174">
        <v>2.9</v>
      </c>
      <c r="X174" s="7">
        <v>45504</v>
      </c>
      <c r="Y174" s="6">
        <v>2.64</v>
      </c>
    </row>
    <row r="175" spans="1:25">
      <c r="A175"/>
      <c r="B175" s="7">
        <v>45503</v>
      </c>
      <c r="C175">
        <v>3.42</v>
      </c>
      <c r="D175" s="7">
        <v>45503</v>
      </c>
      <c r="E175">
        <v>3.3250000000000002</v>
      </c>
      <c r="F175" s="7">
        <v>45503</v>
      </c>
      <c r="G175">
        <v>3.2374999999999998</v>
      </c>
      <c r="H175" s="7">
        <v>45503</v>
      </c>
      <c r="I175">
        <v>3.1375000000000002</v>
      </c>
      <c r="J175" s="7">
        <v>45503</v>
      </c>
      <c r="K175">
        <v>3.0550000000000002</v>
      </c>
      <c r="L175" s="7">
        <v>45503</v>
      </c>
      <c r="M175">
        <v>2.97</v>
      </c>
      <c r="N175" s="7">
        <v>45503</v>
      </c>
      <c r="O175">
        <v>2.9424999999999999</v>
      </c>
      <c r="P175" s="7">
        <v>45503</v>
      </c>
      <c r="Q175">
        <v>2.9249999999999998</v>
      </c>
      <c r="R175" s="7">
        <v>45503</v>
      </c>
      <c r="S175">
        <v>2.9325000000000001</v>
      </c>
      <c r="T175" s="7">
        <v>45503</v>
      </c>
      <c r="U175">
        <v>2.96</v>
      </c>
      <c r="V175" s="7">
        <v>45503</v>
      </c>
      <c r="W175">
        <v>2.895</v>
      </c>
      <c r="X175" s="7">
        <v>45503</v>
      </c>
      <c r="Y175" s="6">
        <v>2.6349999999999998</v>
      </c>
    </row>
    <row r="176" spans="1:25">
      <c r="A176"/>
      <c r="B176" s="7">
        <v>45502</v>
      </c>
      <c r="C176">
        <v>3.41</v>
      </c>
      <c r="D176" s="7">
        <v>45502</v>
      </c>
      <c r="E176">
        <v>3.31</v>
      </c>
      <c r="F176" s="7">
        <v>45502</v>
      </c>
      <c r="G176">
        <v>3.2225000000000001</v>
      </c>
      <c r="H176" s="7">
        <v>45502</v>
      </c>
      <c r="I176">
        <v>3.1175000000000002</v>
      </c>
      <c r="J176" s="7">
        <v>45502</v>
      </c>
      <c r="K176">
        <v>3.0325000000000002</v>
      </c>
      <c r="L176" s="7">
        <v>45502</v>
      </c>
      <c r="M176">
        <v>2.9474999999999998</v>
      </c>
      <c r="N176" s="7">
        <v>45502</v>
      </c>
      <c r="O176">
        <v>2.9249999999999998</v>
      </c>
      <c r="P176" s="7">
        <v>45502</v>
      </c>
      <c r="Q176">
        <v>2.9075000000000002</v>
      </c>
      <c r="R176" s="7">
        <v>45502</v>
      </c>
      <c r="S176">
        <v>2.9175</v>
      </c>
      <c r="T176" s="7">
        <v>45502</v>
      </c>
      <c r="U176">
        <v>2.9449999999999998</v>
      </c>
      <c r="V176" s="7">
        <v>45502</v>
      </c>
      <c r="W176">
        <v>2.87</v>
      </c>
      <c r="X176" s="7">
        <v>45502</v>
      </c>
      <c r="Y176" s="6">
        <v>2.6</v>
      </c>
    </row>
    <row r="177" spans="1:25">
      <c r="A177"/>
      <c r="B177" s="7">
        <v>45499</v>
      </c>
      <c r="C177">
        <v>3.43</v>
      </c>
      <c r="D177" s="7">
        <v>45499</v>
      </c>
      <c r="E177">
        <v>3.3374999999999999</v>
      </c>
      <c r="F177" s="7">
        <v>45499</v>
      </c>
      <c r="G177">
        <v>3.2549999999999999</v>
      </c>
      <c r="H177" s="7">
        <v>45499</v>
      </c>
      <c r="I177">
        <v>3.1524999999999999</v>
      </c>
      <c r="J177" s="7">
        <v>45499</v>
      </c>
      <c r="K177">
        <v>3.0724999999999998</v>
      </c>
      <c r="L177" s="7">
        <v>45499</v>
      </c>
      <c r="M177">
        <v>3</v>
      </c>
      <c r="N177" s="7">
        <v>45499</v>
      </c>
      <c r="O177">
        <v>2.9775</v>
      </c>
      <c r="P177" s="7">
        <v>45499</v>
      </c>
      <c r="Q177">
        <v>2.9624999999999999</v>
      </c>
      <c r="R177" s="7">
        <v>45499</v>
      </c>
      <c r="S177">
        <v>2.9725000000000001</v>
      </c>
      <c r="T177" s="7">
        <v>45499</v>
      </c>
      <c r="U177">
        <v>3</v>
      </c>
      <c r="V177" s="7">
        <v>45499</v>
      </c>
      <c r="W177">
        <v>2.92</v>
      </c>
      <c r="X177" s="7">
        <v>45499</v>
      </c>
      <c r="Y177" s="6">
        <v>2.64</v>
      </c>
    </row>
    <row r="178" spans="1:25">
      <c r="A178"/>
      <c r="B178" s="7">
        <v>45498</v>
      </c>
      <c r="C178">
        <v>3.4325000000000001</v>
      </c>
      <c r="D178" s="7">
        <v>45498</v>
      </c>
      <c r="E178">
        <v>3.34</v>
      </c>
      <c r="F178" s="7">
        <v>45498</v>
      </c>
      <c r="G178">
        <v>3.26</v>
      </c>
      <c r="H178" s="7">
        <v>45498</v>
      </c>
      <c r="I178">
        <v>3.1524999999999999</v>
      </c>
      <c r="J178" s="7">
        <v>45498</v>
      </c>
      <c r="K178">
        <v>3.07</v>
      </c>
      <c r="L178" s="7">
        <v>45498</v>
      </c>
      <c r="M178">
        <v>3</v>
      </c>
      <c r="N178" s="7">
        <v>45498</v>
      </c>
      <c r="O178">
        <v>2.9849999999999999</v>
      </c>
      <c r="P178" s="7">
        <v>45498</v>
      </c>
      <c r="Q178">
        <v>2.9775</v>
      </c>
      <c r="R178" s="7">
        <v>45498</v>
      </c>
      <c r="S178">
        <v>2.9925000000000002</v>
      </c>
      <c r="T178" s="7">
        <v>45498</v>
      </c>
      <c r="U178">
        <v>3.02</v>
      </c>
      <c r="V178" s="7">
        <v>45498</v>
      </c>
      <c r="W178">
        <v>2.9375</v>
      </c>
      <c r="X178" s="7">
        <v>45498</v>
      </c>
      <c r="Y178" s="6">
        <v>2.6575000000000002</v>
      </c>
    </row>
    <row r="179" spans="1:25">
      <c r="A179"/>
      <c r="B179" s="7">
        <v>45497</v>
      </c>
      <c r="C179">
        <v>3.45</v>
      </c>
      <c r="D179" s="7">
        <v>45497</v>
      </c>
      <c r="E179">
        <v>3.36</v>
      </c>
      <c r="F179" s="7">
        <v>45497</v>
      </c>
      <c r="G179">
        <v>3.2825000000000002</v>
      </c>
      <c r="H179" s="7">
        <v>45497</v>
      </c>
      <c r="I179">
        <v>3.1775000000000002</v>
      </c>
      <c r="J179" s="7">
        <v>45497</v>
      </c>
      <c r="K179">
        <v>3.0950000000000002</v>
      </c>
      <c r="L179" s="7">
        <v>45497</v>
      </c>
      <c r="M179">
        <v>3.03</v>
      </c>
      <c r="N179" s="7">
        <v>45497</v>
      </c>
      <c r="O179">
        <v>3.0024999999999999</v>
      </c>
      <c r="P179" s="7">
        <v>45497</v>
      </c>
      <c r="Q179">
        <v>2.9950000000000001</v>
      </c>
      <c r="R179" s="7">
        <v>45497</v>
      </c>
      <c r="S179">
        <v>3.0024999999999999</v>
      </c>
      <c r="T179" s="7">
        <v>45497</v>
      </c>
      <c r="U179">
        <v>3.03</v>
      </c>
      <c r="V179" s="7">
        <v>45497</v>
      </c>
      <c r="W179">
        <v>2.9424999999999999</v>
      </c>
      <c r="X179" s="7">
        <v>45497</v>
      </c>
      <c r="Y179" s="6">
        <v>2.6625000000000001</v>
      </c>
    </row>
    <row r="180" spans="1:25">
      <c r="A180"/>
      <c r="B180" s="7">
        <v>45496</v>
      </c>
      <c r="C180">
        <v>3.4550000000000001</v>
      </c>
      <c r="D180" s="7">
        <v>45496</v>
      </c>
      <c r="E180">
        <v>3.375</v>
      </c>
      <c r="F180" s="7">
        <v>45496</v>
      </c>
      <c r="G180">
        <v>3.3025000000000002</v>
      </c>
      <c r="H180" s="7">
        <v>45496</v>
      </c>
      <c r="I180">
        <v>3.2075</v>
      </c>
      <c r="J180" s="7">
        <v>45496</v>
      </c>
      <c r="K180">
        <v>3.1349999999999998</v>
      </c>
      <c r="L180" s="7">
        <v>45496</v>
      </c>
      <c r="M180">
        <v>3.0674999999999999</v>
      </c>
      <c r="N180" s="7">
        <v>45496</v>
      </c>
      <c r="O180">
        <v>3.0449999999999999</v>
      </c>
      <c r="P180" s="7">
        <v>45496</v>
      </c>
      <c r="Q180">
        <v>3.04</v>
      </c>
      <c r="R180" s="7">
        <v>45496</v>
      </c>
      <c r="S180">
        <v>3.05</v>
      </c>
      <c r="T180" s="7">
        <v>45496</v>
      </c>
      <c r="U180">
        <v>3.0750000000000002</v>
      </c>
      <c r="V180" s="7">
        <v>45496</v>
      </c>
      <c r="W180">
        <v>2.9649999999999999</v>
      </c>
      <c r="X180" s="7">
        <v>45496</v>
      </c>
      <c r="Y180" s="6">
        <v>2.6850000000000001</v>
      </c>
    </row>
    <row r="181" spans="1:25">
      <c r="A181"/>
      <c r="B181" s="7">
        <v>45495</v>
      </c>
      <c r="C181">
        <v>3.46</v>
      </c>
      <c r="D181" s="7">
        <v>45495</v>
      </c>
      <c r="E181">
        <v>3.3725000000000001</v>
      </c>
      <c r="F181" s="7">
        <v>45495</v>
      </c>
      <c r="G181">
        <v>3.2949999999999999</v>
      </c>
      <c r="H181" s="7">
        <v>45495</v>
      </c>
      <c r="I181">
        <v>3.1974999999999998</v>
      </c>
      <c r="J181" s="7">
        <v>45495</v>
      </c>
      <c r="K181">
        <v>3.1225000000000001</v>
      </c>
      <c r="L181" s="7">
        <v>45495</v>
      </c>
      <c r="M181">
        <v>3.05</v>
      </c>
      <c r="N181" s="7">
        <v>45495</v>
      </c>
      <c r="O181">
        <v>3.0249999999999999</v>
      </c>
      <c r="P181" s="7">
        <v>45495</v>
      </c>
      <c r="Q181">
        <v>3.0150000000000001</v>
      </c>
      <c r="R181" s="7">
        <v>45495</v>
      </c>
      <c r="S181">
        <v>3.0249999999999999</v>
      </c>
      <c r="T181" s="7">
        <v>45495</v>
      </c>
      <c r="U181">
        <v>3.05</v>
      </c>
      <c r="V181" s="7">
        <v>45495</v>
      </c>
      <c r="W181">
        <v>2.94</v>
      </c>
      <c r="X181" s="7">
        <v>45495</v>
      </c>
      <c r="Y181" s="6">
        <v>2.66</v>
      </c>
    </row>
    <row r="182" spans="1:25">
      <c r="A182"/>
      <c r="B182" s="7">
        <v>45492</v>
      </c>
      <c r="C182">
        <v>3.4624999999999999</v>
      </c>
      <c r="D182" s="7">
        <v>45492</v>
      </c>
      <c r="E182">
        <v>3.3774999999999999</v>
      </c>
      <c r="F182" s="7">
        <v>45492</v>
      </c>
      <c r="G182">
        <v>3.3025000000000002</v>
      </c>
      <c r="H182" s="7">
        <v>45492</v>
      </c>
      <c r="I182">
        <v>3.2025000000000001</v>
      </c>
      <c r="J182" s="7">
        <v>45492</v>
      </c>
      <c r="K182">
        <v>3.13</v>
      </c>
      <c r="L182" s="7">
        <v>45492</v>
      </c>
      <c r="M182">
        <v>3.0575000000000001</v>
      </c>
      <c r="N182" s="7">
        <v>45492</v>
      </c>
      <c r="O182">
        <v>3.03</v>
      </c>
      <c r="P182" s="7">
        <v>45492</v>
      </c>
      <c r="Q182">
        <v>3.02</v>
      </c>
      <c r="R182" s="7">
        <v>45492</v>
      </c>
      <c r="S182">
        <v>3.03</v>
      </c>
      <c r="T182" s="7">
        <v>45492</v>
      </c>
      <c r="U182">
        <v>3.0550000000000002</v>
      </c>
      <c r="V182" s="7">
        <v>45492</v>
      </c>
      <c r="W182">
        <v>2.95</v>
      </c>
      <c r="X182" s="7">
        <v>45492</v>
      </c>
      <c r="Y182" s="6">
        <v>2.67</v>
      </c>
    </row>
    <row r="183" spans="1:25">
      <c r="A183"/>
      <c r="B183" s="7">
        <v>45491</v>
      </c>
      <c r="C183">
        <v>3.4624999999999999</v>
      </c>
      <c r="D183" s="7">
        <v>45491</v>
      </c>
      <c r="E183">
        <v>3.3725000000000001</v>
      </c>
      <c r="F183" s="7">
        <v>45491</v>
      </c>
      <c r="G183">
        <v>3.2925</v>
      </c>
      <c r="H183" s="7">
        <v>45491</v>
      </c>
      <c r="I183">
        <v>3.19</v>
      </c>
      <c r="J183" s="7">
        <v>45491</v>
      </c>
      <c r="K183">
        <v>3.1150000000000002</v>
      </c>
      <c r="L183" s="7">
        <v>45491</v>
      </c>
      <c r="M183">
        <v>3.0425</v>
      </c>
      <c r="N183" s="7">
        <v>45491</v>
      </c>
      <c r="O183">
        <v>3.0150000000000001</v>
      </c>
      <c r="P183" s="7">
        <v>45491</v>
      </c>
      <c r="Q183">
        <v>3.0024999999999999</v>
      </c>
      <c r="R183" s="7">
        <v>45491</v>
      </c>
      <c r="S183">
        <v>3.01</v>
      </c>
      <c r="T183" s="7">
        <v>45491</v>
      </c>
      <c r="U183">
        <v>3.0325000000000002</v>
      </c>
      <c r="V183" s="7">
        <v>45491</v>
      </c>
      <c r="W183">
        <v>2.9275000000000002</v>
      </c>
      <c r="X183" s="7">
        <v>45491</v>
      </c>
      <c r="Y183" s="6">
        <v>2.6175000000000002</v>
      </c>
    </row>
    <row r="184" spans="1:25">
      <c r="A184"/>
      <c r="B184" s="7">
        <v>45490</v>
      </c>
      <c r="C184">
        <v>3.4750000000000001</v>
      </c>
      <c r="D184" s="7">
        <v>45490</v>
      </c>
      <c r="E184">
        <v>3.37</v>
      </c>
      <c r="F184" s="7">
        <v>45490</v>
      </c>
      <c r="G184">
        <v>3.29</v>
      </c>
      <c r="H184" s="7">
        <v>45490</v>
      </c>
      <c r="I184">
        <v>3.1850000000000001</v>
      </c>
      <c r="J184" s="7">
        <v>45490</v>
      </c>
      <c r="K184">
        <v>3.11</v>
      </c>
      <c r="L184" s="7">
        <v>45490</v>
      </c>
      <c r="M184">
        <v>3.0375000000000001</v>
      </c>
      <c r="N184" s="7">
        <v>45490</v>
      </c>
      <c r="O184">
        <v>3.0175000000000001</v>
      </c>
      <c r="P184" s="7">
        <v>45490</v>
      </c>
      <c r="Q184">
        <v>3.0049999999999999</v>
      </c>
      <c r="R184" s="7">
        <v>45490</v>
      </c>
      <c r="S184">
        <v>3.0150000000000001</v>
      </c>
      <c r="T184" s="7">
        <v>45490</v>
      </c>
      <c r="U184">
        <v>3.04</v>
      </c>
      <c r="V184" s="7">
        <v>45490</v>
      </c>
      <c r="W184">
        <v>2.9350000000000001</v>
      </c>
      <c r="X184" s="7">
        <v>45490</v>
      </c>
      <c r="Y184" s="6">
        <v>2.625</v>
      </c>
    </row>
    <row r="185" spans="1:25">
      <c r="A185"/>
      <c r="B185" s="7">
        <v>45489</v>
      </c>
      <c r="C185">
        <v>3.4575</v>
      </c>
      <c r="D185" s="7">
        <v>45489</v>
      </c>
      <c r="E185">
        <v>3.3525</v>
      </c>
      <c r="F185" s="7">
        <v>45489</v>
      </c>
      <c r="G185">
        <v>3.2725</v>
      </c>
      <c r="H185" s="7">
        <v>45489</v>
      </c>
      <c r="I185">
        <v>3.1675</v>
      </c>
      <c r="J185" s="7">
        <v>45489</v>
      </c>
      <c r="K185">
        <v>3.0874999999999999</v>
      </c>
      <c r="L185" s="7">
        <v>45489</v>
      </c>
      <c r="M185">
        <v>3.0175000000000001</v>
      </c>
      <c r="N185" s="7">
        <v>45489</v>
      </c>
      <c r="O185">
        <v>3.0074999999999998</v>
      </c>
      <c r="P185" s="7">
        <v>45489</v>
      </c>
      <c r="Q185">
        <v>3</v>
      </c>
      <c r="R185" s="7">
        <v>45489</v>
      </c>
      <c r="S185">
        <v>3.0125000000000002</v>
      </c>
      <c r="T185" s="7">
        <v>45489</v>
      </c>
      <c r="U185">
        <v>3.0425</v>
      </c>
      <c r="V185" s="7">
        <v>45489</v>
      </c>
      <c r="W185">
        <v>2.9325000000000001</v>
      </c>
      <c r="X185" s="7">
        <v>45489</v>
      </c>
      <c r="Y185" s="6">
        <v>2.6225000000000001</v>
      </c>
    </row>
    <row r="186" spans="1:25">
      <c r="A186"/>
      <c r="B186" s="7">
        <v>45488</v>
      </c>
      <c r="C186">
        <v>3.4649999999999999</v>
      </c>
      <c r="D186" s="7">
        <v>45488</v>
      </c>
      <c r="E186">
        <v>3.37</v>
      </c>
      <c r="F186" s="7">
        <v>45488</v>
      </c>
      <c r="G186">
        <v>3.3</v>
      </c>
      <c r="H186" s="7">
        <v>45488</v>
      </c>
      <c r="I186">
        <v>3.2050000000000001</v>
      </c>
      <c r="J186" s="7">
        <v>45488</v>
      </c>
      <c r="K186">
        <v>3.1324999999999998</v>
      </c>
      <c r="L186" s="7">
        <v>45488</v>
      </c>
      <c r="M186">
        <v>3.0625</v>
      </c>
      <c r="N186" s="7">
        <v>45488</v>
      </c>
      <c r="O186">
        <v>3.05</v>
      </c>
      <c r="P186" s="7">
        <v>45488</v>
      </c>
      <c r="Q186">
        <v>3.04</v>
      </c>
      <c r="R186" s="7">
        <v>45488</v>
      </c>
      <c r="S186">
        <v>3.05</v>
      </c>
      <c r="T186" s="7">
        <v>45488</v>
      </c>
      <c r="U186">
        <v>3.08</v>
      </c>
      <c r="V186" s="7">
        <v>45488</v>
      </c>
      <c r="W186">
        <v>2.97</v>
      </c>
      <c r="X186" s="7">
        <v>45488</v>
      </c>
      <c r="Y186" s="6">
        <v>2.66</v>
      </c>
    </row>
    <row r="187" spans="1:25">
      <c r="A187"/>
      <c r="B187" s="7">
        <v>45485</v>
      </c>
      <c r="C187">
        <v>3.4674999999999998</v>
      </c>
      <c r="D187" s="7">
        <v>45485</v>
      </c>
      <c r="E187">
        <v>3.38</v>
      </c>
      <c r="F187" s="7">
        <v>45485</v>
      </c>
      <c r="G187">
        <v>3.32</v>
      </c>
      <c r="H187" s="7">
        <v>45485</v>
      </c>
      <c r="I187">
        <v>3.2225000000000001</v>
      </c>
      <c r="J187" s="7">
        <v>45485</v>
      </c>
      <c r="K187">
        <v>3.15</v>
      </c>
      <c r="L187" s="7">
        <v>45485</v>
      </c>
      <c r="M187">
        <v>3.0775000000000001</v>
      </c>
      <c r="N187" s="7">
        <v>45485</v>
      </c>
      <c r="O187">
        <v>3.0575000000000001</v>
      </c>
      <c r="P187" s="7">
        <v>45485</v>
      </c>
      <c r="Q187">
        <v>3.0449999999999999</v>
      </c>
      <c r="R187" s="7">
        <v>45485</v>
      </c>
      <c r="S187">
        <v>3.0474999999999999</v>
      </c>
      <c r="T187" s="7">
        <v>45485</v>
      </c>
      <c r="U187">
        <v>3.07</v>
      </c>
      <c r="V187" s="7">
        <v>45485</v>
      </c>
      <c r="W187">
        <v>2.96</v>
      </c>
      <c r="X187" s="7">
        <v>45485</v>
      </c>
      <c r="Y187" s="6">
        <v>2.65</v>
      </c>
    </row>
    <row r="188" spans="1:25">
      <c r="A188"/>
      <c r="B188" s="7">
        <v>45484</v>
      </c>
      <c r="C188">
        <v>3.49</v>
      </c>
      <c r="D188" s="7">
        <v>45484</v>
      </c>
      <c r="E188">
        <v>3.42</v>
      </c>
      <c r="F188" s="7">
        <v>45484</v>
      </c>
      <c r="G188">
        <v>3.3725000000000001</v>
      </c>
      <c r="H188" s="7">
        <v>45484</v>
      </c>
      <c r="I188">
        <v>3.29</v>
      </c>
      <c r="J188" s="7">
        <v>45484</v>
      </c>
      <c r="K188">
        <v>3.2275</v>
      </c>
      <c r="L188" s="7">
        <v>45484</v>
      </c>
      <c r="M188">
        <v>3.1524999999999999</v>
      </c>
      <c r="N188" s="7">
        <v>45484</v>
      </c>
      <c r="O188">
        <v>3.1274999999999999</v>
      </c>
      <c r="P188" s="7">
        <v>45484</v>
      </c>
      <c r="Q188">
        <v>3.11</v>
      </c>
      <c r="R188" s="7">
        <v>45484</v>
      </c>
      <c r="S188">
        <v>3.11</v>
      </c>
      <c r="T188" s="7">
        <v>45484</v>
      </c>
      <c r="U188">
        <v>3.13</v>
      </c>
      <c r="V188" s="7">
        <v>45484</v>
      </c>
      <c r="W188">
        <v>3.01</v>
      </c>
      <c r="X188" s="7">
        <v>45484</v>
      </c>
      <c r="Y188" s="6">
        <v>2.67</v>
      </c>
    </row>
    <row r="189" spans="1:25">
      <c r="A189"/>
      <c r="B189" s="7">
        <v>45483</v>
      </c>
      <c r="C189">
        <v>3.5125000000000002</v>
      </c>
      <c r="D189" s="7">
        <v>45483</v>
      </c>
      <c r="E189">
        <v>3.42</v>
      </c>
      <c r="F189" s="7">
        <v>45483</v>
      </c>
      <c r="G189">
        <v>3.3574999999999999</v>
      </c>
      <c r="H189" s="7">
        <v>45483</v>
      </c>
      <c r="I189">
        <v>3.2574999999999998</v>
      </c>
      <c r="J189" s="7">
        <v>45483</v>
      </c>
      <c r="K189">
        <v>3.1850000000000001</v>
      </c>
      <c r="L189" s="7">
        <v>45483</v>
      </c>
      <c r="M189">
        <v>3.1124999999999998</v>
      </c>
      <c r="N189" s="7">
        <v>45483</v>
      </c>
      <c r="O189">
        <v>3.09</v>
      </c>
      <c r="P189" s="7">
        <v>45483</v>
      </c>
      <c r="Q189">
        <v>3.0750000000000002</v>
      </c>
      <c r="R189" s="7">
        <v>45483</v>
      </c>
      <c r="S189">
        <v>3.0775000000000001</v>
      </c>
      <c r="T189" s="7">
        <v>45483</v>
      </c>
      <c r="U189">
        <v>3.1</v>
      </c>
      <c r="V189" s="7">
        <v>45483</v>
      </c>
      <c r="W189">
        <v>2.98</v>
      </c>
      <c r="X189" s="7">
        <v>45483</v>
      </c>
      <c r="Y189" s="6">
        <v>2.64</v>
      </c>
    </row>
    <row r="190" spans="1:25">
      <c r="A190"/>
      <c r="B190" s="7">
        <v>45482</v>
      </c>
      <c r="C190">
        <v>3.5049999999999999</v>
      </c>
      <c r="D190" s="7">
        <v>45482</v>
      </c>
      <c r="E190">
        <v>3.415</v>
      </c>
      <c r="F190" s="7">
        <v>45482</v>
      </c>
      <c r="G190">
        <v>3.3525</v>
      </c>
      <c r="H190" s="7">
        <v>45482</v>
      </c>
      <c r="I190">
        <v>3.25</v>
      </c>
      <c r="J190" s="7">
        <v>45482</v>
      </c>
      <c r="K190">
        <v>3.18</v>
      </c>
      <c r="L190" s="7">
        <v>45482</v>
      </c>
      <c r="M190">
        <v>3.1175000000000002</v>
      </c>
      <c r="N190" s="7">
        <v>45482</v>
      </c>
      <c r="O190">
        <v>3.0950000000000002</v>
      </c>
      <c r="P190" s="7">
        <v>45482</v>
      </c>
      <c r="Q190">
        <v>3.0775000000000001</v>
      </c>
      <c r="R190" s="7">
        <v>45482</v>
      </c>
      <c r="S190">
        <v>3.0825</v>
      </c>
      <c r="T190" s="7">
        <v>45482</v>
      </c>
      <c r="U190">
        <v>3.105</v>
      </c>
      <c r="V190" s="7">
        <v>45482</v>
      </c>
      <c r="W190">
        <v>2.99</v>
      </c>
      <c r="X190" s="7">
        <v>45482</v>
      </c>
      <c r="Y190" s="6">
        <v>2.65</v>
      </c>
    </row>
    <row r="191" spans="1:25">
      <c r="A191"/>
      <c r="B191" s="7">
        <v>45481</v>
      </c>
      <c r="C191">
        <v>3.4925000000000002</v>
      </c>
      <c r="D191" s="7">
        <v>45481</v>
      </c>
      <c r="E191">
        <v>3.4024999999999999</v>
      </c>
      <c r="F191" s="7">
        <v>45481</v>
      </c>
      <c r="G191">
        <v>3.3374999999999999</v>
      </c>
      <c r="H191" s="7">
        <v>45481</v>
      </c>
      <c r="I191">
        <v>3.24</v>
      </c>
      <c r="J191" s="7">
        <v>45481</v>
      </c>
      <c r="K191">
        <v>3.1775000000000002</v>
      </c>
      <c r="L191" s="7">
        <v>45481</v>
      </c>
      <c r="M191">
        <v>3.1175000000000002</v>
      </c>
      <c r="N191" s="7">
        <v>45481</v>
      </c>
      <c r="O191">
        <v>3.0950000000000002</v>
      </c>
      <c r="P191" s="7">
        <v>45481</v>
      </c>
      <c r="Q191">
        <v>3.08</v>
      </c>
      <c r="R191" s="7">
        <v>45481</v>
      </c>
      <c r="S191">
        <v>3.085</v>
      </c>
      <c r="T191" s="7">
        <v>45481</v>
      </c>
      <c r="U191">
        <v>3.1074999999999999</v>
      </c>
      <c r="V191" s="7">
        <v>45481</v>
      </c>
      <c r="W191">
        <v>2.9925000000000002</v>
      </c>
      <c r="X191" s="7">
        <v>45481</v>
      </c>
      <c r="Y191" s="6">
        <v>2.6524999999999999</v>
      </c>
    </row>
    <row r="192" spans="1:25">
      <c r="A192"/>
      <c r="B192" s="7">
        <v>45478</v>
      </c>
      <c r="C192">
        <v>3.4849999999999999</v>
      </c>
      <c r="D192" s="7">
        <v>45478</v>
      </c>
      <c r="E192">
        <v>3.3975</v>
      </c>
      <c r="F192" s="7">
        <v>45478</v>
      </c>
      <c r="G192">
        <v>3.3325</v>
      </c>
      <c r="H192" s="7">
        <v>45478</v>
      </c>
      <c r="I192">
        <v>3.24</v>
      </c>
      <c r="J192" s="7">
        <v>45478</v>
      </c>
      <c r="K192">
        <v>3.18</v>
      </c>
      <c r="L192" s="7">
        <v>45478</v>
      </c>
      <c r="M192">
        <v>3.1225000000000001</v>
      </c>
      <c r="N192" s="7">
        <v>45478</v>
      </c>
      <c r="O192">
        <v>3.1025</v>
      </c>
      <c r="P192" s="7">
        <v>45478</v>
      </c>
      <c r="Q192">
        <v>3.0874999999999999</v>
      </c>
      <c r="R192" s="7">
        <v>45478</v>
      </c>
      <c r="S192">
        <v>3.0924999999999998</v>
      </c>
      <c r="T192" s="7">
        <v>45478</v>
      </c>
      <c r="U192">
        <v>3.1124999999999998</v>
      </c>
      <c r="V192" s="7">
        <v>45478</v>
      </c>
      <c r="W192">
        <v>2.9925000000000002</v>
      </c>
      <c r="X192" s="7">
        <v>45478</v>
      </c>
      <c r="Y192" s="6">
        <v>2.6524999999999999</v>
      </c>
    </row>
    <row r="193" spans="1:25">
      <c r="A193"/>
      <c r="B193" s="7">
        <v>45477</v>
      </c>
      <c r="C193">
        <v>3.48</v>
      </c>
      <c r="D193" s="7">
        <v>45477</v>
      </c>
      <c r="E193">
        <v>3.395</v>
      </c>
      <c r="F193" s="7">
        <v>45477</v>
      </c>
      <c r="G193">
        <v>3.33</v>
      </c>
      <c r="H193" s="7">
        <v>45477</v>
      </c>
      <c r="I193">
        <v>3.2425000000000002</v>
      </c>
      <c r="J193" s="7">
        <v>45477</v>
      </c>
      <c r="K193">
        <v>3.1875</v>
      </c>
      <c r="L193" s="7">
        <v>45477</v>
      </c>
      <c r="M193">
        <v>3.13</v>
      </c>
      <c r="N193" s="7">
        <v>45477</v>
      </c>
      <c r="O193">
        <v>3.1124999999999998</v>
      </c>
      <c r="P193" s="7">
        <v>45477</v>
      </c>
      <c r="Q193">
        <v>3.1</v>
      </c>
      <c r="R193" s="7">
        <v>45477</v>
      </c>
      <c r="S193">
        <v>3.105</v>
      </c>
      <c r="T193" s="7">
        <v>45477</v>
      </c>
      <c r="U193">
        <v>3.125</v>
      </c>
      <c r="V193" s="7">
        <v>45477</v>
      </c>
      <c r="W193">
        <v>3.0049999999999999</v>
      </c>
      <c r="X193" s="7">
        <v>45477</v>
      </c>
      <c r="Y193" s="6">
        <v>2.665</v>
      </c>
    </row>
    <row r="194" spans="1:25">
      <c r="A194"/>
      <c r="B194" s="7">
        <v>45476</v>
      </c>
      <c r="C194">
        <v>3.49</v>
      </c>
      <c r="D194" s="7">
        <v>45476</v>
      </c>
      <c r="E194">
        <v>3.415</v>
      </c>
      <c r="F194" s="7">
        <v>45476</v>
      </c>
      <c r="G194">
        <v>3.3525</v>
      </c>
      <c r="H194" s="7">
        <v>45476</v>
      </c>
      <c r="I194">
        <v>3.2725</v>
      </c>
      <c r="J194" s="7">
        <v>45476</v>
      </c>
      <c r="K194">
        <v>3.22</v>
      </c>
      <c r="L194" s="7">
        <v>45476</v>
      </c>
      <c r="M194">
        <v>3.1625000000000001</v>
      </c>
      <c r="N194" s="7">
        <v>45476</v>
      </c>
      <c r="O194">
        <v>3.145</v>
      </c>
      <c r="P194" s="7">
        <v>45476</v>
      </c>
      <c r="Q194">
        <v>3.1349999999999998</v>
      </c>
      <c r="R194" s="7">
        <v>45476</v>
      </c>
      <c r="S194">
        <v>3.1375000000000002</v>
      </c>
      <c r="T194" s="7">
        <v>45476</v>
      </c>
      <c r="U194">
        <v>3.1575000000000002</v>
      </c>
      <c r="V194" s="7">
        <v>45476</v>
      </c>
      <c r="W194">
        <v>3.0375000000000001</v>
      </c>
      <c r="X194" s="7">
        <v>45476</v>
      </c>
      <c r="Y194" s="6">
        <v>2.6974999999999998</v>
      </c>
    </row>
    <row r="195" spans="1:25">
      <c r="A195"/>
      <c r="B195" s="7">
        <v>45475</v>
      </c>
      <c r="C195">
        <v>3.5</v>
      </c>
      <c r="D195" s="7">
        <v>45475</v>
      </c>
      <c r="E195">
        <v>3.4325000000000001</v>
      </c>
      <c r="F195" s="7">
        <v>45475</v>
      </c>
      <c r="G195">
        <v>3.37</v>
      </c>
      <c r="H195" s="7">
        <v>45475</v>
      </c>
      <c r="I195">
        <v>3.2850000000000001</v>
      </c>
      <c r="J195" s="7">
        <v>45475</v>
      </c>
      <c r="K195">
        <v>3.2275</v>
      </c>
      <c r="L195" s="7">
        <v>45475</v>
      </c>
      <c r="M195">
        <v>3.17</v>
      </c>
      <c r="N195" s="7">
        <v>45475</v>
      </c>
      <c r="O195">
        <v>3.1524999999999999</v>
      </c>
      <c r="P195" s="7">
        <v>45475</v>
      </c>
      <c r="Q195">
        <v>3.1475</v>
      </c>
      <c r="R195" s="7">
        <v>45475</v>
      </c>
      <c r="S195">
        <v>3.15</v>
      </c>
      <c r="T195" s="7">
        <v>45475</v>
      </c>
      <c r="U195">
        <v>3.1724999999999999</v>
      </c>
      <c r="V195" s="7">
        <v>45475</v>
      </c>
      <c r="W195">
        <v>3.0525000000000002</v>
      </c>
      <c r="X195" s="7">
        <v>45475</v>
      </c>
      <c r="Y195" s="6">
        <v>2.7124999999999999</v>
      </c>
    </row>
    <row r="196" spans="1:25">
      <c r="A196"/>
      <c r="B196" s="7">
        <v>45474</v>
      </c>
      <c r="C196">
        <v>3.5274999999999999</v>
      </c>
      <c r="D196" s="7">
        <v>45474</v>
      </c>
      <c r="E196">
        <v>3.47</v>
      </c>
      <c r="F196" s="7">
        <v>45474</v>
      </c>
      <c r="G196">
        <v>3.42</v>
      </c>
      <c r="H196" s="7">
        <v>45474</v>
      </c>
      <c r="I196">
        <v>3.34</v>
      </c>
      <c r="J196" s="7">
        <v>45474</v>
      </c>
      <c r="K196">
        <v>3.2850000000000001</v>
      </c>
      <c r="L196" s="7">
        <v>45474</v>
      </c>
      <c r="M196">
        <v>3.2250000000000001</v>
      </c>
      <c r="N196" s="7">
        <v>45474</v>
      </c>
      <c r="O196">
        <v>3.2</v>
      </c>
      <c r="P196" s="7">
        <v>45474</v>
      </c>
      <c r="Q196">
        <v>3.1850000000000001</v>
      </c>
      <c r="R196" s="7">
        <v>45474</v>
      </c>
      <c r="S196">
        <v>3.18</v>
      </c>
      <c r="T196" s="7">
        <v>45474</v>
      </c>
      <c r="U196">
        <v>3.1949999999999998</v>
      </c>
      <c r="V196" s="7">
        <v>45474</v>
      </c>
      <c r="W196">
        <v>3.0750000000000002</v>
      </c>
      <c r="X196" s="7">
        <v>45474</v>
      </c>
      <c r="Y196" s="6">
        <v>2.7349999999999999</v>
      </c>
    </row>
    <row r="197" spans="1:25">
      <c r="A197"/>
      <c r="B197" s="7">
        <v>45471</v>
      </c>
      <c r="C197">
        <v>3.5225</v>
      </c>
      <c r="D197" s="7">
        <v>45471</v>
      </c>
      <c r="E197">
        <v>3.4575</v>
      </c>
      <c r="F197" s="7">
        <v>45471</v>
      </c>
      <c r="G197">
        <v>3.4075000000000002</v>
      </c>
      <c r="H197" s="7">
        <v>45471</v>
      </c>
      <c r="I197">
        <v>3.32</v>
      </c>
      <c r="J197" s="7">
        <v>45471</v>
      </c>
      <c r="K197">
        <v>3.2574999999999998</v>
      </c>
      <c r="L197" s="7">
        <v>45471</v>
      </c>
      <c r="M197">
        <v>3.19</v>
      </c>
      <c r="N197" s="7">
        <v>45471</v>
      </c>
      <c r="O197">
        <v>3.1625000000000001</v>
      </c>
      <c r="P197" s="7">
        <v>45471</v>
      </c>
      <c r="Q197">
        <v>3.145</v>
      </c>
      <c r="R197" s="7">
        <v>45471</v>
      </c>
      <c r="S197">
        <v>3.1375000000000002</v>
      </c>
      <c r="T197" s="7">
        <v>45471</v>
      </c>
      <c r="U197">
        <v>3.15</v>
      </c>
      <c r="V197" s="7">
        <v>45471</v>
      </c>
      <c r="W197">
        <v>3.03</v>
      </c>
      <c r="X197" s="7">
        <v>45471</v>
      </c>
      <c r="Y197" s="6">
        <v>2.69</v>
      </c>
    </row>
    <row r="198" spans="1:25">
      <c r="A198"/>
      <c r="B198" s="7">
        <v>45470</v>
      </c>
      <c r="C198">
        <v>3.54</v>
      </c>
      <c r="D198" s="7">
        <v>45470</v>
      </c>
      <c r="E198">
        <v>3.4824999999999999</v>
      </c>
      <c r="F198" s="7">
        <v>45470</v>
      </c>
      <c r="G198">
        <v>3.43</v>
      </c>
      <c r="H198" s="7">
        <v>45470</v>
      </c>
      <c r="I198">
        <v>3.35</v>
      </c>
      <c r="J198" s="7">
        <v>45470</v>
      </c>
      <c r="K198">
        <v>3.2875000000000001</v>
      </c>
      <c r="L198" s="7">
        <v>45470</v>
      </c>
      <c r="M198">
        <v>3.22</v>
      </c>
      <c r="N198" s="7">
        <v>45470</v>
      </c>
      <c r="O198">
        <v>3.1924999999999999</v>
      </c>
      <c r="P198" s="7">
        <v>45470</v>
      </c>
      <c r="Q198">
        <v>3.1775000000000002</v>
      </c>
      <c r="R198" s="7">
        <v>45470</v>
      </c>
      <c r="S198">
        <v>3.17</v>
      </c>
      <c r="T198" s="7">
        <v>45470</v>
      </c>
      <c r="U198">
        <v>3.1825000000000001</v>
      </c>
      <c r="V198" s="7">
        <v>45470</v>
      </c>
      <c r="W198">
        <v>3.0625</v>
      </c>
      <c r="X198" s="7">
        <v>45470</v>
      </c>
      <c r="Y198" s="6">
        <v>2.7225000000000001</v>
      </c>
    </row>
    <row r="199" spans="1:25">
      <c r="A199"/>
      <c r="B199" s="7">
        <v>45469</v>
      </c>
      <c r="C199">
        <v>3.5425</v>
      </c>
      <c r="D199" s="7">
        <v>45469</v>
      </c>
      <c r="E199">
        <v>3.4775</v>
      </c>
      <c r="F199" s="7">
        <v>45469</v>
      </c>
      <c r="G199">
        <v>3.415</v>
      </c>
      <c r="H199" s="7">
        <v>45469</v>
      </c>
      <c r="I199">
        <v>3.335</v>
      </c>
      <c r="J199" s="7">
        <v>45469</v>
      </c>
      <c r="K199">
        <v>3.27</v>
      </c>
      <c r="L199" s="7">
        <v>45469</v>
      </c>
      <c r="M199">
        <v>3.2025000000000001</v>
      </c>
      <c r="N199" s="7">
        <v>45469</v>
      </c>
      <c r="O199">
        <v>3.1749999999999998</v>
      </c>
      <c r="P199" s="7">
        <v>45469</v>
      </c>
      <c r="Q199">
        <v>3.1575000000000002</v>
      </c>
      <c r="R199" s="7">
        <v>45469</v>
      </c>
      <c r="S199">
        <v>3.15</v>
      </c>
      <c r="T199" s="7">
        <v>45469</v>
      </c>
      <c r="U199">
        <v>3.16</v>
      </c>
      <c r="V199" s="7">
        <v>45469</v>
      </c>
      <c r="W199">
        <v>3.04</v>
      </c>
      <c r="X199" s="7">
        <v>45469</v>
      </c>
      <c r="Y199" s="6">
        <v>2.7</v>
      </c>
    </row>
    <row r="200" spans="1:25">
      <c r="A200"/>
      <c r="B200" s="7">
        <v>45468</v>
      </c>
      <c r="C200">
        <v>3.5350000000000001</v>
      </c>
      <c r="D200" s="7">
        <v>45468</v>
      </c>
      <c r="E200">
        <v>3.4674999999999998</v>
      </c>
      <c r="F200" s="7">
        <v>45468</v>
      </c>
      <c r="G200">
        <v>3.4</v>
      </c>
      <c r="H200" s="7">
        <v>45468</v>
      </c>
      <c r="I200">
        <v>3.3224999999999998</v>
      </c>
      <c r="J200" s="7">
        <v>45468</v>
      </c>
      <c r="K200">
        <v>3.2574999999999998</v>
      </c>
      <c r="L200" s="7">
        <v>45468</v>
      </c>
      <c r="M200">
        <v>3.19</v>
      </c>
      <c r="N200" s="7">
        <v>45468</v>
      </c>
      <c r="O200">
        <v>3.1625000000000001</v>
      </c>
      <c r="P200" s="7">
        <v>45468</v>
      </c>
      <c r="Q200">
        <v>3.1475</v>
      </c>
      <c r="R200" s="7">
        <v>45468</v>
      </c>
      <c r="S200">
        <v>3.1425000000000001</v>
      </c>
      <c r="T200" s="7">
        <v>45468</v>
      </c>
      <c r="U200">
        <v>3.1524999999999999</v>
      </c>
      <c r="V200" s="7">
        <v>45468</v>
      </c>
      <c r="W200">
        <v>3.0274999999999999</v>
      </c>
      <c r="X200" s="7">
        <v>45468</v>
      </c>
      <c r="Y200" s="6">
        <v>2.6875</v>
      </c>
    </row>
    <row r="201" spans="1:25">
      <c r="A201"/>
      <c r="B201" s="7">
        <v>45467</v>
      </c>
      <c r="C201">
        <v>3.5249999999999999</v>
      </c>
      <c r="D201" s="7">
        <v>45467</v>
      </c>
      <c r="E201">
        <v>3.4550000000000001</v>
      </c>
      <c r="F201" s="7">
        <v>45467</v>
      </c>
      <c r="G201">
        <v>3.3975</v>
      </c>
      <c r="H201" s="7">
        <v>45467</v>
      </c>
      <c r="I201">
        <v>3.3224999999999998</v>
      </c>
      <c r="J201" s="7">
        <v>45467</v>
      </c>
      <c r="K201">
        <v>3.2549999999999999</v>
      </c>
      <c r="L201" s="7">
        <v>45467</v>
      </c>
      <c r="M201">
        <v>3.19</v>
      </c>
      <c r="N201" s="7">
        <v>45467</v>
      </c>
      <c r="O201">
        <v>3.165</v>
      </c>
      <c r="P201" s="7">
        <v>45467</v>
      </c>
      <c r="Q201">
        <v>3.15</v>
      </c>
      <c r="R201" s="7">
        <v>45467</v>
      </c>
      <c r="S201">
        <v>3.145</v>
      </c>
      <c r="T201" s="7">
        <v>45467</v>
      </c>
      <c r="U201">
        <v>3.1575000000000002</v>
      </c>
      <c r="V201" s="7">
        <v>45467</v>
      </c>
      <c r="W201">
        <v>3.03</v>
      </c>
      <c r="X201" s="7">
        <v>45467</v>
      </c>
      <c r="Y201" s="6">
        <v>2.69</v>
      </c>
    </row>
    <row r="202" spans="1:25">
      <c r="A202"/>
      <c r="B202" s="7">
        <v>45464</v>
      </c>
      <c r="C202">
        <v>3.5225</v>
      </c>
      <c r="D202" s="7">
        <v>45464</v>
      </c>
      <c r="E202">
        <v>3.4474999999999998</v>
      </c>
      <c r="F202" s="7">
        <v>45464</v>
      </c>
      <c r="G202">
        <v>3.3774999999999999</v>
      </c>
      <c r="H202" s="7">
        <v>45464</v>
      </c>
      <c r="I202">
        <v>3.3025000000000002</v>
      </c>
      <c r="J202" s="7">
        <v>45464</v>
      </c>
      <c r="K202">
        <v>3.2349999999999999</v>
      </c>
      <c r="L202" s="7">
        <v>45464</v>
      </c>
      <c r="M202">
        <v>3.1675</v>
      </c>
      <c r="N202" s="7">
        <v>45464</v>
      </c>
      <c r="O202">
        <v>3.14</v>
      </c>
      <c r="P202" s="7">
        <v>45464</v>
      </c>
      <c r="Q202">
        <v>3.1175000000000002</v>
      </c>
      <c r="R202" s="7">
        <v>45464</v>
      </c>
      <c r="S202">
        <v>3.1124999999999998</v>
      </c>
      <c r="T202" s="7">
        <v>45464</v>
      </c>
      <c r="U202">
        <v>3.125</v>
      </c>
      <c r="V202" s="7">
        <v>45464</v>
      </c>
      <c r="W202">
        <v>2.9975000000000001</v>
      </c>
      <c r="X202" s="7">
        <v>45464</v>
      </c>
      <c r="Y202" s="6">
        <v>2.6575000000000002</v>
      </c>
    </row>
    <row r="203" spans="1:25">
      <c r="A203"/>
      <c r="B203" s="7">
        <v>45463</v>
      </c>
      <c r="C203">
        <v>3.5325000000000002</v>
      </c>
      <c r="D203" s="7">
        <v>45463</v>
      </c>
      <c r="E203">
        <v>3.47</v>
      </c>
      <c r="F203" s="7">
        <v>45463</v>
      </c>
      <c r="G203">
        <v>3.4075000000000002</v>
      </c>
      <c r="H203" s="7">
        <v>45463</v>
      </c>
      <c r="I203">
        <v>3.3325</v>
      </c>
      <c r="J203" s="7">
        <v>45463</v>
      </c>
      <c r="K203">
        <v>3.2725</v>
      </c>
      <c r="L203" s="7">
        <v>45463</v>
      </c>
      <c r="M203">
        <v>3.2050000000000001</v>
      </c>
      <c r="N203" s="7">
        <v>45463</v>
      </c>
      <c r="O203">
        <v>3.1724999999999999</v>
      </c>
      <c r="P203" s="7">
        <v>45463</v>
      </c>
      <c r="Q203">
        <v>3.1475</v>
      </c>
      <c r="R203" s="7">
        <v>45463</v>
      </c>
      <c r="S203">
        <v>3.1375000000000002</v>
      </c>
      <c r="T203" s="7">
        <v>45463</v>
      </c>
      <c r="U203">
        <v>3.15</v>
      </c>
      <c r="V203" s="7">
        <v>45463</v>
      </c>
      <c r="W203">
        <v>3.0175000000000001</v>
      </c>
      <c r="X203" s="7">
        <v>45463</v>
      </c>
      <c r="Y203" s="6">
        <v>2.6775000000000002</v>
      </c>
    </row>
    <row r="204" spans="1:25">
      <c r="A204"/>
      <c r="B204" s="7">
        <v>45462</v>
      </c>
      <c r="C204">
        <v>3.5175000000000001</v>
      </c>
      <c r="D204" s="7">
        <v>45462</v>
      </c>
      <c r="E204">
        <v>3.46</v>
      </c>
      <c r="F204" s="7">
        <v>45462</v>
      </c>
      <c r="G204">
        <v>3.395</v>
      </c>
      <c r="H204" s="7">
        <v>45462</v>
      </c>
      <c r="I204">
        <v>3.32</v>
      </c>
      <c r="J204" s="7">
        <v>45462</v>
      </c>
      <c r="K204">
        <v>3.25</v>
      </c>
      <c r="L204" s="7">
        <v>45462</v>
      </c>
      <c r="M204">
        <v>3.1675</v>
      </c>
      <c r="N204" s="7">
        <v>45462</v>
      </c>
      <c r="O204">
        <v>3.1324999999999998</v>
      </c>
      <c r="P204" s="7">
        <v>45462</v>
      </c>
      <c r="Q204">
        <v>3.1074999999999999</v>
      </c>
      <c r="R204" s="7">
        <v>45462</v>
      </c>
      <c r="S204">
        <v>3.0975000000000001</v>
      </c>
      <c r="T204" s="7">
        <v>45462</v>
      </c>
      <c r="U204">
        <v>3.11</v>
      </c>
      <c r="V204" s="7">
        <v>45462</v>
      </c>
      <c r="W204">
        <v>2.9775</v>
      </c>
      <c r="X204" s="7">
        <v>45462</v>
      </c>
      <c r="Y204" s="6">
        <v>2.6375000000000002</v>
      </c>
    </row>
    <row r="205" spans="1:25">
      <c r="A205"/>
      <c r="B205" s="7">
        <v>45461</v>
      </c>
      <c r="C205">
        <v>3.5474999999999999</v>
      </c>
      <c r="D205" s="7">
        <v>45461</v>
      </c>
      <c r="E205">
        <v>3.5</v>
      </c>
      <c r="F205" s="7">
        <v>45461</v>
      </c>
      <c r="G205">
        <v>3.44</v>
      </c>
      <c r="H205" s="7">
        <v>45461</v>
      </c>
      <c r="I205">
        <v>3.3675000000000002</v>
      </c>
      <c r="J205" s="7">
        <v>45461</v>
      </c>
      <c r="K205">
        <v>3.3</v>
      </c>
      <c r="L205" s="7">
        <v>45461</v>
      </c>
      <c r="M205">
        <v>3.22</v>
      </c>
      <c r="N205" s="7">
        <v>45461</v>
      </c>
      <c r="O205">
        <v>3.1875</v>
      </c>
      <c r="P205" s="7">
        <v>45461</v>
      </c>
      <c r="Q205">
        <v>3.1675</v>
      </c>
      <c r="R205" s="7">
        <v>45461</v>
      </c>
      <c r="S205">
        <v>3.1625000000000001</v>
      </c>
      <c r="T205" s="7">
        <v>45461</v>
      </c>
      <c r="U205">
        <v>3.1724999999999999</v>
      </c>
      <c r="V205" s="7">
        <v>45461</v>
      </c>
      <c r="W205">
        <v>3.0425</v>
      </c>
      <c r="X205" s="7">
        <v>45461</v>
      </c>
      <c r="Y205" s="6">
        <v>2.7025000000000001</v>
      </c>
    </row>
    <row r="206" spans="1:25">
      <c r="A206"/>
      <c r="B206" s="7">
        <v>45460</v>
      </c>
      <c r="C206">
        <v>3.5550000000000002</v>
      </c>
      <c r="D206" s="7">
        <v>45460</v>
      </c>
      <c r="E206">
        <v>3.5024999999999999</v>
      </c>
      <c r="F206" s="7">
        <v>45460</v>
      </c>
      <c r="G206">
        <v>3.4424999999999999</v>
      </c>
      <c r="H206" s="7">
        <v>45460</v>
      </c>
      <c r="I206">
        <v>3.37</v>
      </c>
      <c r="J206" s="7">
        <v>45460</v>
      </c>
      <c r="K206">
        <v>3.3</v>
      </c>
      <c r="L206" s="7">
        <v>45460</v>
      </c>
      <c r="M206">
        <v>3.2225000000000001</v>
      </c>
      <c r="N206" s="7">
        <v>45460</v>
      </c>
      <c r="O206">
        <v>3.19</v>
      </c>
      <c r="P206" s="7">
        <v>45460</v>
      </c>
      <c r="Q206">
        <v>3.17</v>
      </c>
      <c r="R206" s="7">
        <v>45460</v>
      </c>
      <c r="S206">
        <v>3.1675</v>
      </c>
      <c r="T206" s="7">
        <v>45460</v>
      </c>
      <c r="U206">
        <v>3.18</v>
      </c>
      <c r="V206" s="7">
        <v>45460</v>
      </c>
      <c r="W206">
        <v>3.05</v>
      </c>
      <c r="X206" s="7">
        <v>45460</v>
      </c>
      <c r="Y206" s="6">
        <v>2.71</v>
      </c>
    </row>
    <row r="207" spans="1:25">
      <c r="A207"/>
      <c r="B207" s="7">
        <v>45457</v>
      </c>
      <c r="C207">
        <v>3.58</v>
      </c>
      <c r="D207" s="7">
        <v>45457</v>
      </c>
      <c r="E207">
        <v>3.52</v>
      </c>
      <c r="F207" s="7">
        <v>45457</v>
      </c>
      <c r="G207">
        <v>3.4649999999999999</v>
      </c>
      <c r="H207" s="7">
        <v>45457</v>
      </c>
      <c r="I207">
        <v>3.395</v>
      </c>
      <c r="J207" s="7">
        <v>45457</v>
      </c>
      <c r="K207">
        <v>3.3275000000000001</v>
      </c>
      <c r="L207" s="7">
        <v>45457</v>
      </c>
      <c r="M207">
        <v>3.2524999999999999</v>
      </c>
      <c r="N207" s="7">
        <v>45457</v>
      </c>
      <c r="O207">
        <v>3.22</v>
      </c>
      <c r="P207" s="7">
        <v>45457</v>
      </c>
      <c r="Q207">
        <v>3.2</v>
      </c>
      <c r="R207" s="7">
        <v>45457</v>
      </c>
      <c r="S207">
        <v>3.1924999999999999</v>
      </c>
      <c r="T207" s="7">
        <v>45457</v>
      </c>
      <c r="U207">
        <v>3.2050000000000001</v>
      </c>
      <c r="V207" s="7">
        <v>45457</v>
      </c>
      <c r="W207">
        <v>3.0750000000000002</v>
      </c>
      <c r="X207" s="7">
        <v>45457</v>
      </c>
      <c r="Y207" s="6">
        <v>2.7349999999999999</v>
      </c>
    </row>
    <row r="208" spans="1:25">
      <c r="A208"/>
      <c r="B208" s="7">
        <v>45456</v>
      </c>
      <c r="C208">
        <v>3.5825</v>
      </c>
      <c r="D208" s="7">
        <v>45456</v>
      </c>
      <c r="E208">
        <v>3.54</v>
      </c>
      <c r="F208" s="7">
        <v>45456</v>
      </c>
      <c r="G208">
        <v>3.4849999999999999</v>
      </c>
      <c r="H208" s="7">
        <v>45456</v>
      </c>
      <c r="I208">
        <v>3.42</v>
      </c>
      <c r="J208" s="7">
        <v>45456</v>
      </c>
      <c r="K208">
        <v>3.35</v>
      </c>
      <c r="L208" s="7">
        <v>45456</v>
      </c>
      <c r="M208">
        <v>3.2825000000000002</v>
      </c>
      <c r="N208" s="7">
        <v>45456</v>
      </c>
      <c r="O208">
        <v>3.26</v>
      </c>
      <c r="P208" s="7">
        <v>45456</v>
      </c>
      <c r="Q208">
        <v>3.2450000000000001</v>
      </c>
      <c r="R208" s="7">
        <v>45456</v>
      </c>
      <c r="S208">
        <v>3.2425000000000002</v>
      </c>
      <c r="T208" s="7">
        <v>45456</v>
      </c>
      <c r="U208">
        <v>3.2524999999999999</v>
      </c>
      <c r="V208" s="7">
        <v>45456</v>
      </c>
      <c r="W208">
        <v>3.1124999999999998</v>
      </c>
      <c r="X208" s="7">
        <v>45456</v>
      </c>
      <c r="Y208" s="6">
        <v>2.7725</v>
      </c>
    </row>
    <row r="209" spans="1:25">
      <c r="A209"/>
      <c r="B209" s="7">
        <v>45455</v>
      </c>
      <c r="C209">
        <v>3.585</v>
      </c>
      <c r="D209" s="7">
        <v>45455</v>
      </c>
      <c r="E209">
        <v>3.54</v>
      </c>
      <c r="F209" s="7">
        <v>45455</v>
      </c>
      <c r="G209">
        <v>3.4950000000000001</v>
      </c>
      <c r="H209" s="7">
        <v>45455</v>
      </c>
      <c r="I209">
        <v>3.4275000000000002</v>
      </c>
      <c r="J209" s="7">
        <v>45455</v>
      </c>
      <c r="K209">
        <v>3.3725000000000001</v>
      </c>
      <c r="L209" s="7">
        <v>45455</v>
      </c>
      <c r="M209">
        <v>3.3125</v>
      </c>
      <c r="N209" s="7">
        <v>45455</v>
      </c>
      <c r="O209">
        <v>3.2875000000000001</v>
      </c>
      <c r="P209" s="7">
        <v>45455</v>
      </c>
      <c r="Q209">
        <v>3.2749999999999999</v>
      </c>
      <c r="R209" s="7">
        <v>45455</v>
      </c>
      <c r="S209">
        <v>3.27</v>
      </c>
      <c r="T209" s="7">
        <v>45455</v>
      </c>
      <c r="U209">
        <v>3.2749999999999999</v>
      </c>
      <c r="V209" s="7">
        <v>45455</v>
      </c>
      <c r="W209">
        <v>3.13</v>
      </c>
      <c r="X209" s="7">
        <v>45455</v>
      </c>
      <c r="Y209" s="6">
        <v>2.79</v>
      </c>
    </row>
    <row r="210" spans="1:25">
      <c r="A210"/>
      <c r="B210" s="7">
        <v>45454</v>
      </c>
      <c r="C210">
        <v>3.5874999999999999</v>
      </c>
      <c r="D210" s="7">
        <v>45454</v>
      </c>
      <c r="E210">
        <v>3.55</v>
      </c>
      <c r="F210" s="7">
        <v>45454</v>
      </c>
      <c r="G210">
        <v>3.5074999999999998</v>
      </c>
      <c r="H210" s="7">
        <v>45454</v>
      </c>
      <c r="I210">
        <v>3.45</v>
      </c>
      <c r="J210" s="7">
        <v>45454</v>
      </c>
      <c r="K210">
        <v>3.4</v>
      </c>
      <c r="L210" s="7">
        <v>45454</v>
      </c>
      <c r="M210">
        <v>3.3450000000000002</v>
      </c>
      <c r="N210" s="7">
        <v>45454</v>
      </c>
      <c r="O210">
        <v>3.3224999999999998</v>
      </c>
      <c r="P210" s="7">
        <v>45454</v>
      </c>
      <c r="Q210">
        <v>3.31</v>
      </c>
      <c r="R210" s="7">
        <v>45454</v>
      </c>
      <c r="S210">
        <v>3.31</v>
      </c>
      <c r="T210" s="7">
        <v>45454</v>
      </c>
      <c r="U210">
        <v>3.32</v>
      </c>
      <c r="V210" s="7">
        <v>45454</v>
      </c>
      <c r="W210">
        <v>3.1749999999999998</v>
      </c>
      <c r="X210" s="7">
        <v>45454</v>
      </c>
      <c r="Y210" s="6">
        <v>2.8050000000000002</v>
      </c>
    </row>
    <row r="211" spans="1:25">
      <c r="A211"/>
      <c r="B211" s="7">
        <v>45453</v>
      </c>
      <c r="C211">
        <v>3.59</v>
      </c>
      <c r="D211" s="7">
        <v>45453</v>
      </c>
      <c r="E211">
        <v>3.5449999999999999</v>
      </c>
      <c r="F211" s="7">
        <v>45453</v>
      </c>
      <c r="G211">
        <v>3.5024999999999999</v>
      </c>
      <c r="H211" s="7">
        <v>45453</v>
      </c>
      <c r="I211">
        <v>3.4550000000000001</v>
      </c>
      <c r="J211" s="7">
        <v>45453</v>
      </c>
      <c r="K211">
        <v>3.415</v>
      </c>
      <c r="L211" s="7">
        <v>45453</v>
      </c>
      <c r="M211">
        <v>3.3650000000000002</v>
      </c>
      <c r="N211" s="7">
        <v>45453</v>
      </c>
      <c r="O211">
        <v>3.3424999999999998</v>
      </c>
      <c r="P211" s="7">
        <v>45453</v>
      </c>
      <c r="Q211">
        <v>3.33</v>
      </c>
      <c r="R211" s="7">
        <v>45453</v>
      </c>
      <c r="S211">
        <v>3.33</v>
      </c>
      <c r="T211" s="7">
        <v>45453</v>
      </c>
      <c r="U211">
        <v>3.34</v>
      </c>
      <c r="V211" s="7">
        <v>45453</v>
      </c>
      <c r="W211">
        <v>3.1949999999999998</v>
      </c>
      <c r="X211" s="7">
        <v>45453</v>
      </c>
      <c r="Y211" s="6">
        <v>2.8250000000000002</v>
      </c>
    </row>
    <row r="212" spans="1:25">
      <c r="A212"/>
      <c r="B212" s="7">
        <v>45450</v>
      </c>
      <c r="C212">
        <v>3.5874999999999999</v>
      </c>
      <c r="D212" s="7">
        <v>45450</v>
      </c>
      <c r="E212">
        <v>3.5350000000000001</v>
      </c>
      <c r="F212" s="7">
        <v>45450</v>
      </c>
      <c r="G212">
        <v>3.48</v>
      </c>
      <c r="H212" s="7">
        <v>45450</v>
      </c>
      <c r="I212">
        <v>3.4249999999999998</v>
      </c>
      <c r="J212" s="7">
        <v>45450</v>
      </c>
      <c r="K212">
        <v>3.3725000000000001</v>
      </c>
      <c r="L212" s="7">
        <v>45450</v>
      </c>
      <c r="M212">
        <v>3.3174999999999999</v>
      </c>
      <c r="N212" s="7">
        <v>45450</v>
      </c>
      <c r="O212">
        <v>3.29</v>
      </c>
      <c r="P212" s="7">
        <v>45450</v>
      </c>
      <c r="Q212">
        <v>3.2725</v>
      </c>
      <c r="R212" s="7">
        <v>45450</v>
      </c>
      <c r="S212">
        <v>3.2725</v>
      </c>
      <c r="T212" s="7">
        <v>45450</v>
      </c>
      <c r="U212">
        <v>3.2850000000000001</v>
      </c>
      <c r="V212" s="7">
        <v>45450</v>
      </c>
      <c r="W212">
        <v>3.14</v>
      </c>
      <c r="X212" s="7">
        <v>45450</v>
      </c>
      <c r="Y212" s="6">
        <v>2.77</v>
      </c>
    </row>
    <row r="213" spans="1:25">
      <c r="A213"/>
      <c r="B213" s="7">
        <v>45448</v>
      </c>
      <c r="C213">
        <v>3.59</v>
      </c>
      <c r="D213" s="7">
        <v>45448</v>
      </c>
      <c r="E213">
        <v>3.54</v>
      </c>
      <c r="F213" s="7">
        <v>45448</v>
      </c>
      <c r="G213">
        <v>3.5</v>
      </c>
      <c r="H213" s="7">
        <v>45448</v>
      </c>
      <c r="I213">
        <v>3.44</v>
      </c>
      <c r="J213" s="7">
        <v>45448</v>
      </c>
      <c r="K213">
        <v>3.3975</v>
      </c>
      <c r="L213" s="7">
        <v>45448</v>
      </c>
      <c r="M213">
        <v>3.3475000000000001</v>
      </c>
      <c r="N213" s="7">
        <v>45448</v>
      </c>
      <c r="O213">
        <v>3.3224999999999998</v>
      </c>
      <c r="P213" s="7">
        <v>45448</v>
      </c>
      <c r="Q213">
        <v>3.3075000000000001</v>
      </c>
      <c r="R213" s="7">
        <v>45448</v>
      </c>
      <c r="S213">
        <v>3.3075000000000001</v>
      </c>
      <c r="T213" s="7">
        <v>45448</v>
      </c>
      <c r="U213">
        <v>3.32</v>
      </c>
      <c r="V213" s="7">
        <v>45448</v>
      </c>
      <c r="W213">
        <v>3.1749999999999998</v>
      </c>
      <c r="X213" s="7">
        <v>45448</v>
      </c>
      <c r="Y213" s="6">
        <v>2.8050000000000002</v>
      </c>
    </row>
    <row r="214" spans="1:25">
      <c r="A214"/>
      <c r="B214" s="7">
        <v>45447</v>
      </c>
      <c r="C214">
        <v>3.5950000000000002</v>
      </c>
      <c r="D214" s="7">
        <v>45447</v>
      </c>
      <c r="E214">
        <v>3.5474999999999999</v>
      </c>
      <c r="F214" s="7">
        <v>45447</v>
      </c>
      <c r="G214">
        <v>3.5125000000000002</v>
      </c>
      <c r="H214" s="7">
        <v>45447</v>
      </c>
      <c r="I214">
        <v>3.47</v>
      </c>
      <c r="J214" s="7">
        <v>45447</v>
      </c>
      <c r="K214">
        <v>3.4375</v>
      </c>
      <c r="L214" s="7">
        <v>45447</v>
      </c>
      <c r="M214">
        <v>3.3925000000000001</v>
      </c>
      <c r="N214" s="7">
        <v>45447</v>
      </c>
      <c r="O214">
        <v>3.3725000000000001</v>
      </c>
      <c r="P214" s="7">
        <v>45447</v>
      </c>
      <c r="Q214">
        <v>3.36</v>
      </c>
      <c r="R214" s="7">
        <v>45447</v>
      </c>
      <c r="S214">
        <v>3.3574999999999999</v>
      </c>
      <c r="T214" s="7">
        <v>45447</v>
      </c>
      <c r="U214">
        <v>3.3650000000000002</v>
      </c>
      <c r="V214" s="7">
        <v>45447</v>
      </c>
      <c r="W214">
        <v>3.22</v>
      </c>
      <c r="X214" s="7">
        <v>45447</v>
      </c>
      <c r="Y214" s="6">
        <v>2.85</v>
      </c>
    </row>
    <row r="215" spans="1:25">
      <c r="A215"/>
      <c r="B215" s="7">
        <v>45446</v>
      </c>
      <c r="C215">
        <v>3.6</v>
      </c>
      <c r="D215" s="7">
        <v>45446</v>
      </c>
      <c r="E215">
        <v>3.56</v>
      </c>
      <c r="F215" s="7">
        <v>45446</v>
      </c>
      <c r="G215">
        <v>3.5350000000000001</v>
      </c>
      <c r="H215" s="7">
        <v>45446</v>
      </c>
      <c r="I215">
        <v>3.5024999999999999</v>
      </c>
      <c r="J215" s="7">
        <v>45446</v>
      </c>
      <c r="K215">
        <v>3.4775</v>
      </c>
      <c r="L215" s="7">
        <v>45446</v>
      </c>
      <c r="M215">
        <v>3.44</v>
      </c>
      <c r="N215" s="7">
        <v>45446</v>
      </c>
      <c r="O215">
        <v>3.4249999999999998</v>
      </c>
      <c r="P215" s="7">
        <v>45446</v>
      </c>
      <c r="Q215">
        <v>3.4175</v>
      </c>
      <c r="R215" s="7">
        <v>45446</v>
      </c>
      <c r="S215">
        <v>3.4125000000000001</v>
      </c>
      <c r="T215" s="7">
        <v>45446</v>
      </c>
      <c r="U215">
        <v>3.42</v>
      </c>
      <c r="V215" s="7">
        <v>45446</v>
      </c>
      <c r="W215">
        <v>3.2749999999999999</v>
      </c>
      <c r="X215" s="7">
        <v>45446</v>
      </c>
      <c r="Y215" s="6">
        <v>2.9049999999999998</v>
      </c>
    </row>
    <row r="216" spans="1:25">
      <c r="A216"/>
      <c r="B216" s="7">
        <v>45443</v>
      </c>
      <c r="C216">
        <v>3.605</v>
      </c>
      <c r="D216" s="7">
        <v>45443</v>
      </c>
      <c r="E216">
        <v>3.57</v>
      </c>
      <c r="F216" s="7">
        <v>45443</v>
      </c>
      <c r="G216">
        <v>3.5474999999999999</v>
      </c>
      <c r="H216" s="7">
        <v>45443</v>
      </c>
      <c r="I216">
        <v>3.5150000000000001</v>
      </c>
      <c r="J216" s="7">
        <v>45443</v>
      </c>
      <c r="K216">
        <v>3.4975000000000001</v>
      </c>
      <c r="L216" s="7">
        <v>45443</v>
      </c>
      <c r="M216">
        <v>3.4674999999999998</v>
      </c>
      <c r="N216" s="7">
        <v>45443</v>
      </c>
      <c r="O216">
        <v>3.4649999999999999</v>
      </c>
      <c r="P216" s="7">
        <v>45443</v>
      </c>
      <c r="Q216">
        <v>3.4649999999999999</v>
      </c>
      <c r="R216" s="7">
        <v>45443</v>
      </c>
      <c r="S216">
        <v>3.4624999999999999</v>
      </c>
      <c r="T216" s="7">
        <v>45443</v>
      </c>
      <c r="U216">
        <v>3.4725000000000001</v>
      </c>
      <c r="V216" s="7">
        <v>45443</v>
      </c>
      <c r="W216">
        <v>3.3275000000000001</v>
      </c>
      <c r="X216" s="7">
        <v>45443</v>
      </c>
      <c r="Y216" s="6">
        <v>2.9575</v>
      </c>
    </row>
    <row r="217" spans="1:25">
      <c r="A217"/>
      <c r="B217" s="7">
        <v>45442</v>
      </c>
      <c r="C217">
        <v>3.6</v>
      </c>
      <c r="D217" s="7">
        <v>45442</v>
      </c>
      <c r="E217">
        <v>3.5649999999999999</v>
      </c>
      <c r="F217" s="7">
        <v>45442</v>
      </c>
      <c r="G217">
        <v>3.5449999999999999</v>
      </c>
      <c r="H217" s="7">
        <v>45442</v>
      </c>
      <c r="I217">
        <v>3.51</v>
      </c>
      <c r="J217" s="7">
        <v>45442</v>
      </c>
      <c r="K217">
        <v>3.4849999999999999</v>
      </c>
      <c r="L217" s="7">
        <v>45442</v>
      </c>
      <c r="M217">
        <v>3.4525000000000001</v>
      </c>
      <c r="N217" s="7">
        <v>45442</v>
      </c>
      <c r="O217">
        <v>3.4474999999999998</v>
      </c>
      <c r="P217" s="7">
        <v>45442</v>
      </c>
      <c r="Q217">
        <v>3.4474999999999998</v>
      </c>
      <c r="R217" s="7">
        <v>45442</v>
      </c>
      <c r="S217">
        <v>3.4424999999999999</v>
      </c>
      <c r="T217" s="7">
        <v>45442</v>
      </c>
      <c r="U217">
        <v>3.45</v>
      </c>
      <c r="V217" s="7">
        <v>45442</v>
      </c>
      <c r="W217">
        <v>3.3050000000000002</v>
      </c>
      <c r="X217" s="7">
        <v>45442</v>
      </c>
      <c r="Y217" s="6">
        <v>2.915</v>
      </c>
    </row>
    <row r="218" spans="1:25">
      <c r="A218"/>
      <c r="B218" s="7">
        <v>45441</v>
      </c>
      <c r="C218">
        <v>3.6</v>
      </c>
      <c r="D218" s="7">
        <v>45441</v>
      </c>
      <c r="E218">
        <v>3.5575000000000001</v>
      </c>
      <c r="F218" s="7">
        <v>45441</v>
      </c>
      <c r="G218">
        <v>3.5350000000000001</v>
      </c>
      <c r="H218" s="7">
        <v>45441</v>
      </c>
      <c r="I218">
        <v>3.5024999999999999</v>
      </c>
      <c r="J218" s="7">
        <v>45441</v>
      </c>
      <c r="K218">
        <v>3.4725000000000001</v>
      </c>
      <c r="L218" s="7">
        <v>45441</v>
      </c>
      <c r="M218">
        <v>3.4325000000000001</v>
      </c>
      <c r="N218" s="7">
        <v>45441</v>
      </c>
      <c r="O218">
        <v>3.42</v>
      </c>
      <c r="P218" s="7">
        <v>45441</v>
      </c>
      <c r="Q218">
        <v>3.415</v>
      </c>
      <c r="R218" s="7">
        <v>45441</v>
      </c>
      <c r="S218">
        <v>3.4075000000000002</v>
      </c>
      <c r="T218" s="7">
        <v>45441</v>
      </c>
      <c r="U218">
        <v>3.4125000000000001</v>
      </c>
      <c r="V218" s="7">
        <v>45441</v>
      </c>
      <c r="W218">
        <v>3.2675000000000001</v>
      </c>
      <c r="X218" s="7">
        <v>45441</v>
      </c>
      <c r="Y218" s="6">
        <v>2.8774999999999999</v>
      </c>
    </row>
    <row r="219" spans="1:25">
      <c r="A219"/>
      <c r="B219" s="7">
        <v>45440</v>
      </c>
      <c r="C219">
        <v>3.5950000000000002</v>
      </c>
      <c r="D219" s="7">
        <v>45440</v>
      </c>
      <c r="E219">
        <v>3.55</v>
      </c>
      <c r="F219" s="7">
        <v>45440</v>
      </c>
      <c r="G219">
        <v>3.52</v>
      </c>
      <c r="H219" s="7">
        <v>45440</v>
      </c>
      <c r="I219">
        <v>3.4750000000000001</v>
      </c>
      <c r="J219" s="7">
        <v>45440</v>
      </c>
      <c r="K219">
        <v>3.4350000000000001</v>
      </c>
      <c r="L219" s="7">
        <v>45440</v>
      </c>
      <c r="M219">
        <v>3.3875000000000002</v>
      </c>
      <c r="N219" s="7">
        <v>45440</v>
      </c>
      <c r="O219">
        <v>3.37</v>
      </c>
      <c r="P219" s="7">
        <v>45440</v>
      </c>
      <c r="Q219">
        <v>3.3624999999999998</v>
      </c>
      <c r="R219" s="7">
        <v>45440</v>
      </c>
      <c r="S219">
        <v>3.355</v>
      </c>
      <c r="T219" s="7">
        <v>45440</v>
      </c>
      <c r="U219">
        <v>3.36</v>
      </c>
      <c r="V219" s="7">
        <v>45440</v>
      </c>
      <c r="W219">
        <v>3.2149999999999999</v>
      </c>
      <c r="X219" s="7">
        <v>45440</v>
      </c>
      <c r="Y219" s="6">
        <v>2.8250000000000002</v>
      </c>
    </row>
    <row r="220" spans="1:25">
      <c r="A220"/>
      <c r="B220" s="7">
        <v>45439</v>
      </c>
      <c r="C220">
        <v>3.585</v>
      </c>
      <c r="D220" s="7">
        <v>45439</v>
      </c>
      <c r="E220">
        <v>3.5625</v>
      </c>
      <c r="F220" s="7">
        <v>45439</v>
      </c>
      <c r="G220">
        <v>3.54</v>
      </c>
      <c r="H220" s="7">
        <v>45439</v>
      </c>
      <c r="I220">
        <v>3.4925000000000002</v>
      </c>
      <c r="J220" s="7">
        <v>45439</v>
      </c>
      <c r="K220">
        <v>3.45</v>
      </c>
      <c r="L220" s="7">
        <v>45439</v>
      </c>
      <c r="M220">
        <v>3.4024999999999999</v>
      </c>
      <c r="N220" s="7">
        <v>45439</v>
      </c>
      <c r="O220">
        <v>3.3849999999999998</v>
      </c>
      <c r="P220" s="7">
        <v>45439</v>
      </c>
      <c r="Q220">
        <v>3.3774999999999999</v>
      </c>
      <c r="R220" s="7">
        <v>45439</v>
      </c>
      <c r="S220">
        <v>3.3725000000000001</v>
      </c>
      <c r="T220" s="7">
        <v>45439</v>
      </c>
      <c r="U220">
        <v>3.38</v>
      </c>
      <c r="V220" s="7">
        <v>45439</v>
      </c>
      <c r="W220">
        <v>3.2374999999999998</v>
      </c>
      <c r="X220" s="7">
        <v>45439</v>
      </c>
      <c r="Y220" s="6">
        <v>2.8475000000000001</v>
      </c>
    </row>
    <row r="221" spans="1:25">
      <c r="A221"/>
      <c r="B221" s="7">
        <v>45436</v>
      </c>
      <c r="C221">
        <v>3.5874999999999999</v>
      </c>
      <c r="D221" s="7">
        <v>45436</v>
      </c>
      <c r="E221">
        <v>3.5674999999999999</v>
      </c>
      <c r="F221" s="7">
        <v>45436</v>
      </c>
      <c r="G221">
        <v>3.5449999999999999</v>
      </c>
      <c r="H221" s="7">
        <v>45436</v>
      </c>
      <c r="I221">
        <v>3.5</v>
      </c>
      <c r="J221" s="7">
        <v>45436</v>
      </c>
      <c r="K221">
        <v>3.46</v>
      </c>
      <c r="L221" s="7">
        <v>45436</v>
      </c>
      <c r="M221">
        <v>3.4125000000000001</v>
      </c>
      <c r="N221" s="7">
        <v>45436</v>
      </c>
      <c r="O221">
        <v>3.395</v>
      </c>
      <c r="P221" s="7">
        <v>45436</v>
      </c>
      <c r="Q221">
        <v>3.3875000000000002</v>
      </c>
      <c r="R221" s="7">
        <v>45436</v>
      </c>
      <c r="S221">
        <v>3.3824999999999998</v>
      </c>
      <c r="T221" s="7">
        <v>45436</v>
      </c>
      <c r="U221">
        <v>3.39</v>
      </c>
      <c r="V221" s="7">
        <v>45436</v>
      </c>
      <c r="W221">
        <v>3.2475000000000001</v>
      </c>
      <c r="X221" s="7">
        <v>45436</v>
      </c>
      <c r="Y221" s="6">
        <v>2.8574999999999999</v>
      </c>
    </row>
    <row r="222" spans="1:25">
      <c r="A222"/>
      <c r="B222" s="7">
        <v>45435</v>
      </c>
      <c r="C222">
        <v>3.5825</v>
      </c>
      <c r="D222" s="7">
        <v>45435</v>
      </c>
      <c r="E222">
        <v>3.5625</v>
      </c>
      <c r="F222" s="7">
        <v>45435</v>
      </c>
      <c r="G222">
        <v>3.54</v>
      </c>
      <c r="H222" s="7">
        <v>45435</v>
      </c>
      <c r="I222">
        <v>3.4925000000000002</v>
      </c>
      <c r="J222" s="7">
        <v>45435</v>
      </c>
      <c r="K222">
        <v>3.45</v>
      </c>
      <c r="L222" s="7">
        <v>45435</v>
      </c>
      <c r="M222">
        <v>3.395</v>
      </c>
      <c r="N222" s="7">
        <v>45435</v>
      </c>
      <c r="O222">
        <v>3.37</v>
      </c>
      <c r="P222" s="7">
        <v>45435</v>
      </c>
      <c r="Q222">
        <v>3.355</v>
      </c>
      <c r="R222" s="7">
        <v>45435</v>
      </c>
      <c r="S222">
        <v>3.3475000000000001</v>
      </c>
      <c r="T222" s="7">
        <v>45435</v>
      </c>
      <c r="U222">
        <v>3.35</v>
      </c>
      <c r="V222" s="7">
        <v>45435</v>
      </c>
      <c r="W222">
        <v>3.2075</v>
      </c>
      <c r="X222" s="7">
        <v>45435</v>
      </c>
      <c r="Y222" s="6">
        <v>2.8174999999999999</v>
      </c>
    </row>
    <row r="223" spans="1:25">
      <c r="A223"/>
      <c r="B223" s="7">
        <v>45434</v>
      </c>
      <c r="C223">
        <v>3.5874999999999999</v>
      </c>
      <c r="D223" s="7">
        <v>45434</v>
      </c>
      <c r="E223">
        <v>3.5750000000000002</v>
      </c>
      <c r="F223" s="7">
        <v>45434</v>
      </c>
      <c r="G223">
        <v>3.5550000000000002</v>
      </c>
      <c r="H223" s="7">
        <v>45434</v>
      </c>
      <c r="I223">
        <v>3.51</v>
      </c>
      <c r="J223" s="7">
        <v>45434</v>
      </c>
      <c r="K223">
        <v>3.47</v>
      </c>
      <c r="L223" s="7">
        <v>45434</v>
      </c>
      <c r="M223">
        <v>3.41</v>
      </c>
      <c r="N223" s="7">
        <v>45434</v>
      </c>
      <c r="O223">
        <v>3.3849999999999998</v>
      </c>
      <c r="P223" s="7">
        <v>45434</v>
      </c>
      <c r="Q223">
        <v>3.3675000000000002</v>
      </c>
      <c r="R223" s="7">
        <v>45434</v>
      </c>
      <c r="S223">
        <v>3.36</v>
      </c>
      <c r="T223" s="7">
        <v>45434</v>
      </c>
      <c r="U223">
        <v>3.3624999999999998</v>
      </c>
      <c r="V223" s="7">
        <v>45434</v>
      </c>
      <c r="W223">
        <v>3.2174999999999998</v>
      </c>
      <c r="X223" s="7">
        <v>45434</v>
      </c>
      <c r="Y223" s="6">
        <v>2.8174999999999999</v>
      </c>
    </row>
    <row r="224" spans="1:25">
      <c r="A224"/>
      <c r="B224" s="7">
        <v>45433</v>
      </c>
      <c r="C224">
        <v>3.6074999999999999</v>
      </c>
      <c r="D224" s="7">
        <v>45433</v>
      </c>
      <c r="E224">
        <v>3.5924999999999998</v>
      </c>
      <c r="F224" s="7">
        <v>45433</v>
      </c>
      <c r="G224">
        <v>3.5724999999999998</v>
      </c>
      <c r="H224" s="7">
        <v>45433</v>
      </c>
      <c r="I224">
        <v>3.5225</v>
      </c>
      <c r="J224" s="7">
        <v>45433</v>
      </c>
      <c r="K224">
        <v>3.4750000000000001</v>
      </c>
      <c r="L224" s="7">
        <v>45433</v>
      </c>
      <c r="M224">
        <v>3.41</v>
      </c>
      <c r="N224" s="7">
        <v>45433</v>
      </c>
      <c r="O224">
        <v>3.3849999999999998</v>
      </c>
      <c r="P224" s="7">
        <v>45433</v>
      </c>
      <c r="Q224">
        <v>3.37</v>
      </c>
      <c r="R224" s="7">
        <v>45433</v>
      </c>
      <c r="S224">
        <v>3.3624999999999998</v>
      </c>
      <c r="T224" s="7">
        <v>45433</v>
      </c>
      <c r="U224">
        <v>3.3675000000000002</v>
      </c>
      <c r="V224" s="7">
        <v>45433</v>
      </c>
      <c r="W224">
        <v>3.2225000000000001</v>
      </c>
      <c r="X224" s="7">
        <v>45433</v>
      </c>
      <c r="Y224" s="6">
        <v>2.8624999999999998</v>
      </c>
    </row>
    <row r="225" spans="1:25">
      <c r="A225"/>
      <c r="B225" s="7">
        <v>45432</v>
      </c>
      <c r="C225">
        <v>3.61</v>
      </c>
      <c r="D225" s="7">
        <v>45432</v>
      </c>
      <c r="E225">
        <v>3.5950000000000002</v>
      </c>
      <c r="F225" s="7">
        <v>45432</v>
      </c>
      <c r="G225">
        <v>3.5724999999999998</v>
      </c>
      <c r="H225" s="7">
        <v>45432</v>
      </c>
      <c r="I225">
        <v>3.5225</v>
      </c>
      <c r="J225" s="7">
        <v>45432</v>
      </c>
      <c r="K225">
        <v>3.4750000000000001</v>
      </c>
      <c r="L225" s="7">
        <v>45432</v>
      </c>
      <c r="M225">
        <v>3.41</v>
      </c>
      <c r="N225" s="7">
        <v>45432</v>
      </c>
      <c r="O225">
        <v>3.3824999999999998</v>
      </c>
      <c r="P225" s="7">
        <v>45432</v>
      </c>
      <c r="Q225">
        <v>3.3675000000000002</v>
      </c>
      <c r="R225" s="7">
        <v>45432</v>
      </c>
      <c r="S225">
        <v>3.3624999999999998</v>
      </c>
      <c r="T225" s="7">
        <v>45432</v>
      </c>
      <c r="U225">
        <v>3.37</v>
      </c>
      <c r="V225" s="7">
        <v>45432</v>
      </c>
      <c r="W225">
        <v>3.2250000000000001</v>
      </c>
      <c r="X225" s="7">
        <v>45432</v>
      </c>
      <c r="Y225" s="6">
        <v>2.8650000000000002</v>
      </c>
    </row>
    <row r="226" spans="1:25">
      <c r="A226"/>
      <c r="B226" s="7">
        <v>45429</v>
      </c>
      <c r="C226">
        <v>3.605</v>
      </c>
      <c r="D226" s="7">
        <v>45429</v>
      </c>
      <c r="E226">
        <v>3.59</v>
      </c>
      <c r="F226" s="7">
        <v>45429</v>
      </c>
      <c r="G226">
        <v>3.5625</v>
      </c>
      <c r="H226" s="7">
        <v>45429</v>
      </c>
      <c r="I226">
        <v>3.5049999999999999</v>
      </c>
      <c r="J226" s="7">
        <v>45429</v>
      </c>
      <c r="K226">
        <v>3.45</v>
      </c>
      <c r="L226" s="7">
        <v>45429</v>
      </c>
      <c r="M226">
        <v>3.375</v>
      </c>
      <c r="N226" s="7">
        <v>45429</v>
      </c>
      <c r="O226">
        <v>3.3475000000000001</v>
      </c>
      <c r="P226" s="7">
        <v>45429</v>
      </c>
      <c r="Q226">
        <v>3.3275000000000001</v>
      </c>
      <c r="R226" s="7">
        <v>45429</v>
      </c>
      <c r="S226">
        <v>3.32</v>
      </c>
      <c r="T226" s="7">
        <v>45429</v>
      </c>
      <c r="U226">
        <v>3.3275000000000001</v>
      </c>
      <c r="V226" s="7">
        <v>45429</v>
      </c>
      <c r="W226">
        <v>3.1775000000000002</v>
      </c>
      <c r="X226" s="7">
        <v>45429</v>
      </c>
      <c r="Y226" s="6">
        <v>2.8174999999999999</v>
      </c>
    </row>
    <row r="227" spans="1:25">
      <c r="A227"/>
      <c r="B227" s="7">
        <v>45428</v>
      </c>
      <c r="C227">
        <v>3.6</v>
      </c>
      <c r="D227" s="7">
        <v>45428</v>
      </c>
      <c r="E227">
        <v>3.59</v>
      </c>
      <c r="F227" s="7">
        <v>45428</v>
      </c>
      <c r="G227">
        <v>3.5625</v>
      </c>
      <c r="H227" s="7">
        <v>45428</v>
      </c>
      <c r="I227">
        <v>3.5049999999999999</v>
      </c>
      <c r="J227" s="7">
        <v>45428</v>
      </c>
      <c r="K227">
        <v>3.45</v>
      </c>
      <c r="L227" s="7">
        <v>45428</v>
      </c>
      <c r="M227">
        <v>3.38</v>
      </c>
      <c r="N227" s="7">
        <v>45428</v>
      </c>
      <c r="O227">
        <v>3.36</v>
      </c>
      <c r="P227" s="7">
        <v>45428</v>
      </c>
      <c r="Q227">
        <v>3.3424999999999998</v>
      </c>
      <c r="R227" s="7">
        <v>45428</v>
      </c>
      <c r="S227">
        <v>3.3374999999999999</v>
      </c>
      <c r="T227" s="7">
        <v>45428</v>
      </c>
      <c r="U227">
        <v>3.3450000000000002</v>
      </c>
      <c r="V227" s="7">
        <v>45428</v>
      </c>
      <c r="W227">
        <v>3.1949999999999998</v>
      </c>
      <c r="X227" s="7">
        <v>45428</v>
      </c>
      <c r="Y227" s="6">
        <v>2.835</v>
      </c>
    </row>
    <row r="228" spans="1:25">
      <c r="A228"/>
      <c r="B228" s="7">
        <v>45426</v>
      </c>
      <c r="C228">
        <v>3.6074999999999999</v>
      </c>
      <c r="D228" s="7">
        <v>45426</v>
      </c>
      <c r="E228">
        <v>3.6074999999999999</v>
      </c>
      <c r="F228" s="7">
        <v>45426</v>
      </c>
      <c r="G228">
        <v>3.5924999999999998</v>
      </c>
      <c r="H228" s="7">
        <v>45426</v>
      </c>
      <c r="I228">
        <v>3.5474999999999999</v>
      </c>
      <c r="J228" s="7">
        <v>45426</v>
      </c>
      <c r="K228">
        <v>3.5024999999999999</v>
      </c>
      <c r="L228" s="7">
        <v>45426</v>
      </c>
      <c r="M228">
        <v>3.45</v>
      </c>
      <c r="N228" s="7">
        <v>45426</v>
      </c>
      <c r="O228">
        <v>3.4350000000000001</v>
      </c>
      <c r="P228" s="7">
        <v>45426</v>
      </c>
      <c r="Q228">
        <v>3.42</v>
      </c>
      <c r="R228" s="7">
        <v>45426</v>
      </c>
      <c r="S228">
        <v>3.415</v>
      </c>
      <c r="T228" s="7">
        <v>45426</v>
      </c>
      <c r="U228">
        <v>3.4249999999999998</v>
      </c>
      <c r="V228" s="7">
        <v>45426</v>
      </c>
      <c r="W228">
        <v>3.2749999999999999</v>
      </c>
      <c r="X228" s="7">
        <v>45426</v>
      </c>
      <c r="Y228" s="6">
        <v>2.915</v>
      </c>
    </row>
    <row r="229" spans="1:25">
      <c r="A229"/>
      <c r="B229" s="7">
        <v>45425</v>
      </c>
      <c r="C229">
        <v>3.6074999999999999</v>
      </c>
      <c r="D229" s="7">
        <v>45425</v>
      </c>
      <c r="E229">
        <v>3.605</v>
      </c>
      <c r="F229" s="7">
        <v>45425</v>
      </c>
      <c r="G229">
        <v>3.585</v>
      </c>
      <c r="H229" s="7">
        <v>45425</v>
      </c>
      <c r="I229">
        <v>3.54</v>
      </c>
      <c r="J229" s="7">
        <v>45425</v>
      </c>
      <c r="K229">
        <v>3.4950000000000001</v>
      </c>
      <c r="L229" s="7">
        <v>45425</v>
      </c>
      <c r="M229">
        <v>3.4474999999999998</v>
      </c>
      <c r="N229" s="7">
        <v>45425</v>
      </c>
      <c r="O229">
        <v>3.4375</v>
      </c>
      <c r="P229" s="7">
        <v>45425</v>
      </c>
      <c r="Q229">
        <v>3.4249999999999998</v>
      </c>
      <c r="R229" s="7">
        <v>45425</v>
      </c>
      <c r="S229">
        <v>3.42</v>
      </c>
      <c r="T229" s="7">
        <v>45425</v>
      </c>
      <c r="U229">
        <v>3.43</v>
      </c>
      <c r="V229" s="7">
        <v>45425</v>
      </c>
      <c r="W229">
        <v>3.28</v>
      </c>
      <c r="X229" s="7">
        <v>45425</v>
      </c>
      <c r="Y229" s="6">
        <v>2.92</v>
      </c>
    </row>
    <row r="230" spans="1:25">
      <c r="A230"/>
      <c r="B230" s="7">
        <v>45422</v>
      </c>
      <c r="C230">
        <v>3.6074999999999999</v>
      </c>
      <c r="D230" s="7">
        <v>45422</v>
      </c>
      <c r="E230">
        <v>3.5975000000000001</v>
      </c>
      <c r="F230" s="7">
        <v>45422</v>
      </c>
      <c r="G230">
        <v>3.5750000000000002</v>
      </c>
      <c r="H230" s="7">
        <v>45422</v>
      </c>
      <c r="I230">
        <v>3.5274999999999999</v>
      </c>
      <c r="J230" s="7">
        <v>45422</v>
      </c>
      <c r="K230">
        <v>3.4824999999999999</v>
      </c>
      <c r="L230" s="7">
        <v>45422</v>
      </c>
      <c r="M230">
        <v>3.4325000000000001</v>
      </c>
      <c r="N230" s="7">
        <v>45422</v>
      </c>
      <c r="O230">
        <v>3.415</v>
      </c>
      <c r="P230" s="7">
        <v>45422</v>
      </c>
      <c r="Q230">
        <v>3.4024999999999999</v>
      </c>
      <c r="R230" s="7">
        <v>45422</v>
      </c>
      <c r="S230">
        <v>3.3975</v>
      </c>
      <c r="T230" s="7">
        <v>45422</v>
      </c>
      <c r="U230">
        <v>3.4075000000000002</v>
      </c>
      <c r="V230" s="7">
        <v>45422</v>
      </c>
      <c r="W230">
        <v>3.2574999999999998</v>
      </c>
      <c r="X230" s="7">
        <v>45422</v>
      </c>
      <c r="Y230" s="6">
        <v>2.8975</v>
      </c>
    </row>
    <row r="231" spans="1:25">
      <c r="A231"/>
      <c r="B231" s="7">
        <v>45421</v>
      </c>
      <c r="C231">
        <v>3.6124999999999998</v>
      </c>
      <c r="D231" s="7">
        <v>45421</v>
      </c>
      <c r="E231">
        <v>3.6025</v>
      </c>
      <c r="F231" s="7">
        <v>45421</v>
      </c>
      <c r="G231">
        <v>3.5825</v>
      </c>
      <c r="H231" s="7">
        <v>45421</v>
      </c>
      <c r="I231">
        <v>3.5425</v>
      </c>
      <c r="J231" s="7">
        <v>45421</v>
      </c>
      <c r="K231">
        <v>3.5024999999999999</v>
      </c>
      <c r="L231" s="7">
        <v>45421</v>
      </c>
      <c r="M231">
        <v>3.4550000000000001</v>
      </c>
      <c r="N231" s="7">
        <v>45421</v>
      </c>
      <c r="O231">
        <v>3.4375</v>
      </c>
      <c r="P231" s="7">
        <v>45421</v>
      </c>
      <c r="Q231">
        <v>3.4249999999999998</v>
      </c>
      <c r="R231" s="7">
        <v>45421</v>
      </c>
      <c r="S231">
        <v>3.4249999999999998</v>
      </c>
      <c r="T231" s="7">
        <v>45421</v>
      </c>
      <c r="U231">
        <v>3.4325000000000001</v>
      </c>
      <c r="V231" s="7">
        <v>45421</v>
      </c>
      <c r="W231">
        <v>3.2825000000000002</v>
      </c>
      <c r="X231" s="7">
        <v>45421</v>
      </c>
      <c r="Y231" s="6">
        <v>2.9224999999999999</v>
      </c>
    </row>
    <row r="232" spans="1:25">
      <c r="A232"/>
      <c r="B232" s="7">
        <v>45420</v>
      </c>
      <c r="C232">
        <v>3.6025</v>
      </c>
      <c r="D232" s="7">
        <v>45420</v>
      </c>
      <c r="E232">
        <v>3.585</v>
      </c>
      <c r="F232" s="7">
        <v>45420</v>
      </c>
      <c r="G232">
        <v>3.5649999999999999</v>
      </c>
      <c r="H232" s="7">
        <v>45420</v>
      </c>
      <c r="I232">
        <v>3.5225</v>
      </c>
      <c r="J232" s="7">
        <v>45420</v>
      </c>
      <c r="K232">
        <v>3.4824999999999999</v>
      </c>
      <c r="L232" s="7">
        <v>45420</v>
      </c>
      <c r="M232">
        <v>3.4325000000000001</v>
      </c>
      <c r="N232" s="7">
        <v>45420</v>
      </c>
      <c r="O232">
        <v>3.4125000000000001</v>
      </c>
      <c r="P232" s="7">
        <v>45420</v>
      </c>
      <c r="Q232">
        <v>3.4</v>
      </c>
      <c r="R232" s="7">
        <v>45420</v>
      </c>
      <c r="S232">
        <v>3.395</v>
      </c>
      <c r="T232" s="7">
        <v>45420</v>
      </c>
      <c r="U232">
        <v>3.4</v>
      </c>
      <c r="V232" s="7">
        <v>45420</v>
      </c>
      <c r="W232">
        <v>3.2524999999999999</v>
      </c>
      <c r="X232" s="7">
        <v>45420</v>
      </c>
      <c r="Y232" s="6">
        <v>2.9125000000000001</v>
      </c>
    </row>
    <row r="233" spans="1:25">
      <c r="A233"/>
      <c r="B233" s="7">
        <v>45419</v>
      </c>
      <c r="C233">
        <v>3.5950000000000002</v>
      </c>
      <c r="D233" s="7">
        <v>45419</v>
      </c>
      <c r="E233">
        <v>3.58</v>
      </c>
      <c r="F233" s="7">
        <v>45419</v>
      </c>
      <c r="G233">
        <v>3.5625</v>
      </c>
      <c r="H233" s="7">
        <v>45419</v>
      </c>
      <c r="I233">
        <v>3.5274999999999999</v>
      </c>
      <c r="J233" s="7">
        <v>45419</v>
      </c>
      <c r="K233">
        <v>3.4925000000000002</v>
      </c>
      <c r="L233" s="7">
        <v>45419</v>
      </c>
      <c r="M233">
        <v>3.4424999999999999</v>
      </c>
      <c r="N233" s="7">
        <v>45419</v>
      </c>
      <c r="O233">
        <v>3.4249999999999998</v>
      </c>
      <c r="P233" s="7">
        <v>45419</v>
      </c>
      <c r="Q233">
        <v>3.4125000000000001</v>
      </c>
      <c r="R233" s="7">
        <v>45419</v>
      </c>
      <c r="S233">
        <v>3.4125000000000001</v>
      </c>
      <c r="T233" s="7">
        <v>45419</v>
      </c>
      <c r="U233">
        <v>3.415</v>
      </c>
      <c r="V233" s="7">
        <v>45419</v>
      </c>
      <c r="W233">
        <v>3.2725</v>
      </c>
      <c r="X233" s="7">
        <v>45419</v>
      </c>
      <c r="Y233" s="6">
        <v>2.9725000000000001</v>
      </c>
    </row>
    <row r="234" spans="1:25">
      <c r="A234"/>
      <c r="B234" s="7">
        <v>45415</v>
      </c>
      <c r="C234">
        <v>3.5975000000000001</v>
      </c>
      <c r="D234" s="7">
        <v>45415</v>
      </c>
      <c r="E234">
        <v>3.5950000000000002</v>
      </c>
      <c r="F234" s="7">
        <v>45415</v>
      </c>
      <c r="G234">
        <v>3.5874999999999999</v>
      </c>
      <c r="H234" s="7">
        <v>45415</v>
      </c>
      <c r="I234">
        <v>3.5649999999999999</v>
      </c>
      <c r="J234" s="7">
        <v>45415</v>
      </c>
      <c r="K234">
        <v>3.54</v>
      </c>
      <c r="L234" s="7">
        <v>45415</v>
      </c>
      <c r="M234">
        <v>3.4975000000000001</v>
      </c>
      <c r="N234" s="7">
        <v>45415</v>
      </c>
      <c r="O234">
        <v>3.4874999999999998</v>
      </c>
      <c r="P234" s="7">
        <v>45415</v>
      </c>
      <c r="Q234">
        <v>3.4824999999999999</v>
      </c>
      <c r="R234" s="7">
        <v>45415</v>
      </c>
      <c r="S234">
        <v>3.4849999999999999</v>
      </c>
      <c r="T234" s="7">
        <v>45415</v>
      </c>
      <c r="U234">
        <v>3.4874999999999998</v>
      </c>
      <c r="V234" s="7">
        <v>45415</v>
      </c>
      <c r="W234">
        <v>3.3450000000000002</v>
      </c>
      <c r="X234" s="7">
        <v>45415</v>
      </c>
      <c r="Y234" s="6">
        <v>3.0449999999999999</v>
      </c>
    </row>
    <row r="235" spans="1:25">
      <c r="A235"/>
      <c r="B235" s="7">
        <v>45414</v>
      </c>
      <c r="C235">
        <v>3.5874999999999999</v>
      </c>
      <c r="D235" s="7">
        <v>45414</v>
      </c>
      <c r="E235">
        <v>3.5950000000000002</v>
      </c>
      <c r="F235" s="7">
        <v>45414</v>
      </c>
      <c r="G235">
        <v>3.5975000000000001</v>
      </c>
      <c r="H235" s="7">
        <v>45414</v>
      </c>
      <c r="I235">
        <v>3.5724999999999998</v>
      </c>
      <c r="J235" s="7">
        <v>45414</v>
      </c>
      <c r="K235">
        <v>3.5474999999999999</v>
      </c>
      <c r="L235" s="7">
        <v>45414</v>
      </c>
      <c r="M235">
        <v>3.51</v>
      </c>
      <c r="N235" s="7">
        <v>45414</v>
      </c>
      <c r="O235">
        <v>3.5024999999999999</v>
      </c>
      <c r="P235" s="7">
        <v>45414</v>
      </c>
      <c r="Q235">
        <v>3.4975000000000001</v>
      </c>
      <c r="R235" s="7">
        <v>45414</v>
      </c>
      <c r="S235">
        <v>3.5024999999999999</v>
      </c>
      <c r="T235" s="7">
        <v>45414</v>
      </c>
      <c r="U235">
        <v>3.5074999999999998</v>
      </c>
      <c r="V235" s="7">
        <v>45414</v>
      </c>
      <c r="W235">
        <v>3.3774999999999999</v>
      </c>
      <c r="X235" s="7">
        <v>45414</v>
      </c>
      <c r="Y235" s="6">
        <v>3.0975000000000001</v>
      </c>
    </row>
    <row r="236" spans="1:25">
      <c r="A236"/>
      <c r="B236" s="7">
        <v>45412</v>
      </c>
      <c r="C236">
        <v>3.5950000000000002</v>
      </c>
      <c r="D236" s="7">
        <v>45412</v>
      </c>
      <c r="E236">
        <v>3.61</v>
      </c>
      <c r="F236" s="7">
        <v>45412</v>
      </c>
      <c r="G236">
        <v>3.62</v>
      </c>
      <c r="H236" s="7">
        <v>45412</v>
      </c>
      <c r="I236">
        <v>3.5950000000000002</v>
      </c>
      <c r="J236" s="7">
        <v>45412</v>
      </c>
      <c r="K236">
        <v>3.57</v>
      </c>
      <c r="L236" s="7">
        <v>45412</v>
      </c>
      <c r="M236">
        <v>3.5350000000000001</v>
      </c>
      <c r="N236" s="7">
        <v>45412</v>
      </c>
      <c r="O236">
        <v>3.5274999999999999</v>
      </c>
      <c r="P236" s="7">
        <v>45412</v>
      </c>
      <c r="Q236">
        <v>3.52</v>
      </c>
      <c r="R236" s="7">
        <v>45412</v>
      </c>
      <c r="S236">
        <v>3.5225</v>
      </c>
      <c r="T236" s="7">
        <v>45412</v>
      </c>
      <c r="U236">
        <v>3.5249999999999999</v>
      </c>
      <c r="V236" s="7">
        <v>45412</v>
      </c>
      <c r="W236">
        <v>3.395</v>
      </c>
      <c r="X236" s="7">
        <v>45412</v>
      </c>
      <c r="Y236" s="6">
        <v>3.125</v>
      </c>
    </row>
    <row r="237" spans="1:25">
      <c r="A237"/>
      <c r="B237" s="7">
        <v>45411</v>
      </c>
      <c r="C237">
        <v>3.6</v>
      </c>
      <c r="D237" s="7">
        <v>45411</v>
      </c>
      <c r="E237">
        <v>3.605</v>
      </c>
      <c r="F237" s="7">
        <v>45411</v>
      </c>
      <c r="G237">
        <v>3.62</v>
      </c>
      <c r="H237" s="7">
        <v>45411</v>
      </c>
      <c r="I237">
        <v>3.6</v>
      </c>
      <c r="J237" s="7">
        <v>45411</v>
      </c>
      <c r="K237">
        <v>3.58</v>
      </c>
      <c r="L237" s="7">
        <v>45411</v>
      </c>
      <c r="M237">
        <v>3.5550000000000002</v>
      </c>
      <c r="N237" s="7">
        <v>45411</v>
      </c>
      <c r="O237">
        <v>3.5575000000000001</v>
      </c>
      <c r="P237" s="7">
        <v>45411</v>
      </c>
      <c r="Q237">
        <v>3.55</v>
      </c>
      <c r="R237" s="7">
        <v>45411</v>
      </c>
      <c r="S237">
        <v>3.56</v>
      </c>
      <c r="T237" s="7">
        <v>45411</v>
      </c>
      <c r="U237">
        <v>3.5649999999999999</v>
      </c>
      <c r="V237" s="7">
        <v>45411</v>
      </c>
      <c r="W237">
        <v>3.4350000000000001</v>
      </c>
      <c r="X237" s="7">
        <v>45411</v>
      </c>
      <c r="Y237" s="6">
        <v>3.165</v>
      </c>
    </row>
    <row r="238" spans="1:25">
      <c r="A238"/>
      <c r="B238" s="7">
        <v>45408</v>
      </c>
      <c r="C238">
        <v>3.585</v>
      </c>
      <c r="D238" s="7">
        <v>45408</v>
      </c>
      <c r="E238">
        <v>3.59</v>
      </c>
      <c r="F238" s="7">
        <v>45408</v>
      </c>
      <c r="G238">
        <v>3.6</v>
      </c>
      <c r="H238" s="7">
        <v>45408</v>
      </c>
      <c r="I238">
        <v>3.5775000000000001</v>
      </c>
      <c r="J238" s="7">
        <v>45408</v>
      </c>
      <c r="K238">
        <v>3.5474999999999999</v>
      </c>
      <c r="L238" s="7">
        <v>45408</v>
      </c>
      <c r="M238">
        <v>3.53</v>
      </c>
      <c r="N238" s="7">
        <v>45408</v>
      </c>
      <c r="O238">
        <v>3.5375000000000001</v>
      </c>
      <c r="P238" s="7">
        <v>45408</v>
      </c>
      <c r="Q238">
        <v>3.5449999999999999</v>
      </c>
      <c r="R238" s="7">
        <v>45408</v>
      </c>
      <c r="S238">
        <v>3.5550000000000002</v>
      </c>
      <c r="T238" s="7">
        <v>45408</v>
      </c>
      <c r="U238">
        <v>3.56</v>
      </c>
      <c r="V238" s="7">
        <v>45408</v>
      </c>
      <c r="W238">
        <v>3.43</v>
      </c>
      <c r="X238" s="7">
        <v>45408</v>
      </c>
      <c r="Y238" s="6">
        <v>3.16</v>
      </c>
    </row>
    <row r="239" spans="1:25">
      <c r="A239"/>
      <c r="B239" s="7">
        <v>45407</v>
      </c>
      <c r="C239">
        <v>3.5950000000000002</v>
      </c>
      <c r="D239" s="7">
        <v>45407</v>
      </c>
      <c r="E239">
        <v>3.6</v>
      </c>
      <c r="F239" s="7">
        <v>45407</v>
      </c>
      <c r="G239">
        <v>3.605</v>
      </c>
      <c r="H239" s="7">
        <v>45407</v>
      </c>
      <c r="I239">
        <v>3.5950000000000002</v>
      </c>
      <c r="J239" s="7">
        <v>45407</v>
      </c>
      <c r="K239">
        <v>3.5750000000000002</v>
      </c>
      <c r="L239" s="7">
        <v>45407</v>
      </c>
      <c r="M239">
        <v>3.56</v>
      </c>
      <c r="N239" s="7">
        <v>45407</v>
      </c>
      <c r="O239">
        <v>3.5649999999999999</v>
      </c>
      <c r="P239" s="7">
        <v>45407</v>
      </c>
      <c r="Q239">
        <v>3.5724999999999998</v>
      </c>
      <c r="R239" s="7">
        <v>45407</v>
      </c>
      <c r="S239">
        <v>3.5724999999999998</v>
      </c>
      <c r="T239" s="7">
        <v>45407</v>
      </c>
      <c r="U239">
        <v>3.5874999999999999</v>
      </c>
      <c r="V239" s="7">
        <v>45407</v>
      </c>
      <c r="W239">
        <v>3.4775</v>
      </c>
      <c r="X239" s="7">
        <v>45407</v>
      </c>
      <c r="Y239" s="6">
        <v>3.2174999999999998</v>
      </c>
    </row>
    <row r="240" spans="1:25">
      <c r="A240"/>
      <c r="B240" s="7">
        <v>45406</v>
      </c>
      <c r="C240">
        <v>3.5950000000000002</v>
      </c>
      <c r="D240" s="7">
        <v>45406</v>
      </c>
      <c r="E240">
        <v>3.6</v>
      </c>
      <c r="F240" s="7">
        <v>45406</v>
      </c>
      <c r="G240">
        <v>3.6</v>
      </c>
      <c r="H240" s="7">
        <v>45406</v>
      </c>
      <c r="I240">
        <v>3.58</v>
      </c>
      <c r="J240" s="7">
        <v>45406</v>
      </c>
      <c r="K240">
        <v>3.5575000000000001</v>
      </c>
      <c r="L240" s="7">
        <v>45406</v>
      </c>
      <c r="M240">
        <v>3.52</v>
      </c>
      <c r="N240" s="7">
        <v>45406</v>
      </c>
      <c r="O240">
        <v>3.5150000000000001</v>
      </c>
      <c r="P240" s="7">
        <v>45406</v>
      </c>
      <c r="Q240">
        <v>3.5150000000000001</v>
      </c>
      <c r="R240" s="7">
        <v>45406</v>
      </c>
      <c r="S240">
        <v>3.5125000000000002</v>
      </c>
      <c r="T240" s="7">
        <v>45406</v>
      </c>
      <c r="U240">
        <v>3.5225</v>
      </c>
      <c r="V240" s="7">
        <v>45406</v>
      </c>
      <c r="W240">
        <v>3.42</v>
      </c>
      <c r="X240" s="7">
        <v>45406</v>
      </c>
      <c r="Y240" s="6">
        <v>3.17</v>
      </c>
    </row>
    <row r="241" spans="1:25">
      <c r="A241"/>
      <c r="B241" s="7">
        <v>45405</v>
      </c>
      <c r="C241">
        <v>3.5975000000000001</v>
      </c>
      <c r="D241" s="7">
        <v>45405</v>
      </c>
      <c r="E241">
        <v>3.6</v>
      </c>
      <c r="F241" s="7">
        <v>45405</v>
      </c>
      <c r="G241">
        <v>3.6025</v>
      </c>
      <c r="H241" s="7">
        <v>45405</v>
      </c>
      <c r="I241">
        <v>3.5724999999999998</v>
      </c>
      <c r="J241" s="7">
        <v>45405</v>
      </c>
      <c r="K241">
        <v>3.5425</v>
      </c>
      <c r="L241" s="7">
        <v>45405</v>
      </c>
      <c r="M241">
        <v>3.5049999999999999</v>
      </c>
      <c r="N241" s="7">
        <v>45405</v>
      </c>
      <c r="O241">
        <v>3.4950000000000001</v>
      </c>
      <c r="P241" s="7">
        <v>45405</v>
      </c>
      <c r="Q241">
        <v>3.49</v>
      </c>
      <c r="R241" s="7">
        <v>45405</v>
      </c>
      <c r="S241">
        <v>3.4849999999999999</v>
      </c>
      <c r="T241" s="7">
        <v>45405</v>
      </c>
      <c r="U241">
        <v>3.4950000000000001</v>
      </c>
      <c r="V241" s="7">
        <v>45405</v>
      </c>
      <c r="W241">
        <v>3.395</v>
      </c>
      <c r="X241" s="7">
        <v>45405</v>
      </c>
      <c r="Y241" s="6">
        <v>3.145</v>
      </c>
    </row>
    <row r="242" spans="1:25">
      <c r="A242"/>
      <c r="B242" s="7">
        <v>45404</v>
      </c>
      <c r="C242">
        <v>3.5950000000000002</v>
      </c>
      <c r="D242" s="7">
        <v>45404</v>
      </c>
      <c r="E242">
        <v>3.6</v>
      </c>
      <c r="F242" s="7">
        <v>45404</v>
      </c>
      <c r="G242">
        <v>3.61</v>
      </c>
      <c r="H242" s="7">
        <v>45404</v>
      </c>
      <c r="I242">
        <v>3.5825</v>
      </c>
      <c r="J242" s="7">
        <v>45404</v>
      </c>
      <c r="K242">
        <v>3.5575000000000001</v>
      </c>
      <c r="L242" s="7">
        <v>45404</v>
      </c>
      <c r="M242">
        <v>3.5249999999999999</v>
      </c>
      <c r="N242" s="7">
        <v>45404</v>
      </c>
      <c r="O242">
        <v>3.5125000000000002</v>
      </c>
      <c r="P242" s="7">
        <v>45404</v>
      </c>
      <c r="Q242">
        <v>3.5049999999999999</v>
      </c>
      <c r="R242" s="7">
        <v>45404</v>
      </c>
      <c r="S242">
        <v>3.5024999999999999</v>
      </c>
      <c r="T242" s="7">
        <v>45404</v>
      </c>
      <c r="U242">
        <v>3.5150000000000001</v>
      </c>
      <c r="V242" s="7">
        <v>45404</v>
      </c>
      <c r="W242">
        <v>3.415</v>
      </c>
      <c r="X242" s="7">
        <v>45404</v>
      </c>
      <c r="Y242" s="6">
        <v>3.1749999999999998</v>
      </c>
    </row>
    <row r="243" spans="1:25">
      <c r="A243"/>
      <c r="B243" s="7">
        <v>45401</v>
      </c>
      <c r="C243">
        <v>3.585</v>
      </c>
      <c r="D243" s="7">
        <v>45401</v>
      </c>
      <c r="E243">
        <v>3.5775000000000001</v>
      </c>
      <c r="F243" s="7">
        <v>45401</v>
      </c>
      <c r="G243">
        <v>3.5724999999999998</v>
      </c>
      <c r="H243" s="7">
        <v>45401</v>
      </c>
      <c r="I243">
        <v>3.5474999999999999</v>
      </c>
      <c r="J243" s="7">
        <v>45401</v>
      </c>
      <c r="K243">
        <v>3.5274999999999999</v>
      </c>
      <c r="L243" s="7">
        <v>45401</v>
      </c>
      <c r="M243">
        <v>3.48</v>
      </c>
      <c r="N243" s="7">
        <v>45401</v>
      </c>
      <c r="O243">
        <v>3.4624999999999999</v>
      </c>
      <c r="P243" s="7">
        <v>45401</v>
      </c>
      <c r="Q243">
        <v>3.45</v>
      </c>
      <c r="R243" s="7">
        <v>45401</v>
      </c>
      <c r="S243">
        <v>3.4449999999999998</v>
      </c>
      <c r="T243" s="7">
        <v>45401</v>
      </c>
      <c r="U243">
        <v>3.4550000000000001</v>
      </c>
      <c r="V243" s="7">
        <v>45401</v>
      </c>
      <c r="W243">
        <v>3.355</v>
      </c>
      <c r="X243" s="7">
        <v>45401</v>
      </c>
      <c r="Y243" s="6">
        <v>3.1150000000000002</v>
      </c>
    </row>
    <row r="244" spans="1:25">
      <c r="A244"/>
      <c r="B244" s="7">
        <v>45400</v>
      </c>
      <c r="C244">
        <v>3.5575000000000001</v>
      </c>
      <c r="D244" s="7">
        <v>45400</v>
      </c>
      <c r="E244">
        <v>3.5350000000000001</v>
      </c>
      <c r="F244" s="7">
        <v>45400</v>
      </c>
      <c r="G244">
        <v>3.5249999999999999</v>
      </c>
      <c r="H244" s="7">
        <v>45400</v>
      </c>
      <c r="I244">
        <v>3.4925000000000002</v>
      </c>
      <c r="J244" s="7">
        <v>45400</v>
      </c>
      <c r="K244">
        <v>3.47</v>
      </c>
      <c r="L244" s="7">
        <v>45400</v>
      </c>
      <c r="M244">
        <v>3.4325000000000001</v>
      </c>
      <c r="N244" s="7">
        <v>45400</v>
      </c>
      <c r="O244">
        <v>3.4224999999999999</v>
      </c>
      <c r="P244" s="7">
        <v>45400</v>
      </c>
      <c r="Q244">
        <v>3.42</v>
      </c>
      <c r="R244" s="7">
        <v>45400</v>
      </c>
      <c r="S244">
        <v>3.4175</v>
      </c>
      <c r="T244" s="7">
        <v>45400</v>
      </c>
      <c r="U244">
        <v>3.43</v>
      </c>
      <c r="V244" s="7">
        <v>45400</v>
      </c>
      <c r="W244">
        <v>3.33</v>
      </c>
      <c r="X244" s="7">
        <v>45400</v>
      </c>
      <c r="Y244" s="6">
        <v>3.09</v>
      </c>
    </row>
    <row r="245" spans="1:25">
      <c r="A245"/>
      <c r="B245" s="7">
        <v>45399</v>
      </c>
      <c r="C245">
        <v>3.5649999999999999</v>
      </c>
      <c r="D245" s="7">
        <v>45399</v>
      </c>
      <c r="E245">
        <v>3.5449999999999999</v>
      </c>
      <c r="F245" s="7">
        <v>45399</v>
      </c>
      <c r="G245">
        <v>3.54</v>
      </c>
      <c r="H245" s="7">
        <v>45399</v>
      </c>
      <c r="I245">
        <v>3.5150000000000001</v>
      </c>
      <c r="J245" s="7">
        <v>45399</v>
      </c>
      <c r="K245">
        <v>3.4950000000000001</v>
      </c>
      <c r="L245" s="7">
        <v>45399</v>
      </c>
      <c r="M245">
        <v>3.4725000000000001</v>
      </c>
      <c r="N245" s="7">
        <v>45399</v>
      </c>
      <c r="O245">
        <v>3.47</v>
      </c>
      <c r="P245" s="7">
        <v>45399</v>
      </c>
      <c r="Q245">
        <v>3.4775</v>
      </c>
      <c r="R245" s="7">
        <v>45399</v>
      </c>
      <c r="S245">
        <v>3.4750000000000001</v>
      </c>
      <c r="T245" s="7">
        <v>45399</v>
      </c>
      <c r="U245">
        <v>3.49</v>
      </c>
      <c r="V245" s="7">
        <v>45399</v>
      </c>
      <c r="W245">
        <v>3.395</v>
      </c>
      <c r="X245" s="7">
        <v>45399</v>
      </c>
      <c r="Y245" s="6">
        <v>3.1549999999999998</v>
      </c>
    </row>
    <row r="246" spans="1:25">
      <c r="A246"/>
      <c r="B246" s="7">
        <v>45398</v>
      </c>
      <c r="C246">
        <v>3.57</v>
      </c>
      <c r="D246" s="7">
        <v>45398</v>
      </c>
      <c r="E246">
        <v>3.55</v>
      </c>
      <c r="F246" s="7">
        <v>45398</v>
      </c>
      <c r="G246">
        <v>3.5449999999999999</v>
      </c>
      <c r="H246" s="7">
        <v>45398</v>
      </c>
      <c r="I246">
        <v>3.5274999999999999</v>
      </c>
      <c r="J246" s="7">
        <v>45398</v>
      </c>
      <c r="K246">
        <v>3.5150000000000001</v>
      </c>
      <c r="L246" s="7">
        <v>45398</v>
      </c>
      <c r="M246">
        <v>3.4925000000000002</v>
      </c>
      <c r="N246" s="7">
        <v>45398</v>
      </c>
      <c r="O246">
        <v>3.4824999999999999</v>
      </c>
      <c r="P246" s="7">
        <v>45398</v>
      </c>
      <c r="Q246">
        <v>3.4849999999999999</v>
      </c>
      <c r="R246" s="7">
        <v>45398</v>
      </c>
      <c r="S246">
        <v>3.4849999999999999</v>
      </c>
      <c r="T246" s="7">
        <v>45398</v>
      </c>
      <c r="U246">
        <v>3.4975000000000001</v>
      </c>
      <c r="V246" s="7">
        <v>45398</v>
      </c>
      <c r="W246">
        <v>3.4125000000000001</v>
      </c>
      <c r="X246" s="7">
        <v>45398</v>
      </c>
      <c r="Y246" s="6">
        <v>3.1724999999999999</v>
      </c>
    </row>
    <row r="247" spans="1:25">
      <c r="A247"/>
      <c r="B247" s="7">
        <v>45397</v>
      </c>
      <c r="C247">
        <v>3.56</v>
      </c>
      <c r="D247" s="7">
        <v>45397</v>
      </c>
      <c r="E247">
        <v>3.5375000000000001</v>
      </c>
      <c r="F247" s="7">
        <v>45397</v>
      </c>
      <c r="G247">
        <v>3.5350000000000001</v>
      </c>
      <c r="H247" s="7">
        <v>45397</v>
      </c>
      <c r="I247">
        <v>3.5125000000000002</v>
      </c>
      <c r="J247" s="7">
        <v>45397</v>
      </c>
      <c r="K247">
        <v>3.49</v>
      </c>
      <c r="L247" s="7">
        <v>45397</v>
      </c>
      <c r="M247">
        <v>3.45</v>
      </c>
      <c r="N247" s="7">
        <v>45397</v>
      </c>
      <c r="O247">
        <v>3.4350000000000001</v>
      </c>
      <c r="P247" s="7">
        <v>45397</v>
      </c>
      <c r="Q247">
        <v>3.4325000000000001</v>
      </c>
      <c r="R247" s="7">
        <v>45397</v>
      </c>
      <c r="S247">
        <v>3.4224999999999999</v>
      </c>
      <c r="T247" s="7">
        <v>45397</v>
      </c>
      <c r="U247">
        <v>3.4275000000000002</v>
      </c>
      <c r="V247" s="7">
        <v>45397</v>
      </c>
      <c r="W247">
        <v>3.36</v>
      </c>
      <c r="X247" s="7">
        <v>45397</v>
      </c>
      <c r="Y247" s="6">
        <v>3.12</v>
      </c>
    </row>
    <row r="248" spans="1:25">
      <c r="A248"/>
      <c r="B248" s="7">
        <v>45394</v>
      </c>
      <c r="C248">
        <v>3.55</v>
      </c>
      <c r="D248" s="7">
        <v>45394</v>
      </c>
      <c r="E248">
        <v>3.5249999999999999</v>
      </c>
      <c r="F248" s="7">
        <v>45394</v>
      </c>
      <c r="G248">
        <v>3.5175000000000001</v>
      </c>
      <c r="H248" s="7">
        <v>45394</v>
      </c>
      <c r="I248">
        <v>3.48</v>
      </c>
      <c r="J248" s="7">
        <v>45394</v>
      </c>
      <c r="K248">
        <v>3.4550000000000001</v>
      </c>
      <c r="L248" s="7">
        <v>45394</v>
      </c>
      <c r="M248">
        <v>3.4175</v>
      </c>
      <c r="N248" s="7">
        <v>45394</v>
      </c>
      <c r="O248">
        <v>3.4049999999999998</v>
      </c>
      <c r="P248" s="7">
        <v>45394</v>
      </c>
      <c r="Q248">
        <v>3.4049999999999998</v>
      </c>
      <c r="R248" s="7">
        <v>45394</v>
      </c>
      <c r="S248">
        <v>3.3975</v>
      </c>
      <c r="T248" s="7">
        <v>45394</v>
      </c>
      <c r="U248">
        <v>3.4049999999999998</v>
      </c>
      <c r="V248" s="7">
        <v>45394</v>
      </c>
      <c r="W248">
        <v>3.3374999999999999</v>
      </c>
      <c r="X248" s="7">
        <v>45394</v>
      </c>
      <c r="Y248" s="6">
        <v>3.0975000000000001</v>
      </c>
    </row>
    <row r="249" spans="1:25">
      <c r="A249"/>
      <c r="B249" s="7">
        <v>45393</v>
      </c>
      <c r="C249">
        <v>3.5775000000000001</v>
      </c>
      <c r="D249" s="7">
        <v>45393</v>
      </c>
      <c r="E249">
        <v>3.5674999999999999</v>
      </c>
      <c r="F249" s="7">
        <v>45393</v>
      </c>
      <c r="G249">
        <v>3.57</v>
      </c>
      <c r="H249" s="7">
        <v>45393</v>
      </c>
      <c r="I249">
        <v>3.5350000000000001</v>
      </c>
      <c r="J249" s="7">
        <v>45393</v>
      </c>
      <c r="K249">
        <v>3.5125000000000002</v>
      </c>
      <c r="L249" s="7">
        <v>45393</v>
      </c>
      <c r="M249">
        <v>3.4750000000000001</v>
      </c>
      <c r="N249" s="7">
        <v>45393</v>
      </c>
      <c r="O249">
        <v>3.46</v>
      </c>
      <c r="P249" s="7">
        <v>45393</v>
      </c>
      <c r="Q249">
        <v>3.46</v>
      </c>
      <c r="R249" s="7">
        <v>45393</v>
      </c>
      <c r="S249">
        <v>3.45</v>
      </c>
      <c r="T249" s="7">
        <v>45393</v>
      </c>
      <c r="U249">
        <v>3.4575</v>
      </c>
      <c r="V249" s="7">
        <v>45393</v>
      </c>
      <c r="W249">
        <v>3.3925000000000001</v>
      </c>
      <c r="X249" s="7">
        <v>45393</v>
      </c>
      <c r="Y249" s="6">
        <v>3.1524999999999999</v>
      </c>
    </row>
    <row r="250" spans="1:25">
      <c r="A250"/>
      <c r="B250" s="7">
        <v>45391</v>
      </c>
      <c r="C250">
        <v>3.5775000000000001</v>
      </c>
      <c r="D250" s="7">
        <v>45391</v>
      </c>
      <c r="E250">
        <v>3.5449999999999999</v>
      </c>
      <c r="F250" s="7">
        <v>45391</v>
      </c>
      <c r="G250">
        <v>3.5249999999999999</v>
      </c>
      <c r="H250" s="7">
        <v>45391</v>
      </c>
      <c r="I250">
        <v>3.4775</v>
      </c>
      <c r="J250" s="7">
        <v>45391</v>
      </c>
      <c r="K250">
        <v>3.44</v>
      </c>
      <c r="L250" s="7">
        <v>45391</v>
      </c>
      <c r="M250">
        <v>3.3875000000000002</v>
      </c>
      <c r="N250" s="7">
        <v>45391</v>
      </c>
      <c r="O250">
        <v>3.3675000000000002</v>
      </c>
      <c r="P250" s="7">
        <v>45391</v>
      </c>
      <c r="Q250">
        <v>3.36</v>
      </c>
      <c r="R250" s="7">
        <v>45391</v>
      </c>
      <c r="S250">
        <v>3.35</v>
      </c>
      <c r="T250" s="7">
        <v>45391</v>
      </c>
      <c r="U250">
        <v>3.36</v>
      </c>
      <c r="V250" s="7">
        <v>45391</v>
      </c>
      <c r="W250">
        <v>3.2949999999999999</v>
      </c>
      <c r="X250" s="7">
        <v>45391</v>
      </c>
      <c r="Y250" s="6">
        <v>3.0550000000000002</v>
      </c>
    </row>
    <row r="251" spans="1:25">
      <c r="A251"/>
      <c r="B251" s="7">
        <v>45390</v>
      </c>
      <c r="C251">
        <v>3.58</v>
      </c>
      <c r="D251" s="7">
        <v>45390</v>
      </c>
      <c r="E251">
        <v>3.54</v>
      </c>
      <c r="F251" s="7">
        <v>45390</v>
      </c>
      <c r="G251">
        <v>3.5175000000000001</v>
      </c>
      <c r="H251" s="7">
        <v>45390</v>
      </c>
      <c r="I251">
        <v>3.4575</v>
      </c>
      <c r="J251" s="7">
        <v>45390</v>
      </c>
      <c r="K251">
        <v>3.4224999999999999</v>
      </c>
      <c r="L251" s="7">
        <v>45390</v>
      </c>
      <c r="M251">
        <v>3.3675000000000002</v>
      </c>
      <c r="N251" s="7">
        <v>45390</v>
      </c>
      <c r="O251">
        <v>3.3450000000000002</v>
      </c>
      <c r="P251" s="7">
        <v>45390</v>
      </c>
      <c r="Q251">
        <v>3.3374999999999999</v>
      </c>
      <c r="R251" s="7">
        <v>45390</v>
      </c>
      <c r="S251">
        <v>3.33</v>
      </c>
      <c r="T251" s="7">
        <v>45390</v>
      </c>
      <c r="U251">
        <v>3.3424999999999998</v>
      </c>
      <c r="V251" s="7">
        <v>45390</v>
      </c>
      <c r="W251">
        <v>3.2774999999999999</v>
      </c>
      <c r="X251" s="7">
        <v>45390</v>
      </c>
      <c r="Y251" s="6">
        <v>3.0375000000000001</v>
      </c>
    </row>
    <row r="252" spans="1:25">
      <c r="A252"/>
      <c r="B252" s="7">
        <v>45387</v>
      </c>
      <c r="C252">
        <v>3.59</v>
      </c>
      <c r="D252" s="7">
        <v>45387</v>
      </c>
      <c r="E252">
        <v>3.54</v>
      </c>
      <c r="F252" s="7">
        <v>45387</v>
      </c>
      <c r="G252">
        <v>3.5024999999999999</v>
      </c>
      <c r="H252" s="7">
        <v>45387</v>
      </c>
      <c r="I252">
        <v>3.43</v>
      </c>
      <c r="J252" s="7">
        <v>45387</v>
      </c>
      <c r="K252">
        <v>3.38</v>
      </c>
      <c r="L252" s="7">
        <v>45387</v>
      </c>
      <c r="M252">
        <v>3.3174999999999999</v>
      </c>
      <c r="N252" s="7">
        <v>45387</v>
      </c>
      <c r="O252">
        <v>3.29</v>
      </c>
      <c r="P252" s="7">
        <v>45387</v>
      </c>
      <c r="Q252">
        <v>3.28</v>
      </c>
      <c r="R252" s="7">
        <v>45387</v>
      </c>
      <c r="S252">
        <v>3.2725</v>
      </c>
      <c r="T252" s="7">
        <v>45387</v>
      </c>
      <c r="U252">
        <v>3.2850000000000001</v>
      </c>
      <c r="V252" s="7">
        <v>45387</v>
      </c>
      <c r="W252">
        <v>3.22</v>
      </c>
      <c r="X252" s="7">
        <v>45387</v>
      </c>
      <c r="Y252" s="6">
        <v>2.98</v>
      </c>
    </row>
    <row r="253" spans="1:25">
      <c r="A253"/>
      <c r="B253" s="7">
        <v>45386</v>
      </c>
      <c r="C253">
        <v>3.5975000000000001</v>
      </c>
      <c r="D253" s="7">
        <v>45386</v>
      </c>
      <c r="E253">
        <v>3.5449999999999999</v>
      </c>
      <c r="F253" s="7">
        <v>45386</v>
      </c>
      <c r="G253">
        <v>3.51</v>
      </c>
      <c r="H253" s="7">
        <v>45386</v>
      </c>
      <c r="I253">
        <v>3.4375</v>
      </c>
      <c r="J253" s="7">
        <v>45386</v>
      </c>
      <c r="K253">
        <v>3.3849999999999998</v>
      </c>
      <c r="L253" s="7">
        <v>45386</v>
      </c>
      <c r="M253">
        <v>3.32</v>
      </c>
      <c r="N253" s="7">
        <v>45386</v>
      </c>
      <c r="O253">
        <v>3.3</v>
      </c>
      <c r="P253" s="7">
        <v>45386</v>
      </c>
      <c r="Q253">
        <v>3.29</v>
      </c>
      <c r="R253" s="7">
        <v>45386</v>
      </c>
      <c r="S253">
        <v>3.2850000000000001</v>
      </c>
      <c r="T253" s="7">
        <v>45386</v>
      </c>
      <c r="U253">
        <v>3.3025000000000002</v>
      </c>
      <c r="V253" s="7">
        <v>45386</v>
      </c>
      <c r="W253">
        <v>3.2324999999999999</v>
      </c>
      <c r="X253" s="7">
        <v>45386</v>
      </c>
      <c r="Y253" s="6">
        <v>2.9925000000000002</v>
      </c>
    </row>
    <row r="254" spans="1:25">
      <c r="A254"/>
      <c r="B254" s="7">
        <v>45385</v>
      </c>
      <c r="C254">
        <v>3.6</v>
      </c>
      <c r="D254" s="7">
        <v>45385</v>
      </c>
      <c r="E254">
        <v>3.5474999999999999</v>
      </c>
      <c r="F254" s="7">
        <v>45385</v>
      </c>
      <c r="G254">
        <v>3.51</v>
      </c>
      <c r="H254" s="7">
        <v>45385</v>
      </c>
      <c r="I254">
        <v>3.4375</v>
      </c>
      <c r="J254" s="7">
        <v>45385</v>
      </c>
      <c r="K254">
        <v>3.3774999999999999</v>
      </c>
      <c r="L254" s="7">
        <v>45385</v>
      </c>
      <c r="M254">
        <v>3.3125</v>
      </c>
      <c r="N254" s="7">
        <v>45385</v>
      </c>
      <c r="O254">
        <v>3.2925</v>
      </c>
      <c r="P254" s="7">
        <v>45385</v>
      </c>
      <c r="Q254">
        <v>3.2825000000000002</v>
      </c>
      <c r="R254" s="7">
        <v>45385</v>
      </c>
      <c r="S254">
        <v>3.2774999999999999</v>
      </c>
      <c r="T254" s="7">
        <v>45385</v>
      </c>
      <c r="U254">
        <v>3.2949999999999999</v>
      </c>
      <c r="V254" s="7">
        <v>45385</v>
      </c>
      <c r="W254">
        <v>3.23</v>
      </c>
      <c r="X254" s="7">
        <v>45385</v>
      </c>
      <c r="Y254" s="6">
        <v>2.99</v>
      </c>
    </row>
    <row r="255" spans="1:25">
      <c r="A255"/>
      <c r="B255" s="7">
        <v>45384</v>
      </c>
      <c r="C255">
        <v>3.6025</v>
      </c>
      <c r="D255" s="7">
        <v>45384</v>
      </c>
      <c r="E255">
        <v>3.55</v>
      </c>
      <c r="F255" s="7">
        <v>45384</v>
      </c>
      <c r="G255">
        <v>3.5150000000000001</v>
      </c>
      <c r="H255" s="7">
        <v>45384</v>
      </c>
      <c r="I255">
        <v>3.44</v>
      </c>
      <c r="J255" s="7">
        <v>45384</v>
      </c>
      <c r="K255">
        <v>3.3774999999999999</v>
      </c>
      <c r="L255" s="7">
        <v>45384</v>
      </c>
      <c r="M255">
        <v>3.3125</v>
      </c>
      <c r="N255" s="7">
        <v>45384</v>
      </c>
      <c r="O255">
        <v>3.2850000000000001</v>
      </c>
      <c r="P255" s="7">
        <v>45384</v>
      </c>
      <c r="Q255">
        <v>3.27</v>
      </c>
      <c r="R255" s="7">
        <v>45384</v>
      </c>
      <c r="S255">
        <v>3.2549999999999999</v>
      </c>
      <c r="T255" s="7">
        <v>45384</v>
      </c>
      <c r="U255">
        <v>3.27</v>
      </c>
      <c r="V255" s="7">
        <v>45384</v>
      </c>
      <c r="W255">
        <v>3.1949999999999998</v>
      </c>
      <c r="X255" s="7">
        <v>45384</v>
      </c>
      <c r="Y255" s="6">
        <v>2.9550000000000001</v>
      </c>
    </row>
    <row r="256" spans="1:25">
      <c r="A256"/>
      <c r="B256" s="7">
        <v>45383</v>
      </c>
      <c r="C256">
        <v>3.6</v>
      </c>
      <c r="D256" s="7">
        <v>45383</v>
      </c>
      <c r="E256">
        <v>3.5474999999999999</v>
      </c>
      <c r="F256" s="7">
        <v>45383</v>
      </c>
      <c r="G256">
        <v>3.5049999999999999</v>
      </c>
      <c r="H256" s="7">
        <v>45383</v>
      </c>
      <c r="I256">
        <v>3.42</v>
      </c>
      <c r="J256" s="7">
        <v>45383</v>
      </c>
      <c r="K256">
        <v>3.35</v>
      </c>
      <c r="L256" s="7">
        <v>45383</v>
      </c>
      <c r="M256">
        <v>3.27</v>
      </c>
      <c r="N256" s="7">
        <v>45383</v>
      </c>
      <c r="O256">
        <v>3.2425000000000002</v>
      </c>
      <c r="P256" s="7">
        <v>45383</v>
      </c>
      <c r="Q256">
        <v>3.2275</v>
      </c>
      <c r="R256" s="7">
        <v>45383</v>
      </c>
      <c r="S256">
        <v>3.2174999999999998</v>
      </c>
      <c r="T256" s="7">
        <v>45383</v>
      </c>
      <c r="U256">
        <v>3.2250000000000001</v>
      </c>
      <c r="V256" s="7">
        <v>45383</v>
      </c>
      <c r="W256">
        <v>3.15</v>
      </c>
      <c r="X256" s="7">
        <v>45383</v>
      </c>
      <c r="Y256" s="6">
        <v>2.91</v>
      </c>
    </row>
    <row r="257" spans="1:25">
      <c r="A257"/>
      <c r="B257" s="7">
        <v>45380</v>
      </c>
      <c r="C257">
        <v>3.6175000000000002</v>
      </c>
      <c r="D257" s="7">
        <v>45380</v>
      </c>
      <c r="E257">
        <v>3.5649999999999999</v>
      </c>
      <c r="F257" s="7">
        <v>45380</v>
      </c>
      <c r="G257">
        <v>3.5225</v>
      </c>
      <c r="H257" s="7">
        <v>45380</v>
      </c>
      <c r="I257">
        <v>3.4449999999999998</v>
      </c>
      <c r="J257" s="7">
        <v>45380</v>
      </c>
      <c r="K257">
        <v>3.38</v>
      </c>
      <c r="L257" s="7">
        <v>45380</v>
      </c>
      <c r="M257">
        <v>3.3</v>
      </c>
      <c r="N257" s="7">
        <v>45380</v>
      </c>
      <c r="O257">
        <v>3.2725</v>
      </c>
      <c r="P257" s="7">
        <v>45380</v>
      </c>
      <c r="Q257">
        <v>3.2574999999999998</v>
      </c>
      <c r="R257" s="7">
        <v>45380</v>
      </c>
      <c r="S257">
        <v>3.2475000000000001</v>
      </c>
      <c r="T257" s="7">
        <v>45380</v>
      </c>
      <c r="U257">
        <v>3.2549999999999999</v>
      </c>
      <c r="V257" s="7">
        <v>45380</v>
      </c>
      <c r="W257">
        <v>3.18</v>
      </c>
      <c r="X257" s="7">
        <v>45380</v>
      </c>
      <c r="Y257" s="6">
        <v>2.94</v>
      </c>
    </row>
    <row r="258" spans="1:25">
      <c r="A258"/>
      <c r="B258" s="7">
        <v>45379</v>
      </c>
      <c r="C258">
        <v>3.6175000000000002</v>
      </c>
      <c r="D258" s="7">
        <v>45379</v>
      </c>
      <c r="E258">
        <v>3.5649999999999999</v>
      </c>
      <c r="F258" s="7">
        <v>45379</v>
      </c>
      <c r="G258">
        <v>3.5150000000000001</v>
      </c>
      <c r="H258" s="7">
        <v>45379</v>
      </c>
      <c r="I258">
        <v>3.4350000000000001</v>
      </c>
      <c r="J258" s="7">
        <v>45379</v>
      </c>
      <c r="K258">
        <v>3.3675000000000002</v>
      </c>
      <c r="L258" s="7">
        <v>45379</v>
      </c>
      <c r="M258">
        <v>3.2850000000000001</v>
      </c>
      <c r="N258" s="7">
        <v>45379</v>
      </c>
      <c r="O258">
        <v>3.2574999999999998</v>
      </c>
      <c r="P258" s="7">
        <v>45379</v>
      </c>
      <c r="Q258">
        <v>3.24</v>
      </c>
      <c r="R258" s="7">
        <v>45379</v>
      </c>
      <c r="S258">
        <v>3.23</v>
      </c>
      <c r="T258" s="7">
        <v>45379</v>
      </c>
      <c r="U258">
        <v>3.2374999999999998</v>
      </c>
      <c r="V258" s="7">
        <v>45379</v>
      </c>
      <c r="W258">
        <v>3.1625000000000001</v>
      </c>
      <c r="X258" s="7">
        <v>45379</v>
      </c>
      <c r="Y258" s="6">
        <v>2.9224999999999999</v>
      </c>
    </row>
    <row r="259" spans="1:25">
      <c r="A259"/>
      <c r="B259" s="7">
        <v>45378</v>
      </c>
      <c r="C259">
        <v>3.6175000000000002</v>
      </c>
      <c r="D259" s="7">
        <v>45378</v>
      </c>
      <c r="E259">
        <v>3.5649999999999999</v>
      </c>
      <c r="F259" s="7">
        <v>45378</v>
      </c>
      <c r="G259">
        <v>3.5125000000000002</v>
      </c>
      <c r="H259" s="7">
        <v>45378</v>
      </c>
      <c r="I259">
        <v>3.43</v>
      </c>
      <c r="J259" s="7">
        <v>45378</v>
      </c>
      <c r="K259">
        <v>3.36</v>
      </c>
      <c r="L259" s="7">
        <v>45378</v>
      </c>
      <c r="M259">
        <v>3.2774999999999999</v>
      </c>
      <c r="N259" s="7">
        <v>45378</v>
      </c>
      <c r="O259">
        <v>3.2524999999999999</v>
      </c>
      <c r="P259" s="7">
        <v>45378</v>
      </c>
      <c r="Q259">
        <v>3.2349999999999999</v>
      </c>
      <c r="R259" s="7">
        <v>45378</v>
      </c>
      <c r="S259">
        <v>3.2275</v>
      </c>
      <c r="T259" s="7">
        <v>45378</v>
      </c>
      <c r="U259">
        <v>3.2349999999999999</v>
      </c>
      <c r="V259" s="7">
        <v>45378</v>
      </c>
      <c r="W259">
        <v>3.16</v>
      </c>
      <c r="X259" s="7">
        <v>45378</v>
      </c>
      <c r="Y259" s="6">
        <v>2.92</v>
      </c>
    </row>
    <row r="260" spans="1:25">
      <c r="A260"/>
      <c r="B260" s="7">
        <v>45377</v>
      </c>
      <c r="C260">
        <v>3.63</v>
      </c>
      <c r="D260" s="7">
        <v>45377</v>
      </c>
      <c r="E260">
        <v>3.5750000000000002</v>
      </c>
      <c r="F260" s="7">
        <v>45377</v>
      </c>
      <c r="G260">
        <v>3.52</v>
      </c>
      <c r="H260" s="7">
        <v>45377</v>
      </c>
      <c r="I260">
        <v>3.4424999999999999</v>
      </c>
      <c r="J260" s="7">
        <v>45377</v>
      </c>
      <c r="K260">
        <v>3.3774999999999999</v>
      </c>
      <c r="L260" s="7">
        <v>45377</v>
      </c>
      <c r="M260">
        <v>3.2949999999999999</v>
      </c>
      <c r="N260" s="7">
        <v>45377</v>
      </c>
      <c r="O260">
        <v>3.2725</v>
      </c>
      <c r="P260" s="7">
        <v>45377</v>
      </c>
      <c r="Q260">
        <v>3.2549999999999999</v>
      </c>
      <c r="R260" s="7">
        <v>45377</v>
      </c>
      <c r="S260">
        <v>3.2549999999999999</v>
      </c>
      <c r="T260" s="7">
        <v>45377</v>
      </c>
      <c r="U260">
        <v>3.2650000000000001</v>
      </c>
      <c r="V260" s="7">
        <v>45377</v>
      </c>
      <c r="W260">
        <v>3.19</v>
      </c>
      <c r="X260" s="7">
        <v>45377</v>
      </c>
      <c r="Y260" s="6">
        <v>2.95</v>
      </c>
    </row>
    <row r="261" spans="1:25">
      <c r="A261"/>
      <c r="B261" s="7">
        <v>45376</v>
      </c>
      <c r="C261">
        <v>3.6349999999999998</v>
      </c>
      <c r="D261" s="7">
        <v>45376</v>
      </c>
      <c r="E261">
        <v>3.5750000000000002</v>
      </c>
      <c r="F261" s="7">
        <v>45376</v>
      </c>
      <c r="G261">
        <v>3.5175000000000001</v>
      </c>
      <c r="H261" s="7">
        <v>45376</v>
      </c>
      <c r="I261">
        <v>3.4325000000000001</v>
      </c>
      <c r="J261" s="7">
        <v>45376</v>
      </c>
      <c r="K261">
        <v>3.3574999999999999</v>
      </c>
      <c r="L261" s="7">
        <v>45376</v>
      </c>
      <c r="M261">
        <v>3.2749999999999999</v>
      </c>
      <c r="N261" s="7">
        <v>45376</v>
      </c>
      <c r="O261">
        <v>3.2524999999999999</v>
      </c>
      <c r="P261" s="7">
        <v>45376</v>
      </c>
      <c r="Q261">
        <v>3.2349999999999999</v>
      </c>
      <c r="R261" s="7">
        <v>45376</v>
      </c>
      <c r="S261">
        <v>3.2324999999999999</v>
      </c>
      <c r="T261" s="7">
        <v>45376</v>
      </c>
      <c r="U261">
        <v>3.2425000000000002</v>
      </c>
      <c r="V261" s="7">
        <v>45376</v>
      </c>
      <c r="W261">
        <v>3.1675</v>
      </c>
      <c r="X261" s="7">
        <v>45376</v>
      </c>
      <c r="Y261" s="6">
        <v>2.9275000000000002</v>
      </c>
    </row>
    <row r="262" spans="1:25">
      <c r="A262"/>
      <c r="B262" s="7">
        <v>45373</v>
      </c>
      <c r="C262">
        <v>3.63</v>
      </c>
      <c r="D262" s="7">
        <v>45373</v>
      </c>
      <c r="E262">
        <v>3.57</v>
      </c>
      <c r="F262" s="7">
        <v>45373</v>
      </c>
      <c r="G262">
        <v>3.5125000000000002</v>
      </c>
      <c r="H262" s="7">
        <v>45373</v>
      </c>
      <c r="I262">
        <v>3.4275000000000002</v>
      </c>
      <c r="J262" s="7">
        <v>45373</v>
      </c>
      <c r="K262">
        <v>3.3525</v>
      </c>
      <c r="L262" s="7">
        <v>45373</v>
      </c>
      <c r="M262">
        <v>3.27</v>
      </c>
      <c r="N262" s="7">
        <v>45373</v>
      </c>
      <c r="O262">
        <v>3.2475000000000001</v>
      </c>
      <c r="P262" s="7">
        <v>45373</v>
      </c>
      <c r="Q262">
        <v>3.23</v>
      </c>
      <c r="R262" s="7">
        <v>45373</v>
      </c>
      <c r="S262">
        <v>3.2250000000000001</v>
      </c>
      <c r="T262" s="7">
        <v>45373</v>
      </c>
      <c r="U262">
        <v>3.2349999999999999</v>
      </c>
      <c r="V262" s="7">
        <v>45373</v>
      </c>
      <c r="W262">
        <v>3.16</v>
      </c>
      <c r="X262" s="7">
        <v>45373</v>
      </c>
      <c r="Y262" s="6">
        <v>2.92</v>
      </c>
    </row>
    <row r="263" spans="1:25">
      <c r="A263"/>
      <c r="B263" s="7">
        <v>45372</v>
      </c>
      <c r="C263">
        <v>3.63</v>
      </c>
      <c r="D263" s="7">
        <v>45372</v>
      </c>
      <c r="E263">
        <v>3.57</v>
      </c>
      <c r="F263" s="7">
        <v>45372</v>
      </c>
      <c r="G263">
        <v>3.5175000000000001</v>
      </c>
      <c r="H263" s="7">
        <v>45372</v>
      </c>
      <c r="I263">
        <v>3.4350000000000001</v>
      </c>
      <c r="J263" s="7">
        <v>45372</v>
      </c>
      <c r="K263">
        <v>3.3624999999999998</v>
      </c>
      <c r="L263" s="7">
        <v>45372</v>
      </c>
      <c r="M263">
        <v>3.2875000000000001</v>
      </c>
      <c r="N263" s="7">
        <v>45372</v>
      </c>
      <c r="O263">
        <v>3.2725</v>
      </c>
      <c r="P263" s="7">
        <v>45372</v>
      </c>
      <c r="Q263">
        <v>3.2650000000000001</v>
      </c>
      <c r="R263" s="7">
        <v>45372</v>
      </c>
      <c r="S263">
        <v>3.26</v>
      </c>
      <c r="T263" s="7">
        <v>45372</v>
      </c>
      <c r="U263">
        <v>3.2749999999999999</v>
      </c>
      <c r="V263" s="7">
        <v>45372</v>
      </c>
      <c r="W263">
        <v>3.2</v>
      </c>
      <c r="X263" s="7">
        <v>45372</v>
      </c>
      <c r="Y263" s="6">
        <v>2.96</v>
      </c>
    </row>
    <row r="264" spans="1:25">
      <c r="A264"/>
      <c r="B264" s="7">
        <v>45371</v>
      </c>
      <c r="C264">
        <v>3.6324999999999998</v>
      </c>
      <c r="D264" s="7">
        <v>45371</v>
      </c>
      <c r="E264">
        <v>3.59</v>
      </c>
      <c r="F264" s="7">
        <v>45371</v>
      </c>
      <c r="G264">
        <v>3.5575000000000001</v>
      </c>
      <c r="H264" s="7">
        <v>45371</v>
      </c>
      <c r="I264">
        <v>3.4824999999999999</v>
      </c>
      <c r="J264" s="7">
        <v>45371</v>
      </c>
      <c r="K264">
        <v>3.42</v>
      </c>
      <c r="L264" s="7">
        <v>45371</v>
      </c>
      <c r="M264">
        <v>3.35</v>
      </c>
      <c r="N264" s="7">
        <v>45371</v>
      </c>
      <c r="O264">
        <v>3.3224999999999998</v>
      </c>
      <c r="P264" s="7">
        <v>45371</v>
      </c>
      <c r="Q264">
        <v>3.3075000000000001</v>
      </c>
      <c r="R264" s="7">
        <v>45371</v>
      </c>
      <c r="S264">
        <v>3.3</v>
      </c>
      <c r="T264" s="7">
        <v>45371</v>
      </c>
      <c r="U264">
        <v>3.3050000000000002</v>
      </c>
      <c r="V264" s="7">
        <v>45371</v>
      </c>
      <c r="W264">
        <v>3.23</v>
      </c>
      <c r="X264" s="7">
        <v>45371</v>
      </c>
      <c r="Y264" s="6">
        <v>2.99</v>
      </c>
    </row>
    <row r="265" spans="1:25">
      <c r="A265"/>
      <c r="B265" s="7">
        <v>45370</v>
      </c>
      <c r="C265">
        <v>3.6375000000000002</v>
      </c>
      <c r="D265" s="7">
        <v>45370</v>
      </c>
      <c r="E265">
        <v>3.5975000000000001</v>
      </c>
      <c r="F265" s="7">
        <v>45370</v>
      </c>
      <c r="G265">
        <v>3.5724999999999998</v>
      </c>
      <c r="H265" s="7">
        <v>45370</v>
      </c>
      <c r="I265">
        <v>3.5024999999999999</v>
      </c>
      <c r="J265" s="7">
        <v>45370</v>
      </c>
      <c r="K265">
        <v>3.4474999999999998</v>
      </c>
      <c r="L265" s="7">
        <v>45370</v>
      </c>
      <c r="M265">
        <v>3.3774999999999999</v>
      </c>
      <c r="N265" s="7">
        <v>45370</v>
      </c>
      <c r="O265">
        <v>3.35</v>
      </c>
      <c r="P265" s="7">
        <v>45370</v>
      </c>
      <c r="Q265">
        <v>3.3374999999999999</v>
      </c>
      <c r="R265" s="7">
        <v>45370</v>
      </c>
      <c r="S265">
        <v>3.33</v>
      </c>
      <c r="T265" s="7">
        <v>45370</v>
      </c>
      <c r="U265">
        <v>3.335</v>
      </c>
      <c r="V265" s="7">
        <v>45370</v>
      </c>
      <c r="W265">
        <v>3.26</v>
      </c>
      <c r="X265" s="7">
        <v>45370</v>
      </c>
      <c r="Y265" s="6">
        <v>3.02</v>
      </c>
    </row>
    <row r="266" spans="1:25">
      <c r="A266"/>
      <c r="B266" s="7">
        <v>45369</v>
      </c>
      <c r="C266">
        <v>3.6324999999999998</v>
      </c>
      <c r="D266" s="7">
        <v>45369</v>
      </c>
      <c r="E266">
        <v>3.59</v>
      </c>
      <c r="F266" s="7">
        <v>45369</v>
      </c>
      <c r="G266">
        <v>3.5525000000000002</v>
      </c>
      <c r="H266" s="7">
        <v>45369</v>
      </c>
      <c r="I266">
        <v>3.4750000000000001</v>
      </c>
      <c r="J266" s="7">
        <v>45369</v>
      </c>
      <c r="K266">
        <v>3.415</v>
      </c>
      <c r="L266" s="7">
        <v>45369</v>
      </c>
      <c r="M266">
        <v>3.34</v>
      </c>
      <c r="N266" s="7">
        <v>45369</v>
      </c>
      <c r="O266">
        <v>3.31</v>
      </c>
      <c r="P266" s="7">
        <v>45369</v>
      </c>
      <c r="Q266">
        <v>3.2925</v>
      </c>
      <c r="R266" s="7">
        <v>45369</v>
      </c>
      <c r="S266">
        <v>3.28</v>
      </c>
      <c r="T266" s="7">
        <v>45369</v>
      </c>
      <c r="U266">
        <v>3.29</v>
      </c>
      <c r="V266" s="7">
        <v>45369</v>
      </c>
      <c r="W266">
        <v>3.2124999999999999</v>
      </c>
      <c r="X266" s="7">
        <v>45369</v>
      </c>
      <c r="Y266" s="6">
        <v>2.9725000000000001</v>
      </c>
    </row>
    <row r="267" spans="1:25">
      <c r="A267"/>
      <c r="B267" s="7">
        <v>45366</v>
      </c>
      <c r="C267">
        <v>3.63</v>
      </c>
      <c r="D267" s="7">
        <v>45366</v>
      </c>
      <c r="E267">
        <v>3.585</v>
      </c>
      <c r="F267" s="7">
        <v>45366</v>
      </c>
      <c r="G267">
        <v>3.5375000000000001</v>
      </c>
      <c r="H267" s="7">
        <v>45366</v>
      </c>
      <c r="I267">
        <v>3.4550000000000001</v>
      </c>
      <c r="J267" s="7">
        <v>45366</v>
      </c>
      <c r="K267">
        <v>3.3875000000000002</v>
      </c>
      <c r="L267" s="7">
        <v>45366</v>
      </c>
      <c r="M267">
        <v>3.3075000000000001</v>
      </c>
      <c r="N267" s="7">
        <v>45366</v>
      </c>
      <c r="O267">
        <v>3.28</v>
      </c>
      <c r="P267" s="7">
        <v>45366</v>
      </c>
      <c r="Q267">
        <v>3.2650000000000001</v>
      </c>
      <c r="R267" s="7">
        <v>45366</v>
      </c>
      <c r="S267">
        <v>3.2574999999999998</v>
      </c>
      <c r="T267" s="7">
        <v>45366</v>
      </c>
      <c r="U267">
        <v>3.27</v>
      </c>
      <c r="V267" s="7">
        <v>45366</v>
      </c>
      <c r="W267">
        <v>3.1924999999999999</v>
      </c>
      <c r="X267" s="7">
        <v>45366</v>
      </c>
      <c r="Y267" s="6">
        <v>2.9525000000000001</v>
      </c>
    </row>
    <row r="268" spans="1:25">
      <c r="A268"/>
      <c r="B268" s="7">
        <v>45365</v>
      </c>
      <c r="C268">
        <v>3.6274999999999999</v>
      </c>
      <c r="D268" s="7">
        <v>45365</v>
      </c>
      <c r="E268">
        <v>3.5750000000000002</v>
      </c>
      <c r="F268" s="7">
        <v>45365</v>
      </c>
      <c r="G268">
        <v>3.5175000000000001</v>
      </c>
      <c r="H268" s="7">
        <v>45365</v>
      </c>
      <c r="I268">
        <v>3.4275000000000002</v>
      </c>
      <c r="J268" s="7">
        <v>45365</v>
      </c>
      <c r="K268">
        <v>3.3525</v>
      </c>
      <c r="L268" s="7">
        <v>45365</v>
      </c>
      <c r="M268">
        <v>3.27</v>
      </c>
      <c r="N268" s="7">
        <v>45365</v>
      </c>
      <c r="O268">
        <v>3.2349999999999999</v>
      </c>
      <c r="P268" s="7">
        <v>45365</v>
      </c>
      <c r="Q268">
        <v>3.2174999999999998</v>
      </c>
      <c r="R268" s="7">
        <v>45365</v>
      </c>
      <c r="S268">
        <v>3.2075</v>
      </c>
      <c r="T268" s="7">
        <v>45365</v>
      </c>
      <c r="U268">
        <v>3.22</v>
      </c>
      <c r="V268" s="7">
        <v>45365</v>
      </c>
      <c r="W268">
        <v>3.1425000000000001</v>
      </c>
      <c r="X268" s="7">
        <v>45365</v>
      </c>
      <c r="Y268" s="6">
        <v>2.9024999999999999</v>
      </c>
    </row>
    <row r="269" spans="1:25">
      <c r="A269"/>
      <c r="B269" s="7">
        <v>45364</v>
      </c>
      <c r="C269">
        <v>3.625</v>
      </c>
      <c r="D269" s="7">
        <v>45364</v>
      </c>
      <c r="E269">
        <v>3.5674999999999999</v>
      </c>
      <c r="F269" s="7">
        <v>45364</v>
      </c>
      <c r="G269">
        <v>3.51</v>
      </c>
      <c r="H269" s="7">
        <v>45364</v>
      </c>
      <c r="I269">
        <v>3.4125000000000001</v>
      </c>
      <c r="J269" s="7">
        <v>45364</v>
      </c>
      <c r="K269">
        <v>3.335</v>
      </c>
      <c r="L269" s="7">
        <v>45364</v>
      </c>
      <c r="M269">
        <v>3.2475000000000001</v>
      </c>
      <c r="N269" s="7">
        <v>45364</v>
      </c>
      <c r="O269">
        <v>3.2124999999999999</v>
      </c>
      <c r="P269" s="7">
        <v>45364</v>
      </c>
      <c r="Q269">
        <v>3.1949999999999998</v>
      </c>
      <c r="R269" s="7">
        <v>45364</v>
      </c>
      <c r="S269">
        <v>3.1875</v>
      </c>
      <c r="T269" s="7">
        <v>45364</v>
      </c>
      <c r="U269">
        <v>3.1949999999999998</v>
      </c>
      <c r="V269" s="7">
        <v>45364</v>
      </c>
      <c r="W269">
        <v>3.1150000000000002</v>
      </c>
      <c r="X269" s="7">
        <v>45364</v>
      </c>
      <c r="Y269" s="6">
        <v>2.875</v>
      </c>
    </row>
    <row r="270" spans="1:25">
      <c r="A270"/>
      <c r="B270" s="7">
        <v>45363</v>
      </c>
      <c r="C270">
        <v>3.6375000000000002</v>
      </c>
      <c r="D270" s="7">
        <v>45363</v>
      </c>
      <c r="E270">
        <v>3.5775000000000001</v>
      </c>
      <c r="F270" s="7">
        <v>45363</v>
      </c>
      <c r="G270">
        <v>3.5225</v>
      </c>
      <c r="H270" s="7">
        <v>45363</v>
      </c>
      <c r="I270">
        <v>3.42</v>
      </c>
      <c r="J270" s="7">
        <v>45363</v>
      </c>
      <c r="K270">
        <v>3.35</v>
      </c>
      <c r="L270" s="7">
        <v>45363</v>
      </c>
      <c r="M270">
        <v>3.26</v>
      </c>
      <c r="N270" s="7">
        <v>45363</v>
      </c>
      <c r="O270">
        <v>3.2250000000000001</v>
      </c>
      <c r="P270" s="7">
        <v>45363</v>
      </c>
      <c r="Q270">
        <v>3.2050000000000001</v>
      </c>
      <c r="R270" s="7">
        <v>45363</v>
      </c>
      <c r="S270">
        <v>3.1949999999999998</v>
      </c>
      <c r="T270" s="7">
        <v>45363</v>
      </c>
      <c r="U270">
        <v>3.1949999999999998</v>
      </c>
      <c r="V270" s="7">
        <v>45363</v>
      </c>
      <c r="W270">
        <v>3.105</v>
      </c>
      <c r="X270" s="7">
        <v>45363</v>
      </c>
      <c r="Y270" s="6">
        <v>2.8650000000000002</v>
      </c>
    </row>
    <row r="271" spans="1:25">
      <c r="A271"/>
      <c r="B271" s="7">
        <v>45362</v>
      </c>
      <c r="C271">
        <v>3.65</v>
      </c>
      <c r="D271" s="7">
        <v>45362</v>
      </c>
      <c r="E271">
        <v>3.59</v>
      </c>
      <c r="F271" s="7">
        <v>45362</v>
      </c>
      <c r="G271">
        <v>3.5375000000000001</v>
      </c>
      <c r="H271" s="7">
        <v>45362</v>
      </c>
      <c r="I271">
        <v>3.43</v>
      </c>
      <c r="J271" s="7">
        <v>45362</v>
      </c>
      <c r="K271">
        <v>3.3525</v>
      </c>
      <c r="L271" s="7">
        <v>45362</v>
      </c>
      <c r="M271">
        <v>3.2625000000000002</v>
      </c>
      <c r="N271" s="7">
        <v>45362</v>
      </c>
      <c r="O271">
        <v>3.2324999999999999</v>
      </c>
      <c r="P271" s="7">
        <v>45362</v>
      </c>
      <c r="Q271">
        <v>3.2149999999999999</v>
      </c>
      <c r="R271" s="7">
        <v>45362</v>
      </c>
      <c r="S271">
        <v>3.2075</v>
      </c>
      <c r="T271" s="7">
        <v>45362</v>
      </c>
      <c r="U271">
        <v>3.21</v>
      </c>
      <c r="V271" s="7">
        <v>45362</v>
      </c>
      <c r="W271">
        <v>3.1175000000000002</v>
      </c>
      <c r="X271" s="7">
        <v>45362</v>
      </c>
      <c r="Y271" s="6">
        <v>2.8774999999999999</v>
      </c>
    </row>
    <row r="272" spans="1:25">
      <c r="A272"/>
      <c r="B272" s="7">
        <v>45359</v>
      </c>
      <c r="C272">
        <v>3.65</v>
      </c>
      <c r="D272" s="7">
        <v>45359</v>
      </c>
      <c r="E272">
        <v>3.5950000000000002</v>
      </c>
      <c r="F272" s="7">
        <v>45359</v>
      </c>
      <c r="G272">
        <v>3.5449999999999999</v>
      </c>
      <c r="H272" s="7">
        <v>45359</v>
      </c>
      <c r="I272">
        <v>3.4350000000000001</v>
      </c>
      <c r="J272" s="7">
        <v>45359</v>
      </c>
      <c r="K272">
        <v>3.3525</v>
      </c>
      <c r="L272" s="7">
        <v>45359</v>
      </c>
      <c r="M272">
        <v>3.26</v>
      </c>
      <c r="N272" s="7">
        <v>45359</v>
      </c>
      <c r="O272">
        <v>3.2275</v>
      </c>
      <c r="P272" s="7">
        <v>45359</v>
      </c>
      <c r="Q272">
        <v>3.2050000000000001</v>
      </c>
      <c r="R272" s="7">
        <v>45359</v>
      </c>
      <c r="S272">
        <v>3.1974999999999998</v>
      </c>
      <c r="T272" s="7">
        <v>45359</v>
      </c>
      <c r="U272">
        <v>3.1974999999999998</v>
      </c>
      <c r="V272" s="7">
        <v>45359</v>
      </c>
      <c r="W272">
        <v>3.105</v>
      </c>
      <c r="X272" s="7">
        <v>45359</v>
      </c>
      <c r="Y272" s="6">
        <v>2.8650000000000002</v>
      </c>
    </row>
    <row r="273" spans="1:25">
      <c r="A273"/>
      <c r="B273" s="7">
        <v>45358</v>
      </c>
      <c r="C273">
        <v>3.665</v>
      </c>
      <c r="D273" s="7">
        <v>45358</v>
      </c>
      <c r="E273">
        <v>3.62</v>
      </c>
      <c r="F273" s="7">
        <v>45358</v>
      </c>
      <c r="G273">
        <v>3.5775000000000001</v>
      </c>
      <c r="H273" s="7">
        <v>45358</v>
      </c>
      <c r="I273">
        <v>3.4750000000000001</v>
      </c>
      <c r="J273" s="7">
        <v>45358</v>
      </c>
      <c r="K273">
        <v>3.3975</v>
      </c>
      <c r="L273" s="7">
        <v>45358</v>
      </c>
      <c r="M273">
        <v>3.3125</v>
      </c>
      <c r="N273" s="7">
        <v>45358</v>
      </c>
      <c r="O273">
        <v>3.2850000000000001</v>
      </c>
      <c r="P273" s="7">
        <v>45358</v>
      </c>
      <c r="Q273">
        <v>3.2650000000000001</v>
      </c>
      <c r="R273" s="7">
        <v>45358</v>
      </c>
      <c r="S273">
        <v>3.26</v>
      </c>
      <c r="T273" s="7">
        <v>45358</v>
      </c>
      <c r="U273">
        <v>3.2650000000000001</v>
      </c>
      <c r="V273" s="7">
        <v>45358</v>
      </c>
      <c r="W273">
        <v>3.17</v>
      </c>
      <c r="X273" s="7">
        <v>45358</v>
      </c>
      <c r="Y273" s="6">
        <v>2.93</v>
      </c>
    </row>
    <row r="274" spans="1:25">
      <c r="A274"/>
      <c r="B274" s="7">
        <v>45357</v>
      </c>
      <c r="C274">
        <v>3.6549999999999998</v>
      </c>
      <c r="D274" s="7">
        <v>45357</v>
      </c>
      <c r="E274">
        <v>3.605</v>
      </c>
      <c r="F274" s="7">
        <v>45357</v>
      </c>
      <c r="G274">
        <v>3.5575000000000001</v>
      </c>
      <c r="H274" s="7">
        <v>45357</v>
      </c>
      <c r="I274">
        <v>3.4550000000000001</v>
      </c>
      <c r="J274" s="7">
        <v>45357</v>
      </c>
      <c r="K274">
        <v>3.3774999999999999</v>
      </c>
      <c r="L274" s="7">
        <v>45357</v>
      </c>
      <c r="M274">
        <v>3.2925</v>
      </c>
      <c r="N274" s="7">
        <v>45357</v>
      </c>
      <c r="O274">
        <v>3.2675000000000001</v>
      </c>
      <c r="P274" s="7">
        <v>45357</v>
      </c>
      <c r="Q274">
        <v>3.2475000000000001</v>
      </c>
      <c r="R274" s="7">
        <v>45357</v>
      </c>
      <c r="S274">
        <v>3.2374999999999998</v>
      </c>
      <c r="T274" s="7">
        <v>45357</v>
      </c>
      <c r="U274">
        <v>3.2450000000000001</v>
      </c>
      <c r="V274" s="7">
        <v>45357</v>
      </c>
      <c r="W274">
        <v>3.15</v>
      </c>
      <c r="X274" s="7">
        <v>45357</v>
      </c>
      <c r="Y274" s="6">
        <v>2.91</v>
      </c>
    </row>
    <row r="275" spans="1:25">
      <c r="A275"/>
      <c r="B275" s="7">
        <v>45356</v>
      </c>
      <c r="C275">
        <v>3.665</v>
      </c>
      <c r="D275" s="7">
        <v>45356</v>
      </c>
      <c r="E275">
        <v>3.6150000000000002</v>
      </c>
      <c r="F275" s="7">
        <v>45356</v>
      </c>
      <c r="G275">
        <v>3.57</v>
      </c>
      <c r="H275" s="7">
        <v>45356</v>
      </c>
      <c r="I275">
        <v>3.4775</v>
      </c>
      <c r="J275" s="7">
        <v>45356</v>
      </c>
      <c r="K275">
        <v>3.41</v>
      </c>
      <c r="L275" s="7">
        <v>45356</v>
      </c>
      <c r="M275">
        <v>3.33</v>
      </c>
      <c r="N275" s="7">
        <v>45356</v>
      </c>
      <c r="O275">
        <v>3.3075000000000001</v>
      </c>
      <c r="P275" s="7">
        <v>45356</v>
      </c>
      <c r="Q275">
        <v>3.2949999999999999</v>
      </c>
      <c r="R275" s="7">
        <v>45356</v>
      </c>
      <c r="S275">
        <v>3.29</v>
      </c>
      <c r="T275" s="7">
        <v>45356</v>
      </c>
      <c r="U275">
        <v>3.2925</v>
      </c>
      <c r="V275" s="7">
        <v>45356</v>
      </c>
      <c r="W275">
        <v>3.2</v>
      </c>
      <c r="X275" s="7">
        <v>45356</v>
      </c>
      <c r="Y275" s="6">
        <v>2.9649999999999999</v>
      </c>
    </row>
    <row r="276" spans="1:25">
      <c r="A276"/>
      <c r="B276" s="7">
        <v>45355</v>
      </c>
      <c r="C276">
        <v>3.6749999999999998</v>
      </c>
      <c r="D276" s="7">
        <v>45355</v>
      </c>
      <c r="E276">
        <v>3.62</v>
      </c>
      <c r="F276" s="7">
        <v>45355</v>
      </c>
      <c r="G276">
        <v>3.5724999999999998</v>
      </c>
      <c r="H276" s="7">
        <v>45355</v>
      </c>
      <c r="I276">
        <v>3.4849999999999999</v>
      </c>
      <c r="J276" s="7">
        <v>45355</v>
      </c>
      <c r="K276">
        <v>3.42</v>
      </c>
      <c r="L276" s="7">
        <v>45355</v>
      </c>
      <c r="M276">
        <v>3.3424999999999998</v>
      </c>
      <c r="N276" s="7">
        <v>45355</v>
      </c>
      <c r="O276">
        <v>3.3224999999999998</v>
      </c>
      <c r="P276" s="7">
        <v>45355</v>
      </c>
      <c r="Q276">
        <v>3.31</v>
      </c>
      <c r="R276" s="7">
        <v>45355</v>
      </c>
      <c r="S276">
        <v>3.3050000000000002</v>
      </c>
      <c r="T276" s="7">
        <v>45355</v>
      </c>
      <c r="U276">
        <v>3.31</v>
      </c>
      <c r="V276" s="7">
        <v>45355</v>
      </c>
      <c r="W276">
        <v>3.2174999999999998</v>
      </c>
      <c r="X276" s="7">
        <v>45355</v>
      </c>
      <c r="Y276" s="6">
        <v>2.9824999999999999</v>
      </c>
    </row>
    <row r="277" spans="1:25">
      <c r="A277"/>
      <c r="B277" s="7">
        <v>45351</v>
      </c>
      <c r="C277">
        <v>3.6825000000000001</v>
      </c>
      <c r="D277" s="7">
        <v>45351</v>
      </c>
      <c r="E277">
        <v>3.6324999999999998</v>
      </c>
      <c r="F277" s="7">
        <v>45351</v>
      </c>
      <c r="G277">
        <v>3.59</v>
      </c>
      <c r="H277" s="7">
        <v>45351</v>
      </c>
      <c r="I277">
        <v>3.5049999999999999</v>
      </c>
      <c r="J277" s="7">
        <v>45351</v>
      </c>
      <c r="K277">
        <v>3.4424999999999999</v>
      </c>
      <c r="L277" s="7">
        <v>45351</v>
      </c>
      <c r="M277">
        <v>3.3725000000000001</v>
      </c>
      <c r="N277" s="7">
        <v>45351</v>
      </c>
      <c r="O277">
        <v>3.355</v>
      </c>
      <c r="P277" s="7">
        <v>45351</v>
      </c>
      <c r="Q277">
        <v>3.3450000000000002</v>
      </c>
      <c r="R277" s="7">
        <v>45351</v>
      </c>
      <c r="S277">
        <v>3.3424999999999998</v>
      </c>
      <c r="T277" s="7">
        <v>45351</v>
      </c>
      <c r="U277">
        <v>3.3450000000000002</v>
      </c>
      <c r="V277" s="7">
        <v>45351</v>
      </c>
      <c r="W277">
        <v>3.2524999999999999</v>
      </c>
      <c r="X277" s="7">
        <v>45351</v>
      </c>
      <c r="Y277" s="6">
        <v>3.0175000000000001</v>
      </c>
    </row>
    <row r="278" spans="1:25">
      <c r="A278"/>
      <c r="B278" s="7">
        <v>45350</v>
      </c>
      <c r="C278">
        <v>3.6825000000000001</v>
      </c>
      <c r="D278" s="7">
        <v>45350</v>
      </c>
      <c r="E278">
        <v>3.6324999999999998</v>
      </c>
      <c r="F278" s="7">
        <v>45350</v>
      </c>
      <c r="G278">
        <v>3.5825</v>
      </c>
      <c r="H278" s="7">
        <v>45350</v>
      </c>
      <c r="I278">
        <v>3.49</v>
      </c>
      <c r="J278" s="7">
        <v>45350</v>
      </c>
      <c r="K278">
        <v>3.42</v>
      </c>
      <c r="L278" s="7">
        <v>45350</v>
      </c>
      <c r="M278">
        <v>3.3424999999999998</v>
      </c>
      <c r="N278" s="7">
        <v>45350</v>
      </c>
      <c r="O278">
        <v>3.3250000000000002</v>
      </c>
      <c r="P278" s="7">
        <v>45350</v>
      </c>
      <c r="Q278">
        <v>3.3125</v>
      </c>
      <c r="R278" s="7">
        <v>45350</v>
      </c>
      <c r="S278">
        <v>3.31</v>
      </c>
      <c r="T278" s="7">
        <v>45350</v>
      </c>
      <c r="U278">
        <v>3.32</v>
      </c>
      <c r="V278" s="7">
        <v>45350</v>
      </c>
      <c r="W278">
        <v>3.2275</v>
      </c>
      <c r="X278" s="7">
        <v>45350</v>
      </c>
      <c r="Y278" s="6">
        <v>2.9925000000000002</v>
      </c>
    </row>
    <row r="279" spans="1:25">
      <c r="A279"/>
      <c r="B279" s="7">
        <v>45349</v>
      </c>
      <c r="C279">
        <v>3.6924999999999999</v>
      </c>
      <c r="D279" s="7">
        <v>45349</v>
      </c>
      <c r="E279">
        <v>3.6425000000000001</v>
      </c>
      <c r="F279" s="7">
        <v>45349</v>
      </c>
      <c r="G279">
        <v>3.5924999999999998</v>
      </c>
      <c r="H279" s="7">
        <v>45349</v>
      </c>
      <c r="I279">
        <v>3.5</v>
      </c>
      <c r="J279" s="7">
        <v>45349</v>
      </c>
      <c r="K279">
        <v>3.43</v>
      </c>
      <c r="L279" s="7">
        <v>45349</v>
      </c>
      <c r="M279">
        <v>3.3525</v>
      </c>
      <c r="N279" s="7">
        <v>45349</v>
      </c>
      <c r="O279">
        <v>3.3275000000000001</v>
      </c>
      <c r="P279" s="7">
        <v>45349</v>
      </c>
      <c r="Q279">
        <v>3.3075000000000001</v>
      </c>
      <c r="R279" s="7">
        <v>45349</v>
      </c>
      <c r="S279">
        <v>3.3025000000000002</v>
      </c>
      <c r="T279" s="7">
        <v>45349</v>
      </c>
      <c r="U279">
        <v>3.3149999999999999</v>
      </c>
      <c r="V279" s="7">
        <v>45349</v>
      </c>
      <c r="W279">
        <v>3.2225000000000001</v>
      </c>
      <c r="X279" s="7">
        <v>45349</v>
      </c>
      <c r="Y279" s="6">
        <v>2.9874999999999998</v>
      </c>
    </row>
    <row r="280" spans="1:25">
      <c r="A280"/>
      <c r="B280" s="7">
        <v>45348</v>
      </c>
      <c r="C280">
        <v>3.6974999999999998</v>
      </c>
      <c r="D280" s="7">
        <v>45348</v>
      </c>
      <c r="E280">
        <v>3.645</v>
      </c>
      <c r="F280" s="7">
        <v>45348</v>
      </c>
      <c r="G280">
        <v>3.5825</v>
      </c>
      <c r="H280" s="7">
        <v>45348</v>
      </c>
      <c r="I280">
        <v>3.49</v>
      </c>
      <c r="J280" s="7">
        <v>45348</v>
      </c>
      <c r="K280">
        <v>3.415</v>
      </c>
      <c r="L280" s="7">
        <v>45348</v>
      </c>
      <c r="M280">
        <v>3.3374999999999999</v>
      </c>
      <c r="N280" s="7">
        <v>45348</v>
      </c>
      <c r="O280">
        <v>3.3125</v>
      </c>
      <c r="P280" s="7">
        <v>45348</v>
      </c>
      <c r="Q280">
        <v>3.2925</v>
      </c>
      <c r="R280" s="7">
        <v>45348</v>
      </c>
      <c r="S280">
        <v>3.2875000000000001</v>
      </c>
      <c r="T280" s="7">
        <v>45348</v>
      </c>
      <c r="U280">
        <v>3.2949999999999999</v>
      </c>
      <c r="V280" s="7">
        <v>45348</v>
      </c>
      <c r="W280">
        <v>3.2025000000000001</v>
      </c>
      <c r="X280" s="7">
        <v>45348</v>
      </c>
      <c r="Y280" s="6">
        <v>2.9674999999999998</v>
      </c>
    </row>
    <row r="281" spans="1:25">
      <c r="A281"/>
      <c r="B281" s="7"/>
      <c r="C281"/>
      <c r="D281" s="7"/>
      <c r="E281"/>
      <c r="F281" s="7"/>
      <c r="G281"/>
      <c r="H281" s="7"/>
      <c r="I281"/>
      <c r="J281" s="7"/>
      <c r="K281"/>
      <c r="L281" s="7"/>
      <c r="M281"/>
      <c r="N281" s="7"/>
      <c r="O281"/>
      <c r="P281" s="7"/>
      <c r="Q281"/>
      <c r="R281" s="7"/>
      <c r="S281"/>
      <c r="T281" s="7"/>
      <c r="U281"/>
      <c r="V281" s="7"/>
      <c r="W281"/>
      <c r="X281" s="7"/>
    </row>
    <row r="282" spans="1:25">
      <c r="A282"/>
      <c r="B282" s="7"/>
      <c r="C282"/>
      <c r="D282" s="7"/>
      <c r="E282"/>
      <c r="F282" s="7"/>
      <c r="G282"/>
      <c r="H282" s="7"/>
      <c r="I282"/>
      <c r="J282" s="7"/>
      <c r="K282"/>
      <c r="L282" s="7"/>
      <c r="M282"/>
      <c r="N282" s="7"/>
      <c r="O282"/>
      <c r="P282" s="7"/>
      <c r="Q282"/>
      <c r="R282" s="7"/>
      <c r="S282"/>
      <c r="T282" s="7"/>
      <c r="U282"/>
      <c r="V282" s="7"/>
      <c r="W282"/>
      <c r="X282" s="7"/>
    </row>
    <row r="283" spans="1:25">
      <c r="A283"/>
      <c r="B283" s="7"/>
      <c r="C283"/>
      <c r="D283" s="7"/>
      <c r="E283"/>
      <c r="F283" s="7"/>
      <c r="G283"/>
      <c r="H283" s="7"/>
      <c r="I283"/>
      <c r="J283" s="7"/>
      <c r="K283"/>
      <c r="L283" s="7"/>
      <c r="M283"/>
      <c r="N283" s="7"/>
      <c r="O283"/>
      <c r="P283" s="7"/>
      <c r="Q283"/>
      <c r="R283" s="7"/>
      <c r="S283"/>
      <c r="T283" s="7"/>
      <c r="U283"/>
      <c r="V283" s="7"/>
      <c r="W283"/>
      <c r="X283" s="7"/>
    </row>
    <row r="284" spans="1:25">
      <c r="A284"/>
      <c r="B284" s="7"/>
      <c r="C284"/>
      <c r="D284" s="7"/>
      <c r="E284"/>
      <c r="F284" s="7"/>
      <c r="G284"/>
      <c r="H284" s="7"/>
      <c r="I284"/>
      <c r="J284" s="7"/>
      <c r="K284"/>
      <c r="L284" s="7"/>
      <c r="M284"/>
      <c r="N284" s="7"/>
      <c r="O284"/>
      <c r="P284" s="7"/>
      <c r="Q284"/>
      <c r="R284" s="7"/>
      <c r="S284"/>
      <c r="T284" s="7"/>
      <c r="U284"/>
      <c r="V284" s="7"/>
      <c r="W284"/>
      <c r="X284" s="7"/>
    </row>
    <row r="285" spans="1:25">
      <c r="A285"/>
      <c r="B285" s="7"/>
      <c r="C285"/>
      <c r="D285" s="7"/>
      <c r="E285"/>
      <c r="F285" s="7"/>
      <c r="G285"/>
      <c r="H285" s="7"/>
      <c r="I285"/>
      <c r="J285" s="7"/>
      <c r="K285"/>
      <c r="L285" s="7"/>
      <c r="M285"/>
      <c r="N285" s="7"/>
      <c r="O285"/>
      <c r="P285" s="7"/>
      <c r="Q285"/>
      <c r="R285" s="7"/>
      <c r="S285"/>
      <c r="T285" s="7"/>
      <c r="U285"/>
      <c r="V285" s="7"/>
      <c r="W285"/>
      <c r="X285" s="7"/>
    </row>
    <row r="286" spans="1:25">
      <c r="A286"/>
      <c r="B286" s="7"/>
      <c r="C286"/>
      <c r="D286" s="7"/>
      <c r="E286"/>
      <c r="F286" s="7"/>
      <c r="G286"/>
      <c r="H286" s="7"/>
      <c r="I286"/>
      <c r="J286" s="7"/>
      <c r="K286"/>
      <c r="L286" s="7"/>
      <c r="M286"/>
      <c r="N286" s="7"/>
      <c r="O286"/>
      <c r="P286" s="7"/>
      <c r="Q286"/>
      <c r="R286" s="7"/>
      <c r="S286"/>
      <c r="T286" s="7"/>
      <c r="U286"/>
      <c r="V286" s="7"/>
      <c r="W286"/>
      <c r="X286" s="7"/>
    </row>
    <row r="287" spans="1:25">
      <c r="A287"/>
      <c r="B287" s="7"/>
      <c r="C287"/>
      <c r="D287" s="7"/>
      <c r="E287"/>
      <c r="F287" s="7"/>
      <c r="G287"/>
      <c r="H287" s="7"/>
      <c r="I287"/>
      <c r="J287" s="7"/>
      <c r="K287"/>
      <c r="L287" s="7"/>
      <c r="M287"/>
      <c r="N287" s="7"/>
      <c r="O287"/>
      <c r="P287" s="7"/>
      <c r="Q287"/>
      <c r="R287" s="7"/>
      <c r="S287"/>
      <c r="T287" s="7"/>
      <c r="U287"/>
      <c r="V287" s="7"/>
      <c r="W287"/>
      <c r="X287" s="7"/>
    </row>
    <row r="288" spans="1:25">
      <c r="A288"/>
      <c r="B288" s="7"/>
      <c r="C288"/>
      <c r="D288" s="7"/>
      <c r="E288"/>
      <c r="F288" s="7"/>
      <c r="G288"/>
      <c r="H288" s="7"/>
      <c r="I288"/>
      <c r="J288" s="7"/>
      <c r="K288"/>
      <c r="L288" s="7"/>
      <c r="M288"/>
      <c r="N288" s="7"/>
      <c r="O288"/>
      <c r="P288" s="7"/>
      <c r="Q288"/>
      <c r="R288" s="7"/>
      <c r="S288"/>
      <c r="T288" s="7"/>
      <c r="U288"/>
      <c r="V288" s="7"/>
      <c r="W288"/>
      <c r="X288" s="7"/>
    </row>
    <row r="289" spans="1:24">
      <c r="A289"/>
      <c r="B289" s="7"/>
      <c r="C289"/>
      <c r="D289" s="7"/>
      <c r="E289"/>
      <c r="F289" s="7"/>
      <c r="G289"/>
      <c r="H289" s="7"/>
      <c r="I289"/>
      <c r="J289" s="7"/>
      <c r="K289"/>
      <c r="L289" s="7"/>
      <c r="M289"/>
      <c r="N289" s="7"/>
      <c r="O289"/>
      <c r="P289" s="7"/>
      <c r="Q289"/>
      <c r="R289" s="7"/>
      <c r="S289"/>
      <c r="T289" s="7"/>
      <c r="U289"/>
      <c r="V289" s="7"/>
      <c r="W289"/>
      <c r="X289" s="7"/>
    </row>
    <row r="290" spans="1:24">
      <c r="A290"/>
      <c r="B290" s="7"/>
      <c r="C290"/>
      <c r="D290" s="7"/>
      <c r="E290"/>
      <c r="F290" s="7"/>
      <c r="G290"/>
      <c r="H290" s="7"/>
      <c r="I290"/>
      <c r="J290" s="7"/>
      <c r="K290"/>
      <c r="L290" s="7"/>
      <c r="M290"/>
      <c r="N290" s="7"/>
      <c r="O290"/>
      <c r="P290" s="7"/>
      <c r="Q290"/>
      <c r="R290" s="7"/>
      <c r="S290"/>
      <c r="T290" s="7"/>
      <c r="U290"/>
      <c r="V290" s="7"/>
      <c r="W290"/>
      <c r="X290" s="7"/>
    </row>
    <row r="291" spans="1:24">
      <c r="A291"/>
      <c r="B291" s="7"/>
      <c r="C291"/>
      <c r="D291" s="7"/>
      <c r="E291"/>
      <c r="F291" s="7"/>
      <c r="G291"/>
      <c r="H291" s="7"/>
      <c r="I291"/>
      <c r="J291" s="7"/>
      <c r="K291"/>
      <c r="L291" s="7"/>
      <c r="M291"/>
      <c r="N291" s="7"/>
      <c r="O291"/>
      <c r="P291" s="7"/>
      <c r="Q291"/>
      <c r="R291" s="7"/>
      <c r="S291"/>
      <c r="T291" s="7"/>
      <c r="U291"/>
      <c r="V291" s="7"/>
      <c r="W291"/>
      <c r="X291" s="7"/>
    </row>
    <row r="292" spans="1:24">
      <c r="A292"/>
      <c r="B292" s="7"/>
      <c r="C292"/>
      <c r="D292" s="7"/>
      <c r="E292"/>
      <c r="F292" s="7"/>
      <c r="G292"/>
      <c r="H292" s="7"/>
      <c r="I292"/>
      <c r="J292" s="7"/>
      <c r="K292"/>
      <c r="L292" s="7"/>
      <c r="M292"/>
      <c r="N292" s="7"/>
      <c r="O292"/>
      <c r="P292" s="7"/>
      <c r="Q292"/>
      <c r="R292" s="7"/>
      <c r="S292"/>
      <c r="T292" s="7"/>
      <c r="U292"/>
      <c r="V292" s="7"/>
      <c r="W292"/>
      <c r="X292" s="7"/>
    </row>
    <row r="293" spans="1:24">
      <c r="A293"/>
      <c r="B293" s="7"/>
      <c r="C293"/>
      <c r="D293" s="7"/>
      <c r="E293"/>
      <c r="F293" s="7"/>
      <c r="G293"/>
      <c r="H293" s="7"/>
      <c r="I293"/>
      <c r="J293" s="7"/>
      <c r="K293"/>
      <c r="L293" s="7"/>
      <c r="M293"/>
      <c r="N293" s="7"/>
      <c r="O293"/>
      <c r="P293" s="7"/>
      <c r="Q293"/>
      <c r="R293" s="7"/>
      <c r="S293"/>
      <c r="T293" s="7"/>
      <c r="U293"/>
      <c r="V293" s="7"/>
      <c r="W293"/>
      <c r="X293" s="7"/>
    </row>
    <row r="294" spans="1:24">
      <c r="A294"/>
      <c r="B294" s="7"/>
      <c r="C294"/>
      <c r="D294" s="7"/>
      <c r="E294"/>
      <c r="F294" s="7"/>
      <c r="G294"/>
      <c r="H294" s="7"/>
      <c r="I294"/>
      <c r="J294" s="7"/>
      <c r="K294"/>
      <c r="L294" s="7"/>
      <c r="M294"/>
      <c r="N294" s="7"/>
      <c r="O294"/>
      <c r="P294" s="7"/>
      <c r="Q294"/>
      <c r="R294" s="7"/>
      <c r="S294"/>
      <c r="T294" s="7"/>
      <c r="U294"/>
      <c r="V294" s="7"/>
      <c r="W294"/>
      <c r="X294" s="7"/>
    </row>
    <row r="295" spans="1:24">
      <c r="A295"/>
      <c r="B295" s="7"/>
      <c r="C295"/>
      <c r="D295" s="7"/>
      <c r="E295"/>
      <c r="F295" s="7"/>
      <c r="G295"/>
      <c r="H295" s="7"/>
      <c r="I295"/>
      <c r="J295" s="7"/>
      <c r="K295"/>
      <c r="L295" s="7"/>
      <c r="M295"/>
      <c r="N295" s="7"/>
      <c r="O295"/>
      <c r="P295" s="7"/>
      <c r="Q295"/>
      <c r="R295" s="7"/>
      <c r="S295"/>
      <c r="T295" s="7"/>
      <c r="U295"/>
      <c r="V295" s="7"/>
      <c r="W295"/>
      <c r="X295" s="7"/>
    </row>
    <row r="296" spans="1:24">
      <c r="A296"/>
      <c r="B296" s="7"/>
      <c r="C296"/>
      <c r="D296" s="7"/>
      <c r="E296"/>
      <c r="F296" s="7"/>
      <c r="G296"/>
      <c r="H296" s="7"/>
      <c r="I296"/>
      <c r="J296" s="7"/>
      <c r="K296"/>
      <c r="L296" s="7"/>
      <c r="M296"/>
      <c r="N296" s="7"/>
      <c r="O296"/>
      <c r="P296" s="7"/>
      <c r="Q296"/>
      <c r="R296" s="7"/>
      <c r="S296"/>
      <c r="T296" s="7"/>
      <c r="U296"/>
      <c r="V296" s="7"/>
      <c r="W296"/>
      <c r="X296" s="7"/>
    </row>
    <row r="297" spans="1:24">
      <c r="A297"/>
      <c r="B297" s="7"/>
      <c r="C297"/>
      <c r="D297" s="7"/>
      <c r="E297"/>
      <c r="F297" s="7"/>
      <c r="G297"/>
      <c r="H297" s="7"/>
      <c r="I297"/>
      <c r="J297" s="7"/>
      <c r="K297"/>
      <c r="L297" s="7"/>
      <c r="M297"/>
      <c r="N297" s="7"/>
      <c r="O297"/>
      <c r="P297" s="7"/>
      <c r="Q297"/>
      <c r="R297" s="7"/>
      <c r="S297"/>
      <c r="T297" s="7"/>
      <c r="U297"/>
      <c r="V297" s="7"/>
      <c r="W297"/>
      <c r="X297" s="7"/>
    </row>
    <row r="298" spans="1:24">
      <c r="A298"/>
      <c r="B298" s="7"/>
      <c r="C298"/>
      <c r="D298" s="7"/>
      <c r="E298"/>
      <c r="F298" s="7"/>
      <c r="G298"/>
      <c r="H298" s="7"/>
      <c r="I298"/>
      <c r="J298" s="7"/>
      <c r="K298"/>
      <c r="L298" s="7"/>
      <c r="M298"/>
      <c r="N298" s="7"/>
      <c r="O298"/>
      <c r="P298" s="7"/>
      <c r="Q298"/>
      <c r="R298" s="7"/>
      <c r="S298"/>
      <c r="T298" s="7"/>
      <c r="U298"/>
      <c r="V298" s="7"/>
      <c r="W298"/>
      <c r="X298" s="7"/>
    </row>
    <row r="299" spans="1:24">
      <c r="A299"/>
      <c r="B299" s="7"/>
      <c r="C299"/>
      <c r="D299" s="7"/>
      <c r="E299"/>
      <c r="F299" s="7"/>
      <c r="G299"/>
      <c r="H299" s="7"/>
      <c r="I299"/>
      <c r="J299" s="7"/>
      <c r="K299"/>
      <c r="L299" s="7"/>
      <c r="M299"/>
      <c r="N299" s="7"/>
      <c r="O299"/>
      <c r="P299" s="7"/>
      <c r="Q299"/>
      <c r="R299" s="7"/>
      <c r="S299"/>
      <c r="T299" s="7"/>
      <c r="U299"/>
      <c r="V299" s="7"/>
      <c r="W299"/>
      <c r="X299" s="7"/>
    </row>
    <row r="300" spans="1:24">
      <c r="A300"/>
      <c r="B300" s="7"/>
      <c r="C300"/>
      <c r="D300" s="7"/>
      <c r="E300"/>
      <c r="F300" s="7"/>
      <c r="G300"/>
      <c r="H300" s="7"/>
      <c r="I300"/>
      <c r="J300" s="7"/>
      <c r="K300"/>
      <c r="L300" s="7"/>
      <c r="M300"/>
      <c r="N300" s="7"/>
      <c r="O300"/>
      <c r="P300" s="7"/>
      <c r="Q300"/>
      <c r="R300" s="7"/>
      <c r="S300"/>
      <c r="T300" s="7"/>
      <c r="U300"/>
      <c r="V300" s="7"/>
      <c r="W300"/>
      <c r="X300" s="7"/>
    </row>
    <row r="301" spans="1:24">
      <c r="A301"/>
      <c r="B301" s="7"/>
      <c r="C301"/>
      <c r="D301" s="7"/>
      <c r="E301"/>
      <c r="F301" s="7"/>
      <c r="G301"/>
      <c r="H301" s="7"/>
      <c r="I301"/>
      <c r="J301" s="7"/>
      <c r="K301"/>
      <c r="L301" s="7"/>
      <c r="M301"/>
      <c r="N301" s="7"/>
      <c r="O301"/>
      <c r="P301" s="7"/>
      <c r="Q301"/>
      <c r="R301" s="7"/>
      <c r="S301"/>
      <c r="T301" s="7"/>
      <c r="U301"/>
      <c r="V301" s="7"/>
      <c r="W301"/>
      <c r="X301" s="7"/>
    </row>
    <row r="302" spans="1:24">
      <c r="A302"/>
      <c r="B302" s="7"/>
      <c r="C302"/>
      <c r="D302" s="7"/>
      <c r="E302"/>
      <c r="F302" s="7"/>
      <c r="G302"/>
      <c r="H302" s="7"/>
      <c r="I302"/>
      <c r="J302" s="7"/>
      <c r="K302"/>
      <c r="L302" s="7"/>
      <c r="M302"/>
      <c r="N302" s="7"/>
      <c r="O302"/>
      <c r="P302" s="7"/>
      <c r="Q302"/>
      <c r="R302" s="7"/>
      <c r="S302"/>
      <c r="T302" s="7"/>
      <c r="U302"/>
      <c r="V302" s="7"/>
      <c r="W302"/>
      <c r="X302" s="7"/>
    </row>
    <row r="303" spans="1:24">
      <c r="A303"/>
      <c r="B303" s="7"/>
      <c r="C303"/>
      <c r="D303" s="7"/>
      <c r="E303"/>
      <c r="F303" s="7"/>
      <c r="G303"/>
      <c r="H303" s="7"/>
      <c r="I303"/>
      <c r="J303" s="7"/>
      <c r="K303"/>
      <c r="L303" s="7"/>
      <c r="M303"/>
      <c r="N303" s="7"/>
      <c r="O303"/>
      <c r="P303" s="7"/>
      <c r="Q303"/>
      <c r="R303" s="7"/>
      <c r="S303"/>
      <c r="T303" s="7"/>
      <c r="U303"/>
      <c r="V303" s="7"/>
      <c r="W303"/>
      <c r="X303" s="7"/>
    </row>
    <row r="304" spans="1:24">
      <c r="A304"/>
      <c r="B304" s="7"/>
      <c r="C304"/>
      <c r="D304" s="7"/>
      <c r="E304"/>
      <c r="F304" s="7"/>
      <c r="G304"/>
      <c r="H304" s="7"/>
      <c r="I304"/>
      <c r="J304" s="7"/>
      <c r="K304"/>
      <c r="L304" s="7"/>
      <c r="M304"/>
      <c r="N304" s="7"/>
      <c r="O304"/>
      <c r="P304" s="7"/>
      <c r="Q304"/>
      <c r="R304" s="7"/>
      <c r="S304"/>
      <c r="T304" s="7"/>
      <c r="U304"/>
      <c r="V304" s="7"/>
      <c r="W304"/>
      <c r="X304" s="7"/>
    </row>
    <row r="305" spans="1:24">
      <c r="A305"/>
      <c r="B305" s="7"/>
      <c r="C305"/>
      <c r="D305" s="7"/>
      <c r="E305"/>
      <c r="F305" s="7"/>
      <c r="G305"/>
      <c r="H305" s="7"/>
      <c r="I305"/>
      <c r="J305" s="7"/>
      <c r="K305"/>
      <c r="L305" s="7"/>
      <c r="M305"/>
      <c r="N305" s="7"/>
      <c r="O305"/>
      <c r="P305" s="7"/>
      <c r="Q305"/>
      <c r="R305" s="7"/>
      <c r="S305"/>
      <c r="T305" s="7"/>
      <c r="U305"/>
      <c r="V305" s="7"/>
      <c r="W305"/>
      <c r="X305" s="7"/>
    </row>
    <row r="306" spans="1:24">
      <c r="A306"/>
      <c r="B306" s="7"/>
      <c r="C306"/>
      <c r="D306" s="7"/>
      <c r="E306"/>
      <c r="F306" s="7"/>
      <c r="G306"/>
      <c r="H306" s="7"/>
      <c r="I306"/>
      <c r="J306" s="7"/>
      <c r="K306"/>
      <c r="L306" s="7"/>
      <c r="M306"/>
      <c r="N306" s="7"/>
      <c r="O306"/>
      <c r="P306" s="7"/>
      <c r="Q306"/>
      <c r="R306" s="7"/>
      <c r="S306"/>
      <c r="T306" s="7"/>
      <c r="U306"/>
      <c r="V306" s="7"/>
      <c r="W306"/>
      <c r="X306" s="7"/>
    </row>
    <row r="307" spans="1:24">
      <c r="A307"/>
      <c r="B307" s="7"/>
      <c r="C307"/>
      <c r="D307" s="7"/>
      <c r="E307"/>
      <c r="F307" s="7"/>
      <c r="G307"/>
      <c r="H307" s="7"/>
      <c r="I307"/>
      <c r="J307" s="7"/>
      <c r="K307"/>
      <c r="L307" s="7"/>
      <c r="M307"/>
      <c r="N307" s="7"/>
      <c r="O307"/>
      <c r="P307" s="7"/>
      <c r="Q307"/>
      <c r="R307" s="7"/>
      <c r="S307"/>
      <c r="T307" s="7"/>
      <c r="U307"/>
      <c r="V307" s="7"/>
      <c r="W307"/>
      <c r="X307" s="7"/>
    </row>
    <row r="308" spans="1:24">
      <c r="A308"/>
      <c r="B308" s="7"/>
      <c r="C308"/>
      <c r="D308" s="7"/>
      <c r="E308"/>
      <c r="F308" s="7"/>
      <c r="G308"/>
      <c r="H308" s="7"/>
      <c r="I308"/>
      <c r="J308" s="7"/>
      <c r="K308"/>
      <c r="L308" s="7"/>
      <c r="M308"/>
      <c r="N308" s="7"/>
      <c r="O308"/>
      <c r="P308" s="7"/>
      <c r="Q308"/>
      <c r="R308" s="7"/>
      <c r="S308"/>
      <c r="T308" s="7"/>
      <c r="U308"/>
      <c r="V308" s="7"/>
      <c r="W308"/>
      <c r="X308" s="7"/>
    </row>
    <row r="309" spans="1:24">
      <c r="A309"/>
      <c r="B309" s="7"/>
      <c r="C309"/>
      <c r="D309" s="7"/>
      <c r="E309"/>
      <c r="F309" s="7"/>
      <c r="G309"/>
      <c r="H309" s="7"/>
      <c r="I309"/>
      <c r="J309" s="7"/>
      <c r="K309"/>
      <c r="L309" s="7"/>
      <c r="M309"/>
      <c r="N309" s="7"/>
      <c r="O309"/>
      <c r="P309" s="7"/>
      <c r="Q309"/>
      <c r="R309" s="7"/>
      <c r="S309"/>
      <c r="T309" s="7"/>
      <c r="U309"/>
      <c r="V309" s="7"/>
      <c r="W309"/>
      <c r="X309" s="7"/>
    </row>
    <row r="310" spans="1:24">
      <c r="A310"/>
      <c r="B310" s="7"/>
      <c r="C310"/>
      <c r="D310" s="7"/>
      <c r="E310"/>
      <c r="F310" s="7"/>
      <c r="G310"/>
      <c r="H310" s="7"/>
      <c r="I310"/>
      <c r="J310" s="7"/>
      <c r="K310"/>
      <c r="L310" s="7"/>
      <c r="M310"/>
      <c r="N310" s="7"/>
      <c r="O310"/>
      <c r="P310" s="7"/>
      <c r="Q310"/>
      <c r="R310" s="7"/>
      <c r="S310"/>
      <c r="T310" s="7"/>
      <c r="U310"/>
      <c r="V310" s="7"/>
      <c r="W310"/>
      <c r="X310" s="7"/>
    </row>
    <row r="311" spans="1:24">
      <c r="A311"/>
      <c r="B311" s="7"/>
      <c r="C311"/>
      <c r="D311" s="7"/>
      <c r="E311"/>
      <c r="F311" s="7"/>
      <c r="G311"/>
      <c r="H311" s="7"/>
      <c r="I311"/>
      <c r="J311" s="7"/>
      <c r="K311"/>
      <c r="L311" s="7"/>
      <c r="M311"/>
      <c r="N311" s="7"/>
      <c r="O311"/>
      <c r="P311" s="7"/>
      <c r="Q311"/>
      <c r="R311" s="7"/>
      <c r="S311"/>
      <c r="T311" s="7"/>
      <c r="U311"/>
      <c r="V311" s="7"/>
      <c r="W311"/>
      <c r="X311" s="7"/>
    </row>
    <row r="312" spans="1:24">
      <c r="A312"/>
      <c r="B312" s="7"/>
      <c r="C312"/>
      <c r="D312" s="7"/>
      <c r="E312"/>
      <c r="F312" s="7"/>
      <c r="G312"/>
      <c r="H312" s="7"/>
      <c r="I312"/>
      <c r="J312" s="7"/>
      <c r="K312"/>
      <c r="L312" s="7"/>
      <c r="M312"/>
      <c r="N312" s="7"/>
      <c r="O312"/>
      <c r="P312" s="7"/>
      <c r="Q312"/>
      <c r="R312" s="7"/>
      <c r="S312"/>
      <c r="T312" s="7"/>
      <c r="U312"/>
      <c r="V312" s="7"/>
      <c r="W312"/>
      <c r="X312" s="7"/>
    </row>
    <row r="313" spans="1:24">
      <c r="A313"/>
      <c r="B313" s="7"/>
      <c r="C313"/>
      <c r="D313" s="7"/>
      <c r="E313"/>
      <c r="F313" s="7"/>
      <c r="G313"/>
      <c r="H313" s="7"/>
      <c r="I313"/>
      <c r="J313" s="7"/>
      <c r="K313"/>
      <c r="L313" s="7"/>
      <c r="M313"/>
      <c r="N313" s="7"/>
      <c r="O313"/>
      <c r="P313" s="7"/>
      <c r="Q313"/>
      <c r="R313" s="7"/>
      <c r="S313"/>
      <c r="T313" s="7"/>
      <c r="U313"/>
      <c r="V313" s="7"/>
      <c r="W313"/>
      <c r="X313" s="7"/>
    </row>
    <row r="314" spans="1:24">
      <c r="A314"/>
      <c r="B314" s="7"/>
      <c r="C314"/>
      <c r="D314" s="7"/>
      <c r="E314"/>
      <c r="F314" s="7"/>
      <c r="G314"/>
      <c r="H314" s="7"/>
      <c r="I314"/>
      <c r="J314" s="7"/>
      <c r="K314"/>
      <c r="L314" s="7"/>
      <c r="M314"/>
      <c r="N314" s="7"/>
      <c r="O314"/>
      <c r="P314" s="7"/>
      <c r="Q314"/>
      <c r="R314" s="7"/>
      <c r="S314"/>
      <c r="T314" s="7"/>
      <c r="U314"/>
      <c r="V314" s="7"/>
      <c r="W314"/>
      <c r="X314" s="7"/>
    </row>
    <row r="315" spans="1:24">
      <c r="A315"/>
      <c r="B315" s="7"/>
      <c r="C315"/>
      <c r="D315" s="7"/>
      <c r="E315"/>
      <c r="F315" s="7"/>
      <c r="G315"/>
      <c r="H315" s="7"/>
      <c r="I315"/>
      <c r="J315" s="7"/>
      <c r="K315"/>
      <c r="L315" s="7"/>
      <c r="M315"/>
      <c r="N315" s="7"/>
      <c r="O315"/>
      <c r="P315" s="7"/>
      <c r="Q315"/>
      <c r="R315" s="7"/>
      <c r="S315"/>
      <c r="T315" s="7"/>
      <c r="U315"/>
      <c r="V315" s="7"/>
      <c r="W315"/>
      <c r="X315" s="7"/>
    </row>
    <row r="316" spans="1:24">
      <c r="A316"/>
      <c r="B316" s="7"/>
      <c r="C316"/>
      <c r="D316" s="7"/>
      <c r="E316"/>
      <c r="F316" s="7"/>
      <c r="G316"/>
      <c r="H316" s="7"/>
      <c r="I316"/>
      <c r="J316" s="7"/>
      <c r="K316"/>
      <c r="L316" s="7"/>
      <c r="M316"/>
      <c r="N316" s="7"/>
      <c r="O316"/>
      <c r="P316" s="7"/>
      <c r="Q316"/>
      <c r="R316" s="7"/>
      <c r="S316"/>
      <c r="T316" s="7"/>
      <c r="U316"/>
      <c r="V316" s="7"/>
      <c r="W316"/>
      <c r="X316" s="7"/>
    </row>
    <row r="317" spans="1:24">
      <c r="A317"/>
      <c r="B317" s="7"/>
      <c r="C317"/>
      <c r="D317" s="7"/>
      <c r="E317"/>
      <c r="F317" s="7"/>
      <c r="G317"/>
      <c r="H317" s="7"/>
      <c r="I317"/>
      <c r="J317" s="7"/>
      <c r="K317"/>
      <c r="L317" s="7"/>
      <c r="M317"/>
      <c r="N317" s="7"/>
      <c r="O317"/>
      <c r="P317" s="7"/>
      <c r="Q317"/>
      <c r="R317" s="7"/>
      <c r="S317"/>
      <c r="T317" s="7"/>
      <c r="U317"/>
      <c r="V317" s="7"/>
      <c r="W317"/>
      <c r="X317" s="7"/>
    </row>
    <row r="318" spans="1:24">
      <c r="A318"/>
      <c r="B318" s="7"/>
      <c r="C318"/>
      <c r="D318" s="7"/>
      <c r="E318"/>
      <c r="F318" s="7"/>
      <c r="G318"/>
      <c r="H318" s="7"/>
      <c r="I318"/>
      <c r="J318" s="7"/>
      <c r="K318"/>
      <c r="L318" s="7"/>
      <c r="M318"/>
      <c r="N318" s="7"/>
      <c r="O318"/>
      <c r="P318" s="7"/>
      <c r="Q318"/>
      <c r="R318" s="7"/>
      <c r="S318"/>
      <c r="T318" s="7"/>
      <c r="U318"/>
      <c r="V318" s="7"/>
      <c r="W318"/>
      <c r="X318" s="7"/>
    </row>
    <row r="319" spans="1:24">
      <c r="A319"/>
      <c r="B319" s="7"/>
      <c r="C319"/>
      <c r="D319" s="7"/>
      <c r="E319"/>
      <c r="F319" s="7"/>
      <c r="G319"/>
      <c r="H319" s="7"/>
      <c r="I319"/>
      <c r="J319" s="7"/>
      <c r="K319"/>
      <c r="L319" s="7"/>
      <c r="M319"/>
      <c r="N319" s="7"/>
      <c r="O319"/>
      <c r="P319" s="7"/>
      <c r="Q319"/>
      <c r="R319" s="7"/>
      <c r="S319"/>
      <c r="T319" s="7"/>
      <c r="U319"/>
      <c r="V319" s="7"/>
      <c r="W319"/>
      <c r="X319" s="7"/>
    </row>
    <row r="320" spans="1:24">
      <c r="A320"/>
      <c r="B320" s="7"/>
      <c r="C320"/>
      <c r="D320" s="7"/>
      <c r="E320"/>
      <c r="F320" s="7"/>
      <c r="G320"/>
      <c r="H320" s="7"/>
      <c r="I320"/>
      <c r="J320" s="7"/>
      <c r="K320"/>
      <c r="L320" s="7"/>
      <c r="M320"/>
      <c r="N320" s="7"/>
      <c r="O320"/>
      <c r="P320" s="7"/>
      <c r="Q320"/>
      <c r="R320" s="7"/>
      <c r="S320"/>
      <c r="T320" s="7"/>
      <c r="U320"/>
      <c r="V320" s="7"/>
      <c r="W320"/>
      <c r="X320" s="7"/>
    </row>
    <row r="321" spans="1:24">
      <c r="A321"/>
      <c r="B321" s="7"/>
      <c r="C321"/>
      <c r="D321" s="7"/>
      <c r="E321"/>
      <c r="F321" s="7"/>
      <c r="G321"/>
      <c r="H321" s="7"/>
      <c r="I321"/>
      <c r="J321" s="7"/>
      <c r="K321"/>
      <c r="L321" s="7"/>
      <c r="M321"/>
      <c r="N321" s="7"/>
      <c r="O321"/>
      <c r="P321" s="7"/>
      <c r="Q321"/>
      <c r="R321" s="7"/>
      <c r="S321"/>
      <c r="T321" s="7"/>
      <c r="U321"/>
      <c r="V321" s="7"/>
      <c r="W321"/>
      <c r="X321" s="7"/>
    </row>
    <row r="322" spans="1:24">
      <c r="A322"/>
      <c r="B322" s="7"/>
      <c r="C322"/>
      <c r="D322" s="7"/>
      <c r="E322"/>
      <c r="F322" s="7"/>
      <c r="G322"/>
      <c r="H322" s="7"/>
      <c r="I322"/>
      <c r="J322" s="7"/>
      <c r="K322"/>
      <c r="L322" s="7"/>
      <c r="M322"/>
      <c r="N322" s="7"/>
      <c r="O322"/>
      <c r="P322" s="7"/>
      <c r="Q322"/>
      <c r="R322" s="7"/>
      <c r="S322"/>
      <c r="T322" s="7"/>
      <c r="U322"/>
      <c r="V322" s="7"/>
      <c r="W322"/>
      <c r="X322" s="7"/>
    </row>
    <row r="323" spans="1:24">
      <c r="A323"/>
      <c r="B323" s="7"/>
      <c r="C323"/>
      <c r="D323" s="7"/>
      <c r="E323"/>
      <c r="F323" s="7"/>
      <c r="G323"/>
      <c r="H323" s="7"/>
      <c r="I323"/>
      <c r="J323" s="7"/>
      <c r="K323"/>
      <c r="L323" s="7"/>
      <c r="M323"/>
      <c r="N323" s="7"/>
      <c r="O323"/>
      <c r="P323" s="7"/>
      <c r="Q323"/>
      <c r="R323" s="7"/>
      <c r="S323"/>
      <c r="T323" s="7"/>
      <c r="U323"/>
      <c r="V323" s="7"/>
      <c r="W323"/>
      <c r="X323" s="7"/>
    </row>
    <row r="324" spans="1:24">
      <c r="A324"/>
      <c r="B324" s="7"/>
      <c r="C324"/>
      <c r="D324" s="7"/>
      <c r="E324"/>
      <c r="F324" s="7"/>
      <c r="G324"/>
      <c r="H324" s="7"/>
      <c r="I324"/>
      <c r="J324" s="7"/>
      <c r="K324"/>
      <c r="L324" s="7"/>
      <c r="M324"/>
      <c r="N324" s="7"/>
      <c r="O324"/>
      <c r="P324" s="7"/>
      <c r="Q324"/>
      <c r="R324" s="7"/>
      <c r="S324"/>
      <c r="T324" s="7"/>
      <c r="U324"/>
      <c r="V324" s="7"/>
      <c r="W324"/>
      <c r="X324" s="7"/>
    </row>
    <row r="325" spans="1:24">
      <c r="A325"/>
      <c r="B325" s="7"/>
      <c r="C325"/>
      <c r="D325" s="7"/>
      <c r="E325"/>
      <c r="F325" s="7"/>
      <c r="G325"/>
      <c r="H325" s="7"/>
      <c r="I325"/>
      <c r="J325" s="7"/>
      <c r="K325"/>
      <c r="L325" s="7"/>
      <c r="M325"/>
      <c r="N325" s="7"/>
      <c r="O325"/>
      <c r="P325" s="7"/>
      <c r="Q325"/>
      <c r="R325" s="7"/>
      <c r="S325"/>
      <c r="T325" s="7"/>
      <c r="U325"/>
      <c r="V325" s="7"/>
      <c r="W325"/>
      <c r="X325" s="7"/>
    </row>
    <row r="326" spans="1:24">
      <c r="A326"/>
      <c r="B326" s="7"/>
      <c r="C326"/>
      <c r="D326" s="7"/>
      <c r="E326"/>
      <c r="F326" s="7"/>
      <c r="G326"/>
      <c r="H326" s="7"/>
      <c r="I326"/>
      <c r="J326" s="7"/>
      <c r="K326"/>
      <c r="L326" s="7"/>
      <c r="M326"/>
      <c r="N326" s="7"/>
      <c r="O326"/>
      <c r="P326" s="7"/>
      <c r="Q326"/>
      <c r="R326" s="7"/>
      <c r="S326"/>
      <c r="T326" s="7"/>
      <c r="U326"/>
      <c r="V326" s="7"/>
      <c r="W326"/>
      <c r="X326" s="7"/>
    </row>
    <row r="327" spans="1:24">
      <c r="A327"/>
      <c r="B327" s="7"/>
      <c r="C327"/>
      <c r="D327" s="7"/>
      <c r="E327"/>
      <c r="F327" s="7"/>
      <c r="G327"/>
      <c r="H327" s="7"/>
      <c r="I327"/>
      <c r="J327" s="7"/>
      <c r="K327"/>
      <c r="L327" s="7"/>
      <c r="M327"/>
      <c r="N327" s="7"/>
      <c r="O327"/>
      <c r="P327" s="7"/>
      <c r="Q327"/>
      <c r="R327" s="7"/>
      <c r="S327"/>
      <c r="T327" s="7"/>
      <c r="U327"/>
      <c r="V327" s="7"/>
      <c r="W327"/>
      <c r="X327" s="7"/>
    </row>
    <row r="328" spans="1:24">
      <c r="A328"/>
      <c r="B328" s="7"/>
      <c r="C328"/>
      <c r="D328" s="7"/>
      <c r="E328"/>
      <c r="F328" s="7"/>
      <c r="G328"/>
      <c r="H328" s="7"/>
      <c r="I328"/>
      <c r="J328" s="7"/>
      <c r="K328"/>
      <c r="L328" s="7"/>
      <c r="M328"/>
      <c r="N328" s="7"/>
      <c r="O328"/>
      <c r="P328" s="7"/>
      <c r="Q328"/>
      <c r="R328" s="7"/>
      <c r="S328"/>
      <c r="T328" s="7"/>
      <c r="U328"/>
      <c r="V328" s="7"/>
      <c r="W328"/>
      <c r="X328" s="7"/>
    </row>
    <row r="329" spans="1:24">
      <c r="A329"/>
      <c r="B329" s="7"/>
      <c r="C329"/>
      <c r="D329" s="7"/>
      <c r="E329"/>
      <c r="F329" s="7"/>
      <c r="G329"/>
      <c r="H329" s="7"/>
      <c r="I329"/>
      <c r="J329" s="7"/>
      <c r="K329"/>
      <c r="L329" s="7"/>
      <c r="M329"/>
      <c r="N329" s="7"/>
      <c r="O329"/>
      <c r="P329" s="7"/>
      <c r="Q329"/>
      <c r="R329" s="7"/>
      <c r="S329"/>
      <c r="T329" s="7"/>
      <c r="U329"/>
      <c r="V329" s="7"/>
      <c r="W329"/>
      <c r="X329" s="7"/>
    </row>
    <row r="330" spans="1:24">
      <c r="A330"/>
      <c r="B330" s="7"/>
      <c r="C330"/>
      <c r="D330" s="7"/>
      <c r="E330"/>
      <c r="F330" s="7"/>
      <c r="G330"/>
      <c r="H330" s="7"/>
      <c r="I330"/>
      <c r="J330" s="7"/>
      <c r="K330"/>
      <c r="L330" s="7"/>
      <c r="M330"/>
      <c r="N330" s="7"/>
      <c r="O330"/>
      <c r="P330" s="7"/>
      <c r="Q330"/>
      <c r="R330" s="7"/>
      <c r="S330"/>
      <c r="T330" s="7"/>
      <c r="U330"/>
      <c r="V330" s="7"/>
      <c r="W330"/>
      <c r="X330" s="7"/>
    </row>
    <row r="331" spans="1:24">
      <c r="A331"/>
      <c r="B331" s="7"/>
      <c r="C331"/>
      <c r="D331" s="7"/>
      <c r="E331"/>
      <c r="F331" s="7"/>
      <c r="G331"/>
      <c r="H331" s="7"/>
      <c r="I331"/>
      <c r="J331" s="7"/>
      <c r="K331"/>
      <c r="L331" s="7"/>
      <c r="M331"/>
      <c r="N331" s="7"/>
      <c r="O331"/>
      <c r="P331" s="7"/>
      <c r="Q331"/>
      <c r="R331" s="7"/>
      <c r="S331"/>
      <c r="T331" s="7"/>
      <c r="U331"/>
      <c r="V331" s="7"/>
      <c r="W331"/>
      <c r="X331" s="7"/>
    </row>
    <row r="332" spans="1:24">
      <c r="A332"/>
      <c r="B332" s="7"/>
      <c r="C332"/>
      <c r="D332" s="7"/>
      <c r="E332"/>
      <c r="F332" s="7"/>
      <c r="G332"/>
      <c r="H332" s="7"/>
      <c r="I332"/>
      <c r="J332" s="7"/>
      <c r="K332"/>
      <c r="L332" s="7"/>
      <c r="M332"/>
      <c r="N332" s="7"/>
      <c r="O332"/>
      <c r="P332" s="7"/>
      <c r="Q332"/>
      <c r="R332" s="7"/>
      <c r="S332"/>
      <c r="T332" s="7"/>
      <c r="U332"/>
      <c r="V332" s="7"/>
      <c r="W332"/>
      <c r="X332" s="7"/>
    </row>
    <row r="333" spans="1:24">
      <c r="A333"/>
      <c r="B333" s="7"/>
      <c r="C333"/>
      <c r="D333" s="7"/>
      <c r="E333"/>
      <c r="F333" s="7"/>
      <c r="G333"/>
      <c r="H333" s="7"/>
      <c r="I333"/>
      <c r="J333" s="7"/>
      <c r="K333"/>
      <c r="L333" s="7"/>
      <c r="M333"/>
      <c r="N333" s="7"/>
      <c r="O333"/>
      <c r="P333" s="7"/>
      <c r="Q333"/>
      <c r="R333" s="7"/>
      <c r="S333"/>
      <c r="T333" s="7"/>
      <c r="U333"/>
      <c r="V333" s="7"/>
      <c r="W333"/>
      <c r="X333" s="7"/>
    </row>
    <row r="334" spans="1:24">
      <c r="A334"/>
      <c r="B334" s="7"/>
      <c r="C334"/>
      <c r="D334" s="7"/>
      <c r="E334"/>
      <c r="F334" s="7"/>
      <c r="G334"/>
      <c r="H334" s="7"/>
      <c r="I334"/>
      <c r="J334" s="7"/>
      <c r="K334"/>
      <c r="L334" s="7"/>
      <c r="M334"/>
      <c r="N334" s="7"/>
      <c r="O334"/>
      <c r="P334" s="7"/>
      <c r="Q334"/>
      <c r="R334" s="7"/>
      <c r="S334"/>
      <c r="T334" s="7"/>
      <c r="U334"/>
      <c r="V334" s="7"/>
      <c r="W334"/>
      <c r="X334" s="7"/>
    </row>
    <row r="335" spans="1:24">
      <c r="A335"/>
      <c r="B335" s="7"/>
      <c r="C335"/>
      <c r="D335" s="7"/>
      <c r="E335"/>
      <c r="F335" s="7"/>
      <c r="G335"/>
      <c r="H335" s="7"/>
      <c r="I335"/>
      <c r="J335" s="7"/>
      <c r="K335"/>
      <c r="L335" s="7"/>
      <c r="M335"/>
      <c r="N335" s="7"/>
      <c r="O335"/>
      <c r="P335" s="7"/>
      <c r="Q335"/>
      <c r="R335" s="7"/>
      <c r="S335"/>
      <c r="T335" s="7"/>
      <c r="U335"/>
      <c r="V335" s="7"/>
      <c r="W335"/>
      <c r="X335" s="7"/>
    </row>
    <row r="336" spans="1:24">
      <c r="A336"/>
      <c r="B336" s="7"/>
      <c r="C336"/>
      <c r="D336" s="7"/>
      <c r="E336"/>
      <c r="F336" s="7"/>
      <c r="G336"/>
      <c r="H336" s="7"/>
      <c r="I336"/>
      <c r="J336" s="7"/>
      <c r="K336"/>
      <c r="L336" s="7"/>
      <c r="M336"/>
      <c r="N336" s="7"/>
      <c r="O336"/>
      <c r="P336" s="7"/>
      <c r="Q336"/>
      <c r="R336" s="7"/>
      <c r="S336"/>
      <c r="T336" s="7"/>
      <c r="U336"/>
      <c r="V336" s="7"/>
      <c r="W336"/>
      <c r="X336" s="7"/>
    </row>
    <row r="337" spans="1:24">
      <c r="A337"/>
      <c r="B337" s="7"/>
      <c r="C337"/>
      <c r="D337" s="7"/>
      <c r="E337"/>
      <c r="F337" s="7"/>
      <c r="G337"/>
      <c r="H337" s="7"/>
      <c r="I337"/>
      <c r="J337" s="7"/>
      <c r="K337"/>
      <c r="L337" s="7"/>
      <c r="M337"/>
      <c r="N337" s="7"/>
      <c r="O337"/>
      <c r="P337" s="7"/>
      <c r="Q337"/>
      <c r="R337" s="7"/>
      <c r="S337"/>
      <c r="T337" s="7"/>
      <c r="U337"/>
      <c r="V337" s="7"/>
      <c r="W337"/>
      <c r="X337" s="7"/>
    </row>
    <row r="338" spans="1:24">
      <c r="A338"/>
      <c r="B338" s="7"/>
      <c r="C338"/>
      <c r="D338" s="7"/>
      <c r="E338"/>
      <c r="F338" s="7"/>
      <c r="G338"/>
      <c r="H338" s="7"/>
      <c r="I338"/>
      <c r="J338" s="7"/>
      <c r="K338"/>
      <c r="L338" s="7"/>
      <c r="M338"/>
      <c r="N338" s="7"/>
      <c r="O338"/>
      <c r="P338" s="7"/>
      <c r="Q338"/>
      <c r="R338" s="7"/>
      <c r="S338"/>
      <c r="T338" s="7"/>
      <c r="U338"/>
      <c r="V338" s="7"/>
      <c r="W338"/>
      <c r="X338" s="7"/>
    </row>
    <row r="339" spans="1:24">
      <c r="A339"/>
      <c r="B339" s="7"/>
      <c r="C339"/>
      <c r="D339" s="7"/>
      <c r="E339"/>
      <c r="F339" s="7"/>
      <c r="G339"/>
      <c r="H339" s="7"/>
      <c r="I339"/>
      <c r="J339" s="7"/>
      <c r="K339"/>
      <c r="L339" s="7"/>
      <c r="M339"/>
      <c r="N339" s="7"/>
      <c r="O339"/>
      <c r="P339" s="7"/>
      <c r="Q339"/>
      <c r="R339" s="7"/>
      <c r="S339"/>
      <c r="T339" s="7"/>
      <c r="U339"/>
      <c r="V339" s="7"/>
      <c r="W339"/>
      <c r="X339" s="7"/>
    </row>
    <row r="340" spans="1:24">
      <c r="A340"/>
      <c r="B340" s="7"/>
      <c r="C340"/>
      <c r="D340" s="7"/>
      <c r="E340"/>
      <c r="F340" s="7"/>
      <c r="G340"/>
      <c r="H340" s="7"/>
      <c r="I340"/>
      <c r="J340" s="7"/>
      <c r="K340"/>
      <c r="L340" s="7"/>
      <c r="M340"/>
      <c r="N340" s="7"/>
      <c r="O340"/>
      <c r="P340" s="7"/>
      <c r="Q340"/>
      <c r="R340" s="7"/>
      <c r="S340"/>
      <c r="T340" s="7"/>
      <c r="U340"/>
      <c r="V340" s="7"/>
      <c r="W340"/>
      <c r="X340" s="7"/>
    </row>
    <row r="341" spans="1:24">
      <c r="A341"/>
      <c r="B341" s="7"/>
      <c r="C341"/>
      <c r="D341" s="7"/>
      <c r="E341"/>
      <c r="F341" s="7"/>
      <c r="G341"/>
      <c r="H341" s="7"/>
      <c r="I341"/>
      <c r="J341" s="7"/>
      <c r="K341"/>
      <c r="L341" s="7"/>
      <c r="M341"/>
      <c r="N341" s="7"/>
      <c r="O341"/>
      <c r="P341" s="7"/>
      <c r="Q341"/>
      <c r="R341" s="7"/>
      <c r="S341"/>
      <c r="T341" s="7"/>
      <c r="U341"/>
      <c r="V341" s="7"/>
      <c r="W341"/>
      <c r="X341" s="7"/>
    </row>
    <row r="342" spans="1:24">
      <c r="A342"/>
      <c r="B342" s="7"/>
      <c r="C342"/>
      <c r="D342" s="7"/>
      <c r="E342"/>
      <c r="F342" s="7"/>
      <c r="G342"/>
      <c r="H342" s="7"/>
      <c r="I342"/>
      <c r="J342" s="7"/>
      <c r="K342"/>
      <c r="L342" s="7"/>
      <c r="M342"/>
      <c r="N342" s="7"/>
      <c r="O342"/>
      <c r="P342" s="7"/>
      <c r="Q342"/>
      <c r="R342" s="7"/>
      <c r="S342"/>
      <c r="T342" s="7"/>
      <c r="U342"/>
      <c r="V342" s="7"/>
      <c r="W342"/>
      <c r="X342" s="7"/>
    </row>
    <row r="343" spans="1:24">
      <c r="A343"/>
      <c r="B343" s="7"/>
      <c r="C343"/>
      <c r="D343" s="7"/>
      <c r="E343"/>
      <c r="F343" s="7"/>
      <c r="G343"/>
      <c r="H343" s="7"/>
      <c r="I343"/>
      <c r="J343" s="7"/>
      <c r="K343"/>
      <c r="L343" s="7"/>
      <c r="M343"/>
      <c r="N343" s="7"/>
      <c r="O343"/>
      <c r="P343" s="7"/>
      <c r="Q343"/>
      <c r="R343" s="7"/>
      <c r="S343"/>
      <c r="T343" s="7"/>
      <c r="U343"/>
      <c r="V343" s="7"/>
      <c r="W343"/>
      <c r="X343" s="7"/>
    </row>
    <row r="344" spans="1:24">
      <c r="A344"/>
      <c r="B344" s="7"/>
      <c r="C344"/>
      <c r="D344" s="7"/>
      <c r="E344"/>
      <c r="F344" s="7"/>
      <c r="G344"/>
      <c r="H344" s="7"/>
      <c r="I344"/>
      <c r="J344" s="7"/>
      <c r="K344"/>
      <c r="L344" s="7"/>
      <c r="M344"/>
      <c r="N344" s="7"/>
      <c r="O344"/>
      <c r="P344" s="7"/>
      <c r="Q344"/>
      <c r="R344" s="7"/>
      <c r="S344"/>
      <c r="T344" s="7"/>
      <c r="U344"/>
      <c r="V344" s="7"/>
      <c r="W344"/>
      <c r="X344" s="7"/>
    </row>
    <row r="345" spans="1:24">
      <c r="A345"/>
      <c r="B345" s="7"/>
      <c r="C345"/>
      <c r="D345" s="7"/>
      <c r="E345"/>
      <c r="F345" s="7"/>
      <c r="G345"/>
      <c r="H345" s="7"/>
      <c r="I345"/>
      <c r="J345" s="7"/>
      <c r="K345"/>
      <c r="L345" s="7"/>
      <c r="M345"/>
      <c r="N345" s="7"/>
      <c r="O345"/>
      <c r="P345" s="7"/>
      <c r="Q345"/>
      <c r="R345" s="7"/>
      <c r="S345"/>
      <c r="T345" s="7"/>
      <c r="U345"/>
      <c r="V345" s="7"/>
      <c r="W345"/>
      <c r="X345" s="7"/>
    </row>
    <row r="346" spans="1:24">
      <c r="A346"/>
      <c r="B346" s="7"/>
      <c r="C346"/>
      <c r="D346" s="7"/>
      <c r="E346"/>
      <c r="F346" s="7"/>
      <c r="G346"/>
      <c r="H346" s="7"/>
      <c r="I346"/>
      <c r="J346" s="7"/>
      <c r="K346"/>
      <c r="L346" s="7"/>
      <c r="M346"/>
      <c r="N346" s="7"/>
      <c r="O346"/>
      <c r="P346" s="7"/>
      <c r="Q346"/>
      <c r="R346" s="7"/>
      <c r="S346"/>
      <c r="T346" s="7"/>
      <c r="U346"/>
      <c r="V346" s="7"/>
      <c r="W346"/>
      <c r="X346" s="7"/>
    </row>
    <row r="347" spans="1:24">
      <c r="A347"/>
      <c r="B347" s="7"/>
      <c r="C347"/>
      <c r="D347" s="7"/>
      <c r="E347"/>
      <c r="F347" s="7"/>
      <c r="G347"/>
      <c r="H347" s="7"/>
      <c r="I347"/>
      <c r="J347" s="7"/>
      <c r="K347"/>
      <c r="L347" s="7"/>
      <c r="M347"/>
      <c r="N347" s="7"/>
      <c r="O347"/>
      <c r="P347" s="7"/>
      <c r="Q347"/>
      <c r="R347" s="7"/>
      <c r="S347"/>
      <c r="T347" s="7"/>
      <c r="U347"/>
      <c r="V347" s="7"/>
      <c r="W347"/>
      <c r="X347" s="7"/>
    </row>
    <row r="348" spans="1:24">
      <c r="A348"/>
      <c r="B348" s="7"/>
      <c r="C348"/>
      <c r="D348" s="7"/>
      <c r="E348"/>
      <c r="F348" s="7"/>
      <c r="G348"/>
      <c r="H348" s="7"/>
      <c r="I348"/>
      <c r="J348" s="7"/>
      <c r="K348"/>
      <c r="L348" s="7"/>
      <c r="M348"/>
      <c r="N348" s="7"/>
      <c r="O348"/>
      <c r="P348" s="7"/>
      <c r="Q348"/>
      <c r="R348" s="7"/>
      <c r="S348"/>
      <c r="T348" s="7"/>
      <c r="U348"/>
      <c r="V348" s="7"/>
      <c r="W348"/>
      <c r="X348" s="7"/>
    </row>
    <row r="349" spans="1:24">
      <c r="A349"/>
      <c r="B349" s="7"/>
      <c r="C349"/>
      <c r="D349" s="7"/>
      <c r="E349"/>
      <c r="F349" s="7"/>
      <c r="G349"/>
      <c r="H349" s="7"/>
      <c r="I349"/>
      <c r="J349" s="7"/>
      <c r="K349"/>
      <c r="L349" s="7"/>
      <c r="M349"/>
      <c r="N349" s="7"/>
      <c r="O349"/>
      <c r="P349" s="7"/>
      <c r="Q349"/>
      <c r="R349" s="7"/>
      <c r="S349"/>
      <c r="T349" s="7"/>
      <c r="U349"/>
      <c r="V349" s="7"/>
      <c r="W349"/>
      <c r="X349" s="7"/>
    </row>
    <row r="350" spans="1:24">
      <c r="A350"/>
      <c r="B350" s="7"/>
      <c r="C350"/>
      <c r="D350" s="7"/>
      <c r="E350"/>
      <c r="F350" s="7"/>
      <c r="G350"/>
      <c r="H350" s="7"/>
      <c r="I350"/>
      <c r="J350" s="7"/>
      <c r="K350"/>
      <c r="L350" s="7"/>
      <c r="M350"/>
      <c r="N350" s="7"/>
      <c r="O350"/>
      <c r="P350" s="7"/>
      <c r="Q350"/>
      <c r="R350" s="7"/>
      <c r="S350"/>
      <c r="T350" s="7"/>
      <c r="U350"/>
      <c r="V350" s="7"/>
      <c r="W350"/>
      <c r="X350" s="7"/>
    </row>
    <row r="351" spans="1:24">
      <c r="A351"/>
      <c r="B351" s="7"/>
      <c r="C351"/>
      <c r="D351" s="7"/>
      <c r="E351"/>
      <c r="F351" s="7"/>
      <c r="G351"/>
      <c r="H351" s="7"/>
      <c r="I351"/>
      <c r="J351" s="7"/>
      <c r="K351"/>
      <c r="L351" s="7"/>
      <c r="M351"/>
      <c r="N351" s="7"/>
      <c r="O351"/>
      <c r="P351" s="7"/>
      <c r="Q351"/>
      <c r="R351" s="7"/>
      <c r="S351"/>
      <c r="T351" s="7"/>
      <c r="U351"/>
      <c r="V351" s="7"/>
      <c r="W351"/>
      <c r="X351" s="7"/>
    </row>
    <row r="352" spans="1:24">
      <c r="A352"/>
      <c r="B352" s="7"/>
      <c r="C352"/>
      <c r="D352" s="7"/>
      <c r="E352"/>
      <c r="F352" s="7"/>
      <c r="G352"/>
      <c r="H352" s="7"/>
      <c r="I352"/>
      <c r="J352" s="7"/>
      <c r="K352"/>
      <c r="L352" s="7"/>
      <c r="M352"/>
      <c r="N352" s="7"/>
      <c r="O352"/>
      <c r="P352" s="7"/>
      <c r="Q352"/>
      <c r="R352" s="7"/>
      <c r="S352"/>
      <c r="T352" s="7"/>
      <c r="U352"/>
      <c r="V352" s="7"/>
      <c r="W352"/>
      <c r="X352" s="7"/>
    </row>
    <row r="353" spans="1:24">
      <c r="A353"/>
      <c r="B353" s="7"/>
      <c r="C353"/>
      <c r="D353" s="7"/>
      <c r="E353"/>
      <c r="F353" s="7"/>
      <c r="G353"/>
      <c r="H353" s="7"/>
      <c r="I353"/>
      <c r="J353" s="7"/>
      <c r="K353"/>
      <c r="L353" s="7"/>
      <c r="M353"/>
      <c r="N353" s="7"/>
      <c r="O353"/>
      <c r="P353" s="7"/>
      <c r="Q353"/>
      <c r="R353" s="7"/>
      <c r="S353"/>
      <c r="T353" s="7"/>
      <c r="U353"/>
      <c r="V353" s="7"/>
      <c r="W353"/>
      <c r="X353" s="7"/>
    </row>
    <row r="354" spans="1:24">
      <c r="A354"/>
      <c r="B354" s="7"/>
      <c r="C354"/>
      <c r="D354" s="7"/>
      <c r="E354"/>
      <c r="F354" s="7"/>
      <c r="G354"/>
      <c r="H354" s="7"/>
      <c r="I354"/>
      <c r="J354" s="7"/>
      <c r="K354"/>
      <c r="L354" s="7"/>
      <c r="M354"/>
      <c r="N354" s="7"/>
      <c r="O354"/>
      <c r="P354" s="7"/>
      <c r="Q354"/>
      <c r="R354" s="7"/>
      <c r="S354"/>
      <c r="T354" s="7"/>
      <c r="U354"/>
      <c r="V354" s="7"/>
      <c r="W354"/>
      <c r="X354" s="7"/>
    </row>
    <row r="355" spans="1:24">
      <c r="A355"/>
      <c r="B355" s="7"/>
      <c r="C355"/>
      <c r="D355" s="7"/>
      <c r="E355"/>
      <c r="F355" s="7"/>
      <c r="G355"/>
      <c r="H355" s="7"/>
      <c r="I355"/>
      <c r="J355" s="7"/>
      <c r="K355"/>
      <c r="L355" s="7"/>
      <c r="M355"/>
      <c r="N355" s="7"/>
      <c r="O355"/>
      <c r="P355" s="7"/>
      <c r="Q355"/>
      <c r="R355" s="7"/>
      <c r="S355"/>
      <c r="T355" s="7"/>
      <c r="U355"/>
      <c r="V355" s="7"/>
      <c r="W355"/>
      <c r="X355" s="7"/>
    </row>
    <row r="356" spans="1:24">
      <c r="A356"/>
      <c r="B356" s="7"/>
      <c r="C356"/>
      <c r="D356" s="7"/>
      <c r="E356"/>
      <c r="F356" s="7"/>
      <c r="G356"/>
      <c r="H356" s="7"/>
      <c r="I356"/>
      <c r="J356" s="7"/>
      <c r="K356"/>
      <c r="L356" s="7"/>
      <c r="M356"/>
      <c r="N356" s="7"/>
      <c r="O356"/>
      <c r="P356" s="7"/>
      <c r="Q356"/>
      <c r="R356" s="7"/>
      <c r="S356"/>
      <c r="T356" s="7"/>
      <c r="U356"/>
      <c r="V356" s="7"/>
      <c r="W356"/>
      <c r="X356" s="7"/>
    </row>
    <row r="357" spans="1:24">
      <c r="A357"/>
      <c r="B357" s="7"/>
      <c r="C357"/>
      <c r="D357" s="7"/>
      <c r="E357"/>
      <c r="F357" s="7"/>
      <c r="G357"/>
      <c r="H357" s="7"/>
      <c r="I357"/>
      <c r="J357" s="7"/>
      <c r="K357"/>
      <c r="L357" s="7"/>
      <c r="M357"/>
      <c r="N357" s="7"/>
      <c r="O357"/>
      <c r="P357" s="7"/>
      <c r="Q357"/>
      <c r="R357" s="7"/>
      <c r="S357"/>
      <c r="T357" s="7"/>
      <c r="U357"/>
      <c r="V357" s="7"/>
      <c r="W357"/>
      <c r="X357" s="7"/>
    </row>
    <row r="358" spans="1:24">
      <c r="A358"/>
      <c r="B358" s="7"/>
      <c r="C358"/>
      <c r="D358" s="7"/>
      <c r="E358"/>
      <c r="F358" s="7"/>
      <c r="G358"/>
      <c r="H358" s="7"/>
      <c r="I358"/>
      <c r="J358" s="7"/>
      <c r="K358"/>
      <c r="L358" s="7"/>
      <c r="M358"/>
      <c r="N358" s="7"/>
      <c r="O358"/>
      <c r="P358" s="7"/>
      <c r="Q358"/>
      <c r="R358" s="7"/>
      <c r="S358"/>
      <c r="T358" s="7"/>
      <c r="U358"/>
      <c r="V358" s="7"/>
      <c r="W358"/>
      <c r="X358" s="7"/>
    </row>
    <row r="359" spans="1:24">
      <c r="A359"/>
      <c r="B359" s="7"/>
      <c r="C359"/>
      <c r="D359" s="7"/>
      <c r="E359"/>
      <c r="F359" s="7"/>
      <c r="G359"/>
      <c r="H359" s="7"/>
      <c r="I359"/>
      <c r="J359" s="7"/>
      <c r="K359"/>
      <c r="L359" s="7"/>
      <c r="M359"/>
      <c r="N359" s="7"/>
      <c r="O359"/>
      <c r="P359" s="7"/>
      <c r="Q359"/>
      <c r="R359" s="7"/>
      <c r="S359"/>
      <c r="T359" s="7"/>
      <c r="U359"/>
      <c r="V359" s="7"/>
      <c r="W359"/>
      <c r="X359" s="7"/>
    </row>
    <row r="360" spans="1:24">
      <c r="A360"/>
      <c r="B360" s="7"/>
      <c r="C360"/>
      <c r="D360" s="7"/>
      <c r="E360"/>
      <c r="F360" s="7"/>
      <c r="G360"/>
      <c r="H360" s="7"/>
      <c r="I360"/>
      <c r="J360" s="7"/>
      <c r="K360"/>
      <c r="L360" s="7"/>
      <c r="M360"/>
      <c r="N360" s="7"/>
      <c r="O360"/>
      <c r="P360" s="7"/>
      <c r="Q360"/>
      <c r="R360" s="7"/>
      <c r="S360"/>
      <c r="T360" s="7"/>
      <c r="U360"/>
      <c r="V360" s="7"/>
      <c r="W360"/>
      <c r="X360" s="7"/>
    </row>
    <row r="361" spans="1:24">
      <c r="A361"/>
      <c r="B361" s="7"/>
      <c r="C361"/>
      <c r="D361" s="7"/>
      <c r="E361"/>
      <c r="F361" s="7"/>
      <c r="G361"/>
      <c r="H361" s="7"/>
      <c r="I361"/>
      <c r="J361" s="7"/>
      <c r="K361"/>
      <c r="L361" s="7"/>
      <c r="M361"/>
      <c r="N361" s="7"/>
      <c r="O361"/>
      <c r="P361" s="7"/>
      <c r="Q361"/>
      <c r="R361" s="7"/>
      <c r="S361"/>
      <c r="T361" s="7"/>
      <c r="U361"/>
      <c r="V361" s="7"/>
      <c r="W361"/>
      <c r="X361" s="7"/>
    </row>
    <row r="362" spans="1:24">
      <c r="A362"/>
      <c r="B362" s="7"/>
      <c r="C362"/>
      <c r="D362" s="7"/>
      <c r="E362"/>
      <c r="F362" s="7"/>
      <c r="G362"/>
      <c r="H362" s="7"/>
      <c r="I362"/>
      <c r="J362" s="7"/>
      <c r="K362"/>
      <c r="L362" s="7"/>
      <c r="M362"/>
      <c r="N362" s="7"/>
      <c r="O362"/>
      <c r="P362" s="7"/>
      <c r="Q362"/>
      <c r="R362" s="7"/>
      <c r="S362"/>
      <c r="T362" s="7"/>
      <c r="U362"/>
      <c r="V362" s="7"/>
      <c r="W362"/>
      <c r="X362" s="7"/>
    </row>
    <row r="363" spans="1:24">
      <c r="A363"/>
      <c r="B363" s="7"/>
      <c r="C363"/>
      <c r="D363" s="7"/>
      <c r="E363"/>
      <c r="F363" s="7"/>
      <c r="G363"/>
      <c r="H363" s="7"/>
      <c r="I363"/>
      <c r="J363" s="7"/>
      <c r="K363"/>
      <c r="L363" s="7"/>
      <c r="M363"/>
      <c r="N363" s="7"/>
      <c r="O363"/>
      <c r="P363" s="7"/>
      <c r="Q363"/>
      <c r="R363" s="7"/>
      <c r="S363"/>
      <c r="T363" s="7"/>
      <c r="U363"/>
      <c r="V363" s="7"/>
      <c r="W363"/>
      <c r="X363" s="7"/>
    </row>
    <row r="364" spans="1:24">
      <c r="A364"/>
      <c r="B364" s="7"/>
      <c r="C364"/>
      <c r="D364" s="7"/>
      <c r="E364"/>
      <c r="F364" s="7"/>
      <c r="G364"/>
      <c r="H364" s="7"/>
      <c r="I364"/>
      <c r="J364" s="7"/>
      <c r="K364"/>
      <c r="L364" s="7"/>
      <c r="M364"/>
      <c r="N364" s="7"/>
      <c r="O364"/>
      <c r="P364" s="7"/>
      <c r="Q364"/>
      <c r="R364" s="7"/>
      <c r="S364"/>
      <c r="T364" s="7"/>
      <c r="U364"/>
      <c r="V364" s="7"/>
      <c r="W364"/>
      <c r="X364" s="7"/>
    </row>
    <row r="365" spans="1:24">
      <c r="A365"/>
      <c r="B365" s="7"/>
      <c r="C365"/>
      <c r="D365" s="7"/>
      <c r="E365"/>
      <c r="F365" s="7"/>
      <c r="G365"/>
      <c r="H365" s="7"/>
      <c r="I365"/>
      <c r="J365" s="7"/>
      <c r="K365"/>
      <c r="L365" s="7"/>
      <c r="M365"/>
      <c r="N365" s="7"/>
      <c r="O365"/>
      <c r="P365" s="7"/>
      <c r="Q365"/>
      <c r="R365" s="7"/>
      <c r="S365"/>
      <c r="T365" s="7"/>
      <c r="U365"/>
      <c r="V365" s="7"/>
      <c r="W365"/>
      <c r="X365" s="7"/>
    </row>
    <row r="366" spans="1:24">
      <c r="A366"/>
      <c r="B366" s="7"/>
      <c r="C366"/>
      <c r="D366" s="7"/>
      <c r="E366"/>
      <c r="F366" s="7"/>
      <c r="G366"/>
      <c r="H366" s="7"/>
      <c r="I366"/>
      <c r="J366" s="7"/>
      <c r="K366"/>
      <c r="L366" s="7"/>
      <c r="M366"/>
      <c r="N366" s="7"/>
      <c r="O366"/>
      <c r="P366" s="7"/>
      <c r="Q366"/>
      <c r="R366" s="7"/>
      <c r="S366"/>
      <c r="T366" s="7"/>
      <c r="U366"/>
      <c r="V366" s="7"/>
      <c r="W366"/>
      <c r="X366" s="7"/>
    </row>
    <row r="367" spans="1:24">
      <c r="A367"/>
      <c r="B367" s="7"/>
      <c r="C367"/>
      <c r="D367" s="7"/>
      <c r="E367"/>
      <c r="F367" s="7"/>
      <c r="G367"/>
      <c r="H367" s="7"/>
      <c r="I367"/>
      <c r="J367" s="7"/>
      <c r="K367"/>
      <c r="L367" s="7"/>
      <c r="M367"/>
      <c r="N367" s="7"/>
      <c r="O367"/>
      <c r="P367" s="7"/>
      <c r="Q367"/>
      <c r="R367" s="7"/>
      <c r="S367"/>
      <c r="T367" s="7"/>
      <c r="U367"/>
      <c r="V367" s="7"/>
      <c r="W367"/>
      <c r="X367" s="7"/>
    </row>
    <row r="368" spans="1:24">
      <c r="A368"/>
      <c r="B368" s="7"/>
      <c r="C368"/>
      <c r="D368" s="7"/>
      <c r="E368"/>
      <c r="F368" s="7"/>
      <c r="G368"/>
      <c r="H368" s="7"/>
      <c r="I368"/>
      <c r="J368" s="7"/>
      <c r="K368"/>
      <c r="L368" s="7"/>
      <c r="M368"/>
      <c r="N368" s="7"/>
      <c r="O368"/>
      <c r="P368" s="7"/>
      <c r="Q368"/>
      <c r="R368" s="7"/>
      <c r="S368"/>
      <c r="T368" s="7"/>
      <c r="U368"/>
      <c r="V368" s="7"/>
      <c r="W368"/>
      <c r="X368" s="7"/>
    </row>
    <row r="369" spans="1:24">
      <c r="A369"/>
      <c r="B369" s="7"/>
      <c r="C369"/>
      <c r="D369" s="7"/>
      <c r="E369"/>
      <c r="F369" s="7"/>
      <c r="G369"/>
      <c r="H369" s="7"/>
      <c r="I369"/>
      <c r="J369" s="7"/>
      <c r="K369"/>
      <c r="L369" s="7"/>
      <c r="M369"/>
      <c r="N369" s="7"/>
      <c r="O369"/>
      <c r="P369" s="7"/>
      <c r="Q369"/>
      <c r="R369" s="7"/>
      <c r="S369"/>
      <c r="T369" s="7"/>
      <c r="U369"/>
      <c r="V369" s="7"/>
      <c r="W369"/>
      <c r="X369" s="7"/>
    </row>
    <row r="370" spans="1:24">
      <c r="A370"/>
      <c r="B370" s="7"/>
      <c r="C370"/>
      <c r="D370" s="7"/>
      <c r="E370"/>
      <c r="F370" s="7"/>
      <c r="G370"/>
      <c r="H370" s="7"/>
      <c r="I370"/>
      <c r="J370" s="7"/>
      <c r="K370"/>
      <c r="L370" s="7"/>
      <c r="M370"/>
      <c r="N370" s="7"/>
      <c r="O370"/>
      <c r="P370" s="7"/>
      <c r="Q370"/>
      <c r="R370" s="7"/>
      <c r="S370"/>
      <c r="T370" s="7"/>
      <c r="U370"/>
      <c r="V370" s="7"/>
      <c r="W370"/>
      <c r="X370" s="7"/>
    </row>
    <row r="371" spans="1:24">
      <c r="A371"/>
      <c r="B371" s="7"/>
      <c r="C371"/>
      <c r="D371" s="7"/>
      <c r="E371"/>
      <c r="F371" s="7"/>
      <c r="G371"/>
      <c r="H371" s="7"/>
      <c r="I371"/>
      <c r="J371" s="7"/>
      <c r="K371"/>
      <c r="L371" s="7"/>
      <c r="M371"/>
      <c r="N371" s="7"/>
      <c r="O371"/>
      <c r="P371" s="7"/>
      <c r="Q371"/>
      <c r="R371" s="7"/>
      <c r="S371"/>
      <c r="T371" s="7"/>
      <c r="U371"/>
      <c r="V371" s="7"/>
      <c r="W371"/>
      <c r="X371" s="7"/>
    </row>
    <row r="372" spans="1:24">
      <c r="A372"/>
      <c r="B372" s="7"/>
      <c r="C372"/>
      <c r="D372" s="7"/>
      <c r="E372"/>
      <c r="F372" s="7"/>
      <c r="G372"/>
      <c r="H372" s="7"/>
      <c r="I372"/>
      <c r="J372" s="7"/>
      <c r="K372"/>
      <c r="L372" s="7"/>
      <c r="M372"/>
      <c r="N372" s="7"/>
      <c r="O372"/>
      <c r="P372" s="7"/>
      <c r="Q372"/>
      <c r="R372" s="7"/>
      <c r="S372"/>
      <c r="T372" s="7"/>
      <c r="U372"/>
      <c r="V372" s="7"/>
      <c r="W372"/>
      <c r="X372" s="7"/>
    </row>
    <row r="373" spans="1:24">
      <c r="A373"/>
      <c r="B373" s="7"/>
      <c r="C373"/>
      <c r="D373" s="7"/>
      <c r="E373"/>
      <c r="F373" s="7"/>
      <c r="G373"/>
      <c r="H373" s="7"/>
      <c r="I373"/>
      <c r="J373" s="7"/>
      <c r="K373"/>
      <c r="L373" s="7"/>
      <c r="M373"/>
      <c r="N373" s="7"/>
      <c r="O373"/>
      <c r="P373" s="7"/>
      <c r="Q373"/>
      <c r="R373" s="7"/>
      <c r="S373"/>
      <c r="T373" s="7"/>
      <c r="U373"/>
      <c r="V373" s="7"/>
      <c r="W373"/>
      <c r="X373" s="7"/>
    </row>
    <row r="374" spans="1:24">
      <c r="A374"/>
      <c r="B374" s="7"/>
      <c r="C374"/>
      <c r="D374" s="7"/>
      <c r="E374"/>
      <c r="F374" s="7"/>
      <c r="G374"/>
      <c r="H374" s="7"/>
      <c r="I374"/>
      <c r="J374" s="7"/>
      <c r="K374"/>
      <c r="L374" s="7"/>
      <c r="M374"/>
      <c r="N374" s="7"/>
      <c r="O374"/>
      <c r="P374" s="7"/>
      <c r="Q374"/>
      <c r="R374" s="7"/>
      <c r="S374"/>
      <c r="T374" s="7"/>
      <c r="U374"/>
      <c r="V374" s="7"/>
      <c r="W374"/>
      <c r="X374" s="7"/>
    </row>
    <row r="375" spans="1:24">
      <c r="A375"/>
      <c r="B375" s="7"/>
      <c r="C375"/>
      <c r="D375" s="7"/>
      <c r="E375"/>
      <c r="F375" s="7"/>
      <c r="G375"/>
      <c r="H375" s="7"/>
      <c r="I375"/>
      <c r="J375" s="7"/>
      <c r="K375"/>
      <c r="L375" s="7"/>
      <c r="M375"/>
      <c r="N375" s="7"/>
      <c r="O375"/>
      <c r="P375" s="7"/>
      <c r="Q375"/>
      <c r="R375" s="7"/>
      <c r="S375"/>
      <c r="T375" s="7"/>
      <c r="U375"/>
      <c r="V375" s="7"/>
      <c r="W375"/>
      <c r="X375" s="7"/>
    </row>
    <row r="376" spans="1:24">
      <c r="A376"/>
      <c r="B376" s="7"/>
      <c r="C376"/>
      <c r="D376" s="7"/>
      <c r="E376"/>
      <c r="F376" s="7"/>
      <c r="G376"/>
      <c r="H376" s="7"/>
      <c r="I376"/>
      <c r="J376" s="7"/>
      <c r="K376"/>
      <c r="L376" s="7"/>
      <c r="M376"/>
      <c r="N376" s="7"/>
      <c r="O376"/>
      <c r="P376" s="7"/>
      <c r="Q376"/>
      <c r="R376" s="7"/>
      <c r="S376"/>
      <c r="T376" s="7"/>
      <c r="U376"/>
      <c r="V376" s="7"/>
      <c r="W376"/>
      <c r="X376" s="7"/>
    </row>
    <row r="377" spans="1:24">
      <c r="A377"/>
      <c r="B377" s="7"/>
      <c r="C377"/>
      <c r="D377" s="7"/>
      <c r="E377"/>
      <c r="F377" s="7"/>
      <c r="G377"/>
      <c r="H377" s="7"/>
      <c r="I377"/>
      <c r="J377" s="7"/>
      <c r="K377"/>
      <c r="L377" s="7"/>
      <c r="M377"/>
      <c r="N377" s="7"/>
      <c r="O377"/>
      <c r="P377" s="7"/>
      <c r="Q377"/>
      <c r="R377" s="7"/>
      <c r="S377"/>
      <c r="T377" s="7"/>
      <c r="U377"/>
      <c r="V377" s="7"/>
      <c r="W377"/>
      <c r="X377" s="7"/>
    </row>
    <row r="378" spans="1:24">
      <c r="A378"/>
      <c r="B378" s="7"/>
      <c r="C378"/>
      <c r="D378" s="7"/>
      <c r="E378"/>
      <c r="F378" s="7"/>
      <c r="G378"/>
      <c r="H378" s="7"/>
      <c r="I378"/>
      <c r="J378" s="7"/>
      <c r="K378"/>
      <c r="L378" s="7"/>
      <c r="M378"/>
      <c r="N378" s="7"/>
      <c r="O378"/>
      <c r="P378" s="7"/>
      <c r="Q378"/>
      <c r="R378" s="7"/>
      <c r="S378"/>
      <c r="T378" s="7"/>
      <c r="U378"/>
      <c r="V378" s="7"/>
      <c r="W378"/>
      <c r="X378" s="7"/>
    </row>
    <row r="379" spans="1:24">
      <c r="A379"/>
      <c r="B379" s="7"/>
      <c r="C379"/>
      <c r="D379" s="7"/>
      <c r="E379"/>
      <c r="F379" s="7"/>
      <c r="G379"/>
      <c r="H379" s="7"/>
      <c r="I379"/>
      <c r="J379" s="7"/>
      <c r="K379"/>
      <c r="L379" s="7"/>
      <c r="M379"/>
      <c r="N379" s="7"/>
      <c r="O379"/>
      <c r="P379" s="7"/>
      <c r="Q379"/>
      <c r="R379" s="7"/>
      <c r="S379"/>
      <c r="T379" s="7"/>
      <c r="U379"/>
      <c r="V379" s="7"/>
      <c r="W379"/>
      <c r="X379" s="7"/>
    </row>
    <row r="380" spans="1:24">
      <c r="A380"/>
      <c r="B380" s="7"/>
      <c r="C380"/>
      <c r="D380" s="7"/>
      <c r="E380"/>
      <c r="F380" s="7"/>
      <c r="G380"/>
      <c r="H380" s="7"/>
      <c r="I380"/>
      <c r="J380" s="7"/>
      <c r="K380"/>
      <c r="L380" s="7"/>
      <c r="M380"/>
      <c r="N380" s="7"/>
      <c r="O380"/>
      <c r="P380" s="7"/>
      <c r="Q380"/>
      <c r="R380" s="7"/>
      <c r="S380"/>
      <c r="T380" s="7"/>
      <c r="U380"/>
      <c r="V380" s="7"/>
      <c r="W380"/>
      <c r="X380" s="7"/>
    </row>
    <row r="381" spans="1:24">
      <c r="A381"/>
      <c r="B381" s="7"/>
      <c r="C381"/>
      <c r="D381" s="7"/>
      <c r="E381"/>
      <c r="F381" s="7"/>
      <c r="G381"/>
      <c r="H381" s="7"/>
      <c r="I381"/>
      <c r="J381" s="7"/>
      <c r="K381"/>
      <c r="L381" s="7"/>
      <c r="M381"/>
      <c r="N381" s="7"/>
      <c r="O381"/>
      <c r="P381" s="7"/>
      <c r="Q381"/>
      <c r="R381" s="7"/>
      <c r="S381"/>
      <c r="T381" s="7"/>
      <c r="U381"/>
      <c r="V381" s="7"/>
      <c r="W381"/>
      <c r="X381" s="7"/>
    </row>
    <row r="382" spans="1:24">
      <c r="A382"/>
      <c r="B382" s="7"/>
      <c r="C382"/>
      <c r="D382" s="7"/>
      <c r="E382"/>
      <c r="F382" s="7"/>
      <c r="G382"/>
      <c r="H382" s="7"/>
      <c r="I382"/>
      <c r="J382" s="7"/>
      <c r="K382"/>
      <c r="L382" s="7"/>
      <c r="M382"/>
      <c r="N382" s="7"/>
      <c r="O382"/>
      <c r="P382" s="7"/>
      <c r="Q382"/>
      <c r="R382" s="7"/>
      <c r="S382"/>
      <c r="T382" s="7"/>
      <c r="U382"/>
      <c r="V382" s="7"/>
      <c r="W382"/>
      <c r="X382" s="7"/>
    </row>
    <row r="383" spans="1:24">
      <c r="A383"/>
      <c r="B383" s="7"/>
      <c r="C383"/>
      <c r="D383" s="7"/>
      <c r="E383"/>
      <c r="F383" s="7"/>
      <c r="G383"/>
      <c r="H383" s="7"/>
      <c r="I383"/>
      <c r="J383" s="7"/>
      <c r="K383"/>
      <c r="L383" s="7"/>
      <c r="M383"/>
      <c r="N383" s="7"/>
      <c r="O383"/>
      <c r="P383" s="7"/>
      <c r="Q383"/>
      <c r="R383" s="7"/>
      <c r="S383"/>
      <c r="T383" s="7"/>
      <c r="U383"/>
      <c r="V383" s="7"/>
      <c r="W383"/>
      <c r="X383" s="7"/>
    </row>
    <row r="384" spans="1:24">
      <c r="A384"/>
      <c r="B384" s="7"/>
      <c r="C384"/>
      <c r="D384" s="7"/>
      <c r="E384"/>
      <c r="F384" s="7"/>
      <c r="G384"/>
      <c r="H384" s="7"/>
      <c r="I384"/>
      <c r="J384" s="7"/>
      <c r="K384"/>
      <c r="L384" s="7"/>
      <c r="M384"/>
      <c r="N384" s="7"/>
      <c r="O384"/>
      <c r="P384" s="7"/>
      <c r="Q384"/>
      <c r="R384" s="7"/>
      <c r="S384"/>
      <c r="T384" s="7"/>
      <c r="U384"/>
      <c r="V384" s="7"/>
      <c r="W384"/>
      <c r="X384" s="7"/>
    </row>
    <row r="385" spans="1:24">
      <c r="A385"/>
      <c r="B385" s="7"/>
      <c r="C385"/>
      <c r="D385" s="7"/>
      <c r="E385"/>
      <c r="F385" s="7"/>
      <c r="G385"/>
      <c r="H385" s="7"/>
      <c r="I385"/>
      <c r="J385" s="7"/>
      <c r="K385"/>
      <c r="L385" s="7"/>
      <c r="M385"/>
      <c r="N385" s="7"/>
      <c r="O385"/>
      <c r="P385" s="7"/>
      <c r="Q385"/>
      <c r="R385" s="7"/>
      <c r="S385"/>
      <c r="T385" s="7"/>
      <c r="U385"/>
      <c r="V385" s="7"/>
      <c r="W385"/>
      <c r="X385" s="7"/>
    </row>
    <row r="386" spans="1:24">
      <c r="A386"/>
      <c r="B386" s="7"/>
      <c r="C386"/>
      <c r="D386" s="7"/>
      <c r="E386"/>
      <c r="F386" s="7"/>
      <c r="G386"/>
      <c r="H386" s="7"/>
      <c r="I386"/>
      <c r="J386" s="7"/>
      <c r="K386"/>
      <c r="L386" s="7"/>
      <c r="M386"/>
      <c r="N386" s="7"/>
      <c r="O386"/>
      <c r="P386" s="7"/>
      <c r="Q386"/>
      <c r="R386" s="7"/>
      <c r="S386"/>
      <c r="T386" s="7"/>
      <c r="U386"/>
      <c r="V386" s="7"/>
      <c r="W386"/>
      <c r="X386" s="7"/>
    </row>
    <row r="387" spans="1:24">
      <c r="A387"/>
      <c r="B387" s="7"/>
      <c r="C387"/>
      <c r="D387" s="7"/>
      <c r="E387"/>
      <c r="F387" s="7"/>
      <c r="G387"/>
      <c r="H387" s="7"/>
      <c r="I387"/>
      <c r="J387" s="7"/>
      <c r="K387"/>
      <c r="L387" s="7"/>
      <c r="M387"/>
      <c r="N387" s="7"/>
      <c r="O387"/>
      <c r="P387" s="7"/>
      <c r="Q387"/>
      <c r="R387" s="7"/>
      <c r="S387"/>
      <c r="T387" s="7"/>
      <c r="U387"/>
      <c r="V387" s="7"/>
      <c r="W387"/>
      <c r="X387" s="7"/>
    </row>
    <row r="388" spans="1:24">
      <c r="A388"/>
      <c r="B388" s="7"/>
      <c r="C388"/>
      <c r="D388" s="7"/>
      <c r="E388"/>
      <c r="F388" s="7"/>
      <c r="G388"/>
      <c r="H388" s="7"/>
      <c r="I388"/>
      <c r="J388" s="7"/>
      <c r="K388"/>
      <c r="L388" s="7"/>
      <c r="M388"/>
      <c r="N388" s="7"/>
      <c r="O388"/>
      <c r="P388" s="7"/>
      <c r="Q388"/>
      <c r="R388" s="7"/>
      <c r="S388"/>
      <c r="T388" s="7"/>
      <c r="U388"/>
      <c r="V388" s="7"/>
      <c r="W388"/>
      <c r="X388" s="7"/>
    </row>
    <row r="389" spans="1:24">
      <c r="A389"/>
      <c r="B389" s="7"/>
      <c r="C389"/>
      <c r="D389" s="7"/>
      <c r="E389"/>
      <c r="F389" s="7"/>
      <c r="G389"/>
      <c r="H389" s="7"/>
      <c r="I389"/>
      <c r="J389" s="7"/>
      <c r="K389"/>
      <c r="L389" s="7"/>
      <c r="M389"/>
      <c r="N389" s="7"/>
      <c r="O389"/>
      <c r="P389" s="7"/>
      <c r="Q389"/>
      <c r="R389" s="7"/>
      <c r="S389"/>
      <c r="T389" s="7"/>
      <c r="U389"/>
      <c r="V389" s="7"/>
      <c r="W389"/>
      <c r="X389" s="7"/>
    </row>
    <row r="390" spans="1:24">
      <c r="A390"/>
      <c r="B390" s="7"/>
      <c r="C390"/>
      <c r="D390" s="7"/>
      <c r="E390"/>
      <c r="F390" s="7"/>
      <c r="G390"/>
      <c r="H390" s="7"/>
      <c r="I390"/>
      <c r="J390" s="7"/>
      <c r="K390"/>
      <c r="L390" s="7"/>
      <c r="M390"/>
      <c r="N390" s="7"/>
      <c r="O390"/>
      <c r="P390" s="7"/>
      <c r="Q390"/>
      <c r="R390" s="7"/>
      <c r="S390"/>
      <c r="T390" s="7"/>
      <c r="U390"/>
      <c r="V390" s="7"/>
      <c r="W390"/>
      <c r="X390" s="7"/>
    </row>
    <row r="391" spans="1:24">
      <c r="A391"/>
      <c r="B391" s="7"/>
      <c r="C391"/>
      <c r="D391" s="7"/>
      <c r="E391"/>
      <c r="F391" s="7"/>
      <c r="G391"/>
      <c r="H391" s="7"/>
      <c r="I391"/>
      <c r="J391" s="7"/>
      <c r="K391"/>
      <c r="L391" s="7"/>
      <c r="M391"/>
      <c r="N391" s="7"/>
      <c r="O391"/>
      <c r="P391" s="7"/>
      <c r="Q391"/>
      <c r="R391" s="7"/>
      <c r="S391"/>
      <c r="T391" s="7"/>
      <c r="U391"/>
      <c r="V391" s="7"/>
      <c r="W391"/>
      <c r="X391" s="7"/>
    </row>
    <row r="392" spans="1:24">
      <c r="A392"/>
      <c r="B392" s="7"/>
      <c r="C392"/>
      <c r="D392" s="7"/>
      <c r="E392"/>
      <c r="F392" s="7"/>
      <c r="G392"/>
      <c r="H392" s="7"/>
      <c r="I392"/>
      <c r="J392" s="7"/>
      <c r="K392"/>
      <c r="L392" s="7"/>
      <c r="M392"/>
      <c r="N392" s="7"/>
      <c r="O392"/>
      <c r="P392" s="7"/>
      <c r="Q392"/>
      <c r="R392" s="7"/>
      <c r="S392"/>
      <c r="T392" s="7"/>
      <c r="U392"/>
      <c r="V392" s="7"/>
      <c r="W392"/>
      <c r="X392" s="7"/>
    </row>
    <row r="393" spans="1:24">
      <c r="A393"/>
      <c r="B393" s="7"/>
      <c r="C393"/>
      <c r="D393" s="7"/>
      <c r="E393"/>
      <c r="F393" s="7"/>
      <c r="G393"/>
      <c r="H393" s="7"/>
      <c r="I393"/>
      <c r="J393" s="7"/>
      <c r="K393"/>
      <c r="L393" s="7"/>
      <c r="M393"/>
      <c r="N393" s="7"/>
      <c r="O393"/>
      <c r="P393" s="7"/>
      <c r="Q393"/>
      <c r="R393" s="7"/>
      <c r="S393"/>
      <c r="T393" s="7"/>
      <c r="U393"/>
      <c r="V393" s="7"/>
      <c r="W393"/>
      <c r="X393" s="7"/>
    </row>
    <row r="394" spans="1:24">
      <c r="A394"/>
      <c r="B394" s="7"/>
      <c r="C394"/>
      <c r="D394" s="7"/>
      <c r="E394"/>
      <c r="F394" s="7"/>
      <c r="G394"/>
      <c r="H394" s="7"/>
      <c r="I394"/>
      <c r="J394" s="7"/>
      <c r="K394"/>
      <c r="L394" s="7"/>
      <c r="M394"/>
      <c r="N394" s="7"/>
      <c r="O394"/>
      <c r="P394" s="7"/>
      <c r="Q394"/>
      <c r="R394" s="7"/>
      <c r="S394"/>
      <c r="T394" s="7"/>
      <c r="U394"/>
      <c r="V394" s="7"/>
      <c r="W394"/>
      <c r="X394" s="7"/>
    </row>
    <row r="395" spans="1:24">
      <c r="A395"/>
      <c r="B395" s="7"/>
      <c r="C395"/>
      <c r="D395" s="7"/>
      <c r="E395"/>
      <c r="F395" s="7"/>
      <c r="G395"/>
      <c r="H395" s="7"/>
      <c r="I395"/>
      <c r="J395" s="7"/>
      <c r="K395"/>
      <c r="L395" s="7"/>
      <c r="M395"/>
      <c r="N395" s="7"/>
      <c r="O395"/>
      <c r="P395" s="7"/>
      <c r="Q395"/>
      <c r="R395" s="7"/>
      <c r="S395"/>
      <c r="T395" s="7"/>
      <c r="U395"/>
      <c r="V395" s="7"/>
      <c r="W395"/>
      <c r="X395" s="7"/>
    </row>
    <row r="396" spans="1:24">
      <c r="A396"/>
      <c r="B396" s="7"/>
      <c r="C396"/>
      <c r="D396" s="7"/>
      <c r="E396"/>
      <c r="F396" s="7"/>
      <c r="G396"/>
      <c r="H396" s="7"/>
      <c r="I396"/>
      <c r="J396" s="7"/>
      <c r="K396"/>
      <c r="L396" s="7"/>
      <c r="M396"/>
      <c r="N396" s="7"/>
      <c r="O396"/>
      <c r="P396" s="7"/>
      <c r="Q396"/>
      <c r="R396" s="7"/>
      <c r="S396"/>
      <c r="T396" s="7"/>
      <c r="U396"/>
      <c r="V396" s="7"/>
      <c r="W396"/>
      <c r="X396" s="7"/>
    </row>
    <row r="397" spans="1:24">
      <c r="A397"/>
      <c r="B397" s="7"/>
      <c r="C397"/>
      <c r="D397" s="7"/>
      <c r="E397"/>
      <c r="F397" s="7"/>
      <c r="G397"/>
      <c r="H397" s="7"/>
      <c r="I397"/>
      <c r="J397" s="7"/>
      <c r="K397"/>
      <c r="L397" s="7"/>
      <c r="M397"/>
      <c r="N397" s="7"/>
      <c r="O397"/>
      <c r="P397" s="7"/>
      <c r="Q397"/>
      <c r="R397" s="7"/>
      <c r="S397"/>
      <c r="T397" s="7"/>
      <c r="U397"/>
      <c r="V397" s="7"/>
      <c r="W397"/>
      <c r="X397" s="7"/>
    </row>
    <row r="398" spans="1:24">
      <c r="A398"/>
      <c r="B398" s="7"/>
      <c r="C398"/>
      <c r="D398" s="7"/>
      <c r="E398"/>
      <c r="F398" s="7"/>
      <c r="G398"/>
      <c r="H398" s="7"/>
      <c r="I398"/>
      <c r="J398" s="7"/>
      <c r="K398"/>
      <c r="L398" s="7"/>
      <c r="M398"/>
      <c r="N398" s="7"/>
      <c r="O398"/>
      <c r="P398" s="7"/>
      <c r="Q398"/>
      <c r="R398" s="7"/>
      <c r="S398"/>
      <c r="T398" s="7"/>
      <c r="U398"/>
      <c r="V398" s="7"/>
      <c r="W398"/>
      <c r="X398" s="7"/>
    </row>
    <row r="399" spans="1:24">
      <c r="A399"/>
      <c r="B399" s="7"/>
      <c r="C399"/>
      <c r="D399" s="7"/>
      <c r="E399"/>
      <c r="F399" s="7"/>
      <c r="G399"/>
      <c r="H399" s="7"/>
      <c r="I399"/>
      <c r="J399" s="7"/>
      <c r="K399"/>
      <c r="L399" s="7"/>
      <c r="M399"/>
      <c r="N399" s="7"/>
      <c r="O399"/>
      <c r="P399" s="7"/>
      <c r="Q399"/>
      <c r="R399" s="7"/>
      <c r="S399"/>
      <c r="T399" s="7"/>
      <c r="U399"/>
      <c r="V399" s="7"/>
      <c r="W399"/>
      <c r="X399" s="7"/>
    </row>
    <row r="400" spans="1:24">
      <c r="A400"/>
      <c r="B400" s="7"/>
      <c r="C400"/>
      <c r="D400" s="7"/>
      <c r="E400"/>
      <c r="F400" s="7"/>
      <c r="G400"/>
      <c r="H400" s="7"/>
      <c r="I400"/>
      <c r="J400" s="7"/>
      <c r="K400"/>
      <c r="L400" s="7"/>
      <c r="M400"/>
      <c r="N400" s="7"/>
      <c r="O400"/>
      <c r="P400" s="7"/>
      <c r="Q400"/>
      <c r="R400" s="7"/>
      <c r="S400"/>
      <c r="T400" s="7"/>
      <c r="U400"/>
      <c r="V400" s="7"/>
      <c r="W400"/>
      <c r="X400" s="7"/>
    </row>
    <row r="401" spans="1:24">
      <c r="A401"/>
      <c r="B401" s="7"/>
      <c r="C401"/>
      <c r="D401" s="7"/>
      <c r="E401"/>
      <c r="F401" s="7"/>
      <c r="G401"/>
      <c r="H401" s="7"/>
      <c r="I401"/>
      <c r="J401" s="7"/>
      <c r="K401"/>
      <c r="L401" s="7"/>
      <c r="M401"/>
      <c r="N401" s="7"/>
      <c r="O401"/>
      <c r="P401" s="7"/>
      <c r="Q401"/>
      <c r="R401" s="7"/>
      <c r="S401"/>
      <c r="T401" s="7"/>
      <c r="U401"/>
      <c r="V401" s="7"/>
      <c r="W401"/>
      <c r="X401" s="7"/>
    </row>
    <row r="402" spans="1:24">
      <c r="A402"/>
      <c r="B402" s="7"/>
      <c r="C402"/>
      <c r="D402" s="7"/>
      <c r="E402"/>
      <c r="F402" s="7"/>
      <c r="G402"/>
      <c r="H402" s="7"/>
      <c r="I402"/>
      <c r="J402" s="7"/>
      <c r="K402"/>
      <c r="L402" s="7"/>
      <c r="M402"/>
      <c r="N402" s="7"/>
      <c r="O402"/>
      <c r="P402" s="7"/>
      <c r="Q402"/>
      <c r="R402" s="7"/>
      <c r="S402"/>
      <c r="T402" s="7"/>
      <c r="U402"/>
      <c r="V402" s="7"/>
      <c r="W402"/>
      <c r="X402" s="7"/>
    </row>
    <row r="403" spans="1:24">
      <c r="A403"/>
      <c r="B403" s="7"/>
      <c r="C403"/>
      <c r="D403" s="7"/>
      <c r="E403"/>
      <c r="F403" s="7"/>
      <c r="G403"/>
      <c r="H403" s="7"/>
      <c r="I403"/>
      <c r="J403" s="7"/>
      <c r="K403"/>
      <c r="L403" s="7"/>
      <c r="M403"/>
      <c r="N403" s="7"/>
      <c r="O403"/>
      <c r="P403" s="7"/>
      <c r="Q403"/>
      <c r="R403" s="7"/>
      <c r="S403"/>
      <c r="T403" s="7"/>
      <c r="U403"/>
      <c r="V403" s="7"/>
      <c r="W403"/>
      <c r="X403" s="7"/>
    </row>
    <row r="404" spans="1:24">
      <c r="A404"/>
      <c r="B404" s="7"/>
      <c r="C404"/>
      <c r="D404" s="7"/>
      <c r="E404"/>
      <c r="F404" s="7"/>
      <c r="G404"/>
      <c r="H404" s="7"/>
      <c r="I404"/>
      <c r="J404" s="7"/>
      <c r="K404"/>
      <c r="L404" s="7"/>
      <c r="M404"/>
      <c r="N404" s="7"/>
      <c r="O404"/>
      <c r="P404" s="7"/>
      <c r="Q404"/>
      <c r="R404" s="7"/>
      <c r="S404"/>
      <c r="T404" s="7"/>
      <c r="U404"/>
      <c r="V404" s="7"/>
      <c r="W404"/>
      <c r="X404" s="7"/>
    </row>
    <row r="405" spans="1:24">
      <c r="A405"/>
      <c r="B405" s="7"/>
      <c r="C405"/>
      <c r="D405" s="7"/>
      <c r="E405"/>
      <c r="F405" s="7"/>
      <c r="G405"/>
      <c r="H405" s="7"/>
      <c r="I405"/>
      <c r="J405" s="7"/>
      <c r="K405"/>
      <c r="L405" s="7"/>
      <c r="M405"/>
      <c r="N405" s="7"/>
      <c r="O405"/>
      <c r="P405" s="7"/>
      <c r="Q405"/>
      <c r="R405" s="7"/>
      <c r="S405"/>
      <c r="T405" s="7"/>
      <c r="U405"/>
      <c r="V405" s="7"/>
      <c r="W405"/>
      <c r="X405" s="7"/>
    </row>
    <row r="406" spans="1:24">
      <c r="A406"/>
      <c r="B406" s="7"/>
      <c r="C406"/>
      <c r="D406" s="7"/>
      <c r="E406"/>
      <c r="F406" s="7"/>
      <c r="G406"/>
      <c r="H406" s="7"/>
      <c r="I406"/>
      <c r="J406" s="7"/>
      <c r="K406"/>
      <c r="L406" s="7"/>
      <c r="M406"/>
      <c r="N406" s="7"/>
      <c r="O406"/>
      <c r="P406" s="7"/>
      <c r="Q406"/>
      <c r="R406" s="7"/>
      <c r="S406"/>
      <c r="T406" s="7"/>
      <c r="U406"/>
      <c r="V406" s="7"/>
      <c r="W406"/>
      <c r="X406" s="7"/>
    </row>
    <row r="407" spans="1:24">
      <c r="A407"/>
      <c r="B407" s="7"/>
      <c r="C407"/>
      <c r="D407" s="7"/>
      <c r="E407"/>
      <c r="F407" s="7"/>
      <c r="G407"/>
      <c r="H407" s="7"/>
      <c r="I407"/>
      <c r="J407" s="7"/>
      <c r="K407"/>
      <c r="L407" s="7"/>
      <c r="M407"/>
      <c r="N407" s="7"/>
      <c r="O407"/>
      <c r="P407" s="7"/>
      <c r="Q407"/>
      <c r="R407" s="7"/>
      <c r="S407"/>
      <c r="T407" s="7"/>
      <c r="U407"/>
      <c r="V407" s="7"/>
      <c r="W407"/>
      <c r="X407" s="7"/>
    </row>
    <row r="408" spans="1:24">
      <c r="A408"/>
      <c r="B408" s="7"/>
      <c r="C408"/>
      <c r="D408" s="7"/>
      <c r="E408"/>
      <c r="F408" s="7"/>
      <c r="G408"/>
      <c r="H408" s="7"/>
      <c r="I408"/>
      <c r="J408" s="7"/>
      <c r="K408"/>
      <c r="L408" s="7"/>
      <c r="M408"/>
      <c r="N408" s="7"/>
      <c r="O408"/>
      <c r="P408" s="7"/>
      <c r="Q408"/>
      <c r="R408" s="7"/>
      <c r="S408"/>
      <c r="T408" s="7"/>
      <c r="U408"/>
      <c r="V408" s="7"/>
      <c r="W408"/>
      <c r="X408" s="7"/>
    </row>
    <row r="409" spans="1:24">
      <c r="A409"/>
      <c r="B409" s="7"/>
      <c r="C409"/>
      <c r="D409" s="7"/>
      <c r="E409"/>
      <c r="F409" s="7"/>
      <c r="G409"/>
      <c r="H409" s="7"/>
      <c r="I409"/>
      <c r="J409" s="7"/>
      <c r="K409"/>
      <c r="L409" s="7"/>
      <c r="M409"/>
      <c r="N409" s="7"/>
      <c r="O409"/>
      <c r="P409" s="7"/>
      <c r="Q409"/>
      <c r="R409" s="7"/>
      <c r="S409"/>
      <c r="T409" s="7"/>
      <c r="U409"/>
      <c r="V409" s="7"/>
      <c r="W409"/>
      <c r="X409" s="7"/>
    </row>
    <row r="410" spans="1:24">
      <c r="A410"/>
      <c r="B410" s="7"/>
      <c r="C410"/>
      <c r="D410" s="7"/>
      <c r="E410"/>
      <c r="F410" s="7"/>
      <c r="G410"/>
      <c r="H410" s="7"/>
      <c r="I410"/>
      <c r="J410" s="7"/>
      <c r="K410"/>
      <c r="L410" s="7"/>
      <c r="M410"/>
      <c r="N410" s="7"/>
      <c r="O410"/>
      <c r="P410" s="7"/>
      <c r="Q410"/>
      <c r="R410" s="7"/>
      <c r="S410"/>
      <c r="T410" s="7"/>
      <c r="U410"/>
      <c r="V410" s="7"/>
      <c r="W410"/>
      <c r="X410" s="7"/>
    </row>
    <row r="411" spans="1:24">
      <c r="A411"/>
      <c r="B411" s="7"/>
      <c r="C411"/>
      <c r="D411" s="7"/>
      <c r="E411"/>
      <c r="F411" s="7"/>
      <c r="G411"/>
      <c r="H411" s="7"/>
      <c r="I411"/>
      <c r="J411" s="7"/>
      <c r="K411"/>
      <c r="L411" s="7"/>
      <c r="M411"/>
      <c r="N411" s="7"/>
      <c r="O411"/>
      <c r="P411" s="7"/>
      <c r="Q411"/>
      <c r="R411" s="7"/>
      <c r="S411"/>
      <c r="T411" s="7"/>
      <c r="U411"/>
      <c r="V411" s="7"/>
      <c r="W411"/>
      <c r="X411" s="7"/>
    </row>
    <row r="412" spans="1:24">
      <c r="A412"/>
      <c r="B412" s="7"/>
      <c r="C412"/>
      <c r="D412" s="7"/>
      <c r="E412"/>
      <c r="F412" s="7"/>
      <c r="G412"/>
      <c r="H412" s="7"/>
      <c r="I412"/>
      <c r="J412" s="7"/>
      <c r="K412"/>
      <c r="L412" s="7"/>
      <c r="M412"/>
      <c r="N412" s="7"/>
      <c r="O412"/>
      <c r="P412" s="7"/>
      <c r="Q412"/>
      <c r="R412" s="7"/>
      <c r="S412"/>
      <c r="T412" s="7"/>
      <c r="U412"/>
      <c r="V412" s="7"/>
      <c r="W412"/>
      <c r="X412" s="7"/>
    </row>
    <row r="413" spans="1:24">
      <c r="A413"/>
      <c r="B413" s="7"/>
      <c r="C413"/>
      <c r="D413" s="7"/>
      <c r="E413"/>
      <c r="F413" s="7"/>
      <c r="G413"/>
      <c r="H413" s="7"/>
      <c r="I413"/>
      <c r="J413" s="7"/>
      <c r="K413"/>
      <c r="L413" s="7"/>
      <c r="M413"/>
      <c r="N413" s="7"/>
      <c r="O413"/>
      <c r="P413" s="7"/>
      <c r="Q413"/>
      <c r="R413" s="7"/>
      <c r="S413"/>
      <c r="T413" s="7"/>
      <c r="U413"/>
      <c r="V413" s="7"/>
      <c r="W413"/>
      <c r="X413" s="7"/>
    </row>
    <row r="414" spans="1:24">
      <c r="A414"/>
      <c r="B414" s="7"/>
      <c r="C414"/>
      <c r="D414" s="7"/>
      <c r="E414"/>
      <c r="F414" s="7"/>
      <c r="G414"/>
      <c r="H414" s="7"/>
      <c r="I414"/>
      <c r="J414" s="7"/>
      <c r="K414"/>
      <c r="L414" s="7"/>
      <c r="M414"/>
      <c r="N414" s="7"/>
      <c r="O414"/>
      <c r="P414" s="7"/>
      <c r="Q414"/>
      <c r="R414" s="7"/>
      <c r="S414"/>
      <c r="T414" s="7"/>
      <c r="U414"/>
      <c r="V414" s="7"/>
      <c r="W414"/>
      <c r="X414" s="7"/>
    </row>
    <row r="415" spans="1:24">
      <c r="A415"/>
      <c r="B415" s="7"/>
      <c r="C415"/>
      <c r="D415" s="7"/>
      <c r="E415"/>
      <c r="F415" s="7"/>
      <c r="G415"/>
      <c r="H415" s="7"/>
      <c r="I415"/>
      <c r="J415" s="7"/>
      <c r="K415"/>
      <c r="L415" s="7"/>
      <c r="M415"/>
      <c r="N415" s="7"/>
      <c r="O415"/>
      <c r="P415" s="7"/>
      <c r="Q415"/>
      <c r="R415" s="7"/>
      <c r="S415"/>
      <c r="T415" s="7"/>
      <c r="U415"/>
      <c r="V415" s="7"/>
      <c r="W415"/>
      <c r="X415" s="7"/>
    </row>
    <row r="416" spans="1:24">
      <c r="A416"/>
      <c r="B416" s="7"/>
      <c r="C416"/>
      <c r="D416" s="7"/>
      <c r="E416"/>
      <c r="F416" s="7"/>
      <c r="G416"/>
      <c r="H416" s="7"/>
      <c r="I416"/>
      <c r="J416" s="7"/>
      <c r="K416"/>
      <c r="L416" s="7"/>
      <c r="M416"/>
      <c r="N416" s="7"/>
      <c r="O416"/>
      <c r="P416" s="7"/>
      <c r="Q416"/>
      <c r="R416" s="7"/>
      <c r="S416"/>
      <c r="T416" s="7"/>
      <c r="U416"/>
      <c r="V416" s="7"/>
      <c r="W416"/>
      <c r="X416" s="7"/>
    </row>
    <row r="417" spans="1:24">
      <c r="A417"/>
      <c r="B417" s="7"/>
      <c r="C417"/>
      <c r="D417" s="7"/>
      <c r="E417"/>
      <c r="F417" s="7"/>
      <c r="G417"/>
      <c r="H417" s="7"/>
      <c r="I417"/>
      <c r="J417" s="7"/>
      <c r="K417"/>
      <c r="L417" s="7"/>
      <c r="M417"/>
      <c r="N417" s="7"/>
      <c r="O417"/>
      <c r="P417" s="7"/>
      <c r="Q417"/>
      <c r="R417" s="7"/>
      <c r="S417"/>
      <c r="T417" s="7"/>
      <c r="U417"/>
      <c r="V417" s="7"/>
      <c r="W417"/>
      <c r="X417" s="7"/>
    </row>
    <row r="418" spans="1:24">
      <c r="A418"/>
      <c r="B418" s="7"/>
      <c r="C418"/>
      <c r="D418" s="7"/>
      <c r="E418"/>
      <c r="F418" s="7"/>
      <c r="G418"/>
      <c r="H418" s="7"/>
      <c r="I418"/>
      <c r="J418" s="7"/>
      <c r="K418"/>
      <c r="L418" s="7"/>
      <c r="M418"/>
      <c r="N418" s="7"/>
      <c r="O418"/>
      <c r="P418" s="7"/>
      <c r="Q418"/>
      <c r="R418" s="7"/>
      <c r="S418"/>
      <c r="T418" s="7"/>
      <c r="U418"/>
      <c r="V418" s="7"/>
      <c r="W418"/>
      <c r="X418" s="7"/>
    </row>
    <row r="419" spans="1:24">
      <c r="A419"/>
      <c r="B419" s="7"/>
      <c r="C419"/>
      <c r="D419" s="7"/>
      <c r="E419"/>
      <c r="F419" s="7"/>
      <c r="G419"/>
      <c r="H419" s="7"/>
      <c r="I419"/>
      <c r="J419" s="7"/>
      <c r="K419"/>
      <c r="L419" s="7"/>
      <c r="M419"/>
      <c r="N419" s="7"/>
      <c r="O419"/>
      <c r="P419" s="7"/>
      <c r="Q419"/>
      <c r="R419" s="7"/>
      <c r="S419"/>
      <c r="T419" s="7"/>
      <c r="U419"/>
      <c r="V419" s="7"/>
      <c r="W419"/>
      <c r="X419" s="7"/>
    </row>
    <row r="420" spans="1:24">
      <c r="A420"/>
      <c r="B420" s="7"/>
      <c r="C420"/>
      <c r="D420" s="7"/>
      <c r="E420"/>
      <c r="F420" s="7"/>
      <c r="G420"/>
      <c r="H420" s="7"/>
      <c r="I420"/>
      <c r="J420" s="7"/>
      <c r="K420"/>
      <c r="L420" s="7"/>
      <c r="M420"/>
      <c r="N420" s="7"/>
      <c r="O420"/>
      <c r="P420" s="7"/>
      <c r="Q420"/>
      <c r="R420" s="7"/>
      <c r="S420"/>
      <c r="T420" s="7"/>
      <c r="U420"/>
      <c r="V420" s="7"/>
      <c r="W420"/>
      <c r="X420" s="7"/>
    </row>
    <row r="421" spans="1:24">
      <c r="A421"/>
      <c r="B421" s="7"/>
      <c r="C421"/>
      <c r="D421" s="7"/>
      <c r="E421"/>
      <c r="F421" s="7"/>
      <c r="G421"/>
      <c r="H421" s="7"/>
      <c r="I421"/>
      <c r="J421" s="7"/>
      <c r="K421"/>
      <c r="L421" s="7"/>
      <c r="M421"/>
      <c r="N421" s="7"/>
      <c r="O421"/>
      <c r="P421" s="7"/>
      <c r="Q421"/>
      <c r="R421" s="7"/>
      <c r="S421"/>
      <c r="T421" s="7"/>
      <c r="U421"/>
      <c r="V421" s="7"/>
      <c r="W421"/>
      <c r="X421" s="7"/>
    </row>
    <row r="422" spans="1:24">
      <c r="A422"/>
      <c r="B422" s="7"/>
      <c r="C422"/>
      <c r="D422" s="7"/>
      <c r="E422"/>
      <c r="F422" s="7"/>
      <c r="G422"/>
      <c r="H422" s="7"/>
      <c r="I422"/>
      <c r="J422" s="7"/>
      <c r="K422"/>
      <c r="L422" s="7"/>
      <c r="M422"/>
      <c r="N422" s="7"/>
      <c r="O422"/>
      <c r="P422" s="7"/>
      <c r="Q422"/>
      <c r="R422" s="7"/>
      <c r="S422"/>
      <c r="T422" s="7"/>
      <c r="U422"/>
      <c r="V422" s="7"/>
      <c r="W422"/>
      <c r="X422" s="7"/>
    </row>
    <row r="423" spans="1:24">
      <c r="A423"/>
      <c r="B423" s="7"/>
      <c r="C423"/>
      <c r="D423" s="7"/>
      <c r="E423"/>
      <c r="F423" s="7"/>
      <c r="G423"/>
      <c r="H423" s="7"/>
      <c r="I423"/>
      <c r="J423" s="7"/>
      <c r="K423"/>
      <c r="L423" s="7"/>
      <c r="M423"/>
      <c r="N423" s="7"/>
      <c r="O423"/>
      <c r="P423" s="7"/>
      <c r="Q423"/>
      <c r="R423" s="7"/>
      <c r="S423"/>
      <c r="T423" s="7"/>
      <c r="U423"/>
      <c r="V423" s="7"/>
      <c r="W423"/>
      <c r="X423" s="7"/>
    </row>
    <row r="424" spans="1:24">
      <c r="A424"/>
      <c r="B424" s="7"/>
      <c r="C424"/>
      <c r="D424" s="7"/>
      <c r="E424"/>
      <c r="F424" s="7"/>
      <c r="G424"/>
      <c r="H424" s="7"/>
      <c r="I424"/>
      <c r="J424" s="7"/>
      <c r="K424"/>
      <c r="L424" s="7"/>
      <c r="M424"/>
      <c r="N424" s="7"/>
      <c r="O424"/>
      <c r="P424" s="7"/>
      <c r="Q424"/>
      <c r="R424" s="7"/>
      <c r="S424"/>
      <c r="T424" s="7"/>
      <c r="U424"/>
      <c r="V424" s="7"/>
      <c r="W424"/>
      <c r="X424" s="7"/>
    </row>
    <row r="425" spans="1:24">
      <c r="A425"/>
      <c r="B425" s="7"/>
      <c r="C425"/>
      <c r="D425" s="7"/>
      <c r="E425"/>
      <c r="F425" s="7"/>
      <c r="G425"/>
      <c r="H425" s="7"/>
      <c r="I425"/>
      <c r="J425" s="7"/>
      <c r="K425"/>
      <c r="L425" s="7"/>
      <c r="M425"/>
      <c r="N425" s="7"/>
      <c r="O425"/>
      <c r="P425" s="7"/>
      <c r="Q425"/>
      <c r="R425" s="7"/>
      <c r="S425"/>
      <c r="T425" s="7"/>
      <c r="U425"/>
      <c r="V425" s="7"/>
      <c r="W425"/>
      <c r="X425" s="7"/>
    </row>
    <row r="426" spans="1:24">
      <c r="A426"/>
      <c r="B426" s="7"/>
      <c r="C426"/>
      <c r="D426" s="7"/>
      <c r="E426"/>
      <c r="F426" s="7"/>
      <c r="G426"/>
      <c r="H426" s="7"/>
      <c r="I426"/>
      <c r="J426" s="7"/>
      <c r="K426"/>
      <c r="L426" s="7"/>
      <c r="M426"/>
      <c r="N426" s="7"/>
      <c r="O426"/>
      <c r="P426" s="7"/>
      <c r="Q426"/>
      <c r="R426" s="7"/>
      <c r="S426"/>
      <c r="T426" s="7"/>
      <c r="U426"/>
      <c r="V426" s="7"/>
      <c r="W426"/>
      <c r="X426" s="7"/>
    </row>
    <row r="427" spans="1:24">
      <c r="A427"/>
      <c r="B427" s="7"/>
      <c r="C427"/>
      <c r="D427" s="7"/>
      <c r="E427"/>
      <c r="F427" s="7"/>
      <c r="G427"/>
      <c r="H427" s="7"/>
      <c r="I427"/>
      <c r="J427" s="7"/>
      <c r="K427"/>
      <c r="L427" s="7"/>
      <c r="M427"/>
      <c r="N427" s="7"/>
      <c r="O427"/>
      <c r="P427" s="7"/>
      <c r="Q427"/>
      <c r="R427" s="7"/>
      <c r="S427"/>
      <c r="T427" s="7"/>
      <c r="U427"/>
      <c r="V427" s="7"/>
      <c r="W427"/>
      <c r="X427" s="7"/>
    </row>
    <row r="428" spans="1:24">
      <c r="A428"/>
      <c r="B428" s="7"/>
      <c r="C428"/>
      <c r="D428" s="7"/>
      <c r="E428"/>
      <c r="F428" s="7"/>
      <c r="G428"/>
      <c r="H428" s="7"/>
      <c r="I428"/>
      <c r="J428" s="7"/>
      <c r="K428"/>
      <c r="L428" s="7"/>
      <c r="M428"/>
      <c r="N428" s="7"/>
      <c r="O428"/>
      <c r="P428" s="7"/>
      <c r="Q428"/>
      <c r="R428" s="7"/>
      <c r="S428"/>
      <c r="T428" s="7"/>
      <c r="U428"/>
      <c r="V428" s="7"/>
      <c r="W428"/>
      <c r="X428" s="7"/>
    </row>
    <row r="429" spans="1:24">
      <c r="A429"/>
      <c r="B429" s="7"/>
      <c r="C429"/>
      <c r="D429" s="7"/>
      <c r="E429"/>
      <c r="F429" s="7"/>
      <c r="G429"/>
      <c r="H429" s="7"/>
      <c r="I429"/>
      <c r="J429" s="7"/>
      <c r="K429"/>
      <c r="L429" s="7"/>
      <c r="M429"/>
      <c r="N429" s="7"/>
      <c r="O429"/>
      <c r="P429" s="7"/>
      <c r="Q429"/>
      <c r="R429" s="7"/>
      <c r="S429"/>
      <c r="T429" s="7"/>
      <c r="U429"/>
      <c r="V429" s="7"/>
      <c r="W429"/>
      <c r="X429" s="7"/>
    </row>
    <row r="430" spans="1:24">
      <c r="A430"/>
      <c r="B430" s="7"/>
      <c r="C430"/>
      <c r="D430" s="7"/>
      <c r="E430"/>
      <c r="F430" s="7"/>
      <c r="G430"/>
      <c r="H430" s="7"/>
      <c r="I430"/>
      <c r="J430" s="7"/>
      <c r="K430"/>
      <c r="L430" s="7"/>
      <c r="M430"/>
      <c r="N430" s="7"/>
      <c r="O430"/>
      <c r="P430" s="7"/>
      <c r="Q430"/>
      <c r="R430" s="7"/>
      <c r="S430"/>
      <c r="T430" s="7"/>
      <c r="U430"/>
      <c r="V430" s="7"/>
      <c r="W430"/>
      <c r="X430" s="7"/>
    </row>
    <row r="431" spans="1:24">
      <c r="A431"/>
      <c r="B431" s="7"/>
      <c r="C431"/>
      <c r="D431" s="7"/>
      <c r="E431"/>
      <c r="F431" s="7"/>
      <c r="G431"/>
      <c r="H431" s="7"/>
      <c r="I431"/>
      <c r="J431" s="7"/>
      <c r="K431"/>
      <c r="L431" s="7"/>
      <c r="M431"/>
      <c r="N431" s="7"/>
      <c r="O431"/>
      <c r="P431" s="7"/>
      <c r="Q431"/>
      <c r="R431" s="7"/>
      <c r="S431"/>
      <c r="T431" s="7"/>
      <c r="U431"/>
      <c r="V431" s="7"/>
      <c r="W431"/>
      <c r="X431" s="7"/>
    </row>
    <row r="432" spans="1:24">
      <c r="A432"/>
      <c r="B432" s="7"/>
      <c r="C432"/>
      <c r="D432" s="7"/>
      <c r="E432"/>
      <c r="F432" s="7"/>
      <c r="G432"/>
      <c r="H432" s="7"/>
      <c r="I432"/>
      <c r="J432" s="7"/>
      <c r="K432"/>
      <c r="L432" s="7"/>
      <c r="M432"/>
      <c r="N432" s="7"/>
      <c r="O432"/>
      <c r="P432" s="7"/>
      <c r="Q432"/>
      <c r="R432" s="7"/>
      <c r="S432"/>
      <c r="T432" s="7"/>
      <c r="U432"/>
      <c r="V432" s="7"/>
      <c r="W432"/>
      <c r="X432" s="7"/>
    </row>
    <row r="433" spans="1:24">
      <c r="A433"/>
      <c r="B433" s="7"/>
      <c r="C433"/>
      <c r="D433" s="7"/>
      <c r="E433"/>
      <c r="F433" s="7"/>
      <c r="G433"/>
      <c r="H433" s="7"/>
      <c r="I433"/>
      <c r="J433" s="7"/>
      <c r="K433"/>
      <c r="L433" s="7"/>
      <c r="M433"/>
      <c r="N433" s="7"/>
      <c r="O433"/>
      <c r="P433" s="7"/>
      <c r="Q433"/>
      <c r="R433" s="7"/>
      <c r="S433"/>
      <c r="T433" s="7"/>
      <c r="U433"/>
      <c r="V433" s="7"/>
      <c r="W433"/>
      <c r="X433" s="7"/>
    </row>
    <row r="434" spans="1:24">
      <c r="A434"/>
      <c r="B434" s="7"/>
      <c r="C434"/>
      <c r="D434" s="7"/>
      <c r="E434"/>
      <c r="F434" s="7"/>
      <c r="G434"/>
      <c r="H434" s="7"/>
      <c r="I434"/>
      <c r="J434" s="7"/>
      <c r="K434"/>
      <c r="L434" s="7"/>
      <c r="M434"/>
      <c r="N434" s="7"/>
      <c r="O434"/>
      <c r="P434" s="7"/>
      <c r="Q434"/>
      <c r="R434" s="7"/>
      <c r="S434"/>
      <c r="T434" s="7"/>
      <c r="U434"/>
      <c r="V434" s="7"/>
      <c r="W434"/>
      <c r="X434" s="7"/>
    </row>
    <row r="435" spans="1:24">
      <c r="A435"/>
      <c r="B435" s="7"/>
      <c r="C435"/>
      <c r="D435" s="7"/>
      <c r="E435"/>
      <c r="F435" s="7"/>
      <c r="G435"/>
      <c r="H435" s="7"/>
      <c r="I435"/>
      <c r="J435" s="7"/>
      <c r="K435"/>
      <c r="L435" s="7"/>
      <c r="M435"/>
      <c r="N435" s="7"/>
      <c r="O435"/>
      <c r="P435" s="7"/>
      <c r="Q435"/>
      <c r="R435" s="7"/>
      <c r="S435"/>
      <c r="T435" s="7"/>
      <c r="U435"/>
      <c r="V435" s="7"/>
      <c r="W435"/>
      <c r="X435" s="7"/>
    </row>
    <row r="436" spans="1:24">
      <c r="A436"/>
      <c r="B436" s="7"/>
      <c r="C436"/>
      <c r="D436" s="7"/>
      <c r="E436"/>
      <c r="F436" s="7"/>
      <c r="G436"/>
      <c r="H436" s="7"/>
      <c r="I436"/>
      <c r="J436" s="7"/>
      <c r="K436"/>
      <c r="L436" s="7"/>
      <c r="M436"/>
      <c r="N436" s="7"/>
      <c r="O436"/>
      <c r="P436" s="7"/>
      <c r="Q436"/>
      <c r="R436" s="7"/>
      <c r="S436"/>
      <c r="T436" s="7"/>
      <c r="U436"/>
      <c r="V436" s="7"/>
      <c r="W436"/>
      <c r="X436" s="7"/>
    </row>
    <row r="437" spans="1:24">
      <c r="A437"/>
      <c r="B437" s="7"/>
      <c r="C437"/>
      <c r="D437" s="7"/>
      <c r="E437"/>
      <c r="F437" s="7"/>
      <c r="G437"/>
      <c r="H437" s="7"/>
      <c r="I437"/>
      <c r="J437" s="7"/>
      <c r="K437"/>
      <c r="L437" s="7"/>
      <c r="M437"/>
      <c r="N437" s="7"/>
      <c r="O437"/>
      <c r="P437" s="7"/>
      <c r="Q437"/>
      <c r="R437" s="7"/>
      <c r="S437"/>
      <c r="T437" s="7"/>
      <c r="U437"/>
      <c r="V437" s="7"/>
      <c r="W437"/>
      <c r="X437" s="7"/>
    </row>
    <row r="438" spans="1:24">
      <c r="A438"/>
      <c r="B438" s="7"/>
      <c r="C438"/>
      <c r="D438" s="7"/>
      <c r="E438"/>
      <c r="F438" s="7"/>
      <c r="G438"/>
      <c r="H438" s="7"/>
      <c r="I438"/>
      <c r="J438" s="7"/>
      <c r="K438"/>
      <c r="L438" s="7"/>
      <c r="M438"/>
      <c r="N438" s="7"/>
      <c r="O438"/>
      <c r="P438" s="7"/>
      <c r="Q438"/>
      <c r="R438" s="7"/>
      <c r="S438"/>
      <c r="T438" s="7"/>
      <c r="U438"/>
      <c r="V438" s="7"/>
      <c r="W438"/>
      <c r="X438" s="7"/>
    </row>
    <row r="439" spans="1:24">
      <c r="A439"/>
      <c r="B439" s="7"/>
      <c r="C439"/>
      <c r="D439" s="7"/>
      <c r="E439"/>
      <c r="F439" s="7"/>
      <c r="G439"/>
      <c r="H439" s="7"/>
      <c r="I439"/>
      <c r="J439" s="7"/>
      <c r="K439"/>
      <c r="L439" s="7"/>
      <c r="M439"/>
      <c r="N439" s="7"/>
      <c r="O439"/>
      <c r="P439" s="7"/>
      <c r="Q439"/>
      <c r="R439" s="7"/>
      <c r="S439"/>
      <c r="T439" s="7"/>
      <c r="U439"/>
      <c r="V439" s="7"/>
      <c r="W439"/>
      <c r="X439" s="7"/>
    </row>
    <row r="440" spans="1:24">
      <c r="A440"/>
      <c r="B440" s="7"/>
      <c r="C440"/>
      <c r="D440" s="7"/>
      <c r="E440"/>
      <c r="F440" s="7"/>
      <c r="G440"/>
      <c r="H440" s="7"/>
      <c r="I440"/>
      <c r="J440" s="7"/>
      <c r="K440"/>
      <c r="L440" s="7"/>
      <c r="M440"/>
      <c r="N440" s="7"/>
      <c r="O440"/>
      <c r="P440" s="7"/>
      <c r="Q440"/>
      <c r="R440" s="7"/>
      <c r="S440"/>
      <c r="T440" s="7"/>
      <c r="U440"/>
      <c r="V440" s="7"/>
      <c r="W440"/>
      <c r="X440" s="7"/>
    </row>
    <row r="441" spans="1:24">
      <c r="A441"/>
      <c r="B441" s="7"/>
      <c r="C441"/>
      <c r="D441" s="7"/>
      <c r="E441"/>
      <c r="F441" s="7"/>
      <c r="G441"/>
      <c r="H441" s="7"/>
      <c r="I441"/>
      <c r="J441" s="7"/>
      <c r="K441"/>
      <c r="L441" s="7"/>
      <c r="M441"/>
      <c r="N441" s="7"/>
      <c r="O441"/>
      <c r="P441" s="7"/>
      <c r="Q441"/>
      <c r="R441" s="7"/>
      <c r="S441"/>
      <c r="T441" s="7"/>
      <c r="U441"/>
      <c r="V441" s="7"/>
      <c r="W441"/>
      <c r="X441" s="7"/>
    </row>
    <row r="442" spans="1:24">
      <c r="A442"/>
      <c r="B442" s="7"/>
      <c r="C442"/>
      <c r="D442" s="7"/>
      <c r="E442"/>
      <c r="F442" s="7"/>
      <c r="G442"/>
      <c r="H442" s="7"/>
      <c r="I442"/>
      <c r="J442" s="7"/>
      <c r="K442"/>
      <c r="L442" s="7"/>
      <c r="M442"/>
      <c r="N442" s="7"/>
      <c r="O442"/>
      <c r="P442" s="7"/>
      <c r="Q442"/>
      <c r="R442" s="7"/>
      <c r="S442"/>
      <c r="T442" s="7"/>
      <c r="U442"/>
      <c r="V442" s="7"/>
      <c r="W442"/>
      <c r="X442" s="7"/>
    </row>
    <row r="443" spans="1:24">
      <c r="A443"/>
      <c r="B443" s="7"/>
      <c r="C443"/>
      <c r="D443" s="7"/>
      <c r="E443"/>
      <c r="F443" s="7"/>
      <c r="G443"/>
      <c r="H443" s="7"/>
      <c r="I443"/>
      <c r="J443" s="7"/>
      <c r="K443"/>
      <c r="L443" s="7"/>
      <c r="M443"/>
      <c r="N443" s="7"/>
      <c r="O443"/>
      <c r="P443" s="7"/>
      <c r="Q443"/>
      <c r="R443" s="7"/>
      <c r="S443"/>
      <c r="T443" s="7"/>
      <c r="U443"/>
      <c r="V443" s="7"/>
      <c r="W443"/>
      <c r="X443" s="7"/>
    </row>
    <row r="444" spans="1:24">
      <c r="A444"/>
      <c r="B444" s="7"/>
      <c r="C444"/>
      <c r="D444" s="7"/>
      <c r="E444"/>
      <c r="F444" s="7"/>
      <c r="G444"/>
      <c r="H444" s="7"/>
      <c r="I444"/>
      <c r="J444" s="7"/>
      <c r="K444"/>
      <c r="L444" s="7"/>
      <c r="M444"/>
      <c r="N444" s="7"/>
      <c r="O444"/>
      <c r="P444" s="7"/>
      <c r="Q444"/>
      <c r="R444" s="7"/>
      <c r="S444"/>
      <c r="T444" s="7"/>
      <c r="U444"/>
      <c r="V444" s="7"/>
      <c r="W444"/>
      <c r="X444" s="7"/>
    </row>
    <row r="445" spans="1:24">
      <c r="A445"/>
      <c r="B445" s="7"/>
      <c r="C445"/>
      <c r="D445" s="7"/>
      <c r="E445"/>
      <c r="F445" s="7"/>
      <c r="G445"/>
      <c r="H445" s="7"/>
      <c r="I445"/>
      <c r="J445" s="7"/>
      <c r="K445"/>
      <c r="L445" s="7"/>
      <c r="M445"/>
      <c r="N445" s="7"/>
      <c r="O445"/>
      <c r="P445" s="7"/>
      <c r="Q445"/>
      <c r="R445" s="7"/>
      <c r="S445"/>
      <c r="T445" s="7"/>
      <c r="U445"/>
      <c r="V445" s="7"/>
      <c r="W445"/>
      <c r="X445" s="7"/>
    </row>
    <row r="446" spans="1:24">
      <c r="A446"/>
      <c r="B446" s="7"/>
      <c r="C446"/>
      <c r="D446" s="7"/>
      <c r="E446"/>
      <c r="F446" s="7"/>
      <c r="G446"/>
      <c r="H446" s="7"/>
      <c r="I446"/>
      <c r="J446" s="7"/>
      <c r="K446"/>
      <c r="L446" s="7"/>
      <c r="M446"/>
      <c r="N446" s="7"/>
      <c r="O446"/>
      <c r="P446" s="7"/>
      <c r="Q446"/>
      <c r="R446" s="7"/>
      <c r="S446"/>
      <c r="T446" s="7"/>
      <c r="U446"/>
      <c r="V446" s="7"/>
      <c r="W446"/>
      <c r="X446" s="7"/>
    </row>
    <row r="447" spans="1:24">
      <c r="A447"/>
      <c r="B447" s="7"/>
      <c r="C447"/>
      <c r="D447" s="7"/>
      <c r="E447"/>
      <c r="F447" s="7"/>
      <c r="G447"/>
      <c r="H447" s="7"/>
      <c r="I447"/>
      <c r="J447" s="7"/>
      <c r="K447"/>
      <c r="L447" s="7"/>
      <c r="M447"/>
      <c r="N447" s="7"/>
      <c r="O447"/>
      <c r="P447" s="7"/>
      <c r="Q447"/>
      <c r="R447" s="7"/>
      <c r="S447"/>
      <c r="T447" s="7"/>
      <c r="U447"/>
      <c r="V447" s="7"/>
      <c r="W447"/>
      <c r="X447" s="7"/>
    </row>
    <row r="448" spans="1:24">
      <c r="A448"/>
      <c r="B448" s="7"/>
      <c r="C448"/>
      <c r="D448" s="7"/>
      <c r="E448"/>
      <c r="F448" s="7"/>
      <c r="G448"/>
      <c r="H448" s="7"/>
      <c r="I448"/>
      <c r="J448" s="7"/>
      <c r="K448"/>
      <c r="L448" s="7"/>
      <c r="M448"/>
      <c r="N448" s="7"/>
      <c r="O448"/>
      <c r="P448" s="7"/>
      <c r="Q448"/>
      <c r="R448" s="7"/>
      <c r="S448"/>
      <c r="T448" s="7"/>
      <c r="U448"/>
      <c r="V448" s="7"/>
      <c r="W448"/>
      <c r="X448" s="7"/>
    </row>
    <row r="449" spans="1:24">
      <c r="A449"/>
      <c r="B449" s="7"/>
      <c r="C449"/>
      <c r="D449" s="7"/>
      <c r="E449"/>
      <c r="F449" s="7"/>
      <c r="G449"/>
      <c r="H449" s="7"/>
      <c r="I449"/>
      <c r="J449" s="7"/>
      <c r="K449"/>
      <c r="L449" s="7"/>
      <c r="M449"/>
      <c r="N449" s="7"/>
      <c r="O449"/>
      <c r="P449" s="7"/>
      <c r="Q449"/>
      <c r="R449" s="7"/>
      <c r="S449"/>
      <c r="T449" s="7"/>
      <c r="U449"/>
      <c r="V449" s="7"/>
      <c r="W449"/>
      <c r="X449" s="7"/>
    </row>
    <row r="450" spans="1:24">
      <c r="A450"/>
      <c r="B450" s="7"/>
      <c r="C450"/>
      <c r="D450" s="7"/>
      <c r="E450"/>
      <c r="F450" s="7"/>
      <c r="G450"/>
      <c r="H450" s="7"/>
      <c r="I450"/>
      <c r="J450" s="7"/>
      <c r="K450"/>
      <c r="L450" s="7"/>
      <c r="M450"/>
      <c r="N450" s="7"/>
      <c r="O450"/>
      <c r="P450" s="7"/>
      <c r="Q450"/>
      <c r="R450" s="7"/>
      <c r="S450"/>
      <c r="T450" s="7"/>
      <c r="U450"/>
      <c r="V450" s="7"/>
      <c r="W450"/>
      <c r="X450" s="7"/>
    </row>
    <row r="451" spans="1:24">
      <c r="A451"/>
      <c r="B451" s="7"/>
      <c r="C451"/>
      <c r="D451" s="7"/>
      <c r="E451"/>
      <c r="F451" s="7"/>
      <c r="G451"/>
      <c r="H451" s="7"/>
      <c r="I451"/>
      <c r="J451" s="7"/>
      <c r="K451"/>
      <c r="L451" s="7"/>
      <c r="M451"/>
      <c r="N451" s="7"/>
      <c r="O451"/>
      <c r="P451" s="7"/>
      <c r="Q451"/>
      <c r="R451" s="7"/>
      <c r="S451"/>
      <c r="T451" s="7"/>
      <c r="U451"/>
      <c r="V451" s="7"/>
      <c r="W451"/>
      <c r="X451" s="7"/>
    </row>
    <row r="452" spans="1:24">
      <c r="A452"/>
      <c r="B452" s="7"/>
      <c r="C452"/>
      <c r="D452" s="7"/>
      <c r="E452"/>
      <c r="F452" s="7"/>
      <c r="G452"/>
      <c r="H452" s="7"/>
      <c r="I452"/>
      <c r="J452" s="7"/>
      <c r="K452"/>
      <c r="L452" s="7"/>
      <c r="M452"/>
      <c r="N452" s="7"/>
      <c r="O452"/>
      <c r="P452" s="7"/>
      <c r="Q452"/>
      <c r="R452" s="7"/>
      <c r="S452"/>
      <c r="T452" s="7"/>
      <c r="U452"/>
      <c r="V452" s="7"/>
      <c r="W452"/>
      <c r="X452" s="7"/>
    </row>
    <row r="453" spans="1:24">
      <c r="A453"/>
      <c r="B453" s="7"/>
      <c r="C453"/>
      <c r="D453" s="7"/>
      <c r="E453"/>
      <c r="F453" s="7"/>
      <c r="G453"/>
      <c r="H453" s="7"/>
      <c r="I453"/>
      <c r="J453" s="7"/>
      <c r="K453"/>
      <c r="L453" s="7"/>
      <c r="M453"/>
      <c r="N453" s="7"/>
      <c r="O453"/>
      <c r="P453" s="7"/>
      <c r="Q453"/>
      <c r="R453" s="7"/>
      <c r="S453"/>
      <c r="T453" s="7"/>
      <c r="U453"/>
      <c r="V453" s="7"/>
      <c r="W453"/>
      <c r="X453" s="7"/>
    </row>
    <row r="454" spans="1:24">
      <c r="A454"/>
      <c r="B454" s="7"/>
      <c r="C454"/>
      <c r="D454" s="7"/>
      <c r="E454"/>
      <c r="F454" s="7"/>
      <c r="G454"/>
      <c r="H454" s="7"/>
      <c r="I454"/>
      <c r="J454" s="7"/>
      <c r="K454"/>
      <c r="L454" s="7"/>
      <c r="M454"/>
      <c r="N454" s="7"/>
      <c r="O454"/>
      <c r="P454" s="7"/>
      <c r="Q454"/>
      <c r="R454" s="7"/>
      <c r="S454"/>
      <c r="T454" s="7"/>
      <c r="U454"/>
      <c r="V454" s="7"/>
      <c r="W454"/>
      <c r="X454" s="7"/>
    </row>
    <row r="455" spans="1:24">
      <c r="A455"/>
      <c r="B455" s="7"/>
      <c r="C455"/>
      <c r="D455" s="7"/>
      <c r="E455"/>
      <c r="F455" s="7"/>
      <c r="G455"/>
      <c r="H455" s="7"/>
      <c r="I455"/>
      <c r="J455" s="7"/>
      <c r="K455"/>
      <c r="L455" s="7"/>
      <c r="M455"/>
      <c r="N455" s="7"/>
      <c r="O455"/>
      <c r="P455" s="7"/>
      <c r="Q455"/>
      <c r="R455" s="7"/>
      <c r="S455"/>
      <c r="T455" s="7"/>
      <c r="U455"/>
      <c r="V455" s="7"/>
      <c r="W455"/>
      <c r="X455" s="7"/>
    </row>
    <row r="456" spans="1:24">
      <c r="A456"/>
      <c r="B456" s="7"/>
      <c r="C456"/>
      <c r="D456" s="7"/>
      <c r="E456"/>
      <c r="F456" s="7"/>
      <c r="G456"/>
      <c r="H456" s="7"/>
      <c r="I456"/>
      <c r="J456" s="7"/>
      <c r="K456"/>
      <c r="L456" s="7"/>
      <c r="M456"/>
      <c r="N456" s="7"/>
      <c r="O456"/>
      <c r="P456" s="7"/>
      <c r="Q456"/>
      <c r="R456" s="7"/>
      <c r="S456"/>
      <c r="T456" s="7"/>
      <c r="U456"/>
      <c r="V456" s="7"/>
      <c r="W456"/>
      <c r="X456" s="7"/>
    </row>
    <row r="457" spans="1:24">
      <c r="A457"/>
      <c r="B457" s="7"/>
      <c r="C457"/>
      <c r="D457" s="7"/>
      <c r="E457"/>
      <c r="F457" s="7"/>
      <c r="G457"/>
      <c r="H457" s="7"/>
      <c r="I457"/>
      <c r="J457" s="7"/>
      <c r="K457"/>
      <c r="L457" s="7"/>
      <c r="M457"/>
      <c r="N457" s="7"/>
      <c r="O457"/>
      <c r="P457" s="7"/>
      <c r="Q457"/>
      <c r="R457" s="7"/>
      <c r="S457"/>
      <c r="T457" s="7"/>
      <c r="U457"/>
      <c r="V457" s="7"/>
      <c r="W457"/>
      <c r="X457" s="7"/>
    </row>
    <row r="458" spans="1:24">
      <c r="A458"/>
      <c r="B458" s="7"/>
      <c r="C458"/>
      <c r="D458" s="7"/>
      <c r="E458"/>
      <c r="F458" s="7"/>
      <c r="G458"/>
      <c r="H458" s="7"/>
      <c r="I458"/>
      <c r="J458" s="7"/>
      <c r="K458"/>
      <c r="L458" s="7"/>
      <c r="M458"/>
      <c r="N458" s="7"/>
      <c r="O458"/>
      <c r="P458" s="7"/>
      <c r="Q458"/>
      <c r="R458" s="7"/>
      <c r="S458"/>
      <c r="T458" s="7"/>
      <c r="U458"/>
      <c r="V458" s="7"/>
      <c r="W458"/>
      <c r="X458" s="7"/>
    </row>
    <row r="459" spans="1:24">
      <c r="A459"/>
      <c r="B459" s="7"/>
      <c r="C459"/>
      <c r="D459" s="7"/>
      <c r="E459"/>
      <c r="F459" s="7"/>
      <c r="G459"/>
      <c r="H459" s="7"/>
      <c r="I459"/>
      <c r="J459" s="7"/>
      <c r="K459"/>
      <c r="L459" s="7"/>
      <c r="M459"/>
      <c r="N459" s="7"/>
      <c r="O459"/>
      <c r="P459" s="7"/>
      <c r="Q459"/>
      <c r="R459" s="7"/>
      <c r="S459"/>
      <c r="T459" s="7"/>
      <c r="U459"/>
      <c r="V459" s="7"/>
      <c r="W459"/>
      <c r="X459" s="7"/>
    </row>
    <row r="460" spans="1:24">
      <c r="A460"/>
      <c r="B460" s="7"/>
      <c r="C460"/>
      <c r="D460" s="7"/>
      <c r="E460"/>
      <c r="F460" s="7"/>
      <c r="G460"/>
      <c r="H460" s="7"/>
      <c r="I460"/>
      <c r="J460" s="7"/>
      <c r="K460"/>
      <c r="L460" s="7"/>
      <c r="M460"/>
      <c r="N460" s="7"/>
      <c r="O460"/>
      <c r="P460" s="7"/>
      <c r="Q460"/>
      <c r="R460" s="7"/>
      <c r="S460"/>
      <c r="T460" s="7"/>
      <c r="U460"/>
      <c r="V460" s="7"/>
      <c r="W460"/>
      <c r="X460" s="7"/>
    </row>
    <row r="461" spans="1:24">
      <c r="A461"/>
      <c r="B461" s="7"/>
      <c r="C461"/>
      <c r="D461" s="7"/>
      <c r="E461"/>
      <c r="F461" s="7"/>
      <c r="G461"/>
      <c r="H461" s="7"/>
      <c r="I461"/>
      <c r="J461" s="7"/>
      <c r="K461"/>
      <c r="L461" s="7"/>
      <c r="M461"/>
      <c r="N461" s="7"/>
      <c r="O461"/>
      <c r="P461" s="7"/>
      <c r="Q461"/>
      <c r="R461" s="7"/>
      <c r="S461"/>
      <c r="T461" s="7"/>
      <c r="U461"/>
      <c r="V461" s="7"/>
      <c r="W461"/>
      <c r="X461" s="7"/>
    </row>
    <row r="462" spans="1:24">
      <c r="A462"/>
      <c r="B462" s="7"/>
      <c r="C462"/>
      <c r="D462" s="7"/>
      <c r="E462"/>
      <c r="F462" s="7"/>
      <c r="G462"/>
      <c r="H462" s="7"/>
      <c r="I462"/>
      <c r="J462" s="7"/>
      <c r="K462"/>
      <c r="L462" s="7"/>
      <c r="M462"/>
      <c r="N462" s="7"/>
      <c r="O462"/>
      <c r="P462" s="7"/>
      <c r="Q462"/>
      <c r="R462" s="7"/>
      <c r="S462"/>
      <c r="T462" s="7"/>
      <c r="U462"/>
      <c r="V462" s="7"/>
      <c r="W462"/>
      <c r="X462" s="7"/>
    </row>
    <row r="463" spans="1:24">
      <c r="A463"/>
      <c r="B463" s="7"/>
      <c r="C463"/>
      <c r="D463" s="7"/>
      <c r="E463"/>
      <c r="F463" s="7"/>
      <c r="G463"/>
      <c r="H463" s="7"/>
      <c r="I463"/>
      <c r="J463" s="7"/>
      <c r="K463"/>
      <c r="L463" s="7"/>
      <c r="M463"/>
      <c r="N463" s="7"/>
      <c r="O463"/>
      <c r="P463" s="7"/>
      <c r="Q463"/>
      <c r="R463" s="7"/>
      <c r="S463"/>
      <c r="T463" s="7"/>
      <c r="U463"/>
      <c r="V463" s="7"/>
      <c r="W463"/>
      <c r="X463" s="7"/>
    </row>
    <row r="464" spans="1:24">
      <c r="A464"/>
      <c r="B464" s="7"/>
      <c r="C464"/>
      <c r="D464" s="7"/>
      <c r="E464"/>
      <c r="F464" s="7"/>
      <c r="G464"/>
      <c r="H464" s="7"/>
      <c r="I464"/>
      <c r="J464" s="7"/>
      <c r="K464"/>
      <c r="L464" s="7"/>
      <c r="M464"/>
      <c r="N464" s="7"/>
      <c r="O464"/>
      <c r="P464" s="7"/>
      <c r="Q464"/>
      <c r="R464" s="7"/>
      <c r="S464"/>
      <c r="T464" s="7"/>
      <c r="U464"/>
      <c r="V464" s="7"/>
      <c r="W464"/>
      <c r="X464" s="7"/>
    </row>
    <row r="465" spans="1:24">
      <c r="A465"/>
      <c r="B465" s="7"/>
      <c r="C465"/>
      <c r="D465" s="7"/>
      <c r="E465"/>
      <c r="F465" s="7"/>
      <c r="G465"/>
      <c r="H465" s="7"/>
      <c r="I465"/>
      <c r="J465" s="7"/>
      <c r="K465"/>
      <c r="L465" s="7"/>
      <c r="M465"/>
      <c r="N465" s="7"/>
      <c r="O465"/>
      <c r="P465" s="7"/>
      <c r="Q465"/>
      <c r="R465" s="7"/>
      <c r="S465"/>
      <c r="T465" s="7"/>
      <c r="U465"/>
      <c r="V465" s="7"/>
      <c r="W465"/>
      <c r="X465" s="7"/>
    </row>
    <row r="466" spans="1:24">
      <c r="A466"/>
      <c r="B466" s="7"/>
      <c r="C466"/>
      <c r="D466" s="7"/>
      <c r="E466"/>
      <c r="F466" s="7"/>
      <c r="G466"/>
      <c r="H466" s="7"/>
      <c r="I466"/>
      <c r="J466" s="7"/>
      <c r="K466"/>
      <c r="L466" s="7"/>
      <c r="M466"/>
      <c r="N466" s="7"/>
      <c r="O466"/>
      <c r="P466" s="7"/>
      <c r="Q466"/>
      <c r="R466" s="7"/>
      <c r="S466"/>
      <c r="T466" s="7"/>
      <c r="U466"/>
      <c r="V466" s="7"/>
      <c r="W466"/>
      <c r="X466" s="7"/>
    </row>
    <row r="467" spans="1:24">
      <c r="A467"/>
      <c r="B467" s="7"/>
      <c r="C467"/>
      <c r="D467" s="7"/>
      <c r="E467"/>
      <c r="F467" s="7"/>
      <c r="G467"/>
      <c r="H467" s="7"/>
      <c r="I467"/>
      <c r="J467" s="7"/>
      <c r="K467"/>
      <c r="L467" s="7"/>
      <c r="M467"/>
      <c r="N467" s="7"/>
      <c r="O467"/>
      <c r="P467" s="7"/>
      <c r="Q467"/>
      <c r="R467" s="7"/>
      <c r="S467"/>
      <c r="T467" s="7"/>
      <c r="U467"/>
      <c r="V467" s="7"/>
      <c r="W467"/>
      <c r="X467" s="7"/>
    </row>
    <row r="468" spans="1:24">
      <c r="A468"/>
      <c r="B468" s="7"/>
      <c r="C468"/>
      <c r="D468" s="7"/>
      <c r="E468"/>
      <c r="F468" s="7"/>
      <c r="G468"/>
      <c r="H468" s="7"/>
      <c r="I468"/>
      <c r="J468" s="7"/>
      <c r="K468"/>
      <c r="L468" s="7"/>
      <c r="M468"/>
      <c r="N468" s="7"/>
      <c r="O468"/>
      <c r="P468" s="7"/>
      <c r="Q468"/>
      <c r="R468" s="7"/>
      <c r="S468"/>
      <c r="T468" s="7"/>
      <c r="U468"/>
      <c r="V468" s="7"/>
      <c r="W468"/>
      <c r="X468" s="7"/>
    </row>
    <row r="469" spans="1:24">
      <c r="A469"/>
      <c r="B469" s="7"/>
      <c r="C469"/>
      <c r="D469" s="7"/>
      <c r="E469"/>
      <c r="F469" s="7"/>
      <c r="G469"/>
      <c r="H469" s="7"/>
      <c r="I469"/>
      <c r="J469" s="7"/>
      <c r="K469"/>
      <c r="L469" s="7"/>
      <c r="M469"/>
      <c r="N469" s="7"/>
      <c r="O469"/>
      <c r="P469" s="7"/>
      <c r="Q469"/>
      <c r="R469" s="7"/>
      <c r="S469"/>
      <c r="T469" s="7"/>
      <c r="U469"/>
      <c r="V469" s="7"/>
      <c r="W469"/>
      <c r="X469" s="7"/>
    </row>
    <row r="470" spans="1:24">
      <c r="A470"/>
      <c r="B470" s="7"/>
      <c r="C470"/>
      <c r="D470" s="7"/>
      <c r="E470"/>
      <c r="F470" s="7"/>
      <c r="G470"/>
      <c r="H470" s="7"/>
      <c r="I470"/>
      <c r="J470" s="7"/>
      <c r="K470"/>
      <c r="L470" s="7"/>
      <c r="M470"/>
      <c r="N470" s="7"/>
      <c r="O470"/>
      <c r="P470" s="7"/>
      <c r="Q470"/>
      <c r="R470" s="7"/>
      <c r="S470"/>
      <c r="T470" s="7"/>
      <c r="U470"/>
      <c r="V470" s="7"/>
      <c r="W470"/>
      <c r="X470" s="7"/>
    </row>
    <row r="471" spans="1:24">
      <c r="A471"/>
      <c r="B471" s="7"/>
      <c r="C471"/>
      <c r="D471" s="7"/>
      <c r="E471"/>
      <c r="F471" s="7"/>
      <c r="G471"/>
      <c r="H471" s="7"/>
      <c r="I471"/>
      <c r="J471" s="7"/>
      <c r="K471"/>
      <c r="L471" s="7"/>
      <c r="M471"/>
      <c r="N471" s="7"/>
      <c r="O471"/>
      <c r="P471" s="7"/>
      <c r="Q471"/>
      <c r="R471" s="7"/>
      <c r="S471"/>
      <c r="T471" s="7"/>
      <c r="U471"/>
      <c r="V471" s="7"/>
      <c r="W471"/>
      <c r="X471" s="7"/>
    </row>
    <row r="472" spans="1:24">
      <c r="A472"/>
      <c r="B472" s="7"/>
      <c r="C472"/>
      <c r="D472" s="7"/>
      <c r="E472"/>
      <c r="F472" s="7"/>
      <c r="G472"/>
      <c r="H472" s="7"/>
      <c r="I472"/>
      <c r="J472" s="7"/>
      <c r="K472"/>
      <c r="L472" s="7"/>
      <c r="M472"/>
      <c r="N472" s="7"/>
      <c r="O472"/>
      <c r="P472" s="7"/>
      <c r="Q472"/>
      <c r="R472" s="7"/>
      <c r="S472"/>
      <c r="T472" s="7"/>
      <c r="U472"/>
      <c r="V472" s="7"/>
      <c r="W472"/>
      <c r="X472" s="7"/>
    </row>
    <row r="473" spans="1:24">
      <c r="A473"/>
      <c r="B473" s="7"/>
      <c r="C473"/>
      <c r="D473" s="7"/>
      <c r="E473"/>
      <c r="F473" s="7"/>
      <c r="G473"/>
      <c r="H473" s="7"/>
      <c r="I473"/>
      <c r="J473" s="7"/>
      <c r="K473"/>
      <c r="L473" s="7"/>
      <c r="M473"/>
      <c r="N473" s="7"/>
      <c r="O473"/>
      <c r="P473" s="7"/>
      <c r="Q473"/>
      <c r="R473" s="7"/>
      <c r="S473"/>
      <c r="T473" s="7"/>
      <c r="U473"/>
      <c r="V473" s="7"/>
      <c r="W473"/>
      <c r="X473" s="7"/>
    </row>
    <row r="474" spans="1:24">
      <c r="A474"/>
      <c r="B474" s="7"/>
      <c r="C474"/>
      <c r="D474" s="7"/>
      <c r="E474"/>
      <c r="F474" s="7"/>
      <c r="G474"/>
      <c r="H474" s="7"/>
      <c r="I474"/>
      <c r="J474" s="7"/>
      <c r="K474"/>
      <c r="L474" s="7"/>
      <c r="M474"/>
      <c r="N474" s="7"/>
      <c r="O474"/>
      <c r="P474" s="7"/>
      <c r="Q474"/>
      <c r="R474" s="7"/>
      <c r="S474"/>
      <c r="T474" s="7"/>
      <c r="U474"/>
      <c r="V474" s="7"/>
      <c r="W474"/>
      <c r="X474" s="7"/>
    </row>
    <row r="475" spans="1:24">
      <c r="A475"/>
      <c r="B475" s="7"/>
      <c r="C475"/>
      <c r="D475" s="7"/>
      <c r="E475"/>
      <c r="F475" s="7"/>
      <c r="G475"/>
      <c r="H475" s="7"/>
      <c r="I475"/>
      <c r="J475" s="7"/>
      <c r="K475"/>
      <c r="L475" s="7"/>
      <c r="M475"/>
      <c r="N475" s="7"/>
      <c r="O475"/>
      <c r="P475" s="7"/>
      <c r="Q475"/>
      <c r="R475" s="7"/>
      <c r="S475"/>
      <c r="T475" s="7"/>
      <c r="U475"/>
      <c r="V475" s="7"/>
      <c r="W475"/>
      <c r="X475" s="7"/>
    </row>
    <row r="476" spans="1:24">
      <c r="A476"/>
      <c r="B476" s="7"/>
      <c r="C476"/>
      <c r="D476" s="7"/>
      <c r="E476"/>
      <c r="F476" s="7"/>
      <c r="G476"/>
      <c r="H476" s="7"/>
      <c r="I476"/>
      <c r="J476" s="7"/>
      <c r="K476"/>
      <c r="L476" s="7"/>
      <c r="M476"/>
      <c r="N476" s="7"/>
      <c r="O476"/>
      <c r="P476" s="7"/>
      <c r="Q476"/>
      <c r="R476" s="7"/>
      <c r="S476"/>
      <c r="T476" s="7"/>
      <c r="U476"/>
      <c r="V476" s="7"/>
      <c r="W476"/>
      <c r="X476" s="7"/>
    </row>
    <row r="477" spans="1:24">
      <c r="A477"/>
      <c r="B477" s="7"/>
      <c r="C477"/>
      <c r="D477" s="7"/>
      <c r="E477"/>
      <c r="F477" s="7"/>
      <c r="G477"/>
      <c r="H477" s="7"/>
      <c r="I477"/>
      <c r="J477" s="7"/>
      <c r="K477"/>
      <c r="L477" s="7"/>
      <c r="M477"/>
      <c r="N477" s="7"/>
      <c r="O477"/>
      <c r="P477" s="7"/>
      <c r="Q477"/>
      <c r="R477" s="7"/>
      <c r="S477"/>
      <c r="T477" s="7"/>
      <c r="U477"/>
      <c r="V477" s="7"/>
      <c r="W477"/>
      <c r="X477" s="7"/>
    </row>
    <row r="478" spans="1:24">
      <c r="A478"/>
      <c r="B478" s="7"/>
      <c r="C478"/>
      <c r="D478" s="7"/>
      <c r="E478"/>
      <c r="F478" s="7"/>
      <c r="G478"/>
      <c r="H478" s="7"/>
      <c r="I478"/>
      <c r="J478" s="7"/>
      <c r="K478"/>
      <c r="L478" s="7"/>
      <c r="M478"/>
      <c r="N478" s="7"/>
      <c r="O478"/>
      <c r="P478" s="7"/>
      <c r="Q478"/>
      <c r="R478" s="7"/>
      <c r="S478"/>
      <c r="T478" s="7"/>
      <c r="U478"/>
      <c r="V478" s="7"/>
      <c r="W478"/>
      <c r="X478" s="7"/>
    </row>
    <row r="479" spans="1:24">
      <c r="A479"/>
      <c r="B479" s="7"/>
      <c r="C479"/>
      <c r="D479" s="7"/>
      <c r="E479"/>
      <c r="F479" s="7"/>
      <c r="G479"/>
      <c r="H479" s="7"/>
      <c r="I479"/>
      <c r="J479" s="7"/>
      <c r="K479"/>
      <c r="L479" s="7"/>
      <c r="M479"/>
      <c r="N479" s="7"/>
      <c r="O479"/>
      <c r="P479" s="7"/>
      <c r="Q479"/>
      <c r="R479" s="7"/>
      <c r="S479"/>
      <c r="T479" s="7"/>
      <c r="U479"/>
      <c r="V479" s="7"/>
      <c r="W479"/>
      <c r="X479" s="7"/>
    </row>
    <row r="480" spans="1:24">
      <c r="A480"/>
      <c r="B480" s="7"/>
      <c r="C480"/>
      <c r="D480" s="7"/>
      <c r="E480"/>
      <c r="F480" s="7"/>
      <c r="G480"/>
      <c r="H480" s="7"/>
      <c r="I480"/>
      <c r="J480" s="7"/>
      <c r="K480"/>
      <c r="L480" s="7"/>
      <c r="M480"/>
      <c r="N480" s="7"/>
      <c r="O480"/>
      <c r="P480" s="7"/>
      <c r="Q480"/>
      <c r="R480" s="7"/>
      <c r="S480"/>
      <c r="T480" s="7"/>
      <c r="U480"/>
      <c r="V480" s="7"/>
      <c r="W480"/>
      <c r="X480" s="7"/>
    </row>
    <row r="481" spans="1:24">
      <c r="A481"/>
      <c r="B481" s="7"/>
      <c r="C481"/>
      <c r="D481" s="7"/>
      <c r="E481"/>
      <c r="F481" s="7"/>
      <c r="G481"/>
      <c r="H481" s="7"/>
      <c r="I481"/>
      <c r="J481" s="7"/>
      <c r="K481"/>
      <c r="L481" s="7"/>
      <c r="M481"/>
      <c r="N481" s="7"/>
      <c r="O481"/>
      <c r="P481" s="7"/>
      <c r="Q481"/>
      <c r="R481" s="7"/>
      <c r="S481"/>
      <c r="T481" s="7"/>
      <c r="U481"/>
      <c r="V481" s="7"/>
      <c r="W481"/>
      <c r="X481" s="7"/>
    </row>
    <row r="482" spans="1:24">
      <c r="A482"/>
      <c r="B482" s="7"/>
      <c r="C482"/>
      <c r="D482" s="7"/>
      <c r="E482"/>
      <c r="F482" s="7"/>
      <c r="G482"/>
      <c r="H482" s="7"/>
      <c r="I482"/>
      <c r="J482" s="7"/>
      <c r="K482"/>
      <c r="L482" s="7"/>
      <c r="M482"/>
      <c r="N482" s="7"/>
      <c r="O482"/>
      <c r="P482" s="7"/>
      <c r="Q482"/>
      <c r="R482" s="7"/>
      <c r="S482"/>
      <c r="T482" s="7"/>
      <c r="U482"/>
      <c r="V482" s="7"/>
      <c r="W482"/>
      <c r="X482" s="7"/>
    </row>
    <row r="483" spans="1:24">
      <c r="A483"/>
      <c r="B483" s="7"/>
      <c r="C483"/>
      <c r="D483" s="7"/>
      <c r="E483"/>
      <c r="F483" s="7"/>
      <c r="G483"/>
      <c r="H483" s="7"/>
      <c r="I483"/>
      <c r="J483" s="7"/>
      <c r="K483"/>
      <c r="L483" s="7"/>
      <c r="M483"/>
      <c r="N483" s="7"/>
      <c r="O483"/>
      <c r="P483" s="7"/>
      <c r="Q483"/>
      <c r="R483" s="7"/>
      <c r="S483"/>
      <c r="T483" s="7"/>
      <c r="U483"/>
      <c r="V483" s="7"/>
      <c r="W483"/>
      <c r="X483" s="7"/>
    </row>
    <row r="484" spans="1:24">
      <c r="A484"/>
      <c r="B484" s="7"/>
      <c r="C484"/>
      <c r="D484" s="7"/>
      <c r="E484"/>
      <c r="F484" s="7"/>
      <c r="G484"/>
      <c r="H484" s="7"/>
      <c r="I484"/>
      <c r="J484" s="7"/>
      <c r="K484"/>
      <c r="L484" s="7"/>
      <c r="M484"/>
      <c r="N484" s="7"/>
      <c r="O484"/>
      <c r="P484" s="7"/>
      <c r="Q484"/>
      <c r="R484" s="7"/>
      <c r="S484"/>
      <c r="T484" s="7"/>
      <c r="U484"/>
      <c r="V484" s="7"/>
      <c r="W484"/>
      <c r="X484" s="7"/>
    </row>
    <row r="485" spans="1:24">
      <c r="A485"/>
      <c r="B485" s="7"/>
      <c r="C485"/>
      <c r="D485" s="7"/>
      <c r="E485"/>
      <c r="F485" s="7"/>
      <c r="G485"/>
      <c r="H485" s="7"/>
      <c r="I485"/>
      <c r="J485" s="7"/>
      <c r="K485"/>
      <c r="L485" s="7"/>
      <c r="M485"/>
      <c r="N485" s="7"/>
      <c r="O485"/>
      <c r="P485" s="7"/>
      <c r="Q485"/>
      <c r="R485" s="7"/>
      <c r="S485"/>
      <c r="T485" s="7"/>
      <c r="U485"/>
      <c r="V485" s="7"/>
      <c r="W485"/>
      <c r="X485" s="7"/>
    </row>
    <row r="486" spans="1:24">
      <c r="A486"/>
      <c r="B486" s="7"/>
      <c r="C486"/>
      <c r="D486" s="7"/>
      <c r="E486"/>
      <c r="F486" s="7"/>
      <c r="G486"/>
      <c r="H486" s="7"/>
      <c r="I486"/>
      <c r="J486" s="7"/>
      <c r="K486"/>
      <c r="L486" s="7"/>
      <c r="M486"/>
      <c r="N486" s="7"/>
      <c r="O486"/>
      <c r="P486" s="7"/>
      <c r="Q486"/>
      <c r="R486" s="7"/>
      <c r="S486"/>
      <c r="T486" s="7"/>
      <c r="U486"/>
      <c r="V486" s="7"/>
      <c r="W486"/>
      <c r="X486" s="7"/>
    </row>
    <row r="487" spans="1:24">
      <c r="A487"/>
      <c r="B487" s="7"/>
      <c r="C487"/>
      <c r="D487" s="7"/>
      <c r="E487"/>
      <c r="F487" s="7"/>
      <c r="G487"/>
      <c r="H487" s="7"/>
      <c r="I487"/>
      <c r="J487" s="7"/>
      <c r="K487"/>
      <c r="L487" s="7"/>
      <c r="M487"/>
      <c r="N487" s="7"/>
      <c r="O487"/>
      <c r="P487" s="7"/>
      <c r="Q487"/>
      <c r="R487" s="7"/>
      <c r="S487"/>
      <c r="T487" s="7"/>
      <c r="U487"/>
      <c r="V487" s="7"/>
      <c r="W487"/>
      <c r="X487" s="7"/>
    </row>
    <row r="488" spans="1:24">
      <c r="A488"/>
      <c r="B488" s="7"/>
      <c r="C488"/>
      <c r="D488" s="7"/>
      <c r="E488"/>
      <c r="F488" s="7"/>
      <c r="G488"/>
      <c r="H488" s="7"/>
      <c r="I488"/>
      <c r="J488" s="7"/>
      <c r="K488"/>
      <c r="L488" s="7"/>
      <c r="M488"/>
      <c r="N488" s="7"/>
      <c r="O488"/>
      <c r="P488" s="7"/>
      <c r="Q488"/>
      <c r="R488" s="7"/>
      <c r="S488"/>
      <c r="T488" s="7"/>
      <c r="U488"/>
      <c r="V488" s="7"/>
      <c r="W488"/>
      <c r="X488" s="7"/>
    </row>
    <row r="489" spans="1:24">
      <c r="A489"/>
      <c r="B489" s="7"/>
      <c r="C489"/>
      <c r="D489" s="7"/>
      <c r="E489"/>
      <c r="F489" s="7"/>
      <c r="G489"/>
      <c r="H489" s="7"/>
      <c r="I489"/>
      <c r="J489" s="7"/>
      <c r="K489"/>
      <c r="L489" s="7"/>
      <c r="M489"/>
      <c r="N489" s="7"/>
      <c r="O489"/>
      <c r="P489" s="7"/>
      <c r="Q489"/>
      <c r="R489" s="7"/>
      <c r="S489"/>
      <c r="T489" s="7"/>
      <c r="U489"/>
      <c r="V489" s="7"/>
      <c r="W489"/>
      <c r="X489" s="7"/>
    </row>
    <row r="490" spans="1:24">
      <c r="A490"/>
      <c r="B490" s="7"/>
      <c r="C490"/>
      <c r="D490" s="7"/>
      <c r="E490"/>
      <c r="F490" s="7"/>
      <c r="G490"/>
      <c r="H490" s="7"/>
      <c r="I490"/>
      <c r="J490" s="7"/>
      <c r="K490"/>
      <c r="L490" s="7"/>
      <c r="M490"/>
      <c r="N490" s="7"/>
      <c r="O490"/>
      <c r="P490" s="7"/>
      <c r="Q490"/>
      <c r="R490" s="7"/>
      <c r="S490"/>
      <c r="T490" s="7"/>
      <c r="U490"/>
      <c r="V490" s="7"/>
      <c r="W490"/>
      <c r="X490" s="7"/>
    </row>
    <row r="491" spans="1:24">
      <c r="A491"/>
      <c r="B491" s="7"/>
      <c r="C491"/>
      <c r="D491" s="7"/>
      <c r="E491"/>
      <c r="F491" s="7"/>
      <c r="G491"/>
      <c r="H491" s="7"/>
      <c r="I491"/>
      <c r="J491" s="7"/>
      <c r="K491"/>
      <c r="L491" s="7"/>
      <c r="M491"/>
      <c r="N491" s="7"/>
      <c r="O491"/>
      <c r="P491" s="7"/>
      <c r="Q491"/>
      <c r="R491" s="7"/>
      <c r="S491"/>
      <c r="T491" s="7"/>
      <c r="U491"/>
      <c r="V491" s="7"/>
      <c r="W491"/>
      <c r="X491" s="7"/>
    </row>
    <row r="492" spans="1:24">
      <c r="A492"/>
      <c r="B492" s="7"/>
      <c r="C492"/>
      <c r="D492" s="7"/>
      <c r="E492"/>
      <c r="F492" s="7"/>
      <c r="G492"/>
      <c r="H492" s="7"/>
      <c r="I492"/>
      <c r="J492" s="7"/>
      <c r="K492"/>
      <c r="L492" s="7"/>
      <c r="M492"/>
      <c r="N492" s="7"/>
      <c r="O492"/>
      <c r="P492" s="7"/>
      <c r="Q492"/>
      <c r="R492" s="7"/>
      <c r="S492"/>
      <c r="T492" s="7"/>
      <c r="U492"/>
      <c r="V492" s="7"/>
      <c r="W492"/>
      <c r="X492" s="7"/>
    </row>
    <row r="493" spans="1:24">
      <c r="A493"/>
      <c r="B493" s="7"/>
      <c r="C493"/>
      <c r="D493" s="7"/>
      <c r="E493"/>
      <c r="F493" s="7"/>
      <c r="G493"/>
      <c r="H493" s="7"/>
      <c r="I493"/>
      <c r="J493" s="7"/>
      <c r="K493"/>
      <c r="L493" s="7"/>
      <c r="M493"/>
      <c r="N493" s="7"/>
      <c r="O493"/>
      <c r="P493" s="7"/>
      <c r="Q493"/>
      <c r="R493" s="7"/>
      <c r="S493"/>
      <c r="T493" s="7"/>
      <c r="U493"/>
      <c r="V493" s="7"/>
      <c r="W493"/>
      <c r="X493" s="7"/>
    </row>
    <row r="494" spans="1:24">
      <c r="A494"/>
      <c r="B494" s="7"/>
      <c r="C494"/>
      <c r="D494" s="7"/>
      <c r="E494"/>
      <c r="F494" s="7"/>
      <c r="G494"/>
      <c r="H494" s="7"/>
      <c r="I494"/>
      <c r="J494" s="7"/>
      <c r="K494"/>
      <c r="L494" s="7"/>
      <c r="M494"/>
      <c r="N494" s="7"/>
      <c r="O494"/>
      <c r="P494" s="7"/>
      <c r="Q494"/>
      <c r="R494" s="7"/>
      <c r="S494"/>
      <c r="T494" s="7"/>
      <c r="U494"/>
      <c r="V494" s="7"/>
      <c r="W494"/>
      <c r="X494" s="7"/>
    </row>
    <row r="495" spans="1:24">
      <c r="A495"/>
      <c r="B495" s="7"/>
      <c r="C495"/>
      <c r="D495" s="7"/>
      <c r="E495"/>
      <c r="F495" s="7"/>
      <c r="G495"/>
      <c r="H495" s="7"/>
      <c r="I495"/>
      <c r="J495" s="7"/>
      <c r="K495"/>
      <c r="L495" s="7"/>
      <c r="M495"/>
      <c r="N495" s="7"/>
      <c r="O495"/>
      <c r="P495" s="7"/>
      <c r="Q495"/>
      <c r="R495" s="7"/>
      <c r="S495"/>
      <c r="T495" s="7"/>
      <c r="U495"/>
      <c r="V495" s="7"/>
      <c r="W495"/>
      <c r="X495" s="7"/>
    </row>
    <row r="496" spans="1:24">
      <c r="A496"/>
      <c r="B496" s="7"/>
      <c r="C496"/>
      <c r="D496" s="7"/>
      <c r="E496"/>
      <c r="F496" s="7"/>
      <c r="G496"/>
      <c r="H496" s="7"/>
      <c r="I496"/>
      <c r="J496" s="7"/>
      <c r="K496"/>
      <c r="L496" s="7"/>
      <c r="M496"/>
      <c r="N496" s="7"/>
      <c r="O496"/>
      <c r="P496" s="7"/>
      <c r="Q496"/>
      <c r="R496" s="7"/>
      <c r="S496"/>
      <c r="T496" s="7"/>
      <c r="U496"/>
      <c r="V496" s="7"/>
      <c r="W496"/>
      <c r="X496" s="7"/>
    </row>
    <row r="497" spans="1:24">
      <c r="A497"/>
      <c r="B497" s="7"/>
      <c r="C497"/>
      <c r="D497" s="7"/>
      <c r="E497"/>
      <c r="F497" s="7"/>
      <c r="G497"/>
      <c r="H497" s="7"/>
      <c r="I497"/>
      <c r="J497" s="7"/>
      <c r="K497"/>
      <c r="L497" s="7"/>
      <c r="M497"/>
      <c r="N497" s="7"/>
      <c r="O497"/>
      <c r="P497" s="7"/>
      <c r="Q497"/>
      <c r="R497" s="7"/>
      <c r="S497"/>
      <c r="T497" s="7"/>
      <c r="U497"/>
      <c r="V497" s="7"/>
      <c r="W497"/>
      <c r="X497" s="7"/>
    </row>
    <row r="498" spans="1:24">
      <c r="A498"/>
      <c r="B498" s="7"/>
      <c r="C498"/>
      <c r="D498" s="7"/>
      <c r="E498"/>
      <c r="F498" s="7"/>
      <c r="G498"/>
      <c r="H498" s="7"/>
      <c r="I498"/>
      <c r="J498" s="7"/>
      <c r="K498"/>
      <c r="L498" s="7"/>
      <c r="M498"/>
      <c r="N498" s="7"/>
      <c r="O498"/>
      <c r="P498" s="7"/>
      <c r="Q498"/>
      <c r="R498" s="7"/>
      <c r="S498"/>
      <c r="T498" s="7"/>
      <c r="U498"/>
      <c r="V498" s="7"/>
      <c r="W498"/>
      <c r="X498" s="7"/>
    </row>
    <row r="499" spans="1:24">
      <c r="A499"/>
      <c r="B499" s="7"/>
      <c r="C499"/>
      <c r="D499" s="7"/>
      <c r="E499"/>
      <c r="F499" s="7"/>
      <c r="G499"/>
      <c r="H499" s="7"/>
      <c r="I499"/>
      <c r="J499" s="7"/>
      <c r="K499"/>
      <c r="L499" s="7"/>
      <c r="M499"/>
      <c r="N499" s="7"/>
      <c r="O499"/>
      <c r="P499" s="7"/>
      <c r="Q499"/>
      <c r="R499" s="7"/>
      <c r="S499"/>
      <c r="T499" s="7"/>
      <c r="U499"/>
      <c r="V499" s="7"/>
      <c r="W499"/>
      <c r="X499" s="7"/>
    </row>
    <row r="500" spans="1:24">
      <c r="A500"/>
      <c r="B500" s="7"/>
      <c r="C500"/>
      <c r="D500" s="7"/>
      <c r="E500"/>
      <c r="F500" s="7"/>
      <c r="G500"/>
      <c r="H500" s="7"/>
      <c r="I500"/>
      <c r="J500" s="7"/>
      <c r="K500"/>
      <c r="L500" s="7"/>
      <c r="M500"/>
      <c r="N500" s="7"/>
      <c r="O500"/>
      <c r="P500" s="7"/>
      <c r="Q500"/>
      <c r="R500" s="7"/>
      <c r="S500"/>
      <c r="T500" s="7"/>
      <c r="U500"/>
      <c r="V500" s="7"/>
      <c r="W500"/>
      <c r="X500" s="7"/>
    </row>
    <row r="501" spans="1:24">
      <c r="A501"/>
      <c r="B501" s="7"/>
      <c r="C501"/>
      <c r="D501" s="7"/>
      <c r="E501"/>
      <c r="F501" s="7"/>
      <c r="G501"/>
      <c r="H501" s="7"/>
      <c r="I501"/>
      <c r="J501" s="7"/>
      <c r="K501"/>
      <c r="L501" s="7"/>
      <c r="M501"/>
      <c r="N501" s="7"/>
      <c r="O501"/>
      <c r="P501" s="7"/>
      <c r="Q501"/>
      <c r="R501" s="7"/>
      <c r="S501"/>
      <c r="T501" s="7"/>
      <c r="U501"/>
      <c r="V501" s="7"/>
      <c r="W501"/>
      <c r="X501" s="7"/>
    </row>
    <row r="502" spans="1:24">
      <c r="A502"/>
      <c r="B502" s="7"/>
      <c r="C502"/>
      <c r="D502" s="7"/>
      <c r="E502"/>
      <c r="F502" s="7"/>
      <c r="G502"/>
      <c r="H502" s="7"/>
      <c r="I502"/>
      <c r="J502" s="7"/>
      <c r="K502"/>
      <c r="L502" s="7"/>
      <c r="M502"/>
      <c r="N502" s="7"/>
      <c r="O502"/>
      <c r="P502" s="7"/>
      <c r="Q502"/>
      <c r="R502" s="7"/>
      <c r="S502"/>
      <c r="T502" s="7"/>
      <c r="U502"/>
      <c r="V502" s="7"/>
      <c r="W502"/>
      <c r="X502" s="7"/>
    </row>
    <row r="503" spans="1:24">
      <c r="A503"/>
      <c r="B503" s="7"/>
      <c r="C503"/>
      <c r="D503" s="7"/>
      <c r="E503"/>
      <c r="F503" s="7"/>
      <c r="G503"/>
      <c r="H503" s="7"/>
      <c r="I503"/>
      <c r="J503" s="7"/>
      <c r="K503"/>
      <c r="L503" s="7"/>
      <c r="M503"/>
      <c r="N503" s="7"/>
      <c r="O503"/>
      <c r="P503" s="7"/>
      <c r="Q503"/>
      <c r="R503" s="7"/>
      <c r="S503"/>
      <c r="T503" s="7"/>
      <c r="U503"/>
      <c r="V503" s="7"/>
      <c r="W503"/>
      <c r="X503" s="7"/>
    </row>
    <row r="504" spans="1:24">
      <c r="A504"/>
      <c r="B504" s="7"/>
      <c r="C504"/>
      <c r="D504" s="7"/>
      <c r="E504"/>
      <c r="F504" s="7"/>
      <c r="G504"/>
      <c r="H504" s="7"/>
      <c r="I504"/>
      <c r="J504" s="7"/>
      <c r="K504"/>
      <c r="L504" s="7"/>
      <c r="M504"/>
      <c r="N504" s="7"/>
      <c r="O504"/>
      <c r="P504" s="7"/>
      <c r="Q504"/>
      <c r="R504" s="7"/>
      <c r="S504"/>
      <c r="T504" s="7"/>
      <c r="U504"/>
      <c r="V504" s="7"/>
      <c r="W504"/>
      <c r="X504" s="7"/>
    </row>
    <row r="505" spans="1:24">
      <c r="A505"/>
      <c r="B505" s="7"/>
      <c r="C505"/>
      <c r="D505" s="7"/>
      <c r="E505"/>
      <c r="F505" s="7"/>
      <c r="G505"/>
      <c r="H505" s="7"/>
      <c r="I505"/>
      <c r="J505" s="7"/>
      <c r="K505"/>
      <c r="L505" s="7"/>
      <c r="M505"/>
      <c r="N505" s="7"/>
      <c r="O505"/>
      <c r="P505" s="7"/>
      <c r="Q505"/>
      <c r="R505" s="7"/>
      <c r="S505"/>
      <c r="T505" s="7"/>
      <c r="U505"/>
      <c r="V505" s="7"/>
      <c r="W505"/>
      <c r="X505" s="7"/>
    </row>
    <row r="506" spans="1:24">
      <c r="A506"/>
      <c r="B506" s="7"/>
      <c r="C506"/>
      <c r="D506" s="7"/>
      <c r="E506"/>
      <c r="F506" s="7"/>
      <c r="G506"/>
      <c r="H506" s="7"/>
      <c r="I506"/>
      <c r="J506" s="7"/>
      <c r="K506"/>
      <c r="L506" s="7"/>
      <c r="M506"/>
      <c r="N506" s="7"/>
      <c r="O506"/>
      <c r="P506" s="7"/>
      <c r="Q506"/>
      <c r="R506" s="7"/>
      <c r="S506"/>
      <c r="T506" s="7"/>
      <c r="U506"/>
      <c r="V506" s="7"/>
      <c r="W506"/>
      <c r="X506" s="7"/>
    </row>
    <row r="507" spans="1:24">
      <c r="A507"/>
      <c r="B507" s="7"/>
      <c r="C507"/>
      <c r="D507" s="7"/>
      <c r="E507"/>
      <c r="F507" s="7"/>
      <c r="G507"/>
      <c r="H507" s="7"/>
      <c r="I507"/>
      <c r="J507" s="7"/>
      <c r="K507"/>
      <c r="L507" s="7"/>
      <c r="M507"/>
      <c r="N507" s="7"/>
      <c r="O507"/>
      <c r="P507" s="7"/>
      <c r="Q507"/>
      <c r="R507" s="7"/>
      <c r="S507"/>
      <c r="T507" s="7"/>
      <c r="U507"/>
      <c r="V507" s="7"/>
      <c r="W507"/>
      <c r="X507" s="7"/>
    </row>
    <row r="508" spans="1:24">
      <c r="A508"/>
      <c r="B508" s="7"/>
      <c r="C508"/>
      <c r="D508" s="7"/>
      <c r="E508"/>
      <c r="F508" s="7"/>
      <c r="G508"/>
      <c r="H508" s="7"/>
      <c r="I508"/>
      <c r="J508" s="7"/>
      <c r="K508"/>
      <c r="L508" s="7"/>
      <c r="M508"/>
      <c r="N508" s="7"/>
      <c r="O508"/>
      <c r="P508" s="7"/>
      <c r="Q508"/>
      <c r="R508" s="7"/>
      <c r="S508"/>
      <c r="T508" s="7"/>
      <c r="U508"/>
      <c r="V508" s="7"/>
      <c r="W508"/>
      <c r="X508" s="7"/>
    </row>
    <row r="509" spans="1:24">
      <c r="A509"/>
      <c r="B509" s="7"/>
      <c r="C509"/>
      <c r="D509" s="7"/>
      <c r="E509"/>
      <c r="F509" s="7"/>
      <c r="G509"/>
      <c r="H509" s="7"/>
      <c r="I509"/>
      <c r="J509" s="7"/>
      <c r="K509"/>
      <c r="L509" s="7"/>
      <c r="M509"/>
      <c r="N509" s="7"/>
      <c r="O509"/>
      <c r="P509" s="7"/>
      <c r="Q509"/>
      <c r="R509" s="7"/>
      <c r="S509"/>
      <c r="T509" s="7"/>
      <c r="U509"/>
      <c r="V509" s="7"/>
      <c r="W509"/>
      <c r="X509" s="7"/>
    </row>
    <row r="510" spans="1:24">
      <c r="B510" s="7"/>
      <c r="D510" s="7"/>
      <c r="F510" s="7"/>
      <c r="H510" s="7"/>
      <c r="J510" s="7"/>
      <c r="L510" s="7"/>
      <c r="N510" s="7"/>
      <c r="P510" s="7"/>
      <c r="R510" s="7"/>
      <c r="T510" s="7"/>
      <c r="V510" s="7"/>
      <c r="X510" s="7"/>
    </row>
    <row r="511" spans="1:24">
      <c r="B511" s="7"/>
      <c r="D511" s="7"/>
      <c r="F511" s="7"/>
      <c r="H511" s="7"/>
      <c r="J511" s="7"/>
      <c r="L511" s="7"/>
      <c r="N511" s="7"/>
      <c r="P511" s="7"/>
      <c r="R511" s="7"/>
      <c r="T511" s="7"/>
      <c r="V511" s="7"/>
      <c r="X511" s="7"/>
    </row>
    <row r="512" spans="1:24">
      <c r="B512" s="7"/>
      <c r="D512" s="7"/>
      <c r="F512" s="7"/>
      <c r="H512" s="7"/>
      <c r="J512" s="7"/>
      <c r="L512" s="7"/>
      <c r="N512" s="7"/>
      <c r="P512" s="7"/>
      <c r="R512" s="7"/>
      <c r="T512" s="7"/>
      <c r="V512" s="7"/>
      <c r="X512" s="7"/>
    </row>
    <row r="513" spans="2:24">
      <c r="B513" s="7"/>
      <c r="D513" s="7"/>
      <c r="F513" s="7"/>
      <c r="H513" s="7"/>
      <c r="J513" s="7"/>
      <c r="L513" s="7"/>
      <c r="N513" s="7"/>
      <c r="P513" s="7"/>
      <c r="R513" s="7"/>
      <c r="T513" s="7"/>
      <c r="V513" s="7"/>
      <c r="X513" s="7"/>
    </row>
    <row r="514" spans="2:24">
      <c r="B514" s="7"/>
      <c r="D514" s="7"/>
      <c r="F514" s="7"/>
      <c r="H514" s="7"/>
      <c r="J514" s="7"/>
      <c r="L514" s="7"/>
      <c r="N514" s="7"/>
      <c r="P514" s="7"/>
      <c r="R514" s="7"/>
      <c r="T514" s="7"/>
      <c r="V514" s="7"/>
      <c r="X514" s="7"/>
    </row>
    <row r="515" spans="2:24">
      <c r="B515" s="7"/>
      <c r="D515" s="7"/>
      <c r="F515" s="7"/>
      <c r="H515" s="7"/>
      <c r="J515" s="7"/>
      <c r="L515" s="7"/>
      <c r="N515" s="7"/>
      <c r="P515" s="7"/>
      <c r="R515" s="7"/>
      <c r="T515" s="7"/>
      <c r="V515" s="7"/>
      <c r="X515" s="7"/>
    </row>
    <row r="516" spans="2:24">
      <c r="B516" s="7"/>
      <c r="D516" s="7"/>
      <c r="F516" s="7"/>
      <c r="H516" s="7"/>
      <c r="J516" s="7"/>
      <c r="L516" s="7"/>
      <c r="N516" s="7"/>
      <c r="P516" s="7"/>
      <c r="R516" s="7"/>
      <c r="T516" s="7"/>
      <c r="V516" s="7"/>
      <c r="X516" s="7"/>
    </row>
    <row r="517" spans="2:24">
      <c r="B517" s="7"/>
      <c r="D517" s="7"/>
      <c r="F517" s="7"/>
      <c r="H517" s="7"/>
      <c r="J517" s="7"/>
      <c r="L517" s="7"/>
      <c r="N517" s="7"/>
      <c r="P517" s="7"/>
      <c r="R517" s="7"/>
      <c r="T517" s="7"/>
      <c r="V517" s="7"/>
      <c r="X517" s="7"/>
    </row>
    <row r="518" spans="2:24">
      <c r="B518" s="7"/>
      <c r="D518" s="7"/>
      <c r="F518" s="7"/>
      <c r="H518" s="7"/>
      <c r="J518" s="7"/>
      <c r="L518" s="7"/>
      <c r="N518" s="7"/>
      <c r="P518" s="7"/>
      <c r="R518" s="7"/>
      <c r="T518" s="7"/>
      <c r="V518" s="7"/>
      <c r="X518" s="7"/>
    </row>
    <row r="519" spans="2:24">
      <c r="B519" s="7"/>
      <c r="D519" s="7"/>
      <c r="F519" s="7"/>
      <c r="H519" s="7"/>
      <c r="J519" s="7"/>
      <c r="L519" s="7"/>
      <c r="N519" s="7"/>
      <c r="P519" s="7"/>
      <c r="R519" s="7"/>
      <c r="T519" s="7"/>
      <c r="V519" s="7"/>
      <c r="X519" s="7"/>
    </row>
    <row r="520" spans="2:24">
      <c r="B520" s="7"/>
      <c r="D520" s="7"/>
      <c r="F520" s="7"/>
      <c r="H520" s="7"/>
      <c r="J520" s="7"/>
      <c r="L520" s="7"/>
      <c r="N520" s="7"/>
      <c r="P520" s="7"/>
      <c r="R520" s="7"/>
      <c r="T520" s="7"/>
      <c r="V520" s="7"/>
      <c r="X520" s="7"/>
    </row>
    <row r="521" spans="2:24">
      <c r="B521" s="7"/>
      <c r="D521" s="7"/>
      <c r="F521" s="7"/>
      <c r="H521" s="7"/>
      <c r="J521" s="7"/>
      <c r="L521" s="7"/>
      <c r="N521" s="7"/>
      <c r="P521" s="7"/>
      <c r="R521" s="7"/>
      <c r="T521" s="7"/>
      <c r="V521" s="7"/>
      <c r="X521" s="7"/>
    </row>
    <row r="522" spans="2:24">
      <c r="B522" s="7"/>
      <c r="D522" s="7"/>
      <c r="F522" s="7"/>
      <c r="H522" s="7"/>
      <c r="J522" s="7"/>
      <c r="L522" s="7"/>
      <c r="N522" s="7"/>
      <c r="P522" s="7"/>
      <c r="R522" s="7"/>
      <c r="T522" s="7"/>
      <c r="V522" s="7"/>
      <c r="X522" s="7"/>
    </row>
    <row r="523" spans="2:24">
      <c r="B523" s="7"/>
      <c r="D523" s="7"/>
      <c r="F523" s="7"/>
      <c r="H523" s="7"/>
      <c r="J523" s="7"/>
      <c r="L523" s="7"/>
      <c r="N523" s="7"/>
      <c r="P523" s="7"/>
      <c r="R523" s="7"/>
      <c r="T523" s="7"/>
      <c r="V523" s="7"/>
      <c r="X523" s="7"/>
    </row>
    <row r="524" spans="2:24">
      <c r="B524" s="7"/>
      <c r="D524" s="7"/>
      <c r="F524" s="7"/>
      <c r="H524" s="7"/>
      <c r="J524" s="7"/>
      <c r="L524" s="7"/>
      <c r="N524" s="7"/>
      <c r="P524" s="7"/>
      <c r="R524" s="7"/>
      <c r="T524" s="7"/>
      <c r="V524" s="7"/>
      <c r="X524" s="7"/>
    </row>
    <row r="525" spans="2:24">
      <c r="B525" s="7"/>
      <c r="D525" s="7"/>
      <c r="F525" s="7"/>
      <c r="H525" s="7"/>
      <c r="J525" s="7"/>
      <c r="L525" s="7"/>
      <c r="N525" s="7"/>
      <c r="P525" s="7"/>
      <c r="R525" s="7"/>
      <c r="T525" s="7"/>
      <c r="V525" s="7"/>
      <c r="X525" s="7"/>
    </row>
    <row r="526" spans="2:24">
      <c r="B526" s="7"/>
      <c r="D526" s="7"/>
      <c r="F526" s="7"/>
      <c r="H526" s="7"/>
      <c r="J526" s="7"/>
      <c r="L526" s="7"/>
      <c r="N526" s="7"/>
      <c r="P526" s="7"/>
      <c r="R526" s="7"/>
      <c r="T526" s="7"/>
      <c r="V526" s="7"/>
      <c r="X526" s="7"/>
    </row>
    <row r="527" spans="2:24">
      <c r="B527" s="7"/>
      <c r="D527" s="7"/>
      <c r="F527" s="7"/>
      <c r="H527" s="7"/>
      <c r="J527" s="7"/>
      <c r="L527" s="7"/>
      <c r="N527" s="7"/>
      <c r="P527" s="7"/>
      <c r="R527" s="7"/>
      <c r="T527" s="7"/>
      <c r="V527" s="7"/>
      <c r="X527" s="7"/>
    </row>
    <row r="528" spans="2:24">
      <c r="B528" s="7"/>
      <c r="D528" s="7"/>
      <c r="F528" s="7"/>
      <c r="H528" s="7"/>
      <c r="J528" s="7"/>
      <c r="L528" s="7"/>
      <c r="N528" s="7"/>
      <c r="P528" s="7"/>
      <c r="R528" s="7"/>
      <c r="T528" s="7"/>
      <c r="V528" s="7"/>
      <c r="X528" s="7"/>
    </row>
    <row r="529" spans="2:24">
      <c r="B529" s="7"/>
      <c r="D529" s="7"/>
      <c r="F529" s="7"/>
      <c r="H529" s="7"/>
      <c r="J529" s="7"/>
      <c r="L529" s="7"/>
      <c r="N529" s="7"/>
      <c r="P529" s="7"/>
      <c r="R529" s="7"/>
      <c r="T529" s="7"/>
      <c r="V529" s="7"/>
      <c r="X529" s="7"/>
    </row>
    <row r="530" spans="2:24">
      <c r="B530" s="7"/>
      <c r="D530" s="7"/>
      <c r="F530" s="7"/>
      <c r="H530" s="7"/>
      <c r="J530" s="7"/>
      <c r="L530" s="7"/>
      <c r="N530" s="7"/>
      <c r="P530" s="7"/>
      <c r="R530" s="7"/>
      <c r="T530" s="7"/>
      <c r="V530" s="7"/>
      <c r="X530" s="7"/>
    </row>
    <row r="531" spans="2:24">
      <c r="B531" s="7"/>
      <c r="D531" s="7"/>
      <c r="F531" s="7"/>
      <c r="H531" s="7"/>
      <c r="J531" s="7"/>
      <c r="L531" s="7"/>
      <c r="N531" s="7"/>
      <c r="P531" s="7"/>
      <c r="R531" s="7"/>
      <c r="T531" s="7"/>
      <c r="V531" s="7"/>
      <c r="X531" s="7"/>
    </row>
    <row r="532" spans="2:24">
      <c r="B532" s="7"/>
      <c r="D532" s="7"/>
      <c r="F532" s="7"/>
      <c r="H532" s="7"/>
      <c r="J532" s="7"/>
      <c r="L532" s="7"/>
      <c r="N532" s="7"/>
      <c r="P532" s="7"/>
      <c r="R532" s="7"/>
      <c r="T532" s="7"/>
      <c r="V532" s="7"/>
      <c r="X532" s="7"/>
    </row>
    <row r="533" spans="2:24">
      <c r="B533" s="7"/>
      <c r="D533" s="7"/>
      <c r="F533" s="7"/>
      <c r="H533" s="7"/>
      <c r="J533" s="7"/>
      <c r="L533" s="7"/>
      <c r="N533" s="7"/>
      <c r="P533" s="7"/>
      <c r="R533" s="7"/>
      <c r="T533" s="7"/>
      <c r="V533" s="7"/>
      <c r="X533" s="7"/>
    </row>
    <row r="534" spans="2:24">
      <c r="B534" s="7"/>
      <c r="D534" s="7"/>
      <c r="F534" s="7"/>
      <c r="H534" s="7"/>
      <c r="J534" s="7"/>
      <c r="L534" s="7"/>
      <c r="N534" s="7"/>
      <c r="P534" s="7"/>
      <c r="R534" s="7"/>
      <c r="T534" s="7"/>
      <c r="V534" s="7"/>
      <c r="X534" s="7"/>
    </row>
    <row r="535" spans="2:24">
      <c r="B535" s="7"/>
      <c r="D535" s="7"/>
      <c r="F535" s="7"/>
      <c r="H535" s="7"/>
      <c r="J535" s="7"/>
      <c r="L535" s="7"/>
      <c r="N535" s="7"/>
      <c r="P535" s="7"/>
      <c r="R535" s="7"/>
      <c r="T535" s="7"/>
      <c r="V535" s="7"/>
      <c r="X535" s="7"/>
    </row>
    <row r="536" spans="2:24">
      <c r="B536" s="7"/>
      <c r="D536" s="7"/>
      <c r="F536" s="7"/>
      <c r="H536" s="7"/>
      <c r="J536" s="7"/>
      <c r="L536" s="7"/>
      <c r="N536" s="7"/>
      <c r="P536" s="7"/>
      <c r="R536" s="7"/>
      <c r="T536" s="7"/>
      <c r="V536" s="7"/>
      <c r="X536" s="7"/>
    </row>
    <row r="537" spans="2:24">
      <c r="B537" s="7"/>
      <c r="D537" s="7"/>
      <c r="F537" s="7"/>
      <c r="H537" s="7"/>
      <c r="J537" s="7"/>
      <c r="L537" s="7"/>
      <c r="N537" s="7"/>
      <c r="P537" s="7"/>
      <c r="R537" s="7"/>
      <c r="T537" s="7"/>
      <c r="V537" s="7"/>
      <c r="X537" s="7"/>
    </row>
    <row r="538" spans="2:24">
      <c r="B538" s="7"/>
      <c r="D538" s="7"/>
      <c r="F538" s="7"/>
      <c r="H538" s="7"/>
      <c r="J538" s="7"/>
      <c r="L538" s="7"/>
      <c r="N538" s="7"/>
      <c r="P538" s="7"/>
      <c r="R538" s="7"/>
      <c r="T538" s="7"/>
      <c r="V538" s="7"/>
      <c r="X538" s="7"/>
    </row>
    <row r="539" spans="2:24">
      <c r="B539" s="7"/>
      <c r="D539" s="7"/>
      <c r="F539" s="7"/>
      <c r="H539" s="7"/>
      <c r="J539" s="7"/>
      <c r="L539" s="7"/>
      <c r="N539" s="7"/>
      <c r="P539" s="7"/>
      <c r="R539" s="7"/>
      <c r="T539" s="7"/>
      <c r="V539" s="7"/>
      <c r="X539" s="7"/>
    </row>
    <row r="540" spans="2:24">
      <c r="B540" s="7"/>
      <c r="D540" s="7"/>
      <c r="F540" s="7"/>
      <c r="H540" s="7"/>
      <c r="J540" s="7"/>
      <c r="L540" s="7"/>
      <c r="N540" s="7"/>
      <c r="P540" s="7"/>
      <c r="R540" s="7"/>
      <c r="T540" s="7"/>
      <c r="V540" s="7"/>
      <c r="X540" s="7"/>
    </row>
    <row r="541" spans="2:24">
      <c r="B541" s="7"/>
      <c r="D541" s="7"/>
      <c r="F541" s="7"/>
      <c r="H541" s="7"/>
      <c r="J541" s="7"/>
      <c r="L541" s="7"/>
      <c r="N541" s="7"/>
      <c r="P541" s="7"/>
      <c r="R541" s="7"/>
      <c r="T541" s="7"/>
      <c r="V541" s="7"/>
      <c r="X541" s="7"/>
    </row>
    <row r="542" spans="2:24">
      <c r="B542" s="7"/>
      <c r="D542" s="7"/>
      <c r="F542" s="7"/>
      <c r="H542" s="7"/>
      <c r="J542" s="7"/>
      <c r="L542" s="7"/>
      <c r="N542" s="7"/>
      <c r="P542" s="7"/>
      <c r="R542" s="7"/>
      <c r="T542" s="7"/>
      <c r="V542" s="7"/>
      <c r="X542" s="7"/>
    </row>
    <row r="543" spans="2:24">
      <c r="B543" s="7"/>
      <c r="D543" s="7"/>
      <c r="F543" s="7"/>
      <c r="H543" s="7"/>
      <c r="J543" s="7"/>
      <c r="L543" s="7"/>
      <c r="N543" s="7"/>
      <c r="P543" s="7"/>
      <c r="R543" s="7"/>
      <c r="T543" s="7"/>
      <c r="V543" s="7"/>
      <c r="X543" s="7"/>
    </row>
    <row r="544" spans="2:24">
      <c r="B544" s="7"/>
      <c r="D544" s="7"/>
      <c r="F544" s="7"/>
      <c r="H544" s="7"/>
      <c r="J544" s="7"/>
      <c r="L544" s="7"/>
      <c r="N544" s="7"/>
      <c r="P544" s="7"/>
      <c r="R544" s="7"/>
      <c r="T544" s="7"/>
      <c r="V544" s="7"/>
      <c r="X544" s="7"/>
    </row>
    <row r="545" spans="2:24">
      <c r="B545" s="7"/>
      <c r="D545" s="7"/>
      <c r="F545" s="7"/>
      <c r="H545" s="7"/>
      <c r="J545" s="7"/>
      <c r="L545" s="7"/>
      <c r="N545" s="7"/>
      <c r="P545" s="7"/>
      <c r="R545" s="7"/>
      <c r="T545" s="7"/>
      <c r="V545" s="7"/>
      <c r="X545" s="7"/>
    </row>
    <row r="546" spans="2:24">
      <c r="B546" s="7"/>
      <c r="D546" s="7"/>
      <c r="F546" s="7"/>
      <c r="H546" s="7"/>
      <c r="J546" s="7"/>
      <c r="L546" s="7"/>
      <c r="N546" s="7"/>
      <c r="P546" s="7"/>
      <c r="R546" s="7"/>
      <c r="T546" s="7"/>
      <c r="V546" s="7"/>
      <c r="X546" s="7"/>
    </row>
    <row r="547" spans="2:24">
      <c r="B547" s="7"/>
      <c r="D547" s="7"/>
      <c r="F547" s="7"/>
      <c r="H547" s="7"/>
      <c r="J547" s="7"/>
      <c r="L547" s="7"/>
      <c r="N547" s="7"/>
      <c r="P547" s="7"/>
      <c r="R547" s="7"/>
      <c r="T547" s="7"/>
      <c r="V547" s="7"/>
      <c r="X547" s="7"/>
    </row>
    <row r="548" spans="2:24">
      <c r="B548" s="7"/>
      <c r="D548" s="7"/>
      <c r="F548" s="7"/>
      <c r="H548" s="7"/>
      <c r="J548" s="7"/>
      <c r="L548" s="7"/>
      <c r="N548" s="7"/>
      <c r="P548" s="7"/>
      <c r="R548" s="7"/>
      <c r="T548" s="7"/>
      <c r="V548" s="7"/>
      <c r="X548" s="7"/>
    </row>
    <row r="549" spans="2:24">
      <c r="B549" s="7"/>
      <c r="D549" s="7"/>
      <c r="F549" s="7"/>
      <c r="H549" s="7"/>
      <c r="J549" s="7"/>
      <c r="L549" s="7"/>
      <c r="N549" s="7"/>
      <c r="P549" s="7"/>
      <c r="R549" s="7"/>
      <c r="T549" s="7"/>
      <c r="V549" s="7"/>
      <c r="X549" s="7"/>
    </row>
    <row r="550" spans="2:24">
      <c r="B550" s="7"/>
      <c r="D550" s="7"/>
      <c r="F550" s="7"/>
      <c r="H550" s="7"/>
      <c r="J550" s="7"/>
      <c r="L550" s="7"/>
      <c r="N550" s="7"/>
      <c r="P550" s="7"/>
      <c r="R550" s="7"/>
      <c r="T550" s="7"/>
      <c r="V550" s="7"/>
      <c r="X550" s="7"/>
    </row>
    <row r="551" spans="2:24">
      <c r="B551" s="7"/>
      <c r="D551" s="7"/>
      <c r="F551" s="7"/>
      <c r="H551" s="7"/>
      <c r="J551" s="7"/>
      <c r="L551" s="7"/>
      <c r="N551" s="7"/>
      <c r="P551" s="7"/>
      <c r="R551" s="7"/>
      <c r="T551" s="7"/>
      <c r="V551" s="7"/>
      <c r="X551" s="7"/>
    </row>
    <row r="552" spans="2:24">
      <c r="B552" s="7"/>
      <c r="D552" s="7"/>
      <c r="F552" s="7"/>
      <c r="H552" s="7"/>
      <c r="J552" s="7"/>
      <c r="L552" s="7"/>
      <c r="N552" s="7"/>
      <c r="P552" s="7"/>
      <c r="R552" s="7"/>
      <c r="T552" s="7"/>
      <c r="V552" s="7"/>
      <c r="X552" s="7"/>
    </row>
    <row r="553" spans="2:24">
      <c r="B553" s="7"/>
      <c r="D553" s="7"/>
      <c r="F553" s="7"/>
      <c r="H553" s="7"/>
      <c r="J553" s="7"/>
      <c r="L553" s="7"/>
      <c r="N553" s="7"/>
      <c r="P553" s="7"/>
      <c r="R553" s="7"/>
      <c r="T553" s="7"/>
      <c r="V553" s="7"/>
      <c r="X553" s="7"/>
    </row>
    <row r="554" spans="2:24">
      <c r="B554" s="7"/>
      <c r="D554" s="7"/>
      <c r="F554" s="7"/>
      <c r="H554" s="7"/>
      <c r="J554" s="7"/>
      <c r="L554" s="7"/>
      <c r="N554" s="7"/>
      <c r="P554" s="7"/>
      <c r="R554" s="7"/>
      <c r="T554" s="7"/>
      <c r="V554" s="7"/>
      <c r="X554" s="7"/>
    </row>
    <row r="555" spans="2:24">
      <c r="B555" s="7"/>
      <c r="D555" s="7"/>
      <c r="F555" s="7"/>
      <c r="H555" s="7"/>
      <c r="J555" s="7"/>
      <c r="L555" s="7"/>
      <c r="N555" s="7"/>
      <c r="P555" s="7"/>
      <c r="R555" s="7"/>
      <c r="T555" s="7"/>
      <c r="V555" s="7"/>
      <c r="X555" s="7"/>
    </row>
    <row r="556" spans="2:24">
      <c r="B556" s="7"/>
      <c r="D556" s="7"/>
      <c r="F556" s="7"/>
      <c r="H556" s="7"/>
      <c r="J556" s="7"/>
      <c r="L556" s="7"/>
      <c r="N556" s="7"/>
      <c r="P556" s="7"/>
      <c r="R556" s="7"/>
      <c r="T556" s="7"/>
      <c r="V556" s="7"/>
      <c r="X556" s="7"/>
    </row>
    <row r="557" spans="2:24">
      <c r="B557" s="7"/>
      <c r="D557" s="7"/>
      <c r="F557" s="7"/>
      <c r="H557" s="7"/>
      <c r="J557" s="7"/>
      <c r="L557" s="7"/>
      <c r="N557" s="7"/>
      <c r="P557" s="7"/>
      <c r="R557" s="7"/>
      <c r="T557" s="7"/>
      <c r="V557" s="7"/>
      <c r="X557" s="7"/>
    </row>
    <row r="558" spans="2:24">
      <c r="B558" s="7"/>
      <c r="D558" s="7"/>
      <c r="F558" s="7"/>
      <c r="H558" s="7"/>
      <c r="J558" s="7"/>
      <c r="L558" s="7"/>
      <c r="N558" s="7"/>
      <c r="P558" s="7"/>
      <c r="R558" s="7"/>
      <c r="T558" s="7"/>
      <c r="V558" s="7"/>
      <c r="X558" s="7"/>
    </row>
    <row r="559" spans="2:24">
      <c r="B559" s="7"/>
      <c r="D559" s="7"/>
      <c r="F559" s="7"/>
      <c r="H559" s="7"/>
      <c r="J559" s="7"/>
      <c r="L559" s="7"/>
      <c r="N559" s="7"/>
      <c r="P559" s="7"/>
      <c r="R559" s="7"/>
      <c r="T559" s="7"/>
      <c r="V559" s="7"/>
      <c r="X559" s="7"/>
    </row>
    <row r="560" spans="2:24">
      <c r="B560" s="7"/>
      <c r="D560" s="7"/>
      <c r="F560" s="7"/>
      <c r="H560" s="7"/>
      <c r="J560" s="7"/>
      <c r="L560" s="7"/>
      <c r="N560" s="7"/>
      <c r="P560" s="7"/>
      <c r="R560" s="7"/>
      <c r="T560" s="7"/>
      <c r="V560" s="7"/>
      <c r="X560" s="7"/>
    </row>
    <row r="561" spans="2:24">
      <c r="B561" s="7"/>
      <c r="D561" s="7"/>
      <c r="F561" s="7"/>
      <c r="H561" s="7"/>
      <c r="J561" s="7"/>
      <c r="L561" s="7"/>
      <c r="N561" s="7"/>
      <c r="P561" s="7"/>
      <c r="R561" s="7"/>
      <c r="T561" s="7"/>
      <c r="V561" s="7"/>
      <c r="X561" s="7"/>
    </row>
    <row r="562" spans="2:24">
      <c r="B562" s="7"/>
      <c r="D562" s="7"/>
      <c r="F562" s="7"/>
      <c r="H562" s="7"/>
      <c r="J562" s="7"/>
      <c r="L562" s="7"/>
      <c r="N562" s="7"/>
      <c r="P562" s="7"/>
      <c r="R562" s="7"/>
      <c r="T562" s="7"/>
      <c r="V562" s="7"/>
      <c r="X562" s="7"/>
    </row>
    <row r="563" spans="2:24">
      <c r="B563" s="7"/>
      <c r="D563" s="7"/>
      <c r="F563" s="7"/>
      <c r="H563" s="7"/>
      <c r="J563" s="7"/>
      <c r="L563" s="7"/>
      <c r="N563" s="7"/>
      <c r="P563" s="7"/>
      <c r="R563" s="7"/>
      <c r="T563" s="7"/>
      <c r="V563" s="7"/>
      <c r="X563" s="7"/>
    </row>
    <row r="564" spans="2:24">
      <c r="B564" s="7"/>
      <c r="D564" s="7"/>
      <c r="F564" s="7"/>
      <c r="H564" s="7"/>
      <c r="J564" s="7"/>
      <c r="L564" s="7"/>
      <c r="N564" s="7"/>
      <c r="P564" s="7"/>
      <c r="R564" s="7"/>
      <c r="T564" s="7"/>
      <c r="V564" s="7"/>
      <c r="X564" s="7"/>
    </row>
    <row r="565" spans="2:24">
      <c r="B565" s="7"/>
      <c r="D565" s="7"/>
      <c r="F565" s="7"/>
      <c r="H565" s="7"/>
      <c r="J565" s="7"/>
      <c r="L565" s="7"/>
      <c r="N565" s="7"/>
      <c r="P565" s="7"/>
      <c r="R565" s="7"/>
      <c r="T565" s="7"/>
      <c r="V565" s="7"/>
      <c r="X565" s="7"/>
    </row>
    <row r="566" spans="2:24">
      <c r="B566" s="7"/>
      <c r="D566" s="7"/>
      <c r="F566" s="7"/>
      <c r="H566" s="7"/>
      <c r="J566" s="7"/>
      <c r="L566" s="7"/>
      <c r="N566" s="7"/>
      <c r="P566" s="7"/>
      <c r="R566" s="7"/>
      <c r="T566" s="7"/>
      <c r="V566" s="7"/>
      <c r="X566" s="7"/>
    </row>
    <row r="567" spans="2:24">
      <c r="B567" s="7"/>
      <c r="D567" s="7"/>
      <c r="F567" s="7"/>
      <c r="H567" s="7"/>
      <c r="J567" s="7"/>
      <c r="L567" s="7"/>
      <c r="N567" s="7"/>
      <c r="P567" s="7"/>
      <c r="R567" s="7"/>
      <c r="T567" s="7"/>
      <c r="V567" s="7"/>
      <c r="X567" s="7"/>
    </row>
    <row r="568" spans="2:24">
      <c r="B568" s="7"/>
      <c r="D568" s="7"/>
      <c r="F568" s="7"/>
      <c r="H568" s="7"/>
      <c r="J568" s="7"/>
      <c r="L568" s="7"/>
      <c r="N568" s="7"/>
      <c r="P568" s="7"/>
      <c r="R568" s="7"/>
      <c r="T568" s="7"/>
      <c r="V568" s="7"/>
      <c r="X568" s="7"/>
    </row>
    <row r="569" spans="2:24">
      <c r="B569" s="7"/>
      <c r="D569" s="7"/>
      <c r="F569" s="7"/>
      <c r="H569" s="7"/>
      <c r="J569" s="7"/>
      <c r="L569" s="7"/>
      <c r="N569" s="7"/>
      <c r="P569" s="7"/>
      <c r="R569" s="7"/>
      <c r="T569" s="7"/>
      <c r="V569" s="7"/>
      <c r="X569" s="7"/>
    </row>
    <row r="570" spans="2:24">
      <c r="B570" s="7"/>
      <c r="D570" s="7"/>
      <c r="F570" s="7"/>
      <c r="H570" s="7"/>
      <c r="J570" s="7"/>
      <c r="L570" s="7"/>
      <c r="N570" s="7"/>
      <c r="P570" s="7"/>
      <c r="R570" s="7"/>
      <c r="T570" s="7"/>
      <c r="V570" s="7"/>
      <c r="X570" s="7"/>
    </row>
    <row r="571" spans="2:24">
      <c r="B571" s="7"/>
      <c r="D571" s="7"/>
      <c r="F571" s="7"/>
      <c r="H571" s="7"/>
      <c r="J571" s="7"/>
      <c r="L571" s="7"/>
      <c r="N571" s="7"/>
      <c r="P571" s="7"/>
      <c r="R571" s="7"/>
      <c r="T571" s="7"/>
      <c r="V571" s="7"/>
      <c r="X571" s="7"/>
    </row>
    <row r="572" spans="2:24">
      <c r="B572" s="7"/>
      <c r="D572" s="7"/>
      <c r="F572" s="7"/>
      <c r="H572" s="7"/>
      <c r="J572" s="7"/>
      <c r="L572" s="7"/>
      <c r="N572" s="7"/>
      <c r="P572" s="7"/>
      <c r="R572" s="7"/>
      <c r="T572" s="7"/>
      <c r="V572" s="7"/>
      <c r="X572" s="7"/>
    </row>
    <row r="573" spans="2:24">
      <c r="B573" s="7"/>
      <c r="D573" s="7"/>
      <c r="F573" s="7"/>
      <c r="H573" s="7"/>
      <c r="J573" s="7"/>
      <c r="L573" s="7"/>
      <c r="N573" s="7"/>
      <c r="P573" s="7"/>
      <c r="R573" s="7"/>
      <c r="T573" s="7"/>
      <c r="V573" s="7"/>
      <c r="X573" s="7"/>
    </row>
    <row r="574" spans="2:24">
      <c r="B574" s="7"/>
      <c r="D574" s="7"/>
      <c r="F574" s="7"/>
      <c r="H574" s="7"/>
      <c r="J574" s="7"/>
      <c r="L574" s="7"/>
      <c r="N574" s="7"/>
      <c r="P574" s="7"/>
      <c r="R574" s="7"/>
      <c r="T574" s="7"/>
      <c r="V574" s="7"/>
      <c r="X574" s="7"/>
    </row>
    <row r="575" spans="2:24">
      <c r="B575" s="7"/>
      <c r="D575" s="7"/>
      <c r="F575" s="7"/>
      <c r="H575" s="7"/>
      <c r="J575" s="7"/>
      <c r="L575" s="7"/>
      <c r="N575" s="7"/>
      <c r="P575" s="7"/>
      <c r="R575" s="7"/>
      <c r="T575" s="7"/>
      <c r="V575" s="7"/>
      <c r="X575" s="7"/>
    </row>
    <row r="576" spans="2:24">
      <c r="B576" s="7"/>
      <c r="D576" s="7"/>
      <c r="F576" s="7"/>
      <c r="H576" s="7"/>
      <c r="J576" s="7"/>
      <c r="L576" s="7"/>
      <c r="N576" s="7"/>
      <c r="P576" s="7"/>
      <c r="R576" s="7"/>
      <c r="T576" s="7"/>
      <c r="V576" s="7"/>
      <c r="X576" s="7"/>
    </row>
    <row r="577" spans="2:24">
      <c r="B577" s="7"/>
      <c r="D577" s="7"/>
      <c r="F577" s="7"/>
      <c r="H577" s="7"/>
      <c r="J577" s="7"/>
      <c r="L577" s="7"/>
      <c r="N577" s="7"/>
      <c r="P577" s="7"/>
      <c r="R577" s="7"/>
      <c r="T577" s="7"/>
      <c r="V577" s="7"/>
      <c r="X577" s="7"/>
    </row>
    <row r="578" spans="2:24">
      <c r="B578" s="7"/>
      <c r="D578" s="7"/>
      <c r="F578" s="7"/>
      <c r="H578" s="7"/>
      <c r="J578" s="7"/>
      <c r="L578" s="7"/>
      <c r="N578" s="7"/>
      <c r="P578" s="7"/>
      <c r="R578" s="7"/>
      <c r="T578" s="7"/>
      <c r="V578" s="7"/>
      <c r="X578" s="7"/>
    </row>
    <row r="579" spans="2:24">
      <c r="B579" s="7"/>
      <c r="D579" s="7"/>
      <c r="F579" s="7"/>
      <c r="H579" s="7"/>
      <c r="J579" s="7"/>
      <c r="L579" s="7"/>
      <c r="N579" s="7"/>
      <c r="P579" s="7"/>
      <c r="R579" s="7"/>
      <c r="T579" s="7"/>
      <c r="V579" s="7"/>
      <c r="X579" s="7"/>
    </row>
    <row r="580" spans="2:24">
      <c r="B580" s="7"/>
      <c r="D580" s="7"/>
      <c r="F580" s="7"/>
      <c r="H580" s="7"/>
      <c r="J580" s="7"/>
      <c r="L580" s="7"/>
      <c r="N580" s="7"/>
      <c r="P580" s="7"/>
      <c r="R580" s="7"/>
      <c r="T580" s="7"/>
      <c r="V580" s="7"/>
      <c r="X580" s="7"/>
    </row>
    <row r="581" spans="2:24">
      <c r="B581" s="7"/>
      <c r="D581" s="7"/>
      <c r="F581" s="7"/>
      <c r="H581" s="7"/>
      <c r="J581" s="7"/>
      <c r="L581" s="7"/>
      <c r="N581" s="7"/>
      <c r="P581" s="7"/>
      <c r="R581" s="7"/>
      <c r="T581" s="7"/>
      <c r="V581" s="7"/>
      <c r="X581" s="7"/>
    </row>
    <row r="582" spans="2:24">
      <c r="B582" s="7"/>
      <c r="D582" s="7"/>
      <c r="F582" s="7"/>
      <c r="H582" s="7"/>
      <c r="J582" s="7"/>
      <c r="L582" s="7"/>
      <c r="N582" s="7"/>
      <c r="P582" s="7"/>
      <c r="R582" s="7"/>
      <c r="T582" s="7"/>
      <c r="V582" s="7"/>
      <c r="X582" s="7"/>
    </row>
    <row r="583" spans="2:24">
      <c r="B583" s="7"/>
      <c r="D583" s="7"/>
      <c r="F583" s="7"/>
      <c r="H583" s="7"/>
      <c r="J583" s="7"/>
      <c r="L583" s="7"/>
      <c r="N583" s="7"/>
      <c r="P583" s="7"/>
      <c r="R583" s="7"/>
      <c r="T583" s="7"/>
      <c r="V583" s="7"/>
      <c r="X583" s="7"/>
    </row>
    <row r="584" spans="2:24">
      <c r="B584" s="7"/>
      <c r="D584" s="7"/>
      <c r="F584" s="7"/>
      <c r="H584" s="7"/>
      <c r="J584" s="7"/>
      <c r="L584" s="7"/>
      <c r="N584" s="7"/>
      <c r="P584" s="7"/>
      <c r="R584" s="7"/>
      <c r="T584" s="7"/>
      <c r="V584" s="7"/>
      <c r="X584" s="7"/>
    </row>
    <row r="585" spans="2:24">
      <c r="B585" s="7"/>
      <c r="D585" s="7"/>
      <c r="F585" s="7"/>
      <c r="H585" s="7"/>
      <c r="J585" s="7"/>
      <c r="L585" s="7"/>
      <c r="N585" s="7"/>
      <c r="P585" s="7"/>
      <c r="R585" s="7"/>
      <c r="T585" s="7"/>
      <c r="V585" s="7"/>
      <c r="X585" s="7"/>
    </row>
    <row r="586" spans="2:24">
      <c r="B586" s="7"/>
      <c r="D586" s="7"/>
      <c r="F586" s="7"/>
      <c r="H586" s="7"/>
      <c r="J586" s="7"/>
      <c r="L586" s="7"/>
      <c r="N586" s="7"/>
      <c r="P586" s="7"/>
      <c r="R586" s="7"/>
      <c r="T586" s="7"/>
      <c r="V586" s="7"/>
      <c r="X586" s="7"/>
    </row>
    <row r="587" spans="2:24">
      <c r="B587" s="7"/>
      <c r="D587" s="7"/>
      <c r="F587" s="7"/>
      <c r="H587" s="7"/>
      <c r="J587" s="7"/>
      <c r="L587" s="7"/>
      <c r="N587" s="7"/>
      <c r="P587" s="7"/>
      <c r="R587" s="7"/>
      <c r="T587" s="7"/>
      <c r="V587" s="7"/>
      <c r="X587" s="7"/>
    </row>
    <row r="588" spans="2:24">
      <c r="B588" s="7"/>
      <c r="D588" s="7"/>
      <c r="F588" s="7"/>
      <c r="H588" s="7"/>
      <c r="J588" s="7"/>
      <c r="L588" s="7"/>
      <c r="N588" s="7"/>
      <c r="P588" s="7"/>
      <c r="R588" s="7"/>
      <c r="T588" s="7"/>
      <c r="V588" s="7"/>
      <c r="X588" s="7"/>
    </row>
    <row r="589" spans="2:24">
      <c r="B589" s="7"/>
      <c r="D589" s="7"/>
      <c r="F589" s="7"/>
      <c r="H589" s="7"/>
      <c r="J589" s="7"/>
      <c r="L589" s="7"/>
      <c r="N589" s="7"/>
      <c r="P589" s="7"/>
      <c r="R589" s="7"/>
      <c r="T589" s="7"/>
      <c r="V589" s="7"/>
      <c r="X589" s="7"/>
    </row>
    <row r="590" spans="2:24">
      <c r="B590" s="7"/>
      <c r="D590" s="7"/>
      <c r="F590" s="7"/>
      <c r="H590" s="7"/>
      <c r="J590" s="7"/>
      <c r="L590" s="7"/>
      <c r="N590" s="7"/>
      <c r="P590" s="7"/>
      <c r="R590" s="7"/>
      <c r="T590" s="7"/>
      <c r="V590" s="7"/>
      <c r="X590" s="7"/>
    </row>
    <row r="591" spans="2:24">
      <c r="B591" s="7"/>
      <c r="D591" s="7"/>
      <c r="F591" s="7"/>
      <c r="H591" s="7"/>
      <c r="J591" s="7"/>
      <c r="L591" s="7"/>
      <c r="N591" s="7"/>
      <c r="P591" s="7"/>
      <c r="R591" s="7"/>
      <c r="T591" s="7"/>
      <c r="V591" s="7"/>
      <c r="X591" s="7"/>
    </row>
    <row r="592" spans="2:24">
      <c r="B592" s="7"/>
      <c r="D592" s="7"/>
      <c r="F592" s="7"/>
      <c r="H592" s="7"/>
      <c r="J592" s="7"/>
      <c r="L592" s="7"/>
      <c r="N592" s="7"/>
      <c r="P592" s="7"/>
      <c r="R592" s="7"/>
      <c r="T592" s="7"/>
      <c r="V592" s="7"/>
      <c r="X592" s="7"/>
    </row>
    <row r="593" spans="2:24">
      <c r="B593" s="7"/>
      <c r="D593" s="7"/>
      <c r="F593" s="7"/>
      <c r="H593" s="7"/>
      <c r="J593" s="7"/>
      <c r="L593" s="7"/>
      <c r="N593" s="7"/>
      <c r="P593" s="7"/>
      <c r="R593" s="7"/>
      <c r="T593" s="7"/>
      <c r="V593" s="7"/>
      <c r="X593" s="7"/>
    </row>
    <row r="594" spans="2:24">
      <c r="B594" s="7"/>
      <c r="D594" s="7"/>
      <c r="F594" s="7"/>
      <c r="H594" s="7"/>
      <c r="J594" s="7"/>
      <c r="L594" s="7"/>
      <c r="N594" s="7"/>
      <c r="P594" s="7"/>
      <c r="R594" s="7"/>
      <c r="T594" s="7"/>
      <c r="V594" s="7"/>
      <c r="X594" s="7"/>
    </row>
    <row r="595" spans="2:24">
      <c r="B595" s="7"/>
      <c r="D595" s="7"/>
      <c r="F595" s="7"/>
      <c r="H595" s="7"/>
      <c r="J595" s="7"/>
      <c r="L595" s="7"/>
      <c r="N595" s="7"/>
      <c r="P595" s="7"/>
      <c r="R595" s="7"/>
      <c r="T595" s="7"/>
      <c r="V595" s="7"/>
      <c r="X595" s="7"/>
    </row>
    <row r="596" spans="2:24">
      <c r="B596" s="7"/>
      <c r="D596" s="7"/>
      <c r="F596" s="7"/>
      <c r="H596" s="7"/>
      <c r="J596" s="7"/>
      <c r="L596" s="7"/>
      <c r="N596" s="7"/>
      <c r="P596" s="7"/>
      <c r="R596" s="7"/>
      <c r="T596" s="7"/>
      <c r="V596" s="7"/>
      <c r="X596" s="7"/>
    </row>
    <row r="597" spans="2:24">
      <c r="B597" s="7"/>
      <c r="D597" s="7"/>
      <c r="F597" s="7"/>
      <c r="H597" s="7"/>
      <c r="J597" s="7"/>
      <c r="L597" s="7"/>
      <c r="N597" s="7"/>
      <c r="P597" s="7"/>
      <c r="R597" s="7"/>
      <c r="T597" s="7"/>
      <c r="V597" s="7"/>
      <c r="X597" s="7"/>
    </row>
    <row r="598" spans="2:24">
      <c r="B598" s="7"/>
      <c r="D598" s="7"/>
      <c r="F598" s="7"/>
      <c r="H598" s="7"/>
      <c r="J598" s="7"/>
      <c r="L598" s="7"/>
      <c r="N598" s="7"/>
      <c r="P598" s="7"/>
      <c r="R598" s="7"/>
      <c r="T598" s="7"/>
      <c r="V598" s="7"/>
      <c r="X598" s="7"/>
    </row>
    <row r="599" spans="2:24">
      <c r="B599" s="7"/>
      <c r="D599" s="7"/>
      <c r="F599" s="7"/>
      <c r="H599" s="7"/>
      <c r="J599" s="7"/>
      <c r="L599" s="7"/>
      <c r="N599" s="7"/>
      <c r="P599" s="7"/>
      <c r="R599" s="7"/>
      <c r="T599" s="7"/>
      <c r="V599" s="7"/>
      <c r="X599" s="7"/>
    </row>
    <row r="600" spans="2:24">
      <c r="B600" s="7"/>
      <c r="D600" s="7"/>
      <c r="F600" s="7"/>
      <c r="H600" s="7"/>
      <c r="J600" s="7"/>
      <c r="L600" s="7"/>
      <c r="N600" s="7"/>
      <c r="P600" s="7"/>
      <c r="R600" s="7"/>
      <c r="T600" s="7"/>
      <c r="V600" s="7"/>
      <c r="X600" s="7"/>
    </row>
    <row r="601" spans="2:24">
      <c r="B601" s="7"/>
      <c r="D601" s="7"/>
      <c r="F601" s="7"/>
      <c r="H601" s="7"/>
      <c r="J601" s="7"/>
      <c r="L601" s="7"/>
      <c r="N601" s="7"/>
      <c r="P601" s="7"/>
      <c r="R601" s="7"/>
      <c r="T601" s="7"/>
      <c r="V601" s="7"/>
      <c r="X601" s="7"/>
    </row>
    <row r="602" spans="2:24">
      <c r="B602" s="7"/>
      <c r="D602" s="7"/>
      <c r="F602" s="7"/>
      <c r="H602" s="7"/>
      <c r="J602" s="7"/>
      <c r="L602" s="7"/>
      <c r="N602" s="7"/>
      <c r="P602" s="7"/>
      <c r="R602" s="7"/>
      <c r="T602" s="7"/>
      <c r="V602" s="7"/>
      <c r="X602" s="7"/>
    </row>
    <row r="603" spans="2:24">
      <c r="B603" s="7"/>
      <c r="D603" s="7"/>
      <c r="F603" s="7"/>
      <c r="H603" s="7"/>
      <c r="J603" s="7"/>
      <c r="L603" s="7"/>
      <c r="N603" s="7"/>
      <c r="P603" s="7"/>
      <c r="R603" s="7"/>
      <c r="T603" s="7"/>
      <c r="V603" s="7"/>
      <c r="X603" s="7"/>
    </row>
    <row r="604" spans="2:24">
      <c r="B604" s="7"/>
      <c r="D604" s="7"/>
      <c r="F604" s="7"/>
      <c r="H604" s="7"/>
      <c r="J604" s="7"/>
      <c r="L604" s="7"/>
      <c r="N604" s="7"/>
      <c r="P604" s="7"/>
      <c r="R604" s="7"/>
      <c r="T604" s="7"/>
      <c r="V604" s="7"/>
      <c r="X604" s="7"/>
    </row>
    <row r="605" spans="2:24">
      <c r="B605" s="7"/>
      <c r="D605" s="7"/>
      <c r="F605" s="7"/>
      <c r="H605" s="7"/>
      <c r="J605" s="7"/>
      <c r="L605" s="7"/>
      <c r="N605" s="7"/>
      <c r="P605" s="7"/>
      <c r="R605" s="7"/>
      <c r="T605" s="7"/>
      <c r="V605" s="7"/>
      <c r="X605" s="7"/>
    </row>
    <row r="606" spans="2:24">
      <c r="B606" s="7"/>
      <c r="D606" s="7"/>
      <c r="F606" s="7"/>
      <c r="H606" s="7"/>
      <c r="J606" s="7"/>
      <c r="L606" s="7"/>
      <c r="N606" s="7"/>
      <c r="P606" s="7"/>
      <c r="R606" s="7"/>
      <c r="T606" s="7"/>
      <c r="V606" s="7"/>
      <c r="X606" s="7"/>
    </row>
    <row r="607" spans="2:24">
      <c r="B607" s="7"/>
      <c r="D607" s="7"/>
      <c r="F607" s="7"/>
      <c r="H607" s="7"/>
      <c r="J607" s="7"/>
      <c r="L607" s="7"/>
      <c r="N607" s="7"/>
      <c r="P607" s="7"/>
      <c r="R607" s="7"/>
      <c r="T607" s="7"/>
      <c r="V607" s="7"/>
      <c r="X607" s="7"/>
    </row>
    <row r="608" spans="2:24">
      <c r="B608" s="7"/>
      <c r="D608" s="7"/>
      <c r="F608" s="7"/>
      <c r="H608" s="7"/>
      <c r="J608" s="7"/>
      <c r="L608" s="7"/>
      <c r="N608" s="7"/>
      <c r="P608" s="7"/>
      <c r="R608" s="7"/>
      <c r="T608" s="7"/>
      <c r="V608" s="7"/>
      <c r="X608" s="7"/>
    </row>
    <row r="609" spans="2:24">
      <c r="B609" s="7"/>
      <c r="D609" s="7"/>
      <c r="F609" s="7"/>
      <c r="H609" s="7"/>
      <c r="J609" s="7"/>
      <c r="L609" s="7"/>
      <c r="N609" s="7"/>
      <c r="P609" s="7"/>
      <c r="R609" s="7"/>
      <c r="T609" s="7"/>
      <c r="V609" s="7"/>
      <c r="X609" s="7"/>
    </row>
    <row r="610" spans="2:24">
      <c r="B610" s="7"/>
      <c r="D610" s="7"/>
      <c r="F610" s="7"/>
      <c r="H610" s="7"/>
      <c r="J610" s="7"/>
      <c r="L610" s="7"/>
      <c r="N610" s="7"/>
      <c r="P610" s="7"/>
      <c r="R610" s="7"/>
      <c r="T610" s="7"/>
      <c r="V610" s="7"/>
      <c r="X610" s="7"/>
    </row>
    <row r="611" spans="2:24">
      <c r="B611" s="7"/>
      <c r="D611" s="7"/>
      <c r="F611" s="7"/>
      <c r="H611" s="7"/>
      <c r="J611" s="7"/>
      <c r="L611" s="7"/>
      <c r="N611" s="7"/>
      <c r="P611" s="7"/>
      <c r="R611" s="7"/>
      <c r="T611" s="7"/>
      <c r="V611" s="7"/>
      <c r="X611" s="7"/>
    </row>
    <row r="612" spans="2:24">
      <c r="B612" s="7"/>
      <c r="D612" s="7"/>
      <c r="F612" s="7"/>
      <c r="H612" s="7"/>
      <c r="J612" s="7"/>
      <c r="L612" s="7"/>
      <c r="N612" s="7"/>
      <c r="P612" s="7"/>
      <c r="R612" s="7"/>
      <c r="T612" s="7"/>
      <c r="V612" s="7"/>
      <c r="X612" s="7"/>
    </row>
    <row r="613" spans="2:24">
      <c r="B613" s="7"/>
      <c r="D613" s="7"/>
      <c r="F613" s="7"/>
      <c r="H613" s="7"/>
      <c r="J613" s="7"/>
      <c r="L613" s="7"/>
      <c r="N613" s="7"/>
      <c r="P613" s="7"/>
      <c r="R613" s="7"/>
      <c r="T613" s="7"/>
      <c r="V613" s="7"/>
      <c r="X613" s="7"/>
    </row>
    <row r="614" spans="2:24">
      <c r="B614" s="7"/>
      <c r="D614" s="7"/>
      <c r="F614" s="7"/>
      <c r="H614" s="7"/>
      <c r="J614" s="7"/>
      <c r="L614" s="7"/>
      <c r="N614" s="7"/>
      <c r="P614" s="7"/>
      <c r="R614" s="7"/>
      <c r="T614" s="7"/>
      <c r="V614" s="7"/>
      <c r="X614" s="7"/>
    </row>
    <row r="615" spans="2:24">
      <c r="B615" s="7"/>
      <c r="D615" s="7"/>
      <c r="F615" s="7"/>
      <c r="H615" s="7"/>
      <c r="J615" s="7"/>
      <c r="L615" s="7"/>
      <c r="N615" s="7"/>
      <c r="P615" s="7"/>
      <c r="R615" s="7"/>
      <c r="T615" s="7"/>
      <c r="V615" s="7"/>
      <c r="X615" s="7"/>
    </row>
    <row r="616" spans="2:24">
      <c r="B616" s="7"/>
      <c r="D616" s="7"/>
      <c r="F616" s="7"/>
      <c r="H616" s="7"/>
      <c r="J616" s="7"/>
      <c r="L616" s="7"/>
      <c r="N616" s="7"/>
      <c r="P616" s="7"/>
      <c r="R616" s="7"/>
      <c r="T616" s="7"/>
      <c r="V616" s="7"/>
      <c r="X616" s="7"/>
    </row>
    <row r="617" spans="2:24">
      <c r="B617" s="7"/>
      <c r="D617" s="7"/>
      <c r="F617" s="7"/>
      <c r="H617" s="7"/>
      <c r="J617" s="7"/>
      <c r="L617" s="7"/>
      <c r="N617" s="7"/>
      <c r="P617" s="7"/>
      <c r="R617" s="7"/>
      <c r="T617" s="7"/>
      <c r="V617" s="7"/>
      <c r="X617" s="7"/>
    </row>
    <row r="618" spans="2:24">
      <c r="B618" s="7"/>
      <c r="D618" s="7"/>
      <c r="F618" s="7"/>
      <c r="H618" s="7"/>
      <c r="J618" s="7"/>
      <c r="L618" s="7"/>
      <c r="N618" s="7"/>
      <c r="P618" s="7"/>
      <c r="R618" s="7"/>
      <c r="T618" s="7"/>
      <c r="V618" s="7"/>
      <c r="X618" s="7"/>
    </row>
    <row r="619" spans="2:24">
      <c r="B619" s="7"/>
      <c r="D619" s="7"/>
      <c r="F619" s="7"/>
      <c r="H619" s="7"/>
      <c r="J619" s="7"/>
      <c r="L619" s="7"/>
      <c r="N619" s="7"/>
      <c r="P619" s="7"/>
      <c r="R619" s="7"/>
      <c r="T619" s="7"/>
      <c r="V619" s="7"/>
      <c r="X619" s="7"/>
    </row>
    <row r="620" spans="2:24">
      <c r="B620" s="7"/>
      <c r="D620" s="7"/>
      <c r="F620" s="7"/>
      <c r="H620" s="7"/>
      <c r="J620" s="7"/>
      <c r="L620" s="7"/>
      <c r="N620" s="7"/>
      <c r="P620" s="7"/>
      <c r="R620" s="7"/>
      <c r="T620" s="7"/>
      <c r="V620" s="7"/>
      <c r="X620" s="7"/>
    </row>
    <row r="621" spans="2:24">
      <c r="B621" s="7"/>
      <c r="D621" s="7"/>
      <c r="F621" s="7"/>
      <c r="H621" s="7"/>
      <c r="J621" s="7"/>
      <c r="L621" s="7"/>
      <c r="N621" s="7"/>
      <c r="P621" s="7"/>
      <c r="R621" s="7"/>
      <c r="T621" s="7"/>
      <c r="V621" s="7"/>
      <c r="X621" s="7"/>
    </row>
    <row r="622" spans="2:24">
      <c r="B622" s="7"/>
      <c r="D622" s="7"/>
      <c r="F622" s="7"/>
      <c r="H622" s="7"/>
      <c r="J622" s="7"/>
      <c r="L622" s="7"/>
      <c r="N622" s="7"/>
      <c r="P622" s="7"/>
      <c r="R622" s="7"/>
      <c r="T622" s="7"/>
      <c r="V622" s="7"/>
      <c r="X622" s="7"/>
    </row>
    <row r="623" spans="2:24">
      <c r="B623" s="7"/>
      <c r="D623" s="7"/>
      <c r="F623" s="7"/>
      <c r="H623" s="7"/>
      <c r="J623" s="7"/>
      <c r="L623" s="7"/>
      <c r="N623" s="7"/>
      <c r="P623" s="7"/>
      <c r="R623" s="7"/>
      <c r="T623" s="7"/>
      <c r="V623" s="7"/>
      <c r="X623" s="7"/>
    </row>
    <row r="624" spans="2:24">
      <c r="B624" s="7"/>
      <c r="D624" s="7"/>
      <c r="F624" s="7"/>
      <c r="H624" s="7"/>
      <c r="J624" s="7"/>
      <c r="L624" s="7"/>
      <c r="N624" s="7"/>
      <c r="P624" s="7"/>
      <c r="R624" s="7"/>
      <c r="T624" s="7"/>
      <c r="V624" s="7"/>
      <c r="X624" s="7"/>
    </row>
    <row r="625" spans="2:24">
      <c r="B625" s="7"/>
      <c r="D625" s="7"/>
      <c r="F625" s="7"/>
      <c r="H625" s="7"/>
      <c r="J625" s="7"/>
      <c r="L625" s="7"/>
      <c r="N625" s="7"/>
      <c r="P625" s="7"/>
      <c r="R625" s="7"/>
      <c r="T625" s="7"/>
      <c r="V625" s="7"/>
      <c r="X625" s="7"/>
    </row>
    <row r="626" spans="2:24">
      <c r="B626" s="7"/>
      <c r="D626" s="7"/>
      <c r="F626" s="7"/>
      <c r="H626" s="7"/>
      <c r="J626" s="7"/>
      <c r="L626" s="7"/>
      <c r="N626" s="7"/>
      <c r="P626" s="7"/>
      <c r="R626" s="7"/>
      <c r="T626" s="7"/>
      <c r="V626" s="7"/>
      <c r="X626" s="7"/>
    </row>
    <row r="627" spans="2:24">
      <c r="B627" s="7"/>
      <c r="D627" s="7"/>
      <c r="F627" s="7"/>
      <c r="H627" s="7"/>
      <c r="J627" s="7"/>
      <c r="L627" s="7"/>
      <c r="N627" s="7"/>
      <c r="P627" s="7"/>
      <c r="R627" s="7"/>
      <c r="T627" s="7"/>
      <c r="V627" s="7"/>
      <c r="X627" s="7"/>
    </row>
    <row r="628" spans="2:24">
      <c r="B628" s="7"/>
      <c r="D628" s="7"/>
      <c r="F628" s="7"/>
      <c r="H628" s="7"/>
      <c r="J628" s="7"/>
      <c r="L628" s="7"/>
      <c r="N628" s="7"/>
      <c r="P628" s="7"/>
      <c r="R628" s="7"/>
      <c r="T628" s="7"/>
      <c r="V628" s="7"/>
      <c r="X628" s="7"/>
    </row>
    <row r="629" spans="2:24">
      <c r="B629" s="7"/>
      <c r="D629" s="7"/>
      <c r="F629" s="7"/>
      <c r="H629" s="7"/>
      <c r="J629" s="7"/>
      <c r="L629" s="7"/>
      <c r="N629" s="7"/>
      <c r="P629" s="7"/>
      <c r="R629" s="7"/>
      <c r="T629" s="7"/>
      <c r="V629" s="7"/>
      <c r="X629" s="7"/>
    </row>
    <row r="630" spans="2:24">
      <c r="B630" s="7"/>
      <c r="D630" s="7"/>
      <c r="F630" s="7"/>
      <c r="H630" s="7"/>
      <c r="J630" s="7"/>
      <c r="L630" s="7"/>
      <c r="N630" s="7"/>
      <c r="P630" s="7"/>
      <c r="R630" s="7"/>
      <c r="T630" s="7"/>
      <c r="V630" s="7"/>
      <c r="X630" s="7"/>
    </row>
    <row r="631" spans="2:24">
      <c r="B631" s="7"/>
      <c r="D631" s="7"/>
      <c r="F631" s="7"/>
      <c r="H631" s="7"/>
      <c r="J631" s="7"/>
      <c r="L631" s="7"/>
      <c r="N631" s="7"/>
      <c r="P631" s="7"/>
      <c r="R631" s="7"/>
      <c r="T631" s="7"/>
      <c r="V631" s="7"/>
      <c r="X631" s="7"/>
    </row>
    <row r="632" spans="2:24">
      <c r="B632" s="7"/>
      <c r="D632" s="7"/>
      <c r="F632" s="7"/>
      <c r="H632" s="7"/>
      <c r="J632" s="7"/>
      <c r="L632" s="7"/>
      <c r="N632" s="7"/>
      <c r="P632" s="7"/>
      <c r="R632" s="7"/>
      <c r="T632" s="7"/>
      <c r="V632" s="7"/>
      <c r="X632" s="7"/>
    </row>
    <row r="633" spans="2:24">
      <c r="B633" s="7"/>
      <c r="D633" s="7"/>
      <c r="F633" s="7"/>
      <c r="H633" s="7"/>
      <c r="J633" s="7"/>
      <c r="L633" s="7"/>
      <c r="N633" s="7"/>
      <c r="P633" s="7"/>
      <c r="R633" s="7"/>
      <c r="T633" s="7"/>
      <c r="V633" s="7"/>
      <c r="X633" s="7"/>
    </row>
    <row r="634" spans="2:24">
      <c r="B634" s="7"/>
      <c r="D634" s="7"/>
      <c r="F634" s="7"/>
      <c r="H634" s="7"/>
      <c r="J634" s="7"/>
      <c r="L634" s="7"/>
      <c r="N634" s="7"/>
      <c r="P634" s="7"/>
      <c r="R634" s="7"/>
      <c r="T634" s="7"/>
      <c r="V634" s="7"/>
      <c r="X634" s="7"/>
    </row>
    <row r="635" spans="2:24">
      <c r="B635" s="7"/>
      <c r="D635" s="7"/>
      <c r="F635" s="7"/>
      <c r="H635" s="7"/>
      <c r="J635" s="7"/>
      <c r="L635" s="7"/>
      <c r="N635" s="7"/>
      <c r="P635" s="7"/>
      <c r="R635" s="7"/>
      <c r="T635" s="7"/>
      <c r="V635" s="7"/>
      <c r="X635" s="7"/>
    </row>
    <row r="636" spans="2:24">
      <c r="B636" s="7"/>
      <c r="D636" s="7"/>
      <c r="F636" s="7"/>
      <c r="H636" s="7"/>
      <c r="J636" s="7"/>
      <c r="L636" s="7"/>
      <c r="N636" s="7"/>
      <c r="P636" s="7"/>
      <c r="R636" s="7"/>
      <c r="T636" s="7"/>
      <c r="V636" s="7"/>
      <c r="X636" s="7"/>
    </row>
    <row r="637" spans="2:24">
      <c r="B637" s="7"/>
      <c r="D637" s="7"/>
      <c r="F637" s="7"/>
      <c r="H637" s="7"/>
      <c r="J637" s="7"/>
      <c r="L637" s="7"/>
      <c r="N637" s="7"/>
      <c r="P637" s="7"/>
      <c r="R637" s="7"/>
      <c r="T637" s="7"/>
      <c r="V637" s="7"/>
      <c r="X637" s="7"/>
    </row>
    <row r="638" spans="2:24">
      <c r="B638" s="7"/>
      <c r="D638" s="7"/>
      <c r="F638" s="7"/>
      <c r="H638" s="7"/>
      <c r="J638" s="7"/>
      <c r="L638" s="7"/>
      <c r="N638" s="7"/>
      <c r="P638" s="7"/>
      <c r="R638" s="7"/>
      <c r="T638" s="7"/>
      <c r="V638" s="7"/>
      <c r="X638" s="7"/>
    </row>
    <row r="639" spans="2:24">
      <c r="B639" s="7"/>
      <c r="D639" s="7"/>
      <c r="F639" s="7"/>
      <c r="H639" s="7"/>
      <c r="J639" s="7"/>
      <c r="L639" s="7"/>
      <c r="N639" s="7"/>
      <c r="P639" s="7"/>
      <c r="R639" s="7"/>
      <c r="T639" s="7"/>
      <c r="V639" s="7"/>
      <c r="X639" s="7"/>
    </row>
    <row r="640" spans="2:24">
      <c r="B640" s="7"/>
      <c r="D640" s="7"/>
      <c r="F640" s="7"/>
      <c r="H640" s="7"/>
      <c r="J640" s="7"/>
      <c r="L640" s="7"/>
      <c r="N640" s="7"/>
      <c r="P640" s="7"/>
      <c r="R640" s="7"/>
      <c r="T640" s="7"/>
      <c r="V640" s="7"/>
      <c r="X640" s="7"/>
    </row>
    <row r="641" spans="2:24">
      <c r="B641" s="7"/>
      <c r="D641" s="7"/>
      <c r="F641" s="7"/>
      <c r="H641" s="7"/>
      <c r="J641" s="7"/>
      <c r="L641" s="7"/>
      <c r="N641" s="7"/>
      <c r="P641" s="7"/>
      <c r="R641" s="7"/>
      <c r="T641" s="7"/>
      <c r="V641" s="7"/>
      <c r="X641" s="7"/>
    </row>
    <row r="642" spans="2:24">
      <c r="B642" s="7"/>
      <c r="D642" s="7"/>
      <c r="F642" s="7"/>
      <c r="H642" s="7"/>
      <c r="J642" s="7"/>
      <c r="L642" s="7"/>
      <c r="N642" s="7"/>
      <c r="P642" s="7"/>
      <c r="R642" s="7"/>
      <c r="T642" s="7"/>
      <c r="V642" s="7"/>
      <c r="X642" s="7"/>
    </row>
    <row r="643" spans="2:24">
      <c r="B643" s="7"/>
      <c r="D643" s="7"/>
      <c r="F643" s="7"/>
      <c r="H643" s="7"/>
      <c r="J643" s="7"/>
      <c r="L643" s="7"/>
      <c r="N643" s="7"/>
      <c r="P643" s="7"/>
      <c r="R643" s="7"/>
      <c r="T643" s="7"/>
      <c r="V643" s="7"/>
      <c r="X643" s="7"/>
    </row>
    <row r="644" spans="2:24">
      <c r="B644" s="7"/>
      <c r="D644" s="7"/>
      <c r="F644" s="7"/>
      <c r="H644" s="7"/>
      <c r="J644" s="7"/>
      <c r="L644" s="7"/>
      <c r="N644" s="7"/>
      <c r="P644" s="7"/>
      <c r="R644" s="7"/>
      <c r="T644" s="7"/>
      <c r="V644" s="7"/>
      <c r="X644" s="7"/>
    </row>
    <row r="645" spans="2:24">
      <c r="B645" s="7"/>
      <c r="D645" s="7"/>
      <c r="F645" s="7"/>
      <c r="H645" s="7"/>
      <c r="J645" s="7"/>
      <c r="L645" s="7"/>
      <c r="N645" s="7"/>
      <c r="P645" s="7"/>
      <c r="R645" s="7"/>
      <c r="T645" s="7"/>
      <c r="V645" s="7"/>
      <c r="X645" s="7"/>
    </row>
    <row r="646" spans="2:24">
      <c r="B646" s="7"/>
      <c r="D646" s="7"/>
      <c r="F646" s="7"/>
      <c r="H646" s="7"/>
      <c r="J646" s="7"/>
      <c r="L646" s="7"/>
      <c r="N646" s="7"/>
      <c r="P646" s="7"/>
      <c r="R646" s="7"/>
      <c r="T646" s="7"/>
      <c r="V646" s="7"/>
      <c r="X646" s="7"/>
    </row>
    <row r="647" spans="2:24">
      <c r="B647" s="7"/>
      <c r="D647" s="7"/>
      <c r="F647" s="7"/>
      <c r="H647" s="7"/>
      <c r="J647" s="7"/>
      <c r="L647" s="7"/>
      <c r="N647" s="7"/>
      <c r="P647" s="7"/>
      <c r="R647" s="7"/>
      <c r="T647" s="7"/>
      <c r="V647" s="7"/>
      <c r="X647" s="7"/>
    </row>
    <row r="648" spans="2:24">
      <c r="B648" s="7"/>
      <c r="D648" s="7"/>
      <c r="F648" s="7"/>
      <c r="H648" s="7"/>
      <c r="J648" s="7"/>
      <c r="L648" s="7"/>
      <c r="N648" s="7"/>
      <c r="P648" s="7"/>
      <c r="R648" s="7"/>
      <c r="T648" s="7"/>
      <c r="V648" s="7"/>
      <c r="X648" s="7"/>
    </row>
    <row r="649" spans="2:24">
      <c r="B649" s="7"/>
      <c r="D649" s="7"/>
      <c r="F649" s="7"/>
      <c r="H649" s="7"/>
      <c r="J649" s="7"/>
      <c r="L649" s="7"/>
      <c r="N649" s="7"/>
      <c r="P649" s="7"/>
      <c r="R649" s="7"/>
      <c r="T649" s="7"/>
      <c r="V649" s="7"/>
      <c r="X649" s="7"/>
    </row>
    <row r="650" spans="2:24">
      <c r="B650" s="7"/>
      <c r="D650" s="7"/>
      <c r="F650" s="7"/>
      <c r="H650" s="7"/>
      <c r="J650" s="7"/>
      <c r="L650" s="7"/>
      <c r="N650" s="7"/>
      <c r="P650" s="7"/>
      <c r="R650" s="7"/>
      <c r="T650" s="7"/>
      <c r="V650" s="7"/>
      <c r="X650" s="7"/>
    </row>
    <row r="651" spans="2:24">
      <c r="B651" s="7"/>
      <c r="D651" s="7"/>
      <c r="F651" s="7"/>
      <c r="H651" s="7"/>
      <c r="J651" s="7"/>
      <c r="L651" s="7"/>
      <c r="N651" s="7"/>
      <c r="P651" s="7"/>
      <c r="R651" s="7"/>
      <c r="T651" s="7"/>
      <c r="V651" s="7"/>
      <c r="X651" s="7"/>
    </row>
    <row r="652" spans="2:24">
      <c r="B652" s="7"/>
      <c r="D652" s="7"/>
      <c r="F652" s="7"/>
      <c r="H652" s="7"/>
      <c r="J652" s="7"/>
      <c r="L652" s="7"/>
      <c r="N652" s="7"/>
      <c r="P652" s="7"/>
      <c r="R652" s="7"/>
      <c r="T652" s="7"/>
      <c r="V652" s="7"/>
      <c r="X652" s="7"/>
    </row>
    <row r="653" spans="2:24">
      <c r="B653" s="7"/>
      <c r="D653" s="7"/>
      <c r="F653" s="7"/>
      <c r="H653" s="7"/>
      <c r="J653" s="7"/>
      <c r="L653" s="7"/>
      <c r="N653" s="7"/>
      <c r="P653" s="7"/>
      <c r="R653" s="7"/>
      <c r="T653" s="7"/>
      <c r="V653" s="7"/>
      <c r="X653" s="7"/>
    </row>
    <row r="654" spans="2:24">
      <c r="B654" s="7"/>
      <c r="D654" s="7"/>
      <c r="F654" s="7"/>
      <c r="H654" s="7"/>
      <c r="J654" s="7"/>
      <c r="L654" s="7"/>
      <c r="N654" s="7"/>
      <c r="P654" s="7"/>
      <c r="R654" s="7"/>
      <c r="T654" s="7"/>
      <c r="V654" s="7"/>
      <c r="X654" s="7"/>
    </row>
    <row r="655" spans="2:24">
      <c r="B655" s="7"/>
      <c r="D655" s="7"/>
      <c r="F655" s="7"/>
      <c r="H655" s="7"/>
      <c r="J655" s="7"/>
      <c r="L655" s="7"/>
      <c r="N655" s="7"/>
      <c r="P655" s="7"/>
      <c r="R655" s="7"/>
      <c r="T655" s="7"/>
      <c r="V655" s="7"/>
      <c r="X655" s="7"/>
    </row>
    <row r="656" spans="2:24">
      <c r="B656" s="7"/>
      <c r="D656" s="7"/>
      <c r="F656" s="7"/>
      <c r="H656" s="7"/>
      <c r="J656" s="7"/>
      <c r="L656" s="7"/>
      <c r="N656" s="7"/>
      <c r="P656" s="7"/>
      <c r="R656" s="7"/>
      <c r="T656" s="7"/>
      <c r="V656" s="7"/>
      <c r="X656" s="7"/>
    </row>
    <row r="657" spans="2:24">
      <c r="B657" s="7"/>
      <c r="D657" s="7"/>
      <c r="F657" s="7"/>
      <c r="H657" s="7"/>
      <c r="J657" s="7"/>
      <c r="L657" s="7"/>
      <c r="N657" s="7"/>
      <c r="P657" s="7"/>
      <c r="R657" s="7"/>
      <c r="T657" s="7"/>
      <c r="V657" s="7"/>
      <c r="X657" s="7"/>
    </row>
    <row r="658" spans="2:24">
      <c r="B658" s="7"/>
      <c r="D658" s="7"/>
      <c r="F658" s="7"/>
      <c r="H658" s="7"/>
      <c r="J658" s="7"/>
      <c r="L658" s="7"/>
      <c r="N658" s="7"/>
      <c r="P658" s="7"/>
      <c r="R658" s="7"/>
      <c r="T658" s="7"/>
      <c r="V658" s="7"/>
      <c r="X658" s="7"/>
    </row>
    <row r="659" spans="2:24">
      <c r="B659" s="7"/>
      <c r="D659" s="7"/>
      <c r="F659" s="7"/>
      <c r="H659" s="7"/>
      <c r="J659" s="7"/>
      <c r="L659" s="7"/>
      <c r="N659" s="7"/>
      <c r="P659" s="7"/>
      <c r="R659" s="7"/>
      <c r="T659" s="7"/>
      <c r="V659" s="7"/>
      <c r="X659" s="7"/>
    </row>
    <row r="660" spans="2:24">
      <c r="B660" s="7"/>
      <c r="D660" s="7"/>
      <c r="F660" s="7"/>
      <c r="H660" s="7"/>
      <c r="J660" s="7"/>
      <c r="L660" s="7"/>
      <c r="N660" s="7"/>
      <c r="P660" s="7"/>
      <c r="R660" s="7"/>
      <c r="T660" s="7"/>
      <c r="V660" s="7"/>
      <c r="X660" s="7"/>
    </row>
    <row r="661" spans="2:24">
      <c r="B661" s="7"/>
      <c r="D661" s="7"/>
      <c r="F661" s="7"/>
      <c r="H661" s="7"/>
      <c r="J661" s="7"/>
      <c r="L661" s="7"/>
      <c r="N661" s="7"/>
      <c r="P661" s="7"/>
      <c r="R661" s="7"/>
      <c r="T661" s="7"/>
      <c r="V661" s="7"/>
      <c r="X661" s="7"/>
    </row>
    <row r="662" spans="2:24">
      <c r="B662" s="7"/>
      <c r="D662" s="7"/>
      <c r="F662" s="7"/>
      <c r="H662" s="7"/>
      <c r="J662" s="7"/>
      <c r="L662" s="7"/>
      <c r="N662" s="7"/>
      <c r="P662" s="7"/>
      <c r="R662" s="7"/>
      <c r="T662" s="7"/>
      <c r="V662" s="7"/>
      <c r="X662" s="7"/>
    </row>
    <row r="663" spans="2:24">
      <c r="B663" s="7"/>
      <c r="D663" s="7"/>
      <c r="F663" s="7"/>
      <c r="H663" s="7"/>
      <c r="J663" s="7"/>
      <c r="L663" s="7"/>
      <c r="N663" s="7"/>
      <c r="P663" s="7"/>
      <c r="R663" s="7"/>
      <c r="T663" s="7"/>
      <c r="V663" s="7"/>
      <c r="X663" s="7"/>
    </row>
    <row r="664" spans="2:24">
      <c r="B664" s="7"/>
      <c r="D664" s="7"/>
      <c r="F664" s="7"/>
      <c r="H664" s="7"/>
      <c r="J664" s="7"/>
      <c r="L664" s="7"/>
      <c r="N664" s="7"/>
      <c r="P664" s="7"/>
      <c r="R664" s="7"/>
      <c r="T664" s="7"/>
      <c r="V664" s="7"/>
      <c r="X664" s="7"/>
    </row>
    <row r="665" spans="2:24">
      <c r="B665" s="7"/>
      <c r="D665" s="7"/>
      <c r="F665" s="7"/>
      <c r="H665" s="7"/>
      <c r="J665" s="7"/>
      <c r="L665" s="7"/>
      <c r="N665" s="7"/>
      <c r="P665" s="7"/>
      <c r="R665" s="7"/>
      <c r="T665" s="7"/>
      <c r="V665" s="7"/>
      <c r="X665" s="7"/>
    </row>
    <row r="666" spans="2:24">
      <c r="B666" s="7"/>
      <c r="D666" s="7"/>
      <c r="F666" s="7"/>
      <c r="H666" s="7"/>
      <c r="J666" s="7"/>
      <c r="L666" s="7"/>
      <c r="N666" s="7"/>
      <c r="P666" s="7"/>
      <c r="R666" s="7"/>
      <c r="T666" s="7"/>
      <c r="V666" s="7"/>
      <c r="X666" s="7"/>
    </row>
    <row r="667" spans="2:24">
      <c r="B667" s="7"/>
      <c r="D667" s="7"/>
      <c r="F667" s="7"/>
      <c r="H667" s="7"/>
      <c r="J667" s="7"/>
      <c r="L667" s="7"/>
      <c r="N667" s="7"/>
      <c r="P667" s="7"/>
      <c r="R667" s="7"/>
      <c r="T667" s="7"/>
      <c r="V667" s="7"/>
      <c r="X667" s="7"/>
    </row>
    <row r="668" spans="2:24">
      <c r="B668" s="7"/>
      <c r="D668" s="7"/>
      <c r="F668" s="7"/>
      <c r="H668" s="7"/>
      <c r="J668" s="7"/>
      <c r="L668" s="7"/>
      <c r="N668" s="7"/>
      <c r="P668" s="7"/>
      <c r="R668" s="7"/>
      <c r="T668" s="7"/>
      <c r="V668" s="7"/>
      <c r="X668" s="7"/>
    </row>
    <row r="669" spans="2:24">
      <c r="B669" s="7"/>
      <c r="D669" s="7"/>
      <c r="F669" s="7"/>
      <c r="H669" s="7"/>
      <c r="J669" s="7"/>
      <c r="L669" s="7"/>
      <c r="N669" s="7"/>
      <c r="P669" s="7"/>
      <c r="R669" s="7"/>
      <c r="T669" s="7"/>
      <c r="V669" s="7"/>
      <c r="X669" s="7"/>
    </row>
    <row r="670" spans="2:24">
      <c r="B670" s="7"/>
      <c r="D670" s="7"/>
      <c r="F670" s="7"/>
      <c r="H670" s="7"/>
      <c r="J670" s="7"/>
      <c r="L670" s="7"/>
      <c r="N670" s="7"/>
      <c r="P670" s="7"/>
      <c r="R670" s="7"/>
      <c r="T670" s="7"/>
      <c r="V670" s="7"/>
      <c r="X670" s="7"/>
    </row>
    <row r="671" spans="2:24">
      <c r="B671" s="7"/>
      <c r="D671" s="7"/>
      <c r="F671" s="7"/>
      <c r="H671" s="7"/>
      <c r="J671" s="7"/>
      <c r="L671" s="7"/>
      <c r="N671" s="7"/>
      <c r="P671" s="7"/>
      <c r="R671" s="7"/>
      <c r="T671" s="7"/>
      <c r="V671" s="7"/>
      <c r="X671" s="7"/>
    </row>
    <row r="672" spans="2:24">
      <c r="B672" s="7"/>
      <c r="D672" s="7"/>
      <c r="F672" s="7"/>
      <c r="H672" s="7"/>
      <c r="J672" s="7"/>
      <c r="L672" s="7"/>
      <c r="N672" s="7"/>
      <c r="P672" s="7"/>
      <c r="R672" s="7"/>
      <c r="T672" s="7"/>
      <c r="V672" s="7"/>
      <c r="X672" s="7"/>
    </row>
    <row r="673" spans="2:24">
      <c r="B673" s="7"/>
      <c r="D673" s="7"/>
      <c r="F673" s="7"/>
      <c r="H673" s="7"/>
      <c r="J673" s="7"/>
      <c r="L673" s="7"/>
      <c r="N673" s="7"/>
      <c r="P673" s="7"/>
      <c r="R673" s="7"/>
      <c r="T673" s="7"/>
      <c r="V673" s="7"/>
      <c r="X673" s="7"/>
    </row>
    <row r="674" spans="2:24">
      <c r="B674" s="7"/>
      <c r="D674" s="7"/>
      <c r="F674" s="7"/>
      <c r="H674" s="7"/>
      <c r="J674" s="7"/>
      <c r="L674" s="7"/>
      <c r="N674" s="7"/>
      <c r="P674" s="7"/>
      <c r="R674" s="7"/>
      <c r="T674" s="7"/>
      <c r="V674" s="7"/>
      <c r="X674" s="7"/>
    </row>
    <row r="675" spans="2:24">
      <c r="B675" s="7"/>
      <c r="D675" s="7"/>
      <c r="F675" s="7"/>
      <c r="H675" s="7"/>
      <c r="J675" s="7"/>
      <c r="L675" s="7"/>
      <c r="N675" s="7"/>
      <c r="P675" s="7"/>
      <c r="R675" s="7"/>
      <c r="T675" s="7"/>
      <c r="V675" s="7"/>
      <c r="X675" s="7"/>
    </row>
    <row r="676" spans="2:24">
      <c r="B676" s="7"/>
      <c r="D676" s="7"/>
      <c r="F676" s="7"/>
      <c r="H676" s="7"/>
      <c r="J676" s="7"/>
      <c r="L676" s="7"/>
      <c r="N676" s="7"/>
      <c r="P676" s="7"/>
      <c r="R676" s="7"/>
      <c r="T676" s="7"/>
      <c r="V676" s="7"/>
      <c r="X676" s="7"/>
    </row>
    <row r="677" spans="2:24">
      <c r="B677" s="7"/>
      <c r="D677" s="7"/>
      <c r="F677" s="7"/>
      <c r="H677" s="7"/>
      <c r="J677" s="7"/>
      <c r="L677" s="7"/>
      <c r="N677" s="7"/>
      <c r="P677" s="7"/>
      <c r="R677" s="7"/>
      <c r="T677" s="7"/>
      <c r="V677" s="7"/>
      <c r="X677" s="7"/>
    </row>
    <row r="678" spans="2:24">
      <c r="B678" s="7"/>
      <c r="D678" s="7"/>
      <c r="F678" s="7"/>
      <c r="H678" s="7"/>
      <c r="J678" s="7"/>
      <c r="L678" s="7"/>
      <c r="N678" s="7"/>
      <c r="P678" s="7"/>
      <c r="R678" s="7"/>
      <c r="T678" s="7"/>
      <c r="V678" s="7"/>
      <c r="X678" s="7"/>
    </row>
    <row r="679" spans="2:24">
      <c r="B679" s="7"/>
      <c r="D679" s="7"/>
      <c r="F679" s="7"/>
      <c r="H679" s="7"/>
      <c r="J679" s="7"/>
      <c r="L679" s="7"/>
      <c r="N679" s="7"/>
      <c r="P679" s="7"/>
      <c r="R679" s="7"/>
      <c r="T679" s="7"/>
      <c r="V679" s="7"/>
      <c r="X679" s="7"/>
    </row>
    <row r="680" spans="2:24">
      <c r="B680" s="7"/>
      <c r="D680" s="7"/>
      <c r="F680" s="7"/>
      <c r="H680" s="7"/>
      <c r="J680" s="7"/>
      <c r="L680" s="7"/>
      <c r="N680" s="7"/>
      <c r="P680" s="7"/>
      <c r="R680" s="7"/>
      <c r="T680" s="7"/>
      <c r="V680" s="7"/>
      <c r="X680" s="7"/>
    </row>
    <row r="681" spans="2:24">
      <c r="B681" s="7"/>
      <c r="D681" s="7"/>
      <c r="F681" s="7"/>
      <c r="H681" s="7"/>
      <c r="J681" s="7"/>
      <c r="L681" s="7"/>
      <c r="N681" s="7"/>
      <c r="P681" s="7"/>
      <c r="R681" s="7"/>
      <c r="T681" s="7"/>
      <c r="V681" s="7"/>
      <c r="X681" s="7"/>
    </row>
    <row r="682" spans="2:24">
      <c r="B682" s="7"/>
      <c r="D682" s="7"/>
      <c r="F682" s="7"/>
      <c r="H682" s="7"/>
      <c r="J682" s="7"/>
      <c r="L682" s="7"/>
      <c r="N682" s="7"/>
      <c r="P682" s="7"/>
      <c r="R682" s="7"/>
      <c r="T682" s="7"/>
      <c r="V682" s="7"/>
      <c r="X682" s="7"/>
    </row>
    <row r="683" spans="2:24">
      <c r="B683" s="7"/>
      <c r="D683" s="7"/>
      <c r="F683" s="7"/>
      <c r="H683" s="7"/>
      <c r="J683" s="7"/>
      <c r="L683" s="7"/>
      <c r="N683" s="7"/>
      <c r="P683" s="7"/>
      <c r="R683" s="7"/>
      <c r="T683" s="7"/>
      <c r="V683" s="7"/>
      <c r="X683" s="7"/>
    </row>
    <row r="684" spans="2:24">
      <c r="B684" s="7"/>
      <c r="D684" s="7"/>
      <c r="F684" s="7"/>
      <c r="H684" s="7"/>
      <c r="J684" s="7"/>
      <c r="L684" s="7"/>
      <c r="N684" s="7"/>
      <c r="P684" s="7"/>
      <c r="R684" s="7"/>
      <c r="T684" s="7"/>
      <c r="V684" s="7"/>
      <c r="X684" s="7"/>
    </row>
    <row r="685" spans="2:24">
      <c r="B685" s="7"/>
      <c r="D685" s="7"/>
      <c r="F685" s="7"/>
      <c r="H685" s="7"/>
      <c r="J685" s="7"/>
      <c r="L685" s="7"/>
      <c r="N685" s="7"/>
      <c r="P685" s="7"/>
      <c r="R685" s="7"/>
      <c r="T685" s="7"/>
      <c r="V685" s="7"/>
      <c r="X685" s="7"/>
    </row>
    <row r="686" spans="2:24">
      <c r="B686" s="7"/>
      <c r="D686" s="7"/>
      <c r="F686" s="7"/>
      <c r="H686" s="7"/>
      <c r="J686" s="7"/>
      <c r="L686" s="7"/>
      <c r="N686" s="7"/>
      <c r="P686" s="7"/>
      <c r="R686" s="7"/>
      <c r="T686" s="7"/>
      <c r="V686" s="7"/>
      <c r="X686" s="7"/>
    </row>
    <row r="687" spans="2:24">
      <c r="B687" s="7"/>
      <c r="D687" s="7"/>
      <c r="F687" s="7"/>
      <c r="H687" s="7"/>
      <c r="J687" s="7"/>
      <c r="L687" s="7"/>
      <c r="N687" s="7"/>
      <c r="P687" s="7"/>
      <c r="R687" s="7"/>
      <c r="T687" s="7"/>
      <c r="V687" s="7"/>
      <c r="X687" s="7"/>
    </row>
    <row r="688" spans="2:24">
      <c r="B688" s="7"/>
      <c r="D688" s="7"/>
      <c r="F688" s="7"/>
      <c r="H688" s="7"/>
      <c r="J688" s="7"/>
      <c r="L688" s="7"/>
      <c r="N688" s="7"/>
      <c r="P688" s="7"/>
      <c r="R688" s="7"/>
      <c r="T688" s="7"/>
      <c r="V688" s="7"/>
      <c r="X688" s="7"/>
    </row>
    <row r="689" spans="2:24">
      <c r="B689" s="7"/>
      <c r="D689" s="7"/>
      <c r="F689" s="7"/>
      <c r="H689" s="7"/>
      <c r="J689" s="7"/>
      <c r="L689" s="7"/>
      <c r="N689" s="7"/>
      <c r="P689" s="7"/>
      <c r="R689" s="7"/>
      <c r="T689" s="7"/>
      <c r="V689" s="7"/>
      <c r="X689" s="7"/>
    </row>
    <row r="690" spans="2:24">
      <c r="B690" s="7"/>
      <c r="D690" s="7"/>
      <c r="F690" s="7"/>
      <c r="H690" s="7"/>
      <c r="J690" s="7"/>
      <c r="L690" s="7"/>
      <c r="N690" s="7"/>
      <c r="P690" s="7"/>
      <c r="R690" s="7"/>
      <c r="T690" s="7"/>
      <c r="V690" s="7"/>
      <c r="X690" s="7"/>
    </row>
    <row r="691" spans="2:24">
      <c r="B691" s="7"/>
      <c r="D691" s="7"/>
      <c r="F691" s="7"/>
      <c r="H691" s="7"/>
      <c r="J691" s="7"/>
      <c r="L691" s="7"/>
      <c r="N691" s="7"/>
      <c r="P691" s="7"/>
      <c r="R691" s="7"/>
      <c r="T691" s="7"/>
      <c r="V691" s="7"/>
      <c r="X691" s="7"/>
    </row>
    <row r="692" spans="2:24">
      <c r="B692" s="7"/>
      <c r="D692" s="7"/>
      <c r="F692" s="7"/>
      <c r="H692" s="7"/>
      <c r="J692" s="7"/>
      <c r="L692" s="7"/>
      <c r="N692" s="7"/>
      <c r="P692" s="7"/>
      <c r="R692" s="7"/>
      <c r="T692" s="7"/>
      <c r="V692" s="7"/>
      <c r="X692" s="7"/>
    </row>
    <row r="693" spans="2:24">
      <c r="B693" s="7"/>
      <c r="D693" s="7"/>
      <c r="F693" s="7"/>
      <c r="H693" s="7"/>
      <c r="J693" s="7"/>
      <c r="L693" s="7"/>
      <c r="N693" s="7"/>
      <c r="P693" s="7"/>
      <c r="R693" s="7"/>
      <c r="T693" s="7"/>
      <c r="V693" s="7"/>
      <c r="X693" s="7"/>
    </row>
    <row r="694" spans="2:24">
      <c r="B694" s="7"/>
      <c r="D694" s="7"/>
      <c r="F694" s="7"/>
      <c r="H694" s="7"/>
      <c r="J694" s="7"/>
      <c r="L694" s="7"/>
      <c r="N694" s="7"/>
      <c r="P694" s="7"/>
      <c r="R694" s="7"/>
      <c r="T694" s="7"/>
      <c r="V694" s="7"/>
      <c r="X694" s="7"/>
    </row>
    <row r="695" spans="2:24">
      <c r="B695" s="7"/>
      <c r="D695" s="7"/>
      <c r="F695" s="7"/>
      <c r="H695" s="7"/>
      <c r="J695" s="7"/>
      <c r="L695" s="7"/>
      <c r="N695" s="7"/>
      <c r="P695" s="7"/>
      <c r="R695" s="7"/>
      <c r="T695" s="7"/>
      <c r="V695" s="7"/>
      <c r="X695" s="7"/>
    </row>
    <row r="696" spans="2:24">
      <c r="B696" s="7"/>
      <c r="D696" s="7"/>
      <c r="F696" s="7"/>
      <c r="H696" s="7"/>
      <c r="J696" s="7"/>
      <c r="L696" s="7"/>
      <c r="N696" s="7"/>
      <c r="P696" s="7"/>
      <c r="R696" s="7"/>
      <c r="T696" s="7"/>
      <c r="V696" s="7"/>
      <c r="X696" s="7"/>
    </row>
    <row r="697" spans="2:24">
      <c r="B697" s="7"/>
      <c r="D697" s="7"/>
      <c r="F697" s="7"/>
      <c r="H697" s="7"/>
      <c r="J697" s="7"/>
      <c r="L697" s="7"/>
      <c r="N697" s="7"/>
      <c r="P697" s="7"/>
      <c r="R697" s="7"/>
      <c r="T697" s="7"/>
      <c r="V697" s="7"/>
      <c r="X697" s="7"/>
    </row>
    <row r="698" spans="2:24">
      <c r="B698" s="7"/>
      <c r="D698" s="7"/>
      <c r="F698" s="7"/>
      <c r="H698" s="7"/>
      <c r="J698" s="7"/>
      <c r="L698" s="7"/>
      <c r="N698" s="7"/>
      <c r="P698" s="7"/>
      <c r="R698" s="7"/>
      <c r="T698" s="7"/>
      <c r="V698" s="7"/>
      <c r="X698" s="7"/>
    </row>
    <row r="699" spans="2:24">
      <c r="B699" s="7"/>
      <c r="D699" s="7"/>
      <c r="F699" s="7"/>
      <c r="H699" s="7"/>
      <c r="J699" s="7"/>
      <c r="L699" s="7"/>
      <c r="N699" s="7"/>
      <c r="P699" s="7"/>
      <c r="R699" s="7"/>
      <c r="T699" s="7"/>
      <c r="V699" s="7"/>
      <c r="X699" s="7"/>
    </row>
    <row r="700" spans="2:24">
      <c r="B700" s="7"/>
      <c r="D700" s="7"/>
      <c r="F700" s="7"/>
      <c r="H700" s="7"/>
      <c r="J700" s="7"/>
      <c r="L700" s="7"/>
      <c r="N700" s="7"/>
      <c r="P700" s="7"/>
      <c r="R700" s="7"/>
      <c r="T700" s="7"/>
      <c r="V700" s="7"/>
      <c r="X700" s="7"/>
    </row>
    <row r="701" spans="2:24">
      <c r="B701" s="7"/>
      <c r="D701" s="7"/>
      <c r="F701" s="7"/>
      <c r="H701" s="7"/>
      <c r="J701" s="7"/>
      <c r="L701" s="7"/>
      <c r="N701" s="7"/>
      <c r="P701" s="7"/>
      <c r="R701" s="7"/>
      <c r="T701" s="7"/>
      <c r="V701" s="7"/>
      <c r="X701" s="7"/>
    </row>
    <row r="702" spans="2:24">
      <c r="B702" s="7"/>
      <c r="D702" s="7"/>
      <c r="F702" s="7"/>
      <c r="H702" s="7"/>
      <c r="J702" s="7"/>
      <c r="L702" s="7"/>
      <c r="N702" s="7"/>
      <c r="P702" s="7"/>
      <c r="R702" s="7"/>
      <c r="T702" s="7"/>
      <c r="V702" s="7"/>
      <c r="X702" s="7"/>
    </row>
    <row r="703" spans="2:24">
      <c r="B703" s="7"/>
      <c r="D703" s="7"/>
      <c r="F703" s="7"/>
      <c r="H703" s="7"/>
      <c r="J703" s="7"/>
      <c r="L703" s="7"/>
      <c r="N703" s="7"/>
      <c r="P703" s="7"/>
      <c r="R703" s="7"/>
      <c r="T703" s="7"/>
      <c r="V703" s="7"/>
      <c r="X703" s="7"/>
    </row>
    <row r="704" spans="2:24">
      <c r="B704" s="7"/>
      <c r="D704" s="7"/>
      <c r="F704" s="7"/>
      <c r="H704" s="7"/>
      <c r="J704" s="7"/>
      <c r="L704" s="7"/>
      <c r="N704" s="7"/>
      <c r="P704" s="7"/>
      <c r="R704" s="7"/>
      <c r="T704" s="7"/>
      <c r="V704" s="7"/>
      <c r="X704" s="7"/>
    </row>
    <row r="705" spans="2:24">
      <c r="B705" s="7"/>
      <c r="D705" s="7"/>
      <c r="F705" s="7"/>
      <c r="H705" s="7"/>
      <c r="J705" s="7"/>
      <c r="L705" s="7"/>
      <c r="N705" s="7"/>
      <c r="P705" s="7"/>
      <c r="R705" s="7"/>
      <c r="T705" s="7"/>
      <c r="V705" s="7"/>
      <c r="X705" s="7"/>
    </row>
    <row r="706" spans="2:24">
      <c r="B706" s="7"/>
      <c r="D706" s="7"/>
      <c r="F706" s="7"/>
      <c r="H706" s="7"/>
      <c r="J706" s="7"/>
      <c r="L706" s="7"/>
      <c r="N706" s="7"/>
      <c r="P706" s="7"/>
      <c r="R706" s="7"/>
      <c r="T706" s="7"/>
      <c r="V706" s="7"/>
      <c r="X706" s="7"/>
    </row>
    <row r="707" spans="2:24">
      <c r="B707" s="7"/>
      <c r="D707" s="7"/>
      <c r="F707" s="7"/>
      <c r="H707" s="7"/>
      <c r="J707" s="7"/>
      <c r="L707" s="7"/>
      <c r="N707" s="7"/>
      <c r="P707" s="7"/>
      <c r="R707" s="7"/>
      <c r="T707" s="7"/>
      <c r="V707" s="7"/>
      <c r="X707" s="7"/>
    </row>
    <row r="708" spans="2:24">
      <c r="B708" s="7"/>
      <c r="D708" s="7"/>
      <c r="F708" s="7"/>
      <c r="H708" s="7"/>
      <c r="J708" s="7"/>
      <c r="L708" s="7"/>
      <c r="N708" s="7"/>
      <c r="P708" s="7"/>
      <c r="R708" s="7"/>
      <c r="T708" s="7"/>
      <c r="V708" s="7"/>
      <c r="X708" s="7"/>
    </row>
    <row r="709" spans="2:24">
      <c r="B709" s="7"/>
      <c r="D709" s="7"/>
      <c r="F709" s="7"/>
      <c r="H709" s="7"/>
      <c r="J709" s="7"/>
      <c r="L709" s="7"/>
      <c r="N709" s="7"/>
      <c r="P709" s="7"/>
      <c r="R709" s="7"/>
      <c r="T709" s="7"/>
      <c r="V709" s="7"/>
      <c r="X709" s="7"/>
    </row>
    <row r="710" spans="2:24">
      <c r="B710" s="7"/>
      <c r="D710" s="7"/>
      <c r="F710" s="7"/>
      <c r="H710" s="7"/>
      <c r="J710" s="7"/>
      <c r="L710" s="7"/>
      <c r="N710" s="7"/>
      <c r="P710" s="7"/>
      <c r="R710" s="7"/>
      <c r="T710" s="7"/>
      <c r="V710" s="7"/>
      <c r="X710" s="7"/>
    </row>
    <row r="711" spans="2:24">
      <c r="B711" s="7"/>
      <c r="D711" s="7"/>
      <c r="F711" s="7"/>
      <c r="H711" s="7"/>
      <c r="J711" s="7"/>
      <c r="L711" s="7"/>
      <c r="N711" s="7"/>
      <c r="P711" s="7"/>
      <c r="R711" s="7"/>
      <c r="T711" s="7"/>
      <c r="V711" s="7"/>
      <c r="X711" s="7"/>
    </row>
    <row r="712" spans="2:24">
      <c r="B712" s="7"/>
      <c r="D712" s="7"/>
      <c r="F712" s="7"/>
      <c r="H712" s="7"/>
      <c r="J712" s="7"/>
      <c r="L712" s="7"/>
      <c r="N712" s="7"/>
      <c r="P712" s="7"/>
      <c r="R712" s="7"/>
      <c r="T712" s="7"/>
      <c r="V712" s="7"/>
      <c r="X712" s="7"/>
    </row>
    <row r="713" spans="2:24">
      <c r="B713" s="7"/>
      <c r="D713" s="7"/>
      <c r="F713" s="7"/>
      <c r="H713" s="7"/>
      <c r="J713" s="7"/>
      <c r="L713" s="7"/>
      <c r="N713" s="7"/>
      <c r="P713" s="7"/>
      <c r="R713" s="7"/>
      <c r="T713" s="7"/>
      <c r="V713" s="7"/>
      <c r="X713" s="7"/>
    </row>
    <row r="714" spans="2:24">
      <c r="B714" s="7"/>
      <c r="D714" s="7"/>
      <c r="F714" s="7"/>
      <c r="H714" s="7"/>
      <c r="J714" s="7"/>
      <c r="L714" s="7"/>
      <c r="N714" s="7"/>
      <c r="P714" s="7"/>
      <c r="R714" s="7"/>
      <c r="T714" s="7"/>
      <c r="V714" s="7"/>
      <c r="X714" s="7"/>
    </row>
    <row r="715" spans="2:24">
      <c r="B715" s="7"/>
      <c r="D715" s="7"/>
      <c r="F715" s="7"/>
      <c r="H715" s="7"/>
      <c r="J715" s="7"/>
      <c r="L715" s="7"/>
      <c r="N715" s="7"/>
      <c r="P715" s="7"/>
      <c r="R715" s="7"/>
      <c r="T715" s="7"/>
      <c r="V715" s="7"/>
      <c r="X715" s="7"/>
    </row>
    <row r="716" spans="2:24">
      <c r="B716" s="7"/>
      <c r="D716" s="7"/>
      <c r="F716" s="7"/>
      <c r="H716" s="7"/>
      <c r="J716" s="7"/>
      <c r="L716" s="7"/>
      <c r="N716" s="7"/>
      <c r="P716" s="7"/>
      <c r="R716" s="7"/>
      <c r="T716" s="7"/>
      <c r="V716" s="7"/>
      <c r="X716" s="7"/>
    </row>
    <row r="717" spans="2:24">
      <c r="B717" s="7"/>
      <c r="D717" s="7"/>
      <c r="F717" s="7"/>
      <c r="H717" s="7"/>
      <c r="J717" s="7"/>
      <c r="L717" s="7"/>
      <c r="N717" s="7"/>
      <c r="P717" s="7"/>
      <c r="R717" s="7"/>
      <c r="T717" s="7"/>
      <c r="V717" s="7"/>
      <c r="X717" s="7"/>
    </row>
    <row r="718" spans="2:24">
      <c r="B718" s="7"/>
      <c r="D718" s="7"/>
      <c r="F718" s="7"/>
      <c r="H718" s="7"/>
      <c r="J718" s="7"/>
      <c r="L718" s="7"/>
      <c r="N718" s="7"/>
      <c r="P718" s="7"/>
      <c r="R718" s="7"/>
      <c r="T718" s="7"/>
      <c r="V718" s="7"/>
      <c r="X718" s="7"/>
    </row>
    <row r="719" spans="2:24">
      <c r="B719" s="7"/>
      <c r="D719" s="7"/>
      <c r="F719" s="7"/>
      <c r="H719" s="7"/>
      <c r="J719" s="7"/>
      <c r="L719" s="7"/>
      <c r="N719" s="7"/>
      <c r="P719" s="7"/>
      <c r="R719" s="7"/>
      <c r="T719" s="7"/>
      <c r="V719" s="7"/>
      <c r="X719" s="7"/>
    </row>
    <row r="720" spans="2:24">
      <c r="B720" s="7"/>
      <c r="D720" s="7"/>
      <c r="F720" s="7"/>
      <c r="H720" s="7"/>
      <c r="J720" s="7"/>
      <c r="L720" s="7"/>
      <c r="N720" s="7"/>
      <c r="P720" s="7"/>
      <c r="R720" s="7"/>
      <c r="T720" s="7"/>
      <c r="V720" s="7"/>
      <c r="X720" s="7"/>
    </row>
    <row r="721" spans="2:24">
      <c r="B721" s="7"/>
      <c r="D721" s="7"/>
      <c r="F721" s="7"/>
      <c r="H721" s="7"/>
      <c r="J721" s="7"/>
      <c r="L721" s="7"/>
      <c r="N721" s="7"/>
      <c r="P721" s="7"/>
      <c r="R721" s="7"/>
      <c r="T721" s="7"/>
      <c r="V721" s="7"/>
      <c r="X721" s="7"/>
    </row>
    <row r="722" spans="2:24">
      <c r="B722" s="7"/>
      <c r="D722" s="7"/>
      <c r="F722" s="7"/>
      <c r="H722" s="7"/>
      <c r="J722" s="7"/>
      <c r="L722" s="7"/>
      <c r="N722" s="7"/>
      <c r="P722" s="7"/>
      <c r="R722" s="7"/>
      <c r="T722" s="7"/>
      <c r="V722" s="7"/>
      <c r="X722" s="7"/>
    </row>
    <row r="723" spans="2:24">
      <c r="B723" s="7"/>
      <c r="D723" s="7"/>
      <c r="F723" s="7"/>
      <c r="H723" s="7"/>
      <c r="J723" s="7"/>
      <c r="L723" s="7"/>
      <c r="N723" s="7"/>
      <c r="P723" s="7"/>
      <c r="R723" s="7"/>
      <c r="T723" s="7"/>
      <c r="V723" s="7"/>
      <c r="X723" s="7"/>
    </row>
    <row r="724" spans="2:24">
      <c r="B724" s="7"/>
      <c r="D724" s="7"/>
      <c r="F724" s="7"/>
      <c r="H724" s="7"/>
      <c r="J724" s="7"/>
      <c r="L724" s="7"/>
      <c r="N724" s="7"/>
      <c r="P724" s="7"/>
      <c r="R724" s="7"/>
      <c r="T724" s="7"/>
      <c r="V724" s="7"/>
      <c r="X724" s="7"/>
    </row>
    <row r="725" spans="2:24">
      <c r="B725" s="7"/>
      <c r="D725" s="7"/>
      <c r="F725" s="7"/>
      <c r="H725" s="7"/>
      <c r="J725" s="7"/>
      <c r="L725" s="7"/>
      <c r="N725" s="7"/>
      <c r="P725" s="7"/>
      <c r="R725" s="7"/>
      <c r="T725" s="7"/>
      <c r="V725" s="7"/>
      <c r="X725" s="7"/>
    </row>
    <row r="726" spans="2:24">
      <c r="B726" s="7"/>
      <c r="D726" s="7"/>
      <c r="F726" s="7"/>
      <c r="H726" s="7"/>
      <c r="J726" s="7"/>
      <c r="L726" s="7"/>
      <c r="N726" s="7"/>
      <c r="P726" s="7"/>
      <c r="R726" s="7"/>
      <c r="T726" s="7"/>
      <c r="V726" s="7"/>
      <c r="X726" s="7"/>
    </row>
    <row r="727" spans="2:24">
      <c r="B727" s="7"/>
      <c r="D727" s="7"/>
      <c r="F727" s="7"/>
      <c r="H727" s="7"/>
      <c r="J727" s="7"/>
      <c r="L727" s="7"/>
      <c r="N727" s="7"/>
      <c r="P727" s="7"/>
      <c r="R727" s="7"/>
      <c r="T727" s="7"/>
      <c r="V727" s="7"/>
      <c r="X727" s="7"/>
    </row>
    <row r="728" spans="2:24">
      <c r="B728" s="7"/>
      <c r="D728" s="7"/>
      <c r="F728" s="7"/>
      <c r="H728" s="7"/>
      <c r="J728" s="7"/>
      <c r="L728" s="7"/>
      <c r="N728" s="7"/>
      <c r="P728" s="7"/>
      <c r="R728" s="7"/>
      <c r="T728" s="7"/>
      <c r="V728" s="7"/>
      <c r="X728" s="7"/>
    </row>
    <row r="729" spans="2:24">
      <c r="B729" s="7"/>
      <c r="D729" s="7"/>
      <c r="F729" s="7"/>
      <c r="H729" s="7"/>
      <c r="J729" s="7"/>
      <c r="L729" s="7"/>
      <c r="N729" s="7"/>
      <c r="P729" s="7"/>
      <c r="R729" s="7"/>
      <c r="T729" s="7"/>
      <c r="V729" s="7"/>
      <c r="X729" s="7"/>
    </row>
    <row r="730" spans="2:24">
      <c r="B730" s="7"/>
      <c r="D730" s="7"/>
      <c r="F730" s="7"/>
      <c r="H730" s="7"/>
      <c r="J730" s="7"/>
      <c r="L730" s="7"/>
      <c r="N730" s="7"/>
      <c r="P730" s="7"/>
      <c r="R730" s="7"/>
      <c r="T730" s="7"/>
      <c r="V730" s="7"/>
      <c r="X730" s="7"/>
    </row>
    <row r="731" spans="2:24">
      <c r="B731" s="7"/>
      <c r="D731" s="7"/>
      <c r="F731" s="7"/>
      <c r="H731" s="7"/>
      <c r="J731" s="7"/>
      <c r="L731" s="7"/>
      <c r="N731" s="7"/>
      <c r="P731" s="7"/>
      <c r="R731" s="7"/>
      <c r="T731" s="7"/>
      <c r="V731" s="7"/>
      <c r="X731" s="7"/>
    </row>
    <row r="732" spans="2:24">
      <c r="B732" s="7"/>
      <c r="D732" s="7"/>
      <c r="F732" s="7"/>
      <c r="H732" s="7"/>
      <c r="J732" s="7"/>
      <c r="L732" s="7"/>
      <c r="N732" s="7"/>
      <c r="P732" s="7"/>
      <c r="R732" s="7"/>
      <c r="T732" s="7"/>
      <c r="V732" s="7"/>
      <c r="X732" s="7"/>
    </row>
    <row r="733" spans="2:24">
      <c r="B733" s="7"/>
      <c r="D733" s="7"/>
      <c r="F733" s="7"/>
      <c r="H733" s="7"/>
      <c r="J733" s="7"/>
      <c r="L733" s="7"/>
      <c r="N733" s="7"/>
      <c r="P733" s="7"/>
      <c r="R733" s="7"/>
      <c r="T733" s="7"/>
      <c r="V733" s="7"/>
      <c r="X733" s="7"/>
    </row>
    <row r="734" spans="2:24">
      <c r="B734" s="7"/>
      <c r="D734" s="7"/>
      <c r="F734" s="7"/>
      <c r="H734" s="7"/>
      <c r="J734" s="7"/>
      <c r="L734" s="7"/>
      <c r="N734" s="7"/>
      <c r="P734" s="7"/>
      <c r="R734" s="7"/>
      <c r="T734" s="7"/>
      <c r="V734" s="7"/>
      <c r="X734" s="7"/>
    </row>
    <row r="735" spans="2:24">
      <c r="B735" s="7"/>
      <c r="D735" s="7"/>
      <c r="F735" s="7"/>
      <c r="H735" s="7"/>
      <c r="J735" s="7"/>
      <c r="L735" s="7"/>
      <c r="N735" s="7"/>
      <c r="P735" s="7"/>
      <c r="R735" s="7"/>
      <c r="T735" s="7"/>
      <c r="V735" s="7"/>
      <c r="X735" s="7"/>
    </row>
    <row r="736" spans="2:24">
      <c r="B736" s="7"/>
      <c r="D736" s="7"/>
      <c r="F736" s="7"/>
      <c r="H736" s="7"/>
      <c r="J736" s="7"/>
      <c r="L736" s="7"/>
      <c r="N736" s="7"/>
      <c r="P736" s="7"/>
      <c r="R736" s="7"/>
      <c r="T736" s="7"/>
      <c r="V736" s="7"/>
      <c r="X736" s="7"/>
    </row>
    <row r="737" spans="2:24">
      <c r="B737" s="7"/>
      <c r="D737" s="7"/>
      <c r="F737" s="7"/>
      <c r="H737" s="7"/>
      <c r="J737" s="7"/>
      <c r="L737" s="7"/>
      <c r="N737" s="7"/>
      <c r="P737" s="7"/>
      <c r="R737" s="7"/>
      <c r="T737" s="7"/>
      <c r="V737" s="7"/>
      <c r="X737" s="7"/>
    </row>
    <row r="738" spans="2:24">
      <c r="B738" s="7"/>
      <c r="D738" s="7"/>
      <c r="F738" s="7"/>
      <c r="H738" s="7"/>
      <c r="J738" s="7"/>
      <c r="L738" s="7"/>
      <c r="N738" s="7"/>
      <c r="P738" s="7"/>
      <c r="R738" s="7"/>
      <c r="T738" s="7"/>
      <c r="V738" s="7"/>
      <c r="X738" s="7"/>
    </row>
    <row r="739" spans="2:24">
      <c r="B739" s="7"/>
      <c r="D739" s="7"/>
      <c r="F739" s="7"/>
      <c r="H739" s="7"/>
      <c r="J739" s="7"/>
      <c r="L739" s="7"/>
      <c r="N739" s="7"/>
      <c r="P739" s="7"/>
      <c r="R739" s="7"/>
      <c r="T739" s="7"/>
      <c r="V739" s="7"/>
      <c r="X739" s="7"/>
    </row>
    <row r="740" spans="2:24">
      <c r="B740" s="7"/>
      <c r="D740" s="7"/>
      <c r="F740" s="7"/>
      <c r="H740" s="7"/>
      <c r="J740" s="7"/>
      <c r="L740" s="7"/>
      <c r="N740" s="7"/>
      <c r="P740" s="7"/>
      <c r="R740" s="7"/>
      <c r="T740" s="7"/>
      <c r="V740" s="7"/>
      <c r="X740" s="7"/>
    </row>
    <row r="741" spans="2:24">
      <c r="B741" s="7"/>
      <c r="D741" s="7"/>
      <c r="F741" s="7"/>
      <c r="H741" s="7"/>
      <c r="J741" s="7"/>
      <c r="L741" s="7"/>
      <c r="N741" s="7"/>
      <c r="P741" s="7"/>
      <c r="R741" s="7"/>
      <c r="T741" s="7"/>
      <c r="V741" s="7"/>
      <c r="X741" s="7"/>
    </row>
    <row r="742" spans="2:24">
      <c r="B742" s="7"/>
      <c r="D742" s="7"/>
      <c r="F742" s="7"/>
      <c r="H742" s="7"/>
      <c r="J742" s="7"/>
      <c r="L742" s="7"/>
      <c r="N742" s="7"/>
      <c r="P742" s="7"/>
      <c r="R742" s="7"/>
      <c r="T742" s="7"/>
      <c r="V742" s="7"/>
      <c r="X742" s="7"/>
    </row>
    <row r="743" spans="2:24">
      <c r="B743" s="7"/>
      <c r="D743" s="7"/>
      <c r="F743" s="7"/>
      <c r="H743" s="7"/>
      <c r="J743" s="7"/>
      <c r="L743" s="7"/>
      <c r="N743" s="7"/>
      <c r="P743" s="7"/>
      <c r="R743" s="7"/>
      <c r="T743" s="7"/>
      <c r="V743" s="7"/>
      <c r="X743" s="7"/>
    </row>
    <row r="744" spans="2:24">
      <c r="B744" s="7"/>
      <c r="D744" s="7"/>
      <c r="F744" s="7"/>
      <c r="H744" s="7"/>
      <c r="J744" s="7"/>
      <c r="L744" s="7"/>
      <c r="N744" s="7"/>
      <c r="P744" s="7"/>
      <c r="R744" s="7"/>
      <c r="T744" s="7"/>
      <c r="V744" s="7"/>
      <c r="X744" s="7"/>
    </row>
    <row r="745" spans="2:24">
      <c r="B745" s="7"/>
      <c r="D745" s="7"/>
      <c r="F745" s="7"/>
      <c r="H745" s="7"/>
      <c r="J745" s="7"/>
      <c r="L745" s="7"/>
      <c r="N745" s="7"/>
      <c r="P745" s="7"/>
      <c r="R745" s="7"/>
      <c r="T745" s="7"/>
      <c r="V745" s="7"/>
      <c r="X745" s="7"/>
    </row>
    <row r="746" spans="2:24">
      <c r="B746" s="7"/>
      <c r="D746" s="7"/>
      <c r="F746" s="7"/>
      <c r="H746" s="7"/>
      <c r="J746" s="7"/>
      <c r="L746" s="7"/>
      <c r="N746" s="7"/>
      <c r="P746" s="7"/>
      <c r="R746" s="7"/>
      <c r="T746" s="7"/>
      <c r="V746" s="7"/>
      <c r="X746" s="7"/>
    </row>
    <row r="747" spans="2:24">
      <c r="B747" s="7"/>
      <c r="D747" s="7"/>
      <c r="F747" s="7"/>
      <c r="H747" s="7"/>
      <c r="J747" s="7"/>
      <c r="L747" s="7"/>
      <c r="N747" s="7"/>
      <c r="P747" s="7"/>
      <c r="R747" s="7"/>
      <c r="T747" s="7"/>
      <c r="V747" s="7"/>
      <c r="X747" s="7"/>
    </row>
    <row r="748" spans="2:24">
      <c r="B748" s="7"/>
      <c r="D748" s="7"/>
      <c r="F748" s="7"/>
      <c r="H748" s="7"/>
      <c r="J748" s="7"/>
      <c r="L748" s="7"/>
      <c r="N748" s="7"/>
      <c r="P748" s="7"/>
      <c r="R748" s="7"/>
      <c r="T748" s="7"/>
      <c r="V748" s="7"/>
      <c r="X748" s="7"/>
    </row>
    <row r="749" spans="2:24">
      <c r="B749" s="7"/>
      <c r="D749" s="7"/>
      <c r="F749" s="7"/>
      <c r="H749" s="7"/>
      <c r="J749" s="7"/>
      <c r="L749" s="7"/>
      <c r="N749" s="7"/>
      <c r="P749" s="7"/>
      <c r="R749" s="7"/>
      <c r="T749" s="7"/>
      <c r="V749" s="7"/>
      <c r="X749" s="7"/>
    </row>
    <row r="750" spans="2:24">
      <c r="B750" s="7"/>
      <c r="D750" s="7"/>
      <c r="F750" s="7"/>
      <c r="H750" s="7"/>
      <c r="J750" s="7"/>
      <c r="L750" s="7"/>
      <c r="N750" s="7"/>
      <c r="P750" s="7"/>
      <c r="R750" s="7"/>
      <c r="T750" s="7"/>
      <c r="V750" s="7"/>
      <c r="X750" s="7"/>
    </row>
    <row r="751" spans="2:24">
      <c r="B751" s="7"/>
      <c r="D751" s="7"/>
      <c r="F751" s="7"/>
      <c r="H751" s="7"/>
      <c r="J751" s="7"/>
      <c r="L751" s="7"/>
      <c r="N751" s="7"/>
      <c r="P751" s="7"/>
      <c r="R751" s="7"/>
      <c r="T751" s="7"/>
      <c r="V751" s="7"/>
      <c r="X751" s="7"/>
    </row>
    <row r="752" spans="2:24">
      <c r="B752" s="7"/>
      <c r="D752" s="7"/>
      <c r="F752" s="7"/>
      <c r="H752" s="7"/>
      <c r="J752" s="7"/>
      <c r="L752" s="7"/>
      <c r="N752" s="7"/>
      <c r="P752" s="7"/>
      <c r="R752" s="7"/>
      <c r="T752" s="7"/>
      <c r="V752" s="7"/>
      <c r="X752" s="7"/>
    </row>
    <row r="753" spans="2:24">
      <c r="B753" s="7"/>
      <c r="D753" s="7"/>
      <c r="F753" s="7"/>
      <c r="H753" s="7"/>
      <c r="J753" s="7"/>
      <c r="L753" s="7"/>
      <c r="N753" s="7"/>
      <c r="P753" s="7"/>
      <c r="R753" s="7"/>
      <c r="T753" s="7"/>
      <c r="V753" s="7"/>
      <c r="X753" s="7"/>
    </row>
    <row r="754" spans="2:24">
      <c r="B754" s="7"/>
      <c r="D754" s="7"/>
      <c r="F754" s="7"/>
      <c r="H754" s="7"/>
      <c r="J754" s="7"/>
      <c r="L754" s="7"/>
      <c r="N754" s="7"/>
      <c r="P754" s="7"/>
      <c r="R754" s="7"/>
      <c r="T754" s="7"/>
      <c r="V754" s="7"/>
      <c r="X754" s="7"/>
    </row>
    <row r="755" spans="2:24">
      <c r="B755" s="7"/>
      <c r="D755" s="7"/>
      <c r="F755" s="7"/>
      <c r="H755" s="7"/>
      <c r="J755" s="7"/>
      <c r="L755" s="7"/>
      <c r="N755" s="7"/>
      <c r="P755" s="7"/>
      <c r="R755" s="7"/>
      <c r="T755" s="7"/>
      <c r="V755" s="7"/>
      <c r="X755" s="7"/>
    </row>
    <row r="756" spans="2:24">
      <c r="B756" s="7"/>
      <c r="D756" s="7"/>
      <c r="F756" s="7"/>
      <c r="H756" s="7"/>
      <c r="J756" s="7"/>
      <c r="L756" s="7"/>
      <c r="N756" s="7"/>
      <c r="P756" s="7"/>
      <c r="R756" s="7"/>
      <c r="T756" s="7"/>
      <c r="V756" s="7"/>
      <c r="X756" s="7"/>
    </row>
    <row r="757" spans="2:24">
      <c r="B757" s="7"/>
      <c r="D757" s="7"/>
      <c r="F757" s="7"/>
      <c r="H757" s="7"/>
      <c r="J757" s="7"/>
      <c r="L757" s="7"/>
      <c r="N757" s="7"/>
      <c r="P757" s="7"/>
      <c r="R757" s="7"/>
      <c r="T757" s="7"/>
      <c r="V757" s="7"/>
      <c r="X757" s="7"/>
    </row>
    <row r="758" spans="2:24">
      <c r="B758" s="7"/>
      <c r="D758" s="7"/>
      <c r="F758" s="7"/>
      <c r="H758" s="7"/>
      <c r="J758" s="7"/>
      <c r="L758" s="7"/>
      <c r="N758" s="7"/>
      <c r="P758" s="7"/>
      <c r="R758" s="7"/>
      <c r="T758" s="7"/>
      <c r="V758" s="7"/>
      <c r="X758" s="7"/>
    </row>
    <row r="759" spans="2:24">
      <c r="B759" s="7"/>
      <c r="D759" s="7"/>
      <c r="F759" s="7"/>
      <c r="H759" s="7"/>
      <c r="J759" s="7"/>
      <c r="L759" s="7"/>
      <c r="N759" s="7"/>
      <c r="P759" s="7"/>
      <c r="R759" s="7"/>
      <c r="T759" s="7"/>
      <c r="V759" s="7"/>
      <c r="X759" s="7"/>
    </row>
    <row r="760" spans="2:24">
      <c r="B760" s="7"/>
      <c r="D760" s="7"/>
      <c r="F760" s="7"/>
      <c r="H760" s="7"/>
      <c r="J760" s="7"/>
      <c r="L760" s="7"/>
      <c r="N760" s="7"/>
      <c r="P760" s="7"/>
      <c r="R760" s="7"/>
      <c r="T760" s="7"/>
      <c r="V760" s="7"/>
      <c r="X760" s="7"/>
    </row>
    <row r="761" spans="2:24">
      <c r="B761" s="7"/>
      <c r="D761" s="7"/>
      <c r="F761" s="7"/>
      <c r="H761" s="7"/>
      <c r="J761" s="7"/>
      <c r="L761" s="7"/>
      <c r="N761" s="7"/>
      <c r="P761" s="7"/>
      <c r="R761" s="7"/>
      <c r="T761" s="7"/>
      <c r="V761" s="7"/>
      <c r="X761" s="7"/>
    </row>
    <row r="762" spans="2:24">
      <c r="B762" s="7"/>
      <c r="D762" s="7"/>
      <c r="F762" s="7"/>
      <c r="H762" s="7"/>
      <c r="J762" s="7"/>
      <c r="L762" s="7"/>
      <c r="N762" s="7"/>
      <c r="P762" s="7"/>
      <c r="R762" s="7"/>
      <c r="T762" s="7"/>
      <c r="V762" s="7"/>
      <c r="X762" s="7"/>
    </row>
    <row r="763" spans="2:24">
      <c r="B763" s="7"/>
      <c r="D763" s="7"/>
      <c r="F763" s="7"/>
      <c r="H763" s="7"/>
      <c r="J763" s="7"/>
      <c r="L763" s="7"/>
      <c r="N763" s="7"/>
      <c r="P763" s="7"/>
      <c r="R763" s="7"/>
      <c r="T763" s="7"/>
      <c r="V763" s="7"/>
      <c r="X763" s="7"/>
    </row>
    <row r="764" spans="2:24">
      <c r="B764" s="7"/>
      <c r="D764" s="7"/>
      <c r="F764" s="7"/>
      <c r="H764" s="7"/>
      <c r="J764" s="7"/>
      <c r="L764" s="7"/>
      <c r="N764" s="7"/>
      <c r="P764" s="7"/>
      <c r="R764" s="7"/>
      <c r="T764" s="7"/>
      <c r="V764" s="7"/>
      <c r="X764" s="7"/>
    </row>
    <row r="765" spans="2:24">
      <c r="B765" s="7"/>
      <c r="D765" s="7"/>
      <c r="F765" s="7"/>
      <c r="H765" s="7"/>
      <c r="J765" s="7"/>
      <c r="L765" s="7"/>
      <c r="N765" s="7"/>
      <c r="P765" s="7"/>
      <c r="R765" s="7"/>
      <c r="T765" s="7"/>
      <c r="V765" s="7"/>
      <c r="X765" s="7"/>
    </row>
    <row r="766" spans="2:24">
      <c r="B766" s="7"/>
      <c r="D766" s="7"/>
      <c r="F766" s="7"/>
      <c r="H766" s="7"/>
      <c r="J766" s="7"/>
      <c r="L766" s="7"/>
      <c r="N766" s="7"/>
      <c r="P766" s="7"/>
      <c r="R766" s="7"/>
      <c r="T766" s="7"/>
      <c r="V766" s="7"/>
      <c r="X766" s="7"/>
    </row>
    <row r="767" spans="2:24">
      <c r="B767" s="7"/>
      <c r="D767" s="7"/>
      <c r="F767" s="7"/>
      <c r="H767" s="7"/>
      <c r="J767" s="7"/>
      <c r="L767" s="7"/>
      <c r="N767" s="7"/>
      <c r="P767" s="7"/>
      <c r="R767" s="7"/>
      <c r="T767" s="7"/>
      <c r="V767" s="7"/>
      <c r="X767" s="7"/>
    </row>
    <row r="768" spans="2:24">
      <c r="B768" s="7"/>
      <c r="D768" s="7"/>
      <c r="F768" s="7"/>
      <c r="H768" s="7"/>
      <c r="J768" s="7"/>
      <c r="L768" s="7"/>
      <c r="N768" s="7"/>
      <c r="P768" s="7"/>
      <c r="R768" s="7"/>
      <c r="T768" s="7"/>
      <c r="V768" s="7"/>
      <c r="X768" s="7"/>
    </row>
    <row r="769" spans="2:24">
      <c r="B769" s="7"/>
      <c r="D769" s="7"/>
      <c r="F769" s="7"/>
      <c r="H769" s="7"/>
      <c r="J769" s="7"/>
      <c r="L769" s="7"/>
      <c r="N769" s="7"/>
      <c r="P769" s="7"/>
      <c r="R769" s="7"/>
      <c r="T769" s="7"/>
      <c r="V769" s="7"/>
      <c r="X769" s="7"/>
    </row>
    <row r="770" spans="2:24">
      <c r="B770" s="7"/>
      <c r="D770" s="7"/>
      <c r="F770" s="7"/>
      <c r="H770" s="7"/>
      <c r="J770" s="7"/>
      <c r="L770" s="7"/>
      <c r="N770" s="7"/>
      <c r="P770" s="7"/>
      <c r="R770" s="7"/>
      <c r="T770" s="7"/>
      <c r="V770" s="7"/>
      <c r="X770" s="7"/>
    </row>
    <row r="771" spans="2:24">
      <c r="B771" s="7"/>
      <c r="D771" s="7"/>
      <c r="F771" s="7"/>
      <c r="H771" s="7"/>
      <c r="J771" s="7"/>
      <c r="L771" s="7"/>
      <c r="N771" s="7"/>
      <c r="P771" s="7"/>
      <c r="R771" s="7"/>
      <c r="T771" s="7"/>
      <c r="V771" s="7"/>
      <c r="X771" s="7"/>
    </row>
    <row r="772" spans="2:24">
      <c r="B772" s="7"/>
      <c r="D772" s="7"/>
      <c r="F772" s="7"/>
      <c r="H772" s="7"/>
      <c r="J772" s="7"/>
      <c r="L772" s="7"/>
      <c r="N772" s="7"/>
      <c r="P772" s="7"/>
      <c r="R772" s="7"/>
      <c r="T772" s="7"/>
      <c r="V772" s="7"/>
      <c r="X772" s="7"/>
    </row>
    <row r="773" spans="2:24">
      <c r="B773" s="7"/>
      <c r="D773" s="7"/>
      <c r="F773" s="7"/>
      <c r="H773" s="7"/>
      <c r="J773" s="7"/>
      <c r="L773" s="7"/>
      <c r="N773" s="7"/>
      <c r="P773" s="7"/>
      <c r="R773" s="7"/>
      <c r="T773" s="7"/>
      <c r="V773" s="7"/>
      <c r="X773" s="7"/>
    </row>
    <row r="774" spans="2:24">
      <c r="B774" s="7"/>
      <c r="D774" s="7"/>
      <c r="F774" s="7"/>
      <c r="H774" s="7"/>
      <c r="J774" s="7"/>
      <c r="L774" s="7"/>
      <c r="N774" s="7"/>
      <c r="P774" s="7"/>
      <c r="R774" s="7"/>
      <c r="T774" s="7"/>
      <c r="V774" s="7"/>
      <c r="X774" s="7"/>
    </row>
    <row r="775" spans="2:24">
      <c r="B775" s="7"/>
      <c r="D775" s="7"/>
      <c r="F775" s="7"/>
      <c r="H775" s="7"/>
      <c r="J775" s="7"/>
      <c r="L775" s="7"/>
      <c r="N775" s="7"/>
      <c r="P775" s="7"/>
      <c r="R775" s="7"/>
      <c r="T775" s="7"/>
      <c r="V775" s="7"/>
      <c r="X775" s="7"/>
    </row>
    <row r="776" spans="2:24">
      <c r="B776" s="7"/>
      <c r="D776" s="7"/>
      <c r="F776" s="7"/>
      <c r="H776" s="7"/>
      <c r="J776" s="7"/>
      <c r="L776" s="7"/>
      <c r="N776" s="7"/>
      <c r="P776" s="7"/>
      <c r="R776" s="7"/>
      <c r="T776" s="7"/>
      <c r="V776" s="7"/>
      <c r="X776" s="7"/>
    </row>
    <row r="777" spans="2:24">
      <c r="B777" s="7"/>
      <c r="D777" s="7"/>
      <c r="F777" s="7"/>
      <c r="H777" s="7"/>
      <c r="J777" s="7"/>
      <c r="L777" s="7"/>
      <c r="N777" s="7"/>
      <c r="P777" s="7"/>
      <c r="R777" s="7"/>
      <c r="T777" s="7"/>
      <c r="V777" s="7"/>
      <c r="X777" s="7"/>
    </row>
    <row r="778" spans="2:24">
      <c r="B778" s="7"/>
      <c r="D778" s="7"/>
      <c r="F778" s="7"/>
      <c r="H778" s="7"/>
      <c r="J778" s="7"/>
      <c r="L778" s="7"/>
      <c r="N778" s="7"/>
      <c r="P778" s="7"/>
      <c r="R778" s="7"/>
      <c r="T778" s="7"/>
      <c r="V778" s="7"/>
      <c r="X778" s="7"/>
    </row>
    <row r="779" spans="2:24">
      <c r="B779" s="7"/>
      <c r="D779" s="7"/>
      <c r="F779" s="7"/>
      <c r="H779" s="7"/>
      <c r="J779" s="7"/>
      <c r="L779" s="7"/>
      <c r="N779" s="7"/>
      <c r="P779" s="7"/>
      <c r="R779" s="7"/>
      <c r="T779" s="7"/>
      <c r="V779" s="7"/>
      <c r="X779" s="7"/>
    </row>
    <row r="780" spans="2:24">
      <c r="B780" s="7"/>
      <c r="D780" s="7"/>
      <c r="F780" s="7"/>
      <c r="H780" s="7"/>
      <c r="J780" s="7"/>
      <c r="L780" s="7"/>
      <c r="N780" s="7"/>
      <c r="P780" s="7"/>
      <c r="R780" s="7"/>
      <c r="T780" s="7"/>
      <c r="V780" s="7"/>
      <c r="X780" s="7"/>
    </row>
    <row r="781" spans="2:24">
      <c r="B781" s="7"/>
      <c r="D781" s="7"/>
      <c r="F781" s="7"/>
      <c r="H781" s="7"/>
      <c r="J781" s="7"/>
      <c r="L781" s="7"/>
      <c r="N781" s="7"/>
      <c r="P781" s="7"/>
      <c r="R781" s="7"/>
      <c r="T781" s="7"/>
      <c r="V781" s="7"/>
      <c r="X781" s="7"/>
    </row>
    <row r="782" spans="2:24">
      <c r="B782" s="7"/>
      <c r="D782" s="7"/>
      <c r="F782" s="7"/>
      <c r="H782" s="7"/>
      <c r="J782" s="7"/>
      <c r="L782" s="7"/>
      <c r="N782" s="7"/>
      <c r="P782" s="7"/>
      <c r="R782" s="7"/>
      <c r="T782" s="7"/>
      <c r="V782" s="7"/>
      <c r="X782" s="7"/>
    </row>
    <row r="783" spans="2:24">
      <c r="B783" s="7"/>
      <c r="D783" s="7"/>
      <c r="F783" s="7"/>
      <c r="H783" s="7"/>
      <c r="J783" s="7"/>
      <c r="L783" s="7"/>
      <c r="N783" s="7"/>
      <c r="P783" s="7"/>
      <c r="R783" s="7"/>
      <c r="T783" s="7"/>
      <c r="V783" s="7"/>
      <c r="X783" s="7"/>
    </row>
    <row r="784" spans="2:24">
      <c r="B784" s="7"/>
      <c r="D784" s="7"/>
      <c r="F784" s="7"/>
      <c r="H784" s="7"/>
      <c r="J784" s="7"/>
      <c r="L784" s="7"/>
      <c r="N784" s="7"/>
      <c r="P784" s="7"/>
      <c r="R784" s="7"/>
      <c r="T784" s="7"/>
      <c r="V784" s="7"/>
      <c r="X784" s="7"/>
    </row>
    <row r="785" spans="2:24">
      <c r="B785" s="7"/>
      <c r="D785" s="7"/>
      <c r="F785" s="7"/>
      <c r="H785" s="7"/>
      <c r="J785" s="7"/>
      <c r="L785" s="7"/>
      <c r="N785" s="7"/>
      <c r="P785" s="7"/>
      <c r="R785" s="7"/>
      <c r="T785" s="7"/>
      <c r="V785" s="7"/>
      <c r="X785" s="7"/>
    </row>
    <row r="786" spans="2:24">
      <c r="B786" s="7"/>
      <c r="D786" s="7"/>
      <c r="F786" s="7"/>
      <c r="H786" s="7"/>
      <c r="J786" s="7"/>
      <c r="L786" s="7"/>
      <c r="N786" s="7"/>
      <c r="P786" s="7"/>
      <c r="R786" s="7"/>
      <c r="T786" s="7"/>
      <c r="V786" s="7"/>
      <c r="X786" s="7"/>
    </row>
    <row r="787" spans="2:24">
      <c r="B787" s="7"/>
      <c r="D787" s="7"/>
      <c r="F787" s="7"/>
      <c r="H787" s="7"/>
      <c r="J787" s="7"/>
      <c r="L787" s="7"/>
      <c r="N787" s="7"/>
      <c r="P787" s="7"/>
      <c r="R787" s="7"/>
      <c r="T787" s="7"/>
      <c r="V787" s="7"/>
      <c r="X787" s="7"/>
    </row>
    <row r="788" spans="2:24">
      <c r="B788" s="7"/>
      <c r="D788" s="7"/>
      <c r="F788" s="7"/>
      <c r="H788" s="7"/>
      <c r="J788" s="7"/>
      <c r="L788" s="7"/>
      <c r="N788" s="7"/>
      <c r="P788" s="7"/>
      <c r="R788" s="7"/>
      <c r="T788" s="7"/>
      <c r="V788" s="7"/>
      <c r="X788" s="7"/>
    </row>
    <row r="789" spans="2:24">
      <c r="B789" s="7"/>
      <c r="D789" s="7"/>
      <c r="F789" s="7"/>
      <c r="H789" s="7"/>
      <c r="J789" s="7"/>
      <c r="L789" s="7"/>
      <c r="N789" s="7"/>
      <c r="P789" s="7"/>
      <c r="R789" s="7"/>
      <c r="T789" s="7"/>
      <c r="V789" s="7"/>
      <c r="X789" s="7"/>
    </row>
    <row r="790" spans="2:24">
      <c r="B790" s="7"/>
      <c r="D790" s="7"/>
      <c r="F790" s="7"/>
      <c r="H790" s="7"/>
      <c r="J790" s="7"/>
      <c r="L790" s="7"/>
      <c r="N790" s="7"/>
      <c r="P790" s="7"/>
      <c r="R790" s="7"/>
      <c r="T790" s="7"/>
      <c r="V790" s="7"/>
      <c r="X790" s="7"/>
    </row>
    <row r="791" spans="2:24">
      <c r="B791" s="7"/>
      <c r="D791" s="7"/>
      <c r="F791" s="7"/>
      <c r="H791" s="7"/>
      <c r="J791" s="7"/>
      <c r="L791" s="7"/>
      <c r="N791" s="7"/>
      <c r="P791" s="7"/>
      <c r="R791" s="7"/>
      <c r="T791" s="7"/>
      <c r="V791" s="7"/>
      <c r="X791" s="7"/>
    </row>
    <row r="792" spans="2:24">
      <c r="B792" s="7"/>
      <c r="D792" s="7"/>
      <c r="F792" s="7"/>
      <c r="H792" s="7"/>
      <c r="J792" s="7"/>
      <c r="L792" s="7"/>
      <c r="N792" s="7"/>
      <c r="P792" s="7"/>
      <c r="R792" s="7"/>
      <c r="T792" s="7"/>
      <c r="V792" s="7"/>
      <c r="X792" s="7"/>
    </row>
    <row r="793" spans="2:24">
      <c r="B793" s="7"/>
      <c r="D793" s="7"/>
      <c r="F793" s="7"/>
      <c r="H793" s="7"/>
      <c r="J793" s="7"/>
      <c r="L793" s="7"/>
      <c r="N793" s="7"/>
      <c r="P793" s="7"/>
      <c r="R793" s="7"/>
      <c r="T793" s="7"/>
      <c r="V793" s="7"/>
      <c r="X793" s="7"/>
    </row>
    <row r="794" spans="2:24">
      <c r="B794" s="7"/>
      <c r="D794" s="7"/>
      <c r="F794" s="7"/>
      <c r="H794" s="7"/>
      <c r="J794" s="7"/>
      <c r="L794" s="7"/>
      <c r="N794" s="7"/>
      <c r="P794" s="7"/>
      <c r="R794" s="7"/>
      <c r="T794" s="7"/>
      <c r="V794" s="7"/>
      <c r="X794" s="7"/>
    </row>
    <row r="795" spans="2:24">
      <c r="B795" s="7"/>
      <c r="D795" s="7"/>
      <c r="F795" s="7"/>
      <c r="H795" s="7"/>
      <c r="J795" s="7"/>
      <c r="L795" s="7"/>
      <c r="N795" s="7"/>
      <c r="P795" s="7"/>
      <c r="R795" s="7"/>
      <c r="T795" s="7"/>
      <c r="V795" s="7"/>
      <c r="X795" s="7"/>
    </row>
    <row r="796" spans="2:24">
      <c r="B796" s="7"/>
      <c r="D796" s="7"/>
      <c r="F796" s="7"/>
      <c r="H796" s="7"/>
      <c r="J796" s="7"/>
      <c r="L796" s="7"/>
      <c r="N796" s="7"/>
      <c r="P796" s="7"/>
      <c r="R796" s="7"/>
      <c r="T796" s="7"/>
      <c r="V796" s="7"/>
      <c r="X796" s="7"/>
    </row>
    <row r="797" spans="2:24">
      <c r="B797" s="7"/>
      <c r="D797" s="7"/>
      <c r="F797" s="7"/>
      <c r="H797" s="7"/>
      <c r="J797" s="7"/>
      <c r="L797" s="7"/>
      <c r="N797" s="7"/>
      <c r="P797" s="7"/>
      <c r="R797" s="7"/>
      <c r="T797" s="7"/>
      <c r="V797" s="7"/>
      <c r="X797" s="7"/>
    </row>
    <row r="798" spans="2:24">
      <c r="B798" s="7"/>
      <c r="D798" s="7"/>
      <c r="F798" s="7"/>
      <c r="H798" s="7"/>
      <c r="J798" s="7"/>
      <c r="L798" s="7"/>
      <c r="N798" s="7"/>
      <c r="P798" s="7"/>
      <c r="R798" s="7"/>
      <c r="T798" s="7"/>
      <c r="V798" s="7"/>
      <c r="X798" s="7"/>
    </row>
    <row r="799" spans="2:24">
      <c r="B799" s="7"/>
      <c r="D799" s="7"/>
      <c r="F799" s="7"/>
      <c r="H799" s="7"/>
      <c r="J799" s="7"/>
      <c r="L799" s="7"/>
      <c r="N799" s="7"/>
      <c r="P799" s="7"/>
      <c r="R799" s="7"/>
      <c r="T799" s="7"/>
      <c r="V799" s="7"/>
      <c r="X799" s="7"/>
    </row>
    <row r="800" spans="2:24">
      <c r="B800" s="7"/>
      <c r="D800" s="7"/>
      <c r="F800" s="7"/>
      <c r="H800" s="7"/>
      <c r="J800" s="7"/>
      <c r="L800" s="7"/>
      <c r="N800" s="7"/>
      <c r="P800" s="7"/>
      <c r="R800" s="7"/>
      <c r="T800" s="7"/>
      <c r="V800" s="7"/>
      <c r="X800" s="7"/>
    </row>
    <row r="801" spans="2:24">
      <c r="B801" s="7"/>
      <c r="D801" s="7"/>
      <c r="F801" s="7"/>
      <c r="H801" s="7"/>
      <c r="J801" s="7"/>
      <c r="L801" s="7"/>
      <c r="N801" s="7"/>
      <c r="P801" s="7"/>
      <c r="R801" s="7"/>
      <c r="T801" s="7"/>
      <c r="V801" s="7"/>
      <c r="X801" s="7"/>
    </row>
    <row r="802" spans="2:24">
      <c r="B802" s="7"/>
      <c r="D802" s="7"/>
      <c r="F802" s="7"/>
      <c r="H802" s="7"/>
      <c r="J802" s="7"/>
      <c r="L802" s="7"/>
      <c r="N802" s="7"/>
      <c r="P802" s="7"/>
      <c r="R802" s="7"/>
      <c r="T802" s="7"/>
      <c r="V802" s="7"/>
      <c r="X802" s="7"/>
    </row>
    <row r="803" spans="2:24">
      <c r="B803" s="7"/>
      <c r="D803" s="7"/>
      <c r="F803" s="7"/>
      <c r="H803" s="7"/>
      <c r="J803" s="7"/>
      <c r="L803" s="7"/>
      <c r="N803" s="7"/>
      <c r="P803" s="7"/>
      <c r="R803" s="7"/>
      <c r="T803" s="7"/>
      <c r="V803" s="7"/>
      <c r="X803" s="7"/>
    </row>
    <row r="804" spans="2:24">
      <c r="B804" s="7"/>
      <c r="D804" s="7"/>
      <c r="F804" s="7"/>
      <c r="H804" s="7"/>
      <c r="J804" s="7"/>
      <c r="L804" s="7"/>
      <c r="N804" s="7"/>
      <c r="P804" s="7"/>
      <c r="R804" s="7"/>
      <c r="T804" s="7"/>
      <c r="V804" s="7"/>
      <c r="X804" s="7"/>
    </row>
    <row r="805" spans="2:24">
      <c r="B805" s="7"/>
      <c r="D805" s="7"/>
      <c r="F805" s="7"/>
      <c r="H805" s="7"/>
      <c r="J805" s="7"/>
      <c r="L805" s="7"/>
      <c r="N805" s="7"/>
      <c r="P805" s="7"/>
      <c r="R805" s="7"/>
      <c r="T805" s="7"/>
      <c r="V805" s="7"/>
      <c r="X805" s="7"/>
    </row>
    <row r="806" spans="2:24">
      <c r="B806" s="7"/>
      <c r="D806" s="7"/>
      <c r="F806" s="7"/>
      <c r="H806" s="7"/>
      <c r="J806" s="7"/>
      <c r="L806" s="7"/>
      <c r="N806" s="7"/>
      <c r="P806" s="7"/>
      <c r="R806" s="7"/>
      <c r="T806" s="7"/>
      <c r="V806" s="7"/>
      <c r="X806" s="7"/>
    </row>
    <row r="807" spans="2:24">
      <c r="B807" s="7"/>
      <c r="D807" s="7"/>
      <c r="F807" s="7"/>
      <c r="H807" s="7"/>
      <c r="J807" s="7"/>
      <c r="L807" s="7"/>
      <c r="N807" s="7"/>
      <c r="P807" s="7"/>
      <c r="R807" s="7"/>
      <c r="T807" s="7"/>
      <c r="V807" s="7"/>
      <c r="X807" s="7"/>
    </row>
    <row r="808" spans="2:24">
      <c r="B808" s="7"/>
      <c r="D808" s="7"/>
      <c r="F808" s="7"/>
      <c r="H808" s="7"/>
      <c r="J808" s="7"/>
      <c r="L808" s="7"/>
      <c r="N808" s="7"/>
      <c r="P808" s="7"/>
      <c r="R808" s="7"/>
      <c r="T808" s="7"/>
      <c r="V808" s="7"/>
      <c r="X808" s="7"/>
    </row>
    <row r="809" spans="2:24">
      <c r="B809" s="7"/>
      <c r="D809" s="7"/>
      <c r="F809" s="7"/>
      <c r="H809" s="7"/>
      <c r="J809" s="7"/>
      <c r="L809" s="7"/>
      <c r="N809" s="7"/>
      <c r="P809" s="7"/>
      <c r="R809" s="7"/>
      <c r="T809" s="7"/>
      <c r="V809" s="7"/>
      <c r="X809" s="7"/>
    </row>
    <row r="810" spans="2:24">
      <c r="B810" s="7"/>
      <c r="D810" s="7"/>
      <c r="F810" s="7"/>
      <c r="H810" s="7"/>
      <c r="J810" s="7"/>
      <c r="L810" s="7"/>
      <c r="N810" s="7"/>
      <c r="P810" s="7"/>
      <c r="R810" s="7"/>
      <c r="T810" s="7"/>
      <c r="V810" s="7"/>
      <c r="X810" s="7"/>
    </row>
    <row r="811" spans="2:24">
      <c r="B811" s="7"/>
      <c r="D811" s="7"/>
      <c r="F811" s="7"/>
      <c r="H811" s="7"/>
      <c r="J811" s="7"/>
      <c r="L811" s="7"/>
      <c r="N811" s="7"/>
      <c r="P811" s="7"/>
      <c r="R811" s="7"/>
      <c r="T811" s="7"/>
      <c r="V811" s="7"/>
      <c r="X811" s="7"/>
    </row>
    <row r="812" spans="2:24">
      <c r="B812" s="7"/>
      <c r="D812" s="7"/>
      <c r="F812" s="7"/>
      <c r="H812" s="7"/>
      <c r="J812" s="7"/>
      <c r="L812" s="7"/>
      <c r="N812" s="7"/>
      <c r="P812" s="7"/>
      <c r="R812" s="7"/>
      <c r="T812" s="7"/>
      <c r="V812" s="7"/>
      <c r="X812" s="7"/>
    </row>
    <row r="813" spans="2:24">
      <c r="B813" s="7"/>
      <c r="D813" s="7"/>
      <c r="F813" s="7"/>
      <c r="H813" s="7"/>
      <c r="J813" s="7"/>
      <c r="L813" s="7"/>
      <c r="N813" s="7"/>
      <c r="P813" s="7"/>
      <c r="R813" s="7"/>
      <c r="T813" s="7"/>
      <c r="V813" s="7"/>
      <c r="X813" s="7"/>
    </row>
    <row r="814" spans="2:24">
      <c r="B814" s="7"/>
      <c r="D814" s="7"/>
      <c r="F814" s="7"/>
      <c r="H814" s="7"/>
      <c r="J814" s="7"/>
      <c r="L814" s="7"/>
      <c r="N814" s="7"/>
      <c r="P814" s="7"/>
      <c r="R814" s="7"/>
      <c r="T814" s="7"/>
      <c r="V814" s="7"/>
      <c r="X814" s="7"/>
    </row>
    <row r="815" spans="2:24">
      <c r="B815" s="7"/>
      <c r="D815" s="7"/>
      <c r="F815" s="7"/>
      <c r="H815" s="7"/>
      <c r="J815" s="7"/>
      <c r="L815" s="7"/>
      <c r="N815" s="7"/>
      <c r="P815" s="7"/>
      <c r="R815" s="7"/>
      <c r="T815" s="7"/>
      <c r="V815" s="7"/>
      <c r="X815" s="7"/>
    </row>
    <row r="816" spans="2:24">
      <c r="B816" s="7"/>
      <c r="D816" s="7"/>
      <c r="F816" s="7"/>
      <c r="H816" s="7"/>
      <c r="J816" s="7"/>
      <c r="L816" s="7"/>
      <c r="N816" s="7"/>
      <c r="P816" s="7"/>
      <c r="R816" s="7"/>
      <c r="T816" s="7"/>
      <c r="V816" s="7"/>
      <c r="X816" s="7"/>
    </row>
    <row r="817" spans="2:24">
      <c r="B817" s="7"/>
      <c r="D817" s="7"/>
      <c r="F817" s="7"/>
      <c r="H817" s="7"/>
      <c r="J817" s="7"/>
      <c r="L817" s="7"/>
      <c r="N817" s="7"/>
      <c r="P817" s="7"/>
      <c r="R817" s="7"/>
      <c r="T817" s="7"/>
      <c r="V817" s="7"/>
      <c r="X817" s="7"/>
    </row>
    <row r="818" spans="2:24">
      <c r="B818" s="7"/>
      <c r="D818" s="7"/>
      <c r="F818" s="7"/>
      <c r="H818" s="7"/>
      <c r="J818" s="7"/>
      <c r="L818" s="7"/>
      <c r="N818" s="7"/>
      <c r="P818" s="7"/>
      <c r="R818" s="7"/>
      <c r="T818" s="7"/>
      <c r="V818" s="7"/>
      <c r="X818" s="7"/>
    </row>
    <row r="819" spans="2:24">
      <c r="B819" s="7"/>
      <c r="D819" s="7"/>
      <c r="F819" s="7"/>
      <c r="H819" s="7"/>
      <c r="J819" s="7"/>
      <c r="L819" s="7"/>
      <c r="N819" s="7"/>
      <c r="P819" s="7"/>
      <c r="R819" s="7"/>
      <c r="T819" s="7"/>
      <c r="V819" s="7"/>
      <c r="X819" s="7"/>
    </row>
    <row r="820" spans="2:24">
      <c r="B820" s="7"/>
      <c r="D820" s="7"/>
      <c r="F820" s="7"/>
      <c r="H820" s="7"/>
      <c r="J820" s="7"/>
      <c r="L820" s="7"/>
      <c r="N820" s="7"/>
      <c r="P820" s="7"/>
      <c r="R820" s="7"/>
      <c r="T820" s="7"/>
      <c r="V820" s="7"/>
      <c r="X820" s="7"/>
    </row>
    <row r="821" spans="2:24">
      <c r="B821" s="7"/>
      <c r="D821" s="7"/>
      <c r="F821" s="7"/>
      <c r="H821" s="7"/>
      <c r="J821" s="7"/>
      <c r="L821" s="7"/>
      <c r="N821" s="7"/>
      <c r="P821" s="7"/>
      <c r="R821" s="7"/>
      <c r="T821" s="7"/>
      <c r="V821" s="7"/>
      <c r="X821" s="7"/>
    </row>
    <row r="822" spans="2:24">
      <c r="B822" s="7"/>
      <c r="D822" s="7"/>
      <c r="F822" s="7"/>
      <c r="H822" s="7"/>
      <c r="J822" s="7"/>
      <c r="L822" s="7"/>
      <c r="N822" s="7"/>
      <c r="P822" s="7"/>
      <c r="R822" s="7"/>
      <c r="T822" s="7"/>
      <c r="V822" s="7"/>
      <c r="X822" s="7"/>
    </row>
    <row r="823" spans="2:24">
      <c r="B823" s="7"/>
      <c r="D823" s="7"/>
      <c r="F823" s="7"/>
      <c r="H823" s="7"/>
      <c r="J823" s="7"/>
      <c r="L823" s="7"/>
      <c r="N823" s="7"/>
      <c r="P823" s="7"/>
      <c r="R823" s="7"/>
      <c r="T823" s="7"/>
      <c r="V823" s="7"/>
      <c r="X823" s="7"/>
    </row>
    <row r="824" spans="2:24">
      <c r="B824" s="7"/>
      <c r="D824" s="7"/>
      <c r="F824" s="7"/>
      <c r="H824" s="7"/>
      <c r="J824" s="7"/>
      <c r="L824" s="7"/>
      <c r="N824" s="7"/>
      <c r="P824" s="7"/>
      <c r="R824" s="7"/>
      <c r="T824" s="7"/>
      <c r="V824" s="7"/>
      <c r="X824" s="7"/>
    </row>
    <row r="825" spans="2:24">
      <c r="B825" s="7"/>
      <c r="D825" s="7"/>
      <c r="F825" s="7"/>
      <c r="H825" s="7"/>
      <c r="J825" s="7"/>
      <c r="L825" s="7"/>
      <c r="N825" s="7"/>
      <c r="P825" s="7"/>
      <c r="R825" s="7"/>
      <c r="T825" s="7"/>
      <c r="V825" s="7"/>
      <c r="X825" s="7"/>
    </row>
    <row r="826" spans="2:24">
      <c r="B826" s="7"/>
      <c r="D826" s="7"/>
      <c r="F826" s="7"/>
      <c r="H826" s="7"/>
      <c r="J826" s="7"/>
      <c r="L826" s="7"/>
      <c r="N826" s="7"/>
      <c r="P826" s="7"/>
      <c r="R826" s="7"/>
      <c r="T826" s="7"/>
      <c r="V826" s="7"/>
      <c r="X826" s="7"/>
    </row>
    <row r="827" spans="2:24">
      <c r="B827" s="7"/>
      <c r="D827" s="7"/>
      <c r="F827" s="7"/>
      <c r="H827" s="7"/>
      <c r="J827" s="7"/>
      <c r="L827" s="7"/>
      <c r="N827" s="7"/>
      <c r="P827" s="7"/>
      <c r="R827" s="7"/>
      <c r="T827" s="7"/>
      <c r="V827" s="7"/>
      <c r="X827" s="7"/>
    </row>
    <row r="828" spans="2:24">
      <c r="B828" s="7"/>
      <c r="D828" s="7"/>
      <c r="F828" s="7"/>
      <c r="H828" s="7"/>
      <c r="J828" s="7"/>
      <c r="L828" s="7"/>
      <c r="N828" s="7"/>
      <c r="P828" s="7"/>
      <c r="R828" s="7"/>
      <c r="T828" s="7"/>
      <c r="V828" s="7"/>
      <c r="X828" s="7"/>
    </row>
    <row r="829" spans="2:24">
      <c r="B829" s="7"/>
      <c r="D829" s="7"/>
      <c r="F829" s="7"/>
      <c r="H829" s="7"/>
      <c r="J829" s="7"/>
      <c r="L829" s="7"/>
      <c r="N829" s="7"/>
      <c r="P829" s="7"/>
      <c r="R829" s="7"/>
      <c r="T829" s="7"/>
      <c r="V829" s="7"/>
      <c r="X829" s="7"/>
    </row>
    <row r="830" spans="2:24">
      <c r="B830" s="7"/>
      <c r="D830" s="7"/>
      <c r="F830" s="7"/>
      <c r="H830" s="7"/>
      <c r="J830" s="7"/>
      <c r="L830" s="7"/>
      <c r="N830" s="7"/>
      <c r="P830" s="7"/>
      <c r="R830" s="7"/>
      <c r="T830" s="7"/>
      <c r="V830" s="7"/>
      <c r="X830" s="7"/>
    </row>
    <row r="831" spans="2:24">
      <c r="B831" s="7"/>
      <c r="D831" s="7"/>
      <c r="F831" s="7"/>
      <c r="H831" s="7"/>
      <c r="J831" s="7"/>
      <c r="L831" s="7"/>
      <c r="N831" s="7"/>
      <c r="P831" s="7"/>
      <c r="R831" s="7"/>
      <c r="T831" s="7"/>
      <c r="V831" s="7"/>
      <c r="X831" s="7"/>
    </row>
    <row r="832" spans="2:24">
      <c r="B832" s="7"/>
      <c r="D832" s="7"/>
      <c r="F832" s="7"/>
      <c r="H832" s="7"/>
      <c r="J832" s="7"/>
      <c r="L832" s="7"/>
      <c r="N832" s="7"/>
      <c r="P832" s="7"/>
      <c r="R832" s="7"/>
      <c r="T832" s="7"/>
      <c r="V832" s="7"/>
      <c r="X832" s="7"/>
    </row>
    <row r="833" spans="2:24">
      <c r="B833" s="7"/>
      <c r="D833" s="7"/>
      <c r="F833" s="7"/>
      <c r="H833" s="7"/>
      <c r="J833" s="7"/>
      <c r="L833" s="7"/>
      <c r="N833" s="7"/>
      <c r="P833" s="7"/>
      <c r="R833" s="7"/>
      <c r="T833" s="7"/>
      <c r="V833" s="7"/>
      <c r="X833" s="7"/>
    </row>
    <row r="834" spans="2:24">
      <c r="B834" s="7"/>
      <c r="D834" s="7"/>
      <c r="F834" s="7"/>
      <c r="H834" s="7"/>
      <c r="J834" s="7"/>
      <c r="L834" s="7"/>
      <c r="N834" s="7"/>
      <c r="P834" s="7"/>
      <c r="R834" s="7"/>
      <c r="T834" s="7"/>
      <c r="V834" s="7"/>
      <c r="X834" s="7"/>
    </row>
    <row r="835" spans="2:24">
      <c r="B835" s="7"/>
      <c r="D835" s="7"/>
      <c r="F835" s="7"/>
      <c r="H835" s="7"/>
      <c r="J835" s="7"/>
      <c r="L835" s="7"/>
      <c r="N835" s="7"/>
      <c r="P835" s="7"/>
      <c r="R835" s="7"/>
      <c r="T835" s="7"/>
      <c r="V835" s="7"/>
      <c r="X835" s="7"/>
    </row>
    <row r="836" spans="2:24">
      <c r="B836" s="7"/>
      <c r="D836" s="7"/>
      <c r="F836" s="7"/>
      <c r="H836" s="7"/>
      <c r="J836" s="7"/>
      <c r="L836" s="7"/>
      <c r="N836" s="7"/>
      <c r="P836" s="7"/>
      <c r="R836" s="7"/>
      <c r="T836" s="7"/>
      <c r="V836" s="7"/>
      <c r="X836" s="7"/>
    </row>
    <row r="837" spans="2:24">
      <c r="B837" s="7"/>
      <c r="D837" s="7"/>
      <c r="F837" s="7"/>
      <c r="H837" s="7"/>
      <c r="J837" s="7"/>
      <c r="L837" s="7"/>
      <c r="N837" s="7"/>
      <c r="P837" s="7"/>
      <c r="R837" s="7"/>
      <c r="T837" s="7"/>
      <c r="V837" s="7"/>
      <c r="X837" s="7"/>
    </row>
    <row r="838" spans="2:24">
      <c r="B838" s="7"/>
      <c r="D838" s="7"/>
      <c r="F838" s="7"/>
      <c r="H838" s="7"/>
      <c r="J838" s="7"/>
      <c r="L838" s="7"/>
      <c r="N838" s="7"/>
      <c r="P838" s="7"/>
      <c r="R838" s="7"/>
      <c r="T838" s="7"/>
      <c r="V838" s="7"/>
      <c r="X838" s="7"/>
    </row>
    <row r="839" spans="2:24">
      <c r="B839" s="7"/>
      <c r="D839" s="7"/>
      <c r="F839" s="7"/>
      <c r="H839" s="7"/>
      <c r="J839" s="7"/>
      <c r="L839" s="7"/>
      <c r="N839" s="7"/>
      <c r="P839" s="7"/>
      <c r="R839" s="7"/>
      <c r="T839" s="7"/>
      <c r="V839" s="7"/>
      <c r="X839" s="7"/>
    </row>
    <row r="840" spans="2:24">
      <c r="B840" s="7"/>
      <c r="D840" s="7"/>
      <c r="F840" s="7"/>
      <c r="H840" s="7"/>
      <c r="J840" s="7"/>
      <c r="L840" s="7"/>
      <c r="N840" s="7"/>
      <c r="P840" s="7"/>
      <c r="R840" s="7"/>
      <c r="T840" s="7"/>
      <c r="V840" s="7"/>
      <c r="X840" s="7"/>
    </row>
    <row r="841" spans="2:24">
      <c r="B841" s="7"/>
      <c r="D841" s="7"/>
      <c r="F841" s="7"/>
      <c r="H841" s="7"/>
      <c r="J841" s="7"/>
      <c r="L841" s="7"/>
      <c r="N841" s="7"/>
      <c r="P841" s="7"/>
      <c r="R841" s="7"/>
      <c r="T841" s="7"/>
      <c r="V841" s="7"/>
      <c r="X841" s="7"/>
    </row>
    <row r="842" spans="2:24">
      <c r="B842" s="7"/>
      <c r="D842" s="7"/>
      <c r="F842" s="7"/>
      <c r="H842" s="7"/>
      <c r="J842" s="7"/>
      <c r="L842" s="7"/>
      <c r="N842" s="7"/>
      <c r="P842" s="7"/>
      <c r="R842" s="7"/>
      <c r="T842" s="7"/>
      <c r="V842" s="7"/>
      <c r="X842" s="7"/>
    </row>
    <row r="843" spans="2:24">
      <c r="B843" s="7"/>
      <c r="D843" s="7"/>
      <c r="F843" s="7"/>
      <c r="H843" s="7"/>
      <c r="J843" s="7"/>
      <c r="L843" s="7"/>
      <c r="N843" s="7"/>
      <c r="P843" s="7"/>
      <c r="R843" s="7"/>
      <c r="T843" s="7"/>
      <c r="V843" s="7"/>
      <c r="X843" s="7"/>
    </row>
    <row r="844" spans="2:24">
      <c r="B844" s="7"/>
      <c r="D844" s="7"/>
      <c r="F844" s="7"/>
      <c r="H844" s="7"/>
      <c r="J844" s="7"/>
      <c r="L844" s="7"/>
      <c r="N844" s="7"/>
      <c r="P844" s="7"/>
      <c r="R844" s="7"/>
      <c r="T844" s="7"/>
      <c r="V844" s="7"/>
      <c r="X844" s="7"/>
    </row>
    <row r="845" spans="2:24">
      <c r="B845" s="7"/>
      <c r="D845" s="7"/>
      <c r="F845" s="7"/>
      <c r="H845" s="7"/>
      <c r="J845" s="7"/>
      <c r="L845" s="7"/>
      <c r="N845" s="7"/>
      <c r="P845" s="7"/>
      <c r="R845" s="7"/>
      <c r="T845" s="7"/>
      <c r="V845" s="7"/>
      <c r="X845" s="7"/>
    </row>
    <row r="846" spans="2:24">
      <c r="B846" s="7"/>
      <c r="D846" s="7"/>
      <c r="F846" s="7"/>
      <c r="H846" s="7"/>
      <c r="J846" s="7"/>
      <c r="L846" s="7"/>
      <c r="N846" s="7"/>
      <c r="P846" s="7"/>
      <c r="R846" s="7"/>
      <c r="T846" s="7"/>
      <c r="V846" s="7"/>
      <c r="X846" s="7"/>
    </row>
    <row r="847" spans="2:24">
      <c r="B847" s="7"/>
      <c r="D847" s="7"/>
      <c r="F847" s="7"/>
      <c r="H847" s="7"/>
      <c r="J847" s="7"/>
      <c r="L847" s="7"/>
      <c r="N847" s="7"/>
      <c r="P847" s="7"/>
      <c r="R847" s="7"/>
      <c r="T847" s="7"/>
      <c r="V847" s="7"/>
      <c r="X847" s="7"/>
    </row>
    <row r="848" spans="2:24">
      <c r="B848" s="7"/>
      <c r="D848" s="7"/>
      <c r="F848" s="7"/>
      <c r="H848" s="7"/>
      <c r="J848" s="7"/>
      <c r="L848" s="7"/>
      <c r="N848" s="7"/>
      <c r="P848" s="7"/>
      <c r="R848" s="7"/>
      <c r="T848" s="7"/>
      <c r="V848" s="7"/>
      <c r="X848" s="7"/>
    </row>
    <row r="849" spans="2:24">
      <c r="B849" s="7"/>
      <c r="D849" s="7"/>
      <c r="F849" s="7"/>
      <c r="H849" s="7"/>
      <c r="J849" s="7"/>
      <c r="L849" s="7"/>
      <c r="N849" s="7"/>
      <c r="P849" s="7"/>
      <c r="R849" s="7"/>
      <c r="T849" s="7"/>
      <c r="V849" s="7"/>
      <c r="X849" s="7"/>
    </row>
    <row r="850" spans="2:24">
      <c r="B850" s="7"/>
      <c r="D850" s="7"/>
      <c r="F850" s="7"/>
      <c r="H850" s="7"/>
      <c r="J850" s="7"/>
      <c r="L850" s="7"/>
      <c r="N850" s="7"/>
      <c r="P850" s="7"/>
      <c r="R850" s="7"/>
      <c r="T850" s="7"/>
      <c r="V850" s="7"/>
      <c r="X850" s="7"/>
    </row>
    <row r="851" spans="2:24">
      <c r="B851" s="7"/>
      <c r="D851" s="7"/>
      <c r="F851" s="7"/>
      <c r="H851" s="7"/>
      <c r="J851" s="7"/>
      <c r="L851" s="7"/>
      <c r="N851" s="7"/>
      <c r="P851" s="7"/>
      <c r="R851" s="7"/>
      <c r="T851" s="7"/>
      <c r="V851" s="7"/>
      <c r="X851" s="7"/>
    </row>
    <row r="852" spans="2:24">
      <c r="B852" s="7"/>
      <c r="D852" s="7"/>
      <c r="F852" s="7"/>
      <c r="H852" s="7"/>
      <c r="J852" s="7"/>
      <c r="L852" s="7"/>
      <c r="N852" s="7"/>
      <c r="P852" s="7"/>
      <c r="R852" s="7"/>
      <c r="T852" s="7"/>
      <c r="V852" s="7"/>
      <c r="X852" s="7"/>
    </row>
    <row r="853" spans="2:24">
      <c r="B853" s="7"/>
      <c r="D853" s="7"/>
      <c r="F853" s="7"/>
      <c r="H853" s="7"/>
      <c r="J853" s="7"/>
      <c r="L853" s="7"/>
      <c r="N853" s="7"/>
      <c r="P853" s="7"/>
      <c r="R853" s="7"/>
      <c r="T853" s="7"/>
      <c r="V853" s="7"/>
      <c r="X853" s="7"/>
    </row>
    <row r="854" spans="2:24">
      <c r="B854" s="7"/>
      <c r="D854" s="7"/>
      <c r="F854" s="7"/>
      <c r="H854" s="7"/>
      <c r="J854" s="7"/>
      <c r="L854" s="7"/>
      <c r="N854" s="7"/>
      <c r="P854" s="7"/>
      <c r="R854" s="7"/>
      <c r="T854" s="7"/>
      <c r="V854" s="7"/>
      <c r="X854" s="7"/>
    </row>
    <row r="855" spans="2:24">
      <c r="B855" s="7"/>
      <c r="D855" s="7"/>
      <c r="F855" s="7"/>
      <c r="H855" s="7"/>
      <c r="J855" s="7"/>
      <c r="L855" s="7"/>
      <c r="N855" s="7"/>
      <c r="P855" s="7"/>
      <c r="R855" s="7"/>
      <c r="T855" s="7"/>
      <c r="V855" s="7"/>
      <c r="X855" s="7"/>
    </row>
    <row r="856" spans="2:24">
      <c r="B856" s="7"/>
      <c r="D856" s="7"/>
      <c r="F856" s="7"/>
      <c r="H856" s="7"/>
      <c r="J856" s="7"/>
      <c r="L856" s="7"/>
      <c r="N856" s="7"/>
      <c r="P856" s="7"/>
      <c r="R856" s="7"/>
      <c r="T856" s="7"/>
      <c r="V856" s="7"/>
      <c r="X856" s="7"/>
    </row>
    <row r="857" spans="2:24">
      <c r="B857" s="7"/>
      <c r="D857" s="7"/>
      <c r="F857" s="7"/>
      <c r="H857" s="7"/>
      <c r="J857" s="7"/>
      <c r="L857" s="7"/>
      <c r="N857" s="7"/>
      <c r="P857" s="7"/>
      <c r="R857" s="7"/>
      <c r="T857" s="7"/>
      <c r="V857" s="7"/>
      <c r="X857" s="7"/>
    </row>
    <row r="858" spans="2:24">
      <c r="B858" s="7"/>
      <c r="D858" s="7"/>
      <c r="F858" s="7"/>
      <c r="H858" s="7"/>
      <c r="J858" s="7"/>
      <c r="L858" s="7"/>
      <c r="N858" s="7"/>
      <c r="P858" s="7"/>
      <c r="R858" s="7"/>
      <c r="T858" s="7"/>
      <c r="V858" s="7"/>
      <c r="X858" s="7"/>
    </row>
    <row r="859" spans="2:24">
      <c r="B859" s="7"/>
      <c r="D859" s="7"/>
      <c r="F859" s="7"/>
      <c r="H859" s="7"/>
      <c r="J859" s="7"/>
      <c r="L859" s="7"/>
      <c r="N859" s="7"/>
      <c r="P859" s="7"/>
      <c r="R859" s="7"/>
      <c r="T859" s="7"/>
      <c r="V859" s="7"/>
      <c r="X859" s="7"/>
    </row>
    <row r="860" spans="2:24">
      <c r="B860" s="7"/>
      <c r="D860" s="7"/>
      <c r="F860" s="7"/>
      <c r="H860" s="7"/>
      <c r="J860" s="7"/>
      <c r="L860" s="7"/>
      <c r="N860" s="7"/>
      <c r="P860" s="7"/>
      <c r="R860" s="7"/>
      <c r="T860" s="7"/>
      <c r="V860" s="7"/>
      <c r="X860" s="7"/>
    </row>
    <row r="861" spans="2:24">
      <c r="B861" s="7"/>
      <c r="D861" s="7"/>
      <c r="F861" s="7"/>
      <c r="H861" s="7"/>
      <c r="J861" s="7"/>
      <c r="L861" s="7"/>
      <c r="N861" s="7"/>
      <c r="P861" s="7"/>
      <c r="R861" s="7"/>
      <c r="T861" s="7"/>
      <c r="V861" s="7"/>
      <c r="X861" s="7"/>
    </row>
    <row r="862" spans="2:24">
      <c r="B862" s="7"/>
      <c r="D862" s="7"/>
      <c r="F862" s="7"/>
      <c r="H862" s="7"/>
      <c r="J862" s="7"/>
      <c r="L862" s="7"/>
      <c r="N862" s="7"/>
      <c r="P862" s="7"/>
      <c r="R862" s="7"/>
      <c r="T862" s="7"/>
      <c r="V862" s="7"/>
      <c r="X862" s="7"/>
    </row>
    <row r="863" spans="2:24">
      <c r="B863" s="7"/>
      <c r="D863" s="7"/>
      <c r="F863" s="7"/>
      <c r="H863" s="7"/>
      <c r="J863" s="7"/>
      <c r="L863" s="7"/>
      <c r="N863" s="7"/>
      <c r="P863" s="7"/>
      <c r="R863" s="7"/>
      <c r="T863" s="7"/>
      <c r="V863" s="7"/>
      <c r="X863" s="7"/>
    </row>
    <row r="864" spans="2:24">
      <c r="B864" s="7"/>
      <c r="D864" s="7"/>
      <c r="F864" s="7"/>
      <c r="H864" s="7"/>
      <c r="J864" s="7"/>
      <c r="L864" s="7"/>
      <c r="N864" s="7"/>
      <c r="P864" s="7"/>
      <c r="R864" s="7"/>
      <c r="T864" s="7"/>
      <c r="V864" s="7"/>
      <c r="X864" s="7"/>
    </row>
    <row r="865" spans="2:24">
      <c r="B865" s="7"/>
      <c r="D865" s="7"/>
      <c r="F865" s="7"/>
      <c r="H865" s="7"/>
      <c r="J865" s="7"/>
      <c r="L865" s="7"/>
      <c r="N865" s="7"/>
      <c r="P865" s="7"/>
      <c r="R865" s="7"/>
      <c r="T865" s="7"/>
      <c r="V865" s="7"/>
      <c r="X865" s="7"/>
    </row>
    <row r="866" spans="2:24">
      <c r="B866" s="7"/>
      <c r="D866" s="7"/>
      <c r="F866" s="7"/>
      <c r="H866" s="7"/>
      <c r="J866" s="7"/>
      <c r="L866" s="7"/>
      <c r="N866" s="7"/>
      <c r="P866" s="7"/>
      <c r="R866" s="7"/>
      <c r="T866" s="7"/>
      <c r="V866" s="7"/>
      <c r="X866" s="7"/>
    </row>
    <row r="867" spans="2:24">
      <c r="B867" s="7"/>
      <c r="D867" s="7"/>
      <c r="F867" s="7"/>
      <c r="H867" s="7"/>
      <c r="J867" s="7"/>
      <c r="L867" s="7"/>
      <c r="N867" s="7"/>
      <c r="P867" s="7"/>
      <c r="R867" s="7"/>
      <c r="T867" s="7"/>
      <c r="V867" s="7"/>
      <c r="X867" s="7"/>
    </row>
    <row r="868" spans="2:24">
      <c r="B868" s="7"/>
      <c r="D868" s="7"/>
      <c r="F868" s="7"/>
      <c r="H868" s="7"/>
      <c r="J868" s="7"/>
      <c r="L868" s="7"/>
      <c r="N868" s="7"/>
      <c r="P868" s="7"/>
      <c r="R868" s="7"/>
      <c r="T868" s="7"/>
      <c r="V868" s="7"/>
      <c r="X868" s="7"/>
    </row>
    <row r="869" spans="2:24">
      <c r="B869" s="7"/>
      <c r="D869" s="7"/>
      <c r="F869" s="7"/>
      <c r="H869" s="7"/>
      <c r="J869" s="7"/>
      <c r="L869" s="7"/>
      <c r="N869" s="7"/>
      <c r="P869" s="7"/>
      <c r="R869" s="7"/>
      <c r="T869" s="7"/>
      <c r="V869" s="7"/>
      <c r="X869" s="7"/>
    </row>
    <row r="870" spans="2:24">
      <c r="B870" s="7"/>
      <c r="D870" s="7"/>
      <c r="F870" s="7"/>
      <c r="H870" s="7"/>
      <c r="J870" s="7"/>
      <c r="L870" s="7"/>
      <c r="N870" s="7"/>
      <c r="P870" s="7"/>
      <c r="R870" s="7"/>
      <c r="T870" s="7"/>
      <c r="V870" s="7"/>
      <c r="X870" s="7"/>
    </row>
    <row r="871" spans="2:24">
      <c r="B871" s="7"/>
      <c r="D871" s="7"/>
      <c r="F871" s="7"/>
      <c r="H871" s="7"/>
      <c r="J871" s="7"/>
      <c r="L871" s="7"/>
      <c r="N871" s="7"/>
      <c r="P871" s="7"/>
      <c r="R871" s="7"/>
      <c r="T871" s="7"/>
      <c r="V871" s="7"/>
      <c r="X871" s="7"/>
    </row>
    <row r="872" spans="2:24">
      <c r="B872" s="7"/>
      <c r="D872" s="7"/>
      <c r="F872" s="7"/>
      <c r="H872" s="7"/>
      <c r="J872" s="7"/>
      <c r="L872" s="7"/>
      <c r="N872" s="7"/>
      <c r="P872" s="7"/>
      <c r="R872" s="7"/>
      <c r="T872" s="7"/>
      <c r="V872" s="7"/>
      <c r="X872" s="7"/>
    </row>
    <row r="873" spans="2:24">
      <c r="B873" s="7"/>
      <c r="D873" s="7"/>
      <c r="F873" s="7"/>
      <c r="H873" s="7"/>
      <c r="J873" s="7"/>
      <c r="L873" s="7"/>
      <c r="N873" s="7"/>
      <c r="P873" s="7"/>
      <c r="R873" s="7"/>
      <c r="T873" s="7"/>
      <c r="V873" s="7"/>
      <c r="X873" s="7"/>
    </row>
    <row r="874" spans="2:24">
      <c r="B874" s="7"/>
      <c r="D874" s="7"/>
      <c r="F874" s="7"/>
      <c r="H874" s="7"/>
      <c r="J874" s="7"/>
      <c r="L874" s="7"/>
      <c r="N874" s="7"/>
      <c r="P874" s="7"/>
      <c r="R874" s="7"/>
      <c r="T874" s="7"/>
      <c r="V874" s="7"/>
      <c r="X874" s="7"/>
    </row>
    <row r="875" spans="2:24">
      <c r="B875" s="7"/>
      <c r="D875" s="7"/>
      <c r="F875" s="7"/>
      <c r="H875" s="7"/>
      <c r="J875" s="7"/>
      <c r="L875" s="7"/>
      <c r="N875" s="7"/>
      <c r="P875" s="7"/>
      <c r="R875" s="7"/>
      <c r="T875" s="7"/>
      <c r="V875" s="7"/>
      <c r="X875" s="7"/>
    </row>
    <row r="876" spans="2:24">
      <c r="B876" s="7"/>
      <c r="D876" s="7"/>
      <c r="F876" s="7"/>
      <c r="H876" s="7"/>
      <c r="J876" s="7"/>
      <c r="L876" s="7"/>
      <c r="N876" s="7"/>
      <c r="P876" s="7"/>
      <c r="R876" s="7"/>
      <c r="T876" s="7"/>
      <c r="V876" s="7"/>
      <c r="X876" s="7"/>
    </row>
    <row r="877" spans="2:24">
      <c r="B877" s="7"/>
      <c r="D877" s="7"/>
      <c r="F877" s="7"/>
      <c r="H877" s="7"/>
      <c r="J877" s="7"/>
      <c r="L877" s="7"/>
      <c r="N877" s="7"/>
      <c r="P877" s="7"/>
      <c r="R877" s="7"/>
      <c r="T877" s="7"/>
      <c r="V877" s="7"/>
      <c r="X877" s="7"/>
    </row>
    <row r="878" spans="2:24">
      <c r="B878" s="7"/>
      <c r="D878" s="7"/>
      <c r="F878" s="7"/>
      <c r="H878" s="7"/>
      <c r="J878" s="7"/>
      <c r="L878" s="7"/>
      <c r="N878" s="7"/>
      <c r="P878" s="7"/>
      <c r="R878" s="7"/>
      <c r="T878" s="7"/>
      <c r="V878" s="7"/>
      <c r="X878" s="7"/>
    </row>
    <row r="879" spans="2:24">
      <c r="B879" s="7"/>
      <c r="D879" s="7"/>
      <c r="F879" s="7"/>
      <c r="H879" s="7"/>
      <c r="J879" s="7"/>
      <c r="L879" s="7"/>
      <c r="N879" s="7"/>
      <c r="P879" s="7"/>
      <c r="R879" s="7"/>
      <c r="T879" s="7"/>
      <c r="V879" s="7"/>
      <c r="X879" s="7"/>
    </row>
    <row r="880" spans="2:24">
      <c r="B880" s="7"/>
      <c r="D880" s="7"/>
      <c r="F880" s="7"/>
      <c r="H880" s="7"/>
      <c r="J880" s="7"/>
      <c r="L880" s="7"/>
      <c r="N880" s="7"/>
      <c r="P880" s="7"/>
      <c r="R880" s="7"/>
      <c r="T880" s="7"/>
      <c r="V880" s="7"/>
      <c r="X880" s="7"/>
    </row>
    <row r="881" spans="2:24">
      <c r="B881" s="7"/>
      <c r="D881" s="7"/>
      <c r="F881" s="7"/>
      <c r="H881" s="7"/>
      <c r="J881" s="7"/>
      <c r="L881" s="7"/>
      <c r="N881" s="7"/>
      <c r="P881" s="7"/>
      <c r="R881" s="7"/>
      <c r="T881" s="7"/>
      <c r="V881" s="7"/>
      <c r="X881" s="7"/>
    </row>
    <row r="882" spans="2:24">
      <c r="B882" s="7"/>
      <c r="D882" s="7"/>
      <c r="F882" s="7"/>
      <c r="H882" s="7"/>
      <c r="J882" s="7"/>
      <c r="L882" s="7"/>
      <c r="N882" s="7"/>
      <c r="P882" s="7"/>
      <c r="R882" s="7"/>
      <c r="T882" s="7"/>
      <c r="V882" s="7"/>
      <c r="X882" s="7"/>
    </row>
    <row r="883" spans="2:24">
      <c r="B883" s="7"/>
      <c r="D883" s="7"/>
      <c r="F883" s="7"/>
      <c r="H883" s="7"/>
      <c r="J883" s="7"/>
      <c r="L883" s="7"/>
      <c r="N883" s="7"/>
      <c r="P883" s="7"/>
      <c r="R883" s="7"/>
      <c r="T883" s="7"/>
      <c r="V883" s="7"/>
      <c r="X883" s="7"/>
    </row>
    <row r="884" spans="2:24">
      <c r="B884" s="7"/>
      <c r="D884" s="7"/>
      <c r="F884" s="7"/>
      <c r="H884" s="7"/>
      <c r="J884" s="7"/>
      <c r="L884" s="7"/>
      <c r="N884" s="7"/>
      <c r="P884" s="7"/>
      <c r="R884" s="7"/>
      <c r="T884" s="7"/>
      <c r="V884" s="7"/>
      <c r="X884" s="7"/>
    </row>
    <row r="885" spans="2:24">
      <c r="B885" s="7"/>
      <c r="D885" s="7"/>
      <c r="F885" s="7"/>
      <c r="H885" s="7"/>
      <c r="J885" s="7"/>
      <c r="L885" s="7"/>
      <c r="N885" s="7"/>
      <c r="P885" s="7"/>
      <c r="R885" s="7"/>
      <c r="T885" s="7"/>
      <c r="V885" s="7"/>
      <c r="X885" s="7"/>
    </row>
    <row r="886" spans="2:24">
      <c r="B886" s="7"/>
      <c r="D886" s="7"/>
      <c r="F886" s="7"/>
      <c r="H886" s="7"/>
      <c r="J886" s="7"/>
      <c r="L886" s="7"/>
      <c r="N886" s="7"/>
      <c r="P886" s="7"/>
      <c r="R886" s="7"/>
      <c r="T886" s="7"/>
      <c r="V886" s="7"/>
      <c r="X886" s="7"/>
    </row>
    <row r="887" spans="2:24">
      <c r="B887" s="7"/>
      <c r="D887" s="7"/>
      <c r="F887" s="7"/>
      <c r="H887" s="7"/>
      <c r="J887" s="7"/>
      <c r="L887" s="7"/>
      <c r="N887" s="7"/>
      <c r="P887" s="7"/>
      <c r="R887" s="7"/>
      <c r="T887" s="7"/>
      <c r="V887" s="7"/>
      <c r="X887" s="7"/>
    </row>
    <row r="888" spans="2:24">
      <c r="B888" s="7"/>
      <c r="D888" s="7"/>
      <c r="F888" s="7"/>
      <c r="H888" s="7"/>
      <c r="J888" s="7"/>
      <c r="L888" s="7"/>
      <c r="N888" s="7"/>
      <c r="P888" s="7"/>
      <c r="R888" s="7"/>
      <c r="T888" s="7"/>
      <c r="V888" s="7"/>
      <c r="X888" s="7"/>
    </row>
    <row r="889" spans="2:24">
      <c r="B889" s="7"/>
      <c r="D889" s="7"/>
      <c r="F889" s="7"/>
      <c r="H889" s="7"/>
      <c r="J889" s="7"/>
      <c r="L889" s="7"/>
      <c r="N889" s="7"/>
      <c r="P889" s="7"/>
      <c r="R889" s="7"/>
      <c r="T889" s="7"/>
      <c r="V889" s="7"/>
      <c r="X889" s="7"/>
    </row>
    <row r="890" spans="2:24">
      <c r="B890" s="7"/>
      <c r="D890" s="7"/>
      <c r="F890" s="7"/>
      <c r="H890" s="7"/>
      <c r="J890" s="7"/>
      <c r="L890" s="7"/>
      <c r="N890" s="7"/>
      <c r="P890" s="7"/>
      <c r="R890" s="7"/>
      <c r="T890" s="7"/>
      <c r="V890" s="7"/>
      <c r="X890" s="7"/>
    </row>
    <row r="891" spans="2:24">
      <c r="B891" s="7"/>
      <c r="D891" s="7"/>
      <c r="F891" s="7"/>
      <c r="H891" s="7"/>
      <c r="J891" s="7"/>
      <c r="L891" s="7"/>
      <c r="N891" s="7"/>
      <c r="P891" s="7"/>
      <c r="R891" s="7"/>
      <c r="T891" s="7"/>
      <c r="V891" s="7"/>
      <c r="X891" s="7"/>
    </row>
    <row r="892" spans="2:24">
      <c r="B892" s="7"/>
      <c r="D892" s="7"/>
      <c r="F892" s="7"/>
      <c r="H892" s="7"/>
      <c r="J892" s="7"/>
      <c r="L892" s="7"/>
      <c r="N892" s="7"/>
      <c r="P892" s="7"/>
      <c r="R892" s="7"/>
      <c r="T892" s="7"/>
      <c r="V892" s="7"/>
      <c r="X892" s="7"/>
    </row>
    <row r="893" spans="2:24">
      <c r="B893" s="7"/>
      <c r="D893" s="7"/>
      <c r="F893" s="7"/>
      <c r="H893" s="7"/>
      <c r="J893" s="7"/>
      <c r="L893" s="7"/>
      <c r="N893" s="7"/>
      <c r="P893" s="7"/>
      <c r="R893" s="7"/>
      <c r="T893" s="7"/>
      <c r="V893" s="7"/>
      <c r="X893" s="7"/>
    </row>
    <row r="894" spans="2:24">
      <c r="B894" s="7"/>
      <c r="D894" s="7"/>
      <c r="F894" s="7"/>
      <c r="H894" s="7"/>
      <c r="J894" s="7"/>
      <c r="L894" s="7"/>
      <c r="N894" s="7"/>
      <c r="P894" s="7"/>
      <c r="R894" s="7"/>
      <c r="T894" s="7"/>
      <c r="V894" s="7"/>
      <c r="X894" s="7"/>
    </row>
    <row r="895" spans="2:24">
      <c r="B895" s="7"/>
      <c r="D895" s="7"/>
      <c r="F895" s="7"/>
      <c r="H895" s="7"/>
      <c r="J895" s="7"/>
      <c r="L895" s="7"/>
      <c r="N895" s="7"/>
      <c r="P895" s="7"/>
      <c r="R895" s="7"/>
      <c r="T895" s="7"/>
      <c r="V895" s="7"/>
      <c r="X895" s="7"/>
    </row>
    <row r="896" spans="2:24">
      <c r="B896" s="7"/>
      <c r="D896" s="7"/>
      <c r="F896" s="7"/>
      <c r="H896" s="7"/>
      <c r="J896" s="7"/>
      <c r="L896" s="7"/>
      <c r="N896" s="7"/>
      <c r="P896" s="7"/>
      <c r="R896" s="7"/>
      <c r="T896" s="7"/>
      <c r="V896" s="7"/>
      <c r="X896" s="7"/>
    </row>
    <row r="897" spans="2:24">
      <c r="B897" s="7"/>
      <c r="D897" s="7"/>
      <c r="F897" s="7"/>
      <c r="H897" s="7"/>
      <c r="J897" s="7"/>
      <c r="L897" s="7"/>
      <c r="N897" s="7"/>
      <c r="P897" s="7"/>
      <c r="R897" s="7"/>
      <c r="T897" s="7"/>
      <c r="V897" s="7"/>
      <c r="X897" s="7"/>
    </row>
    <row r="898" spans="2:24">
      <c r="B898" s="7"/>
      <c r="D898" s="7"/>
      <c r="F898" s="7"/>
      <c r="H898" s="7"/>
      <c r="J898" s="7"/>
      <c r="L898" s="7"/>
      <c r="N898" s="7"/>
      <c r="P898" s="7"/>
      <c r="R898" s="7"/>
      <c r="T898" s="7"/>
      <c r="V898" s="7"/>
      <c r="X898" s="7"/>
    </row>
    <row r="899" spans="2:24">
      <c r="B899" s="7"/>
      <c r="D899" s="7"/>
      <c r="F899" s="7"/>
      <c r="H899" s="7"/>
      <c r="J899" s="7"/>
      <c r="L899" s="7"/>
      <c r="N899" s="7"/>
      <c r="P899" s="7"/>
      <c r="R899" s="7"/>
      <c r="T899" s="7"/>
      <c r="V899" s="7"/>
      <c r="X899" s="7"/>
    </row>
    <row r="900" spans="2:24">
      <c r="B900" s="7"/>
      <c r="D900" s="7"/>
      <c r="F900" s="7"/>
      <c r="H900" s="7"/>
      <c r="J900" s="7"/>
      <c r="L900" s="7"/>
      <c r="N900" s="7"/>
      <c r="P900" s="7"/>
      <c r="R900" s="7"/>
      <c r="T900" s="7"/>
      <c r="V900" s="7"/>
      <c r="X900" s="7"/>
    </row>
    <row r="901" spans="2:24">
      <c r="B901" s="7"/>
      <c r="D901" s="7"/>
      <c r="F901" s="7"/>
      <c r="H901" s="7"/>
      <c r="J901" s="7"/>
      <c r="L901" s="7"/>
      <c r="N901" s="7"/>
      <c r="P901" s="7"/>
      <c r="R901" s="7"/>
      <c r="T901" s="7"/>
      <c r="V901" s="7"/>
      <c r="X901" s="7"/>
    </row>
    <row r="902" spans="2:24">
      <c r="B902" s="7"/>
      <c r="D902" s="7"/>
      <c r="F902" s="7"/>
      <c r="H902" s="7"/>
      <c r="J902" s="7"/>
      <c r="L902" s="7"/>
      <c r="N902" s="7"/>
      <c r="P902" s="7"/>
      <c r="R902" s="7"/>
      <c r="T902" s="7"/>
      <c r="V902" s="7"/>
      <c r="X902" s="7"/>
    </row>
    <row r="903" spans="2:24">
      <c r="B903" s="7"/>
      <c r="D903" s="7"/>
      <c r="F903" s="7"/>
      <c r="H903" s="7"/>
      <c r="J903" s="7"/>
      <c r="L903" s="7"/>
      <c r="N903" s="7"/>
      <c r="P903" s="7"/>
      <c r="R903" s="7"/>
      <c r="T903" s="7"/>
      <c r="V903" s="7"/>
      <c r="X903" s="7"/>
    </row>
    <row r="904" spans="2:24">
      <c r="B904" s="7"/>
      <c r="D904" s="7"/>
      <c r="F904" s="7"/>
      <c r="H904" s="7"/>
      <c r="J904" s="7"/>
      <c r="L904" s="7"/>
      <c r="N904" s="7"/>
      <c r="P904" s="7"/>
      <c r="R904" s="7"/>
      <c r="T904" s="7"/>
      <c r="V904" s="7"/>
      <c r="X904" s="7"/>
    </row>
    <row r="905" spans="2:24">
      <c r="B905" s="7"/>
      <c r="D905" s="7"/>
      <c r="F905" s="7"/>
      <c r="H905" s="7"/>
      <c r="J905" s="7"/>
      <c r="L905" s="7"/>
      <c r="N905" s="7"/>
      <c r="P905" s="7"/>
      <c r="R905" s="7"/>
      <c r="T905" s="7"/>
      <c r="V905" s="7"/>
      <c r="X905" s="7"/>
    </row>
    <row r="906" spans="2:24">
      <c r="B906" s="7"/>
      <c r="D906" s="7"/>
      <c r="F906" s="7"/>
      <c r="H906" s="7"/>
      <c r="J906" s="7"/>
      <c r="L906" s="7"/>
      <c r="N906" s="7"/>
      <c r="P906" s="7"/>
      <c r="R906" s="7"/>
      <c r="T906" s="7"/>
      <c r="V906" s="7"/>
      <c r="X906" s="7"/>
    </row>
    <row r="907" spans="2:24">
      <c r="B907" s="7"/>
      <c r="D907" s="7"/>
      <c r="F907" s="7"/>
      <c r="H907" s="7"/>
      <c r="J907" s="7"/>
      <c r="L907" s="7"/>
      <c r="N907" s="7"/>
      <c r="P907" s="7"/>
      <c r="R907" s="7"/>
      <c r="T907" s="7"/>
      <c r="V907" s="7"/>
      <c r="X907" s="7"/>
    </row>
    <row r="908" spans="2:24">
      <c r="B908" s="7"/>
      <c r="D908" s="7"/>
      <c r="F908" s="7"/>
      <c r="H908" s="7"/>
      <c r="J908" s="7"/>
      <c r="L908" s="7"/>
      <c r="N908" s="7"/>
      <c r="P908" s="7"/>
      <c r="R908" s="7"/>
      <c r="T908" s="7"/>
      <c r="V908" s="7"/>
      <c r="X908" s="7"/>
    </row>
    <row r="909" spans="2:24">
      <c r="B909" s="7"/>
      <c r="D909" s="7"/>
      <c r="F909" s="7"/>
      <c r="H909" s="7"/>
      <c r="J909" s="7"/>
      <c r="L909" s="7"/>
      <c r="N909" s="7"/>
      <c r="P909" s="7"/>
      <c r="R909" s="7"/>
      <c r="T909" s="7"/>
      <c r="V909" s="7"/>
      <c r="X909" s="7"/>
    </row>
    <row r="910" spans="2:24">
      <c r="B910" s="7"/>
      <c r="D910" s="7"/>
      <c r="F910" s="7"/>
      <c r="H910" s="7"/>
      <c r="J910" s="7"/>
      <c r="L910" s="7"/>
      <c r="N910" s="7"/>
      <c r="P910" s="7"/>
      <c r="R910" s="7"/>
      <c r="T910" s="7"/>
      <c r="V910" s="7"/>
      <c r="X910" s="7"/>
    </row>
    <row r="911" spans="2:24">
      <c r="B911" s="7"/>
      <c r="D911" s="7"/>
      <c r="F911" s="7"/>
      <c r="H911" s="7"/>
      <c r="J911" s="7"/>
      <c r="L911" s="7"/>
      <c r="N911" s="7"/>
      <c r="P911" s="7"/>
      <c r="R911" s="7"/>
      <c r="T911" s="7"/>
      <c r="V911" s="7"/>
      <c r="X911" s="7"/>
    </row>
    <row r="912" spans="2:24">
      <c r="B912" s="7"/>
      <c r="D912" s="7"/>
      <c r="F912" s="7"/>
      <c r="H912" s="7"/>
      <c r="J912" s="7"/>
      <c r="L912" s="7"/>
      <c r="N912" s="7"/>
      <c r="P912" s="7"/>
      <c r="R912" s="7"/>
      <c r="T912" s="7"/>
      <c r="V912" s="7"/>
      <c r="X912" s="7"/>
    </row>
    <row r="913" spans="2:24">
      <c r="B913" s="7"/>
      <c r="D913" s="7"/>
      <c r="F913" s="7"/>
      <c r="H913" s="7"/>
      <c r="J913" s="7"/>
      <c r="L913" s="7"/>
      <c r="N913" s="7"/>
      <c r="P913" s="7"/>
      <c r="R913" s="7"/>
      <c r="T913" s="7"/>
      <c r="V913" s="7"/>
      <c r="X913" s="7"/>
    </row>
    <row r="914" spans="2:24">
      <c r="B914" s="7"/>
      <c r="D914" s="7"/>
      <c r="F914" s="7"/>
      <c r="H914" s="7"/>
      <c r="J914" s="7"/>
      <c r="L914" s="7"/>
      <c r="N914" s="7"/>
      <c r="P914" s="7"/>
      <c r="R914" s="7"/>
      <c r="T914" s="7"/>
      <c r="V914" s="7"/>
      <c r="X914" s="7"/>
    </row>
    <row r="915" spans="2:24">
      <c r="B915" s="7"/>
      <c r="D915" s="7"/>
      <c r="F915" s="7"/>
      <c r="H915" s="7"/>
      <c r="J915" s="7"/>
      <c r="L915" s="7"/>
      <c r="N915" s="7"/>
      <c r="P915" s="7"/>
      <c r="R915" s="7"/>
      <c r="T915" s="7"/>
      <c r="V915" s="7"/>
      <c r="X915" s="7"/>
    </row>
    <row r="916" spans="2:24">
      <c r="B916" s="7"/>
      <c r="D916" s="7"/>
      <c r="F916" s="7"/>
      <c r="H916" s="7"/>
      <c r="J916" s="7"/>
      <c r="L916" s="7"/>
      <c r="N916" s="7"/>
      <c r="P916" s="7"/>
      <c r="R916" s="7"/>
      <c r="T916" s="7"/>
      <c r="V916" s="7"/>
      <c r="X916" s="7"/>
    </row>
    <row r="917" spans="2:24">
      <c r="B917" s="7"/>
      <c r="D917" s="7"/>
      <c r="F917" s="7"/>
      <c r="H917" s="7"/>
      <c r="J917" s="7"/>
      <c r="L917" s="7"/>
      <c r="N917" s="7"/>
      <c r="P917" s="7"/>
      <c r="R917" s="7"/>
      <c r="T917" s="7"/>
      <c r="V917" s="7"/>
      <c r="X917" s="7"/>
    </row>
    <row r="918" spans="2:24">
      <c r="B918" s="7"/>
      <c r="D918" s="7"/>
      <c r="F918" s="7"/>
      <c r="H918" s="7"/>
      <c r="J918" s="7"/>
      <c r="L918" s="7"/>
      <c r="N918" s="7"/>
      <c r="P918" s="7"/>
      <c r="R918" s="7"/>
      <c r="T918" s="7"/>
      <c r="V918" s="7"/>
      <c r="X918" s="7"/>
    </row>
    <row r="919" spans="2:24">
      <c r="B919" s="7"/>
      <c r="D919" s="7"/>
      <c r="F919" s="7"/>
      <c r="H919" s="7"/>
      <c r="J919" s="7"/>
      <c r="L919" s="7"/>
      <c r="N919" s="7"/>
      <c r="P919" s="7"/>
      <c r="R919" s="7"/>
      <c r="T919" s="7"/>
      <c r="V919" s="7"/>
      <c r="X919" s="7"/>
    </row>
    <row r="920" spans="2:24">
      <c r="B920" s="7"/>
      <c r="D920" s="7"/>
      <c r="F920" s="7"/>
      <c r="H920" s="7"/>
      <c r="J920" s="7"/>
      <c r="L920" s="7"/>
      <c r="N920" s="7"/>
      <c r="P920" s="7"/>
      <c r="R920" s="7"/>
      <c r="T920" s="7"/>
      <c r="V920" s="7"/>
      <c r="X920" s="7"/>
    </row>
    <row r="921" spans="2:24">
      <c r="B921" s="7"/>
      <c r="D921" s="7"/>
      <c r="F921" s="7"/>
      <c r="H921" s="7"/>
      <c r="J921" s="7"/>
      <c r="L921" s="7"/>
      <c r="N921" s="7"/>
      <c r="P921" s="7"/>
      <c r="R921" s="7"/>
      <c r="T921" s="7"/>
      <c r="V921" s="7"/>
      <c r="X921" s="7"/>
    </row>
    <row r="922" spans="2:24">
      <c r="B922" s="7"/>
      <c r="D922" s="7"/>
      <c r="F922" s="7"/>
      <c r="H922" s="7"/>
      <c r="J922" s="7"/>
      <c r="L922" s="7"/>
      <c r="N922" s="7"/>
      <c r="P922" s="7"/>
      <c r="R922" s="7"/>
      <c r="T922" s="7"/>
      <c r="V922" s="7"/>
      <c r="X922" s="7"/>
    </row>
    <row r="923" spans="2:24">
      <c r="B923" s="7"/>
      <c r="D923" s="7"/>
      <c r="F923" s="7"/>
      <c r="H923" s="7"/>
      <c r="J923" s="7"/>
      <c r="L923" s="7"/>
      <c r="N923" s="7"/>
      <c r="P923" s="7"/>
      <c r="R923" s="7"/>
      <c r="T923" s="7"/>
      <c r="V923" s="7"/>
      <c r="X923" s="7"/>
    </row>
    <row r="924" spans="2:24">
      <c r="B924" s="7"/>
      <c r="D924" s="7"/>
      <c r="F924" s="7"/>
      <c r="H924" s="7"/>
      <c r="J924" s="7"/>
      <c r="L924" s="7"/>
      <c r="N924" s="7"/>
      <c r="P924" s="7"/>
      <c r="R924" s="7"/>
      <c r="T924" s="7"/>
      <c r="V924" s="7"/>
      <c r="X924" s="7"/>
    </row>
    <row r="925" spans="2:24">
      <c r="B925" s="7"/>
      <c r="D925" s="7"/>
      <c r="F925" s="7"/>
      <c r="H925" s="7"/>
      <c r="J925" s="7"/>
      <c r="L925" s="7"/>
      <c r="N925" s="7"/>
      <c r="P925" s="7"/>
      <c r="R925" s="7"/>
      <c r="T925" s="7"/>
      <c r="V925" s="7"/>
      <c r="X925" s="7"/>
    </row>
    <row r="926" spans="2:24">
      <c r="B926" s="7"/>
      <c r="D926" s="7"/>
      <c r="F926" s="7"/>
      <c r="H926" s="7"/>
      <c r="J926" s="7"/>
      <c r="L926" s="7"/>
      <c r="N926" s="7"/>
      <c r="P926" s="7"/>
      <c r="R926" s="7"/>
      <c r="T926" s="7"/>
      <c r="V926" s="7"/>
      <c r="X926" s="7"/>
    </row>
    <row r="927" spans="2:24">
      <c r="B927" s="7"/>
      <c r="D927" s="7"/>
      <c r="F927" s="7"/>
      <c r="H927" s="7"/>
      <c r="J927" s="7"/>
      <c r="L927" s="7"/>
      <c r="N927" s="7"/>
      <c r="P927" s="7"/>
      <c r="R927" s="7"/>
      <c r="T927" s="7"/>
      <c r="V927" s="7"/>
      <c r="X927" s="7"/>
    </row>
    <row r="928" spans="2:24">
      <c r="B928" s="7"/>
      <c r="D928" s="7"/>
      <c r="F928" s="7"/>
      <c r="H928" s="7"/>
      <c r="J928" s="7"/>
      <c r="L928" s="7"/>
      <c r="N928" s="7"/>
      <c r="P928" s="7"/>
      <c r="R928" s="7"/>
      <c r="T928" s="7"/>
      <c r="V928" s="7"/>
      <c r="X928" s="7"/>
    </row>
    <row r="929" spans="2:24">
      <c r="B929" s="7"/>
      <c r="D929" s="7"/>
      <c r="F929" s="7"/>
      <c r="H929" s="7"/>
      <c r="J929" s="7"/>
      <c r="L929" s="7"/>
      <c r="N929" s="7"/>
      <c r="P929" s="7"/>
      <c r="R929" s="7"/>
      <c r="T929" s="7"/>
      <c r="V929" s="7"/>
      <c r="X929" s="7"/>
    </row>
    <row r="930" spans="2:24">
      <c r="B930" s="7"/>
      <c r="D930" s="7"/>
      <c r="F930" s="7"/>
      <c r="H930" s="7"/>
      <c r="J930" s="7"/>
      <c r="L930" s="7"/>
      <c r="N930" s="7"/>
      <c r="P930" s="7"/>
      <c r="R930" s="7"/>
      <c r="T930" s="7"/>
      <c r="V930" s="7"/>
      <c r="X930" s="7"/>
    </row>
    <row r="931" spans="2:24">
      <c r="B931" s="7"/>
      <c r="D931" s="7"/>
      <c r="F931" s="7"/>
      <c r="H931" s="7"/>
      <c r="J931" s="7"/>
      <c r="L931" s="7"/>
      <c r="N931" s="7"/>
      <c r="P931" s="7"/>
      <c r="R931" s="7"/>
      <c r="T931" s="7"/>
      <c r="V931" s="7"/>
      <c r="X931" s="7"/>
    </row>
    <row r="932" spans="2:24">
      <c r="B932" s="7"/>
      <c r="D932" s="7"/>
      <c r="F932" s="7"/>
      <c r="H932" s="7"/>
      <c r="J932" s="7"/>
      <c r="L932" s="7"/>
      <c r="N932" s="7"/>
      <c r="P932" s="7"/>
      <c r="R932" s="7"/>
      <c r="T932" s="7"/>
      <c r="V932" s="7"/>
      <c r="X932" s="7"/>
    </row>
    <row r="933" spans="2:24">
      <c r="B933" s="7"/>
      <c r="D933" s="7"/>
      <c r="F933" s="7"/>
      <c r="H933" s="7"/>
      <c r="J933" s="7"/>
      <c r="L933" s="7"/>
      <c r="N933" s="7"/>
      <c r="P933" s="7"/>
      <c r="R933" s="7"/>
      <c r="T933" s="7"/>
      <c r="V933" s="7"/>
      <c r="X933" s="7"/>
    </row>
    <row r="934" spans="2:24">
      <c r="B934" s="7"/>
      <c r="D934" s="7"/>
      <c r="F934" s="7"/>
      <c r="H934" s="7"/>
      <c r="J934" s="7"/>
      <c r="L934" s="7"/>
      <c r="N934" s="7"/>
      <c r="P934" s="7"/>
      <c r="R934" s="7"/>
      <c r="T934" s="7"/>
      <c r="V934" s="7"/>
      <c r="X934" s="7"/>
    </row>
    <row r="935" spans="2:24">
      <c r="B935" s="7"/>
      <c r="D935" s="7"/>
      <c r="F935" s="7"/>
      <c r="H935" s="7"/>
      <c r="J935" s="7"/>
      <c r="L935" s="7"/>
      <c r="N935" s="7"/>
      <c r="P935" s="7"/>
      <c r="R935" s="7"/>
      <c r="T935" s="7"/>
      <c r="V935" s="7"/>
      <c r="X935" s="7"/>
    </row>
    <row r="936" spans="2:24">
      <c r="B936" s="7"/>
      <c r="D936" s="7"/>
      <c r="F936" s="7"/>
      <c r="H936" s="7"/>
      <c r="J936" s="7"/>
      <c r="L936" s="7"/>
      <c r="N936" s="7"/>
      <c r="P936" s="7"/>
      <c r="R936" s="7"/>
      <c r="T936" s="7"/>
      <c r="V936" s="7"/>
      <c r="X936" s="7"/>
    </row>
    <row r="937" spans="2:24">
      <c r="B937" s="7"/>
      <c r="D937" s="7"/>
      <c r="F937" s="7"/>
      <c r="H937" s="7"/>
      <c r="J937" s="7"/>
      <c r="L937" s="7"/>
      <c r="N937" s="7"/>
      <c r="P937" s="7"/>
      <c r="R937" s="7"/>
      <c r="T937" s="7"/>
      <c r="V937" s="7"/>
      <c r="X937" s="7"/>
    </row>
    <row r="938" spans="2:24">
      <c r="B938" s="7"/>
      <c r="D938" s="7"/>
      <c r="F938" s="7"/>
      <c r="H938" s="7"/>
      <c r="J938" s="7"/>
      <c r="L938" s="7"/>
      <c r="N938" s="7"/>
      <c r="P938" s="7"/>
      <c r="R938" s="7"/>
      <c r="T938" s="7"/>
      <c r="V938" s="7"/>
      <c r="X938" s="7"/>
    </row>
    <row r="939" spans="2:24">
      <c r="B939" s="7"/>
      <c r="D939" s="7"/>
      <c r="F939" s="7"/>
      <c r="H939" s="7"/>
      <c r="J939" s="7"/>
      <c r="L939" s="7"/>
      <c r="N939" s="7"/>
      <c r="P939" s="7"/>
      <c r="R939" s="7"/>
      <c r="T939" s="7"/>
      <c r="V939" s="7"/>
      <c r="X939" s="7"/>
    </row>
    <row r="940" spans="2:24">
      <c r="B940" s="7"/>
      <c r="D940" s="7"/>
      <c r="F940" s="7"/>
      <c r="H940" s="7"/>
      <c r="J940" s="7"/>
      <c r="L940" s="7"/>
      <c r="N940" s="7"/>
      <c r="P940" s="7"/>
      <c r="R940" s="7"/>
      <c r="T940" s="7"/>
      <c r="V940" s="7"/>
      <c r="X940" s="7"/>
    </row>
    <row r="941" spans="2:24">
      <c r="B941" s="7"/>
      <c r="D941" s="7"/>
      <c r="F941" s="7"/>
      <c r="H941" s="7"/>
      <c r="J941" s="7"/>
      <c r="L941" s="7"/>
      <c r="N941" s="7"/>
      <c r="P941" s="7"/>
      <c r="R941" s="7"/>
      <c r="T941" s="7"/>
      <c r="V941" s="7"/>
      <c r="X941" s="7"/>
    </row>
    <row r="942" spans="2:24">
      <c r="B942" s="7"/>
      <c r="D942" s="7"/>
      <c r="F942" s="7"/>
      <c r="H942" s="7"/>
      <c r="J942" s="7"/>
      <c r="L942" s="7"/>
      <c r="N942" s="7"/>
      <c r="P942" s="7"/>
      <c r="R942" s="7"/>
      <c r="T942" s="7"/>
      <c r="V942" s="7"/>
      <c r="X942" s="7"/>
    </row>
    <row r="943" spans="2:24">
      <c r="B943" s="7"/>
      <c r="D943" s="7"/>
      <c r="F943" s="7"/>
      <c r="H943" s="7"/>
      <c r="J943" s="7"/>
      <c r="L943" s="7"/>
      <c r="N943" s="7"/>
      <c r="P943" s="7"/>
      <c r="R943" s="7"/>
      <c r="T943" s="7"/>
      <c r="V943" s="7"/>
      <c r="X943" s="7"/>
    </row>
    <row r="944" spans="2:24">
      <c r="B944" s="7"/>
      <c r="D944" s="7"/>
      <c r="F944" s="7"/>
      <c r="H944" s="7"/>
      <c r="J944" s="7"/>
      <c r="L944" s="7"/>
      <c r="N944" s="7"/>
      <c r="P944" s="7"/>
      <c r="R944" s="7"/>
      <c r="T944" s="7"/>
      <c r="V944" s="7"/>
      <c r="X944" s="7"/>
    </row>
    <row r="945" spans="2:24">
      <c r="B945" s="7"/>
      <c r="D945" s="7"/>
      <c r="F945" s="7"/>
      <c r="H945" s="7"/>
      <c r="J945" s="7"/>
      <c r="L945" s="7"/>
      <c r="N945" s="7"/>
      <c r="P945" s="7"/>
      <c r="R945" s="7"/>
      <c r="T945" s="7"/>
      <c r="V945" s="7"/>
      <c r="X945" s="7"/>
    </row>
    <row r="946" spans="2:24">
      <c r="B946" s="7"/>
      <c r="D946" s="7"/>
      <c r="F946" s="7"/>
      <c r="H946" s="7"/>
      <c r="J946" s="7"/>
      <c r="L946" s="7"/>
      <c r="N946" s="7"/>
      <c r="P946" s="7"/>
      <c r="R946" s="7"/>
      <c r="T946" s="7"/>
      <c r="V946" s="7"/>
      <c r="X946" s="7"/>
    </row>
    <row r="947" spans="2:24">
      <c r="B947" s="7"/>
      <c r="D947" s="7"/>
      <c r="F947" s="7"/>
      <c r="H947" s="7"/>
      <c r="J947" s="7"/>
      <c r="L947" s="7"/>
      <c r="N947" s="7"/>
      <c r="P947" s="7"/>
      <c r="R947" s="7"/>
      <c r="T947" s="7"/>
      <c r="V947" s="7"/>
      <c r="X947" s="7"/>
    </row>
    <row r="948" spans="2:24">
      <c r="B948" s="7"/>
      <c r="D948" s="7"/>
      <c r="F948" s="7"/>
      <c r="H948" s="7"/>
      <c r="J948" s="7"/>
      <c r="L948" s="7"/>
      <c r="N948" s="7"/>
      <c r="P948" s="7"/>
      <c r="R948" s="7"/>
      <c r="T948" s="7"/>
      <c r="V948" s="7"/>
      <c r="X948" s="7"/>
    </row>
    <row r="949" spans="2:24">
      <c r="B949" s="7"/>
      <c r="D949" s="7"/>
      <c r="F949" s="7"/>
      <c r="H949" s="7"/>
      <c r="J949" s="7"/>
      <c r="L949" s="7"/>
      <c r="N949" s="7"/>
      <c r="P949" s="7"/>
      <c r="R949" s="7"/>
      <c r="T949" s="7"/>
      <c r="V949" s="7"/>
      <c r="X949" s="7"/>
    </row>
    <row r="950" spans="2:24">
      <c r="B950" s="7"/>
      <c r="D950" s="7"/>
      <c r="F950" s="7"/>
      <c r="H950" s="7"/>
      <c r="J950" s="7"/>
      <c r="L950" s="7"/>
      <c r="N950" s="7"/>
      <c r="P950" s="7"/>
      <c r="R950" s="7"/>
      <c r="T950" s="7"/>
      <c r="V950" s="7"/>
      <c r="X950" s="7"/>
    </row>
    <row r="951" spans="2:24">
      <c r="B951" s="7"/>
      <c r="D951" s="7"/>
      <c r="F951" s="7"/>
      <c r="H951" s="7"/>
      <c r="J951" s="7"/>
      <c r="L951" s="7"/>
      <c r="N951" s="7"/>
      <c r="P951" s="7"/>
      <c r="R951" s="7"/>
      <c r="T951" s="7"/>
      <c r="V951" s="7"/>
      <c r="X951" s="7"/>
    </row>
    <row r="952" spans="2:24">
      <c r="B952" s="7"/>
      <c r="D952" s="7"/>
      <c r="F952" s="7"/>
      <c r="H952" s="7"/>
      <c r="J952" s="7"/>
      <c r="L952" s="7"/>
      <c r="N952" s="7"/>
      <c r="P952" s="7"/>
      <c r="R952" s="7"/>
      <c r="T952" s="7"/>
      <c r="V952" s="7"/>
      <c r="X952" s="7"/>
    </row>
    <row r="953" spans="2:24">
      <c r="B953" s="7"/>
      <c r="D953" s="7"/>
      <c r="F953" s="7"/>
      <c r="H953" s="7"/>
      <c r="J953" s="7"/>
      <c r="L953" s="7"/>
      <c r="N953" s="7"/>
      <c r="P953" s="7"/>
      <c r="R953" s="7"/>
      <c r="T953" s="7"/>
      <c r="V953" s="7"/>
      <c r="X953" s="7"/>
    </row>
    <row r="954" spans="2:24">
      <c r="B954" s="7"/>
      <c r="D954" s="7"/>
      <c r="F954" s="7"/>
      <c r="H954" s="7"/>
      <c r="J954" s="7"/>
      <c r="L954" s="7"/>
      <c r="N954" s="7"/>
      <c r="P954" s="7"/>
      <c r="R954" s="7"/>
      <c r="T954" s="7"/>
      <c r="V954" s="7"/>
      <c r="X954" s="7"/>
    </row>
    <row r="955" spans="2:24">
      <c r="B955" s="7"/>
      <c r="D955" s="7"/>
      <c r="F955" s="7"/>
      <c r="H955" s="7"/>
      <c r="J955" s="7"/>
      <c r="L955" s="7"/>
      <c r="N955" s="7"/>
      <c r="P955" s="7"/>
      <c r="R955" s="7"/>
      <c r="T955" s="7"/>
      <c r="V955" s="7"/>
      <c r="X955" s="7"/>
    </row>
    <row r="956" spans="2:24">
      <c r="B956" s="7"/>
      <c r="D956" s="7"/>
      <c r="F956" s="7"/>
      <c r="H956" s="7"/>
      <c r="J956" s="7"/>
      <c r="L956" s="7"/>
      <c r="N956" s="7"/>
      <c r="P956" s="7"/>
      <c r="R956" s="7"/>
      <c r="T956" s="7"/>
      <c r="V956" s="7"/>
      <c r="X956" s="7"/>
    </row>
    <row r="957" spans="2:24">
      <c r="B957" s="7"/>
      <c r="D957" s="7"/>
      <c r="F957" s="7"/>
      <c r="H957" s="7"/>
      <c r="J957" s="7"/>
      <c r="L957" s="7"/>
      <c r="N957" s="7"/>
      <c r="P957" s="7"/>
      <c r="R957" s="7"/>
      <c r="T957" s="7"/>
      <c r="V957" s="7"/>
      <c r="X957" s="7"/>
    </row>
    <row r="958" spans="2:24">
      <c r="B958" s="7"/>
      <c r="D958" s="7"/>
      <c r="F958" s="7"/>
      <c r="H958" s="7"/>
      <c r="J958" s="7"/>
      <c r="L958" s="7"/>
      <c r="N958" s="7"/>
      <c r="P958" s="7"/>
      <c r="R958" s="7"/>
      <c r="T958" s="7"/>
      <c r="V958" s="7"/>
      <c r="X958" s="7"/>
    </row>
    <row r="959" spans="2:24">
      <c r="B959" s="7"/>
      <c r="D959" s="7"/>
      <c r="F959" s="7"/>
      <c r="H959" s="7"/>
      <c r="J959" s="7"/>
      <c r="L959" s="7"/>
      <c r="N959" s="7"/>
      <c r="P959" s="7"/>
      <c r="R959" s="7"/>
      <c r="T959" s="7"/>
      <c r="V959" s="7"/>
      <c r="X959" s="7"/>
    </row>
    <row r="960" spans="2:24">
      <c r="B960" s="7"/>
      <c r="D960" s="7"/>
      <c r="F960" s="7"/>
      <c r="H960" s="7"/>
      <c r="J960" s="7"/>
      <c r="L960" s="7"/>
      <c r="N960" s="7"/>
      <c r="P960" s="7"/>
      <c r="R960" s="7"/>
      <c r="T960" s="7"/>
      <c r="V960" s="7"/>
      <c r="X960" s="7"/>
    </row>
    <row r="961" spans="2:24">
      <c r="B961" s="7"/>
      <c r="D961" s="7"/>
      <c r="F961" s="7"/>
      <c r="H961" s="7"/>
      <c r="J961" s="7"/>
      <c r="L961" s="7"/>
      <c r="N961" s="7"/>
      <c r="P961" s="7"/>
      <c r="R961" s="7"/>
      <c r="T961" s="7"/>
      <c r="V961" s="7"/>
      <c r="X961" s="7"/>
    </row>
    <row r="962" spans="2:24">
      <c r="B962" s="7"/>
      <c r="D962" s="7"/>
      <c r="F962" s="7"/>
      <c r="H962" s="7"/>
      <c r="J962" s="7"/>
      <c r="L962" s="7"/>
      <c r="N962" s="7"/>
      <c r="P962" s="7"/>
      <c r="R962" s="7"/>
      <c r="T962" s="7"/>
      <c r="V962" s="7"/>
      <c r="X962" s="7"/>
    </row>
    <row r="963" spans="2:24">
      <c r="B963" s="7"/>
      <c r="D963" s="7"/>
      <c r="F963" s="7"/>
      <c r="H963" s="7"/>
      <c r="J963" s="7"/>
      <c r="L963" s="7"/>
      <c r="N963" s="7"/>
      <c r="P963" s="7"/>
      <c r="R963" s="7"/>
      <c r="T963" s="7"/>
      <c r="V963" s="7"/>
      <c r="X963" s="7"/>
    </row>
    <row r="964" spans="2:24">
      <c r="B964" s="7"/>
      <c r="D964" s="7"/>
      <c r="F964" s="7"/>
      <c r="H964" s="7"/>
      <c r="J964" s="7"/>
      <c r="L964" s="7"/>
      <c r="N964" s="7"/>
      <c r="P964" s="7"/>
      <c r="R964" s="7"/>
      <c r="T964" s="7"/>
      <c r="V964" s="7"/>
      <c r="X964" s="7"/>
    </row>
    <row r="965" spans="2:24">
      <c r="B965" s="7"/>
      <c r="D965" s="7"/>
      <c r="F965" s="7"/>
      <c r="H965" s="7"/>
      <c r="J965" s="7"/>
      <c r="L965" s="7"/>
      <c r="N965" s="7"/>
      <c r="P965" s="7"/>
      <c r="R965" s="7"/>
      <c r="T965" s="7"/>
      <c r="V965" s="7"/>
      <c r="X965" s="7"/>
    </row>
    <row r="966" spans="2:24">
      <c r="B966" s="7"/>
      <c r="D966" s="7"/>
      <c r="F966" s="7"/>
      <c r="H966" s="7"/>
      <c r="J966" s="7"/>
      <c r="L966" s="7"/>
      <c r="N966" s="7"/>
      <c r="P966" s="7"/>
      <c r="R966" s="7"/>
      <c r="T966" s="7"/>
      <c r="V966" s="7"/>
      <c r="X966" s="7"/>
    </row>
    <row r="967" spans="2:24">
      <c r="B967" s="7"/>
      <c r="D967" s="7"/>
      <c r="F967" s="7"/>
      <c r="H967" s="7"/>
      <c r="J967" s="7"/>
      <c r="L967" s="7"/>
      <c r="N967" s="7"/>
      <c r="P967" s="7"/>
      <c r="R967" s="7"/>
      <c r="T967" s="7"/>
      <c r="V967" s="7"/>
      <c r="X967" s="7"/>
    </row>
    <row r="968" spans="2:24">
      <c r="B968" s="7"/>
      <c r="D968" s="7"/>
      <c r="F968" s="7"/>
      <c r="H968" s="7"/>
      <c r="J968" s="7"/>
      <c r="L968" s="7"/>
      <c r="N968" s="7"/>
      <c r="P968" s="7"/>
      <c r="R968" s="7"/>
      <c r="T968" s="7"/>
      <c r="V968" s="7"/>
      <c r="X968" s="7"/>
    </row>
    <row r="969" spans="2:24">
      <c r="B969" s="7"/>
      <c r="D969" s="7"/>
      <c r="F969" s="7"/>
      <c r="H969" s="7"/>
      <c r="J969" s="7"/>
      <c r="L969" s="7"/>
      <c r="N969" s="7"/>
      <c r="P969" s="7"/>
      <c r="R969" s="7"/>
      <c r="T969" s="7"/>
      <c r="V969" s="7"/>
      <c r="X969" s="7"/>
    </row>
    <row r="970" spans="2:24">
      <c r="B970" s="7"/>
      <c r="D970" s="7"/>
      <c r="F970" s="7"/>
      <c r="H970" s="7"/>
      <c r="J970" s="7"/>
      <c r="L970" s="7"/>
      <c r="N970" s="7"/>
      <c r="P970" s="7"/>
      <c r="R970" s="7"/>
      <c r="T970" s="7"/>
      <c r="V970" s="7"/>
      <c r="X970" s="7"/>
    </row>
    <row r="971" spans="2:24">
      <c r="B971" s="7"/>
      <c r="D971" s="7"/>
      <c r="F971" s="7"/>
      <c r="H971" s="7"/>
      <c r="J971" s="7"/>
      <c r="L971" s="7"/>
      <c r="N971" s="7"/>
      <c r="P971" s="7"/>
      <c r="R971" s="7"/>
      <c r="T971" s="7"/>
      <c r="V971" s="7"/>
      <c r="X971" s="7"/>
    </row>
    <row r="972" spans="2:24">
      <c r="B972" s="7"/>
      <c r="D972" s="7"/>
      <c r="F972" s="7"/>
      <c r="H972" s="7"/>
      <c r="J972" s="7"/>
      <c r="L972" s="7"/>
      <c r="N972" s="7"/>
      <c r="P972" s="7"/>
      <c r="R972" s="7"/>
      <c r="T972" s="7"/>
      <c r="V972" s="7"/>
      <c r="X972" s="7"/>
    </row>
    <row r="973" spans="2:24">
      <c r="B973" s="7"/>
      <c r="D973" s="7"/>
      <c r="F973" s="7"/>
      <c r="H973" s="7"/>
      <c r="J973" s="7"/>
      <c r="L973" s="7"/>
      <c r="N973" s="7"/>
      <c r="P973" s="7"/>
      <c r="R973" s="7"/>
      <c r="T973" s="7"/>
      <c r="V973" s="7"/>
      <c r="X973" s="7"/>
    </row>
    <row r="974" spans="2:24">
      <c r="B974" s="7"/>
      <c r="D974" s="7"/>
      <c r="F974" s="7"/>
      <c r="H974" s="7"/>
      <c r="J974" s="7"/>
      <c r="L974" s="7"/>
      <c r="N974" s="7"/>
      <c r="P974" s="7"/>
      <c r="R974" s="7"/>
      <c r="T974" s="7"/>
      <c r="V974" s="7"/>
      <c r="X974" s="7"/>
    </row>
    <row r="975" spans="2:24">
      <c r="B975" s="7"/>
      <c r="D975" s="7"/>
      <c r="F975" s="7"/>
      <c r="H975" s="7"/>
      <c r="J975" s="7"/>
      <c r="L975" s="7"/>
      <c r="N975" s="7"/>
      <c r="P975" s="7"/>
      <c r="R975" s="7"/>
      <c r="T975" s="7"/>
      <c r="V975" s="7"/>
      <c r="X975" s="7"/>
    </row>
    <row r="976" spans="2:24">
      <c r="B976" s="7"/>
      <c r="D976" s="7"/>
      <c r="F976" s="7"/>
      <c r="H976" s="7"/>
      <c r="J976" s="7"/>
      <c r="L976" s="7"/>
      <c r="N976" s="7"/>
      <c r="P976" s="7"/>
      <c r="R976" s="7"/>
      <c r="T976" s="7"/>
      <c r="V976" s="7"/>
      <c r="X976" s="7"/>
    </row>
    <row r="977" spans="2:24">
      <c r="B977" s="7"/>
      <c r="D977" s="7"/>
      <c r="F977" s="7"/>
      <c r="H977" s="7"/>
      <c r="J977" s="7"/>
      <c r="L977" s="7"/>
      <c r="N977" s="7"/>
      <c r="P977" s="7"/>
      <c r="R977" s="7"/>
      <c r="T977" s="7"/>
      <c r="V977" s="7"/>
      <c r="X977" s="7"/>
    </row>
    <row r="978" spans="2:24">
      <c r="B978" s="7"/>
      <c r="D978" s="7"/>
      <c r="F978" s="7"/>
      <c r="H978" s="7"/>
      <c r="J978" s="7"/>
      <c r="L978" s="7"/>
      <c r="N978" s="7"/>
      <c r="P978" s="7"/>
      <c r="R978" s="7"/>
      <c r="T978" s="7"/>
      <c r="V978" s="7"/>
      <c r="X978" s="7"/>
    </row>
    <row r="979" spans="2:24">
      <c r="B979" s="7"/>
      <c r="D979" s="7"/>
      <c r="F979" s="7"/>
      <c r="H979" s="7"/>
      <c r="J979" s="7"/>
      <c r="L979" s="7"/>
      <c r="N979" s="7"/>
      <c r="P979" s="7"/>
      <c r="R979" s="7"/>
      <c r="T979" s="7"/>
      <c r="V979" s="7"/>
      <c r="X979" s="7"/>
    </row>
    <row r="980" spans="2:24">
      <c r="B980" s="7"/>
      <c r="D980" s="7"/>
      <c r="F980" s="7"/>
      <c r="H980" s="7"/>
      <c r="J980" s="7"/>
      <c r="L980" s="7"/>
      <c r="N980" s="7"/>
      <c r="P980" s="7"/>
      <c r="R980" s="7"/>
      <c r="T980" s="7"/>
      <c r="V980" s="7"/>
      <c r="X980" s="7"/>
    </row>
    <row r="981" spans="2:24">
      <c r="B981" s="7"/>
      <c r="D981" s="7"/>
      <c r="F981" s="7"/>
      <c r="H981" s="7"/>
      <c r="J981" s="7"/>
      <c r="L981" s="7"/>
      <c r="N981" s="7"/>
      <c r="P981" s="7"/>
      <c r="R981" s="7"/>
      <c r="T981" s="7"/>
      <c r="V981" s="7"/>
      <c r="X981" s="7"/>
    </row>
    <row r="982" spans="2:24">
      <c r="B982" s="7"/>
      <c r="D982" s="7"/>
      <c r="F982" s="7"/>
      <c r="H982" s="7"/>
      <c r="J982" s="7"/>
      <c r="L982" s="7"/>
      <c r="N982" s="7"/>
      <c r="P982" s="7"/>
      <c r="R982" s="7"/>
      <c r="T982" s="7"/>
      <c r="V982" s="7"/>
      <c r="X982" s="7"/>
    </row>
    <row r="983" spans="2:24">
      <c r="B983" s="7"/>
      <c r="D983" s="7"/>
      <c r="F983" s="7"/>
      <c r="H983" s="7"/>
      <c r="J983" s="7"/>
      <c r="L983" s="7"/>
      <c r="N983" s="7"/>
      <c r="P983" s="7"/>
      <c r="R983" s="7"/>
      <c r="T983" s="7"/>
      <c r="V983" s="7"/>
      <c r="X983" s="7"/>
    </row>
    <row r="984" spans="2:24">
      <c r="B984" s="7"/>
      <c r="D984" s="7"/>
      <c r="F984" s="7"/>
      <c r="H984" s="7"/>
      <c r="J984" s="7"/>
      <c r="L984" s="7"/>
      <c r="N984" s="7"/>
      <c r="P984" s="7"/>
      <c r="R984" s="7"/>
      <c r="T984" s="7"/>
      <c r="V984" s="7"/>
      <c r="X984" s="7"/>
    </row>
    <row r="985" spans="2:24">
      <c r="B985" s="7"/>
      <c r="D985" s="7"/>
      <c r="F985" s="7"/>
      <c r="H985" s="7"/>
      <c r="J985" s="7"/>
      <c r="L985" s="7"/>
      <c r="N985" s="7"/>
      <c r="P985" s="7"/>
      <c r="R985" s="7"/>
      <c r="T985" s="7"/>
      <c r="V985" s="7"/>
      <c r="X985" s="7"/>
    </row>
    <row r="986" spans="2:24">
      <c r="B986" s="7"/>
      <c r="D986" s="7"/>
      <c r="F986" s="7"/>
      <c r="H986" s="7"/>
      <c r="J986" s="7"/>
      <c r="L986" s="7"/>
      <c r="N986" s="7"/>
      <c r="P986" s="7"/>
      <c r="R986" s="7"/>
      <c r="T986" s="7"/>
      <c r="V986" s="7"/>
      <c r="X986" s="7"/>
    </row>
    <row r="987" spans="2:24">
      <c r="B987" s="7"/>
      <c r="D987" s="7"/>
      <c r="F987" s="7"/>
      <c r="H987" s="7"/>
      <c r="J987" s="7"/>
      <c r="L987" s="7"/>
      <c r="N987" s="7"/>
      <c r="P987" s="7"/>
      <c r="R987" s="7"/>
      <c r="T987" s="7"/>
      <c r="V987" s="7"/>
      <c r="X987" s="7"/>
    </row>
    <row r="988" spans="2:24">
      <c r="B988" s="7"/>
      <c r="D988" s="7"/>
      <c r="F988" s="7"/>
      <c r="H988" s="7"/>
      <c r="J988" s="7"/>
      <c r="L988" s="7"/>
      <c r="N988" s="7"/>
      <c r="P988" s="7"/>
      <c r="R988" s="7"/>
      <c r="T988" s="7"/>
      <c r="V988" s="7"/>
      <c r="X988" s="7"/>
    </row>
    <row r="989" spans="2:24">
      <c r="B989" s="7"/>
      <c r="D989" s="7"/>
      <c r="F989" s="7"/>
      <c r="H989" s="7"/>
      <c r="J989" s="7"/>
      <c r="L989" s="7"/>
      <c r="N989" s="7"/>
      <c r="P989" s="7"/>
      <c r="R989" s="7"/>
      <c r="T989" s="7"/>
      <c r="V989" s="7"/>
      <c r="X989" s="7"/>
    </row>
    <row r="990" spans="2:24">
      <c r="B990" s="7"/>
      <c r="D990" s="7"/>
      <c r="F990" s="7"/>
      <c r="H990" s="7"/>
      <c r="J990" s="7"/>
      <c r="L990" s="7"/>
      <c r="N990" s="7"/>
      <c r="P990" s="7"/>
      <c r="R990" s="7"/>
      <c r="T990" s="7"/>
      <c r="V990" s="7"/>
      <c r="X990" s="7"/>
    </row>
    <row r="991" spans="2:24">
      <c r="B991" s="7"/>
      <c r="D991" s="7"/>
      <c r="F991" s="7"/>
      <c r="H991" s="7"/>
      <c r="J991" s="7"/>
      <c r="L991" s="7"/>
      <c r="N991" s="7"/>
      <c r="P991" s="7"/>
      <c r="R991" s="7"/>
      <c r="T991" s="7"/>
      <c r="V991" s="7"/>
      <c r="X991" s="7"/>
    </row>
    <row r="992" spans="2:24">
      <c r="B992" s="7"/>
      <c r="D992" s="7"/>
      <c r="F992" s="7"/>
      <c r="H992" s="7"/>
      <c r="J992" s="7"/>
      <c r="L992" s="7"/>
      <c r="N992" s="7"/>
      <c r="P992" s="7"/>
      <c r="R992" s="7"/>
      <c r="T992" s="7"/>
      <c r="V992" s="7"/>
      <c r="X992" s="7"/>
    </row>
    <row r="993" spans="2:24">
      <c r="B993" s="7"/>
      <c r="D993" s="7"/>
      <c r="F993" s="7"/>
      <c r="H993" s="7"/>
      <c r="J993" s="7"/>
      <c r="L993" s="7"/>
      <c r="N993" s="7"/>
      <c r="P993" s="7"/>
      <c r="R993" s="7"/>
      <c r="T993" s="7"/>
      <c r="V993" s="7"/>
      <c r="X993" s="7"/>
    </row>
    <row r="994" spans="2:24">
      <c r="B994" s="7"/>
      <c r="D994" s="7"/>
      <c r="F994" s="7"/>
      <c r="H994" s="7"/>
      <c r="J994" s="7"/>
      <c r="L994" s="7"/>
      <c r="N994" s="7"/>
      <c r="P994" s="7"/>
      <c r="R994" s="7"/>
      <c r="T994" s="7"/>
      <c r="V994" s="7"/>
      <c r="X994" s="7"/>
    </row>
    <row r="995" spans="2:24">
      <c r="B995" s="7"/>
      <c r="D995" s="7"/>
      <c r="F995" s="7"/>
      <c r="H995" s="7"/>
      <c r="J995" s="7"/>
      <c r="L995" s="7"/>
      <c r="N995" s="7"/>
      <c r="P995" s="7"/>
      <c r="R995" s="7"/>
      <c r="T995" s="7"/>
      <c r="V995" s="7"/>
      <c r="X995" s="7"/>
    </row>
    <row r="996" spans="2:24">
      <c r="B996" s="7"/>
      <c r="D996" s="7"/>
      <c r="F996" s="7"/>
      <c r="H996" s="7"/>
      <c r="J996" s="7"/>
      <c r="L996" s="7"/>
      <c r="N996" s="7"/>
      <c r="P996" s="7"/>
      <c r="R996" s="7"/>
      <c r="T996" s="7"/>
      <c r="V996" s="7"/>
      <c r="X996" s="7"/>
    </row>
    <row r="997" spans="2:24">
      <c r="B997" s="7"/>
      <c r="D997" s="7"/>
      <c r="F997" s="7"/>
      <c r="H997" s="7"/>
      <c r="J997" s="7"/>
      <c r="L997" s="7"/>
      <c r="N997" s="7"/>
      <c r="P997" s="7"/>
      <c r="R997" s="7"/>
      <c r="T997" s="7"/>
      <c r="V997" s="7"/>
      <c r="X997" s="7"/>
    </row>
    <row r="998" spans="2:24">
      <c r="B998" s="7"/>
      <c r="D998" s="7"/>
      <c r="F998" s="7"/>
      <c r="H998" s="7"/>
      <c r="J998" s="7"/>
      <c r="L998" s="7"/>
      <c r="N998" s="7"/>
      <c r="P998" s="7"/>
      <c r="R998" s="7"/>
      <c r="T998" s="7"/>
      <c r="V998" s="7"/>
      <c r="X998" s="7"/>
    </row>
    <row r="999" spans="2:24">
      <c r="B999" s="7"/>
      <c r="D999" s="7"/>
      <c r="F999" s="7"/>
      <c r="H999" s="7"/>
      <c r="J999" s="7"/>
      <c r="L999" s="7"/>
      <c r="N999" s="7"/>
      <c r="P999" s="7"/>
      <c r="R999" s="7"/>
      <c r="T999" s="7"/>
      <c r="V999" s="7"/>
      <c r="X999" s="7"/>
    </row>
    <row r="1000" spans="2:24">
      <c r="B1000" s="7"/>
      <c r="D1000" s="7"/>
      <c r="F1000" s="7"/>
      <c r="H1000" s="7"/>
      <c r="J1000" s="7"/>
      <c r="L1000" s="7"/>
      <c r="N1000" s="7"/>
      <c r="P1000" s="7"/>
      <c r="R1000" s="7"/>
      <c r="T1000" s="7"/>
      <c r="V1000" s="7"/>
      <c r="X1000" s="7"/>
    </row>
    <row r="1001" spans="2:24">
      <c r="B1001" s="7"/>
      <c r="D1001" s="7"/>
      <c r="F1001" s="7"/>
      <c r="H1001" s="7"/>
      <c r="J1001" s="7"/>
      <c r="L1001" s="7"/>
      <c r="N1001" s="7"/>
      <c r="P1001" s="7"/>
      <c r="R1001" s="7"/>
      <c r="T1001" s="7"/>
      <c r="V1001" s="7"/>
      <c r="X1001" s="7"/>
    </row>
    <row r="1002" spans="2:24">
      <c r="B1002" s="7"/>
      <c r="D1002" s="7"/>
      <c r="F1002" s="7"/>
      <c r="H1002" s="7"/>
      <c r="J1002" s="7"/>
      <c r="L1002" s="7"/>
      <c r="N1002" s="7"/>
      <c r="P1002" s="7"/>
      <c r="R1002" s="7"/>
      <c r="T1002" s="7"/>
      <c r="V1002" s="7"/>
      <c r="X1002" s="7"/>
    </row>
    <row r="1003" spans="2:24">
      <c r="B1003" s="7"/>
      <c r="D1003" s="7"/>
      <c r="F1003" s="7"/>
      <c r="H1003" s="7"/>
      <c r="J1003" s="7"/>
      <c r="L1003" s="7"/>
      <c r="N1003" s="7"/>
      <c r="P1003" s="7"/>
      <c r="R1003" s="7"/>
      <c r="T1003" s="7"/>
      <c r="V1003" s="7"/>
      <c r="X1003" s="7"/>
    </row>
    <row r="1004" spans="2:24">
      <c r="B1004" s="7"/>
      <c r="D1004" s="7"/>
      <c r="F1004" s="7"/>
      <c r="H1004" s="7"/>
      <c r="J1004" s="7"/>
      <c r="L1004" s="7"/>
      <c r="N1004" s="7"/>
      <c r="P1004" s="7"/>
      <c r="R1004" s="7"/>
      <c r="T1004" s="7"/>
      <c r="V1004" s="7"/>
      <c r="X1004" s="7"/>
    </row>
    <row r="1005" spans="2:24">
      <c r="B1005" s="7"/>
      <c r="D1005" s="7"/>
      <c r="F1005" s="7"/>
      <c r="H1005" s="7"/>
      <c r="J1005" s="7"/>
      <c r="L1005" s="7"/>
      <c r="N1005" s="7"/>
      <c r="P1005" s="7"/>
      <c r="R1005" s="7"/>
      <c r="T1005" s="7"/>
      <c r="V1005" s="7"/>
      <c r="X1005" s="7"/>
    </row>
    <row r="1006" spans="2:24">
      <c r="B1006" s="7"/>
      <c r="D1006" s="7"/>
      <c r="F1006" s="7"/>
      <c r="H1006" s="7"/>
      <c r="J1006" s="7"/>
      <c r="L1006" s="7"/>
      <c r="N1006" s="7"/>
      <c r="P1006" s="7"/>
      <c r="R1006" s="7"/>
      <c r="T1006" s="7"/>
      <c r="V1006" s="7"/>
      <c r="X1006" s="7"/>
    </row>
    <row r="1007" spans="2:24">
      <c r="B1007" s="7"/>
      <c r="D1007" s="7"/>
      <c r="F1007" s="7"/>
      <c r="H1007" s="7"/>
      <c r="J1007" s="7"/>
      <c r="L1007" s="7"/>
      <c r="N1007" s="7"/>
      <c r="P1007" s="7"/>
      <c r="R1007" s="7"/>
      <c r="T1007" s="7"/>
      <c r="V1007" s="7"/>
      <c r="X1007" s="7"/>
    </row>
    <row r="1008" spans="2:24">
      <c r="B1008" s="7"/>
      <c r="D1008" s="7"/>
      <c r="F1008" s="7"/>
      <c r="H1008" s="7"/>
      <c r="J1008" s="7"/>
      <c r="L1008" s="7"/>
      <c r="N1008" s="7"/>
      <c r="P1008" s="7"/>
      <c r="R1008" s="7"/>
      <c r="T1008" s="7"/>
      <c r="V1008" s="7"/>
      <c r="X1008" s="7"/>
    </row>
    <row r="1009" spans="2:24">
      <c r="B1009" s="7"/>
      <c r="D1009" s="7"/>
      <c r="F1009" s="7"/>
      <c r="H1009" s="7"/>
      <c r="J1009" s="7"/>
      <c r="L1009" s="7"/>
      <c r="N1009" s="7"/>
      <c r="P1009" s="7"/>
      <c r="R1009" s="7"/>
      <c r="T1009" s="7"/>
      <c r="V1009" s="7"/>
      <c r="X1009" s="7"/>
    </row>
    <row r="1010" spans="2:24">
      <c r="B1010" s="7"/>
      <c r="D1010" s="7"/>
      <c r="F1010" s="7"/>
      <c r="H1010" s="7"/>
      <c r="J1010" s="7"/>
      <c r="L1010" s="7"/>
      <c r="N1010" s="7"/>
      <c r="P1010" s="7"/>
      <c r="R1010" s="7"/>
      <c r="T1010" s="7"/>
      <c r="V1010" s="7"/>
      <c r="X1010" s="7"/>
    </row>
    <row r="1011" spans="2:24">
      <c r="B1011" s="7"/>
      <c r="D1011" s="7"/>
      <c r="F1011" s="7"/>
      <c r="H1011" s="7"/>
      <c r="J1011" s="7"/>
      <c r="L1011" s="7"/>
      <c r="N1011" s="7"/>
      <c r="P1011" s="7"/>
      <c r="R1011" s="7"/>
      <c r="T1011" s="7"/>
      <c r="V1011" s="7"/>
      <c r="X1011" s="7"/>
    </row>
    <row r="1012" spans="2:24">
      <c r="B1012" s="7"/>
      <c r="D1012" s="7"/>
      <c r="F1012" s="7"/>
      <c r="H1012" s="7"/>
      <c r="J1012" s="7"/>
      <c r="L1012" s="7"/>
      <c r="N1012" s="7"/>
      <c r="P1012" s="7"/>
      <c r="R1012" s="7"/>
      <c r="T1012" s="7"/>
      <c r="V1012" s="7"/>
      <c r="X1012" s="7"/>
    </row>
    <row r="1013" spans="2:24">
      <c r="B1013" s="7"/>
      <c r="D1013" s="7"/>
      <c r="F1013" s="7"/>
      <c r="H1013" s="7"/>
      <c r="J1013" s="7"/>
      <c r="L1013" s="7"/>
      <c r="N1013" s="7"/>
      <c r="P1013" s="7"/>
      <c r="R1013" s="7"/>
      <c r="T1013" s="7"/>
      <c r="V1013" s="7"/>
      <c r="X1013" s="7"/>
    </row>
    <row r="1014" spans="2:24">
      <c r="B1014" s="7"/>
      <c r="D1014" s="7"/>
      <c r="F1014" s="7"/>
      <c r="H1014" s="7"/>
      <c r="J1014" s="7"/>
      <c r="L1014" s="7"/>
      <c r="N1014" s="7"/>
      <c r="P1014" s="7"/>
      <c r="R1014" s="7"/>
      <c r="T1014" s="7"/>
      <c r="V1014" s="7"/>
      <c r="X1014" s="7"/>
    </row>
    <row r="1015" spans="2:24">
      <c r="B1015" s="7"/>
      <c r="D1015" s="7"/>
      <c r="F1015" s="7"/>
      <c r="H1015" s="7"/>
      <c r="J1015" s="7"/>
      <c r="L1015" s="7"/>
      <c r="N1015" s="7"/>
      <c r="P1015" s="7"/>
      <c r="R1015" s="7"/>
      <c r="T1015" s="7"/>
      <c r="V1015" s="7"/>
      <c r="X1015" s="7"/>
    </row>
    <row r="1016" spans="2:24">
      <c r="B1016" s="7"/>
      <c r="D1016" s="7"/>
      <c r="F1016" s="7"/>
      <c r="H1016" s="7"/>
      <c r="J1016" s="7"/>
      <c r="L1016" s="7"/>
      <c r="N1016" s="7"/>
      <c r="P1016" s="7"/>
      <c r="R1016" s="7"/>
      <c r="T1016" s="7"/>
      <c r="V1016" s="7"/>
      <c r="X1016" s="7"/>
    </row>
    <row r="1017" spans="2:24">
      <c r="B1017" s="7"/>
      <c r="D1017" s="7"/>
      <c r="F1017" s="7"/>
      <c r="H1017" s="7"/>
      <c r="J1017" s="7"/>
      <c r="L1017" s="7"/>
      <c r="N1017" s="7"/>
      <c r="P1017" s="7"/>
      <c r="R1017" s="7"/>
      <c r="T1017" s="7"/>
      <c r="V1017" s="7"/>
      <c r="X1017" s="7"/>
    </row>
    <row r="1018" spans="2:24">
      <c r="B1018" s="7"/>
      <c r="D1018" s="7"/>
      <c r="F1018" s="7"/>
      <c r="H1018" s="7"/>
      <c r="J1018" s="7"/>
      <c r="L1018" s="7"/>
      <c r="N1018" s="7"/>
      <c r="P1018" s="7"/>
      <c r="R1018" s="7"/>
      <c r="T1018" s="7"/>
      <c r="V1018" s="7"/>
      <c r="X1018" s="7"/>
    </row>
    <row r="1019" spans="2:24">
      <c r="B1019" s="7"/>
      <c r="D1019" s="7"/>
      <c r="F1019" s="7"/>
      <c r="H1019" s="7"/>
      <c r="J1019" s="7"/>
      <c r="L1019" s="7"/>
      <c r="N1019" s="7"/>
      <c r="P1019" s="7"/>
      <c r="R1019" s="7"/>
      <c r="T1019" s="7"/>
      <c r="V1019" s="7"/>
      <c r="X1019" s="7"/>
    </row>
    <row r="1020" spans="2:24">
      <c r="B1020" s="7"/>
      <c r="D1020" s="7"/>
      <c r="F1020" s="7"/>
      <c r="H1020" s="7"/>
      <c r="J1020" s="7"/>
      <c r="L1020" s="7"/>
      <c r="N1020" s="7"/>
      <c r="P1020" s="7"/>
      <c r="R1020" s="7"/>
      <c r="T1020" s="7"/>
      <c r="V1020" s="7"/>
      <c r="X1020" s="7"/>
    </row>
    <row r="1021" spans="2:24">
      <c r="B1021" s="7"/>
      <c r="D1021" s="7"/>
      <c r="F1021" s="7"/>
      <c r="H1021" s="7"/>
      <c r="J1021" s="7"/>
      <c r="L1021" s="7"/>
      <c r="N1021" s="7"/>
      <c r="P1021" s="7"/>
      <c r="R1021" s="7"/>
      <c r="T1021" s="7"/>
      <c r="V1021" s="7"/>
      <c r="X1021" s="7"/>
    </row>
    <row r="1022" spans="2:24">
      <c r="B1022" s="7"/>
      <c r="D1022" s="7"/>
      <c r="F1022" s="7"/>
      <c r="H1022" s="7"/>
      <c r="J1022" s="7"/>
      <c r="L1022" s="7"/>
      <c r="N1022" s="7"/>
      <c r="P1022" s="7"/>
      <c r="R1022" s="7"/>
      <c r="T1022" s="7"/>
      <c r="V1022" s="7"/>
      <c r="X1022" s="7"/>
    </row>
    <row r="1023" spans="2:24">
      <c r="B1023" s="7"/>
      <c r="D1023" s="7"/>
      <c r="F1023" s="7"/>
      <c r="H1023" s="7"/>
      <c r="J1023" s="7"/>
      <c r="L1023" s="7"/>
      <c r="N1023" s="7"/>
      <c r="P1023" s="7"/>
      <c r="R1023" s="7"/>
      <c r="T1023" s="7"/>
      <c r="V1023" s="7"/>
      <c r="X1023" s="7"/>
    </row>
    <row r="1024" spans="2:24">
      <c r="B1024" s="7"/>
      <c r="D1024" s="7"/>
      <c r="F1024" s="7"/>
      <c r="H1024" s="7"/>
      <c r="J1024" s="7"/>
      <c r="L1024" s="7"/>
      <c r="N1024" s="7"/>
      <c r="P1024" s="7"/>
      <c r="R1024" s="7"/>
      <c r="T1024" s="7"/>
      <c r="V1024" s="7"/>
      <c r="X1024" s="7"/>
    </row>
    <row r="1025" spans="2:24">
      <c r="B1025" s="7"/>
      <c r="D1025" s="7"/>
      <c r="F1025" s="7"/>
      <c r="H1025" s="7"/>
      <c r="J1025" s="7"/>
      <c r="L1025" s="7"/>
      <c r="N1025" s="7"/>
      <c r="P1025" s="7"/>
      <c r="R1025" s="7"/>
      <c r="T1025" s="7"/>
      <c r="V1025" s="7"/>
      <c r="X1025" s="7"/>
    </row>
    <row r="1026" spans="2:24">
      <c r="B1026" s="7"/>
      <c r="D1026" s="7"/>
      <c r="F1026" s="7"/>
      <c r="H1026" s="7"/>
      <c r="J1026" s="7"/>
      <c r="L1026" s="7"/>
      <c r="N1026" s="7"/>
      <c r="P1026" s="7"/>
      <c r="R1026" s="7"/>
      <c r="T1026" s="7"/>
      <c r="V1026" s="7"/>
      <c r="X1026" s="7"/>
    </row>
    <row r="1027" spans="2:24">
      <c r="B1027" s="7"/>
      <c r="D1027" s="7"/>
      <c r="F1027" s="7"/>
      <c r="H1027" s="7"/>
      <c r="J1027" s="7"/>
      <c r="L1027" s="7"/>
      <c r="N1027" s="7"/>
      <c r="P1027" s="7"/>
      <c r="R1027" s="7"/>
      <c r="T1027" s="7"/>
      <c r="V1027" s="7"/>
      <c r="X1027" s="7"/>
    </row>
    <row r="1028" spans="2:24">
      <c r="B1028" s="7"/>
      <c r="D1028" s="7"/>
      <c r="F1028" s="7"/>
      <c r="H1028" s="7"/>
      <c r="J1028" s="7"/>
      <c r="L1028" s="7"/>
      <c r="N1028" s="7"/>
      <c r="P1028" s="7"/>
      <c r="R1028" s="7"/>
      <c r="T1028" s="7"/>
      <c r="V1028" s="7"/>
      <c r="X1028" s="7"/>
    </row>
    <row r="1029" spans="2:24">
      <c r="B1029" s="7"/>
      <c r="D1029" s="7"/>
      <c r="F1029" s="7"/>
      <c r="H1029" s="7"/>
      <c r="J1029" s="7"/>
      <c r="L1029" s="7"/>
      <c r="N1029" s="7"/>
      <c r="P1029" s="7"/>
      <c r="R1029" s="7"/>
      <c r="T1029" s="7"/>
      <c r="V1029" s="7"/>
      <c r="X1029" s="7"/>
    </row>
    <row r="1030" spans="2:24">
      <c r="B1030" s="7"/>
      <c r="D1030" s="7"/>
      <c r="F1030" s="7"/>
      <c r="H1030" s="7"/>
      <c r="J1030" s="7"/>
      <c r="L1030" s="7"/>
      <c r="N1030" s="7"/>
      <c r="P1030" s="7"/>
      <c r="R1030" s="7"/>
      <c r="T1030" s="7"/>
      <c r="V1030" s="7"/>
      <c r="X1030" s="7"/>
    </row>
    <row r="1031" spans="2:24">
      <c r="B1031" s="7"/>
      <c r="D1031" s="7"/>
      <c r="F1031" s="7"/>
      <c r="H1031" s="7"/>
      <c r="J1031" s="7"/>
      <c r="L1031" s="7"/>
      <c r="N1031" s="7"/>
      <c r="P1031" s="7"/>
      <c r="R1031" s="7"/>
      <c r="T1031" s="7"/>
      <c r="V1031" s="7"/>
      <c r="X1031" s="7"/>
    </row>
    <row r="1032" spans="2:24">
      <c r="B1032" s="7"/>
      <c r="D1032" s="7"/>
      <c r="F1032" s="7"/>
      <c r="H1032" s="7"/>
      <c r="J1032" s="7"/>
      <c r="L1032" s="7"/>
      <c r="N1032" s="7"/>
      <c r="P1032" s="7"/>
      <c r="R1032" s="7"/>
      <c r="T1032" s="7"/>
      <c r="V1032" s="7"/>
      <c r="X1032" s="7"/>
    </row>
    <row r="1033" spans="2:24">
      <c r="B1033" s="7"/>
      <c r="D1033" s="7"/>
      <c r="F1033" s="7"/>
      <c r="H1033" s="7"/>
      <c r="J1033" s="7"/>
      <c r="L1033" s="7"/>
      <c r="N1033" s="7"/>
      <c r="P1033" s="7"/>
      <c r="R1033" s="7"/>
      <c r="T1033" s="7"/>
      <c r="V1033" s="7"/>
      <c r="X1033" s="7"/>
    </row>
    <row r="1034" spans="2:24">
      <c r="B1034" s="7"/>
      <c r="D1034" s="7"/>
      <c r="F1034" s="7"/>
      <c r="H1034" s="7"/>
      <c r="J1034" s="7"/>
      <c r="L1034" s="7"/>
      <c r="N1034" s="7"/>
      <c r="P1034" s="7"/>
      <c r="R1034" s="7"/>
      <c r="T1034" s="7"/>
      <c r="V1034" s="7"/>
      <c r="X1034" s="7"/>
    </row>
    <row r="1035" spans="2:24">
      <c r="B1035" s="7"/>
      <c r="D1035" s="7"/>
      <c r="F1035" s="7"/>
      <c r="H1035" s="7"/>
      <c r="J1035" s="7"/>
      <c r="L1035" s="7"/>
      <c r="N1035" s="7"/>
      <c r="P1035" s="7"/>
      <c r="R1035" s="7"/>
      <c r="T1035" s="7"/>
      <c r="V1035" s="7"/>
      <c r="X1035" s="7"/>
    </row>
    <row r="1036" spans="2:24">
      <c r="B1036" s="7"/>
      <c r="D1036" s="7"/>
      <c r="F1036" s="7"/>
      <c r="H1036" s="7"/>
      <c r="J1036" s="7"/>
      <c r="L1036" s="7"/>
      <c r="N1036" s="7"/>
      <c r="P1036" s="7"/>
      <c r="R1036" s="7"/>
      <c r="T1036" s="7"/>
      <c r="V1036" s="7"/>
      <c r="X1036" s="7"/>
    </row>
    <row r="1037" spans="2:24">
      <c r="B1037" s="7"/>
      <c r="D1037" s="7"/>
      <c r="F1037" s="7"/>
      <c r="H1037" s="7"/>
      <c r="J1037" s="7"/>
      <c r="L1037" s="7"/>
      <c r="N1037" s="7"/>
      <c r="P1037" s="7"/>
      <c r="R1037" s="7"/>
      <c r="T1037" s="7"/>
      <c r="V1037" s="7"/>
      <c r="X1037" s="7"/>
    </row>
    <row r="1038" spans="2:24">
      <c r="B1038" s="7"/>
      <c r="D1038" s="7"/>
      <c r="F1038" s="7"/>
      <c r="H1038" s="7"/>
      <c r="J1038" s="7"/>
      <c r="L1038" s="7"/>
      <c r="N1038" s="7"/>
      <c r="P1038" s="7"/>
      <c r="R1038" s="7"/>
      <c r="T1038" s="7"/>
      <c r="V1038" s="7"/>
      <c r="X1038" s="7"/>
    </row>
    <row r="1039" spans="2:24">
      <c r="B1039" s="7"/>
      <c r="D1039" s="7"/>
      <c r="F1039" s="7"/>
      <c r="H1039" s="7"/>
      <c r="J1039" s="7"/>
      <c r="L1039" s="7"/>
      <c r="N1039" s="7"/>
      <c r="P1039" s="7"/>
      <c r="R1039" s="7"/>
      <c r="T1039" s="7"/>
      <c r="V1039" s="7"/>
      <c r="X1039" s="7"/>
    </row>
    <row r="1040" spans="2:24">
      <c r="B1040" s="7"/>
      <c r="D1040" s="7"/>
      <c r="F1040" s="7"/>
      <c r="H1040" s="7"/>
      <c r="J1040" s="7"/>
      <c r="L1040" s="7"/>
      <c r="N1040" s="7"/>
      <c r="P1040" s="7"/>
      <c r="R1040" s="7"/>
      <c r="T1040" s="7"/>
      <c r="V1040" s="7"/>
      <c r="X1040" s="7"/>
    </row>
    <row r="1041" spans="2:24">
      <c r="B1041" s="7"/>
      <c r="D1041" s="7"/>
      <c r="F1041" s="7"/>
      <c r="H1041" s="7"/>
      <c r="J1041" s="7"/>
      <c r="L1041" s="7"/>
      <c r="N1041" s="7"/>
      <c r="P1041" s="7"/>
      <c r="R1041" s="7"/>
      <c r="T1041" s="7"/>
      <c r="V1041" s="7"/>
      <c r="X1041" s="7"/>
    </row>
    <row r="1042" spans="2:24">
      <c r="B1042" s="7"/>
      <c r="D1042" s="7"/>
      <c r="F1042" s="7"/>
      <c r="H1042" s="7"/>
      <c r="J1042" s="7"/>
      <c r="L1042" s="7"/>
      <c r="N1042" s="7"/>
      <c r="P1042" s="7"/>
      <c r="R1042" s="7"/>
      <c r="T1042" s="7"/>
      <c r="V1042" s="7"/>
      <c r="X1042" s="7"/>
    </row>
    <row r="1043" spans="2:24">
      <c r="B1043" s="7"/>
      <c r="D1043" s="7"/>
      <c r="F1043" s="7"/>
      <c r="H1043" s="7"/>
      <c r="J1043" s="7"/>
      <c r="L1043" s="7"/>
      <c r="N1043" s="7"/>
      <c r="P1043" s="7"/>
      <c r="R1043" s="7"/>
      <c r="T1043" s="7"/>
      <c r="V1043" s="7"/>
      <c r="X1043" s="7"/>
    </row>
    <row r="1044" spans="2:24">
      <c r="B1044" s="7"/>
      <c r="D1044" s="7"/>
      <c r="F1044" s="7"/>
      <c r="H1044" s="7"/>
      <c r="J1044" s="7"/>
      <c r="L1044" s="7"/>
      <c r="N1044" s="7"/>
      <c r="P1044" s="7"/>
      <c r="R1044" s="7"/>
      <c r="T1044" s="7"/>
      <c r="V1044" s="7"/>
      <c r="X1044" s="7"/>
    </row>
    <row r="1045" spans="2:24">
      <c r="B1045" s="7"/>
      <c r="D1045" s="7"/>
      <c r="F1045" s="7"/>
      <c r="H1045" s="7"/>
      <c r="J1045" s="7"/>
      <c r="L1045" s="7"/>
      <c r="N1045" s="7"/>
      <c r="P1045" s="7"/>
      <c r="R1045" s="7"/>
      <c r="T1045" s="7"/>
      <c r="V1045" s="7"/>
      <c r="X1045" s="7"/>
    </row>
    <row r="1046" spans="2:24">
      <c r="B1046" s="7"/>
      <c r="D1046" s="7"/>
      <c r="F1046" s="7"/>
      <c r="H1046" s="7"/>
      <c r="J1046" s="7"/>
      <c r="L1046" s="7"/>
      <c r="N1046" s="7"/>
      <c r="P1046" s="7"/>
      <c r="R1046" s="7"/>
      <c r="T1046" s="7"/>
      <c r="V1046" s="7"/>
      <c r="X1046" s="7"/>
    </row>
    <row r="1047" spans="2:24">
      <c r="B1047" s="7"/>
      <c r="D1047" s="7"/>
      <c r="F1047" s="7"/>
      <c r="H1047" s="7"/>
      <c r="J1047" s="7"/>
      <c r="L1047" s="7"/>
      <c r="N1047" s="7"/>
      <c r="P1047" s="7"/>
      <c r="R1047" s="7"/>
      <c r="T1047" s="7"/>
      <c r="V1047" s="7"/>
      <c r="X1047" s="7"/>
    </row>
    <row r="1048" spans="2:24">
      <c r="B1048" s="7"/>
      <c r="D1048" s="7"/>
      <c r="F1048" s="7"/>
      <c r="H1048" s="7"/>
      <c r="J1048" s="7"/>
      <c r="L1048" s="7"/>
      <c r="N1048" s="7"/>
      <c r="P1048" s="7"/>
      <c r="R1048" s="7"/>
      <c r="T1048" s="7"/>
      <c r="V1048" s="7"/>
      <c r="X1048" s="7"/>
    </row>
    <row r="1049" spans="2:24">
      <c r="B1049" s="7"/>
      <c r="D1049" s="7"/>
      <c r="F1049" s="7"/>
      <c r="H1049" s="7"/>
      <c r="J1049" s="7"/>
      <c r="L1049" s="7"/>
      <c r="N1049" s="7"/>
      <c r="P1049" s="7"/>
      <c r="R1049" s="7"/>
      <c r="T1049" s="7"/>
      <c r="V1049" s="7"/>
      <c r="X1049" s="7"/>
    </row>
    <row r="1050" spans="2:24">
      <c r="B1050" s="7"/>
      <c r="D1050" s="7"/>
      <c r="F1050" s="7"/>
      <c r="H1050" s="7"/>
      <c r="J1050" s="7"/>
      <c r="L1050" s="7"/>
      <c r="N1050" s="7"/>
      <c r="P1050" s="7"/>
      <c r="R1050" s="7"/>
      <c r="T1050" s="7"/>
      <c r="V1050" s="7"/>
      <c r="X1050" s="7"/>
    </row>
    <row r="1051" spans="2:24">
      <c r="B1051" s="7"/>
      <c r="D1051" s="7"/>
      <c r="F1051" s="7"/>
      <c r="H1051" s="7"/>
      <c r="J1051" s="7"/>
      <c r="L1051" s="7"/>
      <c r="N1051" s="7"/>
      <c r="P1051" s="7"/>
      <c r="R1051" s="7"/>
      <c r="T1051" s="7"/>
      <c r="V1051" s="7"/>
      <c r="X1051" s="7"/>
    </row>
    <row r="1052" spans="2:24">
      <c r="B1052" s="7"/>
      <c r="D1052" s="7"/>
      <c r="F1052" s="7"/>
      <c r="H1052" s="7"/>
      <c r="J1052" s="7"/>
      <c r="L1052" s="7"/>
      <c r="N1052" s="7"/>
      <c r="P1052" s="7"/>
      <c r="R1052" s="7"/>
      <c r="T1052" s="7"/>
      <c r="V1052" s="7"/>
      <c r="X1052" s="7"/>
    </row>
    <row r="1053" spans="2:24">
      <c r="B1053" s="7"/>
      <c r="D1053" s="7"/>
      <c r="F1053" s="7"/>
      <c r="H1053" s="7"/>
      <c r="J1053" s="7"/>
      <c r="L1053" s="7"/>
      <c r="N1053" s="7"/>
      <c r="P1053" s="7"/>
      <c r="R1053" s="7"/>
      <c r="T1053" s="7"/>
      <c r="V1053" s="7"/>
      <c r="X1053" s="7"/>
    </row>
    <row r="1054" spans="2:24">
      <c r="B1054" s="7"/>
      <c r="D1054" s="7"/>
      <c r="F1054" s="7"/>
      <c r="H1054" s="7"/>
      <c r="J1054" s="7"/>
      <c r="L1054" s="7"/>
      <c r="N1054" s="7"/>
      <c r="P1054" s="7"/>
      <c r="R1054" s="7"/>
      <c r="T1054" s="7"/>
      <c r="V1054" s="7"/>
      <c r="X1054" s="7"/>
    </row>
    <row r="1055" spans="2:24">
      <c r="B1055" s="7"/>
      <c r="D1055" s="7"/>
      <c r="F1055" s="7"/>
      <c r="H1055" s="7"/>
      <c r="J1055" s="7"/>
      <c r="L1055" s="7"/>
      <c r="N1055" s="7"/>
      <c r="P1055" s="7"/>
      <c r="R1055" s="7"/>
      <c r="T1055" s="7"/>
      <c r="V1055" s="7"/>
      <c r="X1055" s="7"/>
    </row>
    <row r="1056" spans="2:24">
      <c r="B1056" s="7"/>
      <c r="D1056" s="7"/>
      <c r="F1056" s="7"/>
      <c r="H1056" s="7"/>
      <c r="J1056" s="7"/>
      <c r="L1056" s="7"/>
      <c r="N1056" s="7"/>
      <c r="P1056" s="7"/>
      <c r="R1056" s="7"/>
      <c r="T1056" s="7"/>
      <c r="V1056" s="7"/>
      <c r="X1056" s="7"/>
    </row>
    <row r="1057" spans="2:24">
      <c r="B1057" s="7"/>
      <c r="D1057" s="7"/>
      <c r="F1057" s="7"/>
      <c r="H1057" s="7"/>
      <c r="J1057" s="7"/>
      <c r="L1057" s="7"/>
      <c r="N1057" s="7"/>
      <c r="P1057" s="7"/>
      <c r="R1057" s="7"/>
      <c r="T1057" s="7"/>
      <c r="V1057" s="7"/>
      <c r="X1057" s="7"/>
    </row>
    <row r="1058" spans="2:24">
      <c r="B1058" s="7"/>
      <c r="D1058" s="7"/>
      <c r="F1058" s="7"/>
      <c r="H1058" s="7"/>
      <c r="J1058" s="7"/>
      <c r="L1058" s="7"/>
      <c r="N1058" s="7"/>
      <c r="P1058" s="7"/>
      <c r="R1058" s="7"/>
      <c r="T1058" s="7"/>
      <c r="V1058" s="7"/>
      <c r="X1058" s="7"/>
    </row>
    <row r="1059" spans="2:24">
      <c r="B1059" s="7"/>
      <c r="D1059" s="7"/>
      <c r="F1059" s="7"/>
      <c r="H1059" s="7"/>
      <c r="J1059" s="7"/>
      <c r="L1059" s="7"/>
      <c r="N1059" s="7"/>
      <c r="P1059" s="7"/>
      <c r="R1059" s="7"/>
      <c r="T1059" s="7"/>
      <c r="V1059" s="7"/>
      <c r="X1059" s="7"/>
    </row>
    <row r="1060" spans="2:24">
      <c r="B1060" s="7"/>
      <c r="D1060" s="7"/>
      <c r="F1060" s="7"/>
      <c r="H1060" s="7"/>
      <c r="J1060" s="7"/>
      <c r="L1060" s="7"/>
      <c r="N1060" s="7"/>
      <c r="P1060" s="7"/>
      <c r="R1060" s="7"/>
      <c r="T1060" s="7"/>
      <c r="V1060" s="7"/>
      <c r="X1060" s="7"/>
    </row>
    <row r="1061" spans="2:24">
      <c r="B1061" s="7"/>
      <c r="D1061" s="7"/>
      <c r="F1061" s="7"/>
      <c r="H1061" s="7"/>
      <c r="J1061" s="7"/>
      <c r="L1061" s="7"/>
      <c r="N1061" s="7"/>
      <c r="P1061" s="7"/>
      <c r="R1061" s="7"/>
      <c r="T1061" s="7"/>
      <c r="V1061" s="7"/>
      <c r="X1061" s="7"/>
    </row>
    <row r="1062" spans="2:24">
      <c r="B1062" s="7"/>
      <c r="D1062" s="7"/>
      <c r="F1062" s="7"/>
      <c r="H1062" s="7"/>
      <c r="J1062" s="7"/>
      <c r="L1062" s="7"/>
      <c r="N1062" s="7"/>
      <c r="P1062" s="7"/>
      <c r="R1062" s="7"/>
      <c r="T1062" s="7"/>
      <c r="V1062" s="7"/>
      <c r="X1062" s="7"/>
    </row>
    <row r="1063" spans="2:24">
      <c r="B1063" s="7"/>
      <c r="D1063" s="7"/>
      <c r="F1063" s="7"/>
      <c r="H1063" s="7"/>
      <c r="J1063" s="7"/>
      <c r="L1063" s="7"/>
      <c r="N1063" s="7"/>
      <c r="P1063" s="7"/>
      <c r="R1063" s="7"/>
      <c r="T1063" s="7"/>
      <c r="V1063" s="7"/>
      <c r="X1063" s="7"/>
    </row>
    <row r="1064" spans="2:24">
      <c r="B1064" s="7"/>
      <c r="D1064" s="7"/>
      <c r="F1064" s="7"/>
      <c r="H1064" s="7"/>
      <c r="J1064" s="7"/>
      <c r="L1064" s="7"/>
      <c r="N1064" s="7"/>
      <c r="P1064" s="7"/>
      <c r="R1064" s="7"/>
      <c r="T1064" s="7"/>
      <c r="V1064" s="7"/>
      <c r="X1064" s="7"/>
    </row>
    <row r="1065" spans="2:24">
      <c r="B1065" s="7"/>
      <c r="D1065" s="7"/>
      <c r="F1065" s="7"/>
      <c r="H1065" s="7"/>
      <c r="J1065" s="7"/>
      <c r="L1065" s="7"/>
      <c r="N1065" s="7"/>
      <c r="P1065" s="7"/>
      <c r="R1065" s="7"/>
      <c r="T1065" s="7"/>
      <c r="V1065" s="7"/>
      <c r="X1065" s="7"/>
    </row>
    <row r="1066" spans="2:24">
      <c r="B1066" s="7"/>
      <c r="D1066" s="7"/>
      <c r="F1066" s="7"/>
      <c r="H1066" s="7"/>
      <c r="J1066" s="7"/>
      <c r="L1066" s="7"/>
      <c r="N1066" s="7"/>
      <c r="P1066" s="7"/>
      <c r="R1066" s="7"/>
      <c r="T1066" s="7"/>
      <c r="V1066" s="7"/>
      <c r="X1066" s="7"/>
    </row>
    <row r="1067" spans="2:24">
      <c r="B1067" s="7"/>
      <c r="D1067" s="7"/>
      <c r="F1067" s="7"/>
      <c r="H1067" s="7"/>
      <c r="J1067" s="7"/>
      <c r="L1067" s="7"/>
      <c r="N1067" s="7"/>
      <c r="P1067" s="7"/>
      <c r="R1067" s="7"/>
      <c r="T1067" s="7"/>
      <c r="V1067" s="7"/>
      <c r="X1067" s="7"/>
    </row>
    <row r="1068" spans="2:24">
      <c r="B1068" s="7"/>
      <c r="D1068" s="7"/>
      <c r="F1068" s="7"/>
      <c r="H1068" s="7"/>
      <c r="J1068" s="7"/>
      <c r="L1068" s="7"/>
      <c r="N1068" s="7"/>
      <c r="P1068" s="7"/>
      <c r="R1068" s="7"/>
      <c r="T1068" s="7"/>
      <c r="V1068" s="7"/>
      <c r="X1068" s="7"/>
    </row>
    <row r="1069" spans="2:24">
      <c r="B1069" s="7"/>
      <c r="D1069" s="7"/>
      <c r="F1069" s="7"/>
      <c r="H1069" s="7"/>
      <c r="J1069" s="7"/>
      <c r="L1069" s="7"/>
      <c r="N1069" s="7"/>
      <c r="P1069" s="7"/>
      <c r="R1069" s="7"/>
      <c r="T1069" s="7"/>
      <c r="V1069" s="7"/>
      <c r="X1069" s="7"/>
    </row>
    <row r="1070" spans="2:24">
      <c r="B1070" s="7"/>
      <c r="D1070" s="7"/>
      <c r="F1070" s="7"/>
      <c r="H1070" s="7"/>
      <c r="J1070" s="7"/>
      <c r="L1070" s="7"/>
      <c r="N1070" s="7"/>
      <c r="P1070" s="7"/>
      <c r="R1070" s="7"/>
      <c r="T1070" s="7"/>
      <c r="V1070" s="7"/>
      <c r="X1070" s="7"/>
    </row>
    <row r="1071" spans="2:24">
      <c r="B1071" s="7"/>
      <c r="D1071" s="7"/>
      <c r="F1071" s="7"/>
      <c r="H1071" s="7"/>
      <c r="J1071" s="7"/>
      <c r="L1071" s="7"/>
      <c r="N1071" s="7"/>
      <c r="P1071" s="7"/>
      <c r="R1071" s="7"/>
      <c r="T1071" s="7"/>
      <c r="V1071" s="7"/>
      <c r="X1071" s="7"/>
    </row>
    <row r="1072" spans="2:24">
      <c r="B1072" s="7"/>
      <c r="D1072" s="7"/>
      <c r="F1072" s="7"/>
      <c r="H1072" s="7"/>
      <c r="J1072" s="7"/>
      <c r="L1072" s="7"/>
      <c r="N1072" s="7"/>
      <c r="P1072" s="7"/>
      <c r="R1072" s="7"/>
      <c r="T1072" s="7"/>
      <c r="V1072" s="7"/>
      <c r="X1072" s="7"/>
    </row>
    <row r="1073" spans="2:24">
      <c r="B1073" s="7"/>
      <c r="D1073" s="7"/>
      <c r="F1073" s="7"/>
      <c r="H1073" s="7"/>
      <c r="J1073" s="7"/>
      <c r="L1073" s="7"/>
      <c r="N1073" s="7"/>
      <c r="P1073" s="7"/>
      <c r="R1073" s="7"/>
      <c r="T1073" s="7"/>
      <c r="V1073" s="7"/>
      <c r="X1073" s="7"/>
    </row>
    <row r="1074" spans="2:24">
      <c r="B1074" s="7"/>
      <c r="D1074" s="7"/>
      <c r="F1074" s="7"/>
      <c r="H1074" s="7"/>
      <c r="J1074" s="7"/>
      <c r="L1074" s="7"/>
      <c r="N1074" s="7"/>
      <c r="P1074" s="7"/>
      <c r="R1074" s="7"/>
      <c r="T1074" s="7"/>
      <c r="V1074" s="7"/>
      <c r="X1074" s="7"/>
    </row>
    <row r="1075" spans="2:24">
      <c r="B1075" s="7"/>
      <c r="D1075" s="7"/>
      <c r="F1075" s="7"/>
      <c r="H1075" s="7"/>
      <c r="J1075" s="7"/>
      <c r="L1075" s="7"/>
      <c r="N1075" s="7"/>
      <c r="P1075" s="7"/>
      <c r="R1075" s="7"/>
      <c r="T1075" s="7"/>
      <c r="V1075" s="7"/>
      <c r="X1075" s="7"/>
    </row>
    <row r="1076" spans="2:24">
      <c r="B1076" s="7"/>
      <c r="D1076" s="7"/>
      <c r="F1076" s="7"/>
      <c r="H1076" s="7"/>
      <c r="J1076" s="7"/>
      <c r="L1076" s="7"/>
      <c r="N1076" s="7"/>
      <c r="P1076" s="7"/>
      <c r="R1076" s="7"/>
      <c r="T1076" s="7"/>
      <c r="V1076" s="7"/>
      <c r="X1076" s="7"/>
    </row>
    <row r="1077" spans="2:24">
      <c r="B1077" s="7"/>
      <c r="D1077" s="7"/>
      <c r="F1077" s="7"/>
      <c r="H1077" s="7"/>
      <c r="J1077" s="7"/>
      <c r="L1077" s="7"/>
      <c r="N1077" s="7"/>
      <c r="P1077" s="7"/>
      <c r="R1077" s="7"/>
      <c r="T1077" s="7"/>
      <c r="V1077" s="7"/>
      <c r="X1077" s="7"/>
    </row>
    <row r="1078" spans="2:24">
      <c r="B1078" s="7"/>
      <c r="D1078" s="7"/>
      <c r="F1078" s="7"/>
      <c r="H1078" s="7"/>
      <c r="J1078" s="7"/>
      <c r="L1078" s="7"/>
      <c r="N1078" s="7"/>
      <c r="P1078" s="7"/>
      <c r="R1078" s="7"/>
      <c r="T1078" s="7"/>
      <c r="V1078" s="7"/>
      <c r="X1078" s="7"/>
    </row>
    <row r="1079" spans="2:24">
      <c r="B1079" s="7"/>
      <c r="D1079" s="7"/>
      <c r="F1079" s="7"/>
      <c r="H1079" s="7"/>
      <c r="J1079" s="7"/>
      <c r="L1079" s="7"/>
      <c r="N1079" s="7"/>
      <c r="P1079" s="7"/>
      <c r="R1079" s="7"/>
      <c r="T1079" s="7"/>
      <c r="V1079" s="7"/>
      <c r="X1079" s="7"/>
    </row>
    <row r="1080" spans="2:24">
      <c r="B1080" s="7"/>
      <c r="D1080" s="7"/>
      <c r="F1080" s="7"/>
      <c r="H1080" s="7"/>
      <c r="J1080" s="7"/>
      <c r="L1080" s="7"/>
      <c r="N1080" s="7"/>
      <c r="P1080" s="7"/>
      <c r="R1080" s="7"/>
      <c r="T1080" s="7"/>
      <c r="V1080" s="7"/>
      <c r="X1080" s="7"/>
    </row>
    <row r="1081" spans="2:24">
      <c r="B1081" s="7"/>
      <c r="D1081" s="7"/>
      <c r="F1081" s="7"/>
      <c r="H1081" s="7"/>
      <c r="J1081" s="7"/>
      <c r="L1081" s="7"/>
      <c r="N1081" s="7"/>
      <c r="P1081" s="7"/>
      <c r="R1081" s="7"/>
      <c r="T1081" s="7"/>
      <c r="V1081" s="7"/>
      <c r="X1081" s="7"/>
    </row>
    <row r="1082" spans="2:24">
      <c r="B1082" s="7"/>
      <c r="D1082" s="7"/>
      <c r="F1082" s="7"/>
      <c r="H1082" s="7"/>
      <c r="J1082" s="7"/>
      <c r="L1082" s="7"/>
      <c r="N1082" s="7"/>
      <c r="P1082" s="7"/>
      <c r="R1082" s="7"/>
      <c r="T1082" s="7"/>
      <c r="V1082" s="7"/>
      <c r="X1082" s="7"/>
    </row>
    <row r="1083" spans="2:24">
      <c r="B1083" s="7"/>
      <c r="D1083" s="7"/>
      <c r="F1083" s="7"/>
      <c r="H1083" s="7"/>
      <c r="J1083" s="7"/>
      <c r="L1083" s="7"/>
      <c r="N1083" s="7"/>
      <c r="P1083" s="7"/>
      <c r="R1083" s="7"/>
      <c r="T1083" s="7"/>
      <c r="V1083" s="7"/>
      <c r="X1083" s="7"/>
    </row>
    <row r="1084" spans="2:24">
      <c r="B1084" s="7"/>
      <c r="D1084" s="7"/>
      <c r="F1084" s="7"/>
      <c r="H1084" s="7"/>
      <c r="J1084" s="7"/>
      <c r="L1084" s="7"/>
      <c r="N1084" s="7"/>
      <c r="P1084" s="7"/>
      <c r="R1084" s="7"/>
      <c r="T1084" s="7"/>
      <c r="V1084" s="7"/>
      <c r="X1084" s="7"/>
    </row>
    <row r="1085" spans="2:24">
      <c r="B1085" s="7"/>
      <c r="D1085" s="7"/>
      <c r="F1085" s="7"/>
      <c r="H1085" s="7"/>
      <c r="J1085" s="7"/>
      <c r="L1085" s="7"/>
      <c r="N1085" s="7"/>
      <c r="P1085" s="7"/>
      <c r="R1085" s="7"/>
      <c r="T1085" s="7"/>
      <c r="V1085" s="7"/>
      <c r="X1085" s="7"/>
    </row>
    <row r="1086" spans="2:24">
      <c r="B1086" s="7"/>
      <c r="D1086" s="7"/>
      <c r="F1086" s="7"/>
      <c r="H1086" s="7"/>
      <c r="J1086" s="7"/>
      <c r="L1086" s="7"/>
      <c r="N1086" s="7"/>
      <c r="P1086" s="7"/>
      <c r="R1086" s="7"/>
      <c r="T1086" s="7"/>
      <c r="V1086" s="7"/>
      <c r="X1086" s="7"/>
    </row>
    <row r="1087" spans="2:24">
      <c r="B1087" s="7"/>
      <c r="D1087" s="7"/>
      <c r="F1087" s="7"/>
      <c r="H1087" s="7"/>
      <c r="J1087" s="7"/>
      <c r="L1087" s="7"/>
      <c r="N1087" s="7"/>
      <c r="P1087" s="7"/>
      <c r="R1087" s="7"/>
      <c r="T1087" s="7"/>
      <c r="V1087" s="7"/>
      <c r="X1087" s="7"/>
    </row>
    <row r="1088" spans="2:24">
      <c r="B1088" s="7"/>
      <c r="D1088" s="7"/>
      <c r="F1088" s="7"/>
      <c r="H1088" s="7"/>
      <c r="J1088" s="7"/>
      <c r="L1088" s="7"/>
      <c r="N1088" s="7"/>
      <c r="P1088" s="7"/>
      <c r="R1088" s="7"/>
      <c r="T1088" s="7"/>
      <c r="V1088" s="7"/>
      <c r="X1088" s="7"/>
    </row>
    <row r="1089" spans="2:24">
      <c r="B1089" s="7"/>
      <c r="D1089" s="7"/>
      <c r="F1089" s="7"/>
      <c r="H1089" s="7"/>
      <c r="J1089" s="7"/>
      <c r="L1089" s="7"/>
      <c r="N1089" s="7"/>
      <c r="P1089" s="7"/>
      <c r="R1089" s="7"/>
      <c r="T1089" s="7"/>
      <c r="V1089" s="7"/>
      <c r="X1089" s="7"/>
    </row>
    <row r="1090" spans="2:24">
      <c r="B1090" s="7"/>
      <c r="D1090" s="7"/>
      <c r="F1090" s="7"/>
      <c r="H1090" s="7"/>
      <c r="J1090" s="7"/>
      <c r="L1090" s="7"/>
      <c r="N1090" s="7"/>
      <c r="P1090" s="7"/>
      <c r="R1090" s="7"/>
      <c r="T1090" s="7"/>
      <c r="V1090" s="7"/>
      <c r="X1090" s="7"/>
    </row>
    <row r="1091" spans="2:24">
      <c r="B1091" s="7"/>
      <c r="D1091" s="7"/>
      <c r="F1091" s="7"/>
      <c r="H1091" s="7"/>
      <c r="J1091" s="7"/>
      <c r="L1091" s="7"/>
      <c r="N1091" s="7"/>
      <c r="P1091" s="7"/>
      <c r="R1091" s="7"/>
      <c r="T1091" s="7"/>
      <c r="V1091" s="7"/>
      <c r="X1091" s="7"/>
    </row>
    <row r="1092" spans="2:24">
      <c r="B1092" s="7"/>
      <c r="D1092" s="7"/>
      <c r="F1092" s="7"/>
      <c r="H1092" s="7"/>
      <c r="J1092" s="7"/>
      <c r="L1092" s="7"/>
      <c r="N1092" s="7"/>
      <c r="P1092" s="7"/>
      <c r="R1092" s="7"/>
      <c r="T1092" s="7"/>
      <c r="V1092" s="7"/>
      <c r="X1092" s="7"/>
    </row>
    <row r="1093" spans="2:24">
      <c r="B1093" s="7"/>
      <c r="D1093" s="7"/>
      <c r="F1093" s="7"/>
      <c r="H1093" s="7"/>
      <c r="J1093" s="7"/>
      <c r="L1093" s="7"/>
      <c r="N1093" s="7"/>
      <c r="P1093" s="7"/>
      <c r="R1093" s="7"/>
      <c r="T1093" s="7"/>
      <c r="V1093" s="7"/>
      <c r="X1093" s="7"/>
    </row>
    <row r="1094" spans="2:24">
      <c r="B1094" s="7"/>
      <c r="D1094" s="7"/>
      <c r="F1094" s="7"/>
      <c r="H1094" s="7"/>
      <c r="J1094" s="7"/>
      <c r="L1094" s="7"/>
      <c r="N1094" s="7"/>
      <c r="P1094" s="7"/>
      <c r="R1094" s="7"/>
      <c r="T1094" s="7"/>
      <c r="V1094" s="7"/>
      <c r="X1094" s="7"/>
    </row>
    <row r="1095" spans="2:24">
      <c r="B1095" s="7"/>
      <c r="D1095" s="7"/>
      <c r="F1095" s="7"/>
      <c r="H1095" s="7"/>
      <c r="J1095" s="7"/>
      <c r="L1095" s="7"/>
      <c r="N1095" s="7"/>
      <c r="P1095" s="7"/>
      <c r="R1095" s="7"/>
      <c r="T1095" s="7"/>
      <c r="V1095" s="7"/>
      <c r="X1095" s="7"/>
    </row>
    <row r="1096" spans="2:24">
      <c r="B1096" s="7"/>
      <c r="D1096" s="7"/>
      <c r="F1096" s="7"/>
      <c r="H1096" s="7"/>
      <c r="J1096" s="7"/>
      <c r="L1096" s="7"/>
      <c r="N1096" s="7"/>
      <c r="P1096" s="7"/>
      <c r="R1096" s="7"/>
      <c r="T1096" s="7"/>
      <c r="V1096" s="7"/>
      <c r="X1096" s="7"/>
    </row>
    <row r="1097" spans="2:24">
      <c r="B1097" s="7"/>
      <c r="D1097" s="7"/>
      <c r="F1097" s="7"/>
      <c r="H1097" s="7"/>
      <c r="J1097" s="7"/>
      <c r="L1097" s="7"/>
      <c r="N1097" s="7"/>
      <c r="P1097" s="7"/>
      <c r="R1097" s="7"/>
      <c r="T1097" s="7"/>
      <c r="V1097" s="7"/>
      <c r="X1097" s="7"/>
    </row>
    <row r="1098" spans="2:24">
      <c r="B1098" s="7"/>
      <c r="D1098" s="7"/>
      <c r="F1098" s="7"/>
      <c r="H1098" s="7"/>
      <c r="J1098" s="7"/>
      <c r="L1098" s="7"/>
      <c r="N1098" s="7"/>
      <c r="P1098" s="7"/>
      <c r="R1098" s="7"/>
      <c r="T1098" s="7"/>
      <c r="V1098" s="7"/>
      <c r="X1098" s="7"/>
    </row>
    <row r="1099" spans="2:24">
      <c r="B1099" s="7"/>
      <c r="D1099" s="7"/>
      <c r="F1099" s="7"/>
      <c r="H1099" s="7"/>
      <c r="J1099" s="7"/>
      <c r="L1099" s="7"/>
      <c r="N1099" s="7"/>
      <c r="P1099" s="7"/>
      <c r="R1099" s="7"/>
      <c r="T1099" s="7"/>
      <c r="V1099" s="7"/>
      <c r="X1099" s="7"/>
    </row>
    <row r="1100" spans="2:24">
      <c r="B1100" s="7"/>
      <c r="D1100" s="7"/>
      <c r="F1100" s="7"/>
      <c r="H1100" s="7"/>
      <c r="J1100" s="7"/>
      <c r="L1100" s="7"/>
      <c r="N1100" s="7"/>
      <c r="P1100" s="7"/>
      <c r="R1100" s="7"/>
      <c r="T1100" s="7"/>
      <c r="V1100" s="7"/>
      <c r="X1100" s="7"/>
    </row>
    <row r="1101" spans="2:24">
      <c r="B1101" s="7"/>
      <c r="D1101" s="7"/>
      <c r="F1101" s="7"/>
      <c r="H1101" s="7"/>
      <c r="J1101" s="7"/>
      <c r="L1101" s="7"/>
      <c r="N1101" s="7"/>
      <c r="P1101" s="7"/>
      <c r="R1101" s="7"/>
      <c r="T1101" s="7"/>
      <c r="V1101" s="7"/>
      <c r="X1101" s="7"/>
    </row>
    <row r="1102" spans="2:24">
      <c r="B1102" s="7"/>
      <c r="D1102" s="7"/>
      <c r="F1102" s="7"/>
      <c r="H1102" s="7"/>
      <c r="J1102" s="7"/>
      <c r="L1102" s="7"/>
      <c r="N1102" s="7"/>
      <c r="P1102" s="7"/>
      <c r="R1102" s="7"/>
      <c r="T1102" s="7"/>
      <c r="V1102" s="7"/>
      <c r="X1102" s="7"/>
    </row>
    <row r="1103" spans="2:24">
      <c r="B1103" s="7"/>
      <c r="D1103" s="7"/>
      <c r="F1103" s="7"/>
      <c r="H1103" s="7"/>
      <c r="J1103" s="7"/>
      <c r="L1103" s="7"/>
      <c r="N1103" s="7"/>
      <c r="P1103" s="7"/>
      <c r="R1103" s="7"/>
      <c r="T1103" s="7"/>
      <c r="V1103" s="7"/>
      <c r="X1103" s="7"/>
    </row>
    <row r="1104" spans="2:24">
      <c r="B1104" s="7"/>
      <c r="D1104" s="7"/>
      <c r="F1104" s="7"/>
      <c r="H1104" s="7"/>
      <c r="J1104" s="7"/>
      <c r="L1104" s="7"/>
      <c r="N1104" s="7"/>
      <c r="P1104" s="7"/>
      <c r="R1104" s="7"/>
      <c r="T1104" s="7"/>
      <c r="V1104" s="7"/>
      <c r="X1104" s="7"/>
    </row>
    <row r="1105" spans="2:24">
      <c r="B1105" s="7"/>
      <c r="D1105" s="7"/>
      <c r="F1105" s="7"/>
      <c r="H1105" s="7"/>
      <c r="J1105" s="7"/>
      <c r="L1105" s="7"/>
      <c r="N1105" s="7"/>
      <c r="P1105" s="7"/>
      <c r="R1105" s="7"/>
      <c r="T1105" s="7"/>
      <c r="V1105" s="7"/>
      <c r="X1105" s="7"/>
    </row>
    <row r="1106" spans="2:24">
      <c r="B1106" s="7"/>
      <c r="D1106" s="7"/>
      <c r="F1106" s="7"/>
      <c r="H1106" s="7"/>
      <c r="J1106" s="7"/>
      <c r="L1106" s="7"/>
      <c r="N1106" s="7"/>
      <c r="P1106" s="7"/>
      <c r="R1106" s="7"/>
      <c r="T1106" s="7"/>
      <c r="V1106" s="7"/>
      <c r="X1106" s="7"/>
    </row>
    <row r="1107" spans="2:24">
      <c r="B1107" s="7"/>
      <c r="D1107" s="7"/>
      <c r="F1107" s="7"/>
      <c r="H1107" s="7"/>
      <c r="J1107" s="7"/>
      <c r="L1107" s="7"/>
      <c r="N1107" s="7"/>
      <c r="P1107" s="7"/>
      <c r="R1107" s="7"/>
      <c r="T1107" s="7"/>
      <c r="V1107" s="7"/>
      <c r="X1107" s="7"/>
    </row>
    <row r="1108" spans="2:24">
      <c r="B1108" s="7"/>
      <c r="D1108" s="7"/>
      <c r="F1108" s="7"/>
      <c r="H1108" s="7"/>
      <c r="J1108" s="7"/>
      <c r="L1108" s="7"/>
      <c r="N1108" s="7"/>
      <c r="P1108" s="7"/>
      <c r="R1108" s="7"/>
      <c r="T1108" s="7"/>
      <c r="V1108" s="7"/>
      <c r="X1108" s="7"/>
    </row>
    <row r="1109" spans="2:24">
      <c r="B1109" s="7"/>
      <c r="D1109" s="7"/>
      <c r="F1109" s="7"/>
      <c r="H1109" s="7"/>
      <c r="J1109" s="7"/>
      <c r="L1109" s="7"/>
      <c r="N1109" s="7"/>
      <c r="P1109" s="7"/>
      <c r="R1109" s="7"/>
      <c r="T1109" s="7"/>
      <c r="V1109" s="7"/>
      <c r="X1109" s="7"/>
    </row>
    <row r="1110" spans="2:24">
      <c r="B1110" s="7"/>
      <c r="D1110" s="7"/>
      <c r="F1110" s="7"/>
      <c r="H1110" s="7"/>
      <c r="J1110" s="7"/>
      <c r="L1110" s="7"/>
      <c r="N1110" s="7"/>
      <c r="P1110" s="7"/>
      <c r="R1110" s="7"/>
      <c r="T1110" s="7"/>
      <c r="V1110" s="7"/>
      <c r="X1110" s="7"/>
    </row>
    <row r="1111" spans="2:24">
      <c r="B1111" s="7"/>
      <c r="D1111" s="7"/>
      <c r="F1111" s="7"/>
      <c r="H1111" s="7"/>
      <c r="J1111" s="7"/>
      <c r="L1111" s="7"/>
      <c r="N1111" s="7"/>
      <c r="P1111" s="7"/>
      <c r="R1111" s="7"/>
      <c r="T1111" s="7"/>
      <c r="V1111" s="7"/>
      <c r="X1111" s="7"/>
    </row>
    <row r="1112" spans="2:24">
      <c r="B1112" s="7"/>
      <c r="D1112" s="7"/>
      <c r="F1112" s="7"/>
      <c r="H1112" s="7"/>
      <c r="J1112" s="7"/>
      <c r="L1112" s="7"/>
      <c r="N1112" s="7"/>
      <c r="P1112" s="7"/>
      <c r="R1112" s="7"/>
      <c r="T1112" s="7"/>
      <c r="V1112" s="7"/>
      <c r="X1112" s="7"/>
    </row>
    <row r="1113" spans="2:24">
      <c r="B1113" s="7"/>
      <c r="D1113" s="7"/>
      <c r="F1113" s="7"/>
      <c r="H1113" s="7"/>
      <c r="J1113" s="7"/>
      <c r="L1113" s="7"/>
      <c r="N1113" s="7"/>
      <c r="P1113" s="7"/>
      <c r="R1113" s="7"/>
      <c r="T1113" s="7"/>
      <c r="V1113" s="7"/>
      <c r="X1113" s="7"/>
    </row>
    <row r="1114" spans="2:24">
      <c r="B1114" s="7"/>
      <c r="D1114" s="7"/>
      <c r="F1114" s="7"/>
      <c r="H1114" s="7"/>
      <c r="J1114" s="7"/>
      <c r="L1114" s="7"/>
      <c r="N1114" s="7"/>
      <c r="P1114" s="7"/>
      <c r="R1114" s="7"/>
      <c r="T1114" s="7"/>
      <c r="V1114" s="7"/>
      <c r="X1114" s="7"/>
    </row>
    <row r="1115" spans="2:24">
      <c r="B1115" s="7"/>
      <c r="D1115" s="7"/>
      <c r="F1115" s="7"/>
      <c r="H1115" s="7"/>
      <c r="J1115" s="7"/>
      <c r="L1115" s="7"/>
      <c r="N1115" s="7"/>
      <c r="P1115" s="7"/>
      <c r="R1115" s="7"/>
      <c r="T1115" s="7"/>
      <c r="V1115" s="7"/>
      <c r="X1115" s="7"/>
    </row>
    <row r="1116" spans="2:24">
      <c r="B1116" s="7"/>
      <c r="D1116" s="7"/>
      <c r="F1116" s="7"/>
      <c r="H1116" s="7"/>
      <c r="J1116" s="7"/>
      <c r="L1116" s="7"/>
      <c r="N1116" s="7"/>
      <c r="P1116" s="7"/>
      <c r="R1116" s="7"/>
      <c r="T1116" s="7"/>
      <c r="V1116" s="7"/>
      <c r="X1116" s="7"/>
    </row>
    <row r="1117" spans="2:24">
      <c r="B1117" s="7"/>
      <c r="D1117" s="7"/>
      <c r="F1117" s="7"/>
      <c r="H1117" s="7"/>
      <c r="J1117" s="7"/>
      <c r="L1117" s="7"/>
      <c r="N1117" s="7"/>
      <c r="P1117" s="7"/>
      <c r="R1117" s="7"/>
      <c r="T1117" s="7"/>
      <c r="V1117" s="7"/>
      <c r="X1117" s="7"/>
    </row>
    <row r="1118" spans="2:24">
      <c r="B1118" s="7"/>
      <c r="D1118" s="7"/>
      <c r="F1118" s="7"/>
      <c r="H1118" s="7"/>
      <c r="J1118" s="7"/>
      <c r="L1118" s="7"/>
      <c r="N1118" s="7"/>
      <c r="P1118" s="7"/>
      <c r="R1118" s="7"/>
      <c r="T1118" s="7"/>
      <c r="V1118" s="7"/>
      <c r="X1118" s="7"/>
    </row>
    <row r="1119" spans="2:24">
      <c r="B1119" s="7"/>
      <c r="D1119" s="7"/>
      <c r="F1119" s="7"/>
      <c r="H1119" s="7"/>
      <c r="J1119" s="7"/>
      <c r="L1119" s="7"/>
      <c r="N1119" s="7"/>
      <c r="P1119" s="7"/>
      <c r="R1119" s="7"/>
      <c r="T1119" s="7"/>
      <c r="V1119" s="7"/>
      <c r="X1119" s="7"/>
    </row>
    <row r="1120" spans="2:24">
      <c r="B1120" s="7"/>
      <c r="D1120" s="7"/>
      <c r="F1120" s="7"/>
      <c r="H1120" s="7"/>
      <c r="J1120" s="7"/>
      <c r="L1120" s="7"/>
      <c r="N1120" s="7"/>
      <c r="P1120" s="7"/>
      <c r="R1120" s="7"/>
      <c r="T1120" s="7"/>
      <c r="V1120" s="7"/>
      <c r="X1120" s="7"/>
    </row>
    <row r="1121" spans="2:24">
      <c r="B1121" s="7"/>
      <c r="D1121" s="7"/>
      <c r="F1121" s="7"/>
      <c r="H1121" s="7"/>
      <c r="J1121" s="7"/>
      <c r="L1121" s="7"/>
      <c r="N1121" s="7"/>
      <c r="P1121" s="7"/>
      <c r="R1121" s="7"/>
      <c r="T1121" s="7"/>
      <c r="V1121" s="7"/>
      <c r="X1121" s="7"/>
    </row>
    <row r="1122" spans="2:24">
      <c r="B1122" s="7"/>
      <c r="D1122" s="7"/>
      <c r="F1122" s="7"/>
      <c r="H1122" s="7"/>
      <c r="J1122" s="7"/>
      <c r="L1122" s="7"/>
      <c r="N1122" s="7"/>
      <c r="P1122" s="7"/>
      <c r="R1122" s="7"/>
      <c r="T1122" s="7"/>
      <c r="V1122" s="7"/>
      <c r="X1122" s="7"/>
    </row>
    <row r="1123" spans="2:24">
      <c r="B1123" s="7"/>
      <c r="D1123" s="7"/>
      <c r="F1123" s="7"/>
      <c r="H1123" s="7"/>
      <c r="J1123" s="7"/>
      <c r="L1123" s="7"/>
      <c r="N1123" s="7"/>
      <c r="P1123" s="7"/>
      <c r="R1123" s="7"/>
      <c r="T1123" s="7"/>
      <c r="V1123" s="7"/>
      <c r="X1123" s="7"/>
    </row>
    <row r="1124" spans="2:24">
      <c r="B1124" s="7"/>
      <c r="D1124" s="7"/>
      <c r="F1124" s="7"/>
      <c r="H1124" s="7"/>
      <c r="J1124" s="7"/>
      <c r="L1124" s="7"/>
      <c r="N1124" s="7"/>
      <c r="P1124" s="7"/>
      <c r="R1124" s="7"/>
      <c r="T1124" s="7"/>
      <c r="V1124" s="7"/>
      <c r="X1124" s="7"/>
    </row>
    <row r="1125" spans="2:24">
      <c r="B1125" s="7"/>
      <c r="D1125" s="7"/>
      <c r="F1125" s="7"/>
      <c r="H1125" s="7"/>
      <c r="J1125" s="7"/>
      <c r="L1125" s="7"/>
      <c r="N1125" s="7"/>
      <c r="P1125" s="7"/>
      <c r="R1125" s="7"/>
      <c r="T1125" s="7"/>
      <c r="V1125" s="7"/>
      <c r="X1125" s="7"/>
    </row>
    <row r="1126" spans="2:24">
      <c r="B1126" s="7"/>
      <c r="D1126" s="7"/>
      <c r="F1126" s="7"/>
      <c r="H1126" s="7"/>
      <c r="J1126" s="7"/>
      <c r="L1126" s="7"/>
      <c r="N1126" s="7"/>
      <c r="P1126" s="7"/>
      <c r="R1126" s="7"/>
      <c r="T1126" s="7"/>
      <c r="V1126" s="7"/>
      <c r="X1126" s="7"/>
    </row>
    <row r="1127" spans="2:24">
      <c r="B1127" s="7"/>
      <c r="D1127" s="7"/>
      <c r="F1127" s="7"/>
      <c r="H1127" s="7"/>
      <c r="J1127" s="7"/>
      <c r="L1127" s="7"/>
      <c r="N1127" s="7"/>
      <c r="P1127" s="7"/>
      <c r="R1127" s="7"/>
      <c r="T1127" s="7"/>
      <c r="V1127" s="7"/>
      <c r="X1127" s="7"/>
    </row>
    <row r="1128" spans="2:24">
      <c r="B1128" s="7"/>
      <c r="D1128" s="7"/>
      <c r="F1128" s="7"/>
      <c r="H1128" s="7"/>
      <c r="J1128" s="7"/>
      <c r="L1128" s="7"/>
      <c r="N1128" s="7"/>
      <c r="P1128" s="7"/>
      <c r="R1128" s="7"/>
      <c r="T1128" s="7"/>
      <c r="V1128" s="7"/>
      <c r="X1128" s="7"/>
    </row>
    <row r="1129" spans="2:24">
      <c r="B1129" s="7"/>
      <c r="D1129" s="7"/>
      <c r="F1129" s="7"/>
      <c r="H1129" s="7"/>
      <c r="J1129" s="7"/>
      <c r="L1129" s="7"/>
      <c r="N1129" s="7"/>
      <c r="P1129" s="7"/>
      <c r="R1129" s="7"/>
      <c r="T1129" s="7"/>
      <c r="V1129" s="7"/>
      <c r="X1129" s="7"/>
    </row>
    <row r="1130" spans="2:24">
      <c r="B1130" s="7"/>
      <c r="D1130" s="7"/>
      <c r="F1130" s="7"/>
      <c r="H1130" s="7"/>
      <c r="J1130" s="7"/>
      <c r="L1130" s="7"/>
      <c r="N1130" s="7"/>
      <c r="P1130" s="7"/>
      <c r="R1130" s="7"/>
      <c r="T1130" s="7"/>
      <c r="V1130" s="7"/>
      <c r="X1130" s="7"/>
    </row>
    <row r="1131" spans="2:24">
      <c r="B1131" s="7"/>
      <c r="D1131" s="7"/>
      <c r="F1131" s="7"/>
      <c r="H1131" s="7"/>
      <c r="J1131" s="7"/>
      <c r="L1131" s="7"/>
      <c r="N1131" s="7"/>
      <c r="P1131" s="7"/>
      <c r="R1131" s="7"/>
      <c r="T1131" s="7"/>
      <c r="V1131" s="7"/>
      <c r="X1131" s="7"/>
    </row>
    <row r="1132" spans="2:24">
      <c r="B1132" s="7"/>
      <c r="D1132" s="7"/>
      <c r="F1132" s="7"/>
      <c r="H1132" s="7"/>
      <c r="J1132" s="7"/>
      <c r="L1132" s="7"/>
      <c r="N1132" s="7"/>
      <c r="P1132" s="7"/>
      <c r="R1132" s="7"/>
      <c r="T1132" s="7"/>
      <c r="V1132" s="7"/>
      <c r="X1132" s="7"/>
    </row>
    <row r="1133" spans="2:24">
      <c r="B1133" s="7"/>
      <c r="D1133" s="7"/>
      <c r="F1133" s="7"/>
      <c r="H1133" s="7"/>
      <c r="J1133" s="7"/>
      <c r="L1133" s="7"/>
      <c r="N1133" s="7"/>
      <c r="P1133" s="7"/>
      <c r="R1133" s="7"/>
      <c r="T1133" s="7"/>
      <c r="V1133" s="7"/>
      <c r="X1133" s="7"/>
    </row>
    <row r="1134" spans="2:24">
      <c r="B1134" s="7"/>
      <c r="D1134" s="7"/>
      <c r="F1134" s="7"/>
      <c r="H1134" s="7"/>
      <c r="J1134" s="7"/>
      <c r="L1134" s="7"/>
      <c r="N1134" s="7"/>
      <c r="P1134" s="7"/>
      <c r="R1134" s="7"/>
      <c r="T1134" s="7"/>
      <c r="V1134" s="7"/>
      <c r="X1134" s="7"/>
    </row>
    <row r="1135" spans="2:24">
      <c r="B1135" s="7"/>
      <c r="D1135" s="7"/>
      <c r="F1135" s="7"/>
      <c r="H1135" s="7"/>
      <c r="J1135" s="7"/>
      <c r="L1135" s="7"/>
      <c r="N1135" s="7"/>
      <c r="P1135" s="7"/>
      <c r="R1135" s="7"/>
      <c r="T1135" s="7"/>
      <c r="V1135" s="7"/>
      <c r="X1135" s="7"/>
    </row>
    <row r="1136" spans="2:24">
      <c r="B1136" s="7"/>
      <c r="D1136" s="7"/>
      <c r="F1136" s="7"/>
      <c r="H1136" s="7"/>
      <c r="J1136" s="7"/>
      <c r="L1136" s="7"/>
      <c r="N1136" s="7"/>
      <c r="P1136" s="7"/>
      <c r="R1136" s="7"/>
      <c r="T1136" s="7"/>
      <c r="V1136" s="7"/>
      <c r="X1136" s="7"/>
    </row>
    <row r="1137" spans="2:24">
      <c r="B1137" s="7"/>
      <c r="D1137" s="7"/>
      <c r="F1137" s="7"/>
      <c r="H1137" s="7"/>
      <c r="J1137" s="7"/>
      <c r="L1137" s="7"/>
      <c r="N1137" s="7"/>
      <c r="P1137" s="7"/>
      <c r="R1137" s="7"/>
      <c r="T1137" s="7"/>
      <c r="V1137" s="7"/>
      <c r="X1137" s="7"/>
    </row>
    <row r="1138" spans="2:24">
      <c r="B1138" s="7"/>
      <c r="D1138" s="7"/>
      <c r="F1138" s="7"/>
      <c r="H1138" s="7"/>
      <c r="J1138" s="7"/>
      <c r="L1138" s="7"/>
      <c r="N1138" s="7"/>
      <c r="P1138" s="7"/>
      <c r="R1138" s="7"/>
      <c r="T1138" s="7"/>
      <c r="V1138" s="7"/>
      <c r="X1138" s="7"/>
    </row>
    <row r="1139" spans="2:24">
      <c r="B1139" s="7"/>
      <c r="D1139" s="7"/>
      <c r="F1139" s="7"/>
      <c r="H1139" s="7"/>
      <c r="J1139" s="7"/>
      <c r="L1139" s="7"/>
      <c r="N1139" s="7"/>
      <c r="P1139" s="7"/>
      <c r="R1139" s="7"/>
      <c r="T1139" s="7"/>
      <c r="V1139" s="7"/>
      <c r="X1139" s="7"/>
    </row>
    <row r="1140" spans="2:24">
      <c r="B1140" s="7"/>
      <c r="D1140" s="7"/>
      <c r="F1140" s="7"/>
      <c r="H1140" s="7"/>
      <c r="J1140" s="7"/>
      <c r="L1140" s="7"/>
      <c r="N1140" s="7"/>
      <c r="P1140" s="7"/>
      <c r="R1140" s="7"/>
      <c r="T1140" s="7"/>
      <c r="V1140" s="7"/>
      <c r="X1140" s="7"/>
    </row>
    <row r="1141" spans="2:24">
      <c r="B1141" s="7"/>
      <c r="D1141" s="7"/>
      <c r="F1141" s="7"/>
      <c r="H1141" s="7"/>
      <c r="J1141" s="7"/>
      <c r="L1141" s="7"/>
      <c r="N1141" s="7"/>
      <c r="P1141" s="7"/>
      <c r="R1141" s="7"/>
      <c r="T1141" s="7"/>
      <c r="V1141" s="7"/>
      <c r="X1141" s="7"/>
    </row>
    <row r="1142" spans="2:24">
      <c r="B1142" s="7"/>
      <c r="D1142" s="7"/>
      <c r="F1142" s="7"/>
      <c r="H1142" s="7"/>
      <c r="J1142" s="7"/>
      <c r="L1142" s="7"/>
      <c r="N1142" s="7"/>
      <c r="P1142" s="7"/>
      <c r="R1142" s="7"/>
      <c r="T1142" s="7"/>
      <c r="V1142" s="7"/>
      <c r="X1142" s="7"/>
    </row>
    <row r="1143" spans="2:24">
      <c r="B1143" s="7"/>
      <c r="D1143" s="7"/>
      <c r="F1143" s="7"/>
      <c r="H1143" s="7"/>
      <c r="J1143" s="7"/>
      <c r="L1143" s="7"/>
      <c r="N1143" s="7"/>
      <c r="P1143" s="7"/>
      <c r="R1143" s="7"/>
      <c r="T1143" s="7"/>
      <c r="V1143" s="7"/>
      <c r="X1143" s="7"/>
    </row>
    <row r="1144" spans="2:24">
      <c r="B1144" s="7"/>
      <c r="D1144" s="7"/>
      <c r="F1144" s="7"/>
      <c r="H1144" s="7"/>
      <c r="J1144" s="7"/>
      <c r="L1144" s="7"/>
      <c r="N1144" s="7"/>
      <c r="P1144" s="7"/>
      <c r="R1144" s="7"/>
      <c r="T1144" s="7"/>
      <c r="V1144" s="7"/>
      <c r="X1144" s="7"/>
    </row>
    <row r="1145" spans="2:24">
      <c r="B1145" s="7"/>
      <c r="D1145" s="7"/>
      <c r="F1145" s="7"/>
      <c r="H1145" s="7"/>
      <c r="J1145" s="7"/>
      <c r="L1145" s="7"/>
      <c r="N1145" s="7"/>
      <c r="P1145" s="7"/>
      <c r="R1145" s="7"/>
      <c r="T1145" s="7"/>
      <c r="V1145" s="7"/>
      <c r="X1145" s="7"/>
    </row>
    <row r="1146" spans="2:24">
      <c r="B1146" s="7"/>
      <c r="D1146" s="7"/>
      <c r="F1146" s="7"/>
      <c r="H1146" s="7"/>
      <c r="J1146" s="7"/>
      <c r="L1146" s="7"/>
      <c r="N1146" s="7"/>
      <c r="P1146" s="7"/>
      <c r="R1146" s="7"/>
      <c r="T1146" s="7"/>
      <c r="V1146" s="7"/>
      <c r="X1146" s="7"/>
    </row>
    <row r="1147" spans="2:24">
      <c r="B1147" s="7"/>
      <c r="D1147" s="7"/>
      <c r="F1147" s="7"/>
      <c r="H1147" s="7"/>
      <c r="J1147" s="7"/>
      <c r="L1147" s="7"/>
      <c r="N1147" s="7"/>
      <c r="P1147" s="7"/>
      <c r="R1147" s="7"/>
      <c r="T1147" s="7"/>
      <c r="V1147" s="7"/>
      <c r="X1147" s="7"/>
    </row>
    <row r="1148" spans="2:24">
      <c r="B1148" s="7"/>
      <c r="D1148" s="7"/>
      <c r="F1148" s="7"/>
      <c r="H1148" s="7"/>
      <c r="J1148" s="7"/>
      <c r="L1148" s="7"/>
      <c r="N1148" s="7"/>
      <c r="P1148" s="7"/>
      <c r="R1148" s="7"/>
      <c r="T1148" s="7"/>
      <c r="V1148" s="7"/>
      <c r="X1148" s="7"/>
    </row>
    <row r="1149" spans="2:24">
      <c r="B1149" s="7"/>
      <c r="D1149" s="7"/>
      <c r="F1149" s="7"/>
      <c r="H1149" s="7"/>
      <c r="J1149" s="7"/>
      <c r="L1149" s="7"/>
      <c r="N1149" s="7"/>
      <c r="P1149" s="7"/>
      <c r="R1149" s="7"/>
      <c r="T1149" s="7"/>
      <c r="V1149" s="7"/>
      <c r="X1149" s="7"/>
    </row>
    <row r="1150" spans="2:24">
      <c r="B1150" s="7"/>
      <c r="D1150" s="7"/>
      <c r="F1150" s="7"/>
      <c r="H1150" s="7"/>
      <c r="J1150" s="7"/>
      <c r="L1150" s="7"/>
      <c r="N1150" s="7"/>
      <c r="P1150" s="7"/>
      <c r="R1150" s="7"/>
      <c r="T1150" s="7"/>
      <c r="V1150" s="7"/>
      <c r="X1150" s="7"/>
    </row>
    <row r="1151" spans="2:24">
      <c r="B1151" s="7"/>
      <c r="D1151" s="7"/>
      <c r="F1151" s="7"/>
      <c r="H1151" s="7"/>
      <c r="J1151" s="7"/>
      <c r="L1151" s="7"/>
      <c r="N1151" s="7"/>
      <c r="P1151" s="7"/>
      <c r="R1151" s="7"/>
      <c r="T1151" s="7"/>
      <c r="V1151" s="7"/>
      <c r="X1151" s="7"/>
    </row>
    <row r="1152" spans="2:24">
      <c r="B1152" s="7"/>
      <c r="D1152" s="7"/>
      <c r="F1152" s="7"/>
      <c r="H1152" s="7"/>
      <c r="J1152" s="7"/>
      <c r="L1152" s="7"/>
      <c r="N1152" s="7"/>
      <c r="P1152" s="7"/>
      <c r="R1152" s="7"/>
      <c r="T1152" s="7"/>
      <c r="V1152" s="7"/>
      <c r="X1152" s="7"/>
    </row>
    <row r="1153" spans="2:24">
      <c r="B1153" s="7"/>
      <c r="D1153" s="7"/>
      <c r="F1153" s="7"/>
      <c r="H1153" s="7"/>
      <c r="J1153" s="7"/>
      <c r="L1153" s="7"/>
      <c r="N1153" s="7"/>
      <c r="P1153" s="7"/>
      <c r="R1153" s="7"/>
      <c r="T1153" s="7"/>
      <c r="V1153" s="7"/>
      <c r="X1153" s="7"/>
    </row>
    <row r="1154" spans="2:24">
      <c r="B1154" s="7"/>
      <c r="D1154" s="7"/>
      <c r="F1154" s="7"/>
      <c r="H1154" s="7"/>
      <c r="J1154" s="7"/>
      <c r="L1154" s="7"/>
      <c r="N1154" s="7"/>
      <c r="P1154" s="7"/>
      <c r="R1154" s="7"/>
      <c r="T1154" s="7"/>
      <c r="V1154" s="7"/>
      <c r="X1154" s="7"/>
    </row>
    <row r="1155" spans="2:24">
      <c r="B1155" s="7"/>
      <c r="D1155" s="7"/>
      <c r="F1155" s="7"/>
      <c r="H1155" s="7"/>
      <c r="J1155" s="7"/>
      <c r="L1155" s="7"/>
      <c r="N1155" s="7"/>
      <c r="P1155" s="7"/>
      <c r="R1155" s="7"/>
      <c r="T1155" s="7"/>
      <c r="V1155" s="7"/>
      <c r="X1155" s="7"/>
    </row>
    <row r="1156" spans="2:24">
      <c r="B1156" s="7"/>
      <c r="D1156" s="7"/>
      <c r="F1156" s="7"/>
      <c r="H1156" s="7"/>
      <c r="J1156" s="7"/>
      <c r="L1156" s="7"/>
      <c r="N1156" s="7"/>
      <c r="P1156" s="7"/>
      <c r="R1156" s="7"/>
      <c r="T1156" s="7"/>
      <c r="V1156" s="7"/>
      <c r="X1156" s="7"/>
    </row>
    <row r="1157" spans="2:24">
      <c r="B1157" s="7"/>
      <c r="D1157" s="7"/>
      <c r="F1157" s="7"/>
      <c r="H1157" s="7"/>
      <c r="J1157" s="7"/>
      <c r="L1157" s="7"/>
      <c r="N1157" s="7"/>
      <c r="P1157" s="7"/>
      <c r="R1157" s="7"/>
      <c r="T1157" s="7"/>
      <c r="V1157" s="7"/>
      <c r="X1157" s="7"/>
    </row>
    <row r="1158" spans="2:24">
      <c r="B1158" s="7"/>
      <c r="D1158" s="7"/>
      <c r="F1158" s="7"/>
      <c r="H1158" s="7"/>
      <c r="J1158" s="7"/>
      <c r="L1158" s="7"/>
      <c r="N1158" s="7"/>
      <c r="P1158" s="7"/>
      <c r="R1158" s="7"/>
      <c r="T1158" s="7"/>
      <c r="V1158" s="7"/>
      <c r="X1158" s="7"/>
    </row>
    <row r="1159" spans="2:24">
      <c r="B1159" s="7"/>
      <c r="D1159" s="7"/>
      <c r="F1159" s="7"/>
      <c r="H1159" s="7"/>
      <c r="J1159" s="7"/>
      <c r="L1159" s="7"/>
      <c r="N1159" s="7"/>
      <c r="P1159" s="7"/>
      <c r="R1159" s="7"/>
      <c r="T1159" s="7"/>
      <c r="V1159" s="7"/>
      <c r="X1159" s="7"/>
    </row>
    <row r="1160" spans="2:24">
      <c r="B1160" s="7"/>
      <c r="D1160" s="7"/>
      <c r="F1160" s="7"/>
      <c r="H1160" s="7"/>
      <c r="J1160" s="7"/>
      <c r="L1160" s="7"/>
      <c r="N1160" s="7"/>
      <c r="P1160" s="7"/>
      <c r="R1160" s="7"/>
      <c r="T1160" s="7"/>
      <c r="V1160" s="7"/>
      <c r="X1160" s="7"/>
    </row>
    <row r="1161" spans="2:24">
      <c r="B1161" s="7"/>
      <c r="D1161" s="7"/>
      <c r="F1161" s="7"/>
      <c r="H1161" s="7"/>
      <c r="J1161" s="7"/>
      <c r="L1161" s="7"/>
      <c r="N1161" s="7"/>
      <c r="P1161" s="7"/>
      <c r="R1161" s="7"/>
      <c r="T1161" s="7"/>
      <c r="V1161" s="7"/>
      <c r="X1161" s="7"/>
    </row>
    <row r="1162" spans="2:24">
      <c r="B1162" s="7"/>
      <c r="D1162" s="7"/>
      <c r="F1162" s="7"/>
      <c r="H1162" s="7"/>
      <c r="J1162" s="7"/>
      <c r="L1162" s="7"/>
      <c r="N1162" s="7"/>
      <c r="P1162" s="7"/>
      <c r="R1162" s="7"/>
      <c r="T1162" s="7"/>
      <c r="V1162" s="7"/>
      <c r="X1162" s="7"/>
    </row>
    <row r="1163" spans="2:24">
      <c r="B1163" s="7"/>
      <c r="D1163" s="7"/>
      <c r="F1163" s="7"/>
      <c r="H1163" s="7"/>
      <c r="J1163" s="7"/>
      <c r="L1163" s="7"/>
      <c r="N1163" s="7"/>
      <c r="P1163" s="7"/>
      <c r="R1163" s="7"/>
      <c r="T1163" s="7"/>
      <c r="V1163" s="7"/>
      <c r="X1163" s="7"/>
    </row>
    <row r="1164" spans="2:24">
      <c r="B1164" s="7"/>
      <c r="D1164" s="7"/>
      <c r="F1164" s="7"/>
      <c r="H1164" s="7"/>
      <c r="J1164" s="7"/>
      <c r="L1164" s="7"/>
      <c r="N1164" s="7"/>
      <c r="P1164" s="7"/>
      <c r="R1164" s="7"/>
      <c r="T1164" s="7"/>
      <c r="V1164" s="7"/>
      <c r="X1164" s="7"/>
    </row>
    <row r="1165" spans="2:24">
      <c r="B1165" s="7"/>
      <c r="D1165" s="7"/>
      <c r="F1165" s="7"/>
      <c r="H1165" s="7"/>
      <c r="J1165" s="7"/>
      <c r="L1165" s="7"/>
      <c r="N1165" s="7"/>
      <c r="P1165" s="7"/>
      <c r="R1165" s="7"/>
      <c r="T1165" s="7"/>
      <c r="V1165" s="7"/>
      <c r="X1165" s="7"/>
    </row>
    <row r="1166" spans="2:24">
      <c r="B1166" s="7"/>
      <c r="D1166" s="7"/>
      <c r="F1166" s="7"/>
      <c r="H1166" s="7"/>
      <c r="J1166" s="7"/>
      <c r="L1166" s="7"/>
      <c r="N1166" s="7"/>
      <c r="P1166" s="7"/>
      <c r="R1166" s="7"/>
      <c r="T1166" s="7"/>
      <c r="V1166" s="7"/>
      <c r="X1166" s="7"/>
    </row>
    <row r="1167" spans="2:24">
      <c r="B1167" s="7"/>
      <c r="D1167" s="7"/>
      <c r="F1167" s="7"/>
      <c r="H1167" s="7"/>
      <c r="J1167" s="7"/>
      <c r="L1167" s="7"/>
      <c r="N1167" s="7"/>
      <c r="P1167" s="7"/>
      <c r="R1167" s="7"/>
      <c r="T1167" s="7"/>
      <c r="V1167" s="7"/>
      <c r="X1167" s="7"/>
    </row>
    <row r="1168" spans="2:24">
      <c r="B1168" s="7"/>
      <c r="D1168" s="7"/>
      <c r="F1168" s="7"/>
      <c r="H1168" s="7"/>
      <c r="J1168" s="7"/>
      <c r="L1168" s="7"/>
      <c r="N1168" s="7"/>
      <c r="P1168" s="7"/>
      <c r="R1168" s="7"/>
      <c r="T1168" s="7"/>
      <c r="V1168" s="7"/>
      <c r="X1168" s="7"/>
    </row>
    <row r="1169" spans="2:24">
      <c r="B1169" s="7"/>
      <c r="D1169" s="7"/>
      <c r="F1169" s="7"/>
      <c r="H1169" s="7"/>
      <c r="J1169" s="7"/>
      <c r="L1169" s="7"/>
      <c r="N1169" s="7"/>
      <c r="P1169" s="7"/>
      <c r="R1169" s="7"/>
      <c r="T1169" s="7"/>
      <c r="V1169" s="7"/>
      <c r="X1169" s="7"/>
    </row>
    <row r="1170" spans="2:24">
      <c r="B1170" s="7"/>
      <c r="D1170" s="7"/>
      <c r="F1170" s="7"/>
      <c r="H1170" s="7"/>
      <c r="J1170" s="7"/>
      <c r="L1170" s="7"/>
      <c r="N1170" s="7"/>
      <c r="P1170" s="7"/>
      <c r="R1170" s="7"/>
      <c r="T1170" s="7"/>
      <c r="V1170" s="7"/>
      <c r="X1170" s="7"/>
    </row>
    <row r="1171" spans="2:24">
      <c r="B1171" s="7"/>
      <c r="D1171" s="7"/>
      <c r="F1171" s="7"/>
      <c r="H1171" s="7"/>
      <c r="J1171" s="7"/>
      <c r="L1171" s="7"/>
      <c r="N1171" s="7"/>
      <c r="P1171" s="7"/>
      <c r="R1171" s="7"/>
      <c r="T1171" s="7"/>
      <c r="V1171" s="7"/>
      <c r="X1171" s="7"/>
    </row>
    <row r="1172" spans="2:24">
      <c r="B1172" s="7"/>
      <c r="D1172" s="7"/>
      <c r="F1172" s="7"/>
      <c r="H1172" s="7"/>
      <c r="J1172" s="7"/>
      <c r="L1172" s="7"/>
      <c r="N1172" s="7"/>
      <c r="P1172" s="7"/>
      <c r="R1172" s="7"/>
      <c r="T1172" s="7"/>
      <c r="V1172" s="7"/>
      <c r="X1172" s="7"/>
    </row>
    <row r="1173" spans="2:24">
      <c r="B1173" s="7"/>
      <c r="D1173" s="7"/>
      <c r="F1173" s="7"/>
      <c r="H1173" s="7"/>
      <c r="J1173" s="7"/>
      <c r="L1173" s="7"/>
      <c r="N1173" s="7"/>
      <c r="P1173" s="7"/>
      <c r="R1173" s="7"/>
      <c r="T1173" s="7"/>
      <c r="V1173" s="7"/>
      <c r="X1173" s="7"/>
    </row>
    <row r="1174" spans="2:24">
      <c r="B1174" s="7"/>
      <c r="D1174" s="7"/>
      <c r="F1174" s="7"/>
      <c r="H1174" s="7"/>
      <c r="J1174" s="7"/>
      <c r="L1174" s="7"/>
      <c r="N1174" s="7"/>
      <c r="P1174" s="7"/>
      <c r="R1174" s="7"/>
      <c r="T1174" s="7"/>
      <c r="V1174" s="7"/>
      <c r="X1174" s="7"/>
    </row>
    <row r="1175" spans="2:24">
      <c r="B1175" s="7"/>
      <c r="D1175" s="7"/>
      <c r="F1175" s="7"/>
      <c r="H1175" s="7"/>
      <c r="J1175" s="7"/>
      <c r="L1175" s="7"/>
      <c r="N1175" s="7"/>
      <c r="P1175" s="7"/>
      <c r="R1175" s="7"/>
      <c r="T1175" s="7"/>
      <c r="V1175" s="7"/>
      <c r="X1175" s="7"/>
    </row>
    <row r="1176" spans="2:24">
      <c r="B1176" s="7"/>
      <c r="D1176" s="7"/>
      <c r="F1176" s="7"/>
      <c r="H1176" s="7"/>
      <c r="J1176" s="7"/>
      <c r="L1176" s="7"/>
      <c r="N1176" s="7"/>
      <c r="P1176" s="7"/>
      <c r="R1176" s="7"/>
      <c r="T1176" s="7"/>
      <c r="V1176" s="7"/>
      <c r="X1176" s="7"/>
    </row>
    <row r="1177" spans="2:24">
      <c r="B1177" s="7"/>
      <c r="D1177" s="7"/>
      <c r="F1177" s="7"/>
      <c r="H1177" s="7"/>
      <c r="J1177" s="7"/>
      <c r="L1177" s="7"/>
      <c r="N1177" s="7"/>
      <c r="P1177" s="7"/>
      <c r="R1177" s="7"/>
      <c r="T1177" s="7"/>
      <c r="V1177" s="7"/>
      <c r="X1177" s="7"/>
    </row>
    <row r="1178" spans="2:24">
      <c r="B1178" s="7"/>
      <c r="D1178" s="7"/>
      <c r="F1178" s="7"/>
      <c r="H1178" s="7"/>
      <c r="J1178" s="7"/>
      <c r="L1178" s="7"/>
      <c r="N1178" s="7"/>
      <c r="P1178" s="7"/>
      <c r="R1178" s="7"/>
      <c r="T1178" s="7"/>
      <c r="V1178" s="7"/>
      <c r="X1178" s="7"/>
    </row>
    <row r="1179" spans="2:24">
      <c r="B1179" s="7"/>
      <c r="D1179" s="7"/>
      <c r="F1179" s="7"/>
      <c r="H1179" s="7"/>
      <c r="J1179" s="7"/>
      <c r="L1179" s="7"/>
      <c r="N1179" s="7"/>
      <c r="P1179" s="7"/>
      <c r="R1179" s="7"/>
      <c r="T1179" s="7"/>
      <c r="V1179" s="7"/>
      <c r="X1179" s="7"/>
    </row>
    <row r="1180" spans="2:24">
      <c r="B1180" s="7"/>
      <c r="D1180" s="7"/>
      <c r="F1180" s="7"/>
      <c r="H1180" s="7"/>
      <c r="J1180" s="7"/>
      <c r="L1180" s="7"/>
      <c r="N1180" s="7"/>
      <c r="P1180" s="7"/>
      <c r="R1180" s="7"/>
      <c r="T1180" s="7"/>
      <c r="V1180" s="7"/>
      <c r="X1180" s="7"/>
    </row>
    <row r="1181" spans="2:24">
      <c r="B1181" s="7"/>
      <c r="D1181" s="7"/>
      <c r="F1181" s="7"/>
      <c r="H1181" s="7"/>
      <c r="J1181" s="7"/>
      <c r="L1181" s="7"/>
      <c r="N1181" s="7"/>
      <c r="P1181" s="7"/>
      <c r="R1181" s="7"/>
      <c r="T1181" s="7"/>
      <c r="V1181" s="7"/>
      <c r="X1181" s="7"/>
    </row>
    <row r="1182" spans="2:24">
      <c r="B1182" s="7"/>
      <c r="D1182" s="7"/>
      <c r="F1182" s="7"/>
      <c r="H1182" s="7"/>
      <c r="J1182" s="7"/>
      <c r="L1182" s="7"/>
      <c r="N1182" s="7"/>
      <c r="P1182" s="7"/>
      <c r="R1182" s="7"/>
      <c r="T1182" s="7"/>
      <c r="V1182" s="7"/>
      <c r="X1182" s="7"/>
    </row>
    <row r="1183" spans="2:24">
      <c r="B1183" s="7"/>
      <c r="D1183" s="7"/>
      <c r="F1183" s="7"/>
      <c r="H1183" s="7"/>
      <c r="J1183" s="7"/>
      <c r="L1183" s="7"/>
      <c r="N1183" s="7"/>
      <c r="P1183" s="7"/>
      <c r="R1183" s="7"/>
      <c r="T1183" s="7"/>
      <c r="V1183" s="7"/>
      <c r="X1183" s="7"/>
    </row>
    <row r="1184" spans="2:24">
      <c r="B1184" s="7"/>
      <c r="D1184" s="7"/>
      <c r="F1184" s="7"/>
      <c r="H1184" s="7"/>
      <c r="J1184" s="7"/>
      <c r="L1184" s="7"/>
      <c r="N1184" s="7"/>
      <c r="P1184" s="7"/>
      <c r="R1184" s="7"/>
      <c r="T1184" s="7"/>
      <c r="V1184" s="7"/>
      <c r="X1184" s="7"/>
    </row>
    <row r="1185" spans="2:24">
      <c r="B1185" s="7"/>
      <c r="D1185" s="7"/>
      <c r="F1185" s="7"/>
      <c r="H1185" s="7"/>
      <c r="J1185" s="7"/>
      <c r="L1185" s="7"/>
      <c r="N1185" s="7"/>
      <c r="P1185" s="7"/>
      <c r="R1185" s="7"/>
      <c r="T1185" s="7"/>
      <c r="V1185" s="7"/>
      <c r="X1185" s="7"/>
    </row>
    <row r="1186" spans="2:24">
      <c r="B1186" s="7"/>
      <c r="D1186" s="7"/>
      <c r="F1186" s="7"/>
      <c r="H1186" s="7"/>
      <c r="J1186" s="7"/>
      <c r="L1186" s="7"/>
      <c r="N1186" s="7"/>
      <c r="P1186" s="7"/>
      <c r="R1186" s="7"/>
      <c r="T1186" s="7"/>
      <c r="V1186" s="7"/>
      <c r="X1186" s="7"/>
    </row>
    <row r="1187" spans="2:24">
      <c r="B1187" s="7"/>
      <c r="D1187" s="7"/>
      <c r="F1187" s="7"/>
      <c r="H1187" s="7"/>
      <c r="J1187" s="7"/>
      <c r="L1187" s="7"/>
      <c r="N1187" s="7"/>
      <c r="P1187" s="7"/>
      <c r="R1187" s="7"/>
      <c r="T1187" s="7"/>
      <c r="V1187" s="7"/>
      <c r="X1187" s="7"/>
    </row>
    <row r="1188" spans="2:24">
      <c r="B1188" s="7"/>
      <c r="D1188" s="7"/>
      <c r="F1188" s="7"/>
      <c r="H1188" s="7"/>
      <c r="J1188" s="7"/>
      <c r="L1188" s="7"/>
      <c r="N1188" s="7"/>
      <c r="P1188" s="7"/>
      <c r="R1188" s="7"/>
      <c r="T1188" s="7"/>
      <c r="V1188" s="7"/>
      <c r="X1188" s="7"/>
    </row>
    <row r="1189" spans="2:24">
      <c r="B1189" s="7"/>
      <c r="D1189" s="7"/>
      <c r="F1189" s="7"/>
      <c r="H1189" s="7"/>
      <c r="J1189" s="7"/>
      <c r="L1189" s="7"/>
      <c r="N1189" s="7"/>
      <c r="P1189" s="7"/>
      <c r="R1189" s="7"/>
      <c r="T1189" s="7"/>
      <c r="V1189" s="7"/>
      <c r="X1189" s="7"/>
    </row>
    <row r="1190" spans="2:24">
      <c r="B1190" s="7"/>
      <c r="D1190" s="7"/>
      <c r="F1190" s="7"/>
      <c r="H1190" s="7"/>
      <c r="J1190" s="7"/>
      <c r="L1190" s="7"/>
      <c r="N1190" s="7"/>
      <c r="P1190" s="7"/>
      <c r="R1190" s="7"/>
      <c r="T1190" s="7"/>
      <c r="V1190" s="7"/>
      <c r="X1190" s="7"/>
    </row>
    <row r="1191" spans="2:24">
      <c r="B1191" s="7"/>
      <c r="D1191" s="7"/>
      <c r="F1191" s="7"/>
      <c r="H1191" s="7"/>
      <c r="J1191" s="7"/>
      <c r="L1191" s="7"/>
      <c r="N1191" s="7"/>
      <c r="P1191" s="7"/>
      <c r="R1191" s="7"/>
      <c r="T1191" s="7"/>
      <c r="V1191" s="7"/>
      <c r="X1191" s="7"/>
    </row>
    <row r="1192" spans="2:24">
      <c r="B1192" s="7"/>
      <c r="D1192" s="7"/>
      <c r="F1192" s="7"/>
      <c r="H1192" s="7"/>
      <c r="J1192" s="7"/>
      <c r="L1192" s="7"/>
      <c r="N1192" s="7"/>
      <c r="P1192" s="7"/>
      <c r="R1192" s="7"/>
      <c r="T1192" s="7"/>
      <c r="V1192" s="7"/>
      <c r="X1192" s="7"/>
    </row>
    <row r="1193" spans="2:24">
      <c r="B1193" s="7"/>
      <c r="D1193" s="7"/>
      <c r="F1193" s="7"/>
      <c r="H1193" s="7"/>
      <c r="J1193" s="7"/>
      <c r="L1193" s="7"/>
      <c r="N1193" s="7"/>
      <c r="P1193" s="7"/>
      <c r="R1193" s="7"/>
      <c r="T1193" s="7"/>
      <c r="V1193" s="7"/>
      <c r="X1193" s="7"/>
    </row>
    <row r="1194" spans="2:24">
      <c r="B1194" s="7"/>
      <c r="D1194" s="7"/>
      <c r="F1194" s="7"/>
      <c r="H1194" s="7"/>
      <c r="J1194" s="7"/>
      <c r="L1194" s="7"/>
      <c r="N1194" s="7"/>
      <c r="P1194" s="7"/>
      <c r="R1194" s="7"/>
      <c r="T1194" s="7"/>
      <c r="V1194" s="7"/>
      <c r="X1194" s="7"/>
    </row>
    <row r="1195" spans="2:24">
      <c r="B1195" s="7"/>
      <c r="D1195" s="7"/>
      <c r="F1195" s="7"/>
      <c r="H1195" s="7"/>
      <c r="J1195" s="7"/>
      <c r="L1195" s="7"/>
      <c r="N1195" s="7"/>
      <c r="P1195" s="7"/>
      <c r="R1195" s="7"/>
      <c r="T1195" s="7"/>
      <c r="V1195" s="7"/>
      <c r="X1195" s="7"/>
    </row>
    <row r="1196" spans="2:24">
      <c r="B1196" s="7"/>
      <c r="D1196" s="7"/>
      <c r="F1196" s="7"/>
      <c r="H1196" s="7"/>
      <c r="J1196" s="7"/>
      <c r="L1196" s="7"/>
      <c r="N1196" s="7"/>
      <c r="P1196" s="7"/>
      <c r="R1196" s="7"/>
      <c r="T1196" s="7"/>
      <c r="V1196" s="7"/>
      <c r="X1196" s="7"/>
    </row>
    <row r="1197" spans="2:24">
      <c r="B1197" s="7"/>
      <c r="D1197" s="7"/>
      <c r="F1197" s="7"/>
      <c r="H1197" s="7"/>
      <c r="J1197" s="7"/>
      <c r="L1197" s="7"/>
      <c r="N1197" s="7"/>
      <c r="P1197" s="7"/>
      <c r="R1197" s="7"/>
      <c r="T1197" s="7"/>
      <c r="V1197" s="7"/>
      <c r="X1197" s="7"/>
    </row>
    <row r="1198" spans="2:24">
      <c r="B1198" s="7"/>
      <c r="D1198" s="7"/>
      <c r="F1198" s="7"/>
      <c r="H1198" s="7"/>
      <c r="J1198" s="7"/>
      <c r="L1198" s="7"/>
      <c r="N1198" s="7"/>
      <c r="P1198" s="7"/>
      <c r="R1198" s="7"/>
      <c r="T1198" s="7"/>
      <c r="V1198" s="7"/>
      <c r="X1198" s="7"/>
    </row>
    <row r="1199" spans="2:24">
      <c r="B1199" s="7"/>
      <c r="D1199" s="7"/>
      <c r="F1199" s="7"/>
      <c r="H1199" s="7"/>
      <c r="J1199" s="7"/>
      <c r="L1199" s="7"/>
      <c r="N1199" s="7"/>
      <c r="P1199" s="7"/>
      <c r="R1199" s="7"/>
      <c r="T1199" s="7"/>
      <c r="V1199" s="7"/>
      <c r="X1199" s="7"/>
    </row>
    <row r="1200" spans="2:24">
      <c r="B1200" s="7"/>
      <c r="D1200" s="7"/>
      <c r="F1200" s="7"/>
      <c r="H1200" s="7"/>
      <c r="J1200" s="7"/>
      <c r="L1200" s="7"/>
      <c r="N1200" s="7"/>
      <c r="P1200" s="7"/>
      <c r="R1200" s="7"/>
      <c r="T1200" s="7"/>
      <c r="V1200" s="7"/>
      <c r="X1200" s="7"/>
    </row>
    <row r="1201" spans="2:24">
      <c r="B1201" s="7"/>
      <c r="D1201" s="7"/>
      <c r="F1201" s="7"/>
      <c r="H1201" s="7"/>
      <c r="J1201" s="7"/>
      <c r="L1201" s="7"/>
      <c r="N1201" s="7"/>
      <c r="P1201" s="7"/>
      <c r="R1201" s="7"/>
      <c r="T1201" s="7"/>
      <c r="V1201" s="7"/>
      <c r="X1201" s="7"/>
    </row>
    <row r="1202" spans="2:24">
      <c r="B1202" s="7"/>
      <c r="D1202" s="7"/>
      <c r="F1202" s="7"/>
      <c r="H1202" s="7"/>
      <c r="J1202" s="7"/>
      <c r="L1202" s="7"/>
      <c r="N1202" s="7"/>
      <c r="P1202" s="7"/>
      <c r="R1202" s="7"/>
      <c r="T1202" s="7"/>
      <c r="V1202" s="7"/>
      <c r="X1202" s="7"/>
    </row>
    <row r="1203" spans="2:24">
      <c r="B1203" s="7"/>
      <c r="D1203" s="7"/>
      <c r="F1203" s="7"/>
      <c r="H1203" s="7"/>
      <c r="J1203" s="7"/>
      <c r="L1203" s="7"/>
      <c r="N1203" s="7"/>
      <c r="P1203" s="7"/>
      <c r="R1203" s="7"/>
      <c r="T1203" s="7"/>
      <c r="V1203" s="7"/>
      <c r="X1203" s="7"/>
    </row>
    <row r="1204" spans="2:24">
      <c r="B1204" s="7"/>
      <c r="D1204" s="7"/>
      <c r="F1204" s="7"/>
      <c r="H1204" s="7"/>
      <c r="J1204" s="7"/>
      <c r="L1204" s="7"/>
      <c r="N1204" s="7"/>
      <c r="P1204" s="7"/>
      <c r="R1204" s="7"/>
      <c r="T1204" s="7"/>
      <c r="V1204" s="7"/>
      <c r="X1204" s="7"/>
    </row>
    <row r="1205" spans="2:24">
      <c r="B1205" s="7"/>
      <c r="D1205" s="7"/>
      <c r="F1205" s="7"/>
      <c r="H1205" s="7"/>
      <c r="J1205" s="7"/>
      <c r="L1205" s="7"/>
      <c r="N1205" s="7"/>
      <c r="P1205" s="7"/>
      <c r="R1205" s="7"/>
      <c r="T1205" s="7"/>
      <c r="V1205" s="7"/>
      <c r="X1205" s="7"/>
    </row>
    <row r="1206" spans="2:24">
      <c r="B1206" s="7"/>
      <c r="D1206" s="7"/>
      <c r="F1206" s="7"/>
      <c r="H1206" s="7"/>
      <c r="J1206" s="7"/>
      <c r="L1206" s="7"/>
      <c r="N1206" s="7"/>
      <c r="P1206" s="7"/>
      <c r="R1206" s="7"/>
      <c r="T1206" s="7"/>
      <c r="V1206" s="7"/>
      <c r="X1206" s="7"/>
    </row>
    <row r="1207" spans="2:24">
      <c r="B1207" s="7"/>
      <c r="D1207" s="7"/>
      <c r="F1207" s="7"/>
      <c r="H1207" s="7"/>
      <c r="J1207" s="7"/>
      <c r="L1207" s="7"/>
      <c r="N1207" s="7"/>
      <c r="P1207" s="7"/>
      <c r="R1207" s="7"/>
      <c r="T1207" s="7"/>
      <c r="V1207" s="7"/>
      <c r="X1207" s="7"/>
    </row>
    <row r="1208" spans="2:24">
      <c r="B1208" s="7"/>
      <c r="D1208" s="7"/>
      <c r="F1208" s="7"/>
      <c r="H1208" s="7"/>
      <c r="J1208" s="7"/>
      <c r="L1208" s="7"/>
      <c r="N1208" s="7"/>
      <c r="P1208" s="7"/>
      <c r="R1208" s="7"/>
      <c r="T1208" s="7"/>
      <c r="V1208" s="7"/>
      <c r="X1208" s="7"/>
    </row>
    <row r="1209" spans="2:24">
      <c r="B1209" s="7"/>
      <c r="D1209" s="7"/>
      <c r="F1209" s="7"/>
      <c r="H1209" s="7"/>
      <c r="J1209" s="7"/>
      <c r="L1209" s="7"/>
      <c r="N1209" s="7"/>
      <c r="P1209" s="7"/>
      <c r="R1209" s="7"/>
      <c r="T1209" s="7"/>
      <c r="V1209" s="7"/>
      <c r="X1209" s="7"/>
    </row>
    <row r="1210" spans="2:24">
      <c r="B1210" s="7"/>
      <c r="D1210" s="7"/>
      <c r="F1210" s="7"/>
      <c r="H1210" s="7"/>
      <c r="J1210" s="7"/>
      <c r="L1210" s="7"/>
      <c r="N1210" s="7"/>
      <c r="P1210" s="7"/>
      <c r="R1210" s="7"/>
      <c r="T1210" s="7"/>
      <c r="V1210" s="7"/>
      <c r="X1210" s="7"/>
    </row>
    <row r="1211" spans="2:24">
      <c r="B1211" s="7"/>
      <c r="D1211" s="7"/>
      <c r="F1211" s="7"/>
      <c r="H1211" s="7"/>
      <c r="J1211" s="7"/>
      <c r="L1211" s="7"/>
      <c r="N1211" s="7"/>
      <c r="P1211" s="7"/>
      <c r="R1211" s="7"/>
      <c r="T1211" s="7"/>
      <c r="V1211" s="7"/>
      <c r="X1211" s="7"/>
    </row>
    <row r="1212" spans="2:24">
      <c r="B1212" s="7"/>
      <c r="D1212" s="7"/>
      <c r="F1212" s="7"/>
      <c r="H1212" s="7"/>
      <c r="J1212" s="7"/>
      <c r="L1212" s="7"/>
      <c r="N1212" s="7"/>
      <c r="P1212" s="7"/>
      <c r="R1212" s="7"/>
      <c r="T1212" s="7"/>
      <c r="V1212" s="7"/>
      <c r="X1212" s="7"/>
    </row>
    <row r="1213" spans="2:24">
      <c r="B1213" s="7"/>
      <c r="D1213" s="7"/>
      <c r="F1213" s="7"/>
      <c r="H1213" s="7"/>
      <c r="J1213" s="7"/>
      <c r="L1213" s="7"/>
      <c r="N1213" s="7"/>
      <c r="P1213" s="7"/>
      <c r="R1213" s="7"/>
      <c r="T1213" s="7"/>
      <c r="V1213" s="7"/>
      <c r="X1213" s="7"/>
    </row>
    <row r="1214" spans="2:24">
      <c r="B1214" s="7"/>
      <c r="D1214" s="7"/>
      <c r="F1214" s="7"/>
      <c r="H1214" s="7"/>
      <c r="J1214" s="7"/>
      <c r="L1214" s="7"/>
      <c r="N1214" s="7"/>
      <c r="P1214" s="7"/>
      <c r="R1214" s="7"/>
      <c r="T1214" s="7"/>
      <c r="V1214" s="7"/>
      <c r="X1214" s="7"/>
    </row>
    <row r="1215" spans="2:24">
      <c r="B1215" s="7"/>
      <c r="D1215" s="7"/>
      <c r="F1215" s="7"/>
      <c r="H1215" s="7"/>
      <c r="J1215" s="7"/>
      <c r="L1215" s="7"/>
      <c r="N1215" s="7"/>
      <c r="P1215" s="7"/>
      <c r="R1215" s="7"/>
      <c r="T1215" s="7"/>
      <c r="V1215" s="7"/>
      <c r="X1215" s="7"/>
    </row>
    <row r="1216" spans="2:24">
      <c r="B1216" s="7"/>
      <c r="D1216" s="7"/>
      <c r="F1216" s="7"/>
      <c r="H1216" s="7"/>
      <c r="J1216" s="7"/>
      <c r="L1216" s="7"/>
      <c r="N1216" s="7"/>
      <c r="P1216" s="7"/>
      <c r="R1216" s="7"/>
      <c r="T1216" s="7"/>
      <c r="V1216" s="7"/>
      <c r="X1216" s="7"/>
    </row>
    <row r="1217" spans="2:24">
      <c r="B1217" s="7"/>
      <c r="D1217" s="7"/>
      <c r="F1217" s="7"/>
      <c r="H1217" s="7"/>
      <c r="J1217" s="7"/>
      <c r="L1217" s="7"/>
      <c r="N1217" s="7"/>
      <c r="P1217" s="7"/>
      <c r="R1217" s="7"/>
      <c r="T1217" s="7"/>
      <c r="V1217" s="7"/>
      <c r="X1217" s="7"/>
    </row>
    <row r="1218" spans="2:24">
      <c r="B1218" s="7"/>
      <c r="D1218" s="7"/>
      <c r="F1218" s="7"/>
      <c r="H1218" s="7"/>
      <c r="J1218" s="7"/>
      <c r="L1218" s="7"/>
      <c r="N1218" s="7"/>
      <c r="P1218" s="7"/>
      <c r="R1218" s="7"/>
      <c r="T1218" s="7"/>
      <c r="V1218" s="7"/>
      <c r="X1218" s="7"/>
    </row>
    <row r="1219" spans="2:24">
      <c r="B1219" s="7"/>
      <c r="D1219" s="7"/>
      <c r="F1219" s="7"/>
      <c r="H1219" s="7"/>
      <c r="J1219" s="7"/>
      <c r="L1219" s="7"/>
      <c r="N1219" s="7"/>
      <c r="P1219" s="7"/>
      <c r="R1219" s="7"/>
      <c r="T1219" s="7"/>
      <c r="V1219" s="7"/>
      <c r="X1219" s="7"/>
    </row>
    <row r="1220" spans="2:24">
      <c r="B1220" s="7"/>
      <c r="D1220" s="7"/>
      <c r="F1220" s="7"/>
      <c r="H1220" s="7"/>
      <c r="J1220" s="7"/>
      <c r="L1220" s="7"/>
      <c r="N1220" s="7"/>
      <c r="P1220" s="7"/>
      <c r="R1220" s="7"/>
      <c r="T1220" s="7"/>
      <c r="V1220" s="7"/>
      <c r="X1220" s="7"/>
    </row>
    <row r="1221" spans="2:24">
      <c r="B1221" s="7"/>
      <c r="D1221" s="7"/>
      <c r="F1221" s="7"/>
      <c r="H1221" s="7"/>
      <c r="J1221" s="7"/>
      <c r="L1221" s="7"/>
      <c r="N1221" s="7"/>
      <c r="P1221" s="7"/>
      <c r="R1221" s="7"/>
      <c r="T1221" s="7"/>
      <c r="V1221" s="7"/>
      <c r="X1221" s="7"/>
    </row>
    <row r="1222" spans="2:24">
      <c r="B1222" s="7"/>
      <c r="D1222" s="7"/>
      <c r="F1222" s="7"/>
      <c r="H1222" s="7"/>
      <c r="J1222" s="7"/>
      <c r="L1222" s="7"/>
      <c r="N1222" s="7"/>
      <c r="P1222" s="7"/>
      <c r="R1222" s="7"/>
      <c r="T1222" s="7"/>
      <c r="V1222" s="7"/>
      <c r="X1222" s="7"/>
    </row>
    <row r="1223" spans="2:24">
      <c r="B1223" s="7"/>
      <c r="D1223" s="7"/>
      <c r="F1223" s="7"/>
      <c r="H1223" s="7"/>
      <c r="J1223" s="7"/>
      <c r="L1223" s="7"/>
      <c r="N1223" s="7"/>
      <c r="P1223" s="7"/>
      <c r="R1223" s="7"/>
      <c r="T1223" s="7"/>
      <c r="V1223" s="7"/>
      <c r="X1223" s="7"/>
    </row>
    <row r="1224" spans="2:24">
      <c r="B1224" s="7"/>
      <c r="D1224" s="7"/>
      <c r="F1224" s="7"/>
      <c r="H1224" s="7"/>
      <c r="J1224" s="7"/>
      <c r="L1224" s="7"/>
      <c r="N1224" s="7"/>
      <c r="P1224" s="7"/>
      <c r="R1224" s="7"/>
      <c r="T1224" s="7"/>
      <c r="V1224" s="7"/>
      <c r="X1224" s="7"/>
    </row>
    <row r="1225" spans="2:24">
      <c r="B1225" s="7"/>
      <c r="D1225" s="7"/>
      <c r="F1225" s="7"/>
      <c r="H1225" s="7"/>
      <c r="J1225" s="7"/>
      <c r="L1225" s="7"/>
      <c r="N1225" s="7"/>
      <c r="P1225" s="7"/>
      <c r="R1225" s="7"/>
      <c r="T1225" s="7"/>
      <c r="V1225" s="7"/>
      <c r="X1225" s="7"/>
    </row>
    <row r="1226" spans="2:24">
      <c r="B1226" s="7"/>
      <c r="D1226" s="7"/>
      <c r="F1226" s="7"/>
      <c r="H1226" s="7"/>
      <c r="J1226" s="7"/>
      <c r="L1226" s="7"/>
      <c r="N1226" s="7"/>
      <c r="P1226" s="7"/>
      <c r="R1226" s="7"/>
      <c r="T1226" s="7"/>
      <c r="V1226" s="7"/>
      <c r="X1226" s="7"/>
    </row>
    <row r="1227" spans="2:24">
      <c r="B1227" s="7"/>
      <c r="D1227" s="7"/>
      <c r="F1227" s="7"/>
      <c r="H1227" s="7"/>
      <c r="J1227" s="7"/>
      <c r="L1227" s="7"/>
      <c r="N1227" s="7"/>
      <c r="P1227" s="7"/>
      <c r="R1227" s="7"/>
      <c r="T1227" s="7"/>
      <c r="V1227" s="7"/>
      <c r="X1227" s="7"/>
    </row>
    <row r="1228" spans="2:24">
      <c r="B1228" s="7"/>
      <c r="D1228" s="7"/>
      <c r="F1228" s="7"/>
      <c r="H1228" s="7"/>
      <c r="J1228" s="7"/>
      <c r="L1228" s="7"/>
      <c r="N1228" s="7"/>
      <c r="P1228" s="7"/>
      <c r="R1228" s="7"/>
      <c r="T1228" s="7"/>
      <c r="V1228" s="7"/>
      <c r="X1228" s="7"/>
    </row>
    <row r="1229" spans="2:24">
      <c r="B1229" s="7"/>
      <c r="D1229" s="7"/>
      <c r="F1229" s="7"/>
      <c r="H1229" s="7"/>
      <c r="J1229" s="7"/>
      <c r="L1229" s="7"/>
      <c r="N1229" s="7"/>
      <c r="P1229" s="7"/>
      <c r="R1229" s="7"/>
      <c r="T1229" s="7"/>
      <c r="V1229" s="7"/>
      <c r="X1229" s="7"/>
    </row>
    <row r="1230" spans="2:24">
      <c r="B1230" s="7"/>
      <c r="D1230" s="7"/>
      <c r="F1230" s="7"/>
      <c r="H1230" s="7"/>
      <c r="J1230" s="7"/>
      <c r="L1230" s="7"/>
      <c r="N1230" s="7"/>
      <c r="P1230" s="7"/>
      <c r="R1230" s="7"/>
      <c r="T1230" s="7"/>
      <c r="V1230" s="7"/>
      <c r="X1230" s="7"/>
    </row>
    <row r="1231" spans="2:24">
      <c r="B1231" s="7"/>
      <c r="D1231" s="7"/>
      <c r="F1231" s="7"/>
      <c r="H1231" s="7"/>
      <c r="J1231" s="7"/>
      <c r="L1231" s="7"/>
      <c r="N1231" s="7"/>
      <c r="P1231" s="7"/>
      <c r="R1231" s="7"/>
      <c r="T1231" s="7"/>
      <c r="V1231" s="7"/>
      <c r="X1231" s="7"/>
    </row>
    <row r="1232" spans="2:24">
      <c r="B1232" s="7"/>
      <c r="D1232" s="7"/>
      <c r="F1232" s="7"/>
      <c r="H1232" s="7"/>
      <c r="J1232" s="7"/>
      <c r="L1232" s="7"/>
      <c r="N1232" s="7"/>
      <c r="P1232" s="7"/>
      <c r="R1232" s="7"/>
      <c r="T1232" s="7"/>
      <c r="V1232" s="7"/>
      <c r="X1232" s="7"/>
    </row>
    <row r="1233" spans="2:24">
      <c r="B1233" s="7"/>
      <c r="D1233" s="7"/>
      <c r="F1233" s="7"/>
      <c r="H1233" s="7"/>
      <c r="J1233" s="7"/>
      <c r="L1233" s="7"/>
      <c r="N1233" s="7"/>
      <c r="P1233" s="7"/>
      <c r="R1233" s="7"/>
      <c r="T1233" s="7"/>
      <c r="V1233" s="7"/>
      <c r="X1233" s="7"/>
    </row>
    <row r="1234" spans="2:24">
      <c r="B1234" s="7"/>
      <c r="D1234" s="7"/>
      <c r="F1234" s="7"/>
      <c r="H1234" s="7"/>
      <c r="J1234" s="7"/>
      <c r="L1234" s="7"/>
      <c r="N1234" s="7"/>
      <c r="P1234" s="7"/>
      <c r="R1234" s="7"/>
      <c r="T1234" s="7"/>
      <c r="V1234" s="7"/>
      <c r="X1234" s="7"/>
    </row>
    <row r="1235" spans="2:24">
      <c r="B1235" s="7"/>
      <c r="D1235" s="7"/>
      <c r="F1235" s="7"/>
      <c r="H1235" s="7"/>
      <c r="J1235" s="7"/>
      <c r="L1235" s="7"/>
      <c r="N1235" s="7"/>
      <c r="P1235" s="7"/>
      <c r="R1235" s="7"/>
      <c r="T1235" s="7"/>
      <c r="V1235" s="7"/>
      <c r="X1235" s="7"/>
    </row>
    <row r="1236" spans="2:24">
      <c r="B1236" s="7"/>
      <c r="D1236" s="7"/>
      <c r="F1236" s="7"/>
      <c r="H1236" s="7"/>
      <c r="J1236" s="7"/>
      <c r="L1236" s="7"/>
      <c r="N1236" s="7"/>
      <c r="P1236" s="7"/>
      <c r="R1236" s="7"/>
      <c r="T1236" s="7"/>
      <c r="V1236" s="7"/>
      <c r="X1236" s="7"/>
    </row>
    <row r="1237" spans="2:24">
      <c r="B1237" s="7"/>
      <c r="D1237" s="7"/>
      <c r="F1237" s="7"/>
      <c r="H1237" s="7"/>
      <c r="J1237" s="7"/>
      <c r="L1237" s="7"/>
      <c r="N1237" s="7"/>
      <c r="P1237" s="7"/>
      <c r="R1237" s="7"/>
      <c r="T1237" s="7"/>
      <c r="V1237" s="7"/>
      <c r="X1237" s="7"/>
    </row>
    <row r="1238" spans="2:24">
      <c r="B1238" s="7"/>
      <c r="D1238" s="7"/>
      <c r="F1238" s="7"/>
      <c r="H1238" s="7"/>
      <c r="J1238" s="7"/>
      <c r="L1238" s="7"/>
      <c r="N1238" s="7"/>
      <c r="P1238" s="7"/>
      <c r="R1238" s="7"/>
      <c r="T1238" s="7"/>
      <c r="V1238" s="7"/>
      <c r="X1238" s="7"/>
    </row>
    <row r="1239" spans="2:24">
      <c r="B1239" s="7"/>
      <c r="D1239" s="7"/>
      <c r="F1239" s="7"/>
      <c r="H1239" s="7"/>
      <c r="J1239" s="7"/>
      <c r="L1239" s="7"/>
      <c r="N1239" s="7"/>
      <c r="P1239" s="7"/>
      <c r="R1239" s="7"/>
      <c r="T1239" s="7"/>
      <c r="V1239" s="7"/>
      <c r="X1239" s="7"/>
    </row>
    <row r="1240" spans="2:24">
      <c r="B1240" s="7"/>
      <c r="D1240" s="7"/>
      <c r="F1240" s="7"/>
      <c r="H1240" s="7"/>
      <c r="J1240" s="7"/>
      <c r="L1240" s="7"/>
      <c r="N1240" s="7"/>
      <c r="P1240" s="7"/>
      <c r="R1240" s="7"/>
      <c r="T1240" s="7"/>
      <c r="V1240" s="7"/>
      <c r="X1240" s="7"/>
    </row>
    <row r="1241" spans="2:24">
      <c r="B1241" s="7"/>
      <c r="D1241" s="7"/>
      <c r="F1241" s="7"/>
      <c r="H1241" s="7"/>
      <c r="J1241" s="7"/>
      <c r="L1241" s="7"/>
      <c r="N1241" s="7"/>
      <c r="P1241" s="7"/>
      <c r="R1241" s="7"/>
      <c r="T1241" s="7"/>
      <c r="V1241" s="7"/>
      <c r="X1241" s="7"/>
    </row>
    <row r="1242" spans="2:24">
      <c r="B1242" s="7"/>
      <c r="D1242" s="7"/>
      <c r="F1242" s="7"/>
      <c r="H1242" s="7"/>
      <c r="J1242" s="7"/>
      <c r="L1242" s="7"/>
      <c r="N1242" s="7"/>
      <c r="P1242" s="7"/>
      <c r="R1242" s="7"/>
      <c r="T1242" s="7"/>
      <c r="V1242" s="7"/>
      <c r="X1242" s="7"/>
    </row>
    <row r="1243" spans="2:24">
      <c r="B1243" s="7"/>
      <c r="D1243" s="7"/>
      <c r="F1243" s="7"/>
      <c r="H1243" s="7"/>
      <c r="J1243" s="7"/>
      <c r="L1243" s="7"/>
      <c r="N1243" s="7"/>
      <c r="P1243" s="7"/>
      <c r="R1243" s="7"/>
      <c r="T1243" s="7"/>
      <c r="V1243" s="7"/>
      <c r="X1243" s="7"/>
    </row>
    <row r="1244" spans="2:24">
      <c r="B1244" s="7"/>
      <c r="D1244" s="7"/>
      <c r="F1244" s="7"/>
      <c r="H1244" s="7"/>
      <c r="J1244" s="7"/>
      <c r="L1244" s="7"/>
      <c r="N1244" s="7"/>
      <c r="P1244" s="7"/>
      <c r="R1244" s="7"/>
      <c r="T1244" s="7"/>
      <c r="V1244" s="7"/>
      <c r="X1244" s="7"/>
    </row>
    <row r="1245" spans="2:24">
      <c r="B1245" s="7"/>
      <c r="D1245" s="7"/>
      <c r="F1245" s="7"/>
      <c r="H1245" s="7"/>
      <c r="J1245" s="7"/>
      <c r="L1245" s="7"/>
      <c r="N1245" s="7"/>
      <c r="P1245" s="7"/>
      <c r="R1245" s="7"/>
      <c r="T1245" s="7"/>
      <c r="V1245" s="7"/>
      <c r="X1245" s="7"/>
    </row>
    <row r="1246" spans="2:24">
      <c r="B1246" s="7"/>
      <c r="D1246" s="7"/>
      <c r="F1246" s="7"/>
      <c r="H1246" s="7"/>
      <c r="J1246" s="7"/>
      <c r="L1246" s="7"/>
      <c r="N1246" s="7"/>
      <c r="P1246" s="7"/>
      <c r="R1246" s="7"/>
      <c r="T1246" s="7"/>
      <c r="V1246" s="7"/>
      <c r="X1246" s="7"/>
    </row>
    <row r="1247" spans="2:24">
      <c r="B1247" s="7"/>
      <c r="D1247" s="7"/>
      <c r="F1247" s="7"/>
      <c r="H1247" s="7"/>
      <c r="J1247" s="7"/>
      <c r="L1247" s="7"/>
      <c r="N1247" s="7"/>
      <c r="P1247" s="7"/>
      <c r="R1247" s="7"/>
      <c r="T1247" s="7"/>
      <c r="V1247" s="7"/>
      <c r="X1247" s="7"/>
    </row>
    <row r="1248" spans="2:24">
      <c r="B1248" s="7"/>
      <c r="D1248" s="7"/>
      <c r="F1248" s="7"/>
      <c r="H1248" s="7"/>
      <c r="J1248" s="7"/>
      <c r="L1248" s="7"/>
      <c r="N1248" s="7"/>
      <c r="P1248" s="7"/>
      <c r="R1248" s="7"/>
      <c r="T1248" s="7"/>
      <c r="V1248" s="7"/>
      <c r="X1248" s="7"/>
    </row>
    <row r="1249" spans="2:24">
      <c r="B1249" s="7"/>
      <c r="D1249" s="7"/>
      <c r="F1249" s="7"/>
      <c r="H1249" s="7"/>
      <c r="J1249" s="7"/>
      <c r="L1249" s="7"/>
      <c r="N1249" s="7"/>
      <c r="P1249" s="7"/>
      <c r="R1249" s="7"/>
      <c r="T1249" s="7"/>
      <c r="V1249" s="7"/>
      <c r="X1249" s="7"/>
    </row>
    <row r="1250" spans="2:24">
      <c r="B1250" s="7"/>
      <c r="D1250" s="7"/>
      <c r="F1250" s="7"/>
      <c r="H1250" s="7"/>
      <c r="J1250" s="7"/>
      <c r="L1250" s="7"/>
      <c r="N1250" s="7"/>
      <c r="P1250" s="7"/>
      <c r="R1250" s="7"/>
      <c r="T1250" s="7"/>
      <c r="V1250" s="7"/>
      <c r="X1250" s="7"/>
    </row>
    <row r="1251" spans="2:24">
      <c r="B1251" s="7"/>
      <c r="D1251" s="7"/>
      <c r="F1251" s="7"/>
      <c r="H1251" s="7"/>
      <c r="J1251" s="7"/>
      <c r="L1251" s="7"/>
      <c r="N1251" s="7"/>
      <c r="P1251" s="7"/>
      <c r="R1251" s="7"/>
      <c r="T1251" s="7"/>
      <c r="V1251" s="7"/>
      <c r="X1251" s="7"/>
    </row>
    <row r="1252" spans="2:24">
      <c r="B1252" s="7"/>
      <c r="D1252" s="7"/>
      <c r="F1252" s="7"/>
      <c r="H1252" s="7"/>
      <c r="J1252" s="7"/>
      <c r="L1252" s="7"/>
      <c r="N1252" s="7"/>
      <c r="P1252" s="7"/>
      <c r="R1252" s="7"/>
      <c r="T1252" s="7"/>
      <c r="V1252" s="7"/>
      <c r="X1252" s="7"/>
    </row>
    <row r="1253" spans="2:24">
      <c r="B1253" s="7"/>
      <c r="D1253" s="7"/>
      <c r="F1253" s="7"/>
      <c r="H1253" s="7"/>
      <c r="J1253" s="7"/>
      <c r="L1253" s="7"/>
      <c r="N1253" s="7"/>
      <c r="P1253" s="7"/>
      <c r="R1253" s="7"/>
      <c r="T1253" s="7"/>
      <c r="V1253" s="7"/>
      <c r="X1253" s="7"/>
    </row>
    <row r="1254" spans="2:24">
      <c r="B1254" s="7"/>
      <c r="D1254" s="7"/>
      <c r="F1254" s="7"/>
      <c r="H1254" s="7"/>
      <c r="J1254" s="7"/>
      <c r="L1254" s="7"/>
      <c r="N1254" s="7"/>
      <c r="P1254" s="7"/>
      <c r="R1254" s="7"/>
      <c r="T1254" s="7"/>
      <c r="V1254" s="7"/>
      <c r="X1254" s="7"/>
    </row>
    <row r="1255" spans="2:24">
      <c r="B1255" s="7"/>
      <c r="D1255" s="7"/>
      <c r="F1255" s="7"/>
      <c r="H1255" s="7"/>
      <c r="J1255" s="7"/>
      <c r="L1255" s="7"/>
      <c r="N1255" s="7"/>
      <c r="P1255" s="7"/>
      <c r="R1255" s="7"/>
      <c r="T1255" s="7"/>
      <c r="V1255" s="7"/>
      <c r="X1255" s="7"/>
    </row>
    <row r="1256" spans="2:24">
      <c r="B1256" s="7"/>
      <c r="D1256" s="7"/>
      <c r="F1256" s="7"/>
      <c r="H1256" s="7"/>
      <c r="J1256" s="7"/>
      <c r="L1256" s="7"/>
      <c r="N1256" s="7"/>
      <c r="P1256" s="7"/>
      <c r="R1256" s="7"/>
      <c r="T1256" s="7"/>
      <c r="V1256" s="7"/>
      <c r="X1256" s="7"/>
    </row>
    <row r="1257" spans="2:24">
      <c r="B1257" s="7"/>
      <c r="D1257" s="7"/>
      <c r="F1257" s="7"/>
      <c r="H1257" s="7"/>
      <c r="J1257" s="7"/>
      <c r="L1257" s="7"/>
      <c r="N1257" s="7"/>
      <c r="P1257" s="7"/>
      <c r="R1257" s="7"/>
      <c r="T1257" s="7"/>
      <c r="V1257" s="7"/>
      <c r="X1257" s="7"/>
    </row>
    <row r="1258" spans="2:24">
      <c r="B1258" s="7"/>
      <c r="D1258" s="7"/>
      <c r="F1258" s="7"/>
      <c r="H1258" s="7"/>
      <c r="J1258" s="7"/>
      <c r="L1258" s="7"/>
      <c r="N1258" s="7"/>
      <c r="P1258" s="7"/>
      <c r="R1258" s="7"/>
      <c r="T1258" s="7"/>
      <c r="V1258" s="7"/>
      <c r="X1258" s="7"/>
    </row>
    <row r="1259" spans="2:24">
      <c r="B1259" s="7"/>
      <c r="D1259" s="7"/>
      <c r="F1259" s="7"/>
      <c r="H1259" s="7"/>
      <c r="J1259" s="7"/>
      <c r="L1259" s="7"/>
      <c r="N1259" s="7"/>
      <c r="P1259" s="7"/>
      <c r="R1259" s="7"/>
      <c r="T1259" s="7"/>
      <c r="V1259" s="7"/>
      <c r="X1259" s="7"/>
    </row>
    <row r="1260" spans="2:24">
      <c r="B1260" s="7"/>
      <c r="D1260" s="7"/>
      <c r="F1260" s="7"/>
      <c r="H1260" s="7"/>
      <c r="J1260" s="7"/>
      <c r="L1260" s="7"/>
      <c r="N1260" s="7"/>
      <c r="P1260" s="7"/>
      <c r="R1260" s="7"/>
      <c r="T1260" s="7"/>
      <c r="V1260" s="7"/>
      <c r="X1260" s="7"/>
    </row>
    <row r="1261" spans="2:24">
      <c r="B1261" s="7"/>
      <c r="D1261" s="7"/>
      <c r="F1261" s="7"/>
      <c r="H1261" s="7"/>
      <c r="J1261" s="7"/>
      <c r="L1261" s="7"/>
      <c r="N1261" s="7"/>
      <c r="P1261" s="7"/>
      <c r="R1261" s="7"/>
      <c r="T1261" s="7"/>
      <c r="V1261" s="7"/>
      <c r="X1261" s="7"/>
    </row>
    <row r="1262" spans="2:24">
      <c r="B1262" s="7"/>
      <c r="D1262" s="7"/>
      <c r="F1262" s="7"/>
      <c r="H1262" s="7"/>
      <c r="J1262" s="7"/>
      <c r="L1262" s="7"/>
      <c r="N1262" s="7"/>
      <c r="P1262" s="7"/>
      <c r="R1262" s="7"/>
      <c r="T1262" s="7"/>
      <c r="V1262" s="7"/>
      <c r="X1262" s="7"/>
    </row>
    <row r="1263" spans="2:24">
      <c r="B1263" s="7"/>
      <c r="D1263" s="7"/>
      <c r="F1263" s="7"/>
      <c r="H1263" s="7"/>
      <c r="J1263" s="7"/>
      <c r="L1263" s="7"/>
      <c r="N1263" s="7"/>
      <c r="P1263" s="7"/>
      <c r="R1263" s="7"/>
      <c r="T1263" s="7"/>
      <c r="V1263" s="7"/>
      <c r="X1263" s="7"/>
    </row>
    <row r="1264" spans="2:24">
      <c r="B1264" s="7"/>
      <c r="D1264" s="7"/>
      <c r="F1264" s="7"/>
      <c r="H1264" s="7"/>
      <c r="J1264" s="7"/>
      <c r="L1264" s="7"/>
      <c r="N1264" s="7"/>
      <c r="P1264" s="7"/>
      <c r="R1264" s="7"/>
      <c r="T1264" s="7"/>
      <c r="V1264" s="7"/>
      <c r="X1264" s="7"/>
    </row>
    <row r="1265" spans="2:24">
      <c r="B1265" s="7"/>
      <c r="D1265" s="7"/>
      <c r="F1265" s="7"/>
      <c r="H1265" s="7"/>
      <c r="J1265" s="7"/>
      <c r="L1265" s="7"/>
      <c r="N1265" s="7"/>
      <c r="P1265" s="7"/>
      <c r="R1265" s="7"/>
      <c r="T1265" s="7"/>
      <c r="V1265" s="7"/>
      <c r="X1265" s="7"/>
    </row>
    <row r="1266" spans="2:24">
      <c r="B1266" s="7"/>
      <c r="D1266" s="7"/>
      <c r="F1266" s="7"/>
      <c r="H1266" s="7"/>
      <c r="J1266" s="7"/>
      <c r="L1266" s="7"/>
      <c r="N1266" s="7"/>
      <c r="P1266" s="7"/>
      <c r="R1266" s="7"/>
      <c r="T1266" s="7"/>
      <c r="V1266" s="7"/>
      <c r="X1266" s="7"/>
    </row>
    <row r="1267" spans="2:24">
      <c r="B1267" s="7"/>
      <c r="D1267" s="7"/>
      <c r="F1267" s="7"/>
      <c r="H1267" s="7"/>
      <c r="J1267" s="7"/>
      <c r="L1267" s="7"/>
      <c r="N1267" s="7"/>
      <c r="P1267" s="7"/>
      <c r="R1267" s="7"/>
      <c r="T1267" s="7"/>
      <c r="V1267" s="7"/>
      <c r="X1267" s="7"/>
    </row>
    <row r="1268" spans="2:24">
      <c r="B1268" s="7"/>
      <c r="D1268" s="7"/>
      <c r="F1268" s="7"/>
      <c r="H1268" s="7"/>
      <c r="J1268" s="7"/>
      <c r="L1268" s="7"/>
      <c r="N1268" s="7"/>
      <c r="P1268" s="7"/>
      <c r="R1268" s="7"/>
      <c r="T1268" s="7"/>
      <c r="V1268" s="7"/>
      <c r="X1268" s="7"/>
    </row>
    <row r="1269" spans="2:24">
      <c r="B1269" s="7"/>
      <c r="D1269" s="7"/>
      <c r="F1269" s="7"/>
      <c r="H1269" s="7"/>
      <c r="J1269" s="7"/>
      <c r="L1269" s="7"/>
      <c r="N1269" s="7"/>
      <c r="P1269" s="7"/>
      <c r="R1269" s="7"/>
      <c r="T1269" s="7"/>
      <c r="V1269" s="7"/>
      <c r="X1269" s="7"/>
    </row>
    <row r="1270" spans="2:24">
      <c r="B1270" s="7"/>
      <c r="D1270" s="7"/>
      <c r="F1270" s="7"/>
      <c r="H1270" s="7"/>
      <c r="J1270" s="7"/>
      <c r="L1270" s="7"/>
      <c r="N1270" s="7"/>
      <c r="P1270" s="7"/>
      <c r="R1270" s="7"/>
      <c r="T1270" s="7"/>
      <c r="V1270" s="7"/>
      <c r="X1270" s="7"/>
    </row>
    <row r="1271" spans="2:24">
      <c r="B1271" s="7"/>
      <c r="D1271" s="7"/>
      <c r="F1271" s="7"/>
      <c r="H1271" s="7"/>
      <c r="J1271" s="7"/>
      <c r="L1271" s="7"/>
      <c r="N1271" s="7"/>
      <c r="P1271" s="7"/>
      <c r="R1271" s="7"/>
      <c r="T1271" s="7"/>
      <c r="V1271" s="7"/>
      <c r="X1271" s="7"/>
    </row>
    <row r="1272" spans="2:24">
      <c r="B1272" s="7"/>
      <c r="D1272" s="7"/>
      <c r="F1272" s="7"/>
      <c r="H1272" s="7"/>
      <c r="J1272" s="7"/>
      <c r="L1272" s="7"/>
      <c r="N1272" s="7"/>
      <c r="P1272" s="7"/>
      <c r="R1272" s="7"/>
      <c r="T1272" s="7"/>
      <c r="V1272" s="7"/>
      <c r="X1272" s="7"/>
    </row>
    <row r="1273" spans="2:24">
      <c r="B1273" s="7"/>
      <c r="D1273" s="7"/>
      <c r="F1273" s="7"/>
      <c r="H1273" s="7"/>
      <c r="J1273" s="7"/>
      <c r="L1273" s="7"/>
      <c r="N1273" s="7"/>
      <c r="P1273" s="7"/>
      <c r="R1273" s="7"/>
      <c r="T1273" s="7"/>
      <c r="V1273" s="7"/>
      <c r="X1273" s="7"/>
    </row>
    <row r="1274" spans="2:24">
      <c r="B1274" s="7"/>
      <c r="D1274" s="7"/>
      <c r="F1274" s="7"/>
      <c r="H1274" s="7"/>
      <c r="J1274" s="7"/>
      <c r="L1274" s="7"/>
      <c r="N1274" s="7"/>
      <c r="P1274" s="7"/>
      <c r="R1274" s="7"/>
      <c r="T1274" s="7"/>
      <c r="V1274" s="7"/>
      <c r="X1274" s="7"/>
    </row>
    <row r="1275" spans="2:24">
      <c r="B1275" s="7"/>
      <c r="D1275" s="7"/>
      <c r="F1275" s="7"/>
      <c r="H1275" s="7"/>
      <c r="J1275" s="7"/>
      <c r="L1275" s="7"/>
      <c r="N1275" s="7"/>
      <c r="P1275" s="7"/>
      <c r="R1275" s="7"/>
      <c r="T1275" s="7"/>
      <c r="V1275" s="7"/>
      <c r="X1275" s="7"/>
    </row>
    <row r="1276" spans="2:24">
      <c r="B1276" s="7"/>
      <c r="D1276" s="7"/>
      <c r="F1276" s="7"/>
      <c r="H1276" s="7"/>
      <c r="J1276" s="7"/>
      <c r="L1276" s="7"/>
      <c r="N1276" s="7"/>
      <c r="P1276" s="7"/>
      <c r="R1276" s="7"/>
      <c r="T1276" s="7"/>
      <c r="V1276" s="7"/>
      <c r="X1276" s="7"/>
    </row>
    <row r="1277" spans="2:24">
      <c r="B1277" s="7"/>
      <c r="D1277" s="7"/>
      <c r="F1277" s="7"/>
      <c r="H1277" s="7"/>
      <c r="J1277" s="7"/>
      <c r="L1277" s="7"/>
      <c r="N1277" s="7"/>
      <c r="P1277" s="7"/>
      <c r="R1277" s="7"/>
      <c r="T1277" s="7"/>
      <c r="V1277" s="7"/>
      <c r="X1277" s="7"/>
    </row>
    <row r="1278" spans="2:24">
      <c r="B1278" s="7"/>
      <c r="D1278" s="7"/>
      <c r="F1278" s="7"/>
      <c r="H1278" s="7"/>
      <c r="J1278" s="7"/>
      <c r="L1278" s="7"/>
      <c r="N1278" s="7"/>
      <c r="P1278" s="7"/>
      <c r="R1278" s="7"/>
      <c r="T1278" s="7"/>
      <c r="V1278" s="7"/>
      <c r="X1278" s="7"/>
    </row>
    <row r="1279" spans="2:24">
      <c r="B1279" s="7"/>
      <c r="D1279" s="7"/>
      <c r="F1279" s="7"/>
      <c r="H1279" s="7"/>
      <c r="J1279" s="7"/>
      <c r="L1279" s="7"/>
      <c r="N1279" s="7"/>
      <c r="P1279" s="7"/>
      <c r="R1279" s="7"/>
      <c r="T1279" s="7"/>
      <c r="V1279" s="7"/>
      <c r="X1279" s="7"/>
    </row>
    <row r="1280" spans="2:24">
      <c r="B1280" s="7"/>
      <c r="D1280" s="7"/>
      <c r="F1280" s="7"/>
      <c r="H1280" s="7"/>
      <c r="J1280" s="7"/>
      <c r="L1280" s="7"/>
      <c r="N1280" s="7"/>
      <c r="P1280" s="7"/>
      <c r="R1280" s="7"/>
      <c r="T1280" s="7"/>
      <c r="V1280" s="7"/>
      <c r="X1280" s="7"/>
    </row>
    <row r="1281" spans="2:24">
      <c r="B1281" s="7"/>
      <c r="D1281" s="7"/>
      <c r="F1281" s="7"/>
      <c r="H1281" s="7"/>
      <c r="J1281" s="7"/>
      <c r="L1281" s="7"/>
      <c r="N1281" s="7"/>
      <c r="P1281" s="7"/>
      <c r="R1281" s="7"/>
      <c r="T1281" s="7"/>
      <c r="V1281" s="7"/>
      <c r="X1281" s="7"/>
    </row>
    <row r="1282" spans="2:24">
      <c r="B1282" s="7"/>
      <c r="D1282" s="7"/>
      <c r="F1282" s="7"/>
      <c r="H1282" s="7"/>
      <c r="J1282" s="7"/>
      <c r="L1282" s="7"/>
      <c r="N1282" s="7"/>
      <c r="P1282" s="7"/>
      <c r="R1282" s="7"/>
      <c r="T1282" s="7"/>
      <c r="V1282" s="7"/>
      <c r="X1282" s="7"/>
    </row>
    <row r="1283" spans="2:24">
      <c r="B1283" s="7"/>
      <c r="D1283" s="7"/>
      <c r="F1283" s="7"/>
      <c r="H1283" s="7"/>
      <c r="J1283" s="7"/>
      <c r="L1283" s="7"/>
      <c r="N1283" s="7"/>
      <c r="P1283" s="7"/>
      <c r="R1283" s="7"/>
      <c r="T1283" s="7"/>
      <c r="V1283" s="7"/>
      <c r="X1283" s="7"/>
    </row>
    <row r="1284" spans="2:24">
      <c r="B1284" s="7"/>
      <c r="D1284" s="7"/>
      <c r="F1284" s="7"/>
      <c r="H1284" s="7"/>
      <c r="J1284" s="7"/>
      <c r="L1284" s="7"/>
      <c r="N1284" s="7"/>
      <c r="P1284" s="7"/>
      <c r="R1284" s="7"/>
      <c r="T1284" s="7"/>
      <c r="V1284" s="7"/>
      <c r="X1284" s="7"/>
    </row>
    <row r="1285" spans="2:24">
      <c r="B1285" s="7"/>
      <c r="D1285" s="7"/>
      <c r="F1285" s="7"/>
      <c r="H1285" s="7"/>
      <c r="J1285" s="7"/>
      <c r="L1285" s="7"/>
      <c r="N1285" s="7"/>
      <c r="P1285" s="7"/>
      <c r="R1285" s="7"/>
      <c r="T1285" s="7"/>
      <c r="V1285" s="7"/>
      <c r="X1285" s="7"/>
    </row>
    <row r="1286" spans="2:24">
      <c r="B1286" s="7"/>
      <c r="D1286" s="7"/>
      <c r="F1286" s="7"/>
      <c r="H1286" s="7"/>
      <c r="J1286" s="7"/>
      <c r="L1286" s="7"/>
      <c r="N1286" s="7"/>
      <c r="P1286" s="7"/>
      <c r="R1286" s="7"/>
      <c r="T1286" s="7"/>
      <c r="V1286" s="7"/>
      <c r="X1286" s="7"/>
    </row>
    <row r="1287" spans="2:24">
      <c r="B1287" s="7"/>
      <c r="D1287" s="7"/>
      <c r="F1287" s="7"/>
      <c r="H1287" s="7"/>
      <c r="J1287" s="7"/>
      <c r="L1287" s="7"/>
      <c r="N1287" s="7"/>
      <c r="P1287" s="7"/>
      <c r="R1287" s="7"/>
      <c r="T1287" s="7"/>
      <c r="V1287" s="7"/>
      <c r="X1287" s="7"/>
    </row>
    <row r="1288" spans="2:24">
      <c r="B1288" s="7"/>
      <c r="D1288" s="7"/>
      <c r="F1288" s="7"/>
      <c r="H1288" s="7"/>
      <c r="J1288" s="7"/>
      <c r="L1288" s="7"/>
      <c r="N1288" s="7"/>
      <c r="P1288" s="7"/>
      <c r="R1288" s="7"/>
      <c r="T1288" s="7"/>
      <c r="V1288" s="7"/>
      <c r="X1288" s="7"/>
    </row>
    <row r="1289" spans="2:24">
      <c r="B1289" s="7"/>
      <c r="D1289" s="7"/>
      <c r="F1289" s="7"/>
      <c r="H1289" s="7"/>
      <c r="J1289" s="7"/>
      <c r="L1289" s="7"/>
      <c r="N1289" s="7"/>
      <c r="P1289" s="7"/>
      <c r="R1289" s="7"/>
      <c r="T1289" s="7"/>
      <c r="V1289" s="7"/>
      <c r="X1289" s="7"/>
    </row>
    <row r="1290" spans="2:24">
      <c r="B1290" s="7"/>
      <c r="D1290" s="7"/>
      <c r="F1290" s="7"/>
      <c r="H1290" s="7"/>
      <c r="J1290" s="7"/>
      <c r="L1290" s="7"/>
      <c r="N1290" s="7"/>
      <c r="P1290" s="7"/>
      <c r="R1290" s="7"/>
      <c r="T1290" s="7"/>
      <c r="V1290" s="7"/>
      <c r="X1290" s="7"/>
    </row>
    <row r="1291" spans="2:24">
      <c r="B1291" s="7"/>
      <c r="D1291" s="7"/>
      <c r="F1291" s="7"/>
      <c r="H1291" s="7"/>
      <c r="J1291" s="7"/>
      <c r="L1291" s="7"/>
      <c r="N1291" s="7"/>
      <c r="P1291" s="7"/>
      <c r="R1291" s="7"/>
      <c r="T1291" s="7"/>
      <c r="V1291" s="7"/>
      <c r="X1291" s="7"/>
    </row>
    <row r="1292" spans="2:24">
      <c r="B1292" s="7"/>
      <c r="D1292" s="7"/>
      <c r="F1292" s="7"/>
      <c r="H1292" s="7"/>
      <c r="J1292" s="7"/>
      <c r="L1292" s="7"/>
      <c r="N1292" s="7"/>
      <c r="P1292" s="7"/>
      <c r="R1292" s="7"/>
      <c r="T1292" s="7"/>
      <c r="V1292" s="7"/>
      <c r="X1292" s="7"/>
    </row>
    <row r="1293" spans="2:24">
      <c r="B1293" s="7"/>
      <c r="D1293" s="7"/>
      <c r="F1293" s="7"/>
      <c r="H1293" s="7"/>
      <c r="J1293" s="7"/>
      <c r="L1293" s="7"/>
      <c r="N1293" s="7"/>
      <c r="P1293" s="7"/>
      <c r="R1293" s="7"/>
      <c r="T1293" s="7"/>
      <c r="V1293" s="7"/>
      <c r="X1293" s="7"/>
    </row>
    <row r="1294" spans="2:24">
      <c r="B1294" s="7"/>
      <c r="D1294" s="7"/>
      <c r="F1294" s="7"/>
      <c r="H1294" s="7"/>
      <c r="J1294" s="7"/>
      <c r="L1294" s="7"/>
      <c r="N1294" s="7"/>
      <c r="P1294" s="7"/>
      <c r="R1294" s="7"/>
      <c r="T1294" s="7"/>
      <c r="V1294" s="7"/>
      <c r="X1294" s="7"/>
    </row>
    <row r="1295" spans="2:24">
      <c r="B1295" s="7"/>
      <c r="D1295" s="7"/>
      <c r="F1295" s="7"/>
      <c r="H1295" s="7"/>
      <c r="J1295" s="7"/>
      <c r="L1295" s="7"/>
      <c r="N1295" s="7"/>
      <c r="P1295" s="7"/>
      <c r="R1295" s="7"/>
      <c r="T1295" s="7"/>
      <c r="V1295" s="7"/>
      <c r="X1295" s="7"/>
    </row>
    <row r="1296" spans="2:24">
      <c r="B1296" s="7"/>
      <c r="D1296" s="7"/>
      <c r="F1296" s="7"/>
      <c r="H1296" s="7"/>
      <c r="J1296" s="7"/>
      <c r="L1296" s="7"/>
      <c r="N1296" s="7"/>
      <c r="P1296" s="7"/>
      <c r="R1296" s="7"/>
      <c r="T1296" s="7"/>
      <c r="V1296" s="7"/>
      <c r="X1296" s="7"/>
    </row>
    <row r="1297" spans="2:24">
      <c r="B1297" s="7"/>
      <c r="D1297" s="7"/>
      <c r="F1297" s="7"/>
      <c r="H1297" s="7"/>
      <c r="J1297" s="7"/>
      <c r="L1297" s="7"/>
      <c r="N1297" s="7"/>
      <c r="P1297" s="7"/>
      <c r="R1297" s="7"/>
      <c r="T1297" s="7"/>
      <c r="V1297" s="7"/>
      <c r="X1297" s="7"/>
    </row>
    <row r="1298" spans="2:24">
      <c r="B1298" s="7"/>
      <c r="D1298" s="7"/>
      <c r="F1298" s="7"/>
      <c r="H1298" s="7"/>
      <c r="J1298" s="7"/>
      <c r="L1298" s="7"/>
      <c r="N1298" s="7"/>
      <c r="P1298" s="7"/>
      <c r="R1298" s="7"/>
      <c r="T1298" s="7"/>
      <c r="V1298" s="7"/>
      <c r="X1298" s="7"/>
    </row>
    <row r="1299" spans="2:24">
      <c r="B1299" s="7"/>
      <c r="D1299" s="7"/>
      <c r="F1299" s="7"/>
      <c r="H1299" s="7"/>
      <c r="J1299" s="7"/>
      <c r="L1299" s="7"/>
      <c r="N1299" s="7"/>
      <c r="P1299" s="7"/>
      <c r="R1299" s="7"/>
      <c r="T1299" s="7"/>
      <c r="V1299" s="7"/>
      <c r="X1299" s="7"/>
    </row>
    <row r="1300" spans="2:24">
      <c r="B1300" s="7"/>
      <c r="D1300" s="7"/>
      <c r="F1300" s="7"/>
      <c r="H1300" s="7"/>
      <c r="J1300" s="7"/>
      <c r="L1300" s="7"/>
      <c r="N1300" s="7"/>
      <c r="P1300" s="7"/>
      <c r="R1300" s="7"/>
      <c r="T1300" s="7"/>
      <c r="V1300" s="7"/>
      <c r="X1300" s="7"/>
    </row>
    <row r="1301" spans="2:24">
      <c r="B1301" s="7"/>
      <c r="D1301" s="7"/>
      <c r="F1301" s="7"/>
      <c r="H1301" s="7"/>
      <c r="J1301" s="7"/>
      <c r="L1301" s="7"/>
      <c r="N1301" s="7"/>
      <c r="P1301" s="7"/>
      <c r="R1301" s="7"/>
      <c r="T1301" s="7"/>
      <c r="V1301" s="7"/>
      <c r="X1301" s="7"/>
    </row>
    <row r="1302" spans="2:24">
      <c r="B1302" s="7"/>
      <c r="D1302" s="7"/>
      <c r="F1302" s="7"/>
      <c r="H1302" s="7"/>
      <c r="J1302" s="7"/>
      <c r="L1302" s="7"/>
      <c r="N1302" s="7"/>
      <c r="P1302" s="7"/>
      <c r="R1302" s="7"/>
      <c r="T1302" s="7"/>
      <c r="V1302" s="7"/>
      <c r="X1302" s="7"/>
    </row>
    <row r="1303" spans="2:24">
      <c r="B1303" s="7"/>
      <c r="D1303" s="7"/>
      <c r="F1303" s="7"/>
      <c r="H1303" s="7"/>
      <c r="J1303" s="7"/>
      <c r="L1303" s="7"/>
      <c r="N1303" s="7"/>
      <c r="P1303" s="7"/>
      <c r="R1303" s="7"/>
      <c r="T1303" s="7"/>
      <c r="V1303" s="7"/>
      <c r="X1303" s="7"/>
    </row>
    <row r="1304" spans="2:24">
      <c r="B1304" s="7"/>
      <c r="D1304" s="7"/>
      <c r="F1304" s="7"/>
      <c r="H1304" s="7"/>
      <c r="J1304" s="7"/>
      <c r="L1304" s="7"/>
      <c r="N1304" s="7"/>
      <c r="P1304" s="7"/>
      <c r="R1304" s="7"/>
      <c r="T1304" s="7"/>
      <c r="V1304" s="7"/>
      <c r="X1304" s="7"/>
    </row>
    <row r="1305" spans="2:24">
      <c r="B1305" s="7"/>
      <c r="D1305" s="7"/>
      <c r="F1305" s="7"/>
      <c r="H1305" s="7"/>
      <c r="J1305" s="7"/>
      <c r="L1305" s="7"/>
      <c r="N1305" s="7"/>
      <c r="P1305" s="7"/>
      <c r="R1305" s="7"/>
      <c r="T1305" s="7"/>
      <c r="V1305" s="7"/>
      <c r="X1305" s="7"/>
    </row>
    <row r="1306" spans="2:24">
      <c r="B1306" s="7"/>
      <c r="D1306" s="7"/>
      <c r="F1306" s="7"/>
      <c r="H1306" s="7"/>
      <c r="J1306" s="7"/>
      <c r="L1306" s="7"/>
      <c r="N1306" s="7"/>
      <c r="P1306" s="7"/>
      <c r="R1306" s="7"/>
      <c r="T1306" s="7"/>
      <c r="V1306" s="7"/>
      <c r="X1306" s="7"/>
    </row>
    <row r="1307" spans="2:24">
      <c r="B1307" s="7"/>
      <c r="D1307" s="7"/>
      <c r="F1307" s="7"/>
      <c r="H1307" s="7"/>
      <c r="J1307" s="7"/>
      <c r="L1307" s="7"/>
      <c r="N1307" s="7"/>
      <c r="P1307" s="7"/>
      <c r="R1307" s="7"/>
      <c r="T1307" s="7"/>
      <c r="V1307" s="7"/>
      <c r="X1307" s="7"/>
    </row>
    <row r="1308" spans="2:24">
      <c r="B1308" s="7"/>
      <c r="D1308" s="7"/>
      <c r="F1308" s="7"/>
      <c r="H1308" s="7"/>
      <c r="J1308" s="7"/>
      <c r="L1308" s="7"/>
      <c r="N1308" s="7"/>
      <c r="P1308" s="7"/>
      <c r="R1308" s="7"/>
      <c r="T1308" s="7"/>
      <c r="V1308" s="7"/>
      <c r="X1308" s="7"/>
    </row>
    <row r="1309" spans="2:24">
      <c r="B1309" s="7"/>
      <c r="D1309" s="7"/>
      <c r="F1309" s="7"/>
      <c r="H1309" s="7"/>
      <c r="J1309" s="7"/>
      <c r="L1309" s="7"/>
      <c r="N1309" s="7"/>
      <c r="P1309" s="7"/>
      <c r="R1309" s="7"/>
      <c r="T1309" s="7"/>
      <c r="V1309" s="7"/>
      <c r="X1309" s="7"/>
    </row>
    <row r="1310" spans="2:24">
      <c r="B1310" s="7"/>
      <c r="D1310" s="7"/>
      <c r="F1310" s="7"/>
      <c r="H1310" s="7"/>
      <c r="J1310" s="7"/>
      <c r="L1310" s="7"/>
      <c r="N1310" s="7"/>
      <c r="P1310" s="7"/>
      <c r="R1310" s="7"/>
      <c r="T1310" s="7"/>
      <c r="V1310" s="7"/>
      <c r="X1310" s="7"/>
    </row>
    <row r="1311" spans="2:24">
      <c r="B1311" s="7"/>
      <c r="D1311" s="7"/>
      <c r="F1311" s="7"/>
      <c r="H1311" s="7"/>
      <c r="J1311" s="7"/>
      <c r="L1311" s="7"/>
      <c r="N1311" s="7"/>
      <c r="P1311" s="7"/>
      <c r="R1311" s="7"/>
      <c r="T1311" s="7"/>
      <c r="V1311" s="7"/>
      <c r="X1311" s="7"/>
    </row>
    <row r="1312" spans="2:24">
      <c r="B1312" s="7"/>
      <c r="D1312" s="7"/>
      <c r="F1312" s="7"/>
      <c r="H1312" s="7"/>
      <c r="J1312" s="7"/>
      <c r="L1312" s="7"/>
      <c r="N1312" s="7"/>
      <c r="P1312" s="7"/>
      <c r="R1312" s="7"/>
      <c r="T1312" s="7"/>
      <c r="V1312" s="7"/>
      <c r="X1312" s="7"/>
    </row>
    <row r="1313" spans="2:24">
      <c r="B1313" s="7"/>
      <c r="D1313" s="7"/>
      <c r="F1313" s="7"/>
      <c r="H1313" s="7"/>
      <c r="J1313" s="7"/>
      <c r="L1313" s="7"/>
      <c r="N1313" s="7"/>
      <c r="P1313" s="7"/>
      <c r="R1313" s="7"/>
      <c r="T1313" s="7"/>
      <c r="V1313" s="7"/>
      <c r="X1313" s="7"/>
    </row>
    <row r="1314" spans="2:24">
      <c r="B1314" s="7"/>
      <c r="D1314" s="7"/>
      <c r="F1314" s="7"/>
      <c r="H1314" s="7"/>
      <c r="J1314" s="7"/>
      <c r="L1314" s="7"/>
      <c r="N1314" s="7"/>
      <c r="P1314" s="7"/>
      <c r="R1314" s="7"/>
      <c r="T1314" s="7"/>
      <c r="V1314" s="7"/>
      <c r="X1314" s="7"/>
    </row>
    <row r="1315" spans="2:24">
      <c r="B1315" s="7"/>
      <c r="D1315" s="7"/>
      <c r="F1315" s="7"/>
      <c r="H1315" s="7"/>
      <c r="J1315" s="7"/>
      <c r="L1315" s="7"/>
      <c r="N1315" s="7"/>
      <c r="P1315" s="7"/>
      <c r="R1315" s="7"/>
      <c r="T1315" s="7"/>
      <c r="V1315" s="7"/>
      <c r="X1315" s="7"/>
    </row>
    <row r="1316" spans="2:24">
      <c r="B1316" s="7"/>
      <c r="D1316" s="7"/>
      <c r="F1316" s="7"/>
      <c r="H1316" s="7"/>
      <c r="J1316" s="7"/>
      <c r="L1316" s="7"/>
      <c r="N1316" s="7"/>
      <c r="P1316" s="7"/>
      <c r="R1316" s="7"/>
      <c r="T1316" s="7"/>
      <c r="V1316" s="7"/>
      <c r="X1316" s="7"/>
    </row>
    <row r="1317" spans="2:24">
      <c r="B1317" s="7"/>
      <c r="D1317" s="7"/>
      <c r="F1317" s="7"/>
      <c r="H1317" s="7"/>
      <c r="J1317" s="7"/>
      <c r="L1317" s="7"/>
      <c r="N1317" s="7"/>
      <c r="P1317" s="7"/>
      <c r="R1317" s="7"/>
      <c r="T1317" s="7"/>
      <c r="V1317" s="7"/>
      <c r="X1317" s="7"/>
    </row>
    <row r="1318" spans="2:24">
      <c r="B1318" s="7"/>
      <c r="D1318" s="7"/>
      <c r="F1318" s="7"/>
      <c r="H1318" s="7"/>
      <c r="J1318" s="7"/>
      <c r="L1318" s="7"/>
      <c r="N1318" s="7"/>
      <c r="P1318" s="7"/>
      <c r="R1318" s="7"/>
      <c r="T1318" s="7"/>
      <c r="V1318" s="7"/>
      <c r="X1318" s="7"/>
    </row>
    <row r="1319" spans="2:24">
      <c r="B1319" s="7"/>
      <c r="D1319" s="7"/>
      <c r="F1319" s="7"/>
      <c r="H1319" s="7"/>
      <c r="J1319" s="7"/>
      <c r="L1319" s="7"/>
      <c r="N1319" s="7"/>
      <c r="P1319" s="7"/>
      <c r="R1319" s="7"/>
      <c r="T1319" s="7"/>
      <c r="V1319" s="7"/>
      <c r="X1319" s="7"/>
    </row>
    <row r="1320" spans="2:24">
      <c r="B1320" s="7"/>
      <c r="D1320" s="7"/>
      <c r="F1320" s="7"/>
      <c r="H1320" s="7"/>
      <c r="J1320" s="7"/>
      <c r="L1320" s="7"/>
      <c r="N1320" s="7"/>
      <c r="P1320" s="7"/>
      <c r="R1320" s="7"/>
      <c r="T1320" s="7"/>
      <c r="V1320" s="7"/>
      <c r="X1320" s="7"/>
    </row>
    <row r="1321" spans="2:24">
      <c r="B1321" s="7"/>
      <c r="D1321" s="7"/>
      <c r="F1321" s="7"/>
      <c r="H1321" s="7"/>
      <c r="J1321" s="7"/>
      <c r="L1321" s="7"/>
      <c r="N1321" s="7"/>
      <c r="P1321" s="7"/>
      <c r="R1321" s="7"/>
      <c r="T1321" s="7"/>
      <c r="V1321" s="7"/>
      <c r="X1321" s="7"/>
    </row>
    <row r="1322" spans="2:24">
      <c r="B1322" s="7"/>
      <c r="D1322" s="7"/>
      <c r="F1322" s="7"/>
      <c r="H1322" s="7"/>
      <c r="J1322" s="7"/>
      <c r="L1322" s="7"/>
      <c r="N1322" s="7"/>
      <c r="P1322" s="7"/>
      <c r="R1322" s="7"/>
      <c r="T1322" s="7"/>
      <c r="V1322" s="7"/>
      <c r="X1322" s="7"/>
    </row>
    <row r="1323" spans="2:24">
      <c r="B1323" s="7"/>
      <c r="D1323" s="7"/>
      <c r="F1323" s="7"/>
      <c r="H1323" s="7"/>
      <c r="J1323" s="7"/>
      <c r="L1323" s="7"/>
      <c r="N1323" s="7"/>
      <c r="P1323" s="7"/>
      <c r="R1323" s="7"/>
      <c r="T1323" s="7"/>
      <c r="V1323" s="7"/>
      <c r="X1323" s="7"/>
    </row>
    <row r="1324" spans="2:24">
      <c r="B1324" s="7"/>
      <c r="D1324" s="7"/>
      <c r="F1324" s="7"/>
      <c r="H1324" s="7"/>
      <c r="J1324" s="7"/>
      <c r="L1324" s="7"/>
      <c r="N1324" s="7"/>
      <c r="P1324" s="7"/>
      <c r="R1324" s="7"/>
      <c r="T1324" s="7"/>
      <c r="V1324" s="7"/>
      <c r="X1324" s="7"/>
    </row>
    <row r="1325" spans="2:24">
      <c r="B1325" s="7"/>
      <c r="D1325" s="7"/>
      <c r="F1325" s="7"/>
      <c r="H1325" s="7"/>
      <c r="J1325" s="7"/>
      <c r="L1325" s="7"/>
      <c r="N1325" s="7"/>
      <c r="P1325" s="7"/>
      <c r="R1325" s="7"/>
      <c r="T1325" s="7"/>
      <c r="V1325" s="7"/>
      <c r="X1325" s="7"/>
    </row>
    <row r="1326" spans="2:24">
      <c r="B1326" s="7"/>
      <c r="D1326" s="7"/>
      <c r="F1326" s="7"/>
      <c r="H1326" s="7"/>
      <c r="J1326" s="7"/>
      <c r="L1326" s="7"/>
      <c r="N1326" s="7"/>
      <c r="P1326" s="7"/>
      <c r="R1326" s="7"/>
      <c r="T1326" s="7"/>
      <c r="V1326" s="7"/>
      <c r="X1326" s="7"/>
    </row>
    <row r="1327" spans="2:24">
      <c r="B1327" s="7"/>
      <c r="D1327" s="7"/>
      <c r="F1327" s="7"/>
      <c r="H1327" s="7"/>
      <c r="J1327" s="7"/>
      <c r="L1327" s="7"/>
      <c r="N1327" s="7"/>
      <c r="P1327" s="7"/>
      <c r="R1327" s="7"/>
      <c r="T1327" s="7"/>
      <c r="V1327" s="7"/>
      <c r="X1327" s="7"/>
    </row>
    <row r="1328" spans="2:24">
      <c r="B1328" s="7"/>
      <c r="D1328" s="7"/>
      <c r="F1328" s="7"/>
      <c r="H1328" s="7"/>
      <c r="J1328" s="7"/>
      <c r="L1328" s="7"/>
      <c r="N1328" s="7"/>
      <c r="P1328" s="7"/>
      <c r="R1328" s="7"/>
      <c r="T1328" s="7"/>
      <c r="V1328" s="7"/>
      <c r="X1328" s="7"/>
    </row>
    <row r="1329" spans="2:24">
      <c r="B1329" s="7"/>
      <c r="D1329" s="7"/>
      <c r="F1329" s="7"/>
      <c r="H1329" s="7"/>
      <c r="J1329" s="7"/>
      <c r="L1329" s="7"/>
      <c r="N1329" s="7"/>
      <c r="P1329" s="7"/>
      <c r="R1329" s="7"/>
      <c r="T1329" s="7"/>
      <c r="V1329" s="7"/>
      <c r="X1329" s="7"/>
    </row>
    <row r="1330" spans="2:24">
      <c r="B1330" s="7"/>
      <c r="D1330" s="7"/>
      <c r="F1330" s="7"/>
      <c r="H1330" s="7"/>
      <c r="J1330" s="7"/>
      <c r="L1330" s="7"/>
      <c r="N1330" s="7"/>
      <c r="P1330" s="7"/>
      <c r="R1330" s="7"/>
      <c r="T1330" s="7"/>
      <c r="V1330" s="7"/>
      <c r="X1330" s="7"/>
    </row>
    <row r="1331" spans="2:24">
      <c r="B1331" s="7"/>
      <c r="D1331" s="7"/>
      <c r="F1331" s="7"/>
      <c r="H1331" s="7"/>
      <c r="J1331" s="7"/>
      <c r="L1331" s="7"/>
      <c r="N1331" s="7"/>
      <c r="P1331" s="7"/>
      <c r="R1331" s="7"/>
      <c r="T1331" s="7"/>
      <c r="V1331" s="7"/>
      <c r="X1331" s="7"/>
    </row>
    <row r="1332" spans="2:24">
      <c r="B1332" s="7"/>
      <c r="D1332" s="7"/>
      <c r="F1332" s="7"/>
      <c r="H1332" s="7"/>
      <c r="J1332" s="7"/>
      <c r="L1332" s="7"/>
      <c r="N1332" s="7"/>
      <c r="P1332" s="7"/>
      <c r="R1332" s="7"/>
      <c r="T1332" s="7"/>
      <c r="V1332" s="7"/>
      <c r="X1332" s="7"/>
    </row>
    <row r="1333" spans="2:24">
      <c r="B1333" s="7"/>
      <c r="D1333" s="7"/>
      <c r="F1333" s="7"/>
      <c r="H1333" s="7"/>
      <c r="J1333" s="7"/>
      <c r="L1333" s="7"/>
      <c r="N1333" s="7"/>
      <c r="P1333" s="7"/>
      <c r="R1333" s="7"/>
      <c r="T1333" s="7"/>
      <c r="V1333" s="7"/>
      <c r="X1333" s="7"/>
    </row>
    <row r="1334" spans="2:24">
      <c r="B1334" s="7"/>
      <c r="D1334" s="7"/>
      <c r="F1334" s="7"/>
      <c r="H1334" s="7"/>
      <c r="J1334" s="7"/>
      <c r="L1334" s="7"/>
      <c r="N1334" s="7"/>
      <c r="P1334" s="7"/>
      <c r="R1334" s="7"/>
      <c r="T1334" s="7"/>
      <c r="V1334" s="7"/>
      <c r="X1334" s="7"/>
    </row>
    <row r="1335" spans="2:24">
      <c r="B1335" s="7"/>
      <c r="D1335" s="7"/>
      <c r="F1335" s="7"/>
      <c r="H1335" s="7"/>
      <c r="J1335" s="7"/>
      <c r="L1335" s="7"/>
      <c r="N1335" s="7"/>
      <c r="P1335" s="7"/>
      <c r="R1335" s="7"/>
      <c r="T1335" s="7"/>
      <c r="V1335" s="7"/>
      <c r="X1335" s="7"/>
    </row>
    <row r="1336" spans="2:24">
      <c r="B1336" s="7"/>
      <c r="D1336" s="7"/>
      <c r="F1336" s="7"/>
      <c r="H1336" s="7"/>
      <c r="J1336" s="7"/>
      <c r="L1336" s="7"/>
      <c r="N1336" s="7"/>
      <c r="P1336" s="7"/>
      <c r="R1336" s="7"/>
      <c r="T1336" s="7"/>
      <c r="V1336" s="7"/>
      <c r="X1336" s="7"/>
    </row>
    <row r="1337" spans="2:24">
      <c r="B1337" s="7"/>
      <c r="D1337" s="7"/>
      <c r="F1337" s="7"/>
      <c r="H1337" s="7"/>
      <c r="J1337" s="7"/>
      <c r="L1337" s="7"/>
      <c r="N1337" s="7"/>
      <c r="P1337" s="7"/>
      <c r="R1337" s="7"/>
      <c r="T1337" s="7"/>
      <c r="V1337" s="7"/>
      <c r="X1337" s="7"/>
    </row>
    <row r="1338" spans="2:24">
      <c r="B1338" s="7"/>
      <c r="D1338" s="7"/>
      <c r="F1338" s="7"/>
      <c r="H1338" s="7"/>
      <c r="J1338" s="7"/>
      <c r="L1338" s="7"/>
      <c r="N1338" s="7"/>
      <c r="P1338" s="7"/>
      <c r="R1338" s="7"/>
      <c r="T1338" s="7"/>
      <c r="V1338" s="7"/>
      <c r="X1338" s="7"/>
    </row>
    <row r="1339" spans="2:24">
      <c r="B1339" s="7"/>
      <c r="D1339" s="7"/>
      <c r="F1339" s="7"/>
      <c r="H1339" s="7"/>
      <c r="J1339" s="7"/>
      <c r="L1339" s="7"/>
      <c r="N1339" s="7"/>
      <c r="P1339" s="7"/>
      <c r="R1339" s="7"/>
      <c r="T1339" s="7"/>
      <c r="V1339" s="7"/>
      <c r="X1339" s="7"/>
    </row>
    <row r="1340" spans="2:24">
      <c r="B1340" s="7"/>
      <c r="D1340" s="7"/>
      <c r="F1340" s="7"/>
      <c r="H1340" s="7"/>
      <c r="J1340" s="7"/>
      <c r="L1340" s="7"/>
      <c r="N1340" s="7"/>
      <c r="P1340" s="7"/>
      <c r="R1340" s="7"/>
      <c r="T1340" s="7"/>
      <c r="V1340" s="7"/>
      <c r="X1340" s="7"/>
    </row>
    <row r="1341" spans="2:24">
      <c r="B1341" s="7"/>
      <c r="D1341" s="7"/>
      <c r="F1341" s="7"/>
      <c r="H1341" s="7"/>
      <c r="J1341" s="7"/>
      <c r="L1341" s="7"/>
      <c r="N1341" s="7"/>
      <c r="P1341" s="7"/>
      <c r="R1341" s="7"/>
      <c r="T1341" s="7"/>
      <c r="V1341" s="7"/>
      <c r="X1341" s="7"/>
    </row>
    <row r="1342" spans="2:24">
      <c r="B1342" s="7"/>
      <c r="D1342" s="7"/>
      <c r="F1342" s="7"/>
      <c r="H1342" s="7"/>
      <c r="J1342" s="7"/>
      <c r="L1342" s="7"/>
      <c r="N1342" s="7"/>
      <c r="P1342" s="7"/>
      <c r="R1342" s="7"/>
      <c r="T1342" s="7"/>
      <c r="V1342" s="7"/>
      <c r="X1342" s="7"/>
    </row>
    <row r="1343" spans="2:24">
      <c r="B1343" s="7"/>
      <c r="D1343" s="7"/>
      <c r="F1343" s="7"/>
      <c r="H1343" s="7"/>
      <c r="J1343" s="7"/>
      <c r="L1343" s="7"/>
      <c r="N1343" s="7"/>
      <c r="P1343" s="7"/>
      <c r="R1343" s="7"/>
      <c r="T1343" s="7"/>
      <c r="V1343" s="7"/>
      <c r="X1343" s="7"/>
    </row>
    <row r="1344" spans="2:24">
      <c r="B1344" s="7"/>
      <c r="D1344" s="7"/>
      <c r="F1344" s="7"/>
      <c r="H1344" s="7"/>
      <c r="J1344" s="7"/>
      <c r="L1344" s="7"/>
      <c r="N1344" s="7"/>
      <c r="P1344" s="7"/>
      <c r="R1344" s="7"/>
      <c r="T1344" s="7"/>
      <c r="V1344" s="7"/>
      <c r="X1344" s="7"/>
    </row>
    <row r="1345" spans="2:24">
      <c r="B1345" s="7"/>
      <c r="D1345" s="7"/>
      <c r="F1345" s="7"/>
      <c r="H1345" s="7"/>
      <c r="J1345" s="7"/>
      <c r="L1345" s="7"/>
      <c r="N1345" s="7"/>
      <c r="P1345" s="7"/>
      <c r="R1345" s="7"/>
      <c r="T1345" s="7"/>
      <c r="V1345" s="7"/>
      <c r="X1345" s="7"/>
    </row>
    <row r="1346" spans="2:24">
      <c r="B1346" s="7"/>
      <c r="D1346" s="7"/>
      <c r="F1346" s="7"/>
      <c r="H1346" s="7"/>
      <c r="J1346" s="7"/>
      <c r="L1346" s="7"/>
      <c r="N1346" s="7"/>
      <c r="P1346" s="7"/>
      <c r="R1346" s="7"/>
      <c r="T1346" s="7"/>
      <c r="V1346" s="7"/>
      <c r="X1346" s="7"/>
    </row>
    <row r="1347" spans="2:24">
      <c r="B1347" s="7"/>
      <c r="D1347" s="7"/>
      <c r="F1347" s="7"/>
      <c r="H1347" s="7"/>
      <c r="J1347" s="7"/>
      <c r="L1347" s="7"/>
      <c r="N1347" s="7"/>
      <c r="P1347" s="7"/>
      <c r="R1347" s="7"/>
      <c r="T1347" s="7"/>
      <c r="V1347" s="7"/>
      <c r="X1347" s="7"/>
    </row>
    <row r="1348" spans="2:24">
      <c r="B1348" s="7"/>
      <c r="D1348" s="7"/>
      <c r="F1348" s="7"/>
      <c r="H1348" s="7"/>
      <c r="J1348" s="7"/>
      <c r="L1348" s="7"/>
      <c r="N1348" s="7"/>
      <c r="P1348" s="7"/>
      <c r="R1348" s="7"/>
      <c r="T1348" s="7"/>
      <c r="V1348" s="7"/>
      <c r="X1348" s="7"/>
    </row>
    <row r="1349" spans="2:24">
      <c r="B1349" s="7"/>
      <c r="D1349" s="7"/>
      <c r="F1349" s="7"/>
      <c r="H1349" s="7"/>
      <c r="J1349" s="7"/>
      <c r="L1349" s="7"/>
      <c r="N1349" s="7"/>
      <c r="P1349" s="7"/>
      <c r="R1349" s="7"/>
      <c r="T1349" s="7"/>
      <c r="V1349" s="7"/>
      <c r="X1349" s="7"/>
    </row>
    <row r="1350" spans="2:24">
      <c r="B1350" s="7"/>
      <c r="D1350" s="7"/>
      <c r="F1350" s="7"/>
      <c r="H1350" s="7"/>
      <c r="J1350" s="7"/>
      <c r="L1350" s="7"/>
      <c r="N1350" s="7"/>
      <c r="P1350" s="7"/>
      <c r="R1350" s="7"/>
      <c r="T1350" s="7"/>
      <c r="V1350" s="7"/>
      <c r="X1350" s="7"/>
    </row>
    <row r="1351" spans="2:24">
      <c r="B1351" s="7"/>
      <c r="D1351" s="7"/>
      <c r="F1351" s="7"/>
      <c r="H1351" s="7"/>
      <c r="J1351" s="7"/>
      <c r="L1351" s="7"/>
      <c r="N1351" s="7"/>
      <c r="P1351" s="7"/>
      <c r="R1351" s="7"/>
      <c r="T1351" s="7"/>
      <c r="V1351" s="7"/>
      <c r="X1351" s="7"/>
    </row>
    <row r="1352" spans="2:24">
      <c r="B1352" s="7"/>
      <c r="D1352" s="7"/>
      <c r="F1352" s="7"/>
      <c r="H1352" s="7"/>
      <c r="J1352" s="7"/>
      <c r="L1352" s="7"/>
      <c r="N1352" s="7"/>
      <c r="P1352" s="7"/>
      <c r="R1352" s="7"/>
      <c r="T1352" s="7"/>
      <c r="V1352" s="7"/>
      <c r="X1352" s="7"/>
    </row>
    <row r="1353" spans="2:24">
      <c r="B1353" s="7"/>
      <c r="D1353" s="7"/>
      <c r="F1353" s="7"/>
      <c r="H1353" s="7"/>
      <c r="J1353" s="7"/>
      <c r="L1353" s="7"/>
      <c r="N1353" s="7"/>
      <c r="P1353" s="7"/>
      <c r="R1353" s="7"/>
      <c r="T1353" s="7"/>
      <c r="V1353" s="7"/>
      <c r="X1353" s="7"/>
    </row>
    <row r="1354" spans="2:24">
      <c r="B1354" s="7"/>
      <c r="D1354" s="7"/>
      <c r="F1354" s="7"/>
      <c r="H1354" s="7"/>
      <c r="J1354" s="7"/>
      <c r="L1354" s="7"/>
      <c r="N1354" s="7"/>
      <c r="P1354" s="7"/>
      <c r="R1354" s="7"/>
      <c r="T1354" s="7"/>
      <c r="V1354" s="7"/>
      <c r="X1354" s="7"/>
    </row>
    <row r="1355" spans="2:24">
      <c r="B1355" s="7"/>
      <c r="D1355" s="7"/>
      <c r="F1355" s="7"/>
      <c r="H1355" s="7"/>
      <c r="J1355" s="7"/>
      <c r="L1355" s="7"/>
      <c r="N1355" s="7"/>
      <c r="P1355" s="7"/>
      <c r="R1355" s="7"/>
      <c r="T1355" s="7"/>
      <c r="V1355" s="7"/>
      <c r="X1355" s="7"/>
    </row>
    <row r="1356" spans="2:24">
      <c r="B1356" s="7"/>
      <c r="D1356" s="7"/>
      <c r="F1356" s="7"/>
      <c r="H1356" s="7"/>
      <c r="J1356" s="7"/>
      <c r="L1356" s="7"/>
      <c r="N1356" s="7"/>
      <c r="P1356" s="7"/>
      <c r="R1356" s="7"/>
      <c r="T1356" s="7"/>
      <c r="V1356" s="7"/>
      <c r="X1356" s="7"/>
    </row>
    <row r="1357" spans="2:24">
      <c r="B1357" s="7"/>
      <c r="D1357" s="7"/>
      <c r="F1357" s="7"/>
      <c r="H1357" s="7"/>
      <c r="J1357" s="7"/>
      <c r="L1357" s="7"/>
      <c r="N1357" s="7"/>
      <c r="P1357" s="7"/>
      <c r="R1357" s="7"/>
      <c r="T1357" s="7"/>
      <c r="V1357" s="7"/>
      <c r="X1357" s="7"/>
    </row>
    <row r="1358" spans="2:24">
      <c r="B1358" s="7"/>
      <c r="D1358" s="7"/>
      <c r="F1358" s="7"/>
      <c r="H1358" s="7"/>
      <c r="J1358" s="7"/>
      <c r="L1358" s="7"/>
      <c r="N1358" s="7"/>
      <c r="P1358" s="7"/>
      <c r="R1358" s="7"/>
      <c r="T1358" s="7"/>
      <c r="V1358" s="7"/>
      <c r="X1358" s="7"/>
    </row>
    <row r="1359" spans="2:24">
      <c r="B1359" s="7"/>
      <c r="D1359" s="7"/>
      <c r="F1359" s="7"/>
      <c r="H1359" s="7"/>
      <c r="J1359" s="7"/>
      <c r="L1359" s="7"/>
      <c r="N1359" s="7"/>
      <c r="P1359" s="7"/>
      <c r="R1359" s="7"/>
      <c r="T1359" s="7"/>
      <c r="V1359" s="7"/>
      <c r="X1359" s="7"/>
    </row>
    <row r="1360" spans="2:24">
      <c r="B1360" s="7"/>
      <c r="D1360" s="7"/>
      <c r="F1360" s="7"/>
      <c r="H1360" s="7"/>
      <c r="J1360" s="7"/>
      <c r="L1360" s="7"/>
      <c r="N1360" s="7"/>
      <c r="P1360" s="7"/>
      <c r="R1360" s="7"/>
      <c r="T1360" s="7"/>
      <c r="V1360" s="7"/>
      <c r="X1360" s="7"/>
    </row>
    <row r="1361" spans="2:24">
      <c r="B1361" s="7"/>
      <c r="D1361" s="7"/>
      <c r="F1361" s="7"/>
      <c r="H1361" s="7"/>
      <c r="J1361" s="7"/>
      <c r="L1361" s="7"/>
      <c r="N1361" s="7"/>
      <c r="P1361" s="7"/>
      <c r="R1361" s="7"/>
      <c r="T1361" s="7"/>
      <c r="V1361" s="7"/>
      <c r="X1361" s="7"/>
    </row>
    <row r="1362" spans="2:24">
      <c r="B1362" s="7"/>
      <c r="D1362" s="7"/>
      <c r="F1362" s="7"/>
      <c r="H1362" s="7"/>
      <c r="J1362" s="7"/>
      <c r="L1362" s="7"/>
      <c r="N1362" s="7"/>
      <c r="P1362" s="7"/>
      <c r="R1362" s="7"/>
      <c r="T1362" s="7"/>
      <c r="V1362" s="7"/>
      <c r="X1362" s="7"/>
    </row>
    <row r="1363" spans="2:24">
      <c r="B1363" s="7"/>
      <c r="D1363" s="7"/>
      <c r="F1363" s="7"/>
      <c r="H1363" s="7"/>
      <c r="J1363" s="7"/>
      <c r="L1363" s="7"/>
      <c r="N1363" s="7"/>
      <c r="P1363" s="7"/>
      <c r="R1363" s="7"/>
      <c r="T1363" s="7"/>
      <c r="V1363" s="7"/>
      <c r="X1363" s="7"/>
    </row>
    <row r="1364" spans="2:24">
      <c r="B1364" s="7"/>
      <c r="D1364" s="7"/>
      <c r="F1364" s="7"/>
      <c r="H1364" s="7"/>
      <c r="J1364" s="7"/>
      <c r="L1364" s="7"/>
      <c r="N1364" s="7"/>
      <c r="P1364" s="7"/>
      <c r="R1364" s="7"/>
      <c r="T1364" s="7"/>
      <c r="V1364" s="7"/>
      <c r="X1364" s="7"/>
    </row>
    <row r="1365" spans="2:24">
      <c r="B1365" s="7"/>
      <c r="D1365" s="7"/>
      <c r="F1365" s="7"/>
      <c r="H1365" s="7"/>
      <c r="J1365" s="7"/>
      <c r="L1365" s="7"/>
      <c r="N1365" s="7"/>
      <c r="P1365" s="7"/>
      <c r="R1365" s="7"/>
      <c r="T1365" s="7"/>
      <c r="V1365" s="7"/>
      <c r="X1365" s="7"/>
    </row>
    <row r="1366" spans="2:24">
      <c r="B1366" s="7"/>
      <c r="D1366" s="7"/>
      <c r="F1366" s="7"/>
      <c r="H1366" s="7"/>
      <c r="J1366" s="7"/>
      <c r="L1366" s="7"/>
      <c r="N1366" s="7"/>
      <c r="P1366" s="7"/>
      <c r="R1366" s="7"/>
      <c r="T1366" s="7"/>
      <c r="V1366" s="7"/>
      <c r="X1366" s="7"/>
    </row>
    <row r="1367" spans="2:24">
      <c r="B1367" s="7"/>
      <c r="D1367" s="7"/>
      <c r="F1367" s="7"/>
      <c r="H1367" s="7"/>
      <c r="J1367" s="7"/>
      <c r="L1367" s="7"/>
      <c r="N1367" s="7"/>
      <c r="P1367" s="7"/>
      <c r="R1367" s="7"/>
      <c r="T1367" s="7"/>
      <c r="V1367" s="7"/>
      <c r="X1367" s="7"/>
    </row>
    <row r="1368" spans="2:24">
      <c r="B1368" s="7"/>
      <c r="D1368" s="7"/>
      <c r="F1368" s="7"/>
      <c r="H1368" s="7"/>
      <c r="J1368" s="7"/>
      <c r="L1368" s="7"/>
      <c r="N1368" s="7"/>
      <c r="P1368" s="7"/>
      <c r="R1368" s="7"/>
      <c r="T1368" s="7"/>
      <c r="V1368" s="7"/>
      <c r="X1368" s="7"/>
    </row>
    <row r="1369" spans="2:24">
      <c r="B1369" s="7"/>
      <c r="D1369" s="7"/>
      <c r="F1369" s="7"/>
      <c r="H1369" s="7"/>
      <c r="J1369" s="7"/>
      <c r="L1369" s="7"/>
      <c r="N1369" s="7"/>
      <c r="P1369" s="7"/>
      <c r="R1369" s="7"/>
      <c r="T1369" s="7"/>
      <c r="V1369" s="7"/>
      <c r="X1369" s="7"/>
    </row>
    <row r="1370" spans="2:24">
      <c r="B1370" s="7"/>
      <c r="D1370" s="7"/>
      <c r="F1370" s="7"/>
      <c r="H1370" s="7"/>
      <c r="J1370" s="7"/>
      <c r="L1370" s="7"/>
      <c r="N1370" s="7"/>
      <c r="P1370" s="7"/>
      <c r="R1370" s="7"/>
      <c r="T1370" s="7"/>
      <c r="V1370" s="7"/>
      <c r="X1370" s="7"/>
    </row>
    <row r="1371" spans="2:24">
      <c r="B1371" s="7"/>
      <c r="D1371" s="7"/>
      <c r="F1371" s="7"/>
      <c r="H1371" s="7"/>
      <c r="J1371" s="7"/>
      <c r="L1371" s="7"/>
      <c r="N1371" s="7"/>
      <c r="P1371" s="7"/>
      <c r="R1371" s="7"/>
      <c r="T1371" s="7"/>
      <c r="V1371" s="7"/>
      <c r="X1371" s="7"/>
    </row>
    <row r="1372" spans="2:24">
      <c r="B1372" s="7"/>
      <c r="D1372" s="7"/>
      <c r="F1372" s="7"/>
      <c r="H1372" s="7"/>
      <c r="J1372" s="7"/>
      <c r="L1372" s="7"/>
      <c r="N1372" s="7"/>
      <c r="P1372" s="7"/>
      <c r="R1372" s="7"/>
      <c r="T1372" s="7"/>
      <c r="V1372" s="7"/>
      <c r="X1372" s="7"/>
    </row>
    <row r="1373" spans="2:24">
      <c r="B1373" s="7"/>
      <c r="D1373" s="7"/>
      <c r="F1373" s="7"/>
      <c r="H1373" s="7"/>
      <c r="J1373" s="7"/>
      <c r="L1373" s="7"/>
      <c r="N1373" s="7"/>
      <c r="P1373" s="7"/>
      <c r="R1373" s="7"/>
      <c r="T1373" s="7"/>
      <c r="V1373" s="7"/>
      <c r="X1373" s="7"/>
    </row>
    <row r="1374" spans="2:24">
      <c r="B1374" s="7"/>
      <c r="D1374" s="7"/>
      <c r="F1374" s="7"/>
      <c r="H1374" s="7"/>
      <c r="J1374" s="7"/>
      <c r="L1374" s="7"/>
      <c r="N1374" s="7"/>
      <c r="P1374" s="7"/>
      <c r="R1374" s="7"/>
      <c r="T1374" s="7"/>
      <c r="V1374" s="7"/>
      <c r="X1374" s="7"/>
    </row>
    <row r="1375" spans="2:24">
      <c r="B1375" s="7"/>
      <c r="D1375" s="7"/>
      <c r="F1375" s="7"/>
      <c r="H1375" s="7"/>
      <c r="J1375" s="7"/>
      <c r="L1375" s="7"/>
      <c r="N1375" s="7"/>
      <c r="P1375" s="7"/>
      <c r="R1375" s="7"/>
      <c r="T1375" s="7"/>
      <c r="V1375" s="7"/>
      <c r="X1375" s="7"/>
    </row>
    <row r="1376" spans="2:24">
      <c r="B1376" s="7"/>
      <c r="D1376" s="7"/>
      <c r="F1376" s="7"/>
      <c r="H1376" s="7"/>
      <c r="J1376" s="7"/>
      <c r="L1376" s="7"/>
      <c r="N1376" s="7"/>
      <c r="P1376" s="7"/>
      <c r="R1376" s="7"/>
      <c r="T1376" s="7"/>
      <c r="V1376" s="7"/>
      <c r="X1376" s="7"/>
    </row>
    <row r="1377" spans="2:24">
      <c r="B1377" s="7"/>
      <c r="D1377" s="7"/>
      <c r="F1377" s="7"/>
      <c r="H1377" s="7"/>
      <c r="J1377" s="7"/>
      <c r="L1377" s="7"/>
      <c r="N1377" s="7"/>
      <c r="P1377" s="7"/>
      <c r="R1377" s="7"/>
      <c r="T1377" s="7"/>
      <c r="V1377" s="7"/>
      <c r="X1377" s="7"/>
    </row>
    <row r="1378" spans="2:24">
      <c r="B1378" s="7"/>
      <c r="D1378" s="7"/>
      <c r="F1378" s="7"/>
      <c r="H1378" s="7"/>
      <c r="J1378" s="7"/>
      <c r="L1378" s="7"/>
      <c r="N1378" s="7"/>
      <c r="P1378" s="7"/>
      <c r="R1378" s="7"/>
      <c r="T1378" s="7"/>
      <c r="V1378" s="7"/>
      <c r="X1378" s="7"/>
    </row>
    <row r="1379" spans="2:24">
      <c r="B1379" s="7"/>
      <c r="D1379" s="7"/>
      <c r="F1379" s="7"/>
      <c r="H1379" s="7"/>
      <c r="J1379" s="7"/>
      <c r="L1379" s="7"/>
      <c r="N1379" s="7"/>
      <c r="P1379" s="7"/>
      <c r="R1379" s="7"/>
      <c r="T1379" s="7"/>
      <c r="V1379" s="7"/>
      <c r="X1379" s="7"/>
    </row>
    <row r="1380" spans="2:24">
      <c r="B1380" s="7"/>
      <c r="D1380" s="7"/>
      <c r="F1380" s="7"/>
      <c r="H1380" s="7"/>
      <c r="J1380" s="7"/>
      <c r="L1380" s="7"/>
      <c r="N1380" s="7"/>
      <c r="P1380" s="7"/>
      <c r="R1380" s="7"/>
      <c r="T1380" s="7"/>
      <c r="V1380" s="7"/>
      <c r="X1380" s="7"/>
    </row>
    <row r="1381" spans="2:24">
      <c r="B1381" s="7"/>
      <c r="D1381" s="7"/>
      <c r="F1381" s="7"/>
      <c r="H1381" s="7"/>
      <c r="J1381" s="7"/>
      <c r="L1381" s="7"/>
      <c r="N1381" s="7"/>
      <c r="P1381" s="7"/>
      <c r="R1381" s="7"/>
      <c r="T1381" s="7"/>
      <c r="V1381" s="7"/>
      <c r="X1381" s="7"/>
    </row>
    <row r="1382" spans="2:24">
      <c r="B1382" s="7"/>
      <c r="D1382" s="7"/>
      <c r="F1382" s="7"/>
      <c r="H1382" s="7"/>
      <c r="J1382" s="7"/>
      <c r="L1382" s="7"/>
      <c r="N1382" s="7"/>
      <c r="P1382" s="7"/>
      <c r="R1382" s="7"/>
      <c r="T1382" s="7"/>
      <c r="V1382" s="7"/>
      <c r="X1382" s="7"/>
    </row>
    <row r="1383" spans="2:24">
      <c r="B1383" s="7"/>
      <c r="D1383" s="7"/>
      <c r="F1383" s="7"/>
      <c r="H1383" s="7"/>
      <c r="J1383" s="7"/>
      <c r="L1383" s="7"/>
      <c r="N1383" s="7"/>
      <c r="P1383" s="7"/>
      <c r="R1383" s="7"/>
      <c r="T1383" s="7"/>
      <c r="V1383" s="7"/>
      <c r="X1383" s="7"/>
    </row>
    <row r="1384" spans="2:24">
      <c r="B1384" s="7"/>
      <c r="D1384" s="7"/>
      <c r="F1384" s="7"/>
      <c r="H1384" s="7"/>
      <c r="J1384" s="7"/>
      <c r="L1384" s="7"/>
      <c r="N1384" s="7"/>
      <c r="P1384" s="7"/>
      <c r="R1384" s="7"/>
      <c r="T1384" s="7"/>
      <c r="V1384" s="7"/>
      <c r="X1384" s="7"/>
    </row>
    <row r="1385" spans="2:24">
      <c r="B1385" s="7"/>
      <c r="D1385" s="7"/>
      <c r="F1385" s="7"/>
      <c r="H1385" s="7"/>
      <c r="J1385" s="7"/>
      <c r="L1385" s="7"/>
      <c r="N1385" s="7"/>
      <c r="P1385" s="7"/>
      <c r="R1385" s="7"/>
      <c r="T1385" s="7"/>
      <c r="V1385" s="7"/>
      <c r="X1385" s="7"/>
    </row>
    <row r="1386" spans="2:24">
      <c r="B1386" s="7"/>
      <c r="D1386" s="7"/>
      <c r="F1386" s="7"/>
      <c r="H1386" s="7"/>
      <c r="J1386" s="7"/>
      <c r="L1386" s="7"/>
      <c r="N1386" s="7"/>
      <c r="P1386" s="7"/>
      <c r="R1386" s="7"/>
      <c r="T1386" s="7"/>
      <c r="V1386" s="7"/>
      <c r="X1386" s="7"/>
    </row>
    <row r="1387" spans="2:24">
      <c r="B1387" s="7"/>
      <c r="D1387" s="7"/>
      <c r="F1387" s="7"/>
      <c r="H1387" s="7"/>
      <c r="J1387" s="7"/>
      <c r="L1387" s="7"/>
      <c r="N1387" s="7"/>
      <c r="P1387" s="7"/>
      <c r="R1387" s="7"/>
      <c r="T1387" s="7"/>
      <c r="V1387" s="7"/>
      <c r="X1387" s="7"/>
    </row>
    <row r="1388" spans="2:24">
      <c r="B1388" s="7"/>
      <c r="D1388" s="7"/>
      <c r="F1388" s="7"/>
      <c r="H1388" s="7"/>
      <c r="J1388" s="7"/>
      <c r="L1388" s="7"/>
      <c r="N1388" s="7"/>
      <c r="P1388" s="7"/>
      <c r="R1388" s="7"/>
      <c r="T1388" s="7"/>
      <c r="V1388" s="7"/>
      <c r="X1388" s="7"/>
    </row>
    <row r="1389" spans="2:24">
      <c r="B1389" s="7"/>
      <c r="D1389" s="7"/>
      <c r="F1389" s="7"/>
      <c r="H1389" s="7"/>
      <c r="J1389" s="7"/>
      <c r="L1389" s="7"/>
      <c r="N1389" s="7"/>
      <c r="P1389" s="7"/>
      <c r="R1389" s="7"/>
      <c r="T1389" s="7"/>
      <c r="V1389" s="7"/>
      <c r="X1389" s="7"/>
    </row>
    <row r="1390" spans="2:24">
      <c r="B1390" s="7"/>
      <c r="D1390" s="7"/>
      <c r="F1390" s="7"/>
      <c r="H1390" s="7"/>
      <c r="J1390" s="7"/>
      <c r="L1390" s="7"/>
      <c r="N1390" s="7"/>
      <c r="P1390" s="7"/>
      <c r="R1390" s="7"/>
      <c r="T1390" s="7"/>
      <c r="V1390" s="7"/>
      <c r="X1390" s="7"/>
    </row>
    <row r="1391" spans="2:24">
      <c r="B1391" s="7"/>
      <c r="D1391" s="7"/>
      <c r="F1391" s="7"/>
      <c r="H1391" s="7"/>
      <c r="J1391" s="7"/>
      <c r="L1391" s="7"/>
      <c r="N1391" s="7"/>
      <c r="P1391" s="7"/>
      <c r="R1391" s="7"/>
      <c r="T1391" s="7"/>
      <c r="V1391" s="7"/>
      <c r="X1391" s="7"/>
    </row>
    <row r="1392" spans="2:24">
      <c r="B1392" s="7"/>
      <c r="D1392" s="7"/>
      <c r="F1392" s="7"/>
      <c r="H1392" s="7"/>
      <c r="J1392" s="7"/>
      <c r="L1392" s="7"/>
      <c r="N1392" s="7"/>
      <c r="P1392" s="7"/>
      <c r="R1392" s="7"/>
      <c r="T1392" s="7"/>
      <c r="V1392" s="7"/>
      <c r="X1392" s="7"/>
    </row>
    <row r="1393" spans="2:24">
      <c r="B1393" s="7"/>
      <c r="D1393" s="7"/>
      <c r="F1393" s="7"/>
      <c r="H1393" s="7"/>
      <c r="J1393" s="7"/>
      <c r="L1393" s="7"/>
      <c r="N1393" s="7"/>
      <c r="P1393" s="7"/>
      <c r="R1393" s="7"/>
      <c r="T1393" s="7"/>
      <c r="V1393" s="7"/>
      <c r="X1393" s="7"/>
    </row>
    <row r="1394" spans="2:24">
      <c r="B1394" s="7"/>
      <c r="D1394" s="7"/>
      <c r="F1394" s="7"/>
      <c r="H1394" s="7"/>
      <c r="J1394" s="7"/>
      <c r="L1394" s="7"/>
      <c r="N1394" s="7"/>
      <c r="P1394" s="7"/>
      <c r="R1394" s="7"/>
      <c r="T1394" s="7"/>
      <c r="V1394" s="7"/>
      <c r="X1394" s="7"/>
    </row>
    <row r="1395" spans="2:24">
      <c r="B1395" s="7"/>
      <c r="D1395" s="7"/>
      <c r="F1395" s="7"/>
      <c r="H1395" s="7"/>
      <c r="J1395" s="7"/>
      <c r="L1395" s="7"/>
      <c r="N1395" s="7"/>
      <c r="P1395" s="7"/>
      <c r="R1395" s="7"/>
      <c r="T1395" s="7"/>
      <c r="V1395" s="7"/>
      <c r="X1395" s="7"/>
    </row>
    <row r="1396" spans="2:24">
      <c r="B1396" s="7"/>
      <c r="D1396" s="7"/>
      <c r="F1396" s="7"/>
      <c r="H1396" s="7"/>
      <c r="J1396" s="7"/>
      <c r="L1396" s="7"/>
      <c r="N1396" s="7"/>
      <c r="P1396" s="7"/>
      <c r="R1396" s="7"/>
      <c r="T1396" s="7"/>
      <c r="V1396" s="7"/>
      <c r="X1396" s="7"/>
    </row>
    <row r="1397" spans="2:24">
      <c r="B1397" s="7"/>
      <c r="D1397" s="7"/>
      <c r="F1397" s="7"/>
      <c r="H1397" s="7"/>
      <c r="J1397" s="7"/>
      <c r="L1397" s="7"/>
      <c r="N1397" s="7"/>
      <c r="P1397" s="7"/>
      <c r="R1397" s="7"/>
      <c r="T1397" s="7"/>
      <c r="V1397" s="7"/>
      <c r="X1397" s="7"/>
    </row>
    <row r="1398" spans="2:24">
      <c r="B1398" s="7"/>
      <c r="D1398" s="7"/>
      <c r="F1398" s="7"/>
      <c r="H1398" s="7"/>
      <c r="J1398" s="7"/>
      <c r="L1398" s="7"/>
      <c r="N1398" s="7"/>
      <c r="P1398" s="7"/>
      <c r="R1398" s="7"/>
      <c r="T1398" s="7"/>
      <c r="V1398" s="7"/>
      <c r="X1398" s="7"/>
    </row>
    <row r="1399" spans="2:24">
      <c r="B1399" s="7"/>
      <c r="D1399" s="7"/>
      <c r="F1399" s="7"/>
      <c r="H1399" s="7"/>
      <c r="J1399" s="7"/>
      <c r="L1399" s="7"/>
      <c r="N1399" s="7"/>
      <c r="P1399" s="7"/>
      <c r="R1399" s="7"/>
      <c r="T1399" s="7"/>
      <c r="V1399" s="7"/>
      <c r="X1399" s="7"/>
    </row>
    <row r="1400" spans="2:24">
      <c r="B1400" s="7"/>
      <c r="D1400" s="7"/>
      <c r="F1400" s="7"/>
      <c r="H1400" s="7"/>
      <c r="J1400" s="7"/>
      <c r="L1400" s="7"/>
      <c r="N1400" s="7"/>
      <c r="P1400" s="7"/>
      <c r="R1400" s="7"/>
      <c r="T1400" s="7"/>
      <c r="V1400" s="7"/>
      <c r="X1400" s="7"/>
    </row>
    <row r="1401" spans="2:24">
      <c r="B1401" s="7"/>
      <c r="D1401" s="7"/>
      <c r="F1401" s="7"/>
      <c r="H1401" s="7"/>
      <c r="J1401" s="7"/>
      <c r="L1401" s="7"/>
      <c r="N1401" s="7"/>
      <c r="P1401" s="7"/>
      <c r="R1401" s="7"/>
      <c r="T1401" s="7"/>
      <c r="V1401" s="7"/>
      <c r="X1401" s="7"/>
    </row>
    <row r="1402" spans="2:24">
      <c r="B1402" s="7"/>
      <c r="D1402" s="7"/>
      <c r="F1402" s="7"/>
      <c r="H1402" s="7"/>
      <c r="J1402" s="7"/>
      <c r="L1402" s="7"/>
      <c r="N1402" s="7"/>
      <c r="P1402" s="7"/>
      <c r="R1402" s="7"/>
      <c r="T1402" s="7"/>
      <c r="V1402" s="7"/>
      <c r="X1402" s="7"/>
    </row>
    <row r="1403" spans="2:24">
      <c r="B1403" s="7"/>
      <c r="D1403" s="7"/>
      <c r="F1403" s="7"/>
      <c r="H1403" s="7"/>
      <c r="J1403" s="7"/>
      <c r="L1403" s="7"/>
      <c r="N1403" s="7"/>
      <c r="P1403" s="7"/>
      <c r="R1403" s="7"/>
      <c r="T1403" s="7"/>
      <c r="V1403" s="7"/>
      <c r="X1403" s="7"/>
    </row>
    <row r="1404" spans="2:24">
      <c r="B1404" s="7"/>
      <c r="D1404" s="7"/>
      <c r="F1404" s="7"/>
      <c r="H1404" s="7"/>
      <c r="J1404" s="7"/>
      <c r="L1404" s="7"/>
      <c r="N1404" s="7"/>
      <c r="P1404" s="7"/>
      <c r="R1404" s="7"/>
      <c r="T1404" s="7"/>
      <c r="V1404" s="7"/>
      <c r="X1404" s="7"/>
    </row>
    <row r="1405" spans="2:24">
      <c r="B1405" s="7"/>
      <c r="D1405" s="7"/>
      <c r="F1405" s="7"/>
      <c r="H1405" s="7"/>
      <c r="J1405" s="7"/>
      <c r="L1405" s="7"/>
      <c r="N1405" s="7"/>
      <c r="P1405" s="7"/>
      <c r="R1405" s="7"/>
      <c r="T1405" s="7"/>
      <c r="V1405" s="7"/>
      <c r="X1405" s="7"/>
    </row>
    <row r="1406" spans="2:24">
      <c r="B1406" s="7"/>
      <c r="D1406" s="7"/>
      <c r="F1406" s="7"/>
      <c r="H1406" s="7"/>
      <c r="J1406" s="7"/>
      <c r="L1406" s="7"/>
      <c r="N1406" s="7"/>
      <c r="P1406" s="7"/>
      <c r="R1406" s="7"/>
      <c r="T1406" s="7"/>
      <c r="V1406" s="7"/>
      <c r="X1406" s="7"/>
    </row>
    <row r="1407" spans="2:24">
      <c r="B1407" s="7"/>
      <c r="D1407" s="7"/>
      <c r="F1407" s="7"/>
      <c r="H1407" s="7"/>
      <c r="J1407" s="7"/>
      <c r="L1407" s="7"/>
      <c r="N1407" s="7"/>
      <c r="P1407" s="7"/>
      <c r="R1407" s="7"/>
      <c r="T1407" s="7"/>
      <c r="V1407" s="7"/>
      <c r="X1407" s="7"/>
    </row>
    <row r="1408" spans="2:24">
      <c r="B1408" s="7"/>
      <c r="D1408" s="7"/>
      <c r="F1408" s="7"/>
      <c r="H1408" s="7"/>
      <c r="J1408" s="7"/>
      <c r="L1408" s="7"/>
      <c r="N1408" s="7"/>
      <c r="P1408" s="7"/>
      <c r="R1408" s="7"/>
      <c r="T1408" s="7"/>
      <c r="V1408" s="7"/>
      <c r="X1408" s="7"/>
    </row>
    <row r="1409" spans="2:24">
      <c r="B1409" s="7"/>
      <c r="D1409" s="7"/>
      <c r="F1409" s="7"/>
      <c r="H1409" s="7"/>
      <c r="J1409" s="7"/>
      <c r="L1409" s="7"/>
      <c r="N1409" s="7"/>
      <c r="P1409" s="7"/>
      <c r="R1409" s="7"/>
      <c r="T1409" s="7"/>
      <c r="V1409" s="7"/>
      <c r="X1409" s="7"/>
    </row>
    <row r="1410" spans="2:24">
      <c r="B1410" s="7"/>
      <c r="D1410" s="7"/>
      <c r="F1410" s="7"/>
      <c r="H1410" s="7"/>
      <c r="J1410" s="7"/>
      <c r="L1410" s="7"/>
      <c r="N1410" s="7"/>
      <c r="P1410" s="7"/>
      <c r="R1410" s="7"/>
      <c r="T1410" s="7"/>
      <c r="V1410" s="7"/>
      <c r="X1410" s="7"/>
    </row>
    <row r="1411" spans="2:24">
      <c r="B1411" s="7"/>
      <c r="D1411" s="7"/>
      <c r="F1411" s="7"/>
      <c r="H1411" s="7"/>
      <c r="J1411" s="7"/>
      <c r="L1411" s="7"/>
      <c r="N1411" s="7"/>
      <c r="P1411" s="7"/>
      <c r="R1411" s="7"/>
      <c r="T1411" s="7"/>
      <c r="V1411" s="7"/>
      <c r="X1411" s="7"/>
    </row>
    <row r="1412" spans="2:24">
      <c r="B1412" s="7"/>
      <c r="D1412" s="7"/>
      <c r="F1412" s="7"/>
      <c r="H1412" s="7"/>
      <c r="J1412" s="7"/>
      <c r="L1412" s="7"/>
      <c r="N1412" s="7"/>
      <c r="P1412" s="7"/>
      <c r="R1412" s="7"/>
      <c r="T1412" s="7"/>
      <c r="V1412" s="7"/>
      <c r="X1412" s="7"/>
    </row>
    <row r="1413" spans="2:24">
      <c r="B1413" s="7"/>
      <c r="D1413" s="7"/>
      <c r="F1413" s="7"/>
      <c r="H1413" s="7"/>
      <c r="J1413" s="7"/>
      <c r="L1413" s="7"/>
      <c r="N1413" s="7"/>
      <c r="P1413" s="7"/>
      <c r="R1413" s="7"/>
      <c r="T1413" s="7"/>
      <c r="V1413" s="7"/>
      <c r="X1413" s="7"/>
    </row>
    <row r="1414" spans="2:24">
      <c r="B1414" s="7"/>
      <c r="D1414" s="7"/>
      <c r="F1414" s="7"/>
      <c r="H1414" s="7"/>
      <c r="J1414" s="7"/>
      <c r="L1414" s="7"/>
      <c r="N1414" s="7"/>
      <c r="P1414" s="7"/>
      <c r="R1414" s="7"/>
      <c r="T1414" s="7"/>
      <c r="V1414" s="7"/>
      <c r="X1414" s="7"/>
    </row>
    <row r="1415" spans="2:24">
      <c r="B1415" s="7"/>
      <c r="D1415" s="7"/>
      <c r="F1415" s="7"/>
      <c r="H1415" s="7"/>
      <c r="J1415" s="7"/>
      <c r="L1415" s="7"/>
      <c r="N1415" s="7"/>
      <c r="P1415" s="7"/>
      <c r="R1415" s="7"/>
      <c r="T1415" s="7"/>
      <c r="V1415" s="7"/>
      <c r="X1415" s="7"/>
    </row>
    <row r="1416" spans="2:24">
      <c r="B1416" s="7"/>
      <c r="D1416" s="7"/>
      <c r="F1416" s="7"/>
      <c r="H1416" s="7"/>
      <c r="J1416" s="7"/>
      <c r="L1416" s="7"/>
      <c r="N1416" s="7"/>
      <c r="P1416" s="7"/>
      <c r="R1416" s="7"/>
      <c r="T1416" s="7"/>
      <c r="V1416" s="7"/>
      <c r="X1416" s="7"/>
    </row>
    <row r="1417" spans="2:24">
      <c r="B1417" s="7"/>
      <c r="D1417" s="7"/>
      <c r="F1417" s="7"/>
      <c r="H1417" s="7"/>
      <c r="J1417" s="7"/>
      <c r="L1417" s="7"/>
      <c r="N1417" s="7"/>
      <c r="P1417" s="7"/>
      <c r="R1417" s="7"/>
      <c r="T1417" s="7"/>
      <c r="V1417" s="7"/>
      <c r="X1417" s="7"/>
    </row>
    <row r="1418" spans="2:24">
      <c r="B1418" s="7"/>
      <c r="D1418" s="7"/>
      <c r="F1418" s="7"/>
      <c r="H1418" s="7"/>
      <c r="J1418" s="7"/>
      <c r="L1418" s="7"/>
      <c r="N1418" s="7"/>
      <c r="P1418" s="7"/>
      <c r="R1418" s="7"/>
      <c r="T1418" s="7"/>
      <c r="V1418" s="7"/>
      <c r="X1418" s="7"/>
    </row>
    <row r="1419" spans="2:24">
      <c r="B1419" s="7"/>
      <c r="D1419" s="7"/>
      <c r="F1419" s="7"/>
      <c r="H1419" s="7"/>
      <c r="J1419" s="7"/>
      <c r="L1419" s="7"/>
      <c r="N1419" s="7"/>
      <c r="P1419" s="7"/>
      <c r="R1419" s="7"/>
      <c r="T1419" s="7"/>
      <c r="V1419" s="7"/>
      <c r="X1419" s="7"/>
    </row>
    <row r="1420" spans="2:24">
      <c r="B1420" s="7"/>
      <c r="D1420" s="7"/>
      <c r="F1420" s="7"/>
      <c r="H1420" s="7"/>
      <c r="J1420" s="7"/>
      <c r="L1420" s="7"/>
      <c r="N1420" s="7"/>
      <c r="P1420" s="7"/>
      <c r="R1420" s="7"/>
      <c r="T1420" s="7"/>
      <c r="V1420" s="7"/>
      <c r="X1420" s="7"/>
    </row>
    <row r="1421" spans="2:24">
      <c r="B1421" s="7"/>
      <c r="D1421" s="7"/>
      <c r="F1421" s="7"/>
      <c r="H1421" s="7"/>
      <c r="J1421" s="7"/>
      <c r="L1421" s="7"/>
      <c r="N1421" s="7"/>
      <c r="P1421" s="7"/>
      <c r="R1421" s="7"/>
      <c r="T1421" s="7"/>
      <c r="V1421" s="7"/>
      <c r="X1421" s="7"/>
    </row>
    <row r="1422" spans="2:24">
      <c r="B1422" s="7"/>
      <c r="D1422" s="7"/>
      <c r="F1422" s="7"/>
      <c r="H1422" s="7"/>
      <c r="J1422" s="7"/>
      <c r="L1422" s="7"/>
      <c r="N1422" s="7"/>
      <c r="P1422" s="7"/>
      <c r="R1422" s="7"/>
      <c r="T1422" s="7"/>
      <c r="V1422" s="7"/>
      <c r="X1422" s="7"/>
    </row>
    <row r="1423" spans="2:24">
      <c r="B1423" s="7"/>
      <c r="D1423" s="7"/>
      <c r="F1423" s="7"/>
      <c r="H1423" s="7"/>
      <c r="J1423" s="7"/>
      <c r="L1423" s="7"/>
      <c r="N1423" s="7"/>
      <c r="P1423" s="7"/>
      <c r="R1423" s="7"/>
      <c r="T1423" s="7"/>
      <c r="V1423" s="7"/>
      <c r="X1423" s="7"/>
    </row>
    <row r="1424" spans="2:24">
      <c r="B1424" s="7"/>
      <c r="D1424" s="7"/>
      <c r="F1424" s="7"/>
      <c r="H1424" s="7"/>
      <c r="J1424" s="7"/>
      <c r="L1424" s="7"/>
      <c r="N1424" s="7"/>
      <c r="P1424" s="7"/>
      <c r="R1424" s="7"/>
      <c r="T1424" s="7"/>
      <c r="V1424" s="7"/>
      <c r="X1424" s="7"/>
    </row>
    <row r="1425" spans="2:24">
      <c r="B1425" s="7"/>
      <c r="D1425" s="7"/>
      <c r="F1425" s="7"/>
      <c r="H1425" s="7"/>
      <c r="J1425" s="7"/>
      <c r="L1425" s="7"/>
      <c r="N1425" s="7"/>
      <c r="P1425" s="7"/>
      <c r="R1425" s="7"/>
      <c r="T1425" s="7"/>
      <c r="V1425" s="7"/>
      <c r="X1425" s="7"/>
    </row>
    <row r="1426" spans="2:24">
      <c r="B1426" s="7"/>
      <c r="D1426" s="7"/>
      <c r="F1426" s="7"/>
      <c r="H1426" s="7"/>
      <c r="J1426" s="7"/>
      <c r="L1426" s="7"/>
      <c r="N1426" s="7"/>
      <c r="P1426" s="7"/>
      <c r="R1426" s="7"/>
      <c r="T1426" s="7"/>
      <c r="V1426" s="7"/>
      <c r="X1426" s="7"/>
    </row>
    <row r="1427" spans="2:24">
      <c r="B1427" s="7"/>
      <c r="D1427" s="7"/>
      <c r="F1427" s="7"/>
      <c r="H1427" s="7"/>
      <c r="J1427" s="7"/>
      <c r="L1427" s="7"/>
      <c r="N1427" s="7"/>
      <c r="P1427" s="7"/>
      <c r="R1427" s="7"/>
      <c r="T1427" s="7"/>
      <c r="V1427" s="7"/>
      <c r="X1427" s="7"/>
    </row>
    <row r="1428" spans="2:24">
      <c r="B1428" s="7"/>
      <c r="D1428" s="7"/>
      <c r="F1428" s="7"/>
      <c r="H1428" s="7"/>
      <c r="J1428" s="7"/>
      <c r="L1428" s="7"/>
      <c r="N1428" s="7"/>
      <c r="P1428" s="7"/>
      <c r="R1428" s="7"/>
      <c r="T1428" s="7"/>
      <c r="V1428" s="7"/>
      <c r="X1428" s="7"/>
    </row>
    <row r="1429" spans="2:24">
      <c r="B1429" s="7"/>
      <c r="D1429" s="7"/>
      <c r="F1429" s="7"/>
      <c r="H1429" s="7"/>
      <c r="J1429" s="7"/>
      <c r="L1429" s="7"/>
      <c r="N1429" s="7"/>
      <c r="P1429" s="7"/>
      <c r="R1429" s="7"/>
      <c r="T1429" s="7"/>
      <c r="V1429" s="7"/>
      <c r="X1429" s="7"/>
    </row>
    <row r="1430" spans="2:24">
      <c r="B1430" s="7"/>
      <c r="D1430" s="7"/>
      <c r="F1430" s="7"/>
      <c r="H1430" s="7"/>
      <c r="J1430" s="7"/>
      <c r="L1430" s="7"/>
      <c r="N1430" s="7"/>
      <c r="P1430" s="7"/>
      <c r="R1430" s="7"/>
      <c r="T1430" s="7"/>
      <c r="V1430" s="7"/>
      <c r="X1430" s="7"/>
    </row>
    <row r="1431" spans="2:24">
      <c r="B1431" s="7"/>
      <c r="D1431" s="7"/>
      <c r="F1431" s="7"/>
      <c r="H1431" s="7"/>
      <c r="J1431" s="7"/>
      <c r="L1431" s="7"/>
      <c r="N1431" s="7"/>
      <c r="P1431" s="7"/>
      <c r="R1431" s="7"/>
      <c r="T1431" s="7"/>
      <c r="V1431" s="7"/>
      <c r="X1431" s="7"/>
    </row>
    <row r="1432" spans="2:24">
      <c r="B1432" s="7"/>
      <c r="D1432" s="7"/>
      <c r="F1432" s="7"/>
      <c r="H1432" s="7"/>
      <c r="J1432" s="7"/>
      <c r="L1432" s="7"/>
      <c r="N1432" s="7"/>
      <c r="P1432" s="7"/>
      <c r="R1432" s="7"/>
      <c r="T1432" s="7"/>
      <c r="V1432" s="7"/>
      <c r="X1432" s="7"/>
    </row>
    <row r="1433" spans="2:24">
      <c r="B1433" s="7"/>
      <c r="D1433" s="7"/>
      <c r="F1433" s="7"/>
      <c r="H1433" s="7"/>
      <c r="J1433" s="7"/>
      <c r="L1433" s="7"/>
      <c r="N1433" s="7"/>
      <c r="P1433" s="7"/>
      <c r="R1433" s="7"/>
      <c r="T1433" s="7"/>
      <c r="V1433" s="7"/>
      <c r="X1433" s="7"/>
    </row>
    <row r="1434" spans="2:24">
      <c r="B1434" s="7"/>
      <c r="D1434" s="7"/>
      <c r="F1434" s="7"/>
      <c r="H1434" s="7"/>
      <c r="J1434" s="7"/>
      <c r="L1434" s="7"/>
      <c r="N1434" s="7"/>
      <c r="P1434" s="7"/>
      <c r="R1434" s="7"/>
      <c r="T1434" s="7"/>
      <c r="V1434" s="7"/>
      <c r="X1434" s="7"/>
    </row>
    <row r="1435" spans="2:24">
      <c r="B1435" s="7"/>
      <c r="D1435" s="7"/>
      <c r="F1435" s="7"/>
      <c r="H1435" s="7"/>
      <c r="J1435" s="7"/>
      <c r="L1435" s="7"/>
      <c r="N1435" s="7"/>
      <c r="P1435" s="7"/>
      <c r="R1435" s="7"/>
      <c r="T1435" s="7"/>
      <c r="V1435" s="7"/>
      <c r="X1435" s="7"/>
    </row>
    <row r="1436" spans="2:24">
      <c r="B1436" s="7"/>
      <c r="D1436" s="7"/>
      <c r="F1436" s="7"/>
      <c r="H1436" s="7"/>
      <c r="J1436" s="7"/>
      <c r="L1436" s="7"/>
      <c r="N1436" s="7"/>
      <c r="P1436" s="7"/>
      <c r="R1436" s="7"/>
      <c r="T1436" s="7"/>
      <c r="V1436" s="7"/>
      <c r="X1436" s="7"/>
    </row>
    <row r="1437" spans="2:24">
      <c r="B1437" s="7"/>
      <c r="D1437" s="7"/>
      <c r="F1437" s="7"/>
      <c r="H1437" s="7"/>
      <c r="J1437" s="7"/>
      <c r="L1437" s="7"/>
      <c r="N1437" s="7"/>
      <c r="P1437" s="7"/>
      <c r="R1437" s="7"/>
      <c r="T1437" s="7"/>
      <c r="V1437" s="7"/>
      <c r="X1437" s="7"/>
    </row>
    <row r="1438" spans="2:24">
      <c r="B1438" s="7"/>
      <c r="D1438" s="7"/>
      <c r="F1438" s="7"/>
      <c r="H1438" s="7"/>
      <c r="J1438" s="7"/>
      <c r="L1438" s="7"/>
      <c r="N1438" s="7"/>
      <c r="P1438" s="7"/>
      <c r="R1438" s="7"/>
      <c r="T1438" s="7"/>
      <c r="V1438" s="7"/>
      <c r="X1438" s="7"/>
    </row>
    <row r="1439" spans="2:24">
      <c r="B1439" s="7"/>
      <c r="D1439" s="7"/>
      <c r="F1439" s="7"/>
      <c r="H1439" s="7"/>
      <c r="J1439" s="7"/>
      <c r="L1439" s="7"/>
      <c r="N1439" s="7"/>
      <c r="P1439" s="7"/>
      <c r="R1439" s="7"/>
      <c r="T1439" s="7"/>
      <c r="V1439" s="7"/>
      <c r="X1439" s="7"/>
    </row>
    <row r="1440" spans="2:24">
      <c r="B1440" s="7"/>
      <c r="D1440" s="7"/>
      <c r="F1440" s="7"/>
      <c r="H1440" s="7"/>
      <c r="J1440" s="7"/>
      <c r="L1440" s="7"/>
      <c r="N1440" s="7"/>
      <c r="P1440" s="7"/>
      <c r="R1440" s="7"/>
      <c r="T1440" s="7"/>
      <c r="V1440" s="7"/>
      <c r="X1440" s="7"/>
    </row>
    <row r="1441" spans="2:24">
      <c r="B1441" s="7"/>
      <c r="D1441" s="7"/>
      <c r="F1441" s="7"/>
      <c r="H1441" s="7"/>
      <c r="J1441" s="7"/>
      <c r="L1441" s="7"/>
      <c r="N1441" s="7"/>
      <c r="P1441" s="7"/>
      <c r="R1441" s="7"/>
      <c r="T1441" s="7"/>
      <c r="V1441" s="7"/>
      <c r="X1441" s="7"/>
    </row>
    <row r="1442" spans="2:24">
      <c r="B1442" s="7"/>
      <c r="D1442" s="7"/>
      <c r="F1442" s="7"/>
      <c r="H1442" s="7"/>
      <c r="J1442" s="7"/>
      <c r="L1442" s="7"/>
      <c r="N1442" s="7"/>
      <c r="P1442" s="7"/>
      <c r="R1442" s="7"/>
      <c r="T1442" s="7"/>
      <c r="V1442" s="7"/>
      <c r="X1442" s="7"/>
    </row>
    <row r="1443" spans="2:24">
      <c r="B1443" s="7"/>
      <c r="D1443" s="7"/>
      <c r="F1443" s="7"/>
      <c r="H1443" s="7"/>
      <c r="J1443" s="7"/>
      <c r="L1443" s="7"/>
      <c r="N1443" s="7"/>
      <c r="P1443" s="7"/>
      <c r="R1443" s="7"/>
      <c r="T1443" s="7"/>
      <c r="V1443" s="7"/>
      <c r="X1443" s="7"/>
    </row>
    <row r="1444" spans="2:24">
      <c r="B1444" s="7"/>
      <c r="D1444" s="7"/>
      <c r="F1444" s="7"/>
      <c r="H1444" s="7"/>
      <c r="J1444" s="7"/>
      <c r="L1444" s="7"/>
      <c r="N1444" s="7"/>
      <c r="P1444" s="7"/>
      <c r="R1444" s="7"/>
      <c r="T1444" s="7"/>
      <c r="V1444" s="7"/>
      <c r="X1444" s="7"/>
    </row>
    <row r="1445" spans="2:24">
      <c r="B1445" s="7"/>
      <c r="D1445" s="7"/>
      <c r="F1445" s="7"/>
      <c r="H1445" s="7"/>
      <c r="J1445" s="7"/>
      <c r="L1445" s="7"/>
      <c r="N1445" s="7"/>
      <c r="P1445" s="7"/>
      <c r="R1445" s="7"/>
      <c r="T1445" s="7"/>
      <c r="V1445" s="7"/>
      <c r="X1445" s="7"/>
    </row>
    <row r="1446" spans="2:24">
      <c r="B1446" s="7"/>
      <c r="D1446" s="7"/>
      <c r="F1446" s="7"/>
      <c r="H1446" s="7"/>
      <c r="J1446" s="7"/>
      <c r="L1446" s="7"/>
      <c r="N1446" s="7"/>
      <c r="P1446" s="7"/>
      <c r="R1446" s="7"/>
      <c r="T1446" s="7"/>
      <c r="V1446" s="7"/>
      <c r="X1446" s="7"/>
    </row>
    <row r="1447" spans="2:24">
      <c r="B1447" s="7"/>
      <c r="D1447" s="7"/>
      <c r="F1447" s="7"/>
      <c r="H1447" s="7"/>
      <c r="J1447" s="7"/>
      <c r="L1447" s="7"/>
      <c r="N1447" s="7"/>
      <c r="P1447" s="7"/>
      <c r="R1447" s="7"/>
      <c r="T1447" s="7"/>
      <c r="V1447" s="7"/>
      <c r="X1447" s="7"/>
    </row>
    <row r="1448" spans="2:24">
      <c r="B1448" s="7"/>
      <c r="D1448" s="7"/>
      <c r="F1448" s="7"/>
      <c r="H1448" s="7"/>
      <c r="J1448" s="7"/>
      <c r="L1448" s="7"/>
      <c r="N1448" s="7"/>
      <c r="P1448" s="7"/>
      <c r="R1448" s="7"/>
      <c r="T1448" s="7"/>
      <c r="V1448" s="7"/>
      <c r="X1448" s="7"/>
    </row>
    <row r="1449" spans="2:24">
      <c r="B1449" s="7"/>
      <c r="D1449" s="7"/>
      <c r="F1449" s="7"/>
      <c r="H1449" s="7"/>
      <c r="J1449" s="7"/>
      <c r="L1449" s="7"/>
      <c r="N1449" s="7"/>
      <c r="P1449" s="7"/>
      <c r="R1449" s="7"/>
      <c r="T1449" s="7"/>
      <c r="V1449" s="7"/>
      <c r="X1449" s="7"/>
    </row>
    <row r="1450" spans="2:24">
      <c r="B1450" s="7"/>
      <c r="D1450" s="7"/>
      <c r="F1450" s="7"/>
      <c r="H1450" s="7"/>
      <c r="J1450" s="7"/>
      <c r="L1450" s="7"/>
      <c r="N1450" s="7"/>
      <c r="P1450" s="7"/>
      <c r="R1450" s="7"/>
      <c r="T1450" s="7"/>
      <c r="V1450" s="7"/>
      <c r="X1450" s="7"/>
    </row>
    <row r="1451" spans="2:24">
      <c r="B1451" s="7"/>
      <c r="D1451" s="7"/>
      <c r="F1451" s="7"/>
      <c r="H1451" s="7"/>
      <c r="J1451" s="7"/>
      <c r="L1451" s="7"/>
      <c r="N1451" s="7"/>
      <c r="P1451" s="7"/>
      <c r="R1451" s="7"/>
      <c r="T1451" s="7"/>
      <c r="V1451" s="7"/>
      <c r="X1451" s="7"/>
    </row>
    <row r="1452" spans="2:24">
      <c r="B1452" s="7"/>
      <c r="D1452" s="7"/>
      <c r="F1452" s="7"/>
      <c r="H1452" s="7"/>
      <c r="J1452" s="7"/>
      <c r="L1452" s="7"/>
      <c r="N1452" s="7"/>
      <c r="P1452" s="7"/>
      <c r="R1452" s="7"/>
      <c r="T1452" s="7"/>
      <c r="V1452" s="7"/>
      <c r="X1452" s="7"/>
    </row>
    <row r="1453" spans="2:24">
      <c r="B1453" s="7"/>
      <c r="D1453" s="7"/>
      <c r="F1453" s="7"/>
      <c r="H1453" s="7"/>
      <c r="J1453" s="7"/>
      <c r="L1453" s="7"/>
      <c r="N1453" s="7"/>
      <c r="P1453" s="7"/>
      <c r="R1453" s="7"/>
      <c r="T1453" s="7"/>
      <c r="V1453" s="7"/>
      <c r="X1453" s="7"/>
    </row>
    <row r="1454" spans="2:24">
      <c r="B1454" s="7"/>
      <c r="D1454" s="7"/>
      <c r="F1454" s="7"/>
      <c r="H1454" s="7"/>
      <c r="J1454" s="7"/>
      <c r="L1454" s="7"/>
      <c r="N1454" s="7"/>
      <c r="P1454" s="7"/>
      <c r="R1454" s="7"/>
      <c r="T1454" s="7"/>
      <c r="V1454" s="7"/>
      <c r="X1454" s="7"/>
    </row>
    <row r="1455" spans="2:24">
      <c r="B1455" s="7"/>
      <c r="D1455" s="7"/>
      <c r="F1455" s="7"/>
      <c r="H1455" s="7"/>
      <c r="J1455" s="7"/>
      <c r="L1455" s="7"/>
      <c r="N1455" s="7"/>
      <c r="P1455" s="7"/>
      <c r="R1455" s="7"/>
      <c r="T1455" s="7"/>
      <c r="V1455" s="7"/>
      <c r="X1455" s="7"/>
    </row>
    <row r="1456" spans="2:24">
      <c r="B1456" s="7"/>
      <c r="D1456" s="7"/>
      <c r="F1456" s="7"/>
      <c r="H1456" s="7"/>
      <c r="J1456" s="7"/>
      <c r="L1456" s="7"/>
      <c r="N1456" s="7"/>
      <c r="P1456" s="7"/>
      <c r="R1456" s="7"/>
      <c r="T1456" s="7"/>
      <c r="V1456" s="7"/>
      <c r="X1456" s="7"/>
    </row>
    <row r="1457" spans="2:24">
      <c r="B1457" s="7"/>
      <c r="D1457" s="7"/>
      <c r="F1457" s="7"/>
      <c r="H1457" s="7"/>
      <c r="J1457" s="7"/>
      <c r="L1457" s="7"/>
      <c r="N1457" s="7"/>
      <c r="P1457" s="7"/>
      <c r="R1457" s="7"/>
      <c r="T1457" s="7"/>
      <c r="V1457" s="7"/>
      <c r="X1457" s="7"/>
    </row>
    <row r="1458" spans="2:24">
      <c r="B1458" s="7"/>
      <c r="D1458" s="7"/>
      <c r="F1458" s="7"/>
      <c r="H1458" s="7"/>
      <c r="J1458" s="7"/>
      <c r="L1458" s="7"/>
      <c r="N1458" s="7"/>
      <c r="P1458" s="7"/>
      <c r="R1458" s="7"/>
      <c r="T1458" s="7"/>
      <c r="V1458" s="7"/>
      <c r="X1458" s="7"/>
    </row>
    <row r="1459" spans="2:24">
      <c r="B1459" s="7"/>
      <c r="D1459" s="7"/>
      <c r="F1459" s="7"/>
      <c r="H1459" s="7"/>
      <c r="J1459" s="7"/>
      <c r="L1459" s="7"/>
      <c r="N1459" s="7"/>
      <c r="P1459" s="7"/>
      <c r="R1459" s="7"/>
      <c r="T1459" s="7"/>
      <c r="V1459" s="7"/>
      <c r="X1459" s="7"/>
    </row>
    <row r="1460" spans="2:24">
      <c r="B1460" s="7"/>
      <c r="D1460" s="7"/>
      <c r="F1460" s="7"/>
      <c r="H1460" s="7"/>
      <c r="J1460" s="7"/>
      <c r="L1460" s="7"/>
      <c r="N1460" s="7"/>
      <c r="P1460" s="7"/>
      <c r="R1460" s="7"/>
      <c r="T1460" s="7"/>
      <c r="V1460" s="7"/>
      <c r="X1460" s="7"/>
    </row>
    <row r="1461" spans="2:24">
      <c r="B1461" s="7"/>
      <c r="D1461" s="7"/>
      <c r="F1461" s="7"/>
      <c r="H1461" s="7"/>
      <c r="J1461" s="7"/>
      <c r="L1461" s="7"/>
      <c r="N1461" s="7"/>
      <c r="P1461" s="7"/>
      <c r="R1461" s="7"/>
      <c r="T1461" s="7"/>
      <c r="V1461" s="7"/>
      <c r="X1461" s="7"/>
    </row>
    <row r="1462" spans="2:24">
      <c r="B1462" s="7"/>
      <c r="D1462" s="7"/>
      <c r="F1462" s="7"/>
      <c r="H1462" s="7"/>
      <c r="J1462" s="7"/>
      <c r="L1462" s="7"/>
      <c r="N1462" s="7"/>
      <c r="P1462" s="7"/>
      <c r="R1462" s="7"/>
      <c r="T1462" s="7"/>
      <c r="V1462" s="7"/>
      <c r="X1462" s="7"/>
    </row>
    <row r="1463" spans="2:24">
      <c r="B1463" s="7"/>
      <c r="D1463" s="7"/>
      <c r="F1463" s="7"/>
      <c r="H1463" s="7"/>
      <c r="J1463" s="7"/>
      <c r="L1463" s="7"/>
      <c r="N1463" s="7"/>
      <c r="P1463" s="7"/>
      <c r="R1463" s="7"/>
      <c r="T1463" s="7"/>
      <c r="V1463" s="7"/>
      <c r="X1463" s="7"/>
    </row>
    <row r="1464" spans="2:24">
      <c r="B1464" s="7"/>
      <c r="D1464" s="7"/>
      <c r="F1464" s="7"/>
      <c r="H1464" s="7"/>
      <c r="J1464" s="7"/>
      <c r="L1464" s="7"/>
      <c r="N1464" s="7"/>
      <c r="P1464" s="7"/>
      <c r="R1464" s="7"/>
      <c r="T1464" s="7"/>
      <c r="V1464" s="7"/>
      <c r="X1464" s="7"/>
    </row>
    <row r="1465" spans="2:24">
      <c r="B1465" s="7"/>
      <c r="D1465" s="7"/>
      <c r="F1465" s="7"/>
      <c r="H1465" s="7"/>
      <c r="J1465" s="7"/>
      <c r="L1465" s="7"/>
      <c r="N1465" s="7"/>
      <c r="P1465" s="7"/>
      <c r="R1465" s="7"/>
      <c r="T1465" s="7"/>
      <c r="V1465" s="7"/>
      <c r="X1465" s="7"/>
    </row>
    <row r="1466" spans="2:24">
      <c r="B1466" s="7"/>
      <c r="D1466" s="7"/>
      <c r="F1466" s="7"/>
      <c r="H1466" s="7"/>
      <c r="J1466" s="7"/>
      <c r="L1466" s="7"/>
      <c r="N1466" s="7"/>
      <c r="P1466" s="7"/>
      <c r="R1466" s="7"/>
      <c r="T1466" s="7"/>
      <c r="V1466" s="7"/>
      <c r="X1466" s="7"/>
    </row>
    <row r="1467" spans="2:24">
      <c r="B1467" s="7"/>
      <c r="D1467" s="7"/>
      <c r="F1467" s="7"/>
      <c r="H1467" s="7"/>
      <c r="J1467" s="7"/>
      <c r="L1467" s="7"/>
      <c r="N1467" s="7"/>
      <c r="P1467" s="7"/>
      <c r="R1467" s="7"/>
      <c r="T1467" s="7"/>
      <c r="V1467" s="7"/>
      <c r="X1467" s="7"/>
    </row>
    <row r="1468" spans="2:24">
      <c r="B1468" s="7"/>
      <c r="D1468" s="7"/>
      <c r="F1468" s="7"/>
      <c r="H1468" s="7"/>
      <c r="J1468" s="7"/>
      <c r="L1468" s="7"/>
      <c r="N1468" s="7"/>
      <c r="P1468" s="7"/>
      <c r="R1468" s="7"/>
      <c r="T1468" s="7"/>
      <c r="V1468" s="7"/>
      <c r="X1468" s="7"/>
    </row>
    <row r="1469" spans="2:24">
      <c r="B1469" s="7"/>
      <c r="D1469" s="7"/>
      <c r="F1469" s="7"/>
      <c r="H1469" s="7"/>
      <c r="J1469" s="7"/>
      <c r="L1469" s="7"/>
      <c r="N1469" s="7"/>
      <c r="P1469" s="7"/>
      <c r="R1469" s="7"/>
      <c r="T1469" s="7"/>
      <c r="V1469" s="7"/>
      <c r="X1469" s="7"/>
    </row>
    <row r="1470" spans="2:24">
      <c r="B1470" s="7"/>
      <c r="D1470" s="7"/>
      <c r="F1470" s="7"/>
      <c r="H1470" s="7"/>
      <c r="J1470" s="7"/>
      <c r="L1470" s="7"/>
      <c r="N1470" s="7"/>
      <c r="P1470" s="7"/>
      <c r="R1470" s="7"/>
      <c r="T1470" s="7"/>
      <c r="V1470" s="7"/>
      <c r="X1470" s="7"/>
    </row>
    <row r="1471" spans="2:24">
      <c r="B1471" s="7"/>
      <c r="D1471" s="7"/>
      <c r="F1471" s="7"/>
      <c r="H1471" s="7"/>
      <c r="J1471" s="7"/>
      <c r="L1471" s="7"/>
      <c r="N1471" s="7"/>
      <c r="P1471" s="7"/>
      <c r="R1471" s="7"/>
      <c r="T1471" s="7"/>
      <c r="V1471" s="7"/>
      <c r="X1471" s="7"/>
    </row>
    <row r="1472" spans="2:24">
      <c r="B1472" s="7"/>
      <c r="D1472" s="7"/>
      <c r="F1472" s="7"/>
      <c r="H1472" s="7"/>
      <c r="J1472" s="7"/>
      <c r="L1472" s="7"/>
      <c r="N1472" s="7"/>
      <c r="P1472" s="7"/>
      <c r="R1472" s="7"/>
      <c r="T1472" s="7"/>
      <c r="V1472" s="7"/>
      <c r="X1472" s="7"/>
    </row>
    <row r="1473" spans="2:24">
      <c r="B1473" s="7"/>
      <c r="D1473" s="7"/>
      <c r="F1473" s="7"/>
      <c r="H1473" s="7"/>
      <c r="J1473" s="7"/>
      <c r="L1473" s="7"/>
      <c r="N1473" s="7"/>
      <c r="P1473" s="7"/>
      <c r="R1473" s="7"/>
      <c r="T1473" s="7"/>
      <c r="V1473" s="7"/>
      <c r="X1473" s="7"/>
    </row>
    <row r="1474" spans="2:24">
      <c r="B1474" s="7"/>
      <c r="D1474" s="7"/>
      <c r="F1474" s="7"/>
      <c r="H1474" s="7"/>
      <c r="J1474" s="7"/>
      <c r="L1474" s="7"/>
      <c r="N1474" s="7"/>
      <c r="P1474" s="7"/>
      <c r="R1474" s="7"/>
      <c r="T1474" s="7"/>
      <c r="V1474" s="7"/>
      <c r="X1474" s="7"/>
    </row>
    <row r="1475" spans="2:24">
      <c r="B1475" s="7"/>
      <c r="D1475" s="7"/>
      <c r="F1475" s="7"/>
      <c r="H1475" s="7"/>
      <c r="J1475" s="7"/>
      <c r="L1475" s="7"/>
      <c r="N1475" s="7"/>
      <c r="P1475" s="7"/>
      <c r="R1475" s="7"/>
      <c r="T1475" s="7"/>
      <c r="V1475" s="7"/>
      <c r="X1475" s="7"/>
    </row>
    <row r="1476" spans="2:24">
      <c r="B1476" s="7"/>
      <c r="D1476" s="7"/>
      <c r="F1476" s="7"/>
      <c r="H1476" s="7"/>
      <c r="J1476" s="7"/>
      <c r="L1476" s="7"/>
      <c r="N1476" s="7"/>
      <c r="P1476" s="7"/>
      <c r="R1476" s="7"/>
      <c r="T1476" s="7"/>
      <c r="V1476" s="7"/>
      <c r="X1476" s="7"/>
    </row>
    <row r="1477" spans="2:24">
      <c r="B1477" s="7"/>
      <c r="D1477" s="7"/>
      <c r="F1477" s="7"/>
      <c r="H1477" s="7"/>
      <c r="J1477" s="7"/>
      <c r="L1477" s="7"/>
      <c r="N1477" s="7"/>
      <c r="P1477" s="7"/>
      <c r="R1477" s="7"/>
      <c r="T1477" s="7"/>
      <c r="V1477" s="7"/>
      <c r="X1477" s="7"/>
    </row>
    <row r="1478" spans="2:24">
      <c r="B1478" s="7"/>
      <c r="D1478" s="7"/>
      <c r="F1478" s="7"/>
      <c r="H1478" s="7"/>
      <c r="J1478" s="7"/>
      <c r="L1478" s="7"/>
      <c r="N1478" s="7"/>
      <c r="P1478" s="7"/>
      <c r="R1478" s="7"/>
      <c r="T1478" s="7"/>
      <c r="V1478" s="7"/>
      <c r="X1478" s="7"/>
    </row>
    <row r="1479" spans="2:24">
      <c r="B1479" s="7"/>
      <c r="D1479" s="7"/>
      <c r="F1479" s="7"/>
      <c r="H1479" s="7"/>
      <c r="J1479" s="7"/>
      <c r="L1479" s="7"/>
      <c r="N1479" s="7"/>
      <c r="P1479" s="7"/>
      <c r="R1479" s="7"/>
      <c r="T1479" s="7"/>
      <c r="V1479" s="7"/>
      <c r="X1479" s="7"/>
    </row>
    <row r="1480" spans="2:24">
      <c r="B1480" s="7"/>
      <c r="D1480" s="7"/>
      <c r="F1480" s="7"/>
      <c r="H1480" s="7"/>
      <c r="J1480" s="7"/>
      <c r="L1480" s="7"/>
      <c r="N1480" s="7"/>
      <c r="P1480" s="7"/>
      <c r="R1480" s="7"/>
      <c r="T1480" s="7"/>
      <c r="V1480" s="7"/>
      <c r="X1480" s="7"/>
    </row>
    <row r="1481" spans="2:24">
      <c r="B1481" s="7"/>
      <c r="D1481" s="7"/>
      <c r="F1481" s="7"/>
      <c r="H1481" s="7"/>
      <c r="J1481" s="7"/>
      <c r="L1481" s="7"/>
      <c r="N1481" s="7"/>
      <c r="P1481" s="7"/>
      <c r="R1481" s="7"/>
      <c r="T1481" s="7"/>
      <c r="V1481" s="7"/>
      <c r="X1481" s="7"/>
    </row>
    <row r="1482" spans="2:24">
      <c r="B1482" s="7"/>
      <c r="D1482" s="7"/>
      <c r="F1482" s="7"/>
      <c r="H1482" s="7"/>
      <c r="J1482" s="7"/>
      <c r="L1482" s="7"/>
      <c r="N1482" s="7"/>
      <c r="P1482" s="7"/>
      <c r="R1482" s="7"/>
      <c r="T1482" s="7"/>
      <c r="V1482" s="7"/>
      <c r="X1482" s="7"/>
    </row>
    <row r="1483" spans="2:24">
      <c r="B1483" s="7"/>
      <c r="D1483" s="7"/>
      <c r="F1483" s="7"/>
      <c r="H1483" s="7"/>
      <c r="J1483" s="7"/>
      <c r="L1483" s="7"/>
      <c r="N1483" s="7"/>
      <c r="P1483" s="7"/>
      <c r="R1483" s="7"/>
      <c r="T1483" s="7"/>
      <c r="V1483" s="7"/>
      <c r="X1483" s="7"/>
    </row>
    <row r="1484" spans="2:24">
      <c r="B1484" s="7"/>
      <c r="D1484" s="7"/>
      <c r="F1484" s="7"/>
      <c r="H1484" s="7"/>
      <c r="J1484" s="7"/>
      <c r="L1484" s="7"/>
      <c r="N1484" s="7"/>
      <c r="P1484" s="7"/>
      <c r="R1484" s="7"/>
      <c r="T1484" s="7"/>
      <c r="V1484" s="7"/>
      <c r="X1484" s="7"/>
    </row>
    <row r="1485" spans="2:24">
      <c r="B1485" s="7"/>
      <c r="D1485" s="7"/>
      <c r="F1485" s="7"/>
      <c r="H1485" s="7"/>
      <c r="J1485" s="7"/>
      <c r="L1485" s="7"/>
      <c r="N1485" s="7"/>
      <c r="P1485" s="7"/>
      <c r="R1485" s="7"/>
      <c r="T1485" s="7"/>
      <c r="V1485" s="7"/>
      <c r="X1485" s="7"/>
    </row>
    <row r="1486" spans="2:24">
      <c r="B1486" s="7"/>
      <c r="D1486" s="7"/>
      <c r="F1486" s="7"/>
      <c r="H1486" s="7"/>
      <c r="J1486" s="7"/>
      <c r="L1486" s="7"/>
      <c r="N1486" s="7"/>
      <c r="P1486" s="7"/>
      <c r="R1486" s="7"/>
      <c r="T1486" s="7"/>
      <c r="V1486" s="7"/>
      <c r="X1486" s="7"/>
    </row>
    <row r="1487" spans="2:24">
      <c r="B1487" s="7"/>
      <c r="D1487" s="7"/>
      <c r="F1487" s="7"/>
      <c r="H1487" s="7"/>
      <c r="J1487" s="7"/>
      <c r="L1487" s="7"/>
      <c r="N1487" s="7"/>
      <c r="P1487" s="7"/>
      <c r="R1487" s="7"/>
      <c r="T1487" s="7"/>
      <c r="V1487" s="7"/>
      <c r="X1487" s="7"/>
    </row>
    <row r="1488" spans="2:24">
      <c r="B1488" s="7"/>
      <c r="D1488" s="7"/>
      <c r="F1488" s="7"/>
      <c r="H1488" s="7"/>
      <c r="J1488" s="7"/>
      <c r="L1488" s="7"/>
      <c r="N1488" s="7"/>
      <c r="P1488" s="7"/>
      <c r="R1488" s="7"/>
      <c r="T1488" s="7"/>
      <c r="V1488" s="7"/>
      <c r="X1488" s="7"/>
    </row>
    <row r="1489" spans="2:24">
      <c r="B1489" s="7"/>
      <c r="D1489" s="7"/>
      <c r="F1489" s="7"/>
      <c r="H1489" s="7"/>
      <c r="J1489" s="7"/>
      <c r="L1489" s="7"/>
      <c r="N1489" s="7"/>
      <c r="P1489" s="7"/>
      <c r="R1489" s="7"/>
      <c r="T1489" s="7"/>
      <c r="V1489" s="7"/>
      <c r="X1489" s="7"/>
    </row>
    <row r="1490" spans="2:24">
      <c r="B1490" s="7"/>
      <c r="D1490" s="7"/>
      <c r="F1490" s="7"/>
      <c r="H1490" s="7"/>
      <c r="J1490" s="7"/>
      <c r="L1490" s="7"/>
      <c r="N1490" s="7"/>
      <c r="P1490" s="7"/>
      <c r="R1490" s="7"/>
      <c r="T1490" s="7"/>
      <c r="V1490" s="7"/>
      <c r="X1490" s="7"/>
    </row>
    <row r="1491" spans="2:24">
      <c r="B1491" s="7"/>
      <c r="D1491" s="7"/>
      <c r="F1491" s="7"/>
      <c r="H1491" s="7"/>
      <c r="J1491" s="7"/>
      <c r="L1491" s="7"/>
      <c r="N1491" s="7"/>
      <c r="P1491" s="7"/>
      <c r="R1491" s="7"/>
      <c r="T1491" s="7"/>
      <c r="V1491" s="7"/>
      <c r="X1491" s="7"/>
    </row>
    <row r="1492" spans="2:24">
      <c r="B1492" s="7"/>
      <c r="D1492" s="7"/>
      <c r="F1492" s="7"/>
      <c r="H1492" s="7"/>
      <c r="J1492" s="7"/>
      <c r="L1492" s="7"/>
      <c r="N1492" s="7"/>
      <c r="P1492" s="7"/>
      <c r="R1492" s="7"/>
      <c r="T1492" s="7"/>
      <c r="V1492" s="7"/>
      <c r="X1492" s="7"/>
    </row>
    <row r="1493" spans="2:24">
      <c r="B1493" s="7"/>
      <c r="D1493" s="7"/>
      <c r="F1493" s="7"/>
      <c r="H1493" s="7"/>
      <c r="J1493" s="7"/>
      <c r="L1493" s="7"/>
      <c r="N1493" s="7"/>
      <c r="P1493" s="7"/>
      <c r="R1493" s="7"/>
      <c r="T1493" s="7"/>
      <c r="V1493" s="7"/>
      <c r="X1493" s="7"/>
    </row>
    <row r="1494" spans="2:24">
      <c r="B1494" s="7"/>
      <c r="D1494" s="7"/>
      <c r="F1494" s="7"/>
      <c r="H1494" s="7"/>
      <c r="J1494" s="7"/>
      <c r="L1494" s="7"/>
      <c r="N1494" s="7"/>
      <c r="P1494" s="7"/>
      <c r="R1494" s="7"/>
      <c r="T1494" s="7"/>
      <c r="V1494" s="7"/>
      <c r="X1494" s="7"/>
    </row>
    <row r="1495" spans="2:24">
      <c r="B1495" s="7"/>
      <c r="D1495" s="7"/>
      <c r="F1495" s="7"/>
      <c r="H1495" s="7"/>
      <c r="J1495" s="7"/>
      <c r="L1495" s="7"/>
      <c r="N1495" s="7"/>
      <c r="P1495" s="7"/>
      <c r="R1495" s="7"/>
      <c r="T1495" s="7"/>
      <c r="V1495" s="7"/>
      <c r="X1495" s="7"/>
    </row>
    <row r="1496" spans="2:24">
      <c r="B1496" s="7"/>
      <c r="D1496" s="7"/>
      <c r="F1496" s="7"/>
      <c r="H1496" s="7"/>
      <c r="J1496" s="7"/>
      <c r="L1496" s="7"/>
      <c r="N1496" s="7"/>
      <c r="P1496" s="7"/>
      <c r="R1496" s="7"/>
      <c r="T1496" s="7"/>
      <c r="V1496" s="7"/>
      <c r="X1496" s="7"/>
    </row>
    <row r="1497" spans="2:24">
      <c r="B1497" s="7"/>
      <c r="D1497" s="7"/>
      <c r="F1497" s="7"/>
      <c r="H1497" s="7"/>
      <c r="J1497" s="7"/>
      <c r="L1497" s="7"/>
      <c r="N1497" s="7"/>
      <c r="P1497" s="7"/>
      <c r="R1497" s="7"/>
      <c r="T1497" s="7"/>
      <c r="V1497" s="7"/>
      <c r="X1497" s="7"/>
    </row>
    <row r="1498" spans="2:24">
      <c r="B1498" s="7"/>
      <c r="D1498" s="7"/>
      <c r="F1498" s="7"/>
      <c r="H1498" s="7"/>
      <c r="J1498" s="7"/>
      <c r="L1498" s="7"/>
      <c r="N1498" s="7"/>
      <c r="P1498" s="7"/>
      <c r="R1498" s="7"/>
      <c r="T1498" s="7"/>
      <c r="V1498" s="7"/>
      <c r="X1498" s="7"/>
    </row>
    <row r="1499" spans="2:24">
      <c r="B1499" s="7"/>
      <c r="D1499" s="7"/>
      <c r="F1499" s="7"/>
      <c r="H1499" s="7"/>
      <c r="J1499" s="7"/>
      <c r="L1499" s="7"/>
      <c r="N1499" s="7"/>
      <c r="P1499" s="7"/>
      <c r="R1499" s="7"/>
      <c r="T1499" s="7"/>
      <c r="V1499" s="7"/>
      <c r="X1499" s="7"/>
    </row>
    <row r="1500" spans="2:24">
      <c r="B1500" s="7"/>
      <c r="D1500" s="7"/>
      <c r="F1500" s="7"/>
      <c r="H1500" s="7"/>
      <c r="J1500" s="7"/>
      <c r="L1500" s="7"/>
      <c r="N1500" s="7"/>
      <c r="P1500" s="7"/>
      <c r="R1500" s="7"/>
      <c r="T1500" s="7"/>
      <c r="V1500" s="7"/>
      <c r="X1500" s="7"/>
    </row>
    <row r="1501" spans="2:24">
      <c r="B1501" s="7"/>
      <c r="D1501" s="7"/>
      <c r="F1501" s="7"/>
      <c r="H1501" s="7"/>
      <c r="J1501" s="7"/>
      <c r="L1501" s="7"/>
      <c r="N1501" s="7"/>
      <c r="P1501" s="7"/>
      <c r="R1501" s="7"/>
      <c r="T1501" s="7"/>
      <c r="V1501" s="7"/>
      <c r="X1501" s="7"/>
    </row>
    <row r="1502" spans="2:24">
      <c r="B1502" s="7"/>
      <c r="D1502" s="7"/>
      <c r="F1502" s="7"/>
      <c r="H1502" s="7"/>
      <c r="J1502" s="7"/>
      <c r="L1502" s="7"/>
      <c r="N1502" s="7"/>
      <c r="P1502" s="7"/>
      <c r="R1502" s="7"/>
      <c r="T1502" s="7"/>
      <c r="V1502" s="7"/>
      <c r="X1502" s="7"/>
    </row>
    <row r="1503" spans="2:24">
      <c r="B1503" s="7"/>
      <c r="D1503" s="7"/>
      <c r="F1503" s="7"/>
      <c r="H1503" s="7"/>
      <c r="J1503" s="7"/>
      <c r="L1503" s="7"/>
      <c r="N1503" s="7"/>
      <c r="P1503" s="7"/>
      <c r="R1503" s="7"/>
      <c r="T1503" s="7"/>
      <c r="V1503" s="7"/>
      <c r="X1503" s="7"/>
    </row>
    <row r="1504" spans="2:24">
      <c r="B1504" s="7"/>
      <c r="D1504" s="7"/>
      <c r="F1504" s="7"/>
      <c r="H1504" s="7"/>
      <c r="J1504" s="7"/>
      <c r="L1504" s="7"/>
      <c r="N1504" s="7"/>
      <c r="P1504" s="7"/>
      <c r="R1504" s="7"/>
      <c r="T1504" s="7"/>
      <c r="V1504" s="7"/>
      <c r="X1504" s="7"/>
    </row>
    <row r="1505" spans="2:24">
      <c r="B1505" s="7"/>
      <c r="D1505" s="7"/>
      <c r="F1505" s="7"/>
      <c r="H1505" s="7"/>
      <c r="J1505" s="7"/>
      <c r="L1505" s="7"/>
      <c r="N1505" s="7"/>
      <c r="P1505" s="7"/>
      <c r="R1505" s="7"/>
      <c r="T1505" s="7"/>
      <c r="V1505" s="7"/>
      <c r="X1505" s="7"/>
    </row>
    <row r="1506" spans="2:24">
      <c r="B1506" s="7"/>
      <c r="D1506" s="7"/>
      <c r="F1506" s="7"/>
      <c r="H1506" s="7"/>
      <c r="J1506" s="7"/>
      <c r="L1506" s="7"/>
      <c r="N1506" s="7"/>
      <c r="P1506" s="7"/>
      <c r="R1506" s="7"/>
      <c r="T1506" s="7"/>
      <c r="V1506" s="7"/>
      <c r="X1506" s="7"/>
    </row>
    <row r="1507" spans="2:24">
      <c r="B1507" s="7"/>
      <c r="D1507" s="7"/>
      <c r="F1507" s="7"/>
      <c r="H1507" s="7"/>
      <c r="J1507" s="7"/>
      <c r="L1507" s="7"/>
      <c r="N1507" s="7"/>
      <c r="P1507" s="7"/>
      <c r="R1507" s="7"/>
      <c r="T1507" s="7"/>
      <c r="V1507" s="7"/>
      <c r="X1507" s="7"/>
    </row>
    <row r="1508" spans="2:24">
      <c r="B1508" s="7"/>
      <c r="D1508" s="7"/>
      <c r="F1508" s="7"/>
      <c r="H1508" s="7"/>
      <c r="J1508" s="7"/>
      <c r="L1508" s="7"/>
      <c r="N1508" s="7"/>
      <c r="P1508" s="7"/>
      <c r="R1508" s="7"/>
      <c r="T1508" s="7"/>
      <c r="V1508" s="7"/>
      <c r="X1508" s="7"/>
    </row>
    <row r="1509" spans="2:24">
      <c r="B1509" s="7"/>
      <c r="D1509" s="7"/>
      <c r="F1509" s="7"/>
      <c r="H1509" s="7"/>
      <c r="J1509" s="7"/>
      <c r="L1509" s="7"/>
      <c r="N1509" s="7"/>
      <c r="P1509" s="7"/>
      <c r="R1509" s="7"/>
      <c r="T1509" s="7"/>
      <c r="V1509" s="7"/>
      <c r="X1509" s="7"/>
    </row>
    <row r="1510" spans="2:24">
      <c r="B1510" s="7"/>
      <c r="D1510" s="7"/>
      <c r="F1510" s="7"/>
      <c r="H1510" s="7"/>
      <c r="J1510" s="7"/>
      <c r="L1510" s="7"/>
      <c r="N1510" s="7"/>
      <c r="P1510" s="7"/>
      <c r="R1510" s="7"/>
      <c r="T1510" s="7"/>
      <c r="V1510" s="7"/>
      <c r="X1510" s="7"/>
    </row>
    <row r="1511" spans="2:24">
      <c r="B1511" s="7"/>
      <c r="D1511" s="7"/>
      <c r="F1511" s="7"/>
      <c r="H1511" s="7"/>
      <c r="J1511" s="7"/>
      <c r="L1511" s="7"/>
      <c r="N1511" s="7"/>
      <c r="P1511" s="7"/>
      <c r="R1511" s="7"/>
      <c r="T1511" s="7"/>
      <c r="V1511" s="7"/>
      <c r="X1511" s="7"/>
    </row>
    <row r="1512" spans="2:24">
      <c r="B1512" s="7"/>
      <c r="D1512" s="7"/>
      <c r="F1512" s="7"/>
      <c r="H1512" s="7"/>
      <c r="J1512" s="7"/>
      <c r="L1512" s="7"/>
      <c r="N1512" s="7"/>
      <c r="P1512" s="7"/>
      <c r="R1512" s="7"/>
      <c r="T1512" s="7"/>
      <c r="V1512" s="7"/>
      <c r="X1512" s="7"/>
    </row>
    <row r="1513" spans="2:24">
      <c r="B1513" s="7"/>
      <c r="D1513" s="7"/>
      <c r="F1513" s="7"/>
      <c r="H1513" s="7"/>
      <c r="J1513" s="7"/>
      <c r="L1513" s="7"/>
      <c r="N1513" s="7"/>
      <c r="P1513" s="7"/>
      <c r="R1513" s="7"/>
      <c r="T1513" s="7"/>
      <c r="V1513" s="7"/>
      <c r="X1513" s="7"/>
    </row>
    <row r="1514" spans="2:24">
      <c r="B1514" s="7"/>
      <c r="D1514" s="7"/>
      <c r="F1514" s="7"/>
      <c r="H1514" s="7"/>
      <c r="J1514" s="7"/>
      <c r="L1514" s="7"/>
      <c r="N1514" s="7"/>
      <c r="P1514" s="7"/>
      <c r="R1514" s="7"/>
      <c r="T1514" s="7"/>
      <c r="V1514" s="7"/>
      <c r="X1514" s="7"/>
    </row>
    <row r="1515" spans="2:24">
      <c r="B1515" s="7"/>
      <c r="D1515" s="7"/>
      <c r="F1515" s="7"/>
      <c r="H1515" s="7"/>
      <c r="J1515" s="7"/>
      <c r="L1515" s="7"/>
      <c r="N1515" s="7"/>
      <c r="P1515" s="7"/>
      <c r="R1515" s="7"/>
      <c r="T1515" s="7"/>
      <c r="V1515" s="7"/>
      <c r="X1515" s="7"/>
    </row>
    <row r="1516" spans="2:24">
      <c r="B1516" s="7"/>
      <c r="D1516" s="7"/>
      <c r="F1516" s="7"/>
      <c r="H1516" s="7"/>
      <c r="J1516" s="7"/>
      <c r="L1516" s="7"/>
      <c r="N1516" s="7"/>
      <c r="P1516" s="7"/>
      <c r="R1516" s="7"/>
      <c r="T1516" s="7"/>
      <c r="V1516" s="7"/>
      <c r="X1516" s="7"/>
    </row>
    <row r="1517" spans="2:24">
      <c r="B1517" s="7"/>
      <c r="D1517" s="7"/>
      <c r="F1517" s="7"/>
      <c r="H1517" s="7"/>
      <c r="J1517" s="7"/>
      <c r="L1517" s="7"/>
      <c r="N1517" s="7"/>
      <c r="P1517" s="7"/>
      <c r="R1517" s="7"/>
      <c r="T1517" s="7"/>
      <c r="V1517" s="7"/>
      <c r="X1517" s="7"/>
    </row>
    <row r="1518" spans="2:24">
      <c r="B1518" s="7"/>
      <c r="D1518" s="7"/>
      <c r="F1518" s="7"/>
      <c r="H1518" s="7"/>
      <c r="J1518" s="7"/>
      <c r="L1518" s="7"/>
      <c r="N1518" s="7"/>
      <c r="P1518" s="7"/>
      <c r="R1518" s="7"/>
      <c r="T1518" s="7"/>
      <c r="V1518" s="7"/>
      <c r="X1518" s="7"/>
    </row>
    <row r="1519" spans="2:24">
      <c r="B1519" s="7"/>
      <c r="D1519" s="7"/>
      <c r="F1519" s="7"/>
      <c r="H1519" s="7"/>
      <c r="J1519" s="7"/>
      <c r="L1519" s="7"/>
      <c r="N1519" s="7"/>
      <c r="P1519" s="7"/>
      <c r="R1519" s="7"/>
      <c r="T1519" s="7"/>
      <c r="V1519" s="7"/>
      <c r="X1519" s="7"/>
    </row>
    <row r="1520" spans="2:24">
      <c r="B1520" s="7"/>
      <c r="D1520" s="7"/>
      <c r="F1520" s="7"/>
      <c r="H1520" s="7"/>
      <c r="J1520" s="7"/>
      <c r="L1520" s="7"/>
      <c r="N1520" s="7"/>
      <c r="P1520" s="7"/>
      <c r="R1520" s="7"/>
      <c r="T1520" s="7"/>
      <c r="V1520" s="7"/>
      <c r="X1520" s="7"/>
    </row>
    <row r="1521" spans="2:24">
      <c r="B1521" s="7"/>
      <c r="D1521" s="7"/>
      <c r="F1521" s="7"/>
      <c r="H1521" s="7"/>
      <c r="J1521" s="7"/>
      <c r="L1521" s="7"/>
      <c r="N1521" s="7"/>
      <c r="P1521" s="7"/>
      <c r="R1521" s="7"/>
      <c r="T1521" s="7"/>
      <c r="V1521" s="7"/>
      <c r="X1521" s="7"/>
    </row>
    <row r="1522" spans="2:24">
      <c r="B1522" s="7"/>
      <c r="D1522" s="7"/>
      <c r="F1522" s="7"/>
      <c r="H1522" s="7"/>
      <c r="J1522" s="7"/>
      <c r="L1522" s="7"/>
      <c r="N1522" s="7"/>
      <c r="P1522" s="7"/>
      <c r="R1522" s="7"/>
      <c r="T1522" s="7"/>
      <c r="V1522" s="7"/>
      <c r="X1522" s="7"/>
    </row>
    <row r="1523" spans="2:24">
      <c r="B1523" s="7"/>
      <c r="D1523" s="7"/>
      <c r="F1523" s="7"/>
      <c r="H1523" s="7"/>
      <c r="J1523" s="7"/>
      <c r="L1523" s="7"/>
      <c r="N1523" s="7"/>
      <c r="P1523" s="7"/>
      <c r="R1523" s="7"/>
      <c r="T1523" s="7"/>
      <c r="V1523" s="7"/>
      <c r="X1523" s="7"/>
    </row>
    <row r="1524" spans="2:24">
      <c r="B1524" s="7"/>
      <c r="D1524" s="7"/>
      <c r="F1524" s="7"/>
      <c r="H1524" s="7"/>
      <c r="J1524" s="7"/>
      <c r="L1524" s="7"/>
      <c r="N1524" s="7"/>
      <c r="P1524" s="7"/>
      <c r="R1524" s="7"/>
      <c r="T1524" s="7"/>
      <c r="V1524" s="7"/>
      <c r="X1524" s="7"/>
    </row>
    <row r="1525" spans="2:24">
      <c r="B1525" s="7"/>
      <c r="D1525" s="7"/>
      <c r="F1525" s="7"/>
      <c r="H1525" s="7"/>
      <c r="J1525" s="7"/>
      <c r="L1525" s="7"/>
      <c r="N1525" s="7"/>
      <c r="P1525" s="7"/>
      <c r="R1525" s="7"/>
      <c r="T1525" s="7"/>
      <c r="V1525" s="7"/>
      <c r="X1525" s="7"/>
    </row>
    <row r="1526" spans="2:24">
      <c r="B1526" s="7"/>
      <c r="D1526" s="7"/>
      <c r="F1526" s="7"/>
      <c r="H1526" s="7"/>
      <c r="J1526" s="7"/>
      <c r="L1526" s="7"/>
      <c r="N1526" s="7"/>
      <c r="P1526" s="7"/>
      <c r="R1526" s="7"/>
      <c r="T1526" s="7"/>
      <c r="V1526" s="7"/>
      <c r="X1526" s="7"/>
    </row>
    <row r="1527" spans="2:24">
      <c r="B1527" s="7"/>
      <c r="D1527" s="7"/>
      <c r="F1527" s="7"/>
      <c r="H1527" s="7"/>
      <c r="J1527" s="7"/>
      <c r="L1527" s="7"/>
      <c r="N1527" s="7"/>
      <c r="P1527" s="7"/>
      <c r="R1527" s="7"/>
      <c r="T1527" s="7"/>
      <c r="V1527" s="7"/>
      <c r="X1527" s="7"/>
    </row>
    <row r="1528" spans="2:24">
      <c r="B1528" s="7"/>
      <c r="D1528" s="7"/>
      <c r="F1528" s="7"/>
      <c r="H1528" s="7"/>
      <c r="J1528" s="7"/>
      <c r="L1528" s="7"/>
      <c r="N1528" s="7"/>
      <c r="P1528" s="7"/>
      <c r="R1528" s="7"/>
      <c r="T1528" s="7"/>
      <c r="V1528" s="7"/>
      <c r="X1528" s="7"/>
    </row>
    <row r="1529" spans="2:24">
      <c r="B1529" s="7"/>
      <c r="D1529" s="7"/>
      <c r="F1529" s="7"/>
      <c r="H1529" s="7"/>
      <c r="J1529" s="7"/>
      <c r="L1529" s="7"/>
      <c r="N1529" s="7"/>
      <c r="P1529" s="7"/>
      <c r="R1529" s="7"/>
      <c r="T1529" s="7"/>
      <c r="V1529" s="7"/>
      <c r="X1529" s="7"/>
    </row>
    <row r="1530" spans="2:24">
      <c r="B1530" s="7"/>
      <c r="D1530" s="7"/>
      <c r="F1530" s="7"/>
      <c r="H1530" s="7"/>
      <c r="J1530" s="7"/>
      <c r="L1530" s="7"/>
      <c r="N1530" s="7"/>
      <c r="P1530" s="7"/>
      <c r="R1530" s="7"/>
      <c r="T1530" s="7"/>
      <c r="V1530" s="7"/>
      <c r="X1530" s="7"/>
    </row>
    <row r="1531" spans="2:24">
      <c r="B1531" s="7"/>
      <c r="D1531" s="7"/>
      <c r="F1531" s="7"/>
      <c r="H1531" s="7"/>
      <c r="J1531" s="7"/>
      <c r="L1531" s="7"/>
      <c r="N1531" s="7"/>
      <c r="P1531" s="7"/>
      <c r="R1531" s="7"/>
      <c r="T1531" s="7"/>
      <c r="V1531" s="7"/>
      <c r="X1531" s="7"/>
    </row>
    <row r="1532" spans="2:24">
      <c r="B1532" s="7"/>
      <c r="D1532" s="7"/>
      <c r="F1532" s="7"/>
      <c r="H1532" s="7"/>
      <c r="J1532" s="7"/>
      <c r="L1532" s="7"/>
      <c r="N1532" s="7"/>
      <c r="P1532" s="7"/>
      <c r="R1532" s="7"/>
      <c r="T1532" s="7"/>
      <c r="V1532" s="7"/>
      <c r="X1532" s="7"/>
    </row>
    <row r="1533" spans="2:24">
      <c r="B1533" s="7"/>
      <c r="D1533" s="7"/>
      <c r="F1533" s="7"/>
      <c r="H1533" s="7"/>
      <c r="J1533" s="7"/>
      <c r="L1533" s="7"/>
      <c r="N1533" s="7"/>
      <c r="P1533" s="7"/>
      <c r="R1533" s="7"/>
      <c r="T1533" s="7"/>
      <c r="V1533" s="7"/>
      <c r="X1533" s="7"/>
    </row>
    <row r="1534" spans="2:24">
      <c r="B1534" s="7"/>
      <c r="D1534" s="7"/>
      <c r="F1534" s="7"/>
      <c r="H1534" s="7"/>
      <c r="J1534" s="7"/>
      <c r="L1534" s="7"/>
      <c r="N1534" s="7"/>
      <c r="P1534" s="7"/>
      <c r="R1534" s="7"/>
      <c r="T1534" s="7"/>
      <c r="V1534" s="7"/>
      <c r="X1534" s="7"/>
    </row>
    <row r="1535" spans="2:24">
      <c r="B1535" s="7"/>
      <c r="D1535" s="7"/>
      <c r="F1535" s="7"/>
      <c r="H1535" s="7"/>
      <c r="J1535" s="7"/>
      <c r="L1535" s="7"/>
      <c r="N1535" s="7"/>
      <c r="P1535" s="7"/>
      <c r="R1535" s="7"/>
      <c r="T1535" s="7"/>
      <c r="V1535" s="7"/>
      <c r="X1535" s="7"/>
    </row>
    <row r="1536" spans="2:24">
      <c r="B1536" s="7"/>
      <c r="D1536" s="7"/>
      <c r="F1536" s="7"/>
      <c r="H1536" s="7"/>
      <c r="J1536" s="7"/>
      <c r="L1536" s="7"/>
      <c r="N1536" s="7"/>
      <c r="P1536" s="7"/>
      <c r="R1536" s="7"/>
      <c r="T1536" s="7"/>
      <c r="V1536" s="7"/>
      <c r="X1536" s="7"/>
    </row>
    <row r="1537" spans="2:24">
      <c r="B1537" s="7"/>
      <c r="D1537" s="7"/>
      <c r="F1537" s="7"/>
      <c r="H1537" s="7"/>
      <c r="J1537" s="7"/>
      <c r="L1537" s="7"/>
      <c r="N1537" s="7"/>
      <c r="P1537" s="7"/>
      <c r="R1537" s="7"/>
      <c r="T1537" s="7"/>
      <c r="V1537" s="7"/>
      <c r="X1537" s="7"/>
    </row>
    <row r="1538" spans="2:24">
      <c r="B1538" s="7"/>
      <c r="D1538" s="7"/>
      <c r="F1538" s="7"/>
      <c r="H1538" s="7"/>
      <c r="J1538" s="7"/>
      <c r="L1538" s="7"/>
      <c r="N1538" s="7"/>
      <c r="P1538" s="7"/>
      <c r="R1538" s="7"/>
      <c r="T1538" s="7"/>
      <c r="V1538" s="7"/>
      <c r="X1538" s="7"/>
    </row>
    <row r="1539" spans="2:24">
      <c r="B1539" s="7"/>
      <c r="D1539" s="7"/>
      <c r="F1539" s="7"/>
      <c r="H1539" s="7"/>
      <c r="J1539" s="7"/>
      <c r="L1539" s="7"/>
      <c r="N1539" s="7"/>
      <c r="P1539" s="7"/>
      <c r="R1539" s="7"/>
      <c r="T1539" s="7"/>
      <c r="V1539" s="7"/>
      <c r="X1539" s="7"/>
    </row>
    <row r="1540" spans="2:24">
      <c r="B1540" s="7"/>
      <c r="D1540" s="7"/>
      <c r="F1540" s="7"/>
      <c r="H1540" s="7"/>
      <c r="J1540" s="7"/>
      <c r="L1540" s="7"/>
      <c r="N1540" s="7"/>
      <c r="P1540" s="7"/>
      <c r="R1540" s="7"/>
      <c r="T1540" s="7"/>
      <c r="V1540" s="7"/>
      <c r="X1540" s="7"/>
    </row>
    <row r="1541" spans="2:24">
      <c r="B1541" s="7"/>
      <c r="D1541" s="7"/>
      <c r="F1541" s="7"/>
      <c r="H1541" s="7"/>
      <c r="J1541" s="7"/>
      <c r="L1541" s="7"/>
      <c r="N1541" s="7"/>
      <c r="P1541" s="7"/>
      <c r="R1541" s="7"/>
      <c r="T1541" s="7"/>
      <c r="V1541" s="7"/>
      <c r="X1541" s="7"/>
    </row>
    <row r="1542" spans="2:24">
      <c r="B1542" s="7"/>
      <c r="D1542" s="7"/>
      <c r="F1542" s="7"/>
      <c r="H1542" s="7"/>
      <c r="J1542" s="7"/>
      <c r="L1542" s="7"/>
      <c r="N1542" s="7"/>
      <c r="P1542" s="7"/>
      <c r="R1542" s="7"/>
      <c r="T1542" s="7"/>
      <c r="V1542" s="7"/>
      <c r="X1542" s="7"/>
    </row>
    <row r="1543" spans="2:24">
      <c r="B1543" s="7"/>
      <c r="D1543" s="7"/>
      <c r="F1543" s="7"/>
      <c r="H1543" s="7"/>
      <c r="J1543" s="7"/>
      <c r="L1543" s="7"/>
      <c r="N1543" s="7"/>
      <c r="P1543" s="7"/>
      <c r="R1543" s="7"/>
      <c r="T1543" s="7"/>
      <c r="V1543" s="7"/>
      <c r="X1543" s="7"/>
    </row>
    <row r="1544" spans="2:24">
      <c r="B1544" s="7"/>
      <c r="D1544" s="7"/>
      <c r="F1544" s="7"/>
      <c r="H1544" s="7"/>
      <c r="J1544" s="7"/>
      <c r="L1544" s="7"/>
      <c r="N1544" s="7"/>
      <c r="P1544" s="7"/>
      <c r="R1544" s="7"/>
      <c r="T1544" s="7"/>
      <c r="V1544" s="7"/>
      <c r="X1544" s="7"/>
    </row>
    <row r="1545" spans="2:24">
      <c r="B1545" s="7"/>
      <c r="D1545" s="7"/>
      <c r="F1545" s="7"/>
      <c r="H1545" s="7"/>
      <c r="J1545" s="7"/>
      <c r="L1545" s="7"/>
      <c r="N1545" s="7"/>
      <c r="P1545" s="7"/>
      <c r="R1545" s="7"/>
      <c r="T1545" s="7"/>
      <c r="V1545" s="7"/>
      <c r="X1545" s="7"/>
    </row>
    <row r="1546" spans="2:24">
      <c r="B1546" s="7"/>
      <c r="D1546" s="7"/>
      <c r="F1546" s="7"/>
      <c r="H1546" s="7"/>
      <c r="J1546" s="7"/>
      <c r="L1546" s="7"/>
      <c r="N1546" s="7"/>
      <c r="P1546" s="7"/>
      <c r="R1546" s="7"/>
      <c r="T1546" s="7"/>
      <c r="V1546" s="7"/>
      <c r="X1546" s="7"/>
    </row>
    <row r="1547" spans="2:24">
      <c r="B1547" s="7"/>
      <c r="D1547" s="7"/>
      <c r="F1547" s="7"/>
      <c r="H1547" s="7"/>
      <c r="J1547" s="7"/>
      <c r="L1547" s="7"/>
      <c r="N1547" s="7"/>
      <c r="P1547" s="7"/>
      <c r="R1547" s="7"/>
      <c r="T1547" s="7"/>
      <c r="V1547" s="7"/>
      <c r="X1547" s="7"/>
    </row>
    <row r="1548" spans="2:24">
      <c r="B1548" s="7"/>
      <c r="D1548" s="7"/>
      <c r="F1548" s="7"/>
      <c r="H1548" s="7"/>
      <c r="J1548" s="7"/>
      <c r="L1548" s="7"/>
      <c r="N1548" s="7"/>
      <c r="P1548" s="7"/>
      <c r="R1548" s="7"/>
      <c r="T1548" s="7"/>
      <c r="V1548" s="7"/>
      <c r="X1548" s="7"/>
    </row>
    <row r="1549" spans="2:24">
      <c r="B1549" s="7"/>
      <c r="D1549" s="7"/>
      <c r="F1549" s="7"/>
      <c r="H1549" s="7"/>
      <c r="J1549" s="7"/>
      <c r="L1549" s="7"/>
      <c r="N1549" s="7"/>
      <c r="P1549" s="7"/>
      <c r="R1549" s="7"/>
      <c r="T1549" s="7"/>
      <c r="V1549" s="7"/>
      <c r="X1549" s="7"/>
    </row>
    <row r="1550" spans="2:24">
      <c r="B1550" s="7"/>
      <c r="D1550" s="7"/>
      <c r="F1550" s="7"/>
      <c r="H1550" s="7"/>
      <c r="J1550" s="7"/>
      <c r="L1550" s="7"/>
      <c r="N1550" s="7"/>
      <c r="P1550" s="7"/>
      <c r="R1550" s="7"/>
      <c r="T1550" s="7"/>
      <c r="V1550" s="7"/>
      <c r="X1550" s="7"/>
    </row>
    <row r="1551" spans="2:24">
      <c r="B1551" s="7"/>
      <c r="D1551" s="7"/>
      <c r="F1551" s="7"/>
      <c r="H1551" s="7"/>
      <c r="J1551" s="7"/>
      <c r="L1551" s="7"/>
      <c r="N1551" s="7"/>
      <c r="P1551" s="7"/>
      <c r="R1551" s="7"/>
      <c r="T1551" s="7"/>
      <c r="V1551" s="7"/>
      <c r="X1551" s="7"/>
    </row>
    <row r="1552" spans="2:24">
      <c r="B1552" s="7"/>
      <c r="D1552" s="7"/>
      <c r="F1552" s="7"/>
      <c r="H1552" s="7"/>
      <c r="J1552" s="7"/>
      <c r="L1552" s="7"/>
      <c r="N1552" s="7"/>
      <c r="P1552" s="7"/>
      <c r="R1552" s="7"/>
      <c r="T1552" s="7"/>
      <c r="V1552" s="7"/>
      <c r="X1552" s="7"/>
    </row>
    <row r="1553" spans="2:24">
      <c r="B1553" s="7"/>
      <c r="D1553" s="7"/>
      <c r="F1553" s="7"/>
      <c r="H1553" s="7"/>
      <c r="J1553" s="7"/>
      <c r="L1553" s="7"/>
      <c r="N1553" s="7"/>
      <c r="P1553" s="7"/>
      <c r="R1553" s="7"/>
      <c r="T1553" s="7"/>
      <c r="V1553" s="7"/>
      <c r="X1553" s="7"/>
    </row>
    <row r="1554" spans="2:24">
      <c r="B1554" s="7"/>
      <c r="D1554" s="7"/>
      <c r="F1554" s="7"/>
      <c r="H1554" s="7"/>
      <c r="J1554" s="7"/>
      <c r="L1554" s="7"/>
      <c r="N1554" s="7"/>
      <c r="P1554" s="7"/>
      <c r="R1554" s="7"/>
      <c r="T1554" s="7"/>
      <c r="V1554" s="7"/>
      <c r="X1554" s="7"/>
    </row>
    <row r="1555" spans="2:24">
      <c r="B1555" s="7"/>
      <c r="D1555" s="7"/>
      <c r="F1555" s="7"/>
      <c r="H1555" s="7"/>
      <c r="J1555" s="7"/>
      <c r="L1555" s="7"/>
      <c r="N1555" s="7"/>
      <c r="P1555" s="7"/>
      <c r="R1555" s="7"/>
      <c r="T1555" s="7"/>
      <c r="V1555" s="7"/>
      <c r="X1555" s="7"/>
    </row>
    <row r="1556" spans="2:24">
      <c r="B1556" s="7"/>
      <c r="D1556" s="7"/>
      <c r="F1556" s="7"/>
      <c r="H1556" s="7"/>
      <c r="J1556" s="7"/>
      <c r="L1556" s="7"/>
      <c r="N1556" s="7"/>
      <c r="P1556" s="7"/>
      <c r="R1556" s="7"/>
      <c r="T1556" s="7"/>
      <c r="V1556" s="7"/>
      <c r="X1556" s="7"/>
    </row>
    <row r="1557" spans="2:24">
      <c r="B1557" s="7"/>
      <c r="D1557" s="7"/>
      <c r="F1557" s="7"/>
      <c r="H1557" s="7"/>
      <c r="J1557" s="7"/>
      <c r="L1557" s="7"/>
      <c r="N1557" s="7"/>
      <c r="P1557" s="7"/>
      <c r="R1557" s="7"/>
      <c r="T1557" s="7"/>
      <c r="V1557" s="7"/>
      <c r="X1557" s="7"/>
    </row>
    <row r="1558" spans="2:24">
      <c r="B1558" s="7"/>
      <c r="D1558" s="7"/>
      <c r="F1558" s="7"/>
      <c r="H1558" s="7"/>
      <c r="J1558" s="7"/>
      <c r="L1558" s="7"/>
      <c r="N1558" s="7"/>
      <c r="P1558" s="7"/>
      <c r="R1558" s="7"/>
      <c r="T1558" s="7"/>
      <c r="V1558" s="7"/>
      <c r="X1558" s="7"/>
    </row>
    <row r="1559" spans="2:24">
      <c r="B1559" s="7"/>
      <c r="D1559" s="7"/>
      <c r="F1559" s="7"/>
      <c r="H1559" s="7"/>
      <c r="J1559" s="7"/>
      <c r="L1559" s="7"/>
      <c r="N1559" s="7"/>
      <c r="P1559" s="7"/>
      <c r="R1559" s="7"/>
      <c r="T1559" s="7"/>
      <c r="V1559" s="7"/>
      <c r="X1559" s="7"/>
    </row>
    <row r="1560" spans="2:24">
      <c r="B1560" s="7"/>
      <c r="D1560" s="7"/>
      <c r="F1560" s="7"/>
      <c r="H1560" s="7"/>
      <c r="J1560" s="7"/>
      <c r="L1560" s="7"/>
      <c r="N1560" s="7"/>
      <c r="P1560" s="7"/>
      <c r="R1560" s="7"/>
      <c r="T1560" s="7"/>
      <c r="V1560" s="7"/>
      <c r="X1560" s="7"/>
    </row>
    <row r="1561" spans="2:24">
      <c r="B1561" s="7"/>
      <c r="D1561" s="7"/>
      <c r="F1561" s="7"/>
      <c r="H1561" s="7"/>
      <c r="J1561" s="7"/>
      <c r="L1561" s="7"/>
      <c r="N1561" s="7"/>
      <c r="P1561" s="7"/>
      <c r="R1561" s="7"/>
      <c r="T1561" s="7"/>
      <c r="V1561" s="7"/>
      <c r="X1561" s="7"/>
    </row>
    <row r="1562" spans="2:24">
      <c r="B1562" s="7"/>
      <c r="D1562" s="7"/>
      <c r="F1562" s="7"/>
      <c r="H1562" s="7"/>
      <c r="J1562" s="7"/>
      <c r="L1562" s="7"/>
      <c r="N1562" s="7"/>
      <c r="P1562" s="7"/>
      <c r="R1562" s="7"/>
      <c r="T1562" s="7"/>
      <c r="V1562" s="7"/>
      <c r="X1562" s="7"/>
    </row>
    <row r="1563" spans="2:24">
      <c r="B1563" s="7"/>
      <c r="D1563" s="7"/>
      <c r="F1563" s="7"/>
      <c r="H1563" s="7"/>
      <c r="J1563" s="7"/>
      <c r="L1563" s="7"/>
      <c r="N1563" s="7"/>
      <c r="P1563" s="7"/>
      <c r="R1563" s="7"/>
      <c r="T1563" s="7"/>
      <c r="V1563" s="7"/>
      <c r="X1563" s="7"/>
    </row>
    <row r="1564" spans="2:24">
      <c r="B1564" s="7"/>
      <c r="D1564" s="7"/>
      <c r="F1564" s="7"/>
      <c r="H1564" s="7"/>
      <c r="J1564" s="7"/>
      <c r="L1564" s="7"/>
      <c r="N1564" s="7"/>
      <c r="P1564" s="7"/>
      <c r="R1564" s="7"/>
      <c r="T1564" s="7"/>
      <c r="V1564" s="7"/>
      <c r="X1564" s="7"/>
    </row>
    <row r="1565" spans="2:24">
      <c r="B1565" s="7"/>
      <c r="D1565" s="7"/>
      <c r="F1565" s="7"/>
      <c r="H1565" s="7"/>
      <c r="J1565" s="7"/>
      <c r="L1565" s="7"/>
      <c r="N1565" s="7"/>
      <c r="P1565" s="7"/>
      <c r="R1565" s="7"/>
      <c r="T1565" s="7"/>
      <c r="V1565" s="7"/>
      <c r="X1565" s="7"/>
    </row>
    <row r="1566" spans="2:24">
      <c r="B1566" s="7"/>
      <c r="D1566" s="7"/>
      <c r="F1566" s="7"/>
      <c r="H1566" s="7"/>
      <c r="J1566" s="7"/>
      <c r="L1566" s="7"/>
      <c r="N1566" s="7"/>
      <c r="P1566" s="7"/>
      <c r="R1566" s="7"/>
      <c r="T1566" s="7"/>
      <c r="V1566" s="7"/>
      <c r="X1566" s="7"/>
    </row>
    <row r="1567" spans="2:24">
      <c r="B1567" s="7"/>
      <c r="D1567" s="7"/>
      <c r="F1567" s="7"/>
      <c r="H1567" s="7"/>
      <c r="J1567" s="7"/>
      <c r="L1567" s="7"/>
      <c r="N1567" s="7"/>
      <c r="P1567" s="7"/>
      <c r="R1567" s="7"/>
      <c r="T1567" s="7"/>
      <c r="V1567" s="7"/>
      <c r="X1567" s="7"/>
    </row>
    <row r="1568" spans="2:24">
      <c r="B1568" s="7"/>
      <c r="D1568" s="7"/>
      <c r="F1568" s="7"/>
      <c r="H1568" s="7"/>
      <c r="J1568" s="7"/>
      <c r="L1568" s="7"/>
      <c r="N1568" s="7"/>
      <c r="P1568" s="7"/>
      <c r="R1568" s="7"/>
      <c r="T1568" s="7"/>
      <c r="V1568" s="7"/>
      <c r="X1568" s="7"/>
    </row>
    <row r="1569" spans="2:24">
      <c r="B1569" s="7"/>
      <c r="D1569" s="7"/>
      <c r="F1569" s="7"/>
      <c r="H1569" s="7"/>
      <c r="J1569" s="7"/>
      <c r="L1569" s="7"/>
      <c r="N1569" s="7"/>
      <c r="P1569" s="7"/>
      <c r="R1569" s="7"/>
      <c r="T1569" s="7"/>
      <c r="V1569" s="7"/>
      <c r="X1569" s="7"/>
    </row>
    <row r="1570" spans="2:24">
      <c r="B1570" s="7"/>
      <c r="D1570" s="7"/>
      <c r="F1570" s="7"/>
      <c r="H1570" s="7"/>
      <c r="J1570" s="7"/>
      <c r="L1570" s="7"/>
      <c r="N1570" s="7"/>
      <c r="P1570" s="7"/>
      <c r="R1570" s="7"/>
      <c r="T1570" s="7"/>
      <c r="V1570" s="7"/>
      <c r="X1570" s="7"/>
    </row>
    <row r="1571" spans="2:24">
      <c r="B1571" s="7"/>
      <c r="D1571" s="7"/>
      <c r="F1571" s="7"/>
      <c r="H1571" s="7"/>
      <c r="J1571" s="7"/>
      <c r="L1571" s="7"/>
      <c r="N1571" s="7"/>
      <c r="P1571" s="7"/>
      <c r="R1571" s="7"/>
      <c r="T1571" s="7"/>
      <c r="V1571" s="7"/>
      <c r="X1571" s="7"/>
    </row>
    <row r="1572" spans="2:24">
      <c r="B1572" s="7"/>
      <c r="D1572" s="7"/>
      <c r="F1572" s="7"/>
      <c r="H1572" s="7"/>
      <c r="J1572" s="7"/>
      <c r="L1572" s="7"/>
      <c r="N1572" s="7"/>
      <c r="P1572" s="7"/>
      <c r="R1572" s="7"/>
      <c r="T1572" s="7"/>
      <c r="V1572" s="7"/>
      <c r="X1572" s="7"/>
    </row>
    <row r="1573" spans="2:24">
      <c r="B1573" s="7"/>
      <c r="D1573" s="7"/>
      <c r="F1573" s="7"/>
      <c r="H1573" s="7"/>
      <c r="J1573" s="7"/>
      <c r="L1573" s="7"/>
      <c r="N1573" s="7"/>
      <c r="P1573" s="7"/>
      <c r="R1573" s="7"/>
      <c r="T1573" s="7"/>
      <c r="V1573" s="7"/>
      <c r="X1573" s="7"/>
    </row>
    <row r="1574" spans="2:24">
      <c r="B1574" s="7"/>
      <c r="D1574" s="7"/>
      <c r="F1574" s="7"/>
      <c r="H1574" s="7"/>
      <c r="J1574" s="7"/>
      <c r="L1574" s="7"/>
      <c r="N1574" s="7"/>
      <c r="P1574" s="7"/>
      <c r="R1574" s="7"/>
      <c r="T1574" s="7"/>
      <c r="V1574" s="7"/>
      <c r="X1574" s="7"/>
    </row>
    <row r="1575" spans="2:24">
      <c r="B1575" s="7"/>
      <c r="D1575" s="7"/>
      <c r="F1575" s="7"/>
      <c r="H1575" s="7"/>
      <c r="J1575" s="7"/>
      <c r="L1575" s="7"/>
      <c r="N1575" s="7"/>
      <c r="P1575" s="7"/>
      <c r="R1575" s="7"/>
      <c r="T1575" s="7"/>
      <c r="V1575" s="7"/>
      <c r="X1575" s="7"/>
    </row>
    <row r="1576" spans="2:24">
      <c r="B1576" s="7"/>
      <c r="D1576" s="7"/>
      <c r="F1576" s="7"/>
      <c r="H1576" s="7"/>
      <c r="J1576" s="7"/>
      <c r="L1576" s="7"/>
      <c r="N1576" s="7"/>
      <c r="P1576" s="7"/>
      <c r="R1576" s="7"/>
      <c r="T1576" s="7"/>
      <c r="V1576" s="7"/>
      <c r="X1576" s="7"/>
    </row>
    <row r="1577" spans="2:24">
      <c r="B1577" s="7"/>
      <c r="D1577" s="7"/>
      <c r="F1577" s="7"/>
      <c r="H1577" s="7"/>
      <c r="J1577" s="7"/>
      <c r="L1577" s="7"/>
      <c r="N1577" s="7"/>
      <c r="P1577" s="7"/>
      <c r="R1577" s="7"/>
      <c r="T1577" s="7"/>
      <c r="V1577" s="7"/>
      <c r="X1577" s="7"/>
    </row>
    <row r="1578" spans="2:24">
      <c r="B1578" s="7"/>
      <c r="D1578" s="7"/>
      <c r="F1578" s="7"/>
      <c r="H1578" s="7"/>
      <c r="J1578" s="7"/>
      <c r="L1578" s="7"/>
      <c r="N1578" s="7"/>
      <c r="P1578" s="7"/>
      <c r="R1578" s="7"/>
      <c r="T1578" s="7"/>
      <c r="V1578" s="7"/>
      <c r="X1578" s="7"/>
    </row>
    <row r="1579" spans="2:24">
      <c r="B1579" s="7"/>
      <c r="D1579" s="7"/>
      <c r="F1579" s="7"/>
      <c r="H1579" s="7"/>
      <c r="J1579" s="7"/>
      <c r="L1579" s="7"/>
      <c r="N1579" s="7"/>
      <c r="P1579" s="7"/>
      <c r="R1579" s="7"/>
      <c r="T1579" s="7"/>
      <c r="V1579" s="7"/>
      <c r="X1579" s="7"/>
    </row>
    <row r="1580" spans="2:24">
      <c r="B1580" s="7"/>
      <c r="D1580" s="7"/>
      <c r="F1580" s="7"/>
      <c r="H1580" s="7"/>
      <c r="J1580" s="7"/>
      <c r="L1580" s="7"/>
      <c r="N1580" s="7"/>
      <c r="P1580" s="7"/>
      <c r="R1580" s="7"/>
      <c r="T1580" s="7"/>
      <c r="V1580" s="7"/>
      <c r="X1580" s="7"/>
    </row>
    <row r="1581" spans="2:24">
      <c r="B1581" s="7"/>
      <c r="D1581" s="7"/>
      <c r="F1581" s="7"/>
      <c r="H1581" s="7"/>
      <c r="J1581" s="7"/>
      <c r="L1581" s="7"/>
      <c r="N1581" s="7"/>
      <c r="P1581" s="7"/>
      <c r="R1581" s="7"/>
      <c r="T1581" s="7"/>
      <c r="V1581" s="7"/>
      <c r="X1581" s="7"/>
    </row>
    <row r="1582" spans="2:24">
      <c r="B1582" s="7"/>
      <c r="D1582" s="7"/>
      <c r="F1582" s="7"/>
      <c r="H1582" s="7"/>
      <c r="J1582" s="7"/>
      <c r="L1582" s="7"/>
      <c r="N1582" s="7"/>
      <c r="P1582" s="7"/>
      <c r="R1582" s="7"/>
      <c r="T1582" s="7"/>
      <c r="V1582" s="7"/>
      <c r="X1582" s="7"/>
    </row>
    <row r="1583" spans="2:24">
      <c r="B1583" s="7"/>
      <c r="D1583" s="7"/>
      <c r="F1583" s="7"/>
      <c r="H1583" s="7"/>
      <c r="J1583" s="7"/>
      <c r="L1583" s="7"/>
      <c r="N1583" s="7"/>
      <c r="P1583" s="7"/>
      <c r="R1583" s="7"/>
      <c r="T1583" s="7"/>
      <c r="V1583" s="7"/>
      <c r="X1583" s="7"/>
    </row>
    <row r="1584" spans="2:24">
      <c r="B1584" s="7"/>
      <c r="D1584" s="7"/>
      <c r="F1584" s="7"/>
      <c r="H1584" s="7"/>
      <c r="J1584" s="7"/>
      <c r="L1584" s="7"/>
      <c r="N1584" s="7"/>
      <c r="P1584" s="7"/>
      <c r="R1584" s="7"/>
      <c r="T1584" s="7"/>
      <c r="V1584" s="7"/>
      <c r="X1584" s="7"/>
    </row>
    <row r="1585" spans="2:24">
      <c r="B1585" s="7"/>
      <c r="D1585" s="7"/>
      <c r="F1585" s="7"/>
      <c r="H1585" s="7"/>
      <c r="J1585" s="7"/>
      <c r="L1585" s="7"/>
      <c r="N1585" s="7"/>
      <c r="P1585" s="7"/>
      <c r="R1585" s="7"/>
      <c r="T1585" s="7"/>
      <c r="V1585" s="7"/>
      <c r="X1585" s="7"/>
    </row>
    <row r="1586" spans="2:24">
      <c r="B1586" s="7"/>
      <c r="D1586" s="7"/>
      <c r="F1586" s="7"/>
      <c r="H1586" s="7"/>
      <c r="J1586" s="7"/>
      <c r="L1586" s="7"/>
      <c r="N1586" s="7"/>
      <c r="P1586" s="7"/>
      <c r="R1586" s="7"/>
      <c r="T1586" s="7"/>
      <c r="V1586" s="7"/>
      <c r="X1586" s="7"/>
    </row>
    <row r="1587" spans="2:24">
      <c r="B1587" s="7"/>
      <c r="D1587" s="7"/>
      <c r="F1587" s="7"/>
      <c r="H1587" s="7"/>
      <c r="J1587" s="7"/>
      <c r="L1587" s="7"/>
      <c r="N1587" s="7"/>
      <c r="P1587" s="7"/>
      <c r="R1587" s="7"/>
      <c r="T1587" s="7"/>
      <c r="V1587" s="7"/>
      <c r="X1587" s="7"/>
    </row>
    <row r="1588" spans="2:24">
      <c r="B1588" s="7"/>
      <c r="D1588" s="7"/>
      <c r="F1588" s="7"/>
      <c r="H1588" s="7"/>
      <c r="J1588" s="7"/>
      <c r="L1588" s="7"/>
      <c r="N1588" s="7"/>
      <c r="P1588" s="7"/>
      <c r="R1588" s="7"/>
      <c r="T1588" s="7"/>
      <c r="V1588" s="7"/>
      <c r="X1588" s="7"/>
    </row>
    <row r="1589" spans="2:24">
      <c r="B1589" s="7"/>
      <c r="D1589" s="7"/>
      <c r="F1589" s="7"/>
      <c r="H1589" s="7"/>
      <c r="J1589" s="7"/>
      <c r="L1589" s="7"/>
      <c r="N1589" s="7"/>
      <c r="P1589" s="7"/>
      <c r="R1589" s="7"/>
      <c r="T1589" s="7"/>
      <c r="V1589" s="7"/>
      <c r="X1589" s="7"/>
    </row>
    <row r="1590" spans="2:24">
      <c r="B1590" s="7"/>
      <c r="D1590" s="7"/>
      <c r="F1590" s="7"/>
      <c r="H1590" s="7"/>
      <c r="J1590" s="7"/>
      <c r="L1590" s="7"/>
      <c r="N1590" s="7"/>
      <c r="P1590" s="7"/>
      <c r="R1590" s="7"/>
      <c r="T1590" s="7"/>
      <c r="V1590" s="7"/>
      <c r="X1590" s="7"/>
    </row>
    <row r="1591" spans="2:24">
      <c r="B1591" s="7"/>
      <c r="D1591" s="7"/>
      <c r="F1591" s="7"/>
      <c r="H1591" s="7"/>
      <c r="J1591" s="7"/>
      <c r="L1591" s="7"/>
      <c r="N1591" s="7"/>
      <c r="P1591" s="7"/>
      <c r="R1591" s="7"/>
      <c r="T1591" s="7"/>
      <c r="V1591" s="7"/>
      <c r="X1591" s="7"/>
    </row>
    <row r="1592" spans="2:24">
      <c r="B1592" s="7"/>
      <c r="D1592" s="7"/>
      <c r="F1592" s="7"/>
      <c r="H1592" s="7"/>
      <c r="J1592" s="7"/>
      <c r="L1592" s="7"/>
      <c r="N1592" s="7"/>
      <c r="P1592" s="7"/>
      <c r="R1592" s="7"/>
      <c r="T1592" s="7"/>
      <c r="V1592" s="7"/>
      <c r="X1592" s="7"/>
    </row>
    <row r="1593" spans="2:24">
      <c r="B1593" s="7"/>
      <c r="D1593" s="7"/>
      <c r="F1593" s="7"/>
      <c r="H1593" s="7"/>
      <c r="J1593" s="7"/>
      <c r="L1593" s="7"/>
      <c r="N1593" s="7"/>
      <c r="P1593" s="7"/>
      <c r="R1593" s="7"/>
      <c r="T1593" s="7"/>
      <c r="V1593" s="7"/>
      <c r="X1593" s="7"/>
    </row>
    <row r="1594" spans="2:24">
      <c r="B1594" s="7"/>
      <c r="D1594" s="7"/>
      <c r="F1594" s="7"/>
      <c r="H1594" s="7"/>
      <c r="J1594" s="7"/>
      <c r="L1594" s="7"/>
      <c r="N1594" s="7"/>
      <c r="P1594" s="7"/>
      <c r="R1594" s="7"/>
      <c r="T1594" s="7"/>
      <c r="V1594" s="7"/>
      <c r="X1594" s="7"/>
    </row>
    <row r="1595" spans="2:24">
      <c r="B1595" s="7"/>
      <c r="D1595" s="7"/>
      <c r="F1595" s="7"/>
      <c r="H1595" s="7"/>
      <c r="J1595" s="7"/>
      <c r="L1595" s="7"/>
      <c r="N1595" s="7"/>
      <c r="P1595" s="7"/>
      <c r="R1595" s="7"/>
      <c r="T1595" s="7"/>
      <c r="V1595" s="7"/>
      <c r="X1595" s="7"/>
    </row>
    <row r="1596" spans="2:24">
      <c r="B1596" s="7"/>
      <c r="D1596" s="7"/>
      <c r="F1596" s="7"/>
      <c r="H1596" s="7"/>
      <c r="J1596" s="7"/>
      <c r="L1596" s="7"/>
      <c r="N1596" s="7"/>
      <c r="P1596" s="7"/>
      <c r="R1596" s="7"/>
      <c r="T1596" s="7"/>
      <c r="V1596" s="7"/>
      <c r="X1596" s="7"/>
    </row>
    <row r="1597" spans="2:24">
      <c r="B1597" s="7"/>
      <c r="D1597" s="7"/>
      <c r="F1597" s="7"/>
      <c r="H1597" s="7"/>
      <c r="J1597" s="7"/>
      <c r="L1597" s="7"/>
      <c r="N1597" s="7"/>
      <c r="P1597" s="7"/>
      <c r="R1597" s="7"/>
      <c r="T1597" s="7"/>
      <c r="V1597" s="7"/>
      <c r="X1597" s="7"/>
    </row>
    <row r="1598" spans="2:24">
      <c r="B1598" s="7"/>
      <c r="D1598" s="7"/>
      <c r="F1598" s="7"/>
      <c r="H1598" s="7"/>
      <c r="J1598" s="7"/>
      <c r="L1598" s="7"/>
      <c r="N1598" s="7"/>
      <c r="P1598" s="7"/>
      <c r="R1598" s="7"/>
      <c r="T1598" s="7"/>
      <c r="V1598" s="7"/>
      <c r="X1598" s="7"/>
    </row>
    <row r="1599" spans="2:24">
      <c r="B1599" s="7"/>
      <c r="D1599" s="7"/>
      <c r="F1599" s="7"/>
      <c r="H1599" s="7"/>
      <c r="J1599" s="7"/>
      <c r="L1599" s="7"/>
      <c r="N1599" s="7"/>
      <c r="P1599" s="7"/>
      <c r="R1599" s="7"/>
      <c r="T1599" s="7"/>
      <c r="V1599" s="7"/>
      <c r="X1599" s="7"/>
    </row>
    <row r="1600" spans="2:24">
      <c r="B1600" s="7"/>
      <c r="D1600" s="7"/>
      <c r="F1600" s="7"/>
      <c r="H1600" s="7"/>
      <c r="J1600" s="7"/>
      <c r="L1600" s="7"/>
      <c r="N1600" s="7"/>
      <c r="P1600" s="7"/>
      <c r="R1600" s="7"/>
      <c r="T1600" s="7"/>
      <c r="V1600" s="7"/>
      <c r="X1600" s="7"/>
    </row>
    <row r="1601" spans="2:24">
      <c r="B1601" s="7"/>
      <c r="D1601" s="7"/>
      <c r="F1601" s="7"/>
      <c r="H1601" s="7"/>
      <c r="J1601" s="7"/>
      <c r="L1601" s="7"/>
      <c r="N1601" s="7"/>
      <c r="P1601" s="7"/>
      <c r="R1601" s="7"/>
      <c r="T1601" s="7"/>
      <c r="V1601" s="7"/>
      <c r="X1601" s="7"/>
    </row>
    <row r="1602" spans="2:24">
      <c r="B1602" s="7"/>
      <c r="D1602" s="7"/>
      <c r="F1602" s="7"/>
      <c r="H1602" s="7"/>
      <c r="J1602" s="7"/>
      <c r="L1602" s="7"/>
      <c r="N1602" s="7"/>
      <c r="P1602" s="7"/>
      <c r="R1602" s="7"/>
      <c r="T1602" s="7"/>
      <c r="V1602" s="7"/>
      <c r="X1602" s="7"/>
    </row>
    <row r="1603" spans="2:24">
      <c r="B1603" s="7"/>
      <c r="D1603" s="7"/>
      <c r="F1603" s="7"/>
      <c r="H1603" s="7"/>
      <c r="J1603" s="7"/>
      <c r="L1603" s="7"/>
      <c r="N1603" s="7"/>
      <c r="P1603" s="7"/>
      <c r="R1603" s="7"/>
      <c r="T1603" s="7"/>
      <c r="V1603" s="7"/>
      <c r="X1603" s="7"/>
    </row>
    <row r="1604" spans="2:24">
      <c r="B1604" s="7"/>
      <c r="D1604" s="7"/>
      <c r="F1604" s="7"/>
      <c r="H1604" s="7"/>
      <c r="J1604" s="7"/>
      <c r="L1604" s="7"/>
      <c r="N1604" s="7"/>
      <c r="P1604" s="7"/>
      <c r="R1604" s="7"/>
      <c r="T1604" s="7"/>
      <c r="V1604" s="7"/>
      <c r="X1604" s="7"/>
    </row>
    <row r="1605" spans="2:24">
      <c r="B1605" s="7"/>
      <c r="D1605" s="7"/>
      <c r="F1605" s="7"/>
      <c r="H1605" s="7"/>
      <c r="J1605" s="7"/>
      <c r="L1605" s="7"/>
      <c r="N1605" s="7"/>
      <c r="P1605" s="7"/>
      <c r="R1605" s="7"/>
      <c r="T1605" s="7"/>
      <c r="V1605" s="7"/>
      <c r="X1605" s="7"/>
    </row>
    <row r="1606" spans="2:24">
      <c r="B1606" s="7"/>
      <c r="D1606" s="7"/>
      <c r="F1606" s="7"/>
      <c r="H1606" s="7"/>
      <c r="J1606" s="7"/>
      <c r="L1606" s="7"/>
      <c r="N1606" s="7"/>
      <c r="P1606" s="7"/>
      <c r="R1606" s="7"/>
      <c r="T1606" s="7"/>
      <c r="V1606" s="7"/>
      <c r="X1606" s="7"/>
    </row>
    <row r="1607" spans="2:24">
      <c r="B1607" s="7"/>
      <c r="D1607" s="7"/>
      <c r="F1607" s="7"/>
      <c r="H1607" s="7"/>
      <c r="J1607" s="7"/>
      <c r="L1607" s="7"/>
      <c r="N1607" s="7"/>
      <c r="P1607" s="7"/>
      <c r="R1607" s="7"/>
      <c r="T1607" s="7"/>
      <c r="V1607" s="7"/>
      <c r="X1607" s="7"/>
    </row>
    <row r="1608" spans="2:24">
      <c r="B1608" s="7"/>
      <c r="D1608" s="7"/>
      <c r="F1608" s="7"/>
      <c r="H1608" s="7"/>
      <c r="J1608" s="7"/>
      <c r="L1608" s="7"/>
      <c r="N1608" s="7"/>
      <c r="P1608" s="7"/>
      <c r="R1608" s="7"/>
      <c r="T1608" s="7"/>
      <c r="V1608" s="7"/>
      <c r="X1608" s="7"/>
    </row>
    <row r="1609" spans="2:24">
      <c r="B1609" s="7"/>
      <c r="D1609" s="7"/>
      <c r="F1609" s="7"/>
      <c r="H1609" s="7"/>
      <c r="J1609" s="7"/>
      <c r="L1609" s="7"/>
      <c r="N1609" s="7"/>
      <c r="P1609" s="7"/>
      <c r="R1609" s="7"/>
      <c r="T1609" s="7"/>
      <c r="V1609" s="7"/>
      <c r="X1609" s="7"/>
    </row>
    <row r="1610" spans="2:24">
      <c r="B1610" s="7"/>
      <c r="D1610" s="7"/>
      <c r="F1610" s="7"/>
      <c r="H1610" s="7"/>
      <c r="J1610" s="7"/>
      <c r="L1610" s="7"/>
      <c r="N1610" s="7"/>
      <c r="P1610" s="7"/>
      <c r="R1610" s="7"/>
      <c r="T1610" s="7"/>
      <c r="V1610" s="7"/>
      <c r="X1610" s="7"/>
    </row>
    <row r="1611" spans="2:24">
      <c r="B1611" s="7"/>
      <c r="D1611" s="7"/>
      <c r="F1611" s="7"/>
      <c r="H1611" s="7"/>
      <c r="J1611" s="7"/>
      <c r="L1611" s="7"/>
      <c r="N1611" s="7"/>
      <c r="P1611" s="7"/>
      <c r="R1611" s="7"/>
      <c r="T1611" s="7"/>
      <c r="V1611" s="7"/>
      <c r="X1611" s="7"/>
    </row>
    <row r="1612" spans="2:24">
      <c r="B1612" s="7"/>
      <c r="D1612" s="7"/>
      <c r="F1612" s="7"/>
      <c r="H1612" s="7"/>
      <c r="J1612" s="7"/>
      <c r="L1612" s="7"/>
      <c r="N1612" s="7"/>
      <c r="P1612" s="7"/>
      <c r="R1612" s="7"/>
      <c r="T1612" s="7"/>
      <c r="V1612" s="7"/>
      <c r="X1612" s="7"/>
    </row>
    <row r="1613" spans="2:24">
      <c r="B1613" s="7"/>
      <c r="D1613" s="7"/>
      <c r="F1613" s="7"/>
      <c r="H1613" s="7"/>
      <c r="J1613" s="7"/>
      <c r="L1613" s="7"/>
      <c r="N1613" s="7"/>
      <c r="P1613" s="7"/>
      <c r="R1613" s="7"/>
      <c r="T1613" s="7"/>
      <c r="V1613" s="7"/>
      <c r="X1613" s="7"/>
    </row>
    <row r="1614" spans="2:24">
      <c r="B1614" s="7"/>
      <c r="D1614" s="7"/>
      <c r="F1614" s="7"/>
      <c r="H1614" s="7"/>
      <c r="J1614" s="7"/>
      <c r="L1614" s="7"/>
      <c r="N1614" s="7"/>
      <c r="P1614" s="7"/>
      <c r="R1614" s="7"/>
      <c r="T1614" s="7"/>
      <c r="V1614" s="7"/>
      <c r="X1614" s="7"/>
    </row>
    <row r="1615" spans="2:24">
      <c r="B1615" s="7"/>
      <c r="D1615" s="7"/>
      <c r="F1615" s="7"/>
      <c r="H1615" s="7"/>
      <c r="J1615" s="7"/>
      <c r="L1615" s="7"/>
      <c r="N1615" s="7"/>
      <c r="P1615" s="7"/>
      <c r="R1615" s="7"/>
      <c r="T1615" s="7"/>
      <c r="V1615" s="7"/>
      <c r="X1615" s="7"/>
    </row>
    <row r="1616" spans="2:24">
      <c r="B1616" s="7"/>
      <c r="D1616" s="7"/>
      <c r="F1616" s="7"/>
      <c r="H1616" s="7"/>
      <c r="J1616" s="7"/>
      <c r="L1616" s="7"/>
      <c r="N1616" s="7"/>
      <c r="P1616" s="7"/>
      <c r="R1616" s="7"/>
      <c r="T1616" s="7"/>
      <c r="V1616" s="7"/>
      <c r="X1616" s="7"/>
    </row>
    <row r="1617" spans="2:24">
      <c r="B1617" s="7"/>
      <c r="D1617" s="7"/>
      <c r="F1617" s="7"/>
      <c r="H1617" s="7"/>
      <c r="J1617" s="7"/>
      <c r="L1617" s="7"/>
      <c r="N1617" s="7"/>
      <c r="P1617" s="7"/>
      <c r="R1617" s="7"/>
      <c r="T1617" s="7"/>
      <c r="V1617" s="7"/>
      <c r="X1617" s="7"/>
    </row>
    <row r="1618" spans="2:24">
      <c r="B1618" s="7"/>
      <c r="D1618" s="7"/>
      <c r="F1618" s="7"/>
      <c r="H1618" s="7"/>
      <c r="J1618" s="7"/>
      <c r="L1618" s="7"/>
      <c r="N1618" s="7"/>
      <c r="P1618" s="7"/>
      <c r="R1618" s="7"/>
      <c r="T1618" s="7"/>
      <c r="V1618" s="7"/>
      <c r="X1618" s="7"/>
    </row>
    <row r="1619" spans="2:24">
      <c r="B1619" s="7"/>
      <c r="D1619" s="7"/>
      <c r="F1619" s="7"/>
      <c r="H1619" s="7"/>
      <c r="J1619" s="7"/>
      <c r="L1619" s="7"/>
      <c r="N1619" s="7"/>
      <c r="P1619" s="7"/>
      <c r="R1619" s="7"/>
      <c r="T1619" s="7"/>
      <c r="V1619" s="7"/>
      <c r="X1619" s="7"/>
    </row>
    <row r="1620" spans="2:24">
      <c r="B1620" s="7"/>
      <c r="D1620" s="7"/>
      <c r="F1620" s="7"/>
      <c r="H1620" s="7"/>
      <c r="J1620" s="7"/>
      <c r="L1620" s="7"/>
      <c r="N1620" s="7"/>
      <c r="P1620" s="7"/>
      <c r="R1620" s="7"/>
      <c r="T1620" s="7"/>
      <c r="V1620" s="7"/>
      <c r="X1620" s="7"/>
    </row>
    <row r="1621" spans="2:24">
      <c r="B1621" s="7"/>
      <c r="D1621" s="7"/>
      <c r="F1621" s="7"/>
      <c r="H1621" s="7"/>
      <c r="J1621" s="7"/>
      <c r="L1621" s="7"/>
      <c r="N1621" s="7"/>
      <c r="P1621" s="7"/>
      <c r="R1621" s="7"/>
      <c r="T1621" s="7"/>
      <c r="V1621" s="7"/>
      <c r="X1621" s="7"/>
    </row>
    <row r="1622" spans="2:24">
      <c r="B1622" s="7"/>
      <c r="D1622" s="7"/>
      <c r="F1622" s="7"/>
      <c r="H1622" s="7"/>
      <c r="J1622" s="7"/>
      <c r="L1622" s="7"/>
      <c r="N1622" s="7"/>
      <c r="P1622" s="7"/>
      <c r="R1622" s="7"/>
      <c r="T1622" s="7"/>
      <c r="V1622" s="7"/>
      <c r="X1622" s="7"/>
    </row>
    <row r="1623" spans="2:24">
      <c r="B1623" s="7"/>
      <c r="D1623" s="7"/>
      <c r="F1623" s="7"/>
      <c r="H1623" s="7"/>
      <c r="J1623" s="7"/>
      <c r="L1623" s="7"/>
      <c r="N1623" s="7"/>
      <c r="P1623" s="7"/>
      <c r="R1623" s="7"/>
      <c r="T1623" s="7"/>
      <c r="V1623" s="7"/>
      <c r="X1623" s="7"/>
    </row>
    <row r="1624" spans="2:24">
      <c r="B1624" s="7"/>
      <c r="D1624" s="7"/>
      <c r="F1624" s="7"/>
      <c r="H1624" s="7"/>
      <c r="J1624" s="7"/>
      <c r="L1624" s="7"/>
      <c r="N1624" s="7"/>
      <c r="P1624" s="7"/>
      <c r="R1624" s="7"/>
      <c r="T1624" s="7"/>
      <c r="V1624" s="7"/>
      <c r="X1624" s="7"/>
    </row>
    <row r="1625" spans="2:24">
      <c r="B1625" s="7"/>
      <c r="D1625" s="7"/>
      <c r="F1625" s="7"/>
      <c r="H1625" s="7"/>
      <c r="J1625" s="7"/>
      <c r="L1625" s="7"/>
      <c r="N1625" s="7"/>
      <c r="P1625" s="7"/>
      <c r="R1625" s="7"/>
      <c r="T1625" s="7"/>
      <c r="V1625" s="7"/>
      <c r="X1625" s="7"/>
    </row>
    <row r="1626" spans="2:24">
      <c r="B1626" s="7"/>
      <c r="D1626" s="7"/>
      <c r="F1626" s="7"/>
      <c r="H1626" s="7"/>
      <c r="J1626" s="7"/>
      <c r="L1626" s="7"/>
      <c r="N1626" s="7"/>
      <c r="P1626" s="7"/>
      <c r="R1626" s="7"/>
      <c r="T1626" s="7"/>
      <c r="V1626" s="7"/>
      <c r="X1626" s="7"/>
    </row>
    <row r="1627" spans="2:24">
      <c r="B1627" s="7"/>
      <c r="D1627" s="7"/>
      <c r="F1627" s="7"/>
      <c r="H1627" s="7"/>
      <c r="J1627" s="7"/>
      <c r="L1627" s="7"/>
      <c r="N1627" s="7"/>
      <c r="P1627" s="7"/>
      <c r="R1627" s="7"/>
      <c r="T1627" s="7"/>
      <c r="V1627" s="7"/>
      <c r="X1627" s="7"/>
    </row>
    <row r="1628" spans="2:24">
      <c r="B1628" s="7"/>
      <c r="D1628" s="7"/>
      <c r="F1628" s="7"/>
      <c r="H1628" s="7"/>
      <c r="J1628" s="7"/>
      <c r="L1628" s="7"/>
      <c r="N1628" s="7"/>
      <c r="P1628" s="7"/>
      <c r="R1628" s="7"/>
      <c r="T1628" s="7"/>
      <c r="V1628" s="7"/>
      <c r="X1628" s="7"/>
    </row>
    <row r="1629" spans="2:24">
      <c r="B1629" s="7"/>
      <c r="D1629" s="7"/>
      <c r="F1629" s="7"/>
      <c r="H1629" s="7"/>
      <c r="J1629" s="7"/>
      <c r="L1629" s="7"/>
      <c r="N1629" s="7"/>
      <c r="P1629" s="7"/>
      <c r="R1629" s="7"/>
      <c r="T1629" s="7"/>
      <c r="V1629" s="7"/>
      <c r="X1629" s="7"/>
    </row>
    <row r="1630" spans="2:24">
      <c r="B1630" s="7"/>
      <c r="D1630" s="7"/>
      <c r="F1630" s="7"/>
      <c r="H1630" s="7"/>
      <c r="J1630" s="7"/>
      <c r="L1630" s="7"/>
      <c r="N1630" s="7"/>
      <c r="P1630" s="7"/>
      <c r="R1630" s="7"/>
      <c r="T1630" s="7"/>
      <c r="V1630" s="7"/>
      <c r="X1630" s="7"/>
    </row>
    <row r="1631" spans="2:24">
      <c r="B1631" s="7"/>
      <c r="D1631" s="7"/>
      <c r="F1631" s="7"/>
      <c r="H1631" s="7"/>
      <c r="J1631" s="7"/>
      <c r="L1631" s="7"/>
      <c r="N1631" s="7"/>
      <c r="P1631" s="7"/>
      <c r="R1631" s="7"/>
      <c r="T1631" s="7"/>
      <c r="V1631" s="7"/>
      <c r="X1631" s="7"/>
    </row>
    <row r="1632" spans="2:24">
      <c r="B1632" s="7"/>
      <c r="D1632" s="7"/>
      <c r="F1632" s="7"/>
      <c r="H1632" s="7"/>
      <c r="J1632" s="7"/>
      <c r="L1632" s="7"/>
      <c r="N1632" s="7"/>
      <c r="P1632" s="7"/>
      <c r="R1632" s="7"/>
      <c r="T1632" s="7"/>
      <c r="V1632" s="7"/>
      <c r="X1632" s="7"/>
    </row>
    <row r="1633" spans="2:24">
      <c r="B1633" s="7"/>
      <c r="D1633" s="7"/>
      <c r="F1633" s="7"/>
      <c r="H1633" s="7"/>
      <c r="J1633" s="7"/>
      <c r="L1633" s="7"/>
      <c r="N1633" s="7"/>
      <c r="P1633" s="7"/>
      <c r="R1633" s="7"/>
      <c r="T1633" s="7"/>
      <c r="V1633" s="7"/>
      <c r="X1633" s="7"/>
    </row>
    <row r="1634" spans="2:24">
      <c r="B1634" s="7"/>
      <c r="D1634" s="7"/>
      <c r="F1634" s="7"/>
      <c r="H1634" s="7"/>
      <c r="J1634" s="7"/>
      <c r="L1634" s="7"/>
      <c r="N1634" s="7"/>
      <c r="P1634" s="7"/>
      <c r="R1634" s="7"/>
      <c r="T1634" s="7"/>
      <c r="V1634" s="7"/>
      <c r="X1634" s="7"/>
    </row>
    <row r="1635" spans="2:24">
      <c r="B1635" s="7"/>
      <c r="D1635" s="7"/>
      <c r="F1635" s="7"/>
      <c r="H1635" s="7"/>
      <c r="J1635" s="7"/>
      <c r="L1635" s="7"/>
      <c r="N1635" s="7"/>
      <c r="P1635" s="7"/>
      <c r="R1635" s="7"/>
      <c r="T1635" s="7"/>
      <c r="V1635" s="7"/>
      <c r="X1635" s="7"/>
    </row>
    <row r="1636" spans="2:24">
      <c r="B1636" s="7"/>
      <c r="D1636" s="7"/>
      <c r="F1636" s="7"/>
      <c r="H1636" s="7"/>
      <c r="J1636" s="7"/>
      <c r="L1636" s="7"/>
      <c r="N1636" s="7"/>
      <c r="P1636" s="7"/>
      <c r="R1636" s="7"/>
      <c r="T1636" s="7"/>
      <c r="V1636" s="7"/>
      <c r="X1636" s="7"/>
    </row>
    <row r="1637" spans="2:24">
      <c r="B1637" s="7"/>
      <c r="D1637" s="7"/>
      <c r="F1637" s="7"/>
      <c r="H1637" s="7"/>
      <c r="J1637" s="7"/>
      <c r="L1637" s="7"/>
      <c r="N1637" s="7"/>
      <c r="P1637" s="7"/>
      <c r="R1637" s="7"/>
      <c r="T1637" s="7"/>
      <c r="V1637" s="7"/>
      <c r="X1637" s="7"/>
    </row>
    <row r="1638" spans="2:24">
      <c r="B1638" s="7"/>
      <c r="D1638" s="7"/>
      <c r="F1638" s="7"/>
      <c r="H1638" s="7"/>
      <c r="J1638" s="7"/>
      <c r="L1638" s="7"/>
      <c r="N1638" s="7"/>
      <c r="P1638" s="7"/>
      <c r="R1638" s="7"/>
      <c r="T1638" s="7"/>
      <c r="V1638" s="7"/>
      <c r="X1638" s="7"/>
    </row>
    <row r="1639" spans="2:24">
      <c r="B1639" s="7"/>
      <c r="D1639" s="7"/>
      <c r="F1639" s="7"/>
      <c r="H1639" s="7"/>
      <c r="J1639" s="7"/>
      <c r="L1639" s="7"/>
      <c r="N1639" s="7"/>
      <c r="P1639" s="7"/>
      <c r="R1639" s="7"/>
      <c r="T1639" s="7"/>
      <c r="V1639" s="7"/>
      <c r="X1639" s="7"/>
    </row>
    <row r="1640" spans="2:24">
      <c r="B1640" s="7"/>
      <c r="D1640" s="7"/>
      <c r="F1640" s="7"/>
      <c r="H1640" s="7"/>
      <c r="J1640" s="7"/>
      <c r="L1640" s="7"/>
      <c r="N1640" s="7"/>
      <c r="P1640" s="7"/>
      <c r="R1640" s="7"/>
      <c r="T1640" s="7"/>
      <c r="V1640" s="7"/>
      <c r="X1640" s="7"/>
    </row>
    <row r="1641" spans="2:24">
      <c r="B1641" s="7"/>
      <c r="D1641" s="7"/>
      <c r="F1641" s="7"/>
      <c r="H1641" s="7"/>
      <c r="J1641" s="7"/>
      <c r="L1641" s="7"/>
      <c r="N1641" s="7"/>
      <c r="P1641" s="7"/>
      <c r="R1641" s="7"/>
      <c r="T1641" s="7"/>
      <c r="V1641" s="7"/>
      <c r="X1641" s="7"/>
    </row>
    <row r="1642" spans="2:24">
      <c r="B1642" s="7"/>
      <c r="D1642" s="7"/>
      <c r="F1642" s="7"/>
      <c r="H1642" s="7"/>
      <c r="J1642" s="7"/>
      <c r="L1642" s="7"/>
      <c r="N1642" s="7"/>
      <c r="P1642" s="7"/>
      <c r="R1642" s="7"/>
      <c r="T1642" s="7"/>
      <c r="V1642" s="7"/>
      <c r="X1642" s="7"/>
    </row>
    <row r="1643" spans="2:24">
      <c r="B1643" s="7"/>
      <c r="D1643" s="7"/>
      <c r="F1643" s="7"/>
      <c r="H1643" s="7"/>
      <c r="J1643" s="7"/>
      <c r="L1643" s="7"/>
      <c r="N1643" s="7"/>
      <c r="P1643" s="7"/>
      <c r="R1643" s="7"/>
      <c r="T1643" s="7"/>
      <c r="V1643" s="7"/>
      <c r="X1643" s="7"/>
    </row>
    <row r="1644" spans="2:24">
      <c r="B1644" s="7"/>
      <c r="D1644" s="7"/>
      <c r="F1644" s="7"/>
      <c r="H1644" s="7"/>
      <c r="J1644" s="7"/>
      <c r="L1644" s="7"/>
      <c r="N1644" s="7"/>
      <c r="P1644" s="7"/>
      <c r="R1644" s="7"/>
      <c r="T1644" s="7"/>
      <c r="V1644" s="7"/>
      <c r="X1644" s="7"/>
    </row>
    <row r="1645" spans="2:24">
      <c r="B1645" s="7"/>
      <c r="D1645" s="7"/>
      <c r="F1645" s="7"/>
      <c r="H1645" s="7"/>
      <c r="J1645" s="7"/>
      <c r="L1645" s="7"/>
      <c r="N1645" s="7"/>
      <c r="P1645" s="7"/>
      <c r="R1645" s="7"/>
      <c r="T1645" s="7"/>
      <c r="V1645" s="7"/>
      <c r="X1645" s="7"/>
    </row>
    <row r="1646" spans="2:24">
      <c r="B1646" s="7"/>
      <c r="D1646" s="7"/>
      <c r="F1646" s="7"/>
      <c r="H1646" s="7"/>
      <c r="J1646" s="7"/>
      <c r="L1646" s="7"/>
      <c r="N1646" s="7"/>
      <c r="P1646" s="7"/>
      <c r="R1646" s="7"/>
      <c r="T1646" s="7"/>
      <c r="V1646" s="7"/>
      <c r="X1646" s="7"/>
    </row>
    <row r="1647" spans="2:24">
      <c r="B1647" s="7"/>
      <c r="D1647" s="7"/>
      <c r="F1647" s="7"/>
      <c r="H1647" s="7"/>
      <c r="J1647" s="7"/>
      <c r="L1647" s="7"/>
      <c r="N1647" s="7"/>
      <c r="P1647" s="7"/>
      <c r="R1647" s="7"/>
      <c r="T1647" s="7"/>
      <c r="V1647" s="7"/>
      <c r="X1647" s="7"/>
    </row>
    <row r="1648" spans="2:24">
      <c r="B1648" s="7"/>
      <c r="D1648" s="7"/>
      <c r="F1648" s="7"/>
      <c r="H1648" s="7"/>
      <c r="J1648" s="7"/>
      <c r="L1648" s="7"/>
      <c r="N1648" s="7"/>
      <c r="P1648" s="7"/>
      <c r="R1648" s="7"/>
      <c r="T1648" s="7"/>
      <c r="V1648" s="7"/>
      <c r="X1648" s="7"/>
    </row>
    <row r="1649" spans="2:24">
      <c r="B1649" s="7"/>
      <c r="D1649" s="7"/>
      <c r="F1649" s="7"/>
      <c r="H1649" s="7"/>
      <c r="J1649" s="7"/>
      <c r="L1649" s="7"/>
      <c r="N1649" s="7"/>
      <c r="P1649" s="7"/>
      <c r="R1649" s="7"/>
      <c r="T1649" s="7"/>
      <c r="V1649" s="7"/>
      <c r="X1649" s="7"/>
    </row>
    <row r="1650" spans="2:24">
      <c r="B1650" s="7"/>
      <c r="D1650" s="7"/>
      <c r="F1650" s="7"/>
      <c r="H1650" s="7"/>
      <c r="J1650" s="7"/>
      <c r="L1650" s="7"/>
      <c r="N1650" s="7"/>
      <c r="P1650" s="7"/>
      <c r="R1650" s="7"/>
      <c r="T1650" s="7"/>
      <c r="V1650" s="7"/>
      <c r="X1650" s="7"/>
    </row>
    <row r="1651" spans="2:24">
      <c r="B1651" s="7"/>
      <c r="D1651" s="7"/>
      <c r="F1651" s="7"/>
      <c r="H1651" s="7"/>
      <c r="J1651" s="7"/>
      <c r="L1651" s="7"/>
      <c r="N1651" s="7"/>
      <c r="P1651" s="7"/>
      <c r="R1651" s="7"/>
      <c r="T1651" s="7"/>
      <c r="V1651" s="7"/>
      <c r="X1651" s="7"/>
    </row>
    <row r="1652" spans="2:24">
      <c r="B1652" s="7"/>
      <c r="D1652" s="7"/>
      <c r="F1652" s="7"/>
      <c r="H1652" s="7"/>
      <c r="J1652" s="7"/>
      <c r="L1652" s="7"/>
      <c r="N1652" s="7"/>
      <c r="P1652" s="7"/>
      <c r="R1652" s="7"/>
      <c r="T1652" s="7"/>
      <c r="V1652" s="7"/>
      <c r="X1652" s="7"/>
    </row>
    <row r="1653" spans="2:24">
      <c r="B1653" s="7"/>
      <c r="D1653" s="7"/>
      <c r="F1653" s="7"/>
      <c r="H1653" s="7"/>
      <c r="J1653" s="7"/>
      <c r="L1653" s="7"/>
      <c r="N1653" s="7"/>
      <c r="P1653" s="7"/>
      <c r="R1653" s="7"/>
      <c r="T1653" s="7"/>
      <c r="V1653" s="7"/>
      <c r="X1653" s="7"/>
    </row>
    <row r="1654" spans="2:24">
      <c r="B1654" s="7"/>
      <c r="D1654" s="7"/>
      <c r="F1654" s="7"/>
      <c r="H1654" s="7"/>
      <c r="J1654" s="7"/>
      <c r="L1654" s="7"/>
      <c r="N1654" s="7"/>
      <c r="P1654" s="7"/>
      <c r="R1654" s="7"/>
      <c r="T1654" s="7"/>
      <c r="V1654" s="7"/>
      <c r="X1654" s="7"/>
    </row>
    <row r="1655" spans="2:24">
      <c r="B1655" s="7"/>
      <c r="D1655" s="7"/>
      <c r="F1655" s="7"/>
      <c r="H1655" s="7"/>
      <c r="J1655" s="7"/>
      <c r="L1655" s="7"/>
      <c r="N1655" s="7"/>
      <c r="P1655" s="7"/>
      <c r="R1655" s="7"/>
      <c r="T1655" s="7"/>
      <c r="V1655" s="7"/>
      <c r="X1655" s="7"/>
    </row>
    <row r="1656" spans="2:24">
      <c r="B1656" s="7"/>
      <c r="D1656" s="7"/>
      <c r="F1656" s="7"/>
      <c r="H1656" s="7"/>
      <c r="J1656" s="7"/>
      <c r="L1656" s="7"/>
      <c r="N1656" s="7"/>
      <c r="P1656" s="7"/>
      <c r="R1656" s="7"/>
      <c r="T1656" s="7"/>
      <c r="V1656" s="7"/>
      <c r="X1656" s="7"/>
    </row>
    <row r="1657" spans="2:24">
      <c r="B1657" s="7"/>
      <c r="D1657" s="7"/>
      <c r="F1657" s="7"/>
      <c r="H1657" s="7"/>
      <c r="J1657" s="7"/>
      <c r="L1657" s="7"/>
      <c r="N1657" s="7"/>
      <c r="P1657" s="7"/>
      <c r="R1657" s="7"/>
      <c r="T1657" s="7"/>
      <c r="V1657" s="7"/>
      <c r="X1657" s="7"/>
    </row>
    <row r="1658" spans="2:24">
      <c r="B1658" s="7"/>
      <c r="D1658" s="7"/>
      <c r="F1658" s="7"/>
      <c r="H1658" s="7"/>
      <c r="J1658" s="7"/>
      <c r="L1658" s="7"/>
      <c r="N1658" s="7"/>
      <c r="P1658" s="7"/>
      <c r="R1658" s="7"/>
      <c r="T1658" s="7"/>
      <c r="V1658" s="7"/>
      <c r="X1658" s="7"/>
    </row>
    <row r="1659" spans="2:24">
      <c r="B1659" s="7"/>
      <c r="D1659" s="7"/>
      <c r="F1659" s="7"/>
      <c r="H1659" s="7"/>
      <c r="J1659" s="7"/>
      <c r="L1659" s="7"/>
      <c r="N1659" s="7"/>
      <c r="P1659" s="7"/>
      <c r="R1659" s="7"/>
      <c r="T1659" s="7"/>
      <c r="V1659" s="7"/>
      <c r="X1659" s="7"/>
    </row>
    <row r="1660" spans="2:24">
      <c r="B1660" s="7"/>
      <c r="D1660" s="7"/>
      <c r="F1660" s="7"/>
      <c r="H1660" s="7"/>
      <c r="J1660" s="7"/>
      <c r="L1660" s="7"/>
      <c r="N1660" s="7"/>
      <c r="P1660" s="7"/>
      <c r="R1660" s="7"/>
      <c r="T1660" s="7"/>
      <c r="V1660" s="7"/>
      <c r="X1660" s="7"/>
    </row>
    <row r="1661" spans="2:24">
      <c r="B1661" s="7"/>
      <c r="D1661" s="7"/>
      <c r="F1661" s="7"/>
      <c r="H1661" s="7"/>
      <c r="J1661" s="7"/>
      <c r="L1661" s="7"/>
      <c r="N1661" s="7"/>
      <c r="P1661" s="7"/>
      <c r="R1661" s="7"/>
      <c r="T1661" s="7"/>
      <c r="V1661" s="7"/>
      <c r="X1661" s="7"/>
    </row>
    <row r="1662" spans="2:24">
      <c r="B1662" s="7"/>
      <c r="D1662" s="7"/>
      <c r="F1662" s="7"/>
      <c r="H1662" s="7"/>
      <c r="J1662" s="7"/>
      <c r="L1662" s="7"/>
      <c r="N1662" s="7"/>
      <c r="P1662" s="7"/>
      <c r="R1662" s="7"/>
      <c r="T1662" s="7"/>
      <c r="V1662" s="7"/>
      <c r="X1662" s="7"/>
    </row>
    <row r="1663" spans="2:24">
      <c r="B1663" s="7"/>
      <c r="D1663" s="7"/>
      <c r="F1663" s="7"/>
      <c r="H1663" s="7"/>
      <c r="J1663" s="7"/>
      <c r="L1663" s="7"/>
      <c r="N1663" s="7"/>
      <c r="P1663" s="7"/>
      <c r="R1663" s="7"/>
      <c r="T1663" s="7"/>
      <c r="V1663" s="7"/>
      <c r="X1663" s="7"/>
    </row>
    <row r="1664" spans="2:24">
      <c r="B1664" s="7"/>
      <c r="D1664" s="7"/>
      <c r="F1664" s="7"/>
      <c r="H1664" s="7"/>
      <c r="J1664" s="7"/>
      <c r="L1664" s="7"/>
      <c r="N1664" s="7"/>
      <c r="P1664" s="7"/>
      <c r="R1664" s="7"/>
      <c r="T1664" s="7"/>
      <c r="V1664" s="7"/>
      <c r="X1664" s="7"/>
    </row>
    <row r="1665" spans="2:24">
      <c r="B1665" s="7"/>
      <c r="D1665" s="7"/>
      <c r="F1665" s="7"/>
      <c r="H1665" s="7"/>
      <c r="J1665" s="7"/>
      <c r="L1665" s="7"/>
      <c r="N1665" s="7"/>
      <c r="P1665" s="7"/>
      <c r="R1665" s="7"/>
      <c r="T1665" s="7"/>
      <c r="V1665" s="7"/>
      <c r="X1665" s="7"/>
    </row>
    <row r="1666" spans="2:24">
      <c r="B1666" s="7"/>
      <c r="D1666" s="7"/>
      <c r="F1666" s="7"/>
      <c r="H1666" s="7"/>
      <c r="J1666" s="7"/>
      <c r="L1666" s="7"/>
      <c r="N1666" s="7"/>
      <c r="P1666" s="7"/>
      <c r="R1666" s="7"/>
      <c r="T1666" s="7"/>
      <c r="V1666" s="7"/>
      <c r="X1666" s="7"/>
    </row>
    <row r="1667" spans="2:24">
      <c r="B1667" s="7"/>
      <c r="D1667" s="7"/>
      <c r="F1667" s="7"/>
      <c r="H1667" s="7"/>
      <c r="J1667" s="7"/>
      <c r="L1667" s="7"/>
      <c r="N1667" s="7"/>
      <c r="P1667" s="7"/>
      <c r="R1667" s="7"/>
      <c r="T1667" s="7"/>
      <c r="V1667" s="7"/>
      <c r="X1667" s="7"/>
    </row>
    <row r="1668" spans="2:24">
      <c r="B1668" s="7"/>
      <c r="D1668" s="7"/>
      <c r="F1668" s="7"/>
      <c r="H1668" s="7"/>
      <c r="J1668" s="7"/>
      <c r="L1668" s="7"/>
      <c r="N1668" s="7"/>
      <c r="P1668" s="7"/>
      <c r="R1668" s="7"/>
      <c r="T1668" s="7"/>
      <c r="V1668" s="7"/>
      <c r="X1668" s="7"/>
    </row>
    <row r="1669" spans="2:24">
      <c r="B1669" s="7"/>
      <c r="D1669" s="7"/>
      <c r="F1669" s="7"/>
      <c r="H1669" s="7"/>
      <c r="J1669" s="7"/>
      <c r="L1669" s="7"/>
      <c r="N1669" s="7"/>
      <c r="P1669" s="7"/>
      <c r="R1669" s="7"/>
      <c r="T1669" s="7"/>
      <c r="V1669" s="7"/>
      <c r="X1669" s="7"/>
    </row>
    <row r="1670" spans="2:24">
      <c r="B1670" s="7"/>
      <c r="D1670" s="7"/>
      <c r="F1670" s="7"/>
      <c r="H1670" s="7"/>
      <c r="J1670" s="7"/>
      <c r="L1670" s="7"/>
      <c r="N1670" s="7"/>
      <c r="P1670" s="7"/>
      <c r="R1670" s="7"/>
      <c r="T1670" s="7"/>
      <c r="V1670" s="7"/>
      <c r="X1670" s="7"/>
    </row>
    <row r="1671" spans="2:24">
      <c r="B1671" s="7"/>
      <c r="D1671" s="7"/>
      <c r="F1671" s="7"/>
      <c r="H1671" s="7"/>
      <c r="J1671" s="7"/>
      <c r="L1671" s="7"/>
      <c r="N1671" s="7"/>
      <c r="P1671" s="7"/>
      <c r="R1671" s="7"/>
      <c r="T1671" s="7"/>
      <c r="V1671" s="7"/>
      <c r="X1671" s="7"/>
    </row>
    <row r="1672" spans="2:24">
      <c r="B1672" s="7"/>
      <c r="D1672" s="7"/>
      <c r="F1672" s="7"/>
      <c r="H1672" s="7"/>
      <c r="J1672" s="7"/>
      <c r="L1672" s="7"/>
      <c r="N1672" s="7"/>
      <c r="P1672" s="7"/>
      <c r="R1672" s="7"/>
      <c r="T1672" s="7"/>
      <c r="V1672" s="7"/>
      <c r="X1672" s="7"/>
    </row>
    <row r="1673" spans="2:24">
      <c r="B1673" s="7"/>
      <c r="D1673" s="7"/>
      <c r="F1673" s="7"/>
      <c r="H1673" s="7"/>
      <c r="J1673" s="7"/>
      <c r="L1673" s="7"/>
      <c r="N1673" s="7"/>
      <c r="P1673" s="7"/>
      <c r="R1673" s="7"/>
      <c r="T1673" s="7"/>
      <c r="V1673" s="7"/>
      <c r="X1673" s="7"/>
    </row>
    <row r="1674" spans="2:24">
      <c r="B1674" s="7"/>
      <c r="D1674" s="7"/>
      <c r="F1674" s="7"/>
      <c r="H1674" s="7"/>
      <c r="J1674" s="7"/>
      <c r="L1674" s="7"/>
      <c r="N1674" s="7"/>
      <c r="P1674" s="7"/>
      <c r="R1674" s="7"/>
      <c r="T1674" s="7"/>
      <c r="V1674" s="7"/>
      <c r="X1674" s="7"/>
    </row>
    <row r="1675" spans="2:24">
      <c r="B1675" s="7"/>
      <c r="D1675" s="7"/>
      <c r="F1675" s="7"/>
      <c r="H1675" s="7"/>
      <c r="J1675" s="7"/>
      <c r="L1675" s="7"/>
      <c r="N1675" s="7"/>
      <c r="P1675" s="7"/>
      <c r="R1675" s="7"/>
      <c r="T1675" s="7"/>
      <c r="V1675" s="7"/>
      <c r="X1675" s="7"/>
    </row>
    <row r="1676" spans="2:24">
      <c r="B1676" s="7"/>
      <c r="D1676" s="7"/>
      <c r="F1676" s="7"/>
      <c r="H1676" s="7"/>
      <c r="J1676" s="7"/>
      <c r="L1676" s="7"/>
      <c r="N1676" s="7"/>
      <c r="P1676" s="7"/>
      <c r="R1676" s="7"/>
      <c r="T1676" s="7"/>
      <c r="V1676" s="7"/>
      <c r="X1676" s="7"/>
    </row>
    <row r="1677" spans="2:24">
      <c r="B1677" s="7"/>
      <c r="D1677" s="7"/>
      <c r="F1677" s="7"/>
      <c r="H1677" s="7"/>
      <c r="J1677" s="7"/>
      <c r="L1677" s="7"/>
      <c r="N1677" s="7"/>
      <c r="P1677" s="7"/>
      <c r="R1677" s="7"/>
      <c r="T1677" s="7"/>
      <c r="V1677" s="7"/>
      <c r="X1677" s="7"/>
    </row>
    <row r="1678" spans="2:24">
      <c r="B1678" s="7"/>
      <c r="D1678" s="7"/>
      <c r="F1678" s="7"/>
      <c r="H1678" s="7"/>
      <c r="J1678" s="7"/>
      <c r="L1678" s="7"/>
      <c r="N1678" s="7"/>
      <c r="P1678" s="7"/>
      <c r="R1678" s="7"/>
      <c r="T1678" s="7"/>
      <c r="V1678" s="7"/>
      <c r="X1678" s="7"/>
    </row>
    <row r="1679" spans="2:24">
      <c r="B1679" s="7"/>
      <c r="D1679" s="7"/>
      <c r="F1679" s="7"/>
      <c r="H1679" s="7"/>
      <c r="J1679" s="7"/>
      <c r="L1679" s="7"/>
      <c r="N1679" s="7"/>
      <c r="P1679" s="7"/>
      <c r="R1679" s="7"/>
      <c r="T1679" s="7"/>
      <c r="V1679" s="7"/>
      <c r="X1679" s="7"/>
    </row>
    <row r="1680" spans="2:24">
      <c r="B1680" s="7"/>
      <c r="D1680" s="7"/>
      <c r="F1680" s="7"/>
      <c r="H1680" s="7"/>
      <c r="J1680" s="7"/>
      <c r="L1680" s="7"/>
      <c r="N1680" s="7"/>
      <c r="P1680" s="7"/>
      <c r="R1680" s="7"/>
      <c r="T1680" s="7"/>
      <c r="V1680" s="7"/>
      <c r="X1680" s="7"/>
    </row>
    <row r="1681" spans="2:24">
      <c r="B1681" s="7"/>
      <c r="D1681" s="7"/>
      <c r="F1681" s="7"/>
      <c r="H1681" s="7"/>
      <c r="J1681" s="7"/>
      <c r="L1681" s="7"/>
      <c r="N1681" s="7"/>
      <c r="P1681" s="7"/>
      <c r="R1681" s="7"/>
      <c r="T1681" s="7"/>
      <c r="V1681" s="7"/>
      <c r="X1681" s="7"/>
    </row>
    <row r="1682" spans="2:24">
      <c r="B1682" s="7"/>
      <c r="D1682" s="7"/>
      <c r="F1682" s="7"/>
      <c r="H1682" s="7"/>
      <c r="J1682" s="7"/>
      <c r="L1682" s="7"/>
      <c r="N1682" s="7"/>
      <c r="P1682" s="7"/>
      <c r="R1682" s="7"/>
      <c r="T1682" s="7"/>
      <c r="V1682" s="7"/>
      <c r="X1682" s="7"/>
    </row>
    <row r="1683" spans="2:24">
      <c r="B1683" s="7"/>
      <c r="D1683" s="7"/>
      <c r="F1683" s="7"/>
      <c r="H1683" s="7"/>
      <c r="J1683" s="7"/>
      <c r="L1683" s="7"/>
      <c r="N1683" s="7"/>
      <c r="P1683" s="7"/>
      <c r="R1683" s="7"/>
      <c r="T1683" s="7"/>
      <c r="V1683" s="7"/>
      <c r="X1683" s="7"/>
    </row>
    <row r="1684" spans="2:24">
      <c r="B1684" s="7"/>
      <c r="D1684" s="7"/>
      <c r="F1684" s="7"/>
      <c r="H1684" s="7"/>
      <c r="J1684" s="7"/>
      <c r="L1684" s="7"/>
      <c r="N1684" s="7"/>
      <c r="P1684" s="7"/>
      <c r="R1684" s="7"/>
      <c r="T1684" s="7"/>
      <c r="V1684" s="7"/>
      <c r="X1684" s="7"/>
    </row>
    <row r="1685" spans="2:24">
      <c r="B1685" s="7"/>
      <c r="D1685" s="7"/>
      <c r="F1685" s="7"/>
      <c r="H1685" s="7"/>
      <c r="J1685" s="7"/>
      <c r="L1685" s="7"/>
      <c r="N1685" s="7"/>
      <c r="P1685" s="7"/>
      <c r="R1685" s="7"/>
      <c r="T1685" s="7"/>
      <c r="V1685" s="7"/>
      <c r="X1685" s="7"/>
    </row>
    <row r="1686" spans="2:24">
      <c r="B1686" s="7"/>
      <c r="D1686" s="7"/>
      <c r="F1686" s="7"/>
      <c r="H1686" s="7"/>
      <c r="J1686" s="7"/>
      <c r="L1686" s="7"/>
      <c r="N1686" s="7"/>
      <c r="P1686" s="7"/>
      <c r="R1686" s="7"/>
      <c r="T1686" s="7"/>
      <c r="V1686" s="7"/>
      <c r="X1686" s="7"/>
    </row>
    <row r="1687" spans="2:24">
      <c r="B1687" s="7"/>
      <c r="D1687" s="7"/>
      <c r="F1687" s="7"/>
      <c r="H1687" s="7"/>
      <c r="J1687" s="7"/>
      <c r="L1687" s="7"/>
      <c r="N1687" s="7"/>
      <c r="P1687" s="7"/>
      <c r="R1687" s="7"/>
      <c r="T1687" s="7"/>
      <c r="V1687" s="7"/>
      <c r="X1687" s="7"/>
    </row>
    <row r="1688" spans="2:24">
      <c r="B1688" s="7"/>
      <c r="D1688" s="7"/>
      <c r="F1688" s="7"/>
      <c r="H1688" s="7"/>
      <c r="J1688" s="7"/>
      <c r="L1688" s="7"/>
      <c r="N1688" s="7"/>
      <c r="P1688" s="7"/>
      <c r="R1688" s="7"/>
      <c r="T1688" s="7"/>
      <c r="V1688" s="7"/>
      <c r="X1688" s="7"/>
    </row>
    <row r="1689" spans="2:24">
      <c r="B1689" s="7"/>
      <c r="D1689" s="7"/>
      <c r="F1689" s="7"/>
      <c r="H1689" s="7"/>
      <c r="J1689" s="7"/>
      <c r="L1689" s="7"/>
      <c r="N1689" s="7"/>
      <c r="P1689" s="7"/>
      <c r="R1689" s="7"/>
      <c r="T1689" s="7"/>
      <c r="V1689" s="7"/>
      <c r="X1689" s="7"/>
    </row>
    <row r="1690" spans="2:24">
      <c r="B1690" s="7"/>
      <c r="D1690" s="7"/>
      <c r="F1690" s="7"/>
      <c r="H1690" s="7"/>
      <c r="J1690" s="7"/>
      <c r="L1690" s="7"/>
      <c r="N1690" s="7"/>
      <c r="P1690" s="7"/>
      <c r="R1690" s="7"/>
      <c r="T1690" s="7"/>
      <c r="V1690" s="7"/>
      <c r="X1690" s="7"/>
    </row>
    <row r="1691" spans="2:24">
      <c r="B1691" s="7"/>
      <c r="D1691" s="7"/>
      <c r="F1691" s="7"/>
      <c r="H1691" s="7"/>
      <c r="J1691" s="7"/>
      <c r="L1691" s="7"/>
      <c r="N1691" s="7"/>
      <c r="P1691" s="7"/>
      <c r="R1691" s="7"/>
      <c r="T1691" s="7"/>
      <c r="V1691" s="7"/>
      <c r="X1691" s="7"/>
    </row>
    <row r="1692" spans="2:24">
      <c r="B1692" s="7"/>
      <c r="D1692" s="7"/>
      <c r="F1692" s="7"/>
      <c r="H1692" s="7"/>
      <c r="J1692" s="7"/>
      <c r="L1692" s="7"/>
      <c r="N1692" s="7"/>
      <c r="P1692" s="7"/>
      <c r="R1692" s="7"/>
      <c r="T1692" s="7"/>
      <c r="V1692" s="7"/>
      <c r="X1692" s="7"/>
    </row>
    <row r="1693" spans="2:24">
      <c r="B1693" s="7"/>
      <c r="D1693" s="7"/>
      <c r="F1693" s="7"/>
      <c r="H1693" s="7"/>
      <c r="J1693" s="7"/>
      <c r="L1693" s="7"/>
      <c r="N1693" s="7"/>
      <c r="P1693" s="7"/>
      <c r="R1693" s="7"/>
      <c r="T1693" s="7"/>
      <c r="V1693" s="7"/>
      <c r="X1693" s="7"/>
    </row>
    <row r="1694" spans="2:24">
      <c r="B1694" s="7"/>
      <c r="D1694" s="7"/>
      <c r="F1694" s="7"/>
      <c r="H1694" s="7"/>
      <c r="J1694" s="7"/>
      <c r="L1694" s="7"/>
      <c r="N1694" s="7"/>
      <c r="P1694" s="7"/>
      <c r="R1694" s="7"/>
      <c r="T1694" s="7"/>
      <c r="V1694" s="7"/>
      <c r="X1694" s="7"/>
    </row>
    <row r="1695" spans="2:24">
      <c r="B1695" s="7"/>
      <c r="D1695" s="7"/>
      <c r="F1695" s="7"/>
      <c r="H1695" s="7"/>
      <c r="J1695" s="7"/>
      <c r="L1695" s="7"/>
      <c r="N1695" s="7"/>
      <c r="P1695" s="7"/>
      <c r="R1695" s="7"/>
      <c r="T1695" s="7"/>
      <c r="V1695" s="7"/>
      <c r="X1695" s="7"/>
    </row>
    <row r="1696" spans="2:24">
      <c r="B1696" s="7"/>
      <c r="D1696" s="7"/>
      <c r="F1696" s="7"/>
      <c r="H1696" s="7"/>
      <c r="J1696" s="7"/>
      <c r="L1696" s="7"/>
      <c r="N1696" s="7"/>
      <c r="P1696" s="7"/>
      <c r="R1696" s="7"/>
      <c r="T1696" s="7"/>
      <c r="V1696" s="7"/>
      <c r="X1696" s="7"/>
    </row>
    <row r="1697" spans="2:24">
      <c r="B1697" s="7"/>
      <c r="D1697" s="7"/>
      <c r="F1697" s="7"/>
      <c r="H1697" s="7"/>
      <c r="J1697" s="7"/>
      <c r="L1697" s="7"/>
      <c r="N1697" s="7"/>
      <c r="P1697" s="7"/>
      <c r="R1697" s="7"/>
      <c r="T1697" s="7"/>
      <c r="V1697" s="7"/>
      <c r="X1697" s="7"/>
    </row>
    <row r="1698" spans="2:24">
      <c r="B1698" s="7"/>
      <c r="D1698" s="7"/>
      <c r="F1698" s="7"/>
      <c r="H1698" s="7"/>
      <c r="J1698" s="7"/>
      <c r="L1698" s="7"/>
      <c r="N1698" s="7"/>
      <c r="P1698" s="7"/>
      <c r="R1698" s="7"/>
      <c r="T1698" s="7"/>
      <c r="V1698" s="7"/>
      <c r="X1698" s="7"/>
    </row>
    <row r="1699" spans="2:24">
      <c r="B1699" s="7"/>
      <c r="D1699" s="7"/>
      <c r="F1699" s="7"/>
      <c r="H1699" s="7"/>
      <c r="J1699" s="7"/>
      <c r="L1699" s="7"/>
      <c r="N1699" s="7"/>
      <c r="P1699" s="7"/>
      <c r="R1699" s="7"/>
      <c r="T1699" s="7"/>
      <c r="V1699" s="7"/>
      <c r="X1699" s="7"/>
    </row>
    <row r="1700" spans="2:24">
      <c r="B1700" s="7"/>
      <c r="D1700" s="7"/>
      <c r="F1700" s="7"/>
      <c r="H1700" s="7"/>
      <c r="J1700" s="7"/>
      <c r="L1700" s="7"/>
      <c r="N1700" s="7"/>
      <c r="P1700" s="7"/>
      <c r="R1700" s="7"/>
      <c r="T1700" s="7"/>
      <c r="V1700" s="7"/>
      <c r="X1700" s="7"/>
    </row>
    <row r="1701" spans="2:24">
      <c r="B1701" s="7"/>
      <c r="D1701" s="7"/>
      <c r="F1701" s="7"/>
      <c r="H1701" s="7"/>
      <c r="J1701" s="7"/>
      <c r="L1701" s="7"/>
      <c r="N1701" s="7"/>
      <c r="P1701" s="7"/>
      <c r="R1701" s="7"/>
      <c r="T1701" s="7"/>
      <c r="V1701" s="7"/>
      <c r="X1701" s="7"/>
    </row>
    <row r="1702" spans="2:24">
      <c r="B1702" s="7"/>
      <c r="D1702" s="7"/>
      <c r="F1702" s="7"/>
      <c r="H1702" s="7"/>
      <c r="J1702" s="7"/>
      <c r="L1702" s="7"/>
      <c r="N1702" s="7"/>
      <c r="P1702" s="7"/>
      <c r="R1702" s="7"/>
      <c r="T1702" s="7"/>
      <c r="V1702" s="7"/>
      <c r="X1702" s="7"/>
    </row>
    <row r="1703" spans="2:24">
      <c r="B1703" s="7"/>
      <c r="D1703" s="7"/>
      <c r="F1703" s="7"/>
      <c r="H1703" s="7"/>
      <c r="J1703" s="7"/>
      <c r="L1703" s="7"/>
      <c r="N1703" s="7"/>
      <c r="P1703" s="7"/>
      <c r="R1703" s="7"/>
      <c r="T1703" s="7"/>
      <c r="V1703" s="7"/>
      <c r="X1703" s="7"/>
    </row>
    <row r="1704" spans="2:24">
      <c r="B1704" s="7"/>
      <c r="D1704" s="7"/>
      <c r="F1704" s="7"/>
      <c r="H1704" s="7"/>
      <c r="J1704" s="7"/>
      <c r="L1704" s="7"/>
      <c r="N1704" s="7"/>
      <c r="P1704" s="7"/>
      <c r="R1704" s="7"/>
      <c r="T1704" s="7"/>
      <c r="V1704" s="7"/>
      <c r="X1704" s="7"/>
    </row>
    <row r="1705" spans="2:24">
      <c r="B1705" s="7"/>
      <c r="D1705" s="7"/>
      <c r="F1705" s="7"/>
      <c r="H1705" s="7"/>
      <c r="J1705" s="7"/>
      <c r="L1705" s="7"/>
      <c r="N1705" s="7"/>
      <c r="P1705" s="7"/>
      <c r="R1705" s="7"/>
      <c r="T1705" s="7"/>
      <c r="V1705" s="7"/>
      <c r="X1705" s="7"/>
    </row>
    <row r="1706" spans="2:24">
      <c r="B1706" s="7"/>
      <c r="D1706" s="7"/>
      <c r="F1706" s="7"/>
      <c r="H1706" s="7"/>
      <c r="J1706" s="7"/>
      <c r="L1706" s="7"/>
      <c r="N1706" s="7"/>
      <c r="P1706" s="7"/>
      <c r="R1706" s="7"/>
      <c r="T1706" s="7"/>
      <c r="V1706" s="7"/>
      <c r="X1706" s="7"/>
    </row>
    <row r="1707" spans="2:24">
      <c r="B1707" s="7"/>
      <c r="D1707" s="7"/>
      <c r="F1707" s="7"/>
      <c r="H1707" s="7"/>
      <c r="J1707" s="7"/>
      <c r="L1707" s="7"/>
      <c r="N1707" s="7"/>
      <c r="P1707" s="7"/>
      <c r="R1707" s="7"/>
      <c r="T1707" s="7"/>
      <c r="V1707" s="7"/>
      <c r="X1707" s="7"/>
    </row>
    <row r="1708" spans="2:24">
      <c r="B1708" s="7"/>
      <c r="D1708" s="7"/>
      <c r="F1708" s="7"/>
      <c r="H1708" s="7"/>
      <c r="J1708" s="7"/>
      <c r="L1708" s="7"/>
      <c r="N1708" s="7"/>
      <c r="P1708" s="7"/>
      <c r="R1708" s="7"/>
      <c r="T1708" s="7"/>
      <c r="V1708" s="7"/>
      <c r="X1708" s="7"/>
    </row>
    <row r="1709" spans="2:24">
      <c r="B1709" s="7"/>
      <c r="D1709" s="7"/>
      <c r="F1709" s="7"/>
      <c r="H1709" s="7"/>
      <c r="J1709" s="7"/>
      <c r="L1709" s="7"/>
      <c r="N1709" s="7"/>
      <c r="P1709" s="7"/>
      <c r="R1709" s="7"/>
      <c r="T1709" s="7"/>
      <c r="V1709" s="7"/>
      <c r="X1709" s="7"/>
    </row>
    <row r="1710" spans="2:24">
      <c r="B1710" s="7"/>
      <c r="D1710" s="7"/>
      <c r="F1710" s="7"/>
      <c r="H1710" s="7"/>
      <c r="J1710" s="7"/>
      <c r="L1710" s="7"/>
      <c r="N1710" s="7"/>
      <c r="P1710" s="7"/>
      <c r="R1710" s="7"/>
      <c r="T1710" s="7"/>
      <c r="V1710" s="7"/>
      <c r="X1710" s="7"/>
    </row>
    <row r="1711" spans="2:24">
      <c r="B1711" s="7"/>
      <c r="D1711" s="7"/>
      <c r="F1711" s="7"/>
      <c r="H1711" s="7"/>
      <c r="J1711" s="7"/>
      <c r="L1711" s="7"/>
      <c r="N1711" s="7"/>
      <c r="P1711" s="7"/>
      <c r="R1711" s="7"/>
      <c r="T1711" s="7"/>
      <c r="V1711" s="7"/>
      <c r="X1711" s="7"/>
    </row>
    <row r="1712" spans="2:24">
      <c r="B1712" s="7"/>
      <c r="D1712" s="7"/>
      <c r="F1712" s="7"/>
      <c r="H1712" s="7"/>
      <c r="J1712" s="7"/>
      <c r="L1712" s="7"/>
      <c r="N1712" s="7"/>
      <c r="P1712" s="7"/>
      <c r="R1712" s="7"/>
      <c r="T1712" s="7"/>
      <c r="V1712" s="7"/>
      <c r="X1712" s="7"/>
    </row>
    <row r="1713" spans="2:24">
      <c r="B1713" s="7"/>
      <c r="D1713" s="7"/>
      <c r="F1713" s="7"/>
      <c r="H1713" s="7"/>
      <c r="J1713" s="7"/>
      <c r="L1713" s="7"/>
      <c r="N1713" s="7"/>
      <c r="P1713" s="7"/>
      <c r="R1713" s="7"/>
      <c r="T1713" s="7"/>
      <c r="V1713" s="7"/>
      <c r="X1713" s="7"/>
    </row>
    <row r="1714" spans="2:24">
      <c r="B1714" s="7"/>
      <c r="D1714" s="7"/>
      <c r="F1714" s="7"/>
      <c r="H1714" s="7"/>
      <c r="J1714" s="7"/>
      <c r="L1714" s="7"/>
      <c r="N1714" s="7"/>
      <c r="P1714" s="7"/>
      <c r="R1714" s="7"/>
      <c r="T1714" s="7"/>
      <c r="V1714" s="7"/>
      <c r="X1714" s="7"/>
    </row>
    <row r="1715" spans="2:24">
      <c r="B1715" s="7"/>
      <c r="D1715" s="7"/>
      <c r="F1715" s="7"/>
      <c r="H1715" s="7"/>
      <c r="J1715" s="7"/>
      <c r="L1715" s="7"/>
      <c r="N1715" s="7"/>
      <c r="P1715" s="7"/>
      <c r="R1715" s="7"/>
      <c r="T1715" s="7"/>
      <c r="V1715" s="7"/>
      <c r="X1715" s="7"/>
    </row>
    <row r="1716" spans="2:24">
      <c r="B1716" s="7"/>
      <c r="D1716" s="7"/>
      <c r="F1716" s="7"/>
      <c r="H1716" s="7"/>
      <c r="J1716" s="7"/>
      <c r="L1716" s="7"/>
      <c r="N1716" s="7"/>
      <c r="P1716" s="7"/>
      <c r="R1716" s="7"/>
      <c r="T1716" s="7"/>
      <c r="V1716" s="7"/>
      <c r="X1716" s="7"/>
    </row>
    <row r="1717" spans="2:24">
      <c r="B1717" s="7"/>
      <c r="D1717" s="7"/>
      <c r="F1717" s="7"/>
      <c r="H1717" s="7"/>
      <c r="J1717" s="7"/>
      <c r="L1717" s="7"/>
      <c r="N1717" s="7"/>
      <c r="P1717" s="7"/>
      <c r="R1717" s="7"/>
      <c r="T1717" s="7"/>
      <c r="V1717" s="7"/>
      <c r="X1717" s="7"/>
    </row>
    <row r="1718" spans="2:24">
      <c r="B1718" s="7"/>
      <c r="D1718" s="7"/>
      <c r="F1718" s="7"/>
      <c r="H1718" s="7"/>
      <c r="J1718" s="7"/>
      <c r="L1718" s="7"/>
      <c r="N1718" s="7"/>
      <c r="P1718" s="7"/>
      <c r="R1718" s="7"/>
      <c r="T1718" s="7"/>
      <c r="V1718" s="7"/>
      <c r="X1718" s="7"/>
    </row>
    <row r="1719" spans="2:24">
      <c r="B1719" s="7"/>
      <c r="D1719" s="7"/>
      <c r="F1719" s="7"/>
      <c r="H1719" s="7"/>
      <c r="J1719" s="7"/>
      <c r="L1719" s="7"/>
      <c r="N1719" s="7"/>
      <c r="P1719" s="7"/>
      <c r="R1719" s="7"/>
      <c r="T1719" s="7"/>
      <c r="V1719" s="7"/>
      <c r="X1719" s="7"/>
    </row>
    <row r="1720" spans="2:24">
      <c r="B1720" s="7"/>
      <c r="D1720" s="7"/>
      <c r="F1720" s="7"/>
      <c r="H1720" s="7"/>
      <c r="J1720" s="7"/>
      <c r="L1720" s="7"/>
      <c r="N1720" s="7"/>
      <c r="P1720" s="7"/>
      <c r="R1720" s="7"/>
      <c r="T1720" s="7"/>
      <c r="V1720" s="7"/>
      <c r="X1720" s="7"/>
    </row>
    <row r="1721" spans="2:24">
      <c r="B1721" s="7"/>
      <c r="D1721" s="7"/>
      <c r="F1721" s="7"/>
      <c r="H1721" s="7"/>
      <c r="J1721" s="7"/>
      <c r="L1721" s="7"/>
      <c r="N1721" s="7"/>
      <c r="P1721" s="7"/>
      <c r="R1721" s="7"/>
      <c r="T1721" s="7"/>
      <c r="V1721" s="7"/>
      <c r="X1721" s="7"/>
    </row>
    <row r="1722" spans="2:24">
      <c r="B1722" s="7"/>
      <c r="D1722" s="7"/>
      <c r="F1722" s="7"/>
      <c r="H1722" s="7"/>
      <c r="J1722" s="7"/>
      <c r="L1722" s="7"/>
      <c r="N1722" s="7"/>
      <c r="P1722" s="7"/>
      <c r="R1722" s="7"/>
      <c r="T1722" s="7"/>
      <c r="V1722" s="7"/>
      <c r="X1722" s="7"/>
    </row>
    <row r="1723" spans="2:24">
      <c r="B1723" s="7"/>
      <c r="D1723" s="7"/>
      <c r="F1723" s="7"/>
      <c r="H1723" s="7"/>
      <c r="J1723" s="7"/>
      <c r="L1723" s="7"/>
      <c r="N1723" s="7"/>
      <c r="P1723" s="7"/>
      <c r="R1723" s="7"/>
      <c r="T1723" s="7"/>
      <c r="V1723" s="7"/>
      <c r="X1723" s="7"/>
    </row>
    <row r="1724" spans="2:24">
      <c r="B1724" s="7"/>
      <c r="D1724" s="7"/>
      <c r="F1724" s="7"/>
      <c r="H1724" s="7"/>
      <c r="J1724" s="7"/>
      <c r="L1724" s="7"/>
      <c r="N1724" s="7"/>
      <c r="P1724" s="7"/>
      <c r="R1724" s="7"/>
      <c r="T1724" s="7"/>
      <c r="V1724" s="7"/>
      <c r="X1724" s="7"/>
    </row>
    <row r="1725" spans="2:24">
      <c r="B1725" s="7"/>
      <c r="D1725" s="7"/>
      <c r="F1725" s="7"/>
      <c r="H1725" s="7"/>
      <c r="J1725" s="7"/>
      <c r="L1725" s="7"/>
      <c r="N1725" s="7"/>
      <c r="P1725" s="7"/>
      <c r="R1725" s="7"/>
      <c r="T1725" s="7"/>
      <c r="V1725" s="7"/>
      <c r="X1725" s="7"/>
    </row>
    <row r="1726" spans="2:24">
      <c r="B1726" s="7"/>
      <c r="D1726" s="7"/>
      <c r="F1726" s="7"/>
      <c r="H1726" s="7"/>
      <c r="J1726" s="7"/>
      <c r="L1726" s="7"/>
      <c r="N1726" s="7"/>
      <c r="P1726" s="7"/>
      <c r="R1726" s="7"/>
      <c r="T1726" s="7"/>
      <c r="V1726" s="7"/>
      <c r="X1726" s="7"/>
    </row>
    <row r="1727" spans="2:24">
      <c r="B1727" s="7"/>
      <c r="D1727" s="7"/>
      <c r="F1727" s="7"/>
      <c r="H1727" s="7"/>
      <c r="J1727" s="7"/>
      <c r="L1727" s="7"/>
      <c r="N1727" s="7"/>
      <c r="P1727" s="7"/>
      <c r="R1727" s="7"/>
      <c r="T1727" s="7"/>
      <c r="V1727" s="7"/>
      <c r="X1727" s="7"/>
    </row>
    <row r="1728" spans="2:24">
      <c r="B1728" s="7"/>
      <c r="D1728" s="7"/>
      <c r="F1728" s="7"/>
      <c r="H1728" s="7"/>
      <c r="J1728" s="7"/>
      <c r="L1728" s="7"/>
      <c r="N1728" s="7"/>
      <c r="P1728" s="7"/>
      <c r="R1728" s="7"/>
      <c r="T1728" s="7"/>
      <c r="V1728" s="7"/>
      <c r="X1728" s="7"/>
    </row>
    <row r="1729" spans="2:24">
      <c r="B1729" s="7"/>
      <c r="D1729" s="7"/>
      <c r="F1729" s="7"/>
      <c r="H1729" s="7"/>
      <c r="J1729" s="7"/>
      <c r="L1729" s="7"/>
      <c r="N1729" s="7"/>
      <c r="P1729" s="7"/>
      <c r="R1729" s="7"/>
      <c r="T1729" s="7"/>
      <c r="V1729" s="7"/>
      <c r="X1729" s="7"/>
    </row>
    <row r="1730" spans="2:24">
      <c r="B1730" s="7"/>
      <c r="D1730" s="7"/>
      <c r="F1730" s="7"/>
      <c r="H1730" s="7"/>
      <c r="J1730" s="7"/>
      <c r="L1730" s="7"/>
      <c r="N1730" s="7"/>
      <c r="P1730" s="7"/>
      <c r="R1730" s="7"/>
      <c r="T1730" s="7"/>
      <c r="V1730" s="7"/>
      <c r="X1730" s="7"/>
    </row>
    <row r="1731" spans="2:24">
      <c r="B1731" s="7"/>
      <c r="D1731" s="7"/>
      <c r="F1731" s="7"/>
      <c r="H1731" s="7"/>
      <c r="J1731" s="7"/>
      <c r="L1731" s="7"/>
      <c r="N1731" s="7"/>
      <c r="P1731" s="7"/>
      <c r="R1731" s="7"/>
      <c r="T1731" s="7"/>
      <c r="V1731" s="7"/>
      <c r="X1731" s="7"/>
    </row>
    <row r="1732" spans="2:24">
      <c r="B1732" s="7"/>
      <c r="D1732" s="7"/>
      <c r="F1732" s="7"/>
      <c r="H1732" s="7"/>
      <c r="J1732" s="7"/>
      <c r="L1732" s="7"/>
      <c r="N1732" s="7"/>
      <c r="P1732" s="7"/>
      <c r="R1732" s="7"/>
      <c r="T1732" s="7"/>
      <c r="V1732" s="7"/>
      <c r="X1732" s="7"/>
    </row>
    <row r="1733" spans="2:24">
      <c r="B1733" s="7"/>
      <c r="D1733" s="7"/>
      <c r="F1733" s="7"/>
      <c r="H1733" s="7"/>
      <c r="J1733" s="7"/>
      <c r="L1733" s="7"/>
      <c r="N1733" s="7"/>
      <c r="P1733" s="7"/>
      <c r="R1733" s="7"/>
      <c r="T1733" s="7"/>
      <c r="V1733" s="7"/>
      <c r="X1733" s="7"/>
    </row>
    <row r="1734" spans="2:24">
      <c r="B1734" s="7"/>
      <c r="D1734" s="7"/>
      <c r="F1734" s="7"/>
      <c r="H1734" s="7"/>
      <c r="J1734" s="7"/>
      <c r="L1734" s="7"/>
      <c r="N1734" s="7"/>
      <c r="P1734" s="7"/>
      <c r="R1734" s="7"/>
      <c r="T1734" s="7"/>
      <c r="V1734" s="7"/>
      <c r="X1734" s="7"/>
    </row>
    <row r="1735" spans="2:24">
      <c r="B1735" s="7"/>
      <c r="D1735" s="7"/>
      <c r="F1735" s="7"/>
      <c r="H1735" s="7"/>
      <c r="J1735" s="7"/>
      <c r="L1735" s="7"/>
      <c r="N1735" s="7"/>
      <c r="P1735" s="7"/>
      <c r="R1735" s="7"/>
      <c r="T1735" s="7"/>
      <c r="V1735" s="7"/>
      <c r="X1735" s="7"/>
    </row>
    <row r="1736" spans="2:24">
      <c r="B1736" s="7"/>
      <c r="D1736" s="7"/>
      <c r="F1736" s="7"/>
      <c r="H1736" s="7"/>
      <c r="J1736" s="7"/>
      <c r="L1736" s="7"/>
      <c r="N1736" s="7"/>
      <c r="P1736" s="7"/>
      <c r="R1736" s="7"/>
      <c r="T1736" s="7"/>
      <c r="V1736" s="7"/>
      <c r="X1736" s="7"/>
    </row>
    <row r="1737" spans="2:24">
      <c r="B1737" s="7"/>
      <c r="D1737" s="7"/>
      <c r="F1737" s="7"/>
      <c r="H1737" s="7"/>
      <c r="J1737" s="7"/>
      <c r="L1737" s="7"/>
      <c r="N1737" s="7"/>
      <c r="P1737" s="7"/>
      <c r="R1737" s="7"/>
      <c r="T1737" s="7"/>
      <c r="V1737" s="7"/>
      <c r="X1737" s="7"/>
    </row>
    <row r="1738" spans="2:24">
      <c r="B1738" s="7"/>
      <c r="D1738" s="7"/>
      <c r="F1738" s="7"/>
      <c r="H1738" s="7"/>
      <c r="J1738" s="7"/>
      <c r="L1738" s="7"/>
      <c r="N1738" s="7"/>
      <c r="P1738" s="7"/>
      <c r="R1738" s="7"/>
      <c r="T1738" s="7"/>
      <c r="V1738" s="7"/>
      <c r="X1738" s="7"/>
    </row>
    <row r="1739" spans="2:24">
      <c r="B1739" s="7"/>
      <c r="D1739" s="7"/>
      <c r="F1739" s="7"/>
      <c r="H1739" s="7"/>
      <c r="J1739" s="7"/>
      <c r="L1739" s="7"/>
      <c r="N1739" s="7"/>
      <c r="P1739" s="7"/>
      <c r="R1739" s="7"/>
      <c r="T1739" s="7"/>
      <c r="V1739" s="7"/>
      <c r="X1739" s="7"/>
    </row>
    <row r="1740" spans="2:24">
      <c r="B1740" s="7"/>
      <c r="D1740" s="7"/>
      <c r="F1740" s="7"/>
      <c r="H1740" s="7"/>
      <c r="J1740" s="7"/>
      <c r="L1740" s="7"/>
      <c r="N1740" s="7"/>
      <c r="P1740" s="7"/>
      <c r="R1740" s="7"/>
      <c r="T1740" s="7"/>
      <c r="V1740" s="7"/>
      <c r="X1740" s="7"/>
    </row>
    <row r="1741" spans="2:24">
      <c r="B1741" s="7"/>
      <c r="D1741" s="7"/>
      <c r="F1741" s="7"/>
      <c r="H1741" s="7"/>
      <c r="J1741" s="7"/>
      <c r="L1741" s="7"/>
      <c r="N1741" s="7"/>
      <c r="P1741" s="7"/>
      <c r="R1741" s="7"/>
      <c r="T1741" s="7"/>
      <c r="V1741" s="7"/>
      <c r="X1741" s="7"/>
    </row>
    <row r="1742" spans="2:24">
      <c r="B1742" s="7"/>
      <c r="D1742" s="7"/>
      <c r="F1742" s="7"/>
      <c r="H1742" s="7"/>
      <c r="J1742" s="7"/>
      <c r="L1742" s="7"/>
      <c r="N1742" s="7"/>
      <c r="P1742" s="7"/>
      <c r="R1742" s="7"/>
      <c r="T1742" s="7"/>
      <c r="V1742" s="7"/>
      <c r="X1742" s="7"/>
    </row>
    <row r="1743" spans="2:24">
      <c r="B1743" s="7"/>
      <c r="D1743" s="7"/>
      <c r="F1743" s="7"/>
      <c r="H1743" s="7"/>
      <c r="J1743" s="7"/>
      <c r="L1743" s="7"/>
      <c r="N1743" s="7"/>
      <c r="P1743" s="7"/>
      <c r="R1743" s="7"/>
      <c r="T1743" s="7"/>
      <c r="V1743" s="7"/>
      <c r="X1743" s="7"/>
    </row>
    <row r="1744" spans="2:24">
      <c r="B1744" s="7"/>
      <c r="D1744" s="7"/>
      <c r="F1744" s="7"/>
      <c r="H1744" s="7"/>
      <c r="J1744" s="7"/>
      <c r="L1744" s="7"/>
      <c r="N1744" s="7"/>
      <c r="P1744" s="7"/>
      <c r="R1744" s="7"/>
      <c r="T1744" s="7"/>
      <c r="V1744" s="7"/>
      <c r="X1744" s="7"/>
    </row>
    <row r="1745" spans="2:24">
      <c r="B1745" s="7"/>
      <c r="D1745" s="7"/>
      <c r="F1745" s="7"/>
      <c r="H1745" s="7"/>
      <c r="J1745" s="7"/>
      <c r="L1745" s="7"/>
      <c r="N1745" s="7"/>
      <c r="P1745" s="7"/>
      <c r="R1745" s="7"/>
      <c r="T1745" s="7"/>
      <c r="V1745" s="7"/>
      <c r="X1745" s="7"/>
    </row>
    <row r="1746" spans="2:24">
      <c r="B1746" s="7"/>
      <c r="D1746" s="7"/>
      <c r="F1746" s="7"/>
      <c r="H1746" s="7"/>
      <c r="J1746" s="7"/>
      <c r="L1746" s="7"/>
      <c r="N1746" s="7"/>
      <c r="P1746" s="7"/>
      <c r="R1746" s="7"/>
      <c r="T1746" s="7"/>
      <c r="V1746" s="7"/>
      <c r="X1746" s="7"/>
    </row>
    <row r="1747" spans="2:24">
      <c r="B1747" s="7"/>
      <c r="D1747" s="7"/>
      <c r="F1747" s="7"/>
      <c r="H1747" s="7"/>
      <c r="J1747" s="7"/>
      <c r="L1747" s="7"/>
      <c r="N1747" s="7"/>
      <c r="P1747" s="7"/>
      <c r="R1747" s="7"/>
      <c r="T1747" s="7"/>
      <c r="V1747" s="7"/>
      <c r="X1747" s="7"/>
    </row>
    <row r="1748" spans="2:24">
      <c r="B1748" s="7"/>
      <c r="D1748" s="7"/>
      <c r="F1748" s="7"/>
      <c r="H1748" s="7"/>
      <c r="J1748" s="7"/>
      <c r="L1748" s="7"/>
      <c r="N1748" s="7"/>
      <c r="P1748" s="7"/>
      <c r="R1748" s="7"/>
      <c r="T1748" s="7"/>
      <c r="V1748" s="7"/>
      <c r="X1748" s="7"/>
    </row>
    <row r="1749" spans="2:24">
      <c r="B1749" s="7"/>
      <c r="D1749" s="7"/>
      <c r="F1749" s="7"/>
      <c r="H1749" s="7"/>
      <c r="J1749" s="7"/>
      <c r="L1749" s="7"/>
      <c r="N1749" s="7"/>
      <c r="P1749" s="7"/>
      <c r="R1749" s="7"/>
      <c r="T1749" s="7"/>
      <c r="V1749" s="7"/>
      <c r="X1749" s="7"/>
    </row>
    <row r="1750" spans="2:24">
      <c r="B1750" s="7"/>
      <c r="D1750" s="7"/>
      <c r="F1750" s="7"/>
      <c r="H1750" s="7"/>
      <c r="J1750" s="7"/>
      <c r="L1750" s="7"/>
      <c r="N1750" s="7"/>
      <c r="P1750" s="7"/>
      <c r="R1750" s="7"/>
      <c r="T1750" s="7"/>
      <c r="V1750" s="7"/>
      <c r="X1750" s="7"/>
    </row>
    <row r="1751" spans="2:24">
      <c r="B1751" s="7"/>
      <c r="D1751" s="7"/>
      <c r="F1751" s="7"/>
      <c r="H1751" s="7"/>
      <c r="J1751" s="7"/>
      <c r="L1751" s="7"/>
      <c r="N1751" s="7"/>
      <c r="P1751" s="7"/>
      <c r="R1751" s="7"/>
      <c r="T1751" s="7"/>
      <c r="V1751" s="7"/>
      <c r="X1751" s="7"/>
    </row>
    <row r="1752" spans="2:24">
      <c r="B1752" s="7"/>
      <c r="D1752" s="7"/>
      <c r="F1752" s="7"/>
      <c r="H1752" s="7"/>
      <c r="J1752" s="7"/>
      <c r="L1752" s="7"/>
      <c r="N1752" s="7"/>
      <c r="P1752" s="7"/>
      <c r="R1752" s="7"/>
      <c r="T1752" s="7"/>
      <c r="V1752" s="7"/>
      <c r="X1752" s="7"/>
    </row>
    <row r="1753" spans="2:24">
      <c r="B1753" s="7"/>
      <c r="D1753" s="7"/>
      <c r="F1753" s="7"/>
      <c r="H1753" s="7"/>
      <c r="J1753" s="7"/>
      <c r="L1753" s="7"/>
      <c r="N1753" s="7"/>
      <c r="P1753" s="7"/>
      <c r="R1753" s="7"/>
      <c r="T1753" s="7"/>
      <c r="V1753" s="7"/>
      <c r="X1753" s="7"/>
    </row>
    <row r="1754" spans="2:24">
      <c r="B1754" s="7"/>
      <c r="D1754" s="7"/>
      <c r="F1754" s="7"/>
      <c r="H1754" s="7"/>
      <c r="J1754" s="7"/>
      <c r="L1754" s="7"/>
      <c r="N1754" s="7"/>
      <c r="P1754" s="7"/>
      <c r="R1754" s="7"/>
      <c r="T1754" s="7"/>
      <c r="V1754" s="7"/>
      <c r="X1754" s="7"/>
    </row>
    <row r="1755" spans="2:24">
      <c r="B1755" s="7"/>
      <c r="D1755" s="7"/>
      <c r="F1755" s="7"/>
      <c r="H1755" s="7"/>
      <c r="J1755" s="7"/>
      <c r="L1755" s="7"/>
      <c r="N1755" s="7"/>
      <c r="P1755" s="7"/>
      <c r="R1755" s="7"/>
      <c r="T1755" s="7"/>
      <c r="V1755" s="7"/>
      <c r="X1755" s="7"/>
    </row>
    <row r="1756" spans="2:24">
      <c r="B1756" s="7"/>
      <c r="D1756" s="7"/>
      <c r="F1756" s="7"/>
      <c r="H1756" s="7"/>
      <c r="J1756" s="7"/>
      <c r="L1756" s="7"/>
      <c r="N1756" s="7"/>
      <c r="P1756" s="7"/>
      <c r="R1756" s="7"/>
      <c r="T1756" s="7"/>
      <c r="V1756" s="7"/>
      <c r="X1756" s="7"/>
    </row>
    <row r="1757" spans="2:24">
      <c r="B1757" s="7"/>
      <c r="D1757" s="7"/>
      <c r="F1757" s="7"/>
      <c r="H1757" s="7"/>
      <c r="J1757" s="7"/>
      <c r="L1757" s="7"/>
      <c r="N1757" s="7"/>
      <c r="P1757" s="7"/>
      <c r="R1757" s="7"/>
      <c r="T1757" s="7"/>
      <c r="V1757" s="7"/>
      <c r="X1757" s="7"/>
    </row>
    <row r="1758" spans="2:24">
      <c r="B1758" s="7"/>
      <c r="D1758" s="7"/>
      <c r="F1758" s="7"/>
      <c r="H1758" s="7"/>
      <c r="J1758" s="7"/>
      <c r="L1758" s="7"/>
      <c r="N1758" s="7"/>
      <c r="P1758" s="7"/>
      <c r="R1758" s="7"/>
      <c r="T1758" s="7"/>
      <c r="V1758" s="7"/>
      <c r="X1758" s="7"/>
    </row>
    <row r="1759" spans="2:24">
      <c r="B1759" s="7"/>
      <c r="D1759" s="7"/>
      <c r="F1759" s="7"/>
      <c r="H1759" s="7"/>
      <c r="J1759" s="7"/>
      <c r="L1759" s="7"/>
      <c r="N1759" s="7"/>
      <c r="P1759" s="7"/>
      <c r="R1759" s="7"/>
      <c r="T1759" s="7"/>
      <c r="V1759" s="7"/>
      <c r="X1759" s="7"/>
    </row>
    <row r="1760" spans="2:24">
      <c r="B1760" s="7"/>
      <c r="D1760" s="7"/>
      <c r="F1760" s="7"/>
      <c r="H1760" s="7"/>
      <c r="J1760" s="7"/>
      <c r="L1760" s="7"/>
      <c r="N1760" s="7"/>
      <c r="P1760" s="7"/>
      <c r="R1760" s="7"/>
      <c r="T1760" s="7"/>
      <c r="V1760" s="7"/>
      <c r="X1760" s="7"/>
    </row>
    <row r="1761" spans="2:24">
      <c r="B1761" s="7"/>
      <c r="D1761" s="7"/>
      <c r="F1761" s="7"/>
      <c r="H1761" s="7"/>
      <c r="J1761" s="7"/>
      <c r="L1761" s="7"/>
      <c r="N1761" s="7"/>
      <c r="P1761" s="7"/>
      <c r="R1761" s="7"/>
      <c r="T1761" s="7"/>
      <c r="V1761" s="7"/>
      <c r="X1761" s="7"/>
    </row>
    <row r="1762" spans="2:24">
      <c r="B1762" s="7"/>
      <c r="D1762" s="7"/>
      <c r="F1762" s="7"/>
      <c r="H1762" s="7"/>
      <c r="J1762" s="7"/>
      <c r="L1762" s="7"/>
      <c r="N1762" s="7"/>
      <c r="P1762" s="7"/>
      <c r="R1762" s="7"/>
      <c r="T1762" s="7"/>
      <c r="V1762" s="7"/>
      <c r="X1762" s="7"/>
    </row>
    <row r="1763" spans="2:24">
      <c r="B1763" s="7"/>
      <c r="D1763" s="7"/>
      <c r="F1763" s="7"/>
      <c r="H1763" s="7"/>
      <c r="J1763" s="7"/>
      <c r="L1763" s="7"/>
      <c r="N1763" s="7"/>
      <c r="P1763" s="7"/>
      <c r="R1763" s="7"/>
      <c r="T1763" s="7"/>
      <c r="V1763" s="7"/>
      <c r="X1763" s="7"/>
    </row>
    <row r="1764" spans="2:24">
      <c r="B1764" s="7"/>
      <c r="D1764" s="7"/>
      <c r="F1764" s="7"/>
      <c r="H1764" s="7"/>
      <c r="J1764" s="7"/>
      <c r="L1764" s="7"/>
      <c r="N1764" s="7"/>
      <c r="P1764" s="7"/>
      <c r="R1764" s="7"/>
      <c r="T1764" s="7"/>
      <c r="V1764" s="7"/>
      <c r="X1764" s="7"/>
    </row>
    <row r="1765" spans="2:24">
      <c r="B1765" s="7"/>
      <c r="D1765" s="7"/>
      <c r="F1765" s="7"/>
      <c r="H1765" s="7"/>
      <c r="J1765" s="7"/>
      <c r="L1765" s="7"/>
      <c r="N1765" s="7"/>
      <c r="P1765" s="7"/>
      <c r="R1765" s="7"/>
      <c r="T1765" s="7"/>
      <c r="V1765" s="7"/>
      <c r="X1765" s="7"/>
    </row>
    <row r="1766" spans="2:24">
      <c r="B1766" s="7"/>
      <c r="D1766" s="7"/>
      <c r="F1766" s="7"/>
      <c r="H1766" s="7"/>
      <c r="J1766" s="7"/>
      <c r="L1766" s="7"/>
      <c r="N1766" s="7"/>
      <c r="P1766" s="7"/>
      <c r="R1766" s="7"/>
      <c r="T1766" s="7"/>
      <c r="V1766" s="7"/>
      <c r="X1766" s="7"/>
    </row>
    <row r="1767" spans="2:24">
      <c r="B1767" s="7"/>
      <c r="D1767" s="7"/>
      <c r="F1767" s="7"/>
      <c r="H1767" s="7"/>
      <c r="J1767" s="7"/>
      <c r="L1767" s="7"/>
      <c r="N1767" s="7"/>
      <c r="P1767" s="7"/>
      <c r="R1767" s="7"/>
      <c r="T1767" s="7"/>
      <c r="V1767" s="7"/>
      <c r="X1767" s="7"/>
    </row>
    <row r="1768" spans="2:24">
      <c r="B1768" s="7"/>
      <c r="D1768" s="7"/>
      <c r="F1768" s="7"/>
      <c r="H1768" s="7"/>
      <c r="J1768" s="7"/>
      <c r="L1768" s="7"/>
      <c r="N1768" s="7"/>
      <c r="P1768" s="7"/>
      <c r="R1768" s="7"/>
      <c r="T1768" s="7"/>
      <c r="V1768" s="7"/>
      <c r="X1768" s="7"/>
    </row>
    <row r="1769" spans="2:24">
      <c r="B1769" s="7"/>
      <c r="D1769" s="7"/>
      <c r="F1769" s="7"/>
      <c r="H1769" s="7"/>
      <c r="J1769" s="7"/>
      <c r="L1769" s="7"/>
      <c r="N1769" s="7"/>
      <c r="P1769" s="7"/>
      <c r="R1769" s="7"/>
      <c r="T1769" s="7"/>
      <c r="V1769" s="7"/>
      <c r="X1769" s="7"/>
    </row>
    <row r="1770" spans="2:24">
      <c r="B1770" s="7"/>
      <c r="D1770" s="7"/>
      <c r="F1770" s="7"/>
      <c r="H1770" s="7"/>
      <c r="J1770" s="7"/>
      <c r="L1770" s="7"/>
      <c r="N1770" s="7"/>
      <c r="P1770" s="7"/>
      <c r="R1770" s="7"/>
      <c r="T1770" s="7"/>
      <c r="V1770" s="7"/>
      <c r="X1770" s="7"/>
    </row>
    <row r="1771" spans="2:24">
      <c r="B1771" s="7"/>
      <c r="D1771" s="7"/>
      <c r="F1771" s="7"/>
      <c r="H1771" s="7"/>
      <c r="J1771" s="7"/>
      <c r="L1771" s="7"/>
      <c r="N1771" s="7"/>
      <c r="P1771" s="7"/>
      <c r="R1771" s="7"/>
      <c r="T1771" s="7"/>
      <c r="V1771" s="7"/>
      <c r="X1771" s="7"/>
    </row>
    <row r="1772" spans="2:24">
      <c r="B1772" s="7"/>
      <c r="D1772" s="7"/>
      <c r="F1772" s="7"/>
      <c r="H1772" s="7"/>
      <c r="J1772" s="7"/>
      <c r="L1772" s="7"/>
      <c r="N1772" s="7"/>
      <c r="P1772" s="7"/>
      <c r="R1772" s="7"/>
      <c r="T1772" s="7"/>
      <c r="V1772" s="7"/>
      <c r="X1772" s="7"/>
    </row>
    <row r="1773" spans="2:24">
      <c r="B1773" s="7"/>
      <c r="D1773" s="7"/>
      <c r="F1773" s="7"/>
      <c r="H1773" s="7"/>
      <c r="J1773" s="7"/>
      <c r="L1773" s="7"/>
      <c r="N1773" s="7"/>
      <c r="P1773" s="7"/>
      <c r="R1773" s="7"/>
      <c r="T1773" s="7"/>
      <c r="V1773" s="7"/>
      <c r="X1773" s="7"/>
    </row>
    <row r="1774" spans="2:24">
      <c r="B1774" s="7"/>
      <c r="D1774" s="7"/>
      <c r="F1774" s="7"/>
      <c r="H1774" s="7"/>
      <c r="J1774" s="7"/>
      <c r="L1774" s="7"/>
      <c r="N1774" s="7"/>
      <c r="P1774" s="7"/>
      <c r="R1774" s="7"/>
      <c r="T1774" s="7"/>
      <c r="V1774" s="7"/>
      <c r="X1774" s="7"/>
    </row>
    <row r="1775" spans="2:24">
      <c r="B1775" s="7"/>
      <c r="D1775" s="7"/>
      <c r="F1775" s="7"/>
      <c r="H1775" s="7"/>
      <c r="J1775" s="7"/>
      <c r="L1775" s="7"/>
      <c r="N1775" s="7"/>
      <c r="P1775" s="7"/>
      <c r="R1775" s="7"/>
      <c r="T1775" s="7"/>
      <c r="V1775" s="7"/>
      <c r="X1775" s="7"/>
    </row>
    <row r="1776" spans="2:24">
      <c r="B1776" s="7"/>
      <c r="D1776" s="7"/>
      <c r="F1776" s="7"/>
      <c r="H1776" s="7"/>
      <c r="J1776" s="7"/>
      <c r="L1776" s="7"/>
      <c r="N1776" s="7"/>
      <c r="P1776" s="7"/>
      <c r="R1776" s="7"/>
      <c r="T1776" s="7"/>
      <c r="V1776" s="7"/>
      <c r="X1776" s="7"/>
    </row>
    <row r="1777" spans="2:24">
      <c r="B1777" s="7"/>
      <c r="D1777" s="7"/>
      <c r="F1777" s="7"/>
      <c r="H1777" s="7"/>
      <c r="J1777" s="7"/>
      <c r="L1777" s="7"/>
      <c r="N1777" s="7"/>
      <c r="P1777" s="7"/>
      <c r="R1777" s="7"/>
      <c r="T1777" s="7"/>
      <c r="V1777" s="7"/>
      <c r="X1777" s="7"/>
    </row>
    <row r="1778" spans="2:24">
      <c r="B1778" s="7"/>
      <c r="D1778" s="7"/>
      <c r="F1778" s="7"/>
      <c r="H1778" s="7"/>
      <c r="J1778" s="7"/>
      <c r="L1778" s="7"/>
      <c r="N1778" s="7"/>
      <c r="P1778" s="7"/>
      <c r="R1778" s="7"/>
      <c r="T1778" s="7"/>
      <c r="V1778" s="7"/>
      <c r="X1778" s="7"/>
    </row>
    <row r="1779" spans="2:24">
      <c r="B1779" s="7"/>
      <c r="D1779" s="7"/>
      <c r="F1779" s="7"/>
      <c r="H1779" s="7"/>
      <c r="J1779" s="7"/>
      <c r="L1779" s="7"/>
      <c r="N1779" s="7"/>
      <c r="P1779" s="7"/>
      <c r="R1779" s="7"/>
      <c r="T1779" s="7"/>
      <c r="V1779" s="7"/>
      <c r="X1779" s="7"/>
    </row>
    <row r="1780" spans="2:24">
      <c r="B1780" s="7"/>
      <c r="D1780" s="7"/>
      <c r="F1780" s="7"/>
      <c r="H1780" s="7"/>
      <c r="J1780" s="7"/>
      <c r="L1780" s="7"/>
      <c r="N1780" s="7"/>
      <c r="P1780" s="7"/>
      <c r="R1780" s="7"/>
      <c r="T1780" s="7"/>
      <c r="V1780" s="7"/>
      <c r="X1780" s="7"/>
    </row>
    <row r="1781" spans="2:24">
      <c r="B1781" s="7"/>
      <c r="D1781" s="7"/>
      <c r="F1781" s="7"/>
      <c r="H1781" s="7"/>
      <c r="J1781" s="7"/>
      <c r="L1781" s="7"/>
      <c r="N1781" s="7"/>
      <c r="P1781" s="7"/>
      <c r="R1781" s="7"/>
      <c r="T1781" s="7"/>
      <c r="V1781" s="7"/>
      <c r="X1781" s="7"/>
    </row>
    <row r="1782" spans="2:24">
      <c r="B1782" s="7"/>
      <c r="D1782" s="7"/>
      <c r="F1782" s="7"/>
      <c r="H1782" s="7"/>
      <c r="J1782" s="7"/>
      <c r="L1782" s="7"/>
      <c r="N1782" s="7"/>
      <c r="P1782" s="7"/>
      <c r="R1782" s="7"/>
      <c r="T1782" s="7"/>
      <c r="V1782" s="7"/>
      <c r="X1782" s="7"/>
    </row>
    <row r="1783" spans="2:24">
      <c r="B1783" s="7"/>
      <c r="D1783" s="7"/>
      <c r="F1783" s="7"/>
      <c r="H1783" s="7"/>
      <c r="J1783" s="7"/>
      <c r="L1783" s="7"/>
      <c r="N1783" s="7"/>
      <c r="P1783" s="7"/>
      <c r="R1783" s="7"/>
      <c r="T1783" s="7"/>
      <c r="V1783" s="7"/>
      <c r="X1783" s="7"/>
    </row>
    <row r="1784" spans="2:24">
      <c r="B1784" s="7"/>
      <c r="D1784" s="7"/>
      <c r="F1784" s="7"/>
      <c r="H1784" s="7"/>
      <c r="J1784" s="7"/>
      <c r="L1784" s="7"/>
      <c r="N1784" s="7"/>
      <c r="P1784" s="7"/>
      <c r="R1784" s="7"/>
      <c r="T1784" s="7"/>
      <c r="V1784" s="7"/>
      <c r="X1784" s="7"/>
    </row>
    <row r="1785" spans="2:24">
      <c r="B1785" s="7"/>
      <c r="D1785" s="7"/>
      <c r="F1785" s="7"/>
      <c r="H1785" s="7"/>
      <c r="J1785" s="7"/>
      <c r="L1785" s="7"/>
      <c r="N1785" s="7"/>
      <c r="P1785" s="7"/>
      <c r="R1785" s="7"/>
      <c r="T1785" s="7"/>
      <c r="V1785" s="7"/>
      <c r="X1785" s="7"/>
    </row>
    <row r="1786" spans="2:24">
      <c r="B1786" s="7"/>
      <c r="D1786" s="7"/>
      <c r="F1786" s="7"/>
      <c r="H1786" s="7"/>
      <c r="J1786" s="7"/>
      <c r="L1786" s="7"/>
      <c r="N1786" s="7"/>
      <c r="P1786" s="7"/>
      <c r="R1786" s="7"/>
      <c r="T1786" s="7"/>
      <c r="V1786" s="7"/>
      <c r="X1786" s="7"/>
    </row>
    <row r="1787" spans="2:24">
      <c r="B1787" s="7"/>
      <c r="D1787" s="7"/>
      <c r="F1787" s="7"/>
      <c r="H1787" s="7"/>
      <c r="J1787" s="7"/>
      <c r="L1787" s="7"/>
      <c r="N1787" s="7"/>
      <c r="P1787" s="7"/>
      <c r="R1787" s="7"/>
      <c r="T1787" s="7"/>
      <c r="V1787" s="7"/>
      <c r="X1787" s="7"/>
    </row>
    <row r="1788" spans="2:24">
      <c r="B1788" s="7"/>
      <c r="D1788" s="7"/>
      <c r="F1788" s="7"/>
      <c r="H1788" s="7"/>
      <c r="J1788" s="7"/>
      <c r="L1788" s="7"/>
      <c r="N1788" s="7"/>
      <c r="P1788" s="7"/>
      <c r="R1788" s="7"/>
      <c r="T1788" s="7"/>
      <c r="V1788" s="7"/>
      <c r="X1788" s="7"/>
    </row>
    <row r="1789" spans="2:24">
      <c r="B1789" s="7"/>
      <c r="D1789" s="7"/>
      <c r="F1789" s="7"/>
      <c r="H1789" s="7"/>
      <c r="J1789" s="7"/>
      <c r="L1789" s="7"/>
      <c r="N1789" s="7"/>
      <c r="P1789" s="7"/>
      <c r="R1789" s="7"/>
      <c r="T1789" s="7"/>
      <c r="V1789" s="7"/>
      <c r="X1789" s="7"/>
    </row>
    <row r="1790" spans="2:24">
      <c r="B1790" s="7"/>
      <c r="D1790" s="7"/>
      <c r="F1790" s="7"/>
      <c r="H1790" s="7"/>
      <c r="J1790" s="7"/>
      <c r="L1790" s="7"/>
      <c r="N1790" s="7"/>
      <c r="P1790" s="7"/>
      <c r="R1790" s="7"/>
      <c r="T1790" s="7"/>
      <c r="V1790" s="7"/>
      <c r="X1790" s="7"/>
    </row>
    <row r="1791" spans="2:24">
      <c r="B1791" s="7"/>
      <c r="D1791" s="7"/>
      <c r="F1791" s="7"/>
      <c r="H1791" s="7"/>
      <c r="J1791" s="7"/>
      <c r="L1791" s="7"/>
      <c r="N1791" s="7"/>
      <c r="P1791" s="7"/>
      <c r="R1791" s="7"/>
      <c r="T1791" s="7"/>
      <c r="V1791" s="7"/>
      <c r="X1791" s="7"/>
    </row>
    <row r="1792" spans="2:24">
      <c r="B1792" s="7"/>
      <c r="D1792" s="7"/>
      <c r="F1792" s="7"/>
      <c r="H1792" s="7"/>
      <c r="J1792" s="7"/>
      <c r="L1792" s="7"/>
      <c r="N1792" s="7"/>
      <c r="P1792" s="7"/>
      <c r="R1792" s="7"/>
      <c r="T1792" s="7"/>
      <c r="V1792" s="7"/>
      <c r="X1792" s="7"/>
    </row>
    <row r="1793" spans="2:24">
      <c r="B1793" s="7"/>
      <c r="D1793" s="7"/>
      <c r="F1793" s="7"/>
      <c r="H1793" s="7"/>
      <c r="J1793" s="7"/>
      <c r="L1793" s="7"/>
      <c r="N1793" s="7"/>
      <c r="P1793" s="7"/>
      <c r="R1793" s="7"/>
      <c r="T1793" s="7"/>
      <c r="V1793" s="7"/>
      <c r="X1793" s="7"/>
    </row>
    <row r="1794" spans="2:24">
      <c r="B1794" s="7"/>
      <c r="D1794" s="7"/>
      <c r="F1794" s="7"/>
      <c r="H1794" s="7"/>
      <c r="J1794" s="7"/>
      <c r="L1794" s="7"/>
      <c r="N1794" s="7"/>
      <c r="P1794" s="7"/>
      <c r="R1794" s="7"/>
      <c r="T1794" s="7"/>
      <c r="V1794" s="7"/>
      <c r="X1794" s="7"/>
    </row>
    <row r="1795" spans="2:24">
      <c r="B1795" s="7"/>
      <c r="D1795" s="7"/>
      <c r="F1795" s="7"/>
      <c r="H1795" s="7"/>
      <c r="J1795" s="7"/>
      <c r="L1795" s="7"/>
      <c r="N1795" s="7"/>
      <c r="P1795" s="7"/>
      <c r="R1795" s="7"/>
      <c r="T1795" s="7"/>
      <c r="V1795" s="7"/>
      <c r="X1795" s="7"/>
    </row>
    <row r="1796" spans="2:24">
      <c r="B1796" s="7"/>
      <c r="D1796" s="7"/>
      <c r="F1796" s="7"/>
      <c r="H1796" s="7"/>
      <c r="J1796" s="7"/>
      <c r="L1796" s="7"/>
      <c r="N1796" s="7"/>
      <c r="P1796" s="7"/>
      <c r="R1796" s="7"/>
      <c r="T1796" s="7"/>
      <c r="V1796" s="7"/>
      <c r="X1796" s="7"/>
    </row>
    <row r="1797" spans="2:24">
      <c r="B1797" s="7"/>
      <c r="D1797" s="7"/>
      <c r="F1797" s="7"/>
      <c r="H1797" s="7"/>
      <c r="J1797" s="7"/>
      <c r="L1797" s="7"/>
      <c r="N1797" s="7"/>
      <c r="P1797" s="7"/>
      <c r="R1797" s="7"/>
      <c r="T1797" s="7"/>
      <c r="V1797" s="7"/>
      <c r="X1797" s="7"/>
    </row>
    <row r="1798" spans="2:24">
      <c r="B1798" s="7"/>
      <c r="D1798" s="7"/>
      <c r="F1798" s="7"/>
      <c r="H1798" s="7"/>
      <c r="J1798" s="7"/>
      <c r="L1798" s="7"/>
      <c r="N1798" s="7"/>
      <c r="P1798" s="7"/>
      <c r="R1798" s="7"/>
      <c r="T1798" s="7"/>
      <c r="V1798" s="7"/>
      <c r="X1798" s="7"/>
    </row>
    <row r="1799" spans="2:24">
      <c r="B1799" s="7"/>
      <c r="D1799" s="7"/>
      <c r="F1799" s="7"/>
      <c r="H1799" s="7"/>
      <c r="J1799" s="7"/>
      <c r="L1799" s="7"/>
      <c r="N1799" s="7"/>
      <c r="P1799" s="7"/>
      <c r="R1799" s="7"/>
      <c r="T1799" s="7"/>
      <c r="V1799" s="7"/>
      <c r="X1799" s="7"/>
    </row>
    <row r="1800" spans="2:24">
      <c r="B1800" s="7"/>
      <c r="D1800" s="7"/>
      <c r="F1800" s="7"/>
      <c r="H1800" s="7"/>
      <c r="J1800" s="7"/>
      <c r="L1800" s="7"/>
      <c r="N1800" s="7"/>
      <c r="P1800" s="7"/>
      <c r="R1800" s="7"/>
      <c r="T1800" s="7"/>
      <c r="V1800" s="7"/>
      <c r="X1800" s="7"/>
    </row>
    <row r="1801" spans="2:24">
      <c r="B1801" s="7"/>
      <c r="D1801" s="7"/>
      <c r="F1801" s="7"/>
      <c r="H1801" s="7"/>
      <c r="J1801" s="7"/>
      <c r="L1801" s="7"/>
      <c r="N1801" s="7"/>
      <c r="P1801" s="7"/>
      <c r="R1801" s="7"/>
      <c r="T1801" s="7"/>
      <c r="V1801" s="7"/>
      <c r="X1801" s="7"/>
    </row>
    <row r="1802" spans="2:24">
      <c r="B1802" s="7"/>
      <c r="D1802" s="7"/>
      <c r="F1802" s="7"/>
      <c r="H1802" s="7"/>
      <c r="J1802" s="7"/>
      <c r="L1802" s="7"/>
      <c r="N1802" s="7"/>
      <c r="P1802" s="7"/>
      <c r="R1802" s="7"/>
      <c r="T1802" s="7"/>
      <c r="V1802" s="7"/>
      <c r="X1802" s="7"/>
    </row>
    <row r="1803" spans="2:24">
      <c r="B1803" s="7"/>
      <c r="D1803" s="7"/>
      <c r="F1803" s="7"/>
      <c r="H1803" s="7"/>
      <c r="J1803" s="7"/>
      <c r="L1803" s="7"/>
      <c r="N1803" s="7"/>
      <c r="P1803" s="7"/>
      <c r="R1803" s="7"/>
      <c r="T1803" s="7"/>
      <c r="V1803" s="7"/>
      <c r="X1803" s="7"/>
    </row>
    <row r="1804" spans="2:24">
      <c r="B1804" s="7"/>
      <c r="D1804" s="7"/>
      <c r="F1804" s="7"/>
      <c r="H1804" s="7"/>
      <c r="J1804" s="7"/>
      <c r="L1804" s="7"/>
      <c r="N1804" s="7"/>
      <c r="P1804" s="7"/>
      <c r="R1804" s="7"/>
      <c r="T1804" s="7"/>
      <c r="V1804" s="7"/>
      <c r="X1804" s="7"/>
    </row>
    <row r="1805" spans="2:24">
      <c r="B1805" s="7"/>
      <c r="D1805" s="7"/>
      <c r="F1805" s="7"/>
      <c r="H1805" s="7"/>
      <c r="J1805" s="7"/>
      <c r="L1805" s="7"/>
      <c r="N1805" s="7"/>
      <c r="P1805" s="7"/>
      <c r="R1805" s="7"/>
      <c r="T1805" s="7"/>
      <c r="V1805" s="7"/>
      <c r="X1805" s="7"/>
    </row>
    <row r="1806" spans="2:24">
      <c r="B1806" s="7"/>
      <c r="D1806" s="7"/>
      <c r="F1806" s="7"/>
      <c r="H1806" s="7"/>
      <c r="J1806" s="7"/>
      <c r="L1806" s="7"/>
      <c r="N1806" s="7"/>
      <c r="P1806" s="7"/>
      <c r="R1806" s="7"/>
      <c r="T1806" s="7"/>
      <c r="V1806" s="7"/>
      <c r="X1806" s="7"/>
    </row>
    <row r="1807" spans="2:24">
      <c r="B1807" s="7"/>
      <c r="D1807" s="7"/>
      <c r="F1807" s="7"/>
      <c r="H1807" s="7"/>
      <c r="J1807" s="7"/>
      <c r="L1807" s="7"/>
      <c r="N1807" s="7"/>
      <c r="P1807" s="7"/>
      <c r="R1807" s="7"/>
      <c r="T1807" s="7"/>
      <c r="V1807" s="7"/>
      <c r="X1807" s="7"/>
    </row>
    <row r="1808" spans="2:24">
      <c r="B1808" s="7"/>
      <c r="D1808" s="7"/>
      <c r="F1808" s="7"/>
      <c r="H1808" s="7"/>
      <c r="J1808" s="7"/>
      <c r="L1808" s="7"/>
      <c r="N1808" s="7"/>
      <c r="P1808" s="7"/>
      <c r="R1808" s="7"/>
      <c r="T1808" s="7"/>
      <c r="V1808" s="7"/>
      <c r="X1808" s="7"/>
    </row>
    <row r="1809" spans="2:24">
      <c r="B1809" s="7"/>
      <c r="D1809" s="7"/>
      <c r="F1809" s="7"/>
      <c r="H1809" s="7"/>
      <c r="J1809" s="7"/>
      <c r="L1809" s="7"/>
      <c r="N1809" s="7"/>
      <c r="P1809" s="7"/>
      <c r="R1809" s="7"/>
      <c r="T1809" s="7"/>
      <c r="V1809" s="7"/>
      <c r="X1809" s="7"/>
    </row>
    <row r="1810" spans="2:24">
      <c r="B1810" s="7"/>
      <c r="D1810" s="7"/>
      <c r="F1810" s="7"/>
      <c r="H1810" s="7"/>
      <c r="J1810" s="7"/>
      <c r="L1810" s="7"/>
      <c r="N1810" s="7"/>
      <c r="P1810" s="7"/>
      <c r="R1810" s="7"/>
      <c r="T1810" s="7"/>
      <c r="V1810" s="7"/>
      <c r="X1810" s="7"/>
    </row>
    <row r="1811" spans="2:24">
      <c r="B1811" s="7"/>
      <c r="D1811" s="7"/>
      <c r="F1811" s="7"/>
      <c r="H1811" s="7"/>
      <c r="J1811" s="7"/>
      <c r="L1811" s="7"/>
      <c r="N1811" s="7"/>
      <c r="P1811" s="7"/>
      <c r="R1811" s="7"/>
      <c r="T1811" s="7"/>
      <c r="V1811" s="7"/>
      <c r="X1811" s="7"/>
    </row>
    <row r="1812" spans="2:24">
      <c r="B1812" s="7"/>
      <c r="D1812" s="7"/>
      <c r="F1812" s="7"/>
      <c r="H1812" s="7"/>
      <c r="J1812" s="7"/>
      <c r="L1812" s="7"/>
      <c r="N1812" s="7"/>
      <c r="P1812" s="7"/>
      <c r="R1812" s="7"/>
      <c r="T1812" s="7"/>
      <c r="V1812" s="7"/>
      <c r="X1812" s="7"/>
    </row>
    <row r="1813" spans="2:24">
      <c r="B1813" s="7"/>
      <c r="D1813" s="7"/>
      <c r="F1813" s="7"/>
      <c r="H1813" s="7"/>
      <c r="J1813" s="7"/>
      <c r="L1813" s="7"/>
      <c r="N1813" s="7"/>
      <c r="P1813" s="7"/>
      <c r="R1813" s="7"/>
      <c r="T1813" s="7"/>
      <c r="V1813" s="7"/>
      <c r="X1813" s="7"/>
    </row>
    <row r="1814" spans="2:24">
      <c r="B1814" s="7"/>
      <c r="D1814" s="7"/>
      <c r="F1814" s="7"/>
      <c r="H1814" s="7"/>
      <c r="J1814" s="7"/>
      <c r="L1814" s="7"/>
      <c r="N1814" s="7"/>
      <c r="P1814" s="7"/>
      <c r="R1814" s="7"/>
      <c r="T1814" s="7"/>
      <c r="V1814" s="7"/>
      <c r="X1814" s="7"/>
    </row>
    <row r="1815" spans="2:24">
      <c r="B1815" s="7"/>
      <c r="D1815" s="7"/>
      <c r="F1815" s="7"/>
      <c r="H1815" s="7"/>
      <c r="J1815" s="7"/>
      <c r="L1815" s="7"/>
      <c r="N1815" s="7"/>
      <c r="P1815" s="7"/>
      <c r="R1815" s="7"/>
      <c r="T1815" s="7"/>
      <c r="V1815" s="7"/>
      <c r="X1815" s="7"/>
    </row>
    <row r="1816" spans="2:24">
      <c r="B1816" s="7"/>
      <c r="D1816" s="7"/>
      <c r="F1816" s="7"/>
      <c r="H1816" s="7"/>
      <c r="J1816" s="7"/>
      <c r="L1816" s="7"/>
      <c r="N1816" s="7"/>
      <c r="P1816" s="7"/>
      <c r="R1816" s="7"/>
      <c r="T1816" s="7"/>
      <c r="V1816" s="7"/>
      <c r="X1816" s="7"/>
    </row>
    <row r="1817" spans="2:24">
      <c r="B1817" s="7"/>
      <c r="D1817" s="7"/>
      <c r="F1817" s="7"/>
      <c r="H1817" s="7"/>
      <c r="J1817" s="7"/>
      <c r="L1817" s="7"/>
      <c r="N1817" s="7"/>
      <c r="P1817" s="7"/>
      <c r="R1817" s="7"/>
      <c r="T1817" s="7"/>
      <c r="V1817" s="7"/>
      <c r="X1817" s="7"/>
    </row>
    <row r="1818" spans="2:24">
      <c r="B1818" s="7"/>
      <c r="D1818" s="7"/>
      <c r="F1818" s="7"/>
      <c r="H1818" s="7"/>
      <c r="J1818" s="7"/>
      <c r="L1818" s="7"/>
      <c r="N1818" s="7"/>
      <c r="P1818" s="7"/>
      <c r="R1818" s="7"/>
      <c r="T1818" s="7"/>
      <c r="V1818" s="7"/>
      <c r="X1818" s="7"/>
    </row>
    <row r="1819" spans="2:24">
      <c r="B1819" s="7"/>
      <c r="D1819" s="7"/>
      <c r="F1819" s="7"/>
      <c r="H1819" s="7"/>
      <c r="J1819" s="7"/>
      <c r="L1819" s="7"/>
      <c r="N1819" s="7"/>
      <c r="P1819" s="7"/>
      <c r="R1819" s="7"/>
      <c r="T1819" s="7"/>
      <c r="V1819" s="7"/>
      <c r="X1819" s="7"/>
    </row>
    <row r="1820" spans="2:24">
      <c r="B1820" s="7"/>
      <c r="D1820" s="7"/>
      <c r="F1820" s="7"/>
      <c r="H1820" s="7"/>
      <c r="J1820" s="7"/>
      <c r="L1820" s="7"/>
      <c r="N1820" s="7"/>
      <c r="P1820" s="7"/>
      <c r="R1820" s="7"/>
      <c r="T1820" s="7"/>
      <c r="V1820" s="7"/>
      <c r="X1820" s="7"/>
    </row>
    <row r="1821" spans="2:24">
      <c r="B1821" s="7"/>
      <c r="D1821" s="7"/>
      <c r="F1821" s="7"/>
      <c r="H1821" s="7"/>
      <c r="J1821" s="7"/>
      <c r="L1821" s="7"/>
      <c r="N1821" s="7"/>
      <c r="P1821" s="7"/>
      <c r="R1821" s="7"/>
      <c r="T1821" s="7"/>
      <c r="V1821" s="7"/>
      <c r="X1821" s="7"/>
    </row>
    <row r="1822" spans="2:24">
      <c r="B1822" s="7"/>
      <c r="D1822" s="7"/>
      <c r="F1822" s="7"/>
      <c r="H1822" s="7"/>
      <c r="J1822" s="7"/>
      <c r="L1822" s="7"/>
      <c r="N1822" s="7"/>
      <c r="P1822" s="7"/>
      <c r="R1822" s="7"/>
      <c r="T1822" s="7"/>
      <c r="V1822" s="7"/>
      <c r="X1822" s="7"/>
    </row>
    <row r="1823" spans="2:24">
      <c r="B1823" s="7"/>
      <c r="D1823" s="7"/>
      <c r="F1823" s="7"/>
      <c r="H1823" s="7"/>
      <c r="J1823" s="7"/>
      <c r="L1823" s="7"/>
      <c r="N1823" s="7"/>
      <c r="P1823" s="7"/>
      <c r="R1823" s="7"/>
      <c r="T1823" s="7"/>
      <c r="V1823" s="7"/>
      <c r="X1823" s="7"/>
    </row>
    <row r="1824" spans="2:24">
      <c r="B1824" s="7"/>
      <c r="D1824" s="7"/>
      <c r="F1824" s="7"/>
      <c r="H1824" s="7"/>
      <c r="J1824" s="7"/>
      <c r="L1824" s="7"/>
      <c r="N1824" s="7"/>
      <c r="P1824" s="7"/>
      <c r="R1824" s="7"/>
      <c r="T1824" s="7"/>
      <c r="V1824" s="7"/>
      <c r="X1824" s="7"/>
    </row>
    <row r="1825" spans="2:24">
      <c r="B1825" s="7"/>
      <c r="D1825" s="7"/>
      <c r="F1825" s="7"/>
      <c r="H1825" s="7"/>
      <c r="J1825" s="7"/>
      <c r="L1825" s="7"/>
      <c r="N1825" s="7"/>
      <c r="P1825" s="7"/>
      <c r="R1825" s="7"/>
      <c r="T1825" s="7"/>
      <c r="V1825" s="7"/>
      <c r="X1825" s="7"/>
    </row>
    <row r="1826" spans="2:24">
      <c r="B1826" s="7"/>
      <c r="D1826" s="7"/>
      <c r="F1826" s="7"/>
      <c r="H1826" s="7"/>
      <c r="J1826" s="7"/>
      <c r="L1826" s="7"/>
      <c r="N1826" s="7"/>
      <c r="P1826" s="7"/>
      <c r="R1826" s="7"/>
      <c r="T1826" s="7"/>
      <c r="V1826" s="7"/>
      <c r="X1826" s="7"/>
    </row>
    <row r="1827" spans="2:24">
      <c r="B1827" s="7"/>
      <c r="D1827" s="7"/>
      <c r="F1827" s="7"/>
      <c r="H1827" s="7"/>
      <c r="J1827" s="7"/>
      <c r="L1827" s="7"/>
      <c r="N1827" s="7"/>
      <c r="P1827" s="7"/>
      <c r="R1827" s="7"/>
      <c r="T1827" s="7"/>
      <c r="V1827" s="7"/>
      <c r="X1827" s="7"/>
    </row>
    <row r="1828" spans="2:24">
      <c r="B1828" s="7"/>
      <c r="D1828" s="7"/>
      <c r="F1828" s="7"/>
      <c r="H1828" s="7"/>
      <c r="J1828" s="7"/>
      <c r="L1828" s="7"/>
      <c r="N1828" s="7"/>
      <c r="P1828" s="7"/>
      <c r="R1828" s="7"/>
      <c r="T1828" s="7"/>
      <c r="V1828" s="7"/>
      <c r="X1828" s="7"/>
    </row>
    <row r="1829" spans="2:24">
      <c r="B1829" s="7"/>
      <c r="D1829" s="7"/>
      <c r="F1829" s="7"/>
      <c r="H1829" s="7"/>
      <c r="J1829" s="7"/>
      <c r="L1829" s="7"/>
      <c r="N1829" s="7"/>
      <c r="P1829" s="7"/>
      <c r="R1829" s="7"/>
      <c r="T1829" s="7"/>
      <c r="V1829" s="7"/>
      <c r="X1829" s="7"/>
    </row>
    <row r="1830" spans="2:24">
      <c r="B1830" s="7"/>
      <c r="D1830" s="7"/>
      <c r="F1830" s="7"/>
      <c r="H1830" s="7"/>
      <c r="J1830" s="7"/>
      <c r="L1830" s="7"/>
      <c r="N1830" s="7"/>
      <c r="P1830" s="7"/>
      <c r="R1830" s="7"/>
      <c r="T1830" s="7"/>
      <c r="V1830" s="7"/>
      <c r="X1830" s="7"/>
    </row>
    <row r="1831" spans="2:24">
      <c r="B1831" s="7"/>
      <c r="D1831" s="7"/>
      <c r="F1831" s="7"/>
      <c r="H1831" s="7"/>
      <c r="J1831" s="7"/>
      <c r="L1831" s="7"/>
      <c r="N1831" s="7"/>
      <c r="P1831" s="7"/>
      <c r="R1831" s="7"/>
      <c r="T1831" s="7"/>
      <c r="V1831" s="7"/>
      <c r="X1831" s="7"/>
    </row>
    <row r="1832" spans="2:24">
      <c r="B1832" s="7"/>
      <c r="D1832" s="7"/>
      <c r="F1832" s="7"/>
      <c r="H1832" s="7"/>
      <c r="J1832" s="7"/>
      <c r="L1832" s="7"/>
      <c r="N1832" s="7"/>
      <c r="P1832" s="7"/>
      <c r="R1832" s="7"/>
      <c r="T1832" s="7"/>
      <c r="V1832" s="7"/>
      <c r="X1832" s="7"/>
    </row>
    <row r="1833" spans="2:24">
      <c r="B1833" s="7"/>
      <c r="D1833" s="7"/>
      <c r="F1833" s="7"/>
      <c r="H1833" s="7"/>
      <c r="J1833" s="7"/>
      <c r="L1833" s="7"/>
      <c r="N1833" s="7"/>
      <c r="P1833" s="7"/>
      <c r="R1833" s="7"/>
      <c r="T1833" s="7"/>
      <c r="V1833" s="7"/>
      <c r="X1833" s="7"/>
    </row>
    <row r="1834" spans="2:24">
      <c r="B1834" s="7"/>
      <c r="D1834" s="7"/>
      <c r="F1834" s="7"/>
      <c r="H1834" s="7"/>
      <c r="J1834" s="7"/>
      <c r="L1834" s="7"/>
      <c r="N1834" s="7"/>
      <c r="P1834" s="7"/>
      <c r="R1834" s="7"/>
      <c r="T1834" s="7"/>
      <c r="V1834" s="7"/>
      <c r="X1834" s="7"/>
    </row>
    <row r="1835" spans="2:24">
      <c r="B1835" s="7"/>
      <c r="D1835" s="7"/>
      <c r="F1835" s="7"/>
      <c r="H1835" s="7"/>
      <c r="J1835" s="7"/>
      <c r="L1835" s="7"/>
      <c r="N1835" s="7"/>
      <c r="P1835" s="7"/>
      <c r="R1835" s="7"/>
      <c r="T1835" s="7"/>
      <c r="V1835" s="7"/>
      <c r="X1835" s="7"/>
    </row>
    <row r="1836" spans="2:24">
      <c r="B1836" s="7"/>
      <c r="D1836" s="7"/>
      <c r="F1836" s="7"/>
      <c r="H1836" s="7"/>
      <c r="J1836" s="7"/>
      <c r="L1836" s="7"/>
      <c r="N1836" s="7"/>
      <c r="P1836" s="7"/>
      <c r="R1836" s="7"/>
      <c r="T1836" s="7"/>
      <c r="V1836" s="7"/>
      <c r="X1836" s="7"/>
    </row>
    <row r="1837" spans="2:24">
      <c r="B1837" s="7"/>
      <c r="D1837" s="7"/>
      <c r="F1837" s="7"/>
      <c r="H1837" s="7"/>
      <c r="J1837" s="7"/>
      <c r="L1837" s="7"/>
      <c r="N1837" s="7"/>
      <c r="P1837" s="7"/>
      <c r="R1837" s="7"/>
      <c r="T1837" s="7"/>
      <c r="V1837" s="7"/>
      <c r="X1837" s="7"/>
    </row>
    <row r="1838" spans="2:24">
      <c r="B1838" s="7"/>
      <c r="D1838" s="7"/>
      <c r="F1838" s="7"/>
      <c r="H1838" s="7"/>
      <c r="J1838" s="7"/>
      <c r="L1838" s="7"/>
      <c r="N1838" s="7"/>
      <c r="P1838" s="7"/>
      <c r="R1838" s="7"/>
      <c r="T1838" s="7"/>
      <c r="V1838" s="7"/>
      <c r="X1838" s="7"/>
    </row>
    <row r="1839" spans="2:24">
      <c r="B1839" s="7"/>
      <c r="D1839" s="7"/>
      <c r="F1839" s="7"/>
      <c r="H1839" s="7"/>
      <c r="J1839" s="7"/>
      <c r="L1839" s="7"/>
      <c r="N1839" s="7"/>
      <c r="P1839" s="7"/>
      <c r="R1839" s="7"/>
      <c r="T1839" s="7"/>
      <c r="V1839" s="7"/>
      <c r="X1839" s="7"/>
    </row>
    <row r="1840" spans="2:24">
      <c r="B1840" s="7"/>
      <c r="D1840" s="7"/>
      <c r="F1840" s="7"/>
      <c r="H1840" s="7"/>
      <c r="J1840" s="7"/>
      <c r="L1840" s="7"/>
      <c r="N1840" s="7"/>
      <c r="P1840" s="7"/>
      <c r="R1840" s="7"/>
      <c r="T1840" s="7"/>
      <c r="V1840" s="7"/>
      <c r="X1840" s="7"/>
    </row>
    <row r="1841" spans="2:24">
      <c r="B1841" s="7"/>
      <c r="D1841" s="7"/>
      <c r="F1841" s="7"/>
      <c r="H1841" s="7"/>
      <c r="J1841" s="7"/>
      <c r="L1841" s="7"/>
      <c r="N1841" s="7"/>
      <c r="P1841" s="7"/>
      <c r="R1841" s="7"/>
      <c r="T1841" s="7"/>
      <c r="V1841" s="7"/>
      <c r="X1841" s="7"/>
    </row>
    <row r="1842" spans="2:24">
      <c r="B1842" s="7"/>
      <c r="D1842" s="7"/>
      <c r="F1842" s="7"/>
      <c r="H1842" s="7"/>
      <c r="J1842" s="7"/>
      <c r="L1842" s="7"/>
      <c r="N1842" s="7"/>
      <c r="P1842" s="7"/>
      <c r="R1842" s="7"/>
      <c r="T1842" s="7"/>
      <c r="V1842" s="7"/>
      <c r="X1842" s="7"/>
    </row>
    <row r="1843" spans="2:24">
      <c r="B1843" s="7"/>
      <c r="D1843" s="7"/>
      <c r="F1843" s="7"/>
      <c r="H1843" s="7"/>
      <c r="J1843" s="7"/>
      <c r="L1843" s="7"/>
      <c r="N1843" s="7"/>
      <c r="P1843" s="7"/>
      <c r="R1843" s="7"/>
      <c r="T1843" s="7"/>
      <c r="V1843" s="7"/>
      <c r="X1843" s="7"/>
    </row>
    <row r="1844" spans="2:24">
      <c r="B1844" s="7"/>
      <c r="D1844" s="7"/>
      <c r="F1844" s="7"/>
      <c r="H1844" s="7"/>
      <c r="J1844" s="7"/>
      <c r="L1844" s="7"/>
      <c r="N1844" s="7"/>
      <c r="P1844" s="7"/>
      <c r="R1844" s="7"/>
      <c r="T1844" s="7"/>
      <c r="V1844" s="7"/>
      <c r="X1844" s="7"/>
    </row>
    <row r="1845" spans="2:24">
      <c r="B1845" s="7"/>
      <c r="D1845" s="7"/>
      <c r="F1845" s="7"/>
      <c r="H1845" s="7"/>
      <c r="J1845" s="7"/>
      <c r="L1845" s="7"/>
      <c r="N1845" s="7"/>
      <c r="P1845" s="7"/>
      <c r="R1845" s="7"/>
      <c r="T1845" s="7"/>
      <c r="V1845" s="7"/>
      <c r="X1845" s="7"/>
    </row>
    <row r="1846" spans="2:24">
      <c r="B1846" s="7"/>
      <c r="D1846" s="7"/>
      <c r="F1846" s="7"/>
      <c r="H1846" s="7"/>
      <c r="J1846" s="7"/>
      <c r="L1846" s="7"/>
      <c r="N1846" s="7"/>
      <c r="P1846" s="7"/>
      <c r="R1846" s="7"/>
      <c r="T1846" s="7"/>
      <c r="V1846" s="7"/>
      <c r="X1846" s="7"/>
    </row>
    <row r="1847" spans="2:24">
      <c r="B1847" s="7"/>
      <c r="D1847" s="7"/>
      <c r="F1847" s="7"/>
      <c r="H1847" s="7"/>
      <c r="J1847" s="7"/>
      <c r="L1847" s="7"/>
      <c r="N1847" s="7"/>
      <c r="P1847" s="7"/>
      <c r="R1847" s="7"/>
      <c r="T1847" s="7"/>
      <c r="V1847" s="7"/>
      <c r="X1847" s="7"/>
    </row>
    <row r="1848" spans="2:24">
      <c r="B1848" s="7"/>
      <c r="D1848" s="7"/>
      <c r="F1848" s="7"/>
      <c r="H1848" s="7"/>
      <c r="J1848" s="7"/>
      <c r="L1848" s="7"/>
      <c r="N1848" s="7"/>
      <c r="P1848" s="7"/>
      <c r="R1848" s="7"/>
      <c r="T1848" s="7"/>
      <c r="V1848" s="7"/>
      <c r="X1848" s="7"/>
    </row>
    <row r="1849" spans="2:24">
      <c r="B1849" s="7"/>
      <c r="D1849" s="7"/>
      <c r="F1849" s="7"/>
      <c r="H1849" s="7"/>
      <c r="J1849" s="7"/>
      <c r="L1849" s="7"/>
      <c r="N1849" s="7"/>
      <c r="P1849" s="7"/>
      <c r="R1849" s="7"/>
      <c r="T1849" s="7"/>
      <c r="V1849" s="7"/>
      <c r="X1849" s="7"/>
    </row>
    <row r="1850" spans="2:24">
      <c r="B1850" s="7"/>
      <c r="D1850" s="7"/>
      <c r="F1850" s="7"/>
      <c r="H1850" s="7"/>
      <c r="J1850" s="7"/>
      <c r="L1850" s="7"/>
      <c r="N1850" s="7"/>
      <c r="P1850" s="7"/>
      <c r="R1850" s="7"/>
      <c r="T1850" s="7"/>
      <c r="V1850" s="7"/>
      <c r="X1850" s="7"/>
    </row>
    <row r="1851" spans="2:24">
      <c r="B1851" s="7"/>
      <c r="D1851" s="7"/>
      <c r="F1851" s="7"/>
      <c r="H1851" s="7"/>
      <c r="J1851" s="7"/>
      <c r="L1851" s="7"/>
      <c r="N1851" s="7"/>
      <c r="P1851" s="7"/>
      <c r="R1851" s="7"/>
      <c r="T1851" s="7"/>
      <c r="V1851" s="7"/>
      <c r="X1851" s="7"/>
    </row>
    <row r="1852" spans="2:24">
      <c r="B1852" s="7"/>
      <c r="D1852" s="7"/>
      <c r="F1852" s="7"/>
      <c r="H1852" s="7"/>
      <c r="J1852" s="7"/>
      <c r="L1852" s="7"/>
      <c r="N1852" s="7"/>
      <c r="P1852" s="7"/>
      <c r="R1852" s="7"/>
      <c r="T1852" s="7"/>
      <c r="V1852" s="7"/>
      <c r="X1852" s="7"/>
    </row>
    <row r="1853" spans="2:24">
      <c r="B1853" s="7"/>
      <c r="D1853" s="7"/>
      <c r="F1853" s="7"/>
      <c r="H1853" s="7"/>
      <c r="J1853" s="7"/>
      <c r="L1853" s="7"/>
      <c r="N1853" s="7"/>
      <c r="P1853" s="7"/>
      <c r="R1853" s="7"/>
      <c r="T1853" s="7"/>
      <c r="V1853" s="7"/>
      <c r="X1853" s="7"/>
    </row>
    <row r="1854" spans="2:24">
      <c r="B1854" s="7"/>
      <c r="D1854" s="7"/>
      <c r="F1854" s="7"/>
      <c r="H1854" s="7"/>
      <c r="J1854" s="7"/>
      <c r="L1854" s="7"/>
      <c r="N1854" s="7"/>
      <c r="P1854" s="7"/>
      <c r="R1854" s="7"/>
      <c r="T1854" s="7"/>
      <c r="V1854" s="7"/>
      <c r="X1854" s="7"/>
    </row>
    <row r="1855" spans="2:24">
      <c r="B1855" s="7"/>
      <c r="D1855" s="7"/>
      <c r="F1855" s="7"/>
      <c r="H1855" s="7"/>
      <c r="J1855" s="7"/>
      <c r="L1855" s="7"/>
      <c r="N1855" s="7"/>
      <c r="P1855" s="7"/>
      <c r="R1855" s="7"/>
      <c r="T1855" s="7"/>
      <c r="V1855" s="7"/>
      <c r="X1855" s="7"/>
    </row>
    <row r="1856" spans="2:24">
      <c r="B1856" s="7"/>
      <c r="D1856" s="7"/>
      <c r="F1856" s="7"/>
      <c r="H1856" s="7"/>
      <c r="J1856" s="7"/>
      <c r="L1856" s="7"/>
      <c r="N1856" s="7"/>
      <c r="P1856" s="7"/>
      <c r="R1856" s="7"/>
      <c r="T1856" s="7"/>
      <c r="V1856" s="7"/>
      <c r="X1856" s="7"/>
    </row>
    <row r="1857" spans="2:24">
      <c r="B1857" s="7"/>
      <c r="D1857" s="7"/>
      <c r="F1857" s="7"/>
      <c r="H1857" s="7"/>
      <c r="J1857" s="7"/>
      <c r="L1857" s="7"/>
      <c r="N1857" s="7"/>
      <c r="P1857" s="7"/>
      <c r="R1857" s="7"/>
      <c r="T1857" s="7"/>
      <c r="V1857" s="7"/>
      <c r="X1857" s="7"/>
    </row>
    <row r="1858" spans="2:24">
      <c r="B1858" s="7"/>
      <c r="D1858" s="7"/>
      <c r="F1858" s="7"/>
      <c r="H1858" s="7"/>
      <c r="J1858" s="7"/>
      <c r="L1858" s="7"/>
      <c r="N1858" s="7"/>
      <c r="P1858" s="7"/>
      <c r="R1858" s="7"/>
      <c r="T1858" s="7"/>
      <c r="V1858" s="7"/>
      <c r="X1858" s="7"/>
    </row>
    <row r="1859" spans="2:24">
      <c r="B1859" s="7"/>
      <c r="D1859" s="7"/>
      <c r="F1859" s="7"/>
      <c r="H1859" s="7"/>
      <c r="J1859" s="7"/>
      <c r="L1859" s="7"/>
      <c r="N1859" s="7"/>
      <c r="P1859" s="7"/>
      <c r="R1859" s="7"/>
      <c r="T1859" s="7"/>
      <c r="V1859" s="7"/>
      <c r="X1859" s="7"/>
    </row>
    <row r="1860" spans="2:24">
      <c r="B1860" s="7"/>
      <c r="D1860" s="7"/>
      <c r="F1860" s="7"/>
      <c r="H1860" s="7"/>
      <c r="J1860" s="7"/>
      <c r="L1860" s="7"/>
      <c r="N1860" s="7"/>
      <c r="P1860" s="7"/>
      <c r="R1860" s="7"/>
      <c r="T1860" s="7"/>
      <c r="V1860" s="7"/>
      <c r="X1860" s="7"/>
    </row>
    <row r="1861" spans="2:24">
      <c r="B1861" s="7"/>
      <c r="D1861" s="7"/>
      <c r="F1861" s="7"/>
      <c r="H1861" s="7"/>
      <c r="J1861" s="7"/>
      <c r="L1861" s="7"/>
      <c r="N1861" s="7"/>
      <c r="P1861" s="7"/>
      <c r="R1861" s="7"/>
      <c r="T1861" s="7"/>
      <c r="V1861" s="7"/>
      <c r="X1861" s="7"/>
    </row>
    <row r="1862" spans="2:24">
      <c r="B1862" s="7"/>
      <c r="D1862" s="7"/>
      <c r="F1862" s="7"/>
      <c r="H1862" s="7"/>
      <c r="J1862" s="7"/>
      <c r="L1862" s="7"/>
      <c r="N1862" s="7"/>
      <c r="P1862" s="7"/>
      <c r="R1862" s="7"/>
      <c r="T1862" s="7"/>
      <c r="V1862" s="7"/>
      <c r="X1862" s="7"/>
    </row>
    <row r="1863" spans="2:24">
      <c r="B1863" s="7"/>
      <c r="D1863" s="7"/>
      <c r="F1863" s="7"/>
      <c r="H1863" s="7"/>
      <c r="J1863" s="7"/>
      <c r="L1863" s="7"/>
      <c r="N1863" s="7"/>
      <c r="P1863" s="7"/>
      <c r="R1863" s="7"/>
      <c r="T1863" s="7"/>
      <c r="V1863" s="7"/>
      <c r="X1863" s="7"/>
    </row>
    <row r="1864" spans="2:24">
      <c r="B1864" s="7"/>
      <c r="D1864" s="7"/>
      <c r="F1864" s="7"/>
      <c r="H1864" s="7"/>
      <c r="J1864" s="7"/>
      <c r="L1864" s="7"/>
      <c r="N1864" s="7"/>
      <c r="P1864" s="7"/>
      <c r="R1864" s="7"/>
      <c r="T1864" s="7"/>
      <c r="V1864" s="7"/>
      <c r="X1864" s="7"/>
    </row>
    <row r="1865" spans="2:24">
      <c r="B1865" s="7"/>
      <c r="D1865" s="7"/>
      <c r="F1865" s="7"/>
      <c r="H1865" s="7"/>
      <c r="J1865" s="7"/>
      <c r="L1865" s="7"/>
      <c r="N1865" s="7"/>
      <c r="P1865" s="7"/>
      <c r="R1865" s="7"/>
      <c r="T1865" s="7"/>
      <c r="V1865" s="7"/>
      <c r="X1865" s="7"/>
    </row>
    <row r="1866" spans="2:24">
      <c r="B1866" s="7"/>
      <c r="D1866" s="7"/>
      <c r="F1866" s="7"/>
      <c r="H1866" s="7"/>
      <c r="J1866" s="7"/>
      <c r="L1866" s="7"/>
      <c r="N1866" s="7"/>
      <c r="P1866" s="7"/>
      <c r="R1866" s="7"/>
      <c r="T1866" s="7"/>
      <c r="V1866" s="7"/>
      <c r="X1866" s="7"/>
    </row>
    <row r="1867" spans="2:24">
      <c r="B1867" s="7"/>
      <c r="D1867" s="7"/>
      <c r="F1867" s="7"/>
      <c r="H1867" s="7"/>
      <c r="J1867" s="7"/>
      <c r="L1867" s="7"/>
      <c r="N1867" s="7"/>
      <c r="P1867" s="7"/>
      <c r="R1867" s="7"/>
      <c r="T1867" s="7"/>
      <c r="V1867" s="7"/>
      <c r="X1867" s="7"/>
    </row>
    <row r="1868" spans="2:24">
      <c r="B1868" s="7"/>
      <c r="D1868" s="7"/>
      <c r="F1868" s="7"/>
      <c r="H1868" s="7"/>
      <c r="J1868" s="7"/>
      <c r="L1868" s="7"/>
      <c r="N1868" s="7"/>
      <c r="P1868" s="7"/>
      <c r="R1868" s="7"/>
      <c r="T1868" s="7"/>
      <c r="V1868" s="7"/>
      <c r="X1868" s="7"/>
    </row>
    <row r="1869" spans="2:24">
      <c r="B1869" s="7"/>
      <c r="D1869" s="7"/>
      <c r="F1869" s="7"/>
      <c r="H1869" s="7"/>
      <c r="J1869" s="7"/>
      <c r="L1869" s="7"/>
      <c r="N1869" s="7"/>
      <c r="P1869" s="7"/>
      <c r="R1869" s="7"/>
      <c r="T1869" s="7"/>
      <c r="V1869" s="7"/>
      <c r="X1869" s="7"/>
    </row>
    <row r="1870" spans="2:24">
      <c r="B1870" s="7"/>
      <c r="D1870" s="7"/>
      <c r="F1870" s="7"/>
      <c r="H1870" s="7"/>
      <c r="J1870" s="7"/>
      <c r="L1870" s="7"/>
      <c r="N1870" s="7"/>
      <c r="P1870" s="7"/>
      <c r="R1870" s="7"/>
      <c r="T1870" s="7"/>
      <c r="V1870" s="7"/>
      <c r="X1870" s="7"/>
    </row>
    <row r="1871" spans="2:24">
      <c r="B1871" s="7"/>
      <c r="D1871" s="7"/>
      <c r="F1871" s="7"/>
      <c r="H1871" s="7"/>
      <c r="J1871" s="7"/>
      <c r="L1871" s="7"/>
      <c r="N1871" s="7"/>
      <c r="P1871" s="7"/>
      <c r="R1871" s="7"/>
      <c r="T1871" s="7"/>
      <c r="V1871" s="7"/>
      <c r="X1871" s="7"/>
    </row>
    <row r="1872" spans="2:24">
      <c r="B1872" s="7"/>
      <c r="D1872" s="7"/>
      <c r="F1872" s="7"/>
      <c r="H1872" s="7"/>
      <c r="J1872" s="7"/>
      <c r="L1872" s="7"/>
      <c r="N1872" s="7"/>
      <c r="P1872" s="7"/>
      <c r="R1872" s="7"/>
      <c r="T1872" s="7"/>
      <c r="V1872" s="7"/>
      <c r="X1872" s="7"/>
    </row>
    <row r="1873" spans="2:24">
      <c r="B1873" s="7"/>
      <c r="D1873" s="7"/>
      <c r="F1873" s="7"/>
      <c r="H1873" s="7"/>
      <c r="J1873" s="7"/>
      <c r="L1873" s="7"/>
      <c r="N1873" s="7"/>
      <c r="P1873" s="7"/>
      <c r="R1873" s="7"/>
      <c r="T1873" s="7"/>
      <c r="V1873" s="7"/>
      <c r="X1873" s="7"/>
    </row>
    <row r="1874" spans="2:24">
      <c r="B1874" s="7"/>
      <c r="D1874" s="7"/>
      <c r="F1874" s="7"/>
      <c r="H1874" s="7"/>
      <c r="J1874" s="7"/>
      <c r="L1874" s="7"/>
      <c r="N1874" s="7"/>
      <c r="P1874" s="7"/>
      <c r="R1874" s="7"/>
      <c r="T1874" s="7"/>
      <c r="V1874" s="7"/>
      <c r="X1874" s="7"/>
    </row>
    <row r="1875" spans="2:24">
      <c r="B1875" s="7"/>
      <c r="D1875" s="7"/>
      <c r="F1875" s="7"/>
      <c r="H1875" s="7"/>
      <c r="J1875" s="7"/>
      <c r="L1875" s="7"/>
      <c r="N1875" s="7"/>
      <c r="P1875" s="7"/>
      <c r="R1875" s="7"/>
      <c r="T1875" s="7"/>
      <c r="V1875" s="7"/>
      <c r="X1875" s="7"/>
    </row>
    <row r="1876" spans="2:24">
      <c r="B1876" s="7"/>
      <c r="D1876" s="7"/>
      <c r="F1876" s="7"/>
      <c r="H1876" s="7"/>
      <c r="J1876" s="7"/>
      <c r="L1876" s="7"/>
      <c r="N1876" s="7"/>
      <c r="P1876" s="7"/>
      <c r="R1876" s="7"/>
      <c r="T1876" s="7"/>
      <c r="V1876" s="7"/>
      <c r="X1876" s="7"/>
    </row>
    <row r="1877" spans="2:24">
      <c r="B1877" s="7"/>
      <c r="D1877" s="7"/>
      <c r="F1877" s="7"/>
      <c r="H1877" s="7"/>
      <c r="J1877" s="7"/>
      <c r="L1877" s="7"/>
      <c r="N1877" s="7"/>
      <c r="P1877" s="7"/>
      <c r="R1877" s="7"/>
      <c r="T1877" s="7"/>
      <c r="V1877" s="7"/>
      <c r="X1877" s="7"/>
    </row>
    <row r="1878" spans="2:24">
      <c r="B1878" s="7"/>
      <c r="D1878" s="7"/>
      <c r="F1878" s="7"/>
      <c r="H1878" s="7"/>
      <c r="J1878" s="7"/>
      <c r="L1878" s="7"/>
      <c r="N1878" s="7"/>
      <c r="P1878" s="7"/>
      <c r="R1878" s="7"/>
      <c r="T1878" s="7"/>
      <c r="V1878" s="7"/>
      <c r="X1878" s="7"/>
    </row>
    <row r="1879" spans="2:24">
      <c r="B1879" s="7"/>
      <c r="D1879" s="7"/>
      <c r="F1879" s="7"/>
      <c r="H1879" s="7"/>
      <c r="J1879" s="7"/>
      <c r="L1879" s="7"/>
      <c r="N1879" s="7"/>
      <c r="P1879" s="7"/>
      <c r="R1879" s="7"/>
      <c r="T1879" s="7"/>
      <c r="V1879" s="7"/>
      <c r="X1879" s="7"/>
    </row>
    <row r="1880" spans="2:24">
      <c r="B1880" s="7"/>
      <c r="D1880" s="7"/>
      <c r="F1880" s="7"/>
      <c r="H1880" s="7"/>
      <c r="J1880" s="7"/>
      <c r="L1880" s="7"/>
      <c r="N1880" s="7"/>
      <c r="P1880" s="7"/>
      <c r="R1880" s="7"/>
      <c r="T1880" s="7"/>
      <c r="V1880" s="7"/>
      <c r="X1880" s="7"/>
    </row>
    <row r="1881" spans="2:24">
      <c r="B1881" s="7"/>
      <c r="D1881" s="7"/>
      <c r="F1881" s="7"/>
      <c r="H1881" s="7"/>
      <c r="J1881" s="7"/>
      <c r="L1881" s="7"/>
      <c r="N1881" s="7"/>
      <c r="P1881" s="7"/>
      <c r="R1881" s="7"/>
      <c r="T1881" s="7"/>
      <c r="V1881" s="7"/>
      <c r="X1881" s="7"/>
    </row>
    <row r="1882" spans="2:24">
      <c r="B1882" s="7"/>
      <c r="D1882" s="7"/>
      <c r="F1882" s="7"/>
      <c r="H1882" s="7"/>
      <c r="J1882" s="7"/>
      <c r="L1882" s="7"/>
      <c r="N1882" s="7"/>
      <c r="P1882" s="7"/>
      <c r="R1882" s="7"/>
      <c r="T1882" s="7"/>
      <c r="V1882" s="7"/>
      <c r="X1882" s="7"/>
    </row>
    <row r="1883" spans="2:24">
      <c r="B1883" s="7"/>
      <c r="D1883" s="7"/>
      <c r="F1883" s="7"/>
      <c r="H1883" s="7"/>
      <c r="J1883" s="7"/>
      <c r="L1883" s="7"/>
      <c r="N1883" s="7"/>
      <c r="P1883" s="7"/>
      <c r="R1883" s="7"/>
      <c r="T1883" s="7"/>
      <c r="V1883" s="7"/>
      <c r="X1883" s="7"/>
    </row>
    <row r="1884" spans="2:24">
      <c r="B1884" s="7"/>
      <c r="D1884" s="7"/>
      <c r="F1884" s="7"/>
      <c r="H1884" s="7"/>
      <c r="J1884" s="7"/>
      <c r="L1884" s="7"/>
      <c r="N1884" s="7"/>
      <c r="P1884" s="7"/>
      <c r="R1884" s="7"/>
      <c r="T1884" s="7"/>
      <c r="V1884" s="7"/>
      <c r="X1884" s="7"/>
    </row>
    <row r="1885" spans="2:24">
      <c r="B1885" s="7"/>
      <c r="D1885" s="7"/>
      <c r="F1885" s="7"/>
      <c r="H1885" s="7"/>
      <c r="J1885" s="7"/>
      <c r="L1885" s="7"/>
      <c r="N1885" s="7"/>
      <c r="P1885" s="7"/>
      <c r="R1885" s="7"/>
      <c r="T1885" s="7"/>
      <c r="V1885" s="7"/>
      <c r="X1885" s="7"/>
    </row>
    <row r="1886" spans="2:24">
      <c r="B1886" s="7"/>
      <c r="D1886" s="7"/>
      <c r="F1886" s="7"/>
      <c r="H1886" s="7"/>
      <c r="J1886" s="7"/>
      <c r="L1886" s="7"/>
      <c r="N1886" s="7"/>
      <c r="P1886" s="7"/>
      <c r="R1886" s="7"/>
      <c r="T1886" s="7"/>
      <c r="V1886" s="7"/>
      <c r="X1886" s="7"/>
    </row>
    <row r="1887" spans="2:24">
      <c r="B1887" s="7"/>
      <c r="D1887" s="7"/>
      <c r="F1887" s="7"/>
      <c r="H1887" s="7"/>
      <c r="J1887" s="7"/>
      <c r="L1887" s="7"/>
      <c r="N1887" s="7"/>
      <c r="P1887" s="7"/>
      <c r="R1887" s="7"/>
      <c r="T1887" s="7"/>
      <c r="V1887" s="7"/>
      <c r="X1887" s="7"/>
    </row>
    <row r="1888" spans="2:24">
      <c r="B1888" s="7"/>
      <c r="D1888" s="7"/>
      <c r="F1888" s="7"/>
      <c r="H1888" s="7"/>
      <c r="J1888" s="7"/>
      <c r="L1888" s="7"/>
      <c r="N1888" s="7"/>
      <c r="P1888" s="7"/>
      <c r="R1888" s="7"/>
      <c r="T1888" s="7"/>
      <c r="V1888" s="7"/>
      <c r="X1888" s="7"/>
    </row>
    <row r="1889" spans="2:24">
      <c r="B1889" s="7"/>
      <c r="D1889" s="7"/>
      <c r="F1889" s="7"/>
      <c r="H1889" s="7"/>
      <c r="J1889" s="7"/>
      <c r="L1889" s="7"/>
      <c r="N1889" s="7"/>
      <c r="P1889" s="7"/>
      <c r="R1889" s="7"/>
      <c r="T1889" s="7"/>
      <c r="V1889" s="7"/>
      <c r="X1889" s="7"/>
    </row>
    <row r="1890" spans="2:24">
      <c r="B1890" s="7"/>
      <c r="D1890" s="7"/>
      <c r="F1890" s="7"/>
      <c r="H1890" s="7"/>
      <c r="J1890" s="7"/>
      <c r="L1890" s="7"/>
      <c r="N1890" s="7"/>
      <c r="P1890" s="7"/>
      <c r="R1890" s="7"/>
      <c r="T1890" s="7"/>
      <c r="V1890" s="7"/>
      <c r="X1890" s="7"/>
    </row>
    <row r="1891" spans="2:24">
      <c r="B1891" s="7"/>
      <c r="D1891" s="7"/>
      <c r="F1891" s="7"/>
      <c r="H1891" s="7"/>
      <c r="J1891" s="7"/>
      <c r="L1891" s="7"/>
      <c r="N1891" s="7"/>
      <c r="P1891" s="7"/>
      <c r="R1891" s="7"/>
      <c r="T1891" s="7"/>
      <c r="V1891" s="7"/>
      <c r="X1891" s="7"/>
    </row>
    <row r="1892" spans="2:24">
      <c r="B1892" s="7"/>
      <c r="D1892" s="7"/>
      <c r="F1892" s="7"/>
      <c r="H1892" s="7"/>
      <c r="J1892" s="7"/>
      <c r="L1892" s="7"/>
      <c r="N1892" s="7"/>
      <c r="P1892" s="7"/>
      <c r="R1892" s="7"/>
      <c r="T1892" s="7"/>
      <c r="V1892" s="7"/>
      <c r="X1892" s="7"/>
    </row>
    <row r="1893" spans="2:24">
      <c r="B1893" s="7"/>
      <c r="D1893" s="7"/>
      <c r="F1893" s="7"/>
      <c r="H1893" s="7"/>
      <c r="J1893" s="7"/>
      <c r="L1893" s="7"/>
      <c r="N1893" s="7"/>
      <c r="P1893" s="7"/>
      <c r="R1893" s="7"/>
      <c r="T1893" s="7"/>
      <c r="V1893" s="7"/>
      <c r="X1893" s="7"/>
    </row>
    <row r="1894" spans="2:24">
      <c r="B1894" s="7"/>
      <c r="D1894" s="7"/>
      <c r="F1894" s="7"/>
      <c r="H1894" s="7"/>
      <c r="J1894" s="7"/>
      <c r="L1894" s="7"/>
      <c r="N1894" s="7"/>
      <c r="P1894" s="7"/>
      <c r="R1894" s="7"/>
      <c r="T1894" s="7"/>
      <c r="V1894" s="7"/>
      <c r="X1894" s="7"/>
    </row>
    <row r="1895" spans="2:24">
      <c r="B1895" s="7"/>
      <c r="D1895" s="7"/>
      <c r="F1895" s="7"/>
      <c r="H1895" s="7"/>
      <c r="J1895" s="7"/>
      <c r="L1895" s="7"/>
      <c r="N1895" s="7"/>
      <c r="P1895" s="7"/>
      <c r="R1895" s="7"/>
      <c r="T1895" s="7"/>
      <c r="V1895" s="7"/>
      <c r="X1895" s="7"/>
    </row>
    <row r="1896" spans="2:24">
      <c r="B1896" s="7"/>
      <c r="D1896" s="7"/>
      <c r="F1896" s="7"/>
      <c r="H1896" s="7"/>
      <c r="J1896" s="7"/>
      <c r="L1896" s="7"/>
      <c r="N1896" s="7"/>
      <c r="P1896" s="7"/>
      <c r="R1896" s="7"/>
      <c r="T1896" s="7"/>
      <c r="V1896" s="7"/>
      <c r="X1896" s="7"/>
    </row>
    <row r="1897" spans="2:24">
      <c r="B1897" s="7"/>
      <c r="D1897" s="7"/>
      <c r="F1897" s="7"/>
      <c r="H1897" s="7"/>
      <c r="J1897" s="7"/>
      <c r="L1897" s="7"/>
      <c r="N1897" s="7"/>
      <c r="P1897" s="7"/>
      <c r="R1897" s="7"/>
      <c r="T1897" s="7"/>
      <c r="V1897" s="7"/>
      <c r="X1897" s="7"/>
    </row>
    <row r="1898" spans="2:24">
      <c r="B1898" s="7"/>
      <c r="D1898" s="7"/>
      <c r="F1898" s="7"/>
      <c r="H1898" s="7"/>
      <c r="J1898" s="7"/>
      <c r="L1898" s="7"/>
      <c r="N1898" s="7"/>
      <c r="P1898" s="7"/>
      <c r="R1898" s="7"/>
      <c r="T1898" s="7"/>
      <c r="V1898" s="7"/>
      <c r="X1898" s="7"/>
    </row>
    <row r="1899" spans="2:24">
      <c r="B1899" s="7"/>
      <c r="D1899" s="7"/>
      <c r="F1899" s="7"/>
      <c r="H1899" s="7"/>
      <c r="J1899" s="7"/>
      <c r="L1899" s="7"/>
      <c r="N1899" s="7"/>
      <c r="P1899" s="7"/>
      <c r="R1899" s="7"/>
      <c r="T1899" s="7"/>
      <c r="V1899" s="7"/>
      <c r="X1899" s="7"/>
    </row>
    <row r="1900" spans="2:24">
      <c r="B1900" s="7"/>
      <c r="D1900" s="7"/>
      <c r="F1900" s="7"/>
      <c r="H1900" s="7"/>
      <c r="J1900" s="7"/>
      <c r="L1900" s="7"/>
      <c r="N1900" s="7"/>
      <c r="P1900" s="7"/>
      <c r="R1900" s="7"/>
      <c r="T1900" s="7"/>
      <c r="V1900" s="7"/>
      <c r="X1900" s="7"/>
    </row>
    <row r="1901" spans="2:24">
      <c r="B1901" s="7"/>
      <c r="D1901" s="7"/>
      <c r="F1901" s="7"/>
      <c r="H1901" s="7"/>
      <c r="J1901" s="7"/>
      <c r="L1901" s="7"/>
      <c r="N1901" s="7"/>
      <c r="P1901" s="7"/>
      <c r="R1901" s="7"/>
      <c r="T1901" s="7"/>
      <c r="V1901" s="7"/>
      <c r="X1901" s="7"/>
    </row>
    <row r="1902" spans="2:24">
      <c r="B1902" s="7"/>
      <c r="D1902" s="7"/>
      <c r="F1902" s="7"/>
      <c r="H1902" s="7"/>
      <c r="J1902" s="7"/>
      <c r="L1902" s="7"/>
      <c r="N1902" s="7"/>
      <c r="P1902" s="7"/>
      <c r="R1902" s="7"/>
      <c r="T1902" s="7"/>
      <c r="V1902" s="7"/>
      <c r="X1902" s="7"/>
    </row>
    <row r="1903" spans="2:24">
      <c r="B1903" s="7"/>
      <c r="D1903" s="7"/>
      <c r="F1903" s="7"/>
      <c r="H1903" s="7"/>
      <c r="J1903" s="7"/>
      <c r="L1903" s="7"/>
      <c r="N1903" s="7"/>
      <c r="P1903" s="7"/>
      <c r="R1903" s="7"/>
      <c r="T1903" s="7"/>
      <c r="V1903" s="7"/>
      <c r="X1903" s="7"/>
    </row>
    <row r="1904" spans="2:24">
      <c r="B1904" s="7"/>
      <c r="D1904" s="7"/>
      <c r="F1904" s="7"/>
      <c r="H1904" s="7"/>
      <c r="J1904" s="7"/>
      <c r="L1904" s="7"/>
      <c r="N1904" s="7"/>
      <c r="P1904" s="7"/>
      <c r="R1904" s="7"/>
      <c r="T1904" s="7"/>
      <c r="V1904" s="7"/>
      <c r="X1904" s="7"/>
    </row>
    <row r="1905" spans="2:24">
      <c r="B1905" s="7"/>
      <c r="D1905" s="7"/>
      <c r="F1905" s="7"/>
      <c r="H1905" s="7"/>
      <c r="J1905" s="7"/>
      <c r="L1905" s="7"/>
      <c r="N1905" s="7"/>
      <c r="P1905" s="7"/>
      <c r="R1905" s="7"/>
      <c r="T1905" s="7"/>
      <c r="V1905" s="7"/>
      <c r="X1905" s="7"/>
    </row>
    <row r="1906" spans="2:24">
      <c r="B1906" s="7"/>
      <c r="D1906" s="7"/>
      <c r="F1906" s="7"/>
      <c r="H1906" s="7"/>
      <c r="J1906" s="7"/>
      <c r="L1906" s="7"/>
      <c r="N1906" s="7"/>
      <c r="P1906" s="7"/>
      <c r="R1906" s="7"/>
      <c r="T1906" s="7"/>
      <c r="V1906" s="7"/>
      <c r="X1906" s="7"/>
    </row>
    <row r="1907" spans="2:24">
      <c r="B1907" s="7"/>
      <c r="D1907" s="7"/>
      <c r="F1907" s="7"/>
      <c r="H1907" s="7"/>
      <c r="J1907" s="7"/>
      <c r="L1907" s="7"/>
      <c r="N1907" s="7"/>
      <c r="P1907" s="7"/>
      <c r="R1907" s="7"/>
      <c r="T1907" s="7"/>
      <c r="V1907" s="7"/>
      <c r="X1907" s="7"/>
    </row>
    <row r="1908" spans="2:24">
      <c r="B1908" s="7"/>
      <c r="D1908" s="7"/>
      <c r="F1908" s="7"/>
      <c r="H1908" s="7"/>
      <c r="J1908" s="7"/>
      <c r="L1908" s="7"/>
      <c r="N1908" s="7"/>
      <c r="P1908" s="7"/>
      <c r="R1908" s="7"/>
      <c r="T1908" s="7"/>
      <c r="V1908" s="7"/>
      <c r="X1908" s="7"/>
    </row>
    <row r="1909" spans="2:24">
      <c r="B1909" s="7"/>
      <c r="D1909" s="7"/>
      <c r="F1909" s="7"/>
      <c r="H1909" s="7"/>
      <c r="J1909" s="7"/>
      <c r="L1909" s="7"/>
      <c r="N1909" s="7"/>
      <c r="P1909" s="7"/>
      <c r="R1909" s="7"/>
      <c r="T1909" s="7"/>
      <c r="V1909" s="7"/>
      <c r="X1909" s="7"/>
    </row>
    <row r="1910" spans="2:24">
      <c r="B1910" s="7"/>
      <c r="D1910" s="7"/>
      <c r="F1910" s="7"/>
      <c r="H1910" s="7"/>
      <c r="J1910" s="7"/>
      <c r="L1910" s="7"/>
      <c r="N1910" s="7"/>
      <c r="P1910" s="7"/>
      <c r="R1910" s="7"/>
      <c r="T1910" s="7"/>
      <c r="V1910" s="7"/>
      <c r="X1910" s="7"/>
    </row>
    <row r="1911" spans="2:24">
      <c r="B1911" s="7"/>
      <c r="D1911" s="7"/>
      <c r="F1911" s="7"/>
      <c r="H1911" s="7"/>
      <c r="J1911" s="7"/>
      <c r="L1911" s="7"/>
      <c r="N1911" s="7"/>
      <c r="P1911" s="7"/>
      <c r="R1911" s="7"/>
      <c r="T1911" s="7"/>
      <c r="V1911" s="7"/>
      <c r="X1911" s="7"/>
    </row>
    <row r="1912" spans="2:24">
      <c r="B1912" s="7"/>
      <c r="D1912" s="7"/>
      <c r="F1912" s="7"/>
      <c r="H1912" s="7"/>
      <c r="J1912" s="7"/>
      <c r="L1912" s="7"/>
      <c r="N1912" s="7"/>
      <c r="P1912" s="7"/>
      <c r="R1912" s="7"/>
      <c r="T1912" s="7"/>
      <c r="V1912" s="7"/>
      <c r="X1912" s="7"/>
    </row>
    <row r="1913" spans="2:24">
      <c r="B1913" s="7"/>
      <c r="D1913" s="7"/>
      <c r="F1913" s="7"/>
      <c r="H1913" s="7"/>
      <c r="J1913" s="7"/>
      <c r="L1913" s="7"/>
      <c r="N1913" s="7"/>
      <c r="P1913" s="7"/>
      <c r="R1913" s="7"/>
      <c r="T1913" s="7"/>
      <c r="V1913" s="7"/>
      <c r="X1913" s="7"/>
    </row>
    <row r="1914" spans="2:24">
      <c r="B1914" s="7"/>
      <c r="D1914" s="7"/>
      <c r="F1914" s="7"/>
      <c r="H1914" s="7"/>
      <c r="J1914" s="7"/>
      <c r="L1914" s="7"/>
      <c r="N1914" s="7"/>
      <c r="P1914" s="7"/>
      <c r="R1914" s="7"/>
      <c r="T1914" s="7"/>
      <c r="V1914" s="7"/>
      <c r="X1914" s="7"/>
    </row>
    <row r="1915" spans="2:24">
      <c r="B1915" s="7"/>
      <c r="D1915" s="7"/>
      <c r="F1915" s="7"/>
      <c r="H1915" s="7"/>
      <c r="J1915" s="7"/>
      <c r="L1915" s="7"/>
      <c r="N1915" s="7"/>
      <c r="P1915" s="7"/>
      <c r="R1915" s="7"/>
      <c r="T1915" s="7"/>
      <c r="V1915" s="7"/>
      <c r="X1915" s="7"/>
    </row>
    <row r="1916" spans="2:24">
      <c r="B1916" s="7"/>
      <c r="D1916" s="7"/>
      <c r="F1916" s="7"/>
      <c r="H1916" s="7"/>
      <c r="J1916" s="7"/>
      <c r="L1916" s="7"/>
      <c r="N1916" s="7"/>
      <c r="P1916" s="7"/>
      <c r="R1916" s="7"/>
      <c r="T1916" s="7"/>
      <c r="V1916" s="7"/>
      <c r="X1916" s="7"/>
    </row>
    <row r="1917" spans="2:24">
      <c r="B1917" s="7"/>
      <c r="D1917" s="7"/>
      <c r="F1917" s="7"/>
      <c r="H1917" s="7"/>
      <c r="J1917" s="7"/>
      <c r="L1917" s="7"/>
      <c r="N1917" s="7"/>
      <c r="P1917" s="7"/>
      <c r="R1917" s="7"/>
      <c r="T1917" s="7"/>
      <c r="V1917" s="7"/>
      <c r="X1917" s="7"/>
    </row>
    <row r="1918" spans="2:24">
      <c r="B1918" s="7"/>
      <c r="D1918" s="7"/>
      <c r="F1918" s="7"/>
      <c r="H1918" s="7"/>
      <c r="J1918" s="7"/>
      <c r="L1918" s="7"/>
      <c r="N1918" s="7"/>
      <c r="P1918" s="7"/>
      <c r="R1918" s="7"/>
      <c r="T1918" s="7"/>
      <c r="V1918" s="7"/>
      <c r="X1918" s="7"/>
    </row>
    <row r="1919" spans="2:24">
      <c r="B1919" s="7"/>
      <c r="D1919" s="7"/>
      <c r="F1919" s="7"/>
      <c r="H1919" s="7"/>
      <c r="J1919" s="7"/>
      <c r="L1919" s="7"/>
      <c r="N1919" s="7"/>
      <c r="P1919" s="7"/>
      <c r="R1919" s="7"/>
      <c r="T1919" s="7"/>
      <c r="V1919" s="7"/>
      <c r="X1919" s="7"/>
    </row>
    <row r="1920" spans="2:24">
      <c r="B1920" s="7"/>
      <c r="D1920" s="7"/>
      <c r="F1920" s="7"/>
      <c r="H1920" s="7"/>
      <c r="J1920" s="7"/>
      <c r="L1920" s="7"/>
      <c r="N1920" s="7"/>
      <c r="P1920" s="7"/>
      <c r="R1920" s="7"/>
      <c r="T1920" s="7"/>
      <c r="V1920" s="7"/>
      <c r="X1920" s="7"/>
    </row>
    <row r="1921" spans="2:24">
      <c r="B1921" s="7"/>
      <c r="D1921" s="7"/>
      <c r="F1921" s="7"/>
      <c r="H1921" s="7"/>
      <c r="J1921" s="7"/>
      <c r="L1921" s="7"/>
      <c r="N1921" s="7"/>
      <c r="P1921" s="7"/>
      <c r="R1921" s="7"/>
      <c r="T1921" s="7"/>
      <c r="V1921" s="7"/>
      <c r="X1921" s="7"/>
    </row>
    <row r="1922" spans="2:24">
      <c r="B1922" s="7"/>
      <c r="D1922" s="7"/>
      <c r="F1922" s="7"/>
      <c r="H1922" s="7"/>
      <c r="J1922" s="7"/>
      <c r="L1922" s="7"/>
      <c r="N1922" s="7"/>
      <c r="P1922" s="7"/>
      <c r="R1922" s="7"/>
      <c r="T1922" s="7"/>
      <c r="V1922" s="7"/>
      <c r="X1922" s="7"/>
    </row>
    <row r="1923" spans="2:24">
      <c r="B1923" s="7"/>
      <c r="D1923" s="7"/>
      <c r="F1923" s="7"/>
      <c r="H1923" s="7"/>
      <c r="J1923" s="7"/>
      <c r="L1923" s="7"/>
      <c r="N1923" s="7"/>
      <c r="P1923" s="7"/>
      <c r="R1923" s="7"/>
      <c r="T1923" s="7"/>
      <c r="V1923" s="7"/>
      <c r="X1923" s="7"/>
    </row>
    <row r="1924" spans="2:24">
      <c r="B1924" s="7"/>
      <c r="D1924" s="7"/>
      <c r="F1924" s="7"/>
      <c r="H1924" s="7"/>
      <c r="J1924" s="7"/>
      <c r="L1924" s="7"/>
      <c r="N1924" s="7"/>
      <c r="P1924" s="7"/>
      <c r="R1924" s="7"/>
      <c r="T1924" s="7"/>
      <c r="V1924" s="7"/>
      <c r="X1924" s="7"/>
    </row>
    <row r="1925" spans="2:24">
      <c r="B1925" s="7"/>
      <c r="D1925" s="7"/>
      <c r="F1925" s="7"/>
      <c r="H1925" s="7"/>
      <c r="J1925" s="7"/>
      <c r="L1925" s="7"/>
      <c r="N1925" s="7"/>
      <c r="P1925" s="7"/>
      <c r="R1925" s="7"/>
      <c r="T1925" s="7"/>
      <c r="V1925" s="7"/>
      <c r="X1925" s="7"/>
    </row>
    <row r="1926" spans="2:24">
      <c r="B1926" s="7"/>
      <c r="D1926" s="7"/>
      <c r="F1926" s="7"/>
      <c r="H1926" s="7"/>
      <c r="J1926" s="7"/>
      <c r="L1926" s="7"/>
      <c r="N1926" s="7"/>
      <c r="P1926" s="7"/>
      <c r="R1926" s="7"/>
      <c r="T1926" s="7"/>
      <c r="V1926" s="7"/>
      <c r="X1926" s="7"/>
    </row>
    <row r="1927" spans="2:24">
      <c r="B1927" s="7"/>
      <c r="D1927" s="7"/>
      <c r="F1927" s="7"/>
      <c r="H1927" s="7"/>
      <c r="J1927" s="7"/>
      <c r="L1927" s="7"/>
      <c r="N1927" s="7"/>
      <c r="P1927" s="7"/>
      <c r="R1927" s="7"/>
      <c r="T1927" s="7"/>
      <c r="V1927" s="7"/>
      <c r="X1927" s="7"/>
    </row>
    <row r="1928" spans="2:24">
      <c r="B1928" s="7"/>
      <c r="D1928" s="7"/>
      <c r="F1928" s="7"/>
      <c r="H1928" s="7"/>
      <c r="J1928" s="7"/>
      <c r="L1928" s="7"/>
      <c r="N1928" s="7"/>
      <c r="P1928" s="7"/>
      <c r="R1928" s="7"/>
      <c r="T1928" s="7"/>
      <c r="V1928" s="7"/>
      <c r="X1928" s="7"/>
    </row>
    <row r="1929" spans="2:24">
      <c r="B1929" s="7"/>
      <c r="D1929" s="7"/>
      <c r="F1929" s="7"/>
      <c r="H1929" s="7"/>
      <c r="J1929" s="7"/>
      <c r="L1929" s="7"/>
      <c r="N1929" s="7"/>
      <c r="P1929" s="7"/>
      <c r="R1929" s="7"/>
      <c r="T1929" s="7"/>
      <c r="V1929" s="7"/>
      <c r="X1929" s="7"/>
    </row>
    <row r="1930" spans="2:24">
      <c r="B1930" s="7"/>
      <c r="D1930" s="7"/>
      <c r="F1930" s="7"/>
      <c r="H1930" s="7"/>
      <c r="J1930" s="7"/>
      <c r="L1930" s="7"/>
      <c r="N1930" s="7"/>
      <c r="P1930" s="7"/>
      <c r="R1930" s="7"/>
      <c r="T1930" s="7"/>
      <c r="V1930" s="7"/>
      <c r="X1930" s="7"/>
    </row>
    <row r="1931" spans="2:24">
      <c r="B1931" s="7"/>
      <c r="D1931" s="7"/>
      <c r="F1931" s="7"/>
      <c r="H1931" s="7"/>
      <c r="J1931" s="7"/>
      <c r="L1931" s="7"/>
      <c r="N1931" s="7"/>
      <c r="P1931" s="7"/>
      <c r="R1931" s="7"/>
      <c r="T1931" s="7"/>
      <c r="V1931" s="7"/>
      <c r="X1931" s="7"/>
    </row>
    <row r="1932" spans="2:24">
      <c r="B1932" s="7"/>
      <c r="D1932" s="7"/>
      <c r="F1932" s="7"/>
      <c r="H1932" s="7"/>
      <c r="J1932" s="7"/>
      <c r="L1932" s="7"/>
      <c r="N1932" s="7"/>
      <c r="P1932" s="7"/>
      <c r="R1932" s="7"/>
      <c r="T1932" s="7"/>
      <c r="V1932" s="7"/>
      <c r="X1932" s="7"/>
    </row>
    <row r="1933" spans="2:24">
      <c r="B1933" s="7"/>
      <c r="D1933" s="7"/>
      <c r="F1933" s="7"/>
      <c r="H1933" s="7"/>
      <c r="J1933" s="7"/>
      <c r="L1933" s="7"/>
      <c r="N1933" s="7"/>
      <c r="P1933" s="7"/>
      <c r="R1933" s="7"/>
      <c r="T1933" s="7"/>
      <c r="V1933" s="7"/>
      <c r="X1933" s="7"/>
    </row>
    <row r="1934" spans="2:24">
      <c r="B1934" s="7"/>
      <c r="D1934" s="7"/>
      <c r="F1934" s="7"/>
      <c r="H1934" s="7"/>
      <c r="J1934" s="7"/>
      <c r="L1934" s="7"/>
      <c r="N1934" s="7"/>
      <c r="P1934" s="7"/>
      <c r="R1934" s="7"/>
      <c r="T1934" s="7"/>
      <c r="V1934" s="7"/>
      <c r="X1934" s="7"/>
    </row>
    <row r="1935" spans="2:24">
      <c r="B1935" s="7"/>
      <c r="D1935" s="7"/>
      <c r="F1935" s="7"/>
      <c r="H1935" s="7"/>
      <c r="J1935" s="7"/>
      <c r="L1935" s="7"/>
      <c r="N1935" s="7"/>
      <c r="P1935" s="7"/>
      <c r="R1935" s="7"/>
      <c r="T1935" s="7"/>
      <c r="V1935" s="7"/>
      <c r="X1935" s="7"/>
    </row>
    <row r="1936" spans="2:24">
      <c r="B1936" s="7"/>
      <c r="D1936" s="7"/>
      <c r="F1936" s="7"/>
      <c r="H1936" s="7"/>
      <c r="J1936" s="7"/>
      <c r="L1936" s="7"/>
      <c r="N1936" s="7"/>
      <c r="P1936" s="7"/>
      <c r="R1936" s="7"/>
      <c r="T1936" s="7"/>
      <c r="V1936" s="7"/>
      <c r="X1936" s="7"/>
    </row>
    <row r="1937" spans="2:24">
      <c r="B1937" s="7"/>
      <c r="D1937" s="7"/>
      <c r="F1937" s="7"/>
      <c r="H1937" s="7"/>
      <c r="J1937" s="7"/>
      <c r="L1937" s="7"/>
      <c r="N1937" s="7"/>
      <c r="P1937" s="7"/>
      <c r="R1937" s="7"/>
      <c r="T1937" s="7"/>
      <c r="V1937" s="7"/>
      <c r="X1937" s="7"/>
    </row>
    <row r="1938" spans="2:24">
      <c r="B1938" s="7"/>
      <c r="D1938" s="7"/>
      <c r="F1938" s="7"/>
      <c r="H1938" s="7"/>
      <c r="J1938" s="7"/>
      <c r="L1938" s="7"/>
      <c r="N1938" s="7"/>
      <c r="P1938" s="7"/>
      <c r="R1938" s="7"/>
      <c r="T1938" s="7"/>
      <c r="V1938" s="7"/>
      <c r="X1938" s="7"/>
    </row>
    <row r="1939" spans="2:24">
      <c r="B1939" s="7"/>
      <c r="D1939" s="7"/>
      <c r="F1939" s="7"/>
      <c r="H1939" s="7"/>
      <c r="J1939" s="7"/>
      <c r="L1939" s="7"/>
      <c r="N1939" s="7"/>
      <c r="P1939" s="7"/>
      <c r="R1939" s="7"/>
      <c r="T1939" s="7"/>
      <c r="V1939" s="7"/>
      <c r="X1939" s="7"/>
    </row>
    <row r="1940" spans="2:24">
      <c r="B1940" s="7"/>
      <c r="D1940" s="7"/>
      <c r="F1940" s="7"/>
      <c r="H1940" s="7"/>
      <c r="J1940" s="7"/>
      <c r="L1940" s="7"/>
      <c r="N1940" s="7"/>
      <c r="P1940" s="7"/>
      <c r="R1940" s="7"/>
      <c r="T1940" s="7"/>
      <c r="V1940" s="7"/>
      <c r="X1940" s="7"/>
    </row>
    <row r="1941" spans="2:24">
      <c r="B1941" s="7"/>
      <c r="D1941" s="7"/>
      <c r="F1941" s="7"/>
      <c r="H1941" s="7"/>
      <c r="J1941" s="7"/>
      <c r="L1941" s="7"/>
      <c r="N1941" s="7"/>
      <c r="P1941" s="7"/>
      <c r="R1941" s="7"/>
      <c r="T1941" s="7"/>
      <c r="V1941" s="7"/>
      <c r="X1941" s="7"/>
    </row>
    <row r="1942" spans="2:24">
      <c r="B1942" s="7"/>
      <c r="D1942" s="7"/>
      <c r="F1942" s="7"/>
      <c r="H1942" s="7"/>
      <c r="J1942" s="7"/>
      <c r="L1942" s="7"/>
      <c r="N1942" s="7"/>
      <c r="P1942" s="7"/>
      <c r="R1942" s="7"/>
      <c r="T1942" s="7"/>
      <c r="V1942" s="7"/>
      <c r="X1942" s="7"/>
    </row>
    <row r="1943" spans="2:24">
      <c r="B1943" s="7"/>
      <c r="D1943" s="7"/>
      <c r="F1943" s="7"/>
      <c r="H1943" s="7"/>
      <c r="J1943" s="7"/>
      <c r="L1943" s="7"/>
      <c r="N1943" s="7"/>
      <c r="P1943" s="7"/>
      <c r="R1943" s="7"/>
      <c r="T1943" s="7"/>
      <c r="V1943" s="7"/>
      <c r="X1943" s="7"/>
    </row>
    <row r="1944" spans="2:24">
      <c r="B1944" s="7"/>
      <c r="D1944" s="7"/>
      <c r="F1944" s="7"/>
      <c r="H1944" s="7"/>
      <c r="J1944" s="7"/>
      <c r="L1944" s="7"/>
      <c r="N1944" s="7"/>
      <c r="P1944" s="7"/>
      <c r="R1944" s="7"/>
      <c r="T1944" s="7"/>
      <c r="V1944" s="7"/>
      <c r="X1944" s="7"/>
    </row>
    <row r="1945" spans="2:24">
      <c r="B1945" s="7"/>
      <c r="D1945" s="7"/>
      <c r="F1945" s="7"/>
      <c r="H1945" s="7"/>
      <c r="J1945" s="7"/>
      <c r="L1945" s="7"/>
      <c r="N1945" s="7"/>
      <c r="P1945" s="7"/>
      <c r="R1945" s="7"/>
      <c r="T1945" s="7"/>
      <c r="V1945" s="7"/>
      <c r="X1945" s="7"/>
    </row>
    <row r="1946" spans="2:24">
      <c r="B1946" s="7"/>
      <c r="D1946" s="7"/>
      <c r="F1946" s="7"/>
      <c r="H1946" s="7"/>
      <c r="J1946" s="7"/>
      <c r="L1946" s="7"/>
      <c r="N1946" s="7"/>
      <c r="P1946" s="7"/>
      <c r="R1946" s="7"/>
      <c r="T1946" s="7"/>
      <c r="V1946" s="7"/>
      <c r="X1946" s="7"/>
    </row>
    <row r="1947" spans="2:24">
      <c r="B1947" s="7"/>
      <c r="D1947" s="7"/>
      <c r="F1947" s="7"/>
      <c r="H1947" s="7"/>
      <c r="J1947" s="7"/>
      <c r="L1947" s="7"/>
      <c r="N1947" s="7"/>
      <c r="P1947" s="7"/>
      <c r="R1947" s="7"/>
      <c r="T1947" s="7"/>
      <c r="V1947" s="7"/>
      <c r="X1947" s="7"/>
    </row>
    <row r="1948" spans="2:24">
      <c r="B1948" s="7"/>
      <c r="D1948" s="7"/>
      <c r="F1948" s="7"/>
      <c r="H1948" s="7"/>
      <c r="J1948" s="7"/>
      <c r="L1948" s="7"/>
      <c r="N1948" s="7"/>
      <c r="P1948" s="7"/>
      <c r="R1948" s="7"/>
      <c r="T1948" s="7"/>
      <c r="V1948" s="7"/>
      <c r="X1948" s="7"/>
    </row>
    <row r="1949" spans="2:24">
      <c r="B1949" s="7"/>
      <c r="D1949" s="7"/>
      <c r="F1949" s="7"/>
      <c r="H1949" s="7"/>
      <c r="J1949" s="7"/>
      <c r="L1949" s="7"/>
      <c r="N1949" s="7"/>
      <c r="P1949" s="7"/>
      <c r="R1949" s="7"/>
      <c r="T1949" s="7"/>
      <c r="V1949" s="7"/>
      <c r="X1949" s="7"/>
    </row>
    <row r="1950" spans="2:24">
      <c r="B1950" s="7"/>
      <c r="D1950" s="7"/>
      <c r="F1950" s="7"/>
      <c r="H1950" s="7"/>
      <c r="J1950" s="7"/>
      <c r="L1950" s="7"/>
      <c r="N1950" s="7"/>
      <c r="P1950" s="7"/>
      <c r="R1950" s="7"/>
      <c r="T1950" s="7"/>
      <c r="V1950" s="7"/>
      <c r="X1950" s="7"/>
    </row>
    <row r="1951" spans="2:24">
      <c r="B1951" s="7"/>
      <c r="D1951" s="7"/>
      <c r="F1951" s="7"/>
      <c r="H1951" s="7"/>
      <c r="J1951" s="7"/>
      <c r="L1951" s="7"/>
      <c r="N1951" s="7"/>
      <c r="P1951" s="7"/>
      <c r="R1951" s="7"/>
      <c r="T1951" s="7"/>
      <c r="V1951" s="7"/>
      <c r="X1951" s="7"/>
    </row>
    <row r="1952" spans="2:24">
      <c r="B1952" s="7"/>
      <c r="D1952" s="7"/>
      <c r="F1952" s="7"/>
      <c r="H1952" s="7"/>
      <c r="J1952" s="7"/>
      <c r="L1952" s="7"/>
      <c r="N1952" s="7"/>
      <c r="P1952" s="7"/>
      <c r="R1952" s="7"/>
      <c r="T1952" s="7"/>
      <c r="V1952" s="7"/>
      <c r="X1952" s="7"/>
    </row>
    <row r="1953" spans="2:24">
      <c r="B1953" s="7"/>
      <c r="D1953" s="7"/>
      <c r="F1953" s="7"/>
      <c r="H1953" s="7"/>
      <c r="J1953" s="7"/>
      <c r="L1953" s="7"/>
      <c r="N1953" s="7"/>
      <c r="P1953" s="7"/>
      <c r="R1953" s="7"/>
      <c r="T1953" s="7"/>
      <c r="V1953" s="7"/>
      <c r="X1953" s="7"/>
    </row>
    <row r="1954" spans="2:24">
      <c r="B1954" s="7"/>
      <c r="D1954" s="7"/>
      <c r="F1954" s="7"/>
      <c r="H1954" s="7"/>
      <c r="J1954" s="7"/>
      <c r="L1954" s="7"/>
      <c r="N1954" s="7"/>
      <c r="P1954" s="7"/>
      <c r="R1954" s="7"/>
      <c r="T1954" s="7"/>
      <c r="V1954" s="7"/>
      <c r="X1954" s="7"/>
    </row>
    <row r="1955" spans="2:24">
      <c r="B1955" s="7"/>
      <c r="D1955" s="7"/>
      <c r="F1955" s="7"/>
      <c r="H1955" s="7"/>
      <c r="J1955" s="7"/>
      <c r="L1955" s="7"/>
      <c r="N1955" s="7"/>
      <c r="P1955" s="7"/>
      <c r="R1955" s="7"/>
      <c r="T1955" s="7"/>
      <c r="V1955" s="7"/>
      <c r="X1955" s="7"/>
    </row>
    <row r="1956" spans="2:24">
      <c r="B1956" s="7"/>
      <c r="D1956" s="7"/>
      <c r="F1956" s="7"/>
      <c r="H1956" s="7"/>
      <c r="J1956" s="7"/>
      <c r="L1956" s="7"/>
      <c r="N1956" s="7"/>
      <c r="P1956" s="7"/>
      <c r="R1956" s="7"/>
      <c r="T1956" s="7"/>
      <c r="V1956" s="7"/>
      <c r="X1956" s="7"/>
    </row>
    <row r="1957" spans="2:24">
      <c r="B1957" s="7"/>
      <c r="D1957" s="7"/>
      <c r="F1957" s="7"/>
      <c r="H1957" s="7"/>
      <c r="J1957" s="7"/>
      <c r="L1957" s="7"/>
      <c r="N1957" s="7"/>
      <c r="P1957" s="7"/>
      <c r="R1957" s="7"/>
      <c r="T1957" s="7"/>
      <c r="V1957" s="7"/>
      <c r="X1957" s="7"/>
    </row>
    <row r="1958" spans="2:24">
      <c r="B1958" s="7"/>
      <c r="D1958" s="7"/>
      <c r="F1958" s="7"/>
      <c r="H1958" s="7"/>
      <c r="J1958" s="7"/>
      <c r="L1958" s="7"/>
      <c r="N1958" s="7"/>
      <c r="P1958" s="7"/>
      <c r="R1958" s="7"/>
      <c r="T1958" s="7"/>
      <c r="V1958" s="7"/>
      <c r="X1958" s="7"/>
    </row>
    <row r="1959" spans="2:24">
      <c r="B1959" s="7"/>
      <c r="D1959" s="7"/>
      <c r="F1959" s="7"/>
      <c r="H1959" s="7"/>
      <c r="J1959" s="7"/>
      <c r="L1959" s="7"/>
      <c r="N1959" s="7"/>
      <c r="P1959" s="7"/>
      <c r="R1959" s="7"/>
      <c r="T1959" s="7"/>
      <c r="V1959" s="7"/>
      <c r="X1959" s="7"/>
    </row>
    <row r="1960" spans="2:24">
      <c r="B1960" s="7"/>
      <c r="D1960" s="7"/>
      <c r="F1960" s="7"/>
      <c r="H1960" s="7"/>
      <c r="J1960" s="7"/>
      <c r="L1960" s="7"/>
      <c r="N1960" s="7"/>
      <c r="P1960" s="7"/>
      <c r="R1960" s="7"/>
      <c r="T1960" s="7"/>
      <c r="V1960" s="7"/>
      <c r="X1960" s="7"/>
    </row>
    <row r="1961" spans="2:24">
      <c r="B1961" s="7"/>
      <c r="D1961" s="7"/>
      <c r="F1961" s="7"/>
      <c r="H1961" s="7"/>
      <c r="J1961" s="7"/>
      <c r="L1961" s="7"/>
      <c r="N1961" s="7"/>
      <c r="P1961" s="7"/>
      <c r="R1961" s="7"/>
      <c r="T1961" s="7"/>
      <c r="V1961" s="7"/>
      <c r="X1961" s="7"/>
    </row>
    <row r="1962" spans="2:24">
      <c r="B1962" s="7"/>
      <c r="D1962" s="7"/>
      <c r="F1962" s="7"/>
      <c r="H1962" s="7"/>
      <c r="J1962" s="7"/>
      <c r="L1962" s="7"/>
      <c r="N1962" s="7"/>
      <c r="P1962" s="7"/>
      <c r="R1962" s="7"/>
      <c r="T1962" s="7"/>
      <c r="V1962" s="7"/>
      <c r="X1962" s="7"/>
    </row>
    <row r="1963" spans="2:24">
      <c r="B1963" s="7"/>
      <c r="D1963" s="7"/>
      <c r="F1963" s="7"/>
      <c r="H1963" s="7"/>
      <c r="J1963" s="7"/>
      <c r="L1963" s="7"/>
      <c r="N1963" s="7"/>
      <c r="P1963" s="7"/>
      <c r="R1963" s="7"/>
      <c r="T1963" s="7"/>
      <c r="V1963" s="7"/>
      <c r="X1963" s="7"/>
    </row>
    <row r="1964" spans="2:24">
      <c r="B1964" s="7"/>
      <c r="D1964" s="7"/>
      <c r="F1964" s="7"/>
      <c r="H1964" s="7"/>
      <c r="J1964" s="7"/>
      <c r="L1964" s="7"/>
      <c r="N1964" s="7"/>
      <c r="P1964" s="7"/>
      <c r="R1964" s="7"/>
      <c r="T1964" s="7"/>
      <c r="V1964" s="7"/>
      <c r="X1964" s="7"/>
    </row>
    <row r="1965" spans="2:24">
      <c r="B1965" s="7"/>
      <c r="D1965" s="7"/>
      <c r="F1965" s="7"/>
      <c r="H1965" s="7"/>
      <c r="J1965" s="7"/>
      <c r="L1965" s="7"/>
      <c r="N1965" s="7"/>
      <c r="P1965" s="7"/>
      <c r="R1965" s="7"/>
      <c r="T1965" s="7"/>
      <c r="V1965" s="7"/>
      <c r="X1965" s="7"/>
    </row>
    <row r="1966" spans="2:24">
      <c r="B1966" s="7"/>
      <c r="D1966" s="7"/>
      <c r="F1966" s="7"/>
      <c r="H1966" s="7"/>
      <c r="J1966" s="7"/>
      <c r="L1966" s="7"/>
      <c r="N1966" s="7"/>
      <c r="P1966" s="7"/>
      <c r="R1966" s="7"/>
      <c r="T1966" s="7"/>
      <c r="V1966" s="7"/>
      <c r="X1966" s="7"/>
    </row>
    <row r="1967" spans="2:24">
      <c r="B1967" s="7"/>
      <c r="D1967" s="7"/>
      <c r="F1967" s="7"/>
      <c r="H1967" s="7"/>
      <c r="J1967" s="7"/>
      <c r="L1967" s="7"/>
      <c r="N1967" s="7"/>
      <c r="P1967" s="7"/>
      <c r="R1967" s="7"/>
      <c r="T1967" s="7"/>
      <c r="V1967" s="7"/>
      <c r="X1967" s="7"/>
    </row>
    <row r="1968" spans="2:24">
      <c r="B1968" s="7"/>
      <c r="D1968" s="7"/>
      <c r="F1968" s="7"/>
      <c r="H1968" s="7"/>
      <c r="J1968" s="7"/>
      <c r="L1968" s="7"/>
      <c r="N1968" s="7"/>
      <c r="P1968" s="7"/>
      <c r="R1968" s="7"/>
      <c r="T1968" s="7"/>
      <c r="V1968" s="7"/>
      <c r="X1968" s="7"/>
    </row>
    <row r="1969" spans="2:24">
      <c r="B1969" s="7"/>
      <c r="D1969" s="7"/>
      <c r="F1969" s="7"/>
      <c r="H1969" s="7"/>
      <c r="J1969" s="7"/>
      <c r="L1969" s="7"/>
      <c r="N1969" s="7"/>
      <c r="P1969" s="7"/>
      <c r="R1969" s="7"/>
      <c r="T1969" s="7"/>
      <c r="V1969" s="7"/>
      <c r="X1969" s="7"/>
    </row>
    <row r="1970" spans="2:24">
      <c r="B1970" s="7"/>
      <c r="D1970" s="7"/>
      <c r="F1970" s="7"/>
      <c r="H1970" s="7"/>
      <c r="J1970" s="7"/>
      <c r="L1970" s="7"/>
      <c r="N1970" s="7"/>
      <c r="P1970" s="7"/>
      <c r="R1970" s="7"/>
      <c r="T1970" s="7"/>
      <c r="V1970" s="7"/>
      <c r="X1970" s="7"/>
    </row>
    <row r="1971" spans="2:24">
      <c r="B1971" s="7"/>
      <c r="D1971" s="7"/>
      <c r="F1971" s="7"/>
      <c r="H1971" s="7"/>
      <c r="J1971" s="7"/>
      <c r="L1971" s="7"/>
      <c r="N1971" s="7"/>
      <c r="P1971" s="7"/>
      <c r="R1971" s="7"/>
      <c r="T1971" s="7"/>
      <c r="V1971" s="7"/>
      <c r="X1971" s="7"/>
    </row>
    <row r="1972" spans="2:24">
      <c r="B1972" s="7"/>
      <c r="D1972" s="7"/>
      <c r="F1972" s="7"/>
      <c r="H1972" s="7"/>
      <c r="J1972" s="7"/>
      <c r="L1972" s="7"/>
      <c r="N1972" s="7"/>
      <c r="P1972" s="7"/>
      <c r="R1972" s="7"/>
      <c r="T1972" s="7"/>
      <c r="V1972" s="7"/>
      <c r="X1972" s="7"/>
    </row>
    <row r="1973" spans="2:24">
      <c r="B1973" s="7"/>
      <c r="D1973" s="7"/>
      <c r="F1973" s="7"/>
      <c r="H1973" s="7"/>
      <c r="J1973" s="7"/>
      <c r="L1973" s="7"/>
      <c r="N1973" s="7"/>
      <c r="P1973" s="7"/>
      <c r="R1973" s="7"/>
      <c r="T1973" s="7"/>
      <c r="V1973" s="7"/>
      <c r="X1973" s="7"/>
    </row>
    <row r="1974" spans="2:24">
      <c r="B1974" s="7"/>
      <c r="D1974" s="7"/>
      <c r="F1974" s="7"/>
      <c r="H1974" s="7"/>
      <c r="J1974" s="7"/>
      <c r="L1974" s="7"/>
      <c r="N1974" s="7"/>
      <c r="P1974" s="7"/>
      <c r="R1974" s="7"/>
      <c r="T1974" s="7"/>
      <c r="V1974" s="7"/>
      <c r="X1974" s="7"/>
    </row>
    <row r="1975" spans="2:24">
      <c r="B1975" s="7"/>
      <c r="D1975" s="7"/>
      <c r="F1975" s="7"/>
      <c r="H1975" s="7"/>
      <c r="J1975" s="7"/>
      <c r="L1975" s="7"/>
      <c r="N1975" s="7"/>
      <c r="P1975" s="7"/>
      <c r="R1975" s="7"/>
      <c r="T1975" s="7"/>
      <c r="V1975" s="7"/>
      <c r="X1975" s="7"/>
    </row>
    <row r="1976" spans="2:24">
      <c r="B1976" s="7"/>
      <c r="D1976" s="7"/>
      <c r="F1976" s="7"/>
      <c r="H1976" s="7"/>
      <c r="J1976" s="7"/>
      <c r="L1976" s="7"/>
      <c r="N1976" s="7"/>
      <c r="P1976" s="7"/>
      <c r="R1976" s="7"/>
      <c r="T1976" s="7"/>
      <c r="V1976" s="7"/>
      <c r="X1976" s="7"/>
    </row>
    <row r="1977" spans="2:24">
      <c r="B1977" s="7"/>
      <c r="D1977" s="7"/>
      <c r="F1977" s="7"/>
      <c r="H1977" s="7"/>
      <c r="J1977" s="7"/>
      <c r="L1977" s="7"/>
      <c r="N1977" s="7"/>
      <c r="P1977" s="7"/>
      <c r="R1977" s="7"/>
      <c r="T1977" s="7"/>
      <c r="V1977" s="7"/>
      <c r="X1977" s="7"/>
    </row>
    <row r="1978" spans="2:24">
      <c r="B1978" s="7"/>
      <c r="D1978" s="7"/>
      <c r="F1978" s="7"/>
      <c r="H1978" s="7"/>
      <c r="J1978" s="7"/>
      <c r="L1978" s="7"/>
      <c r="N1978" s="7"/>
      <c r="P1978" s="7"/>
      <c r="R1978" s="7"/>
      <c r="T1978" s="7"/>
      <c r="V1978" s="7"/>
      <c r="X1978" s="7"/>
    </row>
    <row r="1979" spans="2:24">
      <c r="B1979" s="7"/>
      <c r="D1979" s="7"/>
      <c r="F1979" s="7"/>
      <c r="H1979" s="7"/>
      <c r="J1979" s="7"/>
      <c r="L1979" s="7"/>
      <c r="N1979" s="7"/>
      <c r="P1979" s="7"/>
      <c r="R1979" s="7"/>
      <c r="T1979" s="7"/>
      <c r="V1979" s="7"/>
      <c r="X1979" s="7"/>
    </row>
    <row r="1980" spans="2:24">
      <c r="B1980" s="7"/>
      <c r="D1980" s="7"/>
      <c r="F1980" s="7"/>
      <c r="H1980" s="7"/>
      <c r="J1980" s="7"/>
      <c r="L1980" s="7"/>
      <c r="N1980" s="7"/>
      <c r="P1980" s="7"/>
      <c r="R1980" s="7"/>
      <c r="T1980" s="7"/>
      <c r="V1980" s="7"/>
      <c r="X1980" s="7"/>
    </row>
    <row r="1981" spans="2:24">
      <c r="B1981" s="7"/>
      <c r="D1981" s="7"/>
      <c r="F1981" s="7"/>
      <c r="H1981" s="7"/>
      <c r="J1981" s="7"/>
      <c r="L1981" s="7"/>
      <c r="N1981" s="7"/>
      <c r="P1981" s="7"/>
      <c r="R1981" s="7"/>
      <c r="T1981" s="7"/>
      <c r="V1981" s="7"/>
      <c r="X1981" s="7"/>
    </row>
    <row r="1982" spans="2:24">
      <c r="B1982" s="7"/>
      <c r="D1982" s="7"/>
      <c r="F1982" s="7"/>
      <c r="H1982" s="7"/>
      <c r="J1982" s="7"/>
      <c r="L1982" s="7"/>
      <c r="N1982" s="7"/>
      <c r="P1982" s="7"/>
      <c r="R1982" s="7"/>
      <c r="T1982" s="7"/>
      <c r="V1982" s="7"/>
      <c r="X1982" s="7"/>
    </row>
    <row r="1983" spans="2:24">
      <c r="B1983" s="7"/>
      <c r="D1983" s="7"/>
      <c r="F1983" s="7"/>
      <c r="H1983" s="7"/>
      <c r="J1983" s="7"/>
      <c r="L1983" s="7"/>
      <c r="N1983" s="7"/>
      <c r="P1983" s="7"/>
      <c r="R1983" s="7"/>
      <c r="T1983" s="7"/>
      <c r="V1983" s="7"/>
      <c r="X1983" s="7"/>
    </row>
    <row r="1984" spans="2:24">
      <c r="B1984" s="7"/>
      <c r="D1984" s="7"/>
      <c r="F1984" s="7"/>
      <c r="H1984" s="7"/>
      <c r="J1984" s="7"/>
      <c r="L1984" s="7"/>
      <c r="N1984" s="7"/>
      <c r="P1984" s="7"/>
      <c r="R1984" s="7"/>
      <c r="T1984" s="7"/>
      <c r="V1984" s="7"/>
      <c r="X1984" s="7"/>
    </row>
    <row r="1985" spans="2:24">
      <c r="B1985" s="7"/>
      <c r="D1985" s="7"/>
      <c r="F1985" s="7"/>
      <c r="H1985" s="7"/>
      <c r="J1985" s="7"/>
      <c r="L1985" s="7"/>
      <c r="N1985" s="7"/>
      <c r="P1985" s="7"/>
      <c r="R1985" s="7"/>
      <c r="T1985" s="7"/>
      <c r="V1985" s="7"/>
      <c r="X1985" s="7"/>
    </row>
    <row r="1986" spans="2:24">
      <c r="B1986" s="7"/>
      <c r="D1986" s="7"/>
      <c r="F1986" s="7"/>
      <c r="H1986" s="7"/>
      <c r="J1986" s="7"/>
      <c r="L1986" s="7"/>
      <c r="N1986" s="7"/>
      <c r="P1986" s="7"/>
      <c r="R1986" s="7"/>
      <c r="T1986" s="7"/>
      <c r="V1986" s="7"/>
      <c r="X1986" s="7"/>
    </row>
    <row r="1987" spans="2:24">
      <c r="B1987" s="7"/>
      <c r="D1987" s="7"/>
      <c r="F1987" s="7"/>
      <c r="H1987" s="7"/>
      <c r="J1987" s="7"/>
      <c r="L1987" s="7"/>
      <c r="N1987" s="7"/>
      <c r="P1987" s="7"/>
      <c r="R1987" s="7"/>
      <c r="T1987" s="7"/>
      <c r="V1987" s="7"/>
      <c r="X1987" s="7"/>
    </row>
    <row r="1988" spans="2:24">
      <c r="B1988" s="7"/>
      <c r="D1988" s="7"/>
      <c r="F1988" s="7"/>
      <c r="H1988" s="7"/>
      <c r="J1988" s="7"/>
      <c r="L1988" s="7"/>
      <c r="N1988" s="7"/>
      <c r="P1988" s="7"/>
      <c r="R1988" s="7"/>
      <c r="T1988" s="7"/>
      <c r="V1988" s="7"/>
      <c r="X1988" s="7"/>
    </row>
    <row r="1989" spans="2:24">
      <c r="B1989" s="7"/>
      <c r="D1989" s="7"/>
      <c r="F1989" s="7"/>
      <c r="H1989" s="7"/>
      <c r="J1989" s="7"/>
      <c r="L1989" s="7"/>
      <c r="N1989" s="7"/>
      <c r="P1989" s="7"/>
      <c r="R1989" s="7"/>
      <c r="T1989" s="7"/>
      <c r="V1989" s="7"/>
      <c r="X1989" s="7"/>
    </row>
    <row r="1990" spans="2:24">
      <c r="B1990" s="7"/>
      <c r="D1990" s="7"/>
      <c r="F1990" s="7"/>
      <c r="H1990" s="7"/>
      <c r="J1990" s="7"/>
      <c r="L1990" s="7"/>
      <c r="N1990" s="7"/>
      <c r="P1990" s="7"/>
      <c r="R1990" s="7"/>
      <c r="T1990" s="7"/>
      <c r="V1990" s="7"/>
      <c r="X1990" s="7"/>
    </row>
    <row r="1991" spans="2:24">
      <c r="B1991" s="7"/>
      <c r="D1991" s="7"/>
      <c r="F1991" s="7"/>
      <c r="H1991" s="7"/>
      <c r="J1991" s="7"/>
      <c r="L1991" s="7"/>
      <c r="N1991" s="7"/>
      <c r="P1991" s="7"/>
      <c r="R1991" s="7"/>
      <c r="T1991" s="7"/>
      <c r="V1991" s="7"/>
      <c r="X1991" s="7"/>
    </row>
    <row r="1992" spans="2:24">
      <c r="B1992" s="7"/>
      <c r="D1992" s="7"/>
      <c r="F1992" s="7"/>
      <c r="H1992" s="7"/>
      <c r="J1992" s="7"/>
      <c r="L1992" s="7"/>
      <c r="N1992" s="7"/>
      <c r="P1992" s="7"/>
      <c r="R1992" s="7"/>
      <c r="T1992" s="7"/>
      <c r="V1992" s="7"/>
      <c r="X1992" s="7"/>
    </row>
    <row r="1993" spans="2:24">
      <c r="B1993" s="7"/>
      <c r="D1993" s="7"/>
      <c r="F1993" s="7"/>
      <c r="H1993" s="7"/>
      <c r="J1993" s="7"/>
      <c r="L1993" s="7"/>
      <c r="N1993" s="7"/>
      <c r="P1993" s="7"/>
      <c r="R1993" s="7"/>
      <c r="T1993" s="7"/>
      <c r="V1993" s="7"/>
      <c r="X1993" s="7"/>
    </row>
    <row r="1994" spans="2:24">
      <c r="B1994" s="7"/>
      <c r="D1994" s="7"/>
      <c r="F1994" s="7"/>
      <c r="H1994" s="7"/>
      <c r="J1994" s="7"/>
      <c r="L1994" s="7"/>
      <c r="N1994" s="7"/>
      <c r="P1994" s="7"/>
      <c r="R1994" s="7"/>
      <c r="T1994" s="7"/>
      <c r="V1994" s="7"/>
      <c r="X1994" s="7"/>
    </row>
    <row r="1995" spans="2:24">
      <c r="B1995" s="7"/>
      <c r="D1995" s="7"/>
      <c r="F1995" s="7"/>
      <c r="H1995" s="7"/>
      <c r="J1995" s="7"/>
      <c r="L1995" s="7"/>
      <c r="N1995" s="7"/>
      <c r="P1995" s="7"/>
      <c r="R1995" s="7"/>
      <c r="T1995" s="7"/>
      <c r="V1995" s="7"/>
      <c r="X1995" s="7"/>
    </row>
    <row r="1996" spans="2:24">
      <c r="B1996" s="7"/>
      <c r="D1996" s="7"/>
      <c r="F1996" s="7"/>
      <c r="H1996" s="7"/>
      <c r="J1996" s="7"/>
      <c r="L1996" s="7"/>
      <c r="N1996" s="7"/>
      <c r="P1996" s="7"/>
      <c r="R1996" s="7"/>
      <c r="T1996" s="7"/>
      <c r="V1996" s="7"/>
      <c r="X1996" s="7"/>
    </row>
    <row r="1997" spans="2:24">
      <c r="B1997" s="7"/>
      <c r="D1997" s="7"/>
      <c r="F1997" s="7"/>
      <c r="H1997" s="7"/>
      <c r="J1997" s="7"/>
      <c r="L1997" s="7"/>
      <c r="N1997" s="7"/>
      <c r="P1997" s="7"/>
      <c r="R1997" s="7"/>
      <c r="T1997" s="7"/>
      <c r="V1997" s="7"/>
      <c r="X1997" s="7"/>
    </row>
    <row r="1998" spans="2:24">
      <c r="B1998" s="7"/>
      <c r="D1998" s="7"/>
      <c r="F1998" s="7"/>
      <c r="H1998" s="7"/>
      <c r="J1998" s="7"/>
      <c r="L1998" s="7"/>
      <c r="N1998" s="7"/>
      <c r="P1998" s="7"/>
      <c r="R1998" s="7"/>
      <c r="T1998" s="7"/>
      <c r="V1998" s="7"/>
      <c r="X1998" s="7"/>
    </row>
    <row r="1999" spans="2:24">
      <c r="B1999" s="7"/>
      <c r="D1999" s="7"/>
      <c r="F1999" s="7"/>
      <c r="H1999" s="7"/>
      <c r="J1999" s="7"/>
      <c r="L1999" s="7"/>
      <c r="N1999" s="7"/>
      <c r="P1999" s="7"/>
      <c r="R1999" s="7"/>
      <c r="T1999" s="7"/>
      <c r="V1999" s="7"/>
      <c r="X1999" s="7"/>
    </row>
    <row r="2000" spans="2:24">
      <c r="B2000" s="7"/>
      <c r="D2000" s="7"/>
      <c r="F2000" s="7"/>
      <c r="H2000" s="7"/>
      <c r="J2000" s="7"/>
      <c r="L2000" s="7"/>
      <c r="N2000" s="7"/>
      <c r="P2000" s="7"/>
      <c r="R2000" s="7"/>
      <c r="T2000" s="7"/>
      <c r="V2000" s="7"/>
      <c r="X2000" s="7"/>
    </row>
    <row r="2001" spans="2:24">
      <c r="B2001" s="7"/>
      <c r="D2001" s="7"/>
      <c r="F2001" s="7"/>
      <c r="H2001" s="7"/>
      <c r="J2001" s="7"/>
      <c r="L2001" s="7"/>
      <c r="N2001" s="7"/>
      <c r="P2001" s="7"/>
      <c r="R2001" s="7"/>
      <c r="T2001" s="7"/>
      <c r="V2001" s="7"/>
      <c r="X2001" s="7"/>
    </row>
    <row r="2002" spans="2:24">
      <c r="B2002" s="7"/>
      <c r="D2002" s="7"/>
      <c r="F2002" s="7"/>
      <c r="H2002" s="7"/>
      <c r="J2002" s="7"/>
      <c r="L2002" s="7"/>
      <c r="N2002" s="7"/>
      <c r="P2002" s="7"/>
      <c r="R2002" s="7"/>
      <c r="T2002" s="7"/>
      <c r="V2002" s="7"/>
      <c r="X2002" s="7"/>
    </row>
    <row r="2003" spans="2:24">
      <c r="B2003" s="7"/>
      <c r="D2003" s="7"/>
      <c r="F2003" s="7"/>
      <c r="H2003" s="7"/>
      <c r="J2003" s="7"/>
      <c r="L2003" s="7"/>
      <c r="N2003" s="7"/>
      <c r="P2003" s="7"/>
      <c r="R2003" s="7"/>
      <c r="T2003" s="7"/>
      <c r="V2003" s="7"/>
      <c r="X2003" s="7"/>
    </row>
    <row r="2004" spans="2:24">
      <c r="B2004" s="7"/>
      <c r="D2004" s="7"/>
      <c r="F2004" s="7"/>
      <c r="H2004" s="7"/>
      <c r="J2004" s="7"/>
      <c r="L2004" s="7"/>
      <c r="N2004" s="7"/>
      <c r="P2004" s="7"/>
      <c r="R2004" s="7"/>
      <c r="T2004" s="7"/>
      <c r="V2004" s="7"/>
      <c r="X2004" s="7"/>
    </row>
    <row r="2005" spans="2:24">
      <c r="B2005" s="7"/>
      <c r="D2005" s="7"/>
      <c r="F2005" s="7"/>
      <c r="H2005" s="7"/>
      <c r="J2005" s="7"/>
      <c r="L2005" s="7"/>
      <c r="N2005" s="7"/>
      <c r="P2005" s="7"/>
      <c r="R2005" s="7"/>
      <c r="T2005" s="7"/>
      <c r="V2005" s="7"/>
      <c r="X2005" s="7"/>
    </row>
    <row r="2006" spans="2:24">
      <c r="B2006" s="7"/>
      <c r="D2006" s="7"/>
      <c r="F2006" s="7"/>
      <c r="H2006" s="7"/>
      <c r="J2006" s="7"/>
      <c r="L2006" s="7"/>
      <c r="N2006" s="7"/>
      <c r="P2006" s="7"/>
      <c r="R2006" s="7"/>
      <c r="T2006" s="7"/>
      <c r="V2006" s="7"/>
      <c r="X2006" s="7"/>
    </row>
    <row r="2007" spans="2:24">
      <c r="B2007" s="7"/>
      <c r="D2007" s="7"/>
      <c r="F2007" s="7"/>
      <c r="H2007" s="7"/>
      <c r="J2007" s="7"/>
      <c r="L2007" s="7"/>
      <c r="N2007" s="7"/>
      <c r="P2007" s="7"/>
      <c r="R2007" s="7"/>
      <c r="T2007" s="7"/>
      <c r="V2007" s="7"/>
      <c r="X2007" s="7"/>
    </row>
    <row r="2008" spans="2:24">
      <c r="B2008" s="7"/>
      <c r="D2008" s="7"/>
      <c r="F2008" s="7"/>
      <c r="H2008" s="7"/>
      <c r="J2008" s="7"/>
      <c r="L2008" s="7"/>
      <c r="N2008" s="7"/>
      <c r="P2008" s="7"/>
      <c r="R2008" s="7"/>
      <c r="T2008" s="7"/>
      <c r="V2008" s="7"/>
      <c r="X2008" s="7"/>
    </row>
    <row r="2009" spans="2:24">
      <c r="B2009" s="7"/>
      <c r="D2009" s="7"/>
      <c r="F2009" s="7"/>
      <c r="H2009" s="7"/>
      <c r="J2009" s="7"/>
      <c r="L2009" s="7"/>
      <c r="N2009" s="7"/>
      <c r="P2009" s="7"/>
      <c r="R2009" s="7"/>
      <c r="T2009" s="7"/>
      <c r="V2009" s="7"/>
      <c r="X2009" s="7"/>
    </row>
    <row r="2010" spans="2:24">
      <c r="B2010" s="7"/>
      <c r="D2010" s="7"/>
      <c r="F2010" s="7"/>
      <c r="H2010" s="7"/>
      <c r="J2010" s="7"/>
      <c r="L2010" s="7"/>
      <c r="N2010" s="7"/>
      <c r="P2010" s="7"/>
      <c r="R2010" s="7"/>
      <c r="T2010" s="7"/>
      <c r="V2010" s="7"/>
      <c r="X2010" s="7"/>
    </row>
    <row r="2011" spans="2:24">
      <c r="B2011" s="7"/>
      <c r="D2011" s="7"/>
      <c r="F2011" s="7"/>
      <c r="H2011" s="7"/>
      <c r="J2011" s="7"/>
      <c r="L2011" s="7"/>
      <c r="N2011" s="7"/>
      <c r="P2011" s="7"/>
      <c r="R2011" s="7"/>
      <c r="T2011" s="7"/>
      <c r="V2011" s="7"/>
      <c r="X2011" s="7"/>
    </row>
    <row r="2012" spans="2:24">
      <c r="B2012" s="7"/>
      <c r="D2012" s="7"/>
      <c r="F2012" s="7"/>
      <c r="H2012" s="7"/>
      <c r="J2012" s="7"/>
      <c r="L2012" s="7"/>
      <c r="N2012" s="7"/>
      <c r="P2012" s="7"/>
      <c r="R2012" s="7"/>
      <c r="T2012" s="7"/>
      <c r="V2012" s="7"/>
      <c r="X2012" s="7"/>
    </row>
    <row r="2013" spans="2:24">
      <c r="B2013" s="7"/>
      <c r="D2013" s="7"/>
      <c r="F2013" s="7"/>
      <c r="H2013" s="7"/>
      <c r="J2013" s="7"/>
      <c r="L2013" s="7"/>
      <c r="N2013" s="7"/>
      <c r="P2013" s="7"/>
      <c r="R2013" s="7"/>
      <c r="T2013" s="7"/>
      <c r="V2013" s="7"/>
      <c r="X2013" s="7"/>
    </row>
    <row r="2014" spans="2:24">
      <c r="B2014" s="7"/>
      <c r="D2014" s="7"/>
      <c r="F2014" s="7"/>
      <c r="H2014" s="7"/>
      <c r="J2014" s="7"/>
      <c r="L2014" s="7"/>
      <c r="N2014" s="7"/>
      <c r="P2014" s="7"/>
      <c r="R2014" s="7"/>
      <c r="T2014" s="7"/>
      <c r="V2014" s="7"/>
      <c r="X2014" s="7"/>
    </row>
    <row r="2015" spans="2:24">
      <c r="B2015" s="7"/>
      <c r="D2015" s="7"/>
      <c r="F2015" s="7"/>
      <c r="H2015" s="7"/>
      <c r="J2015" s="7"/>
      <c r="L2015" s="7"/>
      <c r="N2015" s="7"/>
      <c r="P2015" s="7"/>
      <c r="R2015" s="7"/>
      <c r="T2015" s="7"/>
      <c r="V2015" s="7"/>
      <c r="X2015" s="7"/>
    </row>
    <row r="2016" spans="2:24">
      <c r="B2016" s="7"/>
      <c r="D2016" s="7"/>
      <c r="F2016" s="7"/>
      <c r="H2016" s="7"/>
      <c r="J2016" s="7"/>
      <c r="L2016" s="7"/>
      <c r="N2016" s="7"/>
      <c r="P2016" s="7"/>
      <c r="R2016" s="7"/>
      <c r="T2016" s="7"/>
      <c r="V2016" s="7"/>
      <c r="X2016" s="7"/>
    </row>
    <row r="2017" spans="2:24">
      <c r="B2017" s="7"/>
      <c r="D2017" s="7"/>
      <c r="F2017" s="7"/>
      <c r="H2017" s="7"/>
      <c r="J2017" s="7"/>
      <c r="L2017" s="7"/>
      <c r="N2017" s="7"/>
      <c r="P2017" s="7"/>
      <c r="R2017" s="7"/>
      <c r="T2017" s="7"/>
      <c r="V2017" s="7"/>
      <c r="X2017" s="7"/>
    </row>
    <row r="2018" spans="2:24">
      <c r="B2018" s="7"/>
      <c r="D2018" s="7"/>
      <c r="F2018" s="7"/>
      <c r="H2018" s="7"/>
      <c r="J2018" s="7"/>
      <c r="L2018" s="7"/>
      <c r="N2018" s="7"/>
      <c r="P2018" s="7"/>
      <c r="R2018" s="7"/>
      <c r="T2018" s="7"/>
      <c r="V2018" s="7"/>
      <c r="X2018" s="7"/>
    </row>
    <row r="2019" spans="2:24">
      <c r="B2019" s="7"/>
      <c r="D2019" s="7"/>
      <c r="F2019" s="7"/>
      <c r="H2019" s="7"/>
      <c r="J2019" s="7"/>
      <c r="L2019" s="7"/>
      <c r="N2019" s="7"/>
      <c r="P2019" s="7"/>
      <c r="R2019" s="7"/>
      <c r="T2019" s="7"/>
      <c r="V2019" s="7"/>
      <c r="X2019" s="7"/>
    </row>
    <row r="2020" spans="2:24">
      <c r="B2020" s="7"/>
      <c r="D2020" s="7"/>
      <c r="F2020" s="7"/>
      <c r="H2020" s="7"/>
      <c r="J2020" s="7"/>
      <c r="L2020" s="7"/>
      <c r="N2020" s="7"/>
      <c r="P2020" s="7"/>
      <c r="R2020" s="7"/>
      <c r="T2020" s="7"/>
      <c r="V2020" s="7"/>
      <c r="X2020" s="7"/>
    </row>
    <row r="2021" spans="2:24">
      <c r="B2021" s="7"/>
      <c r="D2021" s="7"/>
      <c r="F2021" s="7"/>
      <c r="H2021" s="7"/>
      <c r="J2021" s="7"/>
      <c r="L2021" s="7"/>
      <c r="N2021" s="7"/>
      <c r="P2021" s="7"/>
      <c r="R2021" s="7"/>
      <c r="T2021" s="7"/>
      <c r="V2021" s="7"/>
      <c r="X2021" s="7"/>
    </row>
    <row r="2022" spans="2:24">
      <c r="B2022" s="7"/>
      <c r="D2022" s="7"/>
      <c r="F2022" s="7"/>
      <c r="H2022" s="7"/>
      <c r="J2022" s="7"/>
      <c r="L2022" s="7"/>
      <c r="N2022" s="7"/>
      <c r="P2022" s="7"/>
      <c r="R2022" s="7"/>
      <c r="T2022" s="7"/>
      <c r="V2022" s="7"/>
      <c r="X2022" s="7"/>
    </row>
    <row r="2023" spans="2:24">
      <c r="B2023" s="7"/>
      <c r="D2023" s="7"/>
      <c r="F2023" s="7"/>
      <c r="H2023" s="7"/>
      <c r="J2023" s="7"/>
      <c r="L2023" s="7"/>
      <c r="N2023" s="7"/>
      <c r="P2023" s="7"/>
      <c r="R2023" s="7"/>
      <c r="T2023" s="7"/>
      <c r="V2023" s="7"/>
      <c r="X2023" s="7"/>
    </row>
    <row r="2024" spans="2:24">
      <c r="B2024" s="7"/>
      <c r="D2024" s="7"/>
      <c r="F2024" s="7"/>
      <c r="H2024" s="7"/>
      <c r="J2024" s="7"/>
      <c r="L2024" s="7"/>
      <c r="N2024" s="7"/>
      <c r="P2024" s="7"/>
      <c r="R2024" s="7"/>
      <c r="T2024" s="7"/>
      <c r="V2024" s="7"/>
      <c r="X2024" s="7"/>
    </row>
    <row r="2025" spans="2:24">
      <c r="B2025" s="7"/>
      <c r="D2025" s="7"/>
      <c r="F2025" s="7"/>
      <c r="H2025" s="7"/>
      <c r="J2025" s="7"/>
      <c r="L2025" s="7"/>
      <c r="N2025" s="7"/>
      <c r="P2025" s="7"/>
      <c r="R2025" s="7"/>
      <c r="T2025" s="7"/>
      <c r="V2025" s="7"/>
      <c r="X2025" s="7"/>
    </row>
    <row r="2026" spans="2:24">
      <c r="B2026" s="7"/>
      <c r="D2026" s="7"/>
      <c r="F2026" s="7"/>
      <c r="H2026" s="7"/>
      <c r="J2026" s="7"/>
      <c r="L2026" s="7"/>
      <c r="N2026" s="7"/>
      <c r="P2026" s="7"/>
      <c r="R2026" s="7"/>
      <c r="T2026" s="7"/>
      <c r="V2026" s="7"/>
      <c r="X2026" s="7"/>
    </row>
    <row r="2027" spans="2:24">
      <c r="B2027" s="7"/>
      <c r="D2027" s="7"/>
      <c r="F2027" s="7"/>
      <c r="H2027" s="7"/>
      <c r="J2027" s="7"/>
      <c r="L2027" s="7"/>
      <c r="N2027" s="7"/>
      <c r="P2027" s="7"/>
      <c r="R2027" s="7"/>
      <c r="T2027" s="7"/>
      <c r="V2027" s="7"/>
      <c r="X2027" s="7"/>
    </row>
    <row r="2028" spans="2:24">
      <c r="B2028" s="7"/>
      <c r="D2028" s="7"/>
      <c r="F2028" s="7"/>
      <c r="H2028" s="7"/>
      <c r="J2028" s="7"/>
      <c r="L2028" s="7"/>
      <c r="N2028" s="7"/>
      <c r="P2028" s="7"/>
      <c r="R2028" s="7"/>
      <c r="T2028" s="7"/>
      <c r="V2028" s="7"/>
      <c r="X2028" s="7"/>
    </row>
    <row r="2029" spans="2:24">
      <c r="B2029" s="7"/>
      <c r="D2029" s="7"/>
      <c r="F2029" s="7"/>
      <c r="H2029" s="7"/>
      <c r="J2029" s="7"/>
      <c r="L2029" s="7"/>
      <c r="N2029" s="7"/>
      <c r="P2029" s="7"/>
      <c r="R2029" s="7"/>
      <c r="T2029" s="7"/>
      <c r="V2029" s="7"/>
      <c r="X2029" s="7"/>
    </row>
    <row r="2030" spans="2:24">
      <c r="B2030" s="7"/>
      <c r="D2030" s="7"/>
      <c r="F2030" s="7"/>
      <c r="H2030" s="7"/>
      <c r="J2030" s="7"/>
      <c r="L2030" s="7"/>
      <c r="N2030" s="7"/>
      <c r="P2030" s="7"/>
      <c r="R2030" s="7"/>
      <c r="T2030" s="7"/>
      <c r="V2030" s="7"/>
      <c r="X2030" s="7"/>
    </row>
    <row r="2031" spans="2:24">
      <c r="B2031" s="7"/>
      <c r="D2031" s="7"/>
      <c r="F2031" s="7"/>
      <c r="H2031" s="7"/>
      <c r="J2031" s="7"/>
      <c r="L2031" s="7"/>
      <c r="N2031" s="7"/>
      <c r="P2031" s="7"/>
      <c r="R2031" s="7"/>
      <c r="T2031" s="7"/>
      <c r="V2031" s="7"/>
      <c r="X2031" s="7"/>
    </row>
    <row r="2032" spans="2:24">
      <c r="B2032" s="7"/>
      <c r="D2032" s="7"/>
      <c r="F2032" s="7"/>
      <c r="H2032" s="7"/>
      <c r="J2032" s="7"/>
      <c r="L2032" s="7"/>
      <c r="N2032" s="7"/>
      <c r="P2032" s="7"/>
      <c r="R2032" s="7"/>
      <c r="T2032" s="7"/>
      <c r="V2032" s="7"/>
      <c r="X2032" s="7"/>
    </row>
    <row r="2033" spans="2:24">
      <c r="B2033" s="7"/>
      <c r="D2033" s="7"/>
      <c r="F2033" s="7"/>
      <c r="H2033" s="7"/>
      <c r="J2033" s="7"/>
      <c r="L2033" s="7"/>
      <c r="N2033" s="7"/>
      <c r="P2033" s="7"/>
      <c r="R2033" s="7"/>
      <c r="T2033" s="7"/>
      <c r="V2033" s="7"/>
      <c r="X2033" s="7"/>
    </row>
    <row r="2034" spans="2:24">
      <c r="B2034" s="7"/>
      <c r="D2034" s="7"/>
      <c r="F2034" s="7"/>
      <c r="H2034" s="7"/>
      <c r="J2034" s="7"/>
      <c r="L2034" s="7"/>
      <c r="N2034" s="7"/>
      <c r="P2034" s="7"/>
      <c r="R2034" s="7"/>
      <c r="T2034" s="7"/>
      <c r="V2034" s="7"/>
      <c r="X2034" s="7"/>
    </row>
    <row r="2035" spans="2:24">
      <c r="B2035" s="7"/>
      <c r="D2035" s="7"/>
      <c r="F2035" s="7"/>
      <c r="H2035" s="7"/>
      <c r="J2035" s="7"/>
      <c r="L2035" s="7"/>
      <c r="N2035" s="7"/>
      <c r="P2035" s="7"/>
      <c r="R2035" s="7"/>
      <c r="T2035" s="7"/>
      <c r="V2035" s="7"/>
      <c r="X2035" s="7"/>
    </row>
    <row r="2036" spans="2:24">
      <c r="B2036" s="7"/>
      <c r="D2036" s="7"/>
      <c r="F2036" s="7"/>
      <c r="H2036" s="7"/>
      <c r="J2036" s="7"/>
      <c r="L2036" s="7"/>
      <c r="N2036" s="7"/>
      <c r="P2036" s="7"/>
      <c r="R2036" s="7"/>
      <c r="T2036" s="7"/>
      <c r="V2036" s="7"/>
      <c r="X2036" s="7"/>
    </row>
    <row r="2037" spans="2:24">
      <c r="B2037" s="7"/>
      <c r="D2037" s="7"/>
      <c r="F2037" s="7"/>
      <c r="H2037" s="7"/>
      <c r="J2037" s="7"/>
      <c r="L2037" s="7"/>
      <c r="N2037" s="7"/>
      <c r="P2037" s="7"/>
      <c r="R2037" s="7"/>
      <c r="T2037" s="7"/>
      <c r="V2037" s="7"/>
      <c r="X2037" s="7"/>
    </row>
    <row r="2038" spans="2:24">
      <c r="B2038" s="7"/>
      <c r="D2038" s="7"/>
      <c r="F2038" s="7"/>
      <c r="H2038" s="7"/>
      <c r="J2038" s="7"/>
      <c r="L2038" s="7"/>
      <c r="N2038" s="7"/>
      <c r="P2038" s="7"/>
      <c r="R2038" s="7"/>
      <c r="T2038" s="7"/>
      <c r="V2038" s="7"/>
      <c r="X2038" s="7"/>
    </row>
    <row r="2039" spans="2:24">
      <c r="B2039" s="7"/>
      <c r="D2039" s="7"/>
      <c r="F2039" s="7"/>
      <c r="H2039" s="7"/>
      <c r="J2039" s="7"/>
      <c r="L2039" s="7"/>
      <c r="N2039" s="7"/>
      <c r="P2039" s="7"/>
      <c r="R2039" s="7"/>
      <c r="T2039" s="7"/>
      <c r="V2039" s="7"/>
      <c r="X2039" s="7"/>
    </row>
    <row r="2040" spans="2:24">
      <c r="B2040" s="7"/>
      <c r="D2040" s="7"/>
      <c r="F2040" s="7"/>
      <c r="H2040" s="7"/>
      <c r="J2040" s="7"/>
      <c r="L2040" s="7"/>
      <c r="N2040" s="7"/>
      <c r="P2040" s="7"/>
      <c r="R2040" s="7"/>
      <c r="T2040" s="7"/>
      <c r="V2040" s="7"/>
      <c r="X2040" s="7"/>
    </row>
    <row r="2041" spans="2:24">
      <c r="B2041" s="7"/>
      <c r="D2041" s="7"/>
      <c r="F2041" s="7"/>
      <c r="H2041" s="7"/>
      <c r="J2041" s="7"/>
      <c r="L2041" s="7"/>
      <c r="N2041" s="7"/>
      <c r="P2041" s="7"/>
      <c r="R2041" s="7"/>
      <c r="T2041" s="7"/>
      <c r="V2041" s="7"/>
      <c r="X2041" s="7"/>
    </row>
    <row r="2042" spans="2:24">
      <c r="B2042" s="7"/>
      <c r="D2042" s="7"/>
      <c r="F2042" s="7"/>
      <c r="H2042" s="7"/>
      <c r="J2042" s="7"/>
      <c r="L2042" s="7"/>
      <c r="N2042" s="7"/>
      <c r="P2042" s="7"/>
      <c r="R2042" s="7"/>
      <c r="T2042" s="7"/>
      <c r="V2042" s="7"/>
      <c r="X2042" s="7"/>
    </row>
    <row r="2043" spans="2:24">
      <c r="B2043" s="7"/>
      <c r="D2043" s="7"/>
      <c r="F2043" s="7"/>
      <c r="H2043" s="7"/>
      <c r="J2043" s="7"/>
      <c r="L2043" s="7"/>
      <c r="N2043" s="7"/>
      <c r="P2043" s="7"/>
      <c r="R2043" s="7"/>
      <c r="T2043" s="7"/>
      <c r="V2043" s="7"/>
      <c r="X2043" s="7"/>
    </row>
    <row r="2044" spans="2:24">
      <c r="B2044" s="7"/>
      <c r="D2044" s="7"/>
      <c r="F2044" s="7"/>
      <c r="H2044" s="7"/>
      <c r="J2044" s="7"/>
      <c r="L2044" s="7"/>
      <c r="N2044" s="7"/>
      <c r="P2044" s="7"/>
      <c r="R2044" s="7"/>
      <c r="T2044" s="7"/>
      <c r="V2044" s="7"/>
      <c r="X2044" s="7"/>
    </row>
    <row r="2045" spans="2:24">
      <c r="B2045" s="7"/>
      <c r="D2045" s="7"/>
      <c r="F2045" s="7"/>
      <c r="H2045" s="7"/>
      <c r="J2045" s="7"/>
      <c r="L2045" s="7"/>
      <c r="N2045" s="7"/>
      <c r="P2045" s="7"/>
      <c r="R2045" s="7"/>
      <c r="T2045" s="7"/>
      <c r="V2045" s="7"/>
      <c r="X2045" s="7"/>
    </row>
    <row r="2046" spans="2:24">
      <c r="B2046" s="7"/>
      <c r="D2046" s="7"/>
      <c r="F2046" s="7"/>
      <c r="H2046" s="7"/>
      <c r="J2046" s="7"/>
      <c r="L2046" s="7"/>
      <c r="N2046" s="7"/>
      <c r="P2046" s="7"/>
      <c r="R2046" s="7"/>
      <c r="T2046" s="7"/>
      <c r="V2046" s="7"/>
      <c r="X2046" s="7"/>
    </row>
    <row r="2047" spans="2:24">
      <c r="B2047" s="7"/>
      <c r="D2047" s="7"/>
      <c r="F2047" s="7"/>
      <c r="H2047" s="7"/>
      <c r="J2047" s="7"/>
      <c r="L2047" s="7"/>
      <c r="N2047" s="7"/>
      <c r="P2047" s="7"/>
      <c r="R2047" s="7"/>
      <c r="T2047" s="7"/>
      <c r="V2047" s="7"/>
      <c r="X2047" s="7"/>
    </row>
    <row r="2048" spans="2:24">
      <c r="B2048" s="7"/>
      <c r="D2048" s="7"/>
      <c r="F2048" s="7"/>
      <c r="H2048" s="7"/>
      <c r="J2048" s="7"/>
      <c r="L2048" s="7"/>
      <c r="N2048" s="7"/>
      <c r="P2048" s="7"/>
      <c r="R2048" s="7"/>
      <c r="T2048" s="7"/>
      <c r="V2048" s="7"/>
      <c r="X2048" s="7"/>
    </row>
    <row r="2049" spans="2:24">
      <c r="B2049" s="7"/>
      <c r="D2049" s="7"/>
      <c r="F2049" s="7"/>
      <c r="H2049" s="7"/>
      <c r="J2049" s="7"/>
      <c r="L2049" s="7"/>
      <c r="N2049" s="7"/>
      <c r="P2049" s="7"/>
      <c r="R2049" s="7"/>
      <c r="T2049" s="7"/>
      <c r="V2049" s="7"/>
      <c r="X2049" s="7"/>
    </row>
    <row r="2050" spans="2:24">
      <c r="B2050" s="7"/>
      <c r="D2050" s="7"/>
      <c r="F2050" s="7"/>
      <c r="H2050" s="7"/>
      <c r="J2050" s="7"/>
      <c r="L2050" s="7"/>
      <c r="N2050" s="7"/>
      <c r="P2050" s="7"/>
      <c r="R2050" s="7"/>
      <c r="T2050" s="7"/>
      <c r="V2050" s="7"/>
      <c r="X2050" s="7"/>
    </row>
    <row r="2051" spans="2:24">
      <c r="B2051" s="7"/>
      <c r="D2051" s="7"/>
      <c r="F2051" s="7"/>
      <c r="H2051" s="7"/>
      <c r="J2051" s="7"/>
      <c r="L2051" s="7"/>
      <c r="N2051" s="7"/>
      <c r="P2051" s="7"/>
      <c r="R2051" s="7"/>
      <c r="T2051" s="7"/>
      <c r="V2051" s="7"/>
      <c r="X2051" s="7"/>
    </row>
    <row r="2052" spans="2:24">
      <c r="B2052" s="7"/>
      <c r="D2052" s="7"/>
      <c r="F2052" s="7"/>
      <c r="H2052" s="7"/>
      <c r="J2052" s="7"/>
      <c r="L2052" s="7"/>
      <c r="N2052" s="7"/>
      <c r="P2052" s="7"/>
      <c r="R2052" s="7"/>
      <c r="T2052" s="7"/>
      <c r="V2052" s="7"/>
      <c r="X2052" s="7"/>
    </row>
    <row r="2053" spans="2:24">
      <c r="B2053" s="7"/>
      <c r="D2053" s="7"/>
      <c r="F2053" s="7"/>
      <c r="H2053" s="7"/>
      <c r="J2053" s="7"/>
      <c r="L2053" s="7"/>
      <c r="N2053" s="7"/>
      <c r="P2053" s="7"/>
      <c r="R2053" s="7"/>
      <c r="T2053" s="7"/>
      <c r="V2053" s="7"/>
      <c r="X2053" s="7"/>
    </row>
    <row r="2054" spans="2:24">
      <c r="B2054" s="7"/>
      <c r="D2054" s="7"/>
      <c r="F2054" s="7"/>
      <c r="H2054" s="7"/>
      <c r="J2054" s="7"/>
      <c r="L2054" s="7"/>
      <c r="N2054" s="7"/>
      <c r="P2054" s="7"/>
      <c r="R2054" s="7"/>
      <c r="T2054" s="7"/>
      <c r="V2054" s="7"/>
      <c r="X2054" s="7"/>
    </row>
    <row r="2055" spans="2:24">
      <c r="B2055" s="7"/>
      <c r="D2055" s="7"/>
      <c r="F2055" s="7"/>
      <c r="H2055" s="7"/>
      <c r="J2055" s="7"/>
      <c r="L2055" s="7"/>
      <c r="N2055" s="7"/>
      <c r="P2055" s="7"/>
      <c r="R2055" s="7"/>
      <c r="T2055" s="7"/>
      <c r="V2055" s="7"/>
      <c r="X2055" s="7"/>
    </row>
    <row r="2056" spans="2:24">
      <c r="B2056" s="7"/>
      <c r="D2056" s="7"/>
      <c r="F2056" s="7"/>
      <c r="H2056" s="7"/>
      <c r="J2056" s="7"/>
      <c r="L2056" s="7"/>
      <c r="N2056" s="7"/>
      <c r="P2056" s="7"/>
      <c r="R2056" s="7"/>
      <c r="T2056" s="7"/>
      <c r="V2056" s="7"/>
      <c r="X2056" s="7"/>
    </row>
    <row r="2057" spans="2:24">
      <c r="B2057" s="7"/>
      <c r="D2057" s="7"/>
      <c r="F2057" s="7"/>
      <c r="H2057" s="7"/>
      <c r="J2057" s="7"/>
      <c r="L2057" s="7"/>
      <c r="N2057" s="7"/>
      <c r="P2057" s="7"/>
      <c r="R2057" s="7"/>
      <c r="T2057" s="7"/>
      <c r="V2057" s="7"/>
      <c r="X2057" s="7"/>
    </row>
    <row r="2058" spans="2:24">
      <c r="B2058" s="7"/>
      <c r="D2058" s="7"/>
      <c r="F2058" s="7"/>
      <c r="H2058" s="7"/>
      <c r="J2058" s="7"/>
      <c r="L2058" s="7"/>
      <c r="N2058" s="7"/>
      <c r="P2058" s="7"/>
      <c r="R2058" s="7"/>
      <c r="T2058" s="7"/>
      <c r="V2058" s="7"/>
      <c r="X2058" s="7"/>
    </row>
    <row r="2059" spans="2:24">
      <c r="B2059" s="7"/>
      <c r="D2059" s="7"/>
      <c r="F2059" s="7"/>
      <c r="H2059" s="7"/>
      <c r="J2059" s="7"/>
      <c r="L2059" s="7"/>
      <c r="N2059" s="7"/>
      <c r="P2059" s="7"/>
      <c r="R2059" s="7"/>
      <c r="T2059" s="7"/>
      <c r="V2059" s="7"/>
      <c r="X2059" s="7"/>
    </row>
    <row r="2060" spans="2:24">
      <c r="B2060" s="7"/>
      <c r="D2060" s="7"/>
      <c r="F2060" s="7"/>
      <c r="H2060" s="7"/>
      <c r="J2060" s="7"/>
      <c r="L2060" s="7"/>
      <c r="N2060" s="7"/>
      <c r="P2060" s="7"/>
      <c r="R2060" s="7"/>
      <c r="T2060" s="7"/>
      <c r="V2060" s="7"/>
      <c r="X2060" s="7"/>
    </row>
    <row r="2061" spans="2:24">
      <c r="B2061" s="7"/>
      <c r="D2061" s="7"/>
      <c r="F2061" s="7"/>
      <c r="H2061" s="7"/>
      <c r="J2061" s="7"/>
      <c r="L2061" s="7"/>
      <c r="N2061" s="7"/>
      <c r="P2061" s="7"/>
      <c r="R2061" s="7"/>
      <c r="T2061" s="7"/>
      <c r="V2061" s="7"/>
      <c r="X2061" s="7"/>
    </row>
    <row r="2062" spans="2:24">
      <c r="B2062" s="7"/>
      <c r="D2062" s="7"/>
      <c r="F2062" s="7"/>
      <c r="H2062" s="7"/>
      <c r="J2062" s="7"/>
      <c r="L2062" s="7"/>
      <c r="N2062" s="7"/>
      <c r="P2062" s="7"/>
      <c r="R2062" s="7"/>
      <c r="T2062" s="7"/>
      <c r="V2062" s="7"/>
      <c r="X2062" s="7"/>
    </row>
    <row r="2063" spans="2:24">
      <c r="B2063" s="7"/>
      <c r="D2063" s="7"/>
      <c r="F2063" s="7"/>
      <c r="H2063" s="7"/>
      <c r="J2063" s="7"/>
      <c r="L2063" s="7"/>
      <c r="N2063" s="7"/>
      <c r="P2063" s="7"/>
      <c r="R2063" s="7"/>
      <c r="T2063" s="7"/>
      <c r="V2063" s="7"/>
      <c r="X2063" s="7"/>
    </row>
    <row r="2064" spans="2:24">
      <c r="B2064" s="7"/>
      <c r="D2064" s="7"/>
      <c r="F2064" s="7"/>
      <c r="H2064" s="7"/>
      <c r="J2064" s="7"/>
      <c r="L2064" s="7"/>
      <c r="N2064" s="7"/>
      <c r="P2064" s="7"/>
      <c r="R2064" s="7"/>
      <c r="T2064" s="7"/>
      <c r="V2064" s="7"/>
      <c r="X2064" s="7"/>
    </row>
    <row r="2065" spans="2:24">
      <c r="B2065" s="7"/>
      <c r="D2065" s="7"/>
      <c r="F2065" s="7"/>
      <c r="H2065" s="7"/>
      <c r="J2065" s="7"/>
      <c r="L2065" s="7"/>
      <c r="N2065" s="7"/>
      <c r="P2065" s="7"/>
      <c r="R2065" s="7"/>
      <c r="T2065" s="7"/>
      <c r="V2065" s="7"/>
      <c r="X2065" s="7"/>
    </row>
    <row r="2066" spans="2:24">
      <c r="B2066" s="7"/>
      <c r="D2066" s="7"/>
      <c r="F2066" s="7"/>
      <c r="H2066" s="7"/>
      <c r="J2066" s="7"/>
      <c r="L2066" s="7"/>
      <c r="N2066" s="7"/>
      <c r="P2066" s="7"/>
      <c r="R2066" s="7"/>
      <c r="T2066" s="7"/>
      <c r="V2066" s="7"/>
      <c r="X2066" s="7"/>
    </row>
    <row r="2067" spans="2:24">
      <c r="B2067" s="7"/>
      <c r="D2067" s="7"/>
      <c r="F2067" s="7"/>
      <c r="H2067" s="7"/>
      <c r="J2067" s="7"/>
      <c r="L2067" s="7"/>
      <c r="N2067" s="7"/>
      <c r="P2067" s="7"/>
      <c r="R2067" s="7"/>
      <c r="T2067" s="7"/>
      <c r="V2067" s="7"/>
      <c r="X2067" s="7"/>
    </row>
    <row r="2068" spans="2:24">
      <c r="B2068" s="7"/>
      <c r="D2068" s="7"/>
      <c r="F2068" s="7"/>
      <c r="H2068" s="7"/>
      <c r="J2068" s="7"/>
      <c r="L2068" s="7"/>
      <c r="N2068" s="7"/>
      <c r="P2068" s="7"/>
      <c r="R2068" s="7"/>
      <c r="T2068" s="7"/>
      <c r="V2068" s="7"/>
      <c r="X2068" s="7"/>
    </row>
    <row r="2069" spans="2:24">
      <c r="B2069" s="7"/>
      <c r="D2069" s="7"/>
      <c r="F2069" s="7"/>
      <c r="H2069" s="7"/>
      <c r="J2069" s="7"/>
      <c r="L2069" s="7"/>
      <c r="N2069" s="7"/>
      <c r="P2069" s="7"/>
      <c r="R2069" s="7"/>
      <c r="T2069" s="7"/>
      <c r="V2069" s="7"/>
      <c r="X2069" s="7"/>
    </row>
    <row r="2070" spans="2:24">
      <c r="B2070" s="7"/>
      <c r="D2070" s="7"/>
      <c r="F2070" s="7"/>
      <c r="H2070" s="7"/>
      <c r="J2070" s="7"/>
      <c r="L2070" s="7"/>
      <c r="N2070" s="7"/>
      <c r="P2070" s="7"/>
      <c r="R2070" s="7"/>
      <c r="T2070" s="7"/>
      <c r="V2070" s="7"/>
      <c r="X2070" s="7"/>
    </row>
    <row r="2071" spans="2:24">
      <c r="B2071" s="7"/>
      <c r="D2071" s="7"/>
      <c r="F2071" s="7"/>
      <c r="H2071" s="7"/>
      <c r="J2071" s="7"/>
      <c r="L2071" s="7"/>
      <c r="N2071" s="7"/>
      <c r="P2071" s="7"/>
      <c r="R2071" s="7"/>
      <c r="T2071" s="7"/>
      <c r="V2071" s="7"/>
      <c r="X2071" s="7"/>
    </row>
    <row r="2072" spans="2:24">
      <c r="B2072" s="7"/>
      <c r="D2072" s="7"/>
      <c r="F2072" s="7"/>
      <c r="H2072" s="7"/>
      <c r="J2072" s="7"/>
      <c r="L2072" s="7"/>
      <c r="N2072" s="7"/>
      <c r="P2072" s="7"/>
      <c r="R2072" s="7"/>
      <c r="T2072" s="7"/>
      <c r="V2072" s="7"/>
      <c r="X2072" s="7"/>
    </row>
    <row r="2073" spans="2:24">
      <c r="B2073" s="7"/>
      <c r="D2073" s="7"/>
      <c r="F2073" s="7"/>
      <c r="H2073" s="7"/>
      <c r="J2073" s="7"/>
      <c r="L2073" s="7"/>
      <c r="N2073" s="7"/>
      <c r="P2073" s="7"/>
      <c r="R2073" s="7"/>
      <c r="T2073" s="7"/>
      <c r="V2073" s="7"/>
      <c r="X2073" s="7"/>
    </row>
    <row r="2074" spans="2:24">
      <c r="B2074" s="7"/>
      <c r="D2074" s="7"/>
      <c r="F2074" s="7"/>
      <c r="H2074" s="7"/>
      <c r="J2074" s="7"/>
      <c r="L2074" s="7"/>
      <c r="N2074" s="7"/>
      <c r="P2074" s="7"/>
      <c r="R2074" s="7"/>
      <c r="T2074" s="7"/>
      <c r="V2074" s="7"/>
      <c r="X2074" s="7"/>
    </row>
    <row r="2075" spans="2:24">
      <c r="B2075" s="7"/>
      <c r="D2075" s="7"/>
      <c r="F2075" s="7"/>
      <c r="H2075" s="7"/>
      <c r="J2075" s="7"/>
      <c r="L2075" s="7"/>
      <c r="N2075" s="7"/>
      <c r="P2075" s="7"/>
      <c r="R2075" s="7"/>
      <c r="T2075" s="7"/>
      <c r="V2075" s="7"/>
      <c r="X2075" s="7"/>
    </row>
    <row r="2076" spans="2:24">
      <c r="B2076" s="7"/>
      <c r="D2076" s="7"/>
      <c r="F2076" s="7"/>
      <c r="H2076" s="7"/>
      <c r="J2076" s="7"/>
      <c r="L2076" s="7"/>
      <c r="N2076" s="7"/>
      <c r="P2076" s="7"/>
      <c r="R2076" s="7"/>
      <c r="T2076" s="7"/>
      <c r="V2076" s="7"/>
      <c r="X2076" s="7"/>
    </row>
    <row r="2077" spans="2:24">
      <c r="B2077" s="7"/>
      <c r="D2077" s="7"/>
      <c r="F2077" s="7"/>
      <c r="H2077" s="7"/>
      <c r="J2077" s="7"/>
      <c r="L2077" s="7"/>
      <c r="N2077" s="7"/>
      <c r="P2077" s="7"/>
      <c r="R2077" s="7"/>
      <c r="T2077" s="7"/>
      <c r="V2077" s="7"/>
      <c r="X2077" s="7"/>
    </row>
    <row r="2078" spans="2:24">
      <c r="B2078" s="7"/>
      <c r="D2078" s="7"/>
      <c r="F2078" s="7"/>
      <c r="H2078" s="7"/>
      <c r="J2078" s="7"/>
      <c r="L2078" s="7"/>
      <c r="N2078" s="7"/>
      <c r="P2078" s="7"/>
      <c r="R2078" s="7"/>
      <c r="T2078" s="7"/>
      <c r="V2078" s="7"/>
      <c r="X2078" s="7"/>
    </row>
    <row r="2079" spans="2:24">
      <c r="B2079" s="7"/>
      <c r="D2079" s="7"/>
      <c r="F2079" s="7"/>
      <c r="H2079" s="7"/>
      <c r="J2079" s="7"/>
      <c r="L2079" s="7"/>
      <c r="N2079" s="7"/>
      <c r="P2079" s="7"/>
      <c r="R2079" s="7"/>
      <c r="T2079" s="7"/>
      <c r="V2079" s="7"/>
      <c r="X2079" s="7"/>
    </row>
    <row r="2080" spans="2:24">
      <c r="B2080" s="7"/>
      <c r="D2080" s="7"/>
      <c r="F2080" s="7"/>
      <c r="H2080" s="7"/>
      <c r="J2080" s="7"/>
      <c r="L2080" s="7"/>
      <c r="N2080" s="7"/>
      <c r="P2080" s="7"/>
      <c r="R2080" s="7"/>
      <c r="T2080" s="7"/>
      <c r="V2080" s="7"/>
      <c r="X2080" s="7"/>
    </row>
    <row r="2081" spans="2:24">
      <c r="B2081" s="7"/>
      <c r="D2081" s="7"/>
      <c r="F2081" s="7"/>
      <c r="H2081" s="7"/>
      <c r="J2081" s="7"/>
      <c r="L2081" s="7"/>
      <c r="N2081" s="7"/>
      <c r="P2081" s="7"/>
      <c r="R2081" s="7"/>
      <c r="T2081" s="7"/>
      <c r="V2081" s="7"/>
      <c r="X2081" s="7"/>
    </row>
    <row r="2082" spans="2:24">
      <c r="B2082" s="7"/>
      <c r="D2082" s="7"/>
      <c r="F2082" s="7"/>
      <c r="H2082" s="7"/>
      <c r="J2082" s="7"/>
      <c r="L2082" s="7"/>
      <c r="N2082" s="7"/>
      <c r="P2082" s="7"/>
      <c r="R2082" s="7"/>
      <c r="T2082" s="7"/>
      <c r="V2082" s="7"/>
      <c r="X2082" s="7"/>
    </row>
    <row r="2083" spans="2:24">
      <c r="B2083" s="7"/>
      <c r="D2083" s="7"/>
      <c r="F2083" s="7"/>
      <c r="H2083" s="7"/>
      <c r="J2083" s="7"/>
      <c r="L2083" s="7"/>
      <c r="N2083" s="7"/>
      <c r="P2083" s="7"/>
      <c r="R2083" s="7"/>
      <c r="T2083" s="7"/>
      <c r="V2083" s="7"/>
      <c r="X2083" s="7"/>
    </row>
    <row r="2084" spans="2:24">
      <c r="B2084" s="7"/>
      <c r="D2084" s="7"/>
      <c r="F2084" s="7"/>
      <c r="H2084" s="7"/>
      <c r="J2084" s="7"/>
      <c r="L2084" s="7"/>
      <c r="N2084" s="7"/>
      <c r="P2084" s="7"/>
      <c r="R2084" s="7"/>
      <c r="T2084" s="7"/>
      <c r="V2084" s="7"/>
      <c r="X2084" s="7"/>
    </row>
    <row r="2085" spans="2:24">
      <c r="B2085" s="7"/>
      <c r="D2085" s="7"/>
      <c r="F2085" s="7"/>
      <c r="H2085" s="7"/>
      <c r="J2085" s="7"/>
      <c r="L2085" s="7"/>
      <c r="N2085" s="7"/>
      <c r="P2085" s="7"/>
      <c r="R2085" s="7"/>
      <c r="T2085" s="7"/>
      <c r="V2085" s="7"/>
      <c r="X2085" s="7"/>
    </row>
    <row r="2086" spans="2:24">
      <c r="B2086" s="7"/>
      <c r="D2086" s="7"/>
      <c r="F2086" s="7"/>
      <c r="H2086" s="7"/>
      <c r="J2086" s="7"/>
      <c r="L2086" s="7"/>
      <c r="N2086" s="7"/>
      <c r="P2086" s="7"/>
      <c r="R2086" s="7"/>
      <c r="T2086" s="7"/>
      <c r="V2086" s="7"/>
      <c r="X2086" s="7"/>
    </row>
    <row r="2087" spans="2:24">
      <c r="B2087" s="7"/>
      <c r="D2087" s="7"/>
      <c r="F2087" s="7"/>
      <c r="H2087" s="7"/>
      <c r="J2087" s="7"/>
      <c r="L2087" s="7"/>
      <c r="N2087" s="7"/>
      <c r="P2087" s="7"/>
      <c r="R2087" s="7"/>
      <c r="T2087" s="7"/>
      <c r="V2087" s="7"/>
      <c r="X2087" s="7"/>
    </row>
    <row r="2088" spans="2:24">
      <c r="B2088" s="7"/>
      <c r="D2088" s="7"/>
      <c r="F2088" s="7"/>
      <c r="H2088" s="7"/>
      <c r="J2088" s="7"/>
      <c r="L2088" s="7"/>
      <c r="N2088" s="7"/>
      <c r="P2088" s="7"/>
      <c r="R2088" s="7"/>
      <c r="T2088" s="7"/>
      <c r="V2088" s="7"/>
      <c r="X2088" s="7"/>
    </row>
    <row r="2089" spans="2:24">
      <c r="B2089" s="7"/>
      <c r="D2089" s="7"/>
      <c r="F2089" s="7"/>
      <c r="H2089" s="7"/>
      <c r="J2089" s="7"/>
      <c r="L2089" s="7"/>
      <c r="N2089" s="7"/>
      <c r="P2089" s="7"/>
      <c r="R2089" s="7"/>
      <c r="T2089" s="7"/>
      <c r="V2089" s="7"/>
      <c r="X2089" s="7"/>
    </row>
    <row r="2090" spans="2:24">
      <c r="B2090" s="7"/>
      <c r="D2090" s="7"/>
      <c r="F2090" s="7"/>
      <c r="H2090" s="7"/>
      <c r="J2090" s="7"/>
      <c r="L2090" s="7"/>
      <c r="N2090" s="7"/>
      <c r="P2090" s="7"/>
      <c r="R2090" s="7"/>
      <c r="T2090" s="7"/>
      <c r="V2090" s="7"/>
      <c r="X2090" s="7"/>
    </row>
    <row r="2091" spans="2:24">
      <c r="B2091" s="7"/>
      <c r="D2091" s="7"/>
      <c r="F2091" s="7"/>
      <c r="H2091" s="7"/>
      <c r="J2091" s="7"/>
      <c r="L2091" s="7"/>
      <c r="N2091" s="7"/>
      <c r="P2091" s="7"/>
      <c r="R2091" s="7"/>
      <c r="T2091" s="7"/>
      <c r="V2091" s="7"/>
      <c r="X2091" s="7"/>
    </row>
    <row r="2092" spans="2:24">
      <c r="B2092" s="7"/>
      <c r="D2092" s="7"/>
      <c r="F2092" s="7"/>
      <c r="H2092" s="7"/>
      <c r="J2092" s="7"/>
      <c r="L2092" s="7"/>
      <c r="N2092" s="7"/>
      <c r="P2092" s="7"/>
      <c r="R2092" s="7"/>
      <c r="T2092" s="7"/>
      <c r="V2092" s="7"/>
      <c r="X2092" s="7"/>
    </row>
    <row r="2093" spans="2:24">
      <c r="B2093" s="7"/>
      <c r="D2093" s="7"/>
      <c r="F2093" s="7"/>
      <c r="H2093" s="7"/>
      <c r="J2093" s="7"/>
      <c r="L2093" s="7"/>
      <c r="N2093" s="7"/>
      <c r="P2093" s="7"/>
      <c r="R2093" s="7"/>
      <c r="T2093" s="7"/>
      <c r="V2093" s="7"/>
      <c r="X2093" s="7"/>
    </row>
    <row r="2094" spans="2:24">
      <c r="B2094" s="7"/>
      <c r="D2094" s="7"/>
      <c r="F2094" s="7"/>
      <c r="H2094" s="7"/>
      <c r="J2094" s="7"/>
      <c r="L2094" s="7"/>
      <c r="N2094" s="7"/>
      <c r="P2094" s="7"/>
      <c r="R2094" s="7"/>
      <c r="T2094" s="7"/>
      <c r="V2094" s="7"/>
      <c r="X2094" s="7"/>
    </row>
    <row r="2095" spans="2:24">
      <c r="B2095" s="7"/>
      <c r="D2095" s="7"/>
      <c r="F2095" s="7"/>
      <c r="H2095" s="7"/>
      <c r="J2095" s="7"/>
      <c r="L2095" s="7"/>
      <c r="N2095" s="7"/>
      <c r="P2095" s="7"/>
      <c r="R2095" s="7"/>
      <c r="T2095" s="7"/>
      <c r="V2095" s="7"/>
      <c r="X2095" s="7"/>
    </row>
    <row r="2096" spans="2:24">
      <c r="B2096" s="7"/>
      <c r="D2096" s="7"/>
      <c r="F2096" s="7"/>
      <c r="H2096" s="7"/>
      <c r="J2096" s="7"/>
      <c r="L2096" s="7"/>
      <c r="N2096" s="7"/>
      <c r="P2096" s="7"/>
      <c r="R2096" s="7"/>
      <c r="T2096" s="7"/>
      <c r="V2096" s="7"/>
      <c r="X2096" s="7"/>
    </row>
    <row r="2097" spans="2:24">
      <c r="B2097" s="7"/>
      <c r="D2097" s="7"/>
      <c r="F2097" s="7"/>
      <c r="H2097" s="7"/>
      <c r="J2097" s="7"/>
      <c r="L2097" s="7"/>
      <c r="N2097" s="7"/>
      <c r="P2097" s="7"/>
      <c r="R2097" s="7"/>
      <c r="T2097" s="7"/>
      <c r="V2097" s="7"/>
      <c r="X2097" s="7"/>
    </row>
    <row r="2098" spans="2:24">
      <c r="B2098" s="7"/>
      <c r="D2098" s="7"/>
      <c r="F2098" s="7"/>
      <c r="H2098" s="7"/>
      <c r="J2098" s="7"/>
      <c r="L2098" s="7"/>
      <c r="N2098" s="7"/>
      <c r="P2098" s="7"/>
      <c r="R2098" s="7"/>
      <c r="T2098" s="7"/>
      <c r="V2098" s="7"/>
      <c r="X2098" s="7"/>
    </row>
    <row r="2099" spans="2:24">
      <c r="B2099" s="7"/>
      <c r="D2099" s="7"/>
      <c r="F2099" s="7"/>
      <c r="H2099" s="7"/>
      <c r="J2099" s="7"/>
      <c r="L2099" s="7"/>
      <c r="N2099" s="7"/>
      <c r="P2099" s="7"/>
      <c r="R2099" s="7"/>
      <c r="T2099" s="7"/>
      <c r="V2099" s="7"/>
      <c r="X2099" s="7"/>
    </row>
    <row r="2100" spans="2:24">
      <c r="B2100" s="7"/>
      <c r="D2100" s="7"/>
      <c r="F2100" s="7"/>
      <c r="H2100" s="7"/>
      <c r="J2100" s="7"/>
      <c r="L2100" s="7"/>
      <c r="N2100" s="7"/>
      <c r="P2100" s="7"/>
      <c r="R2100" s="7"/>
      <c r="T2100" s="7"/>
      <c r="V2100" s="7"/>
      <c r="X2100" s="7"/>
    </row>
    <row r="2101" spans="2:24">
      <c r="B2101" s="7"/>
      <c r="D2101" s="7"/>
      <c r="F2101" s="7"/>
      <c r="H2101" s="7"/>
      <c r="J2101" s="7"/>
      <c r="L2101" s="7"/>
      <c r="N2101" s="7"/>
      <c r="P2101" s="7"/>
      <c r="R2101" s="7"/>
      <c r="T2101" s="7"/>
      <c r="V2101" s="7"/>
      <c r="X2101" s="7"/>
    </row>
    <row r="2102" spans="2:24">
      <c r="B2102" s="7"/>
      <c r="D2102" s="7"/>
      <c r="F2102" s="7"/>
      <c r="H2102" s="7"/>
      <c r="J2102" s="7"/>
      <c r="L2102" s="7"/>
      <c r="N2102" s="7"/>
      <c r="P2102" s="7"/>
      <c r="R2102" s="7"/>
      <c r="T2102" s="7"/>
      <c r="V2102" s="7"/>
      <c r="X2102" s="7"/>
    </row>
    <row r="2103" spans="2:24">
      <c r="B2103" s="7"/>
      <c r="D2103" s="7"/>
      <c r="F2103" s="7"/>
      <c r="H2103" s="7"/>
      <c r="J2103" s="7"/>
      <c r="L2103" s="7"/>
      <c r="N2103" s="7"/>
      <c r="P2103" s="7"/>
      <c r="R2103" s="7"/>
      <c r="T2103" s="7"/>
      <c r="V2103" s="7"/>
      <c r="X2103" s="7"/>
    </row>
    <row r="2104" spans="2:24">
      <c r="B2104" s="7"/>
      <c r="D2104" s="7"/>
      <c r="F2104" s="7"/>
      <c r="H2104" s="7"/>
      <c r="J2104" s="7"/>
      <c r="L2104" s="7"/>
      <c r="N2104" s="7"/>
      <c r="P2104" s="7"/>
      <c r="R2104" s="7"/>
      <c r="T2104" s="7"/>
      <c r="V2104" s="7"/>
      <c r="X2104" s="7"/>
    </row>
    <row r="2105" spans="2:24">
      <c r="B2105" s="7"/>
      <c r="D2105" s="7"/>
      <c r="F2105" s="7"/>
      <c r="H2105" s="7"/>
      <c r="J2105" s="7"/>
      <c r="L2105" s="7"/>
      <c r="N2105" s="7"/>
      <c r="P2105" s="7"/>
      <c r="R2105" s="7"/>
      <c r="T2105" s="7"/>
      <c r="V2105" s="7"/>
      <c r="X2105" s="7"/>
    </row>
    <row r="2106" spans="2:24">
      <c r="B2106" s="7"/>
      <c r="D2106" s="7"/>
      <c r="F2106" s="7"/>
      <c r="H2106" s="7"/>
      <c r="J2106" s="7"/>
      <c r="L2106" s="7"/>
      <c r="N2106" s="7"/>
      <c r="P2106" s="7"/>
      <c r="R2106" s="7"/>
      <c r="T2106" s="7"/>
      <c r="V2106" s="7"/>
      <c r="X2106" s="7"/>
    </row>
    <row r="2107" spans="2:24">
      <c r="B2107" s="7"/>
      <c r="D2107" s="7"/>
      <c r="F2107" s="7"/>
      <c r="H2107" s="7"/>
      <c r="J2107" s="7"/>
      <c r="L2107" s="7"/>
      <c r="N2107" s="7"/>
      <c r="P2107" s="7"/>
      <c r="R2107" s="7"/>
      <c r="T2107" s="7"/>
      <c r="V2107" s="7"/>
      <c r="X2107" s="7"/>
    </row>
    <row r="2108" spans="2:24">
      <c r="B2108" s="7"/>
      <c r="D2108" s="7"/>
      <c r="F2108" s="7"/>
      <c r="H2108" s="7"/>
      <c r="J2108" s="7"/>
      <c r="L2108" s="7"/>
      <c r="N2108" s="7"/>
      <c r="P2108" s="7"/>
      <c r="R2108" s="7"/>
      <c r="T2108" s="7"/>
      <c r="V2108" s="7"/>
      <c r="X2108" s="7"/>
    </row>
    <row r="2109" spans="2:24">
      <c r="B2109" s="7"/>
      <c r="D2109" s="7"/>
      <c r="F2109" s="7"/>
      <c r="H2109" s="7"/>
      <c r="J2109" s="7"/>
      <c r="L2109" s="7"/>
      <c r="N2109" s="7"/>
      <c r="P2109" s="7"/>
      <c r="R2109" s="7"/>
      <c r="T2109" s="7"/>
      <c r="V2109" s="7"/>
      <c r="X2109" s="7"/>
    </row>
    <row r="2110" spans="2:24">
      <c r="B2110" s="7"/>
      <c r="D2110" s="7"/>
      <c r="F2110" s="7"/>
      <c r="H2110" s="7"/>
      <c r="J2110" s="7"/>
      <c r="L2110" s="7"/>
      <c r="N2110" s="7"/>
      <c r="P2110" s="7"/>
      <c r="R2110" s="7"/>
      <c r="T2110" s="7"/>
      <c r="V2110" s="7"/>
      <c r="X2110" s="7"/>
    </row>
    <row r="2111" spans="2:24">
      <c r="B2111" s="7"/>
      <c r="D2111" s="7"/>
      <c r="F2111" s="7"/>
      <c r="H2111" s="7"/>
      <c r="J2111" s="7"/>
      <c r="L2111" s="7"/>
      <c r="N2111" s="7"/>
      <c r="P2111" s="7"/>
      <c r="R2111" s="7"/>
      <c r="T2111" s="7"/>
      <c r="V2111" s="7"/>
      <c r="X2111" s="7"/>
    </row>
    <row r="2112" spans="2:24">
      <c r="B2112" s="7"/>
      <c r="D2112" s="7"/>
      <c r="F2112" s="7"/>
      <c r="H2112" s="7"/>
      <c r="J2112" s="7"/>
      <c r="L2112" s="7"/>
      <c r="N2112" s="7"/>
      <c r="P2112" s="7"/>
      <c r="R2112" s="7"/>
      <c r="T2112" s="7"/>
      <c r="V2112" s="7"/>
      <c r="X2112" s="7"/>
    </row>
    <row r="2113" spans="2:24">
      <c r="B2113" s="7"/>
      <c r="D2113" s="7"/>
      <c r="F2113" s="7"/>
      <c r="H2113" s="7"/>
      <c r="J2113" s="7"/>
      <c r="L2113" s="7"/>
      <c r="N2113" s="7"/>
      <c r="P2113" s="7"/>
      <c r="R2113" s="7"/>
      <c r="T2113" s="7"/>
      <c r="V2113" s="7"/>
      <c r="X2113" s="7"/>
    </row>
    <row r="2114" spans="2:24">
      <c r="B2114" s="7"/>
      <c r="D2114" s="7"/>
      <c r="F2114" s="7"/>
      <c r="H2114" s="7"/>
      <c r="J2114" s="7"/>
      <c r="L2114" s="7"/>
      <c r="N2114" s="7"/>
      <c r="P2114" s="7"/>
      <c r="R2114" s="7"/>
      <c r="T2114" s="7"/>
      <c r="V2114" s="7"/>
      <c r="X2114" s="7"/>
    </row>
    <row r="2115" spans="2:24">
      <c r="B2115" s="7"/>
      <c r="D2115" s="7"/>
      <c r="F2115" s="7"/>
      <c r="H2115" s="7"/>
      <c r="J2115" s="7"/>
      <c r="L2115" s="7"/>
      <c r="N2115" s="7"/>
      <c r="P2115" s="7"/>
      <c r="R2115" s="7"/>
      <c r="T2115" s="7"/>
      <c r="V2115" s="7"/>
      <c r="X2115" s="7"/>
    </row>
    <row r="2116" spans="2:24">
      <c r="B2116" s="7"/>
      <c r="D2116" s="7"/>
      <c r="F2116" s="7"/>
      <c r="H2116" s="7"/>
      <c r="J2116" s="7"/>
      <c r="L2116" s="7"/>
      <c r="N2116" s="7"/>
      <c r="P2116" s="7"/>
      <c r="R2116" s="7"/>
      <c r="T2116" s="7"/>
      <c r="V2116" s="7"/>
      <c r="X2116" s="7"/>
    </row>
    <row r="2117" spans="2:24">
      <c r="B2117" s="7"/>
      <c r="D2117" s="7"/>
      <c r="F2117" s="7"/>
      <c r="H2117" s="7"/>
      <c r="J2117" s="7"/>
      <c r="L2117" s="7"/>
      <c r="N2117" s="7"/>
      <c r="P2117" s="7"/>
      <c r="R2117" s="7"/>
      <c r="T2117" s="7"/>
      <c r="V2117" s="7"/>
      <c r="X2117" s="7"/>
    </row>
    <row r="2118" spans="2:24">
      <c r="B2118" s="7"/>
      <c r="D2118" s="7"/>
      <c r="F2118" s="7"/>
      <c r="H2118" s="7"/>
      <c r="J2118" s="7"/>
      <c r="L2118" s="7"/>
      <c r="N2118" s="7"/>
      <c r="P2118" s="7"/>
      <c r="R2118" s="7"/>
      <c r="T2118" s="7"/>
      <c r="V2118" s="7"/>
      <c r="X2118" s="7"/>
    </row>
    <row r="2119" spans="2:24">
      <c r="B2119" s="7"/>
      <c r="D2119" s="7"/>
      <c r="F2119" s="7"/>
      <c r="H2119" s="7"/>
      <c r="J2119" s="7"/>
      <c r="L2119" s="7"/>
      <c r="N2119" s="7"/>
      <c r="P2119" s="7"/>
      <c r="R2119" s="7"/>
      <c r="T2119" s="7"/>
      <c r="V2119" s="7"/>
      <c r="X2119" s="7"/>
    </row>
    <row r="2120" spans="2:24">
      <c r="B2120" s="7"/>
      <c r="D2120" s="7"/>
      <c r="F2120" s="7"/>
      <c r="H2120" s="7"/>
      <c r="J2120" s="7"/>
      <c r="L2120" s="7"/>
      <c r="N2120" s="7"/>
      <c r="P2120" s="7"/>
      <c r="R2120" s="7"/>
      <c r="T2120" s="7"/>
      <c r="V2120" s="7"/>
      <c r="X2120" s="7"/>
    </row>
    <row r="2121" spans="2:24">
      <c r="B2121" s="7"/>
      <c r="D2121" s="7"/>
      <c r="F2121" s="7"/>
      <c r="H2121" s="7"/>
      <c r="J2121" s="7"/>
      <c r="L2121" s="7"/>
      <c r="N2121" s="7"/>
      <c r="P2121" s="7"/>
      <c r="R2121" s="7"/>
      <c r="T2121" s="7"/>
      <c r="V2121" s="7"/>
      <c r="X2121" s="7"/>
    </row>
    <row r="2122" spans="2:24">
      <c r="B2122" s="7"/>
      <c r="D2122" s="7"/>
      <c r="F2122" s="7"/>
      <c r="H2122" s="7"/>
      <c r="J2122" s="7"/>
      <c r="L2122" s="7"/>
      <c r="N2122" s="7"/>
      <c r="P2122" s="7"/>
      <c r="R2122" s="7"/>
      <c r="T2122" s="7"/>
      <c r="V2122" s="7"/>
      <c r="X2122" s="7"/>
    </row>
    <row r="2123" spans="2:24">
      <c r="B2123" s="7"/>
      <c r="D2123" s="7"/>
      <c r="F2123" s="7"/>
      <c r="H2123" s="7"/>
      <c r="J2123" s="7"/>
      <c r="L2123" s="7"/>
      <c r="N2123" s="7"/>
      <c r="P2123" s="7"/>
      <c r="R2123" s="7"/>
      <c r="T2123" s="7"/>
      <c r="V2123" s="7"/>
      <c r="X2123" s="7"/>
    </row>
    <row r="2124" spans="2:24">
      <c r="B2124" s="7"/>
      <c r="D2124" s="7"/>
      <c r="F2124" s="7"/>
      <c r="H2124" s="7"/>
      <c r="J2124" s="7"/>
      <c r="L2124" s="7"/>
      <c r="N2124" s="7"/>
      <c r="P2124" s="7"/>
      <c r="R2124" s="7"/>
      <c r="T2124" s="7"/>
      <c r="V2124" s="7"/>
      <c r="X2124" s="7"/>
    </row>
    <row r="2125" spans="2:24">
      <c r="B2125" s="7"/>
      <c r="D2125" s="7"/>
      <c r="F2125" s="7"/>
      <c r="H2125" s="7"/>
      <c r="J2125" s="7"/>
      <c r="L2125" s="7"/>
      <c r="N2125" s="7"/>
      <c r="P2125" s="7"/>
      <c r="R2125" s="7"/>
      <c r="T2125" s="7"/>
      <c r="V2125" s="7"/>
      <c r="X2125" s="7"/>
    </row>
    <row r="2126" spans="2:24">
      <c r="B2126" s="7"/>
      <c r="D2126" s="7"/>
      <c r="F2126" s="7"/>
      <c r="H2126" s="7"/>
      <c r="J2126" s="7"/>
      <c r="L2126" s="7"/>
      <c r="N2126" s="7"/>
      <c r="P2126" s="7"/>
      <c r="R2126" s="7"/>
      <c r="T2126" s="7"/>
      <c r="V2126" s="7"/>
      <c r="X2126" s="7"/>
    </row>
    <row r="2127" spans="2:24">
      <c r="B2127" s="7"/>
      <c r="D2127" s="7"/>
      <c r="F2127" s="7"/>
      <c r="H2127" s="7"/>
      <c r="J2127" s="7"/>
      <c r="L2127" s="7"/>
      <c r="N2127" s="7"/>
      <c r="P2127" s="7"/>
      <c r="R2127" s="7"/>
      <c r="T2127" s="7"/>
      <c r="V2127" s="7"/>
      <c r="X2127" s="7"/>
    </row>
    <row r="2128" spans="2:24">
      <c r="B2128" s="7"/>
      <c r="D2128" s="7"/>
      <c r="F2128" s="7"/>
      <c r="H2128" s="7"/>
      <c r="J2128" s="7"/>
      <c r="L2128" s="7"/>
      <c r="N2128" s="7"/>
      <c r="P2128" s="7"/>
      <c r="R2128" s="7"/>
      <c r="T2128" s="7"/>
      <c r="V2128" s="7"/>
      <c r="X2128" s="7"/>
    </row>
    <row r="2129" spans="2:24">
      <c r="B2129" s="7"/>
      <c r="D2129" s="7"/>
      <c r="F2129" s="7"/>
      <c r="H2129" s="7"/>
      <c r="J2129" s="7"/>
      <c r="L2129" s="7"/>
      <c r="N2129" s="7"/>
      <c r="P2129" s="7"/>
      <c r="R2129" s="7"/>
      <c r="T2129" s="7"/>
      <c r="V2129" s="7"/>
      <c r="X2129" s="7"/>
    </row>
    <row r="2130" spans="2:24">
      <c r="B2130" s="7"/>
      <c r="D2130" s="7"/>
      <c r="F2130" s="7"/>
      <c r="H2130" s="7"/>
      <c r="J2130" s="7"/>
      <c r="L2130" s="7"/>
      <c r="N2130" s="7"/>
      <c r="P2130" s="7"/>
      <c r="R2130" s="7"/>
      <c r="T2130" s="7"/>
      <c r="V2130" s="7"/>
      <c r="X2130" s="7"/>
    </row>
    <row r="2131" spans="2:24">
      <c r="B2131" s="7"/>
      <c r="D2131" s="7"/>
      <c r="F2131" s="7"/>
      <c r="H2131" s="7"/>
      <c r="J2131" s="7"/>
      <c r="L2131" s="7"/>
      <c r="N2131" s="7"/>
      <c r="P2131" s="7"/>
      <c r="R2131" s="7"/>
      <c r="T2131" s="7"/>
      <c r="V2131" s="7"/>
      <c r="X2131" s="7"/>
    </row>
    <row r="2132" spans="2:24">
      <c r="B2132" s="7"/>
      <c r="D2132" s="7"/>
      <c r="F2132" s="7"/>
      <c r="H2132" s="7"/>
      <c r="J2132" s="7"/>
      <c r="L2132" s="7"/>
      <c r="N2132" s="7"/>
      <c r="P2132" s="7"/>
      <c r="R2132" s="7"/>
      <c r="T2132" s="7"/>
      <c r="V2132" s="7"/>
      <c r="X2132" s="7"/>
    </row>
    <row r="2133" spans="2:24">
      <c r="B2133" s="7"/>
      <c r="D2133" s="7"/>
      <c r="F2133" s="7"/>
      <c r="H2133" s="7"/>
      <c r="J2133" s="7"/>
      <c r="L2133" s="7"/>
      <c r="N2133" s="7"/>
      <c r="P2133" s="7"/>
      <c r="R2133" s="7"/>
      <c r="T2133" s="7"/>
      <c r="V2133" s="7"/>
      <c r="X2133" s="7"/>
    </row>
    <row r="2134" spans="2:24">
      <c r="B2134" s="7"/>
      <c r="D2134" s="7"/>
      <c r="F2134" s="7"/>
      <c r="H2134" s="7"/>
      <c r="J2134" s="7"/>
      <c r="L2134" s="7"/>
      <c r="N2134" s="7"/>
      <c r="P2134" s="7"/>
      <c r="R2134" s="7"/>
      <c r="T2134" s="7"/>
      <c r="V2134" s="7"/>
      <c r="X2134" s="7"/>
    </row>
    <row r="2135" spans="2:24">
      <c r="B2135" s="7"/>
      <c r="D2135" s="7"/>
      <c r="F2135" s="7"/>
      <c r="H2135" s="7"/>
      <c r="J2135" s="7"/>
      <c r="L2135" s="7"/>
      <c r="N2135" s="7"/>
      <c r="P2135" s="7"/>
      <c r="R2135" s="7"/>
      <c r="T2135" s="7"/>
      <c r="V2135" s="7"/>
      <c r="X2135" s="7"/>
    </row>
    <row r="2136" spans="2:24">
      <c r="B2136" s="7"/>
      <c r="D2136" s="7"/>
      <c r="F2136" s="7"/>
      <c r="H2136" s="7"/>
      <c r="J2136" s="7"/>
      <c r="L2136" s="7"/>
      <c r="N2136" s="7"/>
      <c r="P2136" s="7"/>
      <c r="R2136" s="7"/>
      <c r="T2136" s="7"/>
      <c r="V2136" s="7"/>
      <c r="X2136" s="7"/>
    </row>
    <row r="2137" spans="2:24">
      <c r="B2137" s="7"/>
      <c r="D2137" s="7"/>
      <c r="F2137" s="7"/>
      <c r="H2137" s="7"/>
      <c r="J2137" s="7"/>
      <c r="L2137" s="7"/>
      <c r="N2137" s="7"/>
      <c r="P2137" s="7"/>
      <c r="R2137" s="7"/>
      <c r="T2137" s="7"/>
      <c r="V2137" s="7"/>
      <c r="X2137" s="7"/>
    </row>
    <row r="2138" spans="2:24">
      <c r="B2138" s="7"/>
      <c r="D2138" s="7"/>
      <c r="F2138" s="7"/>
      <c r="H2138" s="7"/>
      <c r="J2138" s="7"/>
      <c r="L2138" s="7"/>
      <c r="N2138" s="7"/>
      <c r="P2138" s="7"/>
      <c r="R2138" s="7"/>
      <c r="T2138" s="7"/>
      <c r="V2138" s="7"/>
      <c r="X2138" s="7"/>
    </row>
    <row r="2139" spans="2:24">
      <c r="B2139" s="7"/>
      <c r="D2139" s="7"/>
      <c r="F2139" s="7"/>
      <c r="H2139" s="7"/>
      <c r="J2139" s="7"/>
      <c r="L2139" s="7"/>
      <c r="N2139" s="7"/>
      <c r="P2139" s="7"/>
      <c r="R2139" s="7"/>
      <c r="T2139" s="7"/>
      <c r="V2139" s="7"/>
      <c r="X2139" s="7"/>
    </row>
    <row r="2140" spans="2:24">
      <c r="B2140" s="7"/>
      <c r="D2140" s="7"/>
      <c r="F2140" s="7"/>
      <c r="H2140" s="7"/>
      <c r="J2140" s="7"/>
      <c r="L2140" s="7"/>
      <c r="N2140" s="7"/>
      <c r="P2140" s="7"/>
      <c r="R2140" s="7"/>
      <c r="T2140" s="7"/>
      <c r="V2140" s="7"/>
      <c r="X2140" s="7"/>
    </row>
    <row r="2141" spans="2:24">
      <c r="B2141" s="7"/>
      <c r="D2141" s="7"/>
      <c r="F2141" s="7"/>
      <c r="H2141" s="7"/>
      <c r="J2141" s="7"/>
      <c r="L2141" s="7"/>
      <c r="N2141" s="7"/>
      <c r="P2141" s="7"/>
      <c r="R2141" s="7"/>
      <c r="T2141" s="7"/>
      <c r="V2141" s="7"/>
      <c r="X2141" s="7"/>
    </row>
    <row r="2142" spans="2:24">
      <c r="B2142" s="7"/>
      <c r="D2142" s="7"/>
      <c r="F2142" s="7"/>
      <c r="H2142" s="7"/>
      <c r="J2142" s="7"/>
      <c r="L2142" s="7"/>
      <c r="N2142" s="7"/>
      <c r="P2142" s="7"/>
      <c r="R2142" s="7"/>
      <c r="T2142" s="7"/>
      <c r="V2142" s="7"/>
      <c r="X2142" s="7"/>
    </row>
    <row r="2143" spans="2:24">
      <c r="B2143" s="7"/>
      <c r="D2143" s="7"/>
      <c r="F2143" s="7"/>
      <c r="H2143" s="7"/>
      <c r="J2143" s="7"/>
      <c r="L2143" s="7"/>
      <c r="N2143" s="7"/>
      <c r="P2143" s="7"/>
      <c r="R2143" s="7"/>
      <c r="T2143" s="7"/>
      <c r="V2143" s="7"/>
      <c r="X2143" s="7"/>
    </row>
    <row r="2144" spans="2:24">
      <c r="B2144" s="7"/>
      <c r="D2144" s="7"/>
      <c r="F2144" s="7"/>
      <c r="H2144" s="7"/>
      <c r="J2144" s="7"/>
      <c r="L2144" s="7"/>
      <c r="N2144" s="7"/>
      <c r="P2144" s="7"/>
      <c r="R2144" s="7"/>
      <c r="T2144" s="7"/>
      <c r="V2144" s="7"/>
      <c r="X2144" s="7"/>
    </row>
    <row r="2145" spans="2:24">
      <c r="B2145" s="7"/>
      <c r="D2145" s="7"/>
      <c r="F2145" s="7"/>
      <c r="H2145" s="7"/>
      <c r="J2145" s="7"/>
      <c r="L2145" s="7"/>
      <c r="N2145" s="7"/>
      <c r="P2145" s="7"/>
      <c r="R2145" s="7"/>
      <c r="T2145" s="7"/>
      <c r="V2145" s="7"/>
      <c r="X2145" s="7"/>
    </row>
    <row r="2146" spans="2:24">
      <c r="B2146" s="7"/>
      <c r="D2146" s="7"/>
      <c r="F2146" s="7"/>
      <c r="H2146" s="7"/>
      <c r="J2146" s="7"/>
      <c r="L2146" s="7"/>
      <c r="N2146" s="7"/>
      <c r="P2146" s="7"/>
      <c r="R2146" s="7"/>
      <c r="T2146" s="7"/>
      <c r="V2146" s="7"/>
      <c r="X2146" s="7"/>
    </row>
    <row r="2147" spans="2:24">
      <c r="B2147" s="7"/>
      <c r="D2147" s="7"/>
      <c r="F2147" s="7"/>
      <c r="H2147" s="7"/>
      <c r="J2147" s="7"/>
      <c r="L2147" s="7"/>
      <c r="N2147" s="7"/>
      <c r="P2147" s="7"/>
      <c r="R2147" s="7"/>
      <c r="T2147" s="7"/>
      <c r="V2147" s="7"/>
      <c r="X2147" s="7"/>
    </row>
    <row r="2148" spans="2:24">
      <c r="B2148" s="7"/>
      <c r="D2148" s="7"/>
      <c r="F2148" s="7"/>
      <c r="H2148" s="7"/>
      <c r="J2148" s="7"/>
      <c r="L2148" s="7"/>
      <c r="N2148" s="7"/>
      <c r="P2148" s="7"/>
      <c r="R2148" s="7"/>
      <c r="T2148" s="7"/>
      <c r="V2148" s="7"/>
      <c r="X2148" s="7"/>
    </row>
    <row r="2149" spans="2:24">
      <c r="B2149" s="7"/>
      <c r="D2149" s="7"/>
      <c r="F2149" s="7"/>
      <c r="H2149" s="7"/>
      <c r="J2149" s="7"/>
      <c r="L2149" s="7"/>
      <c r="N2149" s="7"/>
      <c r="P2149" s="7"/>
      <c r="R2149" s="7"/>
      <c r="T2149" s="7"/>
      <c r="V2149" s="7"/>
      <c r="X2149" s="7"/>
    </row>
    <row r="2150" spans="2:24">
      <c r="B2150" s="7"/>
      <c r="D2150" s="7"/>
      <c r="F2150" s="7"/>
      <c r="H2150" s="7"/>
      <c r="J2150" s="7"/>
      <c r="L2150" s="7"/>
      <c r="N2150" s="7"/>
      <c r="P2150" s="7"/>
      <c r="R2150" s="7"/>
      <c r="T2150" s="7"/>
      <c r="V2150" s="7"/>
      <c r="X2150" s="7"/>
    </row>
    <row r="2151" spans="2:24">
      <c r="B2151" s="7"/>
      <c r="D2151" s="7"/>
      <c r="F2151" s="7"/>
      <c r="H2151" s="7"/>
      <c r="J2151" s="7"/>
      <c r="L2151" s="7"/>
      <c r="N2151" s="7"/>
      <c r="P2151" s="7"/>
      <c r="R2151" s="7"/>
      <c r="T2151" s="7"/>
      <c r="V2151" s="7"/>
      <c r="X2151" s="7"/>
    </row>
    <row r="2152" spans="2:24">
      <c r="B2152" s="7"/>
      <c r="D2152" s="7"/>
      <c r="F2152" s="7"/>
      <c r="H2152" s="7"/>
      <c r="J2152" s="7"/>
      <c r="L2152" s="7"/>
      <c r="N2152" s="7"/>
      <c r="P2152" s="7"/>
      <c r="R2152" s="7"/>
      <c r="T2152" s="7"/>
      <c r="V2152" s="7"/>
      <c r="X2152" s="7"/>
    </row>
    <row r="2153" spans="2:24">
      <c r="B2153" s="7"/>
      <c r="D2153" s="7"/>
      <c r="F2153" s="7"/>
      <c r="H2153" s="7"/>
      <c r="J2153" s="7"/>
      <c r="L2153" s="7"/>
      <c r="N2153" s="7"/>
      <c r="P2153" s="7"/>
      <c r="R2153" s="7"/>
      <c r="T2153" s="7"/>
      <c r="V2153" s="7"/>
      <c r="X2153" s="7"/>
    </row>
    <row r="2154" spans="2:24">
      <c r="B2154" s="7"/>
      <c r="D2154" s="7"/>
      <c r="F2154" s="7"/>
      <c r="H2154" s="7"/>
      <c r="J2154" s="7"/>
      <c r="L2154" s="7"/>
      <c r="N2154" s="7"/>
      <c r="P2154" s="7"/>
      <c r="R2154" s="7"/>
      <c r="T2154" s="7"/>
      <c r="V2154" s="7"/>
      <c r="X2154" s="7"/>
    </row>
    <row r="2155" spans="2:24">
      <c r="B2155" s="7"/>
      <c r="D2155" s="7"/>
      <c r="F2155" s="7"/>
      <c r="H2155" s="7"/>
      <c r="J2155" s="7"/>
      <c r="L2155" s="7"/>
      <c r="N2155" s="7"/>
      <c r="P2155" s="7"/>
      <c r="R2155" s="7"/>
      <c r="T2155" s="7"/>
      <c r="V2155" s="7"/>
      <c r="X2155" s="7"/>
    </row>
    <row r="2156" spans="2:24">
      <c r="B2156" s="7"/>
      <c r="D2156" s="7"/>
      <c r="F2156" s="7"/>
      <c r="H2156" s="7"/>
      <c r="J2156" s="7"/>
      <c r="L2156" s="7"/>
      <c r="N2156" s="7"/>
      <c r="P2156" s="7"/>
      <c r="R2156" s="7"/>
      <c r="T2156" s="7"/>
      <c r="V2156" s="7"/>
      <c r="X2156" s="7"/>
    </row>
    <row r="2157" spans="2:24">
      <c r="B2157" s="7"/>
      <c r="D2157" s="7"/>
      <c r="F2157" s="7"/>
      <c r="H2157" s="7"/>
      <c r="J2157" s="7"/>
      <c r="L2157" s="7"/>
      <c r="N2157" s="7"/>
      <c r="P2157" s="7"/>
      <c r="R2157" s="7"/>
      <c r="T2157" s="7"/>
      <c r="V2157" s="7"/>
      <c r="X2157" s="7"/>
    </row>
    <row r="2158" spans="2:24">
      <c r="B2158" s="7"/>
      <c r="D2158" s="7"/>
      <c r="F2158" s="7"/>
      <c r="H2158" s="7"/>
      <c r="J2158" s="7"/>
      <c r="L2158" s="7"/>
      <c r="N2158" s="7"/>
      <c r="P2158" s="7"/>
      <c r="R2158" s="7"/>
      <c r="T2158" s="7"/>
      <c r="V2158" s="7"/>
      <c r="X2158" s="7"/>
    </row>
    <row r="2159" spans="2:24">
      <c r="B2159" s="7"/>
      <c r="D2159" s="7"/>
      <c r="F2159" s="7"/>
      <c r="H2159" s="7"/>
      <c r="J2159" s="7"/>
      <c r="L2159" s="7"/>
      <c r="N2159" s="7"/>
      <c r="P2159" s="7"/>
      <c r="R2159" s="7"/>
      <c r="T2159" s="7"/>
      <c r="V2159" s="7"/>
      <c r="X2159" s="7"/>
    </row>
    <row r="2160" spans="2:24">
      <c r="B2160" s="7"/>
      <c r="D2160" s="7"/>
      <c r="F2160" s="7"/>
      <c r="H2160" s="7"/>
      <c r="J2160" s="7"/>
      <c r="L2160" s="7"/>
      <c r="N2160" s="7"/>
      <c r="P2160" s="7"/>
      <c r="R2160" s="7"/>
      <c r="T2160" s="7"/>
      <c r="V2160" s="7"/>
      <c r="X2160" s="7"/>
    </row>
    <row r="2161" spans="2:24">
      <c r="B2161" s="7"/>
      <c r="D2161" s="7"/>
      <c r="F2161" s="7"/>
      <c r="H2161" s="7"/>
      <c r="J2161" s="7"/>
      <c r="L2161" s="7"/>
      <c r="N2161" s="7"/>
      <c r="P2161" s="7"/>
      <c r="R2161" s="7"/>
      <c r="T2161" s="7"/>
      <c r="V2161" s="7"/>
      <c r="X2161" s="7"/>
    </row>
    <row r="2162" spans="2:24">
      <c r="B2162" s="7"/>
      <c r="D2162" s="7"/>
      <c r="F2162" s="7"/>
      <c r="H2162" s="7"/>
      <c r="J2162" s="7"/>
      <c r="L2162" s="7"/>
      <c r="N2162" s="7"/>
      <c r="P2162" s="7"/>
      <c r="R2162" s="7"/>
      <c r="T2162" s="7"/>
      <c r="V2162" s="7"/>
      <c r="X2162" s="7"/>
    </row>
    <row r="2163" spans="2:24">
      <c r="B2163" s="7"/>
      <c r="D2163" s="7"/>
      <c r="F2163" s="7"/>
      <c r="H2163" s="7"/>
      <c r="J2163" s="7"/>
      <c r="L2163" s="7"/>
      <c r="N2163" s="7"/>
      <c r="P2163" s="7"/>
      <c r="R2163" s="7"/>
      <c r="T2163" s="7"/>
      <c r="V2163" s="7"/>
      <c r="X2163" s="7"/>
    </row>
    <row r="2164" spans="2:24">
      <c r="B2164" s="7"/>
      <c r="D2164" s="7"/>
      <c r="F2164" s="7"/>
      <c r="H2164" s="7"/>
      <c r="J2164" s="7"/>
      <c r="L2164" s="7"/>
      <c r="N2164" s="7"/>
      <c r="P2164" s="7"/>
      <c r="R2164" s="7"/>
      <c r="T2164" s="7"/>
      <c r="V2164" s="7"/>
      <c r="X2164" s="7"/>
    </row>
    <row r="2165" spans="2:24">
      <c r="B2165" s="7"/>
      <c r="D2165" s="7"/>
      <c r="F2165" s="7"/>
      <c r="H2165" s="7"/>
      <c r="J2165" s="7"/>
      <c r="L2165" s="7"/>
      <c r="N2165" s="7"/>
      <c r="P2165" s="7"/>
      <c r="R2165" s="7"/>
      <c r="T2165" s="7"/>
      <c r="V2165" s="7"/>
      <c r="X2165" s="7"/>
    </row>
    <row r="2166" spans="2:24">
      <c r="B2166" s="7"/>
      <c r="D2166" s="7"/>
      <c r="F2166" s="7"/>
      <c r="H2166" s="7"/>
      <c r="J2166" s="7"/>
      <c r="L2166" s="7"/>
      <c r="N2166" s="7"/>
      <c r="P2166" s="7"/>
      <c r="R2166" s="7"/>
      <c r="T2166" s="7"/>
      <c r="V2166" s="7"/>
      <c r="X2166" s="7"/>
    </row>
    <row r="2167" spans="2:24">
      <c r="B2167" s="7"/>
      <c r="D2167" s="7"/>
      <c r="F2167" s="7"/>
      <c r="H2167" s="7"/>
      <c r="J2167" s="7"/>
      <c r="L2167" s="7"/>
      <c r="N2167" s="7"/>
      <c r="P2167" s="7"/>
      <c r="R2167" s="7"/>
      <c r="T2167" s="7"/>
      <c r="V2167" s="7"/>
      <c r="X2167" s="7"/>
    </row>
    <row r="2168" spans="2:24">
      <c r="B2168" s="7"/>
      <c r="D2168" s="7"/>
      <c r="F2168" s="7"/>
      <c r="H2168" s="7"/>
      <c r="J2168" s="7"/>
      <c r="L2168" s="7"/>
      <c r="N2168" s="7"/>
      <c r="P2168" s="7"/>
      <c r="R2168" s="7"/>
      <c r="T2168" s="7"/>
      <c r="V2168" s="7"/>
      <c r="X2168" s="7"/>
    </row>
    <row r="2169" spans="2:24">
      <c r="B2169" s="7"/>
      <c r="D2169" s="7"/>
      <c r="F2169" s="7"/>
      <c r="H2169" s="7"/>
      <c r="J2169" s="7"/>
      <c r="L2169" s="7"/>
      <c r="N2169" s="7"/>
      <c r="P2169" s="7"/>
      <c r="R2169" s="7"/>
      <c r="T2169" s="7"/>
      <c r="V2169" s="7"/>
      <c r="X2169" s="7"/>
    </row>
    <row r="2170" spans="2:24">
      <c r="B2170" s="7"/>
      <c r="D2170" s="7"/>
      <c r="F2170" s="7"/>
      <c r="H2170" s="7"/>
      <c r="J2170" s="7"/>
      <c r="L2170" s="7"/>
      <c r="N2170" s="7"/>
      <c r="P2170" s="7"/>
      <c r="R2170" s="7"/>
      <c r="T2170" s="7"/>
      <c r="V2170" s="7"/>
      <c r="X2170" s="7"/>
    </row>
    <row r="2171" spans="2:24">
      <c r="B2171" s="7"/>
      <c r="D2171" s="7"/>
      <c r="F2171" s="7"/>
      <c r="H2171" s="7"/>
      <c r="J2171" s="7"/>
      <c r="L2171" s="7"/>
      <c r="N2171" s="7"/>
      <c r="P2171" s="7"/>
      <c r="R2171" s="7"/>
      <c r="T2171" s="7"/>
      <c r="V2171" s="7"/>
      <c r="X2171" s="7"/>
    </row>
    <row r="2172" spans="2:24">
      <c r="B2172" s="7"/>
      <c r="D2172" s="7"/>
      <c r="F2172" s="7"/>
      <c r="H2172" s="7"/>
      <c r="J2172" s="7"/>
      <c r="L2172" s="7"/>
      <c r="N2172" s="7"/>
      <c r="P2172" s="7"/>
      <c r="R2172" s="7"/>
      <c r="T2172" s="7"/>
      <c r="V2172" s="7"/>
      <c r="X2172" s="7"/>
    </row>
    <row r="2173" spans="2:24">
      <c r="B2173" s="7"/>
      <c r="D2173" s="7"/>
      <c r="F2173" s="7"/>
      <c r="H2173" s="7"/>
      <c r="J2173" s="7"/>
      <c r="L2173" s="7"/>
      <c r="N2173" s="7"/>
      <c r="P2173" s="7"/>
      <c r="R2173" s="7"/>
      <c r="T2173" s="7"/>
      <c r="V2173" s="7"/>
      <c r="X2173" s="7"/>
    </row>
    <row r="2174" spans="2:24">
      <c r="B2174" s="7"/>
      <c r="D2174" s="7"/>
      <c r="F2174" s="7"/>
      <c r="H2174" s="7"/>
      <c r="J2174" s="7"/>
      <c r="L2174" s="7"/>
      <c r="N2174" s="7"/>
      <c r="P2174" s="7"/>
      <c r="R2174" s="7"/>
      <c r="T2174" s="7"/>
      <c r="V2174" s="7"/>
      <c r="X2174" s="7"/>
    </row>
    <row r="2175" spans="2:24">
      <c r="B2175" s="7"/>
      <c r="D2175" s="7"/>
      <c r="F2175" s="7"/>
      <c r="H2175" s="7"/>
      <c r="J2175" s="7"/>
      <c r="L2175" s="7"/>
      <c r="N2175" s="7"/>
      <c r="P2175" s="7"/>
      <c r="R2175" s="7"/>
      <c r="T2175" s="7"/>
      <c r="V2175" s="7"/>
      <c r="X2175" s="7"/>
    </row>
    <row r="2176" spans="2:24">
      <c r="B2176" s="7"/>
      <c r="D2176" s="7"/>
      <c r="F2176" s="7"/>
      <c r="H2176" s="7"/>
      <c r="J2176" s="7"/>
      <c r="L2176" s="7"/>
      <c r="N2176" s="7"/>
      <c r="P2176" s="7"/>
      <c r="R2176" s="7"/>
      <c r="T2176" s="7"/>
      <c r="V2176" s="7"/>
      <c r="X2176" s="7"/>
    </row>
    <row r="2177" spans="2:24">
      <c r="B2177" s="7"/>
      <c r="D2177" s="7"/>
      <c r="F2177" s="7"/>
      <c r="H2177" s="7"/>
      <c r="J2177" s="7"/>
      <c r="L2177" s="7"/>
      <c r="N2177" s="7"/>
      <c r="P2177" s="7"/>
      <c r="R2177" s="7"/>
      <c r="T2177" s="7"/>
      <c r="V2177" s="7"/>
      <c r="X2177" s="7"/>
    </row>
    <row r="2178" spans="2:24">
      <c r="B2178" s="7"/>
      <c r="D2178" s="7"/>
      <c r="F2178" s="7"/>
      <c r="H2178" s="7"/>
      <c r="J2178" s="7"/>
      <c r="L2178" s="7"/>
      <c r="N2178" s="7"/>
      <c r="P2178" s="7"/>
      <c r="R2178" s="7"/>
      <c r="T2178" s="7"/>
      <c r="V2178" s="7"/>
      <c r="X2178" s="7"/>
    </row>
    <row r="2179" spans="2:24">
      <c r="B2179" s="7"/>
      <c r="D2179" s="7"/>
      <c r="F2179" s="7"/>
      <c r="H2179" s="7"/>
      <c r="J2179" s="7"/>
      <c r="L2179" s="7"/>
      <c r="N2179" s="7"/>
      <c r="P2179" s="7"/>
      <c r="R2179" s="7"/>
      <c r="T2179" s="7"/>
      <c r="V2179" s="7"/>
      <c r="X2179" s="7"/>
    </row>
    <row r="2180" spans="2:24">
      <c r="B2180" s="7"/>
      <c r="D2180" s="7"/>
      <c r="F2180" s="7"/>
      <c r="H2180" s="7"/>
      <c r="J2180" s="7"/>
      <c r="L2180" s="7"/>
      <c r="N2180" s="7"/>
      <c r="P2180" s="7"/>
      <c r="R2180" s="7"/>
      <c r="T2180" s="7"/>
      <c r="V2180" s="7"/>
      <c r="X2180" s="7"/>
    </row>
    <row r="2181" spans="2:24">
      <c r="B2181" s="7"/>
      <c r="D2181" s="7"/>
      <c r="F2181" s="7"/>
      <c r="H2181" s="7"/>
      <c r="J2181" s="7"/>
      <c r="L2181" s="7"/>
      <c r="N2181" s="7"/>
      <c r="P2181" s="7"/>
      <c r="R2181" s="7"/>
      <c r="T2181" s="7"/>
      <c r="V2181" s="7"/>
      <c r="X2181" s="7"/>
    </row>
    <row r="2182" spans="2:24">
      <c r="B2182" s="7"/>
      <c r="D2182" s="7"/>
      <c r="F2182" s="7"/>
      <c r="H2182" s="7"/>
      <c r="J2182" s="7"/>
      <c r="L2182" s="7"/>
      <c r="N2182" s="7"/>
      <c r="P2182" s="7"/>
      <c r="R2182" s="7"/>
      <c r="T2182" s="7"/>
      <c r="V2182" s="7"/>
      <c r="X2182" s="7"/>
    </row>
    <row r="2183" spans="2:24">
      <c r="B2183" s="7"/>
      <c r="D2183" s="7"/>
      <c r="F2183" s="7"/>
      <c r="H2183" s="7"/>
      <c r="J2183" s="7"/>
      <c r="L2183" s="7"/>
      <c r="N2183" s="7"/>
      <c r="P2183" s="7"/>
      <c r="R2183" s="7"/>
      <c r="T2183" s="7"/>
      <c r="V2183" s="7"/>
      <c r="X2183" s="7"/>
    </row>
    <row r="2184" spans="2:24">
      <c r="B2184" s="7"/>
      <c r="D2184" s="7"/>
      <c r="F2184" s="7"/>
      <c r="H2184" s="7"/>
      <c r="J2184" s="7"/>
      <c r="L2184" s="7"/>
      <c r="N2184" s="7"/>
      <c r="P2184" s="7"/>
      <c r="R2184" s="7"/>
      <c r="T2184" s="7"/>
      <c r="V2184" s="7"/>
      <c r="X2184" s="7"/>
    </row>
    <row r="2185" spans="2:24">
      <c r="B2185" s="7"/>
      <c r="D2185" s="7"/>
      <c r="F2185" s="7"/>
      <c r="H2185" s="7"/>
      <c r="J2185" s="7"/>
      <c r="L2185" s="7"/>
      <c r="N2185" s="7"/>
      <c r="P2185" s="7"/>
      <c r="R2185" s="7"/>
      <c r="T2185" s="7"/>
      <c r="V2185" s="7"/>
      <c r="X2185" s="7"/>
    </row>
    <row r="2186" spans="2:24">
      <c r="B2186" s="7"/>
      <c r="D2186" s="7"/>
      <c r="F2186" s="7"/>
      <c r="H2186" s="7"/>
      <c r="J2186" s="7"/>
      <c r="L2186" s="7"/>
      <c r="N2186" s="7"/>
      <c r="P2186" s="7"/>
      <c r="R2186" s="7"/>
      <c r="T2186" s="7"/>
      <c r="V2186" s="7"/>
      <c r="X2186" s="7"/>
    </row>
    <row r="2187" spans="2:24">
      <c r="B2187" s="7"/>
      <c r="D2187" s="7"/>
      <c r="F2187" s="7"/>
      <c r="H2187" s="7"/>
      <c r="J2187" s="7"/>
      <c r="L2187" s="7"/>
      <c r="N2187" s="7"/>
      <c r="P2187" s="7"/>
      <c r="R2187" s="7"/>
      <c r="T2187" s="7"/>
      <c r="V2187" s="7"/>
      <c r="X2187" s="7"/>
    </row>
    <row r="2188" spans="2:24">
      <c r="B2188" s="7"/>
      <c r="D2188" s="7"/>
      <c r="F2188" s="7"/>
      <c r="H2188" s="7"/>
      <c r="J2188" s="7"/>
      <c r="L2188" s="7"/>
      <c r="N2188" s="7"/>
      <c r="P2188" s="7"/>
      <c r="R2188" s="7"/>
      <c r="T2188" s="7"/>
      <c r="V2188" s="7"/>
      <c r="X2188" s="7"/>
    </row>
    <row r="2189" spans="2:24">
      <c r="B2189" s="7"/>
      <c r="D2189" s="7"/>
      <c r="F2189" s="7"/>
      <c r="H2189" s="7"/>
      <c r="J2189" s="7"/>
      <c r="L2189" s="7"/>
      <c r="N2189" s="7"/>
      <c r="P2189" s="7"/>
      <c r="R2189" s="7"/>
      <c r="T2189" s="7"/>
      <c r="V2189" s="7"/>
      <c r="X2189" s="7"/>
    </row>
    <row r="2190" spans="2:24">
      <c r="B2190" s="7"/>
      <c r="D2190" s="7"/>
      <c r="F2190" s="7"/>
      <c r="H2190" s="7"/>
      <c r="J2190" s="7"/>
      <c r="L2190" s="7"/>
      <c r="N2190" s="7"/>
      <c r="P2190" s="7"/>
      <c r="R2190" s="7"/>
      <c r="T2190" s="7"/>
      <c r="V2190" s="7"/>
      <c r="X2190" s="7"/>
    </row>
    <row r="2191" spans="2:24">
      <c r="B2191" s="7"/>
      <c r="D2191" s="7"/>
      <c r="F2191" s="7"/>
      <c r="H2191" s="7"/>
      <c r="J2191" s="7"/>
      <c r="L2191" s="7"/>
      <c r="N2191" s="7"/>
      <c r="P2191" s="7"/>
      <c r="R2191" s="7"/>
      <c r="T2191" s="7"/>
      <c r="V2191" s="7"/>
      <c r="X2191" s="7"/>
    </row>
    <row r="2192" spans="2:24">
      <c r="B2192" s="7"/>
      <c r="D2192" s="7"/>
      <c r="F2192" s="7"/>
      <c r="H2192" s="7"/>
      <c r="J2192" s="7"/>
      <c r="L2192" s="7"/>
      <c r="N2192" s="7"/>
      <c r="P2192" s="7"/>
      <c r="R2192" s="7"/>
      <c r="T2192" s="7"/>
      <c r="V2192" s="7"/>
      <c r="X2192" s="7"/>
    </row>
    <row r="2193" spans="2:24">
      <c r="B2193" s="7"/>
      <c r="D2193" s="7"/>
      <c r="F2193" s="7"/>
      <c r="H2193" s="7"/>
      <c r="J2193" s="7"/>
      <c r="L2193" s="7"/>
      <c r="N2193" s="7"/>
      <c r="P2193" s="7"/>
      <c r="R2193" s="7"/>
      <c r="T2193" s="7"/>
      <c r="V2193" s="7"/>
      <c r="X2193" s="7"/>
    </row>
    <row r="2194" spans="2:24">
      <c r="B2194" s="7"/>
      <c r="D2194" s="7"/>
      <c r="F2194" s="7"/>
      <c r="H2194" s="7"/>
      <c r="J2194" s="7"/>
      <c r="L2194" s="7"/>
      <c r="N2194" s="7"/>
      <c r="P2194" s="7"/>
      <c r="R2194" s="7"/>
      <c r="T2194" s="7"/>
      <c r="V2194" s="7"/>
      <c r="X2194" s="7"/>
    </row>
    <row r="2195" spans="2:24">
      <c r="B2195" s="7"/>
      <c r="D2195" s="7"/>
      <c r="F2195" s="7"/>
      <c r="H2195" s="7"/>
      <c r="J2195" s="7"/>
      <c r="L2195" s="7"/>
      <c r="N2195" s="7"/>
      <c r="P2195" s="7"/>
      <c r="R2195" s="7"/>
      <c r="T2195" s="7"/>
      <c r="V2195" s="7"/>
      <c r="X2195" s="7"/>
    </row>
    <row r="2196" spans="2:24">
      <c r="B2196" s="7"/>
      <c r="D2196" s="7"/>
      <c r="F2196" s="7"/>
      <c r="H2196" s="7"/>
      <c r="J2196" s="7"/>
      <c r="L2196" s="7"/>
      <c r="N2196" s="7"/>
      <c r="P2196" s="7"/>
      <c r="R2196" s="7"/>
      <c r="T2196" s="7"/>
      <c r="V2196" s="7"/>
      <c r="X2196" s="7"/>
    </row>
    <row r="2197" spans="2:24">
      <c r="B2197" s="7"/>
      <c r="D2197" s="7"/>
      <c r="F2197" s="7"/>
      <c r="H2197" s="7"/>
      <c r="J2197" s="7"/>
      <c r="L2197" s="7"/>
      <c r="N2197" s="7"/>
      <c r="P2197" s="7"/>
      <c r="R2197" s="7"/>
      <c r="T2197" s="7"/>
      <c r="V2197" s="7"/>
      <c r="X2197" s="7"/>
    </row>
    <row r="2198" spans="2:24">
      <c r="B2198" s="7"/>
      <c r="D2198" s="7"/>
      <c r="F2198" s="7"/>
      <c r="H2198" s="7"/>
      <c r="J2198" s="7"/>
      <c r="L2198" s="7"/>
      <c r="N2198" s="7"/>
      <c r="P2198" s="7"/>
      <c r="R2198" s="7"/>
      <c r="T2198" s="7"/>
      <c r="V2198" s="7"/>
      <c r="X2198" s="7"/>
    </row>
    <row r="2199" spans="2:24">
      <c r="B2199" s="7"/>
      <c r="D2199" s="7"/>
      <c r="F2199" s="7"/>
      <c r="H2199" s="7"/>
      <c r="J2199" s="7"/>
      <c r="L2199" s="7"/>
      <c r="N2199" s="7"/>
      <c r="P2199" s="7"/>
      <c r="R2199" s="7"/>
      <c r="T2199" s="7"/>
      <c r="V2199" s="7"/>
      <c r="X2199" s="7"/>
    </row>
    <row r="2200" spans="2:24">
      <c r="B2200" s="7"/>
      <c r="D2200" s="7"/>
      <c r="F2200" s="7"/>
      <c r="H2200" s="7"/>
      <c r="J2200" s="7"/>
      <c r="L2200" s="7"/>
      <c r="N2200" s="7"/>
      <c r="P2200" s="7"/>
      <c r="R2200" s="7"/>
      <c r="T2200" s="7"/>
      <c r="V2200" s="7"/>
      <c r="X2200" s="7"/>
    </row>
    <row r="2201" spans="2:24">
      <c r="B2201" s="7"/>
      <c r="D2201" s="7"/>
      <c r="F2201" s="7"/>
      <c r="H2201" s="7"/>
      <c r="J2201" s="7"/>
      <c r="L2201" s="7"/>
      <c r="N2201" s="7"/>
      <c r="P2201" s="7"/>
      <c r="R2201" s="7"/>
      <c r="T2201" s="7"/>
      <c r="V2201" s="7"/>
      <c r="X2201" s="7"/>
    </row>
    <row r="2202" spans="2:24">
      <c r="B2202" s="7"/>
      <c r="D2202" s="7"/>
      <c r="F2202" s="7"/>
      <c r="H2202" s="7"/>
      <c r="J2202" s="7"/>
      <c r="L2202" s="7"/>
      <c r="N2202" s="7"/>
      <c r="P2202" s="7"/>
      <c r="R2202" s="7"/>
      <c r="T2202" s="7"/>
      <c r="V2202" s="7"/>
      <c r="X2202" s="7"/>
    </row>
    <row r="2203" spans="2:24">
      <c r="B2203" s="7"/>
      <c r="D2203" s="7"/>
      <c r="F2203" s="7"/>
      <c r="H2203" s="7"/>
      <c r="J2203" s="7"/>
      <c r="L2203" s="7"/>
      <c r="N2203" s="7"/>
      <c r="P2203" s="7"/>
      <c r="R2203" s="7"/>
      <c r="T2203" s="7"/>
      <c r="V2203" s="7"/>
      <c r="X2203" s="7"/>
    </row>
    <row r="2204" spans="2:24">
      <c r="B2204" s="7"/>
      <c r="D2204" s="7"/>
      <c r="F2204" s="7"/>
      <c r="H2204" s="7"/>
      <c r="J2204" s="7"/>
      <c r="L2204" s="7"/>
      <c r="N2204" s="7"/>
      <c r="P2204" s="7"/>
      <c r="R2204" s="7"/>
      <c r="T2204" s="7"/>
      <c r="V2204" s="7"/>
      <c r="X2204" s="7"/>
    </row>
    <row r="2205" spans="2:24">
      <c r="B2205" s="7"/>
      <c r="D2205" s="7"/>
      <c r="F2205" s="7"/>
      <c r="H2205" s="7"/>
      <c r="J2205" s="7"/>
      <c r="L2205" s="7"/>
      <c r="N2205" s="7"/>
      <c r="P2205" s="7"/>
      <c r="R2205" s="7"/>
      <c r="T2205" s="7"/>
      <c r="V2205" s="7"/>
      <c r="X2205" s="7"/>
    </row>
    <row r="2206" spans="2:24">
      <c r="B2206" s="7"/>
      <c r="D2206" s="7"/>
      <c r="F2206" s="7"/>
      <c r="H2206" s="7"/>
      <c r="J2206" s="7"/>
      <c r="L2206" s="7"/>
      <c r="N2206" s="7"/>
      <c r="P2206" s="7"/>
      <c r="R2206" s="7"/>
      <c r="T2206" s="7"/>
      <c r="V2206" s="7"/>
      <c r="X2206" s="7"/>
    </row>
    <row r="2207" spans="2:24">
      <c r="B2207" s="7"/>
      <c r="D2207" s="7"/>
      <c r="F2207" s="7"/>
      <c r="H2207" s="7"/>
      <c r="J2207" s="7"/>
      <c r="L2207" s="7"/>
      <c r="N2207" s="7"/>
      <c r="P2207" s="7"/>
      <c r="R2207" s="7"/>
      <c r="T2207" s="7"/>
      <c r="V2207" s="7"/>
      <c r="X2207" s="7"/>
    </row>
    <row r="2208" spans="2:24">
      <c r="B2208" s="7"/>
      <c r="D2208" s="7"/>
      <c r="F2208" s="7"/>
      <c r="H2208" s="7"/>
      <c r="J2208" s="7"/>
      <c r="L2208" s="7"/>
      <c r="N2208" s="7"/>
      <c r="P2208" s="7"/>
      <c r="R2208" s="7"/>
      <c r="T2208" s="7"/>
      <c r="V2208" s="7"/>
      <c r="X2208" s="7"/>
    </row>
    <row r="2209" spans="2:24">
      <c r="B2209" s="7"/>
      <c r="D2209" s="7"/>
      <c r="F2209" s="7"/>
      <c r="H2209" s="7"/>
      <c r="J2209" s="7"/>
      <c r="L2209" s="7"/>
      <c r="N2209" s="7"/>
      <c r="P2209" s="7"/>
      <c r="R2209" s="7"/>
      <c r="T2209" s="7"/>
      <c r="V2209" s="7"/>
      <c r="X2209" s="7"/>
    </row>
    <row r="2210" spans="2:24">
      <c r="B2210" s="7"/>
      <c r="D2210" s="7"/>
      <c r="F2210" s="7"/>
      <c r="H2210" s="7"/>
      <c r="J2210" s="7"/>
      <c r="L2210" s="7"/>
      <c r="N2210" s="7"/>
      <c r="P2210" s="7"/>
      <c r="R2210" s="7"/>
      <c r="T2210" s="7"/>
      <c r="V2210" s="7"/>
      <c r="X2210" s="7"/>
    </row>
    <row r="2211" spans="2:24">
      <c r="B2211" s="7"/>
      <c r="D2211" s="7"/>
      <c r="F2211" s="7"/>
      <c r="H2211" s="7"/>
      <c r="J2211" s="7"/>
      <c r="L2211" s="7"/>
      <c r="N2211" s="7"/>
      <c r="P2211" s="7"/>
      <c r="R2211" s="7"/>
      <c r="T2211" s="7"/>
      <c r="V2211" s="7"/>
      <c r="X2211" s="7"/>
    </row>
    <row r="2212" spans="2:24">
      <c r="B2212" s="7"/>
      <c r="D2212" s="7"/>
      <c r="F2212" s="7"/>
      <c r="H2212" s="7"/>
      <c r="J2212" s="7"/>
      <c r="L2212" s="7"/>
      <c r="N2212" s="7"/>
      <c r="P2212" s="7"/>
      <c r="R2212" s="7"/>
      <c r="T2212" s="7"/>
      <c r="V2212" s="7"/>
      <c r="X2212" s="7"/>
    </row>
    <row r="2213" spans="2:24">
      <c r="B2213" s="7"/>
      <c r="D2213" s="7"/>
      <c r="F2213" s="7"/>
      <c r="H2213" s="7"/>
      <c r="J2213" s="7"/>
      <c r="L2213" s="7"/>
      <c r="N2213" s="7"/>
      <c r="P2213" s="7"/>
      <c r="R2213" s="7"/>
      <c r="T2213" s="7"/>
      <c r="V2213" s="7"/>
      <c r="X2213" s="7"/>
    </row>
    <row r="2214" spans="2:24">
      <c r="B2214" s="7"/>
      <c r="D2214" s="7"/>
      <c r="F2214" s="7"/>
      <c r="H2214" s="7"/>
      <c r="J2214" s="7"/>
      <c r="L2214" s="7"/>
      <c r="N2214" s="7"/>
      <c r="P2214" s="7"/>
      <c r="R2214" s="7"/>
      <c r="T2214" s="7"/>
      <c r="V2214" s="7"/>
      <c r="X2214" s="7"/>
    </row>
    <row r="2215" spans="2:24">
      <c r="B2215" s="7"/>
      <c r="D2215" s="7"/>
      <c r="F2215" s="7"/>
      <c r="H2215" s="7"/>
      <c r="J2215" s="7"/>
      <c r="L2215" s="7"/>
      <c r="N2215" s="7"/>
      <c r="P2215" s="7"/>
      <c r="R2215" s="7"/>
      <c r="T2215" s="7"/>
      <c r="V2215" s="7"/>
      <c r="X2215" s="7"/>
    </row>
    <row r="2216" spans="2:24">
      <c r="B2216" s="7"/>
      <c r="D2216" s="7"/>
      <c r="F2216" s="7"/>
      <c r="H2216" s="7"/>
      <c r="J2216" s="7"/>
      <c r="L2216" s="7"/>
      <c r="N2216" s="7"/>
      <c r="P2216" s="7"/>
      <c r="R2216" s="7"/>
      <c r="T2216" s="7"/>
      <c r="V2216" s="7"/>
      <c r="X2216" s="7"/>
    </row>
    <row r="2217" spans="2:24">
      <c r="B2217" s="7"/>
      <c r="D2217" s="7"/>
      <c r="F2217" s="7"/>
      <c r="H2217" s="7"/>
      <c r="J2217" s="7"/>
      <c r="L2217" s="7"/>
      <c r="N2217" s="7"/>
      <c r="P2217" s="7"/>
      <c r="R2217" s="7"/>
      <c r="T2217" s="7"/>
      <c r="V2217" s="7"/>
      <c r="X2217" s="7"/>
    </row>
    <row r="2218" spans="2:24">
      <c r="B2218" s="7"/>
      <c r="D2218" s="7"/>
      <c r="F2218" s="7"/>
      <c r="H2218" s="7"/>
      <c r="J2218" s="7"/>
      <c r="L2218" s="7"/>
      <c r="N2218" s="7"/>
      <c r="P2218" s="7"/>
      <c r="R2218" s="7"/>
      <c r="T2218" s="7"/>
      <c r="V2218" s="7"/>
      <c r="X2218" s="7"/>
    </row>
    <row r="2219" spans="2:24">
      <c r="B2219" s="7"/>
      <c r="D2219" s="7"/>
      <c r="F2219" s="7"/>
      <c r="H2219" s="7"/>
      <c r="J2219" s="7"/>
      <c r="L2219" s="7"/>
      <c r="N2219" s="7"/>
      <c r="P2219" s="7"/>
      <c r="R2219" s="7"/>
      <c r="T2219" s="7"/>
      <c r="V2219" s="7"/>
      <c r="X2219" s="7"/>
    </row>
    <row r="2220" spans="2:24">
      <c r="B2220" s="7"/>
      <c r="D2220" s="7"/>
      <c r="F2220" s="7"/>
      <c r="H2220" s="7"/>
      <c r="J2220" s="7"/>
      <c r="L2220" s="7"/>
      <c r="N2220" s="7"/>
      <c r="P2220" s="7"/>
      <c r="R2220" s="7"/>
      <c r="T2220" s="7"/>
      <c r="V2220" s="7"/>
      <c r="X2220" s="7"/>
    </row>
    <row r="2221" spans="2:24">
      <c r="B2221" s="7"/>
      <c r="D2221" s="7"/>
      <c r="F2221" s="7"/>
      <c r="H2221" s="7"/>
      <c r="J2221" s="7"/>
      <c r="L2221" s="7"/>
      <c r="N2221" s="7"/>
      <c r="P2221" s="7"/>
      <c r="R2221" s="7"/>
      <c r="T2221" s="7"/>
      <c r="V2221" s="7"/>
      <c r="X2221" s="7"/>
    </row>
    <row r="2222" spans="2:24">
      <c r="B2222" s="7"/>
      <c r="D2222" s="7"/>
      <c r="F2222" s="7"/>
      <c r="H2222" s="7"/>
      <c r="J2222" s="7"/>
      <c r="L2222" s="7"/>
      <c r="N2222" s="7"/>
      <c r="P2222" s="7"/>
      <c r="R2222" s="7"/>
      <c r="T2222" s="7"/>
      <c r="V2222" s="7"/>
      <c r="X2222" s="7"/>
    </row>
    <row r="2223" spans="2:24">
      <c r="B2223" s="7"/>
      <c r="D2223" s="7"/>
      <c r="F2223" s="7"/>
      <c r="H2223" s="7"/>
      <c r="J2223" s="7"/>
      <c r="L2223" s="7"/>
      <c r="N2223" s="7"/>
      <c r="P2223" s="7"/>
      <c r="R2223" s="7"/>
      <c r="T2223" s="7"/>
      <c r="V2223" s="7"/>
      <c r="X2223" s="7"/>
    </row>
    <row r="2224" spans="2:24">
      <c r="B2224" s="7"/>
      <c r="D2224" s="7"/>
      <c r="F2224" s="7"/>
      <c r="H2224" s="7"/>
      <c r="J2224" s="7"/>
      <c r="L2224" s="7"/>
      <c r="N2224" s="7"/>
      <c r="P2224" s="7"/>
      <c r="R2224" s="7"/>
      <c r="T2224" s="7"/>
      <c r="V2224" s="7"/>
      <c r="X2224" s="7"/>
    </row>
    <row r="2225" spans="2:24">
      <c r="B2225" s="7"/>
      <c r="D2225" s="7"/>
      <c r="F2225" s="7"/>
      <c r="H2225" s="7"/>
      <c r="J2225" s="7"/>
      <c r="L2225" s="7"/>
      <c r="N2225" s="7"/>
      <c r="P2225" s="7"/>
      <c r="R2225" s="7"/>
      <c r="T2225" s="7"/>
      <c r="V2225" s="7"/>
      <c r="X2225" s="7"/>
    </row>
    <row r="2226" spans="2:24">
      <c r="B2226" s="7"/>
      <c r="D2226" s="7"/>
      <c r="F2226" s="7"/>
      <c r="H2226" s="7"/>
      <c r="J2226" s="7"/>
      <c r="L2226" s="7"/>
      <c r="N2226" s="7"/>
      <c r="P2226" s="7"/>
      <c r="R2226" s="7"/>
      <c r="T2226" s="7"/>
      <c r="V2226" s="7"/>
      <c r="X2226" s="7"/>
    </row>
    <row r="2227" spans="2:24">
      <c r="B2227" s="7"/>
      <c r="D2227" s="7"/>
      <c r="F2227" s="7"/>
      <c r="H2227" s="7"/>
      <c r="J2227" s="7"/>
      <c r="L2227" s="7"/>
      <c r="N2227" s="7"/>
      <c r="P2227" s="7"/>
      <c r="R2227" s="7"/>
      <c r="T2227" s="7"/>
      <c r="V2227" s="7"/>
      <c r="X2227" s="7"/>
    </row>
    <row r="2228" spans="2:24">
      <c r="B2228" s="7"/>
      <c r="D2228" s="7"/>
      <c r="F2228" s="7"/>
      <c r="H2228" s="7"/>
      <c r="J2228" s="7"/>
      <c r="L2228" s="7"/>
      <c r="N2228" s="7"/>
      <c r="P2228" s="7"/>
      <c r="R2228" s="7"/>
      <c r="T2228" s="7"/>
      <c r="V2228" s="7"/>
      <c r="X2228" s="7"/>
    </row>
    <row r="2229" spans="2:24">
      <c r="B2229" s="7"/>
      <c r="D2229" s="7"/>
      <c r="F2229" s="7"/>
      <c r="H2229" s="7"/>
      <c r="J2229" s="7"/>
      <c r="L2229" s="7"/>
      <c r="N2229" s="7"/>
      <c r="P2229" s="7"/>
      <c r="R2229" s="7"/>
      <c r="T2229" s="7"/>
      <c r="V2229" s="7"/>
      <c r="X2229" s="7"/>
    </row>
    <row r="2230" spans="2:24">
      <c r="B2230" s="7"/>
      <c r="D2230" s="7"/>
      <c r="F2230" s="7"/>
      <c r="H2230" s="7"/>
      <c r="J2230" s="7"/>
      <c r="L2230" s="7"/>
      <c r="N2230" s="7"/>
      <c r="P2230" s="7"/>
      <c r="R2230" s="7"/>
      <c r="T2230" s="7"/>
      <c r="V2230" s="7"/>
      <c r="X2230" s="7"/>
    </row>
    <row r="2231" spans="2:24">
      <c r="B2231" s="7"/>
      <c r="D2231" s="7"/>
      <c r="F2231" s="7"/>
      <c r="H2231" s="7"/>
      <c r="J2231" s="7"/>
      <c r="L2231" s="7"/>
      <c r="N2231" s="7"/>
      <c r="P2231" s="7"/>
      <c r="R2231" s="7"/>
      <c r="T2231" s="7"/>
      <c r="V2231" s="7"/>
      <c r="X2231" s="7"/>
    </row>
    <row r="2232" spans="2:24">
      <c r="B2232" s="7"/>
      <c r="D2232" s="7"/>
      <c r="F2232" s="7"/>
      <c r="H2232" s="7"/>
      <c r="J2232" s="7"/>
      <c r="L2232" s="7"/>
      <c r="N2232" s="7"/>
      <c r="P2232" s="7"/>
      <c r="R2232" s="7"/>
      <c r="T2232" s="7"/>
      <c r="V2232" s="7"/>
      <c r="X2232" s="7"/>
    </row>
    <row r="2233" spans="2:24">
      <c r="B2233" s="7"/>
      <c r="D2233" s="7"/>
      <c r="F2233" s="7"/>
      <c r="H2233" s="7"/>
      <c r="J2233" s="7"/>
      <c r="L2233" s="7"/>
      <c r="N2233" s="7"/>
      <c r="P2233" s="7"/>
      <c r="R2233" s="7"/>
      <c r="T2233" s="7"/>
      <c r="V2233" s="7"/>
      <c r="X2233" s="7"/>
    </row>
    <row r="2234" spans="2:24">
      <c r="B2234" s="7"/>
      <c r="D2234" s="7"/>
      <c r="F2234" s="7"/>
      <c r="H2234" s="7"/>
      <c r="J2234" s="7"/>
      <c r="L2234" s="7"/>
      <c r="N2234" s="7"/>
      <c r="P2234" s="7"/>
      <c r="R2234" s="7"/>
      <c r="T2234" s="7"/>
      <c r="V2234" s="7"/>
      <c r="X2234" s="7"/>
    </row>
    <row r="2235" spans="2:24">
      <c r="B2235" s="7"/>
      <c r="D2235" s="7"/>
      <c r="F2235" s="7"/>
      <c r="H2235" s="7"/>
      <c r="J2235" s="7"/>
      <c r="L2235" s="7"/>
      <c r="N2235" s="7"/>
      <c r="P2235" s="7"/>
      <c r="R2235" s="7"/>
      <c r="T2235" s="7"/>
      <c r="V2235" s="7"/>
      <c r="X2235" s="7"/>
    </row>
    <row r="2236" spans="2:24">
      <c r="B2236" s="7"/>
      <c r="D2236" s="7"/>
      <c r="F2236" s="7"/>
      <c r="H2236" s="7"/>
      <c r="J2236" s="7"/>
      <c r="L2236" s="7"/>
      <c r="N2236" s="7"/>
      <c r="P2236" s="7"/>
      <c r="R2236" s="7"/>
      <c r="T2236" s="7"/>
      <c r="V2236" s="7"/>
      <c r="X2236" s="7"/>
    </row>
    <row r="2237" spans="2:24">
      <c r="B2237" s="7"/>
      <c r="D2237" s="7"/>
      <c r="F2237" s="7"/>
      <c r="H2237" s="7"/>
      <c r="J2237" s="7"/>
      <c r="L2237" s="7"/>
      <c r="N2237" s="7"/>
      <c r="P2237" s="7"/>
      <c r="R2237" s="7"/>
      <c r="T2237" s="7"/>
      <c r="V2237" s="7"/>
      <c r="X2237" s="7"/>
    </row>
    <row r="2238" spans="2:24">
      <c r="B2238" s="7"/>
      <c r="D2238" s="7"/>
      <c r="F2238" s="7"/>
      <c r="H2238" s="7"/>
      <c r="J2238" s="7"/>
      <c r="L2238" s="7"/>
      <c r="N2238" s="7"/>
      <c r="P2238" s="7"/>
      <c r="R2238" s="7"/>
      <c r="T2238" s="7"/>
      <c r="V2238" s="7"/>
      <c r="X2238" s="7"/>
    </row>
    <row r="2239" spans="2:24">
      <c r="B2239" s="7"/>
      <c r="D2239" s="7"/>
      <c r="F2239" s="7"/>
      <c r="H2239" s="7"/>
      <c r="J2239" s="7"/>
      <c r="L2239" s="7"/>
      <c r="N2239" s="7"/>
      <c r="P2239" s="7"/>
      <c r="R2239" s="7"/>
      <c r="T2239" s="7"/>
      <c r="V2239" s="7"/>
      <c r="X2239" s="7"/>
    </row>
    <row r="2240" spans="2:24">
      <c r="B2240" s="7"/>
      <c r="D2240" s="7"/>
      <c r="F2240" s="7"/>
      <c r="H2240" s="7"/>
      <c r="J2240" s="7"/>
      <c r="L2240" s="7"/>
      <c r="N2240" s="7"/>
      <c r="P2240" s="7"/>
      <c r="R2240" s="7"/>
      <c r="T2240" s="7"/>
      <c r="V2240" s="7"/>
      <c r="X2240" s="7"/>
    </row>
    <row r="2241" spans="2:24">
      <c r="B2241" s="7"/>
      <c r="D2241" s="7"/>
      <c r="F2241" s="7"/>
      <c r="H2241" s="7"/>
      <c r="J2241" s="7"/>
      <c r="L2241" s="7"/>
      <c r="N2241" s="7"/>
      <c r="P2241" s="7"/>
      <c r="R2241" s="7"/>
      <c r="T2241" s="7"/>
      <c r="V2241" s="7"/>
      <c r="X2241" s="7"/>
    </row>
    <row r="2242" spans="2:24">
      <c r="B2242" s="7"/>
      <c r="D2242" s="7"/>
      <c r="F2242" s="7"/>
      <c r="H2242" s="7"/>
      <c r="J2242" s="7"/>
      <c r="L2242" s="7"/>
      <c r="N2242" s="7"/>
      <c r="P2242" s="7"/>
      <c r="R2242" s="7"/>
      <c r="T2242" s="7"/>
      <c r="V2242" s="7"/>
      <c r="X2242" s="7"/>
    </row>
    <row r="2243" spans="2:24">
      <c r="B2243" s="7"/>
      <c r="D2243" s="7"/>
      <c r="F2243" s="7"/>
      <c r="H2243" s="7"/>
      <c r="J2243" s="7"/>
      <c r="L2243" s="7"/>
      <c r="N2243" s="7"/>
      <c r="P2243" s="7"/>
      <c r="R2243" s="7"/>
      <c r="T2243" s="7"/>
      <c r="V2243" s="7"/>
      <c r="X2243" s="7"/>
    </row>
    <row r="2244" spans="2:24">
      <c r="B2244" s="7"/>
      <c r="D2244" s="7"/>
      <c r="F2244" s="7"/>
      <c r="H2244" s="7"/>
      <c r="J2244" s="7"/>
      <c r="L2244" s="7"/>
      <c r="N2244" s="7"/>
      <c r="P2244" s="7"/>
      <c r="R2244" s="7"/>
      <c r="T2244" s="7"/>
      <c r="V2244" s="7"/>
      <c r="X2244" s="7"/>
    </row>
    <row r="2245" spans="2:24">
      <c r="B2245" s="7"/>
      <c r="D2245" s="7"/>
      <c r="F2245" s="7"/>
      <c r="H2245" s="7"/>
      <c r="J2245" s="7"/>
      <c r="L2245" s="7"/>
      <c r="N2245" s="7"/>
      <c r="P2245" s="7"/>
      <c r="R2245" s="7"/>
      <c r="T2245" s="7"/>
      <c r="V2245" s="7"/>
      <c r="X2245" s="7"/>
    </row>
    <row r="2246" spans="2:24">
      <c r="B2246" s="7"/>
      <c r="D2246" s="7"/>
      <c r="F2246" s="7"/>
      <c r="H2246" s="7"/>
      <c r="J2246" s="7"/>
      <c r="L2246" s="7"/>
      <c r="N2246" s="7"/>
      <c r="P2246" s="7"/>
      <c r="R2246" s="7"/>
      <c r="T2246" s="7"/>
      <c r="V2246" s="7"/>
      <c r="X2246" s="7"/>
    </row>
    <row r="2247" spans="2:24">
      <c r="B2247" s="7"/>
      <c r="D2247" s="7"/>
      <c r="F2247" s="7"/>
      <c r="H2247" s="7"/>
      <c r="J2247" s="7"/>
      <c r="L2247" s="7"/>
      <c r="N2247" s="7"/>
      <c r="P2247" s="7"/>
      <c r="R2247" s="7"/>
      <c r="T2247" s="7"/>
      <c r="V2247" s="7"/>
      <c r="X2247" s="7"/>
    </row>
    <row r="2248" spans="2:24">
      <c r="B2248" s="7"/>
      <c r="D2248" s="7"/>
      <c r="F2248" s="7"/>
      <c r="H2248" s="7"/>
      <c r="J2248" s="7"/>
      <c r="L2248" s="7"/>
      <c r="N2248" s="7"/>
      <c r="P2248" s="7"/>
      <c r="R2248" s="7"/>
      <c r="T2248" s="7"/>
      <c r="V2248" s="7"/>
      <c r="X2248" s="7"/>
    </row>
    <row r="2249" spans="2:24">
      <c r="B2249" s="7"/>
      <c r="D2249" s="7"/>
      <c r="F2249" s="7"/>
      <c r="H2249" s="7"/>
      <c r="J2249" s="7"/>
      <c r="L2249" s="7"/>
      <c r="N2249" s="7"/>
      <c r="P2249" s="7"/>
      <c r="R2249" s="7"/>
      <c r="T2249" s="7"/>
      <c r="V2249" s="7"/>
      <c r="X2249" s="7"/>
    </row>
    <row r="2250" spans="2:24">
      <c r="B2250" s="7"/>
      <c r="D2250" s="7"/>
      <c r="F2250" s="7"/>
      <c r="H2250" s="7"/>
      <c r="J2250" s="7"/>
      <c r="L2250" s="7"/>
      <c r="N2250" s="7"/>
      <c r="P2250" s="7"/>
      <c r="R2250" s="7"/>
      <c r="T2250" s="7"/>
      <c r="V2250" s="7"/>
      <c r="X2250" s="7"/>
    </row>
    <row r="2251" spans="2:24">
      <c r="B2251" s="7"/>
      <c r="D2251" s="7"/>
      <c r="F2251" s="7"/>
      <c r="H2251" s="7"/>
      <c r="J2251" s="7"/>
      <c r="L2251" s="7"/>
      <c r="N2251" s="7"/>
      <c r="P2251" s="7"/>
      <c r="R2251" s="7"/>
      <c r="T2251" s="7"/>
      <c r="V2251" s="7"/>
      <c r="X2251" s="7"/>
    </row>
    <row r="2252" spans="2:24">
      <c r="B2252" s="7"/>
      <c r="D2252" s="7"/>
      <c r="F2252" s="7"/>
      <c r="H2252" s="7"/>
      <c r="J2252" s="7"/>
      <c r="L2252" s="7"/>
      <c r="N2252" s="7"/>
      <c r="P2252" s="7"/>
      <c r="R2252" s="7"/>
      <c r="T2252" s="7"/>
      <c r="V2252" s="7"/>
      <c r="X2252" s="7"/>
    </row>
    <row r="2253" spans="2:24">
      <c r="B2253" s="7"/>
      <c r="D2253" s="7"/>
      <c r="F2253" s="7"/>
      <c r="H2253" s="7"/>
      <c r="J2253" s="7"/>
      <c r="L2253" s="7"/>
      <c r="N2253" s="7"/>
      <c r="P2253" s="7"/>
      <c r="R2253" s="7"/>
      <c r="T2253" s="7"/>
      <c r="V2253" s="7"/>
      <c r="X2253" s="7"/>
    </row>
    <row r="2254" spans="2:24">
      <c r="B2254" s="7"/>
      <c r="D2254" s="7"/>
      <c r="F2254" s="7"/>
      <c r="H2254" s="7"/>
      <c r="J2254" s="7"/>
      <c r="L2254" s="7"/>
      <c r="N2254" s="7"/>
      <c r="P2254" s="7"/>
      <c r="R2254" s="7"/>
      <c r="T2254" s="7"/>
      <c r="V2254" s="7"/>
      <c r="X2254" s="7"/>
    </row>
    <row r="2255" spans="2:24">
      <c r="B2255" s="7"/>
      <c r="D2255" s="7"/>
      <c r="F2255" s="7"/>
      <c r="H2255" s="7"/>
      <c r="J2255" s="7"/>
      <c r="L2255" s="7"/>
      <c r="N2255" s="7"/>
      <c r="P2255" s="7"/>
      <c r="R2255" s="7"/>
      <c r="T2255" s="7"/>
      <c r="V2255" s="7"/>
      <c r="X2255" s="7"/>
    </row>
    <row r="2256" spans="2:24">
      <c r="B2256" s="7"/>
      <c r="D2256" s="7"/>
      <c r="F2256" s="7"/>
      <c r="H2256" s="7"/>
      <c r="J2256" s="7"/>
      <c r="L2256" s="7"/>
      <c r="N2256" s="7"/>
      <c r="P2256" s="7"/>
      <c r="R2256" s="7"/>
      <c r="T2256" s="7"/>
      <c r="V2256" s="7"/>
      <c r="X2256" s="7"/>
    </row>
    <row r="2257" spans="2:24">
      <c r="B2257" s="7"/>
      <c r="D2257" s="7"/>
      <c r="F2257" s="7"/>
      <c r="H2257" s="7"/>
      <c r="J2257" s="7"/>
      <c r="L2257" s="7"/>
      <c r="N2257" s="7"/>
      <c r="P2257" s="7"/>
      <c r="R2257" s="7"/>
      <c r="T2257" s="7"/>
      <c r="V2257" s="7"/>
      <c r="X2257" s="7"/>
    </row>
    <row r="2258" spans="2:24">
      <c r="B2258" s="7"/>
      <c r="D2258" s="7"/>
      <c r="F2258" s="7"/>
      <c r="H2258" s="7"/>
      <c r="J2258" s="7"/>
      <c r="L2258" s="7"/>
      <c r="N2258" s="7"/>
      <c r="P2258" s="7"/>
      <c r="R2258" s="7"/>
      <c r="T2258" s="7"/>
      <c r="V2258" s="7"/>
      <c r="X2258" s="7"/>
    </row>
    <row r="2259" spans="2:24">
      <c r="B2259" s="7"/>
      <c r="D2259" s="7"/>
      <c r="F2259" s="7"/>
      <c r="H2259" s="7"/>
      <c r="J2259" s="7"/>
      <c r="L2259" s="7"/>
      <c r="N2259" s="7"/>
      <c r="P2259" s="7"/>
      <c r="R2259" s="7"/>
      <c r="T2259" s="7"/>
      <c r="V2259" s="7"/>
      <c r="X2259" s="7"/>
    </row>
    <row r="2260" spans="2:24">
      <c r="B2260" s="7"/>
      <c r="D2260" s="7"/>
      <c r="F2260" s="7"/>
      <c r="H2260" s="7"/>
      <c r="J2260" s="7"/>
      <c r="L2260" s="7"/>
      <c r="N2260" s="7"/>
      <c r="P2260" s="7"/>
      <c r="R2260" s="7"/>
      <c r="T2260" s="7"/>
      <c r="V2260" s="7"/>
      <c r="X2260" s="7"/>
    </row>
    <row r="2261" spans="2:24">
      <c r="B2261" s="7"/>
      <c r="D2261" s="7"/>
      <c r="F2261" s="7"/>
      <c r="H2261" s="7"/>
      <c r="J2261" s="7"/>
      <c r="L2261" s="7"/>
      <c r="N2261" s="7"/>
      <c r="P2261" s="7"/>
      <c r="R2261" s="7"/>
      <c r="T2261" s="7"/>
      <c r="V2261" s="7"/>
      <c r="X2261" s="7"/>
    </row>
    <row r="2262" spans="2:24">
      <c r="B2262" s="7"/>
      <c r="D2262" s="7"/>
      <c r="F2262" s="7"/>
      <c r="H2262" s="7"/>
      <c r="J2262" s="7"/>
      <c r="L2262" s="7"/>
      <c r="N2262" s="7"/>
      <c r="P2262" s="7"/>
      <c r="R2262" s="7"/>
      <c r="T2262" s="7"/>
      <c r="V2262" s="7"/>
      <c r="X2262" s="7"/>
    </row>
    <row r="2263" spans="2:24">
      <c r="B2263" s="7"/>
      <c r="D2263" s="7"/>
      <c r="F2263" s="7"/>
      <c r="H2263" s="7"/>
      <c r="J2263" s="7"/>
      <c r="L2263" s="7"/>
      <c r="N2263" s="7"/>
      <c r="P2263" s="7"/>
      <c r="R2263" s="7"/>
      <c r="T2263" s="7"/>
      <c r="V2263" s="7"/>
      <c r="X2263" s="7"/>
    </row>
    <row r="2264" spans="2:24">
      <c r="B2264" s="7"/>
      <c r="D2264" s="7"/>
      <c r="F2264" s="7"/>
      <c r="H2264" s="7"/>
      <c r="J2264" s="7"/>
      <c r="L2264" s="7"/>
      <c r="N2264" s="7"/>
      <c r="P2264" s="7"/>
      <c r="R2264" s="7"/>
      <c r="T2264" s="7"/>
      <c r="V2264" s="7"/>
      <c r="X2264" s="7"/>
    </row>
    <row r="2265" spans="2:24">
      <c r="B2265" s="7"/>
      <c r="D2265" s="7"/>
      <c r="F2265" s="7"/>
      <c r="H2265" s="7"/>
      <c r="J2265" s="7"/>
      <c r="L2265" s="7"/>
      <c r="N2265" s="7"/>
      <c r="P2265" s="7"/>
      <c r="R2265" s="7"/>
      <c r="T2265" s="7"/>
      <c r="V2265" s="7"/>
      <c r="X2265" s="7"/>
    </row>
    <row r="2266" spans="2:24">
      <c r="B2266" s="7"/>
      <c r="D2266" s="7"/>
      <c r="F2266" s="7"/>
      <c r="H2266" s="7"/>
      <c r="J2266" s="7"/>
      <c r="L2266" s="7"/>
      <c r="N2266" s="7"/>
      <c r="P2266" s="7"/>
      <c r="R2266" s="7"/>
      <c r="T2266" s="7"/>
      <c r="V2266" s="7"/>
      <c r="X2266" s="7"/>
    </row>
    <row r="2267" spans="2:24">
      <c r="B2267" s="7"/>
      <c r="D2267" s="7"/>
      <c r="F2267" s="7"/>
      <c r="H2267" s="7"/>
      <c r="J2267" s="7"/>
      <c r="L2267" s="7"/>
      <c r="N2267" s="7"/>
      <c r="P2267" s="7"/>
      <c r="R2267" s="7"/>
      <c r="T2267" s="7"/>
      <c r="V2267" s="7"/>
      <c r="X2267" s="7"/>
    </row>
    <row r="2268" spans="2:24">
      <c r="B2268" s="7"/>
      <c r="D2268" s="7"/>
      <c r="F2268" s="7"/>
      <c r="H2268" s="7"/>
      <c r="J2268" s="7"/>
      <c r="L2268" s="7"/>
      <c r="N2268" s="7"/>
      <c r="P2268" s="7"/>
      <c r="R2268" s="7"/>
      <c r="T2268" s="7"/>
      <c r="V2268" s="7"/>
      <c r="X2268" s="7"/>
    </row>
    <row r="2269" spans="2:24">
      <c r="B2269" s="7"/>
      <c r="D2269" s="7"/>
      <c r="F2269" s="7"/>
      <c r="H2269" s="7"/>
      <c r="J2269" s="7"/>
      <c r="L2269" s="7"/>
      <c r="N2269" s="7"/>
      <c r="P2269" s="7"/>
      <c r="R2269" s="7"/>
      <c r="T2269" s="7"/>
      <c r="V2269" s="7"/>
      <c r="X2269" s="7"/>
    </row>
    <row r="2270" spans="2:24">
      <c r="B2270" s="7"/>
      <c r="D2270" s="7"/>
      <c r="F2270" s="7"/>
      <c r="H2270" s="7"/>
      <c r="J2270" s="7"/>
      <c r="L2270" s="7"/>
      <c r="N2270" s="7"/>
      <c r="P2270" s="7"/>
      <c r="R2270" s="7"/>
      <c r="T2270" s="7"/>
      <c r="V2270" s="7"/>
      <c r="X2270" s="7"/>
    </row>
    <row r="2271" spans="2:24">
      <c r="B2271" s="7"/>
      <c r="D2271" s="7"/>
      <c r="F2271" s="7"/>
      <c r="H2271" s="7"/>
      <c r="J2271" s="7"/>
      <c r="L2271" s="7"/>
      <c r="N2271" s="7"/>
      <c r="P2271" s="7"/>
      <c r="R2271" s="7"/>
      <c r="T2271" s="7"/>
      <c r="V2271" s="7"/>
      <c r="X2271" s="7"/>
    </row>
    <row r="2272" spans="2:24">
      <c r="B2272" s="7"/>
      <c r="D2272" s="7"/>
      <c r="F2272" s="7"/>
      <c r="H2272" s="7"/>
      <c r="J2272" s="7"/>
      <c r="L2272" s="7"/>
      <c r="N2272" s="7"/>
      <c r="P2272" s="7"/>
      <c r="R2272" s="7"/>
      <c r="T2272" s="7"/>
      <c r="V2272" s="7"/>
      <c r="X2272" s="7"/>
    </row>
    <row r="2273" spans="2:24">
      <c r="B2273" s="7"/>
      <c r="D2273" s="7"/>
      <c r="F2273" s="7"/>
      <c r="H2273" s="7"/>
      <c r="J2273" s="7"/>
      <c r="L2273" s="7"/>
      <c r="N2273" s="7"/>
      <c r="P2273" s="7"/>
      <c r="R2273" s="7"/>
      <c r="T2273" s="7"/>
      <c r="V2273" s="7"/>
      <c r="X2273" s="7"/>
    </row>
    <row r="2274" spans="2:24">
      <c r="B2274" s="7"/>
      <c r="D2274" s="7"/>
      <c r="F2274" s="7"/>
      <c r="H2274" s="7"/>
      <c r="J2274" s="7"/>
      <c r="L2274" s="7"/>
      <c r="N2274" s="7"/>
      <c r="P2274" s="7"/>
      <c r="R2274" s="7"/>
      <c r="T2274" s="7"/>
      <c r="V2274" s="7"/>
      <c r="X2274" s="7"/>
    </row>
    <row r="2275" spans="2:24">
      <c r="B2275" s="7"/>
      <c r="D2275" s="7"/>
      <c r="F2275" s="7"/>
      <c r="H2275" s="7"/>
      <c r="J2275" s="7"/>
      <c r="L2275" s="7"/>
      <c r="N2275" s="7"/>
      <c r="P2275" s="7"/>
      <c r="R2275" s="7"/>
      <c r="T2275" s="7"/>
      <c r="V2275" s="7"/>
      <c r="X2275" s="7"/>
    </row>
    <row r="2276" spans="2:24">
      <c r="B2276" s="7"/>
      <c r="D2276" s="7"/>
      <c r="F2276" s="7"/>
      <c r="H2276" s="7"/>
      <c r="J2276" s="7"/>
      <c r="L2276" s="7"/>
      <c r="N2276" s="7"/>
      <c r="P2276" s="7"/>
      <c r="R2276" s="7"/>
      <c r="T2276" s="7"/>
      <c r="V2276" s="7"/>
      <c r="X2276" s="7"/>
    </row>
    <row r="2277" spans="2:24">
      <c r="B2277" s="7"/>
      <c r="D2277" s="7"/>
      <c r="F2277" s="7"/>
      <c r="H2277" s="7"/>
      <c r="J2277" s="7"/>
      <c r="L2277" s="7"/>
      <c r="N2277" s="7"/>
      <c r="P2277" s="7"/>
      <c r="R2277" s="7"/>
      <c r="T2277" s="7"/>
      <c r="V2277" s="7"/>
      <c r="X2277" s="7"/>
    </row>
    <row r="2278" spans="2:24">
      <c r="B2278" s="7"/>
      <c r="D2278" s="7"/>
      <c r="F2278" s="7"/>
      <c r="H2278" s="7"/>
      <c r="J2278" s="7"/>
      <c r="L2278" s="7"/>
      <c r="N2278" s="7"/>
      <c r="P2278" s="7"/>
      <c r="R2278" s="7"/>
      <c r="T2278" s="7"/>
      <c r="V2278" s="7"/>
      <c r="X2278" s="7"/>
    </row>
    <row r="2279" spans="2:24">
      <c r="B2279" s="7"/>
      <c r="D2279" s="7"/>
      <c r="F2279" s="7"/>
      <c r="H2279" s="7"/>
      <c r="J2279" s="7"/>
      <c r="L2279" s="7"/>
      <c r="N2279" s="7"/>
      <c r="P2279" s="7"/>
      <c r="R2279" s="7"/>
      <c r="T2279" s="7"/>
      <c r="V2279" s="7"/>
      <c r="X2279" s="7"/>
    </row>
    <row r="2280" spans="2:24">
      <c r="B2280" s="7"/>
      <c r="D2280" s="7"/>
      <c r="F2280" s="7"/>
      <c r="H2280" s="7"/>
      <c r="J2280" s="7"/>
      <c r="L2280" s="7"/>
      <c r="N2280" s="7"/>
      <c r="P2280" s="7"/>
      <c r="R2280" s="7"/>
      <c r="T2280" s="7"/>
      <c r="V2280" s="7"/>
      <c r="X2280" s="7"/>
    </row>
    <row r="2281" spans="2:24">
      <c r="B2281" s="7"/>
      <c r="D2281" s="7"/>
      <c r="F2281" s="7"/>
      <c r="H2281" s="7"/>
      <c r="J2281" s="7"/>
      <c r="L2281" s="7"/>
      <c r="N2281" s="7"/>
      <c r="P2281" s="7"/>
      <c r="R2281" s="7"/>
      <c r="T2281" s="7"/>
      <c r="V2281" s="7"/>
      <c r="X2281" s="7"/>
    </row>
    <row r="2282" spans="2:24">
      <c r="B2282" s="7"/>
      <c r="D2282" s="7"/>
      <c r="F2282" s="7"/>
      <c r="H2282" s="7"/>
      <c r="J2282" s="7"/>
      <c r="L2282" s="7"/>
      <c r="N2282" s="7"/>
      <c r="P2282" s="7"/>
      <c r="R2282" s="7"/>
      <c r="T2282" s="7"/>
      <c r="V2282" s="7"/>
      <c r="X2282" s="7"/>
    </row>
    <row r="2283" spans="2:24">
      <c r="B2283" s="7"/>
      <c r="D2283" s="7"/>
      <c r="F2283" s="7"/>
      <c r="H2283" s="7"/>
      <c r="J2283" s="7"/>
      <c r="L2283" s="7"/>
      <c r="N2283" s="7"/>
      <c r="P2283" s="7"/>
      <c r="R2283" s="7"/>
      <c r="T2283" s="7"/>
      <c r="V2283" s="7"/>
      <c r="X2283" s="7"/>
    </row>
    <row r="2284" spans="2:24">
      <c r="B2284" s="7"/>
      <c r="D2284" s="7"/>
      <c r="F2284" s="7"/>
      <c r="H2284" s="7"/>
      <c r="J2284" s="7"/>
      <c r="L2284" s="7"/>
      <c r="N2284" s="7"/>
      <c r="P2284" s="7"/>
      <c r="R2284" s="7"/>
      <c r="T2284" s="7"/>
      <c r="V2284" s="7"/>
      <c r="X2284" s="7"/>
    </row>
    <row r="2285" spans="2:24">
      <c r="B2285" s="7"/>
      <c r="D2285" s="7"/>
      <c r="F2285" s="7"/>
      <c r="H2285" s="7"/>
      <c r="J2285" s="7"/>
      <c r="L2285" s="7"/>
      <c r="N2285" s="7"/>
      <c r="P2285" s="7"/>
      <c r="R2285" s="7"/>
      <c r="T2285" s="7"/>
      <c r="V2285" s="7"/>
      <c r="X2285" s="7"/>
    </row>
    <row r="2286" spans="2:24">
      <c r="B2286" s="7"/>
      <c r="D2286" s="7"/>
      <c r="F2286" s="7"/>
      <c r="H2286" s="7"/>
      <c r="J2286" s="7"/>
      <c r="L2286" s="7"/>
      <c r="N2286" s="7"/>
      <c r="P2286" s="7"/>
      <c r="R2286" s="7"/>
      <c r="T2286" s="7"/>
      <c r="V2286" s="7"/>
      <c r="X2286" s="7"/>
    </row>
    <row r="2287" spans="2:24">
      <c r="B2287" s="7"/>
      <c r="D2287" s="7"/>
      <c r="F2287" s="7"/>
      <c r="H2287" s="7"/>
      <c r="J2287" s="7"/>
      <c r="L2287" s="7"/>
      <c r="N2287" s="7"/>
      <c r="P2287" s="7"/>
      <c r="R2287" s="7"/>
      <c r="T2287" s="7"/>
      <c r="V2287" s="7"/>
      <c r="X2287" s="7"/>
    </row>
    <row r="2288" spans="2:24">
      <c r="B2288" s="7"/>
      <c r="D2288" s="7"/>
      <c r="F2288" s="7"/>
      <c r="H2288" s="7"/>
      <c r="J2288" s="7"/>
      <c r="L2288" s="7"/>
      <c r="N2288" s="7"/>
      <c r="P2288" s="7"/>
      <c r="R2288" s="7"/>
      <c r="T2288" s="7"/>
      <c r="V2288" s="7"/>
      <c r="X2288" s="7"/>
    </row>
    <row r="2289" spans="2:24">
      <c r="B2289" s="7"/>
      <c r="D2289" s="7"/>
      <c r="F2289" s="7"/>
      <c r="H2289" s="7"/>
      <c r="J2289" s="7"/>
      <c r="L2289" s="7"/>
      <c r="N2289" s="7"/>
      <c r="P2289" s="7"/>
      <c r="R2289" s="7"/>
      <c r="T2289" s="7"/>
      <c r="V2289" s="7"/>
      <c r="X2289" s="7"/>
    </row>
    <row r="2290" spans="2:24">
      <c r="B2290" s="7"/>
      <c r="D2290" s="7"/>
      <c r="F2290" s="7"/>
      <c r="H2290" s="7"/>
      <c r="J2290" s="7"/>
      <c r="L2290" s="7"/>
      <c r="N2290" s="7"/>
      <c r="P2290" s="7"/>
      <c r="R2290" s="7"/>
      <c r="T2290" s="7"/>
      <c r="V2290" s="7"/>
      <c r="X2290" s="7"/>
    </row>
    <row r="2291" spans="2:24">
      <c r="B2291" s="7"/>
      <c r="D2291" s="7"/>
      <c r="F2291" s="7"/>
      <c r="H2291" s="7"/>
      <c r="J2291" s="7"/>
      <c r="L2291" s="7"/>
      <c r="N2291" s="7"/>
      <c r="P2291" s="7"/>
      <c r="R2291" s="7"/>
      <c r="T2291" s="7"/>
      <c r="V2291" s="7"/>
      <c r="X2291" s="7"/>
    </row>
    <row r="2292" spans="2:24">
      <c r="B2292" s="7"/>
      <c r="D2292" s="7"/>
      <c r="F2292" s="7"/>
      <c r="H2292" s="7"/>
      <c r="J2292" s="7"/>
      <c r="L2292" s="7"/>
      <c r="N2292" s="7"/>
      <c r="P2292" s="7"/>
      <c r="R2292" s="7"/>
      <c r="T2292" s="7"/>
      <c r="V2292" s="7"/>
      <c r="X2292" s="7"/>
    </row>
    <row r="2293" spans="2:24">
      <c r="B2293" s="7"/>
      <c r="D2293" s="7"/>
      <c r="F2293" s="7"/>
      <c r="H2293" s="7"/>
      <c r="J2293" s="7"/>
      <c r="L2293" s="7"/>
      <c r="N2293" s="7"/>
      <c r="P2293" s="7"/>
      <c r="R2293" s="7"/>
      <c r="T2293" s="7"/>
      <c r="V2293" s="7"/>
      <c r="X2293" s="7"/>
    </row>
    <row r="2294" spans="2:24">
      <c r="B2294" s="7"/>
      <c r="D2294" s="7"/>
      <c r="F2294" s="7"/>
      <c r="H2294" s="7"/>
      <c r="J2294" s="7"/>
      <c r="L2294" s="7"/>
      <c r="N2294" s="7"/>
      <c r="P2294" s="7"/>
      <c r="R2294" s="7"/>
      <c r="T2294" s="7"/>
      <c r="V2294" s="7"/>
      <c r="X2294" s="7"/>
    </row>
    <row r="2295" spans="2:24">
      <c r="B2295" s="7"/>
      <c r="D2295" s="7"/>
      <c r="F2295" s="7"/>
      <c r="H2295" s="7"/>
      <c r="J2295" s="7"/>
      <c r="L2295" s="7"/>
      <c r="N2295" s="7"/>
      <c r="P2295" s="7"/>
      <c r="R2295" s="7"/>
      <c r="T2295" s="7"/>
      <c r="V2295" s="7"/>
      <c r="X2295" s="7"/>
    </row>
    <row r="2296" spans="2:24">
      <c r="B2296" s="7"/>
      <c r="D2296" s="7"/>
      <c r="F2296" s="7"/>
      <c r="H2296" s="7"/>
      <c r="J2296" s="7"/>
      <c r="L2296" s="7"/>
      <c r="N2296" s="7"/>
      <c r="P2296" s="7"/>
      <c r="R2296" s="7"/>
      <c r="T2296" s="7"/>
      <c r="V2296" s="7"/>
      <c r="X2296" s="7"/>
    </row>
    <row r="2297" spans="2:24">
      <c r="B2297" s="7"/>
      <c r="D2297" s="7"/>
      <c r="F2297" s="7"/>
      <c r="H2297" s="7"/>
      <c r="J2297" s="7"/>
      <c r="L2297" s="7"/>
      <c r="N2297" s="7"/>
      <c r="P2297" s="7"/>
      <c r="R2297" s="7"/>
      <c r="T2297" s="7"/>
      <c r="V2297" s="7"/>
      <c r="X2297" s="7"/>
    </row>
    <row r="2298" spans="2:24">
      <c r="B2298" s="7"/>
      <c r="D2298" s="7"/>
      <c r="F2298" s="7"/>
      <c r="H2298" s="7"/>
      <c r="J2298" s="7"/>
      <c r="L2298" s="7"/>
      <c r="N2298" s="7"/>
      <c r="P2298" s="7"/>
      <c r="R2298" s="7"/>
      <c r="T2298" s="7"/>
      <c r="V2298" s="7"/>
      <c r="X2298" s="7"/>
    </row>
    <row r="2299" spans="2:24">
      <c r="B2299" s="7"/>
      <c r="D2299" s="7"/>
      <c r="F2299" s="7"/>
      <c r="H2299" s="7"/>
      <c r="J2299" s="7"/>
      <c r="L2299" s="7"/>
      <c r="N2299" s="7"/>
      <c r="P2299" s="7"/>
      <c r="R2299" s="7"/>
      <c r="T2299" s="7"/>
      <c r="V2299" s="7"/>
      <c r="X2299" s="7"/>
    </row>
    <row r="2300" spans="2:24">
      <c r="B2300" s="7"/>
      <c r="D2300" s="7"/>
      <c r="F2300" s="7"/>
      <c r="H2300" s="7"/>
      <c r="J2300" s="7"/>
      <c r="L2300" s="7"/>
      <c r="N2300" s="7"/>
      <c r="P2300" s="7"/>
      <c r="R2300" s="7"/>
      <c r="T2300" s="7"/>
      <c r="V2300" s="7"/>
      <c r="X2300" s="7"/>
    </row>
    <row r="2301" spans="2:24">
      <c r="B2301" s="7"/>
      <c r="D2301" s="7"/>
      <c r="F2301" s="7"/>
      <c r="H2301" s="7"/>
      <c r="J2301" s="7"/>
      <c r="L2301" s="7"/>
      <c r="N2301" s="7"/>
      <c r="P2301" s="7"/>
      <c r="R2301" s="7"/>
      <c r="T2301" s="7"/>
      <c r="V2301" s="7"/>
      <c r="X2301" s="7"/>
    </row>
    <row r="2302" spans="2:24">
      <c r="B2302" s="7"/>
      <c r="D2302" s="7"/>
      <c r="F2302" s="7"/>
      <c r="H2302" s="7"/>
      <c r="J2302" s="7"/>
      <c r="L2302" s="7"/>
      <c r="N2302" s="7"/>
      <c r="P2302" s="7"/>
      <c r="R2302" s="7"/>
      <c r="T2302" s="7"/>
      <c r="V2302" s="7"/>
      <c r="X2302" s="7"/>
    </row>
    <row r="2303" spans="2:24">
      <c r="B2303" s="7"/>
      <c r="D2303" s="7"/>
      <c r="F2303" s="7"/>
      <c r="H2303" s="7"/>
      <c r="J2303" s="7"/>
      <c r="L2303" s="7"/>
      <c r="N2303" s="7"/>
      <c r="P2303" s="7"/>
      <c r="R2303" s="7"/>
      <c r="T2303" s="7"/>
      <c r="V2303" s="7"/>
      <c r="X2303" s="7"/>
    </row>
    <row r="2304" spans="2:24">
      <c r="B2304" s="7"/>
      <c r="D2304" s="7"/>
      <c r="F2304" s="7"/>
      <c r="H2304" s="7"/>
      <c r="J2304" s="7"/>
      <c r="L2304" s="7"/>
      <c r="N2304" s="7"/>
      <c r="P2304" s="7"/>
      <c r="R2304" s="7"/>
      <c r="T2304" s="7"/>
      <c r="V2304" s="7"/>
      <c r="X2304" s="7"/>
    </row>
    <row r="2305" spans="2:24">
      <c r="B2305" s="7"/>
      <c r="D2305" s="7"/>
      <c r="F2305" s="7"/>
      <c r="H2305" s="7"/>
      <c r="J2305" s="7"/>
      <c r="L2305" s="7"/>
      <c r="N2305" s="7"/>
      <c r="P2305" s="7"/>
      <c r="R2305" s="7"/>
      <c r="T2305" s="7"/>
      <c r="V2305" s="7"/>
      <c r="X2305" s="7"/>
    </row>
    <row r="2306" spans="2:24">
      <c r="B2306" s="7"/>
      <c r="D2306" s="7"/>
      <c r="F2306" s="7"/>
      <c r="H2306" s="7"/>
      <c r="J2306" s="7"/>
      <c r="L2306" s="7"/>
      <c r="N2306" s="7"/>
      <c r="P2306" s="7"/>
      <c r="R2306" s="7"/>
      <c r="T2306" s="7"/>
      <c r="V2306" s="7"/>
      <c r="X2306" s="7"/>
    </row>
    <row r="2307" spans="2:24">
      <c r="B2307" s="7"/>
      <c r="D2307" s="7"/>
      <c r="F2307" s="7"/>
      <c r="H2307" s="7"/>
      <c r="J2307" s="7"/>
      <c r="L2307" s="7"/>
      <c r="N2307" s="7"/>
      <c r="P2307" s="7"/>
      <c r="R2307" s="7"/>
      <c r="T2307" s="7"/>
      <c r="V2307" s="7"/>
      <c r="X2307" s="7"/>
    </row>
    <row r="2308" spans="2:24">
      <c r="B2308" s="7"/>
      <c r="D2308" s="7"/>
      <c r="F2308" s="7"/>
      <c r="H2308" s="7"/>
      <c r="J2308" s="7"/>
      <c r="L2308" s="7"/>
      <c r="N2308" s="7"/>
      <c r="P2308" s="7"/>
      <c r="R2308" s="7"/>
      <c r="T2308" s="7"/>
      <c r="V2308" s="7"/>
      <c r="X2308" s="7"/>
    </row>
    <row r="2309" spans="2:24">
      <c r="B2309" s="7"/>
      <c r="D2309" s="7"/>
      <c r="F2309" s="7"/>
      <c r="H2309" s="7"/>
      <c r="J2309" s="7"/>
      <c r="L2309" s="7"/>
      <c r="N2309" s="7"/>
      <c r="P2309" s="7"/>
      <c r="R2309" s="7"/>
      <c r="T2309" s="7"/>
      <c r="V2309" s="7"/>
      <c r="X2309" s="7"/>
    </row>
    <row r="2310" spans="2:24">
      <c r="B2310" s="7"/>
      <c r="D2310" s="7"/>
      <c r="F2310" s="7"/>
      <c r="H2310" s="7"/>
      <c r="J2310" s="7"/>
      <c r="L2310" s="7"/>
      <c r="N2310" s="7"/>
      <c r="P2310" s="7"/>
      <c r="R2310" s="7"/>
      <c r="T2310" s="7"/>
      <c r="V2310" s="7"/>
      <c r="X2310" s="7"/>
    </row>
    <row r="2311" spans="2:24">
      <c r="B2311" s="7"/>
      <c r="D2311" s="7"/>
      <c r="F2311" s="7"/>
      <c r="H2311" s="7"/>
      <c r="J2311" s="7"/>
      <c r="L2311" s="7"/>
      <c r="N2311" s="7"/>
      <c r="P2311" s="7"/>
      <c r="R2311" s="7"/>
      <c r="T2311" s="7"/>
      <c r="V2311" s="7"/>
      <c r="X2311" s="7"/>
    </row>
    <row r="2312" spans="2:24">
      <c r="B2312" s="7"/>
      <c r="D2312" s="7"/>
      <c r="F2312" s="7"/>
      <c r="H2312" s="7"/>
      <c r="J2312" s="7"/>
      <c r="L2312" s="7"/>
      <c r="N2312" s="7"/>
      <c r="P2312" s="7"/>
      <c r="R2312" s="7"/>
      <c r="T2312" s="7"/>
      <c r="V2312" s="7"/>
      <c r="X2312" s="7"/>
    </row>
    <row r="2313" spans="2:24">
      <c r="B2313" s="7"/>
      <c r="D2313" s="7"/>
      <c r="F2313" s="7"/>
      <c r="H2313" s="7"/>
      <c r="J2313" s="7"/>
      <c r="L2313" s="7"/>
      <c r="N2313" s="7"/>
      <c r="P2313" s="7"/>
      <c r="R2313" s="7"/>
      <c r="T2313" s="7"/>
      <c r="V2313" s="7"/>
      <c r="X2313" s="7"/>
    </row>
    <row r="2314" spans="2:24">
      <c r="B2314" s="7"/>
      <c r="D2314" s="7"/>
      <c r="F2314" s="7"/>
      <c r="H2314" s="7"/>
      <c r="J2314" s="7"/>
      <c r="L2314" s="7"/>
      <c r="N2314" s="7"/>
      <c r="P2314" s="7"/>
      <c r="R2314" s="7"/>
      <c r="T2314" s="7"/>
      <c r="V2314" s="7"/>
      <c r="X2314" s="7"/>
    </row>
    <row r="2315" spans="2:24">
      <c r="B2315" s="7"/>
      <c r="D2315" s="7"/>
      <c r="F2315" s="7"/>
      <c r="H2315" s="7"/>
      <c r="J2315" s="7"/>
      <c r="L2315" s="7"/>
      <c r="N2315" s="7"/>
      <c r="P2315" s="7"/>
      <c r="R2315" s="7"/>
      <c r="T2315" s="7"/>
      <c r="V2315" s="7"/>
      <c r="X2315" s="7"/>
    </row>
    <row r="2316" spans="2:24">
      <c r="B2316" s="7"/>
      <c r="D2316" s="7"/>
      <c r="F2316" s="7"/>
      <c r="H2316" s="7"/>
      <c r="J2316" s="7"/>
      <c r="L2316" s="7"/>
      <c r="N2316" s="7"/>
      <c r="P2316" s="7"/>
      <c r="R2316" s="7"/>
      <c r="T2316" s="7"/>
      <c r="V2316" s="7"/>
      <c r="X2316" s="7"/>
    </row>
    <row r="2317" spans="2:24">
      <c r="B2317" s="7"/>
      <c r="D2317" s="7"/>
      <c r="F2317" s="7"/>
      <c r="H2317" s="7"/>
      <c r="J2317" s="7"/>
      <c r="L2317" s="7"/>
      <c r="N2317" s="7"/>
      <c r="P2317" s="7"/>
      <c r="R2317" s="7"/>
      <c r="T2317" s="7"/>
      <c r="V2317" s="7"/>
      <c r="X2317" s="7"/>
    </row>
    <row r="2318" spans="2:24">
      <c r="B2318" s="7"/>
      <c r="D2318" s="7"/>
      <c r="F2318" s="7"/>
      <c r="H2318" s="7"/>
      <c r="J2318" s="7"/>
      <c r="L2318" s="7"/>
      <c r="N2318" s="7"/>
      <c r="P2318" s="7"/>
      <c r="R2318" s="7"/>
      <c r="T2318" s="7"/>
      <c r="V2318" s="7"/>
      <c r="X2318" s="7"/>
    </row>
    <row r="2319" spans="2:24">
      <c r="B2319" s="7"/>
      <c r="D2319" s="7"/>
      <c r="F2319" s="7"/>
      <c r="H2319" s="7"/>
      <c r="J2319" s="7"/>
      <c r="L2319" s="7"/>
      <c r="N2319" s="7"/>
      <c r="P2319" s="7"/>
      <c r="R2319" s="7"/>
      <c r="T2319" s="7"/>
      <c r="V2319" s="7"/>
      <c r="X2319" s="7"/>
    </row>
    <row r="2320" spans="2:24">
      <c r="B2320" s="7"/>
      <c r="D2320" s="7"/>
      <c r="F2320" s="7"/>
      <c r="H2320" s="7"/>
      <c r="J2320" s="7"/>
      <c r="L2320" s="7"/>
      <c r="N2320" s="7"/>
      <c r="P2320" s="7"/>
      <c r="R2320" s="7"/>
      <c r="T2320" s="7"/>
      <c r="V2320" s="7"/>
      <c r="X2320" s="7"/>
    </row>
    <row r="2321" spans="2:24">
      <c r="B2321" s="7"/>
      <c r="D2321" s="7"/>
      <c r="F2321" s="7"/>
      <c r="H2321" s="7"/>
      <c r="J2321" s="7"/>
      <c r="L2321" s="7"/>
      <c r="N2321" s="7"/>
      <c r="P2321" s="7"/>
      <c r="R2321" s="7"/>
      <c r="T2321" s="7"/>
      <c r="V2321" s="7"/>
      <c r="X2321" s="7"/>
    </row>
    <row r="2322" spans="2:24">
      <c r="B2322" s="7"/>
      <c r="D2322" s="7"/>
      <c r="F2322" s="7"/>
      <c r="H2322" s="7"/>
      <c r="J2322" s="7"/>
      <c r="L2322" s="7"/>
      <c r="N2322" s="7"/>
      <c r="P2322" s="7"/>
      <c r="R2322" s="7"/>
      <c r="T2322" s="7"/>
      <c r="V2322" s="7"/>
      <c r="X2322" s="7"/>
    </row>
    <row r="2323" spans="2:24">
      <c r="B2323" s="7"/>
      <c r="D2323" s="7"/>
      <c r="F2323" s="7"/>
      <c r="H2323" s="7"/>
      <c r="J2323" s="7"/>
      <c r="L2323" s="7"/>
      <c r="N2323" s="7"/>
      <c r="P2323" s="7"/>
      <c r="R2323" s="7"/>
      <c r="T2323" s="7"/>
      <c r="V2323" s="7"/>
      <c r="X2323" s="7"/>
    </row>
    <row r="2324" spans="2:24">
      <c r="B2324" s="7"/>
      <c r="D2324" s="7"/>
      <c r="F2324" s="7"/>
      <c r="H2324" s="7"/>
      <c r="J2324" s="7"/>
      <c r="L2324" s="7"/>
      <c r="N2324" s="7"/>
      <c r="P2324" s="7"/>
      <c r="R2324" s="7"/>
      <c r="T2324" s="7"/>
      <c r="V2324" s="7"/>
      <c r="X2324" s="7"/>
    </row>
    <row r="2325" spans="2:24">
      <c r="B2325" s="7"/>
      <c r="D2325" s="7"/>
      <c r="F2325" s="7"/>
      <c r="H2325" s="7"/>
      <c r="J2325" s="7"/>
      <c r="L2325" s="7"/>
      <c r="N2325" s="7"/>
      <c r="P2325" s="7"/>
      <c r="R2325" s="7"/>
      <c r="T2325" s="7"/>
      <c r="V2325" s="7"/>
      <c r="X2325" s="7"/>
    </row>
    <row r="2326" spans="2:24">
      <c r="B2326" s="7"/>
      <c r="D2326" s="7"/>
      <c r="F2326" s="7"/>
      <c r="H2326" s="7"/>
      <c r="J2326" s="7"/>
      <c r="L2326" s="7"/>
      <c r="N2326" s="7"/>
      <c r="P2326" s="7"/>
      <c r="R2326" s="7"/>
      <c r="T2326" s="7"/>
      <c r="V2326" s="7"/>
      <c r="X2326" s="7"/>
    </row>
    <row r="2327" spans="2:24">
      <c r="B2327" s="7"/>
      <c r="D2327" s="7"/>
      <c r="F2327" s="7"/>
      <c r="H2327" s="7"/>
      <c r="J2327" s="7"/>
      <c r="L2327" s="7"/>
      <c r="N2327" s="7"/>
      <c r="P2327" s="7"/>
      <c r="R2327" s="7"/>
      <c r="T2327" s="7"/>
      <c r="V2327" s="7"/>
      <c r="X2327" s="7"/>
    </row>
    <row r="2328" spans="2:24">
      <c r="B2328" s="7"/>
      <c r="D2328" s="7"/>
      <c r="F2328" s="7"/>
      <c r="H2328" s="7"/>
      <c r="J2328" s="7"/>
      <c r="L2328" s="7"/>
      <c r="N2328" s="7"/>
      <c r="P2328" s="7"/>
      <c r="R2328" s="7"/>
      <c r="T2328" s="7"/>
      <c r="V2328" s="7"/>
      <c r="X2328" s="7"/>
    </row>
    <row r="2329" spans="2:24">
      <c r="B2329" s="7"/>
      <c r="D2329" s="7"/>
      <c r="F2329" s="7"/>
      <c r="H2329" s="7"/>
      <c r="J2329" s="7"/>
      <c r="L2329" s="7"/>
      <c r="N2329" s="7"/>
      <c r="P2329" s="7"/>
      <c r="R2329" s="7"/>
      <c r="T2329" s="7"/>
      <c r="V2329" s="7"/>
      <c r="X2329" s="7"/>
    </row>
    <row r="2330" spans="2:24">
      <c r="B2330" s="7"/>
      <c r="D2330" s="7"/>
      <c r="F2330" s="7"/>
      <c r="H2330" s="7"/>
      <c r="J2330" s="7"/>
      <c r="L2330" s="7"/>
      <c r="N2330" s="7"/>
      <c r="P2330" s="7"/>
      <c r="R2330" s="7"/>
      <c r="T2330" s="7"/>
      <c r="V2330" s="7"/>
      <c r="X2330" s="7"/>
    </row>
    <row r="2331" spans="2:24">
      <c r="B2331" s="7"/>
      <c r="D2331" s="7"/>
      <c r="F2331" s="7"/>
      <c r="H2331" s="7"/>
      <c r="J2331" s="7"/>
      <c r="L2331" s="7"/>
      <c r="N2331" s="7"/>
      <c r="P2331" s="7"/>
      <c r="R2331" s="7"/>
      <c r="T2331" s="7"/>
      <c r="V2331" s="7"/>
      <c r="X2331" s="7"/>
    </row>
    <row r="2332" spans="2:24">
      <c r="B2332" s="7"/>
      <c r="D2332" s="7"/>
      <c r="F2332" s="7"/>
      <c r="H2332" s="7"/>
      <c r="J2332" s="7"/>
      <c r="L2332" s="7"/>
      <c r="N2332" s="7"/>
      <c r="P2332" s="7"/>
      <c r="R2332" s="7"/>
      <c r="T2332" s="7"/>
      <c r="V2332" s="7"/>
      <c r="X2332" s="7"/>
    </row>
    <row r="2333" spans="2:24">
      <c r="B2333" s="7"/>
      <c r="D2333" s="7"/>
      <c r="F2333" s="7"/>
      <c r="H2333" s="7"/>
      <c r="J2333" s="7"/>
      <c r="L2333" s="7"/>
      <c r="N2333" s="7"/>
      <c r="P2333" s="7"/>
      <c r="R2333" s="7"/>
      <c r="T2333" s="7"/>
      <c r="V2333" s="7"/>
      <c r="X2333" s="7"/>
    </row>
    <row r="2334" spans="2:24">
      <c r="B2334" s="7"/>
      <c r="D2334" s="7"/>
      <c r="F2334" s="7"/>
      <c r="H2334" s="7"/>
      <c r="J2334" s="7"/>
      <c r="L2334" s="7"/>
      <c r="N2334" s="7"/>
      <c r="P2334" s="7"/>
      <c r="R2334" s="7"/>
      <c r="T2334" s="7"/>
      <c r="V2334" s="7"/>
      <c r="X2334" s="7"/>
    </row>
    <row r="2335" spans="2:24">
      <c r="B2335" s="7"/>
      <c r="D2335" s="7"/>
      <c r="F2335" s="7"/>
      <c r="H2335" s="7"/>
      <c r="J2335" s="7"/>
      <c r="L2335" s="7"/>
      <c r="N2335" s="7"/>
      <c r="P2335" s="7"/>
      <c r="R2335" s="7"/>
      <c r="T2335" s="7"/>
      <c r="V2335" s="7"/>
      <c r="X2335" s="7"/>
    </row>
    <row r="2336" spans="2:24">
      <c r="B2336" s="7"/>
      <c r="D2336" s="7"/>
      <c r="F2336" s="7"/>
      <c r="H2336" s="7"/>
      <c r="J2336" s="7"/>
      <c r="L2336" s="7"/>
      <c r="N2336" s="7"/>
      <c r="P2336" s="7"/>
      <c r="R2336" s="7"/>
      <c r="T2336" s="7"/>
      <c r="V2336" s="7"/>
      <c r="X2336" s="7"/>
    </row>
    <row r="2337" spans="2:24">
      <c r="B2337" s="7"/>
      <c r="D2337" s="7"/>
      <c r="F2337" s="7"/>
      <c r="H2337" s="7"/>
      <c r="J2337" s="7"/>
      <c r="L2337" s="7"/>
      <c r="N2337" s="7"/>
      <c r="P2337" s="7"/>
      <c r="R2337" s="7"/>
      <c r="T2337" s="7"/>
      <c r="V2337" s="7"/>
      <c r="X2337" s="7"/>
    </row>
    <row r="2338" spans="2:24">
      <c r="B2338" s="7"/>
      <c r="D2338" s="7"/>
      <c r="F2338" s="7"/>
      <c r="H2338" s="7"/>
      <c r="J2338" s="7"/>
      <c r="L2338" s="7"/>
      <c r="N2338" s="7"/>
      <c r="P2338" s="7"/>
      <c r="R2338" s="7"/>
      <c r="T2338" s="7"/>
      <c r="V2338" s="7"/>
      <c r="X2338" s="7"/>
    </row>
    <row r="2339" spans="2:24">
      <c r="B2339" s="7"/>
      <c r="D2339" s="7"/>
      <c r="F2339" s="7"/>
      <c r="H2339" s="7"/>
      <c r="J2339" s="7"/>
      <c r="L2339" s="7"/>
      <c r="N2339" s="7"/>
      <c r="P2339" s="7"/>
      <c r="R2339" s="7"/>
      <c r="T2339" s="7"/>
      <c r="V2339" s="7"/>
      <c r="X2339" s="7"/>
    </row>
    <row r="2340" spans="2:24">
      <c r="B2340" s="7"/>
      <c r="D2340" s="7"/>
      <c r="F2340" s="7"/>
      <c r="H2340" s="7"/>
      <c r="J2340" s="7"/>
      <c r="L2340" s="7"/>
      <c r="N2340" s="7"/>
      <c r="P2340" s="7"/>
      <c r="R2340" s="7"/>
      <c r="T2340" s="7"/>
      <c r="V2340" s="7"/>
      <c r="X2340" s="7"/>
    </row>
    <row r="2341" spans="2:24">
      <c r="B2341" s="7"/>
      <c r="D2341" s="7"/>
      <c r="F2341" s="7"/>
      <c r="H2341" s="7"/>
      <c r="J2341" s="7"/>
      <c r="L2341" s="7"/>
      <c r="N2341" s="7"/>
      <c r="P2341" s="7"/>
      <c r="R2341" s="7"/>
      <c r="T2341" s="7"/>
      <c r="V2341" s="7"/>
      <c r="X2341" s="7"/>
    </row>
    <row r="2342" spans="2:24">
      <c r="B2342" s="7"/>
      <c r="D2342" s="7"/>
      <c r="F2342" s="7"/>
      <c r="H2342" s="7"/>
      <c r="J2342" s="7"/>
      <c r="L2342" s="7"/>
      <c r="N2342" s="7"/>
      <c r="P2342" s="7"/>
      <c r="R2342" s="7"/>
      <c r="T2342" s="7"/>
      <c r="V2342" s="7"/>
      <c r="X2342" s="7"/>
    </row>
    <row r="2343" spans="2:24">
      <c r="B2343" s="7"/>
      <c r="D2343" s="7"/>
      <c r="F2343" s="7"/>
      <c r="H2343" s="7"/>
      <c r="J2343" s="7"/>
      <c r="L2343" s="7"/>
      <c r="N2343" s="7"/>
      <c r="P2343" s="7"/>
      <c r="R2343" s="7"/>
      <c r="T2343" s="7"/>
      <c r="V2343" s="7"/>
      <c r="X2343" s="7"/>
    </row>
    <row r="2344" spans="2:24">
      <c r="B2344" s="7"/>
      <c r="D2344" s="7"/>
      <c r="F2344" s="7"/>
      <c r="H2344" s="7"/>
      <c r="J2344" s="7"/>
      <c r="L2344" s="7"/>
      <c r="N2344" s="7"/>
      <c r="P2344" s="7"/>
      <c r="R2344" s="7"/>
      <c r="T2344" s="7"/>
      <c r="V2344" s="7"/>
      <c r="X2344" s="7"/>
    </row>
    <row r="2345" spans="2:24">
      <c r="B2345" s="7"/>
      <c r="D2345" s="7"/>
      <c r="F2345" s="7"/>
      <c r="H2345" s="7"/>
      <c r="J2345" s="7"/>
      <c r="L2345" s="7"/>
      <c r="N2345" s="7"/>
      <c r="P2345" s="7"/>
      <c r="R2345" s="7"/>
      <c r="T2345" s="7"/>
      <c r="V2345" s="7"/>
      <c r="X2345" s="7"/>
    </row>
    <row r="2346" spans="2:24">
      <c r="B2346" s="7"/>
      <c r="D2346" s="7"/>
      <c r="F2346" s="7"/>
      <c r="H2346" s="7"/>
      <c r="J2346" s="7"/>
      <c r="L2346" s="7"/>
      <c r="N2346" s="7"/>
      <c r="P2346" s="7"/>
      <c r="R2346" s="7"/>
      <c r="T2346" s="7"/>
      <c r="V2346" s="7"/>
      <c r="X2346" s="7"/>
    </row>
    <row r="2347" spans="2:24">
      <c r="B2347" s="7"/>
      <c r="D2347" s="7"/>
      <c r="F2347" s="7"/>
      <c r="H2347" s="7"/>
      <c r="J2347" s="7"/>
      <c r="L2347" s="7"/>
      <c r="N2347" s="7"/>
      <c r="P2347" s="7"/>
      <c r="R2347" s="7"/>
      <c r="T2347" s="7"/>
      <c r="V2347" s="7"/>
      <c r="X2347" s="7"/>
    </row>
    <row r="2348" spans="2:24">
      <c r="B2348" s="7"/>
      <c r="D2348" s="7"/>
      <c r="F2348" s="7"/>
      <c r="H2348" s="7"/>
      <c r="J2348" s="7"/>
      <c r="L2348" s="7"/>
      <c r="N2348" s="7"/>
      <c r="P2348" s="7"/>
      <c r="R2348" s="7"/>
      <c r="T2348" s="7"/>
      <c r="V2348" s="7"/>
      <c r="X2348" s="7"/>
    </row>
    <row r="2349" spans="2:24">
      <c r="B2349" s="7"/>
      <c r="D2349" s="7"/>
      <c r="F2349" s="7"/>
      <c r="H2349" s="7"/>
      <c r="J2349" s="7"/>
      <c r="L2349" s="7"/>
      <c r="N2349" s="7"/>
      <c r="P2349" s="7"/>
      <c r="R2349" s="7"/>
      <c r="T2349" s="7"/>
      <c r="V2349" s="7"/>
      <c r="X2349" s="7"/>
    </row>
    <row r="2350" spans="2:24">
      <c r="B2350" s="7"/>
      <c r="D2350" s="7"/>
      <c r="F2350" s="7"/>
      <c r="H2350" s="7"/>
      <c r="J2350" s="7"/>
      <c r="L2350" s="7"/>
      <c r="N2350" s="7"/>
      <c r="P2350" s="7"/>
      <c r="R2350" s="7"/>
      <c r="T2350" s="7"/>
      <c r="V2350" s="7"/>
      <c r="X2350" s="7"/>
    </row>
    <row r="2351" spans="2:24">
      <c r="B2351" s="7"/>
      <c r="D2351" s="7"/>
      <c r="F2351" s="7"/>
      <c r="H2351" s="7"/>
      <c r="J2351" s="7"/>
      <c r="L2351" s="7"/>
      <c r="N2351" s="7"/>
      <c r="P2351" s="7"/>
      <c r="R2351" s="7"/>
      <c r="T2351" s="7"/>
      <c r="V2351" s="7"/>
      <c r="X2351" s="7"/>
    </row>
    <row r="2352" spans="2:24">
      <c r="B2352" s="7"/>
      <c r="D2352" s="7"/>
      <c r="F2352" s="7"/>
      <c r="H2352" s="7"/>
      <c r="J2352" s="7"/>
      <c r="L2352" s="7"/>
      <c r="N2352" s="7"/>
      <c r="P2352" s="7"/>
      <c r="R2352" s="7"/>
      <c r="T2352" s="7"/>
      <c r="V2352" s="7"/>
      <c r="X2352" s="7"/>
    </row>
    <row r="2353" spans="2:24">
      <c r="B2353" s="7"/>
      <c r="D2353" s="7"/>
      <c r="F2353" s="7"/>
      <c r="H2353" s="7"/>
      <c r="J2353" s="7"/>
      <c r="L2353" s="7"/>
      <c r="N2353" s="7"/>
      <c r="P2353" s="7"/>
      <c r="R2353" s="7"/>
      <c r="T2353" s="7"/>
      <c r="V2353" s="7"/>
      <c r="X2353" s="7"/>
    </row>
    <row r="2354" spans="2:24">
      <c r="B2354" s="7"/>
      <c r="D2354" s="7"/>
      <c r="F2354" s="7"/>
      <c r="H2354" s="7"/>
      <c r="J2354" s="7"/>
      <c r="L2354" s="7"/>
      <c r="N2354" s="7"/>
      <c r="P2354" s="7"/>
      <c r="R2354" s="7"/>
      <c r="T2354" s="7"/>
      <c r="V2354" s="7"/>
      <c r="X2354" s="7"/>
    </row>
    <row r="2355" spans="2:24">
      <c r="B2355" s="7"/>
      <c r="D2355" s="7"/>
      <c r="F2355" s="7"/>
      <c r="H2355" s="7"/>
      <c r="J2355" s="7"/>
      <c r="L2355" s="7"/>
      <c r="N2355" s="7"/>
      <c r="P2355" s="7"/>
      <c r="R2355" s="7"/>
      <c r="T2355" s="7"/>
      <c r="V2355" s="7"/>
      <c r="X2355" s="7"/>
    </row>
    <row r="2356" spans="2:24">
      <c r="B2356" s="7"/>
      <c r="D2356" s="7"/>
      <c r="F2356" s="7"/>
      <c r="H2356" s="7"/>
      <c r="J2356" s="7"/>
      <c r="L2356" s="7"/>
      <c r="N2356" s="7"/>
      <c r="P2356" s="7"/>
      <c r="R2356" s="7"/>
      <c r="T2356" s="7"/>
      <c r="V2356" s="7"/>
      <c r="X2356" s="7"/>
    </row>
    <row r="2357" spans="2:24">
      <c r="B2357" s="7"/>
      <c r="D2357" s="7"/>
      <c r="F2357" s="7"/>
      <c r="H2357" s="7"/>
      <c r="J2357" s="7"/>
      <c r="L2357" s="7"/>
      <c r="N2357" s="7"/>
      <c r="P2357" s="7"/>
      <c r="R2357" s="7"/>
      <c r="T2357" s="7"/>
      <c r="V2357" s="7"/>
      <c r="X2357" s="7"/>
    </row>
    <row r="2358" spans="2:24">
      <c r="B2358" s="7"/>
      <c r="D2358" s="7"/>
      <c r="F2358" s="7"/>
      <c r="H2358" s="7"/>
      <c r="J2358" s="7"/>
      <c r="L2358" s="7"/>
      <c r="N2358" s="7"/>
      <c r="P2358" s="7"/>
      <c r="R2358" s="7"/>
      <c r="T2358" s="7"/>
      <c r="V2358" s="7"/>
      <c r="X2358" s="7"/>
    </row>
    <row r="2359" spans="2:24">
      <c r="B2359" s="7"/>
      <c r="D2359" s="7"/>
      <c r="F2359" s="7"/>
      <c r="H2359" s="7"/>
      <c r="J2359" s="7"/>
      <c r="L2359" s="7"/>
      <c r="N2359" s="7"/>
      <c r="P2359" s="7"/>
      <c r="R2359" s="7"/>
      <c r="T2359" s="7"/>
      <c r="V2359" s="7"/>
      <c r="X2359" s="7"/>
    </row>
    <row r="2360" spans="2:24">
      <c r="B2360" s="7"/>
      <c r="D2360" s="7"/>
      <c r="F2360" s="7"/>
      <c r="H2360" s="7"/>
      <c r="J2360" s="7"/>
      <c r="L2360" s="7"/>
      <c r="N2360" s="7"/>
      <c r="P2360" s="7"/>
      <c r="R2360" s="7"/>
      <c r="T2360" s="7"/>
      <c r="V2360" s="7"/>
      <c r="X2360" s="7"/>
    </row>
    <row r="2361" spans="2:24">
      <c r="B2361" s="7"/>
      <c r="D2361" s="7"/>
      <c r="F2361" s="7"/>
      <c r="H2361" s="7"/>
      <c r="J2361" s="7"/>
      <c r="L2361" s="7"/>
      <c r="N2361" s="7"/>
      <c r="P2361" s="7"/>
      <c r="R2361" s="7"/>
      <c r="T2361" s="7"/>
      <c r="V2361" s="7"/>
      <c r="X2361" s="7"/>
    </row>
    <row r="2362" spans="2:24">
      <c r="B2362" s="7"/>
      <c r="D2362" s="7"/>
      <c r="F2362" s="7"/>
      <c r="H2362" s="7"/>
      <c r="J2362" s="7"/>
      <c r="L2362" s="7"/>
      <c r="N2362" s="7"/>
      <c r="P2362" s="7"/>
      <c r="R2362" s="7"/>
      <c r="T2362" s="7"/>
      <c r="V2362" s="7"/>
      <c r="X2362" s="7"/>
    </row>
    <row r="2363" spans="2:24">
      <c r="B2363" s="7"/>
      <c r="D2363" s="7"/>
      <c r="F2363" s="7"/>
      <c r="H2363" s="7"/>
      <c r="J2363" s="7"/>
      <c r="L2363" s="7"/>
      <c r="N2363" s="7"/>
      <c r="P2363" s="7"/>
      <c r="R2363" s="7"/>
      <c r="T2363" s="7"/>
      <c r="V2363" s="7"/>
      <c r="X2363" s="7"/>
    </row>
    <row r="2364" spans="2:24">
      <c r="B2364" s="7"/>
      <c r="D2364" s="7"/>
      <c r="F2364" s="7"/>
      <c r="H2364" s="7"/>
      <c r="J2364" s="7"/>
      <c r="L2364" s="7"/>
      <c r="N2364" s="7"/>
      <c r="P2364" s="7"/>
      <c r="R2364" s="7"/>
      <c r="T2364" s="7"/>
      <c r="V2364" s="7"/>
      <c r="X2364" s="7"/>
    </row>
    <row r="2365" spans="2:24">
      <c r="B2365" s="7"/>
      <c r="D2365" s="7"/>
      <c r="F2365" s="7"/>
      <c r="H2365" s="7"/>
      <c r="J2365" s="7"/>
      <c r="L2365" s="7"/>
      <c r="N2365" s="7"/>
      <c r="P2365" s="7"/>
      <c r="R2365" s="7"/>
      <c r="T2365" s="7"/>
      <c r="V2365" s="7"/>
      <c r="X2365" s="7"/>
    </row>
    <row r="2366" spans="2:24">
      <c r="B2366" s="7"/>
      <c r="D2366" s="7"/>
      <c r="F2366" s="7"/>
      <c r="H2366" s="7"/>
      <c r="J2366" s="7"/>
      <c r="L2366" s="7"/>
      <c r="N2366" s="7"/>
      <c r="P2366" s="7"/>
      <c r="R2366" s="7"/>
      <c r="T2366" s="7"/>
      <c r="V2366" s="7"/>
      <c r="X2366" s="7"/>
    </row>
    <row r="2367" spans="2:24">
      <c r="B2367" s="7"/>
      <c r="D2367" s="7"/>
      <c r="F2367" s="7"/>
      <c r="H2367" s="7"/>
      <c r="J2367" s="7"/>
      <c r="L2367" s="7"/>
      <c r="N2367" s="7"/>
      <c r="P2367" s="7"/>
      <c r="R2367" s="7"/>
      <c r="T2367" s="7"/>
      <c r="V2367" s="7"/>
      <c r="X2367" s="7"/>
    </row>
    <row r="2368" spans="2:24">
      <c r="B2368" s="7"/>
      <c r="D2368" s="7"/>
      <c r="F2368" s="7"/>
      <c r="H2368" s="7"/>
      <c r="J2368" s="7"/>
      <c r="L2368" s="7"/>
      <c r="N2368" s="7"/>
      <c r="P2368" s="7"/>
      <c r="R2368" s="7"/>
      <c r="T2368" s="7"/>
      <c r="V2368" s="7"/>
      <c r="X2368" s="7"/>
    </row>
    <row r="2369" spans="2:24">
      <c r="B2369" s="7"/>
      <c r="D2369" s="7"/>
      <c r="F2369" s="7"/>
      <c r="H2369" s="7"/>
      <c r="J2369" s="7"/>
      <c r="L2369" s="7"/>
      <c r="N2369" s="7"/>
      <c r="P2369" s="7"/>
      <c r="R2369" s="7"/>
      <c r="T2369" s="7"/>
      <c r="V2369" s="7"/>
      <c r="X2369" s="7"/>
    </row>
    <row r="2370" spans="2:24">
      <c r="B2370" s="7"/>
      <c r="D2370" s="7"/>
      <c r="F2370" s="7"/>
      <c r="H2370" s="7"/>
      <c r="J2370" s="7"/>
      <c r="L2370" s="7"/>
      <c r="N2370" s="7"/>
      <c r="P2370" s="7"/>
      <c r="R2370" s="7"/>
      <c r="T2370" s="7"/>
      <c r="V2370" s="7"/>
      <c r="X2370" s="7"/>
    </row>
    <row r="2371" spans="2:24">
      <c r="B2371" s="7"/>
      <c r="D2371" s="7"/>
      <c r="F2371" s="7"/>
      <c r="H2371" s="7"/>
      <c r="J2371" s="7"/>
      <c r="L2371" s="7"/>
      <c r="N2371" s="7"/>
      <c r="P2371" s="7"/>
      <c r="R2371" s="7"/>
      <c r="T2371" s="7"/>
      <c r="V2371" s="7"/>
      <c r="X2371" s="7"/>
    </row>
    <row r="2372" spans="2:24">
      <c r="B2372" s="7"/>
      <c r="D2372" s="7"/>
      <c r="F2372" s="7"/>
      <c r="H2372" s="7"/>
      <c r="J2372" s="7"/>
      <c r="L2372" s="7"/>
      <c r="N2372" s="7"/>
      <c r="P2372" s="7"/>
      <c r="R2372" s="7"/>
      <c r="T2372" s="7"/>
      <c r="V2372" s="7"/>
      <c r="X2372" s="7"/>
    </row>
    <row r="2373" spans="2:24">
      <c r="B2373" s="7"/>
      <c r="D2373" s="7"/>
      <c r="F2373" s="7"/>
      <c r="H2373" s="7"/>
      <c r="J2373" s="7"/>
      <c r="L2373" s="7"/>
      <c r="N2373" s="7"/>
      <c r="P2373" s="7"/>
      <c r="R2373" s="7"/>
      <c r="T2373" s="7"/>
      <c r="V2373" s="7"/>
      <c r="X2373" s="7"/>
    </row>
    <row r="2374" spans="2:24">
      <c r="B2374" s="7"/>
      <c r="D2374" s="7"/>
      <c r="F2374" s="7"/>
      <c r="H2374" s="7"/>
      <c r="J2374" s="7"/>
      <c r="L2374" s="7"/>
      <c r="N2374" s="7"/>
      <c r="P2374" s="7"/>
      <c r="R2374" s="7"/>
      <c r="T2374" s="7"/>
      <c r="V2374" s="7"/>
      <c r="X2374" s="7"/>
    </row>
    <row r="2375" spans="2:24">
      <c r="B2375" s="7"/>
      <c r="D2375" s="7"/>
      <c r="F2375" s="7"/>
      <c r="H2375" s="7"/>
      <c r="J2375" s="7"/>
      <c r="L2375" s="7"/>
      <c r="N2375" s="7"/>
      <c r="P2375" s="7"/>
      <c r="R2375" s="7"/>
      <c r="T2375" s="7"/>
      <c r="V2375" s="7"/>
      <c r="X2375" s="7"/>
    </row>
    <row r="2376" spans="2:24">
      <c r="B2376" s="7"/>
      <c r="D2376" s="7"/>
      <c r="F2376" s="7"/>
      <c r="H2376" s="7"/>
      <c r="J2376" s="7"/>
      <c r="L2376" s="7"/>
      <c r="N2376" s="7"/>
      <c r="P2376" s="7"/>
      <c r="R2376" s="7"/>
      <c r="T2376" s="7"/>
      <c r="V2376" s="7"/>
      <c r="X2376" s="7"/>
    </row>
    <row r="2377" spans="2:24">
      <c r="B2377" s="7"/>
      <c r="D2377" s="7"/>
      <c r="F2377" s="7"/>
      <c r="H2377" s="7"/>
      <c r="J2377" s="7"/>
      <c r="L2377" s="7"/>
      <c r="N2377" s="7"/>
      <c r="P2377" s="7"/>
      <c r="R2377" s="7"/>
      <c r="T2377" s="7"/>
      <c r="V2377" s="7"/>
      <c r="X2377" s="7"/>
    </row>
    <row r="2378" spans="2:24">
      <c r="B2378" s="7"/>
      <c r="D2378" s="7"/>
      <c r="F2378" s="7"/>
      <c r="H2378" s="7"/>
      <c r="J2378" s="7"/>
      <c r="L2378" s="7"/>
      <c r="N2378" s="7"/>
      <c r="P2378" s="7"/>
      <c r="R2378" s="7"/>
      <c r="T2378" s="7"/>
      <c r="V2378" s="7"/>
      <c r="X2378" s="7"/>
    </row>
    <row r="2379" spans="2:24">
      <c r="B2379" s="7"/>
      <c r="D2379" s="7"/>
      <c r="F2379" s="7"/>
      <c r="H2379" s="7"/>
      <c r="J2379" s="7"/>
      <c r="L2379" s="7"/>
      <c r="N2379" s="7"/>
      <c r="P2379" s="7"/>
      <c r="R2379" s="7"/>
      <c r="T2379" s="7"/>
      <c r="V2379" s="7"/>
      <c r="X2379" s="7"/>
    </row>
    <row r="2380" spans="2:24">
      <c r="B2380" s="7"/>
      <c r="D2380" s="7"/>
      <c r="F2380" s="7"/>
      <c r="H2380" s="7"/>
      <c r="J2380" s="7"/>
      <c r="L2380" s="7"/>
      <c r="N2380" s="7"/>
      <c r="P2380" s="7"/>
      <c r="R2380" s="7"/>
      <c r="T2380" s="7"/>
      <c r="V2380" s="7"/>
      <c r="X2380" s="7"/>
    </row>
    <row r="2381" spans="2:24">
      <c r="B2381" s="7"/>
      <c r="D2381" s="7"/>
      <c r="F2381" s="7"/>
      <c r="H2381" s="7"/>
      <c r="J2381" s="7"/>
      <c r="L2381" s="7"/>
      <c r="N2381" s="7"/>
      <c r="P2381" s="7"/>
      <c r="R2381" s="7"/>
      <c r="T2381" s="7"/>
      <c r="V2381" s="7"/>
      <c r="X2381" s="7"/>
    </row>
    <row r="2382" spans="2:24">
      <c r="B2382" s="7"/>
      <c r="D2382" s="7"/>
      <c r="F2382" s="7"/>
      <c r="H2382" s="7"/>
      <c r="J2382" s="7"/>
      <c r="L2382" s="7"/>
      <c r="N2382" s="7"/>
      <c r="P2382" s="7"/>
      <c r="R2382" s="7"/>
      <c r="T2382" s="7"/>
      <c r="V2382" s="7"/>
      <c r="X2382" s="7"/>
    </row>
    <row r="2383" spans="2:24">
      <c r="B2383" s="7"/>
      <c r="D2383" s="7"/>
      <c r="F2383" s="7"/>
      <c r="H2383" s="7"/>
      <c r="J2383" s="7"/>
      <c r="L2383" s="7"/>
      <c r="N2383" s="7"/>
      <c r="P2383" s="7"/>
      <c r="R2383" s="7"/>
      <c r="T2383" s="7"/>
      <c r="V2383" s="7"/>
      <c r="X2383" s="7"/>
    </row>
    <row r="2384" spans="2:24">
      <c r="B2384" s="7"/>
      <c r="D2384" s="7"/>
      <c r="F2384" s="7"/>
      <c r="H2384" s="7"/>
      <c r="J2384" s="7"/>
      <c r="L2384" s="7"/>
      <c r="N2384" s="7"/>
      <c r="P2384" s="7"/>
      <c r="R2384" s="7"/>
      <c r="T2384" s="7"/>
      <c r="V2384" s="7"/>
      <c r="X2384" s="7"/>
    </row>
    <row r="2385" spans="2:24">
      <c r="B2385" s="7"/>
      <c r="D2385" s="7"/>
      <c r="F2385" s="7"/>
      <c r="H2385" s="7"/>
      <c r="J2385" s="7"/>
      <c r="L2385" s="7"/>
      <c r="N2385" s="7"/>
      <c r="P2385" s="7"/>
      <c r="R2385" s="7"/>
      <c r="T2385" s="7"/>
      <c r="V2385" s="7"/>
      <c r="X2385" s="7"/>
    </row>
    <row r="2386" spans="2:24">
      <c r="B2386" s="7"/>
      <c r="D2386" s="7"/>
      <c r="F2386" s="7"/>
      <c r="H2386" s="7"/>
      <c r="J2386" s="7"/>
      <c r="L2386" s="7"/>
      <c r="N2386" s="7"/>
      <c r="P2386" s="7"/>
      <c r="R2386" s="7"/>
      <c r="T2386" s="7"/>
      <c r="V2386" s="7"/>
      <c r="X2386" s="7"/>
    </row>
    <row r="2387" spans="2:24">
      <c r="B2387" s="7"/>
      <c r="D2387" s="7"/>
      <c r="F2387" s="7"/>
      <c r="H2387" s="7"/>
      <c r="J2387" s="7"/>
      <c r="L2387" s="7"/>
      <c r="N2387" s="7"/>
      <c r="P2387" s="7"/>
      <c r="R2387" s="7"/>
      <c r="T2387" s="7"/>
      <c r="V2387" s="7"/>
      <c r="X2387" s="7"/>
    </row>
    <row r="2388" spans="2:24">
      <c r="B2388" s="7"/>
      <c r="D2388" s="7"/>
      <c r="F2388" s="7"/>
      <c r="H2388" s="7"/>
      <c r="J2388" s="7"/>
      <c r="L2388" s="7"/>
      <c r="N2388" s="7"/>
      <c r="P2388" s="7"/>
      <c r="R2388" s="7"/>
      <c r="T2388" s="7"/>
      <c r="V2388" s="7"/>
      <c r="X2388" s="7"/>
    </row>
    <row r="2389" spans="2:24">
      <c r="B2389" s="7"/>
      <c r="D2389" s="7"/>
      <c r="F2389" s="7"/>
      <c r="H2389" s="7"/>
      <c r="J2389" s="7"/>
      <c r="L2389" s="7"/>
      <c r="N2389" s="7"/>
      <c r="P2389" s="7"/>
      <c r="R2389" s="7"/>
      <c r="T2389" s="7"/>
      <c r="V2389" s="7"/>
      <c r="X2389" s="7"/>
    </row>
    <row r="2390" spans="2:24">
      <c r="B2390" s="7"/>
      <c r="D2390" s="7"/>
      <c r="F2390" s="7"/>
      <c r="H2390" s="7"/>
      <c r="J2390" s="7"/>
      <c r="L2390" s="7"/>
      <c r="N2390" s="7"/>
      <c r="P2390" s="7"/>
      <c r="R2390" s="7"/>
      <c r="T2390" s="7"/>
      <c r="V2390" s="7"/>
      <c r="X2390" s="7"/>
    </row>
    <row r="2391" spans="2:24">
      <c r="B2391" s="7"/>
      <c r="D2391" s="7"/>
      <c r="F2391" s="7"/>
      <c r="H2391" s="7"/>
      <c r="J2391" s="7"/>
      <c r="L2391" s="7"/>
      <c r="N2391" s="7"/>
      <c r="P2391" s="7"/>
      <c r="R2391" s="7"/>
      <c r="T2391" s="7"/>
      <c r="V2391" s="7"/>
      <c r="X2391" s="7"/>
    </row>
    <row r="2392" spans="2:24">
      <c r="B2392" s="7"/>
      <c r="D2392" s="7"/>
      <c r="F2392" s="7"/>
      <c r="H2392" s="7"/>
      <c r="J2392" s="7"/>
      <c r="L2392" s="7"/>
      <c r="N2392" s="7"/>
      <c r="P2392" s="7"/>
      <c r="R2392" s="7"/>
      <c r="T2392" s="7"/>
      <c r="V2392" s="7"/>
      <c r="X2392" s="7"/>
    </row>
    <row r="2393" spans="2:24">
      <c r="B2393" s="7"/>
      <c r="D2393" s="7"/>
      <c r="F2393" s="7"/>
      <c r="H2393" s="7"/>
      <c r="J2393" s="7"/>
      <c r="L2393" s="7"/>
      <c r="N2393" s="7"/>
      <c r="P2393" s="7"/>
      <c r="R2393" s="7"/>
      <c r="T2393" s="7"/>
      <c r="V2393" s="7"/>
      <c r="X2393" s="7"/>
    </row>
    <row r="2394" spans="2:24">
      <c r="B2394" s="7"/>
      <c r="D2394" s="7"/>
      <c r="F2394" s="7"/>
      <c r="H2394" s="7"/>
      <c r="J2394" s="7"/>
      <c r="L2394" s="7"/>
      <c r="N2394" s="7"/>
      <c r="P2394" s="7"/>
      <c r="R2394" s="7"/>
      <c r="T2394" s="7"/>
      <c r="V2394" s="7"/>
      <c r="X2394" s="7"/>
    </row>
    <row r="2395" spans="2:24">
      <c r="B2395" s="7"/>
      <c r="D2395" s="7"/>
      <c r="F2395" s="7"/>
      <c r="H2395" s="7"/>
      <c r="J2395" s="7"/>
      <c r="L2395" s="7"/>
      <c r="N2395" s="7"/>
      <c r="P2395" s="7"/>
      <c r="R2395" s="7"/>
      <c r="T2395" s="7"/>
      <c r="V2395" s="7"/>
      <c r="X2395" s="7"/>
    </row>
    <row r="2396" spans="2:24">
      <c r="B2396" s="7"/>
      <c r="D2396" s="7"/>
      <c r="F2396" s="7"/>
      <c r="H2396" s="7"/>
      <c r="J2396" s="7"/>
      <c r="L2396" s="7"/>
      <c r="N2396" s="7"/>
      <c r="P2396" s="7"/>
      <c r="R2396" s="7"/>
      <c r="T2396" s="7"/>
      <c r="V2396" s="7"/>
      <c r="X2396" s="7"/>
    </row>
    <row r="2397" spans="2:24">
      <c r="B2397" s="7"/>
      <c r="D2397" s="7"/>
      <c r="F2397" s="7"/>
      <c r="H2397" s="7"/>
      <c r="J2397" s="7"/>
      <c r="L2397" s="7"/>
      <c r="N2397" s="7"/>
      <c r="P2397" s="7"/>
      <c r="R2397" s="7"/>
      <c r="T2397" s="7"/>
      <c r="V2397" s="7"/>
      <c r="X2397" s="7"/>
    </row>
    <row r="2398" spans="2:24">
      <c r="B2398" s="7"/>
      <c r="D2398" s="7"/>
      <c r="F2398" s="7"/>
      <c r="H2398" s="7"/>
      <c r="J2398" s="7"/>
      <c r="L2398" s="7"/>
      <c r="N2398" s="7"/>
      <c r="P2398" s="7"/>
      <c r="R2398" s="7"/>
      <c r="T2398" s="7"/>
      <c r="V2398" s="7"/>
      <c r="X2398" s="7"/>
    </row>
    <row r="2399" spans="2:24">
      <c r="B2399" s="7"/>
      <c r="D2399" s="7"/>
      <c r="F2399" s="7"/>
      <c r="H2399" s="7"/>
      <c r="J2399" s="7"/>
      <c r="L2399" s="7"/>
      <c r="N2399" s="7"/>
      <c r="P2399" s="7"/>
      <c r="R2399" s="7"/>
      <c r="T2399" s="7"/>
      <c r="V2399" s="7"/>
      <c r="X2399" s="7"/>
    </row>
    <row r="2400" spans="2:24">
      <c r="B2400" s="7"/>
      <c r="D2400" s="7"/>
      <c r="F2400" s="7"/>
      <c r="H2400" s="7"/>
      <c r="J2400" s="7"/>
      <c r="L2400" s="7"/>
      <c r="N2400" s="7"/>
      <c r="P2400" s="7"/>
      <c r="R2400" s="7"/>
      <c r="T2400" s="7"/>
      <c r="V2400" s="7"/>
      <c r="X2400" s="7"/>
    </row>
    <row r="2401" spans="2:24">
      <c r="B2401" s="7"/>
      <c r="D2401" s="7"/>
      <c r="F2401" s="7"/>
      <c r="H2401" s="7"/>
      <c r="J2401" s="7"/>
      <c r="L2401" s="7"/>
      <c r="N2401" s="7"/>
      <c r="P2401" s="7"/>
      <c r="R2401" s="7"/>
      <c r="T2401" s="7"/>
      <c r="V2401" s="7"/>
      <c r="X2401" s="7"/>
    </row>
    <row r="2402" spans="2:24">
      <c r="B2402" s="7"/>
      <c r="D2402" s="7"/>
      <c r="F2402" s="7"/>
      <c r="H2402" s="7"/>
      <c r="J2402" s="7"/>
      <c r="L2402" s="7"/>
      <c r="N2402" s="7"/>
      <c r="P2402" s="7"/>
      <c r="R2402" s="7"/>
      <c r="T2402" s="7"/>
      <c r="V2402" s="7"/>
      <c r="X2402" s="7"/>
    </row>
    <row r="2403" spans="2:24">
      <c r="B2403" s="7"/>
      <c r="D2403" s="7"/>
      <c r="F2403" s="7"/>
      <c r="H2403" s="7"/>
      <c r="J2403" s="7"/>
      <c r="L2403" s="7"/>
      <c r="N2403" s="7"/>
      <c r="P2403" s="7"/>
      <c r="R2403" s="7"/>
      <c r="T2403" s="7"/>
      <c r="V2403" s="7"/>
      <c r="X2403" s="7"/>
    </row>
    <row r="2404" spans="2:24">
      <c r="B2404" s="7"/>
      <c r="D2404" s="7"/>
      <c r="F2404" s="7"/>
      <c r="H2404" s="7"/>
      <c r="J2404" s="7"/>
      <c r="L2404" s="7"/>
      <c r="N2404" s="7"/>
      <c r="P2404" s="7"/>
      <c r="R2404" s="7"/>
      <c r="T2404" s="7"/>
      <c r="V2404" s="7"/>
      <c r="X2404" s="7"/>
    </row>
    <row r="2405" spans="2:24">
      <c r="B2405" s="7"/>
      <c r="D2405" s="7"/>
      <c r="F2405" s="7"/>
      <c r="H2405" s="7"/>
      <c r="J2405" s="7"/>
      <c r="L2405" s="7"/>
      <c r="N2405" s="7"/>
      <c r="P2405" s="7"/>
      <c r="R2405" s="7"/>
      <c r="T2405" s="7"/>
      <c r="V2405" s="7"/>
      <c r="X2405" s="7"/>
    </row>
    <row r="2406" spans="2:24">
      <c r="B2406" s="7"/>
      <c r="D2406" s="7"/>
      <c r="F2406" s="7"/>
      <c r="H2406" s="7"/>
      <c r="J2406" s="7"/>
      <c r="L2406" s="7"/>
      <c r="N2406" s="7"/>
      <c r="P2406" s="7"/>
      <c r="R2406" s="7"/>
      <c r="T2406" s="7"/>
      <c r="V2406" s="7"/>
      <c r="X2406" s="7"/>
    </row>
    <row r="2407" spans="2:24">
      <c r="B2407" s="7"/>
      <c r="D2407" s="7"/>
      <c r="F2407" s="7"/>
      <c r="H2407" s="7"/>
      <c r="J2407" s="7"/>
      <c r="L2407" s="7"/>
      <c r="N2407" s="7"/>
      <c r="P2407" s="7"/>
      <c r="R2407" s="7"/>
      <c r="T2407" s="7"/>
      <c r="V2407" s="7"/>
      <c r="X2407" s="7"/>
    </row>
    <row r="2408" spans="2:24">
      <c r="B2408" s="7"/>
      <c r="D2408" s="7"/>
      <c r="F2408" s="7"/>
      <c r="H2408" s="7"/>
      <c r="J2408" s="7"/>
      <c r="L2408" s="7"/>
      <c r="N2408" s="7"/>
      <c r="P2408" s="7"/>
      <c r="R2408" s="7"/>
      <c r="T2408" s="7"/>
      <c r="V2408" s="7"/>
      <c r="X2408" s="7"/>
    </row>
    <row r="2409" spans="2:24">
      <c r="B2409" s="7"/>
      <c r="D2409" s="7"/>
      <c r="F2409" s="7"/>
      <c r="H2409" s="7"/>
      <c r="J2409" s="7"/>
      <c r="L2409" s="7"/>
      <c r="N2409" s="7"/>
      <c r="P2409" s="7"/>
      <c r="R2409" s="7"/>
      <c r="T2409" s="7"/>
      <c r="V2409" s="7"/>
      <c r="X2409" s="7"/>
    </row>
    <row r="2410" spans="2:24">
      <c r="B2410" s="7"/>
      <c r="D2410" s="7"/>
      <c r="F2410" s="7"/>
      <c r="H2410" s="7"/>
      <c r="J2410" s="7"/>
      <c r="L2410" s="7"/>
      <c r="N2410" s="7"/>
      <c r="P2410" s="7"/>
      <c r="R2410" s="7"/>
      <c r="T2410" s="7"/>
      <c r="V2410" s="7"/>
      <c r="X2410" s="7"/>
    </row>
    <row r="2411" spans="2:24">
      <c r="B2411" s="7"/>
      <c r="D2411" s="7"/>
      <c r="F2411" s="7"/>
      <c r="H2411" s="7"/>
      <c r="J2411" s="7"/>
      <c r="L2411" s="7"/>
      <c r="N2411" s="7"/>
      <c r="P2411" s="7"/>
      <c r="R2411" s="7"/>
      <c r="T2411" s="7"/>
      <c r="V2411" s="7"/>
      <c r="X2411" s="7"/>
    </row>
    <row r="2412" spans="2:24">
      <c r="B2412" s="7"/>
      <c r="D2412" s="7"/>
      <c r="F2412" s="7"/>
      <c r="H2412" s="7"/>
      <c r="J2412" s="7"/>
      <c r="L2412" s="7"/>
      <c r="N2412" s="7"/>
      <c r="P2412" s="7"/>
      <c r="R2412" s="7"/>
      <c r="T2412" s="7"/>
      <c r="V2412" s="7"/>
      <c r="X2412" s="7"/>
    </row>
    <row r="2413" spans="2:24">
      <c r="B2413" s="7"/>
      <c r="D2413" s="7"/>
      <c r="F2413" s="7"/>
      <c r="H2413" s="7"/>
      <c r="J2413" s="7"/>
      <c r="L2413" s="7"/>
      <c r="N2413" s="7"/>
      <c r="P2413" s="7"/>
      <c r="R2413" s="7"/>
      <c r="T2413" s="7"/>
      <c r="V2413" s="7"/>
      <c r="X2413" s="7"/>
    </row>
    <row r="2414" spans="2:24">
      <c r="B2414" s="7"/>
      <c r="D2414" s="7"/>
      <c r="F2414" s="7"/>
      <c r="H2414" s="7"/>
      <c r="J2414" s="7"/>
      <c r="L2414" s="7"/>
      <c r="N2414" s="7"/>
      <c r="P2414" s="7"/>
      <c r="R2414" s="7"/>
      <c r="T2414" s="7"/>
      <c r="V2414" s="7"/>
      <c r="X2414" s="7"/>
    </row>
    <row r="2415" spans="2:24">
      <c r="B2415" s="7"/>
      <c r="D2415" s="7"/>
      <c r="F2415" s="7"/>
      <c r="H2415" s="7"/>
      <c r="J2415" s="7"/>
      <c r="L2415" s="7"/>
      <c r="N2415" s="7"/>
      <c r="P2415" s="7"/>
      <c r="R2415" s="7"/>
      <c r="T2415" s="7"/>
      <c r="V2415" s="7"/>
      <c r="X2415" s="7"/>
    </row>
    <row r="2416" spans="2:24">
      <c r="B2416" s="7"/>
      <c r="D2416" s="7"/>
      <c r="F2416" s="7"/>
      <c r="H2416" s="7"/>
      <c r="J2416" s="7"/>
      <c r="L2416" s="7"/>
      <c r="N2416" s="7"/>
      <c r="P2416" s="7"/>
      <c r="R2416" s="7"/>
      <c r="T2416" s="7"/>
      <c r="V2416" s="7"/>
      <c r="X2416" s="7"/>
    </row>
    <row r="2417" spans="2:24">
      <c r="B2417" s="7"/>
      <c r="D2417" s="7"/>
      <c r="F2417" s="7"/>
      <c r="H2417" s="7"/>
      <c r="J2417" s="7"/>
      <c r="L2417" s="7"/>
      <c r="N2417" s="7"/>
      <c r="P2417" s="7"/>
      <c r="R2417" s="7"/>
      <c r="T2417" s="7"/>
      <c r="V2417" s="7"/>
      <c r="X2417" s="7"/>
    </row>
    <row r="2418" spans="2:24">
      <c r="B2418" s="7"/>
      <c r="D2418" s="7"/>
      <c r="F2418" s="7"/>
      <c r="H2418" s="7"/>
      <c r="J2418" s="7"/>
      <c r="L2418" s="7"/>
      <c r="N2418" s="7"/>
      <c r="P2418" s="7"/>
      <c r="R2418" s="7"/>
      <c r="T2418" s="7"/>
      <c r="V2418" s="7"/>
      <c r="X2418" s="7"/>
    </row>
    <row r="2419" spans="2:24">
      <c r="B2419" s="7"/>
      <c r="D2419" s="7"/>
      <c r="F2419" s="7"/>
      <c r="H2419" s="7"/>
      <c r="J2419" s="7"/>
      <c r="L2419" s="7"/>
      <c r="N2419" s="7"/>
      <c r="P2419" s="7"/>
      <c r="R2419" s="7"/>
      <c r="T2419" s="7"/>
      <c r="V2419" s="7"/>
      <c r="X2419" s="7"/>
    </row>
    <row r="2420" spans="2:24">
      <c r="B2420" s="7"/>
      <c r="D2420" s="7"/>
      <c r="F2420" s="7"/>
      <c r="H2420" s="7"/>
      <c r="J2420" s="7"/>
      <c r="L2420" s="7"/>
      <c r="N2420" s="7"/>
      <c r="P2420" s="7"/>
      <c r="R2420" s="7"/>
      <c r="T2420" s="7"/>
      <c r="V2420" s="7"/>
      <c r="X2420" s="7"/>
    </row>
    <row r="2421" spans="2:24">
      <c r="B2421" s="7"/>
      <c r="D2421" s="7"/>
      <c r="F2421" s="7"/>
      <c r="H2421" s="7"/>
      <c r="J2421" s="7"/>
      <c r="L2421" s="7"/>
      <c r="N2421" s="7"/>
      <c r="P2421" s="7"/>
      <c r="R2421" s="7"/>
      <c r="T2421" s="7"/>
      <c r="V2421" s="7"/>
      <c r="X2421" s="7"/>
    </row>
    <row r="2422" spans="2:24">
      <c r="B2422" s="7"/>
      <c r="D2422" s="7"/>
      <c r="F2422" s="7"/>
      <c r="H2422" s="7"/>
      <c r="J2422" s="7"/>
      <c r="L2422" s="7"/>
      <c r="N2422" s="7"/>
      <c r="P2422" s="7"/>
      <c r="R2422" s="7"/>
      <c r="T2422" s="7"/>
      <c r="V2422" s="7"/>
      <c r="X2422" s="7"/>
    </row>
    <row r="2423" spans="2:24">
      <c r="B2423" s="7"/>
      <c r="D2423" s="7"/>
      <c r="F2423" s="7"/>
      <c r="H2423" s="7"/>
      <c r="J2423" s="7"/>
      <c r="L2423" s="7"/>
      <c r="N2423" s="7"/>
      <c r="P2423" s="7"/>
      <c r="R2423" s="7"/>
      <c r="T2423" s="7"/>
      <c r="V2423" s="7"/>
      <c r="X2423" s="7"/>
    </row>
    <row r="2424" spans="2:24">
      <c r="B2424" s="7"/>
      <c r="D2424" s="7"/>
      <c r="F2424" s="7"/>
      <c r="H2424" s="7"/>
      <c r="J2424" s="7"/>
      <c r="L2424" s="7"/>
      <c r="N2424" s="7"/>
      <c r="P2424" s="7"/>
      <c r="R2424" s="7"/>
      <c r="T2424" s="7"/>
      <c r="V2424" s="7"/>
      <c r="X2424" s="7"/>
    </row>
    <row r="2425" spans="2:24">
      <c r="B2425" s="7"/>
      <c r="D2425" s="7"/>
      <c r="F2425" s="7"/>
      <c r="H2425" s="7"/>
      <c r="J2425" s="7"/>
      <c r="L2425" s="7"/>
      <c r="N2425" s="7"/>
      <c r="P2425" s="7"/>
      <c r="R2425" s="7"/>
      <c r="T2425" s="7"/>
      <c r="V2425" s="7"/>
      <c r="X2425" s="7"/>
    </row>
    <row r="2426" spans="2:24">
      <c r="B2426" s="7"/>
      <c r="D2426" s="7"/>
      <c r="F2426" s="7"/>
      <c r="H2426" s="7"/>
      <c r="J2426" s="7"/>
      <c r="L2426" s="7"/>
      <c r="N2426" s="7"/>
      <c r="P2426" s="7"/>
      <c r="R2426" s="7"/>
      <c r="T2426" s="7"/>
      <c r="V2426" s="7"/>
      <c r="X2426" s="7"/>
    </row>
    <row r="2427" spans="2:24">
      <c r="B2427" s="7"/>
      <c r="D2427" s="7"/>
      <c r="F2427" s="7"/>
      <c r="H2427" s="7"/>
      <c r="J2427" s="7"/>
      <c r="L2427" s="7"/>
      <c r="N2427" s="7"/>
      <c r="P2427" s="7"/>
      <c r="R2427" s="7"/>
      <c r="T2427" s="7"/>
      <c r="V2427" s="7"/>
      <c r="X2427" s="7"/>
    </row>
    <row r="2428" spans="2:24">
      <c r="B2428" s="7"/>
      <c r="D2428" s="7"/>
      <c r="F2428" s="7"/>
      <c r="H2428" s="7"/>
      <c r="J2428" s="7"/>
      <c r="L2428" s="7"/>
      <c r="N2428" s="7"/>
      <c r="P2428" s="7"/>
      <c r="R2428" s="7"/>
      <c r="T2428" s="7"/>
      <c r="V2428" s="7"/>
      <c r="X2428" s="7"/>
    </row>
    <row r="2429" spans="2:24">
      <c r="B2429" s="7"/>
      <c r="D2429" s="7"/>
      <c r="F2429" s="7"/>
      <c r="H2429" s="7"/>
      <c r="J2429" s="7"/>
      <c r="L2429" s="7"/>
      <c r="N2429" s="7"/>
      <c r="P2429" s="7"/>
      <c r="R2429" s="7"/>
      <c r="T2429" s="7"/>
      <c r="V2429" s="7"/>
      <c r="X2429" s="7"/>
    </row>
    <row r="2430" spans="2:24">
      <c r="B2430" s="7"/>
      <c r="D2430" s="7"/>
      <c r="F2430" s="7"/>
      <c r="H2430" s="7"/>
      <c r="J2430" s="7"/>
      <c r="L2430" s="7"/>
      <c r="N2430" s="7"/>
      <c r="P2430" s="7"/>
      <c r="R2430" s="7"/>
      <c r="T2430" s="7"/>
      <c r="V2430" s="7"/>
      <c r="X2430" s="7"/>
    </row>
    <row r="2431" spans="2:24">
      <c r="B2431" s="7"/>
      <c r="D2431" s="7"/>
      <c r="F2431" s="7"/>
      <c r="H2431" s="7"/>
      <c r="J2431" s="7"/>
      <c r="L2431" s="7"/>
      <c r="N2431" s="7"/>
      <c r="P2431" s="7"/>
      <c r="R2431" s="7"/>
      <c r="T2431" s="7"/>
      <c r="V2431" s="7"/>
      <c r="X2431" s="7"/>
    </row>
    <row r="2432" spans="2:24">
      <c r="B2432" s="7"/>
      <c r="D2432" s="7"/>
      <c r="F2432" s="7"/>
      <c r="H2432" s="7"/>
      <c r="J2432" s="7"/>
      <c r="L2432" s="7"/>
      <c r="N2432" s="7"/>
      <c r="P2432" s="7"/>
      <c r="R2432" s="7"/>
      <c r="T2432" s="7"/>
      <c r="V2432" s="7"/>
      <c r="X2432" s="7"/>
    </row>
    <row r="2433" spans="2:24">
      <c r="B2433" s="7"/>
      <c r="D2433" s="7"/>
      <c r="F2433" s="7"/>
      <c r="H2433" s="7"/>
      <c r="J2433" s="7"/>
      <c r="L2433" s="7"/>
      <c r="N2433" s="7"/>
      <c r="P2433" s="7"/>
      <c r="R2433" s="7"/>
      <c r="T2433" s="7"/>
      <c r="V2433" s="7"/>
      <c r="X2433" s="7"/>
    </row>
    <row r="2434" spans="2:24">
      <c r="B2434" s="7"/>
      <c r="D2434" s="7"/>
      <c r="F2434" s="7"/>
      <c r="H2434" s="7"/>
      <c r="J2434" s="7"/>
      <c r="L2434" s="7"/>
      <c r="N2434" s="7"/>
      <c r="P2434" s="7"/>
      <c r="R2434" s="7"/>
      <c r="T2434" s="7"/>
      <c r="V2434" s="7"/>
      <c r="X2434" s="7"/>
    </row>
    <row r="2435" spans="2:24">
      <c r="B2435" s="7"/>
      <c r="D2435" s="7"/>
      <c r="F2435" s="7"/>
      <c r="H2435" s="7"/>
      <c r="J2435" s="7"/>
      <c r="L2435" s="7"/>
      <c r="N2435" s="7"/>
      <c r="P2435" s="7"/>
      <c r="R2435" s="7"/>
      <c r="T2435" s="7"/>
      <c r="V2435" s="7"/>
      <c r="X2435" s="7"/>
    </row>
    <row r="2436" spans="2:24">
      <c r="B2436" s="7"/>
      <c r="D2436" s="7"/>
      <c r="F2436" s="7"/>
      <c r="H2436" s="7"/>
      <c r="J2436" s="7"/>
      <c r="L2436" s="7"/>
      <c r="N2436" s="7"/>
      <c r="P2436" s="7"/>
      <c r="R2436" s="7"/>
      <c r="T2436" s="7"/>
      <c r="V2436" s="7"/>
      <c r="X2436" s="7"/>
    </row>
    <row r="2437" spans="2:24">
      <c r="B2437" s="7"/>
      <c r="D2437" s="7"/>
      <c r="F2437" s="7"/>
      <c r="H2437" s="7"/>
      <c r="J2437" s="7"/>
      <c r="L2437" s="7"/>
      <c r="N2437" s="7"/>
      <c r="P2437" s="7"/>
      <c r="R2437" s="7"/>
      <c r="T2437" s="7"/>
      <c r="V2437" s="7"/>
      <c r="X2437" s="7"/>
    </row>
    <row r="2438" spans="2:24">
      <c r="B2438" s="7"/>
      <c r="D2438" s="7"/>
      <c r="F2438" s="7"/>
      <c r="H2438" s="7"/>
      <c r="J2438" s="7"/>
      <c r="L2438" s="7"/>
      <c r="N2438" s="7"/>
      <c r="P2438" s="7"/>
      <c r="R2438" s="7"/>
      <c r="T2438" s="7"/>
      <c r="V2438" s="7"/>
      <c r="X2438" s="7"/>
    </row>
    <row r="2439" spans="2:24">
      <c r="B2439" s="7"/>
      <c r="D2439" s="7"/>
      <c r="F2439" s="7"/>
      <c r="H2439" s="7"/>
      <c r="J2439" s="7"/>
      <c r="L2439" s="7"/>
      <c r="N2439" s="7"/>
      <c r="P2439" s="7"/>
      <c r="R2439" s="7"/>
      <c r="T2439" s="7"/>
      <c r="V2439" s="7"/>
      <c r="X2439" s="7"/>
    </row>
    <row r="2440" spans="2:24">
      <c r="B2440" s="7"/>
      <c r="D2440" s="7"/>
      <c r="F2440" s="7"/>
      <c r="H2440" s="7"/>
      <c r="J2440" s="7"/>
      <c r="L2440" s="7"/>
      <c r="N2440" s="7"/>
      <c r="P2440" s="7"/>
      <c r="R2440" s="7"/>
      <c r="T2440" s="7"/>
      <c r="V2440" s="7"/>
      <c r="X2440" s="7"/>
    </row>
    <row r="2441" spans="2:24">
      <c r="B2441" s="7"/>
      <c r="D2441" s="7"/>
      <c r="F2441" s="7"/>
      <c r="H2441" s="7"/>
      <c r="J2441" s="7"/>
      <c r="L2441" s="7"/>
      <c r="N2441" s="7"/>
      <c r="P2441" s="7"/>
      <c r="R2441" s="7"/>
      <c r="T2441" s="7"/>
      <c r="V2441" s="7"/>
      <c r="X2441" s="7"/>
    </row>
    <row r="2442" spans="2:24">
      <c r="B2442" s="7"/>
      <c r="D2442" s="7"/>
      <c r="F2442" s="7"/>
      <c r="H2442" s="7"/>
      <c r="J2442" s="7"/>
      <c r="L2442" s="7"/>
      <c r="N2442" s="7"/>
      <c r="P2442" s="7"/>
      <c r="R2442" s="7"/>
      <c r="T2442" s="7"/>
      <c r="V2442" s="7"/>
      <c r="X2442" s="7"/>
    </row>
    <row r="2443" spans="2:24">
      <c r="B2443" s="7"/>
      <c r="D2443" s="7"/>
      <c r="F2443" s="7"/>
      <c r="H2443" s="7"/>
      <c r="J2443" s="7"/>
      <c r="L2443" s="7"/>
      <c r="N2443" s="7"/>
      <c r="P2443" s="7"/>
      <c r="R2443" s="7"/>
      <c r="T2443" s="7"/>
      <c r="V2443" s="7"/>
      <c r="X2443" s="7"/>
    </row>
    <row r="2444" spans="2:24">
      <c r="B2444" s="7"/>
      <c r="D2444" s="7"/>
      <c r="F2444" s="7"/>
      <c r="H2444" s="7"/>
      <c r="J2444" s="7"/>
      <c r="L2444" s="7"/>
      <c r="N2444" s="7"/>
      <c r="P2444" s="7"/>
      <c r="R2444" s="7"/>
      <c r="T2444" s="7"/>
      <c r="V2444" s="7"/>
      <c r="X2444" s="7"/>
    </row>
    <row r="2445" spans="2:24">
      <c r="B2445" s="7"/>
      <c r="D2445" s="7"/>
      <c r="F2445" s="7"/>
      <c r="H2445" s="7"/>
      <c r="J2445" s="7"/>
      <c r="L2445" s="7"/>
      <c r="N2445" s="7"/>
      <c r="P2445" s="7"/>
      <c r="R2445" s="7"/>
      <c r="T2445" s="7"/>
      <c r="V2445" s="7"/>
      <c r="X2445" s="7"/>
    </row>
    <row r="2446" spans="2:24">
      <c r="B2446" s="7"/>
      <c r="D2446" s="7"/>
      <c r="F2446" s="7"/>
      <c r="H2446" s="7"/>
      <c r="J2446" s="7"/>
      <c r="L2446" s="7"/>
      <c r="N2446" s="7"/>
      <c r="P2446" s="7"/>
      <c r="R2446" s="7"/>
      <c r="T2446" s="7"/>
      <c r="V2446" s="7"/>
      <c r="X2446" s="7"/>
    </row>
    <row r="2447" spans="2:24">
      <c r="B2447" s="7"/>
      <c r="D2447" s="7"/>
      <c r="F2447" s="7"/>
      <c r="H2447" s="7"/>
      <c r="J2447" s="7"/>
      <c r="L2447" s="7"/>
      <c r="N2447" s="7"/>
      <c r="P2447" s="7"/>
      <c r="R2447" s="7"/>
      <c r="T2447" s="7"/>
      <c r="V2447" s="7"/>
      <c r="X2447" s="7"/>
    </row>
    <row r="2448" spans="2:24">
      <c r="B2448" s="7"/>
      <c r="D2448" s="7"/>
      <c r="F2448" s="7"/>
      <c r="H2448" s="7"/>
      <c r="J2448" s="7"/>
      <c r="L2448" s="7"/>
      <c r="N2448" s="7"/>
      <c r="P2448" s="7"/>
      <c r="R2448" s="7"/>
      <c r="T2448" s="7"/>
      <c r="V2448" s="7"/>
      <c r="X2448" s="7"/>
    </row>
    <row r="2449" spans="2:24">
      <c r="B2449" s="7"/>
      <c r="D2449" s="7"/>
      <c r="F2449" s="7"/>
      <c r="H2449" s="7"/>
      <c r="J2449" s="7"/>
      <c r="L2449" s="7"/>
      <c r="N2449" s="7"/>
      <c r="P2449" s="7"/>
      <c r="R2449" s="7"/>
      <c r="T2449" s="7"/>
      <c r="V2449" s="7"/>
      <c r="X2449" s="7"/>
    </row>
    <row r="2450" spans="2:24">
      <c r="B2450" s="7"/>
      <c r="D2450" s="7"/>
      <c r="F2450" s="7"/>
      <c r="H2450" s="7"/>
      <c r="J2450" s="7"/>
      <c r="L2450" s="7"/>
      <c r="N2450" s="7"/>
      <c r="P2450" s="7"/>
      <c r="R2450" s="7"/>
      <c r="T2450" s="7"/>
      <c r="V2450" s="7"/>
      <c r="X2450" s="7"/>
    </row>
    <row r="2451" spans="2:24">
      <c r="B2451" s="7"/>
      <c r="D2451" s="7"/>
      <c r="F2451" s="7"/>
      <c r="H2451" s="7"/>
      <c r="J2451" s="7"/>
      <c r="L2451" s="7"/>
      <c r="N2451" s="7"/>
      <c r="P2451" s="7"/>
      <c r="R2451" s="7"/>
      <c r="T2451" s="7"/>
      <c r="V2451" s="7"/>
      <c r="X2451" s="7"/>
    </row>
    <row r="2452" spans="2:24">
      <c r="B2452" s="7"/>
      <c r="D2452" s="7"/>
      <c r="F2452" s="7"/>
      <c r="H2452" s="7"/>
      <c r="J2452" s="7"/>
      <c r="L2452" s="7"/>
      <c r="N2452" s="7"/>
      <c r="P2452" s="7"/>
      <c r="R2452" s="7"/>
      <c r="T2452" s="7"/>
      <c r="V2452" s="7"/>
      <c r="X2452" s="7"/>
    </row>
    <row r="2453" spans="2:24">
      <c r="B2453" s="7"/>
      <c r="D2453" s="7"/>
      <c r="F2453" s="7"/>
      <c r="H2453" s="7"/>
      <c r="J2453" s="7"/>
      <c r="L2453" s="7"/>
      <c r="N2453" s="7"/>
      <c r="P2453" s="7"/>
      <c r="R2453" s="7"/>
      <c r="T2453" s="7"/>
      <c r="V2453" s="7"/>
      <c r="X2453" s="7"/>
    </row>
    <row r="2454" spans="2:24">
      <c r="B2454" s="7"/>
      <c r="D2454" s="7"/>
      <c r="F2454" s="7"/>
      <c r="H2454" s="7"/>
      <c r="J2454" s="7"/>
      <c r="L2454" s="7"/>
      <c r="N2454" s="7"/>
      <c r="P2454" s="7"/>
      <c r="R2454" s="7"/>
      <c r="T2454" s="7"/>
      <c r="V2454" s="7"/>
      <c r="X2454" s="7"/>
    </row>
    <row r="2455" spans="2:24">
      <c r="B2455" s="7"/>
      <c r="D2455" s="7"/>
      <c r="F2455" s="7"/>
      <c r="H2455" s="7"/>
      <c r="J2455" s="7"/>
      <c r="L2455" s="7"/>
      <c r="N2455" s="7"/>
      <c r="P2455" s="7"/>
      <c r="R2455" s="7"/>
      <c r="T2455" s="7"/>
      <c r="V2455" s="7"/>
      <c r="X2455" s="7"/>
    </row>
    <row r="2456" spans="2:24">
      <c r="B2456" s="7"/>
      <c r="D2456" s="7"/>
      <c r="F2456" s="7"/>
      <c r="H2456" s="7"/>
      <c r="J2456" s="7"/>
      <c r="L2456" s="7"/>
      <c r="N2456" s="7"/>
      <c r="P2456" s="7"/>
      <c r="R2456" s="7"/>
      <c r="T2456" s="7"/>
      <c r="V2456" s="7"/>
      <c r="X2456" s="7"/>
    </row>
    <row r="2457" spans="2:24">
      <c r="B2457" s="7"/>
      <c r="D2457" s="7"/>
      <c r="F2457" s="7"/>
      <c r="H2457" s="7"/>
      <c r="J2457" s="7"/>
      <c r="L2457" s="7"/>
      <c r="N2457" s="7"/>
      <c r="P2457" s="7"/>
      <c r="R2457" s="7"/>
      <c r="T2457" s="7"/>
      <c r="V2457" s="7"/>
      <c r="X2457" s="7"/>
    </row>
    <row r="2458" spans="2:24">
      <c r="B2458" s="7"/>
      <c r="D2458" s="7"/>
      <c r="F2458" s="7"/>
      <c r="H2458" s="7"/>
      <c r="J2458" s="7"/>
      <c r="L2458" s="7"/>
      <c r="N2458" s="7"/>
      <c r="P2458" s="7"/>
      <c r="R2458" s="7"/>
      <c r="T2458" s="7"/>
      <c r="V2458" s="7"/>
      <c r="X2458" s="7"/>
    </row>
    <row r="2459" spans="2:24">
      <c r="B2459" s="7"/>
      <c r="D2459" s="7"/>
      <c r="F2459" s="7"/>
      <c r="H2459" s="7"/>
      <c r="J2459" s="7"/>
      <c r="L2459" s="7"/>
      <c r="N2459" s="7"/>
      <c r="P2459" s="7"/>
      <c r="R2459" s="7"/>
      <c r="T2459" s="7"/>
      <c r="V2459" s="7"/>
      <c r="X2459" s="7"/>
    </row>
    <row r="2460" spans="2:24">
      <c r="B2460" s="7"/>
      <c r="D2460" s="7"/>
      <c r="F2460" s="7"/>
      <c r="H2460" s="7"/>
      <c r="J2460" s="7"/>
      <c r="L2460" s="7"/>
      <c r="N2460" s="7"/>
      <c r="P2460" s="7"/>
      <c r="R2460" s="7"/>
      <c r="T2460" s="7"/>
      <c r="V2460" s="7"/>
      <c r="X2460" s="7"/>
    </row>
    <row r="2461" spans="2:24">
      <c r="B2461" s="7"/>
      <c r="D2461" s="7"/>
      <c r="F2461" s="7"/>
      <c r="H2461" s="7"/>
      <c r="J2461" s="7"/>
      <c r="L2461" s="7"/>
      <c r="N2461" s="7"/>
      <c r="P2461" s="7"/>
      <c r="R2461" s="7"/>
      <c r="T2461" s="7"/>
      <c r="V2461" s="7"/>
      <c r="X2461" s="7"/>
    </row>
    <row r="2462" spans="2:24">
      <c r="B2462" s="7"/>
      <c r="D2462" s="7"/>
      <c r="F2462" s="7"/>
      <c r="H2462" s="7"/>
      <c r="J2462" s="7"/>
      <c r="L2462" s="7"/>
      <c r="N2462" s="7"/>
      <c r="P2462" s="7"/>
      <c r="R2462" s="7"/>
      <c r="T2462" s="7"/>
      <c r="V2462" s="7"/>
      <c r="X2462" s="7"/>
    </row>
    <row r="2463" spans="2:24">
      <c r="B2463" s="7"/>
      <c r="D2463" s="7"/>
      <c r="F2463" s="7"/>
      <c r="H2463" s="7"/>
      <c r="J2463" s="7"/>
      <c r="L2463" s="7"/>
      <c r="N2463" s="7"/>
      <c r="P2463" s="7"/>
      <c r="R2463" s="7"/>
      <c r="T2463" s="7"/>
      <c r="V2463" s="7"/>
      <c r="X2463" s="7"/>
    </row>
    <row r="2464" spans="2:24">
      <c r="B2464" s="7"/>
      <c r="D2464" s="7"/>
      <c r="F2464" s="7"/>
      <c r="H2464" s="7"/>
      <c r="J2464" s="7"/>
      <c r="L2464" s="7"/>
      <c r="N2464" s="7"/>
      <c r="P2464" s="7"/>
      <c r="R2464" s="7"/>
      <c r="T2464" s="7"/>
      <c r="V2464" s="7"/>
      <c r="X2464" s="7"/>
    </row>
    <row r="2465" spans="2:24">
      <c r="B2465" s="7"/>
      <c r="D2465" s="7"/>
      <c r="F2465" s="7"/>
      <c r="H2465" s="7"/>
      <c r="J2465" s="7"/>
      <c r="L2465" s="7"/>
      <c r="N2465" s="7"/>
      <c r="P2465" s="7"/>
      <c r="R2465" s="7"/>
      <c r="T2465" s="7"/>
      <c r="V2465" s="7"/>
      <c r="X2465" s="7"/>
    </row>
    <row r="2466" spans="2:24">
      <c r="B2466" s="7"/>
      <c r="D2466" s="7"/>
      <c r="F2466" s="7"/>
      <c r="H2466" s="7"/>
      <c r="J2466" s="7"/>
      <c r="L2466" s="7"/>
      <c r="N2466" s="7"/>
      <c r="P2466" s="7"/>
      <c r="R2466" s="7"/>
      <c r="T2466" s="7"/>
      <c r="V2466" s="7"/>
      <c r="X2466" s="7"/>
    </row>
    <row r="2467" spans="2:24">
      <c r="B2467" s="7"/>
      <c r="D2467" s="7"/>
      <c r="F2467" s="7"/>
      <c r="H2467" s="7"/>
      <c r="J2467" s="7"/>
      <c r="L2467" s="7"/>
      <c r="N2467" s="7"/>
      <c r="P2467" s="7"/>
      <c r="R2467" s="7"/>
      <c r="T2467" s="7"/>
      <c r="V2467" s="7"/>
      <c r="X2467" s="7"/>
    </row>
    <row r="2468" spans="2:24">
      <c r="B2468" s="7"/>
      <c r="D2468" s="7"/>
      <c r="F2468" s="7"/>
      <c r="H2468" s="7"/>
      <c r="J2468" s="7"/>
      <c r="L2468" s="7"/>
      <c r="N2468" s="7"/>
      <c r="P2468" s="7"/>
      <c r="R2468" s="7"/>
      <c r="T2468" s="7"/>
      <c r="V2468" s="7"/>
      <c r="X2468" s="7"/>
    </row>
    <row r="2469" spans="2:24">
      <c r="B2469" s="7"/>
      <c r="D2469" s="7"/>
      <c r="F2469" s="7"/>
      <c r="H2469" s="7"/>
      <c r="J2469" s="7"/>
      <c r="L2469" s="7"/>
      <c r="N2469" s="7"/>
      <c r="P2469" s="7"/>
      <c r="R2469" s="7"/>
      <c r="T2469" s="7"/>
      <c r="V2469" s="7"/>
      <c r="X2469" s="7"/>
    </row>
    <row r="2470" spans="2:24">
      <c r="B2470" s="7"/>
      <c r="D2470" s="7"/>
      <c r="F2470" s="7"/>
      <c r="H2470" s="7"/>
      <c r="J2470" s="7"/>
      <c r="L2470" s="7"/>
      <c r="N2470" s="7"/>
      <c r="P2470" s="7"/>
      <c r="R2470" s="7"/>
      <c r="T2470" s="7"/>
      <c r="V2470" s="7"/>
      <c r="X2470" s="7"/>
    </row>
    <row r="2471" spans="2:24">
      <c r="B2471" s="7"/>
      <c r="D2471" s="7"/>
      <c r="F2471" s="7"/>
      <c r="H2471" s="7"/>
      <c r="J2471" s="7"/>
      <c r="L2471" s="7"/>
      <c r="N2471" s="7"/>
      <c r="P2471" s="7"/>
      <c r="R2471" s="7"/>
      <c r="T2471" s="7"/>
      <c r="V2471" s="7"/>
      <c r="X2471" s="7"/>
    </row>
    <row r="2472" spans="2:24">
      <c r="B2472" s="7"/>
      <c r="D2472" s="7"/>
      <c r="F2472" s="7"/>
      <c r="H2472" s="7"/>
      <c r="J2472" s="7"/>
      <c r="L2472" s="7"/>
      <c r="N2472" s="7"/>
      <c r="P2472" s="7"/>
      <c r="R2472" s="7"/>
      <c r="T2472" s="7"/>
      <c r="V2472" s="7"/>
      <c r="X2472" s="7"/>
    </row>
    <row r="2473" spans="2:24">
      <c r="B2473" s="7"/>
      <c r="D2473" s="7"/>
      <c r="F2473" s="7"/>
      <c r="H2473" s="7"/>
      <c r="J2473" s="7"/>
      <c r="L2473" s="7"/>
      <c r="N2473" s="7"/>
      <c r="P2473" s="7"/>
      <c r="R2473" s="7"/>
      <c r="T2473" s="7"/>
      <c r="V2473" s="7"/>
      <c r="X2473" s="7"/>
    </row>
    <row r="2474" spans="2:24">
      <c r="B2474" s="7"/>
      <c r="D2474" s="7"/>
      <c r="F2474" s="7"/>
      <c r="H2474" s="7"/>
      <c r="J2474" s="7"/>
      <c r="L2474" s="7"/>
      <c r="N2474" s="7"/>
      <c r="P2474" s="7"/>
      <c r="R2474" s="7"/>
      <c r="T2474" s="7"/>
      <c r="V2474" s="7"/>
      <c r="X2474" s="7"/>
    </row>
    <row r="2475" spans="2:24">
      <c r="B2475" s="7"/>
      <c r="D2475" s="7"/>
      <c r="F2475" s="7"/>
      <c r="H2475" s="7"/>
      <c r="J2475" s="7"/>
      <c r="L2475" s="7"/>
      <c r="N2475" s="7"/>
      <c r="P2475" s="7"/>
      <c r="R2475" s="7"/>
      <c r="T2475" s="7"/>
      <c r="V2475" s="7"/>
      <c r="X2475" s="7"/>
    </row>
    <row r="2476" spans="2:24">
      <c r="B2476" s="7"/>
      <c r="D2476" s="7"/>
      <c r="F2476" s="7"/>
      <c r="H2476" s="7"/>
      <c r="J2476" s="7"/>
      <c r="L2476" s="7"/>
      <c r="N2476" s="7"/>
      <c r="P2476" s="7"/>
      <c r="R2476" s="7"/>
      <c r="T2476" s="7"/>
      <c r="V2476" s="7"/>
      <c r="X2476" s="7"/>
    </row>
    <row r="2477" spans="2:24">
      <c r="B2477" s="7"/>
      <c r="D2477" s="7"/>
      <c r="F2477" s="7"/>
      <c r="H2477" s="7"/>
      <c r="J2477" s="7"/>
      <c r="L2477" s="7"/>
      <c r="N2477" s="7"/>
      <c r="P2477" s="7"/>
      <c r="R2477" s="7"/>
      <c r="T2477" s="7"/>
      <c r="V2477" s="7"/>
      <c r="X2477" s="7"/>
    </row>
    <row r="2478" spans="2:24">
      <c r="B2478" s="7"/>
      <c r="D2478" s="7"/>
      <c r="F2478" s="7"/>
      <c r="H2478" s="7"/>
      <c r="J2478" s="7"/>
      <c r="L2478" s="7"/>
      <c r="N2478" s="7"/>
      <c r="P2478" s="7"/>
      <c r="R2478" s="7"/>
      <c r="T2478" s="7"/>
      <c r="V2478" s="7"/>
      <c r="X2478" s="7"/>
    </row>
    <row r="2479" spans="2:24">
      <c r="B2479" s="7"/>
      <c r="D2479" s="7"/>
      <c r="F2479" s="7"/>
      <c r="H2479" s="7"/>
      <c r="J2479" s="7"/>
      <c r="L2479" s="7"/>
      <c r="N2479" s="7"/>
      <c r="P2479" s="7"/>
      <c r="R2479" s="7"/>
      <c r="T2479" s="7"/>
      <c r="V2479" s="7"/>
      <c r="X2479" s="7"/>
    </row>
    <row r="2480" spans="2:24">
      <c r="B2480" s="7"/>
      <c r="D2480" s="7"/>
      <c r="F2480" s="7"/>
      <c r="H2480" s="7"/>
      <c r="J2480" s="7"/>
      <c r="L2480" s="7"/>
      <c r="N2480" s="7"/>
      <c r="P2480" s="7"/>
      <c r="R2480" s="7"/>
      <c r="T2480" s="7"/>
      <c r="V2480" s="7"/>
      <c r="X2480" s="7"/>
    </row>
    <row r="2481" spans="2:24">
      <c r="B2481" s="7"/>
      <c r="D2481" s="7"/>
      <c r="F2481" s="7"/>
      <c r="H2481" s="7"/>
      <c r="J2481" s="7"/>
      <c r="L2481" s="7"/>
      <c r="N2481" s="7"/>
      <c r="P2481" s="7"/>
      <c r="R2481" s="7"/>
      <c r="T2481" s="7"/>
      <c r="V2481" s="7"/>
      <c r="X2481" s="7"/>
    </row>
    <row r="2482" spans="2:24">
      <c r="B2482" s="7"/>
      <c r="D2482" s="7"/>
      <c r="F2482" s="7"/>
      <c r="H2482" s="7"/>
      <c r="J2482" s="7"/>
      <c r="L2482" s="7"/>
      <c r="N2482" s="7"/>
      <c r="P2482" s="7"/>
      <c r="R2482" s="7"/>
      <c r="T2482" s="7"/>
      <c r="V2482" s="7"/>
      <c r="X2482" s="7"/>
    </row>
    <row r="2483" spans="2:24">
      <c r="B2483" s="7"/>
      <c r="D2483" s="7"/>
      <c r="F2483" s="7"/>
      <c r="H2483" s="7"/>
      <c r="J2483" s="7"/>
      <c r="L2483" s="7"/>
      <c r="N2483" s="7"/>
      <c r="P2483" s="7"/>
      <c r="R2483" s="7"/>
      <c r="T2483" s="7"/>
      <c r="V2483" s="7"/>
      <c r="X2483" s="7"/>
    </row>
    <row r="2484" spans="2:24">
      <c r="B2484" s="7"/>
      <c r="D2484" s="7"/>
      <c r="F2484" s="7"/>
      <c r="H2484" s="7"/>
      <c r="J2484" s="7"/>
      <c r="L2484" s="7"/>
      <c r="N2484" s="7"/>
      <c r="P2484" s="7"/>
      <c r="R2484" s="7"/>
      <c r="T2484" s="7"/>
      <c r="V2484" s="7"/>
      <c r="X2484" s="7"/>
    </row>
    <row r="2485" spans="2:24">
      <c r="B2485" s="7"/>
      <c r="D2485" s="7"/>
      <c r="F2485" s="7"/>
      <c r="H2485" s="7"/>
      <c r="J2485" s="7"/>
      <c r="L2485" s="7"/>
      <c r="N2485" s="7"/>
      <c r="P2485" s="7"/>
      <c r="R2485" s="7"/>
      <c r="T2485" s="7"/>
      <c r="V2485" s="7"/>
      <c r="X2485" s="7"/>
    </row>
    <row r="2486" spans="2:24">
      <c r="B2486" s="7"/>
      <c r="D2486" s="7"/>
      <c r="F2486" s="7"/>
      <c r="H2486" s="7"/>
      <c r="J2486" s="7"/>
      <c r="L2486" s="7"/>
      <c r="N2486" s="7"/>
      <c r="P2486" s="7"/>
      <c r="R2486" s="7"/>
      <c r="T2486" s="7"/>
      <c r="V2486" s="7"/>
      <c r="X2486" s="7"/>
    </row>
    <row r="2487" spans="2:24">
      <c r="B2487" s="7"/>
      <c r="D2487" s="7"/>
      <c r="F2487" s="7"/>
      <c r="H2487" s="7"/>
      <c r="J2487" s="7"/>
      <c r="L2487" s="7"/>
      <c r="N2487" s="7"/>
      <c r="P2487" s="7"/>
      <c r="R2487" s="7"/>
      <c r="T2487" s="7"/>
      <c r="V2487" s="7"/>
      <c r="X2487" s="7"/>
    </row>
    <row r="2488" spans="2:24">
      <c r="B2488" s="7"/>
      <c r="D2488" s="7"/>
      <c r="F2488" s="7"/>
      <c r="H2488" s="7"/>
      <c r="J2488" s="7"/>
      <c r="L2488" s="7"/>
      <c r="N2488" s="7"/>
      <c r="P2488" s="7"/>
      <c r="R2488" s="7"/>
      <c r="T2488" s="7"/>
      <c r="V2488" s="7"/>
      <c r="X2488" s="7"/>
    </row>
    <row r="2489" spans="2:24">
      <c r="B2489" s="7"/>
      <c r="D2489" s="7"/>
      <c r="F2489" s="7"/>
      <c r="H2489" s="7"/>
      <c r="J2489" s="7"/>
      <c r="L2489" s="7"/>
      <c r="N2489" s="7"/>
      <c r="P2489" s="7"/>
      <c r="R2489" s="7"/>
      <c r="T2489" s="7"/>
      <c r="V2489" s="7"/>
      <c r="X2489" s="7"/>
    </row>
    <row r="2490" spans="2:24">
      <c r="B2490" s="7"/>
      <c r="D2490" s="7"/>
      <c r="F2490" s="7"/>
      <c r="H2490" s="7"/>
      <c r="J2490" s="7"/>
      <c r="L2490" s="7"/>
      <c r="N2490" s="7"/>
      <c r="P2490" s="7"/>
      <c r="R2490" s="7"/>
      <c r="T2490" s="7"/>
      <c r="V2490" s="7"/>
      <c r="X2490" s="7"/>
    </row>
    <row r="2491" spans="2:24">
      <c r="B2491" s="7"/>
      <c r="D2491" s="7"/>
      <c r="F2491" s="7"/>
      <c r="H2491" s="7"/>
      <c r="J2491" s="7"/>
      <c r="L2491" s="7"/>
      <c r="N2491" s="7"/>
      <c r="P2491" s="7"/>
      <c r="R2491" s="7"/>
      <c r="T2491" s="7"/>
      <c r="V2491" s="7"/>
      <c r="X2491" s="7"/>
    </row>
    <row r="2492" spans="2:24">
      <c r="B2492" s="7"/>
      <c r="D2492" s="7"/>
      <c r="F2492" s="7"/>
      <c r="H2492" s="7"/>
      <c r="J2492" s="7"/>
      <c r="L2492" s="7"/>
      <c r="N2492" s="7"/>
      <c r="P2492" s="7"/>
      <c r="R2492" s="7"/>
      <c r="T2492" s="7"/>
      <c r="V2492" s="7"/>
      <c r="X2492" s="7"/>
    </row>
    <row r="2493" spans="2:24">
      <c r="B2493" s="7"/>
      <c r="D2493" s="7"/>
      <c r="F2493" s="7"/>
      <c r="H2493" s="7"/>
      <c r="J2493" s="7"/>
      <c r="L2493" s="7"/>
      <c r="N2493" s="7"/>
      <c r="P2493" s="7"/>
      <c r="R2493" s="7"/>
      <c r="T2493" s="7"/>
      <c r="V2493" s="7"/>
      <c r="X2493" s="7"/>
    </row>
    <row r="2494" spans="2:24">
      <c r="B2494" s="7"/>
      <c r="D2494" s="7"/>
      <c r="F2494" s="7"/>
      <c r="H2494" s="7"/>
      <c r="J2494" s="7"/>
      <c r="L2494" s="7"/>
      <c r="N2494" s="7"/>
      <c r="P2494" s="7"/>
      <c r="R2494" s="7"/>
      <c r="T2494" s="7"/>
      <c r="V2494" s="7"/>
      <c r="X2494" s="7"/>
    </row>
    <row r="2495" spans="2:24">
      <c r="B2495" s="7"/>
      <c r="D2495" s="7"/>
      <c r="F2495" s="7"/>
      <c r="H2495" s="7"/>
      <c r="J2495" s="7"/>
      <c r="L2495" s="7"/>
      <c r="N2495" s="7"/>
      <c r="P2495" s="7"/>
      <c r="R2495" s="7"/>
      <c r="T2495" s="7"/>
      <c r="V2495" s="7"/>
      <c r="X2495" s="7"/>
    </row>
    <row r="2496" spans="2:24">
      <c r="B2496" s="7"/>
      <c r="D2496" s="7"/>
      <c r="F2496" s="7"/>
      <c r="H2496" s="7"/>
      <c r="J2496" s="7"/>
      <c r="L2496" s="7"/>
      <c r="N2496" s="7"/>
      <c r="P2496" s="7"/>
      <c r="R2496" s="7"/>
      <c r="T2496" s="7"/>
      <c r="V2496" s="7"/>
      <c r="X2496" s="7"/>
    </row>
    <row r="2497" spans="2:24">
      <c r="B2497" s="7"/>
      <c r="D2497" s="7"/>
      <c r="F2497" s="7"/>
      <c r="H2497" s="7"/>
      <c r="J2497" s="7"/>
      <c r="L2497" s="7"/>
      <c r="N2497" s="7"/>
      <c r="P2497" s="7"/>
      <c r="R2497" s="7"/>
      <c r="T2497" s="7"/>
      <c r="V2497" s="7"/>
      <c r="X2497" s="7"/>
    </row>
    <row r="2498" spans="2:24">
      <c r="B2498" s="7"/>
      <c r="D2498" s="7"/>
      <c r="F2498" s="7"/>
      <c r="H2498" s="7"/>
      <c r="J2498" s="7"/>
      <c r="L2498" s="7"/>
      <c r="N2498" s="7"/>
      <c r="P2498" s="7"/>
      <c r="R2498" s="7"/>
      <c r="T2498" s="7"/>
      <c r="V2498" s="7"/>
      <c r="X2498" s="7"/>
    </row>
    <row r="2499" spans="2:24">
      <c r="B2499" s="7"/>
      <c r="D2499" s="7"/>
      <c r="F2499" s="7"/>
      <c r="H2499" s="7"/>
      <c r="J2499" s="7"/>
      <c r="L2499" s="7"/>
      <c r="N2499" s="7"/>
      <c r="P2499" s="7"/>
      <c r="R2499" s="7"/>
      <c r="T2499" s="7"/>
      <c r="V2499" s="7"/>
      <c r="X2499" s="7"/>
    </row>
    <row r="2500" spans="2:24">
      <c r="B2500" s="7"/>
      <c r="D2500" s="7"/>
      <c r="F2500" s="7"/>
      <c r="H2500" s="7"/>
      <c r="J2500" s="7"/>
      <c r="L2500" s="7"/>
      <c r="N2500" s="7"/>
      <c r="P2500" s="7"/>
      <c r="R2500" s="7"/>
      <c r="T2500" s="7"/>
      <c r="V2500" s="7"/>
      <c r="X2500" s="7"/>
    </row>
    <row r="2501" spans="2:24">
      <c r="B2501" s="7"/>
      <c r="D2501" s="7"/>
      <c r="F2501" s="7"/>
      <c r="H2501" s="7"/>
      <c r="J2501" s="7"/>
      <c r="L2501" s="7"/>
      <c r="N2501" s="7"/>
      <c r="P2501" s="7"/>
      <c r="R2501" s="7"/>
      <c r="T2501" s="7"/>
      <c r="V2501" s="7"/>
      <c r="X2501" s="7"/>
    </row>
    <row r="2502" spans="2:24">
      <c r="B2502" s="7"/>
      <c r="D2502" s="7"/>
      <c r="F2502" s="7"/>
      <c r="H2502" s="7"/>
      <c r="J2502" s="7"/>
      <c r="L2502" s="7"/>
      <c r="N2502" s="7"/>
      <c r="P2502" s="7"/>
      <c r="R2502" s="7"/>
      <c r="T2502" s="7"/>
      <c r="V2502" s="7"/>
      <c r="X2502" s="7"/>
    </row>
    <row r="2503" spans="2:24">
      <c r="B2503" s="7"/>
      <c r="D2503" s="7"/>
      <c r="F2503" s="7"/>
      <c r="H2503" s="7"/>
      <c r="J2503" s="7"/>
      <c r="L2503" s="7"/>
      <c r="N2503" s="7"/>
      <c r="P2503" s="7"/>
      <c r="R2503" s="7"/>
      <c r="T2503" s="7"/>
      <c r="V2503" s="7"/>
      <c r="X2503" s="7"/>
    </row>
    <row r="2504" spans="2:24">
      <c r="B2504" s="7"/>
      <c r="D2504" s="7"/>
      <c r="F2504" s="7"/>
      <c r="H2504" s="7"/>
      <c r="J2504" s="7"/>
      <c r="L2504" s="7"/>
      <c r="N2504" s="7"/>
      <c r="P2504" s="7"/>
      <c r="R2504" s="7"/>
      <c r="T2504" s="7"/>
      <c r="V2504" s="7"/>
      <c r="X2504" s="7"/>
    </row>
    <row r="2505" spans="2:24">
      <c r="B2505" s="7"/>
      <c r="D2505" s="7"/>
      <c r="F2505" s="7"/>
      <c r="H2505" s="7"/>
      <c r="J2505" s="7"/>
      <c r="L2505" s="7"/>
      <c r="N2505" s="7"/>
      <c r="P2505" s="7"/>
      <c r="R2505" s="7"/>
      <c r="T2505" s="7"/>
      <c r="V2505" s="7"/>
      <c r="X2505" s="7"/>
    </row>
    <row r="2506" spans="2:24">
      <c r="B2506" s="7"/>
      <c r="D2506" s="7"/>
      <c r="F2506" s="7"/>
      <c r="H2506" s="7"/>
      <c r="J2506" s="7"/>
      <c r="L2506" s="7"/>
      <c r="N2506" s="7"/>
      <c r="P2506" s="7"/>
      <c r="R2506" s="7"/>
      <c r="T2506" s="7"/>
      <c r="V2506" s="7"/>
      <c r="X2506" s="7"/>
    </row>
    <row r="2507" spans="2:24">
      <c r="B2507" s="7"/>
      <c r="D2507" s="7"/>
      <c r="F2507" s="7"/>
      <c r="H2507" s="7"/>
      <c r="J2507" s="7"/>
      <c r="L2507" s="7"/>
      <c r="N2507" s="7"/>
      <c r="P2507" s="7"/>
      <c r="R2507" s="7"/>
      <c r="T2507" s="7"/>
      <c r="V2507" s="7"/>
      <c r="X2507" s="7"/>
    </row>
    <row r="2508" spans="2:24">
      <c r="B2508" s="7"/>
      <c r="D2508" s="7"/>
      <c r="F2508" s="7"/>
      <c r="H2508" s="7"/>
      <c r="J2508" s="7"/>
      <c r="L2508" s="7"/>
      <c r="N2508" s="7"/>
      <c r="P2508" s="7"/>
      <c r="R2508" s="7"/>
      <c r="T2508" s="7"/>
      <c r="V2508" s="7"/>
      <c r="X2508" s="7"/>
    </row>
    <row r="2509" spans="2:24">
      <c r="B2509" s="7"/>
      <c r="D2509" s="7"/>
      <c r="F2509" s="7"/>
      <c r="H2509" s="7"/>
      <c r="J2509" s="7"/>
      <c r="L2509" s="7"/>
      <c r="N2509" s="7"/>
      <c r="P2509" s="7"/>
      <c r="R2509" s="7"/>
      <c r="T2509" s="7"/>
      <c r="V2509" s="7"/>
      <c r="X2509" s="7"/>
    </row>
    <row r="2510" spans="2:24">
      <c r="B2510" s="7"/>
      <c r="D2510" s="7"/>
      <c r="F2510" s="7"/>
      <c r="H2510" s="7"/>
      <c r="J2510" s="7"/>
      <c r="L2510" s="7"/>
      <c r="N2510" s="7"/>
      <c r="P2510" s="7"/>
      <c r="R2510" s="7"/>
      <c r="T2510" s="7"/>
      <c r="V2510" s="7"/>
      <c r="X2510" s="7"/>
    </row>
    <row r="2511" spans="2:24">
      <c r="B2511" s="7"/>
      <c r="D2511" s="7"/>
      <c r="F2511" s="7"/>
      <c r="H2511" s="7"/>
      <c r="J2511" s="7"/>
      <c r="L2511" s="7"/>
      <c r="N2511" s="7"/>
      <c r="P2511" s="7"/>
      <c r="R2511" s="7"/>
      <c r="T2511" s="7"/>
      <c r="V2511" s="7"/>
      <c r="X2511" s="7"/>
    </row>
    <row r="2512" spans="2:24">
      <c r="B2512" s="7"/>
      <c r="D2512" s="7"/>
      <c r="F2512" s="7"/>
      <c r="H2512" s="7"/>
      <c r="J2512" s="7"/>
      <c r="L2512" s="7"/>
      <c r="N2512" s="7"/>
      <c r="P2512" s="7"/>
      <c r="R2512" s="7"/>
      <c r="T2512" s="7"/>
      <c r="V2512" s="7"/>
      <c r="X2512" s="7"/>
    </row>
    <row r="2513" spans="2:24">
      <c r="B2513" s="7"/>
      <c r="D2513" s="7"/>
      <c r="F2513" s="7"/>
      <c r="H2513" s="7"/>
      <c r="J2513" s="7"/>
      <c r="L2513" s="7"/>
      <c r="N2513" s="7"/>
      <c r="P2513" s="7"/>
      <c r="R2513" s="7"/>
      <c r="T2513" s="7"/>
      <c r="V2513" s="7"/>
      <c r="X2513" s="7"/>
    </row>
    <row r="2514" spans="2:24">
      <c r="B2514" s="7"/>
      <c r="D2514" s="7"/>
      <c r="F2514" s="7"/>
      <c r="H2514" s="7"/>
      <c r="J2514" s="7"/>
      <c r="L2514" s="7"/>
      <c r="N2514" s="7"/>
      <c r="P2514" s="7"/>
      <c r="R2514" s="7"/>
      <c r="T2514" s="7"/>
      <c r="V2514" s="7"/>
      <c r="X2514" s="7"/>
    </row>
    <row r="2515" spans="2:24">
      <c r="B2515" s="7"/>
      <c r="D2515" s="7"/>
      <c r="F2515" s="7"/>
      <c r="H2515" s="7"/>
      <c r="J2515" s="7"/>
      <c r="L2515" s="7"/>
      <c r="N2515" s="7"/>
      <c r="P2515" s="7"/>
      <c r="R2515" s="7"/>
      <c r="T2515" s="7"/>
      <c r="V2515" s="7"/>
      <c r="X2515" s="7"/>
    </row>
    <row r="2516" spans="2:24">
      <c r="B2516" s="7"/>
      <c r="D2516" s="7"/>
      <c r="F2516" s="7"/>
      <c r="H2516" s="7"/>
      <c r="J2516" s="7"/>
      <c r="L2516" s="7"/>
      <c r="N2516" s="7"/>
      <c r="P2516" s="7"/>
      <c r="R2516" s="7"/>
      <c r="T2516" s="7"/>
      <c r="V2516" s="7"/>
      <c r="X2516" s="7"/>
    </row>
    <row r="2517" spans="2:24">
      <c r="B2517" s="7"/>
      <c r="D2517" s="7"/>
      <c r="F2517" s="7"/>
      <c r="H2517" s="7"/>
      <c r="J2517" s="7"/>
      <c r="L2517" s="7"/>
      <c r="N2517" s="7"/>
      <c r="P2517" s="7"/>
      <c r="R2517" s="7"/>
      <c r="T2517" s="7"/>
      <c r="V2517" s="7"/>
      <c r="X2517" s="7"/>
    </row>
    <row r="2518" spans="2:24">
      <c r="B2518" s="7"/>
      <c r="D2518" s="7"/>
      <c r="F2518" s="7"/>
      <c r="H2518" s="7"/>
      <c r="J2518" s="7"/>
      <c r="L2518" s="7"/>
      <c r="N2518" s="7"/>
      <c r="P2518" s="7"/>
      <c r="R2518" s="7"/>
      <c r="T2518" s="7"/>
      <c r="V2518" s="7"/>
      <c r="X2518" s="7"/>
    </row>
    <row r="2519" spans="2:24">
      <c r="B2519" s="7"/>
      <c r="D2519" s="7"/>
      <c r="F2519" s="7"/>
      <c r="H2519" s="7"/>
      <c r="J2519" s="7"/>
      <c r="L2519" s="7"/>
      <c r="N2519" s="7"/>
      <c r="P2519" s="7"/>
      <c r="R2519" s="7"/>
      <c r="T2519" s="7"/>
      <c r="V2519" s="7"/>
      <c r="X2519" s="7"/>
    </row>
    <row r="2520" spans="2:24">
      <c r="B2520" s="7"/>
      <c r="D2520" s="7"/>
      <c r="F2520" s="7"/>
      <c r="H2520" s="7"/>
      <c r="J2520" s="7"/>
      <c r="L2520" s="7"/>
      <c r="N2520" s="7"/>
      <c r="P2520" s="7"/>
      <c r="R2520" s="7"/>
      <c r="T2520" s="7"/>
      <c r="V2520" s="7"/>
      <c r="X2520" s="7"/>
    </row>
    <row r="2521" spans="2:24">
      <c r="B2521" s="7"/>
      <c r="D2521" s="7"/>
      <c r="F2521" s="7"/>
      <c r="H2521" s="7"/>
      <c r="J2521" s="7"/>
      <c r="L2521" s="7"/>
      <c r="N2521" s="7"/>
      <c r="P2521" s="7"/>
      <c r="R2521" s="7"/>
      <c r="T2521" s="7"/>
      <c r="V2521" s="7"/>
      <c r="X2521" s="7"/>
    </row>
    <row r="2522" spans="2:24">
      <c r="B2522" s="7"/>
      <c r="D2522" s="7"/>
      <c r="F2522" s="7"/>
      <c r="H2522" s="7"/>
      <c r="J2522" s="7"/>
      <c r="L2522" s="7"/>
      <c r="N2522" s="7"/>
      <c r="P2522" s="7"/>
      <c r="R2522" s="7"/>
      <c r="T2522" s="7"/>
      <c r="V2522" s="7"/>
      <c r="X2522" s="7"/>
    </row>
    <row r="2523" spans="2:24">
      <c r="B2523" s="7"/>
      <c r="D2523" s="7"/>
      <c r="F2523" s="7"/>
      <c r="H2523" s="7"/>
      <c r="J2523" s="7"/>
      <c r="L2523" s="7"/>
      <c r="N2523" s="7"/>
      <c r="P2523" s="7"/>
      <c r="R2523" s="7"/>
      <c r="T2523" s="7"/>
      <c r="V2523" s="7"/>
      <c r="X2523" s="7"/>
    </row>
    <row r="2524" spans="2:24">
      <c r="B2524" s="7"/>
      <c r="D2524" s="7"/>
      <c r="F2524" s="7"/>
      <c r="H2524" s="7"/>
      <c r="J2524" s="7"/>
      <c r="L2524" s="7"/>
      <c r="N2524" s="7"/>
      <c r="P2524" s="7"/>
      <c r="R2524" s="7"/>
      <c r="T2524" s="7"/>
      <c r="V2524" s="7"/>
      <c r="X2524" s="7"/>
    </row>
    <row r="2525" spans="2:24">
      <c r="B2525" s="7"/>
      <c r="D2525" s="7"/>
      <c r="F2525" s="7"/>
      <c r="H2525" s="7"/>
      <c r="J2525" s="7"/>
      <c r="L2525" s="7"/>
      <c r="N2525" s="7"/>
      <c r="P2525" s="7"/>
      <c r="R2525" s="7"/>
      <c r="T2525" s="7"/>
      <c r="V2525" s="7"/>
      <c r="X2525" s="7"/>
    </row>
    <row r="2526" spans="2:24">
      <c r="B2526" s="7"/>
      <c r="D2526" s="7"/>
      <c r="F2526" s="7"/>
      <c r="H2526" s="7"/>
      <c r="J2526" s="7"/>
      <c r="L2526" s="7"/>
      <c r="N2526" s="7"/>
      <c r="P2526" s="7"/>
      <c r="R2526" s="7"/>
      <c r="T2526" s="7"/>
      <c r="V2526" s="7"/>
      <c r="X2526" s="7"/>
    </row>
    <row r="2527" spans="2:24">
      <c r="B2527" s="7"/>
      <c r="D2527" s="7"/>
      <c r="F2527" s="7"/>
      <c r="H2527" s="7"/>
      <c r="J2527" s="7"/>
      <c r="L2527" s="7"/>
      <c r="N2527" s="7"/>
      <c r="P2527" s="7"/>
      <c r="R2527" s="7"/>
      <c r="T2527" s="7"/>
      <c r="V2527" s="7"/>
      <c r="X2527" s="7"/>
    </row>
    <row r="2528" spans="2:24">
      <c r="B2528" s="7"/>
      <c r="D2528" s="7"/>
      <c r="F2528" s="7"/>
      <c r="H2528" s="7"/>
      <c r="J2528" s="7"/>
      <c r="L2528" s="7"/>
      <c r="N2528" s="7"/>
      <c r="P2528" s="7"/>
      <c r="R2528" s="7"/>
      <c r="T2528" s="7"/>
      <c r="V2528" s="7"/>
      <c r="X2528" s="7"/>
    </row>
    <row r="2529" spans="2:24">
      <c r="B2529" s="7"/>
      <c r="D2529" s="7"/>
      <c r="F2529" s="7"/>
      <c r="H2529" s="7"/>
      <c r="J2529" s="7"/>
      <c r="L2529" s="7"/>
      <c r="N2529" s="7"/>
      <c r="P2529" s="7"/>
      <c r="R2529" s="7"/>
      <c r="T2529" s="7"/>
      <c r="V2529" s="7"/>
      <c r="X2529" s="7"/>
    </row>
    <row r="2530" spans="2:24">
      <c r="B2530" s="7"/>
      <c r="D2530" s="7"/>
      <c r="F2530" s="7"/>
      <c r="H2530" s="7"/>
      <c r="J2530" s="7"/>
      <c r="L2530" s="7"/>
      <c r="N2530" s="7"/>
      <c r="P2530" s="7"/>
      <c r="R2530" s="7"/>
      <c r="T2530" s="7"/>
      <c r="V2530" s="7"/>
      <c r="X2530" s="7"/>
    </row>
    <row r="2531" spans="2:24">
      <c r="B2531" s="7"/>
      <c r="D2531" s="7"/>
      <c r="F2531" s="7"/>
      <c r="H2531" s="7"/>
      <c r="J2531" s="7"/>
      <c r="L2531" s="7"/>
      <c r="N2531" s="7"/>
      <c r="P2531" s="7"/>
      <c r="R2531" s="7"/>
      <c r="T2531" s="7"/>
      <c r="V2531" s="7"/>
      <c r="X2531" s="7"/>
    </row>
    <row r="2532" spans="2:24">
      <c r="B2532" s="7"/>
      <c r="D2532" s="7"/>
      <c r="F2532" s="7"/>
      <c r="H2532" s="7"/>
      <c r="J2532" s="7"/>
      <c r="L2532" s="7"/>
      <c r="N2532" s="7"/>
      <c r="P2532" s="7"/>
      <c r="R2532" s="7"/>
      <c r="T2532" s="7"/>
      <c r="V2532" s="7"/>
      <c r="X2532" s="7"/>
    </row>
    <row r="2533" spans="2:24">
      <c r="B2533" s="7"/>
      <c r="D2533" s="7"/>
      <c r="F2533" s="7"/>
      <c r="H2533" s="7"/>
      <c r="J2533" s="7"/>
      <c r="L2533" s="7"/>
      <c r="N2533" s="7"/>
      <c r="P2533" s="7"/>
      <c r="R2533" s="7"/>
      <c r="T2533" s="7"/>
      <c r="V2533" s="7"/>
      <c r="X2533" s="7"/>
    </row>
    <row r="2534" spans="2:24">
      <c r="B2534" s="7"/>
      <c r="D2534" s="7"/>
      <c r="F2534" s="7"/>
      <c r="H2534" s="7"/>
      <c r="J2534" s="7"/>
      <c r="L2534" s="7"/>
      <c r="N2534" s="7"/>
      <c r="P2534" s="7"/>
      <c r="R2534" s="7"/>
      <c r="T2534" s="7"/>
      <c r="V2534" s="7"/>
      <c r="X2534" s="7"/>
    </row>
    <row r="2535" spans="2:24">
      <c r="B2535" s="7"/>
      <c r="D2535" s="7"/>
      <c r="F2535" s="7"/>
      <c r="H2535" s="7"/>
      <c r="J2535" s="7"/>
      <c r="L2535" s="7"/>
      <c r="N2535" s="7"/>
      <c r="P2535" s="7"/>
      <c r="R2535" s="7"/>
      <c r="T2535" s="7"/>
      <c r="V2535" s="7"/>
      <c r="X2535" s="7"/>
    </row>
    <row r="2536" spans="2:24">
      <c r="B2536" s="7"/>
      <c r="D2536" s="7"/>
      <c r="F2536" s="7"/>
      <c r="H2536" s="7"/>
      <c r="J2536" s="7"/>
      <c r="L2536" s="7"/>
      <c r="N2536" s="7"/>
      <c r="P2536" s="7"/>
      <c r="R2536" s="7"/>
      <c r="T2536" s="7"/>
      <c r="V2536" s="7"/>
      <c r="X2536" s="7"/>
    </row>
    <row r="2537" spans="2:24">
      <c r="B2537" s="7"/>
      <c r="D2537" s="7"/>
      <c r="F2537" s="7"/>
      <c r="H2537" s="7"/>
      <c r="J2537" s="7"/>
      <c r="L2537" s="7"/>
      <c r="N2537" s="7"/>
      <c r="P2537" s="7"/>
      <c r="R2537" s="7"/>
      <c r="T2537" s="7"/>
      <c r="V2537" s="7"/>
      <c r="X2537" s="7"/>
    </row>
    <row r="2538" spans="2:24">
      <c r="B2538" s="7"/>
      <c r="D2538" s="7"/>
      <c r="F2538" s="7"/>
      <c r="H2538" s="7"/>
      <c r="J2538" s="7"/>
      <c r="L2538" s="7"/>
      <c r="N2538" s="7"/>
      <c r="P2538" s="7"/>
      <c r="R2538" s="7"/>
      <c r="T2538" s="7"/>
      <c r="V2538" s="7"/>
      <c r="X2538" s="7"/>
    </row>
    <row r="2539" spans="2:24">
      <c r="B2539" s="7"/>
      <c r="D2539" s="7"/>
      <c r="F2539" s="7"/>
      <c r="H2539" s="7"/>
      <c r="J2539" s="7"/>
      <c r="L2539" s="7"/>
      <c r="N2539" s="7"/>
      <c r="P2539" s="7"/>
      <c r="R2539" s="7"/>
      <c r="T2539" s="7"/>
      <c r="V2539" s="7"/>
      <c r="X2539" s="7"/>
    </row>
    <row r="2540" spans="2:24">
      <c r="B2540" s="7"/>
      <c r="D2540" s="7"/>
      <c r="F2540" s="7"/>
      <c r="H2540" s="7"/>
      <c r="J2540" s="7"/>
      <c r="L2540" s="7"/>
      <c r="N2540" s="7"/>
      <c r="P2540" s="7"/>
      <c r="R2540" s="7"/>
      <c r="T2540" s="7"/>
      <c r="V2540" s="7"/>
      <c r="X2540" s="7"/>
    </row>
    <row r="2541" spans="2:24">
      <c r="B2541" s="7"/>
      <c r="D2541" s="7"/>
      <c r="F2541" s="7"/>
      <c r="H2541" s="7"/>
      <c r="J2541" s="7"/>
      <c r="L2541" s="7"/>
      <c r="N2541" s="7"/>
      <c r="P2541" s="7"/>
      <c r="R2541" s="7"/>
      <c r="T2541" s="7"/>
      <c r="V2541" s="7"/>
      <c r="X2541" s="7"/>
    </row>
    <row r="2542" spans="2:24">
      <c r="B2542" s="7"/>
      <c r="D2542" s="7"/>
      <c r="F2542" s="7"/>
      <c r="H2542" s="7"/>
      <c r="J2542" s="7"/>
      <c r="L2542" s="7"/>
      <c r="N2542" s="7"/>
      <c r="P2542" s="7"/>
      <c r="R2542" s="7"/>
      <c r="T2542" s="7"/>
      <c r="V2542" s="7"/>
      <c r="X2542" s="7"/>
    </row>
    <row r="2543" spans="2:24">
      <c r="B2543" s="7"/>
      <c r="D2543" s="7"/>
      <c r="F2543" s="7"/>
      <c r="H2543" s="7"/>
      <c r="J2543" s="7"/>
      <c r="L2543" s="7"/>
      <c r="N2543" s="7"/>
      <c r="P2543" s="7"/>
      <c r="R2543" s="7"/>
      <c r="T2543" s="7"/>
      <c r="V2543" s="7"/>
      <c r="X2543" s="7"/>
    </row>
    <row r="2544" spans="2:24">
      <c r="B2544" s="7"/>
      <c r="D2544" s="7"/>
      <c r="F2544" s="7"/>
      <c r="H2544" s="7"/>
      <c r="J2544" s="7"/>
      <c r="L2544" s="7"/>
      <c r="N2544" s="7"/>
      <c r="P2544" s="7"/>
      <c r="R2544" s="7"/>
      <c r="T2544" s="7"/>
      <c r="V2544" s="7"/>
      <c r="X2544" s="7"/>
    </row>
    <row r="2545" spans="2:24">
      <c r="B2545" s="7"/>
      <c r="D2545" s="7"/>
      <c r="F2545" s="7"/>
      <c r="H2545" s="7"/>
      <c r="J2545" s="7"/>
      <c r="L2545" s="7"/>
      <c r="N2545" s="7"/>
      <c r="P2545" s="7"/>
      <c r="R2545" s="7"/>
      <c r="T2545" s="7"/>
      <c r="V2545" s="7"/>
      <c r="X2545" s="7"/>
    </row>
    <row r="2546" spans="2:24">
      <c r="B2546" s="7"/>
      <c r="D2546" s="7"/>
      <c r="F2546" s="7"/>
      <c r="H2546" s="7"/>
      <c r="J2546" s="7"/>
      <c r="L2546" s="7"/>
      <c r="N2546" s="7"/>
      <c r="P2546" s="7"/>
      <c r="R2546" s="7"/>
      <c r="T2546" s="7"/>
      <c r="V2546" s="7"/>
      <c r="X2546" s="7"/>
    </row>
    <row r="2547" spans="2:24">
      <c r="B2547" s="7"/>
      <c r="D2547" s="7"/>
      <c r="F2547" s="7"/>
      <c r="H2547" s="7"/>
      <c r="J2547" s="7"/>
      <c r="L2547" s="7"/>
      <c r="N2547" s="7"/>
      <c r="P2547" s="7"/>
      <c r="R2547" s="7"/>
      <c r="T2547" s="7"/>
      <c r="V2547" s="7"/>
      <c r="X2547" s="7"/>
    </row>
    <row r="2548" spans="2:24">
      <c r="B2548" s="7"/>
      <c r="D2548" s="7"/>
      <c r="F2548" s="7"/>
      <c r="H2548" s="7"/>
      <c r="J2548" s="7"/>
      <c r="L2548" s="7"/>
      <c r="N2548" s="7"/>
      <c r="P2548" s="7"/>
      <c r="R2548" s="7"/>
      <c r="T2548" s="7"/>
      <c r="V2548" s="7"/>
      <c r="X2548" s="7"/>
    </row>
    <row r="2549" spans="2:24">
      <c r="B2549" s="7"/>
      <c r="D2549" s="7"/>
      <c r="F2549" s="7"/>
      <c r="H2549" s="7"/>
      <c r="J2549" s="7"/>
      <c r="L2549" s="7"/>
      <c r="N2549" s="7"/>
      <c r="P2549" s="7"/>
      <c r="R2549" s="7"/>
      <c r="T2549" s="7"/>
      <c r="V2549" s="7"/>
      <c r="X2549" s="7"/>
    </row>
    <row r="2550" spans="2:24">
      <c r="B2550" s="7"/>
      <c r="D2550" s="7"/>
      <c r="F2550" s="7"/>
      <c r="H2550" s="7"/>
      <c r="J2550" s="7"/>
      <c r="L2550" s="7"/>
      <c r="N2550" s="7"/>
      <c r="P2550" s="7"/>
      <c r="R2550" s="7"/>
      <c r="T2550" s="7"/>
      <c r="V2550" s="7"/>
      <c r="X2550" s="7"/>
    </row>
    <row r="2551" spans="2:24">
      <c r="B2551" s="7"/>
      <c r="D2551" s="7"/>
      <c r="F2551" s="7"/>
      <c r="H2551" s="7"/>
      <c r="J2551" s="7"/>
      <c r="L2551" s="7"/>
      <c r="N2551" s="7"/>
      <c r="P2551" s="7"/>
      <c r="R2551" s="7"/>
      <c r="T2551" s="7"/>
      <c r="V2551" s="7"/>
      <c r="X2551" s="7"/>
    </row>
    <row r="2552" spans="2:24">
      <c r="B2552" s="7"/>
      <c r="D2552" s="7"/>
      <c r="F2552" s="7"/>
      <c r="H2552" s="7"/>
      <c r="J2552" s="7"/>
      <c r="L2552" s="7"/>
      <c r="N2552" s="7"/>
      <c r="P2552" s="7"/>
      <c r="R2552" s="7"/>
      <c r="T2552" s="7"/>
      <c r="V2552" s="7"/>
      <c r="X2552" s="7"/>
    </row>
    <row r="2553" spans="2:24">
      <c r="B2553" s="7"/>
      <c r="D2553" s="7"/>
      <c r="F2553" s="7"/>
      <c r="H2553" s="7"/>
      <c r="J2553" s="7"/>
      <c r="L2553" s="7"/>
      <c r="N2553" s="7"/>
      <c r="P2553" s="7"/>
      <c r="R2553" s="7"/>
      <c r="T2553" s="7"/>
      <c r="V2553" s="7"/>
      <c r="X2553" s="7"/>
    </row>
    <row r="2554" spans="2:24">
      <c r="B2554" s="7"/>
      <c r="D2554" s="7"/>
      <c r="F2554" s="7"/>
      <c r="H2554" s="7"/>
      <c r="J2554" s="7"/>
      <c r="L2554" s="7"/>
      <c r="N2554" s="7"/>
      <c r="P2554" s="7"/>
      <c r="R2554" s="7"/>
      <c r="T2554" s="7"/>
      <c r="V2554" s="7"/>
      <c r="X2554" s="7"/>
    </row>
    <row r="2555" spans="2:24">
      <c r="B2555" s="7"/>
      <c r="D2555" s="7"/>
      <c r="F2555" s="7"/>
      <c r="H2555" s="7"/>
      <c r="J2555" s="7"/>
      <c r="L2555" s="7"/>
      <c r="N2555" s="7"/>
      <c r="P2555" s="7"/>
      <c r="R2555" s="7"/>
      <c r="T2555" s="7"/>
      <c r="V2555" s="7"/>
      <c r="X2555" s="7"/>
    </row>
    <row r="2556" spans="2:24">
      <c r="B2556" s="7"/>
      <c r="D2556" s="7"/>
      <c r="F2556" s="7"/>
      <c r="H2556" s="7"/>
      <c r="J2556" s="7"/>
      <c r="L2556" s="7"/>
      <c r="N2556" s="7"/>
      <c r="P2556" s="7"/>
      <c r="R2556" s="7"/>
      <c r="T2556" s="7"/>
      <c r="V2556" s="7"/>
      <c r="X2556" s="7"/>
    </row>
    <row r="2557" spans="2:24">
      <c r="B2557" s="7"/>
      <c r="D2557" s="7"/>
      <c r="F2557" s="7"/>
      <c r="H2557" s="7"/>
      <c r="J2557" s="7"/>
      <c r="L2557" s="7"/>
      <c r="N2557" s="7"/>
      <c r="P2557" s="7"/>
      <c r="R2557" s="7"/>
      <c r="T2557" s="7"/>
      <c r="V2557" s="7"/>
      <c r="X2557" s="7"/>
    </row>
    <row r="2558" spans="2:24">
      <c r="B2558" s="7"/>
      <c r="D2558" s="7"/>
      <c r="F2558" s="7"/>
      <c r="H2558" s="7"/>
      <c r="J2558" s="7"/>
      <c r="L2558" s="7"/>
      <c r="N2558" s="7"/>
      <c r="P2558" s="7"/>
      <c r="R2558" s="7"/>
      <c r="T2558" s="7"/>
      <c r="V2558" s="7"/>
      <c r="X2558" s="7"/>
    </row>
    <row r="2559" spans="2:24">
      <c r="B2559" s="7"/>
      <c r="D2559" s="7"/>
      <c r="F2559" s="7"/>
      <c r="H2559" s="7"/>
      <c r="J2559" s="7"/>
      <c r="L2559" s="7"/>
      <c r="N2559" s="7"/>
      <c r="P2559" s="7"/>
      <c r="R2559" s="7"/>
      <c r="T2559" s="7"/>
      <c r="V2559" s="7"/>
      <c r="X2559" s="7"/>
    </row>
    <row r="2560" spans="2:24">
      <c r="B2560" s="7"/>
      <c r="D2560" s="7"/>
      <c r="F2560" s="7"/>
      <c r="H2560" s="7"/>
      <c r="J2560" s="7"/>
      <c r="L2560" s="7"/>
      <c r="N2560" s="7"/>
      <c r="P2560" s="7"/>
      <c r="R2560" s="7"/>
      <c r="T2560" s="7"/>
      <c r="V2560" s="7"/>
      <c r="X2560" s="7"/>
    </row>
    <row r="2561" spans="2:24">
      <c r="B2561" s="7"/>
      <c r="D2561" s="7"/>
      <c r="F2561" s="7"/>
      <c r="H2561" s="7"/>
      <c r="J2561" s="7"/>
      <c r="L2561" s="7"/>
      <c r="N2561" s="7"/>
      <c r="P2561" s="7"/>
      <c r="R2561" s="7"/>
      <c r="T2561" s="7"/>
      <c r="V2561" s="7"/>
      <c r="X2561" s="7"/>
    </row>
    <row r="2562" spans="2:24">
      <c r="B2562" s="7"/>
      <c r="D2562" s="7"/>
      <c r="F2562" s="7"/>
      <c r="H2562" s="7"/>
      <c r="J2562" s="7"/>
      <c r="L2562" s="7"/>
      <c r="N2562" s="7"/>
      <c r="P2562" s="7"/>
      <c r="R2562" s="7"/>
      <c r="T2562" s="7"/>
      <c r="V2562" s="7"/>
      <c r="X2562" s="7"/>
    </row>
    <row r="2563" spans="2:24">
      <c r="B2563" s="7"/>
      <c r="D2563" s="7"/>
      <c r="F2563" s="7"/>
      <c r="H2563" s="7"/>
      <c r="J2563" s="7"/>
      <c r="L2563" s="7"/>
      <c r="N2563" s="7"/>
      <c r="P2563" s="7"/>
      <c r="R2563" s="7"/>
      <c r="T2563" s="7"/>
      <c r="V2563" s="7"/>
      <c r="X2563" s="7"/>
    </row>
    <row r="2564" spans="2:24">
      <c r="B2564" s="7"/>
      <c r="D2564" s="7"/>
      <c r="F2564" s="7"/>
      <c r="H2564" s="7"/>
      <c r="J2564" s="7"/>
      <c r="L2564" s="7"/>
      <c r="N2564" s="7"/>
      <c r="P2564" s="7"/>
      <c r="R2564" s="7"/>
      <c r="T2564" s="7"/>
      <c r="V2564" s="7"/>
      <c r="X2564" s="7"/>
    </row>
    <row r="2565" spans="2:24">
      <c r="B2565" s="7"/>
      <c r="D2565" s="7"/>
      <c r="F2565" s="7"/>
      <c r="H2565" s="7"/>
      <c r="J2565" s="7"/>
      <c r="L2565" s="7"/>
      <c r="N2565" s="7"/>
      <c r="P2565" s="7"/>
      <c r="R2565" s="7"/>
      <c r="T2565" s="7"/>
      <c r="V2565" s="7"/>
      <c r="X2565" s="7"/>
    </row>
    <row r="2566" spans="2:24">
      <c r="B2566" s="7"/>
      <c r="D2566" s="7"/>
      <c r="F2566" s="7"/>
      <c r="H2566" s="7"/>
      <c r="J2566" s="7"/>
      <c r="L2566" s="7"/>
      <c r="N2566" s="7"/>
      <c r="P2566" s="7"/>
      <c r="R2566" s="7"/>
      <c r="T2566" s="7"/>
      <c r="V2566" s="7"/>
      <c r="X2566" s="7"/>
    </row>
    <row r="2567" spans="2:24">
      <c r="B2567" s="7"/>
      <c r="D2567" s="7"/>
      <c r="F2567" s="7"/>
      <c r="H2567" s="7"/>
      <c r="J2567" s="7"/>
      <c r="L2567" s="7"/>
      <c r="N2567" s="7"/>
      <c r="P2567" s="7"/>
      <c r="R2567" s="7"/>
      <c r="T2567" s="7"/>
      <c r="V2567" s="7"/>
      <c r="X2567" s="7"/>
    </row>
    <row r="2568" spans="2:24">
      <c r="B2568" s="7"/>
      <c r="D2568" s="7"/>
      <c r="F2568" s="7"/>
      <c r="H2568" s="7"/>
      <c r="J2568" s="7"/>
      <c r="L2568" s="7"/>
      <c r="N2568" s="7"/>
      <c r="P2568" s="7"/>
      <c r="R2568" s="7"/>
      <c r="T2568" s="7"/>
      <c r="V2568" s="7"/>
      <c r="X2568" s="7"/>
    </row>
    <row r="2569" spans="2:24">
      <c r="B2569" s="7"/>
      <c r="D2569" s="7"/>
      <c r="F2569" s="7"/>
      <c r="H2569" s="7"/>
      <c r="J2569" s="7"/>
      <c r="L2569" s="7"/>
      <c r="N2569" s="7"/>
      <c r="P2569" s="7"/>
      <c r="R2569" s="7"/>
      <c r="T2569" s="7"/>
      <c r="V2569" s="7"/>
      <c r="X2569" s="7"/>
    </row>
    <row r="2570" spans="2:24">
      <c r="B2570" s="7"/>
      <c r="D2570" s="7"/>
      <c r="F2570" s="7"/>
      <c r="H2570" s="7"/>
      <c r="J2570" s="7"/>
      <c r="L2570" s="7"/>
      <c r="N2570" s="7"/>
      <c r="P2570" s="7"/>
      <c r="R2570" s="7"/>
      <c r="T2570" s="7"/>
      <c r="V2570" s="7"/>
      <c r="X2570" s="7"/>
    </row>
    <row r="2571" spans="2:24">
      <c r="B2571" s="7"/>
      <c r="D2571" s="7"/>
      <c r="F2571" s="7"/>
      <c r="H2571" s="7"/>
      <c r="J2571" s="7"/>
      <c r="L2571" s="7"/>
      <c r="N2571" s="7"/>
      <c r="P2571" s="7"/>
      <c r="R2571" s="7"/>
      <c r="T2571" s="7"/>
      <c r="V2571" s="7"/>
      <c r="X2571" s="7"/>
    </row>
    <row r="2572" spans="2:24">
      <c r="B2572" s="7"/>
      <c r="D2572" s="7"/>
      <c r="F2572" s="7"/>
      <c r="H2572" s="7"/>
      <c r="J2572" s="7"/>
      <c r="L2572" s="7"/>
      <c r="N2572" s="7"/>
      <c r="P2572" s="7"/>
      <c r="R2572" s="7"/>
      <c r="T2572" s="7"/>
      <c r="V2572" s="7"/>
      <c r="X2572" s="7"/>
    </row>
    <row r="2573" spans="2:24">
      <c r="B2573" s="7"/>
      <c r="D2573" s="7"/>
      <c r="F2573" s="7"/>
      <c r="H2573" s="7"/>
      <c r="J2573" s="7"/>
      <c r="L2573" s="7"/>
      <c r="N2573" s="7"/>
      <c r="P2573" s="7"/>
      <c r="R2573" s="7"/>
      <c r="T2573" s="7"/>
      <c r="V2573" s="7"/>
      <c r="X2573" s="7"/>
    </row>
    <row r="2574" spans="2:24">
      <c r="B2574" s="7"/>
      <c r="D2574" s="7"/>
      <c r="F2574" s="7"/>
      <c r="H2574" s="7"/>
      <c r="J2574" s="7"/>
      <c r="L2574" s="7"/>
      <c r="N2574" s="7"/>
      <c r="P2574" s="7"/>
      <c r="R2574" s="7"/>
      <c r="T2574" s="7"/>
      <c r="V2574" s="7"/>
      <c r="X2574" s="7"/>
    </row>
    <row r="2575" spans="2:24">
      <c r="B2575" s="7"/>
      <c r="D2575" s="7"/>
      <c r="F2575" s="7"/>
      <c r="H2575" s="7"/>
      <c r="J2575" s="7"/>
      <c r="L2575" s="7"/>
      <c r="N2575" s="7"/>
      <c r="P2575" s="7"/>
      <c r="R2575" s="7"/>
      <c r="T2575" s="7"/>
      <c r="V2575" s="7"/>
      <c r="X2575" s="7"/>
    </row>
    <row r="2576" spans="2:24">
      <c r="B2576" s="7"/>
      <c r="D2576" s="7"/>
      <c r="F2576" s="7"/>
      <c r="H2576" s="7"/>
      <c r="J2576" s="7"/>
      <c r="L2576" s="7"/>
      <c r="N2576" s="7"/>
      <c r="P2576" s="7"/>
      <c r="R2576" s="7"/>
      <c r="T2576" s="7"/>
      <c r="V2576" s="7"/>
      <c r="X2576" s="7"/>
    </row>
    <row r="2577" spans="2:24">
      <c r="B2577" s="7"/>
      <c r="D2577" s="7"/>
      <c r="F2577" s="7"/>
      <c r="H2577" s="7"/>
      <c r="J2577" s="7"/>
      <c r="L2577" s="7"/>
      <c r="N2577" s="7"/>
      <c r="P2577" s="7"/>
      <c r="R2577" s="7"/>
      <c r="T2577" s="7"/>
      <c r="V2577" s="7"/>
      <c r="X2577" s="7"/>
    </row>
    <row r="2578" spans="2:24">
      <c r="B2578" s="7"/>
      <c r="D2578" s="7"/>
      <c r="F2578" s="7"/>
      <c r="H2578" s="7"/>
      <c r="J2578" s="7"/>
      <c r="L2578" s="7"/>
      <c r="N2578" s="7"/>
      <c r="P2578" s="7"/>
      <c r="R2578" s="7"/>
      <c r="T2578" s="7"/>
      <c r="V2578" s="7"/>
      <c r="X2578" s="7"/>
    </row>
    <row r="2579" spans="2:24">
      <c r="B2579" s="7"/>
      <c r="D2579" s="7"/>
      <c r="F2579" s="7"/>
      <c r="H2579" s="7"/>
      <c r="J2579" s="7"/>
      <c r="L2579" s="7"/>
      <c r="N2579" s="7"/>
      <c r="P2579" s="7"/>
      <c r="R2579" s="7"/>
      <c r="T2579" s="7"/>
      <c r="V2579" s="7"/>
      <c r="X2579" s="7"/>
    </row>
    <row r="2580" spans="2:24">
      <c r="B2580" s="7"/>
      <c r="D2580" s="7"/>
      <c r="F2580" s="7"/>
      <c r="H2580" s="7"/>
      <c r="J2580" s="7"/>
      <c r="L2580" s="7"/>
      <c r="N2580" s="7"/>
      <c r="P2580" s="7"/>
      <c r="R2580" s="7"/>
      <c r="T2580" s="7"/>
      <c r="V2580" s="7"/>
      <c r="X2580" s="7"/>
    </row>
    <row r="2581" spans="2:24">
      <c r="B2581" s="7"/>
      <c r="D2581" s="7"/>
      <c r="F2581" s="7"/>
      <c r="H2581" s="7"/>
      <c r="J2581" s="7"/>
      <c r="L2581" s="7"/>
      <c r="N2581" s="7"/>
      <c r="P2581" s="7"/>
      <c r="R2581" s="7"/>
      <c r="T2581" s="7"/>
      <c r="V2581" s="7"/>
      <c r="X2581" s="7"/>
    </row>
    <row r="2582" spans="2:24">
      <c r="B2582" s="7"/>
      <c r="D2582" s="7"/>
      <c r="F2582" s="7"/>
      <c r="H2582" s="7"/>
      <c r="J2582" s="7"/>
      <c r="L2582" s="7"/>
      <c r="N2582" s="7"/>
      <c r="P2582" s="7"/>
      <c r="R2582" s="7"/>
      <c r="T2582" s="7"/>
      <c r="V2582" s="7"/>
      <c r="X2582" s="7"/>
    </row>
    <row r="2583" spans="2:24">
      <c r="B2583" s="7"/>
      <c r="D2583" s="7"/>
      <c r="F2583" s="7"/>
      <c r="H2583" s="7"/>
      <c r="J2583" s="7"/>
      <c r="L2583" s="7"/>
      <c r="N2583" s="7"/>
      <c r="P2583" s="7"/>
      <c r="R2583" s="7"/>
      <c r="T2583" s="7"/>
      <c r="V2583" s="7"/>
      <c r="X2583" s="7"/>
    </row>
    <row r="2584" spans="2:24">
      <c r="B2584" s="7"/>
      <c r="D2584" s="7"/>
      <c r="F2584" s="7"/>
      <c r="H2584" s="7"/>
      <c r="J2584" s="7"/>
      <c r="L2584" s="7"/>
      <c r="N2584" s="7"/>
      <c r="P2584" s="7"/>
      <c r="R2584" s="7"/>
      <c r="T2584" s="7"/>
      <c r="V2584" s="7"/>
      <c r="X2584" s="7"/>
    </row>
    <row r="2585" spans="2:24">
      <c r="B2585" s="7"/>
      <c r="D2585" s="7"/>
      <c r="F2585" s="7"/>
      <c r="H2585" s="7"/>
      <c r="J2585" s="7"/>
      <c r="L2585" s="7"/>
      <c r="N2585" s="7"/>
      <c r="P2585" s="7"/>
      <c r="R2585" s="7"/>
      <c r="T2585" s="7"/>
      <c r="V2585" s="7"/>
      <c r="X2585" s="7"/>
    </row>
    <row r="2586" spans="2:24">
      <c r="B2586" s="7"/>
      <c r="D2586" s="7"/>
      <c r="F2586" s="7"/>
      <c r="H2586" s="7"/>
      <c r="J2586" s="7"/>
      <c r="L2586" s="7"/>
      <c r="N2586" s="7"/>
      <c r="P2586" s="7"/>
      <c r="R2586" s="7"/>
      <c r="T2586" s="7"/>
      <c r="V2586" s="7"/>
      <c r="X2586" s="7"/>
    </row>
    <row r="2587" spans="2:24">
      <c r="B2587" s="7"/>
      <c r="D2587" s="7"/>
      <c r="F2587" s="7"/>
      <c r="H2587" s="7"/>
      <c r="J2587" s="7"/>
      <c r="L2587" s="7"/>
      <c r="N2587" s="7"/>
      <c r="P2587" s="7"/>
      <c r="R2587" s="7"/>
      <c r="T2587" s="7"/>
      <c r="V2587" s="7"/>
      <c r="X2587" s="7"/>
    </row>
    <row r="2588" spans="2:24">
      <c r="B2588" s="7"/>
      <c r="D2588" s="7"/>
      <c r="F2588" s="7"/>
      <c r="H2588" s="7"/>
      <c r="J2588" s="7"/>
      <c r="L2588" s="7"/>
      <c r="N2588" s="7"/>
      <c r="P2588" s="7"/>
      <c r="R2588" s="7"/>
      <c r="T2588" s="7"/>
      <c r="V2588" s="7"/>
      <c r="X2588" s="7"/>
    </row>
    <row r="2589" spans="2:24">
      <c r="B2589" s="7"/>
      <c r="D2589" s="7"/>
      <c r="F2589" s="7"/>
      <c r="H2589" s="7"/>
      <c r="J2589" s="7"/>
      <c r="L2589" s="7"/>
      <c r="N2589" s="7"/>
      <c r="P2589" s="7"/>
      <c r="R2589" s="7"/>
      <c r="T2589" s="7"/>
      <c r="V2589" s="7"/>
      <c r="X2589" s="7"/>
    </row>
    <row r="2590" spans="2:24">
      <c r="B2590" s="7"/>
      <c r="D2590" s="7"/>
      <c r="F2590" s="7"/>
      <c r="H2590" s="7"/>
      <c r="J2590" s="7"/>
      <c r="L2590" s="7"/>
      <c r="N2590" s="7"/>
      <c r="P2590" s="7"/>
      <c r="R2590" s="7"/>
      <c r="T2590" s="7"/>
      <c r="V2590" s="7"/>
      <c r="X2590" s="7"/>
    </row>
    <row r="2591" spans="2:24">
      <c r="B2591" s="7"/>
      <c r="D2591" s="7"/>
      <c r="F2591" s="7"/>
      <c r="H2591" s="7"/>
      <c r="J2591" s="7"/>
      <c r="L2591" s="7"/>
      <c r="N2591" s="7"/>
      <c r="P2591" s="7"/>
      <c r="R2591" s="7"/>
      <c r="T2591" s="7"/>
      <c r="V2591" s="7"/>
      <c r="X2591" s="7"/>
    </row>
    <row r="2592" spans="2:24">
      <c r="B2592" s="7"/>
      <c r="D2592" s="7"/>
      <c r="F2592" s="7"/>
      <c r="H2592" s="7"/>
      <c r="J2592" s="7"/>
      <c r="L2592" s="7"/>
      <c r="N2592" s="7"/>
      <c r="P2592" s="7"/>
      <c r="R2592" s="7"/>
      <c r="T2592" s="7"/>
      <c r="V2592" s="7"/>
      <c r="X2592" s="7"/>
    </row>
    <row r="2593" spans="2:24">
      <c r="B2593" s="7"/>
      <c r="D2593" s="7"/>
      <c r="F2593" s="7"/>
      <c r="H2593" s="7"/>
      <c r="J2593" s="7"/>
      <c r="L2593" s="7"/>
      <c r="N2593" s="7"/>
      <c r="P2593" s="7"/>
      <c r="R2593" s="7"/>
      <c r="T2593" s="7"/>
      <c r="V2593" s="7"/>
      <c r="X2593" s="7"/>
    </row>
    <row r="2594" spans="2:24">
      <c r="B2594" s="7"/>
      <c r="D2594" s="7"/>
      <c r="F2594" s="7"/>
      <c r="H2594" s="7"/>
      <c r="J2594" s="7"/>
      <c r="L2594" s="7"/>
      <c r="N2594" s="7"/>
      <c r="P2594" s="7"/>
      <c r="R2594" s="7"/>
      <c r="T2594" s="7"/>
      <c r="V2594" s="7"/>
      <c r="X2594" s="7"/>
    </row>
    <row r="2595" spans="2:24">
      <c r="B2595" s="7"/>
      <c r="D2595" s="7"/>
      <c r="F2595" s="7"/>
      <c r="H2595" s="7"/>
      <c r="J2595" s="7"/>
      <c r="L2595" s="7"/>
      <c r="N2595" s="7"/>
      <c r="P2595" s="7"/>
      <c r="R2595" s="7"/>
      <c r="T2595" s="7"/>
      <c r="V2595" s="7"/>
      <c r="X2595" s="7"/>
    </row>
    <row r="2596" spans="2:24">
      <c r="B2596" s="7"/>
      <c r="D2596" s="7"/>
      <c r="F2596" s="7"/>
      <c r="H2596" s="7"/>
      <c r="J2596" s="7"/>
      <c r="L2596" s="7"/>
      <c r="N2596" s="7"/>
      <c r="P2596" s="7"/>
      <c r="R2596" s="7"/>
      <c r="T2596" s="7"/>
      <c r="V2596" s="7"/>
      <c r="X2596" s="7"/>
    </row>
    <row r="2597" spans="2:24">
      <c r="B2597" s="7"/>
      <c r="D2597" s="7"/>
      <c r="F2597" s="7"/>
      <c r="H2597" s="7"/>
      <c r="J2597" s="7"/>
      <c r="L2597" s="7"/>
      <c r="N2597" s="7"/>
      <c r="P2597" s="7"/>
      <c r="R2597" s="7"/>
      <c r="T2597" s="7"/>
      <c r="V2597" s="7"/>
      <c r="X2597" s="7"/>
    </row>
    <row r="2598" spans="2:24">
      <c r="B2598" s="7"/>
      <c r="D2598" s="7"/>
      <c r="F2598" s="7"/>
      <c r="H2598" s="7"/>
      <c r="J2598" s="7"/>
      <c r="L2598" s="7"/>
      <c r="N2598" s="7"/>
      <c r="P2598" s="7"/>
      <c r="R2598" s="7"/>
      <c r="T2598" s="7"/>
      <c r="V2598" s="7"/>
      <c r="X2598" s="7"/>
    </row>
    <row r="2599" spans="2:24">
      <c r="B2599" s="7"/>
      <c r="D2599" s="7"/>
      <c r="F2599" s="7"/>
      <c r="H2599" s="7"/>
      <c r="J2599" s="7"/>
      <c r="L2599" s="7"/>
      <c r="N2599" s="7"/>
      <c r="P2599" s="7"/>
      <c r="R2599" s="7"/>
      <c r="T2599" s="7"/>
      <c r="V2599" s="7"/>
      <c r="X2599" s="7"/>
    </row>
    <row r="2600" spans="2:24">
      <c r="B2600" s="7"/>
      <c r="D2600" s="7"/>
      <c r="F2600" s="7"/>
      <c r="H2600" s="7"/>
      <c r="J2600" s="7"/>
      <c r="L2600" s="7"/>
      <c r="N2600" s="7"/>
      <c r="P2600" s="7"/>
      <c r="R2600" s="7"/>
      <c r="T2600" s="7"/>
      <c r="V2600" s="7"/>
      <c r="X2600" s="7"/>
    </row>
    <row r="2601" spans="2:24">
      <c r="B2601" s="7"/>
      <c r="D2601" s="7"/>
      <c r="F2601" s="7"/>
      <c r="H2601" s="7"/>
      <c r="J2601" s="7"/>
      <c r="L2601" s="7"/>
      <c r="N2601" s="7"/>
      <c r="P2601" s="7"/>
      <c r="R2601" s="7"/>
      <c r="T2601" s="7"/>
      <c r="V2601" s="7"/>
      <c r="X2601" s="7"/>
    </row>
    <row r="2602" spans="2:24">
      <c r="B2602" s="7"/>
      <c r="D2602" s="7"/>
      <c r="F2602" s="7"/>
      <c r="H2602" s="7"/>
      <c r="J2602" s="7"/>
      <c r="L2602" s="7"/>
      <c r="N2602" s="7"/>
      <c r="P2602" s="7"/>
      <c r="R2602" s="7"/>
      <c r="T2602" s="7"/>
      <c r="V2602" s="7"/>
      <c r="X2602" s="7"/>
    </row>
    <row r="2603" spans="2:24">
      <c r="B2603" s="7"/>
      <c r="D2603" s="7"/>
      <c r="F2603" s="7"/>
      <c r="H2603" s="7"/>
      <c r="J2603" s="7"/>
      <c r="L2603" s="7"/>
      <c r="N2603" s="7"/>
      <c r="P2603" s="7"/>
      <c r="R2603" s="7"/>
      <c r="T2603" s="7"/>
      <c r="V2603" s="7"/>
      <c r="X2603" s="7"/>
    </row>
    <row r="2604" spans="2:24">
      <c r="B2604" s="7"/>
      <c r="D2604" s="7"/>
      <c r="F2604" s="7"/>
      <c r="H2604" s="7"/>
      <c r="J2604" s="7"/>
      <c r="L2604" s="7"/>
      <c r="N2604" s="7"/>
      <c r="P2604" s="7"/>
      <c r="R2604" s="7"/>
      <c r="T2604" s="7"/>
      <c r="V2604" s="7"/>
      <c r="X2604" s="7"/>
    </row>
    <row r="2605" spans="2:24">
      <c r="B2605" s="7"/>
      <c r="D2605" s="7"/>
      <c r="F2605" s="7"/>
      <c r="H2605" s="7"/>
      <c r="J2605" s="7"/>
      <c r="L2605" s="7"/>
      <c r="N2605" s="7"/>
      <c r="P2605" s="7"/>
      <c r="R2605" s="7"/>
      <c r="T2605" s="7"/>
      <c r="V2605" s="7"/>
      <c r="X2605" s="7"/>
    </row>
    <row r="2606" spans="2:24">
      <c r="B2606" s="7"/>
      <c r="D2606" s="7"/>
      <c r="F2606" s="7"/>
      <c r="H2606" s="7"/>
      <c r="J2606" s="7"/>
      <c r="L2606" s="7"/>
      <c r="N2606" s="7"/>
      <c r="P2606" s="7"/>
      <c r="R2606" s="7"/>
      <c r="T2606" s="7"/>
      <c r="V2606" s="7"/>
      <c r="X2606" s="7"/>
    </row>
    <row r="2607" spans="2:24">
      <c r="B2607" s="7"/>
      <c r="D2607" s="7"/>
      <c r="F2607" s="7"/>
      <c r="H2607" s="7"/>
      <c r="J2607" s="7"/>
      <c r="L2607" s="7"/>
      <c r="N2607" s="7"/>
      <c r="P2607" s="7"/>
      <c r="R2607" s="7"/>
      <c r="T2607" s="7"/>
      <c r="V2607" s="7"/>
      <c r="X2607" s="7"/>
    </row>
    <row r="2608" spans="2:24">
      <c r="B2608" s="7"/>
      <c r="D2608" s="7"/>
      <c r="F2608" s="7"/>
      <c r="H2608" s="7"/>
      <c r="J2608" s="7"/>
      <c r="L2608" s="7"/>
      <c r="N2608" s="7"/>
      <c r="P2608" s="7"/>
      <c r="R2608" s="7"/>
      <c r="T2608" s="7"/>
      <c r="V2608" s="7"/>
      <c r="X2608" s="7"/>
    </row>
    <row r="2609" spans="2:24">
      <c r="B2609" s="7"/>
      <c r="D2609" s="7"/>
      <c r="F2609" s="7"/>
      <c r="H2609" s="7"/>
      <c r="J2609" s="7"/>
      <c r="L2609" s="7"/>
      <c r="N2609" s="7"/>
      <c r="P2609" s="7"/>
      <c r="R2609" s="7"/>
      <c r="T2609" s="7"/>
      <c r="V2609" s="7"/>
      <c r="X2609" s="7"/>
    </row>
    <row r="2610" spans="2:24">
      <c r="B2610" s="7"/>
      <c r="D2610" s="7"/>
      <c r="F2610" s="7"/>
      <c r="H2610" s="7"/>
      <c r="J2610" s="7"/>
      <c r="L2610" s="7"/>
      <c r="N2610" s="7"/>
      <c r="P2610" s="7"/>
      <c r="R2610" s="7"/>
      <c r="T2610" s="7"/>
      <c r="V2610" s="7"/>
      <c r="X2610" s="7"/>
    </row>
    <row r="2611" spans="2:24">
      <c r="B2611" s="7"/>
      <c r="D2611" s="7"/>
      <c r="F2611" s="7"/>
      <c r="H2611" s="7"/>
      <c r="J2611" s="7"/>
      <c r="L2611" s="7"/>
      <c r="N2611" s="7"/>
      <c r="P2611" s="7"/>
      <c r="R2611" s="7"/>
      <c r="T2611" s="7"/>
      <c r="V2611" s="7"/>
      <c r="X2611" s="7"/>
    </row>
    <row r="2612" spans="2:24">
      <c r="B2612" s="7"/>
      <c r="D2612" s="7"/>
      <c r="F2612" s="7"/>
      <c r="H2612" s="7"/>
      <c r="J2612" s="7"/>
      <c r="L2612" s="7"/>
      <c r="N2612" s="7"/>
      <c r="P2612" s="7"/>
      <c r="R2612" s="7"/>
      <c r="T2612" s="7"/>
      <c r="V2612" s="7"/>
      <c r="X2612" s="7"/>
    </row>
    <row r="2613" spans="2:24">
      <c r="B2613" s="7"/>
      <c r="D2613" s="7"/>
      <c r="F2613" s="7"/>
      <c r="H2613" s="7"/>
      <c r="J2613" s="7"/>
      <c r="L2613" s="7"/>
      <c r="N2613" s="7"/>
      <c r="P2613" s="7"/>
      <c r="R2613" s="7"/>
      <c r="T2613" s="7"/>
      <c r="V2613" s="7"/>
      <c r="X2613" s="7"/>
    </row>
    <row r="2614" spans="2:24">
      <c r="B2614" s="7"/>
      <c r="D2614" s="7"/>
      <c r="F2614" s="7"/>
      <c r="H2614" s="7"/>
      <c r="J2614" s="7"/>
      <c r="L2614" s="7"/>
      <c r="N2614" s="7"/>
      <c r="P2614" s="7"/>
      <c r="R2614" s="7"/>
      <c r="T2614" s="7"/>
      <c r="V2614" s="7"/>
      <c r="X2614" s="7"/>
    </row>
    <row r="2615" spans="2:24">
      <c r="B2615" s="7"/>
      <c r="D2615" s="7"/>
      <c r="F2615" s="7"/>
      <c r="H2615" s="7"/>
      <c r="J2615" s="7"/>
      <c r="L2615" s="7"/>
      <c r="N2615" s="7"/>
      <c r="P2615" s="7"/>
      <c r="R2615" s="7"/>
      <c r="T2615" s="7"/>
      <c r="V2615" s="7"/>
      <c r="X2615" s="7"/>
    </row>
    <row r="2616" spans="2:24">
      <c r="B2616" s="7"/>
      <c r="D2616" s="7"/>
      <c r="F2616" s="7"/>
      <c r="H2616" s="7"/>
      <c r="J2616" s="7"/>
      <c r="L2616" s="7"/>
      <c r="N2616" s="7"/>
      <c r="P2616" s="7"/>
      <c r="R2616" s="7"/>
      <c r="T2616" s="7"/>
      <c r="V2616" s="7"/>
      <c r="X2616" s="7"/>
    </row>
    <row r="2617" spans="2:24">
      <c r="B2617" s="7"/>
      <c r="D2617" s="7"/>
      <c r="F2617" s="7"/>
      <c r="H2617" s="7"/>
      <c r="J2617" s="7"/>
      <c r="L2617" s="7"/>
      <c r="N2617" s="7"/>
      <c r="P2617" s="7"/>
      <c r="R2617" s="7"/>
      <c r="T2617" s="7"/>
      <c r="V2617" s="7"/>
      <c r="X2617" s="7"/>
    </row>
    <row r="2618" spans="2:24">
      <c r="B2618" s="7"/>
      <c r="D2618" s="7"/>
      <c r="F2618" s="7"/>
      <c r="H2618" s="7"/>
      <c r="J2618" s="7"/>
      <c r="L2618" s="7"/>
      <c r="N2618" s="7"/>
      <c r="P2618" s="7"/>
      <c r="R2618" s="7"/>
      <c r="T2618" s="7"/>
      <c r="V2618" s="7"/>
      <c r="X2618" s="7"/>
    </row>
    <row r="2619" spans="2:24">
      <c r="B2619" s="7"/>
      <c r="D2619" s="7"/>
      <c r="F2619" s="7"/>
      <c r="H2619" s="7"/>
      <c r="J2619" s="7"/>
      <c r="L2619" s="7"/>
      <c r="N2619" s="7"/>
      <c r="P2619" s="7"/>
      <c r="R2619" s="7"/>
      <c r="T2619" s="7"/>
      <c r="V2619" s="7"/>
      <c r="X2619" s="7"/>
    </row>
    <row r="2620" spans="2:24">
      <c r="B2620" s="7"/>
      <c r="D2620" s="7"/>
      <c r="F2620" s="7"/>
      <c r="H2620" s="7"/>
      <c r="J2620" s="7"/>
      <c r="L2620" s="7"/>
      <c r="N2620" s="7"/>
      <c r="P2620" s="7"/>
      <c r="R2620" s="7"/>
      <c r="T2620" s="7"/>
      <c r="V2620" s="7"/>
      <c r="X2620" s="7"/>
    </row>
    <row r="2621" spans="2:24">
      <c r="B2621" s="7"/>
      <c r="D2621" s="7"/>
      <c r="F2621" s="7"/>
      <c r="H2621" s="7"/>
      <c r="J2621" s="7"/>
      <c r="L2621" s="7"/>
      <c r="N2621" s="7"/>
      <c r="P2621" s="7"/>
      <c r="R2621" s="7"/>
      <c r="T2621" s="7"/>
      <c r="V2621" s="7"/>
      <c r="X2621" s="7"/>
    </row>
    <row r="2622" spans="2:24">
      <c r="B2622" s="7"/>
      <c r="D2622" s="7"/>
      <c r="F2622" s="7"/>
      <c r="H2622" s="7"/>
      <c r="J2622" s="7"/>
      <c r="L2622" s="7"/>
      <c r="N2622" s="7"/>
      <c r="P2622" s="7"/>
      <c r="R2622" s="7"/>
      <c r="T2622" s="7"/>
      <c r="V2622" s="7"/>
      <c r="X2622" s="7"/>
    </row>
    <row r="2623" spans="2:24">
      <c r="B2623" s="7"/>
      <c r="D2623" s="7"/>
      <c r="F2623" s="7"/>
      <c r="H2623" s="7"/>
      <c r="J2623" s="7"/>
      <c r="L2623" s="7"/>
      <c r="N2623" s="7"/>
      <c r="P2623" s="7"/>
      <c r="R2623" s="7"/>
      <c r="T2623" s="7"/>
      <c r="V2623" s="7"/>
      <c r="X2623" s="7"/>
    </row>
    <row r="2624" spans="2:24">
      <c r="B2624" s="7"/>
      <c r="D2624" s="7"/>
      <c r="F2624" s="7"/>
      <c r="H2624" s="7"/>
      <c r="J2624" s="7"/>
      <c r="L2624" s="7"/>
      <c r="N2624" s="7"/>
      <c r="P2624" s="7"/>
      <c r="R2624" s="7"/>
      <c r="T2624" s="7"/>
      <c r="V2624" s="7"/>
      <c r="X2624" s="7"/>
    </row>
    <row r="2625" spans="2:24">
      <c r="B2625" s="7"/>
      <c r="D2625" s="7"/>
      <c r="F2625" s="7"/>
      <c r="H2625" s="7"/>
      <c r="J2625" s="7"/>
      <c r="L2625" s="7"/>
      <c r="N2625" s="7"/>
      <c r="P2625" s="7"/>
      <c r="R2625" s="7"/>
      <c r="T2625" s="7"/>
      <c r="V2625" s="7"/>
      <c r="X2625" s="7"/>
    </row>
    <row r="2626" spans="2:24">
      <c r="B2626" s="7"/>
      <c r="D2626" s="7"/>
      <c r="F2626" s="7"/>
      <c r="H2626" s="7"/>
      <c r="J2626" s="7"/>
      <c r="L2626" s="7"/>
      <c r="N2626" s="7"/>
      <c r="P2626" s="7"/>
      <c r="R2626" s="7"/>
      <c r="T2626" s="7"/>
      <c r="V2626" s="7"/>
      <c r="X2626" s="7"/>
    </row>
    <row r="2627" spans="2:24">
      <c r="B2627" s="7"/>
      <c r="D2627" s="7"/>
      <c r="F2627" s="7"/>
      <c r="H2627" s="7"/>
      <c r="J2627" s="7"/>
      <c r="L2627" s="7"/>
      <c r="N2627" s="7"/>
      <c r="P2627" s="7"/>
      <c r="R2627" s="7"/>
      <c r="T2627" s="7"/>
      <c r="V2627" s="7"/>
      <c r="X2627" s="7"/>
    </row>
    <row r="2628" spans="2:24">
      <c r="B2628" s="7"/>
      <c r="D2628" s="7"/>
      <c r="F2628" s="7"/>
      <c r="H2628" s="7"/>
      <c r="J2628" s="7"/>
      <c r="L2628" s="7"/>
      <c r="N2628" s="7"/>
      <c r="P2628" s="7"/>
      <c r="R2628" s="7"/>
      <c r="T2628" s="7"/>
      <c r="V2628" s="7"/>
      <c r="X2628" s="7"/>
    </row>
    <row r="2629" spans="2:24">
      <c r="B2629" s="7"/>
      <c r="D2629" s="7"/>
      <c r="F2629" s="7"/>
      <c r="H2629" s="7"/>
      <c r="J2629" s="7"/>
      <c r="L2629" s="7"/>
      <c r="N2629" s="7"/>
      <c r="P2629" s="7"/>
      <c r="R2629" s="7"/>
      <c r="T2629" s="7"/>
      <c r="V2629" s="7"/>
      <c r="X2629" s="7"/>
    </row>
    <row r="2630" spans="2:24">
      <c r="B2630" s="7"/>
      <c r="D2630" s="7"/>
      <c r="F2630" s="7"/>
      <c r="H2630" s="7"/>
      <c r="J2630" s="7"/>
      <c r="L2630" s="7"/>
      <c r="N2630" s="7"/>
      <c r="P2630" s="7"/>
      <c r="R2630" s="7"/>
      <c r="T2630" s="7"/>
      <c r="V2630" s="7"/>
      <c r="X2630" s="7"/>
    </row>
    <row r="2631" spans="2:24">
      <c r="B2631" s="7"/>
      <c r="D2631" s="7"/>
      <c r="F2631" s="7"/>
      <c r="H2631" s="7"/>
      <c r="J2631" s="7"/>
      <c r="L2631" s="7"/>
      <c r="N2631" s="7"/>
      <c r="P2631" s="7"/>
      <c r="R2631" s="7"/>
      <c r="T2631" s="7"/>
      <c r="V2631" s="7"/>
      <c r="X2631" s="7"/>
    </row>
    <row r="2632" spans="2:24">
      <c r="B2632" s="7"/>
      <c r="D2632" s="7"/>
      <c r="F2632" s="7"/>
      <c r="H2632" s="7"/>
      <c r="J2632" s="7"/>
      <c r="L2632" s="7"/>
      <c r="N2632" s="7"/>
      <c r="P2632" s="7"/>
      <c r="R2632" s="7"/>
      <c r="T2632" s="7"/>
      <c r="V2632" s="7"/>
      <c r="X2632" s="7"/>
    </row>
    <row r="2633" spans="2:24">
      <c r="B2633" s="7"/>
      <c r="D2633" s="7"/>
      <c r="F2633" s="7"/>
      <c r="H2633" s="7"/>
      <c r="J2633" s="7"/>
      <c r="L2633" s="7"/>
      <c r="N2633" s="7"/>
      <c r="P2633" s="7"/>
      <c r="R2633" s="7"/>
      <c r="T2633" s="7"/>
      <c r="V2633" s="7"/>
      <c r="X2633" s="7"/>
    </row>
    <row r="2634" spans="2:24">
      <c r="B2634" s="7"/>
      <c r="D2634" s="7"/>
      <c r="F2634" s="7"/>
      <c r="H2634" s="7"/>
      <c r="J2634" s="7"/>
      <c r="L2634" s="7"/>
      <c r="N2634" s="7"/>
      <c r="P2634" s="7"/>
      <c r="R2634" s="7"/>
      <c r="T2634" s="7"/>
      <c r="V2634" s="7"/>
      <c r="X2634" s="7"/>
    </row>
    <row r="2635" spans="2:24">
      <c r="B2635" s="7"/>
      <c r="D2635" s="7"/>
      <c r="F2635" s="7"/>
      <c r="H2635" s="7"/>
      <c r="J2635" s="7"/>
      <c r="L2635" s="7"/>
      <c r="N2635" s="7"/>
      <c r="P2635" s="7"/>
      <c r="R2635" s="7"/>
      <c r="T2635" s="7"/>
      <c r="V2635" s="7"/>
      <c r="X2635" s="7"/>
    </row>
    <row r="2636" spans="2:24">
      <c r="B2636" s="7"/>
      <c r="D2636" s="7"/>
      <c r="F2636" s="7"/>
      <c r="H2636" s="7"/>
      <c r="J2636" s="7"/>
      <c r="L2636" s="7"/>
      <c r="N2636" s="7"/>
      <c r="P2636" s="7"/>
      <c r="R2636" s="7"/>
      <c r="T2636" s="7"/>
      <c r="V2636" s="7"/>
      <c r="X2636" s="7"/>
    </row>
    <row r="2637" spans="2:24">
      <c r="B2637" s="7"/>
      <c r="D2637" s="7"/>
      <c r="F2637" s="7"/>
      <c r="H2637" s="7"/>
      <c r="J2637" s="7"/>
      <c r="L2637" s="7"/>
      <c r="N2637" s="7"/>
      <c r="P2637" s="7"/>
      <c r="R2637" s="7"/>
      <c r="T2637" s="7"/>
      <c r="V2637" s="7"/>
      <c r="X2637" s="7"/>
    </row>
    <row r="2638" spans="2:24">
      <c r="B2638" s="7"/>
      <c r="D2638" s="7"/>
      <c r="F2638" s="7"/>
      <c r="H2638" s="7"/>
      <c r="J2638" s="7"/>
      <c r="L2638" s="7"/>
      <c r="N2638" s="7"/>
      <c r="P2638" s="7"/>
      <c r="R2638" s="7"/>
      <c r="T2638" s="7"/>
      <c r="V2638" s="7"/>
      <c r="X2638" s="7"/>
    </row>
    <row r="2639" spans="2:24">
      <c r="B2639" s="7"/>
      <c r="D2639" s="7"/>
      <c r="F2639" s="7"/>
      <c r="H2639" s="7"/>
      <c r="J2639" s="7"/>
      <c r="L2639" s="7"/>
      <c r="N2639" s="7"/>
      <c r="P2639" s="7"/>
      <c r="R2639" s="7"/>
      <c r="T2639" s="7"/>
      <c r="V2639" s="7"/>
      <c r="X2639" s="7"/>
    </row>
    <row r="2640" spans="2:24">
      <c r="B2640" s="7"/>
      <c r="D2640" s="7"/>
      <c r="F2640" s="7"/>
      <c r="H2640" s="7"/>
      <c r="J2640" s="7"/>
      <c r="L2640" s="7"/>
      <c r="N2640" s="7"/>
      <c r="P2640" s="7"/>
      <c r="R2640" s="7"/>
      <c r="T2640" s="7"/>
      <c r="V2640" s="7"/>
      <c r="X2640" s="7"/>
    </row>
    <row r="2641" spans="2:24">
      <c r="B2641" s="7"/>
      <c r="D2641" s="7"/>
      <c r="F2641" s="7"/>
      <c r="H2641" s="7"/>
      <c r="J2641" s="7"/>
      <c r="L2641" s="7"/>
      <c r="N2641" s="7"/>
      <c r="P2641" s="7"/>
      <c r="R2641" s="7"/>
      <c r="T2641" s="7"/>
      <c r="V2641" s="7"/>
      <c r="X2641" s="7"/>
    </row>
    <row r="2642" spans="2:24">
      <c r="B2642" s="7"/>
      <c r="D2642" s="7"/>
      <c r="F2642" s="7"/>
      <c r="H2642" s="7"/>
      <c r="J2642" s="7"/>
      <c r="L2642" s="7"/>
      <c r="N2642" s="7"/>
      <c r="P2642" s="7"/>
      <c r="R2642" s="7"/>
      <c r="T2642" s="7"/>
      <c r="V2642" s="7"/>
      <c r="X2642" s="7"/>
    </row>
    <row r="2643" spans="2:24">
      <c r="B2643" s="7"/>
      <c r="D2643" s="7"/>
      <c r="F2643" s="7"/>
      <c r="H2643" s="7"/>
      <c r="J2643" s="7"/>
      <c r="L2643" s="7"/>
      <c r="N2643" s="7"/>
      <c r="P2643" s="7"/>
      <c r="R2643" s="7"/>
      <c r="T2643" s="7"/>
      <c r="V2643" s="7"/>
      <c r="X2643" s="7"/>
    </row>
    <row r="2644" spans="2:24">
      <c r="B2644" s="7"/>
      <c r="D2644" s="7"/>
      <c r="F2644" s="7"/>
      <c r="H2644" s="7"/>
      <c r="J2644" s="7"/>
      <c r="L2644" s="7"/>
      <c r="N2644" s="7"/>
      <c r="P2644" s="7"/>
      <c r="R2644" s="7"/>
      <c r="T2644" s="7"/>
      <c r="V2644" s="7"/>
      <c r="X2644" s="7"/>
    </row>
    <row r="2645" spans="2:24">
      <c r="B2645" s="7"/>
      <c r="D2645" s="7"/>
      <c r="F2645" s="7"/>
      <c r="H2645" s="7"/>
      <c r="J2645" s="7"/>
      <c r="L2645" s="7"/>
      <c r="N2645" s="7"/>
      <c r="P2645" s="7"/>
      <c r="R2645" s="7"/>
      <c r="T2645" s="7"/>
      <c r="V2645" s="7"/>
      <c r="X2645" s="7"/>
    </row>
    <row r="2646" spans="2:24">
      <c r="B2646" s="7"/>
      <c r="D2646" s="7"/>
      <c r="F2646" s="7"/>
      <c r="H2646" s="7"/>
      <c r="J2646" s="7"/>
      <c r="L2646" s="7"/>
      <c r="N2646" s="7"/>
      <c r="P2646" s="7"/>
      <c r="R2646" s="7"/>
      <c r="T2646" s="7"/>
      <c r="V2646" s="7"/>
      <c r="X2646" s="7"/>
    </row>
    <row r="2647" spans="2:24">
      <c r="B2647" s="7"/>
      <c r="D2647" s="7"/>
      <c r="F2647" s="7"/>
      <c r="H2647" s="7"/>
      <c r="J2647" s="7"/>
      <c r="L2647" s="7"/>
      <c r="N2647" s="7"/>
      <c r="P2647" s="7"/>
      <c r="R2647" s="7"/>
      <c r="T2647" s="7"/>
      <c r="V2647" s="7"/>
      <c r="X2647" s="7"/>
    </row>
    <row r="2648" spans="2:24">
      <c r="B2648" s="7"/>
      <c r="D2648" s="7"/>
      <c r="F2648" s="7"/>
      <c r="H2648" s="7"/>
      <c r="J2648" s="7"/>
      <c r="L2648" s="7"/>
      <c r="N2648" s="7"/>
      <c r="P2648" s="7"/>
      <c r="R2648" s="7"/>
      <c r="T2648" s="7"/>
      <c r="V2648" s="7"/>
      <c r="X2648" s="7"/>
    </row>
    <row r="2649" spans="2:24">
      <c r="B2649" s="7"/>
      <c r="D2649" s="7"/>
      <c r="F2649" s="7"/>
      <c r="H2649" s="7"/>
      <c r="J2649" s="7"/>
      <c r="L2649" s="7"/>
      <c r="N2649" s="7"/>
      <c r="P2649" s="7"/>
      <c r="R2649" s="7"/>
      <c r="T2649" s="7"/>
      <c r="V2649" s="7"/>
      <c r="X2649" s="7"/>
    </row>
    <row r="2650" spans="2:24">
      <c r="B2650" s="7"/>
      <c r="D2650" s="7"/>
      <c r="F2650" s="7"/>
      <c r="H2650" s="7"/>
      <c r="J2650" s="7"/>
      <c r="L2650" s="7"/>
      <c r="N2650" s="7"/>
      <c r="P2650" s="7"/>
      <c r="R2650" s="7"/>
      <c r="T2650" s="7"/>
      <c r="V2650" s="7"/>
      <c r="X2650" s="7"/>
    </row>
    <row r="2651" spans="2:24">
      <c r="B2651" s="7"/>
      <c r="D2651" s="7"/>
      <c r="F2651" s="7"/>
      <c r="H2651" s="7"/>
      <c r="J2651" s="7"/>
      <c r="L2651" s="7"/>
      <c r="N2651" s="7"/>
      <c r="P2651" s="7"/>
      <c r="R2651" s="7"/>
      <c r="T2651" s="7"/>
      <c r="V2651" s="7"/>
      <c r="X2651" s="7"/>
    </row>
    <row r="2652" spans="2:24">
      <c r="B2652" s="7"/>
      <c r="D2652" s="7"/>
      <c r="F2652" s="7"/>
      <c r="H2652" s="7"/>
      <c r="J2652" s="7"/>
      <c r="L2652" s="7"/>
      <c r="N2652" s="7"/>
      <c r="P2652" s="7"/>
      <c r="R2652" s="7"/>
      <c r="T2652" s="7"/>
      <c r="V2652" s="7"/>
      <c r="X2652" s="7"/>
    </row>
    <row r="2653" spans="2:24">
      <c r="B2653" s="7"/>
      <c r="D2653" s="7"/>
      <c r="F2653" s="7"/>
      <c r="H2653" s="7"/>
      <c r="J2653" s="7"/>
      <c r="L2653" s="7"/>
      <c r="N2653" s="7"/>
      <c r="P2653" s="7"/>
      <c r="R2653" s="7"/>
      <c r="T2653" s="7"/>
      <c r="V2653" s="7"/>
      <c r="X2653" s="7"/>
    </row>
    <row r="2654" spans="2:24">
      <c r="B2654" s="7"/>
      <c r="D2654" s="7"/>
      <c r="F2654" s="7"/>
      <c r="H2654" s="7"/>
      <c r="J2654" s="7"/>
      <c r="L2654" s="7"/>
      <c r="N2654" s="7"/>
      <c r="P2654" s="7"/>
      <c r="R2654" s="7"/>
      <c r="T2654" s="7"/>
      <c r="V2654" s="7"/>
      <c r="X2654" s="7"/>
    </row>
    <row r="2655" spans="2:24">
      <c r="B2655" s="7"/>
      <c r="D2655" s="7"/>
      <c r="F2655" s="7"/>
      <c r="H2655" s="7"/>
      <c r="J2655" s="7"/>
      <c r="L2655" s="7"/>
      <c r="N2655" s="7"/>
      <c r="P2655" s="7"/>
      <c r="R2655" s="7"/>
      <c r="T2655" s="7"/>
      <c r="V2655" s="7"/>
      <c r="X2655" s="7"/>
    </row>
    <row r="2656" spans="2:24">
      <c r="B2656" s="7"/>
      <c r="D2656" s="7"/>
      <c r="F2656" s="7"/>
      <c r="H2656" s="7"/>
      <c r="J2656" s="7"/>
      <c r="L2656" s="7"/>
      <c r="N2656" s="7"/>
      <c r="P2656" s="7"/>
      <c r="R2656" s="7"/>
      <c r="T2656" s="7"/>
      <c r="V2656" s="7"/>
      <c r="X2656" s="7"/>
    </row>
    <row r="2657" spans="2:24">
      <c r="B2657" s="7"/>
      <c r="D2657" s="7"/>
      <c r="F2657" s="7"/>
      <c r="H2657" s="7"/>
      <c r="J2657" s="7"/>
      <c r="L2657" s="7"/>
      <c r="N2657" s="7"/>
      <c r="P2657" s="7"/>
      <c r="R2657" s="7"/>
      <c r="T2657" s="7"/>
      <c r="V2657" s="7"/>
      <c r="X2657" s="7"/>
    </row>
    <row r="2658" spans="2:24">
      <c r="B2658" s="7"/>
      <c r="D2658" s="7"/>
      <c r="F2658" s="7"/>
      <c r="H2658" s="7"/>
      <c r="J2658" s="7"/>
      <c r="L2658" s="7"/>
      <c r="N2658" s="7"/>
      <c r="P2658" s="7"/>
      <c r="R2658" s="7"/>
      <c r="T2658" s="7"/>
      <c r="V2658" s="7"/>
      <c r="X2658" s="7"/>
    </row>
    <row r="2659" spans="2:24">
      <c r="B2659" s="7"/>
      <c r="D2659" s="7"/>
      <c r="F2659" s="7"/>
      <c r="H2659" s="7"/>
      <c r="J2659" s="7"/>
      <c r="L2659" s="7"/>
      <c r="N2659" s="7"/>
      <c r="P2659" s="7"/>
      <c r="R2659" s="7"/>
      <c r="T2659" s="7"/>
      <c r="V2659" s="7"/>
      <c r="X2659" s="7"/>
    </row>
    <row r="2660" spans="2:24">
      <c r="B2660" s="7"/>
      <c r="D2660" s="7"/>
      <c r="F2660" s="7"/>
      <c r="H2660" s="7"/>
      <c r="J2660" s="7"/>
      <c r="L2660" s="7"/>
      <c r="N2660" s="7"/>
      <c r="P2660" s="7"/>
      <c r="R2660" s="7"/>
      <c r="T2660" s="7"/>
      <c r="V2660" s="7"/>
      <c r="X2660" s="7"/>
    </row>
    <row r="2661" spans="2:24">
      <c r="B2661" s="7"/>
      <c r="D2661" s="7"/>
      <c r="F2661" s="7"/>
      <c r="H2661" s="7"/>
      <c r="J2661" s="7"/>
      <c r="L2661" s="7"/>
      <c r="N2661" s="7"/>
      <c r="P2661" s="7"/>
      <c r="R2661" s="7"/>
      <c r="T2661" s="7"/>
      <c r="V2661" s="7"/>
      <c r="X2661" s="7"/>
    </row>
    <row r="2662" spans="2:24">
      <c r="B2662" s="7"/>
      <c r="D2662" s="7"/>
      <c r="F2662" s="7"/>
      <c r="H2662" s="7"/>
      <c r="J2662" s="7"/>
      <c r="L2662" s="7"/>
      <c r="N2662" s="7"/>
      <c r="P2662" s="7"/>
      <c r="R2662" s="7"/>
      <c r="T2662" s="7"/>
      <c r="V2662" s="7"/>
      <c r="X2662" s="7"/>
    </row>
    <row r="2663" spans="2:24">
      <c r="B2663" s="7"/>
      <c r="D2663" s="7"/>
      <c r="F2663" s="7"/>
      <c r="H2663" s="7"/>
      <c r="J2663" s="7"/>
      <c r="L2663" s="7"/>
      <c r="N2663" s="7"/>
      <c r="P2663" s="7"/>
      <c r="R2663" s="7"/>
      <c r="T2663" s="7"/>
      <c r="V2663" s="7"/>
      <c r="X2663" s="7"/>
    </row>
    <row r="2664" spans="2:24">
      <c r="B2664" s="7"/>
      <c r="D2664" s="7"/>
      <c r="F2664" s="7"/>
      <c r="H2664" s="7"/>
      <c r="J2664" s="7"/>
      <c r="L2664" s="7"/>
      <c r="N2664" s="7"/>
      <c r="P2664" s="7"/>
      <c r="R2664" s="7"/>
      <c r="T2664" s="7"/>
      <c r="V2664" s="7"/>
      <c r="X2664" s="7"/>
    </row>
    <row r="2665" spans="2:24">
      <c r="B2665" s="7"/>
      <c r="D2665" s="7"/>
      <c r="F2665" s="7"/>
      <c r="H2665" s="7"/>
      <c r="J2665" s="7"/>
      <c r="L2665" s="7"/>
      <c r="N2665" s="7"/>
      <c r="P2665" s="7"/>
      <c r="R2665" s="7"/>
      <c r="T2665" s="7"/>
      <c r="V2665" s="7"/>
      <c r="X2665" s="7"/>
    </row>
    <row r="2666" spans="2:24">
      <c r="B2666" s="7"/>
      <c r="D2666" s="7"/>
      <c r="F2666" s="7"/>
      <c r="H2666" s="7"/>
      <c r="J2666" s="7"/>
      <c r="L2666" s="7"/>
      <c r="N2666" s="7"/>
      <c r="P2666" s="7"/>
      <c r="R2666" s="7"/>
      <c r="T2666" s="7"/>
      <c r="V2666" s="7"/>
      <c r="X2666" s="7"/>
    </row>
    <row r="2667" spans="2:24">
      <c r="B2667" s="7"/>
      <c r="D2667" s="7"/>
      <c r="F2667" s="7"/>
      <c r="H2667" s="7"/>
      <c r="J2667" s="7"/>
      <c r="L2667" s="7"/>
      <c r="N2667" s="7"/>
      <c r="P2667" s="7"/>
      <c r="R2667" s="7"/>
      <c r="T2667" s="7"/>
      <c r="V2667" s="7"/>
      <c r="X2667" s="7"/>
    </row>
    <row r="2668" spans="2:24">
      <c r="B2668" s="7"/>
      <c r="D2668" s="7"/>
      <c r="F2668" s="7"/>
      <c r="H2668" s="7"/>
      <c r="J2668" s="7"/>
      <c r="L2668" s="7"/>
      <c r="N2668" s="7"/>
      <c r="P2668" s="7"/>
      <c r="R2668" s="7"/>
      <c r="T2668" s="7"/>
      <c r="V2668" s="7"/>
      <c r="X2668" s="7"/>
    </row>
    <row r="2669" spans="2:24">
      <c r="B2669" s="7"/>
      <c r="D2669" s="7"/>
      <c r="F2669" s="7"/>
      <c r="H2669" s="7"/>
      <c r="J2669" s="7"/>
      <c r="L2669" s="7"/>
      <c r="N2669" s="7"/>
      <c r="P2669" s="7"/>
      <c r="R2669" s="7"/>
      <c r="T2669" s="7"/>
      <c r="V2669" s="7"/>
      <c r="X2669" s="7"/>
    </row>
    <row r="2670" spans="2:24">
      <c r="B2670" s="7"/>
      <c r="D2670" s="7"/>
      <c r="F2670" s="7"/>
      <c r="H2670" s="7"/>
      <c r="J2670" s="7"/>
      <c r="L2670" s="7"/>
      <c r="N2670" s="7"/>
      <c r="P2670" s="7"/>
      <c r="R2670" s="7"/>
      <c r="T2670" s="7"/>
      <c r="V2670" s="7"/>
      <c r="X2670" s="7"/>
    </row>
    <row r="2671" spans="2:24">
      <c r="B2671" s="7"/>
      <c r="D2671" s="7"/>
      <c r="F2671" s="7"/>
      <c r="H2671" s="7"/>
      <c r="J2671" s="7"/>
      <c r="L2671" s="7"/>
      <c r="N2671" s="7"/>
      <c r="P2671" s="7"/>
      <c r="R2671" s="7"/>
      <c r="T2671" s="7"/>
      <c r="V2671" s="7"/>
      <c r="X2671" s="7"/>
    </row>
    <row r="2672" spans="2:24">
      <c r="B2672" s="7"/>
      <c r="D2672" s="7"/>
      <c r="F2672" s="7"/>
      <c r="H2672" s="7"/>
      <c r="J2672" s="7"/>
      <c r="L2672" s="7"/>
      <c r="N2672" s="7"/>
      <c r="P2672" s="7"/>
      <c r="R2672" s="7"/>
      <c r="T2672" s="7"/>
      <c r="V2672" s="7"/>
      <c r="X2672" s="7"/>
    </row>
    <row r="2673" spans="2:24">
      <c r="B2673" s="7"/>
      <c r="D2673" s="7"/>
      <c r="F2673" s="7"/>
      <c r="H2673" s="7"/>
      <c r="J2673" s="7"/>
      <c r="L2673" s="7"/>
      <c r="N2673" s="7"/>
      <c r="P2673" s="7"/>
      <c r="R2673" s="7"/>
      <c r="T2673" s="7"/>
      <c r="V2673" s="7"/>
      <c r="X2673" s="7"/>
    </row>
    <row r="2674" spans="2:24">
      <c r="B2674" s="7"/>
      <c r="D2674" s="7"/>
      <c r="F2674" s="7"/>
      <c r="H2674" s="7"/>
      <c r="J2674" s="7"/>
      <c r="L2674" s="7"/>
      <c r="N2674" s="7"/>
      <c r="P2674" s="7"/>
      <c r="R2674" s="7"/>
      <c r="T2674" s="7"/>
      <c r="V2674" s="7"/>
      <c r="X2674" s="7"/>
    </row>
    <row r="2675" spans="2:24">
      <c r="B2675" s="7"/>
      <c r="D2675" s="7"/>
      <c r="F2675" s="7"/>
      <c r="H2675" s="7"/>
      <c r="J2675" s="7"/>
      <c r="L2675" s="7"/>
      <c r="N2675" s="7"/>
      <c r="P2675" s="7"/>
      <c r="R2675" s="7"/>
      <c r="T2675" s="7"/>
      <c r="V2675" s="7"/>
      <c r="X2675" s="7"/>
    </row>
    <row r="2676" spans="2:24">
      <c r="B2676" s="7"/>
      <c r="D2676" s="7"/>
      <c r="F2676" s="7"/>
      <c r="H2676" s="7"/>
      <c r="J2676" s="7"/>
      <c r="L2676" s="7"/>
      <c r="N2676" s="7"/>
      <c r="P2676" s="7"/>
      <c r="R2676" s="7"/>
      <c r="T2676" s="7"/>
      <c r="V2676" s="7"/>
      <c r="X2676" s="7"/>
    </row>
    <row r="2677" spans="2:24">
      <c r="B2677" s="7"/>
      <c r="D2677" s="7"/>
      <c r="F2677" s="7"/>
      <c r="H2677" s="7"/>
      <c r="J2677" s="7"/>
      <c r="L2677" s="7"/>
      <c r="N2677" s="7"/>
      <c r="P2677" s="7"/>
      <c r="R2677" s="7"/>
      <c r="T2677" s="7"/>
      <c r="V2677" s="7"/>
      <c r="X2677" s="7"/>
    </row>
    <row r="2678" spans="2:24">
      <c r="B2678" s="7"/>
      <c r="D2678" s="7"/>
      <c r="F2678" s="7"/>
      <c r="H2678" s="7"/>
      <c r="J2678" s="7"/>
      <c r="L2678" s="7"/>
      <c r="N2678" s="7"/>
      <c r="P2678" s="7"/>
      <c r="R2678" s="7"/>
      <c r="T2678" s="7"/>
      <c r="V2678" s="7"/>
      <c r="X2678" s="7"/>
    </row>
    <row r="2679" spans="2:24">
      <c r="B2679" s="7"/>
      <c r="D2679" s="7"/>
      <c r="F2679" s="7"/>
      <c r="H2679" s="7"/>
      <c r="J2679" s="7"/>
      <c r="L2679" s="7"/>
      <c r="N2679" s="7"/>
      <c r="P2679" s="7"/>
      <c r="R2679" s="7"/>
      <c r="T2679" s="7"/>
      <c r="V2679" s="7"/>
      <c r="X2679" s="7"/>
    </row>
    <row r="2680" spans="2:24">
      <c r="B2680" s="7"/>
      <c r="D2680" s="7"/>
      <c r="F2680" s="7"/>
      <c r="H2680" s="7"/>
      <c r="J2680" s="7"/>
      <c r="L2680" s="7"/>
      <c r="N2680" s="7"/>
      <c r="P2680" s="7"/>
      <c r="R2680" s="7"/>
      <c r="T2680" s="7"/>
      <c r="V2680" s="7"/>
      <c r="X2680" s="7"/>
    </row>
    <row r="2681" spans="2:24">
      <c r="B2681" s="7"/>
      <c r="D2681" s="7"/>
      <c r="F2681" s="7"/>
      <c r="H2681" s="7"/>
      <c r="J2681" s="7"/>
      <c r="L2681" s="7"/>
      <c r="N2681" s="7"/>
      <c r="P2681" s="7"/>
      <c r="R2681" s="7"/>
      <c r="T2681" s="7"/>
      <c r="V2681" s="7"/>
      <c r="X2681" s="7"/>
    </row>
    <row r="2682" spans="2:24">
      <c r="B2682" s="7"/>
      <c r="D2682" s="7"/>
      <c r="F2682" s="7"/>
      <c r="H2682" s="7"/>
      <c r="J2682" s="7"/>
      <c r="L2682" s="7"/>
      <c r="N2682" s="7"/>
      <c r="P2682" s="7"/>
      <c r="R2682" s="7"/>
      <c r="T2682" s="7"/>
      <c r="V2682" s="7"/>
      <c r="X2682" s="7"/>
    </row>
    <row r="2683" spans="2:24">
      <c r="B2683" s="7"/>
      <c r="D2683" s="7"/>
      <c r="F2683" s="7"/>
      <c r="H2683" s="7"/>
      <c r="J2683" s="7"/>
      <c r="L2683" s="7"/>
      <c r="N2683" s="7"/>
      <c r="P2683" s="7"/>
      <c r="R2683" s="7"/>
      <c r="T2683" s="7"/>
      <c r="V2683" s="7"/>
      <c r="X2683" s="7"/>
    </row>
    <row r="2684" spans="2:24">
      <c r="B2684" s="7"/>
      <c r="D2684" s="7"/>
      <c r="F2684" s="7"/>
      <c r="H2684" s="7"/>
      <c r="J2684" s="7"/>
      <c r="L2684" s="7"/>
      <c r="N2684" s="7"/>
      <c r="P2684" s="7"/>
      <c r="R2684" s="7"/>
      <c r="T2684" s="7"/>
      <c r="V2684" s="7"/>
      <c r="X2684" s="7"/>
    </row>
    <row r="2685" spans="2:24">
      <c r="B2685" s="7"/>
      <c r="D2685" s="7"/>
      <c r="F2685" s="7"/>
      <c r="H2685" s="7"/>
      <c r="J2685" s="7"/>
      <c r="L2685" s="7"/>
      <c r="N2685" s="7"/>
      <c r="P2685" s="7"/>
      <c r="R2685" s="7"/>
      <c r="T2685" s="7"/>
      <c r="V2685" s="7"/>
      <c r="X2685" s="7"/>
    </row>
    <row r="2686" spans="2:24">
      <c r="B2686" s="7"/>
      <c r="D2686" s="7"/>
      <c r="F2686" s="7"/>
      <c r="H2686" s="7"/>
      <c r="J2686" s="7"/>
      <c r="L2686" s="7"/>
      <c r="N2686" s="7"/>
      <c r="P2686" s="7"/>
      <c r="R2686" s="7"/>
      <c r="T2686" s="7"/>
      <c r="V2686" s="7"/>
      <c r="X2686" s="7"/>
    </row>
    <row r="2687" spans="2:24">
      <c r="B2687" s="7"/>
      <c r="D2687" s="7"/>
      <c r="F2687" s="7"/>
      <c r="H2687" s="7"/>
      <c r="J2687" s="7"/>
      <c r="L2687" s="7"/>
      <c r="N2687" s="7"/>
      <c r="P2687" s="7"/>
      <c r="R2687" s="7"/>
      <c r="T2687" s="7"/>
      <c r="V2687" s="7"/>
      <c r="X2687" s="7"/>
    </row>
    <row r="2688" spans="2:24">
      <c r="B2688" s="7"/>
      <c r="D2688" s="7"/>
      <c r="F2688" s="7"/>
      <c r="H2688" s="7"/>
      <c r="J2688" s="7"/>
      <c r="L2688" s="7"/>
      <c r="N2688" s="7"/>
      <c r="P2688" s="7"/>
      <c r="R2688" s="7"/>
      <c r="T2688" s="7"/>
      <c r="V2688" s="7"/>
      <c r="X2688" s="7"/>
    </row>
    <row r="2689" spans="2:24">
      <c r="B2689" s="7"/>
      <c r="D2689" s="7"/>
      <c r="F2689" s="7"/>
      <c r="H2689" s="7"/>
      <c r="J2689" s="7"/>
      <c r="L2689" s="7"/>
      <c r="N2689" s="7"/>
      <c r="P2689" s="7"/>
      <c r="R2689" s="7"/>
      <c r="T2689" s="7"/>
      <c r="V2689" s="7"/>
      <c r="X2689" s="7"/>
    </row>
    <row r="2690" spans="2:24">
      <c r="B2690" s="7"/>
      <c r="D2690" s="7"/>
      <c r="F2690" s="7"/>
      <c r="H2690" s="7"/>
      <c r="J2690" s="7"/>
      <c r="L2690" s="7"/>
      <c r="N2690" s="7"/>
      <c r="P2690" s="7"/>
      <c r="R2690" s="7"/>
      <c r="T2690" s="7"/>
      <c r="V2690" s="7"/>
      <c r="X2690" s="7"/>
    </row>
    <row r="2691" spans="2:24">
      <c r="B2691" s="7"/>
      <c r="D2691" s="7"/>
      <c r="F2691" s="7"/>
      <c r="H2691" s="7"/>
      <c r="J2691" s="7"/>
      <c r="L2691" s="7"/>
      <c r="N2691" s="7"/>
      <c r="P2691" s="7"/>
      <c r="R2691" s="7"/>
      <c r="T2691" s="7"/>
      <c r="V2691" s="7"/>
      <c r="X2691" s="7"/>
    </row>
    <row r="2692" spans="2:24">
      <c r="B2692" s="7"/>
      <c r="D2692" s="7"/>
      <c r="F2692" s="7"/>
      <c r="H2692" s="7"/>
      <c r="J2692" s="7"/>
      <c r="L2692" s="7"/>
      <c r="N2692" s="7"/>
      <c r="P2692" s="7"/>
      <c r="R2692" s="7"/>
      <c r="T2692" s="7"/>
      <c r="V2692" s="7"/>
      <c r="X2692" s="7"/>
    </row>
    <row r="2693" spans="2:24">
      <c r="B2693" s="7"/>
      <c r="D2693" s="7"/>
      <c r="F2693" s="7"/>
      <c r="H2693" s="7"/>
      <c r="J2693" s="7"/>
      <c r="L2693" s="7"/>
      <c r="N2693" s="7"/>
      <c r="P2693" s="7"/>
      <c r="R2693" s="7"/>
      <c r="T2693" s="7"/>
      <c r="V2693" s="7"/>
      <c r="X2693" s="7"/>
    </row>
    <row r="2694" spans="2:24">
      <c r="B2694" s="7"/>
      <c r="D2694" s="7"/>
      <c r="F2694" s="7"/>
      <c r="H2694" s="7"/>
      <c r="J2694" s="7"/>
      <c r="L2694" s="7"/>
      <c r="N2694" s="7"/>
      <c r="P2694" s="7"/>
      <c r="R2694" s="7"/>
      <c r="T2694" s="7"/>
      <c r="V2694" s="7"/>
      <c r="X2694" s="7"/>
    </row>
    <row r="2695" spans="2:24">
      <c r="B2695" s="7"/>
      <c r="D2695" s="7"/>
      <c r="F2695" s="7"/>
      <c r="H2695" s="7"/>
      <c r="J2695" s="7"/>
      <c r="L2695" s="7"/>
      <c r="N2695" s="7"/>
      <c r="P2695" s="7"/>
      <c r="R2695" s="7"/>
      <c r="T2695" s="7"/>
      <c r="V2695" s="7"/>
      <c r="X2695" s="7"/>
    </row>
    <row r="2696" spans="2:24">
      <c r="B2696" s="7"/>
      <c r="D2696" s="7"/>
      <c r="F2696" s="7"/>
      <c r="H2696" s="7"/>
      <c r="J2696" s="7"/>
      <c r="L2696" s="7"/>
      <c r="N2696" s="7"/>
      <c r="P2696" s="7"/>
      <c r="R2696" s="7"/>
      <c r="T2696" s="7"/>
      <c r="V2696" s="7"/>
      <c r="X2696" s="7"/>
    </row>
    <row r="2697" spans="2:24">
      <c r="B2697" s="7"/>
      <c r="D2697" s="7"/>
      <c r="F2697" s="7"/>
      <c r="H2697" s="7"/>
      <c r="J2697" s="7"/>
      <c r="L2697" s="7"/>
      <c r="N2697" s="7"/>
      <c r="P2697" s="7"/>
      <c r="R2697" s="7"/>
      <c r="T2697" s="7"/>
      <c r="V2697" s="7"/>
      <c r="X2697" s="7"/>
    </row>
    <row r="2698" spans="2:24">
      <c r="B2698" s="7"/>
      <c r="D2698" s="7"/>
      <c r="F2698" s="7"/>
      <c r="H2698" s="7"/>
      <c r="J2698" s="7"/>
      <c r="L2698" s="7"/>
      <c r="N2698" s="7"/>
      <c r="P2698" s="7"/>
      <c r="R2698" s="7"/>
      <c r="T2698" s="7"/>
      <c r="V2698" s="7"/>
      <c r="X2698" s="7"/>
    </row>
    <row r="2699" spans="2:24">
      <c r="B2699" s="7"/>
      <c r="D2699" s="7"/>
      <c r="F2699" s="7"/>
      <c r="H2699" s="7"/>
      <c r="J2699" s="7"/>
      <c r="L2699" s="7"/>
      <c r="N2699" s="7"/>
      <c r="P2699" s="7"/>
      <c r="R2699" s="7"/>
      <c r="T2699" s="7"/>
      <c r="V2699" s="7"/>
      <c r="X2699" s="7"/>
    </row>
    <row r="2700" spans="2:24">
      <c r="B2700" s="7"/>
      <c r="D2700" s="7"/>
      <c r="F2700" s="7"/>
      <c r="H2700" s="7"/>
      <c r="J2700" s="7"/>
      <c r="L2700" s="7"/>
      <c r="N2700" s="7"/>
      <c r="P2700" s="7"/>
      <c r="R2700" s="7"/>
      <c r="T2700" s="7"/>
      <c r="V2700" s="7"/>
      <c r="X2700" s="7"/>
    </row>
    <row r="2701" spans="2:24">
      <c r="B2701" s="7"/>
      <c r="D2701" s="7"/>
      <c r="F2701" s="7"/>
      <c r="H2701" s="7"/>
      <c r="J2701" s="7"/>
      <c r="L2701" s="7"/>
      <c r="N2701" s="7"/>
      <c r="P2701" s="7"/>
      <c r="R2701" s="7"/>
      <c r="T2701" s="7"/>
      <c r="V2701" s="7"/>
      <c r="X2701" s="7"/>
    </row>
    <row r="2702" spans="2:24">
      <c r="B2702" s="7"/>
      <c r="D2702" s="7"/>
      <c r="F2702" s="7"/>
      <c r="H2702" s="7"/>
      <c r="J2702" s="7"/>
      <c r="L2702" s="7"/>
      <c r="N2702" s="7"/>
      <c r="P2702" s="7"/>
      <c r="R2702" s="7"/>
      <c r="T2702" s="7"/>
      <c r="V2702" s="7"/>
      <c r="X2702" s="7"/>
    </row>
    <row r="2703" spans="2:24">
      <c r="B2703" s="7"/>
      <c r="D2703" s="7"/>
      <c r="F2703" s="7"/>
      <c r="H2703" s="7"/>
      <c r="J2703" s="7"/>
      <c r="L2703" s="7"/>
      <c r="N2703" s="7"/>
      <c r="P2703" s="7"/>
      <c r="R2703" s="7"/>
      <c r="T2703" s="7"/>
      <c r="V2703" s="7"/>
      <c r="X2703" s="7"/>
    </row>
    <row r="2704" spans="2:24">
      <c r="B2704" s="7"/>
      <c r="D2704" s="7"/>
      <c r="F2704" s="7"/>
      <c r="H2704" s="7"/>
      <c r="J2704" s="7"/>
      <c r="L2704" s="7"/>
      <c r="N2704" s="7"/>
      <c r="P2704" s="7"/>
      <c r="R2704" s="7"/>
      <c r="T2704" s="7"/>
      <c r="V2704" s="7"/>
      <c r="X2704" s="7"/>
    </row>
    <row r="2705" spans="2:24">
      <c r="B2705" s="7"/>
      <c r="D2705" s="7"/>
      <c r="F2705" s="7"/>
      <c r="H2705" s="7"/>
      <c r="J2705" s="7"/>
      <c r="L2705" s="7"/>
      <c r="N2705" s="7"/>
      <c r="P2705" s="7"/>
      <c r="R2705" s="7"/>
      <c r="T2705" s="7"/>
      <c r="V2705" s="7"/>
      <c r="X2705" s="7"/>
    </row>
    <row r="2706" spans="2:24">
      <c r="B2706" s="7"/>
      <c r="D2706" s="7"/>
      <c r="F2706" s="7"/>
      <c r="H2706" s="7"/>
      <c r="J2706" s="7"/>
      <c r="L2706" s="7"/>
      <c r="N2706" s="7"/>
      <c r="P2706" s="7"/>
      <c r="R2706" s="7"/>
      <c r="T2706" s="7"/>
      <c r="V2706" s="7"/>
      <c r="X2706" s="7"/>
    </row>
    <row r="2707" spans="2:24">
      <c r="B2707" s="7"/>
      <c r="D2707" s="7"/>
      <c r="F2707" s="7"/>
      <c r="H2707" s="7"/>
      <c r="J2707" s="7"/>
      <c r="L2707" s="7"/>
      <c r="N2707" s="7"/>
      <c r="P2707" s="7"/>
      <c r="R2707" s="7"/>
      <c r="T2707" s="7"/>
      <c r="V2707" s="7"/>
      <c r="X2707" s="7"/>
    </row>
    <row r="2708" spans="2:24">
      <c r="B2708" s="7"/>
      <c r="D2708" s="7"/>
      <c r="F2708" s="7"/>
      <c r="H2708" s="7"/>
      <c r="J2708" s="7"/>
      <c r="L2708" s="7"/>
      <c r="N2708" s="7"/>
      <c r="P2708" s="7"/>
      <c r="R2708" s="7"/>
      <c r="T2708" s="7"/>
      <c r="V2708" s="7"/>
      <c r="X2708" s="7"/>
    </row>
    <row r="2709" spans="2:24">
      <c r="B2709" s="7"/>
      <c r="D2709" s="7"/>
      <c r="F2709" s="7"/>
      <c r="H2709" s="7"/>
      <c r="J2709" s="7"/>
      <c r="L2709" s="7"/>
      <c r="N2709" s="7"/>
      <c r="P2709" s="7"/>
      <c r="R2709" s="7"/>
      <c r="T2709" s="7"/>
      <c r="V2709" s="7"/>
      <c r="X2709" s="7"/>
    </row>
    <row r="2710" spans="2:24">
      <c r="B2710" s="7"/>
      <c r="D2710" s="7"/>
      <c r="F2710" s="7"/>
      <c r="H2710" s="7"/>
      <c r="J2710" s="7"/>
      <c r="L2710" s="7"/>
      <c r="N2710" s="7"/>
      <c r="P2710" s="7"/>
      <c r="R2710" s="7"/>
      <c r="T2710" s="7"/>
      <c r="V2710" s="7"/>
      <c r="X2710" s="7"/>
    </row>
    <row r="2711" spans="2:24">
      <c r="B2711" s="7"/>
      <c r="D2711" s="7"/>
      <c r="F2711" s="7"/>
      <c r="H2711" s="7"/>
      <c r="J2711" s="7"/>
      <c r="L2711" s="7"/>
      <c r="N2711" s="7"/>
      <c r="P2711" s="7"/>
      <c r="R2711" s="7"/>
      <c r="T2711" s="7"/>
      <c r="V2711" s="7"/>
      <c r="X2711" s="7"/>
    </row>
    <row r="2712" spans="2:24">
      <c r="B2712" s="7"/>
      <c r="D2712" s="7"/>
      <c r="F2712" s="7"/>
      <c r="H2712" s="7"/>
      <c r="J2712" s="7"/>
      <c r="L2712" s="7"/>
      <c r="N2712" s="7"/>
      <c r="P2712" s="7"/>
      <c r="R2712" s="7"/>
      <c r="T2712" s="7"/>
      <c r="V2712" s="7"/>
      <c r="X2712" s="7"/>
    </row>
    <row r="2713" spans="2:24">
      <c r="B2713" s="7"/>
      <c r="D2713" s="7"/>
      <c r="F2713" s="7"/>
      <c r="H2713" s="7"/>
      <c r="J2713" s="7"/>
      <c r="L2713" s="7"/>
      <c r="N2713" s="7"/>
      <c r="P2713" s="7"/>
      <c r="R2713" s="7"/>
      <c r="T2713" s="7"/>
      <c r="V2713" s="7"/>
      <c r="X2713" s="7"/>
    </row>
    <row r="2714" spans="2:24">
      <c r="B2714" s="7"/>
      <c r="D2714" s="7"/>
      <c r="F2714" s="7"/>
      <c r="H2714" s="7"/>
      <c r="J2714" s="7"/>
      <c r="L2714" s="7"/>
      <c r="N2714" s="7"/>
      <c r="P2714" s="7"/>
      <c r="R2714" s="7"/>
      <c r="T2714" s="7"/>
      <c r="V2714" s="7"/>
      <c r="X2714" s="7"/>
    </row>
    <row r="2715" spans="2:24">
      <c r="B2715" s="7"/>
      <c r="D2715" s="7"/>
      <c r="F2715" s="7"/>
      <c r="H2715" s="7"/>
      <c r="J2715" s="7"/>
      <c r="L2715" s="7"/>
      <c r="N2715" s="7"/>
      <c r="P2715" s="7"/>
      <c r="R2715" s="7"/>
      <c r="T2715" s="7"/>
      <c r="V2715" s="7"/>
      <c r="X2715" s="7"/>
    </row>
    <row r="2716" spans="2:24">
      <c r="B2716" s="7"/>
      <c r="D2716" s="7"/>
      <c r="F2716" s="7"/>
      <c r="H2716" s="7"/>
      <c r="J2716" s="7"/>
      <c r="L2716" s="7"/>
      <c r="N2716" s="7"/>
      <c r="P2716" s="7"/>
      <c r="R2716" s="7"/>
      <c r="T2716" s="7"/>
      <c r="V2716" s="7"/>
      <c r="X2716" s="7"/>
    </row>
    <row r="2717" spans="2:24">
      <c r="B2717" s="7"/>
      <c r="D2717" s="7"/>
      <c r="F2717" s="7"/>
      <c r="H2717" s="7"/>
      <c r="J2717" s="7"/>
      <c r="L2717" s="7"/>
      <c r="N2717" s="7"/>
      <c r="P2717" s="7"/>
      <c r="R2717" s="7"/>
      <c r="T2717" s="7"/>
      <c r="V2717" s="7"/>
      <c r="X2717" s="7"/>
    </row>
    <row r="2718" spans="2:24">
      <c r="B2718" s="7"/>
      <c r="D2718" s="7"/>
      <c r="F2718" s="7"/>
      <c r="H2718" s="7"/>
      <c r="J2718" s="7"/>
      <c r="L2718" s="7"/>
      <c r="N2718" s="7"/>
      <c r="P2718" s="7"/>
      <c r="R2718" s="7"/>
      <c r="T2718" s="7"/>
      <c r="V2718" s="7"/>
      <c r="X2718" s="7"/>
    </row>
    <row r="2719" spans="2:24">
      <c r="B2719" s="7"/>
      <c r="D2719" s="7"/>
      <c r="F2719" s="7"/>
      <c r="H2719" s="7"/>
      <c r="J2719" s="7"/>
      <c r="L2719" s="7"/>
      <c r="N2719" s="7"/>
      <c r="P2719" s="7"/>
      <c r="R2719" s="7"/>
      <c r="T2719" s="7"/>
      <c r="V2719" s="7"/>
      <c r="X2719" s="7"/>
    </row>
    <row r="2720" spans="2:24">
      <c r="B2720" s="7"/>
      <c r="D2720" s="7"/>
      <c r="F2720" s="7"/>
      <c r="H2720" s="7"/>
      <c r="J2720" s="7"/>
      <c r="L2720" s="7"/>
      <c r="N2720" s="7"/>
      <c r="P2720" s="7"/>
      <c r="R2720" s="7"/>
      <c r="T2720" s="7"/>
      <c r="V2720" s="7"/>
      <c r="X2720" s="7"/>
    </row>
    <row r="2721" spans="2:24">
      <c r="B2721" s="7"/>
      <c r="D2721" s="7"/>
      <c r="F2721" s="7"/>
      <c r="H2721" s="7"/>
      <c r="J2721" s="7"/>
      <c r="L2721" s="7"/>
      <c r="N2721" s="7"/>
      <c r="P2721" s="7"/>
      <c r="R2721" s="7"/>
      <c r="T2721" s="7"/>
      <c r="V2721" s="7"/>
      <c r="X2721" s="7"/>
    </row>
    <row r="2722" spans="2:24">
      <c r="B2722" s="7"/>
      <c r="D2722" s="7"/>
      <c r="F2722" s="7"/>
      <c r="H2722" s="7"/>
      <c r="J2722" s="7"/>
      <c r="L2722" s="7"/>
      <c r="N2722" s="7"/>
      <c r="P2722" s="7"/>
      <c r="R2722" s="7"/>
      <c r="T2722" s="7"/>
      <c r="V2722" s="7"/>
      <c r="X2722" s="7"/>
    </row>
    <row r="2723" spans="2:24">
      <c r="B2723" s="7"/>
      <c r="D2723" s="7"/>
      <c r="F2723" s="7"/>
      <c r="H2723" s="7"/>
      <c r="J2723" s="7"/>
      <c r="L2723" s="7"/>
      <c r="N2723" s="7"/>
      <c r="P2723" s="7"/>
      <c r="R2723" s="7"/>
      <c r="T2723" s="7"/>
      <c r="V2723" s="7"/>
      <c r="X2723" s="7"/>
    </row>
    <row r="2724" spans="2:24">
      <c r="B2724" s="7"/>
      <c r="D2724" s="7"/>
      <c r="F2724" s="7"/>
      <c r="H2724" s="7"/>
      <c r="J2724" s="7"/>
      <c r="L2724" s="7"/>
      <c r="N2724" s="7"/>
      <c r="P2724" s="7"/>
      <c r="R2724" s="7"/>
      <c r="T2724" s="7"/>
      <c r="V2724" s="7"/>
      <c r="X2724" s="7"/>
    </row>
    <row r="2725" spans="2:24">
      <c r="B2725" s="7"/>
      <c r="D2725" s="7"/>
      <c r="F2725" s="7"/>
      <c r="H2725" s="7"/>
      <c r="J2725" s="7"/>
      <c r="L2725" s="7"/>
      <c r="N2725" s="7"/>
      <c r="P2725" s="7"/>
      <c r="R2725" s="7"/>
      <c r="T2725" s="7"/>
      <c r="V2725" s="7"/>
      <c r="X2725" s="7"/>
    </row>
    <row r="2726" spans="2:24">
      <c r="B2726" s="7"/>
      <c r="D2726" s="7"/>
      <c r="F2726" s="7"/>
      <c r="H2726" s="7"/>
      <c r="J2726" s="7"/>
      <c r="L2726" s="7"/>
      <c r="N2726" s="7"/>
      <c r="P2726" s="7"/>
      <c r="R2726" s="7"/>
      <c r="T2726" s="7"/>
      <c r="V2726" s="7"/>
      <c r="X2726" s="7"/>
    </row>
    <row r="2727" spans="2:24">
      <c r="B2727" s="7"/>
      <c r="D2727" s="7"/>
      <c r="F2727" s="7"/>
      <c r="H2727" s="7"/>
      <c r="J2727" s="7"/>
      <c r="L2727" s="7"/>
      <c r="N2727" s="7"/>
      <c r="P2727" s="7"/>
      <c r="R2727" s="7"/>
      <c r="T2727" s="7"/>
      <c r="V2727" s="7"/>
      <c r="X2727" s="7"/>
    </row>
    <row r="2728" spans="2:24">
      <c r="B2728" s="7"/>
      <c r="D2728" s="7"/>
      <c r="F2728" s="7"/>
      <c r="H2728" s="7"/>
      <c r="J2728" s="7"/>
      <c r="L2728" s="7"/>
      <c r="N2728" s="7"/>
      <c r="P2728" s="7"/>
      <c r="R2728" s="7"/>
      <c r="T2728" s="7"/>
      <c r="V2728" s="7"/>
      <c r="X2728" s="7"/>
    </row>
    <row r="2729" spans="2:24">
      <c r="B2729" s="7"/>
      <c r="D2729" s="7"/>
      <c r="F2729" s="7"/>
      <c r="H2729" s="7"/>
      <c r="J2729" s="7"/>
      <c r="L2729" s="7"/>
      <c r="N2729" s="7"/>
      <c r="P2729" s="7"/>
      <c r="R2729" s="7"/>
      <c r="T2729" s="7"/>
      <c r="V2729" s="7"/>
      <c r="X2729" s="7"/>
    </row>
    <row r="2730" spans="2:24">
      <c r="B2730" s="7"/>
      <c r="D2730" s="7"/>
      <c r="F2730" s="7"/>
      <c r="H2730" s="7"/>
      <c r="J2730" s="7"/>
      <c r="L2730" s="7"/>
      <c r="N2730" s="7"/>
      <c r="P2730" s="7"/>
      <c r="R2730" s="7"/>
      <c r="T2730" s="7"/>
      <c r="V2730" s="7"/>
      <c r="X2730" s="7"/>
    </row>
    <row r="2731" spans="2:24">
      <c r="B2731" s="7"/>
      <c r="D2731" s="7"/>
      <c r="F2731" s="7"/>
      <c r="H2731" s="7"/>
      <c r="J2731" s="7"/>
      <c r="L2731" s="7"/>
      <c r="N2731" s="7"/>
      <c r="P2731" s="7"/>
      <c r="R2731" s="7"/>
      <c r="T2731" s="7"/>
      <c r="V2731" s="7"/>
      <c r="X2731" s="7"/>
    </row>
    <row r="2732" spans="2:24">
      <c r="B2732" s="7"/>
      <c r="D2732" s="7"/>
      <c r="F2732" s="7"/>
      <c r="H2732" s="7"/>
      <c r="J2732" s="7"/>
      <c r="L2732" s="7"/>
      <c r="N2732" s="7"/>
      <c r="P2732" s="7"/>
      <c r="R2732" s="7"/>
      <c r="T2732" s="7"/>
      <c r="V2732" s="7"/>
      <c r="X2732" s="7"/>
    </row>
    <row r="2733" spans="2:24">
      <c r="B2733" s="7"/>
      <c r="D2733" s="7"/>
      <c r="F2733" s="7"/>
      <c r="H2733" s="7"/>
      <c r="J2733" s="7"/>
      <c r="L2733" s="7"/>
      <c r="N2733" s="7"/>
      <c r="P2733" s="7"/>
      <c r="R2733" s="7"/>
      <c r="T2733" s="7"/>
      <c r="V2733" s="7"/>
      <c r="X2733" s="7"/>
    </row>
    <row r="2734" spans="2:24">
      <c r="B2734" s="7"/>
      <c r="D2734" s="7"/>
      <c r="F2734" s="7"/>
      <c r="H2734" s="7"/>
      <c r="J2734" s="7"/>
      <c r="L2734" s="7"/>
      <c r="N2734" s="7"/>
      <c r="P2734" s="7"/>
      <c r="R2734" s="7"/>
      <c r="T2734" s="7"/>
      <c r="V2734" s="7"/>
      <c r="X2734" s="7"/>
    </row>
    <row r="2735" spans="2:24">
      <c r="B2735" s="7"/>
      <c r="D2735" s="7"/>
      <c r="F2735" s="7"/>
      <c r="H2735" s="7"/>
      <c r="J2735" s="7"/>
      <c r="L2735" s="7"/>
      <c r="N2735" s="7"/>
      <c r="P2735" s="7"/>
      <c r="R2735" s="7"/>
      <c r="T2735" s="7"/>
      <c r="V2735" s="7"/>
      <c r="X2735" s="7"/>
    </row>
    <row r="2736" spans="2:24">
      <c r="B2736" s="7"/>
      <c r="D2736" s="7"/>
      <c r="F2736" s="7"/>
      <c r="H2736" s="7"/>
      <c r="J2736" s="7"/>
      <c r="L2736" s="7"/>
      <c r="N2736" s="7"/>
      <c r="P2736" s="7"/>
      <c r="R2736" s="7"/>
      <c r="T2736" s="7"/>
      <c r="V2736" s="7"/>
      <c r="X2736" s="7"/>
    </row>
    <row r="2737" spans="2:24">
      <c r="B2737" s="7"/>
      <c r="D2737" s="7"/>
      <c r="F2737" s="7"/>
      <c r="H2737" s="7"/>
      <c r="J2737" s="7"/>
      <c r="L2737" s="7"/>
      <c r="N2737" s="7"/>
      <c r="P2737" s="7"/>
      <c r="R2737" s="7"/>
      <c r="T2737" s="7"/>
      <c r="V2737" s="7"/>
      <c r="X2737" s="7"/>
    </row>
    <row r="2738" spans="2:24">
      <c r="B2738" s="7"/>
      <c r="D2738" s="7"/>
      <c r="F2738" s="7"/>
      <c r="H2738" s="7"/>
      <c r="J2738" s="7"/>
      <c r="L2738" s="7"/>
      <c r="N2738" s="7"/>
      <c r="P2738" s="7"/>
      <c r="R2738" s="7"/>
      <c r="T2738" s="7"/>
      <c r="V2738" s="7"/>
      <c r="X2738" s="7"/>
    </row>
    <row r="2739" spans="2:24">
      <c r="B2739" s="7"/>
      <c r="D2739" s="7"/>
      <c r="F2739" s="7"/>
      <c r="H2739" s="7"/>
      <c r="J2739" s="7"/>
      <c r="L2739" s="7"/>
      <c r="N2739" s="7"/>
      <c r="P2739" s="7"/>
      <c r="R2739" s="7"/>
      <c r="T2739" s="7"/>
      <c r="V2739" s="7"/>
      <c r="X2739" s="7"/>
    </row>
    <row r="2740" spans="2:24">
      <c r="B2740" s="7"/>
      <c r="D2740" s="7"/>
      <c r="F2740" s="7"/>
      <c r="H2740" s="7"/>
      <c r="J2740" s="7"/>
      <c r="L2740" s="7"/>
      <c r="N2740" s="7"/>
      <c r="P2740" s="7"/>
      <c r="R2740" s="7"/>
      <c r="T2740" s="7"/>
      <c r="V2740" s="7"/>
      <c r="X2740" s="7"/>
    </row>
    <row r="2741" spans="2:24">
      <c r="B2741" s="7"/>
      <c r="D2741" s="7"/>
      <c r="F2741" s="7"/>
      <c r="H2741" s="7"/>
      <c r="J2741" s="7"/>
      <c r="L2741" s="7"/>
      <c r="N2741" s="7"/>
      <c r="P2741" s="7"/>
      <c r="R2741" s="7"/>
      <c r="T2741" s="7"/>
      <c r="V2741" s="7"/>
      <c r="X2741" s="7"/>
    </row>
    <row r="2742" spans="2:24">
      <c r="B2742" s="7"/>
      <c r="D2742" s="7"/>
      <c r="F2742" s="7"/>
      <c r="H2742" s="7"/>
      <c r="J2742" s="7"/>
      <c r="L2742" s="7"/>
      <c r="N2742" s="7"/>
      <c r="P2742" s="7"/>
      <c r="R2742" s="7"/>
      <c r="T2742" s="7"/>
      <c r="V2742" s="7"/>
      <c r="X2742" s="7"/>
    </row>
    <row r="2743" spans="2:24">
      <c r="B2743" s="7"/>
      <c r="D2743" s="7"/>
      <c r="F2743" s="7"/>
      <c r="H2743" s="7"/>
      <c r="J2743" s="7"/>
      <c r="L2743" s="7"/>
      <c r="N2743" s="7"/>
      <c r="P2743" s="7"/>
      <c r="R2743" s="7"/>
      <c r="T2743" s="7"/>
      <c r="V2743" s="7"/>
      <c r="X2743" s="7"/>
    </row>
    <row r="2744" spans="2:24">
      <c r="B2744" s="7"/>
      <c r="D2744" s="7"/>
      <c r="F2744" s="7"/>
      <c r="H2744" s="7"/>
      <c r="J2744" s="7"/>
      <c r="L2744" s="7"/>
      <c r="N2744" s="7"/>
      <c r="P2744" s="7"/>
      <c r="R2744" s="7"/>
      <c r="T2744" s="7"/>
      <c r="V2744" s="7"/>
      <c r="X2744" s="7"/>
    </row>
    <row r="2745" spans="2:24">
      <c r="B2745" s="7"/>
      <c r="D2745" s="7"/>
      <c r="F2745" s="7"/>
      <c r="H2745" s="7"/>
      <c r="J2745" s="7"/>
      <c r="L2745" s="7"/>
      <c r="N2745" s="7"/>
      <c r="P2745" s="7"/>
      <c r="R2745" s="7"/>
      <c r="T2745" s="7"/>
      <c r="V2745" s="7"/>
      <c r="X2745" s="7"/>
    </row>
    <row r="2746" spans="2:24">
      <c r="B2746" s="7"/>
      <c r="D2746" s="7"/>
      <c r="F2746" s="7"/>
      <c r="H2746" s="7"/>
      <c r="J2746" s="7"/>
      <c r="L2746" s="7"/>
      <c r="N2746" s="7"/>
      <c r="P2746" s="7"/>
      <c r="R2746" s="7"/>
      <c r="T2746" s="7"/>
      <c r="V2746" s="7"/>
      <c r="X2746" s="7"/>
    </row>
    <row r="2747" spans="2:24">
      <c r="B2747" s="7"/>
      <c r="D2747" s="7"/>
      <c r="F2747" s="7"/>
      <c r="H2747" s="7"/>
      <c r="J2747" s="7"/>
      <c r="L2747" s="7"/>
      <c r="N2747" s="7"/>
      <c r="P2747" s="7"/>
      <c r="R2747" s="7"/>
      <c r="T2747" s="7"/>
      <c r="V2747" s="7"/>
      <c r="X2747" s="7"/>
    </row>
    <row r="2748" spans="2:24">
      <c r="B2748" s="7"/>
      <c r="D2748" s="7"/>
      <c r="F2748" s="7"/>
      <c r="H2748" s="7"/>
      <c r="J2748" s="7"/>
      <c r="L2748" s="7"/>
      <c r="N2748" s="7"/>
      <c r="P2748" s="7"/>
      <c r="R2748" s="7"/>
      <c r="T2748" s="7"/>
      <c r="V2748" s="7"/>
      <c r="X2748" s="7"/>
    </row>
    <row r="2749" spans="2:24">
      <c r="B2749" s="7"/>
      <c r="D2749" s="7"/>
      <c r="F2749" s="7"/>
      <c r="H2749" s="7"/>
      <c r="J2749" s="7"/>
      <c r="L2749" s="7"/>
      <c r="N2749" s="7"/>
      <c r="P2749" s="7"/>
      <c r="R2749" s="7"/>
      <c r="T2749" s="7"/>
      <c r="V2749" s="7"/>
      <c r="X2749" s="7"/>
    </row>
    <row r="2750" spans="2:24">
      <c r="B2750" s="7"/>
      <c r="D2750" s="7"/>
      <c r="F2750" s="7"/>
      <c r="H2750" s="7"/>
      <c r="J2750" s="7"/>
      <c r="L2750" s="7"/>
      <c r="N2750" s="7"/>
      <c r="P2750" s="7"/>
      <c r="R2750" s="7"/>
      <c r="T2750" s="7"/>
      <c r="V2750" s="7"/>
      <c r="X2750" s="7"/>
    </row>
    <row r="2751" spans="2:24">
      <c r="B2751" s="7"/>
      <c r="D2751" s="7"/>
      <c r="F2751" s="7"/>
      <c r="H2751" s="7"/>
      <c r="J2751" s="7"/>
      <c r="L2751" s="7"/>
      <c r="N2751" s="7"/>
      <c r="P2751" s="7"/>
      <c r="R2751" s="7"/>
      <c r="T2751" s="7"/>
      <c r="V2751" s="7"/>
      <c r="X2751" s="7"/>
    </row>
    <row r="2752" spans="2:24">
      <c r="B2752" s="7"/>
      <c r="D2752" s="7"/>
      <c r="F2752" s="7"/>
      <c r="H2752" s="7"/>
      <c r="J2752" s="7"/>
      <c r="L2752" s="7"/>
      <c r="N2752" s="7"/>
      <c r="P2752" s="7"/>
      <c r="R2752" s="7"/>
      <c r="T2752" s="7"/>
      <c r="V2752" s="7"/>
      <c r="X2752" s="7"/>
    </row>
    <row r="2753" spans="2:24">
      <c r="B2753" s="7"/>
      <c r="D2753" s="7"/>
      <c r="F2753" s="7"/>
      <c r="H2753" s="7"/>
      <c r="J2753" s="7"/>
      <c r="L2753" s="7"/>
      <c r="N2753" s="7"/>
      <c r="P2753" s="7"/>
      <c r="R2753" s="7"/>
      <c r="T2753" s="7"/>
      <c r="V2753" s="7"/>
      <c r="X2753" s="7"/>
    </row>
    <row r="2754" spans="2:24">
      <c r="B2754" s="7"/>
      <c r="D2754" s="7"/>
      <c r="F2754" s="7"/>
      <c r="H2754" s="7"/>
      <c r="J2754" s="7"/>
      <c r="L2754" s="7"/>
      <c r="N2754" s="7"/>
      <c r="P2754" s="7"/>
      <c r="R2754" s="7"/>
      <c r="T2754" s="7"/>
      <c r="V2754" s="7"/>
      <c r="X2754" s="7"/>
    </row>
    <row r="2755" spans="2:24">
      <c r="B2755" s="7"/>
      <c r="D2755" s="7"/>
      <c r="F2755" s="7"/>
      <c r="H2755" s="7"/>
      <c r="J2755" s="7"/>
      <c r="L2755" s="7"/>
      <c r="N2755" s="7"/>
      <c r="P2755" s="7"/>
      <c r="R2755" s="7"/>
      <c r="T2755" s="7"/>
      <c r="V2755" s="7"/>
      <c r="X2755" s="7"/>
    </row>
    <row r="2756" spans="2:24">
      <c r="B2756" s="7"/>
      <c r="D2756" s="7"/>
      <c r="F2756" s="7"/>
      <c r="H2756" s="7"/>
      <c r="J2756" s="7"/>
      <c r="L2756" s="7"/>
      <c r="N2756" s="7"/>
      <c r="P2756" s="7"/>
      <c r="R2756" s="7"/>
      <c r="T2756" s="7"/>
      <c r="V2756" s="7"/>
      <c r="X2756" s="7"/>
    </row>
    <row r="2757" spans="2:24">
      <c r="B2757" s="7"/>
      <c r="D2757" s="7"/>
      <c r="F2757" s="7"/>
      <c r="H2757" s="7"/>
      <c r="J2757" s="7"/>
      <c r="L2757" s="7"/>
      <c r="N2757" s="7"/>
      <c r="P2757" s="7"/>
      <c r="R2757" s="7"/>
      <c r="T2757" s="7"/>
      <c r="V2757" s="7"/>
      <c r="X2757" s="7"/>
    </row>
    <row r="2758" spans="2:24">
      <c r="B2758" s="7"/>
      <c r="D2758" s="7"/>
      <c r="F2758" s="7"/>
      <c r="H2758" s="7"/>
      <c r="J2758" s="7"/>
      <c r="L2758" s="7"/>
      <c r="N2758" s="7"/>
      <c r="P2758" s="7"/>
      <c r="R2758" s="7"/>
      <c r="T2758" s="7"/>
      <c r="V2758" s="7"/>
      <c r="X2758" s="7"/>
    </row>
    <row r="2759" spans="2:24">
      <c r="B2759" s="7"/>
      <c r="D2759" s="7"/>
      <c r="F2759" s="7"/>
      <c r="H2759" s="7"/>
      <c r="J2759" s="7"/>
      <c r="L2759" s="7"/>
      <c r="N2759" s="7"/>
      <c r="P2759" s="7"/>
      <c r="R2759" s="7"/>
      <c r="T2759" s="7"/>
      <c r="V2759" s="7"/>
      <c r="X2759" s="7"/>
    </row>
    <row r="2760" spans="2:24">
      <c r="B2760" s="7"/>
      <c r="D2760" s="7"/>
      <c r="F2760" s="7"/>
      <c r="H2760" s="7"/>
      <c r="J2760" s="7"/>
      <c r="L2760" s="7"/>
      <c r="N2760" s="7"/>
      <c r="P2760" s="7"/>
      <c r="R2760" s="7"/>
      <c r="T2760" s="7"/>
      <c r="V2760" s="7"/>
      <c r="X2760" s="7"/>
    </row>
    <row r="2761" spans="2:24">
      <c r="B2761" s="7"/>
      <c r="D2761" s="7"/>
      <c r="F2761" s="7"/>
      <c r="H2761" s="7"/>
      <c r="J2761" s="7"/>
      <c r="L2761" s="7"/>
      <c r="N2761" s="7"/>
      <c r="P2761" s="7"/>
      <c r="R2761" s="7"/>
      <c r="T2761" s="7"/>
      <c r="V2761" s="7"/>
      <c r="X2761" s="7"/>
    </row>
    <row r="2762" spans="2:24">
      <c r="B2762" s="7"/>
      <c r="D2762" s="7"/>
      <c r="F2762" s="7"/>
      <c r="H2762" s="7"/>
      <c r="J2762" s="7"/>
      <c r="L2762" s="7"/>
      <c r="N2762" s="7"/>
      <c r="P2762" s="7"/>
      <c r="R2762" s="7"/>
      <c r="T2762" s="7"/>
      <c r="V2762" s="7"/>
      <c r="X2762" s="7"/>
    </row>
    <row r="2763" spans="2:24">
      <c r="B2763" s="7"/>
      <c r="D2763" s="7"/>
      <c r="F2763" s="7"/>
      <c r="H2763" s="7"/>
      <c r="J2763" s="7"/>
      <c r="L2763" s="7"/>
      <c r="N2763" s="7"/>
      <c r="P2763" s="7"/>
      <c r="R2763" s="7"/>
      <c r="T2763" s="7"/>
      <c r="V2763" s="7"/>
      <c r="X2763" s="7"/>
    </row>
    <row r="2764" spans="2:24">
      <c r="B2764" s="7"/>
      <c r="D2764" s="7"/>
      <c r="F2764" s="7"/>
      <c r="H2764" s="7"/>
      <c r="J2764" s="7"/>
      <c r="L2764" s="7"/>
      <c r="N2764" s="7"/>
      <c r="P2764" s="7"/>
      <c r="R2764" s="7"/>
      <c r="T2764" s="7"/>
      <c r="V2764" s="7"/>
      <c r="X2764" s="7"/>
    </row>
    <row r="2765" spans="2:24">
      <c r="B2765" s="7"/>
      <c r="D2765" s="7"/>
      <c r="F2765" s="7"/>
      <c r="H2765" s="7"/>
      <c r="J2765" s="7"/>
      <c r="L2765" s="7"/>
      <c r="N2765" s="7"/>
      <c r="P2765" s="7"/>
      <c r="R2765" s="7"/>
      <c r="T2765" s="7"/>
      <c r="V2765" s="7"/>
      <c r="X2765" s="7"/>
    </row>
    <row r="2766" spans="2:24">
      <c r="B2766" s="7"/>
      <c r="D2766" s="7"/>
      <c r="F2766" s="7"/>
      <c r="H2766" s="7"/>
      <c r="J2766" s="7"/>
      <c r="L2766" s="7"/>
      <c r="N2766" s="7"/>
      <c r="P2766" s="7"/>
      <c r="R2766" s="7"/>
      <c r="T2766" s="7"/>
      <c r="V2766" s="7"/>
      <c r="X2766" s="7"/>
    </row>
    <row r="2767" spans="2:24">
      <c r="B2767" s="7"/>
      <c r="D2767" s="7"/>
      <c r="F2767" s="7"/>
      <c r="H2767" s="7"/>
      <c r="J2767" s="7"/>
      <c r="L2767" s="7"/>
      <c r="N2767" s="7"/>
      <c r="P2767" s="7"/>
      <c r="R2767" s="7"/>
      <c r="T2767" s="7"/>
      <c r="V2767" s="7"/>
      <c r="X2767" s="7"/>
    </row>
    <row r="2768" spans="2:24">
      <c r="B2768" s="7"/>
      <c r="D2768" s="7"/>
      <c r="F2768" s="7"/>
      <c r="H2768" s="7"/>
      <c r="J2768" s="7"/>
      <c r="L2768" s="7"/>
      <c r="N2768" s="7"/>
      <c r="P2768" s="7"/>
      <c r="R2768" s="7"/>
      <c r="T2768" s="7"/>
      <c r="V2768" s="7"/>
      <c r="X2768" s="7"/>
    </row>
    <row r="2769" spans="2:24">
      <c r="B2769" s="7"/>
      <c r="D2769" s="7"/>
      <c r="F2769" s="7"/>
      <c r="H2769" s="7"/>
      <c r="J2769" s="7"/>
      <c r="L2769" s="7"/>
      <c r="N2769" s="7"/>
      <c r="P2769" s="7"/>
      <c r="R2769" s="7"/>
      <c r="T2769" s="7"/>
      <c r="V2769" s="7"/>
      <c r="X2769" s="7"/>
    </row>
    <row r="2770" spans="2:24">
      <c r="B2770" s="7"/>
      <c r="D2770" s="7"/>
      <c r="F2770" s="7"/>
      <c r="H2770" s="7"/>
      <c r="J2770" s="7"/>
      <c r="L2770" s="7"/>
      <c r="N2770" s="7"/>
      <c r="P2770" s="7"/>
      <c r="R2770" s="7"/>
      <c r="T2770" s="7"/>
      <c r="V2770" s="7"/>
      <c r="X2770" s="7"/>
    </row>
    <row r="2771" spans="2:24">
      <c r="B2771" s="7"/>
      <c r="D2771" s="7"/>
      <c r="F2771" s="7"/>
      <c r="H2771" s="7"/>
      <c r="J2771" s="7"/>
      <c r="L2771" s="7"/>
      <c r="N2771" s="7"/>
      <c r="P2771" s="7"/>
      <c r="R2771" s="7"/>
      <c r="T2771" s="7"/>
      <c r="V2771" s="7"/>
      <c r="X2771" s="7"/>
    </row>
    <row r="2772" spans="2:24">
      <c r="B2772" s="7"/>
      <c r="D2772" s="7"/>
      <c r="F2772" s="7"/>
      <c r="H2772" s="7"/>
      <c r="J2772" s="7"/>
      <c r="L2772" s="7"/>
      <c r="N2772" s="7"/>
      <c r="P2772" s="7"/>
      <c r="R2772" s="7"/>
      <c r="T2772" s="7"/>
      <c r="V2772" s="7"/>
      <c r="X2772" s="7"/>
    </row>
    <row r="2773" spans="2:24">
      <c r="B2773" s="7"/>
      <c r="D2773" s="7"/>
      <c r="F2773" s="7"/>
      <c r="H2773" s="7"/>
      <c r="J2773" s="7"/>
      <c r="L2773" s="7"/>
      <c r="N2773" s="7"/>
      <c r="P2773" s="7"/>
      <c r="R2773" s="7"/>
      <c r="T2773" s="7"/>
      <c r="V2773" s="7"/>
      <c r="X2773" s="7"/>
    </row>
    <row r="2774" spans="2:24">
      <c r="B2774" s="7"/>
      <c r="D2774" s="7"/>
      <c r="F2774" s="7"/>
      <c r="H2774" s="7"/>
      <c r="J2774" s="7"/>
      <c r="L2774" s="7"/>
      <c r="N2774" s="7"/>
      <c r="P2774" s="7"/>
      <c r="R2774" s="7"/>
      <c r="T2774" s="7"/>
      <c r="V2774" s="7"/>
      <c r="X2774" s="7"/>
    </row>
    <row r="2775" spans="2:24">
      <c r="B2775" s="7"/>
      <c r="D2775" s="7"/>
      <c r="F2775" s="7"/>
      <c r="H2775" s="7"/>
      <c r="J2775" s="7"/>
      <c r="L2775" s="7"/>
      <c r="N2775" s="7"/>
      <c r="P2775" s="7"/>
      <c r="R2775" s="7"/>
      <c r="T2775" s="7"/>
      <c r="V2775" s="7"/>
      <c r="X2775" s="7"/>
    </row>
    <row r="2776" spans="2:24">
      <c r="B2776" s="7"/>
      <c r="D2776" s="7"/>
      <c r="F2776" s="7"/>
      <c r="H2776" s="7"/>
      <c r="J2776" s="7"/>
      <c r="L2776" s="7"/>
      <c r="N2776" s="7"/>
      <c r="P2776" s="7"/>
      <c r="R2776" s="7"/>
      <c r="T2776" s="7"/>
      <c r="V2776" s="7"/>
      <c r="X2776" s="7"/>
    </row>
    <row r="2777" spans="2:24">
      <c r="B2777" s="7"/>
      <c r="D2777" s="7"/>
      <c r="F2777" s="7"/>
      <c r="H2777" s="7"/>
      <c r="J2777" s="7"/>
      <c r="L2777" s="7"/>
      <c r="N2777" s="7"/>
      <c r="P2777" s="7"/>
      <c r="R2777" s="7"/>
      <c r="T2777" s="7"/>
      <c r="V2777" s="7"/>
      <c r="X2777" s="7"/>
    </row>
    <row r="2778" spans="2:24">
      <c r="B2778" s="7"/>
      <c r="D2778" s="7"/>
      <c r="F2778" s="7"/>
      <c r="H2778" s="7"/>
      <c r="J2778" s="7"/>
      <c r="L2778" s="7"/>
      <c r="N2778" s="7"/>
      <c r="P2778" s="7"/>
      <c r="R2778" s="7"/>
      <c r="T2778" s="7"/>
      <c r="V2778" s="7"/>
      <c r="X2778" s="7"/>
    </row>
    <row r="2779" spans="2:24">
      <c r="B2779" s="7"/>
      <c r="D2779" s="7"/>
      <c r="F2779" s="7"/>
      <c r="H2779" s="7"/>
      <c r="J2779" s="7"/>
      <c r="L2779" s="7"/>
      <c r="N2779" s="7"/>
      <c r="P2779" s="7"/>
      <c r="R2779" s="7"/>
      <c r="T2779" s="7"/>
      <c r="V2779" s="7"/>
      <c r="X2779" s="7"/>
    </row>
    <row r="2780" spans="2:24">
      <c r="B2780" s="7"/>
      <c r="D2780" s="7"/>
      <c r="F2780" s="7"/>
      <c r="H2780" s="7"/>
      <c r="J2780" s="7"/>
      <c r="L2780" s="7"/>
      <c r="N2780" s="7"/>
      <c r="P2780" s="7"/>
      <c r="R2780" s="7"/>
      <c r="T2780" s="7"/>
      <c r="V2780" s="7"/>
      <c r="X2780" s="7"/>
    </row>
    <row r="2781" spans="2:24">
      <c r="B2781" s="7"/>
      <c r="D2781" s="7"/>
      <c r="F2781" s="7"/>
      <c r="H2781" s="7"/>
      <c r="J2781" s="7"/>
      <c r="L2781" s="7"/>
      <c r="N2781" s="7"/>
      <c r="P2781" s="7"/>
      <c r="R2781" s="7"/>
      <c r="T2781" s="7"/>
      <c r="V2781" s="7"/>
      <c r="X2781" s="7"/>
    </row>
    <row r="2782" spans="2:24">
      <c r="B2782" s="7"/>
      <c r="D2782" s="7"/>
      <c r="F2782" s="7"/>
      <c r="H2782" s="7"/>
      <c r="J2782" s="7"/>
      <c r="L2782" s="7"/>
      <c r="N2782" s="7"/>
      <c r="P2782" s="7"/>
      <c r="R2782" s="7"/>
      <c r="T2782" s="7"/>
      <c r="V2782" s="7"/>
      <c r="X2782" s="7"/>
    </row>
    <row r="2783" spans="2:24">
      <c r="B2783" s="7"/>
      <c r="D2783" s="7"/>
      <c r="F2783" s="7"/>
      <c r="H2783" s="7"/>
      <c r="J2783" s="7"/>
      <c r="L2783" s="7"/>
      <c r="N2783" s="7"/>
      <c r="P2783" s="7"/>
      <c r="R2783" s="7"/>
      <c r="T2783" s="7"/>
      <c r="V2783" s="7"/>
      <c r="X2783" s="7"/>
    </row>
    <row r="2784" spans="2:24">
      <c r="B2784" s="7"/>
      <c r="D2784" s="7"/>
      <c r="F2784" s="7"/>
      <c r="H2784" s="7"/>
      <c r="J2784" s="7"/>
      <c r="L2784" s="7"/>
      <c r="N2784" s="7"/>
      <c r="P2784" s="7"/>
      <c r="R2784" s="7"/>
      <c r="T2784" s="7"/>
      <c r="V2784" s="7"/>
      <c r="X2784" s="7"/>
    </row>
    <row r="2785" spans="2:24">
      <c r="B2785" s="7"/>
      <c r="D2785" s="7"/>
      <c r="F2785" s="7"/>
      <c r="H2785" s="7"/>
      <c r="J2785" s="7"/>
      <c r="L2785" s="7"/>
      <c r="N2785" s="7"/>
      <c r="P2785" s="7"/>
      <c r="R2785" s="7"/>
      <c r="T2785" s="7"/>
      <c r="V2785" s="7"/>
      <c r="X2785" s="7"/>
    </row>
    <row r="2786" spans="2:24">
      <c r="B2786" s="7"/>
      <c r="D2786" s="7"/>
      <c r="F2786" s="7"/>
      <c r="H2786" s="7"/>
      <c r="J2786" s="7"/>
      <c r="L2786" s="7"/>
      <c r="N2786" s="7"/>
      <c r="P2786" s="7"/>
      <c r="R2786" s="7"/>
      <c r="T2786" s="7"/>
      <c r="V2786" s="7"/>
      <c r="X2786" s="7"/>
    </row>
    <row r="2787" spans="2:24">
      <c r="B2787" s="7"/>
      <c r="D2787" s="7"/>
      <c r="F2787" s="7"/>
      <c r="H2787" s="7"/>
      <c r="J2787" s="7"/>
      <c r="L2787" s="7"/>
      <c r="N2787" s="7"/>
      <c r="P2787" s="7"/>
      <c r="R2787" s="7"/>
      <c r="T2787" s="7"/>
      <c r="V2787" s="7"/>
      <c r="X2787" s="7"/>
    </row>
    <row r="2788" spans="2:24">
      <c r="B2788" s="7"/>
      <c r="D2788" s="7"/>
      <c r="F2788" s="7"/>
      <c r="H2788" s="7"/>
      <c r="J2788" s="7"/>
      <c r="L2788" s="7"/>
      <c r="N2788" s="7"/>
      <c r="P2788" s="7"/>
      <c r="R2788" s="7"/>
      <c r="T2788" s="7"/>
      <c r="V2788" s="7"/>
      <c r="X2788" s="7"/>
    </row>
    <row r="2789" spans="2:24">
      <c r="B2789" s="7"/>
      <c r="D2789" s="7"/>
      <c r="F2789" s="7"/>
      <c r="H2789" s="7"/>
      <c r="J2789" s="7"/>
      <c r="L2789" s="7"/>
      <c r="N2789" s="7"/>
      <c r="P2789" s="7"/>
      <c r="R2789" s="7"/>
      <c r="T2789" s="7"/>
      <c r="V2789" s="7"/>
      <c r="X2789" s="7"/>
    </row>
    <row r="2790" spans="2:24">
      <c r="B2790" s="7"/>
      <c r="D2790" s="7"/>
      <c r="F2790" s="7"/>
      <c r="H2790" s="7"/>
      <c r="J2790" s="7"/>
      <c r="L2790" s="7"/>
      <c r="N2790" s="7"/>
      <c r="P2790" s="7"/>
      <c r="R2790" s="7"/>
      <c r="T2790" s="7"/>
      <c r="V2790" s="7"/>
      <c r="X2790" s="7"/>
    </row>
    <row r="2791" spans="2:24">
      <c r="B2791" s="7"/>
      <c r="D2791" s="7"/>
      <c r="F2791" s="7"/>
      <c r="H2791" s="7"/>
      <c r="J2791" s="7"/>
      <c r="L2791" s="7"/>
      <c r="N2791" s="7"/>
      <c r="P2791" s="7"/>
      <c r="R2791" s="7"/>
      <c r="T2791" s="7"/>
      <c r="V2791" s="7"/>
      <c r="X2791" s="7"/>
    </row>
    <row r="2792" spans="2:24">
      <c r="B2792" s="7"/>
      <c r="D2792" s="7"/>
      <c r="F2792" s="7"/>
      <c r="H2792" s="7"/>
      <c r="J2792" s="7"/>
      <c r="L2792" s="7"/>
      <c r="N2792" s="7"/>
      <c r="P2792" s="7"/>
      <c r="R2792" s="7"/>
      <c r="T2792" s="7"/>
      <c r="V2792" s="7"/>
      <c r="X2792" s="7"/>
    </row>
    <row r="2793" spans="2:24">
      <c r="B2793" s="7"/>
      <c r="D2793" s="7"/>
      <c r="F2793" s="7"/>
      <c r="H2793" s="7"/>
      <c r="J2793" s="7"/>
      <c r="L2793" s="7"/>
      <c r="N2793" s="7"/>
      <c r="P2793" s="7"/>
      <c r="R2793" s="7"/>
      <c r="T2793" s="7"/>
      <c r="V2793" s="7"/>
      <c r="X2793" s="7"/>
    </row>
    <row r="2794" spans="2:24">
      <c r="B2794" s="7"/>
      <c r="D2794" s="7"/>
      <c r="F2794" s="7"/>
      <c r="H2794" s="7"/>
      <c r="J2794" s="7"/>
      <c r="L2794" s="7"/>
      <c r="N2794" s="7"/>
      <c r="P2794" s="7"/>
      <c r="R2794" s="7"/>
      <c r="T2794" s="7"/>
      <c r="V2794" s="7"/>
      <c r="X2794" s="7"/>
    </row>
    <row r="2795" spans="2:24">
      <c r="B2795" s="7"/>
      <c r="D2795" s="7"/>
      <c r="F2795" s="7"/>
      <c r="H2795" s="7"/>
      <c r="J2795" s="7"/>
      <c r="L2795" s="7"/>
      <c r="N2795" s="7"/>
      <c r="P2795" s="7"/>
      <c r="R2795" s="7"/>
      <c r="T2795" s="7"/>
      <c r="V2795" s="7"/>
      <c r="X2795" s="7"/>
    </row>
    <row r="2796" spans="2:24">
      <c r="B2796" s="7"/>
      <c r="D2796" s="7"/>
      <c r="F2796" s="7"/>
      <c r="H2796" s="7"/>
      <c r="J2796" s="7"/>
      <c r="L2796" s="7"/>
      <c r="N2796" s="7"/>
      <c r="P2796" s="7"/>
      <c r="R2796" s="7"/>
      <c r="T2796" s="7"/>
      <c r="V2796" s="7"/>
      <c r="X2796" s="7"/>
    </row>
    <row r="2797" spans="2:24">
      <c r="B2797" s="7"/>
      <c r="D2797" s="7"/>
      <c r="F2797" s="7"/>
      <c r="H2797" s="7"/>
      <c r="J2797" s="7"/>
      <c r="L2797" s="7"/>
      <c r="N2797" s="7"/>
      <c r="P2797" s="7"/>
      <c r="R2797" s="7"/>
      <c r="T2797" s="7"/>
      <c r="V2797" s="7"/>
      <c r="X2797" s="7"/>
    </row>
    <row r="2798" spans="2:24">
      <c r="B2798" s="7"/>
      <c r="D2798" s="7"/>
      <c r="F2798" s="7"/>
      <c r="H2798" s="7"/>
      <c r="J2798" s="7"/>
      <c r="L2798" s="7"/>
      <c r="N2798" s="7"/>
      <c r="P2798" s="7"/>
      <c r="R2798" s="7"/>
      <c r="T2798" s="7"/>
      <c r="V2798" s="7"/>
      <c r="X2798" s="7"/>
    </row>
    <row r="2799" spans="2:24">
      <c r="B2799" s="7"/>
      <c r="D2799" s="7"/>
      <c r="F2799" s="7"/>
      <c r="H2799" s="7"/>
      <c r="J2799" s="7"/>
      <c r="L2799" s="7"/>
      <c r="N2799" s="7"/>
      <c r="P2799" s="7"/>
      <c r="R2799" s="7"/>
      <c r="T2799" s="7"/>
      <c r="V2799" s="7"/>
      <c r="X2799" s="7"/>
    </row>
    <row r="2800" spans="2:24">
      <c r="B2800" s="7"/>
      <c r="D2800" s="7"/>
      <c r="F2800" s="7"/>
      <c r="H2800" s="7"/>
      <c r="J2800" s="7"/>
      <c r="L2800" s="7"/>
      <c r="N2800" s="7"/>
      <c r="P2800" s="7"/>
      <c r="R2800" s="7"/>
      <c r="T2800" s="7"/>
      <c r="V2800" s="7"/>
      <c r="X2800" s="7"/>
    </row>
    <row r="2801" spans="2:24">
      <c r="B2801" s="7"/>
      <c r="D2801" s="7"/>
      <c r="F2801" s="7"/>
      <c r="H2801" s="7"/>
      <c r="J2801" s="7"/>
      <c r="L2801" s="7"/>
      <c r="N2801" s="7"/>
      <c r="P2801" s="7"/>
      <c r="R2801" s="7"/>
      <c r="T2801" s="7"/>
      <c r="V2801" s="7"/>
      <c r="X2801" s="7"/>
    </row>
    <row r="2802" spans="2:24">
      <c r="B2802" s="7"/>
      <c r="D2802" s="7"/>
      <c r="F2802" s="7"/>
      <c r="H2802" s="7"/>
      <c r="J2802" s="7"/>
      <c r="L2802" s="7"/>
      <c r="N2802" s="7"/>
      <c r="P2802" s="7"/>
      <c r="R2802" s="7"/>
      <c r="T2802" s="7"/>
      <c r="V2802" s="7"/>
      <c r="X2802" s="7"/>
    </row>
    <row r="2803" spans="2:24">
      <c r="B2803" s="7"/>
      <c r="D2803" s="7"/>
      <c r="F2803" s="7"/>
      <c r="H2803" s="7"/>
      <c r="J2803" s="7"/>
      <c r="L2803" s="7"/>
      <c r="N2803" s="7"/>
      <c r="P2803" s="7"/>
      <c r="R2803" s="7"/>
      <c r="T2803" s="7"/>
      <c r="V2803" s="7"/>
      <c r="X2803" s="7"/>
    </row>
    <row r="2804" spans="2:24">
      <c r="B2804" s="7"/>
      <c r="D2804" s="7"/>
      <c r="F2804" s="7"/>
      <c r="H2804" s="7"/>
      <c r="J2804" s="7"/>
      <c r="L2804" s="7"/>
      <c r="N2804" s="7"/>
      <c r="P2804" s="7"/>
      <c r="R2804" s="7"/>
      <c r="T2804" s="7"/>
      <c r="V2804" s="7"/>
      <c r="X2804" s="7"/>
    </row>
    <row r="2805" spans="2:24">
      <c r="B2805" s="7"/>
      <c r="D2805" s="7"/>
      <c r="F2805" s="7"/>
      <c r="H2805" s="7"/>
      <c r="J2805" s="7"/>
      <c r="L2805" s="7"/>
      <c r="N2805" s="7"/>
      <c r="P2805" s="7"/>
      <c r="R2805" s="7"/>
      <c r="T2805" s="7"/>
      <c r="V2805" s="7"/>
      <c r="X2805" s="7"/>
    </row>
    <row r="2806" spans="2:24">
      <c r="B2806" s="7"/>
      <c r="D2806" s="7"/>
      <c r="F2806" s="7"/>
      <c r="H2806" s="7"/>
      <c r="J2806" s="7"/>
      <c r="L2806" s="7"/>
      <c r="N2806" s="7"/>
      <c r="P2806" s="7"/>
      <c r="R2806" s="7"/>
      <c r="T2806" s="7"/>
      <c r="V2806" s="7"/>
      <c r="X2806" s="7"/>
    </row>
    <row r="2807" spans="2:24">
      <c r="B2807" s="7"/>
      <c r="D2807" s="7"/>
      <c r="F2807" s="7"/>
      <c r="H2807" s="7"/>
      <c r="J2807" s="7"/>
      <c r="L2807" s="7"/>
      <c r="N2807" s="7"/>
      <c r="P2807" s="7"/>
      <c r="R2807" s="7"/>
      <c r="T2807" s="7"/>
      <c r="V2807" s="7"/>
      <c r="X2807" s="7"/>
    </row>
    <row r="2808" spans="2:24">
      <c r="B2808" s="7"/>
      <c r="D2808" s="7"/>
      <c r="F2808" s="7"/>
      <c r="H2808" s="7"/>
      <c r="J2808" s="7"/>
      <c r="L2808" s="7"/>
      <c r="N2808" s="7"/>
      <c r="P2808" s="7"/>
      <c r="R2808" s="7"/>
      <c r="T2808" s="7"/>
      <c r="V2808" s="7"/>
      <c r="X2808" s="7"/>
    </row>
    <row r="2809" spans="2:24">
      <c r="B2809" s="7"/>
      <c r="D2809" s="7"/>
      <c r="F2809" s="7"/>
      <c r="H2809" s="7"/>
      <c r="J2809" s="7"/>
      <c r="L2809" s="7"/>
      <c r="N2809" s="7"/>
      <c r="P2809" s="7"/>
      <c r="R2809" s="7"/>
      <c r="T2809" s="7"/>
      <c r="V2809" s="7"/>
      <c r="X2809" s="7"/>
    </row>
    <row r="2810" spans="2:24">
      <c r="B2810" s="7"/>
      <c r="D2810" s="7"/>
      <c r="F2810" s="7"/>
      <c r="H2810" s="7"/>
      <c r="J2810" s="7"/>
      <c r="L2810" s="7"/>
      <c r="N2810" s="7"/>
      <c r="P2810" s="7"/>
      <c r="R2810" s="7"/>
      <c r="T2810" s="7"/>
      <c r="V2810" s="7"/>
      <c r="X2810" s="7"/>
    </row>
    <row r="2811" spans="2:24">
      <c r="B2811" s="7"/>
      <c r="D2811" s="7"/>
      <c r="F2811" s="7"/>
      <c r="H2811" s="7"/>
      <c r="J2811" s="7"/>
      <c r="L2811" s="7"/>
      <c r="N2811" s="7"/>
      <c r="P2811" s="7"/>
      <c r="R2811" s="7"/>
      <c r="T2811" s="7"/>
      <c r="V2811" s="7"/>
      <c r="X2811" s="7"/>
    </row>
    <row r="2812" spans="2:24">
      <c r="B2812" s="7"/>
      <c r="D2812" s="7"/>
      <c r="F2812" s="7"/>
      <c r="H2812" s="7"/>
      <c r="J2812" s="7"/>
      <c r="L2812" s="7"/>
      <c r="N2812" s="7"/>
      <c r="P2812" s="7"/>
      <c r="R2812" s="7"/>
      <c r="T2812" s="7"/>
      <c r="V2812" s="7"/>
      <c r="X2812" s="7"/>
    </row>
    <row r="2813" spans="2:24">
      <c r="B2813" s="7"/>
      <c r="D2813" s="7"/>
      <c r="F2813" s="7"/>
      <c r="H2813" s="7"/>
      <c r="J2813" s="7"/>
      <c r="L2813" s="7"/>
      <c r="N2813" s="7"/>
      <c r="P2813" s="7"/>
      <c r="R2813" s="7"/>
      <c r="T2813" s="7"/>
      <c r="V2813" s="7"/>
      <c r="X2813" s="7"/>
    </row>
    <row r="2814" spans="2:24">
      <c r="B2814" s="7"/>
      <c r="D2814" s="7"/>
      <c r="F2814" s="7"/>
      <c r="H2814" s="7"/>
      <c r="J2814" s="7"/>
      <c r="L2814" s="7"/>
      <c r="N2814" s="7"/>
      <c r="P2814" s="7"/>
      <c r="R2814" s="7"/>
      <c r="T2814" s="7"/>
      <c r="V2814" s="7"/>
      <c r="X2814" s="7"/>
    </row>
    <row r="2815" spans="2:24">
      <c r="B2815" s="7"/>
      <c r="D2815" s="7"/>
      <c r="F2815" s="7"/>
      <c r="H2815" s="7"/>
      <c r="J2815" s="7"/>
      <c r="L2815" s="7"/>
      <c r="N2815" s="7"/>
      <c r="P2815" s="7"/>
      <c r="R2815" s="7"/>
      <c r="T2815" s="7"/>
      <c r="V2815" s="7"/>
      <c r="X2815" s="7"/>
    </row>
    <row r="2816" spans="2:24">
      <c r="B2816" s="7"/>
      <c r="D2816" s="7"/>
      <c r="F2816" s="7"/>
      <c r="H2816" s="7"/>
      <c r="J2816" s="7"/>
      <c r="L2816" s="7"/>
      <c r="N2816" s="7"/>
      <c r="P2816" s="7"/>
      <c r="R2816" s="7"/>
      <c r="T2816" s="7"/>
      <c r="V2816" s="7"/>
      <c r="X2816" s="7"/>
    </row>
    <row r="2817" spans="2:24">
      <c r="B2817" s="7"/>
      <c r="D2817" s="7"/>
      <c r="F2817" s="7"/>
      <c r="H2817" s="7"/>
      <c r="J2817" s="7"/>
      <c r="L2817" s="7"/>
      <c r="N2817" s="7"/>
      <c r="P2817" s="7"/>
      <c r="R2817" s="7"/>
      <c r="T2817" s="7"/>
      <c r="V2817" s="7"/>
      <c r="X2817" s="7"/>
    </row>
    <row r="2818" spans="2:24">
      <c r="B2818" s="7"/>
      <c r="D2818" s="7"/>
      <c r="F2818" s="7"/>
      <c r="H2818" s="7"/>
      <c r="J2818" s="7"/>
      <c r="L2818" s="7"/>
      <c r="N2818" s="7"/>
      <c r="P2818" s="7"/>
      <c r="R2818" s="7"/>
      <c r="T2818" s="7"/>
      <c r="V2818" s="7"/>
      <c r="X2818" s="7"/>
    </row>
    <row r="2819" spans="2:24">
      <c r="B2819" s="7"/>
      <c r="D2819" s="7"/>
      <c r="F2819" s="7"/>
      <c r="H2819" s="7"/>
      <c r="J2819" s="7"/>
      <c r="L2819" s="7"/>
      <c r="N2819" s="7"/>
      <c r="P2819" s="7"/>
      <c r="R2819" s="7"/>
      <c r="T2819" s="7"/>
      <c r="V2819" s="7"/>
      <c r="X2819" s="7"/>
    </row>
    <row r="2820" spans="2:24">
      <c r="B2820" s="7"/>
      <c r="D2820" s="7"/>
      <c r="F2820" s="7"/>
      <c r="H2820" s="7"/>
      <c r="J2820" s="7"/>
      <c r="L2820" s="7"/>
      <c r="N2820" s="7"/>
      <c r="P2820" s="7"/>
      <c r="R2820" s="7"/>
      <c r="T2820" s="7"/>
      <c r="V2820" s="7"/>
      <c r="X2820" s="7"/>
    </row>
    <row r="2821" spans="2:24">
      <c r="B2821" s="7"/>
      <c r="D2821" s="7"/>
      <c r="F2821" s="7"/>
      <c r="H2821" s="7"/>
      <c r="J2821" s="7"/>
      <c r="L2821" s="7"/>
      <c r="N2821" s="7"/>
      <c r="P2821" s="7"/>
      <c r="R2821" s="7"/>
      <c r="T2821" s="7"/>
      <c r="V2821" s="7"/>
      <c r="X2821" s="7"/>
    </row>
    <row r="2822" spans="2:24">
      <c r="B2822" s="7"/>
      <c r="D2822" s="7"/>
      <c r="F2822" s="7"/>
      <c r="H2822" s="7"/>
      <c r="J2822" s="7"/>
      <c r="L2822" s="7"/>
      <c r="N2822" s="7"/>
      <c r="P2822" s="7"/>
      <c r="R2822" s="7"/>
      <c r="T2822" s="7"/>
      <c r="V2822" s="7"/>
      <c r="X2822" s="7"/>
    </row>
    <row r="2823" spans="2:24">
      <c r="B2823" s="7"/>
      <c r="D2823" s="7"/>
      <c r="F2823" s="7"/>
      <c r="H2823" s="7"/>
      <c r="J2823" s="7"/>
      <c r="L2823" s="7"/>
      <c r="N2823" s="7"/>
      <c r="P2823" s="7"/>
      <c r="R2823" s="7"/>
      <c r="T2823" s="7"/>
      <c r="V2823" s="7"/>
      <c r="X2823" s="7"/>
    </row>
    <row r="2824" spans="2:24">
      <c r="B2824" s="7"/>
      <c r="D2824" s="7"/>
      <c r="F2824" s="7"/>
      <c r="H2824" s="7"/>
      <c r="J2824" s="7"/>
      <c r="L2824" s="7"/>
      <c r="N2824" s="7"/>
      <c r="P2824" s="7"/>
      <c r="R2824" s="7"/>
      <c r="T2824" s="7"/>
      <c r="V2824" s="7"/>
      <c r="X2824" s="7"/>
    </row>
    <row r="2825" spans="2:24">
      <c r="B2825" s="7"/>
      <c r="D2825" s="7"/>
      <c r="F2825" s="7"/>
      <c r="H2825" s="7"/>
      <c r="J2825" s="7"/>
      <c r="L2825" s="7"/>
      <c r="N2825" s="7"/>
      <c r="P2825" s="7"/>
      <c r="R2825" s="7"/>
      <c r="T2825" s="7"/>
      <c r="V2825" s="7"/>
      <c r="X2825" s="7"/>
    </row>
    <row r="2826" spans="2:24">
      <c r="B2826" s="7"/>
      <c r="D2826" s="7"/>
      <c r="F2826" s="7"/>
      <c r="H2826" s="7"/>
      <c r="J2826" s="7"/>
      <c r="L2826" s="7"/>
      <c r="N2826" s="7"/>
      <c r="P2826" s="7"/>
      <c r="R2826" s="7"/>
      <c r="T2826" s="7"/>
      <c r="V2826" s="7"/>
      <c r="X2826" s="7"/>
    </row>
    <row r="2827" spans="2:24">
      <c r="B2827" s="7"/>
      <c r="D2827" s="7"/>
      <c r="F2827" s="7"/>
      <c r="H2827" s="7"/>
      <c r="J2827" s="7"/>
      <c r="L2827" s="7"/>
      <c r="N2827" s="7"/>
      <c r="P2827" s="7"/>
      <c r="R2827" s="7"/>
      <c r="T2827" s="7"/>
      <c r="V2827" s="7"/>
      <c r="X2827" s="7"/>
    </row>
    <row r="2828" spans="2:24">
      <c r="B2828" s="7"/>
      <c r="D2828" s="7"/>
      <c r="F2828" s="7"/>
      <c r="H2828" s="7"/>
      <c r="J2828" s="7"/>
      <c r="L2828" s="7"/>
      <c r="N2828" s="7"/>
      <c r="P2828" s="7"/>
      <c r="R2828" s="7"/>
      <c r="T2828" s="7"/>
      <c r="V2828" s="7"/>
      <c r="X2828" s="7"/>
    </row>
    <row r="2829" spans="2:24">
      <c r="B2829" s="7"/>
      <c r="D2829" s="7"/>
      <c r="F2829" s="7"/>
      <c r="H2829" s="7"/>
      <c r="J2829" s="7"/>
      <c r="L2829" s="7"/>
      <c r="N2829" s="7"/>
      <c r="P2829" s="7"/>
      <c r="R2829" s="7"/>
      <c r="T2829" s="7"/>
      <c r="V2829" s="7"/>
      <c r="X2829" s="7"/>
    </row>
    <row r="2830" spans="2:24">
      <c r="B2830" s="7"/>
      <c r="D2830" s="7"/>
      <c r="F2830" s="7"/>
      <c r="H2830" s="7"/>
      <c r="J2830" s="7"/>
      <c r="L2830" s="7"/>
      <c r="N2830" s="7"/>
      <c r="P2830" s="7"/>
      <c r="R2830" s="7"/>
      <c r="T2830" s="7"/>
      <c r="V2830" s="7"/>
      <c r="X2830" s="7"/>
    </row>
    <row r="2831" spans="2:24">
      <c r="B2831" s="7"/>
      <c r="D2831" s="7"/>
      <c r="F2831" s="7"/>
      <c r="H2831" s="7"/>
      <c r="J2831" s="7"/>
      <c r="L2831" s="7"/>
      <c r="N2831" s="7"/>
      <c r="P2831" s="7"/>
      <c r="R2831" s="7"/>
      <c r="T2831" s="7"/>
      <c r="V2831" s="7"/>
      <c r="X2831" s="7"/>
    </row>
    <row r="2832" spans="2:24">
      <c r="B2832" s="7"/>
      <c r="D2832" s="7"/>
      <c r="F2832" s="7"/>
      <c r="H2832" s="7"/>
      <c r="J2832" s="7"/>
      <c r="L2832" s="7"/>
      <c r="N2832" s="7"/>
      <c r="P2832" s="7"/>
      <c r="R2832" s="7"/>
      <c r="T2832" s="7"/>
      <c r="V2832" s="7"/>
      <c r="X2832" s="7"/>
    </row>
    <row r="2833" spans="2:24">
      <c r="B2833" s="7"/>
      <c r="D2833" s="7"/>
      <c r="F2833" s="7"/>
      <c r="H2833" s="7"/>
      <c r="J2833" s="7"/>
      <c r="L2833" s="7"/>
      <c r="N2833" s="7"/>
      <c r="P2833" s="7"/>
      <c r="R2833" s="7"/>
      <c r="T2833" s="7"/>
      <c r="V2833" s="7"/>
      <c r="X2833" s="7"/>
    </row>
    <row r="2834" spans="2:24">
      <c r="B2834" s="7"/>
      <c r="D2834" s="7"/>
      <c r="F2834" s="7"/>
      <c r="H2834" s="7"/>
      <c r="J2834" s="7"/>
      <c r="L2834" s="7"/>
      <c r="N2834" s="7"/>
      <c r="P2834" s="7"/>
      <c r="R2834" s="7"/>
      <c r="T2834" s="7"/>
      <c r="V2834" s="7"/>
      <c r="X2834" s="7"/>
    </row>
    <row r="2835" spans="2:24">
      <c r="B2835" s="7"/>
      <c r="D2835" s="7"/>
      <c r="F2835" s="7"/>
      <c r="H2835" s="7"/>
      <c r="J2835" s="7"/>
      <c r="L2835" s="7"/>
      <c r="N2835" s="7"/>
      <c r="P2835" s="7"/>
      <c r="R2835" s="7"/>
      <c r="T2835" s="7"/>
      <c r="V2835" s="7"/>
      <c r="X2835" s="7"/>
    </row>
    <row r="2836" spans="2:24">
      <c r="B2836" s="7"/>
      <c r="D2836" s="7"/>
      <c r="F2836" s="7"/>
      <c r="H2836" s="7"/>
      <c r="J2836" s="7"/>
      <c r="L2836" s="7"/>
      <c r="N2836" s="7"/>
      <c r="P2836" s="7"/>
      <c r="R2836" s="7"/>
      <c r="T2836" s="7"/>
      <c r="V2836" s="7"/>
      <c r="X2836" s="7"/>
    </row>
    <row r="2837" spans="2:24">
      <c r="B2837" s="7"/>
      <c r="D2837" s="7"/>
      <c r="F2837" s="7"/>
      <c r="H2837" s="7"/>
      <c r="J2837" s="7"/>
      <c r="L2837" s="7"/>
      <c r="N2837" s="7"/>
      <c r="P2837" s="7"/>
      <c r="R2837" s="7"/>
      <c r="T2837" s="7"/>
      <c r="V2837" s="7"/>
      <c r="X2837" s="7"/>
    </row>
    <row r="2838" spans="2:24">
      <c r="B2838" s="7"/>
      <c r="D2838" s="7"/>
      <c r="F2838" s="7"/>
      <c r="H2838" s="7"/>
      <c r="J2838" s="7"/>
      <c r="L2838" s="7"/>
      <c r="N2838" s="7"/>
      <c r="P2838" s="7"/>
      <c r="R2838" s="7"/>
      <c r="T2838" s="7"/>
      <c r="V2838" s="7"/>
      <c r="X2838" s="7"/>
    </row>
    <row r="2839" spans="2:24">
      <c r="B2839" s="7"/>
      <c r="D2839" s="7"/>
      <c r="F2839" s="7"/>
      <c r="H2839" s="7"/>
      <c r="J2839" s="7"/>
      <c r="L2839" s="7"/>
      <c r="N2839" s="7"/>
      <c r="P2839" s="7"/>
      <c r="R2839" s="7"/>
      <c r="T2839" s="7"/>
      <c r="V2839" s="7"/>
      <c r="X2839" s="7"/>
    </row>
    <row r="2840" spans="2:24">
      <c r="B2840" s="7"/>
      <c r="D2840" s="7"/>
      <c r="F2840" s="7"/>
      <c r="H2840" s="7"/>
      <c r="J2840" s="7"/>
      <c r="L2840" s="7"/>
      <c r="N2840" s="7"/>
      <c r="P2840" s="7"/>
      <c r="R2840" s="7"/>
      <c r="T2840" s="7"/>
      <c r="V2840" s="7"/>
      <c r="X2840" s="7"/>
    </row>
    <row r="2841" spans="2:24">
      <c r="B2841" s="7"/>
      <c r="D2841" s="7"/>
      <c r="F2841" s="7"/>
      <c r="H2841" s="7"/>
      <c r="J2841" s="7"/>
      <c r="L2841" s="7"/>
      <c r="N2841" s="7"/>
      <c r="P2841" s="7"/>
      <c r="R2841" s="7"/>
      <c r="T2841" s="7"/>
      <c r="V2841" s="7"/>
      <c r="X2841" s="7"/>
    </row>
    <row r="2842" spans="2:24">
      <c r="B2842" s="7"/>
      <c r="D2842" s="7"/>
      <c r="F2842" s="7"/>
      <c r="H2842" s="7"/>
      <c r="J2842" s="7"/>
      <c r="L2842" s="7"/>
      <c r="N2842" s="7"/>
      <c r="P2842" s="7"/>
      <c r="R2842" s="7"/>
      <c r="T2842" s="7"/>
      <c r="V2842" s="7"/>
      <c r="X2842" s="7"/>
    </row>
    <row r="2843" spans="2:24">
      <c r="B2843" s="7"/>
      <c r="D2843" s="7"/>
      <c r="F2843" s="7"/>
      <c r="H2843" s="7"/>
      <c r="J2843" s="7"/>
      <c r="L2843" s="7"/>
      <c r="N2843" s="7"/>
      <c r="P2843" s="7"/>
      <c r="R2843" s="7"/>
      <c r="T2843" s="7"/>
      <c r="V2843" s="7"/>
      <c r="X2843" s="7"/>
    </row>
    <row r="2844" spans="2:24">
      <c r="B2844" s="7"/>
      <c r="D2844" s="7"/>
      <c r="F2844" s="7"/>
      <c r="H2844" s="7"/>
      <c r="J2844" s="7"/>
      <c r="L2844" s="7"/>
      <c r="N2844" s="7"/>
      <c r="P2844" s="7"/>
      <c r="R2844" s="7"/>
      <c r="T2844" s="7"/>
      <c r="V2844" s="7"/>
      <c r="X2844" s="7"/>
    </row>
    <row r="2845" spans="2:24">
      <c r="B2845" s="7"/>
      <c r="D2845" s="7"/>
      <c r="F2845" s="7"/>
      <c r="H2845" s="7"/>
      <c r="J2845" s="7"/>
      <c r="L2845" s="7"/>
      <c r="N2845" s="7"/>
      <c r="P2845" s="7"/>
      <c r="R2845" s="7"/>
      <c r="T2845" s="7"/>
      <c r="V2845" s="7"/>
      <c r="X2845" s="7"/>
    </row>
    <row r="2846" spans="2:24">
      <c r="B2846" s="7"/>
      <c r="D2846" s="7"/>
      <c r="F2846" s="7"/>
      <c r="H2846" s="7"/>
      <c r="J2846" s="7"/>
      <c r="L2846" s="7"/>
      <c r="N2846" s="7"/>
      <c r="P2846" s="7"/>
      <c r="R2846" s="7"/>
      <c r="T2846" s="7"/>
      <c r="V2846" s="7"/>
      <c r="X2846" s="7"/>
    </row>
    <row r="2847" spans="2:24">
      <c r="B2847" s="7"/>
      <c r="D2847" s="7"/>
      <c r="F2847" s="7"/>
      <c r="H2847" s="7"/>
      <c r="J2847" s="7"/>
      <c r="L2847" s="7"/>
      <c r="N2847" s="7"/>
      <c r="P2847" s="7"/>
      <c r="R2847" s="7"/>
      <c r="T2847" s="7"/>
      <c r="V2847" s="7"/>
      <c r="X2847" s="7"/>
    </row>
    <row r="2848" spans="2:24">
      <c r="B2848" s="7"/>
      <c r="D2848" s="7"/>
      <c r="F2848" s="7"/>
      <c r="H2848" s="7"/>
      <c r="J2848" s="7"/>
      <c r="L2848" s="7"/>
      <c r="N2848" s="7"/>
      <c r="P2848" s="7"/>
      <c r="R2848" s="7"/>
      <c r="T2848" s="7"/>
      <c r="V2848" s="7"/>
      <c r="X2848" s="7"/>
    </row>
    <row r="2849" spans="2:24">
      <c r="B2849" s="7"/>
      <c r="D2849" s="7"/>
      <c r="F2849" s="7"/>
      <c r="H2849" s="7"/>
      <c r="J2849" s="7"/>
      <c r="L2849" s="7"/>
      <c r="N2849" s="7"/>
      <c r="P2849" s="7"/>
      <c r="R2849" s="7"/>
      <c r="T2849" s="7"/>
      <c r="V2849" s="7"/>
      <c r="X2849" s="7"/>
    </row>
    <row r="2850" spans="2:24">
      <c r="B2850" s="7"/>
      <c r="D2850" s="7"/>
      <c r="F2850" s="7"/>
      <c r="H2850" s="7"/>
      <c r="J2850" s="7"/>
      <c r="L2850" s="7"/>
      <c r="N2850" s="7"/>
      <c r="P2850" s="7"/>
      <c r="R2850" s="7"/>
      <c r="T2850" s="7"/>
      <c r="V2850" s="7"/>
      <c r="X2850" s="7"/>
    </row>
    <row r="2851" spans="2:24">
      <c r="B2851" s="7"/>
      <c r="D2851" s="7"/>
      <c r="F2851" s="7"/>
      <c r="H2851" s="7"/>
      <c r="J2851" s="7"/>
      <c r="L2851" s="7"/>
      <c r="N2851" s="7"/>
      <c r="P2851" s="7"/>
      <c r="R2851" s="7"/>
      <c r="T2851" s="7"/>
      <c r="V2851" s="7"/>
      <c r="X2851" s="7"/>
    </row>
    <row r="2852" spans="2:24">
      <c r="B2852" s="7"/>
      <c r="D2852" s="7"/>
      <c r="F2852" s="7"/>
      <c r="H2852" s="7"/>
      <c r="J2852" s="7"/>
      <c r="L2852" s="7"/>
      <c r="N2852" s="7"/>
      <c r="P2852" s="7"/>
      <c r="R2852" s="7"/>
      <c r="T2852" s="7"/>
      <c r="V2852" s="7"/>
      <c r="X2852" s="7"/>
    </row>
    <row r="2853" spans="2:24">
      <c r="B2853" s="7"/>
      <c r="D2853" s="7"/>
      <c r="F2853" s="7"/>
      <c r="H2853" s="7"/>
      <c r="J2853" s="7"/>
      <c r="L2853" s="7"/>
      <c r="N2853" s="7"/>
      <c r="P2853" s="7"/>
      <c r="R2853" s="7"/>
      <c r="T2853" s="7"/>
      <c r="V2853" s="7"/>
      <c r="X2853" s="7"/>
    </row>
    <row r="2854" spans="2:24">
      <c r="B2854" s="7"/>
      <c r="D2854" s="7"/>
      <c r="F2854" s="7"/>
      <c r="H2854" s="7"/>
      <c r="J2854" s="7"/>
      <c r="L2854" s="7"/>
      <c r="N2854" s="7"/>
      <c r="P2854" s="7"/>
      <c r="R2854" s="7"/>
      <c r="T2854" s="7"/>
      <c r="V2854" s="7"/>
      <c r="X2854" s="7"/>
    </row>
    <row r="2855" spans="2:24">
      <c r="B2855" s="7"/>
      <c r="D2855" s="7"/>
      <c r="F2855" s="7"/>
      <c r="H2855" s="7"/>
      <c r="J2855" s="7"/>
      <c r="L2855" s="7"/>
      <c r="N2855" s="7"/>
      <c r="P2855" s="7"/>
      <c r="R2855" s="7"/>
      <c r="T2855" s="7"/>
      <c r="V2855" s="7"/>
      <c r="X2855" s="7"/>
    </row>
    <row r="2856" spans="2:24">
      <c r="B2856" s="7"/>
      <c r="D2856" s="7"/>
      <c r="F2856" s="7"/>
      <c r="H2856" s="7"/>
      <c r="J2856" s="7"/>
      <c r="L2856" s="7"/>
      <c r="N2856" s="7"/>
      <c r="P2856" s="7"/>
      <c r="R2856" s="7"/>
      <c r="T2856" s="7"/>
      <c r="V2856" s="7"/>
      <c r="X2856" s="7"/>
    </row>
    <row r="2857" spans="2:24">
      <c r="B2857" s="7"/>
      <c r="D2857" s="7"/>
      <c r="F2857" s="7"/>
      <c r="H2857" s="7"/>
      <c r="J2857" s="7"/>
      <c r="L2857" s="7"/>
      <c r="N2857" s="7"/>
      <c r="P2857" s="7"/>
      <c r="R2857" s="7"/>
      <c r="T2857" s="7"/>
      <c r="V2857" s="7"/>
      <c r="X2857" s="7"/>
    </row>
    <row r="2858" spans="2:24">
      <c r="B2858" s="7"/>
      <c r="D2858" s="7"/>
      <c r="F2858" s="7"/>
      <c r="H2858" s="7"/>
      <c r="J2858" s="7"/>
      <c r="L2858" s="7"/>
      <c r="N2858" s="7"/>
      <c r="P2858" s="7"/>
      <c r="R2858" s="7"/>
      <c r="T2858" s="7"/>
      <c r="V2858" s="7"/>
      <c r="X2858" s="7"/>
    </row>
    <row r="2859" spans="2:24">
      <c r="B2859" s="7"/>
      <c r="D2859" s="7"/>
      <c r="F2859" s="7"/>
      <c r="H2859" s="7"/>
      <c r="J2859" s="7"/>
      <c r="L2859" s="7"/>
      <c r="N2859" s="7"/>
      <c r="P2859" s="7"/>
      <c r="R2859" s="7"/>
      <c r="T2859" s="7"/>
      <c r="V2859" s="7"/>
      <c r="X2859" s="7"/>
    </row>
    <row r="2860" spans="2:24">
      <c r="B2860" s="7"/>
      <c r="D2860" s="7"/>
      <c r="F2860" s="7"/>
      <c r="H2860" s="7"/>
      <c r="J2860" s="7"/>
      <c r="L2860" s="7"/>
      <c r="N2860" s="7"/>
      <c r="P2860" s="7"/>
      <c r="R2860" s="7"/>
      <c r="T2860" s="7"/>
      <c r="V2860" s="7"/>
      <c r="X2860" s="7"/>
    </row>
    <row r="2861" spans="2:24">
      <c r="B2861" s="7"/>
      <c r="D2861" s="7"/>
      <c r="F2861" s="7"/>
      <c r="H2861" s="7"/>
      <c r="J2861" s="7"/>
      <c r="L2861" s="7"/>
      <c r="N2861" s="7"/>
      <c r="P2861" s="7"/>
      <c r="R2861" s="7"/>
      <c r="T2861" s="7"/>
      <c r="V2861" s="7"/>
      <c r="X2861" s="7"/>
    </row>
    <row r="2862" spans="2:24">
      <c r="B2862" s="7"/>
      <c r="D2862" s="7"/>
      <c r="F2862" s="7"/>
      <c r="H2862" s="7"/>
      <c r="J2862" s="7"/>
      <c r="L2862" s="7"/>
      <c r="N2862" s="7"/>
      <c r="P2862" s="7"/>
      <c r="R2862" s="7"/>
      <c r="T2862" s="7"/>
      <c r="V2862" s="7"/>
      <c r="X2862" s="7"/>
    </row>
    <row r="2863" spans="2:24">
      <c r="B2863" s="7"/>
      <c r="D2863" s="7"/>
      <c r="F2863" s="7"/>
      <c r="H2863" s="7"/>
      <c r="J2863" s="7"/>
      <c r="L2863" s="7"/>
      <c r="N2863" s="7"/>
      <c r="P2863" s="7"/>
      <c r="R2863" s="7"/>
      <c r="T2863" s="7"/>
      <c r="V2863" s="7"/>
      <c r="X2863" s="7"/>
    </row>
    <row r="2864" spans="2:24">
      <c r="B2864" s="7"/>
      <c r="D2864" s="7"/>
      <c r="F2864" s="7"/>
      <c r="H2864" s="7"/>
      <c r="J2864" s="7"/>
      <c r="L2864" s="7"/>
      <c r="N2864" s="7"/>
      <c r="P2864" s="7"/>
      <c r="R2864" s="7"/>
      <c r="T2864" s="7"/>
      <c r="V2864" s="7"/>
      <c r="X2864" s="7"/>
    </row>
    <row r="2865" spans="2:24">
      <c r="B2865" s="7"/>
      <c r="D2865" s="7"/>
      <c r="F2865" s="7"/>
      <c r="H2865" s="7"/>
      <c r="J2865" s="7"/>
      <c r="L2865" s="7"/>
      <c r="N2865" s="7"/>
      <c r="P2865" s="7"/>
      <c r="R2865" s="7"/>
      <c r="T2865" s="7"/>
      <c r="V2865" s="7"/>
      <c r="X2865" s="7"/>
    </row>
    <row r="2866" spans="2:24">
      <c r="B2866" s="7"/>
      <c r="D2866" s="7"/>
      <c r="F2866" s="7"/>
      <c r="H2866" s="7"/>
      <c r="J2866" s="7"/>
      <c r="L2866" s="7"/>
      <c r="N2866" s="7"/>
      <c r="P2866" s="7"/>
      <c r="R2866" s="7"/>
      <c r="T2866" s="7"/>
      <c r="V2866" s="7"/>
      <c r="X2866" s="7"/>
    </row>
    <row r="2867" spans="2:24">
      <c r="B2867" s="7"/>
      <c r="D2867" s="7"/>
      <c r="F2867" s="7"/>
      <c r="H2867" s="7"/>
      <c r="J2867" s="7"/>
      <c r="L2867" s="7"/>
      <c r="N2867" s="7"/>
      <c r="P2867" s="7"/>
      <c r="R2867" s="7"/>
      <c r="T2867" s="7"/>
      <c r="V2867" s="7"/>
      <c r="X2867" s="7"/>
    </row>
    <row r="2868" spans="2:24">
      <c r="B2868" s="7"/>
      <c r="D2868" s="7"/>
      <c r="F2868" s="7"/>
      <c r="H2868" s="7"/>
      <c r="J2868" s="7"/>
      <c r="L2868" s="7"/>
      <c r="N2868" s="7"/>
      <c r="P2868" s="7"/>
      <c r="R2868" s="7"/>
      <c r="T2868" s="7"/>
      <c r="V2868" s="7"/>
      <c r="X2868" s="7"/>
    </row>
    <row r="2869" spans="2:24">
      <c r="B2869" s="7"/>
      <c r="D2869" s="7"/>
      <c r="F2869" s="7"/>
      <c r="H2869" s="7"/>
      <c r="J2869" s="7"/>
      <c r="L2869" s="7"/>
      <c r="N2869" s="7"/>
      <c r="P2869" s="7"/>
      <c r="R2869" s="7"/>
      <c r="T2869" s="7"/>
      <c r="V2869" s="7"/>
      <c r="X2869" s="7"/>
    </row>
    <row r="2870" spans="2:24">
      <c r="B2870" s="7"/>
      <c r="D2870" s="7"/>
      <c r="F2870" s="7"/>
      <c r="H2870" s="7"/>
      <c r="J2870" s="7"/>
      <c r="L2870" s="7"/>
      <c r="N2870" s="7"/>
      <c r="P2870" s="7"/>
      <c r="R2870" s="7"/>
      <c r="T2870" s="7"/>
      <c r="V2870" s="7"/>
      <c r="X2870" s="7"/>
    </row>
    <row r="2871" spans="2:24">
      <c r="B2871" s="7"/>
      <c r="D2871" s="7"/>
      <c r="F2871" s="7"/>
      <c r="H2871" s="7"/>
      <c r="J2871" s="7"/>
      <c r="L2871" s="7"/>
      <c r="N2871" s="7"/>
      <c r="P2871" s="7"/>
      <c r="R2871" s="7"/>
      <c r="T2871" s="7"/>
      <c r="V2871" s="7"/>
      <c r="X2871" s="7"/>
    </row>
    <row r="2872" spans="2:24">
      <c r="B2872" s="7"/>
      <c r="D2872" s="7"/>
      <c r="F2872" s="7"/>
      <c r="H2872" s="7"/>
      <c r="J2872" s="7"/>
      <c r="L2872" s="7"/>
      <c r="N2872" s="7"/>
      <c r="P2872" s="7"/>
      <c r="R2872" s="7"/>
      <c r="T2872" s="7"/>
      <c r="V2872" s="7"/>
      <c r="X2872" s="7"/>
    </row>
    <row r="2873" spans="2:24">
      <c r="B2873" s="7"/>
      <c r="D2873" s="7"/>
      <c r="F2873" s="7"/>
      <c r="H2873" s="7"/>
      <c r="J2873" s="7"/>
      <c r="L2873" s="7"/>
      <c r="N2873" s="7"/>
      <c r="P2873" s="7"/>
      <c r="R2873" s="7"/>
      <c r="T2873" s="7"/>
      <c r="V2873" s="7"/>
      <c r="X2873" s="7"/>
    </row>
    <row r="2874" spans="2:24">
      <c r="B2874" s="7"/>
      <c r="D2874" s="7"/>
      <c r="F2874" s="7"/>
      <c r="H2874" s="7"/>
      <c r="J2874" s="7"/>
      <c r="L2874" s="7"/>
      <c r="N2874" s="7"/>
      <c r="P2874" s="7"/>
      <c r="R2874" s="7"/>
      <c r="T2874" s="7"/>
      <c r="V2874" s="7"/>
      <c r="X2874" s="7"/>
    </row>
    <row r="2875" spans="2:24">
      <c r="B2875" s="7"/>
      <c r="D2875" s="7"/>
      <c r="F2875" s="7"/>
      <c r="H2875" s="7"/>
      <c r="J2875" s="7"/>
      <c r="L2875" s="7"/>
      <c r="N2875" s="7"/>
      <c r="P2875" s="7"/>
      <c r="R2875" s="7"/>
      <c r="T2875" s="7"/>
      <c r="V2875" s="7"/>
      <c r="X2875" s="7"/>
    </row>
    <row r="2876" spans="2:24">
      <c r="B2876" s="7"/>
      <c r="D2876" s="7"/>
      <c r="F2876" s="7"/>
      <c r="H2876" s="7"/>
      <c r="J2876" s="7"/>
      <c r="L2876" s="7"/>
      <c r="N2876" s="7"/>
      <c r="P2876" s="7"/>
      <c r="R2876" s="7"/>
      <c r="T2876" s="7"/>
      <c r="V2876" s="7"/>
      <c r="X2876" s="7"/>
    </row>
    <row r="2877" spans="2:24">
      <c r="B2877" s="7"/>
      <c r="D2877" s="7"/>
      <c r="F2877" s="7"/>
      <c r="H2877" s="7"/>
      <c r="J2877" s="7"/>
      <c r="L2877" s="7"/>
      <c r="N2877" s="7"/>
      <c r="P2877" s="7"/>
      <c r="R2877" s="7"/>
      <c r="T2877" s="7"/>
      <c r="V2877" s="7"/>
      <c r="X2877" s="7"/>
    </row>
    <row r="2878" spans="2:24">
      <c r="B2878" s="7"/>
      <c r="D2878" s="7"/>
      <c r="F2878" s="7"/>
      <c r="H2878" s="7"/>
      <c r="J2878" s="7"/>
      <c r="L2878" s="7"/>
      <c r="N2878" s="7"/>
      <c r="P2878" s="7"/>
      <c r="R2878" s="7"/>
      <c r="T2878" s="7"/>
      <c r="V2878" s="7"/>
      <c r="X2878" s="7"/>
    </row>
    <row r="2879" spans="2:24">
      <c r="B2879" s="7"/>
      <c r="D2879" s="7"/>
      <c r="F2879" s="7"/>
      <c r="H2879" s="7"/>
      <c r="J2879" s="7"/>
      <c r="L2879" s="7"/>
      <c r="N2879" s="7"/>
      <c r="P2879" s="7"/>
      <c r="R2879" s="7"/>
      <c r="T2879" s="7"/>
      <c r="V2879" s="7"/>
      <c r="X2879" s="7"/>
    </row>
    <row r="2880" spans="2:24">
      <c r="B2880" s="7"/>
      <c r="D2880" s="7"/>
      <c r="F2880" s="7"/>
      <c r="H2880" s="7"/>
      <c r="J2880" s="7"/>
      <c r="L2880" s="7"/>
      <c r="N2880" s="7"/>
      <c r="P2880" s="7"/>
      <c r="R2880" s="7"/>
      <c r="T2880" s="7"/>
      <c r="V2880" s="7"/>
      <c r="X2880" s="7"/>
    </row>
    <row r="2881" spans="2:24">
      <c r="B2881" s="7"/>
      <c r="D2881" s="7"/>
      <c r="F2881" s="7"/>
      <c r="H2881" s="7"/>
      <c r="J2881" s="7"/>
      <c r="L2881" s="7"/>
      <c r="N2881" s="7"/>
      <c r="P2881" s="7"/>
      <c r="R2881" s="7"/>
      <c r="T2881" s="7"/>
      <c r="V2881" s="7"/>
      <c r="X2881" s="7"/>
    </row>
    <row r="2882" spans="2:24">
      <c r="B2882" s="7"/>
      <c r="D2882" s="7"/>
      <c r="F2882" s="7"/>
      <c r="H2882" s="7"/>
      <c r="J2882" s="7"/>
      <c r="L2882" s="7"/>
      <c r="N2882" s="7"/>
      <c r="P2882" s="7"/>
      <c r="R2882" s="7"/>
      <c r="T2882" s="7"/>
      <c r="V2882" s="7"/>
      <c r="X2882" s="7"/>
    </row>
    <row r="2883" spans="2:24">
      <c r="B2883" s="7"/>
      <c r="D2883" s="7"/>
      <c r="F2883" s="7"/>
      <c r="H2883" s="7"/>
      <c r="J2883" s="7"/>
      <c r="L2883" s="7"/>
      <c r="N2883" s="7"/>
      <c r="P2883" s="7"/>
      <c r="R2883" s="7"/>
      <c r="T2883" s="7"/>
      <c r="V2883" s="7"/>
      <c r="X2883" s="7"/>
    </row>
    <row r="2884" spans="2:24">
      <c r="B2884" s="7"/>
      <c r="D2884" s="7"/>
      <c r="F2884" s="7"/>
      <c r="H2884" s="7"/>
      <c r="J2884" s="7"/>
      <c r="L2884" s="7"/>
      <c r="N2884" s="7"/>
      <c r="P2884" s="7"/>
      <c r="R2884" s="7"/>
      <c r="T2884" s="7"/>
      <c r="V2884" s="7"/>
      <c r="X2884" s="7"/>
    </row>
    <row r="2885" spans="2:24">
      <c r="B2885" s="7"/>
      <c r="D2885" s="7"/>
      <c r="F2885" s="7"/>
      <c r="H2885" s="7"/>
      <c r="J2885" s="7"/>
      <c r="L2885" s="7"/>
      <c r="N2885" s="7"/>
      <c r="P2885" s="7"/>
      <c r="R2885" s="7"/>
      <c r="T2885" s="7"/>
      <c r="V2885" s="7"/>
      <c r="X2885" s="7"/>
    </row>
    <row r="2886" spans="2:24">
      <c r="B2886" s="7"/>
      <c r="D2886" s="7"/>
      <c r="F2886" s="7"/>
      <c r="H2886" s="7"/>
      <c r="J2886" s="7"/>
      <c r="L2886" s="7"/>
      <c r="N2886" s="7"/>
      <c r="P2886" s="7"/>
      <c r="R2886" s="7"/>
      <c r="T2886" s="7"/>
      <c r="V2886" s="7"/>
      <c r="X2886" s="7"/>
    </row>
    <row r="2887" spans="2:24">
      <c r="B2887" s="7"/>
      <c r="D2887" s="7"/>
      <c r="F2887" s="7"/>
      <c r="H2887" s="7"/>
      <c r="J2887" s="7"/>
      <c r="L2887" s="7"/>
      <c r="N2887" s="7"/>
      <c r="P2887" s="7"/>
      <c r="R2887" s="7"/>
      <c r="T2887" s="7"/>
      <c r="V2887" s="7"/>
      <c r="X2887" s="7"/>
    </row>
    <row r="2888" spans="2:24">
      <c r="B2888" s="7"/>
      <c r="D2888" s="7"/>
      <c r="F2888" s="7"/>
      <c r="H2888" s="7"/>
      <c r="J2888" s="7"/>
      <c r="L2888" s="7"/>
      <c r="N2888" s="7"/>
      <c r="P2888" s="7"/>
      <c r="R2888" s="7"/>
      <c r="T2888" s="7"/>
      <c r="V2888" s="7"/>
      <c r="X2888" s="7"/>
    </row>
    <row r="2889" spans="2:24">
      <c r="B2889" s="7"/>
      <c r="D2889" s="7"/>
      <c r="F2889" s="7"/>
      <c r="H2889" s="7"/>
      <c r="J2889" s="7"/>
      <c r="L2889" s="7"/>
      <c r="N2889" s="7"/>
      <c r="P2889" s="7"/>
      <c r="R2889" s="7"/>
      <c r="T2889" s="7"/>
      <c r="V2889" s="7"/>
      <c r="X2889" s="7"/>
    </row>
    <row r="2890" spans="2:24">
      <c r="B2890" s="7"/>
      <c r="D2890" s="7"/>
      <c r="F2890" s="7"/>
      <c r="H2890" s="7"/>
      <c r="J2890" s="7"/>
      <c r="L2890" s="7"/>
      <c r="N2890" s="7"/>
      <c r="P2890" s="7"/>
      <c r="R2890" s="7"/>
      <c r="T2890" s="7"/>
      <c r="V2890" s="7"/>
      <c r="X2890" s="7"/>
    </row>
    <row r="2891" spans="2:24">
      <c r="B2891" s="7"/>
      <c r="D2891" s="7"/>
      <c r="F2891" s="7"/>
      <c r="H2891" s="7"/>
      <c r="J2891" s="7"/>
      <c r="L2891" s="7"/>
      <c r="N2891" s="7"/>
      <c r="P2891" s="7"/>
      <c r="R2891" s="7"/>
      <c r="T2891" s="7"/>
      <c r="V2891" s="7"/>
      <c r="X2891" s="7"/>
    </row>
    <row r="2892" spans="2:24">
      <c r="B2892" s="7"/>
      <c r="D2892" s="7"/>
      <c r="F2892" s="7"/>
      <c r="H2892" s="7"/>
      <c r="J2892" s="7"/>
      <c r="L2892" s="7"/>
      <c r="N2892" s="7"/>
      <c r="P2892" s="7"/>
      <c r="R2892" s="7"/>
      <c r="T2892" s="7"/>
      <c r="V2892" s="7"/>
      <c r="X2892" s="7"/>
    </row>
    <row r="2893" spans="2:24">
      <c r="B2893" s="7"/>
      <c r="D2893" s="7"/>
      <c r="F2893" s="7"/>
      <c r="H2893" s="7"/>
      <c r="J2893" s="7"/>
      <c r="L2893" s="7"/>
      <c r="N2893" s="7"/>
      <c r="P2893" s="7"/>
      <c r="R2893" s="7"/>
      <c r="T2893" s="7"/>
      <c r="V2893" s="7"/>
      <c r="X2893" s="7"/>
    </row>
    <row r="2894" spans="2:24">
      <c r="B2894" s="7"/>
      <c r="D2894" s="7"/>
      <c r="F2894" s="7"/>
      <c r="H2894" s="7"/>
      <c r="J2894" s="7"/>
      <c r="L2894" s="7"/>
      <c r="N2894" s="7"/>
      <c r="P2894" s="7"/>
      <c r="R2894" s="7"/>
      <c r="T2894" s="7"/>
      <c r="V2894" s="7"/>
      <c r="X2894" s="7"/>
    </row>
    <row r="2895" spans="2:24">
      <c r="B2895" s="7"/>
      <c r="D2895" s="7"/>
      <c r="F2895" s="7"/>
      <c r="H2895" s="7"/>
      <c r="J2895" s="7"/>
      <c r="L2895" s="7"/>
      <c r="N2895" s="7"/>
      <c r="P2895" s="7"/>
      <c r="R2895" s="7"/>
      <c r="T2895" s="7"/>
      <c r="V2895" s="7"/>
      <c r="X2895" s="7"/>
    </row>
    <row r="2896" spans="2:24">
      <c r="B2896" s="7"/>
      <c r="D2896" s="7"/>
      <c r="F2896" s="7"/>
      <c r="H2896" s="7"/>
      <c r="J2896" s="7"/>
      <c r="L2896" s="7"/>
      <c r="N2896" s="7"/>
      <c r="P2896" s="7"/>
      <c r="R2896" s="7"/>
      <c r="T2896" s="7"/>
      <c r="V2896" s="7"/>
      <c r="X2896" s="7"/>
    </row>
    <row r="2897" spans="2:24">
      <c r="B2897" s="7"/>
      <c r="D2897" s="7"/>
      <c r="F2897" s="7"/>
      <c r="H2897" s="7"/>
      <c r="J2897" s="7"/>
      <c r="L2897" s="7"/>
      <c r="N2897" s="7"/>
      <c r="P2897" s="7"/>
      <c r="R2897" s="7"/>
      <c r="T2897" s="7"/>
      <c r="V2897" s="7"/>
      <c r="X2897" s="7"/>
    </row>
    <row r="2898" spans="2:24">
      <c r="B2898" s="7"/>
      <c r="D2898" s="7"/>
      <c r="F2898" s="7"/>
      <c r="H2898" s="7"/>
      <c r="J2898" s="7"/>
      <c r="L2898" s="7"/>
      <c r="N2898" s="7"/>
      <c r="P2898" s="7"/>
      <c r="R2898" s="7"/>
      <c r="T2898" s="7"/>
      <c r="V2898" s="7"/>
      <c r="X2898" s="7"/>
    </row>
    <row r="2899" spans="2:24">
      <c r="B2899" s="7"/>
      <c r="D2899" s="7"/>
      <c r="F2899" s="7"/>
      <c r="H2899" s="7"/>
      <c r="J2899" s="7"/>
      <c r="L2899" s="7"/>
      <c r="N2899" s="7"/>
      <c r="P2899" s="7"/>
      <c r="R2899" s="7"/>
      <c r="T2899" s="7"/>
      <c r="V2899" s="7"/>
      <c r="X2899" s="7"/>
    </row>
    <row r="2900" spans="2:24">
      <c r="B2900" s="7"/>
      <c r="D2900" s="7"/>
      <c r="F2900" s="7"/>
      <c r="H2900" s="7"/>
      <c r="J2900" s="7"/>
      <c r="L2900" s="7"/>
      <c r="N2900" s="7"/>
      <c r="P2900" s="7"/>
      <c r="R2900" s="7"/>
      <c r="T2900" s="7"/>
      <c r="V2900" s="7"/>
      <c r="X2900" s="7"/>
    </row>
    <row r="2901" spans="2:24">
      <c r="B2901" s="7"/>
      <c r="D2901" s="7"/>
      <c r="F2901" s="7"/>
      <c r="H2901" s="7"/>
      <c r="J2901" s="7"/>
      <c r="L2901" s="7"/>
      <c r="N2901" s="7"/>
      <c r="P2901" s="7"/>
      <c r="R2901" s="7"/>
      <c r="T2901" s="7"/>
      <c r="V2901" s="7"/>
      <c r="X2901" s="7"/>
    </row>
    <row r="2902" spans="2:24">
      <c r="B2902" s="7"/>
      <c r="D2902" s="7"/>
      <c r="F2902" s="7"/>
      <c r="H2902" s="7"/>
      <c r="J2902" s="7"/>
      <c r="L2902" s="7"/>
      <c r="N2902" s="7"/>
      <c r="P2902" s="7"/>
      <c r="R2902" s="7"/>
      <c r="T2902" s="7"/>
      <c r="V2902" s="7"/>
      <c r="X2902" s="7"/>
    </row>
    <row r="2903" spans="2:24">
      <c r="B2903" s="7"/>
      <c r="D2903" s="7"/>
      <c r="F2903" s="7"/>
      <c r="H2903" s="7"/>
      <c r="J2903" s="7"/>
      <c r="L2903" s="7"/>
      <c r="N2903" s="7"/>
      <c r="P2903" s="7"/>
      <c r="R2903" s="7"/>
      <c r="T2903" s="7"/>
      <c r="V2903" s="7"/>
      <c r="X2903" s="7"/>
    </row>
    <row r="2904" spans="2:24">
      <c r="B2904" s="7"/>
      <c r="D2904" s="7"/>
      <c r="F2904" s="7"/>
      <c r="H2904" s="7"/>
      <c r="J2904" s="7"/>
      <c r="L2904" s="7"/>
      <c r="N2904" s="7"/>
      <c r="P2904" s="7"/>
      <c r="R2904" s="7"/>
      <c r="T2904" s="7"/>
      <c r="V2904" s="7"/>
      <c r="X2904" s="7"/>
    </row>
    <row r="2905" spans="2:24">
      <c r="B2905" s="7"/>
      <c r="D2905" s="7"/>
      <c r="F2905" s="7"/>
      <c r="H2905" s="7"/>
      <c r="J2905" s="7"/>
      <c r="L2905" s="7"/>
      <c r="N2905" s="7"/>
      <c r="P2905" s="7"/>
      <c r="R2905" s="7"/>
      <c r="T2905" s="7"/>
      <c r="V2905" s="7"/>
      <c r="X2905" s="7"/>
    </row>
    <row r="2906" spans="2:24">
      <c r="B2906" s="7"/>
      <c r="D2906" s="7"/>
      <c r="F2906" s="7"/>
      <c r="H2906" s="7"/>
      <c r="J2906" s="7"/>
      <c r="L2906" s="7"/>
      <c r="N2906" s="7"/>
      <c r="P2906" s="7"/>
      <c r="R2906" s="7"/>
      <c r="T2906" s="7"/>
      <c r="V2906" s="7"/>
      <c r="X2906" s="7"/>
    </row>
    <row r="2907" spans="2:24">
      <c r="B2907" s="7"/>
      <c r="D2907" s="7"/>
      <c r="F2907" s="7"/>
      <c r="H2907" s="7"/>
      <c r="J2907" s="7"/>
      <c r="L2907" s="7"/>
      <c r="N2907" s="7"/>
      <c r="P2907" s="7"/>
      <c r="R2907" s="7"/>
      <c r="T2907" s="7"/>
      <c r="V2907" s="7"/>
      <c r="X2907" s="7"/>
    </row>
    <row r="2908" spans="2:24">
      <c r="B2908" s="7"/>
      <c r="D2908" s="7"/>
      <c r="F2908" s="7"/>
      <c r="H2908" s="7"/>
      <c r="J2908" s="7"/>
      <c r="L2908" s="7"/>
      <c r="N2908" s="7"/>
      <c r="P2908" s="7"/>
      <c r="R2908" s="7"/>
      <c r="T2908" s="7"/>
      <c r="V2908" s="7"/>
      <c r="X2908" s="7"/>
    </row>
    <row r="2909" spans="2:24">
      <c r="B2909" s="7"/>
      <c r="D2909" s="7"/>
      <c r="F2909" s="7"/>
      <c r="H2909" s="7"/>
      <c r="J2909" s="7"/>
      <c r="L2909" s="7"/>
      <c r="N2909" s="7"/>
      <c r="P2909" s="7"/>
      <c r="R2909" s="7"/>
      <c r="T2909" s="7"/>
      <c r="V2909" s="7"/>
      <c r="X2909" s="7"/>
    </row>
    <row r="2910" spans="2:24">
      <c r="B2910" s="7"/>
      <c r="D2910" s="7"/>
      <c r="F2910" s="7"/>
      <c r="H2910" s="7"/>
      <c r="J2910" s="7"/>
      <c r="L2910" s="7"/>
      <c r="N2910" s="7"/>
      <c r="P2910" s="7"/>
      <c r="R2910" s="7"/>
      <c r="T2910" s="7"/>
      <c r="V2910" s="7"/>
      <c r="X2910" s="7"/>
    </row>
    <row r="2911" spans="2:24">
      <c r="B2911" s="7"/>
      <c r="D2911" s="7"/>
      <c r="F2911" s="7"/>
      <c r="H2911" s="7"/>
      <c r="J2911" s="7"/>
      <c r="L2911" s="7"/>
      <c r="N2911" s="7"/>
      <c r="P2911" s="7"/>
      <c r="R2911" s="7"/>
      <c r="T2911" s="7"/>
      <c r="V2911" s="7"/>
      <c r="X2911" s="7"/>
    </row>
    <row r="2912" spans="2:24">
      <c r="B2912" s="7"/>
      <c r="D2912" s="7"/>
      <c r="F2912" s="7"/>
      <c r="H2912" s="7"/>
      <c r="J2912" s="7"/>
      <c r="L2912" s="7"/>
      <c r="N2912" s="7"/>
      <c r="P2912" s="7"/>
      <c r="R2912" s="7"/>
      <c r="T2912" s="7"/>
      <c r="V2912" s="7"/>
      <c r="X2912" s="7"/>
    </row>
    <row r="2913" spans="2:24">
      <c r="B2913" s="7"/>
      <c r="D2913" s="7"/>
      <c r="F2913" s="7"/>
      <c r="H2913" s="7"/>
      <c r="J2913" s="7"/>
      <c r="L2913" s="7"/>
      <c r="N2913" s="7"/>
      <c r="P2913" s="7"/>
      <c r="R2913" s="7"/>
      <c r="T2913" s="7"/>
      <c r="V2913" s="7"/>
      <c r="X2913" s="7"/>
    </row>
    <row r="2914" spans="2:24">
      <c r="B2914" s="7"/>
      <c r="D2914" s="7"/>
      <c r="F2914" s="7"/>
      <c r="H2914" s="7"/>
      <c r="J2914" s="7"/>
      <c r="L2914" s="7"/>
      <c r="N2914" s="7"/>
      <c r="P2914" s="7"/>
      <c r="R2914" s="7"/>
      <c r="T2914" s="7"/>
      <c r="V2914" s="7"/>
      <c r="X2914" s="7"/>
    </row>
    <row r="2915" spans="2:24">
      <c r="B2915" s="7"/>
      <c r="D2915" s="7"/>
      <c r="F2915" s="7"/>
      <c r="H2915" s="7"/>
      <c r="J2915" s="7"/>
      <c r="L2915" s="7"/>
      <c r="N2915" s="7"/>
      <c r="P2915" s="7"/>
      <c r="R2915" s="7"/>
      <c r="T2915" s="7"/>
      <c r="V2915" s="7"/>
      <c r="X2915" s="7"/>
    </row>
    <row r="2916" spans="2:24">
      <c r="B2916" s="7"/>
      <c r="D2916" s="7"/>
      <c r="F2916" s="7"/>
      <c r="H2916" s="7"/>
      <c r="J2916" s="7"/>
      <c r="L2916" s="7"/>
      <c r="N2916" s="7"/>
      <c r="P2916" s="7"/>
      <c r="R2916" s="7"/>
      <c r="T2916" s="7"/>
      <c r="V2916" s="7"/>
      <c r="X2916" s="7"/>
    </row>
    <row r="2917" spans="2:24">
      <c r="B2917" s="7"/>
      <c r="D2917" s="7"/>
      <c r="F2917" s="7"/>
      <c r="H2917" s="7"/>
      <c r="J2917" s="7"/>
      <c r="L2917" s="7"/>
      <c r="N2917" s="7"/>
      <c r="P2917" s="7"/>
      <c r="R2917" s="7"/>
      <c r="T2917" s="7"/>
      <c r="V2917" s="7"/>
      <c r="X2917" s="7"/>
    </row>
    <row r="2918" spans="2:24">
      <c r="B2918" s="7"/>
      <c r="D2918" s="7"/>
      <c r="F2918" s="7"/>
      <c r="H2918" s="7"/>
      <c r="J2918" s="7"/>
      <c r="L2918" s="7"/>
      <c r="N2918" s="7"/>
      <c r="P2918" s="7"/>
      <c r="R2918" s="7"/>
      <c r="T2918" s="7"/>
      <c r="V2918" s="7"/>
      <c r="X2918" s="7"/>
    </row>
    <row r="2919" spans="2:24">
      <c r="B2919" s="7"/>
      <c r="D2919" s="7"/>
      <c r="F2919" s="7"/>
      <c r="H2919" s="7"/>
      <c r="J2919" s="7"/>
      <c r="L2919" s="7"/>
      <c r="N2919" s="7"/>
      <c r="P2919" s="7"/>
      <c r="R2919" s="7"/>
      <c r="T2919" s="7"/>
      <c r="V2919" s="7"/>
      <c r="X2919" s="7"/>
    </row>
    <row r="2920" spans="2:24">
      <c r="B2920" s="7"/>
      <c r="D2920" s="7"/>
      <c r="F2920" s="7"/>
      <c r="H2920" s="7"/>
      <c r="J2920" s="7"/>
      <c r="L2920" s="7"/>
      <c r="N2920" s="7"/>
      <c r="P2920" s="7"/>
      <c r="R2920" s="7"/>
      <c r="T2920" s="7"/>
      <c r="V2920" s="7"/>
      <c r="X2920" s="7"/>
    </row>
    <row r="2921" spans="2:24">
      <c r="B2921" s="7"/>
      <c r="D2921" s="7"/>
      <c r="F2921" s="7"/>
      <c r="H2921" s="7"/>
      <c r="J2921" s="7"/>
      <c r="L2921" s="7"/>
      <c r="N2921" s="7"/>
      <c r="P2921" s="7"/>
      <c r="R2921" s="7"/>
      <c r="T2921" s="7"/>
      <c r="V2921" s="7"/>
      <c r="X2921" s="7"/>
    </row>
    <row r="2922" spans="2:24">
      <c r="B2922" s="7"/>
      <c r="D2922" s="7"/>
      <c r="F2922" s="7"/>
      <c r="H2922" s="7"/>
      <c r="J2922" s="7"/>
      <c r="L2922" s="7"/>
      <c r="N2922" s="7"/>
      <c r="P2922" s="7"/>
      <c r="R2922" s="7"/>
      <c r="T2922" s="7"/>
      <c r="V2922" s="7"/>
      <c r="X2922" s="7"/>
    </row>
    <row r="2923" spans="2:24">
      <c r="B2923" s="7"/>
      <c r="D2923" s="7"/>
      <c r="F2923" s="7"/>
      <c r="H2923" s="7"/>
      <c r="J2923" s="7"/>
      <c r="L2923" s="7"/>
      <c r="N2923" s="7"/>
      <c r="P2923" s="7"/>
      <c r="R2923" s="7"/>
      <c r="T2923" s="7"/>
      <c r="V2923" s="7"/>
      <c r="X2923" s="7"/>
    </row>
    <row r="2924" spans="2:24">
      <c r="B2924" s="7"/>
      <c r="D2924" s="7"/>
      <c r="F2924" s="7"/>
      <c r="H2924" s="7"/>
      <c r="J2924" s="7"/>
      <c r="L2924" s="7"/>
      <c r="N2924" s="7"/>
      <c r="P2924" s="7"/>
      <c r="R2924" s="7"/>
      <c r="T2924" s="7"/>
      <c r="V2924" s="7"/>
      <c r="X2924" s="7"/>
    </row>
    <row r="2925" spans="2:24">
      <c r="B2925" s="7"/>
      <c r="D2925" s="7"/>
      <c r="F2925" s="7"/>
      <c r="H2925" s="7"/>
      <c r="J2925" s="7"/>
      <c r="L2925" s="7"/>
      <c r="N2925" s="7"/>
      <c r="P2925" s="7"/>
      <c r="R2925" s="7"/>
      <c r="T2925" s="7"/>
      <c r="V2925" s="7"/>
      <c r="X2925" s="7"/>
    </row>
    <row r="2926" spans="2:24">
      <c r="B2926" s="7"/>
      <c r="D2926" s="7"/>
      <c r="F2926" s="7"/>
      <c r="H2926" s="7"/>
      <c r="J2926" s="7"/>
      <c r="L2926" s="7"/>
      <c r="N2926" s="7"/>
      <c r="P2926" s="7"/>
      <c r="R2926" s="7"/>
      <c r="T2926" s="7"/>
      <c r="V2926" s="7"/>
      <c r="X2926" s="7"/>
    </row>
    <row r="2927" spans="2:24">
      <c r="B2927" s="7"/>
      <c r="D2927" s="7"/>
      <c r="F2927" s="7"/>
      <c r="H2927" s="7"/>
      <c r="J2927" s="7"/>
      <c r="L2927" s="7"/>
      <c r="N2927" s="7"/>
      <c r="P2927" s="7"/>
      <c r="R2927" s="7"/>
      <c r="T2927" s="7"/>
      <c r="V2927" s="7"/>
      <c r="X2927" s="7"/>
    </row>
    <row r="2928" spans="2:24">
      <c r="B2928" s="7"/>
      <c r="D2928" s="7"/>
      <c r="F2928" s="7"/>
      <c r="H2928" s="7"/>
      <c r="J2928" s="7"/>
      <c r="L2928" s="7"/>
      <c r="N2928" s="7"/>
      <c r="P2928" s="7"/>
      <c r="R2928" s="7"/>
      <c r="T2928" s="7"/>
      <c r="V2928" s="7"/>
      <c r="X2928" s="7"/>
    </row>
    <row r="2929" spans="2:24">
      <c r="B2929" s="7"/>
      <c r="D2929" s="7"/>
      <c r="F2929" s="7"/>
      <c r="H2929" s="7"/>
      <c r="J2929" s="7"/>
      <c r="L2929" s="7"/>
      <c r="N2929" s="7"/>
      <c r="P2929" s="7"/>
      <c r="R2929" s="7"/>
      <c r="T2929" s="7"/>
      <c r="V2929" s="7"/>
      <c r="X2929" s="7"/>
    </row>
    <row r="2930" spans="2:24">
      <c r="B2930" s="7"/>
      <c r="D2930" s="7"/>
      <c r="F2930" s="7"/>
      <c r="H2930" s="7"/>
      <c r="J2930" s="7"/>
      <c r="L2930" s="7"/>
      <c r="N2930" s="7"/>
      <c r="P2930" s="7"/>
      <c r="R2930" s="7"/>
      <c r="T2930" s="7"/>
      <c r="V2930" s="7"/>
      <c r="X2930" s="7"/>
    </row>
    <row r="2931" spans="2:24">
      <c r="B2931" s="7"/>
      <c r="D2931" s="7"/>
      <c r="F2931" s="7"/>
      <c r="H2931" s="7"/>
      <c r="J2931" s="7"/>
      <c r="L2931" s="7"/>
      <c r="N2931" s="7"/>
      <c r="P2931" s="7"/>
      <c r="R2931" s="7"/>
      <c r="T2931" s="7"/>
      <c r="V2931" s="7"/>
      <c r="X2931" s="7"/>
    </row>
    <row r="2932" spans="2:24">
      <c r="B2932" s="7"/>
      <c r="D2932" s="7"/>
      <c r="F2932" s="7"/>
      <c r="H2932" s="7"/>
      <c r="J2932" s="7"/>
      <c r="L2932" s="7"/>
      <c r="N2932" s="7"/>
      <c r="P2932" s="7"/>
      <c r="R2932" s="7"/>
      <c r="T2932" s="7"/>
      <c r="V2932" s="7"/>
      <c r="X2932" s="7"/>
    </row>
    <row r="2933" spans="2:24">
      <c r="B2933" s="7"/>
      <c r="D2933" s="7"/>
      <c r="F2933" s="7"/>
      <c r="H2933" s="7"/>
      <c r="J2933" s="7"/>
      <c r="L2933" s="7"/>
      <c r="N2933" s="7"/>
      <c r="P2933" s="7"/>
      <c r="R2933" s="7"/>
      <c r="T2933" s="7"/>
      <c r="V2933" s="7"/>
      <c r="X2933" s="7"/>
    </row>
    <row r="2934" spans="2:24">
      <c r="B2934" s="7"/>
      <c r="D2934" s="7"/>
      <c r="F2934" s="7"/>
      <c r="H2934" s="7"/>
      <c r="J2934" s="7"/>
      <c r="L2934" s="7"/>
      <c r="N2934" s="7"/>
      <c r="P2934" s="7"/>
      <c r="R2934" s="7"/>
      <c r="T2934" s="7"/>
      <c r="V2934" s="7"/>
      <c r="X2934" s="7"/>
    </row>
    <row r="2935" spans="2:24">
      <c r="B2935" s="7"/>
      <c r="D2935" s="7"/>
      <c r="F2935" s="7"/>
      <c r="H2935" s="7"/>
      <c r="J2935" s="7"/>
      <c r="L2935" s="7"/>
      <c r="N2935" s="7"/>
      <c r="P2935" s="7"/>
      <c r="R2935" s="7"/>
      <c r="T2935" s="7"/>
      <c r="V2935" s="7"/>
      <c r="X2935" s="7"/>
    </row>
    <row r="2936" spans="2:24">
      <c r="B2936" s="7"/>
      <c r="D2936" s="7"/>
      <c r="F2936" s="7"/>
      <c r="H2936" s="7"/>
      <c r="J2936" s="7"/>
      <c r="L2936" s="7"/>
      <c r="N2936" s="7"/>
      <c r="P2936" s="7"/>
      <c r="R2936" s="7"/>
      <c r="T2936" s="7"/>
      <c r="V2936" s="7"/>
      <c r="X2936" s="7"/>
    </row>
    <row r="2937" spans="2:24">
      <c r="B2937" s="7"/>
      <c r="D2937" s="7"/>
      <c r="F2937" s="7"/>
      <c r="H2937" s="7"/>
      <c r="J2937" s="7"/>
      <c r="L2937" s="7"/>
      <c r="N2937" s="7"/>
      <c r="P2937" s="7"/>
      <c r="R2937" s="7"/>
      <c r="T2937" s="7"/>
      <c r="V2937" s="7"/>
      <c r="X2937" s="7"/>
    </row>
    <row r="2938" spans="2:24">
      <c r="B2938" s="7"/>
      <c r="D2938" s="7"/>
      <c r="F2938" s="7"/>
      <c r="H2938" s="7"/>
      <c r="J2938" s="7"/>
      <c r="L2938" s="7"/>
      <c r="N2938" s="7"/>
      <c r="P2938" s="7"/>
      <c r="R2938" s="7"/>
      <c r="T2938" s="7"/>
      <c r="V2938" s="7"/>
      <c r="X2938" s="7"/>
    </row>
    <row r="2939" spans="2:24">
      <c r="B2939" s="7"/>
      <c r="D2939" s="7"/>
      <c r="F2939" s="7"/>
      <c r="H2939" s="7"/>
      <c r="J2939" s="7"/>
      <c r="L2939" s="7"/>
      <c r="N2939" s="7"/>
      <c r="P2939" s="7"/>
      <c r="R2939" s="7"/>
      <c r="T2939" s="7"/>
      <c r="V2939" s="7"/>
      <c r="X2939" s="7"/>
    </row>
    <row r="2940" spans="2:24">
      <c r="B2940" s="7"/>
      <c r="D2940" s="7"/>
      <c r="F2940" s="7"/>
      <c r="H2940" s="7"/>
      <c r="J2940" s="7"/>
      <c r="L2940" s="7"/>
      <c r="N2940" s="7"/>
      <c r="P2940" s="7"/>
      <c r="R2940" s="7"/>
      <c r="T2940" s="7"/>
      <c r="V2940" s="7"/>
      <c r="X2940" s="7"/>
    </row>
    <row r="2941" spans="2:24">
      <c r="B2941" s="7"/>
      <c r="D2941" s="7"/>
      <c r="F2941" s="7"/>
      <c r="H2941" s="7"/>
      <c r="J2941" s="7"/>
      <c r="L2941" s="7"/>
      <c r="N2941" s="7"/>
      <c r="P2941" s="7"/>
      <c r="R2941" s="7"/>
      <c r="T2941" s="7"/>
      <c r="V2941" s="7"/>
      <c r="X2941" s="7"/>
    </row>
    <row r="2942" spans="2:24">
      <c r="B2942" s="7"/>
      <c r="D2942" s="7"/>
      <c r="F2942" s="7"/>
      <c r="H2942" s="7"/>
      <c r="J2942" s="7"/>
      <c r="L2942" s="7"/>
      <c r="N2942" s="7"/>
      <c r="P2942" s="7"/>
      <c r="R2942" s="7"/>
      <c r="T2942" s="7"/>
      <c r="V2942" s="7"/>
      <c r="X2942" s="7"/>
    </row>
    <row r="2943" spans="2:24">
      <c r="B2943" s="7"/>
      <c r="D2943" s="7"/>
      <c r="F2943" s="7"/>
      <c r="H2943" s="7"/>
      <c r="J2943" s="7"/>
      <c r="L2943" s="7"/>
      <c r="N2943" s="7"/>
      <c r="P2943" s="7"/>
      <c r="R2943" s="7"/>
      <c r="T2943" s="7"/>
      <c r="V2943" s="7"/>
      <c r="X2943" s="7"/>
    </row>
    <row r="2944" spans="2:24">
      <c r="B2944" s="7"/>
      <c r="D2944" s="7"/>
      <c r="F2944" s="7"/>
      <c r="H2944" s="7"/>
      <c r="J2944" s="7"/>
      <c r="L2944" s="7"/>
      <c r="N2944" s="7"/>
      <c r="P2944" s="7"/>
      <c r="R2944" s="7"/>
      <c r="T2944" s="7"/>
      <c r="V2944" s="7"/>
      <c r="X2944" s="7"/>
    </row>
    <row r="2945" spans="2:24">
      <c r="B2945" s="7"/>
      <c r="D2945" s="7"/>
      <c r="F2945" s="7"/>
      <c r="H2945" s="7"/>
      <c r="J2945" s="7"/>
      <c r="L2945" s="7"/>
      <c r="N2945" s="7"/>
      <c r="P2945" s="7"/>
      <c r="R2945" s="7"/>
      <c r="T2945" s="7"/>
      <c r="V2945" s="7"/>
      <c r="X2945" s="7"/>
    </row>
    <row r="2946" spans="2:24">
      <c r="B2946" s="7"/>
      <c r="D2946" s="7"/>
      <c r="F2946" s="7"/>
      <c r="H2946" s="7"/>
      <c r="J2946" s="7"/>
      <c r="L2946" s="7"/>
      <c r="N2946" s="7"/>
      <c r="P2946" s="7"/>
      <c r="R2946" s="7"/>
      <c r="T2946" s="7"/>
      <c r="V2946" s="7"/>
      <c r="X2946" s="7"/>
    </row>
    <row r="2947" spans="2:24">
      <c r="B2947" s="7"/>
      <c r="D2947" s="7"/>
      <c r="F2947" s="7"/>
      <c r="H2947" s="7"/>
      <c r="J2947" s="7"/>
      <c r="L2947" s="7"/>
      <c r="N2947" s="7"/>
      <c r="P2947" s="7"/>
      <c r="R2947" s="7"/>
      <c r="T2947" s="7"/>
      <c r="V2947" s="7"/>
      <c r="X2947" s="7"/>
    </row>
    <row r="2948" spans="2:24">
      <c r="B2948" s="7"/>
      <c r="D2948" s="7"/>
      <c r="F2948" s="7"/>
      <c r="H2948" s="7"/>
      <c r="J2948" s="7"/>
      <c r="L2948" s="7"/>
      <c r="N2948" s="7"/>
      <c r="P2948" s="7"/>
      <c r="R2948" s="7"/>
      <c r="T2948" s="7"/>
      <c r="V2948" s="7"/>
      <c r="X2948" s="7"/>
    </row>
    <row r="2949" spans="2:24">
      <c r="B2949" s="7"/>
      <c r="D2949" s="7"/>
      <c r="F2949" s="7"/>
      <c r="H2949" s="7"/>
      <c r="J2949" s="7"/>
      <c r="L2949" s="7"/>
      <c r="N2949" s="7"/>
      <c r="P2949" s="7"/>
      <c r="R2949" s="7"/>
      <c r="T2949" s="7"/>
      <c r="V2949" s="7"/>
      <c r="X2949" s="7"/>
    </row>
    <row r="2950" spans="2:24">
      <c r="B2950" s="7"/>
      <c r="D2950" s="7"/>
      <c r="F2950" s="7"/>
      <c r="H2950" s="7"/>
      <c r="J2950" s="7"/>
      <c r="L2950" s="7"/>
      <c r="N2950" s="7"/>
      <c r="P2950" s="7"/>
      <c r="R2950" s="7"/>
      <c r="T2950" s="7"/>
      <c r="V2950" s="7"/>
      <c r="X2950" s="7"/>
    </row>
    <row r="2951" spans="2:24">
      <c r="B2951" s="7"/>
      <c r="D2951" s="7"/>
      <c r="F2951" s="7"/>
      <c r="H2951" s="7"/>
      <c r="J2951" s="7"/>
      <c r="L2951" s="7"/>
      <c r="N2951" s="7"/>
      <c r="P2951" s="7"/>
      <c r="R2951" s="7"/>
      <c r="T2951" s="7"/>
      <c r="V2951" s="7"/>
      <c r="X2951" s="7"/>
    </row>
    <row r="2952" spans="2:24">
      <c r="B2952" s="7"/>
      <c r="D2952" s="7"/>
      <c r="F2952" s="7"/>
      <c r="H2952" s="7"/>
      <c r="J2952" s="7"/>
      <c r="L2952" s="7"/>
      <c r="N2952" s="7"/>
      <c r="P2952" s="7"/>
      <c r="R2952" s="7"/>
      <c r="T2952" s="7"/>
      <c r="V2952" s="7"/>
      <c r="X2952" s="7"/>
    </row>
    <row r="2953" spans="2:24">
      <c r="B2953" s="7"/>
      <c r="D2953" s="7"/>
      <c r="F2953" s="7"/>
      <c r="H2953" s="7"/>
      <c r="J2953" s="7"/>
      <c r="L2953" s="7"/>
      <c r="N2953" s="7"/>
      <c r="P2953" s="7"/>
      <c r="R2953" s="7"/>
      <c r="T2953" s="7"/>
      <c r="V2953" s="7"/>
      <c r="X2953" s="7"/>
    </row>
    <row r="2954" spans="2:24">
      <c r="B2954" s="7"/>
      <c r="D2954" s="7"/>
      <c r="F2954" s="7"/>
      <c r="H2954" s="7"/>
      <c r="J2954" s="7"/>
      <c r="L2954" s="7"/>
      <c r="N2954" s="7"/>
      <c r="P2954" s="7"/>
      <c r="R2954" s="7"/>
      <c r="T2954" s="7"/>
      <c r="V2954" s="7"/>
      <c r="X2954" s="7"/>
    </row>
    <row r="2955" spans="2:24">
      <c r="B2955" s="7"/>
      <c r="D2955" s="7"/>
      <c r="F2955" s="7"/>
      <c r="H2955" s="7"/>
      <c r="J2955" s="7"/>
      <c r="L2955" s="7"/>
      <c r="N2955" s="7"/>
      <c r="P2955" s="7"/>
      <c r="R2955" s="7"/>
      <c r="T2955" s="7"/>
      <c r="V2955" s="7"/>
      <c r="X2955" s="7"/>
    </row>
    <row r="2956" spans="2:24">
      <c r="B2956" s="7"/>
      <c r="D2956" s="7"/>
      <c r="F2956" s="7"/>
      <c r="H2956" s="7"/>
      <c r="J2956" s="7"/>
      <c r="L2956" s="7"/>
      <c r="N2956" s="7"/>
      <c r="P2956" s="7"/>
      <c r="R2956" s="7"/>
      <c r="T2956" s="7"/>
      <c r="V2956" s="7"/>
      <c r="X2956" s="7"/>
    </row>
    <row r="2957" spans="2:24">
      <c r="B2957" s="7"/>
      <c r="D2957" s="7"/>
      <c r="F2957" s="7"/>
      <c r="H2957" s="7"/>
      <c r="J2957" s="7"/>
      <c r="L2957" s="7"/>
      <c r="N2957" s="7"/>
      <c r="P2957" s="7"/>
      <c r="R2957" s="7"/>
      <c r="T2957" s="7"/>
      <c r="V2957" s="7"/>
      <c r="X2957" s="7"/>
    </row>
    <row r="2958" spans="2:24">
      <c r="B2958" s="7"/>
      <c r="D2958" s="7"/>
      <c r="F2958" s="7"/>
      <c r="H2958" s="7"/>
      <c r="J2958" s="7"/>
      <c r="L2958" s="7"/>
      <c r="N2958" s="7"/>
      <c r="P2958" s="7"/>
      <c r="R2958" s="7"/>
      <c r="T2958" s="7"/>
      <c r="V2958" s="7"/>
      <c r="X2958" s="7"/>
    </row>
    <row r="2959" spans="2:24">
      <c r="B2959" s="7"/>
      <c r="D2959" s="7"/>
      <c r="F2959" s="7"/>
      <c r="H2959" s="7"/>
      <c r="J2959" s="7"/>
      <c r="L2959" s="7"/>
      <c r="N2959" s="7"/>
      <c r="P2959" s="7"/>
      <c r="R2959" s="7"/>
      <c r="T2959" s="7"/>
      <c r="V2959" s="7"/>
      <c r="X2959" s="7"/>
    </row>
    <row r="2960" spans="2:24">
      <c r="B2960" s="7"/>
      <c r="D2960" s="7"/>
      <c r="F2960" s="7"/>
      <c r="H2960" s="7"/>
      <c r="J2960" s="7"/>
      <c r="L2960" s="7"/>
      <c r="N2960" s="7"/>
      <c r="P2960" s="7"/>
      <c r="R2960" s="7"/>
      <c r="T2960" s="7"/>
      <c r="V2960" s="7"/>
      <c r="X2960" s="7"/>
    </row>
    <row r="2961" spans="2:24">
      <c r="B2961" s="7"/>
      <c r="D2961" s="7"/>
      <c r="F2961" s="7"/>
      <c r="H2961" s="7"/>
      <c r="J2961" s="7"/>
      <c r="L2961" s="7"/>
      <c r="N2961" s="7"/>
      <c r="P2961" s="7"/>
      <c r="R2961" s="7"/>
      <c r="T2961" s="7"/>
      <c r="V2961" s="7"/>
      <c r="X2961" s="7"/>
    </row>
    <row r="2962" spans="2:24">
      <c r="B2962" s="7"/>
      <c r="D2962" s="7"/>
      <c r="F2962" s="7"/>
      <c r="H2962" s="7"/>
      <c r="J2962" s="7"/>
      <c r="L2962" s="7"/>
      <c r="N2962" s="7"/>
      <c r="P2962" s="7"/>
      <c r="R2962" s="7"/>
      <c r="T2962" s="7"/>
      <c r="V2962" s="7"/>
      <c r="X2962" s="7"/>
    </row>
    <row r="2963" spans="2:24">
      <c r="B2963" s="7"/>
      <c r="D2963" s="7"/>
      <c r="F2963" s="7"/>
      <c r="H2963" s="7"/>
      <c r="J2963" s="7"/>
      <c r="L2963" s="7"/>
      <c r="N2963" s="7"/>
      <c r="P2963" s="7"/>
      <c r="R2963" s="7"/>
      <c r="T2963" s="7"/>
      <c r="V2963" s="7"/>
      <c r="X2963" s="7"/>
    </row>
    <row r="2964" spans="2:24">
      <c r="B2964" s="7"/>
      <c r="D2964" s="7"/>
      <c r="F2964" s="7"/>
      <c r="H2964" s="7"/>
      <c r="J2964" s="7"/>
      <c r="L2964" s="7"/>
      <c r="N2964" s="7"/>
      <c r="P2964" s="7"/>
      <c r="R2964" s="7"/>
      <c r="T2964" s="7"/>
      <c r="V2964" s="7"/>
      <c r="X2964" s="7"/>
    </row>
    <row r="2965" spans="2:24">
      <c r="B2965" s="7"/>
      <c r="D2965" s="7"/>
      <c r="F2965" s="7"/>
      <c r="H2965" s="7"/>
      <c r="J2965" s="7"/>
      <c r="L2965" s="7"/>
      <c r="N2965" s="7"/>
      <c r="P2965" s="7"/>
      <c r="R2965" s="7"/>
      <c r="T2965" s="7"/>
      <c r="V2965" s="7"/>
      <c r="X2965" s="7"/>
    </row>
    <row r="2966" spans="2:24">
      <c r="B2966" s="7"/>
      <c r="D2966" s="7"/>
      <c r="F2966" s="7"/>
      <c r="H2966" s="7"/>
      <c r="J2966" s="7"/>
      <c r="L2966" s="7"/>
      <c r="N2966" s="7"/>
      <c r="P2966" s="7"/>
      <c r="R2966" s="7"/>
      <c r="T2966" s="7"/>
      <c r="V2966" s="7"/>
      <c r="X2966" s="7"/>
    </row>
    <row r="2967" spans="2:24">
      <c r="B2967" s="7"/>
      <c r="D2967" s="7"/>
      <c r="F2967" s="7"/>
      <c r="H2967" s="7"/>
      <c r="J2967" s="7"/>
      <c r="L2967" s="7"/>
      <c r="N2967" s="7"/>
      <c r="P2967" s="7"/>
      <c r="R2967" s="7"/>
      <c r="T2967" s="7"/>
      <c r="V2967" s="7"/>
      <c r="X2967" s="7"/>
    </row>
    <row r="2968" spans="2:24">
      <c r="B2968" s="7"/>
      <c r="D2968" s="7"/>
      <c r="F2968" s="7"/>
      <c r="H2968" s="7"/>
      <c r="J2968" s="7"/>
      <c r="L2968" s="7"/>
      <c r="N2968" s="7"/>
      <c r="P2968" s="7"/>
      <c r="R2968" s="7"/>
      <c r="T2968" s="7"/>
      <c r="V2968" s="7"/>
      <c r="X2968" s="7"/>
    </row>
    <row r="2969" spans="2:24">
      <c r="B2969" s="7"/>
      <c r="D2969" s="7"/>
      <c r="F2969" s="7"/>
      <c r="H2969" s="7"/>
      <c r="J2969" s="7"/>
      <c r="L2969" s="7"/>
      <c r="N2969" s="7"/>
      <c r="P2969" s="7"/>
      <c r="R2969" s="7"/>
      <c r="T2969" s="7"/>
      <c r="V2969" s="7"/>
      <c r="X2969" s="7"/>
    </row>
    <row r="2970" spans="2:24">
      <c r="B2970" s="7"/>
      <c r="D2970" s="7"/>
      <c r="F2970" s="7"/>
      <c r="H2970" s="7"/>
      <c r="J2970" s="7"/>
      <c r="L2970" s="7"/>
      <c r="N2970" s="7"/>
      <c r="P2970" s="7"/>
      <c r="R2970" s="7"/>
      <c r="T2970" s="7"/>
      <c r="V2970" s="7"/>
      <c r="X2970" s="7"/>
    </row>
    <row r="2971" spans="2:24">
      <c r="B2971" s="7"/>
      <c r="D2971" s="7"/>
      <c r="F2971" s="7"/>
      <c r="H2971" s="7"/>
      <c r="J2971" s="7"/>
      <c r="L2971" s="7"/>
      <c r="N2971" s="7"/>
      <c r="P2971" s="7"/>
      <c r="R2971" s="7"/>
      <c r="T2971" s="7"/>
      <c r="V2971" s="7"/>
      <c r="X2971" s="7"/>
    </row>
    <row r="2972" spans="2:24">
      <c r="B2972" s="7"/>
      <c r="D2972" s="7"/>
      <c r="F2972" s="7"/>
      <c r="H2972" s="7"/>
      <c r="J2972" s="7"/>
      <c r="L2972" s="7"/>
      <c r="N2972" s="7"/>
      <c r="P2972" s="7"/>
      <c r="R2972" s="7"/>
      <c r="T2972" s="7"/>
      <c r="V2972" s="7"/>
      <c r="X2972" s="7"/>
    </row>
    <row r="2973" spans="2:24">
      <c r="B2973" s="7"/>
      <c r="D2973" s="7"/>
      <c r="F2973" s="7"/>
      <c r="H2973" s="7"/>
      <c r="J2973" s="7"/>
      <c r="L2973" s="7"/>
      <c r="N2973" s="7"/>
      <c r="P2973" s="7"/>
      <c r="R2973" s="7"/>
      <c r="T2973" s="7"/>
      <c r="V2973" s="7"/>
      <c r="X2973" s="7"/>
    </row>
    <row r="2974" spans="2:24">
      <c r="B2974" s="7"/>
      <c r="D2974" s="7"/>
      <c r="F2974" s="7"/>
      <c r="H2974" s="7"/>
      <c r="J2974" s="7"/>
      <c r="L2974" s="7"/>
      <c r="N2974" s="7"/>
      <c r="P2974" s="7"/>
      <c r="R2974" s="7"/>
      <c r="T2974" s="7"/>
      <c r="V2974" s="7"/>
      <c r="X2974" s="7"/>
    </row>
    <row r="2975" spans="2:24">
      <c r="B2975" s="7"/>
      <c r="D2975" s="7"/>
      <c r="F2975" s="7"/>
      <c r="H2975" s="7"/>
      <c r="J2975" s="7"/>
      <c r="L2975" s="7"/>
      <c r="N2975" s="7"/>
      <c r="P2975" s="7"/>
      <c r="R2975" s="7"/>
      <c r="T2975" s="7"/>
      <c r="V2975" s="7"/>
      <c r="X2975" s="7"/>
    </row>
    <row r="2976" spans="2:24">
      <c r="B2976" s="7"/>
      <c r="D2976" s="7"/>
      <c r="F2976" s="7"/>
      <c r="H2976" s="7"/>
      <c r="J2976" s="7"/>
      <c r="L2976" s="7"/>
      <c r="N2976" s="7"/>
      <c r="P2976" s="7"/>
      <c r="R2976" s="7"/>
      <c r="T2976" s="7"/>
      <c r="V2976" s="7"/>
      <c r="X2976" s="7"/>
    </row>
    <row r="2977" spans="2:24">
      <c r="B2977" s="7"/>
      <c r="D2977" s="7"/>
      <c r="F2977" s="7"/>
      <c r="H2977" s="7"/>
      <c r="J2977" s="7"/>
      <c r="L2977" s="7"/>
      <c r="N2977" s="7"/>
      <c r="P2977" s="7"/>
      <c r="R2977" s="7"/>
      <c r="T2977" s="7"/>
      <c r="V2977" s="7"/>
      <c r="X2977" s="7"/>
    </row>
    <row r="2978" spans="2:24">
      <c r="B2978" s="7"/>
      <c r="D2978" s="7"/>
      <c r="F2978" s="7"/>
      <c r="H2978" s="7"/>
      <c r="J2978" s="7"/>
      <c r="L2978" s="7"/>
      <c r="N2978" s="7"/>
      <c r="P2978" s="7"/>
      <c r="R2978" s="7"/>
      <c r="T2978" s="7"/>
      <c r="V2978" s="7"/>
      <c r="X2978" s="7"/>
    </row>
    <row r="2979" spans="2:24">
      <c r="B2979" s="7"/>
      <c r="D2979" s="7"/>
      <c r="F2979" s="7"/>
      <c r="H2979" s="7"/>
      <c r="J2979" s="7"/>
      <c r="L2979" s="7"/>
      <c r="N2979" s="7"/>
      <c r="P2979" s="7"/>
      <c r="R2979" s="7"/>
      <c r="T2979" s="7"/>
      <c r="V2979" s="7"/>
      <c r="X2979" s="7"/>
    </row>
    <row r="2980" spans="2:24">
      <c r="B2980" s="7"/>
      <c r="D2980" s="7"/>
      <c r="F2980" s="7"/>
      <c r="H2980" s="7"/>
      <c r="J2980" s="7"/>
      <c r="L2980" s="7"/>
      <c r="N2980" s="7"/>
      <c r="P2980" s="7"/>
      <c r="R2980" s="7"/>
      <c r="T2980" s="7"/>
      <c r="V2980" s="7"/>
      <c r="X2980" s="7"/>
    </row>
    <row r="2981" spans="2:24">
      <c r="B2981" s="7"/>
      <c r="D2981" s="7"/>
      <c r="F2981" s="7"/>
      <c r="H2981" s="7"/>
      <c r="J2981" s="7"/>
      <c r="L2981" s="7"/>
      <c r="N2981" s="7"/>
      <c r="P2981" s="7"/>
      <c r="R2981" s="7"/>
      <c r="T2981" s="7"/>
      <c r="V2981" s="7"/>
      <c r="X2981" s="7"/>
    </row>
    <row r="2982" spans="2:24">
      <c r="B2982" s="7"/>
      <c r="D2982" s="7"/>
      <c r="F2982" s="7"/>
      <c r="H2982" s="7"/>
      <c r="J2982" s="7"/>
      <c r="L2982" s="7"/>
      <c r="N2982" s="7"/>
      <c r="P2982" s="7"/>
      <c r="R2982" s="7"/>
      <c r="T2982" s="7"/>
      <c r="V2982" s="7"/>
      <c r="X2982" s="7"/>
    </row>
    <row r="2983" spans="2:24">
      <c r="B2983" s="7"/>
      <c r="D2983" s="7"/>
      <c r="F2983" s="7"/>
      <c r="H2983" s="7"/>
      <c r="J2983" s="7"/>
      <c r="L2983" s="7"/>
      <c r="N2983" s="7"/>
      <c r="P2983" s="7"/>
      <c r="R2983" s="7"/>
      <c r="T2983" s="7"/>
      <c r="V2983" s="7"/>
      <c r="X2983" s="7"/>
    </row>
    <row r="2984" spans="2:24">
      <c r="B2984" s="7"/>
      <c r="D2984" s="7"/>
      <c r="F2984" s="7"/>
      <c r="H2984" s="7"/>
      <c r="J2984" s="7"/>
      <c r="L2984" s="7"/>
      <c r="N2984" s="7"/>
      <c r="P2984" s="7"/>
      <c r="R2984" s="7"/>
      <c r="T2984" s="7"/>
      <c r="V2984" s="7"/>
      <c r="X2984" s="7"/>
    </row>
    <row r="2985" spans="2:24">
      <c r="B2985" s="7"/>
      <c r="D2985" s="7"/>
      <c r="F2985" s="7"/>
      <c r="H2985" s="7"/>
      <c r="J2985" s="7"/>
      <c r="L2985" s="7"/>
      <c r="N2985" s="7"/>
      <c r="P2985" s="7"/>
      <c r="R2985" s="7"/>
      <c r="T2985" s="7"/>
      <c r="V2985" s="7"/>
      <c r="X2985" s="7"/>
    </row>
    <row r="2986" spans="2:24">
      <c r="B2986" s="7"/>
      <c r="D2986" s="7"/>
      <c r="F2986" s="7"/>
      <c r="H2986" s="7"/>
      <c r="J2986" s="7"/>
      <c r="L2986" s="7"/>
      <c r="N2986" s="7"/>
      <c r="P2986" s="7"/>
      <c r="R2986" s="7"/>
      <c r="T2986" s="7"/>
      <c r="V2986" s="7"/>
      <c r="X2986" s="7"/>
    </row>
    <row r="2987" spans="2:24">
      <c r="B2987" s="7"/>
      <c r="D2987" s="7"/>
      <c r="F2987" s="7"/>
      <c r="H2987" s="7"/>
      <c r="J2987" s="7"/>
      <c r="L2987" s="7"/>
      <c r="N2987" s="7"/>
      <c r="P2987" s="7"/>
      <c r="R2987" s="7"/>
      <c r="T2987" s="7"/>
      <c r="V2987" s="7"/>
      <c r="X2987" s="7"/>
    </row>
    <row r="2988" spans="2:24">
      <c r="B2988" s="7"/>
      <c r="D2988" s="7"/>
      <c r="F2988" s="7"/>
      <c r="H2988" s="7"/>
      <c r="J2988" s="7"/>
      <c r="L2988" s="7"/>
      <c r="N2988" s="7"/>
      <c r="P2988" s="7"/>
      <c r="R2988" s="7"/>
      <c r="T2988" s="7"/>
      <c r="V2988" s="7"/>
      <c r="X2988" s="7"/>
    </row>
    <row r="2989" spans="2:24">
      <c r="B2989" s="7"/>
      <c r="D2989" s="7"/>
      <c r="F2989" s="7"/>
      <c r="H2989" s="7"/>
      <c r="J2989" s="7"/>
      <c r="L2989" s="7"/>
      <c r="N2989" s="7"/>
      <c r="P2989" s="7"/>
      <c r="R2989" s="7"/>
      <c r="T2989" s="7"/>
      <c r="V2989" s="7"/>
      <c r="X2989" s="7"/>
    </row>
    <row r="2990" spans="2:24">
      <c r="B2990" s="7"/>
      <c r="D2990" s="7"/>
      <c r="F2990" s="7"/>
      <c r="H2990" s="7"/>
      <c r="J2990" s="7"/>
      <c r="L2990" s="7"/>
      <c r="N2990" s="7"/>
      <c r="P2990" s="7"/>
      <c r="R2990" s="7"/>
      <c r="T2990" s="7"/>
      <c r="V2990" s="7"/>
      <c r="X2990" s="7"/>
    </row>
    <row r="2991" spans="2:24">
      <c r="B2991" s="7"/>
      <c r="D2991" s="7"/>
      <c r="F2991" s="7"/>
      <c r="H2991" s="7"/>
      <c r="J2991" s="7"/>
      <c r="L2991" s="7"/>
      <c r="N2991" s="7"/>
      <c r="P2991" s="7"/>
      <c r="R2991" s="7"/>
      <c r="T2991" s="7"/>
      <c r="V2991" s="7"/>
      <c r="X2991" s="7"/>
    </row>
    <row r="2992" spans="2:24">
      <c r="B2992" s="7"/>
      <c r="D2992" s="7"/>
      <c r="F2992" s="7"/>
      <c r="H2992" s="7"/>
      <c r="J2992" s="7"/>
      <c r="L2992" s="7"/>
      <c r="N2992" s="7"/>
      <c r="P2992" s="7"/>
      <c r="R2992" s="7"/>
      <c r="T2992" s="7"/>
      <c r="V2992" s="7"/>
      <c r="X2992" s="7"/>
    </row>
    <row r="2993" spans="2:24">
      <c r="B2993" s="7"/>
      <c r="D2993" s="7"/>
      <c r="F2993" s="7"/>
      <c r="H2993" s="7"/>
      <c r="J2993" s="7"/>
      <c r="L2993" s="7"/>
      <c r="N2993" s="7"/>
      <c r="P2993" s="7"/>
      <c r="R2993" s="7"/>
      <c r="T2993" s="7"/>
      <c r="V2993" s="7"/>
      <c r="X2993" s="7"/>
    </row>
    <row r="2994" spans="2:24">
      <c r="B2994" s="7"/>
      <c r="D2994" s="7"/>
      <c r="F2994" s="7"/>
      <c r="H2994" s="7"/>
      <c r="J2994" s="7"/>
      <c r="L2994" s="7"/>
      <c r="N2994" s="7"/>
      <c r="P2994" s="7"/>
      <c r="R2994" s="7"/>
      <c r="T2994" s="7"/>
      <c r="V2994" s="7"/>
      <c r="X2994" s="7"/>
    </row>
    <row r="2995" spans="2:24">
      <c r="B2995" s="7"/>
      <c r="D2995" s="7"/>
      <c r="F2995" s="7"/>
      <c r="H2995" s="7"/>
      <c r="J2995" s="7"/>
      <c r="L2995" s="7"/>
      <c r="N2995" s="7"/>
      <c r="P2995" s="7"/>
      <c r="R2995" s="7"/>
      <c r="T2995" s="7"/>
      <c r="V2995" s="7"/>
      <c r="X2995" s="7"/>
    </row>
    <row r="2996" spans="2:24">
      <c r="B2996" s="7"/>
      <c r="D2996" s="7"/>
      <c r="F2996" s="7"/>
      <c r="H2996" s="7"/>
      <c r="J2996" s="7"/>
      <c r="L2996" s="7"/>
      <c r="N2996" s="7"/>
      <c r="P2996" s="7"/>
      <c r="R2996" s="7"/>
      <c r="T2996" s="7"/>
      <c r="V2996" s="7"/>
      <c r="X2996" s="7"/>
    </row>
    <row r="2997" spans="2:24">
      <c r="B2997" s="7"/>
      <c r="D2997" s="7"/>
      <c r="F2997" s="7"/>
      <c r="H2997" s="7"/>
      <c r="J2997" s="7"/>
      <c r="L2997" s="7"/>
      <c r="N2997" s="7"/>
      <c r="P2997" s="7"/>
      <c r="R2997" s="7"/>
      <c r="T2997" s="7"/>
      <c r="V2997" s="7"/>
      <c r="X2997" s="7"/>
    </row>
    <row r="2998" spans="2:24">
      <c r="B2998" s="7"/>
      <c r="D2998" s="7"/>
      <c r="F2998" s="7"/>
      <c r="H2998" s="7"/>
      <c r="J2998" s="7"/>
      <c r="L2998" s="7"/>
      <c r="N2998" s="7"/>
      <c r="P2998" s="7"/>
      <c r="R2998" s="7"/>
      <c r="T2998" s="7"/>
      <c r="V2998" s="7"/>
      <c r="X2998" s="7"/>
    </row>
    <row r="2999" spans="2:24">
      <c r="B2999" s="7"/>
      <c r="D2999" s="7"/>
      <c r="F2999" s="7"/>
      <c r="H2999" s="7"/>
      <c r="J2999" s="7"/>
      <c r="L2999" s="7"/>
      <c r="N2999" s="7"/>
      <c r="P2999" s="7"/>
      <c r="R2999" s="7"/>
      <c r="T2999" s="7"/>
      <c r="V2999" s="7"/>
      <c r="X2999" s="7"/>
    </row>
    <row r="3000" spans="2:24">
      <c r="B3000" s="7"/>
      <c r="D3000" s="7"/>
      <c r="F3000" s="7"/>
      <c r="H3000" s="7"/>
      <c r="J3000" s="7"/>
      <c r="L3000" s="7"/>
      <c r="N3000" s="7"/>
      <c r="P3000" s="7"/>
      <c r="R3000" s="7"/>
      <c r="T3000" s="7"/>
      <c r="V3000" s="7"/>
      <c r="X3000" s="7"/>
    </row>
    <row r="3001" spans="2:24">
      <c r="B3001" s="7"/>
      <c r="D3001" s="7"/>
      <c r="F3001" s="7"/>
      <c r="H3001" s="7"/>
      <c r="J3001" s="7"/>
      <c r="L3001" s="7"/>
      <c r="N3001" s="7"/>
      <c r="P3001" s="7"/>
      <c r="R3001" s="7"/>
      <c r="T3001" s="7"/>
      <c r="V3001" s="7"/>
      <c r="X3001" s="7"/>
    </row>
    <row r="3002" spans="2:24">
      <c r="B3002" s="7"/>
      <c r="D3002" s="7"/>
      <c r="F3002" s="7"/>
      <c r="H3002" s="7"/>
      <c r="J3002" s="7"/>
      <c r="L3002" s="7"/>
      <c r="N3002" s="7"/>
      <c r="P3002" s="7"/>
      <c r="R3002" s="7"/>
      <c r="T3002" s="7"/>
      <c r="V3002" s="7"/>
      <c r="X3002" s="7"/>
    </row>
    <row r="3003" spans="2:24">
      <c r="B3003" s="7"/>
      <c r="D3003" s="7"/>
      <c r="F3003" s="7"/>
      <c r="H3003" s="7"/>
      <c r="J3003" s="7"/>
      <c r="L3003" s="7"/>
      <c r="N3003" s="7"/>
      <c r="P3003" s="7"/>
      <c r="R3003" s="7"/>
      <c r="T3003" s="7"/>
      <c r="V3003" s="7"/>
      <c r="X3003" s="7"/>
    </row>
    <row r="3004" spans="2:24">
      <c r="B3004" s="7"/>
      <c r="D3004" s="7"/>
      <c r="F3004" s="7"/>
      <c r="H3004" s="7"/>
      <c r="J3004" s="7"/>
      <c r="L3004" s="7"/>
      <c r="N3004" s="7"/>
      <c r="P3004" s="7"/>
      <c r="R3004" s="7"/>
      <c r="T3004" s="7"/>
      <c r="V3004" s="7"/>
      <c r="X3004" s="7"/>
    </row>
    <row r="3005" spans="2:24">
      <c r="B3005" s="7"/>
      <c r="D3005" s="7"/>
      <c r="F3005" s="7"/>
      <c r="H3005" s="7"/>
      <c r="J3005" s="7"/>
      <c r="L3005" s="7"/>
      <c r="N3005" s="7"/>
      <c r="P3005" s="7"/>
      <c r="R3005" s="7"/>
      <c r="T3005" s="7"/>
      <c r="V3005" s="7"/>
      <c r="X3005" s="7"/>
    </row>
    <row r="3006" spans="2:24">
      <c r="B3006" s="7"/>
      <c r="D3006" s="7"/>
      <c r="F3006" s="7"/>
      <c r="H3006" s="7"/>
      <c r="J3006" s="7"/>
      <c r="L3006" s="7"/>
      <c r="N3006" s="7"/>
      <c r="P3006" s="7"/>
      <c r="R3006" s="7"/>
      <c r="T3006" s="7"/>
      <c r="V3006" s="7"/>
      <c r="X3006" s="7"/>
    </row>
    <row r="3007" spans="2:24">
      <c r="B3007" s="7"/>
      <c r="D3007" s="7"/>
      <c r="F3007" s="7"/>
      <c r="H3007" s="7"/>
      <c r="J3007" s="7"/>
      <c r="L3007" s="7"/>
      <c r="N3007" s="7"/>
      <c r="P3007" s="7"/>
      <c r="R3007" s="7"/>
      <c r="T3007" s="7"/>
      <c r="V3007" s="7"/>
      <c r="X3007" s="7"/>
    </row>
    <row r="3008" spans="2:24">
      <c r="B3008" s="7"/>
      <c r="D3008" s="7"/>
      <c r="F3008" s="7"/>
      <c r="H3008" s="7"/>
      <c r="J3008" s="7"/>
      <c r="L3008" s="7"/>
      <c r="N3008" s="7"/>
      <c r="P3008" s="7"/>
      <c r="R3008" s="7"/>
      <c r="T3008" s="7"/>
      <c r="V3008" s="7"/>
      <c r="X3008" s="7"/>
    </row>
    <row r="3009" spans="2:24">
      <c r="B3009" s="7"/>
      <c r="D3009" s="7"/>
      <c r="F3009" s="7"/>
      <c r="H3009" s="7"/>
      <c r="J3009" s="7"/>
      <c r="L3009" s="7"/>
      <c r="N3009" s="7"/>
      <c r="P3009" s="7"/>
      <c r="R3009" s="7"/>
      <c r="T3009" s="7"/>
      <c r="V3009" s="7"/>
      <c r="X3009" s="7"/>
    </row>
    <row r="3010" spans="2:24">
      <c r="B3010" s="7"/>
      <c r="D3010" s="7"/>
      <c r="F3010" s="7"/>
      <c r="H3010" s="7"/>
      <c r="J3010" s="7"/>
      <c r="L3010" s="7"/>
      <c r="N3010" s="7"/>
      <c r="P3010" s="7"/>
      <c r="R3010" s="7"/>
      <c r="T3010" s="7"/>
      <c r="V3010" s="7"/>
      <c r="X3010" s="7"/>
    </row>
    <row r="3011" spans="2:24">
      <c r="B3011" s="7"/>
      <c r="D3011" s="7"/>
      <c r="F3011" s="7"/>
      <c r="H3011" s="7"/>
      <c r="J3011" s="7"/>
      <c r="L3011" s="7"/>
      <c r="N3011" s="7"/>
      <c r="P3011" s="7"/>
      <c r="R3011" s="7"/>
      <c r="T3011" s="7"/>
      <c r="V3011" s="7"/>
      <c r="X3011" s="7"/>
    </row>
    <row r="3012" spans="2:24">
      <c r="B3012" s="7"/>
      <c r="D3012" s="7"/>
      <c r="F3012" s="7"/>
      <c r="H3012" s="7"/>
      <c r="J3012" s="7"/>
      <c r="L3012" s="7"/>
      <c r="N3012" s="7"/>
      <c r="P3012" s="7"/>
      <c r="R3012" s="7"/>
      <c r="T3012" s="7"/>
      <c r="V3012" s="7"/>
      <c r="X3012" s="7"/>
    </row>
    <row r="3013" spans="2:24">
      <c r="B3013" s="7"/>
      <c r="D3013" s="7"/>
      <c r="F3013" s="7"/>
      <c r="H3013" s="7"/>
      <c r="J3013" s="7"/>
      <c r="L3013" s="7"/>
      <c r="N3013" s="7"/>
      <c r="P3013" s="7"/>
      <c r="R3013" s="7"/>
      <c r="T3013" s="7"/>
      <c r="V3013" s="7"/>
      <c r="X3013" s="7"/>
    </row>
    <row r="3014" spans="2:24">
      <c r="B3014" s="7"/>
      <c r="D3014" s="7"/>
      <c r="F3014" s="7"/>
      <c r="H3014" s="7"/>
      <c r="J3014" s="7"/>
      <c r="L3014" s="7"/>
      <c r="N3014" s="7"/>
      <c r="P3014" s="7"/>
      <c r="R3014" s="7"/>
      <c r="T3014" s="7"/>
      <c r="V3014" s="7"/>
      <c r="X3014" s="7"/>
    </row>
    <row r="3015" spans="2:24">
      <c r="B3015" s="7"/>
      <c r="D3015" s="7"/>
      <c r="F3015" s="7"/>
      <c r="H3015" s="7"/>
      <c r="J3015" s="7"/>
      <c r="L3015" s="7"/>
      <c r="N3015" s="7"/>
      <c r="P3015" s="7"/>
      <c r="R3015" s="7"/>
      <c r="T3015" s="7"/>
      <c r="V3015" s="7"/>
      <c r="X3015" s="7"/>
    </row>
    <row r="3016" spans="2:24">
      <c r="B3016" s="7"/>
      <c r="D3016" s="7"/>
      <c r="F3016" s="7"/>
      <c r="H3016" s="7"/>
      <c r="J3016" s="7"/>
      <c r="L3016" s="7"/>
      <c r="N3016" s="7"/>
      <c r="P3016" s="7"/>
      <c r="R3016" s="7"/>
      <c r="T3016" s="7"/>
      <c r="V3016" s="7"/>
      <c r="X3016" s="7"/>
    </row>
    <row r="3017" spans="2:24">
      <c r="B3017" s="7"/>
      <c r="D3017" s="7"/>
      <c r="F3017" s="7"/>
      <c r="H3017" s="7"/>
      <c r="J3017" s="7"/>
      <c r="L3017" s="7"/>
      <c r="N3017" s="7"/>
      <c r="P3017" s="7"/>
      <c r="R3017" s="7"/>
      <c r="T3017" s="7"/>
      <c r="V3017" s="7"/>
      <c r="X3017" s="7"/>
    </row>
    <row r="3018" spans="2:24">
      <c r="B3018" s="7"/>
      <c r="D3018" s="7"/>
      <c r="F3018" s="7"/>
      <c r="H3018" s="7"/>
      <c r="J3018" s="7"/>
      <c r="L3018" s="7"/>
      <c r="N3018" s="7"/>
      <c r="P3018" s="7"/>
      <c r="R3018" s="7"/>
      <c r="T3018" s="7"/>
      <c r="V3018" s="7"/>
      <c r="X3018" s="7"/>
    </row>
    <row r="3019" spans="2:24">
      <c r="B3019" s="7"/>
      <c r="D3019" s="7"/>
      <c r="F3019" s="7"/>
      <c r="H3019" s="7"/>
      <c r="J3019" s="7"/>
      <c r="L3019" s="7"/>
      <c r="N3019" s="7"/>
      <c r="P3019" s="7"/>
      <c r="R3019" s="7"/>
      <c r="T3019" s="7"/>
      <c r="V3019" s="7"/>
      <c r="X3019" s="7"/>
    </row>
    <row r="3020" spans="2:24">
      <c r="B3020" s="7"/>
      <c r="D3020" s="7"/>
      <c r="F3020" s="7"/>
      <c r="H3020" s="7"/>
      <c r="J3020" s="7"/>
      <c r="L3020" s="7"/>
      <c r="N3020" s="7"/>
      <c r="P3020" s="7"/>
      <c r="R3020" s="7"/>
      <c r="T3020" s="7"/>
      <c r="V3020" s="7"/>
      <c r="X3020" s="7"/>
    </row>
    <row r="3021" spans="2:24">
      <c r="B3021" s="7"/>
      <c r="D3021" s="7"/>
      <c r="F3021" s="7"/>
      <c r="H3021" s="7"/>
      <c r="J3021" s="7"/>
      <c r="L3021" s="7"/>
      <c r="N3021" s="7"/>
      <c r="P3021" s="7"/>
      <c r="R3021" s="7"/>
      <c r="T3021" s="7"/>
      <c r="V3021" s="7"/>
      <c r="X3021" s="7"/>
    </row>
    <row r="3022" spans="2:24">
      <c r="B3022" s="7"/>
      <c r="D3022" s="7"/>
      <c r="F3022" s="7"/>
      <c r="H3022" s="7"/>
      <c r="J3022" s="7"/>
      <c r="L3022" s="7"/>
      <c r="N3022" s="7"/>
      <c r="P3022" s="7"/>
      <c r="R3022" s="7"/>
      <c r="T3022" s="7"/>
      <c r="V3022" s="7"/>
      <c r="X3022" s="7"/>
    </row>
    <row r="3023" spans="2:24">
      <c r="B3023" s="7"/>
      <c r="D3023" s="7"/>
      <c r="F3023" s="7"/>
      <c r="H3023" s="7"/>
      <c r="J3023" s="7"/>
      <c r="L3023" s="7"/>
      <c r="N3023" s="7"/>
      <c r="P3023" s="7"/>
      <c r="R3023" s="7"/>
      <c r="T3023" s="7"/>
      <c r="V3023" s="7"/>
      <c r="X3023" s="7"/>
    </row>
    <row r="3024" spans="2:24">
      <c r="B3024" s="7"/>
      <c r="D3024" s="7"/>
      <c r="F3024" s="7"/>
      <c r="H3024" s="7"/>
      <c r="J3024" s="7"/>
      <c r="L3024" s="7"/>
      <c r="N3024" s="7"/>
      <c r="P3024" s="7"/>
      <c r="R3024" s="7"/>
      <c r="T3024" s="7"/>
      <c r="V3024" s="7"/>
      <c r="X3024" s="7"/>
    </row>
    <row r="3025" spans="2:24">
      <c r="B3025" s="7"/>
      <c r="D3025" s="7"/>
      <c r="F3025" s="7"/>
      <c r="H3025" s="7"/>
      <c r="J3025" s="7"/>
      <c r="L3025" s="7"/>
      <c r="N3025" s="7"/>
      <c r="P3025" s="7"/>
      <c r="R3025" s="7"/>
      <c r="T3025" s="7"/>
      <c r="V3025" s="7"/>
      <c r="X3025" s="7"/>
    </row>
    <row r="3026" spans="2:24">
      <c r="B3026" s="7"/>
      <c r="D3026" s="7"/>
      <c r="F3026" s="7"/>
      <c r="H3026" s="7"/>
      <c r="J3026" s="7"/>
      <c r="L3026" s="7"/>
      <c r="N3026" s="7"/>
      <c r="P3026" s="7"/>
      <c r="R3026" s="7"/>
      <c r="T3026" s="7"/>
      <c r="V3026" s="7"/>
      <c r="X3026" s="7"/>
    </row>
    <row r="3027" spans="2:24">
      <c r="B3027" s="7"/>
      <c r="D3027" s="7"/>
      <c r="F3027" s="7"/>
      <c r="H3027" s="7"/>
      <c r="J3027" s="7"/>
      <c r="L3027" s="7"/>
      <c r="N3027" s="7"/>
      <c r="P3027" s="7"/>
      <c r="R3027" s="7"/>
      <c r="T3027" s="7"/>
      <c r="V3027" s="7"/>
      <c r="X3027" s="7"/>
    </row>
    <row r="3028" spans="2:24">
      <c r="B3028" s="7"/>
      <c r="D3028" s="7"/>
      <c r="F3028" s="7"/>
      <c r="H3028" s="7"/>
      <c r="J3028" s="7"/>
      <c r="L3028" s="7"/>
      <c r="N3028" s="7"/>
      <c r="P3028" s="7"/>
      <c r="R3028" s="7"/>
      <c r="T3028" s="7"/>
      <c r="V3028" s="7"/>
      <c r="X3028" s="7"/>
    </row>
    <row r="3029" spans="2:24">
      <c r="B3029" s="7"/>
      <c r="D3029" s="7"/>
      <c r="F3029" s="7"/>
      <c r="H3029" s="7"/>
      <c r="J3029" s="7"/>
      <c r="L3029" s="7"/>
      <c r="N3029" s="7"/>
      <c r="P3029" s="7"/>
      <c r="R3029" s="7"/>
      <c r="T3029" s="7"/>
      <c r="V3029" s="7"/>
      <c r="X3029" s="7"/>
    </row>
    <row r="3030" spans="2:24">
      <c r="B3030" s="7"/>
      <c r="D3030" s="7"/>
      <c r="F3030" s="7"/>
      <c r="H3030" s="7"/>
      <c r="J3030" s="7"/>
      <c r="L3030" s="7"/>
      <c r="N3030" s="7"/>
      <c r="P3030" s="7"/>
      <c r="R3030" s="7"/>
      <c r="T3030" s="7"/>
      <c r="V3030" s="7"/>
      <c r="X3030" s="7"/>
    </row>
    <row r="3031" spans="2:24">
      <c r="B3031" s="7"/>
      <c r="D3031" s="7"/>
      <c r="F3031" s="7"/>
      <c r="H3031" s="7"/>
      <c r="J3031" s="7"/>
      <c r="L3031" s="7"/>
      <c r="N3031" s="7"/>
      <c r="P3031" s="7"/>
      <c r="R3031" s="7"/>
      <c r="T3031" s="7"/>
      <c r="V3031" s="7"/>
      <c r="X3031" s="7"/>
    </row>
    <row r="3032" spans="2:24">
      <c r="B3032" s="7"/>
      <c r="D3032" s="7"/>
      <c r="F3032" s="7"/>
      <c r="H3032" s="7"/>
      <c r="J3032" s="7"/>
      <c r="L3032" s="7"/>
      <c r="N3032" s="7"/>
      <c r="P3032" s="7"/>
      <c r="R3032" s="7"/>
      <c r="T3032" s="7"/>
      <c r="V3032" s="7"/>
      <c r="X3032" s="7"/>
    </row>
    <row r="3033" spans="2:24">
      <c r="B3033" s="7"/>
      <c r="D3033" s="7"/>
      <c r="F3033" s="7"/>
      <c r="H3033" s="7"/>
      <c r="J3033" s="7"/>
      <c r="L3033" s="7"/>
      <c r="N3033" s="7"/>
      <c r="P3033" s="7"/>
      <c r="R3033" s="7"/>
      <c r="T3033" s="7"/>
      <c r="V3033" s="7"/>
      <c r="X3033" s="7"/>
    </row>
    <row r="3034" spans="2:24">
      <c r="B3034" s="7"/>
      <c r="D3034" s="7"/>
      <c r="F3034" s="7"/>
      <c r="H3034" s="7"/>
      <c r="J3034" s="7"/>
      <c r="L3034" s="7"/>
      <c r="N3034" s="7"/>
      <c r="P3034" s="7"/>
      <c r="R3034" s="7"/>
      <c r="T3034" s="7"/>
      <c r="V3034" s="7"/>
      <c r="X3034" s="7"/>
    </row>
    <row r="3035" spans="2:24">
      <c r="B3035" s="7"/>
      <c r="D3035" s="7"/>
      <c r="F3035" s="7"/>
      <c r="H3035" s="7"/>
      <c r="J3035" s="7"/>
      <c r="L3035" s="7"/>
      <c r="N3035" s="7"/>
      <c r="P3035" s="7"/>
      <c r="R3035" s="7"/>
      <c r="T3035" s="7"/>
      <c r="V3035" s="7"/>
      <c r="X3035" s="7"/>
    </row>
    <row r="3036" spans="2:24">
      <c r="B3036" s="7"/>
      <c r="D3036" s="7"/>
      <c r="F3036" s="7"/>
      <c r="H3036" s="7"/>
      <c r="J3036" s="7"/>
      <c r="L3036" s="7"/>
      <c r="N3036" s="7"/>
      <c r="P3036" s="7"/>
      <c r="R3036" s="7"/>
      <c r="T3036" s="7"/>
      <c r="V3036" s="7"/>
      <c r="X3036" s="7"/>
    </row>
    <row r="3037" spans="2:24">
      <c r="B3037" s="7"/>
      <c r="D3037" s="7"/>
      <c r="F3037" s="7"/>
      <c r="H3037" s="7"/>
      <c r="J3037" s="7"/>
      <c r="L3037" s="7"/>
      <c r="N3037" s="7"/>
      <c r="P3037" s="7"/>
      <c r="R3037" s="7"/>
      <c r="T3037" s="7"/>
      <c r="V3037" s="7"/>
      <c r="X3037" s="7"/>
    </row>
    <row r="3038" spans="2:24">
      <c r="B3038" s="7"/>
      <c r="D3038" s="7"/>
      <c r="F3038" s="7"/>
      <c r="H3038" s="7"/>
      <c r="J3038" s="7"/>
      <c r="L3038" s="7"/>
      <c r="N3038" s="7"/>
      <c r="P3038" s="7"/>
      <c r="R3038" s="7"/>
      <c r="T3038" s="7"/>
      <c r="V3038" s="7"/>
      <c r="X3038" s="7"/>
    </row>
    <row r="3039" spans="2:24">
      <c r="B3039" s="7"/>
      <c r="D3039" s="7"/>
      <c r="F3039" s="7"/>
      <c r="H3039" s="7"/>
      <c r="J3039" s="7"/>
      <c r="L3039" s="7"/>
      <c r="N3039" s="7"/>
      <c r="P3039" s="7"/>
      <c r="R3039" s="7"/>
      <c r="T3039" s="7"/>
      <c r="V3039" s="7"/>
      <c r="X3039" s="7"/>
    </row>
    <row r="3040" spans="2:24">
      <c r="B3040" s="7"/>
      <c r="D3040" s="7"/>
      <c r="F3040" s="7"/>
      <c r="H3040" s="7"/>
      <c r="J3040" s="7"/>
      <c r="L3040" s="7"/>
      <c r="N3040" s="7"/>
      <c r="P3040" s="7"/>
      <c r="R3040" s="7"/>
      <c r="T3040" s="7"/>
      <c r="V3040" s="7"/>
      <c r="X3040" s="7"/>
    </row>
    <row r="3041" spans="2:24">
      <c r="B3041" s="7"/>
      <c r="D3041" s="7"/>
      <c r="F3041" s="7"/>
      <c r="H3041" s="7"/>
      <c r="J3041" s="7"/>
      <c r="L3041" s="7"/>
      <c r="N3041" s="7"/>
      <c r="P3041" s="7"/>
      <c r="R3041" s="7"/>
      <c r="T3041" s="7"/>
      <c r="V3041" s="7"/>
      <c r="X3041" s="7"/>
    </row>
    <row r="3042" spans="2:24">
      <c r="B3042" s="7"/>
      <c r="D3042" s="7"/>
      <c r="F3042" s="7"/>
      <c r="H3042" s="7"/>
      <c r="J3042" s="7"/>
      <c r="L3042" s="7"/>
      <c r="N3042" s="7"/>
      <c r="P3042" s="7"/>
      <c r="R3042" s="7"/>
      <c r="T3042" s="7"/>
      <c r="V3042" s="7"/>
      <c r="X3042" s="7"/>
    </row>
    <row r="3043" spans="2:24">
      <c r="B3043" s="7"/>
      <c r="D3043" s="7"/>
      <c r="F3043" s="7"/>
      <c r="H3043" s="7"/>
      <c r="J3043" s="7"/>
      <c r="L3043" s="7"/>
      <c r="N3043" s="7"/>
      <c r="P3043" s="7"/>
      <c r="R3043" s="7"/>
      <c r="T3043" s="7"/>
      <c r="V3043" s="7"/>
      <c r="X3043" s="7"/>
    </row>
    <row r="3044" spans="2:24">
      <c r="B3044" s="7"/>
      <c r="D3044" s="7"/>
      <c r="F3044" s="7"/>
      <c r="H3044" s="7"/>
      <c r="J3044" s="7"/>
      <c r="L3044" s="7"/>
      <c r="N3044" s="7"/>
      <c r="P3044" s="7"/>
      <c r="R3044" s="7"/>
      <c r="T3044" s="7"/>
      <c r="V3044" s="7"/>
      <c r="X3044" s="7"/>
    </row>
    <row r="3045" spans="2:24">
      <c r="B3045" s="7"/>
      <c r="D3045" s="7"/>
      <c r="F3045" s="7"/>
      <c r="H3045" s="7"/>
      <c r="J3045" s="7"/>
      <c r="L3045" s="7"/>
      <c r="N3045" s="7"/>
      <c r="P3045" s="7"/>
      <c r="R3045" s="7"/>
      <c r="T3045" s="7"/>
      <c r="V3045" s="7"/>
      <c r="X3045" s="7"/>
    </row>
    <row r="3046" spans="2:24">
      <c r="B3046" s="7"/>
      <c r="D3046" s="7"/>
      <c r="F3046" s="7"/>
      <c r="H3046" s="7"/>
      <c r="J3046" s="7"/>
      <c r="L3046" s="7"/>
      <c r="N3046" s="7"/>
      <c r="P3046" s="7"/>
      <c r="R3046" s="7"/>
      <c r="T3046" s="7"/>
      <c r="V3046" s="7"/>
      <c r="X3046" s="7"/>
    </row>
    <row r="3047" spans="2:24">
      <c r="B3047" s="7"/>
      <c r="D3047" s="7"/>
      <c r="F3047" s="7"/>
      <c r="H3047" s="7"/>
      <c r="J3047" s="7"/>
      <c r="L3047" s="7"/>
      <c r="N3047" s="7"/>
      <c r="P3047" s="7"/>
      <c r="R3047" s="7"/>
      <c r="T3047" s="7"/>
      <c r="V3047" s="7"/>
      <c r="X3047" s="7"/>
    </row>
    <row r="3048" spans="2:24">
      <c r="B3048" s="7"/>
      <c r="D3048" s="7"/>
      <c r="F3048" s="7"/>
      <c r="H3048" s="7"/>
      <c r="J3048" s="7"/>
      <c r="L3048" s="7"/>
      <c r="N3048" s="7"/>
      <c r="P3048" s="7"/>
      <c r="R3048" s="7"/>
      <c r="T3048" s="7"/>
      <c r="V3048" s="7"/>
      <c r="X3048" s="7"/>
    </row>
    <row r="3049" spans="2:24">
      <c r="B3049" s="7"/>
      <c r="D3049" s="7"/>
      <c r="F3049" s="7"/>
      <c r="H3049" s="7"/>
      <c r="J3049" s="7"/>
      <c r="L3049" s="7"/>
      <c r="N3049" s="7"/>
      <c r="P3049" s="7"/>
      <c r="R3049" s="7"/>
      <c r="T3049" s="7"/>
      <c r="V3049" s="7"/>
      <c r="X3049" s="7"/>
    </row>
    <row r="3050" spans="2:24">
      <c r="B3050" s="7"/>
      <c r="D3050" s="7"/>
      <c r="F3050" s="7"/>
      <c r="H3050" s="7"/>
      <c r="J3050" s="7"/>
      <c r="L3050" s="7"/>
      <c r="N3050" s="7"/>
      <c r="P3050" s="7"/>
      <c r="R3050" s="7"/>
      <c r="T3050" s="7"/>
      <c r="V3050" s="7"/>
      <c r="X3050" s="7"/>
    </row>
    <row r="3051" spans="2:24">
      <c r="B3051" s="7"/>
      <c r="D3051" s="7"/>
      <c r="F3051" s="7"/>
      <c r="H3051" s="7"/>
      <c r="J3051" s="7"/>
      <c r="L3051" s="7"/>
      <c r="N3051" s="7"/>
      <c r="P3051" s="7"/>
      <c r="R3051" s="7"/>
      <c r="T3051" s="7"/>
      <c r="V3051" s="7"/>
      <c r="X3051" s="7"/>
    </row>
    <row r="3052" spans="2:24">
      <c r="B3052" s="7"/>
      <c r="D3052" s="7"/>
      <c r="F3052" s="7"/>
      <c r="H3052" s="7"/>
      <c r="J3052" s="7"/>
      <c r="L3052" s="7"/>
      <c r="N3052" s="7"/>
      <c r="P3052" s="7"/>
      <c r="R3052" s="7"/>
      <c r="T3052" s="7"/>
      <c r="V3052" s="7"/>
      <c r="X3052" s="7"/>
    </row>
    <row r="3053" spans="2:24">
      <c r="B3053" s="7"/>
      <c r="D3053" s="7"/>
      <c r="F3053" s="7"/>
      <c r="H3053" s="7"/>
      <c r="J3053" s="7"/>
      <c r="L3053" s="7"/>
      <c r="N3053" s="7"/>
      <c r="P3053" s="7"/>
      <c r="R3053" s="7"/>
      <c r="T3053" s="7"/>
      <c r="V3053" s="7"/>
      <c r="X3053" s="7"/>
    </row>
    <row r="3054" spans="2:24">
      <c r="B3054" s="7"/>
      <c r="D3054" s="7"/>
      <c r="F3054" s="7"/>
      <c r="H3054" s="7"/>
      <c r="J3054" s="7"/>
      <c r="L3054" s="7"/>
      <c r="N3054" s="7"/>
      <c r="P3054" s="7"/>
      <c r="R3054" s="7"/>
      <c r="T3054" s="7"/>
      <c r="V3054" s="7"/>
      <c r="X3054" s="7"/>
    </row>
    <row r="3055" spans="2:24">
      <c r="B3055" s="7"/>
      <c r="D3055" s="7"/>
      <c r="F3055" s="7"/>
      <c r="H3055" s="7"/>
      <c r="J3055" s="7"/>
      <c r="L3055" s="7"/>
      <c r="N3055" s="7"/>
      <c r="P3055" s="7"/>
      <c r="R3055" s="7"/>
      <c r="T3055" s="7"/>
      <c r="V3055" s="7"/>
      <c r="X3055" s="7"/>
    </row>
    <row r="3056" spans="2:24">
      <c r="B3056" s="7"/>
      <c r="D3056" s="7"/>
      <c r="F3056" s="7"/>
      <c r="H3056" s="7"/>
      <c r="J3056" s="7"/>
      <c r="L3056" s="7"/>
      <c r="N3056" s="7"/>
      <c r="P3056" s="7"/>
      <c r="R3056" s="7"/>
      <c r="T3056" s="7"/>
      <c r="V3056" s="7"/>
      <c r="X3056" s="7"/>
    </row>
    <row r="3057" spans="2:24">
      <c r="B3057" s="7"/>
      <c r="D3057" s="7"/>
      <c r="F3057" s="7"/>
      <c r="H3057" s="7"/>
      <c r="J3057" s="7"/>
      <c r="L3057" s="7"/>
      <c r="N3057" s="7"/>
      <c r="P3057" s="7"/>
      <c r="R3057" s="7"/>
      <c r="T3057" s="7"/>
      <c r="V3057" s="7"/>
      <c r="X3057" s="7"/>
    </row>
    <row r="3058" spans="2:24">
      <c r="B3058" s="7"/>
      <c r="D3058" s="7"/>
      <c r="F3058" s="7"/>
      <c r="H3058" s="7"/>
      <c r="J3058" s="7"/>
      <c r="L3058" s="7"/>
      <c r="N3058" s="7"/>
      <c r="P3058" s="7"/>
      <c r="R3058" s="7"/>
      <c r="T3058" s="7"/>
      <c r="V3058" s="7"/>
      <c r="X3058" s="7"/>
    </row>
    <row r="3059" spans="2:24">
      <c r="B3059" s="7"/>
      <c r="D3059" s="7"/>
      <c r="F3059" s="7"/>
      <c r="H3059" s="7"/>
      <c r="J3059" s="7"/>
      <c r="L3059" s="7"/>
      <c r="N3059" s="7"/>
      <c r="P3059" s="7"/>
      <c r="R3059" s="7"/>
      <c r="T3059" s="7"/>
      <c r="V3059" s="7"/>
      <c r="X3059" s="7"/>
    </row>
    <row r="3060" spans="2:24">
      <c r="B3060" s="7"/>
      <c r="D3060" s="7"/>
      <c r="F3060" s="7"/>
      <c r="H3060" s="7"/>
      <c r="J3060" s="7"/>
      <c r="L3060" s="7"/>
      <c r="N3060" s="7"/>
      <c r="P3060" s="7"/>
      <c r="R3060" s="7"/>
      <c r="T3060" s="7"/>
      <c r="V3060" s="7"/>
      <c r="X3060" s="7"/>
    </row>
    <row r="3061" spans="2:24">
      <c r="B3061" s="7"/>
      <c r="D3061" s="7"/>
      <c r="F3061" s="7"/>
      <c r="H3061" s="7"/>
      <c r="J3061" s="7"/>
      <c r="L3061" s="7"/>
      <c r="N3061" s="7"/>
      <c r="P3061" s="7"/>
      <c r="R3061" s="7"/>
      <c r="T3061" s="7"/>
      <c r="V3061" s="7"/>
      <c r="X3061" s="7"/>
    </row>
    <row r="3062" spans="2:24">
      <c r="B3062" s="7"/>
      <c r="D3062" s="7"/>
      <c r="F3062" s="7"/>
      <c r="H3062" s="7"/>
      <c r="J3062" s="7"/>
      <c r="L3062" s="7"/>
      <c r="N3062" s="7"/>
      <c r="P3062" s="7"/>
      <c r="R3062" s="7"/>
      <c r="T3062" s="7"/>
      <c r="V3062" s="7"/>
      <c r="X3062" s="7"/>
    </row>
    <row r="3063" spans="2:24">
      <c r="B3063" s="7"/>
      <c r="D3063" s="7"/>
      <c r="F3063" s="7"/>
      <c r="H3063" s="7"/>
      <c r="J3063" s="7"/>
      <c r="L3063" s="7"/>
      <c r="N3063" s="7"/>
      <c r="P3063" s="7"/>
      <c r="R3063" s="7"/>
      <c r="T3063" s="7"/>
      <c r="V3063" s="7"/>
      <c r="X3063" s="7"/>
    </row>
    <row r="3064" spans="2:24">
      <c r="B3064" s="7"/>
      <c r="D3064" s="7"/>
      <c r="F3064" s="7"/>
      <c r="H3064" s="7"/>
      <c r="J3064" s="7"/>
      <c r="L3064" s="7"/>
      <c r="N3064" s="7"/>
      <c r="P3064" s="7"/>
      <c r="R3064" s="7"/>
      <c r="T3064" s="7"/>
      <c r="V3064" s="7"/>
      <c r="X3064" s="7"/>
    </row>
    <row r="3065" spans="2:24">
      <c r="B3065" s="7"/>
      <c r="D3065" s="7"/>
      <c r="F3065" s="7"/>
      <c r="H3065" s="7"/>
      <c r="J3065" s="7"/>
      <c r="L3065" s="7"/>
      <c r="N3065" s="7"/>
      <c r="P3065" s="7"/>
      <c r="R3065" s="7"/>
      <c r="T3065" s="7"/>
      <c r="V3065" s="7"/>
      <c r="X3065" s="7"/>
    </row>
    <row r="3066" spans="2:24">
      <c r="B3066" s="7"/>
      <c r="D3066" s="7"/>
      <c r="F3066" s="7"/>
      <c r="H3066" s="7"/>
      <c r="J3066" s="7"/>
      <c r="L3066" s="7"/>
      <c r="N3066" s="7"/>
      <c r="P3066" s="7"/>
      <c r="R3066" s="7"/>
      <c r="T3066" s="7"/>
      <c r="V3066" s="7"/>
      <c r="X3066" s="7"/>
    </row>
    <row r="3067" spans="2:24">
      <c r="B3067" s="7"/>
      <c r="D3067" s="7"/>
      <c r="F3067" s="7"/>
      <c r="H3067" s="7"/>
      <c r="J3067" s="7"/>
      <c r="L3067" s="7"/>
      <c r="N3067" s="7"/>
      <c r="P3067" s="7"/>
      <c r="R3067" s="7"/>
      <c r="T3067" s="7"/>
      <c r="V3067" s="7"/>
      <c r="X3067" s="7"/>
    </row>
    <row r="3068" spans="2:24">
      <c r="B3068" s="7"/>
      <c r="D3068" s="7"/>
      <c r="F3068" s="7"/>
      <c r="H3068" s="7"/>
      <c r="J3068" s="7"/>
      <c r="L3068" s="7"/>
      <c r="N3068" s="7"/>
      <c r="P3068" s="7"/>
      <c r="R3068" s="7"/>
      <c r="T3068" s="7"/>
      <c r="V3068" s="7"/>
      <c r="X3068" s="7"/>
    </row>
    <row r="3069" spans="2:24">
      <c r="B3069" s="7"/>
      <c r="D3069" s="7"/>
      <c r="F3069" s="7"/>
      <c r="H3069" s="7"/>
      <c r="J3069" s="7"/>
      <c r="L3069" s="7"/>
      <c r="N3069" s="7"/>
      <c r="P3069" s="7"/>
      <c r="R3069" s="7"/>
      <c r="T3069" s="7"/>
      <c r="V3069" s="7"/>
      <c r="X3069" s="7"/>
    </row>
    <row r="3070" spans="2:24">
      <c r="B3070" s="7"/>
      <c r="D3070" s="7"/>
      <c r="F3070" s="7"/>
      <c r="H3070" s="7"/>
      <c r="J3070" s="7"/>
      <c r="L3070" s="7"/>
      <c r="N3070" s="7"/>
      <c r="P3070" s="7"/>
      <c r="R3070" s="7"/>
      <c r="T3070" s="7"/>
      <c r="V3070" s="7"/>
      <c r="X3070" s="7"/>
    </row>
    <row r="3071" spans="2:24">
      <c r="B3071" s="7"/>
      <c r="D3071" s="7"/>
      <c r="F3071" s="7"/>
      <c r="H3071" s="7"/>
      <c r="J3071" s="7"/>
      <c r="L3071" s="7"/>
      <c r="N3071" s="7"/>
      <c r="P3071" s="7"/>
      <c r="R3071" s="7"/>
      <c r="T3071" s="7"/>
      <c r="V3071" s="7"/>
      <c r="X3071" s="7"/>
    </row>
    <row r="3072" spans="2:24">
      <c r="B3072" s="7"/>
      <c r="D3072" s="7"/>
      <c r="F3072" s="7"/>
      <c r="H3072" s="7"/>
      <c r="J3072" s="7"/>
      <c r="L3072" s="7"/>
      <c r="N3072" s="7"/>
      <c r="P3072" s="7"/>
      <c r="R3072" s="7"/>
      <c r="T3072" s="7"/>
      <c r="V3072" s="7"/>
      <c r="X3072" s="7"/>
    </row>
    <row r="3073" spans="2:24">
      <c r="B3073" s="7"/>
      <c r="D3073" s="7"/>
      <c r="F3073" s="7"/>
      <c r="H3073" s="7"/>
      <c r="J3073" s="7"/>
      <c r="L3073" s="7"/>
      <c r="N3073" s="7"/>
      <c r="P3073" s="7"/>
      <c r="R3073" s="7"/>
      <c r="T3073" s="7"/>
      <c r="V3073" s="7"/>
      <c r="X3073" s="7"/>
    </row>
    <row r="3074" spans="2:24">
      <c r="B3074" s="7"/>
      <c r="D3074" s="7"/>
      <c r="F3074" s="7"/>
      <c r="H3074" s="7"/>
      <c r="J3074" s="7"/>
      <c r="L3074" s="7"/>
      <c r="N3074" s="7"/>
      <c r="P3074" s="7"/>
      <c r="R3074" s="7"/>
      <c r="T3074" s="7"/>
      <c r="V3074" s="7"/>
      <c r="X3074" s="7"/>
    </row>
    <row r="3075" spans="2:24">
      <c r="B3075" s="7"/>
      <c r="D3075" s="7"/>
      <c r="F3075" s="7"/>
      <c r="H3075" s="7"/>
      <c r="J3075" s="7"/>
      <c r="L3075" s="7"/>
      <c r="N3075" s="7"/>
      <c r="P3075" s="7"/>
      <c r="R3075" s="7"/>
      <c r="T3075" s="7"/>
      <c r="V3075" s="7"/>
      <c r="X3075" s="7"/>
    </row>
    <row r="3076" spans="2:24">
      <c r="B3076" s="7"/>
      <c r="D3076" s="7"/>
      <c r="F3076" s="7"/>
      <c r="H3076" s="7"/>
      <c r="J3076" s="7"/>
      <c r="L3076" s="7"/>
      <c r="N3076" s="7"/>
      <c r="P3076" s="7"/>
      <c r="R3076" s="7"/>
      <c r="T3076" s="7"/>
      <c r="V3076" s="7"/>
      <c r="X3076" s="7"/>
    </row>
    <row r="3077" spans="2:24">
      <c r="B3077" s="7"/>
      <c r="D3077" s="7"/>
      <c r="F3077" s="7"/>
      <c r="H3077" s="7"/>
      <c r="J3077" s="7"/>
      <c r="L3077" s="7"/>
      <c r="N3077" s="7"/>
      <c r="P3077" s="7"/>
      <c r="R3077" s="7"/>
      <c r="T3077" s="7"/>
      <c r="V3077" s="7"/>
      <c r="X3077" s="7"/>
    </row>
    <row r="3078" spans="2:24">
      <c r="B3078" s="7"/>
      <c r="D3078" s="7"/>
      <c r="F3078" s="7"/>
      <c r="H3078" s="7"/>
      <c r="J3078" s="7"/>
      <c r="L3078" s="7"/>
      <c r="N3078" s="7"/>
      <c r="P3078" s="7"/>
      <c r="R3078" s="7"/>
      <c r="T3078" s="7"/>
      <c r="V3078" s="7"/>
      <c r="X3078" s="7"/>
    </row>
    <row r="3079" spans="2:24">
      <c r="B3079" s="7"/>
      <c r="D3079" s="7"/>
      <c r="F3079" s="7"/>
      <c r="H3079" s="7"/>
      <c r="J3079" s="7"/>
      <c r="L3079" s="7"/>
      <c r="N3079" s="7"/>
      <c r="P3079" s="7"/>
      <c r="R3079" s="7"/>
      <c r="T3079" s="7"/>
      <c r="V3079" s="7"/>
      <c r="X3079" s="7"/>
    </row>
    <row r="3080" spans="2:24">
      <c r="B3080" s="7"/>
      <c r="D3080" s="7"/>
      <c r="F3080" s="7"/>
      <c r="H3080" s="7"/>
      <c r="J3080" s="7"/>
      <c r="L3080" s="7"/>
      <c r="N3080" s="7"/>
      <c r="P3080" s="7"/>
      <c r="R3080" s="7"/>
      <c r="T3080" s="7"/>
      <c r="V3080" s="7"/>
      <c r="X3080" s="7"/>
    </row>
    <row r="3081" spans="2:24">
      <c r="B3081" s="7"/>
      <c r="D3081" s="7"/>
      <c r="F3081" s="7"/>
      <c r="H3081" s="7"/>
      <c r="J3081" s="7"/>
      <c r="L3081" s="7"/>
      <c r="N3081" s="7"/>
      <c r="P3081" s="7"/>
      <c r="R3081" s="7"/>
      <c r="T3081" s="7"/>
      <c r="V3081" s="7"/>
      <c r="X3081" s="7"/>
    </row>
    <row r="3082" spans="2:24">
      <c r="B3082" s="7"/>
      <c r="D3082" s="7"/>
      <c r="F3082" s="7"/>
      <c r="H3082" s="7"/>
      <c r="J3082" s="7"/>
      <c r="L3082" s="7"/>
      <c r="N3082" s="7"/>
      <c r="P3082" s="7"/>
      <c r="R3082" s="7"/>
      <c r="T3082" s="7"/>
      <c r="V3082" s="7"/>
      <c r="X3082" s="7"/>
    </row>
    <row r="3083" spans="2:24">
      <c r="B3083" s="7"/>
      <c r="D3083" s="7"/>
      <c r="F3083" s="7"/>
      <c r="H3083" s="7"/>
      <c r="J3083" s="7"/>
      <c r="L3083" s="7"/>
      <c r="N3083" s="7"/>
      <c r="P3083" s="7"/>
      <c r="R3083" s="7"/>
      <c r="T3083" s="7"/>
      <c r="V3083" s="7"/>
      <c r="X3083" s="7"/>
    </row>
    <row r="3084" spans="2:24">
      <c r="B3084" s="7"/>
      <c r="D3084" s="7"/>
      <c r="F3084" s="7"/>
      <c r="H3084" s="7"/>
      <c r="J3084" s="7"/>
      <c r="L3084" s="7"/>
      <c r="N3084" s="7"/>
      <c r="P3084" s="7"/>
      <c r="R3084" s="7"/>
      <c r="T3084" s="7"/>
      <c r="V3084" s="7"/>
      <c r="X3084" s="7"/>
    </row>
    <row r="3085" spans="2:24">
      <c r="B3085" s="7"/>
      <c r="D3085" s="7"/>
      <c r="F3085" s="7"/>
      <c r="H3085" s="7"/>
      <c r="J3085" s="7"/>
      <c r="L3085" s="7"/>
      <c r="N3085" s="7"/>
      <c r="P3085" s="7"/>
      <c r="R3085" s="7"/>
      <c r="T3085" s="7"/>
      <c r="V3085" s="7"/>
      <c r="X3085" s="7"/>
    </row>
    <row r="3086" spans="2:24">
      <c r="B3086" s="7"/>
      <c r="D3086" s="7"/>
      <c r="F3086" s="7"/>
      <c r="H3086" s="7"/>
      <c r="J3086" s="7"/>
      <c r="L3086" s="7"/>
      <c r="N3086" s="7"/>
      <c r="P3086" s="7"/>
      <c r="R3086" s="7"/>
      <c r="T3086" s="7"/>
      <c r="V3086" s="7"/>
      <c r="X3086" s="7"/>
    </row>
    <row r="3087" spans="2:24">
      <c r="B3087" s="7"/>
      <c r="D3087" s="7"/>
      <c r="F3087" s="7"/>
      <c r="H3087" s="7"/>
      <c r="J3087" s="7"/>
      <c r="L3087" s="7"/>
      <c r="N3087" s="7"/>
      <c r="P3087" s="7"/>
      <c r="R3087" s="7"/>
      <c r="T3087" s="7"/>
      <c r="V3087" s="7"/>
      <c r="X3087" s="7"/>
    </row>
    <row r="3088" spans="2:24">
      <c r="B3088" s="7"/>
      <c r="D3088" s="7"/>
      <c r="F3088" s="7"/>
      <c r="H3088" s="7"/>
      <c r="J3088" s="7"/>
      <c r="L3088" s="7"/>
      <c r="N3088" s="7"/>
      <c r="P3088" s="7"/>
      <c r="R3088" s="7"/>
      <c r="T3088" s="7"/>
      <c r="V3088" s="7"/>
      <c r="X3088" s="7"/>
    </row>
    <row r="3089" spans="2:24">
      <c r="B3089" s="7"/>
      <c r="D3089" s="7"/>
      <c r="F3089" s="7"/>
      <c r="H3089" s="7"/>
      <c r="J3089" s="7"/>
      <c r="L3089" s="7"/>
      <c r="N3089" s="7"/>
      <c r="P3089" s="7"/>
      <c r="R3089" s="7"/>
      <c r="T3089" s="7"/>
      <c r="V3089" s="7"/>
      <c r="X3089" s="7"/>
    </row>
    <row r="3090" spans="2:24">
      <c r="B3090" s="7"/>
      <c r="D3090" s="7"/>
      <c r="F3090" s="7"/>
      <c r="H3090" s="7"/>
      <c r="J3090" s="7"/>
      <c r="L3090" s="7"/>
      <c r="N3090" s="7"/>
      <c r="P3090" s="7"/>
      <c r="R3090" s="7"/>
      <c r="T3090" s="7"/>
      <c r="V3090" s="7"/>
      <c r="X3090" s="7"/>
    </row>
    <row r="3091" spans="2:24">
      <c r="B3091" s="7"/>
      <c r="D3091" s="7"/>
      <c r="F3091" s="7"/>
      <c r="H3091" s="7"/>
      <c r="J3091" s="7"/>
      <c r="L3091" s="7"/>
      <c r="N3091" s="7"/>
      <c r="P3091" s="7"/>
      <c r="R3091" s="7"/>
      <c r="T3091" s="7"/>
      <c r="V3091" s="7"/>
      <c r="X3091" s="7"/>
    </row>
    <row r="3092" spans="2:24">
      <c r="B3092" s="7"/>
      <c r="D3092" s="7"/>
      <c r="F3092" s="7"/>
      <c r="H3092" s="7"/>
      <c r="J3092" s="7"/>
      <c r="L3092" s="7"/>
      <c r="N3092" s="7"/>
      <c r="P3092" s="7"/>
      <c r="R3092" s="7"/>
      <c r="T3092" s="7"/>
      <c r="V3092" s="7"/>
      <c r="X3092" s="7"/>
    </row>
    <row r="3093" spans="2:24">
      <c r="B3093" s="7"/>
      <c r="D3093" s="7"/>
      <c r="F3093" s="7"/>
      <c r="H3093" s="7"/>
      <c r="J3093" s="7"/>
      <c r="L3093" s="7"/>
      <c r="N3093" s="7"/>
      <c r="P3093" s="7"/>
      <c r="R3093" s="7"/>
      <c r="T3093" s="7"/>
      <c r="V3093" s="7"/>
      <c r="X3093" s="7"/>
    </row>
    <row r="3094" spans="2:24">
      <c r="B3094" s="7"/>
      <c r="D3094" s="7"/>
      <c r="F3094" s="7"/>
      <c r="H3094" s="7"/>
      <c r="J3094" s="7"/>
      <c r="L3094" s="7"/>
      <c r="N3094" s="7"/>
      <c r="P3094" s="7"/>
      <c r="R3094" s="7"/>
      <c r="T3094" s="7"/>
      <c r="V3094" s="7"/>
      <c r="X3094" s="7"/>
    </row>
    <row r="3095" spans="2:24">
      <c r="B3095" s="7"/>
      <c r="D3095" s="7"/>
      <c r="F3095" s="7"/>
      <c r="H3095" s="7"/>
      <c r="J3095" s="7"/>
      <c r="L3095" s="7"/>
      <c r="N3095" s="7"/>
      <c r="P3095" s="7"/>
      <c r="R3095" s="7"/>
      <c r="T3095" s="7"/>
      <c r="V3095" s="7"/>
      <c r="X3095" s="7"/>
    </row>
    <row r="3096" spans="2:24">
      <c r="B3096" s="7"/>
      <c r="D3096" s="7"/>
      <c r="F3096" s="7"/>
      <c r="H3096" s="7"/>
      <c r="J3096" s="7"/>
      <c r="L3096" s="7"/>
      <c r="N3096" s="7"/>
      <c r="P3096" s="7"/>
      <c r="R3096" s="7"/>
      <c r="T3096" s="7"/>
      <c r="V3096" s="7"/>
      <c r="X3096" s="7"/>
    </row>
    <row r="3097" spans="2:24">
      <c r="B3097" s="7"/>
      <c r="D3097" s="7"/>
      <c r="F3097" s="7"/>
      <c r="H3097" s="7"/>
      <c r="J3097" s="7"/>
      <c r="L3097" s="7"/>
      <c r="N3097" s="7"/>
      <c r="P3097" s="7"/>
      <c r="R3097" s="7"/>
      <c r="T3097" s="7"/>
      <c r="V3097" s="7"/>
      <c r="X3097" s="7"/>
    </row>
    <row r="3098" spans="2:24">
      <c r="B3098" s="7"/>
      <c r="D3098" s="7"/>
      <c r="F3098" s="7"/>
      <c r="H3098" s="7"/>
      <c r="J3098" s="7"/>
      <c r="L3098" s="7"/>
      <c r="N3098" s="7"/>
      <c r="P3098" s="7"/>
      <c r="R3098" s="7"/>
      <c r="T3098" s="7"/>
      <c r="V3098" s="7"/>
      <c r="X3098" s="7"/>
    </row>
    <row r="3099" spans="2:24">
      <c r="B3099" s="7"/>
      <c r="D3099" s="7"/>
      <c r="F3099" s="7"/>
      <c r="H3099" s="7"/>
      <c r="J3099" s="7"/>
      <c r="L3099" s="7"/>
      <c r="N3099" s="7"/>
      <c r="P3099" s="7"/>
      <c r="R3099" s="7"/>
      <c r="T3099" s="7"/>
      <c r="V3099" s="7"/>
      <c r="X3099" s="7"/>
    </row>
    <row r="3100" spans="2:24">
      <c r="B3100" s="7"/>
      <c r="D3100" s="7"/>
      <c r="F3100" s="7"/>
      <c r="H3100" s="7"/>
      <c r="J3100" s="7"/>
      <c r="L3100" s="7"/>
      <c r="N3100" s="7"/>
      <c r="P3100" s="7"/>
      <c r="R3100" s="7"/>
      <c r="T3100" s="7"/>
      <c r="V3100" s="7"/>
      <c r="X3100" s="7"/>
    </row>
    <row r="3101" spans="2:24">
      <c r="B3101" s="7"/>
      <c r="D3101" s="7"/>
      <c r="F3101" s="7"/>
      <c r="H3101" s="7"/>
      <c r="J3101" s="7"/>
      <c r="L3101" s="7"/>
      <c r="N3101" s="7"/>
      <c r="P3101" s="7"/>
      <c r="R3101" s="7"/>
      <c r="T3101" s="7"/>
      <c r="V3101" s="7"/>
      <c r="X3101" s="7"/>
    </row>
    <row r="3102" spans="2:24">
      <c r="B3102" s="7"/>
      <c r="D3102" s="7"/>
      <c r="F3102" s="7"/>
      <c r="H3102" s="7"/>
      <c r="J3102" s="7"/>
      <c r="L3102" s="7"/>
      <c r="N3102" s="7"/>
      <c r="P3102" s="7"/>
      <c r="R3102" s="7"/>
      <c r="T3102" s="7"/>
      <c r="V3102" s="7"/>
      <c r="X3102" s="7"/>
    </row>
    <row r="3103" spans="2:24">
      <c r="B3103" s="7"/>
      <c r="D3103" s="7"/>
      <c r="F3103" s="7"/>
      <c r="H3103" s="7"/>
      <c r="J3103" s="7"/>
      <c r="L3103" s="7"/>
      <c r="N3103" s="7"/>
      <c r="P3103" s="7"/>
      <c r="R3103" s="7"/>
      <c r="T3103" s="7"/>
      <c r="V3103" s="7"/>
      <c r="X3103" s="7"/>
    </row>
    <row r="3104" spans="2:24">
      <c r="B3104" s="7"/>
      <c r="D3104" s="7"/>
      <c r="F3104" s="7"/>
      <c r="H3104" s="7"/>
      <c r="J3104" s="7"/>
      <c r="L3104" s="7"/>
      <c r="N3104" s="7"/>
      <c r="P3104" s="7"/>
      <c r="R3104" s="7"/>
      <c r="T3104" s="7"/>
      <c r="V3104" s="7"/>
      <c r="X3104" s="7"/>
    </row>
    <row r="3105" spans="2:24">
      <c r="B3105" s="7"/>
      <c r="D3105" s="7"/>
      <c r="F3105" s="7"/>
      <c r="H3105" s="7"/>
      <c r="J3105" s="7"/>
      <c r="L3105" s="7"/>
      <c r="N3105" s="7"/>
      <c r="P3105" s="7"/>
      <c r="R3105" s="7"/>
      <c r="T3105" s="7"/>
      <c r="V3105" s="7"/>
      <c r="X3105" s="7"/>
    </row>
    <row r="3106" spans="2:24">
      <c r="B3106" s="7"/>
      <c r="D3106" s="7"/>
      <c r="F3106" s="7"/>
      <c r="H3106" s="7"/>
      <c r="J3106" s="7"/>
      <c r="L3106" s="7"/>
      <c r="N3106" s="7"/>
      <c r="P3106" s="7"/>
      <c r="R3106" s="7"/>
      <c r="T3106" s="7"/>
      <c r="V3106" s="7"/>
      <c r="X3106" s="7"/>
    </row>
    <row r="3107" spans="2:24">
      <c r="B3107" s="7"/>
      <c r="D3107" s="7"/>
      <c r="F3107" s="7"/>
      <c r="H3107" s="7"/>
      <c r="J3107" s="7"/>
      <c r="L3107" s="7"/>
      <c r="N3107" s="7"/>
      <c r="P3107" s="7"/>
      <c r="R3107" s="7"/>
      <c r="T3107" s="7"/>
      <c r="V3107" s="7"/>
      <c r="X3107" s="7"/>
    </row>
    <row r="3108" spans="2:24">
      <c r="B3108" s="7"/>
      <c r="D3108" s="7"/>
      <c r="F3108" s="7"/>
      <c r="H3108" s="7"/>
      <c r="J3108" s="7"/>
      <c r="L3108" s="7"/>
      <c r="N3108" s="7"/>
      <c r="P3108" s="7"/>
      <c r="R3108" s="7"/>
      <c r="T3108" s="7"/>
      <c r="V3108" s="7"/>
      <c r="X3108" s="7"/>
    </row>
    <row r="3109" spans="2:24">
      <c r="B3109" s="7"/>
      <c r="D3109" s="7"/>
      <c r="F3109" s="7"/>
      <c r="H3109" s="7"/>
      <c r="J3109" s="7"/>
      <c r="L3109" s="7"/>
      <c r="N3109" s="7"/>
      <c r="P3109" s="7"/>
      <c r="R3109" s="7"/>
      <c r="T3109" s="7"/>
      <c r="V3109" s="7"/>
      <c r="X3109" s="7"/>
    </row>
    <row r="3110" spans="2:24">
      <c r="B3110" s="7"/>
      <c r="D3110" s="7"/>
      <c r="F3110" s="7"/>
      <c r="H3110" s="7"/>
      <c r="J3110" s="7"/>
      <c r="L3110" s="7"/>
      <c r="N3110" s="7"/>
      <c r="P3110" s="7"/>
      <c r="R3110" s="7"/>
      <c r="T3110" s="7"/>
      <c r="V3110" s="7"/>
      <c r="X3110" s="7"/>
    </row>
    <row r="3111" spans="2:24">
      <c r="B3111" s="7"/>
      <c r="D3111" s="7"/>
      <c r="F3111" s="7"/>
      <c r="H3111" s="7"/>
      <c r="J3111" s="7"/>
      <c r="L3111" s="7"/>
      <c r="N3111" s="7"/>
      <c r="P3111" s="7"/>
      <c r="R3111" s="7"/>
      <c r="T3111" s="7"/>
      <c r="V3111" s="7"/>
      <c r="X3111" s="7"/>
    </row>
    <row r="3112" spans="2:24">
      <c r="B3112" s="7"/>
      <c r="D3112" s="7"/>
      <c r="F3112" s="7"/>
      <c r="H3112" s="7"/>
      <c r="J3112" s="7"/>
      <c r="L3112" s="7"/>
      <c r="N3112" s="7"/>
      <c r="P3112" s="7"/>
      <c r="R3112" s="7"/>
      <c r="T3112" s="7"/>
      <c r="V3112" s="7"/>
      <c r="X3112" s="7"/>
    </row>
    <row r="3113" spans="2:24">
      <c r="B3113" s="7"/>
      <c r="D3113" s="7"/>
      <c r="F3113" s="7"/>
      <c r="H3113" s="7"/>
      <c r="J3113" s="7"/>
      <c r="L3113" s="7"/>
      <c r="N3113" s="7"/>
      <c r="P3113" s="7"/>
      <c r="R3113" s="7"/>
      <c r="T3113" s="7"/>
      <c r="V3113" s="7"/>
      <c r="X3113" s="7"/>
    </row>
    <row r="3114" spans="2:24">
      <c r="B3114" s="7"/>
      <c r="D3114" s="7"/>
      <c r="F3114" s="7"/>
      <c r="H3114" s="7"/>
      <c r="J3114" s="7"/>
      <c r="L3114" s="7"/>
      <c r="N3114" s="7"/>
      <c r="P3114" s="7"/>
      <c r="R3114" s="7"/>
      <c r="T3114" s="7"/>
      <c r="V3114" s="7"/>
      <c r="X3114" s="7"/>
    </row>
    <row r="3115" spans="2:24">
      <c r="B3115" s="7"/>
      <c r="D3115" s="7"/>
      <c r="F3115" s="7"/>
      <c r="H3115" s="7"/>
      <c r="J3115" s="7"/>
      <c r="L3115" s="7"/>
      <c r="N3115" s="7"/>
      <c r="P3115" s="7"/>
      <c r="R3115" s="7"/>
      <c r="T3115" s="7"/>
      <c r="V3115" s="7"/>
      <c r="X3115" s="7"/>
    </row>
    <row r="3116" spans="2:24">
      <c r="B3116" s="7"/>
      <c r="D3116" s="7"/>
      <c r="F3116" s="7"/>
      <c r="H3116" s="7"/>
      <c r="J3116" s="7"/>
      <c r="L3116" s="7"/>
      <c r="N3116" s="7"/>
      <c r="P3116" s="7"/>
      <c r="R3116" s="7"/>
      <c r="T3116" s="7"/>
      <c r="V3116" s="7"/>
      <c r="X3116" s="7"/>
    </row>
    <row r="3117" spans="2:24">
      <c r="B3117" s="7"/>
      <c r="D3117" s="7"/>
      <c r="F3117" s="7"/>
      <c r="H3117" s="7"/>
      <c r="J3117" s="7"/>
      <c r="L3117" s="7"/>
      <c r="N3117" s="7"/>
      <c r="P3117" s="7"/>
      <c r="R3117" s="7"/>
      <c r="T3117" s="7"/>
      <c r="V3117" s="7"/>
      <c r="X3117" s="7"/>
    </row>
    <row r="3118" spans="2:24">
      <c r="B3118" s="7"/>
      <c r="D3118" s="7"/>
      <c r="F3118" s="7"/>
      <c r="H3118" s="7"/>
      <c r="J3118" s="7"/>
      <c r="L3118" s="7"/>
      <c r="N3118" s="7"/>
      <c r="P3118" s="7"/>
      <c r="R3118" s="7"/>
      <c r="T3118" s="7"/>
      <c r="V3118" s="7"/>
      <c r="X3118" s="7"/>
    </row>
    <row r="3119" spans="2:24">
      <c r="B3119" s="7"/>
      <c r="D3119" s="7"/>
      <c r="F3119" s="7"/>
      <c r="H3119" s="7"/>
      <c r="J3119" s="7"/>
      <c r="L3119" s="7"/>
      <c r="N3119" s="7"/>
      <c r="P3119" s="7"/>
      <c r="R3119" s="7"/>
      <c r="T3119" s="7"/>
      <c r="V3119" s="7"/>
      <c r="X3119" s="7"/>
    </row>
    <row r="3120" spans="2:24">
      <c r="B3120" s="7"/>
      <c r="D3120" s="7"/>
      <c r="F3120" s="7"/>
      <c r="H3120" s="7"/>
      <c r="J3120" s="7"/>
      <c r="L3120" s="7"/>
      <c r="N3120" s="7"/>
      <c r="P3120" s="7"/>
      <c r="R3120" s="7"/>
      <c r="T3120" s="7"/>
      <c r="V3120" s="7"/>
      <c r="X3120" s="7"/>
    </row>
    <row r="3121" spans="2:24">
      <c r="B3121" s="7"/>
      <c r="D3121" s="7"/>
      <c r="F3121" s="7"/>
      <c r="H3121" s="7"/>
      <c r="J3121" s="7"/>
      <c r="L3121" s="7"/>
      <c r="N3121" s="7"/>
      <c r="P3121" s="7"/>
      <c r="R3121" s="7"/>
      <c r="T3121" s="7"/>
      <c r="V3121" s="7"/>
      <c r="X3121" s="7"/>
    </row>
    <row r="3122" spans="2:24">
      <c r="B3122" s="7"/>
      <c r="D3122" s="7"/>
      <c r="F3122" s="7"/>
      <c r="H3122" s="7"/>
      <c r="J3122" s="7"/>
      <c r="L3122" s="7"/>
      <c r="N3122" s="7"/>
      <c r="P3122" s="7"/>
      <c r="R3122" s="7"/>
      <c r="T3122" s="7"/>
      <c r="V3122" s="7"/>
      <c r="X3122" s="7"/>
    </row>
    <row r="3123" spans="2:24">
      <c r="B3123" s="7"/>
      <c r="D3123" s="7"/>
      <c r="F3123" s="7"/>
      <c r="H3123" s="7"/>
      <c r="J3123" s="7"/>
      <c r="L3123" s="7"/>
      <c r="N3123" s="7"/>
      <c r="P3123" s="7"/>
      <c r="R3123" s="7"/>
      <c r="T3123" s="7"/>
      <c r="V3123" s="7"/>
      <c r="X3123" s="7"/>
    </row>
    <row r="3124" spans="2:24">
      <c r="B3124" s="7"/>
      <c r="D3124" s="7"/>
      <c r="F3124" s="7"/>
      <c r="H3124" s="7"/>
      <c r="J3124" s="7"/>
      <c r="L3124" s="7"/>
      <c r="N3124" s="7"/>
      <c r="P3124" s="7"/>
      <c r="R3124" s="7"/>
      <c r="T3124" s="7"/>
      <c r="V3124" s="7"/>
      <c r="X3124" s="7"/>
    </row>
    <row r="3125" spans="2:24">
      <c r="B3125" s="7"/>
      <c r="D3125" s="7"/>
      <c r="F3125" s="7"/>
      <c r="H3125" s="7"/>
      <c r="J3125" s="7"/>
      <c r="L3125" s="7"/>
      <c r="N3125" s="7"/>
      <c r="P3125" s="7"/>
      <c r="R3125" s="7"/>
      <c r="T3125" s="7"/>
      <c r="V3125" s="7"/>
      <c r="X3125" s="7"/>
    </row>
    <row r="3126" spans="2:24">
      <c r="B3126" s="7"/>
      <c r="D3126" s="7"/>
      <c r="F3126" s="7"/>
      <c r="H3126" s="7"/>
      <c r="J3126" s="7"/>
      <c r="L3126" s="7"/>
      <c r="N3126" s="7"/>
      <c r="P3126" s="7"/>
      <c r="R3126" s="7"/>
      <c r="T3126" s="7"/>
      <c r="V3126" s="7"/>
      <c r="X3126" s="7"/>
    </row>
    <row r="3127" spans="2:24">
      <c r="B3127" s="7"/>
      <c r="D3127" s="7"/>
      <c r="F3127" s="7"/>
      <c r="H3127" s="7"/>
      <c r="J3127" s="7"/>
      <c r="L3127" s="7"/>
      <c r="N3127" s="7"/>
      <c r="P3127" s="7"/>
      <c r="R3127" s="7"/>
      <c r="T3127" s="7"/>
      <c r="V3127" s="7"/>
      <c r="X3127" s="7"/>
    </row>
    <row r="3128" spans="2:24">
      <c r="B3128" s="7"/>
      <c r="D3128" s="7"/>
      <c r="F3128" s="7"/>
      <c r="H3128" s="7"/>
      <c r="J3128" s="7"/>
      <c r="L3128" s="7"/>
      <c r="N3128" s="7"/>
      <c r="P3128" s="7"/>
      <c r="R3128" s="7"/>
      <c r="T3128" s="7"/>
      <c r="V3128" s="7"/>
      <c r="X3128" s="7"/>
    </row>
    <row r="3129" spans="2:24">
      <c r="B3129" s="7"/>
      <c r="D3129" s="7"/>
      <c r="F3129" s="7"/>
      <c r="H3129" s="7"/>
      <c r="J3129" s="7"/>
      <c r="L3129" s="7"/>
      <c r="N3129" s="7"/>
      <c r="P3129" s="7"/>
      <c r="R3129" s="7"/>
      <c r="T3129" s="7"/>
      <c r="V3129" s="7"/>
      <c r="X3129" s="7"/>
    </row>
    <row r="3130" spans="2:24">
      <c r="B3130" s="7"/>
      <c r="D3130" s="7"/>
      <c r="F3130" s="7"/>
      <c r="H3130" s="7"/>
      <c r="J3130" s="7"/>
      <c r="L3130" s="7"/>
      <c r="N3130" s="7"/>
      <c r="P3130" s="7"/>
      <c r="R3130" s="7"/>
      <c r="T3130" s="7"/>
      <c r="V3130" s="7"/>
      <c r="X3130" s="7"/>
    </row>
    <row r="3131" spans="2:24">
      <c r="B3131" s="7"/>
      <c r="D3131" s="7"/>
      <c r="F3131" s="7"/>
      <c r="H3131" s="7"/>
      <c r="J3131" s="7"/>
      <c r="L3131" s="7"/>
      <c r="N3131" s="7"/>
      <c r="P3131" s="7"/>
      <c r="R3131" s="7"/>
      <c r="T3131" s="7"/>
      <c r="V3131" s="7"/>
      <c r="X3131" s="7"/>
    </row>
    <row r="3132" spans="2:24">
      <c r="B3132" s="7"/>
      <c r="D3132" s="7"/>
      <c r="F3132" s="7"/>
      <c r="H3132" s="7"/>
      <c r="J3132" s="7"/>
      <c r="L3132" s="7"/>
      <c r="N3132" s="7"/>
      <c r="P3132" s="7"/>
      <c r="R3132" s="7"/>
      <c r="T3132" s="7"/>
      <c r="V3132" s="7"/>
      <c r="X3132" s="7"/>
    </row>
    <row r="3133" spans="2:24">
      <c r="B3133" s="7"/>
      <c r="D3133" s="7"/>
      <c r="F3133" s="7"/>
      <c r="H3133" s="7"/>
      <c r="J3133" s="7"/>
      <c r="L3133" s="7"/>
      <c r="N3133" s="7"/>
      <c r="P3133" s="7"/>
      <c r="R3133" s="7"/>
      <c r="T3133" s="7"/>
      <c r="V3133" s="7"/>
      <c r="X3133" s="7"/>
    </row>
    <row r="3134" spans="2:24">
      <c r="B3134" s="7"/>
      <c r="D3134" s="7"/>
      <c r="F3134" s="7"/>
      <c r="H3134" s="7"/>
      <c r="J3134" s="7"/>
      <c r="L3134" s="7"/>
      <c r="N3134" s="7"/>
      <c r="P3134" s="7"/>
      <c r="R3134" s="7"/>
      <c r="T3134" s="7"/>
      <c r="V3134" s="7"/>
      <c r="X3134" s="7"/>
    </row>
    <row r="3135" spans="2:24">
      <c r="B3135" s="7"/>
      <c r="D3135" s="7"/>
      <c r="F3135" s="7"/>
      <c r="H3135" s="7"/>
      <c r="J3135" s="7"/>
      <c r="L3135" s="7"/>
      <c r="N3135" s="7"/>
      <c r="P3135" s="7"/>
      <c r="R3135" s="7"/>
      <c r="T3135" s="7"/>
      <c r="V3135" s="7"/>
      <c r="X3135" s="7"/>
    </row>
    <row r="3136" spans="2:24">
      <c r="B3136" s="7"/>
      <c r="D3136" s="7"/>
      <c r="F3136" s="7"/>
      <c r="H3136" s="7"/>
      <c r="J3136" s="7"/>
      <c r="L3136" s="7"/>
      <c r="N3136" s="7"/>
      <c r="P3136" s="7"/>
      <c r="R3136" s="7"/>
      <c r="T3136" s="7"/>
      <c r="V3136" s="7"/>
      <c r="X3136" s="7"/>
    </row>
    <row r="3137" spans="2:24">
      <c r="B3137" s="7"/>
      <c r="D3137" s="7"/>
      <c r="F3137" s="7"/>
      <c r="H3137" s="7"/>
      <c r="J3137" s="7"/>
      <c r="L3137" s="7"/>
      <c r="N3137" s="7"/>
      <c r="P3137" s="7"/>
      <c r="R3137" s="7"/>
      <c r="T3137" s="7"/>
      <c r="V3137" s="7"/>
      <c r="X3137" s="7"/>
    </row>
    <row r="3138" spans="2:24">
      <c r="B3138" s="7"/>
      <c r="D3138" s="7"/>
      <c r="F3138" s="7"/>
      <c r="H3138" s="7"/>
      <c r="J3138" s="7"/>
      <c r="L3138" s="7"/>
      <c r="N3138" s="7"/>
      <c r="P3138" s="7"/>
      <c r="R3138" s="7"/>
      <c r="T3138" s="7"/>
      <c r="V3138" s="7"/>
      <c r="X3138" s="7"/>
    </row>
    <row r="3139" spans="2:24">
      <c r="B3139" s="7"/>
      <c r="D3139" s="7"/>
      <c r="F3139" s="7"/>
      <c r="H3139" s="7"/>
      <c r="J3139" s="7"/>
      <c r="L3139" s="7"/>
      <c r="N3139" s="7"/>
      <c r="P3139" s="7"/>
      <c r="R3139" s="7"/>
      <c r="T3139" s="7"/>
      <c r="V3139" s="7"/>
      <c r="X3139" s="7"/>
    </row>
    <row r="3140" spans="2:24">
      <c r="B3140" s="7"/>
      <c r="D3140" s="7"/>
      <c r="F3140" s="7"/>
      <c r="H3140" s="7"/>
      <c r="J3140" s="7"/>
      <c r="L3140" s="7"/>
      <c r="N3140" s="7"/>
      <c r="P3140" s="7"/>
      <c r="R3140" s="7"/>
      <c r="T3140" s="7"/>
      <c r="V3140" s="7"/>
      <c r="X3140" s="7"/>
    </row>
    <row r="3141" spans="2:24">
      <c r="B3141" s="7"/>
      <c r="D3141" s="7"/>
      <c r="F3141" s="7"/>
      <c r="H3141" s="7"/>
      <c r="J3141" s="7"/>
      <c r="L3141" s="7"/>
      <c r="N3141" s="7"/>
      <c r="P3141" s="7"/>
      <c r="R3141" s="7"/>
      <c r="T3141" s="7"/>
      <c r="V3141" s="7"/>
      <c r="X3141" s="7"/>
    </row>
    <row r="3142" spans="2:24">
      <c r="B3142" s="7"/>
      <c r="D3142" s="7"/>
      <c r="F3142" s="7"/>
      <c r="H3142" s="7"/>
      <c r="J3142" s="7"/>
      <c r="L3142" s="7"/>
      <c r="N3142" s="7"/>
      <c r="P3142" s="7"/>
      <c r="R3142" s="7"/>
      <c r="T3142" s="7"/>
      <c r="V3142" s="7"/>
      <c r="X3142" s="7"/>
    </row>
    <row r="3143" spans="2:24">
      <c r="B3143" s="7"/>
      <c r="D3143" s="7"/>
      <c r="F3143" s="7"/>
      <c r="H3143" s="7"/>
      <c r="J3143" s="7"/>
      <c r="L3143" s="7"/>
      <c r="N3143" s="7"/>
      <c r="P3143" s="7"/>
      <c r="R3143" s="7"/>
      <c r="T3143" s="7"/>
      <c r="V3143" s="7"/>
      <c r="X3143" s="7"/>
    </row>
    <row r="3144" spans="2:24">
      <c r="B3144" s="7"/>
      <c r="D3144" s="7"/>
      <c r="F3144" s="7"/>
      <c r="H3144" s="7"/>
      <c r="J3144" s="7"/>
      <c r="L3144" s="7"/>
      <c r="N3144" s="7"/>
      <c r="P3144" s="7"/>
      <c r="R3144" s="7"/>
      <c r="T3144" s="7"/>
      <c r="V3144" s="7"/>
      <c r="X3144" s="7"/>
    </row>
    <row r="3145" spans="2:24">
      <c r="B3145" s="7"/>
      <c r="D3145" s="7"/>
      <c r="F3145" s="7"/>
      <c r="H3145" s="7"/>
      <c r="J3145" s="7"/>
      <c r="L3145" s="7"/>
      <c r="N3145" s="7"/>
      <c r="P3145" s="7"/>
      <c r="R3145" s="7"/>
      <c r="T3145" s="7"/>
      <c r="V3145" s="7"/>
      <c r="X3145" s="7"/>
    </row>
    <row r="3146" spans="2:24">
      <c r="B3146" s="7"/>
      <c r="D3146" s="7"/>
      <c r="F3146" s="7"/>
      <c r="H3146" s="7"/>
      <c r="J3146" s="7"/>
      <c r="L3146" s="7"/>
      <c r="N3146" s="7"/>
      <c r="P3146" s="7"/>
      <c r="R3146" s="7"/>
      <c r="T3146" s="7"/>
      <c r="V3146" s="7"/>
      <c r="X3146" s="7"/>
    </row>
    <row r="3147" spans="2:24">
      <c r="B3147" s="7"/>
      <c r="D3147" s="7"/>
      <c r="F3147" s="7"/>
      <c r="H3147" s="7"/>
      <c r="J3147" s="7"/>
      <c r="L3147" s="7"/>
      <c r="N3147" s="7"/>
      <c r="P3147" s="7"/>
      <c r="R3147" s="7"/>
      <c r="T3147" s="7"/>
      <c r="V3147" s="7"/>
      <c r="X3147" s="7"/>
    </row>
    <row r="3148" spans="2:24">
      <c r="B3148" s="7"/>
      <c r="D3148" s="7"/>
      <c r="F3148" s="7"/>
      <c r="H3148" s="7"/>
      <c r="J3148" s="7"/>
      <c r="L3148" s="7"/>
      <c r="N3148" s="7"/>
      <c r="P3148" s="7"/>
      <c r="R3148" s="7"/>
      <c r="T3148" s="7"/>
      <c r="V3148" s="7"/>
      <c r="X3148" s="7"/>
    </row>
    <row r="3149" spans="2:24">
      <c r="B3149" s="7"/>
      <c r="D3149" s="7"/>
      <c r="F3149" s="7"/>
      <c r="H3149" s="7"/>
      <c r="J3149" s="7"/>
      <c r="L3149" s="7"/>
      <c r="N3149" s="7"/>
      <c r="P3149" s="7"/>
      <c r="R3149" s="7"/>
      <c r="T3149" s="7"/>
      <c r="V3149" s="7"/>
      <c r="X3149" s="7"/>
    </row>
    <row r="3150" spans="2:24">
      <c r="B3150" s="7"/>
      <c r="D3150" s="7"/>
      <c r="F3150" s="7"/>
      <c r="H3150" s="7"/>
      <c r="J3150" s="7"/>
      <c r="L3150" s="7"/>
      <c r="N3150" s="7"/>
      <c r="P3150" s="7"/>
      <c r="R3150" s="7"/>
      <c r="T3150" s="7"/>
      <c r="V3150" s="7"/>
      <c r="X3150" s="7"/>
    </row>
    <row r="3151" spans="2:24">
      <c r="B3151" s="7"/>
      <c r="D3151" s="7"/>
      <c r="F3151" s="7"/>
      <c r="H3151" s="7"/>
      <c r="J3151" s="7"/>
      <c r="L3151" s="7"/>
      <c r="N3151" s="7"/>
      <c r="P3151" s="7"/>
      <c r="R3151" s="7"/>
      <c r="T3151" s="7"/>
      <c r="V3151" s="7"/>
      <c r="X3151" s="7"/>
    </row>
    <row r="3152" spans="2:24">
      <c r="B3152" s="7"/>
      <c r="D3152" s="7"/>
      <c r="F3152" s="7"/>
      <c r="H3152" s="7"/>
      <c r="J3152" s="7"/>
      <c r="L3152" s="7"/>
      <c r="N3152" s="7"/>
      <c r="P3152" s="7"/>
      <c r="R3152" s="7"/>
      <c r="T3152" s="7"/>
      <c r="V3152" s="7"/>
      <c r="X3152" s="7"/>
    </row>
    <row r="3153" spans="2:24">
      <c r="B3153" s="7"/>
      <c r="D3153" s="7"/>
      <c r="F3153" s="7"/>
      <c r="H3153" s="7"/>
      <c r="J3153" s="7"/>
      <c r="L3153" s="7"/>
      <c r="N3153" s="7"/>
      <c r="P3153" s="7"/>
      <c r="R3153" s="7"/>
      <c r="T3153" s="7"/>
      <c r="V3153" s="7"/>
      <c r="X3153" s="7"/>
    </row>
    <row r="3154" spans="2:24">
      <c r="B3154" s="7"/>
      <c r="D3154" s="7"/>
      <c r="F3154" s="7"/>
      <c r="H3154" s="7"/>
      <c r="J3154" s="7"/>
      <c r="L3154" s="7"/>
      <c r="N3154" s="7"/>
      <c r="P3154" s="7"/>
      <c r="R3154" s="7"/>
      <c r="T3154" s="7"/>
      <c r="V3154" s="7"/>
      <c r="X3154" s="7"/>
    </row>
    <row r="3155" spans="2:24">
      <c r="B3155" s="7"/>
      <c r="D3155" s="7"/>
      <c r="F3155" s="7"/>
      <c r="H3155" s="7"/>
      <c r="J3155" s="7"/>
      <c r="L3155" s="7"/>
      <c r="N3155" s="7"/>
      <c r="P3155" s="7"/>
      <c r="R3155" s="7"/>
      <c r="T3155" s="7"/>
      <c r="V3155" s="7"/>
      <c r="X3155" s="7"/>
    </row>
    <row r="3156" spans="2:24">
      <c r="B3156" s="7"/>
      <c r="D3156" s="7"/>
      <c r="F3156" s="7"/>
      <c r="H3156" s="7"/>
      <c r="J3156" s="7"/>
      <c r="L3156" s="7"/>
      <c r="N3156" s="7"/>
      <c r="P3156" s="7"/>
      <c r="R3156" s="7"/>
      <c r="T3156" s="7"/>
      <c r="V3156" s="7"/>
      <c r="X3156" s="7"/>
    </row>
    <row r="3157" spans="2:24">
      <c r="B3157" s="7"/>
      <c r="D3157" s="7"/>
      <c r="F3157" s="7"/>
      <c r="H3157" s="7"/>
      <c r="J3157" s="7"/>
      <c r="L3157" s="7"/>
      <c r="N3157" s="7"/>
      <c r="P3157" s="7"/>
      <c r="R3157" s="7"/>
      <c r="T3157" s="7"/>
      <c r="V3157" s="7"/>
      <c r="X3157" s="7"/>
    </row>
    <row r="3158" spans="2:24">
      <c r="B3158" s="7"/>
      <c r="D3158" s="7"/>
      <c r="F3158" s="7"/>
      <c r="H3158" s="7"/>
      <c r="J3158" s="7"/>
      <c r="L3158" s="7"/>
      <c r="N3158" s="7"/>
      <c r="P3158" s="7"/>
      <c r="R3158" s="7"/>
      <c r="T3158" s="7"/>
      <c r="V3158" s="7"/>
      <c r="X3158" s="7"/>
    </row>
    <row r="3159" spans="2:24">
      <c r="B3159" s="7"/>
      <c r="D3159" s="7"/>
      <c r="F3159" s="7"/>
      <c r="H3159" s="7"/>
      <c r="J3159" s="7"/>
      <c r="L3159" s="7"/>
      <c r="N3159" s="7"/>
      <c r="P3159" s="7"/>
      <c r="R3159" s="7"/>
      <c r="T3159" s="7"/>
      <c r="V3159" s="7"/>
      <c r="X3159" s="7"/>
    </row>
    <row r="3160" spans="2:24">
      <c r="B3160" s="7"/>
      <c r="D3160" s="7"/>
      <c r="F3160" s="7"/>
      <c r="H3160" s="7"/>
      <c r="J3160" s="7"/>
      <c r="L3160" s="7"/>
      <c r="N3160" s="7"/>
      <c r="P3160" s="7"/>
      <c r="R3160" s="7"/>
      <c r="T3160" s="7"/>
      <c r="V3160" s="7"/>
      <c r="X3160" s="7"/>
    </row>
    <row r="3161" spans="2:24">
      <c r="B3161" s="7"/>
      <c r="D3161" s="7"/>
      <c r="F3161" s="7"/>
      <c r="H3161" s="7"/>
      <c r="J3161" s="7"/>
      <c r="L3161" s="7"/>
      <c r="N3161" s="7"/>
      <c r="P3161" s="7"/>
      <c r="R3161" s="7"/>
      <c r="T3161" s="7"/>
      <c r="V3161" s="7"/>
      <c r="X3161" s="7"/>
    </row>
    <row r="3162" spans="2:24">
      <c r="B3162" s="7"/>
      <c r="D3162" s="7"/>
      <c r="F3162" s="7"/>
      <c r="H3162" s="7"/>
      <c r="J3162" s="7"/>
      <c r="L3162" s="7"/>
      <c r="N3162" s="7"/>
      <c r="P3162" s="7"/>
      <c r="R3162" s="7"/>
      <c r="T3162" s="7"/>
      <c r="V3162" s="7"/>
      <c r="X3162" s="7"/>
    </row>
    <row r="3163" spans="2:24">
      <c r="B3163" s="7"/>
      <c r="D3163" s="7"/>
      <c r="F3163" s="7"/>
      <c r="H3163" s="7"/>
      <c r="J3163" s="7"/>
      <c r="L3163" s="7"/>
      <c r="N3163" s="7"/>
      <c r="P3163" s="7"/>
      <c r="R3163" s="7"/>
      <c r="T3163" s="7"/>
      <c r="V3163" s="7"/>
      <c r="X3163" s="7"/>
    </row>
    <row r="3164" spans="2:24">
      <c r="B3164" s="7"/>
      <c r="D3164" s="7"/>
      <c r="F3164" s="7"/>
      <c r="H3164" s="7"/>
      <c r="J3164" s="7"/>
      <c r="L3164" s="7"/>
      <c r="N3164" s="7"/>
      <c r="P3164" s="7"/>
      <c r="R3164" s="7"/>
      <c r="T3164" s="7"/>
      <c r="V3164" s="7"/>
      <c r="X3164" s="7"/>
    </row>
    <row r="3165" spans="2:24">
      <c r="B3165" s="7"/>
      <c r="D3165" s="7"/>
      <c r="F3165" s="7"/>
      <c r="H3165" s="7"/>
      <c r="J3165" s="7"/>
      <c r="L3165" s="7"/>
      <c r="N3165" s="7"/>
      <c r="P3165" s="7"/>
      <c r="R3165" s="7"/>
      <c r="T3165" s="7"/>
      <c r="V3165" s="7"/>
      <c r="X3165" s="7"/>
    </row>
    <row r="3166" spans="2:24">
      <c r="B3166" s="7"/>
      <c r="D3166" s="7"/>
      <c r="F3166" s="7"/>
      <c r="H3166" s="7"/>
      <c r="J3166" s="7"/>
      <c r="L3166" s="7"/>
      <c r="N3166" s="7"/>
      <c r="P3166" s="7"/>
      <c r="R3166" s="7"/>
      <c r="T3166" s="7"/>
      <c r="V3166" s="7"/>
      <c r="X3166" s="7"/>
    </row>
    <row r="3167" spans="2:24">
      <c r="B3167" s="7"/>
      <c r="D3167" s="7"/>
      <c r="F3167" s="7"/>
      <c r="H3167" s="7"/>
      <c r="J3167" s="7"/>
      <c r="L3167" s="7"/>
      <c r="N3167" s="7"/>
      <c r="P3167" s="7"/>
      <c r="R3167" s="7"/>
      <c r="T3167" s="7"/>
      <c r="V3167" s="7"/>
      <c r="X3167" s="7"/>
    </row>
    <row r="3168" spans="2:24">
      <c r="B3168" s="7"/>
      <c r="D3168" s="7"/>
      <c r="F3168" s="7"/>
      <c r="H3168" s="7"/>
      <c r="J3168" s="7"/>
      <c r="L3168" s="7"/>
      <c r="N3168" s="7"/>
      <c r="P3168" s="7"/>
      <c r="R3168" s="7"/>
      <c r="T3168" s="7"/>
      <c r="V3168" s="7"/>
      <c r="X3168" s="7"/>
    </row>
    <row r="3169" spans="2:24">
      <c r="B3169" s="7"/>
      <c r="D3169" s="7"/>
      <c r="F3169" s="7"/>
      <c r="H3169" s="7"/>
      <c r="J3169" s="7"/>
      <c r="L3169" s="7"/>
      <c r="N3169" s="7"/>
      <c r="P3169" s="7"/>
      <c r="R3169" s="7"/>
      <c r="T3169" s="7"/>
      <c r="V3169" s="7"/>
      <c r="X3169" s="7"/>
    </row>
    <row r="3170" spans="2:24">
      <c r="B3170" s="7"/>
      <c r="D3170" s="7"/>
      <c r="F3170" s="7"/>
      <c r="H3170" s="7"/>
      <c r="J3170" s="7"/>
      <c r="L3170" s="7"/>
      <c r="N3170" s="7"/>
      <c r="P3170" s="7"/>
      <c r="R3170" s="7"/>
      <c r="T3170" s="7"/>
      <c r="V3170" s="7"/>
      <c r="X3170" s="7"/>
    </row>
    <row r="3171" spans="2:24">
      <c r="B3171" s="7"/>
      <c r="D3171" s="7"/>
      <c r="F3171" s="7"/>
      <c r="H3171" s="7"/>
      <c r="J3171" s="7"/>
      <c r="L3171" s="7"/>
      <c r="N3171" s="7"/>
      <c r="P3171" s="7"/>
      <c r="R3171" s="7"/>
      <c r="T3171" s="7"/>
      <c r="V3171" s="7"/>
      <c r="X3171" s="7"/>
    </row>
    <row r="3172" spans="2:24">
      <c r="B3172" s="7"/>
      <c r="D3172" s="7"/>
      <c r="F3172" s="7"/>
      <c r="H3172" s="7"/>
      <c r="J3172" s="7"/>
      <c r="L3172" s="7"/>
      <c r="N3172" s="7"/>
      <c r="P3172" s="7"/>
      <c r="R3172" s="7"/>
      <c r="T3172" s="7"/>
      <c r="V3172" s="7"/>
      <c r="X3172" s="7"/>
    </row>
    <row r="3173" spans="2:24">
      <c r="B3173" s="7"/>
      <c r="D3173" s="7"/>
      <c r="F3173" s="7"/>
      <c r="H3173" s="7"/>
      <c r="J3173" s="7"/>
      <c r="L3173" s="7"/>
      <c r="N3173" s="7"/>
      <c r="P3173" s="7"/>
      <c r="R3173" s="7"/>
      <c r="T3173" s="7"/>
      <c r="V3173" s="7"/>
      <c r="X3173" s="7"/>
    </row>
    <row r="3174" spans="2:24">
      <c r="B3174" s="7"/>
      <c r="D3174" s="7"/>
      <c r="F3174" s="7"/>
      <c r="H3174" s="7"/>
      <c r="J3174" s="7"/>
      <c r="L3174" s="7"/>
      <c r="N3174" s="7"/>
      <c r="P3174" s="7"/>
      <c r="R3174" s="7"/>
      <c r="T3174" s="7"/>
      <c r="V3174" s="7"/>
      <c r="X3174" s="7"/>
    </row>
    <row r="3175" spans="2:24">
      <c r="B3175" s="7"/>
      <c r="D3175" s="7"/>
      <c r="F3175" s="7"/>
      <c r="H3175" s="7"/>
      <c r="J3175" s="7"/>
      <c r="L3175" s="7"/>
      <c r="N3175" s="7"/>
      <c r="P3175" s="7"/>
      <c r="R3175" s="7"/>
      <c r="T3175" s="7"/>
      <c r="V3175" s="7"/>
      <c r="X3175" s="7"/>
    </row>
    <row r="3176" spans="2:24">
      <c r="B3176" s="7"/>
      <c r="D3176" s="7"/>
      <c r="F3176" s="7"/>
      <c r="H3176" s="7"/>
      <c r="J3176" s="7"/>
      <c r="L3176" s="7"/>
      <c r="N3176" s="7"/>
      <c r="P3176" s="7"/>
      <c r="R3176" s="7"/>
      <c r="T3176" s="7"/>
      <c r="V3176" s="7"/>
      <c r="X3176" s="7"/>
    </row>
    <row r="3177" spans="2:24">
      <c r="B3177" s="7"/>
      <c r="D3177" s="7"/>
      <c r="F3177" s="7"/>
      <c r="H3177" s="7"/>
      <c r="J3177" s="7"/>
      <c r="L3177" s="7"/>
      <c r="N3177" s="7"/>
      <c r="P3177" s="7"/>
      <c r="R3177" s="7"/>
      <c r="T3177" s="7"/>
      <c r="V3177" s="7"/>
      <c r="X3177" s="7"/>
    </row>
    <row r="3178" spans="2:24">
      <c r="B3178" s="7"/>
      <c r="D3178" s="7"/>
      <c r="F3178" s="7"/>
      <c r="H3178" s="7"/>
      <c r="J3178" s="7"/>
      <c r="L3178" s="7"/>
      <c r="N3178" s="7"/>
      <c r="P3178" s="7"/>
      <c r="R3178" s="7"/>
      <c r="T3178" s="7"/>
      <c r="V3178" s="7"/>
      <c r="X3178" s="7"/>
    </row>
    <row r="3179" spans="2:24">
      <c r="B3179" s="7"/>
      <c r="D3179" s="7"/>
      <c r="F3179" s="7"/>
      <c r="H3179" s="7"/>
      <c r="J3179" s="7"/>
      <c r="L3179" s="7"/>
      <c r="N3179" s="7"/>
      <c r="P3179" s="7"/>
      <c r="R3179" s="7"/>
      <c r="T3179" s="7"/>
      <c r="V3179" s="7"/>
      <c r="X3179" s="7"/>
    </row>
    <row r="3180" spans="2:24">
      <c r="B3180" s="7"/>
      <c r="D3180" s="7"/>
      <c r="F3180" s="7"/>
      <c r="H3180" s="7"/>
      <c r="J3180" s="7"/>
      <c r="L3180" s="7"/>
      <c r="N3180" s="7"/>
      <c r="P3180" s="7"/>
      <c r="R3180" s="7"/>
      <c r="T3180" s="7"/>
      <c r="V3180" s="7"/>
      <c r="X3180" s="7"/>
    </row>
    <row r="3181" spans="2:24">
      <c r="B3181" s="7"/>
      <c r="D3181" s="7"/>
      <c r="F3181" s="7"/>
      <c r="H3181" s="7"/>
      <c r="J3181" s="7"/>
      <c r="L3181" s="7"/>
      <c r="N3181" s="7"/>
      <c r="P3181" s="7"/>
      <c r="R3181" s="7"/>
      <c r="T3181" s="7"/>
      <c r="V3181" s="7"/>
      <c r="X3181" s="7"/>
    </row>
    <row r="3182" spans="2:24">
      <c r="B3182" s="7"/>
      <c r="D3182" s="7"/>
      <c r="F3182" s="7"/>
      <c r="H3182" s="7"/>
      <c r="J3182" s="7"/>
      <c r="L3182" s="7"/>
      <c r="N3182" s="7"/>
      <c r="P3182" s="7"/>
      <c r="R3182" s="7"/>
      <c r="T3182" s="7"/>
      <c r="V3182" s="7"/>
      <c r="X3182" s="7"/>
    </row>
    <row r="3183" spans="2:24">
      <c r="B3183" s="7"/>
      <c r="D3183" s="7"/>
      <c r="F3183" s="7"/>
      <c r="H3183" s="7"/>
      <c r="J3183" s="7"/>
      <c r="L3183" s="7"/>
      <c r="N3183" s="7"/>
      <c r="P3183" s="7"/>
      <c r="R3183" s="7"/>
      <c r="T3183" s="7"/>
      <c r="V3183" s="7"/>
      <c r="X3183" s="7"/>
    </row>
    <row r="3184" spans="2:24">
      <c r="B3184" s="7"/>
      <c r="D3184" s="7"/>
      <c r="F3184" s="7"/>
      <c r="H3184" s="7"/>
      <c r="J3184" s="7"/>
      <c r="L3184" s="7"/>
      <c r="N3184" s="7"/>
      <c r="P3184" s="7"/>
      <c r="R3184" s="7"/>
      <c r="T3184" s="7"/>
      <c r="V3184" s="7"/>
      <c r="X3184" s="7"/>
    </row>
    <row r="3185" spans="2:24">
      <c r="B3185" s="7"/>
      <c r="D3185" s="7"/>
      <c r="F3185" s="7"/>
      <c r="H3185" s="7"/>
      <c r="J3185" s="7"/>
      <c r="L3185" s="7"/>
      <c r="N3185" s="7"/>
      <c r="P3185" s="7"/>
      <c r="R3185" s="7"/>
      <c r="T3185" s="7"/>
      <c r="V3185" s="7"/>
      <c r="X3185" s="7"/>
    </row>
    <row r="3186" spans="2:24">
      <c r="B3186" s="7"/>
      <c r="D3186" s="7"/>
      <c r="F3186" s="7"/>
      <c r="H3186" s="7"/>
      <c r="J3186" s="7"/>
      <c r="L3186" s="7"/>
      <c r="N3186" s="7"/>
      <c r="P3186" s="7"/>
      <c r="R3186" s="7"/>
      <c r="T3186" s="7"/>
      <c r="V3186" s="7"/>
      <c r="X3186" s="7"/>
    </row>
    <row r="3187" spans="2:24">
      <c r="B3187" s="7"/>
      <c r="D3187" s="7"/>
      <c r="F3187" s="7"/>
      <c r="H3187" s="7"/>
      <c r="J3187" s="7"/>
      <c r="L3187" s="7"/>
      <c r="N3187" s="7"/>
      <c r="P3187" s="7"/>
      <c r="R3187" s="7"/>
      <c r="T3187" s="7"/>
      <c r="V3187" s="7"/>
      <c r="X3187" s="7"/>
    </row>
    <row r="3188" spans="2:24">
      <c r="B3188" s="7"/>
      <c r="D3188" s="7"/>
      <c r="F3188" s="7"/>
      <c r="H3188" s="7"/>
      <c r="J3188" s="7"/>
      <c r="L3188" s="7"/>
      <c r="N3188" s="7"/>
      <c r="P3188" s="7"/>
      <c r="R3188" s="7"/>
      <c r="T3188" s="7"/>
      <c r="V3188" s="7"/>
      <c r="X3188" s="7"/>
    </row>
    <row r="3189" spans="2:24">
      <c r="B3189" s="7"/>
      <c r="D3189" s="7"/>
      <c r="F3189" s="7"/>
      <c r="H3189" s="7"/>
      <c r="J3189" s="7"/>
      <c r="L3189" s="7"/>
      <c r="N3189" s="7"/>
      <c r="P3189" s="7"/>
      <c r="R3189" s="7"/>
      <c r="T3189" s="7"/>
      <c r="V3189" s="7"/>
      <c r="X3189" s="7"/>
    </row>
    <row r="3190" spans="2:24">
      <c r="B3190" s="7"/>
      <c r="D3190" s="7"/>
      <c r="F3190" s="7"/>
      <c r="H3190" s="7"/>
      <c r="J3190" s="7"/>
      <c r="L3190" s="7"/>
      <c r="N3190" s="7"/>
      <c r="P3190" s="7"/>
      <c r="R3190" s="7"/>
      <c r="T3190" s="7"/>
      <c r="V3190" s="7"/>
      <c r="X3190" s="7"/>
    </row>
    <row r="3191" spans="2:24">
      <c r="B3191" s="7"/>
      <c r="D3191" s="7"/>
      <c r="F3191" s="7"/>
      <c r="H3191" s="7"/>
      <c r="J3191" s="7"/>
      <c r="L3191" s="7"/>
      <c r="N3191" s="7"/>
      <c r="P3191" s="7"/>
      <c r="R3191" s="7"/>
      <c r="T3191" s="7"/>
      <c r="V3191" s="7"/>
      <c r="X3191" s="7"/>
    </row>
    <row r="3192" spans="2:24">
      <c r="B3192" s="7"/>
      <c r="D3192" s="7"/>
      <c r="F3192" s="7"/>
      <c r="H3192" s="7"/>
      <c r="J3192" s="7"/>
      <c r="L3192" s="7"/>
      <c r="N3192" s="7"/>
      <c r="P3192" s="7"/>
      <c r="R3192" s="7"/>
      <c r="T3192" s="7"/>
      <c r="V3192" s="7"/>
      <c r="X3192" s="7"/>
    </row>
    <row r="3193" spans="2:24">
      <c r="B3193" s="7"/>
      <c r="D3193" s="7"/>
      <c r="F3193" s="7"/>
      <c r="H3193" s="7"/>
      <c r="J3193" s="7"/>
      <c r="L3193" s="7"/>
      <c r="N3193" s="7"/>
      <c r="P3193" s="7"/>
      <c r="R3193" s="7"/>
      <c r="T3193" s="7"/>
      <c r="V3193" s="7"/>
      <c r="X3193" s="7"/>
    </row>
    <row r="3194" spans="2:24">
      <c r="B3194" s="7"/>
      <c r="D3194" s="7"/>
      <c r="F3194" s="7"/>
      <c r="H3194" s="7"/>
      <c r="J3194" s="7"/>
      <c r="L3194" s="7"/>
      <c r="N3194" s="7"/>
      <c r="P3194" s="7"/>
      <c r="R3194" s="7"/>
      <c r="T3194" s="7"/>
      <c r="V3194" s="7"/>
      <c r="X3194" s="7"/>
    </row>
    <row r="3195" spans="2:24">
      <c r="B3195" s="7"/>
      <c r="D3195" s="7"/>
      <c r="F3195" s="7"/>
      <c r="H3195" s="7"/>
      <c r="J3195" s="7"/>
      <c r="L3195" s="7"/>
      <c r="N3195" s="7"/>
      <c r="P3195" s="7"/>
      <c r="R3195" s="7"/>
      <c r="T3195" s="7"/>
      <c r="V3195" s="7"/>
      <c r="X3195" s="7"/>
    </row>
    <row r="3196" spans="2:24">
      <c r="B3196" s="7"/>
      <c r="D3196" s="7"/>
      <c r="F3196" s="7"/>
      <c r="H3196" s="7"/>
      <c r="J3196" s="7"/>
      <c r="L3196" s="7"/>
      <c r="N3196" s="7"/>
      <c r="P3196" s="7"/>
      <c r="R3196" s="7"/>
      <c r="T3196" s="7"/>
      <c r="V3196" s="7"/>
      <c r="X3196" s="7"/>
    </row>
    <row r="3197" spans="2:24">
      <c r="B3197" s="7"/>
      <c r="D3197" s="7"/>
      <c r="F3197" s="7"/>
      <c r="H3197" s="7"/>
      <c r="J3197" s="7"/>
      <c r="L3197" s="7"/>
      <c r="N3197" s="7"/>
      <c r="P3197" s="7"/>
      <c r="R3197" s="7"/>
      <c r="T3197" s="7"/>
      <c r="V3197" s="7"/>
      <c r="X3197" s="7"/>
    </row>
    <row r="3198" spans="2:24">
      <c r="B3198" s="7"/>
      <c r="D3198" s="7"/>
      <c r="F3198" s="7"/>
      <c r="H3198" s="7"/>
      <c r="J3198" s="7"/>
      <c r="L3198" s="7"/>
      <c r="N3198" s="7"/>
      <c r="P3198" s="7"/>
      <c r="R3198" s="7"/>
      <c r="T3198" s="7"/>
      <c r="V3198" s="7"/>
      <c r="X3198" s="7"/>
    </row>
    <row r="3199" spans="2:24">
      <c r="B3199" s="7"/>
      <c r="D3199" s="7"/>
      <c r="F3199" s="7"/>
      <c r="H3199" s="7"/>
      <c r="J3199" s="7"/>
      <c r="L3199" s="7"/>
      <c r="N3199" s="7"/>
      <c r="P3199" s="7"/>
      <c r="R3199" s="7"/>
      <c r="T3199" s="7"/>
      <c r="V3199" s="7"/>
      <c r="X3199" s="7"/>
    </row>
    <row r="3200" spans="2:24">
      <c r="B3200" s="7"/>
      <c r="D3200" s="7"/>
      <c r="F3200" s="7"/>
      <c r="H3200" s="7"/>
      <c r="J3200" s="7"/>
      <c r="L3200" s="7"/>
      <c r="N3200" s="7"/>
      <c r="P3200" s="7"/>
      <c r="R3200" s="7"/>
      <c r="T3200" s="7"/>
      <c r="V3200" s="7"/>
      <c r="X3200" s="7"/>
    </row>
    <row r="3201" spans="2:24">
      <c r="B3201" s="7"/>
      <c r="D3201" s="7"/>
      <c r="F3201" s="7"/>
      <c r="H3201" s="7"/>
      <c r="J3201" s="7"/>
      <c r="L3201" s="7"/>
      <c r="N3201" s="7"/>
      <c r="P3201" s="7"/>
      <c r="R3201" s="7"/>
      <c r="T3201" s="7"/>
      <c r="V3201" s="7"/>
      <c r="X3201" s="7"/>
    </row>
    <row r="3202" spans="2:24">
      <c r="B3202" s="7"/>
      <c r="D3202" s="7"/>
      <c r="F3202" s="7"/>
      <c r="H3202" s="7"/>
      <c r="J3202" s="7"/>
      <c r="L3202" s="7"/>
      <c r="N3202" s="7"/>
      <c r="P3202" s="7"/>
      <c r="R3202" s="7"/>
      <c r="T3202" s="7"/>
      <c r="V3202" s="7"/>
      <c r="X3202" s="7"/>
    </row>
    <row r="3203" spans="2:24">
      <c r="B3203" s="7"/>
      <c r="D3203" s="7"/>
      <c r="F3203" s="7"/>
      <c r="H3203" s="7"/>
      <c r="J3203" s="7"/>
      <c r="L3203" s="7"/>
      <c r="N3203" s="7"/>
      <c r="P3203" s="7"/>
      <c r="R3203" s="7"/>
      <c r="T3203" s="7"/>
      <c r="V3203" s="7"/>
      <c r="X3203" s="7"/>
    </row>
    <row r="3204" spans="2:24">
      <c r="B3204" s="7"/>
      <c r="D3204" s="7"/>
      <c r="F3204" s="7"/>
      <c r="H3204" s="7"/>
      <c r="J3204" s="7"/>
      <c r="L3204" s="7"/>
      <c r="N3204" s="7"/>
      <c r="P3204" s="7"/>
      <c r="R3204" s="7"/>
      <c r="T3204" s="7"/>
      <c r="V3204" s="7"/>
      <c r="X3204" s="7"/>
    </row>
    <row r="3205" spans="2:24">
      <c r="B3205" s="7"/>
      <c r="D3205" s="7"/>
      <c r="F3205" s="7"/>
      <c r="H3205" s="7"/>
      <c r="J3205" s="7"/>
      <c r="L3205" s="7"/>
      <c r="N3205" s="7"/>
      <c r="P3205" s="7"/>
      <c r="R3205" s="7"/>
      <c r="T3205" s="7"/>
      <c r="V3205" s="7"/>
      <c r="X3205" s="7"/>
    </row>
    <row r="3206" spans="2:24">
      <c r="B3206" s="7"/>
      <c r="D3206" s="7"/>
      <c r="F3206" s="7"/>
      <c r="H3206" s="7"/>
      <c r="J3206" s="7"/>
      <c r="L3206" s="7"/>
      <c r="N3206" s="7"/>
      <c r="P3206" s="7"/>
      <c r="R3206" s="7"/>
      <c r="T3206" s="7"/>
      <c r="V3206" s="7"/>
      <c r="X3206" s="7"/>
    </row>
    <row r="3207" spans="2:24">
      <c r="B3207" s="7"/>
      <c r="D3207" s="7"/>
      <c r="F3207" s="7"/>
      <c r="H3207" s="7"/>
      <c r="J3207" s="7"/>
      <c r="L3207" s="7"/>
      <c r="N3207" s="7"/>
      <c r="P3207" s="7"/>
      <c r="R3207" s="7"/>
      <c r="T3207" s="7"/>
      <c r="V3207" s="7"/>
      <c r="X3207" s="7"/>
    </row>
    <row r="3208" spans="2:24">
      <c r="B3208" s="7"/>
      <c r="D3208" s="7"/>
      <c r="F3208" s="7"/>
      <c r="H3208" s="7"/>
      <c r="J3208" s="7"/>
      <c r="L3208" s="7"/>
      <c r="N3208" s="7"/>
      <c r="P3208" s="7"/>
      <c r="R3208" s="7"/>
      <c r="T3208" s="7"/>
      <c r="V3208" s="7"/>
      <c r="X3208" s="7"/>
    </row>
    <row r="3209" spans="2:24">
      <c r="B3209" s="7"/>
      <c r="D3209" s="7"/>
      <c r="F3209" s="7"/>
      <c r="H3209" s="7"/>
      <c r="J3209" s="7"/>
      <c r="L3209" s="7"/>
      <c r="N3209" s="7"/>
      <c r="P3209" s="7"/>
      <c r="R3209" s="7"/>
      <c r="T3209" s="7"/>
      <c r="V3209" s="7"/>
      <c r="X3209" s="7"/>
    </row>
    <row r="3210" spans="2:24">
      <c r="B3210" s="7"/>
      <c r="D3210" s="7"/>
      <c r="F3210" s="7"/>
      <c r="H3210" s="7"/>
      <c r="J3210" s="7"/>
      <c r="L3210" s="7"/>
      <c r="N3210" s="7"/>
      <c r="P3210" s="7"/>
      <c r="R3210" s="7"/>
      <c r="T3210" s="7"/>
      <c r="V3210" s="7"/>
      <c r="X3210" s="7"/>
    </row>
    <row r="3211" spans="2:24">
      <c r="B3211" s="7"/>
      <c r="D3211" s="7"/>
      <c r="F3211" s="7"/>
      <c r="H3211" s="7"/>
      <c r="J3211" s="7"/>
      <c r="L3211" s="7"/>
      <c r="N3211" s="7"/>
      <c r="P3211" s="7"/>
      <c r="R3211" s="7"/>
      <c r="T3211" s="7"/>
      <c r="V3211" s="7"/>
      <c r="X3211" s="7"/>
    </row>
    <row r="3212" spans="2:24">
      <c r="B3212" s="7"/>
      <c r="D3212" s="7"/>
      <c r="F3212" s="7"/>
      <c r="H3212" s="7"/>
      <c r="J3212" s="7"/>
      <c r="L3212" s="7"/>
      <c r="N3212" s="7"/>
      <c r="P3212" s="7"/>
      <c r="R3212" s="7"/>
      <c r="T3212" s="7"/>
      <c r="V3212" s="7"/>
      <c r="X3212" s="7"/>
    </row>
    <row r="3213" spans="2:24">
      <c r="B3213" s="7"/>
      <c r="D3213" s="7"/>
      <c r="F3213" s="7"/>
      <c r="H3213" s="7"/>
      <c r="J3213" s="7"/>
      <c r="L3213" s="7"/>
      <c r="N3213" s="7"/>
      <c r="P3213" s="7"/>
      <c r="R3213" s="7"/>
      <c r="T3213" s="7"/>
      <c r="V3213" s="7"/>
      <c r="X3213" s="7"/>
    </row>
    <row r="3214" spans="2:24">
      <c r="B3214" s="7"/>
      <c r="D3214" s="7"/>
      <c r="F3214" s="7"/>
      <c r="H3214" s="7"/>
      <c r="J3214" s="7"/>
      <c r="L3214" s="7"/>
      <c r="N3214" s="7"/>
      <c r="P3214" s="7"/>
      <c r="R3214" s="7"/>
      <c r="T3214" s="7"/>
      <c r="V3214" s="7"/>
      <c r="X3214" s="7"/>
    </row>
    <row r="3215" spans="2:24">
      <c r="B3215" s="7"/>
      <c r="D3215" s="7"/>
      <c r="F3215" s="7"/>
      <c r="H3215" s="7"/>
      <c r="J3215" s="7"/>
      <c r="L3215" s="7"/>
      <c r="N3215" s="7"/>
      <c r="P3215" s="7"/>
      <c r="R3215" s="7"/>
      <c r="T3215" s="7"/>
      <c r="V3215" s="7"/>
      <c r="X3215" s="7"/>
    </row>
    <row r="3216" spans="2:24">
      <c r="B3216" s="7"/>
      <c r="D3216" s="7"/>
      <c r="F3216" s="7"/>
      <c r="H3216" s="7"/>
      <c r="J3216" s="7"/>
      <c r="L3216" s="7"/>
      <c r="N3216" s="7"/>
      <c r="P3216" s="7"/>
      <c r="R3216" s="7"/>
      <c r="T3216" s="7"/>
      <c r="V3216" s="7"/>
      <c r="X3216" s="7"/>
    </row>
    <row r="3217" spans="2:24">
      <c r="B3217" s="7"/>
      <c r="D3217" s="7"/>
      <c r="F3217" s="7"/>
      <c r="H3217" s="7"/>
      <c r="J3217" s="7"/>
      <c r="L3217" s="7"/>
      <c r="N3217" s="7"/>
      <c r="P3217" s="7"/>
      <c r="R3217" s="7"/>
      <c r="T3217" s="7"/>
      <c r="V3217" s="7"/>
      <c r="X3217" s="7"/>
    </row>
    <row r="3218" spans="2:24">
      <c r="B3218" s="7"/>
      <c r="D3218" s="7"/>
      <c r="F3218" s="7"/>
      <c r="H3218" s="7"/>
      <c r="J3218" s="7"/>
      <c r="L3218" s="7"/>
      <c r="N3218" s="7"/>
      <c r="P3218" s="7"/>
      <c r="R3218" s="7"/>
      <c r="T3218" s="7"/>
      <c r="V3218" s="7"/>
      <c r="X3218" s="7"/>
    </row>
    <row r="3219" spans="2:24">
      <c r="B3219" s="7"/>
      <c r="D3219" s="7"/>
      <c r="F3219" s="7"/>
      <c r="H3219" s="7"/>
      <c r="J3219" s="7"/>
      <c r="L3219" s="7"/>
      <c r="N3219" s="7"/>
      <c r="P3219" s="7"/>
      <c r="R3219" s="7"/>
      <c r="T3219" s="7"/>
      <c r="V3219" s="7"/>
      <c r="X3219" s="7"/>
    </row>
    <row r="3220" spans="2:24">
      <c r="B3220" s="7"/>
      <c r="D3220" s="7"/>
      <c r="F3220" s="7"/>
      <c r="H3220" s="7"/>
      <c r="J3220" s="7"/>
      <c r="L3220" s="7"/>
      <c r="N3220" s="7"/>
      <c r="P3220" s="7"/>
      <c r="R3220" s="7"/>
      <c r="T3220" s="7"/>
      <c r="V3220" s="7"/>
      <c r="X3220" s="7"/>
    </row>
    <row r="3221" spans="2:24">
      <c r="B3221" s="7"/>
      <c r="D3221" s="7"/>
      <c r="F3221" s="7"/>
      <c r="H3221" s="7"/>
      <c r="J3221" s="7"/>
      <c r="L3221" s="7"/>
      <c r="N3221" s="7"/>
      <c r="P3221" s="7"/>
      <c r="R3221" s="7"/>
      <c r="T3221" s="7"/>
      <c r="V3221" s="7"/>
      <c r="X3221" s="7"/>
    </row>
    <row r="3222" spans="2:24">
      <c r="B3222" s="7"/>
      <c r="D3222" s="7"/>
      <c r="F3222" s="7"/>
      <c r="H3222" s="7"/>
      <c r="J3222" s="7"/>
      <c r="L3222" s="7"/>
      <c r="N3222" s="7"/>
      <c r="P3222" s="7"/>
      <c r="R3222" s="7"/>
      <c r="T3222" s="7"/>
      <c r="V3222" s="7"/>
      <c r="X3222" s="7"/>
    </row>
    <row r="3223" spans="2:24">
      <c r="B3223" s="7"/>
      <c r="D3223" s="7"/>
      <c r="F3223" s="7"/>
      <c r="H3223" s="7"/>
      <c r="J3223" s="7"/>
      <c r="L3223" s="7"/>
      <c r="N3223" s="7"/>
      <c r="P3223" s="7"/>
      <c r="R3223" s="7"/>
      <c r="T3223" s="7"/>
      <c r="V3223" s="7"/>
      <c r="X3223" s="7"/>
    </row>
    <row r="3224" spans="2:24">
      <c r="B3224" s="7"/>
      <c r="D3224" s="7"/>
      <c r="F3224" s="7"/>
      <c r="H3224" s="7"/>
      <c r="J3224" s="7"/>
      <c r="L3224" s="7"/>
      <c r="N3224" s="7"/>
      <c r="P3224" s="7"/>
      <c r="R3224" s="7"/>
      <c r="T3224" s="7"/>
      <c r="V3224" s="7"/>
      <c r="X3224" s="7"/>
    </row>
    <row r="3225" spans="2:24">
      <c r="B3225" s="7"/>
      <c r="D3225" s="7"/>
      <c r="F3225" s="7"/>
      <c r="H3225" s="7"/>
      <c r="J3225" s="7"/>
      <c r="L3225" s="7"/>
      <c r="N3225" s="7"/>
      <c r="P3225" s="7"/>
      <c r="R3225" s="7"/>
      <c r="T3225" s="7"/>
      <c r="V3225" s="7"/>
      <c r="X3225" s="7"/>
    </row>
    <row r="3226" spans="2:24">
      <c r="B3226" s="7"/>
      <c r="D3226" s="7"/>
      <c r="F3226" s="7"/>
      <c r="H3226" s="7"/>
      <c r="J3226" s="7"/>
      <c r="L3226" s="7"/>
      <c r="N3226" s="7"/>
      <c r="P3226" s="7"/>
      <c r="R3226" s="7"/>
      <c r="T3226" s="7"/>
      <c r="V3226" s="7"/>
      <c r="X3226" s="7"/>
    </row>
    <row r="3227" spans="2:24">
      <c r="B3227" s="7"/>
      <c r="D3227" s="7"/>
      <c r="F3227" s="7"/>
      <c r="H3227" s="7"/>
      <c r="J3227" s="7"/>
      <c r="L3227" s="7"/>
      <c r="N3227" s="7"/>
      <c r="P3227" s="7"/>
      <c r="R3227" s="7"/>
      <c r="T3227" s="7"/>
      <c r="V3227" s="7"/>
      <c r="X3227" s="7"/>
    </row>
    <row r="3228" spans="2:24">
      <c r="B3228" s="7"/>
      <c r="D3228" s="7"/>
      <c r="F3228" s="7"/>
      <c r="H3228" s="7"/>
      <c r="J3228" s="7"/>
      <c r="L3228" s="7"/>
      <c r="N3228" s="7"/>
      <c r="P3228" s="7"/>
      <c r="R3228" s="7"/>
      <c r="T3228" s="7"/>
      <c r="V3228" s="7"/>
      <c r="X3228" s="7"/>
    </row>
    <row r="3229" spans="2:24">
      <c r="B3229" s="7"/>
      <c r="D3229" s="7"/>
      <c r="F3229" s="7"/>
      <c r="H3229" s="7"/>
      <c r="J3229" s="7"/>
      <c r="L3229" s="7"/>
      <c r="N3229" s="7"/>
      <c r="P3229" s="7"/>
      <c r="R3229" s="7"/>
      <c r="T3229" s="7"/>
      <c r="V3229" s="7"/>
      <c r="X3229" s="7"/>
    </row>
    <row r="3230" spans="2:24">
      <c r="B3230" s="7"/>
      <c r="D3230" s="7"/>
      <c r="F3230" s="7"/>
      <c r="H3230" s="7"/>
      <c r="J3230" s="7"/>
      <c r="L3230" s="7"/>
      <c r="N3230" s="7"/>
      <c r="P3230" s="7"/>
      <c r="R3230" s="7"/>
      <c r="T3230" s="7"/>
      <c r="V3230" s="7"/>
      <c r="X3230" s="7"/>
    </row>
    <row r="3231" spans="2:24">
      <c r="B3231" s="7"/>
      <c r="D3231" s="7"/>
      <c r="F3231" s="7"/>
      <c r="H3231" s="7"/>
      <c r="J3231" s="7"/>
      <c r="L3231" s="7"/>
      <c r="N3231" s="7"/>
      <c r="P3231" s="7"/>
      <c r="R3231" s="7"/>
      <c r="T3231" s="7"/>
      <c r="V3231" s="7"/>
      <c r="X3231" s="7"/>
    </row>
    <row r="3232" spans="2:24">
      <c r="B3232" s="7"/>
      <c r="D3232" s="7"/>
      <c r="F3232" s="7"/>
      <c r="H3232" s="7"/>
      <c r="J3232" s="7"/>
      <c r="L3232" s="7"/>
      <c r="N3232" s="7"/>
      <c r="P3232" s="7"/>
      <c r="R3232" s="7"/>
      <c r="T3232" s="7"/>
      <c r="V3232" s="7"/>
      <c r="X3232" s="7"/>
    </row>
    <row r="3233" spans="2:24">
      <c r="B3233" s="7"/>
      <c r="D3233" s="7"/>
      <c r="F3233" s="7"/>
      <c r="H3233" s="7"/>
      <c r="J3233" s="7"/>
      <c r="L3233" s="7"/>
      <c r="N3233" s="7"/>
      <c r="P3233" s="7"/>
      <c r="R3233" s="7"/>
      <c r="T3233" s="7"/>
      <c r="V3233" s="7"/>
      <c r="X3233" s="7"/>
    </row>
    <row r="3234" spans="2:24">
      <c r="B3234" s="7"/>
      <c r="D3234" s="7"/>
      <c r="F3234" s="7"/>
      <c r="H3234" s="7"/>
      <c r="J3234" s="7"/>
      <c r="L3234" s="7"/>
      <c r="N3234" s="7"/>
      <c r="P3234" s="7"/>
      <c r="R3234" s="7"/>
      <c r="T3234" s="7"/>
      <c r="V3234" s="7"/>
      <c r="X3234" s="7"/>
    </row>
    <row r="3235" spans="2:24">
      <c r="B3235" s="7"/>
      <c r="D3235" s="7"/>
      <c r="F3235" s="7"/>
      <c r="H3235" s="7"/>
      <c r="J3235" s="7"/>
      <c r="L3235" s="7"/>
      <c r="N3235" s="7"/>
      <c r="P3235" s="7"/>
      <c r="R3235" s="7"/>
      <c r="T3235" s="7"/>
      <c r="V3235" s="7"/>
      <c r="X3235" s="7"/>
    </row>
    <row r="3236" spans="2:24">
      <c r="B3236" s="7"/>
      <c r="D3236" s="7"/>
      <c r="F3236" s="7"/>
      <c r="H3236" s="7"/>
      <c r="J3236" s="7"/>
      <c r="L3236" s="7"/>
      <c r="N3236" s="7"/>
      <c r="P3236" s="7"/>
      <c r="R3236" s="7"/>
      <c r="T3236" s="7"/>
      <c r="V3236" s="7"/>
      <c r="X3236" s="7"/>
    </row>
    <row r="3237" spans="2:24">
      <c r="B3237" s="7"/>
      <c r="D3237" s="7"/>
      <c r="F3237" s="7"/>
      <c r="H3237" s="7"/>
      <c r="J3237" s="7"/>
      <c r="L3237" s="7"/>
      <c r="N3237" s="7"/>
      <c r="P3237" s="7"/>
      <c r="R3237" s="7"/>
      <c r="T3237" s="7"/>
      <c r="V3237" s="7"/>
      <c r="X3237" s="7"/>
    </row>
    <row r="3238" spans="2:24">
      <c r="B3238" s="7"/>
      <c r="D3238" s="7"/>
      <c r="F3238" s="7"/>
      <c r="H3238" s="7"/>
      <c r="J3238" s="7"/>
      <c r="L3238" s="7"/>
      <c r="N3238" s="7"/>
      <c r="P3238" s="7"/>
      <c r="R3238" s="7"/>
      <c r="T3238" s="7"/>
      <c r="V3238" s="7"/>
      <c r="X3238" s="7"/>
    </row>
    <row r="3239" spans="2:24">
      <c r="B3239" s="7"/>
      <c r="D3239" s="7"/>
      <c r="F3239" s="7"/>
      <c r="H3239" s="7"/>
      <c r="J3239" s="7"/>
      <c r="L3239" s="7"/>
      <c r="N3239" s="7"/>
      <c r="P3239" s="7"/>
      <c r="R3239" s="7"/>
      <c r="T3239" s="7"/>
      <c r="V3239" s="7"/>
      <c r="X3239" s="7"/>
    </row>
    <row r="3240" spans="2:24">
      <c r="B3240" s="7"/>
      <c r="D3240" s="7"/>
      <c r="F3240" s="7"/>
      <c r="H3240" s="7"/>
      <c r="J3240" s="7"/>
      <c r="L3240" s="7"/>
      <c r="N3240" s="7"/>
      <c r="P3240" s="7"/>
      <c r="R3240" s="7"/>
      <c r="T3240" s="7"/>
      <c r="V3240" s="7"/>
      <c r="X3240" s="7"/>
    </row>
    <row r="3241" spans="2:24">
      <c r="B3241" s="7"/>
      <c r="D3241" s="7"/>
      <c r="F3241" s="7"/>
      <c r="H3241" s="7"/>
      <c r="J3241" s="7"/>
      <c r="L3241" s="7"/>
      <c r="N3241" s="7"/>
      <c r="P3241" s="7"/>
      <c r="R3241" s="7"/>
      <c r="T3241" s="7"/>
      <c r="V3241" s="7"/>
      <c r="X3241" s="7"/>
    </row>
    <row r="3242" spans="2:24">
      <c r="B3242" s="7"/>
      <c r="D3242" s="7"/>
      <c r="F3242" s="7"/>
      <c r="H3242" s="7"/>
      <c r="J3242" s="7"/>
      <c r="L3242" s="7"/>
      <c r="N3242" s="7"/>
      <c r="P3242" s="7"/>
      <c r="R3242" s="7"/>
      <c r="T3242" s="7"/>
      <c r="V3242" s="7"/>
      <c r="X3242" s="7"/>
    </row>
    <row r="3243" spans="2:24">
      <c r="B3243" s="7"/>
      <c r="D3243" s="7"/>
      <c r="F3243" s="7"/>
      <c r="H3243" s="7"/>
      <c r="J3243" s="7"/>
      <c r="L3243" s="7"/>
      <c r="N3243" s="7"/>
      <c r="P3243" s="7"/>
      <c r="R3243" s="7"/>
      <c r="T3243" s="7"/>
      <c r="V3243" s="7"/>
      <c r="X3243" s="7"/>
    </row>
    <row r="3244" spans="2:24">
      <c r="B3244" s="7"/>
      <c r="D3244" s="7"/>
      <c r="F3244" s="7"/>
      <c r="H3244" s="7"/>
      <c r="J3244" s="7"/>
      <c r="L3244" s="7"/>
      <c r="N3244" s="7"/>
      <c r="P3244" s="7"/>
      <c r="R3244" s="7"/>
      <c r="T3244" s="7"/>
      <c r="V3244" s="7"/>
      <c r="X3244" s="7"/>
    </row>
    <row r="3245" spans="2:24">
      <c r="B3245" s="7"/>
      <c r="D3245" s="7"/>
      <c r="F3245" s="7"/>
      <c r="H3245" s="7"/>
      <c r="J3245" s="7"/>
      <c r="L3245" s="7"/>
      <c r="N3245" s="7"/>
      <c r="P3245" s="7"/>
      <c r="R3245" s="7"/>
      <c r="T3245" s="7"/>
      <c r="V3245" s="7"/>
      <c r="X3245" s="7"/>
    </row>
    <row r="3246" spans="2:24">
      <c r="B3246" s="7"/>
      <c r="D3246" s="7"/>
      <c r="F3246" s="7"/>
      <c r="H3246" s="7"/>
      <c r="J3246" s="7"/>
      <c r="L3246" s="7"/>
      <c r="N3246" s="7"/>
      <c r="P3246" s="7"/>
      <c r="R3246" s="7"/>
      <c r="T3246" s="7"/>
      <c r="V3246" s="7"/>
      <c r="X3246" s="7"/>
    </row>
    <row r="3247" spans="2:24">
      <c r="B3247" s="7"/>
      <c r="D3247" s="7"/>
      <c r="F3247" s="7"/>
      <c r="H3247" s="7"/>
      <c r="J3247" s="7"/>
      <c r="L3247" s="7"/>
      <c r="N3247" s="7"/>
      <c r="P3247" s="7"/>
      <c r="R3247" s="7"/>
      <c r="T3247" s="7"/>
      <c r="V3247" s="7"/>
      <c r="X3247" s="7"/>
    </row>
    <row r="3248" spans="2:24">
      <c r="B3248" s="7"/>
      <c r="D3248" s="7"/>
      <c r="F3248" s="7"/>
      <c r="H3248" s="7"/>
      <c r="J3248" s="7"/>
      <c r="L3248" s="7"/>
      <c r="N3248" s="7"/>
      <c r="P3248" s="7"/>
      <c r="R3248" s="7"/>
      <c r="T3248" s="7"/>
      <c r="V3248" s="7"/>
      <c r="X3248" s="7"/>
    </row>
    <row r="3249" spans="2:24">
      <c r="B3249" s="7"/>
      <c r="D3249" s="7"/>
      <c r="F3249" s="7"/>
      <c r="H3249" s="7"/>
      <c r="J3249" s="7"/>
      <c r="L3249" s="7"/>
      <c r="N3249" s="7"/>
      <c r="P3249" s="7"/>
      <c r="R3249" s="7"/>
      <c r="T3249" s="7"/>
      <c r="V3249" s="7"/>
      <c r="X3249" s="7"/>
    </row>
    <row r="3250" spans="2:24">
      <c r="B3250" s="7"/>
      <c r="D3250" s="7"/>
      <c r="F3250" s="7"/>
      <c r="H3250" s="7"/>
      <c r="J3250" s="7"/>
      <c r="L3250" s="7"/>
      <c r="N3250" s="7"/>
      <c r="P3250" s="7"/>
      <c r="R3250" s="7"/>
      <c r="T3250" s="7"/>
      <c r="V3250" s="7"/>
      <c r="X3250" s="7"/>
    </row>
    <row r="3251" spans="2:24">
      <c r="B3251" s="7"/>
      <c r="D3251" s="7"/>
      <c r="F3251" s="7"/>
      <c r="H3251" s="7"/>
      <c r="J3251" s="7"/>
      <c r="L3251" s="7"/>
      <c r="N3251" s="7"/>
      <c r="P3251" s="7"/>
      <c r="R3251" s="7"/>
      <c r="T3251" s="7"/>
      <c r="V3251" s="7"/>
      <c r="X3251" s="7"/>
    </row>
    <row r="3252" spans="2:24">
      <c r="B3252" s="7"/>
      <c r="D3252" s="7"/>
      <c r="F3252" s="7"/>
      <c r="H3252" s="7"/>
      <c r="J3252" s="7"/>
      <c r="L3252" s="7"/>
      <c r="N3252" s="7"/>
      <c r="P3252" s="7"/>
      <c r="R3252" s="7"/>
      <c r="T3252" s="7"/>
      <c r="V3252" s="7"/>
      <c r="X3252" s="7"/>
    </row>
    <row r="3253" spans="2:24">
      <c r="B3253" s="7"/>
      <c r="D3253" s="7"/>
      <c r="F3253" s="7"/>
      <c r="H3253" s="7"/>
      <c r="J3253" s="7"/>
      <c r="L3253" s="7"/>
      <c r="N3253" s="7"/>
      <c r="P3253" s="7"/>
      <c r="R3253" s="7"/>
      <c r="T3253" s="7"/>
      <c r="V3253" s="7"/>
      <c r="X3253" s="7"/>
    </row>
    <row r="3254" spans="2:24">
      <c r="B3254" s="7"/>
      <c r="D3254" s="7"/>
      <c r="F3254" s="7"/>
      <c r="H3254" s="7"/>
      <c r="J3254" s="7"/>
      <c r="L3254" s="7"/>
      <c r="N3254" s="7"/>
      <c r="P3254" s="7"/>
      <c r="R3254" s="7"/>
      <c r="T3254" s="7"/>
      <c r="V3254" s="7"/>
      <c r="X3254" s="7"/>
    </row>
    <row r="3255" spans="2:24">
      <c r="B3255" s="7"/>
      <c r="D3255" s="7"/>
      <c r="F3255" s="7"/>
      <c r="H3255" s="7"/>
      <c r="J3255" s="7"/>
      <c r="L3255" s="7"/>
      <c r="N3255" s="7"/>
      <c r="P3255" s="7"/>
      <c r="R3255" s="7"/>
      <c r="T3255" s="7"/>
      <c r="V3255" s="7"/>
      <c r="X3255" s="7"/>
    </row>
    <row r="3256" spans="2:24">
      <c r="B3256" s="7"/>
      <c r="D3256" s="7"/>
      <c r="F3256" s="7"/>
      <c r="H3256" s="7"/>
      <c r="J3256" s="7"/>
      <c r="L3256" s="7"/>
      <c r="N3256" s="7"/>
      <c r="P3256" s="7"/>
      <c r="R3256" s="7"/>
      <c r="T3256" s="7"/>
      <c r="V3256" s="7"/>
      <c r="X3256" s="7"/>
    </row>
    <row r="3257" spans="2:24">
      <c r="B3257" s="7"/>
      <c r="D3257" s="7"/>
      <c r="F3257" s="7"/>
      <c r="H3257" s="7"/>
      <c r="J3257" s="7"/>
      <c r="L3257" s="7"/>
      <c r="N3257" s="7"/>
      <c r="P3257" s="7"/>
      <c r="R3257" s="7"/>
      <c r="T3257" s="7"/>
      <c r="V3257" s="7"/>
      <c r="X3257" s="7"/>
    </row>
    <row r="3258" spans="2:24">
      <c r="B3258" s="7"/>
      <c r="D3258" s="7"/>
      <c r="F3258" s="7"/>
      <c r="H3258" s="7"/>
      <c r="J3258" s="7"/>
      <c r="L3258" s="7"/>
      <c r="N3258" s="7"/>
      <c r="P3258" s="7"/>
      <c r="R3258" s="7"/>
      <c r="T3258" s="7"/>
      <c r="V3258" s="7"/>
      <c r="X3258" s="7"/>
    </row>
    <row r="3259" spans="2:24">
      <c r="B3259" s="7"/>
      <c r="D3259" s="7"/>
      <c r="F3259" s="7"/>
      <c r="H3259" s="7"/>
      <c r="J3259" s="7"/>
      <c r="L3259" s="7"/>
      <c r="N3259" s="7"/>
      <c r="P3259" s="7"/>
      <c r="R3259" s="7"/>
      <c r="T3259" s="7"/>
      <c r="V3259" s="7"/>
      <c r="X3259" s="7"/>
    </row>
    <row r="3260" spans="2:24">
      <c r="B3260" s="7"/>
      <c r="D3260" s="7"/>
      <c r="F3260" s="7"/>
      <c r="H3260" s="7"/>
      <c r="J3260" s="7"/>
      <c r="L3260" s="7"/>
      <c r="N3260" s="7"/>
      <c r="P3260" s="7"/>
      <c r="R3260" s="7"/>
      <c r="T3260" s="7"/>
      <c r="V3260" s="7"/>
      <c r="X3260" s="7"/>
    </row>
    <row r="3261" spans="2:24">
      <c r="B3261" s="7"/>
      <c r="D3261" s="7"/>
      <c r="F3261" s="7"/>
      <c r="H3261" s="7"/>
      <c r="J3261" s="7"/>
      <c r="L3261" s="7"/>
      <c r="N3261" s="7"/>
      <c r="P3261" s="7"/>
      <c r="R3261" s="7"/>
      <c r="T3261" s="7"/>
      <c r="V3261" s="7"/>
      <c r="X3261" s="7"/>
    </row>
    <row r="3262" spans="2:24">
      <c r="B3262" s="7"/>
      <c r="D3262" s="7"/>
      <c r="F3262" s="7"/>
      <c r="H3262" s="7"/>
      <c r="J3262" s="7"/>
      <c r="L3262" s="7"/>
      <c r="N3262" s="7"/>
      <c r="P3262" s="7"/>
      <c r="R3262" s="7"/>
      <c r="T3262" s="7"/>
      <c r="V3262" s="7"/>
      <c r="X3262" s="7"/>
    </row>
    <row r="3263" spans="2:24">
      <c r="B3263" s="7"/>
      <c r="D3263" s="7"/>
      <c r="F3263" s="7"/>
      <c r="H3263" s="7"/>
      <c r="J3263" s="7"/>
      <c r="L3263" s="7"/>
      <c r="N3263" s="7"/>
      <c r="P3263" s="7"/>
      <c r="R3263" s="7"/>
      <c r="T3263" s="7"/>
      <c r="V3263" s="7"/>
      <c r="X3263" s="7"/>
    </row>
    <row r="3264" spans="2:24">
      <c r="B3264" s="7"/>
      <c r="D3264" s="7"/>
      <c r="F3264" s="7"/>
      <c r="H3264" s="7"/>
      <c r="J3264" s="7"/>
      <c r="L3264" s="7"/>
      <c r="N3264" s="7"/>
      <c r="P3264" s="7"/>
      <c r="R3264" s="7"/>
      <c r="T3264" s="7"/>
      <c r="V3264" s="7"/>
      <c r="X3264" s="7"/>
    </row>
    <row r="3265" spans="2:24">
      <c r="B3265" s="7"/>
      <c r="D3265" s="7"/>
      <c r="F3265" s="7"/>
      <c r="H3265" s="7"/>
      <c r="J3265" s="7"/>
      <c r="L3265" s="7"/>
      <c r="N3265" s="7"/>
      <c r="P3265" s="7"/>
      <c r="R3265" s="7"/>
      <c r="T3265" s="7"/>
      <c r="V3265" s="7"/>
      <c r="X3265" s="7"/>
    </row>
    <row r="3266" spans="2:24">
      <c r="B3266" s="7"/>
      <c r="D3266" s="7"/>
      <c r="F3266" s="7"/>
      <c r="H3266" s="7"/>
      <c r="J3266" s="7"/>
      <c r="L3266" s="7"/>
      <c r="N3266" s="7"/>
      <c r="P3266" s="7"/>
      <c r="R3266" s="7"/>
      <c r="T3266" s="7"/>
      <c r="V3266" s="7"/>
      <c r="X3266" s="7"/>
    </row>
    <row r="3267" spans="2:24">
      <c r="B3267" s="7"/>
      <c r="D3267" s="7"/>
      <c r="F3267" s="7"/>
      <c r="H3267" s="7"/>
      <c r="J3267" s="7"/>
      <c r="L3267" s="7"/>
      <c r="N3267" s="7"/>
      <c r="P3267" s="7"/>
      <c r="R3267" s="7"/>
      <c r="T3267" s="7"/>
      <c r="V3267" s="7"/>
      <c r="X3267" s="7"/>
    </row>
    <row r="3268" spans="2:24">
      <c r="B3268" s="7"/>
      <c r="D3268" s="7"/>
      <c r="F3268" s="7"/>
      <c r="H3268" s="7"/>
      <c r="J3268" s="7"/>
      <c r="L3268" s="7"/>
      <c r="N3268" s="7"/>
      <c r="P3268" s="7"/>
      <c r="R3268" s="7"/>
      <c r="T3268" s="7"/>
      <c r="V3268" s="7"/>
      <c r="X3268" s="7"/>
    </row>
    <row r="3269" spans="2:24">
      <c r="B3269" s="7"/>
      <c r="D3269" s="7"/>
      <c r="F3269" s="7"/>
      <c r="H3269" s="7"/>
      <c r="J3269" s="7"/>
      <c r="L3269" s="7"/>
      <c r="N3269" s="7"/>
      <c r="P3269" s="7"/>
      <c r="R3269" s="7"/>
      <c r="T3269" s="7"/>
      <c r="V3269" s="7"/>
      <c r="X3269" s="7"/>
    </row>
    <row r="3270" spans="2:24">
      <c r="B3270" s="7"/>
      <c r="D3270" s="7"/>
      <c r="F3270" s="7"/>
      <c r="H3270" s="7"/>
      <c r="J3270" s="7"/>
      <c r="L3270" s="7"/>
      <c r="N3270" s="7"/>
      <c r="P3270" s="7"/>
      <c r="R3270" s="7"/>
      <c r="T3270" s="7"/>
      <c r="V3270" s="7"/>
      <c r="X3270" s="7"/>
    </row>
    <row r="3271" spans="2:24">
      <c r="B3271" s="7"/>
      <c r="D3271" s="7"/>
      <c r="F3271" s="7"/>
      <c r="H3271" s="7"/>
      <c r="J3271" s="7"/>
      <c r="L3271" s="7"/>
      <c r="N3271" s="7"/>
      <c r="P3271" s="7"/>
      <c r="R3271" s="7"/>
      <c r="T3271" s="7"/>
      <c r="V3271" s="7"/>
      <c r="X3271" s="7"/>
    </row>
    <row r="3272" spans="2:24">
      <c r="B3272" s="7"/>
      <c r="D3272" s="7"/>
      <c r="F3272" s="7"/>
      <c r="H3272" s="7"/>
      <c r="J3272" s="7"/>
      <c r="L3272" s="7"/>
      <c r="N3272" s="7"/>
      <c r="P3272" s="7"/>
      <c r="R3272" s="7"/>
      <c r="T3272" s="7"/>
      <c r="V3272" s="7"/>
      <c r="X3272" s="7"/>
    </row>
    <row r="3273" spans="2:24">
      <c r="B3273" s="7"/>
      <c r="D3273" s="7"/>
      <c r="F3273" s="7"/>
      <c r="H3273" s="7"/>
      <c r="J3273" s="7"/>
      <c r="L3273" s="7"/>
      <c r="N3273" s="7"/>
      <c r="P3273" s="7"/>
      <c r="R3273" s="7"/>
      <c r="T3273" s="7"/>
      <c r="V3273" s="7"/>
      <c r="X3273" s="7"/>
    </row>
    <row r="3274" spans="2:24">
      <c r="B3274" s="7"/>
      <c r="D3274" s="7"/>
      <c r="F3274" s="7"/>
      <c r="H3274" s="7"/>
      <c r="J3274" s="7"/>
      <c r="L3274" s="7"/>
      <c r="N3274" s="7"/>
      <c r="P3274" s="7"/>
      <c r="R3274" s="7"/>
      <c r="T3274" s="7"/>
      <c r="V3274" s="7"/>
      <c r="X3274" s="7"/>
    </row>
    <row r="3275" spans="2:24">
      <c r="B3275" s="7"/>
      <c r="D3275" s="7"/>
      <c r="F3275" s="7"/>
      <c r="H3275" s="7"/>
      <c r="J3275" s="7"/>
      <c r="L3275" s="7"/>
      <c r="N3275" s="7"/>
      <c r="P3275" s="7"/>
      <c r="R3275" s="7"/>
      <c r="T3275" s="7"/>
      <c r="V3275" s="7"/>
      <c r="X3275" s="7"/>
    </row>
    <row r="3276" spans="2:24">
      <c r="B3276" s="7"/>
      <c r="D3276" s="7"/>
      <c r="F3276" s="7"/>
      <c r="H3276" s="7"/>
      <c r="J3276" s="7"/>
      <c r="L3276" s="7"/>
      <c r="N3276" s="7"/>
      <c r="P3276" s="7"/>
      <c r="R3276" s="7"/>
      <c r="T3276" s="7"/>
      <c r="V3276" s="7"/>
      <c r="X3276" s="7"/>
    </row>
    <row r="3277" spans="2:24">
      <c r="B3277" s="7"/>
      <c r="D3277" s="7"/>
      <c r="F3277" s="7"/>
      <c r="H3277" s="7"/>
      <c r="J3277" s="7"/>
      <c r="L3277" s="7"/>
      <c r="N3277" s="7"/>
      <c r="P3277" s="7"/>
      <c r="R3277" s="7"/>
      <c r="T3277" s="7"/>
      <c r="V3277" s="7"/>
      <c r="X3277" s="7"/>
    </row>
    <row r="3278" spans="2:24">
      <c r="B3278" s="7"/>
      <c r="D3278" s="7"/>
      <c r="F3278" s="7"/>
      <c r="H3278" s="7"/>
      <c r="J3278" s="7"/>
      <c r="L3278" s="7"/>
      <c r="N3278" s="7"/>
      <c r="P3278" s="7"/>
      <c r="R3278" s="7"/>
      <c r="T3278" s="7"/>
      <c r="V3278" s="7"/>
      <c r="X3278" s="7"/>
    </row>
    <row r="3279" spans="2:24">
      <c r="B3279" s="7"/>
      <c r="D3279" s="7"/>
      <c r="F3279" s="7"/>
      <c r="H3279" s="7"/>
      <c r="J3279" s="7"/>
      <c r="L3279" s="7"/>
      <c r="N3279" s="7"/>
      <c r="P3279" s="7"/>
      <c r="R3279" s="7"/>
      <c r="T3279" s="7"/>
      <c r="V3279" s="7"/>
      <c r="X3279" s="7"/>
    </row>
    <row r="3280" spans="2:24">
      <c r="B3280" s="7"/>
      <c r="D3280" s="7"/>
      <c r="F3280" s="7"/>
      <c r="H3280" s="7"/>
      <c r="J3280" s="7"/>
      <c r="L3280" s="7"/>
      <c r="N3280" s="7"/>
      <c r="P3280" s="7"/>
      <c r="R3280" s="7"/>
      <c r="T3280" s="7"/>
      <c r="V3280" s="7"/>
      <c r="X3280" s="7"/>
    </row>
    <row r="3281" spans="2:24">
      <c r="B3281" s="7"/>
      <c r="D3281" s="7"/>
      <c r="F3281" s="7"/>
      <c r="H3281" s="7"/>
      <c r="J3281" s="7"/>
      <c r="L3281" s="7"/>
      <c r="N3281" s="7"/>
      <c r="P3281" s="7"/>
      <c r="R3281" s="7"/>
      <c r="T3281" s="7"/>
      <c r="V3281" s="7"/>
      <c r="X3281" s="7"/>
    </row>
    <row r="3282" spans="2:24">
      <c r="B3282" s="7"/>
      <c r="D3282" s="7"/>
      <c r="F3282" s="7"/>
      <c r="H3282" s="7"/>
      <c r="J3282" s="7"/>
      <c r="L3282" s="7"/>
      <c r="N3282" s="7"/>
      <c r="P3282" s="7"/>
      <c r="R3282" s="7"/>
      <c r="T3282" s="7"/>
      <c r="V3282" s="7"/>
      <c r="X3282" s="7"/>
    </row>
    <row r="3283" spans="2:24">
      <c r="B3283" s="7"/>
      <c r="D3283" s="7"/>
      <c r="F3283" s="7"/>
      <c r="H3283" s="7"/>
      <c r="J3283" s="7"/>
      <c r="L3283" s="7"/>
      <c r="N3283" s="7"/>
      <c r="P3283" s="7"/>
      <c r="R3283" s="7"/>
      <c r="T3283" s="7"/>
      <c r="V3283" s="7"/>
      <c r="X3283" s="7"/>
    </row>
    <row r="3284" spans="2:24">
      <c r="B3284" s="7"/>
      <c r="D3284" s="7"/>
      <c r="F3284" s="7"/>
      <c r="H3284" s="7"/>
      <c r="J3284" s="7"/>
      <c r="L3284" s="7"/>
      <c r="N3284" s="7"/>
      <c r="P3284" s="7"/>
      <c r="R3284" s="7"/>
      <c r="T3284" s="7"/>
      <c r="V3284" s="7"/>
      <c r="X3284" s="7"/>
    </row>
    <row r="3285" spans="2:24">
      <c r="B3285" s="7"/>
      <c r="D3285" s="7"/>
      <c r="F3285" s="7"/>
      <c r="H3285" s="7"/>
      <c r="J3285" s="7"/>
      <c r="L3285" s="7"/>
      <c r="N3285" s="7"/>
      <c r="P3285" s="7"/>
      <c r="R3285" s="7"/>
      <c r="T3285" s="7"/>
      <c r="V3285" s="7"/>
      <c r="X3285" s="7"/>
    </row>
    <row r="3286" spans="2:24">
      <c r="B3286" s="7"/>
      <c r="D3286" s="7"/>
      <c r="F3286" s="7"/>
      <c r="H3286" s="7"/>
      <c r="J3286" s="7"/>
      <c r="L3286" s="7"/>
      <c r="N3286" s="7"/>
      <c r="P3286" s="7"/>
      <c r="R3286" s="7"/>
      <c r="T3286" s="7"/>
      <c r="V3286" s="7"/>
      <c r="X3286" s="7"/>
    </row>
    <row r="3287" spans="2:24">
      <c r="B3287" s="7"/>
      <c r="D3287" s="7"/>
      <c r="F3287" s="7"/>
      <c r="H3287" s="7"/>
      <c r="J3287" s="7"/>
      <c r="L3287" s="7"/>
      <c r="N3287" s="7"/>
      <c r="P3287" s="7"/>
      <c r="R3287" s="7"/>
      <c r="T3287" s="7"/>
      <c r="V3287" s="7"/>
      <c r="X3287" s="7"/>
    </row>
    <row r="3288" spans="2:24">
      <c r="B3288" s="7"/>
      <c r="D3288" s="7"/>
      <c r="F3288" s="7"/>
      <c r="H3288" s="7"/>
      <c r="J3288" s="7"/>
      <c r="L3288" s="7"/>
      <c r="N3288" s="7"/>
      <c r="P3288" s="7"/>
      <c r="R3288" s="7"/>
      <c r="T3288" s="7"/>
      <c r="V3288" s="7"/>
      <c r="X3288" s="7"/>
    </row>
    <row r="3289" spans="2:24">
      <c r="B3289" s="7"/>
      <c r="D3289" s="7"/>
      <c r="F3289" s="7"/>
      <c r="H3289" s="7"/>
      <c r="J3289" s="7"/>
      <c r="L3289" s="7"/>
      <c r="N3289" s="7"/>
      <c r="P3289" s="7"/>
      <c r="R3289" s="7"/>
      <c r="T3289" s="7"/>
      <c r="V3289" s="7"/>
      <c r="X3289" s="7"/>
    </row>
    <row r="3290" spans="2:24">
      <c r="B3290" s="7"/>
      <c r="D3290" s="7"/>
      <c r="F3290" s="7"/>
      <c r="H3290" s="7"/>
      <c r="J3290" s="7"/>
      <c r="L3290" s="7"/>
      <c r="N3290" s="7"/>
      <c r="P3290" s="7"/>
      <c r="R3290" s="7"/>
      <c r="T3290" s="7"/>
      <c r="V3290" s="7"/>
      <c r="X3290" s="7"/>
    </row>
    <row r="3291" spans="2:24">
      <c r="B3291" s="7"/>
      <c r="D3291" s="7"/>
      <c r="F3291" s="7"/>
      <c r="H3291" s="7"/>
      <c r="J3291" s="7"/>
      <c r="L3291" s="7"/>
      <c r="N3291" s="7"/>
      <c r="P3291" s="7"/>
      <c r="R3291" s="7"/>
      <c r="T3291" s="7"/>
      <c r="V3291" s="7"/>
      <c r="X3291" s="7"/>
    </row>
    <row r="3292" spans="2:24">
      <c r="B3292" s="7"/>
      <c r="D3292" s="7"/>
      <c r="F3292" s="7"/>
      <c r="H3292" s="7"/>
      <c r="J3292" s="7"/>
      <c r="L3292" s="7"/>
      <c r="N3292" s="7"/>
      <c r="P3292" s="7"/>
      <c r="R3292" s="7"/>
      <c r="T3292" s="7"/>
      <c r="V3292" s="7"/>
      <c r="X3292" s="7"/>
    </row>
    <row r="3293" spans="2:24">
      <c r="B3293" s="7"/>
      <c r="D3293" s="7"/>
      <c r="F3293" s="7"/>
      <c r="H3293" s="7"/>
      <c r="J3293" s="7"/>
      <c r="L3293" s="7"/>
      <c r="N3293" s="7"/>
      <c r="P3293" s="7"/>
      <c r="R3293" s="7"/>
      <c r="T3293" s="7"/>
      <c r="V3293" s="7"/>
      <c r="X3293" s="7"/>
    </row>
    <row r="3294" spans="2:24">
      <c r="B3294" s="7"/>
      <c r="D3294" s="7"/>
      <c r="F3294" s="7"/>
      <c r="H3294" s="7"/>
      <c r="J3294" s="7"/>
      <c r="L3294" s="7"/>
      <c r="N3294" s="7"/>
      <c r="P3294" s="7"/>
      <c r="R3294" s="7"/>
      <c r="T3294" s="7"/>
      <c r="V3294" s="7"/>
      <c r="X3294" s="7"/>
    </row>
    <row r="3295" spans="2:24">
      <c r="B3295" s="7"/>
      <c r="D3295" s="7"/>
      <c r="F3295" s="7"/>
      <c r="H3295" s="7"/>
      <c r="J3295" s="7"/>
      <c r="L3295" s="7"/>
      <c r="N3295" s="7"/>
      <c r="P3295" s="7"/>
      <c r="R3295" s="7"/>
      <c r="T3295" s="7"/>
      <c r="V3295" s="7"/>
      <c r="X3295" s="7"/>
    </row>
    <row r="3296" spans="2:24">
      <c r="B3296" s="7"/>
      <c r="D3296" s="7"/>
      <c r="F3296" s="7"/>
      <c r="H3296" s="7"/>
      <c r="J3296" s="7"/>
      <c r="L3296" s="7"/>
      <c r="N3296" s="7"/>
      <c r="P3296" s="7"/>
      <c r="R3296" s="7"/>
      <c r="T3296" s="7"/>
      <c r="V3296" s="7"/>
      <c r="X3296" s="7"/>
    </row>
    <row r="3297" spans="2:24">
      <c r="B3297" s="7"/>
      <c r="D3297" s="7"/>
      <c r="F3297" s="7"/>
      <c r="H3297" s="7"/>
      <c r="J3297" s="7"/>
      <c r="L3297" s="7"/>
      <c r="N3297" s="7"/>
      <c r="P3297" s="7"/>
      <c r="R3297" s="7"/>
      <c r="T3297" s="7"/>
      <c r="V3297" s="7"/>
      <c r="X3297" s="7"/>
    </row>
    <row r="3298" spans="2:24">
      <c r="B3298" s="7"/>
      <c r="D3298" s="7"/>
      <c r="F3298" s="7"/>
      <c r="H3298" s="7"/>
      <c r="J3298" s="7"/>
      <c r="L3298" s="7"/>
      <c r="N3298" s="7"/>
      <c r="P3298" s="7"/>
      <c r="R3298" s="7"/>
      <c r="T3298" s="7"/>
      <c r="V3298" s="7"/>
      <c r="X3298" s="7"/>
    </row>
    <row r="3299" spans="2:24">
      <c r="B3299" s="7"/>
      <c r="D3299" s="7"/>
      <c r="F3299" s="7"/>
      <c r="H3299" s="7"/>
      <c r="J3299" s="7"/>
      <c r="L3299" s="7"/>
      <c r="N3299" s="7"/>
      <c r="P3299" s="7"/>
      <c r="R3299" s="7"/>
      <c r="T3299" s="7"/>
      <c r="V3299" s="7"/>
      <c r="X3299" s="7"/>
    </row>
    <row r="3300" spans="2:24">
      <c r="B3300" s="7"/>
      <c r="D3300" s="7"/>
      <c r="F3300" s="7"/>
      <c r="H3300" s="7"/>
      <c r="J3300" s="7"/>
      <c r="L3300" s="7"/>
      <c r="N3300" s="7"/>
      <c r="P3300" s="7"/>
      <c r="R3300" s="7"/>
      <c r="T3300" s="7"/>
      <c r="V3300" s="7"/>
      <c r="X3300" s="7"/>
    </row>
    <row r="3301" spans="2:24">
      <c r="B3301" s="7"/>
      <c r="D3301" s="7"/>
      <c r="F3301" s="7"/>
      <c r="H3301" s="7"/>
      <c r="J3301" s="7"/>
      <c r="L3301" s="7"/>
      <c r="N3301" s="7"/>
      <c r="P3301" s="7"/>
      <c r="R3301" s="7"/>
      <c r="T3301" s="7"/>
      <c r="V3301" s="7"/>
      <c r="X3301" s="7"/>
    </row>
    <row r="3302" spans="2:24">
      <c r="B3302" s="7"/>
      <c r="D3302" s="7"/>
      <c r="F3302" s="7"/>
      <c r="H3302" s="7"/>
      <c r="J3302" s="7"/>
      <c r="L3302" s="7"/>
      <c r="N3302" s="7"/>
      <c r="P3302" s="7"/>
      <c r="R3302" s="7"/>
      <c r="T3302" s="7"/>
      <c r="V3302" s="7"/>
      <c r="X3302" s="7"/>
    </row>
    <row r="3303" spans="2:24">
      <c r="B3303" s="7"/>
      <c r="D3303" s="7"/>
      <c r="F3303" s="7"/>
      <c r="H3303" s="7"/>
      <c r="J3303" s="7"/>
      <c r="L3303" s="7"/>
      <c r="N3303" s="7"/>
      <c r="P3303" s="7"/>
      <c r="R3303" s="7"/>
      <c r="T3303" s="7"/>
      <c r="V3303" s="7"/>
      <c r="X3303" s="7"/>
    </row>
    <row r="3304" spans="2:24">
      <c r="B3304" s="7"/>
      <c r="D3304" s="7"/>
      <c r="F3304" s="7"/>
      <c r="H3304" s="7"/>
      <c r="J3304" s="7"/>
      <c r="L3304" s="7"/>
      <c r="N3304" s="7"/>
      <c r="P3304" s="7"/>
      <c r="R3304" s="7"/>
      <c r="T3304" s="7"/>
      <c r="V3304" s="7"/>
      <c r="X3304" s="7"/>
    </row>
    <row r="3305" spans="2:24">
      <c r="B3305" s="7"/>
      <c r="D3305" s="7"/>
      <c r="F3305" s="7"/>
      <c r="H3305" s="7"/>
      <c r="J3305" s="7"/>
      <c r="L3305" s="7"/>
      <c r="N3305" s="7"/>
      <c r="P3305" s="7"/>
      <c r="R3305" s="7"/>
      <c r="T3305" s="7"/>
      <c r="V3305" s="7"/>
      <c r="X3305" s="7"/>
    </row>
    <row r="3306" spans="2:24">
      <c r="B3306" s="7"/>
      <c r="D3306" s="7"/>
      <c r="F3306" s="7"/>
      <c r="H3306" s="7"/>
      <c r="J3306" s="7"/>
      <c r="L3306" s="7"/>
      <c r="N3306" s="7"/>
      <c r="P3306" s="7"/>
      <c r="R3306" s="7"/>
      <c r="T3306" s="7"/>
      <c r="V3306" s="7"/>
      <c r="X3306" s="7"/>
    </row>
    <row r="3307" spans="2:24">
      <c r="B3307" s="7"/>
      <c r="D3307" s="7"/>
      <c r="F3307" s="7"/>
      <c r="H3307" s="7"/>
      <c r="J3307" s="7"/>
      <c r="L3307" s="7"/>
      <c r="N3307" s="7"/>
      <c r="P3307" s="7"/>
      <c r="R3307" s="7"/>
      <c r="T3307" s="7"/>
      <c r="V3307" s="7"/>
      <c r="X3307" s="7"/>
    </row>
    <row r="3308" spans="2:24">
      <c r="B3308" s="7"/>
      <c r="D3308" s="7"/>
      <c r="F3308" s="7"/>
      <c r="H3308" s="7"/>
      <c r="J3308" s="7"/>
      <c r="L3308" s="7"/>
      <c r="N3308" s="7"/>
      <c r="P3308" s="7"/>
      <c r="R3308" s="7"/>
      <c r="T3308" s="7"/>
      <c r="V3308" s="7"/>
      <c r="X3308" s="7"/>
    </row>
    <row r="3309" spans="2:24">
      <c r="B3309" s="7"/>
      <c r="D3309" s="7"/>
      <c r="F3309" s="7"/>
      <c r="H3309" s="7"/>
      <c r="J3309" s="7"/>
      <c r="L3309" s="7"/>
      <c r="N3309" s="7"/>
      <c r="P3309" s="7"/>
      <c r="R3309" s="7"/>
      <c r="T3309" s="7"/>
      <c r="V3309" s="7"/>
      <c r="X3309" s="7"/>
    </row>
    <row r="3310" spans="2:24">
      <c r="B3310" s="7"/>
      <c r="D3310" s="7"/>
      <c r="F3310" s="7"/>
      <c r="H3310" s="7"/>
      <c r="J3310" s="7"/>
      <c r="L3310" s="7"/>
      <c r="N3310" s="7"/>
      <c r="P3310" s="7"/>
      <c r="R3310" s="7"/>
      <c r="T3310" s="7"/>
      <c r="V3310" s="7"/>
      <c r="X3310" s="7"/>
    </row>
    <row r="3311" spans="2:24">
      <c r="B3311" s="7"/>
      <c r="D3311" s="7"/>
      <c r="F3311" s="7"/>
      <c r="H3311" s="7"/>
      <c r="J3311" s="7"/>
      <c r="L3311" s="7"/>
      <c r="N3311" s="7"/>
      <c r="P3311" s="7"/>
      <c r="R3311" s="7"/>
      <c r="T3311" s="7"/>
      <c r="V3311" s="7"/>
      <c r="X3311" s="7"/>
    </row>
    <row r="3312" spans="2:24">
      <c r="B3312" s="7"/>
      <c r="D3312" s="7"/>
      <c r="F3312" s="7"/>
      <c r="H3312" s="7"/>
      <c r="J3312" s="7"/>
      <c r="L3312" s="7"/>
      <c r="N3312" s="7"/>
      <c r="P3312" s="7"/>
      <c r="R3312" s="7"/>
      <c r="T3312" s="7"/>
      <c r="V3312" s="7"/>
      <c r="X3312" s="7"/>
    </row>
    <row r="3313" spans="2:24">
      <c r="B3313" s="7"/>
      <c r="D3313" s="7"/>
      <c r="F3313" s="7"/>
      <c r="H3313" s="7"/>
      <c r="J3313" s="7"/>
      <c r="L3313" s="7"/>
      <c r="N3313" s="7"/>
      <c r="P3313" s="7"/>
      <c r="R3313" s="7"/>
      <c r="T3313" s="7"/>
      <c r="V3313" s="7"/>
      <c r="X3313" s="7"/>
    </row>
    <row r="3314" spans="2:24">
      <c r="B3314" s="7"/>
      <c r="D3314" s="7"/>
      <c r="F3314" s="7"/>
      <c r="H3314" s="7"/>
      <c r="J3314" s="7"/>
      <c r="L3314" s="7"/>
      <c r="N3314" s="7"/>
      <c r="P3314" s="7"/>
      <c r="R3314" s="7"/>
      <c r="T3314" s="7"/>
      <c r="V3314" s="7"/>
      <c r="X3314" s="7"/>
    </row>
    <row r="3315" spans="2:24">
      <c r="B3315" s="7"/>
      <c r="D3315" s="7"/>
      <c r="F3315" s="7"/>
      <c r="H3315" s="7"/>
      <c r="J3315" s="7"/>
      <c r="L3315" s="7"/>
      <c r="N3315" s="7"/>
      <c r="P3315" s="7"/>
      <c r="R3315" s="7"/>
      <c r="T3315" s="7"/>
      <c r="V3315" s="7"/>
      <c r="X3315" s="7"/>
    </row>
    <row r="3316" spans="2:24">
      <c r="B3316" s="7"/>
      <c r="D3316" s="7"/>
      <c r="F3316" s="7"/>
      <c r="H3316" s="7"/>
      <c r="J3316" s="7"/>
      <c r="L3316" s="7"/>
      <c r="N3316" s="7"/>
      <c r="P3316" s="7"/>
      <c r="R3316" s="7"/>
      <c r="T3316" s="7"/>
      <c r="V3316" s="7"/>
      <c r="X3316" s="7"/>
    </row>
    <row r="3317" spans="2:24">
      <c r="B3317" s="7"/>
      <c r="D3317" s="7"/>
      <c r="F3317" s="7"/>
      <c r="H3317" s="7"/>
      <c r="J3317" s="7"/>
      <c r="L3317" s="7"/>
      <c r="N3317" s="7"/>
      <c r="P3317" s="7"/>
      <c r="R3317" s="7"/>
      <c r="T3317" s="7"/>
      <c r="V3317" s="7"/>
      <c r="X3317" s="7"/>
    </row>
    <row r="3318" spans="2:24">
      <c r="B3318" s="7"/>
      <c r="D3318" s="7"/>
      <c r="F3318" s="7"/>
      <c r="H3318" s="7"/>
      <c r="J3318" s="7"/>
      <c r="L3318" s="7"/>
      <c r="N3318" s="7"/>
      <c r="P3318" s="7"/>
      <c r="R3318" s="7"/>
      <c r="T3318" s="7"/>
      <c r="V3318" s="7"/>
      <c r="X3318" s="7"/>
    </row>
    <row r="3319" spans="2:24">
      <c r="B3319" s="7"/>
      <c r="D3319" s="7"/>
      <c r="F3319" s="7"/>
      <c r="H3319" s="7"/>
      <c r="J3319" s="7"/>
      <c r="L3319" s="7"/>
      <c r="N3319" s="7"/>
      <c r="P3319" s="7"/>
      <c r="R3319" s="7"/>
      <c r="T3319" s="7"/>
      <c r="V3319" s="7"/>
      <c r="X3319" s="7"/>
    </row>
    <row r="3320" spans="2:24">
      <c r="B3320" s="7"/>
      <c r="D3320" s="7"/>
      <c r="F3320" s="7"/>
      <c r="H3320" s="7"/>
      <c r="J3320" s="7"/>
      <c r="L3320" s="7"/>
      <c r="N3320" s="7"/>
      <c r="P3320" s="7"/>
      <c r="R3320" s="7"/>
      <c r="T3320" s="7"/>
      <c r="V3320" s="7"/>
      <c r="X3320" s="7"/>
    </row>
    <row r="3321" spans="2:24">
      <c r="B3321" s="7"/>
      <c r="D3321" s="7"/>
      <c r="F3321" s="7"/>
      <c r="H3321" s="7"/>
      <c r="J3321" s="7"/>
      <c r="L3321" s="7"/>
      <c r="N3321" s="7"/>
      <c r="P3321" s="7"/>
      <c r="R3321" s="7"/>
      <c r="T3321" s="7"/>
      <c r="V3321" s="7"/>
      <c r="X3321" s="7"/>
    </row>
    <row r="3322" spans="2:24">
      <c r="B3322" s="7"/>
      <c r="D3322" s="7"/>
      <c r="F3322" s="7"/>
      <c r="H3322" s="7"/>
      <c r="J3322" s="7"/>
      <c r="L3322" s="7"/>
      <c r="N3322" s="7"/>
      <c r="P3322" s="7"/>
      <c r="R3322" s="7"/>
      <c r="T3322" s="7"/>
      <c r="V3322" s="7"/>
      <c r="X3322" s="7"/>
    </row>
    <row r="3323" spans="2:24">
      <c r="B3323" s="7"/>
      <c r="D3323" s="7"/>
      <c r="F3323" s="7"/>
      <c r="H3323" s="7"/>
      <c r="J3323" s="7"/>
      <c r="L3323" s="7"/>
      <c r="N3323" s="7"/>
      <c r="P3323" s="7"/>
      <c r="R3323" s="7"/>
      <c r="T3323" s="7"/>
      <c r="V3323" s="7"/>
      <c r="X3323" s="7"/>
    </row>
    <row r="3324" spans="2:24">
      <c r="B3324" s="7"/>
      <c r="D3324" s="7"/>
      <c r="F3324" s="7"/>
      <c r="H3324" s="7"/>
      <c r="J3324" s="7"/>
      <c r="L3324" s="7"/>
      <c r="N3324" s="7"/>
      <c r="P3324" s="7"/>
      <c r="R3324" s="7"/>
      <c r="T3324" s="7"/>
      <c r="V3324" s="7"/>
      <c r="X3324" s="7"/>
    </row>
    <row r="3325" spans="2:24">
      <c r="B3325" s="7"/>
      <c r="D3325" s="7"/>
      <c r="F3325" s="7"/>
      <c r="H3325" s="7"/>
      <c r="J3325" s="7"/>
      <c r="L3325" s="7"/>
      <c r="N3325" s="7"/>
      <c r="P3325" s="7"/>
      <c r="R3325" s="7"/>
      <c r="T3325" s="7"/>
      <c r="V3325" s="7"/>
      <c r="X3325" s="7"/>
    </row>
    <row r="3326" spans="2:24">
      <c r="B3326" s="7"/>
      <c r="D3326" s="7"/>
      <c r="F3326" s="7"/>
      <c r="H3326" s="7"/>
      <c r="J3326" s="7"/>
      <c r="L3326" s="7"/>
      <c r="N3326" s="7"/>
      <c r="P3326" s="7"/>
      <c r="R3326" s="7"/>
      <c r="T3326" s="7"/>
      <c r="V3326" s="7"/>
      <c r="X3326" s="7"/>
    </row>
    <row r="3327" spans="2:24">
      <c r="B3327" s="7"/>
      <c r="D3327" s="7"/>
      <c r="F3327" s="7"/>
      <c r="H3327" s="7"/>
      <c r="J3327" s="7"/>
      <c r="L3327" s="7"/>
      <c r="N3327" s="7"/>
      <c r="P3327" s="7"/>
      <c r="R3327" s="7"/>
      <c r="T3327" s="7"/>
      <c r="V3327" s="7"/>
      <c r="X3327" s="7"/>
    </row>
    <row r="3328" spans="2:24">
      <c r="B3328" s="7"/>
      <c r="D3328" s="7"/>
      <c r="F3328" s="7"/>
      <c r="H3328" s="7"/>
      <c r="J3328" s="7"/>
      <c r="L3328" s="7"/>
      <c r="N3328" s="7"/>
      <c r="P3328" s="7"/>
      <c r="R3328" s="7"/>
      <c r="T3328" s="7"/>
      <c r="V3328" s="7"/>
      <c r="X3328" s="7"/>
    </row>
    <row r="3329" spans="2:24">
      <c r="B3329" s="7"/>
      <c r="D3329" s="7"/>
      <c r="F3329" s="7"/>
      <c r="H3329" s="7"/>
      <c r="J3329" s="7"/>
      <c r="L3329" s="7"/>
      <c r="N3329" s="7"/>
      <c r="P3329" s="7"/>
      <c r="R3329" s="7"/>
      <c r="T3329" s="7"/>
      <c r="V3329" s="7"/>
      <c r="X3329" s="7"/>
    </row>
    <row r="3330" spans="2:24">
      <c r="B3330" s="7"/>
      <c r="D3330" s="7"/>
      <c r="F3330" s="7"/>
      <c r="H3330" s="7"/>
      <c r="J3330" s="7"/>
      <c r="L3330" s="7"/>
      <c r="N3330" s="7"/>
      <c r="P3330" s="7"/>
      <c r="R3330" s="7"/>
      <c r="T3330" s="7"/>
      <c r="V3330" s="7"/>
      <c r="X3330" s="7"/>
    </row>
    <row r="3331" spans="2:24">
      <c r="B3331" s="7"/>
      <c r="D3331" s="7"/>
      <c r="F3331" s="7"/>
      <c r="H3331" s="7"/>
      <c r="J3331" s="7"/>
      <c r="L3331" s="7"/>
      <c r="N3331" s="7"/>
      <c r="P3331" s="7"/>
      <c r="R3331" s="7"/>
      <c r="T3331" s="7"/>
      <c r="V3331" s="7"/>
      <c r="X3331" s="7"/>
    </row>
    <row r="3332" spans="2:24">
      <c r="B3332" s="7"/>
      <c r="D3332" s="7"/>
      <c r="F3332" s="7"/>
      <c r="H3332" s="7"/>
      <c r="J3332" s="7"/>
      <c r="L3332" s="7"/>
      <c r="N3332" s="7"/>
      <c r="P3332" s="7"/>
      <c r="R3332" s="7"/>
      <c r="T3332" s="7"/>
      <c r="V3332" s="7"/>
      <c r="X3332" s="7"/>
    </row>
    <row r="3333" spans="2:24">
      <c r="B3333" s="7"/>
      <c r="D3333" s="7"/>
      <c r="F3333" s="7"/>
      <c r="H3333" s="7"/>
      <c r="J3333" s="7"/>
      <c r="L3333" s="7"/>
      <c r="N3333" s="7"/>
      <c r="P3333" s="7"/>
      <c r="R3333" s="7"/>
      <c r="T3333" s="7"/>
      <c r="V3333" s="7"/>
      <c r="X3333" s="7"/>
    </row>
    <row r="3334" spans="2:24">
      <c r="B3334" s="7"/>
      <c r="D3334" s="7"/>
      <c r="F3334" s="7"/>
      <c r="H3334" s="7"/>
      <c r="J3334" s="7"/>
      <c r="L3334" s="7"/>
      <c r="N3334" s="7"/>
      <c r="P3334" s="7"/>
      <c r="R3334" s="7"/>
      <c r="T3334" s="7"/>
      <c r="V3334" s="7"/>
      <c r="X3334" s="7"/>
    </row>
    <row r="3335" spans="2:24">
      <c r="B3335" s="7"/>
      <c r="D3335" s="7"/>
      <c r="F3335" s="7"/>
      <c r="H3335" s="7"/>
      <c r="J3335" s="7"/>
      <c r="L3335" s="7"/>
      <c r="N3335" s="7"/>
      <c r="P3335" s="7"/>
      <c r="R3335" s="7"/>
      <c r="T3335" s="7"/>
      <c r="V3335" s="7"/>
      <c r="X3335" s="7"/>
    </row>
    <row r="3336" spans="2:24">
      <c r="B3336" s="7"/>
      <c r="D3336" s="7"/>
      <c r="F3336" s="7"/>
      <c r="H3336" s="7"/>
      <c r="J3336" s="7"/>
      <c r="L3336" s="7"/>
      <c r="N3336" s="7"/>
      <c r="P3336" s="7"/>
      <c r="R3336" s="7"/>
      <c r="T3336" s="7"/>
      <c r="V3336" s="7"/>
      <c r="X3336" s="7"/>
    </row>
    <row r="3337" spans="2:24">
      <c r="B3337" s="7"/>
      <c r="D3337" s="7"/>
      <c r="F3337" s="7"/>
      <c r="H3337" s="7"/>
      <c r="J3337" s="7"/>
      <c r="L3337" s="7"/>
      <c r="N3337" s="7"/>
      <c r="P3337" s="7"/>
      <c r="R3337" s="7"/>
      <c r="T3337" s="7"/>
      <c r="V3337" s="7"/>
      <c r="X3337" s="7"/>
    </row>
    <row r="3338" spans="2:24">
      <c r="B3338" s="7"/>
      <c r="D3338" s="7"/>
      <c r="F3338" s="7"/>
      <c r="H3338" s="7"/>
      <c r="J3338" s="7"/>
      <c r="L3338" s="7"/>
      <c r="N3338" s="7"/>
      <c r="P3338" s="7"/>
      <c r="R3338" s="7"/>
      <c r="T3338" s="7"/>
      <c r="V3338" s="7"/>
      <c r="X3338" s="7"/>
    </row>
    <row r="3339" spans="2:24">
      <c r="B3339" s="7"/>
      <c r="D3339" s="7"/>
      <c r="F3339" s="7"/>
      <c r="H3339" s="7"/>
      <c r="J3339" s="7"/>
      <c r="L3339" s="7"/>
      <c r="N3339" s="7"/>
      <c r="P3339" s="7"/>
      <c r="R3339" s="7"/>
      <c r="T3339" s="7"/>
      <c r="V3339" s="7"/>
      <c r="X3339" s="7"/>
    </row>
    <row r="3340" spans="2:24">
      <c r="B3340" s="7"/>
      <c r="D3340" s="7"/>
      <c r="F3340" s="7"/>
      <c r="H3340" s="7"/>
      <c r="J3340" s="7"/>
      <c r="L3340" s="7"/>
      <c r="N3340" s="7"/>
      <c r="P3340" s="7"/>
      <c r="R3340" s="7"/>
      <c r="T3340" s="7"/>
      <c r="V3340" s="7"/>
      <c r="X3340" s="7"/>
    </row>
    <row r="3341" spans="2:24">
      <c r="B3341" s="7"/>
      <c r="D3341" s="7"/>
      <c r="F3341" s="7"/>
      <c r="H3341" s="7"/>
      <c r="J3341" s="7"/>
      <c r="L3341" s="7"/>
      <c r="N3341" s="7"/>
      <c r="P3341" s="7"/>
      <c r="R3341" s="7"/>
      <c r="T3341" s="7"/>
      <c r="V3341" s="7"/>
      <c r="X3341" s="7"/>
    </row>
    <row r="3342" spans="2:24">
      <c r="B3342" s="7"/>
      <c r="D3342" s="7"/>
      <c r="F3342" s="7"/>
      <c r="H3342" s="7"/>
      <c r="J3342" s="7"/>
      <c r="L3342" s="7"/>
      <c r="N3342" s="7"/>
      <c r="P3342" s="7"/>
      <c r="R3342" s="7"/>
      <c r="T3342" s="7"/>
      <c r="V3342" s="7"/>
      <c r="X3342" s="7"/>
    </row>
    <row r="3343" spans="2:24">
      <c r="B3343" s="7"/>
      <c r="D3343" s="7"/>
      <c r="F3343" s="7"/>
      <c r="H3343" s="7"/>
      <c r="J3343" s="7"/>
      <c r="L3343" s="7"/>
      <c r="N3343" s="7"/>
      <c r="P3343" s="7"/>
      <c r="R3343" s="7"/>
      <c r="T3343" s="7"/>
      <c r="V3343" s="7"/>
      <c r="X3343" s="7"/>
    </row>
    <row r="3344" spans="2:24">
      <c r="B3344" s="7"/>
      <c r="D3344" s="7"/>
      <c r="F3344" s="7"/>
      <c r="H3344" s="7"/>
      <c r="J3344" s="7"/>
      <c r="L3344" s="7"/>
      <c r="N3344" s="7"/>
      <c r="P3344" s="7"/>
      <c r="R3344" s="7"/>
      <c r="T3344" s="7"/>
      <c r="V3344" s="7"/>
      <c r="X3344" s="7"/>
    </row>
    <row r="3345" spans="2:24">
      <c r="B3345" s="7"/>
      <c r="D3345" s="7"/>
      <c r="F3345" s="7"/>
      <c r="H3345" s="7"/>
      <c r="J3345" s="7"/>
      <c r="L3345" s="7"/>
      <c r="N3345" s="7"/>
      <c r="P3345" s="7"/>
      <c r="R3345" s="7"/>
      <c r="T3345" s="7"/>
      <c r="V3345" s="7"/>
      <c r="X3345" s="7"/>
    </row>
    <row r="3346" spans="2:24">
      <c r="B3346" s="7"/>
      <c r="D3346" s="7"/>
      <c r="F3346" s="7"/>
      <c r="H3346" s="7"/>
      <c r="J3346" s="7"/>
      <c r="L3346" s="7"/>
      <c r="N3346" s="7"/>
      <c r="P3346" s="7"/>
      <c r="R3346" s="7"/>
      <c r="T3346" s="7"/>
      <c r="V3346" s="7"/>
      <c r="X3346" s="7"/>
    </row>
    <row r="3347" spans="2:24">
      <c r="B3347" s="7"/>
      <c r="D3347" s="7"/>
      <c r="F3347" s="7"/>
      <c r="H3347" s="7"/>
      <c r="J3347" s="7"/>
      <c r="L3347" s="7"/>
      <c r="N3347" s="7"/>
      <c r="P3347" s="7"/>
      <c r="R3347" s="7"/>
      <c r="T3347" s="7"/>
      <c r="V3347" s="7"/>
      <c r="X3347" s="7"/>
    </row>
    <row r="3348" spans="2:24">
      <c r="B3348" s="7"/>
      <c r="D3348" s="7"/>
      <c r="F3348" s="7"/>
      <c r="H3348" s="7"/>
      <c r="J3348" s="7"/>
      <c r="L3348" s="7"/>
      <c r="N3348" s="7"/>
      <c r="P3348" s="7"/>
      <c r="R3348" s="7"/>
      <c r="T3348" s="7"/>
      <c r="V3348" s="7"/>
      <c r="X3348" s="7"/>
    </row>
    <row r="3349" spans="2:24">
      <c r="B3349" s="7"/>
      <c r="D3349" s="7"/>
      <c r="F3349" s="7"/>
      <c r="H3349" s="7"/>
      <c r="J3349" s="7"/>
      <c r="L3349" s="7"/>
      <c r="N3349" s="7"/>
      <c r="P3349" s="7"/>
      <c r="R3349" s="7"/>
      <c r="T3349" s="7"/>
      <c r="V3349" s="7"/>
      <c r="X3349" s="7"/>
    </row>
    <row r="3350" spans="2:24">
      <c r="B3350" s="7"/>
      <c r="D3350" s="7"/>
      <c r="F3350" s="7"/>
      <c r="H3350" s="7"/>
      <c r="J3350" s="7"/>
      <c r="L3350" s="7"/>
      <c r="N3350" s="7"/>
      <c r="P3350" s="7"/>
      <c r="R3350" s="7"/>
      <c r="T3350" s="7"/>
      <c r="V3350" s="7"/>
      <c r="X3350" s="7"/>
    </row>
    <row r="3351" spans="2:24">
      <c r="B3351" s="7"/>
      <c r="D3351" s="7"/>
      <c r="F3351" s="7"/>
      <c r="H3351" s="7"/>
      <c r="J3351" s="7"/>
      <c r="L3351" s="7"/>
      <c r="N3351" s="7"/>
      <c r="P3351" s="7"/>
      <c r="R3351" s="7"/>
      <c r="T3351" s="7"/>
      <c r="V3351" s="7"/>
      <c r="X3351" s="7"/>
    </row>
    <row r="3352" spans="2:24">
      <c r="B3352" s="7"/>
      <c r="D3352" s="7"/>
      <c r="F3352" s="7"/>
      <c r="H3352" s="7"/>
      <c r="J3352" s="7"/>
      <c r="L3352" s="7"/>
      <c r="N3352" s="7"/>
      <c r="P3352" s="7"/>
      <c r="R3352" s="7"/>
      <c r="T3352" s="7"/>
      <c r="V3352" s="7"/>
      <c r="X3352" s="7"/>
    </row>
    <row r="3353" spans="2:24">
      <c r="B3353" s="7"/>
      <c r="D3353" s="7"/>
      <c r="F3353" s="7"/>
      <c r="H3353" s="7"/>
      <c r="J3353" s="7"/>
      <c r="L3353" s="7"/>
      <c r="N3353" s="7"/>
      <c r="P3353" s="7"/>
      <c r="R3353" s="7"/>
      <c r="T3353" s="7"/>
      <c r="V3353" s="7"/>
      <c r="X3353" s="7"/>
    </row>
    <row r="3354" spans="2:24">
      <c r="B3354" s="7"/>
      <c r="D3354" s="7"/>
      <c r="F3354" s="7"/>
      <c r="H3354" s="7"/>
      <c r="J3354" s="7"/>
      <c r="L3354" s="7"/>
      <c r="N3354" s="7"/>
      <c r="P3354" s="7"/>
      <c r="R3354" s="7"/>
      <c r="T3354" s="7"/>
      <c r="V3354" s="7"/>
      <c r="X3354" s="7"/>
    </row>
    <row r="3355" spans="2:24">
      <c r="B3355" s="7"/>
      <c r="D3355" s="7"/>
      <c r="F3355" s="7"/>
      <c r="H3355" s="7"/>
      <c r="J3355" s="7"/>
      <c r="L3355" s="7"/>
      <c r="N3355" s="7"/>
      <c r="P3355" s="7"/>
      <c r="R3355" s="7"/>
      <c r="T3355" s="7"/>
      <c r="V3355" s="7"/>
      <c r="X3355" s="7"/>
    </row>
    <row r="3356" spans="2:24">
      <c r="B3356" s="7"/>
      <c r="D3356" s="7"/>
      <c r="F3356" s="7"/>
      <c r="H3356" s="7"/>
      <c r="J3356" s="7"/>
      <c r="L3356" s="7"/>
      <c r="N3356" s="7"/>
      <c r="P3356" s="7"/>
      <c r="R3356" s="7"/>
      <c r="T3356" s="7"/>
      <c r="V3356" s="7"/>
      <c r="X3356" s="7"/>
    </row>
    <row r="3357" spans="2:24">
      <c r="B3357" s="7"/>
      <c r="D3357" s="7"/>
      <c r="F3357" s="7"/>
      <c r="H3357" s="7"/>
      <c r="J3357" s="7"/>
      <c r="L3357" s="7"/>
      <c r="N3357" s="7"/>
      <c r="P3357" s="7"/>
      <c r="R3357" s="7"/>
      <c r="T3357" s="7"/>
      <c r="V3357" s="7"/>
      <c r="X3357" s="7"/>
    </row>
    <row r="3358" spans="2:24">
      <c r="B3358" s="7"/>
      <c r="D3358" s="7"/>
      <c r="F3358" s="7"/>
      <c r="H3358" s="7"/>
      <c r="J3358" s="7"/>
      <c r="L3358" s="7"/>
      <c r="N3358" s="7"/>
      <c r="P3358" s="7"/>
      <c r="R3358" s="7"/>
      <c r="T3358" s="7"/>
      <c r="V3358" s="7"/>
      <c r="X3358" s="7"/>
    </row>
    <row r="3359" spans="2:24">
      <c r="B3359" s="7"/>
      <c r="D3359" s="7"/>
      <c r="F3359" s="7"/>
      <c r="H3359" s="7"/>
      <c r="J3359" s="7"/>
      <c r="L3359" s="7"/>
      <c r="N3359" s="7"/>
      <c r="P3359" s="7"/>
      <c r="R3359" s="7"/>
      <c r="T3359" s="7"/>
      <c r="V3359" s="7"/>
      <c r="X3359" s="7"/>
    </row>
    <row r="3360" spans="2:24">
      <c r="B3360" s="7"/>
      <c r="D3360" s="7"/>
      <c r="F3360" s="7"/>
      <c r="H3360" s="7"/>
      <c r="J3360" s="7"/>
      <c r="L3360" s="7"/>
      <c r="N3360" s="7"/>
      <c r="P3360" s="7"/>
      <c r="R3360" s="7"/>
      <c r="T3360" s="7"/>
      <c r="V3360" s="7"/>
      <c r="X3360" s="7"/>
    </row>
    <row r="3361" spans="2:24">
      <c r="B3361" s="7"/>
      <c r="D3361" s="7"/>
      <c r="F3361" s="7"/>
      <c r="H3361" s="7"/>
      <c r="J3361" s="7"/>
      <c r="L3361" s="7"/>
      <c r="N3361" s="7"/>
      <c r="P3361" s="7"/>
      <c r="R3361" s="7"/>
      <c r="T3361" s="7"/>
      <c r="V3361" s="7"/>
      <c r="X3361" s="7"/>
    </row>
    <row r="3362" spans="2:24">
      <c r="B3362" s="7"/>
      <c r="D3362" s="7"/>
      <c r="F3362" s="7"/>
      <c r="H3362" s="7"/>
      <c r="J3362" s="7"/>
      <c r="L3362" s="7"/>
      <c r="N3362" s="7"/>
      <c r="P3362" s="7"/>
      <c r="R3362" s="7"/>
      <c r="T3362" s="7"/>
      <c r="V3362" s="7"/>
      <c r="X3362" s="7"/>
    </row>
    <row r="3363" spans="2:24">
      <c r="B3363" s="7"/>
      <c r="D3363" s="7"/>
      <c r="F3363" s="7"/>
      <c r="H3363" s="7"/>
      <c r="J3363" s="7"/>
      <c r="L3363" s="7"/>
      <c r="N3363" s="7"/>
      <c r="P3363" s="7"/>
      <c r="R3363" s="7"/>
      <c r="T3363" s="7"/>
      <c r="V3363" s="7"/>
      <c r="X3363" s="7"/>
    </row>
    <row r="3364" spans="2:24">
      <c r="B3364" s="7"/>
      <c r="D3364" s="7"/>
      <c r="F3364" s="7"/>
      <c r="H3364" s="7"/>
      <c r="J3364" s="7"/>
      <c r="L3364" s="7"/>
      <c r="N3364" s="7"/>
      <c r="P3364" s="7"/>
      <c r="R3364" s="7"/>
      <c r="T3364" s="7"/>
      <c r="V3364" s="7"/>
      <c r="X3364" s="7"/>
    </row>
    <row r="3365" spans="2:24">
      <c r="B3365" s="7"/>
      <c r="D3365" s="7"/>
      <c r="F3365" s="7"/>
      <c r="H3365" s="7"/>
      <c r="J3365" s="7"/>
      <c r="L3365" s="7"/>
      <c r="N3365" s="7"/>
      <c r="P3365" s="7"/>
      <c r="R3365" s="7"/>
      <c r="T3365" s="7"/>
      <c r="V3365" s="7"/>
      <c r="X3365" s="7"/>
    </row>
    <row r="3366" spans="2:24">
      <c r="B3366" s="7"/>
      <c r="D3366" s="7"/>
      <c r="F3366" s="7"/>
      <c r="H3366" s="7"/>
      <c r="J3366" s="7"/>
      <c r="L3366" s="7"/>
      <c r="N3366" s="7"/>
      <c r="P3366" s="7"/>
      <c r="R3366" s="7"/>
      <c r="T3366" s="7"/>
      <c r="V3366" s="7"/>
      <c r="X3366" s="7"/>
    </row>
    <row r="3367" spans="2:24">
      <c r="B3367" s="7"/>
      <c r="D3367" s="7"/>
      <c r="F3367" s="7"/>
      <c r="H3367" s="7"/>
      <c r="J3367" s="7"/>
      <c r="L3367" s="7"/>
      <c r="N3367" s="7"/>
      <c r="P3367" s="7"/>
      <c r="R3367" s="7"/>
      <c r="T3367" s="7"/>
      <c r="V3367" s="7"/>
      <c r="X3367" s="7"/>
    </row>
    <row r="3368" spans="2:24">
      <c r="B3368" s="7"/>
      <c r="D3368" s="7"/>
      <c r="F3368" s="7"/>
      <c r="H3368" s="7"/>
      <c r="J3368" s="7"/>
      <c r="L3368" s="7"/>
      <c r="N3368" s="7"/>
      <c r="P3368" s="7"/>
      <c r="R3368" s="7"/>
      <c r="T3368" s="7"/>
      <c r="V3368" s="7"/>
      <c r="X3368" s="7"/>
    </row>
    <row r="3369" spans="2:24">
      <c r="B3369" s="7"/>
      <c r="D3369" s="7"/>
      <c r="F3369" s="7"/>
      <c r="H3369" s="7"/>
      <c r="J3369" s="7"/>
      <c r="L3369" s="7"/>
      <c r="N3369" s="7"/>
      <c r="P3369" s="7"/>
      <c r="R3369" s="7"/>
      <c r="T3369" s="7"/>
      <c r="V3369" s="7"/>
      <c r="X3369" s="7"/>
    </row>
    <row r="3370" spans="2:24">
      <c r="B3370" s="7"/>
      <c r="D3370" s="7"/>
      <c r="F3370" s="7"/>
      <c r="H3370" s="7"/>
      <c r="J3370" s="7"/>
      <c r="L3370" s="7"/>
      <c r="N3370" s="7"/>
      <c r="P3370" s="7"/>
      <c r="R3370" s="7"/>
      <c r="T3370" s="7"/>
      <c r="V3370" s="7"/>
      <c r="X3370" s="7"/>
    </row>
    <row r="3371" spans="2:24">
      <c r="B3371" s="7"/>
      <c r="D3371" s="7"/>
      <c r="F3371" s="7"/>
      <c r="H3371" s="7"/>
      <c r="J3371" s="7"/>
      <c r="L3371" s="7"/>
      <c r="N3371" s="7"/>
      <c r="P3371" s="7"/>
      <c r="R3371" s="7"/>
      <c r="T3371" s="7"/>
      <c r="V3371" s="7"/>
      <c r="X3371" s="7"/>
    </row>
    <row r="3372" spans="2:24">
      <c r="B3372" s="7"/>
      <c r="D3372" s="7"/>
      <c r="F3372" s="7"/>
      <c r="H3372" s="7"/>
      <c r="J3372" s="7"/>
      <c r="L3372" s="7"/>
      <c r="N3372" s="7"/>
      <c r="P3372" s="7"/>
      <c r="R3372" s="7"/>
      <c r="T3372" s="7"/>
      <c r="V3372" s="7"/>
      <c r="X3372" s="7"/>
    </row>
    <row r="3373" spans="2:24">
      <c r="B3373" s="7"/>
      <c r="D3373" s="7"/>
      <c r="F3373" s="7"/>
      <c r="H3373" s="7"/>
      <c r="J3373" s="7"/>
      <c r="L3373" s="7"/>
      <c r="N3373" s="7"/>
      <c r="P3373" s="7"/>
      <c r="R3373" s="7"/>
      <c r="T3373" s="7"/>
      <c r="V3373" s="7"/>
      <c r="X3373" s="7"/>
    </row>
    <row r="3374" spans="2:24">
      <c r="B3374" s="7"/>
      <c r="D3374" s="7"/>
      <c r="F3374" s="7"/>
      <c r="H3374" s="7"/>
      <c r="J3374" s="7"/>
      <c r="L3374" s="7"/>
      <c r="N3374" s="7"/>
      <c r="P3374" s="7"/>
      <c r="R3374" s="7"/>
      <c r="T3374" s="7"/>
      <c r="V3374" s="7"/>
      <c r="X3374" s="7"/>
    </row>
    <row r="3375" spans="2:24">
      <c r="B3375" s="7"/>
      <c r="D3375" s="7"/>
      <c r="F3375" s="7"/>
      <c r="H3375" s="7"/>
      <c r="J3375" s="7"/>
      <c r="L3375" s="7"/>
      <c r="N3375" s="7"/>
      <c r="P3375" s="7"/>
      <c r="R3375" s="7"/>
      <c r="T3375" s="7"/>
      <c r="V3375" s="7"/>
      <c r="X3375" s="7"/>
    </row>
    <row r="3376" spans="2:24">
      <c r="B3376" s="7"/>
      <c r="D3376" s="7"/>
      <c r="F3376" s="7"/>
      <c r="H3376" s="7"/>
      <c r="J3376" s="7"/>
      <c r="L3376" s="7"/>
      <c r="N3376" s="7"/>
      <c r="P3376" s="7"/>
      <c r="R3376" s="7"/>
      <c r="T3376" s="7"/>
      <c r="V3376" s="7"/>
      <c r="X3376" s="7"/>
    </row>
    <row r="3377" spans="2:24">
      <c r="B3377" s="7"/>
      <c r="D3377" s="7"/>
      <c r="F3377" s="7"/>
      <c r="H3377" s="7"/>
      <c r="J3377" s="7"/>
      <c r="L3377" s="7"/>
      <c r="N3377" s="7"/>
      <c r="P3377" s="7"/>
      <c r="R3377" s="7"/>
      <c r="T3377" s="7"/>
      <c r="V3377" s="7"/>
      <c r="X3377" s="7"/>
    </row>
    <row r="3378" spans="2:24">
      <c r="B3378" s="7"/>
      <c r="D3378" s="7"/>
      <c r="F3378" s="7"/>
      <c r="H3378" s="7"/>
      <c r="J3378" s="7"/>
      <c r="L3378" s="7"/>
      <c r="N3378" s="7"/>
      <c r="P3378" s="7"/>
      <c r="R3378" s="7"/>
      <c r="T3378" s="7"/>
      <c r="V3378" s="7"/>
      <c r="X3378" s="7"/>
    </row>
    <row r="3379" spans="2:24">
      <c r="B3379" s="7"/>
      <c r="D3379" s="7"/>
      <c r="F3379" s="7"/>
      <c r="H3379" s="7"/>
      <c r="J3379" s="7"/>
      <c r="L3379" s="7"/>
      <c r="N3379" s="7"/>
      <c r="P3379" s="7"/>
      <c r="R3379" s="7"/>
      <c r="T3379" s="7"/>
      <c r="V3379" s="7"/>
      <c r="X3379" s="7"/>
    </row>
    <row r="3380" spans="2:24">
      <c r="B3380" s="7"/>
      <c r="D3380" s="7"/>
      <c r="F3380" s="7"/>
      <c r="H3380" s="7"/>
      <c r="J3380" s="7"/>
      <c r="L3380" s="7"/>
      <c r="N3380" s="7"/>
      <c r="P3380" s="7"/>
      <c r="R3380" s="7"/>
      <c r="T3380" s="7"/>
      <c r="V3380" s="7"/>
      <c r="X3380" s="7"/>
    </row>
    <row r="3381" spans="2:24">
      <c r="B3381" s="7"/>
      <c r="D3381" s="7"/>
      <c r="F3381" s="7"/>
      <c r="H3381" s="7"/>
      <c r="J3381" s="7"/>
      <c r="L3381" s="7"/>
      <c r="N3381" s="7"/>
      <c r="P3381" s="7"/>
      <c r="R3381" s="7"/>
      <c r="T3381" s="7"/>
      <c r="V3381" s="7"/>
      <c r="X3381" s="7"/>
    </row>
    <row r="3382" spans="2:24">
      <c r="B3382" s="7"/>
      <c r="D3382" s="7"/>
      <c r="F3382" s="7"/>
      <c r="H3382" s="7"/>
      <c r="J3382" s="7"/>
      <c r="L3382" s="7"/>
      <c r="N3382" s="7"/>
      <c r="P3382" s="7"/>
      <c r="R3382" s="7"/>
      <c r="T3382" s="7"/>
      <c r="V3382" s="7"/>
      <c r="X3382" s="7"/>
    </row>
    <row r="3383" spans="2:24">
      <c r="B3383" s="7"/>
      <c r="D3383" s="7"/>
      <c r="F3383" s="7"/>
      <c r="H3383" s="7"/>
      <c r="J3383" s="7"/>
      <c r="L3383" s="7"/>
      <c r="N3383" s="7"/>
      <c r="P3383" s="7"/>
      <c r="R3383" s="7"/>
      <c r="T3383" s="7"/>
      <c r="V3383" s="7"/>
      <c r="X3383" s="7"/>
    </row>
    <row r="3384" spans="2:24">
      <c r="B3384" s="7"/>
      <c r="D3384" s="7"/>
      <c r="F3384" s="7"/>
      <c r="H3384" s="7"/>
      <c r="J3384" s="7"/>
      <c r="L3384" s="7"/>
      <c r="N3384" s="7"/>
      <c r="P3384" s="7"/>
      <c r="R3384" s="7"/>
      <c r="T3384" s="7"/>
      <c r="V3384" s="7"/>
      <c r="X3384" s="7"/>
    </row>
    <row r="3385" spans="2:24">
      <c r="B3385" s="7"/>
      <c r="D3385" s="7"/>
      <c r="F3385" s="7"/>
      <c r="H3385" s="7"/>
      <c r="J3385" s="7"/>
      <c r="L3385" s="7"/>
      <c r="N3385" s="7"/>
      <c r="P3385" s="7"/>
      <c r="R3385" s="7"/>
      <c r="T3385" s="7"/>
      <c r="V3385" s="7"/>
      <c r="X3385" s="7"/>
    </row>
    <row r="3386" spans="2:24">
      <c r="B3386" s="7"/>
      <c r="D3386" s="7"/>
      <c r="F3386" s="7"/>
      <c r="H3386" s="7"/>
      <c r="J3386" s="7"/>
      <c r="L3386" s="7"/>
      <c r="N3386" s="7"/>
      <c r="P3386" s="7"/>
      <c r="R3386" s="7"/>
      <c r="T3386" s="7"/>
      <c r="V3386" s="7"/>
      <c r="X3386" s="7"/>
    </row>
    <row r="3387" spans="2:24">
      <c r="B3387" s="7"/>
      <c r="D3387" s="7"/>
      <c r="F3387" s="7"/>
      <c r="H3387" s="7"/>
      <c r="J3387" s="7"/>
      <c r="L3387" s="7"/>
      <c r="N3387" s="7"/>
      <c r="P3387" s="7"/>
      <c r="R3387" s="7"/>
      <c r="T3387" s="7"/>
      <c r="V3387" s="7"/>
      <c r="X3387" s="7"/>
    </row>
    <row r="3388" spans="2:24">
      <c r="B3388" s="7"/>
      <c r="D3388" s="7"/>
      <c r="F3388" s="7"/>
      <c r="H3388" s="7"/>
      <c r="J3388" s="7"/>
      <c r="L3388" s="7"/>
      <c r="N3388" s="7"/>
      <c r="P3388" s="7"/>
      <c r="R3388" s="7"/>
      <c r="T3388" s="7"/>
      <c r="V3388" s="7"/>
      <c r="X3388" s="7"/>
    </row>
    <row r="3389" spans="2:24">
      <c r="B3389" s="7"/>
      <c r="D3389" s="7"/>
      <c r="F3389" s="7"/>
      <c r="H3389" s="7"/>
      <c r="J3389" s="7"/>
      <c r="L3389" s="7"/>
      <c r="N3389" s="7"/>
      <c r="P3389" s="7"/>
      <c r="R3389" s="7"/>
      <c r="T3389" s="7"/>
      <c r="V3389" s="7"/>
      <c r="X3389" s="7"/>
    </row>
    <row r="3390" spans="2:24">
      <c r="B3390" s="7"/>
      <c r="D3390" s="7"/>
      <c r="F3390" s="7"/>
      <c r="H3390" s="7"/>
      <c r="J3390" s="7"/>
      <c r="L3390" s="7"/>
      <c r="N3390" s="7"/>
      <c r="P3390" s="7"/>
      <c r="R3390" s="7"/>
      <c r="T3390" s="7"/>
      <c r="V3390" s="7"/>
      <c r="X3390" s="7"/>
    </row>
    <row r="3391" spans="2:24">
      <c r="B3391" s="7"/>
      <c r="D3391" s="7"/>
      <c r="F3391" s="7"/>
      <c r="H3391" s="7"/>
      <c r="J3391" s="7"/>
      <c r="L3391" s="7"/>
      <c r="N3391" s="7"/>
      <c r="P3391" s="7"/>
      <c r="R3391" s="7"/>
      <c r="T3391" s="7"/>
      <c r="V3391" s="7"/>
      <c r="X3391" s="7"/>
    </row>
    <row r="3392" spans="2:24">
      <c r="B3392" s="7"/>
      <c r="D3392" s="7"/>
      <c r="F3392" s="7"/>
      <c r="H3392" s="7"/>
      <c r="J3392" s="7"/>
      <c r="L3392" s="7"/>
      <c r="N3392" s="7"/>
      <c r="P3392" s="7"/>
      <c r="R3392" s="7"/>
      <c r="T3392" s="7"/>
      <c r="V3392" s="7"/>
      <c r="X3392" s="7"/>
    </row>
    <row r="3393" spans="2:24">
      <c r="B3393" s="7"/>
      <c r="D3393" s="7"/>
      <c r="F3393" s="7"/>
      <c r="H3393" s="7"/>
      <c r="J3393" s="7"/>
      <c r="L3393" s="7"/>
      <c r="N3393" s="7"/>
      <c r="P3393" s="7"/>
      <c r="R3393" s="7"/>
      <c r="T3393" s="7"/>
      <c r="V3393" s="7"/>
      <c r="X3393" s="7"/>
    </row>
    <row r="3394" spans="2:24">
      <c r="B3394" s="7"/>
      <c r="D3394" s="7"/>
      <c r="F3394" s="7"/>
      <c r="H3394" s="7"/>
      <c r="J3394" s="7"/>
      <c r="L3394" s="7"/>
      <c r="N3394" s="7"/>
      <c r="P3394" s="7"/>
      <c r="R3394" s="7"/>
      <c r="T3394" s="7"/>
      <c r="V3394" s="7"/>
      <c r="X3394" s="7"/>
    </row>
    <row r="3395" spans="2:24">
      <c r="B3395" s="7"/>
      <c r="D3395" s="7"/>
      <c r="F3395" s="7"/>
      <c r="H3395" s="7"/>
      <c r="J3395" s="7"/>
      <c r="L3395" s="7"/>
      <c r="N3395" s="7"/>
      <c r="P3395" s="7"/>
      <c r="R3395" s="7"/>
      <c r="T3395" s="7"/>
      <c r="V3395" s="7"/>
      <c r="X3395" s="7"/>
    </row>
    <row r="3396" spans="2:24">
      <c r="B3396" s="7"/>
      <c r="D3396" s="7"/>
      <c r="F3396" s="7"/>
      <c r="H3396" s="7"/>
      <c r="J3396" s="7"/>
      <c r="L3396" s="7"/>
      <c r="N3396" s="7"/>
      <c r="P3396" s="7"/>
      <c r="R3396" s="7"/>
      <c r="T3396" s="7"/>
      <c r="V3396" s="7"/>
      <c r="X3396" s="7"/>
    </row>
    <row r="3397" spans="2:24">
      <c r="B3397" s="7"/>
      <c r="D3397" s="7"/>
      <c r="F3397" s="7"/>
      <c r="H3397" s="7"/>
      <c r="J3397" s="7"/>
      <c r="L3397" s="7"/>
      <c r="N3397" s="7"/>
      <c r="P3397" s="7"/>
      <c r="R3397" s="7"/>
      <c r="T3397" s="7"/>
      <c r="V3397" s="7"/>
      <c r="X3397" s="7"/>
    </row>
    <row r="3398" spans="2:24">
      <c r="B3398" s="7"/>
      <c r="D3398" s="7"/>
      <c r="F3398" s="7"/>
      <c r="H3398" s="7"/>
      <c r="J3398" s="7"/>
      <c r="L3398" s="7"/>
      <c r="N3398" s="7"/>
      <c r="P3398" s="7"/>
      <c r="R3398" s="7"/>
      <c r="T3398" s="7"/>
      <c r="V3398" s="7"/>
      <c r="X3398" s="7"/>
    </row>
    <row r="3399" spans="2:24">
      <c r="B3399" s="7"/>
      <c r="D3399" s="7"/>
      <c r="F3399" s="7"/>
      <c r="H3399" s="7"/>
      <c r="J3399" s="7"/>
      <c r="L3399" s="7"/>
      <c r="N3399" s="7"/>
      <c r="P3399" s="7"/>
      <c r="R3399" s="7"/>
      <c r="T3399" s="7"/>
      <c r="V3399" s="7"/>
      <c r="X3399" s="7"/>
    </row>
    <row r="3400" spans="2:24">
      <c r="B3400" s="7"/>
      <c r="D3400" s="7"/>
      <c r="F3400" s="7"/>
      <c r="H3400" s="7"/>
      <c r="J3400" s="7"/>
      <c r="L3400" s="7"/>
      <c r="N3400" s="7"/>
      <c r="P3400" s="7"/>
      <c r="R3400" s="7"/>
      <c r="T3400" s="7"/>
      <c r="V3400" s="7"/>
      <c r="X3400" s="7"/>
    </row>
    <row r="3401" spans="2:24">
      <c r="B3401" s="7"/>
      <c r="D3401" s="7"/>
      <c r="F3401" s="7"/>
      <c r="H3401" s="7"/>
      <c r="J3401" s="7"/>
      <c r="L3401" s="7"/>
      <c r="N3401" s="7"/>
      <c r="P3401" s="7"/>
      <c r="R3401" s="7"/>
      <c r="T3401" s="7"/>
      <c r="V3401" s="7"/>
      <c r="X3401" s="7"/>
    </row>
    <row r="3402" spans="2:24">
      <c r="B3402" s="7"/>
      <c r="D3402" s="7"/>
      <c r="F3402" s="7"/>
      <c r="H3402" s="7"/>
      <c r="J3402" s="7"/>
      <c r="L3402" s="7"/>
      <c r="N3402" s="7"/>
      <c r="P3402" s="7"/>
      <c r="R3402" s="7"/>
      <c r="T3402" s="7"/>
      <c r="V3402" s="7"/>
      <c r="X3402" s="7"/>
    </row>
    <row r="3403" spans="2:24">
      <c r="B3403" s="7"/>
      <c r="D3403" s="7"/>
      <c r="F3403" s="7"/>
      <c r="H3403" s="7"/>
      <c r="J3403" s="7"/>
      <c r="L3403" s="7"/>
      <c r="N3403" s="7"/>
      <c r="P3403" s="7"/>
      <c r="R3403" s="7"/>
      <c r="T3403" s="7"/>
      <c r="V3403" s="7"/>
      <c r="X3403" s="7"/>
    </row>
    <row r="3404" spans="2:24">
      <c r="B3404" s="7"/>
      <c r="D3404" s="7"/>
      <c r="F3404" s="7"/>
      <c r="H3404" s="7"/>
      <c r="J3404" s="7"/>
      <c r="L3404" s="7"/>
      <c r="N3404" s="7"/>
      <c r="P3404" s="7"/>
      <c r="R3404" s="7"/>
      <c r="T3404" s="7"/>
      <c r="V3404" s="7"/>
      <c r="X3404" s="7"/>
    </row>
    <row r="3405" spans="2:24">
      <c r="B3405" s="7"/>
      <c r="D3405" s="7"/>
      <c r="F3405" s="7"/>
      <c r="H3405" s="7"/>
      <c r="J3405" s="7"/>
      <c r="L3405" s="7"/>
      <c r="N3405" s="7"/>
      <c r="P3405" s="7"/>
      <c r="R3405" s="7"/>
      <c r="T3405" s="7"/>
      <c r="V3405" s="7"/>
      <c r="X3405" s="7"/>
    </row>
    <row r="3406" spans="2:24">
      <c r="B3406" s="7"/>
      <c r="D3406" s="7"/>
      <c r="F3406" s="7"/>
      <c r="H3406" s="7"/>
      <c r="J3406" s="7"/>
      <c r="L3406" s="7"/>
      <c r="N3406" s="7"/>
      <c r="P3406" s="7"/>
      <c r="R3406" s="7"/>
      <c r="T3406" s="7"/>
      <c r="V3406" s="7"/>
      <c r="X3406" s="7"/>
    </row>
    <row r="3407" spans="2:24">
      <c r="B3407" s="7"/>
      <c r="D3407" s="7"/>
      <c r="F3407" s="7"/>
      <c r="H3407" s="7"/>
      <c r="J3407" s="7"/>
      <c r="L3407" s="7"/>
      <c r="N3407" s="7"/>
      <c r="P3407" s="7"/>
      <c r="R3407" s="7"/>
      <c r="T3407" s="7"/>
      <c r="V3407" s="7"/>
      <c r="X3407" s="7"/>
    </row>
    <row r="3408" spans="2:24">
      <c r="B3408" s="7"/>
      <c r="D3408" s="7"/>
      <c r="F3408" s="7"/>
      <c r="H3408" s="7"/>
      <c r="J3408" s="7"/>
      <c r="L3408" s="7"/>
      <c r="N3408" s="7"/>
      <c r="P3408" s="7"/>
      <c r="R3408" s="7"/>
      <c r="T3408" s="7"/>
      <c r="V3408" s="7"/>
      <c r="X3408" s="7"/>
    </row>
    <row r="3409" spans="2:24">
      <c r="B3409" s="7"/>
      <c r="D3409" s="7"/>
      <c r="F3409" s="7"/>
      <c r="H3409" s="7"/>
      <c r="J3409" s="7"/>
      <c r="L3409" s="7"/>
      <c r="N3409" s="7"/>
      <c r="P3409" s="7"/>
      <c r="R3409" s="7"/>
      <c r="T3409" s="7"/>
      <c r="V3409" s="7"/>
      <c r="X3409" s="7"/>
    </row>
    <row r="3410" spans="2:24">
      <c r="B3410" s="7"/>
      <c r="D3410" s="7"/>
      <c r="F3410" s="7"/>
      <c r="H3410" s="7"/>
      <c r="J3410" s="7"/>
      <c r="L3410" s="7"/>
      <c r="N3410" s="7"/>
      <c r="P3410" s="7"/>
      <c r="R3410" s="7"/>
      <c r="T3410" s="7"/>
      <c r="V3410" s="7"/>
      <c r="X3410" s="7"/>
    </row>
    <row r="3411" spans="2:24">
      <c r="B3411" s="7"/>
      <c r="D3411" s="7"/>
      <c r="F3411" s="7"/>
      <c r="H3411" s="7"/>
      <c r="J3411" s="7"/>
      <c r="L3411" s="7"/>
      <c r="N3411" s="7"/>
      <c r="P3411" s="7"/>
      <c r="R3411" s="7"/>
      <c r="T3411" s="7"/>
      <c r="V3411" s="7"/>
      <c r="X3411" s="7"/>
    </row>
    <row r="3412" spans="2:24">
      <c r="B3412" s="7"/>
      <c r="D3412" s="7"/>
      <c r="F3412" s="7"/>
      <c r="H3412" s="7"/>
      <c r="J3412" s="7"/>
      <c r="L3412" s="7"/>
      <c r="N3412" s="7"/>
      <c r="P3412" s="7"/>
      <c r="R3412" s="7"/>
      <c r="T3412" s="7"/>
      <c r="V3412" s="7"/>
      <c r="X3412" s="7"/>
    </row>
    <row r="3413" spans="2:24">
      <c r="B3413" s="7"/>
      <c r="D3413" s="7"/>
      <c r="F3413" s="7"/>
      <c r="H3413" s="7"/>
      <c r="J3413" s="7"/>
      <c r="L3413" s="7"/>
      <c r="N3413" s="7"/>
      <c r="P3413" s="7"/>
      <c r="R3413" s="7"/>
      <c r="T3413" s="7"/>
      <c r="V3413" s="7"/>
      <c r="X3413" s="7"/>
    </row>
    <row r="3414" spans="2:24">
      <c r="B3414" s="7"/>
      <c r="D3414" s="7"/>
      <c r="F3414" s="7"/>
      <c r="H3414" s="7"/>
      <c r="J3414" s="7"/>
      <c r="L3414" s="7"/>
      <c r="N3414" s="7"/>
      <c r="P3414" s="7"/>
      <c r="R3414" s="7"/>
      <c r="T3414" s="7"/>
      <c r="V3414" s="7"/>
      <c r="X3414" s="7"/>
    </row>
    <row r="3415" spans="2:24">
      <c r="B3415" s="7"/>
      <c r="D3415" s="7"/>
      <c r="F3415" s="7"/>
      <c r="H3415" s="7"/>
      <c r="J3415" s="7"/>
      <c r="L3415" s="7"/>
      <c r="N3415" s="7"/>
      <c r="P3415" s="7"/>
      <c r="R3415" s="7"/>
      <c r="T3415" s="7"/>
      <c r="V3415" s="7"/>
      <c r="X3415" s="7"/>
    </row>
    <row r="3416" spans="2:24">
      <c r="B3416" s="7"/>
      <c r="D3416" s="7"/>
      <c r="F3416" s="7"/>
      <c r="H3416" s="7"/>
      <c r="J3416" s="7"/>
      <c r="L3416" s="7"/>
      <c r="N3416" s="7"/>
      <c r="P3416" s="7"/>
      <c r="R3416" s="7"/>
      <c r="T3416" s="7"/>
      <c r="V3416" s="7"/>
      <c r="X3416" s="7"/>
    </row>
    <row r="3417" spans="2:24">
      <c r="B3417" s="7"/>
      <c r="D3417" s="7"/>
      <c r="F3417" s="7"/>
      <c r="H3417" s="7"/>
      <c r="J3417" s="7"/>
      <c r="L3417" s="7"/>
      <c r="N3417" s="7"/>
      <c r="P3417" s="7"/>
      <c r="R3417" s="7"/>
      <c r="T3417" s="7"/>
      <c r="V3417" s="7"/>
      <c r="X3417" s="7"/>
    </row>
    <row r="3418" spans="2:24">
      <c r="B3418" s="7"/>
      <c r="D3418" s="7"/>
      <c r="F3418" s="7"/>
      <c r="H3418" s="7"/>
      <c r="J3418" s="7"/>
      <c r="L3418" s="7"/>
      <c r="N3418" s="7"/>
      <c r="P3418" s="7"/>
      <c r="R3418" s="7"/>
      <c r="T3418" s="7"/>
      <c r="V3418" s="7"/>
      <c r="X3418" s="7"/>
    </row>
    <row r="3419" spans="2:24">
      <c r="B3419" s="7"/>
      <c r="D3419" s="7"/>
      <c r="F3419" s="7"/>
      <c r="H3419" s="7"/>
      <c r="J3419" s="7"/>
      <c r="L3419" s="7"/>
      <c r="N3419" s="7"/>
      <c r="P3419" s="7"/>
      <c r="R3419" s="7"/>
      <c r="T3419" s="7"/>
      <c r="V3419" s="7"/>
      <c r="X3419" s="7"/>
    </row>
    <row r="3420" spans="2:24">
      <c r="B3420" s="7"/>
      <c r="D3420" s="7"/>
      <c r="F3420" s="7"/>
      <c r="H3420" s="7"/>
      <c r="J3420" s="7"/>
      <c r="L3420" s="7"/>
      <c r="N3420" s="7"/>
      <c r="P3420" s="7"/>
      <c r="R3420" s="7"/>
      <c r="T3420" s="7"/>
      <c r="V3420" s="7"/>
      <c r="X3420" s="7"/>
    </row>
    <row r="3421" spans="2:24">
      <c r="B3421" s="7"/>
      <c r="D3421" s="7"/>
      <c r="F3421" s="7"/>
      <c r="H3421" s="7"/>
      <c r="J3421" s="7"/>
      <c r="L3421" s="7"/>
      <c r="N3421" s="7"/>
      <c r="P3421" s="7"/>
      <c r="R3421" s="7"/>
      <c r="T3421" s="7"/>
      <c r="V3421" s="7"/>
      <c r="X3421" s="7"/>
    </row>
    <row r="3422" spans="2:24">
      <c r="B3422" s="7"/>
      <c r="D3422" s="7"/>
      <c r="F3422" s="7"/>
      <c r="H3422" s="7"/>
      <c r="J3422" s="7"/>
      <c r="L3422" s="7"/>
      <c r="N3422" s="7"/>
      <c r="P3422" s="7"/>
      <c r="R3422" s="7"/>
      <c r="T3422" s="7"/>
      <c r="V3422" s="7"/>
      <c r="X3422" s="7"/>
    </row>
    <row r="3423" spans="2:24">
      <c r="B3423" s="7"/>
      <c r="D3423" s="7"/>
      <c r="F3423" s="7"/>
      <c r="H3423" s="7"/>
      <c r="J3423" s="7"/>
      <c r="L3423" s="7"/>
      <c r="N3423" s="7"/>
      <c r="P3423" s="7"/>
      <c r="R3423" s="7"/>
      <c r="T3423" s="7"/>
      <c r="V3423" s="7"/>
      <c r="X3423" s="7"/>
    </row>
    <row r="3424" spans="2:24">
      <c r="B3424" s="7"/>
      <c r="D3424" s="7"/>
      <c r="F3424" s="7"/>
      <c r="H3424" s="7"/>
      <c r="J3424" s="7"/>
      <c r="L3424" s="7"/>
      <c r="N3424" s="7"/>
      <c r="P3424" s="7"/>
      <c r="R3424" s="7"/>
      <c r="T3424" s="7"/>
      <c r="V3424" s="7"/>
      <c r="X3424" s="7"/>
    </row>
    <row r="3425" spans="2:24">
      <c r="B3425" s="7"/>
      <c r="D3425" s="7"/>
      <c r="F3425" s="7"/>
      <c r="H3425" s="7"/>
      <c r="J3425" s="7"/>
      <c r="L3425" s="7"/>
      <c r="N3425" s="7"/>
      <c r="P3425" s="7"/>
      <c r="R3425" s="7"/>
      <c r="T3425" s="7"/>
      <c r="V3425" s="7"/>
      <c r="X3425" s="7"/>
    </row>
    <row r="3426" spans="2:24">
      <c r="B3426" s="7"/>
      <c r="D3426" s="7"/>
      <c r="F3426" s="7"/>
      <c r="H3426" s="7"/>
      <c r="J3426" s="7"/>
      <c r="L3426" s="7"/>
      <c r="N3426" s="7"/>
      <c r="P3426" s="7"/>
      <c r="R3426" s="7"/>
      <c r="T3426" s="7"/>
      <c r="V3426" s="7"/>
      <c r="X3426" s="7"/>
    </row>
    <row r="3427" spans="2:24">
      <c r="B3427" s="7"/>
      <c r="D3427" s="7"/>
      <c r="F3427" s="7"/>
      <c r="H3427" s="7"/>
      <c r="J3427" s="7"/>
      <c r="L3427" s="7"/>
      <c r="N3427" s="7"/>
      <c r="P3427" s="7"/>
      <c r="R3427" s="7"/>
      <c r="T3427" s="7"/>
      <c r="V3427" s="7"/>
      <c r="X3427" s="7"/>
    </row>
    <row r="3428" spans="2:24">
      <c r="B3428" s="7"/>
      <c r="D3428" s="7"/>
      <c r="F3428" s="7"/>
      <c r="H3428" s="7"/>
      <c r="J3428" s="7"/>
      <c r="L3428" s="7"/>
      <c r="N3428" s="7"/>
      <c r="P3428" s="7"/>
      <c r="R3428" s="7"/>
      <c r="T3428" s="7"/>
      <c r="V3428" s="7"/>
      <c r="X3428" s="7"/>
    </row>
    <row r="3429" spans="2:24">
      <c r="B3429" s="7"/>
      <c r="D3429" s="7"/>
      <c r="F3429" s="7"/>
      <c r="H3429" s="7"/>
      <c r="J3429" s="7"/>
      <c r="L3429" s="7"/>
      <c r="N3429" s="7"/>
      <c r="P3429" s="7"/>
      <c r="R3429" s="7"/>
      <c r="T3429" s="7"/>
      <c r="V3429" s="7"/>
      <c r="X3429" s="7"/>
    </row>
    <row r="3430" spans="2:24">
      <c r="B3430" s="7"/>
      <c r="D3430" s="7"/>
      <c r="F3430" s="7"/>
      <c r="H3430" s="7"/>
      <c r="J3430" s="7"/>
      <c r="L3430" s="7"/>
      <c r="N3430" s="7"/>
      <c r="P3430" s="7"/>
      <c r="R3430" s="7"/>
      <c r="T3430" s="7"/>
      <c r="V3430" s="7"/>
      <c r="X3430" s="7"/>
    </row>
    <row r="3431" spans="2:24">
      <c r="B3431" s="7"/>
      <c r="D3431" s="7"/>
      <c r="F3431" s="7"/>
      <c r="H3431" s="7"/>
      <c r="J3431" s="7"/>
      <c r="L3431" s="7"/>
      <c r="N3431" s="7"/>
      <c r="P3431" s="7"/>
      <c r="R3431" s="7"/>
      <c r="T3431" s="7"/>
      <c r="V3431" s="7"/>
      <c r="X3431" s="7"/>
    </row>
    <row r="3432" spans="2:24">
      <c r="B3432" s="7"/>
      <c r="D3432" s="7"/>
      <c r="F3432" s="7"/>
      <c r="H3432" s="7"/>
      <c r="J3432" s="7"/>
      <c r="L3432" s="7"/>
      <c r="N3432" s="7"/>
      <c r="P3432" s="7"/>
      <c r="R3432" s="7"/>
      <c r="T3432" s="7"/>
      <c r="V3432" s="7"/>
      <c r="X3432" s="7"/>
    </row>
    <row r="3433" spans="2:24">
      <c r="B3433" s="7"/>
      <c r="D3433" s="7"/>
      <c r="F3433" s="7"/>
      <c r="H3433" s="7"/>
      <c r="J3433" s="7"/>
      <c r="L3433" s="7"/>
      <c r="N3433" s="7"/>
      <c r="P3433" s="7"/>
      <c r="R3433" s="7"/>
      <c r="T3433" s="7"/>
      <c r="V3433" s="7"/>
      <c r="X3433" s="7"/>
    </row>
    <row r="3434" spans="2:24">
      <c r="B3434" s="7"/>
      <c r="D3434" s="7"/>
      <c r="F3434" s="7"/>
      <c r="H3434" s="7"/>
      <c r="J3434" s="7"/>
      <c r="L3434" s="7"/>
      <c r="N3434" s="7"/>
      <c r="P3434" s="7"/>
      <c r="R3434" s="7"/>
      <c r="T3434" s="7"/>
      <c r="V3434" s="7"/>
      <c r="X3434" s="7"/>
    </row>
    <row r="3435" spans="2:24">
      <c r="B3435" s="7"/>
      <c r="D3435" s="7"/>
      <c r="F3435" s="7"/>
      <c r="H3435" s="7"/>
      <c r="J3435" s="7"/>
      <c r="L3435" s="7"/>
      <c r="N3435" s="7"/>
      <c r="P3435" s="7"/>
      <c r="R3435" s="7"/>
      <c r="T3435" s="7"/>
      <c r="V3435" s="7"/>
      <c r="X3435" s="7"/>
    </row>
    <row r="3436" spans="2:24">
      <c r="B3436" s="7"/>
      <c r="D3436" s="7"/>
      <c r="F3436" s="7"/>
      <c r="H3436" s="7"/>
      <c r="J3436" s="7"/>
      <c r="L3436" s="7"/>
      <c r="N3436" s="7"/>
      <c r="P3436" s="7"/>
      <c r="R3436" s="7"/>
      <c r="T3436" s="7"/>
      <c r="V3436" s="7"/>
      <c r="X3436" s="7"/>
    </row>
    <row r="3437" spans="2:24">
      <c r="B3437" s="7"/>
      <c r="D3437" s="7"/>
      <c r="F3437" s="7"/>
      <c r="H3437" s="7"/>
      <c r="J3437" s="7"/>
      <c r="L3437" s="7"/>
      <c r="N3437" s="7"/>
      <c r="P3437" s="7"/>
      <c r="R3437" s="7"/>
      <c r="T3437" s="7"/>
      <c r="V3437" s="7"/>
      <c r="X3437" s="7"/>
    </row>
    <row r="3438" spans="2:24">
      <c r="B3438" s="7"/>
      <c r="D3438" s="7"/>
      <c r="F3438" s="7"/>
      <c r="H3438" s="7"/>
      <c r="J3438" s="7"/>
      <c r="L3438" s="7"/>
      <c r="N3438" s="7"/>
      <c r="P3438" s="7"/>
      <c r="R3438" s="7"/>
      <c r="T3438" s="7"/>
      <c r="V3438" s="7"/>
      <c r="X3438" s="7"/>
    </row>
    <row r="3439" spans="2:24">
      <c r="B3439" s="7"/>
      <c r="D3439" s="7"/>
      <c r="F3439" s="7"/>
      <c r="H3439" s="7"/>
      <c r="J3439" s="7"/>
      <c r="L3439" s="7"/>
      <c r="N3439" s="7"/>
      <c r="P3439" s="7"/>
      <c r="R3439" s="7"/>
      <c r="T3439" s="7"/>
      <c r="V3439" s="7"/>
      <c r="X3439" s="7"/>
    </row>
    <row r="3440" spans="2:24">
      <c r="B3440" s="7"/>
      <c r="D3440" s="7"/>
      <c r="F3440" s="7"/>
      <c r="H3440" s="7"/>
      <c r="J3440" s="7"/>
      <c r="L3440" s="7"/>
      <c r="N3440" s="7"/>
      <c r="P3440" s="7"/>
      <c r="R3440" s="7"/>
      <c r="T3440" s="7"/>
      <c r="V3440" s="7"/>
      <c r="X3440" s="7"/>
    </row>
    <row r="3441" spans="2:24">
      <c r="B3441" s="7"/>
      <c r="D3441" s="7"/>
      <c r="F3441" s="7"/>
      <c r="H3441" s="7"/>
      <c r="J3441" s="7"/>
      <c r="L3441" s="7"/>
      <c r="N3441" s="7"/>
      <c r="P3441" s="7"/>
      <c r="R3441" s="7"/>
      <c r="T3441" s="7"/>
      <c r="V3441" s="7"/>
      <c r="X3441" s="7"/>
    </row>
    <row r="3442" spans="2:24">
      <c r="B3442" s="7"/>
      <c r="D3442" s="7"/>
      <c r="F3442" s="7"/>
      <c r="H3442" s="7"/>
      <c r="J3442" s="7"/>
      <c r="L3442" s="7"/>
      <c r="N3442" s="7"/>
      <c r="P3442" s="7"/>
      <c r="R3442" s="7"/>
      <c r="T3442" s="7"/>
      <c r="V3442" s="7"/>
      <c r="X3442" s="7"/>
    </row>
    <row r="3443" spans="2:24">
      <c r="B3443" s="7"/>
      <c r="D3443" s="7"/>
      <c r="F3443" s="7"/>
      <c r="H3443" s="7"/>
      <c r="J3443" s="7"/>
      <c r="L3443" s="7"/>
      <c r="N3443" s="7"/>
      <c r="P3443" s="7"/>
      <c r="R3443" s="7"/>
      <c r="T3443" s="7"/>
      <c r="V3443" s="7"/>
      <c r="X3443" s="7"/>
    </row>
    <row r="3444" spans="2:24">
      <c r="B3444" s="7"/>
      <c r="D3444" s="7"/>
      <c r="F3444" s="7"/>
      <c r="H3444" s="7"/>
      <c r="J3444" s="7"/>
      <c r="L3444" s="7"/>
      <c r="N3444" s="7"/>
      <c r="P3444" s="7"/>
      <c r="R3444" s="7"/>
      <c r="T3444" s="7"/>
      <c r="V3444" s="7"/>
      <c r="X3444" s="7"/>
    </row>
    <row r="3445" spans="2:24">
      <c r="B3445" s="7"/>
      <c r="D3445" s="7"/>
      <c r="F3445" s="7"/>
      <c r="H3445" s="7"/>
      <c r="J3445" s="7"/>
      <c r="L3445" s="7"/>
      <c r="N3445" s="7"/>
      <c r="P3445" s="7"/>
      <c r="R3445" s="7"/>
      <c r="T3445" s="7"/>
      <c r="V3445" s="7"/>
      <c r="X3445" s="7"/>
    </row>
    <row r="3446" spans="2:24">
      <c r="B3446" s="7"/>
      <c r="D3446" s="7"/>
      <c r="F3446" s="7"/>
      <c r="H3446" s="7"/>
      <c r="J3446" s="7"/>
      <c r="L3446" s="7"/>
      <c r="N3446" s="7"/>
      <c r="P3446" s="7"/>
      <c r="R3446" s="7"/>
      <c r="T3446" s="7"/>
      <c r="V3446" s="7"/>
      <c r="X3446" s="7"/>
    </row>
    <row r="3447" spans="2:24">
      <c r="B3447" s="7"/>
      <c r="D3447" s="7"/>
      <c r="F3447" s="7"/>
      <c r="H3447" s="7"/>
      <c r="J3447" s="7"/>
      <c r="L3447" s="7"/>
      <c r="N3447" s="7"/>
      <c r="P3447" s="7"/>
      <c r="R3447" s="7"/>
      <c r="T3447" s="7"/>
      <c r="V3447" s="7"/>
      <c r="X3447" s="7"/>
    </row>
    <row r="3448" spans="2:24">
      <c r="B3448" s="7"/>
      <c r="D3448" s="7"/>
      <c r="F3448" s="7"/>
      <c r="H3448" s="7"/>
      <c r="J3448" s="7"/>
      <c r="L3448" s="7"/>
      <c r="N3448" s="7"/>
      <c r="P3448" s="7"/>
      <c r="R3448" s="7"/>
      <c r="T3448" s="7"/>
      <c r="V3448" s="7"/>
      <c r="X3448" s="7"/>
    </row>
    <row r="3449" spans="2:24">
      <c r="B3449" s="7"/>
      <c r="D3449" s="7"/>
      <c r="F3449" s="7"/>
      <c r="H3449" s="7"/>
      <c r="J3449" s="7"/>
      <c r="L3449" s="7"/>
      <c r="N3449" s="7"/>
      <c r="P3449" s="7"/>
      <c r="R3449" s="7"/>
      <c r="T3449" s="7"/>
      <c r="V3449" s="7"/>
      <c r="X3449" s="7"/>
    </row>
    <row r="3450" spans="2:24">
      <c r="B3450" s="7"/>
      <c r="D3450" s="7"/>
      <c r="F3450" s="7"/>
      <c r="H3450" s="7"/>
      <c r="J3450" s="7"/>
      <c r="L3450" s="7"/>
      <c r="N3450" s="7"/>
      <c r="P3450" s="7"/>
      <c r="R3450" s="7"/>
      <c r="T3450" s="7"/>
      <c r="V3450" s="7"/>
      <c r="X3450" s="7"/>
    </row>
    <row r="3451" spans="2:24">
      <c r="B3451" s="7"/>
      <c r="D3451" s="7"/>
      <c r="F3451" s="7"/>
      <c r="H3451" s="7"/>
      <c r="J3451" s="7"/>
      <c r="L3451" s="7"/>
      <c r="N3451" s="7"/>
      <c r="P3451" s="7"/>
      <c r="R3451" s="7"/>
      <c r="T3451" s="7"/>
      <c r="V3451" s="7"/>
      <c r="X3451" s="7"/>
    </row>
    <row r="3452" spans="2:24">
      <c r="B3452" s="7"/>
      <c r="D3452" s="7"/>
      <c r="F3452" s="7"/>
      <c r="H3452" s="7"/>
      <c r="J3452" s="7"/>
      <c r="L3452" s="7"/>
      <c r="N3452" s="7"/>
      <c r="P3452" s="7"/>
      <c r="R3452" s="7"/>
      <c r="T3452" s="7"/>
      <c r="V3452" s="7"/>
      <c r="X3452" s="7"/>
    </row>
    <row r="3453" spans="2:24">
      <c r="B3453" s="7"/>
      <c r="D3453" s="7"/>
      <c r="F3453" s="7"/>
      <c r="H3453" s="7"/>
      <c r="J3453" s="7"/>
      <c r="L3453" s="7"/>
      <c r="N3453" s="7"/>
      <c r="P3453" s="7"/>
      <c r="R3453" s="7"/>
      <c r="T3453" s="7"/>
      <c r="V3453" s="7"/>
      <c r="X3453" s="7"/>
    </row>
    <row r="3454" spans="2:24">
      <c r="B3454" s="7"/>
      <c r="D3454" s="7"/>
      <c r="F3454" s="7"/>
      <c r="H3454" s="7"/>
      <c r="J3454" s="7"/>
      <c r="L3454" s="7"/>
      <c r="N3454" s="7"/>
      <c r="P3454" s="7"/>
      <c r="R3454" s="7"/>
      <c r="T3454" s="7"/>
      <c r="V3454" s="7"/>
      <c r="X3454" s="7"/>
    </row>
    <row r="3455" spans="2:24">
      <c r="B3455" s="7"/>
      <c r="D3455" s="7"/>
      <c r="F3455" s="7"/>
      <c r="H3455" s="7"/>
      <c r="J3455" s="7"/>
      <c r="L3455" s="7"/>
      <c r="N3455" s="7"/>
      <c r="P3455" s="7"/>
      <c r="R3455" s="7"/>
      <c r="T3455" s="7"/>
      <c r="V3455" s="7"/>
      <c r="X3455" s="7"/>
    </row>
    <row r="3456" spans="2:24">
      <c r="B3456" s="7"/>
      <c r="D3456" s="7"/>
      <c r="F3456" s="7"/>
      <c r="H3456" s="7"/>
      <c r="J3456" s="7"/>
      <c r="L3456" s="7"/>
      <c r="N3456" s="7"/>
      <c r="P3456" s="7"/>
      <c r="R3456" s="7"/>
      <c r="T3456" s="7"/>
      <c r="V3456" s="7"/>
      <c r="X3456" s="7"/>
    </row>
    <row r="3457" spans="2:24">
      <c r="B3457" s="7"/>
      <c r="D3457" s="7"/>
      <c r="F3457" s="7"/>
      <c r="H3457" s="7"/>
      <c r="J3457" s="7"/>
      <c r="L3457" s="7"/>
      <c r="N3457" s="7"/>
      <c r="P3457" s="7"/>
      <c r="R3457" s="7"/>
      <c r="T3457" s="7"/>
      <c r="V3457" s="7"/>
      <c r="X3457" s="7"/>
    </row>
    <row r="3458" spans="2:24">
      <c r="B3458" s="7"/>
      <c r="D3458" s="7"/>
      <c r="F3458" s="7"/>
      <c r="H3458" s="7"/>
      <c r="J3458" s="7"/>
      <c r="L3458" s="7"/>
      <c r="N3458" s="7"/>
      <c r="P3458" s="7"/>
      <c r="R3458" s="7"/>
      <c r="T3458" s="7"/>
      <c r="V3458" s="7"/>
      <c r="X3458" s="7"/>
    </row>
    <row r="3459" spans="2:24">
      <c r="B3459" s="7"/>
      <c r="D3459" s="7"/>
      <c r="F3459" s="7"/>
      <c r="H3459" s="7"/>
      <c r="J3459" s="7"/>
      <c r="L3459" s="7"/>
      <c r="N3459" s="7"/>
      <c r="P3459" s="7"/>
      <c r="R3459" s="7"/>
      <c r="T3459" s="7"/>
      <c r="V3459" s="7"/>
      <c r="X3459" s="7"/>
    </row>
    <row r="3460" spans="2:24">
      <c r="B3460" s="7"/>
      <c r="D3460" s="7"/>
      <c r="F3460" s="7"/>
      <c r="H3460" s="7"/>
      <c r="J3460" s="7"/>
      <c r="L3460" s="7"/>
      <c r="N3460" s="7"/>
      <c r="P3460" s="7"/>
      <c r="R3460" s="7"/>
      <c r="T3460" s="7"/>
      <c r="V3460" s="7"/>
      <c r="X3460" s="7"/>
    </row>
    <row r="3461" spans="2:24">
      <c r="B3461" s="7"/>
      <c r="D3461" s="7"/>
      <c r="F3461" s="7"/>
      <c r="H3461" s="7"/>
      <c r="J3461" s="7"/>
      <c r="L3461" s="7"/>
      <c r="N3461" s="7"/>
      <c r="P3461" s="7"/>
      <c r="R3461" s="7"/>
      <c r="T3461" s="7"/>
      <c r="V3461" s="7"/>
      <c r="X3461" s="7"/>
    </row>
    <row r="3462" spans="2:24">
      <c r="B3462" s="7"/>
      <c r="D3462" s="7"/>
      <c r="F3462" s="7"/>
      <c r="H3462" s="7"/>
      <c r="J3462" s="7"/>
      <c r="L3462" s="7"/>
      <c r="N3462" s="7"/>
      <c r="P3462" s="7"/>
      <c r="R3462" s="7"/>
      <c r="T3462" s="7"/>
      <c r="V3462" s="7"/>
      <c r="X3462" s="7"/>
    </row>
    <row r="3463" spans="2:24">
      <c r="B3463" s="7"/>
      <c r="D3463" s="7"/>
      <c r="F3463" s="7"/>
      <c r="H3463" s="7"/>
      <c r="J3463" s="7"/>
      <c r="L3463" s="7"/>
      <c r="N3463" s="7"/>
      <c r="P3463" s="7"/>
      <c r="R3463" s="7"/>
      <c r="T3463" s="7"/>
      <c r="V3463" s="7"/>
      <c r="X3463" s="7"/>
    </row>
    <row r="3464" spans="2:24">
      <c r="B3464" s="7"/>
      <c r="D3464" s="7"/>
      <c r="F3464" s="7"/>
      <c r="H3464" s="7"/>
      <c r="J3464" s="7"/>
      <c r="L3464" s="7"/>
      <c r="N3464" s="7"/>
      <c r="P3464" s="7"/>
      <c r="R3464" s="7"/>
      <c r="T3464" s="7"/>
      <c r="V3464" s="7"/>
      <c r="X3464" s="7"/>
    </row>
    <row r="3465" spans="2:24">
      <c r="B3465" s="7"/>
      <c r="D3465" s="7"/>
      <c r="F3465" s="7"/>
      <c r="H3465" s="7"/>
      <c r="J3465" s="7"/>
      <c r="L3465" s="7"/>
      <c r="N3465" s="7"/>
      <c r="P3465" s="7"/>
      <c r="R3465" s="7"/>
      <c r="T3465" s="7"/>
      <c r="V3465" s="7"/>
      <c r="X3465" s="7"/>
    </row>
    <row r="3466" spans="2:24">
      <c r="B3466" s="7"/>
      <c r="D3466" s="7"/>
      <c r="F3466" s="7"/>
      <c r="H3466" s="7"/>
      <c r="J3466" s="7"/>
      <c r="L3466" s="7"/>
      <c r="N3466" s="7"/>
      <c r="P3466" s="7"/>
      <c r="R3466" s="7"/>
      <c r="T3466" s="7"/>
      <c r="V3466" s="7"/>
      <c r="X3466" s="7"/>
    </row>
    <row r="3467" spans="2:24">
      <c r="B3467" s="7"/>
      <c r="D3467" s="7"/>
      <c r="F3467" s="7"/>
      <c r="H3467" s="7"/>
      <c r="J3467" s="7"/>
      <c r="L3467" s="7"/>
      <c r="N3467" s="7"/>
      <c r="P3467" s="7"/>
      <c r="R3467" s="7"/>
      <c r="T3467" s="7"/>
      <c r="V3467" s="7"/>
      <c r="X3467" s="7"/>
    </row>
    <row r="3468" spans="2:24">
      <c r="B3468" s="7"/>
      <c r="D3468" s="7"/>
      <c r="F3468" s="7"/>
      <c r="H3468" s="7"/>
      <c r="J3468" s="7"/>
      <c r="L3468" s="7"/>
      <c r="N3468" s="7"/>
      <c r="P3468" s="7"/>
      <c r="R3468" s="7"/>
      <c r="T3468" s="7"/>
      <c r="V3468" s="7"/>
      <c r="X3468" s="7"/>
    </row>
    <row r="3469" spans="2:24">
      <c r="B3469" s="7"/>
      <c r="D3469" s="7"/>
      <c r="F3469" s="7"/>
      <c r="H3469" s="7"/>
      <c r="J3469" s="7"/>
      <c r="L3469" s="7"/>
      <c r="N3469" s="7"/>
      <c r="P3469" s="7"/>
      <c r="R3469" s="7"/>
      <c r="T3469" s="7"/>
      <c r="V3469" s="7"/>
      <c r="X3469" s="7"/>
    </row>
    <row r="3470" spans="2:24">
      <c r="B3470" s="7"/>
      <c r="D3470" s="7"/>
      <c r="F3470" s="7"/>
      <c r="H3470" s="7"/>
      <c r="J3470" s="7"/>
      <c r="L3470" s="7"/>
      <c r="N3470" s="7"/>
      <c r="P3470" s="7"/>
      <c r="R3470" s="7"/>
      <c r="T3470" s="7"/>
      <c r="V3470" s="7"/>
      <c r="X3470" s="7"/>
    </row>
    <row r="3471" spans="2:24">
      <c r="B3471" s="7"/>
      <c r="D3471" s="7"/>
      <c r="F3471" s="7"/>
      <c r="H3471" s="7"/>
      <c r="J3471" s="7"/>
      <c r="L3471" s="7"/>
      <c r="N3471" s="7"/>
      <c r="P3471" s="7"/>
      <c r="R3471" s="7"/>
      <c r="T3471" s="7"/>
      <c r="V3471" s="7"/>
      <c r="X3471" s="7"/>
    </row>
    <row r="3472" spans="2:24">
      <c r="B3472" s="7"/>
      <c r="D3472" s="7"/>
      <c r="F3472" s="7"/>
      <c r="H3472" s="7"/>
      <c r="J3472" s="7"/>
      <c r="L3472" s="7"/>
      <c r="N3472" s="7"/>
      <c r="P3472" s="7"/>
      <c r="R3472" s="7"/>
      <c r="T3472" s="7"/>
      <c r="V3472" s="7"/>
      <c r="X3472" s="7"/>
    </row>
    <row r="3473" spans="2:24">
      <c r="B3473" s="7"/>
      <c r="D3473" s="7"/>
      <c r="F3473" s="7"/>
      <c r="H3473" s="7"/>
      <c r="J3473" s="7"/>
      <c r="L3473" s="7"/>
      <c r="N3473" s="7"/>
      <c r="P3473" s="7"/>
      <c r="R3473" s="7"/>
      <c r="T3473" s="7"/>
      <c r="V3473" s="7"/>
      <c r="X3473" s="7"/>
    </row>
    <row r="3474" spans="2:24">
      <c r="B3474" s="7"/>
      <c r="D3474" s="7"/>
      <c r="F3474" s="7"/>
      <c r="H3474" s="7"/>
      <c r="J3474" s="7"/>
      <c r="L3474" s="7"/>
      <c r="N3474" s="7"/>
      <c r="P3474" s="7"/>
      <c r="R3474" s="7"/>
      <c r="T3474" s="7"/>
      <c r="V3474" s="7"/>
      <c r="X3474" s="7"/>
    </row>
    <row r="3475" spans="2:24">
      <c r="B3475" s="7"/>
      <c r="D3475" s="7"/>
      <c r="F3475" s="7"/>
      <c r="H3475" s="7"/>
      <c r="J3475" s="7"/>
      <c r="L3475" s="7"/>
      <c r="N3475" s="7"/>
      <c r="P3475" s="7"/>
      <c r="R3475" s="7"/>
      <c r="T3475" s="7"/>
      <c r="V3475" s="7"/>
      <c r="X3475" s="7"/>
    </row>
    <row r="3476" spans="2:24">
      <c r="B3476" s="7"/>
      <c r="D3476" s="7"/>
      <c r="F3476" s="7"/>
      <c r="H3476" s="7"/>
      <c r="J3476" s="7"/>
      <c r="L3476" s="7"/>
      <c r="N3476" s="7"/>
      <c r="P3476" s="7"/>
      <c r="R3476" s="7"/>
      <c r="T3476" s="7"/>
      <c r="V3476" s="7"/>
      <c r="X3476" s="7"/>
    </row>
    <row r="3477" spans="2:24">
      <c r="B3477" s="7"/>
      <c r="D3477" s="7"/>
      <c r="F3477" s="7"/>
      <c r="H3477" s="7"/>
      <c r="J3477" s="7"/>
      <c r="L3477" s="7"/>
      <c r="N3477" s="7"/>
      <c r="P3477" s="7"/>
      <c r="R3477" s="7"/>
      <c r="T3477" s="7"/>
      <c r="V3477" s="7"/>
      <c r="X3477" s="7"/>
    </row>
    <row r="3478" spans="2:24">
      <c r="B3478" s="7"/>
      <c r="D3478" s="7"/>
      <c r="F3478" s="7"/>
      <c r="H3478" s="7"/>
      <c r="J3478" s="7"/>
      <c r="L3478" s="7"/>
      <c r="N3478" s="7"/>
      <c r="P3478" s="7"/>
      <c r="R3478" s="7"/>
      <c r="T3478" s="7"/>
      <c r="V3478" s="7"/>
      <c r="X3478" s="7"/>
    </row>
    <row r="3479" spans="2:24">
      <c r="B3479" s="7"/>
      <c r="D3479" s="7"/>
      <c r="F3479" s="7"/>
      <c r="H3479" s="7"/>
      <c r="J3479" s="7"/>
      <c r="L3479" s="7"/>
      <c r="N3479" s="7"/>
      <c r="P3479" s="7"/>
      <c r="R3479" s="7"/>
      <c r="T3479" s="7"/>
      <c r="V3479" s="7"/>
      <c r="X3479" s="7"/>
    </row>
    <row r="3480" spans="2:24">
      <c r="B3480" s="7"/>
      <c r="D3480" s="7"/>
      <c r="F3480" s="7"/>
      <c r="H3480" s="7"/>
      <c r="J3480" s="7"/>
      <c r="L3480" s="7"/>
      <c r="N3480" s="7"/>
      <c r="P3480" s="7"/>
      <c r="R3480" s="7"/>
      <c r="T3480" s="7"/>
      <c r="V3480" s="7"/>
      <c r="X3480" s="7"/>
    </row>
    <row r="3481" spans="2:24">
      <c r="B3481" s="7"/>
      <c r="D3481" s="7"/>
      <c r="F3481" s="7"/>
      <c r="H3481" s="7"/>
      <c r="J3481" s="7"/>
      <c r="L3481" s="7"/>
      <c r="N3481" s="7"/>
      <c r="P3481" s="7"/>
      <c r="R3481" s="7"/>
      <c r="T3481" s="7"/>
      <c r="V3481" s="7"/>
      <c r="X3481" s="7"/>
    </row>
    <row r="3482" spans="2:24">
      <c r="B3482" s="7"/>
      <c r="D3482" s="7"/>
      <c r="F3482" s="7"/>
      <c r="H3482" s="7"/>
      <c r="J3482" s="7"/>
      <c r="L3482" s="7"/>
      <c r="N3482" s="7"/>
      <c r="P3482" s="7"/>
      <c r="R3482" s="7"/>
      <c r="T3482" s="7"/>
      <c r="V3482" s="7"/>
      <c r="X3482" s="7"/>
    </row>
    <row r="3483" spans="2:24">
      <c r="B3483" s="7"/>
      <c r="D3483" s="7"/>
      <c r="F3483" s="7"/>
      <c r="H3483" s="7"/>
      <c r="J3483" s="7"/>
      <c r="L3483" s="7"/>
      <c r="N3483" s="7"/>
      <c r="P3483" s="7"/>
      <c r="R3483" s="7"/>
      <c r="T3483" s="7"/>
      <c r="V3483" s="7"/>
      <c r="X3483" s="7"/>
    </row>
    <row r="3484" spans="2:24">
      <c r="B3484" s="7"/>
      <c r="D3484" s="7"/>
      <c r="F3484" s="7"/>
      <c r="H3484" s="7"/>
      <c r="J3484" s="7"/>
      <c r="L3484" s="7"/>
      <c r="N3484" s="7"/>
      <c r="P3484" s="7"/>
      <c r="R3484" s="7"/>
      <c r="T3484" s="7"/>
      <c r="V3484" s="7"/>
      <c r="X3484" s="7"/>
    </row>
    <row r="3485" spans="2:24">
      <c r="B3485" s="7"/>
      <c r="D3485" s="7"/>
      <c r="F3485" s="7"/>
      <c r="H3485" s="7"/>
      <c r="J3485" s="7"/>
      <c r="L3485" s="7"/>
      <c r="N3485" s="7"/>
      <c r="P3485" s="7"/>
      <c r="R3485" s="7"/>
      <c r="T3485" s="7"/>
      <c r="V3485" s="7"/>
      <c r="X3485" s="7"/>
    </row>
    <row r="3486" spans="2:24">
      <c r="B3486" s="7"/>
      <c r="D3486" s="7"/>
      <c r="F3486" s="7"/>
      <c r="H3486" s="7"/>
      <c r="J3486" s="7"/>
      <c r="L3486" s="7"/>
      <c r="N3486" s="7"/>
      <c r="P3486" s="7"/>
      <c r="R3486" s="7"/>
      <c r="T3486" s="7"/>
      <c r="V3486" s="7"/>
      <c r="X3486" s="7"/>
    </row>
    <row r="3487" spans="2:24">
      <c r="B3487" s="7"/>
      <c r="D3487" s="7"/>
      <c r="F3487" s="7"/>
      <c r="H3487" s="7"/>
      <c r="J3487" s="7"/>
      <c r="L3487" s="7"/>
      <c r="N3487" s="7"/>
      <c r="P3487" s="7"/>
      <c r="R3487" s="7"/>
      <c r="T3487" s="7"/>
      <c r="V3487" s="7"/>
      <c r="X3487" s="7"/>
    </row>
    <row r="3488" spans="2:24">
      <c r="B3488" s="7"/>
      <c r="D3488" s="7"/>
      <c r="F3488" s="7"/>
      <c r="H3488" s="7"/>
      <c r="J3488" s="7"/>
      <c r="L3488" s="7"/>
      <c r="N3488" s="7"/>
      <c r="P3488" s="7"/>
      <c r="R3488" s="7"/>
      <c r="T3488" s="7"/>
      <c r="V3488" s="7"/>
      <c r="X3488" s="7"/>
    </row>
    <row r="3489" spans="2:24">
      <c r="B3489" s="7"/>
      <c r="D3489" s="7"/>
      <c r="F3489" s="7"/>
      <c r="H3489" s="7"/>
      <c r="J3489" s="7"/>
      <c r="L3489" s="7"/>
      <c r="N3489" s="7"/>
      <c r="P3489" s="7"/>
      <c r="R3489" s="7"/>
      <c r="T3489" s="7"/>
      <c r="V3489" s="7"/>
      <c r="X3489" s="7"/>
    </row>
    <row r="3490" spans="2:24">
      <c r="B3490" s="7"/>
      <c r="D3490" s="7"/>
      <c r="F3490" s="7"/>
      <c r="H3490" s="7"/>
      <c r="J3490" s="7"/>
      <c r="L3490" s="7"/>
      <c r="N3490" s="7"/>
      <c r="P3490" s="7"/>
      <c r="R3490" s="7"/>
      <c r="T3490" s="7"/>
      <c r="V3490" s="7"/>
      <c r="X3490" s="7"/>
    </row>
    <row r="3491" spans="2:24">
      <c r="B3491" s="7"/>
      <c r="D3491" s="7"/>
      <c r="F3491" s="7"/>
      <c r="H3491" s="7"/>
      <c r="J3491" s="7"/>
      <c r="L3491" s="7"/>
      <c r="N3491" s="7"/>
      <c r="P3491" s="7"/>
      <c r="R3491" s="7"/>
      <c r="T3491" s="7"/>
      <c r="V3491" s="7"/>
      <c r="X3491" s="7"/>
    </row>
    <row r="3492" spans="2:24">
      <c r="B3492" s="7"/>
      <c r="D3492" s="7"/>
      <c r="F3492" s="7"/>
      <c r="H3492" s="7"/>
      <c r="J3492" s="7"/>
      <c r="L3492" s="7"/>
      <c r="N3492" s="7"/>
      <c r="P3492" s="7"/>
      <c r="R3492" s="7"/>
      <c r="T3492" s="7"/>
      <c r="V3492" s="7"/>
      <c r="X3492" s="7"/>
    </row>
    <row r="3493" spans="2:24">
      <c r="B3493" s="7"/>
      <c r="D3493" s="7"/>
      <c r="F3493" s="7"/>
      <c r="H3493" s="7"/>
      <c r="J3493" s="7"/>
      <c r="L3493" s="7"/>
      <c r="N3493" s="7"/>
      <c r="P3493" s="7"/>
      <c r="R3493" s="7"/>
      <c r="T3493" s="7"/>
      <c r="V3493" s="7"/>
      <c r="X3493" s="7"/>
    </row>
    <row r="3494" spans="2:24">
      <c r="B3494" s="7"/>
      <c r="D3494" s="7"/>
      <c r="F3494" s="7"/>
      <c r="H3494" s="7"/>
      <c r="J3494" s="7"/>
      <c r="L3494" s="7"/>
      <c r="N3494" s="7"/>
      <c r="P3494" s="7"/>
      <c r="R3494" s="7"/>
      <c r="T3494" s="7"/>
      <c r="V3494" s="7"/>
      <c r="X3494" s="7"/>
    </row>
    <row r="3495" spans="2:24">
      <c r="B3495" s="7"/>
      <c r="D3495" s="7"/>
      <c r="F3495" s="7"/>
      <c r="H3495" s="7"/>
      <c r="J3495" s="7"/>
      <c r="L3495" s="7"/>
      <c r="N3495" s="7"/>
      <c r="P3495" s="7"/>
      <c r="R3495" s="7"/>
      <c r="T3495" s="7"/>
      <c r="V3495" s="7"/>
      <c r="X3495" s="7"/>
    </row>
    <row r="3496" spans="2:24">
      <c r="B3496" s="7"/>
      <c r="D3496" s="7"/>
      <c r="F3496" s="7"/>
      <c r="H3496" s="7"/>
      <c r="J3496" s="7"/>
      <c r="L3496" s="7"/>
      <c r="N3496" s="7"/>
      <c r="P3496" s="7"/>
      <c r="R3496" s="7"/>
      <c r="T3496" s="7"/>
      <c r="V3496" s="7"/>
      <c r="X3496" s="7"/>
    </row>
    <row r="3497" spans="2:24">
      <c r="B3497" s="7"/>
      <c r="D3497" s="7"/>
      <c r="F3497" s="7"/>
      <c r="H3497" s="7"/>
      <c r="J3497" s="7"/>
      <c r="L3497" s="7"/>
      <c r="N3497" s="7"/>
      <c r="P3497" s="7"/>
      <c r="R3497" s="7"/>
      <c r="T3497" s="7"/>
      <c r="V3497" s="7"/>
      <c r="X3497" s="7"/>
    </row>
    <row r="3498" spans="2:24">
      <c r="B3498" s="7"/>
      <c r="D3498" s="7"/>
      <c r="F3498" s="7"/>
      <c r="H3498" s="7"/>
      <c r="J3498" s="7"/>
      <c r="L3498" s="7"/>
      <c r="N3498" s="7"/>
      <c r="P3498" s="7"/>
      <c r="R3498" s="7"/>
      <c r="T3498" s="7"/>
      <c r="V3498" s="7"/>
      <c r="X3498" s="7"/>
    </row>
    <row r="3499" spans="2:24">
      <c r="B3499" s="7"/>
      <c r="D3499" s="7"/>
      <c r="F3499" s="7"/>
      <c r="H3499" s="7"/>
      <c r="J3499" s="7"/>
      <c r="L3499" s="7"/>
      <c r="N3499" s="7"/>
      <c r="P3499" s="7"/>
      <c r="R3499" s="7"/>
      <c r="T3499" s="7"/>
      <c r="V3499" s="7"/>
      <c r="X3499" s="7"/>
    </row>
    <row r="3500" spans="2:24">
      <c r="B3500" s="7"/>
      <c r="D3500" s="7"/>
      <c r="F3500" s="7"/>
      <c r="H3500" s="7"/>
      <c r="J3500" s="7"/>
      <c r="L3500" s="7"/>
      <c r="N3500" s="7"/>
      <c r="P3500" s="7"/>
      <c r="R3500" s="7"/>
      <c r="T3500" s="7"/>
      <c r="V3500" s="7"/>
      <c r="X3500" s="7"/>
    </row>
    <row r="3501" spans="2:24">
      <c r="B3501" s="7"/>
      <c r="D3501" s="7"/>
      <c r="F3501" s="7"/>
      <c r="H3501" s="7"/>
      <c r="J3501" s="7"/>
      <c r="L3501" s="7"/>
      <c r="N3501" s="7"/>
      <c r="P3501" s="7"/>
      <c r="R3501" s="7"/>
      <c r="T3501" s="7"/>
      <c r="V3501" s="7"/>
      <c r="X3501" s="7"/>
    </row>
    <row r="3502" spans="2:24">
      <c r="B3502" s="7"/>
      <c r="D3502" s="7"/>
      <c r="F3502" s="7"/>
      <c r="H3502" s="7"/>
      <c r="J3502" s="7"/>
      <c r="L3502" s="7"/>
      <c r="N3502" s="7"/>
      <c r="P3502" s="7"/>
      <c r="R3502" s="7"/>
      <c r="T3502" s="7"/>
      <c r="V3502" s="7"/>
      <c r="X3502" s="7"/>
    </row>
    <row r="3503" spans="2:24">
      <c r="B3503" s="7"/>
      <c r="D3503" s="7"/>
      <c r="F3503" s="7"/>
      <c r="H3503" s="7"/>
      <c r="J3503" s="7"/>
      <c r="L3503" s="7"/>
      <c r="N3503" s="7"/>
      <c r="P3503" s="7"/>
      <c r="R3503" s="7"/>
      <c r="T3503" s="7"/>
      <c r="V3503" s="7"/>
      <c r="X3503" s="7"/>
    </row>
    <row r="3504" spans="2:24">
      <c r="B3504" s="7"/>
      <c r="D3504" s="7"/>
      <c r="F3504" s="7"/>
      <c r="H3504" s="7"/>
      <c r="J3504" s="7"/>
      <c r="L3504" s="7"/>
      <c r="N3504" s="7"/>
      <c r="P3504" s="7"/>
      <c r="R3504" s="7"/>
      <c r="T3504" s="7"/>
      <c r="V3504" s="7"/>
      <c r="X3504" s="7"/>
    </row>
    <row r="3505" spans="2:24">
      <c r="B3505" s="7"/>
      <c r="D3505" s="7"/>
      <c r="F3505" s="7"/>
      <c r="H3505" s="7"/>
      <c r="J3505" s="7"/>
      <c r="L3505" s="7"/>
      <c r="N3505" s="7"/>
      <c r="P3505" s="7"/>
      <c r="R3505" s="7"/>
      <c r="T3505" s="7"/>
      <c r="V3505" s="7"/>
      <c r="X3505" s="7"/>
    </row>
    <row r="3506" spans="2:24">
      <c r="B3506" s="7"/>
      <c r="D3506" s="7"/>
      <c r="F3506" s="7"/>
      <c r="H3506" s="7"/>
      <c r="J3506" s="7"/>
      <c r="L3506" s="7"/>
      <c r="N3506" s="7"/>
      <c r="P3506" s="7"/>
      <c r="R3506" s="7"/>
      <c r="T3506" s="7"/>
      <c r="V3506" s="7"/>
      <c r="X3506" s="7"/>
    </row>
    <row r="3507" spans="2:24">
      <c r="B3507" s="7"/>
      <c r="D3507" s="7"/>
      <c r="F3507" s="7"/>
      <c r="H3507" s="7"/>
      <c r="J3507" s="7"/>
      <c r="L3507" s="7"/>
      <c r="N3507" s="7"/>
      <c r="P3507" s="7"/>
      <c r="R3507" s="7"/>
      <c r="T3507" s="7"/>
      <c r="V3507" s="7"/>
      <c r="X3507" s="7"/>
    </row>
    <row r="3508" spans="2:24">
      <c r="B3508" s="7"/>
      <c r="D3508" s="7"/>
      <c r="F3508" s="7"/>
      <c r="H3508" s="7"/>
      <c r="J3508" s="7"/>
      <c r="L3508" s="7"/>
      <c r="N3508" s="7"/>
      <c r="P3508" s="7"/>
      <c r="R3508" s="7"/>
      <c r="T3508" s="7"/>
      <c r="V3508" s="7"/>
      <c r="X3508" s="7"/>
    </row>
    <row r="3509" spans="2:24">
      <c r="B3509" s="7"/>
      <c r="D3509" s="7"/>
      <c r="F3509" s="7"/>
      <c r="H3509" s="7"/>
      <c r="J3509" s="7"/>
      <c r="L3509" s="7"/>
      <c r="N3509" s="7"/>
      <c r="P3509" s="7"/>
      <c r="R3509" s="7"/>
      <c r="T3509" s="7"/>
      <c r="V3509" s="7"/>
      <c r="X3509" s="7"/>
    </row>
    <row r="3510" spans="2:24">
      <c r="B3510" s="7"/>
      <c r="D3510" s="7"/>
      <c r="F3510" s="7"/>
      <c r="H3510" s="7"/>
      <c r="J3510" s="7"/>
      <c r="L3510" s="7"/>
      <c r="N3510" s="7"/>
      <c r="P3510" s="7"/>
      <c r="R3510" s="7"/>
      <c r="T3510" s="7"/>
      <c r="V3510" s="7"/>
      <c r="X3510" s="7"/>
    </row>
    <row r="3511" spans="2:24">
      <c r="B3511" s="7"/>
      <c r="D3511" s="7"/>
      <c r="F3511" s="7"/>
      <c r="H3511" s="7"/>
      <c r="J3511" s="7"/>
      <c r="L3511" s="7"/>
      <c r="N3511" s="7"/>
      <c r="P3511" s="7"/>
      <c r="R3511" s="7"/>
      <c r="T3511" s="7"/>
      <c r="V3511" s="7"/>
      <c r="X3511" s="7"/>
    </row>
    <row r="3512" spans="2:24">
      <c r="B3512" s="7"/>
      <c r="D3512" s="7"/>
      <c r="F3512" s="7"/>
      <c r="H3512" s="7"/>
      <c r="J3512" s="7"/>
      <c r="L3512" s="7"/>
      <c r="N3512" s="7"/>
      <c r="P3512" s="7"/>
      <c r="R3512" s="7"/>
      <c r="T3512" s="7"/>
      <c r="V3512" s="7"/>
      <c r="X3512" s="7"/>
    </row>
    <row r="3513" spans="2:24">
      <c r="B3513" s="7"/>
      <c r="D3513" s="7"/>
      <c r="F3513" s="7"/>
      <c r="H3513" s="7"/>
      <c r="J3513" s="7"/>
      <c r="L3513" s="7"/>
      <c r="N3513" s="7"/>
      <c r="P3513" s="7"/>
      <c r="R3513" s="7"/>
      <c r="T3513" s="7"/>
      <c r="V3513" s="7"/>
      <c r="X3513" s="7"/>
    </row>
    <row r="3514" spans="2:24">
      <c r="B3514" s="7"/>
      <c r="D3514" s="7"/>
      <c r="F3514" s="7"/>
      <c r="H3514" s="7"/>
      <c r="J3514" s="7"/>
      <c r="L3514" s="7"/>
      <c r="N3514" s="7"/>
      <c r="P3514" s="7"/>
      <c r="R3514" s="7"/>
      <c r="T3514" s="7"/>
      <c r="V3514" s="7"/>
      <c r="X3514" s="7"/>
    </row>
    <row r="3515" spans="2:24">
      <c r="B3515" s="7"/>
      <c r="D3515" s="7"/>
      <c r="F3515" s="7"/>
      <c r="H3515" s="7"/>
      <c r="J3515" s="7"/>
      <c r="L3515" s="7"/>
      <c r="N3515" s="7"/>
      <c r="P3515" s="7"/>
      <c r="R3515" s="7"/>
      <c r="T3515" s="7"/>
      <c r="V3515" s="7"/>
      <c r="X3515" s="7"/>
    </row>
    <row r="3516" spans="2:24">
      <c r="B3516" s="7"/>
      <c r="D3516" s="7"/>
      <c r="F3516" s="7"/>
      <c r="H3516" s="7"/>
      <c r="J3516" s="7"/>
      <c r="L3516" s="7"/>
      <c r="N3516" s="7"/>
      <c r="P3516" s="7"/>
      <c r="R3516" s="7"/>
      <c r="T3516" s="7"/>
      <c r="V3516" s="7"/>
      <c r="X3516" s="7"/>
    </row>
    <row r="3517" spans="2:24">
      <c r="B3517" s="7"/>
      <c r="D3517" s="7"/>
      <c r="F3517" s="7"/>
      <c r="H3517" s="7"/>
      <c r="J3517" s="7"/>
      <c r="L3517" s="7"/>
      <c r="N3517" s="7"/>
      <c r="P3517" s="7"/>
      <c r="R3517" s="7"/>
      <c r="T3517" s="7"/>
      <c r="V3517" s="7"/>
      <c r="X3517" s="7"/>
    </row>
    <row r="3518" spans="2:24">
      <c r="B3518" s="7"/>
      <c r="D3518" s="7"/>
      <c r="F3518" s="7"/>
      <c r="H3518" s="7"/>
      <c r="J3518" s="7"/>
      <c r="L3518" s="7"/>
      <c r="N3518" s="7"/>
      <c r="P3518" s="7"/>
      <c r="R3518" s="7"/>
      <c r="T3518" s="7"/>
      <c r="V3518" s="7"/>
      <c r="X3518" s="7"/>
    </row>
    <row r="3519" spans="2:24">
      <c r="B3519" s="7"/>
      <c r="D3519" s="7"/>
      <c r="F3519" s="7"/>
      <c r="H3519" s="7"/>
      <c r="J3519" s="7"/>
      <c r="L3519" s="7"/>
      <c r="N3519" s="7"/>
      <c r="P3519" s="7"/>
      <c r="R3519" s="7"/>
      <c r="T3519" s="7"/>
      <c r="V3519" s="7"/>
      <c r="X3519" s="7"/>
    </row>
    <row r="3520" spans="2:24">
      <c r="B3520" s="7"/>
      <c r="D3520" s="7"/>
      <c r="F3520" s="7"/>
      <c r="H3520" s="7"/>
      <c r="J3520" s="7"/>
      <c r="L3520" s="7"/>
      <c r="N3520" s="7"/>
      <c r="P3520" s="7"/>
      <c r="R3520" s="7"/>
      <c r="T3520" s="7"/>
      <c r="V3520" s="7"/>
      <c r="X3520" s="7"/>
    </row>
    <row r="3521" spans="2:24">
      <c r="B3521" s="7"/>
      <c r="D3521" s="7"/>
      <c r="F3521" s="7"/>
      <c r="H3521" s="7"/>
      <c r="J3521" s="7"/>
      <c r="L3521" s="7"/>
      <c r="N3521" s="7"/>
      <c r="P3521" s="7"/>
      <c r="R3521" s="7"/>
      <c r="T3521" s="7"/>
      <c r="V3521" s="7"/>
      <c r="X3521" s="7"/>
    </row>
    <row r="3522" spans="2:24">
      <c r="B3522" s="7"/>
      <c r="D3522" s="7"/>
      <c r="F3522" s="7"/>
      <c r="H3522" s="7"/>
      <c r="J3522" s="7"/>
      <c r="L3522" s="7"/>
      <c r="N3522" s="7"/>
      <c r="P3522" s="7"/>
      <c r="R3522" s="7"/>
      <c r="T3522" s="7"/>
      <c r="V3522" s="7"/>
      <c r="X3522" s="7"/>
    </row>
    <row r="3523" spans="2:24">
      <c r="B3523" s="7"/>
      <c r="D3523" s="7"/>
      <c r="F3523" s="7"/>
      <c r="H3523" s="7"/>
      <c r="J3523" s="7"/>
      <c r="L3523" s="7"/>
      <c r="N3523" s="7"/>
      <c r="P3523" s="7"/>
      <c r="R3523" s="7"/>
      <c r="T3523" s="7"/>
      <c r="V3523" s="7"/>
      <c r="X3523" s="7"/>
    </row>
    <row r="3524" spans="2:24">
      <c r="B3524" s="7"/>
      <c r="D3524" s="7"/>
      <c r="F3524" s="7"/>
      <c r="H3524" s="7"/>
      <c r="J3524" s="7"/>
      <c r="L3524" s="7"/>
      <c r="N3524" s="7"/>
      <c r="P3524" s="7"/>
      <c r="R3524" s="7"/>
      <c r="T3524" s="7"/>
      <c r="V3524" s="7"/>
      <c r="X3524" s="7"/>
    </row>
    <row r="3525" spans="2:24">
      <c r="B3525" s="7"/>
      <c r="D3525" s="7"/>
      <c r="F3525" s="7"/>
      <c r="H3525" s="7"/>
      <c r="J3525" s="7"/>
      <c r="L3525" s="7"/>
      <c r="N3525" s="7"/>
      <c r="P3525" s="7"/>
      <c r="R3525" s="7"/>
      <c r="T3525" s="7"/>
      <c r="V3525" s="7"/>
      <c r="X3525" s="7"/>
    </row>
    <row r="3526" spans="2:24">
      <c r="B3526" s="7"/>
      <c r="D3526" s="7"/>
      <c r="F3526" s="7"/>
      <c r="H3526" s="7"/>
      <c r="J3526" s="7"/>
      <c r="L3526" s="7"/>
      <c r="N3526" s="7"/>
      <c r="P3526" s="7"/>
      <c r="R3526" s="7"/>
      <c r="T3526" s="7"/>
      <c r="V3526" s="7"/>
      <c r="X3526" s="7"/>
    </row>
    <row r="3527" spans="2:24">
      <c r="B3527" s="7"/>
      <c r="D3527" s="7"/>
      <c r="F3527" s="7"/>
      <c r="H3527" s="7"/>
      <c r="J3527" s="7"/>
      <c r="L3527" s="7"/>
      <c r="N3527" s="7"/>
      <c r="P3527" s="7"/>
      <c r="R3527" s="7"/>
      <c r="T3527" s="7"/>
      <c r="V3527" s="7"/>
      <c r="X3527" s="7"/>
    </row>
    <row r="3528" spans="2:24">
      <c r="B3528" s="7"/>
      <c r="D3528" s="7"/>
      <c r="F3528" s="7"/>
      <c r="H3528" s="7"/>
      <c r="J3528" s="7"/>
      <c r="L3528" s="7"/>
      <c r="N3528" s="7"/>
      <c r="P3528" s="7"/>
      <c r="R3528" s="7"/>
      <c r="T3528" s="7"/>
      <c r="V3528" s="7"/>
      <c r="X3528" s="7"/>
    </row>
    <row r="3529" spans="2:24">
      <c r="B3529" s="7"/>
      <c r="D3529" s="7"/>
      <c r="F3529" s="7"/>
      <c r="H3529" s="7"/>
      <c r="J3529" s="7"/>
      <c r="L3529" s="7"/>
      <c r="N3529" s="7"/>
      <c r="P3529" s="7"/>
      <c r="R3529" s="7"/>
      <c r="T3529" s="7"/>
      <c r="V3529" s="7"/>
      <c r="X3529" s="7"/>
    </row>
    <row r="3530" spans="2:24">
      <c r="B3530" s="7"/>
      <c r="D3530" s="7"/>
      <c r="F3530" s="7"/>
      <c r="H3530" s="7"/>
      <c r="J3530" s="7"/>
      <c r="L3530" s="7"/>
      <c r="N3530" s="7"/>
      <c r="P3530" s="7"/>
      <c r="R3530" s="7"/>
      <c r="T3530" s="7"/>
      <c r="V3530" s="7"/>
      <c r="X3530" s="7"/>
    </row>
    <row r="3531" spans="2:24">
      <c r="B3531" s="7"/>
      <c r="D3531" s="7"/>
      <c r="F3531" s="7"/>
      <c r="H3531" s="7"/>
      <c r="J3531" s="7"/>
      <c r="L3531" s="7"/>
      <c r="N3531" s="7"/>
      <c r="P3531" s="7"/>
      <c r="R3531" s="7"/>
      <c r="T3531" s="7"/>
      <c r="V3531" s="7"/>
      <c r="X3531" s="7"/>
    </row>
    <row r="3532" spans="2:24">
      <c r="B3532" s="7"/>
      <c r="D3532" s="7"/>
      <c r="F3532" s="7"/>
      <c r="H3532" s="7"/>
      <c r="J3532" s="7"/>
      <c r="L3532" s="7"/>
      <c r="N3532" s="7"/>
      <c r="P3532" s="7"/>
      <c r="R3532" s="7"/>
      <c r="T3532" s="7"/>
      <c r="V3532" s="7"/>
      <c r="X3532" s="7"/>
    </row>
    <row r="3533" spans="2:24">
      <c r="B3533" s="7"/>
      <c r="D3533" s="7"/>
      <c r="F3533" s="7"/>
      <c r="H3533" s="7"/>
      <c r="J3533" s="7"/>
      <c r="L3533" s="7"/>
      <c r="N3533" s="7"/>
      <c r="P3533" s="7"/>
      <c r="R3533" s="7"/>
      <c r="T3533" s="7"/>
      <c r="V3533" s="7"/>
      <c r="X3533" s="7"/>
    </row>
    <row r="3534" spans="2:24">
      <c r="B3534" s="7"/>
      <c r="D3534" s="7"/>
      <c r="F3534" s="7"/>
      <c r="H3534" s="7"/>
      <c r="J3534" s="7"/>
      <c r="L3534" s="7"/>
      <c r="N3534" s="7"/>
      <c r="P3534" s="7"/>
      <c r="R3534" s="7"/>
      <c r="T3534" s="7"/>
      <c r="V3534" s="7"/>
      <c r="X3534" s="7"/>
    </row>
    <row r="3535" spans="2:24">
      <c r="B3535" s="7"/>
      <c r="D3535" s="7"/>
      <c r="F3535" s="7"/>
      <c r="H3535" s="7"/>
      <c r="J3535" s="7"/>
      <c r="L3535" s="7"/>
      <c r="N3535" s="7"/>
      <c r="P3535" s="7"/>
      <c r="R3535" s="7"/>
      <c r="T3535" s="7"/>
      <c r="V3535" s="7"/>
      <c r="X3535" s="7"/>
    </row>
    <row r="3536" spans="2:24">
      <c r="B3536" s="7"/>
      <c r="D3536" s="7"/>
      <c r="F3536" s="7"/>
      <c r="H3536" s="7"/>
      <c r="J3536" s="7"/>
      <c r="L3536" s="7"/>
      <c r="N3536" s="7"/>
      <c r="P3536" s="7"/>
      <c r="R3536" s="7"/>
      <c r="T3536" s="7"/>
      <c r="V3536" s="7"/>
      <c r="X3536" s="7"/>
    </row>
    <row r="3537" spans="2:24">
      <c r="B3537" s="7"/>
      <c r="D3537" s="7"/>
      <c r="F3537" s="7"/>
      <c r="H3537" s="7"/>
      <c r="J3537" s="7"/>
      <c r="L3537" s="7"/>
      <c r="N3537" s="7"/>
      <c r="P3537" s="7"/>
      <c r="R3537" s="7"/>
      <c r="T3537" s="7"/>
      <c r="V3537" s="7"/>
      <c r="X3537" s="7"/>
    </row>
    <row r="3538" spans="2:24">
      <c r="B3538" s="7"/>
      <c r="D3538" s="7"/>
      <c r="F3538" s="7"/>
      <c r="H3538" s="7"/>
      <c r="J3538" s="7"/>
      <c r="L3538" s="7"/>
      <c r="N3538" s="7"/>
      <c r="P3538" s="7"/>
      <c r="R3538" s="7"/>
      <c r="T3538" s="7"/>
      <c r="V3538" s="7"/>
      <c r="X3538" s="7"/>
    </row>
    <row r="3539" spans="2:24">
      <c r="B3539" s="7"/>
      <c r="D3539" s="7"/>
      <c r="F3539" s="7"/>
      <c r="H3539" s="7"/>
      <c r="J3539" s="7"/>
      <c r="L3539" s="7"/>
      <c r="N3539" s="7"/>
      <c r="P3539" s="7"/>
      <c r="R3539" s="7"/>
      <c r="T3539" s="7"/>
      <c r="V3539" s="7"/>
      <c r="X3539" s="7"/>
    </row>
    <row r="3540" spans="2:24">
      <c r="B3540" s="7"/>
      <c r="D3540" s="7"/>
      <c r="F3540" s="7"/>
      <c r="H3540" s="7"/>
      <c r="J3540" s="7"/>
      <c r="L3540" s="7"/>
      <c r="N3540" s="7"/>
      <c r="P3540" s="7"/>
      <c r="R3540" s="7"/>
      <c r="T3540" s="7"/>
      <c r="V3540" s="7"/>
      <c r="X3540" s="7"/>
    </row>
    <row r="3541" spans="2:24">
      <c r="B3541" s="7"/>
      <c r="D3541" s="7"/>
      <c r="F3541" s="7"/>
      <c r="H3541" s="7"/>
      <c r="J3541" s="7"/>
      <c r="L3541" s="7"/>
      <c r="N3541" s="7"/>
      <c r="P3541" s="7"/>
      <c r="R3541" s="7"/>
      <c r="T3541" s="7"/>
      <c r="V3541" s="7"/>
      <c r="X3541" s="7"/>
    </row>
    <row r="3542" spans="2:24">
      <c r="B3542" s="7"/>
      <c r="D3542" s="7"/>
      <c r="F3542" s="7"/>
      <c r="H3542" s="7"/>
      <c r="J3542" s="7"/>
      <c r="L3542" s="7"/>
      <c r="N3542" s="7"/>
      <c r="P3542" s="7"/>
      <c r="R3542" s="7"/>
      <c r="T3542" s="7"/>
      <c r="V3542" s="7"/>
      <c r="X3542" s="7"/>
    </row>
    <row r="3543" spans="2:24">
      <c r="B3543" s="7"/>
      <c r="D3543" s="7"/>
      <c r="F3543" s="7"/>
      <c r="H3543" s="7"/>
      <c r="J3543" s="7"/>
      <c r="L3543" s="7"/>
      <c r="N3543" s="7"/>
      <c r="P3543" s="7"/>
      <c r="R3543" s="7"/>
      <c r="T3543" s="7"/>
      <c r="V3543" s="7"/>
      <c r="X3543" s="7"/>
    </row>
    <row r="3544" spans="2:24">
      <c r="B3544" s="7"/>
      <c r="D3544" s="7"/>
      <c r="F3544" s="7"/>
      <c r="H3544" s="7"/>
      <c r="J3544" s="7"/>
      <c r="L3544" s="7"/>
      <c r="N3544" s="7"/>
      <c r="P3544" s="7"/>
      <c r="R3544" s="7"/>
      <c r="T3544" s="7"/>
      <c r="V3544" s="7"/>
      <c r="X3544" s="7"/>
    </row>
    <row r="3545" spans="2:24">
      <c r="B3545" s="7"/>
      <c r="D3545" s="7"/>
      <c r="F3545" s="7"/>
      <c r="H3545" s="7"/>
      <c r="J3545" s="7"/>
      <c r="L3545" s="7"/>
      <c r="N3545" s="7"/>
      <c r="P3545" s="7"/>
      <c r="R3545" s="7"/>
      <c r="T3545" s="7"/>
      <c r="V3545" s="7"/>
      <c r="X3545" s="7"/>
    </row>
    <row r="3546" spans="2:24">
      <c r="B3546" s="7"/>
      <c r="D3546" s="7"/>
      <c r="F3546" s="7"/>
      <c r="H3546" s="7"/>
      <c r="J3546" s="7"/>
      <c r="L3546" s="7"/>
      <c r="N3546" s="7"/>
      <c r="P3546" s="7"/>
      <c r="R3546" s="7"/>
      <c r="T3546" s="7"/>
      <c r="V3546" s="7"/>
      <c r="X3546" s="7"/>
    </row>
    <row r="3547" spans="2:24">
      <c r="B3547" s="7"/>
      <c r="D3547" s="7"/>
      <c r="F3547" s="7"/>
      <c r="H3547" s="7"/>
      <c r="J3547" s="7"/>
      <c r="L3547" s="7"/>
      <c r="N3547" s="7"/>
      <c r="P3547" s="7"/>
      <c r="R3547" s="7"/>
      <c r="T3547" s="7"/>
      <c r="V3547" s="7"/>
      <c r="X3547" s="7"/>
    </row>
    <row r="3548" spans="2:24">
      <c r="B3548" s="7"/>
      <c r="D3548" s="7"/>
      <c r="F3548" s="7"/>
      <c r="H3548" s="7"/>
      <c r="J3548" s="7"/>
      <c r="L3548" s="7"/>
      <c r="N3548" s="7"/>
      <c r="P3548" s="7"/>
      <c r="R3548" s="7"/>
      <c r="T3548" s="7"/>
      <c r="V3548" s="7"/>
      <c r="X3548" s="7"/>
    </row>
    <row r="3549" spans="2:24">
      <c r="B3549" s="7"/>
      <c r="D3549" s="7"/>
      <c r="F3549" s="7"/>
      <c r="H3549" s="7"/>
      <c r="J3549" s="7"/>
      <c r="L3549" s="7"/>
      <c r="N3549" s="7"/>
      <c r="P3549" s="7"/>
      <c r="R3549" s="7"/>
      <c r="T3549" s="7"/>
      <c r="V3549" s="7"/>
      <c r="X3549" s="7"/>
    </row>
    <row r="3550" spans="2:24">
      <c r="B3550" s="7"/>
      <c r="D3550" s="7"/>
      <c r="F3550" s="7"/>
      <c r="H3550" s="7"/>
      <c r="J3550" s="7"/>
      <c r="L3550" s="7"/>
      <c r="N3550" s="7"/>
      <c r="P3550" s="7"/>
      <c r="R3550" s="7"/>
      <c r="T3550" s="7"/>
      <c r="V3550" s="7"/>
      <c r="X3550" s="7"/>
    </row>
    <row r="3551" spans="2:24">
      <c r="B3551" s="7"/>
      <c r="D3551" s="7"/>
      <c r="F3551" s="7"/>
      <c r="H3551" s="7"/>
      <c r="J3551" s="7"/>
      <c r="L3551" s="7"/>
      <c r="N3551" s="7"/>
      <c r="P3551" s="7"/>
      <c r="R3551" s="7"/>
      <c r="T3551" s="7"/>
      <c r="V3551" s="7"/>
      <c r="X3551" s="7"/>
    </row>
    <row r="3552" spans="2:24">
      <c r="B3552" s="7"/>
      <c r="D3552" s="7"/>
      <c r="F3552" s="7"/>
      <c r="H3552" s="7"/>
      <c r="J3552" s="7"/>
      <c r="L3552" s="7"/>
      <c r="N3552" s="7"/>
      <c r="P3552" s="7"/>
      <c r="R3552" s="7"/>
      <c r="T3552" s="7"/>
      <c r="V3552" s="7"/>
      <c r="X3552" s="7"/>
    </row>
    <row r="3553" spans="2:24">
      <c r="B3553" s="7"/>
      <c r="D3553" s="7"/>
      <c r="F3553" s="7"/>
      <c r="H3553" s="7"/>
      <c r="J3553" s="7"/>
      <c r="L3553" s="7"/>
      <c r="N3553" s="7"/>
      <c r="P3553" s="7"/>
      <c r="R3553" s="7"/>
      <c r="T3553" s="7"/>
      <c r="V3553" s="7"/>
      <c r="X3553" s="7"/>
    </row>
    <row r="3554" spans="2:24">
      <c r="B3554" s="7"/>
      <c r="D3554" s="7"/>
      <c r="F3554" s="7"/>
      <c r="H3554" s="7"/>
      <c r="J3554" s="7"/>
      <c r="L3554" s="7"/>
      <c r="N3554" s="7"/>
      <c r="P3554" s="7"/>
      <c r="R3554" s="7"/>
      <c r="T3554" s="7"/>
      <c r="V3554" s="7"/>
      <c r="X3554" s="7"/>
    </row>
    <row r="3555" spans="2:24">
      <c r="B3555" s="7"/>
      <c r="D3555" s="7"/>
      <c r="F3555" s="7"/>
      <c r="H3555" s="7"/>
      <c r="J3555" s="7"/>
      <c r="L3555" s="7"/>
      <c r="N3555" s="7"/>
      <c r="P3555" s="7"/>
      <c r="R3555" s="7"/>
      <c r="T3555" s="7"/>
      <c r="V3555" s="7"/>
      <c r="X3555" s="7"/>
    </row>
    <row r="3556" spans="2:24">
      <c r="B3556" s="7"/>
      <c r="D3556" s="7"/>
      <c r="F3556" s="7"/>
      <c r="H3556" s="7"/>
      <c r="J3556" s="7"/>
      <c r="L3556" s="7"/>
      <c r="N3556" s="7"/>
      <c r="P3556" s="7"/>
      <c r="R3556" s="7"/>
      <c r="T3556" s="7"/>
      <c r="V3556" s="7"/>
      <c r="X3556" s="7"/>
    </row>
    <row r="3557" spans="2:24">
      <c r="B3557" s="7"/>
      <c r="D3557" s="7"/>
      <c r="F3557" s="7"/>
      <c r="H3557" s="7"/>
      <c r="J3557" s="7"/>
      <c r="L3557" s="7"/>
      <c r="N3557" s="7"/>
      <c r="P3557" s="7"/>
      <c r="R3557" s="7"/>
      <c r="T3557" s="7"/>
      <c r="V3557" s="7"/>
      <c r="X3557" s="7"/>
    </row>
    <row r="3558" spans="2:24">
      <c r="B3558" s="7"/>
      <c r="D3558" s="7"/>
      <c r="F3558" s="7"/>
      <c r="H3558" s="7"/>
      <c r="J3558" s="7"/>
      <c r="L3558" s="7"/>
      <c r="N3558" s="7"/>
      <c r="P3558" s="7"/>
      <c r="R3558" s="7"/>
      <c r="T3558" s="7"/>
      <c r="V3558" s="7"/>
      <c r="X3558" s="7"/>
    </row>
    <row r="3559" spans="2:24">
      <c r="B3559" s="7"/>
      <c r="D3559" s="7"/>
      <c r="F3559" s="7"/>
      <c r="H3559" s="7"/>
      <c r="J3559" s="7"/>
      <c r="L3559" s="7"/>
      <c r="N3559" s="7"/>
      <c r="P3559" s="7"/>
      <c r="R3559" s="7"/>
      <c r="T3559" s="7"/>
      <c r="V3559" s="7"/>
      <c r="X3559" s="7"/>
    </row>
    <row r="3560" spans="2:24">
      <c r="B3560" s="7"/>
      <c r="D3560" s="7"/>
      <c r="F3560" s="7"/>
      <c r="H3560" s="7"/>
      <c r="J3560" s="7"/>
      <c r="L3560" s="7"/>
      <c r="N3560" s="7"/>
      <c r="P3560" s="7"/>
      <c r="R3560" s="7"/>
      <c r="T3560" s="7"/>
      <c r="V3560" s="7"/>
      <c r="X3560" s="7"/>
    </row>
    <row r="3561" spans="2:24">
      <c r="B3561" s="7"/>
      <c r="D3561" s="7"/>
      <c r="F3561" s="7"/>
      <c r="H3561" s="7"/>
      <c r="J3561" s="7"/>
      <c r="L3561" s="7"/>
      <c r="N3561" s="7"/>
      <c r="P3561" s="7"/>
      <c r="R3561" s="7"/>
      <c r="T3561" s="7"/>
      <c r="V3561" s="7"/>
      <c r="X3561" s="7"/>
    </row>
    <row r="3562" spans="2:24">
      <c r="B3562" s="7"/>
      <c r="D3562" s="7"/>
      <c r="F3562" s="7"/>
      <c r="H3562" s="7"/>
      <c r="J3562" s="7"/>
      <c r="L3562" s="7"/>
      <c r="N3562" s="7"/>
      <c r="P3562" s="7"/>
      <c r="R3562" s="7"/>
      <c r="T3562" s="7"/>
      <c r="V3562" s="7"/>
      <c r="X3562" s="7"/>
    </row>
    <row r="3563" spans="2:24">
      <c r="B3563" s="7"/>
      <c r="D3563" s="7"/>
      <c r="F3563" s="7"/>
      <c r="H3563" s="7"/>
      <c r="J3563" s="7"/>
      <c r="L3563" s="7"/>
      <c r="N3563" s="7"/>
      <c r="P3563" s="7"/>
      <c r="R3563" s="7"/>
      <c r="T3563" s="7"/>
      <c r="V3563" s="7"/>
      <c r="X3563" s="7"/>
    </row>
    <row r="3564" spans="2:24">
      <c r="B3564" s="7"/>
      <c r="D3564" s="7"/>
      <c r="F3564" s="7"/>
      <c r="H3564" s="7"/>
      <c r="J3564" s="7"/>
      <c r="L3564" s="7"/>
      <c r="N3564" s="7"/>
      <c r="P3564" s="7"/>
      <c r="R3564" s="7"/>
      <c r="T3564" s="7"/>
      <c r="V3564" s="7"/>
      <c r="X3564" s="7"/>
    </row>
    <row r="3565" spans="2:24">
      <c r="B3565" s="7"/>
      <c r="D3565" s="7"/>
      <c r="F3565" s="7"/>
      <c r="H3565" s="7"/>
      <c r="J3565" s="7"/>
      <c r="L3565" s="7"/>
      <c r="N3565" s="7"/>
      <c r="P3565" s="7"/>
      <c r="R3565" s="7"/>
      <c r="T3565" s="7"/>
      <c r="V3565" s="7"/>
      <c r="X3565" s="7"/>
    </row>
    <row r="3566" spans="2:24">
      <c r="B3566" s="7"/>
      <c r="D3566" s="7"/>
      <c r="F3566" s="7"/>
      <c r="H3566" s="7"/>
      <c r="J3566" s="7"/>
      <c r="L3566" s="7"/>
      <c r="N3566" s="7"/>
      <c r="P3566" s="7"/>
      <c r="R3566" s="7"/>
      <c r="T3566" s="7"/>
      <c r="V3566" s="7"/>
      <c r="X3566" s="7"/>
    </row>
    <row r="3567" spans="2:24">
      <c r="B3567" s="7"/>
      <c r="D3567" s="7"/>
      <c r="F3567" s="7"/>
      <c r="H3567" s="7"/>
      <c r="J3567" s="7"/>
      <c r="L3567" s="7"/>
      <c r="N3567" s="7"/>
      <c r="P3567" s="7"/>
      <c r="R3567" s="7"/>
      <c r="T3567" s="7"/>
      <c r="V3567" s="7"/>
      <c r="X3567" s="7"/>
    </row>
    <row r="3568" spans="2:24">
      <c r="B3568" s="7"/>
      <c r="D3568" s="7"/>
      <c r="F3568" s="7"/>
      <c r="H3568" s="7"/>
      <c r="J3568" s="7"/>
      <c r="L3568" s="7"/>
      <c r="N3568" s="7"/>
      <c r="P3568" s="7"/>
      <c r="R3568" s="7"/>
      <c r="T3568" s="7"/>
      <c r="V3568" s="7"/>
      <c r="X3568" s="7"/>
    </row>
    <row r="3569" spans="2:24">
      <c r="B3569" s="7"/>
      <c r="D3569" s="7"/>
      <c r="F3569" s="7"/>
      <c r="H3569" s="7"/>
      <c r="J3569" s="7"/>
      <c r="L3569" s="7"/>
      <c r="N3569" s="7"/>
      <c r="P3569" s="7"/>
      <c r="R3569" s="7"/>
      <c r="T3569" s="7"/>
      <c r="V3569" s="7"/>
      <c r="X3569" s="7"/>
    </row>
    <row r="3570" spans="2:24">
      <c r="B3570" s="7"/>
      <c r="D3570" s="7"/>
      <c r="F3570" s="7"/>
      <c r="H3570" s="7"/>
      <c r="J3570" s="7"/>
      <c r="L3570" s="7"/>
      <c r="N3570" s="7"/>
      <c r="P3570" s="7"/>
      <c r="R3570" s="7"/>
      <c r="T3570" s="7"/>
      <c r="V3570" s="7"/>
      <c r="X3570" s="7"/>
    </row>
    <row r="3571" spans="2:24">
      <c r="B3571" s="7"/>
      <c r="D3571" s="7"/>
      <c r="F3571" s="7"/>
      <c r="H3571" s="7"/>
      <c r="J3571" s="7"/>
      <c r="L3571" s="7"/>
      <c r="N3571" s="7"/>
      <c r="P3571" s="7"/>
      <c r="R3571" s="7"/>
      <c r="T3571" s="7"/>
      <c r="V3571" s="7"/>
      <c r="X3571" s="7"/>
    </row>
    <row r="3572" spans="2:24">
      <c r="B3572" s="7"/>
      <c r="D3572" s="7"/>
      <c r="F3572" s="7"/>
      <c r="H3572" s="7"/>
      <c r="J3572" s="7"/>
      <c r="L3572" s="7"/>
      <c r="N3572" s="7"/>
      <c r="P3572" s="7"/>
      <c r="R3572" s="7"/>
      <c r="T3572" s="7"/>
      <c r="V3572" s="7"/>
      <c r="X3572" s="7"/>
    </row>
    <row r="3573" spans="2:24">
      <c r="B3573" s="7"/>
      <c r="D3573" s="7"/>
      <c r="F3573" s="7"/>
      <c r="H3573" s="7"/>
      <c r="J3573" s="7"/>
      <c r="L3573" s="7"/>
      <c r="N3573" s="7"/>
      <c r="P3573" s="7"/>
      <c r="R3573" s="7"/>
      <c r="T3573" s="7"/>
      <c r="V3573" s="7"/>
      <c r="X3573" s="7"/>
    </row>
    <row r="3574" spans="2:24">
      <c r="B3574" s="7"/>
      <c r="D3574" s="7"/>
      <c r="F3574" s="7"/>
      <c r="H3574" s="7"/>
      <c r="J3574" s="7"/>
      <c r="L3574" s="7"/>
      <c r="N3574" s="7"/>
      <c r="P3574" s="7"/>
      <c r="R3574" s="7"/>
      <c r="T3574" s="7"/>
      <c r="V3574" s="7"/>
      <c r="X3574" s="7"/>
    </row>
    <row r="3575" spans="2:24">
      <c r="B3575" s="7"/>
      <c r="D3575" s="7"/>
      <c r="F3575" s="7"/>
      <c r="H3575" s="7"/>
      <c r="J3575" s="7"/>
      <c r="L3575" s="7"/>
      <c r="N3575" s="7"/>
      <c r="P3575" s="7"/>
      <c r="R3575" s="7"/>
      <c r="T3575" s="7"/>
      <c r="V3575" s="7"/>
      <c r="X3575" s="7"/>
    </row>
    <row r="3576" spans="2:24">
      <c r="B3576" s="7"/>
      <c r="D3576" s="7"/>
      <c r="F3576" s="7"/>
      <c r="H3576" s="7"/>
      <c r="J3576" s="7"/>
      <c r="L3576" s="7"/>
      <c r="N3576" s="7"/>
      <c r="P3576" s="7"/>
      <c r="R3576" s="7"/>
      <c r="T3576" s="7"/>
      <c r="V3576" s="7"/>
      <c r="X3576" s="7"/>
    </row>
    <row r="3577" spans="2:24">
      <c r="B3577" s="7"/>
      <c r="D3577" s="7"/>
      <c r="F3577" s="7"/>
      <c r="H3577" s="7"/>
      <c r="J3577" s="7"/>
      <c r="L3577" s="7"/>
      <c r="N3577" s="7"/>
      <c r="P3577" s="7"/>
      <c r="R3577" s="7"/>
      <c r="T3577" s="7"/>
      <c r="V3577" s="7"/>
      <c r="X3577" s="7"/>
    </row>
    <row r="3578" spans="2:24">
      <c r="B3578" s="7"/>
      <c r="D3578" s="7"/>
      <c r="F3578" s="7"/>
      <c r="H3578" s="7"/>
      <c r="J3578" s="7"/>
      <c r="L3578" s="7"/>
      <c r="N3578" s="7"/>
      <c r="P3578" s="7"/>
      <c r="R3578" s="7"/>
      <c r="T3578" s="7"/>
      <c r="V3578" s="7"/>
      <c r="X3578" s="7"/>
    </row>
    <row r="3579" spans="2:24">
      <c r="B3579" s="7"/>
      <c r="D3579" s="7"/>
      <c r="F3579" s="7"/>
      <c r="H3579" s="7"/>
      <c r="J3579" s="7"/>
      <c r="L3579" s="7"/>
      <c r="N3579" s="7"/>
      <c r="P3579" s="7"/>
      <c r="R3579" s="7"/>
      <c r="T3579" s="7"/>
      <c r="V3579" s="7"/>
      <c r="X3579" s="7"/>
    </row>
    <row r="3580" spans="2:24">
      <c r="B3580" s="7"/>
      <c r="D3580" s="7"/>
      <c r="F3580" s="7"/>
      <c r="H3580" s="7"/>
      <c r="J3580" s="7"/>
      <c r="L3580" s="7"/>
      <c r="N3580" s="7"/>
      <c r="P3580" s="7"/>
      <c r="R3580" s="7"/>
      <c r="T3580" s="7"/>
      <c r="V3580" s="7"/>
      <c r="X3580" s="7"/>
    </row>
    <row r="3581" spans="2:24">
      <c r="B3581" s="7"/>
      <c r="D3581" s="7"/>
      <c r="F3581" s="7"/>
      <c r="H3581" s="7"/>
      <c r="J3581" s="7"/>
      <c r="L3581" s="7"/>
      <c r="N3581" s="7"/>
      <c r="P3581" s="7"/>
      <c r="R3581" s="7"/>
      <c r="T3581" s="7"/>
      <c r="V3581" s="7"/>
      <c r="X3581" s="7"/>
    </row>
    <row r="3582" spans="2:24">
      <c r="B3582" s="7"/>
      <c r="D3582" s="7"/>
      <c r="F3582" s="7"/>
      <c r="H3582" s="7"/>
      <c r="J3582" s="7"/>
      <c r="L3582" s="7"/>
      <c r="N3582" s="7"/>
      <c r="P3582" s="7"/>
      <c r="R3582" s="7"/>
      <c r="T3582" s="7"/>
      <c r="V3582" s="7"/>
      <c r="X3582" s="7"/>
    </row>
    <row r="3583" spans="2:24">
      <c r="B3583" s="7"/>
      <c r="D3583" s="7"/>
      <c r="F3583" s="7"/>
      <c r="H3583" s="7"/>
      <c r="J3583" s="7"/>
      <c r="L3583" s="7"/>
      <c r="N3583" s="7"/>
      <c r="P3583" s="7"/>
      <c r="R3583" s="7"/>
      <c r="T3583" s="7"/>
      <c r="V3583" s="7"/>
      <c r="X3583" s="7"/>
    </row>
    <row r="3584" spans="2:24">
      <c r="B3584" s="7"/>
      <c r="D3584" s="7"/>
      <c r="F3584" s="7"/>
      <c r="H3584" s="7"/>
      <c r="J3584" s="7"/>
      <c r="L3584" s="7"/>
      <c r="N3584" s="7"/>
      <c r="P3584" s="7"/>
      <c r="R3584" s="7"/>
      <c r="T3584" s="7"/>
      <c r="V3584" s="7"/>
      <c r="X3584" s="7"/>
    </row>
    <row r="3585" spans="2:24">
      <c r="B3585" s="7"/>
      <c r="D3585" s="7"/>
      <c r="F3585" s="7"/>
      <c r="H3585" s="7"/>
      <c r="J3585" s="7"/>
      <c r="L3585" s="7"/>
      <c r="N3585" s="7"/>
      <c r="P3585" s="7"/>
      <c r="R3585" s="7"/>
      <c r="T3585" s="7"/>
      <c r="V3585" s="7"/>
      <c r="X3585" s="7"/>
    </row>
    <row r="3586" spans="2:24">
      <c r="B3586" s="7"/>
      <c r="D3586" s="7"/>
      <c r="F3586" s="7"/>
      <c r="H3586" s="7"/>
      <c r="J3586" s="7"/>
      <c r="L3586" s="7"/>
      <c r="N3586" s="7"/>
      <c r="P3586" s="7"/>
      <c r="R3586" s="7"/>
      <c r="T3586" s="7"/>
      <c r="V3586" s="7"/>
      <c r="X3586" s="7"/>
    </row>
    <row r="3587" spans="2:24">
      <c r="B3587" s="7"/>
      <c r="D3587" s="7"/>
      <c r="F3587" s="7"/>
      <c r="H3587" s="7"/>
      <c r="J3587" s="7"/>
      <c r="L3587" s="7"/>
      <c r="N3587" s="7"/>
      <c r="P3587" s="7"/>
      <c r="R3587" s="7"/>
      <c r="T3587" s="7"/>
      <c r="V3587" s="7"/>
      <c r="X3587" s="7"/>
    </row>
    <row r="3588" spans="2:24">
      <c r="B3588" s="7"/>
      <c r="D3588" s="7"/>
      <c r="F3588" s="7"/>
      <c r="H3588" s="7"/>
      <c r="J3588" s="7"/>
      <c r="L3588" s="7"/>
      <c r="N3588" s="7"/>
      <c r="P3588" s="7"/>
      <c r="R3588" s="7"/>
      <c r="T3588" s="7"/>
      <c r="V3588" s="7"/>
      <c r="X3588" s="7"/>
    </row>
    <row r="3589" spans="2:24">
      <c r="B3589" s="7"/>
      <c r="D3589" s="7"/>
      <c r="F3589" s="7"/>
      <c r="H3589" s="7"/>
      <c r="J3589" s="7"/>
      <c r="L3589" s="7"/>
      <c r="N3589" s="7"/>
      <c r="P3589" s="7"/>
      <c r="R3589" s="7"/>
      <c r="T3589" s="7"/>
      <c r="V3589" s="7"/>
      <c r="X3589" s="7"/>
    </row>
    <row r="3590" spans="2:24">
      <c r="B3590" s="7"/>
      <c r="D3590" s="7"/>
      <c r="F3590" s="7"/>
      <c r="H3590" s="7"/>
      <c r="J3590" s="7"/>
      <c r="L3590" s="7"/>
      <c r="N3590" s="7"/>
      <c r="P3590" s="7"/>
      <c r="R3590" s="7"/>
      <c r="T3590" s="7"/>
      <c r="V3590" s="7"/>
      <c r="X3590" s="7"/>
    </row>
    <row r="3591" spans="2:24">
      <c r="B3591" s="7"/>
      <c r="D3591" s="7"/>
      <c r="F3591" s="7"/>
      <c r="H3591" s="7"/>
      <c r="J3591" s="7"/>
      <c r="L3591" s="7"/>
      <c r="N3591" s="7"/>
      <c r="P3591" s="7"/>
      <c r="R3591" s="7"/>
      <c r="T3591" s="7"/>
      <c r="V3591" s="7"/>
      <c r="X3591" s="7"/>
    </row>
    <row r="3592" spans="2:24">
      <c r="B3592" s="7"/>
      <c r="D3592" s="7"/>
      <c r="F3592" s="7"/>
      <c r="H3592" s="7"/>
      <c r="J3592" s="7"/>
      <c r="L3592" s="7"/>
      <c r="N3592" s="7"/>
      <c r="P3592" s="7"/>
      <c r="R3592" s="7"/>
      <c r="T3592" s="7"/>
      <c r="V3592" s="7"/>
      <c r="X3592" s="7"/>
    </row>
    <row r="3593" spans="2:24">
      <c r="B3593" s="7"/>
      <c r="D3593" s="7"/>
      <c r="F3593" s="7"/>
      <c r="H3593" s="7"/>
      <c r="J3593" s="7"/>
      <c r="L3593" s="7"/>
      <c r="N3593" s="7"/>
      <c r="P3593" s="7"/>
      <c r="R3593" s="7"/>
      <c r="T3593" s="7"/>
      <c r="V3593" s="7"/>
      <c r="X3593" s="7"/>
    </row>
    <row r="3594" spans="2:24">
      <c r="B3594" s="7"/>
      <c r="D3594" s="7"/>
      <c r="F3594" s="7"/>
      <c r="H3594" s="7"/>
      <c r="J3594" s="7"/>
      <c r="L3594" s="7"/>
      <c r="N3594" s="7"/>
      <c r="P3594" s="7"/>
      <c r="R3594" s="7"/>
      <c r="T3594" s="7"/>
      <c r="V3594" s="7"/>
      <c r="X3594" s="7"/>
    </row>
    <row r="3595" spans="2:24">
      <c r="B3595" s="7"/>
      <c r="D3595" s="7"/>
      <c r="F3595" s="7"/>
      <c r="H3595" s="7"/>
      <c r="J3595" s="7"/>
      <c r="L3595" s="7"/>
      <c r="N3595" s="7"/>
      <c r="P3595" s="7"/>
      <c r="R3595" s="7"/>
      <c r="T3595" s="7"/>
      <c r="V3595" s="7"/>
      <c r="X3595" s="7"/>
    </row>
    <row r="3596" spans="2:24">
      <c r="B3596" s="7"/>
      <c r="D3596" s="7"/>
      <c r="F3596" s="7"/>
      <c r="H3596" s="7"/>
      <c r="J3596" s="7"/>
      <c r="L3596" s="7"/>
      <c r="N3596" s="7"/>
      <c r="P3596" s="7"/>
      <c r="R3596" s="7"/>
      <c r="T3596" s="7"/>
      <c r="V3596" s="7"/>
      <c r="X3596" s="7"/>
    </row>
    <row r="3597" spans="2:24">
      <c r="B3597" s="7"/>
      <c r="D3597" s="7"/>
      <c r="F3597" s="7"/>
      <c r="H3597" s="7"/>
      <c r="J3597" s="7"/>
      <c r="L3597" s="7"/>
      <c r="N3597" s="7"/>
      <c r="P3597" s="7"/>
      <c r="R3597" s="7"/>
      <c r="T3597" s="7"/>
      <c r="V3597" s="7"/>
      <c r="X3597" s="7"/>
    </row>
    <row r="3598" spans="2:24">
      <c r="B3598" s="7"/>
      <c r="D3598" s="7"/>
      <c r="F3598" s="7"/>
      <c r="H3598" s="7"/>
      <c r="J3598" s="7"/>
      <c r="L3598" s="7"/>
      <c r="N3598" s="7"/>
      <c r="P3598" s="7"/>
      <c r="R3598" s="7"/>
      <c r="T3598" s="7"/>
      <c r="V3598" s="7"/>
      <c r="X3598" s="7"/>
    </row>
    <row r="3599" spans="2:24">
      <c r="B3599" s="7"/>
      <c r="D3599" s="7"/>
      <c r="F3599" s="7"/>
      <c r="H3599" s="7"/>
      <c r="J3599" s="7"/>
      <c r="L3599" s="7"/>
      <c r="N3599" s="7"/>
      <c r="P3599" s="7"/>
      <c r="R3599" s="7"/>
      <c r="T3599" s="7"/>
      <c r="V3599" s="7"/>
      <c r="X3599" s="7"/>
    </row>
    <row r="3600" spans="2:24">
      <c r="B3600" s="7"/>
      <c r="D3600" s="7"/>
      <c r="F3600" s="7"/>
      <c r="H3600" s="7"/>
      <c r="J3600" s="7"/>
      <c r="L3600" s="7"/>
      <c r="N3600" s="7"/>
      <c r="P3600" s="7"/>
      <c r="R3600" s="7"/>
      <c r="T3600" s="7"/>
      <c r="V3600" s="7"/>
      <c r="X3600" s="7"/>
    </row>
    <row r="3601" spans="2:24">
      <c r="B3601" s="7"/>
      <c r="D3601" s="7"/>
      <c r="F3601" s="7"/>
      <c r="H3601" s="7"/>
      <c r="J3601" s="7"/>
      <c r="L3601" s="7"/>
      <c r="N3601" s="7"/>
      <c r="P3601" s="7"/>
      <c r="R3601" s="7"/>
      <c r="T3601" s="7"/>
      <c r="V3601" s="7"/>
      <c r="X3601" s="7"/>
    </row>
    <row r="3602" spans="2:24">
      <c r="B3602" s="7"/>
      <c r="D3602" s="7"/>
      <c r="F3602" s="7"/>
      <c r="H3602" s="7"/>
      <c r="J3602" s="7"/>
      <c r="L3602" s="7"/>
      <c r="N3602" s="7"/>
      <c r="P3602" s="7"/>
      <c r="R3602" s="7"/>
      <c r="T3602" s="7"/>
      <c r="V3602" s="7"/>
      <c r="X3602" s="7"/>
    </row>
    <row r="3603" spans="2:24">
      <c r="B3603" s="7"/>
      <c r="D3603" s="7"/>
      <c r="F3603" s="7"/>
      <c r="H3603" s="7"/>
      <c r="J3603" s="7"/>
      <c r="L3603" s="7"/>
      <c r="N3603" s="7"/>
      <c r="P3603" s="7"/>
      <c r="R3603" s="7"/>
      <c r="T3603" s="7"/>
      <c r="V3603" s="7"/>
      <c r="X3603" s="7"/>
    </row>
    <row r="3604" spans="2:24">
      <c r="B3604" s="7"/>
      <c r="D3604" s="7"/>
      <c r="F3604" s="7"/>
      <c r="H3604" s="7"/>
      <c r="J3604" s="7"/>
      <c r="L3604" s="7"/>
      <c r="N3604" s="7"/>
      <c r="P3604" s="7"/>
      <c r="R3604" s="7"/>
      <c r="T3604" s="7"/>
      <c r="V3604" s="7"/>
      <c r="X3604" s="7"/>
    </row>
    <row r="3605" spans="2:24">
      <c r="B3605" s="7"/>
      <c r="D3605" s="7"/>
      <c r="F3605" s="7"/>
      <c r="H3605" s="7"/>
      <c r="J3605" s="7"/>
      <c r="L3605" s="7"/>
      <c r="N3605" s="7"/>
      <c r="P3605" s="7"/>
      <c r="R3605" s="7"/>
      <c r="T3605" s="7"/>
      <c r="V3605" s="7"/>
      <c r="X3605" s="7"/>
    </row>
    <row r="3606" spans="2:24">
      <c r="B3606" s="7"/>
      <c r="D3606" s="7"/>
      <c r="F3606" s="7"/>
      <c r="H3606" s="7"/>
      <c r="J3606" s="7"/>
      <c r="L3606" s="7"/>
      <c r="N3606" s="7"/>
      <c r="P3606" s="7"/>
      <c r="R3606" s="7"/>
      <c r="T3606" s="7"/>
      <c r="V3606" s="7"/>
      <c r="X3606" s="7"/>
    </row>
    <row r="3607" spans="2:24">
      <c r="B3607" s="7"/>
      <c r="D3607" s="7"/>
      <c r="F3607" s="7"/>
      <c r="H3607" s="7"/>
      <c r="J3607" s="7"/>
      <c r="L3607" s="7"/>
      <c r="N3607" s="7"/>
      <c r="P3607" s="7"/>
      <c r="R3607" s="7"/>
      <c r="T3607" s="7"/>
      <c r="V3607" s="7"/>
      <c r="X3607" s="7"/>
    </row>
    <row r="3608" spans="2:24">
      <c r="B3608" s="7"/>
      <c r="D3608" s="7"/>
      <c r="F3608" s="7"/>
      <c r="H3608" s="7"/>
      <c r="J3608" s="7"/>
      <c r="L3608" s="7"/>
      <c r="N3608" s="7"/>
      <c r="P3608" s="7"/>
      <c r="R3608" s="7"/>
      <c r="T3608" s="7"/>
      <c r="V3608" s="7"/>
      <c r="X3608" s="7"/>
    </row>
    <row r="3609" spans="2:24">
      <c r="B3609" s="7"/>
      <c r="D3609" s="7"/>
      <c r="F3609" s="7"/>
      <c r="H3609" s="7"/>
      <c r="J3609" s="7"/>
      <c r="L3609" s="7"/>
      <c r="N3609" s="7"/>
      <c r="P3609" s="7"/>
      <c r="R3609" s="7"/>
      <c r="T3609" s="7"/>
      <c r="V3609" s="7"/>
      <c r="X3609" s="7"/>
    </row>
    <row r="3610" spans="2:24">
      <c r="B3610" s="7"/>
      <c r="D3610" s="7"/>
      <c r="F3610" s="7"/>
      <c r="H3610" s="7"/>
      <c r="J3610" s="7"/>
      <c r="L3610" s="7"/>
      <c r="N3610" s="7"/>
      <c r="P3610" s="7"/>
      <c r="R3610" s="7"/>
      <c r="T3610" s="7"/>
      <c r="V3610" s="7"/>
      <c r="X3610" s="7"/>
    </row>
    <row r="3611" spans="2:24">
      <c r="B3611" s="7"/>
      <c r="D3611" s="7"/>
      <c r="F3611" s="7"/>
      <c r="H3611" s="7"/>
      <c r="J3611" s="7"/>
      <c r="L3611" s="7"/>
      <c r="N3611" s="7"/>
      <c r="P3611" s="7"/>
      <c r="R3611" s="7"/>
      <c r="T3611" s="7"/>
      <c r="V3611" s="7"/>
      <c r="X3611" s="7"/>
    </row>
    <row r="3612" spans="2:24">
      <c r="B3612" s="7"/>
      <c r="D3612" s="7"/>
      <c r="F3612" s="7"/>
      <c r="H3612" s="7"/>
      <c r="J3612" s="7"/>
      <c r="L3612" s="7"/>
      <c r="N3612" s="7"/>
      <c r="P3612" s="7"/>
      <c r="R3612" s="7"/>
      <c r="T3612" s="7"/>
      <c r="V3612" s="7"/>
      <c r="X3612" s="7"/>
    </row>
    <row r="3613" spans="2:24">
      <c r="B3613" s="7"/>
      <c r="D3613" s="7"/>
      <c r="F3613" s="7"/>
      <c r="H3613" s="7"/>
      <c r="J3613" s="7"/>
      <c r="L3613" s="7"/>
      <c r="N3613" s="7"/>
      <c r="P3613" s="7"/>
      <c r="R3613" s="7"/>
      <c r="T3613" s="7"/>
      <c r="V3613" s="7"/>
      <c r="X3613" s="7"/>
    </row>
    <row r="3614" spans="2:24">
      <c r="B3614" s="7"/>
      <c r="D3614" s="7"/>
      <c r="F3614" s="7"/>
      <c r="H3614" s="7"/>
      <c r="J3614" s="7"/>
      <c r="L3614" s="7"/>
      <c r="N3614" s="7"/>
      <c r="P3614" s="7"/>
      <c r="R3614" s="7"/>
      <c r="T3614" s="7"/>
      <c r="V3614" s="7"/>
      <c r="X3614" s="7"/>
    </row>
    <row r="3615" spans="2:24">
      <c r="B3615" s="7"/>
      <c r="D3615" s="7"/>
      <c r="F3615" s="7"/>
      <c r="H3615" s="7"/>
      <c r="J3615" s="7"/>
      <c r="L3615" s="7"/>
      <c r="N3615" s="7"/>
      <c r="P3615" s="7"/>
      <c r="R3615" s="7"/>
      <c r="T3615" s="7"/>
      <c r="V3615" s="7"/>
      <c r="X3615" s="7"/>
    </row>
    <row r="3616" spans="2:24">
      <c r="B3616" s="7"/>
      <c r="D3616" s="7"/>
      <c r="F3616" s="7"/>
      <c r="H3616" s="7"/>
      <c r="J3616" s="7"/>
      <c r="L3616" s="7"/>
      <c r="N3616" s="7"/>
      <c r="P3616" s="7"/>
      <c r="R3616" s="7"/>
      <c r="T3616" s="7"/>
      <c r="V3616" s="7"/>
      <c r="X3616" s="7"/>
    </row>
    <row r="3617" spans="2:24">
      <c r="B3617" s="7"/>
      <c r="D3617" s="7"/>
      <c r="F3617" s="7"/>
      <c r="H3617" s="7"/>
      <c r="J3617" s="7"/>
      <c r="L3617" s="7"/>
      <c r="N3617" s="7"/>
      <c r="P3617" s="7"/>
      <c r="R3617" s="7"/>
      <c r="T3617" s="7"/>
      <c r="V3617" s="7"/>
      <c r="X3617" s="7"/>
    </row>
    <row r="3618" spans="2:24">
      <c r="B3618" s="7"/>
      <c r="D3618" s="7"/>
      <c r="F3618" s="7"/>
      <c r="H3618" s="7"/>
      <c r="J3618" s="7"/>
      <c r="L3618" s="7"/>
      <c r="N3618" s="7"/>
      <c r="P3618" s="7"/>
      <c r="R3618" s="7"/>
      <c r="T3618" s="7"/>
      <c r="V3618" s="7"/>
      <c r="X3618" s="7"/>
    </row>
    <row r="3619" spans="2:24">
      <c r="B3619" s="7"/>
      <c r="D3619" s="7"/>
      <c r="F3619" s="7"/>
      <c r="H3619" s="7"/>
      <c r="J3619" s="7"/>
      <c r="L3619" s="7"/>
      <c r="N3619" s="7"/>
      <c r="P3619" s="7"/>
      <c r="R3619" s="7"/>
      <c r="T3619" s="7"/>
      <c r="V3619" s="7"/>
      <c r="X3619" s="7"/>
    </row>
    <row r="3620" spans="2:24">
      <c r="B3620" s="7"/>
      <c r="D3620" s="7"/>
      <c r="F3620" s="7"/>
      <c r="H3620" s="7"/>
      <c r="J3620" s="7"/>
      <c r="L3620" s="7"/>
      <c r="N3620" s="7"/>
      <c r="P3620" s="7"/>
      <c r="R3620" s="7"/>
      <c r="T3620" s="7"/>
      <c r="V3620" s="7"/>
      <c r="X3620" s="7"/>
    </row>
    <row r="3621" spans="2:24">
      <c r="B3621" s="7"/>
      <c r="D3621" s="7"/>
      <c r="F3621" s="7"/>
      <c r="H3621" s="7"/>
      <c r="J3621" s="7"/>
      <c r="L3621" s="7"/>
      <c r="N3621" s="7"/>
      <c r="P3621" s="7"/>
      <c r="R3621" s="7"/>
      <c r="T3621" s="7"/>
      <c r="V3621" s="7"/>
      <c r="X3621" s="7"/>
    </row>
    <row r="3622" spans="2:24">
      <c r="B3622" s="7"/>
      <c r="D3622" s="7"/>
      <c r="F3622" s="7"/>
      <c r="H3622" s="7"/>
      <c r="J3622" s="7"/>
      <c r="L3622" s="7"/>
      <c r="N3622" s="7"/>
      <c r="P3622" s="7"/>
      <c r="R3622" s="7"/>
      <c r="T3622" s="7"/>
      <c r="V3622" s="7"/>
      <c r="X3622" s="7"/>
    </row>
    <row r="3623" spans="2:24">
      <c r="B3623" s="7"/>
      <c r="D3623" s="7"/>
      <c r="F3623" s="7"/>
      <c r="H3623" s="7"/>
      <c r="J3623" s="7"/>
      <c r="L3623" s="7"/>
      <c r="N3623" s="7"/>
      <c r="P3623" s="7"/>
      <c r="R3623" s="7"/>
      <c r="T3623" s="7"/>
      <c r="V3623" s="7"/>
      <c r="X3623" s="7"/>
    </row>
    <row r="3624" spans="2:24">
      <c r="B3624" s="7"/>
      <c r="D3624" s="7"/>
      <c r="F3624" s="7"/>
      <c r="H3624" s="7"/>
      <c r="J3624" s="7"/>
      <c r="L3624" s="7"/>
      <c r="N3624" s="7"/>
      <c r="P3624" s="7"/>
      <c r="R3624" s="7"/>
      <c r="T3624" s="7"/>
      <c r="V3624" s="7"/>
      <c r="X3624" s="7"/>
    </row>
    <row r="3625" spans="2:24">
      <c r="B3625" s="7"/>
      <c r="D3625" s="7"/>
      <c r="F3625" s="7"/>
      <c r="H3625" s="7"/>
      <c r="J3625" s="7"/>
      <c r="L3625" s="7"/>
      <c r="N3625" s="7"/>
      <c r="P3625" s="7"/>
      <c r="R3625" s="7"/>
      <c r="T3625" s="7"/>
      <c r="V3625" s="7"/>
      <c r="X3625" s="7"/>
    </row>
    <row r="3626" spans="2:24">
      <c r="B3626" s="7"/>
      <c r="D3626" s="7"/>
      <c r="F3626" s="7"/>
      <c r="H3626" s="7"/>
      <c r="J3626" s="7"/>
      <c r="L3626" s="7"/>
      <c r="N3626" s="7"/>
      <c r="P3626" s="7"/>
      <c r="R3626" s="7"/>
      <c r="T3626" s="7"/>
      <c r="V3626" s="7"/>
      <c r="X3626" s="7"/>
    </row>
    <row r="3627" spans="2:24">
      <c r="B3627" s="7"/>
      <c r="D3627" s="7"/>
      <c r="F3627" s="7"/>
      <c r="H3627" s="7"/>
      <c r="J3627" s="7"/>
      <c r="L3627" s="7"/>
      <c r="N3627" s="7"/>
      <c r="P3627" s="7"/>
      <c r="R3627" s="7"/>
      <c r="T3627" s="7"/>
      <c r="V3627" s="7"/>
      <c r="X3627" s="7"/>
    </row>
    <row r="3628" spans="2:24">
      <c r="B3628" s="7"/>
      <c r="D3628" s="7"/>
      <c r="F3628" s="7"/>
      <c r="H3628" s="7"/>
      <c r="J3628" s="7"/>
      <c r="L3628" s="7"/>
      <c r="N3628" s="7"/>
      <c r="P3628" s="7"/>
      <c r="R3628" s="7"/>
      <c r="T3628" s="7"/>
      <c r="V3628" s="7"/>
      <c r="X3628" s="7"/>
    </row>
    <row r="3629" spans="2:24">
      <c r="B3629" s="7"/>
      <c r="D3629" s="7"/>
      <c r="F3629" s="7"/>
      <c r="H3629" s="7"/>
      <c r="J3629" s="7"/>
      <c r="L3629" s="7"/>
      <c r="N3629" s="7"/>
      <c r="P3629" s="7"/>
      <c r="R3629" s="7"/>
      <c r="T3629" s="7"/>
      <c r="V3629" s="7"/>
      <c r="X3629" s="7"/>
    </row>
    <row r="3630" spans="2:24">
      <c r="B3630" s="7"/>
      <c r="D3630" s="7"/>
      <c r="F3630" s="7"/>
      <c r="H3630" s="7"/>
      <c r="J3630" s="7"/>
      <c r="L3630" s="7"/>
      <c r="N3630" s="7"/>
      <c r="P3630" s="7"/>
      <c r="R3630" s="7"/>
      <c r="T3630" s="7"/>
      <c r="V3630" s="7"/>
      <c r="X3630" s="7"/>
    </row>
    <row r="3631" spans="2:24">
      <c r="B3631" s="7"/>
      <c r="D3631" s="7"/>
      <c r="F3631" s="7"/>
      <c r="H3631" s="7"/>
      <c r="J3631" s="7"/>
      <c r="L3631" s="7"/>
      <c r="N3631" s="7"/>
      <c r="P3631" s="7"/>
      <c r="R3631" s="7"/>
      <c r="T3631" s="7"/>
      <c r="V3631" s="7"/>
      <c r="X3631" s="7"/>
    </row>
    <row r="3632" spans="2:24">
      <c r="B3632" s="7"/>
      <c r="D3632" s="7"/>
      <c r="F3632" s="7"/>
      <c r="H3632" s="7"/>
      <c r="J3632" s="7"/>
      <c r="L3632" s="7"/>
      <c r="N3632" s="7"/>
      <c r="P3632" s="7"/>
      <c r="R3632" s="7"/>
      <c r="T3632" s="7"/>
      <c r="V3632" s="7"/>
      <c r="X3632" s="7"/>
    </row>
    <row r="3633" spans="2:24">
      <c r="B3633" s="7"/>
      <c r="D3633" s="7"/>
      <c r="F3633" s="7"/>
      <c r="H3633" s="7"/>
      <c r="J3633" s="7"/>
      <c r="L3633" s="7"/>
      <c r="N3633" s="7"/>
      <c r="P3633" s="7"/>
      <c r="R3633" s="7"/>
      <c r="T3633" s="7"/>
      <c r="V3633" s="7"/>
      <c r="X3633" s="7"/>
    </row>
    <row r="3634" spans="2:24">
      <c r="B3634" s="7"/>
      <c r="D3634" s="7"/>
      <c r="F3634" s="7"/>
      <c r="H3634" s="7"/>
      <c r="J3634" s="7"/>
      <c r="L3634" s="7"/>
      <c r="N3634" s="7"/>
      <c r="P3634" s="7"/>
      <c r="R3634" s="7"/>
      <c r="T3634" s="7"/>
      <c r="V3634" s="7"/>
      <c r="X3634" s="7"/>
    </row>
    <row r="3635" spans="2:24">
      <c r="B3635" s="7"/>
      <c r="D3635" s="7"/>
      <c r="F3635" s="7"/>
      <c r="H3635" s="7"/>
      <c r="J3635" s="7"/>
      <c r="L3635" s="7"/>
      <c r="N3635" s="7"/>
      <c r="P3635" s="7"/>
      <c r="R3635" s="7"/>
      <c r="T3635" s="7"/>
      <c r="V3635" s="7"/>
      <c r="X3635" s="7"/>
    </row>
    <row r="3636" spans="2:24">
      <c r="B3636" s="7"/>
      <c r="D3636" s="7"/>
      <c r="F3636" s="7"/>
      <c r="H3636" s="7"/>
      <c r="J3636" s="7"/>
      <c r="L3636" s="7"/>
      <c r="N3636" s="7"/>
      <c r="P3636" s="7"/>
      <c r="R3636" s="7"/>
      <c r="T3636" s="7"/>
      <c r="V3636" s="7"/>
      <c r="X3636" s="7"/>
    </row>
    <row r="3637" spans="2:24">
      <c r="B3637" s="7"/>
      <c r="D3637" s="7"/>
      <c r="F3637" s="7"/>
      <c r="H3637" s="7"/>
      <c r="J3637" s="7"/>
      <c r="L3637" s="7"/>
      <c r="N3637" s="7"/>
      <c r="P3637" s="7"/>
      <c r="R3637" s="7"/>
      <c r="T3637" s="7"/>
      <c r="V3637" s="7"/>
      <c r="X3637" s="7"/>
    </row>
    <row r="3638" spans="2:24">
      <c r="B3638" s="7"/>
      <c r="D3638" s="7"/>
      <c r="F3638" s="7"/>
      <c r="H3638" s="7"/>
      <c r="J3638" s="7"/>
      <c r="L3638" s="7"/>
      <c r="N3638" s="7"/>
      <c r="P3638" s="7"/>
      <c r="R3638" s="7"/>
      <c r="T3638" s="7"/>
      <c r="V3638" s="7"/>
      <c r="X3638" s="7"/>
    </row>
    <row r="3639" spans="2:24">
      <c r="B3639" s="7"/>
      <c r="D3639" s="7"/>
      <c r="F3639" s="7"/>
      <c r="H3639" s="7"/>
      <c r="J3639" s="7"/>
      <c r="L3639" s="7"/>
      <c r="N3639" s="7"/>
      <c r="P3639" s="7"/>
      <c r="R3639" s="7"/>
      <c r="T3639" s="7"/>
      <c r="V3639" s="7"/>
      <c r="X3639" s="7"/>
    </row>
    <row r="3640" spans="2:24">
      <c r="B3640" s="7"/>
      <c r="D3640" s="7"/>
      <c r="F3640" s="7"/>
      <c r="H3640" s="7"/>
      <c r="J3640" s="7"/>
      <c r="L3640" s="7"/>
      <c r="N3640" s="7"/>
      <c r="P3640" s="7"/>
      <c r="R3640" s="7"/>
      <c r="T3640" s="7"/>
      <c r="V3640" s="7"/>
      <c r="X3640" s="7"/>
    </row>
    <row r="3641" spans="2:24">
      <c r="B3641" s="7"/>
      <c r="D3641" s="7"/>
      <c r="F3641" s="7"/>
      <c r="H3641" s="7"/>
      <c r="J3641" s="7"/>
      <c r="L3641" s="7"/>
      <c r="N3641" s="7"/>
      <c r="P3641" s="7"/>
      <c r="R3641" s="7"/>
      <c r="T3641" s="7"/>
      <c r="V3641" s="7"/>
      <c r="X3641" s="7"/>
    </row>
    <row r="3642" spans="2:24">
      <c r="B3642" s="7"/>
      <c r="D3642" s="7"/>
      <c r="F3642" s="7"/>
      <c r="H3642" s="7"/>
      <c r="J3642" s="7"/>
      <c r="L3642" s="7"/>
      <c r="N3642" s="7"/>
      <c r="P3642" s="7"/>
      <c r="R3642" s="7"/>
      <c r="T3642" s="7"/>
      <c r="V3642" s="7"/>
      <c r="X3642" s="7"/>
    </row>
    <row r="3643" spans="2:24">
      <c r="B3643" s="7"/>
      <c r="D3643" s="7"/>
      <c r="F3643" s="7"/>
      <c r="H3643" s="7"/>
      <c r="J3643" s="7"/>
      <c r="L3643" s="7"/>
      <c r="N3643" s="7"/>
      <c r="P3643" s="7"/>
      <c r="R3643" s="7"/>
      <c r="T3643" s="7"/>
      <c r="V3643" s="7"/>
      <c r="X3643" s="7"/>
    </row>
    <row r="3644" spans="2:24">
      <c r="B3644" s="7"/>
      <c r="D3644" s="7"/>
      <c r="F3644" s="7"/>
      <c r="H3644" s="7"/>
      <c r="J3644" s="7"/>
      <c r="L3644" s="7"/>
      <c r="N3644" s="7"/>
      <c r="P3644" s="7"/>
      <c r="R3644" s="7"/>
      <c r="T3644" s="7"/>
      <c r="V3644" s="7"/>
      <c r="X3644" s="7"/>
    </row>
    <row r="3645" spans="2:24">
      <c r="B3645" s="7"/>
      <c r="D3645" s="7"/>
      <c r="F3645" s="7"/>
      <c r="H3645" s="7"/>
      <c r="J3645" s="7"/>
      <c r="L3645" s="7"/>
      <c r="N3645" s="7"/>
      <c r="P3645" s="7"/>
      <c r="R3645" s="7"/>
      <c r="T3645" s="7"/>
      <c r="V3645" s="7"/>
      <c r="X3645" s="7"/>
    </row>
    <row r="3646" spans="2:24">
      <c r="B3646" s="7"/>
      <c r="D3646" s="7"/>
      <c r="F3646" s="7"/>
      <c r="H3646" s="7"/>
      <c r="J3646" s="7"/>
      <c r="L3646" s="7"/>
      <c r="N3646" s="7"/>
      <c r="P3646" s="7"/>
      <c r="R3646" s="7"/>
      <c r="T3646" s="7"/>
      <c r="V3646" s="7"/>
      <c r="X3646" s="7"/>
    </row>
    <row r="3647" spans="2:24">
      <c r="B3647" s="7"/>
      <c r="D3647" s="7"/>
      <c r="F3647" s="7"/>
      <c r="H3647" s="7"/>
      <c r="J3647" s="7"/>
      <c r="L3647" s="7"/>
      <c r="N3647" s="7"/>
      <c r="P3647" s="7"/>
      <c r="R3647" s="7"/>
      <c r="T3647" s="7"/>
      <c r="V3647" s="7"/>
      <c r="X3647" s="7"/>
    </row>
    <row r="3648" spans="2:24">
      <c r="B3648" s="7"/>
      <c r="D3648" s="7"/>
      <c r="F3648" s="7"/>
      <c r="H3648" s="7"/>
      <c r="J3648" s="7"/>
      <c r="L3648" s="7"/>
      <c r="N3648" s="7"/>
      <c r="P3648" s="7"/>
      <c r="R3648" s="7"/>
      <c r="T3648" s="7"/>
      <c r="V3648" s="7"/>
      <c r="X3648" s="7"/>
    </row>
    <row r="3649" spans="2:24">
      <c r="B3649" s="7"/>
      <c r="D3649" s="7"/>
      <c r="F3649" s="7"/>
      <c r="H3649" s="7"/>
      <c r="J3649" s="7"/>
      <c r="L3649" s="7"/>
      <c r="N3649" s="7"/>
      <c r="P3649" s="7"/>
      <c r="R3649" s="7"/>
      <c r="T3649" s="7"/>
      <c r="V3649" s="7"/>
      <c r="X3649" s="7"/>
    </row>
    <row r="3650" spans="2:24">
      <c r="B3650" s="7"/>
      <c r="D3650" s="7"/>
      <c r="F3650" s="7"/>
      <c r="H3650" s="7"/>
      <c r="J3650" s="7"/>
      <c r="L3650" s="7"/>
      <c r="N3650" s="7"/>
      <c r="P3650" s="7"/>
      <c r="R3650" s="7"/>
      <c r="T3650" s="7"/>
      <c r="V3650" s="7"/>
      <c r="X3650" s="7"/>
    </row>
    <row r="3651" spans="2:24">
      <c r="B3651" s="7"/>
      <c r="D3651" s="7"/>
      <c r="F3651" s="7"/>
      <c r="H3651" s="7"/>
      <c r="J3651" s="7"/>
      <c r="L3651" s="7"/>
      <c r="N3651" s="7"/>
      <c r="P3651" s="7"/>
      <c r="R3651" s="7"/>
      <c r="T3651" s="7"/>
      <c r="V3651" s="7"/>
      <c r="X3651" s="7"/>
    </row>
    <row r="3652" spans="2:24">
      <c r="B3652" s="7"/>
      <c r="D3652" s="7"/>
      <c r="F3652" s="7"/>
      <c r="H3652" s="7"/>
      <c r="J3652" s="7"/>
      <c r="L3652" s="7"/>
      <c r="N3652" s="7"/>
      <c r="P3652" s="7"/>
      <c r="R3652" s="7"/>
      <c r="T3652" s="7"/>
      <c r="V3652" s="7"/>
      <c r="X3652" s="7"/>
    </row>
    <row r="3653" spans="2:24">
      <c r="B3653" s="7"/>
      <c r="D3653" s="7"/>
      <c r="F3653" s="7"/>
      <c r="H3653" s="7"/>
      <c r="J3653" s="7"/>
      <c r="L3653" s="7"/>
      <c r="N3653" s="7"/>
      <c r="P3653" s="7"/>
      <c r="R3653" s="7"/>
      <c r="T3653" s="7"/>
      <c r="V3653" s="7"/>
      <c r="X3653" s="7"/>
    </row>
    <row r="3654" spans="2:24">
      <c r="B3654" s="7"/>
      <c r="D3654" s="7"/>
      <c r="F3654" s="7"/>
      <c r="H3654" s="7"/>
      <c r="J3654" s="7"/>
      <c r="L3654" s="7"/>
      <c r="N3654" s="7"/>
      <c r="P3654" s="7"/>
      <c r="R3654" s="7"/>
      <c r="T3654" s="7"/>
      <c r="V3654" s="7"/>
      <c r="X3654" s="7"/>
    </row>
    <row r="3655" spans="2:24">
      <c r="B3655" s="7"/>
      <c r="D3655" s="7"/>
      <c r="F3655" s="7"/>
      <c r="H3655" s="7"/>
      <c r="J3655" s="7"/>
      <c r="L3655" s="7"/>
      <c r="N3655" s="7"/>
      <c r="P3655" s="7"/>
      <c r="R3655" s="7"/>
      <c r="T3655" s="7"/>
      <c r="V3655" s="7"/>
      <c r="X3655" s="7"/>
    </row>
    <row r="3656" spans="2:24">
      <c r="B3656" s="7"/>
      <c r="D3656" s="7"/>
      <c r="F3656" s="7"/>
      <c r="H3656" s="7"/>
      <c r="J3656" s="7"/>
      <c r="L3656" s="7"/>
      <c r="N3656" s="7"/>
      <c r="P3656" s="7"/>
      <c r="R3656" s="7"/>
      <c r="T3656" s="7"/>
      <c r="V3656" s="7"/>
      <c r="X3656" s="7"/>
    </row>
    <row r="3657" spans="2:24">
      <c r="B3657" s="7"/>
      <c r="D3657" s="7"/>
      <c r="F3657" s="7"/>
      <c r="H3657" s="7"/>
      <c r="J3657" s="7"/>
      <c r="L3657" s="7"/>
      <c r="N3657" s="7"/>
      <c r="P3657" s="7"/>
      <c r="R3657" s="7"/>
      <c r="T3657" s="7"/>
      <c r="V3657" s="7"/>
      <c r="X3657" s="7"/>
    </row>
    <row r="3658" spans="2:24">
      <c r="B3658" s="7"/>
      <c r="D3658" s="7"/>
      <c r="F3658" s="7"/>
      <c r="H3658" s="7"/>
      <c r="J3658" s="7"/>
      <c r="L3658" s="7"/>
      <c r="N3658" s="7"/>
      <c r="P3658" s="7"/>
      <c r="R3658" s="7"/>
      <c r="T3658" s="7"/>
      <c r="V3658" s="7"/>
      <c r="X3658" s="7"/>
    </row>
    <row r="3659" spans="2:24">
      <c r="B3659" s="7"/>
      <c r="D3659" s="7"/>
      <c r="F3659" s="7"/>
      <c r="H3659" s="7"/>
      <c r="J3659" s="7"/>
      <c r="L3659" s="7"/>
      <c r="N3659" s="7"/>
      <c r="P3659" s="7"/>
      <c r="R3659" s="7"/>
      <c r="T3659" s="7"/>
      <c r="V3659" s="7"/>
      <c r="X3659" s="7"/>
    </row>
    <row r="3660" spans="2:24">
      <c r="B3660" s="7"/>
      <c r="D3660" s="7"/>
      <c r="F3660" s="7"/>
      <c r="H3660" s="7"/>
      <c r="J3660" s="7"/>
      <c r="L3660" s="7"/>
      <c r="N3660" s="7"/>
      <c r="P3660" s="7"/>
      <c r="R3660" s="7"/>
      <c r="T3660" s="7"/>
      <c r="V3660" s="7"/>
      <c r="X3660" s="7"/>
    </row>
    <row r="3661" spans="2:24">
      <c r="B3661" s="7"/>
      <c r="D3661" s="7"/>
      <c r="F3661" s="7"/>
      <c r="H3661" s="7"/>
      <c r="J3661" s="7"/>
      <c r="L3661" s="7"/>
      <c r="N3661" s="7"/>
      <c r="P3661" s="7"/>
      <c r="R3661" s="7"/>
      <c r="T3661" s="7"/>
      <c r="V3661" s="7"/>
      <c r="X3661" s="7"/>
    </row>
    <row r="3662" spans="2:24">
      <c r="B3662" s="7"/>
      <c r="D3662" s="7"/>
      <c r="F3662" s="7"/>
      <c r="H3662" s="7"/>
      <c r="J3662" s="7"/>
      <c r="L3662" s="7"/>
      <c r="N3662" s="7"/>
      <c r="P3662" s="7"/>
      <c r="R3662" s="7"/>
      <c r="T3662" s="7"/>
      <c r="V3662" s="7"/>
      <c r="X3662" s="7"/>
    </row>
    <row r="3663" spans="2:24">
      <c r="B3663" s="7"/>
      <c r="D3663" s="7"/>
      <c r="F3663" s="7"/>
      <c r="H3663" s="7"/>
      <c r="J3663" s="7"/>
      <c r="L3663" s="7"/>
      <c r="N3663" s="7"/>
      <c r="P3663" s="7"/>
      <c r="R3663" s="7"/>
      <c r="T3663" s="7"/>
      <c r="V3663" s="7"/>
      <c r="X3663" s="7"/>
    </row>
    <row r="3664" spans="2:24">
      <c r="B3664" s="7"/>
      <c r="D3664" s="7"/>
      <c r="F3664" s="7"/>
      <c r="H3664" s="7"/>
      <c r="J3664" s="7"/>
      <c r="L3664" s="7"/>
      <c r="N3664" s="7"/>
      <c r="P3664" s="7"/>
      <c r="R3664" s="7"/>
      <c r="T3664" s="7"/>
      <c r="V3664" s="7"/>
      <c r="X3664" s="7"/>
    </row>
    <row r="3665" spans="2:24">
      <c r="B3665" s="7"/>
      <c r="D3665" s="7"/>
      <c r="F3665" s="7"/>
      <c r="H3665" s="7"/>
      <c r="J3665" s="7"/>
      <c r="L3665" s="7"/>
      <c r="N3665" s="7"/>
      <c r="P3665" s="7"/>
      <c r="R3665" s="7"/>
      <c r="T3665" s="7"/>
      <c r="V3665" s="7"/>
      <c r="X3665" s="7"/>
    </row>
    <row r="3666" spans="2:24">
      <c r="B3666" s="7"/>
      <c r="D3666" s="7"/>
      <c r="F3666" s="7"/>
      <c r="H3666" s="7"/>
      <c r="J3666" s="7"/>
      <c r="L3666" s="7"/>
      <c r="N3666" s="7"/>
      <c r="P3666" s="7"/>
      <c r="R3666" s="7"/>
      <c r="T3666" s="7"/>
      <c r="V3666" s="7"/>
      <c r="X3666" s="7"/>
    </row>
    <row r="3667" spans="2:24">
      <c r="B3667" s="7"/>
      <c r="D3667" s="7"/>
      <c r="F3667" s="7"/>
      <c r="H3667" s="7"/>
      <c r="J3667" s="7"/>
      <c r="L3667" s="7"/>
      <c r="N3667" s="7"/>
      <c r="P3667" s="7"/>
      <c r="R3667" s="7"/>
      <c r="T3667" s="7"/>
      <c r="V3667" s="7"/>
      <c r="X3667" s="7"/>
    </row>
    <row r="3668" spans="2:24">
      <c r="B3668" s="7"/>
      <c r="D3668" s="7"/>
      <c r="F3668" s="7"/>
      <c r="H3668" s="7"/>
      <c r="J3668" s="7"/>
      <c r="L3668" s="7"/>
      <c r="N3668" s="7"/>
      <c r="P3668" s="7"/>
      <c r="R3668" s="7"/>
      <c r="T3668" s="7"/>
      <c r="V3668" s="7"/>
      <c r="X3668" s="7"/>
    </row>
    <row r="3669" spans="2:24">
      <c r="B3669" s="7"/>
      <c r="D3669" s="7"/>
      <c r="F3669" s="7"/>
      <c r="H3669" s="7"/>
      <c r="J3669" s="7"/>
      <c r="L3669" s="7"/>
      <c r="N3669" s="7"/>
      <c r="P3669" s="7"/>
      <c r="R3669" s="7"/>
      <c r="T3669" s="7"/>
      <c r="V3669" s="7"/>
      <c r="X3669" s="7"/>
    </row>
    <row r="3670" spans="2:24">
      <c r="B3670" s="7"/>
      <c r="D3670" s="7"/>
      <c r="F3670" s="7"/>
      <c r="H3670" s="7"/>
      <c r="J3670" s="7"/>
      <c r="L3670" s="7"/>
      <c r="N3670" s="7"/>
      <c r="P3670" s="7"/>
      <c r="R3670" s="7"/>
      <c r="T3670" s="7"/>
      <c r="V3670" s="7"/>
      <c r="X3670" s="7"/>
    </row>
    <row r="3671" spans="2:24">
      <c r="B3671" s="7"/>
      <c r="D3671" s="7"/>
      <c r="F3671" s="7"/>
      <c r="H3671" s="7"/>
      <c r="J3671" s="7"/>
      <c r="L3671" s="7"/>
      <c r="N3671" s="7"/>
      <c r="P3671" s="7"/>
      <c r="R3671" s="7"/>
      <c r="T3671" s="7"/>
      <c r="V3671" s="7"/>
      <c r="X3671" s="7"/>
    </row>
    <row r="3672" spans="2:24">
      <c r="B3672" s="7"/>
      <c r="D3672" s="7"/>
      <c r="F3672" s="7"/>
      <c r="H3672" s="7"/>
      <c r="J3672" s="7"/>
      <c r="L3672" s="7"/>
      <c r="N3672" s="7"/>
      <c r="P3672" s="7"/>
      <c r="R3672" s="7"/>
      <c r="T3672" s="7"/>
      <c r="V3672" s="7"/>
      <c r="X3672" s="7"/>
    </row>
    <row r="3673" spans="2:24">
      <c r="B3673" s="7"/>
      <c r="D3673" s="7"/>
      <c r="F3673" s="7"/>
      <c r="H3673" s="7"/>
      <c r="J3673" s="7"/>
      <c r="L3673" s="7"/>
      <c r="N3673" s="7"/>
      <c r="P3673" s="7"/>
      <c r="R3673" s="7"/>
      <c r="T3673" s="7"/>
      <c r="V3673" s="7"/>
      <c r="X3673" s="7"/>
    </row>
    <row r="3674" spans="2:24">
      <c r="B3674" s="7"/>
      <c r="D3674" s="7"/>
      <c r="F3674" s="7"/>
      <c r="H3674" s="7"/>
      <c r="J3674" s="7"/>
      <c r="L3674" s="7"/>
      <c r="N3674" s="7"/>
      <c r="P3674" s="7"/>
      <c r="R3674" s="7"/>
      <c r="T3674" s="7"/>
      <c r="V3674" s="7"/>
      <c r="X3674" s="7"/>
    </row>
    <row r="3675" spans="2:24">
      <c r="B3675" s="7"/>
      <c r="D3675" s="7"/>
      <c r="F3675" s="7"/>
      <c r="H3675" s="7"/>
      <c r="J3675" s="7"/>
      <c r="L3675" s="7"/>
      <c r="N3675" s="7"/>
      <c r="P3675" s="7"/>
      <c r="R3675" s="7"/>
      <c r="T3675" s="7"/>
      <c r="V3675" s="7"/>
      <c r="X3675" s="7"/>
    </row>
    <row r="3676" spans="2:24">
      <c r="B3676" s="7"/>
      <c r="D3676" s="7"/>
      <c r="F3676" s="7"/>
      <c r="H3676" s="7"/>
      <c r="J3676" s="7"/>
      <c r="L3676" s="7"/>
      <c r="N3676" s="7"/>
      <c r="P3676" s="7"/>
      <c r="R3676" s="7"/>
      <c r="T3676" s="7"/>
      <c r="V3676" s="7"/>
      <c r="X3676" s="7"/>
    </row>
    <row r="3677" spans="2:24">
      <c r="B3677" s="7"/>
      <c r="D3677" s="7"/>
      <c r="F3677" s="7"/>
      <c r="H3677" s="7"/>
      <c r="J3677" s="7"/>
      <c r="L3677" s="7"/>
      <c r="N3677" s="7"/>
      <c r="P3677" s="7"/>
      <c r="R3677" s="7"/>
      <c r="T3677" s="7"/>
      <c r="V3677" s="7"/>
      <c r="X3677" s="7"/>
    </row>
    <row r="3678" spans="2:24">
      <c r="B3678" s="7"/>
      <c r="D3678" s="7"/>
      <c r="F3678" s="7"/>
      <c r="H3678" s="7"/>
      <c r="J3678" s="7"/>
      <c r="L3678" s="7"/>
      <c r="N3678" s="7"/>
      <c r="P3678" s="7"/>
      <c r="R3678" s="7"/>
      <c r="T3678" s="7"/>
      <c r="V3678" s="7"/>
      <c r="X3678" s="7"/>
    </row>
    <row r="3679" spans="2:24">
      <c r="B3679" s="7"/>
      <c r="D3679" s="7"/>
      <c r="F3679" s="7"/>
      <c r="H3679" s="7"/>
      <c r="J3679" s="7"/>
      <c r="L3679" s="7"/>
      <c r="N3679" s="7"/>
      <c r="P3679" s="7"/>
      <c r="R3679" s="7"/>
      <c r="T3679" s="7"/>
      <c r="V3679" s="7"/>
      <c r="X3679" s="7"/>
    </row>
    <row r="3680" spans="2:24">
      <c r="B3680" s="7"/>
      <c r="D3680" s="7"/>
      <c r="F3680" s="7"/>
      <c r="H3680" s="7"/>
      <c r="J3680" s="7"/>
      <c r="L3680" s="7"/>
      <c r="N3680" s="7"/>
      <c r="P3680" s="7"/>
      <c r="R3680" s="7"/>
      <c r="T3680" s="7"/>
      <c r="V3680" s="7"/>
      <c r="X3680" s="7"/>
    </row>
    <row r="3681" spans="2:24">
      <c r="B3681" s="7"/>
      <c r="D3681" s="7"/>
      <c r="F3681" s="7"/>
      <c r="H3681" s="7"/>
      <c r="J3681" s="7"/>
      <c r="L3681" s="7"/>
      <c r="N3681" s="7"/>
      <c r="P3681" s="7"/>
      <c r="R3681" s="7"/>
      <c r="T3681" s="7"/>
      <c r="V3681" s="7"/>
      <c r="X3681" s="7"/>
    </row>
    <row r="3682" spans="2:24">
      <c r="B3682" s="7"/>
      <c r="D3682" s="7"/>
      <c r="F3682" s="7"/>
      <c r="H3682" s="7"/>
      <c r="J3682" s="7"/>
      <c r="L3682" s="7"/>
      <c r="N3682" s="7"/>
      <c r="P3682" s="7"/>
      <c r="R3682" s="7"/>
      <c r="T3682" s="7"/>
      <c r="V3682" s="7"/>
      <c r="X3682" s="7"/>
    </row>
    <row r="3683" spans="2:24">
      <c r="B3683" s="7"/>
      <c r="D3683" s="7"/>
      <c r="F3683" s="7"/>
      <c r="H3683" s="7"/>
      <c r="J3683" s="7"/>
      <c r="L3683" s="7"/>
      <c r="N3683" s="7"/>
      <c r="P3683" s="7"/>
      <c r="R3683" s="7"/>
      <c r="T3683" s="7"/>
      <c r="V3683" s="7"/>
      <c r="X3683" s="7"/>
    </row>
    <row r="3684" spans="2:24">
      <c r="B3684" s="7"/>
      <c r="D3684" s="7"/>
      <c r="F3684" s="7"/>
      <c r="H3684" s="7"/>
      <c r="J3684" s="7"/>
      <c r="L3684" s="7"/>
      <c r="N3684" s="7"/>
      <c r="P3684" s="7"/>
      <c r="R3684" s="7"/>
      <c r="T3684" s="7"/>
      <c r="V3684" s="7"/>
      <c r="X3684" s="7"/>
    </row>
    <row r="3685" spans="2:24">
      <c r="B3685" s="7"/>
      <c r="D3685" s="7"/>
      <c r="F3685" s="7"/>
      <c r="H3685" s="7"/>
      <c r="J3685" s="7"/>
      <c r="L3685" s="7"/>
      <c r="N3685" s="7"/>
      <c r="P3685" s="7"/>
      <c r="R3685" s="7"/>
      <c r="T3685" s="7"/>
      <c r="V3685" s="7"/>
      <c r="X3685" s="7"/>
    </row>
    <row r="3686" spans="2:24">
      <c r="B3686" s="7"/>
      <c r="D3686" s="7"/>
      <c r="F3686" s="7"/>
      <c r="H3686" s="7"/>
      <c r="J3686" s="7"/>
      <c r="L3686" s="7"/>
      <c r="N3686" s="7"/>
      <c r="P3686" s="7"/>
      <c r="R3686" s="7"/>
      <c r="T3686" s="7"/>
      <c r="V3686" s="7"/>
      <c r="X3686" s="7"/>
    </row>
    <row r="3687" spans="2:24">
      <c r="B3687" s="7"/>
      <c r="D3687" s="7"/>
      <c r="F3687" s="7"/>
      <c r="H3687" s="7"/>
      <c r="J3687" s="7"/>
      <c r="L3687" s="7"/>
      <c r="N3687" s="7"/>
      <c r="P3687" s="7"/>
      <c r="R3687" s="7"/>
      <c r="T3687" s="7"/>
      <c r="V3687" s="7"/>
      <c r="X3687" s="7"/>
    </row>
    <row r="3688" spans="2:24">
      <c r="B3688" s="7"/>
      <c r="D3688" s="7"/>
      <c r="F3688" s="7"/>
      <c r="H3688" s="7"/>
      <c r="J3688" s="7"/>
      <c r="L3688" s="7"/>
      <c r="N3688" s="7"/>
      <c r="P3688" s="7"/>
      <c r="R3688" s="7"/>
      <c r="T3688" s="7"/>
      <c r="V3688" s="7"/>
      <c r="X3688" s="7"/>
    </row>
    <row r="3689" spans="2:24">
      <c r="B3689" s="7"/>
      <c r="D3689" s="7"/>
      <c r="F3689" s="7"/>
      <c r="H3689" s="7"/>
      <c r="J3689" s="7"/>
      <c r="L3689" s="7"/>
      <c r="N3689" s="7"/>
      <c r="P3689" s="7"/>
      <c r="R3689" s="7"/>
      <c r="T3689" s="7"/>
      <c r="V3689" s="7"/>
      <c r="X3689" s="7"/>
    </row>
    <row r="3690" spans="2:24">
      <c r="B3690" s="7"/>
      <c r="D3690" s="7"/>
      <c r="F3690" s="7"/>
      <c r="H3690" s="7"/>
      <c r="J3690" s="7"/>
      <c r="L3690" s="7"/>
      <c r="N3690" s="7"/>
      <c r="P3690" s="7"/>
      <c r="R3690" s="7"/>
      <c r="T3690" s="7"/>
      <c r="V3690" s="7"/>
      <c r="X3690" s="7"/>
    </row>
    <row r="3691" spans="2:24">
      <c r="B3691" s="7"/>
      <c r="D3691" s="7"/>
      <c r="F3691" s="7"/>
      <c r="H3691" s="7"/>
      <c r="J3691" s="7"/>
      <c r="L3691" s="7"/>
      <c r="N3691" s="7"/>
      <c r="P3691" s="7"/>
      <c r="R3691" s="7"/>
      <c r="T3691" s="7"/>
      <c r="V3691" s="7"/>
      <c r="X3691" s="7"/>
    </row>
    <row r="3692" spans="2:24">
      <c r="B3692" s="7"/>
      <c r="D3692" s="7"/>
      <c r="F3692" s="7"/>
      <c r="H3692" s="7"/>
      <c r="J3692" s="7"/>
      <c r="L3692" s="7"/>
      <c r="N3692" s="7"/>
      <c r="P3692" s="7"/>
      <c r="R3692" s="7"/>
      <c r="T3692" s="7"/>
      <c r="V3692" s="7"/>
      <c r="X3692" s="7"/>
    </row>
    <row r="3693" spans="2:24">
      <c r="B3693" s="7"/>
      <c r="D3693" s="7"/>
      <c r="F3693" s="7"/>
      <c r="H3693" s="7"/>
      <c r="J3693" s="7"/>
      <c r="L3693" s="7"/>
      <c r="N3693" s="7"/>
      <c r="P3693" s="7"/>
      <c r="R3693" s="7"/>
      <c r="T3693" s="7"/>
      <c r="V3693" s="7"/>
      <c r="X3693" s="7"/>
    </row>
    <row r="3694" spans="2:24">
      <c r="B3694" s="7"/>
      <c r="D3694" s="7"/>
      <c r="F3694" s="7"/>
      <c r="H3694" s="7"/>
      <c r="J3694" s="7"/>
      <c r="L3694" s="7"/>
      <c r="N3694" s="7"/>
      <c r="P3694" s="7"/>
      <c r="R3694" s="7"/>
      <c r="T3694" s="7"/>
      <c r="V3694" s="7"/>
      <c r="X3694" s="7"/>
    </row>
    <row r="3695" spans="2:24">
      <c r="B3695" s="7"/>
      <c r="D3695" s="7"/>
      <c r="F3695" s="7"/>
      <c r="H3695" s="7"/>
      <c r="J3695" s="7"/>
      <c r="L3695" s="7"/>
      <c r="N3695" s="7"/>
      <c r="P3695" s="7"/>
      <c r="R3695" s="7"/>
      <c r="T3695" s="7"/>
      <c r="V3695" s="7"/>
      <c r="X3695" s="7"/>
    </row>
    <row r="3696" spans="2:24">
      <c r="B3696" s="7"/>
      <c r="D3696" s="7"/>
      <c r="F3696" s="7"/>
      <c r="H3696" s="7"/>
      <c r="J3696" s="7"/>
      <c r="L3696" s="7"/>
      <c r="N3696" s="7"/>
      <c r="P3696" s="7"/>
      <c r="R3696" s="7"/>
      <c r="T3696" s="7"/>
      <c r="V3696" s="7"/>
      <c r="X3696" s="7"/>
    </row>
    <row r="3697" spans="2:24">
      <c r="B3697" s="7"/>
      <c r="D3697" s="7"/>
      <c r="F3697" s="7"/>
      <c r="H3697" s="7"/>
      <c r="J3697" s="7"/>
      <c r="L3697" s="7"/>
      <c r="N3697" s="7"/>
      <c r="P3697" s="7"/>
      <c r="R3697" s="7"/>
      <c r="T3697" s="7"/>
      <c r="V3697" s="7"/>
      <c r="X3697" s="7"/>
    </row>
    <row r="3698" spans="2:24">
      <c r="B3698" s="7"/>
      <c r="D3698" s="7"/>
      <c r="F3698" s="7"/>
      <c r="H3698" s="7"/>
      <c r="J3698" s="7"/>
      <c r="L3698" s="7"/>
      <c r="N3698" s="7"/>
      <c r="P3698" s="7"/>
      <c r="R3698" s="7"/>
      <c r="T3698" s="7"/>
      <c r="V3698" s="7"/>
      <c r="X3698" s="7"/>
    </row>
    <row r="3699" spans="2:24">
      <c r="B3699" s="7"/>
      <c r="D3699" s="7"/>
      <c r="F3699" s="7"/>
      <c r="H3699" s="7"/>
      <c r="J3699" s="7"/>
      <c r="L3699" s="7"/>
      <c r="N3699" s="7"/>
      <c r="P3699" s="7"/>
      <c r="R3699" s="7"/>
      <c r="T3699" s="7"/>
      <c r="V3699" s="7"/>
      <c r="X3699" s="7"/>
    </row>
    <row r="3700" spans="2:24">
      <c r="B3700" s="7"/>
      <c r="D3700" s="7"/>
      <c r="F3700" s="7"/>
      <c r="H3700" s="7"/>
      <c r="J3700" s="7"/>
      <c r="L3700" s="7"/>
      <c r="N3700" s="7"/>
      <c r="P3700" s="7"/>
      <c r="R3700" s="7"/>
      <c r="T3700" s="7"/>
      <c r="V3700" s="7"/>
      <c r="X3700" s="7"/>
    </row>
    <row r="3701" spans="2:24">
      <c r="B3701" s="7"/>
      <c r="D3701" s="7"/>
      <c r="F3701" s="7"/>
      <c r="H3701" s="7"/>
      <c r="J3701" s="7"/>
      <c r="L3701" s="7"/>
      <c r="N3701" s="7"/>
      <c r="P3701" s="7"/>
      <c r="R3701" s="7"/>
      <c r="T3701" s="7"/>
      <c r="V3701" s="7"/>
      <c r="X3701" s="7"/>
    </row>
    <row r="3702" spans="2:24">
      <c r="B3702" s="7"/>
      <c r="D3702" s="7"/>
      <c r="F3702" s="7"/>
      <c r="H3702" s="7"/>
      <c r="J3702" s="7"/>
      <c r="L3702" s="7"/>
      <c r="N3702" s="7"/>
      <c r="P3702" s="7"/>
      <c r="R3702" s="7"/>
      <c r="T3702" s="7"/>
      <c r="V3702" s="7"/>
      <c r="X3702" s="7"/>
    </row>
    <row r="3703" spans="2:24">
      <c r="B3703" s="7"/>
      <c r="D3703" s="7"/>
      <c r="F3703" s="7"/>
      <c r="H3703" s="7"/>
      <c r="J3703" s="7"/>
      <c r="L3703" s="7"/>
      <c r="N3703" s="7"/>
      <c r="P3703" s="7"/>
      <c r="R3703" s="7"/>
      <c r="T3703" s="7"/>
      <c r="V3703" s="7"/>
      <c r="X3703" s="7"/>
    </row>
    <row r="3704" spans="2:24">
      <c r="B3704" s="7"/>
      <c r="D3704" s="7"/>
      <c r="F3704" s="7"/>
      <c r="H3704" s="7"/>
      <c r="J3704" s="7"/>
      <c r="L3704" s="7"/>
      <c r="N3704" s="7"/>
      <c r="P3704" s="7"/>
      <c r="R3704" s="7"/>
      <c r="T3704" s="7"/>
      <c r="V3704" s="7"/>
      <c r="X3704" s="7"/>
    </row>
    <row r="3705" spans="2:24">
      <c r="B3705" s="7"/>
      <c r="D3705" s="7"/>
      <c r="F3705" s="7"/>
      <c r="H3705" s="7"/>
      <c r="J3705" s="7"/>
      <c r="L3705" s="7"/>
      <c r="N3705" s="7"/>
      <c r="P3705" s="7"/>
      <c r="R3705" s="7"/>
      <c r="T3705" s="7"/>
      <c r="V3705" s="7"/>
      <c r="X3705" s="7"/>
    </row>
    <row r="3706" spans="2:24">
      <c r="B3706" s="7"/>
      <c r="D3706" s="7"/>
      <c r="F3706" s="7"/>
      <c r="H3706" s="7"/>
      <c r="J3706" s="7"/>
      <c r="L3706" s="7"/>
      <c r="N3706" s="7"/>
      <c r="P3706" s="7"/>
      <c r="R3706" s="7"/>
      <c r="T3706" s="7"/>
      <c r="V3706" s="7"/>
      <c r="X3706" s="7"/>
    </row>
    <row r="3707" spans="2:24">
      <c r="B3707" s="7"/>
      <c r="D3707" s="7"/>
      <c r="F3707" s="7"/>
      <c r="H3707" s="7"/>
      <c r="J3707" s="7"/>
      <c r="L3707" s="7"/>
      <c r="N3707" s="7"/>
      <c r="P3707" s="7"/>
      <c r="R3707" s="7"/>
      <c r="T3707" s="7"/>
      <c r="V3707" s="7"/>
      <c r="X3707" s="7"/>
    </row>
    <row r="3708" spans="2:24">
      <c r="B3708" s="7"/>
      <c r="D3708" s="7"/>
      <c r="F3708" s="7"/>
      <c r="H3708" s="7"/>
      <c r="J3708" s="7"/>
      <c r="L3708" s="7"/>
      <c r="N3708" s="7"/>
      <c r="P3708" s="7"/>
      <c r="R3708" s="7"/>
      <c r="T3708" s="7"/>
      <c r="V3708" s="7"/>
      <c r="X3708" s="7"/>
    </row>
    <row r="3709" spans="2:24">
      <c r="B3709" s="7"/>
      <c r="D3709" s="7"/>
      <c r="F3709" s="7"/>
      <c r="H3709" s="7"/>
      <c r="J3709" s="7"/>
      <c r="L3709" s="7"/>
      <c r="N3709" s="7"/>
      <c r="P3709" s="7"/>
      <c r="R3709" s="7"/>
      <c r="T3709" s="7"/>
      <c r="V3709" s="7"/>
      <c r="X3709" s="7"/>
    </row>
    <row r="3710" spans="2:24">
      <c r="B3710" s="7"/>
      <c r="D3710" s="7"/>
      <c r="F3710" s="7"/>
      <c r="H3710" s="7"/>
      <c r="J3710" s="7"/>
      <c r="L3710" s="7"/>
      <c r="N3710" s="7"/>
      <c r="P3710" s="7"/>
      <c r="R3710" s="7"/>
      <c r="T3710" s="7"/>
      <c r="V3710" s="7"/>
      <c r="X3710" s="7"/>
    </row>
    <row r="3711" spans="2:24">
      <c r="B3711" s="7"/>
      <c r="D3711" s="7"/>
      <c r="F3711" s="7"/>
      <c r="H3711" s="7"/>
      <c r="J3711" s="7"/>
      <c r="L3711" s="7"/>
      <c r="N3711" s="7"/>
      <c r="P3711" s="7"/>
      <c r="R3711" s="7"/>
      <c r="T3711" s="7"/>
      <c r="V3711" s="7"/>
      <c r="X3711" s="7"/>
    </row>
    <row r="3712" spans="2:24">
      <c r="B3712" s="7"/>
      <c r="D3712" s="7"/>
      <c r="F3712" s="7"/>
      <c r="H3712" s="7"/>
      <c r="J3712" s="7"/>
      <c r="L3712" s="7"/>
      <c r="N3712" s="7"/>
      <c r="P3712" s="7"/>
      <c r="R3712" s="7"/>
      <c r="T3712" s="7"/>
      <c r="V3712" s="7"/>
      <c r="X3712" s="7"/>
    </row>
    <row r="3713" spans="2:24">
      <c r="B3713" s="7"/>
      <c r="D3713" s="7"/>
      <c r="F3713" s="7"/>
      <c r="H3713" s="7"/>
      <c r="J3713" s="7"/>
      <c r="L3713" s="7"/>
      <c r="N3713" s="7"/>
      <c r="P3713" s="7"/>
      <c r="R3713" s="7"/>
      <c r="T3713" s="7"/>
      <c r="V3713" s="7"/>
      <c r="X3713" s="7"/>
    </row>
    <row r="3714" spans="2:24">
      <c r="B3714" s="7"/>
      <c r="D3714" s="7"/>
      <c r="F3714" s="7"/>
      <c r="H3714" s="7"/>
      <c r="J3714" s="7"/>
      <c r="L3714" s="7"/>
      <c r="N3714" s="7"/>
      <c r="P3714" s="7"/>
      <c r="R3714" s="7"/>
      <c r="T3714" s="7"/>
      <c r="V3714" s="7"/>
      <c r="X3714" s="7"/>
    </row>
    <row r="3715" spans="2:24">
      <c r="B3715" s="7"/>
      <c r="D3715" s="7"/>
      <c r="F3715" s="7"/>
      <c r="H3715" s="7"/>
      <c r="J3715" s="7"/>
      <c r="L3715" s="7"/>
      <c r="N3715" s="7"/>
      <c r="P3715" s="7"/>
      <c r="R3715" s="7"/>
      <c r="T3715" s="7"/>
      <c r="V3715" s="7"/>
      <c r="X3715" s="7"/>
    </row>
    <row r="3716" spans="2:24">
      <c r="B3716" s="7"/>
      <c r="D3716" s="7"/>
      <c r="F3716" s="7"/>
      <c r="H3716" s="7"/>
      <c r="J3716" s="7"/>
      <c r="L3716" s="7"/>
      <c r="N3716" s="7"/>
      <c r="P3716" s="7"/>
      <c r="R3716" s="7"/>
      <c r="T3716" s="7"/>
      <c r="V3716" s="7"/>
      <c r="X3716" s="7"/>
    </row>
    <row r="3717" spans="2:24">
      <c r="B3717" s="7"/>
      <c r="D3717" s="7"/>
      <c r="F3717" s="7"/>
      <c r="H3717" s="7"/>
      <c r="J3717" s="7"/>
      <c r="L3717" s="7"/>
      <c r="N3717" s="7"/>
      <c r="P3717" s="7"/>
      <c r="R3717" s="7"/>
      <c r="T3717" s="7"/>
      <c r="V3717" s="7"/>
      <c r="X3717" s="7"/>
    </row>
    <row r="3718" spans="2:24">
      <c r="B3718" s="7"/>
      <c r="D3718" s="7"/>
      <c r="F3718" s="7"/>
      <c r="H3718" s="7"/>
      <c r="J3718" s="7"/>
      <c r="L3718" s="7"/>
      <c r="N3718" s="7"/>
      <c r="P3718" s="7"/>
      <c r="R3718" s="7"/>
      <c r="T3718" s="7"/>
      <c r="V3718" s="7"/>
      <c r="X3718" s="7"/>
    </row>
    <row r="3719" spans="2:24">
      <c r="B3719" s="7"/>
      <c r="D3719" s="7"/>
      <c r="F3719" s="7"/>
      <c r="H3719" s="7"/>
      <c r="J3719" s="7"/>
      <c r="L3719" s="7"/>
      <c r="N3719" s="7"/>
      <c r="P3719" s="7"/>
      <c r="R3719" s="7"/>
      <c r="T3719" s="7"/>
      <c r="V3719" s="7"/>
      <c r="X3719" s="7"/>
    </row>
    <row r="3720" spans="2:24">
      <c r="B3720" s="7"/>
      <c r="D3720" s="7"/>
      <c r="F3720" s="7"/>
      <c r="H3720" s="7"/>
      <c r="J3720" s="7"/>
      <c r="L3720" s="7"/>
      <c r="N3720" s="7"/>
      <c r="P3720" s="7"/>
      <c r="R3720" s="7"/>
      <c r="T3720" s="7"/>
      <c r="V3720" s="7"/>
      <c r="X3720" s="7"/>
    </row>
    <row r="3721" spans="2:24">
      <c r="B3721" s="7"/>
      <c r="D3721" s="7"/>
      <c r="F3721" s="7"/>
      <c r="H3721" s="7"/>
      <c r="J3721" s="7"/>
      <c r="L3721" s="7"/>
      <c r="N3721" s="7"/>
      <c r="P3721" s="7"/>
      <c r="R3721" s="7"/>
      <c r="T3721" s="7"/>
      <c r="V3721" s="7"/>
      <c r="X3721" s="7"/>
    </row>
    <row r="3722" spans="2:24">
      <c r="B3722" s="7"/>
      <c r="D3722" s="7"/>
      <c r="F3722" s="7"/>
      <c r="H3722" s="7"/>
      <c r="J3722" s="7"/>
      <c r="L3722" s="7"/>
      <c r="N3722" s="7"/>
      <c r="P3722" s="7"/>
      <c r="R3722" s="7"/>
      <c r="T3722" s="7"/>
      <c r="V3722" s="7"/>
      <c r="X3722" s="7"/>
    </row>
    <row r="3723" spans="2:24">
      <c r="B3723" s="7"/>
      <c r="D3723" s="7"/>
      <c r="F3723" s="7"/>
      <c r="H3723" s="7"/>
      <c r="J3723" s="7"/>
      <c r="L3723" s="7"/>
      <c r="N3723" s="7"/>
      <c r="P3723" s="7"/>
      <c r="R3723" s="7"/>
      <c r="T3723" s="7"/>
      <c r="V3723" s="7"/>
      <c r="X3723" s="7"/>
    </row>
    <row r="3724" spans="2:24">
      <c r="B3724" s="7"/>
      <c r="D3724" s="7"/>
      <c r="F3724" s="7"/>
      <c r="H3724" s="7"/>
      <c r="J3724" s="7"/>
      <c r="L3724" s="7"/>
      <c r="N3724" s="7"/>
      <c r="P3724" s="7"/>
      <c r="R3724" s="7"/>
      <c r="T3724" s="7"/>
      <c r="V3724" s="7"/>
      <c r="X3724" s="7"/>
    </row>
    <row r="3725" spans="2:24">
      <c r="B3725" s="7"/>
      <c r="D3725" s="7"/>
      <c r="F3725" s="7"/>
      <c r="H3725" s="7"/>
      <c r="J3725" s="7"/>
      <c r="L3725" s="7"/>
      <c r="N3725" s="7"/>
      <c r="P3725" s="7"/>
      <c r="R3725" s="7"/>
      <c r="T3725" s="7"/>
      <c r="V3725" s="7"/>
      <c r="X3725" s="7"/>
    </row>
    <row r="3726" spans="2:24">
      <c r="B3726" s="7"/>
      <c r="D3726" s="7"/>
      <c r="F3726" s="7"/>
      <c r="H3726" s="7"/>
      <c r="J3726" s="7"/>
      <c r="L3726" s="7"/>
      <c r="N3726" s="7"/>
      <c r="P3726" s="7"/>
      <c r="R3726" s="7"/>
      <c r="T3726" s="7"/>
      <c r="V3726" s="7"/>
      <c r="X3726" s="7"/>
    </row>
    <row r="3727" spans="2:24">
      <c r="B3727" s="7"/>
      <c r="D3727" s="7"/>
      <c r="F3727" s="7"/>
      <c r="H3727" s="7"/>
      <c r="J3727" s="7"/>
      <c r="L3727" s="7"/>
      <c r="N3727" s="7"/>
      <c r="P3727" s="7"/>
      <c r="R3727" s="7"/>
      <c r="T3727" s="7"/>
      <c r="V3727" s="7"/>
      <c r="X3727" s="7"/>
    </row>
    <row r="3728" spans="2:24">
      <c r="B3728" s="7"/>
      <c r="D3728" s="7"/>
      <c r="F3728" s="7"/>
      <c r="H3728" s="7"/>
      <c r="J3728" s="7"/>
      <c r="L3728" s="7"/>
      <c r="N3728" s="7"/>
      <c r="P3728" s="7"/>
      <c r="R3728" s="7"/>
      <c r="T3728" s="7"/>
      <c r="V3728" s="7"/>
      <c r="X3728" s="7"/>
    </row>
    <row r="3729" spans="2:24">
      <c r="B3729" s="7"/>
      <c r="D3729" s="7"/>
      <c r="F3729" s="7"/>
      <c r="H3729" s="7"/>
      <c r="J3729" s="7"/>
      <c r="L3729" s="7"/>
      <c r="N3729" s="7"/>
      <c r="P3729" s="7"/>
      <c r="R3729" s="7"/>
      <c r="T3729" s="7"/>
      <c r="V3729" s="7"/>
      <c r="X3729" s="7"/>
    </row>
    <row r="3730" spans="2:24">
      <c r="B3730" s="7"/>
      <c r="D3730" s="7"/>
      <c r="F3730" s="7"/>
      <c r="H3730" s="7"/>
      <c r="J3730" s="7"/>
      <c r="L3730" s="7"/>
      <c r="N3730" s="7"/>
      <c r="P3730" s="7"/>
      <c r="R3730" s="7"/>
      <c r="T3730" s="7"/>
      <c r="V3730" s="7"/>
      <c r="X3730" s="7"/>
    </row>
    <row r="3731" spans="2:24">
      <c r="B3731" s="7"/>
      <c r="D3731" s="7"/>
      <c r="F3731" s="7"/>
      <c r="H3731" s="7"/>
      <c r="J3731" s="7"/>
      <c r="L3731" s="7"/>
      <c r="N3731" s="7"/>
      <c r="P3731" s="7"/>
      <c r="R3731" s="7"/>
      <c r="T3731" s="7"/>
      <c r="V3731" s="7"/>
      <c r="X3731" s="7"/>
    </row>
    <row r="3732" spans="2:24">
      <c r="B3732" s="7"/>
      <c r="D3732" s="7"/>
      <c r="F3732" s="7"/>
      <c r="H3732" s="7"/>
      <c r="J3732" s="7"/>
      <c r="L3732" s="7"/>
      <c r="N3732" s="7"/>
      <c r="P3732" s="7"/>
      <c r="R3732" s="7"/>
      <c r="T3732" s="7"/>
      <c r="V3732" s="7"/>
      <c r="X3732" s="7"/>
    </row>
    <row r="3733" spans="2:24">
      <c r="B3733" s="7"/>
      <c r="D3733" s="7"/>
      <c r="F3733" s="7"/>
      <c r="H3733" s="7"/>
      <c r="J3733" s="7"/>
      <c r="L3733" s="7"/>
      <c r="N3733" s="7"/>
      <c r="P3733" s="7"/>
      <c r="R3733" s="7"/>
      <c r="T3733" s="7"/>
      <c r="V3733" s="7"/>
      <c r="X3733" s="7"/>
    </row>
    <row r="3734" spans="2:24">
      <c r="B3734" s="7"/>
      <c r="D3734" s="7"/>
      <c r="F3734" s="7"/>
      <c r="H3734" s="7"/>
      <c r="J3734" s="7"/>
      <c r="L3734" s="7"/>
      <c r="N3734" s="7"/>
      <c r="P3734" s="7"/>
      <c r="R3734" s="7"/>
      <c r="T3734" s="7"/>
      <c r="V3734" s="7"/>
      <c r="X3734" s="7"/>
    </row>
    <row r="3735" spans="2:24">
      <c r="B3735" s="7"/>
      <c r="D3735" s="7"/>
      <c r="F3735" s="7"/>
      <c r="H3735" s="7"/>
      <c r="J3735" s="7"/>
      <c r="L3735" s="7"/>
      <c r="N3735" s="7"/>
      <c r="P3735" s="7"/>
      <c r="R3735" s="7"/>
      <c r="T3735" s="7"/>
      <c r="V3735" s="7"/>
      <c r="X3735" s="7"/>
    </row>
    <row r="3736" spans="2:24">
      <c r="B3736" s="7"/>
      <c r="D3736" s="7"/>
      <c r="F3736" s="7"/>
      <c r="H3736" s="7"/>
      <c r="J3736" s="7"/>
      <c r="L3736" s="7"/>
      <c r="N3736" s="7"/>
      <c r="P3736" s="7"/>
      <c r="R3736" s="7"/>
      <c r="T3736" s="7"/>
      <c r="V3736" s="7"/>
      <c r="X3736" s="7"/>
    </row>
    <row r="3737" spans="2:24">
      <c r="B3737" s="7"/>
      <c r="D3737" s="7"/>
      <c r="F3737" s="7"/>
      <c r="H3737" s="7"/>
      <c r="J3737" s="7"/>
      <c r="L3737" s="7"/>
      <c r="N3737" s="7"/>
      <c r="P3737" s="7"/>
      <c r="R3737" s="7"/>
      <c r="T3737" s="7"/>
      <c r="V3737" s="7"/>
      <c r="X3737" s="7"/>
    </row>
    <row r="3738" spans="2:24">
      <c r="B3738" s="7"/>
      <c r="D3738" s="7"/>
      <c r="F3738" s="7"/>
      <c r="H3738" s="7"/>
      <c r="J3738" s="7"/>
      <c r="L3738" s="7"/>
      <c r="N3738" s="7"/>
      <c r="P3738" s="7"/>
      <c r="R3738" s="7"/>
      <c r="T3738" s="7"/>
      <c r="V3738" s="7"/>
      <c r="X3738" s="7"/>
    </row>
    <row r="3739" spans="2:24">
      <c r="B3739" s="7"/>
      <c r="D3739" s="7"/>
      <c r="F3739" s="7"/>
      <c r="H3739" s="7"/>
      <c r="J3739" s="7"/>
      <c r="L3739" s="7"/>
      <c r="N3739" s="7"/>
      <c r="P3739" s="7"/>
      <c r="R3739" s="7"/>
      <c r="T3739" s="7"/>
      <c r="V3739" s="7"/>
      <c r="X3739" s="7"/>
    </row>
    <row r="3740" spans="2:24">
      <c r="B3740" s="7"/>
      <c r="D3740" s="7"/>
      <c r="F3740" s="7"/>
      <c r="H3740" s="7"/>
      <c r="J3740" s="7"/>
      <c r="L3740" s="7"/>
      <c r="N3740" s="7"/>
      <c r="P3740" s="7"/>
      <c r="R3740" s="7"/>
      <c r="T3740" s="7"/>
      <c r="V3740" s="7"/>
      <c r="X3740" s="7"/>
    </row>
    <row r="3741" spans="2:24">
      <c r="B3741" s="7"/>
      <c r="D3741" s="7"/>
      <c r="F3741" s="7"/>
      <c r="H3741" s="7"/>
      <c r="J3741" s="7"/>
      <c r="L3741" s="7"/>
      <c r="N3741" s="7"/>
      <c r="P3741" s="7"/>
      <c r="R3741" s="7"/>
      <c r="T3741" s="7"/>
      <c r="V3741" s="7"/>
      <c r="X3741" s="7"/>
    </row>
    <row r="3742" spans="2:24">
      <c r="B3742" s="7"/>
      <c r="D3742" s="7"/>
      <c r="F3742" s="7"/>
      <c r="H3742" s="7"/>
      <c r="J3742" s="7"/>
      <c r="L3742" s="7"/>
      <c r="N3742" s="7"/>
      <c r="P3742" s="7"/>
      <c r="R3742" s="7"/>
      <c r="T3742" s="7"/>
      <c r="V3742" s="7"/>
      <c r="X3742" s="7"/>
    </row>
    <row r="3743" spans="2:24">
      <c r="B3743" s="7"/>
      <c r="D3743" s="7"/>
      <c r="F3743" s="7"/>
      <c r="H3743" s="7"/>
      <c r="J3743" s="7"/>
      <c r="L3743" s="7"/>
      <c r="N3743" s="7"/>
      <c r="P3743" s="7"/>
      <c r="R3743" s="7"/>
      <c r="T3743" s="7"/>
      <c r="V3743" s="7"/>
      <c r="X3743" s="7"/>
    </row>
    <row r="3744" spans="2:24">
      <c r="B3744" s="7"/>
      <c r="D3744" s="7"/>
      <c r="F3744" s="7"/>
      <c r="H3744" s="7"/>
      <c r="J3744" s="7"/>
      <c r="L3744" s="7"/>
      <c r="N3744" s="7"/>
      <c r="P3744" s="7"/>
      <c r="R3744" s="7"/>
      <c r="T3744" s="7"/>
      <c r="V3744" s="7"/>
      <c r="X3744" s="7"/>
    </row>
    <row r="3745" spans="2:24">
      <c r="B3745" s="7"/>
      <c r="D3745" s="7"/>
      <c r="F3745" s="7"/>
      <c r="H3745" s="7"/>
      <c r="J3745" s="7"/>
      <c r="L3745" s="7"/>
      <c r="N3745" s="7"/>
      <c r="P3745" s="7"/>
      <c r="R3745" s="7"/>
      <c r="T3745" s="7"/>
      <c r="V3745" s="7"/>
      <c r="X3745" s="7"/>
    </row>
    <row r="3746" spans="2:24">
      <c r="B3746" s="7"/>
      <c r="D3746" s="7"/>
      <c r="F3746" s="7"/>
      <c r="H3746" s="7"/>
      <c r="J3746" s="7"/>
      <c r="L3746" s="7"/>
      <c r="N3746" s="7"/>
      <c r="P3746" s="7"/>
      <c r="R3746" s="7"/>
      <c r="T3746" s="7"/>
      <c r="V3746" s="7"/>
      <c r="X3746" s="7"/>
    </row>
    <row r="3747" spans="2:24">
      <c r="B3747" s="7"/>
      <c r="D3747" s="7"/>
      <c r="F3747" s="7"/>
      <c r="H3747" s="7"/>
      <c r="J3747" s="7"/>
      <c r="L3747" s="7"/>
      <c r="N3747" s="7"/>
      <c r="P3747" s="7"/>
      <c r="R3747" s="7"/>
      <c r="T3747" s="7"/>
      <c r="V3747" s="7"/>
      <c r="X3747" s="7"/>
    </row>
    <row r="3748" spans="2:24">
      <c r="B3748" s="7"/>
      <c r="D3748" s="7"/>
      <c r="F3748" s="7"/>
      <c r="H3748" s="7"/>
      <c r="J3748" s="7"/>
      <c r="L3748" s="7"/>
      <c r="N3748" s="7"/>
      <c r="P3748" s="7"/>
      <c r="R3748" s="7"/>
      <c r="T3748" s="7"/>
      <c r="V3748" s="7"/>
      <c r="X3748" s="7"/>
    </row>
    <row r="3749" spans="2:24">
      <c r="B3749" s="7"/>
      <c r="D3749" s="7"/>
      <c r="F3749" s="7"/>
      <c r="H3749" s="7"/>
      <c r="J3749" s="7"/>
      <c r="L3749" s="7"/>
      <c r="N3749" s="7"/>
      <c r="P3749" s="7"/>
      <c r="R3749" s="7"/>
      <c r="T3749" s="7"/>
      <c r="V3749" s="7"/>
      <c r="X3749" s="7"/>
    </row>
    <row r="3750" spans="2:24">
      <c r="B3750" s="7"/>
      <c r="D3750" s="7"/>
      <c r="F3750" s="7"/>
      <c r="H3750" s="7"/>
      <c r="J3750" s="7"/>
      <c r="L3750" s="7"/>
      <c r="N3750" s="7"/>
      <c r="P3750" s="7"/>
      <c r="R3750" s="7"/>
      <c r="T3750" s="7"/>
      <c r="V3750" s="7"/>
      <c r="X3750" s="7"/>
    </row>
    <row r="3751" spans="2:24">
      <c r="B3751" s="7"/>
      <c r="D3751" s="7"/>
      <c r="F3751" s="7"/>
      <c r="H3751" s="7"/>
      <c r="J3751" s="7"/>
      <c r="L3751" s="7"/>
      <c r="N3751" s="7"/>
      <c r="P3751" s="7"/>
      <c r="R3751" s="7"/>
      <c r="T3751" s="7"/>
      <c r="V3751" s="7"/>
      <c r="X3751" s="7"/>
    </row>
    <row r="3752" spans="2:24">
      <c r="B3752" s="7"/>
      <c r="D3752" s="7"/>
      <c r="F3752" s="7"/>
      <c r="H3752" s="7"/>
      <c r="J3752" s="7"/>
      <c r="L3752" s="7"/>
      <c r="N3752" s="7"/>
      <c r="P3752" s="7"/>
      <c r="R3752" s="7"/>
      <c r="T3752" s="7"/>
      <c r="V3752" s="7"/>
      <c r="X3752" s="7"/>
    </row>
    <row r="3753" spans="2:24">
      <c r="B3753" s="7"/>
      <c r="D3753" s="7"/>
      <c r="F3753" s="7"/>
      <c r="H3753" s="7"/>
      <c r="J3753" s="7"/>
      <c r="L3753" s="7"/>
      <c r="N3753" s="7"/>
      <c r="P3753" s="7"/>
      <c r="R3753" s="7"/>
      <c r="T3753" s="7"/>
      <c r="V3753" s="7"/>
      <c r="X3753" s="7"/>
    </row>
    <row r="3754" spans="2:24">
      <c r="B3754" s="7"/>
      <c r="D3754" s="7"/>
      <c r="F3754" s="7"/>
      <c r="H3754" s="7"/>
      <c r="J3754" s="7"/>
      <c r="L3754" s="7"/>
      <c r="N3754" s="7"/>
      <c r="P3754" s="7"/>
      <c r="R3754" s="7"/>
      <c r="T3754" s="7"/>
      <c r="V3754" s="7"/>
      <c r="X3754" s="7"/>
    </row>
    <row r="3755" spans="2:24">
      <c r="B3755" s="7"/>
      <c r="D3755" s="7"/>
      <c r="F3755" s="7"/>
      <c r="H3755" s="7"/>
      <c r="J3755" s="7"/>
      <c r="L3755" s="7"/>
      <c r="N3755" s="7"/>
      <c r="P3755" s="7"/>
      <c r="R3755" s="7"/>
      <c r="T3755" s="7"/>
      <c r="V3755" s="7"/>
      <c r="X3755" s="7"/>
    </row>
    <row r="3756" spans="2:24">
      <c r="B3756" s="7"/>
      <c r="D3756" s="7"/>
      <c r="F3756" s="7"/>
      <c r="H3756" s="7"/>
      <c r="J3756" s="7"/>
      <c r="L3756" s="7"/>
      <c r="N3756" s="7"/>
      <c r="P3756" s="7"/>
      <c r="R3756" s="7"/>
      <c r="T3756" s="7"/>
      <c r="V3756" s="7"/>
      <c r="X3756" s="7"/>
    </row>
    <row r="3757" spans="2:24">
      <c r="B3757" s="7"/>
      <c r="D3757" s="7"/>
      <c r="F3757" s="7"/>
      <c r="H3757" s="7"/>
      <c r="J3757" s="7"/>
      <c r="L3757" s="7"/>
      <c r="N3757" s="7"/>
      <c r="P3757" s="7"/>
      <c r="R3757" s="7"/>
      <c r="T3757" s="7"/>
      <c r="V3757" s="7"/>
      <c r="X3757" s="7"/>
    </row>
    <row r="3758" spans="2:24">
      <c r="B3758" s="7"/>
      <c r="D3758" s="7"/>
      <c r="F3758" s="7"/>
      <c r="H3758" s="7"/>
      <c r="J3758" s="7"/>
      <c r="L3758" s="7"/>
      <c r="N3758" s="7"/>
      <c r="P3758" s="7"/>
      <c r="R3758" s="7"/>
      <c r="T3758" s="7"/>
      <c r="V3758" s="7"/>
      <c r="X3758" s="7"/>
    </row>
    <row r="3759" spans="2:24">
      <c r="B3759" s="7"/>
      <c r="D3759" s="7"/>
      <c r="F3759" s="7"/>
      <c r="H3759" s="7"/>
      <c r="J3759" s="7"/>
      <c r="L3759" s="7"/>
      <c r="N3759" s="7"/>
      <c r="P3759" s="7"/>
      <c r="R3759" s="7"/>
      <c r="T3759" s="7"/>
      <c r="V3759" s="7"/>
      <c r="X3759" s="7"/>
    </row>
    <row r="3760" spans="2:24">
      <c r="B3760" s="7"/>
      <c r="D3760" s="7"/>
      <c r="F3760" s="7"/>
      <c r="H3760" s="7"/>
      <c r="J3760" s="7"/>
      <c r="L3760" s="7"/>
      <c r="N3760" s="7"/>
      <c r="P3760" s="7"/>
      <c r="R3760" s="7"/>
      <c r="T3760" s="7"/>
      <c r="V3760" s="7"/>
      <c r="X3760" s="7"/>
    </row>
    <row r="3761" spans="2:24">
      <c r="B3761" s="7"/>
      <c r="D3761" s="7"/>
      <c r="F3761" s="7"/>
      <c r="H3761" s="7"/>
      <c r="J3761" s="7"/>
      <c r="L3761" s="7"/>
      <c r="N3761" s="7"/>
      <c r="P3761" s="7"/>
      <c r="R3761" s="7"/>
      <c r="T3761" s="7"/>
      <c r="V3761" s="7"/>
      <c r="X3761" s="7"/>
    </row>
    <row r="3762" spans="2:24">
      <c r="B3762" s="7"/>
      <c r="D3762" s="7"/>
      <c r="F3762" s="7"/>
      <c r="H3762" s="7"/>
      <c r="J3762" s="7"/>
      <c r="L3762" s="7"/>
      <c r="N3762" s="7"/>
      <c r="P3762" s="7"/>
      <c r="R3762" s="7"/>
      <c r="T3762" s="7"/>
      <c r="V3762" s="7"/>
      <c r="X3762" s="7"/>
    </row>
    <row r="3763" spans="2:24">
      <c r="B3763" s="7"/>
      <c r="D3763" s="7"/>
      <c r="F3763" s="7"/>
      <c r="H3763" s="7"/>
      <c r="J3763" s="7"/>
      <c r="L3763" s="7"/>
      <c r="N3763" s="7"/>
      <c r="P3763" s="7"/>
      <c r="R3763" s="7"/>
      <c r="T3763" s="7"/>
      <c r="V3763" s="7"/>
      <c r="X3763" s="7"/>
    </row>
    <row r="3764" spans="2:24">
      <c r="B3764" s="7"/>
      <c r="D3764" s="7"/>
      <c r="F3764" s="7"/>
      <c r="H3764" s="7"/>
      <c r="J3764" s="7"/>
      <c r="L3764" s="7"/>
      <c r="N3764" s="7"/>
      <c r="P3764" s="7"/>
      <c r="R3764" s="7"/>
      <c r="T3764" s="7"/>
      <c r="V3764" s="7"/>
      <c r="X3764" s="7"/>
    </row>
    <row r="3765" spans="2:24">
      <c r="B3765" s="7"/>
      <c r="D3765" s="7"/>
      <c r="F3765" s="7"/>
      <c r="H3765" s="7"/>
      <c r="J3765" s="7"/>
      <c r="L3765" s="7"/>
      <c r="N3765" s="7"/>
      <c r="P3765" s="7"/>
      <c r="R3765" s="7"/>
      <c r="T3765" s="7"/>
      <c r="V3765" s="7"/>
      <c r="X3765" s="7"/>
    </row>
    <row r="3766" spans="2:24">
      <c r="B3766" s="7"/>
      <c r="D3766" s="7"/>
      <c r="F3766" s="7"/>
      <c r="H3766" s="7"/>
      <c r="J3766" s="7"/>
      <c r="L3766" s="7"/>
      <c r="N3766" s="7"/>
      <c r="P3766" s="7"/>
      <c r="R3766" s="7"/>
      <c r="T3766" s="7"/>
      <c r="V3766" s="7"/>
      <c r="X3766" s="7"/>
    </row>
    <row r="3767" spans="2:24">
      <c r="B3767" s="7"/>
      <c r="D3767" s="7"/>
      <c r="F3767" s="7"/>
      <c r="H3767" s="7"/>
      <c r="J3767" s="7"/>
      <c r="L3767" s="7"/>
      <c r="N3767" s="7"/>
      <c r="P3767" s="7"/>
      <c r="R3767" s="7"/>
      <c r="T3767" s="7"/>
      <c r="V3767" s="7"/>
      <c r="X3767" s="7"/>
    </row>
    <row r="3768" spans="2:24">
      <c r="B3768" s="7"/>
      <c r="D3768" s="7"/>
      <c r="F3768" s="7"/>
      <c r="H3768" s="7"/>
      <c r="J3768" s="7"/>
      <c r="L3768" s="7"/>
      <c r="N3768" s="7"/>
      <c r="P3768" s="7"/>
      <c r="R3768" s="7"/>
      <c r="T3768" s="7"/>
      <c r="V3768" s="7"/>
      <c r="X3768" s="7"/>
    </row>
    <row r="3769" spans="2:24">
      <c r="B3769" s="7"/>
      <c r="D3769" s="7"/>
      <c r="F3769" s="7"/>
      <c r="H3769" s="7"/>
      <c r="J3769" s="7"/>
      <c r="L3769" s="7"/>
      <c r="N3769" s="7"/>
      <c r="P3769" s="7"/>
      <c r="R3769" s="7"/>
      <c r="T3769" s="7"/>
      <c r="V3769" s="7"/>
      <c r="X3769" s="7"/>
    </row>
    <row r="3770" spans="2:24">
      <c r="B3770" s="7"/>
      <c r="D3770" s="7"/>
      <c r="F3770" s="7"/>
      <c r="H3770" s="7"/>
      <c r="J3770" s="7"/>
      <c r="L3770" s="7"/>
      <c r="N3770" s="7"/>
      <c r="P3770" s="7"/>
      <c r="R3770" s="7"/>
      <c r="T3770" s="7"/>
      <c r="V3770" s="7"/>
      <c r="X3770" s="7"/>
    </row>
    <row r="3771" spans="2:24">
      <c r="B3771" s="7"/>
      <c r="D3771" s="7"/>
      <c r="F3771" s="7"/>
      <c r="H3771" s="7"/>
      <c r="J3771" s="7"/>
      <c r="L3771" s="7"/>
      <c r="N3771" s="7"/>
      <c r="P3771" s="7"/>
      <c r="R3771" s="7"/>
      <c r="T3771" s="7"/>
      <c r="V3771" s="7"/>
      <c r="X3771" s="7"/>
    </row>
    <row r="3772" spans="2:24">
      <c r="B3772" s="7"/>
      <c r="D3772" s="7"/>
      <c r="F3772" s="7"/>
      <c r="H3772" s="7"/>
      <c r="J3772" s="7"/>
      <c r="L3772" s="7"/>
      <c r="N3772" s="7"/>
      <c r="P3772" s="7"/>
      <c r="R3772" s="7"/>
      <c r="T3772" s="7"/>
      <c r="V3772" s="7"/>
      <c r="X3772" s="7"/>
    </row>
    <row r="3773" spans="2:24">
      <c r="B3773" s="7"/>
      <c r="D3773" s="7"/>
      <c r="F3773" s="7"/>
      <c r="H3773" s="7"/>
      <c r="J3773" s="7"/>
      <c r="L3773" s="7"/>
      <c r="N3773" s="7"/>
      <c r="P3773" s="7"/>
      <c r="R3773" s="7"/>
      <c r="T3773" s="7"/>
      <c r="V3773" s="7"/>
      <c r="X3773" s="7"/>
    </row>
    <row r="3774" spans="2:24">
      <c r="B3774" s="7"/>
      <c r="D3774" s="7"/>
      <c r="F3774" s="7"/>
      <c r="H3774" s="7"/>
      <c r="J3774" s="7"/>
      <c r="L3774" s="7"/>
      <c r="N3774" s="7"/>
      <c r="P3774" s="7"/>
      <c r="R3774" s="7"/>
      <c r="T3774" s="7"/>
      <c r="V3774" s="7"/>
      <c r="X3774" s="7"/>
    </row>
    <row r="3775" spans="2:24">
      <c r="B3775" s="7"/>
      <c r="D3775" s="7"/>
      <c r="F3775" s="7"/>
      <c r="H3775" s="7"/>
      <c r="J3775" s="7"/>
      <c r="L3775" s="7"/>
      <c r="N3775" s="7"/>
      <c r="P3775" s="7"/>
      <c r="R3775" s="7"/>
      <c r="T3775" s="7"/>
      <c r="V3775" s="7"/>
      <c r="X3775" s="7"/>
    </row>
    <row r="3776" spans="2:24">
      <c r="B3776" s="7"/>
      <c r="D3776" s="7"/>
      <c r="F3776" s="7"/>
      <c r="H3776" s="7"/>
      <c r="J3776" s="7"/>
      <c r="L3776" s="7"/>
      <c r="N3776" s="7"/>
      <c r="P3776" s="7"/>
      <c r="R3776" s="7"/>
      <c r="T3776" s="7"/>
      <c r="V3776" s="7"/>
      <c r="X3776" s="7"/>
    </row>
    <row r="3777" spans="2:24">
      <c r="B3777" s="7"/>
      <c r="D3777" s="7"/>
      <c r="F3777" s="7"/>
      <c r="H3777" s="7"/>
      <c r="J3777" s="7"/>
      <c r="L3777" s="7"/>
      <c r="N3777" s="7"/>
      <c r="P3777" s="7"/>
      <c r="R3777" s="7"/>
      <c r="T3777" s="7"/>
      <c r="V3777" s="7"/>
      <c r="X3777" s="7"/>
    </row>
    <row r="3778" spans="2:24">
      <c r="B3778" s="7"/>
      <c r="D3778" s="7"/>
      <c r="F3778" s="7"/>
      <c r="H3778" s="7"/>
      <c r="J3778" s="7"/>
      <c r="L3778" s="7"/>
      <c r="N3778" s="7"/>
      <c r="P3778" s="7"/>
      <c r="R3778" s="7"/>
      <c r="T3778" s="7"/>
      <c r="V3778" s="7"/>
      <c r="X3778" s="7"/>
    </row>
    <row r="3779" spans="2:24">
      <c r="B3779" s="7"/>
      <c r="D3779" s="7"/>
      <c r="F3779" s="7"/>
      <c r="H3779" s="7"/>
      <c r="J3779" s="7"/>
      <c r="L3779" s="7"/>
      <c r="N3779" s="7"/>
      <c r="P3779" s="7"/>
      <c r="R3779" s="7"/>
      <c r="T3779" s="7"/>
      <c r="V3779" s="7"/>
      <c r="X3779" s="7"/>
    </row>
    <row r="3780" spans="2:24">
      <c r="B3780" s="7"/>
      <c r="D3780" s="7"/>
      <c r="F3780" s="7"/>
      <c r="H3780" s="7"/>
      <c r="J3780" s="7"/>
      <c r="L3780" s="7"/>
      <c r="N3780" s="7"/>
      <c r="P3780" s="7"/>
      <c r="R3780" s="7"/>
      <c r="T3780" s="7"/>
      <c r="V3780" s="7"/>
      <c r="X3780" s="7"/>
    </row>
    <row r="3781" spans="2:24">
      <c r="B3781" s="7"/>
      <c r="D3781" s="7"/>
      <c r="F3781" s="7"/>
      <c r="H3781" s="7"/>
      <c r="J3781" s="7"/>
      <c r="L3781" s="7"/>
      <c r="N3781" s="7"/>
      <c r="P3781" s="7"/>
      <c r="R3781" s="7"/>
      <c r="T3781" s="7"/>
      <c r="V3781" s="7"/>
      <c r="X3781" s="7"/>
    </row>
    <row r="3782" spans="2:24">
      <c r="B3782" s="7"/>
      <c r="D3782" s="7"/>
      <c r="F3782" s="7"/>
      <c r="H3782" s="7"/>
      <c r="J3782" s="7"/>
      <c r="L3782" s="7"/>
      <c r="N3782" s="7"/>
      <c r="P3782" s="7"/>
      <c r="R3782" s="7"/>
      <c r="T3782" s="7"/>
      <c r="V3782" s="7"/>
      <c r="X3782" s="7"/>
    </row>
    <row r="3783" spans="2:24">
      <c r="B3783" s="7"/>
      <c r="D3783" s="7"/>
      <c r="F3783" s="7"/>
      <c r="H3783" s="7"/>
      <c r="J3783" s="7"/>
      <c r="L3783" s="7"/>
      <c r="N3783" s="7"/>
      <c r="P3783" s="7"/>
      <c r="R3783" s="7"/>
      <c r="T3783" s="7"/>
      <c r="V3783" s="7"/>
      <c r="X3783" s="7"/>
    </row>
    <row r="3784" spans="2:24">
      <c r="B3784" s="7"/>
      <c r="D3784" s="7"/>
      <c r="F3784" s="7"/>
      <c r="H3784" s="7"/>
      <c r="J3784" s="7"/>
      <c r="L3784" s="7"/>
      <c r="N3784" s="7"/>
      <c r="P3784" s="7"/>
      <c r="R3784" s="7"/>
      <c r="T3784" s="7"/>
      <c r="V3784" s="7"/>
      <c r="X3784" s="7"/>
    </row>
    <row r="3785" spans="2:24">
      <c r="B3785" s="7"/>
      <c r="D3785" s="7"/>
      <c r="F3785" s="7"/>
      <c r="H3785" s="7"/>
      <c r="J3785" s="7"/>
      <c r="L3785" s="7"/>
      <c r="N3785" s="7"/>
      <c r="P3785" s="7"/>
      <c r="R3785" s="7"/>
      <c r="T3785" s="7"/>
      <c r="V3785" s="7"/>
      <c r="X3785" s="7"/>
    </row>
    <row r="3786" spans="2:24">
      <c r="B3786" s="7"/>
      <c r="D3786" s="7"/>
      <c r="F3786" s="7"/>
      <c r="H3786" s="7"/>
      <c r="J3786" s="7"/>
      <c r="L3786" s="7"/>
      <c r="N3786" s="7"/>
      <c r="P3786" s="7"/>
      <c r="R3786" s="7"/>
      <c r="T3786" s="7"/>
      <c r="V3786" s="7"/>
      <c r="X3786" s="7"/>
    </row>
    <row r="3787" spans="2:24">
      <c r="B3787" s="7"/>
      <c r="D3787" s="7"/>
      <c r="F3787" s="7"/>
      <c r="H3787" s="7"/>
      <c r="J3787" s="7"/>
      <c r="L3787" s="7"/>
      <c r="N3787" s="7"/>
      <c r="P3787" s="7"/>
      <c r="R3787" s="7"/>
      <c r="T3787" s="7"/>
      <c r="V3787" s="7"/>
      <c r="X3787" s="7"/>
    </row>
    <row r="3788" spans="2:24">
      <c r="B3788" s="7"/>
      <c r="D3788" s="7"/>
      <c r="F3788" s="7"/>
      <c r="H3788" s="7"/>
      <c r="J3788" s="7"/>
      <c r="L3788" s="7"/>
      <c r="N3788" s="7"/>
      <c r="P3788" s="7"/>
      <c r="R3788" s="7"/>
      <c r="T3788" s="7"/>
      <c r="V3788" s="7"/>
      <c r="X3788" s="7"/>
    </row>
    <row r="3789" spans="2:24">
      <c r="B3789" s="7"/>
      <c r="D3789" s="7"/>
      <c r="F3789" s="7"/>
      <c r="H3789" s="7"/>
      <c r="J3789" s="7"/>
      <c r="L3789" s="7"/>
      <c r="N3789" s="7"/>
      <c r="P3789" s="7"/>
      <c r="R3789" s="7"/>
      <c r="T3789" s="7"/>
      <c r="V3789" s="7"/>
      <c r="X3789" s="7"/>
    </row>
    <row r="3790" spans="2:24">
      <c r="B3790" s="7"/>
      <c r="D3790" s="7"/>
      <c r="F3790" s="7"/>
      <c r="H3790" s="7"/>
      <c r="J3790" s="7"/>
      <c r="L3790" s="7"/>
      <c r="N3790" s="7"/>
      <c r="P3790" s="7"/>
      <c r="R3790" s="7"/>
      <c r="T3790" s="7"/>
      <c r="V3790" s="7"/>
      <c r="X3790" s="7"/>
    </row>
    <row r="3791" spans="2:24">
      <c r="B3791" s="7"/>
      <c r="D3791" s="7"/>
      <c r="F3791" s="7"/>
      <c r="H3791" s="7"/>
      <c r="J3791" s="7"/>
      <c r="L3791" s="7"/>
      <c r="N3791" s="7"/>
      <c r="P3791" s="7"/>
      <c r="R3791" s="7"/>
      <c r="T3791" s="7"/>
      <c r="V3791" s="7"/>
      <c r="X3791" s="7"/>
    </row>
    <row r="3792" spans="2:24">
      <c r="B3792" s="7"/>
      <c r="D3792" s="7"/>
      <c r="F3792" s="7"/>
      <c r="H3792" s="7"/>
      <c r="J3792" s="7"/>
      <c r="L3792" s="7"/>
      <c r="N3792" s="7"/>
      <c r="P3792" s="7"/>
      <c r="R3792" s="7"/>
      <c r="T3792" s="7"/>
      <c r="V3792" s="7"/>
      <c r="X3792" s="7"/>
    </row>
    <row r="3793" spans="2:24">
      <c r="B3793" s="7"/>
      <c r="D3793" s="7"/>
      <c r="F3793" s="7"/>
      <c r="H3793" s="7"/>
      <c r="J3793" s="7"/>
      <c r="L3793" s="7"/>
      <c r="N3793" s="7"/>
      <c r="P3793" s="7"/>
      <c r="R3793" s="7"/>
      <c r="T3793" s="7"/>
      <c r="V3793" s="7"/>
      <c r="X3793" s="7"/>
    </row>
    <row r="3794" spans="2:24">
      <c r="B3794" s="7"/>
      <c r="D3794" s="7"/>
      <c r="F3794" s="7"/>
      <c r="H3794" s="7"/>
      <c r="J3794" s="7"/>
      <c r="L3794" s="7"/>
      <c r="N3794" s="7"/>
      <c r="P3794" s="7"/>
      <c r="R3794" s="7"/>
      <c r="T3794" s="7"/>
      <c r="V3794" s="7"/>
      <c r="X3794" s="7"/>
    </row>
    <row r="3795" spans="2:24">
      <c r="B3795" s="7"/>
      <c r="D3795" s="7"/>
      <c r="F3795" s="7"/>
      <c r="H3795" s="7"/>
      <c r="J3795" s="7"/>
      <c r="L3795" s="7"/>
      <c r="N3795" s="7"/>
      <c r="P3795" s="7"/>
      <c r="R3795" s="7"/>
      <c r="T3795" s="7"/>
      <c r="V3795" s="7"/>
      <c r="X3795" s="7"/>
    </row>
    <row r="3796" spans="2:24">
      <c r="B3796" s="7"/>
      <c r="D3796" s="7"/>
      <c r="F3796" s="7"/>
      <c r="H3796" s="7"/>
      <c r="J3796" s="7"/>
      <c r="L3796" s="7"/>
      <c r="N3796" s="7"/>
      <c r="P3796" s="7"/>
      <c r="R3796" s="7"/>
      <c r="T3796" s="7"/>
      <c r="V3796" s="7"/>
      <c r="X3796" s="7"/>
    </row>
    <row r="3797" spans="2:24">
      <c r="B3797" s="7"/>
      <c r="D3797" s="7"/>
      <c r="F3797" s="7"/>
      <c r="H3797" s="7"/>
      <c r="J3797" s="7"/>
      <c r="L3797" s="7"/>
      <c r="N3797" s="7"/>
      <c r="P3797" s="7"/>
      <c r="R3797" s="7"/>
      <c r="T3797" s="7"/>
      <c r="V3797" s="7"/>
      <c r="X3797" s="7"/>
    </row>
    <row r="3798" spans="2:24">
      <c r="B3798" s="7"/>
      <c r="D3798" s="7"/>
      <c r="F3798" s="7"/>
      <c r="H3798" s="7"/>
      <c r="J3798" s="7"/>
      <c r="L3798" s="7"/>
      <c r="N3798" s="7"/>
      <c r="P3798" s="7"/>
      <c r="R3798" s="7"/>
      <c r="T3798" s="7"/>
      <c r="V3798" s="7"/>
      <c r="X3798" s="7"/>
    </row>
    <row r="3799" spans="2:24">
      <c r="B3799" s="7"/>
      <c r="D3799" s="7"/>
      <c r="F3799" s="7"/>
      <c r="H3799" s="7"/>
      <c r="J3799" s="7"/>
      <c r="L3799" s="7"/>
      <c r="N3799" s="7"/>
      <c r="P3799" s="7"/>
      <c r="R3799" s="7"/>
      <c r="T3799" s="7"/>
      <c r="V3799" s="7"/>
      <c r="X3799" s="7"/>
    </row>
    <row r="3800" spans="2:24">
      <c r="B3800" s="7"/>
      <c r="D3800" s="7"/>
      <c r="F3800" s="7"/>
      <c r="H3800" s="7"/>
      <c r="J3800" s="7"/>
      <c r="L3800" s="7"/>
      <c r="N3800" s="7"/>
      <c r="P3800" s="7"/>
      <c r="R3800" s="7"/>
      <c r="T3800" s="7"/>
      <c r="V3800" s="7"/>
      <c r="X3800" s="7"/>
    </row>
    <row r="3801" spans="2:24">
      <c r="B3801" s="7"/>
      <c r="D3801" s="7"/>
      <c r="F3801" s="7"/>
      <c r="H3801" s="7"/>
      <c r="J3801" s="7"/>
      <c r="L3801" s="7"/>
      <c r="N3801" s="7"/>
      <c r="P3801" s="7"/>
      <c r="R3801" s="7"/>
      <c r="T3801" s="7"/>
      <c r="V3801" s="7"/>
      <c r="X3801" s="7"/>
    </row>
    <row r="3802" spans="2:24">
      <c r="B3802" s="7"/>
      <c r="D3802" s="7"/>
      <c r="F3802" s="7"/>
      <c r="H3802" s="7"/>
      <c r="J3802" s="7"/>
      <c r="L3802" s="7"/>
      <c r="N3802" s="7"/>
      <c r="P3802" s="7"/>
      <c r="R3802" s="7"/>
      <c r="T3802" s="7"/>
      <c r="V3802" s="7"/>
      <c r="X3802" s="7"/>
    </row>
    <row r="3803" spans="2:24">
      <c r="B3803" s="7"/>
      <c r="D3803" s="7"/>
      <c r="F3803" s="7"/>
      <c r="H3803" s="7"/>
      <c r="J3803" s="7"/>
      <c r="L3803" s="7"/>
      <c r="N3803" s="7"/>
      <c r="P3803" s="7"/>
      <c r="R3803" s="7"/>
      <c r="T3803" s="7"/>
      <c r="V3803" s="7"/>
      <c r="X3803" s="7"/>
    </row>
    <row r="3804" spans="2:24">
      <c r="B3804" s="7"/>
      <c r="D3804" s="7"/>
      <c r="F3804" s="7"/>
      <c r="H3804" s="7"/>
      <c r="J3804" s="7"/>
      <c r="L3804" s="7"/>
      <c r="N3804" s="7"/>
      <c r="P3804" s="7"/>
      <c r="R3804" s="7"/>
      <c r="T3804" s="7"/>
      <c r="V3804" s="7"/>
      <c r="X3804" s="7"/>
    </row>
    <row r="3805" spans="2:24">
      <c r="B3805" s="7"/>
      <c r="D3805" s="7"/>
      <c r="F3805" s="7"/>
      <c r="H3805" s="7"/>
      <c r="J3805" s="7"/>
      <c r="L3805" s="7"/>
      <c r="N3805" s="7"/>
      <c r="P3805" s="7"/>
      <c r="R3805" s="7"/>
      <c r="T3805" s="7"/>
      <c r="V3805" s="7"/>
      <c r="X3805" s="7"/>
    </row>
    <row r="3806" spans="2:24">
      <c r="B3806" s="7"/>
      <c r="D3806" s="7"/>
      <c r="F3806" s="7"/>
      <c r="H3806" s="7"/>
      <c r="J3806" s="7"/>
      <c r="L3806" s="7"/>
      <c r="N3806" s="7"/>
      <c r="P3806" s="7"/>
      <c r="R3806" s="7"/>
      <c r="T3806" s="7"/>
      <c r="V3806" s="7"/>
      <c r="X3806" s="7"/>
    </row>
    <row r="3807" spans="2:24">
      <c r="B3807" s="7"/>
      <c r="D3807" s="7"/>
      <c r="F3807" s="7"/>
      <c r="H3807" s="7"/>
      <c r="J3807" s="7"/>
      <c r="L3807" s="7"/>
      <c r="N3807" s="7"/>
      <c r="P3807" s="7"/>
      <c r="R3807" s="7"/>
      <c r="T3807" s="7"/>
      <c r="V3807" s="7"/>
      <c r="X3807" s="7"/>
    </row>
    <row r="3808" spans="2:24">
      <c r="B3808" s="7"/>
      <c r="D3808" s="7"/>
      <c r="F3808" s="7"/>
      <c r="H3808" s="7"/>
      <c r="J3808" s="7"/>
      <c r="L3808" s="7"/>
      <c r="N3808" s="7"/>
      <c r="P3808" s="7"/>
      <c r="R3808" s="7"/>
      <c r="T3808" s="7"/>
      <c r="V3808" s="7"/>
      <c r="X3808" s="7"/>
    </row>
    <row r="3809" spans="2:24">
      <c r="B3809" s="7"/>
      <c r="D3809" s="7"/>
      <c r="F3809" s="7"/>
      <c r="H3809" s="7"/>
      <c r="J3809" s="7"/>
      <c r="L3809" s="7"/>
      <c r="N3809" s="7"/>
      <c r="P3809" s="7"/>
      <c r="R3809" s="7"/>
      <c r="T3809" s="7"/>
      <c r="V3809" s="7"/>
      <c r="X3809" s="7"/>
    </row>
    <row r="3810" spans="2:24">
      <c r="B3810" s="7"/>
      <c r="D3810" s="7"/>
      <c r="F3810" s="7"/>
      <c r="H3810" s="7"/>
      <c r="J3810" s="7"/>
      <c r="L3810" s="7"/>
      <c r="N3810" s="7"/>
      <c r="P3810" s="7"/>
      <c r="R3810" s="7"/>
      <c r="T3810" s="7"/>
      <c r="V3810" s="7"/>
      <c r="X3810" s="7"/>
    </row>
    <row r="3811" spans="2:24">
      <c r="B3811" s="7"/>
      <c r="D3811" s="7"/>
      <c r="F3811" s="7"/>
      <c r="H3811" s="7"/>
      <c r="J3811" s="7"/>
      <c r="L3811" s="7"/>
      <c r="N3811" s="7"/>
      <c r="P3811" s="7"/>
      <c r="R3811" s="7"/>
      <c r="T3811" s="7"/>
      <c r="V3811" s="7"/>
      <c r="X3811" s="7"/>
    </row>
    <row r="3812" spans="2:24">
      <c r="B3812" s="7"/>
      <c r="D3812" s="7"/>
      <c r="F3812" s="7"/>
      <c r="H3812" s="7"/>
      <c r="J3812" s="7"/>
      <c r="L3812" s="7"/>
      <c r="N3812" s="7"/>
      <c r="P3812" s="7"/>
      <c r="R3812" s="7"/>
      <c r="T3812" s="7"/>
      <c r="V3812" s="7"/>
      <c r="X3812" s="7"/>
    </row>
    <row r="3813" spans="2:24">
      <c r="B3813" s="7"/>
      <c r="D3813" s="7"/>
      <c r="F3813" s="7"/>
      <c r="H3813" s="7"/>
      <c r="J3813" s="7"/>
      <c r="L3813" s="7"/>
      <c r="N3813" s="7"/>
      <c r="P3813" s="7"/>
      <c r="R3813" s="7"/>
      <c r="T3813" s="7"/>
      <c r="V3813" s="7"/>
      <c r="X3813" s="7"/>
    </row>
    <row r="3814" spans="2:24">
      <c r="B3814" s="7"/>
      <c r="D3814" s="7"/>
      <c r="F3814" s="7"/>
      <c r="H3814" s="7"/>
      <c r="J3814" s="7"/>
      <c r="L3814" s="7"/>
      <c r="N3814" s="7"/>
      <c r="P3814" s="7"/>
      <c r="R3814" s="7"/>
      <c r="T3814" s="7"/>
      <c r="V3814" s="7"/>
      <c r="X3814" s="7"/>
    </row>
    <row r="3815" spans="2:24">
      <c r="B3815" s="7"/>
      <c r="D3815" s="7"/>
      <c r="F3815" s="7"/>
      <c r="H3815" s="7"/>
      <c r="J3815" s="7"/>
      <c r="L3815" s="7"/>
      <c r="N3815" s="7"/>
      <c r="P3815" s="7"/>
      <c r="R3815" s="7"/>
      <c r="T3815" s="7"/>
      <c r="V3815" s="7"/>
      <c r="X3815" s="7"/>
    </row>
    <row r="3816" spans="2:24">
      <c r="B3816" s="7"/>
      <c r="D3816" s="7"/>
      <c r="F3816" s="7"/>
      <c r="H3816" s="7"/>
      <c r="J3816" s="7"/>
      <c r="L3816" s="7"/>
      <c r="N3816" s="7"/>
      <c r="P3816" s="7"/>
      <c r="R3816" s="7"/>
      <c r="T3816" s="7"/>
      <c r="V3816" s="7"/>
      <c r="X3816" s="7"/>
    </row>
    <row r="3817" spans="2:24">
      <c r="B3817" s="7"/>
      <c r="D3817" s="7"/>
      <c r="F3817" s="7"/>
      <c r="H3817" s="7"/>
      <c r="J3817" s="7"/>
      <c r="L3817" s="7"/>
      <c r="N3817" s="7"/>
      <c r="P3817" s="7"/>
      <c r="R3817" s="7"/>
      <c r="T3817" s="7"/>
      <c r="V3817" s="7"/>
      <c r="X3817" s="7"/>
    </row>
    <row r="3818" spans="2:24">
      <c r="B3818" s="7"/>
      <c r="D3818" s="7"/>
      <c r="F3818" s="7"/>
      <c r="H3818" s="7"/>
      <c r="J3818" s="7"/>
      <c r="L3818" s="7"/>
      <c r="N3818" s="7"/>
      <c r="P3818" s="7"/>
      <c r="R3818" s="7"/>
      <c r="T3818" s="7"/>
      <c r="V3818" s="7"/>
      <c r="X3818" s="7"/>
    </row>
    <row r="3819" spans="2:24">
      <c r="B3819" s="7"/>
      <c r="D3819" s="7"/>
      <c r="F3819" s="7"/>
      <c r="H3819" s="7"/>
      <c r="J3819" s="7"/>
      <c r="L3819" s="7"/>
      <c r="N3819" s="7"/>
      <c r="P3819" s="7"/>
      <c r="R3819" s="7"/>
      <c r="T3819" s="7"/>
      <c r="V3819" s="7"/>
      <c r="X3819" s="7"/>
    </row>
    <row r="3820" spans="2:24">
      <c r="B3820" s="7"/>
      <c r="D3820" s="7"/>
      <c r="F3820" s="7"/>
      <c r="H3820" s="7"/>
      <c r="J3820" s="7"/>
      <c r="L3820" s="7"/>
      <c r="N3820" s="7"/>
      <c r="P3820" s="7"/>
      <c r="R3820" s="7"/>
      <c r="T3820" s="7"/>
      <c r="V3820" s="7"/>
      <c r="X3820" s="7"/>
    </row>
    <row r="3821" spans="2:24">
      <c r="B3821" s="7"/>
      <c r="D3821" s="7"/>
      <c r="F3821" s="7"/>
      <c r="H3821" s="7"/>
      <c r="J3821" s="7"/>
      <c r="L3821" s="7"/>
      <c r="N3821" s="7"/>
      <c r="P3821" s="7"/>
      <c r="R3821" s="7"/>
      <c r="T3821" s="7"/>
      <c r="V3821" s="7"/>
      <c r="X3821" s="7"/>
    </row>
    <row r="3822" spans="2:24">
      <c r="B3822" s="7"/>
      <c r="D3822" s="7"/>
      <c r="F3822" s="7"/>
      <c r="H3822" s="7"/>
      <c r="J3822" s="7"/>
      <c r="L3822" s="7"/>
      <c r="N3822" s="7"/>
      <c r="P3822" s="7"/>
      <c r="R3822" s="7"/>
      <c r="T3822" s="7"/>
      <c r="V3822" s="7"/>
      <c r="X3822" s="7"/>
    </row>
    <row r="3823" spans="2:24">
      <c r="B3823" s="7"/>
      <c r="D3823" s="7"/>
      <c r="F3823" s="7"/>
      <c r="H3823" s="7"/>
      <c r="J3823" s="7"/>
      <c r="L3823" s="7"/>
      <c r="N3823" s="7"/>
      <c r="P3823" s="7"/>
      <c r="R3823" s="7"/>
      <c r="T3823" s="7"/>
      <c r="V3823" s="7"/>
      <c r="X3823" s="7"/>
    </row>
    <row r="3824" spans="2:24">
      <c r="B3824" s="7"/>
      <c r="D3824" s="7"/>
      <c r="F3824" s="7"/>
      <c r="H3824" s="7"/>
      <c r="J3824" s="7"/>
      <c r="L3824" s="7"/>
      <c r="N3824" s="7"/>
      <c r="P3824" s="7"/>
      <c r="R3824" s="7"/>
      <c r="T3824" s="7"/>
      <c r="V3824" s="7"/>
      <c r="X3824" s="7"/>
    </row>
    <row r="3825" spans="2:24">
      <c r="B3825" s="7"/>
      <c r="D3825" s="7"/>
      <c r="F3825" s="7"/>
      <c r="H3825" s="7"/>
      <c r="J3825" s="7"/>
      <c r="L3825" s="7"/>
      <c r="N3825" s="7"/>
      <c r="P3825" s="7"/>
      <c r="R3825" s="7"/>
      <c r="T3825" s="7"/>
      <c r="V3825" s="7"/>
      <c r="X3825" s="7"/>
    </row>
    <row r="3826" spans="2:24">
      <c r="B3826" s="7"/>
      <c r="D3826" s="7"/>
      <c r="F3826" s="7"/>
      <c r="H3826" s="7"/>
      <c r="J3826" s="7"/>
      <c r="L3826" s="7"/>
      <c r="N3826" s="7"/>
      <c r="P3826" s="7"/>
      <c r="R3826" s="7"/>
      <c r="T3826" s="7"/>
      <c r="V3826" s="7"/>
      <c r="X3826" s="7"/>
    </row>
    <row r="3827" spans="2:24">
      <c r="B3827" s="7"/>
      <c r="D3827" s="7"/>
      <c r="F3827" s="7"/>
      <c r="H3827" s="7"/>
      <c r="J3827" s="7"/>
      <c r="L3827" s="7"/>
      <c r="N3827" s="7"/>
      <c r="P3827" s="7"/>
      <c r="R3827" s="7"/>
      <c r="T3827" s="7"/>
      <c r="V3827" s="7"/>
      <c r="X3827" s="7"/>
    </row>
    <row r="3828" spans="2:24">
      <c r="B3828" s="7"/>
      <c r="D3828" s="7"/>
      <c r="F3828" s="7"/>
      <c r="H3828" s="7"/>
      <c r="J3828" s="7"/>
      <c r="L3828" s="7"/>
      <c r="N3828" s="7"/>
      <c r="P3828" s="7"/>
      <c r="R3828" s="7"/>
      <c r="T3828" s="7"/>
      <c r="V3828" s="7"/>
      <c r="X3828" s="7"/>
    </row>
    <row r="3829" spans="2:24">
      <c r="B3829" s="7"/>
      <c r="D3829" s="7"/>
      <c r="F3829" s="7"/>
      <c r="H3829" s="7"/>
      <c r="J3829" s="7"/>
      <c r="L3829" s="7"/>
      <c r="N3829" s="7"/>
      <c r="P3829" s="7"/>
      <c r="R3829" s="7"/>
      <c r="T3829" s="7"/>
      <c r="V3829" s="7"/>
      <c r="X3829" s="7"/>
    </row>
    <row r="3830" spans="2:24">
      <c r="B3830" s="7"/>
      <c r="D3830" s="7"/>
      <c r="F3830" s="7"/>
      <c r="H3830" s="7"/>
      <c r="J3830" s="7"/>
      <c r="L3830" s="7"/>
      <c r="N3830" s="7"/>
      <c r="P3830" s="7"/>
      <c r="R3830" s="7"/>
      <c r="T3830" s="7"/>
      <c r="V3830" s="7"/>
      <c r="X3830" s="7"/>
    </row>
    <row r="3831" spans="2:24">
      <c r="B3831" s="7"/>
      <c r="D3831" s="7"/>
      <c r="F3831" s="7"/>
      <c r="H3831" s="7"/>
      <c r="J3831" s="7"/>
      <c r="L3831" s="7"/>
      <c r="N3831" s="7"/>
      <c r="P3831" s="7"/>
      <c r="R3831" s="7"/>
      <c r="T3831" s="7"/>
      <c r="V3831" s="7"/>
      <c r="X3831" s="7"/>
    </row>
    <row r="3832" spans="2:24">
      <c r="B3832" s="7"/>
      <c r="D3832" s="7"/>
      <c r="F3832" s="7"/>
      <c r="H3832" s="7"/>
      <c r="J3832" s="7"/>
      <c r="L3832" s="7"/>
      <c r="N3832" s="7"/>
      <c r="P3832" s="7"/>
      <c r="R3832" s="7"/>
      <c r="T3832" s="7"/>
      <c r="V3832" s="7"/>
      <c r="X3832" s="7"/>
    </row>
    <row r="3833" spans="2:24">
      <c r="B3833" s="7"/>
      <c r="D3833" s="7"/>
      <c r="F3833" s="7"/>
      <c r="H3833" s="7"/>
      <c r="J3833" s="7"/>
      <c r="L3833" s="7"/>
      <c r="N3833" s="7"/>
      <c r="P3833" s="7"/>
      <c r="R3833" s="7"/>
      <c r="T3833" s="7"/>
      <c r="V3833" s="7"/>
      <c r="X3833" s="7"/>
    </row>
    <row r="3834" spans="2:24">
      <c r="B3834" s="7"/>
      <c r="D3834" s="7"/>
      <c r="F3834" s="7"/>
      <c r="H3834" s="7"/>
      <c r="J3834" s="7"/>
      <c r="L3834" s="7"/>
      <c r="N3834" s="7"/>
      <c r="P3834" s="7"/>
      <c r="R3834" s="7"/>
      <c r="T3834" s="7"/>
      <c r="V3834" s="7"/>
      <c r="X3834" s="7"/>
    </row>
    <row r="3835" spans="2:24">
      <c r="B3835" s="7"/>
      <c r="D3835" s="7"/>
      <c r="F3835" s="7"/>
      <c r="H3835" s="7"/>
      <c r="J3835" s="7"/>
      <c r="L3835" s="7"/>
      <c r="N3835" s="7"/>
      <c r="P3835" s="7"/>
      <c r="R3835" s="7"/>
      <c r="T3835" s="7"/>
      <c r="V3835" s="7"/>
      <c r="X3835" s="7"/>
    </row>
    <row r="3836" spans="2:24">
      <c r="B3836" s="7"/>
      <c r="D3836" s="7"/>
      <c r="F3836" s="7"/>
      <c r="H3836" s="7"/>
      <c r="J3836" s="7"/>
      <c r="L3836" s="7"/>
      <c r="N3836" s="7"/>
      <c r="P3836" s="7"/>
      <c r="R3836" s="7"/>
      <c r="T3836" s="7"/>
      <c r="V3836" s="7"/>
      <c r="X3836" s="7"/>
    </row>
    <row r="3837" spans="2:24">
      <c r="B3837" s="7"/>
      <c r="D3837" s="7"/>
      <c r="F3837" s="7"/>
      <c r="H3837" s="7"/>
      <c r="J3837" s="7"/>
      <c r="L3837" s="7"/>
      <c r="N3837" s="7"/>
      <c r="P3837" s="7"/>
      <c r="R3837" s="7"/>
      <c r="T3837" s="7"/>
      <c r="V3837" s="7"/>
      <c r="X3837" s="7"/>
    </row>
    <row r="3838" spans="2:24">
      <c r="B3838" s="7"/>
      <c r="D3838" s="7"/>
      <c r="F3838" s="7"/>
      <c r="H3838" s="7"/>
      <c r="J3838" s="7"/>
      <c r="L3838" s="7"/>
      <c r="N3838" s="7"/>
      <c r="P3838" s="7"/>
      <c r="R3838" s="7"/>
      <c r="T3838" s="7"/>
      <c r="V3838" s="7"/>
      <c r="X3838" s="7"/>
    </row>
    <row r="3839" spans="2:24">
      <c r="B3839" s="7"/>
      <c r="D3839" s="7"/>
      <c r="F3839" s="7"/>
      <c r="H3839" s="7"/>
      <c r="J3839" s="7"/>
      <c r="L3839" s="7"/>
      <c r="N3839" s="7"/>
      <c r="P3839" s="7"/>
      <c r="R3839" s="7"/>
      <c r="T3839" s="7"/>
      <c r="V3839" s="7"/>
      <c r="X3839" s="7"/>
    </row>
    <row r="3840" spans="2:24">
      <c r="B3840" s="7"/>
      <c r="D3840" s="7"/>
      <c r="F3840" s="7"/>
      <c r="H3840" s="7"/>
      <c r="J3840" s="7"/>
      <c r="L3840" s="7"/>
      <c r="N3840" s="7"/>
      <c r="P3840" s="7"/>
      <c r="R3840" s="7"/>
      <c r="T3840" s="7"/>
      <c r="V3840" s="7"/>
      <c r="X3840" s="7"/>
    </row>
    <row r="3841" spans="2:24">
      <c r="B3841" s="7"/>
      <c r="D3841" s="7"/>
      <c r="F3841" s="7"/>
      <c r="H3841" s="7"/>
      <c r="J3841" s="7"/>
      <c r="L3841" s="7"/>
      <c r="N3841" s="7"/>
      <c r="P3841" s="7"/>
      <c r="R3841" s="7"/>
      <c r="T3841" s="7"/>
      <c r="V3841" s="7"/>
      <c r="X3841" s="7"/>
    </row>
    <row r="3842" spans="2:24">
      <c r="B3842" s="7"/>
      <c r="D3842" s="7"/>
      <c r="F3842" s="7"/>
      <c r="H3842" s="7"/>
      <c r="J3842" s="7"/>
      <c r="L3842" s="7"/>
      <c r="N3842" s="7"/>
      <c r="P3842" s="7"/>
      <c r="R3842" s="7"/>
      <c r="T3842" s="7"/>
      <c r="V3842" s="7"/>
      <c r="X3842" s="7"/>
    </row>
    <row r="3843" spans="2:24">
      <c r="B3843" s="7"/>
      <c r="D3843" s="7"/>
      <c r="F3843" s="7"/>
      <c r="H3843" s="7"/>
      <c r="J3843" s="7"/>
      <c r="L3843" s="7"/>
      <c r="N3843" s="7"/>
      <c r="P3843" s="7"/>
      <c r="R3843" s="7"/>
      <c r="T3843" s="7"/>
      <c r="V3843" s="7"/>
      <c r="X3843" s="7"/>
    </row>
    <row r="3844" spans="2:24">
      <c r="B3844" s="7"/>
      <c r="D3844" s="7"/>
      <c r="F3844" s="7"/>
      <c r="H3844" s="7"/>
      <c r="J3844" s="7"/>
      <c r="L3844" s="7"/>
      <c r="N3844" s="7"/>
      <c r="P3844" s="7"/>
      <c r="R3844" s="7"/>
      <c r="T3844" s="7"/>
      <c r="V3844" s="7"/>
      <c r="X3844" s="7"/>
    </row>
    <row r="3845" spans="2:24">
      <c r="B3845" s="7"/>
      <c r="D3845" s="7"/>
      <c r="F3845" s="7"/>
      <c r="H3845" s="7"/>
      <c r="J3845" s="7"/>
      <c r="L3845" s="7"/>
      <c r="N3845" s="7"/>
      <c r="P3845" s="7"/>
      <c r="R3845" s="7"/>
      <c r="T3845" s="7"/>
      <c r="V3845" s="7"/>
      <c r="X3845" s="7"/>
    </row>
    <row r="3846" spans="2:24">
      <c r="B3846" s="7"/>
      <c r="D3846" s="7"/>
      <c r="F3846" s="7"/>
      <c r="H3846" s="7"/>
      <c r="J3846" s="7"/>
      <c r="L3846" s="7"/>
      <c r="N3846" s="7"/>
      <c r="P3846" s="7"/>
      <c r="R3846" s="7"/>
      <c r="T3846" s="7"/>
      <c r="V3846" s="7"/>
      <c r="X3846" s="7"/>
    </row>
    <row r="3847" spans="2:24">
      <c r="B3847" s="7"/>
      <c r="D3847" s="7"/>
      <c r="F3847" s="7"/>
      <c r="H3847" s="7"/>
      <c r="J3847" s="7"/>
      <c r="L3847" s="7"/>
      <c r="N3847" s="7"/>
      <c r="P3847" s="7"/>
      <c r="R3847" s="7"/>
      <c r="T3847" s="7"/>
      <c r="V3847" s="7"/>
      <c r="X3847" s="7"/>
    </row>
    <row r="3848" spans="2:24">
      <c r="B3848" s="7"/>
      <c r="D3848" s="7"/>
      <c r="F3848" s="7"/>
      <c r="H3848" s="7"/>
      <c r="J3848" s="7"/>
      <c r="L3848" s="7"/>
      <c r="N3848" s="7"/>
      <c r="P3848" s="7"/>
      <c r="R3848" s="7"/>
      <c r="T3848" s="7"/>
      <c r="V3848" s="7"/>
      <c r="X3848" s="7"/>
    </row>
    <row r="3849" spans="2:24">
      <c r="B3849" s="7"/>
      <c r="D3849" s="7"/>
      <c r="F3849" s="7"/>
      <c r="H3849" s="7"/>
      <c r="J3849" s="7"/>
      <c r="L3849" s="7"/>
      <c r="N3849" s="7"/>
      <c r="P3849" s="7"/>
      <c r="R3849" s="7"/>
      <c r="T3849" s="7"/>
      <c r="V3849" s="7"/>
      <c r="X3849" s="7"/>
    </row>
    <row r="3850" spans="2:24">
      <c r="B3850" s="7"/>
      <c r="D3850" s="7"/>
      <c r="F3850" s="7"/>
      <c r="H3850" s="7"/>
      <c r="J3850" s="7"/>
      <c r="L3850" s="7"/>
      <c r="N3850" s="7"/>
      <c r="P3850" s="7"/>
      <c r="R3850" s="7"/>
      <c r="T3850" s="7"/>
      <c r="V3850" s="7"/>
      <c r="X3850" s="7"/>
    </row>
    <row r="3851" spans="2:24">
      <c r="B3851" s="7"/>
      <c r="D3851" s="7"/>
      <c r="F3851" s="7"/>
      <c r="H3851" s="7"/>
      <c r="J3851" s="7"/>
      <c r="L3851" s="7"/>
      <c r="N3851" s="7"/>
      <c r="P3851" s="7"/>
      <c r="R3851" s="7"/>
      <c r="T3851" s="7"/>
      <c r="V3851" s="7"/>
      <c r="X3851" s="7"/>
    </row>
    <row r="3852" spans="2:24">
      <c r="B3852" s="7"/>
      <c r="D3852" s="7"/>
      <c r="F3852" s="7"/>
      <c r="H3852" s="7"/>
      <c r="J3852" s="7"/>
      <c r="L3852" s="7"/>
      <c r="N3852" s="7"/>
      <c r="P3852" s="7"/>
      <c r="R3852" s="7"/>
      <c r="T3852" s="7"/>
      <c r="V3852" s="7"/>
      <c r="X3852" s="7"/>
    </row>
    <row r="3853" spans="2:24">
      <c r="B3853" s="7"/>
      <c r="D3853" s="7"/>
      <c r="F3853" s="7"/>
      <c r="H3853" s="7"/>
      <c r="J3853" s="7"/>
      <c r="L3853" s="7"/>
      <c r="N3853" s="7"/>
      <c r="P3853" s="7"/>
      <c r="R3853" s="7"/>
      <c r="T3853" s="7"/>
      <c r="V3853" s="7"/>
      <c r="X3853" s="7"/>
    </row>
    <row r="3854" spans="2:24">
      <c r="B3854" s="7"/>
      <c r="D3854" s="7"/>
      <c r="F3854" s="7"/>
      <c r="H3854" s="7"/>
      <c r="J3854" s="7"/>
      <c r="L3854" s="7"/>
      <c r="N3854" s="7"/>
      <c r="P3854" s="7"/>
      <c r="R3854" s="7"/>
      <c r="T3854" s="7"/>
      <c r="V3854" s="7"/>
      <c r="X3854" s="7"/>
    </row>
    <row r="3855" spans="2:24">
      <c r="B3855" s="7"/>
      <c r="D3855" s="7"/>
      <c r="F3855" s="7"/>
      <c r="H3855" s="7"/>
      <c r="J3855" s="7"/>
      <c r="L3855" s="7"/>
      <c r="N3855" s="7"/>
      <c r="P3855" s="7"/>
      <c r="R3855" s="7"/>
      <c r="T3855" s="7"/>
      <c r="V3855" s="7"/>
      <c r="X3855" s="7"/>
    </row>
    <row r="3856" spans="2:24">
      <c r="B3856" s="7"/>
      <c r="D3856" s="7"/>
      <c r="F3856" s="7"/>
      <c r="H3856" s="7"/>
      <c r="J3856" s="7"/>
      <c r="L3856" s="7"/>
      <c r="N3856" s="7"/>
      <c r="P3856" s="7"/>
      <c r="R3856" s="7"/>
      <c r="T3856" s="7"/>
      <c r="V3856" s="7"/>
      <c r="X3856" s="7"/>
    </row>
    <row r="3857" spans="2:24">
      <c r="B3857" s="7"/>
      <c r="D3857" s="7"/>
      <c r="F3857" s="7"/>
      <c r="H3857" s="7"/>
      <c r="J3857" s="7"/>
      <c r="L3857" s="7"/>
      <c r="N3857" s="7"/>
      <c r="P3857" s="7"/>
      <c r="R3857" s="7"/>
      <c r="T3857" s="7"/>
      <c r="V3857" s="7"/>
      <c r="X3857" s="7"/>
    </row>
    <row r="3858" spans="2:24">
      <c r="B3858" s="7"/>
      <c r="D3858" s="7"/>
      <c r="F3858" s="7"/>
      <c r="H3858" s="7"/>
      <c r="J3858" s="7"/>
      <c r="L3858" s="7"/>
      <c r="N3858" s="7"/>
      <c r="P3858" s="7"/>
      <c r="R3858" s="7"/>
      <c r="T3858" s="7"/>
      <c r="V3858" s="7"/>
      <c r="X3858" s="7"/>
    </row>
    <row r="3859" spans="2:24">
      <c r="B3859" s="7"/>
      <c r="D3859" s="7"/>
      <c r="F3859" s="7"/>
      <c r="H3859" s="7"/>
      <c r="J3859" s="7"/>
      <c r="L3859" s="7"/>
      <c r="N3859" s="7"/>
      <c r="P3859" s="7"/>
      <c r="R3859" s="7"/>
      <c r="T3859" s="7"/>
      <c r="V3859" s="7"/>
      <c r="X3859" s="7"/>
    </row>
    <row r="3860" spans="2:24">
      <c r="B3860" s="7"/>
      <c r="D3860" s="7"/>
      <c r="F3860" s="7"/>
      <c r="H3860" s="7"/>
      <c r="J3860" s="7"/>
      <c r="L3860" s="7"/>
      <c r="N3860" s="7"/>
      <c r="P3860" s="7"/>
      <c r="R3860" s="7"/>
      <c r="T3860" s="7"/>
      <c r="V3860" s="7"/>
      <c r="X3860" s="7"/>
    </row>
    <row r="3861" spans="2:24">
      <c r="B3861" s="7"/>
      <c r="D3861" s="7"/>
      <c r="F3861" s="7"/>
      <c r="H3861" s="7"/>
      <c r="J3861" s="7"/>
      <c r="L3861" s="7"/>
      <c r="N3861" s="7"/>
      <c r="P3861" s="7"/>
      <c r="R3861" s="7"/>
      <c r="T3861" s="7"/>
      <c r="V3861" s="7"/>
      <c r="X3861" s="7"/>
    </row>
    <row r="3862" spans="2:24">
      <c r="B3862" s="7"/>
      <c r="D3862" s="7"/>
      <c r="F3862" s="7"/>
      <c r="H3862" s="7"/>
      <c r="J3862" s="7"/>
      <c r="L3862" s="7"/>
      <c r="N3862" s="7"/>
      <c r="P3862" s="7"/>
      <c r="R3862" s="7"/>
      <c r="T3862" s="7"/>
      <c r="V3862" s="7"/>
      <c r="X3862" s="7"/>
    </row>
    <row r="3863" spans="2:24">
      <c r="B3863" s="7"/>
      <c r="D3863" s="7"/>
      <c r="F3863" s="7"/>
      <c r="H3863" s="7"/>
      <c r="J3863" s="7"/>
      <c r="L3863" s="7"/>
      <c r="N3863" s="7"/>
      <c r="P3863" s="7"/>
      <c r="R3863" s="7"/>
      <c r="T3863" s="7"/>
      <c r="V3863" s="7"/>
      <c r="X3863" s="7"/>
    </row>
    <row r="3864" spans="2:24">
      <c r="B3864" s="7"/>
      <c r="D3864" s="7"/>
      <c r="F3864" s="7"/>
      <c r="H3864" s="7"/>
      <c r="J3864" s="7"/>
      <c r="L3864" s="7"/>
      <c r="N3864" s="7"/>
      <c r="P3864" s="7"/>
      <c r="R3864" s="7"/>
      <c r="T3864" s="7"/>
      <c r="V3864" s="7"/>
      <c r="X3864" s="7"/>
    </row>
    <row r="3865" spans="2:24">
      <c r="B3865" s="7"/>
      <c r="D3865" s="7"/>
      <c r="F3865" s="7"/>
      <c r="H3865" s="7"/>
      <c r="J3865" s="7"/>
      <c r="L3865" s="7"/>
      <c r="N3865" s="7"/>
      <c r="P3865" s="7"/>
      <c r="R3865" s="7"/>
      <c r="T3865" s="7"/>
      <c r="V3865" s="7"/>
      <c r="X3865" s="7"/>
    </row>
    <row r="3866" spans="2:24">
      <c r="B3866" s="7"/>
      <c r="D3866" s="7"/>
      <c r="F3866" s="7"/>
      <c r="H3866" s="7"/>
      <c r="J3866" s="7"/>
      <c r="L3866" s="7"/>
      <c r="N3866" s="7"/>
      <c r="P3866" s="7"/>
      <c r="R3866" s="7"/>
      <c r="T3866" s="7"/>
      <c r="V3866" s="7"/>
      <c r="X3866" s="7"/>
    </row>
    <row r="3867" spans="2:24">
      <c r="B3867" s="7"/>
      <c r="D3867" s="7"/>
      <c r="F3867" s="7"/>
      <c r="H3867" s="7"/>
      <c r="J3867" s="7"/>
      <c r="L3867" s="7"/>
      <c r="N3867" s="7"/>
      <c r="P3867" s="7"/>
      <c r="R3867" s="7"/>
      <c r="T3867" s="7"/>
      <c r="V3867" s="7"/>
      <c r="X3867" s="7"/>
    </row>
    <row r="3868" spans="2:24">
      <c r="B3868" s="7"/>
      <c r="D3868" s="7"/>
      <c r="F3868" s="7"/>
      <c r="H3868" s="7"/>
      <c r="J3868" s="7"/>
      <c r="L3868" s="7"/>
      <c r="N3868" s="7"/>
      <c r="P3868" s="7"/>
      <c r="R3868" s="7"/>
      <c r="T3868" s="7"/>
      <c r="V3868" s="7"/>
      <c r="X3868" s="7"/>
    </row>
    <row r="3869" spans="2:24">
      <c r="B3869" s="7"/>
      <c r="D3869" s="7"/>
      <c r="F3869" s="7"/>
      <c r="H3869" s="7"/>
      <c r="J3869" s="7"/>
      <c r="L3869" s="7"/>
      <c r="N3869" s="7"/>
      <c r="P3869" s="7"/>
      <c r="R3869" s="7"/>
      <c r="T3869" s="7"/>
      <c r="V3869" s="7"/>
      <c r="X3869" s="7"/>
    </row>
    <row r="3870" spans="2:24">
      <c r="B3870" s="7"/>
      <c r="D3870" s="7"/>
      <c r="F3870" s="7"/>
      <c r="H3870" s="7"/>
      <c r="J3870" s="7"/>
      <c r="L3870" s="7"/>
      <c r="N3870" s="7"/>
      <c r="P3870" s="7"/>
      <c r="R3870" s="7"/>
      <c r="T3870" s="7"/>
      <c r="V3870" s="7"/>
      <c r="X3870" s="7"/>
    </row>
    <row r="3871" spans="2:24">
      <c r="B3871" s="7"/>
      <c r="D3871" s="7"/>
      <c r="F3871" s="7"/>
      <c r="H3871" s="7"/>
      <c r="J3871" s="7"/>
      <c r="L3871" s="7"/>
      <c r="N3871" s="7"/>
      <c r="P3871" s="7"/>
      <c r="R3871" s="7"/>
      <c r="T3871" s="7"/>
      <c r="V3871" s="7"/>
      <c r="X3871" s="7"/>
    </row>
    <row r="3872" spans="2:24">
      <c r="B3872" s="7"/>
      <c r="D3872" s="7"/>
      <c r="F3872" s="7"/>
      <c r="H3872" s="7"/>
      <c r="J3872" s="7"/>
      <c r="L3872" s="7"/>
      <c r="N3872" s="7"/>
      <c r="P3872" s="7"/>
      <c r="R3872" s="7"/>
      <c r="T3872" s="7"/>
      <c r="V3872" s="7"/>
      <c r="X3872" s="7"/>
    </row>
    <row r="3873" spans="2:24">
      <c r="B3873" s="7"/>
      <c r="D3873" s="7"/>
      <c r="F3873" s="7"/>
      <c r="H3873" s="7"/>
      <c r="J3873" s="7"/>
      <c r="L3873" s="7"/>
      <c r="N3873" s="7"/>
      <c r="P3873" s="7"/>
      <c r="R3873" s="7"/>
      <c r="T3873" s="7"/>
      <c r="V3873" s="7"/>
      <c r="X3873" s="7"/>
    </row>
    <row r="3874" spans="2:24">
      <c r="B3874" s="7"/>
      <c r="D3874" s="7"/>
      <c r="F3874" s="7"/>
      <c r="H3874" s="7"/>
      <c r="J3874" s="7"/>
      <c r="L3874" s="7"/>
      <c r="N3874" s="7"/>
      <c r="P3874" s="7"/>
      <c r="R3874" s="7"/>
      <c r="T3874" s="7"/>
      <c r="V3874" s="7"/>
      <c r="X3874" s="7"/>
    </row>
    <row r="3875" spans="2:24">
      <c r="B3875" s="7"/>
      <c r="D3875" s="7"/>
      <c r="F3875" s="7"/>
      <c r="H3875" s="7"/>
      <c r="J3875" s="7"/>
      <c r="L3875" s="7"/>
      <c r="N3875" s="7"/>
      <c r="P3875" s="7"/>
      <c r="R3875" s="7"/>
      <c r="T3875" s="7"/>
      <c r="V3875" s="7"/>
      <c r="X3875" s="7"/>
    </row>
    <row r="3876" spans="2:24">
      <c r="B3876" s="7"/>
      <c r="D3876" s="7"/>
      <c r="F3876" s="7"/>
      <c r="H3876" s="7"/>
      <c r="J3876" s="7"/>
      <c r="L3876" s="7"/>
      <c r="N3876" s="7"/>
      <c r="P3876" s="7"/>
      <c r="R3876" s="7"/>
      <c r="T3876" s="7"/>
      <c r="V3876" s="7"/>
      <c r="X3876" s="7"/>
    </row>
    <row r="3877" spans="2:24">
      <c r="B3877" s="7"/>
      <c r="D3877" s="7"/>
      <c r="F3877" s="7"/>
      <c r="H3877" s="7"/>
      <c r="J3877" s="7"/>
      <c r="L3877" s="7"/>
      <c r="N3877" s="7"/>
      <c r="P3877" s="7"/>
      <c r="R3877" s="7"/>
      <c r="T3877" s="7"/>
      <c r="V3877" s="7"/>
      <c r="X3877" s="7"/>
    </row>
    <row r="3878" spans="2:24">
      <c r="B3878" s="7"/>
      <c r="D3878" s="7"/>
      <c r="F3878" s="7"/>
      <c r="H3878" s="7"/>
      <c r="J3878" s="7"/>
      <c r="L3878" s="7"/>
      <c r="N3878" s="7"/>
      <c r="P3878" s="7"/>
      <c r="R3878" s="7"/>
      <c r="T3878" s="7"/>
      <c r="V3878" s="7"/>
      <c r="X3878" s="7"/>
    </row>
    <row r="3879" spans="2:24">
      <c r="B3879" s="7"/>
      <c r="D3879" s="7"/>
      <c r="F3879" s="7"/>
      <c r="H3879" s="7"/>
      <c r="J3879" s="7"/>
      <c r="L3879" s="7"/>
      <c r="N3879" s="7"/>
      <c r="P3879" s="7"/>
      <c r="R3879" s="7"/>
      <c r="T3879" s="7"/>
      <c r="V3879" s="7"/>
      <c r="X3879" s="7"/>
    </row>
    <row r="3880" spans="2:24">
      <c r="B3880" s="7"/>
      <c r="D3880" s="7"/>
      <c r="F3880" s="7"/>
      <c r="H3880" s="7"/>
      <c r="J3880" s="7"/>
      <c r="L3880" s="7"/>
      <c r="N3880" s="7"/>
      <c r="P3880" s="7"/>
      <c r="R3880" s="7"/>
      <c r="T3880" s="7"/>
      <c r="V3880" s="7"/>
      <c r="X3880" s="7"/>
    </row>
    <row r="3881" spans="2:24">
      <c r="B3881" s="7"/>
      <c r="D3881" s="7"/>
      <c r="F3881" s="7"/>
      <c r="H3881" s="7"/>
      <c r="J3881" s="7"/>
      <c r="L3881" s="7"/>
      <c r="N3881" s="7"/>
      <c r="P3881" s="7"/>
      <c r="R3881" s="7"/>
      <c r="T3881" s="7"/>
      <c r="V3881" s="7"/>
      <c r="X3881" s="7"/>
    </row>
    <row r="3882" spans="2:24">
      <c r="B3882" s="7"/>
      <c r="D3882" s="7"/>
      <c r="F3882" s="7"/>
      <c r="H3882" s="7"/>
      <c r="J3882" s="7"/>
      <c r="L3882" s="7"/>
      <c r="N3882" s="7"/>
      <c r="P3882" s="7"/>
      <c r="R3882" s="7"/>
      <c r="T3882" s="7"/>
      <c r="V3882" s="7"/>
      <c r="X3882" s="7"/>
    </row>
    <row r="3883" spans="2:24">
      <c r="B3883" s="7"/>
      <c r="D3883" s="7"/>
      <c r="F3883" s="7"/>
      <c r="H3883" s="7"/>
      <c r="J3883" s="7"/>
      <c r="L3883" s="7"/>
      <c r="N3883" s="7"/>
      <c r="P3883" s="7"/>
      <c r="R3883" s="7"/>
      <c r="T3883" s="7"/>
      <c r="V3883" s="7"/>
      <c r="X3883" s="7"/>
    </row>
    <row r="3884" spans="2:24">
      <c r="B3884" s="7"/>
      <c r="D3884" s="7"/>
      <c r="F3884" s="7"/>
      <c r="H3884" s="7"/>
      <c r="J3884" s="7"/>
      <c r="L3884" s="7"/>
      <c r="N3884" s="7"/>
      <c r="P3884" s="7"/>
      <c r="R3884" s="7"/>
      <c r="T3884" s="7"/>
      <c r="V3884" s="7"/>
      <c r="X3884" s="7"/>
    </row>
    <row r="3885" spans="2:24">
      <c r="B3885" s="7"/>
      <c r="D3885" s="7"/>
      <c r="F3885" s="7"/>
      <c r="H3885" s="7"/>
      <c r="J3885" s="7"/>
      <c r="L3885" s="7"/>
      <c r="N3885" s="7"/>
      <c r="P3885" s="7"/>
      <c r="R3885" s="7"/>
      <c r="T3885" s="7"/>
      <c r="V3885" s="7"/>
      <c r="X3885" s="7"/>
    </row>
    <row r="3886" spans="2:24">
      <c r="B3886" s="7"/>
      <c r="D3886" s="7"/>
      <c r="F3886" s="7"/>
      <c r="H3886" s="7"/>
      <c r="J3886" s="7"/>
      <c r="L3886" s="7"/>
      <c r="N3886" s="7"/>
      <c r="P3886" s="7"/>
      <c r="R3886" s="7"/>
      <c r="T3886" s="7"/>
      <c r="V3886" s="7"/>
      <c r="X3886" s="7"/>
    </row>
    <row r="3887" spans="2:24">
      <c r="B3887" s="7"/>
      <c r="D3887" s="7"/>
      <c r="F3887" s="7"/>
      <c r="H3887" s="7"/>
      <c r="J3887" s="7"/>
      <c r="L3887" s="7"/>
      <c r="N3887" s="7"/>
      <c r="P3887" s="7"/>
      <c r="R3887" s="7"/>
      <c r="T3887" s="7"/>
      <c r="V3887" s="7"/>
      <c r="X3887" s="7"/>
    </row>
    <row r="3888" spans="2:24">
      <c r="B3888" s="7"/>
      <c r="D3888" s="7"/>
      <c r="F3888" s="7"/>
      <c r="H3888" s="7"/>
      <c r="J3888" s="7"/>
      <c r="L3888" s="7"/>
      <c r="N3888" s="7"/>
      <c r="P3888" s="7"/>
      <c r="R3888" s="7"/>
      <c r="T3888" s="7"/>
      <c r="V3888" s="7"/>
      <c r="X3888" s="7"/>
    </row>
    <row r="3889" spans="2:24">
      <c r="B3889" s="7"/>
      <c r="D3889" s="7"/>
      <c r="F3889" s="7"/>
      <c r="H3889" s="7"/>
      <c r="J3889" s="7"/>
      <c r="L3889" s="7"/>
      <c r="N3889" s="7"/>
      <c r="P3889" s="7"/>
      <c r="R3889" s="7"/>
      <c r="T3889" s="7"/>
      <c r="V3889" s="7"/>
      <c r="X3889" s="7"/>
    </row>
    <row r="3890" spans="2:24">
      <c r="B3890" s="7"/>
      <c r="D3890" s="7"/>
      <c r="F3890" s="7"/>
      <c r="H3890" s="7"/>
      <c r="J3890" s="7"/>
      <c r="L3890" s="7"/>
      <c r="N3890" s="7"/>
      <c r="P3890" s="7"/>
      <c r="R3890" s="7"/>
      <c r="T3890" s="7"/>
      <c r="V3890" s="7"/>
      <c r="X3890" s="7"/>
    </row>
    <row r="3891" spans="2:24">
      <c r="B3891" s="7"/>
      <c r="D3891" s="7"/>
      <c r="F3891" s="7"/>
      <c r="H3891" s="7"/>
      <c r="J3891" s="7"/>
      <c r="L3891" s="7"/>
      <c r="N3891" s="7"/>
      <c r="P3891" s="7"/>
      <c r="R3891" s="7"/>
      <c r="T3891" s="7"/>
      <c r="V3891" s="7"/>
      <c r="X3891" s="7"/>
    </row>
    <row r="3892" spans="2:24">
      <c r="B3892" s="7"/>
      <c r="D3892" s="7"/>
      <c r="F3892" s="7"/>
      <c r="H3892" s="7"/>
      <c r="J3892" s="7"/>
      <c r="L3892" s="7"/>
      <c r="N3892" s="7"/>
      <c r="P3892" s="7"/>
      <c r="R3892" s="7"/>
      <c r="T3892" s="7"/>
      <c r="V3892" s="7"/>
      <c r="X3892" s="7"/>
    </row>
    <row r="3893" spans="2:24">
      <c r="B3893" s="7"/>
      <c r="D3893" s="7"/>
      <c r="F3893" s="7"/>
      <c r="H3893" s="7"/>
      <c r="J3893" s="7"/>
      <c r="L3893" s="7"/>
      <c r="N3893" s="7"/>
      <c r="P3893" s="7"/>
      <c r="R3893" s="7"/>
      <c r="T3893" s="7"/>
      <c r="V3893" s="7"/>
      <c r="X3893" s="7"/>
    </row>
    <row r="3894" spans="2:24">
      <c r="B3894" s="7"/>
      <c r="D3894" s="7"/>
      <c r="F3894" s="7"/>
      <c r="H3894" s="7"/>
      <c r="J3894" s="7"/>
      <c r="L3894" s="7"/>
      <c r="N3894" s="7"/>
      <c r="P3894" s="7"/>
      <c r="R3894" s="7"/>
      <c r="T3894" s="7"/>
      <c r="V3894" s="7"/>
      <c r="X3894" s="7"/>
    </row>
    <row r="3895" spans="2:24">
      <c r="B3895" s="7"/>
      <c r="D3895" s="7"/>
      <c r="F3895" s="7"/>
      <c r="H3895" s="7"/>
      <c r="J3895" s="7"/>
      <c r="L3895" s="7"/>
      <c r="N3895" s="7"/>
      <c r="P3895" s="7"/>
      <c r="R3895" s="7"/>
      <c r="T3895" s="7"/>
      <c r="V3895" s="7"/>
      <c r="X3895" s="7"/>
    </row>
    <row r="3896" spans="2:24">
      <c r="B3896" s="7"/>
      <c r="D3896" s="7"/>
      <c r="F3896" s="7"/>
      <c r="H3896" s="7"/>
      <c r="J3896" s="7"/>
      <c r="L3896" s="7"/>
      <c r="N3896" s="7"/>
      <c r="P3896" s="7"/>
      <c r="R3896" s="7"/>
      <c r="T3896" s="7"/>
      <c r="V3896" s="7"/>
      <c r="X3896" s="7"/>
    </row>
    <row r="3897" spans="2:24">
      <c r="B3897" s="7"/>
      <c r="D3897" s="7"/>
      <c r="F3897" s="7"/>
      <c r="H3897" s="7"/>
      <c r="J3897" s="7"/>
      <c r="L3897" s="7"/>
      <c r="N3897" s="7"/>
      <c r="P3897" s="7"/>
      <c r="R3897" s="7"/>
      <c r="T3897" s="7"/>
      <c r="V3897" s="7"/>
      <c r="X3897" s="7"/>
    </row>
    <row r="3898" spans="2:24">
      <c r="B3898" s="7"/>
      <c r="D3898" s="7"/>
      <c r="F3898" s="7"/>
      <c r="H3898" s="7"/>
      <c r="J3898" s="7"/>
      <c r="L3898" s="7"/>
      <c r="N3898" s="7"/>
      <c r="P3898" s="7"/>
      <c r="R3898" s="7"/>
      <c r="T3898" s="7"/>
      <c r="V3898" s="7"/>
      <c r="X3898" s="7"/>
    </row>
    <row r="3899" spans="2:24">
      <c r="B3899" s="7"/>
      <c r="D3899" s="7"/>
      <c r="F3899" s="7"/>
      <c r="H3899" s="7"/>
      <c r="J3899" s="7"/>
      <c r="L3899" s="7"/>
      <c r="N3899" s="7"/>
      <c r="P3899" s="7"/>
      <c r="R3899" s="7"/>
      <c r="T3899" s="7"/>
      <c r="V3899" s="7"/>
      <c r="X3899" s="7"/>
    </row>
    <row r="3900" spans="2:24">
      <c r="B3900" s="7"/>
      <c r="D3900" s="7"/>
      <c r="F3900" s="7"/>
      <c r="H3900" s="7"/>
      <c r="J3900" s="7"/>
      <c r="L3900" s="7"/>
      <c r="N3900" s="7"/>
      <c r="P3900" s="7"/>
      <c r="R3900" s="7"/>
      <c r="T3900" s="7"/>
      <c r="V3900" s="7"/>
      <c r="X3900" s="7"/>
    </row>
    <row r="3901" spans="2:24">
      <c r="B3901" s="7"/>
      <c r="D3901" s="7"/>
      <c r="F3901" s="7"/>
      <c r="H3901" s="7"/>
      <c r="J3901" s="7"/>
      <c r="L3901" s="7"/>
      <c r="N3901" s="7"/>
      <c r="P3901" s="7"/>
      <c r="R3901" s="7"/>
      <c r="T3901" s="7"/>
      <c r="V3901" s="7"/>
      <c r="X3901" s="7"/>
    </row>
    <row r="3902" spans="2:24">
      <c r="B3902" s="7"/>
      <c r="D3902" s="7"/>
      <c r="F3902" s="7"/>
      <c r="H3902" s="7"/>
      <c r="J3902" s="7"/>
      <c r="L3902" s="7"/>
      <c r="N3902" s="7"/>
      <c r="P3902" s="7"/>
      <c r="R3902" s="7"/>
      <c r="T3902" s="7"/>
      <c r="V3902" s="7"/>
      <c r="X3902" s="7"/>
    </row>
    <row r="3903" spans="2:24">
      <c r="B3903" s="7"/>
      <c r="D3903" s="7"/>
      <c r="F3903" s="7"/>
      <c r="H3903" s="7"/>
      <c r="J3903" s="7"/>
      <c r="L3903" s="7"/>
      <c r="N3903" s="7"/>
      <c r="P3903" s="7"/>
      <c r="R3903" s="7"/>
      <c r="T3903" s="7"/>
      <c r="V3903" s="7"/>
      <c r="X3903" s="7"/>
    </row>
    <row r="3904" spans="2:24">
      <c r="B3904" s="7"/>
      <c r="D3904" s="7"/>
      <c r="F3904" s="7"/>
      <c r="H3904" s="7"/>
      <c r="J3904" s="7"/>
      <c r="L3904" s="7"/>
      <c r="N3904" s="7"/>
      <c r="P3904" s="7"/>
      <c r="R3904" s="7"/>
      <c r="T3904" s="7"/>
      <c r="V3904" s="7"/>
      <c r="X3904" s="7"/>
    </row>
    <row r="3905" spans="2:24">
      <c r="B3905" s="7"/>
      <c r="D3905" s="7"/>
      <c r="F3905" s="7"/>
      <c r="H3905" s="7"/>
      <c r="J3905" s="7"/>
      <c r="L3905" s="7"/>
      <c r="N3905" s="7"/>
      <c r="P3905" s="7"/>
      <c r="R3905" s="7"/>
      <c r="T3905" s="7"/>
      <c r="V3905" s="7"/>
      <c r="X3905" s="7"/>
    </row>
    <row r="3906" spans="2:24">
      <c r="B3906" s="7"/>
      <c r="D3906" s="7"/>
      <c r="F3906" s="7"/>
      <c r="H3906" s="7"/>
      <c r="J3906" s="7"/>
      <c r="L3906" s="7"/>
      <c r="N3906" s="7"/>
      <c r="P3906" s="7"/>
      <c r="R3906" s="7"/>
      <c r="T3906" s="7"/>
      <c r="V3906" s="7"/>
      <c r="X3906" s="7"/>
    </row>
    <row r="3907" spans="2:24">
      <c r="B3907" s="7"/>
      <c r="D3907" s="7"/>
      <c r="F3907" s="7"/>
      <c r="H3907" s="7"/>
      <c r="J3907" s="7"/>
      <c r="L3907" s="7"/>
      <c r="N3907" s="7"/>
      <c r="P3907" s="7"/>
      <c r="R3907" s="7"/>
      <c r="T3907" s="7"/>
      <c r="V3907" s="7"/>
      <c r="X3907" s="7"/>
    </row>
    <row r="3908" spans="2:24">
      <c r="B3908" s="7"/>
      <c r="D3908" s="7"/>
      <c r="F3908" s="7"/>
      <c r="H3908" s="7"/>
      <c r="J3908" s="7"/>
      <c r="L3908" s="7"/>
      <c r="N3908" s="7"/>
      <c r="P3908" s="7"/>
      <c r="R3908" s="7"/>
      <c r="T3908" s="7"/>
      <c r="V3908" s="7"/>
      <c r="X3908" s="7"/>
    </row>
    <row r="3909" spans="2:24">
      <c r="B3909" s="7"/>
      <c r="D3909" s="7"/>
      <c r="F3909" s="7"/>
      <c r="H3909" s="7"/>
      <c r="J3909" s="7"/>
      <c r="L3909" s="7"/>
      <c r="N3909" s="7"/>
      <c r="P3909" s="7"/>
      <c r="R3909" s="7"/>
      <c r="T3909" s="7"/>
      <c r="V3909" s="7"/>
      <c r="X3909" s="7"/>
    </row>
    <row r="3910" spans="2:24">
      <c r="B3910" s="7"/>
      <c r="D3910" s="7"/>
      <c r="F3910" s="7"/>
      <c r="H3910" s="7"/>
      <c r="J3910" s="7"/>
      <c r="L3910" s="7"/>
      <c r="N3910" s="7"/>
      <c r="P3910" s="7"/>
      <c r="R3910" s="7"/>
      <c r="T3910" s="7"/>
      <c r="V3910" s="7"/>
      <c r="X3910" s="7"/>
    </row>
    <row r="3911" spans="2:24">
      <c r="B3911" s="7"/>
      <c r="D3911" s="7"/>
      <c r="F3911" s="7"/>
      <c r="H3911" s="7"/>
      <c r="J3911" s="7"/>
      <c r="L3911" s="7"/>
      <c r="N3911" s="7"/>
      <c r="P3911" s="7"/>
      <c r="R3911" s="7"/>
      <c r="T3911" s="7"/>
      <c r="V3911" s="7"/>
      <c r="X3911" s="7"/>
    </row>
    <row r="3912" spans="2:24">
      <c r="B3912" s="7"/>
      <c r="D3912" s="7"/>
      <c r="F3912" s="7"/>
      <c r="H3912" s="7"/>
      <c r="J3912" s="7"/>
      <c r="L3912" s="7"/>
      <c r="N3912" s="7"/>
      <c r="P3912" s="7"/>
      <c r="R3912" s="7"/>
      <c r="T3912" s="7"/>
      <c r="V3912" s="7"/>
      <c r="X3912" s="7"/>
    </row>
    <row r="3913" spans="2:24">
      <c r="B3913" s="7"/>
      <c r="D3913" s="7"/>
      <c r="F3913" s="7"/>
      <c r="H3913" s="7"/>
      <c r="J3913" s="7"/>
      <c r="L3913" s="7"/>
      <c r="N3913" s="7"/>
      <c r="P3913" s="7"/>
      <c r="R3913" s="7"/>
      <c r="T3913" s="7"/>
      <c r="V3913" s="7"/>
      <c r="X3913" s="7"/>
    </row>
    <row r="3914" spans="2:24">
      <c r="B3914" s="7"/>
      <c r="D3914" s="7"/>
      <c r="F3914" s="7"/>
      <c r="H3914" s="7"/>
      <c r="J3914" s="7"/>
      <c r="L3914" s="7"/>
      <c r="N3914" s="7"/>
      <c r="P3914" s="7"/>
      <c r="R3914" s="7"/>
      <c r="T3914" s="7"/>
      <c r="V3914" s="7"/>
      <c r="X3914" s="7"/>
    </row>
    <row r="3915" spans="2:24">
      <c r="B3915" s="7"/>
      <c r="D3915" s="7"/>
      <c r="F3915" s="7"/>
      <c r="H3915" s="7"/>
      <c r="J3915" s="7"/>
      <c r="L3915" s="7"/>
      <c r="N3915" s="7"/>
      <c r="P3915" s="7"/>
      <c r="R3915" s="7"/>
      <c r="T3915" s="7"/>
      <c r="V3915" s="7"/>
      <c r="X3915" s="7"/>
    </row>
    <row r="3916" spans="2:24">
      <c r="B3916" s="7"/>
      <c r="D3916" s="7"/>
      <c r="F3916" s="7"/>
      <c r="H3916" s="7"/>
      <c r="J3916" s="7"/>
      <c r="L3916" s="7"/>
      <c r="N3916" s="7"/>
      <c r="P3916" s="7"/>
      <c r="R3916" s="7"/>
      <c r="T3916" s="7"/>
      <c r="V3916" s="7"/>
      <c r="X3916" s="7"/>
    </row>
    <row r="3917" spans="2:24">
      <c r="B3917" s="7"/>
      <c r="D3917" s="7"/>
      <c r="F3917" s="7"/>
      <c r="H3917" s="7"/>
      <c r="J3917" s="7"/>
      <c r="L3917" s="7"/>
      <c r="N3917" s="7"/>
      <c r="P3917" s="7"/>
      <c r="R3917" s="7"/>
      <c r="T3917" s="7"/>
      <c r="V3917" s="7"/>
      <c r="X3917" s="7"/>
    </row>
    <row r="3918" spans="2:24">
      <c r="B3918" s="7"/>
      <c r="D3918" s="7"/>
      <c r="F3918" s="7"/>
      <c r="H3918" s="7"/>
      <c r="J3918" s="7"/>
      <c r="L3918" s="7"/>
      <c r="N3918" s="7"/>
      <c r="P3918" s="7"/>
      <c r="R3918" s="7"/>
      <c r="T3918" s="7"/>
      <c r="V3918" s="7"/>
      <c r="X3918" s="7"/>
    </row>
    <row r="3919" spans="2:24">
      <c r="B3919" s="7"/>
      <c r="D3919" s="7"/>
      <c r="F3919" s="7"/>
      <c r="H3919" s="7"/>
      <c r="J3919" s="7"/>
      <c r="L3919" s="7"/>
      <c r="N3919" s="7"/>
      <c r="P3919" s="7"/>
      <c r="R3919" s="7"/>
      <c r="T3919" s="7"/>
      <c r="V3919" s="7"/>
      <c r="X3919" s="7"/>
    </row>
    <row r="3920" spans="2:24">
      <c r="B3920" s="7"/>
      <c r="D3920" s="7"/>
      <c r="F3920" s="7"/>
      <c r="H3920" s="7"/>
      <c r="J3920" s="7"/>
      <c r="L3920" s="7"/>
      <c r="N3920" s="7"/>
      <c r="P3920" s="7"/>
      <c r="R3920" s="7"/>
      <c r="T3920" s="7"/>
      <c r="V3920" s="7"/>
      <c r="X3920" s="7"/>
    </row>
    <row r="3921" spans="2:24">
      <c r="B3921" s="7"/>
      <c r="D3921" s="7"/>
      <c r="F3921" s="7"/>
      <c r="H3921" s="7"/>
      <c r="J3921" s="7"/>
      <c r="L3921" s="7"/>
      <c r="N3921" s="7"/>
      <c r="P3921" s="7"/>
      <c r="R3921" s="7"/>
      <c r="T3921" s="7"/>
      <c r="V3921" s="7"/>
      <c r="X3921" s="7"/>
    </row>
    <row r="3922" spans="2:24">
      <c r="B3922" s="7"/>
      <c r="D3922" s="7"/>
      <c r="F3922" s="7"/>
      <c r="H3922" s="7"/>
      <c r="J3922" s="7"/>
      <c r="L3922" s="7"/>
      <c r="N3922" s="7"/>
      <c r="P3922" s="7"/>
      <c r="R3922" s="7"/>
      <c r="T3922" s="7"/>
      <c r="V3922" s="7"/>
      <c r="X3922" s="7"/>
    </row>
    <row r="3923" spans="2:24">
      <c r="B3923" s="7"/>
      <c r="D3923" s="7"/>
      <c r="F3923" s="7"/>
      <c r="H3923" s="7"/>
      <c r="J3923" s="7"/>
      <c r="L3923" s="7"/>
      <c r="N3923" s="7"/>
      <c r="P3923" s="7"/>
      <c r="R3923" s="7"/>
      <c r="T3923" s="7"/>
      <c r="V3923" s="7"/>
      <c r="X3923" s="7"/>
    </row>
    <row r="3924" spans="2:24">
      <c r="B3924" s="7"/>
      <c r="D3924" s="7"/>
      <c r="F3924" s="7"/>
      <c r="H3924" s="7"/>
      <c r="J3924" s="7"/>
      <c r="L3924" s="7"/>
      <c r="N3924" s="7"/>
      <c r="P3924" s="7"/>
      <c r="R3924" s="7"/>
      <c r="T3924" s="7"/>
      <c r="V3924" s="7"/>
      <c r="X3924" s="7"/>
    </row>
    <row r="3925" spans="2:24">
      <c r="B3925" s="7"/>
      <c r="D3925" s="7"/>
      <c r="F3925" s="7"/>
      <c r="H3925" s="7"/>
      <c r="J3925" s="7"/>
      <c r="L3925" s="7"/>
      <c r="N3925" s="7"/>
      <c r="P3925" s="7"/>
      <c r="R3925" s="7"/>
      <c r="T3925" s="7"/>
      <c r="V3925" s="7"/>
      <c r="X3925" s="7"/>
    </row>
    <row r="3926" spans="2:24">
      <c r="B3926" s="7"/>
      <c r="D3926" s="7"/>
      <c r="F3926" s="7"/>
      <c r="H3926" s="7"/>
      <c r="J3926" s="7"/>
      <c r="L3926" s="7"/>
      <c r="N3926" s="7"/>
      <c r="P3926" s="7"/>
      <c r="R3926" s="7"/>
      <c r="T3926" s="7"/>
      <c r="V3926" s="7"/>
      <c r="X3926" s="7"/>
    </row>
    <row r="3927" spans="2:24">
      <c r="B3927" s="7"/>
      <c r="D3927" s="7"/>
      <c r="F3927" s="7"/>
      <c r="H3927" s="7"/>
      <c r="J3927" s="7"/>
      <c r="L3927" s="7"/>
      <c r="N3927" s="7"/>
      <c r="P3927" s="7"/>
      <c r="R3927" s="7"/>
      <c r="T3927" s="7"/>
      <c r="V3927" s="7"/>
      <c r="X3927" s="7"/>
    </row>
    <row r="3928" spans="2:24">
      <c r="B3928" s="7"/>
      <c r="D3928" s="7"/>
      <c r="F3928" s="7"/>
      <c r="H3928" s="7"/>
      <c r="J3928" s="7"/>
      <c r="L3928" s="7"/>
      <c r="N3928" s="7"/>
      <c r="P3928" s="7"/>
      <c r="R3928" s="7"/>
      <c r="T3928" s="7"/>
      <c r="V3928" s="7"/>
      <c r="X3928" s="7"/>
    </row>
    <row r="3929" spans="2:24">
      <c r="B3929" s="7"/>
      <c r="D3929" s="7"/>
      <c r="F3929" s="7"/>
      <c r="H3929" s="7"/>
      <c r="J3929" s="7"/>
      <c r="L3929" s="7"/>
      <c r="N3929" s="7"/>
      <c r="P3929" s="7"/>
      <c r="R3929" s="7"/>
      <c r="T3929" s="7"/>
      <c r="V3929" s="7"/>
      <c r="X3929" s="7"/>
    </row>
    <row r="3930" spans="2:24">
      <c r="B3930" s="7"/>
      <c r="D3930" s="7"/>
      <c r="F3930" s="7"/>
      <c r="H3930" s="7"/>
      <c r="J3930" s="7"/>
      <c r="L3930" s="7"/>
      <c r="N3930" s="7"/>
      <c r="P3930" s="7"/>
      <c r="R3930" s="7"/>
      <c r="T3930" s="7"/>
      <c r="V3930" s="7"/>
      <c r="X3930" s="7"/>
    </row>
    <row r="3931" spans="2:24">
      <c r="B3931" s="7"/>
      <c r="D3931" s="7"/>
      <c r="F3931" s="7"/>
      <c r="H3931" s="7"/>
      <c r="J3931" s="7"/>
      <c r="L3931" s="7"/>
      <c r="N3931" s="7"/>
      <c r="P3931" s="7"/>
      <c r="R3931" s="7"/>
      <c r="T3931" s="7"/>
      <c r="V3931" s="7"/>
      <c r="X3931" s="7"/>
    </row>
    <row r="3932" spans="2:24">
      <c r="B3932" s="7"/>
      <c r="D3932" s="7"/>
      <c r="F3932" s="7"/>
      <c r="H3932" s="7"/>
      <c r="J3932" s="7"/>
      <c r="L3932" s="7"/>
      <c r="N3932" s="7"/>
      <c r="P3932" s="7"/>
      <c r="R3932" s="7"/>
      <c r="T3932" s="7"/>
      <c r="V3932" s="7"/>
      <c r="X3932" s="7"/>
    </row>
    <row r="3933" spans="2:24">
      <c r="B3933" s="7"/>
      <c r="D3933" s="7"/>
      <c r="F3933" s="7"/>
      <c r="H3933" s="7"/>
      <c r="J3933" s="7"/>
      <c r="L3933" s="7"/>
      <c r="N3933" s="7"/>
      <c r="P3933" s="7"/>
      <c r="R3933" s="7"/>
      <c r="T3933" s="7"/>
      <c r="V3933" s="7"/>
      <c r="X3933" s="7"/>
    </row>
    <row r="3934" spans="2:24">
      <c r="B3934" s="7"/>
      <c r="D3934" s="7"/>
      <c r="F3934" s="7"/>
      <c r="H3934" s="7"/>
      <c r="J3934" s="7"/>
      <c r="L3934" s="7"/>
      <c r="N3934" s="7"/>
      <c r="P3934" s="7"/>
      <c r="R3934" s="7"/>
      <c r="T3934" s="7"/>
      <c r="V3934" s="7"/>
      <c r="X3934" s="7"/>
    </row>
    <row r="3935" spans="2:24">
      <c r="B3935" s="7"/>
      <c r="D3935" s="7"/>
      <c r="F3935" s="7"/>
      <c r="H3935" s="7"/>
      <c r="J3935" s="7"/>
      <c r="L3935" s="7"/>
      <c r="N3935" s="7"/>
      <c r="P3935" s="7"/>
      <c r="R3935" s="7"/>
      <c r="T3935" s="7"/>
      <c r="V3935" s="7"/>
      <c r="X3935" s="7"/>
    </row>
    <row r="3936" spans="2:24">
      <c r="B3936" s="7"/>
      <c r="D3936" s="7"/>
      <c r="F3936" s="7"/>
      <c r="H3936" s="7"/>
      <c r="J3936" s="7"/>
      <c r="L3936" s="7"/>
      <c r="N3936" s="7"/>
      <c r="P3936" s="7"/>
      <c r="R3936" s="7"/>
      <c r="T3936" s="7"/>
      <c r="V3936" s="7"/>
      <c r="X3936" s="7"/>
    </row>
    <row r="3937" spans="2:24">
      <c r="B3937" s="7"/>
      <c r="D3937" s="7"/>
      <c r="F3937" s="7"/>
      <c r="H3937" s="7"/>
      <c r="J3937" s="7"/>
      <c r="L3937" s="7"/>
      <c r="N3937" s="7"/>
      <c r="P3937" s="7"/>
      <c r="R3937" s="7"/>
      <c r="T3937" s="7"/>
      <c r="V3937" s="7"/>
      <c r="X3937" s="7"/>
    </row>
    <row r="3938" spans="2:24">
      <c r="B3938" s="7"/>
      <c r="D3938" s="7"/>
      <c r="F3938" s="7"/>
      <c r="H3938" s="7"/>
      <c r="J3938" s="7"/>
      <c r="L3938" s="7"/>
      <c r="N3938" s="7"/>
      <c r="P3938" s="7"/>
      <c r="R3938" s="7"/>
      <c r="T3938" s="7"/>
      <c r="V3938" s="7"/>
      <c r="X3938" s="7"/>
    </row>
    <row r="3939" spans="2:24">
      <c r="B3939" s="7"/>
      <c r="D3939" s="7"/>
      <c r="F3939" s="7"/>
      <c r="H3939" s="7"/>
      <c r="J3939" s="7"/>
      <c r="L3939" s="7"/>
      <c r="N3939" s="7"/>
      <c r="P3939" s="7"/>
      <c r="R3939" s="7"/>
      <c r="T3939" s="7"/>
      <c r="V3939" s="7"/>
      <c r="X3939" s="7"/>
    </row>
    <row r="3940" spans="2:24">
      <c r="B3940" s="7"/>
      <c r="D3940" s="7"/>
      <c r="F3940" s="7"/>
      <c r="H3940" s="7"/>
      <c r="J3940" s="7"/>
      <c r="L3940" s="7"/>
      <c r="N3940" s="7"/>
      <c r="P3940" s="7"/>
      <c r="R3940" s="7"/>
      <c r="T3940" s="7"/>
      <c r="V3940" s="7"/>
      <c r="X3940" s="7"/>
    </row>
    <row r="3941" spans="2:24">
      <c r="B3941" s="7"/>
      <c r="D3941" s="7"/>
      <c r="F3941" s="7"/>
      <c r="H3941" s="7"/>
      <c r="J3941" s="7"/>
      <c r="L3941" s="7"/>
      <c r="N3941" s="7"/>
      <c r="P3941" s="7"/>
      <c r="R3941" s="7"/>
      <c r="T3941" s="7"/>
      <c r="V3941" s="7"/>
      <c r="X3941" s="7"/>
    </row>
    <row r="3942" spans="2:24">
      <c r="B3942" s="7"/>
      <c r="D3942" s="7"/>
      <c r="F3942" s="7"/>
      <c r="H3942" s="7"/>
      <c r="J3942" s="7"/>
      <c r="L3942" s="7"/>
      <c r="N3942" s="7"/>
      <c r="P3942" s="7"/>
      <c r="R3942" s="7"/>
      <c r="T3942" s="7"/>
      <c r="V3942" s="7"/>
      <c r="X3942" s="7"/>
    </row>
    <row r="3943" spans="2:24">
      <c r="B3943" s="7"/>
      <c r="D3943" s="7"/>
      <c r="F3943" s="7"/>
      <c r="H3943" s="7"/>
      <c r="J3943" s="7"/>
      <c r="L3943" s="7"/>
      <c r="N3943" s="7"/>
      <c r="P3943" s="7"/>
      <c r="R3943" s="7"/>
      <c r="T3943" s="7"/>
      <c r="V3943" s="7"/>
      <c r="X3943" s="7"/>
    </row>
    <row r="3944" spans="2:24">
      <c r="B3944" s="7"/>
      <c r="D3944" s="7"/>
      <c r="F3944" s="7"/>
      <c r="H3944" s="7"/>
      <c r="J3944" s="7"/>
      <c r="L3944" s="7"/>
      <c r="N3944" s="7"/>
      <c r="P3944" s="7"/>
      <c r="R3944" s="7"/>
      <c r="T3944" s="7"/>
      <c r="V3944" s="7"/>
      <c r="X3944" s="7"/>
    </row>
    <row r="3945" spans="2:24">
      <c r="B3945" s="7"/>
      <c r="D3945" s="7"/>
      <c r="F3945" s="7"/>
      <c r="H3945" s="7"/>
      <c r="J3945" s="7"/>
      <c r="L3945" s="7"/>
      <c r="N3945" s="7"/>
      <c r="P3945" s="7"/>
      <c r="R3945" s="7"/>
      <c r="T3945" s="7"/>
      <c r="V3945" s="7"/>
      <c r="X3945" s="7"/>
    </row>
    <row r="3946" spans="2:24">
      <c r="B3946" s="7"/>
      <c r="D3946" s="7"/>
      <c r="F3946" s="7"/>
      <c r="H3946" s="7"/>
      <c r="J3946" s="7"/>
      <c r="L3946" s="7"/>
      <c r="N3946" s="7"/>
      <c r="P3946" s="7"/>
      <c r="R3946" s="7"/>
      <c r="T3946" s="7"/>
      <c r="V3946" s="7"/>
      <c r="X3946" s="7"/>
    </row>
    <row r="3947" spans="2:24">
      <c r="B3947" s="7"/>
      <c r="D3947" s="7"/>
      <c r="F3947" s="7"/>
      <c r="H3947" s="7"/>
      <c r="J3947" s="7"/>
      <c r="L3947" s="7"/>
      <c r="N3947" s="7"/>
      <c r="P3947" s="7"/>
      <c r="R3947" s="7"/>
      <c r="T3947" s="7"/>
      <c r="V3947" s="7"/>
      <c r="X3947" s="7"/>
    </row>
    <row r="3948" spans="2:24">
      <c r="B3948" s="7"/>
      <c r="D3948" s="7"/>
      <c r="F3948" s="7"/>
      <c r="H3948" s="7"/>
      <c r="J3948" s="7"/>
      <c r="L3948" s="7"/>
      <c r="N3948" s="7"/>
      <c r="P3948" s="7"/>
      <c r="R3948" s="7"/>
      <c r="T3948" s="7"/>
      <c r="V3948" s="7"/>
      <c r="X3948" s="7"/>
    </row>
    <row r="3949" spans="2:24">
      <c r="B3949" s="7"/>
      <c r="D3949" s="7"/>
      <c r="F3949" s="7"/>
      <c r="H3949" s="7"/>
      <c r="J3949" s="7"/>
      <c r="L3949" s="7"/>
      <c r="N3949" s="7"/>
      <c r="P3949" s="7"/>
      <c r="R3949" s="7"/>
      <c r="T3949" s="7"/>
      <c r="V3949" s="7"/>
      <c r="X3949" s="7"/>
    </row>
    <row r="3950" spans="2:24">
      <c r="B3950" s="7"/>
      <c r="D3950" s="7"/>
      <c r="F3950" s="7"/>
      <c r="H3950" s="7"/>
      <c r="J3950" s="7"/>
      <c r="L3950" s="7"/>
      <c r="N3950" s="7"/>
      <c r="P3950" s="7"/>
      <c r="R3950" s="7"/>
      <c r="T3950" s="7"/>
      <c r="V3950" s="7"/>
      <c r="X3950" s="7"/>
    </row>
    <row r="3951" spans="2:24">
      <c r="B3951" s="7"/>
      <c r="D3951" s="7"/>
      <c r="F3951" s="7"/>
      <c r="H3951" s="7"/>
      <c r="J3951" s="7"/>
      <c r="L3951" s="7"/>
      <c r="N3951" s="7"/>
      <c r="P3951" s="7"/>
      <c r="R3951" s="7"/>
      <c r="T3951" s="7"/>
      <c r="V3951" s="7"/>
      <c r="X3951" s="7"/>
    </row>
    <row r="3952" spans="2:24">
      <c r="B3952" s="7"/>
      <c r="D3952" s="7"/>
      <c r="F3952" s="7"/>
      <c r="H3952" s="7"/>
      <c r="J3952" s="7"/>
      <c r="L3952" s="7"/>
      <c r="N3952" s="7"/>
      <c r="P3952" s="7"/>
      <c r="R3952" s="7"/>
      <c r="T3952" s="7"/>
      <c r="V3952" s="7"/>
      <c r="X3952" s="7"/>
    </row>
    <row r="3953" spans="2:24">
      <c r="B3953" s="7"/>
      <c r="D3953" s="7"/>
      <c r="F3953" s="7"/>
      <c r="H3953" s="7"/>
      <c r="J3953" s="7"/>
      <c r="L3953" s="7"/>
      <c r="N3953" s="7"/>
      <c r="P3953" s="7"/>
      <c r="R3953" s="7"/>
      <c r="T3953" s="7"/>
      <c r="V3953" s="7"/>
      <c r="X3953" s="7"/>
    </row>
    <row r="3954" spans="2:24">
      <c r="B3954" s="7"/>
      <c r="D3954" s="7"/>
      <c r="F3954" s="7"/>
      <c r="H3954" s="7"/>
      <c r="J3954" s="7"/>
      <c r="L3954" s="7"/>
      <c r="N3954" s="7"/>
      <c r="P3954" s="7"/>
      <c r="R3954" s="7"/>
      <c r="T3954" s="7"/>
      <c r="V3954" s="7"/>
      <c r="X3954" s="7"/>
    </row>
    <row r="3955" spans="2:24">
      <c r="B3955" s="7"/>
      <c r="D3955" s="7"/>
      <c r="F3955" s="7"/>
      <c r="H3955" s="7"/>
      <c r="J3955" s="7"/>
      <c r="L3955" s="7"/>
      <c r="N3955" s="7"/>
      <c r="P3955" s="7"/>
      <c r="R3955" s="7"/>
      <c r="T3955" s="7"/>
      <c r="V3955" s="7"/>
      <c r="X3955" s="7"/>
    </row>
    <row r="3956" spans="2:24">
      <c r="B3956" s="7"/>
      <c r="D3956" s="7"/>
      <c r="F3956" s="7"/>
      <c r="H3956" s="7"/>
      <c r="J3956" s="7"/>
      <c r="L3956" s="7"/>
      <c r="N3956" s="7"/>
      <c r="P3956" s="7"/>
      <c r="R3956" s="7"/>
      <c r="T3956" s="7"/>
      <c r="V3956" s="7"/>
      <c r="X3956" s="7"/>
    </row>
    <row r="3957" spans="2:24">
      <c r="B3957" s="7"/>
      <c r="D3957" s="7"/>
      <c r="F3957" s="7"/>
      <c r="H3957" s="7"/>
      <c r="J3957" s="7"/>
      <c r="L3957" s="7"/>
      <c r="N3957" s="7"/>
      <c r="P3957" s="7"/>
      <c r="R3957" s="7"/>
      <c r="T3957" s="7"/>
      <c r="V3957" s="7"/>
      <c r="X3957" s="7"/>
    </row>
    <row r="3958" spans="2:24">
      <c r="B3958" s="7"/>
      <c r="D3958" s="7"/>
      <c r="F3958" s="7"/>
      <c r="H3958" s="7"/>
      <c r="J3958" s="7"/>
      <c r="L3958" s="7"/>
      <c r="N3958" s="7"/>
      <c r="P3958" s="7"/>
      <c r="R3958" s="7"/>
      <c r="T3958" s="7"/>
      <c r="V3958" s="7"/>
      <c r="X3958" s="7"/>
    </row>
    <row r="3959" spans="2:24">
      <c r="B3959" s="7"/>
      <c r="D3959" s="7"/>
      <c r="F3959" s="7"/>
      <c r="H3959" s="7"/>
      <c r="J3959" s="7"/>
      <c r="L3959" s="7"/>
      <c r="N3959" s="7"/>
      <c r="P3959" s="7"/>
      <c r="R3959" s="7"/>
      <c r="T3959" s="7"/>
      <c r="V3959" s="7"/>
      <c r="X3959" s="7"/>
    </row>
    <row r="3960" spans="2:24">
      <c r="B3960" s="7"/>
      <c r="D3960" s="7"/>
      <c r="F3960" s="7"/>
      <c r="H3960" s="7"/>
      <c r="J3960" s="7"/>
      <c r="L3960" s="7"/>
      <c r="N3960" s="7"/>
      <c r="P3960" s="7"/>
      <c r="R3960" s="7"/>
      <c r="T3960" s="7"/>
      <c r="V3960" s="7"/>
      <c r="X3960" s="7"/>
    </row>
    <row r="3961" spans="2:24">
      <c r="B3961" s="7"/>
      <c r="D3961" s="7"/>
      <c r="F3961" s="7"/>
      <c r="H3961" s="7"/>
      <c r="J3961" s="7"/>
      <c r="L3961" s="7"/>
      <c r="N3961" s="7"/>
      <c r="P3961" s="7"/>
      <c r="R3961" s="7"/>
      <c r="T3961" s="7"/>
      <c r="V3961" s="7"/>
      <c r="X3961" s="7"/>
    </row>
    <row r="3962" spans="2:24">
      <c r="B3962" s="7"/>
      <c r="D3962" s="7"/>
      <c r="F3962" s="7"/>
      <c r="H3962" s="7"/>
      <c r="J3962" s="7"/>
      <c r="L3962" s="7"/>
      <c r="N3962" s="7"/>
      <c r="P3962" s="7"/>
      <c r="R3962" s="7"/>
      <c r="T3962" s="7"/>
      <c r="V3962" s="7"/>
      <c r="X3962" s="7"/>
    </row>
    <row r="3963" spans="2:24">
      <c r="B3963" s="7"/>
      <c r="D3963" s="7"/>
      <c r="F3963" s="7"/>
      <c r="H3963" s="7"/>
      <c r="J3963" s="7"/>
      <c r="L3963" s="7"/>
      <c r="N3963" s="7"/>
      <c r="P3963" s="7"/>
      <c r="R3963" s="7"/>
      <c r="T3963" s="7"/>
      <c r="V3963" s="7"/>
      <c r="X3963" s="7"/>
    </row>
    <row r="3964" spans="2:24">
      <c r="B3964" s="7"/>
      <c r="D3964" s="7"/>
      <c r="F3964" s="7"/>
      <c r="H3964" s="7"/>
      <c r="J3964" s="7"/>
      <c r="L3964" s="7"/>
      <c r="N3964" s="7"/>
      <c r="P3964" s="7"/>
      <c r="R3964" s="7"/>
      <c r="T3964" s="7"/>
      <c r="V3964" s="7"/>
      <c r="X3964" s="7"/>
    </row>
    <row r="3965" spans="2:24">
      <c r="B3965" s="7"/>
      <c r="D3965" s="7"/>
      <c r="F3965" s="7"/>
      <c r="H3965" s="7"/>
      <c r="J3965" s="7"/>
      <c r="L3965" s="7"/>
      <c r="N3965" s="7"/>
      <c r="P3965" s="7"/>
      <c r="R3965" s="7"/>
      <c r="T3965" s="7"/>
      <c r="V3965" s="7"/>
      <c r="X3965" s="7"/>
    </row>
    <row r="3966" spans="2:24">
      <c r="B3966" s="7"/>
      <c r="D3966" s="7"/>
      <c r="F3966" s="7"/>
      <c r="H3966" s="7"/>
      <c r="J3966" s="7"/>
      <c r="L3966" s="7"/>
      <c r="N3966" s="7"/>
      <c r="P3966" s="7"/>
      <c r="R3966" s="7"/>
      <c r="T3966" s="7"/>
      <c r="V3966" s="7"/>
      <c r="X3966" s="7"/>
    </row>
    <row r="3967" spans="2:24">
      <c r="B3967" s="7"/>
      <c r="D3967" s="7"/>
      <c r="F3967" s="7"/>
      <c r="H3967" s="7"/>
      <c r="J3967" s="7"/>
      <c r="L3967" s="7"/>
      <c r="N3967" s="7"/>
      <c r="P3967" s="7"/>
      <c r="R3967" s="7"/>
      <c r="T3967" s="7"/>
      <c r="V3967" s="7"/>
      <c r="X3967" s="7"/>
    </row>
    <row r="3968" spans="2:24">
      <c r="B3968" s="7"/>
      <c r="D3968" s="7"/>
      <c r="F3968" s="7"/>
      <c r="H3968" s="7"/>
      <c r="J3968" s="7"/>
      <c r="L3968" s="7"/>
      <c r="N3968" s="7"/>
      <c r="P3968" s="7"/>
      <c r="R3968" s="7"/>
      <c r="T3968" s="7"/>
      <c r="V3968" s="7"/>
      <c r="X3968" s="7"/>
    </row>
    <row r="3969" spans="2:24">
      <c r="B3969" s="7"/>
      <c r="D3969" s="7"/>
      <c r="F3969" s="7"/>
      <c r="H3969" s="7"/>
      <c r="J3969" s="7"/>
      <c r="L3969" s="7"/>
      <c r="N3969" s="7"/>
      <c r="P3969" s="7"/>
      <c r="R3969" s="7"/>
      <c r="T3969" s="7"/>
      <c r="V3969" s="7"/>
      <c r="X3969" s="7"/>
    </row>
    <row r="3970" spans="2:24">
      <c r="B3970" s="7"/>
      <c r="D3970" s="7"/>
      <c r="F3970" s="7"/>
      <c r="H3970" s="7"/>
      <c r="J3970" s="7"/>
      <c r="L3970" s="7"/>
      <c r="N3970" s="7"/>
      <c r="P3970" s="7"/>
      <c r="R3970" s="7"/>
      <c r="T3970" s="7"/>
      <c r="V3970" s="7"/>
      <c r="X3970" s="7"/>
    </row>
    <row r="3971" spans="2:24">
      <c r="B3971" s="7"/>
      <c r="D3971" s="7"/>
      <c r="F3971" s="7"/>
      <c r="H3971" s="7"/>
      <c r="J3971" s="7"/>
      <c r="L3971" s="7"/>
      <c r="N3971" s="7"/>
      <c r="P3971" s="7"/>
      <c r="R3971" s="7"/>
      <c r="T3971" s="7"/>
      <c r="V3971" s="7"/>
      <c r="X3971" s="7"/>
    </row>
    <row r="3972" spans="2:24">
      <c r="B3972" s="7"/>
      <c r="D3972" s="7"/>
      <c r="F3972" s="7"/>
      <c r="H3972" s="7"/>
      <c r="J3972" s="7"/>
      <c r="L3972" s="7"/>
      <c r="N3972" s="7"/>
      <c r="P3972" s="7"/>
      <c r="R3972" s="7"/>
      <c r="T3972" s="7"/>
      <c r="V3972" s="7"/>
      <c r="X3972" s="7"/>
    </row>
    <row r="3973" spans="2:24">
      <c r="B3973" s="7"/>
      <c r="D3973" s="7"/>
      <c r="F3973" s="7"/>
      <c r="H3973" s="7"/>
      <c r="J3973" s="7"/>
      <c r="L3973" s="7"/>
      <c r="N3973" s="7"/>
      <c r="P3973" s="7"/>
      <c r="R3973" s="7"/>
      <c r="T3973" s="7"/>
      <c r="V3973" s="7"/>
      <c r="X3973" s="7"/>
    </row>
    <row r="3974" spans="2:24">
      <c r="B3974" s="7"/>
      <c r="D3974" s="7"/>
      <c r="F3974" s="7"/>
      <c r="H3974" s="7"/>
      <c r="J3974" s="7"/>
      <c r="L3974" s="7"/>
      <c r="N3974" s="7"/>
      <c r="P3974" s="7"/>
      <c r="R3974" s="7"/>
      <c r="T3974" s="7"/>
      <c r="V3974" s="7"/>
      <c r="X3974" s="7"/>
    </row>
    <row r="3975" spans="2:24">
      <c r="B3975" s="7"/>
      <c r="D3975" s="7"/>
      <c r="F3975" s="7"/>
      <c r="H3975" s="7"/>
      <c r="J3975" s="7"/>
      <c r="L3975" s="7"/>
      <c r="N3975" s="7"/>
      <c r="P3975" s="7"/>
      <c r="R3975" s="7"/>
      <c r="T3975" s="7"/>
      <c r="V3975" s="7"/>
      <c r="X3975" s="7"/>
    </row>
    <row r="3976" spans="2:24">
      <c r="B3976" s="7"/>
      <c r="D3976" s="7"/>
      <c r="F3976" s="7"/>
      <c r="H3976" s="7"/>
      <c r="J3976" s="7"/>
      <c r="L3976" s="7"/>
      <c r="N3976" s="7"/>
      <c r="P3976" s="7"/>
      <c r="R3976" s="7"/>
      <c r="T3976" s="7"/>
      <c r="V3976" s="7"/>
      <c r="X3976" s="7"/>
    </row>
    <row r="3977" spans="2:24">
      <c r="B3977" s="7"/>
      <c r="D3977" s="7"/>
      <c r="F3977" s="7"/>
      <c r="H3977" s="7"/>
      <c r="J3977" s="7"/>
      <c r="L3977" s="7"/>
      <c r="N3977" s="7"/>
      <c r="P3977" s="7"/>
      <c r="R3977" s="7"/>
      <c r="T3977" s="7"/>
      <c r="V3977" s="7"/>
      <c r="X3977" s="7"/>
    </row>
    <row r="3978" spans="2:24">
      <c r="B3978" s="7"/>
      <c r="D3978" s="7"/>
      <c r="F3978" s="7"/>
      <c r="H3978" s="7"/>
      <c r="J3978" s="7"/>
      <c r="L3978" s="7"/>
      <c r="N3978" s="7"/>
      <c r="P3978" s="7"/>
      <c r="R3978" s="7"/>
      <c r="T3978" s="7"/>
      <c r="V3978" s="7"/>
      <c r="X3978" s="7"/>
    </row>
    <row r="3979" spans="2:24">
      <c r="B3979" s="7"/>
      <c r="D3979" s="7"/>
      <c r="F3979" s="7"/>
      <c r="H3979" s="7"/>
      <c r="J3979" s="7"/>
      <c r="L3979" s="7"/>
      <c r="N3979" s="7"/>
      <c r="P3979" s="7"/>
      <c r="R3979" s="7"/>
      <c r="T3979" s="7"/>
      <c r="V3979" s="7"/>
      <c r="X3979" s="7"/>
    </row>
    <row r="3980" spans="2:24">
      <c r="B3980" s="7"/>
      <c r="D3980" s="7"/>
      <c r="F3980" s="7"/>
      <c r="H3980" s="7"/>
      <c r="J3980" s="7"/>
      <c r="L3980" s="7"/>
      <c r="N3980" s="7"/>
      <c r="P3980" s="7"/>
      <c r="R3980" s="7"/>
      <c r="T3980" s="7"/>
      <c r="V3980" s="7"/>
      <c r="X3980" s="7"/>
    </row>
    <row r="3981" spans="2:24">
      <c r="B3981" s="7"/>
      <c r="D3981" s="7"/>
      <c r="F3981" s="7"/>
      <c r="H3981" s="7"/>
      <c r="J3981" s="7"/>
      <c r="L3981" s="7"/>
      <c r="N3981" s="7"/>
      <c r="P3981" s="7"/>
      <c r="R3981" s="7"/>
      <c r="T3981" s="7"/>
      <c r="V3981" s="7"/>
      <c r="X3981" s="7"/>
    </row>
    <row r="3982" spans="2:24">
      <c r="B3982" s="7"/>
      <c r="D3982" s="7"/>
      <c r="F3982" s="7"/>
      <c r="H3982" s="7"/>
      <c r="J3982" s="7"/>
      <c r="L3982" s="7"/>
      <c r="N3982" s="7"/>
      <c r="P3982" s="7"/>
      <c r="R3982" s="7"/>
      <c r="T3982" s="7"/>
      <c r="V3982" s="7"/>
      <c r="X3982" s="7"/>
    </row>
    <row r="3983" spans="2:24">
      <c r="B3983" s="7"/>
      <c r="D3983" s="7"/>
      <c r="F3983" s="7"/>
      <c r="H3983" s="7"/>
      <c r="J3983" s="7"/>
      <c r="L3983" s="7"/>
      <c r="N3983" s="7"/>
      <c r="P3983" s="7"/>
      <c r="R3983" s="7"/>
      <c r="T3983" s="7"/>
      <c r="V3983" s="7"/>
      <c r="X3983" s="7"/>
    </row>
    <row r="3984" spans="2:24">
      <c r="B3984" s="7"/>
      <c r="D3984" s="7"/>
      <c r="F3984" s="7"/>
      <c r="H3984" s="7"/>
      <c r="J3984" s="7"/>
      <c r="L3984" s="7"/>
      <c r="N3984" s="7"/>
      <c r="P3984" s="7"/>
      <c r="R3984" s="7"/>
      <c r="T3984" s="7"/>
      <c r="V3984" s="7"/>
      <c r="X3984" s="7"/>
    </row>
    <row r="3985" spans="2:24">
      <c r="B3985" s="7"/>
      <c r="D3985" s="7"/>
      <c r="F3985" s="7"/>
      <c r="H3985" s="7"/>
      <c r="J3985" s="7"/>
      <c r="L3985" s="7"/>
      <c r="N3985" s="7"/>
      <c r="P3985" s="7"/>
      <c r="R3985" s="7"/>
      <c r="T3985" s="7"/>
      <c r="V3985" s="7"/>
      <c r="X3985" s="7"/>
    </row>
    <row r="3986" spans="2:24">
      <c r="B3986" s="7"/>
      <c r="D3986" s="7"/>
      <c r="F3986" s="7"/>
      <c r="H3986" s="7"/>
      <c r="J3986" s="7"/>
      <c r="L3986" s="7"/>
      <c r="N3986" s="7"/>
      <c r="P3986" s="7"/>
      <c r="R3986" s="7"/>
      <c r="T3986" s="7"/>
      <c r="V3986" s="7"/>
      <c r="X3986" s="7"/>
    </row>
    <row r="3987" spans="2:24">
      <c r="B3987" s="7"/>
      <c r="D3987" s="7"/>
      <c r="F3987" s="7"/>
      <c r="H3987" s="7"/>
      <c r="J3987" s="7"/>
      <c r="L3987" s="7"/>
      <c r="N3987" s="7"/>
      <c r="P3987" s="7"/>
      <c r="R3987" s="7"/>
      <c r="T3987" s="7"/>
      <c r="V3987" s="7"/>
      <c r="X3987" s="7"/>
    </row>
    <row r="3988" spans="2:24">
      <c r="B3988" s="7"/>
      <c r="D3988" s="7"/>
      <c r="F3988" s="7"/>
      <c r="H3988" s="7"/>
      <c r="J3988" s="7"/>
      <c r="L3988" s="7"/>
      <c r="N3988" s="7"/>
      <c r="P3988" s="7"/>
      <c r="R3988" s="7"/>
      <c r="T3988" s="7"/>
      <c r="V3988" s="7"/>
      <c r="X3988" s="7"/>
    </row>
    <row r="3989" spans="2:24">
      <c r="B3989" s="7"/>
      <c r="D3989" s="7"/>
      <c r="F3989" s="7"/>
      <c r="H3989" s="7"/>
      <c r="J3989" s="7"/>
      <c r="L3989" s="7"/>
      <c r="N3989" s="7"/>
      <c r="P3989" s="7"/>
      <c r="R3989" s="7"/>
      <c r="T3989" s="7"/>
      <c r="V3989" s="7"/>
      <c r="X3989" s="7"/>
    </row>
    <row r="3990" spans="2:24">
      <c r="B3990" s="7"/>
      <c r="D3990" s="7"/>
      <c r="F3990" s="7"/>
      <c r="H3990" s="7"/>
      <c r="J3990" s="7"/>
      <c r="L3990" s="7"/>
      <c r="N3990" s="7"/>
      <c r="P3990" s="7"/>
      <c r="R3990" s="7"/>
      <c r="T3990" s="7"/>
      <c r="V3990" s="7"/>
      <c r="X3990" s="7"/>
    </row>
    <row r="3991" spans="2:24">
      <c r="B3991" s="7"/>
      <c r="D3991" s="7"/>
      <c r="F3991" s="7"/>
      <c r="H3991" s="7"/>
      <c r="J3991" s="7"/>
      <c r="L3991" s="7"/>
      <c r="N3991" s="7"/>
      <c r="P3991" s="7"/>
      <c r="R3991" s="7"/>
      <c r="T3991" s="7"/>
      <c r="V3991" s="7"/>
      <c r="X3991" s="7"/>
    </row>
    <row r="3992" spans="2:24">
      <c r="B3992" s="7"/>
      <c r="D3992" s="7"/>
      <c r="F3992" s="7"/>
      <c r="H3992" s="7"/>
      <c r="J3992" s="7"/>
      <c r="L3992" s="7"/>
      <c r="N3992" s="7"/>
      <c r="P3992" s="7"/>
      <c r="R3992" s="7"/>
      <c r="T3992" s="7"/>
      <c r="V3992" s="7"/>
      <c r="X3992" s="7"/>
    </row>
    <row r="3993" spans="2:24">
      <c r="B3993" s="7"/>
      <c r="D3993" s="7"/>
      <c r="F3993" s="7"/>
      <c r="H3993" s="7"/>
      <c r="J3993" s="7"/>
      <c r="L3993" s="7"/>
      <c r="N3993" s="7"/>
      <c r="P3993" s="7"/>
      <c r="R3993" s="7"/>
      <c r="T3993" s="7"/>
      <c r="V3993" s="7"/>
      <c r="X3993" s="7"/>
    </row>
    <row r="3994" spans="2:24">
      <c r="B3994" s="7"/>
      <c r="D3994" s="7"/>
      <c r="F3994" s="7"/>
      <c r="H3994" s="7"/>
      <c r="J3994" s="7"/>
      <c r="L3994" s="7"/>
      <c r="N3994" s="7"/>
      <c r="P3994" s="7"/>
      <c r="R3994" s="7"/>
      <c r="T3994" s="7"/>
      <c r="V3994" s="7"/>
      <c r="X3994" s="7"/>
    </row>
    <row r="3995" spans="2:24">
      <c r="B3995" s="7"/>
      <c r="D3995" s="7"/>
      <c r="F3995" s="7"/>
      <c r="H3995" s="7"/>
      <c r="J3995" s="7"/>
      <c r="L3995" s="7"/>
      <c r="N3995" s="7"/>
      <c r="P3995" s="7"/>
      <c r="R3995" s="7"/>
      <c r="T3995" s="7"/>
      <c r="V3995" s="7"/>
      <c r="X3995" s="7"/>
    </row>
    <row r="3996" spans="2:24">
      <c r="B3996" s="7"/>
      <c r="D3996" s="7"/>
      <c r="F3996" s="7"/>
      <c r="H3996" s="7"/>
      <c r="J3996" s="7"/>
      <c r="L3996" s="7"/>
      <c r="N3996" s="7"/>
      <c r="P3996" s="7"/>
      <c r="R3996" s="7"/>
      <c r="T3996" s="7"/>
      <c r="V3996" s="7"/>
      <c r="X3996" s="7"/>
    </row>
    <row r="3997" spans="2:24">
      <c r="B3997" s="7"/>
      <c r="D3997" s="7"/>
      <c r="F3997" s="7"/>
      <c r="H3997" s="7"/>
      <c r="J3997" s="7"/>
      <c r="L3997" s="7"/>
      <c r="N3997" s="7"/>
      <c r="P3997" s="7"/>
      <c r="R3997" s="7"/>
      <c r="T3997" s="7"/>
      <c r="V3997" s="7"/>
      <c r="X3997" s="7"/>
    </row>
    <row r="3998" spans="2:24">
      <c r="B3998" s="7"/>
      <c r="D3998" s="7"/>
      <c r="F3998" s="7"/>
      <c r="H3998" s="7"/>
      <c r="J3998" s="7"/>
      <c r="L3998" s="7"/>
      <c r="N3998" s="7"/>
      <c r="P3998" s="7"/>
      <c r="R3998" s="7"/>
      <c r="T3998" s="7"/>
      <c r="V3998" s="7"/>
      <c r="X3998" s="7"/>
    </row>
    <row r="3999" spans="2:24">
      <c r="B3999" s="7"/>
      <c r="D3999" s="7"/>
      <c r="F3999" s="7"/>
      <c r="H3999" s="7"/>
      <c r="J3999" s="7"/>
      <c r="L3999" s="7"/>
      <c r="N3999" s="7"/>
      <c r="P3999" s="7"/>
      <c r="R3999" s="7"/>
      <c r="T3999" s="7"/>
      <c r="V3999" s="7"/>
      <c r="X3999" s="7"/>
    </row>
    <row r="4000" spans="2:24">
      <c r="B4000" s="7"/>
      <c r="D4000" s="7"/>
      <c r="F4000" s="7"/>
      <c r="H4000" s="7"/>
      <c r="J4000" s="7"/>
      <c r="L4000" s="7"/>
      <c r="N4000" s="7"/>
      <c r="P4000" s="7"/>
      <c r="R4000" s="7"/>
      <c r="T4000" s="7"/>
      <c r="V4000" s="7"/>
      <c r="X4000" s="7"/>
    </row>
    <row r="4001" spans="2:24">
      <c r="B4001" s="7"/>
      <c r="D4001" s="7"/>
      <c r="F4001" s="7"/>
      <c r="H4001" s="7"/>
      <c r="J4001" s="7"/>
      <c r="L4001" s="7"/>
      <c r="N4001" s="7"/>
      <c r="P4001" s="7"/>
      <c r="R4001" s="7"/>
      <c r="T4001" s="7"/>
      <c r="V4001" s="7"/>
      <c r="X4001" s="7"/>
    </row>
    <row r="4002" spans="2:24">
      <c r="B4002" s="7"/>
      <c r="D4002" s="7"/>
      <c r="F4002" s="7"/>
      <c r="H4002" s="7"/>
      <c r="J4002" s="7"/>
      <c r="L4002" s="7"/>
      <c r="N4002" s="7"/>
      <c r="P4002" s="7"/>
      <c r="R4002" s="7"/>
      <c r="T4002" s="7"/>
      <c r="V4002" s="7"/>
      <c r="X4002" s="7"/>
    </row>
    <row r="4003" spans="2:24">
      <c r="B4003" s="7"/>
      <c r="D4003" s="7"/>
      <c r="F4003" s="7"/>
      <c r="H4003" s="7"/>
      <c r="J4003" s="7"/>
      <c r="L4003" s="7"/>
      <c r="N4003" s="7"/>
      <c r="P4003" s="7"/>
      <c r="R4003" s="7"/>
      <c r="T4003" s="7"/>
      <c r="V4003" s="7"/>
      <c r="X4003" s="7"/>
    </row>
    <row r="4004" spans="2:24">
      <c r="B4004" s="7"/>
      <c r="D4004" s="7"/>
      <c r="F4004" s="7"/>
      <c r="H4004" s="7"/>
      <c r="J4004" s="7"/>
      <c r="L4004" s="7"/>
      <c r="N4004" s="7"/>
      <c r="P4004" s="7"/>
      <c r="R4004" s="7"/>
      <c r="T4004" s="7"/>
      <c r="V4004" s="7"/>
      <c r="X4004" s="7"/>
    </row>
    <row r="4005" spans="2:24">
      <c r="B4005" s="7"/>
      <c r="D4005" s="7"/>
      <c r="F4005" s="7"/>
      <c r="H4005" s="7"/>
      <c r="J4005" s="7"/>
      <c r="L4005" s="7"/>
      <c r="N4005" s="7"/>
      <c r="P4005" s="7"/>
      <c r="R4005" s="7"/>
      <c r="T4005" s="7"/>
      <c r="V4005" s="7"/>
      <c r="X4005" s="7"/>
    </row>
    <row r="4006" spans="2:24">
      <c r="B4006" s="7"/>
      <c r="D4006" s="7"/>
      <c r="F4006" s="7"/>
      <c r="H4006" s="7"/>
      <c r="J4006" s="7"/>
      <c r="L4006" s="7"/>
      <c r="N4006" s="7"/>
      <c r="P4006" s="7"/>
      <c r="R4006" s="7"/>
      <c r="T4006" s="7"/>
      <c r="V4006" s="7"/>
      <c r="X4006" s="7"/>
    </row>
    <row r="4007" spans="2:24">
      <c r="B4007" s="7"/>
      <c r="D4007" s="7"/>
      <c r="F4007" s="7"/>
      <c r="H4007" s="7"/>
      <c r="J4007" s="7"/>
      <c r="L4007" s="7"/>
      <c r="N4007" s="7"/>
      <c r="P4007" s="7"/>
      <c r="R4007" s="7"/>
      <c r="T4007" s="7"/>
      <c r="V4007" s="7"/>
      <c r="X4007" s="7"/>
    </row>
    <row r="4008" spans="2:24">
      <c r="B4008" s="7"/>
      <c r="D4008" s="7"/>
      <c r="F4008" s="7"/>
      <c r="H4008" s="7"/>
      <c r="J4008" s="7"/>
      <c r="L4008" s="7"/>
      <c r="N4008" s="7"/>
      <c r="P4008" s="7"/>
      <c r="R4008" s="7"/>
      <c r="T4008" s="7"/>
      <c r="V4008" s="7"/>
      <c r="X4008" s="7"/>
    </row>
    <row r="4009" spans="2:24">
      <c r="B4009" s="7"/>
      <c r="D4009" s="7"/>
      <c r="F4009" s="7"/>
      <c r="H4009" s="7"/>
      <c r="J4009" s="7"/>
      <c r="L4009" s="7"/>
      <c r="N4009" s="7"/>
      <c r="P4009" s="7"/>
      <c r="R4009" s="7"/>
      <c r="T4009" s="7"/>
      <c r="V4009" s="7"/>
      <c r="X4009" s="7"/>
    </row>
    <row r="4010" spans="2:24">
      <c r="B4010" s="7"/>
      <c r="D4010" s="7"/>
      <c r="F4010" s="7"/>
      <c r="H4010" s="7"/>
      <c r="J4010" s="7"/>
      <c r="L4010" s="7"/>
      <c r="N4010" s="7"/>
      <c r="P4010" s="7"/>
      <c r="R4010" s="7"/>
      <c r="T4010" s="7"/>
      <c r="V4010" s="7"/>
      <c r="X4010" s="7"/>
    </row>
    <row r="4011" spans="2:24">
      <c r="B4011" s="7"/>
      <c r="D4011" s="7"/>
      <c r="F4011" s="7"/>
      <c r="H4011" s="7"/>
      <c r="J4011" s="7"/>
      <c r="L4011" s="7"/>
      <c r="N4011" s="7"/>
      <c r="P4011" s="7"/>
      <c r="R4011" s="7"/>
      <c r="T4011" s="7"/>
      <c r="V4011" s="7"/>
      <c r="X4011" s="7"/>
    </row>
    <row r="4012" spans="2:24">
      <c r="B4012" s="7"/>
      <c r="D4012" s="7"/>
      <c r="F4012" s="7"/>
      <c r="H4012" s="7"/>
      <c r="J4012" s="7"/>
      <c r="L4012" s="7"/>
      <c r="N4012" s="7"/>
      <c r="P4012" s="7"/>
      <c r="R4012" s="7"/>
      <c r="T4012" s="7"/>
      <c r="V4012" s="7"/>
      <c r="X4012" s="7"/>
    </row>
    <row r="4013" spans="2:24">
      <c r="B4013" s="7"/>
      <c r="D4013" s="7"/>
      <c r="F4013" s="7"/>
      <c r="H4013" s="7"/>
      <c r="J4013" s="7"/>
      <c r="L4013" s="7"/>
      <c r="N4013" s="7"/>
      <c r="P4013" s="7"/>
      <c r="R4013" s="7"/>
      <c r="T4013" s="7"/>
      <c r="V4013" s="7"/>
      <c r="X4013" s="7"/>
    </row>
    <row r="4014" spans="2:24">
      <c r="B4014" s="7"/>
      <c r="D4014" s="7"/>
      <c r="F4014" s="7"/>
      <c r="H4014" s="7"/>
      <c r="J4014" s="7"/>
      <c r="L4014" s="7"/>
      <c r="N4014" s="7"/>
      <c r="P4014" s="7"/>
      <c r="R4014" s="7"/>
      <c r="T4014" s="7"/>
      <c r="V4014" s="7"/>
      <c r="X4014" s="7"/>
    </row>
    <row r="4015" spans="2:24">
      <c r="B4015" s="7"/>
      <c r="D4015" s="7"/>
      <c r="F4015" s="7"/>
      <c r="H4015" s="7"/>
      <c r="J4015" s="7"/>
      <c r="L4015" s="7"/>
      <c r="N4015" s="7"/>
      <c r="P4015" s="7"/>
      <c r="R4015" s="7"/>
      <c r="T4015" s="7"/>
      <c r="V4015" s="7"/>
      <c r="X4015" s="7"/>
    </row>
    <row r="4016" spans="2:24">
      <c r="B4016" s="7"/>
      <c r="D4016" s="7"/>
      <c r="F4016" s="7"/>
      <c r="H4016" s="7"/>
      <c r="J4016" s="7"/>
      <c r="L4016" s="7"/>
      <c r="N4016" s="7"/>
      <c r="P4016" s="7"/>
      <c r="R4016" s="7"/>
      <c r="T4016" s="7"/>
      <c r="V4016" s="7"/>
      <c r="X4016" s="7"/>
    </row>
    <row r="4017" spans="2:24">
      <c r="B4017" s="7"/>
      <c r="D4017" s="7"/>
      <c r="F4017" s="7"/>
      <c r="H4017" s="7"/>
      <c r="J4017" s="7"/>
      <c r="L4017" s="7"/>
      <c r="N4017" s="7"/>
      <c r="P4017" s="7"/>
      <c r="R4017" s="7"/>
      <c r="T4017" s="7"/>
      <c r="V4017" s="7"/>
      <c r="X4017" s="7"/>
    </row>
    <row r="4018" spans="2:24">
      <c r="B4018" s="7"/>
      <c r="D4018" s="7"/>
      <c r="F4018" s="7"/>
      <c r="H4018" s="7"/>
      <c r="J4018" s="7"/>
      <c r="L4018" s="7"/>
      <c r="N4018" s="7"/>
      <c r="P4018" s="7"/>
      <c r="R4018" s="7"/>
      <c r="T4018" s="7"/>
      <c r="V4018" s="7"/>
      <c r="X4018" s="7"/>
    </row>
    <row r="4019" spans="2:24">
      <c r="B4019" s="7"/>
      <c r="D4019" s="7"/>
      <c r="F4019" s="7"/>
      <c r="H4019" s="7"/>
      <c r="J4019" s="7"/>
      <c r="L4019" s="7"/>
      <c r="N4019" s="7"/>
      <c r="P4019" s="7"/>
      <c r="R4019" s="7"/>
      <c r="T4019" s="7"/>
      <c r="V4019" s="7"/>
      <c r="X4019" s="7"/>
    </row>
    <row r="4020" spans="2:24">
      <c r="B4020" s="7"/>
      <c r="D4020" s="7"/>
      <c r="F4020" s="7"/>
      <c r="H4020" s="7"/>
      <c r="J4020" s="7"/>
      <c r="L4020" s="7"/>
      <c r="N4020" s="7"/>
      <c r="P4020" s="7"/>
      <c r="R4020" s="7"/>
      <c r="T4020" s="7"/>
      <c r="V4020" s="7"/>
      <c r="X4020" s="7"/>
    </row>
    <row r="4021" spans="2:24">
      <c r="B4021" s="7"/>
      <c r="D4021" s="7"/>
      <c r="F4021" s="7"/>
      <c r="H4021" s="7"/>
      <c r="J4021" s="7"/>
      <c r="L4021" s="7"/>
      <c r="N4021" s="7"/>
      <c r="P4021" s="7"/>
      <c r="R4021" s="7"/>
      <c r="T4021" s="7"/>
      <c r="V4021" s="7"/>
      <c r="X4021" s="7"/>
    </row>
    <row r="4022" spans="2:24">
      <c r="B4022" s="7"/>
      <c r="D4022" s="7"/>
      <c r="F4022" s="7"/>
      <c r="H4022" s="7"/>
      <c r="J4022" s="7"/>
      <c r="L4022" s="7"/>
      <c r="N4022" s="7"/>
      <c r="P4022" s="7"/>
      <c r="R4022" s="7"/>
      <c r="T4022" s="7"/>
      <c r="V4022" s="7"/>
      <c r="X4022" s="7"/>
    </row>
    <row r="4023" spans="2:24">
      <c r="B4023" s="7"/>
      <c r="D4023" s="7"/>
      <c r="F4023" s="7"/>
      <c r="H4023" s="7"/>
      <c r="J4023" s="7"/>
      <c r="L4023" s="7"/>
      <c r="N4023" s="7"/>
      <c r="P4023" s="7"/>
      <c r="R4023" s="7"/>
      <c r="T4023" s="7"/>
      <c r="V4023" s="7"/>
      <c r="X4023" s="7"/>
    </row>
    <row r="4024" spans="2:24">
      <c r="B4024" s="7"/>
      <c r="D4024" s="7"/>
      <c r="F4024" s="7"/>
      <c r="H4024" s="7"/>
      <c r="J4024" s="7"/>
      <c r="L4024" s="7"/>
      <c r="N4024" s="7"/>
      <c r="P4024" s="7"/>
      <c r="R4024" s="7"/>
      <c r="T4024" s="7"/>
      <c r="V4024" s="7"/>
      <c r="X4024" s="7"/>
    </row>
    <row r="4025" spans="2:24">
      <c r="B4025" s="7"/>
      <c r="D4025" s="7"/>
      <c r="F4025" s="7"/>
      <c r="H4025" s="7"/>
      <c r="J4025" s="7"/>
      <c r="L4025" s="7"/>
      <c r="N4025" s="7"/>
      <c r="P4025" s="7"/>
      <c r="R4025" s="7"/>
      <c r="T4025" s="7"/>
      <c r="V4025" s="7"/>
      <c r="X4025" s="7"/>
    </row>
    <row r="4026" spans="2:24">
      <c r="B4026" s="7"/>
      <c r="D4026" s="7"/>
      <c r="F4026" s="7"/>
      <c r="H4026" s="7"/>
      <c r="J4026" s="7"/>
      <c r="L4026" s="7"/>
      <c r="N4026" s="7"/>
      <c r="P4026" s="7"/>
      <c r="R4026" s="7"/>
      <c r="T4026" s="7"/>
      <c r="V4026" s="7"/>
      <c r="X4026" s="7"/>
    </row>
    <row r="4027" spans="2:24">
      <c r="B4027" s="7"/>
      <c r="D4027" s="7"/>
      <c r="F4027" s="7"/>
      <c r="H4027" s="7"/>
      <c r="J4027" s="7"/>
      <c r="L4027" s="7"/>
      <c r="N4027" s="7"/>
      <c r="P4027" s="7"/>
      <c r="R4027" s="7"/>
      <c r="T4027" s="7"/>
      <c r="V4027" s="7"/>
      <c r="X4027" s="7"/>
    </row>
    <row r="4028" spans="2:24">
      <c r="B4028" s="7"/>
      <c r="D4028" s="7"/>
      <c r="F4028" s="7"/>
      <c r="H4028" s="7"/>
      <c r="J4028" s="7"/>
      <c r="L4028" s="7"/>
      <c r="N4028" s="7"/>
      <c r="P4028" s="7"/>
      <c r="R4028" s="7"/>
      <c r="T4028" s="7"/>
      <c r="V4028" s="7"/>
      <c r="X4028" s="7"/>
    </row>
    <row r="4029" spans="2:24">
      <c r="B4029" s="7"/>
      <c r="D4029" s="7"/>
      <c r="F4029" s="7"/>
      <c r="H4029" s="7"/>
      <c r="J4029" s="7"/>
      <c r="L4029" s="7"/>
      <c r="N4029" s="7"/>
      <c r="P4029" s="7"/>
      <c r="R4029" s="7"/>
      <c r="T4029" s="7"/>
      <c r="V4029" s="7"/>
      <c r="X4029" s="7"/>
    </row>
    <row r="4030" spans="2:24">
      <c r="B4030" s="7"/>
      <c r="D4030" s="7"/>
      <c r="F4030" s="7"/>
      <c r="H4030" s="7"/>
      <c r="J4030" s="7"/>
      <c r="L4030" s="7"/>
      <c r="N4030" s="7"/>
      <c r="P4030" s="7"/>
      <c r="R4030" s="7"/>
      <c r="T4030" s="7"/>
      <c r="V4030" s="7"/>
      <c r="X4030" s="7"/>
    </row>
    <row r="4031" spans="2:24">
      <c r="B4031" s="7"/>
      <c r="D4031" s="7"/>
      <c r="F4031" s="7"/>
      <c r="H4031" s="7"/>
      <c r="J4031" s="7"/>
      <c r="L4031" s="7"/>
      <c r="N4031" s="7"/>
      <c r="P4031" s="7"/>
      <c r="R4031" s="7"/>
      <c r="T4031" s="7"/>
      <c r="V4031" s="7"/>
      <c r="X4031" s="7"/>
    </row>
    <row r="4032" spans="2:24">
      <c r="B4032" s="7"/>
      <c r="D4032" s="7"/>
      <c r="F4032" s="7"/>
      <c r="H4032" s="7"/>
      <c r="J4032" s="7"/>
      <c r="L4032" s="7"/>
      <c r="N4032" s="7"/>
      <c r="P4032" s="7"/>
      <c r="R4032" s="7"/>
      <c r="T4032" s="7"/>
      <c r="V4032" s="7"/>
      <c r="X4032" s="7"/>
    </row>
    <row r="4033" spans="2:24">
      <c r="B4033" s="7"/>
      <c r="D4033" s="7"/>
      <c r="F4033" s="7"/>
      <c r="H4033" s="7"/>
      <c r="J4033" s="7"/>
      <c r="L4033" s="7"/>
      <c r="N4033" s="7"/>
      <c r="P4033" s="7"/>
      <c r="R4033" s="7"/>
      <c r="T4033" s="7"/>
      <c r="V4033" s="7"/>
      <c r="X4033" s="7"/>
    </row>
    <row r="4034" spans="2:24">
      <c r="B4034" s="7"/>
      <c r="D4034" s="7"/>
      <c r="F4034" s="7"/>
      <c r="H4034" s="7"/>
      <c r="J4034" s="7"/>
      <c r="L4034" s="7"/>
      <c r="N4034" s="7"/>
      <c r="P4034" s="7"/>
      <c r="R4034" s="7"/>
      <c r="T4034" s="7"/>
      <c r="V4034" s="7"/>
      <c r="X4034" s="7"/>
    </row>
    <row r="4035" spans="2:24">
      <c r="B4035" s="7"/>
      <c r="D4035" s="7"/>
      <c r="F4035" s="7"/>
      <c r="H4035" s="7"/>
      <c r="J4035" s="7"/>
      <c r="L4035" s="7"/>
      <c r="N4035" s="7"/>
      <c r="P4035" s="7"/>
      <c r="R4035" s="7"/>
      <c r="T4035" s="7"/>
      <c r="V4035" s="7"/>
      <c r="X4035" s="7"/>
    </row>
    <row r="4036" spans="2:24">
      <c r="B4036" s="7"/>
      <c r="D4036" s="7"/>
      <c r="F4036" s="7"/>
      <c r="H4036" s="7"/>
      <c r="J4036" s="7"/>
      <c r="L4036" s="7"/>
      <c r="N4036" s="7"/>
      <c r="P4036" s="7"/>
      <c r="R4036" s="7"/>
      <c r="T4036" s="7"/>
      <c r="V4036" s="7"/>
      <c r="X4036" s="7"/>
    </row>
    <row r="4037" spans="2:24">
      <c r="B4037" s="7"/>
      <c r="D4037" s="7"/>
      <c r="F4037" s="7"/>
      <c r="H4037" s="7"/>
      <c r="J4037" s="7"/>
      <c r="L4037" s="7"/>
      <c r="N4037" s="7"/>
      <c r="P4037" s="7"/>
      <c r="R4037" s="7"/>
      <c r="T4037" s="7"/>
      <c r="V4037" s="7"/>
      <c r="X4037" s="7"/>
    </row>
    <row r="4038" spans="2:24">
      <c r="B4038" s="7"/>
      <c r="D4038" s="7"/>
      <c r="F4038" s="7"/>
      <c r="H4038" s="7"/>
      <c r="J4038" s="7"/>
      <c r="L4038" s="7"/>
      <c r="N4038" s="7"/>
      <c r="P4038" s="7"/>
      <c r="R4038" s="7"/>
      <c r="T4038" s="7"/>
      <c r="V4038" s="7"/>
      <c r="X4038" s="7"/>
    </row>
    <row r="4039" spans="2:24">
      <c r="B4039" s="7"/>
      <c r="D4039" s="7"/>
      <c r="F4039" s="7"/>
      <c r="H4039" s="7"/>
      <c r="J4039" s="7"/>
      <c r="L4039" s="7"/>
      <c r="N4039" s="7"/>
      <c r="P4039" s="7"/>
      <c r="R4039" s="7"/>
      <c r="T4039" s="7"/>
      <c r="V4039" s="7"/>
      <c r="X4039" s="7"/>
    </row>
    <row r="4040" spans="2:24">
      <c r="B4040" s="7"/>
      <c r="D4040" s="7"/>
      <c r="F4040" s="7"/>
      <c r="H4040" s="7"/>
      <c r="J4040" s="7"/>
      <c r="L4040" s="7"/>
      <c r="N4040" s="7"/>
      <c r="P4040" s="7"/>
      <c r="R4040" s="7"/>
      <c r="T4040" s="7"/>
      <c r="V4040" s="7"/>
      <c r="X4040" s="7"/>
    </row>
    <row r="4041" spans="2:24">
      <c r="B4041" s="7"/>
      <c r="D4041" s="7"/>
      <c r="F4041" s="7"/>
      <c r="H4041" s="7"/>
      <c r="J4041" s="7"/>
      <c r="L4041" s="7"/>
      <c r="N4041" s="7"/>
      <c r="P4041" s="7"/>
      <c r="R4041" s="7"/>
      <c r="T4041" s="7"/>
      <c r="V4041" s="7"/>
      <c r="X4041" s="7"/>
    </row>
    <row r="4042" spans="2:24">
      <c r="B4042" s="7"/>
      <c r="D4042" s="7"/>
      <c r="F4042" s="7"/>
      <c r="H4042" s="7"/>
      <c r="J4042" s="7"/>
      <c r="L4042" s="7"/>
      <c r="N4042" s="7"/>
      <c r="P4042" s="7"/>
      <c r="R4042" s="7"/>
      <c r="T4042" s="7"/>
      <c r="V4042" s="7"/>
      <c r="X4042" s="7"/>
    </row>
    <row r="4043" spans="2:24">
      <c r="B4043" s="7"/>
      <c r="D4043" s="7"/>
      <c r="F4043" s="7"/>
      <c r="H4043" s="7"/>
      <c r="J4043" s="7"/>
      <c r="L4043" s="7"/>
      <c r="N4043" s="7"/>
      <c r="P4043" s="7"/>
      <c r="R4043" s="7"/>
      <c r="T4043" s="7"/>
      <c r="V4043" s="7"/>
      <c r="X4043" s="7"/>
    </row>
    <row r="4044" spans="2:24">
      <c r="B4044" s="7"/>
      <c r="D4044" s="7"/>
      <c r="F4044" s="7"/>
      <c r="H4044" s="7"/>
      <c r="J4044" s="7"/>
      <c r="L4044" s="7"/>
      <c r="N4044" s="7"/>
      <c r="P4044" s="7"/>
      <c r="R4044" s="7"/>
      <c r="T4044" s="7"/>
      <c r="V4044" s="7"/>
      <c r="X4044" s="7"/>
    </row>
    <row r="4045" spans="2:24">
      <c r="B4045" s="7"/>
      <c r="D4045" s="7"/>
      <c r="F4045" s="7"/>
      <c r="H4045" s="7"/>
      <c r="J4045" s="7"/>
      <c r="L4045" s="7"/>
      <c r="N4045" s="7"/>
      <c r="P4045" s="7"/>
      <c r="R4045" s="7"/>
      <c r="T4045" s="7"/>
      <c r="V4045" s="7"/>
      <c r="X4045" s="7"/>
    </row>
    <row r="4046" spans="2:24">
      <c r="B4046" s="7"/>
      <c r="D4046" s="7"/>
      <c r="F4046" s="7"/>
      <c r="H4046" s="7"/>
      <c r="J4046" s="7"/>
      <c r="L4046" s="7"/>
      <c r="N4046" s="7"/>
      <c r="P4046" s="7"/>
      <c r="R4046" s="7"/>
      <c r="T4046" s="7"/>
      <c r="V4046" s="7"/>
      <c r="X4046" s="7"/>
    </row>
    <row r="4047" spans="2:24">
      <c r="B4047" s="7"/>
      <c r="D4047" s="7"/>
      <c r="F4047" s="7"/>
      <c r="H4047" s="7"/>
      <c r="J4047" s="7"/>
      <c r="L4047" s="7"/>
      <c r="N4047" s="7"/>
      <c r="P4047" s="7"/>
      <c r="R4047" s="7"/>
      <c r="T4047" s="7"/>
      <c r="V4047" s="7"/>
      <c r="X4047" s="7"/>
    </row>
    <row r="4048" spans="2:24">
      <c r="B4048" s="7"/>
      <c r="D4048" s="7"/>
      <c r="F4048" s="7"/>
      <c r="H4048" s="7"/>
      <c r="J4048" s="7"/>
      <c r="L4048" s="7"/>
      <c r="N4048" s="7"/>
      <c r="P4048" s="7"/>
      <c r="R4048" s="7"/>
      <c r="T4048" s="7"/>
      <c r="V4048" s="7"/>
      <c r="X4048" s="7"/>
    </row>
    <row r="4049" spans="2:24">
      <c r="B4049" s="7"/>
      <c r="D4049" s="7"/>
      <c r="F4049" s="7"/>
      <c r="H4049" s="7"/>
      <c r="J4049" s="7"/>
      <c r="L4049" s="7"/>
      <c r="N4049" s="7"/>
      <c r="P4049" s="7"/>
      <c r="R4049" s="7"/>
      <c r="T4049" s="7"/>
      <c r="V4049" s="7"/>
      <c r="X4049" s="7"/>
    </row>
    <row r="4050" spans="2:24">
      <c r="B4050" s="7"/>
      <c r="D4050" s="7"/>
      <c r="F4050" s="7"/>
      <c r="H4050" s="7"/>
      <c r="J4050" s="7"/>
      <c r="L4050" s="7"/>
      <c r="N4050" s="7"/>
      <c r="P4050" s="7"/>
      <c r="R4050" s="7"/>
      <c r="T4050" s="7"/>
      <c r="V4050" s="7"/>
      <c r="X4050" s="7"/>
    </row>
    <row r="4051" spans="2:24">
      <c r="B4051" s="7"/>
      <c r="D4051" s="7"/>
      <c r="F4051" s="7"/>
      <c r="H4051" s="7"/>
      <c r="J4051" s="7"/>
      <c r="L4051" s="7"/>
      <c r="N4051" s="7"/>
      <c r="P4051" s="7"/>
      <c r="R4051" s="7"/>
      <c r="T4051" s="7"/>
      <c r="V4051" s="7"/>
      <c r="X4051" s="7"/>
    </row>
    <row r="4052" spans="2:24">
      <c r="B4052" s="7"/>
      <c r="D4052" s="7"/>
      <c r="F4052" s="7"/>
      <c r="H4052" s="7"/>
      <c r="J4052" s="7"/>
      <c r="L4052" s="7"/>
      <c r="N4052" s="7"/>
      <c r="P4052" s="7"/>
      <c r="R4052" s="7"/>
      <c r="T4052" s="7"/>
      <c r="V4052" s="7"/>
      <c r="X4052" s="7"/>
    </row>
    <row r="4053" spans="2:24">
      <c r="B4053" s="7"/>
      <c r="D4053" s="7"/>
      <c r="F4053" s="7"/>
      <c r="H4053" s="7"/>
      <c r="J4053" s="7"/>
      <c r="L4053" s="7"/>
      <c r="N4053" s="7"/>
      <c r="P4053" s="7"/>
      <c r="R4053" s="7"/>
      <c r="T4053" s="7"/>
      <c r="V4053" s="7"/>
      <c r="X4053" s="7"/>
    </row>
    <row r="4054" spans="2:24">
      <c r="B4054" s="7"/>
      <c r="D4054" s="7"/>
      <c r="F4054" s="7"/>
      <c r="H4054" s="7"/>
      <c r="J4054" s="7"/>
      <c r="L4054" s="7"/>
      <c r="N4054" s="7"/>
      <c r="P4054" s="7"/>
      <c r="R4054" s="7"/>
      <c r="T4054" s="7"/>
      <c r="V4054" s="7"/>
      <c r="X4054" s="7"/>
    </row>
    <row r="4055" spans="2:24">
      <c r="B4055" s="7"/>
      <c r="D4055" s="7"/>
      <c r="F4055" s="7"/>
      <c r="H4055" s="7"/>
      <c r="J4055" s="7"/>
      <c r="L4055" s="7"/>
      <c r="N4055" s="7"/>
      <c r="P4055" s="7"/>
      <c r="R4055" s="7"/>
      <c r="T4055" s="7"/>
      <c r="V4055" s="7"/>
      <c r="X4055" s="7"/>
    </row>
    <row r="4056" spans="2:24">
      <c r="B4056" s="7"/>
      <c r="D4056" s="7"/>
      <c r="F4056" s="7"/>
      <c r="H4056" s="7"/>
      <c r="J4056" s="7"/>
      <c r="L4056" s="7"/>
      <c r="N4056" s="7"/>
      <c r="P4056" s="7"/>
      <c r="R4056" s="7"/>
      <c r="T4056" s="7"/>
      <c r="V4056" s="7"/>
      <c r="X4056" s="7"/>
    </row>
    <row r="4057" spans="2:24">
      <c r="B4057" s="7"/>
      <c r="D4057" s="7"/>
      <c r="F4057" s="7"/>
      <c r="H4057" s="7"/>
      <c r="J4057" s="7"/>
      <c r="L4057" s="7"/>
      <c r="N4057" s="7"/>
      <c r="P4057" s="7"/>
      <c r="R4057" s="7"/>
      <c r="T4057" s="7"/>
      <c r="V4057" s="7"/>
      <c r="X4057" s="7"/>
    </row>
    <row r="4058" spans="2:24">
      <c r="B4058" s="7"/>
      <c r="D4058" s="7"/>
      <c r="F4058" s="7"/>
      <c r="H4058" s="7"/>
      <c r="J4058" s="7"/>
      <c r="L4058" s="7"/>
      <c r="N4058" s="7"/>
      <c r="P4058" s="7"/>
      <c r="R4058" s="7"/>
      <c r="T4058" s="7"/>
      <c r="V4058" s="7"/>
      <c r="X4058" s="7"/>
    </row>
    <row r="4059" spans="2:24">
      <c r="B4059" s="7"/>
      <c r="D4059" s="7"/>
      <c r="F4059" s="7"/>
      <c r="H4059" s="7"/>
      <c r="J4059" s="7"/>
      <c r="L4059" s="7"/>
      <c r="N4059" s="7"/>
      <c r="P4059" s="7"/>
      <c r="R4059" s="7"/>
      <c r="T4059" s="7"/>
      <c r="V4059" s="7"/>
      <c r="X4059" s="7"/>
    </row>
    <row r="4060" spans="2:24">
      <c r="B4060" s="7"/>
      <c r="D4060" s="7"/>
      <c r="F4060" s="7"/>
      <c r="H4060" s="7"/>
      <c r="J4060" s="7"/>
      <c r="L4060" s="7"/>
      <c r="N4060" s="7"/>
      <c r="P4060" s="7"/>
      <c r="R4060" s="7"/>
      <c r="T4060" s="7"/>
      <c r="V4060" s="7"/>
      <c r="X4060" s="7"/>
    </row>
    <row r="4061" spans="2:24">
      <c r="B4061" s="7"/>
      <c r="D4061" s="7"/>
      <c r="F4061" s="7"/>
      <c r="H4061" s="7"/>
      <c r="J4061" s="7"/>
      <c r="L4061" s="7"/>
      <c r="N4061" s="7"/>
      <c r="P4061" s="7"/>
      <c r="R4061" s="7"/>
      <c r="T4061" s="7"/>
      <c r="V4061" s="7"/>
      <c r="X4061" s="7"/>
    </row>
    <row r="4062" spans="2:24">
      <c r="B4062" s="7"/>
      <c r="D4062" s="7"/>
      <c r="F4062" s="7"/>
      <c r="H4062" s="7"/>
      <c r="J4062" s="7"/>
      <c r="L4062" s="7"/>
      <c r="N4062" s="7"/>
      <c r="P4062" s="7"/>
      <c r="R4062" s="7"/>
      <c r="T4062" s="7"/>
      <c r="V4062" s="7"/>
      <c r="X4062" s="7"/>
    </row>
    <row r="4063" spans="2:24">
      <c r="B4063" s="7"/>
      <c r="D4063" s="7"/>
      <c r="F4063" s="7"/>
      <c r="H4063" s="7"/>
      <c r="J4063" s="7"/>
      <c r="L4063" s="7"/>
      <c r="N4063" s="7"/>
      <c r="P4063" s="7"/>
      <c r="R4063" s="7"/>
      <c r="T4063" s="7"/>
      <c r="V4063" s="7"/>
      <c r="X4063" s="7"/>
    </row>
    <row r="4064" spans="2:24">
      <c r="B4064" s="7"/>
      <c r="D4064" s="7"/>
      <c r="F4064" s="7"/>
      <c r="H4064" s="7"/>
      <c r="J4064" s="7"/>
      <c r="L4064" s="7"/>
      <c r="N4064" s="7"/>
      <c r="P4064" s="7"/>
      <c r="R4064" s="7"/>
      <c r="T4064" s="7"/>
      <c r="V4064" s="7"/>
      <c r="X4064" s="7"/>
    </row>
    <row r="4065" spans="2:24">
      <c r="B4065" s="7"/>
      <c r="D4065" s="7"/>
      <c r="F4065" s="7"/>
      <c r="H4065" s="7"/>
      <c r="J4065" s="7"/>
      <c r="L4065" s="7"/>
      <c r="N4065" s="7"/>
      <c r="P4065" s="7"/>
      <c r="R4065" s="7"/>
      <c r="T4065" s="7"/>
      <c r="V4065" s="7"/>
      <c r="X4065" s="7"/>
    </row>
    <row r="4066" spans="2:24">
      <c r="B4066" s="7"/>
      <c r="D4066" s="7"/>
      <c r="F4066" s="7"/>
      <c r="H4066" s="7"/>
      <c r="J4066" s="7"/>
      <c r="L4066" s="7"/>
      <c r="N4066" s="7"/>
      <c r="P4066" s="7"/>
      <c r="R4066" s="7"/>
      <c r="T4066" s="7"/>
      <c r="V4066" s="7"/>
      <c r="X4066" s="7"/>
    </row>
    <row r="4067" spans="2:24">
      <c r="B4067" s="7"/>
      <c r="D4067" s="7"/>
      <c r="F4067" s="7"/>
      <c r="H4067" s="7"/>
      <c r="J4067" s="7"/>
      <c r="L4067" s="7"/>
      <c r="N4067" s="7"/>
      <c r="P4067" s="7"/>
      <c r="R4067" s="7"/>
      <c r="T4067" s="7"/>
      <c r="V4067" s="7"/>
      <c r="X4067" s="7"/>
    </row>
    <row r="4068" spans="2:24">
      <c r="B4068" s="7"/>
      <c r="D4068" s="7"/>
      <c r="F4068" s="7"/>
      <c r="H4068" s="7"/>
      <c r="J4068" s="7"/>
      <c r="L4068" s="7"/>
      <c r="N4068" s="7"/>
      <c r="P4068" s="7"/>
      <c r="R4068" s="7"/>
      <c r="T4068" s="7"/>
      <c r="V4068" s="7"/>
      <c r="X4068" s="7"/>
    </row>
    <row r="4069" spans="2:24">
      <c r="B4069" s="7"/>
      <c r="D4069" s="7"/>
      <c r="F4069" s="7"/>
      <c r="H4069" s="7"/>
      <c r="J4069" s="7"/>
      <c r="L4069" s="7"/>
      <c r="N4069" s="7"/>
      <c r="P4069" s="7"/>
      <c r="R4069" s="7"/>
      <c r="T4069" s="7"/>
      <c r="V4069" s="7"/>
      <c r="X4069" s="7"/>
    </row>
    <row r="4070" spans="2:24">
      <c r="B4070" s="7"/>
      <c r="D4070" s="7"/>
      <c r="F4070" s="7"/>
      <c r="H4070" s="7"/>
      <c r="J4070" s="7"/>
      <c r="L4070" s="7"/>
      <c r="N4070" s="7"/>
      <c r="P4070" s="7"/>
      <c r="R4070" s="7"/>
      <c r="T4070" s="7"/>
      <c r="V4070" s="7"/>
      <c r="X4070" s="7"/>
    </row>
    <row r="4071" spans="2:24">
      <c r="B4071" s="7"/>
      <c r="D4071" s="7"/>
      <c r="F4071" s="7"/>
      <c r="H4071" s="7"/>
      <c r="J4071" s="7"/>
      <c r="L4071" s="7"/>
      <c r="N4071" s="7"/>
      <c r="P4071" s="7"/>
      <c r="R4071" s="7"/>
      <c r="T4071" s="7"/>
      <c r="V4071" s="7"/>
      <c r="X4071" s="7"/>
    </row>
    <row r="4072" spans="2:24">
      <c r="B4072" s="7"/>
      <c r="D4072" s="7"/>
      <c r="F4072" s="7"/>
      <c r="H4072" s="7"/>
      <c r="J4072" s="7"/>
      <c r="L4072" s="7"/>
      <c r="N4072" s="7"/>
      <c r="P4072" s="7"/>
      <c r="R4072" s="7"/>
      <c r="T4072" s="7"/>
      <c r="V4072" s="7"/>
      <c r="X4072" s="7"/>
    </row>
    <row r="4073" spans="2:24">
      <c r="B4073" s="7"/>
      <c r="D4073" s="7"/>
      <c r="F4073" s="7"/>
      <c r="H4073" s="7"/>
      <c r="J4073" s="7"/>
      <c r="L4073" s="7"/>
      <c r="N4073" s="7"/>
      <c r="P4073" s="7"/>
      <c r="R4073" s="7"/>
      <c r="T4073" s="7"/>
      <c r="V4073" s="7"/>
      <c r="X4073" s="7"/>
    </row>
    <row r="4074" spans="2:24">
      <c r="B4074" s="7"/>
      <c r="D4074" s="7"/>
      <c r="F4074" s="7"/>
      <c r="H4074" s="7"/>
      <c r="J4074" s="7"/>
      <c r="L4074" s="7"/>
      <c r="N4074" s="7"/>
      <c r="P4074" s="7"/>
      <c r="R4074" s="7"/>
      <c r="T4074" s="7"/>
      <c r="V4074" s="7"/>
      <c r="X4074" s="7"/>
    </row>
    <row r="4075" spans="2:24">
      <c r="B4075" s="7"/>
      <c r="D4075" s="7"/>
      <c r="F4075" s="7"/>
      <c r="H4075" s="7"/>
      <c r="J4075" s="7"/>
      <c r="L4075" s="7"/>
      <c r="N4075" s="7"/>
      <c r="P4075" s="7"/>
      <c r="R4075" s="7"/>
      <c r="T4075" s="7"/>
      <c r="V4075" s="7"/>
      <c r="X4075" s="7"/>
    </row>
    <row r="4076" spans="2:24">
      <c r="B4076" s="7"/>
      <c r="D4076" s="7"/>
      <c r="F4076" s="7"/>
      <c r="H4076" s="7"/>
      <c r="J4076" s="7"/>
      <c r="L4076" s="7"/>
      <c r="N4076" s="7"/>
      <c r="P4076" s="7"/>
      <c r="R4076" s="7"/>
      <c r="T4076" s="7"/>
      <c r="V4076" s="7"/>
      <c r="X4076" s="7"/>
    </row>
    <row r="4077" spans="2:24">
      <c r="B4077" s="7"/>
      <c r="D4077" s="7"/>
      <c r="F4077" s="7"/>
      <c r="H4077" s="7"/>
      <c r="J4077" s="7"/>
      <c r="L4077" s="7"/>
      <c r="N4077" s="7"/>
      <c r="P4077" s="7"/>
      <c r="R4077" s="7"/>
      <c r="T4077" s="7"/>
      <c r="V4077" s="7"/>
      <c r="X4077" s="7"/>
    </row>
    <row r="4078" spans="2:24">
      <c r="B4078" s="7"/>
      <c r="D4078" s="7"/>
      <c r="F4078" s="7"/>
      <c r="H4078" s="7"/>
      <c r="J4078" s="7"/>
      <c r="L4078" s="7"/>
      <c r="N4078" s="7"/>
      <c r="P4078" s="7"/>
      <c r="R4078" s="7"/>
      <c r="T4078" s="7"/>
      <c r="V4078" s="7"/>
      <c r="X4078" s="7"/>
    </row>
    <row r="4079" spans="2:24">
      <c r="B4079" s="7"/>
      <c r="D4079" s="7"/>
      <c r="F4079" s="7"/>
      <c r="H4079" s="7"/>
      <c r="J4079" s="7"/>
      <c r="L4079" s="7"/>
      <c r="N4079" s="7"/>
      <c r="P4079" s="7"/>
      <c r="R4079" s="7"/>
      <c r="T4079" s="7"/>
      <c r="V4079" s="7"/>
      <c r="X4079" s="7"/>
    </row>
    <row r="4080" spans="2:24">
      <c r="B4080" s="7"/>
      <c r="D4080" s="7"/>
      <c r="F4080" s="7"/>
      <c r="H4080" s="7"/>
      <c r="J4080" s="7"/>
      <c r="L4080" s="7"/>
      <c r="N4080" s="7"/>
      <c r="P4080" s="7"/>
      <c r="R4080" s="7"/>
      <c r="T4080" s="7"/>
      <c r="V4080" s="7"/>
      <c r="X4080" s="7"/>
    </row>
    <row r="4081" spans="2:24">
      <c r="B4081" s="7"/>
      <c r="D4081" s="7"/>
      <c r="F4081" s="7"/>
      <c r="H4081" s="7"/>
      <c r="J4081" s="7"/>
      <c r="L4081" s="7"/>
      <c r="N4081" s="7"/>
      <c r="P4081" s="7"/>
      <c r="R4081" s="7"/>
      <c r="T4081" s="7"/>
      <c r="V4081" s="7"/>
      <c r="X4081" s="7"/>
    </row>
    <row r="4082" spans="2:24">
      <c r="B4082" s="7"/>
      <c r="D4082" s="7"/>
      <c r="F4082" s="7"/>
      <c r="H4082" s="7"/>
      <c r="J4082" s="7"/>
      <c r="L4082" s="7"/>
      <c r="N4082" s="7"/>
      <c r="P4082" s="7"/>
      <c r="R4082" s="7"/>
      <c r="T4082" s="7"/>
      <c r="V4082" s="7"/>
      <c r="X4082" s="7"/>
    </row>
    <row r="4083" spans="2:24">
      <c r="B4083" s="7"/>
      <c r="D4083" s="7"/>
      <c r="F4083" s="7"/>
      <c r="H4083" s="7"/>
      <c r="J4083" s="7"/>
      <c r="L4083" s="7"/>
      <c r="N4083" s="7"/>
      <c r="P4083" s="7"/>
      <c r="R4083" s="7"/>
      <c r="T4083" s="7"/>
      <c r="V4083" s="7"/>
      <c r="X4083" s="7"/>
    </row>
    <row r="4084" spans="2:24">
      <c r="B4084" s="7"/>
      <c r="D4084" s="7"/>
      <c r="F4084" s="7"/>
      <c r="H4084" s="7"/>
      <c r="J4084" s="7"/>
      <c r="L4084" s="7"/>
      <c r="N4084" s="7"/>
      <c r="P4084" s="7"/>
      <c r="R4084" s="7"/>
      <c r="T4084" s="7"/>
      <c r="V4084" s="7"/>
      <c r="X4084" s="7"/>
    </row>
    <row r="4085" spans="2:24">
      <c r="B4085" s="7"/>
      <c r="D4085" s="7"/>
      <c r="F4085" s="7"/>
      <c r="H4085" s="7"/>
      <c r="J4085" s="7"/>
      <c r="L4085" s="7"/>
      <c r="N4085" s="7"/>
      <c r="P4085" s="7"/>
      <c r="R4085" s="7"/>
      <c r="T4085" s="7"/>
      <c r="V4085" s="7"/>
      <c r="X4085" s="7"/>
    </row>
    <row r="4086" spans="2:24">
      <c r="B4086" s="7"/>
      <c r="D4086" s="7"/>
      <c r="F4086" s="7"/>
      <c r="H4086" s="7"/>
      <c r="J4086" s="7"/>
      <c r="L4086" s="7"/>
      <c r="N4086" s="7"/>
      <c r="P4086" s="7"/>
      <c r="R4086" s="7"/>
      <c r="T4086" s="7"/>
      <c r="V4086" s="7"/>
      <c r="X4086" s="7"/>
    </row>
    <row r="4087" spans="2:24">
      <c r="B4087" s="7"/>
      <c r="D4087" s="7"/>
      <c r="F4087" s="7"/>
      <c r="H4087" s="7"/>
      <c r="J4087" s="7"/>
      <c r="L4087" s="7"/>
      <c r="N4087" s="7"/>
      <c r="P4087" s="7"/>
      <c r="R4087" s="7"/>
      <c r="T4087" s="7"/>
      <c r="V4087" s="7"/>
      <c r="X4087" s="7"/>
    </row>
    <row r="4088" spans="2:24">
      <c r="B4088" s="7"/>
      <c r="D4088" s="7"/>
      <c r="F4088" s="7"/>
      <c r="H4088" s="7"/>
      <c r="J4088" s="7"/>
      <c r="L4088" s="7"/>
      <c r="N4088" s="7"/>
      <c r="P4088" s="7"/>
      <c r="R4088" s="7"/>
      <c r="T4088" s="7"/>
      <c r="V4088" s="7"/>
      <c r="X4088" s="7"/>
    </row>
    <row r="4089" spans="2:24">
      <c r="B4089" s="7"/>
      <c r="D4089" s="7"/>
      <c r="F4089" s="7"/>
      <c r="H4089" s="7"/>
      <c r="J4089" s="7"/>
      <c r="L4089" s="7"/>
      <c r="N4089" s="7"/>
      <c r="P4089" s="7"/>
      <c r="R4089" s="7"/>
      <c r="T4089" s="7"/>
      <c r="V4089" s="7"/>
      <c r="X4089" s="7"/>
    </row>
    <row r="4090" spans="2:24">
      <c r="B4090" s="7"/>
      <c r="D4090" s="7"/>
      <c r="F4090" s="7"/>
      <c r="H4090" s="7"/>
      <c r="J4090" s="7"/>
      <c r="L4090" s="7"/>
      <c r="N4090" s="7"/>
      <c r="P4090" s="7"/>
      <c r="R4090" s="7"/>
      <c r="T4090" s="7"/>
      <c r="V4090" s="7"/>
      <c r="X4090" s="7"/>
    </row>
    <row r="4091" spans="2:24">
      <c r="B4091" s="7"/>
      <c r="D4091" s="7"/>
      <c r="F4091" s="7"/>
      <c r="H4091" s="7"/>
      <c r="J4091" s="7"/>
      <c r="L4091" s="7"/>
      <c r="N4091" s="7"/>
      <c r="P4091" s="7"/>
      <c r="R4091" s="7"/>
      <c r="T4091" s="7"/>
      <c r="V4091" s="7"/>
      <c r="X4091" s="7"/>
    </row>
    <row r="4092" spans="2:24">
      <c r="B4092" s="7"/>
      <c r="D4092" s="7"/>
      <c r="F4092" s="7"/>
      <c r="H4092" s="7"/>
      <c r="J4092" s="7"/>
      <c r="L4092" s="7"/>
      <c r="N4092" s="7"/>
      <c r="P4092" s="7"/>
      <c r="R4092" s="7"/>
      <c r="T4092" s="7"/>
      <c r="V4092" s="7"/>
      <c r="X4092" s="7"/>
    </row>
    <row r="4093" spans="2:24">
      <c r="B4093" s="7"/>
      <c r="D4093" s="7"/>
      <c r="F4093" s="7"/>
      <c r="H4093" s="7"/>
      <c r="J4093" s="7"/>
      <c r="L4093" s="7"/>
      <c r="N4093" s="7"/>
      <c r="P4093" s="7"/>
      <c r="R4093" s="7"/>
      <c r="T4093" s="7"/>
      <c r="V4093" s="7"/>
      <c r="X4093" s="7"/>
    </row>
    <row r="4094" spans="2:24">
      <c r="B4094" s="7"/>
      <c r="D4094" s="7"/>
      <c r="F4094" s="7"/>
      <c r="H4094" s="7"/>
      <c r="J4094" s="7"/>
      <c r="L4094" s="7"/>
      <c r="N4094" s="7"/>
      <c r="P4094" s="7"/>
      <c r="R4094" s="7"/>
      <c r="T4094" s="7"/>
      <c r="V4094" s="7"/>
      <c r="X4094" s="7"/>
    </row>
    <row r="4095" spans="2:24">
      <c r="B4095" s="7"/>
      <c r="D4095" s="7"/>
      <c r="F4095" s="7"/>
      <c r="H4095" s="7"/>
      <c r="J4095" s="7"/>
      <c r="L4095" s="7"/>
      <c r="N4095" s="7"/>
      <c r="P4095" s="7"/>
      <c r="R4095" s="7"/>
      <c r="T4095" s="7"/>
      <c r="V4095" s="7"/>
      <c r="X4095" s="7"/>
    </row>
    <row r="4096" spans="2:24">
      <c r="B4096" s="7"/>
      <c r="D4096" s="7"/>
      <c r="F4096" s="7"/>
      <c r="H4096" s="7"/>
      <c r="J4096" s="7"/>
      <c r="L4096" s="7"/>
      <c r="N4096" s="7"/>
      <c r="P4096" s="7"/>
      <c r="R4096" s="7"/>
      <c r="T4096" s="7"/>
      <c r="V4096" s="7"/>
      <c r="X4096" s="7"/>
    </row>
    <row r="4097" spans="2:24">
      <c r="B4097" s="7"/>
      <c r="D4097" s="7"/>
      <c r="F4097" s="7"/>
      <c r="H4097" s="7"/>
      <c r="J4097" s="7"/>
      <c r="L4097" s="7"/>
      <c r="N4097" s="7"/>
      <c r="P4097" s="7"/>
      <c r="R4097" s="7"/>
      <c r="T4097" s="7"/>
      <c r="V4097" s="7"/>
      <c r="X4097" s="7"/>
    </row>
    <row r="4098" spans="2:24">
      <c r="B4098" s="7"/>
      <c r="D4098" s="7"/>
      <c r="F4098" s="7"/>
      <c r="H4098" s="7"/>
      <c r="J4098" s="7"/>
      <c r="L4098" s="7"/>
      <c r="N4098" s="7"/>
      <c r="P4098" s="7"/>
      <c r="R4098" s="7"/>
      <c r="T4098" s="7"/>
      <c r="V4098" s="7"/>
      <c r="X4098" s="7"/>
    </row>
    <row r="4099" spans="2:24">
      <c r="B4099" s="7"/>
      <c r="D4099" s="7"/>
      <c r="F4099" s="7"/>
      <c r="H4099" s="7"/>
      <c r="J4099" s="7"/>
      <c r="L4099" s="7"/>
      <c r="N4099" s="7"/>
      <c r="P4099" s="7"/>
      <c r="R4099" s="7"/>
      <c r="T4099" s="7"/>
      <c r="V4099" s="7"/>
      <c r="X4099" s="7"/>
    </row>
    <row r="4100" spans="2:24">
      <c r="B4100" s="7"/>
      <c r="D4100" s="7"/>
      <c r="F4100" s="7"/>
      <c r="H4100" s="7"/>
      <c r="J4100" s="7"/>
      <c r="L4100" s="7"/>
      <c r="N4100" s="7"/>
      <c r="P4100" s="7"/>
      <c r="R4100" s="7"/>
      <c r="T4100" s="7"/>
      <c r="V4100" s="7"/>
      <c r="X4100" s="7"/>
    </row>
    <row r="4101" spans="2:24">
      <c r="B4101" s="7"/>
      <c r="D4101" s="7"/>
      <c r="F4101" s="7"/>
      <c r="H4101" s="7"/>
      <c r="J4101" s="7"/>
      <c r="L4101" s="7"/>
      <c r="N4101" s="7"/>
      <c r="P4101" s="7"/>
      <c r="R4101" s="7"/>
      <c r="T4101" s="7"/>
      <c r="V4101" s="7"/>
      <c r="X4101" s="7"/>
    </row>
    <row r="4102" spans="2:24">
      <c r="B4102" s="7"/>
      <c r="D4102" s="7"/>
      <c r="F4102" s="7"/>
      <c r="H4102" s="7"/>
      <c r="J4102" s="7"/>
      <c r="L4102" s="7"/>
      <c r="N4102" s="7"/>
      <c r="P4102" s="7"/>
      <c r="R4102" s="7"/>
      <c r="T4102" s="7"/>
      <c r="V4102" s="7"/>
      <c r="X4102" s="7"/>
    </row>
    <row r="4103" spans="2:24">
      <c r="B4103" s="7"/>
      <c r="D4103" s="7"/>
      <c r="F4103" s="7"/>
      <c r="H4103" s="7"/>
      <c r="J4103" s="7"/>
      <c r="L4103" s="7"/>
      <c r="N4103" s="7"/>
      <c r="P4103" s="7"/>
      <c r="R4103" s="7"/>
      <c r="T4103" s="7"/>
      <c r="V4103" s="7"/>
      <c r="X4103" s="7"/>
    </row>
    <row r="4104" spans="2:24">
      <c r="B4104" s="7"/>
      <c r="D4104" s="7"/>
      <c r="F4104" s="7"/>
      <c r="H4104" s="7"/>
      <c r="J4104" s="7"/>
      <c r="L4104" s="7"/>
      <c r="N4104" s="7"/>
      <c r="P4104" s="7"/>
      <c r="R4104" s="7"/>
      <c r="T4104" s="7"/>
      <c r="V4104" s="7"/>
      <c r="X4104" s="7"/>
    </row>
    <row r="4105" spans="2:24">
      <c r="B4105" s="7"/>
      <c r="D4105" s="7"/>
      <c r="F4105" s="7"/>
      <c r="H4105" s="7"/>
      <c r="J4105" s="7"/>
      <c r="L4105" s="7"/>
      <c r="N4105" s="7"/>
      <c r="P4105" s="7"/>
      <c r="R4105" s="7"/>
      <c r="T4105" s="7"/>
      <c r="V4105" s="7"/>
      <c r="X4105" s="7"/>
    </row>
    <row r="4106" spans="2:24">
      <c r="B4106" s="7"/>
      <c r="D4106" s="7"/>
      <c r="F4106" s="7"/>
      <c r="H4106" s="7"/>
      <c r="J4106" s="7"/>
      <c r="L4106" s="7"/>
      <c r="N4106" s="7"/>
      <c r="P4106" s="7"/>
      <c r="R4106" s="7"/>
      <c r="T4106" s="7"/>
      <c r="V4106" s="7"/>
      <c r="X4106" s="7"/>
    </row>
    <row r="4107" spans="2:24">
      <c r="B4107" s="7"/>
      <c r="D4107" s="7"/>
      <c r="F4107" s="7"/>
      <c r="H4107" s="7"/>
      <c r="J4107" s="7"/>
      <c r="L4107" s="7"/>
      <c r="N4107" s="7"/>
      <c r="P4107" s="7"/>
      <c r="R4107" s="7"/>
      <c r="T4107" s="7"/>
      <c r="V4107" s="7"/>
      <c r="X4107" s="7"/>
    </row>
    <row r="4108" spans="2:24">
      <c r="B4108" s="7"/>
      <c r="D4108" s="7"/>
      <c r="F4108" s="7"/>
      <c r="H4108" s="7"/>
      <c r="J4108" s="7"/>
      <c r="L4108" s="7"/>
      <c r="N4108" s="7"/>
      <c r="P4108" s="7"/>
      <c r="R4108" s="7"/>
      <c r="T4108" s="7"/>
      <c r="V4108" s="7"/>
      <c r="X4108" s="7"/>
    </row>
    <row r="4109" spans="2:24">
      <c r="B4109" s="7"/>
      <c r="D4109" s="7"/>
      <c r="F4109" s="7"/>
      <c r="H4109" s="7"/>
      <c r="J4109" s="7"/>
      <c r="L4109" s="7"/>
      <c r="N4109" s="7"/>
      <c r="P4109" s="7"/>
      <c r="R4109" s="7"/>
      <c r="T4109" s="7"/>
      <c r="V4109" s="7"/>
      <c r="X4109" s="7"/>
    </row>
    <row r="4110" spans="2:24">
      <c r="B4110" s="7"/>
      <c r="D4110" s="7"/>
      <c r="F4110" s="7"/>
      <c r="H4110" s="7"/>
      <c r="J4110" s="7"/>
      <c r="L4110" s="7"/>
      <c r="N4110" s="7"/>
      <c r="P4110" s="7"/>
      <c r="R4110" s="7"/>
      <c r="T4110" s="7"/>
      <c r="V4110" s="7"/>
      <c r="X4110" s="7"/>
    </row>
    <row r="4111" spans="2:24">
      <c r="B4111" s="7"/>
      <c r="D4111" s="7"/>
      <c r="F4111" s="7"/>
      <c r="H4111" s="7"/>
      <c r="J4111" s="7"/>
      <c r="L4111" s="7"/>
      <c r="N4111" s="7"/>
      <c r="P4111" s="7"/>
      <c r="R4111" s="7"/>
      <c r="T4111" s="7"/>
      <c r="V4111" s="7"/>
      <c r="X4111" s="7"/>
    </row>
    <row r="4112" spans="2:24">
      <c r="B4112" s="7"/>
      <c r="D4112" s="7"/>
      <c r="F4112" s="7"/>
      <c r="H4112" s="7"/>
      <c r="J4112" s="7"/>
      <c r="L4112" s="7"/>
      <c r="N4112" s="7"/>
      <c r="P4112" s="7"/>
      <c r="R4112" s="7"/>
      <c r="T4112" s="7"/>
      <c r="V4112" s="7"/>
      <c r="X4112" s="7"/>
    </row>
    <row r="4113" spans="2:24">
      <c r="B4113" s="7"/>
      <c r="D4113" s="7"/>
      <c r="F4113" s="7"/>
      <c r="H4113" s="7"/>
      <c r="J4113" s="7"/>
      <c r="L4113" s="7"/>
      <c r="N4113" s="7"/>
      <c r="P4113" s="7"/>
      <c r="R4113" s="7"/>
      <c r="T4113" s="7"/>
      <c r="V4113" s="7"/>
      <c r="X4113" s="7"/>
    </row>
    <row r="4114" spans="2:24">
      <c r="B4114" s="7"/>
      <c r="D4114" s="7"/>
      <c r="F4114" s="7"/>
      <c r="H4114" s="7"/>
      <c r="J4114" s="7"/>
      <c r="L4114" s="7"/>
      <c r="N4114" s="7"/>
      <c r="P4114" s="7"/>
      <c r="R4114" s="7"/>
      <c r="T4114" s="7"/>
      <c r="V4114" s="7"/>
      <c r="X4114" s="7"/>
    </row>
    <row r="4115" spans="2:24">
      <c r="B4115" s="7"/>
      <c r="D4115" s="7"/>
      <c r="F4115" s="7"/>
      <c r="H4115" s="7"/>
      <c r="J4115" s="7"/>
      <c r="L4115" s="7"/>
      <c r="N4115" s="7"/>
      <c r="P4115" s="7"/>
      <c r="R4115" s="7"/>
      <c r="T4115" s="7"/>
      <c r="V4115" s="7"/>
      <c r="X4115" s="7"/>
    </row>
    <row r="4116" spans="2:24">
      <c r="B4116" s="7"/>
      <c r="D4116" s="7"/>
      <c r="F4116" s="7"/>
      <c r="H4116" s="7"/>
      <c r="J4116" s="7"/>
      <c r="L4116" s="7"/>
      <c r="N4116" s="7"/>
      <c r="P4116" s="7"/>
      <c r="R4116" s="7"/>
      <c r="T4116" s="7"/>
      <c r="V4116" s="7"/>
      <c r="X4116" s="7"/>
    </row>
    <row r="4117" spans="2:24">
      <c r="B4117" s="7"/>
      <c r="D4117" s="7"/>
      <c r="F4117" s="7"/>
      <c r="H4117" s="7"/>
      <c r="J4117" s="7"/>
      <c r="L4117" s="7"/>
      <c r="N4117" s="7"/>
      <c r="P4117" s="7"/>
      <c r="R4117" s="7"/>
      <c r="T4117" s="7"/>
      <c r="V4117" s="7"/>
      <c r="X4117" s="7"/>
    </row>
    <row r="4118" spans="2:24">
      <c r="B4118" s="7"/>
      <c r="D4118" s="7"/>
      <c r="F4118" s="7"/>
      <c r="H4118" s="7"/>
      <c r="J4118" s="7"/>
      <c r="L4118" s="7"/>
      <c r="N4118" s="7"/>
      <c r="P4118" s="7"/>
      <c r="R4118" s="7"/>
      <c r="T4118" s="7"/>
      <c r="V4118" s="7"/>
      <c r="X4118" s="7"/>
    </row>
    <row r="4119" spans="2:24">
      <c r="B4119" s="7"/>
      <c r="D4119" s="7"/>
      <c r="F4119" s="7"/>
      <c r="H4119" s="7"/>
      <c r="J4119" s="7"/>
      <c r="L4119" s="7"/>
      <c r="N4119" s="7"/>
      <c r="P4119" s="7"/>
      <c r="R4119" s="7"/>
      <c r="T4119" s="7"/>
      <c r="V4119" s="7"/>
      <c r="X4119" s="7"/>
    </row>
    <row r="4120" spans="2:24">
      <c r="B4120" s="7"/>
      <c r="D4120" s="7"/>
      <c r="F4120" s="7"/>
      <c r="H4120" s="7"/>
      <c r="J4120" s="7"/>
      <c r="L4120" s="7"/>
      <c r="N4120" s="7"/>
      <c r="P4120" s="7"/>
      <c r="R4120" s="7"/>
      <c r="T4120" s="7"/>
      <c r="V4120" s="7"/>
      <c r="X4120" s="7"/>
    </row>
    <row r="4121" spans="2:24">
      <c r="B4121" s="7"/>
      <c r="D4121" s="7"/>
      <c r="F4121" s="7"/>
      <c r="H4121" s="7"/>
      <c r="J4121" s="7"/>
      <c r="L4121" s="7"/>
      <c r="N4121" s="7"/>
      <c r="P4121" s="7"/>
      <c r="R4121" s="7"/>
      <c r="T4121" s="7"/>
      <c r="V4121" s="7"/>
      <c r="X4121" s="7"/>
    </row>
    <row r="4122" spans="2:24">
      <c r="B4122" s="7"/>
      <c r="D4122" s="7"/>
      <c r="F4122" s="7"/>
      <c r="H4122" s="7"/>
      <c r="J4122" s="7"/>
      <c r="L4122" s="7"/>
      <c r="N4122" s="7"/>
      <c r="P4122" s="7"/>
      <c r="R4122" s="7"/>
      <c r="T4122" s="7"/>
      <c r="V4122" s="7"/>
      <c r="X4122" s="7"/>
    </row>
    <row r="4123" spans="2:24">
      <c r="B4123" s="7"/>
      <c r="D4123" s="7"/>
      <c r="F4123" s="7"/>
      <c r="H4123" s="7"/>
      <c r="J4123" s="7"/>
      <c r="L4123" s="7"/>
      <c r="N4123" s="7"/>
      <c r="P4123" s="7"/>
      <c r="R4123" s="7"/>
      <c r="T4123" s="7"/>
      <c r="V4123" s="7"/>
      <c r="X4123" s="7"/>
    </row>
    <row r="4124" spans="2:24">
      <c r="B4124" s="7"/>
      <c r="D4124" s="7"/>
      <c r="F4124" s="7"/>
      <c r="H4124" s="7"/>
      <c r="J4124" s="7"/>
      <c r="L4124" s="7"/>
      <c r="N4124" s="7"/>
      <c r="P4124" s="7"/>
      <c r="R4124" s="7"/>
      <c r="T4124" s="7"/>
      <c r="V4124" s="7"/>
      <c r="X4124" s="7"/>
    </row>
    <row r="4125" spans="2:24">
      <c r="B4125" s="7"/>
      <c r="D4125" s="7"/>
      <c r="F4125" s="7"/>
      <c r="H4125" s="7"/>
      <c r="J4125" s="7"/>
      <c r="L4125" s="7"/>
      <c r="N4125" s="7"/>
      <c r="P4125" s="7"/>
      <c r="R4125" s="7"/>
      <c r="T4125" s="7"/>
      <c r="V4125" s="7"/>
      <c r="X4125" s="7"/>
    </row>
    <row r="4126" spans="2:24">
      <c r="B4126" s="7"/>
      <c r="D4126" s="7"/>
      <c r="F4126" s="7"/>
      <c r="H4126" s="7"/>
      <c r="J4126" s="7"/>
      <c r="L4126" s="7"/>
      <c r="N4126" s="7"/>
      <c r="P4126" s="7"/>
      <c r="R4126" s="7"/>
      <c r="T4126" s="7"/>
      <c r="V4126" s="7"/>
      <c r="X4126" s="7"/>
    </row>
    <row r="4127" spans="2:24">
      <c r="B4127" s="7"/>
      <c r="D4127" s="7"/>
      <c r="F4127" s="7"/>
      <c r="H4127" s="7"/>
      <c r="J4127" s="7"/>
      <c r="L4127" s="7"/>
      <c r="N4127" s="7"/>
      <c r="P4127" s="7"/>
      <c r="R4127" s="7"/>
      <c r="T4127" s="7"/>
      <c r="V4127" s="7"/>
      <c r="X4127" s="7"/>
    </row>
    <row r="4128" spans="2:24">
      <c r="B4128" s="7"/>
      <c r="D4128" s="7"/>
      <c r="F4128" s="7"/>
      <c r="H4128" s="7"/>
      <c r="J4128" s="7"/>
      <c r="L4128" s="7"/>
      <c r="N4128" s="7"/>
      <c r="P4128" s="7"/>
      <c r="R4128" s="7"/>
      <c r="T4128" s="7"/>
      <c r="V4128" s="7"/>
      <c r="X4128" s="7"/>
    </row>
    <row r="4129" spans="2:24">
      <c r="B4129" s="7"/>
      <c r="D4129" s="7"/>
      <c r="F4129" s="7"/>
      <c r="H4129" s="7"/>
      <c r="J4129" s="7"/>
      <c r="L4129" s="7"/>
      <c r="N4129" s="7"/>
      <c r="P4129" s="7"/>
      <c r="R4129" s="7"/>
      <c r="T4129" s="7"/>
      <c r="V4129" s="7"/>
      <c r="X4129" s="7"/>
    </row>
    <row r="4130" spans="2:24">
      <c r="B4130" s="7"/>
      <c r="D4130" s="7"/>
      <c r="F4130" s="7"/>
      <c r="H4130" s="7"/>
      <c r="J4130" s="7"/>
      <c r="L4130" s="7"/>
      <c r="N4130" s="7"/>
      <c r="P4130" s="7"/>
      <c r="R4130" s="7"/>
      <c r="T4130" s="7"/>
      <c r="V4130" s="7"/>
      <c r="X4130" s="7"/>
    </row>
    <row r="4131" spans="2:24">
      <c r="B4131" s="7"/>
      <c r="D4131" s="7"/>
      <c r="F4131" s="7"/>
      <c r="H4131" s="7"/>
      <c r="J4131" s="7"/>
      <c r="L4131" s="7"/>
      <c r="N4131" s="7"/>
      <c r="P4131" s="7"/>
      <c r="R4131" s="7"/>
      <c r="T4131" s="7"/>
      <c r="V4131" s="7"/>
      <c r="X4131" s="7"/>
    </row>
    <row r="4132" spans="2:24">
      <c r="B4132" s="7"/>
      <c r="D4132" s="7"/>
      <c r="F4132" s="7"/>
      <c r="H4132" s="7"/>
      <c r="J4132" s="7"/>
      <c r="L4132" s="7"/>
      <c r="N4132" s="7"/>
      <c r="P4132" s="7"/>
      <c r="R4132" s="7"/>
      <c r="T4132" s="7"/>
      <c r="V4132" s="7"/>
      <c r="X4132" s="7"/>
    </row>
    <row r="4133" spans="2:24">
      <c r="B4133" s="7"/>
      <c r="D4133" s="7"/>
      <c r="F4133" s="7"/>
      <c r="H4133" s="7"/>
      <c r="J4133" s="7"/>
      <c r="L4133" s="7"/>
      <c r="N4133" s="7"/>
      <c r="P4133" s="7"/>
      <c r="R4133" s="7"/>
      <c r="T4133" s="7"/>
      <c r="V4133" s="7"/>
      <c r="X4133" s="7"/>
    </row>
    <row r="4134" spans="2:24">
      <c r="B4134" s="7"/>
      <c r="D4134" s="7"/>
      <c r="F4134" s="7"/>
      <c r="H4134" s="7"/>
      <c r="J4134" s="7"/>
      <c r="L4134" s="7"/>
      <c r="N4134" s="7"/>
      <c r="P4134" s="7"/>
      <c r="R4134" s="7"/>
      <c r="T4134" s="7"/>
      <c r="V4134" s="7"/>
      <c r="X4134" s="7"/>
    </row>
    <row r="4135" spans="2:24">
      <c r="B4135" s="7"/>
      <c r="D4135" s="7"/>
      <c r="F4135" s="7"/>
      <c r="H4135" s="7"/>
      <c r="J4135" s="7"/>
      <c r="L4135" s="7"/>
      <c r="N4135" s="7"/>
      <c r="P4135" s="7"/>
      <c r="R4135" s="7"/>
      <c r="T4135" s="7"/>
      <c r="V4135" s="7"/>
      <c r="X4135" s="7"/>
    </row>
    <row r="4136" spans="2:24">
      <c r="B4136" s="7"/>
      <c r="D4136" s="7"/>
      <c r="F4136" s="7"/>
      <c r="H4136" s="7"/>
      <c r="J4136" s="7"/>
      <c r="L4136" s="7"/>
      <c r="N4136" s="7"/>
      <c r="P4136" s="7"/>
      <c r="R4136" s="7"/>
      <c r="T4136" s="7"/>
      <c r="V4136" s="7"/>
      <c r="X4136" s="7"/>
    </row>
    <row r="4137" spans="2:24">
      <c r="B4137" s="7"/>
      <c r="D4137" s="7"/>
      <c r="F4137" s="7"/>
      <c r="H4137" s="7"/>
      <c r="J4137" s="7"/>
      <c r="L4137" s="7"/>
      <c r="N4137" s="7"/>
      <c r="P4137" s="7"/>
      <c r="R4137" s="7"/>
      <c r="T4137" s="7"/>
      <c r="V4137" s="7"/>
      <c r="X4137" s="7"/>
    </row>
    <row r="4138" spans="2:24">
      <c r="B4138" s="7"/>
      <c r="D4138" s="7"/>
      <c r="F4138" s="7"/>
      <c r="H4138" s="7"/>
      <c r="J4138" s="7"/>
      <c r="L4138" s="7"/>
      <c r="N4138" s="7"/>
      <c r="P4138" s="7"/>
      <c r="R4138" s="7"/>
      <c r="T4138" s="7"/>
      <c r="V4138" s="7"/>
      <c r="X4138" s="7"/>
    </row>
    <row r="4139" spans="2:24">
      <c r="B4139" s="7"/>
      <c r="D4139" s="7"/>
      <c r="F4139" s="7"/>
      <c r="H4139" s="7"/>
      <c r="J4139" s="7"/>
      <c r="L4139" s="7"/>
      <c r="N4139" s="7"/>
      <c r="P4139" s="7"/>
      <c r="R4139" s="7"/>
      <c r="T4139" s="7"/>
      <c r="V4139" s="7"/>
      <c r="X4139" s="7"/>
    </row>
    <row r="4140" spans="2:24">
      <c r="B4140" s="7"/>
      <c r="D4140" s="7"/>
      <c r="F4140" s="7"/>
      <c r="H4140" s="7"/>
      <c r="J4140" s="7"/>
      <c r="L4140" s="7"/>
      <c r="N4140" s="7"/>
      <c r="P4140" s="7"/>
      <c r="R4140" s="7"/>
      <c r="T4140" s="7"/>
      <c r="V4140" s="7"/>
      <c r="X4140" s="7"/>
    </row>
    <row r="4141" spans="2:24">
      <c r="B4141" s="7"/>
      <c r="D4141" s="7"/>
      <c r="F4141" s="7"/>
      <c r="H4141" s="7"/>
      <c r="J4141" s="7"/>
      <c r="L4141" s="7"/>
      <c r="N4141" s="7"/>
      <c r="P4141" s="7"/>
      <c r="R4141" s="7"/>
      <c r="T4141" s="7"/>
      <c r="V4141" s="7"/>
      <c r="X4141" s="7"/>
    </row>
    <row r="4142" spans="2:24">
      <c r="B4142" s="7"/>
      <c r="D4142" s="7"/>
      <c r="F4142" s="7"/>
      <c r="H4142" s="7"/>
      <c r="J4142" s="7"/>
      <c r="L4142" s="7"/>
      <c r="N4142" s="7"/>
      <c r="P4142" s="7"/>
      <c r="R4142" s="7"/>
      <c r="T4142" s="7"/>
      <c r="V4142" s="7"/>
      <c r="X4142" s="7"/>
    </row>
    <row r="4143" spans="2:24">
      <c r="B4143" s="7"/>
      <c r="D4143" s="7"/>
      <c r="F4143" s="7"/>
      <c r="H4143" s="7"/>
      <c r="J4143" s="7"/>
      <c r="L4143" s="7"/>
      <c r="N4143" s="7"/>
      <c r="P4143" s="7"/>
      <c r="R4143" s="7"/>
      <c r="T4143" s="7"/>
      <c r="V4143" s="7"/>
      <c r="X4143" s="7"/>
    </row>
    <row r="4144" spans="2:24">
      <c r="B4144" s="7"/>
      <c r="D4144" s="7"/>
      <c r="F4144" s="7"/>
      <c r="H4144" s="7"/>
      <c r="J4144" s="7"/>
      <c r="L4144" s="7"/>
      <c r="N4144" s="7"/>
      <c r="P4144" s="7"/>
      <c r="R4144" s="7"/>
      <c r="T4144" s="7"/>
      <c r="V4144" s="7"/>
      <c r="X4144" s="7"/>
    </row>
    <row r="4145" spans="2:24">
      <c r="B4145" s="7"/>
      <c r="D4145" s="7"/>
      <c r="F4145" s="7"/>
      <c r="H4145" s="7"/>
      <c r="J4145" s="7"/>
      <c r="L4145" s="7"/>
      <c r="N4145" s="7"/>
      <c r="P4145" s="7"/>
      <c r="R4145" s="7"/>
      <c r="T4145" s="7"/>
      <c r="V4145" s="7"/>
      <c r="X4145" s="7"/>
    </row>
    <row r="4146" spans="2:24">
      <c r="B4146" s="7"/>
      <c r="D4146" s="7"/>
      <c r="F4146" s="7"/>
      <c r="H4146" s="7"/>
      <c r="J4146" s="7"/>
      <c r="L4146" s="7"/>
      <c r="N4146" s="7"/>
      <c r="P4146" s="7"/>
      <c r="R4146" s="7"/>
      <c r="T4146" s="7"/>
      <c r="V4146" s="7"/>
      <c r="X4146" s="7"/>
    </row>
    <row r="4147" spans="2:24">
      <c r="B4147" s="7"/>
      <c r="D4147" s="7"/>
      <c r="F4147" s="7"/>
      <c r="H4147" s="7"/>
      <c r="J4147" s="7"/>
      <c r="L4147" s="7"/>
      <c r="N4147" s="7"/>
      <c r="P4147" s="7"/>
      <c r="R4147" s="7"/>
      <c r="T4147" s="7"/>
      <c r="V4147" s="7"/>
      <c r="X4147" s="7"/>
    </row>
    <row r="4148" spans="2:24">
      <c r="B4148" s="7"/>
      <c r="D4148" s="7"/>
      <c r="F4148" s="7"/>
      <c r="H4148" s="7"/>
      <c r="J4148" s="7"/>
      <c r="L4148" s="7"/>
      <c r="N4148" s="7"/>
      <c r="P4148" s="7"/>
      <c r="R4148" s="7"/>
      <c r="T4148" s="7"/>
      <c r="V4148" s="7"/>
      <c r="X4148" s="7"/>
    </row>
    <row r="4149" spans="2:24">
      <c r="B4149" s="7"/>
      <c r="D4149" s="7"/>
      <c r="F4149" s="7"/>
      <c r="H4149" s="7"/>
      <c r="J4149" s="7"/>
      <c r="L4149" s="7"/>
      <c r="N4149" s="7"/>
      <c r="P4149" s="7"/>
      <c r="R4149" s="7"/>
      <c r="T4149" s="7"/>
      <c r="V4149" s="7"/>
      <c r="X4149" s="7"/>
    </row>
    <row r="4150" spans="2:24">
      <c r="B4150" s="7"/>
      <c r="D4150" s="7"/>
      <c r="F4150" s="7"/>
      <c r="H4150" s="7"/>
      <c r="J4150" s="7"/>
      <c r="L4150" s="7"/>
      <c r="N4150" s="7"/>
      <c r="P4150" s="7"/>
      <c r="R4150" s="7"/>
      <c r="T4150" s="7"/>
      <c r="V4150" s="7"/>
      <c r="X4150" s="7"/>
    </row>
    <row r="4151" spans="2:24">
      <c r="B4151" s="7"/>
      <c r="D4151" s="7"/>
      <c r="F4151" s="7"/>
      <c r="H4151" s="7"/>
      <c r="J4151" s="7"/>
      <c r="L4151" s="7"/>
      <c r="N4151" s="7"/>
      <c r="P4151" s="7"/>
      <c r="R4151" s="7"/>
      <c r="T4151" s="7"/>
      <c r="V4151" s="7"/>
      <c r="X4151" s="7"/>
    </row>
    <row r="4152" spans="2:24">
      <c r="B4152" s="7"/>
      <c r="D4152" s="7"/>
      <c r="F4152" s="7"/>
      <c r="H4152" s="7"/>
      <c r="J4152" s="7"/>
      <c r="L4152" s="7"/>
      <c r="N4152" s="7"/>
      <c r="P4152" s="7"/>
      <c r="R4152" s="7"/>
      <c r="T4152" s="7"/>
      <c r="V4152" s="7"/>
      <c r="X4152" s="7"/>
    </row>
    <row r="4153" spans="2:24">
      <c r="B4153" s="7"/>
      <c r="D4153" s="7"/>
      <c r="F4153" s="7"/>
      <c r="H4153" s="7"/>
      <c r="J4153" s="7"/>
      <c r="L4153" s="7"/>
      <c r="N4153" s="7"/>
      <c r="P4153" s="7"/>
      <c r="R4153" s="7"/>
      <c r="T4153" s="7"/>
      <c r="V4153" s="7"/>
      <c r="X4153" s="7"/>
    </row>
    <row r="4154" spans="2:24">
      <c r="B4154" s="7"/>
      <c r="D4154" s="7"/>
      <c r="F4154" s="7"/>
      <c r="H4154" s="7"/>
      <c r="J4154" s="7"/>
      <c r="L4154" s="7"/>
      <c r="N4154" s="7"/>
      <c r="P4154" s="7"/>
      <c r="R4154" s="7"/>
      <c r="T4154" s="7"/>
      <c r="V4154" s="7"/>
      <c r="X4154" s="7"/>
    </row>
    <row r="4155" spans="2:24">
      <c r="B4155" s="7"/>
      <c r="D4155" s="7"/>
      <c r="F4155" s="7"/>
      <c r="H4155" s="7"/>
      <c r="J4155" s="7"/>
      <c r="L4155" s="7"/>
      <c r="N4155" s="7"/>
      <c r="P4155" s="7"/>
      <c r="R4155" s="7"/>
      <c r="T4155" s="7"/>
      <c r="V4155" s="7"/>
      <c r="X4155" s="7"/>
    </row>
    <row r="4156" spans="2:24">
      <c r="B4156" s="7"/>
      <c r="D4156" s="7"/>
      <c r="F4156" s="7"/>
      <c r="H4156" s="7"/>
      <c r="J4156" s="7"/>
      <c r="L4156" s="7"/>
      <c r="N4156" s="7"/>
      <c r="P4156" s="7"/>
      <c r="R4156" s="7"/>
      <c r="T4156" s="7"/>
      <c r="V4156" s="7"/>
      <c r="X4156" s="7"/>
    </row>
    <row r="4157" spans="2:24">
      <c r="B4157" s="7"/>
      <c r="D4157" s="7"/>
      <c r="F4157" s="7"/>
      <c r="H4157" s="7"/>
      <c r="J4157" s="7"/>
      <c r="L4157" s="7"/>
      <c r="N4157" s="7"/>
      <c r="P4157" s="7"/>
      <c r="R4157" s="7"/>
      <c r="T4157" s="7"/>
      <c r="V4157" s="7"/>
      <c r="X4157" s="7"/>
    </row>
    <row r="4158" spans="2:24">
      <c r="B4158" s="7"/>
      <c r="D4158" s="7"/>
      <c r="F4158" s="7"/>
      <c r="H4158" s="7"/>
      <c r="J4158" s="7"/>
      <c r="L4158" s="7"/>
      <c r="N4158" s="7"/>
      <c r="P4158" s="7"/>
      <c r="R4158" s="7"/>
      <c r="T4158" s="7"/>
      <c r="V4158" s="7"/>
      <c r="X4158" s="7"/>
    </row>
    <row r="4159" spans="2:24">
      <c r="B4159" s="7"/>
      <c r="D4159" s="7"/>
      <c r="F4159" s="7"/>
      <c r="H4159" s="7"/>
      <c r="J4159" s="7"/>
      <c r="L4159" s="7"/>
      <c r="N4159" s="7"/>
      <c r="P4159" s="7"/>
      <c r="R4159" s="7"/>
      <c r="T4159" s="7"/>
      <c r="V4159" s="7"/>
      <c r="X4159" s="7"/>
    </row>
    <row r="4160" spans="2:24">
      <c r="B4160" s="7"/>
      <c r="D4160" s="7"/>
      <c r="F4160" s="7"/>
      <c r="H4160" s="7"/>
      <c r="J4160" s="7"/>
      <c r="L4160" s="7"/>
      <c r="N4160" s="7"/>
      <c r="P4160" s="7"/>
      <c r="R4160" s="7"/>
      <c r="T4160" s="7"/>
      <c r="V4160" s="7"/>
      <c r="X4160" s="7"/>
    </row>
    <row r="4161" spans="2:24">
      <c r="B4161" s="7"/>
      <c r="D4161" s="7"/>
      <c r="F4161" s="7"/>
      <c r="H4161" s="7"/>
      <c r="J4161" s="7"/>
      <c r="L4161" s="7"/>
      <c r="N4161" s="7"/>
      <c r="P4161" s="7"/>
      <c r="R4161" s="7"/>
      <c r="T4161" s="7"/>
      <c r="V4161" s="7"/>
      <c r="X4161" s="7"/>
    </row>
    <row r="4162" spans="2:24">
      <c r="B4162" s="7"/>
      <c r="D4162" s="7"/>
      <c r="F4162" s="7"/>
      <c r="H4162" s="7"/>
      <c r="J4162" s="7"/>
      <c r="L4162" s="7"/>
      <c r="N4162" s="7"/>
      <c r="P4162" s="7"/>
      <c r="R4162" s="7"/>
      <c r="T4162" s="7"/>
      <c r="V4162" s="7"/>
      <c r="X4162" s="7"/>
    </row>
    <row r="4163" spans="2:24">
      <c r="B4163" s="7"/>
      <c r="D4163" s="7"/>
      <c r="F4163" s="7"/>
      <c r="H4163" s="7"/>
      <c r="J4163" s="7"/>
      <c r="L4163" s="7"/>
      <c r="N4163" s="7"/>
      <c r="P4163" s="7"/>
      <c r="R4163" s="7"/>
      <c r="T4163" s="7"/>
      <c r="V4163" s="7"/>
      <c r="X4163" s="7"/>
    </row>
    <row r="4164" spans="2:24">
      <c r="B4164" s="7"/>
      <c r="D4164" s="7"/>
      <c r="F4164" s="7"/>
      <c r="H4164" s="7"/>
      <c r="J4164" s="7"/>
      <c r="L4164" s="7"/>
      <c r="N4164" s="7"/>
      <c r="P4164" s="7"/>
      <c r="R4164" s="7"/>
      <c r="T4164" s="7"/>
      <c r="V4164" s="7"/>
      <c r="X4164" s="7"/>
    </row>
    <row r="4165" spans="2:24">
      <c r="B4165" s="7"/>
      <c r="D4165" s="7"/>
      <c r="F4165" s="7"/>
      <c r="H4165" s="7"/>
      <c r="J4165" s="7"/>
      <c r="L4165" s="7"/>
      <c r="N4165" s="7"/>
      <c r="P4165" s="7"/>
      <c r="R4165" s="7"/>
      <c r="T4165" s="7"/>
      <c r="V4165" s="7"/>
      <c r="X4165" s="7"/>
    </row>
    <row r="4166" spans="2:24">
      <c r="B4166" s="7"/>
      <c r="D4166" s="7"/>
      <c r="F4166" s="7"/>
      <c r="H4166" s="7"/>
      <c r="J4166" s="7"/>
      <c r="L4166" s="7"/>
      <c r="N4166" s="7"/>
      <c r="P4166" s="7"/>
      <c r="R4166" s="7"/>
      <c r="T4166" s="7"/>
      <c r="V4166" s="7"/>
      <c r="X4166" s="7"/>
    </row>
    <row r="4167" spans="2:24">
      <c r="B4167" s="7"/>
      <c r="D4167" s="7"/>
      <c r="F4167" s="7"/>
      <c r="H4167" s="7"/>
      <c r="J4167" s="7"/>
      <c r="L4167" s="7"/>
      <c r="N4167" s="7"/>
      <c r="P4167" s="7"/>
      <c r="R4167" s="7"/>
      <c r="T4167" s="7"/>
      <c r="V4167" s="7"/>
      <c r="X4167" s="7"/>
    </row>
    <row r="4168" spans="2:24">
      <c r="B4168" s="7"/>
      <c r="D4168" s="7"/>
      <c r="F4168" s="7"/>
      <c r="H4168" s="7"/>
      <c r="J4168" s="7"/>
      <c r="L4168" s="7"/>
      <c r="N4168" s="7"/>
      <c r="P4168" s="7"/>
      <c r="R4168" s="7"/>
      <c r="T4168" s="7"/>
      <c r="V4168" s="7"/>
      <c r="X4168" s="7"/>
    </row>
    <row r="4169" spans="2:24">
      <c r="B4169" s="7"/>
      <c r="D4169" s="7"/>
      <c r="F4169" s="7"/>
      <c r="H4169" s="7"/>
      <c r="J4169" s="7"/>
      <c r="L4169" s="7"/>
      <c r="N4169" s="7"/>
      <c r="P4169" s="7"/>
      <c r="R4169" s="7"/>
      <c r="T4169" s="7"/>
      <c r="V4169" s="7"/>
      <c r="X4169" s="7"/>
    </row>
    <row r="4170" spans="2:24">
      <c r="B4170" s="7"/>
      <c r="D4170" s="7"/>
      <c r="F4170" s="7"/>
      <c r="H4170" s="7"/>
      <c r="J4170" s="7"/>
      <c r="L4170" s="7"/>
      <c r="N4170" s="7"/>
      <c r="P4170" s="7"/>
      <c r="R4170" s="7"/>
      <c r="T4170" s="7"/>
      <c r="V4170" s="7"/>
      <c r="X4170" s="7"/>
    </row>
    <row r="4171" spans="2:24">
      <c r="B4171" s="7"/>
      <c r="D4171" s="7"/>
      <c r="F4171" s="7"/>
      <c r="H4171" s="7"/>
      <c r="J4171" s="7"/>
      <c r="L4171" s="7"/>
      <c r="N4171" s="7"/>
      <c r="P4171" s="7"/>
      <c r="R4171" s="7"/>
      <c r="T4171" s="7"/>
      <c r="V4171" s="7"/>
      <c r="X4171" s="7"/>
    </row>
    <row r="4172" spans="2:24">
      <c r="B4172" s="7"/>
      <c r="D4172" s="7"/>
      <c r="F4172" s="7"/>
      <c r="H4172" s="7"/>
      <c r="J4172" s="7"/>
      <c r="L4172" s="7"/>
      <c r="N4172" s="7"/>
      <c r="P4172" s="7"/>
      <c r="R4172" s="7"/>
      <c r="T4172" s="7"/>
      <c r="V4172" s="7"/>
      <c r="X4172" s="7"/>
    </row>
    <row r="4173" spans="2:24">
      <c r="B4173" s="7"/>
      <c r="D4173" s="7"/>
      <c r="F4173" s="7"/>
      <c r="H4173" s="7"/>
      <c r="J4173" s="7"/>
      <c r="L4173" s="7"/>
      <c r="N4173" s="7"/>
      <c r="P4173" s="7"/>
      <c r="R4173" s="7"/>
      <c r="T4173" s="7"/>
      <c r="V4173" s="7"/>
      <c r="X4173" s="7"/>
    </row>
    <row r="4174" spans="2:24">
      <c r="B4174" s="7"/>
      <c r="D4174" s="7"/>
      <c r="F4174" s="7"/>
      <c r="H4174" s="7"/>
      <c r="J4174" s="7"/>
      <c r="L4174" s="7"/>
      <c r="N4174" s="7"/>
      <c r="P4174" s="7"/>
      <c r="R4174" s="7"/>
      <c r="T4174" s="7"/>
      <c r="V4174" s="7"/>
      <c r="X4174" s="7"/>
    </row>
    <row r="4175" spans="2:24">
      <c r="B4175" s="7"/>
      <c r="D4175" s="7"/>
      <c r="F4175" s="7"/>
      <c r="H4175" s="7"/>
      <c r="J4175" s="7"/>
      <c r="L4175" s="7"/>
      <c r="N4175" s="7"/>
      <c r="P4175" s="7"/>
      <c r="R4175" s="7"/>
      <c r="T4175" s="7"/>
      <c r="V4175" s="7"/>
      <c r="X4175" s="7"/>
    </row>
    <row r="4176" spans="2:24">
      <c r="B4176" s="7"/>
      <c r="D4176" s="7"/>
      <c r="F4176" s="7"/>
      <c r="H4176" s="7"/>
      <c r="J4176" s="7"/>
      <c r="L4176" s="7"/>
      <c r="N4176" s="7"/>
      <c r="P4176" s="7"/>
      <c r="R4176" s="7"/>
      <c r="T4176" s="7"/>
      <c r="V4176" s="7"/>
      <c r="X4176" s="7"/>
    </row>
    <row r="4177" spans="2:24">
      <c r="B4177" s="7"/>
      <c r="D4177" s="7"/>
      <c r="F4177" s="7"/>
      <c r="H4177" s="7"/>
      <c r="J4177" s="7"/>
      <c r="L4177" s="7"/>
      <c r="N4177" s="7"/>
      <c r="P4177" s="7"/>
      <c r="R4177" s="7"/>
      <c r="T4177" s="7"/>
      <c r="V4177" s="7"/>
      <c r="X4177" s="7"/>
    </row>
    <row r="4178" spans="2:24">
      <c r="B4178" s="7"/>
      <c r="D4178" s="7"/>
      <c r="F4178" s="7"/>
      <c r="H4178" s="7"/>
      <c r="J4178" s="7"/>
      <c r="L4178" s="7"/>
      <c r="N4178" s="7"/>
      <c r="P4178" s="7"/>
      <c r="R4178" s="7"/>
      <c r="T4178" s="7"/>
      <c r="V4178" s="7"/>
      <c r="X4178" s="7"/>
    </row>
    <row r="4179" spans="2:24">
      <c r="B4179" s="7"/>
      <c r="D4179" s="7"/>
      <c r="F4179" s="7"/>
      <c r="H4179" s="7"/>
      <c r="J4179" s="7"/>
      <c r="L4179" s="7"/>
      <c r="N4179" s="7"/>
      <c r="P4179" s="7"/>
      <c r="R4179" s="7"/>
      <c r="T4179" s="7"/>
      <c r="V4179" s="7"/>
      <c r="X4179" s="7"/>
    </row>
    <row r="4180" spans="2:24">
      <c r="B4180" s="7"/>
      <c r="D4180" s="7"/>
      <c r="F4180" s="7"/>
      <c r="H4180" s="7"/>
      <c r="J4180" s="7"/>
      <c r="L4180" s="7"/>
      <c r="N4180" s="7"/>
      <c r="P4180" s="7"/>
      <c r="R4180" s="7"/>
      <c r="T4180" s="7"/>
      <c r="V4180" s="7"/>
      <c r="X4180" s="7"/>
    </row>
    <row r="4181" spans="2:24">
      <c r="B4181" s="7"/>
      <c r="D4181" s="7"/>
      <c r="F4181" s="7"/>
      <c r="H4181" s="7"/>
      <c r="J4181" s="7"/>
      <c r="L4181" s="7"/>
      <c r="N4181" s="7"/>
      <c r="P4181" s="7"/>
      <c r="R4181" s="7"/>
      <c r="T4181" s="7"/>
      <c r="V4181" s="7"/>
      <c r="X4181" s="7"/>
    </row>
    <row r="4182" spans="2:24">
      <c r="B4182" s="7"/>
      <c r="D4182" s="7"/>
      <c r="F4182" s="7"/>
      <c r="H4182" s="7"/>
      <c r="J4182" s="7"/>
      <c r="L4182" s="7"/>
      <c r="N4182" s="7"/>
      <c r="P4182" s="7"/>
      <c r="R4182" s="7"/>
      <c r="T4182" s="7"/>
      <c r="V4182" s="7"/>
      <c r="X4182" s="7"/>
    </row>
    <row r="4183" spans="2:24">
      <c r="B4183" s="7"/>
      <c r="D4183" s="7"/>
      <c r="F4183" s="7"/>
      <c r="H4183" s="7"/>
      <c r="J4183" s="7"/>
      <c r="L4183" s="7"/>
      <c r="N4183" s="7"/>
      <c r="P4183" s="7"/>
      <c r="R4183" s="7"/>
      <c r="T4183" s="7"/>
      <c r="V4183" s="7"/>
      <c r="X4183" s="7"/>
    </row>
    <row r="4184" spans="2:24">
      <c r="B4184" s="7"/>
      <c r="D4184" s="7"/>
      <c r="F4184" s="7"/>
      <c r="H4184" s="7"/>
      <c r="J4184" s="7"/>
      <c r="L4184" s="7"/>
      <c r="N4184" s="7"/>
      <c r="P4184" s="7"/>
      <c r="R4184" s="7"/>
      <c r="T4184" s="7"/>
      <c r="V4184" s="7"/>
      <c r="X4184" s="7"/>
    </row>
    <row r="4185" spans="2:24">
      <c r="B4185" s="7"/>
      <c r="D4185" s="7"/>
      <c r="F4185" s="7"/>
      <c r="H4185" s="7"/>
      <c r="J4185" s="7"/>
      <c r="L4185" s="7"/>
      <c r="N4185" s="7"/>
      <c r="P4185" s="7"/>
      <c r="R4185" s="7"/>
      <c r="T4185" s="7"/>
      <c r="V4185" s="7"/>
      <c r="X4185" s="7"/>
    </row>
    <row r="4186" spans="2:24">
      <c r="B4186" s="7"/>
      <c r="D4186" s="7"/>
      <c r="F4186" s="7"/>
      <c r="H4186" s="7"/>
      <c r="J4186" s="7"/>
      <c r="L4186" s="7"/>
      <c r="N4186" s="7"/>
      <c r="P4186" s="7"/>
      <c r="R4186" s="7"/>
      <c r="T4186" s="7"/>
      <c r="V4186" s="7"/>
      <c r="X4186" s="7"/>
    </row>
    <row r="4187" spans="2:24">
      <c r="B4187" s="7"/>
      <c r="D4187" s="7"/>
      <c r="F4187" s="7"/>
      <c r="H4187" s="7"/>
      <c r="J4187" s="7"/>
      <c r="L4187" s="7"/>
      <c r="N4187" s="7"/>
      <c r="P4187" s="7"/>
      <c r="R4187" s="7"/>
      <c r="T4187" s="7"/>
      <c r="V4187" s="7"/>
      <c r="X4187" s="7"/>
    </row>
    <row r="4188" spans="2:24">
      <c r="B4188" s="7"/>
      <c r="D4188" s="7"/>
      <c r="F4188" s="7"/>
      <c r="H4188" s="7"/>
      <c r="J4188" s="7"/>
      <c r="L4188" s="7"/>
      <c r="N4188" s="7"/>
      <c r="P4188" s="7"/>
      <c r="R4188" s="7"/>
      <c r="T4188" s="7"/>
      <c r="V4188" s="7"/>
      <c r="X4188" s="7"/>
    </row>
    <row r="4189" spans="2:24">
      <c r="B4189" s="7"/>
      <c r="D4189" s="7"/>
      <c r="F4189" s="7"/>
      <c r="H4189" s="7"/>
      <c r="J4189" s="7"/>
      <c r="L4189" s="7"/>
      <c r="N4189" s="7"/>
      <c r="P4189" s="7"/>
      <c r="R4189" s="7"/>
      <c r="T4189" s="7"/>
      <c r="V4189" s="7"/>
      <c r="X4189" s="7"/>
    </row>
    <row r="4190" spans="2:24">
      <c r="B4190" s="7"/>
      <c r="D4190" s="7"/>
      <c r="F4190" s="7"/>
      <c r="H4190" s="7"/>
      <c r="J4190" s="7"/>
      <c r="L4190" s="7"/>
      <c r="N4190" s="7"/>
      <c r="P4190" s="7"/>
      <c r="R4190" s="7"/>
      <c r="T4190" s="7"/>
      <c r="V4190" s="7"/>
      <c r="X4190" s="7"/>
    </row>
    <row r="4191" spans="2:24">
      <c r="B4191" s="7"/>
      <c r="D4191" s="7"/>
      <c r="F4191" s="7"/>
      <c r="H4191" s="7"/>
      <c r="J4191" s="7"/>
      <c r="L4191" s="7"/>
      <c r="N4191" s="7"/>
      <c r="P4191" s="7"/>
      <c r="R4191" s="7"/>
      <c r="T4191" s="7"/>
      <c r="V4191" s="7"/>
      <c r="X4191" s="7"/>
    </row>
    <row r="4192" spans="2:24">
      <c r="B4192" s="7"/>
      <c r="D4192" s="7"/>
      <c r="F4192" s="7"/>
      <c r="H4192" s="7"/>
      <c r="J4192" s="7"/>
      <c r="L4192" s="7"/>
      <c r="N4192" s="7"/>
      <c r="P4192" s="7"/>
      <c r="R4192" s="7"/>
      <c r="T4192" s="7"/>
      <c r="V4192" s="7"/>
      <c r="X4192" s="7"/>
    </row>
    <row r="4193" spans="2:24">
      <c r="B4193" s="7"/>
      <c r="D4193" s="7"/>
      <c r="F4193" s="7"/>
      <c r="H4193" s="7"/>
      <c r="J4193" s="7"/>
      <c r="L4193" s="7"/>
      <c r="N4193" s="7"/>
      <c r="P4193" s="7"/>
      <c r="R4193" s="7"/>
      <c r="T4193" s="7"/>
      <c r="V4193" s="7"/>
      <c r="X4193" s="7"/>
    </row>
    <row r="4194" spans="2:24">
      <c r="B4194" s="7"/>
      <c r="D4194" s="7"/>
      <c r="F4194" s="7"/>
      <c r="H4194" s="7"/>
      <c r="J4194" s="7"/>
      <c r="L4194" s="7"/>
      <c r="N4194" s="7"/>
      <c r="P4194" s="7"/>
      <c r="R4194" s="7"/>
      <c r="T4194" s="7"/>
      <c r="V4194" s="7"/>
      <c r="X4194" s="7"/>
    </row>
    <row r="4195" spans="2:24">
      <c r="B4195" s="7"/>
      <c r="D4195" s="7"/>
      <c r="F4195" s="7"/>
      <c r="H4195" s="7"/>
      <c r="J4195" s="7"/>
      <c r="L4195" s="7"/>
      <c r="N4195" s="7"/>
      <c r="P4195" s="7"/>
      <c r="R4195" s="7"/>
      <c r="T4195" s="7"/>
      <c r="V4195" s="7"/>
      <c r="X4195" s="7"/>
    </row>
    <row r="4196" spans="2:24">
      <c r="B4196" s="7"/>
      <c r="D4196" s="7"/>
      <c r="F4196" s="7"/>
      <c r="H4196" s="7"/>
      <c r="J4196" s="7"/>
      <c r="L4196" s="7"/>
      <c r="N4196" s="7"/>
      <c r="P4196" s="7"/>
      <c r="R4196" s="7"/>
      <c r="T4196" s="7"/>
      <c r="V4196" s="7"/>
      <c r="X4196" s="7"/>
    </row>
    <row r="4197" spans="2:24">
      <c r="B4197" s="7"/>
      <c r="D4197" s="7"/>
      <c r="F4197" s="7"/>
      <c r="H4197" s="7"/>
      <c r="J4197" s="7"/>
      <c r="L4197" s="7"/>
      <c r="N4197" s="7"/>
      <c r="P4197" s="7"/>
      <c r="R4197" s="7"/>
      <c r="T4197" s="7"/>
      <c r="V4197" s="7"/>
      <c r="X4197" s="7"/>
    </row>
    <row r="4198" spans="2:24">
      <c r="B4198" s="7"/>
      <c r="D4198" s="7"/>
      <c r="F4198" s="7"/>
      <c r="H4198" s="7"/>
      <c r="J4198" s="7"/>
      <c r="L4198" s="7"/>
      <c r="N4198" s="7"/>
      <c r="P4198" s="7"/>
      <c r="R4198" s="7"/>
      <c r="T4198" s="7"/>
      <c r="V4198" s="7"/>
      <c r="X4198" s="7"/>
    </row>
    <row r="4199" spans="2:24">
      <c r="B4199" s="7"/>
      <c r="D4199" s="7"/>
      <c r="F4199" s="7"/>
      <c r="H4199" s="7"/>
      <c r="J4199" s="7"/>
      <c r="L4199" s="7"/>
      <c r="N4199" s="7"/>
      <c r="P4199" s="7"/>
      <c r="R4199" s="7"/>
      <c r="T4199" s="7"/>
      <c r="V4199" s="7"/>
      <c r="X4199" s="7"/>
    </row>
    <row r="4200" spans="2:24">
      <c r="B4200" s="7"/>
      <c r="D4200" s="7"/>
      <c r="F4200" s="7"/>
      <c r="H4200" s="7"/>
      <c r="J4200" s="7"/>
      <c r="L4200" s="7"/>
      <c r="N4200" s="7"/>
      <c r="P4200" s="7"/>
      <c r="R4200" s="7"/>
      <c r="T4200" s="7"/>
      <c r="V4200" s="7"/>
      <c r="X4200" s="7"/>
    </row>
    <row r="4201" spans="2:24">
      <c r="B4201" s="7"/>
      <c r="D4201" s="7"/>
      <c r="F4201" s="7"/>
      <c r="H4201" s="7"/>
      <c r="J4201" s="7"/>
      <c r="L4201" s="7"/>
      <c r="N4201" s="7"/>
      <c r="P4201" s="7"/>
      <c r="R4201" s="7"/>
      <c r="T4201" s="7"/>
      <c r="V4201" s="7"/>
      <c r="X4201" s="7"/>
    </row>
    <row r="4202" spans="2:24">
      <c r="B4202" s="7"/>
      <c r="D4202" s="7"/>
      <c r="F4202" s="7"/>
      <c r="H4202" s="7"/>
      <c r="J4202" s="7"/>
      <c r="L4202" s="7"/>
      <c r="N4202" s="7"/>
      <c r="P4202" s="7"/>
      <c r="R4202" s="7"/>
      <c r="T4202" s="7"/>
      <c r="V4202" s="7"/>
      <c r="X4202" s="7"/>
    </row>
    <row r="4203" spans="2:24">
      <c r="B4203" s="7"/>
      <c r="D4203" s="7"/>
      <c r="F4203" s="7"/>
      <c r="H4203" s="7"/>
      <c r="J4203" s="7"/>
      <c r="L4203" s="7"/>
      <c r="N4203" s="7"/>
      <c r="P4203" s="7"/>
      <c r="R4203" s="7"/>
      <c r="T4203" s="7"/>
      <c r="V4203" s="7"/>
      <c r="X4203" s="7"/>
    </row>
    <row r="4204" spans="2:24">
      <c r="B4204" s="7"/>
      <c r="D4204" s="7"/>
      <c r="F4204" s="7"/>
      <c r="H4204" s="7"/>
      <c r="J4204" s="7"/>
      <c r="L4204" s="7"/>
      <c r="N4204" s="7"/>
      <c r="P4204" s="7"/>
      <c r="R4204" s="7"/>
      <c r="T4204" s="7"/>
      <c r="V4204" s="7"/>
      <c r="X4204" s="7"/>
    </row>
    <row r="4205" spans="2:24">
      <c r="B4205" s="7"/>
      <c r="D4205" s="7"/>
      <c r="F4205" s="7"/>
      <c r="H4205" s="7"/>
      <c r="J4205" s="7"/>
      <c r="L4205" s="7"/>
      <c r="N4205" s="7"/>
      <c r="P4205" s="7"/>
      <c r="R4205" s="7"/>
      <c r="T4205" s="7"/>
      <c r="V4205" s="7"/>
      <c r="X4205" s="7"/>
    </row>
    <row r="4206" spans="2:24">
      <c r="B4206" s="7"/>
      <c r="D4206" s="7"/>
      <c r="F4206" s="7"/>
      <c r="H4206" s="7"/>
      <c r="J4206" s="7"/>
      <c r="L4206" s="7"/>
      <c r="N4206" s="7"/>
      <c r="P4206" s="7"/>
      <c r="R4206" s="7"/>
      <c r="T4206" s="7"/>
      <c r="V4206" s="7"/>
      <c r="X4206" s="7"/>
    </row>
    <row r="4207" spans="2:24">
      <c r="B4207" s="7"/>
      <c r="D4207" s="7"/>
      <c r="F4207" s="7"/>
      <c r="H4207" s="7"/>
      <c r="J4207" s="7"/>
      <c r="L4207" s="7"/>
      <c r="N4207" s="7"/>
      <c r="P4207" s="7"/>
      <c r="R4207" s="7"/>
      <c r="T4207" s="7"/>
      <c r="V4207" s="7"/>
      <c r="X4207" s="7"/>
    </row>
    <row r="4208" spans="2:24">
      <c r="B4208" s="7"/>
      <c r="D4208" s="7"/>
      <c r="F4208" s="7"/>
      <c r="H4208" s="7"/>
      <c r="J4208" s="7"/>
      <c r="L4208" s="7"/>
      <c r="N4208" s="7"/>
      <c r="P4208" s="7"/>
      <c r="R4208" s="7"/>
      <c r="T4208" s="7"/>
      <c r="V4208" s="7"/>
      <c r="X4208" s="7"/>
    </row>
    <row r="4209" spans="2:24">
      <c r="B4209" s="7"/>
      <c r="D4209" s="7"/>
      <c r="F4209" s="7"/>
      <c r="H4209" s="7"/>
      <c r="J4209" s="7"/>
      <c r="L4209" s="7"/>
      <c r="N4209" s="7"/>
      <c r="P4209" s="7"/>
      <c r="R4209" s="7"/>
      <c r="T4209" s="7"/>
      <c r="V4209" s="7"/>
      <c r="X4209" s="7"/>
    </row>
    <row r="4210" spans="2:24">
      <c r="B4210" s="7"/>
      <c r="D4210" s="7"/>
      <c r="F4210" s="7"/>
      <c r="H4210" s="7"/>
      <c r="J4210" s="7"/>
      <c r="L4210" s="7"/>
      <c r="N4210" s="7"/>
      <c r="P4210" s="7"/>
      <c r="R4210" s="7"/>
      <c r="T4210" s="7"/>
      <c r="V4210" s="7"/>
      <c r="X4210" s="7"/>
    </row>
    <row r="4211" spans="2:24">
      <c r="B4211" s="7"/>
      <c r="D4211" s="7"/>
      <c r="F4211" s="7"/>
      <c r="H4211" s="7"/>
      <c r="J4211" s="7"/>
      <c r="L4211" s="7"/>
      <c r="N4211" s="7"/>
      <c r="P4211" s="7"/>
      <c r="R4211" s="7"/>
      <c r="T4211" s="7"/>
      <c r="V4211" s="7"/>
      <c r="X4211" s="7"/>
    </row>
    <row r="4212" spans="2:24">
      <c r="B4212" s="7"/>
      <c r="D4212" s="7"/>
      <c r="F4212" s="7"/>
      <c r="H4212" s="7"/>
      <c r="J4212" s="7"/>
      <c r="L4212" s="7"/>
      <c r="N4212" s="7"/>
      <c r="P4212" s="7"/>
      <c r="R4212" s="7"/>
      <c r="T4212" s="7"/>
      <c r="V4212" s="7"/>
      <c r="X4212" s="7"/>
    </row>
    <row r="4213" spans="2:24">
      <c r="B4213" s="7"/>
      <c r="D4213" s="7"/>
      <c r="F4213" s="7"/>
      <c r="H4213" s="7"/>
      <c r="J4213" s="7"/>
      <c r="L4213" s="7"/>
      <c r="N4213" s="7"/>
      <c r="P4213" s="7"/>
      <c r="R4213" s="7"/>
      <c r="T4213" s="7"/>
      <c r="V4213" s="7"/>
      <c r="X4213" s="7"/>
    </row>
    <row r="4214" spans="2:24">
      <c r="B4214" s="7"/>
      <c r="D4214" s="7"/>
      <c r="F4214" s="7"/>
      <c r="H4214" s="7"/>
      <c r="J4214" s="7"/>
      <c r="L4214" s="7"/>
      <c r="N4214" s="7"/>
      <c r="P4214" s="7"/>
      <c r="R4214" s="7"/>
      <c r="T4214" s="7"/>
      <c r="V4214" s="7"/>
      <c r="X4214" s="7"/>
    </row>
    <row r="4215" spans="2:24">
      <c r="B4215" s="7"/>
      <c r="D4215" s="7"/>
      <c r="F4215" s="7"/>
      <c r="H4215" s="7"/>
      <c r="J4215" s="7"/>
      <c r="L4215" s="7"/>
      <c r="N4215" s="7"/>
      <c r="P4215" s="7"/>
      <c r="R4215" s="7"/>
      <c r="T4215" s="7"/>
      <c r="V4215" s="7"/>
      <c r="X4215" s="7"/>
    </row>
    <row r="4216" spans="2:24">
      <c r="B4216" s="7"/>
      <c r="D4216" s="7"/>
      <c r="F4216" s="7"/>
      <c r="H4216" s="7"/>
      <c r="J4216" s="7"/>
      <c r="L4216" s="7"/>
      <c r="N4216" s="7"/>
      <c r="P4216" s="7"/>
      <c r="R4216" s="7"/>
      <c r="T4216" s="7"/>
      <c r="V4216" s="7"/>
      <c r="X4216" s="7"/>
    </row>
    <row r="4217" spans="2:24">
      <c r="B4217" s="7"/>
      <c r="D4217" s="7"/>
      <c r="F4217" s="7"/>
      <c r="H4217" s="7"/>
      <c r="J4217" s="7"/>
      <c r="L4217" s="7"/>
      <c r="N4217" s="7"/>
      <c r="P4217" s="7"/>
      <c r="R4217" s="7"/>
      <c r="T4217" s="7"/>
      <c r="V4217" s="7"/>
      <c r="X4217" s="7"/>
    </row>
    <row r="4218" spans="2:24">
      <c r="B4218" s="7"/>
      <c r="D4218" s="7"/>
      <c r="F4218" s="7"/>
      <c r="H4218" s="7"/>
      <c r="J4218" s="7"/>
      <c r="L4218" s="7"/>
      <c r="N4218" s="7"/>
      <c r="P4218" s="7"/>
      <c r="R4218" s="7"/>
      <c r="T4218" s="7"/>
      <c r="V4218" s="7"/>
      <c r="X4218" s="7"/>
    </row>
    <row r="4219" spans="2:24">
      <c r="B4219" s="7"/>
      <c r="D4219" s="7"/>
      <c r="F4219" s="7"/>
      <c r="H4219" s="7"/>
      <c r="J4219" s="7"/>
      <c r="L4219" s="7"/>
      <c r="N4219" s="7"/>
      <c r="P4219" s="7"/>
      <c r="R4219" s="7"/>
      <c r="T4219" s="7"/>
      <c r="V4219" s="7"/>
      <c r="X4219" s="7"/>
    </row>
    <row r="4220" spans="2:24">
      <c r="B4220" s="7"/>
      <c r="D4220" s="7"/>
      <c r="F4220" s="7"/>
      <c r="H4220" s="7"/>
      <c r="J4220" s="7"/>
      <c r="L4220" s="7"/>
      <c r="N4220" s="7"/>
      <c r="P4220" s="7"/>
      <c r="R4220" s="7"/>
      <c r="T4220" s="7"/>
      <c r="V4220" s="7"/>
      <c r="X4220" s="7"/>
    </row>
    <row r="4221" spans="2:24">
      <c r="B4221" s="7"/>
      <c r="D4221" s="7"/>
      <c r="F4221" s="7"/>
      <c r="H4221" s="7"/>
      <c r="J4221" s="7"/>
      <c r="L4221" s="7"/>
      <c r="N4221" s="7"/>
      <c r="P4221" s="7"/>
      <c r="R4221" s="7"/>
      <c r="T4221" s="7"/>
      <c r="V4221" s="7"/>
      <c r="X4221" s="7"/>
    </row>
    <row r="4222" spans="2:24">
      <c r="B4222" s="7"/>
      <c r="D4222" s="7"/>
      <c r="F4222" s="7"/>
      <c r="H4222" s="7"/>
      <c r="J4222" s="7"/>
      <c r="L4222" s="7"/>
      <c r="N4222" s="7"/>
      <c r="P4222" s="7"/>
      <c r="R4222" s="7"/>
      <c r="T4222" s="7"/>
      <c r="V4222" s="7"/>
      <c r="X4222" s="7"/>
    </row>
    <row r="4223" spans="2:24">
      <c r="B4223" s="7"/>
      <c r="D4223" s="7"/>
      <c r="F4223" s="7"/>
      <c r="H4223" s="7"/>
      <c r="J4223" s="7"/>
      <c r="L4223" s="7"/>
      <c r="N4223" s="7"/>
      <c r="P4223" s="7"/>
      <c r="R4223" s="7"/>
      <c r="T4223" s="7"/>
      <c r="V4223" s="7"/>
      <c r="X4223" s="7"/>
    </row>
    <row r="4224" spans="2:24">
      <c r="B4224" s="7"/>
      <c r="D4224" s="7"/>
      <c r="F4224" s="7"/>
      <c r="H4224" s="7"/>
      <c r="J4224" s="7"/>
      <c r="L4224" s="7"/>
      <c r="N4224" s="7"/>
      <c r="P4224" s="7"/>
      <c r="R4224" s="7"/>
      <c r="T4224" s="7"/>
      <c r="V4224" s="7"/>
      <c r="X4224" s="7"/>
    </row>
    <row r="4225" spans="2:24">
      <c r="B4225" s="7"/>
      <c r="D4225" s="7"/>
      <c r="F4225" s="7"/>
      <c r="H4225" s="7"/>
      <c r="J4225" s="7"/>
      <c r="L4225" s="7"/>
      <c r="N4225" s="7"/>
      <c r="P4225" s="7"/>
      <c r="R4225" s="7"/>
      <c r="T4225" s="7"/>
      <c r="V4225" s="7"/>
      <c r="X4225" s="7"/>
    </row>
    <row r="4226" spans="2:24">
      <c r="B4226" s="7"/>
      <c r="D4226" s="7"/>
      <c r="F4226" s="7"/>
      <c r="H4226" s="7"/>
      <c r="J4226" s="7"/>
      <c r="L4226" s="7"/>
      <c r="N4226" s="7"/>
      <c r="P4226" s="7"/>
      <c r="R4226" s="7"/>
      <c r="T4226" s="7"/>
      <c r="V4226" s="7"/>
      <c r="X4226" s="7"/>
    </row>
    <row r="4227" spans="2:24">
      <c r="B4227" s="7"/>
      <c r="D4227" s="7"/>
      <c r="F4227" s="7"/>
      <c r="H4227" s="7"/>
      <c r="J4227" s="7"/>
      <c r="L4227" s="7"/>
      <c r="N4227" s="7"/>
      <c r="P4227" s="7"/>
      <c r="R4227" s="7"/>
      <c r="T4227" s="7"/>
      <c r="V4227" s="7"/>
      <c r="X4227" s="7"/>
    </row>
    <row r="4228" spans="2:24">
      <c r="B4228" s="7"/>
      <c r="D4228" s="7"/>
      <c r="F4228" s="7"/>
      <c r="H4228" s="7"/>
      <c r="J4228" s="7"/>
      <c r="L4228" s="7"/>
      <c r="N4228" s="7"/>
      <c r="P4228" s="7"/>
      <c r="R4228" s="7"/>
      <c r="T4228" s="7"/>
      <c r="V4228" s="7"/>
      <c r="X4228" s="7"/>
    </row>
    <row r="4229" spans="2:24">
      <c r="B4229" s="7"/>
      <c r="D4229" s="7"/>
      <c r="F4229" s="7"/>
      <c r="H4229" s="7"/>
      <c r="J4229" s="7"/>
      <c r="L4229" s="7"/>
      <c r="N4229" s="7"/>
      <c r="P4229" s="7"/>
      <c r="R4229" s="7"/>
      <c r="T4229" s="7"/>
      <c r="V4229" s="7"/>
      <c r="X4229" s="7"/>
    </row>
    <row r="4230" spans="2:24">
      <c r="B4230" s="7"/>
      <c r="D4230" s="7"/>
      <c r="F4230" s="7"/>
      <c r="H4230" s="7"/>
      <c r="J4230" s="7"/>
      <c r="L4230" s="7"/>
      <c r="N4230" s="7"/>
      <c r="P4230" s="7"/>
      <c r="R4230" s="7"/>
      <c r="T4230" s="7"/>
      <c r="V4230" s="7"/>
      <c r="X4230" s="7"/>
    </row>
    <row r="4231" spans="2:24">
      <c r="B4231" s="7"/>
      <c r="D4231" s="7"/>
      <c r="F4231" s="7"/>
      <c r="H4231" s="7"/>
      <c r="J4231" s="7"/>
      <c r="L4231" s="7"/>
      <c r="N4231" s="7"/>
      <c r="P4231" s="7"/>
      <c r="R4231" s="7"/>
      <c r="T4231" s="7"/>
      <c r="V4231" s="7"/>
      <c r="X4231" s="7"/>
    </row>
    <row r="4232" spans="2:24">
      <c r="B4232" s="7"/>
      <c r="D4232" s="7"/>
      <c r="F4232" s="7"/>
      <c r="H4232" s="7"/>
      <c r="J4232" s="7"/>
      <c r="L4232" s="7"/>
      <c r="N4232" s="7"/>
      <c r="P4232" s="7"/>
      <c r="R4232" s="7"/>
      <c r="T4232" s="7"/>
      <c r="V4232" s="7"/>
      <c r="X4232" s="7"/>
    </row>
    <row r="4233" spans="2:24">
      <c r="B4233" s="7"/>
      <c r="D4233" s="7"/>
      <c r="F4233" s="7"/>
      <c r="H4233" s="7"/>
      <c r="J4233" s="7"/>
      <c r="L4233" s="7"/>
      <c r="N4233" s="7"/>
      <c r="P4233" s="7"/>
      <c r="R4233" s="7"/>
      <c r="T4233" s="7"/>
      <c r="V4233" s="7"/>
      <c r="X4233" s="7"/>
    </row>
    <row r="4234" spans="2:24">
      <c r="B4234" s="7"/>
      <c r="D4234" s="7"/>
      <c r="F4234" s="7"/>
      <c r="H4234" s="7"/>
      <c r="J4234" s="7"/>
      <c r="L4234" s="7"/>
      <c r="N4234" s="7"/>
      <c r="P4234" s="7"/>
      <c r="R4234" s="7"/>
      <c r="T4234" s="7"/>
      <c r="V4234" s="7"/>
      <c r="X4234" s="7"/>
    </row>
    <row r="4235" spans="2:24">
      <c r="B4235" s="7"/>
      <c r="D4235" s="7"/>
      <c r="F4235" s="7"/>
      <c r="H4235" s="7"/>
      <c r="J4235" s="7"/>
      <c r="L4235" s="7"/>
      <c r="N4235" s="7"/>
      <c r="P4235" s="7"/>
      <c r="R4235" s="7"/>
      <c r="T4235" s="7"/>
      <c r="V4235" s="7"/>
      <c r="X4235" s="7"/>
    </row>
    <row r="4236" spans="2:24">
      <c r="B4236" s="7"/>
      <c r="D4236" s="7"/>
      <c r="F4236" s="7"/>
      <c r="H4236" s="7"/>
      <c r="J4236" s="7"/>
      <c r="L4236" s="7"/>
      <c r="N4236" s="7"/>
      <c r="P4236" s="7"/>
      <c r="R4236" s="7"/>
      <c r="T4236" s="7"/>
      <c r="V4236" s="7"/>
      <c r="X4236" s="7"/>
    </row>
    <row r="4237" spans="2:24">
      <c r="B4237" s="7"/>
      <c r="D4237" s="7"/>
      <c r="F4237" s="7"/>
      <c r="H4237" s="7"/>
      <c r="J4237" s="7"/>
      <c r="L4237" s="7"/>
      <c r="N4237" s="7"/>
      <c r="P4237" s="7"/>
      <c r="R4237" s="7"/>
      <c r="T4237" s="7"/>
      <c r="V4237" s="7"/>
      <c r="X4237" s="7"/>
    </row>
    <row r="4238" spans="2:24">
      <c r="B4238" s="7"/>
      <c r="D4238" s="7"/>
      <c r="F4238" s="7"/>
      <c r="H4238" s="7"/>
      <c r="J4238" s="7"/>
      <c r="L4238" s="7"/>
      <c r="N4238" s="7"/>
      <c r="P4238" s="7"/>
      <c r="R4238" s="7"/>
      <c r="T4238" s="7"/>
      <c r="V4238" s="7"/>
      <c r="X4238" s="7"/>
    </row>
    <row r="4239" spans="2:24">
      <c r="B4239" s="7"/>
      <c r="D4239" s="7"/>
      <c r="F4239" s="7"/>
      <c r="H4239" s="7"/>
      <c r="J4239" s="7"/>
      <c r="L4239" s="7"/>
      <c r="N4239" s="7"/>
      <c r="P4239" s="7"/>
      <c r="R4239" s="7"/>
      <c r="T4239" s="7"/>
      <c r="V4239" s="7"/>
      <c r="X4239" s="7"/>
    </row>
    <row r="4240" spans="2:24">
      <c r="B4240" s="7"/>
      <c r="D4240" s="7"/>
      <c r="F4240" s="7"/>
      <c r="H4240" s="7"/>
      <c r="J4240" s="7"/>
      <c r="L4240" s="7"/>
      <c r="N4240" s="7"/>
      <c r="P4240" s="7"/>
      <c r="R4240" s="7"/>
      <c r="T4240" s="7"/>
      <c r="V4240" s="7"/>
      <c r="X4240" s="7"/>
    </row>
    <row r="4241" spans="2:24">
      <c r="B4241" s="7"/>
      <c r="D4241" s="7"/>
      <c r="F4241" s="7"/>
      <c r="H4241" s="7"/>
      <c r="J4241" s="7"/>
      <c r="L4241" s="7"/>
      <c r="N4241" s="7"/>
      <c r="P4241" s="7"/>
      <c r="R4241" s="7"/>
      <c r="T4241" s="7"/>
      <c r="V4241" s="7"/>
      <c r="X4241" s="7"/>
    </row>
    <row r="4242" spans="2:24">
      <c r="B4242" s="7"/>
      <c r="D4242" s="7"/>
      <c r="F4242" s="7"/>
      <c r="H4242" s="7"/>
      <c r="J4242" s="7"/>
      <c r="L4242" s="7"/>
      <c r="N4242" s="7"/>
      <c r="P4242" s="7"/>
      <c r="R4242" s="7"/>
      <c r="T4242" s="7"/>
      <c r="V4242" s="7"/>
      <c r="X4242" s="7"/>
    </row>
    <row r="4243" spans="2:24">
      <c r="B4243" s="7"/>
      <c r="D4243" s="7"/>
      <c r="F4243" s="7"/>
      <c r="H4243" s="7"/>
      <c r="J4243" s="7"/>
      <c r="L4243" s="7"/>
      <c r="N4243" s="7"/>
      <c r="P4243" s="7"/>
      <c r="R4243" s="7"/>
      <c r="T4243" s="7"/>
      <c r="V4243" s="7"/>
      <c r="X4243" s="7"/>
    </row>
    <row r="4244" spans="2:24">
      <c r="B4244" s="7"/>
      <c r="D4244" s="7"/>
      <c r="F4244" s="7"/>
      <c r="H4244" s="7"/>
      <c r="J4244" s="7"/>
      <c r="L4244" s="7"/>
      <c r="N4244" s="7"/>
      <c r="P4244" s="7"/>
      <c r="R4244" s="7"/>
      <c r="T4244" s="7"/>
      <c r="V4244" s="7"/>
      <c r="X4244" s="7"/>
    </row>
    <row r="4245" spans="2:24">
      <c r="B4245" s="7"/>
      <c r="D4245" s="7"/>
      <c r="F4245" s="7"/>
      <c r="H4245" s="7"/>
      <c r="J4245" s="7"/>
      <c r="L4245" s="7"/>
      <c r="N4245" s="7"/>
      <c r="P4245" s="7"/>
      <c r="R4245" s="7"/>
      <c r="T4245" s="7"/>
      <c r="V4245" s="7"/>
      <c r="X4245" s="7"/>
    </row>
    <row r="4246" spans="2:24">
      <c r="B4246" s="7"/>
      <c r="D4246" s="7"/>
      <c r="F4246" s="7"/>
      <c r="H4246" s="7"/>
      <c r="J4246" s="7"/>
      <c r="L4246" s="7"/>
      <c r="N4246" s="7"/>
      <c r="P4246" s="7"/>
      <c r="R4246" s="7"/>
      <c r="T4246" s="7"/>
      <c r="V4246" s="7"/>
      <c r="X4246" s="7"/>
    </row>
    <row r="4247" spans="2:24">
      <c r="B4247" s="7"/>
      <c r="D4247" s="7"/>
      <c r="F4247" s="7"/>
      <c r="H4247" s="7"/>
      <c r="J4247" s="7"/>
      <c r="L4247" s="7"/>
      <c r="N4247" s="7"/>
      <c r="P4247" s="7"/>
      <c r="R4247" s="7"/>
      <c r="T4247" s="7"/>
      <c r="V4247" s="7"/>
      <c r="X4247" s="7"/>
    </row>
    <row r="4248" spans="2:24">
      <c r="B4248" s="7"/>
      <c r="D4248" s="7"/>
      <c r="F4248" s="7"/>
      <c r="H4248" s="7"/>
      <c r="J4248" s="7"/>
      <c r="L4248" s="7"/>
      <c r="N4248" s="7"/>
      <c r="P4248" s="7"/>
      <c r="R4248" s="7"/>
      <c r="T4248" s="7"/>
      <c r="V4248" s="7"/>
      <c r="X4248" s="7"/>
    </row>
    <row r="4249" spans="2:24">
      <c r="B4249" s="7"/>
      <c r="D4249" s="7"/>
      <c r="F4249" s="7"/>
      <c r="H4249" s="7"/>
      <c r="J4249" s="7"/>
      <c r="L4249" s="7"/>
      <c r="N4249" s="7"/>
      <c r="P4249" s="7"/>
      <c r="R4249" s="7"/>
      <c r="T4249" s="7"/>
      <c r="V4249" s="7"/>
      <c r="X4249" s="7"/>
    </row>
    <row r="4250" spans="2:24">
      <c r="B4250" s="7"/>
      <c r="D4250" s="7"/>
      <c r="F4250" s="7"/>
      <c r="H4250" s="7"/>
      <c r="J4250" s="7"/>
      <c r="L4250" s="7"/>
      <c r="N4250" s="7"/>
      <c r="P4250" s="7"/>
      <c r="R4250" s="7"/>
      <c r="T4250" s="7"/>
      <c r="V4250" s="7"/>
      <c r="X4250" s="7"/>
    </row>
    <row r="4251" spans="2:24">
      <c r="B4251" s="7"/>
      <c r="D4251" s="7"/>
      <c r="F4251" s="7"/>
      <c r="H4251" s="7"/>
      <c r="J4251" s="7"/>
      <c r="L4251" s="7"/>
      <c r="N4251" s="7"/>
      <c r="P4251" s="7"/>
      <c r="R4251" s="7"/>
      <c r="T4251" s="7"/>
      <c r="V4251" s="7"/>
      <c r="X4251" s="7"/>
    </row>
    <row r="4252" spans="2:24">
      <c r="B4252" s="7"/>
      <c r="D4252" s="7"/>
      <c r="F4252" s="7"/>
      <c r="H4252" s="7"/>
      <c r="J4252" s="7"/>
      <c r="L4252" s="7"/>
      <c r="N4252" s="7"/>
      <c r="P4252" s="7"/>
      <c r="R4252" s="7"/>
      <c r="T4252" s="7"/>
      <c r="V4252" s="7"/>
      <c r="X4252" s="7"/>
    </row>
    <row r="4253" spans="2:24">
      <c r="B4253" s="7"/>
      <c r="D4253" s="7"/>
      <c r="F4253" s="7"/>
      <c r="H4253" s="7"/>
      <c r="J4253" s="7"/>
      <c r="L4253" s="7"/>
      <c r="N4253" s="7"/>
      <c r="P4253" s="7"/>
      <c r="R4253" s="7"/>
      <c r="T4253" s="7"/>
      <c r="V4253" s="7"/>
      <c r="X4253" s="7"/>
    </row>
    <row r="4254" spans="2:24">
      <c r="B4254" s="7"/>
      <c r="D4254" s="7"/>
      <c r="F4254" s="7"/>
      <c r="H4254" s="7"/>
      <c r="J4254" s="7"/>
      <c r="L4254" s="7"/>
      <c r="N4254" s="7"/>
      <c r="P4254" s="7"/>
      <c r="R4254" s="7"/>
      <c r="T4254" s="7"/>
      <c r="V4254" s="7"/>
      <c r="X4254" s="7"/>
    </row>
    <row r="4255" spans="2:24">
      <c r="B4255" s="7"/>
      <c r="D4255" s="7"/>
      <c r="F4255" s="7"/>
      <c r="H4255" s="7"/>
      <c r="J4255" s="7"/>
      <c r="L4255" s="7"/>
      <c r="N4255" s="7"/>
      <c r="P4255" s="7"/>
      <c r="R4255" s="7"/>
      <c r="T4255" s="7"/>
      <c r="V4255" s="7"/>
      <c r="X4255" s="7"/>
    </row>
    <row r="4256" spans="2:24">
      <c r="B4256" s="7"/>
      <c r="D4256" s="7"/>
      <c r="F4256" s="7"/>
      <c r="H4256" s="7"/>
      <c r="J4256" s="7"/>
      <c r="L4256" s="7"/>
      <c r="N4256" s="7"/>
      <c r="P4256" s="7"/>
      <c r="R4256" s="7"/>
      <c r="T4256" s="7"/>
      <c r="V4256" s="7"/>
      <c r="X4256" s="7"/>
    </row>
    <row r="4257" spans="2:24">
      <c r="B4257" s="7"/>
      <c r="D4257" s="7"/>
      <c r="F4257" s="7"/>
      <c r="H4257" s="7"/>
      <c r="J4257" s="7"/>
      <c r="L4257" s="7"/>
      <c r="N4257" s="7"/>
      <c r="P4257" s="7"/>
      <c r="R4257" s="7"/>
      <c r="T4257" s="7"/>
      <c r="V4257" s="7"/>
      <c r="X4257" s="7"/>
    </row>
    <row r="4258" spans="2:24">
      <c r="B4258" s="7"/>
      <c r="D4258" s="7"/>
      <c r="F4258" s="7"/>
      <c r="H4258" s="7"/>
      <c r="J4258" s="7"/>
      <c r="L4258" s="7"/>
      <c r="N4258" s="7"/>
      <c r="P4258" s="7"/>
      <c r="R4258" s="7"/>
      <c r="T4258" s="7"/>
      <c r="V4258" s="7"/>
      <c r="X4258" s="7"/>
    </row>
    <row r="4259" spans="2:24">
      <c r="B4259" s="7"/>
      <c r="D4259" s="7"/>
      <c r="F4259" s="7"/>
      <c r="H4259" s="7"/>
      <c r="J4259" s="7"/>
      <c r="L4259" s="7"/>
      <c r="N4259" s="7"/>
      <c r="P4259" s="7"/>
      <c r="R4259" s="7"/>
      <c r="T4259" s="7"/>
      <c r="V4259" s="7"/>
      <c r="X4259" s="7"/>
    </row>
    <row r="4260" spans="2:24">
      <c r="B4260" s="7"/>
      <c r="D4260" s="7"/>
      <c r="F4260" s="7"/>
      <c r="H4260" s="7"/>
      <c r="J4260" s="7"/>
      <c r="L4260" s="7"/>
      <c r="N4260" s="7"/>
      <c r="P4260" s="7"/>
      <c r="R4260" s="7"/>
      <c r="T4260" s="7"/>
      <c r="V4260" s="7"/>
      <c r="X4260" s="7"/>
    </row>
    <row r="4261" spans="2:24">
      <c r="B4261" s="7"/>
      <c r="D4261" s="7"/>
      <c r="F4261" s="7"/>
      <c r="H4261" s="7"/>
      <c r="J4261" s="7"/>
      <c r="L4261" s="7"/>
      <c r="N4261" s="7"/>
      <c r="P4261" s="7"/>
      <c r="R4261" s="7"/>
      <c r="T4261" s="7"/>
      <c r="V4261" s="7"/>
      <c r="X4261" s="7"/>
    </row>
    <row r="4262" spans="2:24">
      <c r="B4262" s="7"/>
      <c r="D4262" s="7"/>
      <c r="F4262" s="7"/>
      <c r="H4262" s="7"/>
      <c r="J4262" s="7"/>
      <c r="L4262" s="7"/>
      <c r="N4262" s="7"/>
      <c r="P4262" s="7"/>
      <c r="R4262" s="7"/>
      <c r="T4262" s="7"/>
      <c r="V4262" s="7"/>
      <c r="X4262" s="7"/>
    </row>
    <row r="4263" spans="2:24">
      <c r="B4263" s="7"/>
      <c r="D4263" s="7"/>
      <c r="F4263" s="7"/>
      <c r="H4263" s="7"/>
      <c r="J4263" s="7"/>
      <c r="L4263" s="7"/>
      <c r="N4263" s="7"/>
      <c r="P4263" s="7"/>
      <c r="R4263" s="7"/>
      <c r="T4263" s="7"/>
      <c r="V4263" s="7"/>
      <c r="X4263" s="7"/>
    </row>
    <row r="4264" spans="2:24">
      <c r="B4264" s="7"/>
      <c r="D4264" s="7"/>
      <c r="F4264" s="7"/>
      <c r="H4264" s="7"/>
      <c r="J4264" s="7"/>
      <c r="L4264" s="7"/>
      <c r="N4264" s="7"/>
      <c r="P4264" s="7"/>
      <c r="R4264" s="7"/>
      <c r="T4264" s="7"/>
      <c r="V4264" s="7"/>
      <c r="X4264" s="7"/>
    </row>
    <row r="4265" spans="2:24">
      <c r="B4265" s="7"/>
      <c r="D4265" s="7"/>
      <c r="F4265" s="7"/>
      <c r="H4265" s="7"/>
      <c r="J4265" s="7"/>
      <c r="L4265" s="7"/>
      <c r="N4265" s="7"/>
      <c r="P4265" s="7"/>
      <c r="R4265" s="7"/>
      <c r="T4265" s="7"/>
      <c r="V4265" s="7"/>
      <c r="X4265" s="7"/>
    </row>
    <row r="4266" spans="2:24">
      <c r="B4266" s="7"/>
      <c r="D4266" s="7"/>
      <c r="F4266" s="7"/>
      <c r="H4266" s="7"/>
      <c r="J4266" s="7"/>
      <c r="L4266" s="7"/>
      <c r="N4266" s="7"/>
      <c r="P4266" s="7"/>
      <c r="R4266" s="7"/>
      <c r="T4266" s="7"/>
      <c r="V4266" s="7"/>
      <c r="X4266" s="7"/>
    </row>
    <row r="4267" spans="2:24">
      <c r="B4267" s="7"/>
      <c r="D4267" s="7"/>
      <c r="F4267" s="7"/>
      <c r="H4267" s="7"/>
      <c r="J4267" s="7"/>
      <c r="L4267" s="7"/>
      <c r="N4267" s="7"/>
      <c r="P4267" s="7"/>
      <c r="R4267" s="7"/>
      <c r="T4267" s="7"/>
      <c r="V4267" s="7"/>
      <c r="X4267" s="7"/>
    </row>
    <row r="4268" spans="2:24">
      <c r="B4268" s="7"/>
      <c r="D4268" s="7"/>
      <c r="F4268" s="7"/>
      <c r="H4268" s="7"/>
      <c r="J4268" s="7"/>
      <c r="L4268" s="7"/>
      <c r="N4268" s="7"/>
      <c r="P4268" s="7"/>
      <c r="R4268" s="7"/>
      <c r="T4268" s="7"/>
      <c r="V4268" s="7"/>
      <c r="X4268" s="7"/>
    </row>
    <row r="4269" spans="2:24">
      <c r="B4269" s="7"/>
      <c r="D4269" s="7"/>
      <c r="F4269" s="7"/>
      <c r="H4269" s="7"/>
      <c r="J4269" s="7"/>
      <c r="L4269" s="7"/>
      <c r="N4269" s="7"/>
      <c r="P4269" s="7"/>
      <c r="R4269" s="7"/>
      <c r="T4269" s="7"/>
      <c r="V4269" s="7"/>
      <c r="X4269" s="7"/>
    </row>
    <row r="4270" spans="2:24">
      <c r="B4270" s="7"/>
      <c r="D4270" s="7"/>
      <c r="F4270" s="7"/>
      <c r="H4270" s="7"/>
      <c r="J4270" s="7"/>
      <c r="L4270" s="7"/>
      <c r="N4270" s="7"/>
      <c r="P4270" s="7"/>
      <c r="R4270" s="7"/>
      <c r="T4270" s="7"/>
      <c r="V4270" s="7"/>
      <c r="X4270" s="7"/>
    </row>
    <row r="4271" spans="2:24">
      <c r="B4271" s="7"/>
      <c r="D4271" s="7"/>
      <c r="F4271" s="7"/>
      <c r="H4271" s="7"/>
      <c r="J4271" s="7"/>
      <c r="L4271" s="7"/>
      <c r="N4271" s="7"/>
      <c r="P4271" s="7"/>
      <c r="R4271" s="7"/>
      <c r="T4271" s="7"/>
      <c r="V4271" s="7"/>
      <c r="X4271" s="7"/>
    </row>
    <row r="4272" spans="2:24">
      <c r="B4272" s="7"/>
      <c r="D4272" s="7"/>
      <c r="F4272" s="7"/>
      <c r="H4272" s="7"/>
      <c r="J4272" s="7"/>
      <c r="L4272" s="7"/>
      <c r="N4272" s="7"/>
      <c r="P4272" s="7"/>
      <c r="R4272" s="7"/>
      <c r="T4272" s="7"/>
      <c r="V4272" s="7"/>
      <c r="X4272" s="7"/>
    </row>
    <row r="4273" spans="2:24">
      <c r="B4273" s="7"/>
      <c r="D4273" s="7"/>
      <c r="F4273" s="7"/>
      <c r="H4273" s="7"/>
      <c r="J4273" s="7"/>
      <c r="L4273" s="7"/>
      <c r="N4273" s="7"/>
      <c r="P4273" s="7"/>
      <c r="R4273" s="7"/>
      <c r="T4273" s="7"/>
      <c r="V4273" s="7"/>
      <c r="X4273" s="7"/>
    </row>
    <row r="4274" spans="2:24">
      <c r="B4274" s="7"/>
      <c r="D4274" s="7"/>
      <c r="F4274" s="7"/>
      <c r="H4274" s="7"/>
      <c r="J4274" s="7"/>
      <c r="L4274" s="7"/>
      <c r="N4274" s="7"/>
      <c r="P4274" s="7"/>
      <c r="R4274" s="7"/>
      <c r="T4274" s="7"/>
      <c r="V4274" s="7"/>
      <c r="X4274" s="7"/>
    </row>
    <row r="4275" spans="2:24">
      <c r="B4275" s="7"/>
      <c r="D4275" s="7"/>
      <c r="F4275" s="7"/>
      <c r="H4275" s="7"/>
      <c r="J4275" s="7"/>
      <c r="L4275" s="7"/>
      <c r="N4275" s="7"/>
      <c r="P4275" s="7"/>
      <c r="R4275" s="7"/>
      <c r="T4275" s="7"/>
      <c r="V4275" s="7"/>
      <c r="X4275" s="7"/>
    </row>
    <row r="4276" spans="2:24">
      <c r="B4276" s="7"/>
      <c r="D4276" s="7"/>
      <c r="F4276" s="7"/>
      <c r="H4276" s="7"/>
      <c r="J4276" s="7"/>
      <c r="L4276" s="7"/>
      <c r="N4276" s="7"/>
      <c r="P4276" s="7"/>
      <c r="R4276" s="7"/>
      <c r="T4276" s="7"/>
      <c r="V4276" s="7"/>
      <c r="X4276" s="7"/>
    </row>
    <row r="4277" spans="2:24">
      <c r="B4277" s="7"/>
      <c r="D4277" s="7"/>
      <c r="F4277" s="7"/>
      <c r="H4277" s="7"/>
      <c r="J4277" s="7"/>
      <c r="L4277" s="7"/>
      <c r="N4277" s="7"/>
      <c r="P4277" s="7"/>
      <c r="R4277" s="7"/>
      <c r="T4277" s="7"/>
      <c r="V4277" s="7"/>
      <c r="X4277" s="7"/>
    </row>
    <row r="4278" spans="2:24">
      <c r="B4278" s="7"/>
      <c r="D4278" s="7"/>
      <c r="F4278" s="7"/>
      <c r="H4278" s="7"/>
      <c r="J4278" s="7"/>
      <c r="L4278" s="7"/>
      <c r="N4278" s="7"/>
      <c r="P4278" s="7"/>
      <c r="R4278" s="7"/>
      <c r="T4278" s="7"/>
      <c r="V4278" s="7"/>
      <c r="X4278" s="7"/>
    </row>
    <row r="4279" spans="2:24">
      <c r="B4279" s="7"/>
      <c r="D4279" s="7"/>
      <c r="F4279" s="7"/>
      <c r="H4279" s="7"/>
      <c r="J4279" s="7"/>
      <c r="L4279" s="7"/>
      <c r="N4279" s="7"/>
      <c r="P4279" s="7"/>
      <c r="R4279" s="7"/>
      <c r="T4279" s="7"/>
      <c r="V4279" s="7"/>
      <c r="X4279" s="7"/>
    </row>
    <row r="4280" spans="2:24">
      <c r="B4280" s="7"/>
      <c r="D4280" s="7"/>
      <c r="F4280" s="7"/>
      <c r="H4280" s="7"/>
      <c r="J4280" s="7"/>
      <c r="L4280" s="7"/>
      <c r="N4280" s="7"/>
      <c r="P4280" s="7"/>
      <c r="R4280" s="7"/>
      <c r="T4280" s="7"/>
      <c r="V4280" s="7"/>
      <c r="X4280" s="7"/>
    </row>
    <row r="4281" spans="2:24">
      <c r="B4281" s="7"/>
      <c r="D4281" s="7"/>
      <c r="F4281" s="7"/>
      <c r="H4281" s="7"/>
      <c r="J4281" s="7"/>
      <c r="L4281" s="7"/>
      <c r="N4281" s="7"/>
      <c r="P4281" s="7"/>
      <c r="R4281" s="7"/>
      <c r="T4281" s="7"/>
      <c r="V4281" s="7"/>
      <c r="X4281" s="7"/>
    </row>
    <row r="4282" spans="2:24">
      <c r="B4282" s="7"/>
      <c r="D4282" s="7"/>
      <c r="F4282" s="7"/>
      <c r="H4282" s="7"/>
      <c r="J4282" s="7"/>
      <c r="L4282" s="7"/>
      <c r="N4282" s="7"/>
      <c r="P4282" s="7"/>
      <c r="R4282" s="7"/>
      <c r="T4282" s="7"/>
      <c r="V4282" s="7"/>
      <c r="X4282" s="7"/>
    </row>
    <row r="4283" spans="2:24">
      <c r="B4283" s="7"/>
      <c r="D4283" s="7"/>
      <c r="F4283" s="7"/>
      <c r="H4283" s="7"/>
      <c r="J4283" s="7"/>
      <c r="L4283" s="7"/>
      <c r="N4283" s="7"/>
      <c r="P4283" s="7"/>
      <c r="R4283" s="7"/>
      <c r="T4283" s="7"/>
      <c r="V4283" s="7"/>
      <c r="X4283" s="7"/>
    </row>
    <row r="4284" spans="2:24">
      <c r="B4284" s="7"/>
      <c r="D4284" s="7"/>
      <c r="F4284" s="7"/>
      <c r="H4284" s="7"/>
      <c r="J4284" s="7"/>
      <c r="L4284" s="7"/>
      <c r="N4284" s="7"/>
      <c r="P4284" s="7"/>
      <c r="R4284" s="7"/>
      <c r="T4284" s="7"/>
      <c r="V4284" s="7"/>
      <c r="X4284" s="7"/>
    </row>
    <row r="4285" spans="2:24">
      <c r="B4285" s="7"/>
      <c r="D4285" s="7"/>
      <c r="F4285" s="7"/>
      <c r="H4285" s="7"/>
      <c r="J4285" s="7"/>
      <c r="L4285" s="7"/>
      <c r="N4285" s="7"/>
      <c r="P4285" s="7"/>
      <c r="R4285" s="7"/>
      <c r="T4285" s="7"/>
      <c r="V4285" s="7"/>
      <c r="X4285" s="7"/>
    </row>
    <row r="4286" spans="2:24">
      <c r="B4286" s="7"/>
      <c r="D4286" s="7"/>
      <c r="F4286" s="7"/>
      <c r="H4286" s="7"/>
      <c r="J4286" s="7"/>
      <c r="L4286" s="7"/>
      <c r="N4286" s="7"/>
      <c r="P4286" s="7"/>
      <c r="R4286" s="7"/>
      <c r="T4286" s="7"/>
      <c r="V4286" s="7"/>
      <c r="X4286" s="7"/>
    </row>
    <row r="4287" spans="2:24">
      <c r="B4287" s="7"/>
      <c r="D4287" s="7"/>
      <c r="F4287" s="7"/>
      <c r="H4287" s="7"/>
      <c r="J4287" s="7"/>
      <c r="L4287" s="7"/>
      <c r="N4287" s="7"/>
      <c r="P4287" s="7"/>
      <c r="R4287" s="7"/>
      <c r="T4287" s="7"/>
      <c r="V4287" s="7"/>
      <c r="X4287" s="7"/>
    </row>
    <row r="4288" spans="2:24">
      <c r="B4288" s="7"/>
      <c r="D4288" s="7"/>
      <c r="F4288" s="7"/>
      <c r="H4288" s="7"/>
      <c r="J4288" s="7"/>
      <c r="L4288" s="7"/>
      <c r="N4288" s="7"/>
      <c r="P4288" s="7"/>
      <c r="R4288" s="7"/>
      <c r="T4288" s="7"/>
      <c r="V4288" s="7"/>
      <c r="X4288" s="7"/>
    </row>
    <row r="4289" spans="2:24">
      <c r="B4289" s="7"/>
      <c r="D4289" s="7"/>
      <c r="F4289" s="7"/>
      <c r="H4289" s="7"/>
      <c r="J4289" s="7"/>
      <c r="L4289" s="7"/>
      <c r="N4289" s="7"/>
      <c r="P4289" s="7"/>
      <c r="R4289" s="7"/>
      <c r="T4289" s="7"/>
      <c r="V4289" s="7"/>
      <c r="X4289" s="7"/>
    </row>
    <row r="4290" spans="2:24">
      <c r="B4290" s="7"/>
      <c r="D4290" s="7"/>
      <c r="F4290" s="7"/>
      <c r="H4290" s="7"/>
      <c r="J4290" s="7"/>
      <c r="L4290" s="7"/>
      <c r="N4290" s="7"/>
      <c r="P4290" s="7"/>
      <c r="R4290" s="7"/>
      <c r="T4290" s="7"/>
      <c r="V4290" s="7"/>
      <c r="X4290" s="7"/>
    </row>
    <row r="4291" spans="2:24">
      <c r="B4291" s="7"/>
      <c r="D4291" s="7"/>
      <c r="F4291" s="7"/>
      <c r="H4291" s="7"/>
      <c r="J4291" s="7"/>
      <c r="L4291" s="7"/>
      <c r="N4291" s="7"/>
      <c r="P4291" s="7"/>
      <c r="R4291" s="7"/>
      <c r="T4291" s="7"/>
      <c r="V4291" s="7"/>
      <c r="X4291" s="7"/>
    </row>
    <row r="4292" spans="2:24">
      <c r="B4292" s="7"/>
      <c r="D4292" s="7"/>
      <c r="F4292" s="7"/>
      <c r="H4292" s="7"/>
      <c r="J4292" s="7"/>
      <c r="L4292" s="7"/>
      <c r="N4292" s="7"/>
      <c r="P4292" s="7"/>
      <c r="R4292" s="7"/>
      <c r="T4292" s="7"/>
      <c r="V4292" s="7"/>
      <c r="X4292" s="7"/>
    </row>
    <row r="4293" spans="2:24">
      <c r="B4293" s="7"/>
      <c r="D4293" s="7"/>
      <c r="F4293" s="7"/>
      <c r="H4293" s="7"/>
      <c r="J4293" s="7"/>
      <c r="L4293" s="7"/>
      <c r="N4293" s="7"/>
      <c r="P4293" s="7"/>
      <c r="R4293" s="7"/>
      <c r="T4293" s="7"/>
      <c r="V4293" s="7"/>
      <c r="X4293" s="7"/>
    </row>
    <row r="4294" spans="2:24">
      <c r="B4294" s="7"/>
      <c r="D4294" s="7"/>
      <c r="F4294" s="7"/>
      <c r="H4294" s="7"/>
      <c r="J4294" s="7"/>
      <c r="L4294" s="7"/>
      <c r="N4294" s="7"/>
      <c r="P4294" s="7"/>
      <c r="R4294" s="7"/>
      <c r="T4294" s="7"/>
      <c r="V4294" s="7"/>
      <c r="X4294" s="7"/>
    </row>
    <row r="4295" spans="2:24">
      <c r="B4295" s="7"/>
      <c r="D4295" s="7"/>
      <c r="F4295" s="7"/>
      <c r="H4295" s="7"/>
      <c r="J4295" s="7"/>
      <c r="L4295" s="7"/>
      <c r="N4295" s="7"/>
      <c r="P4295" s="7"/>
      <c r="R4295" s="7"/>
      <c r="T4295" s="7"/>
      <c r="V4295" s="7"/>
      <c r="X4295" s="7"/>
    </row>
    <row r="4296" spans="2:24">
      <c r="B4296" s="7"/>
      <c r="D4296" s="7"/>
      <c r="F4296" s="7"/>
      <c r="H4296" s="7"/>
      <c r="J4296" s="7"/>
      <c r="L4296" s="7"/>
      <c r="N4296" s="7"/>
      <c r="P4296" s="7"/>
      <c r="R4296" s="7"/>
      <c r="T4296" s="7"/>
      <c r="V4296" s="7"/>
      <c r="X4296" s="7"/>
    </row>
    <row r="4297" spans="2:24">
      <c r="B4297" s="7"/>
      <c r="D4297" s="7"/>
      <c r="F4297" s="7"/>
      <c r="H4297" s="7"/>
      <c r="J4297" s="7"/>
      <c r="L4297" s="7"/>
      <c r="N4297" s="7"/>
      <c r="P4297" s="7"/>
      <c r="R4297" s="7"/>
      <c r="T4297" s="7"/>
      <c r="V4297" s="7"/>
      <c r="X4297" s="7"/>
    </row>
    <row r="4298" spans="2:24">
      <c r="B4298" s="7"/>
      <c r="D4298" s="7"/>
      <c r="F4298" s="7"/>
      <c r="H4298" s="7"/>
      <c r="J4298" s="7"/>
      <c r="L4298" s="7"/>
      <c r="N4298" s="7"/>
      <c r="P4298" s="7"/>
      <c r="R4298" s="7"/>
      <c r="T4298" s="7"/>
      <c r="V4298" s="7"/>
      <c r="X4298" s="7"/>
    </row>
    <row r="4299" spans="2:24">
      <c r="B4299" s="7"/>
      <c r="D4299" s="7"/>
      <c r="F4299" s="7"/>
      <c r="H4299" s="7"/>
      <c r="J4299" s="7"/>
      <c r="L4299" s="7"/>
      <c r="N4299" s="7"/>
      <c r="P4299" s="7"/>
      <c r="R4299" s="7"/>
      <c r="T4299" s="7"/>
      <c r="V4299" s="7"/>
      <c r="X4299" s="7"/>
    </row>
    <row r="4300" spans="2:24">
      <c r="B4300" s="7"/>
      <c r="D4300" s="7"/>
      <c r="F4300" s="7"/>
      <c r="H4300" s="7"/>
      <c r="J4300" s="7"/>
      <c r="L4300" s="7"/>
      <c r="N4300" s="7"/>
      <c r="P4300" s="7"/>
      <c r="R4300" s="7"/>
      <c r="T4300" s="7"/>
      <c r="V4300" s="7"/>
      <c r="X4300" s="7"/>
    </row>
    <row r="4301" spans="2:24">
      <c r="B4301" s="7"/>
      <c r="D4301" s="7"/>
      <c r="F4301" s="7"/>
      <c r="H4301" s="7"/>
      <c r="J4301" s="7"/>
      <c r="L4301" s="7"/>
      <c r="N4301" s="7"/>
      <c r="P4301" s="7"/>
      <c r="R4301" s="7"/>
      <c r="T4301" s="7"/>
      <c r="V4301" s="7"/>
      <c r="X4301" s="7"/>
    </row>
    <row r="4302" spans="2:24">
      <c r="B4302" s="7"/>
      <c r="D4302" s="7"/>
      <c r="F4302" s="7"/>
      <c r="H4302" s="7"/>
      <c r="J4302" s="7"/>
      <c r="L4302" s="7"/>
      <c r="N4302" s="7"/>
      <c r="P4302" s="7"/>
      <c r="R4302" s="7"/>
      <c r="T4302" s="7"/>
      <c r="V4302" s="7"/>
      <c r="X4302" s="7"/>
    </row>
    <row r="4303" spans="2:24">
      <c r="B4303" s="7"/>
      <c r="D4303" s="7"/>
      <c r="F4303" s="7"/>
      <c r="H4303" s="7"/>
      <c r="J4303" s="7"/>
      <c r="L4303" s="7"/>
      <c r="N4303" s="7"/>
      <c r="P4303" s="7"/>
      <c r="R4303" s="7"/>
      <c r="T4303" s="7"/>
      <c r="V4303" s="7"/>
      <c r="X4303" s="7"/>
    </row>
    <row r="4304" spans="2:24">
      <c r="B4304" s="7"/>
      <c r="D4304" s="7"/>
      <c r="F4304" s="7"/>
      <c r="H4304" s="7"/>
      <c r="J4304" s="7"/>
      <c r="L4304" s="7"/>
      <c r="N4304" s="7"/>
      <c r="P4304" s="7"/>
      <c r="R4304" s="7"/>
      <c r="T4304" s="7"/>
      <c r="V4304" s="7"/>
      <c r="X4304" s="7"/>
    </row>
    <row r="4305" spans="2:24">
      <c r="B4305" s="7"/>
      <c r="D4305" s="7"/>
      <c r="F4305" s="7"/>
      <c r="H4305" s="7"/>
      <c r="J4305" s="7"/>
      <c r="L4305" s="7"/>
      <c r="N4305" s="7"/>
      <c r="P4305" s="7"/>
      <c r="R4305" s="7"/>
      <c r="T4305" s="7"/>
      <c r="V4305" s="7"/>
      <c r="X4305" s="7"/>
    </row>
    <row r="4306" spans="2:24">
      <c r="B4306" s="7"/>
      <c r="D4306" s="7"/>
      <c r="F4306" s="7"/>
      <c r="H4306" s="7"/>
      <c r="J4306" s="7"/>
      <c r="L4306" s="7"/>
      <c r="N4306" s="7"/>
      <c r="P4306" s="7"/>
      <c r="R4306" s="7"/>
      <c r="T4306" s="7"/>
      <c r="V4306" s="7"/>
      <c r="X4306" s="7"/>
    </row>
    <row r="4307" spans="2:24">
      <c r="B4307" s="7"/>
      <c r="D4307" s="7"/>
      <c r="F4307" s="7"/>
      <c r="H4307" s="7"/>
      <c r="J4307" s="7"/>
      <c r="L4307" s="7"/>
      <c r="N4307" s="7"/>
      <c r="P4307" s="7"/>
      <c r="R4307" s="7"/>
      <c r="T4307" s="7"/>
      <c r="V4307" s="7"/>
      <c r="X4307" s="7"/>
    </row>
    <row r="4308" spans="2:24">
      <c r="B4308" s="7"/>
      <c r="D4308" s="7"/>
      <c r="F4308" s="7"/>
      <c r="H4308" s="7"/>
      <c r="J4308" s="7"/>
      <c r="L4308" s="7"/>
      <c r="N4308" s="7"/>
      <c r="P4308" s="7"/>
      <c r="R4308" s="7"/>
      <c r="T4308" s="7"/>
      <c r="V4308" s="7"/>
      <c r="X4308" s="7"/>
    </row>
    <row r="4309" spans="2:24">
      <c r="B4309" s="7"/>
      <c r="D4309" s="7"/>
      <c r="F4309" s="7"/>
      <c r="H4309" s="7"/>
      <c r="J4309" s="7"/>
      <c r="L4309" s="7"/>
      <c r="N4309" s="7"/>
      <c r="P4309" s="7"/>
      <c r="R4309" s="7"/>
      <c r="T4309" s="7"/>
      <c r="V4309" s="7"/>
      <c r="X4309" s="7"/>
    </row>
    <row r="4310" spans="2:24">
      <c r="B4310" s="7"/>
      <c r="D4310" s="7"/>
      <c r="F4310" s="7"/>
      <c r="H4310" s="7"/>
      <c r="J4310" s="7"/>
      <c r="L4310" s="7"/>
      <c r="N4310" s="7"/>
      <c r="P4310" s="7"/>
      <c r="R4310" s="7"/>
      <c r="T4310" s="7"/>
      <c r="V4310" s="7"/>
      <c r="X4310" s="7"/>
    </row>
    <row r="4311" spans="2:24">
      <c r="B4311" s="7"/>
      <c r="D4311" s="7"/>
      <c r="F4311" s="7"/>
      <c r="H4311" s="7"/>
      <c r="J4311" s="7"/>
      <c r="L4311" s="7"/>
      <c r="N4311" s="7"/>
      <c r="P4311" s="7"/>
      <c r="R4311" s="7"/>
      <c r="T4311" s="7"/>
      <c r="V4311" s="7"/>
      <c r="X4311" s="7"/>
    </row>
    <row r="4312" spans="2:24">
      <c r="B4312" s="7"/>
      <c r="D4312" s="7"/>
      <c r="F4312" s="7"/>
      <c r="H4312" s="7"/>
      <c r="J4312" s="7"/>
      <c r="L4312" s="7"/>
      <c r="N4312" s="7"/>
      <c r="P4312" s="7"/>
      <c r="R4312" s="7"/>
      <c r="T4312" s="7"/>
      <c r="V4312" s="7"/>
      <c r="X4312" s="7"/>
    </row>
    <row r="4313" spans="2:24">
      <c r="B4313" s="7"/>
      <c r="D4313" s="7"/>
      <c r="F4313" s="7"/>
      <c r="H4313" s="7"/>
      <c r="J4313" s="7"/>
      <c r="L4313" s="7"/>
      <c r="N4313" s="7"/>
      <c r="P4313" s="7"/>
      <c r="R4313" s="7"/>
      <c r="T4313" s="7"/>
      <c r="V4313" s="7"/>
      <c r="X4313" s="7"/>
    </row>
    <row r="4314" spans="2:24">
      <c r="B4314" s="7"/>
      <c r="D4314" s="7"/>
      <c r="F4314" s="7"/>
      <c r="H4314" s="7"/>
      <c r="J4314" s="7"/>
      <c r="L4314" s="7"/>
      <c r="N4314" s="7"/>
      <c r="P4314" s="7"/>
      <c r="R4314" s="7"/>
      <c r="T4314" s="7"/>
      <c r="V4314" s="7"/>
      <c r="X4314" s="7"/>
    </row>
    <row r="4315" spans="2:24">
      <c r="B4315" s="7"/>
      <c r="D4315" s="7"/>
      <c r="F4315" s="7"/>
      <c r="H4315" s="7"/>
      <c r="J4315" s="7"/>
      <c r="L4315" s="7"/>
      <c r="N4315" s="7"/>
      <c r="P4315" s="7"/>
      <c r="R4315" s="7"/>
      <c r="T4315" s="7"/>
      <c r="V4315" s="7"/>
      <c r="X4315" s="7"/>
    </row>
    <row r="4316" spans="2:24">
      <c r="B4316" s="7"/>
      <c r="D4316" s="7"/>
      <c r="F4316" s="7"/>
      <c r="H4316" s="7"/>
      <c r="J4316" s="7"/>
      <c r="L4316" s="7"/>
      <c r="N4316" s="7"/>
      <c r="P4316" s="7"/>
      <c r="R4316" s="7"/>
      <c r="T4316" s="7"/>
      <c r="V4316" s="7"/>
      <c r="X4316" s="7"/>
    </row>
    <row r="4317" spans="2:24">
      <c r="B4317" s="7"/>
      <c r="D4317" s="7"/>
      <c r="F4317" s="7"/>
      <c r="H4317" s="7"/>
      <c r="J4317" s="7"/>
      <c r="L4317" s="7"/>
      <c r="N4317" s="7"/>
      <c r="P4317" s="7"/>
      <c r="R4317" s="7"/>
      <c r="T4317" s="7"/>
      <c r="V4317" s="7"/>
      <c r="X4317" s="7"/>
    </row>
    <row r="4318" spans="2:24">
      <c r="B4318" s="7"/>
      <c r="D4318" s="7"/>
      <c r="F4318" s="7"/>
      <c r="H4318" s="7"/>
      <c r="J4318" s="7"/>
      <c r="L4318" s="7"/>
      <c r="N4318" s="7"/>
      <c r="P4318" s="7"/>
      <c r="R4318" s="7"/>
      <c r="T4318" s="7"/>
      <c r="V4318" s="7"/>
      <c r="X4318" s="7"/>
    </row>
    <row r="4319" spans="2:24">
      <c r="B4319" s="7"/>
      <c r="D4319" s="7"/>
      <c r="F4319" s="7"/>
      <c r="H4319" s="7"/>
      <c r="J4319" s="7"/>
      <c r="L4319" s="7"/>
      <c r="N4319" s="7"/>
      <c r="P4319" s="7"/>
      <c r="R4319" s="7"/>
      <c r="T4319" s="7"/>
      <c r="V4319" s="7"/>
      <c r="X4319" s="7"/>
    </row>
    <row r="4320" spans="2:24">
      <c r="B4320" s="7"/>
      <c r="D4320" s="7"/>
      <c r="F4320" s="7"/>
      <c r="H4320" s="7"/>
      <c r="J4320" s="7"/>
      <c r="L4320" s="7"/>
      <c r="N4320" s="7"/>
      <c r="P4320" s="7"/>
      <c r="R4320" s="7"/>
      <c r="T4320" s="7"/>
      <c r="V4320" s="7"/>
      <c r="X4320" s="7"/>
    </row>
    <row r="4321" spans="2:24">
      <c r="B4321" s="7"/>
      <c r="D4321" s="7"/>
      <c r="F4321" s="7"/>
      <c r="H4321" s="7"/>
      <c r="J4321" s="7"/>
      <c r="L4321" s="7"/>
      <c r="N4321" s="7"/>
      <c r="P4321" s="7"/>
      <c r="R4321" s="7"/>
      <c r="T4321" s="7"/>
      <c r="V4321" s="7"/>
      <c r="X4321" s="7"/>
    </row>
    <row r="4322" spans="2:24">
      <c r="B4322" s="7"/>
      <c r="D4322" s="7"/>
      <c r="F4322" s="7"/>
      <c r="H4322" s="7"/>
      <c r="J4322" s="7"/>
      <c r="L4322" s="7"/>
      <c r="N4322" s="7"/>
      <c r="P4322" s="7"/>
      <c r="R4322" s="7"/>
      <c r="T4322" s="7"/>
      <c r="V4322" s="7"/>
      <c r="X4322" s="7"/>
    </row>
    <row r="4323" spans="2:24">
      <c r="B4323" s="7"/>
      <c r="D4323" s="7"/>
      <c r="F4323" s="7"/>
      <c r="H4323" s="7"/>
      <c r="J4323" s="7"/>
      <c r="L4323" s="7"/>
      <c r="N4323" s="7"/>
      <c r="P4323" s="7"/>
      <c r="R4323" s="7"/>
      <c r="T4323" s="7"/>
      <c r="V4323" s="7"/>
      <c r="X4323" s="7"/>
    </row>
    <row r="4324" spans="2:24">
      <c r="B4324" s="7"/>
      <c r="D4324" s="7"/>
      <c r="F4324" s="7"/>
      <c r="H4324" s="7"/>
      <c r="J4324" s="7"/>
      <c r="L4324" s="7"/>
      <c r="N4324" s="7"/>
      <c r="P4324" s="7"/>
      <c r="R4324" s="7"/>
      <c r="T4324" s="7"/>
      <c r="V4324" s="7"/>
      <c r="X4324" s="7"/>
    </row>
    <row r="4325" spans="2:24">
      <c r="B4325" s="7"/>
      <c r="D4325" s="7"/>
      <c r="F4325" s="7"/>
      <c r="H4325" s="7"/>
      <c r="J4325" s="7"/>
      <c r="L4325" s="7"/>
      <c r="N4325" s="7"/>
      <c r="P4325" s="7"/>
      <c r="R4325" s="7"/>
      <c r="T4325" s="7"/>
      <c r="V4325" s="7"/>
      <c r="X4325" s="7"/>
    </row>
    <row r="4326" spans="2:24">
      <c r="B4326" s="7"/>
      <c r="D4326" s="7"/>
      <c r="F4326" s="7"/>
      <c r="H4326" s="7"/>
      <c r="J4326" s="7"/>
      <c r="L4326" s="7"/>
      <c r="N4326" s="7"/>
      <c r="P4326" s="7"/>
      <c r="R4326" s="7"/>
      <c r="T4326" s="7"/>
      <c r="V4326" s="7"/>
      <c r="X4326" s="7"/>
    </row>
    <row r="4327" spans="2:24">
      <c r="B4327" s="7"/>
      <c r="D4327" s="7"/>
      <c r="F4327" s="7"/>
      <c r="H4327" s="7"/>
      <c r="J4327" s="7"/>
      <c r="L4327" s="7"/>
      <c r="N4327" s="7"/>
      <c r="P4327" s="7"/>
      <c r="R4327" s="7"/>
      <c r="T4327" s="7"/>
      <c r="V4327" s="7"/>
      <c r="X4327" s="7"/>
    </row>
    <row r="4328" spans="2:24">
      <c r="B4328" s="7"/>
      <c r="D4328" s="7"/>
      <c r="F4328" s="7"/>
      <c r="H4328" s="7"/>
      <c r="J4328" s="7"/>
      <c r="L4328" s="7"/>
      <c r="N4328" s="7"/>
      <c r="P4328" s="7"/>
      <c r="R4328" s="7"/>
      <c r="T4328" s="7"/>
      <c r="V4328" s="7"/>
      <c r="X4328" s="7"/>
    </row>
    <row r="4329" spans="2:24">
      <c r="B4329" s="7"/>
      <c r="D4329" s="7"/>
      <c r="F4329" s="7"/>
      <c r="H4329" s="7"/>
      <c r="J4329" s="7"/>
      <c r="L4329" s="7"/>
      <c r="N4329" s="7"/>
      <c r="P4329" s="7"/>
      <c r="R4329" s="7"/>
      <c r="T4329" s="7"/>
      <c r="V4329" s="7"/>
      <c r="X4329" s="7"/>
    </row>
    <row r="4330" spans="2:24">
      <c r="B4330" s="7"/>
      <c r="D4330" s="7"/>
      <c r="F4330" s="7"/>
      <c r="H4330" s="7"/>
      <c r="J4330" s="7"/>
      <c r="L4330" s="7"/>
      <c r="N4330" s="7"/>
      <c r="P4330" s="7"/>
      <c r="R4330" s="7"/>
      <c r="T4330" s="7"/>
      <c r="V4330" s="7"/>
      <c r="X4330" s="7"/>
    </row>
    <row r="4331" spans="2:24">
      <c r="B4331" s="7"/>
      <c r="D4331" s="7"/>
      <c r="F4331" s="7"/>
      <c r="H4331" s="7"/>
      <c r="J4331" s="7"/>
      <c r="L4331" s="7"/>
      <c r="N4331" s="7"/>
      <c r="P4331" s="7"/>
      <c r="R4331" s="7"/>
      <c r="T4331" s="7"/>
      <c r="V4331" s="7"/>
      <c r="X4331" s="7"/>
    </row>
    <row r="4332" spans="2:24">
      <c r="B4332" s="7"/>
      <c r="D4332" s="7"/>
      <c r="F4332" s="7"/>
      <c r="H4332" s="7"/>
      <c r="J4332" s="7"/>
      <c r="L4332" s="7"/>
      <c r="N4332" s="7"/>
      <c r="P4332" s="7"/>
      <c r="R4332" s="7"/>
      <c r="T4332" s="7"/>
      <c r="V4332" s="7"/>
      <c r="X4332" s="7"/>
    </row>
    <row r="4333" spans="2:24">
      <c r="B4333" s="7"/>
      <c r="D4333" s="7"/>
      <c r="F4333" s="7"/>
      <c r="H4333" s="7"/>
      <c r="J4333" s="7"/>
      <c r="L4333" s="7"/>
      <c r="N4333" s="7"/>
      <c r="P4333" s="7"/>
      <c r="R4333" s="7"/>
      <c r="T4333" s="7"/>
      <c r="V4333" s="7"/>
      <c r="X4333" s="7"/>
    </row>
    <row r="4334" spans="2:24">
      <c r="B4334" s="7"/>
      <c r="D4334" s="7"/>
      <c r="F4334" s="7"/>
      <c r="H4334" s="7"/>
      <c r="J4334" s="7"/>
      <c r="L4334" s="7"/>
      <c r="N4334" s="7"/>
      <c r="P4334" s="7"/>
      <c r="R4334" s="7"/>
      <c r="T4334" s="7"/>
      <c r="V4334" s="7"/>
      <c r="X4334" s="7"/>
    </row>
    <row r="4335" spans="2:24">
      <c r="B4335" s="7"/>
      <c r="D4335" s="7"/>
      <c r="F4335" s="7"/>
      <c r="H4335" s="7"/>
      <c r="J4335" s="7"/>
      <c r="L4335" s="7"/>
      <c r="N4335" s="7"/>
      <c r="P4335" s="7"/>
      <c r="R4335" s="7"/>
      <c r="T4335" s="7"/>
      <c r="V4335" s="7"/>
      <c r="X4335" s="7"/>
    </row>
    <row r="4336" spans="2:24">
      <c r="B4336" s="7"/>
      <c r="D4336" s="7"/>
      <c r="F4336" s="7"/>
      <c r="H4336" s="7"/>
      <c r="J4336" s="7"/>
      <c r="L4336" s="7"/>
      <c r="N4336" s="7"/>
      <c r="P4336" s="7"/>
      <c r="R4336" s="7"/>
      <c r="T4336" s="7"/>
      <c r="V4336" s="7"/>
      <c r="X4336" s="7"/>
    </row>
    <row r="4337" spans="2:24">
      <c r="B4337" s="7"/>
      <c r="D4337" s="7"/>
      <c r="F4337" s="7"/>
      <c r="H4337" s="7"/>
      <c r="J4337" s="7"/>
      <c r="L4337" s="7"/>
      <c r="N4337" s="7"/>
      <c r="P4337" s="7"/>
      <c r="R4337" s="7"/>
      <c r="T4337" s="7"/>
      <c r="V4337" s="7"/>
      <c r="X4337" s="7"/>
    </row>
    <row r="4338" spans="2:24">
      <c r="B4338" s="7"/>
      <c r="D4338" s="7"/>
      <c r="F4338" s="7"/>
      <c r="H4338" s="7"/>
      <c r="J4338" s="7"/>
      <c r="L4338" s="7"/>
      <c r="N4338" s="7"/>
      <c r="P4338" s="7"/>
      <c r="R4338" s="7"/>
      <c r="T4338" s="7"/>
      <c r="V4338" s="7"/>
      <c r="X4338" s="7"/>
    </row>
    <row r="4339" spans="2:24">
      <c r="B4339" s="7"/>
      <c r="D4339" s="7"/>
      <c r="F4339" s="7"/>
      <c r="H4339" s="7"/>
      <c r="J4339" s="7"/>
      <c r="L4339" s="7"/>
      <c r="N4339" s="7"/>
      <c r="P4339" s="7"/>
      <c r="R4339" s="7"/>
      <c r="T4339" s="7"/>
      <c r="V4339" s="7"/>
      <c r="X4339" s="7"/>
    </row>
    <row r="4340" spans="2:24">
      <c r="B4340" s="7"/>
      <c r="D4340" s="7"/>
      <c r="F4340" s="7"/>
      <c r="H4340" s="7"/>
      <c r="J4340" s="7"/>
      <c r="L4340" s="7"/>
      <c r="N4340" s="7"/>
      <c r="P4340" s="7"/>
      <c r="R4340" s="7"/>
      <c r="T4340" s="7"/>
      <c r="V4340" s="7"/>
      <c r="X4340" s="7"/>
    </row>
    <row r="4341" spans="2:24">
      <c r="B4341" s="7"/>
      <c r="D4341" s="7"/>
      <c r="F4341" s="7"/>
      <c r="H4341" s="7"/>
      <c r="J4341" s="7"/>
      <c r="L4341" s="7"/>
      <c r="N4341" s="7"/>
      <c r="P4341" s="7"/>
      <c r="R4341" s="7"/>
      <c r="T4341" s="7"/>
      <c r="V4341" s="7"/>
      <c r="X4341" s="7"/>
    </row>
    <row r="4342" spans="2:24">
      <c r="B4342" s="7"/>
      <c r="D4342" s="7"/>
      <c r="F4342" s="7"/>
      <c r="H4342" s="7"/>
      <c r="J4342" s="7"/>
      <c r="L4342" s="7"/>
      <c r="N4342" s="7"/>
      <c r="P4342" s="7"/>
      <c r="R4342" s="7"/>
      <c r="T4342" s="7"/>
      <c r="V4342" s="7"/>
      <c r="X4342" s="7"/>
    </row>
    <row r="4343" spans="2:24">
      <c r="B4343" s="7"/>
      <c r="D4343" s="7"/>
      <c r="F4343" s="7"/>
      <c r="H4343" s="7"/>
      <c r="J4343" s="7"/>
      <c r="L4343" s="7"/>
      <c r="N4343" s="7"/>
      <c r="P4343" s="7"/>
      <c r="R4343" s="7"/>
      <c r="T4343" s="7"/>
      <c r="V4343" s="7"/>
      <c r="X4343" s="7"/>
    </row>
    <row r="4344" spans="2:24">
      <c r="B4344" s="7"/>
      <c r="D4344" s="7"/>
      <c r="F4344" s="7"/>
      <c r="H4344" s="7"/>
      <c r="J4344" s="7"/>
      <c r="L4344" s="7"/>
      <c r="N4344" s="7"/>
      <c r="P4344" s="7"/>
      <c r="R4344" s="7"/>
      <c r="T4344" s="7"/>
      <c r="V4344" s="7"/>
      <c r="X4344" s="7"/>
    </row>
    <row r="4345" spans="2:24">
      <c r="B4345" s="7"/>
      <c r="D4345" s="7"/>
      <c r="F4345" s="7"/>
      <c r="H4345" s="7"/>
      <c r="J4345" s="7"/>
      <c r="L4345" s="7"/>
      <c r="N4345" s="7"/>
      <c r="P4345" s="7"/>
      <c r="R4345" s="7"/>
      <c r="T4345" s="7"/>
      <c r="V4345" s="7"/>
      <c r="X4345" s="7"/>
    </row>
    <row r="4346" spans="2:24">
      <c r="B4346" s="7"/>
      <c r="D4346" s="7"/>
      <c r="F4346" s="7"/>
      <c r="H4346" s="7"/>
      <c r="J4346" s="7"/>
      <c r="L4346" s="7"/>
      <c r="N4346" s="7"/>
      <c r="P4346" s="7"/>
      <c r="R4346" s="7"/>
      <c r="T4346" s="7"/>
      <c r="V4346" s="7"/>
      <c r="X4346" s="7"/>
    </row>
    <row r="4347" spans="2:24">
      <c r="B4347" s="7"/>
      <c r="D4347" s="7"/>
      <c r="F4347" s="7"/>
      <c r="H4347" s="7"/>
      <c r="J4347" s="7"/>
      <c r="L4347" s="7"/>
      <c r="N4347" s="7"/>
      <c r="P4347" s="7"/>
      <c r="R4347" s="7"/>
      <c r="T4347" s="7"/>
      <c r="V4347" s="7"/>
      <c r="X4347" s="7"/>
    </row>
    <row r="4348" spans="2:24">
      <c r="B4348" s="7"/>
      <c r="D4348" s="7"/>
      <c r="F4348" s="7"/>
      <c r="H4348" s="7"/>
      <c r="J4348" s="7"/>
      <c r="L4348" s="7"/>
      <c r="N4348" s="7"/>
      <c r="P4348" s="7"/>
      <c r="R4348" s="7"/>
      <c r="T4348" s="7"/>
      <c r="V4348" s="7"/>
      <c r="X4348" s="7"/>
    </row>
    <row r="4349" spans="2:24">
      <c r="B4349" s="7"/>
      <c r="D4349" s="7"/>
      <c r="F4349" s="7"/>
      <c r="H4349" s="7"/>
      <c r="J4349" s="7"/>
      <c r="L4349" s="7"/>
      <c r="N4349" s="7"/>
      <c r="P4349" s="7"/>
      <c r="R4349" s="7"/>
      <c r="T4349" s="7"/>
      <c r="V4349" s="7"/>
      <c r="X4349" s="7"/>
    </row>
    <row r="4350" spans="2:24">
      <c r="B4350" s="7"/>
      <c r="D4350" s="7"/>
      <c r="F4350" s="7"/>
      <c r="H4350" s="7"/>
      <c r="J4350" s="7"/>
      <c r="L4350" s="7"/>
      <c r="N4350" s="7"/>
      <c r="P4350" s="7"/>
      <c r="R4350" s="7"/>
      <c r="T4350" s="7"/>
      <c r="V4350" s="7"/>
      <c r="X4350" s="7"/>
    </row>
    <row r="4351" spans="2:24">
      <c r="B4351" s="7"/>
      <c r="D4351" s="7"/>
      <c r="F4351" s="7"/>
      <c r="H4351" s="7"/>
      <c r="J4351" s="7"/>
      <c r="L4351" s="7"/>
      <c r="N4351" s="7"/>
      <c r="P4351" s="7"/>
      <c r="R4351" s="7"/>
      <c r="T4351" s="7"/>
      <c r="V4351" s="7"/>
      <c r="X4351" s="7"/>
    </row>
    <row r="4352" spans="2:24">
      <c r="B4352" s="7"/>
      <c r="D4352" s="7"/>
      <c r="F4352" s="7"/>
      <c r="H4352" s="7"/>
      <c r="J4352" s="7"/>
      <c r="L4352" s="7"/>
      <c r="N4352" s="7"/>
      <c r="P4352" s="7"/>
      <c r="R4352" s="7"/>
      <c r="T4352" s="7"/>
      <c r="V4352" s="7"/>
      <c r="X4352" s="7"/>
    </row>
    <row r="4353" spans="2:24">
      <c r="B4353" s="7"/>
      <c r="D4353" s="7"/>
      <c r="F4353" s="7"/>
      <c r="H4353" s="7"/>
      <c r="J4353" s="7"/>
      <c r="L4353" s="7"/>
      <c r="N4353" s="7"/>
      <c r="P4353" s="7"/>
      <c r="R4353" s="7"/>
      <c r="T4353" s="7"/>
      <c r="V4353" s="7"/>
      <c r="X4353" s="7"/>
    </row>
    <row r="4354" spans="2:24">
      <c r="B4354" s="7"/>
      <c r="D4354" s="7"/>
      <c r="F4354" s="7"/>
      <c r="H4354" s="7"/>
      <c r="J4354" s="7"/>
      <c r="L4354" s="7"/>
      <c r="N4354" s="7"/>
      <c r="P4354" s="7"/>
      <c r="R4354" s="7"/>
      <c r="T4354" s="7"/>
      <c r="V4354" s="7"/>
      <c r="X4354" s="7"/>
    </row>
    <row r="4355" spans="2:24">
      <c r="B4355" s="7"/>
      <c r="D4355" s="7"/>
      <c r="F4355" s="7"/>
      <c r="H4355" s="7"/>
      <c r="J4355" s="7"/>
      <c r="L4355" s="7"/>
      <c r="N4355" s="7"/>
      <c r="P4355" s="7"/>
      <c r="R4355" s="7"/>
      <c r="T4355" s="7"/>
      <c r="V4355" s="7"/>
      <c r="X4355" s="7"/>
    </row>
    <row r="4356" spans="2:24">
      <c r="B4356" s="7"/>
      <c r="D4356" s="7"/>
      <c r="F4356" s="7"/>
      <c r="H4356" s="7"/>
      <c r="J4356" s="7"/>
      <c r="L4356" s="7"/>
      <c r="N4356" s="7"/>
      <c r="P4356" s="7"/>
      <c r="R4356" s="7"/>
      <c r="T4356" s="7"/>
      <c r="V4356" s="7"/>
      <c r="X4356" s="7"/>
    </row>
    <row r="4357" spans="2:24">
      <c r="B4357" s="7"/>
      <c r="D4357" s="7"/>
      <c r="F4357" s="7"/>
      <c r="H4357" s="7"/>
      <c r="J4357" s="7"/>
      <c r="L4357" s="7"/>
      <c r="N4357" s="7"/>
      <c r="P4357" s="7"/>
      <c r="R4357" s="7"/>
      <c r="T4357" s="7"/>
      <c r="V4357" s="7"/>
      <c r="X4357" s="7"/>
    </row>
    <row r="4358" spans="2:24">
      <c r="B4358" s="7"/>
      <c r="D4358" s="7"/>
      <c r="F4358" s="7"/>
      <c r="H4358" s="7"/>
      <c r="J4358" s="7"/>
      <c r="L4358" s="7"/>
      <c r="N4358" s="7"/>
      <c r="P4358" s="7"/>
      <c r="R4358" s="7"/>
      <c r="T4358" s="7"/>
      <c r="V4358" s="7"/>
      <c r="X4358" s="7"/>
    </row>
    <row r="4359" spans="2:24">
      <c r="B4359" s="7"/>
      <c r="D4359" s="7"/>
      <c r="F4359" s="7"/>
      <c r="H4359" s="7"/>
      <c r="J4359" s="7"/>
      <c r="L4359" s="7"/>
      <c r="N4359" s="7"/>
      <c r="P4359" s="7"/>
      <c r="R4359" s="7"/>
      <c r="T4359" s="7"/>
      <c r="V4359" s="7"/>
      <c r="X4359" s="7"/>
    </row>
    <row r="4360" spans="2:24">
      <c r="B4360" s="7"/>
      <c r="D4360" s="7"/>
      <c r="F4360" s="7"/>
      <c r="H4360" s="7"/>
      <c r="J4360" s="7"/>
      <c r="L4360" s="7"/>
      <c r="N4360" s="7"/>
      <c r="P4360" s="7"/>
      <c r="R4360" s="7"/>
      <c r="T4360" s="7"/>
      <c r="V4360" s="7"/>
      <c r="X4360" s="7"/>
    </row>
    <row r="4361" spans="2:24">
      <c r="B4361" s="7"/>
      <c r="D4361" s="7"/>
      <c r="F4361" s="7"/>
      <c r="H4361" s="7"/>
      <c r="J4361" s="7"/>
      <c r="L4361" s="7"/>
      <c r="N4361" s="7"/>
      <c r="P4361" s="7"/>
      <c r="R4361" s="7"/>
      <c r="T4361" s="7"/>
      <c r="V4361" s="7"/>
      <c r="X4361" s="7"/>
    </row>
    <row r="4362" spans="2:24">
      <c r="B4362" s="7"/>
      <c r="D4362" s="7"/>
      <c r="F4362" s="7"/>
      <c r="H4362" s="7"/>
      <c r="J4362" s="7"/>
      <c r="L4362" s="7"/>
      <c r="N4362" s="7"/>
      <c r="P4362" s="7"/>
      <c r="R4362" s="7"/>
      <c r="T4362" s="7"/>
      <c r="V4362" s="7"/>
      <c r="X4362" s="7"/>
    </row>
    <row r="4363" spans="2:24">
      <c r="B4363" s="7"/>
      <c r="D4363" s="7"/>
      <c r="F4363" s="7"/>
      <c r="H4363" s="7"/>
      <c r="J4363" s="7"/>
      <c r="L4363" s="7"/>
      <c r="N4363" s="7"/>
      <c r="P4363" s="7"/>
      <c r="R4363" s="7"/>
      <c r="T4363" s="7"/>
      <c r="V4363" s="7"/>
      <c r="X4363" s="7"/>
    </row>
    <row r="4364" spans="2:24">
      <c r="B4364" s="7"/>
      <c r="D4364" s="7"/>
      <c r="F4364" s="7"/>
      <c r="H4364" s="7"/>
      <c r="J4364" s="7"/>
      <c r="L4364" s="7"/>
      <c r="N4364" s="7"/>
      <c r="P4364" s="7"/>
      <c r="R4364" s="7"/>
      <c r="T4364" s="7"/>
      <c r="V4364" s="7"/>
      <c r="X4364" s="7"/>
    </row>
    <row r="4365" spans="2:24">
      <c r="B4365" s="7"/>
      <c r="D4365" s="7"/>
      <c r="F4365" s="7"/>
      <c r="H4365" s="7"/>
      <c r="J4365" s="7"/>
      <c r="L4365" s="7"/>
      <c r="N4365" s="7"/>
      <c r="P4365" s="7"/>
      <c r="R4365" s="7"/>
      <c r="T4365" s="7"/>
      <c r="V4365" s="7"/>
      <c r="X4365" s="7"/>
    </row>
    <row r="4366" spans="2:24">
      <c r="B4366" s="7"/>
      <c r="D4366" s="7"/>
      <c r="F4366" s="7"/>
      <c r="H4366" s="7"/>
      <c r="J4366" s="7"/>
      <c r="L4366" s="7"/>
      <c r="N4366" s="7"/>
      <c r="P4366" s="7"/>
      <c r="R4366" s="7"/>
      <c r="T4366" s="7"/>
      <c r="V4366" s="7"/>
      <c r="X4366" s="7"/>
    </row>
    <row r="4367" spans="2:24">
      <c r="B4367" s="7"/>
      <c r="D4367" s="7"/>
      <c r="F4367" s="7"/>
      <c r="H4367" s="7"/>
      <c r="J4367" s="7"/>
      <c r="L4367" s="7"/>
      <c r="N4367" s="7"/>
      <c r="P4367" s="7"/>
      <c r="R4367" s="7"/>
      <c r="T4367" s="7"/>
      <c r="V4367" s="7"/>
      <c r="X4367" s="7"/>
    </row>
    <row r="4368" spans="2:24">
      <c r="B4368" s="7"/>
      <c r="D4368" s="7"/>
      <c r="F4368" s="7"/>
      <c r="H4368" s="7"/>
      <c r="J4368" s="7"/>
      <c r="L4368" s="7"/>
      <c r="N4368" s="7"/>
      <c r="P4368" s="7"/>
      <c r="R4368" s="7"/>
      <c r="T4368" s="7"/>
      <c r="V4368" s="7"/>
      <c r="X4368" s="7"/>
    </row>
    <row r="4369" spans="2:24">
      <c r="B4369" s="7"/>
      <c r="D4369" s="7"/>
      <c r="F4369" s="7"/>
      <c r="H4369" s="7"/>
      <c r="J4369" s="7"/>
      <c r="L4369" s="7"/>
      <c r="N4369" s="7"/>
      <c r="P4369" s="7"/>
      <c r="R4369" s="7"/>
      <c r="T4369" s="7"/>
      <c r="V4369" s="7"/>
      <c r="X4369" s="7"/>
    </row>
    <row r="4370" spans="2:24">
      <c r="B4370" s="7"/>
      <c r="D4370" s="7"/>
      <c r="F4370" s="7"/>
      <c r="H4370" s="7"/>
      <c r="J4370" s="7"/>
      <c r="L4370" s="7"/>
      <c r="N4370" s="7"/>
      <c r="P4370" s="7"/>
      <c r="R4370" s="7"/>
      <c r="T4370" s="7"/>
      <c r="V4370" s="7"/>
      <c r="X4370" s="7"/>
    </row>
    <row r="4371" spans="2:24">
      <c r="B4371" s="7"/>
      <c r="D4371" s="7"/>
      <c r="F4371" s="7"/>
      <c r="H4371" s="7"/>
      <c r="J4371" s="7"/>
      <c r="L4371" s="7"/>
      <c r="N4371" s="7"/>
      <c r="P4371" s="7"/>
      <c r="R4371" s="7"/>
      <c r="T4371" s="7"/>
      <c r="V4371" s="7"/>
      <c r="X4371" s="7"/>
    </row>
    <row r="4372" spans="2:24">
      <c r="B4372" s="7"/>
      <c r="D4372" s="7"/>
      <c r="F4372" s="7"/>
      <c r="H4372" s="7"/>
      <c r="J4372" s="7"/>
      <c r="L4372" s="7"/>
      <c r="N4372" s="7"/>
      <c r="P4372" s="7"/>
      <c r="R4372" s="7"/>
      <c r="T4372" s="7"/>
      <c r="V4372" s="7"/>
      <c r="X4372" s="7"/>
    </row>
    <row r="4373" spans="2:24">
      <c r="B4373" s="7"/>
      <c r="D4373" s="7"/>
      <c r="F4373" s="7"/>
      <c r="H4373" s="7"/>
      <c r="J4373" s="7"/>
      <c r="L4373" s="7"/>
      <c r="N4373" s="7"/>
      <c r="P4373" s="7"/>
      <c r="R4373" s="7"/>
      <c r="T4373" s="7"/>
      <c r="V4373" s="7"/>
      <c r="X4373" s="7"/>
    </row>
    <row r="4374" spans="2:24">
      <c r="B4374" s="7"/>
      <c r="D4374" s="7"/>
      <c r="F4374" s="7"/>
      <c r="H4374" s="7"/>
      <c r="J4374" s="7"/>
      <c r="L4374" s="7"/>
      <c r="N4374" s="7"/>
      <c r="P4374" s="7"/>
      <c r="R4374" s="7"/>
      <c r="T4374" s="7"/>
      <c r="V4374" s="7"/>
      <c r="X4374" s="7"/>
    </row>
    <row r="4375" spans="2:24">
      <c r="B4375" s="7"/>
      <c r="D4375" s="7"/>
      <c r="F4375" s="7"/>
      <c r="H4375" s="7"/>
      <c r="J4375" s="7"/>
      <c r="L4375" s="7"/>
      <c r="N4375" s="7"/>
      <c r="P4375" s="7"/>
      <c r="R4375" s="7"/>
      <c r="T4375" s="7"/>
      <c r="V4375" s="7"/>
      <c r="X4375" s="7"/>
    </row>
    <row r="4376" spans="2:24">
      <c r="B4376" s="7"/>
      <c r="D4376" s="7"/>
      <c r="F4376" s="7"/>
      <c r="H4376" s="7"/>
      <c r="J4376" s="7"/>
      <c r="L4376" s="7"/>
      <c r="N4376" s="7"/>
      <c r="P4376" s="7"/>
      <c r="R4376" s="7"/>
      <c r="T4376" s="7"/>
      <c r="V4376" s="7"/>
      <c r="X4376" s="7"/>
    </row>
    <row r="4377" spans="2:24">
      <c r="B4377" s="7"/>
      <c r="D4377" s="7"/>
      <c r="F4377" s="7"/>
      <c r="H4377" s="7"/>
      <c r="J4377" s="7"/>
      <c r="L4377" s="7"/>
      <c r="N4377" s="7"/>
      <c r="P4377" s="7"/>
      <c r="R4377" s="7"/>
      <c r="T4377" s="7"/>
      <c r="V4377" s="7"/>
      <c r="X4377" s="7"/>
    </row>
    <row r="4378" spans="2:24">
      <c r="B4378" s="7"/>
      <c r="D4378" s="7"/>
      <c r="F4378" s="7"/>
      <c r="H4378" s="7"/>
      <c r="J4378" s="7"/>
      <c r="L4378" s="7"/>
      <c r="N4378" s="7"/>
      <c r="P4378" s="7"/>
      <c r="R4378" s="7"/>
      <c r="T4378" s="7"/>
      <c r="V4378" s="7"/>
      <c r="X4378" s="7"/>
    </row>
    <row r="4379" spans="2:24">
      <c r="B4379" s="7"/>
      <c r="D4379" s="7"/>
      <c r="F4379" s="7"/>
      <c r="H4379" s="7"/>
      <c r="J4379" s="7"/>
      <c r="L4379" s="7"/>
      <c r="N4379" s="7"/>
      <c r="P4379" s="7"/>
      <c r="R4379" s="7"/>
      <c r="T4379" s="7"/>
      <c r="V4379" s="7"/>
      <c r="X4379" s="7"/>
    </row>
    <row r="4380" spans="2:24">
      <c r="B4380" s="7"/>
      <c r="D4380" s="7"/>
      <c r="F4380" s="7"/>
      <c r="H4380" s="7"/>
      <c r="J4380" s="7"/>
      <c r="L4380" s="7"/>
      <c r="N4380" s="7"/>
      <c r="P4380" s="7"/>
      <c r="R4380" s="7"/>
      <c r="T4380" s="7"/>
      <c r="V4380" s="7"/>
      <c r="X4380" s="7"/>
    </row>
    <row r="4381" spans="2:24">
      <c r="B4381" s="7"/>
      <c r="D4381" s="7"/>
      <c r="F4381" s="7"/>
      <c r="H4381" s="7"/>
      <c r="J4381" s="7"/>
      <c r="L4381" s="7"/>
      <c r="N4381" s="7"/>
      <c r="P4381" s="7"/>
      <c r="R4381" s="7"/>
      <c r="T4381" s="7"/>
      <c r="V4381" s="7"/>
      <c r="X4381" s="7"/>
    </row>
    <row r="4382" spans="2:24">
      <c r="B4382" s="7"/>
      <c r="D4382" s="7"/>
      <c r="F4382" s="7"/>
      <c r="H4382" s="7"/>
      <c r="J4382" s="7"/>
      <c r="L4382" s="7"/>
      <c r="N4382" s="7"/>
      <c r="P4382" s="7"/>
      <c r="R4382" s="7"/>
      <c r="T4382" s="7"/>
      <c r="V4382" s="7"/>
      <c r="X4382" s="7"/>
    </row>
    <row r="4383" spans="2:24">
      <c r="B4383" s="7"/>
      <c r="D4383" s="7"/>
      <c r="F4383" s="7"/>
      <c r="H4383" s="7"/>
      <c r="J4383" s="7"/>
      <c r="L4383" s="7"/>
      <c r="N4383" s="7"/>
      <c r="P4383" s="7"/>
      <c r="R4383" s="7"/>
      <c r="T4383" s="7"/>
      <c r="V4383" s="7"/>
      <c r="X4383" s="7"/>
    </row>
    <row r="4384" spans="2:24">
      <c r="B4384" s="7"/>
      <c r="D4384" s="7"/>
      <c r="F4384" s="7"/>
      <c r="H4384" s="7"/>
      <c r="J4384" s="7"/>
      <c r="L4384" s="7"/>
      <c r="N4384" s="7"/>
      <c r="P4384" s="7"/>
      <c r="R4384" s="7"/>
      <c r="T4384" s="7"/>
      <c r="V4384" s="7"/>
      <c r="X4384" s="7"/>
    </row>
    <row r="4385" spans="2:24">
      <c r="B4385" s="7"/>
      <c r="D4385" s="7"/>
      <c r="F4385" s="7"/>
      <c r="H4385" s="7"/>
      <c r="J4385" s="7"/>
      <c r="L4385" s="7"/>
      <c r="N4385" s="7"/>
      <c r="P4385" s="7"/>
      <c r="R4385" s="7"/>
      <c r="T4385" s="7"/>
      <c r="V4385" s="7"/>
      <c r="X4385" s="7"/>
    </row>
    <row r="4386" spans="2:24">
      <c r="B4386" s="7"/>
      <c r="D4386" s="7"/>
      <c r="F4386" s="7"/>
      <c r="H4386" s="7"/>
      <c r="J4386" s="7"/>
      <c r="L4386" s="7"/>
      <c r="N4386" s="7"/>
      <c r="P4386" s="7"/>
      <c r="R4386" s="7"/>
      <c r="T4386" s="7"/>
      <c r="V4386" s="7"/>
      <c r="X4386" s="7"/>
    </row>
    <row r="4387" spans="2:24">
      <c r="B4387" s="7"/>
      <c r="D4387" s="7"/>
      <c r="F4387" s="7"/>
      <c r="H4387" s="7"/>
      <c r="J4387" s="7"/>
      <c r="L4387" s="7"/>
      <c r="N4387" s="7"/>
      <c r="P4387" s="7"/>
      <c r="R4387" s="7"/>
      <c r="T4387" s="7"/>
      <c r="V4387" s="7"/>
      <c r="X4387" s="7"/>
    </row>
    <row r="4388" spans="2:24">
      <c r="B4388" s="7"/>
      <c r="D4388" s="7"/>
      <c r="F4388" s="7"/>
      <c r="H4388" s="7"/>
      <c r="J4388" s="7"/>
      <c r="L4388" s="7"/>
      <c r="N4388" s="7"/>
      <c r="P4388" s="7"/>
      <c r="R4388" s="7"/>
      <c r="T4388" s="7"/>
      <c r="V4388" s="7"/>
      <c r="X4388" s="7"/>
    </row>
    <row r="4389" spans="2:24">
      <c r="B4389" s="7"/>
      <c r="D4389" s="7"/>
      <c r="F4389" s="7"/>
      <c r="H4389" s="7"/>
      <c r="J4389" s="7"/>
      <c r="L4389" s="7"/>
      <c r="N4389" s="7"/>
      <c r="P4389" s="7"/>
      <c r="R4389" s="7"/>
      <c r="T4389" s="7"/>
      <c r="V4389" s="7"/>
      <c r="X4389" s="7"/>
    </row>
    <row r="4390" spans="2:24">
      <c r="B4390" s="7"/>
      <c r="D4390" s="7"/>
      <c r="F4390" s="7"/>
      <c r="H4390" s="7"/>
      <c r="J4390" s="7"/>
      <c r="L4390" s="7"/>
      <c r="N4390" s="7"/>
      <c r="P4390" s="7"/>
      <c r="R4390" s="7"/>
      <c r="T4390" s="7"/>
      <c r="V4390" s="7"/>
      <c r="X4390" s="7"/>
    </row>
    <row r="4391" spans="2:24">
      <c r="B4391" s="7"/>
      <c r="D4391" s="7"/>
      <c r="F4391" s="7"/>
      <c r="H4391" s="7"/>
      <c r="J4391" s="7"/>
      <c r="L4391" s="7"/>
      <c r="N4391" s="7"/>
      <c r="P4391" s="7"/>
      <c r="R4391" s="7"/>
      <c r="T4391" s="7"/>
      <c r="V4391" s="7"/>
      <c r="X4391" s="7"/>
    </row>
    <row r="4392" spans="2:24">
      <c r="B4392" s="7"/>
      <c r="D4392" s="7"/>
      <c r="F4392" s="7"/>
      <c r="H4392" s="7"/>
      <c r="J4392" s="7"/>
      <c r="L4392" s="7"/>
      <c r="N4392" s="7"/>
      <c r="P4392" s="7"/>
      <c r="R4392" s="7"/>
      <c r="T4392" s="7"/>
      <c r="V4392" s="7"/>
      <c r="X4392" s="7"/>
    </row>
    <row r="4393" spans="2:24">
      <c r="B4393" s="7"/>
      <c r="D4393" s="7"/>
      <c r="F4393" s="7"/>
      <c r="H4393" s="7"/>
      <c r="J4393" s="7"/>
      <c r="L4393" s="7"/>
      <c r="N4393" s="7"/>
      <c r="P4393" s="7"/>
      <c r="R4393" s="7"/>
      <c r="T4393" s="7"/>
      <c r="V4393" s="7"/>
      <c r="X4393" s="7"/>
    </row>
    <row r="4394" spans="2:24">
      <c r="B4394" s="7"/>
      <c r="D4394" s="7"/>
      <c r="F4394" s="7"/>
      <c r="H4394" s="7"/>
      <c r="J4394" s="7"/>
      <c r="L4394" s="7"/>
      <c r="N4394" s="7"/>
      <c r="P4394" s="7"/>
      <c r="R4394" s="7"/>
      <c r="T4394" s="7"/>
      <c r="V4394" s="7"/>
      <c r="X4394" s="7"/>
    </row>
    <row r="4395" spans="2:24">
      <c r="B4395" s="7"/>
      <c r="D4395" s="7"/>
      <c r="F4395" s="7"/>
      <c r="H4395" s="7"/>
      <c r="J4395" s="7"/>
      <c r="L4395" s="7"/>
      <c r="N4395" s="7"/>
      <c r="P4395" s="7"/>
      <c r="R4395" s="7"/>
      <c r="T4395" s="7"/>
      <c r="V4395" s="7"/>
      <c r="X4395" s="7"/>
    </row>
    <row r="4396" spans="2:24">
      <c r="B4396" s="7"/>
      <c r="D4396" s="7"/>
      <c r="F4396" s="7"/>
      <c r="H4396" s="7"/>
      <c r="J4396" s="7"/>
      <c r="L4396" s="7"/>
      <c r="N4396" s="7"/>
      <c r="P4396" s="7"/>
      <c r="R4396" s="7"/>
      <c r="T4396" s="7"/>
      <c r="V4396" s="7"/>
      <c r="X4396" s="7"/>
    </row>
    <row r="4397" spans="2:24">
      <c r="B4397" s="7"/>
      <c r="D4397" s="7"/>
      <c r="F4397" s="7"/>
      <c r="H4397" s="7"/>
      <c r="J4397" s="7"/>
      <c r="L4397" s="7"/>
      <c r="N4397" s="7"/>
      <c r="P4397" s="7"/>
      <c r="R4397" s="7"/>
      <c r="T4397" s="7"/>
      <c r="V4397" s="7"/>
      <c r="X4397" s="7"/>
    </row>
    <row r="4398" spans="2:24">
      <c r="B4398" s="7"/>
      <c r="D4398" s="7"/>
      <c r="F4398" s="7"/>
      <c r="H4398" s="7"/>
      <c r="J4398" s="7"/>
      <c r="L4398" s="7"/>
      <c r="N4398" s="7"/>
      <c r="P4398" s="7"/>
      <c r="R4398" s="7"/>
      <c r="T4398" s="7"/>
      <c r="V4398" s="7"/>
      <c r="X4398" s="7"/>
    </row>
    <row r="4399" spans="2:24">
      <c r="B4399" s="7"/>
      <c r="D4399" s="7"/>
      <c r="F4399" s="7"/>
      <c r="H4399" s="7"/>
      <c r="J4399" s="7"/>
      <c r="L4399" s="7"/>
      <c r="N4399" s="7"/>
      <c r="P4399" s="7"/>
      <c r="R4399" s="7"/>
      <c r="T4399" s="7"/>
      <c r="V4399" s="7"/>
      <c r="X4399" s="7"/>
    </row>
    <row r="4400" spans="2:24">
      <c r="B4400" s="7"/>
      <c r="D4400" s="7"/>
      <c r="F4400" s="7"/>
      <c r="H4400" s="7"/>
      <c r="J4400" s="7"/>
      <c r="L4400" s="7"/>
      <c r="N4400" s="7"/>
      <c r="P4400" s="7"/>
      <c r="R4400" s="7"/>
      <c r="T4400" s="7"/>
      <c r="V4400" s="7"/>
      <c r="X4400" s="7"/>
    </row>
    <row r="4401" spans="2:24">
      <c r="B4401" s="7"/>
      <c r="D4401" s="7"/>
      <c r="F4401" s="7"/>
      <c r="H4401" s="7"/>
      <c r="J4401" s="7"/>
      <c r="L4401" s="7"/>
      <c r="N4401" s="7"/>
      <c r="P4401" s="7"/>
      <c r="R4401" s="7"/>
      <c r="T4401" s="7"/>
      <c r="V4401" s="7"/>
      <c r="X4401" s="7"/>
    </row>
    <row r="4402" spans="2:24">
      <c r="B4402" s="7"/>
      <c r="D4402" s="7"/>
      <c r="F4402" s="7"/>
      <c r="H4402" s="7"/>
      <c r="J4402" s="7"/>
      <c r="L4402" s="7"/>
      <c r="N4402" s="7"/>
      <c r="P4402" s="7"/>
      <c r="R4402" s="7"/>
      <c r="T4402" s="7"/>
      <c r="V4402" s="7"/>
      <c r="X4402" s="7"/>
    </row>
    <row r="4403" spans="2:24">
      <c r="B4403" s="7"/>
      <c r="D4403" s="7"/>
      <c r="F4403" s="7"/>
      <c r="H4403" s="7"/>
      <c r="J4403" s="7"/>
      <c r="L4403" s="7"/>
      <c r="N4403" s="7"/>
      <c r="P4403" s="7"/>
      <c r="R4403" s="7"/>
      <c r="T4403" s="7"/>
      <c r="V4403" s="7"/>
      <c r="X4403" s="7"/>
    </row>
    <row r="4404" spans="2:24">
      <c r="B4404" s="7"/>
      <c r="D4404" s="7"/>
      <c r="F4404" s="7"/>
      <c r="H4404" s="7"/>
      <c r="J4404" s="7"/>
      <c r="L4404" s="7"/>
      <c r="N4404" s="7"/>
      <c r="P4404" s="7"/>
      <c r="R4404" s="7"/>
      <c r="T4404" s="7"/>
      <c r="V4404" s="7"/>
      <c r="X4404" s="7"/>
    </row>
    <row r="4405" spans="2:24">
      <c r="B4405" s="7"/>
      <c r="D4405" s="7"/>
      <c r="F4405" s="7"/>
      <c r="H4405" s="7"/>
      <c r="J4405" s="7"/>
      <c r="L4405" s="7"/>
      <c r="N4405" s="7"/>
      <c r="P4405" s="7"/>
      <c r="R4405" s="7"/>
      <c r="T4405" s="7"/>
      <c r="V4405" s="7"/>
      <c r="X4405" s="7"/>
    </row>
    <row r="4406" spans="2:24">
      <c r="B4406" s="7"/>
      <c r="D4406" s="7"/>
      <c r="F4406" s="7"/>
      <c r="H4406" s="7"/>
      <c r="J4406" s="7"/>
      <c r="L4406" s="7"/>
      <c r="N4406" s="7"/>
      <c r="P4406" s="7"/>
      <c r="R4406" s="7"/>
      <c r="T4406" s="7"/>
      <c r="V4406" s="7"/>
      <c r="X4406" s="7"/>
    </row>
    <row r="4407" spans="2:24">
      <c r="B4407" s="7"/>
      <c r="D4407" s="7"/>
      <c r="F4407" s="7"/>
      <c r="H4407" s="7"/>
      <c r="J4407" s="7"/>
      <c r="L4407" s="7"/>
      <c r="N4407" s="7"/>
      <c r="P4407" s="7"/>
      <c r="R4407" s="7"/>
      <c r="T4407" s="7"/>
      <c r="V4407" s="7"/>
      <c r="X4407" s="7"/>
    </row>
    <row r="4408" spans="2:24">
      <c r="B4408" s="7"/>
      <c r="D4408" s="7"/>
      <c r="F4408" s="7"/>
      <c r="H4408" s="7"/>
      <c r="J4408" s="7"/>
      <c r="L4408" s="7"/>
      <c r="N4408" s="7"/>
      <c r="P4408" s="7"/>
      <c r="R4408" s="7"/>
      <c r="T4408" s="7"/>
      <c r="V4408" s="7"/>
      <c r="X4408" s="7"/>
    </row>
    <row r="4409" spans="2:24">
      <c r="B4409" s="7"/>
      <c r="D4409" s="7"/>
      <c r="F4409" s="7"/>
      <c r="H4409" s="7"/>
      <c r="J4409" s="7"/>
      <c r="L4409" s="7"/>
      <c r="N4409" s="7"/>
      <c r="P4409" s="7"/>
      <c r="R4409" s="7"/>
      <c r="T4409" s="7"/>
      <c r="V4409" s="7"/>
      <c r="X4409" s="7"/>
    </row>
    <row r="4410" spans="2:24">
      <c r="B4410" s="7"/>
      <c r="D4410" s="7"/>
      <c r="F4410" s="7"/>
      <c r="H4410" s="7"/>
      <c r="J4410" s="7"/>
      <c r="L4410" s="7"/>
      <c r="N4410" s="7"/>
      <c r="P4410" s="7"/>
      <c r="R4410" s="7"/>
      <c r="T4410" s="7"/>
      <c r="V4410" s="7"/>
      <c r="X4410" s="7"/>
    </row>
    <row r="4411" spans="2:24">
      <c r="B4411" s="7"/>
      <c r="D4411" s="7"/>
      <c r="F4411" s="7"/>
      <c r="H4411" s="7"/>
      <c r="J4411" s="7"/>
      <c r="L4411" s="7"/>
      <c r="N4411" s="7"/>
      <c r="P4411" s="7"/>
      <c r="R4411" s="7"/>
      <c r="T4411" s="7"/>
      <c r="V4411" s="7"/>
      <c r="X4411" s="7"/>
    </row>
    <row r="4412" spans="2:24">
      <c r="B4412" s="7"/>
      <c r="D4412" s="7"/>
      <c r="F4412" s="7"/>
      <c r="H4412" s="7"/>
      <c r="J4412" s="7"/>
      <c r="L4412" s="7"/>
      <c r="N4412" s="7"/>
      <c r="P4412" s="7"/>
      <c r="R4412" s="7"/>
      <c r="T4412" s="7"/>
      <c r="V4412" s="7"/>
      <c r="X4412" s="7"/>
    </row>
    <row r="4413" spans="2:24">
      <c r="B4413" s="7"/>
      <c r="D4413" s="7"/>
      <c r="F4413" s="7"/>
      <c r="H4413" s="7"/>
      <c r="J4413" s="7"/>
      <c r="L4413" s="7"/>
      <c r="N4413" s="7"/>
      <c r="P4413" s="7"/>
      <c r="R4413" s="7"/>
      <c r="T4413" s="7"/>
      <c r="V4413" s="7"/>
      <c r="X4413" s="7"/>
    </row>
    <row r="4414" spans="2:24">
      <c r="B4414" s="7"/>
      <c r="D4414" s="7"/>
      <c r="F4414" s="7"/>
      <c r="H4414" s="7"/>
      <c r="J4414" s="7"/>
      <c r="L4414" s="7"/>
      <c r="N4414" s="7"/>
      <c r="P4414" s="7"/>
      <c r="R4414" s="7"/>
      <c r="T4414" s="7"/>
      <c r="V4414" s="7"/>
      <c r="X4414" s="7"/>
    </row>
    <row r="4415" spans="2:24">
      <c r="B4415" s="7"/>
      <c r="D4415" s="7"/>
      <c r="F4415" s="7"/>
      <c r="H4415" s="7"/>
      <c r="J4415" s="7"/>
      <c r="L4415" s="7"/>
      <c r="N4415" s="7"/>
      <c r="P4415" s="7"/>
      <c r="R4415" s="7"/>
      <c r="T4415" s="7"/>
      <c r="V4415" s="7"/>
      <c r="X4415" s="7"/>
    </row>
    <row r="4416" spans="2:24">
      <c r="B4416" s="7"/>
      <c r="D4416" s="7"/>
      <c r="F4416" s="7"/>
      <c r="H4416" s="7"/>
      <c r="J4416" s="7"/>
      <c r="L4416" s="7"/>
      <c r="N4416" s="7"/>
      <c r="P4416" s="7"/>
      <c r="R4416" s="7"/>
      <c r="T4416" s="7"/>
      <c r="V4416" s="7"/>
      <c r="X4416" s="7"/>
    </row>
    <row r="4417" spans="2:24">
      <c r="B4417" s="7"/>
      <c r="D4417" s="7"/>
      <c r="F4417" s="7"/>
      <c r="H4417" s="7"/>
      <c r="J4417" s="7"/>
      <c r="L4417" s="7"/>
      <c r="N4417" s="7"/>
      <c r="P4417" s="7"/>
      <c r="R4417" s="7"/>
      <c r="T4417" s="7"/>
      <c r="V4417" s="7"/>
      <c r="X4417" s="7"/>
    </row>
    <row r="4418" spans="2:24">
      <c r="B4418" s="7"/>
      <c r="D4418" s="7"/>
      <c r="F4418" s="7"/>
      <c r="H4418" s="7"/>
      <c r="J4418" s="7"/>
      <c r="L4418" s="7"/>
      <c r="N4418" s="7"/>
      <c r="P4418" s="7"/>
      <c r="R4418" s="7"/>
      <c r="T4418" s="7"/>
      <c r="V4418" s="7"/>
      <c r="X4418" s="7"/>
    </row>
    <row r="4419" spans="2:24">
      <c r="B4419" s="7"/>
      <c r="D4419" s="7"/>
      <c r="F4419" s="7"/>
      <c r="H4419" s="7"/>
      <c r="J4419" s="7"/>
      <c r="L4419" s="7"/>
      <c r="N4419" s="7"/>
      <c r="P4419" s="7"/>
      <c r="R4419" s="7"/>
      <c r="T4419" s="7"/>
      <c r="V4419" s="7"/>
      <c r="X4419" s="7"/>
    </row>
    <row r="4420" spans="2:24">
      <c r="B4420" s="7"/>
      <c r="D4420" s="7"/>
      <c r="F4420" s="7"/>
      <c r="H4420" s="7"/>
      <c r="J4420" s="7"/>
      <c r="L4420" s="7"/>
      <c r="N4420" s="7"/>
      <c r="P4420" s="7"/>
      <c r="R4420" s="7"/>
      <c r="T4420" s="7"/>
      <c r="V4420" s="7"/>
      <c r="X4420" s="7"/>
    </row>
    <row r="4421" spans="2:24">
      <c r="B4421" s="7"/>
      <c r="D4421" s="7"/>
      <c r="F4421" s="7"/>
      <c r="H4421" s="7"/>
      <c r="J4421" s="7"/>
      <c r="L4421" s="7"/>
      <c r="N4421" s="7"/>
      <c r="P4421" s="7"/>
      <c r="R4421" s="7"/>
      <c r="T4421" s="7"/>
      <c r="V4421" s="7"/>
      <c r="X4421" s="7"/>
    </row>
    <row r="4422" spans="2:24">
      <c r="B4422" s="7"/>
      <c r="D4422" s="7"/>
      <c r="F4422" s="7"/>
      <c r="H4422" s="7"/>
      <c r="J4422" s="7"/>
      <c r="L4422" s="7"/>
      <c r="N4422" s="7"/>
      <c r="P4422" s="7"/>
      <c r="R4422" s="7"/>
      <c r="T4422" s="7"/>
      <c r="V4422" s="7"/>
      <c r="X4422" s="7"/>
    </row>
    <row r="4423" spans="2:24">
      <c r="B4423" s="7"/>
      <c r="D4423" s="7"/>
      <c r="F4423" s="7"/>
      <c r="H4423" s="7"/>
      <c r="J4423" s="7"/>
      <c r="L4423" s="7"/>
      <c r="N4423" s="7"/>
      <c r="P4423" s="7"/>
      <c r="R4423" s="7"/>
      <c r="T4423" s="7"/>
      <c r="V4423" s="7"/>
      <c r="X4423" s="7"/>
    </row>
    <row r="4424" spans="2:24">
      <c r="B4424" s="7"/>
      <c r="D4424" s="7"/>
      <c r="F4424" s="7"/>
      <c r="H4424" s="7"/>
      <c r="J4424" s="7"/>
      <c r="L4424" s="7"/>
      <c r="N4424" s="7"/>
      <c r="P4424" s="7"/>
      <c r="R4424" s="7"/>
      <c r="T4424" s="7"/>
      <c r="V4424" s="7"/>
      <c r="X4424" s="7"/>
    </row>
    <row r="4425" spans="2:24">
      <c r="B4425" s="7"/>
      <c r="D4425" s="7"/>
      <c r="F4425" s="7"/>
      <c r="H4425" s="7"/>
      <c r="J4425" s="7"/>
      <c r="L4425" s="7"/>
      <c r="N4425" s="7"/>
      <c r="P4425" s="7"/>
      <c r="R4425" s="7"/>
      <c r="T4425" s="7"/>
      <c r="V4425" s="7"/>
      <c r="X4425" s="7"/>
    </row>
    <row r="4426" spans="2:24">
      <c r="B4426" s="7"/>
      <c r="D4426" s="7"/>
      <c r="F4426" s="7"/>
      <c r="H4426" s="7"/>
      <c r="J4426" s="7"/>
      <c r="L4426" s="7"/>
      <c r="N4426" s="7"/>
      <c r="P4426" s="7"/>
      <c r="R4426" s="7"/>
      <c r="T4426" s="7"/>
      <c r="V4426" s="7"/>
      <c r="X4426" s="7"/>
    </row>
    <row r="4427" spans="2:24">
      <c r="B4427" s="7"/>
      <c r="D4427" s="7"/>
      <c r="F4427" s="7"/>
      <c r="H4427" s="7"/>
      <c r="J4427" s="7"/>
      <c r="L4427" s="7"/>
      <c r="N4427" s="7"/>
      <c r="P4427" s="7"/>
      <c r="R4427" s="7"/>
      <c r="T4427" s="7"/>
      <c r="V4427" s="7"/>
      <c r="X4427" s="7"/>
    </row>
    <row r="4428" spans="2:24">
      <c r="B4428" s="7"/>
      <c r="D4428" s="7"/>
      <c r="F4428" s="7"/>
      <c r="H4428" s="7"/>
      <c r="J4428" s="7"/>
      <c r="L4428" s="7"/>
      <c r="N4428" s="7"/>
      <c r="P4428" s="7"/>
      <c r="R4428" s="7"/>
      <c r="T4428" s="7"/>
      <c r="V4428" s="7"/>
      <c r="X4428" s="7"/>
    </row>
    <row r="4429" spans="2:24">
      <c r="B4429" s="7"/>
      <c r="D4429" s="7"/>
      <c r="F4429" s="7"/>
      <c r="H4429" s="7"/>
      <c r="J4429" s="7"/>
      <c r="L4429" s="7"/>
      <c r="N4429" s="7"/>
      <c r="P4429" s="7"/>
      <c r="R4429" s="7"/>
      <c r="T4429" s="7"/>
      <c r="V4429" s="7"/>
      <c r="X4429" s="7"/>
    </row>
    <row r="4430" spans="2:24">
      <c r="B4430" s="7"/>
      <c r="D4430" s="7"/>
      <c r="F4430" s="7"/>
      <c r="H4430" s="7"/>
      <c r="J4430" s="7"/>
      <c r="L4430" s="7"/>
      <c r="N4430" s="7"/>
      <c r="P4430" s="7"/>
      <c r="R4430" s="7"/>
      <c r="T4430" s="7"/>
      <c r="V4430" s="7"/>
      <c r="X4430" s="7"/>
    </row>
    <row r="4431" spans="2:24">
      <c r="B4431" s="7"/>
      <c r="D4431" s="7"/>
      <c r="F4431" s="7"/>
      <c r="H4431" s="7"/>
      <c r="J4431" s="7"/>
      <c r="L4431" s="7"/>
      <c r="N4431" s="7"/>
      <c r="P4431" s="7"/>
      <c r="R4431" s="7"/>
      <c r="T4431" s="7"/>
      <c r="V4431" s="7"/>
      <c r="X4431" s="7"/>
    </row>
    <row r="4432" spans="2:24">
      <c r="B4432" s="7"/>
      <c r="D4432" s="7"/>
      <c r="F4432" s="7"/>
      <c r="H4432" s="7"/>
      <c r="J4432" s="7"/>
      <c r="L4432" s="7"/>
      <c r="N4432" s="7"/>
      <c r="P4432" s="7"/>
      <c r="R4432" s="7"/>
      <c r="T4432" s="7"/>
      <c r="V4432" s="7"/>
      <c r="X4432" s="7"/>
    </row>
    <row r="4433" spans="2:24">
      <c r="B4433" s="7"/>
      <c r="D4433" s="7"/>
      <c r="F4433" s="7"/>
      <c r="H4433" s="7"/>
      <c r="J4433" s="7"/>
      <c r="L4433" s="7"/>
      <c r="N4433" s="7"/>
      <c r="P4433" s="7"/>
      <c r="R4433" s="7"/>
      <c r="T4433" s="7"/>
      <c r="V4433" s="7"/>
      <c r="X4433" s="7"/>
    </row>
    <row r="4434" spans="2:24">
      <c r="B4434" s="7"/>
      <c r="D4434" s="7"/>
      <c r="F4434" s="7"/>
      <c r="H4434" s="7"/>
      <c r="J4434" s="7"/>
      <c r="L4434" s="7"/>
      <c r="N4434" s="7"/>
      <c r="P4434" s="7"/>
      <c r="R4434" s="7"/>
      <c r="T4434" s="7"/>
      <c r="V4434" s="7"/>
      <c r="X4434" s="7"/>
    </row>
    <row r="4435" spans="2:24">
      <c r="B4435" s="7"/>
      <c r="D4435" s="7"/>
      <c r="F4435" s="7"/>
      <c r="H4435" s="7"/>
      <c r="J4435" s="7"/>
      <c r="L4435" s="7"/>
      <c r="N4435" s="7"/>
      <c r="P4435" s="7"/>
      <c r="R4435" s="7"/>
      <c r="T4435" s="7"/>
      <c r="V4435" s="7"/>
      <c r="X4435" s="7"/>
    </row>
    <row r="4436" spans="2:24">
      <c r="B4436" s="7"/>
      <c r="D4436" s="7"/>
      <c r="F4436" s="7"/>
      <c r="H4436" s="7"/>
      <c r="J4436" s="7"/>
      <c r="L4436" s="7"/>
      <c r="N4436" s="7"/>
      <c r="P4436" s="7"/>
      <c r="R4436" s="7"/>
      <c r="T4436" s="7"/>
      <c r="V4436" s="7"/>
      <c r="X4436" s="7"/>
    </row>
    <row r="4437" spans="2:24">
      <c r="B4437" s="7"/>
      <c r="D4437" s="7"/>
      <c r="F4437" s="7"/>
      <c r="H4437" s="7"/>
      <c r="J4437" s="7"/>
      <c r="L4437" s="7"/>
      <c r="N4437" s="7"/>
      <c r="P4437" s="7"/>
      <c r="R4437" s="7"/>
      <c r="T4437" s="7"/>
      <c r="V4437" s="7"/>
      <c r="X4437" s="7"/>
    </row>
    <row r="4438" spans="2:24">
      <c r="B4438" s="7"/>
      <c r="D4438" s="7"/>
      <c r="F4438" s="7"/>
      <c r="H4438" s="7"/>
      <c r="J4438" s="7"/>
      <c r="L4438" s="7"/>
      <c r="N4438" s="7"/>
      <c r="P4438" s="7"/>
      <c r="R4438" s="7"/>
      <c r="T4438" s="7"/>
      <c r="V4438" s="7"/>
      <c r="X4438" s="7"/>
    </row>
    <row r="4439" spans="2:24">
      <c r="B4439" s="7"/>
      <c r="D4439" s="7"/>
      <c r="F4439" s="7"/>
      <c r="H4439" s="7"/>
      <c r="J4439" s="7"/>
      <c r="L4439" s="7"/>
      <c r="N4439" s="7"/>
      <c r="P4439" s="7"/>
      <c r="R4439" s="7"/>
      <c r="T4439" s="7"/>
      <c r="V4439" s="7"/>
      <c r="X4439" s="7"/>
    </row>
    <row r="4440" spans="2:24">
      <c r="B4440" s="7"/>
      <c r="D4440" s="7"/>
      <c r="F4440" s="7"/>
      <c r="H4440" s="7"/>
      <c r="J4440" s="7"/>
      <c r="L4440" s="7"/>
      <c r="N4440" s="7"/>
      <c r="P4440" s="7"/>
      <c r="R4440" s="7"/>
      <c r="T4440" s="7"/>
      <c r="V4440" s="7"/>
      <c r="X4440" s="7"/>
    </row>
    <row r="4441" spans="2:24">
      <c r="B4441" s="7"/>
      <c r="D4441" s="7"/>
      <c r="F4441" s="7"/>
      <c r="H4441" s="7"/>
      <c r="J4441" s="7"/>
      <c r="L4441" s="7"/>
      <c r="N4441" s="7"/>
      <c r="P4441" s="7"/>
      <c r="R4441" s="7"/>
      <c r="T4441" s="7"/>
      <c r="V4441" s="7"/>
      <c r="X4441" s="7"/>
    </row>
    <row r="4442" spans="2:24">
      <c r="B4442" s="7"/>
      <c r="D4442" s="7"/>
      <c r="F4442" s="7"/>
      <c r="H4442" s="7"/>
      <c r="J4442" s="7"/>
      <c r="L4442" s="7"/>
      <c r="N4442" s="7"/>
      <c r="P4442" s="7"/>
      <c r="R4442" s="7"/>
      <c r="T4442" s="7"/>
      <c r="V4442" s="7"/>
      <c r="X4442" s="7"/>
    </row>
    <row r="4443" spans="2:24">
      <c r="B4443" s="7"/>
      <c r="D4443" s="7"/>
      <c r="F4443" s="7"/>
      <c r="H4443" s="7"/>
      <c r="J4443" s="7"/>
      <c r="L4443" s="7"/>
      <c r="N4443" s="7"/>
      <c r="P4443" s="7"/>
      <c r="R4443" s="7"/>
      <c r="T4443" s="7"/>
      <c r="V4443" s="7"/>
      <c r="X4443" s="7"/>
    </row>
    <row r="4444" spans="2:24">
      <c r="B4444" s="7"/>
      <c r="D4444" s="7"/>
      <c r="F4444" s="7"/>
      <c r="H4444" s="7"/>
      <c r="J4444" s="7"/>
      <c r="L4444" s="7"/>
      <c r="N4444" s="7"/>
      <c r="P4444" s="7"/>
      <c r="R4444" s="7"/>
      <c r="T4444" s="7"/>
      <c r="V4444" s="7"/>
      <c r="X4444" s="7"/>
    </row>
    <row r="4445" spans="2:24">
      <c r="B4445" s="7"/>
      <c r="D4445" s="7"/>
      <c r="F4445" s="7"/>
      <c r="H4445" s="7"/>
      <c r="J4445" s="7"/>
      <c r="L4445" s="7"/>
      <c r="N4445" s="7"/>
      <c r="P4445" s="7"/>
      <c r="R4445" s="7"/>
      <c r="T4445" s="7"/>
      <c r="V4445" s="7"/>
      <c r="X4445" s="7"/>
    </row>
    <row r="4446" spans="2:24">
      <c r="B4446" s="7"/>
      <c r="D4446" s="7"/>
      <c r="F4446" s="7"/>
      <c r="H4446" s="7"/>
      <c r="J4446" s="7"/>
      <c r="L4446" s="7"/>
      <c r="N4446" s="7"/>
      <c r="P4446" s="7"/>
      <c r="R4446" s="7"/>
      <c r="T4446" s="7"/>
      <c r="V4446" s="7"/>
      <c r="X4446" s="7"/>
    </row>
    <row r="4447" spans="2:24">
      <c r="B4447" s="7"/>
      <c r="D4447" s="7"/>
      <c r="F4447" s="7"/>
      <c r="H4447" s="7"/>
      <c r="J4447" s="7"/>
      <c r="L4447" s="7"/>
      <c r="N4447" s="7"/>
      <c r="P4447" s="7"/>
      <c r="R4447" s="7"/>
      <c r="T4447" s="7"/>
      <c r="V4447" s="7"/>
      <c r="X4447" s="7"/>
    </row>
    <row r="4448" spans="2:24">
      <c r="B4448" s="7"/>
      <c r="D4448" s="7"/>
      <c r="F4448" s="7"/>
      <c r="H4448" s="7"/>
      <c r="J4448" s="7"/>
      <c r="L4448" s="7"/>
      <c r="N4448" s="7"/>
      <c r="P4448" s="7"/>
      <c r="R4448" s="7"/>
      <c r="T4448" s="7"/>
      <c r="V4448" s="7"/>
      <c r="X4448" s="7"/>
    </row>
    <row r="4449" spans="2:24">
      <c r="B4449" s="7"/>
      <c r="D4449" s="7"/>
      <c r="F4449" s="7"/>
      <c r="H4449" s="7"/>
      <c r="J4449" s="7"/>
      <c r="L4449" s="7"/>
      <c r="N4449" s="7"/>
      <c r="P4449" s="7"/>
      <c r="R4449" s="7"/>
      <c r="T4449" s="7"/>
      <c r="V4449" s="7"/>
      <c r="X4449" s="7"/>
    </row>
    <row r="4450" spans="2:24">
      <c r="B4450" s="7"/>
      <c r="D4450" s="7"/>
      <c r="F4450" s="7"/>
      <c r="H4450" s="7"/>
      <c r="J4450" s="7"/>
      <c r="L4450" s="7"/>
      <c r="N4450" s="7"/>
      <c r="P4450" s="7"/>
      <c r="R4450" s="7"/>
      <c r="T4450" s="7"/>
      <c r="V4450" s="7"/>
      <c r="X4450" s="7"/>
    </row>
    <row r="4451" spans="2:24">
      <c r="B4451" s="7"/>
      <c r="D4451" s="7"/>
      <c r="F4451" s="7"/>
      <c r="H4451" s="7"/>
      <c r="J4451" s="7"/>
      <c r="L4451" s="7"/>
      <c r="N4451" s="7"/>
      <c r="P4451" s="7"/>
      <c r="R4451" s="7"/>
      <c r="T4451" s="7"/>
      <c r="V4451" s="7"/>
      <c r="X4451" s="7"/>
    </row>
    <row r="4452" spans="2:24">
      <c r="B4452" s="7"/>
      <c r="D4452" s="7"/>
      <c r="F4452" s="7"/>
      <c r="H4452" s="7"/>
      <c r="J4452" s="7"/>
      <c r="L4452" s="7"/>
      <c r="N4452" s="7"/>
      <c r="P4452" s="7"/>
      <c r="R4452" s="7"/>
      <c r="T4452" s="7"/>
      <c r="V4452" s="7"/>
      <c r="X4452" s="7"/>
    </row>
    <row r="4453" spans="2:24">
      <c r="B4453" s="7"/>
      <c r="D4453" s="7"/>
      <c r="F4453" s="7"/>
      <c r="H4453" s="7"/>
      <c r="J4453" s="7"/>
      <c r="L4453" s="7"/>
      <c r="N4453" s="7"/>
      <c r="P4453" s="7"/>
      <c r="R4453" s="7"/>
      <c r="T4453" s="7"/>
      <c r="V4453" s="7"/>
      <c r="X4453" s="7"/>
    </row>
    <row r="4454" spans="2:24">
      <c r="B4454" s="7"/>
      <c r="D4454" s="7"/>
      <c r="F4454" s="7"/>
      <c r="H4454" s="7"/>
      <c r="J4454" s="7"/>
      <c r="L4454" s="7"/>
      <c r="N4454" s="7"/>
      <c r="P4454" s="7"/>
      <c r="R4454" s="7"/>
      <c r="T4454" s="7"/>
      <c r="V4454" s="7"/>
      <c r="X4454" s="7"/>
    </row>
    <row r="4455" spans="2:24">
      <c r="B4455" s="7"/>
      <c r="D4455" s="7"/>
      <c r="F4455" s="7"/>
      <c r="H4455" s="7"/>
      <c r="J4455" s="7"/>
      <c r="L4455" s="7"/>
      <c r="N4455" s="7"/>
      <c r="P4455" s="7"/>
      <c r="R4455" s="7"/>
      <c r="T4455" s="7"/>
      <c r="V4455" s="7"/>
      <c r="X4455" s="7"/>
    </row>
    <row r="4456" spans="2:24">
      <c r="B4456" s="7"/>
      <c r="D4456" s="7"/>
      <c r="F4456" s="7"/>
      <c r="H4456" s="7"/>
      <c r="J4456" s="7"/>
      <c r="L4456" s="7"/>
      <c r="N4456" s="7"/>
      <c r="P4456" s="7"/>
      <c r="R4456" s="7"/>
      <c r="T4456" s="7"/>
      <c r="V4456" s="7"/>
      <c r="X4456" s="7"/>
    </row>
    <row r="4457" spans="2:24">
      <c r="B4457" s="7"/>
      <c r="D4457" s="7"/>
      <c r="F4457" s="7"/>
      <c r="H4457" s="7"/>
      <c r="J4457" s="7"/>
      <c r="L4457" s="7"/>
      <c r="N4457" s="7"/>
      <c r="P4457" s="7"/>
      <c r="R4457" s="7"/>
      <c r="T4457" s="7"/>
      <c r="V4457" s="7"/>
      <c r="X4457" s="7"/>
    </row>
    <row r="4458" spans="2:24">
      <c r="B4458" s="7"/>
      <c r="D4458" s="7"/>
      <c r="F4458" s="7"/>
      <c r="H4458" s="7"/>
      <c r="J4458" s="7"/>
      <c r="L4458" s="7"/>
      <c r="N4458" s="7"/>
      <c r="P4458" s="7"/>
      <c r="R4458" s="7"/>
      <c r="T4458" s="7"/>
      <c r="V4458" s="7"/>
      <c r="X4458" s="7"/>
    </row>
    <row r="4459" spans="2:24">
      <c r="B4459" s="7"/>
      <c r="D4459" s="7"/>
      <c r="F4459" s="7"/>
      <c r="H4459" s="7"/>
      <c r="J4459" s="7"/>
      <c r="L4459" s="7"/>
      <c r="N4459" s="7"/>
      <c r="P4459" s="7"/>
      <c r="R4459" s="7"/>
      <c r="T4459" s="7"/>
      <c r="V4459" s="7"/>
      <c r="X4459" s="7"/>
    </row>
    <row r="4460" spans="2:24">
      <c r="B4460" s="7"/>
      <c r="D4460" s="7"/>
      <c r="F4460" s="7"/>
      <c r="H4460" s="7"/>
      <c r="J4460" s="7"/>
      <c r="L4460" s="7"/>
      <c r="N4460" s="7"/>
      <c r="P4460" s="7"/>
      <c r="R4460" s="7"/>
      <c r="T4460" s="7"/>
      <c r="V4460" s="7"/>
      <c r="X4460" s="7"/>
    </row>
    <row r="4461" spans="2:24">
      <c r="B4461" s="7"/>
      <c r="D4461" s="7"/>
      <c r="F4461" s="7"/>
      <c r="H4461" s="7"/>
      <c r="J4461" s="7"/>
      <c r="L4461" s="7"/>
      <c r="N4461" s="7"/>
      <c r="P4461" s="7"/>
      <c r="R4461" s="7"/>
      <c r="T4461" s="7"/>
      <c r="V4461" s="7"/>
      <c r="X4461" s="7"/>
    </row>
    <row r="4462" spans="2:24">
      <c r="B4462" s="7"/>
      <c r="D4462" s="7"/>
      <c r="F4462" s="7"/>
      <c r="H4462" s="7"/>
      <c r="J4462" s="7"/>
      <c r="L4462" s="7"/>
      <c r="N4462" s="7"/>
      <c r="P4462" s="7"/>
      <c r="R4462" s="7"/>
      <c r="T4462" s="7"/>
      <c r="V4462" s="7"/>
      <c r="X4462" s="7"/>
    </row>
    <row r="4463" spans="2:24">
      <c r="B4463" s="7"/>
      <c r="D4463" s="7"/>
      <c r="F4463" s="7"/>
      <c r="H4463" s="7"/>
      <c r="J4463" s="7"/>
      <c r="L4463" s="7"/>
      <c r="N4463" s="7"/>
      <c r="P4463" s="7"/>
      <c r="R4463" s="7"/>
      <c r="T4463" s="7"/>
      <c r="V4463" s="7"/>
      <c r="X4463" s="7"/>
    </row>
    <row r="4464" spans="2:24">
      <c r="B4464" s="7"/>
      <c r="D4464" s="7"/>
      <c r="F4464" s="7"/>
      <c r="H4464" s="7"/>
      <c r="J4464" s="7"/>
      <c r="L4464" s="7"/>
      <c r="N4464" s="7"/>
      <c r="P4464" s="7"/>
      <c r="R4464" s="7"/>
      <c r="T4464" s="7"/>
      <c r="V4464" s="7"/>
      <c r="X4464" s="7"/>
    </row>
    <row r="4465" spans="2:24">
      <c r="B4465" s="7"/>
      <c r="D4465" s="7"/>
      <c r="F4465" s="7"/>
      <c r="H4465" s="7"/>
      <c r="J4465" s="7"/>
      <c r="L4465" s="7"/>
      <c r="N4465" s="7"/>
      <c r="P4465" s="7"/>
      <c r="R4465" s="7"/>
      <c r="T4465" s="7"/>
      <c r="V4465" s="7"/>
      <c r="X4465" s="7"/>
    </row>
    <row r="4466" spans="2:24">
      <c r="B4466" s="7"/>
      <c r="D4466" s="7"/>
      <c r="F4466" s="7"/>
      <c r="H4466" s="7"/>
      <c r="J4466" s="7"/>
      <c r="L4466" s="7"/>
      <c r="N4466" s="7"/>
      <c r="P4466" s="7"/>
      <c r="R4466" s="7"/>
      <c r="T4466" s="7"/>
      <c r="V4466" s="7"/>
      <c r="X4466" s="7"/>
    </row>
    <row r="4467" spans="2:24">
      <c r="B4467" s="7"/>
      <c r="D4467" s="7"/>
      <c r="F4467" s="7"/>
      <c r="H4467" s="7"/>
      <c r="J4467" s="7"/>
      <c r="L4467" s="7"/>
      <c r="N4467" s="7"/>
      <c r="P4467" s="7"/>
      <c r="R4467" s="7"/>
      <c r="T4467" s="7"/>
      <c r="V4467" s="7"/>
      <c r="X4467" s="7"/>
    </row>
    <row r="4468" spans="2:24">
      <c r="B4468" s="7"/>
      <c r="D4468" s="7"/>
      <c r="F4468" s="7"/>
      <c r="H4468" s="7"/>
      <c r="J4468" s="7"/>
      <c r="L4468" s="7"/>
      <c r="N4468" s="7"/>
      <c r="P4468" s="7"/>
      <c r="R4468" s="7"/>
      <c r="T4468" s="7"/>
      <c r="V4468" s="7"/>
      <c r="X4468" s="7"/>
    </row>
    <row r="4469" spans="2:24">
      <c r="B4469" s="7"/>
      <c r="D4469" s="7"/>
      <c r="F4469" s="7"/>
      <c r="H4469" s="7"/>
      <c r="J4469" s="7"/>
      <c r="L4469" s="7"/>
      <c r="N4469" s="7"/>
      <c r="P4469" s="7"/>
      <c r="R4469" s="7"/>
      <c r="T4469" s="7"/>
      <c r="V4469" s="7"/>
      <c r="X4469" s="7"/>
    </row>
    <row r="4470" spans="2:24">
      <c r="B4470" s="7"/>
      <c r="D4470" s="7"/>
      <c r="F4470" s="7"/>
      <c r="H4470" s="7"/>
      <c r="J4470" s="7"/>
      <c r="L4470" s="7"/>
      <c r="N4470" s="7"/>
      <c r="P4470" s="7"/>
      <c r="R4470" s="7"/>
      <c r="T4470" s="7"/>
      <c r="V4470" s="7"/>
      <c r="X4470" s="7"/>
    </row>
    <row r="4471" spans="2:24">
      <c r="B4471" s="7"/>
      <c r="D4471" s="7"/>
      <c r="F4471" s="7"/>
      <c r="H4471" s="7"/>
      <c r="J4471" s="7"/>
      <c r="L4471" s="7"/>
      <c r="N4471" s="7"/>
      <c r="P4471" s="7"/>
      <c r="R4471" s="7"/>
      <c r="T4471" s="7"/>
      <c r="V4471" s="7"/>
      <c r="X4471" s="7"/>
    </row>
    <row r="4472" spans="2:24">
      <c r="B4472" s="7"/>
      <c r="D4472" s="7"/>
      <c r="F4472" s="7"/>
      <c r="H4472" s="7"/>
      <c r="J4472" s="7"/>
      <c r="L4472" s="7"/>
      <c r="N4472" s="7"/>
      <c r="P4472" s="7"/>
      <c r="R4472" s="7"/>
      <c r="T4472" s="7"/>
      <c r="V4472" s="7"/>
      <c r="X4472" s="7"/>
    </row>
    <row r="4473" spans="2:24">
      <c r="B4473" s="7"/>
      <c r="D4473" s="7"/>
      <c r="F4473" s="7"/>
      <c r="H4473" s="7"/>
      <c r="J4473" s="7"/>
      <c r="L4473" s="7"/>
      <c r="N4473" s="7"/>
      <c r="P4473" s="7"/>
      <c r="R4473" s="7"/>
      <c r="T4473" s="7"/>
      <c r="V4473" s="7"/>
      <c r="X4473" s="7"/>
    </row>
    <row r="4474" spans="2:24">
      <c r="B4474" s="7"/>
      <c r="D4474" s="7"/>
      <c r="F4474" s="7"/>
      <c r="H4474" s="7"/>
      <c r="J4474" s="7"/>
      <c r="L4474" s="7"/>
      <c r="N4474" s="7"/>
      <c r="P4474" s="7"/>
      <c r="R4474" s="7"/>
      <c r="T4474" s="7"/>
      <c r="V4474" s="7"/>
      <c r="X4474" s="7"/>
    </row>
    <row r="4475" spans="2:24">
      <c r="B4475" s="7"/>
      <c r="D4475" s="7"/>
      <c r="F4475" s="7"/>
      <c r="H4475" s="7"/>
      <c r="J4475" s="7"/>
      <c r="L4475" s="7"/>
      <c r="N4475" s="7"/>
      <c r="P4475" s="7"/>
      <c r="R4475" s="7"/>
      <c r="T4475" s="7"/>
      <c r="V4475" s="7"/>
      <c r="X4475" s="7"/>
    </row>
    <row r="4476" spans="2:24">
      <c r="B4476" s="7"/>
      <c r="D4476" s="7"/>
      <c r="F4476" s="7"/>
      <c r="H4476" s="7"/>
      <c r="J4476" s="7"/>
      <c r="L4476" s="7"/>
      <c r="N4476" s="7"/>
      <c r="P4476" s="7"/>
      <c r="R4476" s="7"/>
      <c r="T4476" s="7"/>
      <c r="V4476" s="7"/>
      <c r="X4476" s="7"/>
    </row>
    <row r="4477" spans="2:24">
      <c r="B4477" s="7"/>
      <c r="D4477" s="7"/>
      <c r="F4477" s="7"/>
      <c r="H4477" s="7"/>
      <c r="J4477" s="7"/>
      <c r="L4477" s="7"/>
      <c r="N4477" s="7"/>
      <c r="P4477" s="7"/>
      <c r="R4477" s="7"/>
      <c r="T4477" s="7"/>
      <c r="V4477" s="7"/>
      <c r="X4477" s="7"/>
    </row>
    <row r="4478" spans="2:24">
      <c r="B4478" s="7"/>
      <c r="D4478" s="7"/>
      <c r="F4478" s="7"/>
      <c r="H4478" s="7"/>
      <c r="J4478" s="7"/>
      <c r="L4478" s="7"/>
      <c r="N4478" s="7"/>
      <c r="P4478" s="7"/>
      <c r="R4478" s="7"/>
      <c r="T4478" s="7"/>
      <c r="V4478" s="7"/>
      <c r="X4478" s="7"/>
    </row>
    <row r="4479" spans="2:24">
      <c r="B4479" s="7"/>
      <c r="D4479" s="7"/>
      <c r="F4479" s="7"/>
      <c r="H4479" s="7"/>
      <c r="J4479" s="7"/>
      <c r="L4479" s="7"/>
      <c r="N4479" s="7"/>
      <c r="P4479" s="7"/>
      <c r="R4479" s="7"/>
      <c r="T4479" s="7"/>
      <c r="V4479" s="7"/>
      <c r="X4479" s="7"/>
    </row>
    <row r="4480" spans="2:24">
      <c r="B4480" s="7"/>
      <c r="D4480" s="7"/>
      <c r="F4480" s="7"/>
      <c r="H4480" s="7"/>
      <c r="J4480" s="7"/>
      <c r="L4480" s="7"/>
      <c r="N4480" s="7"/>
      <c r="P4480" s="7"/>
      <c r="R4480" s="7"/>
      <c r="T4480" s="7"/>
      <c r="V4480" s="7"/>
      <c r="X4480" s="7"/>
    </row>
    <row r="4481" spans="2:24">
      <c r="B4481" s="7"/>
      <c r="D4481" s="7"/>
      <c r="F4481" s="7"/>
      <c r="H4481" s="7"/>
      <c r="J4481" s="7"/>
      <c r="L4481" s="7"/>
      <c r="N4481" s="7"/>
      <c r="P4481" s="7"/>
      <c r="R4481" s="7"/>
      <c r="T4481" s="7"/>
      <c r="V4481" s="7"/>
      <c r="X4481" s="7"/>
    </row>
    <row r="4482" spans="2:24">
      <c r="B4482" s="7"/>
      <c r="D4482" s="7"/>
      <c r="F4482" s="7"/>
      <c r="H4482" s="7"/>
      <c r="J4482" s="7"/>
      <c r="L4482" s="7"/>
      <c r="N4482" s="7"/>
      <c r="P4482" s="7"/>
      <c r="R4482" s="7"/>
      <c r="T4482" s="7"/>
      <c r="V4482" s="7"/>
      <c r="X4482" s="7"/>
    </row>
    <row r="4483" spans="2:24">
      <c r="B4483" s="7"/>
      <c r="D4483" s="7"/>
      <c r="F4483" s="7"/>
      <c r="H4483" s="7"/>
      <c r="J4483" s="7"/>
      <c r="L4483" s="7"/>
      <c r="N4483" s="7"/>
      <c r="P4483" s="7"/>
      <c r="R4483" s="7"/>
      <c r="T4483" s="7"/>
      <c r="V4483" s="7"/>
      <c r="X4483" s="7"/>
    </row>
    <row r="4484" spans="2:24">
      <c r="B4484" s="7"/>
      <c r="D4484" s="7"/>
      <c r="F4484" s="7"/>
      <c r="H4484" s="7"/>
      <c r="J4484" s="7"/>
      <c r="L4484" s="7"/>
      <c r="N4484" s="7"/>
      <c r="P4484" s="7"/>
      <c r="R4484" s="7"/>
      <c r="T4484" s="7"/>
      <c r="V4484" s="7"/>
      <c r="X4484" s="7"/>
    </row>
    <row r="4485" spans="2:24">
      <c r="B4485" s="7"/>
      <c r="D4485" s="7"/>
      <c r="F4485" s="7"/>
      <c r="H4485" s="7"/>
      <c r="J4485" s="7"/>
      <c r="L4485" s="7"/>
      <c r="N4485" s="7"/>
      <c r="P4485" s="7"/>
      <c r="R4485" s="7"/>
      <c r="T4485" s="7"/>
      <c r="V4485" s="7"/>
      <c r="X4485" s="7"/>
    </row>
    <row r="4486" spans="2:24">
      <c r="B4486" s="7"/>
      <c r="D4486" s="7"/>
      <c r="F4486" s="7"/>
      <c r="H4486" s="7"/>
      <c r="J4486" s="7"/>
      <c r="L4486" s="7"/>
      <c r="N4486" s="7"/>
      <c r="P4486" s="7"/>
      <c r="R4486" s="7"/>
      <c r="T4486" s="7"/>
      <c r="V4486" s="7"/>
      <c r="X4486" s="7"/>
    </row>
    <row r="4487" spans="2:24">
      <c r="B4487" s="7"/>
      <c r="D4487" s="7"/>
      <c r="F4487" s="7"/>
      <c r="H4487" s="7"/>
      <c r="J4487" s="7"/>
      <c r="L4487" s="7"/>
      <c r="N4487" s="7"/>
      <c r="P4487" s="7"/>
      <c r="R4487" s="7"/>
      <c r="T4487" s="7"/>
      <c r="V4487" s="7"/>
      <c r="X4487" s="7"/>
    </row>
    <row r="4488" spans="2:24">
      <c r="B4488" s="7"/>
      <c r="D4488" s="7"/>
      <c r="F4488" s="7"/>
      <c r="H4488" s="7"/>
      <c r="J4488" s="7"/>
      <c r="L4488" s="7"/>
      <c r="N4488" s="7"/>
      <c r="P4488" s="7"/>
      <c r="R4488" s="7"/>
      <c r="T4488" s="7"/>
      <c r="V4488" s="7"/>
      <c r="X4488" s="7"/>
    </row>
    <row r="4489" spans="2:24">
      <c r="B4489" s="7"/>
      <c r="D4489" s="7"/>
      <c r="F4489" s="7"/>
      <c r="H4489" s="7"/>
      <c r="J4489" s="7"/>
      <c r="L4489" s="7"/>
      <c r="N4489" s="7"/>
      <c r="P4489" s="7"/>
      <c r="R4489" s="7"/>
      <c r="T4489" s="7"/>
      <c r="V4489" s="7"/>
      <c r="X4489" s="7"/>
    </row>
    <row r="4490" spans="2:24">
      <c r="B4490" s="7"/>
      <c r="D4490" s="7"/>
      <c r="F4490" s="7"/>
      <c r="H4490" s="7"/>
      <c r="J4490" s="7"/>
      <c r="L4490" s="7"/>
      <c r="N4490" s="7"/>
      <c r="P4490" s="7"/>
      <c r="R4490" s="7"/>
      <c r="T4490" s="7"/>
      <c r="V4490" s="7"/>
      <c r="X4490" s="7"/>
    </row>
    <row r="4491" spans="2:24">
      <c r="B4491" s="7"/>
      <c r="D4491" s="7"/>
      <c r="F4491" s="7"/>
      <c r="H4491" s="7"/>
      <c r="J4491" s="7"/>
      <c r="L4491" s="7"/>
      <c r="N4491" s="7"/>
      <c r="P4491" s="7"/>
      <c r="R4491" s="7"/>
      <c r="T4491" s="7"/>
      <c r="V4491" s="7"/>
      <c r="X4491" s="7"/>
    </row>
    <row r="4492" spans="2:24">
      <c r="B4492" s="7"/>
      <c r="D4492" s="7"/>
      <c r="F4492" s="7"/>
      <c r="H4492" s="7"/>
      <c r="J4492" s="7"/>
      <c r="L4492" s="7"/>
      <c r="N4492" s="7"/>
      <c r="P4492" s="7"/>
      <c r="R4492" s="7"/>
      <c r="T4492" s="7"/>
      <c r="V4492" s="7"/>
      <c r="X4492" s="7"/>
    </row>
    <row r="4493" spans="2:24">
      <c r="B4493" s="7"/>
      <c r="D4493" s="7"/>
      <c r="F4493" s="7"/>
      <c r="H4493" s="7"/>
      <c r="J4493" s="7"/>
      <c r="L4493" s="7"/>
      <c r="N4493" s="7"/>
      <c r="P4493" s="7"/>
      <c r="R4493" s="7"/>
      <c r="T4493" s="7"/>
      <c r="V4493" s="7"/>
      <c r="X4493" s="7"/>
    </row>
    <row r="4494" spans="2:24">
      <c r="B4494" s="7"/>
      <c r="D4494" s="7"/>
      <c r="F4494" s="7"/>
      <c r="H4494" s="7"/>
      <c r="J4494" s="7"/>
      <c r="L4494" s="7"/>
      <c r="N4494" s="7"/>
      <c r="P4494" s="7"/>
      <c r="R4494" s="7"/>
      <c r="T4494" s="7"/>
      <c r="V4494" s="7"/>
      <c r="X4494" s="7"/>
    </row>
    <row r="4495" spans="2:24">
      <c r="B4495" s="7"/>
      <c r="D4495" s="7"/>
      <c r="F4495" s="7"/>
      <c r="H4495" s="7"/>
      <c r="J4495" s="7"/>
      <c r="L4495" s="7"/>
      <c r="N4495" s="7"/>
      <c r="P4495" s="7"/>
      <c r="R4495" s="7"/>
      <c r="T4495" s="7"/>
      <c r="V4495" s="7"/>
      <c r="X4495" s="7"/>
    </row>
    <row r="4496" spans="2:24">
      <c r="B4496" s="7"/>
      <c r="D4496" s="7"/>
      <c r="F4496" s="7"/>
      <c r="H4496" s="7"/>
      <c r="J4496" s="7"/>
      <c r="L4496" s="7"/>
      <c r="N4496" s="7"/>
      <c r="P4496" s="7"/>
      <c r="R4496" s="7"/>
      <c r="T4496" s="7"/>
      <c r="V4496" s="7"/>
      <c r="X4496" s="7"/>
    </row>
    <row r="4497" spans="2:24">
      <c r="B4497" s="7"/>
      <c r="D4497" s="7"/>
      <c r="F4497" s="7"/>
      <c r="H4497" s="7"/>
      <c r="J4497" s="7"/>
      <c r="L4497" s="7"/>
      <c r="N4497" s="7"/>
      <c r="P4497" s="7"/>
      <c r="R4497" s="7"/>
      <c r="T4497" s="7"/>
      <c r="V4497" s="7"/>
      <c r="X4497" s="7"/>
    </row>
    <row r="4498" spans="2:24">
      <c r="B4498" s="7"/>
      <c r="D4498" s="7"/>
      <c r="F4498" s="7"/>
      <c r="H4498" s="7"/>
      <c r="J4498" s="7"/>
      <c r="L4498" s="7"/>
      <c r="N4498" s="7"/>
      <c r="P4498" s="7"/>
      <c r="R4498" s="7"/>
      <c r="T4498" s="7"/>
      <c r="V4498" s="7"/>
      <c r="X4498" s="7"/>
    </row>
    <row r="4499" spans="2:24">
      <c r="B4499" s="7"/>
      <c r="D4499" s="7"/>
      <c r="F4499" s="7"/>
      <c r="H4499" s="7"/>
      <c r="J4499" s="7"/>
      <c r="L4499" s="7"/>
      <c r="N4499" s="7"/>
      <c r="P4499" s="7"/>
      <c r="R4499" s="7"/>
      <c r="T4499" s="7"/>
      <c r="V4499" s="7"/>
      <c r="X4499" s="7"/>
    </row>
    <row r="4500" spans="2:24">
      <c r="B4500" s="7"/>
      <c r="D4500" s="7"/>
      <c r="F4500" s="7"/>
      <c r="H4500" s="7"/>
      <c r="J4500" s="7"/>
      <c r="L4500" s="7"/>
      <c r="N4500" s="7"/>
      <c r="P4500" s="7"/>
      <c r="R4500" s="7"/>
      <c r="T4500" s="7"/>
      <c r="V4500" s="7"/>
      <c r="X4500" s="7"/>
    </row>
    <row r="4501" spans="2:24">
      <c r="B4501" s="7"/>
      <c r="D4501" s="7"/>
      <c r="F4501" s="7"/>
      <c r="H4501" s="7"/>
      <c r="J4501" s="7"/>
      <c r="L4501" s="7"/>
      <c r="N4501" s="7"/>
      <c r="P4501" s="7"/>
      <c r="R4501" s="7"/>
      <c r="T4501" s="7"/>
      <c r="V4501" s="7"/>
      <c r="X4501" s="7"/>
    </row>
    <row r="4502" spans="2:24">
      <c r="B4502" s="7"/>
      <c r="D4502" s="7"/>
      <c r="F4502" s="7"/>
      <c r="H4502" s="7"/>
      <c r="J4502" s="7"/>
      <c r="L4502" s="7"/>
      <c r="N4502" s="7"/>
      <c r="P4502" s="7"/>
      <c r="R4502" s="7"/>
      <c r="T4502" s="7"/>
      <c r="V4502" s="7"/>
      <c r="X4502" s="7"/>
    </row>
    <row r="4503" spans="2:24">
      <c r="B4503" s="7"/>
      <c r="D4503" s="7"/>
      <c r="F4503" s="7"/>
      <c r="H4503" s="7"/>
      <c r="J4503" s="7"/>
      <c r="L4503" s="7"/>
      <c r="N4503" s="7"/>
      <c r="P4503" s="7"/>
      <c r="R4503" s="7"/>
      <c r="T4503" s="7"/>
      <c r="V4503" s="7"/>
      <c r="X4503" s="7"/>
    </row>
    <row r="4504" spans="2:24">
      <c r="B4504" s="7"/>
      <c r="D4504" s="7"/>
      <c r="F4504" s="7"/>
      <c r="H4504" s="7"/>
      <c r="J4504" s="7"/>
      <c r="L4504" s="7"/>
      <c r="N4504" s="7"/>
      <c r="P4504" s="7"/>
      <c r="R4504" s="7"/>
      <c r="T4504" s="7"/>
      <c r="V4504" s="7"/>
      <c r="X4504" s="7"/>
    </row>
    <row r="4505" spans="2:24">
      <c r="B4505" s="7"/>
      <c r="D4505" s="7"/>
      <c r="F4505" s="7"/>
      <c r="H4505" s="7"/>
      <c r="J4505" s="7"/>
      <c r="L4505" s="7"/>
      <c r="N4505" s="7"/>
      <c r="P4505" s="7"/>
      <c r="R4505" s="7"/>
      <c r="T4505" s="7"/>
      <c r="V4505" s="7"/>
      <c r="X4505" s="7"/>
    </row>
    <row r="4506" spans="2:24">
      <c r="B4506" s="7"/>
      <c r="D4506" s="7"/>
      <c r="F4506" s="7"/>
      <c r="H4506" s="7"/>
      <c r="J4506" s="7"/>
      <c r="L4506" s="7"/>
      <c r="N4506" s="7"/>
      <c r="P4506" s="7"/>
      <c r="R4506" s="7"/>
      <c r="T4506" s="7"/>
      <c r="V4506" s="7"/>
      <c r="X4506" s="7"/>
    </row>
    <row r="4507" spans="2:24">
      <c r="B4507" s="7"/>
      <c r="D4507" s="7"/>
      <c r="F4507" s="7"/>
      <c r="H4507" s="7"/>
      <c r="J4507" s="7"/>
      <c r="L4507" s="7"/>
      <c r="N4507" s="7"/>
      <c r="P4507" s="7"/>
      <c r="R4507" s="7"/>
      <c r="T4507" s="7"/>
      <c r="V4507" s="7"/>
      <c r="X4507" s="7"/>
    </row>
    <row r="4508" spans="2:24">
      <c r="B4508" s="7"/>
      <c r="D4508" s="7"/>
      <c r="F4508" s="7"/>
      <c r="H4508" s="7"/>
      <c r="J4508" s="7"/>
      <c r="L4508" s="7"/>
      <c r="N4508" s="7"/>
      <c r="P4508" s="7"/>
      <c r="R4508" s="7"/>
      <c r="T4508" s="7"/>
      <c r="V4508" s="7"/>
      <c r="X4508" s="7"/>
    </row>
    <row r="4509" spans="2:24">
      <c r="B4509" s="7"/>
      <c r="D4509" s="7"/>
      <c r="F4509" s="7"/>
      <c r="H4509" s="7"/>
      <c r="J4509" s="7"/>
      <c r="L4509" s="7"/>
      <c r="N4509" s="7"/>
      <c r="P4509" s="7"/>
      <c r="R4509" s="7"/>
      <c r="T4509" s="7"/>
      <c r="V4509" s="7"/>
      <c r="X4509" s="7"/>
    </row>
    <row r="4510" spans="2:24">
      <c r="B4510" s="7"/>
      <c r="D4510" s="7"/>
      <c r="F4510" s="7"/>
      <c r="H4510" s="7"/>
      <c r="J4510" s="7"/>
      <c r="L4510" s="7"/>
      <c r="N4510" s="7"/>
      <c r="P4510" s="7"/>
      <c r="R4510" s="7"/>
      <c r="T4510" s="7"/>
      <c r="V4510" s="7"/>
      <c r="X4510" s="7"/>
    </row>
    <row r="4511" spans="2:24">
      <c r="B4511" s="7"/>
      <c r="D4511" s="7"/>
      <c r="F4511" s="7"/>
      <c r="H4511" s="7"/>
      <c r="J4511" s="7"/>
      <c r="L4511" s="7"/>
      <c r="N4511" s="7"/>
      <c r="P4511" s="7"/>
      <c r="R4511" s="7"/>
      <c r="T4511" s="7"/>
      <c r="V4511" s="7"/>
      <c r="X4511" s="7"/>
    </row>
    <row r="4512" spans="2:24">
      <c r="B4512" s="7"/>
      <c r="D4512" s="7"/>
      <c r="F4512" s="7"/>
      <c r="H4512" s="7"/>
      <c r="J4512" s="7"/>
      <c r="L4512" s="7"/>
      <c r="N4512" s="7"/>
      <c r="P4512" s="7"/>
      <c r="R4512" s="7"/>
      <c r="T4512" s="7"/>
      <c r="V4512" s="7"/>
      <c r="X4512" s="7"/>
    </row>
    <row r="4513" spans="2:24">
      <c r="B4513" s="7"/>
      <c r="D4513" s="7"/>
      <c r="F4513" s="7"/>
      <c r="H4513" s="7"/>
      <c r="J4513" s="7"/>
      <c r="L4513" s="7"/>
      <c r="N4513" s="7"/>
      <c r="P4513" s="7"/>
      <c r="R4513" s="7"/>
      <c r="T4513" s="7"/>
      <c r="V4513" s="7"/>
      <c r="X4513" s="7"/>
    </row>
    <row r="4514" spans="2:24">
      <c r="B4514" s="7"/>
      <c r="D4514" s="7"/>
      <c r="F4514" s="7"/>
      <c r="H4514" s="7"/>
      <c r="J4514" s="7"/>
      <c r="L4514" s="7"/>
      <c r="N4514" s="7"/>
      <c r="P4514" s="7"/>
      <c r="R4514" s="7"/>
      <c r="T4514" s="7"/>
      <c r="V4514" s="7"/>
      <c r="X4514" s="7"/>
    </row>
    <row r="4515" spans="2:24">
      <c r="B4515" s="7"/>
      <c r="D4515" s="7"/>
      <c r="F4515" s="7"/>
      <c r="H4515" s="7"/>
      <c r="J4515" s="7"/>
      <c r="L4515" s="7"/>
      <c r="N4515" s="7"/>
      <c r="P4515" s="7"/>
      <c r="R4515" s="7"/>
      <c r="T4515" s="7"/>
      <c r="V4515" s="7"/>
      <c r="X4515" s="7"/>
    </row>
    <row r="4516" spans="2:24">
      <c r="B4516" s="7"/>
      <c r="D4516" s="7"/>
      <c r="F4516" s="7"/>
      <c r="H4516" s="7"/>
      <c r="J4516" s="7"/>
      <c r="L4516" s="7"/>
      <c r="N4516" s="7"/>
      <c r="P4516" s="7"/>
      <c r="R4516" s="7"/>
      <c r="T4516" s="7"/>
      <c r="V4516" s="7"/>
      <c r="X4516" s="7"/>
    </row>
    <row r="4517" spans="2:24">
      <c r="B4517" s="7"/>
      <c r="D4517" s="7"/>
      <c r="F4517" s="7"/>
      <c r="H4517" s="7"/>
      <c r="J4517" s="7"/>
      <c r="L4517" s="7"/>
      <c r="N4517" s="7"/>
      <c r="P4517" s="7"/>
      <c r="R4517" s="7"/>
      <c r="T4517" s="7"/>
      <c r="V4517" s="7"/>
      <c r="X4517" s="7"/>
    </row>
    <row r="4518" spans="2:24">
      <c r="B4518" s="7"/>
      <c r="D4518" s="7"/>
      <c r="F4518" s="7"/>
      <c r="H4518" s="7"/>
      <c r="J4518" s="7"/>
      <c r="L4518" s="7"/>
      <c r="N4518" s="7"/>
      <c r="P4518" s="7"/>
      <c r="R4518" s="7"/>
      <c r="T4518" s="7"/>
      <c r="V4518" s="7"/>
      <c r="X4518" s="7"/>
    </row>
    <row r="4519" spans="2:24">
      <c r="B4519" s="7"/>
      <c r="D4519" s="7"/>
      <c r="F4519" s="7"/>
      <c r="H4519" s="7"/>
      <c r="J4519" s="7"/>
      <c r="L4519" s="7"/>
      <c r="N4519" s="7"/>
      <c r="P4519" s="7"/>
      <c r="R4519" s="7"/>
      <c r="T4519" s="7"/>
      <c r="V4519" s="7"/>
      <c r="X4519" s="7"/>
    </row>
    <row r="4520" spans="2:24">
      <c r="B4520" s="7"/>
      <c r="D4520" s="7"/>
      <c r="F4520" s="7"/>
      <c r="H4520" s="7"/>
      <c r="J4520" s="7"/>
      <c r="L4520" s="7"/>
      <c r="N4520" s="7"/>
      <c r="P4520" s="7"/>
      <c r="R4520" s="7"/>
      <c r="T4520" s="7"/>
      <c r="V4520" s="7"/>
      <c r="X4520" s="7"/>
    </row>
    <row r="4521" spans="2:24">
      <c r="B4521" s="7"/>
      <c r="D4521" s="7"/>
      <c r="F4521" s="7"/>
      <c r="H4521" s="7"/>
      <c r="J4521" s="7"/>
      <c r="L4521" s="7"/>
      <c r="N4521" s="7"/>
      <c r="P4521" s="7"/>
      <c r="R4521" s="7"/>
      <c r="T4521" s="7"/>
      <c r="V4521" s="7"/>
      <c r="X4521" s="7"/>
    </row>
    <row r="4522" spans="2:24">
      <c r="B4522" s="7"/>
      <c r="D4522" s="7"/>
      <c r="F4522" s="7"/>
      <c r="H4522" s="7"/>
      <c r="J4522" s="7"/>
      <c r="L4522" s="7"/>
      <c r="N4522" s="7"/>
      <c r="P4522" s="7"/>
      <c r="R4522" s="7"/>
      <c r="T4522" s="7"/>
      <c r="V4522" s="7"/>
      <c r="X4522" s="7"/>
    </row>
    <row r="4523" spans="2:24">
      <c r="B4523" s="7"/>
      <c r="D4523" s="7"/>
      <c r="F4523" s="7"/>
      <c r="H4523" s="7"/>
      <c r="J4523" s="7"/>
      <c r="L4523" s="7"/>
      <c r="N4523" s="7"/>
      <c r="P4523" s="7"/>
      <c r="R4523" s="7"/>
      <c r="T4523" s="7"/>
      <c r="V4523" s="7"/>
      <c r="X4523" s="7"/>
    </row>
    <row r="4524" spans="2:24">
      <c r="B4524" s="7"/>
      <c r="D4524" s="7"/>
      <c r="F4524" s="7"/>
      <c r="H4524" s="7"/>
      <c r="J4524" s="7"/>
      <c r="L4524" s="7"/>
      <c r="N4524" s="7"/>
      <c r="P4524" s="7"/>
      <c r="R4524" s="7"/>
      <c r="T4524" s="7"/>
      <c r="V4524" s="7"/>
      <c r="X4524" s="7"/>
    </row>
    <row r="4525" spans="2:24">
      <c r="B4525" s="7"/>
      <c r="D4525" s="7"/>
      <c r="F4525" s="7"/>
      <c r="H4525" s="7"/>
      <c r="J4525" s="7"/>
      <c r="L4525" s="7"/>
      <c r="N4525" s="7"/>
      <c r="P4525" s="7"/>
      <c r="R4525" s="7"/>
      <c r="T4525" s="7"/>
      <c r="V4525" s="7"/>
      <c r="X4525" s="7"/>
    </row>
    <row r="4526" spans="2:24">
      <c r="B4526" s="7"/>
      <c r="D4526" s="7"/>
      <c r="F4526" s="7"/>
      <c r="H4526" s="7"/>
      <c r="J4526" s="7"/>
      <c r="L4526" s="7"/>
      <c r="N4526" s="7"/>
      <c r="P4526" s="7"/>
      <c r="R4526" s="7"/>
      <c r="T4526" s="7"/>
      <c r="V4526" s="7"/>
      <c r="X4526" s="7"/>
    </row>
    <row r="4527" spans="2:24">
      <c r="B4527" s="7"/>
      <c r="D4527" s="7"/>
      <c r="F4527" s="7"/>
      <c r="H4527" s="7"/>
      <c r="J4527" s="7"/>
      <c r="L4527" s="7"/>
      <c r="N4527" s="7"/>
      <c r="P4527" s="7"/>
      <c r="R4527" s="7"/>
      <c r="T4527" s="7"/>
      <c r="V4527" s="7"/>
      <c r="X4527" s="7"/>
    </row>
    <row r="4528" spans="2:24">
      <c r="B4528" s="7"/>
      <c r="D4528" s="7"/>
      <c r="F4528" s="7"/>
      <c r="H4528" s="7"/>
      <c r="J4528" s="7"/>
      <c r="L4528" s="7"/>
      <c r="N4528" s="7"/>
      <c r="P4528" s="7"/>
      <c r="R4528" s="7"/>
      <c r="T4528" s="7"/>
      <c r="V4528" s="7"/>
      <c r="X4528" s="7"/>
    </row>
    <row r="4529" spans="2:24">
      <c r="B4529" s="7"/>
      <c r="D4529" s="7"/>
      <c r="F4529" s="7"/>
      <c r="H4529" s="7"/>
      <c r="J4529" s="7"/>
      <c r="L4529" s="7"/>
      <c r="N4529" s="7"/>
      <c r="P4529" s="7"/>
      <c r="R4529" s="7"/>
      <c r="T4529" s="7"/>
      <c r="V4529" s="7"/>
      <c r="X4529" s="7"/>
    </row>
    <row r="4530" spans="2:24">
      <c r="B4530" s="7"/>
      <c r="D4530" s="7"/>
      <c r="F4530" s="7"/>
      <c r="H4530" s="7"/>
      <c r="J4530" s="7"/>
      <c r="L4530" s="7"/>
      <c r="N4530" s="7"/>
      <c r="P4530" s="7"/>
      <c r="R4530" s="7"/>
      <c r="T4530" s="7"/>
      <c r="V4530" s="7"/>
      <c r="X4530" s="7"/>
    </row>
    <row r="4531" spans="2:24">
      <c r="B4531" s="7"/>
      <c r="D4531" s="7"/>
      <c r="F4531" s="7"/>
      <c r="H4531" s="7"/>
      <c r="J4531" s="7"/>
      <c r="L4531" s="7"/>
      <c r="N4531" s="7"/>
      <c r="P4531" s="7"/>
      <c r="R4531" s="7"/>
      <c r="T4531" s="7"/>
      <c r="V4531" s="7"/>
      <c r="X4531" s="7"/>
    </row>
    <row r="4532" spans="2:24">
      <c r="B4532" s="7"/>
      <c r="D4532" s="7"/>
      <c r="F4532" s="7"/>
      <c r="H4532" s="7"/>
      <c r="J4532" s="7"/>
      <c r="L4532" s="7"/>
      <c r="N4532" s="7"/>
      <c r="P4532" s="7"/>
      <c r="R4532" s="7"/>
      <c r="T4532" s="7"/>
      <c r="V4532" s="7"/>
      <c r="X4532" s="7"/>
    </row>
    <row r="4533" spans="2:24">
      <c r="B4533" s="7"/>
      <c r="D4533" s="7"/>
      <c r="F4533" s="7"/>
      <c r="H4533" s="7"/>
      <c r="J4533" s="7"/>
      <c r="L4533" s="7"/>
      <c r="N4533" s="7"/>
      <c r="P4533" s="7"/>
      <c r="R4533" s="7"/>
      <c r="T4533" s="7"/>
      <c r="V4533" s="7"/>
      <c r="X4533" s="7"/>
    </row>
    <row r="4534" spans="2:24">
      <c r="B4534" s="7"/>
      <c r="D4534" s="7"/>
      <c r="F4534" s="7"/>
      <c r="H4534" s="7"/>
      <c r="J4534" s="7"/>
      <c r="L4534" s="7"/>
      <c r="N4534" s="7"/>
      <c r="P4534" s="7"/>
      <c r="R4534" s="7"/>
      <c r="T4534" s="7"/>
      <c r="V4534" s="7"/>
      <c r="X4534" s="7"/>
    </row>
    <row r="4535" spans="2:24">
      <c r="B4535" s="7"/>
      <c r="D4535" s="7"/>
      <c r="F4535" s="7"/>
      <c r="H4535" s="7"/>
      <c r="J4535" s="7"/>
      <c r="L4535" s="7"/>
      <c r="N4535" s="7"/>
      <c r="P4535" s="7"/>
      <c r="R4535" s="7"/>
      <c r="T4535" s="7"/>
      <c r="V4535" s="7"/>
      <c r="X4535" s="7"/>
    </row>
    <row r="4536" spans="2:24">
      <c r="B4536" s="7"/>
      <c r="D4536" s="7"/>
      <c r="F4536" s="7"/>
      <c r="H4536" s="7"/>
      <c r="J4536" s="7"/>
      <c r="L4536" s="7"/>
      <c r="N4536" s="7"/>
      <c r="P4536" s="7"/>
      <c r="R4536" s="7"/>
      <c r="T4536" s="7"/>
      <c r="V4536" s="7"/>
      <c r="X4536" s="7"/>
    </row>
    <row r="4537" spans="2:24">
      <c r="B4537" s="7"/>
      <c r="D4537" s="7"/>
      <c r="F4537" s="7"/>
      <c r="H4537" s="7"/>
      <c r="J4537" s="7"/>
      <c r="L4537" s="7"/>
      <c r="N4537" s="7"/>
      <c r="P4537" s="7"/>
      <c r="R4537" s="7"/>
      <c r="T4537" s="7"/>
      <c r="V4537" s="7"/>
      <c r="X4537" s="7"/>
    </row>
    <row r="4538" spans="2:24">
      <c r="B4538" s="7"/>
      <c r="D4538" s="7"/>
      <c r="F4538" s="7"/>
      <c r="H4538" s="7"/>
      <c r="J4538" s="7"/>
      <c r="L4538" s="7"/>
      <c r="N4538" s="7"/>
      <c r="P4538" s="7"/>
      <c r="R4538" s="7"/>
      <c r="T4538" s="7"/>
      <c r="V4538" s="7"/>
      <c r="X4538" s="7"/>
    </row>
    <row r="4539" spans="2:24">
      <c r="B4539" s="7"/>
      <c r="D4539" s="7"/>
      <c r="F4539" s="7"/>
      <c r="H4539" s="7"/>
      <c r="J4539" s="7"/>
      <c r="L4539" s="7"/>
      <c r="N4539" s="7"/>
      <c r="P4539" s="7"/>
      <c r="R4539" s="7"/>
      <c r="T4539" s="7"/>
      <c r="V4539" s="7"/>
      <c r="X4539" s="7"/>
    </row>
    <row r="4540" spans="2:24">
      <c r="B4540" s="7"/>
      <c r="D4540" s="7"/>
      <c r="F4540" s="7"/>
      <c r="H4540" s="7"/>
      <c r="J4540" s="7"/>
      <c r="L4540" s="7"/>
      <c r="N4540" s="7"/>
      <c r="P4540" s="7"/>
      <c r="R4540" s="7"/>
      <c r="T4540" s="7"/>
      <c r="V4540" s="7"/>
      <c r="X4540" s="7"/>
    </row>
    <row r="4541" spans="2:24">
      <c r="B4541" s="7"/>
      <c r="D4541" s="7"/>
      <c r="F4541" s="7"/>
      <c r="H4541" s="7"/>
      <c r="J4541" s="7"/>
      <c r="L4541" s="7"/>
      <c r="N4541" s="7"/>
      <c r="P4541" s="7"/>
      <c r="R4541" s="7"/>
      <c r="T4541" s="7"/>
      <c r="V4541" s="7"/>
      <c r="X4541" s="7"/>
    </row>
    <row r="4542" spans="2:24">
      <c r="B4542" s="7"/>
      <c r="D4542" s="7"/>
      <c r="F4542" s="7"/>
      <c r="H4542" s="7"/>
      <c r="J4542" s="7"/>
      <c r="L4542" s="7"/>
      <c r="N4542" s="7"/>
      <c r="P4542" s="7"/>
      <c r="R4542" s="7"/>
      <c r="T4542" s="7"/>
      <c r="V4542" s="7"/>
      <c r="X4542" s="7"/>
    </row>
    <row r="4543" spans="2:24">
      <c r="B4543" s="7"/>
      <c r="D4543" s="7"/>
      <c r="F4543" s="7"/>
      <c r="H4543" s="7"/>
      <c r="J4543" s="7"/>
      <c r="L4543" s="7"/>
      <c r="N4543" s="7"/>
      <c r="P4543" s="7"/>
      <c r="R4543" s="7"/>
      <c r="T4543" s="7"/>
      <c r="V4543" s="7"/>
      <c r="X4543" s="7"/>
    </row>
    <row r="4544" spans="2:24">
      <c r="B4544" s="7"/>
      <c r="D4544" s="7"/>
      <c r="F4544" s="7"/>
      <c r="H4544" s="7"/>
      <c r="J4544" s="7"/>
      <c r="L4544" s="7"/>
      <c r="N4544" s="7"/>
      <c r="P4544" s="7"/>
      <c r="R4544" s="7"/>
      <c r="T4544" s="7"/>
      <c r="V4544" s="7"/>
      <c r="X4544" s="7"/>
    </row>
    <row r="4545" spans="2:24">
      <c r="B4545" s="7"/>
      <c r="D4545" s="7"/>
      <c r="F4545" s="7"/>
      <c r="H4545" s="7"/>
      <c r="J4545" s="7"/>
      <c r="L4545" s="7"/>
      <c r="N4545" s="7"/>
      <c r="P4545" s="7"/>
      <c r="R4545" s="7"/>
      <c r="T4545" s="7"/>
      <c r="V4545" s="7"/>
      <c r="X4545" s="7"/>
    </row>
    <row r="4546" spans="2:24">
      <c r="B4546" s="7"/>
      <c r="D4546" s="7"/>
      <c r="F4546" s="7"/>
      <c r="H4546" s="7"/>
      <c r="J4546" s="7"/>
      <c r="L4546" s="7"/>
      <c r="N4546" s="7"/>
      <c r="P4546" s="7"/>
      <c r="R4546" s="7"/>
      <c r="T4546" s="7"/>
      <c r="V4546" s="7"/>
      <c r="X4546" s="7"/>
    </row>
    <row r="4547" spans="2:24">
      <c r="B4547" s="7"/>
      <c r="D4547" s="7"/>
      <c r="F4547" s="7"/>
      <c r="H4547" s="7"/>
      <c r="J4547" s="7"/>
      <c r="L4547" s="7"/>
      <c r="N4547" s="7"/>
      <c r="P4547" s="7"/>
      <c r="R4547" s="7"/>
      <c r="T4547" s="7"/>
      <c r="V4547" s="7"/>
      <c r="X4547" s="7"/>
    </row>
    <row r="4548" spans="2:24">
      <c r="B4548" s="7"/>
      <c r="D4548" s="7"/>
      <c r="F4548" s="7"/>
      <c r="H4548" s="7"/>
      <c r="J4548" s="7"/>
      <c r="L4548" s="7"/>
      <c r="N4548" s="7"/>
      <c r="P4548" s="7"/>
      <c r="R4548" s="7"/>
      <c r="T4548" s="7"/>
      <c r="V4548" s="7"/>
      <c r="X4548" s="7"/>
    </row>
    <row r="4549" spans="2:24">
      <c r="B4549" s="7"/>
      <c r="D4549" s="7"/>
      <c r="F4549" s="7"/>
      <c r="H4549" s="7"/>
      <c r="J4549" s="7"/>
      <c r="L4549" s="7"/>
      <c r="N4549" s="7"/>
      <c r="P4549" s="7"/>
      <c r="R4549" s="7"/>
      <c r="T4549" s="7"/>
      <c r="V4549" s="7"/>
      <c r="X4549" s="7"/>
    </row>
    <row r="4550" spans="2:24">
      <c r="B4550" s="7"/>
      <c r="D4550" s="7"/>
      <c r="F4550" s="7"/>
      <c r="H4550" s="7"/>
      <c r="J4550" s="7"/>
      <c r="L4550" s="7"/>
      <c r="N4550" s="7"/>
      <c r="P4550" s="7"/>
      <c r="R4550" s="7"/>
      <c r="T4550" s="7"/>
      <c r="V4550" s="7"/>
      <c r="X4550" s="7"/>
    </row>
    <row r="4551" spans="2:24">
      <c r="B4551" s="7"/>
      <c r="D4551" s="7"/>
      <c r="F4551" s="7"/>
      <c r="H4551" s="7"/>
      <c r="J4551" s="7"/>
      <c r="L4551" s="7"/>
      <c r="N4551" s="7"/>
      <c r="P4551" s="7"/>
      <c r="R4551" s="7"/>
      <c r="T4551" s="7"/>
      <c r="V4551" s="7"/>
      <c r="X4551" s="7"/>
    </row>
    <row r="4552" spans="2:24">
      <c r="B4552" s="7"/>
      <c r="D4552" s="7"/>
      <c r="F4552" s="7"/>
      <c r="H4552" s="7"/>
      <c r="J4552" s="7"/>
      <c r="L4552" s="7"/>
      <c r="N4552" s="7"/>
      <c r="P4552" s="7"/>
      <c r="R4552" s="7"/>
      <c r="T4552" s="7"/>
      <c r="V4552" s="7"/>
      <c r="X4552" s="7"/>
    </row>
    <row r="4553" spans="2:24">
      <c r="B4553" s="7"/>
      <c r="D4553" s="7"/>
      <c r="F4553" s="7"/>
      <c r="H4553" s="7"/>
      <c r="J4553" s="7"/>
      <c r="L4553" s="7"/>
      <c r="N4553" s="7"/>
      <c r="P4553" s="7"/>
      <c r="R4553" s="7"/>
      <c r="T4553" s="7"/>
      <c r="V4553" s="7"/>
      <c r="X4553" s="7"/>
    </row>
    <row r="4554" spans="2:24">
      <c r="B4554" s="7"/>
      <c r="D4554" s="7"/>
      <c r="F4554" s="7"/>
      <c r="H4554" s="7"/>
      <c r="J4554" s="7"/>
      <c r="L4554" s="7"/>
      <c r="N4554" s="7"/>
      <c r="P4554" s="7"/>
      <c r="R4554" s="7"/>
      <c r="T4554" s="7"/>
      <c r="V4554" s="7"/>
      <c r="X4554" s="7"/>
    </row>
    <row r="4555" spans="2:24">
      <c r="B4555" s="7"/>
      <c r="D4555" s="7"/>
      <c r="F4555" s="7"/>
      <c r="H4555" s="7"/>
      <c r="J4555" s="7"/>
      <c r="L4555" s="7"/>
      <c r="N4555" s="7"/>
      <c r="P4555" s="7"/>
      <c r="R4555" s="7"/>
      <c r="T4555" s="7"/>
      <c r="V4555" s="7"/>
      <c r="X4555" s="7"/>
    </row>
    <row r="4556" spans="2:24">
      <c r="B4556" s="7"/>
      <c r="D4556" s="7"/>
      <c r="F4556" s="7"/>
      <c r="H4556" s="7"/>
      <c r="J4556" s="7"/>
      <c r="L4556" s="7"/>
      <c r="N4556" s="7"/>
      <c r="P4556" s="7"/>
      <c r="R4556" s="7"/>
      <c r="T4556" s="7"/>
      <c r="V4556" s="7"/>
      <c r="X4556" s="7"/>
    </row>
    <row r="4557" spans="2:24">
      <c r="B4557" s="7"/>
      <c r="D4557" s="7"/>
      <c r="F4557" s="7"/>
      <c r="H4557" s="7"/>
      <c r="J4557" s="7"/>
      <c r="L4557" s="7"/>
      <c r="N4557" s="7"/>
      <c r="P4557" s="7"/>
      <c r="R4557" s="7"/>
      <c r="T4557" s="7"/>
      <c r="V4557" s="7"/>
      <c r="X4557" s="7"/>
    </row>
    <row r="4558" spans="2:24">
      <c r="B4558" s="7"/>
      <c r="D4558" s="7"/>
      <c r="F4558" s="7"/>
      <c r="H4558" s="7"/>
      <c r="J4558" s="7"/>
      <c r="L4558" s="7"/>
      <c r="N4558" s="7"/>
      <c r="P4558" s="7"/>
      <c r="R4558" s="7"/>
      <c r="T4558" s="7"/>
      <c r="V4558" s="7"/>
      <c r="X4558" s="7"/>
    </row>
    <row r="4559" spans="2:24">
      <c r="B4559" s="7"/>
      <c r="D4559" s="7"/>
      <c r="F4559" s="7"/>
      <c r="H4559" s="7"/>
      <c r="J4559" s="7"/>
      <c r="L4559" s="7"/>
      <c r="N4559" s="7"/>
      <c r="P4559" s="7"/>
      <c r="R4559" s="7"/>
      <c r="T4559" s="7"/>
      <c r="V4559" s="7"/>
      <c r="X4559" s="7"/>
    </row>
    <row r="4560" spans="2:24">
      <c r="B4560" s="7"/>
      <c r="D4560" s="7"/>
      <c r="F4560" s="7"/>
      <c r="H4560" s="7"/>
      <c r="J4560" s="7"/>
      <c r="L4560" s="7"/>
      <c r="N4560" s="7"/>
      <c r="P4560" s="7"/>
      <c r="R4560" s="7"/>
      <c r="T4560" s="7"/>
      <c r="V4560" s="7"/>
      <c r="X4560" s="7"/>
    </row>
    <row r="4561" spans="2:24">
      <c r="B4561" s="7"/>
      <c r="D4561" s="7"/>
      <c r="F4561" s="7"/>
      <c r="H4561" s="7"/>
      <c r="J4561" s="7"/>
      <c r="L4561" s="7"/>
      <c r="N4561" s="7"/>
      <c r="P4561" s="7"/>
      <c r="R4561" s="7"/>
      <c r="T4561" s="7"/>
      <c r="V4561" s="7"/>
      <c r="X4561" s="7"/>
    </row>
    <row r="4562" spans="2:24">
      <c r="B4562" s="7"/>
      <c r="D4562" s="7"/>
      <c r="F4562" s="7"/>
      <c r="H4562" s="7"/>
      <c r="J4562" s="7"/>
      <c r="L4562" s="7"/>
      <c r="N4562" s="7"/>
      <c r="P4562" s="7"/>
      <c r="R4562" s="7"/>
      <c r="T4562" s="7"/>
      <c r="V4562" s="7"/>
      <c r="X4562" s="7"/>
    </row>
    <row r="4563" spans="2:24">
      <c r="B4563" s="7"/>
      <c r="D4563" s="7"/>
      <c r="F4563" s="7"/>
      <c r="H4563" s="7"/>
      <c r="J4563" s="7"/>
      <c r="L4563" s="7"/>
      <c r="N4563" s="7"/>
      <c r="P4563" s="7"/>
      <c r="R4563" s="7"/>
      <c r="T4563" s="7"/>
      <c r="V4563" s="7"/>
      <c r="X4563" s="7"/>
    </row>
    <row r="4564" spans="2:24">
      <c r="B4564" s="7"/>
      <c r="D4564" s="7"/>
      <c r="F4564" s="7"/>
      <c r="H4564" s="7"/>
      <c r="J4564" s="7"/>
      <c r="L4564" s="7"/>
      <c r="N4564" s="7"/>
      <c r="P4564" s="7"/>
      <c r="R4564" s="7"/>
      <c r="T4564" s="7"/>
      <c r="V4564" s="7"/>
      <c r="X4564" s="7"/>
    </row>
    <row r="4565" spans="2:24">
      <c r="B4565" s="7"/>
      <c r="D4565" s="7"/>
      <c r="F4565" s="7"/>
      <c r="H4565" s="7"/>
      <c r="J4565" s="7"/>
      <c r="L4565" s="7"/>
      <c r="N4565" s="7"/>
      <c r="P4565" s="7"/>
      <c r="R4565" s="7"/>
      <c r="T4565" s="7"/>
      <c r="V4565" s="7"/>
      <c r="X4565" s="7"/>
    </row>
    <row r="4566" spans="2:24">
      <c r="B4566" s="7"/>
      <c r="D4566" s="7"/>
      <c r="F4566" s="7"/>
      <c r="H4566" s="7"/>
      <c r="J4566" s="7"/>
      <c r="L4566" s="7"/>
      <c r="N4566" s="7"/>
      <c r="P4566" s="7"/>
      <c r="R4566" s="7"/>
      <c r="T4566" s="7"/>
      <c r="V4566" s="7"/>
      <c r="X4566" s="7"/>
    </row>
    <row r="4567" spans="2:24">
      <c r="B4567" s="7"/>
      <c r="D4567" s="7"/>
      <c r="F4567" s="7"/>
      <c r="H4567" s="7"/>
      <c r="J4567" s="7"/>
      <c r="L4567" s="7"/>
      <c r="N4567" s="7"/>
      <c r="P4567" s="7"/>
      <c r="R4567" s="7"/>
      <c r="T4567" s="7"/>
      <c r="V4567" s="7"/>
      <c r="X4567" s="7"/>
    </row>
    <row r="4568" spans="2:24">
      <c r="B4568" s="7"/>
      <c r="D4568" s="7"/>
      <c r="F4568" s="7"/>
      <c r="H4568" s="7"/>
      <c r="J4568" s="7"/>
      <c r="L4568" s="7"/>
      <c r="N4568" s="7"/>
      <c r="P4568" s="7"/>
      <c r="R4568" s="7"/>
      <c r="T4568" s="7"/>
      <c r="V4568" s="7"/>
      <c r="X4568" s="7"/>
    </row>
    <row r="4569" spans="2:24">
      <c r="B4569" s="7"/>
      <c r="D4569" s="7"/>
      <c r="F4569" s="7"/>
      <c r="H4569" s="7"/>
      <c r="J4569" s="7"/>
      <c r="L4569" s="7"/>
      <c r="N4569" s="7"/>
      <c r="P4569" s="7"/>
      <c r="R4569" s="7"/>
      <c r="T4569" s="7"/>
      <c r="V4569" s="7"/>
      <c r="X4569" s="7"/>
    </row>
    <row r="4570" spans="2:24">
      <c r="B4570" s="7"/>
      <c r="D4570" s="7"/>
      <c r="F4570" s="7"/>
      <c r="H4570" s="7"/>
      <c r="J4570" s="7"/>
      <c r="L4570" s="7"/>
      <c r="N4570" s="7"/>
      <c r="P4570" s="7"/>
      <c r="R4570" s="7"/>
      <c r="T4570" s="7"/>
      <c r="V4570" s="7"/>
      <c r="X4570" s="7"/>
    </row>
    <row r="4571" spans="2:24">
      <c r="B4571" s="7"/>
      <c r="D4571" s="7"/>
      <c r="F4571" s="7"/>
      <c r="H4571" s="7"/>
      <c r="J4571" s="7"/>
      <c r="L4571" s="7"/>
      <c r="N4571" s="7"/>
      <c r="P4571" s="7"/>
      <c r="R4571" s="7"/>
      <c r="T4571" s="7"/>
      <c r="V4571" s="7"/>
      <c r="X4571" s="7"/>
    </row>
    <row r="4572" spans="2:24">
      <c r="B4572" s="7"/>
      <c r="D4572" s="7"/>
      <c r="F4572" s="7"/>
      <c r="H4572" s="7"/>
      <c r="J4572" s="7"/>
      <c r="L4572" s="7"/>
      <c r="N4572" s="7"/>
      <c r="P4572" s="7"/>
      <c r="R4572" s="7"/>
      <c r="T4572" s="7"/>
      <c r="V4572" s="7"/>
      <c r="X4572" s="7"/>
    </row>
    <row r="4573" spans="2:24">
      <c r="B4573" s="7"/>
      <c r="D4573" s="7"/>
      <c r="F4573" s="7"/>
      <c r="H4573" s="7"/>
      <c r="J4573" s="7"/>
      <c r="L4573" s="7"/>
      <c r="N4573" s="7"/>
      <c r="P4573" s="7"/>
      <c r="R4573" s="7"/>
      <c r="T4573" s="7"/>
      <c r="V4573" s="7"/>
      <c r="X4573" s="7"/>
    </row>
    <row r="4574" spans="2:24">
      <c r="B4574" s="7"/>
      <c r="D4574" s="7"/>
      <c r="F4574" s="7"/>
      <c r="H4574" s="7"/>
      <c r="J4574" s="7"/>
      <c r="L4574" s="7"/>
      <c r="N4574" s="7"/>
      <c r="P4574" s="7"/>
      <c r="R4574" s="7"/>
      <c r="T4574" s="7"/>
      <c r="V4574" s="7"/>
      <c r="X4574" s="7"/>
    </row>
    <row r="4575" spans="2:24">
      <c r="B4575" s="7"/>
      <c r="D4575" s="7"/>
      <c r="F4575" s="7"/>
      <c r="H4575" s="7"/>
      <c r="J4575" s="7"/>
      <c r="L4575" s="7"/>
      <c r="N4575" s="7"/>
      <c r="P4575" s="7"/>
      <c r="R4575" s="7"/>
      <c r="T4575" s="7"/>
      <c r="V4575" s="7"/>
      <c r="X4575" s="7"/>
    </row>
    <row r="4576" spans="2:24">
      <c r="B4576" s="7"/>
      <c r="D4576" s="7"/>
      <c r="F4576" s="7"/>
      <c r="H4576" s="7"/>
      <c r="J4576" s="7"/>
      <c r="L4576" s="7"/>
      <c r="N4576" s="7"/>
      <c r="P4576" s="7"/>
      <c r="R4576" s="7"/>
      <c r="T4576" s="7"/>
      <c r="V4576" s="7"/>
      <c r="X4576" s="7"/>
    </row>
    <row r="4577" spans="2:24">
      <c r="B4577" s="7"/>
      <c r="D4577" s="7"/>
      <c r="F4577" s="7"/>
      <c r="H4577" s="7"/>
      <c r="J4577" s="7"/>
      <c r="L4577" s="7"/>
      <c r="N4577" s="7"/>
      <c r="P4577" s="7"/>
      <c r="R4577" s="7"/>
      <c r="T4577" s="7"/>
      <c r="V4577" s="7"/>
      <c r="X4577" s="7"/>
    </row>
    <row r="4578" spans="2:24">
      <c r="B4578" s="7"/>
      <c r="D4578" s="7"/>
      <c r="F4578" s="7"/>
      <c r="H4578" s="7"/>
      <c r="J4578" s="7"/>
      <c r="L4578" s="7"/>
      <c r="N4578" s="7"/>
      <c r="P4578" s="7"/>
      <c r="R4578" s="7"/>
      <c r="T4578" s="7"/>
      <c r="V4578" s="7"/>
      <c r="X4578" s="7"/>
    </row>
    <row r="4579" spans="2:24">
      <c r="B4579" s="7"/>
      <c r="D4579" s="7"/>
      <c r="F4579" s="7"/>
      <c r="H4579" s="7"/>
      <c r="J4579" s="7"/>
      <c r="L4579" s="7"/>
      <c r="N4579" s="7"/>
      <c r="P4579" s="7"/>
      <c r="R4579" s="7"/>
      <c r="T4579" s="7"/>
      <c r="V4579" s="7"/>
      <c r="X4579" s="7"/>
    </row>
    <row r="4580" spans="2:24">
      <c r="B4580" s="7"/>
      <c r="D4580" s="7"/>
      <c r="F4580" s="7"/>
      <c r="H4580" s="7"/>
      <c r="J4580" s="7"/>
      <c r="L4580" s="7"/>
      <c r="N4580" s="7"/>
      <c r="P4580" s="7"/>
      <c r="R4580" s="7"/>
      <c r="T4580" s="7"/>
      <c r="V4580" s="7"/>
      <c r="X4580" s="7"/>
    </row>
    <row r="4581" spans="2:24">
      <c r="B4581" s="7"/>
      <c r="D4581" s="7"/>
      <c r="F4581" s="7"/>
      <c r="H4581" s="7"/>
      <c r="J4581" s="7"/>
      <c r="L4581" s="7"/>
      <c r="N4581" s="7"/>
      <c r="P4581" s="7"/>
      <c r="R4581" s="7"/>
      <c r="T4581" s="7"/>
      <c r="V4581" s="7"/>
      <c r="X4581" s="7"/>
    </row>
    <row r="4582" spans="2:24">
      <c r="B4582" s="7"/>
      <c r="D4582" s="7"/>
      <c r="F4582" s="7"/>
      <c r="H4582" s="7"/>
      <c r="J4582" s="7"/>
      <c r="L4582" s="7"/>
      <c r="N4582" s="7"/>
      <c r="P4582" s="7"/>
      <c r="R4582" s="7"/>
      <c r="T4582" s="7"/>
      <c r="V4582" s="7"/>
      <c r="X4582" s="7"/>
    </row>
    <row r="4583" spans="2:24">
      <c r="B4583" s="7"/>
      <c r="D4583" s="7"/>
      <c r="F4583" s="7"/>
      <c r="H4583" s="7"/>
      <c r="J4583" s="7"/>
      <c r="L4583" s="7"/>
      <c r="N4583" s="7"/>
      <c r="P4583" s="7"/>
      <c r="R4583" s="7"/>
      <c r="T4583" s="7"/>
      <c r="V4583" s="7"/>
      <c r="X4583" s="7"/>
    </row>
    <row r="4584" spans="2:24">
      <c r="B4584" s="7"/>
      <c r="D4584" s="7"/>
      <c r="F4584" s="7"/>
      <c r="H4584" s="7"/>
      <c r="J4584" s="7"/>
      <c r="L4584" s="7"/>
      <c r="N4584" s="7"/>
      <c r="P4584" s="7"/>
      <c r="R4584" s="7"/>
      <c r="T4584" s="7"/>
      <c r="V4584" s="7"/>
      <c r="X4584" s="7"/>
    </row>
    <row r="4585" spans="2:24">
      <c r="B4585" s="7"/>
      <c r="D4585" s="7"/>
      <c r="F4585" s="7"/>
      <c r="H4585" s="7"/>
      <c r="J4585" s="7"/>
      <c r="L4585" s="7"/>
      <c r="N4585" s="7"/>
      <c r="P4585" s="7"/>
      <c r="R4585" s="7"/>
      <c r="T4585" s="7"/>
      <c r="V4585" s="7"/>
      <c r="X4585" s="7"/>
    </row>
    <row r="4586" spans="2:24">
      <c r="B4586" s="7"/>
      <c r="D4586" s="7"/>
      <c r="F4586" s="7"/>
      <c r="H4586" s="7"/>
      <c r="J4586" s="7"/>
      <c r="L4586" s="7"/>
      <c r="N4586" s="7"/>
      <c r="P4586" s="7"/>
      <c r="R4586" s="7"/>
      <c r="T4586" s="7"/>
      <c r="V4586" s="7"/>
      <c r="X4586" s="7"/>
    </row>
    <row r="4587" spans="2:24">
      <c r="B4587" s="7"/>
      <c r="D4587" s="7"/>
      <c r="F4587" s="7"/>
      <c r="H4587" s="7"/>
      <c r="J4587" s="7"/>
      <c r="L4587" s="7"/>
      <c r="N4587" s="7"/>
      <c r="P4587" s="7"/>
      <c r="R4587" s="7"/>
      <c r="T4587" s="7"/>
      <c r="V4587" s="7"/>
      <c r="X4587" s="7"/>
    </row>
    <row r="4588" spans="2:24">
      <c r="B4588" s="7"/>
      <c r="D4588" s="7"/>
      <c r="F4588" s="7"/>
      <c r="H4588" s="7"/>
      <c r="J4588" s="7"/>
      <c r="L4588" s="7"/>
      <c r="N4588" s="7"/>
      <c r="P4588" s="7"/>
      <c r="R4588" s="7"/>
      <c r="T4588" s="7"/>
      <c r="V4588" s="7"/>
      <c r="X4588" s="7"/>
    </row>
    <row r="4589" spans="2:24">
      <c r="B4589" s="7"/>
      <c r="D4589" s="7"/>
      <c r="F4589" s="7"/>
      <c r="H4589" s="7"/>
      <c r="J4589" s="7"/>
      <c r="L4589" s="7"/>
      <c r="N4589" s="7"/>
      <c r="P4589" s="7"/>
      <c r="R4589" s="7"/>
      <c r="T4589" s="7"/>
      <c r="V4589" s="7"/>
      <c r="X4589" s="7"/>
    </row>
    <row r="4590" spans="2:24">
      <c r="B4590" s="7"/>
      <c r="D4590" s="7"/>
      <c r="F4590" s="7"/>
      <c r="H4590" s="7"/>
      <c r="J4590" s="7"/>
      <c r="L4590" s="7"/>
      <c r="N4590" s="7"/>
      <c r="P4590" s="7"/>
      <c r="R4590" s="7"/>
      <c r="T4590" s="7"/>
      <c r="V4590" s="7"/>
      <c r="X4590" s="7"/>
    </row>
    <row r="4591" spans="2:24">
      <c r="B4591" s="7"/>
      <c r="D4591" s="7"/>
      <c r="F4591" s="7"/>
      <c r="H4591" s="7"/>
      <c r="J4591" s="7"/>
      <c r="L4591" s="7"/>
      <c r="N4591" s="7"/>
      <c r="P4591" s="7"/>
      <c r="R4591" s="7"/>
      <c r="T4591" s="7"/>
      <c r="V4591" s="7"/>
      <c r="X4591" s="7"/>
    </row>
    <row r="4592" spans="2:24">
      <c r="B4592" s="7"/>
      <c r="D4592" s="7"/>
      <c r="F4592" s="7"/>
      <c r="H4592" s="7"/>
      <c r="J4592" s="7"/>
      <c r="L4592" s="7"/>
      <c r="N4592" s="7"/>
      <c r="P4592" s="7"/>
      <c r="R4592" s="7"/>
      <c r="T4592" s="7"/>
      <c r="V4592" s="7"/>
      <c r="X4592" s="7"/>
    </row>
    <row r="4593" spans="2:24">
      <c r="B4593" s="7"/>
      <c r="D4593" s="7"/>
      <c r="F4593" s="7"/>
      <c r="H4593" s="7"/>
      <c r="J4593" s="7"/>
      <c r="L4593" s="7"/>
      <c r="N4593" s="7"/>
      <c r="P4593" s="7"/>
      <c r="R4593" s="7"/>
      <c r="T4593" s="7"/>
      <c r="V4593" s="7"/>
      <c r="X4593" s="7"/>
    </row>
    <row r="4594" spans="2:24">
      <c r="B4594" s="7"/>
      <c r="D4594" s="7"/>
      <c r="F4594" s="7"/>
      <c r="H4594" s="7"/>
      <c r="J4594" s="7"/>
      <c r="L4594" s="7"/>
      <c r="N4594" s="7"/>
      <c r="P4594" s="7"/>
      <c r="R4594" s="7"/>
      <c r="T4594" s="7"/>
      <c r="V4594" s="7"/>
      <c r="X4594" s="7"/>
    </row>
    <row r="4595" spans="2:24">
      <c r="B4595" s="7"/>
      <c r="D4595" s="7"/>
      <c r="F4595" s="7"/>
      <c r="H4595" s="7"/>
      <c r="J4595" s="7"/>
      <c r="L4595" s="7"/>
      <c r="N4595" s="7"/>
      <c r="P4595" s="7"/>
      <c r="R4595" s="7"/>
      <c r="T4595" s="7"/>
      <c r="V4595" s="7"/>
      <c r="X4595" s="7"/>
    </row>
    <row r="4596" spans="2:24">
      <c r="B4596" s="7"/>
      <c r="D4596" s="7"/>
      <c r="F4596" s="7"/>
      <c r="H4596" s="7"/>
      <c r="J4596" s="7"/>
      <c r="L4596" s="7"/>
      <c r="N4596" s="7"/>
      <c r="P4596" s="7"/>
      <c r="R4596" s="7"/>
      <c r="T4596" s="7"/>
      <c r="V4596" s="7"/>
      <c r="X4596" s="7"/>
    </row>
    <row r="4597" spans="2:24">
      <c r="B4597" s="7"/>
      <c r="D4597" s="7"/>
      <c r="F4597" s="7"/>
      <c r="H4597" s="7"/>
      <c r="J4597" s="7"/>
      <c r="L4597" s="7"/>
      <c r="N4597" s="7"/>
      <c r="P4597" s="7"/>
      <c r="R4597" s="7"/>
      <c r="T4597" s="7"/>
      <c r="V4597" s="7"/>
      <c r="X4597" s="7"/>
    </row>
    <row r="4598" spans="2:24">
      <c r="B4598" s="7"/>
      <c r="D4598" s="7"/>
      <c r="F4598" s="7"/>
      <c r="H4598" s="7"/>
      <c r="J4598" s="7"/>
      <c r="L4598" s="7"/>
      <c r="N4598" s="7"/>
      <c r="P4598" s="7"/>
      <c r="R4598" s="7"/>
      <c r="T4598" s="7"/>
      <c r="V4598" s="7"/>
      <c r="X4598" s="7"/>
    </row>
    <row r="4599" spans="2:24">
      <c r="B4599" s="7"/>
      <c r="D4599" s="7"/>
      <c r="F4599" s="7"/>
      <c r="H4599" s="7"/>
      <c r="J4599" s="7"/>
      <c r="L4599" s="7"/>
      <c r="N4599" s="7"/>
      <c r="P4599" s="7"/>
      <c r="R4599" s="7"/>
      <c r="T4599" s="7"/>
      <c r="V4599" s="7"/>
      <c r="X4599" s="7"/>
    </row>
    <row r="4600" spans="2:24">
      <c r="B4600" s="7"/>
      <c r="D4600" s="7"/>
      <c r="F4600" s="7"/>
      <c r="H4600" s="7"/>
      <c r="J4600" s="7"/>
      <c r="L4600" s="7"/>
      <c r="N4600" s="7"/>
      <c r="P4600" s="7"/>
      <c r="R4600" s="7"/>
      <c r="T4600" s="7"/>
      <c r="V4600" s="7"/>
      <c r="X4600" s="7"/>
    </row>
    <row r="4601" spans="2:24">
      <c r="B4601" s="7"/>
      <c r="D4601" s="7"/>
      <c r="F4601" s="7"/>
      <c r="H4601" s="7"/>
      <c r="J4601" s="7"/>
      <c r="L4601" s="7"/>
      <c r="N4601" s="7"/>
      <c r="P4601" s="7"/>
      <c r="R4601" s="7"/>
      <c r="T4601" s="7"/>
      <c r="V4601" s="7"/>
      <c r="X4601" s="7"/>
    </row>
    <row r="4602" spans="2:24">
      <c r="B4602" s="7"/>
      <c r="D4602" s="7"/>
      <c r="F4602" s="7"/>
      <c r="H4602" s="7"/>
      <c r="J4602" s="7"/>
      <c r="L4602" s="7"/>
      <c r="N4602" s="7"/>
      <c r="P4602" s="7"/>
      <c r="R4602" s="7"/>
      <c r="T4602" s="7"/>
      <c r="V4602" s="7"/>
      <c r="X4602" s="7"/>
    </row>
    <row r="4603" spans="2:24">
      <c r="B4603" s="7"/>
      <c r="D4603" s="7"/>
      <c r="F4603" s="7"/>
      <c r="H4603" s="7"/>
      <c r="J4603" s="7"/>
      <c r="L4603" s="7"/>
      <c r="N4603" s="7"/>
      <c r="P4603" s="7"/>
      <c r="R4603" s="7"/>
      <c r="T4603" s="7"/>
      <c r="V4603" s="7"/>
      <c r="X4603" s="7"/>
    </row>
    <row r="4604" spans="2:24">
      <c r="B4604" s="7"/>
      <c r="D4604" s="7"/>
      <c r="F4604" s="7"/>
      <c r="H4604" s="7"/>
      <c r="J4604" s="7"/>
      <c r="L4604" s="7"/>
      <c r="N4604" s="7"/>
      <c r="P4604" s="7"/>
      <c r="R4604" s="7"/>
      <c r="T4604" s="7"/>
      <c r="V4604" s="7"/>
      <c r="X4604" s="7"/>
    </row>
    <row r="4605" spans="2:24">
      <c r="B4605" s="7"/>
      <c r="D4605" s="7"/>
      <c r="F4605" s="7"/>
      <c r="H4605" s="7"/>
      <c r="J4605" s="7"/>
      <c r="L4605" s="7"/>
      <c r="N4605" s="7"/>
      <c r="P4605" s="7"/>
      <c r="R4605" s="7"/>
      <c r="T4605" s="7"/>
      <c r="V4605" s="7"/>
      <c r="X4605" s="7"/>
    </row>
    <row r="4606" spans="2:24">
      <c r="B4606" s="7"/>
      <c r="D4606" s="7"/>
      <c r="F4606" s="7"/>
      <c r="H4606" s="7"/>
      <c r="J4606" s="7"/>
      <c r="L4606" s="7"/>
      <c r="N4606" s="7"/>
      <c r="P4606" s="7"/>
      <c r="R4606" s="7"/>
      <c r="T4606" s="7"/>
      <c r="V4606" s="7"/>
      <c r="X4606" s="7"/>
    </row>
    <row r="4607" spans="2:24">
      <c r="B4607" s="7"/>
      <c r="D4607" s="7"/>
      <c r="F4607" s="7"/>
      <c r="H4607" s="7"/>
      <c r="J4607" s="7"/>
      <c r="L4607" s="7"/>
      <c r="N4607" s="7"/>
      <c r="P4607" s="7"/>
      <c r="R4607" s="7"/>
      <c r="T4607" s="7"/>
      <c r="V4607" s="7"/>
      <c r="X4607" s="7"/>
    </row>
    <row r="4608" spans="2:24">
      <c r="B4608" s="7"/>
      <c r="D4608" s="7"/>
      <c r="F4608" s="7"/>
      <c r="H4608" s="7"/>
      <c r="J4608" s="7"/>
      <c r="L4608" s="7"/>
      <c r="N4608" s="7"/>
      <c r="P4608" s="7"/>
      <c r="R4608" s="7"/>
      <c r="T4608" s="7"/>
      <c r="V4608" s="7"/>
      <c r="X4608" s="7"/>
    </row>
    <row r="4609" spans="2:24">
      <c r="B4609" s="7"/>
      <c r="D4609" s="7"/>
      <c r="F4609" s="7"/>
      <c r="H4609" s="7"/>
      <c r="J4609" s="7"/>
      <c r="L4609" s="7"/>
      <c r="N4609" s="7"/>
      <c r="P4609" s="7"/>
      <c r="R4609" s="7"/>
      <c r="T4609" s="7"/>
      <c r="V4609" s="7"/>
      <c r="X4609" s="7"/>
    </row>
    <row r="4610" spans="2:24">
      <c r="B4610" s="7"/>
      <c r="D4610" s="7"/>
      <c r="F4610" s="7"/>
      <c r="H4610" s="7"/>
      <c r="J4610" s="7"/>
      <c r="L4610" s="7"/>
      <c r="N4610" s="7"/>
      <c r="P4610" s="7"/>
      <c r="R4610" s="7"/>
      <c r="T4610" s="7"/>
      <c r="V4610" s="7"/>
      <c r="X4610" s="7"/>
    </row>
    <row r="4611" spans="2:24">
      <c r="B4611" s="7"/>
      <c r="D4611" s="7"/>
      <c r="F4611" s="7"/>
      <c r="H4611" s="7"/>
      <c r="J4611" s="7"/>
      <c r="L4611" s="7"/>
      <c r="N4611" s="7"/>
      <c r="P4611" s="7"/>
      <c r="R4611" s="7"/>
      <c r="T4611" s="7"/>
      <c r="V4611" s="7"/>
      <c r="X4611" s="7"/>
    </row>
    <row r="4612" spans="2:24">
      <c r="B4612" s="7"/>
      <c r="D4612" s="7"/>
      <c r="F4612" s="7"/>
      <c r="H4612" s="7"/>
      <c r="J4612" s="7"/>
      <c r="L4612" s="7"/>
      <c r="N4612" s="7"/>
      <c r="P4612" s="7"/>
      <c r="R4612" s="7"/>
      <c r="T4612" s="7"/>
      <c r="V4612" s="7"/>
      <c r="X4612" s="7"/>
    </row>
    <row r="4613" spans="2:24">
      <c r="B4613" s="7"/>
      <c r="D4613" s="7"/>
      <c r="F4613" s="7"/>
      <c r="H4613" s="7"/>
      <c r="J4613" s="7"/>
      <c r="L4613" s="7"/>
      <c r="N4613" s="7"/>
      <c r="P4613" s="7"/>
      <c r="R4613" s="7"/>
      <c r="T4613" s="7"/>
      <c r="V4613" s="7"/>
      <c r="X4613" s="7"/>
    </row>
    <row r="4614" spans="2:24">
      <c r="B4614" s="7"/>
      <c r="D4614" s="7"/>
      <c r="F4614" s="7"/>
      <c r="H4614" s="7"/>
      <c r="J4614" s="7"/>
      <c r="L4614" s="7"/>
      <c r="N4614" s="7"/>
      <c r="P4614" s="7"/>
      <c r="R4614" s="7"/>
      <c r="T4614" s="7"/>
      <c r="V4614" s="7"/>
      <c r="X4614" s="7"/>
    </row>
    <row r="4615" spans="2:24">
      <c r="B4615" s="7"/>
      <c r="D4615" s="7"/>
      <c r="F4615" s="7"/>
      <c r="H4615" s="7"/>
      <c r="J4615" s="7"/>
      <c r="L4615" s="7"/>
      <c r="N4615" s="7"/>
      <c r="P4615" s="7"/>
      <c r="R4615" s="7"/>
      <c r="T4615" s="7"/>
      <c r="V4615" s="7"/>
      <c r="X4615" s="7"/>
    </row>
    <row r="4616" spans="2:24">
      <c r="B4616" s="7"/>
      <c r="D4616" s="7"/>
      <c r="F4616" s="7"/>
      <c r="H4616" s="7"/>
      <c r="J4616" s="7"/>
      <c r="L4616" s="7"/>
      <c r="N4616" s="7"/>
      <c r="P4616" s="7"/>
      <c r="R4616" s="7"/>
      <c r="T4616" s="7"/>
      <c r="V4616" s="7"/>
      <c r="X4616" s="7"/>
    </row>
    <row r="4617" spans="2:24">
      <c r="B4617" s="7"/>
      <c r="D4617" s="7"/>
      <c r="F4617" s="7"/>
      <c r="H4617" s="7"/>
      <c r="J4617" s="7"/>
      <c r="L4617" s="7"/>
      <c r="N4617" s="7"/>
      <c r="P4617" s="7"/>
      <c r="R4617" s="7"/>
      <c r="T4617" s="7"/>
      <c r="V4617" s="7"/>
      <c r="X4617" s="7"/>
    </row>
    <row r="4618" spans="2:24">
      <c r="B4618" s="7"/>
      <c r="D4618" s="7"/>
      <c r="F4618" s="7"/>
      <c r="H4618" s="7"/>
      <c r="J4618" s="7"/>
      <c r="L4618" s="7"/>
      <c r="N4618" s="7"/>
      <c r="P4618" s="7"/>
      <c r="R4618" s="7"/>
      <c r="T4618" s="7"/>
      <c r="V4618" s="7"/>
      <c r="X4618" s="7"/>
    </row>
    <row r="4619" spans="2:24">
      <c r="B4619" s="7"/>
      <c r="D4619" s="7"/>
      <c r="F4619" s="7"/>
      <c r="H4619" s="7"/>
      <c r="J4619" s="7"/>
      <c r="L4619" s="7"/>
      <c r="N4619" s="7"/>
      <c r="P4619" s="7"/>
      <c r="R4619" s="7"/>
      <c r="T4619" s="7"/>
      <c r="V4619" s="7"/>
      <c r="X4619" s="7"/>
    </row>
    <row r="4620" spans="2:24">
      <c r="B4620" s="7"/>
      <c r="D4620" s="7"/>
      <c r="F4620" s="7"/>
      <c r="H4620" s="7"/>
      <c r="J4620" s="7"/>
      <c r="L4620" s="7"/>
      <c r="N4620" s="7"/>
      <c r="P4620" s="7"/>
      <c r="R4620" s="7"/>
      <c r="T4620" s="7"/>
      <c r="V4620" s="7"/>
      <c r="X4620" s="7"/>
    </row>
    <row r="4621" spans="2:24">
      <c r="B4621" s="7"/>
      <c r="D4621" s="7"/>
      <c r="F4621" s="7"/>
      <c r="H4621" s="7"/>
      <c r="J4621" s="7"/>
      <c r="L4621" s="7"/>
      <c r="N4621" s="7"/>
      <c r="P4621" s="7"/>
      <c r="R4621" s="7"/>
      <c r="T4621" s="7"/>
      <c r="V4621" s="7"/>
      <c r="X4621" s="7"/>
    </row>
    <row r="4622" spans="2:24">
      <c r="B4622" s="7"/>
      <c r="D4622" s="7"/>
      <c r="F4622" s="7"/>
      <c r="H4622" s="7"/>
      <c r="J4622" s="7"/>
      <c r="L4622" s="7"/>
      <c r="N4622" s="7"/>
      <c r="P4622" s="7"/>
      <c r="R4622" s="7"/>
      <c r="T4622" s="7"/>
      <c r="V4622" s="7"/>
      <c r="X4622" s="7"/>
    </row>
    <row r="4623" spans="2:24">
      <c r="B4623" s="7"/>
      <c r="D4623" s="7"/>
      <c r="F4623" s="7"/>
      <c r="H4623" s="7"/>
      <c r="J4623" s="7"/>
      <c r="L4623" s="7"/>
      <c r="N4623" s="7"/>
      <c r="P4623" s="7"/>
      <c r="R4623" s="7"/>
      <c r="T4623" s="7"/>
      <c r="V4623" s="7"/>
      <c r="X4623" s="7"/>
    </row>
    <row r="4624" spans="2:24">
      <c r="B4624" s="7"/>
      <c r="D4624" s="7"/>
      <c r="F4624" s="7"/>
      <c r="H4624" s="7"/>
      <c r="J4624" s="7"/>
      <c r="L4624" s="7"/>
      <c r="N4624" s="7"/>
      <c r="P4624" s="7"/>
      <c r="R4624" s="7"/>
      <c r="T4624" s="7"/>
      <c r="V4624" s="7"/>
      <c r="X4624" s="7"/>
    </row>
    <row r="4625" spans="2:24">
      <c r="B4625" s="7"/>
      <c r="D4625" s="7"/>
      <c r="F4625" s="7"/>
      <c r="H4625" s="7"/>
      <c r="J4625" s="7"/>
      <c r="L4625" s="7"/>
      <c r="N4625" s="7"/>
      <c r="P4625" s="7"/>
      <c r="R4625" s="7"/>
      <c r="T4625" s="7"/>
      <c r="V4625" s="7"/>
      <c r="X4625" s="7"/>
    </row>
    <row r="4626" spans="2:24">
      <c r="B4626" s="7"/>
      <c r="D4626" s="7"/>
      <c r="F4626" s="7"/>
      <c r="H4626" s="7"/>
      <c r="J4626" s="7"/>
      <c r="L4626" s="7"/>
      <c r="N4626" s="7"/>
      <c r="P4626" s="7"/>
      <c r="R4626" s="7"/>
      <c r="T4626" s="7"/>
      <c r="V4626" s="7"/>
      <c r="X4626" s="7"/>
    </row>
    <row r="4627" spans="2:24">
      <c r="B4627" s="7"/>
      <c r="D4627" s="7"/>
      <c r="F4627" s="7"/>
      <c r="H4627" s="7"/>
      <c r="J4627" s="7"/>
      <c r="L4627" s="7"/>
      <c r="N4627" s="7"/>
      <c r="P4627" s="7"/>
      <c r="R4627" s="7"/>
      <c r="T4627" s="7"/>
      <c r="V4627" s="7"/>
      <c r="X4627" s="7"/>
    </row>
    <row r="4628" spans="2:24">
      <c r="B4628" s="7"/>
      <c r="D4628" s="7"/>
      <c r="F4628" s="7"/>
      <c r="H4628" s="7"/>
      <c r="J4628" s="7"/>
      <c r="L4628" s="7"/>
      <c r="N4628" s="7"/>
      <c r="P4628" s="7"/>
      <c r="R4628" s="7"/>
      <c r="T4628" s="7"/>
      <c r="V4628" s="7"/>
      <c r="X4628" s="7"/>
    </row>
    <row r="4629" spans="2:24">
      <c r="B4629" s="7"/>
      <c r="D4629" s="7"/>
      <c r="F4629" s="7"/>
      <c r="H4629" s="7"/>
      <c r="J4629" s="7"/>
      <c r="L4629" s="7"/>
      <c r="N4629" s="7"/>
      <c r="P4629" s="7"/>
      <c r="R4629" s="7"/>
      <c r="T4629" s="7"/>
      <c r="V4629" s="7"/>
      <c r="X4629" s="7"/>
    </row>
    <row r="4630" spans="2:24">
      <c r="B4630" s="7"/>
      <c r="D4630" s="7"/>
      <c r="F4630" s="7"/>
      <c r="H4630" s="7"/>
      <c r="J4630" s="7"/>
      <c r="L4630" s="7"/>
      <c r="N4630" s="7"/>
      <c r="P4630" s="7"/>
      <c r="R4630" s="7"/>
      <c r="T4630" s="7"/>
      <c r="V4630" s="7"/>
      <c r="X4630" s="7"/>
    </row>
    <row r="4631" spans="2:24">
      <c r="B4631" s="7"/>
      <c r="D4631" s="7"/>
      <c r="F4631" s="7"/>
      <c r="H4631" s="7"/>
      <c r="J4631" s="7"/>
      <c r="L4631" s="7"/>
      <c r="N4631" s="7"/>
      <c r="P4631" s="7"/>
      <c r="R4631" s="7"/>
      <c r="T4631" s="7"/>
      <c r="V4631" s="7"/>
      <c r="X4631" s="7"/>
    </row>
    <row r="4632" spans="2:24">
      <c r="B4632" s="7"/>
      <c r="D4632" s="7"/>
      <c r="F4632" s="7"/>
      <c r="H4632" s="7"/>
      <c r="J4632" s="7"/>
      <c r="L4632" s="7"/>
      <c r="N4632" s="7"/>
      <c r="P4632" s="7"/>
      <c r="R4632" s="7"/>
      <c r="T4632" s="7"/>
      <c r="V4632" s="7"/>
      <c r="X4632" s="7"/>
    </row>
    <row r="4633" spans="2:24">
      <c r="B4633" s="7"/>
      <c r="D4633" s="7"/>
      <c r="F4633" s="7"/>
      <c r="H4633" s="7"/>
      <c r="J4633" s="7"/>
      <c r="L4633" s="7"/>
      <c r="N4633" s="7"/>
      <c r="P4633" s="7"/>
      <c r="R4633" s="7"/>
      <c r="T4633" s="7"/>
      <c r="V4633" s="7"/>
      <c r="X4633" s="7"/>
    </row>
    <row r="4634" spans="2:24">
      <c r="B4634" s="7"/>
      <c r="D4634" s="7"/>
      <c r="F4634" s="7"/>
      <c r="H4634" s="7"/>
      <c r="J4634" s="7"/>
      <c r="L4634" s="7"/>
      <c r="N4634" s="7"/>
      <c r="P4634" s="7"/>
      <c r="R4634" s="7"/>
      <c r="T4634" s="7"/>
      <c r="V4634" s="7"/>
      <c r="X4634" s="7"/>
    </row>
    <row r="4635" spans="2:24">
      <c r="B4635" s="7"/>
      <c r="D4635" s="7"/>
      <c r="F4635" s="7"/>
      <c r="H4635" s="7"/>
      <c r="J4635" s="7"/>
      <c r="L4635" s="7"/>
      <c r="N4635" s="7"/>
      <c r="P4635" s="7"/>
      <c r="R4635" s="7"/>
      <c r="T4635" s="7"/>
      <c r="V4635" s="7"/>
      <c r="X4635" s="7"/>
    </row>
    <row r="4636" spans="2:24">
      <c r="B4636" s="7"/>
      <c r="D4636" s="7"/>
      <c r="F4636" s="7"/>
      <c r="H4636" s="7"/>
      <c r="J4636" s="7"/>
      <c r="L4636" s="7"/>
      <c r="N4636" s="7"/>
      <c r="P4636" s="7"/>
      <c r="R4636" s="7"/>
      <c r="T4636" s="7"/>
      <c r="V4636" s="7"/>
      <c r="X4636" s="7"/>
    </row>
    <row r="4637" spans="2:24">
      <c r="B4637" s="7"/>
      <c r="D4637" s="7"/>
      <c r="F4637" s="7"/>
      <c r="H4637" s="7"/>
      <c r="J4637" s="7"/>
      <c r="L4637" s="7"/>
      <c r="N4637" s="7"/>
      <c r="P4637" s="7"/>
      <c r="R4637" s="7"/>
      <c r="T4637" s="7"/>
      <c r="V4637" s="7"/>
      <c r="X4637" s="7"/>
    </row>
    <row r="4638" spans="2:24">
      <c r="B4638" s="7"/>
      <c r="D4638" s="7"/>
      <c r="F4638" s="7"/>
      <c r="H4638" s="7"/>
      <c r="J4638" s="7"/>
      <c r="L4638" s="7"/>
      <c r="N4638" s="7"/>
      <c r="P4638" s="7"/>
      <c r="R4638" s="7"/>
      <c r="T4638" s="7"/>
      <c r="V4638" s="7"/>
      <c r="X4638" s="7"/>
    </row>
    <row r="4639" spans="2:24">
      <c r="B4639" s="7"/>
      <c r="D4639" s="7"/>
      <c r="F4639" s="7"/>
      <c r="H4639" s="7"/>
      <c r="J4639" s="7"/>
      <c r="L4639" s="7"/>
      <c r="N4639" s="7"/>
      <c r="P4639" s="7"/>
      <c r="R4639" s="7"/>
      <c r="T4639" s="7"/>
      <c r="V4639" s="7"/>
      <c r="X4639" s="7"/>
    </row>
    <row r="4640" spans="2:24">
      <c r="B4640" s="7"/>
      <c r="D4640" s="7"/>
      <c r="F4640" s="7"/>
      <c r="H4640" s="7"/>
      <c r="J4640" s="7"/>
      <c r="L4640" s="7"/>
      <c r="N4640" s="7"/>
      <c r="P4640" s="7"/>
      <c r="R4640" s="7"/>
      <c r="T4640" s="7"/>
      <c r="V4640" s="7"/>
      <c r="X4640" s="7"/>
    </row>
    <row r="4641" spans="2:24">
      <c r="B4641" s="7"/>
      <c r="D4641" s="7"/>
      <c r="F4641" s="7"/>
      <c r="H4641" s="7"/>
      <c r="J4641" s="7"/>
      <c r="L4641" s="7"/>
      <c r="N4641" s="7"/>
      <c r="P4641" s="7"/>
      <c r="R4641" s="7"/>
      <c r="T4641" s="7"/>
      <c r="V4641" s="7"/>
      <c r="X4641" s="7"/>
    </row>
    <row r="4642" spans="2:24">
      <c r="B4642" s="7"/>
      <c r="D4642" s="7"/>
      <c r="F4642" s="7"/>
      <c r="H4642" s="7"/>
      <c r="J4642" s="7"/>
      <c r="L4642" s="7"/>
      <c r="N4642" s="7"/>
      <c r="P4642" s="7"/>
      <c r="R4642" s="7"/>
      <c r="T4642" s="7"/>
      <c r="V4642" s="7"/>
      <c r="X4642" s="7"/>
    </row>
    <row r="4643" spans="2:24">
      <c r="B4643" s="7"/>
      <c r="D4643" s="7"/>
      <c r="F4643" s="7"/>
      <c r="H4643" s="7"/>
      <c r="J4643" s="7"/>
      <c r="L4643" s="7"/>
      <c r="N4643" s="7"/>
      <c r="P4643" s="7"/>
      <c r="R4643" s="7"/>
      <c r="T4643" s="7"/>
      <c r="V4643" s="7"/>
      <c r="X4643" s="7"/>
    </row>
    <row r="4644" spans="2:24">
      <c r="B4644" s="7"/>
      <c r="D4644" s="7"/>
      <c r="F4644" s="7"/>
      <c r="H4644" s="7"/>
      <c r="J4644" s="7"/>
      <c r="L4644" s="7"/>
      <c r="N4644" s="7"/>
      <c r="P4644" s="7"/>
      <c r="R4644" s="7"/>
      <c r="T4644" s="7"/>
      <c r="V4644" s="7"/>
      <c r="X4644" s="7"/>
    </row>
    <row r="4645" spans="2:24">
      <c r="B4645" s="7"/>
      <c r="D4645" s="7"/>
      <c r="F4645" s="7"/>
      <c r="H4645" s="7"/>
      <c r="J4645" s="7"/>
      <c r="L4645" s="7"/>
      <c r="N4645" s="7"/>
      <c r="P4645" s="7"/>
      <c r="R4645" s="7"/>
      <c r="T4645" s="7"/>
      <c r="V4645" s="7"/>
      <c r="X4645" s="7"/>
    </row>
    <row r="4646" spans="2:24">
      <c r="B4646" s="7"/>
      <c r="D4646" s="7"/>
      <c r="F4646" s="7"/>
      <c r="H4646" s="7"/>
      <c r="J4646" s="7"/>
      <c r="L4646" s="7"/>
      <c r="N4646" s="7"/>
      <c r="P4646" s="7"/>
      <c r="R4646" s="7"/>
      <c r="T4646" s="7"/>
      <c r="V4646" s="7"/>
      <c r="X4646" s="7"/>
    </row>
    <row r="4647" spans="2:24">
      <c r="B4647" s="7"/>
      <c r="D4647" s="7"/>
      <c r="F4647" s="7"/>
      <c r="H4647" s="7"/>
      <c r="J4647" s="7"/>
      <c r="L4647" s="7"/>
      <c r="N4647" s="7"/>
      <c r="P4647" s="7"/>
      <c r="R4647" s="7"/>
      <c r="T4647" s="7"/>
      <c r="V4647" s="7"/>
      <c r="X4647" s="7"/>
    </row>
    <row r="4648" spans="2:24">
      <c r="B4648" s="7"/>
      <c r="D4648" s="7"/>
      <c r="F4648" s="7"/>
      <c r="H4648" s="7"/>
      <c r="J4648" s="7"/>
      <c r="L4648" s="7"/>
      <c r="N4648" s="7"/>
      <c r="P4648" s="7"/>
      <c r="R4648" s="7"/>
      <c r="T4648" s="7"/>
      <c r="V4648" s="7"/>
      <c r="X4648" s="7"/>
    </row>
    <row r="4649" spans="2:24">
      <c r="B4649" s="7"/>
      <c r="D4649" s="7"/>
      <c r="F4649" s="7"/>
      <c r="H4649" s="7"/>
      <c r="J4649" s="7"/>
      <c r="L4649" s="7"/>
      <c r="N4649" s="7"/>
      <c r="P4649" s="7"/>
      <c r="R4649" s="7"/>
      <c r="T4649" s="7"/>
      <c r="V4649" s="7"/>
      <c r="X4649" s="7"/>
    </row>
    <row r="4650" spans="2:24">
      <c r="B4650" s="7"/>
      <c r="D4650" s="7"/>
      <c r="F4650" s="7"/>
      <c r="H4650" s="7"/>
      <c r="J4650" s="7"/>
      <c r="L4650" s="7"/>
      <c r="N4650" s="7"/>
      <c r="P4650" s="7"/>
      <c r="R4650" s="7"/>
      <c r="T4650" s="7"/>
      <c r="V4650" s="7"/>
      <c r="X4650" s="7"/>
    </row>
    <row r="4651" spans="2:24">
      <c r="B4651" s="7"/>
      <c r="D4651" s="7"/>
      <c r="F4651" s="7"/>
      <c r="H4651" s="7"/>
      <c r="J4651" s="7"/>
      <c r="L4651" s="7"/>
      <c r="N4651" s="7"/>
      <c r="P4651" s="7"/>
      <c r="R4651" s="7"/>
      <c r="T4651" s="7"/>
      <c r="V4651" s="7"/>
      <c r="X4651" s="7"/>
    </row>
    <row r="4652" spans="2:24">
      <c r="B4652" s="7"/>
      <c r="D4652" s="7"/>
      <c r="F4652" s="7"/>
      <c r="H4652" s="7"/>
      <c r="J4652" s="7"/>
      <c r="L4652" s="7"/>
      <c r="N4652" s="7"/>
      <c r="P4652" s="7"/>
      <c r="R4652" s="7"/>
      <c r="T4652" s="7"/>
      <c r="V4652" s="7"/>
      <c r="X4652" s="7"/>
    </row>
    <row r="4653" spans="2:24">
      <c r="B4653" s="7"/>
      <c r="D4653" s="7"/>
      <c r="F4653" s="7"/>
      <c r="H4653" s="7"/>
      <c r="J4653" s="7"/>
      <c r="L4653" s="7"/>
      <c r="N4653" s="7"/>
      <c r="P4653" s="7"/>
      <c r="R4653" s="7"/>
      <c r="T4653" s="7"/>
      <c r="V4653" s="7"/>
      <c r="X4653" s="7"/>
    </row>
    <row r="4654" spans="2:24">
      <c r="B4654" s="7"/>
      <c r="D4654" s="7"/>
      <c r="F4654" s="7"/>
      <c r="H4654" s="7"/>
      <c r="J4654" s="7"/>
      <c r="L4654" s="7"/>
      <c r="N4654" s="7"/>
      <c r="P4654" s="7"/>
      <c r="R4654" s="7"/>
      <c r="T4654" s="7"/>
      <c r="V4654" s="7"/>
      <c r="X4654" s="7"/>
    </row>
    <row r="4655" spans="2:24">
      <c r="B4655" s="7"/>
      <c r="D4655" s="7"/>
      <c r="F4655" s="7"/>
      <c r="H4655" s="7"/>
      <c r="J4655" s="7"/>
      <c r="L4655" s="7"/>
      <c r="N4655" s="7"/>
      <c r="P4655" s="7"/>
      <c r="R4655" s="7"/>
      <c r="T4655" s="7"/>
      <c r="V4655" s="7"/>
      <c r="X4655" s="7"/>
    </row>
    <row r="4656" spans="2:24">
      <c r="B4656" s="7"/>
      <c r="D4656" s="7"/>
      <c r="F4656" s="7"/>
      <c r="H4656" s="7"/>
      <c r="J4656" s="7"/>
      <c r="L4656" s="7"/>
      <c r="N4656" s="7"/>
      <c r="P4656" s="7"/>
      <c r="R4656" s="7"/>
      <c r="T4656" s="7"/>
      <c r="V4656" s="7"/>
      <c r="X4656" s="7"/>
    </row>
    <row r="4657" spans="2:24">
      <c r="B4657" s="7"/>
      <c r="D4657" s="7"/>
      <c r="F4657" s="7"/>
      <c r="H4657" s="7"/>
      <c r="J4657" s="7"/>
      <c r="L4657" s="7"/>
      <c r="N4657" s="7"/>
      <c r="P4657" s="7"/>
      <c r="R4657" s="7"/>
      <c r="T4657" s="7"/>
      <c r="V4657" s="7"/>
      <c r="X4657" s="7"/>
    </row>
    <row r="4658" spans="2:24">
      <c r="B4658" s="7"/>
      <c r="D4658" s="7"/>
      <c r="F4658" s="7"/>
      <c r="H4658" s="7"/>
      <c r="J4658" s="7"/>
      <c r="L4658" s="7"/>
      <c r="N4658" s="7"/>
      <c r="P4658" s="7"/>
      <c r="R4658" s="7"/>
      <c r="T4658" s="7"/>
      <c r="V4658" s="7"/>
      <c r="X4658" s="7"/>
    </row>
    <row r="4659" spans="2:24">
      <c r="B4659" s="7"/>
      <c r="D4659" s="7"/>
      <c r="F4659" s="7"/>
      <c r="H4659" s="7"/>
      <c r="J4659" s="7"/>
      <c r="L4659" s="7"/>
      <c r="N4659" s="7"/>
      <c r="P4659" s="7"/>
      <c r="R4659" s="7"/>
      <c r="T4659" s="7"/>
      <c r="V4659" s="7"/>
      <c r="X4659" s="7"/>
    </row>
    <row r="4660" spans="2:24">
      <c r="B4660" s="7"/>
      <c r="D4660" s="7"/>
      <c r="F4660" s="7"/>
      <c r="H4660" s="7"/>
      <c r="J4660" s="7"/>
      <c r="L4660" s="7"/>
      <c r="N4660" s="7"/>
      <c r="P4660" s="7"/>
      <c r="R4660" s="7"/>
      <c r="T4660" s="7"/>
      <c r="V4660" s="7"/>
      <c r="X4660" s="7"/>
    </row>
    <row r="4661" spans="2:24">
      <c r="B4661" s="7"/>
      <c r="D4661" s="7"/>
      <c r="F4661" s="7"/>
      <c r="H4661" s="7"/>
      <c r="J4661" s="7"/>
      <c r="L4661" s="7"/>
      <c r="N4661" s="7"/>
      <c r="P4661" s="7"/>
      <c r="R4661" s="7"/>
      <c r="T4661" s="7"/>
      <c r="V4661" s="7"/>
      <c r="X4661" s="7"/>
    </row>
    <row r="4662" spans="2:24">
      <c r="B4662" s="7"/>
      <c r="D4662" s="7"/>
      <c r="F4662" s="7"/>
      <c r="H4662" s="7"/>
      <c r="J4662" s="7"/>
      <c r="L4662" s="7"/>
      <c r="N4662" s="7"/>
      <c r="P4662" s="7"/>
      <c r="R4662" s="7"/>
      <c r="T4662" s="7"/>
      <c r="V4662" s="7"/>
      <c r="X4662" s="7"/>
    </row>
    <row r="4663" spans="2:24">
      <c r="B4663" s="7"/>
      <c r="D4663" s="7"/>
      <c r="F4663" s="7"/>
      <c r="H4663" s="7"/>
      <c r="J4663" s="7"/>
      <c r="L4663" s="7"/>
      <c r="N4663" s="7"/>
      <c r="P4663" s="7"/>
      <c r="R4663" s="7"/>
      <c r="T4663" s="7"/>
      <c r="V4663" s="7"/>
      <c r="X4663" s="7"/>
    </row>
    <row r="4664" spans="2:24">
      <c r="B4664" s="7"/>
      <c r="D4664" s="7"/>
      <c r="F4664" s="7"/>
      <c r="H4664" s="7"/>
      <c r="J4664" s="7"/>
      <c r="L4664" s="7"/>
      <c r="N4664" s="7"/>
      <c r="P4664" s="7"/>
      <c r="R4664" s="7"/>
      <c r="T4664" s="7"/>
      <c r="V4664" s="7"/>
      <c r="X4664" s="7"/>
    </row>
    <row r="4665" spans="2:24">
      <c r="B4665" s="7"/>
      <c r="D4665" s="7"/>
      <c r="F4665" s="7"/>
      <c r="H4665" s="7"/>
      <c r="J4665" s="7"/>
      <c r="L4665" s="7"/>
      <c r="N4665" s="7"/>
      <c r="P4665" s="7"/>
      <c r="R4665" s="7"/>
      <c r="T4665" s="7"/>
      <c r="V4665" s="7"/>
      <c r="X4665" s="7"/>
    </row>
    <row r="4666" spans="2:24">
      <c r="B4666" s="7"/>
      <c r="D4666" s="7"/>
      <c r="F4666" s="7"/>
      <c r="H4666" s="7"/>
      <c r="J4666" s="7"/>
      <c r="L4666" s="7"/>
      <c r="N4666" s="7"/>
      <c r="P4666" s="7"/>
      <c r="R4666" s="7"/>
      <c r="T4666" s="7"/>
      <c r="V4666" s="7"/>
      <c r="X4666" s="7"/>
    </row>
    <row r="4667" spans="2:24">
      <c r="B4667" s="7"/>
      <c r="D4667" s="7"/>
      <c r="F4667" s="7"/>
      <c r="H4667" s="7"/>
      <c r="J4667" s="7"/>
      <c r="L4667" s="7"/>
      <c r="N4667" s="7"/>
      <c r="P4667" s="7"/>
      <c r="R4667" s="7"/>
      <c r="T4667" s="7"/>
      <c r="V4667" s="7"/>
      <c r="X4667" s="7"/>
    </row>
    <row r="4668" spans="2:24">
      <c r="B4668" s="7"/>
      <c r="D4668" s="7"/>
      <c r="F4668" s="7"/>
      <c r="H4668" s="7"/>
      <c r="J4668" s="7"/>
      <c r="L4668" s="7"/>
      <c r="N4668" s="7"/>
      <c r="P4668" s="7"/>
      <c r="R4668" s="7"/>
      <c r="T4668" s="7"/>
      <c r="V4668" s="7"/>
      <c r="X4668" s="7"/>
    </row>
    <row r="4669" spans="2:24">
      <c r="B4669" s="7"/>
      <c r="D4669" s="7"/>
      <c r="F4669" s="7"/>
      <c r="H4669" s="7"/>
      <c r="J4669" s="7"/>
      <c r="L4669" s="7"/>
      <c r="N4669" s="7"/>
      <c r="P4669" s="7"/>
      <c r="R4669" s="7"/>
      <c r="T4669" s="7"/>
      <c r="V4669" s="7"/>
      <c r="X4669" s="7"/>
    </row>
    <row r="4670" spans="2:24">
      <c r="B4670" s="7"/>
      <c r="D4670" s="7"/>
      <c r="F4670" s="7"/>
      <c r="H4670" s="7"/>
      <c r="J4670" s="7"/>
      <c r="L4670" s="7"/>
      <c r="N4670" s="7"/>
      <c r="P4670" s="7"/>
      <c r="R4670" s="7"/>
      <c r="T4670" s="7"/>
      <c r="V4670" s="7"/>
      <c r="X4670" s="7"/>
    </row>
    <row r="4671" spans="2:24">
      <c r="B4671" s="7"/>
      <c r="D4671" s="7"/>
      <c r="F4671" s="7"/>
      <c r="H4671" s="7"/>
      <c r="J4671" s="7"/>
      <c r="L4671" s="7"/>
      <c r="N4671" s="7"/>
      <c r="P4671" s="7"/>
      <c r="R4671" s="7"/>
      <c r="T4671" s="7"/>
      <c r="V4671" s="7"/>
      <c r="X4671" s="7"/>
    </row>
    <row r="4672" spans="2:24">
      <c r="B4672" s="7"/>
      <c r="D4672" s="7"/>
      <c r="F4672" s="7"/>
      <c r="H4672" s="7"/>
      <c r="J4672" s="7"/>
      <c r="L4672" s="7"/>
      <c r="N4672" s="7"/>
      <c r="P4672" s="7"/>
      <c r="R4672" s="7"/>
      <c r="T4672" s="7"/>
      <c r="V4672" s="7"/>
      <c r="X4672" s="7"/>
    </row>
    <row r="4673" spans="2:24">
      <c r="B4673" s="7"/>
      <c r="D4673" s="7"/>
      <c r="F4673" s="7"/>
      <c r="H4673" s="7"/>
      <c r="J4673" s="7"/>
      <c r="L4673" s="7"/>
      <c r="N4673" s="7"/>
      <c r="P4673" s="7"/>
      <c r="R4673" s="7"/>
      <c r="T4673" s="7"/>
      <c r="V4673" s="7"/>
      <c r="X4673" s="7"/>
    </row>
    <row r="4674" spans="2:24">
      <c r="B4674" s="7"/>
      <c r="D4674" s="7"/>
      <c r="F4674" s="7"/>
      <c r="H4674" s="7"/>
      <c r="J4674" s="7"/>
      <c r="L4674" s="7"/>
      <c r="N4674" s="7"/>
      <c r="P4674" s="7"/>
      <c r="R4674" s="7"/>
      <c r="T4674" s="7"/>
      <c r="V4674" s="7"/>
      <c r="X4674" s="7"/>
    </row>
    <row r="4675" spans="2:24">
      <c r="B4675" s="7"/>
      <c r="D4675" s="7"/>
      <c r="F4675" s="7"/>
      <c r="H4675" s="7"/>
      <c r="J4675" s="7"/>
      <c r="L4675" s="7"/>
      <c r="N4675" s="7"/>
      <c r="P4675" s="7"/>
      <c r="R4675" s="7"/>
      <c r="T4675" s="7"/>
      <c r="V4675" s="7"/>
      <c r="X4675" s="7"/>
    </row>
    <row r="4676" spans="2:24">
      <c r="B4676" s="7"/>
      <c r="D4676" s="7"/>
      <c r="F4676" s="7"/>
      <c r="H4676" s="7"/>
      <c r="J4676" s="7"/>
      <c r="L4676" s="7"/>
      <c r="N4676" s="7"/>
      <c r="P4676" s="7"/>
      <c r="R4676" s="7"/>
      <c r="T4676" s="7"/>
      <c r="V4676" s="7"/>
      <c r="X4676" s="7"/>
    </row>
    <row r="4677" spans="2:24">
      <c r="B4677" s="7"/>
      <c r="D4677" s="7"/>
      <c r="F4677" s="7"/>
      <c r="H4677" s="7"/>
      <c r="J4677" s="7"/>
      <c r="L4677" s="7"/>
      <c r="N4677" s="7"/>
      <c r="P4677" s="7"/>
      <c r="R4677" s="7"/>
      <c r="T4677" s="7"/>
      <c r="V4677" s="7"/>
      <c r="X4677" s="7"/>
    </row>
    <row r="4678" spans="2:24">
      <c r="B4678" s="7"/>
      <c r="D4678" s="7"/>
      <c r="F4678" s="7"/>
      <c r="H4678" s="7"/>
      <c r="J4678" s="7"/>
      <c r="L4678" s="7"/>
      <c r="N4678" s="7"/>
      <c r="P4678" s="7"/>
      <c r="R4678" s="7"/>
      <c r="T4678" s="7"/>
      <c r="V4678" s="7"/>
      <c r="X4678" s="7"/>
    </row>
    <row r="4679" spans="2:24">
      <c r="B4679" s="7"/>
      <c r="D4679" s="7"/>
      <c r="F4679" s="7"/>
      <c r="H4679" s="7"/>
      <c r="J4679" s="7"/>
      <c r="L4679" s="7"/>
      <c r="N4679" s="7"/>
      <c r="P4679" s="7"/>
      <c r="R4679" s="7"/>
      <c r="T4679" s="7"/>
      <c r="V4679" s="7"/>
      <c r="X4679" s="7"/>
    </row>
    <row r="4680" spans="2:24">
      <c r="B4680" s="7"/>
      <c r="D4680" s="7"/>
      <c r="F4680" s="7"/>
      <c r="H4680" s="7"/>
      <c r="J4680" s="7"/>
      <c r="L4680" s="7"/>
      <c r="N4680" s="7"/>
      <c r="P4680" s="7"/>
      <c r="R4680" s="7"/>
      <c r="T4680" s="7"/>
      <c r="V4680" s="7"/>
      <c r="X4680" s="7"/>
    </row>
    <row r="4681" spans="2:24">
      <c r="B4681" s="7"/>
      <c r="D4681" s="7"/>
      <c r="F4681" s="7"/>
      <c r="H4681" s="7"/>
      <c r="J4681" s="7"/>
      <c r="L4681" s="7"/>
      <c r="N4681" s="7"/>
      <c r="P4681" s="7"/>
      <c r="R4681" s="7"/>
      <c r="T4681" s="7"/>
      <c r="V4681" s="7"/>
      <c r="X4681" s="7"/>
    </row>
    <row r="4682" spans="2:24">
      <c r="B4682" s="7"/>
      <c r="D4682" s="7"/>
      <c r="F4682" s="7"/>
      <c r="H4682" s="7"/>
      <c r="J4682" s="7"/>
      <c r="L4682" s="7"/>
      <c r="N4682" s="7"/>
      <c r="P4682" s="7"/>
      <c r="R4682" s="7"/>
      <c r="T4682" s="7"/>
      <c r="V4682" s="7"/>
      <c r="X4682" s="7"/>
    </row>
    <row r="4683" spans="2:24">
      <c r="B4683" s="7"/>
      <c r="D4683" s="7"/>
      <c r="F4683" s="7"/>
      <c r="H4683" s="7"/>
      <c r="J4683" s="7"/>
      <c r="L4683" s="7"/>
      <c r="N4683" s="7"/>
      <c r="P4683" s="7"/>
      <c r="R4683" s="7"/>
      <c r="T4683" s="7"/>
      <c r="V4683" s="7"/>
      <c r="X4683" s="7"/>
    </row>
    <row r="4684" spans="2:24">
      <c r="B4684" s="7"/>
      <c r="D4684" s="7"/>
      <c r="F4684" s="7"/>
      <c r="H4684" s="7"/>
      <c r="J4684" s="7"/>
      <c r="L4684" s="7"/>
      <c r="N4684" s="7"/>
      <c r="P4684" s="7"/>
      <c r="R4684" s="7"/>
      <c r="T4684" s="7"/>
      <c r="V4684" s="7"/>
      <c r="X4684" s="7"/>
    </row>
    <row r="4685" spans="2:24">
      <c r="B4685" s="7"/>
      <c r="D4685" s="7"/>
      <c r="F4685" s="7"/>
      <c r="H4685" s="7"/>
      <c r="J4685" s="7"/>
      <c r="L4685" s="7"/>
      <c r="N4685" s="7"/>
      <c r="P4685" s="7"/>
      <c r="R4685" s="7"/>
      <c r="T4685" s="7"/>
      <c r="V4685" s="7"/>
      <c r="X4685" s="7"/>
    </row>
    <row r="4686" spans="2:24">
      <c r="B4686" s="7"/>
      <c r="D4686" s="7"/>
      <c r="F4686" s="7"/>
      <c r="H4686" s="7"/>
      <c r="J4686" s="7"/>
      <c r="L4686" s="7"/>
      <c r="N4686" s="7"/>
      <c r="P4686" s="7"/>
      <c r="R4686" s="7"/>
      <c r="T4686" s="7"/>
      <c r="V4686" s="7"/>
      <c r="X4686" s="7"/>
    </row>
    <row r="4687" spans="2:24">
      <c r="B4687" s="7"/>
      <c r="D4687" s="7"/>
      <c r="F4687" s="7"/>
      <c r="H4687" s="7"/>
      <c r="J4687" s="7"/>
      <c r="L4687" s="7"/>
      <c r="N4687" s="7"/>
      <c r="P4687" s="7"/>
      <c r="R4687" s="7"/>
      <c r="T4687" s="7"/>
      <c r="V4687" s="7"/>
      <c r="X4687" s="7"/>
    </row>
    <row r="4688" spans="2:24">
      <c r="B4688" s="7"/>
      <c r="D4688" s="7"/>
      <c r="F4688" s="7"/>
      <c r="H4688" s="7"/>
      <c r="J4688" s="7"/>
      <c r="L4688" s="7"/>
      <c r="N4688" s="7"/>
      <c r="P4688" s="7"/>
      <c r="R4688" s="7"/>
      <c r="T4688" s="7"/>
      <c r="V4688" s="7"/>
      <c r="X4688" s="7"/>
    </row>
    <row r="4689" spans="2:24">
      <c r="B4689" s="7"/>
      <c r="D4689" s="7"/>
      <c r="F4689" s="7"/>
      <c r="H4689" s="7"/>
      <c r="J4689" s="7"/>
      <c r="L4689" s="7"/>
      <c r="N4689" s="7"/>
      <c r="P4689" s="7"/>
      <c r="R4689" s="7"/>
      <c r="T4689" s="7"/>
      <c r="V4689" s="7"/>
      <c r="X4689" s="7"/>
    </row>
    <row r="4690" spans="2:24">
      <c r="B4690" s="7"/>
      <c r="D4690" s="7"/>
      <c r="F4690" s="7"/>
      <c r="H4690" s="7"/>
      <c r="J4690" s="7"/>
      <c r="L4690" s="7"/>
      <c r="N4690" s="7"/>
      <c r="P4690" s="7"/>
      <c r="R4690" s="7"/>
      <c r="T4690" s="7"/>
      <c r="V4690" s="7"/>
      <c r="X4690" s="7"/>
    </row>
    <row r="4691" spans="2:24">
      <c r="B4691" s="7"/>
      <c r="D4691" s="7"/>
      <c r="F4691" s="7"/>
      <c r="H4691" s="7"/>
      <c r="J4691" s="7"/>
      <c r="L4691" s="7"/>
      <c r="N4691" s="7"/>
      <c r="P4691" s="7"/>
      <c r="R4691" s="7"/>
      <c r="T4691" s="7"/>
      <c r="V4691" s="7"/>
      <c r="X4691" s="7"/>
    </row>
    <row r="4692" spans="2:24">
      <c r="B4692" s="7"/>
      <c r="D4692" s="7"/>
      <c r="F4692" s="7"/>
      <c r="H4692" s="7"/>
      <c r="J4692" s="7"/>
      <c r="L4692" s="7"/>
      <c r="N4692" s="7"/>
      <c r="P4692" s="7"/>
      <c r="R4692" s="7"/>
      <c r="T4692" s="7"/>
      <c r="V4692" s="7"/>
      <c r="X4692" s="7"/>
    </row>
    <row r="4693" spans="2:24">
      <c r="B4693" s="7"/>
      <c r="D4693" s="7"/>
      <c r="F4693" s="7"/>
      <c r="H4693" s="7"/>
      <c r="J4693" s="7"/>
      <c r="L4693" s="7"/>
      <c r="N4693" s="7"/>
      <c r="P4693" s="7"/>
      <c r="R4693" s="7"/>
      <c r="T4693" s="7"/>
      <c r="V4693" s="7"/>
      <c r="X4693" s="7"/>
    </row>
    <row r="4694" spans="2:24">
      <c r="B4694" s="7"/>
      <c r="D4694" s="7"/>
      <c r="F4694" s="7"/>
      <c r="H4694" s="7"/>
      <c r="J4694" s="7"/>
      <c r="L4694" s="7"/>
      <c r="N4694" s="7"/>
      <c r="P4694" s="7"/>
      <c r="R4694" s="7"/>
      <c r="T4694" s="7"/>
      <c r="V4694" s="7"/>
      <c r="X4694" s="7"/>
    </row>
    <row r="4695" spans="2:24">
      <c r="B4695" s="7"/>
      <c r="D4695" s="7"/>
      <c r="F4695" s="7"/>
      <c r="H4695" s="7"/>
      <c r="J4695" s="7"/>
      <c r="L4695" s="7"/>
      <c r="N4695" s="7"/>
      <c r="P4695" s="7"/>
      <c r="R4695" s="7"/>
      <c r="T4695" s="7"/>
      <c r="V4695" s="7"/>
      <c r="X4695" s="7"/>
    </row>
    <row r="4696" spans="2:24">
      <c r="B4696" s="7"/>
      <c r="D4696" s="7"/>
      <c r="F4696" s="7"/>
      <c r="H4696" s="7"/>
      <c r="J4696" s="7"/>
      <c r="L4696" s="7"/>
      <c r="N4696" s="7"/>
      <c r="P4696" s="7"/>
      <c r="R4696" s="7"/>
      <c r="T4696" s="7"/>
      <c r="V4696" s="7"/>
      <c r="X4696" s="7"/>
    </row>
    <row r="4697" spans="2:24">
      <c r="B4697" s="7"/>
      <c r="D4697" s="7"/>
      <c r="F4697" s="7"/>
      <c r="H4697" s="7"/>
      <c r="J4697" s="7"/>
      <c r="L4697" s="7"/>
      <c r="N4697" s="7"/>
      <c r="P4697" s="7"/>
      <c r="R4697" s="7"/>
      <c r="T4697" s="7"/>
      <c r="V4697" s="7"/>
      <c r="X4697" s="7"/>
    </row>
    <row r="4698" spans="2:24">
      <c r="B4698" s="7"/>
      <c r="D4698" s="7"/>
      <c r="F4698" s="7"/>
      <c r="H4698" s="7"/>
      <c r="J4698" s="7"/>
      <c r="L4698" s="7"/>
      <c r="N4698" s="7"/>
      <c r="P4698" s="7"/>
      <c r="R4698" s="7"/>
      <c r="T4698" s="7"/>
      <c r="V4698" s="7"/>
      <c r="X4698" s="7"/>
    </row>
    <row r="4699" spans="2:24">
      <c r="B4699" s="7"/>
      <c r="D4699" s="7"/>
      <c r="F4699" s="7"/>
      <c r="H4699" s="7"/>
      <c r="J4699" s="7"/>
      <c r="L4699" s="7"/>
      <c r="N4699" s="7"/>
      <c r="P4699" s="7"/>
      <c r="R4699" s="7"/>
      <c r="T4699" s="7"/>
      <c r="V4699" s="7"/>
      <c r="X4699" s="7"/>
    </row>
    <row r="4700" spans="2:24">
      <c r="B4700" s="7"/>
      <c r="D4700" s="7"/>
      <c r="F4700" s="7"/>
      <c r="H4700" s="7"/>
      <c r="J4700" s="7"/>
      <c r="L4700" s="7"/>
      <c r="N4700" s="7"/>
      <c r="P4700" s="7"/>
      <c r="R4700" s="7"/>
      <c r="T4700" s="7"/>
      <c r="V4700" s="7"/>
      <c r="X4700" s="7"/>
    </row>
    <row r="4701" spans="2:24">
      <c r="B4701" s="7"/>
      <c r="D4701" s="7"/>
      <c r="F4701" s="7"/>
      <c r="H4701" s="7"/>
      <c r="J4701" s="7"/>
      <c r="L4701" s="7"/>
      <c r="N4701" s="7"/>
      <c r="P4701" s="7"/>
      <c r="R4701" s="7"/>
      <c r="T4701" s="7"/>
      <c r="V4701" s="7"/>
      <c r="X4701" s="7"/>
    </row>
    <row r="4702" spans="2:24">
      <c r="B4702" s="7"/>
      <c r="D4702" s="7"/>
      <c r="F4702" s="7"/>
      <c r="H4702" s="7"/>
      <c r="J4702" s="7"/>
      <c r="L4702" s="7"/>
      <c r="N4702" s="7"/>
      <c r="P4702" s="7"/>
      <c r="R4702" s="7"/>
      <c r="T4702" s="7"/>
      <c r="V4702" s="7"/>
      <c r="X4702" s="7"/>
    </row>
    <row r="4703" spans="2:24">
      <c r="B4703" s="7"/>
      <c r="D4703" s="7"/>
      <c r="F4703" s="7"/>
      <c r="H4703" s="7"/>
      <c r="J4703" s="7"/>
      <c r="L4703" s="7"/>
      <c r="N4703" s="7"/>
      <c r="P4703" s="7"/>
      <c r="R4703" s="7"/>
      <c r="T4703" s="7"/>
      <c r="V4703" s="7"/>
      <c r="X4703" s="7"/>
    </row>
    <row r="4704" spans="2:24">
      <c r="B4704" s="7"/>
      <c r="D4704" s="7"/>
      <c r="F4704" s="7"/>
      <c r="H4704" s="7"/>
      <c r="J4704" s="7"/>
      <c r="L4704" s="7"/>
      <c r="N4704" s="7"/>
      <c r="P4704" s="7"/>
      <c r="R4704" s="7"/>
      <c r="T4704" s="7"/>
      <c r="V4704" s="7"/>
      <c r="X4704" s="7"/>
    </row>
    <row r="4705" spans="2:24">
      <c r="B4705" s="7"/>
      <c r="D4705" s="7"/>
      <c r="F4705" s="7"/>
      <c r="H4705" s="7"/>
      <c r="J4705" s="7"/>
      <c r="L4705" s="7"/>
      <c r="N4705" s="7"/>
      <c r="P4705" s="7"/>
      <c r="R4705" s="7"/>
      <c r="T4705" s="7"/>
      <c r="V4705" s="7"/>
      <c r="X4705" s="7"/>
    </row>
    <row r="4706" spans="2:24">
      <c r="B4706" s="7"/>
      <c r="D4706" s="7"/>
      <c r="F4706" s="7"/>
      <c r="H4706" s="7"/>
      <c r="J4706" s="7"/>
      <c r="L4706" s="7"/>
      <c r="N4706" s="7"/>
      <c r="P4706" s="7"/>
      <c r="R4706" s="7"/>
      <c r="T4706" s="7"/>
      <c r="V4706" s="7"/>
      <c r="X4706" s="7"/>
    </row>
    <row r="4707" spans="2:24">
      <c r="B4707" s="7"/>
      <c r="D4707" s="7"/>
      <c r="F4707" s="7"/>
      <c r="H4707" s="7"/>
      <c r="J4707" s="7"/>
      <c r="L4707" s="7"/>
      <c r="N4707" s="7"/>
      <c r="P4707" s="7"/>
      <c r="R4707" s="7"/>
      <c r="T4707" s="7"/>
      <c r="V4707" s="7"/>
      <c r="X4707" s="7"/>
    </row>
    <row r="4708" spans="2:24">
      <c r="B4708" s="7"/>
      <c r="D4708" s="7"/>
      <c r="F4708" s="7"/>
      <c r="H4708" s="7"/>
      <c r="J4708" s="7"/>
      <c r="L4708" s="7"/>
      <c r="N4708" s="7"/>
      <c r="P4708" s="7"/>
      <c r="R4708" s="7"/>
      <c r="T4708" s="7"/>
      <c r="V4708" s="7"/>
      <c r="X4708" s="7"/>
    </row>
    <row r="4709" spans="2:24">
      <c r="B4709" s="7"/>
      <c r="D4709" s="7"/>
      <c r="F4709" s="7"/>
      <c r="H4709" s="7"/>
      <c r="J4709" s="7"/>
      <c r="L4709" s="7"/>
      <c r="N4709" s="7"/>
      <c r="P4709" s="7"/>
      <c r="R4709" s="7"/>
      <c r="T4709" s="7"/>
      <c r="V4709" s="7"/>
      <c r="X4709" s="7"/>
    </row>
    <row r="4710" spans="2:24">
      <c r="B4710" s="7"/>
      <c r="D4710" s="7"/>
      <c r="F4710" s="7"/>
      <c r="H4710" s="7"/>
      <c r="J4710" s="7"/>
      <c r="L4710" s="7"/>
      <c r="N4710" s="7"/>
      <c r="P4710" s="7"/>
      <c r="R4710" s="7"/>
      <c r="T4710" s="7"/>
      <c r="V4710" s="7"/>
      <c r="X4710" s="7"/>
    </row>
    <row r="4711" spans="2:24">
      <c r="B4711" s="7"/>
      <c r="D4711" s="7"/>
      <c r="F4711" s="7"/>
      <c r="H4711" s="7"/>
      <c r="J4711" s="7"/>
      <c r="L4711" s="7"/>
      <c r="N4711" s="7"/>
      <c r="P4711" s="7"/>
      <c r="R4711" s="7"/>
      <c r="T4711" s="7"/>
      <c r="V4711" s="7"/>
      <c r="X4711" s="7"/>
    </row>
    <row r="4712" spans="2:24">
      <c r="B4712" s="7"/>
      <c r="D4712" s="7"/>
      <c r="F4712" s="7"/>
      <c r="H4712" s="7"/>
      <c r="J4712" s="7"/>
      <c r="L4712" s="7"/>
      <c r="N4712" s="7"/>
      <c r="P4712" s="7"/>
      <c r="R4712" s="7"/>
      <c r="T4712" s="7"/>
      <c r="V4712" s="7"/>
      <c r="X4712" s="7"/>
    </row>
    <row r="4713" spans="2:24">
      <c r="B4713" s="7"/>
      <c r="D4713" s="7"/>
      <c r="F4713" s="7"/>
      <c r="H4713" s="7"/>
      <c r="J4713" s="7"/>
      <c r="L4713" s="7"/>
      <c r="N4713" s="7"/>
      <c r="P4713" s="7"/>
      <c r="R4713" s="7"/>
      <c r="T4713" s="7"/>
      <c r="V4713" s="7"/>
      <c r="X4713" s="7"/>
    </row>
    <row r="4714" spans="2:24">
      <c r="B4714" s="7"/>
      <c r="D4714" s="7"/>
      <c r="F4714" s="7"/>
      <c r="H4714" s="7"/>
      <c r="J4714" s="7"/>
      <c r="L4714" s="7"/>
      <c r="N4714" s="7"/>
      <c r="P4714" s="7"/>
      <c r="R4714" s="7"/>
      <c r="T4714" s="7"/>
      <c r="V4714" s="7"/>
      <c r="X4714" s="7"/>
    </row>
    <row r="4715" spans="2:24">
      <c r="B4715" s="7"/>
      <c r="D4715" s="7"/>
      <c r="F4715" s="7"/>
      <c r="H4715" s="7"/>
      <c r="J4715" s="7"/>
      <c r="L4715" s="7"/>
      <c r="N4715" s="7"/>
      <c r="P4715" s="7"/>
      <c r="R4715" s="7"/>
      <c r="T4715" s="7"/>
      <c r="V4715" s="7"/>
      <c r="X4715" s="7"/>
    </row>
    <row r="4716" spans="2:24">
      <c r="B4716" s="7"/>
      <c r="D4716" s="7"/>
      <c r="F4716" s="7"/>
      <c r="H4716" s="7"/>
      <c r="J4716" s="7"/>
      <c r="L4716" s="7"/>
      <c r="N4716" s="7"/>
      <c r="P4716" s="7"/>
      <c r="R4716" s="7"/>
      <c r="T4716" s="7"/>
      <c r="V4716" s="7"/>
      <c r="X4716" s="7"/>
    </row>
    <row r="4717" spans="2:24">
      <c r="B4717" s="7"/>
      <c r="D4717" s="7"/>
      <c r="F4717" s="7"/>
      <c r="H4717" s="7"/>
      <c r="J4717" s="7"/>
      <c r="L4717" s="7"/>
      <c r="N4717" s="7"/>
      <c r="P4717" s="7"/>
      <c r="R4717" s="7"/>
      <c r="T4717" s="7"/>
      <c r="V4717" s="7"/>
      <c r="X4717" s="7"/>
    </row>
    <row r="4718" spans="2:24">
      <c r="B4718" s="7"/>
      <c r="D4718" s="7"/>
      <c r="F4718" s="7"/>
      <c r="H4718" s="7"/>
      <c r="J4718" s="7"/>
      <c r="L4718" s="7"/>
      <c r="N4718" s="7"/>
      <c r="P4718" s="7"/>
      <c r="R4718" s="7"/>
      <c r="T4718" s="7"/>
      <c r="V4718" s="7"/>
      <c r="X4718" s="7"/>
    </row>
    <row r="4719" spans="2:24">
      <c r="B4719" s="7"/>
      <c r="D4719" s="7"/>
      <c r="F4719" s="7"/>
      <c r="H4719" s="7"/>
      <c r="J4719" s="7"/>
      <c r="L4719" s="7"/>
      <c r="N4719" s="7"/>
      <c r="P4719" s="7"/>
      <c r="R4719" s="7"/>
      <c r="T4719" s="7"/>
      <c r="V4719" s="7"/>
      <c r="X4719" s="7"/>
    </row>
    <row r="4720" spans="2:24">
      <c r="B4720" s="7"/>
      <c r="D4720" s="7"/>
      <c r="F4720" s="7"/>
      <c r="H4720" s="7"/>
      <c r="J4720" s="7"/>
      <c r="L4720" s="7"/>
      <c r="N4720" s="7"/>
      <c r="P4720" s="7"/>
      <c r="R4720" s="7"/>
      <c r="T4720" s="7"/>
      <c r="V4720" s="7"/>
      <c r="X4720" s="7"/>
    </row>
    <row r="4721" spans="2:24">
      <c r="B4721" s="7"/>
      <c r="D4721" s="7"/>
      <c r="F4721" s="7"/>
      <c r="H4721" s="7"/>
      <c r="J4721" s="7"/>
      <c r="L4721" s="7"/>
      <c r="N4721" s="7"/>
      <c r="P4721" s="7"/>
      <c r="R4721" s="7"/>
      <c r="T4721" s="7"/>
      <c r="V4721" s="7"/>
      <c r="X4721" s="7"/>
    </row>
    <row r="4722" spans="2:24">
      <c r="B4722" s="7"/>
      <c r="D4722" s="7"/>
      <c r="F4722" s="7"/>
      <c r="H4722" s="7"/>
      <c r="J4722" s="7"/>
      <c r="L4722" s="7"/>
      <c r="N4722" s="7"/>
      <c r="P4722" s="7"/>
      <c r="R4722" s="7"/>
      <c r="T4722" s="7"/>
      <c r="V4722" s="7"/>
      <c r="X4722" s="7"/>
    </row>
    <row r="4723" spans="2:24">
      <c r="B4723" s="7"/>
      <c r="D4723" s="7"/>
      <c r="F4723" s="7"/>
      <c r="H4723" s="7"/>
      <c r="J4723" s="7"/>
      <c r="L4723" s="7"/>
      <c r="N4723" s="7"/>
      <c r="P4723" s="7"/>
      <c r="R4723" s="7"/>
      <c r="T4723" s="7"/>
      <c r="V4723" s="7"/>
      <c r="X4723" s="7"/>
    </row>
    <row r="4724" spans="2:24">
      <c r="B4724" s="7"/>
      <c r="D4724" s="7"/>
      <c r="F4724" s="7"/>
      <c r="H4724" s="7"/>
      <c r="J4724" s="7"/>
      <c r="L4724" s="7"/>
      <c r="N4724" s="7"/>
      <c r="P4724" s="7"/>
      <c r="R4724" s="7"/>
      <c r="T4724" s="7"/>
      <c r="V4724" s="7"/>
      <c r="X4724" s="7"/>
    </row>
    <row r="4725" spans="2:24">
      <c r="B4725" s="7"/>
      <c r="D4725" s="7"/>
      <c r="F4725" s="7"/>
      <c r="H4725" s="7"/>
      <c r="J4725" s="7"/>
      <c r="L4725" s="7"/>
      <c r="N4725" s="7"/>
      <c r="P4725" s="7"/>
      <c r="R4725" s="7"/>
      <c r="T4725" s="7"/>
      <c r="V4725" s="7"/>
      <c r="X4725" s="7"/>
    </row>
    <row r="4726" spans="2:24">
      <c r="B4726" s="7"/>
      <c r="D4726" s="7"/>
      <c r="F4726" s="7"/>
      <c r="H4726" s="7"/>
      <c r="J4726" s="7"/>
      <c r="L4726" s="7"/>
      <c r="N4726" s="7"/>
      <c r="P4726" s="7"/>
      <c r="R4726" s="7"/>
      <c r="T4726" s="7"/>
      <c r="V4726" s="7"/>
      <c r="X4726" s="7"/>
    </row>
    <row r="4727" spans="2:24">
      <c r="B4727" s="7"/>
      <c r="D4727" s="7"/>
      <c r="F4727" s="7"/>
      <c r="H4727" s="7"/>
      <c r="J4727" s="7"/>
      <c r="L4727" s="7"/>
      <c r="N4727" s="7"/>
      <c r="P4727" s="7"/>
      <c r="R4727" s="7"/>
      <c r="T4727" s="7"/>
      <c r="V4727" s="7"/>
      <c r="X4727" s="7"/>
    </row>
    <row r="4728" spans="2:24">
      <c r="B4728" s="7"/>
      <c r="D4728" s="7"/>
      <c r="F4728" s="7"/>
      <c r="H4728" s="7"/>
      <c r="J4728" s="7"/>
      <c r="L4728" s="7"/>
      <c r="N4728" s="7"/>
      <c r="P4728" s="7"/>
      <c r="R4728" s="7"/>
      <c r="T4728" s="7"/>
      <c r="V4728" s="7"/>
      <c r="X4728" s="7"/>
    </row>
    <row r="4729" spans="2:24">
      <c r="B4729" s="7"/>
      <c r="D4729" s="7"/>
      <c r="F4729" s="7"/>
      <c r="H4729" s="7"/>
      <c r="J4729" s="7"/>
      <c r="L4729" s="7"/>
      <c r="N4729" s="7"/>
      <c r="P4729" s="7"/>
      <c r="R4729" s="7"/>
      <c r="T4729" s="7"/>
      <c r="V4729" s="7"/>
      <c r="X4729" s="7"/>
    </row>
    <row r="4730" spans="2:24">
      <c r="B4730" s="7"/>
      <c r="D4730" s="7"/>
      <c r="F4730" s="7"/>
      <c r="H4730" s="7"/>
      <c r="J4730" s="7"/>
      <c r="L4730" s="7"/>
      <c r="N4730" s="7"/>
      <c r="P4730" s="7"/>
      <c r="R4730" s="7"/>
      <c r="T4730" s="7"/>
      <c r="V4730" s="7"/>
      <c r="X4730" s="7"/>
    </row>
    <row r="4731" spans="2:24">
      <c r="B4731" s="7"/>
      <c r="D4731" s="7"/>
      <c r="F4731" s="7"/>
      <c r="H4731" s="7"/>
      <c r="J4731" s="7"/>
      <c r="L4731" s="7"/>
      <c r="N4731" s="7"/>
      <c r="P4731" s="7"/>
      <c r="R4731" s="7"/>
      <c r="T4731" s="7"/>
      <c r="V4731" s="7"/>
      <c r="X4731" s="7"/>
    </row>
    <row r="4732" spans="2:24">
      <c r="B4732" s="7"/>
      <c r="D4732" s="7"/>
      <c r="F4732" s="7"/>
      <c r="H4732" s="7"/>
      <c r="J4732" s="7"/>
      <c r="L4732" s="7"/>
      <c r="N4732" s="7"/>
      <c r="P4732" s="7"/>
      <c r="R4732" s="7"/>
      <c r="T4732" s="7"/>
      <c r="V4732" s="7"/>
      <c r="X4732" s="7"/>
    </row>
    <row r="4733" spans="2:24">
      <c r="B4733" s="7"/>
      <c r="D4733" s="7"/>
      <c r="F4733" s="7"/>
      <c r="H4733" s="7"/>
      <c r="J4733" s="7"/>
      <c r="L4733" s="7"/>
      <c r="N4733" s="7"/>
      <c r="P4733" s="7"/>
      <c r="R4733" s="7"/>
      <c r="T4733" s="7"/>
      <c r="V4733" s="7"/>
      <c r="X4733" s="7"/>
    </row>
    <row r="4734" spans="2:24">
      <c r="B4734" s="7"/>
      <c r="D4734" s="7"/>
      <c r="F4734" s="7"/>
      <c r="H4734" s="7"/>
      <c r="J4734" s="7"/>
      <c r="L4734" s="7"/>
      <c r="N4734" s="7"/>
      <c r="P4734" s="7"/>
      <c r="R4734" s="7"/>
      <c r="T4734" s="7"/>
      <c r="V4734" s="7"/>
      <c r="X4734" s="7"/>
    </row>
    <row r="4735" spans="2:24">
      <c r="B4735" s="7"/>
      <c r="D4735" s="7"/>
      <c r="F4735" s="7"/>
      <c r="H4735" s="7"/>
      <c r="J4735" s="7"/>
      <c r="L4735" s="7"/>
      <c r="N4735" s="7"/>
      <c r="P4735" s="7"/>
      <c r="R4735" s="7"/>
      <c r="T4735" s="7"/>
      <c r="V4735" s="7"/>
      <c r="X4735" s="7"/>
    </row>
    <row r="4736" spans="2:24">
      <c r="B4736" s="7"/>
      <c r="D4736" s="7"/>
      <c r="F4736" s="7"/>
      <c r="H4736" s="7"/>
      <c r="J4736" s="7"/>
      <c r="L4736" s="7"/>
      <c r="N4736" s="7"/>
      <c r="P4736" s="7"/>
      <c r="R4736" s="7"/>
      <c r="T4736" s="7"/>
      <c r="V4736" s="7"/>
      <c r="X4736" s="7"/>
    </row>
    <row r="4737" spans="2:24">
      <c r="B4737" s="7"/>
      <c r="D4737" s="7"/>
      <c r="F4737" s="7"/>
      <c r="H4737" s="7"/>
      <c r="J4737" s="7"/>
      <c r="L4737" s="7"/>
      <c r="N4737" s="7"/>
      <c r="P4737" s="7"/>
      <c r="R4737" s="7"/>
      <c r="T4737" s="7"/>
      <c r="V4737" s="7"/>
      <c r="X4737" s="7"/>
    </row>
    <row r="4738" spans="2:24">
      <c r="B4738" s="7"/>
      <c r="D4738" s="7"/>
      <c r="F4738" s="7"/>
      <c r="H4738" s="7"/>
      <c r="J4738" s="7"/>
      <c r="L4738" s="7"/>
      <c r="N4738" s="7"/>
      <c r="P4738" s="7"/>
      <c r="R4738" s="7"/>
      <c r="T4738" s="7"/>
      <c r="V4738" s="7"/>
      <c r="X4738" s="7"/>
    </row>
    <row r="4739" spans="2:24">
      <c r="B4739" s="7"/>
      <c r="D4739" s="7"/>
      <c r="F4739" s="7"/>
      <c r="H4739" s="7"/>
      <c r="J4739" s="7"/>
      <c r="L4739" s="7"/>
      <c r="N4739" s="7"/>
      <c r="P4739" s="7"/>
      <c r="R4739" s="7"/>
      <c r="T4739" s="7"/>
      <c r="V4739" s="7"/>
      <c r="X4739" s="7"/>
    </row>
    <row r="4740" spans="2:24">
      <c r="B4740" s="7"/>
      <c r="D4740" s="7"/>
      <c r="F4740" s="7"/>
      <c r="H4740" s="7"/>
      <c r="J4740" s="7"/>
      <c r="L4740" s="7"/>
      <c r="N4740" s="7"/>
      <c r="P4740" s="7"/>
      <c r="R4740" s="7"/>
      <c r="T4740" s="7"/>
      <c r="V4740" s="7"/>
      <c r="X4740" s="7"/>
    </row>
    <row r="4741" spans="2:24">
      <c r="B4741" s="7"/>
      <c r="D4741" s="7"/>
      <c r="F4741" s="7"/>
      <c r="H4741" s="7"/>
      <c r="J4741" s="7"/>
      <c r="L4741" s="7"/>
      <c r="N4741" s="7"/>
      <c r="P4741" s="7"/>
      <c r="R4741" s="7"/>
      <c r="T4741" s="7"/>
      <c r="V4741" s="7"/>
      <c r="X4741" s="7"/>
    </row>
    <row r="4742" spans="2:24">
      <c r="B4742" s="7"/>
      <c r="D4742" s="7"/>
      <c r="F4742" s="7"/>
      <c r="H4742" s="7"/>
      <c r="J4742" s="7"/>
      <c r="L4742" s="7"/>
      <c r="N4742" s="7"/>
      <c r="P4742" s="7"/>
      <c r="R4742" s="7"/>
      <c r="T4742" s="7"/>
      <c r="V4742" s="7"/>
      <c r="X4742" s="7"/>
    </row>
    <row r="4743" spans="2:24">
      <c r="B4743" s="7"/>
      <c r="D4743" s="7"/>
      <c r="F4743" s="7"/>
      <c r="H4743" s="7"/>
      <c r="J4743" s="7"/>
      <c r="L4743" s="7"/>
      <c r="N4743" s="7"/>
      <c r="P4743" s="7"/>
      <c r="R4743" s="7"/>
      <c r="T4743" s="7"/>
      <c r="V4743" s="7"/>
      <c r="X4743" s="7"/>
    </row>
    <row r="4744" spans="2:24">
      <c r="B4744" s="7"/>
      <c r="D4744" s="7"/>
      <c r="F4744" s="7"/>
      <c r="H4744" s="7"/>
      <c r="J4744" s="7"/>
      <c r="L4744" s="7"/>
      <c r="N4744" s="7"/>
      <c r="P4744" s="7"/>
      <c r="R4744" s="7"/>
      <c r="T4744" s="7"/>
      <c r="V4744" s="7"/>
      <c r="X4744" s="7"/>
    </row>
    <row r="4745" spans="2:24">
      <c r="B4745" s="7"/>
      <c r="D4745" s="7"/>
      <c r="F4745" s="7"/>
      <c r="H4745" s="7"/>
      <c r="J4745" s="7"/>
      <c r="L4745" s="7"/>
      <c r="N4745" s="7"/>
      <c r="P4745" s="7"/>
      <c r="R4745" s="7"/>
      <c r="T4745" s="7"/>
      <c r="V4745" s="7"/>
      <c r="X4745" s="7"/>
    </row>
    <row r="4746" spans="2:24">
      <c r="B4746" s="7"/>
      <c r="D4746" s="7"/>
      <c r="F4746" s="7"/>
      <c r="H4746" s="7"/>
      <c r="J4746" s="7"/>
      <c r="L4746" s="7"/>
      <c r="N4746" s="7"/>
      <c r="P4746" s="7"/>
      <c r="R4746" s="7"/>
      <c r="T4746" s="7"/>
      <c r="V4746" s="7"/>
      <c r="X4746" s="7"/>
    </row>
    <row r="4747" spans="2:24">
      <c r="B4747" s="7"/>
      <c r="D4747" s="7"/>
      <c r="F4747" s="7"/>
      <c r="H4747" s="7"/>
      <c r="J4747" s="7"/>
      <c r="L4747" s="7"/>
      <c r="N4747" s="7"/>
      <c r="P4747" s="7"/>
      <c r="R4747" s="7"/>
      <c r="T4747" s="7"/>
      <c r="V4747" s="7"/>
      <c r="X4747" s="7"/>
    </row>
    <row r="4748" spans="2:24">
      <c r="B4748" s="7"/>
      <c r="D4748" s="7"/>
      <c r="F4748" s="7"/>
      <c r="H4748" s="7"/>
      <c r="J4748" s="7"/>
      <c r="L4748" s="7"/>
      <c r="N4748" s="7"/>
      <c r="P4748" s="7"/>
      <c r="R4748" s="7"/>
      <c r="T4748" s="7"/>
      <c r="V4748" s="7"/>
      <c r="X4748" s="7"/>
    </row>
    <row r="4749" spans="2:24">
      <c r="B4749" s="7"/>
      <c r="D4749" s="7"/>
      <c r="F4749" s="7"/>
      <c r="H4749" s="7"/>
      <c r="J4749" s="7"/>
      <c r="L4749" s="7"/>
      <c r="N4749" s="7"/>
      <c r="P4749" s="7"/>
      <c r="R4749" s="7"/>
      <c r="T4749" s="7"/>
      <c r="V4749" s="7"/>
      <c r="X4749" s="7"/>
    </row>
    <row r="4750" spans="2:24">
      <c r="B4750" s="7"/>
      <c r="D4750" s="7"/>
      <c r="F4750" s="7"/>
      <c r="H4750" s="7"/>
      <c r="J4750" s="7"/>
      <c r="L4750" s="7"/>
      <c r="N4750" s="7"/>
      <c r="P4750" s="7"/>
      <c r="R4750" s="7"/>
      <c r="T4750" s="7"/>
      <c r="V4750" s="7"/>
      <c r="X4750" s="7"/>
    </row>
    <row r="4751" spans="2:24">
      <c r="B4751" s="7"/>
      <c r="D4751" s="7"/>
      <c r="F4751" s="7"/>
      <c r="H4751" s="7"/>
      <c r="J4751" s="7"/>
      <c r="L4751" s="7"/>
      <c r="N4751" s="7"/>
      <c r="P4751" s="7"/>
      <c r="R4751" s="7"/>
      <c r="T4751" s="7"/>
      <c r="V4751" s="7"/>
      <c r="X4751" s="7"/>
    </row>
    <row r="4752" spans="2:24">
      <c r="B4752" s="7"/>
      <c r="D4752" s="7"/>
      <c r="F4752" s="7"/>
      <c r="H4752" s="7"/>
      <c r="J4752" s="7"/>
      <c r="L4752" s="7"/>
      <c r="N4752" s="7"/>
      <c r="P4752" s="7"/>
      <c r="R4752" s="7"/>
      <c r="T4752" s="7"/>
      <c r="V4752" s="7"/>
      <c r="X4752" s="7"/>
    </row>
    <row r="4753" spans="2:24">
      <c r="B4753" s="7"/>
      <c r="D4753" s="7"/>
      <c r="F4753" s="7"/>
      <c r="H4753" s="7"/>
      <c r="J4753" s="7"/>
      <c r="L4753" s="7"/>
      <c r="N4753" s="7"/>
      <c r="P4753" s="7"/>
      <c r="R4753" s="7"/>
      <c r="T4753" s="7"/>
      <c r="V4753" s="7"/>
      <c r="X4753" s="7"/>
    </row>
    <row r="4754" spans="2:24">
      <c r="B4754" s="7"/>
      <c r="D4754" s="7"/>
      <c r="F4754" s="7"/>
      <c r="H4754" s="7"/>
      <c r="J4754" s="7"/>
      <c r="L4754" s="7"/>
      <c r="N4754" s="7"/>
      <c r="P4754" s="7"/>
      <c r="R4754" s="7"/>
      <c r="T4754" s="7"/>
      <c r="V4754" s="7"/>
      <c r="X4754" s="7"/>
    </row>
    <row r="4755" spans="2:24">
      <c r="B4755" s="7"/>
      <c r="D4755" s="7"/>
      <c r="F4755" s="7"/>
      <c r="H4755" s="7"/>
      <c r="J4755" s="7"/>
      <c r="L4755" s="7"/>
      <c r="N4755" s="7"/>
      <c r="P4755" s="7"/>
      <c r="R4755" s="7"/>
      <c r="T4755" s="7"/>
      <c r="V4755" s="7"/>
      <c r="X4755" s="7"/>
    </row>
    <row r="4756" spans="2:24">
      <c r="B4756" s="7"/>
      <c r="D4756" s="7"/>
      <c r="F4756" s="7"/>
      <c r="H4756" s="7"/>
      <c r="J4756" s="7"/>
      <c r="L4756" s="7"/>
      <c r="N4756" s="7"/>
      <c r="P4756" s="7"/>
      <c r="R4756" s="7"/>
      <c r="T4756" s="7"/>
      <c r="V4756" s="7"/>
      <c r="X4756" s="7"/>
    </row>
    <row r="4757" spans="2:24">
      <c r="B4757" s="7"/>
      <c r="D4757" s="7"/>
      <c r="F4757" s="7"/>
      <c r="H4757" s="7"/>
      <c r="J4757" s="7"/>
      <c r="L4757" s="7"/>
      <c r="N4757" s="7"/>
      <c r="P4757" s="7"/>
      <c r="R4757" s="7"/>
      <c r="T4757" s="7"/>
      <c r="V4757" s="7"/>
      <c r="X4757" s="7"/>
    </row>
    <row r="4758" spans="2:24">
      <c r="B4758" s="7"/>
      <c r="D4758" s="7"/>
      <c r="F4758" s="7"/>
      <c r="H4758" s="7"/>
      <c r="J4758" s="7"/>
      <c r="L4758" s="7"/>
      <c r="N4758" s="7"/>
      <c r="P4758" s="7"/>
      <c r="R4758" s="7"/>
      <c r="T4758" s="7"/>
      <c r="V4758" s="7"/>
      <c r="X4758" s="7"/>
    </row>
    <row r="4759" spans="2:24">
      <c r="B4759" s="7"/>
      <c r="D4759" s="7"/>
      <c r="F4759" s="7"/>
      <c r="H4759" s="7"/>
      <c r="J4759" s="7"/>
      <c r="L4759" s="7"/>
      <c r="N4759" s="7"/>
      <c r="P4759" s="7"/>
      <c r="R4759" s="7"/>
      <c r="T4759" s="7"/>
      <c r="V4759" s="7"/>
      <c r="X4759" s="7"/>
    </row>
    <row r="4760" spans="2:24">
      <c r="B4760" s="7"/>
      <c r="D4760" s="7"/>
      <c r="F4760" s="7"/>
      <c r="H4760" s="7"/>
      <c r="J4760" s="7"/>
      <c r="L4760" s="7"/>
      <c r="N4760" s="7"/>
      <c r="P4760" s="7"/>
      <c r="R4760" s="7"/>
      <c r="T4760" s="7"/>
      <c r="V4760" s="7"/>
      <c r="X4760" s="7"/>
    </row>
    <row r="4761" spans="2:24">
      <c r="B4761" s="7"/>
      <c r="D4761" s="7"/>
      <c r="F4761" s="7"/>
      <c r="H4761" s="7"/>
      <c r="J4761" s="7"/>
      <c r="L4761" s="7"/>
      <c r="N4761" s="7"/>
      <c r="P4761" s="7"/>
      <c r="R4761" s="7"/>
      <c r="T4761" s="7"/>
      <c r="V4761" s="7"/>
      <c r="X4761" s="7"/>
    </row>
    <row r="4762" spans="2:24">
      <c r="B4762" s="7"/>
      <c r="D4762" s="7"/>
      <c r="F4762" s="7"/>
      <c r="H4762" s="7"/>
      <c r="J4762" s="7"/>
      <c r="L4762" s="7"/>
      <c r="N4762" s="7"/>
      <c r="P4762" s="7"/>
      <c r="R4762" s="7"/>
      <c r="T4762" s="7"/>
      <c r="V4762" s="7"/>
      <c r="X4762" s="7"/>
    </row>
    <row r="4763" spans="2:24">
      <c r="B4763" s="7"/>
      <c r="D4763" s="7"/>
      <c r="F4763" s="7"/>
      <c r="H4763" s="7"/>
      <c r="J4763" s="7"/>
      <c r="L4763" s="7"/>
      <c r="N4763" s="7"/>
      <c r="P4763" s="7"/>
      <c r="R4763" s="7"/>
      <c r="T4763" s="7"/>
      <c r="V4763" s="7"/>
      <c r="X4763" s="7"/>
    </row>
    <row r="4764" spans="2:24">
      <c r="B4764" s="7"/>
      <c r="D4764" s="7"/>
      <c r="F4764" s="7"/>
      <c r="H4764" s="7"/>
      <c r="J4764" s="7"/>
      <c r="L4764" s="7"/>
      <c r="N4764" s="7"/>
      <c r="P4764" s="7"/>
      <c r="R4764" s="7"/>
      <c r="T4764" s="7"/>
      <c r="V4764" s="7"/>
      <c r="X4764" s="7"/>
    </row>
    <row r="4765" spans="2:24">
      <c r="B4765" s="7"/>
      <c r="D4765" s="7"/>
      <c r="F4765" s="7"/>
      <c r="H4765" s="7"/>
      <c r="J4765" s="7"/>
      <c r="L4765" s="7"/>
      <c r="N4765" s="7"/>
      <c r="P4765" s="7"/>
      <c r="R4765" s="7"/>
      <c r="T4765" s="7"/>
      <c r="V4765" s="7"/>
      <c r="X4765" s="7"/>
    </row>
    <row r="4766" spans="2:24">
      <c r="B4766" s="7"/>
      <c r="D4766" s="7"/>
      <c r="F4766" s="7"/>
      <c r="H4766" s="7"/>
      <c r="J4766" s="7"/>
      <c r="L4766" s="7"/>
      <c r="N4766" s="7"/>
      <c r="P4766" s="7"/>
      <c r="R4766" s="7"/>
      <c r="T4766" s="7"/>
      <c r="V4766" s="7"/>
      <c r="X4766" s="7"/>
    </row>
    <row r="4767" spans="2:24">
      <c r="B4767" s="7"/>
      <c r="D4767" s="7"/>
      <c r="F4767" s="7"/>
      <c r="H4767" s="7"/>
      <c r="J4767" s="7"/>
      <c r="L4767" s="7"/>
      <c r="N4767" s="7"/>
      <c r="P4767" s="7"/>
      <c r="R4767" s="7"/>
      <c r="T4767" s="7"/>
      <c r="V4767" s="7"/>
      <c r="X4767" s="7"/>
    </row>
    <row r="4768" spans="2:24">
      <c r="B4768" s="7"/>
      <c r="D4768" s="7"/>
      <c r="F4768" s="7"/>
      <c r="H4768" s="7"/>
      <c r="J4768" s="7"/>
      <c r="L4768" s="7"/>
      <c r="N4768" s="7"/>
      <c r="P4768" s="7"/>
      <c r="R4768" s="7"/>
      <c r="T4768" s="7"/>
      <c r="V4768" s="7"/>
      <c r="X4768" s="7"/>
    </row>
    <row r="4769" spans="2:24">
      <c r="B4769" s="7"/>
      <c r="D4769" s="7"/>
      <c r="F4769" s="7"/>
      <c r="H4769" s="7"/>
      <c r="J4769" s="7"/>
      <c r="L4769" s="7"/>
      <c r="N4769" s="7"/>
      <c r="P4769" s="7"/>
      <c r="R4769" s="7"/>
      <c r="T4769" s="7"/>
      <c r="V4769" s="7"/>
      <c r="X4769" s="7"/>
    </row>
    <row r="4770" spans="2:24">
      <c r="B4770" s="7"/>
      <c r="D4770" s="7"/>
      <c r="F4770" s="7"/>
      <c r="H4770" s="7"/>
      <c r="J4770" s="7"/>
      <c r="L4770" s="7"/>
      <c r="N4770" s="7"/>
      <c r="P4770" s="7"/>
      <c r="R4770" s="7"/>
      <c r="T4770" s="7"/>
      <c r="V4770" s="7"/>
      <c r="X4770" s="7"/>
    </row>
    <row r="4771" spans="2:24">
      <c r="B4771" s="7"/>
      <c r="D4771" s="7"/>
      <c r="F4771" s="7"/>
      <c r="H4771" s="7"/>
      <c r="J4771" s="7"/>
      <c r="L4771" s="7"/>
      <c r="N4771" s="7"/>
      <c r="P4771" s="7"/>
      <c r="R4771" s="7"/>
      <c r="T4771" s="7"/>
      <c r="V4771" s="7"/>
      <c r="X4771" s="7"/>
    </row>
    <row r="4772" spans="2:24">
      <c r="B4772" s="7"/>
      <c r="D4772" s="7"/>
      <c r="F4772" s="7"/>
      <c r="H4772" s="7"/>
      <c r="J4772" s="7"/>
      <c r="L4772" s="7"/>
      <c r="N4772" s="7"/>
      <c r="P4772" s="7"/>
      <c r="R4772" s="7"/>
      <c r="T4772" s="7"/>
      <c r="V4772" s="7"/>
      <c r="X4772" s="7"/>
    </row>
    <row r="4773" spans="2:24">
      <c r="B4773" s="7"/>
      <c r="D4773" s="7"/>
      <c r="F4773" s="7"/>
      <c r="H4773" s="7"/>
      <c r="J4773" s="7"/>
      <c r="L4773" s="7"/>
      <c r="N4773" s="7"/>
      <c r="P4773" s="7"/>
      <c r="R4773" s="7"/>
      <c r="T4773" s="7"/>
      <c r="V4773" s="7"/>
      <c r="X4773" s="7"/>
    </row>
    <row r="4774" spans="2:24">
      <c r="B4774" s="7"/>
      <c r="D4774" s="7"/>
      <c r="F4774" s="7"/>
      <c r="H4774" s="7"/>
      <c r="J4774" s="7"/>
      <c r="L4774" s="7"/>
      <c r="N4774" s="7"/>
      <c r="P4774" s="7"/>
      <c r="R4774" s="7"/>
      <c r="T4774" s="7"/>
      <c r="V4774" s="7"/>
      <c r="X4774" s="7"/>
    </row>
    <row r="4775" spans="2:24">
      <c r="B4775" s="7"/>
      <c r="D4775" s="7"/>
      <c r="F4775" s="7"/>
      <c r="H4775" s="7"/>
      <c r="J4775" s="7"/>
      <c r="L4775" s="7"/>
      <c r="N4775" s="7"/>
      <c r="P4775" s="7"/>
      <c r="R4775" s="7"/>
      <c r="T4775" s="7"/>
      <c r="V4775" s="7"/>
      <c r="X4775" s="7"/>
    </row>
    <row r="4776" spans="2:24">
      <c r="B4776" s="7"/>
      <c r="D4776" s="7"/>
      <c r="F4776" s="7"/>
      <c r="H4776" s="7"/>
      <c r="J4776" s="7"/>
      <c r="L4776" s="7"/>
      <c r="N4776" s="7"/>
      <c r="P4776" s="7"/>
      <c r="R4776" s="7"/>
      <c r="T4776" s="7"/>
      <c r="V4776" s="7"/>
      <c r="X4776" s="7"/>
    </row>
    <row r="4777" spans="2:24">
      <c r="B4777" s="7"/>
      <c r="D4777" s="7"/>
      <c r="F4777" s="7"/>
      <c r="H4777" s="7"/>
      <c r="J4777" s="7"/>
      <c r="L4777" s="7"/>
      <c r="N4777" s="7"/>
      <c r="P4777" s="7"/>
      <c r="R4777" s="7"/>
      <c r="T4777" s="7"/>
      <c r="V4777" s="7"/>
      <c r="X4777" s="7"/>
    </row>
    <row r="4778" spans="2:24">
      <c r="B4778" s="7"/>
      <c r="D4778" s="7"/>
      <c r="F4778" s="7"/>
      <c r="H4778" s="7"/>
      <c r="J4778" s="7"/>
      <c r="L4778" s="7"/>
      <c r="N4778" s="7"/>
      <c r="P4778" s="7"/>
      <c r="R4778" s="7"/>
      <c r="T4778" s="7"/>
      <c r="V4778" s="7"/>
      <c r="X4778" s="7"/>
    </row>
    <row r="4779" spans="2:24">
      <c r="B4779" s="7"/>
      <c r="D4779" s="7"/>
      <c r="F4779" s="7"/>
      <c r="H4779" s="7"/>
      <c r="J4779" s="7"/>
      <c r="L4779" s="7"/>
      <c r="N4779" s="7"/>
      <c r="P4779" s="7"/>
      <c r="R4779" s="7"/>
      <c r="T4779" s="7"/>
      <c r="V4779" s="7"/>
      <c r="X4779" s="7"/>
    </row>
    <row r="4780" spans="2:24">
      <c r="B4780" s="7"/>
      <c r="D4780" s="7"/>
      <c r="F4780" s="7"/>
      <c r="H4780" s="7"/>
      <c r="J4780" s="7"/>
      <c r="L4780" s="7"/>
      <c r="N4780" s="7"/>
      <c r="P4780" s="7"/>
      <c r="R4780" s="7"/>
      <c r="T4780" s="7"/>
      <c r="V4780" s="7"/>
      <c r="X4780" s="7"/>
    </row>
    <row r="4781" spans="2:24">
      <c r="B4781" s="7"/>
      <c r="D4781" s="7"/>
      <c r="F4781" s="7"/>
      <c r="H4781" s="7"/>
      <c r="J4781" s="7"/>
      <c r="L4781" s="7"/>
      <c r="N4781" s="7"/>
      <c r="P4781" s="7"/>
      <c r="R4781" s="7"/>
      <c r="T4781" s="7"/>
      <c r="V4781" s="7"/>
      <c r="X4781" s="7"/>
    </row>
    <row r="4782" spans="2:24">
      <c r="B4782" s="7"/>
      <c r="D4782" s="7"/>
      <c r="F4782" s="7"/>
      <c r="H4782" s="7"/>
      <c r="J4782" s="7"/>
      <c r="L4782" s="7"/>
      <c r="N4782" s="7"/>
      <c r="P4782" s="7"/>
      <c r="R4782" s="7"/>
      <c r="T4782" s="7"/>
      <c r="V4782" s="7"/>
      <c r="X4782" s="7"/>
    </row>
    <row r="4783" spans="2:24">
      <c r="B4783" s="7"/>
      <c r="D4783" s="7"/>
      <c r="F4783" s="7"/>
      <c r="H4783" s="7"/>
      <c r="J4783" s="7"/>
      <c r="L4783" s="7"/>
      <c r="N4783" s="7"/>
      <c r="P4783" s="7"/>
      <c r="R4783" s="7"/>
      <c r="T4783" s="7"/>
      <c r="V4783" s="7"/>
      <c r="X4783" s="7"/>
    </row>
    <row r="4784" spans="2:24">
      <c r="B4784" s="7"/>
      <c r="D4784" s="7"/>
      <c r="F4784" s="7"/>
      <c r="H4784" s="7"/>
      <c r="J4784" s="7"/>
      <c r="L4784" s="7"/>
      <c r="N4784" s="7"/>
      <c r="P4784" s="7"/>
      <c r="R4784" s="7"/>
      <c r="T4784" s="7"/>
      <c r="V4784" s="7"/>
      <c r="X4784" s="7"/>
    </row>
    <row r="4785" spans="2:24">
      <c r="B4785" s="7"/>
      <c r="D4785" s="7"/>
      <c r="F4785" s="7"/>
      <c r="H4785" s="7"/>
      <c r="J4785" s="7"/>
      <c r="L4785" s="7"/>
      <c r="N4785" s="7"/>
      <c r="P4785" s="7"/>
      <c r="R4785" s="7"/>
      <c r="T4785" s="7"/>
      <c r="V4785" s="7"/>
      <c r="X4785" s="7"/>
    </row>
    <row r="4786" spans="2:24">
      <c r="B4786" s="7"/>
      <c r="D4786" s="7"/>
      <c r="F4786" s="7"/>
      <c r="H4786" s="7"/>
      <c r="J4786" s="7"/>
      <c r="L4786" s="7"/>
      <c r="N4786" s="7"/>
      <c r="P4786" s="7"/>
      <c r="R4786" s="7"/>
      <c r="T4786" s="7"/>
      <c r="V4786" s="7"/>
      <c r="X4786" s="7"/>
    </row>
    <row r="4787" spans="2:24">
      <c r="B4787" s="7"/>
      <c r="D4787" s="7"/>
      <c r="F4787" s="7"/>
      <c r="H4787" s="7"/>
      <c r="J4787" s="7"/>
      <c r="L4787" s="7"/>
      <c r="N4787" s="7"/>
      <c r="P4787" s="7"/>
      <c r="R4787" s="7"/>
      <c r="T4787" s="7"/>
      <c r="V4787" s="7"/>
      <c r="X4787" s="7"/>
    </row>
    <row r="4788" spans="2:24">
      <c r="B4788" s="7"/>
      <c r="D4788" s="7"/>
      <c r="F4788" s="7"/>
      <c r="H4788" s="7"/>
      <c r="J4788" s="7"/>
      <c r="L4788" s="7"/>
      <c r="N4788" s="7"/>
      <c r="P4788" s="7"/>
      <c r="R4788" s="7"/>
      <c r="T4788" s="7"/>
      <c r="V4788" s="7"/>
      <c r="X4788" s="7"/>
    </row>
    <row r="4789" spans="2:24">
      <c r="B4789" s="7"/>
      <c r="D4789" s="7"/>
      <c r="F4789" s="7"/>
      <c r="H4789" s="7"/>
      <c r="J4789" s="7"/>
      <c r="L4789" s="7"/>
      <c r="N4789" s="7"/>
      <c r="P4789" s="7"/>
      <c r="R4789" s="7"/>
      <c r="T4789" s="7"/>
      <c r="V4789" s="7"/>
      <c r="X4789" s="7"/>
    </row>
    <row r="4790" spans="2:24">
      <c r="B4790" s="7"/>
      <c r="D4790" s="7"/>
      <c r="F4790" s="7"/>
      <c r="H4790" s="7"/>
      <c r="J4790" s="7"/>
      <c r="L4790" s="7"/>
      <c r="N4790" s="7"/>
      <c r="P4790" s="7"/>
      <c r="R4790" s="7"/>
      <c r="T4790" s="7"/>
      <c r="V4790" s="7"/>
      <c r="X4790" s="7"/>
    </row>
    <row r="4791" spans="2:24">
      <c r="B4791" s="7"/>
      <c r="D4791" s="7"/>
      <c r="F4791" s="7"/>
      <c r="H4791" s="7"/>
      <c r="J4791" s="7"/>
      <c r="L4791" s="7"/>
      <c r="N4791" s="7"/>
      <c r="P4791" s="7"/>
      <c r="R4791" s="7"/>
      <c r="T4791" s="7"/>
      <c r="V4791" s="7"/>
      <c r="X4791" s="7"/>
    </row>
    <row r="4792" spans="2:24">
      <c r="B4792" s="7"/>
      <c r="D4792" s="7"/>
      <c r="F4792" s="7"/>
      <c r="H4792" s="7"/>
      <c r="J4792" s="7"/>
      <c r="L4792" s="7"/>
      <c r="N4792" s="7"/>
      <c r="P4792" s="7"/>
      <c r="R4792" s="7"/>
      <c r="T4792" s="7"/>
      <c r="V4792" s="7"/>
      <c r="X4792" s="7"/>
    </row>
    <row r="4793" spans="2:24">
      <c r="B4793" s="7"/>
      <c r="D4793" s="7"/>
      <c r="F4793" s="7"/>
      <c r="H4793" s="7"/>
      <c r="J4793" s="7"/>
      <c r="L4793" s="7"/>
      <c r="N4793" s="7"/>
      <c r="P4793" s="7"/>
      <c r="R4793" s="7"/>
      <c r="T4793" s="7"/>
      <c r="V4793" s="7"/>
      <c r="X4793" s="7"/>
    </row>
    <row r="4794" spans="2:24">
      <c r="B4794" s="7"/>
      <c r="D4794" s="7"/>
      <c r="F4794" s="7"/>
      <c r="H4794" s="7"/>
      <c r="J4794" s="7"/>
      <c r="L4794" s="7"/>
      <c r="N4794" s="7"/>
      <c r="P4794" s="7"/>
      <c r="R4794" s="7"/>
      <c r="T4794" s="7"/>
      <c r="V4794" s="7"/>
      <c r="X4794" s="7"/>
    </row>
    <row r="4795" spans="2:24">
      <c r="B4795" s="7"/>
      <c r="D4795" s="7"/>
      <c r="F4795" s="7"/>
      <c r="H4795" s="7"/>
      <c r="J4795" s="7"/>
      <c r="L4795" s="7"/>
      <c r="N4795" s="7"/>
      <c r="P4795" s="7"/>
      <c r="R4795" s="7"/>
      <c r="T4795" s="7"/>
      <c r="V4795" s="7"/>
      <c r="X4795" s="7"/>
    </row>
    <row r="4796" spans="2:24">
      <c r="B4796" s="7"/>
      <c r="D4796" s="7"/>
      <c r="F4796" s="7"/>
      <c r="H4796" s="7"/>
      <c r="J4796" s="7"/>
      <c r="L4796" s="7"/>
      <c r="N4796" s="7"/>
      <c r="P4796" s="7"/>
      <c r="R4796" s="7"/>
      <c r="T4796" s="7"/>
      <c r="V4796" s="7"/>
      <c r="X4796" s="7"/>
    </row>
    <row r="4797" spans="2:24">
      <c r="B4797" s="7"/>
      <c r="D4797" s="7"/>
      <c r="F4797" s="7"/>
      <c r="H4797" s="7"/>
      <c r="J4797" s="7"/>
      <c r="L4797" s="7"/>
      <c r="N4797" s="7"/>
      <c r="P4797" s="7"/>
      <c r="R4797" s="7"/>
      <c r="T4797" s="7"/>
      <c r="V4797" s="7"/>
      <c r="X4797" s="7"/>
    </row>
    <row r="4798" spans="2:24">
      <c r="B4798" s="7"/>
      <c r="D4798" s="7"/>
      <c r="F4798" s="7"/>
      <c r="H4798" s="7"/>
      <c r="J4798" s="7"/>
      <c r="L4798" s="7"/>
      <c r="N4798" s="7"/>
      <c r="P4798" s="7"/>
      <c r="R4798" s="7"/>
      <c r="T4798" s="7"/>
      <c r="V4798" s="7"/>
      <c r="X4798" s="7"/>
    </row>
    <row r="4799" spans="2:24">
      <c r="B4799" s="7"/>
      <c r="D4799" s="7"/>
      <c r="F4799" s="7"/>
      <c r="H4799" s="7"/>
      <c r="J4799" s="7"/>
      <c r="L4799" s="7"/>
      <c r="N4799" s="7"/>
      <c r="P4799" s="7"/>
      <c r="R4799" s="7"/>
      <c r="T4799" s="7"/>
      <c r="V4799" s="7"/>
      <c r="X4799" s="7"/>
    </row>
    <row r="4800" spans="2:24">
      <c r="B4800" s="7"/>
      <c r="D4800" s="7"/>
      <c r="F4800" s="7"/>
      <c r="H4800" s="7"/>
      <c r="J4800" s="7"/>
      <c r="L4800" s="7"/>
      <c r="N4800" s="7"/>
      <c r="P4800" s="7"/>
      <c r="R4800" s="7"/>
      <c r="T4800" s="7"/>
      <c r="V4800" s="7"/>
      <c r="X4800" s="7"/>
    </row>
    <row r="4801" spans="2:24">
      <c r="B4801" s="7"/>
      <c r="D4801" s="7"/>
      <c r="F4801" s="7"/>
      <c r="H4801" s="7"/>
      <c r="J4801" s="7"/>
      <c r="L4801" s="7"/>
      <c r="N4801" s="7"/>
      <c r="P4801" s="7"/>
      <c r="R4801" s="7"/>
      <c r="T4801" s="7"/>
      <c r="V4801" s="7"/>
      <c r="X4801" s="7"/>
    </row>
    <row r="4802" spans="2:24">
      <c r="B4802" s="7"/>
      <c r="D4802" s="7"/>
      <c r="F4802" s="7"/>
      <c r="H4802" s="7"/>
      <c r="J4802" s="7"/>
      <c r="L4802" s="7"/>
      <c r="N4802" s="7"/>
      <c r="P4802" s="7"/>
      <c r="R4802" s="7"/>
      <c r="T4802" s="7"/>
      <c r="V4802" s="7"/>
      <c r="X4802" s="7"/>
    </row>
    <row r="4803" spans="2:24">
      <c r="B4803" s="7"/>
      <c r="D4803" s="7"/>
      <c r="F4803" s="7"/>
      <c r="H4803" s="7"/>
      <c r="J4803" s="7"/>
      <c r="L4803" s="7"/>
      <c r="N4803" s="7"/>
      <c r="P4803" s="7"/>
      <c r="R4803" s="7"/>
      <c r="T4803" s="7"/>
      <c r="V4803" s="7"/>
      <c r="X4803" s="7"/>
    </row>
    <row r="4804" spans="2:24">
      <c r="B4804" s="7"/>
      <c r="D4804" s="7"/>
      <c r="F4804" s="7"/>
      <c r="H4804" s="7"/>
      <c r="J4804" s="7"/>
      <c r="L4804" s="7"/>
      <c r="N4804" s="7"/>
      <c r="P4804" s="7"/>
      <c r="R4804" s="7"/>
      <c r="T4804" s="7"/>
      <c r="V4804" s="7"/>
      <c r="X4804" s="7"/>
    </row>
    <row r="4805" spans="2:24">
      <c r="B4805" s="7"/>
      <c r="D4805" s="7"/>
      <c r="F4805" s="7"/>
      <c r="H4805" s="7"/>
      <c r="J4805" s="7"/>
      <c r="L4805" s="7"/>
      <c r="N4805" s="7"/>
      <c r="P4805" s="7"/>
      <c r="R4805" s="7"/>
      <c r="T4805" s="7"/>
      <c r="V4805" s="7"/>
      <c r="X4805" s="7"/>
    </row>
    <row r="4806" spans="2:24">
      <c r="B4806" s="7"/>
      <c r="D4806" s="7"/>
      <c r="F4806" s="7"/>
      <c r="H4806" s="7"/>
      <c r="J4806" s="7"/>
      <c r="L4806" s="7"/>
      <c r="N4806" s="7"/>
      <c r="P4806" s="7"/>
      <c r="R4806" s="7"/>
      <c r="T4806" s="7"/>
      <c r="V4806" s="7"/>
      <c r="X4806" s="7"/>
    </row>
    <row r="4807" spans="2:24">
      <c r="B4807" s="7"/>
      <c r="D4807" s="7"/>
      <c r="F4807" s="7"/>
      <c r="H4807" s="7"/>
      <c r="J4807" s="7"/>
      <c r="L4807" s="7"/>
      <c r="N4807" s="7"/>
      <c r="P4807" s="7"/>
      <c r="R4807" s="7"/>
      <c r="T4807" s="7"/>
      <c r="V4807" s="7"/>
      <c r="X4807" s="7"/>
    </row>
    <row r="4808" spans="2:24">
      <c r="B4808" s="7"/>
      <c r="D4808" s="7"/>
      <c r="F4808" s="7"/>
      <c r="H4808" s="7"/>
      <c r="J4808" s="7"/>
      <c r="L4808" s="7"/>
      <c r="N4808" s="7"/>
      <c r="P4808" s="7"/>
      <c r="R4808" s="7"/>
      <c r="T4808" s="7"/>
      <c r="V4808" s="7"/>
      <c r="X4808" s="7"/>
    </row>
    <row r="4809" spans="2:24">
      <c r="B4809" s="7"/>
      <c r="D4809" s="7"/>
      <c r="F4809" s="7"/>
      <c r="H4809" s="7"/>
      <c r="J4809" s="7"/>
      <c r="L4809" s="7"/>
      <c r="N4809" s="7"/>
      <c r="P4809" s="7"/>
      <c r="R4809" s="7"/>
      <c r="T4809" s="7"/>
      <c r="V4809" s="7"/>
      <c r="X4809" s="7"/>
    </row>
    <row r="4810" spans="2:24">
      <c r="B4810" s="7"/>
      <c r="D4810" s="7"/>
      <c r="F4810" s="7"/>
      <c r="H4810" s="7"/>
      <c r="J4810" s="7"/>
      <c r="L4810" s="7"/>
      <c r="N4810" s="7"/>
      <c r="P4810" s="7"/>
      <c r="R4810" s="7"/>
      <c r="T4810" s="7"/>
      <c r="V4810" s="7"/>
      <c r="X4810" s="7"/>
    </row>
    <row r="4811" spans="2:24">
      <c r="B4811" s="7"/>
      <c r="D4811" s="7"/>
      <c r="F4811" s="7"/>
      <c r="H4811" s="7"/>
      <c r="J4811" s="7"/>
      <c r="L4811" s="7"/>
      <c r="N4811" s="7"/>
      <c r="P4811" s="7"/>
      <c r="R4811" s="7"/>
      <c r="T4811" s="7"/>
      <c r="V4811" s="7"/>
      <c r="X4811" s="7"/>
    </row>
    <row r="4812" spans="2:24">
      <c r="B4812" s="7"/>
      <c r="D4812" s="7"/>
      <c r="F4812" s="7"/>
      <c r="H4812" s="7"/>
      <c r="J4812" s="7"/>
      <c r="L4812" s="7"/>
      <c r="N4812" s="7"/>
      <c r="P4812" s="7"/>
      <c r="R4812" s="7"/>
      <c r="T4812" s="7"/>
      <c r="V4812" s="7"/>
      <c r="X4812" s="7"/>
    </row>
    <row r="4813" spans="2:24">
      <c r="B4813" s="7"/>
      <c r="D4813" s="7"/>
      <c r="F4813" s="7"/>
      <c r="H4813" s="7"/>
      <c r="J4813" s="7"/>
      <c r="L4813" s="7"/>
      <c r="N4813" s="7"/>
      <c r="P4813" s="7"/>
      <c r="R4813" s="7"/>
      <c r="T4813" s="7"/>
      <c r="V4813" s="7"/>
      <c r="X4813" s="7"/>
    </row>
    <row r="4814" spans="2:24">
      <c r="B4814" s="7"/>
      <c r="D4814" s="7"/>
      <c r="F4814" s="7"/>
      <c r="H4814" s="7"/>
      <c r="J4814" s="7"/>
      <c r="L4814" s="7"/>
      <c r="N4814" s="7"/>
      <c r="P4814" s="7"/>
      <c r="R4814" s="7"/>
      <c r="T4814" s="7"/>
      <c r="V4814" s="7"/>
      <c r="X4814" s="7"/>
    </row>
    <row r="4815" spans="2:24">
      <c r="B4815" s="7"/>
      <c r="D4815" s="7"/>
      <c r="F4815" s="7"/>
      <c r="H4815" s="7"/>
      <c r="J4815" s="7"/>
      <c r="L4815" s="7"/>
      <c r="N4815" s="7"/>
      <c r="P4815" s="7"/>
      <c r="R4815" s="7"/>
      <c r="T4815" s="7"/>
      <c r="V4815" s="7"/>
      <c r="X4815" s="7"/>
    </row>
    <row r="4816" spans="2:24">
      <c r="B4816" s="7"/>
      <c r="D4816" s="7"/>
      <c r="F4816" s="7"/>
      <c r="H4816" s="7"/>
      <c r="J4816" s="7"/>
      <c r="L4816" s="7"/>
      <c r="N4816" s="7"/>
      <c r="P4816" s="7"/>
      <c r="R4816" s="7"/>
      <c r="T4816" s="7"/>
      <c r="V4816" s="7"/>
      <c r="X4816" s="7"/>
    </row>
    <row r="4817" spans="2:24">
      <c r="B4817" s="7"/>
      <c r="D4817" s="7"/>
      <c r="F4817" s="7"/>
      <c r="H4817" s="7"/>
      <c r="J4817" s="7"/>
      <c r="L4817" s="7"/>
      <c r="N4817" s="7"/>
      <c r="P4817" s="7"/>
      <c r="R4817" s="7"/>
      <c r="T4817" s="7"/>
      <c r="V4817" s="7"/>
      <c r="X4817" s="7"/>
    </row>
    <row r="4818" spans="2:24">
      <c r="B4818" s="7"/>
      <c r="D4818" s="7"/>
      <c r="F4818" s="7"/>
      <c r="H4818" s="7"/>
      <c r="J4818" s="7"/>
      <c r="L4818" s="7"/>
      <c r="N4818" s="7"/>
      <c r="P4818" s="7"/>
      <c r="R4818" s="7"/>
      <c r="T4818" s="7"/>
      <c r="V4818" s="7"/>
      <c r="X4818" s="7"/>
    </row>
    <row r="4819" spans="2:24">
      <c r="B4819" s="7"/>
      <c r="D4819" s="7"/>
      <c r="F4819" s="7"/>
      <c r="H4819" s="7"/>
      <c r="J4819" s="7"/>
      <c r="L4819" s="7"/>
      <c r="N4819" s="7"/>
      <c r="P4819" s="7"/>
      <c r="R4819" s="7"/>
      <c r="T4819" s="7"/>
      <c r="V4819" s="7"/>
      <c r="X4819" s="7"/>
    </row>
    <row r="4820" spans="2:24">
      <c r="B4820" s="7"/>
      <c r="D4820" s="7"/>
      <c r="F4820" s="7"/>
      <c r="H4820" s="7"/>
      <c r="J4820" s="7"/>
      <c r="L4820" s="7"/>
      <c r="N4820" s="7"/>
      <c r="P4820" s="7"/>
      <c r="R4820" s="7"/>
      <c r="T4820" s="7"/>
      <c r="V4820" s="7"/>
      <c r="X4820" s="7"/>
    </row>
    <row r="4821" spans="2:24">
      <c r="B4821" s="7"/>
      <c r="D4821" s="7"/>
      <c r="F4821" s="7"/>
      <c r="H4821" s="7"/>
      <c r="J4821" s="7"/>
      <c r="L4821" s="7"/>
      <c r="N4821" s="7"/>
      <c r="P4821" s="7"/>
      <c r="R4821" s="7"/>
      <c r="T4821" s="7"/>
      <c r="V4821" s="7"/>
      <c r="X4821" s="7"/>
    </row>
    <row r="4822" spans="2:24">
      <c r="B4822" s="7"/>
      <c r="D4822" s="7"/>
      <c r="F4822" s="7"/>
      <c r="H4822" s="7"/>
      <c r="J4822" s="7"/>
      <c r="L4822" s="7"/>
      <c r="N4822" s="7"/>
      <c r="P4822" s="7"/>
      <c r="R4822" s="7"/>
      <c r="T4822" s="7"/>
      <c r="V4822" s="7"/>
      <c r="X4822" s="7"/>
    </row>
    <row r="4823" spans="2:24">
      <c r="B4823" s="7"/>
      <c r="D4823" s="7"/>
      <c r="F4823" s="7"/>
      <c r="H4823" s="7"/>
      <c r="J4823" s="7"/>
      <c r="L4823" s="7"/>
      <c r="N4823" s="7"/>
      <c r="P4823" s="7"/>
      <c r="R4823" s="7"/>
      <c r="T4823" s="7"/>
      <c r="V4823" s="7"/>
      <c r="X4823" s="7"/>
    </row>
    <row r="4824" spans="2:24">
      <c r="B4824" s="7"/>
      <c r="D4824" s="7"/>
      <c r="F4824" s="7"/>
      <c r="H4824" s="7"/>
      <c r="J4824" s="7"/>
      <c r="L4824" s="7"/>
      <c r="N4824" s="7"/>
      <c r="P4824" s="7"/>
      <c r="R4824" s="7"/>
      <c r="T4824" s="7"/>
      <c r="V4824" s="7"/>
      <c r="X4824" s="7"/>
    </row>
    <row r="4825" spans="2:24">
      <c r="B4825" s="7"/>
      <c r="D4825" s="7"/>
      <c r="F4825" s="7"/>
      <c r="H4825" s="7"/>
      <c r="J4825" s="7"/>
      <c r="L4825" s="7"/>
      <c r="N4825" s="7"/>
      <c r="P4825" s="7"/>
      <c r="R4825" s="7"/>
      <c r="T4825" s="7"/>
      <c r="V4825" s="7"/>
      <c r="X4825" s="7"/>
    </row>
    <row r="4826" spans="2:24">
      <c r="B4826" s="7"/>
      <c r="D4826" s="7"/>
      <c r="F4826" s="7"/>
      <c r="H4826" s="7"/>
      <c r="J4826" s="7"/>
      <c r="L4826" s="7"/>
      <c r="N4826" s="7"/>
      <c r="P4826" s="7"/>
      <c r="R4826" s="7"/>
      <c r="T4826" s="7"/>
      <c r="V4826" s="7"/>
      <c r="X4826" s="7"/>
    </row>
    <row r="4827" spans="2:24">
      <c r="B4827" s="7"/>
      <c r="D4827" s="7"/>
      <c r="F4827" s="7"/>
      <c r="H4827" s="7"/>
      <c r="J4827" s="7"/>
      <c r="L4827" s="7"/>
      <c r="N4827" s="7"/>
      <c r="P4827" s="7"/>
      <c r="R4827" s="7"/>
      <c r="T4827" s="7"/>
      <c r="V4827" s="7"/>
      <c r="X4827" s="7"/>
    </row>
    <row r="4828" spans="2:24">
      <c r="B4828" s="7"/>
      <c r="D4828" s="7"/>
      <c r="F4828" s="7"/>
      <c r="H4828" s="7"/>
      <c r="J4828" s="7"/>
      <c r="L4828" s="7"/>
      <c r="N4828" s="7"/>
      <c r="P4828" s="7"/>
      <c r="R4828" s="7"/>
      <c r="T4828" s="7"/>
      <c r="V4828" s="7"/>
      <c r="X4828" s="7"/>
    </row>
    <row r="4829" spans="2:24">
      <c r="B4829" s="7"/>
      <c r="D4829" s="7"/>
      <c r="F4829" s="7"/>
      <c r="H4829" s="7"/>
      <c r="J4829" s="7"/>
      <c r="L4829" s="7"/>
      <c r="N4829" s="7"/>
      <c r="P4829" s="7"/>
      <c r="R4829" s="7"/>
      <c r="T4829" s="7"/>
      <c r="V4829" s="7"/>
      <c r="X4829" s="7"/>
    </row>
    <row r="4830" spans="2:24">
      <c r="B4830" s="7"/>
      <c r="D4830" s="7"/>
      <c r="F4830" s="7"/>
      <c r="H4830" s="7"/>
      <c r="J4830" s="7"/>
      <c r="L4830" s="7"/>
      <c r="N4830" s="7"/>
      <c r="P4830" s="7"/>
      <c r="R4830" s="7"/>
      <c r="T4830" s="7"/>
      <c r="V4830" s="7"/>
      <c r="X4830" s="7"/>
    </row>
    <row r="4831" spans="2:24">
      <c r="B4831" s="7"/>
      <c r="D4831" s="7"/>
      <c r="F4831" s="7"/>
      <c r="H4831" s="7"/>
      <c r="J4831" s="7"/>
      <c r="L4831" s="7"/>
      <c r="N4831" s="7"/>
      <c r="P4831" s="7"/>
      <c r="R4831" s="7"/>
      <c r="T4831" s="7"/>
      <c r="V4831" s="7"/>
      <c r="X4831" s="7"/>
    </row>
    <row r="4832" spans="2:24">
      <c r="B4832" s="7"/>
      <c r="D4832" s="7"/>
      <c r="F4832" s="7"/>
      <c r="H4832" s="7"/>
      <c r="J4832" s="7"/>
      <c r="L4832" s="7"/>
      <c r="N4832" s="7"/>
      <c r="P4832" s="7"/>
      <c r="R4832" s="7"/>
      <c r="T4832" s="7"/>
      <c r="V4832" s="7"/>
      <c r="X4832" s="7"/>
    </row>
    <row r="4833" spans="2:24">
      <c r="B4833" s="7"/>
      <c r="D4833" s="7"/>
      <c r="F4833" s="7"/>
      <c r="H4833" s="7"/>
      <c r="J4833" s="7"/>
      <c r="L4833" s="7"/>
      <c r="N4833" s="7"/>
      <c r="P4833" s="7"/>
      <c r="R4833" s="7"/>
      <c r="T4833" s="7"/>
      <c r="V4833" s="7"/>
      <c r="X4833" s="7"/>
    </row>
    <row r="4834" spans="2:24">
      <c r="B4834" s="7"/>
      <c r="D4834" s="7"/>
      <c r="F4834" s="7"/>
      <c r="H4834" s="7"/>
      <c r="J4834" s="7"/>
      <c r="L4834" s="7"/>
      <c r="N4834" s="7"/>
      <c r="P4834" s="7"/>
      <c r="R4834" s="7"/>
      <c r="T4834" s="7"/>
      <c r="V4834" s="7"/>
      <c r="X4834" s="7"/>
    </row>
    <row r="4835" spans="2:24">
      <c r="B4835" s="7"/>
      <c r="D4835" s="7"/>
      <c r="F4835" s="7"/>
      <c r="H4835" s="7"/>
      <c r="J4835" s="7"/>
      <c r="L4835" s="7"/>
      <c r="N4835" s="7"/>
      <c r="P4835" s="7"/>
      <c r="R4835" s="7"/>
      <c r="T4835" s="7"/>
      <c r="V4835" s="7"/>
      <c r="X4835" s="7"/>
    </row>
    <row r="4836" spans="2:24">
      <c r="B4836" s="7"/>
      <c r="D4836" s="7"/>
      <c r="F4836" s="7"/>
      <c r="H4836" s="7"/>
      <c r="J4836" s="7"/>
      <c r="L4836" s="7"/>
      <c r="N4836" s="7"/>
      <c r="P4836" s="7"/>
      <c r="R4836" s="7"/>
      <c r="T4836" s="7"/>
      <c r="V4836" s="7"/>
      <c r="X4836" s="7"/>
    </row>
    <row r="4837" spans="2:24">
      <c r="B4837" s="7"/>
      <c r="D4837" s="7"/>
      <c r="F4837" s="7"/>
      <c r="H4837" s="7"/>
      <c r="J4837" s="7"/>
      <c r="L4837" s="7"/>
      <c r="N4837" s="7"/>
      <c r="P4837" s="7"/>
      <c r="R4837" s="7"/>
      <c r="T4837" s="7"/>
      <c r="V4837" s="7"/>
      <c r="X4837" s="7"/>
    </row>
    <row r="4838" spans="2:24">
      <c r="B4838" s="7"/>
      <c r="D4838" s="7"/>
      <c r="F4838" s="7"/>
      <c r="H4838" s="7"/>
      <c r="J4838" s="7"/>
      <c r="L4838" s="7"/>
      <c r="N4838" s="7"/>
      <c r="P4838" s="7"/>
      <c r="R4838" s="7"/>
      <c r="T4838" s="7"/>
      <c r="V4838" s="7"/>
      <c r="X4838" s="7"/>
    </row>
    <row r="4839" spans="2:24">
      <c r="B4839" s="7"/>
      <c r="D4839" s="7"/>
      <c r="F4839" s="7"/>
      <c r="H4839" s="7"/>
      <c r="J4839" s="7"/>
      <c r="L4839" s="7"/>
      <c r="N4839" s="7"/>
      <c r="P4839" s="7"/>
      <c r="R4839" s="7"/>
      <c r="T4839" s="7"/>
      <c r="V4839" s="7"/>
      <c r="X4839" s="7"/>
    </row>
    <row r="4840" spans="2:24">
      <c r="B4840" s="7"/>
      <c r="D4840" s="7"/>
      <c r="F4840" s="7"/>
      <c r="H4840" s="7"/>
      <c r="J4840" s="7"/>
      <c r="L4840" s="7"/>
      <c r="N4840" s="7"/>
      <c r="P4840" s="7"/>
      <c r="R4840" s="7"/>
      <c r="T4840" s="7"/>
      <c r="V4840" s="7"/>
      <c r="X4840" s="7"/>
    </row>
    <row r="4841" spans="2:24">
      <c r="B4841" s="7"/>
      <c r="D4841" s="7"/>
      <c r="F4841" s="7"/>
      <c r="H4841" s="7"/>
      <c r="J4841" s="7"/>
      <c r="L4841" s="7"/>
      <c r="N4841" s="7"/>
      <c r="P4841" s="7"/>
      <c r="R4841" s="7"/>
      <c r="T4841" s="7"/>
      <c r="V4841" s="7"/>
      <c r="X4841" s="7"/>
    </row>
    <row r="4842" spans="2:24">
      <c r="B4842" s="7"/>
      <c r="D4842" s="7"/>
      <c r="F4842" s="7"/>
      <c r="H4842" s="7"/>
      <c r="J4842" s="7"/>
      <c r="L4842" s="7"/>
      <c r="N4842" s="7"/>
      <c r="P4842" s="7"/>
      <c r="R4842" s="7"/>
      <c r="T4842" s="7"/>
      <c r="V4842" s="7"/>
      <c r="X4842" s="7"/>
    </row>
    <row r="4843" spans="2:24">
      <c r="B4843" s="7"/>
      <c r="D4843" s="7"/>
      <c r="F4843" s="7"/>
      <c r="H4843" s="7"/>
      <c r="J4843" s="7"/>
      <c r="L4843" s="7"/>
      <c r="N4843" s="7"/>
      <c r="P4843" s="7"/>
      <c r="R4843" s="7"/>
      <c r="T4843" s="7"/>
      <c r="V4843" s="7"/>
      <c r="X4843" s="7"/>
    </row>
    <row r="4844" spans="2:24">
      <c r="B4844" s="7"/>
      <c r="D4844" s="7"/>
      <c r="F4844" s="7"/>
      <c r="H4844" s="7"/>
      <c r="J4844" s="7"/>
      <c r="L4844" s="7"/>
      <c r="N4844" s="7"/>
      <c r="P4844" s="7"/>
      <c r="R4844" s="7"/>
      <c r="T4844" s="7"/>
      <c r="V4844" s="7"/>
      <c r="X4844" s="7"/>
    </row>
    <row r="4845" spans="2:24">
      <c r="B4845" s="7"/>
      <c r="D4845" s="7"/>
      <c r="F4845" s="7"/>
      <c r="H4845" s="7"/>
      <c r="J4845" s="7"/>
      <c r="L4845" s="7"/>
      <c r="N4845" s="7"/>
      <c r="P4845" s="7"/>
      <c r="R4845" s="7"/>
      <c r="T4845" s="7"/>
      <c r="V4845" s="7"/>
      <c r="X4845" s="7"/>
    </row>
    <row r="4846" spans="2:24">
      <c r="B4846" s="7"/>
      <c r="D4846" s="7"/>
      <c r="F4846" s="7"/>
      <c r="H4846" s="7"/>
      <c r="J4846" s="7"/>
      <c r="L4846" s="7"/>
      <c r="N4846" s="7"/>
      <c r="P4846" s="7"/>
      <c r="R4846" s="7"/>
      <c r="T4846" s="7"/>
      <c r="V4846" s="7"/>
      <c r="X4846" s="7"/>
    </row>
    <row r="4847" spans="2:24">
      <c r="B4847" s="7"/>
      <c r="D4847" s="7"/>
      <c r="F4847" s="7"/>
      <c r="H4847" s="7"/>
      <c r="J4847" s="7"/>
      <c r="L4847" s="7"/>
      <c r="N4847" s="7"/>
      <c r="P4847" s="7"/>
      <c r="R4847" s="7"/>
      <c r="T4847" s="7"/>
      <c r="V4847" s="7"/>
      <c r="X4847" s="7"/>
    </row>
    <row r="4848" spans="2:24">
      <c r="B4848" s="7"/>
      <c r="D4848" s="7"/>
      <c r="F4848" s="7"/>
      <c r="H4848" s="7"/>
      <c r="J4848" s="7"/>
      <c r="L4848" s="7"/>
      <c r="N4848" s="7"/>
      <c r="P4848" s="7"/>
      <c r="R4848" s="7"/>
      <c r="T4848" s="7"/>
      <c r="V4848" s="7"/>
      <c r="X4848" s="7"/>
    </row>
    <row r="4849" spans="2:24">
      <c r="B4849" s="7"/>
      <c r="D4849" s="7"/>
      <c r="F4849" s="7"/>
      <c r="H4849" s="7"/>
      <c r="J4849" s="7"/>
      <c r="L4849" s="7"/>
      <c r="N4849" s="7"/>
      <c r="P4849" s="7"/>
      <c r="R4849" s="7"/>
      <c r="T4849" s="7"/>
      <c r="V4849" s="7"/>
      <c r="X4849" s="7"/>
    </row>
    <row r="4850" spans="2:24">
      <c r="B4850" s="7"/>
      <c r="D4850" s="7"/>
      <c r="F4850" s="7"/>
      <c r="H4850" s="7"/>
      <c r="J4850" s="7"/>
      <c r="L4850" s="7"/>
      <c r="N4850" s="7"/>
      <c r="P4850" s="7"/>
      <c r="R4850" s="7"/>
      <c r="T4850" s="7"/>
      <c r="V4850" s="7"/>
      <c r="X4850" s="7"/>
    </row>
    <row r="4851" spans="2:24">
      <c r="B4851" s="7"/>
      <c r="D4851" s="7"/>
      <c r="F4851" s="7"/>
      <c r="H4851" s="7"/>
      <c r="J4851" s="7"/>
      <c r="L4851" s="7"/>
      <c r="N4851" s="7"/>
      <c r="P4851" s="7"/>
      <c r="R4851" s="7"/>
      <c r="T4851" s="7"/>
      <c r="V4851" s="7"/>
      <c r="X4851" s="7"/>
    </row>
    <row r="4852" spans="2:24">
      <c r="B4852" s="7"/>
      <c r="D4852" s="7"/>
      <c r="F4852" s="7"/>
      <c r="H4852" s="7"/>
      <c r="J4852" s="7"/>
      <c r="L4852" s="7"/>
      <c r="N4852" s="7"/>
      <c r="P4852" s="7"/>
      <c r="R4852" s="7"/>
      <c r="T4852" s="7"/>
      <c r="V4852" s="7"/>
      <c r="X4852" s="7"/>
    </row>
    <row r="4853" spans="2:24">
      <c r="B4853" s="7"/>
      <c r="D4853" s="7"/>
      <c r="F4853" s="7"/>
      <c r="H4853" s="7"/>
      <c r="J4853" s="7"/>
      <c r="L4853" s="7"/>
      <c r="N4853" s="7"/>
      <c r="P4853" s="7"/>
      <c r="R4853" s="7"/>
      <c r="T4853" s="7"/>
      <c r="V4853" s="7"/>
      <c r="X4853" s="7"/>
    </row>
    <row r="4854" spans="2:24">
      <c r="B4854" s="7"/>
      <c r="D4854" s="7"/>
      <c r="F4854" s="7"/>
      <c r="H4854" s="7"/>
      <c r="J4854" s="7"/>
      <c r="L4854" s="7"/>
      <c r="N4854" s="7"/>
      <c r="P4854" s="7"/>
      <c r="R4854" s="7"/>
      <c r="T4854" s="7"/>
      <c r="V4854" s="7"/>
      <c r="X4854" s="7"/>
    </row>
    <row r="4855" spans="2:24">
      <c r="B4855" s="7"/>
      <c r="D4855" s="7"/>
      <c r="F4855" s="7"/>
      <c r="H4855" s="7"/>
      <c r="J4855" s="7"/>
      <c r="L4855" s="7"/>
      <c r="N4855" s="7"/>
      <c r="P4855" s="7"/>
      <c r="R4855" s="7"/>
      <c r="T4855" s="7"/>
      <c r="V4855" s="7"/>
      <c r="X4855" s="7"/>
    </row>
    <row r="4856" spans="2:24">
      <c r="B4856" s="7"/>
      <c r="D4856" s="7"/>
      <c r="F4856" s="7"/>
      <c r="H4856" s="7"/>
      <c r="J4856" s="7"/>
      <c r="L4856" s="7"/>
      <c r="N4856" s="7"/>
      <c r="P4856" s="7"/>
      <c r="R4856" s="7"/>
      <c r="T4856" s="7"/>
      <c r="V4856" s="7"/>
      <c r="X4856" s="7"/>
    </row>
    <row r="4857" spans="2:24">
      <c r="B4857" s="7"/>
      <c r="D4857" s="7"/>
      <c r="F4857" s="7"/>
      <c r="H4857" s="7"/>
      <c r="J4857" s="7"/>
      <c r="L4857" s="7"/>
      <c r="N4857" s="7"/>
      <c r="P4857" s="7"/>
      <c r="R4857" s="7"/>
      <c r="T4857" s="7"/>
      <c r="V4857" s="7"/>
      <c r="X4857" s="7"/>
    </row>
    <row r="4858" spans="2:24">
      <c r="B4858" s="7"/>
      <c r="D4858" s="7"/>
      <c r="F4858" s="7"/>
      <c r="H4858" s="7"/>
      <c r="J4858" s="7"/>
      <c r="L4858" s="7"/>
      <c r="N4858" s="7"/>
      <c r="P4858" s="7"/>
      <c r="R4858" s="7"/>
      <c r="T4858" s="7"/>
      <c r="V4858" s="7"/>
      <c r="X4858" s="7"/>
    </row>
    <row r="4859" spans="2:24">
      <c r="B4859" s="7"/>
      <c r="D4859" s="7"/>
      <c r="F4859" s="7"/>
      <c r="H4859" s="7"/>
      <c r="J4859" s="7"/>
      <c r="L4859" s="7"/>
      <c r="N4859" s="7"/>
      <c r="P4859" s="7"/>
      <c r="R4859" s="7"/>
      <c r="T4859" s="7"/>
      <c r="V4859" s="7"/>
      <c r="X4859" s="7"/>
    </row>
    <row r="4860" spans="2:24">
      <c r="B4860" s="7"/>
      <c r="D4860" s="7"/>
      <c r="F4860" s="7"/>
      <c r="H4860" s="7"/>
      <c r="J4860" s="7"/>
      <c r="L4860" s="7"/>
      <c r="N4860" s="7"/>
      <c r="P4860" s="7"/>
      <c r="R4860" s="7"/>
      <c r="T4860" s="7"/>
      <c r="V4860" s="7"/>
      <c r="X4860" s="7"/>
    </row>
    <row r="4861" spans="2:24">
      <c r="B4861" s="7"/>
      <c r="D4861" s="7"/>
      <c r="F4861" s="7"/>
      <c r="H4861" s="7"/>
      <c r="J4861" s="7"/>
      <c r="L4861" s="7"/>
      <c r="N4861" s="7"/>
      <c r="P4861" s="7"/>
      <c r="R4861" s="7"/>
      <c r="T4861" s="7"/>
      <c r="V4861" s="7"/>
      <c r="X4861" s="7"/>
    </row>
    <row r="4862" spans="2:24">
      <c r="B4862" s="7"/>
      <c r="D4862" s="7"/>
      <c r="F4862" s="7"/>
      <c r="H4862" s="7"/>
      <c r="J4862" s="7"/>
      <c r="L4862" s="7"/>
      <c r="N4862" s="7"/>
      <c r="P4862" s="7"/>
      <c r="R4862" s="7"/>
      <c r="T4862" s="7"/>
      <c r="V4862" s="7"/>
      <c r="X4862" s="7"/>
    </row>
    <row r="4863" spans="2:24">
      <c r="B4863" s="7"/>
      <c r="D4863" s="7"/>
      <c r="F4863" s="7"/>
      <c r="H4863" s="7"/>
      <c r="J4863" s="7"/>
      <c r="L4863" s="7"/>
      <c r="N4863" s="7"/>
      <c r="P4863" s="7"/>
      <c r="R4863" s="7"/>
      <c r="T4863" s="7"/>
      <c r="V4863" s="7"/>
      <c r="X4863" s="7"/>
    </row>
    <row r="4864" spans="2:24">
      <c r="B4864" s="7"/>
      <c r="D4864" s="7"/>
      <c r="F4864" s="7"/>
      <c r="H4864" s="7"/>
      <c r="J4864" s="7"/>
      <c r="L4864" s="7"/>
      <c r="N4864" s="7"/>
      <c r="P4864" s="7"/>
      <c r="R4864" s="7"/>
      <c r="T4864" s="7"/>
      <c r="V4864" s="7"/>
      <c r="X4864" s="7"/>
    </row>
    <row r="4865" spans="2:24">
      <c r="B4865" s="7"/>
      <c r="D4865" s="7"/>
      <c r="F4865" s="7"/>
      <c r="H4865" s="7"/>
      <c r="J4865" s="7"/>
      <c r="L4865" s="7"/>
      <c r="N4865" s="7"/>
      <c r="P4865" s="7"/>
      <c r="R4865" s="7"/>
      <c r="T4865" s="7"/>
      <c r="V4865" s="7"/>
      <c r="X4865" s="7"/>
    </row>
    <row r="4866" spans="2:24">
      <c r="B4866" s="7"/>
      <c r="D4866" s="7"/>
      <c r="F4866" s="7"/>
      <c r="H4866" s="7"/>
      <c r="J4866" s="7"/>
      <c r="L4866" s="7"/>
      <c r="N4866" s="7"/>
      <c r="P4866" s="7"/>
      <c r="R4866" s="7"/>
      <c r="T4866" s="7"/>
      <c r="V4866" s="7"/>
      <c r="X4866" s="7"/>
    </row>
    <row r="4867" spans="2:24">
      <c r="B4867" s="7"/>
      <c r="D4867" s="7"/>
      <c r="F4867" s="7"/>
      <c r="H4867" s="7"/>
      <c r="J4867" s="7"/>
      <c r="L4867" s="7"/>
      <c r="N4867" s="7"/>
      <c r="P4867" s="7"/>
      <c r="R4867" s="7"/>
      <c r="T4867" s="7"/>
      <c r="V4867" s="7"/>
      <c r="X4867" s="7"/>
    </row>
    <row r="4868" spans="2:24">
      <c r="B4868" s="7"/>
      <c r="D4868" s="7"/>
      <c r="F4868" s="7"/>
      <c r="H4868" s="7"/>
      <c r="J4868" s="7"/>
      <c r="L4868" s="7"/>
      <c r="N4868" s="7"/>
      <c r="P4868" s="7"/>
      <c r="R4868" s="7"/>
      <c r="T4868" s="7"/>
      <c r="V4868" s="7"/>
      <c r="X4868" s="7"/>
    </row>
    <row r="4869" spans="2:24">
      <c r="B4869" s="7"/>
      <c r="D4869" s="7"/>
      <c r="F4869" s="7"/>
      <c r="H4869" s="7"/>
      <c r="J4869" s="7"/>
      <c r="L4869" s="7"/>
      <c r="N4869" s="7"/>
      <c r="P4869" s="7"/>
      <c r="R4869" s="7"/>
      <c r="T4869" s="7"/>
      <c r="V4869" s="7"/>
      <c r="X4869" s="7"/>
    </row>
    <row r="4870" spans="2:24">
      <c r="B4870" s="7"/>
      <c r="D4870" s="7"/>
      <c r="F4870" s="7"/>
      <c r="H4870" s="7"/>
      <c r="J4870" s="7"/>
      <c r="L4870" s="7"/>
      <c r="N4870" s="7"/>
      <c r="P4870" s="7"/>
      <c r="R4870" s="7"/>
      <c r="T4870" s="7"/>
      <c r="V4870" s="7"/>
      <c r="X4870" s="7"/>
    </row>
    <row r="4871" spans="2:24">
      <c r="B4871" s="7"/>
      <c r="D4871" s="7"/>
      <c r="F4871" s="7"/>
      <c r="H4871" s="7"/>
      <c r="J4871" s="7"/>
      <c r="L4871" s="7"/>
      <c r="N4871" s="7"/>
      <c r="P4871" s="7"/>
      <c r="R4871" s="7"/>
      <c r="T4871" s="7"/>
      <c r="V4871" s="7"/>
      <c r="X4871" s="7"/>
    </row>
    <row r="4872" spans="2:24">
      <c r="B4872" s="7"/>
      <c r="D4872" s="7"/>
      <c r="F4872" s="7"/>
      <c r="H4872" s="7"/>
      <c r="J4872" s="7"/>
      <c r="L4872" s="7"/>
      <c r="N4872" s="7"/>
      <c r="P4872" s="7"/>
      <c r="R4872" s="7"/>
      <c r="T4872" s="7"/>
      <c r="V4872" s="7"/>
      <c r="X4872" s="7"/>
    </row>
    <row r="4873" spans="2:24">
      <c r="B4873" s="7"/>
      <c r="D4873" s="7"/>
      <c r="F4873" s="7"/>
      <c r="H4873" s="7"/>
      <c r="J4873" s="7"/>
      <c r="L4873" s="7"/>
      <c r="N4873" s="7"/>
      <c r="P4873" s="7"/>
      <c r="R4873" s="7"/>
      <c r="T4873" s="7"/>
      <c r="V4873" s="7"/>
      <c r="X4873" s="7"/>
    </row>
    <row r="4874" spans="2:24">
      <c r="B4874" s="7"/>
      <c r="D4874" s="7"/>
      <c r="F4874" s="7"/>
      <c r="H4874" s="7"/>
      <c r="J4874" s="7"/>
      <c r="L4874" s="7"/>
      <c r="N4874" s="7"/>
      <c r="P4874" s="7"/>
      <c r="R4874" s="7"/>
      <c r="T4874" s="7"/>
      <c r="V4874" s="7"/>
      <c r="X4874" s="7"/>
    </row>
    <row r="4875" spans="2:24">
      <c r="B4875" s="7"/>
      <c r="D4875" s="7"/>
      <c r="F4875" s="7"/>
      <c r="H4875" s="7"/>
      <c r="J4875" s="7"/>
      <c r="L4875" s="7"/>
      <c r="N4875" s="7"/>
      <c r="P4875" s="7"/>
      <c r="R4875" s="7"/>
      <c r="T4875" s="7"/>
      <c r="V4875" s="7"/>
      <c r="X4875" s="7"/>
    </row>
    <row r="4876" spans="2:24">
      <c r="B4876" s="7"/>
      <c r="D4876" s="7"/>
      <c r="F4876" s="7"/>
      <c r="H4876" s="7"/>
      <c r="J4876" s="7"/>
      <c r="L4876" s="7"/>
      <c r="N4876" s="7"/>
      <c r="P4876" s="7"/>
      <c r="R4876" s="7"/>
      <c r="T4876" s="7"/>
      <c r="V4876" s="7"/>
      <c r="X4876" s="7"/>
    </row>
    <row r="4877" spans="2:24">
      <c r="B4877" s="7"/>
      <c r="D4877" s="7"/>
      <c r="F4877" s="7"/>
      <c r="H4877" s="7"/>
      <c r="J4877" s="7"/>
      <c r="L4877" s="7"/>
      <c r="N4877" s="7"/>
      <c r="P4877" s="7"/>
      <c r="R4877" s="7"/>
      <c r="T4877" s="7"/>
      <c r="V4877" s="7"/>
      <c r="X4877" s="7"/>
    </row>
    <row r="4878" spans="2:24">
      <c r="B4878" s="7"/>
      <c r="D4878" s="7"/>
      <c r="F4878" s="7"/>
      <c r="H4878" s="7"/>
      <c r="J4878" s="7"/>
      <c r="L4878" s="7"/>
      <c r="N4878" s="7"/>
      <c r="P4878" s="7"/>
      <c r="R4878" s="7"/>
      <c r="T4878" s="7"/>
      <c r="V4878" s="7"/>
      <c r="X4878" s="7"/>
    </row>
    <row r="4879" spans="2:24">
      <c r="B4879" s="7"/>
      <c r="D4879" s="7"/>
      <c r="F4879" s="7"/>
      <c r="H4879" s="7"/>
      <c r="J4879" s="7"/>
      <c r="L4879" s="7"/>
      <c r="N4879" s="7"/>
      <c r="P4879" s="7"/>
      <c r="R4879" s="7"/>
      <c r="T4879" s="7"/>
      <c r="V4879" s="7"/>
      <c r="X4879" s="7"/>
    </row>
    <row r="4880" spans="2:24">
      <c r="B4880" s="7"/>
      <c r="D4880" s="7"/>
      <c r="F4880" s="7"/>
      <c r="H4880" s="7"/>
      <c r="J4880" s="7"/>
      <c r="L4880" s="7"/>
      <c r="N4880" s="7"/>
      <c r="P4880" s="7"/>
      <c r="R4880" s="7"/>
      <c r="T4880" s="7"/>
      <c r="V4880" s="7"/>
      <c r="X4880" s="7"/>
    </row>
    <row r="4881" spans="2:24">
      <c r="B4881" s="7"/>
      <c r="D4881" s="7"/>
      <c r="F4881" s="7"/>
      <c r="H4881" s="7"/>
      <c r="J4881" s="7"/>
      <c r="L4881" s="7"/>
      <c r="N4881" s="7"/>
      <c r="P4881" s="7"/>
      <c r="R4881" s="7"/>
      <c r="T4881" s="7"/>
      <c r="V4881" s="7"/>
      <c r="X4881" s="7"/>
    </row>
    <row r="4882" spans="2:24">
      <c r="B4882" s="7"/>
      <c r="D4882" s="7"/>
      <c r="F4882" s="7"/>
      <c r="H4882" s="7"/>
      <c r="J4882" s="7"/>
      <c r="L4882" s="7"/>
      <c r="N4882" s="7"/>
      <c r="P4882" s="7"/>
      <c r="R4882" s="7"/>
      <c r="T4882" s="7"/>
      <c r="V4882" s="7"/>
      <c r="X4882" s="7"/>
    </row>
    <row r="4883" spans="2:24">
      <c r="B4883" s="7"/>
      <c r="D4883" s="7"/>
      <c r="F4883" s="7"/>
      <c r="H4883" s="7"/>
      <c r="J4883" s="7"/>
      <c r="L4883" s="7"/>
      <c r="N4883" s="7"/>
      <c r="P4883" s="7"/>
      <c r="R4883" s="7"/>
      <c r="T4883" s="7"/>
      <c r="V4883" s="7"/>
      <c r="X4883" s="7"/>
    </row>
    <row r="4884" spans="2:24">
      <c r="B4884" s="7"/>
      <c r="D4884" s="7"/>
      <c r="F4884" s="7"/>
      <c r="H4884" s="7"/>
      <c r="J4884" s="7"/>
      <c r="L4884" s="7"/>
      <c r="N4884" s="7"/>
      <c r="P4884" s="7"/>
      <c r="R4884" s="7"/>
      <c r="T4884" s="7"/>
      <c r="V4884" s="7"/>
      <c r="X4884" s="7"/>
    </row>
    <row r="4885" spans="2:24">
      <c r="B4885" s="7"/>
      <c r="D4885" s="7"/>
      <c r="F4885" s="7"/>
      <c r="H4885" s="7"/>
      <c r="J4885" s="7"/>
      <c r="L4885" s="7"/>
      <c r="N4885" s="7"/>
      <c r="P4885" s="7"/>
      <c r="R4885" s="7"/>
      <c r="T4885" s="7"/>
      <c r="V4885" s="7"/>
      <c r="X4885" s="7"/>
    </row>
    <row r="4886" spans="2:24">
      <c r="B4886" s="7"/>
      <c r="D4886" s="7"/>
      <c r="F4886" s="7"/>
      <c r="H4886" s="7"/>
      <c r="J4886" s="7"/>
      <c r="L4886" s="7"/>
      <c r="N4886" s="7"/>
      <c r="P4886" s="7"/>
      <c r="R4886" s="7"/>
      <c r="T4886" s="7"/>
      <c r="V4886" s="7"/>
      <c r="X4886" s="7"/>
    </row>
    <row r="4887" spans="2:24">
      <c r="B4887" s="7"/>
      <c r="D4887" s="7"/>
      <c r="F4887" s="7"/>
      <c r="H4887" s="7"/>
      <c r="J4887" s="7"/>
      <c r="L4887" s="7"/>
      <c r="N4887" s="7"/>
      <c r="P4887" s="7"/>
      <c r="R4887" s="7"/>
      <c r="T4887" s="7"/>
      <c r="V4887" s="7"/>
      <c r="X4887" s="7"/>
    </row>
    <row r="4888" spans="2:24">
      <c r="B4888" s="7"/>
      <c r="D4888" s="7"/>
      <c r="F4888" s="7"/>
      <c r="H4888" s="7"/>
      <c r="J4888" s="7"/>
      <c r="L4888" s="7"/>
      <c r="N4888" s="7"/>
      <c r="P4888" s="7"/>
      <c r="R4888" s="7"/>
      <c r="T4888" s="7"/>
      <c r="V4888" s="7"/>
      <c r="X4888" s="7"/>
    </row>
    <row r="4889" spans="2:24">
      <c r="B4889" s="7"/>
      <c r="D4889" s="7"/>
      <c r="F4889" s="7"/>
      <c r="H4889" s="7"/>
      <c r="J4889" s="7"/>
      <c r="L4889" s="7"/>
      <c r="N4889" s="7"/>
      <c r="P4889" s="7"/>
      <c r="R4889" s="7"/>
      <c r="T4889" s="7"/>
      <c r="V4889" s="7"/>
      <c r="X4889" s="7"/>
    </row>
    <row r="4890" spans="2:24">
      <c r="B4890" s="7"/>
      <c r="D4890" s="7"/>
      <c r="F4890" s="7"/>
      <c r="H4890" s="7"/>
      <c r="J4890" s="7"/>
      <c r="L4890" s="7"/>
      <c r="N4890" s="7"/>
      <c r="P4890" s="7"/>
      <c r="R4890" s="7"/>
      <c r="T4890" s="7"/>
      <c r="V4890" s="7"/>
      <c r="X4890" s="7"/>
    </row>
    <row r="4891" spans="2:24">
      <c r="B4891" s="7"/>
      <c r="D4891" s="7"/>
      <c r="F4891" s="7"/>
      <c r="H4891" s="7"/>
      <c r="J4891" s="7"/>
      <c r="L4891" s="7"/>
      <c r="N4891" s="7"/>
      <c r="P4891" s="7"/>
      <c r="R4891" s="7"/>
      <c r="T4891" s="7"/>
      <c r="V4891" s="7"/>
      <c r="X4891" s="7"/>
    </row>
    <row r="4892" spans="2:24">
      <c r="B4892" s="7"/>
      <c r="D4892" s="7"/>
      <c r="F4892" s="7"/>
      <c r="H4892" s="7"/>
      <c r="J4892" s="7"/>
      <c r="L4892" s="7"/>
      <c r="N4892" s="7"/>
      <c r="P4892" s="7"/>
      <c r="R4892" s="7"/>
      <c r="T4892" s="7"/>
      <c r="V4892" s="7"/>
      <c r="X4892" s="7"/>
    </row>
    <row r="4893" spans="2:24">
      <c r="B4893" s="7"/>
      <c r="D4893" s="7"/>
      <c r="F4893" s="7"/>
      <c r="H4893" s="7"/>
      <c r="J4893" s="7"/>
      <c r="L4893" s="7"/>
      <c r="N4893" s="7"/>
      <c r="P4893" s="7"/>
      <c r="R4893" s="7"/>
      <c r="T4893" s="7"/>
      <c r="V4893" s="7"/>
      <c r="X4893" s="7"/>
    </row>
    <row r="4894" spans="2:24">
      <c r="B4894" s="7"/>
      <c r="D4894" s="7"/>
      <c r="F4894" s="7"/>
      <c r="H4894" s="7"/>
      <c r="J4894" s="7"/>
      <c r="L4894" s="7"/>
      <c r="N4894" s="7"/>
      <c r="P4894" s="7"/>
      <c r="R4894" s="7"/>
      <c r="T4894" s="7"/>
      <c r="V4894" s="7"/>
      <c r="X4894" s="7"/>
    </row>
    <row r="4895" spans="2:24">
      <c r="B4895" s="7"/>
      <c r="D4895" s="7"/>
      <c r="F4895" s="7"/>
      <c r="H4895" s="7"/>
      <c r="J4895" s="7"/>
      <c r="L4895" s="7"/>
      <c r="N4895" s="7"/>
      <c r="P4895" s="7"/>
      <c r="R4895" s="7"/>
      <c r="T4895" s="7"/>
      <c r="V4895" s="7"/>
      <c r="X4895" s="7"/>
    </row>
    <row r="4896" spans="2:24">
      <c r="B4896" s="7"/>
      <c r="D4896" s="7"/>
      <c r="F4896" s="7"/>
      <c r="H4896" s="7"/>
      <c r="J4896" s="7"/>
      <c r="L4896" s="7"/>
      <c r="N4896" s="7"/>
      <c r="P4896" s="7"/>
      <c r="R4896" s="7"/>
      <c r="T4896" s="7"/>
      <c r="V4896" s="7"/>
      <c r="X4896" s="7"/>
    </row>
    <row r="4897" spans="2:24">
      <c r="B4897" s="7"/>
      <c r="D4897" s="7"/>
      <c r="F4897" s="7"/>
      <c r="H4897" s="7"/>
      <c r="J4897" s="7"/>
      <c r="L4897" s="7"/>
      <c r="N4897" s="7"/>
      <c r="P4897" s="7"/>
      <c r="R4897" s="7"/>
      <c r="T4897" s="7"/>
      <c r="V4897" s="7"/>
      <c r="X4897" s="7"/>
    </row>
    <row r="4898" spans="2:24">
      <c r="B4898" s="7"/>
      <c r="D4898" s="7"/>
      <c r="F4898" s="7"/>
      <c r="H4898" s="7"/>
      <c r="J4898" s="7"/>
      <c r="L4898" s="7"/>
      <c r="N4898" s="7"/>
      <c r="P4898" s="7"/>
      <c r="R4898" s="7"/>
      <c r="T4898" s="7"/>
      <c r="V4898" s="7"/>
      <c r="X4898" s="7"/>
    </row>
    <row r="4899" spans="2:24">
      <c r="B4899" s="7"/>
      <c r="D4899" s="7"/>
      <c r="F4899" s="7"/>
      <c r="H4899" s="7"/>
      <c r="J4899" s="7"/>
      <c r="L4899" s="7"/>
      <c r="N4899" s="7"/>
      <c r="P4899" s="7"/>
      <c r="R4899" s="7"/>
      <c r="T4899" s="7"/>
      <c r="V4899" s="7"/>
      <c r="X4899" s="7"/>
    </row>
    <row r="4900" spans="2:24">
      <c r="B4900" s="7"/>
      <c r="D4900" s="7"/>
      <c r="F4900" s="7"/>
      <c r="H4900" s="7"/>
      <c r="J4900" s="7"/>
      <c r="L4900" s="7"/>
      <c r="N4900" s="7"/>
      <c r="P4900" s="7"/>
      <c r="R4900" s="7"/>
      <c r="T4900" s="7"/>
      <c r="V4900" s="7"/>
      <c r="X4900" s="7"/>
    </row>
    <row r="4901" spans="2:24">
      <c r="B4901" s="7"/>
      <c r="D4901" s="7"/>
      <c r="F4901" s="7"/>
      <c r="H4901" s="7"/>
      <c r="J4901" s="7"/>
      <c r="L4901" s="7"/>
      <c r="N4901" s="7"/>
      <c r="P4901" s="7"/>
      <c r="R4901" s="7"/>
      <c r="T4901" s="7"/>
      <c r="V4901" s="7"/>
      <c r="X4901" s="7"/>
    </row>
    <row r="4902" spans="2:24">
      <c r="B4902" s="7"/>
      <c r="D4902" s="7"/>
      <c r="F4902" s="7"/>
      <c r="H4902" s="7"/>
      <c r="J4902" s="7"/>
      <c r="L4902" s="7"/>
      <c r="N4902" s="7"/>
      <c r="P4902" s="7"/>
      <c r="R4902" s="7"/>
      <c r="T4902" s="7"/>
      <c r="V4902" s="7"/>
      <c r="X4902" s="7"/>
    </row>
    <row r="4903" spans="2:24">
      <c r="B4903" s="7"/>
      <c r="D4903" s="7"/>
      <c r="F4903" s="7"/>
      <c r="H4903" s="7"/>
      <c r="J4903" s="7"/>
      <c r="L4903" s="7"/>
      <c r="N4903" s="7"/>
      <c r="P4903" s="7"/>
      <c r="R4903" s="7"/>
      <c r="T4903" s="7"/>
      <c r="V4903" s="7"/>
      <c r="X4903" s="7"/>
    </row>
    <row r="4904" spans="2:24">
      <c r="B4904" s="7"/>
      <c r="D4904" s="7"/>
      <c r="F4904" s="7"/>
      <c r="H4904" s="7"/>
      <c r="J4904" s="7"/>
      <c r="L4904" s="7"/>
      <c r="N4904" s="7"/>
      <c r="P4904" s="7"/>
      <c r="R4904" s="7"/>
      <c r="T4904" s="7"/>
      <c r="V4904" s="7"/>
      <c r="X4904" s="7"/>
    </row>
    <row r="4905" spans="2:24">
      <c r="B4905" s="7"/>
      <c r="D4905" s="7"/>
      <c r="F4905" s="7"/>
      <c r="H4905" s="7"/>
      <c r="J4905" s="7"/>
      <c r="L4905" s="7"/>
      <c r="N4905" s="7"/>
      <c r="P4905" s="7"/>
      <c r="R4905" s="7"/>
      <c r="T4905" s="7"/>
      <c r="V4905" s="7"/>
      <c r="X4905" s="7"/>
    </row>
    <row r="4906" spans="2:24">
      <c r="B4906" s="7"/>
      <c r="D4906" s="7"/>
      <c r="F4906" s="7"/>
      <c r="H4906" s="7"/>
      <c r="J4906" s="7"/>
      <c r="L4906" s="7"/>
      <c r="N4906" s="7"/>
      <c r="P4906" s="7"/>
      <c r="R4906" s="7"/>
      <c r="T4906" s="7"/>
      <c r="V4906" s="7"/>
      <c r="X4906" s="7"/>
    </row>
    <row r="4907" spans="2:24">
      <c r="B4907" s="7"/>
      <c r="D4907" s="7"/>
      <c r="F4907" s="7"/>
      <c r="H4907" s="7"/>
      <c r="J4907" s="7"/>
      <c r="L4907" s="7"/>
      <c r="N4907" s="7"/>
      <c r="P4907" s="7"/>
      <c r="R4907" s="7"/>
      <c r="T4907" s="7"/>
      <c r="V4907" s="7"/>
      <c r="X4907" s="7"/>
    </row>
    <row r="4908" spans="2:24">
      <c r="B4908" s="7"/>
      <c r="D4908" s="7"/>
      <c r="F4908" s="7"/>
      <c r="H4908" s="7"/>
      <c r="J4908" s="7"/>
      <c r="L4908" s="7"/>
      <c r="N4908" s="7"/>
      <c r="P4908" s="7"/>
      <c r="R4908" s="7"/>
      <c r="T4908" s="7"/>
      <c r="V4908" s="7"/>
      <c r="X4908" s="7"/>
    </row>
    <row r="4909" spans="2:24">
      <c r="B4909" s="7"/>
      <c r="D4909" s="7"/>
      <c r="F4909" s="7"/>
      <c r="H4909" s="7"/>
      <c r="J4909" s="7"/>
      <c r="L4909" s="7"/>
      <c r="N4909" s="7"/>
      <c r="P4909" s="7"/>
      <c r="R4909" s="7"/>
      <c r="T4909" s="7"/>
      <c r="V4909" s="7"/>
      <c r="X4909" s="7"/>
    </row>
    <row r="4910" spans="2:24">
      <c r="B4910" s="7"/>
      <c r="D4910" s="7"/>
      <c r="F4910" s="7"/>
      <c r="H4910" s="7"/>
      <c r="J4910" s="7"/>
      <c r="L4910" s="7"/>
      <c r="N4910" s="7"/>
      <c r="P4910" s="7"/>
      <c r="R4910" s="7"/>
      <c r="T4910" s="7"/>
      <c r="V4910" s="7"/>
      <c r="X4910" s="7"/>
    </row>
    <row r="4911" spans="2:24">
      <c r="B4911" s="7"/>
      <c r="D4911" s="7"/>
      <c r="F4911" s="7"/>
      <c r="H4911" s="7"/>
      <c r="J4911" s="7"/>
      <c r="L4911" s="7"/>
      <c r="N4911" s="7"/>
      <c r="P4911" s="7"/>
      <c r="R4911" s="7"/>
      <c r="T4911" s="7"/>
      <c r="V4911" s="7"/>
      <c r="X4911" s="7"/>
    </row>
    <row r="4912" spans="2:24">
      <c r="B4912" s="7"/>
      <c r="D4912" s="7"/>
      <c r="F4912" s="7"/>
      <c r="H4912" s="7"/>
      <c r="J4912" s="7"/>
      <c r="L4912" s="7"/>
      <c r="N4912" s="7"/>
      <c r="P4912" s="7"/>
      <c r="R4912" s="7"/>
      <c r="T4912" s="7"/>
      <c r="V4912" s="7"/>
      <c r="X4912" s="7"/>
    </row>
    <row r="4913" spans="2:24">
      <c r="B4913" s="7"/>
      <c r="D4913" s="7"/>
      <c r="F4913" s="7"/>
      <c r="H4913" s="7"/>
      <c r="J4913" s="7"/>
      <c r="L4913" s="7"/>
      <c r="N4913" s="7"/>
      <c r="P4913" s="7"/>
      <c r="R4913" s="7"/>
      <c r="T4913" s="7"/>
      <c r="V4913" s="7"/>
      <c r="X4913" s="7"/>
    </row>
    <row r="4914" spans="2:24">
      <c r="B4914" s="7"/>
      <c r="D4914" s="7"/>
      <c r="F4914" s="7"/>
      <c r="H4914" s="7"/>
      <c r="J4914" s="7"/>
      <c r="L4914" s="7"/>
      <c r="N4914" s="7"/>
      <c r="P4914" s="7"/>
      <c r="R4914" s="7"/>
      <c r="T4914" s="7"/>
      <c r="V4914" s="7"/>
      <c r="X4914" s="7"/>
    </row>
    <row r="4915" spans="2:24">
      <c r="B4915" s="7"/>
      <c r="D4915" s="7"/>
      <c r="F4915" s="7"/>
      <c r="H4915" s="7"/>
      <c r="J4915" s="7"/>
      <c r="L4915" s="7"/>
      <c r="N4915" s="7"/>
      <c r="P4915" s="7"/>
      <c r="R4915" s="7"/>
      <c r="T4915" s="7"/>
      <c r="V4915" s="7"/>
      <c r="X4915" s="7"/>
    </row>
    <row r="4916" spans="2:24">
      <c r="B4916" s="7"/>
      <c r="D4916" s="7"/>
      <c r="F4916" s="7"/>
      <c r="H4916" s="7"/>
      <c r="J4916" s="7"/>
      <c r="L4916" s="7"/>
      <c r="N4916" s="7"/>
      <c r="P4916" s="7"/>
      <c r="R4916" s="7"/>
      <c r="T4916" s="7"/>
      <c r="V4916" s="7"/>
      <c r="X4916" s="7"/>
    </row>
    <row r="4917" spans="2:24">
      <c r="B4917" s="7"/>
      <c r="D4917" s="7"/>
      <c r="F4917" s="7"/>
      <c r="H4917" s="7"/>
      <c r="J4917" s="7"/>
      <c r="L4917" s="7"/>
      <c r="N4917" s="7"/>
      <c r="P4917" s="7"/>
      <c r="R4917" s="7"/>
      <c r="T4917" s="7"/>
      <c r="V4917" s="7"/>
      <c r="X4917" s="7"/>
    </row>
    <row r="4918" spans="2:24">
      <c r="B4918" s="7"/>
      <c r="D4918" s="7"/>
      <c r="F4918" s="7"/>
      <c r="H4918" s="7"/>
      <c r="J4918" s="7"/>
      <c r="L4918" s="7"/>
      <c r="N4918" s="7"/>
      <c r="P4918" s="7"/>
      <c r="R4918" s="7"/>
      <c r="T4918" s="7"/>
      <c r="V4918" s="7"/>
      <c r="X4918" s="7"/>
    </row>
    <row r="4919" spans="2:24">
      <c r="B4919" s="7"/>
      <c r="D4919" s="7"/>
      <c r="F4919" s="7"/>
      <c r="H4919" s="7"/>
      <c r="J4919" s="7"/>
      <c r="L4919" s="7"/>
      <c r="N4919" s="7"/>
      <c r="P4919" s="7"/>
      <c r="R4919" s="7"/>
      <c r="T4919" s="7"/>
      <c r="V4919" s="7"/>
      <c r="X4919" s="7"/>
    </row>
    <row r="4920" spans="2:24">
      <c r="B4920" s="7"/>
      <c r="D4920" s="7"/>
      <c r="F4920" s="7"/>
      <c r="H4920" s="7"/>
      <c r="J4920" s="7"/>
      <c r="L4920" s="7"/>
      <c r="N4920" s="7"/>
      <c r="P4920" s="7"/>
      <c r="R4920" s="7"/>
      <c r="T4920" s="7"/>
      <c r="V4920" s="7"/>
      <c r="X4920" s="7"/>
    </row>
    <row r="4921" spans="2:24">
      <c r="B4921" s="7"/>
      <c r="D4921" s="7"/>
      <c r="F4921" s="7"/>
      <c r="H4921" s="7"/>
      <c r="J4921" s="7"/>
      <c r="L4921" s="7"/>
      <c r="N4921" s="7"/>
      <c r="P4921" s="7"/>
      <c r="R4921" s="7"/>
      <c r="T4921" s="7"/>
      <c r="V4921" s="7"/>
      <c r="X4921" s="7"/>
    </row>
    <row r="4922" spans="2:24">
      <c r="B4922" s="7"/>
      <c r="D4922" s="7"/>
      <c r="F4922" s="7"/>
      <c r="H4922" s="7"/>
      <c r="J4922" s="7"/>
      <c r="L4922" s="7"/>
      <c r="N4922" s="7"/>
      <c r="P4922" s="7"/>
      <c r="R4922" s="7"/>
      <c r="T4922" s="7"/>
      <c r="V4922" s="7"/>
      <c r="X4922" s="7"/>
    </row>
    <row r="4923" spans="2:24">
      <c r="B4923" s="7"/>
      <c r="D4923" s="7"/>
      <c r="F4923" s="7"/>
      <c r="H4923" s="7"/>
      <c r="J4923" s="7"/>
      <c r="L4923" s="7"/>
      <c r="N4923" s="7"/>
      <c r="P4923" s="7"/>
      <c r="R4923" s="7"/>
      <c r="T4923" s="7"/>
      <c r="V4923" s="7"/>
      <c r="X4923" s="7"/>
    </row>
    <row r="4924" spans="2:24">
      <c r="B4924" s="7"/>
      <c r="D4924" s="7"/>
      <c r="F4924" s="7"/>
      <c r="H4924" s="7"/>
      <c r="J4924" s="7"/>
      <c r="L4924" s="7"/>
      <c r="N4924" s="7"/>
      <c r="P4924" s="7"/>
      <c r="R4924" s="7"/>
      <c r="T4924" s="7"/>
      <c r="V4924" s="7"/>
      <c r="X4924" s="7"/>
    </row>
    <row r="4925" spans="2:24">
      <c r="B4925" s="7"/>
      <c r="D4925" s="7"/>
      <c r="F4925" s="7"/>
      <c r="H4925" s="7"/>
      <c r="J4925" s="7"/>
      <c r="L4925" s="7"/>
      <c r="N4925" s="7"/>
      <c r="P4925" s="7"/>
      <c r="R4925" s="7"/>
      <c r="T4925" s="7"/>
      <c r="V4925" s="7"/>
      <c r="X4925" s="7"/>
    </row>
    <row r="4926" spans="2:24">
      <c r="B4926" s="7"/>
      <c r="D4926" s="7"/>
      <c r="F4926" s="7"/>
      <c r="H4926" s="7"/>
      <c r="J4926" s="7"/>
      <c r="L4926" s="7"/>
      <c r="N4926" s="7"/>
      <c r="P4926" s="7"/>
      <c r="R4926" s="7"/>
      <c r="T4926" s="7"/>
      <c r="V4926" s="7"/>
      <c r="X4926" s="7"/>
    </row>
    <row r="4927" spans="2:24">
      <c r="B4927" s="7"/>
      <c r="D4927" s="7"/>
      <c r="F4927" s="7"/>
      <c r="H4927" s="7"/>
      <c r="J4927" s="7"/>
      <c r="L4927" s="7"/>
      <c r="N4927" s="7"/>
      <c r="P4927" s="7"/>
      <c r="R4927" s="7"/>
      <c r="T4927" s="7"/>
      <c r="V4927" s="7"/>
      <c r="X4927" s="7"/>
    </row>
    <row r="4928" spans="2:24">
      <c r="B4928" s="7"/>
      <c r="D4928" s="7"/>
      <c r="F4928" s="7"/>
      <c r="H4928" s="7"/>
      <c r="J4928" s="7"/>
      <c r="L4928" s="7"/>
      <c r="N4928" s="7"/>
      <c r="P4928" s="7"/>
      <c r="R4928" s="7"/>
      <c r="T4928" s="7"/>
      <c r="V4928" s="7"/>
      <c r="X4928" s="7"/>
    </row>
    <row r="4929" spans="2:24">
      <c r="B4929" s="7"/>
      <c r="D4929" s="7"/>
      <c r="F4929" s="7"/>
      <c r="H4929" s="7"/>
      <c r="J4929" s="7"/>
      <c r="L4929" s="7"/>
      <c r="N4929" s="7"/>
      <c r="P4929" s="7"/>
      <c r="R4929" s="7"/>
      <c r="T4929" s="7"/>
      <c r="V4929" s="7"/>
      <c r="X4929" s="7"/>
    </row>
    <row r="4930" spans="2:24">
      <c r="B4930" s="7"/>
      <c r="D4930" s="7"/>
      <c r="F4930" s="7"/>
      <c r="H4930" s="7"/>
      <c r="J4930" s="7"/>
      <c r="L4930" s="7"/>
      <c r="N4930" s="7"/>
      <c r="P4930" s="7"/>
      <c r="R4930" s="7"/>
      <c r="T4930" s="7"/>
      <c r="V4930" s="7"/>
      <c r="X4930" s="7"/>
    </row>
    <row r="4931" spans="2:24">
      <c r="B4931" s="7"/>
      <c r="D4931" s="7"/>
      <c r="F4931" s="7"/>
      <c r="H4931" s="7"/>
      <c r="J4931" s="7"/>
      <c r="L4931" s="7"/>
      <c r="N4931" s="7"/>
      <c r="P4931" s="7"/>
      <c r="R4931" s="7"/>
      <c r="T4931" s="7"/>
      <c r="V4931" s="7"/>
      <c r="X4931" s="7"/>
    </row>
    <row r="4932" spans="2:24">
      <c r="B4932" s="7"/>
      <c r="D4932" s="7"/>
      <c r="F4932" s="7"/>
      <c r="H4932" s="7"/>
      <c r="J4932" s="7"/>
      <c r="L4932" s="7"/>
      <c r="N4932" s="7"/>
      <c r="P4932" s="7"/>
      <c r="R4932" s="7"/>
      <c r="T4932" s="7"/>
      <c r="V4932" s="7"/>
      <c r="X4932" s="7"/>
    </row>
    <row r="4933" spans="2:24">
      <c r="B4933" s="7"/>
      <c r="D4933" s="7"/>
      <c r="F4933" s="7"/>
      <c r="H4933" s="7"/>
      <c r="J4933" s="7"/>
      <c r="L4933" s="7"/>
      <c r="N4933" s="7"/>
      <c r="P4933" s="7"/>
      <c r="R4933" s="7"/>
      <c r="T4933" s="7"/>
      <c r="V4933" s="7"/>
      <c r="X4933" s="7"/>
    </row>
    <row r="4934" spans="2:24">
      <c r="B4934" s="7"/>
      <c r="D4934" s="7"/>
      <c r="F4934" s="7"/>
      <c r="H4934" s="7"/>
      <c r="J4934" s="7"/>
      <c r="L4934" s="7"/>
      <c r="N4934" s="7"/>
      <c r="P4934" s="7"/>
      <c r="R4934" s="7"/>
      <c r="T4934" s="7"/>
      <c r="V4934" s="7"/>
      <c r="X4934" s="7"/>
    </row>
    <row r="4935" spans="2:24">
      <c r="B4935" s="7"/>
      <c r="D4935" s="7"/>
      <c r="F4935" s="7"/>
      <c r="H4935" s="7"/>
      <c r="J4935" s="7"/>
      <c r="L4935" s="7"/>
      <c r="N4935" s="7"/>
      <c r="P4935" s="7"/>
      <c r="R4935" s="7"/>
      <c r="T4935" s="7"/>
      <c r="V4935" s="7"/>
      <c r="X4935" s="7"/>
    </row>
    <row r="4936" spans="2:24">
      <c r="B4936" s="7"/>
      <c r="D4936" s="7"/>
      <c r="F4936" s="7"/>
      <c r="H4936" s="7"/>
      <c r="J4936" s="7"/>
      <c r="L4936" s="7"/>
      <c r="N4936" s="7"/>
      <c r="P4936" s="7"/>
      <c r="R4936" s="7"/>
      <c r="T4936" s="7"/>
      <c r="V4936" s="7"/>
      <c r="X4936" s="7"/>
    </row>
    <row r="4937" spans="2:24">
      <c r="B4937" s="7"/>
      <c r="D4937" s="7"/>
      <c r="F4937" s="7"/>
      <c r="H4937" s="7"/>
      <c r="J4937" s="7"/>
      <c r="L4937" s="7"/>
      <c r="N4937" s="7"/>
      <c r="P4937" s="7"/>
      <c r="R4937" s="7"/>
      <c r="T4937" s="7"/>
      <c r="V4937" s="7"/>
      <c r="X4937" s="7"/>
    </row>
    <row r="4938" spans="2:24">
      <c r="B4938" s="7"/>
      <c r="D4938" s="7"/>
      <c r="F4938" s="7"/>
      <c r="H4938" s="7"/>
      <c r="J4938" s="7"/>
      <c r="L4938" s="7"/>
      <c r="N4938" s="7"/>
      <c r="P4938" s="7"/>
      <c r="R4938" s="7"/>
      <c r="T4938" s="7"/>
      <c r="V4938" s="7"/>
      <c r="X4938" s="7"/>
    </row>
    <row r="4939" spans="2:24">
      <c r="B4939" s="7"/>
      <c r="D4939" s="7"/>
      <c r="F4939" s="7"/>
      <c r="H4939" s="7"/>
      <c r="J4939" s="7"/>
      <c r="L4939" s="7"/>
      <c r="N4939" s="7"/>
      <c r="P4939" s="7"/>
      <c r="R4939" s="7"/>
      <c r="T4939" s="7"/>
      <c r="V4939" s="7"/>
      <c r="X4939" s="7"/>
    </row>
    <row r="4940" spans="2:24">
      <c r="B4940" s="7"/>
      <c r="D4940" s="7"/>
      <c r="F4940" s="7"/>
      <c r="H4940" s="7"/>
      <c r="J4940" s="7"/>
      <c r="L4940" s="7"/>
      <c r="N4940" s="7"/>
      <c r="P4940" s="7"/>
      <c r="R4940" s="7"/>
      <c r="T4940" s="7"/>
      <c r="V4940" s="7"/>
      <c r="X4940" s="7"/>
    </row>
    <row r="4941" spans="2:24">
      <c r="B4941" s="7"/>
      <c r="D4941" s="7"/>
      <c r="F4941" s="7"/>
      <c r="H4941" s="7"/>
      <c r="J4941" s="7"/>
      <c r="L4941" s="7"/>
      <c r="N4941" s="7"/>
      <c r="P4941" s="7"/>
      <c r="R4941" s="7"/>
      <c r="T4941" s="7"/>
      <c r="V4941" s="7"/>
      <c r="X4941" s="7"/>
    </row>
    <row r="4942" spans="2:24">
      <c r="B4942" s="7"/>
      <c r="D4942" s="7"/>
      <c r="F4942" s="7"/>
      <c r="H4942" s="7"/>
      <c r="J4942" s="7"/>
      <c r="L4942" s="7"/>
      <c r="N4942" s="7"/>
      <c r="P4942" s="7"/>
      <c r="R4942" s="7"/>
      <c r="T4942" s="7"/>
      <c r="V4942" s="7"/>
      <c r="X4942" s="7"/>
    </row>
    <row r="4943" spans="2:24">
      <c r="B4943" s="7"/>
      <c r="D4943" s="7"/>
      <c r="F4943" s="7"/>
      <c r="H4943" s="7"/>
      <c r="J4943" s="7"/>
      <c r="L4943" s="7"/>
      <c r="N4943" s="7"/>
      <c r="P4943" s="7"/>
      <c r="R4943" s="7"/>
      <c r="T4943" s="7"/>
      <c r="V4943" s="7"/>
      <c r="X4943" s="7"/>
    </row>
    <row r="4944" spans="2:24">
      <c r="B4944" s="7"/>
      <c r="D4944" s="7"/>
      <c r="F4944" s="7"/>
      <c r="H4944" s="7"/>
      <c r="J4944" s="7"/>
      <c r="L4944" s="7"/>
      <c r="N4944" s="7"/>
      <c r="P4944" s="7"/>
      <c r="R4944" s="7"/>
      <c r="T4944" s="7"/>
      <c r="V4944" s="7"/>
      <c r="X4944" s="7"/>
    </row>
    <row r="4945" spans="2:24">
      <c r="B4945" s="7"/>
      <c r="D4945" s="7"/>
      <c r="F4945" s="7"/>
      <c r="H4945" s="7"/>
      <c r="J4945" s="7"/>
      <c r="L4945" s="7"/>
      <c r="N4945" s="7"/>
      <c r="P4945" s="7"/>
      <c r="R4945" s="7"/>
      <c r="T4945" s="7"/>
      <c r="V4945" s="7"/>
      <c r="X4945" s="7"/>
    </row>
    <row r="4946" spans="2:24">
      <c r="B4946" s="7"/>
      <c r="D4946" s="7"/>
      <c r="F4946" s="7"/>
      <c r="H4946" s="7"/>
      <c r="J4946" s="7"/>
      <c r="L4946" s="7"/>
      <c r="N4946" s="7"/>
      <c r="P4946" s="7"/>
      <c r="R4946" s="7"/>
      <c r="T4946" s="7"/>
      <c r="V4946" s="7"/>
      <c r="X4946" s="7"/>
    </row>
    <row r="4947" spans="2:24">
      <c r="B4947" s="7"/>
      <c r="D4947" s="7"/>
      <c r="F4947" s="7"/>
      <c r="H4947" s="7"/>
      <c r="J4947" s="7"/>
      <c r="L4947" s="7"/>
      <c r="N4947" s="7"/>
      <c r="P4947" s="7"/>
      <c r="R4947" s="7"/>
      <c r="T4947" s="7"/>
      <c r="V4947" s="7"/>
      <c r="X4947" s="7"/>
    </row>
    <row r="4948" spans="2:24">
      <c r="B4948" s="7"/>
      <c r="D4948" s="7"/>
      <c r="F4948" s="7"/>
      <c r="H4948" s="7"/>
      <c r="J4948" s="7"/>
      <c r="L4948" s="7"/>
      <c r="N4948" s="7"/>
      <c r="P4948" s="7"/>
      <c r="R4948" s="7"/>
      <c r="T4948" s="7"/>
      <c r="V4948" s="7"/>
      <c r="X4948" s="7"/>
    </row>
    <row r="4949" spans="2:24">
      <c r="B4949" s="7"/>
      <c r="D4949" s="7"/>
      <c r="F4949" s="7"/>
      <c r="H4949" s="7"/>
      <c r="J4949" s="7"/>
      <c r="L4949" s="7"/>
      <c r="N4949" s="7"/>
      <c r="P4949" s="7"/>
      <c r="R4949" s="7"/>
      <c r="T4949" s="7"/>
      <c r="V4949" s="7"/>
      <c r="X4949" s="7"/>
    </row>
    <row r="4950" spans="2:24">
      <c r="B4950" s="7"/>
      <c r="D4950" s="7"/>
      <c r="F4950" s="7"/>
      <c r="H4950" s="7"/>
      <c r="J4950" s="7"/>
      <c r="L4950" s="7"/>
      <c r="N4950" s="7"/>
      <c r="P4950" s="7"/>
      <c r="R4950" s="7"/>
      <c r="T4950" s="7"/>
      <c r="V4950" s="7"/>
      <c r="X4950" s="7"/>
    </row>
    <row r="4951" spans="2:24">
      <c r="B4951" s="7"/>
      <c r="D4951" s="7"/>
      <c r="F4951" s="7"/>
      <c r="H4951" s="7"/>
      <c r="J4951" s="7"/>
      <c r="L4951" s="7"/>
      <c r="N4951" s="7"/>
      <c r="P4951" s="7"/>
      <c r="R4951" s="7"/>
      <c r="T4951" s="7"/>
      <c r="V4951" s="7"/>
      <c r="X4951" s="7"/>
    </row>
    <row r="4952" spans="2:24">
      <c r="B4952" s="7"/>
      <c r="D4952" s="7"/>
      <c r="F4952" s="7"/>
      <c r="H4952" s="7"/>
      <c r="J4952" s="7"/>
      <c r="L4952" s="7"/>
      <c r="N4952" s="7"/>
      <c r="P4952" s="7"/>
      <c r="R4952" s="7"/>
      <c r="T4952" s="7"/>
      <c r="V4952" s="7"/>
      <c r="X4952" s="7"/>
    </row>
    <row r="4953" spans="2:24">
      <c r="B4953" s="7"/>
      <c r="D4953" s="7"/>
      <c r="F4953" s="7"/>
      <c r="H4953" s="7"/>
      <c r="J4953" s="7"/>
      <c r="L4953" s="7"/>
      <c r="N4953" s="7"/>
      <c r="P4953" s="7"/>
      <c r="R4953" s="7"/>
      <c r="T4953" s="7"/>
      <c r="V4953" s="7"/>
      <c r="X4953" s="7"/>
    </row>
    <row r="4954" spans="2:24">
      <c r="B4954" s="7"/>
      <c r="D4954" s="7"/>
      <c r="F4954" s="7"/>
      <c r="H4954" s="7"/>
      <c r="J4954" s="7"/>
      <c r="L4954" s="7"/>
      <c r="N4954" s="7"/>
      <c r="P4954" s="7"/>
      <c r="R4954" s="7"/>
      <c r="T4954" s="7"/>
      <c r="V4954" s="7"/>
      <c r="X4954" s="7"/>
    </row>
    <row r="4955" spans="2:24">
      <c r="B4955" s="7"/>
      <c r="D4955" s="7"/>
      <c r="F4955" s="7"/>
      <c r="H4955" s="7"/>
      <c r="J4955" s="7"/>
      <c r="L4955" s="7"/>
      <c r="N4955" s="7"/>
      <c r="P4955" s="7"/>
      <c r="R4955" s="7"/>
      <c r="T4955" s="7"/>
      <c r="V4955" s="7"/>
      <c r="X4955" s="7"/>
    </row>
    <row r="4956" spans="2:24">
      <c r="B4956" s="7"/>
      <c r="D4956" s="7"/>
      <c r="F4956" s="7"/>
      <c r="H4956" s="7"/>
      <c r="J4956" s="7"/>
      <c r="L4956" s="7"/>
      <c r="N4956" s="7"/>
      <c r="P4956" s="7"/>
      <c r="R4956" s="7"/>
      <c r="T4956" s="7"/>
      <c r="V4956" s="7"/>
      <c r="X4956" s="7"/>
    </row>
    <row r="4957" spans="2:24">
      <c r="B4957" s="7"/>
      <c r="D4957" s="7"/>
      <c r="F4957" s="7"/>
      <c r="H4957" s="7"/>
      <c r="J4957" s="7"/>
      <c r="L4957" s="7"/>
      <c r="N4957" s="7"/>
      <c r="P4957" s="7"/>
      <c r="R4957" s="7"/>
      <c r="T4957" s="7"/>
      <c r="V4957" s="7"/>
      <c r="X4957" s="7"/>
    </row>
    <row r="4958" spans="2:24">
      <c r="B4958" s="7"/>
      <c r="D4958" s="7"/>
      <c r="F4958" s="7"/>
      <c r="H4958" s="7"/>
      <c r="J4958" s="7"/>
      <c r="L4958" s="7"/>
      <c r="N4958" s="7"/>
      <c r="P4958" s="7"/>
      <c r="R4958" s="7"/>
      <c r="T4958" s="7"/>
      <c r="V4958" s="7"/>
      <c r="X4958" s="7"/>
    </row>
    <row r="4959" spans="2:24">
      <c r="B4959" s="7"/>
      <c r="D4959" s="7"/>
      <c r="F4959" s="7"/>
      <c r="H4959" s="7"/>
      <c r="J4959" s="7"/>
      <c r="L4959" s="7"/>
      <c r="N4959" s="7"/>
      <c r="P4959" s="7"/>
      <c r="R4959" s="7"/>
      <c r="T4959" s="7"/>
      <c r="V4959" s="7"/>
      <c r="X4959" s="7"/>
    </row>
    <row r="4960" spans="2:24">
      <c r="B4960" s="7"/>
      <c r="D4960" s="7"/>
      <c r="F4960" s="7"/>
      <c r="H4960" s="7"/>
      <c r="J4960" s="7"/>
      <c r="L4960" s="7"/>
      <c r="N4960" s="7"/>
      <c r="P4960" s="7"/>
      <c r="R4960" s="7"/>
      <c r="T4960" s="7"/>
      <c r="V4960" s="7"/>
      <c r="X4960" s="7"/>
    </row>
    <row r="4961" spans="2:24">
      <c r="B4961" s="7"/>
      <c r="D4961" s="7"/>
      <c r="F4961" s="7"/>
      <c r="H4961" s="7"/>
      <c r="J4961" s="7"/>
      <c r="L4961" s="7"/>
      <c r="N4961" s="7"/>
      <c r="P4961" s="7"/>
      <c r="R4961" s="7"/>
      <c r="T4961" s="7"/>
      <c r="V4961" s="7"/>
      <c r="X4961" s="7"/>
    </row>
    <row r="4962" spans="2:24">
      <c r="B4962" s="7"/>
      <c r="D4962" s="7"/>
      <c r="F4962" s="7"/>
      <c r="H4962" s="7"/>
      <c r="J4962" s="7"/>
      <c r="L4962" s="7"/>
      <c r="N4962" s="7"/>
      <c r="P4962" s="7"/>
      <c r="R4962" s="7"/>
      <c r="T4962" s="7"/>
      <c r="V4962" s="7"/>
      <c r="X4962" s="7"/>
    </row>
    <row r="4963" spans="2:24">
      <c r="B4963" s="7"/>
      <c r="D4963" s="7"/>
      <c r="F4963" s="7"/>
      <c r="H4963" s="7"/>
      <c r="J4963" s="7"/>
      <c r="L4963" s="7"/>
      <c r="N4963" s="7"/>
      <c r="P4963" s="7"/>
      <c r="R4963" s="7"/>
      <c r="T4963" s="7"/>
      <c r="V4963" s="7"/>
      <c r="X4963" s="7"/>
    </row>
    <row r="4964" spans="2:24">
      <c r="B4964" s="7"/>
      <c r="D4964" s="7"/>
      <c r="F4964" s="7"/>
      <c r="H4964" s="7"/>
      <c r="J4964" s="7"/>
      <c r="L4964" s="7"/>
      <c r="N4964" s="7"/>
      <c r="P4964" s="7"/>
      <c r="R4964" s="7"/>
      <c r="T4964" s="7"/>
      <c r="V4964" s="7"/>
      <c r="X4964" s="7"/>
    </row>
    <row r="4965" spans="2:24">
      <c r="B4965" s="7"/>
      <c r="D4965" s="7"/>
      <c r="F4965" s="7"/>
      <c r="H4965" s="7"/>
      <c r="J4965" s="7"/>
      <c r="L4965" s="7"/>
      <c r="N4965" s="7"/>
      <c r="P4965" s="7"/>
      <c r="R4965" s="7"/>
      <c r="T4965" s="7"/>
      <c r="V4965" s="7"/>
      <c r="X4965" s="7"/>
    </row>
    <row r="4966" spans="2:24">
      <c r="B4966" s="7"/>
      <c r="D4966" s="7"/>
      <c r="F4966" s="7"/>
      <c r="H4966" s="7"/>
      <c r="J4966" s="7"/>
      <c r="L4966" s="7"/>
      <c r="N4966" s="7"/>
      <c r="P4966" s="7"/>
      <c r="R4966" s="7"/>
      <c r="T4966" s="7"/>
      <c r="V4966" s="7"/>
      <c r="X4966" s="7"/>
    </row>
    <row r="4967" spans="2:24">
      <c r="B4967" s="7"/>
      <c r="D4967" s="7"/>
      <c r="F4967" s="7"/>
      <c r="H4967" s="7"/>
      <c r="J4967" s="7"/>
      <c r="L4967" s="7"/>
      <c r="N4967" s="7"/>
      <c r="P4967" s="7"/>
      <c r="R4967" s="7"/>
      <c r="T4967" s="7"/>
      <c r="V4967" s="7"/>
      <c r="X4967" s="7"/>
    </row>
    <row r="4968" spans="2:24">
      <c r="B4968" s="7"/>
      <c r="D4968" s="7"/>
      <c r="F4968" s="7"/>
      <c r="H4968" s="7"/>
      <c r="J4968" s="7"/>
      <c r="L4968" s="7"/>
      <c r="N4968" s="7"/>
      <c r="P4968" s="7"/>
      <c r="R4968" s="7"/>
      <c r="T4968" s="7"/>
      <c r="V4968" s="7"/>
      <c r="X4968" s="7"/>
    </row>
    <row r="4969" spans="2:24">
      <c r="B4969" s="7"/>
      <c r="D4969" s="7"/>
      <c r="F4969" s="7"/>
      <c r="H4969" s="7"/>
      <c r="J4969" s="7"/>
      <c r="L4969" s="7"/>
      <c r="N4969" s="7"/>
      <c r="P4969" s="7"/>
      <c r="R4969" s="7"/>
      <c r="T4969" s="7"/>
      <c r="V4969" s="7"/>
      <c r="X4969" s="7"/>
    </row>
    <row r="4970" spans="2:24">
      <c r="B4970" s="7"/>
      <c r="D4970" s="7"/>
      <c r="F4970" s="7"/>
      <c r="H4970" s="7"/>
      <c r="J4970" s="7"/>
      <c r="L4970" s="7"/>
      <c r="N4970" s="7"/>
      <c r="P4970" s="7"/>
      <c r="R4970" s="7"/>
      <c r="T4970" s="7"/>
      <c r="V4970" s="7"/>
      <c r="X4970" s="7"/>
    </row>
    <row r="4971" spans="2:24">
      <c r="B4971" s="7"/>
      <c r="D4971" s="7"/>
      <c r="F4971" s="7"/>
      <c r="H4971" s="7"/>
      <c r="J4971" s="7"/>
      <c r="L4971" s="7"/>
      <c r="N4971" s="7"/>
      <c r="P4971" s="7"/>
      <c r="R4971" s="7"/>
      <c r="T4971" s="7"/>
      <c r="V4971" s="7"/>
      <c r="X4971" s="7"/>
    </row>
    <row r="4972" spans="2:24">
      <c r="B4972" s="7"/>
      <c r="D4972" s="7"/>
      <c r="F4972" s="7"/>
      <c r="H4972" s="7"/>
      <c r="J4972" s="7"/>
      <c r="L4972" s="7"/>
      <c r="N4972" s="7"/>
      <c r="P4972" s="7"/>
      <c r="R4972" s="7"/>
      <c r="T4972" s="7"/>
      <c r="V4972" s="7"/>
      <c r="X4972" s="7"/>
    </row>
    <row r="4973" spans="2:24">
      <c r="B4973" s="7"/>
      <c r="D4973" s="7"/>
      <c r="F4973" s="7"/>
      <c r="H4973" s="7"/>
      <c r="J4973" s="7"/>
      <c r="L4973" s="7"/>
      <c r="N4973" s="7"/>
      <c r="P4973" s="7"/>
      <c r="R4973" s="7"/>
      <c r="T4973" s="7"/>
      <c r="V4973" s="7"/>
      <c r="X4973" s="7"/>
    </row>
    <row r="4974" spans="2:24">
      <c r="B4974" s="7"/>
      <c r="D4974" s="7"/>
      <c r="F4974" s="7"/>
      <c r="H4974" s="7"/>
      <c r="J4974" s="7"/>
      <c r="L4974" s="7"/>
      <c r="N4974" s="7"/>
      <c r="P4974" s="7"/>
      <c r="R4974" s="7"/>
      <c r="T4974" s="7"/>
      <c r="V4974" s="7"/>
      <c r="X4974" s="7"/>
    </row>
    <row r="4975" spans="2:24">
      <c r="B4975" s="7"/>
      <c r="D4975" s="7"/>
      <c r="F4975" s="7"/>
      <c r="H4975" s="7"/>
      <c r="J4975" s="7"/>
      <c r="L4975" s="7"/>
      <c r="N4975" s="7"/>
      <c r="P4975" s="7"/>
      <c r="R4975" s="7"/>
      <c r="T4975" s="7"/>
      <c r="V4975" s="7"/>
      <c r="X4975" s="7"/>
    </row>
    <row r="4976" spans="2:24">
      <c r="B4976" s="7"/>
      <c r="D4976" s="7"/>
      <c r="F4976" s="7"/>
      <c r="H4976" s="7"/>
      <c r="J4976" s="7"/>
      <c r="L4976" s="7"/>
      <c r="N4976" s="7"/>
      <c r="P4976" s="7"/>
      <c r="R4976" s="7"/>
      <c r="T4976" s="7"/>
      <c r="V4976" s="7"/>
      <c r="X4976" s="7"/>
    </row>
    <row r="4977" spans="2:24">
      <c r="B4977" s="7"/>
      <c r="D4977" s="7"/>
      <c r="F4977" s="7"/>
      <c r="H4977" s="7"/>
      <c r="J4977" s="7"/>
      <c r="L4977" s="7"/>
      <c r="N4977" s="7"/>
      <c r="P4977" s="7"/>
      <c r="R4977" s="7"/>
      <c r="T4977" s="7"/>
      <c r="V4977" s="7"/>
      <c r="X4977" s="7"/>
    </row>
    <row r="4978" spans="2:24">
      <c r="B4978" s="7"/>
      <c r="D4978" s="7"/>
      <c r="F4978" s="7"/>
      <c r="H4978" s="7"/>
      <c r="J4978" s="7"/>
      <c r="L4978" s="7"/>
      <c r="N4978" s="7"/>
      <c r="P4978" s="7"/>
      <c r="R4978" s="7"/>
      <c r="T4978" s="7"/>
      <c r="V4978" s="7"/>
      <c r="X4978" s="7"/>
    </row>
    <row r="4979" spans="2:24">
      <c r="B4979" s="7"/>
      <c r="D4979" s="7"/>
      <c r="F4979" s="7"/>
      <c r="H4979" s="7"/>
      <c r="J4979" s="7"/>
      <c r="L4979" s="7"/>
      <c r="N4979" s="7"/>
      <c r="P4979" s="7"/>
      <c r="R4979" s="7"/>
      <c r="T4979" s="7"/>
      <c r="V4979" s="7"/>
      <c r="X4979" s="7"/>
    </row>
    <row r="4980" spans="2:24">
      <c r="B4980" s="7"/>
      <c r="D4980" s="7"/>
      <c r="F4980" s="7"/>
      <c r="H4980" s="7"/>
      <c r="J4980" s="7"/>
      <c r="L4980" s="7"/>
      <c r="N4980" s="7"/>
      <c r="P4980" s="7"/>
      <c r="R4980" s="7"/>
      <c r="T4980" s="7"/>
      <c r="V4980" s="7"/>
      <c r="X4980" s="7"/>
    </row>
    <row r="4981" spans="2:24">
      <c r="B4981" s="7"/>
      <c r="D4981" s="7"/>
      <c r="F4981" s="7"/>
      <c r="H4981" s="7"/>
      <c r="J4981" s="7"/>
      <c r="L4981" s="7"/>
      <c r="N4981" s="7"/>
      <c r="P4981" s="7"/>
      <c r="R4981" s="7"/>
      <c r="T4981" s="7"/>
      <c r="V4981" s="7"/>
      <c r="X4981" s="7"/>
    </row>
    <row r="4982" spans="2:24">
      <c r="B4982" s="7"/>
      <c r="D4982" s="7"/>
      <c r="F4982" s="7"/>
      <c r="H4982" s="7"/>
      <c r="J4982" s="7"/>
      <c r="L4982" s="7"/>
      <c r="N4982" s="7"/>
      <c r="P4982" s="7"/>
      <c r="R4982" s="7"/>
      <c r="T4982" s="7"/>
      <c r="V4982" s="7"/>
      <c r="X4982" s="7"/>
    </row>
    <row r="4983" spans="2:24">
      <c r="B4983" s="7"/>
      <c r="D4983" s="7"/>
      <c r="F4983" s="7"/>
      <c r="H4983" s="7"/>
      <c r="J4983" s="7"/>
      <c r="L4983" s="7"/>
      <c r="N4983" s="7"/>
      <c r="P4983" s="7"/>
      <c r="R4983" s="7"/>
      <c r="T4983" s="7"/>
      <c r="V4983" s="7"/>
      <c r="X4983" s="7"/>
    </row>
    <row r="4984" spans="2:24">
      <c r="B4984" s="7"/>
      <c r="D4984" s="7"/>
      <c r="F4984" s="7"/>
      <c r="H4984" s="7"/>
      <c r="J4984" s="7"/>
      <c r="L4984" s="7"/>
      <c r="N4984" s="7"/>
      <c r="P4984" s="7"/>
      <c r="R4984" s="7"/>
      <c r="T4984" s="7"/>
      <c r="V4984" s="7"/>
      <c r="X4984" s="7"/>
    </row>
    <row r="4985" spans="2:24">
      <c r="B4985" s="7"/>
      <c r="D4985" s="7"/>
      <c r="F4985" s="7"/>
      <c r="H4985" s="7"/>
      <c r="J4985" s="7"/>
      <c r="L4985" s="7"/>
      <c r="N4985" s="7"/>
      <c r="P4985" s="7"/>
      <c r="R4985" s="7"/>
      <c r="T4985" s="7"/>
      <c r="V4985" s="7"/>
      <c r="X4985" s="7"/>
    </row>
    <row r="4986" spans="2:24">
      <c r="B4986" s="7"/>
      <c r="D4986" s="7"/>
      <c r="F4986" s="7"/>
      <c r="H4986" s="7"/>
      <c r="J4986" s="7"/>
      <c r="L4986" s="7"/>
      <c r="N4986" s="7"/>
      <c r="P4986" s="7"/>
      <c r="R4986" s="7"/>
      <c r="T4986" s="7"/>
      <c r="V4986" s="7"/>
      <c r="X4986" s="7"/>
    </row>
    <row r="4987" spans="2:24">
      <c r="B4987" s="7"/>
      <c r="D4987" s="7"/>
      <c r="F4987" s="7"/>
      <c r="H4987" s="7"/>
      <c r="J4987" s="7"/>
      <c r="L4987" s="7"/>
      <c r="N4987" s="7"/>
      <c r="P4987" s="7"/>
      <c r="R4987" s="7"/>
      <c r="T4987" s="7"/>
      <c r="V4987" s="7"/>
      <c r="X4987" s="7"/>
    </row>
    <row r="4988" spans="2:24">
      <c r="B4988" s="7"/>
      <c r="D4988" s="7"/>
      <c r="F4988" s="7"/>
      <c r="H4988" s="7"/>
      <c r="J4988" s="7"/>
      <c r="L4988" s="7"/>
      <c r="N4988" s="7"/>
      <c r="P4988" s="7"/>
      <c r="R4988" s="7"/>
      <c r="T4988" s="7"/>
      <c r="V4988" s="7"/>
      <c r="X4988" s="7"/>
    </row>
    <row r="4989" spans="2:24">
      <c r="B4989" s="7"/>
      <c r="D4989" s="7"/>
      <c r="F4989" s="7"/>
      <c r="H4989" s="7"/>
      <c r="J4989" s="7"/>
      <c r="L4989" s="7"/>
      <c r="N4989" s="7"/>
      <c r="P4989" s="7"/>
      <c r="R4989" s="7"/>
      <c r="T4989" s="7"/>
      <c r="V4989" s="7"/>
      <c r="X4989" s="7"/>
    </row>
    <row r="4990" spans="2:24">
      <c r="B4990" s="7"/>
      <c r="D4990" s="7"/>
      <c r="F4990" s="7"/>
      <c r="H4990" s="7"/>
      <c r="J4990" s="7"/>
      <c r="L4990" s="7"/>
      <c r="N4990" s="7"/>
      <c r="P4990" s="7"/>
      <c r="R4990" s="7"/>
      <c r="T4990" s="7"/>
      <c r="V4990" s="7"/>
      <c r="X4990" s="7"/>
    </row>
    <row r="4991" spans="2:24">
      <c r="B4991" s="7"/>
      <c r="D4991" s="7"/>
      <c r="F4991" s="7"/>
      <c r="H4991" s="7"/>
      <c r="J4991" s="7"/>
      <c r="L4991" s="7"/>
      <c r="N4991" s="7"/>
      <c r="P4991" s="7"/>
      <c r="R4991" s="7"/>
      <c r="T4991" s="7"/>
      <c r="V4991" s="7"/>
      <c r="X4991" s="7"/>
    </row>
    <row r="4992" spans="2:24">
      <c r="B4992" s="7"/>
      <c r="D4992" s="7"/>
      <c r="F4992" s="7"/>
      <c r="H4992" s="7"/>
      <c r="J4992" s="7"/>
      <c r="L4992" s="7"/>
      <c r="N4992" s="7"/>
      <c r="P4992" s="7"/>
      <c r="R4992" s="7"/>
      <c r="T4992" s="7"/>
      <c r="V4992" s="7"/>
      <c r="X4992" s="7"/>
    </row>
    <row r="4993" spans="2:24">
      <c r="B4993" s="7"/>
      <c r="D4993" s="7"/>
      <c r="F4993" s="7"/>
      <c r="H4993" s="7"/>
      <c r="J4993" s="7"/>
      <c r="L4993" s="7"/>
      <c r="N4993" s="7"/>
      <c r="P4993" s="7"/>
      <c r="R4993" s="7"/>
      <c r="T4993" s="7"/>
      <c r="V4993" s="7"/>
      <c r="X4993" s="7"/>
    </row>
    <row r="4994" spans="2:24">
      <c r="B4994" s="7"/>
      <c r="D4994" s="7"/>
      <c r="F4994" s="7"/>
      <c r="H4994" s="7"/>
      <c r="J4994" s="7"/>
      <c r="L4994" s="7"/>
      <c r="N4994" s="7"/>
      <c r="P4994" s="7"/>
      <c r="R4994" s="7"/>
      <c r="T4994" s="7"/>
      <c r="V4994" s="7"/>
      <c r="X4994" s="7"/>
    </row>
    <row r="4995" spans="2:24">
      <c r="B4995" s="7"/>
      <c r="D4995" s="7"/>
      <c r="F4995" s="7"/>
      <c r="H4995" s="7"/>
      <c r="J4995" s="7"/>
      <c r="L4995" s="7"/>
      <c r="N4995" s="7"/>
      <c r="P4995" s="7"/>
      <c r="R4995" s="7"/>
      <c r="T4995" s="7"/>
      <c r="V4995" s="7"/>
      <c r="X4995" s="7"/>
    </row>
    <row r="4996" spans="2:24">
      <c r="B4996" s="7"/>
      <c r="D4996" s="7"/>
      <c r="F4996" s="7"/>
      <c r="H4996" s="7"/>
      <c r="J4996" s="7"/>
      <c r="L4996" s="7"/>
      <c r="N4996" s="7"/>
      <c r="P4996" s="7"/>
      <c r="R4996" s="7"/>
      <c r="T4996" s="7"/>
      <c r="V4996" s="7"/>
      <c r="X4996" s="7"/>
    </row>
    <row r="4997" spans="2:24">
      <c r="B4997" s="7"/>
      <c r="D4997" s="7"/>
      <c r="F4997" s="7"/>
      <c r="H4997" s="7"/>
      <c r="J4997" s="7"/>
      <c r="L4997" s="7"/>
      <c r="N4997" s="7"/>
      <c r="P4997" s="7"/>
      <c r="R4997" s="7"/>
      <c r="T4997" s="7"/>
      <c r="V4997" s="7"/>
      <c r="X4997" s="7"/>
    </row>
    <row r="4998" spans="2:24">
      <c r="B4998" s="7"/>
      <c r="D4998" s="7"/>
      <c r="F4998" s="7"/>
      <c r="H4998" s="7"/>
      <c r="J4998" s="7"/>
      <c r="L4998" s="7"/>
      <c r="N4998" s="7"/>
      <c r="P4998" s="7"/>
      <c r="R4998" s="7"/>
      <c r="T4998" s="7"/>
      <c r="V4998" s="7"/>
      <c r="X4998" s="7"/>
    </row>
    <row r="4999" spans="2:24">
      <c r="B4999" s="7"/>
      <c r="D4999" s="7"/>
      <c r="F4999" s="7"/>
      <c r="H4999" s="7"/>
      <c r="J4999" s="7"/>
      <c r="L4999" s="7"/>
      <c r="N4999" s="7"/>
      <c r="P4999" s="7"/>
      <c r="R4999" s="7"/>
      <c r="T4999" s="7"/>
      <c r="V4999" s="7"/>
      <c r="X4999" s="7"/>
    </row>
    <row r="5000" spans="2:24">
      <c r="B5000" s="7"/>
      <c r="D5000" s="7"/>
      <c r="F5000" s="7"/>
      <c r="H5000" s="7"/>
      <c r="J5000" s="7"/>
      <c r="L5000" s="7"/>
      <c r="N5000" s="7"/>
      <c r="P5000" s="7"/>
      <c r="R5000" s="7"/>
      <c r="T5000" s="7"/>
      <c r="V5000" s="7"/>
      <c r="X5000" s="7"/>
    </row>
    <row r="5001" spans="2:24">
      <c r="B5001" s="7"/>
      <c r="D5001" s="7"/>
      <c r="F5001" s="7"/>
      <c r="H5001" s="7"/>
      <c r="J5001" s="7"/>
      <c r="L5001" s="7"/>
      <c r="N5001" s="7"/>
      <c r="P5001" s="7"/>
      <c r="R5001" s="7"/>
      <c r="T5001" s="7"/>
      <c r="V5001" s="7"/>
      <c r="X5001" s="7"/>
    </row>
    <row r="5002" spans="2:24">
      <c r="B5002" s="7"/>
      <c r="D5002" s="7"/>
      <c r="F5002" s="7"/>
      <c r="H5002" s="7"/>
      <c r="J5002" s="7"/>
      <c r="L5002" s="7"/>
      <c r="N5002" s="7"/>
      <c r="P5002" s="7"/>
      <c r="R5002" s="7"/>
      <c r="T5002" s="7"/>
      <c r="V5002" s="7"/>
      <c r="X5002" s="7"/>
    </row>
    <row r="5003" spans="2:24">
      <c r="B5003" s="7"/>
      <c r="D5003" s="7"/>
      <c r="F5003" s="7"/>
      <c r="H5003" s="7"/>
      <c r="J5003" s="7"/>
      <c r="L5003" s="7"/>
      <c r="N5003" s="7"/>
      <c r="P5003" s="7"/>
      <c r="R5003" s="7"/>
      <c r="T5003" s="7"/>
      <c r="V5003" s="7"/>
      <c r="X5003" s="7"/>
    </row>
    <row r="5004" spans="2:24">
      <c r="B5004" s="7"/>
      <c r="D5004" s="7"/>
      <c r="F5004" s="7"/>
      <c r="H5004" s="7"/>
      <c r="J5004" s="7"/>
      <c r="L5004" s="7"/>
      <c r="N5004" s="7"/>
      <c r="P5004" s="7"/>
      <c r="R5004" s="7"/>
      <c r="T5004" s="7"/>
      <c r="V5004" s="7"/>
      <c r="X5004" s="7"/>
    </row>
    <row r="5005" spans="2:24">
      <c r="B5005" s="7"/>
      <c r="D5005" s="7"/>
      <c r="F5005" s="7"/>
      <c r="H5005" s="7"/>
      <c r="J5005" s="7"/>
      <c r="L5005" s="7"/>
      <c r="N5005" s="7"/>
      <c r="P5005" s="7"/>
      <c r="R5005" s="7"/>
      <c r="T5005" s="7"/>
      <c r="V5005" s="7"/>
      <c r="X5005" s="7"/>
    </row>
    <row r="5006" spans="2:24">
      <c r="B5006" s="7"/>
      <c r="D5006" s="7"/>
      <c r="F5006" s="7"/>
      <c r="H5006" s="7"/>
      <c r="J5006" s="7"/>
      <c r="L5006" s="7"/>
      <c r="N5006" s="7"/>
      <c r="P5006" s="7"/>
      <c r="R5006" s="7"/>
      <c r="T5006" s="7"/>
      <c r="V5006" s="7"/>
      <c r="X5006" s="7"/>
    </row>
    <row r="5007" spans="2:24">
      <c r="B5007" s="7"/>
      <c r="D5007" s="7"/>
      <c r="F5007" s="7"/>
      <c r="H5007" s="7"/>
      <c r="J5007" s="7"/>
      <c r="L5007" s="7"/>
      <c r="N5007" s="7"/>
      <c r="P5007" s="7"/>
      <c r="R5007" s="7"/>
      <c r="T5007" s="7"/>
      <c r="V5007" s="7"/>
      <c r="X5007" s="7"/>
    </row>
    <row r="5008" spans="2:24">
      <c r="B5008" s="7"/>
      <c r="D5008" s="7"/>
      <c r="F5008" s="7"/>
      <c r="H5008" s="7"/>
      <c r="J5008" s="7"/>
      <c r="L5008" s="7"/>
      <c r="N5008" s="7"/>
      <c r="P5008" s="7"/>
      <c r="R5008" s="7"/>
      <c r="T5008" s="7"/>
      <c r="V5008" s="7"/>
      <c r="X5008" s="7"/>
    </row>
    <row r="5009" spans="2:24">
      <c r="B5009" s="7"/>
      <c r="D5009" s="7"/>
      <c r="F5009" s="7"/>
      <c r="H5009" s="7"/>
      <c r="J5009" s="7"/>
      <c r="L5009" s="7"/>
      <c r="N5009" s="7"/>
      <c r="P5009" s="7"/>
      <c r="R5009" s="7"/>
      <c r="T5009" s="7"/>
      <c r="V5009" s="7"/>
      <c r="X5009" s="7"/>
    </row>
    <row r="5010" spans="2:24">
      <c r="B5010" s="7"/>
      <c r="D5010" s="7"/>
      <c r="F5010" s="7"/>
      <c r="H5010" s="7"/>
      <c r="J5010" s="7"/>
      <c r="L5010" s="7"/>
      <c r="N5010" s="7"/>
      <c r="P5010" s="7"/>
      <c r="R5010" s="7"/>
      <c r="T5010" s="7"/>
      <c r="V5010" s="7"/>
      <c r="X5010" s="7"/>
    </row>
    <row r="5011" spans="2:24">
      <c r="B5011" s="7"/>
      <c r="D5011" s="7"/>
      <c r="F5011" s="7"/>
      <c r="H5011" s="7"/>
      <c r="J5011" s="7"/>
      <c r="L5011" s="7"/>
      <c r="N5011" s="7"/>
      <c r="P5011" s="7"/>
      <c r="R5011" s="7"/>
      <c r="T5011" s="7"/>
      <c r="V5011" s="7"/>
      <c r="X5011" s="7"/>
    </row>
    <row r="5012" spans="2:24">
      <c r="B5012" s="7"/>
      <c r="D5012" s="7"/>
      <c r="F5012" s="7"/>
      <c r="H5012" s="7"/>
      <c r="J5012" s="7"/>
      <c r="L5012" s="7"/>
      <c r="N5012" s="7"/>
      <c r="P5012" s="7"/>
      <c r="R5012" s="7"/>
      <c r="T5012" s="7"/>
      <c r="V5012" s="7"/>
      <c r="X5012" s="7"/>
    </row>
    <row r="5013" spans="2:24">
      <c r="B5013" s="7"/>
      <c r="D5013" s="7"/>
      <c r="F5013" s="7"/>
      <c r="H5013" s="7"/>
      <c r="J5013" s="7"/>
      <c r="L5013" s="7"/>
      <c r="N5013" s="7"/>
      <c r="P5013" s="7"/>
      <c r="R5013" s="7"/>
      <c r="T5013" s="7"/>
      <c r="V5013" s="7"/>
      <c r="X5013" s="7"/>
    </row>
    <row r="5014" spans="2:24">
      <c r="B5014" s="7"/>
      <c r="D5014" s="7"/>
      <c r="F5014" s="7"/>
      <c r="H5014" s="7"/>
      <c r="J5014" s="7"/>
      <c r="L5014" s="7"/>
      <c r="N5014" s="7"/>
      <c r="P5014" s="7"/>
      <c r="R5014" s="7"/>
      <c r="T5014" s="7"/>
      <c r="V5014" s="7"/>
      <c r="X5014" s="7"/>
    </row>
    <row r="5015" spans="2:24">
      <c r="B5015" s="7"/>
      <c r="D5015" s="7"/>
      <c r="F5015" s="7"/>
      <c r="H5015" s="7"/>
      <c r="J5015" s="7"/>
      <c r="L5015" s="7"/>
      <c r="N5015" s="7"/>
      <c r="P5015" s="7"/>
      <c r="R5015" s="7"/>
      <c r="T5015" s="7"/>
      <c r="V5015" s="7"/>
      <c r="X5015" s="7"/>
    </row>
    <row r="5016" spans="2:24">
      <c r="B5016" s="7"/>
      <c r="D5016" s="7"/>
      <c r="F5016" s="7"/>
      <c r="H5016" s="7"/>
      <c r="J5016" s="7"/>
      <c r="L5016" s="7"/>
      <c r="N5016" s="7"/>
      <c r="P5016" s="7"/>
      <c r="R5016" s="7"/>
      <c r="T5016" s="7"/>
      <c r="V5016" s="7"/>
      <c r="X5016" s="7"/>
    </row>
    <row r="5017" spans="2:24">
      <c r="B5017" s="7"/>
      <c r="D5017" s="7"/>
      <c r="F5017" s="7"/>
      <c r="H5017" s="7"/>
      <c r="J5017" s="7"/>
      <c r="L5017" s="7"/>
      <c r="N5017" s="7"/>
      <c r="P5017" s="7"/>
      <c r="R5017" s="7"/>
      <c r="T5017" s="7"/>
      <c r="V5017" s="7"/>
      <c r="X5017" s="7"/>
    </row>
    <row r="5018" spans="2:24">
      <c r="B5018" s="7"/>
      <c r="D5018" s="7"/>
      <c r="F5018" s="7"/>
      <c r="H5018" s="7"/>
      <c r="J5018" s="7"/>
      <c r="L5018" s="7"/>
      <c r="N5018" s="7"/>
      <c r="P5018" s="7"/>
      <c r="R5018" s="7"/>
      <c r="T5018" s="7"/>
      <c r="V5018" s="7"/>
      <c r="X5018" s="7"/>
    </row>
    <row r="5019" spans="2:24">
      <c r="B5019" s="7"/>
      <c r="D5019" s="7"/>
      <c r="F5019" s="7"/>
      <c r="H5019" s="7"/>
      <c r="J5019" s="7"/>
      <c r="L5019" s="7"/>
      <c r="N5019" s="7"/>
      <c r="P5019" s="7"/>
      <c r="R5019" s="7"/>
      <c r="T5019" s="7"/>
      <c r="V5019" s="7"/>
      <c r="X5019" s="7"/>
    </row>
    <row r="5020" spans="2:24">
      <c r="B5020" s="7"/>
      <c r="D5020" s="7"/>
      <c r="F5020" s="7"/>
      <c r="H5020" s="7"/>
      <c r="J5020" s="7"/>
      <c r="L5020" s="7"/>
      <c r="N5020" s="7"/>
      <c r="P5020" s="7"/>
      <c r="R5020" s="7"/>
      <c r="T5020" s="7"/>
      <c r="V5020" s="7"/>
      <c r="X5020" s="7"/>
    </row>
    <row r="5021" spans="2:24">
      <c r="B5021" s="7"/>
      <c r="D5021" s="7"/>
      <c r="F5021" s="7"/>
      <c r="H5021" s="7"/>
      <c r="J5021" s="7"/>
      <c r="L5021" s="7"/>
      <c r="N5021" s="7"/>
      <c r="P5021" s="7"/>
      <c r="R5021" s="7"/>
      <c r="T5021" s="7"/>
      <c r="V5021" s="7"/>
      <c r="X5021" s="7"/>
    </row>
    <row r="5022" spans="2:24">
      <c r="B5022" s="7"/>
      <c r="D5022" s="7"/>
      <c r="F5022" s="7"/>
      <c r="H5022" s="7"/>
      <c r="J5022" s="7"/>
      <c r="L5022" s="7"/>
      <c r="N5022" s="7"/>
      <c r="P5022" s="7"/>
      <c r="R5022" s="7"/>
      <c r="T5022" s="7"/>
      <c r="V5022" s="7"/>
      <c r="X5022" s="7"/>
    </row>
    <row r="5023" spans="2:24">
      <c r="B5023" s="7"/>
      <c r="D5023" s="7"/>
      <c r="F5023" s="7"/>
      <c r="H5023" s="7"/>
      <c r="J5023" s="7"/>
      <c r="L5023" s="7"/>
      <c r="N5023" s="7"/>
      <c r="P5023" s="7"/>
      <c r="R5023" s="7"/>
      <c r="T5023" s="7"/>
      <c r="V5023" s="7"/>
      <c r="X5023" s="7"/>
    </row>
    <row r="5024" spans="2:24">
      <c r="B5024" s="7"/>
      <c r="D5024" s="7"/>
      <c r="F5024" s="7"/>
      <c r="H5024" s="7"/>
      <c r="J5024" s="7"/>
      <c r="L5024" s="7"/>
      <c r="N5024" s="7"/>
      <c r="P5024" s="7"/>
      <c r="R5024" s="7"/>
      <c r="T5024" s="7"/>
      <c r="V5024" s="7"/>
      <c r="X5024" s="7"/>
    </row>
    <row r="5025" spans="2:24">
      <c r="B5025" s="7"/>
      <c r="D5025" s="7"/>
      <c r="F5025" s="7"/>
      <c r="H5025" s="7"/>
      <c r="J5025" s="7"/>
      <c r="L5025" s="7"/>
      <c r="N5025" s="7"/>
      <c r="P5025" s="7"/>
      <c r="R5025" s="7"/>
      <c r="T5025" s="7"/>
      <c r="V5025" s="7"/>
      <c r="X5025" s="7"/>
    </row>
    <row r="5026" spans="2:24">
      <c r="B5026" s="7"/>
      <c r="D5026" s="7"/>
      <c r="F5026" s="7"/>
      <c r="H5026" s="7"/>
      <c r="J5026" s="7"/>
      <c r="L5026" s="7"/>
      <c r="N5026" s="7"/>
      <c r="P5026" s="7"/>
      <c r="R5026" s="7"/>
      <c r="T5026" s="7"/>
      <c r="V5026" s="7"/>
      <c r="X5026" s="7"/>
    </row>
    <row r="5027" spans="2:24">
      <c r="B5027" s="7"/>
      <c r="D5027" s="7"/>
      <c r="F5027" s="7"/>
      <c r="H5027" s="7"/>
      <c r="J5027" s="7"/>
      <c r="L5027" s="7"/>
      <c r="N5027" s="7"/>
      <c r="P5027" s="7"/>
      <c r="R5027" s="7"/>
      <c r="T5027" s="7"/>
      <c r="V5027" s="7"/>
      <c r="X5027" s="7"/>
    </row>
    <row r="5028" spans="2:24">
      <c r="B5028" s="7"/>
      <c r="D5028" s="7"/>
      <c r="F5028" s="7"/>
      <c r="H5028" s="7"/>
      <c r="J5028" s="7"/>
      <c r="L5028" s="7"/>
      <c r="N5028" s="7"/>
      <c r="P5028" s="7"/>
      <c r="R5028" s="7"/>
      <c r="T5028" s="7"/>
      <c r="V5028" s="7"/>
      <c r="X5028" s="7"/>
    </row>
    <row r="5029" spans="2:24">
      <c r="B5029" s="7"/>
      <c r="D5029" s="7"/>
      <c r="F5029" s="7"/>
      <c r="H5029" s="7"/>
      <c r="J5029" s="7"/>
      <c r="L5029" s="7"/>
      <c r="N5029" s="7"/>
      <c r="P5029" s="7"/>
      <c r="R5029" s="7"/>
      <c r="T5029" s="7"/>
      <c r="V5029" s="7"/>
      <c r="X5029" s="7"/>
    </row>
    <row r="5030" spans="2:24">
      <c r="B5030" s="7"/>
      <c r="D5030" s="7"/>
      <c r="F5030" s="7"/>
      <c r="H5030" s="7"/>
      <c r="J5030" s="7"/>
      <c r="L5030" s="7"/>
      <c r="N5030" s="7"/>
      <c r="P5030" s="7"/>
      <c r="R5030" s="7"/>
      <c r="T5030" s="7"/>
      <c r="V5030" s="7"/>
      <c r="X5030" s="7"/>
    </row>
    <row r="5031" spans="2:24">
      <c r="B5031" s="7"/>
      <c r="D5031" s="7"/>
      <c r="F5031" s="7"/>
      <c r="H5031" s="7"/>
      <c r="J5031" s="7"/>
      <c r="L5031" s="7"/>
      <c r="N5031" s="7"/>
      <c r="P5031" s="7"/>
      <c r="R5031" s="7"/>
      <c r="T5031" s="7"/>
      <c r="V5031" s="7"/>
      <c r="X5031" s="7"/>
    </row>
    <row r="5032" spans="2:24">
      <c r="B5032" s="7"/>
      <c r="D5032" s="7"/>
      <c r="F5032" s="7"/>
      <c r="H5032" s="7"/>
      <c r="J5032" s="7"/>
      <c r="L5032" s="7"/>
      <c r="N5032" s="7"/>
      <c r="P5032" s="7"/>
      <c r="R5032" s="7"/>
      <c r="T5032" s="7"/>
      <c r="V5032" s="7"/>
      <c r="X5032" s="7"/>
    </row>
    <row r="5033" spans="2:24">
      <c r="B5033" s="7"/>
      <c r="D5033" s="7"/>
      <c r="F5033" s="7"/>
      <c r="H5033" s="7"/>
      <c r="J5033" s="7"/>
      <c r="L5033" s="7"/>
      <c r="N5033" s="7"/>
      <c r="P5033" s="7"/>
      <c r="R5033" s="7"/>
      <c r="T5033" s="7"/>
      <c r="V5033" s="7"/>
      <c r="X5033" s="7"/>
    </row>
    <row r="5034" spans="2:24">
      <c r="B5034" s="7"/>
      <c r="D5034" s="7"/>
      <c r="F5034" s="7"/>
      <c r="H5034" s="7"/>
      <c r="J5034" s="7"/>
      <c r="L5034" s="7"/>
      <c r="N5034" s="7"/>
      <c r="P5034" s="7"/>
      <c r="R5034" s="7"/>
      <c r="T5034" s="7"/>
      <c r="V5034" s="7"/>
      <c r="X5034" s="7"/>
    </row>
    <row r="5035" spans="2:24">
      <c r="B5035" s="7"/>
      <c r="D5035" s="7"/>
      <c r="F5035" s="7"/>
      <c r="H5035" s="7"/>
      <c r="J5035" s="7"/>
      <c r="L5035" s="7"/>
      <c r="N5035" s="7"/>
      <c r="P5035" s="7"/>
      <c r="R5035" s="7"/>
      <c r="T5035" s="7"/>
      <c r="V5035" s="7"/>
      <c r="X5035" s="7"/>
    </row>
    <row r="5036" spans="2:24">
      <c r="B5036" s="7"/>
      <c r="D5036" s="7"/>
      <c r="F5036" s="7"/>
      <c r="H5036" s="7"/>
      <c r="J5036" s="7"/>
      <c r="L5036" s="7"/>
      <c r="N5036" s="7"/>
      <c r="P5036" s="7"/>
      <c r="R5036" s="7"/>
      <c r="T5036" s="7"/>
      <c r="V5036" s="7"/>
      <c r="X5036" s="7"/>
    </row>
    <row r="5037" spans="2:24">
      <c r="B5037" s="7"/>
      <c r="D5037" s="7"/>
      <c r="F5037" s="7"/>
      <c r="H5037" s="7"/>
      <c r="J5037" s="7"/>
      <c r="L5037" s="7"/>
      <c r="N5037" s="7"/>
      <c r="P5037" s="7"/>
      <c r="R5037" s="7"/>
      <c r="T5037" s="7"/>
      <c r="V5037" s="7"/>
      <c r="X5037" s="7"/>
    </row>
    <row r="5038" spans="2:24">
      <c r="B5038" s="7"/>
      <c r="D5038" s="7"/>
      <c r="F5038" s="7"/>
      <c r="H5038" s="7"/>
      <c r="J5038" s="7"/>
      <c r="L5038" s="7"/>
      <c r="N5038" s="7"/>
      <c r="P5038" s="7"/>
      <c r="R5038" s="7"/>
      <c r="T5038" s="7"/>
      <c r="V5038" s="7"/>
      <c r="X5038" s="7"/>
    </row>
    <row r="5039" spans="2:24">
      <c r="B5039" s="7"/>
      <c r="D5039" s="7"/>
      <c r="F5039" s="7"/>
      <c r="H5039" s="7"/>
      <c r="J5039" s="7"/>
      <c r="L5039" s="7"/>
      <c r="N5039" s="7"/>
      <c r="P5039" s="7"/>
      <c r="R5039" s="7"/>
      <c r="T5039" s="7"/>
      <c r="V5039" s="7"/>
      <c r="X5039" s="7"/>
    </row>
    <row r="5040" spans="2:24">
      <c r="B5040" s="7"/>
      <c r="D5040" s="7"/>
      <c r="F5040" s="7"/>
      <c r="H5040" s="7"/>
      <c r="J5040" s="7"/>
      <c r="L5040" s="7"/>
      <c r="N5040" s="7"/>
      <c r="P5040" s="7"/>
      <c r="R5040" s="7"/>
      <c r="T5040" s="7"/>
      <c r="V5040" s="7"/>
      <c r="X5040" s="7"/>
    </row>
    <row r="5041" spans="2:24">
      <c r="B5041" s="7"/>
      <c r="D5041" s="7"/>
      <c r="F5041" s="7"/>
      <c r="H5041" s="7"/>
      <c r="J5041" s="7"/>
      <c r="L5041" s="7"/>
      <c r="N5041" s="7"/>
      <c r="P5041" s="7"/>
      <c r="R5041" s="7"/>
      <c r="T5041" s="7"/>
      <c r="V5041" s="7"/>
      <c r="X5041" s="7"/>
    </row>
    <row r="5042" spans="2:24">
      <c r="B5042" s="7"/>
      <c r="D5042" s="7"/>
      <c r="F5042" s="7"/>
      <c r="H5042" s="7"/>
      <c r="J5042" s="7"/>
      <c r="L5042" s="7"/>
      <c r="N5042" s="7"/>
      <c r="P5042" s="7"/>
      <c r="R5042" s="7"/>
      <c r="T5042" s="7"/>
      <c r="V5042" s="7"/>
      <c r="X5042" s="7"/>
    </row>
    <row r="5043" spans="2:24">
      <c r="B5043" s="7"/>
      <c r="D5043" s="7"/>
      <c r="F5043" s="7"/>
      <c r="H5043" s="7"/>
      <c r="J5043" s="7"/>
      <c r="L5043" s="7"/>
      <c r="N5043" s="7"/>
      <c r="P5043" s="7"/>
      <c r="R5043" s="7"/>
      <c r="T5043" s="7"/>
      <c r="V5043" s="7"/>
      <c r="X5043" s="7"/>
    </row>
    <row r="5044" spans="2:24">
      <c r="B5044" s="7"/>
      <c r="D5044" s="7"/>
      <c r="F5044" s="7"/>
      <c r="H5044" s="7"/>
      <c r="J5044" s="7"/>
      <c r="L5044" s="7"/>
      <c r="N5044" s="7"/>
      <c r="P5044" s="7"/>
      <c r="R5044" s="7"/>
      <c r="T5044" s="7"/>
      <c r="V5044" s="7"/>
      <c r="X5044" s="7"/>
    </row>
    <row r="5045" spans="2:24">
      <c r="B5045" s="7"/>
      <c r="D5045" s="7"/>
      <c r="F5045" s="7"/>
      <c r="H5045" s="7"/>
      <c r="J5045" s="7"/>
      <c r="L5045" s="7"/>
      <c r="N5045" s="7"/>
      <c r="P5045" s="7"/>
      <c r="R5045" s="7"/>
      <c r="T5045" s="7"/>
      <c r="V5045" s="7"/>
      <c r="X5045" s="7"/>
    </row>
    <row r="5046" spans="2:24">
      <c r="B5046" s="7"/>
      <c r="D5046" s="7"/>
      <c r="F5046" s="7"/>
      <c r="H5046" s="7"/>
      <c r="J5046" s="7"/>
      <c r="L5046" s="7"/>
      <c r="N5046" s="7"/>
      <c r="P5046" s="7"/>
      <c r="R5046" s="7"/>
      <c r="T5046" s="7"/>
      <c r="V5046" s="7"/>
      <c r="X5046" s="7"/>
    </row>
    <row r="5047" spans="2:24">
      <c r="B5047" s="7"/>
      <c r="D5047" s="7"/>
      <c r="F5047" s="7"/>
      <c r="H5047" s="7"/>
      <c r="J5047" s="7"/>
      <c r="L5047" s="7"/>
      <c r="N5047" s="7"/>
      <c r="P5047" s="7"/>
      <c r="R5047" s="7"/>
      <c r="T5047" s="7"/>
      <c r="V5047" s="7"/>
      <c r="X5047" s="7"/>
    </row>
    <row r="5048" spans="2:24">
      <c r="B5048" s="7"/>
      <c r="D5048" s="7"/>
      <c r="F5048" s="7"/>
      <c r="H5048" s="7"/>
      <c r="J5048" s="7"/>
      <c r="L5048" s="7"/>
      <c r="N5048" s="7"/>
      <c r="P5048" s="7"/>
      <c r="R5048" s="7"/>
      <c r="T5048" s="7"/>
      <c r="V5048" s="7"/>
      <c r="X5048" s="7"/>
    </row>
    <row r="5049" spans="2:24">
      <c r="B5049" s="7"/>
      <c r="D5049" s="7"/>
      <c r="F5049" s="7"/>
      <c r="H5049" s="7"/>
      <c r="J5049" s="7"/>
      <c r="L5049" s="7"/>
      <c r="N5049" s="7"/>
      <c r="P5049" s="7"/>
      <c r="R5049" s="7"/>
      <c r="T5049" s="7"/>
      <c r="V5049" s="7"/>
      <c r="X5049" s="7"/>
    </row>
    <row r="5050" spans="2:24">
      <c r="B5050" s="7"/>
      <c r="D5050" s="7"/>
      <c r="F5050" s="7"/>
      <c r="H5050" s="7"/>
      <c r="J5050" s="7"/>
      <c r="L5050" s="7"/>
      <c r="N5050" s="7"/>
      <c r="P5050" s="7"/>
      <c r="R5050" s="7"/>
      <c r="T5050" s="7"/>
      <c r="V5050" s="7"/>
      <c r="X5050" s="7"/>
    </row>
    <row r="5051" spans="2:24">
      <c r="B5051" s="7"/>
      <c r="D5051" s="7"/>
      <c r="F5051" s="7"/>
      <c r="H5051" s="7"/>
      <c r="J5051" s="7"/>
      <c r="L5051" s="7"/>
      <c r="N5051" s="7"/>
      <c r="P5051" s="7"/>
      <c r="R5051" s="7"/>
      <c r="T5051" s="7"/>
      <c r="V5051" s="7"/>
      <c r="X5051" s="7"/>
    </row>
    <row r="5052" spans="2:24">
      <c r="B5052" s="7"/>
      <c r="D5052" s="7"/>
      <c r="F5052" s="7"/>
      <c r="H5052" s="7"/>
      <c r="J5052" s="7"/>
      <c r="L5052" s="7"/>
      <c r="N5052" s="7"/>
      <c r="P5052" s="7"/>
      <c r="R5052" s="7"/>
      <c r="T5052" s="7"/>
      <c r="V5052" s="7"/>
      <c r="X5052" s="7"/>
    </row>
    <row r="5053" spans="2:24">
      <c r="B5053" s="7"/>
      <c r="D5053" s="7"/>
      <c r="F5053" s="7"/>
      <c r="H5053" s="7"/>
      <c r="J5053" s="7"/>
      <c r="L5053" s="7"/>
      <c r="N5053" s="7"/>
      <c r="P5053" s="7"/>
      <c r="R5053" s="7"/>
      <c r="T5053" s="7"/>
      <c r="V5053" s="7"/>
      <c r="X5053" s="7"/>
    </row>
    <row r="5054" spans="2:24">
      <c r="B5054" s="7"/>
      <c r="D5054" s="7"/>
      <c r="F5054" s="7"/>
      <c r="H5054" s="7"/>
      <c r="J5054" s="7"/>
      <c r="L5054" s="7"/>
      <c r="N5054" s="7"/>
      <c r="P5054" s="7"/>
      <c r="R5054" s="7"/>
      <c r="T5054" s="7"/>
      <c r="V5054" s="7"/>
      <c r="X5054" s="7"/>
    </row>
    <row r="5055" spans="2:24">
      <c r="B5055" s="7"/>
      <c r="D5055" s="7"/>
      <c r="F5055" s="7"/>
      <c r="H5055" s="7"/>
      <c r="J5055" s="7"/>
      <c r="L5055" s="7"/>
      <c r="N5055" s="7"/>
      <c r="P5055" s="7"/>
      <c r="R5055" s="7"/>
      <c r="T5055" s="7"/>
      <c r="V5055" s="7"/>
      <c r="X5055" s="7"/>
    </row>
    <row r="5056" spans="2:24">
      <c r="B5056" s="7"/>
      <c r="D5056" s="7"/>
      <c r="F5056" s="7"/>
      <c r="H5056" s="7"/>
      <c r="J5056" s="7"/>
      <c r="L5056" s="7"/>
      <c r="N5056" s="7"/>
      <c r="P5056" s="7"/>
      <c r="R5056" s="7"/>
      <c r="T5056" s="7"/>
      <c r="V5056" s="7"/>
      <c r="X5056" s="7"/>
    </row>
    <row r="5057" spans="2:24">
      <c r="B5057" s="7"/>
      <c r="D5057" s="7"/>
      <c r="F5057" s="7"/>
      <c r="H5057" s="7"/>
      <c r="J5057" s="7"/>
      <c r="L5057" s="7"/>
      <c r="N5057" s="7"/>
      <c r="P5057" s="7"/>
      <c r="R5057" s="7"/>
      <c r="T5057" s="7"/>
      <c r="V5057" s="7"/>
      <c r="X5057" s="7"/>
    </row>
    <row r="5058" spans="2:24">
      <c r="B5058" s="7"/>
      <c r="D5058" s="7"/>
      <c r="F5058" s="7"/>
      <c r="H5058" s="7"/>
      <c r="J5058" s="7"/>
      <c r="L5058" s="7"/>
      <c r="N5058" s="7"/>
      <c r="P5058" s="7"/>
      <c r="R5058" s="7"/>
      <c r="T5058" s="7"/>
      <c r="V5058" s="7"/>
      <c r="X5058" s="7"/>
    </row>
    <row r="5059" spans="2:24">
      <c r="B5059" s="7"/>
      <c r="D5059" s="7"/>
      <c r="F5059" s="7"/>
      <c r="H5059" s="7"/>
      <c r="J5059" s="7"/>
      <c r="L5059" s="7"/>
      <c r="N5059" s="7"/>
      <c r="P5059" s="7"/>
      <c r="R5059" s="7"/>
      <c r="T5059" s="7"/>
      <c r="V5059" s="7"/>
      <c r="X5059" s="7"/>
    </row>
    <row r="5060" spans="2:24">
      <c r="B5060" s="7"/>
      <c r="D5060" s="7"/>
      <c r="F5060" s="7"/>
      <c r="H5060" s="7"/>
      <c r="J5060" s="7"/>
      <c r="L5060" s="7"/>
      <c r="N5060" s="7"/>
      <c r="P5060" s="7"/>
      <c r="R5060" s="7"/>
      <c r="T5060" s="7"/>
      <c r="V5060" s="7"/>
      <c r="X5060" s="7"/>
    </row>
    <row r="5061" spans="2:24">
      <c r="B5061" s="7"/>
      <c r="D5061" s="7"/>
      <c r="F5061" s="7"/>
      <c r="H5061" s="7"/>
      <c r="J5061" s="7"/>
      <c r="L5061" s="7"/>
      <c r="N5061" s="7"/>
      <c r="P5061" s="7"/>
      <c r="R5061" s="7"/>
      <c r="T5061" s="7"/>
      <c r="V5061" s="7"/>
      <c r="X5061" s="7"/>
    </row>
    <row r="5062" spans="2:24">
      <c r="B5062" s="7"/>
      <c r="D5062" s="7"/>
      <c r="F5062" s="7"/>
      <c r="H5062" s="7"/>
      <c r="J5062" s="7"/>
      <c r="L5062" s="7"/>
      <c r="N5062" s="7"/>
      <c r="P5062" s="7"/>
      <c r="R5062" s="7"/>
      <c r="T5062" s="7"/>
      <c r="V5062" s="7"/>
      <c r="X5062" s="7"/>
    </row>
    <row r="5063" spans="2:24">
      <c r="B5063" s="7"/>
      <c r="D5063" s="7"/>
      <c r="F5063" s="7"/>
      <c r="H5063" s="7"/>
      <c r="J5063" s="7"/>
      <c r="L5063" s="7"/>
      <c r="N5063" s="7"/>
      <c r="P5063" s="7"/>
      <c r="R5063" s="7"/>
      <c r="T5063" s="7"/>
      <c r="V5063" s="7"/>
      <c r="X5063" s="7"/>
    </row>
    <row r="5064" spans="2:24">
      <c r="B5064" s="7"/>
      <c r="D5064" s="7"/>
      <c r="F5064" s="7"/>
      <c r="H5064" s="7"/>
      <c r="J5064" s="7"/>
      <c r="L5064" s="7"/>
      <c r="N5064" s="7"/>
      <c r="P5064" s="7"/>
      <c r="R5064" s="7"/>
      <c r="T5064" s="7"/>
      <c r="V5064" s="7"/>
      <c r="X5064" s="7"/>
    </row>
    <row r="5065" spans="2:24">
      <c r="B5065" s="7"/>
      <c r="D5065" s="7"/>
      <c r="F5065" s="7"/>
      <c r="H5065" s="7"/>
      <c r="J5065" s="7"/>
      <c r="L5065" s="7"/>
      <c r="N5065" s="7"/>
      <c r="P5065" s="7"/>
      <c r="R5065" s="7"/>
      <c r="T5065" s="7"/>
      <c r="V5065" s="7"/>
      <c r="X5065" s="7"/>
    </row>
    <row r="5066" spans="2:24">
      <c r="B5066" s="7"/>
      <c r="D5066" s="7"/>
      <c r="F5066" s="7"/>
      <c r="H5066" s="7"/>
      <c r="J5066" s="7"/>
      <c r="L5066" s="7"/>
      <c r="N5066" s="7"/>
      <c r="P5066" s="7"/>
      <c r="R5066" s="7"/>
      <c r="T5066" s="7"/>
      <c r="V5066" s="7"/>
      <c r="X5066" s="7"/>
    </row>
    <row r="5067" spans="2:24">
      <c r="B5067" s="7"/>
      <c r="D5067" s="7"/>
      <c r="F5067" s="7"/>
      <c r="H5067" s="7"/>
      <c r="J5067" s="7"/>
      <c r="L5067" s="7"/>
      <c r="N5067" s="7"/>
      <c r="P5067" s="7"/>
      <c r="R5067" s="7"/>
      <c r="T5067" s="7"/>
      <c r="V5067" s="7"/>
      <c r="X5067" s="7"/>
    </row>
    <row r="5068" spans="2:24">
      <c r="B5068" s="7"/>
      <c r="D5068" s="7"/>
      <c r="F5068" s="7"/>
      <c r="H5068" s="7"/>
      <c r="J5068" s="7"/>
      <c r="L5068" s="7"/>
      <c r="N5068" s="7"/>
      <c r="P5068" s="7"/>
      <c r="R5068" s="7"/>
      <c r="T5068" s="7"/>
      <c r="V5068" s="7"/>
      <c r="X5068" s="7"/>
    </row>
    <row r="5069" spans="2:24">
      <c r="B5069" s="7"/>
      <c r="D5069" s="7"/>
      <c r="F5069" s="7"/>
      <c r="H5069" s="7"/>
      <c r="J5069" s="7"/>
      <c r="L5069" s="7"/>
      <c r="N5069" s="7"/>
      <c r="P5069" s="7"/>
      <c r="R5069" s="7"/>
      <c r="T5069" s="7"/>
      <c r="V5069" s="7"/>
      <c r="X5069" s="7"/>
    </row>
    <row r="5070" spans="2:24">
      <c r="B5070" s="7"/>
      <c r="D5070" s="7"/>
      <c r="F5070" s="7"/>
      <c r="H5070" s="7"/>
      <c r="J5070" s="7"/>
      <c r="L5070" s="7"/>
      <c r="N5070" s="7"/>
      <c r="P5070" s="7"/>
      <c r="R5070" s="7"/>
      <c r="T5070" s="7"/>
      <c r="V5070" s="7"/>
      <c r="X5070" s="7"/>
    </row>
    <row r="5071" spans="2:24">
      <c r="B5071" s="7"/>
      <c r="D5071" s="7"/>
      <c r="F5071" s="7"/>
      <c r="H5071" s="7"/>
      <c r="J5071" s="7"/>
      <c r="L5071" s="7"/>
      <c r="N5071" s="7"/>
      <c r="P5071" s="7"/>
      <c r="R5071" s="7"/>
      <c r="T5071" s="7"/>
      <c r="V5071" s="7"/>
      <c r="X5071" s="7"/>
    </row>
    <row r="5072" spans="2:24">
      <c r="B5072" s="7"/>
      <c r="D5072" s="7"/>
      <c r="F5072" s="7"/>
      <c r="H5072" s="7"/>
      <c r="J5072" s="7"/>
      <c r="L5072" s="7"/>
      <c r="N5072" s="7"/>
      <c r="P5072" s="7"/>
      <c r="R5072" s="7"/>
      <c r="T5072" s="7"/>
      <c r="V5072" s="7"/>
      <c r="X5072" s="7"/>
    </row>
    <row r="5073" spans="2:24">
      <c r="B5073" s="7"/>
      <c r="D5073" s="7"/>
      <c r="F5073" s="7"/>
      <c r="H5073" s="7"/>
      <c r="J5073" s="7"/>
      <c r="L5073" s="7"/>
      <c r="N5073" s="7"/>
      <c r="P5073" s="7"/>
      <c r="R5073" s="7"/>
      <c r="T5073" s="7"/>
      <c r="V5073" s="7"/>
      <c r="X5073" s="7"/>
    </row>
    <row r="5074" spans="2:24">
      <c r="B5074" s="7"/>
      <c r="D5074" s="7"/>
      <c r="F5074" s="7"/>
      <c r="H5074" s="7"/>
      <c r="J5074" s="7"/>
      <c r="L5074" s="7"/>
      <c r="N5074" s="7"/>
      <c r="P5074" s="7"/>
      <c r="R5074" s="7"/>
      <c r="T5074" s="7"/>
      <c r="V5074" s="7"/>
      <c r="X5074" s="7"/>
    </row>
    <row r="5075" spans="2:24">
      <c r="B5075" s="7"/>
      <c r="D5075" s="7"/>
      <c r="F5075" s="7"/>
      <c r="H5075" s="7"/>
      <c r="J5075" s="7"/>
      <c r="L5075" s="7"/>
      <c r="N5075" s="7"/>
      <c r="P5075" s="7"/>
      <c r="R5075" s="7"/>
      <c r="T5075" s="7"/>
      <c r="V5075" s="7"/>
      <c r="X5075" s="7"/>
    </row>
    <row r="5076" spans="2:24">
      <c r="B5076" s="7"/>
      <c r="D5076" s="7"/>
      <c r="F5076" s="7"/>
      <c r="H5076" s="7"/>
      <c r="J5076" s="7"/>
      <c r="L5076" s="7"/>
      <c r="N5076" s="7"/>
      <c r="P5076" s="7"/>
      <c r="R5076" s="7"/>
      <c r="T5076" s="7"/>
      <c r="V5076" s="7"/>
      <c r="X5076" s="7"/>
    </row>
    <row r="5077" spans="2:24">
      <c r="B5077" s="7"/>
      <c r="D5077" s="7"/>
      <c r="F5077" s="7"/>
      <c r="H5077" s="7"/>
      <c r="J5077" s="7"/>
      <c r="L5077" s="7"/>
      <c r="N5077" s="7"/>
      <c r="P5077" s="7"/>
      <c r="R5077" s="7"/>
      <c r="T5077" s="7"/>
      <c r="V5077" s="7"/>
      <c r="X5077" s="7"/>
    </row>
    <row r="5078" spans="2:24">
      <c r="B5078" s="7"/>
      <c r="D5078" s="7"/>
      <c r="F5078" s="7"/>
      <c r="H5078" s="7"/>
      <c r="J5078" s="7"/>
      <c r="L5078" s="7"/>
      <c r="N5078" s="7"/>
      <c r="P5078" s="7"/>
      <c r="R5078" s="7"/>
      <c r="T5078" s="7"/>
      <c r="V5078" s="7"/>
      <c r="X5078" s="7"/>
    </row>
    <row r="5079" spans="2:24">
      <c r="B5079" s="7"/>
      <c r="D5079" s="7"/>
      <c r="F5079" s="7"/>
      <c r="H5079" s="7"/>
      <c r="J5079" s="7"/>
      <c r="L5079" s="7"/>
      <c r="N5079" s="7"/>
      <c r="P5079" s="7"/>
      <c r="R5079" s="7"/>
      <c r="T5079" s="7"/>
      <c r="V5079" s="7"/>
      <c r="X5079" s="7"/>
    </row>
    <row r="5080" spans="2:24">
      <c r="B5080" s="7"/>
      <c r="D5080" s="7"/>
      <c r="F5080" s="7"/>
      <c r="H5080" s="7"/>
      <c r="J5080" s="7"/>
      <c r="L5080" s="7"/>
      <c r="N5080" s="7"/>
      <c r="P5080" s="7"/>
      <c r="R5080" s="7"/>
      <c r="T5080" s="7"/>
      <c r="V5080" s="7"/>
      <c r="X5080" s="7"/>
    </row>
    <row r="5081" spans="2:24">
      <c r="B5081" s="7"/>
      <c r="D5081" s="7"/>
      <c r="F5081" s="7"/>
      <c r="H5081" s="7"/>
      <c r="J5081" s="7"/>
      <c r="L5081" s="7"/>
      <c r="N5081" s="7"/>
      <c r="P5081" s="7"/>
      <c r="R5081" s="7"/>
      <c r="T5081" s="7"/>
      <c r="V5081" s="7"/>
      <c r="X5081" s="7"/>
    </row>
    <row r="5082" spans="2:24">
      <c r="B5082" s="7"/>
      <c r="D5082" s="7"/>
      <c r="F5082" s="7"/>
      <c r="H5082" s="7"/>
      <c r="J5082" s="7"/>
      <c r="L5082" s="7"/>
      <c r="N5082" s="7"/>
      <c r="P5082" s="7"/>
      <c r="R5082" s="7"/>
      <c r="T5082" s="7"/>
      <c r="V5082" s="7"/>
      <c r="X5082" s="7"/>
    </row>
    <row r="5083" spans="2:24">
      <c r="B5083" s="7"/>
      <c r="D5083" s="7"/>
      <c r="F5083" s="7"/>
      <c r="H5083" s="7"/>
      <c r="J5083" s="7"/>
      <c r="L5083" s="7"/>
      <c r="N5083" s="7"/>
      <c r="P5083" s="7"/>
      <c r="R5083" s="7"/>
      <c r="T5083" s="7"/>
      <c r="V5083" s="7"/>
      <c r="X5083" s="7"/>
    </row>
    <row r="5084" spans="2:24">
      <c r="B5084" s="7"/>
      <c r="D5084" s="7"/>
      <c r="F5084" s="7"/>
      <c r="H5084" s="7"/>
      <c r="J5084" s="7"/>
      <c r="L5084" s="7"/>
      <c r="N5084" s="7"/>
      <c r="P5084" s="7"/>
      <c r="R5084" s="7"/>
      <c r="T5084" s="7"/>
      <c r="V5084" s="7"/>
      <c r="X5084" s="7"/>
    </row>
    <row r="5085" spans="2:24">
      <c r="B5085" s="7"/>
      <c r="D5085" s="7"/>
      <c r="F5085" s="7"/>
      <c r="H5085" s="7"/>
      <c r="J5085" s="7"/>
      <c r="L5085" s="7"/>
      <c r="N5085" s="7"/>
      <c r="P5085" s="7"/>
      <c r="R5085" s="7"/>
      <c r="T5085" s="7"/>
      <c r="V5085" s="7"/>
      <c r="X5085" s="7"/>
    </row>
    <row r="5086" spans="2:24">
      <c r="B5086" s="7"/>
      <c r="D5086" s="7"/>
      <c r="F5086" s="7"/>
      <c r="H5086" s="7"/>
      <c r="J5086" s="7"/>
      <c r="L5086" s="7"/>
      <c r="N5086" s="7"/>
      <c r="P5086" s="7"/>
      <c r="R5086" s="7"/>
      <c r="T5086" s="7"/>
      <c r="V5086" s="7"/>
      <c r="X5086" s="7"/>
    </row>
    <row r="5087" spans="2:24">
      <c r="B5087" s="7"/>
      <c r="D5087" s="7"/>
      <c r="F5087" s="7"/>
      <c r="H5087" s="7"/>
      <c r="J5087" s="7"/>
      <c r="L5087" s="7"/>
      <c r="N5087" s="7"/>
      <c r="P5087" s="7"/>
      <c r="R5087" s="7"/>
      <c r="T5087" s="7"/>
      <c r="V5087" s="7"/>
      <c r="X5087" s="7"/>
    </row>
    <row r="5088" spans="2:24">
      <c r="B5088" s="7"/>
      <c r="D5088" s="7"/>
      <c r="F5088" s="7"/>
      <c r="H5088" s="7"/>
      <c r="J5088" s="7"/>
      <c r="L5088" s="7"/>
      <c r="N5088" s="7"/>
      <c r="P5088" s="7"/>
      <c r="R5088" s="7"/>
      <c r="T5088" s="7"/>
      <c r="V5088" s="7"/>
      <c r="X5088" s="7"/>
    </row>
    <row r="5089" spans="2:24">
      <c r="B5089" s="7"/>
      <c r="D5089" s="7"/>
      <c r="F5089" s="7"/>
      <c r="H5089" s="7"/>
      <c r="J5089" s="7"/>
      <c r="L5089" s="7"/>
      <c r="N5089" s="7"/>
      <c r="P5089" s="7"/>
      <c r="R5089" s="7"/>
      <c r="T5089" s="7"/>
      <c r="V5089" s="7"/>
      <c r="X5089" s="7"/>
    </row>
    <row r="5090" spans="2:24">
      <c r="B5090" s="7"/>
      <c r="D5090" s="7"/>
      <c r="F5090" s="7"/>
      <c r="H5090" s="7"/>
      <c r="J5090" s="7"/>
      <c r="L5090" s="7"/>
      <c r="N5090" s="7"/>
      <c r="P5090" s="7"/>
      <c r="R5090" s="7"/>
      <c r="T5090" s="7"/>
      <c r="V5090" s="7"/>
      <c r="X5090" s="7"/>
    </row>
    <row r="5091" spans="2:24">
      <c r="B5091" s="7"/>
      <c r="D5091" s="7"/>
      <c r="F5091" s="7"/>
      <c r="H5091" s="7"/>
      <c r="J5091" s="7"/>
      <c r="L5091" s="7"/>
      <c r="N5091" s="7"/>
      <c r="P5091" s="7"/>
      <c r="R5091" s="7"/>
      <c r="T5091" s="7"/>
      <c r="V5091" s="7"/>
      <c r="X5091" s="7"/>
    </row>
    <row r="5092" spans="2:24">
      <c r="B5092" s="7"/>
      <c r="D5092" s="7"/>
      <c r="F5092" s="7"/>
      <c r="H5092" s="7"/>
      <c r="J5092" s="7"/>
      <c r="L5092" s="7"/>
      <c r="N5092" s="7"/>
      <c r="P5092" s="7"/>
      <c r="R5092" s="7"/>
      <c r="T5092" s="7"/>
      <c r="V5092" s="7"/>
      <c r="X5092" s="7"/>
    </row>
    <row r="5093" spans="2:24">
      <c r="B5093" s="7"/>
      <c r="D5093" s="7"/>
      <c r="F5093" s="7"/>
      <c r="H5093" s="7"/>
      <c r="J5093" s="7"/>
      <c r="L5093" s="7"/>
      <c r="N5093" s="7"/>
      <c r="P5093" s="7"/>
      <c r="R5093" s="7"/>
      <c r="T5093" s="7"/>
      <c r="V5093" s="7"/>
      <c r="X5093" s="7"/>
    </row>
    <row r="5094" spans="2:24">
      <c r="B5094" s="7"/>
      <c r="D5094" s="7"/>
      <c r="F5094" s="7"/>
      <c r="H5094" s="7"/>
      <c r="J5094" s="7"/>
      <c r="L5094" s="7"/>
      <c r="N5094" s="7"/>
      <c r="P5094" s="7"/>
      <c r="R5094" s="7"/>
      <c r="T5094" s="7"/>
      <c r="V5094" s="7"/>
      <c r="X5094" s="7"/>
    </row>
    <row r="5095" spans="2:24">
      <c r="B5095" s="7"/>
      <c r="D5095" s="7"/>
      <c r="F5095" s="7"/>
      <c r="H5095" s="7"/>
      <c r="J5095" s="7"/>
      <c r="L5095" s="7"/>
      <c r="N5095" s="7"/>
      <c r="P5095" s="7"/>
      <c r="R5095" s="7"/>
      <c r="T5095" s="7"/>
      <c r="V5095" s="7"/>
      <c r="X5095" s="7"/>
    </row>
    <row r="5096" spans="2:24">
      <c r="B5096" s="7"/>
      <c r="D5096" s="7"/>
      <c r="F5096" s="7"/>
      <c r="H5096" s="7"/>
      <c r="J5096" s="7"/>
      <c r="L5096" s="7"/>
      <c r="N5096" s="7"/>
      <c r="P5096" s="7"/>
      <c r="R5096" s="7"/>
      <c r="T5096" s="7"/>
      <c r="V5096" s="7"/>
      <c r="X5096" s="7"/>
    </row>
    <row r="5097" spans="2:24">
      <c r="B5097" s="7"/>
      <c r="D5097" s="7"/>
      <c r="F5097" s="7"/>
      <c r="H5097" s="7"/>
      <c r="J5097" s="7"/>
      <c r="L5097" s="7"/>
      <c r="N5097" s="7"/>
      <c r="P5097" s="7"/>
      <c r="R5097" s="7"/>
      <c r="T5097" s="7"/>
      <c r="V5097" s="7"/>
      <c r="X5097" s="7"/>
    </row>
    <row r="5098" spans="2:24">
      <c r="B5098" s="7"/>
      <c r="D5098" s="7"/>
      <c r="F5098" s="7"/>
      <c r="H5098" s="7"/>
      <c r="J5098" s="7"/>
      <c r="L5098" s="7"/>
      <c r="N5098" s="7"/>
      <c r="P5098" s="7"/>
      <c r="R5098" s="7"/>
      <c r="T5098" s="7"/>
      <c r="V5098" s="7"/>
      <c r="X5098" s="7"/>
    </row>
    <row r="5099" spans="2:24">
      <c r="B5099" s="7"/>
      <c r="D5099" s="7"/>
      <c r="F5099" s="7"/>
      <c r="H5099" s="7"/>
      <c r="J5099" s="7"/>
      <c r="L5099" s="7"/>
      <c r="N5099" s="7"/>
      <c r="P5099" s="7"/>
      <c r="R5099" s="7"/>
      <c r="T5099" s="7"/>
      <c r="V5099" s="7"/>
      <c r="X5099" s="7"/>
    </row>
    <row r="5100" spans="2:24">
      <c r="B5100" s="7"/>
      <c r="D5100" s="7"/>
      <c r="F5100" s="7"/>
      <c r="H5100" s="7"/>
      <c r="J5100" s="7"/>
      <c r="L5100" s="7"/>
      <c r="N5100" s="7"/>
      <c r="P5100" s="7"/>
      <c r="R5100" s="7"/>
      <c r="T5100" s="7"/>
      <c r="V5100" s="7"/>
      <c r="X5100" s="7"/>
    </row>
    <row r="5101" spans="2:24">
      <c r="B5101" s="7"/>
      <c r="D5101" s="7"/>
      <c r="F5101" s="7"/>
      <c r="H5101" s="7"/>
      <c r="J5101" s="7"/>
      <c r="L5101" s="7"/>
      <c r="N5101" s="7"/>
      <c r="P5101" s="7"/>
      <c r="R5101" s="7"/>
      <c r="T5101" s="7"/>
      <c r="V5101" s="7"/>
      <c r="X5101" s="7"/>
    </row>
    <row r="5102" spans="2:24">
      <c r="B5102" s="7"/>
      <c r="D5102" s="7"/>
      <c r="F5102" s="7"/>
      <c r="H5102" s="7"/>
      <c r="J5102" s="7"/>
      <c r="L5102" s="7"/>
      <c r="N5102" s="7"/>
      <c r="P5102" s="7"/>
      <c r="R5102" s="7"/>
      <c r="T5102" s="7"/>
      <c r="V5102" s="7"/>
      <c r="X5102" s="7"/>
    </row>
    <row r="5103" spans="2:24">
      <c r="B5103" s="7"/>
      <c r="D5103" s="7"/>
      <c r="F5103" s="7"/>
      <c r="H5103" s="7"/>
      <c r="J5103" s="7"/>
      <c r="L5103" s="7"/>
      <c r="N5103" s="7"/>
      <c r="P5103" s="7"/>
      <c r="R5103" s="7"/>
      <c r="T5103" s="7"/>
      <c r="V5103" s="7"/>
      <c r="X5103" s="7"/>
    </row>
    <row r="5104" spans="2:24">
      <c r="B5104" s="7"/>
      <c r="D5104" s="7"/>
      <c r="F5104" s="7"/>
      <c r="H5104" s="7"/>
      <c r="J5104" s="7"/>
      <c r="L5104" s="7"/>
      <c r="N5104" s="7"/>
      <c r="P5104" s="7"/>
      <c r="R5104" s="7"/>
      <c r="T5104" s="7"/>
      <c r="V5104" s="7"/>
      <c r="X5104" s="7"/>
    </row>
    <row r="5105" spans="2:24">
      <c r="B5105" s="7"/>
      <c r="D5105" s="7"/>
      <c r="F5105" s="7"/>
      <c r="H5105" s="7"/>
      <c r="J5105" s="7"/>
      <c r="L5105" s="7"/>
      <c r="N5105" s="7"/>
      <c r="P5105" s="7"/>
      <c r="R5105" s="7"/>
      <c r="T5105" s="7"/>
      <c r="V5105" s="7"/>
      <c r="X5105" s="7"/>
    </row>
    <row r="5106" spans="2:24">
      <c r="B5106" s="7"/>
      <c r="D5106" s="7"/>
      <c r="F5106" s="7"/>
      <c r="H5106" s="7"/>
      <c r="J5106" s="7"/>
      <c r="L5106" s="7"/>
      <c r="N5106" s="7"/>
      <c r="P5106" s="7"/>
      <c r="R5106" s="7"/>
      <c r="T5106" s="7"/>
      <c r="V5106" s="7"/>
      <c r="X5106" s="7"/>
    </row>
    <row r="5107" spans="2:24">
      <c r="B5107" s="7"/>
      <c r="D5107" s="7"/>
      <c r="F5107" s="7"/>
      <c r="H5107" s="7"/>
      <c r="J5107" s="7"/>
      <c r="L5107" s="7"/>
      <c r="N5107" s="7"/>
      <c r="P5107" s="7"/>
      <c r="R5107" s="7"/>
      <c r="T5107" s="7"/>
      <c r="V5107" s="7"/>
      <c r="X5107" s="7"/>
    </row>
    <row r="5108" spans="2:24">
      <c r="B5108" s="7"/>
      <c r="D5108" s="7"/>
      <c r="F5108" s="7"/>
      <c r="H5108" s="7"/>
      <c r="J5108" s="7"/>
      <c r="L5108" s="7"/>
      <c r="N5108" s="7"/>
      <c r="P5108" s="7"/>
      <c r="R5108" s="7"/>
      <c r="T5108" s="7"/>
      <c r="V5108" s="7"/>
      <c r="X5108" s="7"/>
    </row>
    <row r="5109" spans="2:24">
      <c r="B5109" s="7"/>
      <c r="D5109" s="7"/>
      <c r="F5109" s="7"/>
      <c r="H5109" s="7"/>
      <c r="J5109" s="7"/>
      <c r="L5109" s="7"/>
      <c r="N5109" s="7"/>
      <c r="P5109" s="7"/>
      <c r="R5109" s="7"/>
      <c r="T5109" s="7"/>
      <c r="V5109" s="7"/>
      <c r="X5109" s="7"/>
    </row>
    <row r="5110" spans="2:24">
      <c r="B5110" s="7"/>
      <c r="D5110" s="7"/>
      <c r="F5110" s="7"/>
      <c r="H5110" s="7"/>
      <c r="J5110" s="7"/>
      <c r="L5110" s="7"/>
      <c r="N5110" s="7"/>
      <c r="P5110" s="7"/>
      <c r="R5110" s="7"/>
      <c r="T5110" s="7"/>
      <c r="V5110" s="7"/>
      <c r="X5110" s="7"/>
    </row>
    <row r="5111" spans="2:24">
      <c r="B5111" s="7"/>
      <c r="D5111" s="7"/>
      <c r="F5111" s="7"/>
      <c r="H5111" s="7"/>
      <c r="J5111" s="7"/>
      <c r="L5111" s="7"/>
      <c r="N5111" s="7"/>
      <c r="P5111" s="7"/>
      <c r="R5111" s="7"/>
      <c r="T5111" s="7"/>
      <c r="V5111" s="7"/>
      <c r="X5111" s="7"/>
    </row>
    <row r="5112" spans="2:24">
      <c r="B5112" s="7"/>
      <c r="D5112" s="7"/>
      <c r="F5112" s="7"/>
      <c r="H5112" s="7"/>
      <c r="J5112" s="7"/>
      <c r="L5112" s="7"/>
      <c r="N5112" s="7"/>
      <c r="P5112" s="7"/>
      <c r="R5112" s="7"/>
      <c r="T5112" s="7"/>
      <c r="V5112" s="7"/>
      <c r="X5112" s="7"/>
    </row>
    <row r="5113" spans="2:24">
      <c r="B5113" s="7"/>
      <c r="D5113" s="7"/>
      <c r="F5113" s="7"/>
      <c r="H5113" s="7"/>
      <c r="J5113" s="7"/>
      <c r="L5113" s="7"/>
      <c r="N5113" s="7"/>
      <c r="P5113" s="7"/>
      <c r="R5113" s="7"/>
      <c r="T5113" s="7"/>
      <c r="V5113" s="7"/>
      <c r="X5113" s="7"/>
    </row>
    <row r="5114" spans="2:24">
      <c r="B5114" s="7"/>
      <c r="D5114" s="7"/>
      <c r="F5114" s="7"/>
      <c r="H5114" s="7"/>
      <c r="J5114" s="7"/>
      <c r="L5114" s="7"/>
      <c r="N5114" s="7"/>
      <c r="P5114" s="7"/>
      <c r="R5114" s="7"/>
      <c r="T5114" s="7"/>
      <c r="V5114" s="7"/>
      <c r="X5114" s="7"/>
    </row>
    <row r="5115" spans="2:24">
      <c r="B5115" s="7"/>
      <c r="D5115" s="7"/>
      <c r="F5115" s="7"/>
      <c r="H5115" s="7"/>
      <c r="J5115" s="7"/>
      <c r="L5115" s="7"/>
      <c r="N5115" s="7"/>
      <c r="P5115" s="7"/>
      <c r="R5115" s="7"/>
      <c r="T5115" s="7"/>
      <c r="V5115" s="7"/>
      <c r="X5115" s="7"/>
    </row>
    <row r="5116" spans="2:24">
      <c r="B5116" s="7"/>
      <c r="D5116" s="7"/>
      <c r="F5116" s="7"/>
      <c r="H5116" s="7"/>
      <c r="J5116" s="7"/>
      <c r="L5116" s="7"/>
      <c r="N5116" s="7"/>
      <c r="P5116" s="7"/>
      <c r="R5116" s="7"/>
      <c r="T5116" s="7"/>
      <c r="V5116" s="7"/>
      <c r="X5116" s="7"/>
    </row>
    <row r="5117" spans="2:24">
      <c r="B5117" s="7"/>
      <c r="D5117" s="7"/>
      <c r="F5117" s="7"/>
      <c r="H5117" s="7"/>
      <c r="J5117" s="7"/>
      <c r="L5117" s="7"/>
      <c r="N5117" s="7"/>
      <c r="P5117" s="7"/>
      <c r="R5117" s="7"/>
      <c r="T5117" s="7"/>
      <c r="V5117" s="7"/>
      <c r="X5117" s="7"/>
    </row>
    <row r="5118" spans="2:24">
      <c r="B5118" s="7"/>
      <c r="D5118" s="7"/>
      <c r="F5118" s="7"/>
      <c r="H5118" s="7"/>
      <c r="J5118" s="7"/>
      <c r="L5118" s="7"/>
      <c r="N5118" s="7"/>
      <c r="P5118" s="7"/>
      <c r="R5118" s="7"/>
      <c r="T5118" s="7"/>
      <c r="V5118" s="7"/>
      <c r="X5118" s="7"/>
    </row>
    <row r="5119" spans="2:24">
      <c r="B5119" s="7"/>
      <c r="D5119" s="7"/>
      <c r="F5119" s="7"/>
      <c r="H5119" s="7"/>
      <c r="J5119" s="7"/>
      <c r="L5119" s="7"/>
      <c r="N5119" s="7"/>
      <c r="P5119" s="7"/>
      <c r="R5119" s="7"/>
      <c r="T5119" s="7"/>
      <c r="V5119" s="7"/>
      <c r="X5119" s="7"/>
    </row>
    <row r="5120" spans="2:24">
      <c r="B5120" s="7"/>
      <c r="D5120" s="7"/>
      <c r="F5120" s="7"/>
      <c r="H5120" s="7"/>
      <c r="J5120" s="7"/>
      <c r="L5120" s="7"/>
      <c r="N5120" s="7"/>
      <c r="P5120" s="7"/>
      <c r="R5120" s="7"/>
      <c r="T5120" s="7"/>
      <c r="V5120" s="7"/>
      <c r="X5120" s="7"/>
    </row>
    <row r="5121" spans="2:24">
      <c r="B5121" s="7"/>
      <c r="D5121" s="7"/>
      <c r="F5121" s="7"/>
      <c r="H5121" s="7"/>
      <c r="J5121" s="7"/>
      <c r="L5121" s="7"/>
      <c r="N5121" s="7"/>
      <c r="P5121" s="7"/>
      <c r="R5121" s="7"/>
      <c r="T5121" s="7"/>
      <c r="V5121" s="7"/>
      <c r="X5121" s="7"/>
    </row>
    <row r="5122" spans="2:24">
      <c r="B5122" s="7"/>
      <c r="D5122" s="7"/>
      <c r="F5122" s="7"/>
      <c r="H5122" s="7"/>
      <c r="J5122" s="7"/>
      <c r="L5122" s="7"/>
      <c r="N5122" s="7"/>
      <c r="P5122" s="7"/>
      <c r="R5122" s="7"/>
      <c r="T5122" s="7"/>
      <c r="V5122" s="7"/>
      <c r="X5122" s="7"/>
    </row>
    <row r="5123" spans="2:24">
      <c r="B5123" s="7"/>
      <c r="D5123" s="7"/>
      <c r="F5123" s="7"/>
      <c r="H5123" s="7"/>
      <c r="J5123" s="7"/>
      <c r="L5123" s="7"/>
      <c r="N5123" s="7"/>
      <c r="P5123" s="7"/>
      <c r="R5123" s="7"/>
      <c r="T5123" s="7"/>
      <c r="V5123" s="7"/>
      <c r="X5123" s="7"/>
    </row>
    <row r="5124" spans="2:24">
      <c r="B5124" s="7"/>
      <c r="D5124" s="7"/>
      <c r="F5124" s="7"/>
      <c r="H5124" s="7"/>
      <c r="J5124" s="7"/>
      <c r="L5124" s="7"/>
      <c r="N5124" s="7"/>
      <c r="P5124" s="7"/>
      <c r="R5124" s="7"/>
      <c r="T5124" s="7"/>
      <c r="V5124" s="7"/>
      <c r="X5124" s="7"/>
    </row>
    <row r="5125" spans="2:24">
      <c r="B5125" s="7"/>
      <c r="D5125" s="7"/>
      <c r="F5125" s="7"/>
      <c r="H5125" s="7"/>
      <c r="J5125" s="7"/>
      <c r="L5125" s="7"/>
      <c r="N5125" s="7"/>
      <c r="P5125" s="7"/>
      <c r="R5125" s="7"/>
      <c r="T5125" s="7"/>
      <c r="V5125" s="7"/>
      <c r="X5125" s="7"/>
    </row>
    <row r="5126" spans="2:24">
      <c r="B5126" s="7"/>
      <c r="D5126" s="7"/>
      <c r="F5126" s="7"/>
      <c r="H5126" s="7"/>
      <c r="J5126" s="7"/>
      <c r="L5126" s="7"/>
      <c r="N5126" s="7"/>
      <c r="P5126" s="7"/>
      <c r="R5126" s="7"/>
      <c r="T5126" s="7"/>
      <c r="V5126" s="7"/>
      <c r="X5126" s="7"/>
    </row>
    <row r="5127" spans="2:24">
      <c r="B5127" s="7"/>
      <c r="D5127" s="7"/>
      <c r="F5127" s="7"/>
      <c r="H5127" s="7"/>
      <c r="J5127" s="7"/>
      <c r="L5127" s="7"/>
      <c r="N5127" s="7"/>
      <c r="P5127" s="7"/>
      <c r="R5127" s="7"/>
      <c r="T5127" s="7"/>
      <c r="V5127" s="7"/>
      <c r="X5127" s="7"/>
    </row>
    <row r="5128" spans="2:24">
      <c r="B5128" s="7"/>
      <c r="D5128" s="7"/>
      <c r="F5128" s="7"/>
      <c r="H5128" s="7"/>
      <c r="J5128" s="7"/>
      <c r="L5128" s="7"/>
      <c r="N5128" s="7"/>
      <c r="P5128" s="7"/>
      <c r="R5128" s="7"/>
      <c r="T5128" s="7"/>
      <c r="V5128" s="7"/>
      <c r="X5128" s="7"/>
    </row>
    <row r="5129" spans="2:24">
      <c r="B5129" s="7"/>
      <c r="D5129" s="7"/>
      <c r="F5129" s="7"/>
      <c r="H5129" s="7"/>
      <c r="J5129" s="7"/>
      <c r="L5129" s="7"/>
      <c r="N5129" s="7"/>
      <c r="P5129" s="7"/>
      <c r="R5129" s="7"/>
      <c r="T5129" s="7"/>
      <c r="V5129" s="7"/>
      <c r="X5129" s="7"/>
    </row>
    <row r="5130" spans="2:24">
      <c r="B5130" s="7"/>
      <c r="D5130" s="7"/>
      <c r="F5130" s="7"/>
      <c r="H5130" s="7"/>
      <c r="J5130" s="7"/>
      <c r="L5130" s="7"/>
      <c r="N5130" s="7"/>
      <c r="P5130" s="7"/>
      <c r="R5130" s="7"/>
      <c r="T5130" s="7"/>
      <c r="V5130" s="7"/>
      <c r="X5130" s="7"/>
    </row>
    <row r="5131" spans="2:24">
      <c r="B5131" s="7"/>
      <c r="D5131" s="7"/>
      <c r="F5131" s="7"/>
      <c r="H5131" s="7"/>
      <c r="J5131" s="7"/>
      <c r="L5131" s="7"/>
      <c r="N5131" s="7"/>
      <c r="P5131" s="7"/>
      <c r="R5131" s="7"/>
      <c r="T5131" s="7"/>
      <c r="V5131" s="7"/>
      <c r="X5131" s="7"/>
    </row>
    <row r="5132" spans="2:24">
      <c r="B5132" s="7"/>
      <c r="D5132" s="7"/>
      <c r="F5132" s="7"/>
      <c r="H5132" s="7"/>
      <c r="J5132" s="7"/>
      <c r="L5132" s="7"/>
      <c r="N5132" s="7"/>
      <c r="P5132" s="7"/>
      <c r="R5132" s="7"/>
      <c r="T5132" s="7"/>
      <c r="V5132" s="7"/>
      <c r="X5132" s="7"/>
    </row>
    <row r="5133" spans="2:24">
      <c r="B5133" s="7"/>
      <c r="D5133" s="7"/>
      <c r="F5133" s="7"/>
      <c r="H5133" s="7"/>
      <c r="J5133" s="7"/>
      <c r="L5133" s="7"/>
      <c r="N5133" s="7"/>
      <c r="P5133" s="7"/>
      <c r="R5133" s="7"/>
      <c r="T5133" s="7"/>
      <c r="V5133" s="7"/>
      <c r="X5133" s="7"/>
    </row>
    <row r="5134" spans="2:24">
      <c r="B5134" s="7"/>
      <c r="D5134" s="7"/>
      <c r="F5134" s="7"/>
      <c r="H5134" s="7"/>
      <c r="J5134" s="7"/>
      <c r="L5134" s="7"/>
      <c r="N5134" s="7"/>
      <c r="P5134" s="7"/>
      <c r="R5134" s="7"/>
      <c r="T5134" s="7"/>
      <c r="V5134" s="7"/>
      <c r="X5134" s="7"/>
    </row>
    <row r="5135" spans="2:24">
      <c r="B5135" s="7"/>
      <c r="D5135" s="7"/>
      <c r="F5135" s="7"/>
      <c r="H5135" s="7"/>
      <c r="J5135" s="7"/>
      <c r="L5135" s="7"/>
      <c r="N5135" s="7"/>
      <c r="P5135" s="7"/>
      <c r="R5135" s="7"/>
      <c r="T5135" s="7"/>
      <c r="V5135" s="7"/>
      <c r="X5135" s="7"/>
    </row>
    <row r="5136" spans="2:24">
      <c r="B5136" s="7"/>
      <c r="D5136" s="7"/>
      <c r="F5136" s="7"/>
      <c r="H5136" s="7"/>
      <c r="J5136" s="7"/>
      <c r="L5136" s="7"/>
      <c r="N5136" s="7"/>
      <c r="P5136" s="7"/>
      <c r="R5136" s="7"/>
      <c r="T5136" s="7"/>
      <c r="V5136" s="7"/>
      <c r="X5136" s="7"/>
    </row>
    <row r="5137" spans="2:24">
      <c r="B5137" s="7"/>
      <c r="D5137" s="7"/>
      <c r="F5137" s="7"/>
      <c r="H5137" s="7"/>
      <c r="J5137" s="7"/>
      <c r="L5137" s="7"/>
      <c r="N5137" s="7"/>
      <c r="P5137" s="7"/>
      <c r="R5137" s="7"/>
      <c r="T5137" s="7"/>
      <c r="V5137" s="7"/>
      <c r="X5137" s="7"/>
    </row>
    <row r="5138" spans="2:24">
      <c r="B5138" s="7"/>
      <c r="D5138" s="7"/>
      <c r="F5138" s="7"/>
      <c r="H5138" s="7"/>
      <c r="J5138" s="7"/>
      <c r="L5138" s="7"/>
      <c r="N5138" s="7"/>
      <c r="P5138" s="7"/>
      <c r="R5138" s="7"/>
      <c r="T5138" s="7"/>
      <c r="V5138" s="7"/>
      <c r="X5138" s="7"/>
    </row>
    <row r="5139" spans="2:24">
      <c r="B5139" s="7"/>
      <c r="D5139" s="7"/>
      <c r="F5139" s="7"/>
      <c r="H5139" s="7"/>
      <c r="J5139" s="7"/>
      <c r="L5139" s="7"/>
      <c r="N5139" s="7"/>
      <c r="P5139" s="7"/>
      <c r="R5139" s="7"/>
      <c r="T5139" s="7"/>
      <c r="V5139" s="7"/>
      <c r="X5139" s="7"/>
    </row>
    <row r="5140" spans="2:24">
      <c r="B5140" s="7"/>
      <c r="D5140" s="7"/>
      <c r="F5140" s="7"/>
      <c r="H5140" s="7"/>
      <c r="J5140" s="7"/>
      <c r="L5140" s="7"/>
      <c r="N5140" s="7"/>
      <c r="P5140" s="7"/>
      <c r="R5140" s="7"/>
      <c r="T5140" s="7"/>
      <c r="V5140" s="7"/>
      <c r="X5140" s="7"/>
    </row>
    <row r="5141" spans="2:24">
      <c r="B5141" s="7"/>
      <c r="D5141" s="7"/>
      <c r="F5141" s="7"/>
      <c r="H5141" s="7"/>
      <c r="J5141" s="7"/>
      <c r="L5141" s="7"/>
      <c r="N5141" s="7"/>
      <c r="P5141" s="7"/>
      <c r="R5141" s="7"/>
      <c r="T5141" s="7"/>
      <c r="V5141" s="7"/>
      <c r="X5141" s="7"/>
    </row>
    <row r="5142" spans="2:24">
      <c r="B5142" s="7"/>
      <c r="D5142" s="7"/>
      <c r="F5142" s="7"/>
      <c r="H5142" s="7"/>
      <c r="J5142" s="7"/>
      <c r="L5142" s="7"/>
      <c r="N5142" s="7"/>
      <c r="P5142" s="7"/>
      <c r="R5142" s="7"/>
      <c r="T5142" s="7"/>
      <c r="V5142" s="7"/>
      <c r="X5142" s="7"/>
    </row>
    <row r="5143" spans="2:24">
      <c r="B5143" s="7"/>
      <c r="D5143" s="7"/>
      <c r="F5143" s="7"/>
      <c r="H5143" s="7"/>
      <c r="J5143" s="7"/>
      <c r="L5143" s="7"/>
      <c r="N5143" s="7"/>
      <c r="P5143" s="7"/>
      <c r="R5143" s="7"/>
      <c r="T5143" s="7"/>
      <c r="V5143" s="7"/>
      <c r="X5143" s="7"/>
    </row>
    <row r="5144" spans="2:24">
      <c r="B5144" s="7"/>
      <c r="D5144" s="7"/>
      <c r="F5144" s="7"/>
      <c r="H5144" s="7"/>
      <c r="J5144" s="7"/>
      <c r="L5144" s="7"/>
      <c r="N5144" s="7"/>
      <c r="P5144" s="7"/>
      <c r="R5144" s="7"/>
      <c r="T5144" s="7"/>
      <c r="V5144" s="7"/>
      <c r="X5144" s="7"/>
    </row>
    <row r="5145" spans="2:24">
      <c r="B5145" s="7"/>
      <c r="D5145" s="7"/>
      <c r="F5145" s="7"/>
      <c r="H5145" s="7"/>
      <c r="J5145" s="7"/>
      <c r="L5145" s="7"/>
      <c r="N5145" s="7"/>
      <c r="P5145" s="7"/>
      <c r="R5145" s="7"/>
      <c r="T5145" s="7"/>
      <c r="V5145" s="7"/>
      <c r="X5145" s="7"/>
    </row>
    <row r="5146" spans="2:24">
      <c r="B5146" s="7"/>
      <c r="D5146" s="7"/>
      <c r="F5146" s="7"/>
      <c r="H5146" s="7"/>
      <c r="J5146" s="7"/>
      <c r="L5146" s="7"/>
      <c r="N5146" s="7"/>
      <c r="P5146" s="7"/>
      <c r="R5146" s="7"/>
      <c r="T5146" s="7"/>
      <c r="V5146" s="7"/>
      <c r="X5146" s="7"/>
    </row>
    <row r="5147" spans="2:24">
      <c r="B5147" s="7"/>
      <c r="D5147" s="7"/>
      <c r="F5147" s="7"/>
      <c r="H5147" s="7"/>
      <c r="J5147" s="7"/>
      <c r="L5147" s="7"/>
      <c r="N5147" s="7"/>
      <c r="P5147" s="7"/>
      <c r="R5147" s="7"/>
      <c r="T5147" s="7"/>
      <c r="V5147" s="7"/>
      <c r="X5147" s="7"/>
    </row>
    <row r="5148" spans="2:24">
      <c r="B5148" s="7"/>
      <c r="D5148" s="7"/>
      <c r="F5148" s="7"/>
      <c r="H5148" s="7"/>
      <c r="J5148" s="7"/>
      <c r="L5148" s="7"/>
      <c r="N5148" s="7"/>
      <c r="P5148" s="7"/>
      <c r="R5148" s="7"/>
      <c r="T5148" s="7"/>
      <c r="V5148" s="7"/>
      <c r="X5148" s="7"/>
    </row>
    <row r="5149" spans="2:24">
      <c r="B5149" s="7"/>
      <c r="D5149" s="7"/>
      <c r="F5149" s="7"/>
      <c r="H5149" s="7"/>
      <c r="J5149" s="7"/>
      <c r="L5149" s="7"/>
      <c r="N5149" s="7"/>
      <c r="P5149" s="7"/>
      <c r="R5149" s="7"/>
      <c r="T5149" s="7"/>
      <c r="V5149" s="7"/>
      <c r="X5149" s="7"/>
    </row>
    <row r="5150" spans="2:24">
      <c r="B5150" s="7"/>
      <c r="D5150" s="7"/>
      <c r="F5150" s="7"/>
      <c r="H5150" s="7"/>
      <c r="J5150" s="7"/>
      <c r="L5150" s="7"/>
      <c r="N5150" s="7"/>
      <c r="P5150" s="7"/>
      <c r="R5150" s="7"/>
      <c r="T5150" s="7"/>
      <c r="V5150" s="7"/>
      <c r="X5150" s="7"/>
    </row>
    <row r="5151" spans="2:24">
      <c r="B5151" s="7"/>
      <c r="D5151" s="7"/>
      <c r="F5151" s="7"/>
      <c r="H5151" s="7"/>
      <c r="J5151" s="7"/>
      <c r="L5151" s="7"/>
      <c r="N5151" s="7"/>
      <c r="P5151" s="7"/>
      <c r="R5151" s="7"/>
      <c r="T5151" s="7"/>
      <c r="V5151" s="7"/>
      <c r="X5151" s="7"/>
    </row>
    <row r="5152" spans="2:24">
      <c r="B5152" s="7"/>
      <c r="D5152" s="7"/>
      <c r="F5152" s="7"/>
      <c r="H5152" s="7"/>
      <c r="J5152" s="7"/>
      <c r="L5152" s="7"/>
      <c r="N5152" s="7"/>
      <c r="P5152" s="7"/>
      <c r="R5152" s="7"/>
      <c r="T5152" s="7"/>
      <c r="V5152" s="7"/>
      <c r="X5152" s="7"/>
    </row>
    <row r="5153" spans="2:24">
      <c r="B5153" s="7"/>
      <c r="D5153" s="7"/>
      <c r="F5153" s="7"/>
      <c r="H5153" s="7"/>
      <c r="J5153" s="7"/>
      <c r="L5153" s="7"/>
      <c r="N5153" s="7"/>
      <c r="P5153" s="7"/>
      <c r="R5153" s="7"/>
      <c r="T5153" s="7"/>
      <c r="V5153" s="7"/>
      <c r="X5153" s="7"/>
    </row>
    <row r="5154" spans="2:24">
      <c r="B5154" s="7"/>
      <c r="D5154" s="7"/>
      <c r="F5154" s="7"/>
      <c r="H5154" s="7"/>
      <c r="J5154" s="7"/>
      <c r="L5154" s="7"/>
      <c r="N5154" s="7"/>
      <c r="P5154" s="7"/>
      <c r="R5154" s="7"/>
      <c r="T5154" s="7"/>
      <c r="V5154" s="7"/>
      <c r="X5154" s="7"/>
    </row>
    <row r="5155" spans="2:24">
      <c r="B5155" s="7"/>
      <c r="D5155" s="7"/>
      <c r="F5155" s="7"/>
      <c r="H5155" s="7"/>
      <c r="J5155" s="7"/>
      <c r="L5155" s="7"/>
      <c r="N5155" s="7"/>
      <c r="P5155" s="7"/>
      <c r="R5155" s="7"/>
      <c r="T5155" s="7"/>
      <c r="V5155" s="7"/>
      <c r="X5155" s="7"/>
    </row>
    <row r="5156" spans="2:24">
      <c r="B5156" s="7"/>
      <c r="D5156" s="7"/>
      <c r="F5156" s="7"/>
      <c r="H5156" s="7"/>
      <c r="J5156" s="7"/>
      <c r="L5156" s="7"/>
      <c r="N5156" s="7"/>
      <c r="P5156" s="7"/>
      <c r="R5156" s="7"/>
      <c r="T5156" s="7"/>
      <c r="V5156" s="7"/>
      <c r="X5156" s="7"/>
    </row>
    <row r="5157" spans="2:24">
      <c r="B5157" s="7"/>
      <c r="D5157" s="7"/>
      <c r="F5157" s="7"/>
      <c r="H5157" s="7"/>
      <c r="J5157" s="7"/>
      <c r="L5157" s="7"/>
      <c r="N5157" s="7"/>
      <c r="P5157" s="7"/>
      <c r="R5157" s="7"/>
      <c r="T5157" s="7"/>
      <c r="V5157" s="7"/>
      <c r="X5157" s="7"/>
    </row>
    <row r="5158" spans="2:24">
      <c r="B5158" s="7"/>
      <c r="D5158" s="7"/>
      <c r="F5158" s="7"/>
      <c r="H5158" s="7"/>
      <c r="J5158" s="7"/>
      <c r="L5158" s="7"/>
      <c r="N5158" s="7"/>
      <c r="P5158" s="7"/>
      <c r="R5158" s="7"/>
      <c r="T5158" s="7"/>
      <c r="V5158" s="7"/>
      <c r="X5158" s="7"/>
    </row>
    <row r="5159" spans="2:24">
      <c r="B5159" s="7"/>
      <c r="D5159" s="7"/>
      <c r="F5159" s="7"/>
      <c r="H5159" s="7"/>
      <c r="J5159" s="7"/>
      <c r="L5159" s="7"/>
      <c r="N5159" s="7"/>
      <c r="P5159" s="7"/>
      <c r="R5159" s="7"/>
      <c r="T5159" s="7"/>
      <c r="V5159" s="7"/>
      <c r="X5159" s="7"/>
    </row>
    <row r="5160" spans="2:24">
      <c r="B5160" s="7"/>
      <c r="D5160" s="7"/>
      <c r="F5160" s="7"/>
      <c r="H5160" s="7"/>
      <c r="J5160" s="7"/>
      <c r="L5160" s="7"/>
      <c r="N5160" s="7"/>
      <c r="P5160" s="7"/>
      <c r="R5160" s="7"/>
      <c r="T5160" s="7"/>
      <c r="V5160" s="7"/>
      <c r="X5160" s="7"/>
    </row>
    <row r="5161" spans="2:24">
      <c r="B5161" s="7"/>
      <c r="D5161" s="7"/>
      <c r="F5161" s="7"/>
      <c r="H5161" s="7"/>
      <c r="J5161" s="7"/>
      <c r="L5161" s="7"/>
      <c r="N5161" s="7"/>
      <c r="P5161" s="7"/>
      <c r="R5161" s="7"/>
      <c r="T5161" s="7"/>
      <c r="V5161" s="7"/>
      <c r="X5161" s="7"/>
    </row>
    <row r="5162" spans="2:24">
      <c r="B5162" s="7"/>
      <c r="D5162" s="7"/>
      <c r="F5162" s="7"/>
      <c r="H5162" s="7"/>
      <c r="J5162" s="7"/>
      <c r="L5162" s="7"/>
      <c r="N5162" s="7"/>
      <c r="P5162" s="7"/>
      <c r="R5162" s="7"/>
      <c r="T5162" s="7"/>
      <c r="V5162" s="7"/>
      <c r="X5162" s="7"/>
    </row>
    <row r="5163" spans="2:24">
      <c r="B5163" s="7"/>
      <c r="D5163" s="7"/>
      <c r="F5163" s="7"/>
      <c r="H5163" s="7"/>
      <c r="J5163" s="7"/>
      <c r="L5163" s="7"/>
      <c r="N5163" s="7"/>
      <c r="P5163" s="7"/>
      <c r="R5163" s="7"/>
      <c r="T5163" s="7"/>
      <c r="V5163" s="7"/>
      <c r="X5163" s="7"/>
    </row>
    <row r="5164" spans="2:24">
      <c r="B5164" s="7"/>
      <c r="D5164" s="7"/>
      <c r="F5164" s="7"/>
      <c r="H5164" s="7"/>
      <c r="J5164" s="7"/>
      <c r="L5164" s="7"/>
      <c r="N5164" s="7"/>
      <c r="P5164" s="7"/>
      <c r="R5164" s="7"/>
      <c r="T5164" s="7"/>
      <c r="V5164" s="7"/>
      <c r="X5164" s="7"/>
    </row>
    <row r="5165" spans="2:24">
      <c r="B5165" s="7"/>
      <c r="D5165" s="7"/>
      <c r="F5165" s="7"/>
      <c r="H5165" s="7"/>
      <c r="J5165" s="7"/>
      <c r="L5165" s="7"/>
      <c r="N5165" s="7"/>
      <c r="P5165" s="7"/>
      <c r="R5165" s="7"/>
      <c r="T5165" s="7"/>
      <c r="V5165" s="7"/>
      <c r="X5165" s="7"/>
    </row>
    <row r="5166" spans="2:24">
      <c r="B5166" s="7"/>
      <c r="D5166" s="7"/>
      <c r="F5166" s="7"/>
      <c r="H5166" s="7"/>
      <c r="J5166" s="7"/>
      <c r="L5166" s="7"/>
      <c r="N5166" s="7"/>
      <c r="P5166" s="7"/>
      <c r="R5166" s="7"/>
      <c r="T5166" s="7"/>
      <c r="V5166" s="7"/>
      <c r="X5166" s="7"/>
    </row>
    <row r="5167" spans="2:24">
      <c r="B5167" s="7"/>
      <c r="D5167" s="7"/>
      <c r="F5167" s="7"/>
      <c r="H5167" s="7"/>
      <c r="J5167" s="7"/>
      <c r="L5167" s="7"/>
      <c r="N5167" s="7"/>
      <c r="P5167" s="7"/>
      <c r="R5167" s="7"/>
      <c r="T5167" s="7"/>
      <c r="V5167" s="7"/>
      <c r="X5167" s="7"/>
    </row>
    <row r="5168" spans="2:24">
      <c r="B5168" s="7"/>
      <c r="D5168" s="7"/>
      <c r="F5168" s="7"/>
      <c r="H5168" s="7"/>
      <c r="J5168" s="7"/>
      <c r="L5168" s="7"/>
      <c r="N5168" s="7"/>
      <c r="P5168" s="7"/>
      <c r="R5168" s="7"/>
      <c r="T5168" s="7"/>
      <c r="V5168" s="7"/>
      <c r="X5168" s="7"/>
    </row>
    <row r="5169" spans="2:24">
      <c r="B5169" s="7"/>
      <c r="D5169" s="7"/>
      <c r="F5169" s="7"/>
      <c r="H5169" s="7"/>
      <c r="J5169" s="7"/>
      <c r="L5169" s="7"/>
      <c r="N5169" s="7"/>
      <c r="P5169" s="7"/>
      <c r="R5169" s="7"/>
      <c r="T5169" s="7"/>
      <c r="V5169" s="7"/>
      <c r="X5169" s="7"/>
    </row>
    <row r="5170" spans="2:24">
      <c r="B5170" s="7"/>
      <c r="D5170" s="7"/>
      <c r="F5170" s="7"/>
      <c r="H5170" s="7"/>
      <c r="J5170" s="7"/>
      <c r="L5170" s="7"/>
      <c r="N5170" s="7"/>
      <c r="P5170" s="7"/>
      <c r="R5170" s="7"/>
      <c r="T5170" s="7"/>
      <c r="V5170" s="7"/>
      <c r="X5170" s="7"/>
    </row>
    <row r="5171" spans="2:24">
      <c r="B5171" s="7"/>
      <c r="D5171" s="7"/>
      <c r="F5171" s="7"/>
      <c r="H5171" s="7"/>
      <c r="J5171" s="7"/>
      <c r="L5171" s="7"/>
      <c r="N5171" s="7"/>
      <c r="P5171" s="7"/>
      <c r="R5171" s="7"/>
      <c r="T5171" s="7"/>
      <c r="V5171" s="7"/>
      <c r="X5171" s="7"/>
    </row>
    <row r="5172" spans="2:24">
      <c r="B5172" s="7"/>
      <c r="D5172" s="7"/>
      <c r="F5172" s="7"/>
      <c r="H5172" s="7"/>
      <c r="J5172" s="7"/>
      <c r="L5172" s="7"/>
      <c r="N5172" s="7"/>
      <c r="P5172" s="7"/>
      <c r="R5172" s="7"/>
      <c r="T5172" s="7"/>
      <c r="V5172" s="7"/>
      <c r="X5172" s="7"/>
    </row>
    <row r="5173" spans="2:24">
      <c r="B5173" s="7"/>
      <c r="D5173" s="7"/>
      <c r="F5173" s="7"/>
      <c r="H5173" s="7"/>
      <c r="J5173" s="7"/>
      <c r="L5173" s="7"/>
      <c r="N5173" s="7"/>
      <c r="P5173" s="7"/>
      <c r="R5173" s="7"/>
      <c r="T5173" s="7"/>
      <c r="V5173" s="7"/>
      <c r="X5173" s="7"/>
    </row>
    <row r="5174" spans="2:24">
      <c r="B5174" s="7"/>
      <c r="D5174" s="7"/>
      <c r="F5174" s="7"/>
      <c r="H5174" s="7"/>
      <c r="J5174" s="7"/>
      <c r="L5174" s="7"/>
      <c r="N5174" s="7"/>
      <c r="P5174" s="7"/>
      <c r="R5174" s="7"/>
      <c r="T5174" s="7"/>
      <c r="V5174" s="7"/>
      <c r="X5174" s="7"/>
    </row>
    <row r="5175" spans="2:24">
      <c r="B5175" s="7"/>
      <c r="D5175" s="7"/>
      <c r="F5175" s="7"/>
      <c r="H5175" s="7"/>
      <c r="J5175" s="7"/>
      <c r="L5175" s="7"/>
      <c r="N5175" s="7"/>
      <c r="P5175" s="7"/>
      <c r="R5175" s="7"/>
      <c r="T5175" s="7"/>
      <c r="V5175" s="7"/>
      <c r="X5175" s="7"/>
    </row>
    <row r="5176" spans="2:24">
      <c r="B5176" s="7"/>
      <c r="D5176" s="7"/>
      <c r="F5176" s="7"/>
      <c r="H5176" s="7"/>
      <c r="J5176" s="7"/>
      <c r="L5176" s="7"/>
      <c r="N5176" s="7"/>
      <c r="P5176" s="7"/>
      <c r="R5176" s="7"/>
      <c r="T5176" s="7"/>
      <c r="V5176" s="7"/>
      <c r="X5176" s="7"/>
    </row>
    <row r="5177" spans="2:24">
      <c r="B5177" s="7"/>
      <c r="D5177" s="7"/>
      <c r="F5177" s="7"/>
      <c r="H5177" s="7"/>
      <c r="J5177" s="7"/>
      <c r="L5177" s="7"/>
      <c r="N5177" s="7"/>
      <c r="P5177" s="7"/>
      <c r="R5177" s="7"/>
      <c r="T5177" s="7"/>
      <c r="V5177" s="7"/>
      <c r="X5177" s="7"/>
    </row>
    <row r="5178" spans="2:24">
      <c r="B5178" s="7"/>
      <c r="D5178" s="7"/>
      <c r="F5178" s="7"/>
      <c r="H5178" s="7"/>
      <c r="J5178" s="7"/>
      <c r="L5178" s="7"/>
      <c r="N5178" s="7"/>
      <c r="P5178" s="7"/>
      <c r="R5178" s="7"/>
      <c r="T5178" s="7"/>
      <c r="V5178" s="7"/>
      <c r="X5178" s="7"/>
    </row>
    <row r="5179" spans="2:24">
      <c r="B5179" s="7"/>
      <c r="D5179" s="7"/>
      <c r="F5179" s="7"/>
      <c r="H5179" s="7"/>
      <c r="J5179" s="7"/>
      <c r="L5179" s="7"/>
      <c r="N5179" s="7"/>
      <c r="P5179" s="7"/>
      <c r="R5179" s="7"/>
      <c r="T5179" s="7"/>
      <c r="V5179" s="7"/>
      <c r="X5179" s="7"/>
    </row>
    <row r="5180" spans="2:24">
      <c r="B5180" s="7"/>
      <c r="D5180" s="7"/>
      <c r="F5180" s="7"/>
      <c r="H5180" s="7"/>
      <c r="J5180" s="7"/>
      <c r="L5180" s="7"/>
      <c r="N5180" s="7"/>
      <c r="P5180" s="7"/>
      <c r="R5180" s="7"/>
      <c r="T5180" s="7"/>
      <c r="V5180" s="7"/>
      <c r="X5180" s="7"/>
    </row>
    <row r="5181" spans="2:24">
      <c r="B5181" s="7"/>
      <c r="D5181" s="7"/>
      <c r="F5181" s="7"/>
      <c r="H5181" s="7"/>
      <c r="J5181" s="7"/>
      <c r="L5181" s="7"/>
      <c r="N5181" s="7"/>
      <c r="P5181" s="7"/>
      <c r="R5181" s="7"/>
      <c r="T5181" s="7"/>
      <c r="V5181" s="7"/>
      <c r="X5181" s="7"/>
    </row>
    <row r="5182" spans="2:24">
      <c r="B5182" s="7"/>
      <c r="D5182" s="7"/>
      <c r="F5182" s="7"/>
      <c r="H5182" s="7"/>
      <c r="J5182" s="7"/>
      <c r="L5182" s="7"/>
      <c r="N5182" s="7"/>
      <c r="P5182" s="7"/>
      <c r="R5182" s="7"/>
      <c r="T5182" s="7"/>
      <c r="V5182" s="7"/>
      <c r="X5182" s="7"/>
    </row>
    <row r="5183" spans="2:24">
      <c r="B5183" s="7"/>
      <c r="D5183" s="7"/>
      <c r="F5183" s="7"/>
      <c r="H5183" s="7"/>
      <c r="J5183" s="7"/>
      <c r="L5183" s="7"/>
      <c r="N5183" s="7"/>
      <c r="P5183" s="7"/>
      <c r="R5183" s="7"/>
      <c r="T5183" s="7"/>
      <c r="V5183" s="7"/>
      <c r="X5183" s="7"/>
    </row>
    <row r="5184" spans="2:24">
      <c r="B5184" s="7"/>
      <c r="D5184" s="7"/>
      <c r="F5184" s="7"/>
      <c r="H5184" s="7"/>
      <c r="J5184" s="7"/>
      <c r="L5184" s="7"/>
      <c r="N5184" s="7"/>
      <c r="P5184" s="7"/>
      <c r="R5184" s="7"/>
      <c r="T5184" s="7"/>
      <c r="V5184" s="7"/>
      <c r="X5184" s="7"/>
    </row>
    <row r="5185" spans="2:24">
      <c r="B5185" s="7"/>
      <c r="D5185" s="7"/>
      <c r="F5185" s="7"/>
      <c r="H5185" s="7"/>
      <c r="J5185" s="7"/>
      <c r="L5185" s="7"/>
      <c r="N5185" s="7"/>
      <c r="P5185" s="7"/>
      <c r="R5185" s="7"/>
      <c r="T5185" s="7"/>
      <c r="V5185" s="7"/>
      <c r="X5185" s="7"/>
    </row>
    <row r="5186" spans="2:24">
      <c r="B5186" s="7"/>
      <c r="D5186" s="7"/>
      <c r="F5186" s="7"/>
      <c r="H5186" s="7"/>
      <c r="J5186" s="7"/>
      <c r="L5186" s="7"/>
      <c r="N5186" s="7"/>
      <c r="P5186" s="7"/>
      <c r="R5186" s="7"/>
      <c r="T5186" s="7"/>
      <c r="V5186" s="7"/>
      <c r="X5186" s="7"/>
    </row>
    <row r="5187" spans="2:24">
      <c r="B5187" s="7"/>
      <c r="D5187" s="7"/>
      <c r="F5187" s="7"/>
      <c r="H5187" s="7"/>
      <c r="J5187" s="7"/>
      <c r="L5187" s="7"/>
      <c r="N5187" s="7"/>
      <c r="P5187" s="7"/>
      <c r="R5187" s="7"/>
      <c r="T5187" s="7"/>
      <c r="V5187" s="7"/>
      <c r="X5187" s="7"/>
    </row>
    <row r="5188" spans="2:24">
      <c r="B5188" s="7"/>
      <c r="D5188" s="7"/>
      <c r="F5188" s="7"/>
      <c r="H5188" s="7"/>
      <c r="J5188" s="7"/>
      <c r="L5188" s="7"/>
      <c r="N5188" s="7"/>
      <c r="P5188" s="7"/>
      <c r="R5188" s="7"/>
      <c r="T5188" s="7"/>
      <c r="V5188" s="7"/>
      <c r="X5188" s="7"/>
    </row>
    <row r="5189" spans="2:24">
      <c r="B5189" s="7"/>
      <c r="D5189" s="7"/>
      <c r="F5189" s="7"/>
      <c r="H5189" s="7"/>
      <c r="J5189" s="7"/>
      <c r="L5189" s="7"/>
      <c r="N5189" s="7"/>
      <c r="P5189" s="7"/>
      <c r="R5189" s="7"/>
      <c r="T5189" s="7"/>
      <c r="V5189" s="7"/>
      <c r="X5189" s="7"/>
    </row>
    <row r="5190" spans="2:24">
      <c r="B5190" s="7"/>
      <c r="D5190" s="7"/>
      <c r="F5190" s="7"/>
      <c r="H5190" s="7"/>
      <c r="J5190" s="7"/>
      <c r="L5190" s="7"/>
      <c r="N5190" s="7"/>
      <c r="P5190" s="7"/>
      <c r="R5190" s="7"/>
      <c r="T5190" s="7"/>
      <c r="V5190" s="7"/>
      <c r="X5190" s="7"/>
    </row>
    <row r="5191" spans="2:24">
      <c r="B5191" s="7"/>
      <c r="D5191" s="7"/>
      <c r="F5191" s="7"/>
      <c r="H5191" s="7"/>
      <c r="J5191" s="7"/>
      <c r="L5191" s="7"/>
      <c r="N5191" s="7"/>
      <c r="P5191" s="7"/>
      <c r="R5191" s="7"/>
      <c r="T5191" s="7"/>
      <c r="V5191" s="7"/>
      <c r="X5191" s="7"/>
    </row>
    <row r="5192" spans="2:24">
      <c r="B5192" s="7"/>
      <c r="D5192" s="7"/>
      <c r="F5192" s="7"/>
      <c r="H5192" s="7"/>
      <c r="J5192" s="7"/>
      <c r="L5192" s="7"/>
      <c r="N5192" s="7"/>
      <c r="P5192" s="7"/>
      <c r="R5192" s="7"/>
      <c r="T5192" s="7"/>
      <c r="V5192" s="7"/>
      <c r="X5192" s="7"/>
    </row>
    <row r="5193" spans="2:24">
      <c r="B5193" s="7"/>
      <c r="D5193" s="7"/>
      <c r="F5193" s="7"/>
      <c r="H5193" s="7"/>
      <c r="J5193" s="7"/>
      <c r="L5193" s="7"/>
      <c r="N5193" s="7"/>
      <c r="P5193" s="7"/>
      <c r="R5193" s="7"/>
      <c r="T5193" s="7"/>
      <c r="V5193" s="7"/>
      <c r="X5193" s="7"/>
    </row>
    <row r="5194" spans="2:24">
      <c r="B5194" s="7"/>
      <c r="D5194" s="7"/>
      <c r="F5194" s="7"/>
      <c r="H5194" s="7"/>
      <c r="J5194" s="7"/>
      <c r="L5194" s="7"/>
      <c r="N5194" s="7"/>
      <c r="P5194" s="7"/>
      <c r="R5194" s="7"/>
      <c r="T5194" s="7"/>
      <c r="V5194" s="7"/>
      <c r="X5194" s="7"/>
    </row>
    <row r="5195" spans="2:24">
      <c r="B5195" s="7"/>
      <c r="D5195" s="7"/>
      <c r="F5195" s="7"/>
      <c r="H5195" s="7"/>
      <c r="J5195" s="7"/>
      <c r="L5195" s="7"/>
      <c r="N5195" s="7"/>
      <c r="P5195" s="7"/>
      <c r="R5195" s="7"/>
      <c r="T5195" s="7"/>
      <c r="V5195" s="7"/>
      <c r="X5195" s="7"/>
    </row>
    <row r="5196" spans="2:24">
      <c r="B5196" s="7"/>
      <c r="D5196" s="7"/>
      <c r="F5196" s="7"/>
      <c r="H5196" s="7"/>
      <c r="J5196" s="7"/>
      <c r="L5196" s="7"/>
      <c r="N5196" s="7"/>
      <c r="P5196" s="7"/>
      <c r="R5196" s="7"/>
      <c r="T5196" s="7"/>
      <c r="V5196" s="7"/>
      <c r="X5196" s="7"/>
    </row>
    <row r="5197" spans="2:24">
      <c r="B5197" s="7"/>
      <c r="D5197" s="7"/>
      <c r="F5197" s="7"/>
      <c r="H5197" s="7"/>
      <c r="J5197" s="7"/>
      <c r="L5197" s="7"/>
      <c r="N5197" s="7"/>
      <c r="P5197" s="7"/>
      <c r="R5197" s="7"/>
      <c r="T5197" s="7"/>
      <c r="V5197" s="7"/>
      <c r="X5197" s="7"/>
    </row>
    <row r="5198" spans="2:24">
      <c r="B5198" s="7"/>
      <c r="D5198" s="7"/>
      <c r="F5198" s="7"/>
      <c r="H5198" s="7"/>
      <c r="J5198" s="7"/>
      <c r="L5198" s="7"/>
      <c r="N5198" s="7"/>
      <c r="P5198" s="7"/>
      <c r="R5198" s="7"/>
      <c r="T5198" s="7"/>
      <c r="V5198" s="7"/>
      <c r="X5198" s="7"/>
    </row>
    <row r="5199" spans="2:24">
      <c r="B5199" s="7"/>
      <c r="D5199" s="7"/>
      <c r="F5199" s="7"/>
      <c r="H5199" s="7"/>
      <c r="J5199" s="7"/>
      <c r="L5199" s="7"/>
      <c r="N5199" s="7"/>
      <c r="P5199" s="7"/>
      <c r="R5199" s="7"/>
      <c r="T5199" s="7"/>
      <c r="V5199" s="7"/>
      <c r="X5199" s="7"/>
    </row>
    <row r="5200" spans="2:24">
      <c r="B5200" s="7"/>
      <c r="D5200" s="7"/>
      <c r="F5200" s="7"/>
      <c r="H5200" s="7"/>
      <c r="J5200" s="7"/>
      <c r="L5200" s="7"/>
      <c r="N5200" s="7"/>
      <c r="P5200" s="7"/>
      <c r="R5200" s="7"/>
      <c r="T5200" s="7"/>
      <c r="V5200" s="7"/>
      <c r="X5200" s="7"/>
    </row>
    <row r="5201" spans="2:24">
      <c r="B5201" s="7"/>
      <c r="D5201" s="7"/>
      <c r="F5201" s="7"/>
      <c r="H5201" s="7"/>
      <c r="J5201" s="7"/>
      <c r="L5201" s="7"/>
      <c r="N5201" s="7"/>
      <c r="P5201" s="7"/>
      <c r="R5201" s="7"/>
      <c r="T5201" s="7"/>
      <c r="V5201" s="7"/>
      <c r="X5201" s="7"/>
    </row>
    <row r="5202" spans="2:24">
      <c r="B5202" s="7"/>
      <c r="D5202" s="7"/>
      <c r="F5202" s="7"/>
      <c r="H5202" s="7"/>
      <c r="J5202" s="7"/>
      <c r="L5202" s="7"/>
      <c r="N5202" s="7"/>
      <c r="P5202" s="7"/>
      <c r="R5202" s="7"/>
      <c r="T5202" s="7"/>
      <c r="V5202" s="7"/>
      <c r="X5202" s="7"/>
    </row>
    <row r="5203" spans="2:24">
      <c r="B5203" s="7"/>
      <c r="D5203" s="7"/>
      <c r="F5203" s="7"/>
      <c r="H5203" s="7"/>
      <c r="J5203" s="7"/>
      <c r="L5203" s="7"/>
      <c r="N5203" s="7"/>
      <c r="P5203" s="7"/>
      <c r="R5203" s="7"/>
      <c r="T5203" s="7"/>
      <c r="V5203" s="7"/>
      <c r="X5203" s="7"/>
    </row>
    <row r="5204" spans="2:24">
      <c r="B5204" s="7"/>
      <c r="D5204" s="7"/>
      <c r="F5204" s="7"/>
      <c r="H5204" s="7"/>
      <c r="J5204" s="7"/>
      <c r="L5204" s="7"/>
      <c r="N5204" s="7"/>
      <c r="P5204" s="7"/>
      <c r="R5204" s="7"/>
      <c r="T5204" s="7"/>
      <c r="V5204" s="7"/>
      <c r="X5204" s="7"/>
    </row>
    <row r="5205" spans="2:24">
      <c r="B5205" s="7"/>
      <c r="D5205" s="7"/>
      <c r="F5205" s="7"/>
      <c r="H5205" s="7"/>
      <c r="J5205" s="7"/>
      <c r="L5205" s="7"/>
      <c r="N5205" s="7"/>
      <c r="P5205" s="7"/>
      <c r="R5205" s="7"/>
      <c r="T5205" s="7"/>
      <c r="V5205" s="7"/>
      <c r="X5205" s="7"/>
    </row>
    <row r="5206" spans="2:24">
      <c r="B5206" s="7"/>
      <c r="D5206" s="7"/>
      <c r="F5206" s="7"/>
      <c r="H5206" s="7"/>
      <c r="J5206" s="7"/>
      <c r="L5206" s="7"/>
      <c r="N5206" s="7"/>
      <c r="P5206" s="7"/>
      <c r="R5206" s="7"/>
      <c r="T5206" s="7"/>
      <c r="V5206" s="7"/>
      <c r="X5206" s="7"/>
    </row>
    <row r="5207" spans="2:24">
      <c r="B5207" s="7"/>
      <c r="D5207" s="7"/>
      <c r="F5207" s="7"/>
      <c r="H5207" s="7"/>
      <c r="J5207" s="7"/>
      <c r="L5207" s="7"/>
      <c r="N5207" s="7"/>
      <c r="P5207" s="7"/>
      <c r="R5207" s="7"/>
      <c r="T5207" s="7"/>
      <c r="V5207" s="7"/>
      <c r="X5207" s="7"/>
    </row>
    <row r="5208" spans="2:24">
      <c r="B5208" s="7"/>
      <c r="D5208" s="7"/>
      <c r="F5208" s="7"/>
      <c r="H5208" s="7"/>
      <c r="J5208" s="7"/>
      <c r="L5208" s="7"/>
      <c r="N5208" s="7"/>
      <c r="P5208" s="7"/>
      <c r="R5208" s="7"/>
      <c r="T5208" s="7"/>
      <c r="V5208" s="7"/>
      <c r="X5208" s="7"/>
    </row>
    <row r="5209" spans="2:24">
      <c r="B5209" s="7"/>
      <c r="D5209" s="7"/>
      <c r="F5209" s="7"/>
      <c r="H5209" s="7"/>
      <c r="J5209" s="7"/>
      <c r="L5209" s="7"/>
      <c r="N5209" s="7"/>
      <c r="P5209" s="7"/>
      <c r="R5209" s="7"/>
      <c r="T5209" s="7"/>
      <c r="V5209" s="7"/>
      <c r="X5209" s="7"/>
    </row>
    <row r="5210" spans="2:24">
      <c r="B5210" s="7"/>
      <c r="D5210" s="7"/>
      <c r="F5210" s="7"/>
      <c r="H5210" s="7"/>
      <c r="J5210" s="7"/>
      <c r="L5210" s="7"/>
      <c r="N5210" s="7"/>
      <c r="P5210" s="7"/>
      <c r="R5210" s="7"/>
      <c r="T5210" s="7"/>
      <c r="V5210" s="7"/>
      <c r="X5210" s="7"/>
    </row>
    <row r="5211" spans="2:24">
      <c r="B5211" s="7"/>
      <c r="D5211" s="7"/>
      <c r="F5211" s="7"/>
      <c r="H5211" s="7"/>
      <c r="J5211" s="7"/>
      <c r="L5211" s="7"/>
      <c r="N5211" s="7"/>
      <c r="P5211" s="7"/>
      <c r="R5211" s="7"/>
      <c r="T5211" s="7"/>
      <c r="V5211" s="7"/>
      <c r="X5211" s="7"/>
    </row>
    <row r="5212" spans="2:24">
      <c r="B5212" s="7"/>
      <c r="D5212" s="7"/>
      <c r="F5212" s="7"/>
      <c r="H5212" s="7"/>
      <c r="J5212" s="7"/>
      <c r="L5212" s="7"/>
      <c r="N5212" s="7"/>
      <c r="P5212" s="7"/>
      <c r="R5212" s="7"/>
      <c r="T5212" s="7"/>
      <c r="V5212" s="7"/>
      <c r="X5212" s="7"/>
    </row>
    <row r="5213" spans="2:24">
      <c r="B5213" s="7"/>
      <c r="D5213" s="7"/>
      <c r="F5213" s="7"/>
      <c r="H5213" s="7"/>
      <c r="J5213" s="7"/>
      <c r="L5213" s="7"/>
      <c r="N5213" s="7"/>
      <c r="P5213" s="7"/>
      <c r="R5213" s="7"/>
      <c r="T5213" s="7"/>
      <c r="V5213" s="7"/>
      <c r="X5213" s="7"/>
    </row>
    <row r="5214" spans="2:24">
      <c r="B5214" s="7"/>
      <c r="D5214" s="7"/>
      <c r="F5214" s="7"/>
      <c r="H5214" s="7"/>
      <c r="J5214" s="7"/>
      <c r="L5214" s="7"/>
      <c r="N5214" s="7"/>
      <c r="P5214" s="7"/>
      <c r="R5214" s="7"/>
      <c r="T5214" s="7"/>
      <c r="V5214" s="7"/>
      <c r="X5214" s="7"/>
    </row>
    <row r="5215" spans="2:24">
      <c r="B5215" s="7"/>
      <c r="D5215" s="7"/>
      <c r="F5215" s="7"/>
      <c r="H5215" s="7"/>
      <c r="J5215" s="7"/>
      <c r="L5215" s="7"/>
      <c r="N5215" s="7"/>
      <c r="P5215" s="7"/>
      <c r="R5215" s="7"/>
      <c r="T5215" s="7"/>
      <c r="V5215" s="7"/>
      <c r="X5215" s="7"/>
    </row>
    <row r="5216" spans="2:24">
      <c r="B5216" s="7"/>
      <c r="D5216" s="7"/>
      <c r="F5216" s="7"/>
      <c r="H5216" s="7"/>
      <c r="J5216" s="7"/>
      <c r="L5216" s="7"/>
      <c r="N5216" s="7"/>
      <c r="P5216" s="7"/>
      <c r="R5216" s="7"/>
      <c r="T5216" s="7"/>
      <c r="V5216" s="7"/>
      <c r="X5216" s="7"/>
    </row>
    <row r="5217" spans="2:24">
      <c r="B5217" s="7"/>
      <c r="D5217" s="7"/>
      <c r="F5217" s="7"/>
      <c r="H5217" s="7"/>
      <c r="J5217" s="7"/>
      <c r="L5217" s="7"/>
      <c r="N5217" s="7"/>
      <c r="P5217" s="7"/>
      <c r="R5217" s="7"/>
      <c r="T5217" s="7"/>
      <c r="V5217" s="7"/>
      <c r="X5217" s="7"/>
    </row>
    <row r="5218" spans="2:24">
      <c r="B5218" s="7"/>
      <c r="D5218" s="7"/>
      <c r="F5218" s="7"/>
      <c r="H5218" s="7"/>
      <c r="J5218" s="7"/>
      <c r="L5218" s="7"/>
      <c r="N5218" s="7"/>
      <c r="P5218" s="7"/>
      <c r="R5218" s="7"/>
      <c r="T5218" s="7"/>
      <c r="V5218" s="7"/>
      <c r="X5218" s="7"/>
    </row>
    <row r="5219" spans="2:24">
      <c r="B5219" s="7"/>
      <c r="D5219" s="7"/>
      <c r="F5219" s="7"/>
      <c r="H5219" s="7"/>
      <c r="J5219" s="7"/>
      <c r="L5219" s="7"/>
      <c r="N5219" s="7"/>
      <c r="P5219" s="7"/>
      <c r="R5219" s="7"/>
      <c r="T5219" s="7"/>
      <c r="V5219" s="7"/>
      <c r="X5219" s="7"/>
    </row>
    <row r="5220" spans="2:24">
      <c r="B5220" s="7"/>
      <c r="D5220" s="7"/>
      <c r="F5220" s="7"/>
      <c r="H5220" s="7"/>
      <c r="J5220" s="7"/>
      <c r="L5220" s="7"/>
      <c r="N5220" s="7"/>
      <c r="P5220" s="7"/>
      <c r="R5220" s="7"/>
      <c r="T5220" s="7"/>
      <c r="V5220" s="7"/>
      <c r="X5220" s="7"/>
    </row>
    <row r="5221" spans="2:24">
      <c r="B5221" s="7"/>
      <c r="D5221" s="7"/>
      <c r="F5221" s="7"/>
      <c r="H5221" s="7"/>
      <c r="J5221" s="7"/>
      <c r="L5221" s="7"/>
      <c r="N5221" s="7"/>
      <c r="P5221" s="7"/>
      <c r="R5221" s="7"/>
      <c r="T5221" s="7"/>
      <c r="V5221" s="7"/>
      <c r="X5221" s="7"/>
    </row>
    <row r="5222" spans="2:24">
      <c r="B5222" s="7"/>
      <c r="D5222" s="7"/>
      <c r="F5222" s="7"/>
      <c r="H5222" s="7"/>
      <c r="J5222" s="7"/>
      <c r="L5222" s="7"/>
      <c r="N5222" s="7"/>
      <c r="P5222" s="7"/>
      <c r="R5222" s="7"/>
      <c r="T5222" s="7"/>
      <c r="V5222" s="7"/>
      <c r="X5222" s="7"/>
    </row>
    <row r="5223" spans="2:24">
      <c r="B5223" s="7"/>
      <c r="D5223" s="7"/>
      <c r="F5223" s="7"/>
      <c r="H5223" s="7"/>
      <c r="J5223" s="7"/>
      <c r="L5223" s="7"/>
      <c r="N5223" s="7"/>
      <c r="P5223" s="7"/>
      <c r="R5223" s="7"/>
      <c r="T5223" s="7"/>
      <c r="V5223" s="7"/>
      <c r="X5223" s="7"/>
    </row>
    <row r="5224" spans="2:24">
      <c r="B5224" s="7"/>
      <c r="D5224" s="7"/>
      <c r="F5224" s="7"/>
      <c r="H5224" s="7"/>
      <c r="J5224" s="7"/>
      <c r="L5224" s="7"/>
      <c r="N5224" s="7"/>
      <c r="P5224" s="7"/>
      <c r="R5224" s="7"/>
      <c r="T5224" s="7"/>
      <c r="V5224" s="7"/>
      <c r="X5224" s="7"/>
    </row>
    <row r="5225" spans="2:24">
      <c r="B5225" s="7"/>
      <c r="D5225" s="7"/>
      <c r="F5225" s="7"/>
      <c r="H5225" s="7"/>
      <c r="J5225" s="7"/>
      <c r="L5225" s="7"/>
      <c r="N5225" s="7"/>
      <c r="P5225" s="7"/>
      <c r="R5225" s="7"/>
      <c r="T5225" s="7"/>
      <c r="V5225" s="7"/>
      <c r="X5225" s="7"/>
    </row>
    <row r="5226" spans="2:24">
      <c r="B5226" s="7"/>
      <c r="D5226" s="7"/>
      <c r="F5226" s="7"/>
      <c r="H5226" s="7"/>
      <c r="J5226" s="7"/>
      <c r="L5226" s="7"/>
      <c r="N5226" s="7"/>
      <c r="P5226" s="7"/>
      <c r="R5226" s="7"/>
      <c r="T5226" s="7"/>
      <c r="V5226" s="7"/>
      <c r="X5226" s="7"/>
    </row>
    <row r="5227" spans="2:24">
      <c r="B5227" s="7"/>
      <c r="D5227" s="7"/>
      <c r="F5227" s="7"/>
      <c r="H5227" s="7"/>
      <c r="J5227" s="7"/>
      <c r="L5227" s="7"/>
      <c r="N5227" s="7"/>
      <c r="P5227" s="7"/>
      <c r="R5227" s="7"/>
      <c r="T5227" s="7"/>
      <c r="V5227" s="7"/>
      <c r="X5227" s="7"/>
    </row>
    <row r="5228" spans="2:24">
      <c r="B5228" s="7"/>
      <c r="D5228" s="7"/>
      <c r="F5228" s="7"/>
      <c r="H5228" s="7"/>
      <c r="J5228" s="7"/>
      <c r="L5228" s="7"/>
      <c r="N5228" s="7"/>
      <c r="P5228" s="7"/>
      <c r="R5228" s="7"/>
      <c r="T5228" s="7"/>
      <c r="V5228" s="7"/>
      <c r="X5228" s="7"/>
    </row>
    <row r="5229" spans="2:24">
      <c r="B5229" s="7"/>
      <c r="D5229" s="7"/>
      <c r="F5229" s="7"/>
      <c r="H5229" s="7"/>
      <c r="J5229" s="7"/>
      <c r="L5229" s="7"/>
      <c r="N5229" s="7"/>
      <c r="P5229" s="7"/>
      <c r="R5229" s="7"/>
      <c r="T5229" s="7"/>
      <c r="V5229" s="7"/>
      <c r="X5229" s="7"/>
    </row>
    <row r="5230" spans="2:24">
      <c r="B5230" s="7"/>
      <c r="D5230" s="7"/>
      <c r="F5230" s="7"/>
      <c r="H5230" s="7"/>
      <c r="J5230" s="7"/>
      <c r="L5230" s="7"/>
      <c r="N5230" s="7"/>
      <c r="P5230" s="7"/>
      <c r="R5230" s="7"/>
      <c r="T5230" s="7"/>
      <c r="V5230" s="7"/>
      <c r="X5230" s="7"/>
    </row>
    <row r="5231" spans="2:24">
      <c r="B5231" s="7"/>
      <c r="D5231" s="7"/>
      <c r="F5231" s="7"/>
      <c r="H5231" s="7"/>
      <c r="J5231" s="7"/>
      <c r="L5231" s="7"/>
      <c r="N5231" s="7"/>
      <c r="P5231" s="7"/>
      <c r="R5231" s="7"/>
      <c r="T5231" s="7"/>
      <c r="V5231" s="7"/>
      <c r="X5231" s="7"/>
    </row>
    <row r="5232" spans="2:24">
      <c r="B5232" s="7"/>
      <c r="D5232" s="7"/>
      <c r="F5232" s="7"/>
      <c r="H5232" s="7"/>
      <c r="J5232" s="7"/>
      <c r="L5232" s="7"/>
      <c r="N5232" s="7"/>
      <c r="P5232" s="7"/>
      <c r="R5232" s="7"/>
      <c r="T5232" s="7"/>
      <c r="V5232" s="7"/>
      <c r="X5232" s="7"/>
    </row>
    <row r="5233" spans="2:24">
      <c r="B5233" s="7"/>
      <c r="D5233" s="7"/>
      <c r="F5233" s="7"/>
      <c r="H5233" s="7"/>
      <c r="J5233" s="7"/>
      <c r="L5233" s="7"/>
      <c r="N5233" s="7"/>
      <c r="P5233" s="7"/>
      <c r="R5233" s="7"/>
      <c r="T5233" s="7"/>
      <c r="V5233" s="7"/>
      <c r="X5233" s="7"/>
    </row>
    <row r="5234" spans="2:24">
      <c r="B5234" s="7"/>
      <c r="D5234" s="7"/>
      <c r="F5234" s="7"/>
      <c r="H5234" s="7"/>
      <c r="J5234" s="7"/>
      <c r="L5234" s="7"/>
      <c r="N5234" s="7"/>
      <c r="P5234" s="7"/>
      <c r="R5234" s="7"/>
      <c r="T5234" s="7"/>
      <c r="V5234" s="7"/>
      <c r="X5234" s="7"/>
    </row>
    <row r="5235" spans="2:24">
      <c r="B5235" s="7"/>
      <c r="D5235" s="7"/>
      <c r="F5235" s="7"/>
      <c r="H5235" s="7"/>
      <c r="J5235" s="7"/>
      <c r="L5235" s="7"/>
      <c r="N5235" s="7"/>
      <c r="P5235" s="7"/>
      <c r="R5235" s="7"/>
      <c r="T5235" s="7"/>
      <c r="V5235" s="7"/>
      <c r="X5235" s="7"/>
    </row>
    <row r="5236" spans="2:24">
      <c r="B5236" s="7"/>
      <c r="D5236" s="7"/>
      <c r="F5236" s="7"/>
      <c r="H5236" s="7"/>
      <c r="J5236" s="7"/>
      <c r="L5236" s="7"/>
      <c r="N5236" s="7"/>
      <c r="P5236" s="7"/>
      <c r="R5236" s="7"/>
      <c r="T5236" s="7"/>
      <c r="V5236" s="7"/>
      <c r="X5236" s="7"/>
    </row>
    <row r="5237" spans="2:24">
      <c r="B5237" s="7"/>
      <c r="D5237" s="7"/>
      <c r="F5237" s="7"/>
      <c r="H5237" s="7"/>
      <c r="J5237" s="7"/>
      <c r="L5237" s="7"/>
      <c r="N5237" s="7"/>
      <c r="P5237" s="7"/>
      <c r="R5237" s="7"/>
      <c r="T5237" s="7"/>
      <c r="V5237" s="7"/>
      <c r="X5237" s="7"/>
    </row>
    <row r="5238" spans="2:24">
      <c r="B5238" s="7"/>
      <c r="D5238" s="7"/>
      <c r="F5238" s="7"/>
      <c r="H5238" s="7"/>
      <c r="J5238" s="7"/>
      <c r="L5238" s="7"/>
      <c r="N5238" s="7"/>
      <c r="P5238" s="7"/>
      <c r="R5238" s="7"/>
      <c r="T5238" s="7"/>
      <c r="V5238" s="7"/>
      <c r="X5238" s="7"/>
    </row>
    <row r="5239" spans="2:24">
      <c r="B5239" s="7"/>
      <c r="D5239" s="7"/>
      <c r="F5239" s="7"/>
      <c r="H5239" s="7"/>
      <c r="J5239" s="7"/>
      <c r="L5239" s="7"/>
      <c r="N5239" s="7"/>
      <c r="P5239" s="7"/>
      <c r="R5239" s="7"/>
      <c r="T5239" s="7"/>
      <c r="V5239" s="7"/>
      <c r="X5239" s="7"/>
    </row>
    <row r="5240" spans="2:24">
      <c r="B5240" s="7"/>
      <c r="D5240" s="7"/>
      <c r="F5240" s="7"/>
      <c r="H5240" s="7"/>
      <c r="J5240" s="7"/>
      <c r="L5240" s="7"/>
      <c r="N5240" s="7"/>
      <c r="P5240" s="7"/>
      <c r="R5240" s="7"/>
      <c r="T5240" s="7"/>
      <c r="V5240" s="7"/>
      <c r="X5240" s="7"/>
    </row>
    <row r="5241" spans="2:24">
      <c r="B5241" s="7"/>
      <c r="D5241" s="7"/>
      <c r="F5241" s="7"/>
      <c r="H5241" s="7"/>
      <c r="J5241" s="7"/>
      <c r="L5241" s="7"/>
      <c r="N5241" s="7"/>
      <c r="P5241" s="7"/>
      <c r="R5241" s="7"/>
      <c r="T5241" s="7"/>
      <c r="V5241" s="7"/>
      <c r="X5241" s="7"/>
    </row>
    <row r="5242" spans="2:24">
      <c r="B5242" s="7"/>
      <c r="D5242" s="7"/>
      <c r="F5242" s="7"/>
      <c r="H5242" s="7"/>
      <c r="J5242" s="7"/>
      <c r="L5242" s="7"/>
      <c r="N5242" s="7"/>
      <c r="P5242" s="7"/>
      <c r="R5242" s="7"/>
      <c r="T5242" s="7"/>
      <c r="V5242" s="7"/>
      <c r="X5242" s="7"/>
    </row>
    <row r="5243" spans="2:24">
      <c r="B5243" s="7"/>
      <c r="D5243" s="7"/>
      <c r="F5243" s="7"/>
      <c r="H5243" s="7"/>
      <c r="J5243" s="7"/>
      <c r="L5243" s="7"/>
      <c r="N5243" s="7"/>
      <c r="P5243" s="7"/>
      <c r="R5243" s="7"/>
      <c r="T5243" s="7"/>
      <c r="V5243" s="7"/>
      <c r="X5243" s="7"/>
    </row>
    <row r="5244" spans="2:24">
      <c r="B5244" s="7"/>
      <c r="D5244" s="7"/>
      <c r="F5244" s="7"/>
      <c r="H5244" s="7"/>
      <c r="J5244" s="7"/>
      <c r="L5244" s="7"/>
      <c r="N5244" s="7"/>
      <c r="P5244" s="7"/>
      <c r="R5244" s="7"/>
      <c r="T5244" s="7"/>
      <c r="V5244" s="7"/>
      <c r="X5244" s="7"/>
    </row>
    <row r="5245" spans="2:24">
      <c r="B5245" s="7"/>
      <c r="D5245" s="7"/>
      <c r="F5245" s="7"/>
      <c r="H5245" s="7"/>
      <c r="J5245" s="7"/>
      <c r="L5245" s="7"/>
      <c r="N5245" s="7"/>
      <c r="P5245" s="7"/>
      <c r="R5245" s="7"/>
      <c r="T5245" s="7"/>
      <c r="V5245" s="7"/>
      <c r="X5245" s="7"/>
    </row>
    <row r="5246" spans="2:24">
      <c r="B5246" s="7"/>
      <c r="D5246" s="7"/>
      <c r="F5246" s="7"/>
      <c r="H5246" s="7"/>
      <c r="J5246" s="7"/>
      <c r="L5246" s="7"/>
      <c r="N5246" s="7"/>
      <c r="P5246" s="7"/>
      <c r="R5246" s="7"/>
      <c r="T5246" s="7"/>
      <c r="V5246" s="7"/>
      <c r="X5246" s="7"/>
    </row>
    <row r="5247" spans="2:24">
      <c r="B5247" s="7"/>
      <c r="D5247" s="7"/>
      <c r="F5247" s="7"/>
      <c r="H5247" s="7"/>
      <c r="J5247" s="7"/>
      <c r="L5247" s="7"/>
      <c r="N5247" s="7"/>
      <c r="P5247" s="7"/>
      <c r="R5247" s="7"/>
      <c r="T5247" s="7"/>
      <c r="V5247" s="7"/>
      <c r="X5247" s="7"/>
    </row>
    <row r="5248" spans="2:24">
      <c r="B5248" s="7"/>
      <c r="D5248" s="7"/>
      <c r="F5248" s="7"/>
      <c r="H5248" s="7"/>
      <c r="J5248" s="7"/>
      <c r="L5248" s="7"/>
      <c r="N5248" s="7"/>
      <c r="P5248" s="7"/>
      <c r="R5248" s="7"/>
      <c r="T5248" s="7"/>
      <c r="V5248" s="7"/>
      <c r="X5248" s="7"/>
    </row>
    <row r="5249" spans="2:24">
      <c r="B5249" s="7"/>
      <c r="D5249" s="7"/>
      <c r="F5249" s="7"/>
      <c r="H5249" s="7"/>
      <c r="J5249" s="7"/>
      <c r="L5249" s="7"/>
      <c r="N5249" s="7"/>
      <c r="P5249" s="7"/>
      <c r="R5249" s="7"/>
      <c r="T5249" s="7"/>
      <c r="V5249" s="7"/>
      <c r="X5249" s="7"/>
    </row>
    <row r="5250" spans="2:24">
      <c r="B5250" s="7"/>
      <c r="D5250" s="7"/>
      <c r="F5250" s="7"/>
      <c r="H5250" s="7"/>
      <c r="J5250" s="7"/>
      <c r="L5250" s="7"/>
      <c r="N5250" s="7"/>
      <c r="P5250" s="7"/>
      <c r="R5250" s="7"/>
      <c r="T5250" s="7"/>
      <c r="V5250" s="7"/>
      <c r="X5250" s="7"/>
    </row>
    <row r="5251" spans="2:24">
      <c r="B5251" s="7"/>
      <c r="D5251" s="7"/>
      <c r="F5251" s="7"/>
      <c r="H5251" s="7"/>
      <c r="J5251" s="7"/>
      <c r="L5251" s="7"/>
      <c r="N5251" s="7"/>
      <c r="P5251" s="7"/>
      <c r="R5251" s="7"/>
      <c r="T5251" s="7"/>
      <c r="V5251" s="7"/>
      <c r="X5251" s="7"/>
    </row>
    <row r="5252" spans="2:24">
      <c r="B5252" s="7"/>
      <c r="D5252" s="7"/>
      <c r="F5252" s="7"/>
      <c r="H5252" s="7"/>
      <c r="J5252" s="7"/>
      <c r="L5252" s="7"/>
      <c r="N5252" s="7"/>
      <c r="P5252" s="7"/>
      <c r="R5252" s="7"/>
      <c r="T5252" s="7"/>
      <c r="V5252" s="7"/>
      <c r="X5252" s="7"/>
    </row>
    <row r="5253" spans="2:24">
      <c r="B5253" s="7"/>
      <c r="D5253" s="7"/>
      <c r="F5253" s="7"/>
      <c r="H5253" s="7"/>
      <c r="J5253" s="7"/>
      <c r="L5253" s="7"/>
      <c r="N5253" s="7"/>
      <c r="P5253" s="7"/>
      <c r="R5253" s="7"/>
      <c r="T5253" s="7"/>
      <c r="V5253" s="7"/>
      <c r="X5253" s="7"/>
    </row>
    <row r="5254" spans="2:24">
      <c r="B5254" s="7"/>
      <c r="D5254" s="7"/>
      <c r="F5254" s="7"/>
      <c r="H5254" s="7"/>
      <c r="J5254" s="7"/>
      <c r="L5254" s="7"/>
      <c r="N5254" s="7"/>
      <c r="P5254" s="7"/>
      <c r="R5254" s="7"/>
      <c r="T5254" s="7"/>
      <c r="V5254" s="7"/>
      <c r="X5254" s="7"/>
    </row>
    <row r="5255" spans="2:24">
      <c r="B5255" s="7"/>
      <c r="D5255" s="7"/>
      <c r="F5255" s="7"/>
      <c r="H5255" s="7"/>
      <c r="J5255" s="7"/>
      <c r="L5255" s="7"/>
      <c r="N5255" s="7"/>
      <c r="P5255" s="7"/>
      <c r="R5255" s="7"/>
      <c r="T5255" s="7"/>
      <c r="V5255" s="7"/>
      <c r="X5255" s="7"/>
    </row>
    <row r="5256" spans="2:24">
      <c r="B5256" s="7"/>
      <c r="D5256" s="7"/>
      <c r="F5256" s="7"/>
      <c r="H5256" s="7"/>
      <c r="J5256" s="7"/>
      <c r="L5256" s="7"/>
      <c r="N5256" s="7"/>
      <c r="P5256" s="7"/>
      <c r="R5256" s="7"/>
      <c r="T5256" s="7"/>
      <c r="V5256" s="7"/>
      <c r="X5256" s="7"/>
    </row>
    <row r="5257" spans="2:24">
      <c r="B5257" s="7"/>
      <c r="D5257" s="7"/>
      <c r="F5257" s="7"/>
      <c r="H5257" s="7"/>
      <c r="J5257" s="7"/>
      <c r="L5257" s="7"/>
      <c r="N5257" s="7"/>
      <c r="P5257" s="7"/>
      <c r="R5257" s="7"/>
      <c r="T5257" s="7"/>
      <c r="V5257" s="7"/>
      <c r="X5257" s="7"/>
    </row>
    <row r="5258" spans="2:24">
      <c r="B5258" s="7"/>
      <c r="D5258" s="7"/>
      <c r="F5258" s="7"/>
      <c r="H5258" s="7"/>
      <c r="J5258" s="7"/>
      <c r="L5258" s="7"/>
      <c r="N5258" s="7"/>
      <c r="P5258" s="7"/>
      <c r="R5258" s="7"/>
      <c r="T5258" s="7"/>
      <c r="V5258" s="7"/>
      <c r="X5258" s="7"/>
    </row>
    <row r="5259" spans="2:24">
      <c r="B5259" s="7"/>
      <c r="D5259" s="7"/>
      <c r="F5259" s="7"/>
      <c r="H5259" s="7"/>
      <c r="J5259" s="7"/>
      <c r="L5259" s="7"/>
      <c r="N5259" s="7"/>
      <c r="P5259" s="7"/>
      <c r="R5259" s="7"/>
      <c r="T5259" s="7"/>
      <c r="V5259" s="7"/>
      <c r="X5259" s="7"/>
    </row>
    <row r="5260" spans="2:24">
      <c r="B5260" s="7"/>
      <c r="D5260" s="7"/>
      <c r="F5260" s="7"/>
      <c r="H5260" s="7"/>
      <c r="J5260" s="7"/>
      <c r="L5260" s="7"/>
      <c r="N5260" s="7"/>
      <c r="P5260" s="7"/>
      <c r="R5260" s="7"/>
      <c r="T5260" s="7"/>
      <c r="V5260" s="7"/>
      <c r="X5260" s="7"/>
    </row>
    <row r="5261" spans="2:24">
      <c r="B5261" s="7"/>
      <c r="D5261" s="7"/>
      <c r="F5261" s="7"/>
      <c r="H5261" s="7"/>
      <c r="J5261" s="7"/>
      <c r="L5261" s="7"/>
      <c r="N5261" s="7"/>
      <c r="P5261" s="7"/>
      <c r="R5261" s="7"/>
      <c r="T5261" s="7"/>
      <c r="V5261" s="7"/>
      <c r="X5261" s="7"/>
    </row>
    <row r="5262" spans="2:24">
      <c r="B5262" s="7"/>
      <c r="D5262" s="7"/>
      <c r="F5262" s="7"/>
      <c r="H5262" s="7"/>
      <c r="J5262" s="7"/>
      <c r="L5262" s="7"/>
      <c r="N5262" s="7"/>
      <c r="P5262" s="7"/>
      <c r="R5262" s="7"/>
      <c r="T5262" s="7"/>
      <c r="V5262" s="7"/>
      <c r="X5262" s="7"/>
    </row>
    <row r="5263" spans="2:24">
      <c r="B5263" s="7"/>
      <c r="D5263" s="7"/>
      <c r="F5263" s="7"/>
      <c r="H5263" s="7"/>
      <c r="J5263" s="7"/>
      <c r="L5263" s="7"/>
      <c r="N5263" s="7"/>
      <c r="P5263" s="7"/>
      <c r="R5263" s="7"/>
      <c r="T5263" s="7"/>
      <c r="V5263" s="7"/>
      <c r="X5263" s="7"/>
    </row>
    <row r="5264" spans="2:24">
      <c r="B5264" s="7"/>
      <c r="D5264" s="7"/>
      <c r="F5264" s="7"/>
      <c r="H5264" s="7"/>
      <c r="J5264" s="7"/>
      <c r="L5264" s="7"/>
      <c r="N5264" s="7"/>
      <c r="P5264" s="7"/>
      <c r="R5264" s="7"/>
      <c r="T5264" s="7"/>
      <c r="V5264" s="7"/>
      <c r="X5264" s="7"/>
    </row>
    <row r="5265" spans="2:24">
      <c r="B5265" s="7"/>
      <c r="D5265" s="7"/>
      <c r="F5265" s="7"/>
      <c r="H5265" s="7"/>
      <c r="J5265" s="7"/>
      <c r="L5265" s="7"/>
      <c r="N5265" s="7"/>
      <c r="P5265" s="7"/>
      <c r="R5265" s="7"/>
      <c r="T5265" s="7"/>
      <c r="V5265" s="7"/>
      <c r="X5265" s="7"/>
    </row>
    <row r="5266" spans="2:24">
      <c r="B5266" s="7"/>
      <c r="D5266" s="7"/>
      <c r="F5266" s="7"/>
      <c r="H5266" s="7"/>
      <c r="J5266" s="7"/>
      <c r="L5266" s="7"/>
      <c r="N5266" s="7"/>
      <c r="P5266" s="7"/>
      <c r="R5266" s="7"/>
      <c r="T5266" s="7"/>
      <c r="V5266" s="7"/>
      <c r="X5266" s="7"/>
    </row>
    <row r="5267" spans="2:24">
      <c r="B5267" s="7"/>
      <c r="D5267" s="7"/>
      <c r="F5267" s="7"/>
      <c r="H5267" s="7"/>
      <c r="J5267" s="7"/>
      <c r="L5267" s="7"/>
      <c r="N5267" s="7"/>
      <c r="P5267" s="7"/>
      <c r="R5267" s="7"/>
      <c r="T5267" s="7"/>
      <c r="V5267" s="7"/>
      <c r="X5267" s="7"/>
    </row>
    <row r="5268" spans="2:24">
      <c r="B5268" s="7"/>
      <c r="D5268" s="7"/>
      <c r="F5268" s="7"/>
      <c r="H5268" s="7"/>
      <c r="J5268" s="7"/>
      <c r="L5268" s="7"/>
      <c r="N5268" s="7"/>
      <c r="P5268" s="7"/>
      <c r="R5268" s="7"/>
      <c r="T5268" s="7"/>
      <c r="V5268" s="7"/>
      <c r="X5268" s="7"/>
    </row>
    <row r="5269" spans="2:24">
      <c r="B5269" s="7"/>
      <c r="D5269" s="7"/>
      <c r="F5269" s="7"/>
      <c r="H5269" s="7"/>
      <c r="J5269" s="7"/>
      <c r="L5269" s="7"/>
      <c r="N5269" s="7"/>
      <c r="P5269" s="7"/>
      <c r="R5269" s="7"/>
      <c r="T5269" s="7"/>
      <c r="V5269" s="7"/>
      <c r="X5269" s="7"/>
    </row>
    <row r="5270" spans="2:24">
      <c r="B5270" s="7"/>
      <c r="D5270" s="7"/>
      <c r="F5270" s="7"/>
      <c r="H5270" s="7"/>
      <c r="J5270" s="7"/>
      <c r="L5270" s="7"/>
      <c r="N5270" s="7"/>
      <c r="P5270" s="7"/>
      <c r="R5270" s="7"/>
      <c r="T5270" s="7"/>
      <c r="V5270" s="7"/>
      <c r="X5270" s="7"/>
    </row>
    <row r="5271" spans="2:24">
      <c r="B5271" s="7"/>
      <c r="D5271" s="7"/>
      <c r="F5271" s="7"/>
      <c r="H5271" s="7"/>
      <c r="J5271" s="7"/>
      <c r="L5271" s="7"/>
      <c r="N5271" s="7"/>
      <c r="P5271" s="7"/>
      <c r="R5271" s="7"/>
      <c r="T5271" s="7"/>
      <c r="V5271" s="7"/>
      <c r="X5271" s="7"/>
    </row>
    <row r="5272" spans="2:24">
      <c r="B5272" s="7"/>
      <c r="D5272" s="7"/>
      <c r="F5272" s="7"/>
      <c r="H5272" s="7"/>
      <c r="J5272" s="7"/>
      <c r="L5272" s="7"/>
      <c r="N5272" s="7"/>
      <c r="P5272" s="7"/>
      <c r="R5272" s="7"/>
      <c r="T5272" s="7"/>
      <c r="V5272" s="7"/>
      <c r="X5272" s="7"/>
    </row>
    <row r="5273" spans="2:24">
      <c r="B5273" s="7"/>
      <c r="D5273" s="7"/>
      <c r="F5273" s="7"/>
      <c r="H5273" s="7"/>
      <c r="J5273" s="7"/>
      <c r="L5273" s="7"/>
      <c r="N5273" s="7"/>
      <c r="P5273" s="7"/>
      <c r="R5273" s="7"/>
      <c r="T5273" s="7"/>
      <c r="V5273" s="7"/>
      <c r="X5273" s="7"/>
    </row>
    <row r="5274" spans="2:24">
      <c r="B5274" s="7"/>
      <c r="D5274" s="7"/>
      <c r="F5274" s="7"/>
      <c r="H5274" s="7"/>
      <c r="J5274" s="7"/>
      <c r="L5274" s="7"/>
      <c r="N5274" s="7"/>
      <c r="P5274" s="7"/>
      <c r="R5274" s="7"/>
      <c r="T5274" s="7"/>
      <c r="V5274" s="7"/>
      <c r="X5274" s="7"/>
    </row>
    <row r="5275" spans="2:24">
      <c r="B5275" s="7"/>
      <c r="D5275" s="7"/>
      <c r="F5275" s="7"/>
      <c r="H5275" s="7"/>
      <c r="J5275" s="7"/>
      <c r="L5275" s="7"/>
      <c r="N5275" s="7"/>
      <c r="P5275" s="7"/>
      <c r="R5275" s="7"/>
      <c r="T5275" s="7"/>
      <c r="V5275" s="7"/>
      <c r="X5275" s="7"/>
    </row>
    <row r="5276" spans="2:24">
      <c r="B5276" s="7"/>
      <c r="D5276" s="7"/>
      <c r="F5276" s="7"/>
      <c r="H5276" s="7"/>
      <c r="J5276" s="7"/>
      <c r="L5276" s="7"/>
      <c r="N5276" s="7"/>
      <c r="P5276" s="7"/>
      <c r="R5276" s="7"/>
      <c r="T5276" s="7"/>
      <c r="V5276" s="7"/>
      <c r="X5276" s="7"/>
    </row>
    <row r="5277" spans="2:24">
      <c r="B5277" s="7"/>
      <c r="D5277" s="7"/>
      <c r="F5277" s="7"/>
      <c r="H5277" s="7"/>
      <c r="J5277" s="7"/>
      <c r="L5277" s="7"/>
      <c r="N5277" s="7"/>
      <c r="P5277" s="7"/>
      <c r="R5277" s="7"/>
      <c r="T5277" s="7"/>
      <c r="V5277" s="7"/>
      <c r="X5277" s="7"/>
    </row>
    <row r="5278" spans="2:24">
      <c r="B5278" s="7"/>
      <c r="D5278" s="7"/>
      <c r="F5278" s="7"/>
      <c r="H5278" s="7"/>
      <c r="J5278" s="7"/>
      <c r="L5278" s="7"/>
      <c r="N5278" s="7"/>
      <c r="P5278" s="7"/>
      <c r="R5278" s="7"/>
      <c r="T5278" s="7"/>
      <c r="V5278" s="7"/>
      <c r="X5278" s="7"/>
    </row>
    <row r="5279" spans="2:24">
      <c r="B5279" s="7"/>
      <c r="D5279" s="7"/>
      <c r="F5279" s="7"/>
      <c r="H5279" s="7"/>
      <c r="J5279" s="7"/>
      <c r="L5279" s="7"/>
      <c r="N5279" s="7"/>
      <c r="P5279" s="7"/>
      <c r="R5279" s="7"/>
      <c r="T5279" s="7"/>
      <c r="V5279" s="7"/>
      <c r="X5279" s="7"/>
    </row>
    <row r="5280" spans="2:24">
      <c r="B5280" s="7"/>
      <c r="D5280" s="7"/>
      <c r="F5280" s="7"/>
      <c r="H5280" s="7"/>
      <c r="J5280" s="7"/>
      <c r="L5280" s="7"/>
      <c r="N5280" s="7"/>
      <c r="P5280" s="7"/>
      <c r="R5280" s="7"/>
      <c r="T5280" s="7"/>
      <c r="V5280" s="7"/>
      <c r="X5280" s="7"/>
    </row>
    <row r="5281" spans="2:24">
      <c r="B5281" s="7"/>
      <c r="D5281" s="7"/>
      <c r="F5281" s="7"/>
      <c r="H5281" s="7"/>
      <c r="J5281" s="7"/>
      <c r="L5281" s="7"/>
      <c r="N5281" s="7"/>
      <c r="P5281" s="7"/>
      <c r="R5281" s="7"/>
      <c r="T5281" s="7"/>
      <c r="V5281" s="7"/>
      <c r="X5281" s="7"/>
    </row>
    <row r="5282" spans="2:24">
      <c r="B5282" s="7"/>
      <c r="D5282" s="7"/>
      <c r="F5282" s="7"/>
      <c r="H5282" s="7"/>
      <c r="J5282" s="7"/>
      <c r="L5282" s="7"/>
      <c r="N5282" s="7"/>
      <c r="P5282" s="7"/>
      <c r="R5282" s="7"/>
      <c r="T5282" s="7"/>
      <c r="V5282" s="7"/>
      <c r="X5282" s="7"/>
    </row>
    <row r="5283" spans="2:24">
      <c r="B5283" s="7"/>
      <c r="D5283" s="7"/>
      <c r="F5283" s="7"/>
      <c r="H5283" s="7"/>
      <c r="J5283" s="7"/>
      <c r="L5283" s="7"/>
      <c r="N5283" s="7"/>
      <c r="P5283" s="7"/>
      <c r="R5283" s="7"/>
      <c r="T5283" s="7"/>
      <c r="V5283" s="7"/>
      <c r="X5283" s="7"/>
    </row>
    <row r="5284" spans="2:24">
      <c r="B5284" s="7"/>
      <c r="D5284" s="7"/>
      <c r="F5284" s="7"/>
      <c r="H5284" s="7"/>
      <c r="J5284" s="7"/>
      <c r="L5284" s="7"/>
      <c r="N5284" s="7"/>
      <c r="P5284" s="7"/>
      <c r="R5284" s="7"/>
      <c r="T5284" s="7"/>
      <c r="V5284" s="7"/>
      <c r="X5284" s="7"/>
    </row>
    <row r="5285" spans="2:24">
      <c r="B5285" s="7"/>
      <c r="D5285" s="7"/>
      <c r="F5285" s="7"/>
      <c r="H5285" s="7"/>
      <c r="J5285" s="7"/>
      <c r="L5285" s="7"/>
      <c r="N5285" s="7"/>
      <c r="P5285" s="7"/>
      <c r="R5285" s="7"/>
      <c r="T5285" s="7"/>
      <c r="V5285" s="7"/>
      <c r="X5285" s="7"/>
    </row>
    <row r="5286" spans="2:24">
      <c r="B5286" s="7"/>
      <c r="D5286" s="7"/>
      <c r="F5286" s="7"/>
      <c r="H5286" s="7"/>
      <c r="J5286" s="7"/>
      <c r="L5286" s="7"/>
      <c r="N5286" s="7"/>
      <c r="P5286" s="7"/>
      <c r="R5286" s="7"/>
      <c r="T5286" s="7"/>
      <c r="V5286" s="7"/>
      <c r="X5286" s="7"/>
    </row>
    <row r="5287" spans="2:24">
      <c r="B5287" s="7"/>
      <c r="D5287" s="7"/>
      <c r="F5287" s="7"/>
      <c r="H5287" s="7"/>
      <c r="J5287" s="7"/>
      <c r="L5287" s="7"/>
      <c r="N5287" s="7"/>
      <c r="P5287" s="7"/>
      <c r="R5287" s="7"/>
      <c r="T5287" s="7"/>
      <c r="V5287" s="7"/>
      <c r="X5287" s="7"/>
    </row>
    <row r="5288" spans="2:24">
      <c r="B5288" s="7"/>
      <c r="D5288" s="7"/>
      <c r="F5288" s="7"/>
      <c r="H5288" s="7"/>
      <c r="J5288" s="7"/>
      <c r="L5288" s="7"/>
      <c r="N5288" s="7"/>
      <c r="P5288" s="7"/>
      <c r="R5288" s="7"/>
      <c r="T5288" s="7"/>
      <c r="V5288" s="7"/>
      <c r="X5288" s="7"/>
    </row>
    <row r="5289" spans="2:24">
      <c r="B5289" s="7"/>
      <c r="D5289" s="7"/>
      <c r="F5289" s="7"/>
      <c r="H5289" s="7"/>
      <c r="J5289" s="7"/>
      <c r="L5289" s="7"/>
      <c r="N5289" s="7"/>
      <c r="P5289" s="7"/>
      <c r="R5289" s="7"/>
      <c r="T5289" s="7"/>
      <c r="V5289" s="7"/>
      <c r="X5289" s="7"/>
    </row>
    <row r="5290" spans="2:24">
      <c r="B5290" s="7"/>
      <c r="D5290" s="7"/>
      <c r="F5290" s="7"/>
      <c r="H5290" s="7"/>
      <c r="J5290" s="7"/>
      <c r="L5290" s="7"/>
      <c r="N5290" s="7"/>
      <c r="P5290" s="7"/>
      <c r="R5290" s="7"/>
      <c r="T5290" s="7"/>
      <c r="V5290" s="7"/>
      <c r="X5290" s="7"/>
    </row>
    <row r="5291" spans="2:24">
      <c r="B5291" s="7"/>
      <c r="D5291" s="7"/>
      <c r="F5291" s="7"/>
      <c r="H5291" s="7"/>
      <c r="J5291" s="7"/>
      <c r="L5291" s="7"/>
      <c r="N5291" s="7"/>
      <c r="P5291" s="7"/>
      <c r="R5291" s="7"/>
      <c r="T5291" s="7"/>
      <c r="V5291" s="7"/>
      <c r="X5291" s="7"/>
    </row>
    <row r="5292" spans="2:24">
      <c r="B5292" s="7"/>
      <c r="D5292" s="7"/>
      <c r="F5292" s="7"/>
      <c r="H5292" s="7"/>
      <c r="J5292" s="7"/>
      <c r="L5292" s="7"/>
      <c r="N5292" s="7"/>
      <c r="P5292" s="7"/>
      <c r="R5292" s="7"/>
      <c r="T5292" s="7"/>
      <c r="V5292" s="7"/>
      <c r="X5292" s="7"/>
    </row>
    <row r="5293" spans="2:24">
      <c r="B5293" s="7"/>
      <c r="D5293" s="7"/>
      <c r="F5293" s="7"/>
      <c r="H5293" s="7"/>
      <c r="J5293" s="7"/>
      <c r="L5293" s="7"/>
      <c r="N5293" s="7"/>
      <c r="P5293" s="7"/>
      <c r="R5293" s="7"/>
      <c r="T5293" s="7"/>
      <c r="V5293" s="7"/>
      <c r="X5293" s="7"/>
    </row>
    <row r="5294" spans="2:24">
      <c r="B5294" s="7"/>
      <c r="D5294" s="7"/>
      <c r="F5294" s="7"/>
      <c r="H5294" s="7"/>
      <c r="J5294" s="7"/>
      <c r="L5294" s="7"/>
      <c r="N5294" s="7"/>
      <c r="P5294" s="7"/>
      <c r="R5294" s="7"/>
      <c r="T5294" s="7"/>
      <c r="V5294" s="7"/>
      <c r="X5294" s="7"/>
    </row>
    <row r="5295" spans="2:24">
      <c r="B5295" s="7"/>
      <c r="D5295" s="7"/>
      <c r="F5295" s="7"/>
      <c r="H5295" s="7"/>
      <c r="J5295" s="7"/>
      <c r="L5295" s="7"/>
      <c r="N5295" s="7"/>
      <c r="P5295" s="7"/>
      <c r="R5295" s="7"/>
      <c r="T5295" s="7"/>
      <c r="V5295" s="7"/>
      <c r="X5295" s="7"/>
    </row>
    <row r="5296" spans="2:24">
      <c r="B5296" s="7"/>
      <c r="D5296" s="7"/>
      <c r="F5296" s="7"/>
      <c r="H5296" s="7"/>
      <c r="J5296" s="7"/>
      <c r="L5296" s="7"/>
      <c r="N5296" s="7"/>
      <c r="P5296" s="7"/>
      <c r="R5296" s="7"/>
      <c r="T5296" s="7"/>
      <c r="V5296" s="7"/>
      <c r="X5296" s="7"/>
    </row>
    <row r="5297" spans="2:24">
      <c r="B5297" s="7"/>
      <c r="D5297" s="7"/>
      <c r="F5297" s="7"/>
      <c r="H5297" s="7"/>
      <c r="J5297" s="7"/>
      <c r="L5297" s="7"/>
      <c r="N5297" s="7"/>
      <c r="P5297" s="7"/>
      <c r="R5297" s="7"/>
      <c r="T5297" s="7"/>
      <c r="V5297" s="7"/>
      <c r="X5297" s="7"/>
    </row>
    <row r="5298" spans="2:24">
      <c r="B5298" s="7"/>
      <c r="D5298" s="7"/>
      <c r="F5298" s="7"/>
      <c r="H5298" s="7"/>
      <c r="J5298" s="7"/>
      <c r="L5298" s="7"/>
      <c r="N5298" s="7"/>
      <c r="P5298" s="7"/>
      <c r="R5298" s="7"/>
      <c r="T5298" s="7"/>
      <c r="V5298" s="7"/>
      <c r="X5298" s="7"/>
    </row>
    <row r="5299" spans="2:24">
      <c r="B5299" s="7"/>
      <c r="D5299" s="7"/>
      <c r="F5299" s="7"/>
      <c r="H5299" s="7"/>
      <c r="J5299" s="7"/>
      <c r="L5299" s="7"/>
      <c r="N5299" s="7"/>
      <c r="P5299" s="7"/>
      <c r="R5299" s="7"/>
      <c r="T5299" s="7"/>
      <c r="V5299" s="7"/>
      <c r="X5299" s="7"/>
    </row>
    <row r="5300" spans="2:24">
      <c r="B5300" s="7"/>
      <c r="D5300" s="7"/>
      <c r="F5300" s="7"/>
      <c r="H5300" s="7"/>
      <c r="J5300" s="7"/>
      <c r="L5300" s="7"/>
      <c r="N5300" s="7"/>
      <c r="P5300" s="7"/>
      <c r="R5300" s="7"/>
      <c r="T5300" s="7"/>
      <c r="V5300" s="7"/>
      <c r="X5300" s="7"/>
    </row>
    <row r="5301" spans="2:24">
      <c r="B5301" s="7"/>
      <c r="D5301" s="7"/>
      <c r="F5301" s="7"/>
      <c r="H5301" s="7"/>
      <c r="J5301" s="7"/>
      <c r="L5301" s="7"/>
      <c r="N5301" s="7"/>
      <c r="P5301" s="7"/>
      <c r="R5301" s="7"/>
      <c r="T5301" s="7"/>
      <c r="V5301" s="7"/>
      <c r="X5301" s="7"/>
    </row>
    <row r="5302" spans="2:24">
      <c r="B5302" s="7"/>
      <c r="D5302" s="7"/>
      <c r="F5302" s="7"/>
      <c r="H5302" s="7"/>
      <c r="J5302" s="7"/>
      <c r="L5302" s="7"/>
      <c r="N5302" s="7"/>
      <c r="P5302" s="7"/>
      <c r="R5302" s="7"/>
      <c r="T5302" s="7"/>
      <c r="V5302" s="7"/>
      <c r="X5302" s="7"/>
    </row>
    <row r="5303" spans="2:24">
      <c r="B5303" s="7"/>
      <c r="D5303" s="7"/>
      <c r="F5303" s="7"/>
      <c r="H5303" s="7"/>
      <c r="J5303" s="7"/>
      <c r="L5303" s="7"/>
      <c r="N5303" s="7"/>
      <c r="P5303" s="7"/>
      <c r="R5303" s="7"/>
      <c r="T5303" s="7"/>
      <c r="V5303" s="7"/>
      <c r="X5303" s="7"/>
    </row>
    <row r="5304" spans="2:24">
      <c r="B5304" s="7"/>
      <c r="D5304" s="7"/>
      <c r="F5304" s="7"/>
      <c r="H5304" s="7"/>
      <c r="J5304" s="7"/>
      <c r="L5304" s="7"/>
      <c r="N5304" s="7"/>
      <c r="P5304" s="7"/>
      <c r="R5304" s="7"/>
      <c r="T5304" s="7"/>
      <c r="V5304" s="7"/>
      <c r="X5304" s="7"/>
    </row>
    <row r="5305" spans="2:24">
      <c r="B5305" s="7"/>
      <c r="D5305" s="7"/>
      <c r="F5305" s="7"/>
      <c r="H5305" s="7"/>
      <c r="J5305" s="7"/>
      <c r="L5305" s="7"/>
      <c r="N5305" s="7"/>
      <c r="P5305" s="7"/>
      <c r="R5305" s="7"/>
      <c r="T5305" s="7"/>
      <c r="V5305" s="7"/>
      <c r="X5305" s="7"/>
    </row>
    <row r="5306" spans="2:24">
      <c r="B5306" s="7"/>
      <c r="D5306" s="7"/>
      <c r="F5306" s="7"/>
      <c r="H5306" s="7"/>
      <c r="J5306" s="7"/>
      <c r="L5306" s="7"/>
      <c r="N5306" s="7"/>
      <c r="P5306" s="7"/>
      <c r="R5306" s="7"/>
      <c r="T5306" s="7"/>
      <c r="V5306" s="7"/>
      <c r="X5306" s="7"/>
    </row>
    <row r="5307" spans="2:24">
      <c r="B5307" s="7"/>
      <c r="D5307" s="7"/>
      <c r="F5307" s="7"/>
      <c r="H5307" s="7"/>
      <c r="J5307" s="7"/>
      <c r="L5307" s="7"/>
      <c r="N5307" s="7"/>
      <c r="P5307" s="7"/>
      <c r="R5307" s="7"/>
      <c r="T5307" s="7"/>
      <c r="V5307" s="7"/>
      <c r="X5307" s="7"/>
    </row>
    <row r="5308" spans="2:24">
      <c r="B5308" s="7"/>
      <c r="D5308" s="7"/>
      <c r="F5308" s="7"/>
      <c r="H5308" s="7"/>
      <c r="J5308" s="7"/>
      <c r="L5308" s="7"/>
      <c r="N5308" s="7"/>
      <c r="P5308" s="7"/>
      <c r="R5308" s="7"/>
      <c r="T5308" s="7"/>
      <c r="V5308" s="7"/>
      <c r="X5308" s="7"/>
    </row>
    <row r="5309" spans="2:24">
      <c r="B5309" s="7"/>
      <c r="D5309" s="7"/>
      <c r="F5309" s="7"/>
      <c r="H5309" s="7"/>
      <c r="J5309" s="7"/>
      <c r="L5309" s="7"/>
      <c r="N5309" s="7"/>
      <c r="P5309" s="7"/>
      <c r="R5309" s="7"/>
      <c r="T5309" s="7"/>
      <c r="V5309" s="7"/>
      <c r="X5309" s="7"/>
    </row>
    <row r="5310" spans="2:24">
      <c r="B5310" s="7"/>
      <c r="D5310" s="7"/>
      <c r="F5310" s="7"/>
      <c r="H5310" s="7"/>
      <c r="J5310" s="7"/>
      <c r="L5310" s="7"/>
      <c r="N5310" s="7"/>
      <c r="P5310" s="7"/>
      <c r="R5310" s="7"/>
      <c r="T5310" s="7"/>
      <c r="V5310" s="7"/>
      <c r="X5310" s="7"/>
    </row>
    <row r="5311" spans="2:24">
      <c r="B5311" s="7"/>
      <c r="D5311" s="7"/>
      <c r="F5311" s="7"/>
      <c r="H5311" s="7"/>
      <c r="J5311" s="7"/>
      <c r="L5311" s="7"/>
      <c r="N5311" s="7"/>
      <c r="P5311" s="7"/>
      <c r="R5311" s="7"/>
      <c r="T5311" s="7"/>
      <c r="V5311" s="7"/>
      <c r="X5311" s="7"/>
    </row>
    <row r="5312" spans="2:24">
      <c r="B5312" s="7"/>
      <c r="D5312" s="7"/>
      <c r="F5312" s="7"/>
      <c r="H5312" s="7"/>
      <c r="J5312" s="7"/>
      <c r="L5312" s="7"/>
      <c r="N5312" s="7"/>
      <c r="P5312" s="7"/>
      <c r="R5312" s="7"/>
      <c r="T5312" s="7"/>
      <c r="V5312" s="7"/>
      <c r="X5312" s="7"/>
    </row>
    <row r="5313" spans="2:24">
      <c r="B5313" s="7"/>
      <c r="D5313" s="7"/>
      <c r="F5313" s="7"/>
      <c r="H5313" s="7"/>
      <c r="J5313" s="7"/>
      <c r="L5313" s="7"/>
      <c r="N5313" s="7"/>
      <c r="P5313" s="7"/>
      <c r="R5313" s="7"/>
      <c r="T5313" s="7"/>
      <c r="V5313" s="7"/>
      <c r="X5313" s="7"/>
    </row>
    <row r="5314" spans="2:24">
      <c r="B5314" s="7"/>
      <c r="D5314" s="7"/>
      <c r="F5314" s="7"/>
      <c r="H5314" s="7"/>
      <c r="J5314" s="7"/>
      <c r="L5314" s="7"/>
      <c r="N5314" s="7"/>
      <c r="P5314" s="7"/>
      <c r="R5314" s="7"/>
      <c r="T5314" s="7"/>
      <c r="V5314" s="7"/>
      <c r="X5314" s="7"/>
    </row>
    <row r="5315" spans="2:24">
      <c r="B5315" s="7"/>
      <c r="D5315" s="7"/>
      <c r="F5315" s="7"/>
      <c r="H5315" s="7"/>
      <c r="J5315" s="7"/>
      <c r="L5315" s="7"/>
      <c r="N5315" s="7"/>
      <c r="P5315" s="7"/>
      <c r="R5315" s="7"/>
      <c r="T5315" s="7"/>
      <c r="V5315" s="7"/>
      <c r="X5315" s="7"/>
    </row>
    <row r="5316" spans="2:24">
      <c r="B5316" s="7"/>
      <c r="D5316" s="7"/>
      <c r="F5316" s="7"/>
      <c r="H5316" s="7"/>
      <c r="J5316" s="7"/>
      <c r="L5316" s="7"/>
      <c r="N5316" s="7"/>
      <c r="P5316" s="7"/>
      <c r="R5316" s="7"/>
      <c r="T5316" s="7"/>
      <c r="V5316" s="7"/>
      <c r="X5316" s="7"/>
    </row>
    <row r="5317" spans="2:24">
      <c r="B5317" s="7"/>
      <c r="D5317" s="7"/>
      <c r="F5317" s="7"/>
      <c r="H5317" s="7"/>
      <c r="J5317" s="7"/>
      <c r="L5317" s="7"/>
      <c r="N5317" s="7"/>
      <c r="P5317" s="7"/>
      <c r="R5317" s="7"/>
      <c r="T5317" s="7"/>
      <c r="V5317" s="7"/>
      <c r="X5317" s="7"/>
    </row>
    <row r="5318" spans="2:24">
      <c r="B5318" s="7"/>
      <c r="D5318" s="7"/>
      <c r="F5318" s="7"/>
      <c r="H5318" s="7"/>
      <c r="J5318" s="7"/>
      <c r="L5318" s="7"/>
      <c r="N5318" s="7"/>
      <c r="P5318" s="7"/>
      <c r="R5318" s="7"/>
      <c r="T5318" s="7"/>
      <c r="V5318" s="7"/>
      <c r="X5318" s="7"/>
    </row>
    <row r="5319" spans="2:24">
      <c r="B5319" s="7"/>
      <c r="D5319" s="7"/>
      <c r="F5319" s="7"/>
      <c r="H5319" s="7"/>
      <c r="J5319" s="7"/>
      <c r="L5319" s="7"/>
      <c r="N5319" s="7"/>
      <c r="P5319" s="7"/>
      <c r="R5319" s="7"/>
      <c r="T5319" s="7"/>
      <c r="V5319" s="7"/>
      <c r="X5319" s="7"/>
    </row>
    <row r="5320" spans="2:24">
      <c r="B5320" s="7"/>
      <c r="D5320" s="7"/>
      <c r="F5320" s="7"/>
      <c r="H5320" s="7"/>
      <c r="J5320" s="7"/>
      <c r="L5320" s="7"/>
      <c r="N5320" s="7"/>
      <c r="P5320" s="7"/>
      <c r="R5320" s="7"/>
      <c r="T5320" s="7"/>
      <c r="V5320" s="7"/>
      <c r="X5320" s="7"/>
    </row>
    <row r="5321" spans="2:24">
      <c r="B5321" s="7"/>
      <c r="D5321" s="7"/>
      <c r="F5321" s="7"/>
      <c r="H5321" s="7"/>
      <c r="J5321" s="7"/>
      <c r="L5321" s="7"/>
      <c r="N5321" s="7"/>
      <c r="P5321" s="7"/>
      <c r="R5321" s="7"/>
      <c r="T5321" s="7"/>
      <c r="V5321" s="7"/>
      <c r="X5321" s="7"/>
    </row>
    <row r="5322" spans="2:24">
      <c r="B5322" s="7"/>
      <c r="D5322" s="7"/>
      <c r="F5322" s="7"/>
      <c r="H5322" s="7"/>
      <c r="J5322" s="7"/>
      <c r="L5322" s="7"/>
      <c r="N5322" s="7"/>
      <c r="P5322" s="7"/>
      <c r="R5322" s="7"/>
      <c r="T5322" s="7"/>
      <c r="V5322" s="7"/>
      <c r="X5322" s="7"/>
    </row>
    <row r="5323" spans="2:24">
      <c r="B5323" s="7"/>
      <c r="D5323" s="7"/>
      <c r="F5323" s="7"/>
      <c r="H5323" s="7"/>
      <c r="J5323" s="7"/>
      <c r="L5323" s="7"/>
      <c r="N5323" s="7"/>
      <c r="P5323" s="7"/>
      <c r="R5323" s="7"/>
      <c r="T5323" s="7"/>
      <c r="V5323" s="7"/>
      <c r="X5323" s="7"/>
    </row>
    <row r="5324" spans="2:24">
      <c r="B5324" s="7"/>
      <c r="D5324" s="7"/>
      <c r="F5324" s="7"/>
      <c r="H5324" s="7"/>
      <c r="J5324" s="7"/>
      <c r="L5324" s="7"/>
      <c r="N5324" s="7"/>
      <c r="P5324" s="7"/>
      <c r="R5324" s="7"/>
      <c r="T5324" s="7"/>
      <c r="V5324" s="7"/>
      <c r="X5324" s="7"/>
    </row>
    <row r="5325" spans="2:24">
      <c r="B5325" s="7"/>
      <c r="D5325" s="7"/>
      <c r="F5325" s="7"/>
      <c r="H5325" s="7"/>
      <c r="J5325" s="7"/>
      <c r="L5325" s="7"/>
      <c r="N5325" s="7"/>
      <c r="P5325" s="7"/>
      <c r="R5325" s="7"/>
      <c r="T5325" s="7"/>
      <c r="V5325" s="7"/>
      <c r="X5325" s="7"/>
    </row>
    <row r="5326" spans="2:24">
      <c r="B5326" s="7"/>
      <c r="D5326" s="7"/>
      <c r="F5326" s="7"/>
      <c r="H5326" s="7"/>
      <c r="J5326" s="7"/>
      <c r="L5326" s="7"/>
      <c r="N5326" s="7"/>
      <c r="P5326" s="7"/>
      <c r="R5326" s="7"/>
      <c r="T5326" s="7"/>
      <c r="V5326" s="7"/>
      <c r="X5326" s="7"/>
    </row>
    <row r="5327" spans="2:24">
      <c r="B5327" s="7"/>
      <c r="D5327" s="7"/>
      <c r="F5327" s="7"/>
      <c r="H5327" s="7"/>
      <c r="J5327" s="7"/>
      <c r="L5327" s="7"/>
      <c r="N5327" s="7"/>
      <c r="P5327" s="7"/>
      <c r="R5327" s="7"/>
      <c r="T5327" s="7"/>
      <c r="V5327" s="7"/>
      <c r="X5327" s="7"/>
    </row>
    <row r="5328" spans="2:24">
      <c r="B5328" s="7"/>
      <c r="D5328" s="7"/>
      <c r="F5328" s="7"/>
      <c r="H5328" s="7"/>
      <c r="J5328" s="7"/>
      <c r="L5328" s="7"/>
      <c r="N5328" s="7"/>
      <c r="P5328" s="7"/>
      <c r="R5328" s="7"/>
      <c r="T5328" s="7"/>
      <c r="V5328" s="7"/>
      <c r="X5328" s="7"/>
    </row>
    <row r="5329" spans="2:24">
      <c r="B5329" s="7"/>
      <c r="D5329" s="7"/>
      <c r="F5329" s="7"/>
      <c r="H5329" s="7"/>
      <c r="J5329" s="7"/>
      <c r="L5329" s="7"/>
      <c r="N5329" s="7"/>
      <c r="P5329" s="7"/>
      <c r="R5329" s="7"/>
      <c r="T5329" s="7"/>
      <c r="V5329" s="7"/>
      <c r="X5329" s="7"/>
    </row>
    <row r="5330" spans="2:24">
      <c r="B5330" s="7"/>
      <c r="D5330" s="7"/>
      <c r="F5330" s="7"/>
      <c r="H5330" s="7"/>
      <c r="J5330" s="7"/>
      <c r="L5330" s="7"/>
      <c r="N5330" s="7"/>
      <c r="P5330" s="7"/>
      <c r="R5330" s="7"/>
      <c r="T5330" s="7"/>
      <c r="V5330" s="7"/>
      <c r="X5330" s="7"/>
    </row>
    <row r="5331" spans="2:24">
      <c r="B5331" s="7"/>
      <c r="D5331" s="7"/>
      <c r="F5331" s="7"/>
      <c r="H5331" s="7"/>
      <c r="J5331" s="7"/>
      <c r="L5331" s="7"/>
      <c r="N5331" s="7"/>
      <c r="P5331" s="7"/>
      <c r="R5331" s="7"/>
      <c r="T5331" s="7"/>
      <c r="V5331" s="7"/>
      <c r="X5331" s="7"/>
    </row>
    <row r="5332" spans="2:24">
      <c r="B5332" s="7"/>
      <c r="D5332" s="7"/>
      <c r="F5332" s="7"/>
      <c r="H5332" s="7"/>
      <c r="J5332" s="7"/>
      <c r="L5332" s="7"/>
      <c r="N5332" s="7"/>
      <c r="P5332" s="7"/>
      <c r="R5332" s="7"/>
      <c r="T5332" s="7"/>
      <c r="V5332" s="7"/>
      <c r="X5332" s="7"/>
    </row>
    <row r="5333" spans="2:24">
      <c r="B5333" s="7"/>
      <c r="D5333" s="7"/>
      <c r="F5333" s="7"/>
      <c r="H5333" s="7"/>
      <c r="J5333" s="7"/>
      <c r="L5333" s="7"/>
      <c r="N5333" s="7"/>
      <c r="P5333" s="7"/>
      <c r="R5333" s="7"/>
      <c r="T5333" s="7"/>
      <c r="V5333" s="7"/>
      <c r="X5333" s="7"/>
    </row>
    <row r="5334" spans="2:24">
      <c r="B5334" s="7"/>
      <c r="D5334" s="7"/>
      <c r="F5334" s="7"/>
      <c r="H5334" s="7"/>
      <c r="J5334" s="7"/>
      <c r="L5334" s="7"/>
      <c r="N5334" s="7"/>
      <c r="P5334" s="7"/>
      <c r="R5334" s="7"/>
      <c r="T5334" s="7"/>
      <c r="V5334" s="7"/>
      <c r="X5334" s="7"/>
    </row>
    <row r="5335" spans="2:24">
      <c r="B5335" s="7"/>
      <c r="D5335" s="7"/>
      <c r="F5335" s="7"/>
      <c r="H5335" s="7"/>
      <c r="J5335" s="7"/>
      <c r="L5335" s="7"/>
      <c r="N5335" s="7"/>
      <c r="P5335" s="7"/>
      <c r="R5335" s="7"/>
      <c r="T5335" s="7"/>
      <c r="V5335" s="7"/>
      <c r="X5335" s="7"/>
    </row>
    <row r="5336" spans="2:24">
      <c r="B5336" s="7"/>
      <c r="D5336" s="7"/>
      <c r="F5336" s="7"/>
      <c r="H5336" s="7"/>
      <c r="J5336" s="7"/>
      <c r="L5336" s="7"/>
      <c r="N5336" s="7"/>
      <c r="P5336" s="7"/>
      <c r="R5336" s="7"/>
      <c r="T5336" s="7"/>
      <c r="V5336" s="7"/>
      <c r="X5336" s="7"/>
    </row>
    <row r="5337" spans="2:24">
      <c r="B5337" s="7"/>
      <c r="D5337" s="7"/>
      <c r="F5337" s="7"/>
      <c r="H5337" s="7"/>
      <c r="J5337" s="7"/>
      <c r="L5337" s="7"/>
      <c r="N5337" s="7"/>
      <c r="P5337" s="7"/>
      <c r="R5337" s="7"/>
      <c r="T5337" s="7"/>
      <c r="V5337" s="7"/>
      <c r="X5337" s="7"/>
    </row>
    <row r="5338" spans="2:24">
      <c r="B5338" s="7"/>
      <c r="D5338" s="7"/>
      <c r="F5338" s="7"/>
      <c r="H5338" s="7"/>
      <c r="J5338" s="7"/>
      <c r="L5338" s="7"/>
      <c r="N5338" s="7"/>
      <c r="P5338" s="7"/>
      <c r="R5338" s="7"/>
      <c r="T5338" s="7"/>
      <c r="V5338" s="7"/>
      <c r="X5338" s="7"/>
    </row>
    <row r="5339" spans="2:24">
      <c r="B5339" s="7"/>
      <c r="D5339" s="7"/>
      <c r="F5339" s="7"/>
      <c r="H5339" s="7"/>
      <c r="J5339" s="7"/>
      <c r="L5339" s="7"/>
      <c r="N5339" s="7"/>
      <c r="P5339" s="7"/>
      <c r="R5339" s="7"/>
      <c r="T5339" s="7"/>
      <c r="V5339" s="7"/>
      <c r="X5339" s="7"/>
    </row>
    <row r="5340" spans="2:24">
      <c r="B5340" s="7"/>
      <c r="D5340" s="7"/>
      <c r="F5340" s="7"/>
      <c r="H5340" s="7"/>
      <c r="J5340" s="7"/>
      <c r="L5340" s="7"/>
      <c r="N5340" s="7"/>
      <c r="P5340" s="7"/>
      <c r="R5340" s="7"/>
      <c r="T5340" s="7"/>
      <c r="V5340" s="7"/>
      <c r="X5340" s="7"/>
    </row>
    <row r="5341" spans="2:24">
      <c r="B5341" s="7"/>
      <c r="D5341" s="7"/>
      <c r="F5341" s="7"/>
      <c r="H5341" s="7"/>
      <c r="J5341" s="7"/>
      <c r="L5341" s="7"/>
      <c r="N5341" s="7"/>
      <c r="P5341" s="7"/>
      <c r="R5341" s="7"/>
      <c r="T5341" s="7"/>
      <c r="V5341" s="7"/>
      <c r="X5341" s="7"/>
    </row>
    <row r="5342" spans="2:24">
      <c r="B5342" s="7"/>
      <c r="D5342" s="7"/>
      <c r="F5342" s="7"/>
      <c r="H5342" s="7"/>
      <c r="J5342" s="7"/>
      <c r="L5342" s="7"/>
      <c r="N5342" s="7"/>
      <c r="P5342" s="7"/>
      <c r="R5342" s="7"/>
      <c r="T5342" s="7"/>
      <c r="V5342" s="7"/>
      <c r="X5342" s="7"/>
    </row>
    <row r="5343" spans="2:24">
      <c r="B5343" s="7"/>
      <c r="D5343" s="7"/>
      <c r="F5343" s="7"/>
      <c r="H5343" s="7"/>
      <c r="J5343" s="7"/>
      <c r="L5343" s="7"/>
      <c r="N5343" s="7"/>
      <c r="P5343" s="7"/>
      <c r="R5343" s="7"/>
      <c r="T5343" s="7"/>
      <c r="V5343" s="7"/>
      <c r="X5343" s="7"/>
    </row>
    <row r="5344" spans="2:24">
      <c r="B5344" s="7"/>
      <c r="D5344" s="7"/>
      <c r="F5344" s="7"/>
      <c r="H5344" s="7"/>
      <c r="J5344" s="7"/>
      <c r="L5344" s="7"/>
      <c r="N5344" s="7"/>
      <c r="P5344" s="7"/>
      <c r="R5344" s="7"/>
      <c r="T5344" s="7"/>
      <c r="V5344" s="7"/>
      <c r="X5344" s="7"/>
    </row>
    <row r="5345" spans="2:24">
      <c r="B5345" s="7"/>
      <c r="D5345" s="7"/>
      <c r="F5345" s="7"/>
      <c r="H5345" s="7"/>
      <c r="J5345" s="7"/>
      <c r="L5345" s="7"/>
      <c r="N5345" s="7"/>
      <c r="P5345" s="7"/>
      <c r="R5345" s="7"/>
      <c r="T5345" s="7"/>
      <c r="V5345" s="7"/>
      <c r="X5345" s="7"/>
    </row>
    <row r="5346" spans="2:24">
      <c r="B5346" s="7"/>
      <c r="D5346" s="7"/>
      <c r="F5346" s="7"/>
      <c r="H5346" s="7"/>
      <c r="J5346" s="7"/>
      <c r="L5346" s="7"/>
      <c r="N5346" s="7"/>
      <c r="P5346" s="7"/>
      <c r="R5346" s="7"/>
      <c r="T5346" s="7"/>
      <c r="V5346" s="7"/>
      <c r="X5346" s="7"/>
    </row>
    <row r="5347" spans="2:24">
      <c r="B5347" s="7"/>
      <c r="D5347" s="7"/>
      <c r="F5347" s="7"/>
      <c r="H5347" s="7"/>
      <c r="J5347" s="7"/>
      <c r="L5347" s="7"/>
      <c r="N5347" s="7"/>
      <c r="P5347" s="7"/>
      <c r="R5347" s="7"/>
      <c r="T5347" s="7"/>
      <c r="V5347" s="7"/>
      <c r="X5347" s="7"/>
    </row>
    <row r="5348" spans="2:24">
      <c r="B5348" s="7"/>
      <c r="D5348" s="7"/>
      <c r="F5348" s="7"/>
      <c r="H5348" s="7"/>
      <c r="J5348" s="7"/>
      <c r="L5348" s="7"/>
      <c r="N5348" s="7"/>
      <c r="P5348" s="7"/>
      <c r="R5348" s="7"/>
      <c r="T5348" s="7"/>
      <c r="V5348" s="7"/>
      <c r="X5348" s="7"/>
    </row>
    <row r="5349" spans="2:24">
      <c r="B5349" s="7"/>
      <c r="D5349" s="7"/>
      <c r="F5349" s="7"/>
      <c r="H5349" s="7"/>
      <c r="J5349" s="7"/>
      <c r="L5349" s="7"/>
      <c r="N5349" s="7"/>
      <c r="P5349" s="7"/>
      <c r="R5349" s="7"/>
      <c r="T5349" s="7"/>
      <c r="V5349" s="7"/>
      <c r="X5349" s="7"/>
    </row>
    <row r="5350" spans="2:24">
      <c r="B5350" s="7"/>
      <c r="D5350" s="7"/>
      <c r="F5350" s="7"/>
      <c r="H5350" s="7"/>
      <c r="J5350" s="7"/>
      <c r="L5350" s="7"/>
      <c r="N5350" s="7"/>
      <c r="P5350" s="7"/>
      <c r="R5350" s="7"/>
      <c r="T5350" s="7"/>
      <c r="V5350" s="7"/>
      <c r="X5350" s="7"/>
    </row>
    <row r="5351" spans="2:24">
      <c r="B5351" s="7"/>
      <c r="D5351" s="7"/>
      <c r="F5351" s="7"/>
      <c r="H5351" s="7"/>
      <c r="J5351" s="7"/>
      <c r="L5351" s="7"/>
      <c r="N5351" s="7"/>
      <c r="P5351" s="7"/>
      <c r="R5351" s="7"/>
      <c r="T5351" s="7"/>
      <c r="V5351" s="7"/>
      <c r="X5351" s="7"/>
    </row>
    <row r="5352" spans="2:24">
      <c r="B5352" s="7"/>
      <c r="D5352" s="7"/>
      <c r="F5352" s="7"/>
      <c r="H5352" s="7"/>
      <c r="J5352" s="7"/>
      <c r="L5352" s="7"/>
      <c r="N5352" s="7"/>
      <c r="P5352" s="7"/>
      <c r="R5352" s="7"/>
      <c r="T5352" s="7"/>
      <c r="V5352" s="7"/>
      <c r="X5352" s="7"/>
    </row>
    <row r="5353" spans="2:24">
      <c r="B5353" s="7"/>
      <c r="D5353" s="7"/>
      <c r="F5353" s="7"/>
      <c r="H5353" s="7"/>
      <c r="J5353" s="7"/>
      <c r="L5353" s="7"/>
      <c r="N5353" s="7"/>
      <c r="P5353" s="7"/>
      <c r="R5353" s="7"/>
      <c r="T5353" s="7"/>
      <c r="V5353" s="7"/>
      <c r="X5353" s="7"/>
    </row>
    <row r="5354" spans="2:24">
      <c r="B5354" s="7"/>
      <c r="D5354" s="7"/>
      <c r="F5354" s="7"/>
      <c r="H5354" s="7"/>
      <c r="J5354" s="7"/>
      <c r="L5354" s="7"/>
      <c r="N5354" s="7"/>
      <c r="P5354" s="7"/>
      <c r="R5354" s="7"/>
      <c r="T5354" s="7"/>
      <c r="V5354" s="7"/>
      <c r="X5354" s="7"/>
    </row>
    <row r="5355" spans="2:24">
      <c r="B5355" s="7"/>
      <c r="D5355" s="7"/>
      <c r="F5355" s="7"/>
      <c r="H5355" s="7"/>
      <c r="J5355" s="7"/>
      <c r="L5355" s="7"/>
      <c r="N5355" s="7"/>
      <c r="P5355" s="7"/>
      <c r="R5355" s="7"/>
      <c r="T5355" s="7"/>
      <c r="V5355" s="7"/>
      <c r="X5355" s="7"/>
    </row>
    <row r="5356" spans="2:24">
      <c r="B5356" s="7"/>
      <c r="D5356" s="7"/>
      <c r="F5356" s="7"/>
      <c r="H5356" s="7"/>
      <c r="J5356" s="7"/>
      <c r="L5356" s="7"/>
      <c r="N5356" s="7"/>
      <c r="P5356" s="7"/>
      <c r="R5356" s="7"/>
      <c r="T5356" s="7"/>
      <c r="V5356" s="7"/>
      <c r="X5356" s="7"/>
    </row>
    <row r="5357" spans="2:24">
      <c r="B5357" s="7"/>
      <c r="D5357" s="7"/>
      <c r="F5357" s="7"/>
      <c r="H5357" s="7"/>
      <c r="J5357" s="7"/>
      <c r="L5357" s="7"/>
      <c r="N5357" s="7"/>
      <c r="P5357" s="7"/>
      <c r="R5357" s="7"/>
      <c r="T5357" s="7"/>
      <c r="V5357" s="7"/>
      <c r="X5357" s="7"/>
    </row>
    <row r="5358" spans="2:24">
      <c r="B5358" s="7"/>
      <c r="D5358" s="7"/>
      <c r="F5358" s="7"/>
      <c r="H5358" s="7"/>
      <c r="J5358" s="7"/>
      <c r="L5358" s="7"/>
      <c r="N5358" s="7"/>
      <c r="P5358" s="7"/>
      <c r="R5358" s="7"/>
      <c r="T5358" s="7"/>
      <c r="V5358" s="7"/>
      <c r="X5358" s="7"/>
    </row>
    <row r="5359" spans="2:24">
      <c r="B5359" s="7"/>
      <c r="D5359" s="7"/>
      <c r="F5359" s="7"/>
      <c r="H5359" s="7"/>
      <c r="J5359" s="7"/>
      <c r="L5359" s="7"/>
      <c r="N5359" s="7"/>
      <c r="P5359" s="7"/>
      <c r="R5359" s="7"/>
      <c r="T5359" s="7"/>
      <c r="V5359" s="7"/>
      <c r="X5359" s="7"/>
    </row>
    <row r="5360" spans="2:24">
      <c r="B5360" s="7"/>
      <c r="D5360" s="7"/>
      <c r="F5360" s="7"/>
      <c r="H5360" s="7"/>
      <c r="J5360" s="7"/>
      <c r="L5360" s="7"/>
      <c r="N5360" s="7"/>
      <c r="P5360" s="7"/>
      <c r="R5360" s="7"/>
      <c r="T5360" s="7"/>
      <c r="V5360" s="7"/>
      <c r="X5360" s="7"/>
    </row>
    <row r="5361" spans="2:24">
      <c r="B5361" s="7"/>
      <c r="D5361" s="7"/>
      <c r="F5361" s="7"/>
      <c r="H5361" s="7"/>
      <c r="J5361" s="7"/>
      <c r="L5361" s="7"/>
      <c r="N5361" s="7"/>
      <c r="P5361" s="7"/>
      <c r="R5361" s="7"/>
      <c r="T5361" s="7"/>
      <c r="V5361" s="7"/>
      <c r="X5361" s="7"/>
    </row>
    <row r="5362" spans="2:24">
      <c r="B5362" s="7"/>
      <c r="D5362" s="7"/>
      <c r="F5362" s="7"/>
      <c r="H5362" s="7"/>
      <c r="J5362" s="7"/>
      <c r="L5362" s="7"/>
      <c r="N5362" s="7"/>
      <c r="P5362" s="7"/>
      <c r="R5362" s="7"/>
      <c r="T5362" s="7"/>
      <c r="V5362" s="7"/>
      <c r="X5362" s="7"/>
    </row>
    <row r="5363" spans="2:24">
      <c r="B5363" s="7"/>
      <c r="D5363" s="7"/>
      <c r="F5363" s="7"/>
      <c r="H5363" s="7"/>
      <c r="J5363" s="7"/>
      <c r="L5363" s="7"/>
      <c r="N5363" s="7"/>
      <c r="P5363" s="7"/>
      <c r="R5363" s="7"/>
      <c r="T5363" s="7"/>
      <c r="V5363" s="7"/>
      <c r="X5363" s="7"/>
    </row>
    <row r="5364" spans="2:24">
      <c r="B5364" s="7"/>
      <c r="D5364" s="7"/>
      <c r="F5364" s="7"/>
      <c r="H5364" s="7"/>
      <c r="J5364" s="7"/>
      <c r="L5364" s="7"/>
      <c r="N5364" s="7"/>
      <c r="P5364" s="7"/>
      <c r="R5364" s="7"/>
      <c r="T5364" s="7"/>
      <c r="V5364" s="7"/>
      <c r="X5364" s="7"/>
    </row>
    <row r="5365" spans="2:24">
      <c r="B5365" s="7"/>
      <c r="D5365" s="7"/>
      <c r="F5365" s="7"/>
      <c r="H5365" s="7"/>
      <c r="J5365" s="7"/>
      <c r="L5365" s="7"/>
      <c r="N5365" s="7"/>
      <c r="P5365" s="7"/>
      <c r="R5365" s="7"/>
      <c r="T5365" s="7"/>
      <c r="V5365" s="7"/>
      <c r="X5365" s="7"/>
    </row>
    <row r="5366" spans="2:24">
      <c r="B5366" s="7"/>
      <c r="D5366" s="7"/>
      <c r="F5366" s="7"/>
      <c r="H5366" s="7"/>
      <c r="J5366" s="7"/>
      <c r="L5366" s="7"/>
      <c r="N5366" s="7"/>
      <c r="P5366" s="7"/>
      <c r="R5366" s="7"/>
      <c r="T5366" s="7"/>
      <c r="V5366" s="7"/>
      <c r="X5366" s="7"/>
    </row>
    <row r="5367" spans="2:24">
      <c r="B5367" s="7"/>
      <c r="D5367" s="7"/>
      <c r="F5367" s="7"/>
      <c r="H5367" s="7"/>
      <c r="J5367" s="7"/>
      <c r="L5367" s="7"/>
      <c r="N5367" s="7"/>
      <c r="P5367" s="7"/>
      <c r="R5367" s="7"/>
      <c r="T5367" s="7"/>
      <c r="V5367" s="7"/>
      <c r="X5367" s="7"/>
    </row>
    <row r="5368" spans="2:24">
      <c r="B5368" s="7"/>
      <c r="D5368" s="7"/>
      <c r="F5368" s="7"/>
      <c r="H5368" s="7"/>
      <c r="J5368" s="7"/>
      <c r="L5368" s="7"/>
      <c r="N5368" s="7"/>
      <c r="P5368" s="7"/>
      <c r="R5368" s="7"/>
      <c r="T5368" s="7"/>
      <c r="V5368" s="7"/>
      <c r="X5368" s="7"/>
    </row>
    <row r="5369" spans="2:24">
      <c r="B5369" s="7"/>
      <c r="D5369" s="7"/>
      <c r="F5369" s="7"/>
      <c r="H5369" s="7"/>
      <c r="J5369" s="7"/>
      <c r="L5369" s="7"/>
      <c r="N5369" s="7"/>
      <c r="P5369" s="7"/>
      <c r="R5369" s="7"/>
      <c r="T5369" s="7"/>
      <c r="V5369" s="7"/>
      <c r="X5369" s="7"/>
    </row>
    <row r="5370" spans="2:24">
      <c r="B5370" s="7"/>
      <c r="D5370" s="7"/>
      <c r="F5370" s="7"/>
      <c r="H5370" s="7"/>
      <c r="J5370" s="7"/>
      <c r="L5370" s="7"/>
      <c r="N5370" s="7"/>
      <c r="P5370" s="7"/>
      <c r="R5370" s="7"/>
      <c r="T5370" s="7"/>
      <c r="V5370" s="7"/>
      <c r="X5370" s="7"/>
    </row>
    <row r="5371" spans="2:24">
      <c r="B5371" s="7"/>
      <c r="D5371" s="7"/>
      <c r="F5371" s="7"/>
      <c r="H5371" s="7"/>
      <c r="J5371" s="7"/>
      <c r="L5371" s="7"/>
      <c r="N5371" s="7"/>
      <c r="P5371" s="7"/>
      <c r="R5371" s="7"/>
      <c r="T5371" s="7"/>
      <c r="V5371" s="7"/>
      <c r="X5371" s="7"/>
    </row>
    <row r="5372" spans="2:24">
      <c r="B5372" s="7"/>
      <c r="D5372" s="7"/>
      <c r="F5372" s="7"/>
      <c r="H5372" s="7"/>
      <c r="J5372" s="7"/>
      <c r="L5372" s="7"/>
      <c r="N5372" s="7"/>
      <c r="P5372" s="7"/>
      <c r="R5372" s="7"/>
      <c r="T5372" s="7"/>
      <c r="V5372" s="7"/>
      <c r="X5372" s="7"/>
    </row>
    <row r="5373" spans="2:24">
      <c r="B5373" s="7"/>
      <c r="D5373" s="7"/>
      <c r="F5373" s="7"/>
      <c r="H5373" s="7"/>
      <c r="J5373" s="7"/>
      <c r="L5373" s="7"/>
      <c r="N5373" s="7"/>
      <c r="P5373" s="7"/>
      <c r="R5373" s="7"/>
      <c r="T5373" s="7"/>
      <c r="V5373" s="7"/>
      <c r="X5373" s="7"/>
    </row>
    <row r="5374" spans="2:24">
      <c r="B5374" s="7"/>
      <c r="D5374" s="7"/>
      <c r="F5374" s="7"/>
      <c r="H5374" s="7"/>
      <c r="J5374" s="7"/>
      <c r="L5374" s="7"/>
      <c r="N5374" s="7"/>
      <c r="P5374" s="7"/>
      <c r="R5374" s="7"/>
      <c r="T5374" s="7"/>
      <c r="V5374" s="7"/>
      <c r="X5374" s="7"/>
    </row>
    <row r="5375" spans="2:24">
      <c r="B5375" s="7"/>
      <c r="D5375" s="7"/>
      <c r="F5375" s="7"/>
      <c r="H5375" s="7"/>
      <c r="J5375" s="7"/>
      <c r="L5375" s="7"/>
      <c r="N5375" s="7"/>
      <c r="P5375" s="7"/>
      <c r="R5375" s="7"/>
      <c r="T5375" s="7"/>
      <c r="V5375" s="7"/>
      <c r="X5375" s="7"/>
    </row>
    <row r="5376" spans="2:24">
      <c r="B5376" s="7"/>
      <c r="D5376" s="7"/>
      <c r="F5376" s="7"/>
      <c r="H5376" s="7"/>
      <c r="J5376" s="7"/>
      <c r="L5376" s="7"/>
      <c r="N5376" s="7"/>
      <c r="P5376" s="7"/>
      <c r="R5376" s="7"/>
      <c r="T5376" s="7"/>
      <c r="V5376" s="7"/>
      <c r="X5376" s="7"/>
    </row>
    <row r="5377" spans="2:24">
      <c r="B5377" s="7"/>
      <c r="D5377" s="7"/>
      <c r="F5377" s="7"/>
      <c r="H5377" s="7"/>
      <c r="J5377" s="7"/>
      <c r="L5377" s="7"/>
      <c r="N5377" s="7"/>
      <c r="P5377" s="7"/>
      <c r="R5377" s="7"/>
      <c r="T5377" s="7"/>
      <c r="V5377" s="7"/>
      <c r="X5377" s="7"/>
    </row>
    <row r="5378" spans="2:24">
      <c r="B5378" s="7"/>
      <c r="D5378" s="7"/>
      <c r="F5378" s="7"/>
      <c r="H5378" s="7"/>
      <c r="J5378" s="7"/>
      <c r="L5378" s="7"/>
      <c r="N5378" s="7"/>
      <c r="P5378" s="7"/>
      <c r="R5378" s="7"/>
      <c r="T5378" s="7"/>
      <c r="V5378" s="7"/>
      <c r="X5378" s="7"/>
    </row>
    <row r="5379" spans="2:24">
      <c r="B5379" s="7"/>
      <c r="D5379" s="7"/>
      <c r="F5379" s="7"/>
      <c r="H5379" s="7"/>
      <c r="J5379" s="7"/>
      <c r="L5379" s="7"/>
      <c r="N5379" s="7"/>
      <c r="P5379" s="7"/>
      <c r="R5379" s="7"/>
      <c r="T5379" s="7"/>
      <c r="V5379" s="7"/>
      <c r="X5379" s="7"/>
    </row>
    <row r="5380" spans="2:24">
      <c r="B5380" s="7"/>
      <c r="D5380" s="7"/>
      <c r="F5380" s="7"/>
      <c r="H5380" s="7"/>
      <c r="J5380" s="7"/>
      <c r="L5380" s="7"/>
      <c r="N5380" s="7"/>
      <c r="P5380" s="7"/>
      <c r="R5380" s="7"/>
      <c r="T5380" s="7"/>
      <c r="V5380" s="7"/>
      <c r="X5380" s="7"/>
    </row>
    <row r="5381" spans="2:24">
      <c r="B5381" s="7"/>
      <c r="D5381" s="7"/>
      <c r="F5381" s="7"/>
      <c r="H5381" s="7"/>
      <c r="J5381" s="7"/>
      <c r="L5381" s="7"/>
      <c r="N5381" s="7"/>
      <c r="P5381" s="7"/>
      <c r="R5381" s="7"/>
      <c r="T5381" s="7"/>
      <c r="V5381" s="7"/>
      <c r="X5381" s="7"/>
    </row>
    <row r="5382" spans="2:24">
      <c r="B5382" s="7"/>
      <c r="D5382" s="7"/>
      <c r="F5382" s="7"/>
      <c r="H5382" s="7"/>
      <c r="J5382" s="7"/>
      <c r="L5382" s="7"/>
      <c r="N5382" s="7"/>
      <c r="P5382" s="7"/>
      <c r="R5382" s="7"/>
      <c r="T5382" s="7"/>
      <c r="V5382" s="7"/>
      <c r="X5382" s="7"/>
    </row>
    <row r="5383" spans="2:24">
      <c r="B5383" s="7"/>
      <c r="D5383" s="7"/>
      <c r="F5383" s="7"/>
      <c r="H5383" s="7"/>
      <c r="J5383" s="7"/>
      <c r="L5383" s="7"/>
      <c r="N5383" s="7"/>
      <c r="P5383" s="7"/>
      <c r="R5383" s="7"/>
      <c r="T5383" s="7"/>
      <c r="V5383" s="7"/>
      <c r="X5383" s="7"/>
    </row>
    <row r="5384" spans="2:24">
      <c r="B5384" s="7"/>
      <c r="D5384" s="7"/>
      <c r="F5384" s="7"/>
      <c r="H5384" s="7"/>
      <c r="J5384" s="7"/>
      <c r="L5384" s="7"/>
      <c r="N5384" s="7"/>
      <c r="P5384" s="7"/>
      <c r="R5384" s="7"/>
      <c r="T5384" s="7"/>
      <c r="V5384" s="7"/>
      <c r="X5384" s="7"/>
    </row>
    <row r="5385" spans="2:24">
      <c r="B5385" s="7"/>
      <c r="D5385" s="7"/>
      <c r="F5385" s="7"/>
      <c r="H5385" s="7"/>
      <c r="J5385" s="7"/>
      <c r="L5385" s="7"/>
      <c r="N5385" s="7"/>
      <c r="P5385" s="7"/>
      <c r="R5385" s="7"/>
      <c r="T5385" s="7"/>
      <c r="V5385" s="7"/>
      <c r="X5385" s="7"/>
    </row>
    <row r="5386" spans="2:24">
      <c r="B5386" s="7"/>
      <c r="D5386" s="7"/>
      <c r="F5386" s="7"/>
      <c r="H5386" s="7"/>
      <c r="J5386" s="7"/>
      <c r="L5386" s="7"/>
      <c r="N5386" s="7"/>
      <c r="P5386" s="7"/>
      <c r="R5386" s="7"/>
      <c r="T5386" s="7"/>
      <c r="V5386" s="7"/>
      <c r="X5386" s="7"/>
    </row>
    <row r="5387" spans="2:24">
      <c r="B5387" s="7"/>
      <c r="D5387" s="7"/>
      <c r="F5387" s="7"/>
      <c r="H5387" s="7"/>
      <c r="J5387" s="7"/>
      <c r="L5387" s="7"/>
      <c r="N5387" s="7"/>
      <c r="P5387" s="7"/>
      <c r="R5387" s="7"/>
      <c r="T5387" s="7"/>
      <c r="V5387" s="7"/>
      <c r="X5387" s="7"/>
    </row>
    <row r="5388" spans="2:24">
      <c r="B5388" s="7"/>
      <c r="D5388" s="7"/>
      <c r="F5388" s="7"/>
      <c r="H5388" s="7"/>
      <c r="J5388" s="7"/>
      <c r="L5388" s="7"/>
      <c r="N5388" s="7"/>
      <c r="P5388" s="7"/>
      <c r="R5388" s="7"/>
      <c r="T5388" s="7"/>
      <c r="V5388" s="7"/>
      <c r="X5388" s="7"/>
    </row>
    <row r="5389" spans="2:24">
      <c r="B5389" s="7"/>
      <c r="D5389" s="7"/>
      <c r="F5389" s="7"/>
      <c r="H5389" s="7"/>
      <c r="J5389" s="7"/>
      <c r="L5389" s="7"/>
      <c r="N5389" s="7"/>
      <c r="P5389" s="7"/>
      <c r="R5389" s="7"/>
      <c r="T5389" s="7"/>
      <c r="V5389" s="7"/>
      <c r="X5389" s="7"/>
    </row>
    <row r="5390" spans="2:24">
      <c r="B5390" s="7"/>
      <c r="D5390" s="7"/>
      <c r="F5390" s="7"/>
      <c r="H5390" s="7"/>
      <c r="J5390" s="7"/>
      <c r="L5390" s="7"/>
      <c r="N5390" s="7"/>
      <c r="P5390" s="7"/>
      <c r="R5390" s="7"/>
      <c r="T5390" s="7"/>
      <c r="V5390" s="7"/>
      <c r="X5390" s="7"/>
    </row>
    <row r="5391" spans="2:24">
      <c r="B5391" s="7"/>
      <c r="D5391" s="7"/>
      <c r="F5391" s="7"/>
      <c r="H5391" s="7"/>
      <c r="J5391" s="7"/>
      <c r="L5391" s="7"/>
      <c r="N5391" s="7"/>
      <c r="P5391" s="7"/>
      <c r="R5391" s="7"/>
      <c r="T5391" s="7"/>
      <c r="V5391" s="7"/>
      <c r="X5391" s="7"/>
    </row>
    <row r="5392" spans="2:24">
      <c r="B5392" s="7"/>
      <c r="D5392" s="7"/>
      <c r="F5392" s="7"/>
      <c r="H5392" s="7"/>
      <c r="J5392" s="7"/>
      <c r="L5392" s="7"/>
      <c r="N5392" s="7"/>
      <c r="P5392" s="7"/>
      <c r="R5392" s="7"/>
      <c r="T5392" s="7"/>
      <c r="V5392" s="7"/>
      <c r="X5392" s="7"/>
    </row>
    <row r="5393" spans="2:24">
      <c r="B5393" s="7"/>
      <c r="D5393" s="7"/>
      <c r="F5393" s="7"/>
      <c r="H5393" s="7"/>
      <c r="J5393" s="7"/>
      <c r="L5393" s="7"/>
      <c r="N5393" s="7"/>
      <c r="P5393" s="7"/>
      <c r="R5393" s="7"/>
      <c r="T5393" s="7"/>
      <c r="V5393" s="7"/>
      <c r="X5393" s="7"/>
    </row>
    <row r="5394" spans="2:24">
      <c r="B5394" s="7"/>
      <c r="D5394" s="7"/>
      <c r="F5394" s="7"/>
      <c r="H5394" s="7"/>
      <c r="J5394" s="7"/>
      <c r="L5394" s="7"/>
      <c r="N5394" s="7"/>
      <c r="P5394" s="7"/>
      <c r="R5394" s="7"/>
      <c r="T5394" s="7"/>
      <c r="V5394" s="7"/>
      <c r="X5394" s="7"/>
    </row>
    <row r="5395" spans="2:24">
      <c r="B5395" s="7"/>
      <c r="D5395" s="7"/>
      <c r="F5395" s="7"/>
      <c r="H5395" s="7"/>
      <c r="J5395" s="7"/>
      <c r="L5395" s="7"/>
      <c r="N5395" s="7"/>
      <c r="P5395" s="7"/>
      <c r="R5395" s="7"/>
      <c r="T5395" s="7"/>
      <c r="V5395" s="7"/>
      <c r="X5395" s="7"/>
    </row>
    <row r="5396" spans="2:24">
      <c r="B5396" s="7"/>
      <c r="D5396" s="7"/>
      <c r="F5396" s="7"/>
      <c r="H5396" s="7"/>
      <c r="J5396" s="7"/>
      <c r="L5396" s="7"/>
      <c r="N5396" s="7"/>
      <c r="P5396" s="7"/>
      <c r="R5396" s="7"/>
      <c r="T5396" s="7"/>
      <c r="V5396" s="7"/>
      <c r="X5396" s="7"/>
    </row>
    <row r="5397" spans="2:24">
      <c r="B5397" s="7"/>
      <c r="D5397" s="7"/>
      <c r="F5397" s="7"/>
      <c r="H5397" s="7"/>
      <c r="J5397" s="7"/>
      <c r="L5397" s="7"/>
      <c r="N5397" s="7"/>
      <c r="P5397" s="7"/>
      <c r="R5397" s="7"/>
      <c r="T5397" s="7"/>
      <c r="V5397" s="7"/>
      <c r="X5397" s="7"/>
    </row>
    <row r="5398" spans="2:24">
      <c r="B5398" s="7"/>
      <c r="D5398" s="7"/>
      <c r="F5398" s="7"/>
      <c r="H5398" s="7"/>
      <c r="J5398" s="7"/>
      <c r="L5398" s="7"/>
      <c r="N5398" s="7"/>
      <c r="P5398" s="7"/>
      <c r="R5398" s="7"/>
      <c r="T5398" s="7"/>
      <c r="V5398" s="7"/>
      <c r="X5398" s="7"/>
    </row>
    <row r="5399" spans="2:24">
      <c r="B5399" s="7"/>
      <c r="D5399" s="7"/>
      <c r="F5399" s="7"/>
      <c r="H5399" s="7"/>
      <c r="J5399" s="7"/>
      <c r="L5399" s="7"/>
      <c r="N5399" s="7"/>
      <c r="P5399" s="7"/>
      <c r="R5399" s="7"/>
      <c r="T5399" s="7"/>
      <c r="V5399" s="7"/>
      <c r="X5399" s="7"/>
    </row>
    <row r="5400" spans="2:24">
      <c r="B5400" s="7"/>
      <c r="D5400" s="7"/>
      <c r="F5400" s="7"/>
      <c r="H5400" s="7"/>
      <c r="J5400" s="7"/>
      <c r="L5400" s="7"/>
      <c r="N5400" s="7"/>
      <c r="P5400" s="7"/>
      <c r="R5400" s="7"/>
      <c r="T5400" s="7"/>
      <c r="V5400" s="7"/>
      <c r="X5400" s="7"/>
    </row>
    <row r="5401" spans="2:24">
      <c r="B5401" s="7"/>
      <c r="D5401" s="7"/>
      <c r="F5401" s="7"/>
      <c r="H5401" s="7"/>
      <c r="J5401" s="7"/>
      <c r="L5401" s="7"/>
      <c r="N5401" s="7"/>
      <c r="P5401" s="7"/>
      <c r="R5401" s="7"/>
      <c r="T5401" s="7"/>
      <c r="V5401" s="7"/>
      <c r="X5401" s="7"/>
    </row>
    <row r="5402" spans="2:24">
      <c r="B5402" s="7"/>
      <c r="D5402" s="7"/>
      <c r="F5402" s="7"/>
      <c r="H5402" s="7"/>
      <c r="J5402" s="7"/>
      <c r="L5402" s="7"/>
      <c r="N5402" s="7"/>
      <c r="P5402" s="7"/>
      <c r="R5402" s="7"/>
      <c r="T5402" s="7"/>
      <c r="V5402" s="7"/>
      <c r="X5402" s="7"/>
    </row>
    <row r="5403" spans="2:24">
      <c r="B5403" s="7"/>
      <c r="D5403" s="7"/>
      <c r="F5403" s="7"/>
      <c r="H5403" s="7"/>
      <c r="J5403" s="7"/>
      <c r="L5403" s="7"/>
      <c r="N5403" s="7"/>
      <c r="P5403" s="7"/>
      <c r="R5403" s="7"/>
      <c r="T5403" s="7"/>
      <c r="V5403" s="7"/>
      <c r="X5403" s="7"/>
    </row>
    <row r="5404" spans="2:24">
      <c r="B5404" s="7"/>
      <c r="D5404" s="7"/>
      <c r="F5404" s="7"/>
      <c r="H5404" s="7"/>
      <c r="J5404" s="7"/>
      <c r="L5404" s="7"/>
      <c r="N5404" s="7"/>
      <c r="P5404" s="7"/>
      <c r="R5404" s="7"/>
      <c r="T5404" s="7"/>
      <c r="V5404" s="7"/>
      <c r="X5404" s="7"/>
    </row>
    <row r="5405" spans="2:24">
      <c r="B5405" s="7"/>
      <c r="D5405" s="7"/>
      <c r="F5405" s="7"/>
      <c r="H5405" s="7"/>
      <c r="J5405" s="7"/>
      <c r="L5405" s="7"/>
      <c r="N5405" s="7"/>
      <c r="P5405" s="7"/>
      <c r="R5405" s="7"/>
      <c r="T5405" s="7"/>
      <c r="V5405" s="7"/>
      <c r="X5405" s="7"/>
    </row>
    <row r="5406" spans="2:24">
      <c r="B5406" s="7"/>
      <c r="D5406" s="7"/>
      <c r="F5406" s="7"/>
      <c r="H5406" s="7"/>
      <c r="J5406" s="7"/>
      <c r="L5406" s="7"/>
      <c r="N5406" s="7"/>
      <c r="P5406" s="7"/>
      <c r="R5406" s="7"/>
      <c r="T5406" s="7"/>
      <c r="V5406" s="7"/>
      <c r="X5406" s="7"/>
    </row>
    <row r="5407" spans="2:24">
      <c r="B5407" s="7"/>
      <c r="D5407" s="7"/>
      <c r="F5407" s="7"/>
      <c r="H5407" s="7"/>
      <c r="J5407" s="7"/>
      <c r="L5407" s="7"/>
      <c r="N5407" s="7"/>
      <c r="P5407" s="7"/>
      <c r="R5407" s="7"/>
      <c r="T5407" s="7"/>
      <c r="V5407" s="7"/>
      <c r="X5407" s="7"/>
    </row>
    <row r="5408" spans="2:24">
      <c r="B5408" s="7"/>
      <c r="D5408" s="7"/>
      <c r="F5408" s="7"/>
      <c r="H5408" s="7"/>
      <c r="J5408" s="7"/>
      <c r="L5408" s="7"/>
      <c r="N5408" s="7"/>
      <c r="P5408" s="7"/>
      <c r="R5408" s="7"/>
      <c r="T5408" s="7"/>
      <c r="V5408" s="7"/>
      <c r="X5408" s="7"/>
    </row>
    <row r="5409" spans="2:24">
      <c r="B5409" s="7"/>
      <c r="D5409" s="7"/>
      <c r="F5409" s="7"/>
      <c r="H5409" s="7"/>
      <c r="J5409" s="7"/>
      <c r="L5409" s="7"/>
      <c r="N5409" s="7"/>
      <c r="P5409" s="7"/>
      <c r="R5409" s="7"/>
      <c r="T5409" s="7"/>
      <c r="V5409" s="7"/>
      <c r="X5409" s="7"/>
    </row>
    <row r="5410" spans="2:24">
      <c r="B5410" s="7"/>
      <c r="D5410" s="7"/>
      <c r="F5410" s="7"/>
      <c r="H5410" s="7"/>
      <c r="J5410" s="7"/>
      <c r="L5410" s="7"/>
      <c r="N5410" s="7"/>
      <c r="P5410" s="7"/>
      <c r="R5410" s="7"/>
      <c r="T5410" s="7"/>
      <c r="V5410" s="7"/>
      <c r="X5410" s="7"/>
    </row>
    <row r="5411" spans="2:24">
      <c r="B5411" s="7"/>
      <c r="D5411" s="7"/>
      <c r="F5411" s="7"/>
      <c r="H5411" s="7"/>
      <c r="J5411" s="7"/>
      <c r="L5411" s="7"/>
      <c r="N5411" s="7"/>
      <c r="P5411" s="7"/>
      <c r="R5411" s="7"/>
      <c r="T5411" s="7"/>
      <c r="V5411" s="7"/>
      <c r="X5411" s="7"/>
    </row>
    <row r="5412" spans="2:24">
      <c r="B5412" s="7"/>
      <c r="D5412" s="7"/>
      <c r="F5412" s="7"/>
      <c r="H5412" s="7"/>
      <c r="J5412" s="7"/>
      <c r="L5412" s="7"/>
      <c r="N5412" s="7"/>
      <c r="P5412" s="7"/>
      <c r="R5412" s="7"/>
      <c r="T5412" s="7"/>
      <c r="V5412" s="7"/>
      <c r="X5412" s="7"/>
    </row>
    <row r="5413" spans="2:24">
      <c r="B5413" s="7"/>
      <c r="D5413" s="7"/>
      <c r="F5413" s="7"/>
      <c r="H5413" s="7"/>
      <c r="J5413" s="7"/>
      <c r="L5413" s="7"/>
      <c r="N5413" s="7"/>
      <c r="P5413" s="7"/>
      <c r="R5413" s="7"/>
      <c r="T5413" s="7"/>
      <c r="V5413" s="7"/>
      <c r="X5413" s="7"/>
    </row>
    <row r="5414" spans="2:24">
      <c r="B5414" s="7"/>
      <c r="D5414" s="7"/>
      <c r="F5414" s="7"/>
      <c r="H5414" s="7"/>
      <c r="J5414" s="7"/>
      <c r="L5414" s="7"/>
      <c r="N5414" s="7"/>
      <c r="P5414" s="7"/>
      <c r="R5414" s="7"/>
      <c r="T5414" s="7"/>
      <c r="V5414" s="7"/>
      <c r="X5414" s="7"/>
    </row>
    <row r="5415" spans="2:24">
      <c r="B5415" s="7"/>
      <c r="D5415" s="7"/>
      <c r="F5415" s="7"/>
      <c r="H5415" s="7"/>
      <c r="J5415" s="7"/>
      <c r="L5415" s="7"/>
      <c r="N5415" s="7"/>
      <c r="P5415" s="7"/>
      <c r="R5415" s="7"/>
      <c r="T5415" s="7"/>
      <c r="V5415" s="7"/>
      <c r="X5415" s="7"/>
    </row>
    <row r="5416" spans="2:24">
      <c r="B5416" s="7"/>
      <c r="D5416" s="7"/>
      <c r="F5416" s="7"/>
      <c r="H5416" s="7"/>
      <c r="J5416" s="7"/>
      <c r="L5416" s="7"/>
      <c r="N5416" s="7"/>
      <c r="P5416" s="7"/>
      <c r="R5416" s="7"/>
      <c r="T5416" s="7"/>
      <c r="V5416" s="7"/>
      <c r="X5416" s="7"/>
    </row>
    <row r="5417" spans="2:24">
      <c r="B5417" s="7"/>
      <c r="D5417" s="7"/>
      <c r="F5417" s="7"/>
      <c r="H5417" s="7"/>
      <c r="J5417" s="7"/>
      <c r="L5417" s="7"/>
      <c r="N5417" s="7"/>
      <c r="P5417" s="7"/>
      <c r="R5417" s="7"/>
      <c r="T5417" s="7"/>
      <c r="V5417" s="7"/>
      <c r="X5417" s="7"/>
    </row>
    <row r="5418" spans="2:24">
      <c r="B5418" s="7"/>
      <c r="D5418" s="7"/>
      <c r="F5418" s="7"/>
      <c r="H5418" s="7"/>
      <c r="J5418" s="7"/>
      <c r="L5418" s="7"/>
      <c r="N5418" s="7"/>
      <c r="P5418" s="7"/>
      <c r="R5418" s="7"/>
      <c r="T5418" s="7"/>
      <c r="V5418" s="7"/>
      <c r="X5418" s="7"/>
    </row>
    <row r="5419" spans="2:24">
      <c r="B5419" s="7"/>
      <c r="D5419" s="7"/>
      <c r="F5419" s="7"/>
      <c r="H5419" s="7"/>
      <c r="J5419" s="7"/>
      <c r="L5419" s="7"/>
      <c r="N5419" s="7"/>
      <c r="P5419" s="7"/>
      <c r="R5419" s="7"/>
      <c r="T5419" s="7"/>
      <c r="V5419" s="7"/>
      <c r="X5419" s="7"/>
    </row>
    <row r="5420" spans="2:24">
      <c r="B5420" s="7"/>
      <c r="D5420" s="7"/>
      <c r="F5420" s="7"/>
      <c r="H5420" s="7"/>
      <c r="J5420" s="7"/>
      <c r="L5420" s="7"/>
      <c r="N5420" s="7"/>
      <c r="P5420" s="7"/>
      <c r="R5420" s="7"/>
      <c r="T5420" s="7"/>
      <c r="V5420" s="7"/>
      <c r="X5420" s="7"/>
    </row>
    <row r="5421" spans="2:24">
      <c r="B5421" s="7"/>
      <c r="D5421" s="7"/>
      <c r="F5421" s="7"/>
      <c r="H5421" s="7"/>
      <c r="J5421" s="7"/>
      <c r="L5421" s="7"/>
      <c r="N5421" s="7"/>
      <c r="P5421" s="7"/>
      <c r="R5421" s="7"/>
      <c r="T5421" s="7"/>
      <c r="V5421" s="7"/>
      <c r="X5421" s="7"/>
    </row>
    <row r="5422" spans="2:24">
      <c r="B5422" s="7"/>
      <c r="D5422" s="7"/>
      <c r="F5422" s="7"/>
      <c r="H5422" s="7"/>
      <c r="J5422" s="7"/>
      <c r="L5422" s="7"/>
      <c r="N5422" s="7"/>
      <c r="P5422" s="7"/>
      <c r="R5422" s="7"/>
      <c r="T5422" s="7"/>
      <c r="V5422" s="7"/>
      <c r="X5422" s="7"/>
    </row>
    <row r="5423" spans="2:24">
      <c r="B5423" s="7"/>
      <c r="D5423" s="7"/>
      <c r="F5423" s="7"/>
      <c r="H5423" s="7"/>
      <c r="J5423" s="7"/>
      <c r="L5423" s="7"/>
      <c r="N5423" s="7"/>
      <c r="P5423" s="7"/>
      <c r="R5423" s="7"/>
      <c r="T5423" s="7"/>
      <c r="V5423" s="7"/>
      <c r="X5423" s="7"/>
    </row>
    <row r="5424" spans="2:24">
      <c r="B5424" s="7"/>
      <c r="D5424" s="7"/>
      <c r="F5424" s="7"/>
      <c r="H5424" s="7"/>
      <c r="J5424" s="7"/>
      <c r="L5424" s="7"/>
      <c r="N5424" s="7"/>
      <c r="P5424" s="7"/>
      <c r="R5424" s="7"/>
      <c r="T5424" s="7"/>
      <c r="V5424" s="7"/>
      <c r="X5424" s="7"/>
    </row>
    <row r="5425" spans="2:24">
      <c r="B5425" s="7"/>
      <c r="D5425" s="7"/>
      <c r="F5425" s="7"/>
      <c r="H5425" s="7"/>
      <c r="J5425" s="7"/>
      <c r="L5425" s="7"/>
      <c r="N5425" s="7"/>
      <c r="P5425" s="7"/>
      <c r="R5425" s="7"/>
      <c r="T5425" s="7"/>
      <c r="V5425" s="7"/>
      <c r="X5425" s="7"/>
    </row>
    <row r="5426" spans="2:24">
      <c r="B5426" s="7"/>
      <c r="D5426" s="7"/>
      <c r="F5426" s="7"/>
      <c r="H5426" s="7"/>
      <c r="J5426" s="7"/>
      <c r="L5426" s="7"/>
      <c r="N5426" s="7"/>
      <c r="P5426" s="7"/>
      <c r="R5426" s="7"/>
      <c r="T5426" s="7"/>
      <c r="V5426" s="7"/>
      <c r="X5426" s="7"/>
    </row>
    <row r="5427" spans="2:24">
      <c r="B5427" s="7"/>
      <c r="D5427" s="7"/>
      <c r="F5427" s="7"/>
      <c r="H5427" s="7"/>
      <c r="J5427" s="7"/>
      <c r="L5427" s="7"/>
      <c r="N5427" s="7"/>
      <c r="P5427" s="7"/>
      <c r="R5427" s="7"/>
      <c r="T5427" s="7"/>
      <c r="V5427" s="7"/>
      <c r="X5427" s="7"/>
    </row>
    <row r="5428" spans="2:24">
      <c r="B5428" s="7"/>
      <c r="D5428" s="7"/>
      <c r="F5428" s="7"/>
      <c r="H5428" s="7"/>
      <c r="J5428" s="7"/>
      <c r="L5428" s="7"/>
      <c r="N5428" s="7"/>
      <c r="P5428" s="7"/>
      <c r="R5428" s="7"/>
      <c r="T5428" s="7"/>
      <c r="V5428" s="7"/>
      <c r="X5428" s="7"/>
    </row>
    <row r="5429" spans="2:24">
      <c r="B5429" s="7"/>
      <c r="D5429" s="7"/>
      <c r="F5429" s="7"/>
      <c r="H5429" s="7"/>
      <c r="J5429" s="7"/>
      <c r="L5429" s="7"/>
      <c r="N5429" s="7"/>
      <c r="P5429" s="7"/>
      <c r="R5429" s="7"/>
      <c r="T5429" s="7"/>
      <c r="V5429" s="7"/>
      <c r="X5429" s="7"/>
    </row>
    <row r="5430" spans="2:24">
      <c r="B5430" s="7"/>
      <c r="D5430" s="7"/>
      <c r="F5430" s="7"/>
      <c r="H5430" s="7"/>
      <c r="J5430" s="7"/>
      <c r="L5430" s="7"/>
      <c r="N5430" s="7"/>
      <c r="P5430" s="7"/>
      <c r="R5430" s="7"/>
      <c r="T5430" s="7"/>
      <c r="V5430" s="7"/>
      <c r="X5430" s="7"/>
    </row>
    <row r="5431" spans="2:24">
      <c r="B5431" s="7"/>
      <c r="D5431" s="7"/>
      <c r="F5431" s="7"/>
      <c r="H5431" s="7"/>
      <c r="J5431" s="7"/>
      <c r="L5431" s="7"/>
      <c r="N5431" s="7"/>
      <c r="P5431" s="7"/>
      <c r="R5431" s="7"/>
      <c r="T5431" s="7"/>
      <c r="V5431" s="7"/>
      <c r="X5431" s="7"/>
    </row>
    <row r="5432" spans="2:24">
      <c r="B5432" s="7"/>
      <c r="D5432" s="7"/>
      <c r="F5432" s="7"/>
      <c r="H5432" s="7"/>
      <c r="J5432" s="7"/>
      <c r="L5432" s="7"/>
      <c r="N5432" s="7"/>
      <c r="P5432" s="7"/>
      <c r="R5432" s="7"/>
      <c r="T5432" s="7"/>
      <c r="V5432" s="7"/>
      <c r="X5432" s="7"/>
    </row>
    <row r="5433" spans="2:24">
      <c r="B5433" s="7"/>
      <c r="D5433" s="7"/>
      <c r="F5433" s="7"/>
      <c r="H5433" s="7"/>
      <c r="J5433" s="7"/>
      <c r="L5433" s="7"/>
      <c r="N5433" s="7"/>
      <c r="P5433" s="7"/>
      <c r="R5433" s="7"/>
      <c r="T5433" s="7"/>
      <c r="V5433" s="7"/>
      <c r="X5433" s="7"/>
    </row>
    <row r="5434" spans="2:24">
      <c r="B5434" s="7"/>
      <c r="D5434" s="7"/>
      <c r="F5434" s="7"/>
      <c r="H5434" s="7"/>
      <c r="J5434" s="7"/>
      <c r="L5434" s="7"/>
      <c r="N5434" s="7"/>
      <c r="P5434" s="7"/>
      <c r="R5434" s="7"/>
      <c r="T5434" s="7"/>
      <c r="V5434" s="7"/>
      <c r="X5434" s="7"/>
    </row>
    <row r="5435" spans="2:24">
      <c r="B5435" s="7"/>
      <c r="D5435" s="7"/>
      <c r="F5435" s="7"/>
      <c r="H5435" s="7"/>
      <c r="J5435" s="7"/>
      <c r="L5435" s="7"/>
      <c r="N5435" s="7"/>
      <c r="P5435" s="7"/>
      <c r="R5435" s="7"/>
      <c r="T5435" s="7"/>
      <c r="V5435" s="7"/>
      <c r="X5435" s="7"/>
    </row>
    <row r="5436" spans="2:24">
      <c r="B5436" s="7"/>
      <c r="D5436" s="7"/>
      <c r="F5436" s="7"/>
      <c r="H5436" s="7"/>
      <c r="J5436" s="7"/>
      <c r="L5436" s="7"/>
      <c r="N5436" s="7"/>
      <c r="P5436" s="7"/>
      <c r="R5436" s="7"/>
      <c r="T5436" s="7"/>
      <c r="V5436" s="7"/>
      <c r="X5436" s="7"/>
    </row>
    <row r="5437" spans="2:24">
      <c r="B5437" s="7"/>
      <c r="D5437" s="7"/>
      <c r="F5437" s="7"/>
      <c r="H5437" s="7"/>
      <c r="J5437" s="7"/>
      <c r="L5437" s="7"/>
      <c r="N5437" s="7"/>
      <c r="P5437" s="7"/>
      <c r="R5437" s="7"/>
      <c r="T5437" s="7"/>
      <c r="V5437" s="7"/>
      <c r="X5437" s="7"/>
    </row>
    <row r="5438" spans="2:24">
      <c r="B5438" s="7"/>
      <c r="D5438" s="7"/>
      <c r="F5438" s="7"/>
      <c r="H5438" s="7"/>
      <c r="J5438" s="7"/>
      <c r="L5438" s="7"/>
      <c r="N5438" s="7"/>
      <c r="P5438" s="7"/>
      <c r="R5438" s="7"/>
      <c r="T5438" s="7"/>
      <c r="V5438" s="7"/>
      <c r="X5438" s="7"/>
    </row>
    <row r="5439" spans="2:24">
      <c r="B5439" s="7"/>
      <c r="D5439" s="7"/>
      <c r="F5439" s="7"/>
      <c r="H5439" s="7"/>
      <c r="J5439" s="7"/>
      <c r="L5439" s="7"/>
      <c r="N5439" s="7"/>
      <c r="P5439" s="7"/>
      <c r="R5439" s="7"/>
      <c r="T5439" s="7"/>
      <c r="V5439" s="7"/>
      <c r="X5439" s="7"/>
    </row>
    <row r="5440" spans="2:24">
      <c r="B5440" s="7"/>
      <c r="D5440" s="7"/>
      <c r="F5440" s="7"/>
      <c r="H5440" s="7"/>
      <c r="J5440" s="7"/>
      <c r="L5440" s="7"/>
      <c r="N5440" s="7"/>
      <c r="P5440" s="7"/>
      <c r="R5440" s="7"/>
      <c r="T5440" s="7"/>
      <c r="V5440" s="7"/>
      <c r="X5440" s="7"/>
    </row>
    <row r="5441" spans="2:24">
      <c r="B5441" s="7"/>
      <c r="D5441" s="7"/>
      <c r="F5441" s="7"/>
      <c r="H5441" s="7"/>
      <c r="J5441" s="7"/>
      <c r="L5441" s="7"/>
      <c r="N5441" s="7"/>
      <c r="P5441" s="7"/>
      <c r="R5441" s="7"/>
      <c r="T5441" s="7"/>
      <c r="V5441" s="7"/>
      <c r="X5441" s="7"/>
    </row>
    <row r="5442" spans="2:24">
      <c r="B5442" s="7"/>
      <c r="D5442" s="7"/>
      <c r="F5442" s="7"/>
      <c r="H5442" s="7"/>
      <c r="J5442" s="7"/>
      <c r="L5442" s="7"/>
      <c r="N5442" s="7"/>
      <c r="P5442" s="7"/>
      <c r="R5442" s="7"/>
      <c r="T5442" s="7"/>
      <c r="V5442" s="7"/>
      <c r="X5442" s="7"/>
    </row>
    <row r="5443" spans="2:24">
      <c r="B5443" s="7"/>
      <c r="D5443" s="7"/>
      <c r="F5443" s="7"/>
      <c r="H5443" s="7"/>
      <c r="J5443" s="7"/>
      <c r="L5443" s="7"/>
      <c r="N5443" s="7"/>
      <c r="P5443" s="7"/>
      <c r="R5443" s="7"/>
      <c r="T5443" s="7"/>
      <c r="V5443" s="7"/>
      <c r="X5443" s="7"/>
    </row>
    <row r="5444" spans="2:24">
      <c r="B5444" s="7"/>
      <c r="D5444" s="7"/>
      <c r="F5444" s="7"/>
      <c r="H5444" s="7"/>
      <c r="J5444" s="7"/>
      <c r="L5444" s="7"/>
      <c r="N5444" s="7"/>
      <c r="P5444" s="7"/>
      <c r="R5444" s="7"/>
      <c r="T5444" s="7"/>
      <c r="V5444" s="7"/>
      <c r="X5444" s="7"/>
    </row>
    <row r="5445" spans="2:24">
      <c r="B5445" s="7"/>
      <c r="D5445" s="7"/>
      <c r="F5445" s="7"/>
      <c r="H5445" s="7"/>
      <c r="J5445" s="7"/>
      <c r="L5445" s="7"/>
      <c r="N5445" s="7"/>
      <c r="P5445" s="7"/>
      <c r="R5445" s="7"/>
      <c r="T5445" s="7"/>
      <c r="V5445" s="7"/>
      <c r="X5445" s="7"/>
    </row>
    <row r="5446" spans="2:24">
      <c r="B5446" s="7"/>
      <c r="D5446" s="7"/>
      <c r="F5446" s="7"/>
      <c r="H5446" s="7"/>
      <c r="J5446" s="7"/>
      <c r="L5446" s="7"/>
      <c r="N5446" s="7"/>
      <c r="P5446" s="7"/>
      <c r="R5446" s="7"/>
      <c r="T5446" s="7"/>
      <c r="V5446" s="7"/>
      <c r="X5446" s="7"/>
    </row>
    <row r="5447" spans="2:24">
      <c r="B5447" s="7"/>
      <c r="D5447" s="7"/>
      <c r="F5447" s="7"/>
      <c r="H5447" s="7"/>
      <c r="J5447" s="7"/>
      <c r="L5447" s="7"/>
      <c r="N5447" s="7"/>
      <c r="P5447" s="7"/>
      <c r="R5447" s="7"/>
      <c r="T5447" s="7"/>
      <c r="V5447" s="7"/>
      <c r="X5447" s="7"/>
    </row>
    <row r="5448" spans="2:24">
      <c r="B5448" s="7"/>
      <c r="D5448" s="7"/>
      <c r="F5448" s="7"/>
      <c r="H5448" s="7"/>
      <c r="J5448" s="7"/>
      <c r="L5448" s="7"/>
      <c r="N5448" s="7"/>
      <c r="P5448" s="7"/>
      <c r="R5448" s="7"/>
      <c r="T5448" s="7"/>
      <c r="V5448" s="7"/>
      <c r="X5448" s="7"/>
    </row>
    <row r="5449" spans="2:24">
      <c r="B5449" s="7"/>
      <c r="D5449" s="7"/>
      <c r="F5449" s="7"/>
      <c r="H5449" s="7"/>
      <c r="J5449" s="7"/>
      <c r="L5449" s="7"/>
      <c r="N5449" s="7"/>
      <c r="P5449" s="7"/>
      <c r="R5449" s="7"/>
      <c r="T5449" s="7"/>
      <c r="V5449" s="7"/>
      <c r="X5449" s="7"/>
    </row>
    <row r="5450" spans="2:24">
      <c r="B5450" s="7"/>
      <c r="D5450" s="7"/>
      <c r="F5450" s="7"/>
      <c r="H5450" s="7"/>
      <c r="J5450" s="7"/>
      <c r="L5450" s="7"/>
      <c r="N5450" s="7"/>
      <c r="P5450" s="7"/>
      <c r="R5450" s="7"/>
      <c r="T5450" s="7"/>
      <c r="V5450" s="7"/>
      <c r="X5450" s="7"/>
    </row>
    <row r="5451" spans="2:24">
      <c r="B5451" s="7"/>
      <c r="D5451" s="7"/>
      <c r="F5451" s="7"/>
      <c r="H5451" s="7"/>
      <c r="J5451" s="7"/>
      <c r="L5451" s="7"/>
      <c r="N5451" s="7"/>
      <c r="P5451" s="7"/>
      <c r="R5451" s="7"/>
      <c r="T5451" s="7"/>
      <c r="V5451" s="7"/>
      <c r="X5451" s="7"/>
    </row>
    <row r="5452" spans="2:24">
      <c r="B5452" s="7"/>
      <c r="D5452" s="7"/>
      <c r="F5452" s="7"/>
      <c r="H5452" s="7"/>
      <c r="J5452" s="7"/>
      <c r="L5452" s="7"/>
      <c r="N5452" s="7"/>
      <c r="P5452" s="7"/>
      <c r="R5452" s="7"/>
      <c r="T5452" s="7"/>
      <c r="V5452" s="7"/>
      <c r="X5452" s="7"/>
    </row>
    <row r="5453" spans="2:24">
      <c r="B5453" s="7"/>
      <c r="D5453" s="7"/>
      <c r="F5453" s="7"/>
      <c r="H5453" s="7"/>
      <c r="J5453" s="7"/>
      <c r="L5453" s="7"/>
      <c r="N5453" s="7"/>
      <c r="P5453" s="7"/>
      <c r="R5453" s="7"/>
      <c r="T5453" s="7"/>
      <c r="V5453" s="7"/>
      <c r="X5453" s="7"/>
    </row>
    <row r="5454" spans="2:24">
      <c r="B5454" s="7"/>
      <c r="D5454" s="7"/>
      <c r="F5454" s="7"/>
      <c r="H5454" s="7"/>
      <c r="J5454" s="7"/>
      <c r="L5454" s="7"/>
      <c r="N5454" s="7"/>
      <c r="P5454" s="7"/>
      <c r="R5454" s="7"/>
      <c r="T5454" s="7"/>
      <c r="V5454" s="7"/>
      <c r="X5454" s="7"/>
    </row>
    <row r="5455" spans="2:24">
      <c r="B5455" s="7"/>
      <c r="D5455" s="7"/>
      <c r="F5455" s="7"/>
      <c r="H5455" s="7"/>
      <c r="J5455" s="7"/>
      <c r="L5455" s="7"/>
      <c r="N5455" s="7"/>
      <c r="P5455" s="7"/>
      <c r="R5455" s="7"/>
      <c r="T5455" s="7"/>
      <c r="V5455" s="7"/>
      <c r="X5455" s="7"/>
    </row>
    <row r="5456" spans="2:24">
      <c r="B5456" s="7"/>
      <c r="D5456" s="7"/>
      <c r="F5456" s="7"/>
      <c r="H5456" s="7"/>
      <c r="J5456" s="7"/>
      <c r="L5456" s="7"/>
      <c r="N5456" s="7"/>
      <c r="P5456" s="7"/>
      <c r="R5456" s="7"/>
      <c r="T5456" s="7"/>
      <c r="V5456" s="7"/>
      <c r="X5456" s="7"/>
    </row>
    <row r="5457" spans="2:24">
      <c r="B5457" s="7"/>
      <c r="D5457" s="7"/>
      <c r="F5457" s="7"/>
      <c r="H5457" s="7"/>
      <c r="J5457" s="7"/>
      <c r="L5457" s="7"/>
      <c r="N5457" s="7"/>
      <c r="P5457" s="7"/>
      <c r="R5457" s="7"/>
      <c r="T5457" s="7"/>
      <c r="V5457" s="7"/>
      <c r="X5457" s="7"/>
    </row>
    <row r="5458" spans="2:24">
      <c r="B5458" s="7"/>
      <c r="D5458" s="7"/>
      <c r="F5458" s="7"/>
      <c r="H5458" s="7"/>
      <c r="J5458" s="7"/>
      <c r="L5458" s="7"/>
      <c r="N5458" s="7"/>
      <c r="P5458" s="7"/>
      <c r="R5458" s="7"/>
      <c r="T5458" s="7"/>
      <c r="V5458" s="7"/>
      <c r="X5458" s="7"/>
    </row>
    <row r="5459" spans="2:24">
      <c r="B5459" s="7"/>
      <c r="D5459" s="7"/>
      <c r="F5459" s="7"/>
      <c r="H5459" s="7"/>
      <c r="J5459" s="7"/>
      <c r="L5459" s="7"/>
      <c r="N5459" s="7"/>
      <c r="P5459" s="7"/>
      <c r="R5459" s="7"/>
      <c r="T5459" s="7"/>
      <c r="V5459" s="7"/>
      <c r="X5459" s="7"/>
    </row>
    <row r="5460" spans="2:24">
      <c r="B5460" s="7"/>
      <c r="D5460" s="7"/>
      <c r="F5460" s="7"/>
      <c r="H5460" s="7"/>
      <c r="J5460" s="7"/>
      <c r="L5460" s="7"/>
      <c r="N5460" s="7"/>
      <c r="P5460" s="7"/>
      <c r="R5460" s="7"/>
      <c r="T5460" s="7"/>
      <c r="V5460" s="7"/>
      <c r="X5460" s="7"/>
    </row>
    <row r="5461" spans="2:24">
      <c r="B5461" s="7"/>
      <c r="D5461" s="7"/>
      <c r="F5461" s="7"/>
      <c r="H5461" s="7"/>
      <c r="J5461" s="7"/>
      <c r="L5461" s="7"/>
      <c r="N5461" s="7"/>
      <c r="P5461" s="7"/>
      <c r="R5461" s="7"/>
      <c r="T5461" s="7"/>
      <c r="V5461" s="7"/>
      <c r="X5461" s="7"/>
    </row>
    <row r="5462" spans="2:24">
      <c r="B5462" s="7"/>
      <c r="D5462" s="7"/>
      <c r="F5462" s="7"/>
      <c r="H5462" s="7"/>
      <c r="J5462" s="7"/>
      <c r="L5462" s="7"/>
      <c r="N5462" s="7"/>
      <c r="P5462" s="7"/>
      <c r="R5462" s="7"/>
      <c r="T5462" s="7"/>
      <c r="V5462" s="7"/>
      <c r="X5462" s="7"/>
    </row>
    <row r="5463" spans="2:24">
      <c r="B5463" s="7"/>
      <c r="D5463" s="7"/>
      <c r="F5463" s="7"/>
      <c r="H5463" s="7"/>
      <c r="J5463" s="7"/>
      <c r="L5463" s="7"/>
      <c r="N5463" s="7"/>
      <c r="P5463" s="7"/>
      <c r="R5463" s="7"/>
      <c r="T5463" s="7"/>
      <c r="V5463" s="7"/>
      <c r="X5463" s="7"/>
    </row>
    <row r="5464" spans="2:24">
      <c r="B5464" s="7"/>
      <c r="D5464" s="7"/>
      <c r="F5464" s="7"/>
      <c r="H5464" s="7"/>
      <c r="J5464" s="7"/>
      <c r="L5464" s="7"/>
      <c r="N5464" s="7"/>
      <c r="P5464" s="7"/>
      <c r="R5464" s="7"/>
      <c r="T5464" s="7"/>
      <c r="V5464" s="7"/>
      <c r="X5464" s="7"/>
    </row>
    <row r="5465" spans="2:24">
      <c r="B5465" s="7"/>
      <c r="D5465" s="7"/>
      <c r="F5465" s="7"/>
      <c r="H5465" s="7"/>
      <c r="J5465" s="7"/>
      <c r="L5465" s="7"/>
      <c r="N5465" s="7"/>
      <c r="P5465" s="7"/>
      <c r="R5465" s="7"/>
      <c r="T5465" s="7"/>
      <c r="V5465" s="7"/>
      <c r="X5465" s="7"/>
    </row>
    <row r="5466" spans="2:24">
      <c r="B5466" s="7"/>
      <c r="D5466" s="7"/>
      <c r="F5466" s="7"/>
      <c r="H5466" s="7"/>
      <c r="J5466" s="7"/>
      <c r="L5466" s="7"/>
      <c r="N5466" s="7"/>
      <c r="P5466" s="7"/>
      <c r="R5466" s="7"/>
      <c r="T5466" s="7"/>
      <c r="V5466" s="7"/>
      <c r="X5466" s="7"/>
    </row>
    <row r="5467" spans="2:24">
      <c r="B5467" s="7"/>
      <c r="D5467" s="7"/>
      <c r="F5467" s="7"/>
      <c r="H5467" s="7"/>
      <c r="J5467" s="7"/>
      <c r="L5467" s="7"/>
      <c r="N5467" s="7"/>
      <c r="P5467" s="7"/>
      <c r="R5467" s="7"/>
      <c r="T5467" s="7"/>
      <c r="V5467" s="7"/>
      <c r="X5467" s="7"/>
    </row>
    <row r="5468" spans="2:24">
      <c r="B5468" s="7"/>
      <c r="D5468" s="7"/>
      <c r="F5468" s="7"/>
      <c r="H5468" s="7"/>
      <c r="J5468" s="7"/>
      <c r="L5468" s="7"/>
      <c r="N5468" s="7"/>
      <c r="P5468" s="7"/>
      <c r="R5468" s="7"/>
      <c r="T5468" s="7"/>
      <c r="V5468" s="7"/>
      <c r="X5468" s="7"/>
    </row>
    <row r="5469" spans="2:24">
      <c r="B5469" s="7"/>
      <c r="D5469" s="7"/>
      <c r="F5469" s="7"/>
      <c r="H5469" s="7"/>
      <c r="J5469" s="7"/>
      <c r="L5469" s="7"/>
      <c r="N5469" s="7"/>
      <c r="P5469" s="7"/>
      <c r="R5469" s="7"/>
      <c r="T5469" s="7"/>
      <c r="V5469" s="7"/>
      <c r="X5469" s="7"/>
    </row>
    <row r="5470" spans="2:24">
      <c r="B5470" s="7"/>
      <c r="D5470" s="7"/>
      <c r="F5470" s="7"/>
      <c r="H5470" s="7"/>
      <c r="J5470" s="7"/>
      <c r="L5470" s="7"/>
      <c r="N5470" s="7"/>
      <c r="P5470" s="7"/>
      <c r="R5470" s="7"/>
      <c r="T5470" s="7"/>
      <c r="V5470" s="7"/>
      <c r="X5470" s="7"/>
    </row>
    <row r="5471" spans="2:24">
      <c r="B5471" s="7"/>
      <c r="D5471" s="7"/>
      <c r="F5471" s="7"/>
      <c r="H5471" s="7"/>
      <c r="J5471" s="7"/>
      <c r="L5471" s="7"/>
      <c r="N5471" s="7"/>
      <c r="P5471" s="7"/>
      <c r="R5471" s="7"/>
      <c r="T5471" s="7"/>
      <c r="V5471" s="7"/>
      <c r="X5471" s="7"/>
    </row>
    <row r="5472" spans="2:24">
      <c r="B5472" s="7"/>
      <c r="D5472" s="7"/>
      <c r="F5472" s="7"/>
      <c r="H5472" s="7"/>
      <c r="J5472" s="7"/>
      <c r="L5472" s="7"/>
      <c r="N5472" s="7"/>
      <c r="P5472" s="7"/>
      <c r="R5472" s="7"/>
      <c r="T5472" s="7"/>
      <c r="V5472" s="7"/>
      <c r="X5472" s="7"/>
    </row>
    <row r="5473" spans="2:24">
      <c r="B5473" s="7"/>
      <c r="D5473" s="7"/>
      <c r="F5473" s="7"/>
      <c r="H5473" s="7"/>
      <c r="J5473" s="7"/>
      <c r="L5473" s="7"/>
      <c r="N5473" s="7"/>
      <c r="P5473" s="7"/>
      <c r="R5473" s="7"/>
      <c r="T5473" s="7"/>
      <c r="V5473" s="7"/>
      <c r="X5473" s="7"/>
    </row>
    <row r="5474" spans="2:24">
      <c r="B5474" s="7"/>
      <c r="D5474" s="7"/>
      <c r="F5474" s="7"/>
      <c r="H5474" s="7"/>
      <c r="J5474" s="7"/>
      <c r="L5474" s="7"/>
      <c r="N5474" s="7"/>
      <c r="P5474" s="7"/>
      <c r="R5474" s="7"/>
      <c r="T5474" s="7"/>
      <c r="V5474" s="7"/>
      <c r="X5474" s="7"/>
    </row>
    <row r="5475" spans="2:24">
      <c r="B5475" s="7"/>
      <c r="D5475" s="7"/>
      <c r="F5475" s="7"/>
      <c r="H5475" s="7"/>
      <c r="J5475" s="7"/>
      <c r="L5475" s="7"/>
      <c r="N5475" s="7"/>
      <c r="P5475" s="7"/>
      <c r="R5475" s="7"/>
      <c r="T5475" s="7"/>
      <c r="V5475" s="7"/>
      <c r="X5475" s="7"/>
    </row>
    <row r="5476" spans="2:24">
      <c r="B5476" s="7"/>
      <c r="D5476" s="7"/>
      <c r="F5476" s="7"/>
      <c r="H5476" s="7"/>
      <c r="J5476" s="7"/>
      <c r="L5476" s="7"/>
      <c r="N5476" s="7"/>
      <c r="P5476" s="7"/>
      <c r="R5476" s="7"/>
      <c r="T5476" s="7"/>
      <c r="V5476" s="7"/>
      <c r="X5476" s="7"/>
    </row>
    <row r="5477" spans="2:24">
      <c r="B5477" s="7"/>
      <c r="D5477" s="7"/>
      <c r="F5477" s="7"/>
      <c r="H5477" s="7"/>
      <c r="J5477" s="7"/>
      <c r="L5477" s="7"/>
      <c r="N5477" s="7"/>
      <c r="P5477" s="7"/>
      <c r="R5477" s="7"/>
      <c r="T5477" s="7"/>
      <c r="V5477" s="7"/>
      <c r="X5477" s="7"/>
    </row>
    <row r="5478" spans="2:24">
      <c r="B5478" s="7"/>
      <c r="D5478" s="7"/>
      <c r="F5478" s="7"/>
      <c r="H5478" s="7"/>
      <c r="J5478" s="7"/>
      <c r="L5478" s="7"/>
      <c r="N5478" s="7"/>
      <c r="P5478" s="7"/>
      <c r="R5478" s="7"/>
      <c r="T5478" s="7"/>
      <c r="V5478" s="7"/>
      <c r="X5478" s="7"/>
    </row>
    <row r="5479" spans="2:24">
      <c r="B5479" s="7"/>
      <c r="D5479" s="7"/>
      <c r="F5479" s="7"/>
      <c r="H5479" s="7"/>
      <c r="J5479" s="7"/>
      <c r="L5479" s="7"/>
      <c r="N5479" s="7"/>
      <c r="P5479" s="7"/>
      <c r="R5479" s="7"/>
      <c r="T5479" s="7"/>
      <c r="V5479" s="7"/>
      <c r="X5479" s="7"/>
    </row>
    <row r="5480" spans="2:24">
      <c r="B5480" s="7"/>
      <c r="D5480" s="7"/>
      <c r="F5480" s="7"/>
      <c r="H5480" s="7"/>
      <c r="J5480" s="7"/>
      <c r="L5480" s="7"/>
      <c r="N5480" s="7"/>
      <c r="P5480" s="7"/>
      <c r="R5480" s="7"/>
      <c r="T5480" s="7"/>
      <c r="V5480" s="7"/>
      <c r="X5480" s="7"/>
    </row>
    <row r="5481" spans="2:24">
      <c r="B5481" s="7"/>
      <c r="D5481" s="7"/>
      <c r="F5481" s="7"/>
      <c r="H5481" s="7"/>
      <c r="J5481" s="7"/>
      <c r="L5481" s="7"/>
      <c r="N5481" s="7"/>
      <c r="P5481" s="7"/>
      <c r="R5481" s="7"/>
      <c r="T5481" s="7"/>
      <c r="V5481" s="7"/>
      <c r="X5481" s="7"/>
    </row>
    <row r="5482" spans="2:24">
      <c r="B5482" s="7"/>
      <c r="D5482" s="7"/>
      <c r="F5482" s="7"/>
      <c r="H5482" s="7"/>
      <c r="J5482" s="7"/>
      <c r="L5482" s="7"/>
      <c r="N5482" s="7"/>
      <c r="P5482" s="7"/>
      <c r="R5482" s="7"/>
      <c r="T5482" s="7"/>
      <c r="V5482" s="7"/>
      <c r="X5482" s="7"/>
    </row>
    <row r="5483" spans="2:24">
      <c r="B5483" s="7"/>
      <c r="D5483" s="7"/>
      <c r="F5483" s="7"/>
      <c r="H5483" s="7"/>
      <c r="J5483" s="7"/>
      <c r="L5483" s="7"/>
      <c r="N5483" s="7"/>
      <c r="P5483" s="7"/>
      <c r="R5483" s="7"/>
      <c r="T5483" s="7"/>
      <c r="V5483" s="7"/>
      <c r="X5483" s="7"/>
    </row>
    <row r="5484" spans="2:24">
      <c r="B5484" s="7"/>
      <c r="D5484" s="7"/>
      <c r="F5484" s="7"/>
      <c r="H5484" s="7"/>
      <c r="J5484" s="7"/>
      <c r="L5484" s="7"/>
      <c r="N5484" s="7"/>
      <c r="P5484" s="7"/>
      <c r="R5484" s="7"/>
      <c r="T5484" s="7"/>
      <c r="V5484" s="7"/>
      <c r="X5484" s="7"/>
    </row>
    <row r="5485" spans="2:24">
      <c r="B5485" s="7"/>
      <c r="D5485" s="7"/>
      <c r="F5485" s="7"/>
      <c r="H5485" s="7"/>
      <c r="J5485" s="7"/>
      <c r="L5485" s="7"/>
      <c r="N5485" s="7"/>
      <c r="P5485" s="7"/>
      <c r="R5485" s="7"/>
      <c r="T5485" s="7"/>
      <c r="V5485" s="7"/>
      <c r="X5485" s="7"/>
    </row>
    <row r="5486" spans="2:24">
      <c r="B5486" s="7"/>
      <c r="D5486" s="7"/>
      <c r="F5486" s="7"/>
      <c r="H5486" s="7"/>
      <c r="J5486" s="7"/>
      <c r="L5486" s="7"/>
      <c r="N5486" s="7"/>
      <c r="P5486" s="7"/>
      <c r="R5486" s="7"/>
      <c r="T5486" s="7"/>
      <c r="V5486" s="7"/>
      <c r="X5486" s="7"/>
    </row>
    <row r="5487" spans="2:24">
      <c r="B5487" s="7"/>
      <c r="D5487" s="7"/>
      <c r="F5487" s="7"/>
      <c r="H5487" s="7"/>
      <c r="J5487" s="7"/>
      <c r="L5487" s="7"/>
      <c r="N5487" s="7"/>
      <c r="P5487" s="7"/>
      <c r="R5487" s="7"/>
      <c r="T5487" s="7"/>
      <c r="V5487" s="7"/>
      <c r="X5487" s="7"/>
    </row>
    <row r="5488" spans="2:24">
      <c r="B5488" s="7"/>
      <c r="D5488" s="7"/>
      <c r="F5488" s="7"/>
      <c r="H5488" s="7"/>
      <c r="J5488" s="7"/>
      <c r="L5488" s="7"/>
      <c r="N5488" s="7"/>
      <c r="P5488" s="7"/>
      <c r="R5488" s="7"/>
      <c r="T5488" s="7"/>
      <c r="V5488" s="7"/>
      <c r="X5488" s="7"/>
    </row>
    <row r="5489" spans="2:24">
      <c r="B5489" s="7"/>
      <c r="D5489" s="7"/>
      <c r="F5489" s="7"/>
      <c r="H5489" s="7"/>
      <c r="J5489" s="7"/>
      <c r="L5489" s="7"/>
      <c r="N5489" s="7"/>
      <c r="P5489" s="7"/>
      <c r="R5489" s="7"/>
      <c r="T5489" s="7"/>
      <c r="V5489" s="7"/>
      <c r="X5489" s="7"/>
    </row>
    <row r="5490" spans="2:24">
      <c r="B5490" s="7"/>
      <c r="D5490" s="7"/>
      <c r="F5490" s="7"/>
      <c r="H5490" s="7"/>
      <c r="J5490" s="7"/>
      <c r="L5490" s="7"/>
      <c r="N5490" s="7"/>
      <c r="P5490" s="7"/>
      <c r="R5490" s="7"/>
      <c r="T5490" s="7"/>
      <c r="V5490" s="7"/>
      <c r="X5490" s="7"/>
    </row>
    <row r="5491" spans="2:24">
      <c r="B5491" s="7"/>
      <c r="D5491" s="7"/>
      <c r="F5491" s="7"/>
      <c r="H5491" s="7"/>
      <c r="J5491" s="7"/>
      <c r="L5491" s="7"/>
      <c r="N5491" s="7"/>
      <c r="P5491" s="7"/>
      <c r="R5491" s="7"/>
      <c r="T5491" s="7"/>
      <c r="V5491" s="7"/>
      <c r="X5491" s="7"/>
    </row>
    <row r="5492" spans="2:24">
      <c r="B5492" s="7"/>
      <c r="D5492" s="7"/>
      <c r="F5492" s="7"/>
      <c r="H5492" s="7"/>
      <c r="J5492" s="7"/>
      <c r="L5492" s="7"/>
      <c r="N5492" s="7"/>
      <c r="P5492" s="7"/>
      <c r="R5492" s="7"/>
      <c r="T5492" s="7"/>
      <c r="V5492" s="7"/>
      <c r="X5492" s="7"/>
    </row>
    <row r="5493" spans="2:24">
      <c r="B5493" s="7"/>
      <c r="D5493" s="7"/>
      <c r="F5493" s="7"/>
      <c r="H5493" s="7"/>
      <c r="J5493" s="7"/>
      <c r="L5493" s="7"/>
      <c r="N5493" s="7"/>
      <c r="P5493" s="7"/>
      <c r="R5493" s="7"/>
      <c r="T5493" s="7"/>
      <c r="V5493" s="7"/>
      <c r="X5493" s="7"/>
    </row>
    <row r="5494" spans="2:24">
      <c r="B5494" s="7"/>
      <c r="D5494" s="7"/>
      <c r="F5494" s="7"/>
      <c r="H5494" s="7"/>
      <c r="J5494" s="7"/>
      <c r="L5494" s="7"/>
      <c r="N5494" s="7"/>
      <c r="P5494" s="7"/>
      <c r="R5494" s="7"/>
      <c r="T5494" s="7"/>
      <c r="V5494" s="7"/>
      <c r="X5494" s="7"/>
    </row>
    <row r="5495" spans="2:24">
      <c r="B5495" s="7"/>
      <c r="D5495" s="7"/>
      <c r="F5495" s="7"/>
      <c r="H5495" s="7"/>
      <c r="J5495" s="7"/>
      <c r="L5495" s="7"/>
      <c r="N5495" s="7"/>
      <c r="P5495" s="7"/>
      <c r="R5495" s="7"/>
      <c r="T5495" s="7"/>
      <c r="V5495" s="7"/>
      <c r="X5495" s="7"/>
    </row>
    <row r="5496" spans="2:24">
      <c r="B5496" s="7"/>
      <c r="D5496" s="7"/>
      <c r="F5496" s="7"/>
      <c r="H5496" s="7"/>
      <c r="J5496" s="7"/>
      <c r="L5496" s="7"/>
      <c r="N5496" s="7"/>
      <c r="P5496" s="7"/>
      <c r="R5496" s="7"/>
      <c r="T5496" s="7"/>
      <c r="V5496" s="7"/>
      <c r="X5496" s="7"/>
    </row>
    <row r="5497" spans="2:24">
      <c r="B5497" s="7"/>
      <c r="D5497" s="7"/>
      <c r="F5497" s="7"/>
      <c r="H5497" s="7"/>
      <c r="J5497" s="7"/>
      <c r="L5497" s="7"/>
      <c r="N5497" s="7"/>
      <c r="P5497" s="7"/>
      <c r="R5497" s="7"/>
      <c r="T5497" s="7"/>
      <c r="V5497" s="7"/>
      <c r="X5497" s="7"/>
    </row>
    <row r="5498" spans="2:24">
      <c r="B5498" s="7"/>
      <c r="D5498" s="7"/>
      <c r="F5498" s="7"/>
      <c r="H5498" s="7"/>
      <c r="J5498" s="7"/>
      <c r="L5498" s="7"/>
      <c r="N5498" s="7"/>
      <c r="P5498" s="7"/>
      <c r="R5498" s="7"/>
      <c r="T5498" s="7"/>
      <c r="V5498" s="7"/>
      <c r="X5498" s="7"/>
    </row>
    <row r="5499" spans="2:24">
      <c r="B5499" s="7"/>
      <c r="D5499" s="7"/>
      <c r="F5499" s="7"/>
      <c r="H5499" s="7"/>
      <c r="J5499" s="7"/>
      <c r="L5499" s="7"/>
      <c r="N5499" s="7"/>
      <c r="P5499" s="7"/>
      <c r="R5499" s="7"/>
      <c r="T5499" s="7"/>
      <c r="V5499" s="7"/>
      <c r="X5499" s="7"/>
    </row>
    <row r="5500" spans="2:24">
      <c r="B5500" s="7"/>
      <c r="D5500" s="7"/>
      <c r="F5500" s="7"/>
      <c r="H5500" s="7"/>
      <c r="J5500" s="7"/>
      <c r="L5500" s="7"/>
      <c r="N5500" s="7"/>
      <c r="P5500" s="7"/>
      <c r="R5500" s="7"/>
      <c r="T5500" s="7"/>
      <c r="V5500" s="7"/>
      <c r="X5500" s="7"/>
    </row>
    <row r="5501" spans="2:24">
      <c r="B5501" s="7"/>
      <c r="D5501" s="7"/>
      <c r="F5501" s="7"/>
      <c r="H5501" s="7"/>
      <c r="J5501" s="7"/>
      <c r="L5501" s="7"/>
      <c r="N5501" s="7"/>
      <c r="P5501" s="7"/>
      <c r="R5501" s="7"/>
      <c r="T5501" s="7"/>
      <c r="V5501" s="7"/>
      <c r="X5501" s="7"/>
    </row>
    <row r="5502" spans="2:24">
      <c r="B5502" s="7"/>
      <c r="D5502" s="7"/>
      <c r="F5502" s="7"/>
      <c r="H5502" s="7"/>
      <c r="J5502" s="7"/>
      <c r="L5502" s="7"/>
      <c r="N5502" s="7"/>
      <c r="P5502" s="7"/>
      <c r="R5502" s="7"/>
      <c r="T5502" s="7"/>
      <c r="V5502" s="7"/>
      <c r="X5502" s="7"/>
    </row>
    <row r="5503" spans="2:24">
      <c r="B5503" s="7"/>
      <c r="D5503" s="7"/>
      <c r="F5503" s="7"/>
      <c r="H5503" s="7"/>
      <c r="J5503" s="7"/>
      <c r="L5503" s="7"/>
      <c r="N5503" s="7"/>
      <c r="P5503" s="7"/>
      <c r="R5503" s="7"/>
      <c r="T5503" s="7"/>
      <c r="V5503" s="7"/>
      <c r="X5503" s="7"/>
    </row>
    <row r="5504" spans="2:24">
      <c r="B5504" s="7"/>
      <c r="D5504" s="7"/>
      <c r="F5504" s="7"/>
      <c r="H5504" s="7"/>
      <c r="J5504" s="7"/>
      <c r="L5504" s="7"/>
      <c r="N5504" s="7"/>
      <c r="P5504" s="7"/>
      <c r="R5504" s="7"/>
      <c r="T5504" s="7"/>
      <c r="V5504" s="7"/>
      <c r="X5504" s="7"/>
    </row>
    <row r="5505" spans="2:24">
      <c r="B5505" s="7"/>
      <c r="D5505" s="7"/>
      <c r="F5505" s="7"/>
      <c r="H5505" s="7"/>
      <c r="J5505" s="7"/>
      <c r="L5505" s="7"/>
      <c r="N5505" s="7"/>
      <c r="P5505" s="7"/>
      <c r="R5505" s="7"/>
      <c r="T5505" s="7"/>
      <c r="V5505" s="7"/>
      <c r="X5505" s="7"/>
    </row>
    <row r="5506" spans="2:24">
      <c r="B5506" s="7"/>
      <c r="D5506" s="7"/>
      <c r="F5506" s="7"/>
      <c r="H5506" s="7"/>
      <c r="J5506" s="7"/>
      <c r="L5506" s="7"/>
      <c r="N5506" s="7"/>
      <c r="P5506" s="7"/>
      <c r="R5506" s="7"/>
      <c r="T5506" s="7"/>
      <c r="V5506" s="7"/>
      <c r="X5506" s="7"/>
    </row>
    <row r="5507" spans="2:24">
      <c r="B5507" s="7"/>
      <c r="D5507" s="7"/>
      <c r="F5507" s="7"/>
      <c r="H5507" s="7"/>
      <c r="J5507" s="7"/>
      <c r="L5507" s="7"/>
      <c r="N5507" s="7"/>
      <c r="P5507" s="7"/>
      <c r="R5507" s="7"/>
      <c r="T5507" s="7"/>
      <c r="V5507" s="7"/>
      <c r="X5507" s="7"/>
    </row>
    <row r="5508" spans="2:24">
      <c r="B5508" s="7"/>
      <c r="D5508" s="7"/>
      <c r="F5508" s="7"/>
      <c r="H5508" s="7"/>
      <c r="J5508" s="7"/>
      <c r="L5508" s="7"/>
      <c r="N5508" s="7"/>
      <c r="P5508" s="7"/>
      <c r="R5508" s="7"/>
      <c r="T5508" s="7"/>
      <c r="V5508" s="7"/>
      <c r="X5508" s="7"/>
    </row>
    <row r="5509" spans="2:24">
      <c r="B5509" s="7"/>
      <c r="D5509" s="7"/>
      <c r="F5509" s="7"/>
      <c r="H5509" s="7"/>
      <c r="J5509" s="7"/>
      <c r="L5509" s="7"/>
      <c r="N5509" s="7"/>
      <c r="P5509" s="7"/>
      <c r="R5509" s="7"/>
      <c r="T5509" s="7"/>
      <c r="V5509" s="7"/>
      <c r="X5509" s="7"/>
    </row>
    <row r="5510" spans="2:24">
      <c r="B5510" s="7"/>
      <c r="D5510" s="7"/>
      <c r="F5510" s="7"/>
      <c r="H5510" s="7"/>
      <c r="J5510" s="7"/>
      <c r="L5510" s="7"/>
      <c r="N5510" s="7"/>
      <c r="P5510" s="7"/>
      <c r="R5510" s="7"/>
      <c r="T5510" s="7"/>
      <c r="V5510" s="7"/>
      <c r="X5510" s="7"/>
    </row>
    <row r="5511" spans="2:24">
      <c r="B5511" s="7"/>
      <c r="D5511" s="7"/>
      <c r="F5511" s="7"/>
      <c r="H5511" s="7"/>
      <c r="J5511" s="7"/>
      <c r="L5511" s="7"/>
      <c r="N5511" s="7"/>
      <c r="P5511" s="7"/>
      <c r="R5511" s="7"/>
      <c r="T5511" s="7"/>
      <c r="V5511" s="7"/>
      <c r="X5511" s="7"/>
    </row>
    <row r="5512" spans="2:24">
      <c r="B5512" s="7"/>
      <c r="D5512" s="7"/>
      <c r="F5512" s="7"/>
      <c r="H5512" s="7"/>
      <c r="J5512" s="7"/>
      <c r="L5512" s="7"/>
      <c r="N5512" s="7"/>
      <c r="P5512" s="7"/>
      <c r="R5512" s="7"/>
      <c r="T5512" s="7"/>
      <c r="V5512" s="7"/>
      <c r="X5512" s="7"/>
    </row>
    <row r="5513" spans="2:24">
      <c r="B5513" s="7"/>
      <c r="D5513" s="7"/>
      <c r="F5513" s="7"/>
      <c r="H5513" s="7"/>
      <c r="J5513" s="7"/>
      <c r="L5513" s="7"/>
      <c r="N5513" s="7"/>
      <c r="P5513" s="7"/>
      <c r="R5513" s="7"/>
      <c r="T5513" s="7"/>
      <c r="V5513" s="7"/>
      <c r="X5513" s="7"/>
    </row>
    <row r="5514" spans="2:24">
      <c r="B5514" s="7"/>
      <c r="D5514" s="7"/>
      <c r="F5514" s="7"/>
      <c r="H5514" s="7"/>
      <c r="J5514" s="7"/>
      <c r="L5514" s="7"/>
      <c r="N5514" s="7"/>
      <c r="P5514" s="7"/>
      <c r="R5514" s="7"/>
      <c r="T5514" s="7"/>
      <c r="V5514" s="7"/>
      <c r="X5514" s="7"/>
    </row>
    <row r="5515" spans="2:24">
      <c r="B5515" s="7"/>
      <c r="D5515" s="7"/>
      <c r="F5515" s="7"/>
      <c r="H5515" s="7"/>
      <c r="J5515" s="7"/>
      <c r="L5515" s="7"/>
      <c r="N5515" s="7"/>
      <c r="P5515" s="7"/>
      <c r="R5515" s="7"/>
      <c r="T5515" s="7"/>
      <c r="V5515" s="7"/>
      <c r="X5515" s="7"/>
    </row>
    <row r="5516" spans="2:24">
      <c r="B5516" s="7"/>
      <c r="D5516" s="7"/>
      <c r="F5516" s="7"/>
      <c r="H5516" s="7"/>
      <c r="J5516" s="7"/>
      <c r="L5516" s="7"/>
      <c r="N5516" s="7"/>
      <c r="P5516" s="7"/>
      <c r="R5516" s="7"/>
      <c r="T5516" s="7"/>
      <c r="V5516" s="7"/>
      <c r="X5516" s="7"/>
    </row>
    <row r="5517" spans="2:24">
      <c r="B5517" s="7"/>
      <c r="D5517" s="7"/>
      <c r="F5517" s="7"/>
      <c r="H5517" s="7"/>
      <c r="J5517" s="7"/>
      <c r="L5517" s="7"/>
      <c r="N5517" s="7"/>
      <c r="P5517" s="7"/>
      <c r="R5517" s="7"/>
      <c r="T5517" s="7"/>
      <c r="V5517" s="7"/>
      <c r="X5517" s="7"/>
    </row>
    <row r="5518" spans="2:24">
      <c r="B5518" s="7"/>
      <c r="D5518" s="7"/>
      <c r="F5518" s="7"/>
      <c r="H5518" s="7"/>
      <c r="J5518" s="7"/>
      <c r="L5518" s="7"/>
      <c r="N5518" s="7"/>
      <c r="P5518" s="7"/>
      <c r="R5518" s="7"/>
      <c r="T5518" s="7"/>
      <c r="V5518" s="7"/>
      <c r="X5518" s="7"/>
    </row>
    <row r="5519" spans="2:24">
      <c r="B5519" s="7"/>
      <c r="D5519" s="7"/>
      <c r="F5519" s="7"/>
      <c r="H5519" s="7"/>
      <c r="J5519" s="7"/>
      <c r="L5519" s="7"/>
      <c r="N5519" s="7"/>
      <c r="P5519" s="7"/>
      <c r="R5519" s="7"/>
      <c r="T5519" s="7"/>
      <c r="V5519" s="7"/>
      <c r="X5519" s="7"/>
    </row>
    <row r="5520" spans="2:24">
      <c r="B5520" s="7"/>
      <c r="D5520" s="7"/>
      <c r="F5520" s="7"/>
      <c r="H5520" s="7"/>
      <c r="J5520" s="7"/>
      <c r="L5520" s="7"/>
      <c r="N5520" s="7"/>
      <c r="P5520" s="7"/>
      <c r="R5520" s="7"/>
      <c r="T5520" s="7"/>
      <c r="V5520" s="7"/>
      <c r="X5520" s="7"/>
    </row>
    <row r="5521" spans="2:24">
      <c r="B5521" s="7"/>
      <c r="D5521" s="7"/>
      <c r="F5521" s="7"/>
      <c r="H5521" s="7"/>
      <c r="J5521" s="7"/>
      <c r="L5521" s="7"/>
      <c r="N5521" s="7"/>
      <c r="P5521" s="7"/>
      <c r="R5521" s="7"/>
      <c r="T5521" s="7"/>
      <c r="V5521" s="7"/>
      <c r="X5521" s="7"/>
    </row>
    <row r="5522" spans="2:24">
      <c r="B5522" s="7"/>
      <c r="D5522" s="7"/>
      <c r="F5522" s="7"/>
      <c r="H5522" s="7"/>
      <c r="J5522" s="7"/>
      <c r="L5522" s="7"/>
      <c r="N5522" s="7"/>
      <c r="P5522" s="7"/>
      <c r="R5522" s="7"/>
      <c r="T5522" s="7"/>
      <c r="V5522" s="7"/>
      <c r="X5522" s="7"/>
    </row>
    <row r="5523" spans="2:24">
      <c r="B5523" s="7"/>
      <c r="D5523" s="7"/>
      <c r="F5523" s="7"/>
      <c r="H5523" s="7"/>
      <c r="J5523" s="7"/>
      <c r="L5523" s="7"/>
      <c r="N5523" s="7"/>
      <c r="P5523" s="7"/>
      <c r="R5523" s="7"/>
      <c r="T5523" s="7"/>
      <c r="V5523" s="7"/>
      <c r="X5523" s="7"/>
    </row>
    <row r="5524" spans="2:24">
      <c r="B5524" s="7"/>
      <c r="D5524" s="7"/>
      <c r="F5524" s="7"/>
      <c r="H5524" s="7"/>
      <c r="J5524" s="7"/>
      <c r="L5524" s="7"/>
      <c r="N5524" s="7"/>
      <c r="P5524" s="7"/>
      <c r="R5524" s="7"/>
      <c r="T5524" s="7"/>
      <c r="V5524" s="7"/>
      <c r="X5524" s="7"/>
    </row>
    <row r="5525" spans="2:24">
      <c r="B5525" s="7"/>
      <c r="D5525" s="7"/>
      <c r="F5525" s="7"/>
      <c r="H5525" s="7"/>
      <c r="J5525" s="7"/>
      <c r="L5525" s="7"/>
      <c r="N5525" s="7"/>
      <c r="P5525" s="7"/>
      <c r="R5525" s="7"/>
      <c r="T5525" s="7"/>
      <c r="V5525" s="7"/>
      <c r="X5525" s="7"/>
    </row>
    <row r="5526" spans="2:24">
      <c r="B5526" s="7"/>
      <c r="D5526" s="7"/>
      <c r="F5526" s="7"/>
      <c r="H5526" s="7"/>
      <c r="J5526" s="7"/>
      <c r="L5526" s="7"/>
      <c r="N5526" s="7"/>
      <c r="P5526" s="7"/>
      <c r="R5526" s="7"/>
      <c r="T5526" s="7"/>
      <c r="V5526" s="7"/>
      <c r="X5526" s="7"/>
    </row>
    <row r="5527" spans="2:24">
      <c r="B5527" s="7"/>
      <c r="D5527" s="7"/>
      <c r="F5527" s="7"/>
      <c r="H5527" s="7"/>
      <c r="J5527" s="7"/>
      <c r="L5527" s="7"/>
      <c r="N5527" s="7"/>
      <c r="P5527" s="7"/>
      <c r="R5527" s="7"/>
      <c r="T5527" s="7"/>
      <c r="V5527" s="7"/>
      <c r="X5527" s="7"/>
    </row>
    <row r="5528" spans="2:24">
      <c r="B5528" s="7"/>
      <c r="D5528" s="7"/>
      <c r="F5528" s="7"/>
      <c r="H5528" s="7"/>
      <c r="J5528" s="7"/>
      <c r="L5528" s="7"/>
      <c r="N5528" s="7"/>
      <c r="P5528" s="7"/>
      <c r="R5528" s="7"/>
      <c r="T5528" s="7"/>
      <c r="V5528" s="7"/>
      <c r="X5528" s="7"/>
    </row>
    <row r="5529" spans="2:24">
      <c r="B5529" s="7"/>
      <c r="D5529" s="7"/>
      <c r="F5529" s="7"/>
      <c r="H5529" s="7"/>
      <c r="J5529" s="7"/>
      <c r="L5529" s="7"/>
      <c r="N5529" s="7"/>
      <c r="P5529" s="7"/>
      <c r="R5529" s="7"/>
      <c r="T5529" s="7"/>
      <c r="V5529" s="7"/>
      <c r="X5529" s="7"/>
    </row>
    <row r="5530" spans="2:24">
      <c r="B5530" s="7"/>
      <c r="D5530" s="7"/>
      <c r="F5530" s="7"/>
      <c r="H5530" s="7"/>
      <c r="J5530" s="7"/>
      <c r="L5530" s="7"/>
      <c r="N5530" s="7"/>
      <c r="P5530" s="7"/>
      <c r="R5530" s="7"/>
      <c r="T5530" s="7"/>
      <c r="V5530" s="7"/>
      <c r="X5530" s="7"/>
    </row>
    <row r="5531" spans="2:24">
      <c r="B5531" s="7"/>
      <c r="D5531" s="7"/>
      <c r="F5531" s="7"/>
      <c r="H5531" s="7"/>
      <c r="J5531" s="7"/>
      <c r="L5531" s="7"/>
      <c r="N5531" s="7"/>
      <c r="P5531" s="7"/>
      <c r="R5531" s="7"/>
      <c r="T5531" s="7"/>
      <c r="V5531" s="7"/>
      <c r="X5531" s="7"/>
    </row>
    <row r="5532" spans="2:24">
      <c r="B5532" s="7"/>
      <c r="D5532" s="7"/>
      <c r="F5532" s="7"/>
      <c r="H5532" s="7"/>
      <c r="J5532" s="7"/>
      <c r="L5532" s="7"/>
      <c r="N5532" s="7"/>
      <c r="P5532" s="7"/>
      <c r="R5532" s="7"/>
      <c r="T5532" s="7"/>
      <c r="V5532" s="7"/>
      <c r="X5532" s="7"/>
    </row>
    <row r="5533" spans="2:24">
      <c r="B5533" s="7"/>
      <c r="D5533" s="7"/>
      <c r="F5533" s="7"/>
      <c r="H5533" s="7"/>
      <c r="J5533" s="7"/>
      <c r="L5533" s="7"/>
      <c r="N5533" s="7"/>
      <c r="P5533" s="7"/>
      <c r="R5533" s="7"/>
      <c r="T5533" s="7"/>
      <c r="V5533" s="7"/>
      <c r="X5533" s="7"/>
    </row>
    <row r="5534" spans="2:24">
      <c r="B5534" s="7"/>
      <c r="D5534" s="7"/>
      <c r="F5534" s="7"/>
      <c r="H5534" s="7"/>
      <c r="J5534" s="7"/>
      <c r="L5534" s="7"/>
      <c r="N5534" s="7"/>
      <c r="P5534" s="7"/>
      <c r="R5534" s="7"/>
      <c r="T5534" s="7"/>
      <c r="V5534" s="7"/>
      <c r="X5534" s="7"/>
    </row>
    <row r="5535" spans="2:24">
      <c r="B5535" s="7"/>
      <c r="D5535" s="7"/>
      <c r="F5535" s="7"/>
      <c r="H5535" s="7"/>
      <c r="J5535" s="7"/>
      <c r="L5535" s="7"/>
      <c r="N5535" s="7"/>
      <c r="P5535" s="7"/>
      <c r="R5535" s="7"/>
      <c r="T5535" s="7"/>
      <c r="V5535" s="7"/>
      <c r="X5535" s="7"/>
    </row>
    <row r="5536" spans="2:24">
      <c r="B5536" s="7"/>
      <c r="D5536" s="7"/>
      <c r="F5536" s="7"/>
      <c r="H5536" s="7"/>
      <c r="J5536" s="7"/>
      <c r="L5536" s="7"/>
      <c r="N5536" s="7"/>
      <c r="P5536" s="7"/>
      <c r="R5536" s="7"/>
      <c r="T5536" s="7"/>
      <c r="V5536" s="7"/>
      <c r="X5536" s="7"/>
    </row>
    <row r="5537" spans="2:24">
      <c r="B5537" s="7"/>
      <c r="D5537" s="7"/>
      <c r="F5537" s="7"/>
      <c r="H5537" s="7"/>
      <c r="J5537" s="7"/>
      <c r="L5537" s="7"/>
      <c r="N5537" s="7"/>
      <c r="P5537" s="7"/>
      <c r="R5537" s="7"/>
      <c r="T5537" s="7"/>
      <c r="V5537" s="7"/>
      <c r="X5537" s="7"/>
    </row>
    <row r="5538" spans="2:24">
      <c r="B5538" s="7"/>
      <c r="D5538" s="7"/>
      <c r="F5538" s="7"/>
      <c r="H5538" s="7"/>
      <c r="J5538" s="7"/>
      <c r="L5538" s="7"/>
      <c r="N5538" s="7"/>
      <c r="P5538" s="7"/>
      <c r="R5538" s="7"/>
      <c r="T5538" s="7"/>
      <c r="V5538" s="7"/>
      <c r="X5538" s="7"/>
    </row>
    <row r="5539" spans="2:24">
      <c r="B5539" s="7"/>
      <c r="D5539" s="7"/>
      <c r="F5539" s="7"/>
      <c r="H5539" s="7"/>
      <c r="J5539" s="7"/>
      <c r="L5539" s="7"/>
      <c r="N5539" s="7"/>
      <c r="P5539" s="7"/>
      <c r="R5539" s="7"/>
      <c r="T5539" s="7"/>
      <c r="V5539" s="7"/>
      <c r="X5539" s="7"/>
    </row>
    <row r="5540" spans="2:24">
      <c r="B5540" s="7"/>
      <c r="D5540" s="7"/>
      <c r="F5540" s="7"/>
      <c r="H5540" s="7"/>
      <c r="J5540" s="7"/>
      <c r="L5540" s="7"/>
      <c r="N5540" s="7"/>
      <c r="P5540" s="7"/>
      <c r="R5540" s="7"/>
      <c r="T5540" s="7"/>
      <c r="V5540" s="7"/>
      <c r="X5540" s="7"/>
    </row>
    <row r="5541" spans="2:24">
      <c r="B5541" s="7"/>
      <c r="D5541" s="7"/>
      <c r="F5541" s="7"/>
      <c r="H5541" s="7"/>
      <c r="J5541" s="7"/>
      <c r="L5541" s="7"/>
      <c r="N5541" s="7"/>
      <c r="P5541" s="7"/>
      <c r="R5541" s="7"/>
      <c r="T5541" s="7"/>
      <c r="V5541" s="7"/>
      <c r="X5541" s="7"/>
    </row>
    <row r="5542" spans="2:24">
      <c r="B5542" s="7"/>
      <c r="D5542" s="7"/>
      <c r="F5542" s="7"/>
      <c r="H5542" s="7"/>
      <c r="J5542" s="7"/>
      <c r="L5542" s="7"/>
      <c r="N5542" s="7"/>
      <c r="P5542" s="7"/>
      <c r="R5542" s="7"/>
      <c r="T5542" s="7"/>
      <c r="V5542" s="7"/>
      <c r="X5542" s="7"/>
    </row>
    <row r="5543" spans="2:24">
      <c r="B5543" s="7"/>
      <c r="D5543" s="7"/>
      <c r="F5543" s="7"/>
      <c r="H5543" s="7"/>
      <c r="J5543" s="7"/>
      <c r="L5543" s="7"/>
      <c r="N5543" s="7"/>
      <c r="P5543" s="7"/>
      <c r="R5543" s="7"/>
      <c r="T5543" s="7"/>
      <c r="V5543" s="7"/>
      <c r="X5543" s="7"/>
    </row>
    <row r="5544" spans="2:24">
      <c r="B5544" s="7"/>
      <c r="D5544" s="7"/>
      <c r="F5544" s="7"/>
      <c r="H5544" s="7"/>
      <c r="J5544" s="7"/>
      <c r="L5544" s="7"/>
      <c r="N5544" s="7"/>
      <c r="P5544" s="7"/>
      <c r="R5544" s="7"/>
      <c r="T5544" s="7"/>
      <c r="V5544" s="7"/>
      <c r="X5544" s="7"/>
    </row>
    <row r="5545" spans="2:24">
      <c r="B5545" s="7"/>
      <c r="D5545" s="7"/>
      <c r="F5545" s="7"/>
      <c r="H5545" s="7"/>
      <c r="J5545" s="7"/>
      <c r="L5545" s="7"/>
      <c r="N5545" s="7"/>
      <c r="P5545" s="7"/>
      <c r="R5545" s="7"/>
      <c r="T5545" s="7"/>
      <c r="V5545" s="7"/>
      <c r="X5545" s="7"/>
    </row>
    <row r="5546" spans="2:24">
      <c r="B5546" s="7"/>
      <c r="D5546" s="7"/>
      <c r="F5546" s="7"/>
      <c r="H5546" s="7"/>
      <c r="J5546" s="7"/>
      <c r="L5546" s="7"/>
      <c r="N5546" s="7"/>
      <c r="P5546" s="7"/>
      <c r="R5546" s="7"/>
      <c r="T5546" s="7"/>
      <c r="V5546" s="7"/>
      <c r="X5546" s="7"/>
    </row>
    <row r="5547" spans="2:24">
      <c r="B5547" s="7"/>
      <c r="D5547" s="7"/>
      <c r="F5547" s="7"/>
      <c r="H5547" s="7"/>
      <c r="J5547" s="7"/>
      <c r="L5547" s="7"/>
      <c r="N5547" s="7"/>
      <c r="P5547" s="7"/>
      <c r="R5547" s="7"/>
      <c r="T5547" s="7"/>
      <c r="V5547" s="7"/>
      <c r="X5547" s="7"/>
    </row>
    <row r="5548" spans="2:24">
      <c r="B5548" s="7"/>
      <c r="D5548" s="7"/>
      <c r="F5548" s="7"/>
      <c r="H5548" s="7"/>
      <c r="J5548" s="7"/>
      <c r="L5548" s="7"/>
      <c r="N5548" s="7"/>
      <c r="P5548" s="7"/>
      <c r="R5548" s="7"/>
      <c r="T5548" s="7"/>
      <c r="V5548" s="7"/>
      <c r="X5548" s="7"/>
    </row>
    <row r="5549" spans="2:24">
      <c r="B5549" s="7"/>
      <c r="D5549" s="7"/>
      <c r="F5549" s="7"/>
      <c r="H5549" s="7"/>
      <c r="J5549" s="7"/>
      <c r="L5549" s="7"/>
      <c r="N5549" s="7"/>
      <c r="P5549" s="7"/>
      <c r="R5549" s="7"/>
      <c r="T5549" s="7"/>
      <c r="V5549" s="7"/>
      <c r="X5549" s="7"/>
    </row>
    <row r="5550" spans="2:24">
      <c r="B5550" s="7"/>
      <c r="D5550" s="7"/>
      <c r="F5550" s="7"/>
      <c r="H5550" s="7"/>
      <c r="J5550" s="7"/>
      <c r="L5550" s="7"/>
      <c r="N5550" s="7"/>
      <c r="P5550" s="7"/>
      <c r="R5550" s="7"/>
      <c r="T5550" s="7"/>
      <c r="V5550" s="7"/>
      <c r="X5550" s="7"/>
    </row>
    <row r="5551" spans="2:24">
      <c r="B5551" s="7"/>
      <c r="D5551" s="7"/>
      <c r="F5551" s="7"/>
      <c r="H5551" s="7"/>
      <c r="J5551" s="7"/>
      <c r="L5551" s="7"/>
      <c r="N5551" s="7"/>
      <c r="P5551" s="7"/>
      <c r="R5551" s="7"/>
      <c r="T5551" s="7"/>
      <c r="V5551" s="7"/>
      <c r="X5551" s="7"/>
    </row>
    <row r="5552" spans="2:24">
      <c r="B5552" s="7"/>
      <c r="D5552" s="7"/>
      <c r="F5552" s="7"/>
      <c r="H5552" s="7"/>
      <c r="J5552" s="7"/>
      <c r="L5552" s="7"/>
      <c r="N5552" s="7"/>
      <c r="P5552" s="7"/>
      <c r="R5552" s="7"/>
      <c r="T5552" s="7"/>
      <c r="V5552" s="7"/>
      <c r="X5552" s="7"/>
    </row>
    <row r="5553" spans="2:24">
      <c r="B5553" s="7"/>
      <c r="D5553" s="7"/>
      <c r="F5553" s="7"/>
      <c r="H5553" s="7"/>
      <c r="J5553" s="7"/>
      <c r="L5553" s="7"/>
      <c r="N5553" s="7"/>
      <c r="P5553" s="7"/>
      <c r="R5553" s="7"/>
      <c r="T5553" s="7"/>
      <c r="V5553" s="7"/>
      <c r="X5553" s="7"/>
    </row>
    <row r="5554" spans="2:24">
      <c r="B5554" s="7"/>
      <c r="D5554" s="7"/>
      <c r="F5554" s="7"/>
      <c r="H5554" s="7"/>
      <c r="J5554" s="7"/>
      <c r="L5554" s="7"/>
      <c r="N5554" s="7"/>
      <c r="P5554" s="7"/>
      <c r="R5554" s="7"/>
      <c r="T5554" s="7"/>
      <c r="V5554" s="7"/>
      <c r="X5554" s="7"/>
    </row>
    <row r="5555" spans="2:24">
      <c r="B5555" s="7"/>
      <c r="D5555" s="7"/>
      <c r="F5555" s="7"/>
      <c r="H5555" s="7"/>
      <c r="J5555" s="7"/>
      <c r="L5555" s="7"/>
      <c r="N5555" s="7"/>
      <c r="P5555" s="7"/>
      <c r="R5555" s="7"/>
      <c r="T5555" s="7"/>
      <c r="V5555" s="7"/>
      <c r="X5555" s="7"/>
    </row>
    <row r="5556" spans="2:24">
      <c r="B5556" s="7"/>
      <c r="D5556" s="7"/>
      <c r="F5556" s="7"/>
      <c r="H5556" s="7"/>
      <c r="J5556" s="7"/>
      <c r="L5556" s="7"/>
      <c r="N5556" s="7"/>
      <c r="P5556" s="7"/>
      <c r="R5556" s="7"/>
      <c r="T5556" s="7"/>
      <c r="V5556" s="7"/>
      <c r="X5556" s="7"/>
    </row>
    <row r="5557" spans="2:24">
      <c r="B5557" s="7"/>
      <c r="D5557" s="7"/>
      <c r="F5557" s="7"/>
      <c r="H5557" s="7"/>
      <c r="J5557" s="7"/>
      <c r="L5557" s="7"/>
      <c r="N5557" s="7"/>
      <c r="P5557" s="7"/>
      <c r="R5557" s="7"/>
      <c r="T5557" s="7"/>
      <c r="V5557" s="7"/>
      <c r="X5557" s="7"/>
    </row>
    <row r="5558" spans="2:24">
      <c r="B5558" s="7"/>
      <c r="D5558" s="7"/>
      <c r="F5558" s="7"/>
      <c r="H5558" s="7"/>
      <c r="J5558" s="7"/>
      <c r="L5558" s="7"/>
      <c r="N5558" s="7"/>
      <c r="P5558" s="7"/>
      <c r="R5558" s="7"/>
      <c r="T5558" s="7"/>
      <c r="V5558" s="7"/>
      <c r="X5558" s="7"/>
    </row>
    <row r="5559" spans="2:24">
      <c r="B5559" s="7"/>
      <c r="D5559" s="7"/>
      <c r="F5559" s="7"/>
      <c r="H5559" s="7"/>
      <c r="J5559" s="7"/>
      <c r="L5559" s="7"/>
      <c r="N5559" s="7"/>
      <c r="P5559" s="7"/>
      <c r="R5559" s="7"/>
      <c r="T5559" s="7"/>
      <c r="V5559" s="7"/>
      <c r="X5559" s="7"/>
    </row>
    <row r="5560" spans="2:24">
      <c r="B5560" s="7"/>
      <c r="D5560" s="7"/>
      <c r="F5560" s="7"/>
      <c r="H5560" s="7"/>
      <c r="J5560" s="7"/>
      <c r="L5560" s="7"/>
      <c r="N5560" s="7"/>
      <c r="P5560" s="7"/>
      <c r="R5560" s="7"/>
      <c r="T5560" s="7"/>
      <c r="V5560" s="7"/>
      <c r="X5560" s="7"/>
    </row>
    <row r="5561" spans="2:24">
      <c r="B5561" s="7"/>
      <c r="D5561" s="7"/>
      <c r="F5561" s="7"/>
      <c r="H5561" s="7"/>
      <c r="J5561" s="7"/>
      <c r="L5561" s="7"/>
      <c r="N5561" s="7"/>
      <c r="P5561" s="7"/>
      <c r="R5561" s="7"/>
      <c r="T5561" s="7"/>
      <c r="V5561" s="7"/>
      <c r="X5561" s="7"/>
    </row>
    <row r="5562" spans="2:24">
      <c r="B5562" s="7"/>
      <c r="D5562" s="7"/>
      <c r="F5562" s="7"/>
      <c r="H5562" s="7"/>
      <c r="J5562" s="7"/>
      <c r="L5562" s="7"/>
      <c r="N5562" s="7"/>
      <c r="P5562" s="7"/>
      <c r="R5562" s="7"/>
      <c r="T5562" s="7"/>
      <c r="V5562" s="7"/>
      <c r="X5562" s="7"/>
    </row>
    <row r="5563" spans="2:24">
      <c r="B5563" s="7"/>
      <c r="D5563" s="7"/>
      <c r="F5563" s="7"/>
      <c r="H5563" s="7"/>
      <c r="J5563" s="7"/>
      <c r="L5563" s="7"/>
      <c r="N5563" s="7"/>
      <c r="P5563" s="7"/>
      <c r="R5563" s="7"/>
      <c r="T5563" s="7"/>
      <c r="V5563" s="7"/>
      <c r="X5563" s="7"/>
    </row>
    <row r="5564" spans="2:24">
      <c r="B5564" s="7"/>
      <c r="D5564" s="7"/>
      <c r="F5564" s="7"/>
      <c r="H5564" s="7"/>
      <c r="J5564" s="7"/>
      <c r="L5564" s="7"/>
      <c r="N5564" s="7"/>
      <c r="P5564" s="7"/>
      <c r="R5564" s="7"/>
      <c r="T5564" s="7"/>
      <c r="V5564" s="7"/>
      <c r="X5564" s="7"/>
    </row>
    <row r="5565" spans="2:24">
      <c r="B5565" s="7"/>
      <c r="D5565" s="7"/>
      <c r="F5565" s="7"/>
      <c r="H5565" s="7"/>
      <c r="J5565" s="7"/>
      <c r="L5565" s="7"/>
      <c r="N5565" s="7"/>
      <c r="P5565" s="7"/>
      <c r="R5565" s="7"/>
      <c r="T5565" s="7"/>
      <c r="V5565" s="7"/>
      <c r="X5565" s="7"/>
    </row>
    <row r="5566" spans="2:24">
      <c r="B5566" s="7"/>
      <c r="D5566" s="7"/>
      <c r="F5566" s="7"/>
      <c r="H5566" s="7"/>
      <c r="J5566" s="7"/>
      <c r="L5566" s="7"/>
      <c r="N5566" s="7"/>
      <c r="P5566" s="7"/>
      <c r="R5566" s="7"/>
      <c r="T5566" s="7"/>
      <c r="V5566" s="7"/>
      <c r="X5566" s="7"/>
    </row>
    <row r="5567" spans="2:24">
      <c r="B5567" s="7"/>
      <c r="D5567" s="7"/>
      <c r="F5567" s="7"/>
      <c r="H5567" s="7"/>
      <c r="J5567" s="7"/>
      <c r="L5567" s="7"/>
      <c r="N5567" s="7"/>
      <c r="P5567" s="7"/>
      <c r="R5567" s="7"/>
      <c r="T5567" s="7"/>
      <c r="V5567" s="7"/>
      <c r="X5567" s="7"/>
    </row>
    <row r="5568" spans="2:24">
      <c r="B5568" s="7"/>
      <c r="D5568" s="7"/>
      <c r="F5568" s="7"/>
      <c r="H5568" s="7"/>
      <c r="J5568" s="7"/>
      <c r="L5568" s="7"/>
      <c r="N5568" s="7"/>
      <c r="P5568" s="7"/>
      <c r="R5568" s="7"/>
      <c r="T5568" s="7"/>
      <c r="V5568" s="7"/>
      <c r="X5568" s="7"/>
    </row>
    <row r="5569" spans="2:24">
      <c r="B5569" s="7"/>
      <c r="D5569" s="7"/>
      <c r="F5569" s="7"/>
      <c r="H5569" s="7"/>
      <c r="J5569" s="7"/>
      <c r="L5569" s="7"/>
      <c r="N5569" s="7"/>
      <c r="P5569" s="7"/>
      <c r="R5569" s="7"/>
      <c r="T5569" s="7"/>
      <c r="V5569" s="7"/>
      <c r="X5569" s="7"/>
    </row>
    <row r="5570" spans="2:24">
      <c r="B5570" s="7"/>
      <c r="D5570" s="7"/>
      <c r="F5570" s="7"/>
      <c r="H5570" s="7"/>
      <c r="J5570" s="7"/>
      <c r="L5570" s="7"/>
      <c r="N5570" s="7"/>
      <c r="P5570" s="7"/>
      <c r="R5570" s="7"/>
      <c r="T5570" s="7"/>
      <c r="V5570" s="7"/>
      <c r="X5570" s="7"/>
    </row>
    <row r="5571" spans="2:24">
      <c r="B5571" s="7"/>
      <c r="D5571" s="7"/>
      <c r="F5571" s="7"/>
      <c r="H5571" s="7"/>
      <c r="J5571" s="7"/>
      <c r="L5571" s="7"/>
      <c r="N5571" s="7"/>
      <c r="P5571" s="7"/>
      <c r="R5571" s="7"/>
      <c r="T5571" s="7"/>
      <c r="V5571" s="7"/>
      <c r="X5571" s="7"/>
    </row>
    <row r="5572" spans="2:24">
      <c r="B5572" s="7"/>
      <c r="D5572" s="7"/>
      <c r="F5572" s="7"/>
      <c r="H5572" s="7"/>
      <c r="J5572" s="7"/>
      <c r="L5572" s="7"/>
      <c r="N5572" s="7"/>
      <c r="P5572" s="7"/>
      <c r="R5572" s="7"/>
      <c r="T5572" s="7"/>
      <c r="V5572" s="7"/>
      <c r="X5572" s="7"/>
    </row>
    <row r="5573" spans="2:24">
      <c r="B5573" s="7"/>
      <c r="D5573" s="7"/>
      <c r="F5573" s="7"/>
      <c r="H5573" s="7"/>
      <c r="J5573" s="7"/>
      <c r="L5573" s="7"/>
      <c r="N5573" s="7"/>
      <c r="P5573" s="7"/>
      <c r="R5573" s="7"/>
      <c r="T5573" s="7"/>
      <c r="V5573" s="7"/>
      <c r="X5573" s="7"/>
    </row>
    <row r="5574" spans="2:24">
      <c r="B5574" s="7"/>
      <c r="D5574" s="7"/>
      <c r="F5574" s="7"/>
      <c r="H5574" s="7"/>
      <c r="J5574" s="7"/>
      <c r="L5574" s="7"/>
      <c r="N5574" s="7"/>
      <c r="P5574" s="7"/>
      <c r="R5574" s="7"/>
      <c r="T5574" s="7"/>
      <c r="V5574" s="7"/>
      <c r="X5574" s="7"/>
    </row>
    <row r="5575" spans="2:24">
      <c r="B5575" s="7"/>
      <c r="D5575" s="7"/>
      <c r="F5575" s="7"/>
      <c r="H5575" s="7"/>
      <c r="J5575" s="7"/>
      <c r="L5575" s="7"/>
      <c r="N5575" s="7"/>
      <c r="P5575" s="7"/>
      <c r="R5575" s="7"/>
      <c r="T5575" s="7"/>
      <c r="V5575" s="7"/>
      <c r="X5575" s="7"/>
    </row>
    <row r="5576" spans="2:24">
      <c r="B5576" s="7"/>
      <c r="D5576" s="7"/>
      <c r="F5576" s="7"/>
      <c r="H5576" s="7"/>
      <c r="J5576" s="7"/>
      <c r="L5576" s="7"/>
      <c r="N5576" s="7"/>
      <c r="P5576" s="7"/>
      <c r="R5576" s="7"/>
      <c r="T5576" s="7"/>
      <c r="V5576" s="7"/>
      <c r="X5576" s="7"/>
    </row>
    <row r="5577" spans="2:24">
      <c r="B5577" s="7"/>
      <c r="D5577" s="7"/>
      <c r="F5577" s="7"/>
      <c r="H5577" s="7"/>
      <c r="J5577" s="7"/>
      <c r="L5577" s="7"/>
      <c r="N5577" s="7"/>
      <c r="P5577" s="7"/>
      <c r="R5577" s="7"/>
      <c r="T5577" s="7"/>
      <c r="V5577" s="7"/>
      <c r="X5577" s="7"/>
    </row>
    <row r="5578" spans="2:24">
      <c r="B5578" s="7"/>
      <c r="D5578" s="7"/>
      <c r="F5578" s="7"/>
      <c r="H5578" s="7"/>
      <c r="J5578" s="7"/>
      <c r="L5578" s="7"/>
      <c r="N5578" s="7"/>
      <c r="P5578" s="7"/>
      <c r="R5578" s="7"/>
      <c r="T5578" s="7"/>
      <c r="V5578" s="7"/>
      <c r="X5578" s="7"/>
    </row>
    <row r="5579" spans="2:24">
      <c r="B5579" s="7"/>
      <c r="D5579" s="7"/>
      <c r="F5579" s="7"/>
      <c r="H5579" s="7"/>
      <c r="J5579" s="7"/>
      <c r="L5579" s="7"/>
      <c r="N5579" s="7"/>
      <c r="P5579" s="7"/>
      <c r="R5579" s="7"/>
      <c r="T5579" s="7"/>
      <c r="V5579" s="7"/>
      <c r="X5579" s="7"/>
    </row>
    <row r="5580" spans="2:24">
      <c r="B5580" s="7"/>
      <c r="D5580" s="7"/>
      <c r="F5580" s="7"/>
      <c r="H5580" s="7"/>
      <c r="J5580" s="7"/>
      <c r="L5580" s="7"/>
      <c r="N5580" s="7"/>
      <c r="P5580" s="7"/>
      <c r="R5580" s="7"/>
      <c r="T5580" s="7"/>
      <c r="V5580" s="7"/>
      <c r="X5580" s="7"/>
    </row>
    <row r="5581" spans="2:24">
      <c r="B5581" s="7"/>
      <c r="D5581" s="7"/>
      <c r="F5581" s="7"/>
      <c r="H5581" s="7"/>
      <c r="J5581" s="7"/>
      <c r="L5581" s="7"/>
      <c r="N5581" s="7"/>
      <c r="P5581" s="7"/>
      <c r="R5581" s="7"/>
      <c r="T5581" s="7"/>
      <c r="V5581" s="7"/>
      <c r="X5581" s="7"/>
    </row>
    <row r="5582" spans="2:24">
      <c r="B5582" s="7"/>
      <c r="D5582" s="7"/>
      <c r="F5582" s="7"/>
      <c r="H5582" s="7"/>
      <c r="J5582" s="7"/>
      <c r="L5582" s="7"/>
      <c r="N5582" s="7"/>
      <c r="P5582" s="7"/>
      <c r="R5582" s="7"/>
      <c r="T5582" s="7"/>
      <c r="V5582" s="7"/>
      <c r="X5582" s="7"/>
    </row>
    <row r="5583" spans="2:24">
      <c r="B5583" s="7"/>
      <c r="D5583" s="7"/>
      <c r="F5583" s="7"/>
      <c r="H5583" s="7"/>
      <c r="J5583" s="7"/>
      <c r="L5583" s="7"/>
      <c r="N5583" s="7"/>
      <c r="P5583" s="7"/>
      <c r="R5583" s="7"/>
      <c r="T5583" s="7"/>
      <c r="V5583" s="7"/>
      <c r="X5583" s="7"/>
    </row>
    <row r="5584" spans="2:24">
      <c r="B5584" s="7"/>
      <c r="D5584" s="7"/>
      <c r="F5584" s="7"/>
      <c r="H5584" s="7"/>
      <c r="J5584" s="7"/>
      <c r="L5584" s="7"/>
      <c r="N5584" s="7"/>
      <c r="P5584" s="7"/>
      <c r="R5584" s="7"/>
      <c r="T5584" s="7"/>
      <c r="V5584" s="7"/>
      <c r="X5584" s="7"/>
    </row>
    <row r="5585" spans="2:24">
      <c r="B5585" s="7"/>
      <c r="D5585" s="7"/>
      <c r="F5585" s="7"/>
      <c r="H5585" s="7"/>
      <c r="J5585" s="7"/>
      <c r="L5585" s="7"/>
      <c r="N5585" s="7"/>
      <c r="P5585" s="7"/>
      <c r="R5585" s="7"/>
      <c r="T5585" s="7"/>
      <c r="V5585" s="7"/>
      <c r="X5585" s="7"/>
    </row>
    <row r="5586" spans="2:24">
      <c r="B5586" s="7"/>
      <c r="D5586" s="7"/>
      <c r="F5586" s="7"/>
      <c r="H5586" s="7"/>
      <c r="J5586" s="7"/>
      <c r="L5586" s="7"/>
      <c r="N5586" s="7"/>
      <c r="P5586" s="7"/>
      <c r="R5586" s="7"/>
      <c r="T5586" s="7"/>
      <c r="V5586" s="7"/>
      <c r="X5586" s="7"/>
    </row>
    <row r="5587" spans="2:24">
      <c r="B5587" s="7"/>
      <c r="D5587" s="7"/>
      <c r="F5587" s="7"/>
      <c r="H5587" s="7"/>
      <c r="J5587" s="7"/>
      <c r="L5587" s="7"/>
      <c r="N5587" s="7"/>
      <c r="P5587" s="7"/>
      <c r="R5587" s="7"/>
      <c r="T5587" s="7"/>
      <c r="V5587" s="7"/>
      <c r="X5587" s="7"/>
    </row>
    <row r="5588" spans="2:24">
      <c r="B5588" s="7"/>
      <c r="D5588" s="7"/>
      <c r="F5588" s="7"/>
      <c r="H5588" s="7"/>
      <c r="J5588" s="7"/>
      <c r="L5588" s="7"/>
      <c r="N5588" s="7"/>
      <c r="P5588" s="7"/>
      <c r="R5588" s="7"/>
      <c r="T5588" s="7"/>
      <c r="V5588" s="7"/>
      <c r="X5588" s="7"/>
    </row>
    <row r="5589" spans="2:24">
      <c r="B5589" s="7"/>
      <c r="D5589" s="7"/>
      <c r="F5589" s="7"/>
      <c r="H5589" s="7"/>
      <c r="J5589" s="7"/>
      <c r="L5589" s="7"/>
      <c r="N5589" s="7"/>
      <c r="P5589" s="7"/>
      <c r="R5589" s="7"/>
      <c r="T5589" s="7"/>
      <c r="V5589" s="7"/>
      <c r="X5589" s="7"/>
    </row>
    <row r="5590" spans="2:24">
      <c r="B5590" s="7"/>
      <c r="D5590" s="7"/>
      <c r="F5590" s="7"/>
      <c r="H5590" s="7"/>
      <c r="J5590" s="7"/>
      <c r="L5590" s="7"/>
      <c r="N5590" s="7"/>
      <c r="P5590" s="7"/>
      <c r="R5590" s="7"/>
      <c r="T5590" s="7"/>
      <c r="V5590" s="7"/>
      <c r="X5590" s="7"/>
    </row>
    <row r="5591" spans="2:24">
      <c r="B5591" s="7"/>
      <c r="D5591" s="7"/>
      <c r="F5591" s="7"/>
      <c r="H5591" s="7"/>
      <c r="J5591" s="7"/>
      <c r="L5591" s="7"/>
      <c r="N5591" s="7"/>
      <c r="P5591" s="7"/>
      <c r="R5591" s="7"/>
      <c r="T5591" s="7"/>
      <c r="V5591" s="7"/>
      <c r="X5591" s="7"/>
    </row>
    <row r="5592" spans="2:24">
      <c r="B5592" s="7"/>
      <c r="D5592" s="7"/>
      <c r="F5592" s="7"/>
      <c r="H5592" s="7"/>
      <c r="J5592" s="7"/>
      <c r="L5592" s="7"/>
      <c r="N5592" s="7"/>
      <c r="P5592" s="7"/>
      <c r="R5592" s="7"/>
      <c r="T5592" s="7"/>
      <c r="V5592" s="7"/>
      <c r="X5592" s="7"/>
    </row>
    <row r="5593" spans="2:24">
      <c r="B5593" s="7"/>
      <c r="D5593" s="7"/>
      <c r="F5593" s="7"/>
      <c r="H5593" s="7"/>
      <c r="J5593" s="7"/>
      <c r="L5593" s="7"/>
      <c r="N5593" s="7"/>
      <c r="P5593" s="7"/>
      <c r="R5593" s="7"/>
      <c r="T5593" s="7"/>
      <c r="V5593" s="7"/>
      <c r="X5593" s="7"/>
    </row>
    <row r="5594" spans="2:24">
      <c r="B5594" s="7"/>
      <c r="D5594" s="7"/>
      <c r="F5594" s="7"/>
      <c r="H5594" s="7"/>
      <c r="J5594" s="7"/>
      <c r="L5594" s="7"/>
      <c r="N5594" s="7"/>
      <c r="P5594" s="7"/>
      <c r="R5594" s="7"/>
      <c r="T5594" s="7"/>
      <c r="V5594" s="7"/>
      <c r="X5594" s="7"/>
    </row>
    <row r="5595" spans="2:24">
      <c r="B5595" s="7"/>
      <c r="D5595" s="7"/>
      <c r="F5595" s="7"/>
      <c r="H5595" s="7"/>
      <c r="J5595" s="7"/>
      <c r="L5595" s="7"/>
      <c r="N5595" s="7"/>
      <c r="P5595" s="7"/>
      <c r="R5595" s="7"/>
      <c r="T5595" s="7"/>
      <c r="V5595" s="7"/>
      <c r="X5595" s="7"/>
    </row>
    <row r="5596" spans="2:24">
      <c r="B5596" s="7"/>
      <c r="D5596" s="7"/>
      <c r="F5596" s="7"/>
      <c r="H5596" s="7"/>
      <c r="J5596" s="7"/>
      <c r="L5596" s="7"/>
      <c r="N5596" s="7"/>
      <c r="P5596" s="7"/>
      <c r="R5596" s="7"/>
      <c r="T5596" s="7"/>
      <c r="V5596" s="7"/>
      <c r="X5596" s="7"/>
    </row>
    <row r="5597" spans="2:24">
      <c r="B5597" s="7"/>
      <c r="D5597" s="7"/>
      <c r="F5597" s="7"/>
      <c r="H5597" s="7"/>
      <c r="J5597" s="7"/>
      <c r="L5597" s="7"/>
      <c r="N5597" s="7"/>
      <c r="P5597" s="7"/>
      <c r="R5597" s="7"/>
      <c r="T5597" s="7"/>
      <c r="V5597" s="7"/>
      <c r="X5597" s="7"/>
    </row>
    <row r="5598" spans="2:24">
      <c r="B5598" s="7"/>
      <c r="D5598" s="7"/>
      <c r="F5598" s="7"/>
      <c r="H5598" s="7"/>
      <c r="J5598" s="7"/>
      <c r="L5598" s="7"/>
      <c r="N5598" s="7"/>
      <c r="P5598" s="7"/>
      <c r="R5598" s="7"/>
      <c r="T5598" s="7"/>
      <c r="V5598" s="7"/>
      <c r="X5598" s="7"/>
    </row>
    <row r="5599" spans="2:24">
      <c r="B5599" s="7"/>
      <c r="D5599" s="7"/>
      <c r="F5599" s="7"/>
      <c r="H5599" s="7"/>
      <c r="J5599" s="7"/>
      <c r="L5599" s="7"/>
      <c r="N5599" s="7"/>
      <c r="P5599" s="7"/>
      <c r="R5599" s="7"/>
      <c r="T5599" s="7"/>
      <c r="V5599" s="7"/>
      <c r="X5599" s="7"/>
    </row>
    <row r="5600" spans="2:24">
      <c r="B5600" s="7"/>
      <c r="D5600" s="7"/>
      <c r="F5600" s="7"/>
      <c r="H5600" s="7"/>
      <c r="J5600" s="7"/>
      <c r="L5600" s="7"/>
      <c r="N5600" s="7"/>
      <c r="P5600" s="7"/>
      <c r="R5600" s="7"/>
      <c r="T5600" s="7"/>
      <c r="V5600" s="7"/>
      <c r="X5600" s="7"/>
    </row>
    <row r="5601" spans="2:24">
      <c r="B5601" s="7"/>
      <c r="D5601" s="7"/>
      <c r="F5601" s="7"/>
      <c r="H5601" s="7"/>
      <c r="J5601" s="7"/>
      <c r="L5601" s="7"/>
      <c r="N5601" s="7"/>
      <c r="P5601" s="7"/>
      <c r="R5601" s="7"/>
      <c r="T5601" s="7"/>
      <c r="V5601" s="7"/>
      <c r="X5601" s="7"/>
    </row>
    <row r="5602" spans="2:24">
      <c r="B5602" s="7"/>
      <c r="D5602" s="7"/>
      <c r="F5602" s="7"/>
      <c r="H5602" s="7"/>
      <c r="J5602" s="7"/>
      <c r="L5602" s="7"/>
      <c r="N5602" s="7"/>
      <c r="P5602" s="7"/>
      <c r="R5602" s="7"/>
      <c r="T5602" s="7"/>
      <c r="V5602" s="7"/>
      <c r="X5602" s="7"/>
    </row>
    <row r="5603" spans="2:24">
      <c r="B5603" s="7"/>
      <c r="D5603" s="7"/>
      <c r="F5603" s="7"/>
      <c r="H5603" s="7"/>
      <c r="J5603" s="7"/>
      <c r="L5603" s="7"/>
      <c r="N5603" s="7"/>
      <c r="P5603" s="7"/>
      <c r="R5603" s="7"/>
      <c r="T5603" s="7"/>
      <c r="V5603" s="7"/>
      <c r="X5603" s="7"/>
    </row>
    <row r="5604" spans="2:24">
      <c r="B5604" s="7"/>
      <c r="D5604" s="7"/>
      <c r="F5604" s="7"/>
      <c r="H5604" s="7"/>
      <c r="J5604" s="7"/>
      <c r="L5604" s="7"/>
      <c r="N5604" s="7"/>
      <c r="P5604" s="7"/>
      <c r="R5604" s="7"/>
      <c r="T5604" s="7"/>
      <c r="V5604" s="7"/>
      <c r="X5604" s="7"/>
    </row>
    <row r="5605" spans="2:24">
      <c r="B5605" s="7"/>
      <c r="D5605" s="7"/>
      <c r="F5605" s="7"/>
      <c r="H5605" s="7"/>
      <c r="J5605" s="7"/>
      <c r="L5605" s="7"/>
      <c r="N5605" s="7"/>
      <c r="P5605" s="7"/>
      <c r="R5605" s="7"/>
      <c r="T5605" s="7"/>
      <c r="V5605" s="7"/>
      <c r="X5605" s="7"/>
    </row>
    <row r="5606" spans="2:24">
      <c r="B5606" s="7"/>
      <c r="D5606" s="7"/>
      <c r="F5606" s="7"/>
      <c r="H5606" s="7"/>
      <c r="J5606" s="7"/>
      <c r="L5606" s="7"/>
      <c r="N5606" s="7"/>
      <c r="P5606" s="7"/>
      <c r="R5606" s="7"/>
      <c r="T5606" s="7"/>
      <c r="V5606" s="7"/>
      <c r="X5606" s="7"/>
    </row>
    <row r="5607" spans="2:24">
      <c r="B5607" s="7"/>
      <c r="D5607" s="7"/>
      <c r="F5607" s="7"/>
      <c r="H5607" s="7"/>
      <c r="J5607" s="7"/>
      <c r="L5607" s="7"/>
      <c r="N5607" s="7"/>
      <c r="P5607" s="7"/>
      <c r="R5607" s="7"/>
      <c r="T5607" s="7"/>
      <c r="V5607" s="7"/>
      <c r="X5607" s="7"/>
    </row>
    <row r="5608" spans="2:24">
      <c r="B5608" s="7"/>
      <c r="D5608" s="7"/>
      <c r="F5608" s="7"/>
      <c r="H5608" s="7"/>
      <c r="J5608" s="7"/>
      <c r="L5608" s="7"/>
      <c r="N5608" s="7"/>
      <c r="P5608" s="7"/>
      <c r="R5608" s="7"/>
      <c r="T5608" s="7"/>
      <c r="V5608" s="7"/>
      <c r="X5608" s="7"/>
    </row>
    <row r="5609" spans="2:24">
      <c r="B5609" s="7"/>
      <c r="D5609" s="7"/>
      <c r="F5609" s="7"/>
      <c r="H5609" s="7"/>
      <c r="J5609" s="7"/>
      <c r="L5609" s="7"/>
      <c r="N5609" s="7"/>
      <c r="P5609" s="7"/>
      <c r="R5609" s="7"/>
      <c r="T5609" s="7"/>
      <c r="V5609" s="7"/>
      <c r="X5609" s="7"/>
    </row>
    <row r="5610" spans="2:24">
      <c r="B5610" s="7"/>
      <c r="D5610" s="7"/>
      <c r="F5610" s="7"/>
      <c r="H5610" s="7"/>
      <c r="J5610" s="7"/>
      <c r="L5610" s="7"/>
      <c r="N5610" s="7"/>
      <c r="P5610" s="7"/>
      <c r="R5610" s="7"/>
      <c r="T5610" s="7"/>
      <c r="V5610" s="7"/>
      <c r="X5610" s="7"/>
    </row>
    <row r="5611" spans="2:24">
      <c r="B5611" s="7"/>
      <c r="D5611" s="7"/>
      <c r="F5611" s="7"/>
      <c r="H5611" s="7"/>
      <c r="J5611" s="7"/>
      <c r="L5611" s="7"/>
      <c r="N5611" s="7"/>
      <c r="P5611" s="7"/>
      <c r="R5611" s="7"/>
      <c r="T5611" s="7"/>
      <c r="V5611" s="7"/>
      <c r="X5611" s="7"/>
    </row>
    <row r="5612" spans="2:24">
      <c r="B5612" s="7"/>
      <c r="D5612" s="7"/>
      <c r="F5612" s="7"/>
      <c r="H5612" s="7"/>
      <c r="J5612" s="7"/>
      <c r="L5612" s="7"/>
      <c r="N5612" s="7"/>
      <c r="P5612" s="7"/>
      <c r="R5612" s="7"/>
      <c r="T5612" s="7"/>
      <c r="V5612" s="7"/>
      <c r="X5612" s="7"/>
    </row>
    <row r="5613" spans="2:24">
      <c r="B5613" s="7"/>
      <c r="D5613" s="7"/>
      <c r="F5613" s="7"/>
      <c r="H5613" s="7"/>
      <c r="J5613" s="7"/>
      <c r="L5613" s="7"/>
      <c r="N5613" s="7"/>
      <c r="P5613" s="7"/>
      <c r="R5613" s="7"/>
      <c r="T5613" s="7"/>
      <c r="V5613" s="7"/>
      <c r="X5613" s="7"/>
    </row>
    <row r="5614" spans="2:24">
      <c r="B5614" s="7"/>
      <c r="D5614" s="7"/>
      <c r="F5614" s="7"/>
      <c r="H5614" s="7"/>
      <c r="J5614" s="7"/>
      <c r="L5614" s="7"/>
      <c r="N5614" s="7"/>
      <c r="P5614" s="7"/>
      <c r="R5614" s="7"/>
      <c r="T5614" s="7"/>
      <c r="V5614" s="7"/>
      <c r="X5614" s="7"/>
    </row>
    <row r="5615" spans="2:24">
      <c r="B5615" s="7"/>
      <c r="D5615" s="7"/>
      <c r="F5615" s="7"/>
      <c r="H5615" s="7"/>
      <c r="J5615" s="7"/>
      <c r="L5615" s="7"/>
      <c r="N5615" s="7"/>
      <c r="P5615" s="7"/>
      <c r="R5615" s="7"/>
      <c r="T5615" s="7"/>
      <c r="V5615" s="7"/>
      <c r="X5615" s="7"/>
    </row>
    <row r="5616" spans="2:24">
      <c r="B5616" s="7"/>
      <c r="D5616" s="7"/>
      <c r="F5616" s="7"/>
      <c r="H5616" s="7"/>
      <c r="J5616" s="7"/>
      <c r="L5616" s="7"/>
      <c r="N5616" s="7"/>
      <c r="P5616" s="7"/>
      <c r="R5616" s="7"/>
      <c r="T5616" s="7"/>
      <c r="V5616" s="7"/>
      <c r="X5616" s="7"/>
    </row>
    <row r="5617" spans="2:24">
      <c r="B5617" s="7"/>
      <c r="D5617" s="7"/>
      <c r="F5617" s="7"/>
      <c r="H5617" s="7"/>
      <c r="J5617" s="7"/>
      <c r="L5617" s="7"/>
      <c r="N5617" s="7"/>
      <c r="P5617" s="7"/>
      <c r="R5617" s="7"/>
      <c r="T5617" s="7"/>
      <c r="V5617" s="7"/>
      <c r="X5617" s="7"/>
    </row>
    <row r="5618" spans="2:24">
      <c r="B5618" s="7"/>
      <c r="D5618" s="7"/>
      <c r="F5618" s="7"/>
      <c r="H5618" s="7"/>
      <c r="J5618" s="7"/>
      <c r="L5618" s="7"/>
      <c r="N5618" s="7"/>
      <c r="P5618" s="7"/>
      <c r="R5618" s="7"/>
      <c r="T5618" s="7"/>
      <c r="V5618" s="7"/>
      <c r="X5618" s="7"/>
    </row>
    <row r="5619" spans="2:24">
      <c r="B5619" s="7"/>
      <c r="D5619" s="7"/>
      <c r="F5619" s="7"/>
      <c r="H5619" s="7"/>
      <c r="J5619" s="7"/>
      <c r="L5619" s="7"/>
      <c r="N5619" s="7"/>
      <c r="P5619" s="7"/>
      <c r="R5619" s="7"/>
      <c r="T5619" s="7"/>
      <c r="V5619" s="7"/>
      <c r="X5619" s="7"/>
    </row>
    <row r="5620" spans="2:24">
      <c r="B5620" s="7"/>
      <c r="D5620" s="7"/>
      <c r="F5620" s="7"/>
      <c r="H5620" s="7"/>
      <c r="J5620" s="7"/>
      <c r="L5620" s="7"/>
      <c r="N5620" s="7"/>
      <c r="P5620" s="7"/>
      <c r="R5620" s="7"/>
      <c r="T5620" s="7"/>
      <c r="V5620" s="7"/>
      <c r="X5620" s="7"/>
    </row>
    <row r="5621" spans="2:24">
      <c r="B5621" s="7"/>
      <c r="D5621" s="7"/>
      <c r="F5621" s="7"/>
      <c r="H5621" s="7"/>
      <c r="J5621" s="7"/>
      <c r="L5621" s="7"/>
      <c r="N5621" s="7"/>
      <c r="P5621" s="7"/>
      <c r="R5621" s="7"/>
      <c r="T5621" s="7"/>
      <c r="V5621" s="7"/>
      <c r="X5621" s="7"/>
    </row>
    <row r="5622" spans="2:24">
      <c r="B5622" s="7"/>
      <c r="D5622" s="7"/>
      <c r="F5622" s="7"/>
      <c r="H5622" s="7"/>
      <c r="J5622" s="7"/>
      <c r="L5622" s="7"/>
      <c r="N5622" s="7"/>
      <c r="P5622" s="7"/>
      <c r="R5622" s="7"/>
      <c r="T5622" s="7"/>
      <c r="V5622" s="7"/>
      <c r="X5622" s="7"/>
    </row>
    <row r="5623" spans="2:24">
      <c r="B5623" s="7"/>
      <c r="D5623" s="7"/>
      <c r="F5623" s="7"/>
      <c r="H5623" s="7"/>
      <c r="J5623" s="7"/>
      <c r="L5623" s="7"/>
      <c r="N5623" s="7"/>
      <c r="P5623" s="7"/>
      <c r="R5623" s="7"/>
      <c r="T5623" s="7"/>
      <c r="V5623" s="7"/>
      <c r="X5623" s="7"/>
    </row>
    <row r="5624" spans="2:24">
      <c r="B5624" s="7"/>
      <c r="D5624" s="7"/>
      <c r="F5624" s="7"/>
      <c r="H5624" s="7"/>
      <c r="J5624" s="7"/>
      <c r="L5624" s="7"/>
      <c r="N5624" s="7"/>
      <c r="P5624" s="7"/>
      <c r="R5624" s="7"/>
      <c r="T5624" s="7"/>
      <c r="V5624" s="7"/>
      <c r="X5624" s="7"/>
    </row>
    <row r="5625" spans="2:24">
      <c r="B5625" s="7"/>
      <c r="D5625" s="7"/>
      <c r="F5625" s="7"/>
      <c r="H5625" s="7"/>
      <c r="J5625" s="7"/>
      <c r="L5625" s="7"/>
      <c r="N5625" s="7"/>
      <c r="P5625" s="7"/>
      <c r="R5625" s="7"/>
      <c r="T5625" s="7"/>
      <c r="V5625" s="7"/>
      <c r="X5625" s="7"/>
    </row>
    <row r="5626" spans="2:24">
      <c r="B5626" s="7"/>
      <c r="D5626" s="7"/>
      <c r="F5626" s="7"/>
      <c r="H5626" s="7"/>
      <c r="J5626" s="7"/>
      <c r="L5626" s="7"/>
      <c r="N5626" s="7"/>
      <c r="P5626" s="7"/>
      <c r="R5626" s="7"/>
      <c r="T5626" s="7"/>
      <c r="V5626" s="7"/>
      <c r="X5626" s="7"/>
    </row>
    <row r="5627" spans="2:24">
      <c r="B5627" s="7"/>
      <c r="D5627" s="7"/>
      <c r="F5627" s="7"/>
      <c r="H5627" s="7"/>
      <c r="J5627" s="7"/>
      <c r="L5627" s="7"/>
      <c r="N5627" s="7"/>
      <c r="P5627" s="7"/>
      <c r="R5627" s="7"/>
      <c r="T5627" s="7"/>
      <c r="V5627" s="7"/>
      <c r="X5627" s="7"/>
    </row>
    <row r="5628" spans="2:24">
      <c r="B5628" s="7"/>
      <c r="D5628" s="7"/>
      <c r="F5628" s="7"/>
      <c r="H5628" s="7"/>
      <c r="J5628" s="7"/>
      <c r="L5628" s="7"/>
      <c r="N5628" s="7"/>
      <c r="P5628" s="7"/>
      <c r="R5628" s="7"/>
      <c r="T5628" s="7"/>
      <c r="V5628" s="7"/>
      <c r="X5628" s="7"/>
    </row>
    <row r="5629" spans="2:24">
      <c r="B5629" s="7"/>
      <c r="D5629" s="7"/>
      <c r="F5629" s="7"/>
      <c r="H5629" s="7"/>
      <c r="J5629" s="7"/>
      <c r="L5629" s="7"/>
      <c r="N5629" s="7"/>
      <c r="P5629" s="7"/>
      <c r="R5629" s="7"/>
      <c r="T5629" s="7"/>
      <c r="V5629" s="7"/>
      <c r="X5629" s="7"/>
    </row>
    <row r="5630" spans="2:24">
      <c r="B5630" s="7"/>
      <c r="D5630" s="7"/>
      <c r="F5630" s="7"/>
      <c r="H5630" s="7"/>
      <c r="J5630" s="7"/>
      <c r="L5630" s="7"/>
      <c r="N5630" s="7"/>
      <c r="P5630" s="7"/>
      <c r="R5630" s="7"/>
      <c r="T5630" s="7"/>
      <c r="V5630" s="7"/>
      <c r="X5630" s="7"/>
    </row>
    <row r="5631" spans="2:24">
      <c r="B5631" s="7"/>
      <c r="D5631" s="7"/>
      <c r="F5631" s="7"/>
      <c r="H5631" s="7"/>
      <c r="J5631" s="7"/>
      <c r="L5631" s="7"/>
      <c r="N5631" s="7"/>
      <c r="P5631" s="7"/>
      <c r="R5631" s="7"/>
      <c r="T5631" s="7"/>
      <c r="V5631" s="7"/>
      <c r="X5631" s="7"/>
    </row>
    <row r="5632" spans="2:24">
      <c r="B5632" s="7"/>
      <c r="D5632" s="7"/>
      <c r="F5632" s="7"/>
      <c r="H5632" s="7"/>
      <c r="J5632" s="7"/>
      <c r="L5632" s="7"/>
      <c r="N5632" s="7"/>
      <c r="P5632" s="7"/>
      <c r="R5632" s="7"/>
      <c r="T5632" s="7"/>
      <c r="V5632" s="7"/>
      <c r="X5632" s="7"/>
    </row>
    <row r="5633" spans="2:24">
      <c r="B5633" s="7"/>
      <c r="D5633" s="7"/>
      <c r="F5633" s="7"/>
      <c r="H5633" s="7"/>
      <c r="J5633" s="7"/>
      <c r="L5633" s="7"/>
      <c r="N5633" s="7"/>
      <c r="P5633" s="7"/>
      <c r="R5633" s="7"/>
      <c r="T5633" s="7"/>
      <c r="V5633" s="7"/>
      <c r="X5633" s="7"/>
    </row>
    <row r="5634" spans="2:24">
      <c r="B5634" s="7"/>
      <c r="D5634" s="7"/>
      <c r="F5634" s="7"/>
      <c r="H5634" s="7"/>
      <c r="J5634" s="7"/>
      <c r="L5634" s="7"/>
      <c r="N5634" s="7"/>
      <c r="P5634" s="7"/>
      <c r="R5634" s="7"/>
      <c r="T5634" s="7"/>
      <c r="V5634" s="7"/>
      <c r="X5634" s="7"/>
    </row>
    <row r="5635" spans="2:24">
      <c r="B5635" s="7"/>
      <c r="D5635" s="7"/>
      <c r="F5635" s="7"/>
      <c r="H5635" s="7"/>
      <c r="J5635" s="7"/>
      <c r="L5635" s="7"/>
      <c r="N5635" s="7"/>
      <c r="P5635" s="7"/>
      <c r="R5635" s="7"/>
      <c r="T5635" s="7"/>
      <c r="V5635" s="7"/>
      <c r="X5635" s="7"/>
    </row>
    <row r="5636" spans="2:24">
      <c r="B5636" s="7"/>
      <c r="D5636" s="7"/>
      <c r="F5636" s="7"/>
      <c r="H5636" s="7"/>
      <c r="J5636" s="7"/>
      <c r="L5636" s="7"/>
      <c r="N5636" s="7"/>
      <c r="P5636" s="7"/>
      <c r="R5636" s="7"/>
      <c r="T5636" s="7"/>
      <c r="V5636" s="7"/>
      <c r="X5636" s="7"/>
    </row>
    <row r="5637" spans="2:24">
      <c r="B5637" s="7"/>
      <c r="D5637" s="7"/>
      <c r="F5637" s="7"/>
      <c r="H5637" s="7"/>
      <c r="J5637" s="7"/>
      <c r="L5637" s="7"/>
      <c r="N5637" s="7"/>
      <c r="P5637" s="7"/>
      <c r="R5637" s="7"/>
      <c r="T5637" s="7"/>
      <c r="V5637" s="7"/>
      <c r="X5637" s="7"/>
    </row>
    <row r="5638" spans="2:24">
      <c r="B5638" s="7"/>
      <c r="D5638" s="7"/>
      <c r="F5638" s="7"/>
      <c r="H5638" s="7"/>
      <c r="J5638" s="7"/>
      <c r="L5638" s="7"/>
      <c r="N5638" s="7"/>
      <c r="P5638" s="7"/>
      <c r="R5638" s="7"/>
      <c r="T5638" s="7"/>
      <c r="V5638" s="7"/>
      <c r="X5638" s="7"/>
    </row>
    <row r="5639" spans="2:24">
      <c r="B5639" s="7"/>
      <c r="D5639" s="7"/>
      <c r="F5639" s="7"/>
      <c r="H5639" s="7"/>
      <c r="J5639" s="7"/>
      <c r="L5639" s="7"/>
      <c r="N5639" s="7"/>
      <c r="P5639" s="7"/>
      <c r="R5639" s="7"/>
      <c r="T5639" s="7"/>
      <c r="V5639" s="7"/>
      <c r="X5639" s="7"/>
    </row>
    <row r="5640" spans="2:24">
      <c r="B5640" s="7"/>
      <c r="D5640" s="7"/>
      <c r="F5640" s="7"/>
      <c r="H5640" s="7"/>
      <c r="J5640" s="7"/>
      <c r="L5640" s="7"/>
      <c r="N5640" s="7"/>
      <c r="P5640" s="7"/>
      <c r="R5640" s="7"/>
      <c r="T5640" s="7"/>
      <c r="V5640" s="7"/>
      <c r="X5640" s="7"/>
    </row>
    <row r="5641" spans="2:24">
      <c r="B5641" s="7"/>
      <c r="D5641" s="7"/>
      <c r="F5641" s="7"/>
      <c r="H5641" s="7"/>
      <c r="J5641" s="7"/>
      <c r="L5641" s="7"/>
      <c r="N5641" s="7"/>
      <c r="P5641" s="7"/>
      <c r="R5641" s="7"/>
      <c r="T5641" s="7"/>
      <c r="V5641" s="7"/>
      <c r="X5641" s="7"/>
    </row>
    <row r="5642" spans="2:24">
      <c r="B5642" s="7"/>
      <c r="D5642" s="7"/>
      <c r="F5642" s="7"/>
      <c r="H5642" s="7"/>
      <c r="J5642" s="7"/>
      <c r="L5642" s="7"/>
      <c r="N5642" s="7"/>
      <c r="P5642" s="7"/>
      <c r="R5642" s="7"/>
      <c r="T5642" s="7"/>
      <c r="V5642" s="7"/>
      <c r="X5642" s="7"/>
    </row>
    <row r="5643" spans="2:24">
      <c r="B5643" s="7"/>
      <c r="D5643" s="7"/>
      <c r="F5643" s="7"/>
      <c r="H5643" s="7"/>
      <c r="J5643" s="7"/>
      <c r="L5643" s="7"/>
      <c r="N5643" s="7"/>
      <c r="P5643" s="7"/>
      <c r="R5643" s="7"/>
      <c r="T5643" s="7"/>
      <c r="V5643" s="7"/>
      <c r="X5643" s="7"/>
    </row>
    <row r="5644" spans="2:24">
      <c r="B5644" s="7"/>
      <c r="D5644" s="7"/>
      <c r="F5644" s="7"/>
      <c r="H5644" s="7"/>
      <c r="J5644" s="7"/>
      <c r="L5644" s="7"/>
      <c r="N5644" s="7"/>
      <c r="P5644" s="7"/>
      <c r="R5644" s="7"/>
      <c r="T5644" s="7"/>
      <c r="V5644" s="7"/>
      <c r="X5644" s="7"/>
    </row>
    <row r="5645" spans="2:24">
      <c r="B5645" s="7"/>
      <c r="D5645" s="7"/>
      <c r="F5645" s="7"/>
      <c r="H5645" s="7"/>
      <c r="J5645" s="7"/>
      <c r="L5645" s="7"/>
      <c r="N5645" s="7"/>
      <c r="P5645" s="7"/>
      <c r="R5645" s="7"/>
      <c r="T5645" s="7"/>
      <c r="V5645" s="7"/>
      <c r="X5645" s="7"/>
    </row>
    <row r="5646" spans="2:24">
      <c r="B5646" s="7"/>
      <c r="D5646" s="7"/>
      <c r="F5646" s="7"/>
      <c r="H5646" s="7"/>
      <c r="J5646" s="7"/>
      <c r="L5646" s="7"/>
      <c r="N5646" s="7"/>
      <c r="P5646" s="7"/>
      <c r="R5646" s="7"/>
      <c r="T5646" s="7"/>
      <c r="V5646" s="7"/>
      <c r="X5646" s="7"/>
    </row>
    <row r="5647" spans="2:24">
      <c r="B5647" s="7"/>
      <c r="D5647" s="7"/>
      <c r="F5647" s="7"/>
      <c r="H5647" s="7"/>
      <c r="J5647" s="7"/>
      <c r="L5647" s="7"/>
      <c r="N5647" s="7"/>
      <c r="P5647" s="7"/>
      <c r="R5647" s="7"/>
      <c r="T5647" s="7"/>
      <c r="V5647" s="7"/>
      <c r="X5647" s="7"/>
    </row>
    <row r="5648" spans="2:24">
      <c r="B5648" s="7"/>
      <c r="D5648" s="7"/>
      <c r="F5648" s="7"/>
      <c r="H5648" s="7"/>
      <c r="J5648" s="7"/>
      <c r="L5648" s="7"/>
      <c r="N5648" s="7"/>
      <c r="P5648" s="7"/>
      <c r="R5648" s="7"/>
      <c r="T5648" s="7"/>
      <c r="V5648" s="7"/>
      <c r="X5648" s="7"/>
    </row>
    <row r="5649" spans="2:24">
      <c r="B5649" s="7"/>
      <c r="D5649" s="7"/>
      <c r="F5649" s="7"/>
      <c r="H5649" s="7"/>
      <c r="J5649" s="7"/>
      <c r="L5649" s="7"/>
      <c r="N5649" s="7"/>
      <c r="P5649" s="7"/>
      <c r="R5649" s="7"/>
      <c r="T5649" s="7"/>
      <c r="V5649" s="7"/>
      <c r="X5649" s="7"/>
    </row>
    <row r="5650" spans="2:24">
      <c r="B5650" s="7"/>
      <c r="D5650" s="7"/>
      <c r="F5650" s="7"/>
      <c r="H5650" s="7"/>
      <c r="J5650" s="7"/>
      <c r="L5650" s="7"/>
      <c r="N5650" s="7"/>
      <c r="P5650" s="7"/>
      <c r="R5650" s="7"/>
      <c r="T5650" s="7"/>
      <c r="V5650" s="7"/>
      <c r="X5650" s="7"/>
    </row>
    <row r="5651" spans="2:24">
      <c r="B5651" s="7"/>
      <c r="D5651" s="7"/>
      <c r="F5651" s="7"/>
      <c r="H5651" s="7"/>
      <c r="J5651" s="7"/>
      <c r="L5651" s="7"/>
      <c r="N5651" s="7"/>
      <c r="P5651" s="7"/>
      <c r="R5651" s="7"/>
      <c r="T5651" s="7"/>
      <c r="V5651" s="7"/>
      <c r="X5651" s="7"/>
    </row>
    <row r="5652" spans="2:24">
      <c r="B5652" s="7"/>
      <c r="D5652" s="7"/>
      <c r="F5652" s="7"/>
      <c r="H5652" s="7"/>
      <c r="J5652" s="7"/>
      <c r="L5652" s="7"/>
      <c r="N5652" s="7"/>
      <c r="P5652" s="7"/>
      <c r="R5652" s="7"/>
      <c r="T5652" s="7"/>
      <c r="V5652" s="7"/>
      <c r="X5652" s="7"/>
    </row>
    <row r="5653" spans="2:24">
      <c r="B5653" s="7"/>
      <c r="D5653" s="7"/>
      <c r="F5653" s="7"/>
      <c r="H5653" s="7"/>
      <c r="J5653" s="7"/>
      <c r="L5653" s="7"/>
      <c r="N5653" s="7"/>
      <c r="P5653" s="7"/>
      <c r="R5653" s="7"/>
      <c r="T5653" s="7"/>
      <c r="V5653" s="7"/>
      <c r="X5653" s="7"/>
    </row>
    <row r="5654" spans="2:24">
      <c r="B5654" s="7"/>
      <c r="D5654" s="7"/>
      <c r="F5654" s="7"/>
      <c r="H5654" s="7"/>
      <c r="J5654" s="7"/>
      <c r="L5654" s="7"/>
      <c r="N5654" s="7"/>
      <c r="P5654" s="7"/>
      <c r="R5654" s="7"/>
      <c r="T5654" s="7"/>
      <c r="V5654" s="7"/>
      <c r="X5654" s="7"/>
    </row>
    <row r="5655" spans="2:24">
      <c r="B5655" s="7"/>
      <c r="D5655" s="7"/>
      <c r="F5655" s="7"/>
      <c r="H5655" s="7"/>
      <c r="J5655" s="7"/>
      <c r="L5655" s="7"/>
      <c r="N5655" s="7"/>
      <c r="P5655" s="7"/>
      <c r="R5655" s="7"/>
      <c r="T5655" s="7"/>
      <c r="V5655" s="7"/>
      <c r="X5655" s="7"/>
    </row>
    <row r="5656" spans="2:24">
      <c r="B5656" s="7"/>
      <c r="D5656" s="7"/>
      <c r="F5656" s="7"/>
      <c r="H5656" s="7"/>
      <c r="J5656" s="7"/>
      <c r="L5656" s="7"/>
      <c r="N5656" s="7"/>
      <c r="P5656" s="7"/>
      <c r="R5656" s="7"/>
      <c r="T5656" s="7"/>
      <c r="V5656" s="7"/>
      <c r="X5656" s="7"/>
    </row>
    <row r="5657" spans="2:24">
      <c r="B5657" s="7"/>
      <c r="D5657" s="7"/>
      <c r="F5657" s="7"/>
      <c r="H5657" s="7"/>
      <c r="J5657" s="7"/>
      <c r="L5657" s="7"/>
      <c r="N5657" s="7"/>
      <c r="P5657" s="7"/>
      <c r="R5657" s="7"/>
      <c r="T5657" s="7"/>
      <c r="V5657" s="7"/>
      <c r="X5657" s="7"/>
    </row>
    <row r="5658" spans="2:24">
      <c r="B5658" s="7"/>
      <c r="D5658" s="7"/>
      <c r="F5658" s="7"/>
      <c r="H5658" s="7"/>
      <c r="J5658" s="7"/>
      <c r="L5658" s="7"/>
      <c r="N5658" s="7"/>
      <c r="P5658" s="7"/>
      <c r="R5658" s="7"/>
      <c r="T5658" s="7"/>
      <c r="V5658" s="7"/>
      <c r="X5658" s="7"/>
    </row>
    <row r="5659" spans="2:24">
      <c r="B5659" s="7"/>
      <c r="D5659" s="7"/>
      <c r="F5659" s="7"/>
      <c r="H5659" s="7"/>
      <c r="J5659" s="7"/>
      <c r="L5659" s="7"/>
      <c r="N5659" s="7"/>
      <c r="P5659" s="7"/>
      <c r="R5659" s="7"/>
      <c r="T5659" s="7"/>
      <c r="V5659" s="7"/>
      <c r="X5659" s="7"/>
    </row>
    <row r="5660" spans="2:24">
      <c r="B5660" s="7"/>
      <c r="D5660" s="7"/>
      <c r="F5660" s="7"/>
      <c r="H5660" s="7"/>
      <c r="J5660" s="7"/>
      <c r="L5660" s="7"/>
      <c r="N5660" s="7"/>
      <c r="P5660" s="7"/>
      <c r="R5660" s="7"/>
      <c r="T5660" s="7"/>
      <c r="V5660" s="7"/>
      <c r="X5660" s="7"/>
    </row>
    <row r="5661" spans="2:24">
      <c r="B5661" s="7"/>
      <c r="D5661" s="7"/>
      <c r="F5661" s="7"/>
      <c r="H5661" s="7"/>
      <c r="J5661" s="7"/>
      <c r="L5661" s="7"/>
      <c r="N5661" s="7"/>
      <c r="P5661" s="7"/>
      <c r="R5661" s="7"/>
      <c r="T5661" s="7"/>
      <c r="V5661" s="7"/>
      <c r="X5661" s="7"/>
    </row>
    <row r="5662" spans="2:24">
      <c r="B5662" s="7"/>
      <c r="D5662" s="7"/>
      <c r="F5662" s="7"/>
      <c r="H5662" s="7"/>
      <c r="J5662" s="7"/>
      <c r="L5662" s="7"/>
      <c r="N5662" s="7"/>
      <c r="P5662" s="7"/>
      <c r="R5662" s="7"/>
      <c r="T5662" s="7"/>
      <c r="V5662" s="7"/>
      <c r="X5662" s="7"/>
    </row>
    <row r="5663" spans="2:24">
      <c r="B5663" s="7"/>
      <c r="D5663" s="7"/>
      <c r="F5663" s="7"/>
      <c r="H5663" s="7"/>
      <c r="J5663" s="7"/>
      <c r="L5663" s="7"/>
      <c r="N5663" s="7"/>
      <c r="P5663" s="7"/>
      <c r="R5663" s="7"/>
      <c r="T5663" s="7"/>
      <c r="V5663" s="7"/>
      <c r="X5663" s="7"/>
    </row>
    <row r="5664" spans="2:24">
      <c r="B5664" s="7"/>
      <c r="D5664" s="7"/>
      <c r="F5664" s="7"/>
      <c r="H5664" s="7"/>
      <c r="J5664" s="7"/>
      <c r="L5664" s="7"/>
      <c r="N5664" s="7"/>
      <c r="P5664" s="7"/>
      <c r="R5664" s="7"/>
      <c r="T5664" s="7"/>
      <c r="V5664" s="7"/>
      <c r="X5664" s="7"/>
    </row>
    <row r="5665" spans="2:24">
      <c r="B5665" s="7"/>
      <c r="D5665" s="7"/>
      <c r="F5665" s="7"/>
      <c r="H5665" s="7"/>
      <c r="J5665" s="7"/>
      <c r="L5665" s="7"/>
      <c r="N5665" s="7"/>
      <c r="P5665" s="7"/>
      <c r="R5665" s="7"/>
      <c r="T5665" s="7"/>
      <c r="V5665" s="7"/>
      <c r="X5665" s="7"/>
    </row>
    <row r="5666" spans="2:24">
      <c r="B5666" s="7"/>
      <c r="D5666" s="7"/>
      <c r="F5666" s="7"/>
      <c r="H5666" s="7"/>
      <c r="J5666" s="7"/>
      <c r="L5666" s="7"/>
      <c r="N5666" s="7"/>
      <c r="P5666" s="7"/>
      <c r="R5666" s="7"/>
      <c r="T5666" s="7"/>
      <c r="V5666" s="7"/>
      <c r="X5666" s="7"/>
    </row>
    <row r="5667" spans="2:24">
      <c r="B5667" s="7"/>
      <c r="D5667" s="7"/>
      <c r="F5667" s="7"/>
      <c r="H5667" s="7"/>
      <c r="J5667" s="7"/>
      <c r="L5667" s="7"/>
      <c r="N5667" s="7"/>
      <c r="P5667" s="7"/>
      <c r="R5667" s="7"/>
      <c r="T5667" s="7"/>
      <c r="V5667" s="7"/>
      <c r="X5667" s="7"/>
    </row>
    <row r="5668" spans="2:24">
      <c r="B5668" s="7"/>
      <c r="D5668" s="7"/>
      <c r="F5668" s="7"/>
      <c r="H5668" s="7"/>
      <c r="J5668" s="7"/>
      <c r="L5668" s="7"/>
      <c r="N5668" s="7"/>
      <c r="P5668" s="7"/>
      <c r="R5668" s="7"/>
      <c r="T5668" s="7"/>
      <c r="V5668" s="7"/>
      <c r="X5668" s="7"/>
    </row>
    <row r="5669" spans="2:24">
      <c r="B5669" s="7"/>
      <c r="D5669" s="7"/>
      <c r="F5669" s="7"/>
      <c r="H5669" s="7"/>
      <c r="J5669" s="7"/>
      <c r="L5669" s="7"/>
      <c r="N5669" s="7"/>
      <c r="P5669" s="7"/>
      <c r="R5669" s="7"/>
      <c r="T5669" s="7"/>
      <c r="V5669" s="7"/>
      <c r="X5669" s="7"/>
    </row>
    <row r="5670" spans="2:24">
      <c r="B5670" s="7"/>
      <c r="D5670" s="7"/>
      <c r="F5670" s="7"/>
      <c r="H5670" s="7"/>
      <c r="J5670" s="7"/>
      <c r="L5670" s="7"/>
      <c r="N5670" s="7"/>
      <c r="P5670" s="7"/>
      <c r="R5670" s="7"/>
      <c r="T5670" s="7"/>
      <c r="V5670" s="7"/>
      <c r="X5670" s="7"/>
    </row>
    <row r="5671" spans="2:24">
      <c r="B5671" s="7"/>
      <c r="D5671" s="7"/>
      <c r="F5671" s="7"/>
      <c r="H5671" s="7"/>
      <c r="J5671" s="7"/>
      <c r="L5671" s="7"/>
      <c r="N5671" s="7"/>
      <c r="P5671" s="7"/>
      <c r="R5671" s="7"/>
      <c r="T5671" s="7"/>
      <c r="V5671" s="7"/>
      <c r="X5671" s="7"/>
    </row>
    <row r="5672" spans="2:24">
      <c r="B5672" s="7"/>
      <c r="D5672" s="7"/>
      <c r="F5672" s="7"/>
      <c r="H5672" s="7"/>
      <c r="J5672" s="7"/>
      <c r="L5672" s="7"/>
      <c r="N5672" s="7"/>
      <c r="P5672" s="7"/>
      <c r="R5672" s="7"/>
      <c r="T5672" s="7"/>
      <c r="V5672" s="7"/>
      <c r="X5672" s="7"/>
    </row>
    <row r="5673" spans="2:24">
      <c r="B5673" s="7"/>
      <c r="D5673" s="7"/>
      <c r="F5673" s="7"/>
      <c r="H5673" s="7"/>
      <c r="J5673" s="7"/>
      <c r="L5673" s="7"/>
      <c r="N5673" s="7"/>
      <c r="P5673" s="7"/>
      <c r="R5673" s="7"/>
      <c r="T5673" s="7"/>
      <c r="V5673" s="7"/>
      <c r="X5673" s="7"/>
    </row>
    <row r="5674" spans="2:24">
      <c r="B5674" s="7"/>
      <c r="D5674" s="7"/>
      <c r="F5674" s="7"/>
      <c r="H5674" s="7"/>
      <c r="J5674" s="7"/>
      <c r="L5674" s="7"/>
      <c r="N5674" s="7"/>
      <c r="P5674" s="7"/>
      <c r="R5674" s="7"/>
      <c r="T5674" s="7"/>
      <c r="V5674" s="7"/>
      <c r="X5674" s="7"/>
    </row>
    <row r="5675" spans="2:24">
      <c r="B5675" s="7"/>
      <c r="D5675" s="7"/>
      <c r="F5675" s="7"/>
      <c r="H5675" s="7"/>
      <c r="J5675" s="7"/>
      <c r="L5675" s="7"/>
      <c r="N5675" s="7"/>
      <c r="P5675" s="7"/>
      <c r="R5675" s="7"/>
      <c r="T5675" s="7"/>
      <c r="V5675" s="7"/>
      <c r="X5675" s="7"/>
    </row>
    <row r="5676" spans="2:24">
      <c r="B5676" s="7"/>
      <c r="D5676" s="7"/>
      <c r="F5676" s="7"/>
      <c r="H5676" s="7"/>
      <c r="J5676" s="7"/>
      <c r="L5676" s="7"/>
      <c r="N5676" s="7"/>
      <c r="P5676" s="7"/>
      <c r="R5676" s="7"/>
      <c r="T5676" s="7"/>
      <c r="V5676" s="7"/>
      <c r="X5676" s="7"/>
    </row>
    <row r="5677" spans="2:24">
      <c r="B5677" s="7"/>
      <c r="D5677" s="7"/>
      <c r="F5677" s="7"/>
      <c r="H5677" s="7"/>
      <c r="J5677" s="7"/>
      <c r="L5677" s="7"/>
      <c r="N5677" s="7"/>
      <c r="P5677" s="7"/>
      <c r="R5677" s="7"/>
      <c r="T5677" s="7"/>
      <c r="V5677" s="7"/>
      <c r="X5677" s="7"/>
    </row>
    <row r="5678" spans="2:24">
      <c r="B5678" s="7"/>
      <c r="D5678" s="7"/>
      <c r="F5678" s="7"/>
      <c r="H5678" s="7"/>
      <c r="J5678" s="7"/>
      <c r="L5678" s="7"/>
      <c r="N5678" s="7"/>
      <c r="P5678" s="7"/>
      <c r="R5678" s="7"/>
      <c r="T5678" s="7"/>
      <c r="V5678" s="7"/>
      <c r="X5678" s="7"/>
    </row>
    <row r="5679" spans="2:24">
      <c r="B5679" s="7"/>
      <c r="D5679" s="7"/>
      <c r="F5679" s="7"/>
      <c r="H5679" s="7"/>
      <c r="J5679" s="7"/>
      <c r="L5679" s="7"/>
      <c r="N5679" s="7"/>
      <c r="P5679" s="7"/>
      <c r="R5679" s="7"/>
      <c r="T5679" s="7"/>
      <c r="V5679" s="7"/>
      <c r="X5679" s="7"/>
    </row>
    <row r="5680" spans="2:24">
      <c r="B5680" s="7"/>
      <c r="D5680" s="7"/>
      <c r="F5680" s="7"/>
      <c r="H5680" s="7"/>
      <c r="J5680" s="7"/>
      <c r="L5680" s="7"/>
      <c r="N5680" s="7"/>
      <c r="P5680" s="7"/>
      <c r="R5680" s="7"/>
      <c r="T5680" s="7"/>
      <c r="V5680" s="7"/>
      <c r="X5680" s="7"/>
    </row>
    <row r="5681" spans="2:24">
      <c r="B5681" s="7"/>
      <c r="D5681" s="7"/>
      <c r="F5681" s="7"/>
      <c r="H5681" s="7"/>
      <c r="J5681" s="7"/>
      <c r="L5681" s="7"/>
      <c r="N5681" s="7"/>
      <c r="P5681" s="7"/>
      <c r="R5681" s="7"/>
      <c r="T5681" s="7"/>
      <c r="V5681" s="7"/>
      <c r="X5681" s="7"/>
    </row>
    <row r="5682" spans="2:24">
      <c r="B5682" s="7"/>
      <c r="D5682" s="7"/>
      <c r="F5682" s="7"/>
      <c r="H5682" s="7"/>
      <c r="J5682" s="7"/>
      <c r="L5682" s="7"/>
      <c r="N5682" s="7"/>
      <c r="P5682" s="7"/>
      <c r="R5682" s="7"/>
      <c r="T5682" s="7"/>
      <c r="V5682" s="7"/>
      <c r="X5682" s="7"/>
    </row>
    <row r="5683" spans="2:24">
      <c r="B5683" s="7"/>
      <c r="D5683" s="7"/>
      <c r="F5683" s="7"/>
      <c r="H5683" s="7"/>
      <c r="J5683" s="7"/>
      <c r="L5683" s="7"/>
      <c r="N5683" s="7"/>
      <c r="P5683" s="7"/>
      <c r="R5683" s="7"/>
      <c r="T5683" s="7"/>
      <c r="V5683" s="7"/>
      <c r="X5683" s="7"/>
    </row>
    <row r="5684" spans="2:24">
      <c r="B5684" s="7"/>
      <c r="D5684" s="7"/>
      <c r="F5684" s="7"/>
      <c r="H5684" s="7"/>
      <c r="J5684" s="7"/>
      <c r="L5684" s="7"/>
      <c r="N5684" s="7"/>
      <c r="P5684" s="7"/>
      <c r="R5684" s="7"/>
      <c r="T5684" s="7"/>
      <c r="V5684" s="7"/>
      <c r="X5684" s="7"/>
    </row>
    <row r="5685" spans="2:24">
      <c r="B5685" s="7"/>
      <c r="D5685" s="7"/>
      <c r="F5685" s="7"/>
      <c r="H5685" s="7"/>
      <c r="J5685" s="7"/>
      <c r="L5685" s="7"/>
      <c r="N5685" s="7"/>
      <c r="P5685" s="7"/>
      <c r="R5685" s="7"/>
      <c r="T5685" s="7"/>
      <c r="V5685" s="7"/>
      <c r="X5685" s="7"/>
    </row>
    <row r="5686" spans="2:24">
      <c r="B5686" s="7"/>
      <c r="D5686" s="7"/>
      <c r="F5686" s="7"/>
      <c r="H5686" s="7"/>
      <c r="J5686" s="7"/>
      <c r="L5686" s="7"/>
      <c r="N5686" s="7"/>
      <c r="P5686" s="7"/>
      <c r="R5686" s="7"/>
      <c r="T5686" s="7"/>
      <c r="V5686" s="7"/>
      <c r="X5686" s="7"/>
    </row>
    <row r="5687" spans="2:24">
      <c r="B5687" s="7"/>
      <c r="D5687" s="7"/>
      <c r="F5687" s="7"/>
      <c r="H5687" s="7"/>
      <c r="J5687" s="7"/>
      <c r="L5687" s="7"/>
      <c r="N5687" s="7"/>
      <c r="P5687" s="7"/>
      <c r="R5687" s="7"/>
      <c r="T5687" s="7"/>
      <c r="V5687" s="7"/>
      <c r="X5687" s="7"/>
    </row>
    <row r="5688" spans="2:24">
      <c r="B5688" s="7"/>
      <c r="D5688" s="7"/>
      <c r="F5688" s="7"/>
      <c r="H5688" s="7"/>
      <c r="J5688" s="7"/>
      <c r="L5688" s="7"/>
      <c r="N5688" s="7"/>
      <c r="P5688" s="7"/>
      <c r="R5688" s="7"/>
      <c r="T5688" s="7"/>
      <c r="V5688" s="7"/>
      <c r="X5688" s="7"/>
    </row>
    <row r="5689" spans="2:24">
      <c r="B5689" s="7"/>
      <c r="D5689" s="7"/>
      <c r="F5689" s="7"/>
      <c r="H5689" s="7"/>
      <c r="J5689" s="7"/>
      <c r="L5689" s="7"/>
      <c r="N5689" s="7"/>
      <c r="P5689" s="7"/>
      <c r="R5689" s="7"/>
      <c r="T5689" s="7"/>
      <c r="V5689" s="7"/>
      <c r="X5689" s="7"/>
    </row>
    <row r="5690" spans="2:24">
      <c r="B5690" s="7"/>
      <c r="D5690" s="7"/>
      <c r="F5690" s="7"/>
      <c r="H5690" s="7"/>
      <c r="J5690" s="7"/>
      <c r="L5690" s="7"/>
      <c r="N5690" s="7"/>
      <c r="P5690" s="7"/>
      <c r="R5690" s="7"/>
      <c r="T5690" s="7"/>
      <c r="V5690" s="7"/>
      <c r="X5690" s="7"/>
    </row>
    <row r="5691" spans="2:24">
      <c r="B5691" s="7"/>
      <c r="D5691" s="7"/>
      <c r="F5691" s="7"/>
      <c r="H5691" s="7"/>
      <c r="J5691" s="7"/>
      <c r="L5691" s="7"/>
      <c r="N5691" s="7"/>
      <c r="P5691" s="7"/>
      <c r="R5691" s="7"/>
      <c r="T5691" s="7"/>
      <c r="V5691" s="7"/>
      <c r="X5691" s="7"/>
    </row>
    <row r="5692" spans="2:24">
      <c r="B5692" s="7"/>
      <c r="D5692" s="7"/>
      <c r="F5692" s="7"/>
      <c r="H5692" s="7"/>
      <c r="J5692" s="7"/>
      <c r="L5692" s="7"/>
      <c r="N5692" s="7"/>
      <c r="P5692" s="7"/>
      <c r="R5692" s="7"/>
      <c r="T5692" s="7"/>
      <c r="V5692" s="7"/>
      <c r="X5692" s="7"/>
    </row>
    <row r="5693" spans="2:24">
      <c r="B5693" s="7"/>
      <c r="D5693" s="7"/>
      <c r="F5693" s="7"/>
      <c r="H5693" s="7"/>
      <c r="J5693" s="7"/>
      <c r="L5693" s="7"/>
      <c r="N5693" s="7"/>
      <c r="P5693" s="7"/>
      <c r="R5693" s="7"/>
      <c r="T5693" s="7"/>
      <c r="V5693" s="7"/>
      <c r="X5693" s="7"/>
    </row>
    <row r="5694" spans="2:24">
      <c r="B5694" s="7"/>
      <c r="D5694" s="7"/>
      <c r="F5694" s="7"/>
      <c r="H5694" s="7"/>
      <c r="J5694" s="7"/>
      <c r="L5694" s="7"/>
      <c r="N5694" s="7"/>
      <c r="P5694" s="7"/>
      <c r="R5694" s="7"/>
      <c r="T5694" s="7"/>
      <c r="V5694" s="7"/>
      <c r="X5694" s="7"/>
    </row>
    <row r="5695" spans="2:24">
      <c r="B5695" s="7"/>
      <c r="D5695" s="7"/>
      <c r="F5695" s="7"/>
      <c r="H5695" s="7"/>
      <c r="J5695" s="7"/>
      <c r="L5695" s="7"/>
      <c r="N5695" s="7"/>
      <c r="P5695" s="7"/>
      <c r="R5695" s="7"/>
      <c r="T5695" s="7"/>
      <c r="V5695" s="7"/>
      <c r="X5695" s="7"/>
    </row>
    <row r="5696" spans="2:24">
      <c r="B5696" s="7"/>
      <c r="D5696" s="7"/>
      <c r="F5696" s="7"/>
      <c r="H5696" s="7"/>
      <c r="J5696" s="7"/>
      <c r="L5696" s="7"/>
      <c r="N5696" s="7"/>
      <c r="P5696" s="7"/>
      <c r="R5696" s="7"/>
      <c r="T5696" s="7"/>
      <c r="V5696" s="7"/>
      <c r="X5696" s="7"/>
    </row>
    <row r="5697" spans="2:24">
      <c r="B5697" s="7"/>
      <c r="D5697" s="7"/>
      <c r="F5697" s="7"/>
      <c r="H5697" s="7"/>
      <c r="J5697" s="7"/>
      <c r="L5697" s="7"/>
      <c r="N5697" s="7"/>
      <c r="P5697" s="7"/>
      <c r="R5697" s="7"/>
      <c r="T5697" s="7"/>
      <c r="V5697" s="7"/>
      <c r="X5697" s="7"/>
    </row>
    <row r="5698" spans="2:24">
      <c r="B5698" s="7"/>
      <c r="D5698" s="7"/>
      <c r="F5698" s="7"/>
      <c r="H5698" s="7"/>
      <c r="J5698" s="7"/>
      <c r="L5698" s="7"/>
      <c r="N5698" s="7"/>
      <c r="P5698" s="7"/>
      <c r="R5698" s="7"/>
      <c r="T5698" s="7"/>
      <c r="V5698" s="7"/>
      <c r="X5698" s="7"/>
    </row>
    <row r="5699" spans="2:24">
      <c r="B5699" s="7"/>
      <c r="D5699" s="7"/>
      <c r="F5699" s="7"/>
      <c r="H5699" s="7"/>
      <c r="J5699" s="7"/>
      <c r="L5699" s="7"/>
      <c r="N5699" s="7"/>
      <c r="P5699" s="7"/>
      <c r="R5699" s="7"/>
      <c r="T5699" s="7"/>
      <c r="V5699" s="7"/>
      <c r="X5699" s="7"/>
    </row>
    <row r="5700" spans="2:24">
      <c r="B5700" s="7"/>
      <c r="D5700" s="7"/>
      <c r="F5700" s="7"/>
      <c r="H5700" s="7"/>
      <c r="J5700" s="7"/>
      <c r="L5700" s="7"/>
      <c r="N5700" s="7"/>
      <c r="P5700" s="7"/>
      <c r="R5700" s="7"/>
      <c r="T5700" s="7"/>
      <c r="V5700" s="7"/>
      <c r="X5700" s="7"/>
    </row>
    <row r="5701" spans="2:24">
      <c r="B5701" s="7"/>
      <c r="D5701" s="7"/>
      <c r="F5701" s="7"/>
      <c r="H5701" s="7"/>
      <c r="J5701" s="7"/>
      <c r="L5701" s="7"/>
      <c r="N5701" s="7"/>
      <c r="P5701" s="7"/>
      <c r="R5701" s="7"/>
      <c r="T5701" s="7"/>
      <c r="V5701" s="7"/>
      <c r="X5701" s="7"/>
    </row>
    <row r="5702" spans="2:24">
      <c r="B5702" s="7"/>
      <c r="D5702" s="7"/>
      <c r="F5702" s="7"/>
      <c r="H5702" s="7"/>
      <c r="J5702" s="7"/>
      <c r="L5702" s="7"/>
      <c r="N5702" s="7"/>
      <c r="P5702" s="7"/>
      <c r="R5702" s="7"/>
      <c r="T5702" s="7"/>
      <c r="V5702" s="7"/>
      <c r="X5702" s="7"/>
    </row>
    <row r="5703" spans="2:24">
      <c r="B5703" s="7"/>
      <c r="D5703" s="7"/>
      <c r="F5703" s="7"/>
      <c r="H5703" s="7"/>
      <c r="J5703" s="7"/>
      <c r="L5703" s="7"/>
      <c r="N5703" s="7"/>
      <c r="P5703" s="7"/>
      <c r="R5703" s="7"/>
      <c r="T5703" s="7"/>
      <c r="V5703" s="7"/>
      <c r="X5703" s="7"/>
    </row>
    <row r="5704" spans="2:24">
      <c r="B5704" s="7"/>
      <c r="D5704" s="7"/>
      <c r="F5704" s="7"/>
      <c r="H5704" s="7"/>
      <c r="J5704" s="7"/>
      <c r="L5704" s="7"/>
      <c r="N5704" s="7"/>
      <c r="P5704" s="7"/>
      <c r="R5704" s="7"/>
      <c r="T5704" s="7"/>
      <c r="V5704" s="7"/>
      <c r="X5704" s="7"/>
    </row>
    <row r="5705" spans="2:24">
      <c r="B5705" s="7"/>
      <c r="D5705" s="7"/>
      <c r="F5705" s="7"/>
      <c r="H5705" s="7"/>
      <c r="J5705" s="7"/>
      <c r="L5705" s="7"/>
      <c r="N5705" s="7"/>
      <c r="P5705" s="7"/>
      <c r="R5705" s="7"/>
      <c r="T5705" s="7"/>
      <c r="V5705" s="7"/>
      <c r="X5705" s="7"/>
    </row>
    <row r="5706" spans="2:24">
      <c r="B5706" s="7"/>
      <c r="D5706" s="7"/>
      <c r="F5706" s="7"/>
      <c r="H5706" s="7"/>
      <c r="J5706" s="7"/>
      <c r="L5706" s="7"/>
      <c r="N5706" s="7"/>
      <c r="P5706" s="7"/>
      <c r="R5706" s="7"/>
      <c r="T5706" s="7"/>
      <c r="V5706" s="7"/>
      <c r="X5706" s="7"/>
    </row>
    <row r="5707" spans="2:24">
      <c r="B5707" s="7"/>
      <c r="D5707" s="7"/>
      <c r="F5707" s="7"/>
      <c r="H5707" s="7"/>
      <c r="J5707" s="7"/>
      <c r="L5707" s="7"/>
      <c r="N5707" s="7"/>
      <c r="P5707" s="7"/>
      <c r="R5707" s="7"/>
      <c r="T5707" s="7"/>
      <c r="V5707" s="7"/>
      <c r="X5707" s="7"/>
    </row>
    <row r="5708" spans="2:24">
      <c r="B5708" s="7"/>
      <c r="D5708" s="7"/>
      <c r="F5708" s="7"/>
      <c r="H5708" s="7"/>
      <c r="J5708" s="7"/>
      <c r="L5708" s="7"/>
      <c r="N5708" s="7"/>
      <c r="P5708" s="7"/>
      <c r="R5708" s="7"/>
      <c r="T5708" s="7"/>
      <c r="V5708" s="7"/>
      <c r="X5708" s="7"/>
    </row>
    <row r="5709" spans="2:24">
      <c r="B5709" s="7"/>
      <c r="D5709" s="7"/>
      <c r="F5709" s="7"/>
      <c r="H5709" s="7"/>
      <c r="J5709" s="7"/>
      <c r="L5709" s="7"/>
      <c r="N5709" s="7"/>
      <c r="P5709" s="7"/>
      <c r="R5709" s="7"/>
      <c r="T5709" s="7"/>
      <c r="V5709" s="7"/>
      <c r="X5709" s="7"/>
    </row>
    <row r="5710" spans="2:24">
      <c r="B5710" s="7"/>
      <c r="D5710" s="7"/>
      <c r="F5710" s="7"/>
      <c r="H5710" s="7"/>
      <c r="J5710" s="7"/>
      <c r="L5710" s="7"/>
      <c r="N5710" s="7"/>
      <c r="P5710" s="7"/>
      <c r="R5710" s="7"/>
      <c r="T5710" s="7"/>
      <c r="V5710" s="7"/>
      <c r="X5710" s="7"/>
    </row>
    <row r="5711" spans="2:24">
      <c r="B5711" s="7"/>
      <c r="D5711" s="7"/>
      <c r="F5711" s="7"/>
      <c r="H5711" s="7"/>
      <c r="J5711" s="7"/>
      <c r="L5711" s="7"/>
      <c r="N5711" s="7"/>
      <c r="P5711" s="7"/>
      <c r="R5711" s="7"/>
      <c r="T5711" s="7"/>
      <c r="V5711" s="7"/>
      <c r="X5711" s="7"/>
    </row>
    <row r="5712" spans="2:24">
      <c r="B5712" s="7"/>
      <c r="D5712" s="7"/>
      <c r="F5712" s="7"/>
      <c r="H5712" s="7"/>
      <c r="J5712" s="7"/>
      <c r="L5712" s="7"/>
      <c r="N5712" s="7"/>
      <c r="P5712" s="7"/>
      <c r="R5712" s="7"/>
      <c r="T5712" s="7"/>
      <c r="V5712" s="7"/>
      <c r="X5712" s="7"/>
    </row>
    <row r="5713" spans="2:24">
      <c r="B5713" s="7"/>
      <c r="D5713" s="7"/>
      <c r="F5713" s="7"/>
      <c r="H5713" s="7"/>
      <c r="J5713" s="7"/>
      <c r="L5713" s="7"/>
      <c r="N5713" s="7"/>
      <c r="P5713" s="7"/>
      <c r="R5713" s="7"/>
      <c r="T5713" s="7"/>
      <c r="V5713" s="7"/>
      <c r="X5713" s="7"/>
    </row>
    <row r="5714" spans="2:24">
      <c r="B5714" s="7"/>
      <c r="D5714" s="7"/>
      <c r="F5714" s="7"/>
      <c r="H5714" s="7"/>
      <c r="J5714" s="7"/>
      <c r="L5714" s="7"/>
      <c r="N5714" s="7"/>
      <c r="P5714" s="7"/>
      <c r="R5714" s="7"/>
      <c r="T5714" s="7"/>
      <c r="V5714" s="7"/>
      <c r="X5714" s="7"/>
    </row>
    <row r="5715" spans="2:24">
      <c r="B5715" s="7"/>
      <c r="D5715" s="7"/>
      <c r="F5715" s="7"/>
      <c r="H5715" s="7"/>
      <c r="J5715" s="7"/>
      <c r="L5715" s="7"/>
      <c r="N5715" s="7"/>
      <c r="P5715" s="7"/>
      <c r="R5715" s="7"/>
      <c r="T5715" s="7"/>
      <c r="V5715" s="7"/>
      <c r="X5715" s="7"/>
    </row>
    <row r="5716" spans="2:24">
      <c r="B5716" s="7"/>
      <c r="D5716" s="7"/>
      <c r="F5716" s="7"/>
      <c r="H5716" s="7"/>
      <c r="J5716" s="7"/>
      <c r="L5716" s="7"/>
      <c r="N5716" s="7"/>
      <c r="P5716" s="7"/>
      <c r="R5716" s="7"/>
      <c r="T5716" s="7"/>
      <c r="V5716" s="7"/>
      <c r="X5716" s="7"/>
    </row>
    <row r="5717" spans="2:24">
      <c r="B5717" s="7"/>
      <c r="D5717" s="7"/>
      <c r="F5717" s="7"/>
      <c r="H5717" s="7"/>
      <c r="J5717" s="7"/>
      <c r="L5717" s="7"/>
      <c r="N5717" s="7"/>
      <c r="P5717" s="7"/>
      <c r="R5717" s="7"/>
      <c r="T5717" s="7"/>
      <c r="V5717" s="7"/>
      <c r="X5717" s="7"/>
    </row>
    <row r="5718" spans="2:24">
      <c r="B5718" s="7"/>
      <c r="D5718" s="7"/>
      <c r="F5718" s="7"/>
      <c r="H5718" s="7"/>
      <c r="J5718" s="7"/>
      <c r="L5718" s="7"/>
      <c r="N5718" s="7"/>
      <c r="P5718" s="7"/>
      <c r="R5718" s="7"/>
      <c r="T5718" s="7"/>
      <c r="V5718" s="7"/>
      <c r="X5718" s="7"/>
    </row>
    <row r="5719" spans="2:24">
      <c r="B5719" s="7"/>
      <c r="D5719" s="7"/>
      <c r="F5719" s="7"/>
      <c r="H5719" s="7"/>
      <c r="J5719" s="7"/>
      <c r="L5719" s="7"/>
      <c r="N5719" s="7"/>
      <c r="P5719" s="7"/>
      <c r="R5719" s="7"/>
      <c r="T5719" s="7"/>
      <c r="V5719" s="7"/>
      <c r="X5719" s="7"/>
    </row>
    <row r="5720" spans="2:24">
      <c r="B5720" s="7"/>
      <c r="D5720" s="7"/>
      <c r="F5720" s="7"/>
      <c r="H5720" s="7"/>
      <c r="J5720" s="7"/>
      <c r="L5720" s="7"/>
      <c r="N5720" s="7"/>
      <c r="P5720" s="7"/>
      <c r="R5720" s="7"/>
      <c r="T5720" s="7"/>
      <c r="V5720" s="7"/>
      <c r="X5720" s="7"/>
    </row>
    <row r="5721" spans="2:24">
      <c r="B5721" s="7"/>
      <c r="D5721" s="7"/>
      <c r="F5721" s="7"/>
      <c r="H5721" s="7"/>
      <c r="J5721" s="7"/>
      <c r="L5721" s="7"/>
      <c r="N5721" s="7"/>
      <c r="P5721" s="7"/>
      <c r="R5721" s="7"/>
      <c r="T5721" s="7"/>
      <c r="V5721" s="7"/>
      <c r="X5721" s="7"/>
    </row>
    <row r="5722" spans="2:24">
      <c r="B5722" s="7"/>
      <c r="D5722" s="7"/>
      <c r="F5722" s="7"/>
      <c r="H5722" s="7"/>
      <c r="J5722" s="7"/>
      <c r="L5722" s="7"/>
      <c r="N5722" s="7"/>
      <c r="P5722" s="7"/>
      <c r="R5722" s="7"/>
      <c r="T5722" s="7"/>
      <c r="V5722" s="7"/>
      <c r="X5722" s="7"/>
    </row>
    <row r="5723" spans="2:24">
      <c r="B5723" s="7"/>
      <c r="D5723" s="7"/>
      <c r="F5723" s="7"/>
      <c r="H5723" s="7"/>
      <c r="J5723" s="7"/>
      <c r="L5723" s="7"/>
      <c r="N5723" s="7"/>
      <c r="P5723" s="7"/>
      <c r="R5723" s="7"/>
      <c r="T5723" s="7"/>
      <c r="V5723" s="7"/>
      <c r="X5723" s="7"/>
    </row>
    <row r="5724" spans="2:24">
      <c r="B5724" s="7"/>
      <c r="D5724" s="7"/>
      <c r="F5724" s="7"/>
      <c r="H5724" s="7"/>
      <c r="J5724" s="7"/>
      <c r="L5724" s="7"/>
      <c r="N5724" s="7"/>
      <c r="P5724" s="7"/>
      <c r="R5724" s="7"/>
      <c r="T5724" s="7"/>
      <c r="V5724" s="7"/>
      <c r="X5724" s="7"/>
    </row>
    <row r="5725" spans="2:24">
      <c r="B5725" s="7"/>
      <c r="D5725" s="7"/>
      <c r="F5725" s="7"/>
      <c r="H5725" s="7"/>
      <c r="J5725" s="7"/>
      <c r="L5725" s="7"/>
      <c r="N5725" s="7"/>
      <c r="P5725" s="7"/>
      <c r="R5725" s="7"/>
      <c r="T5725" s="7"/>
      <c r="V5725" s="7"/>
      <c r="X5725" s="7"/>
    </row>
    <row r="5726" spans="2:24">
      <c r="B5726" s="7"/>
      <c r="D5726" s="7"/>
      <c r="F5726" s="7"/>
      <c r="H5726" s="7"/>
      <c r="J5726" s="7"/>
      <c r="L5726" s="7"/>
      <c r="N5726" s="7"/>
      <c r="P5726" s="7"/>
      <c r="R5726" s="7"/>
      <c r="T5726" s="7"/>
      <c r="V5726" s="7"/>
      <c r="X5726" s="7"/>
    </row>
    <row r="5727" spans="2:24">
      <c r="B5727" s="7"/>
      <c r="D5727" s="7"/>
      <c r="F5727" s="7"/>
      <c r="H5727" s="7"/>
      <c r="J5727" s="7"/>
      <c r="L5727" s="7"/>
      <c r="N5727" s="7"/>
      <c r="P5727" s="7"/>
      <c r="R5727" s="7"/>
      <c r="T5727" s="7"/>
      <c r="V5727" s="7"/>
      <c r="X5727" s="7"/>
    </row>
    <row r="5728" spans="2:24">
      <c r="B5728" s="7"/>
      <c r="D5728" s="7"/>
      <c r="F5728" s="7"/>
      <c r="H5728" s="7"/>
      <c r="J5728" s="7"/>
      <c r="L5728" s="7"/>
      <c r="N5728" s="7"/>
      <c r="P5728" s="7"/>
      <c r="R5728" s="7"/>
      <c r="T5728" s="7"/>
      <c r="V5728" s="7"/>
      <c r="X5728" s="7"/>
    </row>
    <row r="5729" spans="2:24">
      <c r="B5729" s="7"/>
      <c r="D5729" s="7"/>
      <c r="F5729" s="7"/>
      <c r="H5729" s="7"/>
      <c r="J5729" s="7"/>
      <c r="L5729" s="7"/>
      <c r="N5729" s="7"/>
      <c r="P5729" s="7"/>
      <c r="R5729" s="7"/>
      <c r="T5729" s="7"/>
      <c r="V5729" s="7"/>
      <c r="X5729" s="7"/>
    </row>
    <row r="5730" spans="2:24">
      <c r="B5730" s="7"/>
      <c r="D5730" s="7"/>
      <c r="F5730" s="7"/>
      <c r="H5730" s="7"/>
      <c r="J5730" s="7"/>
      <c r="L5730" s="7"/>
      <c r="N5730" s="7"/>
      <c r="P5730" s="7"/>
      <c r="R5730" s="7"/>
      <c r="T5730" s="7"/>
      <c r="V5730" s="7"/>
      <c r="X5730" s="7"/>
    </row>
    <row r="5731" spans="2:24">
      <c r="B5731" s="7"/>
      <c r="D5731" s="7"/>
      <c r="F5731" s="7"/>
      <c r="H5731" s="7"/>
      <c r="J5731" s="7"/>
      <c r="L5731" s="7"/>
      <c r="N5731" s="7"/>
      <c r="P5731" s="7"/>
      <c r="R5731" s="7"/>
      <c r="T5731" s="7"/>
      <c r="V5731" s="7"/>
      <c r="X5731" s="7"/>
    </row>
    <row r="5732" spans="2:24">
      <c r="B5732" s="7"/>
      <c r="D5732" s="7"/>
      <c r="F5732" s="7"/>
      <c r="H5732" s="7"/>
      <c r="J5732" s="7"/>
      <c r="L5732" s="7"/>
      <c r="N5732" s="7"/>
      <c r="P5732" s="7"/>
      <c r="R5732" s="7"/>
      <c r="T5732" s="7"/>
      <c r="V5732" s="7"/>
      <c r="X5732" s="7"/>
    </row>
    <row r="5733" spans="2:24">
      <c r="B5733" s="7"/>
      <c r="D5733" s="7"/>
      <c r="F5733" s="7"/>
      <c r="H5733" s="7"/>
      <c r="J5733" s="7"/>
      <c r="L5733" s="7"/>
      <c r="N5733" s="7"/>
      <c r="P5733" s="7"/>
      <c r="R5733" s="7"/>
      <c r="T5733" s="7"/>
      <c r="V5733" s="7"/>
      <c r="X5733" s="7"/>
    </row>
    <row r="5734" spans="2:24">
      <c r="B5734" s="7"/>
      <c r="D5734" s="7"/>
      <c r="F5734" s="7"/>
      <c r="H5734" s="7"/>
      <c r="J5734" s="7"/>
      <c r="L5734" s="7"/>
      <c r="N5734" s="7"/>
      <c r="P5734" s="7"/>
      <c r="R5734" s="7"/>
      <c r="T5734" s="7"/>
      <c r="V5734" s="7"/>
      <c r="X5734" s="7"/>
    </row>
    <row r="5735" spans="2:24">
      <c r="B5735" s="7"/>
      <c r="D5735" s="7"/>
      <c r="F5735" s="7"/>
      <c r="H5735" s="7"/>
      <c r="J5735" s="7"/>
      <c r="L5735" s="7"/>
      <c r="N5735" s="7"/>
      <c r="P5735" s="7"/>
      <c r="R5735" s="7"/>
      <c r="T5735" s="7"/>
      <c r="V5735" s="7"/>
      <c r="X5735" s="7"/>
    </row>
    <row r="5736" spans="2:24">
      <c r="B5736" s="7"/>
      <c r="D5736" s="7"/>
      <c r="F5736" s="7"/>
      <c r="H5736" s="7"/>
      <c r="J5736" s="7"/>
      <c r="L5736" s="7"/>
      <c r="N5736" s="7"/>
      <c r="P5736" s="7"/>
      <c r="R5736" s="7"/>
      <c r="T5736" s="7"/>
      <c r="V5736" s="7"/>
      <c r="X5736" s="7"/>
    </row>
    <row r="5737" spans="2:24">
      <c r="B5737" s="7"/>
      <c r="D5737" s="7"/>
      <c r="F5737" s="7"/>
      <c r="H5737" s="7"/>
      <c r="J5737" s="7"/>
      <c r="L5737" s="7"/>
      <c r="N5737" s="7"/>
      <c r="P5737" s="7"/>
      <c r="R5737" s="7"/>
      <c r="T5737" s="7"/>
      <c r="V5737" s="7"/>
      <c r="X5737" s="7"/>
    </row>
    <row r="5738" spans="2:24">
      <c r="B5738" s="7"/>
      <c r="D5738" s="7"/>
      <c r="F5738" s="7"/>
      <c r="H5738" s="7"/>
      <c r="J5738" s="7"/>
      <c r="L5738" s="7"/>
      <c r="N5738" s="7"/>
      <c r="P5738" s="7"/>
      <c r="R5738" s="7"/>
      <c r="T5738" s="7"/>
      <c r="V5738" s="7"/>
      <c r="X5738" s="7"/>
    </row>
    <row r="5739" spans="2:24">
      <c r="B5739" s="7"/>
      <c r="D5739" s="7"/>
      <c r="F5739" s="7"/>
      <c r="H5739" s="7"/>
      <c r="J5739" s="7"/>
      <c r="L5739" s="7"/>
      <c r="N5739" s="7"/>
      <c r="P5739" s="7"/>
      <c r="R5739" s="7"/>
      <c r="T5739" s="7"/>
      <c r="V5739" s="7"/>
      <c r="X5739" s="7"/>
    </row>
    <row r="5740" spans="2:24">
      <c r="B5740" s="7"/>
      <c r="D5740" s="7"/>
      <c r="F5740" s="7"/>
      <c r="H5740" s="7"/>
      <c r="J5740" s="7"/>
      <c r="L5740" s="7"/>
      <c r="N5740" s="7"/>
      <c r="P5740" s="7"/>
      <c r="R5740" s="7"/>
      <c r="T5740" s="7"/>
      <c r="V5740" s="7"/>
      <c r="X5740" s="7"/>
    </row>
    <row r="5741" spans="2:24">
      <c r="B5741" s="7"/>
      <c r="D5741" s="7"/>
      <c r="F5741" s="7"/>
      <c r="H5741" s="7"/>
      <c r="J5741" s="7"/>
      <c r="L5741" s="7"/>
      <c r="N5741" s="7"/>
      <c r="P5741" s="7"/>
      <c r="R5741" s="7"/>
      <c r="T5741" s="7"/>
      <c r="V5741" s="7"/>
      <c r="X5741" s="7"/>
    </row>
    <row r="5742" spans="2:24">
      <c r="B5742" s="7"/>
      <c r="D5742" s="7"/>
      <c r="F5742" s="7"/>
      <c r="H5742" s="7"/>
      <c r="J5742" s="7"/>
      <c r="L5742" s="7"/>
      <c r="N5742" s="7"/>
      <c r="P5742" s="7"/>
      <c r="R5742" s="7"/>
      <c r="T5742" s="7"/>
      <c r="V5742" s="7"/>
      <c r="X5742" s="7"/>
    </row>
    <row r="5743" spans="2:24">
      <c r="B5743" s="7"/>
      <c r="D5743" s="7"/>
      <c r="F5743" s="7"/>
      <c r="H5743" s="7"/>
      <c r="J5743" s="7"/>
      <c r="L5743" s="7"/>
      <c r="N5743" s="7"/>
      <c r="P5743" s="7"/>
      <c r="R5743" s="7"/>
      <c r="T5743" s="7"/>
      <c r="V5743" s="7"/>
      <c r="X5743" s="7"/>
    </row>
    <row r="5744" spans="2:24">
      <c r="B5744" s="7"/>
      <c r="D5744" s="7"/>
      <c r="F5744" s="7"/>
      <c r="H5744" s="7"/>
      <c r="J5744" s="7"/>
      <c r="L5744" s="7"/>
      <c r="N5744" s="7"/>
      <c r="P5744" s="7"/>
      <c r="R5744" s="7"/>
      <c r="T5744" s="7"/>
      <c r="V5744" s="7"/>
      <c r="X5744" s="7"/>
    </row>
    <row r="5745" spans="2:24">
      <c r="B5745" s="7"/>
      <c r="D5745" s="7"/>
      <c r="F5745" s="7"/>
      <c r="H5745" s="7"/>
      <c r="J5745" s="7"/>
      <c r="L5745" s="7"/>
      <c r="N5745" s="7"/>
      <c r="P5745" s="7"/>
      <c r="R5745" s="7"/>
      <c r="T5745" s="7"/>
      <c r="V5745" s="7"/>
      <c r="X5745" s="7"/>
    </row>
    <row r="5746" spans="2:24">
      <c r="B5746" s="7"/>
      <c r="D5746" s="7"/>
      <c r="F5746" s="7"/>
      <c r="H5746" s="7"/>
      <c r="J5746" s="7"/>
      <c r="L5746" s="7"/>
      <c r="N5746" s="7"/>
      <c r="P5746" s="7"/>
      <c r="R5746" s="7"/>
      <c r="T5746" s="7"/>
      <c r="V5746" s="7"/>
      <c r="X5746" s="7"/>
    </row>
    <row r="5747" spans="2:24">
      <c r="B5747" s="7"/>
      <c r="D5747" s="7"/>
      <c r="F5747" s="7"/>
      <c r="H5747" s="7"/>
      <c r="J5747" s="7"/>
      <c r="L5747" s="7"/>
      <c r="N5747" s="7"/>
      <c r="P5747" s="7"/>
      <c r="R5747" s="7"/>
      <c r="T5747" s="7"/>
      <c r="V5747" s="7"/>
      <c r="X5747" s="7"/>
    </row>
    <row r="5748" spans="2:24">
      <c r="B5748" s="7"/>
      <c r="D5748" s="7"/>
      <c r="F5748" s="7"/>
      <c r="H5748" s="7"/>
      <c r="J5748" s="7"/>
      <c r="L5748" s="7"/>
      <c r="N5748" s="7"/>
      <c r="P5748" s="7"/>
      <c r="R5748" s="7"/>
      <c r="T5748" s="7"/>
      <c r="V5748" s="7"/>
      <c r="X5748" s="7"/>
    </row>
    <row r="5749" spans="2:24">
      <c r="B5749" s="7"/>
      <c r="D5749" s="7"/>
      <c r="F5749" s="7"/>
      <c r="H5749" s="7"/>
      <c r="J5749" s="7"/>
      <c r="L5749" s="7"/>
      <c r="N5749" s="7"/>
      <c r="P5749" s="7"/>
      <c r="R5749" s="7"/>
      <c r="T5749" s="7"/>
      <c r="V5749" s="7"/>
      <c r="X5749" s="7"/>
    </row>
    <row r="5750" spans="2:24">
      <c r="B5750" s="7"/>
      <c r="D5750" s="7"/>
      <c r="F5750" s="7"/>
      <c r="H5750" s="7"/>
      <c r="J5750" s="7"/>
      <c r="L5750" s="7"/>
      <c r="N5750" s="7"/>
      <c r="P5750" s="7"/>
      <c r="R5750" s="7"/>
      <c r="T5750" s="7"/>
      <c r="V5750" s="7"/>
      <c r="X5750" s="7"/>
    </row>
    <row r="5751" spans="2:24">
      <c r="B5751" s="7"/>
      <c r="D5751" s="7"/>
      <c r="F5751" s="7"/>
      <c r="H5751" s="7"/>
      <c r="J5751" s="7"/>
      <c r="L5751" s="7"/>
      <c r="N5751" s="7"/>
      <c r="P5751" s="7"/>
      <c r="R5751" s="7"/>
      <c r="T5751" s="7"/>
      <c r="V5751" s="7"/>
      <c r="X5751" s="7"/>
    </row>
    <row r="5752" spans="2:24">
      <c r="B5752" s="7"/>
      <c r="D5752" s="7"/>
      <c r="F5752" s="7"/>
      <c r="H5752" s="7"/>
      <c r="J5752" s="7"/>
      <c r="L5752" s="7"/>
      <c r="N5752" s="7"/>
      <c r="P5752" s="7"/>
      <c r="R5752" s="7"/>
      <c r="T5752" s="7"/>
      <c r="V5752" s="7"/>
      <c r="X5752" s="7"/>
    </row>
    <row r="5753" spans="2:24">
      <c r="B5753" s="7"/>
      <c r="D5753" s="7"/>
      <c r="F5753" s="7"/>
      <c r="H5753" s="7"/>
      <c r="J5753" s="7"/>
      <c r="L5753" s="7"/>
      <c r="N5753" s="7"/>
      <c r="P5753" s="7"/>
      <c r="R5753" s="7"/>
      <c r="T5753" s="7"/>
      <c r="V5753" s="7"/>
      <c r="X5753" s="7"/>
    </row>
    <row r="5754" spans="2:24">
      <c r="B5754" s="7"/>
      <c r="D5754" s="7"/>
      <c r="F5754" s="7"/>
      <c r="H5754" s="7"/>
      <c r="J5754" s="7"/>
      <c r="L5754" s="7"/>
      <c r="N5754" s="7"/>
      <c r="P5754" s="7"/>
      <c r="R5754" s="7"/>
      <c r="T5754" s="7"/>
      <c r="V5754" s="7"/>
      <c r="X5754" s="7"/>
    </row>
    <row r="5755" spans="2:24">
      <c r="B5755" s="7"/>
      <c r="D5755" s="7"/>
      <c r="F5755" s="7"/>
      <c r="H5755" s="7"/>
      <c r="J5755" s="7"/>
      <c r="L5755" s="7"/>
      <c r="N5755" s="7"/>
      <c r="P5755" s="7"/>
      <c r="R5755" s="7"/>
      <c r="T5755" s="7"/>
      <c r="V5755" s="7"/>
      <c r="X5755" s="7"/>
    </row>
    <row r="5756" spans="2:24">
      <c r="B5756" s="7"/>
      <c r="D5756" s="7"/>
      <c r="F5756" s="7"/>
      <c r="H5756" s="7"/>
      <c r="J5756" s="7"/>
      <c r="L5756" s="7"/>
      <c r="N5756" s="7"/>
      <c r="P5756" s="7"/>
      <c r="R5756" s="7"/>
      <c r="T5756" s="7"/>
      <c r="V5756" s="7"/>
      <c r="X5756" s="7"/>
    </row>
    <row r="5757" spans="2:24">
      <c r="B5757" s="7"/>
      <c r="D5757" s="7"/>
      <c r="F5757" s="7"/>
      <c r="H5757" s="7"/>
      <c r="J5757" s="7"/>
      <c r="L5757" s="7"/>
      <c r="N5757" s="7"/>
      <c r="P5757" s="7"/>
      <c r="R5757" s="7"/>
      <c r="T5757" s="7"/>
      <c r="V5757" s="7"/>
      <c r="X5757" s="7"/>
    </row>
    <row r="5758" spans="2:24">
      <c r="B5758" s="7"/>
      <c r="D5758" s="7"/>
      <c r="F5758" s="7"/>
      <c r="H5758" s="7"/>
      <c r="J5758" s="7"/>
      <c r="L5758" s="7"/>
      <c r="N5758" s="7"/>
      <c r="P5758" s="7"/>
      <c r="R5758" s="7"/>
      <c r="T5758" s="7"/>
      <c r="V5758" s="7"/>
      <c r="X5758" s="7"/>
    </row>
    <row r="5759" spans="2:24">
      <c r="B5759" s="7"/>
      <c r="D5759" s="7"/>
      <c r="F5759" s="7"/>
      <c r="H5759" s="7"/>
      <c r="J5759" s="7"/>
      <c r="L5759" s="7"/>
      <c r="N5759" s="7"/>
      <c r="P5759" s="7"/>
      <c r="R5759" s="7"/>
      <c r="T5759" s="7"/>
      <c r="V5759" s="7"/>
      <c r="X5759" s="7"/>
    </row>
    <row r="5760" spans="2:24">
      <c r="B5760" s="7"/>
      <c r="D5760" s="7"/>
      <c r="F5760" s="7"/>
      <c r="H5760" s="7"/>
      <c r="J5760" s="7"/>
      <c r="L5760" s="7"/>
      <c r="N5760" s="7"/>
      <c r="P5760" s="7"/>
      <c r="R5760" s="7"/>
      <c r="T5760" s="7"/>
      <c r="V5760" s="7"/>
      <c r="X5760" s="7"/>
    </row>
    <row r="5761" spans="2:24">
      <c r="B5761" s="7"/>
      <c r="D5761" s="7"/>
      <c r="F5761" s="7"/>
      <c r="H5761" s="7"/>
      <c r="J5761" s="7"/>
      <c r="L5761" s="7"/>
      <c r="N5761" s="7"/>
      <c r="P5761" s="7"/>
      <c r="R5761" s="7"/>
      <c r="T5761" s="7"/>
      <c r="V5761" s="7"/>
      <c r="X5761" s="7"/>
    </row>
    <row r="5762" spans="2:24">
      <c r="B5762" s="7"/>
      <c r="D5762" s="7"/>
      <c r="F5762" s="7"/>
      <c r="H5762" s="7"/>
      <c r="J5762" s="7"/>
      <c r="L5762" s="7"/>
      <c r="N5762" s="7"/>
      <c r="P5762" s="7"/>
      <c r="R5762" s="7"/>
      <c r="T5762" s="7"/>
      <c r="V5762" s="7"/>
      <c r="X5762" s="7"/>
    </row>
    <row r="5763" spans="2:24">
      <c r="B5763" s="7"/>
      <c r="D5763" s="7"/>
      <c r="F5763" s="7"/>
      <c r="H5763" s="7"/>
      <c r="J5763" s="7"/>
      <c r="L5763" s="7"/>
      <c r="N5763" s="7"/>
      <c r="P5763" s="7"/>
      <c r="R5763" s="7"/>
      <c r="T5763" s="7"/>
      <c r="V5763" s="7"/>
      <c r="X5763" s="7"/>
    </row>
    <row r="5764" spans="2:24">
      <c r="B5764" s="7"/>
      <c r="D5764" s="7"/>
      <c r="F5764" s="7"/>
      <c r="H5764" s="7"/>
      <c r="J5764" s="7"/>
      <c r="L5764" s="7"/>
      <c r="N5764" s="7"/>
      <c r="P5764" s="7"/>
      <c r="R5764" s="7"/>
      <c r="T5764" s="7"/>
      <c r="V5764" s="7"/>
      <c r="X5764" s="7"/>
    </row>
    <row r="5765" spans="2:24">
      <c r="B5765" s="7"/>
      <c r="D5765" s="7"/>
      <c r="F5765" s="7"/>
      <c r="H5765" s="7"/>
      <c r="J5765" s="7"/>
      <c r="L5765" s="7"/>
      <c r="N5765" s="7"/>
      <c r="P5765" s="7"/>
      <c r="R5765" s="7"/>
      <c r="T5765" s="7"/>
      <c r="V5765" s="7"/>
      <c r="X5765" s="7"/>
    </row>
    <row r="5766" spans="2:24">
      <c r="B5766" s="7"/>
      <c r="D5766" s="7"/>
      <c r="F5766" s="7"/>
      <c r="H5766" s="7"/>
      <c r="J5766" s="7"/>
      <c r="L5766" s="7"/>
      <c r="N5766" s="7"/>
      <c r="P5766" s="7"/>
      <c r="R5766" s="7"/>
      <c r="T5766" s="7"/>
      <c r="V5766" s="7"/>
      <c r="X5766" s="7"/>
    </row>
    <row r="5767" spans="2:24">
      <c r="B5767" s="7"/>
      <c r="D5767" s="7"/>
      <c r="F5767" s="7"/>
      <c r="H5767" s="7"/>
      <c r="J5767" s="7"/>
      <c r="L5767" s="7"/>
      <c r="N5767" s="7"/>
      <c r="P5767" s="7"/>
      <c r="R5767" s="7"/>
      <c r="T5767" s="7"/>
      <c r="V5767" s="7"/>
      <c r="X5767" s="7"/>
    </row>
    <row r="5768" spans="2:24">
      <c r="B5768" s="7"/>
      <c r="D5768" s="7"/>
      <c r="F5768" s="7"/>
      <c r="H5768" s="7"/>
      <c r="J5768" s="7"/>
      <c r="L5768" s="7"/>
      <c r="N5768" s="7"/>
      <c r="P5768" s="7"/>
      <c r="R5768" s="7"/>
      <c r="T5768" s="7"/>
      <c r="V5768" s="7"/>
      <c r="X5768" s="7"/>
    </row>
    <row r="5769" spans="2:24">
      <c r="B5769" s="7"/>
      <c r="D5769" s="7"/>
      <c r="F5769" s="7"/>
      <c r="H5769" s="7"/>
      <c r="J5769" s="7"/>
      <c r="L5769" s="7"/>
      <c r="N5769" s="7"/>
      <c r="P5769" s="7"/>
      <c r="R5769" s="7"/>
      <c r="T5769" s="7"/>
      <c r="V5769" s="7"/>
      <c r="X5769" s="7"/>
    </row>
    <row r="5770" spans="2:24">
      <c r="B5770" s="7"/>
      <c r="D5770" s="7"/>
      <c r="F5770" s="7"/>
      <c r="H5770" s="7"/>
      <c r="J5770" s="7"/>
      <c r="L5770" s="7"/>
      <c r="N5770" s="7"/>
      <c r="P5770" s="7"/>
      <c r="R5770" s="7"/>
      <c r="T5770" s="7"/>
      <c r="V5770" s="7"/>
      <c r="X5770" s="7"/>
    </row>
    <row r="5771" spans="2:24">
      <c r="B5771" s="7"/>
      <c r="D5771" s="7"/>
      <c r="F5771" s="7"/>
      <c r="H5771" s="7"/>
      <c r="J5771" s="7"/>
      <c r="L5771" s="7"/>
      <c r="N5771" s="7"/>
      <c r="P5771" s="7"/>
      <c r="R5771" s="7"/>
      <c r="T5771" s="7"/>
      <c r="V5771" s="7"/>
      <c r="X5771" s="7"/>
    </row>
    <row r="5772" spans="2:24">
      <c r="B5772" s="7"/>
      <c r="D5772" s="7"/>
      <c r="F5772" s="7"/>
      <c r="H5772" s="7"/>
      <c r="J5772" s="7"/>
      <c r="L5772" s="7"/>
      <c r="N5772" s="7"/>
      <c r="P5772" s="7"/>
      <c r="R5772" s="7"/>
      <c r="T5772" s="7"/>
      <c r="V5772" s="7"/>
      <c r="X5772" s="7"/>
    </row>
    <row r="5773" spans="2:24">
      <c r="B5773" s="7"/>
      <c r="D5773" s="7"/>
      <c r="F5773" s="7"/>
      <c r="H5773" s="7"/>
      <c r="J5773" s="7"/>
      <c r="L5773" s="7"/>
      <c r="N5773" s="7"/>
      <c r="P5773" s="7"/>
      <c r="R5773" s="7"/>
      <c r="T5773" s="7"/>
      <c r="V5773" s="7"/>
      <c r="X5773" s="7"/>
    </row>
    <row r="5774" spans="2:24">
      <c r="B5774" s="7"/>
      <c r="D5774" s="7"/>
      <c r="F5774" s="7"/>
      <c r="H5774" s="7"/>
      <c r="J5774" s="7"/>
      <c r="L5774" s="7"/>
      <c r="N5774" s="7"/>
      <c r="P5774" s="7"/>
      <c r="R5774" s="7"/>
      <c r="T5774" s="7"/>
      <c r="V5774" s="7"/>
      <c r="X5774" s="7"/>
    </row>
    <row r="5775" spans="2:24">
      <c r="B5775" s="7"/>
      <c r="D5775" s="7"/>
      <c r="F5775" s="7"/>
      <c r="H5775" s="7"/>
      <c r="J5775" s="7"/>
      <c r="L5775" s="7"/>
      <c r="N5775" s="7"/>
      <c r="P5775" s="7"/>
      <c r="R5775" s="7"/>
      <c r="T5775" s="7"/>
      <c r="V5775" s="7"/>
      <c r="X5775" s="7"/>
    </row>
    <row r="5776" spans="2:24">
      <c r="B5776" s="7"/>
      <c r="D5776" s="7"/>
      <c r="F5776" s="7"/>
      <c r="H5776" s="7"/>
      <c r="J5776" s="7"/>
      <c r="L5776" s="7"/>
      <c r="N5776" s="7"/>
      <c r="P5776" s="7"/>
      <c r="R5776" s="7"/>
      <c r="T5776" s="7"/>
      <c r="V5776" s="7"/>
      <c r="X5776" s="7"/>
    </row>
    <row r="5777" spans="2:24">
      <c r="B5777" s="7"/>
      <c r="D5777" s="7"/>
      <c r="F5777" s="7"/>
      <c r="H5777" s="7"/>
      <c r="J5777" s="7"/>
      <c r="L5777" s="7"/>
      <c r="N5777" s="7"/>
      <c r="P5777" s="7"/>
      <c r="R5777" s="7"/>
      <c r="T5777" s="7"/>
      <c r="V5777" s="7"/>
      <c r="X5777" s="7"/>
    </row>
    <row r="5778" spans="2:24">
      <c r="B5778" s="7"/>
      <c r="D5778" s="7"/>
      <c r="F5778" s="7"/>
      <c r="H5778" s="7"/>
      <c r="J5778" s="7"/>
      <c r="L5778" s="7"/>
      <c r="N5778" s="7"/>
      <c r="P5778" s="7"/>
      <c r="R5778" s="7"/>
      <c r="T5778" s="7"/>
      <c r="V5778" s="7"/>
      <c r="X5778" s="7"/>
    </row>
    <row r="5779" spans="2:24">
      <c r="B5779" s="7"/>
      <c r="D5779" s="7"/>
      <c r="F5779" s="7"/>
      <c r="H5779" s="7"/>
      <c r="J5779" s="7"/>
      <c r="L5779" s="7"/>
      <c r="N5779" s="7"/>
      <c r="P5779" s="7"/>
      <c r="R5779" s="7"/>
      <c r="T5779" s="7"/>
      <c r="V5779" s="7"/>
      <c r="X5779" s="7"/>
    </row>
    <row r="5780" spans="2:24">
      <c r="B5780" s="7"/>
      <c r="D5780" s="7"/>
      <c r="F5780" s="7"/>
      <c r="H5780" s="7"/>
      <c r="J5780" s="7"/>
      <c r="L5780" s="7"/>
      <c r="N5780" s="7"/>
      <c r="P5780" s="7"/>
      <c r="R5780" s="7"/>
      <c r="T5780" s="7"/>
      <c r="V5780" s="7"/>
      <c r="X5780" s="7"/>
    </row>
    <row r="5781" spans="2:24">
      <c r="B5781" s="7"/>
      <c r="D5781" s="7"/>
      <c r="F5781" s="7"/>
      <c r="H5781" s="7"/>
      <c r="J5781" s="7"/>
      <c r="L5781" s="7"/>
      <c r="N5781" s="7"/>
      <c r="P5781" s="7"/>
      <c r="R5781" s="7"/>
      <c r="T5781" s="7"/>
      <c r="V5781" s="7"/>
      <c r="X5781" s="7"/>
    </row>
    <row r="5782" spans="2:24">
      <c r="B5782" s="7"/>
      <c r="D5782" s="7"/>
      <c r="F5782" s="7"/>
      <c r="H5782" s="7"/>
      <c r="J5782" s="7"/>
      <c r="L5782" s="7"/>
      <c r="N5782" s="7"/>
      <c r="P5782" s="7"/>
      <c r="R5782" s="7"/>
      <c r="T5782" s="7"/>
      <c r="V5782" s="7"/>
      <c r="X5782" s="7"/>
    </row>
    <row r="5783" spans="2:24">
      <c r="B5783" s="7"/>
      <c r="D5783" s="7"/>
      <c r="F5783" s="7"/>
      <c r="H5783" s="7"/>
      <c r="J5783" s="7"/>
      <c r="L5783" s="7"/>
      <c r="N5783" s="7"/>
      <c r="P5783" s="7"/>
      <c r="R5783" s="7"/>
      <c r="T5783" s="7"/>
      <c r="V5783" s="7"/>
      <c r="X5783" s="7"/>
    </row>
    <row r="5784" spans="2:24">
      <c r="B5784" s="7"/>
      <c r="D5784" s="7"/>
      <c r="F5784" s="7"/>
      <c r="H5784" s="7"/>
      <c r="J5784" s="7"/>
      <c r="L5784" s="7"/>
      <c r="N5784" s="7"/>
      <c r="P5784" s="7"/>
      <c r="R5784" s="7"/>
      <c r="T5784" s="7"/>
      <c r="V5784" s="7"/>
      <c r="X5784" s="7"/>
    </row>
    <row r="5785" spans="2:24">
      <c r="B5785" s="7"/>
      <c r="D5785" s="7"/>
      <c r="F5785" s="7"/>
      <c r="H5785" s="7"/>
      <c r="J5785" s="7"/>
      <c r="L5785" s="7"/>
      <c r="N5785" s="7"/>
      <c r="P5785" s="7"/>
      <c r="R5785" s="7"/>
      <c r="T5785" s="7"/>
      <c r="V5785" s="7"/>
      <c r="X5785" s="7"/>
    </row>
    <row r="5786" spans="2:24">
      <c r="B5786" s="7"/>
      <c r="D5786" s="7"/>
      <c r="F5786" s="7"/>
      <c r="H5786" s="7"/>
      <c r="J5786" s="7"/>
      <c r="L5786" s="7"/>
      <c r="N5786" s="7"/>
      <c r="P5786" s="7"/>
      <c r="R5786" s="7"/>
      <c r="T5786" s="7"/>
      <c r="V5786" s="7"/>
      <c r="X5786" s="7"/>
    </row>
    <row r="5787" spans="2:24">
      <c r="B5787" s="7"/>
      <c r="D5787" s="7"/>
      <c r="F5787" s="7"/>
      <c r="H5787" s="7"/>
      <c r="J5787" s="7"/>
      <c r="L5787" s="7"/>
      <c r="N5787" s="7"/>
      <c r="P5787" s="7"/>
      <c r="R5787" s="7"/>
      <c r="T5787" s="7"/>
      <c r="V5787" s="7"/>
      <c r="X5787" s="7"/>
    </row>
    <row r="5788" spans="2:24">
      <c r="B5788" s="7"/>
      <c r="D5788" s="7"/>
      <c r="F5788" s="7"/>
      <c r="H5788" s="7"/>
      <c r="J5788" s="7"/>
      <c r="L5788" s="7"/>
      <c r="N5788" s="7"/>
      <c r="P5788" s="7"/>
      <c r="R5788" s="7"/>
      <c r="T5788" s="7"/>
      <c r="V5788" s="7"/>
      <c r="X5788" s="7"/>
    </row>
    <row r="5789" spans="2:24">
      <c r="B5789" s="7"/>
      <c r="D5789" s="7"/>
      <c r="F5789" s="7"/>
      <c r="H5789" s="7"/>
      <c r="J5789" s="7"/>
      <c r="L5789" s="7"/>
      <c r="N5789" s="7"/>
      <c r="P5789" s="7"/>
      <c r="R5789" s="7"/>
      <c r="T5789" s="7"/>
      <c r="V5789" s="7"/>
      <c r="X5789" s="7"/>
    </row>
    <row r="5790" spans="2:24">
      <c r="B5790" s="7"/>
      <c r="D5790" s="7"/>
      <c r="F5790" s="7"/>
      <c r="H5790" s="7"/>
      <c r="J5790" s="7"/>
      <c r="L5790" s="7"/>
      <c r="N5790" s="7"/>
      <c r="P5790" s="7"/>
      <c r="R5790" s="7"/>
      <c r="T5790" s="7"/>
      <c r="V5790" s="7"/>
      <c r="X5790" s="7"/>
    </row>
    <row r="5791" spans="2:24">
      <c r="B5791" s="7"/>
      <c r="D5791" s="7"/>
      <c r="F5791" s="7"/>
      <c r="H5791" s="7"/>
      <c r="J5791" s="7"/>
      <c r="L5791" s="7"/>
      <c r="N5791" s="7"/>
      <c r="P5791" s="7"/>
      <c r="R5791" s="7"/>
      <c r="T5791" s="7"/>
      <c r="V5791" s="7"/>
      <c r="X5791" s="7"/>
    </row>
    <row r="5792" spans="2:24">
      <c r="B5792" s="7"/>
      <c r="D5792" s="7"/>
      <c r="F5792" s="7"/>
      <c r="H5792" s="7"/>
      <c r="J5792" s="7"/>
      <c r="L5792" s="7"/>
      <c r="N5792" s="7"/>
      <c r="P5792" s="7"/>
      <c r="R5792" s="7"/>
      <c r="T5792" s="7"/>
      <c r="V5792" s="7"/>
      <c r="X5792" s="7"/>
    </row>
    <row r="5793" spans="2:24">
      <c r="B5793" s="7"/>
      <c r="D5793" s="7"/>
      <c r="F5793" s="7"/>
      <c r="H5793" s="7"/>
      <c r="J5793" s="7"/>
      <c r="L5793" s="7"/>
      <c r="N5793" s="7"/>
      <c r="P5793" s="7"/>
      <c r="R5793" s="7"/>
      <c r="T5793" s="7"/>
      <c r="V5793" s="7"/>
      <c r="X5793" s="7"/>
    </row>
    <row r="5794" spans="2:24">
      <c r="B5794" s="7"/>
      <c r="D5794" s="7"/>
      <c r="F5794" s="7"/>
      <c r="H5794" s="7"/>
      <c r="J5794" s="7"/>
      <c r="L5794" s="7"/>
      <c r="N5794" s="7"/>
      <c r="P5794" s="7"/>
      <c r="R5794" s="7"/>
      <c r="T5794" s="7"/>
      <c r="V5794" s="7"/>
      <c r="X5794" s="7"/>
    </row>
    <row r="5795" spans="2:24">
      <c r="B5795" s="7"/>
      <c r="D5795" s="7"/>
      <c r="F5795" s="7"/>
      <c r="H5795" s="7"/>
      <c r="J5795" s="7"/>
      <c r="L5795" s="7"/>
      <c r="N5795" s="7"/>
      <c r="P5795" s="7"/>
      <c r="R5795" s="7"/>
      <c r="T5795" s="7"/>
      <c r="V5795" s="7"/>
      <c r="X5795" s="7"/>
    </row>
    <row r="5796" spans="2:24">
      <c r="B5796" s="7"/>
      <c r="D5796" s="7"/>
      <c r="F5796" s="7"/>
      <c r="H5796" s="7"/>
      <c r="J5796" s="7"/>
      <c r="L5796" s="7"/>
      <c r="N5796" s="7"/>
      <c r="P5796" s="7"/>
      <c r="R5796" s="7"/>
      <c r="T5796" s="7"/>
      <c r="V5796" s="7"/>
      <c r="X5796" s="7"/>
    </row>
    <row r="5797" spans="2:24">
      <c r="B5797" s="7"/>
      <c r="D5797" s="7"/>
      <c r="F5797" s="7"/>
      <c r="H5797" s="7"/>
      <c r="J5797" s="7"/>
      <c r="L5797" s="7"/>
      <c r="N5797" s="7"/>
      <c r="P5797" s="7"/>
      <c r="R5797" s="7"/>
      <c r="T5797" s="7"/>
      <c r="V5797" s="7"/>
      <c r="X5797" s="7"/>
    </row>
    <row r="5798" spans="2:24">
      <c r="B5798" s="7"/>
      <c r="D5798" s="7"/>
      <c r="F5798" s="7"/>
      <c r="H5798" s="7"/>
      <c r="J5798" s="7"/>
      <c r="L5798" s="7"/>
      <c r="N5798" s="7"/>
      <c r="P5798" s="7"/>
      <c r="R5798" s="7"/>
      <c r="T5798" s="7"/>
      <c r="V5798" s="7"/>
      <c r="X5798" s="7"/>
    </row>
    <row r="5799" spans="2:24">
      <c r="B5799" s="7"/>
      <c r="D5799" s="7"/>
      <c r="F5799" s="7"/>
      <c r="H5799" s="7"/>
      <c r="J5799" s="7"/>
      <c r="L5799" s="7"/>
      <c r="N5799" s="7"/>
      <c r="P5799" s="7"/>
      <c r="R5799" s="7"/>
      <c r="T5799" s="7"/>
      <c r="V5799" s="7"/>
      <c r="X5799" s="7"/>
    </row>
    <row r="5800" spans="2:24">
      <c r="B5800" s="7"/>
      <c r="D5800" s="7"/>
      <c r="F5800" s="7"/>
      <c r="H5800" s="7"/>
      <c r="J5800" s="7"/>
      <c r="L5800" s="7"/>
      <c r="N5800" s="7"/>
      <c r="P5800" s="7"/>
      <c r="R5800" s="7"/>
      <c r="T5800" s="7"/>
      <c r="V5800" s="7"/>
      <c r="X5800" s="7"/>
    </row>
    <row r="5801" spans="2:24">
      <c r="B5801" s="7"/>
      <c r="D5801" s="7"/>
      <c r="F5801" s="7"/>
      <c r="H5801" s="7"/>
      <c r="J5801" s="7"/>
      <c r="L5801" s="7"/>
      <c r="N5801" s="7"/>
      <c r="P5801" s="7"/>
      <c r="R5801" s="7"/>
      <c r="T5801" s="7"/>
      <c r="V5801" s="7"/>
      <c r="X5801" s="7"/>
    </row>
    <row r="5802" spans="2:24">
      <c r="B5802" s="7"/>
      <c r="D5802" s="7"/>
      <c r="F5802" s="7"/>
      <c r="H5802" s="7"/>
      <c r="J5802" s="7"/>
      <c r="L5802" s="7"/>
      <c r="N5802" s="7"/>
      <c r="P5802" s="7"/>
      <c r="R5802" s="7"/>
      <c r="T5802" s="7"/>
      <c r="V5802" s="7"/>
      <c r="X5802" s="7"/>
    </row>
    <row r="5803" spans="2:24">
      <c r="B5803" s="7"/>
      <c r="D5803" s="7"/>
      <c r="F5803" s="7"/>
      <c r="H5803" s="7"/>
      <c r="J5803" s="7"/>
      <c r="L5803" s="7"/>
      <c r="N5803" s="7"/>
      <c r="P5803" s="7"/>
      <c r="R5803" s="7"/>
      <c r="T5803" s="7"/>
      <c r="V5803" s="7"/>
      <c r="X5803" s="7"/>
    </row>
    <row r="5804" spans="2:24">
      <c r="B5804" s="7"/>
      <c r="D5804" s="7"/>
      <c r="F5804" s="7"/>
      <c r="H5804" s="7"/>
      <c r="J5804" s="7"/>
      <c r="L5804" s="7"/>
      <c r="N5804" s="7"/>
      <c r="P5804" s="7"/>
      <c r="R5804" s="7"/>
      <c r="T5804" s="7"/>
      <c r="V5804" s="7"/>
      <c r="X5804" s="7"/>
    </row>
    <row r="5805" spans="2:24">
      <c r="B5805" s="7"/>
      <c r="D5805" s="7"/>
      <c r="F5805" s="7"/>
      <c r="H5805" s="7"/>
      <c r="J5805" s="7"/>
      <c r="L5805" s="7"/>
      <c r="N5805" s="7"/>
      <c r="P5805" s="7"/>
      <c r="R5805" s="7"/>
      <c r="T5805" s="7"/>
      <c r="V5805" s="7"/>
      <c r="X5805" s="7"/>
    </row>
    <row r="5806" spans="2:24">
      <c r="B5806" s="7"/>
      <c r="D5806" s="7"/>
      <c r="F5806" s="7"/>
      <c r="H5806" s="7"/>
      <c r="J5806" s="7"/>
      <c r="L5806" s="7"/>
      <c r="N5806" s="7"/>
      <c r="P5806" s="7"/>
      <c r="R5806" s="7"/>
      <c r="T5806" s="7"/>
      <c r="V5806" s="7"/>
      <c r="X5806" s="7"/>
    </row>
    <row r="5807" spans="2:24">
      <c r="B5807" s="7"/>
      <c r="D5807" s="7"/>
      <c r="F5807" s="7"/>
      <c r="H5807" s="7"/>
      <c r="J5807" s="7"/>
      <c r="L5807" s="7"/>
      <c r="N5807" s="7"/>
      <c r="P5807" s="7"/>
      <c r="R5807" s="7"/>
      <c r="T5807" s="7"/>
      <c r="V5807" s="7"/>
      <c r="X5807" s="7"/>
    </row>
    <row r="5808" spans="2:24">
      <c r="B5808" s="7"/>
      <c r="D5808" s="7"/>
      <c r="F5808" s="7"/>
      <c r="H5808" s="7"/>
      <c r="J5808" s="7"/>
      <c r="L5808" s="7"/>
      <c r="N5808" s="7"/>
      <c r="P5808" s="7"/>
      <c r="R5808" s="7"/>
      <c r="T5808" s="7"/>
      <c r="V5808" s="7"/>
      <c r="X5808" s="7"/>
    </row>
    <row r="5809" spans="2:24">
      <c r="B5809" s="7"/>
      <c r="D5809" s="7"/>
      <c r="F5809" s="7"/>
      <c r="H5809" s="7"/>
      <c r="J5809" s="7"/>
      <c r="L5809" s="7"/>
      <c r="N5809" s="7"/>
      <c r="P5809" s="7"/>
      <c r="R5809" s="7"/>
      <c r="T5809" s="7"/>
      <c r="V5809" s="7"/>
      <c r="X5809" s="7"/>
    </row>
    <row r="5810" spans="2:24">
      <c r="B5810" s="7"/>
      <c r="D5810" s="7"/>
      <c r="F5810" s="7"/>
      <c r="H5810" s="7"/>
      <c r="J5810" s="7"/>
      <c r="L5810" s="7"/>
      <c r="N5810" s="7"/>
      <c r="P5810" s="7"/>
      <c r="R5810" s="7"/>
      <c r="T5810" s="7"/>
      <c r="V5810" s="7"/>
      <c r="X5810" s="7"/>
    </row>
    <row r="5811" spans="2:24">
      <c r="B5811" s="7"/>
      <c r="D5811" s="7"/>
      <c r="F5811" s="7"/>
      <c r="H5811" s="7"/>
      <c r="J5811" s="7"/>
      <c r="L5811" s="7"/>
      <c r="N5811" s="7"/>
      <c r="P5811" s="7"/>
      <c r="R5811" s="7"/>
      <c r="T5811" s="7"/>
      <c r="V5811" s="7"/>
      <c r="X5811" s="7"/>
    </row>
    <row r="5812" spans="2:24">
      <c r="B5812" s="7"/>
      <c r="D5812" s="7"/>
      <c r="F5812" s="7"/>
      <c r="H5812" s="7"/>
      <c r="J5812" s="7"/>
      <c r="L5812" s="7"/>
      <c r="N5812" s="7"/>
      <c r="P5812" s="7"/>
      <c r="R5812" s="7"/>
      <c r="T5812" s="7"/>
      <c r="V5812" s="7"/>
      <c r="X5812" s="7"/>
    </row>
    <row r="5813" spans="2:24">
      <c r="B5813" s="7"/>
      <c r="D5813" s="7"/>
      <c r="F5813" s="7"/>
      <c r="H5813" s="7"/>
      <c r="J5813" s="7"/>
      <c r="L5813" s="7"/>
      <c r="N5813" s="7"/>
      <c r="P5813" s="7"/>
      <c r="R5813" s="7"/>
      <c r="T5813" s="7"/>
      <c r="V5813" s="7"/>
      <c r="X5813" s="7"/>
    </row>
    <row r="5814" spans="2:24">
      <c r="B5814" s="7"/>
      <c r="D5814" s="7"/>
      <c r="F5814" s="7"/>
      <c r="H5814" s="7"/>
      <c r="J5814" s="7"/>
      <c r="L5814" s="7"/>
      <c r="N5814" s="7"/>
      <c r="P5814" s="7"/>
      <c r="R5814" s="7"/>
      <c r="T5814" s="7"/>
      <c r="V5814" s="7"/>
      <c r="X5814" s="7"/>
    </row>
    <row r="5815" spans="2:24">
      <c r="B5815" s="7"/>
      <c r="D5815" s="7"/>
      <c r="F5815" s="7"/>
      <c r="H5815" s="7"/>
      <c r="J5815" s="7"/>
      <c r="L5815" s="7"/>
      <c r="N5815" s="7"/>
      <c r="P5815" s="7"/>
      <c r="R5815" s="7"/>
      <c r="T5815" s="7"/>
      <c r="V5815" s="7"/>
      <c r="X5815" s="7"/>
    </row>
    <row r="5816" spans="2:24">
      <c r="B5816" s="7"/>
      <c r="D5816" s="7"/>
      <c r="F5816" s="7"/>
      <c r="H5816" s="7"/>
      <c r="J5816" s="7"/>
      <c r="L5816" s="7"/>
      <c r="N5816" s="7"/>
      <c r="P5816" s="7"/>
      <c r="R5816" s="7"/>
      <c r="T5816" s="7"/>
      <c r="V5816" s="7"/>
      <c r="X5816" s="7"/>
    </row>
    <row r="5817" spans="2:24">
      <c r="B5817" s="7"/>
      <c r="D5817" s="7"/>
      <c r="F5817" s="7"/>
      <c r="H5817" s="7"/>
      <c r="J5817" s="7"/>
      <c r="L5817" s="7"/>
      <c r="N5817" s="7"/>
      <c r="P5817" s="7"/>
      <c r="R5817" s="7"/>
      <c r="T5817" s="7"/>
      <c r="V5817" s="7"/>
      <c r="X5817" s="7"/>
    </row>
    <row r="5818" spans="2:24">
      <c r="B5818" s="7"/>
      <c r="D5818" s="7"/>
      <c r="F5818" s="7"/>
      <c r="H5818" s="7"/>
      <c r="J5818" s="7"/>
      <c r="L5818" s="7"/>
      <c r="N5818" s="7"/>
      <c r="P5818" s="7"/>
      <c r="R5818" s="7"/>
      <c r="T5818" s="7"/>
      <c r="V5818" s="7"/>
      <c r="X5818" s="7"/>
    </row>
    <row r="5819" spans="2:24">
      <c r="B5819" s="7"/>
      <c r="D5819" s="7"/>
      <c r="F5819" s="7"/>
      <c r="H5819" s="7"/>
      <c r="J5819" s="7"/>
      <c r="L5819" s="7"/>
      <c r="N5819" s="7"/>
      <c r="P5819" s="7"/>
      <c r="R5819" s="7"/>
      <c r="T5819" s="7"/>
      <c r="V5819" s="7"/>
      <c r="X5819" s="7"/>
    </row>
    <row r="5820" spans="2:24">
      <c r="B5820" s="7"/>
      <c r="D5820" s="7"/>
      <c r="F5820" s="7"/>
      <c r="H5820" s="7"/>
      <c r="J5820" s="7"/>
      <c r="L5820" s="7"/>
      <c r="N5820" s="7"/>
      <c r="P5820" s="7"/>
      <c r="R5820" s="7"/>
      <c r="T5820" s="7"/>
      <c r="V5820" s="7"/>
      <c r="X5820" s="7"/>
    </row>
    <row r="5821" spans="2:24">
      <c r="B5821" s="7"/>
      <c r="D5821" s="7"/>
      <c r="F5821" s="7"/>
      <c r="H5821" s="7"/>
      <c r="J5821" s="7"/>
      <c r="L5821" s="7"/>
      <c r="N5821" s="7"/>
      <c r="P5821" s="7"/>
      <c r="R5821" s="7"/>
      <c r="T5821" s="7"/>
      <c r="V5821" s="7"/>
      <c r="X5821" s="7"/>
    </row>
    <row r="5822" spans="2:24">
      <c r="B5822" s="7"/>
      <c r="D5822" s="7"/>
      <c r="F5822" s="7"/>
      <c r="H5822" s="7"/>
      <c r="J5822" s="7"/>
      <c r="L5822" s="7"/>
      <c r="N5822" s="7"/>
      <c r="P5822" s="7"/>
      <c r="R5822" s="7"/>
      <c r="T5822" s="7"/>
      <c r="V5822" s="7"/>
      <c r="X5822" s="7"/>
    </row>
    <row r="5823" spans="2:24">
      <c r="B5823" s="7"/>
      <c r="D5823" s="7"/>
      <c r="F5823" s="7"/>
      <c r="H5823" s="7"/>
      <c r="J5823" s="7"/>
      <c r="L5823" s="7"/>
      <c r="N5823" s="7"/>
      <c r="P5823" s="7"/>
      <c r="R5823" s="7"/>
      <c r="T5823" s="7"/>
      <c r="V5823" s="7"/>
      <c r="X5823" s="7"/>
    </row>
    <row r="5824" spans="2:24">
      <c r="B5824" s="7"/>
      <c r="D5824" s="7"/>
      <c r="F5824" s="7"/>
      <c r="H5824" s="7"/>
      <c r="J5824" s="7"/>
      <c r="L5824" s="7"/>
      <c r="N5824" s="7"/>
      <c r="P5824" s="7"/>
      <c r="R5824" s="7"/>
      <c r="T5824" s="7"/>
      <c r="V5824" s="7"/>
      <c r="X5824" s="7"/>
    </row>
    <row r="5825" spans="2:24">
      <c r="B5825" s="7"/>
      <c r="D5825" s="7"/>
      <c r="F5825" s="7"/>
      <c r="H5825" s="7"/>
      <c r="J5825" s="7"/>
      <c r="L5825" s="7"/>
      <c r="N5825" s="7"/>
      <c r="P5825" s="7"/>
      <c r="R5825" s="7"/>
      <c r="T5825" s="7"/>
      <c r="V5825" s="7"/>
      <c r="X5825" s="7"/>
    </row>
    <row r="5826" spans="2:24">
      <c r="B5826" s="7"/>
      <c r="D5826" s="7"/>
      <c r="F5826" s="7"/>
      <c r="H5826" s="7"/>
      <c r="J5826" s="7"/>
      <c r="L5826" s="7"/>
      <c r="N5826" s="7"/>
      <c r="P5826" s="7"/>
      <c r="R5826" s="7"/>
      <c r="T5826" s="7"/>
      <c r="V5826" s="7"/>
      <c r="X5826" s="7"/>
    </row>
    <row r="5827" spans="2:24">
      <c r="B5827" s="7"/>
      <c r="D5827" s="7"/>
      <c r="F5827" s="7"/>
      <c r="H5827" s="7"/>
      <c r="J5827" s="7"/>
      <c r="L5827" s="7"/>
      <c r="N5827" s="7"/>
      <c r="P5827" s="7"/>
      <c r="R5827" s="7"/>
      <c r="T5827" s="7"/>
      <c r="V5827" s="7"/>
      <c r="X5827" s="7"/>
    </row>
    <row r="5828" spans="2:24">
      <c r="B5828" s="7"/>
      <c r="D5828" s="7"/>
      <c r="F5828" s="7"/>
      <c r="H5828" s="7"/>
      <c r="J5828" s="7"/>
      <c r="L5828" s="7"/>
      <c r="N5828" s="7"/>
      <c r="P5828" s="7"/>
      <c r="R5828" s="7"/>
      <c r="T5828" s="7"/>
      <c r="V5828" s="7"/>
      <c r="X5828" s="7"/>
    </row>
    <row r="5829" spans="2:24">
      <c r="B5829" s="7"/>
      <c r="D5829" s="7"/>
      <c r="F5829" s="7"/>
      <c r="H5829" s="7"/>
      <c r="J5829" s="7"/>
      <c r="L5829" s="7"/>
      <c r="N5829" s="7"/>
      <c r="P5829" s="7"/>
      <c r="R5829" s="7"/>
      <c r="T5829" s="7"/>
      <c r="V5829" s="7"/>
      <c r="X5829" s="7"/>
    </row>
    <row r="5830" spans="2:24">
      <c r="B5830" s="7"/>
      <c r="D5830" s="7"/>
      <c r="F5830" s="7"/>
      <c r="H5830" s="7"/>
      <c r="J5830" s="7"/>
      <c r="L5830" s="7"/>
      <c r="N5830" s="7"/>
      <c r="P5830" s="7"/>
      <c r="R5830" s="7"/>
      <c r="T5830" s="7"/>
      <c r="V5830" s="7"/>
      <c r="X5830" s="7"/>
    </row>
    <row r="5831" spans="2:24">
      <c r="B5831" s="7"/>
      <c r="D5831" s="7"/>
      <c r="F5831" s="7"/>
      <c r="H5831" s="7"/>
      <c r="J5831" s="7"/>
      <c r="L5831" s="7"/>
      <c r="N5831" s="7"/>
      <c r="P5831" s="7"/>
      <c r="R5831" s="7"/>
      <c r="T5831" s="7"/>
      <c r="V5831" s="7"/>
      <c r="X5831" s="7"/>
    </row>
    <row r="5832" spans="2:24">
      <c r="B5832" s="7"/>
      <c r="D5832" s="7"/>
      <c r="F5832" s="7"/>
      <c r="H5832" s="7"/>
      <c r="J5832" s="7"/>
      <c r="L5832" s="7"/>
      <c r="N5832" s="7"/>
      <c r="P5832" s="7"/>
      <c r="R5832" s="7"/>
      <c r="T5832" s="7"/>
      <c r="V5832" s="7"/>
      <c r="X5832" s="7"/>
    </row>
    <row r="5833" spans="2:24">
      <c r="B5833" s="7"/>
      <c r="D5833" s="7"/>
      <c r="F5833" s="7"/>
      <c r="H5833" s="7"/>
      <c r="J5833" s="7"/>
      <c r="L5833" s="7"/>
      <c r="N5833" s="7"/>
      <c r="P5833" s="7"/>
      <c r="R5833" s="7"/>
      <c r="T5833" s="7"/>
      <c r="V5833" s="7"/>
      <c r="X5833" s="7"/>
    </row>
    <row r="5834" spans="2:24">
      <c r="B5834" s="7"/>
      <c r="D5834" s="7"/>
      <c r="F5834" s="7"/>
      <c r="H5834" s="7"/>
      <c r="J5834" s="7"/>
      <c r="L5834" s="7"/>
      <c r="N5834" s="7"/>
      <c r="P5834" s="7"/>
      <c r="R5834" s="7"/>
      <c r="T5834" s="7"/>
      <c r="V5834" s="7"/>
      <c r="X5834" s="7"/>
    </row>
    <row r="5835" spans="2:24">
      <c r="B5835" s="7"/>
      <c r="D5835" s="7"/>
      <c r="F5835" s="7"/>
      <c r="H5835" s="7"/>
      <c r="J5835" s="7"/>
      <c r="L5835" s="7"/>
      <c r="N5835" s="7"/>
      <c r="P5835" s="7"/>
      <c r="R5835" s="7"/>
      <c r="T5835" s="7"/>
      <c r="V5835" s="7"/>
      <c r="X5835" s="7"/>
    </row>
    <row r="5836" spans="2:24">
      <c r="B5836" s="7"/>
      <c r="D5836" s="7"/>
      <c r="F5836" s="7"/>
      <c r="H5836" s="7"/>
      <c r="J5836" s="7"/>
      <c r="L5836" s="7"/>
      <c r="N5836" s="7"/>
      <c r="P5836" s="7"/>
      <c r="R5836" s="7"/>
      <c r="T5836" s="7"/>
      <c r="V5836" s="7"/>
      <c r="X5836" s="7"/>
    </row>
    <row r="5837" spans="2:24">
      <c r="B5837" s="7"/>
      <c r="D5837" s="7"/>
      <c r="F5837" s="7"/>
      <c r="H5837" s="7"/>
      <c r="J5837" s="7"/>
      <c r="L5837" s="7"/>
      <c r="N5837" s="7"/>
      <c r="P5837" s="7"/>
      <c r="R5837" s="7"/>
      <c r="T5837" s="7"/>
      <c r="V5837" s="7"/>
      <c r="X5837" s="7"/>
    </row>
    <row r="5838" spans="2:24">
      <c r="B5838" s="7"/>
      <c r="D5838" s="7"/>
      <c r="F5838" s="7"/>
      <c r="H5838" s="7"/>
      <c r="J5838" s="7"/>
      <c r="L5838" s="7"/>
      <c r="N5838" s="7"/>
      <c r="P5838" s="7"/>
      <c r="R5838" s="7"/>
      <c r="T5838" s="7"/>
      <c r="V5838" s="7"/>
      <c r="X5838" s="7"/>
    </row>
    <row r="5839" spans="2:24">
      <c r="B5839" s="7"/>
      <c r="D5839" s="7"/>
      <c r="F5839" s="7"/>
      <c r="H5839" s="7"/>
      <c r="J5839" s="7"/>
      <c r="L5839" s="7"/>
      <c r="N5839" s="7"/>
      <c r="P5839" s="7"/>
      <c r="R5839" s="7"/>
      <c r="T5839" s="7"/>
      <c r="V5839" s="7"/>
      <c r="X5839" s="7"/>
    </row>
    <row r="5840" spans="2:24">
      <c r="B5840" s="7"/>
      <c r="D5840" s="7"/>
      <c r="F5840" s="7"/>
      <c r="H5840" s="7"/>
      <c r="J5840" s="7"/>
      <c r="L5840" s="7"/>
      <c r="N5840" s="7"/>
      <c r="P5840" s="7"/>
      <c r="R5840" s="7"/>
      <c r="T5840" s="7"/>
      <c r="V5840" s="7"/>
      <c r="X5840" s="7"/>
    </row>
    <row r="5841" spans="2:24">
      <c r="B5841" s="7"/>
      <c r="D5841" s="7"/>
      <c r="F5841" s="7"/>
      <c r="H5841" s="7"/>
      <c r="J5841" s="7"/>
      <c r="L5841" s="7"/>
      <c r="N5841" s="7"/>
      <c r="P5841" s="7"/>
      <c r="R5841" s="7"/>
      <c r="T5841" s="7"/>
      <c r="V5841" s="7"/>
      <c r="X5841" s="7"/>
    </row>
    <row r="5842" spans="2:24">
      <c r="B5842" s="7"/>
      <c r="D5842" s="7"/>
      <c r="F5842" s="7"/>
      <c r="H5842" s="7"/>
      <c r="J5842" s="7"/>
      <c r="L5842" s="7"/>
      <c r="N5842" s="7"/>
      <c r="P5842" s="7"/>
      <c r="R5842" s="7"/>
      <c r="T5842" s="7"/>
      <c r="V5842" s="7"/>
      <c r="X5842" s="7"/>
    </row>
    <row r="5843" spans="2:24">
      <c r="B5843" s="7"/>
      <c r="D5843" s="7"/>
      <c r="F5843" s="7"/>
      <c r="H5843" s="7"/>
      <c r="J5843" s="7"/>
      <c r="L5843" s="7"/>
      <c r="N5843" s="7"/>
      <c r="P5843" s="7"/>
      <c r="R5843" s="7"/>
      <c r="T5843" s="7"/>
      <c r="V5843" s="7"/>
      <c r="X5843" s="7"/>
    </row>
    <row r="5844" spans="2:24">
      <c r="B5844" s="7"/>
      <c r="D5844" s="7"/>
      <c r="F5844" s="7"/>
      <c r="H5844" s="7"/>
      <c r="J5844" s="7"/>
      <c r="L5844" s="7"/>
      <c r="N5844" s="7"/>
      <c r="P5844" s="7"/>
      <c r="R5844" s="7"/>
      <c r="T5844" s="7"/>
      <c r="V5844" s="7"/>
      <c r="X5844" s="7"/>
    </row>
    <row r="5845" spans="2:24">
      <c r="B5845" s="7"/>
      <c r="D5845" s="7"/>
      <c r="F5845" s="7"/>
      <c r="H5845" s="7"/>
      <c r="J5845" s="7"/>
      <c r="L5845" s="7"/>
      <c r="N5845" s="7"/>
      <c r="P5845" s="7"/>
      <c r="R5845" s="7"/>
      <c r="T5845" s="7"/>
      <c r="V5845" s="7"/>
      <c r="X5845" s="7"/>
    </row>
    <row r="5846" spans="2:24">
      <c r="B5846" s="7"/>
      <c r="D5846" s="7"/>
      <c r="F5846" s="7"/>
      <c r="H5846" s="7"/>
      <c r="J5846" s="7"/>
      <c r="L5846" s="7"/>
      <c r="N5846" s="7"/>
      <c r="P5846" s="7"/>
      <c r="R5846" s="7"/>
      <c r="T5846" s="7"/>
      <c r="V5846" s="7"/>
      <c r="X5846" s="7"/>
    </row>
    <row r="5847" spans="2:24">
      <c r="B5847" s="7"/>
      <c r="D5847" s="7"/>
      <c r="F5847" s="7"/>
      <c r="H5847" s="7"/>
      <c r="J5847" s="7"/>
      <c r="L5847" s="7"/>
      <c r="N5847" s="7"/>
      <c r="P5847" s="7"/>
      <c r="R5847" s="7"/>
      <c r="T5847" s="7"/>
      <c r="V5847" s="7"/>
      <c r="X5847" s="7"/>
    </row>
    <row r="5848" spans="2:24">
      <c r="B5848" s="7"/>
      <c r="D5848" s="7"/>
      <c r="F5848" s="7"/>
      <c r="H5848" s="7"/>
      <c r="J5848" s="7"/>
      <c r="L5848" s="7"/>
      <c r="N5848" s="7"/>
      <c r="P5848" s="7"/>
      <c r="R5848" s="7"/>
      <c r="T5848" s="7"/>
      <c r="V5848" s="7"/>
      <c r="X5848" s="7"/>
    </row>
    <row r="5849" spans="2:24">
      <c r="B5849" s="7"/>
      <c r="D5849" s="7"/>
      <c r="F5849" s="7"/>
      <c r="H5849" s="7"/>
      <c r="J5849" s="7"/>
      <c r="L5849" s="7"/>
      <c r="N5849" s="7"/>
      <c r="P5849" s="7"/>
      <c r="R5849" s="7"/>
      <c r="T5849" s="7"/>
      <c r="V5849" s="7"/>
      <c r="X5849" s="7"/>
    </row>
    <row r="5850" spans="2:24">
      <c r="B5850" s="7"/>
      <c r="D5850" s="7"/>
      <c r="F5850" s="7"/>
      <c r="H5850" s="7"/>
      <c r="J5850" s="7"/>
      <c r="L5850" s="7"/>
      <c r="N5850" s="7"/>
      <c r="P5850" s="7"/>
      <c r="R5850" s="7"/>
      <c r="T5850" s="7"/>
      <c r="V5850" s="7"/>
      <c r="X5850" s="7"/>
    </row>
    <row r="5851" spans="2:24">
      <c r="B5851" s="7"/>
      <c r="D5851" s="7"/>
      <c r="F5851" s="7"/>
      <c r="H5851" s="7"/>
      <c r="J5851" s="7"/>
      <c r="L5851" s="7"/>
      <c r="N5851" s="7"/>
      <c r="P5851" s="7"/>
      <c r="R5851" s="7"/>
      <c r="T5851" s="7"/>
      <c r="V5851" s="7"/>
      <c r="X5851" s="7"/>
    </row>
    <row r="5852" spans="2:24">
      <c r="B5852" s="7"/>
      <c r="D5852" s="7"/>
      <c r="F5852" s="7"/>
      <c r="H5852" s="7"/>
      <c r="J5852" s="7"/>
      <c r="L5852" s="7"/>
      <c r="N5852" s="7"/>
      <c r="P5852" s="7"/>
      <c r="R5852" s="7"/>
      <c r="T5852" s="7"/>
      <c r="V5852" s="7"/>
      <c r="X5852" s="7"/>
    </row>
    <row r="5853" spans="2:24">
      <c r="B5853" s="7"/>
      <c r="D5853" s="7"/>
      <c r="F5853" s="7"/>
      <c r="H5853" s="7"/>
      <c r="J5853" s="7"/>
      <c r="L5853" s="7"/>
      <c r="N5853" s="7"/>
      <c r="P5853" s="7"/>
      <c r="R5853" s="7"/>
      <c r="T5853" s="7"/>
      <c r="V5853" s="7"/>
      <c r="X5853" s="7"/>
    </row>
    <row r="5854" spans="2:24">
      <c r="B5854" s="7"/>
      <c r="D5854" s="7"/>
      <c r="F5854" s="7"/>
      <c r="H5854" s="7"/>
      <c r="J5854" s="7"/>
      <c r="L5854" s="7"/>
      <c r="N5854" s="7"/>
      <c r="P5854" s="7"/>
      <c r="R5854" s="7"/>
      <c r="T5854" s="7"/>
      <c r="V5854" s="7"/>
      <c r="X5854" s="7"/>
    </row>
    <row r="5855" spans="2:24">
      <c r="B5855" s="7"/>
      <c r="D5855" s="7"/>
      <c r="F5855" s="7"/>
      <c r="H5855" s="7"/>
      <c r="J5855" s="7"/>
      <c r="L5855" s="7"/>
      <c r="N5855" s="7"/>
      <c r="P5855" s="7"/>
      <c r="R5855" s="7"/>
      <c r="T5855" s="7"/>
      <c r="V5855" s="7"/>
      <c r="X5855" s="7"/>
    </row>
    <row r="5856" spans="2:24">
      <c r="B5856" s="7"/>
      <c r="D5856" s="7"/>
      <c r="F5856" s="7"/>
      <c r="H5856" s="7"/>
      <c r="J5856" s="7"/>
      <c r="L5856" s="7"/>
      <c r="N5856" s="7"/>
      <c r="P5856" s="7"/>
      <c r="R5856" s="7"/>
      <c r="T5856" s="7"/>
      <c r="V5856" s="7"/>
      <c r="X5856" s="7"/>
    </row>
    <row r="5857" spans="2:24">
      <c r="B5857" s="7"/>
      <c r="D5857" s="7"/>
      <c r="F5857" s="7"/>
      <c r="H5857" s="7"/>
      <c r="J5857" s="7"/>
      <c r="L5857" s="7"/>
      <c r="N5857" s="7"/>
      <c r="P5857" s="7"/>
      <c r="R5857" s="7"/>
      <c r="T5857" s="7"/>
      <c r="V5857" s="7"/>
      <c r="X5857" s="7"/>
    </row>
    <row r="5858" spans="2:24">
      <c r="B5858" s="7"/>
      <c r="D5858" s="7"/>
      <c r="F5858" s="7"/>
      <c r="H5858" s="7"/>
      <c r="J5858" s="7"/>
      <c r="L5858" s="7"/>
      <c r="N5858" s="7"/>
      <c r="P5858" s="7"/>
      <c r="R5858" s="7"/>
      <c r="T5858" s="7"/>
      <c r="V5858" s="7"/>
      <c r="X5858" s="7"/>
    </row>
    <row r="5859" spans="2:24">
      <c r="B5859" s="7"/>
      <c r="D5859" s="7"/>
      <c r="F5859" s="7"/>
      <c r="H5859" s="7"/>
      <c r="J5859" s="7"/>
      <c r="L5859" s="7"/>
      <c r="N5859" s="7"/>
      <c r="P5859" s="7"/>
      <c r="R5859" s="7"/>
      <c r="T5859" s="7"/>
      <c r="V5859" s="7"/>
      <c r="X5859" s="7"/>
    </row>
    <row r="5860" spans="2:24">
      <c r="B5860" s="7"/>
      <c r="D5860" s="7"/>
      <c r="F5860" s="7"/>
      <c r="H5860" s="7"/>
      <c r="J5860" s="7"/>
      <c r="L5860" s="7"/>
      <c r="N5860" s="7"/>
      <c r="P5860" s="7"/>
      <c r="R5860" s="7"/>
      <c r="T5860" s="7"/>
      <c r="V5860" s="7"/>
      <c r="X5860" s="7"/>
    </row>
    <row r="5861" spans="2:24">
      <c r="B5861" s="7"/>
      <c r="D5861" s="7"/>
      <c r="F5861" s="7"/>
      <c r="H5861" s="7"/>
      <c r="J5861" s="7"/>
      <c r="L5861" s="7"/>
      <c r="N5861" s="7"/>
      <c r="P5861" s="7"/>
      <c r="R5861" s="7"/>
      <c r="T5861" s="7"/>
      <c r="V5861" s="7"/>
      <c r="X5861" s="7"/>
    </row>
    <row r="5862" spans="2:24">
      <c r="B5862" s="7"/>
      <c r="D5862" s="7"/>
      <c r="F5862" s="7"/>
      <c r="H5862" s="7"/>
      <c r="J5862" s="7"/>
      <c r="L5862" s="7"/>
      <c r="N5862" s="7"/>
      <c r="P5862" s="7"/>
      <c r="R5862" s="7"/>
      <c r="T5862" s="7"/>
      <c r="V5862" s="7"/>
      <c r="X5862" s="7"/>
    </row>
    <row r="5863" spans="2:24">
      <c r="B5863" s="7"/>
      <c r="D5863" s="7"/>
      <c r="F5863" s="7"/>
      <c r="H5863" s="7"/>
      <c r="J5863" s="7"/>
      <c r="L5863" s="7"/>
      <c r="N5863" s="7"/>
      <c r="P5863" s="7"/>
      <c r="R5863" s="7"/>
      <c r="T5863" s="7"/>
      <c r="V5863" s="7"/>
      <c r="X5863" s="7"/>
    </row>
    <row r="5864" spans="2:24">
      <c r="B5864" s="7"/>
      <c r="D5864" s="7"/>
      <c r="F5864" s="7"/>
      <c r="H5864" s="7"/>
      <c r="J5864" s="7"/>
      <c r="L5864" s="7"/>
      <c r="N5864" s="7"/>
      <c r="P5864" s="7"/>
      <c r="R5864" s="7"/>
      <c r="T5864" s="7"/>
      <c r="V5864" s="7"/>
      <c r="X5864" s="7"/>
    </row>
    <row r="5865" spans="2:24">
      <c r="B5865" s="7"/>
      <c r="D5865" s="7"/>
      <c r="F5865" s="7"/>
      <c r="H5865" s="7"/>
      <c r="J5865" s="7"/>
      <c r="L5865" s="7"/>
      <c r="N5865" s="7"/>
      <c r="P5865" s="7"/>
      <c r="R5865" s="7"/>
      <c r="T5865" s="7"/>
      <c r="V5865" s="7"/>
      <c r="X5865" s="7"/>
    </row>
    <row r="5866" spans="2:24">
      <c r="B5866" s="7"/>
      <c r="D5866" s="7"/>
      <c r="F5866" s="7"/>
      <c r="H5866" s="7"/>
      <c r="J5866" s="7"/>
      <c r="L5866" s="7"/>
      <c r="N5866" s="7"/>
      <c r="P5866" s="7"/>
      <c r="R5866" s="7"/>
      <c r="T5866" s="7"/>
      <c r="V5866" s="7"/>
      <c r="X5866" s="7"/>
    </row>
    <row r="5867" spans="2:24">
      <c r="B5867" s="7"/>
      <c r="D5867" s="7"/>
      <c r="F5867" s="7"/>
      <c r="H5867" s="7"/>
      <c r="J5867" s="7"/>
      <c r="L5867" s="7"/>
      <c r="N5867" s="7"/>
      <c r="P5867" s="7"/>
      <c r="R5867" s="7"/>
      <c r="T5867" s="7"/>
      <c r="V5867" s="7"/>
      <c r="X5867" s="7"/>
    </row>
    <row r="5868" spans="2:24">
      <c r="B5868" s="7"/>
      <c r="D5868" s="7"/>
      <c r="F5868" s="7"/>
      <c r="H5868" s="7"/>
      <c r="J5868" s="7"/>
      <c r="L5868" s="7"/>
      <c r="N5868" s="7"/>
      <c r="P5868" s="7"/>
      <c r="R5868" s="7"/>
      <c r="T5868" s="7"/>
      <c r="V5868" s="7"/>
      <c r="X5868" s="7"/>
    </row>
    <row r="5869" spans="2:24">
      <c r="B5869" s="7"/>
      <c r="D5869" s="7"/>
      <c r="F5869" s="7"/>
      <c r="H5869" s="7"/>
      <c r="J5869" s="7"/>
      <c r="L5869" s="7"/>
      <c r="N5869" s="7"/>
      <c r="P5869" s="7"/>
      <c r="R5869" s="7"/>
      <c r="T5869" s="7"/>
      <c r="V5869" s="7"/>
      <c r="X5869" s="7"/>
    </row>
    <row r="5870" spans="2:24">
      <c r="B5870" s="7"/>
      <c r="D5870" s="7"/>
      <c r="F5870" s="7"/>
      <c r="H5870" s="7"/>
      <c r="J5870" s="7"/>
      <c r="L5870" s="7"/>
      <c r="N5870" s="7"/>
      <c r="P5870" s="7"/>
      <c r="R5870" s="7"/>
      <c r="T5870" s="7"/>
      <c r="V5870" s="7"/>
      <c r="X5870" s="7"/>
    </row>
    <row r="5871" spans="2:24">
      <c r="B5871" s="7"/>
      <c r="D5871" s="7"/>
      <c r="F5871" s="7"/>
      <c r="H5871" s="7"/>
      <c r="J5871" s="7"/>
      <c r="L5871" s="7"/>
      <c r="N5871" s="7"/>
      <c r="P5871" s="7"/>
      <c r="R5871" s="7"/>
      <c r="T5871" s="7"/>
      <c r="V5871" s="7"/>
      <c r="X5871" s="7"/>
    </row>
    <row r="5872" spans="2:24">
      <c r="B5872" s="7"/>
      <c r="D5872" s="7"/>
      <c r="F5872" s="7"/>
      <c r="H5872" s="7"/>
      <c r="J5872" s="7"/>
      <c r="L5872" s="7"/>
      <c r="N5872" s="7"/>
      <c r="P5872" s="7"/>
      <c r="R5872" s="7"/>
      <c r="T5872" s="7"/>
      <c r="V5872" s="7"/>
      <c r="X5872" s="7"/>
    </row>
    <row r="5873" spans="2:24">
      <c r="B5873" s="7"/>
      <c r="D5873" s="7"/>
      <c r="F5873" s="7"/>
      <c r="H5873" s="7"/>
      <c r="J5873" s="7"/>
      <c r="L5873" s="7"/>
      <c r="N5873" s="7"/>
      <c r="P5873" s="7"/>
      <c r="R5873" s="7"/>
      <c r="T5873" s="7"/>
      <c r="V5873" s="7"/>
      <c r="X5873" s="7"/>
    </row>
    <row r="5874" spans="2:24">
      <c r="B5874" s="7"/>
      <c r="D5874" s="7"/>
      <c r="F5874" s="7"/>
      <c r="H5874" s="7"/>
      <c r="J5874" s="7"/>
      <c r="L5874" s="7"/>
      <c r="N5874" s="7"/>
      <c r="P5874" s="7"/>
      <c r="R5874" s="7"/>
      <c r="T5874" s="7"/>
      <c r="V5874" s="7"/>
      <c r="X5874" s="7"/>
    </row>
    <row r="5875" spans="2:24">
      <c r="B5875" s="7"/>
      <c r="D5875" s="7"/>
      <c r="F5875" s="7"/>
      <c r="H5875" s="7"/>
      <c r="J5875" s="7"/>
      <c r="L5875" s="7"/>
      <c r="N5875" s="7"/>
      <c r="P5875" s="7"/>
      <c r="R5875" s="7"/>
      <c r="T5875" s="7"/>
      <c r="V5875" s="7"/>
      <c r="X5875" s="7"/>
    </row>
    <row r="5876" spans="2:24">
      <c r="B5876" s="7"/>
      <c r="D5876" s="7"/>
      <c r="F5876" s="7"/>
      <c r="H5876" s="7"/>
      <c r="J5876" s="7"/>
      <c r="L5876" s="7"/>
      <c r="N5876" s="7"/>
      <c r="P5876" s="7"/>
      <c r="R5876" s="7"/>
      <c r="T5876" s="7"/>
      <c r="V5876" s="7"/>
      <c r="X5876" s="7"/>
    </row>
    <row r="5877" spans="2:24">
      <c r="B5877" s="7"/>
      <c r="D5877" s="7"/>
      <c r="F5877" s="7"/>
      <c r="H5877" s="7"/>
      <c r="J5877" s="7"/>
      <c r="L5877" s="7"/>
      <c r="N5877" s="7"/>
      <c r="P5877" s="7"/>
      <c r="R5877" s="7"/>
      <c r="T5877" s="7"/>
      <c r="V5877" s="7"/>
      <c r="X5877" s="7"/>
    </row>
    <row r="5878" spans="2:24">
      <c r="B5878" s="7"/>
      <c r="D5878" s="7"/>
      <c r="F5878" s="7"/>
      <c r="H5878" s="7"/>
      <c r="J5878" s="7"/>
      <c r="L5878" s="7"/>
      <c r="N5878" s="7"/>
      <c r="P5878" s="7"/>
      <c r="R5878" s="7"/>
      <c r="T5878" s="7"/>
      <c r="V5878" s="7"/>
      <c r="X5878" s="7"/>
    </row>
    <row r="5879" spans="2:24">
      <c r="B5879" s="7"/>
      <c r="D5879" s="7"/>
      <c r="F5879" s="7"/>
      <c r="H5879" s="7"/>
      <c r="J5879" s="7"/>
      <c r="L5879" s="7"/>
      <c r="N5879" s="7"/>
      <c r="P5879" s="7"/>
      <c r="R5879" s="7"/>
      <c r="T5879" s="7"/>
      <c r="V5879" s="7"/>
      <c r="X5879" s="7"/>
    </row>
    <row r="5880" spans="2:24">
      <c r="B5880" s="7"/>
      <c r="D5880" s="7"/>
      <c r="F5880" s="7"/>
      <c r="H5880" s="7"/>
      <c r="J5880" s="7"/>
      <c r="L5880" s="7"/>
      <c r="N5880" s="7"/>
      <c r="P5880" s="7"/>
      <c r="R5880" s="7"/>
      <c r="T5880" s="7"/>
      <c r="V5880" s="7"/>
      <c r="X5880" s="7"/>
    </row>
    <row r="5881" spans="2:24">
      <c r="B5881" s="7"/>
      <c r="D5881" s="7"/>
      <c r="F5881" s="7"/>
      <c r="H5881" s="7"/>
      <c r="J5881" s="7"/>
      <c r="L5881" s="7"/>
      <c r="N5881" s="7"/>
      <c r="P5881" s="7"/>
      <c r="R5881" s="7"/>
      <c r="T5881" s="7"/>
      <c r="V5881" s="7"/>
      <c r="X5881" s="7"/>
    </row>
    <row r="5882" spans="2:24">
      <c r="B5882" s="7"/>
      <c r="D5882" s="7"/>
      <c r="F5882" s="7"/>
      <c r="H5882" s="7"/>
      <c r="J5882" s="7"/>
      <c r="L5882" s="7"/>
      <c r="N5882" s="7"/>
      <c r="P5882" s="7"/>
      <c r="R5882" s="7"/>
      <c r="T5882" s="7"/>
      <c r="V5882" s="7"/>
      <c r="X5882" s="7"/>
    </row>
    <row r="5883" spans="2:24">
      <c r="B5883" s="7"/>
      <c r="D5883" s="7"/>
      <c r="F5883" s="7"/>
      <c r="H5883" s="7"/>
      <c r="J5883" s="7"/>
      <c r="L5883" s="7"/>
      <c r="N5883" s="7"/>
      <c r="P5883" s="7"/>
      <c r="R5883" s="7"/>
      <c r="T5883" s="7"/>
      <c r="V5883" s="7"/>
      <c r="X5883" s="7"/>
    </row>
    <row r="5884" spans="2:24">
      <c r="B5884" s="7"/>
      <c r="D5884" s="7"/>
      <c r="F5884" s="7"/>
      <c r="H5884" s="7"/>
      <c r="J5884" s="7"/>
      <c r="L5884" s="7"/>
      <c r="N5884" s="7"/>
      <c r="P5884" s="7"/>
      <c r="R5884" s="7"/>
      <c r="T5884" s="7"/>
      <c r="V5884" s="7"/>
      <c r="X5884" s="7"/>
    </row>
    <row r="5885" spans="2:24">
      <c r="B5885" s="7"/>
      <c r="D5885" s="7"/>
      <c r="F5885" s="7"/>
      <c r="H5885" s="7"/>
      <c r="J5885" s="7"/>
      <c r="L5885" s="7"/>
      <c r="N5885" s="7"/>
      <c r="P5885" s="7"/>
      <c r="R5885" s="7"/>
      <c r="T5885" s="7"/>
      <c r="V5885" s="7"/>
      <c r="X5885" s="7"/>
    </row>
    <row r="5886" spans="2:24">
      <c r="B5886" s="7"/>
      <c r="D5886" s="7"/>
      <c r="F5886" s="7"/>
      <c r="H5886" s="7"/>
      <c r="J5886" s="7"/>
      <c r="L5886" s="7"/>
      <c r="N5886" s="7"/>
      <c r="P5886" s="7"/>
      <c r="R5886" s="7"/>
      <c r="T5886" s="7"/>
      <c r="V5886" s="7"/>
      <c r="X5886" s="7"/>
    </row>
    <row r="5887" spans="2:24">
      <c r="B5887" s="7"/>
      <c r="D5887" s="7"/>
      <c r="F5887" s="7"/>
      <c r="H5887" s="7"/>
      <c r="J5887" s="7"/>
      <c r="L5887" s="7"/>
      <c r="N5887" s="7"/>
      <c r="P5887" s="7"/>
      <c r="R5887" s="7"/>
      <c r="T5887" s="7"/>
      <c r="V5887" s="7"/>
      <c r="X5887" s="7"/>
    </row>
    <row r="5888" spans="2:24">
      <c r="B5888" s="7"/>
      <c r="D5888" s="7"/>
      <c r="F5888" s="7"/>
      <c r="H5888" s="7"/>
      <c r="J5888" s="7"/>
      <c r="L5888" s="7"/>
      <c r="N5888" s="7"/>
      <c r="P5888" s="7"/>
      <c r="R5888" s="7"/>
      <c r="T5888" s="7"/>
      <c r="V5888" s="7"/>
      <c r="X5888" s="7"/>
    </row>
    <row r="5889" spans="2:24">
      <c r="B5889" s="7"/>
      <c r="D5889" s="7"/>
      <c r="F5889" s="7"/>
      <c r="H5889" s="7"/>
      <c r="J5889" s="7"/>
      <c r="L5889" s="7"/>
      <c r="N5889" s="7"/>
      <c r="P5889" s="7"/>
      <c r="R5889" s="7"/>
      <c r="T5889" s="7"/>
      <c r="V5889" s="7"/>
      <c r="X5889" s="7"/>
    </row>
    <row r="5890" spans="2:24">
      <c r="B5890" s="7"/>
      <c r="D5890" s="7"/>
      <c r="F5890" s="7"/>
      <c r="H5890" s="7"/>
      <c r="J5890" s="7"/>
      <c r="L5890" s="7"/>
      <c r="N5890" s="7"/>
      <c r="P5890" s="7"/>
      <c r="R5890" s="7"/>
      <c r="T5890" s="7"/>
      <c r="V5890" s="7"/>
      <c r="X5890" s="7"/>
    </row>
    <row r="5891" spans="2:24">
      <c r="B5891" s="7"/>
      <c r="D5891" s="7"/>
      <c r="F5891" s="7"/>
      <c r="H5891" s="7"/>
      <c r="J5891" s="7"/>
      <c r="L5891" s="7"/>
      <c r="N5891" s="7"/>
      <c r="P5891" s="7"/>
      <c r="R5891" s="7"/>
      <c r="T5891" s="7"/>
      <c r="V5891" s="7"/>
      <c r="X5891" s="7"/>
    </row>
    <row r="5892" spans="2:24">
      <c r="B5892" s="7"/>
      <c r="D5892" s="7"/>
      <c r="F5892" s="7"/>
      <c r="H5892" s="7"/>
      <c r="J5892" s="7"/>
      <c r="L5892" s="7"/>
      <c r="N5892" s="7"/>
      <c r="P5892" s="7"/>
      <c r="R5892" s="7"/>
      <c r="T5892" s="7"/>
      <c r="V5892" s="7"/>
      <c r="X5892" s="7"/>
    </row>
    <row r="5893" spans="2:24">
      <c r="B5893" s="7"/>
      <c r="D5893" s="7"/>
      <c r="F5893" s="7"/>
      <c r="H5893" s="7"/>
      <c r="J5893" s="7"/>
      <c r="L5893" s="7"/>
      <c r="N5893" s="7"/>
      <c r="P5893" s="7"/>
      <c r="R5893" s="7"/>
      <c r="T5893" s="7"/>
      <c r="V5893" s="7"/>
      <c r="X5893" s="7"/>
    </row>
    <row r="5894" spans="2:24">
      <c r="B5894" s="7"/>
      <c r="D5894" s="7"/>
      <c r="F5894" s="7"/>
      <c r="H5894" s="7"/>
      <c r="J5894" s="7"/>
      <c r="L5894" s="7"/>
      <c r="N5894" s="7"/>
      <c r="P5894" s="7"/>
      <c r="R5894" s="7"/>
      <c r="T5894" s="7"/>
      <c r="V5894" s="7"/>
      <c r="X5894" s="7"/>
    </row>
    <row r="5895" spans="2:24">
      <c r="B5895" s="7"/>
      <c r="D5895" s="7"/>
      <c r="F5895" s="7"/>
      <c r="H5895" s="7"/>
      <c r="J5895" s="7"/>
      <c r="L5895" s="7"/>
      <c r="N5895" s="7"/>
      <c r="P5895" s="7"/>
      <c r="R5895" s="7"/>
      <c r="T5895" s="7"/>
      <c r="V5895" s="7"/>
      <c r="X5895" s="7"/>
    </row>
    <row r="5896" spans="2:24">
      <c r="B5896" s="7"/>
      <c r="D5896" s="7"/>
      <c r="F5896" s="7"/>
      <c r="H5896" s="7"/>
      <c r="J5896" s="7"/>
      <c r="L5896" s="7"/>
      <c r="N5896" s="7"/>
      <c r="P5896" s="7"/>
      <c r="R5896" s="7"/>
      <c r="T5896" s="7"/>
      <c r="V5896" s="7"/>
      <c r="X5896" s="7"/>
    </row>
    <row r="5897" spans="2:24">
      <c r="B5897" s="7"/>
      <c r="D5897" s="7"/>
      <c r="F5897" s="7"/>
      <c r="H5897" s="7"/>
      <c r="J5897" s="7"/>
      <c r="L5897" s="7"/>
      <c r="N5897" s="7"/>
      <c r="P5897" s="7"/>
      <c r="R5897" s="7"/>
      <c r="T5897" s="7"/>
      <c r="V5897" s="7"/>
      <c r="X5897" s="7"/>
    </row>
    <row r="5898" spans="2:24">
      <c r="B5898" s="7"/>
      <c r="D5898" s="7"/>
      <c r="F5898" s="7"/>
      <c r="H5898" s="7"/>
      <c r="J5898" s="7"/>
      <c r="L5898" s="7"/>
      <c r="N5898" s="7"/>
      <c r="P5898" s="7"/>
      <c r="R5898" s="7"/>
      <c r="T5898" s="7"/>
      <c r="V5898" s="7"/>
      <c r="X5898" s="7"/>
    </row>
    <row r="5899" spans="2:24">
      <c r="B5899" s="7"/>
      <c r="D5899" s="7"/>
      <c r="F5899" s="7"/>
      <c r="H5899" s="7"/>
      <c r="J5899" s="7"/>
      <c r="L5899" s="7"/>
      <c r="N5899" s="7"/>
      <c r="P5899" s="7"/>
      <c r="R5899" s="7"/>
      <c r="T5899" s="7"/>
      <c r="V5899" s="7"/>
      <c r="X5899" s="7"/>
    </row>
    <row r="5900" spans="2:24">
      <c r="B5900" s="7"/>
      <c r="D5900" s="7"/>
      <c r="F5900" s="7"/>
      <c r="H5900" s="7"/>
      <c r="J5900" s="7"/>
      <c r="L5900" s="7"/>
      <c r="N5900" s="7"/>
      <c r="P5900" s="7"/>
      <c r="R5900" s="7"/>
      <c r="T5900" s="7"/>
      <c r="V5900" s="7"/>
      <c r="X5900" s="7"/>
    </row>
    <row r="5901" spans="2:24">
      <c r="B5901" s="7"/>
      <c r="D5901" s="7"/>
      <c r="F5901" s="7"/>
      <c r="H5901" s="7"/>
      <c r="J5901" s="7"/>
      <c r="L5901" s="7"/>
      <c r="N5901" s="7"/>
      <c r="P5901" s="7"/>
      <c r="R5901" s="7"/>
      <c r="T5901" s="7"/>
      <c r="V5901" s="7"/>
      <c r="X5901" s="7"/>
    </row>
    <row r="5902" spans="2:24">
      <c r="B5902" s="7"/>
      <c r="D5902" s="7"/>
      <c r="F5902" s="7"/>
      <c r="H5902" s="7"/>
      <c r="J5902" s="7"/>
      <c r="L5902" s="7"/>
      <c r="N5902" s="7"/>
      <c r="P5902" s="7"/>
      <c r="R5902" s="7"/>
      <c r="T5902" s="7"/>
      <c r="V5902" s="7"/>
      <c r="X5902" s="7"/>
    </row>
    <row r="5903" spans="2:24">
      <c r="B5903" s="7"/>
      <c r="D5903" s="7"/>
      <c r="F5903" s="7"/>
      <c r="H5903" s="7"/>
      <c r="J5903" s="7"/>
      <c r="L5903" s="7"/>
      <c r="N5903" s="7"/>
      <c r="P5903" s="7"/>
      <c r="R5903" s="7"/>
      <c r="T5903" s="7"/>
      <c r="V5903" s="7"/>
      <c r="X5903" s="7"/>
    </row>
    <row r="5904" spans="2:24">
      <c r="B5904" s="7"/>
      <c r="D5904" s="7"/>
      <c r="F5904" s="7"/>
      <c r="H5904" s="7"/>
      <c r="J5904" s="7"/>
      <c r="L5904" s="7"/>
      <c r="N5904" s="7"/>
      <c r="P5904" s="7"/>
      <c r="R5904" s="7"/>
      <c r="T5904" s="7"/>
      <c r="V5904" s="7"/>
      <c r="X5904" s="7"/>
    </row>
    <row r="5905" spans="2:24">
      <c r="B5905" s="7"/>
      <c r="D5905" s="7"/>
      <c r="F5905" s="7"/>
      <c r="H5905" s="7"/>
      <c r="J5905" s="7"/>
      <c r="L5905" s="7"/>
      <c r="N5905" s="7"/>
      <c r="P5905" s="7"/>
      <c r="R5905" s="7"/>
      <c r="T5905" s="7"/>
      <c r="V5905" s="7"/>
      <c r="X5905" s="7"/>
    </row>
    <row r="5906" spans="2:24">
      <c r="B5906" s="7"/>
      <c r="D5906" s="7"/>
      <c r="F5906" s="7"/>
      <c r="H5906" s="7"/>
      <c r="J5906" s="7"/>
      <c r="L5906" s="7"/>
      <c r="N5906" s="7"/>
      <c r="P5906" s="7"/>
      <c r="R5906" s="7"/>
      <c r="T5906" s="7"/>
      <c r="V5906" s="7"/>
      <c r="X5906" s="7"/>
    </row>
    <row r="5907" spans="2:24">
      <c r="B5907" s="7"/>
      <c r="D5907" s="7"/>
      <c r="F5907" s="7"/>
      <c r="H5907" s="7"/>
      <c r="J5907" s="7"/>
      <c r="L5907" s="7"/>
      <c r="N5907" s="7"/>
      <c r="P5907" s="7"/>
      <c r="R5907" s="7"/>
      <c r="T5907" s="7"/>
      <c r="V5907" s="7"/>
      <c r="X5907" s="7"/>
    </row>
    <row r="5908" spans="2:24">
      <c r="B5908" s="7"/>
      <c r="D5908" s="7"/>
      <c r="F5908" s="7"/>
      <c r="H5908" s="7"/>
      <c r="J5908" s="7"/>
      <c r="L5908" s="7"/>
      <c r="N5908" s="7"/>
      <c r="P5908" s="7"/>
      <c r="R5908" s="7"/>
      <c r="T5908" s="7"/>
      <c r="V5908" s="7"/>
      <c r="X5908" s="7"/>
    </row>
    <row r="5909" spans="2:24">
      <c r="B5909" s="7"/>
      <c r="D5909" s="7"/>
      <c r="F5909" s="7"/>
      <c r="H5909" s="7"/>
      <c r="J5909" s="7"/>
      <c r="L5909" s="7"/>
      <c r="N5909" s="7"/>
      <c r="P5909" s="7"/>
      <c r="R5909" s="7"/>
      <c r="T5909" s="7"/>
      <c r="V5909" s="7"/>
      <c r="X5909" s="7"/>
    </row>
    <row r="5910" spans="2:24">
      <c r="B5910" s="7"/>
      <c r="D5910" s="7"/>
      <c r="F5910" s="7"/>
      <c r="H5910" s="7"/>
      <c r="J5910" s="7"/>
      <c r="L5910" s="7"/>
      <c r="N5910" s="7"/>
      <c r="P5910" s="7"/>
      <c r="R5910" s="7"/>
      <c r="T5910" s="7"/>
      <c r="V5910" s="7"/>
      <c r="X5910" s="7"/>
    </row>
    <row r="5911" spans="2:24">
      <c r="B5911" s="7"/>
      <c r="D5911" s="7"/>
      <c r="F5911" s="7"/>
      <c r="H5911" s="7"/>
      <c r="J5911" s="7"/>
      <c r="L5911" s="7"/>
      <c r="N5911" s="7"/>
      <c r="P5911" s="7"/>
      <c r="R5911" s="7"/>
      <c r="T5911" s="7"/>
      <c r="V5911" s="7"/>
      <c r="X5911" s="7"/>
    </row>
    <row r="5912" spans="2:24">
      <c r="B5912" s="7"/>
      <c r="D5912" s="7"/>
      <c r="F5912" s="7"/>
      <c r="H5912" s="7"/>
      <c r="J5912" s="7"/>
      <c r="L5912" s="7"/>
      <c r="N5912" s="7"/>
      <c r="P5912" s="7"/>
      <c r="R5912" s="7"/>
      <c r="T5912" s="7"/>
      <c r="V5912" s="7"/>
      <c r="X5912" s="7"/>
    </row>
    <row r="5913" spans="2:24">
      <c r="B5913" s="7"/>
      <c r="D5913" s="7"/>
      <c r="F5913" s="7"/>
      <c r="H5913" s="7"/>
      <c r="J5913" s="7"/>
      <c r="L5913" s="7"/>
      <c r="N5913" s="7"/>
      <c r="P5913" s="7"/>
      <c r="R5913" s="7"/>
      <c r="T5913" s="7"/>
      <c r="V5913" s="7"/>
      <c r="X5913" s="7"/>
    </row>
    <row r="5914" spans="2:24">
      <c r="B5914" s="7"/>
      <c r="D5914" s="7"/>
      <c r="F5914" s="7"/>
      <c r="H5914" s="7"/>
      <c r="J5914" s="7"/>
      <c r="L5914" s="7"/>
      <c r="N5914" s="7"/>
      <c r="P5914" s="7"/>
      <c r="R5914" s="7"/>
      <c r="T5914" s="7"/>
      <c r="V5914" s="7"/>
      <c r="X5914" s="7"/>
    </row>
    <row r="5915" spans="2:24">
      <c r="B5915" s="7"/>
      <c r="D5915" s="7"/>
      <c r="F5915" s="7"/>
      <c r="H5915" s="7"/>
      <c r="J5915" s="7"/>
      <c r="L5915" s="7"/>
      <c r="N5915" s="7"/>
      <c r="P5915" s="7"/>
      <c r="R5915" s="7"/>
      <c r="T5915" s="7"/>
      <c r="V5915" s="7"/>
      <c r="X5915" s="7"/>
    </row>
    <row r="5916" spans="2:24">
      <c r="B5916" s="7"/>
      <c r="D5916" s="7"/>
      <c r="F5916" s="7"/>
      <c r="H5916" s="7"/>
      <c r="J5916" s="7"/>
      <c r="L5916" s="7"/>
      <c r="N5916" s="7"/>
      <c r="P5916" s="7"/>
      <c r="R5916" s="7"/>
      <c r="T5916" s="7"/>
      <c r="V5916" s="7"/>
      <c r="X5916" s="7"/>
    </row>
    <row r="5917" spans="2:24">
      <c r="B5917" s="7"/>
      <c r="D5917" s="7"/>
      <c r="F5917" s="7"/>
      <c r="H5917" s="7"/>
      <c r="J5917" s="7"/>
      <c r="L5917" s="7"/>
      <c r="N5917" s="7"/>
      <c r="P5917" s="7"/>
      <c r="R5917" s="7"/>
      <c r="T5917" s="7"/>
      <c r="V5917" s="7"/>
      <c r="X5917" s="7"/>
    </row>
    <row r="5918" spans="2:24">
      <c r="B5918" s="7"/>
      <c r="D5918" s="7"/>
      <c r="F5918" s="7"/>
      <c r="H5918" s="7"/>
      <c r="J5918" s="7"/>
      <c r="L5918" s="7"/>
      <c r="N5918" s="7"/>
      <c r="P5918" s="7"/>
      <c r="R5918" s="7"/>
      <c r="T5918" s="7"/>
      <c r="V5918" s="7"/>
      <c r="X5918" s="7"/>
    </row>
    <row r="5919" spans="2:24">
      <c r="B5919" s="7"/>
      <c r="D5919" s="7"/>
      <c r="F5919" s="7"/>
      <c r="H5919" s="7"/>
      <c r="J5919" s="7"/>
      <c r="L5919" s="7"/>
      <c r="N5919" s="7"/>
      <c r="P5919" s="7"/>
      <c r="R5919" s="7"/>
      <c r="T5919" s="7"/>
      <c r="V5919" s="7"/>
      <c r="X5919" s="7"/>
    </row>
    <row r="5920" spans="2:24">
      <c r="B5920" s="7"/>
      <c r="D5920" s="7"/>
      <c r="F5920" s="7"/>
      <c r="H5920" s="7"/>
      <c r="J5920" s="7"/>
      <c r="L5920" s="7"/>
      <c r="N5920" s="7"/>
      <c r="P5920" s="7"/>
      <c r="R5920" s="7"/>
      <c r="T5920" s="7"/>
      <c r="V5920" s="7"/>
      <c r="X5920" s="7"/>
    </row>
    <row r="5921" spans="2:24">
      <c r="B5921" s="7"/>
      <c r="D5921" s="7"/>
      <c r="F5921" s="7"/>
      <c r="H5921" s="7"/>
      <c r="J5921" s="7"/>
      <c r="L5921" s="7"/>
      <c r="N5921" s="7"/>
      <c r="P5921" s="7"/>
      <c r="R5921" s="7"/>
      <c r="T5921" s="7"/>
      <c r="V5921" s="7"/>
      <c r="X5921" s="7"/>
    </row>
    <row r="5922" spans="2:24">
      <c r="B5922" s="7"/>
      <c r="D5922" s="7"/>
      <c r="F5922" s="7"/>
      <c r="H5922" s="7"/>
      <c r="J5922" s="7"/>
      <c r="L5922" s="7"/>
      <c r="N5922" s="7"/>
      <c r="P5922" s="7"/>
      <c r="R5922" s="7"/>
      <c r="T5922" s="7"/>
      <c r="V5922" s="7"/>
      <c r="X5922" s="7"/>
    </row>
    <row r="5923" spans="2:24">
      <c r="B5923" s="7"/>
      <c r="D5923" s="7"/>
      <c r="F5923" s="7"/>
      <c r="H5923" s="7"/>
      <c r="J5923" s="7"/>
      <c r="L5923" s="7"/>
      <c r="N5923" s="7"/>
      <c r="P5923" s="7"/>
      <c r="R5923" s="7"/>
      <c r="T5923" s="7"/>
      <c r="V5923" s="7"/>
      <c r="X5923" s="7"/>
    </row>
    <row r="5924" spans="2:24">
      <c r="B5924" s="7"/>
      <c r="D5924" s="7"/>
      <c r="F5924" s="7"/>
      <c r="H5924" s="7"/>
      <c r="J5924" s="7"/>
      <c r="L5924" s="7"/>
      <c r="N5924" s="7"/>
      <c r="P5924" s="7"/>
      <c r="R5924" s="7"/>
      <c r="T5924" s="7"/>
      <c r="V5924" s="7"/>
      <c r="X5924" s="7"/>
    </row>
    <row r="5925" spans="2:24">
      <c r="B5925" s="7"/>
      <c r="D5925" s="7"/>
      <c r="F5925" s="7"/>
      <c r="H5925" s="7"/>
      <c r="J5925" s="7"/>
      <c r="L5925" s="7"/>
      <c r="N5925" s="7"/>
      <c r="P5925" s="7"/>
      <c r="R5925" s="7"/>
      <c r="T5925" s="7"/>
      <c r="V5925" s="7"/>
      <c r="X5925" s="7"/>
    </row>
    <row r="5926" spans="2:24">
      <c r="B5926" s="7"/>
      <c r="D5926" s="7"/>
      <c r="F5926" s="7"/>
      <c r="H5926" s="7"/>
      <c r="J5926" s="7"/>
      <c r="L5926" s="7"/>
      <c r="N5926" s="7"/>
      <c r="P5926" s="7"/>
      <c r="R5926" s="7"/>
      <c r="T5926" s="7"/>
      <c r="V5926" s="7"/>
      <c r="X5926" s="7"/>
    </row>
    <row r="5927" spans="2:24">
      <c r="B5927" s="7"/>
      <c r="D5927" s="7"/>
      <c r="F5927" s="7"/>
      <c r="H5927" s="7"/>
      <c r="J5927" s="7"/>
      <c r="L5927" s="7"/>
      <c r="N5927" s="7"/>
      <c r="P5927" s="7"/>
      <c r="R5927" s="7"/>
      <c r="T5927" s="7"/>
      <c r="V5927" s="7"/>
      <c r="X5927" s="7"/>
    </row>
    <row r="5928" spans="2:24">
      <c r="B5928" s="7"/>
      <c r="D5928" s="7"/>
      <c r="F5928" s="7"/>
      <c r="H5928" s="7"/>
      <c r="J5928" s="7"/>
      <c r="L5928" s="7"/>
      <c r="N5928" s="7"/>
      <c r="P5928" s="7"/>
      <c r="R5928" s="7"/>
      <c r="T5928" s="7"/>
      <c r="V5928" s="7"/>
      <c r="X5928" s="7"/>
    </row>
    <row r="5929" spans="2:24">
      <c r="B5929" s="7"/>
      <c r="D5929" s="7"/>
      <c r="F5929" s="7"/>
      <c r="H5929" s="7"/>
      <c r="J5929" s="7"/>
      <c r="L5929" s="7"/>
      <c r="N5929" s="7"/>
      <c r="P5929" s="7"/>
      <c r="R5929" s="7"/>
      <c r="T5929" s="7"/>
      <c r="V5929" s="7"/>
      <c r="X5929" s="7"/>
    </row>
    <row r="5930" spans="2:24">
      <c r="B5930" s="7"/>
      <c r="D5930" s="7"/>
      <c r="F5930" s="7"/>
      <c r="H5930" s="7"/>
      <c r="J5930" s="7"/>
      <c r="L5930" s="7"/>
      <c r="N5930" s="7"/>
      <c r="P5930" s="7"/>
      <c r="R5930" s="7"/>
      <c r="T5930" s="7"/>
      <c r="V5930" s="7"/>
      <c r="X5930" s="7"/>
    </row>
    <row r="5931" spans="2:24">
      <c r="B5931" s="7"/>
      <c r="D5931" s="7"/>
      <c r="F5931" s="7"/>
      <c r="H5931" s="7"/>
      <c r="J5931" s="7"/>
      <c r="L5931" s="7"/>
      <c r="N5931" s="7"/>
      <c r="P5931" s="7"/>
      <c r="R5931" s="7"/>
      <c r="T5931" s="7"/>
      <c r="V5931" s="7"/>
      <c r="X5931" s="7"/>
    </row>
    <row r="5932" spans="2:24">
      <c r="B5932" s="7"/>
      <c r="D5932" s="7"/>
      <c r="F5932" s="7"/>
      <c r="H5932" s="7"/>
      <c r="J5932" s="7"/>
      <c r="L5932" s="7"/>
      <c r="N5932" s="7"/>
      <c r="P5932" s="7"/>
      <c r="R5932" s="7"/>
      <c r="T5932" s="7"/>
      <c r="V5932" s="7"/>
      <c r="X5932" s="7"/>
    </row>
    <row r="5933" spans="2:24">
      <c r="B5933" s="7"/>
      <c r="D5933" s="7"/>
      <c r="F5933" s="7"/>
      <c r="H5933" s="7"/>
      <c r="J5933" s="7"/>
      <c r="L5933" s="7"/>
      <c r="N5933" s="7"/>
      <c r="P5933" s="7"/>
      <c r="R5933" s="7"/>
      <c r="T5933" s="7"/>
      <c r="V5933" s="7"/>
      <c r="X5933" s="7"/>
    </row>
    <row r="5934" spans="2:24">
      <c r="B5934" s="7"/>
      <c r="D5934" s="7"/>
      <c r="F5934" s="7"/>
      <c r="H5934" s="7"/>
      <c r="J5934" s="7"/>
      <c r="L5934" s="7"/>
      <c r="N5934" s="7"/>
      <c r="P5934" s="7"/>
      <c r="R5934" s="7"/>
      <c r="T5934" s="7"/>
      <c r="V5934" s="7"/>
      <c r="X5934" s="7"/>
    </row>
    <row r="5935" spans="2:24">
      <c r="B5935" s="7"/>
      <c r="D5935" s="7"/>
      <c r="F5935" s="7"/>
      <c r="H5935" s="7"/>
      <c r="J5935" s="7"/>
      <c r="L5935" s="7"/>
      <c r="N5935" s="7"/>
      <c r="P5935" s="7"/>
      <c r="R5935" s="7"/>
      <c r="T5935" s="7"/>
      <c r="V5935" s="7"/>
      <c r="X5935" s="7"/>
    </row>
    <row r="5936" spans="2:24">
      <c r="B5936" s="7"/>
      <c r="D5936" s="7"/>
      <c r="F5936" s="7"/>
      <c r="H5936" s="7"/>
      <c r="J5936" s="7"/>
      <c r="L5936" s="7"/>
      <c r="N5936" s="7"/>
      <c r="P5936" s="7"/>
      <c r="R5936" s="7"/>
      <c r="T5936" s="7"/>
      <c r="V5936" s="7"/>
      <c r="X5936" s="7"/>
    </row>
    <row r="5937" spans="2:24">
      <c r="B5937" s="7"/>
      <c r="D5937" s="7"/>
      <c r="F5937" s="7"/>
      <c r="H5937" s="7"/>
      <c r="J5937" s="7"/>
      <c r="L5937" s="7"/>
      <c r="N5937" s="7"/>
      <c r="P5937" s="7"/>
      <c r="R5937" s="7"/>
      <c r="T5937" s="7"/>
      <c r="V5937" s="7"/>
      <c r="X5937" s="7"/>
    </row>
    <row r="5938" spans="2:24">
      <c r="B5938" s="7"/>
      <c r="D5938" s="7"/>
      <c r="F5938" s="7"/>
      <c r="H5938" s="7"/>
      <c r="J5938" s="7"/>
      <c r="L5938" s="7"/>
      <c r="N5938" s="7"/>
      <c r="P5938" s="7"/>
      <c r="R5938" s="7"/>
      <c r="T5938" s="7"/>
      <c r="V5938" s="7"/>
      <c r="X5938" s="7"/>
    </row>
    <row r="5939" spans="2:24">
      <c r="B5939" s="7"/>
      <c r="D5939" s="7"/>
      <c r="F5939" s="7"/>
      <c r="H5939" s="7"/>
      <c r="J5939" s="7"/>
      <c r="L5939" s="7"/>
      <c r="N5939" s="7"/>
      <c r="P5939" s="7"/>
      <c r="R5939" s="7"/>
      <c r="T5939" s="7"/>
      <c r="V5939" s="7"/>
      <c r="X5939" s="7"/>
    </row>
    <row r="5940" spans="2:24">
      <c r="B5940" s="7"/>
      <c r="D5940" s="7"/>
      <c r="F5940" s="7"/>
      <c r="H5940" s="7"/>
      <c r="J5940" s="7"/>
      <c r="L5940" s="7"/>
      <c r="N5940" s="7"/>
      <c r="P5940" s="7"/>
      <c r="R5940" s="7"/>
      <c r="T5940" s="7"/>
      <c r="V5940" s="7"/>
      <c r="X5940" s="7"/>
    </row>
    <row r="5941" spans="2:24">
      <c r="B5941" s="7"/>
      <c r="D5941" s="7"/>
      <c r="F5941" s="7"/>
      <c r="H5941" s="7"/>
      <c r="J5941" s="7"/>
      <c r="L5941" s="7"/>
      <c r="N5941" s="7"/>
      <c r="P5941" s="7"/>
      <c r="R5941" s="7"/>
      <c r="T5941" s="7"/>
      <c r="V5941" s="7"/>
      <c r="X5941" s="7"/>
    </row>
    <row r="5942" spans="2:24">
      <c r="B5942" s="7"/>
      <c r="D5942" s="7"/>
      <c r="F5942" s="7"/>
      <c r="H5942" s="7"/>
      <c r="J5942" s="7"/>
      <c r="L5942" s="7"/>
      <c r="N5942" s="7"/>
      <c r="P5942" s="7"/>
      <c r="R5942" s="7"/>
      <c r="T5942" s="7"/>
      <c r="V5942" s="7"/>
      <c r="X5942" s="7"/>
    </row>
    <row r="5943" spans="2:24">
      <c r="B5943" s="7"/>
      <c r="D5943" s="7"/>
      <c r="F5943" s="7"/>
      <c r="H5943" s="7"/>
      <c r="J5943" s="7"/>
      <c r="L5943" s="7"/>
      <c r="N5943" s="7"/>
      <c r="P5943" s="7"/>
      <c r="R5943" s="7"/>
      <c r="T5943" s="7"/>
      <c r="V5943" s="7"/>
      <c r="X5943" s="7"/>
    </row>
    <row r="5944" spans="2:24">
      <c r="B5944" s="7"/>
      <c r="D5944" s="7"/>
      <c r="F5944" s="7"/>
      <c r="H5944" s="7"/>
      <c r="J5944" s="7"/>
      <c r="L5944" s="7"/>
      <c r="N5944" s="7"/>
      <c r="P5944" s="7"/>
      <c r="R5944" s="7"/>
      <c r="T5944" s="7"/>
      <c r="V5944" s="7"/>
      <c r="X5944" s="7"/>
    </row>
    <row r="5945" spans="2:24">
      <c r="B5945" s="7"/>
      <c r="D5945" s="7"/>
      <c r="F5945" s="7"/>
      <c r="H5945" s="7"/>
      <c r="J5945" s="7"/>
      <c r="L5945" s="7"/>
      <c r="N5945" s="7"/>
      <c r="P5945" s="7"/>
      <c r="R5945" s="7"/>
      <c r="T5945" s="7"/>
      <c r="V5945" s="7"/>
      <c r="X5945" s="7"/>
    </row>
    <row r="5946" spans="2:24">
      <c r="B5946" s="7"/>
      <c r="D5946" s="7"/>
      <c r="F5946" s="7"/>
      <c r="H5946" s="7"/>
      <c r="J5946" s="7"/>
      <c r="L5946" s="7"/>
      <c r="N5946" s="7"/>
      <c r="P5946" s="7"/>
      <c r="R5946" s="7"/>
      <c r="T5946" s="7"/>
      <c r="V5946" s="7"/>
      <c r="X5946" s="7"/>
    </row>
    <row r="5947" spans="2:24">
      <c r="B5947" s="7"/>
      <c r="D5947" s="7"/>
      <c r="F5947" s="7"/>
      <c r="H5947" s="7"/>
      <c r="J5947" s="7"/>
      <c r="L5947" s="7"/>
      <c r="N5947" s="7"/>
      <c r="P5947" s="7"/>
      <c r="R5947" s="7"/>
      <c r="T5947" s="7"/>
      <c r="V5947" s="7"/>
      <c r="X5947" s="7"/>
    </row>
    <row r="5948" spans="2:24">
      <c r="B5948" s="7"/>
      <c r="D5948" s="7"/>
      <c r="F5948" s="7"/>
      <c r="H5948" s="7"/>
      <c r="J5948" s="7"/>
      <c r="L5948" s="7"/>
      <c r="N5948" s="7"/>
      <c r="P5948" s="7"/>
      <c r="R5948" s="7"/>
      <c r="T5948" s="7"/>
      <c r="V5948" s="7"/>
      <c r="X5948" s="7"/>
    </row>
    <row r="5949" spans="2:24">
      <c r="B5949" s="7"/>
      <c r="D5949" s="7"/>
      <c r="F5949" s="7"/>
      <c r="H5949" s="7"/>
      <c r="J5949" s="7"/>
      <c r="L5949" s="7"/>
      <c r="N5949" s="7"/>
      <c r="P5949" s="7"/>
      <c r="R5949" s="7"/>
      <c r="T5949" s="7"/>
      <c r="V5949" s="7"/>
      <c r="X5949" s="7"/>
    </row>
    <row r="5950" spans="2:24">
      <c r="B5950" s="7"/>
      <c r="D5950" s="7"/>
      <c r="F5950" s="7"/>
      <c r="H5950" s="7"/>
      <c r="J5950" s="7"/>
      <c r="L5950" s="7"/>
      <c r="N5950" s="7"/>
      <c r="P5950" s="7"/>
      <c r="R5950" s="7"/>
      <c r="T5950" s="7"/>
      <c r="V5950" s="7"/>
      <c r="X5950" s="7"/>
    </row>
    <row r="5951" spans="2:24">
      <c r="B5951" s="7"/>
      <c r="D5951" s="7"/>
      <c r="F5951" s="7"/>
      <c r="H5951" s="7"/>
      <c r="J5951" s="7"/>
      <c r="L5951" s="7"/>
      <c r="N5951" s="7"/>
      <c r="P5951" s="7"/>
      <c r="R5951" s="7"/>
      <c r="T5951" s="7"/>
      <c r="V5951" s="7"/>
      <c r="X5951" s="7"/>
    </row>
    <row r="5952" spans="2:24">
      <c r="B5952" s="7"/>
      <c r="D5952" s="7"/>
      <c r="F5952" s="7"/>
      <c r="H5952" s="7"/>
      <c r="J5952" s="7"/>
      <c r="L5952" s="7"/>
      <c r="N5952" s="7"/>
      <c r="P5952" s="7"/>
      <c r="R5952" s="7"/>
      <c r="T5952" s="7"/>
      <c r="V5952" s="7"/>
      <c r="X5952" s="7"/>
    </row>
    <row r="5953" spans="2:24">
      <c r="B5953" s="7"/>
      <c r="D5953" s="7"/>
      <c r="F5953" s="7"/>
      <c r="H5953" s="7"/>
      <c r="J5953" s="7"/>
      <c r="L5953" s="7"/>
      <c r="N5953" s="7"/>
      <c r="P5953" s="7"/>
      <c r="R5953" s="7"/>
      <c r="T5953" s="7"/>
      <c r="V5953" s="7"/>
      <c r="X5953" s="7"/>
    </row>
    <row r="5954" spans="2:24">
      <c r="B5954" s="7"/>
      <c r="D5954" s="7"/>
      <c r="F5954" s="7"/>
      <c r="H5954" s="7"/>
      <c r="J5954" s="7"/>
      <c r="L5954" s="7"/>
      <c r="N5954" s="7"/>
      <c r="P5954" s="7"/>
      <c r="R5954" s="7"/>
      <c r="T5954" s="7"/>
      <c r="V5954" s="7"/>
      <c r="X5954" s="7"/>
    </row>
    <row r="5955" spans="2:24">
      <c r="B5955" s="7"/>
      <c r="D5955" s="7"/>
      <c r="F5955" s="7"/>
      <c r="H5955" s="7"/>
      <c r="J5955" s="7"/>
      <c r="L5955" s="7"/>
      <c r="N5955" s="7"/>
      <c r="P5955" s="7"/>
      <c r="R5955" s="7"/>
      <c r="T5955" s="7"/>
      <c r="V5955" s="7"/>
      <c r="X5955" s="7"/>
    </row>
    <row r="5956" spans="2:24">
      <c r="B5956" s="7"/>
      <c r="D5956" s="7"/>
      <c r="F5956" s="7"/>
      <c r="H5956" s="7"/>
      <c r="J5956" s="7"/>
      <c r="L5956" s="7"/>
      <c r="N5956" s="7"/>
      <c r="P5956" s="7"/>
      <c r="R5956" s="7"/>
      <c r="T5956" s="7"/>
      <c r="V5956" s="7"/>
      <c r="X5956" s="7"/>
    </row>
    <row r="5957" spans="2:24">
      <c r="B5957" s="7"/>
      <c r="D5957" s="7"/>
      <c r="F5957" s="7"/>
      <c r="H5957" s="7"/>
      <c r="J5957" s="7"/>
      <c r="L5957" s="7"/>
      <c r="N5957" s="7"/>
      <c r="P5957" s="7"/>
      <c r="R5957" s="7"/>
      <c r="T5957" s="7"/>
      <c r="V5957" s="7"/>
      <c r="X5957" s="7"/>
    </row>
    <row r="5958" spans="2:24">
      <c r="B5958" s="7"/>
      <c r="D5958" s="7"/>
      <c r="F5958" s="7"/>
      <c r="H5958" s="7"/>
      <c r="J5958" s="7"/>
      <c r="L5958" s="7"/>
      <c r="N5958" s="7"/>
      <c r="P5958" s="7"/>
      <c r="R5958" s="7"/>
      <c r="T5958" s="7"/>
      <c r="V5958" s="7"/>
      <c r="X5958" s="7"/>
    </row>
    <row r="5959" spans="2:24">
      <c r="B5959" s="7"/>
      <c r="D5959" s="7"/>
      <c r="F5959" s="7"/>
      <c r="H5959" s="7"/>
      <c r="J5959" s="7"/>
      <c r="L5959" s="7"/>
      <c r="N5959" s="7"/>
      <c r="P5959" s="7"/>
      <c r="R5959" s="7"/>
      <c r="T5959" s="7"/>
      <c r="V5959" s="7"/>
      <c r="X5959" s="7"/>
    </row>
    <row r="5960" spans="2:24">
      <c r="B5960" s="7"/>
      <c r="D5960" s="7"/>
      <c r="F5960" s="7"/>
      <c r="H5960" s="7"/>
      <c r="J5960" s="7"/>
      <c r="L5960" s="7"/>
      <c r="N5960" s="7"/>
      <c r="P5960" s="7"/>
      <c r="R5960" s="7"/>
      <c r="T5960" s="7"/>
      <c r="V5960" s="7"/>
      <c r="X5960" s="7"/>
    </row>
    <row r="5961" spans="2:24">
      <c r="B5961" s="7"/>
      <c r="D5961" s="7"/>
      <c r="F5961" s="7"/>
      <c r="H5961" s="7"/>
      <c r="J5961" s="7"/>
      <c r="L5961" s="7"/>
      <c r="N5961" s="7"/>
      <c r="P5961" s="7"/>
      <c r="R5961" s="7"/>
      <c r="T5961" s="7"/>
      <c r="V5961" s="7"/>
      <c r="X5961" s="7"/>
    </row>
    <row r="5962" spans="2:24">
      <c r="B5962" s="7"/>
      <c r="D5962" s="7"/>
      <c r="F5962" s="7"/>
      <c r="H5962" s="7"/>
      <c r="J5962" s="7"/>
      <c r="L5962" s="7"/>
      <c r="N5962" s="7"/>
      <c r="P5962" s="7"/>
      <c r="R5962" s="7"/>
      <c r="T5962" s="7"/>
      <c r="V5962" s="7"/>
      <c r="X5962" s="7"/>
    </row>
    <row r="5963" spans="2:24">
      <c r="B5963" s="7"/>
      <c r="D5963" s="7"/>
      <c r="F5963" s="7"/>
      <c r="H5963" s="7"/>
      <c r="J5963" s="7"/>
      <c r="L5963" s="7"/>
      <c r="N5963" s="7"/>
      <c r="P5963" s="7"/>
      <c r="R5963" s="7"/>
      <c r="T5963" s="7"/>
      <c r="V5963" s="7"/>
      <c r="X5963" s="7"/>
    </row>
    <row r="5964" spans="2:24">
      <c r="B5964" s="7"/>
      <c r="D5964" s="7"/>
      <c r="F5964" s="7"/>
      <c r="H5964" s="7"/>
      <c r="J5964" s="7"/>
      <c r="L5964" s="7"/>
      <c r="N5964" s="7"/>
      <c r="P5964" s="7"/>
      <c r="R5964" s="7"/>
      <c r="T5964" s="7"/>
      <c r="V5964" s="7"/>
      <c r="X5964" s="7"/>
    </row>
    <row r="5965" spans="2:24">
      <c r="B5965" s="7"/>
      <c r="D5965" s="7"/>
      <c r="F5965" s="7"/>
      <c r="H5965" s="7"/>
      <c r="J5965" s="7"/>
      <c r="L5965" s="7"/>
      <c r="N5965" s="7"/>
      <c r="P5965" s="7"/>
      <c r="R5965" s="7"/>
      <c r="T5965" s="7"/>
      <c r="V5965" s="7"/>
      <c r="X5965" s="7"/>
    </row>
    <row r="5966" spans="2:24">
      <c r="B5966" s="7"/>
      <c r="D5966" s="7"/>
      <c r="F5966" s="7"/>
      <c r="H5966" s="7"/>
      <c r="J5966" s="7"/>
      <c r="L5966" s="7"/>
      <c r="N5966" s="7"/>
      <c r="P5966" s="7"/>
      <c r="R5966" s="7"/>
      <c r="T5966" s="7"/>
      <c r="V5966" s="7"/>
      <c r="X5966" s="7"/>
    </row>
    <row r="5967" spans="2:24">
      <c r="B5967" s="7"/>
      <c r="D5967" s="7"/>
      <c r="F5967" s="7"/>
      <c r="H5967" s="7"/>
      <c r="J5967" s="7"/>
      <c r="L5967" s="7"/>
      <c r="N5967" s="7"/>
      <c r="P5967" s="7"/>
      <c r="R5967" s="7"/>
      <c r="T5967" s="7"/>
      <c r="V5967" s="7"/>
      <c r="X5967" s="7"/>
    </row>
    <row r="5968" spans="2:24">
      <c r="B5968" s="7"/>
      <c r="D5968" s="7"/>
      <c r="F5968" s="7"/>
      <c r="H5968" s="7"/>
      <c r="J5968" s="7"/>
      <c r="L5968" s="7"/>
      <c r="N5968" s="7"/>
      <c r="P5968" s="7"/>
      <c r="R5968" s="7"/>
      <c r="T5968" s="7"/>
      <c r="V5968" s="7"/>
      <c r="X5968" s="7"/>
    </row>
    <row r="5969" spans="2:24">
      <c r="B5969" s="7"/>
      <c r="D5969" s="7"/>
      <c r="F5969" s="7"/>
      <c r="H5969" s="7"/>
      <c r="J5969" s="7"/>
      <c r="L5969" s="7"/>
      <c r="N5969" s="7"/>
      <c r="P5969" s="7"/>
      <c r="R5969" s="7"/>
      <c r="T5969" s="7"/>
      <c r="V5969" s="7"/>
      <c r="X5969" s="7"/>
    </row>
    <row r="5970" spans="2:24">
      <c r="B5970" s="7"/>
      <c r="D5970" s="7"/>
      <c r="F5970" s="7"/>
      <c r="H5970" s="7"/>
      <c r="J5970" s="7"/>
      <c r="L5970" s="7"/>
      <c r="N5970" s="7"/>
      <c r="P5970" s="7"/>
      <c r="R5970" s="7"/>
      <c r="T5970" s="7"/>
      <c r="V5970" s="7"/>
      <c r="X5970" s="7"/>
    </row>
    <row r="5971" spans="2:24">
      <c r="B5971" s="7"/>
      <c r="D5971" s="7"/>
      <c r="F5971" s="7"/>
      <c r="H5971" s="7"/>
      <c r="J5971" s="7"/>
      <c r="L5971" s="7"/>
      <c r="N5971" s="7"/>
      <c r="P5971" s="7"/>
      <c r="R5971" s="7"/>
      <c r="T5971" s="7"/>
      <c r="V5971" s="7"/>
      <c r="X5971" s="7"/>
    </row>
    <row r="5972" spans="2:24">
      <c r="B5972" s="7"/>
      <c r="D5972" s="7"/>
      <c r="F5972" s="7"/>
      <c r="H5972" s="7"/>
      <c r="J5972" s="7"/>
      <c r="L5972" s="7"/>
      <c r="N5972" s="7"/>
      <c r="P5972" s="7"/>
      <c r="R5972" s="7"/>
      <c r="T5972" s="7"/>
      <c r="V5972" s="7"/>
      <c r="X5972" s="7"/>
    </row>
    <row r="5973" spans="2:24">
      <c r="B5973" s="7"/>
      <c r="D5973" s="7"/>
      <c r="F5973" s="7"/>
      <c r="H5973" s="7"/>
      <c r="J5973" s="7"/>
      <c r="L5973" s="7"/>
      <c r="N5973" s="7"/>
      <c r="P5973" s="7"/>
      <c r="R5973" s="7"/>
      <c r="T5973" s="7"/>
      <c r="V5973" s="7"/>
      <c r="X5973" s="7"/>
    </row>
    <row r="5974" spans="2:24">
      <c r="B5974" s="7"/>
      <c r="D5974" s="7"/>
      <c r="F5974" s="7"/>
      <c r="H5974" s="7"/>
      <c r="J5974" s="7"/>
      <c r="L5974" s="7"/>
      <c r="N5974" s="7"/>
      <c r="P5974" s="7"/>
      <c r="R5974" s="7"/>
      <c r="T5974" s="7"/>
      <c r="V5974" s="7"/>
      <c r="X5974" s="7"/>
    </row>
    <row r="5975" spans="2:24">
      <c r="B5975" s="7"/>
      <c r="D5975" s="7"/>
      <c r="F5975" s="7"/>
      <c r="H5975" s="7"/>
      <c r="J5975" s="7"/>
      <c r="L5975" s="7"/>
      <c r="N5975" s="7"/>
      <c r="P5975" s="7"/>
      <c r="R5975" s="7"/>
      <c r="T5975" s="7"/>
      <c r="V5975" s="7"/>
      <c r="X5975" s="7"/>
    </row>
    <row r="5976" spans="2:24">
      <c r="B5976" s="7"/>
      <c r="D5976" s="7"/>
      <c r="F5976" s="7"/>
      <c r="H5976" s="7"/>
      <c r="J5976" s="7"/>
      <c r="L5976" s="7"/>
      <c r="N5976" s="7"/>
      <c r="P5976" s="7"/>
      <c r="R5976" s="7"/>
      <c r="T5976" s="7"/>
      <c r="V5976" s="7"/>
      <c r="X5976" s="7"/>
    </row>
    <row r="5977" spans="2:24">
      <c r="B5977" s="7"/>
      <c r="D5977" s="7"/>
      <c r="F5977" s="7"/>
      <c r="H5977" s="7"/>
      <c r="J5977" s="7"/>
      <c r="L5977" s="7"/>
      <c r="N5977" s="7"/>
      <c r="P5977" s="7"/>
      <c r="R5977" s="7"/>
      <c r="T5977" s="7"/>
      <c r="V5977" s="7"/>
      <c r="X5977" s="7"/>
    </row>
    <row r="5978" spans="2:24">
      <c r="B5978" s="7"/>
      <c r="D5978" s="7"/>
      <c r="F5978" s="7"/>
      <c r="H5978" s="7"/>
      <c r="J5978" s="7"/>
      <c r="L5978" s="7"/>
      <c r="N5978" s="7"/>
      <c r="P5978" s="7"/>
      <c r="R5978" s="7"/>
      <c r="T5978" s="7"/>
      <c r="V5978" s="7"/>
      <c r="X5978" s="7"/>
    </row>
    <row r="5979" spans="2:24">
      <c r="B5979" s="7"/>
      <c r="D5979" s="7"/>
      <c r="F5979" s="7"/>
      <c r="H5979" s="7"/>
      <c r="J5979" s="7"/>
      <c r="L5979" s="7"/>
      <c r="N5979" s="7"/>
      <c r="P5979" s="7"/>
      <c r="R5979" s="7"/>
      <c r="T5979" s="7"/>
      <c r="V5979" s="7"/>
      <c r="X5979" s="7"/>
    </row>
    <row r="5980" spans="2:24">
      <c r="B5980" s="7"/>
      <c r="D5980" s="7"/>
      <c r="F5980" s="7"/>
      <c r="H5980" s="7"/>
      <c r="J5980" s="7"/>
      <c r="L5980" s="7"/>
      <c r="N5980" s="7"/>
      <c r="P5980" s="7"/>
      <c r="R5980" s="7"/>
      <c r="T5980" s="7"/>
      <c r="V5980" s="7"/>
      <c r="X5980" s="7"/>
    </row>
    <row r="5981" spans="2:24">
      <c r="B5981" s="7"/>
      <c r="D5981" s="7"/>
      <c r="F5981" s="7"/>
      <c r="H5981" s="7"/>
      <c r="J5981" s="7"/>
      <c r="L5981" s="7"/>
      <c r="N5981" s="7"/>
      <c r="P5981" s="7"/>
      <c r="R5981" s="7"/>
      <c r="T5981" s="7"/>
      <c r="V5981" s="7"/>
      <c r="X5981" s="7"/>
    </row>
    <row r="5982" spans="2:24">
      <c r="B5982" s="7"/>
      <c r="D5982" s="7"/>
      <c r="F5982" s="7"/>
      <c r="H5982" s="7"/>
      <c r="J5982" s="7"/>
      <c r="L5982" s="7"/>
      <c r="N5982" s="7"/>
      <c r="P5982" s="7"/>
      <c r="R5982" s="7"/>
      <c r="T5982" s="7"/>
      <c r="V5982" s="7"/>
      <c r="X5982" s="7"/>
    </row>
    <row r="5983" spans="2:24">
      <c r="B5983" s="7"/>
      <c r="D5983" s="7"/>
      <c r="F5983" s="7"/>
      <c r="H5983" s="7"/>
      <c r="J5983" s="7"/>
      <c r="L5983" s="7"/>
      <c r="N5983" s="7"/>
      <c r="P5983" s="7"/>
      <c r="R5983" s="7"/>
      <c r="T5983" s="7"/>
      <c r="V5983" s="7"/>
      <c r="X5983" s="7"/>
    </row>
    <row r="5984" spans="2:24">
      <c r="B5984" s="7"/>
      <c r="D5984" s="7"/>
      <c r="F5984" s="7"/>
      <c r="H5984" s="7"/>
      <c r="J5984" s="7"/>
      <c r="L5984" s="7"/>
      <c r="N5984" s="7"/>
      <c r="P5984" s="7"/>
      <c r="R5984" s="7"/>
      <c r="T5984" s="7"/>
      <c r="V5984" s="7"/>
      <c r="X5984" s="7"/>
    </row>
    <row r="5985" spans="2:24">
      <c r="B5985" s="7"/>
      <c r="D5985" s="7"/>
      <c r="F5985" s="7"/>
      <c r="H5985" s="7"/>
      <c r="J5985" s="7"/>
      <c r="L5985" s="7"/>
      <c r="N5985" s="7"/>
      <c r="P5985" s="7"/>
      <c r="R5985" s="7"/>
      <c r="T5985" s="7"/>
      <c r="V5985" s="7"/>
      <c r="X5985" s="7"/>
    </row>
    <row r="5986" spans="2:24">
      <c r="B5986" s="7"/>
      <c r="D5986" s="7"/>
      <c r="F5986" s="7"/>
      <c r="H5986" s="7"/>
      <c r="J5986" s="7"/>
      <c r="L5986" s="7"/>
      <c r="N5986" s="7"/>
      <c r="P5986" s="7"/>
      <c r="R5986" s="7"/>
      <c r="T5986" s="7"/>
      <c r="V5986" s="7"/>
      <c r="X5986" s="7"/>
    </row>
    <row r="5987" spans="2:24">
      <c r="B5987" s="7"/>
      <c r="D5987" s="7"/>
      <c r="F5987" s="7"/>
      <c r="H5987" s="7"/>
      <c r="J5987" s="7"/>
      <c r="L5987" s="7"/>
      <c r="N5987" s="7"/>
      <c r="P5987" s="7"/>
      <c r="R5987" s="7"/>
      <c r="T5987" s="7"/>
      <c r="V5987" s="7"/>
      <c r="X5987" s="7"/>
    </row>
    <row r="5988" spans="2:24">
      <c r="B5988" s="7"/>
      <c r="D5988" s="7"/>
      <c r="F5988" s="7"/>
      <c r="H5988" s="7"/>
      <c r="J5988" s="7"/>
      <c r="L5988" s="7"/>
      <c r="N5988" s="7"/>
      <c r="P5988" s="7"/>
      <c r="R5988" s="7"/>
      <c r="T5988" s="7"/>
      <c r="V5988" s="7"/>
      <c r="X5988" s="7"/>
    </row>
    <row r="5989" spans="2:24">
      <c r="B5989" s="7"/>
      <c r="D5989" s="7"/>
      <c r="F5989" s="7"/>
      <c r="H5989" s="7"/>
      <c r="J5989" s="7"/>
      <c r="L5989" s="7"/>
      <c r="N5989" s="7"/>
      <c r="P5989" s="7"/>
      <c r="R5989" s="7"/>
      <c r="T5989" s="7"/>
      <c r="V5989" s="7"/>
      <c r="X5989" s="7"/>
    </row>
    <row r="5990" spans="2:24">
      <c r="B5990" s="7"/>
      <c r="D5990" s="7"/>
      <c r="F5990" s="7"/>
      <c r="H5990" s="7"/>
      <c r="J5990" s="7"/>
      <c r="L5990" s="7"/>
      <c r="N5990" s="7"/>
      <c r="P5990" s="7"/>
      <c r="R5990" s="7"/>
      <c r="T5990" s="7"/>
      <c r="V5990" s="7"/>
      <c r="X5990" s="7"/>
    </row>
    <row r="5991" spans="2:24">
      <c r="B5991" s="7"/>
      <c r="D5991" s="7"/>
      <c r="F5991" s="7"/>
      <c r="H5991" s="7"/>
      <c r="J5991" s="7"/>
      <c r="L5991" s="7"/>
      <c r="N5991" s="7"/>
      <c r="P5991" s="7"/>
      <c r="R5991" s="7"/>
      <c r="T5991" s="7"/>
      <c r="V5991" s="7"/>
      <c r="X5991" s="7"/>
    </row>
    <row r="5992" spans="2:24">
      <c r="B5992" s="7"/>
      <c r="D5992" s="7"/>
      <c r="F5992" s="7"/>
      <c r="H5992" s="7"/>
      <c r="J5992" s="7"/>
      <c r="L5992" s="7"/>
      <c r="N5992" s="7"/>
      <c r="P5992" s="7"/>
      <c r="R5992" s="7"/>
      <c r="T5992" s="7"/>
      <c r="V5992" s="7"/>
      <c r="X5992" s="7"/>
    </row>
    <row r="5993" spans="2:24">
      <c r="B5993" s="7"/>
      <c r="D5993" s="7"/>
      <c r="F5993" s="7"/>
      <c r="H5993" s="7"/>
      <c r="J5993" s="7"/>
      <c r="L5993" s="7"/>
      <c r="N5993" s="7"/>
      <c r="P5993" s="7"/>
      <c r="R5993" s="7"/>
      <c r="T5993" s="7"/>
      <c r="V5993" s="7"/>
      <c r="X5993" s="7"/>
    </row>
    <row r="5994" spans="2:24">
      <c r="B5994" s="7"/>
      <c r="D5994" s="7"/>
      <c r="F5994" s="7"/>
      <c r="H5994" s="7"/>
      <c r="J5994" s="7"/>
      <c r="L5994" s="7"/>
      <c r="N5994" s="7"/>
      <c r="P5994" s="7"/>
      <c r="R5994" s="7"/>
      <c r="T5994" s="7"/>
      <c r="V5994" s="7"/>
      <c r="X5994" s="7"/>
    </row>
    <row r="5995" spans="2:24">
      <c r="B5995" s="7"/>
      <c r="D5995" s="7"/>
      <c r="F5995" s="7"/>
      <c r="H5995" s="7"/>
      <c r="J5995" s="7"/>
      <c r="L5995" s="7"/>
      <c r="N5995" s="7"/>
      <c r="P5995" s="7"/>
      <c r="R5995" s="7"/>
      <c r="T5995" s="7"/>
      <c r="V5995" s="7"/>
      <c r="X5995" s="7"/>
    </row>
    <row r="5996" spans="2:24">
      <c r="B5996" s="7"/>
      <c r="D5996" s="7"/>
      <c r="F5996" s="7"/>
      <c r="H5996" s="7"/>
      <c r="J5996" s="7"/>
      <c r="L5996" s="7"/>
      <c r="N5996" s="7"/>
      <c r="P5996" s="7"/>
      <c r="R5996" s="7"/>
      <c r="T5996" s="7"/>
      <c r="V5996" s="7"/>
      <c r="X5996" s="7"/>
    </row>
    <row r="5997" spans="2:24">
      <c r="B5997" s="7"/>
      <c r="D5997" s="7"/>
      <c r="F5997" s="7"/>
      <c r="H5997" s="7"/>
      <c r="J5997" s="7"/>
      <c r="L5997" s="7"/>
      <c r="N5997" s="7"/>
      <c r="P5997" s="7"/>
      <c r="R5997" s="7"/>
      <c r="T5997" s="7"/>
      <c r="V5997" s="7"/>
      <c r="X5997" s="7"/>
    </row>
    <row r="5998" spans="2:24">
      <c r="B5998" s="7"/>
      <c r="D5998" s="7"/>
      <c r="F5998" s="7"/>
      <c r="H5998" s="7"/>
      <c r="J5998" s="7"/>
      <c r="L5998" s="7"/>
      <c r="N5998" s="7"/>
      <c r="P5998" s="7"/>
      <c r="R5998" s="7"/>
      <c r="T5998" s="7"/>
      <c r="V5998" s="7"/>
      <c r="X5998" s="7"/>
    </row>
    <row r="5999" spans="2:24">
      <c r="B5999" s="7"/>
      <c r="D5999" s="7"/>
      <c r="F5999" s="7"/>
      <c r="H5999" s="7"/>
      <c r="J5999" s="7"/>
      <c r="L5999" s="7"/>
      <c r="N5999" s="7"/>
      <c r="P5999" s="7"/>
      <c r="R5999" s="7"/>
      <c r="T5999" s="7"/>
      <c r="V5999" s="7"/>
      <c r="X5999" s="7"/>
    </row>
    <row r="6000" spans="2:24">
      <c r="B6000" s="7"/>
      <c r="D6000" s="7"/>
      <c r="F6000" s="7"/>
      <c r="H6000" s="7"/>
      <c r="J6000" s="7"/>
      <c r="L6000" s="7"/>
      <c r="N6000" s="7"/>
      <c r="P6000" s="7"/>
      <c r="R6000" s="7"/>
      <c r="T6000" s="7"/>
      <c r="V6000" s="7"/>
      <c r="X6000" s="7"/>
    </row>
    <row r="6001" spans="2:24">
      <c r="B6001" s="7"/>
      <c r="D6001" s="7"/>
      <c r="F6001" s="7"/>
      <c r="H6001" s="7"/>
      <c r="J6001" s="7"/>
      <c r="L6001" s="7"/>
      <c r="N6001" s="7"/>
      <c r="P6001" s="7"/>
      <c r="R6001" s="7"/>
      <c r="T6001" s="7"/>
      <c r="V6001" s="7"/>
      <c r="X6001" s="7"/>
    </row>
    <row r="6002" spans="2:24">
      <c r="B6002" s="7"/>
      <c r="D6002" s="7"/>
      <c r="F6002" s="7"/>
      <c r="H6002" s="7"/>
      <c r="J6002" s="7"/>
      <c r="L6002" s="7"/>
      <c r="N6002" s="7"/>
      <c r="P6002" s="7"/>
      <c r="R6002" s="7"/>
      <c r="T6002" s="7"/>
      <c r="V6002" s="7"/>
      <c r="X6002" s="7"/>
    </row>
    <row r="6003" spans="2:24">
      <c r="B6003" s="7"/>
      <c r="D6003" s="7"/>
      <c r="F6003" s="7"/>
      <c r="H6003" s="7"/>
      <c r="J6003" s="7"/>
      <c r="L6003" s="7"/>
      <c r="N6003" s="7"/>
      <c r="P6003" s="7"/>
      <c r="R6003" s="7"/>
      <c r="T6003" s="7"/>
      <c r="V6003" s="7"/>
      <c r="X6003" s="7"/>
    </row>
    <row r="6004" spans="2:24">
      <c r="B6004" s="7"/>
      <c r="D6004" s="7"/>
      <c r="F6004" s="7"/>
      <c r="H6004" s="7"/>
      <c r="J6004" s="7"/>
      <c r="L6004" s="7"/>
      <c r="N6004" s="7"/>
      <c r="P6004" s="7"/>
      <c r="R6004" s="7"/>
      <c r="T6004" s="7"/>
      <c r="V6004" s="7"/>
      <c r="X6004" s="7"/>
    </row>
    <row r="6005" spans="2:24">
      <c r="B6005" s="7"/>
      <c r="D6005" s="7"/>
      <c r="F6005" s="7"/>
      <c r="H6005" s="7"/>
      <c r="J6005" s="7"/>
      <c r="L6005" s="7"/>
      <c r="N6005" s="7"/>
      <c r="P6005" s="7"/>
      <c r="R6005" s="7"/>
      <c r="T6005" s="7"/>
      <c r="V6005" s="7"/>
      <c r="X6005" s="7"/>
    </row>
    <row r="6006" spans="2:24">
      <c r="B6006" s="7"/>
      <c r="D6006" s="7"/>
      <c r="F6006" s="7"/>
      <c r="H6006" s="7"/>
      <c r="J6006" s="7"/>
      <c r="L6006" s="7"/>
      <c r="N6006" s="7"/>
      <c r="P6006" s="7"/>
      <c r="R6006" s="7"/>
      <c r="T6006" s="7"/>
      <c r="V6006" s="7"/>
      <c r="X6006" s="7"/>
    </row>
    <row r="6007" spans="2:24">
      <c r="B6007" s="7"/>
      <c r="D6007" s="7"/>
      <c r="F6007" s="7"/>
      <c r="H6007" s="7"/>
      <c r="J6007" s="7"/>
      <c r="L6007" s="7"/>
      <c r="N6007" s="7"/>
      <c r="P6007" s="7"/>
      <c r="R6007" s="7"/>
      <c r="T6007" s="7"/>
      <c r="V6007" s="7"/>
      <c r="X6007" s="7"/>
    </row>
    <row r="6008" spans="2:24">
      <c r="B6008" s="7"/>
      <c r="D6008" s="7"/>
      <c r="F6008" s="7"/>
      <c r="H6008" s="7"/>
      <c r="J6008" s="7"/>
      <c r="L6008" s="7"/>
      <c r="N6008" s="7"/>
      <c r="P6008" s="7"/>
      <c r="R6008" s="7"/>
      <c r="T6008" s="7"/>
      <c r="V6008" s="7"/>
      <c r="X6008" s="7"/>
    </row>
    <row r="6009" spans="2:24">
      <c r="B6009" s="7"/>
      <c r="D6009" s="7"/>
      <c r="F6009" s="7"/>
      <c r="H6009" s="7"/>
      <c r="J6009" s="7"/>
      <c r="L6009" s="7"/>
      <c r="N6009" s="7"/>
      <c r="P6009" s="7"/>
      <c r="R6009" s="7"/>
      <c r="T6009" s="7"/>
      <c r="V6009" s="7"/>
      <c r="X6009" s="7"/>
    </row>
    <row r="6010" spans="2:24">
      <c r="B6010" s="7"/>
      <c r="D6010" s="7"/>
      <c r="F6010" s="7"/>
      <c r="H6010" s="7"/>
      <c r="J6010" s="7"/>
      <c r="L6010" s="7"/>
      <c r="N6010" s="7"/>
      <c r="P6010" s="7"/>
      <c r="R6010" s="7"/>
      <c r="T6010" s="7"/>
      <c r="V6010" s="7"/>
      <c r="X6010" s="7"/>
    </row>
    <row r="6011" spans="2:24">
      <c r="B6011" s="7"/>
      <c r="D6011" s="7"/>
      <c r="F6011" s="7"/>
      <c r="H6011" s="7"/>
      <c r="J6011" s="7"/>
      <c r="L6011" s="7"/>
      <c r="N6011" s="7"/>
      <c r="P6011" s="7"/>
      <c r="R6011" s="7"/>
      <c r="T6011" s="7"/>
      <c r="V6011" s="7"/>
      <c r="X6011" s="7"/>
    </row>
    <row r="6012" spans="2:24">
      <c r="B6012" s="7"/>
      <c r="D6012" s="7"/>
      <c r="F6012" s="7"/>
      <c r="H6012" s="7"/>
      <c r="J6012" s="7"/>
      <c r="L6012" s="7"/>
      <c r="N6012" s="7"/>
      <c r="P6012" s="7"/>
      <c r="R6012" s="7"/>
      <c r="T6012" s="7"/>
      <c r="V6012" s="7"/>
      <c r="X6012" s="7"/>
    </row>
    <row r="6013" spans="2:24">
      <c r="B6013" s="7"/>
      <c r="D6013" s="7"/>
      <c r="F6013" s="7"/>
      <c r="H6013" s="7"/>
      <c r="J6013" s="7"/>
      <c r="L6013" s="7"/>
      <c r="N6013" s="7"/>
      <c r="P6013" s="7"/>
      <c r="R6013" s="7"/>
      <c r="T6013" s="7"/>
      <c r="V6013" s="7"/>
      <c r="X6013" s="7"/>
    </row>
    <row r="6014" spans="2:24">
      <c r="B6014" s="7"/>
      <c r="D6014" s="7"/>
      <c r="F6014" s="7"/>
      <c r="H6014" s="7"/>
      <c r="J6014" s="7"/>
      <c r="L6014" s="7"/>
      <c r="N6014" s="7"/>
      <c r="P6014" s="7"/>
      <c r="R6014" s="7"/>
      <c r="T6014" s="7"/>
      <c r="V6014" s="7"/>
      <c r="X6014" s="7"/>
    </row>
    <row r="6015" spans="2:24">
      <c r="B6015" s="7"/>
      <c r="D6015" s="7"/>
      <c r="F6015" s="7"/>
      <c r="H6015" s="7"/>
      <c r="J6015" s="7"/>
      <c r="L6015" s="7"/>
      <c r="N6015" s="7"/>
      <c r="P6015" s="7"/>
      <c r="R6015" s="7"/>
      <c r="T6015" s="7"/>
      <c r="V6015" s="7"/>
      <c r="X6015" s="7"/>
    </row>
    <row r="6016" spans="2:24">
      <c r="B6016" s="7"/>
      <c r="D6016" s="7"/>
      <c r="F6016" s="7"/>
      <c r="H6016" s="7"/>
      <c r="J6016" s="7"/>
      <c r="L6016" s="7"/>
      <c r="N6016" s="7"/>
      <c r="P6016" s="7"/>
      <c r="R6016" s="7"/>
      <c r="T6016" s="7"/>
      <c r="V6016" s="7"/>
      <c r="X6016" s="7"/>
    </row>
    <row r="6017" spans="2:24">
      <c r="B6017" s="7"/>
      <c r="D6017" s="7"/>
      <c r="F6017" s="7"/>
      <c r="H6017" s="7"/>
      <c r="J6017" s="7"/>
      <c r="L6017" s="7"/>
      <c r="N6017" s="7"/>
      <c r="P6017" s="7"/>
      <c r="R6017" s="7"/>
      <c r="T6017" s="7"/>
      <c r="V6017" s="7"/>
      <c r="X6017" s="7"/>
    </row>
    <row r="6018" spans="2:24">
      <c r="B6018" s="7"/>
      <c r="D6018" s="7"/>
      <c r="F6018" s="7"/>
      <c r="H6018" s="7"/>
      <c r="J6018" s="7"/>
      <c r="L6018" s="7"/>
      <c r="N6018" s="7"/>
      <c r="P6018" s="7"/>
      <c r="R6018" s="7"/>
      <c r="T6018" s="7"/>
      <c r="V6018" s="7"/>
      <c r="X6018" s="7"/>
    </row>
    <row r="6019" spans="2:24">
      <c r="B6019" s="7"/>
      <c r="D6019" s="7"/>
      <c r="F6019" s="7"/>
      <c r="H6019" s="7"/>
      <c r="J6019" s="7"/>
      <c r="L6019" s="7"/>
      <c r="N6019" s="7"/>
      <c r="P6019" s="7"/>
      <c r="R6019" s="7"/>
      <c r="T6019" s="7"/>
      <c r="V6019" s="7"/>
      <c r="X6019" s="7"/>
    </row>
    <row r="6020" spans="2:24">
      <c r="B6020" s="7"/>
      <c r="D6020" s="7"/>
      <c r="F6020" s="7"/>
      <c r="H6020" s="7"/>
      <c r="J6020" s="7"/>
      <c r="L6020" s="7"/>
      <c r="N6020" s="7"/>
      <c r="P6020" s="7"/>
      <c r="R6020" s="7"/>
      <c r="T6020" s="7"/>
      <c r="V6020" s="7"/>
      <c r="X6020" s="7"/>
    </row>
    <row r="6021" spans="2:24">
      <c r="B6021" s="7"/>
      <c r="D6021" s="7"/>
      <c r="F6021" s="7"/>
      <c r="H6021" s="7"/>
      <c r="J6021" s="7"/>
      <c r="L6021" s="7"/>
      <c r="N6021" s="7"/>
      <c r="P6021" s="7"/>
      <c r="R6021" s="7"/>
      <c r="T6021" s="7"/>
      <c r="V6021" s="7"/>
      <c r="X6021" s="7"/>
    </row>
    <row r="6022" spans="2:24">
      <c r="B6022" s="7"/>
      <c r="D6022" s="7"/>
      <c r="F6022" s="7"/>
      <c r="H6022" s="7"/>
      <c r="J6022" s="7"/>
      <c r="L6022" s="7"/>
      <c r="N6022" s="7"/>
      <c r="P6022" s="7"/>
      <c r="R6022" s="7"/>
      <c r="T6022" s="7"/>
      <c r="V6022" s="7"/>
      <c r="X6022" s="7"/>
    </row>
    <row r="6023" spans="2:24">
      <c r="B6023" s="7"/>
      <c r="D6023" s="7"/>
      <c r="F6023" s="7"/>
      <c r="H6023" s="7"/>
      <c r="J6023" s="7"/>
      <c r="L6023" s="7"/>
      <c r="N6023" s="7"/>
      <c r="P6023" s="7"/>
      <c r="R6023" s="7"/>
      <c r="T6023" s="7"/>
      <c r="V6023" s="7"/>
      <c r="X6023" s="7"/>
    </row>
    <row r="6024" spans="2:24">
      <c r="B6024" s="7"/>
      <c r="D6024" s="7"/>
      <c r="F6024" s="7"/>
      <c r="H6024" s="7"/>
      <c r="J6024" s="7"/>
      <c r="L6024" s="7"/>
      <c r="N6024" s="7"/>
      <c r="P6024" s="7"/>
      <c r="R6024" s="7"/>
      <c r="T6024" s="7"/>
      <c r="V6024" s="7"/>
      <c r="X6024" s="7"/>
    </row>
    <row r="6025" spans="2:24">
      <c r="B6025" s="7"/>
      <c r="D6025" s="7"/>
      <c r="F6025" s="7"/>
      <c r="H6025" s="7"/>
      <c r="J6025" s="7"/>
      <c r="L6025" s="7"/>
      <c r="N6025" s="7"/>
      <c r="P6025" s="7"/>
      <c r="R6025" s="7"/>
      <c r="T6025" s="7"/>
      <c r="V6025" s="7"/>
      <c r="X6025" s="7"/>
    </row>
    <row r="6026" spans="2:24">
      <c r="B6026" s="7"/>
      <c r="D6026" s="7"/>
      <c r="F6026" s="7"/>
      <c r="H6026" s="7"/>
      <c r="J6026" s="7"/>
      <c r="L6026" s="7"/>
      <c r="N6026" s="7"/>
      <c r="P6026" s="7"/>
      <c r="R6026" s="7"/>
      <c r="T6026" s="7"/>
      <c r="V6026" s="7"/>
      <c r="X6026" s="7"/>
    </row>
    <row r="6027" spans="2:24">
      <c r="B6027" s="7"/>
      <c r="D6027" s="7"/>
      <c r="F6027" s="7"/>
      <c r="H6027" s="7"/>
      <c r="J6027" s="7"/>
      <c r="L6027" s="7"/>
      <c r="N6027" s="7"/>
      <c r="P6027" s="7"/>
      <c r="R6027" s="7"/>
      <c r="T6027" s="7"/>
      <c r="V6027" s="7"/>
      <c r="X6027" s="7"/>
    </row>
    <row r="6028" spans="2:24">
      <c r="B6028" s="7"/>
      <c r="D6028" s="7"/>
      <c r="F6028" s="7"/>
      <c r="H6028" s="7"/>
      <c r="J6028" s="7"/>
      <c r="L6028" s="7"/>
      <c r="N6028" s="7"/>
      <c r="P6028" s="7"/>
      <c r="R6028" s="7"/>
      <c r="T6028" s="7"/>
      <c r="V6028" s="7"/>
      <c r="X6028" s="7"/>
    </row>
    <row r="6029" spans="2:24">
      <c r="B6029" s="7"/>
      <c r="D6029" s="7"/>
      <c r="F6029" s="7"/>
      <c r="H6029" s="7"/>
      <c r="J6029" s="7"/>
      <c r="L6029" s="7"/>
      <c r="N6029" s="7"/>
      <c r="P6029" s="7"/>
      <c r="R6029" s="7"/>
      <c r="T6029" s="7"/>
      <c r="V6029" s="7"/>
      <c r="X6029" s="7"/>
    </row>
    <row r="6030" spans="2:24">
      <c r="B6030" s="7"/>
      <c r="D6030" s="7"/>
      <c r="F6030" s="7"/>
      <c r="H6030" s="7"/>
      <c r="J6030" s="7"/>
      <c r="L6030" s="7"/>
      <c r="N6030" s="7"/>
      <c r="P6030" s="7"/>
      <c r="R6030" s="7"/>
      <c r="T6030" s="7"/>
      <c r="V6030" s="7"/>
      <c r="X6030" s="7"/>
    </row>
    <row r="6031" spans="2:24">
      <c r="B6031" s="7"/>
      <c r="D6031" s="7"/>
      <c r="F6031" s="7"/>
      <c r="H6031" s="7"/>
      <c r="J6031" s="7"/>
      <c r="L6031" s="7"/>
      <c r="N6031" s="7"/>
      <c r="P6031" s="7"/>
      <c r="R6031" s="7"/>
      <c r="T6031" s="7"/>
      <c r="V6031" s="7"/>
      <c r="X6031" s="7"/>
    </row>
    <row r="6032" spans="2:24">
      <c r="B6032" s="7"/>
      <c r="D6032" s="7"/>
      <c r="F6032" s="7"/>
      <c r="H6032" s="7"/>
      <c r="J6032" s="7"/>
      <c r="L6032" s="7"/>
      <c r="N6032" s="7"/>
      <c r="P6032" s="7"/>
      <c r="R6032" s="7"/>
      <c r="T6032" s="7"/>
      <c r="V6032" s="7"/>
      <c r="X6032" s="7"/>
    </row>
    <row r="6033" spans="2:24">
      <c r="B6033" s="7"/>
      <c r="D6033" s="7"/>
      <c r="F6033" s="7"/>
      <c r="H6033" s="7"/>
      <c r="J6033" s="7"/>
      <c r="L6033" s="7"/>
      <c r="N6033" s="7"/>
      <c r="P6033" s="7"/>
      <c r="R6033" s="7"/>
      <c r="T6033" s="7"/>
      <c r="V6033" s="7"/>
      <c r="X6033" s="7"/>
    </row>
    <row r="6034" spans="2:24">
      <c r="B6034" s="7"/>
      <c r="D6034" s="7"/>
      <c r="F6034" s="7"/>
      <c r="H6034" s="7"/>
      <c r="J6034" s="7"/>
      <c r="L6034" s="7"/>
      <c r="N6034" s="7"/>
      <c r="P6034" s="7"/>
      <c r="R6034" s="7"/>
      <c r="T6034" s="7"/>
      <c r="V6034" s="7"/>
      <c r="X6034" s="7"/>
    </row>
    <row r="6035" spans="2:24">
      <c r="B6035" s="7"/>
      <c r="D6035" s="7"/>
      <c r="F6035" s="7"/>
      <c r="H6035" s="7"/>
      <c r="J6035" s="7"/>
      <c r="L6035" s="7"/>
      <c r="N6035" s="7"/>
      <c r="P6035" s="7"/>
      <c r="R6035" s="7"/>
      <c r="T6035" s="7"/>
      <c r="V6035" s="7"/>
      <c r="X6035" s="7"/>
    </row>
    <row r="6036" spans="2:24">
      <c r="B6036" s="7"/>
      <c r="D6036" s="7"/>
      <c r="F6036" s="7"/>
      <c r="H6036" s="7"/>
      <c r="J6036" s="7"/>
      <c r="L6036" s="7"/>
      <c r="N6036" s="7"/>
      <c r="P6036" s="7"/>
      <c r="R6036" s="7"/>
      <c r="T6036" s="7"/>
      <c r="V6036" s="7"/>
      <c r="X6036" s="7"/>
    </row>
    <row r="6037" spans="2:24">
      <c r="B6037" s="7"/>
      <c r="D6037" s="7"/>
      <c r="F6037" s="7"/>
      <c r="H6037" s="7"/>
      <c r="J6037" s="7"/>
      <c r="L6037" s="7"/>
      <c r="N6037" s="7"/>
      <c r="P6037" s="7"/>
      <c r="R6037" s="7"/>
      <c r="T6037" s="7"/>
      <c r="V6037" s="7"/>
      <c r="X6037" s="7"/>
    </row>
    <row r="6038" spans="2:24">
      <c r="B6038" s="7"/>
      <c r="D6038" s="7"/>
      <c r="F6038" s="7"/>
      <c r="H6038" s="7"/>
      <c r="J6038" s="7"/>
      <c r="L6038" s="7"/>
      <c r="N6038" s="7"/>
      <c r="P6038" s="7"/>
      <c r="R6038" s="7"/>
      <c r="T6038" s="7"/>
      <c r="V6038" s="7"/>
      <c r="X6038" s="7"/>
    </row>
    <row r="6039" spans="2:24">
      <c r="B6039" s="7"/>
      <c r="D6039" s="7"/>
      <c r="F6039" s="7"/>
      <c r="H6039" s="7"/>
      <c r="J6039" s="7"/>
      <c r="L6039" s="7"/>
      <c r="N6039" s="7"/>
      <c r="P6039" s="7"/>
      <c r="R6039" s="7"/>
      <c r="T6039" s="7"/>
      <c r="V6039" s="7"/>
      <c r="X6039" s="7"/>
    </row>
    <row r="6040" spans="2:24">
      <c r="B6040" s="7"/>
      <c r="D6040" s="7"/>
      <c r="F6040" s="7"/>
      <c r="H6040" s="7"/>
      <c r="J6040" s="7"/>
      <c r="L6040" s="7"/>
      <c r="N6040" s="7"/>
      <c r="P6040" s="7"/>
      <c r="R6040" s="7"/>
      <c r="T6040" s="7"/>
      <c r="V6040" s="7"/>
      <c r="X6040" s="7"/>
    </row>
    <row r="6041" spans="2:24">
      <c r="B6041" s="7"/>
      <c r="D6041" s="7"/>
      <c r="F6041" s="7"/>
      <c r="H6041" s="7"/>
      <c r="J6041" s="7"/>
      <c r="L6041" s="7"/>
      <c r="N6041" s="7"/>
      <c r="P6041" s="7"/>
      <c r="R6041" s="7"/>
      <c r="T6041" s="7"/>
      <c r="V6041" s="7"/>
      <c r="X6041" s="7"/>
    </row>
    <row r="6042" spans="2:24">
      <c r="B6042" s="7"/>
      <c r="D6042" s="7"/>
      <c r="F6042" s="7"/>
      <c r="H6042" s="7"/>
      <c r="J6042" s="7"/>
      <c r="L6042" s="7"/>
      <c r="N6042" s="7"/>
      <c r="P6042" s="7"/>
      <c r="R6042" s="7"/>
      <c r="T6042" s="7"/>
      <c r="V6042" s="7"/>
      <c r="X6042" s="7"/>
    </row>
    <row r="6043" spans="2:24">
      <c r="B6043" s="7"/>
      <c r="D6043" s="7"/>
      <c r="F6043" s="7"/>
      <c r="H6043" s="7"/>
      <c r="J6043" s="7"/>
      <c r="L6043" s="7"/>
      <c r="N6043" s="7"/>
      <c r="P6043" s="7"/>
      <c r="R6043" s="7"/>
      <c r="T6043" s="7"/>
      <c r="V6043" s="7"/>
      <c r="X6043" s="7"/>
    </row>
    <row r="6044" spans="2:24">
      <c r="B6044" s="7"/>
      <c r="D6044" s="7"/>
      <c r="F6044" s="7"/>
      <c r="H6044" s="7"/>
      <c r="J6044" s="7"/>
      <c r="L6044" s="7"/>
      <c r="N6044" s="7"/>
      <c r="P6044" s="7"/>
      <c r="R6044" s="7"/>
      <c r="T6044" s="7"/>
      <c r="V6044" s="7"/>
      <c r="X6044" s="7"/>
    </row>
    <row r="6045" spans="2:24">
      <c r="B6045" s="7"/>
      <c r="D6045" s="7"/>
      <c r="F6045" s="7"/>
      <c r="H6045" s="7"/>
      <c r="J6045" s="7"/>
      <c r="L6045" s="7"/>
      <c r="N6045" s="7"/>
      <c r="P6045" s="7"/>
      <c r="R6045" s="7"/>
      <c r="T6045" s="7"/>
      <c r="V6045" s="7"/>
      <c r="X6045" s="7"/>
    </row>
    <row r="6046" spans="2:24">
      <c r="B6046" s="7"/>
      <c r="D6046" s="7"/>
      <c r="F6046" s="7"/>
      <c r="H6046" s="7"/>
      <c r="J6046" s="7"/>
      <c r="L6046" s="7"/>
      <c r="N6046" s="7"/>
      <c r="P6046" s="7"/>
      <c r="R6046" s="7"/>
      <c r="T6046" s="7"/>
      <c r="V6046" s="7"/>
      <c r="X6046" s="7"/>
    </row>
    <row r="6047" spans="2:24">
      <c r="B6047" s="7"/>
      <c r="D6047" s="7"/>
      <c r="F6047" s="7"/>
      <c r="H6047" s="7"/>
      <c r="J6047" s="7"/>
      <c r="L6047" s="7"/>
      <c r="N6047" s="7"/>
      <c r="P6047" s="7"/>
      <c r="R6047" s="7"/>
      <c r="T6047" s="7"/>
      <c r="V6047" s="7"/>
      <c r="X6047" s="7"/>
    </row>
    <row r="6048" spans="2:24">
      <c r="B6048" s="7"/>
      <c r="D6048" s="7"/>
      <c r="F6048" s="7"/>
      <c r="H6048" s="7"/>
      <c r="J6048" s="7"/>
      <c r="L6048" s="7"/>
      <c r="N6048" s="7"/>
      <c r="P6048" s="7"/>
      <c r="R6048" s="7"/>
      <c r="T6048" s="7"/>
      <c r="V6048" s="7"/>
      <c r="X6048" s="7"/>
    </row>
    <row r="6049" spans="2:24">
      <c r="B6049" s="7"/>
      <c r="D6049" s="7"/>
      <c r="F6049" s="7"/>
      <c r="H6049" s="7"/>
      <c r="J6049" s="7"/>
      <c r="L6049" s="7"/>
      <c r="N6049" s="7"/>
      <c r="P6049" s="7"/>
      <c r="R6049" s="7"/>
      <c r="T6049" s="7"/>
      <c r="V6049" s="7"/>
      <c r="X6049" s="7"/>
    </row>
    <row r="6050" spans="2:24">
      <c r="B6050" s="7"/>
      <c r="D6050" s="7"/>
      <c r="F6050" s="7"/>
      <c r="H6050" s="7"/>
      <c r="J6050" s="7"/>
      <c r="L6050" s="7"/>
      <c r="N6050" s="7"/>
      <c r="P6050" s="7"/>
      <c r="R6050" s="7"/>
      <c r="T6050" s="7"/>
      <c r="V6050" s="7"/>
      <c r="X6050" s="7"/>
    </row>
    <row r="6051" spans="2:24">
      <c r="B6051" s="7"/>
      <c r="D6051" s="7"/>
      <c r="F6051" s="7"/>
      <c r="H6051" s="7"/>
      <c r="J6051" s="7"/>
      <c r="L6051" s="7"/>
      <c r="N6051" s="7"/>
      <c r="P6051" s="7"/>
      <c r="R6051" s="7"/>
      <c r="T6051" s="7"/>
      <c r="V6051" s="7"/>
      <c r="X6051" s="7"/>
    </row>
    <row r="6052" spans="2:24">
      <c r="B6052" s="7"/>
      <c r="D6052" s="7"/>
      <c r="F6052" s="7"/>
      <c r="H6052" s="7"/>
      <c r="J6052" s="7"/>
      <c r="L6052" s="7"/>
      <c r="N6052" s="7"/>
      <c r="P6052" s="7"/>
      <c r="R6052" s="7"/>
      <c r="T6052" s="7"/>
      <c r="V6052" s="7"/>
      <c r="X6052" s="7"/>
    </row>
    <row r="6053" spans="2:24">
      <c r="B6053" s="7"/>
      <c r="D6053" s="7"/>
      <c r="F6053" s="7"/>
      <c r="H6053" s="7"/>
      <c r="J6053" s="7"/>
      <c r="L6053" s="7"/>
      <c r="N6053" s="7"/>
      <c r="P6053" s="7"/>
      <c r="R6053" s="7"/>
      <c r="T6053" s="7"/>
      <c r="V6053" s="7"/>
      <c r="X6053" s="7"/>
    </row>
    <row r="6054" spans="2:24">
      <c r="B6054" s="7"/>
      <c r="D6054" s="7"/>
      <c r="F6054" s="7"/>
      <c r="H6054" s="7"/>
      <c r="J6054" s="7"/>
      <c r="L6054" s="7"/>
      <c r="N6054" s="7"/>
      <c r="P6054" s="7"/>
      <c r="R6054" s="7"/>
      <c r="T6054" s="7"/>
      <c r="V6054" s="7"/>
      <c r="X6054" s="7"/>
    </row>
    <row r="6055" spans="2:24">
      <c r="B6055" s="7"/>
      <c r="D6055" s="7"/>
      <c r="F6055" s="7"/>
      <c r="H6055" s="7"/>
      <c r="J6055" s="7"/>
      <c r="L6055" s="7"/>
      <c r="N6055" s="7"/>
      <c r="P6055" s="7"/>
      <c r="R6055" s="7"/>
      <c r="T6055" s="7"/>
      <c r="V6055" s="7"/>
      <c r="X6055" s="7"/>
    </row>
    <row r="6056" spans="2:24">
      <c r="B6056" s="7"/>
      <c r="D6056" s="7"/>
      <c r="F6056" s="7"/>
      <c r="H6056" s="7"/>
      <c r="J6056" s="7"/>
      <c r="L6056" s="7"/>
      <c r="N6056" s="7"/>
      <c r="P6056" s="7"/>
      <c r="R6056" s="7"/>
      <c r="T6056" s="7"/>
      <c r="V6056" s="7"/>
      <c r="X6056" s="7"/>
    </row>
    <row r="6057" spans="2:24">
      <c r="B6057" s="7"/>
      <c r="D6057" s="7"/>
      <c r="F6057" s="7"/>
      <c r="H6057" s="7"/>
      <c r="J6057" s="7"/>
      <c r="L6057" s="7"/>
      <c r="N6057" s="7"/>
      <c r="P6057" s="7"/>
      <c r="R6057" s="7"/>
      <c r="T6057" s="7"/>
      <c r="V6057" s="7"/>
      <c r="X6057" s="7"/>
    </row>
    <row r="6058" spans="2:24">
      <c r="B6058" s="7"/>
      <c r="D6058" s="7"/>
      <c r="F6058" s="7"/>
      <c r="H6058" s="7"/>
      <c r="J6058" s="7"/>
      <c r="L6058" s="7"/>
      <c r="N6058" s="7"/>
      <c r="P6058" s="7"/>
      <c r="R6058" s="7"/>
      <c r="T6058" s="7"/>
      <c r="V6058" s="7"/>
      <c r="X6058" s="7"/>
    </row>
    <row r="6059" spans="2:24">
      <c r="B6059" s="7"/>
      <c r="D6059" s="7"/>
      <c r="F6059" s="7"/>
      <c r="H6059" s="7"/>
      <c r="J6059" s="7"/>
      <c r="L6059" s="7"/>
      <c r="N6059" s="7"/>
      <c r="P6059" s="7"/>
      <c r="R6059" s="7"/>
      <c r="T6059" s="7"/>
      <c r="V6059" s="7"/>
      <c r="X6059" s="7"/>
    </row>
    <row r="6060" spans="2:24">
      <c r="B6060" s="7"/>
      <c r="D6060" s="7"/>
      <c r="F6060" s="7"/>
      <c r="H6060" s="7"/>
      <c r="J6060" s="7"/>
      <c r="L6060" s="7"/>
      <c r="N6060" s="7"/>
      <c r="P6060" s="7"/>
      <c r="R6060" s="7"/>
      <c r="T6060" s="7"/>
      <c r="V6060" s="7"/>
      <c r="X6060" s="7"/>
    </row>
    <row r="6061" spans="2:24">
      <c r="B6061" s="7"/>
      <c r="D6061" s="7"/>
      <c r="F6061" s="7"/>
      <c r="H6061" s="7"/>
      <c r="J6061" s="7"/>
      <c r="L6061" s="7"/>
      <c r="N6061" s="7"/>
      <c r="P6061" s="7"/>
      <c r="R6061" s="7"/>
      <c r="T6061" s="7"/>
      <c r="V6061" s="7"/>
      <c r="X6061" s="7"/>
    </row>
    <row r="6062" spans="2:24">
      <c r="B6062" s="7"/>
      <c r="D6062" s="7"/>
      <c r="F6062" s="7"/>
      <c r="H6062" s="7"/>
      <c r="J6062" s="7"/>
      <c r="L6062" s="7"/>
      <c r="N6062" s="7"/>
      <c r="P6062" s="7"/>
      <c r="R6062" s="7"/>
      <c r="T6062" s="7"/>
      <c r="V6062" s="7"/>
      <c r="X6062" s="7"/>
    </row>
    <row r="6063" spans="2:24">
      <c r="B6063" s="7"/>
      <c r="D6063" s="7"/>
      <c r="F6063" s="7"/>
      <c r="H6063" s="7"/>
      <c r="J6063" s="7"/>
      <c r="L6063" s="7"/>
      <c r="N6063" s="7"/>
      <c r="P6063" s="7"/>
      <c r="R6063" s="7"/>
      <c r="T6063" s="7"/>
      <c r="V6063" s="7"/>
      <c r="X6063" s="7"/>
    </row>
    <row r="6064" spans="2:24">
      <c r="B6064" s="7"/>
      <c r="D6064" s="7"/>
      <c r="F6064" s="7"/>
      <c r="H6064" s="7"/>
      <c r="J6064" s="7"/>
      <c r="L6064" s="7"/>
      <c r="N6064" s="7"/>
      <c r="P6064" s="7"/>
      <c r="R6064" s="7"/>
      <c r="T6064" s="7"/>
      <c r="V6064" s="7"/>
      <c r="X6064" s="7"/>
    </row>
    <row r="6065" spans="2:24">
      <c r="B6065" s="7"/>
      <c r="D6065" s="7"/>
      <c r="F6065" s="7"/>
      <c r="H6065" s="7"/>
      <c r="J6065" s="7"/>
      <c r="L6065" s="7"/>
      <c r="N6065" s="7"/>
      <c r="P6065" s="7"/>
      <c r="R6065" s="7"/>
      <c r="T6065" s="7"/>
      <c r="V6065" s="7"/>
      <c r="X6065" s="7"/>
    </row>
    <row r="6066" spans="2:24">
      <c r="B6066" s="7"/>
      <c r="D6066" s="7"/>
      <c r="F6066" s="7"/>
      <c r="H6066" s="7"/>
      <c r="J6066" s="7"/>
      <c r="L6066" s="7"/>
      <c r="N6066" s="7"/>
      <c r="P6066" s="7"/>
      <c r="R6066" s="7"/>
      <c r="T6066" s="7"/>
      <c r="V6066" s="7"/>
      <c r="X6066" s="7"/>
    </row>
    <row r="6067" spans="2:24">
      <c r="B6067" s="7"/>
      <c r="D6067" s="7"/>
      <c r="F6067" s="7"/>
      <c r="H6067" s="7"/>
      <c r="J6067" s="7"/>
      <c r="L6067" s="7"/>
      <c r="N6067" s="7"/>
      <c r="P6067" s="7"/>
      <c r="R6067" s="7"/>
      <c r="T6067" s="7"/>
      <c r="V6067" s="7"/>
      <c r="X6067" s="7"/>
    </row>
    <row r="6068" spans="2:24">
      <c r="B6068" s="7"/>
      <c r="D6068" s="7"/>
      <c r="F6068" s="7"/>
      <c r="H6068" s="7"/>
      <c r="J6068" s="7"/>
      <c r="L6068" s="7"/>
      <c r="N6068" s="7"/>
      <c r="P6068" s="7"/>
      <c r="R6068" s="7"/>
      <c r="T6068" s="7"/>
      <c r="V6068" s="7"/>
      <c r="X6068" s="7"/>
    </row>
    <row r="6069" spans="2:24">
      <c r="B6069" s="7"/>
      <c r="D6069" s="7"/>
      <c r="F6069" s="7"/>
      <c r="H6069" s="7"/>
      <c r="J6069" s="7"/>
      <c r="L6069" s="7"/>
      <c r="N6069" s="7"/>
      <c r="P6069" s="7"/>
      <c r="R6069" s="7"/>
      <c r="T6069" s="7"/>
      <c r="V6069" s="7"/>
      <c r="X6069" s="7"/>
    </row>
    <row r="6070" spans="2:24">
      <c r="B6070" s="7"/>
      <c r="D6070" s="7"/>
      <c r="F6070" s="7"/>
      <c r="H6070" s="7"/>
      <c r="J6070" s="7"/>
      <c r="L6070" s="7"/>
      <c r="N6070" s="7"/>
      <c r="P6070" s="7"/>
      <c r="R6070" s="7"/>
      <c r="T6070" s="7"/>
      <c r="V6070" s="7"/>
      <c r="X6070" s="7"/>
    </row>
    <row r="6071" spans="2:24">
      <c r="B6071" s="7"/>
      <c r="D6071" s="7"/>
      <c r="F6071" s="7"/>
      <c r="H6071" s="7"/>
      <c r="J6071" s="7"/>
      <c r="L6071" s="7"/>
      <c r="N6071" s="7"/>
      <c r="P6071" s="7"/>
      <c r="R6071" s="7"/>
      <c r="T6071" s="7"/>
      <c r="V6071" s="7"/>
      <c r="X6071" s="7"/>
    </row>
    <row r="6072" spans="2:24">
      <c r="B6072" s="7"/>
      <c r="D6072" s="7"/>
      <c r="F6072" s="7"/>
      <c r="H6072" s="7"/>
      <c r="J6072" s="7"/>
      <c r="L6072" s="7"/>
      <c r="N6072" s="7"/>
      <c r="P6072" s="7"/>
      <c r="R6072" s="7"/>
      <c r="T6072" s="7"/>
      <c r="V6072" s="7"/>
      <c r="X6072" s="7"/>
    </row>
    <row r="6073" spans="2:24">
      <c r="B6073" s="7"/>
      <c r="D6073" s="7"/>
      <c r="F6073" s="7"/>
      <c r="H6073" s="7"/>
      <c r="J6073" s="7"/>
      <c r="L6073" s="7"/>
      <c r="N6073" s="7"/>
      <c r="P6073" s="7"/>
      <c r="R6073" s="7"/>
      <c r="T6073" s="7"/>
      <c r="V6073" s="7"/>
      <c r="X6073" s="7"/>
    </row>
    <row r="6074" spans="2:24">
      <c r="B6074" s="7"/>
      <c r="D6074" s="7"/>
      <c r="F6074" s="7"/>
      <c r="H6074" s="7"/>
      <c r="J6074" s="7"/>
      <c r="L6074" s="7"/>
      <c r="N6074" s="7"/>
      <c r="P6074" s="7"/>
      <c r="R6074" s="7"/>
      <c r="T6074" s="7"/>
      <c r="V6074" s="7"/>
      <c r="X6074" s="7"/>
    </row>
    <row r="6075" spans="2:24">
      <c r="B6075" s="7"/>
      <c r="D6075" s="7"/>
      <c r="F6075" s="7"/>
      <c r="H6075" s="7"/>
      <c r="J6075" s="7"/>
      <c r="L6075" s="7"/>
      <c r="N6075" s="7"/>
      <c r="P6075" s="7"/>
      <c r="R6075" s="7"/>
      <c r="T6075" s="7"/>
      <c r="V6075" s="7"/>
      <c r="X6075" s="7"/>
    </row>
    <row r="6076" spans="2:24">
      <c r="B6076" s="7"/>
      <c r="D6076" s="7"/>
      <c r="F6076" s="7"/>
      <c r="H6076" s="7"/>
      <c r="J6076" s="7"/>
      <c r="L6076" s="7"/>
      <c r="N6076" s="7"/>
      <c r="P6076" s="7"/>
      <c r="R6076" s="7"/>
      <c r="T6076" s="7"/>
      <c r="V6076" s="7"/>
      <c r="X6076" s="7"/>
    </row>
    <row r="6077" spans="2:24">
      <c r="B6077" s="7"/>
      <c r="D6077" s="7"/>
      <c r="F6077" s="7"/>
      <c r="H6077" s="7"/>
      <c r="J6077" s="7"/>
      <c r="L6077" s="7"/>
      <c r="N6077" s="7"/>
      <c r="P6077" s="7"/>
      <c r="R6077" s="7"/>
      <c r="T6077" s="7"/>
      <c r="V6077" s="7"/>
      <c r="X6077" s="7"/>
    </row>
    <row r="6078" spans="2:24">
      <c r="B6078" s="7"/>
      <c r="D6078" s="7"/>
      <c r="F6078" s="7"/>
      <c r="H6078" s="7"/>
      <c r="J6078" s="7"/>
      <c r="L6078" s="7"/>
      <c r="N6078" s="7"/>
      <c r="P6078" s="7"/>
      <c r="R6078" s="7"/>
      <c r="T6078" s="7"/>
      <c r="V6078" s="7"/>
      <c r="X6078" s="7"/>
    </row>
    <row r="6079" spans="2:24">
      <c r="B6079" s="7"/>
      <c r="D6079" s="7"/>
      <c r="F6079" s="7"/>
      <c r="H6079" s="7"/>
      <c r="J6079" s="7"/>
      <c r="L6079" s="7"/>
      <c r="N6079" s="7"/>
      <c r="P6079" s="7"/>
      <c r="R6079" s="7"/>
      <c r="T6079" s="7"/>
      <c r="V6079" s="7"/>
      <c r="X6079" s="7"/>
    </row>
    <row r="6080" spans="2:24">
      <c r="B6080" s="7"/>
      <c r="D6080" s="7"/>
      <c r="F6080" s="7"/>
      <c r="H6080" s="7"/>
      <c r="J6080" s="7"/>
      <c r="L6080" s="7"/>
      <c r="N6080" s="7"/>
      <c r="P6080" s="7"/>
      <c r="R6080" s="7"/>
      <c r="T6080" s="7"/>
      <c r="V6080" s="7"/>
      <c r="X6080" s="7"/>
    </row>
    <row r="6081" spans="2:24">
      <c r="B6081" s="7"/>
      <c r="D6081" s="7"/>
      <c r="F6081" s="7"/>
      <c r="H6081" s="7"/>
      <c r="J6081" s="7"/>
      <c r="L6081" s="7"/>
      <c r="N6081" s="7"/>
      <c r="P6081" s="7"/>
      <c r="R6081" s="7"/>
      <c r="T6081" s="7"/>
      <c r="V6081" s="7"/>
      <c r="X6081" s="7"/>
    </row>
    <row r="6082" spans="2:24">
      <c r="B6082" s="7"/>
      <c r="D6082" s="7"/>
      <c r="F6082" s="7"/>
      <c r="H6082" s="7"/>
      <c r="J6082" s="7"/>
      <c r="L6082" s="7"/>
      <c r="N6082" s="7"/>
      <c r="P6082" s="7"/>
      <c r="R6082" s="7"/>
      <c r="T6082" s="7"/>
      <c r="V6082" s="7"/>
      <c r="X6082" s="7"/>
    </row>
    <row r="6083" spans="2:24">
      <c r="B6083" s="7"/>
      <c r="D6083" s="7"/>
      <c r="F6083" s="7"/>
      <c r="H6083" s="7"/>
      <c r="J6083" s="7"/>
      <c r="L6083" s="7"/>
      <c r="N6083" s="7"/>
      <c r="P6083" s="7"/>
      <c r="R6083" s="7"/>
      <c r="T6083" s="7"/>
      <c r="V6083" s="7"/>
      <c r="X6083" s="7"/>
    </row>
    <row r="6084" spans="2:24">
      <c r="B6084" s="7"/>
      <c r="D6084" s="7"/>
      <c r="F6084" s="7"/>
      <c r="H6084" s="7"/>
      <c r="J6084" s="7"/>
      <c r="L6084" s="7"/>
      <c r="N6084" s="7"/>
      <c r="P6084" s="7"/>
      <c r="R6084" s="7"/>
      <c r="T6084" s="7"/>
      <c r="V6084" s="7"/>
      <c r="X6084" s="7"/>
    </row>
    <row r="6085" spans="2:24">
      <c r="B6085" s="7"/>
      <c r="D6085" s="7"/>
      <c r="F6085" s="7"/>
      <c r="H6085" s="7"/>
      <c r="J6085" s="7"/>
      <c r="L6085" s="7"/>
      <c r="N6085" s="7"/>
      <c r="P6085" s="7"/>
      <c r="R6085" s="7"/>
      <c r="T6085" s="7"/>
      <c r="V6085" s="7"/>
      <c r="X6085" s="7"/>
    </row>
    <row r="6086" spans="2:24">
      <c r="B6086" s="7"/>
      <c r="D6086" s="7"/>
      <c r="F6086" s="7"/>
      <c r="H6086" s="7"/>
      <c r="J6086" s="7"/>
      <c r="L6086" s="7"/>
      <c r="N6086" s="7"/>
      <c r="P6086" s="7"/>
      <c r="R6086" s="7"/>
      <c r="T6086" s="7"/>
      <c r="V6086" s="7"/>
      <c r="X6086" s="7"/>
    </row>
    <row r="6087" spans="2:24">
      <c r="B6087" s="7"/>
      <c r="D6087" s="7"/>
      <c r="F6087" s="7"/>
      <c r="H6087" s="7"/>
      <c r="J6087" s="7"/>
      <c r="L6087" s="7"/>
      <c r="N6087" s="7"/>
      <c r="P6087" s="7"/>
      <c r="R6087" s="7"/>
      <c r="T6087" s="7"/>
      <c r="V6087" s="7"/>
      <c r="X6087" s="7"/>
    </row>
    <row r="6088" spans="2:24">
      <c r="B6088" s="7"/>
      <c r="D6088" s="7"/>
      <c r="F6088" s="7"/>
      <c r="H6088" s="7"/>
      <c r="J6088" s="7"/>
      <c r="L6088" s="7"/>
      <c r="N6088" s="7"/>
      <c r="P6088" s="7"/>
      <c r="R6088" s="7"/>
      <c r="T6088" s="7"/>
      <c r="V6088" s="7"/>
      <c r="X6088" s="7"/>
    </row>
    <row r="6089" spans="2:24">
      <c r="B6089" s="7"/>
      <c r="D6089" s="7"/>
      <c r="F6089" s="7"/>
      <c r="H6089" s="7"/>
      <c r="J6089" s="7"/>
      <c r="L6089" s="7"/>
      <c r="N6089" s="7"/>
      <c r="P6089" s="7"/>
      <c r="R6089" s="7"/>
      <c r="T6089" s="7"/>
      <c r="V6089" s="7"/>
      <c r="X6089" s="7"/>
    </row>
    <row r="6090" spans="2:24">
      <c r="B6090" s="7"/>
      <c r="D6090" s="7"/>
      <c r="F6090" s="7"/>
      <c r="H6090" s="7"/>
      <c r="J6090" s="7"/>
      <c r="L6090" s="7"/>
      <c r="N6090" s="7"/>
      <c r="P6090" s="7"/>
      <c r="R6090" s="7"/>
      <c r="T6090" s="7"/>
      <c r="V6090" s="7"/>
      <c r="X6090" s="7"/>
    </row>
    <row r="6091" spans="2:24">
      <c r="B6091" s="7"/>
      <c r="D6091" s="7"/>
      <c r="F6091" s="7"/>
      <c r="H6091" s="7"/>
      <c r="J6091" s="7"/>
      <c r="L6091" s="7"/>
      <c r="N6091" s="7"/>
      <c r="P6091" s="7"/>
      <c r="R6091" s="7"/>
      <c r="T6091" s="7"/>
      <c r="V6091" s="7"/>
      <c r="X6091" s="7"/>
    </row>
    <row r="6092" spans="2:24">
      <c r="B6092" s="7"/>
      <c r="D6092" s="7"/>
      <c r="F6092" s="7"/>
      <c r="H6092" s="7"/>
      <c r="J6092" s="7"/>
      <c r="L6092" s="7"/>
      <c r="N6092" s="7"/>
      <c r="P6092" s="7"/>
      <c r="R6092" s="7"/>
      <c r="T6092" s="7"/>
      <c r="V6092" s="7"/>
      <c r="X6092" s="7"/>
    </row>
    <row r="6093" spans="2:24">
      <c r="B6093" s="7"/>
      <c r="D6093" s="7"/>
      <c r="F6093" s="7"/>
      <c r="H6093" s="7"/>
      <c r="J6093" s="7"/>
      <c r="L6093" s="7"/>
      <c r="N6093" s="7"/>
      <c r="P6093" s="7"/>
      <c r="R6093" s="7"/>
      <c r="T6093" s="7"/>
      <c r="V6093" s="7"/>
      <c r="X6093" s="7"/>
    </row>
    <row r="6094" spans="2:24">
      <c r="B6094" s="7"/>
      <c r="D6094" s="7"/>
      <c r="F6094" s="7"/>
      <c r="H6094" s="7"/>
      <c r="J6094" s="7"/>
      <c r="L6094" s="7"/>
      <c r="N6094" s="7"/>
      <c r="P6094" s="7"/>
      <c r="R6094" s="7"/>
      <c r="T6094" s="7"/>
      <c r="V6094" s="7"/>
      <c r="X6094" s="7"/>
    </row>
    <row r="6095" spans="2:24">
      <c r="B6095" s="7"/>
      <c r="D6095" s="7"/>
      <c r="F6095" s="7"/>
      <c r="H6095" s="7"/>
      <c r="J6095" s="7"/>
      <c r="L6095" s="7"/>
      <c r="N6095" s="7"/>
      <c r="P6095" s="7"/>
      <c r="R6095" s="7"/>
      <c r="T6095" s="7"/>
      <c r="V6095" s="7"/>
      <c r="X6095" s="7"/>
    </row>
    <row r="6096" spans="2:24">
      <c r="B6096" s="7"/>
      <c r="D6096" s="7"/>
      <c r="F6096" s="7"/>
      <c r="H6096" s="7"/>
      <c r="J6096" s="7"/>
      <c r="L6096" s="7"/>
      <c r="N6096" s="7"/>
      <c r="P6096" s="7"/>
      <c r="R6096" s="7"/>
      <c r="T6096" s="7"/>
      <c r="V6096" s="7"/>
      <c r="X6096" s="7"/>
    </row>
    <row r="6097" spans="2:24">
      <c r="B6097" s="7"/>
      <c r="D6097" s="7"/>
      <c r="F6097" s="7"/>
      <c r="H6097" s="7"/>
      <c r="J6097" s="7"/>
      <c r="L6097" s="7"/>
      <c r="N6097" s="7"/>
      <c r="P6097" s="7"/>
      <c r="R6097" s="7"/>
      <c r="T6097" s="7"/>
      <c r="V6097" s="7"/>
      <c r="X6097" s="7"/>
    </row>
    <row r="6098" spans="2:24">
      <c r="B6098" s="7"/>
      <c r="D6098" s="7"/>
      <c r="F6098" s="7"/>
      <c r="H6098" s="7"/>
      <c r="J6098" s="7"/>
      <c r="L6098" s="7"/>
      <c r="N6098" s="7"/>
      <c r="P6098" s="7"/>
      <c r="R6098" s="7"/>
      <c r="T6098" s="7"/>
      <c r="V6098" s="7"/>
      <c r="X6098" s="7"/>
    </row>
    <row r="6099" spans="2:24">
      <c r="B6099" s="7"/>
      <c r="D6099" s="7"/>
      <c r="F6099" s="7"/>
      <c r="H6099" s="7"/>
      <c r="J6099" s="7"/>
      <c r="L6099" s="7"/>
      <c r="N6099" s="7"/>
      <c r="P6099" s="7"/>
      <c r="R6099" s="7"/>
      <c r="T6099" s="7"/>
      <c r="V6099" s="7"/>
      <c r="X6099" s="7"/>
    </row>
    <row r="6100" spans="2:24">
      <c r="B6100" s="7"/>
      <c r="D6100" s="7"/>
      <c r="F6100" s="7"/>
      <c r="H6100" s="7"/>
      <c r="J6100" s="7"/>
      <c r="L6100" s="7"/>
      <c r="N6100" s="7"/>
      <c r="P6100" s="7"/>
      <c r="R6100" s="7"/>
      <c r="T6100" s="7"/>
      <c r="V6100" s="7"/>
      <c r="X6100" s="7"/>
    </row>
    <row r="6101" spans="2:24">
      <c r="B6101" s="7"/>
      <c r="D6101" s="7"/>
      <c r="F6101" s="7"/>
      <c r="H6101" s="7"/>
      <c r="J6101" s="7"/>
      <c r="L6101" s="7"/>
      <c r="N6101" s="7"/>
      <c r="P6101" s="7"/>
      <c r="R6101" s="7"/>
      <c r="T6101" s="7"/>
      <c r="V6101" s="7"/>
      <c r="X6101" s="7"/>
    </row>
    <row r="6102" spans="2:24">
      <c r="B6102" s="7"/>
      <c r="D6102" s="7"/>
      <c r="F6102" s="7"/>
      <c r="H6102" s="7"/>
      <c r="J6102" s="7"/>
      <c r="L6102" s="7"/>
      <c r="N6102" s="7"/>
      <c r="P6102" s="7"/>
      <c r="R6102" s="7"/>
      <c r="T6102" s="7"/>
      <c r="V6102" s="7"/>
      <c r="X6102" s="7"/>
    </row>
    <row r="6103" spans="2:24">
      <c r="B6103" s="7"/>
      <c r="D6103" s="7"/>
      <c r="F6103" s="7"/>
      <c r="H6103" s="7"/>
      <c r="J6103" s="7"/>
      <c r="L6103" s="7"/>
      <c r="N6103" s="7"/>
      <c r="P6103" s="7"/>
      <c r="R6103" s="7"/>
      <c r="T6103" s="7"/>
      <c r="V6103" s="7"/>
      <c r="X6103" s="7"/>
    </row>
    <row r="6104" spans="2:24">
      <c r="B6104" s="7"/>
      <c r="D6104" s="7"/>
      <c r="F6104" s="7"/>
      <c r="H6104" s="7"/>
      <c r="J6104" s="7"/>
      <c r="L6104" s="7"/>
      <c r="N6104" s="7"/>
      <c r="P6104" s="7"/>
      <c r="R6104" s="7"/>
      <c r="T6104" s="7"/>
      <c r="V6104" s="7"/>
      <c r="X6104" s="7"/>
    </row>
    <row r="6105" spans="2:24">
      <c r="B6105" s="7"/>
      <c r="D6105" s="7"/>
      <c r="F6105" s="7"/>
      <c r="H6105" s="7"/>
      <c r="J6105" s="7"/>
      <c r="L6105" s="7"/>
      <c r="N6105" s="7"/>
      <c r="P6105" s="7"/>
      <c r="R6105" s="7"/>
      <c r="T6105" s="7"/>
      <c r="V6105" s="7"/>
      <c r="X6105" s="7"/>
    </row>
    <row r="6106" spans="2:24">
      <c r="B6106" s="7"/>
      <c r="D6106" s="7"/>
      <c r="F6106" s="7"/>
      <c r="H6106" s="7"/>
      <c r="J6106" s="7"/>
      <c r="L6106" s="7"/>
      <c r="N6106" s="7"/>
      <c r="P6106" s="7"/>
      <c r="R6106" s="7"/>
      <c r="T6106" s="7"/>
      <c r="V6106" s="7"/>
      <c r="X6106" s="7"/>
    </row>
    <row r="6107" spans="2:24">
      <c r="B6107" s="7"/>
      <c r="D6107" s="7"/>
      <c r="F6107" s="7"/>
      <c r="H6107" s="7"/>
      <c r="J6107" s="7"/>
      <c r="L6107" s="7"/>
      <c r="N6107" s="7"/>
      <c r="P6107" s="7"/>
      <c r="R6107" s="7"/>
      <c r="T6107" s="7"/>
      <c r="V6107" s="7"/>
      <c r="X6107" s="7"/>
    </row>
    <row r="6108" spans="2:24">
      <c r="B6108" s="7"/>
      <c r="D6108" s="7"/>
      <c r="F6108" s="7"/>
      <c r="H6108" s="7"/>
      <c r="J6108" s="7"/>
      <c r="L6108" s="7"/>
      <c r="N6108" s="7"/>
      <c r="P6108" s="7"/>
      <c r="R6108" s="7"/>
      <c r="T6108" s="7"/>
      <c r="V6108" s="7"/>
      <c r="X6108" s="7"/>
    </row>
    <row r="6109" spans="2:24">
      <c r="B6109" s="7"/>
      <c r="D6109" s="7"/>
      <c r="F6109" s="7"/>
      <c r="H6109" s="7"/>
      <c r="J6109" s="7"/>
      <c r="L6109" s="7"/>
      <c r="N6109" s="7"/>
      <c r="P6109" s="7"/>
      <c r="R6109" s="7"/>
      <c r="T6109" s="7"/>
      <c r="V6109" s="7"/>
      <c r="X6109" s="7"/>
    </row>
    <row r="6110" spans="2:24">
      <c r="B6110" s="7"/>
      <c r="D6110" s="7"/>
      <c r="F6110" s="7"/>
      <c r="H6110" s="7"/>
      <c r="J6110" s="7"/>
      <c r="L6110" s="7"/>
      <c r="N6110" s="7"/>
      <c r="P6110" s="7"/>
      <c r="R6110" s="7"/>
      <c r="T6110" s="7"/>
      <c r="V6110" s="7"/>
      <c r="X6110" s="7"/>
    </row>
    <row r="6111" spans="2:24">
      <c r="B6111" s="7"/>
      <c r="D6111" s="7"/>
      <c r="F6111" s="7"/>
      <c r="H6111" s="7"/>
      <c r="J6111" s="7"/>
      <c r="L6111" s="7"/>
      <c r="N6111" s="7"/>
      <c r="P6111" s="7"/>
      <c r="R6111" s="7"/>
      <c r="T6111" s="7"/>
      <c r="V6111" s="7"/>
      <c r="X6111" s="7"/>
    </row>
    <row r="6112" spans="2:24">
      <c r="B6112" s="7"/>
      <c r="D6112" s="7"/>
      <c r="F6112" s="7"/>
      <c r="H6112" s="7"/>
      <c r="J6112" s="7"/>
      <c r="L6112" s="7"/>
      <c r="N6112" s="7"/>
      <c r="P6112" s="7"/>
      <c r="R6112" s="7"/>
      <c r="T6112" s="7"/>
      <c r="V6112" s="7"/>
      <c r="X6112" s="7"/>
    </row>
    <row r="6113" spans="2:24">
      <c r="B6113" s="7"/>
      <c r="D6113" s="7"/>
      <c r="F6113" s="7"/>
      <c r="H6113" s="7"/>
      <c r="J6113" s="7"/>
      <c r="L6113" s="7"/>
      <c r="N6113" s="7"/>
      <c r="P6113" s="7"/>
      <c r="R6113" s="7"/>
      <c r="T6113" s="7"/>
      <c r="V6113" s="7"/>
      <c r="X6113" s="7"/>
    </row>
    <row r="6114" spans="2:24">
      <c r="B6114" s="7"/>
      <c r="D6114" s="7"/>
      <c r="F6114" s="7"/>
      <c r="H6114" s="7"/>
      <c r="J6114" s="7"/>
      <c r="L6114" s="7"/>
      <c r="N6114" s="7"/>
      <c r="P6114" s="7"/>
      <c r="R6114" s="7"/>
      <c r="T6114" s="7"/>
      <c r="V6114" s="7"/>
      <c r="X6114" s="7"/>
    </row>
    <row r="6115" spans="2:24">
      <c r="B6115" s="7"/>
      <c r="D6115" s="7"/>
      <c r="F6115" s="7"/>
      <c r="H6115" s="7"/>
      <c r="J6115" s="7"/>
      <c r="L6115" s="7"/>
      <c r="N6115" s="7"/>
      <c r="P6115" s="7"/>
      <c r="R6115" s="7"/>
      <c r="T6115" s="7"/>
      <c r="V6115" s="7"/>
      <c r="X6115" s="7"/>
    </row>
    <row r="6116" spans="2:24">
      <c r="B6116" s="7"/>
      <c r="D6116" s="7"/>
      <c r="F6116" s="7"/>
      <c r="H6116" s="7"/>
      <c r="J6116" s="7"/>
      <c r="L6116" s="7"/>
      <c r="N6116" s="7"/>
      <c r="P6116" s="7"/>
      <c r="R6116" s="7"/>
      <c r="T6116" s="7"/>
      <c r="V6116" s="7"/>
      <c r="X6116" s="7"/>
    </row>
    <row r="6117" spans="2:24">
      <c r="B6117" s="7"/>
      <c r="D6117" s="7"/>
      <c r="F6117" s="7"/>
      <c r="H6117" s="7"/>
      <c r="J6117" s="7"/>
      <c r="L6117" s="7"/>
      <c r="N6117" s="7"/>
      <c r="P6117" s="7"/>
      <c r="R6117" s="7"/>
      <c r="T6117" s="7"/>
      <c r="V6117" s="7"/>
      <c r="X6117" s="7"/>
    </row>
    <row r="6118" spans="2:24">
      <c r="B6118" s="7"/>
      <c r="D6118" s="7"/>
      <c r="F6118" s="7"/>
      <c r="H6118" s="7"/>
      <c r="J6118" s="7"/>
      <c r="L6118" s="7"/>
      <c r="N6118" s="7"/>
      <c r="P6118" s="7"/>
      <c r="R6118" s="7"/>
      <c r="T6118" s="7"/>
      <c r="V6118" s="7"/>
      <c r="X6118" s="7"/>
    </row>
    <row r="6119" spans="2:24">
      <c r="B6119" s="7"/>
      <c r="D6119" s="7"/>
      <c r="F6119" s="7"/>
      <c r="H6119" s="7"/>
      <c r="J6119" s="7"/>
      <c r="L6119" s="7"/>
      <c r="N6119" s="7"/>
      <c r="P6119" s="7"/>
      <c r="R6119" s="7"/>
      <c r="T6119" s="7"/>
      <c r="V6119" s="7"/>
      <c r="X6119" s="7"/>
    </row>
    <row r="6120" spans="2:24">
      <c r="B6120" s="7"/>
      <c r="D6120" s="7"/>
      <c r="F6120" s="7"/>
      <c r="H6120" s="7"/>
      <c r="J6120" s="7"/>
      <c r="L6120" s="7"/>
      <c r="N6120" s="7"/>
      <c r="P6120" s="7"/>
      <c r="R6120" s="7"/>
      <c r="T6120" s="7"/>
      <c r="V6120" s="7"/>
      <c r="X6120" s="7"/>
    </row>
    <row r="6121" spans="2:24">
      <c r="B6121" s="7"/>
      <c r="D6121" s="7"/>
      <c r="F6121" s="7"/>
      <c r="H6121" s="7"/>
      <c r="J6121" s="7"/>
      <c r="L6121" s="7"/>
      <c r="N6121" s="7"/>
      <c r="P6121" s="7"/>
      <c r="R6121" s="7"/>
      <c r="T6121" s="7"/>
      <c r="V6121" s="7"/>
      <c r="X6121" s="7"/>
    </row>
    <row r="6122" spans="2:24">
      <c r="B6122" s="7"/>
      <c r="D6122" s="7"/>
      <c r="F6122" s="7"/>
      <c r="H6122" s="7"/>
      <c r="J6122" s="7"/>
      <c r="L6122" s="7"/>
      <c r="N6122" s="7"/>
      <c r="P6122" s="7"/>
      <c r="R6122" s="7"/>
      <c r="T6122" s="7"/>
      <c r="V6122" s="7"/>
      <c r="X6122" s="7"/>
    </row>
    <row r="6123" spans="2:24">
      <c r="B6123" s="7"/>
      <c r="D6123" s="7"/>
      <c r="F6123" s="7"/>
      <c r="H6123" s="7"/>
      <c r="J6123" s="7"/>
      <c r="L6123" s="7"/>
      <c r="N6123" s="7"/>
      <c r="P6123" s="7"/>
      <c r="R6123" s="7"/>
      <c r="T6123" s="7"/>
      <c r="V6123" s="7"/>
      <c r="X6123" s="7"/>
    </row>
    <row r="6124" spans="2:24">
      <c r="B6124" s="7"/>
      <c r="D6124" s="7"/>
      <c r="F6124" s="7"/>
      <c r="H6124" s="7"/>
      <c r="J6124" s="7"/>
      <c r="L6124" s="7"/>
      <c r="N6124" s="7"/>
      <c r="P6124" s="7"/>
      <c r="R6124" s="7"/>
      <c r="T6124" s="7"/>
      <c r="V6124" s="7"/>
      <c r="X6124" s="7"/>
    </row>
    <row r="6125" spans="2:24">
      <c r="B6125" s="7"/>
      <c r="D6125" s="7"/>
      <c r="F6125" s="7"/>
      <c r="H6125" s="7"/>
      <c r="J6125" s="7"/>
      <c r="L6125" s="7"/>
      <c r="N6125" s="7"/>
      <c r="P6125" s="7"/>
      <c r="R6125" s="7"/>
      <c r="T6125" s="7"/>
      <c r="V6125" s="7"/>
      <c r="X6125" s="7"/>
    </row>
    <row r="6126" spans="2:24">
      <c r="B6126" s="7"/>
      <c r="D6126" s="7"/>
      <c r="F6126" s="7"/>
      <c r="H6126" s="7"/>
      <c r="J6126" s="7"/>
      <c r="L6126" s="7"/>
      <c r="N6126" s="7"/>
      <c r="P6126" s="7"/>
      <c r="R6126" s="7"/>
      <c r="T6126" s="7"/>
      <c r="V6126" s="7"/>
      <c r="X6126" s="7"/>
    </row>
    <row r="6127" spans="2:24">
      <c r="B6127" s="7"/>
      <c r="D6127" s="7"/>
      <c r="F6127" s="7"/>
      <c r="H6127" s="7"/>
      <c r="J6127" s="7"/>
      <c r="L6127" s="7"/>
      <c r="N6127" s="7"/>
      <c r="P6127" s="7"/>
      <c r="R6127" s="7"/>
      <c r="T6127" s="7"/>
      <c r="V6127" s="7"/>
      <c r="X6127" s="7"/>
    </row>
    <row r="6128" spans="2:24">
      <c r="B6128" s="7"/>
      <c r="D6128" s="7"/>
      <c r="F6128" s="7"/>
      <c r="H6128" s="7"/>
      <c r="J6128" s="7"/>
      <c r="L6128" s="7"/>
      <c r="N6128" s="7"/>
      <c r="P6128" s="7"/>
      <c r="R6128" s="7"/>
      <c r="T6128" s="7"/>
      <c r="V6128" s="7"/>
      <c r="X6128" s="7"/>
    </row>
    <row r="6129" spans="2:24">
      <c r="B6129" s="7"/>
      <c r="D6129" s="7"/>
      <c r="F6129" s="7"/>
      <c r="H6129" s="7"/>
      <c r="J6129" s="7"/>
      <c r="L6129" s="7"/>
      <c r="N6129" s="7"/>
      <c r="P6129" s="7"/>
      <c r="R6129" s="7"/>
      <c r="T6129" s="7"/>
      <c r="V6129" s="7"/>
      <c r="X6129" s="7"/>
    </row>
    <row r="6130" spans="2:24">
      <c r="B6130" s="7"/>
      <c r="D6130" s="7"/>
      <c r="F6130" s="7"/>
      <c r="H6130" s="7"/>
      <c r="J6130" s="7"/>
      <c r="L6130" s="7"/>
      <c r="N6130" s="7"/>
      <c r="P6130" s="7"/>
      <c r="R6130" s="7"/>
      <c r="T6130" s="7"/>
      <c r="V6130" s="7"/>
      <c r="X6130" s="7"/>
    </row>
    <row r="6131" spans="2:24">
      <c r="B6131" s="7"/>
      <c r="D6131" s="7"/>
      <c r="F6131" s="7"/>
      <c r="H6131" s="7"/>
      <c r="J6131" s="7"/>
      <c r="L6131" s="7"/>
      <c r="N6131" s="7"/>
      <c r="P6131" s="7"/>
      <c r="R6131" s="7"/>
      <c r="T6131" s="7"/>
      <c r="V6131" s="7"/>
      <c r="X6131" s="7"/>
    </row>
    <row r="6132" spans="2:24">
      <c r="B6132" s="7"/>
      <c r="D6132" s="7"/>
      <c r="F6132" s="7"/>
      <c r="H6132" s="7"/>
      <c r="J6132" s="7"/>
      <c r="L6132" s="7"/>
      <c r="N6132" s="7"/>
      <c r="P6132" s="7"/>
      <c r="R6132" s="7"/>
      <c r="T6132" s="7"/>
      <c r="V6132" s="7"/>
      <c r="X6132" s="7"/>
    </row>
    <row r="6133" spans="2:24">
      <c r="B6133" s="7"/>
      <c r="D6133" s="7"/>
      <c r="F6133" s="7"/>
      <c r="H6133" s="7"/>
      <c r="J6133" s="7"/>
      <c r="L6133" s="7"/>
      <c r="N6133" s="7"/>
      <c r="P6133" s="7"/>
      <c r="R6133" s="7"/>
      <c r="T6133" s="7"/>
      <c r="V6133" s="7"/>
      <c r="X6133" s="7"/>
    </row>
    <row r="6134" spans="2:24">
      <c r="B6134" s="7"/>
      <c r="D6134" s="7"/>
      <c r="F6134" s="7"/>
      <c r="H6134" s="7"/>
      <c r="J6134" s="7"/>
      <c r="L6134" s="7"/>
      <c r="N6134" s="7"/>
      <c r="P6134" s="7"/>
      <c r="R6134" s="7"/>
      <c r="T6134" s="7"/>
      <c r="V6134" s="7"/>
      <c r="X6134" s="7"/>
    </row>
    <row r="6135" spans="2:24">
      <c r="B6135" s="7"/>
      <c r="D6135" s="7"/>
      <c r="F6135" s="7"/>
      <c r="H6135" s="7"/>
      <c r="J6135" s="7"/>
      <c r="L6135" s="7"/>
      <c r="N6135" s="7"/>
      <c r="P6135" s="7"/>
      <c r="R6135" s="7"/>
      <c r="T6135" s="7"/>
      <c r="V6135" s="7"/>
      <c r="X6135" s="7"/>
    </row>
    <row r="6136" spans="2:24">
      <c r="B6136" s="7"/>
      <c r="D6136" s="7"/>
      <c r="F6136" s="7"/>
      <c r="H6136" s="7"/>
      <c r="J6136" s="7"/>
      <c r="L6136" s="7"/>
      <c r="N6136" s="7"/>
      <c r="P6136" s="7"/>
      <c r="R6136" s="7"/>
      <c r="T6136" s="7"/>
      <c r="V6136" s="7"/>
      <c r="X6136" s="7"/>
    </row>
    <row r="6137" spans="2:24">
      <c r="B6137" s="7"/>
      <c r="D6137" s="7"/>
      <c r="F6137" s="7"/>
      <c r="H6137" s="7"/>
      <c r="J6137" s="7"/>
      <c r="L6137" s="7"/>
      <c r="N6137" s="7"/>
      <c r="P6137" s="7"/>
      <c r="R6137" s="7"/>
      <c r="T6137" s="7"/>
      <c r="V6137" s="7"/>
      <c r="X6137" s="7"/>
    </row>
    <row r="6138" spans="2:24">
      <c r="B6138" s="7"/>
      <c r="D6138" s="7"/>
      <c r="F6138" s="7"/>
      <c r="H6138" s="7"/>
      <c r="J6138" s="7"/>
      <c r="L6138" s="7"/>
      <c r="N6138" s="7"/>
      <c r="P6138" s="7"/>
      <c r="R6138" s="7"/>
      <c r="T6138" s="7"/>
      <c r="V6138" s="7"/>
      <c r="X6138" s="7"/>
    </row>
    <row r="6139" spans="2:24">
      <c r="B6139" s="7"/>
      <c r="D6139" s="7"/>
      <c r="F6139" s="7"/>
      <c r="H6139" s="7"/>
      <c r="J6139" s="7"/>
      <c r="L6139" s="7"/>
      <c r="N6139" s="7"/>
      <c r="P6139" s="7"/>
      <c r="R6139" s="7"/>
      <c r="T6139" s="7"/>
      <c r="V6139" s="7"/>
      <c r="X6139" s="7"/>
    </row>
    <row r="6140" spans="2:24">
      <c r="B6140" s="7"/>
      <c r="D6140" s="7"/>
      <c r="F6140" s="7"/>
      <c r="H6140" s="7"/>
      <c r="J6140" s="7"/>
      <c r="L6140" s="7"/>
      <c r="N6140" s="7"/>
      <c r="P6140" s="7"/>
      <c r="R6140" s="7"/>
      <c r="T6140" s="7"/>
      <c r="V6140" s="7"/>
      <c r="X6140" s="7"/>
    </row>
    <row r="6141" spans="2:24">
      <c r="B6141" s="7"/>
      <c r="D6141" s="7"/>
      <c r="F6141" s="7"/>
      <c r="H6141" s="7"/>
      <c r="J6141" s="7"/>
      <c r="L6141" s="7"/>
      <c r="N6141" s="7"/>
      <c r="P6141" s="7"/>
      <c r="R6141" s="7"/>
      <c r="T6141" s="7"/>
      <c r="V6141" s="7"/>
      <c r="X6141" s="7"/>
    </row>
    <row r="6142" spans="2:24">
      <c r="B6142" s="7"/>
      <c r="D6142" s="7"/>
      <c r="F6142" s="7"/>
      <c r="H6142" s="7"/>
      <c r="J6142" s="7"/>
      <c r="L6142" s="7"/>
      <c r="N6142" s="7"/>
      <c r="P6142" s="7"/>
      <c r="R6142" s="7"/>
      <c r="T6142" s="7"/>
      <c r="V6142" s="7"/>
      <c r="X6142" s="7"/>
    </row>
    <row r="6143" spans="2:24">
      <c r="B6143" s="7"/>
      <c r="D6143" s="7"/>
      <c r="F6143" s="7"/>
      <c r="H6143" s="7"/>
      <c r="J6143" s="7"/>
      <c r="L6143" s="7"/>
      <c r="N6143" s="7"/>
      <c r="P6143" s="7"/>
      <c r="R6143" s="7"/>
      <c r="T6143" s="7"/>
      <c r="V6143" s="7"/>
      <c r="X6143" s="7"/>
    </row>
    <row r="6144" spans="2:24">
      <c r="B6144" s="7"/>
      <c r="D6144" s="7"/>
      <c r="F6144" s="7"/>
      <c r="H6144" s="7"/>
      <c r="J6144" s="7"/>
      <c r="L6144" s="7"/>
      <c r="N6144" s="7"/>
      <c r="P6144" s="7"/>
      <c r="R6144" s="7"/>
      <c r="T6144" s="7"/>
      <c r="V6144" s="7"/>
      <c r="X6144" s="7"/>
    </row>
    <row r="6145" spans="2:24">
      <c r="B6145" s="7"/>
      <c r="D6145" s="7"/>
      <c r="F6145" s="7"/>
      <c r="H6145" s="7"/>
      <c r="J6145" s="7"/>
      <c r="L6145" s="7"/>
      <c r="N6145" s="7"/>
      <c r="P6145" s="7"/>
      <c r="R6145" s="7"/>
      <c r="T6145" s="7"/>
      <c r="V6145" s="7"/>
      <c r="X6145" s="7"/>
    </row>
    <row r="6146" spans="2:24">
      <c r="B6146" s="7"/>
      <c r="D6146" s="7"/>
      <c r="F6146" s="7"/>
      <c r="H6146" s="7"/>
      <c r="J6146" s="7"/>
      <c r="L6146" s="7"/>
      <c r="N6146" s="7"/>
      <c r="P6146" s="7"/>
      <c r="R6146" s="7"/>
      <c r="T6146" s="7"/>
      <c r="V6146" s="7"/>
      <c r="X6146" s="7"/>
    </row>
    <row r="6147" spans="2:24">
      <c r="B6147" s="7"/>
      <c r="D6147" s="7"/>
      <c r="F6147" s="7"/>
      <c r="H6147" s="7"/>
      <c r="J6147" s="7"/>
      <c r="L6147" s="7"/>
      <c r="N6147" s="7"/>
      <c r="P6147" s="7"/>
      <c r="R6147" s="7"/>
      <c r="T6147" s="7"/>
      <c r="V6147" s="7"/>
      <c r="X6147" s="7"/>
    </row>
    <row r="6148" spans="2:24">
      <c r="B6148" s="7"/>
      <c r="D6148" s="7"/>
      <c r="F6148" s="7"/>
      <c r="H6148" s="7"/>
      <c r="J6148" s="7"/>
      <c r="L6148" s="7"/>
      <c r="N6148" s="7"/>
      <c r="P6148" s="7"/>
      <c r="R6148" s="7"/>
      <c r="T6148" s="7"/>
      <c r="V6148" s="7"/>
      <c r="X6148" s="7"/>
    </row>
    <row r="6149" spans="2:24">
      <c r="B6149" s="7"/>
      <c r="D6149" s="7"/>
      <c r="F6149" s="7"/>
      <c r="H6149" s="7"/>
      <c r="J6149" s="7"/>
      <c r="L6149" s="7"/>
      <c r="N6149" s="7"/>
      <c r="P6149" s="7"/>
      <c r="R6149" s="7"/>
      <c r="T6149" s="7"/>
      <c r="V6149" s="7"/>
      <c r="X6149" s="7"/>
    </row>
    <row r="6150" spans="2:24">
      <c r="B6150" s="7"/>
      <c r="D6150" s="7"/>
      <c r="F6150" s="7"/>
      <c r="H6150" s="7"/>
      <c r="J6150" s="7"/>
      <c r="L6150" s="7"/>
      <c r="N6150" s="7"/>
      <c r="P6150" s="7"/>
      <c r="R6150" s="7"/>
      <c r="T6150" s="7"/>
      <c r="V6150" s="7"/>
      <c r="X6150" s="7"/>
    </row>
    <row r="6151" spans="2:24">
      <c r="B6151" s="7"/>
      <c r="D6151" s="7"/>
      <c r="F6151" s="7"/>
      <c r="H6151" s="7"/>
      <c r="J6151" s="7"/>
      <c r="L6151" s="7"/>
      <c r="N6151" s="7"/>
      <c r="P6151" s="7"/>
      <c r="R6151" s="7"/>
      <c r="T6151" s="7"/>
      <c r="V6151" s="7"/>
      <c r="X6151" s="7"/>
    </row>
    <row r="6152" spans="2:24">
      <c r="B6152" s="7"/>
      <c r="D6152" s="7"/>
      <c r="F6152" s="7"/>
      <c r="H6152" s="7"/>
      <c r="J6152" s="7"/>
      <c r="L6152" s="7"/>
      <c r="N6152" s="7"/>
      <c r="P6152" s="7"/>
      <c r="R6152" s="7"/>
      <c r="T6152" s="7"/>
      <c r="V6152" s="7"/>
      <c r="X6152" s="7"/>
    </row>
    <row r="6153" spans="2:24">
      <c r="B6153" s="7"/>
      <c r="D6153" s="7"/>
      <c r="F6153" s="7"/>
      <c r="H6153" s="7"/>
      <c r="J6153" s="7"/>
      <c r="L6153" s="7"/>
      <c r="N6153" s="7"/>
      <c r="P6153" s="7"/>
      <c r="R6153" s="7"/>
      <c r="T6153" s="7"/>
      <c r="V6153" s="7"/>
      <c r="X6153" s="7"/>
    </row>
    <row r="6154" spans="2:24">
      <c r="B6154" s="7"/>
      <c r="D6154" s="7"/>
      <c r="F6154" s="7"/>
      <c r="H6154" s="7"/>
      <c r="J6154" s="7"/>
      <c r="L6154" s="7"/>
      <c r="N6154" s="7"/>
      <c r="P6154" s="7"/>
      <c r="R6154" s="7"/>
      <c r="T6154" s="7"/>
      <c r="V6154" s="7"/>
      <c r="X6154" s="7"/>
    </row>
    <row r="6155" spans="2:24">
      <c r="B6155" s="7"/>
      <c r="D6155" s="7"/>
      <c r="F6155" s="7"/>
      <c r="H6155" s="7"/>
      <c r="J6155" s="7"/>
      <c r="L6155" s="7"/>
      <c r="N6155" s="7"/>
      <c r="P6155" s="7"/>
      <c r="R6155" s="7"/>
      <c r="T6155" s="7"/>
      <c r="V6155" s="7"/>
      <c r="X6155" s="7"/>
    </row>
    <row r="6156" spans="2:24">
      <c r="B6156" s="7"/>
      <c r="D6156" s="7"/>
      <c r="F6156" s="7"/>
      <c r="H6156" s="7"/>
      <c r="J6156" s="7"/>
      <c r="L6156" s="7"/>
      <c r="N6156" s="7"/>
      <c r="P6156" s="7"/>
      <c r="R6156" s="7"/>
      <c r="T6156" s="7"/>
      <c r="V6156" s="7"/>
      <c r="X6156" s="7"/>
    </row>
    <row r="6157" spans="2:24">
      <c r="B6157" s="7"/>
      <c r="D6157" s="7"/>
      <c r="F6157" s="7"/>
      <c r="H6157" s="7"/>
      <c r="J6157" s="7"/>
      <c r="L6157" s="7"/>
      <c r="N6157" s="7"/>
      <c r="P6157" s="7"/>
      <c r="R6157" s="7"/>
      <c r="T6157" s="7"/>
      <c r="V6157" s="7"/>
      <c r="X6157" s="7"/>
    </row>
    <row r="6158" spans="2:24">
      <c r="B6158" s="7"/>
      <c r="D6158" s="7"/>
      <c r="F6158" s="7"/>
      <c r="H6158" s="7"/>
      <c r="J6158" s="7"/>
      <c r="L6158" s="7"/>
      <c r="N6158" s="7"/>
      <c r="P6158" s="7"/>
      <c r="R6158" s="7"/>
      <c r="T6158" s="7"/>
      <c r="V6158" s="7"/>
      <c r="X6158" s="7"/>
    </row>
    <row r="6159" spans="2:24">
      <c r="B6159" s="7"/>
      <c r="D6159" s="7"/>
      <c r="F6159" s="7"/>
      <c r="H6159" s="7"/>
      <c r="J6159" s="7"/>
      <c r="L6159" s="7"/>
      <c r="N6159" s="7"/>
      <c r="P6159" s="7"/>
      <c r="R6159" s="7"/>
      <c r="T6159" s="7"/>
      <c r="V6159" s="7"/>
      <c r="X6159" s="7"/>
    </row>
    <row r="6160" spans="2:24">
      <c r="B6160" s="7"/>
      <c r="D6160" s="7"/>
      <c r="F6160" s="7"/>
      <c r="H6160" s="7"/>
      <c r="J6160" s="7"/>
      <c r="L6160" s="7"/>
      <c r="N6160" s="7"/>
      <c r="P6160" s="7"/>
      <c r="R6160" s="7"/>
      <c r="T6160" s="7"/>
      <c r="V6160" s="7"/>
      <c r="X6160" s="7"/>
    </row>
    <row r="6161" spans="2:24">
      <c r="B6161" s="7"/>
      <c r="D6161" s="7"/>
      <c r="F6161" s="7"/>
      <c r="H6161" s="7"/>
      <c r="J6161" s="7"/>
      <c r="L6161" s="7"/>
      <c r="N6161" s="7"/>
      <c r="P6161" s="7"/>
      <c r="R6161" s="7"/>
      <c r="T6161" s="7"/>
      <c r="V6161" s="7"/>
      <c r="X6161" s="7"/>
    </row>
    <row r="6162" spans="2:24">
      <c r="B6162" s="7"/>
      <c r="D6162" s="7"/>
      <c r="F6162" s="7"/>
      <c r="H6162" s="7"/>
      <c r="J6162" s="7"/>
      <c r="L6162" s="7"/>
      <c r="N6162" s="7"/>
      <c r="P6162" s="7"/>
      <c r="R6162" s="7"/>
      <c r="T6162" s="7"/>
      <c r="V6162" s="7"/>
      <c r="X6162" s="7"/>
    </row>
    <row r="6163" spans="2:24">
      <c r="B6163" s="7"/>
      <c r="D6163" s="7"/>
      <c r="F6163" s="7"/>
      <c r="H6163" s="7"/>
      <c r="J6163" s="7"/>
      <c r="L6163" s="7"/>
      <c r="N6163" s="7"/>
      <c r="P6163" s="7"/>
      <c r="R6163" s="7"/>
      <c r="T6163" s="7"/>
      <c r="V6163" s="7"/>
      <c r="X6163" s="7"/>
    </row>
    <row r="6164" spans="2:24">
      <c r="B6164" s="7"/>
      <c r="D6164" s="7"/>
      <c r="F6164" s="7"/>
      <c r="H6164" s="7"/>
      <c r="J6164" s="7"/>
      <c r="L6164" s="7"/>
      <c r="N6164" s="7"/>
      <c r="P6164" s="7"/>
      <c r="R6164" s="7"/>
      <c r="T6164" s="7"/>
      <c r="V6164" s="7"/>
      <c r="X6164" s="7"/>
    </row>
    <row r="6165" spans="2:24">
      <c r="B6165" s="7"/>
      <c r="D6165" s="7"/>
      <c r="F6165" s="7"/>
      <c r="H6165" s="7"/>
      <c r="J6165" s="7"/>
      <c r="L6165" s="7"/>
      <c r="N6165" s="7"/>
      <c r="P6165" s="7"/>
      <c r="R6165" s="7"/>
      <c r="T6165" s="7"/>
      <c r="V6165" s="7"/>
      <c r="X6165" s="7"/>
    </row>
    <row r="6166" spans="2:24">
      <c r="B6166" s="7"/>
      <c r="D6166" s="7"/>
      <c r="F6166" s="7"/>
      <c r="H6166" s="7"/>
      <c r="J6166" s="7"/>
      <c r="L6166" s="7"/>
      <c r="N6166" s="7"/>
      <c r="P6166" s="7"/>
      <c r="R6166" s="7"/>
      <c r="T6166" s="7"/>
      <c r="V6166" s="7"/>
      <c r="X6166" s="7"/>
    </row>
    <row r="6167" spans="2:24">
      <c r="B6167" s="7"/>
      <c r="D6167" s="7"/>
      <c r="F6167" s="7"/>
      <c r="H6167" s="7"/>
      <c r="J6167" s="7"/>
      <c r="L6167" s="7"/>
      <c r="N6167" s="7"/>
      <c r="P6167" s="7"/>
      <c r="R6167" s="7"/>
      <c r="T6167" s="7"/>
      <c r="V6167" s="7"/>
      <c r="X6167" s="7"/>
    </row>
    <row r="6168" spans="2:24">
      <c r="B6168" s="7"/>
      <c r="D6168" s="7"/>
      <c r="F6168" s="7"/>
      <c r="H6168" s="7"/>
      <c r="J6168" s="7"/>
      <c r="L6168" s="7"/>
      <c r="N6168" s="7"/>
      <c r="P6168" s="7"/>
      <c r="R6168" s="7"/>
      <c r="T6168" s="7"/>
      <c r="V6168" s="7"/>
      <c r="X6168" s="7"/>
    </row>
    <row r="6169" spans="2:24">
      <c r="B6169" s="7"/>
      <c r="D6169" s="7"/>
      <c r="F6169" s="7"/>
      <c r="H6169" s="7"/>
      <c r="J6169" s="7"/>
      <c r="L6169" s="7"/>
      <c r="N6169" s="7"/>
      <c r="P6169" s="7"/>
      <c r="R6169" s="7"/>
      <c r="T6169" s="7"/>
      <c r="V6169" s="7"/>
      <c r="X6169" s="7"/>
    </row>
    <row r="6170" spans="2:24">
      <c r="B6170" s="7"/>
      <c r="D6170" s="7"/>
      <c r="F6170" s="7"/>
      <c r="H6170" s="7"/>
      <c r="J6170" s="7"/>
      <c r="L6170" s="7"/>
      <c r="N6170" s="7"/>
      <c r="P6170" s="7"/>
      <c r="R6170" s="7"/>
      <c r="T6170" s="7"/>
      <c r="V6170" s="7"/>
      <c r="X6170" s="7"/>
    </row>
    <row r="6171" spans="2:24">
      <c r="B6171" s="7"/>
      <c r="D6171" s="7"/>
      <c r="F6171" s="7"/>
      <c r="H6171" s="7"/>
      <c r="J6171" s="7"/>
      <c r="L6171" s="7"/>
      <c r="N6171" s="7"/>
      <c r="P6171" s="7"/>
      <c r="R6171" s="7"/>
      <c r="T6171" s="7"/>
      <c r="V6171" s="7"/>
      <c r="X6171" s="7"/>
    </row>
    <row r="6172" spans="2:24">
      <c r="B6172" s="7"/>
      <c r="D6172" s="7"/>
      <c r="F6172" s="7"/>
      <c r="H6172" s="7"/>
      <c r="J6172" s="7"/>
      <c r="L6172" s="7"/>
      <c r="N6172" s="7"/>
      <c r="P6172" s="7"/>
      <c r="R6172" s="7"/>
      <c r="T6172" s="7"/>
      <c r="V6172" s="7"/>
      <c r="X6172" s="7"/>
    </row>
    <row r="6173" spans="2:24">
      <c r="B6173" s="7"/>
      <c r="D6173" s="7"/>
      <c r="F6173" s="7"/>
      <c r="H6173" s="7"/>
      <c r="J6173" s="7"/>
      <c r="L6173" s="7"/>
      <c r="N6173" s="7"/>
      <c r="P6173" s="7"/>
      <c r="R6173" s="7"/>
      <c r="T6173" s="7"/>
      <c r="V6173" s="7"/>
      <c r="X6173" s="7"/>
    </row>
    <row r="6174" spans="2:24">
      <c r="B6174" s="7"/>
      <c r="D6174" s="7"/>
      <c r="F6174" s="7"/>
      <c r="H6174" s="7"/>
      <c r="J6174" s="7"/>
      <c r="L6174" s="7"/>
      <c r="N6174" s="7"/>
      <c r="P6174" s="7"/>
      <c r="R6174" s="7"/>
      <c r="T6174" s="7"/>
      <c r="V6174" s="7"/>
      <c r="X6174" s="7"/>
    </row>
    <row r="6175" spans="2:24">
      <c r="B6175" s="7"/>
      <c r="D6175" s="7"/>
      <c r="F6175" s="7"/>
      <c r="H6175" s="7"/>
      <c r="J6175" s="7"/>
      <c r="L6175" s="7"/>
      <c r="N6175" s="7"/>
      <c r="P6175" s="7"/>
      <c r="R6175" s="7"/>
      <c r="T6175" s="7"/>
      <c r="V6175" s="7"/>
      <c r="X6175" s="7"/>
    </row>
    <row r="6176" spans="2:24">
      <c r="B6176" s="7"/>
      <c r="D6176" s="7"/>
      <c r="F6176" s="7"/>
      <c r="H6176" s="7"/>
      <c r="J6176" s="7"/>
      <c r="L6176" s="7"/>
      <c r="N6176" s="7"/>
      <c r="P6176" s="7"/>
      <c r="R6176" s="7"/>
      <c r="T6176" s="7"/>
      <c r="V6176" s="7"/>
      <c r="X6176" s="7"/>
    </row>
    <row r="6177" spans="2:24">
      <c r="B6177" s="7"/>
      <c r="D6177" s="7"/>
      <c r="F6177" s="7"/>
      <c r="H6177" s="7"/>
      <c r="J6177" s="7"/>
      <c r="L6177" s="7"/>
      <c r="N6177" s="7"/>
      <c r="P6177" s="7"/>
      <c r="R6177" s="7"/>
      <c r="T6177" s="7"/>
      <c r="V6177" s="7"/>
      <c r="X6177" s="7"/>
    </row>
    <row r="6178" spans="2:24">
      <c r="B6178" s="7"/>
      <c r="D6178" s="7"/>
      <c r="F6178" s="7"/>
      <c r="H6178" s="7"/>
      <c r="J6178" s="7"/>
      <c r="L6178" s="7"/>
      <c r="N6178" s="7"/>
      <c r="P6178" s="7"/>
      <c r="R6178" s="7"/>
      <c r="T6178" s="7"/>
      <c r="V6178" s="7"/>
      <c r="X6178" s="7"/>
    </row>
    <row r="6179" spans="2:24">
      <c r="B6179" s="7"/>
      <c r="D6179" s="7"/>
      <c r="F6179" s="7"/>
      <c r="H6179" s="7"/>
      <c r="J6179" s="7"/>
      <c r="L6179" s="7"/>
      <c r="N6179" s="7"/>
      <c r="P6179" s="7"/>
      <c r="R6179" s="7"/>
      <c r="T6179" s="7"/>
      <c r="V6179" s="7"/>
      <c r="X6179" s="7"/>
    </row>
    <row r="6180" spans="2:24">
      <c r="B6180" s="7"/>
      <c r="D6180" s="7"/>
      <c r="F6180" s="7"/>
      <c r="H6180" s="7"/>
      <c r="J6180" s="7"/>
      <c r="L6180" s="7"/>
      <c r="N6180" s="7"/>
      <c r="P6180" s="7"/>
      <c r="R6180" s="7"/>
      <c r="T6180" s="7"/>
      <c r="V6180" s="7"/>
      <c r="X6180" s="7"/>
    </row>
    <row r="6181" spans="2:24">
      <c r="B6181" s="7"/>
      <c r="D6181" s="7"/>
      <c r="F6181" s="7"/>
      <c r="H6181" s="7"/>
      <c r="J6181" s="7"/>
      <c r="L6181" s="7"/>
      <c r="N6181" s="7"/>
      <c r="P6181" s="7"/>
      <c r="R6181" s="7"/>
      <c r="T6181" s="7"/>
      <c r="V6181" s="7"/>
      <c r="X6181" s="7"/>
    </row>
    <row r="6182" spans="2:24">
      <c r="B6182" s="7"/>
      <c r="D6182" s="7"/>
      <c r="F6182" s="7"/>
      <c r="H6182" s="7"/>
      <c r="J6182" s="7"/>
      <c r="L6182" s="7"/>
      <c r="N6182" s="7"/>
      <c r="P6182" s="7"/>
      <c r="R6182" s="7"/>
      <c r="T6182" s="7"/>
      <c r="V6182" s="7"/>
      <c r="X6182" s="7"/>
    </row>
    <row r="6183" spans="2:24">
      <c r="B6183" s="7"/>
      <c r="D6183" s="7"/>
      <c r="F6183" s="7"/>
      <c r="H6183" s="7"/>
      <c r="J6183" s="7"/>
      <c r="L6183" s="7"/>
      <c r="N6183" s="7"/>
      <c r="P6183" s="7"/>
      <c r="R6183" s="7"/>
      <c r="T6183" s="7"/>
      <c r="V6183" s="7"/>
      <c r="X6183" s="7"/>
    </row>
    <row r="6184" spans="2:24">
      <c r="B6184" s="7"/>
      <c r="D6184" s="7"/>
      <c r="F6184" s="7"/>
      <c r="H6184" s="7"/>
      <c r="J6184" s="7"/>
      <c r="L6184" s="7"/>
      <c r="N6184" s="7"/>
      <c r="P6184" s="7"/>
      <c r="R6184" s="7"/>
      <c r="T6184" s="7"/>
      <c r="V6184" s="7"/>
      <c r="X6184" s="7"/>
    </row>
    <row r="6185" spans="2:24">
      <c r="B6185" s="7"/>
      <c r="D6185" s="7"/>
      <c r="F6185" s="7"/>
      <c r="H6185" s="7"/>
      <c r="J6185" s="7"/>
      <c r="L6185" s="7"/>
      <c r="N6185" s="7"/>
      <c r="P6185" s="7"/>
      <c r="R6185" s="7"/>
      <c r="T6185" s="7"/>
      <c r="V6185" s="7"/>
      <c r="X6185" s="7"/>
    </row>
    <row r="6186" spans="2:24">
      <c r="B6186" s="7"/>
      <c r="D6186" s="7"/>
      <c r="F6186" s="7"/>
      <c r="H6186" s="7"/>
      <c r="J6186" s="7"/>
      <c r="L6186" s="7"/>
      <c r="N6186" s="7"/>
      <c r="P6186" s="7"/>
      <c r="R6186" s="7"/>
      <c r="T6186" s="7"/>
      <c r="V6186" s="7"/>
      <c r="X6186" s="7"/>
    </row>
    <row r="6187" spans="2:24">
      <c r="B6187" s="7"/>
      <c r="D6187" s="7"/>
      <c r="F6187" s="7"/>
      <c r="H6187" s="7"/>
      <c r="J6187" s="7"/>
      <c r="L6187" s="7"/>
      <c r="N6187" s="7"/>
      <c r="P6187" s="7"/>
      <c r="R6187" s="7"/>
      <c r="T6187" s="7"/>
      <c r="V6187" s="7"/>
      <c r="X6187" s="7"/>
    </row>
    <row r="6188" spans="2:24">
      <c r="B6188" s="7"/>
      <c r="D6188" s="7"/>
      <c r="F6188" s="7"/>
      <c r="H6188" s="7"/>
      <c r="J6188" s="7"/>
      <c r="L6188" s="7"/>
      <c r="N6188" s="7"/>
      <c r="P6188" s="7"/>
      <c r="R6188" s="7"/>
      <c r="T6188" s="7"/>
      <c r="V6188" s="7"/>
      <c r="X6188" s="7"/>
    </row>
    <row r="6189" spans="2:24">
      <c r="B6189" s="7"/>
      <c r="D6189" s="7"/>
      <c r="F6189" s="7"/>
      <c r="H6189" s="7"/>
      <c r="J6189" s="7"/>
      <c r="L6189" s="7"/>
      <c r="N6189" s="7"/>
      <c r="P6189" s="7"/>
      <c r="R6189" s="7"/>
      <c r="T6189" s="7"/>
      <c r="V6189" s="7"/>
      <c r="X6189" s="7"/>
    </row>
    <row r="6190" spans="2:24">
      <c r="B6190" s="7"/>
      <c r="D6190" s="7"/>
      <c r="F6190" s="7"/>
      <c r="H6190" s="7"/>
      <c r="J6190" s="7"/>
      <c r="L6190" s="7"/>
      <c r="N6190" s="7"/>
      <c r="P6190" s="7"/>
      <c r="R6190" s="7"/>
      <c r="T6190" s="7"/>
      <c r="V6190" s="7"/>
      <c r="X6190" s="7"/>
    </row>
    <row r="6191" spans="2:24">
      <c r="B6191" s="7"/>
      <c r="D6191" s="7"/>
      <c r="F6191" s="7"/>
      <c r="H6191" s="7"/>
      <c r="J6191" s="7"/>
      <c r="L6191" s="7"/>
      <c r="N6191" s="7"/>
      <c r="P6191" s="7"/>
      <c r="R6191" s="7"/>
      <c r="T6191" s="7"/>
      <c r="V6191" s="7"/>
      <c r="X6191" s="7"/>
    </row>
    <row r="6192" spans="2:24">
      <c r="B6192" s="7"/>
      <c r="D6192" s="7"/>
      <c r="F6192" s="7"/>
      <c r="H6192" s="7"/>
      <c r="J6192" s="7"/>
      <c r="L6192" s="7"/>
      <c r="N6192" s="7"/>
      <c r="P6192" s="7"/>
      <c r="R6192" s="7"/>
      <c r="T6192" s="7"/>
      <c r="V6192" s="7"/>
      <c r="X6192" s="7"/>
    </row>
    <row r="6193" spans="2:24">
      <c r="B6193" s="7"/>
      <c r="D6193" s="7"/>
      <c r="F6193" s="7"/>
      <c r="H6193" s="7"/>
      <c r="J6193" s="7"/>
      <c r="L6193" s="7"/>
      <c r="N6193" s="7"/>
      <c r="P6193" s="7"/>
      <c r="R6193" s="7"/>
      <c r="T6193" s="7"/>
      <c r="V6193" s="7"/>
      <c r="X6193" s="7"/>
    </row>
    <row r="6194" spans="2:24">
      <c r="B6194" s="7"/>
      <c r="D6194" s="7"/>
      <c r="F6194" s="7"/>
      <c r="H6194" s="7"/>
      <c r="J6194" s="7"/>
      <c r="L6194" s="7"/>
      <c r="N6194" s="7"/>
      <c r="P6194" s="7"/>
      <c r="R6194" s="7"/>
      <c r="T6194" s="7"/>
      <c r="V6194" s="7"/>
      <c r="X6194" s="7"/>
    </row>
    <row r="6195" spans="2:24">
      <c r="B6195" s="7"/>
      <c r="D6195" s="7"/>
      <c r="F6195" s="7"/>
      <c r="H6195" s="7"/>
      <c r="J6195" s="7"/>
      <c r="L6195" s="7"/>
      <c r="N6195" s="7"/>
      <c r="P6195" s="7"/>
      <c r="R6195" s="7"/>
      <c r="T6195" s="7"/>
      <c r="V6195" s="7"/>
      <c r="X6195" s="7"/>
    </row>
    <row r="6196" spans="2:24">
      <c r="B6196" s="7"/>
      <c r="D6196" s="7"/>
      <c r="F6196" s="7"/>
      <c r="H6196" s="7"/>
      <c r="J6196" s="7"/>
      <c r="L6196" s="7"/>
      <c r="N6196" s="7"/>
      <c r="P6196" s="7"/>
      <c r="R6196" s="7"/>
      <c r="T6196" s="7"/>
      <c r="V6196" s="7"/>
      <c r="X6196" s="7"/>
    </row>
    <row r="6197" spans="2:24">
      <c r="B6197" s="7"/>
      <c r="D6197" s="7"/>
      <c r="F6197" s="7"/>
      <c r="H6197" s="7"/>
      <c r="J6197" s="7"/>
      <c r="L6197" s="7"/>
      <c r="N6197" s="7"/>
      <c r="P6197" s="7"/>
      <c r="R6197" s="7"/>
      <c r="T6197" s="7"/>
      <c r="V6197" s="7"/>
      <c r="X6197" s="7"/>
    </row>
    <row r="6198" spans="2:24">
      <c r="B6198" s="7"/>
      <c r="D6198" s="7"/>
      <c r="F6198" s="7"/>
      <c r="H6198" s="7"/>
      <c r="J6198" s="7"/>
      <c r="L6198" s="7"/>
      <c r="N6198" s="7"/>
      <c r="P6198" s="7"/>
      <c r="R6198" s="7"/>
      <c r="T6198" s="7"/>
      <c r="V6198" s="7"/>
      <c r="X6198" s="7"/>
    </row>
    <row r="6199" spans="2:24">
      <c r="B6199" s="7"/>
      <c r="D6199" s="7"/>
      <c r="F6199" s="7"/>
      <c r="H6199" s="7"/>
      <c r="J6199" s="7"/>
      <c r="L6199" s="7"/>
      <c r="N6199" s="7"/>
      <c r="P6199" s="7"/>
      <c r="R6199" s="7"/>
      <c r="T6199" s="7"/>
      <c r="V6199" s="7"/>
      <c r="X6199" s="7"/>
    </row>
    <row r="6200" spans="2:24">
      <c r="B6200" s="7"/>
      <c r="D6200" s="7"/>
      <c r="F6200" s="7"/>
      <c r="H6200" s="7"/>
      <c r="J6200" s="7"/>
      <c r="L6200" s="7"/>
      <c r="N6200" s="7"/>
      <c r="P6200" s="7"/>
      <c r="R6200" s="7"/>
      <c r="T6200" s="7"/>
      <c r="V6200" s="7"/>
      <c r="X6200" s="7"/>
    </row>
    <row r="6201" spans="2:24">
      <c r="B6201" s="7"/>
      <c r="D6201" s="7"/>
      <c r="F6201" s="7"/>
      <c r="H6201" s="7"/>
      <c r="J6201" s="7"/>
      <c r="L6201" s="7"/>
      <c r="N6201" s="7"/>
      <c r="P6201" s="7"/>
      <c r="R6201" s="7"/>
      <c r="T6201" s="7"/>
      <c r="V6201" s="7"/>
      <c r="X6201" s="7"/>
    </row>
    <row r="6202" spans="2:24">
      <c r="B6202" s="7"/>
      <c r="D6202" s="7"/>
      <c r="F6202" s="7"/>
      <c r="H6202" s="7"/>
      <c r="J6202" s="7"/>
      <c r="L6202" s="7"/>
      <c r="N6202" s="7"/>
      <c r="P6202" s="7"/>
      <c r="R6202" s="7"/>
      <c r="T6202" s="7"/>
      <c r="V6202" s="7"/>
      <c r="X6202" s="7"/>
    </row>
    <row r="6203" spans="2:24">
      <c r="B6203" s="7"/>
      <c r="D6203" s="7"/>
      <c r="F6203" s="7"/>
      <c r="H6203" s="7"/>
      <c r="J6203" s="7"/>
      <c r="L6203" s="7"/>
      <c r="N6203" s="7"/>
      <c r="P6203" s="7"/>
      <c r="R6203" s="7"/>
      <c r="T6203" s="7"/>
      <c r="V6203" s="7"/>
      <c r="X6203" s="7"/>
    </row>
    <row r="6204" spans="2:24">
      <c r="B6204" s="7"/>
      <c r="D6204" s="7"/>
      <c r="F6204" s="7"/>
      <c r="H6204" s="7"/>
      <c r="J6204" s="7"/>
      <c r="L6204" s="7"/>
      <c r="N6204" s="7"/>
      <c r="P6204" s="7"/>
      <c r="R6204" s="7"/>
      <c r="T6204" s="7"/>
      <c r="V6204" s="7"/>
      <c r="X6204" s="7"/>
    </row>
    <row r="6205" spans="2:24">
      <c r="B6205" s="7"/>
      <c r="D6205" s="7"/>
      <c r="F6205" s="7"/>
      <c r="H6205" s="7"/>
      <c r="J6205" s="7"/>
      <c r="L6205" s="7"/>
      <c r="N6205" s="7"/>
      <c r="P6205" s="7"/>
      <c r="R6205" s="7"/>
      <c r="T6205" s="7"/>
      <c r="V6205" s="7"/>
      <c r="X6205" s="7"/>
    </row>
    <row r="6206" spans="2:24">
      <c r="B6206" s="7"/>
      <c r="D6206" s="7"/>
      <c r="F6206" s="7"/>
      <c r="H6206" s="7"/>
      <c r="J6206" s="7"/>
      <c r="L6206" s="7"/>
      <c r="N6206" s="7"/>
      <c r="P6206" s="7"/>
      <c r="R6206" s="7"/>
      <c r="T6206" s="7"/>
      <c r="V6206" s="7"/>
      <c r="X6206" s="7"/>
    </row>
    <row r="6207" spans="2:24">
      <c r="B6207" s="7"/>
      <c r="D6207" s="7"/>
      <c r="F6207" s="7"/>
      <c r="H6207" s="7"/>
      <c r="J6207" s="7"/>
      <c r="L6207" s="7"/>
      <c r="N6207" s="7"/>
      <c r="P6207" s="7"/>
      <c r="R6207" s="7"/>
      <c r="T6207" s="7"/>
      <c r="V6207" s="7"/>
      <c r="X6207" s="7"/>
    </row>
    <row r="6208" spans="2:24">
      <c r="B6208" s="7"/>
      <c r="D6208" s="7"/>
      <c r="F6208" s="7"/>
      <c r="H6208" s="7"/>
      <c r="J6208" s="7"/>
      <c r="L6208" s="7"/>
      <c r="N6208" s="7"/>
      <c r="P6208" s="7"/>
      <c r="R6208" s="7"/>
      <c r="T6208" s="7"/>
      <c r="V6208" s="7"/>
      <c r="X6208" s="7"/>
    </row>
    <row r="6209" spans="2:24">
      <c r="B6209" s="7"/>
      <c r="D6209" s="7"/>
      <c r="F6209" s="7"/>
      <c r="H6209" s="7"/>
      <c r="J6209" s="7"/>
      <c r="L6209" s="7"/>
      <c r="N6209" s="7"/>
      <c r="P6209" s="7"/>
      <c r="R6209" s="7"/>
      <c r="T6209" s="7"/>
      <c r="V6209" s="7"/>
      <c r="X6209" s="7"/>
    </row>
    <row r="6210" spans="2:24">
      <c r="B6210" s="7"/>
      <c r="D6210" s="7"/>
      <c r="F6210" s="7"/>
      <c r="H6210" s="7"/>
      <c r="J6210" s="7"/>
      <c r="L6210" s="7"/>
      <c r="N6210" s="7"/>
      <c r="P6210" s="7"/>
      <c r="R6210" s="7"/>
      <c r="T6210" s="7"/>
      <c r="V6210" s="7"/>
      <c r="X6210" s="7"/>
    </row>
    <row r="6211" spans="2:24">
      <c r="B6211" s="7"/>
      <c r="D6211" s="7"/>
      <c r="F6211" s="7"/>
      <c r="H6211" s="7"/>
      <c r="J6211" s="7"/>
      <c r="L6211" s="7"/>
      <c r="N6211" s="7"/>
      <c r="P6211" s="7"/>
      <c r="R6211" s="7"/>
      <c r="T6211" s="7"/>
      <c r="V6211" s="7"/>
      <c r="X6211" s="7"/>
    </row>
    <row r="6212" spans="2:24">
      <c r="B6212" s="7"/>
      <c r="D6212" s="7"/>
      <c r="F6212" s="7"/>
      <c r="H6212" s="7"/>
      <c r="J6212" s="7"/>
      <c r="L6212" s="7"/>
      <c r="N6212" s="7"/>
      <c r="P6212" s="7"/>
      <c r="R6212" s="7"/>
      <c r="T6212" s="7"/>
      <c r="V6212" s="7"/>
      <c r="X6212" s="7"/>
    </row>
    <row r="6213" spans="2:24">
      <c r="B6213" s="7"/>
      <c r="D6213" s="7"/>
      <c r="F6213" s="7"/>
      <c r="H6213" s="7"/>
      <c r="J6213" s="7"/>
      <c r="L6213" s="7"/>
      <c r="N6213" s="7"/>
      <c r="P6213" s="7"/>
      <c r="R6213" s="7"/>
      <c r="T6213" s="7"/>
      <c r="V6213" s="7"/>
      <c r="X6213" s="7"/>
    </row>
    <row r="6214" spans="2:24">
      <c r="B6214" s="7"/>
      <c r="D6214" s="7"/>
      <c r="F6214" s="7"/>
      <c r="H6214" s="7"/>
      <c r="J6214" s="7"/>
      <c r="L6214" s="7"/>
      <c r="N6214" s="7"/>
      <c r="P6214" s="7"/>
      <c r="R6214" s="7"/>
      <c r="T6214" s="7"/>
      <c r="V6214" s="7"/>
      <c r="X6214" s="7"/>
    </row>
    <row r="6215" spans="2:24">
      <c r="B6215" s="7"/>
      <c r="D6215" s="7"/>
      <c r="F6215" s="7"/>
      <c r="H6215" s="7"/>
      <c r="J6215" s="7"/>
      <c r="L6215" s="7"/>
      <c r="N6215" s="7"/>
      <c r="P6215" s="7"/>
      <c r="R6215" s="7"/>
      <c r="T6215" s="7"/>
      <c r="V6215" s="7"/>
      <c r="X6215" s="7"/>
    </row>
    <row r="6216" spans="2:24">
      <c r="B6216" s="7"/>
      <c r="D6216" s="7"/>
      <c r="F6216" s="7"/>
      <c r="H6216" s="7"/>
      <c r="J6216" s="7"/>
      <c r="L6216" s="7"/>
      <c r="N6216" s="7"/>
      <c r="P6216" s="7"/>
      <c r="R6216" s="7"/>
      <c r="T6216" s="7"/>
      <c r="V6216" s="7"/>
      <c r="X6216" s="7"/>
    </row>
    <row r="6217" spans="2:24">
      <c r="B6217" s="7"/>
      <c r="D6217" s="7"/>
      <c r="F6217" s="7"/>
      <c r="H6217" s="7"/>
      <c r="J6217" s="7"/>
      <c r="L6217" s="7"/>
      <c r="N6217" s="7"/>
      <c r="P6217" s="7"/>
      <c r="R6217" s="7"/>
      <c r="T6217" s="7"/>
      <c r="V6217" s="7"/>
      <c r="X6217" s="7"/>
    </row>
    <row r="6218" spans="2:24">
      <c r="B6218" s="7"/>
      <c r="D6218" s="7"/>
      <c r="F6218" s="7"/>
      <c r="H6218" s="7"/>
      <c r="J6218" s="7"/>
      <c r="L6218" s="7"/>
      <c r="N6218" s="7"/>
      <c r="P6218" s="7"/>
      <c r="R6218" s="7"/>
      <c r="T6218" s="7"/>
      <c r="V6218" s="7"/>
      <c r="X6218" s="7"/>
    </row>
    <row r="6219" spans="2:24">
      <c r="B6219" s="7"/>
      <c r="D6219" s="7"/>
      <c r="F6219" s="7"/>
      <c r="H6219" s="7"/>
      <c r="J6219" s="7"/>
      <c r="L6219" s="7"/>
      <c r="N6219" s="7"/>
      <c r="P6219" s="7"/>
      <c r="R6219" s="7"/>
      <c r="T6219" s="7"/>
      <c r="V6219" s="7"/>
      <c r="X6219" s="7"/>
    </row>
    <row r="6220" spans="2:24">
      <c r="B6220" s="7"/>
      <c r="D6220" s="7"/>
      <c r="F6220" s="7"/>
      <c r="H6220" s="7"/>
      <c r="J6220" s="7"/>
      <c r="L6220" s="7"/>
      <c r="N6220" s="7"/>
      <c r="P6220" s="7"/>
      <c r="R6220" s="7"/>
      <c r="T6220" s="7"/>
      <c r="V6220" s="7"/>
      <c r="X6220" s="7"/>
    </row>
    <row r="6221" spans="2:24">
      <c r="B6221" s="7"/>
      <c r="D6221" s="7"/>
      <c r="F6221" s="7"/>
      <c r="H6221" s="7"/>
      <c r="J6221" s="7"/>
      <c r="L6221" s="7"/>
      <c r="N6221" s="7"/>
      <c r="P6221" s="7"/>
      <c r="R6221" s="7"/>
      <c r="T6221" s="7"/>
      <c r="V6221" s="7"/>
      <c r="X6221" s="7"/>
    </row>
    <row r="6222" spans="2:24">
      <c r="B6222" s="7"/>
      <c r="D6222" s="7"/>
      <c r="F6222" s="7"/>
      <c r="H6222" s="7"/>
      <c r="J6222" s="7"/>
      <c r="L6222" s="7"/>
      <c r="N6222" s="7"/>
      <c r="P6222" s="7"/>
      <c r="R6222" s="7"/>
      <c r="T6222" s="7"/>
      <c r="V6222" s="7"/>
      <c r="X6222" s="7"/>
    </row>
    <row r="6223" spans="2:24">
      <c r="B6223" s="7"/>
      <c r="D6223" s="7"/>
      <c r="F6223" s="7"/>
      <c r="H6223" s="7"/>
      <c r="J6223" s="7"/>
      <c r="L6223" s="7"/>
      <c r="N6223" s="7"/>
      <c r="P6223" s="7"/>
      <c r="R6223" s="7"/>
      <c r="T6223" s="7"/>
      <c r="V6223" s="7"/>
      <c r="X6223" s="7"/>
    </row>
    <row r="6224" spans="2:24">
      <c r="B6224" s="7"/>
      <c r="D6224" s="7"/>
      <c r="F6224" s="7"/>
      <c r="H6224" s="7"/>
      <c r="J6224" s="7"/>
      <c r="L6224" s="7"/>
      <c r="N6224" s="7"/>
      <c r="P6224" s="7"/>
      <c r="R6224" s="7"/>
      <c r="T6224" s="7"/>
      <c r="V6224" s="7"/>
      <c r="X6224" s="7"/>
    </row>
    <row r="6225" spans="2:24">
      <c r="B6225" s="7"/>
      <c r="D6225" s="7"/>
      <c r="F6225" s="7"/>
      <c r="H6225" s="7"/>
      <c r="J6225" s="7"/>
      <c r="L6225" s="7"/>
      <c r="N6225" s="7"/>
      <c r="P6225" s="7"/>
      <c r="R6225" s="7"/>
      <c r="T6225" s="7"/>
      <c r="V6225" s="7"/>
      <c r="X6225" s="7"/>
    </row>
    <row r="6226" spans="2:24">
      <c r="B6226" s="7"/>
      <c r="D6226" s="7"/>
      <c r="F6226" s="7"/>
      <c r="H6226" s="7"/>
      <c r="J6226" s="7"/>
      <c r="L6226" s="7"/>
      <c r="N6226" s="7"/>
      <c r="P6226" s="7"/>
      <c r="R6226" s="7"/>
      <c r="T6226" s="7"/>
      <c r="V6226" s="7"/>
      <c r="X6226" s="7"/>
    </row>
    <row r="6227" spans="2:24">
      <c r="B6227" s="7"/>
      <c r="D6227" s="7"/>
      <c r="F6227" s="7"/>
      <c r="H6227" s="7"/>
      <c r="J6227" s="7"/>
      <c r="L6227" s="7"/>
      <c r="N6227" s="7"/>
      <c r="P6227" s="7"/>
      <c r="R6227" s="7"/>
      <c r="T6227" s="7"/>
      <c r="V6227" s="7"/>
      <c r="X6227" s="7"/>
    </row>
    <row r="6228" spans="2:24">
      <c r="B6228" s="7"/>
      <c r="D6228" s="7"/>
      <c r="F6228" s="7"/>
      <c r="H6228" s="7"/>
      <c r="J6228" s="7"/>
      <c r="L6228" s="7"/>
      <c r="N6228" s="7"/>
      <c r="P6228" s="7"/>
      <c r="R6228" s="7"/>
      <c r="T6228" s="7"/>
      <c r="V6228" s="7"/>
      <c r="X6228" s="7"/>
    </row>
    <row r="6229" spans="2:24">
      <c r="B6229" s="7"/>
      <c r="D6229" s="7"/>
      <c r="F6229" s="7"/>
      <c r="H6229" s="7"/>
      <c r="J6229" s="7"/>
      <c r="L6229" s="7"/>
      <c r="N6229" s="7"/>
      <c r="P6229" s="7"/>
      <c r="R6229" s="7"/>
      <c r="T6229" s="7"/>
      <c r="V6229" s="7"/>
      <c r="X6229" s="7"/>
    </row>
    <row r="6230" spans="2:24">
      <c r="B6230" s="7"/>
      <c r="D6230" s="7"/>
      <c r="F6230" s="7"/>
      <c r="H6230" s="7"/>
      <c r="J6230" s="7"/>
      <c r="L6230" s="7"/>
      <c r="N6230" s="7"/>
      <c r="P6230" s="7"/>
      <c r="R6230" s="7"/>
      <c r="T6230" s="7"/>
      <c r="V6230" s="7"/>
      <c r="X6230" s="7"/>
    </row>
    <row r="6231" spans="2:24">
      <c r="B6231" s="7"/>
      <c r="D6231" s="7"/>
      <c r="F6231" s="7"/>
      <c r="H6231" s="7"/>
      <c r="J6231" s="7"/>
      <c r="L6231" s="7"/>
      <c r="N6231" s="7"/>
      <c r="P6231" s="7"/>
      <c r="R6231" s="7"/>
      <c r="T6231" s="7"/>
      <c r="V6231" s="7"/>
      <c r="X6231" s="7"/>
    </row>
    <row r="6232" spans="2:24">
      <c r="B6232" s="7"/>
      <c r="D6232" s="7"/>
      <c r="F6232" s="7"/>
      <c r="H6232" s="7"/>
      <c r="J6232" s="7"/>
      <c r="L6232" s="7"/>
      <c r="N6232" s="7"/>
      <c r="P6232" s="7"/>
      <c r="R6232" s="7"/>
      <c r="T6232" s="7"/>
      <c r="V6232" s="7"/>
      <c r="X6232" s="7"/>
    </row>
    <row r="6233" spans="2:24">
      <c r="B6233" s="7"/>
      <c r="D6233" s="7"/>
      <c r="F6233" s="7"/>
      <c r="H6233" s="7"/>
      <c r="J6233" s="7"/>
      <c r="L6233" s="7"/>
      <c r="N6233" s="7"/>
      <c r="P6233" s="7"/>
      <c r="R6233" s="7"/>
      <c r="T6233" s="7"/>
      <c r="V6233" s="7"/>
      <c r="X6233" s="7"/>
    </row>
    <row r="6234" spans="2:24">
      <c r="B6234" s="7"/>
      <c r="D6234" s="7"/>
      <c r="F6234" s="7"/>
      <c r="H6234" s="7"/>
      <c r="J6234" s="7"/>
      <c r="L6234" s="7"/>
      <c r="N6234" s="7"/>
      <c r="P6234" s="7"/>
      <c r="R6234" s="7"/>
      <c r="T6234" s="7"/>
      <c r="V6234" s="7"/>
      <c r="X6234" s="7"/>
    </row>
    <row r="6235" spans="2:24">
      <c r="B6235" s="7"/>
      <c r="D6235" s="7"/>
      <c r="F6235" s="7"/>
      <c r="H6235" s="7"/>
      <c r="J6235" s="7"/>
      <c r="L6235" s="7"/>
      <c r="N6235" s="7"/>
      <c r="P6235" s="7"/>
      <c r="R6235" s="7"/>
      <c r="T6235" s="7"/>
      <c r="V6235" s="7"/>
      <c r="X6235" s="7"/>
    </row>
    <row r="6236" spans="2:24">
      <c r="B6236" s="7"/>
      <c r="D6236" s="7"/>
      <c r="F6236" s="7"/>
      <c r="H6236" s="7"/>
      <c r="J6236" s="7"/>
      <c r="L6236" s="7"/>
      <c r="N6236" s="7"/>
      <c r="P6236" s="7"/>
      <c r="R6236" s="7"/>
      <c r="T6236" s="7"/>
      <c r="V6236" s="7"/>
      <c r="X6236" s="7"/>
    </row>
    <row r="6237" spans="2:24">
      <c r="B6237" s="7"/>
      <c r="D6237" s="7"/>
      <c r="F6237" s="7"/>
      <c r="H6237" s="7"/>
      <c r="J6237" s="7"/>
      <c r="L6237" s="7"/>
      <c r="N6237" s="7"/>
      <c r="P6237" s="7"/>
      <c r="R6237" s="7"/>
      <c r="T6237" s="7"/>
      <c r="V6237" s="7"/>
      <c r="X6237" s="7"/>
    </row>
    <row r="6238" spans="2:24">
      <c r="B6238" s="7"/>
      <c r="D6238" s="7"/>
      <c r="F6238" s="7"/>
      <c r="H6238" s="7"/>
      <c r="J6238" s="7"/>
      <c r="L6238" s="7"/>
      <c r="N6238" s="7"/>
      <c r="P6238" s="7"/>
      <c r="R6238" s="7"/>
      <c r="T6238" s="7"/>
      <c r="V6238" s="7"/>
      <c r="X6238" s="7"/>
    </row>
    <row r="6239" spans="2:24">
      <c r="B6239" s="7"/>
      <c r="D6239" s="7"/>
      <c r="F6239" s="7"/>
      <c r="H6239" s="7"/>
      <c r="J6239" s="7"/>
      <c r="L6239" s="7"/>
      <c r="N6239" s="7"/>
      <c r="P6239" s="7"/>
      <c r="R6239" s="7"/>
      <c r="T6239" s="7"/>
      <c r="V6239" s="7"/>
      <c r="X6239" s="7"/>
    </row>
    <row r="6240" spans="2:24">
      <c r="B6240" s="7"/>
      <c r="D6240" s="7"/>
      <c r="F6240" s="7"/>
      <c r="H6240" s="7"/>
      <c r="J6240" s="7"/>
      <c r="L6240" s="7"/>
      <c r="N6240" s="7"/>
      <c r="P6240" s="7"/>
      <c r="R6240" s="7"/>
      <c r="T6240" s="7"/>
      <c r="V6240" s="7"/>
      <c r="X6240" s="7"/>
    </row>
    <row r="6241" spans="2:24">
      <c r="B6241" s="7"/>
      <c r="D6241" s="7"/>
      <c r="F6241" s="7"/>
      <c r="H6241" s="7"/>
      <c r="J6241" s="7"/>
      <c r="L6241" s="7"/>
      <c r="N6241" s="7"/>
      <c r="P6241" s="7"/>
      <c r="R6241" s="7"/>
      <c r="T6241" s="7"/>
      <c r="V6241" s="7"/>
      <c r="X6241" s="7"/>
    </row>
    <row r="6242" spans="2:24">
      <c r="B6242" s="7"/>
      <c r="D6242" s="7"/>
      <c r="F6242" s="7"/>
      <c r="H6242" s="7"/>
      <c r="J6242" s="7"/>
      <c r="L6242" s="7"/>
      <c r="N6242" s="7"/>
      <c r="P6242" s="7"/>
      <c r="R6242" s="7"/>
      <c r="T6242" s="7"/>
      <c r="V6242" s="7"/>
      <c r="X6242" s="7"/>
    </row>
    <row r="6243" spans="2:24">
      <c r="B6243" s="7"/>
      <c r="D6243" s="7"/>
      <c r="F6243" s="7"/>
      <c r="H6243" s="7"/>
      <c r="J6243" s="7"/>
      <c r="L6243" s="7"/>
      <c r="N6243" s="7"/>
      <c r="P6243" s="7"/>
      <c r="R6243" s="7"/>
      <c r="T6243" s="7"/>
      <c r="V6243" s="7"/>
      <c r="X6243" s="7"/>
    </row>
    <row r="6244" spans="2:24">
      <c r="B6244" s="7"/>
      <c r="D6244" s="7"/>
      <c r="F6244" s="7"/>
      <c r="H6244" s="7"/>
      <c r="J6244" s="7"/>
      <c r="L6244" s="7"/>
      <c r="N6244" s="7"/>
      <c r="P6244" s="7"/>
      <c r="R6244" s="7"/>
      <c r="T6244" s="7"/>
      <c r="V6244" s="7"/>
      <c r="X6244" s="7"/>
    </row>
    <row r="6245" spans="2:24">
      <c r="B6245" s="7"/>
      <c r="D6245" s="7"/>
      <c r="F6245" s="7"/>
      <c r="H6245" s="7"/>
      <c r="J6245" s="7"/>
      <c r="L6245" s="7"/>
      <c r="N6245" s="7"/>
      <c r="P6245" s="7"/>
      <c r="R6245" s="7"/>
      <c r="T6245" s="7"/>
      <c r="V6245" s="7"/>
      <c r="X6245" s="7"/>
    </row>
    <row r="6246" spans="2:24">
      <c r="B6246" s="7"/>
      <c r="D6246" s="7"/>
      <c r="F6246" s="7"/>
      <c r="H6246" s="7"/>
      <c r="J6246" s="7"/>
      <c r="L6246" s="7"/>
      <c r="N6246" s="7"/>
      <c r="P6246" s="7"/>
      <c r="R6246" s="7"/>
      <c r="T6246" s="7"/>
      <c r="V6246" s="7"/>
      <c r="X6246" s="7"/>
    </row>
    <row r="6247" spans="2:24">
      <c r="B6247" s="7"/>
      <c r="D6247" s="7"/>
      <c r="F6247" s="7"/>
      <c r="H6247" s="7"/>
      <c r="J6247" s="7"/>
      <c r="L6247" s="7"/>
      <c r="N6247" s="7"/>
      <c r="P6247" s="7"/>
      <c r="R6247" s="7"/>
      <c r="T6247" s="7"/>
      <c r="V6247" s="7"/>
      <c r="X6247" s="7"/>
    </row>
    <row r="6248" spans="2:24">
      <c r="B6248" s="7"/>
      <c r="D6248" s="7"/>
      <c r="F6248" s="7"/>
      <c r="H6248" s="7"/>
      <c r="J6248" s="7"/>
      <c r="L6248" s="7"/>
      <c r="N6248" s="7"/>
      <c r="P6248" s="7"/>
      <c r="R6248" s="7"/>
      <c r="T6248" s="7"/>
      <c r="V6248" s="7"/>
      <c r="X6248" s="7"/>
    </row>
    <row r="6249" spans="2:24">
      <c r="B6249" s="7"/>
      <c r="D6249" s="7"/>
      <c r="F6249" s="7"/>
      <c r="H6249" s="7"/>
      <c r="J6249" s="7"/>
      <c r="L6249" s="7"/>
      <c r="N6249" s="7"/>
      <c r="P6249" s="7"/>
      <c r="R6249" s="7"/>
      <c r="T6249" s="7"/>
      <c r="V6249" s="7"/>
      <c r="X6249" s="7"/>
    </row>
    <row r="6250" spans="2:24">
      <c r="B6250" s="7"/>
      <c r="D6250" s="7"/>
      <c r="F6250" s="7"/>
      <c r="H6250" s="7"/>
      <c r="J6250" s="7"/>
      <c r="L6250" s="7"/>
      <c r="N6250" s="7"/>
      <c r="P6250" s="7"/>
      <c r="R6250" s="7"/>
      <c r="T6250" s="7"/>
      <c r="V6250" s="7"/>
      <c r="X6250" s="7"/>
    </row>
    <row r="6251" spans="2:24">
      <c r="B6251" s="7"/>
      <c r="D6251" s="7"/>
      <c r="F6251" s="7"/>
      <c r="H6251" s="7"/>
      <c r="J6251" s="7"/>
      <c r="L6251" s="7"/>
      <c r="N6251" s="7"/>
      <c r="P6251" s="7"/>
      <c r="R6251" s="7"/>
      <c r="T6251" s="7"/>
      <c r="V6251" s="7"/>
      <c r="X6251" s="7"/>
    </row>
    <row r="6252" spans="2:24">
      <c r="B6252" s="7"/>
      <c r="D6252" s="7"/>
      <c r="F6252" s="7"/>
      <c r="H6252" s="7"/>
      <c r="J6252" s="7"/>
      <c r="L6252" s="7"/>
      <c r="N6252" s="7"/>
      <c r="P6252" s="7"/>
      <c r="R6252" s="7"/>
      <c r="T6252" s="7"/>
      <c r="V6252" s="7"/>
      <c r="X6252" s="7"/>
    </row>
    <row r="6253" spans="2:24">
      <c r="B6253" s="7"/>
      <c r="D6253" s="7"/>
      <c r="F6253" s="7"/>
      <c r="H6253" s="7"/>
      <c r="J6253" s="7"/>
      <c r="L6253" s="7"/>
      <c r="N6253" s="7"/>
      <c r="P6253" s="7"/>
      <c r="R6253" s="7"/>
      <c r="T6253" s="7"/>
      <c r="V6253" s="7"/>
      <c r="X6253" s="7"/>
    </row>
    <row r="6254" spans="2:24">
      <c r="B6254" s="7"/>
      <c r="D6254" s="7"/>
      <c r="F6254" s="7"/>
      <c r="H6254" s="7"/>
      <c r="J6254" s="7"/>
      <c r="L6254" s="7"/>
      <c r="N6254" s="7"/>
      <c r="P6254" s="7"/>
      <c r="R6254" s="7"/>
      <c r="T6254" s="7"/>
      <c r="V6254" s="7"/>
      <c r="X6254" s="7"/>
    </row>
    <row r="6255" spans="2:24">
      <c r="B6255" s="7"/>
      <c r="D6255" s="7"/>
      <c r="F6255" s="7"/>
      <c r="H6255" s="7"/>
      <c r="J6255" s="7"/>
      <c r="L6255" s="7"/>
      <c r="N6255" s="7"/>
      <c r="P6255" s="7"/>
      <c r="R6255" s="7"/>
      <c r="T6255" s="7"/>
      <c r="V6255" s="7"/>
      <c r="X6255" s="7"/>
    </row>
    <row r="6256" spans="2:24">
      <c r="B6256" s="7"/>
      <c r="D6256" s="7"/>
      <c r="F6256" s="7"/>
      <c r="H6256" s="7"/>
      <c r="J6256" s="7"/>
      <c r="L6256" s="7"/>
      <c r="N6256" s="7"/>
      <c r="P6256" s="7"/>
      <c r="R6256" s="7"/>
      <c r="T6256" s="7"/>
      <c r="V6256" s="7"/>
      <c r="X6256" s="7"/>
    </row>
    <row r="6257" spans="2:24">
      <c r="B6257" s="7"/>
      <c r="D6257" s="7"/>
      <c r="F6257" s="7"/>
      <c r="H6257" s="7"/>
      <c r="J6257" s="7"/>
      <c r="L6257" s="7"/>
      <c r="N6257" s="7"/>
      <c r="P6257" s="7"/>
      <c r="R6257" s="7"/>
      <c r="T6257" s="7"/>
      <c r="V6257" s="7"/>
      <c r="X6257" s="7"/>
    </row>
    <row r="6258" spans="2:24">
      <c r="B6258" s="7"/>
      <c r="D6258" s="7"/>
      <c r="F6258" s="7"/>
      <c r="H6258" s="7"/>
      <c r="J6258" s="7"/>
      <c r="L6258" s="7"/>
      <c r="N6258" s="7"/>
      <c r="P6258" s="7"/>
      <c r="R6258" s="7"/>
      <c r="T6258" s="7"/>
      <c r="V6258" s="7"/>
      <c r="X6258" s="7"/>
    </row>
    <row r="6259" spans="2:24">
      <c r="B6259" s="7"/>
      <c r="D6259" s="7"/>
      <c r="F6259" s="7"/>
      <c r="H6259" s="7"/>
      <c r="J6259" s="7"/>
      <c r="L6259" s="7"/>
      <c r="N6259" s="7"/>
      <c r="P6259" s="7"/>
      <c r="R6259" s="7"/>
      <c r="T6259" s="7"/>
      <c r="V6259" s="7"/>
      <c r="X6259" s="7"/>
    </row>
    <row r="6260" spans="2:24">
      <c r="B6260" s="7"/>
      <c r="D6260" s="7"/>
      <c r="F6260" s="7"/>
      <c r="H6260" s="7"/>
      <c r="J6260" s="7"/>
      <c r="L6260" s="7"/>
      <c r="N6260" s="7"/>
      <c r="P6260" s="7"/>
      <c r="R6260" s="7"/>
      <c r="T6260" s="7"/>
      <c r="V6260" s="7"/>
      <c r="X6260" s="7"/>
    </row>
    <row r="6261" spans="2:24">
      <c r="B6261" s="7"/>
      <c r="D6261" s="7"/>
      <c r="F6261" s="7"/>
      <c r="H6261" s="7"/>
      <c r="J6261" s="7"/>
      <c r="L6261" s="7"/>
      <c r="N6261" s="7"/>
      <c r="P6261" s="7"/>
      <c r="R6261" s="7"/>
      <c r="T6261" s="7"/>
      <c r="V6261" s="7"/>
      <c r="X6261" s="7"/>
    </row>
    <row r="6262" spans="2:24">
      <c r="B6262" s="7"/>
      <c r="D6262" s="7"/>
      <c r="F6262" s="7"/>
      <c r="H6262" s="7"/>
      <c r="J6262" s="7"/>
      <c r="L6262" s="7"/>
      <c r="N6262" s="7"/>
      <c r="P6262" s="7"/>
      <c r="R6262" s="7"/>
      <c r="T6262" s="7"/>
      <c r="V6262" s="7"/>
      <c r="X6262" s="7"/>
    </row>
    <row r="6263" spans="2:24">
      <c r="B6263" s="7"/>
      <c r="D6263" s="7"/>
      <c r="F6263" s="7"/>
      <c r="H6263" s="7"/>
      <c r="J6263" s="7"/>
      <c r="L6263" s="7"/>
      <c r="N6263" s="7"/>
      <c r="P6263" s="7"/>
      <c r="R6263" s="7"/>
      <c r="T6263" s="7"/>
      <c r="V6263" s="7"/>
      <c r="X6263" s="7"/>
    </row>
    <row r="6264" spans="2:24">
      <c r="B6264" s="7"/>
      <c r="D6264" s="7"/>
      <c r="F6264" s="7"/>
      <c r="H6264" s="7"/>
      <c r="J6264" s="7"/>
      <c r="L6264" s="7"/>
      <c r="N6264" s="7"/>
      <c r="P6264" s="7"/>
      <c r="R6264" s="7"/>
      <c r="T6264" s="7"/>
      <c r="V6264" s="7"/>
      <c r="X6264" s="7"/>
    </row>
    <row r="6265" spans="2:24">
      <c r="B6265" s="7"/>
      <c r="D6265" s="7"/>
      <c r="F6265" s="7"/>
      <c r="H6265" s="7"/>
      <c r="J6265" s="7"/>
      <c r="L6265" s="7"/>
      <c r="N6265" s="7"/>
      <c r="P6265" s="7"/>
      <c r="R6265" s="7"/>
      <c r="T6265" s="7"/>
      <c r="V6265" s="7"/>
      <c r="X6265" s="7"/>
    </row>
    <row r="6266" spans="2:24">
      <c r="B6266" s="7"/>
      <c r="D6266" s="7"/>
      <c r="F6266" s="7"/>
      <c r="H6266" s="7"/>
      <c r="J6266" s="7"/>
      <c r="L6266" s="7"/>
      <c r="N6266" s="7"/>
      <c r="P6266" s="7"/>
      <c r="R6266" s="7"/>
      <c r="T6266" s="7"/>
      <c r="V6266" s="7"/>
      <c r="X6266" s="7"/>
    </row>
    <row r="6267" spans="2:24">
      <c r="B6267" s="7"/>
      <c r="D6267" s="7"/>
      <c r="F6267" s="7"/>
      <c r="H6267" s="7"/>
      <c r="J6267" s="7"/>
      <c r="L6267" s="7"/>
      <c r="N6267" s="7"/>
      <c r="P6267" s="7"/>
      <c r="R6267" s="7"/>
      <c r="T6267" s="7"/>
      <c r="V6267" s="7"/>
      <c r="X6267" s="7"/>
    </row>
    <row r="6268" spans="2:24">
      <c r="B6268" s="7"/>
      <c r="D6268" s="7"/>
      <c r="F6268" s="7"/>
      <c r="H6268" s="7"/>
      <c r="J6268" s="7"/>
      <c r="L6268" s="7"/>
      <c r="N6268" s="7"/>
      <c r="P6268" s="7"/>
      <c r="R6268" s="7"/>
      <c r="T6268" s="7"/>
      <c r="V6268" s="7"/>
      <c r="X6268" s="7"/>
    </row>
    <row r="6269" spans="2:24">
      <c r="B6269" s="7"/>
      <c r="D6269" s="7"/>
      <c r="F6269" s="7"/>
      <c r="H6269" s="7"/>
      <c r="J6269" s="7"/>
      <c r="L6269" s="7"/>
      <c r="N6269" s="7"/>
      <c r="P6269" s="7"/>
      <c r="R6269" s="7"/>
      <c r="T6269" s="7"/>
      <c r="V6269" s="7"/>
      <c r="X6269" s="7"/>
    </row>
    <row r="6270" spans="2:24">
      <c r="B6270" s="7"/>
      <c r="D6270" s="7"/>
      <c r="F6270" s="7"/>
      <c r="H6270" s="7"/>
      <c r="J6270" s="7"/>
      <c r="L6270" s="7"/>
      <c r="N6270" s="7"/>
      <c r="P6270" s="7"/>
      <c r="R6270" s="7"/>
      <c r="T6270" s="7"/>
      <c r="V6270" s="7"/>
      <c r="X6270" s="7"/>
    </row>
    <row r="6271" spans="2:24">
      <c r="B6271" s="7"/>
      <c r="D6271" s="7"/>
      <c r="F6271" s="7"/>
      <c r="H6271" s="7"/>
      <c r="J6271" s="7"/>
      <c r="L6271" s="7"/>
      <c r="N6271" s="7"/>
      <c r="P6271" s="7"/>
      <c r="R6271" s="7"/>
      <c r="T6271" s="7"/>
      <c r="V6271" s="7"/>
      <c r="X6271" s="7"/>
    </row>
    <row r="6272" spans="2:24">
      <c r="B6272" s="7"/>
      <c r="D6272" s="7"/>
      <c r="F6272" s="7"/>
      <c r="H6272" s="7"/>
      <c r="J6272" s="7"/>
      <c r="L6272" s="7"/>
      <c r="N6272" s="7"/>
      <c r="P6272" s="7"/>
      <c r="R6272" s="7"/>
      <c r="T6272" s="7"/>
      <c r="V6272" s="7"/>
      <c r="X6272" s="7"/>
    </row>
    <row r="6273" spans="2:24">
      <c r="B6273" s="7"/>
      <c r="D6273" s="7"/>
      <c r="F6273" s="7"/>
      <c r="H6273" s="7"/>
      <c r="J6273" s="7"/>
      <c r="L6273" s="7"/>
      <c r="N6273" s="7"/>
      <c r="P6273" s="7"/>
      <c r="R6273" s="7"/>
      <c r="T6273" s="7"/>
      <c r="V6273" s="7"/>
      <c r="X6273" s="7"/>
    </row>
    <row r="6274" spans="2:24">
      <c r="B6274" s="7"/>
      <c r="D6274" s="7"/>
      <c r="F6274" s="7"/>
      <c r="H6274" s="7"/>
      <c r="J6274" s="7"/>
      <c r="L6274" s="7"/>
      <c r="N6274" s="7"/>
      <c r="P6274" s="7"/>
      <c r="R6274" s="7"/>
      <c r="T6274" s="7"/>
      <c r="V6274" s="7"/>
      <c r="X6274" s="7"/>
    </row>
    <row r="6275" spans="2:24">
      <c r="B6275" s="7"/>
      <c r="D6275" s="7"/>
      <c r="F6275" s="7"/>
      <c r="H6275" s="7"/>
      <c r="J6275" s="7"/>
      <c r="L6275" s="7"/>
      <c r="N6275" s="7"/>
      <c r="P6275" s="7"/>
      <c r="R6275" s="7"/>
      <c r="T6275" s="7"/>
      <c r="V6275" s="7"/>
      <c r="X6275" s="7"/>
    </row>
    <row r="6276" spans="2:24">
      <c r="B6276" s="7"/>
      <c r="D6276" s="7"/>
      <c r="F6276" s="7"/>
      <c r="H6276" s="7"/>
      <c r="J6276" s="7"/>
      <c r="L6276" s="7"/>
      <c r="N6276" s="7"/>
      <c r="P6276" s="7"/>
      <c r="R6276" s="7"/>
      <c r="T6276" s="7"/>
      <c r="V6276" s="7"/>
      <c r="X6276" s="7"/>
    </row>
    <row r="6277" spans="2:24">
      <c r="B6277" s="7"/>
      <c r="D6277" s="7"/>
      <c r="F6277" s="7"/>
      <c r="H6277" s="7"/>
      <c r="J6277" s="7"/>
      <c r="L6277" s="7"/>
      <c r="N6277" s="7"/>
      <c r="P6277" s="7"/>
      <c r="R6277" s="7"/>
      <c r="T6277" s="7"/>
      <c r="V6277" s="7"/>
      <c r="X6277" s="7"/>
    </row>
    <row r="6278" spans="2:24">
      <c r="B6278" s="7"/>
      <c r="D6278" s="7"/>
      <c r="F6278" s="7"/>
      <c r="H6278" s="7"/>
      <c r="J6278" s="7"/>
      <c r="L6278" s="7"/>
      <c r="N6278" s="7"/>
      <c r="P6278" s="7"/>
      <c r="R6278" s="7"/>
      <c r="T6278" s="7"/>
      <c r="V6278" s="7"/>
      <c r="X6278" s="7"/>
    </row>
    <row r="6279" spans="2:24">
      <c r="B6279" s="7"/>
      <c r="D6279" s="7"/>
      <c r="F6279" s="7"/>
      <c r="H6279" s="7"/>
      <c r="J6279" s="7"/>
      <c r="L6279" s="7"/>
      <c r="N6279" s="7"/>
      <c r="P6279" s="7"/>
      <c r="R6279" s="7"/>
      <c r="T6279" s="7"/>
      <c r="V6279" s="7"/>
      <c r="X6279" s="7"/>
    </row>
    <row r="6280" spans="2:24">
      <c r="B6280" s="7"/>
      <c r="D6280" s="7"/>
      <c r="F6280" s="7"/>
      <c r="H6280" s="7"/>
      <c r="J6280" s="7"/>
      <c r="L6280" s="7"/>
      <c r="N6280" s="7"/>
      <c r="P6280" s="7"/>
      <c r="R6280" s="7"/>
      <c r="T6280" s="7"/>
      <c r="V6280" s="7"/>
      <c r="X6280" s="7"/>
    </row>
    <row r="6281" spans="2:24">
      <c r="B6281" s="7"/>
      <c r="D6281" s="7"/>
      <c r="F6281" s="7"/>
      <c r="H6281" s="7"/>
      <c r="J6281" s="7"/>
      <c r="L6281" s="7"/>
      <c r="N6281" s="7"/>
      <c r="P6281" s="7"/>
      <c r="R6281" s="7"/>
      <c r="T6281" s="7"/>
      <c r="V6281" s="7"/>
      <c r="X6281" s="7"/>
    </row>
    <row r="6282" spans="2:24">
      <c r="B6282" s="7"/>
      <c r="D6282" s="7"/>
      <c r="F6282" s="7"/>
      <c r="H6282" s="7"/>
      <c r="J6282" s="7"/>
      <c r="L6282" s="7"/>
      <c r="N6282" s="7"/>
      <c r="P6282" s="7"/>
      <c r="R6282" s="7"/>
      <c r="T6282" s="7"/>
      <c r="V6282" s="7"/>
      <c r="X6282" s="7"/>
    </row>
    <row r="6283" spans="2:24">
      <c r="B6283" s="7"/>
      <c r="D6283" s="7"/>
      <c r="F6283" s="7"/>
      <c r="H6283" s="7"/>
      <c r="J6283" s="7"/>
      <c r="L6283" s="7"/>
      <c r="N6283" s="7"/>
      <c r="P6283" s="7"/>
      <c r="R6283" s="7"/>
      <c r="T6283" s="7"/>
      <c r="V6283" s="7"/>
      <c r="X6283" s="7"/>
    </row>
    <row r="6284" spans="2:24">
      <c r="B6284" s="7"/>
      <c r="D6284" s="7"/>
      <c r="F6284" s="7"/>
      <c r="H6284" s="7"/>
      <c r="J6284" s="7"/>
      <c r="L6284" s="7"/>
      <c r="N6284" s="7"/>
      <c r="P6284" s="7"/>
      <c r="R6284" s="7"/>
      <c r="T6284" s="7"/>
      <c r="V6284" s="7"/>
      <c r="X6284" s="7"/>
    </row>
    <row r="6285" spans="2:24">
      <c r="B6285" s="7"/>
      <c r="D6285" s="7"/>
      <c r="F6285" s="7"/>
      <c r="H6285" s="7"/>
      <c r="J6285" s="7"/>
      <c r="L6285" s="7"/>
      <c r="N6285" s="7"/>
      <c r="P6285" s="7"/>
      <c r="R6285" s="7"/>
      <c r="T6285" s="7"/>
      <c r="V6285" s="7"/>
      <c r="X6285" s="7"/>
    </row>
    <row r="6286" spans="2:24">
      <c r="B6286" s="7"/>
      <c r="D6286" s="7"/>
      <c r="F6286" s="7"/>
      <c r="H6286" s="7"/>
      <c r="J6286" s="7"/>
      <c r="L6286" s="7"/>
      <c r="N6286" s="7"/>
      <c r="P6286" s="7"/>
      <c r="R6286" s="7"/>
      <c r="T6286" s="7"/>
      <c r="V6286" s="7"/>
      <c r="X6286" s="7"/>
    </row>
    <row r="6287" spans="2:24">
      <c r="B6287" s="7"/>
      <c r="D6287" s="7"/>
      <c r="F6287" s="7"/>
      <c r="H6287" s="7"/>
      <c r="J6287" s="7"/>
      <c r="L6287" s="7"/>
      <c r="N6287" s="7"/>
      <c r="P6287" s="7"/>
      <c r="R6287" s="7"/>
      <c r="T6287" s="7"/>
      <c r="V6287" s="7"/>
      <c r="X6287" s="7"/>
    </row>
    <row r="6288" spans="2:24">
      <c r="B6288" s="7"/>
      <c r="D6288" s="7"/>
      <c r="F6288" s="7"/>
      <c r="H6288" s="7"/>
      <c r="J6288" s="7"/>
      <c r="L6288" s="7"/>
      <c r="N6288" s="7"/>
      <c r="P6288" s="7"/>
      <c r="R6288" s="7"/>
      <c r="T6288" s="7"/>
      <c r="V6288" s="7"/>
      <c r="X6288" s="7"/>
    </row>
    <row r="6289" spans="2:24">
      <c r="B6289" s="7"/>
      <c r="D6289" s="7"/>
      <c r="F6289" s="7"/>
      <c r="H6289" s="7"/>
      <c r="J6289" s="7"/>
      <c r="L6289" s="7"/>
      <c r="N6289" s="7"/>
      <c r="P6289" s="7"/>
      <c r="R6289" s="7"/>
      <c r="T6289" s="7"/>
      <c r="V6289" s="7"/>
      <c r="X6289" s="7"/>
    </row>
    <row r="6290" spans="2:24">
      <c r="B6290" s="7"/>
      <c r="D6290" s="7"/>
      <c r="F6290" s="7"/>
      <c r="H6290" s="7"/>
      <c r="J6290" s="7"/>
      <c r="L6290" s="7"/>
      <c r="N6290" s="7"/>
      <c r="P6290" s="7"/>
      <c r="R6290" s="7"/>
      <c r="T6290" s="7"/>
      <c r="V6290" s="7"/>
      <c r="X6290" s="7"/>
    </row>
    <row r="6291" spans="2:24">
      <c r="B6291" s="7"/>
      <c r="D6291" s="7"/>
      <c r="F6291" s="7"/>
      <c r="H6291" s="7"/>
      <c r="J6291" s="7"/>
      <c r="L6291" s="7"/>
      <c r="N6291" s="7"/>
      <c r="P6291" s="7"/>
      <c r="R6291" s="7"/>
      <c r="T6291" s="7"/>
      <c r="V6291" s="7"/>
      <c r="X6291" s="7"/>
    </row>
    <row r="6292" spans="2:24">
      <c r="B6292" s="7"/>
      <c r="D6292" s="7"/>
      <c r="F6292" s="7"/>
      <c r="H6292" s="7"/>
      <c r="J6292" s="7"/>
      <c r="L6292" s="7"/>
      <c r="N6292" s="7"/>
      <c r="P6292" s="7"/>
      <c r="R6292" s="7"/>
      <c r="T6292" s="7"/>
      <c r="V6292" s="7"/>
      <c r="X6292" s="7"/>
    </row>
    <row r="6293" spans="2:24">
      <c r="B6293" s="7"/>
      <c r="D6293" s="7"/>
      <c r="F6293" s="7"/>
      <c r="H6293" s="7"/>
      <c r="J6293" s="7"/>
      <c r="L6293" s="7"/>
      <c r="N6293" s="7"/>
      <c r="P6293" s="7"/>
      <c r="R6293" s="7"/>
      <c r="T6293" s="7"/>
      <c r="V6293" s="7"/>
      <c r="X6293" s="7"/>
    </row>
    <row r="6294" spans="2:24">
      <c r="B6294" s="7"/>
      <c r="D6294" s="7"/>
      <c r="F6294" s="7"/>
      <c r="H6294" s="7"/>
      <c r="J6294" s="7"/>
      <c r="L6294" s="7"/>
      <c r="N6294" s="7"/>
      <c r="P6294" s="7"/>
      <c r="R6294" s="7"/>
      <c r="T6294" s="7"/>
      <c r="V6294" s="7"/>
      <c r="X6294" s="7"/>
    </row>
    <row r="6295" spans="2:24">
      <c r="B6295" s="7"/>
      <c r="D6295" s="7"/>
      <c r="F6295" s="7"/>
      <c r="H6295" s="7"/>
      <c r="J6295" s="7"/>
      <c r="L6295" s="7"/>
      <c r="N6295" s="7"/>
      <c r="P6295" s="7"/>
      <c r="R6295" s="7"/>
      <c r="T6295" s="7"/>
      <c r="V6295" s="7"/>
      <c r="X6295" s="7"/>
    </row>
    <row r="6296" spans="2:24">
      <c r="B6296" s="7"/>
      <c r="D6296" s="7"/>
      <c r="F6296" s="7"/>
      <c r="H6296" s="7"/>
      <c r="J6296" s="7"/>
      <c r="L6296" s="7"/>
      <c r="N6296" s="7"/>
      <c r="P6296" s="7"/>
      <c r="R6296" s="7"/>
      <c r="T6296" s="7"/>
      <c r="V6296" s="7"/>
      <c r="X6296" s="7"/>
    </row>
    <row r="6297" spans="2:24">
      <c r="B6297" s="7"/>
      <c r="D6297" s="7"/>
      <c r="F6297" s="7"/>
      <c r="H6297" s="7"/>
      <c r="J6297" s="7"/>
      <c r="L6297" s="7"/>
      <c r="N6297" s="7"/>
      <c r="P6297" s="7"/>
      <c r="R6297" s="7"/>
      <c r="T6297" s="7"/>
      <c r="V6297" s="7"/>
      <c r="X6297" s="7"/>
    </row>
    <row r="6298" spans="2:24">
      <c r="B6298" s="7"/>
      <c r="D6298" s="7"/>
      <c r="F6298" s="7"/>
      <c r="H6298" s="7"/>
      <c r="J6298" s="7"/>
      <c r="L6298" s="7"/>
      <c r="N6298" s="7"/>
      <c r="P6298" s="7"/>
      <c r="R6298" s="7"/>
      <c r="T6298" s="7"/>
      <c r="V6298" s="7"/>
      <c r="X6298" s="7"/>
    </row>
    <row r="6299" spans="2:24">
      <c r="B6299" s="7"/>
      <c r="D6299" s="7"/>
      <c r="F6299" s="7"/>
      <c r="H6299" s="7"/>
      <c r="J6299" s="7"/>
      <c r="L6299" s="7"/>
      <c r="N6299" s="7"/>
      <c r="P6299" s="7"/>
      <c r="R6299" s="7"/>
      <c r="T6299" s="7"/>
      <c r="V6299" s="7"/>
      <c r="X6299" s="7"/>
    </row>
    <row r="6300" spans="2:24">
      <c r="B6300" s="7"/>
      <c r="D6300" s="7"/>
      <c r="F6300" s="7"/>
      <c r="H6300" s="7"/>
      <c r="J6300" s="7"/>
      <c r="L6300" s="7"/>
      <c r="N6300" s="7"/>
      <c r="P6300" s="7"/>
      <c r="R6300" s="7"/>
      <c r="T6300" s="7"/>
      <c r="V6300" s="7"/>
      <c r="X6300" s="7"/>
    </row>
    <row r="6301" spans="2:24">
      <c r="B6301" s="7"/>
      <c r="D6301" s="7"/>
      <c r="F6301" s="7"/>
      <c r="H6301" s="7"/>
      <c r="J6301" s="7"/>
      <c r="L6301" s="7"/>
      <c r="N6301" s="7"/>
      <c r="P6301" s="7"/>
      <c r="R6301" s="7"/>
      <c r="T6301" s="7"/>
      <c r="V6301" s="7"/>
      <c r="X6301" s="7"/>
    </row>
    <row r="6302" spans="2:24">
      <c r="B6302" s="7"/>
      <c r="D6302" s="7"/>
      <c r="F6302" s="7"/>
      <c r="H6302" s="7"/>
      <c r="J6302" s="7"/>
      <c r="L6302" s="7"/>
      <c r="N6302" s="7"/>
      <c r="P6302" s="7"/>
      <c r="R6302" s="7"/>
      <c r="T6302" s="7"/>
      <c r="V6302" s="7"/>
      <c r="X6302" s="7"/>
    </row>
    <row r="6303" spans="2:24">
      <c r="B6303" s="7"/>
      <c r="D6303" s="7"/>
      <c r="F6303" s="7"/>
      <c r="H6303" s="7"/>
      <c r="J6303" s="7"/>
      <c r="L6303" s="7"/>
      <c r="N6303" s="7"/>
      <c r="P6303" s="7"/>
      <c r="R6303" s="7"/>
      <c r="T6303" s="7"/>
      <c r="V6303" s="7"/>
      <c r="X6303" s="7"/>
    </row>
    <row r="6304" spans="2:24">
      <c r="B6304" s="7"/>
      <c r="D6304" s="7"/>
      <c r="F6304" s="7"/>
      <c r="H6304" s="7"/>
      <c r="J6304" s="7"/>
      <c r="L6304" s="7"/>
      <c r="N6304" s="7"/>
      <c r="P6304" s="7"/>
      <c r="R6304" s="7"/>
      <c r="T6304" s="7"/>
      <c r="V6304" s="7"/>
      <c r="X6304" s="7"/>
    </row>
    <row r="6305" spans="2:24">
      <c r="B6305" s="7"/>
      <c r="D6305" s="7"/>
      <c r="F6305" s="7"/>
      <c r="H6305" s="7"/>
      <c r="J6305" s="7"/>
      <c r="L6305" s="7"/>
      <c r="N6305" s="7"/>
      <c r="P6305" s="7"/>
      <c r="R6305" s="7"/>
      <c r="T6305" s="7"/>
      <c r="V6305" s="7"/>
      <c r="X6305" s="7"/>
    </row>
    <row r="6306" spans="2:24">
      <c r="B6306" s="7"/>
      <c r="D6306" s="7"/>
      <c r="F6306" s="7"/>
      <c r="H6306" s="7"/>
      <c r="J6306" s="7"/>
      <c r="L6306" s="7"/>
      <c r="N6306" s="7"/>
      <c r="P6306" s="7"/>
      <c r="R6306" s="7"/>
      <c r="T6306" s="7"/>
      <c r="V6306" s="7"/>
      <c r="X6306" s="7"/>
    </row>
    <row r="6307" spans="2:24">
      <c r="B6307" s="7"/>
      <c r="D6307" s="7"/>
      <c r="F6307" s="7"/>
      <c r="H6307" s="7"/>
      <c r="J6307" s="7"/>
      <c r="L6307" s="7"/>
      <c r="N6307" s="7"/>
      <c r="P6307" s="7"/>
      <c r="R6307" s="7"/>
      <c r="T6307" s="7"/>
      <c r="V6307" s="7"/>
      <c r="X6307" s="7"/>
    </row>
    <row r="6308" spans="2:24">
      <c r="B6308" s="7"/>
      <c r="D6308" s="7"/>
      <c r="F6308" s="7"/>
      <c r="H6308" s="7"/>
      <c r="J6308" s="7"/>
      <c r="L6308" s="7"/>
      <c r="N6308" s="7"/>
      <c r="P6308" s="7"/>
      <c r="R6308" s="7"/>
      <c r="T6308" s="7"/>
      <c r="V6308" s="7"/>
      <c r="X6308" s="7"/>
    </row>
    <row r="6309" spans="2:24">
      <c r="B6309" s="7"/>
      <c r="D6309" s="7"/>
      <c r="F6309" s="7"/>
      <c r="H6309" s="7"/>
      <c r="J6309" s="7"/>
      <c r="L6309" s="7"/>
      <c r="N6309" s="7"/>
      <c r="P6309" s="7"/>
      <c r="R6309" s="7"/>
      <c r="T6309" s="7"/>
      <c r="V6309" s="7"/>
      <c r="X6309" s="7"/>
    </row>
    <row r="6310" spans="2:24">
      <c r="B6310" s="7"/>
      <c r="D6310" s="7"/>
      <c r="F6310" s="7"/>
      <c r="H6310" s="7"/>
      <c r="J6310" s="7"/>
      <c r="L6310" s="7"/>
      <c r="N6310" s="7"/>
      <c r="P6310" s="7"/>
      <c r="R6310" s="7"/>
      <c r="T6310" s="7"/>
      <c r="V6310" s="7"/>
      <c r="X6310" s="7"/>
    </row>
    <row r="6311" spans="2:24">
      <c r="B6311" s="7"/>
      <c r="D6311" s="7"/>
      <c r="F6311" s="7"/>
      <c r="H6311" s="7"/>
      <c r="J6311" s="7"/>
      <c r="L6311" s="7"/>
      <c r="N6311" s="7"/>
      <c r="P6311" s="7"/>
      <c r="R6311" s="7"/>
      <c r="T6311" s="7"/>
      <c r="V6311" s="7"/>
      <c r="X6311" s="7"/>
    </row>
    <row r="6312" spans="2:24">
      <c r="B6312" s="7"/>
      <c r="D6312" s="7"/>
      <c r="F6312" s="7"/>
      <c r="H6312" s="7"/>
      <c r="J6312" s="7"/>
      <c r="L6312" s="7"/>
      <c r="N6312" s="7"/>
      <c r="P6312" s="7"/>
      <c r="R6312" s="7"/>
      <c r="T6312" s="7"/>
      <c r="V6312" s="7"/>
      <c r="X6312" s="7"/>
    </row>
    <row r="6313" spans="2:24">
      <c r="B6313" s="7"/>
      <c r="D6313" s="7"/>
      <c r="F6313" s="7"/>
      <c r="H6313" s="7"/>
      <c r="J6313" s="7"/>
      <c r="L6313" s="7"/>
      <c r="N6313" s="7"/>
      <c r="P6313" s="7"/>
      <c r="R6313" s="7"/>
      <c r="T6313" s="7"/>
      <c r="V6313" s="7"/>
      <c r="X6313" s="7"/>
    </row>
    <row r="6314" spans="2:24">
      <c r="B6314" s="7"/>
      <c r="D6314" s="7"/>
      <c r="F6314" s="7"/>
      <c r="H6314" s="7"/>
      <c r="J6314" s="7"/>
      <c r="L6314" s="7"/>
      <c r="N6314" s="7"/>
      <c r="P6314" s="7"/>
      <c r="R6314" s="7"/>
      <c r="T6314" s="7"/>
      <c r="V6314" s="7"/>
      <c r="X6314" s="7"/>
    </row>
    <row r="6315" spans="2:24">
      <c r="B6315" s="7"/>
      <c r="D6315" s="7"/>
      <c r="F6315" s="7"/>
      <c r="H6315" s="7"/>
      <c r="J6315" s="7"/>
      <c r="L6315" s="7"/>
      <c r="N6315" s="7"/>
      <c r="P6315" s="7"/>
      <c r="R6315" s="7"/>
      <c r="T6315" s="7"/>
      <c r="V6315" s="7"/>
      <c r="X6315" s="7"/>
    </row>
    <row r="6316" spans="2:24">
      <c r="B6316" s="7"/>
      <c r="D6316" s="7"/>
      <c r="F6316" s="7"/>
      <c r="H6316" s="7"/>
      <c r="J6316" s="7"/>
      <c r="L6316" s="7"/>
      <c r="N6316" s="7"/>
      <c r="P6316" s="7"/>
      <c r="R6316" s="7"/>
      <c r="T6316" s="7"/>
      <c r="V6316" s="7"/>
      <c r="X6316" s="7"/>
    </row>
    <row r="6317" spans="2:24">
      <c r="B6317" s="7"/>
      <c r="D6317" s="7"/>
      <c r="F6317" s="7"/>
      <c r="H6317" s="7"/>
      <c r="J6317" s="7"/>
      <c r="L6317" s="7"/>
      <c r="N6317" s="7"/>
      <c r="P6317" s="7"/>
      <c r="R6317" s="7"/>
      <c r="T6317" s="7"/>
      <c r="V6317" s="7"/>
      <c r="X6317" s="7"/>
    </row>
    <row r="6318" spans="2:24">
      <c r="B6318" s="7"/>
      <c r="D6318" s="7"/>
      <c r="F6318" s="7"/>
      <c r="H6318" s="7"/>
      <c r="J6318" s="7"/>
      <c r="L6318" s="7"/>
      <c r="N6318" s="7"/>
      <c r="P6318" s="7"/>
      <c r="R6318" s="7"/>
      <c r="T6318" s="7"/>
      <c r="V6318" s="7"/>
      <c r="X6318" s="7"/>
    </row>
    <row r="6319" spans="2:24">
      <c r="B6319" s="7"/>
      <c r="D6319" s="7"/>
      <c r="F6319" s="7"/>
      <c r="H6319" s="7"/>
      <c r="J6319" s="7"/>
      <c r="L6319" s="7"/>
      <c r="N6319" s="7"/>
      <c r="P6319" s="7"/>
      <c r="R6319" s="7"/>
      <c r="T6319" s="7"/>
      <c r="V6319" s="7"/>
      <c r="X6319" s="7"/>
    </row>
    <row r="6320" spans="2:24">
      <c r="B6320" s="7"/>
      <c r="D6320" s="7"/>
      <c r="F6320" s="7"/>
      <c r="H6320" s="7"/>
      <c r="J6320" s="7"/>
      <c r="L6320" s="7"/>
      <c r="N6320" s="7"/>
      <c r="P6320" s="7"/>
      <c r="R6320" s="7"/>
      <c r="T6320" s="7"/>
      <c r="V6320" s="7"/>
      <c r="X6320" s="7"/>
    </row>
    <row r="6321" spans="2:24">
      <c r="B6321" s="7"/>
      <c r="D6321" s="7"/>
      <c r="F6321" s="7"/>
      <c r="H6321" s="7"/>
      <c r="J6321" s="7"/>
      <c r="L6321" s="7"/>
      <c r="N6321" s="7"/>
      <c r="P6321" s="7"/>
      <c r="R6321" s="7"/>
      <c r="T6321" s="7"/>
      <c r="V6321" s="7"/>
      <c r="X6321" s="7"/>
    </row>
    <row r="6322" spans="2:24">
      <c r="B6322" s="7"/>
      <c r="D6322" s="7"/>
      <c r="F6322" s="7"/>
      <c r="H6322" s="7"/>
      <c r="J6322" s="7"/>
      <c r="L6322" s="7"/>
      <c r="N6322" s="7"/>
      <c r="P6322" s="7"/>
      <c r="R6322" s="7"/>
      <c r="T6322" s="7"/>
      <c r="V6322" s="7"/>
      <c r="X6322" s="7"/>
    </row>
    <row r="6323" spans="2:24">
      <c r="B6323" s="7"/>
      <c r="D6323" s="7"/>
      <c r="F6323" s="7"/>
      <c r="H6323" s="7"/>
      <c r="J6323" s="7"/>
      <c r="L6323" s="7"/>
      <c r="N6323" s="7"/>
      <c r="P6323" s="7"/>
      <c r="R6323" s="7"/>
      <c r="T6323" s="7"/>
      <c r="V6323" s="7"/>
      <c r="X6323" s="7"/>
    </row>
    <row r="6324" spans="2:24">
      <c r="B6324" s="7"/>
      <c r="D6324" s="7"/>
      <c r="F6324" s="7"/>
      <c r="H6324" s="7"/>
      <c r="J6324" s="7"/>
      <c r="L6324" s="7"/>
      <c r="N6324" s="7"/>
      <c r="P6324" s="7"/>
      <c r="R6324" s="7"/>
      <c r="T6324" s="7"/>
      <c r="V6324" s="7"/>
      <c r="X6324" s="7"/>
    </row>
    <row r="6325" spans="2:24">
      <c r="B6325" s="7"/>
      <c r="D6325" s="7"/>
      <c r="F6325" s="7"/>
      <c r="H6325" s="7"/>
      <c r="J6325" s="7"/>
      <c r="L6325" s="7"/>
      <c r="N6325" s="7"/>
      <c r="P6325" s="7"/>
      <c r="R6325" s="7"/>
      <c r="T6325" s="7"/>
      <c r="V6325" s="7"/>
      <c r="X6325" s="7"/>
    </row>
    <row r="6326" spans="2:24">
      <c r="B6326" s="7"/>
      <c r="D6326" s="7"/>
      <c r="F6326" s="7"/>
      <c r="H6326" s="7"/>
      <c r="J6326" s="7"/>
      <c r="L6326" s="7"/>
      <c r="N6326" s="7"/>
      <c r="P6326" s="7"/>
      <c r="R6326" s="7"/>
      <c r="T6326" s="7"/>
      <c r="V6326" s="7"/>
      <c r="X6326" s="7"/>
    </row>
    <row r="6327" spans="2:24">
      <c r="B6327" s="7"/>
      <c r="D6327" s="7"/>
      <c r="F6327" s="7"/>
      <c r="H6327" s="7"/>
      <c r="J6327" s="7"/>
      <c r="L6327" s="7"/>
      <c r="N6327" s="7"/>
      <c r="P6327" s="7"/>
      <c r="R6327" s="7"/>
      <c r="T6327" s="7"/>
      <c r="V6327" s="7"/>
      <c r="X6327" s="7"/>
    </row>
    <row r="6328" spans="2:24">
      <c r="B6328" s="7"/>
      <c r="D6328" s="7"/>
      <c r="F6328" s="7"/>
      <c r="H6328" s="7"/>
      <c r="J6328" s="7"/>
      <c r="L6328" s="7"/>
      <c r="N6328" s="7"/>
      <c r="P6328" s="7"/>
      <c r="R6328" s="7"/>
      <c r="T6328" s="7"/>
      <c r="V6328" s="7"/>
      <c r="X6328" s="7"/>
    </row>
    <row r="6329" spans="2:24">
      <c r="B6329" s="7"/>
      <c r="D6329" s="7"/>
      <c r="F6329" s="7"/>
      <c r="H6329" s="7"/>
      <c r="J6329" s="7"/>
      <c r="L6329" s="7"/>
      <c r="N6329" s="7"/>
      <c r="P6329" s="7"/>
      <c r="R6329" s="7"/>
      <c r="T6329" s="7"/>
      <c r="V6329" s="7"/>
      <c r="X6329" s="7"/>
    </row>
    <row r="6330" spans="2:24">
      <c r="B6330" s="7"/>
      <c r="D6330" s="7"/>
      <c r="F6330" s="7"/>
      <c r="H6330" s="7"/>
      <c r="J6330" s="7"/>
      <c r="L6330" s="7"/>
      <c r="N6330" s="7"/>
      <c r="P6330" s="7"/>
      <c r="R6330" s="7"/>
      <c r="T6330" s="7"/>
      <c r="V6330" s="7"/>
      <c r="X6330" s="7"/>
    </row>
    <row r="6331" spans="2:24">
      <c r="B6331" s="7"/>
      <c r="D6331" s="7"/>
      <c r="F6331" s="7"/>
      <c r="H6331" s="7"/>
      <c r="J6331" s="7"/>
      <c r="L6331" s="7"/>
      <c r="N6331" s="7"/>
      <c r="P6331" s="7"/>
      <c r="R6331" s="7"/>
      <c r="T6331" s="7"/>
      <c r="V6331" s="7"/>
      <c r="X6331" s="7"/>
    </row>
    <row r="6332" spans="2:24">
      <c r="B6332" s="7"/>
      <c r="D6332" s="7"/>
      <c r="F6332" s="7"/>
      <c r="H6332" s="7"/>
      <c r="J6332" s="7"/>
      <c r="L6332" s="7"/>
      <c r="N6332" s="7"/>
      <c r="P6332" s="7"/>
      <c r="R6332" s="7"/>
      <c r="T6332" s="7"/>
      <c r="V6332" s="7"/>
      <c r="X6332" s="7"/>
    </row>
    <row r="6333" spans="2:24">
      <c r="B6333" s="7"/>
      <c r="D6333" s="7"/>
      <c r="F6333" s="7"/>
      <c r="H6333" s="7"/>
      <c r="J6333" s="7"/>
      <c r="L6333" s="7"/>
      <c r="N6333" s="7"/>
      <c r="P6333" s="7"/>
      <c r="R6333" s="7"/>
      <c r="T6333" s="7"/>
      <c r="V6333" s="7"/>
      <c r="X6333" s="7"/>
    </row>
    <row r="6334" spans="2:24">
      <c r="B6334" s="7"/>
      <c r="D6334" s="7"/>
      <c r="F6334" s="7"/>
      <c r="H6334" s="7"/>
      <c r="J6334" s="7"/>
      <c r="L6334" s="7"/>
      <c r="N6334" s="7"/>
      <c r="P6334" s="7"/>
      <c r="R6334" s="7"/>
      <c r="T6334" s="7"/>
      <c r="V6334" s="7"/>
      <c r="X6334" s="7"/>
    </row>
    <row r="6335" spans="2:24">
      <c r="B6335" s="7"/>
      <c r="D6335" s="7"/>
      <c r="F6335" s="7"/>
      <c r="H6335" s="7"/>
      <c r="J6335" s="7"/>
      <c r="L6335" s="7"/>
      <c r="N6335" s="7"/>
      <c r="P6335" s="7"/>
      <c r="R6335" s="7"/>
      <c r="T6335" s="7"/>
      <c r="V6335" s="7"/>
      <c r="X6335" s="7"/>
    </row>
    <row r="6336" spans="2:24">
      <c r="B6336" s="7"/>
      <c r="D6336" s="7"/>
      <c r="F6336" s="7"/>
      <c r="H6336" s="7"/>
      <c r="J6336" s="7"/>
      <c r="L6336" s="7"/>
      <c r="N6336" s="7"/>
      <c r="P6336" s="7"/>
      <c r="R6336" s="7"/>
      <c r="T6336" s="7"/>
      <c r="V6336" s="7"/>
      <c r="X6336" s="7"/>
    </row>
    <row r="6337" spans="2:24">
      <c r="B6337" s="7"/>
      <c r="D6337" s="7"/>
      <c r="F6337" s="7"/>
      <c r="H6337" s="7"/>
      <c r="J6337" s="7"/>
      <c r="L6337" s="7"/>
      <c r="N6337" s="7"/>
      <c r="P6337" s="7"/>
      <c r="R6337" s="7"/>
      <c r="T6337" s="7"/>
      <c r="V6337" s="7"/>
      <c r="X6337" s="7"/>
    </row>
    <row r="6338" spans="2:24">
      <c r="B6338" s="7"/>
      <c r="D6338" s="7"/>
      <c r="F6338" s="7"/>
      <c r="H6338" s="7"/>
      <c r="J6338" s="7"/>
      <c r="L6338" s="7"/>
      <c r="N6338" s="7"/>
      <c r="P6338" s="7"/>
      <c r="R6338" s="7"/>
      <c r="T6338" s="7"/>
      <c r="V6338" s="7"/>
      <c r="X6338" s="7"/>
    </row>
    <row r="6339" spans="2:24">
      <c r="B6339" s="7"/>
      <c r="D6339" s="7"/>
      <c r="F6339" s="7"/>
      <c r="H6339" s="7"/>
      <c r="J6339" s="7"/>
      <c r="L6339" s="7"/>
      <c r="N6339" s="7"/>
      <c r="P6339" s="7"/>
      <c r="R6339" s="7"/>
      <c r="T6339" s="7"/>
      <c r="V6339" s="7"/>
      <c r="X6339" s="7"/>
    </row>
    <row r="6340" spans="2:24">
      <c r="B6340" s="7"/>
      <c r="D6340" s="7"/>
      <c r="F6340" s="7"/>
      <c r="H6340" s="7"/>
      <c r="J6340" s="7"/>
      <c r="L6340" s="7"/>
      <c r="N6340" s="7"/>
      <c r="P6340" s="7"/>
      <c r="R6340" s="7"/>
      <c r="T6340" s="7"/>
      <c r="V6340" s="7"/>
      <c r="X6340" s="7"/>
    </row>
    <row r="6341" spans="2:24">
      <c r="B6341" s="7"/>
      <c r="D6341" s="7"/>
      <c r="F6341" s="7"/>
      <c r="H6341" s="7"/>
      <c r="J6341" s="7"/>
      <c r="L6341" s="7"/>
      <c r="N6341" s="7"/>
      <c r="P6341" s="7"/>
      <c r="R6341" s="7"/>
      <c r="T6341" s="7"/>
      <c r="V6341" s="7"/>
      <c r="X6341" s="7"/>
    </row>
    <row r="6342" spans="2:24">
      <c r="B6342" s="7"/>
      <c r="D6342" s="7"/>
      <c r="F6342" s="7"/>
      <c r="H6342" s="7"/>
      <c r="J6342" s="7"/>
      <c r="L6342" s="7"/>
      <c r="N6342" s="7"/>
      <c r="P6342" s="7"/>
      <c r="R6342" s="7"/>
      <c r="T6342" s="7"/>
      <c r="V6342" s="7"/>
      <c r="X6342" s="7"/>
    </row>
    <row r="6343" spans="2:24">
      <c r="B6343" s="7"/>
      <c r="D6343" s="7"/>
      <c r="F6343" s="7"/>
      <c r="H6343" s="7"/>
      <c r="J6343" s="7"/>
      <c r="L6343" s="7"/>
      <c r="N6343" s="7"/>
      <c r="P6343" s="7"/>
      <c r="R6343" s="7"/>
      <c r="T6343" s="7"/>
      <c r="V6343" s="7"/>
      <c r="X6343" s="7"/>
    </row>
    <row r="6344" spans="2:24">
      <c r="B6344" s="7"/>
      <c r="D6344" s="7"/>
      <c r="F6344" s="7"/>
      <c r="H6344" s="7"/>
      <c r="J6344" s="7"/>
      <c r="L6344" s="7"/>
      <c r="N6344" s="7"/>
      <c r="P6344" s="7"/>
      <c r="R6344" s="7"/>
      <c r="T6344" s="7"/>
      <c r="V6344" s="7"/>
      <c r="X6344" s="7"/>
    </row>
    <row r="6345" spans="2:24">
      <c r="B6345" s="7"/>
      <c r="D6345" s="7"/>
      <c r="F6345" s="7"/>
      <c r="H6345" s="7"/>
      <c r="J6345" s="7"/>
      <c r="L6345" s="7"/>
      <c r="N6345" s="7"/>
      <c r="P6345" s="7"/>
      <c r="R6345" s="7"/>
      <c r="T6345" s="7"/>
      <c r="V6345" s="7"/>
      <c r="X6345" s="7"/>
    </row>
    <row r="6346" spans="2:24">
      <c r="B6346" s="7"/>
      <c r="D6346" s="7"/>
      <c r="F6346" s="7"/>
      <c r="H6346" s="7"/>
      <c r="J6346" s="7"/>
      <c r="L6346" s="7"/>
      <c r="N6346" s="7"/>
      <c r="P6346" s="7"/>
      <c r="R6346" s="7"/>
      <c r="T6346" s="7"/>
      <c r="V6346" s="7"/>
      <c r="X6346" s="7"/>
    </row>
    <row r="6347" spans="2:24">
      <c r="B6347" s="7"/>
      <c r="D6347" s="7"/>
      <c r="F6347" s="7"/>
      <c r="H6347" s="7"/>
      <c r="J6347" s="7"/>
      <c r="L6347" s="7"/>
      <c r="N6347" s="7"/>
      <c r="P6347" s="7"/>
      <c r="R6347" s="7"/>
      <c r="T6347" s="7"/>
      <c r="V6347" s="7"/>
      <c r="X6347" s="7"/>
    </row>
    <row r="6348" spans="2:24">
      <c r="B6348" s="7"/>
      <c r="D6348" s="7"/>
      <c r="F6348" s="7"/>
      <c r="H6348" s="7"/>
      <c r="J6348" s="7"/>
      <c r="L6348" s="7"/>
      <c r="N6348" s="7"/>
      <c r="P6348" s="7"/>
      <c r="R6348" s="7"/>
      <c r="T6348" s="7"/>
      <c r="V6348" s="7"/>
      <c r="X6348" s="7"/>
    </row>
    <row r="6349" spans="2:24">
      <c r="B6349" s="7"/>
      <c r="D6349" s="7"/>
      <c r="F6349" s="7"/>
      <c r="H6349" s="7"/>
      <c r="J6349" s="7"/>
      <c r="L6349" s="7"/>
      <c r="N6349" s="7"/>
      <c r="P6349" s="7"/>
      <c r="R6349" s="7"/>
      <c r="T6349" s="7"/>
      <c r="V6349" s="7"/>
      <c r="X6349" s="7"/>
    </row>
    <row r="6350" spans="2:24">
      <c r="B6350" s="7"/>
      <c r="D6350" s="7"/>
      <c r="F6350" s="7"/>
      <c r="H6350" s="7"/>
      <c r="J6350" s="7"/>
      <c r="L6350" s="7"/>
      <c r="N6350" s="7"/>
      <c r="P6350" s="7"/>
      <c r="R6350" s="7"/>
      <c r="T6350" s="7"/>
      <c r="V6350" s="7"/>
      <c r="X6350" s="7"/>
    </row>
    <row r="6351" spans="2:24">
      <c r="B6351" s="7"/>
      <c r="D6351" s="7"/>
      <c r="F6351" s="7"/>
      <c r="H6351" s="7"/>
      <c r="J6351" s="7"/>
      <c r="L6351" s="7"/>
      <c r="N6351" s="7"/>
      <c r="P6351" s="7"/>
      <c r="R6351" s="7"/>
      <c r="T6351" s="7"/>
      <c r="V6351" s="7"/>
      <c r="X6351" s="7"/>
    </row>
    <row r="6352" spans="2:24">
      <c r="B6352" s="7"/>
      <c r="D6352" s="7"/>
      <c r="F6352" s="7"/>
      <c r="H6352" s="7"/>
      <c r="J6352" s="7"/>
      <c r="L6352" s="7"/>
      <c r="N6352" s="7"/>
      <c r="P6352" s="7"/>
      <c r="R6352" s="7"/>
      <c r="T6352" s="7"/>
      <c r="V6352" s="7"/>
      <c r="X6352" s="7"/>
    </row>
    <row r="6353" spans="2:24">
      <c r="B6353" s="7"/>
      <c r="D6353" s="7"/>
      <c r="F6353" s="7"/>
      <c r="H6353" s="7"/>
      <c r="J6353" s="7"/>
      <c r="L6353" s="7"/>
      <c r="N6353" s="7"/>
      <c r="P6353" s="7"/>
      <c r="R6353" s="7"/>
      <c r="T6353" s="7"/>
      <c r="V6353" s="7"/>
      <c r="X6353" s="7"/>
    </row>
    <row r="6354" spans="2:24">
      <c r="B6354" s="7"/>
      <c r="D6354" s="7"/>
      <c r="F6354" s="7"/>
      <c r="H6354" s="7"/>
      <c r="J6354" s="7"/>
      <c r="L6354" s="7"/>
      <c r="N6354" s="7"/>
      <c r="P6354" s="7"/>
      <c r="R6354" s="7"/>
      <c r="T6354" s="7"/>
      <c r="V6354" s="7"/>
      <c r="X6354" s="7"/>
    </row>
    <row r="6355" spans="2:24">
      <c r="B6355" s="7"/>
      <c r="D6355" s="7"/>
      <c r="F6355" s="7"/>
      <c r="H6355" s="7"/>
      <c r="J6355" s="7"/>
      <c r="L6355" s="7"/>
      <c r="N6355" s="7"/>
      <c r="P6355" s="7"/>
      <c r="R6355" s="7"/>
      <c r="T6355" s="7"/>
      <c r="V6355" s="7"/>
      <c r="X6355" s="7"/>
    </row>
    <row r="6356" spans="2:24">
      <c r="B6356" s="7"/>
      <c r="D6356" s="7"/>
      <c r="F6356" s="7"/>
      <c r="H6356" s="7"/>
      <c r="J6356" s="7"/>
      <c r="L6356" s="7"/>
      <c r="N6356" s="7"/>
      <c r="P6356" s="7"/>
      <c r="R6356" s="7"/>
      <c r="T6356" s="7"/>
      <c r="V6356" s="7"/>
      <c r="X6356" s="7"/>
    </row>
    <row r="6357" spans="2:24">
      <c r="B6357" s="7"/>
      <c r="D6357" s="7"/>
      <c r="F6357" s="7"/>
      <c r="H6357" s="7"/>
      <c r="J6357" s="7"/>
      <c r="L6357" s="7"/>
      <c r="N6357" s="7"/>
      <c r="P6357" s="7"/>
      <c r="R6357" s="7"/>
      <c r="T6357" s="7"/>
      <c r="V6357" s="7"/>
      <c r="X6357" s="7"/>
    </row>
    <row r="6358" spans="2:24">
      <c r="B6358" s="7"/>
      <c r="D6358" s="7"/>
      <c r="F6358" s="7"/>
      <c r="H6358" s="7"/>
      <c r="J6358" s="7"/>
      <c r="L6358" s="7"/>
      <c r="N6358" s="7"/>
      <c r="P6358" s="7"/>
      <c r="R6358" s="7"/>
      <c r="T6358" s="7"/>
      <c r="V6358" s="7"/>
      <c r="X6358" s="7"/>
    </row>
    <row r="6359" spans="2:24">
      <c r="B6359" s="7"/>
      <c r="D6359" s="7"/>
      <c r="F6359" s="7"/>
      <c r="H6359" s="7"/>
      <c r="J6359" s="7"/>
      <c r="L6359" s="7"/>
      <c r="N6359" s="7"/>
      <c r="P6359" s="7"/>
      <c r="R6359" s="7"/>
      <c r="T6359" s="7"/>
      <c r="V6359" s="7"/>
      <c r="X6359" s="7"/>
    </row>
    <row r="6360" spans="2:24">
      <c r="B6360" s="7"/>
      <c r="D6360" s="7"/>
      <c r="F6360" s="7"/>
      <c r="H6360" s="7"/>
      <c r="J6360" s="7"/>
      <c r="L6360" s="7"/>
      <c r="N6360" s="7"/>
      <c r="P6360" s="7"/>
      <c r="R6360" s="7"/>
      <c r="T6360" s="7"/>
      <c r="V6360" s="7"/>
      <c r="X6360" s="7"/>
    </row>
    <row r="6361" spans="2:24">
      <c r="B6361" s="7"/>
      <c r="D6361" s="7"/>
      <c r="F6361" s="7"/>
      <c r="H6361" s="7"/>
      <c r="J6361" s="7"/>
      <c r="L6361" s="7"/>
      <c r="N6361" s="7"/>
      <c r="P6361" s="7"/>
      <c r="R6361" s="7"/>
      <c r="T6361" s="7"/>
      <c r="V6361" s="7"/>
      <c r="X6361" s="7"/>
    </row>
    <row r="6362" spans="2:24">
      <c r="B6362" s="7"/>
      <c r="D6362" s="7"/>
      <c r="F6362" s="7"/>
      <c r="H6362" s="7"/>
      <c r="J6362" s="7"/>
      <c r="L6362" s="7"/>
      <c r="N6362" s="7"/>
      <c r="P6362" s="7"/>
      <c r="R6362" s="7"/>
      <c r="T6362" s="7"/>
      <c r="V6362" s="7"/>
      <c r="X6362" s="7"/>
    </row>
    <row r="6363" spans="2:24">
      <c r="B6363" s="7"/>
      <c r="D6363" s="7"/>
      <c r="F6363" s="7"/>
      <c r="H6363" s="7"/>
      <c r="J6363" s="7"/>
      <c r="L6363" s="7"/>
      <c r="N6363" s="7"/>
      <c r="P6363" s="7"/>
      <c r="R6363" s="7"/>
      <c r="T6363" s="7"/>
      <c r="V6363" s="7"/>
      <c r="X6363" s="7"/>
    </row>
    <row r="6364" spans="2:24">
      <c r="B6364" s="7"/>
      <c r="D6364" s="7"/>
      <c r="F6364" s="7"/>
      <c r="H6364" s="7"/>
      <c r="J6364" s="7"/>
      <c r="L6364" s="7"/>
      <c r="N6364" s="7"/>
      <c r="P6364" s="7"/>
      <c r="R6364" s="7"/>
      <c r="T6364" s="7"/>
      <c r="V6364" s="7"/>
      <c r="X6364" s="7"/>
    </row>
    <row r="6365" spans="2:24">
      <c r="B6365" s="7"/>
      <c r="D6365" s="7"/>
      <c r="F6365" s="7"/>
      <c r="H6365" s="7"/>
      <c r="J6365" s="7"/>
      <c r="L6365" s="7"/>
      <c r="N6365" s="7"/>
      <c r="P6365" s="7"/>
      <c r="R6365" s="7"/>
      <c r="T6365" s="7"/>
      <c r="V6365" s="7"/>
      <c r="X6365" s="7"/>
    </row>
    <row r="6366" spans="2:24">
      <c r="B6366" s="7"/>
      <c r="D6366" s="7"/>
      <c r="F6366" s="7"/>
      <c r="H6366" s="7"/>
      <c r="J6366" s="7"/>
      <c r="L6366" s="7"/>
      <c r="N6366" s="7"/>
      <c r="P6366" s="7"/>
      <c r="R6366" s="7"/>
      <c r="T6366" s="7"/>
      <c r="V6366" s="7"/>
      <c r="X6366" s="7"/>
    </row>
    <row r="6367" spans="2:24">
      <c r="B6367" s="7"/>
      <c r="D6367" s="7"/>
      <c r="F6367" s="7"/>
      <c r="H6367" s="7"/>
      <c r="J6367" s="7"/>
      <c r="L6367" s="7"/>
      <c r="N6367" s="7"/>
      <c r="P6367" s="7"/>
      <c r="R6367" s="7"/>
      <c r="T6367" s="7"/>
      <c r="V6367" s="7"/>
      <c r="X6367" s="7"/>
    </row>
    <row r="6368" spans="2:24">
      <c r="B6368" s="7"/>
      <c r="D6368" s="7"/>
      <c r="F6368" s="7"/>
      <c r="H6368" s="7"/>
      <c r="J6368" s="7"/>
      <c r="L6368" s="7"/>
      <c r="N6368" s="7"/>
      <c r="P6368" s="7"/>
      <c r="R6368" s="7"/>
      <c r="T6368" s="7"/>
      <c r="V6368" s="7"/>
      <c r="X6368" s="7"/>
    </row>
    <row r="6369" spans="2:24">
      <c r="B6369" s="7"/>
      <c r="D6369" s="7"/>
      <c r="F6369" s="7"/>
      <c r="H6369" s="7"/>
      <c r="J6369" s="7"/>
      <c r="L6369" s="7"/>
      <c r="N6369" s="7"/>
      <c r="P6369" s="7"/>
      <c r="R6369" s="7"/>
      <c r="T6369" s="7"/>
      <c r="V6369" s="7"/>
      <c r="X6369" s="7"/>
    </row>
    <row r="6370" spans="2:24">
      <c r="B6370" s="7"/>
      <c r="D6370" s="7"/>
      <c r="F6370" s="7"/>
      <c r="H6370" s="7"/>
      <c r="J6370" s="7"/>
      <c r="L6370" s="7"/>
      <c r="N6370" s="7"/>
      <c r="P6370" s="7"/>
      <c r="R6370" s="7"/>
      <c r="T6370" s="7"/>
      <c r="V6370" s="7"/>
      <c r="X6370" s="7"/>
    </row>
    <row r="6371" spans="2:24">
      <c r="B6371" s="7"/>
      <c r="D6371" s="7"/>
      <c r="F6371" s="7"/>
      <c r="H6371" s="7"/>
      <c r="J6371" s="7"/>
      <c r="L6371" s="7"/>
      <c r="N6371" s="7"/>
      <c r="P6371" s="7"/>
      <c r="R6371" s="7"/>
      <c r="T6371" s="7"/>
      <c r="V6371" s="7"/>
      <c r="X6371" s="7"/>
    </row>
    <row r="6372" spans="2:24">
      <c r="B6372" s="7"/>
      <c r="D6372" s="7"/>
      <c r="F6372" s="7"/>
      <c r="H6372" s="7"/>
      <c r="J6372" s="7"/>
      <c r="L6372" s="7"/>
      <c r="N6372" s="7"/>
      <c r="P6372" s="7"/>
      <c r="R6372" s="7"/>
      <c r="T6372" s="7"/>
      <c r="V6372" s="7"/>
      <c r="X6372" s="7"/>
    </row>
    <row r="6373" spans="2:24">
      <c r="B6373" s="7"/>
      <c r="D6373" s="7"/>
      <c r="F6373" s="7"/>
      <c r="H6373" s="7"/>
      <c r="J6373" s="7"/>
      <c r="L6373" s="7"/>
      <c r="N6373" s="7"/>
      <c r="P6373" s="7"/>
      <c r="R6373" s="7"/>
      <c r="T6373" s="7"/>
      <c r="V6373" s="7"/>
      <c r="X6373" s="7"/>
    </row>
    <row r="6374" spans="2:24">
      <c r="B6374" s="7"/>
      <c r="D6374" s="7"/>
      <c r="F6374" s="7"/>
      <c r="H6374" s="7"/>
      <c r="J6374" s="7"/>
      <c r="L6374" s="7"/>
      <c r="N6374" s="7"/>
      <c r="P6374" s="7"/>
      <c r="R6374" s="7"/>
      <c r="T6374" s="7"/>
      <c r="V6374" s="7"/>
      <c r="X6374" s="7"/>
    </row>
    <row r="6375" spans="2:24">
      <c r="B6375" s="7"/>
      <c r="D6375" s="7"/>
      <c r="F6375" s="7"/>
      <c r="H6375" s="7"/>
      <c r="J6375" s="7"/>
      <c r="L6375" s="7"/>
      <c r="N6375" s="7"/>
      <c r="P6375" s="7"/>
      <c r="R6375" s="7"/>
      <c r="T6375" s="7"/>
      <c r="V6375" s="7"/>
      <c r="X6375" s="7"/>
    </row>
    <row r="6376" spans="2:24">
      <c r="B6376" s="7"/>
      <c r="D6376" s="7"/>
      <c r="F6376" s="7"/>
      <c r="H6376" s="7"/>
      <c r="J6376" s="7"/>
      <c r="L6376" s="7"/>
      <c r="N6376" s="7"/>
      <c r="P6376" s="7"/>
      <c r="R6376" s="7"/>
      <c r="T6376" s="7"/>
      <c r="V6376" s="7"/>
      <c r="X6376" s="7"/>
    </row>
    <row r="6377" spans="2:24">
      <c r="B6377" s="7"/>
      <c r="D6377" s="7"/>
      <c r="F6377" s="7"/>
      <c r="H6377" s="7"/>
      <c r="J6377" s="7"/>
      <c r="L6377" s="7"/>
      <c r="N6377" s="7"/>
      <c r="P6377" s="7"/>
      <c r="R6377" s="7"/>
      <c r="T6377" s="7"/>
      <c r="V6377" s="7"/>
      <c r="X6377" s="7"/>
    </row>
    <row r="6378" spans="2:24">
      <c r="B6378" s="7"/>
      <c r="D6378" s="7"/>
      <c r="F6378" s="7"/>
      <c r="H6378" s="7"/>
      <c r="J6378" s="7"/>
      <c r="L6378" s="7"/>
      <c r="N6378" s="7"/>
      <c r="P6378" s="7"/>
      <c r="R6378" s="7"/>
      <c r="T6378" s="7"/>
      <c r="V6378" s="7"/>
      <c r="X6378" s="7"/>
    </row>
    <row r="6379" spans="2:24">
      <c r="B6379" s="7"/>
      <c r="D6379" s="7"/>
      <c r="F6379" s="7"/>
      <c r="H6379" s="7"/>
      <c r="J6379" s="7"/>
      <c r="L6379" s="7"/>
      <c r="N6379" s="7"/>
      <c r="P6379" s="7"/>
      <c r="R6379" s="7"/>
      <c r="T6379" s="7"/>
      <c r="V6379" s="7"/>
      <c r="X6379" s="7"/>
    </row>
    <row r="6380" spans="2:24">
      <c r="B6380" s="7"/>
      <c r="D6380" s="7"/>
      <c r="F6380" s="7"/>
      <c r="H6380" s="7"/>
      <c r="J6380" s="7"/>
      <c r="L6380" s="7"/>
      <c r="N6380" s="7"/>
      <c r="P6380" s="7"/>
      <c r="R6380" s="7"/>
      <c r="T6380" s="7"/>
      <c r="V6380" s="7"/>
      <c r="X6380" s="7"/>
    </row>
    <row r="6381" spans="2:24">
      <c r="B6381" s="7"/>
      <c r="D6381" s="7"/>
      <c r="F6381" s="7"/>
      <c r="H6381" s="7"/>
      <c r="J6381" s="7"/>
      <c r="L6381" s="7"/>
      <c r="N6381" s="7"/>
      <c r="P6381" s="7"/>
      <c r="R6381" s="7"/>
      <c r="T6381" s="7"/>
      <c r="V6381" s="7"/>
      <c r="X6381" s="7"/>
    </row>
    <row r="6382" spans="2:24">
      <c r="B6382" s="7"/>
      <c r="D6382" s="7"/>
      <c r="F6382" s="7"/>
      <c r="H6382" s="7"/>
      <c r="J6382" s="7"/>
      <c r="L6382" s="7"/>
      <c r="N6382" s="7"/>
      <c r="P6382" s="7"/>
      <c r="R6382" s="7"/>
      <c r="T6382" s="7"/>
      <c r="V6382" s="7"/>
      <c r="X6382" s="7"/>
    </row>
    <row r="6383" spans="2:24">
      <c r="B6383" s="7"/>
      <c r="D6383" s="7"/>
      <c r="F6383" s="7"/>
      <c r="H6383" s="7"/>
      <c r="J6383" s="7"/>
      <c r="L6383" s="7"/>
      <c r="N6383" s="7"/>
      <c r="P6383" s="7"/>
      <c r="R6383" s="7"/>
      <c r="T6383" s="7"/>
      <c r="V6383" s="7"/>
      <c r="X6383" s="7"/>
    </row>
    <row r="6384" spans="2:24">
      <c r="B6384" s="7"/>
      <c r="D6384" s="7"/>
      <c r="F6384" s="7"/>
      <c r="H6384" s="7"/>
      <c r="J6384" s="7"/>
      <c r="L6384" s="7"/>
      <c r="N6384" s="7"/>
      <c r="P6384" s="7"/>
      <c r="R6384" s="7"/>
      <c r="T6384" s="7"/>
      <c r="V6384" s="7"/>
      <c r="X6384" s="7"/>
    </row>
    <row r="6385" spans="2:24">
      <c r="B6385" s="7"/>
      <c r="D6385" s="7"/>
      <c r="F6385" s="7"/>
      <c r="H6385" s="7"/>
      <c r="J6385" s="7"/>
      <c r="L6385" s="7"/>
      <c r="N6385" s="7"/>
      <c r="P6385" s="7"/>
      <c r="R6385" s="7"/>
      <c r="T6385" s="7"/>
      <c r="V6385" s="7"/>
      <c r="X6385" s="7"/>
    </row>
    <row r="6386" spans="2:24">
      <c r="B6386" s="7"/>
      <c r="D6386" s="7"/>
      <c r="F6386" s="7"/>
      <c r="H6386" s="7"/>
      <c r="J6386" s="7"/>
      <c r="L6386" s="7"/>
      <c r="N6386" s="7"/>
      <c r="P6386" s="7"/>
      <c r="R6386" s="7"/>
      <c r="T6386" s="7"/>
      <c r="V6386" s="7"/>
      <c r="X6386" s="7"/>
    </row>
    <row r="6387" spans="2:24">
      <c r="B6387" s="7"/>
      <c r="D6387" s="7"/>
      <c r="F6387" s="7"/>
      <c r="H6387" s="7"/>
      <c r="J6387" s="7"/>
      <c r="L6387" s="7"/>
      <c r="N6387" s="7"/>
      <c r="P6387" s="7"/>
      <c r="R6387" s="7"/>
      <c r="T6387" s="7"/>
      <c r="V6387" s="7"/>
      <c r="X6387" s="7"/>
    </row>
    <row r="6388" spans="2:24">
      <c r="B6388" s="7"/>
      <c r="D6388" s="7"/>
      <c r="F6388" s="7"/>
      <c r="H6388" s="7"/>
      <c r="J6388" s="7"/>
      <c r="L6388" s="7"/>
      <c r="N6388" s="7"/>
      <c r="P6388" s="7"/>
      <c r="R6388" s="7"/>
      <c r="T6388" s="7"/>
      <c r="V6388" s="7"/>
      <c r="X6388" s="7"/>
    </row>
    <row r="6389" spans="2:24">
      <c r="B6389" s="7"/>
      <c r="D6389" s="7"/>
      <c r="F6389" s="7"/>
      <c r="H6389" s="7"/>
      <c r="J6389" s="7"/>
      <c r="L6389" s="7"/>
      <c r="N6389" s="7"/>
      <c r="P6389" s="7"/>
      <c r="R6389" s="7"/>
      <c r="T6389" s="7"/>
      <c r="V6389" s="7"/>
      <c r="X6389" s="7"/>
    </row>
    <row r="6390" spans="2:24">
      <c r="B6390" s="7"/>
      <c r="D6390" s="7"/>
      <c r="F6390" s="7"/>
      <c r="H6390" s="7"/>
      <c r="J6390" s="7"/>
      <c r="L6390" s="7"/>
      <c r="N6390" s="7"/>
      <c r="P6390" s="7"/>
      <c r="R6390" s="7"/>
      <c r="T6390" s="7"/>
      <c r="V6390" s="7"/>
      <c r="X6390" s="7"/>
    </row>
    <row r="6391" spans="2:24">
      <c r="B6391" s="7"/>
      <c r="D6391" s="7"/>
      <c r="F6391" s="7"/>
      <c r="H6391" s="7"/>
      <c r="J6391" s="7"/>
      <c r="L6391" s="7"/>
      <c r="N6391" s="7"/>
      <c r="P6391" s="7"/>
      <c r="R6391" s="7"/>
      <c r="T6391" s="7"/>
      <c r="V6391" s="7"/>
      <c r="X6391" s="7"/>
    </row>
    <row r="6392" spans="2:24">
      <c r="B6392" s="7"/>
      <c r="D6392" s="7"/>
      <c r="F6392" s="7"/>
      <c r="H6392" s="7"/>
      <c r="J6392" s="7"/>
      <c r="L6392" s="7"/>
      <c r="N6392" s="7"/>
      <c r="P6392" s="7"/>
      <c r="R6392" s="7"/>
      <c r="T6392" s="7"/>
      <c r="V6392" s="7"/>
      <c r="X6392" s="7"/>
    </row>
    <row r="6393" spans="2:24">
      <c r="B6393" s="7"/>
      <c r="D6393" s="7"/>
      <c r="F6393" s="7"/>
      <c r="H6393" s="7"/>
      <c r="J6393" s="7"/>
      <c r="L6393" s="7"/>
      <c r="N6393" s="7"/>
      <c r="P6393" s="7"/>
      <c r="R6393" s="7"/>
      <c r="T6393" s="7"/>
      <c r="V6393" s="7"/>
      <c r="X6393" s="7"/>
    </row>
    <row r="6394" spans="2:24">
      <c r="B6394" s="7"/>
      <c r="D6394" s="7"/>
      <c r="F6394" s="7"/>
      <c r="H6394" s="7"/>
      <c r="J6394" s="7"/>
      <c r="L6394" s="7"/>
      <c r="N6394" s="7"/>
      <c r="P6394" s="7"/>
      <c r="R6394" s="7"/>
      <c r="T6394" s="7"/>
      <c r="V6394" s="7"/>
      <c r="X6394" s="7"/>
    </row>
    <row r="6395" spans="2:24">
      <c r="B6395" s="7"/>
      <c r="D6395" s="7"/>
      <c r="F6395" s="7"/>
      <c r="H6395" s="7"/>
      <c r="J6395" s="7"/>
      <c r="L6395" s="7"/>
      <c r="N6395" s="7"/>
      <c r="P6395" s="7"/>
      <c r="R6395" s="7"/>
      <c r="T6395" s="7"/>
      <c r="V6395" s="7"/>
      <c r="X6395" s="7"/>
    </row>
    <row r="6396" spans="2:24">
      <c r="B6396" s="7"/>
      <c r="D6396" s="7"/>
      <c r="F6396" s="7"/>
      <c r="H6396" s="7"/>
      <c r="J6396" s="7"/>
      <c r="L6396" s="7"/>
      <c r="N6396" s="7"/>
      <c r="P6396" s="7"/>
      <c r="R6396" s="7"/>
      <c r="T6396" s="7"/>
      <c r="V6396" s="7"/>
      <c r="X6396" s="7"/>
    </row>
    <row r="6397" spans="2:24">
      <c r="B6397" s="7"/>
      <c r="D6397" s="7"/>
      <c r="F6397" s="7"/>
      <c r="H6397" s="7"/>
      <c r="J6397" s="7"/>
      <c r="L6397" s="7"/>
      <c r="N6397" s="7"/>
      <c r="P6397" s="7"/>
      <c r="R6397" s="7"/>
      <c r="T6397" s="7"/>
      <c r="V6397" s="7"/>
      <c r="X6397" s="7"/>
    </row>
    <row r="6398" spans="2:24">
      <c r="B6398" s="7"/>
      <c r="D6398" s="7"/>
      <c r="F6398" s="7"/>
      <c r="H6398" s="7"/>
      <c r="J6398" s="7"/>
      <c r="L6398" s="7"/>
      <c r="N6398" s="7"/>
      <c r="P6398" s="7"/>
      <c r="R6398" s="7"/>
      <c r="T6398" s="7"/>
      <c r="V6398" s="7"/>
      <c r="X6398" s="7"/>
    </row>
    <row r="6399" spans="2:24">
      <c r="B6399" s="7"/>
      <c r="D6399" s="7"/>
      <c r="F6399" s="7"/>
      <c r="H6399" s="7"/>
      <c r="J6399" s="7"/>
      <c r="L6399" s="7"/>
      <c r="N6399" s="7"/>
      <c r="P6399" s="7"/>
      <c r="R6399" s="7"/>
      <c r="T6399" s="7"/>
      <c r="V6399" s="7"/>
      <c r="X6399" s="7"/>
    </row>
    <row r="6400" spans="2:24">
      <c r="B6400" s="7"/>
      <c r="D6400" s="7"/>
      <c r="F6400" s="7"/>
      <c r="H6400" s="7"/>
      <c r="J6400" s="7"/>
      <c r="L6400" s="7"/>
      <c r="N6400" s="7"/>
      <c r="P6400" s="7"/>
      <c r="R6400" s="7"/>
      <c r="T6400" s="7"/>
      <c r="V6400" s="7"/>
      <c r="X6400" s="7"/>
    </row>
    <row r="6401" spans="2:24">
      <c r="B6401" s="7"/>
      <c r="D6401" s="7"/>
      <c r="F6401" s="7"/>
      <c r="H6401" s="7"/>
      <c r="J6401" s="7"/>
      <c r="L6401" s="7"/>
      <c r="N6401" s="7"/>
      <c r="P6401" s="7"/>
      <c r="R6401" s="7"/>
      <c r="T6401" s="7"/>
      <c r="V6401" s="7"/>
      <c r="X6401" s="7"/>
    </row>
    <row r="6402" spans="2:24">
      <c r="B6402" s="7"/>
      <c r="D6402" s="7"/>
      <c r="F6402" s="7"/>
      <c r="H6402" s="7"/>
      <c r="J6402" s="7"/>
      <c r="L6402" s="7"/>
      <c r="N6402" s="7"/>
      <c r="P6402" s="7"/>
      <c r="R6402" s="7"/>
      <c r="T6402" s="7"/>
      <c r="V6402" s="7"/>
      <c r="X6402" s="7"/>
    </row>
    <row r="6403" spans="2:24">
      <c r="B6403" s="7"/>
      <c r="D6403" s="7"/>
      <c r="F6403" s="7"/>
      <c r="H6403" s="7"/>
      <c r="J6403" s="7"/>
      <c r="L6403" s="7"/>
      <c r="N6403" s="7"/>
      <c r="P6403" s="7"/>
      <c r="R6403" s="7"/>
      <c r="T6403" s="7"/>
      <c r="V6403" s="7"/>
      <c r="X6403" s="7"/>
    </row>
    <row r="6404" spans="2:24">
      <c r="B6404" s="7"/>
      <c r="D6404" s="7"/>
      <c r="F6404" s="7"/>
      <c r="H6404" s="7"/>
      <c r="J6404" s="7"/>
      <c r="L6404" s="7"/>
      <c r="N6404" s="7"/>
      <c r="P6404" s="7"/>
      <c r="R6404" s="7"/>
      <c r="T6404" s="7"/>
      <c r="V6404" s="7"/>
      <c r="X6404" s="7"/>
    </row>
    <row r="6405" spans="2:24">
      <c r="B6405" s="7"/>
      <c r="D6405" s="7"/>
      <c r="F6405" s="7"/>
      <c r="H6405" s="7"/>
      <c r="J6405" s="7"/>
      <c r="L6405" s="7"/>
      <c r="N6405" s="7"/>
      <c r="P6405" s="7"/>
      <c r="R6405" s="7"/>
      <c r="T6405" s="7"/>
      <c r="V6405" s="7"/>
      <c r="X6405" s="7"/>
    </row>
    <row r="6406" spans="2:24">
      <c r="B6406" s="7"/>
      <c r="D6406" s="7"/>
      <c r="F6406" s="7"/>
      <c r="H6406" s="7"/>
      <c r="J6406" s="7"/>
      <c r="L6406" s="7"/>
      <c r="N6406" s="7"/>
      <c r="P6406" s="7"/>
      <c r="R6406" s="7"/>
      <c r="T6406" s="7"/>
      <c r="V6406" s="7"/>
      <c r="X6406" s="7"/>
    </row>
    <row r="6407" spans="2:24">
      <c r="B6407" s="7"/>
      <c r="D6407" s="7"/>
      <c r="F6407" s="7"/>
      <c r="H6407" s="7"/>
      <c r="J6407" s="7"/>
      <c r="L6407" s="7"/>
      <c r="N6407" s="7"/>
      <c r="P6407" s="7"/>
      <c r="R6407" s="7"/>
      <c r="T6407" s="7"/>
      <c r="V6407" s="7"/>
      <c r="X6407" s="7"/>
    </row>
    <row r="6408" spans="2:24">
      <c r="B6408" s="7"/>
      <c r="D6408" s="7"/>
      <c r="F6408" s="7"/>
      <c r="H6408" s="7"/>
      <c r="J6408" s="7"/>
      <c r="L6408" s="7"/>
      <c r="N6408" s="7"/>
      <c r="P6408" s="7"/>
      <c r="R6408" s="7"/>
      <c r="T6408" s="7"/>
      <c r="V6408" s="7"/>
      <c r="X6408" s="7"/>
    </row>
    <row r="6409" spans="2:24">
      <c r="B6409" s="7"/>
      <c r="D6409" s="7"/>
      <c r="F6409" s="7"/>
      <c r="H6409" s="7"/>
      <c r="J6409" s="7"/>
      <c r="L6409" s="7"/>
      <c r="N6409" s="7"/>
      <c r="P6409" s="7"/>
      <c r="R6409" s="7"/>
      <c r="T6409" s="7"/>
      <c r="V6409" s="7"/>
      <c r="X6409" s="7"/>
    </row>
    <row r="6410" spans="2:24">
      <c r="B6410" s="7"/>
      <c r="D6410" s="7"/>
      <c r="F6410" s="7"/>
      <c r="H6410" s="7"/>
      <c r="J6410" s="7"/>
      <c r="L6410" s="7"/>
      <c r="N6410" s="7"/>
      <c r="P6410" s="7"/>
      <c r="R6410" s="7"/>
      <c r="T6410" s="7"/>
      <c r="V6410" s="7"/>
      <c r="X6410" s="7"/>
    </row>
    <row r="6411" spans="2:24">
      <c r="B6411" s="7"/>
      <c r="D6411" s="7"/>
      <c r="F6411" s="7"/>
      <c r="H6411" s="7"/>
      <c r="J6411" s="7"/>
      <c r="L6411" s="7"/>
      <c r="N6411" s="7"/>
      <c r="P6411" s="7"/>
      <c r="R6411" s="7"/>
      <c r="T6411" s="7"/>
      <c r="V6411" s="7"/>
      <c r="X6411" s="7"/>
    </row>
    <row r="6412" spans="2:24">
      <c r="B6412" s="7"/>
      <c r="D6412" s="7"/>
      <c r="F6412" s="7"/>
      <c r="H6412" s="7"/>
      <c r="J6412" s="7"/>
      <c r="L6412" s="7"/>
      <c r="N6412" s="7"/>
      <c r="P6412" s="7"/>
      <c r="R6412" s="7"/>
      <c r="T6412" s="7"/>
      <c r="V6412" s="7"/>
      <c r="X6412" s="7"/>
    </row>
    <row r="6413" spans="2:24">
      <c r="B6413" s="7"/>
      <c r="D6413" s="7"/>
      <c r="F6413" s="7"/>
      <c r="H6413" s="7"/>
      <c r="J6413" s="7"/>
      <c r="L6413" s="7"/>
      <c r="N6413" s="7"/>
      <c r="P6413" s="7"/>
      <c r="R6413" s="7"/>
      <c r="T6413" s="7"/>
      <c r="V6413" s="7"/>
      <c r="X6413" s="7"/>
    </row>
    <row r="6414" spans="2:24">
      <c r="B6414" s="7"/>
      <c r="D6414" s="7"/>
      <c r="F6414" s="7"/>
      <c r="H6414" s="7"/>
      <c r="J6414" s="7"/>
      <c r="L6414" s="7"/>
      <c r="N6414" s="7"/>
      <c r="P6414" s="7"/>
      <c r="R6414" s="7"/>
      <c r="T6414" s="7"/>
      <c r="V6414" s="7"/>
      <c r="X6414" s="7"/>
    </row>
    <row r="6415" spans="2:24">
      <c r="B6415" s="7"/>
      <c r="D6415" s="7"/>
      <c r="F6415" s="7"/>
      <c r="H6415" s="7"/>
      <c r="J6415" s="7"/>
      <c r="L6415" s="7"/>
      <c r="N6415" s="7"/>
      <c r="P6415" s="7"/>
      <c r="R6415" s="7"/>
      <c r="T6415" s="7"/>
      <c r="V6415" s="7"/>
      <c r="X6415" s="7"/>
    </row>
    <row r="6416" spans="2:24">
      <c r="B6416" s="7"/>
      <c r="D6416" s="7"/>
      <c r="F6416" s="7"/>
      <c r="H6416" s="7"/>
      <c r="J6416" s="7"/>
      <c r="L6416" s="7"/>
      <c r="N6416" s="7"/>
      <c r="P6416" s="7"/>
      <c r="R6416" s="7"/>
      <c r="T6416" s="7"/>
      <c r="V6416" s="7"/>
      <c r="X6416" s="7"/>
    </row>
    <row r="6417" spans="2:24">
      <c r="B6417" s="7"/>
      <c r="D6417" s="7"/>
      <c r="F6417" s="7"/>
      <c r="H6417" s="7"/>
      <c r="J6417" s="7"/>
      <c r="L6417" s="7"/>
      <c r="N6417" s="7"/>
      <c r="P6417" s="7"/>
      <c r="R6417" s="7"/>
      <c r="T6417" s="7"/>
      <c r="V6417" s="7"/>
      <c r="X6417" s="7"/>
    </row>
    <row r="6418" spans="2:24">
      <c r="B6418" s="7"/>
      <c r="D6418" s="7"/>
      <c r="F6418" s="7"/>
      <c r="H6418" s="7"/>
      <c r="J6418" s="7"/>
      <c r="L6418" s="7"/>
      <c r="N6418" s="7"/>
      <c r="P6418" s="7"/>
      <c r="R6418" s="7"/>
      <c r="T6418" s="7"/>
      <c r="V6418" s="7"/>
      <c r="X6418" s="7"/>
    </row>
    <row r="6419" spans="2:24">
      <c r="B6419" s="7"/>
      <c r="D6419" s="7"/>
      <c r="F6419" s="7"/>
      <c r="H6419" s="7"/>
      <c r="J6419" s="7"/>
      <c r="L6419" s="7"/>
      <c r="N6419" s="7"/>
      <c r="P6419" s="7"/>
      <c r="R6419" s="7"/>
      <c r="T6419" s="7"/>
      <c r="V6419" s="7"/>
      <c r="X6419" s="7"/>
    </row>
    <row r="6420" spans="2:24">
      <c r="B6420" s="7"/>
      <c r="D6420" s="7"/>
      <c r="F6420" s="7"/>
      <c r="H6420" s="7"/>
      <c r="J6420" s="7"/>
      <c r="L6420" s="7"/>
      <c r="N6420" s="7"/>
      <c r="P6420" s="7"/>
      <c r="R6420" s="7"/>
      <c r="T6420" s="7"/>
      <c r="V6420" s="7"/>
      <c r="X6420" s="7"/>
    </row>
    <row r="6421" spans="2:24">
      <c r="B6421" s="7"/>
      <c r="D6421" s="7"/>
      <c r="F6421" s="7"/>
      <c r="H6421" s="7"/>
      <c r="J6421" s="7"/>
      <c r="L6421" s="7"/>
      <c r="N6421" s="7"/>
      <c r="P6421" s="7"/>
      <c r="R6421" s="7"/>
      <c r="T6421" s="7"/>
      <c r="V6421" s="7"/>
      <c r="X6421" s="7"/>
    </row>
    <row r="6422" spans="2:24">
      <c r="B6422" s="7"/>
      <c r="D6422" s="7"/>
      <c r="F6422" s="7"/>
      <c r="H6422" s="7"/>
      <c r="J6422" s="7"/>
      <c r="L6422" s="7"/>
      <c r="N6422" s="7"/>
      <c r="P6422" s="7"/>
      <c r="R6422" s="7"/>
      <c r="T6422" s="7"/>
      <c r="V6422" s="7"/>
      <c r="X6422" s="7"/>
    </row>
    <row r="6423" spans="2:24">
      <c r="B6423" s="7"/>
      <c r="D6423" s="7"/>
      <c r="F6423" s="7"/>
      <c r="H6423" s="7"/>
      <c r="J6423" s="7"/>
      <c r="L6423" s="7"/>
      <c r="N6423" s="7"/>
      <c r="P6423" s="7"/>
      <c r="R6423" s="7"/>
      <c r="T6423" s="7"/>
      <c r="V6423" s="7"/>
      <c r="X6423" s="7"/>
    </row>
    <row r="6424" spans="2:24">
      <c r="B6424" s="7"/>
      <c r="D6424" s="7"/>
      <c r="F6424" s="7"/>
      <c r="H6424" s="7"/>
      <c r="J6424" s="7"/>
      <c r="L6424" s="7"/>
      <c r="N6424" s="7"/>
      <c r="P6424" s="7"/>
      <c r="R6424" s="7"/>
      <c r="T6424" s="7"/>
      <c r="V6424" s="7"/>
      <c r="X6424" s="7"/>
    </row>
    <row r="6425" spans="2:24">
      <c r="B6425" s="7"/>
      <c r="D6425" s="7"/>
      <c r="F6425" s="7"/>
      <c r="H6425" s="7"/>
      <c r="J6425" s="7"/>
      <c r="L6425" s="7"/>
      <c r="N6425" s="7"/>
      <c r="P6425" s="7"/>
      <c r="R6425" s="7"/>
      <c r="T6425" s="7"/>
      <c r="V6425" s="7"/>
      <c r="X6425" s="7"/>
    </row>
    <row r="6426" spans="2:24">
      <c r="B6426" s="7"/>
      <c r="D6426" s="7"/>
      <c r="F6426" s="7"/>
      <c r="H6426" s="7"/>
      <c r="J6426" s="7"/>
      <c r="L6426" s="7"/>
      <c r="N6426" s="7"/>
      <c r="P6426" s="7"/>
      <c r="R6426" s="7"/>
      <c r="T6426" s="7"/>
      <c r="V6426" s="7"/>
      <c r="X6426" s="7"/>
    </row>
    <row r="6427" spans="2:24">
      <c r="B6427" s="7"/>
      <c r="D6427" s="7"/>
      <c r="F6427" s="7"/>
      <c r="H6427" s="7"/>
      <c r="J6427" s="7"/>
      <c r="L6427" s="7"/>
      <c r="N6427" s="7"/>
      <c r="P6427" s="7"/>
      <c r="R6427" s="7"/>
      <c r="T6427" s="7"/>
      <c r="V6427" s="7"/>
      <c r="X6427" s="7"/>
    </row>
    <row r="6428" spans="2:24">
      <c r="B6428" s="7"/>
      <c r="D6428" s="7"/>
      <c r="F6428" s="7"/>
      <c r="H6428" s="7"/>
      <c r="J6428" s="7"/>
      <c r="L6428" s="7"/>
      <c r="N6428" s="7"/>
      <c r="P6428" s="7"/>
      <c r="R6428" s="7"/>
      <c r="T6428" s="7"/>
      <c r="V6428" s="7"/>
      <c r="X6428" s="7"/>
    </row>
    <row r="6429" spans="2:24">
      <c r="B6429" s="7"/>
      <c r="D6429" s="7"/>
      <c r="F6429" s="7"/>
      <c r="H6429" s="7"/>
      <c r="J6429" s="7"/>
      <c r="L6429" s="7"/>
      <c r="N6429" s="7"/>
      <c r="P6429" s="7"/>
      <c r="R6429" s="7"/>
      <c r="T6429" s="7"/>
      <c r="V6429" s="7"/>
      <c r="X6429" s="7"/>
    </row>
    <row r="6430" spans="2:24">
      <c r="B6430" s="7"/>
      <c r="D6430" s="7"/>
      <c r="F6430" s="7"/>
      <c r="H6430" s="7"/>
      <c r="J6430" s="7"/>
      <c r="L6430" s="7"/>
      <c r="N6430" s="7"/>
      <c r="P6430" s="7"/>
      <c r="R6430" s="7"/>
      <c r="T6430" s="7"/>
      <c r="V6430" s="7"/>
      <c r="X6430" s="7"/>
    </row>
    <row r="6431" spans="2:24">
      <c r="B6431" s="7"/>
      <c r="D6431" s="7"/>
      <c r="F6431" s="7"/>
      <c r="H6431" s="7"/>
      <c r="J6431" s="7"/>
      <c r="L6431" s="7"/>
      <c r="N6431" s="7"/>
      <c r="P6431" s="7"/>
      <c r="R6431" s="7"/>
      <c r="T6431" s="7"/>
      <c r="V6431" s="7"/>
      <c r="X6431" s="7"/>
    </row>
    <row r="6432" spans="2:24">
      <c r="B6432" s="7"/>
      <c r="D6432" s="7"/>
      <c r="F6432" s="7"/>
      <c r="H6432" s="7"/>
      <c r="J6432" s="7"/>
      <c r="L6432" s="7"/>
      <c r="N6432" s="7"/>
      <c r="P6432" s="7"/>
      <c r="R6432" s="7"/>
      <c r="T6432" s="7"/>
      <c r="V6432" s="7"/>
      <c r="X6432" s="7"/>
    </row>
    <row r="6433" spans="2:24">
      <c r="B6433" s="7"/>
      <c r="D6433" s="7"/>
      <c r="F6433" s="7"/>
      <c r="H6433" s="7"/>
      <c r="J6433" s="7"/>
      <c r="L6433" s="7"/>
      <c r="N6433" s="7"/>
      <c r="P6433" s="7"/>
      <c r="R6433" s="7"/>
      <c r="T6433" s="7"/>
      <c r="V6433" s="7"/>
      <c r="X6433" s="7"/>
    </row>
    <row r="6434" spans="2:24">
      <c r="B6434" s="7"/>
      <c r="D6434" s="7"/>
      <c r="F6434" s="7"/>
      <c r="H6434" s="7"/>
      <c r="J6434" s="7"/>
      <c r="L6434" s="7"/>
      <c r="N6434" s="7"/>
      <c r="P6434" s="7"/>
      <c r="R6434" s="7"/>
      <c r="T6434" s="7"/>
      <c r="V6434" s="7"/>
      <c r="X6434" s="7"/>
    </row>
    <row r="6435" spans="2:24">
      <c r="B6435" s="7"/>
      <c r="D6435" s="7"/>
      <c r="F6435" s="7"/>
      <c r="H6435" s="7"/>
      <c r="J6435" s="7"/>
      <c r="L6435" s="7"/>
      <c r="N6435" s="7"/>
      <c r="P6435" s="7"/>
      <c r="R6435" s="7"/>
      <c r="T6435" s="7"/>
      <c r="V6435" s="7"/>
      <c r="X6435" s="7"/>
    </row>
    <row r="6436" spans="2:24">
      <c r="B6436" s="7"/>
      <c r="D6436" s="7"/>
      <c r="F6436" s="7"/>
      <c r="H6436" s="7"/>
      <c r="J6436" s="7"/>
      <c r="L6436" s="7"/>
      <c r="N6436" s="7"/>
      <c r="P6436" s="7"/>
      <c r="R6436" s="7"/>
      <c r="T6436" s="7"/>
      <c r="V6436" s="7"/>
      <c r="X6436" s="7"/>
    </row>
    <row r="6437" spans="2:24">
      <c r="B6437" s="7"/>
      <c r="D6437" s="7"/>
      <c r="F6437" s="7"/>
      <c r="H6437" s="7"/>
      <c r="J6437" s="7"/>
      <c r="L6437" s="7"/>
      <c r="N6437" s="7"/>
      <c r="P6437" s="7"/>
      <c r="R6437" s="7"/>
      <c r="T6437" s="7"/>
      <c r="V6437" s="7"/>
      <c r="X6437" s="7"/>
    </row>
    <row r="6438" spans="2:24">
      <c r="B6438" s="7"/>
      <c r="D6438" s="7"/>
      <c r="F6438" s="7"/>
      <c r="H6438" s="7"/>
      <c r="J6438" s="7"/>
      <c r="L6438" s="7"/>
      <c r="N6438" s="7"/>
      <c r="P6438" s="7"/>
      <c r="R6438" s="7"/>
      <c r="T6438" s="7"/>
      <c r="V6438" s="7"/>
      <c r="X6438" s="7"/>
    </row>
    <row r="6439" spans="2:24">
      <c r="B6439" s="7"/>
      <c r="D6439" s="7"/>
      <c r="F6439" s="7"/>
      <c r="H6439" s="7"/>
      <c r="J6439" s="7"/>
      <c r="L6439" s="7"/>
      <c r="N6439" s="7"/>
      <c r="P6439" s="7"/>
      <c r="R6439" s="7"/>
      <c r="T6439" s="7"/>
      <c r="V6439" s="7"/>
      <c r="X6439" s="7"/>
    </row>
    <row r="6440" spans="2:24">
      <c r="B6440" s="7"/>
      <c r="D6440" s="7"/>
      <c r="F6440" s="7"/>
      <c r="H6440" s="7"/>
      <c r="J6440" s="7"/>
      <c r="L6440" s="7"/>
      <c r="N6440" s="7"/>
      <c r="P6440" s="7"/>
      <c r="R6440" s="7"/>
      <c r="T6440" s="7"/>
      <c r="V6440" s="7"/>
      <c r="X6440" s="7"/>
    </row>
    <row r="6441" spans="2:24">
      <c r="B6441" s="7"/>
      <c r="D6441" s="7"/>
      <c r="F6441" s="7"/>
      <c r="H6441" s="7"/>
      <c r="J6441" s="7"/>
      <c r="L6441" s="7"/>
      <c r="N6441" s="7"/>
      <c r="P6441" s="7"/>
      <c r="R6441" s="7"/>
      <c r="T6441" s="7"/>
      <c r="V6441" s="7"/>
      <c r="X6441" s="7"/>
    </row>
    <row r="6442" spans="2:24">
      <c r="B6442" s="7"/>
      <c r="D6442" s="7"/>
      <c r="F6442" s="7"/>
      <c r="H6442" s="7"/>
      <c r="J6442" s="7"/>
      <c r="L6442" s="7"/>
      <c r="N6442" s="7"/>
      <c r="P6442" s="7"/>
      <c r="R6442" s="7"/>
      <c r="T6442" s="7"/>
      <c r="V6442" s="7"/>
      <c r="X6442" s="7"/>
    </row>
    <row r="6443" spans="2:24">
      <c r="B6443" s="7"/>
      <c r="D6443" s="7"/>
      <c r="F6443" s="7"/>
      <c r="H6443" s="7"/>
      <c r="J6443" s="7"/>
      <c r="L6443" s="7"/>
      <c r="N6443" s="7"/>
      <c r="P6443" s="7"/>
      <c r="R6443" s="7"/>
      <c r="T6443" s="7"/>
      <c r="V6443" s="7"/>
      <c r="X6443" s="7"/>
    </row>
    <row r="6444" spans="2:24">
      <c r="B6444" s="7"/>
      <c r="D6444" s="7"/>
      <c r="F6444" s="7"/>
      <c r="H6444" s="7"/>
      <c r="J6444" s="7"/>
      <c r="L6444" s="7"/>
      <c r="N6444" s="7"/>
      <c r="P6444" s="7"/>
      <c r="R6444" s="7"/>
      <c r="T6444" s="7"/>
      <c r="V6444" s="7"/>
      <c r="X6444" s="7"/>
    </row>
    <row r="6445" spans="2:24">
      <c r="B6445" s="7"/>
      <c r="D6445" s="7"/>
      <c r="F6445" s="7"/>
      <c r="H6445" s="7"/>
      <c r="J6445" s="7"/>
      <c r="L6445" s="7"/>
      <c r="N6445" s="7"/>
      <c r="P6445" s="7"/>
      <c r="R6445" s="7"/>
      <c r="T6445" s="7"/>
      <c r="V6445" s="7"/>
      <c r="X6445" s="7"/>
    </row>
    <row r="6446" spans="2:24">
      <c r="B6446" s="7"/>
      <c r="D6446" s="7"/>
      <c r="F6446" s="7"/>
      <c r="H6446" s="7"/>
      <c r="J6446" s="7"/>
      <c r="L6446" s="7"/>
      <c r="N6446" s="7"/>
      <c r="P6446" s="7"/>
      <c r="R6446" s="7"/>
      <c r="T6446" s="7"/>
      <c r="V6446" s="7"/>
      <c r="X6446" s="7"/>
    </row>
    <row r="6447" spans="2:24">
      <c r="B6447" s="7"/>
      <c r="D6447" s="7"/>
      <c r="F6447" s="7"/>
      <c r="H6447" s="7"/>
      <c r="J6447" s="7"/>
      <c r="L6447" s="7"/>
      <c r="N6447" s="7"/>
      <c r="P6447" s="7"/>
      <c r="R6447" s="7"/>
      <c r="T6447" s="7"/>
      <c r="V6447" s="7"/>
      <c r="X6447" s="7"/>
    </row>
    <row r="6448" spans="2:24">
      <c r="B6448" s="7"/>
      <c r="D6448" s="7"/>
      <c r="F6448" s="7"/>
      <c r="H6448" s="7"/>
      <c r="J6448" s="7"/>
      <c r="L6448" s="7"/>
      <c r="N6448" s="7"/>
      <c r="P6448" s="7"/>
      <c r="R6448" s="7"/>
      <c r="T6448" s="7"/>
      <c r="V6448" s="7"/>
      <c r="X6448" s="7"/>
    </row>
    <row r="6449" spans="2:24">
      <c r="B6449" s="7"/>
      <c r="D6449" s="7"/>
      <c r="F6449" s="7"/>
      <c r="H6449" s="7"/>
      <c r="J6449" s="7"/>
      <c r="L6449" s="7"/>
      <c r="N6449" s="7"/>
      <c r="P6449" s="7"/>
      <c r="R6449" s="7"/>
      <c r="T6449" s="7"/>
      <c r="V6449" s="7"/>
      <c r="X6449" s="7"/>
    </row>
    <row r="6450" spans="2:24">
      <c r="B6450" s="7"/>
      <c r="D6450" s="7"/>
      <c r="F6450" s="7"/>
      <c r="H6450" s="7"/>
      <c r="J6450" s="7"/>
      <c r="L6450" s="7"/>
      <c r="N6450" s="7"/>
      <c r="P6450" s="7"/>
      <c r="R6450" s="7"/>
      <c r="T6450" s="7"/>
      <c r="V6450" s="7"/>
      <c r="X6450" s="7"/>
    </row>
    <row r="6451" spans="2:24">
      <c r="B6451" s="7"/>
      <c r="D6451" s="7"/>
      <c r="F6451" s="7"/>
      <c r="H6451" s="7"/>
      <c r="J6451" s="7"/>
      <c r="L6451" s="7"/>
      <c r="N6451" s="7"/>
      <c r="P6451" s="7"/>
      <c r="R6451" s="7"/>
      <c r="T6451" s="7"/>
      <c r="V6451" s="7"/>
      <c r="X6451" s="7"/>
    </row>
    <row r="6452" spans="2:24">
      <c r="B6452" s="7"/>
      <c r="D6452" s="7"/>
      <c r="F6452" s="7"/>
      <c r="H6452" s="7"/>
      <c r="J6452" s="7"/>
      <c r="L6452" s="7"/>
      <c r="N6452" s="7"/>
      <c r="P6452" s="7"/>
      <c r="R6452" s="7"/>
      <c r="T6452" s="7"/>
      <c r="V6452" s="7"/>
      <c r="X6452" s="7"/>
    </row>
    <row r="6453" spans="2:24">
      <c r="B6453" s="7"/>
      <c r="D6453" s="7"/>
      <c r="F6453" s="7"/>
      <c r="H6453" s="7"/>
      <c r="J6453" s="7"/>
      <c r="L6453" s="7"/>
      <c r="N6453" s="7"/>
      <c r="P6453" s="7"/>
      <c r="R6453" s="7"/>
      <c r="T6453" s="7"/>
      <c r="V6453" s="7"/>
      <c r="X6453" s="7"/>
    </row>
    <row r="6454" spans="2:24">
      <c r="B6454" s="7"/>
      <c r="D6454" s="7"/>
      <c r="F6454" s="7"/>
      <c r="H6454" s="7"/>
      <c r="J6454" s="7"/>
      <c r="L6454" s="7"/>
      <c r="N6454" s="7"/>
      <c r="P6454" s="7"/>
      <c r="R6454" s="7"/>
      <c r="T6454" s="7"/>
      <c r="V6454" s="7"/>
      <c r="X6454" s="7"/>
    </row>
    <row r="6455" spans="2:24">
      <c r="B6455" s="7"/>
      <c r="D6455" s="7"/>
      <c r="F6455" s="7"/>
      <c r="H6455" s="7"/>
      <c r="J6455" s="7"/>
      <c r="L6455" s="7"/>
      <c r="N6455" s="7"/>
      <c r="P6455" s="7"/>
      <c r="R6455" s="7"/>
      <c r="T6455" s="7"/>
      <c r="V6455" s="7"/>
      <c r="X6455" s="7"/>
    </row>
    <row r="6456" spans="2:24">
      <c r="B6456" s="7"/>
      <c r="D6456" s="7"/>
      <c r="F6456" s="7"/>
      <c r="H6456" s="7"/>
      <c r="J6456" s="7"/>
      <c r="L6456" s="7"/>
      <c r="N6456" s="7"/>
      <c r="P6456" s="7"/>
      <c r="R6456" s="7"/>
      <c r="T6456" s="7"/>
      <c r="V6456" s="7"/>
      <c r="X6456" s="7"/>
    </row>
    <row r="6457" spans="2:24">
      <c r="B6457" s="7"/>
      <c r="D6457" s="7"/>
      <c r="F6457" s="7"/>
      <c r="H6457" s="7"/>
      <c r="J6457" s="7"/>
      <c r="L6457" s="7"/>
      <c r="N6457" s="7"/>
      <c r="P6457" s="7"/>
      <c r="R6457" s="7"/>
      <c r="T6457" s="7"/>
      <c r="V6457" s="7"/>
      <c r="X6457" s="7"/>
    </row>
    <row r="6458" spans="2:24">
      <c r="B6458" s="7"/>
      <c r="D6458" s="7"/>
      <c r="F6458" s="7"/>
      <c r="H6458" s="7"/>
      <c r="J6458" s="7"/>
      <c r="L6458" s="7"/>
      <c r="N6458" s="7"/>
      <c r="P6458" s="7"/>
      <c r="R6458" s="7"/>
      <c r="T6458" s="7"/>
      <c r="V6458" s="7"/>
      <c r="X6458" s="7"/>
    </row>
    <row r="6459" spans="2:24">
      <c r="B6459" s="7"/>
      <c r="D6459" s="7"/>
      <c r="F6459" s="7"/>
      <c r="H6459" s="7"/>
      <c r="J6459" s="7"/>
      <c r="L6459" s="7"/>
      <c r="N6459" s="7"/>
      <c r="P6459" s="7"/>
      <c r="R6459" s="7"/>
      <c r="T6459" s="7"/>
      <c r="V6459" s="7"/>
      <c r="X6459" s="7"/>
    </row>
    <row r="6460" spans="2:24">
      <c r="B6460" s="7"/>
      <c r="D6460" s="7"/>
      <c r="F6460" s="7"/>
      <c r="H6460" s="7"/>
      <c r="J6460" s="7"/>
      <c r="L6460" s="7"/>
      <c r="N6460" s="7"/>
      <c r="P6460" s="7"/>
      <c r="R6460" s="7"/>
      <c r="T6460" s="7"/>
      <c r="V6460" s="7"/>
      <c r="X6460" s="7"/>
    </row>
    <row r="6461" spans="2:24">
      <c r="B6461" s="7"/>
      <c r="D6461" s="7"/>
      <c r="F6461" s="7"/>
      <c r="H6461" s="7"/>
      <c r="J6461" s="7"/>
      <c r="L6461" s="7"/>
      <c r="N6461" s="7"/>
      <c r="P6461" s="7"/>
      <c r="R6461" s="7"/>
      <c r="T6461" s="7"/>
      <c r="V6461" s="7"/>
      <c r="X6461" s="7"/>
    </row>
    <row r="6462" spans="2:24">
      <c r="B6462" s="7"/>
      <c r="D6462" s="7"/>
      <c r="F6462" s="7"/>
      <c r="H6462" s="7"/>
      <c r="J6462" s="7"/>
      <c r="L6462" s="7"/>
      <c r="N6462" s="7"/>
      <c r="P6462" s="7"/>
      <c r="R6462" s="7"/>
      <c r="T6462" s="7"/>
      <c r="V6462" s="7"/>
      <c r="X6462" s="7"/>
    </row>
    <row r="6463" spans="2:24">
      <c r="B6463" s="7"/>
      <c r="D6463" s="7"/>
      <c r="F6463" s="7"/>
      <c r="H6463" s="7"/>
      <c r="J6463" s="7"/>
      <c r="L6463" s="7"/>
      <c r="N6463" s="7"/>
      <c r="P6463" s="7"/>
      <c r="R6463" s="7"/>
      <c r="T6463" s="7"/>
      <c r="V6463" s="7"/>
      <c r="X6463" s="7"/>
    </row>
    <row r="6464" spans="2:24">
      <c r="B6464" s="7"/>
      <c r="D6464" s="7"/>
      <c r="F6464" s="7"/>
      <c r="H6464" s="7"/>
      <c r="J6464" s="7"/>
      <c r="L6464" s="7"/>
      <c r="N6464" s="7"/>
      <c r="P6464" s="7"/>
      <c r="R6464" s="7"/>
      <c r="T6464" s="7"/>
      <c r="V6464" s="7"/>
      <c r="X6464" s="7"/>
    </row>
    <row r="6465" spans="2:24">
      <c r="B6465" s="7"/>
      <c r="D6465" s="7"/>
      <c r="F6465" s="7"/>
      <c r="H6465" s="7"/>
      <c r="J6465" s="7"/>
      <c r="L6465" s="7"/>
      <c r="N6465" s="7"/>
      <c r="P6465" s="7"/>
      <c r="R6465" s="7"/>
      <c r="T6465" s="7"/>
      <c r="V6465" s="7"/>
      <c r="X6465" s="7"/>
    </row>
    <row r="6466" spans="2:24">
      <c r="B6466" s="7"/>
      <c r="D6466" s="7"/>
      <c r="F6466" s="7"/>
      <c r="H6466" s="7"/>
      <c r="J6466" s="7"/>
      <c r="L6466" s="7"/>
      <c r="N6466" s="7"/>
      <c r="P6466" s="7"/>
      <c r="R6466" s="7"/>
      <c r="T6466" s="7"/>
      <c r="V6466" s="7"/>
      <c r="X6466" s="7"/>
    </row>
    <row r="6467" spans="2:24">
      <c r="B6467" s="7"/>
      <c r="D6467" s="7"/>
      <c r="F6467" s="7"/>
      <c r="H6467" s="7"/>
      <c r="J6467" s="7"/>
      <c r="L6467" s="7"/>
      <c r="N6467" s="7"/>
      <c r="P6467" s="7"/>
      <c r="R6467" s="7"/>
      <c r="T6467" s="7"/>
      <c r="V6467" s="7"/>
      <c r="X6467" s="7"/>
    </row>
    <row r="6468" spans="2:24">
      <c r="B6468" s="7"/>
      <c r="D6468" s="7"/>
      <c r="F6468" s="7"/>
      <c r="H6468" s="7"/>
      <c r="J6468" s="7"/>
      <c r="L6468" s="7"/>
      <c r="N6468" s="7"/>
      <c r="P6468" s="7"/>
      <c r="R6468" s="7"/>
      <c r="T6468" s="7"/>
      <c r="V6468" s="7"/>
      <c r="X6468" s="7"/>
    </row>
    <row r="6469" spans="2:24">
      <c r="B6469" s="7"/>
      <c r="D6469" s="7"/>
      <c r="F6469" s="7"/>
      <c r="H6469" s="7"/>
      <c r="J6469" s="7"/>
      <c r="L6469" s="7"/>
      <c r="N6469" s="7"/>
      <c r="P6469" s="7"/>
      <c r="R6469" s="7"/>
      <c r="T6469" s="7"/>
      <c r="V6469" s="7"/>
      <c r="X6469" s="7"/>
    </row>
    <row r="6470" spans="2:24">
      <c r="B6470" s="7"/>
      <c r="D6470" s="7"/>
      <c r="F6470" s="7"/>
      <c r="H6470" s="7"/>
      <c r="J6470" s="7"/>
      <c r="L6470" s="7"/>
      <c r="N6470" s="7"/>
      <c r="P6470" s="7"/>
      <c r="R6470" s="7"/>
      <c r="T6470" s="7"/>
      <c r="V6470" s="7"/>
      <c r="X6470" s="7"/>
    </row>
    <row r="6471" spans="2:24">
      <c r="B6471" s="7"/>
      <c r="D6471" s="7"/>
      <c r="F6471" s="7"/>
      <c r="H6471" s="7"/>
      <c r="J6471" s="7"/>
      <c r="L6471" s="7"/>
      <c r="N6471" s="7"/>
      <c r="P6471" s="7"/>
      <c r="R6471" s="7"/>
      <c r="T6471" s="7"/>
      <c r="V6471" s="7"/>
      <c r="X6471" s="7"/>
    </row>
    <row r="6472" spans="2:24">
      <c r="B6472" s="7"/>
      <c r="D6472" s="7"/>
      <c r="F6472" s="7"/>
      <c r="H6472" s="7"/>
      <c r="J6472" s="7"/>
      <c r="L6472" s="7"/>
      <c r="N6472" s="7"/>
      <c r="P6472" s="7"/>
      <c r="R6472" s="7"/>
      <c r="T6472" s="7"/>
      <c r="V6472" s="7"/>
      <c r="X6472" s="7"/>
    </row>
    <row r="6473" spans="2:24">
      <c r="B6473" s="7"/>
      <c r="D6473" s="7"/>
      <c r="F6473" s="7"/>
      <c r="H6473" s="7"/>
      <c r="J6473" s="7"/>
      <c r="L6473" s="7"/>
      <c r="N6473" s="7"/>
      <c r="P6473" s="7"/>
      <c r="R6473" s="7"/>
      <c r="T6473" s="7"/>
      <c r="V6473" s="7"/>
      <c r="X6473" s="7"/>
    </row>
    <row r="6474" spans="2:24">
      <c r="B6474" s="7"/>
      <c r="D6474" s="7"/>
      <c r="F6474" s="7"/>
      <c r="H6474" s="7"/>
      <c r="J6474" s="7"/>
      <c r="L6474" s="7"/>
      <c r="N6474" s="7"/>
      <c r="P6474" s="7"/>
      <c r="R6474" s="7"/>
      <c r="T6474" s="7"/>
      <c r="V6474" s="7"/>
      <c r="X6474" s="7"/>
    </row>
    <row r="6475" spans="2:24">
      <c r="B6475" s="7"/>
      <c r="D6475" s="7"/>
      <c r="F6475" s="7"/>
      <c r="H6475" s="7"/>
      <c r="J6475" s="7"/>
      <c r="L6475" s="7"/>
      <c r="N6475" s="7"/>
      <c r="P6475" s="7"/>
      <c r="R6475" s="7"/>
      <c r="T6475" s="7"/>
      <c r="V6475" s="7"/>
      <c r="X6475" s="7"/>
    </row>
    <row r="6476" spans="2:24">
      <c r="B6476" s="7"/>
      <c r="D6476" s="7"/>
      <c r="F6476" s="7"/>
      <c r="H6476" s="7"/>
      <c r="J6476" s="7"/>
      <c r="L6476" s="7"/>
      <c r="N6476" s="7"/>
      <c r="P6476" s="7"/>
      <c r="R6476" s="7"/>
      <c r="T6476" s="7"/>
      <c r="V6476" s="7"/>
      <c r="X6476" s="7"/>
    </row>
    <row r="6477" spans="2:24">
      <c r="B6477" s="7"/>
      <c r="D6477" s="7"/>
      <c r="F6477" s="7"/>
      <c r="H6477" s="7"/>
      <c r="J6477" s="7"/>
      <c r="L6477" s="7"/>
      <c r="N6477" s="7"/>
      <c r="P6477" s="7"/>
      <c r="R6477" s="7"/>
      <c r="T6477" s="7"/>
      <c r="V6477" s="7"/>
      <c r="X6477" s="7"/>
    </row>
    <row r="6478" spans="2:24">
      <c r="B6478" s="7"/>
      <c r="D6478" s="7"/>
      <c r="F6478" s="7"/>
      <c r="H6478" s="7"/>
      <c r="J6478" s="7"/>
      <c r="L6478" s="7"/>
      <c r="N6478" s="7"/>
      <c r="P6478" s="7"/>
      <c r="R6478" s="7"/>
      <c r="T6478" s="7"/>
      <c r="V6478" s="7"/>
      <c r="X6478" s="7"/>
    </row>
    <row r="6479" spans="2:24">
      <c r="B6479" s="7"/>
      <c r="D6479" s="7"/>
      <c r="F6479" s="7"/>
      <c r="H6479" s="7"/>
      <c r="J6479" s="7"/>
      <c r="L6479" s="7"/>
      <c r="N6479" s="7"/>
      <c r="P6479" s="7"/>
      <c r="R6479" s="7"/>
      <c r="T6479" s="7"/>
      <c r="V6479" s="7"/>
      <c r="X6479" s="7"/>
    </row>
    <row r="6480" spans="2:24">
      <c r="B6480" s="7"/>
      <c r="D6480" s="7"/>
      <c r="F6480" s="7"/>
      <c r="H6480" s="7"/>
      <c r="J6480" s="7"/>
      <c r="L6480" s="7"/>
      <c r="N6480" s="7"/>
      <c r="P6480" s="7"/>
      <c r="R6480" s="7"/>
      <c r="T6480" s="7"/>
      <c r="V6480" s="7"/>
      <c r="X6480" s="7"/>
    </row>
    <row r="6481" spans="2:24">
      <c r="B6481" s="7"/>
      <c r="D6481" s="7"/>
      <c r="F6481" s="7"/>
      <c r="H6481" s="7"/>
      <c r="J6481" s="7"/>
      <c r="L6481" s="7"/>
      <c r="N6481" s="7"/>
      <c r="P6481" s="7"/>
      <c r="R6481" s="7"/>
      <c r="T6481" s="7"/>
      <c r="V6481" s="7"/>
      <c r="X6481" s="7"/>
    </row>
    <row r="6482" spans="2:24">
      <c r="B6482" s="7"/>
      <c r="D6482" s="7"/>
      <c r="F6482" s="7"/>
      <c r="H6482" s="7"/>
      <c r="J6482" s="7"/>
      <c r="L6482" s="7"/>
      <c r="N6482" s="7"/>
      <c r="P6482" s="7"/>
      <c r="R6482" s="7"/>
      <c r="T6482" s="7"/>
      <c r="V6482" s="7"/>
      <c r="X6482" s="7"/>
    </row>
    <row r="6483" spans="2:24">
      <c r="B6483" s="7"/>
      <c r="D6483" s="7"/>
      <c r="F6483" s="7"/>
      <c r="H6483" s="7"/>
      <c r="J6483" s="7"/>
      <c r="L6483" s="7"/>
      <c r="N6483" s="7"/>
      <c r="P6483" s="7"/>
      <c r="R6483" s="7"/>
      <c r="T6483" s="7"/>
      <c r="V6483" s="7"/>
      <c r="X6483" s="7"/>
    </row>
    <row r="6484" spans="2:24">
      <c r="B6484" s="7"/>
      <c r="D6484" s="7"/>
      <c r="F6484" s="7"/>
      <c r="H6484" s="7"/>
      <c r="J6484" s="7"/>
      <c r="L6484" s="7"/>
      <c r="N6484" s="7"/>
      <c r="P6484" s="7"/>
      <c r="R6484" s="7"/>
      <c r="T6484" s="7"/>
      <c r="V6484" s="7"/>
      <c r="X6484" s="7"/>
    </row>
    <row r="6485" spans="2:24">
      <c r="B6485" s="7"/>
      <c r="D6485" s="7"/>
      <c r="F6485" s="7"/>
      <c r="H6485" s="7"/>
      <c r="J6485" s="7"/>
      <c r="L6485" s="7"/>
      <c r="N6485" s="7"/>
      <c r="P6485" s="7"/>
      <c r="R6485" s="7"/>
      <c r="T6485" s="7"/>
      <c r="V6485" s="7"/>
      <c r="X6485" s="7"/>
    </row>
    <row r="6486" spans="2:24">
      <c r="B6486" s="7"/>
      <c r="D6486" s="7"/>
      <c r="F6486" s="7"/>
      <c r="H6486" s="7"/>
      <c r="J6486" s="7"/>
      <c r="L6486" s="7"/>
      <c r="N6486" s="7"/>
      <c r="P6486" s="7"/>
      <c r="R6486" s="7"/>
      <c r="T6486" s="7"/>
      <c r="V6486" s="7"/>
      <c r="X6486" s="7"/>
    </row>
    <row r="6487" spans="2:24">
      <c r="B6487" s="7"/>
      <c r="D6487" s="7"/>
      <c r="F6487" s="7"/>
      <c r="H6487" s="7"/>
      <c r="J6487" s="7"/>
      <c r="L6487" s="7"/>
      <c r="N6487" s="7"/>
      <c r="P6487" s="7"/>
      <c r="R6487" s="7"/>
      <c r="T6487" s="7"/>
      <c r="V6487" s="7"/>
      <c r="X6487" s="7"/>
    </row>
    <row r="6488" spans="2:24">
      <c r="B6488" s="7"/>
      <c r="D6488" s="7"/>
      <c r="F6488" s="7"/>
      <c r="H6488" s="7"/>
      <c r="J6488" s="7"/>
      <c r="L6488" s="7"/>
      <c r="N6488" s="7"/>
      <c r="P6488" s="7"/>
      <c r="R6488" s="7"/>
      <c r="T6488" s="7"/>
      <c r="V6488" s="7"/>
      <c r="X6488" s="7"/>
    </row>
    <row r="6489" spans="2:24">
      <c r="B6489" s="7"/>
      <c r="D6489" s="7"/>
      <c r="F6489" s="7"/>
      <c r="H6489" s="7"/>
      <c r="J6489" s="7"/>
      <c r="L6489" s="7"/>
      <c r="N6489" s="7"/>
      <c r="P6489" s="7"/>
      <c r="R6489" s="7"/>
      <c r="T6489" s="7"/>
      <c r="V6489" s="7"/>
      <c r="X6489" s="7"/>
    </row>
    <row r="6490" spans="2:24">
      <c r="B6490" s="7"/>
      <c r="D6490" s="7"/>
      <c r="F6490" s="7"/>
      <c r="H6490" s="7"/>
      <c r="J6490" s="7"/>
      <c r="L6490" s="7"/>
      <c r="N6490" s="7"/>
      <c r="P6490" s="7"/>
      <c r="R6490" s="7"/>
      <c r="T6490" s="7"/>
      <c r="V6490" s="7"/>
      <c r="X6490" s="7"/>
    </row>
    <row r="6491" spans="2:24">
      <c r="B6491" s="7"/>
      <c r="D6491" s="7"/>
      <c r="F6491" s="7"/>
      <c r="H6491" s="7"/>
      <c r="J6491" s="7"/>
      <c r="L6491" s="7"/>
      <c r="N6491" s="7"/>
      <c r="P6491" s="7"/>
      <c r="R6491" s="7"/>
      <c r="T6491" s="7"/>
      <c r="V6491" s="7"/>
      <c r="X6491" s="7"/>
    </row>
    <row r="6492" spans="2:24">
      <c r="B6492" s="7"/>
      <c r="D6492" s="7"/>
      <c r="F6492" s="7"/>
      <c r="H6492" s="7"/>
      <c r="J6492" s="7"/>
      <c r="L6492" s="7"/>
      <c r="N6492" s="7"/>
      <c r="P6492" s="7"/>
      <c r="R6492" s="7"/>
      <c r="T6492" s="7"/>
      <c r="V6492" s="7"/>
      <c r="X6492" s="7"/>
    </row>
    <row r="6493" spans="2:24">
      <c r="B6493" s="7"/>
      <c r="D6493" s="7"/>
      <c r="F6493" s="7"/>
      <c r="H6493" s="7"/>
      <c r="J6493" s="7"/>
      <c r="L6493" s="7"/>
      <c r="N6493" s="7"/>
      <c r="P6493" s="7"/>
      <c r="R6493" s="7"/>
      <c r="T6493" s="7"/>
      <c r="V6493" s="7"/>
      <c r="X6493" s="7"/>
    </row>
    <row r="6494" spans="2:24">
      <c r="B6494" s="7"/>
      <c r="D6494" s="7"/>
      <c r="F6494" s="7"/>
      <c r="H6494" s="7"/>
      <c r="J6494" s="7"/>
      <c r="L6494" s="7"/>
      <c r="N6494" s="7"/>
      <c r="P6494" s="7"/>
      <c r="R6494" s="7"/>
      <c r="T6494" s="7"/>
      <c r="V6494" s="7"/>
      <c r="X6494" s="7"/>
    </row>
    <row r="6495" spans="2:24">
      <c r="B6495" s="7"/>
      <c r="D6495" s="7"/>
      <c r="F6495" s="7"/>
      <c r="H6495" s="7"/>
      <c r="J6495" s="7"/>
      <c r="L6495" s="7"/>
      <c r="N6495" s="7"/>
      <c r="P6495" s="7"/>
      <c r="R6495" s="7"/>
      <c r="T6495" s="7"/>
      <c r="V6495" s="7"/>
      <c r="X6495" s="7"/>
    </row>
    <row r="6496" spans="2:24">
      <c r="B6496" s="7"/>
      <c r="D6496" s="7"/>
      <c r="F6496" s="7"/>
      <c r="H6496" s="7"/>
      <c r="J6496" s="7"/>
      <c r="L6496" s="7"/>
      <c r="N6496" s="7"/>
      <c r="P6496" s="7"/>
      <c r="R6496" s="7"/>
      <c r="T6496" s="7"/>
      <c r="V6496" s="7"/>
      <c r="X6496" s="7"/>
    </row>
    <row r="6497" spans="2:24">
      <c r="B6497" s="7"/>
      <c r="D6497" s="7"/>
      <c r="F6497" s="7"/>
      <c r="H6497" s="7"/>
      <c r="J6497" s="7"/>
      <c r="L6497" s="7"/>
      <c r="N6497" s="7"/>
      <c r="P6497" s="7"/>
      <c r="R6497" s="7"/>
      <c r="T6497" s="7"/>
      <c r="V6497" s="7"/>
      <c r="X6497" s="7"/>
    </row>
    <row r="6498" spans="2:24">
      <c r="B6498" s="7"/>
      <c r="D6498" s="7"/>
      <c r="F6498" s="7"/>
      <c r="H6498" s="7"/>
      <c r="J6498" s="7"/>
      <c r="L6498" s="7"/>
      <c r="N6498" s="7"/>
      <c r="P6498" s="7"/>
      <c r="R6498" s="7"/>
      <c r="T6498" s="7"/>
      <c r="V6498" s="7"/>
      <c r="X6498" s="7"/>
    </row>
    <row r="6499" spans="2:24">
      <c r="B6499" s="7"/>
      <c r="D6499" s="7"/>
      <c r="F6499" s="7"/>
      <c r="H6499" s="7"/>
      <c r="J6499" s="7"/>
      <c r="L6499" s="7"/>
      <c r="N6499" s="7"/>
      <c r="P6499" s="7"/>
      <c r="R6499" s="7"/>
      <c r="T6499" s="7"/>
      <c r="V6499" s="7"/>
      <c r="X6499" s="7"/>
    </row>
    <row r="6500" spans="2:24">
      <c r="B6500" s="7"/>
      <c r="D6500" s="7"/>
      <c r="F6500" s="7"/>
      <c r="H6500" s="7"/>
      <c r="J6500" s="7"/>
      <c r="L6500" s="7"/>
      <c r="N6500" s="7"/>
      <c r="P6500" s="7"/>
      <c r="R6500" s="7"/>
      <c r="T6500" s="7"/>
      <c r="V6500" s="7"/>
      <c r="X6500" s="7"/>
    </row>
    <row r="6501" spans="2:24">
      <c r="B6501" s="7"/>
      <c r="D6501" s="7"/>
      <c r="F6501" s="7"/>
      <c r="H6501" s="7"/>
      <c r="J6501" s="7"/>
      <c r="L6501" s="7"/>
      <c r="N6501" s="7"/>
      <c r="P6501" s="7"/>
      <c r="R6501" s="7"/>
      <c r="T6501" s="7"/>
      <c r="V6501" s="7"/>
      <c r="X6501" s="7"/>
    </row>
    <row r="6502" spans="2:24">
      <c r="B6502" s="7"/>
      <c r="D6502" s="7"/>
      <c r="F6502" s="7"/>
      <c r="H6502" s="7"/>
      <c r="J6502" s="7"/>
      <c r="L6502" s="7"/>
      <c r="N6502" s="7"/>
      <c r="P6502" s="7"/>
      <c r="R6502" s="7"/>
      <c r="T6502" s="7"/>
      <c r="V6502" s="7"/>
      <c r="X6502" s="7"/>
    </row>
    <row r="6503" spans="2:24">
      <c r="B6503" s="7"/>
      <c r="D6503" s="7"/>
      <c r="F6503" s="7"/>
      <c r="H6503" s="7"/>
      <c r="J6503" s="7"/>
      <c r="L6503" s="7"/>
      <c r="N6503" s="7"/>
      <c r="P6503" s="7"/>
      <c r="R6503" s="7"/>
      <c r="T6503" s="7"/>
      <c r="V6503" s="7"/>
      <c r="X6503" s="7"/>
    </row>
    <row r="6504" spans="2:24">
      <c r="B6504" s="7"/>
      <c r="D6504" s="7"/>
      <c r="F6504" s="7"/>
      <c r="H6504" s="7"/>
      <c r="J6504" s="7"/>
      <c r="L6504" s="7"/>
      <c r="N6504" s="7"/>
      <c r="P6504" s="7"/>
      <c r="R6504" s="7"/>
      <c r="T6504" s="7"/>
      <c r="V6504" s="7"/>
      <c r="X6504" s="7"/>
    </row>
    <row r="6505" spans="2:24">
      <c r="B6505" s="7"/>
      <c r="D6505" s="7"/>
      <c r="F6505" s="7"/>
      <c r="H6505" s="7"/>
      <c r="J6505" s="7"/>
      <c r="L6505" s="7"/>
      <c r="N6505" s="7"/>
      <c r="P6505" s="7"/>
      <c r="R6505" s="7"/>
      <c r="T6505" s="7"/>
      <c r="V6505" s="7"/>
      <c r="X6505" s="7"/>
    </row>
    <row r="6506" spans="2:24">
      <c r="B6506" s="7"/>
      <c r="D6506" s="7"/>
      <c r="F6506" s="7"/>
      <c r="H6506" s="7"/>
      <c r="J6506" s="7"/>
      <c r="L6506" s="7"/>
      <c r="N6506" s="7"/>
      <c r="P6506" s="7"/>
      <c r="R6506" s="7"/>
      <c r="T6506" s="7"/>
      <c r="V6506" s="7"/>
      <c r="X6506" s="7"/>
    </row>
    <row r="6507" spans="2:24">
      <c r="B6507" s="7"/>
      <c r="D6507" s="7"/>
      <c r="F6507" s="7"/>
      <c r="H6507" s="7"/>
      <c r="J6507" s="7"/>
      <c r="L6507" s="7"/>
      <c r="N6507" s="7"/>
      <c r="P6507" s="7"/>
      <c r="R6507" s="7"/>
      <c r="T6507" s="7"/>
      <c r="V6507" s="7"/>
      <c r="X6507" s="7"/>
    </row>
    <row r="6508" spans="2:24">
      <c r="B6508" s="7"/>
      <c r="D6508" s="7"/>
      <c r="F6508" s="7"/>
      <c r="H6508" s="7"/>
      <c r="J6508" s="7"/>
      <c r="L6508" s="7"/>
      <c r="N6508" s="7"/>
      <c r="P6508" s="7"/>
      <c r="R6508" s="7"/>
      <c r="T6508" s="7"/>
      <c r="V6508" s="7"/>
      <c r="X6508" s="7"/>
    </row>
    <row r="6509" spans="2:24">
      <c r="B6509" s="7"/>
      <c r="D6509" s="7"/>
      <c r="F6509" s="7"/>
      <c r="H6509" s="7"/>
      <c r="J6509" s="7"/>
      <c r="L6509" s="7"/>
      <c r="N6509" s="7"/>
      <c r="P6509" s="7"/>
      <c r="R6509" s="7"/>
      <c r="T6509" s="7"/>
      <c r="V6509" s="7"/>
      <c r="X6509" s="7"/>
    </row>
    <row r="6510" spans="2:24">
      <c r="B6510" s="7"/>
      <c r="D6510" s="7"/>
      <c r="F6510" s="7"/>
      <c r="H6510" s="7"/>
      <c r="J6510" s="7"/>
      <c r="L6510" s="7"/>
      <c r="N6510" s="7"/>
      <c r="P6510" s="7"/>
      <c r="R6510" s="7"/>
      <c r="T6510" s="7"/>
      <c r="V6510" s="7"/>
      <c r="X6510" s="7"/>
    </row>
    <row r="6511" spans="2:24">
      <c r="B6511" s="7"/>
      <c r="D6511" s="7"/>
      <c r="F6511" s="7"/>
      <c r="H6511" s="7"/>
      <c r="J6511" s="7"/>
      <c r="L6511" s="7"/>
      <c r="N6511" s="7"/>
      <c r="P6511" s="7"/>
      <c r="R6511" s="7"/>
      <c r="T6511" s="7"/>
      <c r="V6511" s="7"/>
      <c r="X6511" s="7"/>
    </row>
    <row r="6512" spans="2:24">
      <c r="B6512" s="7"/>
      <c r="D6512" s="7"/>
      <c r="F6512" s="7"/>
      <c r="H6512" s="7"/>
      <c r="J6512" s="7"/>
      <c r="L6512" s="7"/>
      <c r="N6512" s="7"/>
      <c r="P6512" s="7"/>
      <c r="R6512" s="7"/>
      <c r="T6512" s="7"/>
      <c r="V6512" s="7"/>
      <c r="X6512" s="7"/>
    </row>
    <row r="6513" spans="2:24">
      <c r="B6513" s="7"/>
      <c r="D6513" s="7"/>
      <c r="F6513" s="7"/>
      <c r="H6513" s="7"/>
      <c r="J6513" s="7"/>
      <c r="L6513" s="7"/>
      <c r="N6513" s="7"/>
      <c r="P6513" s="7"/>
      <c r="R6513" s="7"/>
      <c r="T6513" s="7"/>
      <c r="V6513" s="7"/>
      <c r="X6513" s="7"/>
    </row>
    <row r="6514" spans="2:24">
      <c r="B6514" s="7"/>
      <c r="D6514" s="7"/>
      <c r="F6514" s="7"/>
      <c r="H6514" s="7"/>
      <c r="J6514" s="7"/>
      <c r="L6514" s="7"/>
      <c r="N6514" s="7"/>
      <c r="P6514" s="7"/>
      <c r="R6514" s="7"/>
      <c r="T6514" s="7"/>
      <c r="V6514" s="7"/>
      <c r="X6514" s="7"/>
    </row>
    <row r="6515" spans="2:24">
      <c r="B6515" s="7"/>
      <c r="D6515" s="7"/>
      <c r="F6515" s="7"/>
      <c r="H6515" s="7"/>
      <c r="J6515" s="7"/>
      <c r="L6515" s="7"/>
      <c r="N6515" s="7"/>
      <c r="P6515" s="7"/>
      <c r="R6515" s="7"/>
      <c r="T6515" s="7"/>
      <c r="V6515" s="7"/>
      <c r="X6515" s="7"/>
    </row>
    <row r="6516" spans="2:24">
      <c r="B6516" s="7"/>
      <c r="D6516" s="7"/>
      <c r="F6516" s="7"/>
      <c r="H6516" s="7"/>
      <c r="J6516" s="7"/>
      <c r="L6516" s="7"/>
      <c r="N6516" s="7"/>
      <c r="P6516" s="7"/>
      <c r="R6516" s="7"/>
      <c r="T6516" s="7"/>
      <c r="V6516" s="7"/>
      <c r="X6516" s="7"/>
    </row>
    <row r="6517" spans="2:24">
      <c r="B6517" s="7"/>
      <c r="D6517" s="7"/>
      <c r="F6517" s="7"/>
      <c r="H6517" s="7"/>
      <c r="J6517" s="7"/>
      <c r="L6517" s="7"/>
      <c r="N6517" s="7"/>
      <c r="P6517" s="7"/>
      <c r="R6517" s="7"/>
      <c r="T6517" s="7"/>
      <c r="V6517" s="7"/>
      <c r="X6517" s="7"/>
    </row>
    <row r="6518" spans="2:24">
      <c r="B6518" s="7"/>
      <c r="D6518" s="7"/>
      <c r="F6518" s="7"/>
      <c r="H6518" s="7"/>
      <c r="J6518" s="7"/>
      <c r="L6518" s="7"/>
      <c r="N6518" s="7"/>
      <c r="P6518" s="7"/>
      <c r="R6518" s="7"/>
      <c r="T6518" s="7"/>
      <c r="V6518" s="7"/>
      <c r="X6518" s="7"/>
    </row>
    <row r="6519" spans="2:24">
      <c r="B6519" s="7"/>
      <c r="D6519" s="7"/>
      <c r="F6519" s="7"/>
      <c r="H6519" s="7"/>
      <c r="J6519" s="7"/>
      <c r="L6519" s="7"/>
      <c r="N6519" s="7"/>
      <c r="P6519" s="7"/>
      <c r="R6519" s="7"/>
      <c r="T6519" s="7"/>
      <c r="V6519" s="7"/>
      <c r="X6519" s="7"/>
    </row>
    <row r="6520" spans="2:24">
      <c r="B6520" s="7"/>
      <c r="D6520" s="7"/>
      <c r="F6520" s="7"/>
      <c r="H6520" s="7"/>
      <c r="J6520" s="7"/>
      <c r="L6520" s="7"/>
      <c r="N6520" s="7"/>
      <c r="P6520" s="7"/>
      <c r="R6520" s="7"/>
      <c r="T6520" s="7"/>
      <c r="V6520" s="7"/>
      <c r="X6520" s="7"/>
    </row>
    <row r="6521" spans="2:24">
      <c r="B6521" s="7"/>
      <c r="D6521" s="7"/>
      <c r="F6521" s="7"/>
      <c r="H6521" s="7"/>
      <c r="J6521" s="7"/>
      <c r="L6521" s="7"/>
      <c r="N6521" s="7"/>
      <c r="P6521" s="7"/>
      <c r="R6521" s="7"/>
      <c r="T6521" s="7"/>
      <c r="V6521" s="7"/>
      <c r="X6521" s="7"/>
    </row>
    <row r="6522" spans="2:24">
      <c r="B6522" s="7"/>
      <c r="D6522" s="7"/>
      <c r="F6522" s="7"/>
      <c r="H6522" s="7"/>
      <c r="J6522" s="7"/>
      <c r="L6522" s="7"/>
      <c r="N6522" s="7"/>
      <c r="P6522" s="7"/>
      <c r="R6522" s="7"/>
      <c r="T6522" s="7"/>
      <c r="V6522" s="7"/>
      <c r="X6522" s="7"/>
    </row>
    <row r="6523" spans="2:24">
      <c r="B6523" s="7"/>
      <c r="D6523" s="7"/>
      <c r="F6523" s="7"/>
      <c r="H6523" s="7"/>
      <c r="J6523" s="7"/>
      <c r="L6523" s="7"/>
      <c r="N6523" s="7"/>
      <c r="P6523" s="7"/>
      <c r="R6523" s="7"/>
      <c r="T6523" s="7"/>
      <c r="V6523" s="7"/>
      <c r="X6523" s="7"/>
    </row>
    <row r="6524" spans="2:24">
      <c r="B6524" s="7"/>
      <c r="D6524" s="7"/>
      <c r="F6524" s="7"/>
      <c r="H6524" s="7"/>
      <c r="J6524" s="7"/>
      <c r="L6524" s="7"/>
      <c r="N6524" s="7"/>
      <c r="P6524" s="7"/>
      <c r="R6524" s="7"/>
      <c r="T6524" s="7"/>
      <c r="V6524" s="7"/>
      <c r="X6524" s="7"/>
    </row>
    <row r="6525" spans="2:24">
      <c r="B6525" s="7"/>
      <c r="D6525" s="7"/>
      <c r="F6525" s="7"/>
      <c r="H6525" s="7"/>
      <c r="J6525" s="7"/>
      <c r="L6525" s="7"/>
      <c r="N6525" s="7"/>
      <c r="P6525" s="7"/>
      <c r="R6525" s="7"/>
      <c r="T6525" s="7"/>
      <c r="V6525" s="7"/>
      <c r="X6525" s="7"/>
    </row>
    <row r="6526" spans="2:24">
      <c r="B6526" s="7"/>
      <c r="D6526" s="7"/>
      <c r="F6526" s="7"/>
      <c r="H6526" s="7"/>
      <c r="J6526" s="7"/>
      <c r="L6526" s="7"/>
      <c r="N6526" s="7"/>
      <c r="P6526" s="7"/>
      <c r="R6526" s="7"/>
      <c r="T6526" s="7"/>
      <c r="V6526" s="7"/>
      <c r="X6526" s="7"/>
    </row>
    <row r="6527" spans="2:24">
      <c r="B6527" s="7"/>
      <c r="D6527" s="7"/>
      <c r="F6527" s="7"/>
      <c r="H6527" s="7"/>
      <c r="J6527" s="7"/>
      <c r="L6527" s="7"/>
      <c r="N6527" s="7"/>
      <c r="P6527" s="7"/>
      <c r="R6527" s="7"/>
      <c r="T6527" s="7"/>
      <c r="V6527" s="7"/>
      <c r="X6527" s="7"/>
    </row>
    <row r="6528" spans="2:24">
      <c r="B6528" s="7"/>
      <c r="D6528" s="7"/>
      <c r="F6528" s="7"/>
      <c r="H6528" s="7"/>
      <c r="J6528" s="7"/>
      <c r="L6528" s="7"/>
      <c r="N6528" s="7"/>
      <c r="P6528" s="7"/>
      <c r="R6528" s="7"/>
      <c r="T6528" s="7"/>
      <c r="V6528" s="7"/>
      <c r="X6528" s="7"/>
    </row>
    <row r="6529" spans="2:24">
      <c r="B6529" s="7"/>
      <c r="D6529" s="7"/>
      <c r="F6529" s="7"/>
      <c r="H6529" s="7"/>
      <c r="J6529" s="7"/>
      <c r="L6529" s="7"/>
      <c r="N6529" s="7"/>
      <c r="P6529" s="7"/>
      <c r="R6529" s="7"/>
      <c r="T6529" s="7"/>
      <c r="V6529" s="7"/>
      <c r="X6529" s="7"/>
    </row>
    <row r="6530" spans="2:24">
      <c r="B6530" s="7"/>
      <c r="D6530" s="7"/>
      <c r="F6530" s="7"/>
      <c r="H6530" s="7"/>
      <c r="J6530" s="7"/>
      <c r="L6530" s="7"/>
      <c r="N6530" s="7"/>
      <c r="P6530" s="7"/>
      <c r="R6530" s="7"/>
      <c r="T6530" s="7"/>
      <c r="V6530" s="7"/>
      <c r="X6530" s="7"/>
    </row>
    <row r="6531" spans="2:24">
      <c r="B6531" s="7"/>
      <c r="D6531" s="7"/>
      <c r="F6531" s="7"/>
      <c r="H6531" s="7"/>
      <c r="J6531" s="7"/>
      <c r="L6531" s="7"/>
      <c r="N6531" s="7"/>
      <c r="P6531" s="7"/>
      <c r="R6531" s="7"/>
      <c r="T6531" s="7"/>
      <c r="V6531" s="7"/>
      <c r="X6531" s="7"/>
    </row>
    <row r="6532" spans="2:24">
      <c r="B6532" s="7"/>
      <c r="D6532" s="7"/>
      <c r="F6532" s="7"/>
      <c r="H6532" s="7"/>
      <c r="J6532" s="7"/>
      <c r="L6532" s="7"/>
      <c r="N6532" s="7"/>
      <c r="P6532" s="7"/>
      <c r="R6532" s="7"/>
      <c r="T6532" s="7"/>
      <c r="V6532" s="7"/>
      <c r="X6532" s="7"/>
    </row>
    <row r="6533" spans="2:24">
      <c r="B6533" s="7"/>
      <c r="D6533" s="7"/>
      <c r="F6533" s="7"/>
      <c r="H6533" s="7"/>
      <c r="J6533" s="7"/>
      <c r="L6533" s="7"/>
      <c r="N6533" s="7"/>
      <c r="P6533" s="7"/>
      <c r="R6533" s="7"/>
      <c r="T6533" s="7"/>
      <c r="V6533" s="7"/>
      <c r="X6533" s="7"/>
    </row>
    <row r="6534" spans="2:24">
      <c r="B6534" s="7"/>
      <c r="D6534" s="7"/>
      <c r="F6534" s="7"/>
      <c r="H6534" s="7"/>
      <c r="J6534" s="7"/>
      <c r="L6534" s="7"/>
      <c r="N6534" s="7"/>
      <c r="P6534" s="7"/>
      <c r="R6534" s="7"/>
      <c r="T6534" s="7"/>
      <c r="V6534" s="7"/>
      <c r="X6534" s="7"/>
    </row>
    <row r="6535" spans="2:24">
      <c r="B6535" s="7"/>
      <c r="D6535" s="7"/>
      <c r="F6535" s="7"/>
      <c r="H6535" s="7"/>
      <c r="J6535" s="7"/>
      <c r="L6535" s="7"/>
      <c r="N6535" s="7"/>
      <c r="P6535" s="7"/>
      <c r="R6535" s="7"/>
      <c r="T6535" s="7"/>
      <c r="V6535" s="7"/>
      <c r="X6535" s="7"/>
    </row>
    <row r="6536" spans="2:24">
      <c r="B6536" s="7"/>
      <c r="D6536" s="7"/>
      <c r="F6536" s="7"/>
      <c r="H6536" s="7"/>
      <c r="J6536" s="7"/>
      <c r="L6536" s="7"/>
      <c r="N6536" s="7"/>
      <c r="P6536" s="7"/>
      <c r="R6536" s="7"/>
      <c r="T6536" s="7"/>
      <c r="V6536" s="7"/>
      <c r="X6536" s="7"/>
    </row>
    <row r="6537" spans="2:24">
      <c r="B6537" s="7"/>
      <c r="D6537" s="7"/>
      <c r="F6537" s="7"/>
      <c r="H6537" s="7"/>
      <c r="J6537" s="7"/>
      <c r="L6537" s="7"/>
      <c r="N6537" s="7"/>
      <c r="P6537" s="7"/>
      <c r="R6537" s="7"/>
      <c r="T6537" s="7"/>
      <c r="V6537" s="7"/>
      <c r="X6537" s="7"/>
    </row>
    <row r="6538" spans="2:24">
      <c r="B6538" s="7"/>
      <c r="D6538" s="7"/>
      <c r="F6538" s="7"/>
      <c r="H6538" s="7"/>
      <c r="J6538" s="7"/>
      <c r="L6538" s="7"/>
      <c r="N6538" s="7"/>
      <c r="P6538" s="7"/>
      <c r="R6538" s="7"/>
      <c r="T6538" s="7"/>
      <c r="V6538" s="7"/>
      <c r="X6538" s="7"/>
    </row>
    <row r="6539" spans="2:24">
      <c r="B6539" s="7"/>
      <c r="D6539" s="7"/>
      <c r="F6539" s="7"/>
      <c r="H6539" s="7"/>
      <c r="J6539" s="7"/>
      <c r="L6539" s="7"/>
      <c r="N6539" s="7"/>
      <c r="P6539" s="7"/>
      <c r="R6539" s="7"/>
      <c r="T6539" s="7"/>
      <c r="V6539" s="7"/>
      <c r="X6539" s="7"/>
    </row>
    <row r="6540" spans="2:24">
      <c r="B6540" s="7"/>
      <c r="D6540" s="7"/>
      <c r="F6540" s="7"/>
      <c r="H6540" s="7"/>
      <c r="J6540" s="7"/>
      <c r="L6540" s="7"/>
      <c r="N6540" s="7"/>
      <c r="P6540" s="7"/>
      <c r="R6540" s="7"/>
      <c r="T6540" s="7"/>
      <c r="V6540" s="7"/>
      <c r="X6540" s="7"/>
    </row>
    <row r="6541" spans="2:24">
      <c r="B6541" s="7"/>
      <c r="D6541" s="7"/>
      <c r="F6541" s="7"/>
      <c r="H6541" s="7"/>
      <c r="J6541" s="7"/>
      <c r="L6541" s="7"/>
      <c r="N6541" s="7"/>
      <c r="P6541" s="7"/>
      <c r="R6541" s="7"/>
      <c r="T6541" s="7"/>
      <c r="V6541" s="7"/>
      <c r="X6541" s="7"/>
    </row>
    <row r="6542" spans="2:24">
      <c r="B6542" s="7"/>
      <c r="D6542" s="7"/>
      <c r="F6542" s="7"/>
      <c r="H6542" s="7"/>
      <c r="J6542" s="7"/>
      <c r="L6542" s="7"/>
      <c r="N6542" s="7"/>
      <c r="P6542" s="7"/>
      <c r="R6542" s="7"/>
      <c r="T6542" s="7"/>
      <c r="V6542" s="7"/>
      <c r="X6542" s="7"/>
    </row>
    <row r="6543" spans="2:24">
      <c r="B6543" s="7"/>
      <c r="D6543" s="7"/>
      <c r="F6543" s="7"/>
      <c r="H6543" s="7"/>
      <c r="J6543" s="7"/>
      <c r="L6543" s="7"/>
      <c r="N6543" s="7"/>
      <c r="P6543" s="7"/>
      <c r="R6543" s="7"/>
      <c r="T6543" s="7"/>
      <c r="V6543" s="7"/>
      <c r="X6543" s="7"/>
    </row>
    <row r="6544" spans="2:24">
      <c r="B6544" s="7"/>
      <c r="D6544" s="7"/>
      <c r="F6544" s="7"/>
      <c r="H6544" s="7"/>
      <c r="J6544" s="7"/>
      <c r="L6544" s="7"/>
      <c r="N6544" s="7"/>
      <c r="P6544" s="7"/>
      <c r="R6544" s="7"/>
      <c r="T6544" s="7"/>
      <c r="V6544" s="7"/>
      <c r="X6544" s="7"/>
    </row>
    <row r="6545" spans="2:24">
      <c r="B6545" s="7"/>
      <c r="D6545" s="7"/>
      <c r="F6545" s="7"/>
      <c r="H6545" s="7"/>
      <c r="J6545" s="7"/>
      <c r="L6545" s="7"/>
      <c r="N6545" s="7"/>
      <c r="P6545" s="7"/>
      <c r="R6545" s="7"/>
      <c r="T6545" s="7"/>
      <c r="V6545" s="7"/>
      <c r="X6545" s="7"/>
    </row>
    <row r="6546" spans="2:24">
      <c r="B6546" s="7"/>
      <c r="D6546" s="7"/>
      <c r="F6546" s="7"/>
      <c r="H6546" s="7"/>
      <c r="J6546" s="7"/>
      <c r="L6546" s="7"/>
      <c r="N6546" s="7"/>
      <c r="P6546" s="7"/>
      <c r="R6546" s="7"/>
      <c r="T6546" s="7"/>
      <c r="V6546" s="7"/>
      <c r="X6546" s="7"/>
    </row>
    <row r="6547" spans="2:24">
      <c r="B6547" s="7"/>
      <c r="D6547" s="7"/>
      <c r="F6547" s="7"/>
      <c r="H6547" s="7"/>
      <c r="J6547" s="7"/>
      <c r="L6547" s="7"/>
      <c r="N6547" s="7"/>
      <c r="P6547" s="7"/>
      <c r="R6547" s="7"/>
      <c r="T6547" s="7"/>
      <c r="V6547" s="7"/>
      <c r="X6547" s="7"/>
    </row>
    <row r="6548" spans="2:24">
      <c r="B6548" s="7"/>
      <c r="D6548" s="7"/>
      <c r="F6548" s="7"/>
      <c r="H6548" s="7"/>
      <c r="J6548" s="7"/>
      <c r="L6548" s="7"/>
      <c r="N6548" s="7"/>
      <c r="P6548" s="7"/>
      <c r="R6548" s="7"/>
      <c r="T6548" s="7"/>
      <c r="V6548" s="7"/>
      <c r="X6548" s="7"/>
    </row>
    <row r="6549" spans="2:24">
      <c r="B6549" s="7"/>
      <c r="D6549" s="7"/>
      <c r="F6549" s="7"/>
      <c r="H6549" s="7"/>
      <c r="J6549" s="7"/>
      <c r="L6549" s="7"/>
      <c r="N6549" s="7"/>
      <c r="P6549" s="7"/>
      <c r="R6549" s="7"/>
      <c r="T6549" s="7"/>
      <c r="V6549" s="7"/>
      <c r="X6549" s="7"/>
    </row>
    <row r="6550" spans="2:24">
      <c r="B6550" s="7"/>
      <c r="D6550" s="7"/>
      <c r="F6550" s="7"/>
      <c r="H6550" s="7"/>
      <c r="J6550" s="7"/>
      <c r="L6550" s="7"/>
      <c r="N6550" s="7"/>
      <c r="P6550" s="7"/>
      <c r="R6550" s="7"/>
      <c r="T6550" s="7"/>
      <c r="V6550" s="7"/>
      <c r="X6550" s="7"/>
    </row>
    <row r="6551" spans="2:24">
      <c r="B6551" s="7"/>
      <c r="D6551" s="7"/>
      <c r="F6551" s="7"/>
      <c r="H6551" s="7"/>
      <c r="J6551" s="7"/>
      <c r="L6551" s="7"/>
      <c r="N6551" s="7"/>
      <c r="P6551" s="7"/>
      <c r="R6551" s="7"/>
      <c r="T6551" s="7"/>
      <c r="V6551" s="7"/>
      <c r="X6551" s="7"/>
    </row>
    <row r="6552" spans="2:24">
      <c r="B6552" s="7"/>
      <c r="D6552" s="7"/>
      <c r="F6552" s="7"/>
      <c r="H6552" s="7"/>
      <c r="J6552" s="7"/>
      <c r="L6552" s="7"/>
      <c r="N6552" s="7"/>
      <c r="P6552" s="7"/>
      <c r="R6552" s="7"/>
      <c r="T6552" s="7"/>
      <c r="V6552" s="7"/>
      <c r="X6552" s="7"/>
    </row>
    <row r="6553" spans="2:24">
      <c r="B6553" s="7"/>
      <c r="D6553" s="7"/>
      <c r="F6553" s="7"/>
      <c r="H6553" s="7"/>
      <c r="J6553" s="7"/>
      <c r="L6553" s="7"/>
      <c r="N6553" s="7"/>
      <c r="P6553" s="7"/>
      <c r="R6553" s="7"/>
      <c r="T6553" s="7"/>
      <c r="V6553" s="7"/>
      <c r="X6553" s="7"/>
    </row>
    <row r="6554" spans="2:24">
      <c r="B6554" s="7"/>
      <c r="D6554" s="7"/>
      <c r="F6554" s="7"/>
      <c r="H6554" s="7"/>
      <c r="J6554" s="7"/>
      <c r="L6554" s="7"/>
      <c r="N6554" s="7"/>
      <c r="P6554" s="7"/>
      <c r="R6554" s="7"/>
      <c r="T6554" s="7"/>
      <c r="V6554" s="7"/>
      <c r="X6554" s="7"/>
    </row>
    <row r="6555" spans="2:24">
      <c r="B6555" s="7"/>
      <c r="D6555" s="7"/>
      <c r="F6555" s="7"/>
      <c r="H6555" s="7"/>
      <c r="J6555" s="7"/>
      <c r="L6555" s="7"/>
      <c r="N6555" s="7"/>
      <c r="P6555" s="7"/>
      <c r="R6555" s="7"/>
      <c r="T6555" s="7"/>
      <c r="V6555" s="7"/>
      <c r="X6555" s="7"/>
    </row>
    <row r="6556" spans="2:24">
      <c r="B6556" s="7"/>
      <c r="D6556" s="7"/>
      <c r="F6556" s="7"/>
      <c r="H6556" s="7"/>
      <c r="J6556" s="7"/>
      <c r="L6556" s="7"/>
      <c r="N6556" s="7"/>
      <c r="P6556" s="7"/>
      <c r="R6556" s="7"/>
      <c r="T6556" s="7"/>
      <c r="V6556" s="7"/>
      <c r="X6556" s="7"/>
    </row>
    <row r="6557" spans="2:24">
      <c r="B6557" s="7"/>
      <c r="D6557" s="7"/>
      <c r="F6557" s="7"/>
      <c r="H6557" s="7"/>
      <c r="J6557" s="7"/>
      <c r="L6557" s="7"/>
      <c r="N6557" s="7"/>
      <c r="P6557" s="7"/>
      <c r="R6557" s="7"/>
      <c r="T6557" s="7"/>
      <c r="V6557" s="7"/>
      <c r="X6557" s="7"/>
    </row>
    <row r="6558" spans="2:24">
      <c r="B6558" s="7"/>
      <c r="D6558" s="7"/>
      <c r="F6558" s="7"/>
      <c r="H6558" s="7"/>
      <c r="J6558" s="7"/>
      <c r="L6558" s="7"/>
      <c r="N6558" s="7"/>
      <c r="P6558" s="7"/>
      <c r="R6558" s="7"/>
      <c r="T6558" s="7"/>
      <c r="V6558" s="7"/>
      <c r="X6558" s="7"/>
    </row>
    <row r="6559" spans="2:24">
      <c r="B6559" s="7"/>
      <c r="D6559" s="7"/>
      <c r="F6559" s="7"/>
      <c r="H6559" s="7"/>
      <c r="J6559" s="7"/>
      <c r="L6559" s="7"/>
      <c r="N6559" s="7"/>
      <c r="P6559" s="7"/>
      <c r="R6559" s="7"/>
      <c r="T6559" s="7"/>
      <c r="V6559" s="7"/>
      <c r="X6559" s="7"/>
    </row>
    <row r="6560" spans="2:24">
      <c r="B6560" s="7"/>
      <c r="D6560" s="7"/>
      <c r="F6560" s="7"/>
      <c r="H6560" s="7"/>
      <c r="J6560" s="7"/>
      <c r="L6560" s="7"/>
      <c r="N6560" s="7"/>
      <c r="P6560" s="7"/>
      <c r="R6560" s="7"/>
      <c r="T6560" s="7"/>
      <c r="V6560" s="7"/>
      <c r="X6560" s="7"/>
    </row>
    <row r="6561" spans="2:24">
      <c r="B6561" s="7"/>
      <c r="D6561" s="7"/>
      <c r="F6561" s="7"/>
      <c r="H6561" s="7"/>
      <c r="J6561" s="7"/>
      <c r="L6561" s="7"/>
      <c r="N6561" s="7"/>
      <c r="P6561" s="7"/>
      <c r="R6561" s="7"/>
      <c r="T6561" s="7"/>
      <c r="V6561" s="7"/>
      <c r="X6561" s="7"/>
    </row>
    <row r="6562" spans="2:24">
      <c r="B6562" s="7"/>
      <c r="D6562" s="7"/>
      <c r="F6562" s="7"/>
      <c r="H6562" s="7"/>
      <c r="J6562" s="7"/>
      <c r="L6562" s="7"/>
      <c r="N6562" s="7"/>
      <c r="P6562" s="7"/>
      <c r="R6562" s="7"/>
      <c r="T6562" s="7"/>
      <c r="V6562" s="7"/>
      <c r="X6562" s="7"/>
    </row>
    <row r="6563" spans="2:24">
      <c r="B6563" s="7"/>
      <c r="D6563" s="7"/>
      <c r="F6563" s="7"/>
      <c r="H6563" s="7"/>
      <c r="J6563" s="7"/>
      <c r="L6563" s="7"/>
      <c r="N6563" s="7"/>
      <c r="P6563" s="7"/>
      <c r="R6563" s="7"/>
      <c r="T6563" s="7"/>
      <c r="V6563" s="7"/>
      <c r="X6563" s="7"/>
    </row>
    <row r="6564" spans="2:24">
      <c r="B6564" s="7"/>
      <c r="D6564" s="7"/>
      <c r="F6564" s="7"/>
      <c r="H6564" s="7"/>
      <c r="J6564" s="7"/>
      <c r="L6564" s="7"/>
      <c r="N6564" s="7"/>
      <c r="P6564" s="7"/>
      <c r="R6564" s="7"/>
      <c r="T6564" s="7"/>
      <c r="V6564" s="7"/>
      <c r="X6564" s="7"/>
    </row>
    <row r="6565" spans="2:24">
      <c r="B6565" s="7"/>
      <c r="D6565" s="7"/>
      <c r="F6565" s="7"/>
      <c r="H6565" s="7"/>
      <c r="J6565" s="7"/>
      <c r="L6565" s="7"/>
      <c r="N6565" s="7"/>
      <c r="P6565" s="7"/>
      <c r="R6565" s="7"/>
      <c r="T6565" s="7"/>
      <c r="V6565" s="7"/>
      <c r="X6565" s="7"/>
    </row>
    <row r="6566" spans="2:24">
      <c r="B6566" s="7"/>
      <c r="D6566" s="7"/>
      <c r="F6566" s="7"/>
      <c r="H6566" s="7"/>
      <c r="J6566" s="7"/>
      <c r="L6566" s="7"/>
      <c r="N6566" s="7"/>
      <c r="P6566" s="7"/>
      <c r="R6566" s="7"/>
      <c r="T6566" s="7"/>
      <c r="V6566" s="7"/>
      <c r="X6566" s="7"/>
    </row>
    <row r="6567" spans="2:24">
      <c r="B6567" s="7"/>
      <c r="D6567" s="7"/>
      <c r="F6567" s="7"/>
      <c r="H6567" s="7"/>
      <c r="J6567" s="7"/>
      <c r="L6567" s="7"/>
      <c r="N6567" s="7"/>
      <c r="P6567" s="7"/>
      <c r="R6567" s="7"/>
      <c r="T6567" s="7"/>
      <c r="V6567" s="7"/>
      <c r="X6567" s="7"/>
    </row>
    <row r="6568" spans="2:24">
      <c r="B6568" s="7"/>
      <c r="D6568" s="7"/>
      <c r="F6568" s="7"/>
      <c r="H6568" s="7"/>
      <c r="J6568" s="7"/>
      <c r="L6568" s="7"/>
      <c r="N6568" s="7"/>
      <c r="P6568" s="7"/>
      <c r="R6568" s="7"/>
      <c r="T6568" s="7"/>
      <c r="V6568" s="7"/>
      <c r="X6568" s="7"/>
    </row>
    <row r="6569" spans="2:24">
      <c r="B6569" s="7"/>
      <c r="D6569" s="7"/>
      <c r="F6569" s="7"/>
      <c r="H6569" s="7"/>
      <c r="J6569" s="7"/>
      <c r="L6569" s="7"/>
      <c r="N6569" s="7"/>
      <c r="P6569" s="7"/>
      <c r="R6569" s="7"/>
      <c r="T6569" s="7"/>
      <c r="V6569" s="7"/>
      <c r="X6569" s="7"/>
    </row>
    <row r="6570" spans="2:24">
      <c r="B6570" s="7"/>
      <c r="D6570" s="7"/>
      <c r="F6570" s="7"/>
      <c r="H6570" s="7"/>
      <c r="J6570" s="7"/>
      <c r="L6570" s="7"/>
      <c r="N6570" s="7"/>
      <c r="P6570" s="7"/>
      <c r="R6570" s="7"/>
      <c r="T6570" s="7"/>
      <c r="V6570" s="7"/>
      <c r="X6570" s="7"/>
    </row>
    <row r="6571" spans="2:24">
      <c r="B6571" s="7"/>
      <c r="D6571" s="7"/>
      <c r="F6571" s="7"/>
      <c r="H6571" s="7"/>
      <c r="J6571" s="7"/>
      <c r="L6571" s="7"/>
      <c r="N6571" s="7"/>
      <c r="P6571" s="7"/>
      <c r="R6571" s="7"/>
      <c r="T6571" s="7"/>
      <c r="V6571" s="7"/>
      <c r="X6571" s="7"/>
    </row>
    <row r="6572" spans="2:24">
      <c r="B6572" s="7"/>
      <c r="D6572" s="7"/>
      <c r="F6572" s="7"/>
      <c r="H6572" s="7"/>
      <c r="J6572" s="7"/>
      <c r="L6572" s="7"/>
      <c r="N6572" s="7"/>
      <c r="P6572" s="7"/>
      <c r="R6572" s="7"/>
      <c r="T6572" s="7"/>
      <c r="V6572" s="7"/>
      <c r="X6572" s="7"/>
    </row>
    <row r="6573" spans="2:24">
      <c r="B6573" s="7"/>
      <c r="D6573" s="7"/>
      <c r="F6573" s="7"/>
      <c r="H6573" s="7"/>
      <c r="J6573" s="7"/>
      <c r="L6573" s="7"/>
      <c r="N6573" s="7"/>
      <c r="P6573" s="7"/>
      <c r="R6573" s="7"/>
      <c r="T6573" s="7"/>
      <c r="V6573" s="7"/>
      <c r="X6573" s="7"/>
    </row>
    <row r="6574" spans="2:24">
      <c r="B6574" s="7"/>
      <c r="D6574" s="7"/>
      <c r="F6574" s="7"/>
      <c r="H6574" s="7"/>
      <c r="J6574" s="7"/>
      <c r="L6574" s="7"/>
      <c r="N6574" s="7"/>
      <c r="P6574" s="7"/>
      <c r="R6574" s="7"/>
      <c r="T6574" s="7"/>
      <c r="V6574" s="7"/>
      <c r="X6574" s="7"/>
    </row>
    <row r="6575" spans="2:24">
      <c r="B6575" s="7"/>
      <c r="D6575" s="7"/>
      <c r="F6575" s="7"/>
      <c r="H6575" s="7"/>
      <c r="J6575" s="7"/>
      <c r="L6575" s="7"/>
      <c r="N6575" s="7"/>
      <c r="P6575" s="7"/>
      <c r="R6575" s="7"/>
      <c r="T6575" s="7"/>
      <c r="V6575" s="7"/>
      <c r="X6575" s="7"/>
    </row>
    <row r="6576" spans="2:24">
      <c r="B6576" s="7"/>
      <c r="D6576" s="7"/>
      <c r="F6576" s="7"/>
      <c r="H6576" s="7"/>
      <c r="J6576" s="7"/>
      <c r="L6576" s="7"/>
      <c r="N6576" s="7"/>
      <c r="P6576" s="7"/>
      <c r="R6576" s="7"/>
      <c r="T6576" s="7"/>
      <c r="V6576" s="7"/>
      <c r="X6576" s="7"/>
    </row>
    <row r="6577" spans="2:24">
      <c r="B6577" s="7"/>
      <c r="D6577" s="7"/>
      <c r="F6577" s="7"/>
      <c r="H6577" s="7"/>
      <c r="J6577" s="7"/>
      <c r="L6577" s="7"/>
      <c r="N6577" s="7"/>
      <c r="P6577" s="7"/>
      <c r="R6577" s="7"/>
      <c r="T6577" s="7"/>
      <c r="V6577" s="7"/>
      <c r="X6577" s="7"/>
    </row>
    <row r="6578" spans="2:24">
      <c r="B6578" s="7"/>
      <c r="D6578" s="7"/>
      <c r="F6578" s="7"/>
      <c r="H6578" s="7"/>
      <c r="J6578" s="7"/>
      <c r="L6578" s="7"/>
      <c r="N6578" s="7"/>
      <c r="P6578" s="7"/>
      <c r="R6578" s="7"/>
      <c r="T6578" s="7"/>
      <c r="V6578" s="7"/>
      <c r="X6578" s="7"/>
    </row>
    <row r="6579" spans="2:24">
      <c r="B6579" s="7"/>
      <c r="D6579" s="7"/>
      <c r="F6579" s="7"/>
      <c r="H6579" s="7"/>
      <c r="J6579" s="7"/>
      <c r="L6579" s="7"/>
      <c r="N6579" s="7"/>
      <c r="P6579" s="7"/>
      <c r="R6579" s="7"/>
      <c r="T6579" s="7"/>
      <c r="V6579" s="7"/>
      <c r="X6579" s="7"/>
    </row>
    <row r="6580" spans="2:24">
      <c r="B6580" s="7"/>
      <c r="D6580" s="7"/>
      <c r="F6580" s="7"/>
      <c r="H6580" s="7"/>
      <c r="J6580" s="7"/>
      <c r="L6580" s="7"/>
      <c r="N6580" s="7"/>
      <c r="P6580" s="7"/>
      <c r="R6580" s="7"/>
      <c r="T6580" s="7"/>
      <c r="V6580" s="7"/>
      <c r="X6580" s="7"/>
    </row>
    <row r="6581" spans="2:24">
      <c r="B6581" s="7"/>
      <c r="D6581" s="7"/>
      <c r="F6581" s="7"/>
      <c r="H6581" s="7"/>
      <c r="J6581" s="7"/>
      <c r="L6581" s="7"/>
      <c r="N6581" s="7"/>
      <c r="P6581" s="7"/>
      <c r="R6581" s="7"/>
      <c r="T6581" s="7"/>
      <c r="V6581" s="7"/>
      <c r="X6581" s="7"/>
    </row>
    <row r="6582" spans="2:24">
      <c r="B6582" s="7"/>
      <c r="D6582" s="7"/>
      <c r="F6582" s="7"/>
      <c r="H6582" s="7"/>
      <c r="J6582" s="7"/>
      <c r="L6582" s="7"/>
      <c r="N6582" s="7"/>
      <c r="P6582" s="7"/>
      <c r="R6582" s="7"/>
      <c r="T6582" s="7"/>
      <c r="V6582" s="7"/>
      <c r="X6582" s="7"/>
    </row>
    <row r="6583" spans="2:24">
      <c r="B6583" s="7"/>
      <c r="D6583" s="7"/>
      <c r="F6583" s="7"/>
      <c r="H6583" s="7"/>
      <c r="J6583" s="7"/>
      <c r="L6583" s="7"/>
      <c r="N6583" s="7"/>
      <c r="P6583" s="7"/>
      <c r="R6583" s="7"/>
      <c r="T6583" s="7"/>
      <c r="V6583" s="7"/>
      <c r="X6583" s="7"/>
    </row>
    <row r="6584" spans="2:24">
      <c r="B6584" s="7"/>
      <c r="D6584" s="7"/>
      <c r="F6584" s="7"/>
      <c r="H6584" s="7"/>
      <c r="J6584" s="7"/>
      <c r="L6584" s="7"/>
      <c r="N6584" s="7"/>
      <c r="P6584" s="7"/>
      <c r="R6584" s="7"/>
      <c r="T6584" s="7"/>
      <c r="V6584" s="7"/>
      <c r="X6584" s="7"/>
    </row>
    <row r="6585" spans="2:24">
      <c r="B6585" s="7"/>
      <c r="D6585" s="7"/>
      <c r="F6585" s="7"/>
      <c r="H6585" s="7"/>
      <c r="J6585" s="7"/>
      <c r="L6585" s="7"/>
      <c r="N6585" s="7"/>
      <c r="P6585" s="7"/>
      <c r="R6585" s="7"/>
      <c r="T6585" s="7"/>
      <c r="V6585" s="7"/>
      <c r="X6585" s="7"/>
    </row>
    <row r="6586" spans="2:24">
      <c r="B6586" s="7"/>
      <c r="D6586" s="7"/>
      <c r="F6586" s="7"/>
      <c r="H6586" s="7"/>
      <c r="J6586" s="7"/>
      <c r="L6586" s="7"/>
      <c r="N6586" s="7"/>
      <c r="P6586" s="7"/>
      <c r="R6586" s="7"/>
      <c r="T6586" s="7"/>
      <c r="V6586" s="7"/>
      <c r="X6586" s="7"/>
    </row>
    <row r="6587" spans="2:24">
      <c r="B6587" s="7"/>
      <c r="D6587" s="7"/>
      <c r="F6587" s="7"/>
      <c r="H6587" s="7"/>
      <c r="J6587" s="7"/>
      <c r="L6587" s="7"/>
      <c r="N6587" s="7"/>
      <c r="P6587" s="7"/>
      <c r="R6587" s="7"/>
      <c r="T6587" s="7"/>
      <c r="V6587" s="7"/>
      <c r="X6587" s="7"/>
    </row>
    <row r="6588" spans="2:24">
      <c r="B6588" s="7"/>
      <c r="D6588" s="7"/>
      <c r="F6588" s="7"/>
      <c r="H6588" s="7"/>
      <c r="J6588" s="7"/>
      <c r="L6588" s="7"/>
      <c r="N6588" s="7"/>
      <c r="P6588" s="7"/>
      <c r="R6588" s="7"/>
      <c r="T6588" s="7"/>
      <c r="V6588" s="7"/>
      <c r="X6588" s="7"/>
    </row>
    <row r="6589" spans="2:24">
      <c r="B6589" s="7"/>
      <c r="D6589" s="7"/>
      <c r="F6589" s="7"/>
      <c r="H6589" s="7"/>
      <c r="J6589" s="7"/>
      <c r="L6589" s="7"/>
      <c r="N6589" s="7"/>
      <c r="P6589" s="7"/>
      <c r="R6589" s="7"/>
      <c r="T6589" s="7"/>
      <c r="V6589" s="7"/>
      <c r="X6589" s="7"/>
    </row>
    <row r="6590" spans="2:24">
      <c r="B6590" s="7"/>
      <c r="D6590" s="7"/>
      <c r="F6590" s="7"/>
      <c r="H6590" s="7"/>
      <c r="J6590" s="7"/>
      <c r="L6590" s="7"/>
      <c r="N6590" s="7"/>
      <c r="P6590" s="7"/>
      <c r="R6590" s="7"/>
      <c r="T6590" s="7"/>
      <c r="V6590" s="7"/>
      <c r="X6590" s="7"/>
    </row>
    <row r="6591" spans="2:24">
      <c r="B6591" s="7"/>
      <c r="D6591" s="7"/>
      <c r="F6591" s="7"/>
      <c r="H6591" s="7"/>
      <c r="J6591" s="7"/>
      <c r="L6591" s="7"/>
      <c r="N6591" s="7"/>
      <c r="P6591" s="7"/>
      <c r="R6591" s="7"/>
      <c r="T6591" s="7"/>
      <c r="V6591" s="7"/>
      <c r="X6591" s="7"/>
    </row>
    <row r="6592" spans="2:24">
      <c r="B6592" s="7"/>
      <c r="D6592" s="7"/>
      <c r="F6592" s="7"/>
      <c r="H6592" s="7"/>
      <c r="J6592" s="7"/>
      <c r="L6592" s="7"/>
      <c r="N6592" s="7"/>
      <c r="P6592" s="7"/>
      <c r="R6592" s="7"/>
      <c r="T6592" s="7"/>
      <c r="V6592" s="7"/>
      <c r="X6592" s="7"/>
    </row>
    <row r="6593" spans="2:24">
      <c r="B6593" s="7"/>
      <c r="D6593" s="7"/>
      <c r="F6593" s="7"/>
      <c r="H6593" s="7"/>
      <c r="J6593" s="7"/>
      <c r="L6593" s="7"/>
      <c r="N6593" s="7"/>
      <c r="P6593" s="7"/>
      <c r="R6593" s="7"/>
      <c r="T6593" s="7"/>
      <c r="V6593" s="7"/>
      <c r="X6593" s="7"/>
    </row>
    <row r="6594" spans="2:24">
      <c r="B6594" s="7"/>
      <c r="D6594" s="7"/>
      <c r="F6594" s="7"/>
      <c r="H6594" s="7"/>
      <c r="J6594" s="7"/>
      <c r="L6594" s="7"/>
      <c r="N6594" s="7"/>
      <c r="P6594" s="7"/>
      <c r="R6594" s="7"/>
      <c r="T6594" s="7"/>
      <c r="V6594" s="7"/>
      <c r="X6594" s="7"/>
    </row>
    <row r="6595" spans="2:24">
      <c r="B6595" s="7"/>
      <c r="D6595" s="7"/>
      <c r="F6595" s="7"/>
      <c r="H6595" s="7"/>
      <c r="J6595" s="7"/>
      <c r="L6595" s="7"/>
      <c r="N6595" s="7"/>
      <c r="P6595" s="7"/>
      <c r="R6595" s="7"/>
      <c r="T6595" s="7"/>
      <c r="V6595" s="7"/>
      <c r="X6595" s="7"/>
    </row>
    <row r="6596" spans="2:24">
      <c r="B6596" s="7"/>
      <c r="D6596" s="7"/>
      <c r="F6596" s="7"/>
      <c r="H6596" s="7"/>
      <c r="J6596" s="7"/>
      <c r="L6596" s="7"/>
      <c r="N6596" s="7"/>
      <c r="P6596" s="7"/>
      <c r="R6596" s="7"/>
      <c r="T6596" s="7"/>
      <c r="V6596" s="7"/>
      <c r="X6596" s="7"/>
    </row>
    <row r="6597" spans="2:24">
      <c r="B6597" s="7"/>
      <c r="D6597" s="7"/>
      <c r="F6597" s="7"/>
      <c r="H6597" s="7"/>
      <c r="J6597" s="7"/>
      <c r="L6597" s="7"/>
      <c r="N6597" s="7"/>
      <c r="P6597" s="7"/>
      <c r="R6597" s="7"/>
      <c r="T6597" s="7"/>
      <c r="V6597" s="7"/>
      <c r="X6597" s="7"/>
    </row>
    <row r="6598" spans="2:24">
      <c r="B6598" s="7"/>
      <c r="D6598" s="7"/>
      <c r="F6598" s="7"/>
      <c r="H6598" s="7"/>
      <c r="J6598" s="7"/>
      <c r="L6598" s="7"/>
      <c r="N6598" s="7"/>
      <c r="P6598" s="7"/>
      <c r="R6598" s="7"/>
      <c r="T6598" s="7"/>
      <c r="V6598" s="7"/>
      <c r="X6598" s="7"/>
    </row>
    <row r="6599" spans="2:24">
      <c r="B6599" s="7"/>
      <c r="D6599" s="7"/>
      <c r="F6599" s="7"/>
      <c r="H6599" s="7"/>
      <c r="J6599" s="7"/>
      <c r="L6599" s="7"/>
      <c r="N6599" s="7"/>
      <c r="P6599" s="7"/>
      <c r="R6599" s="7"/>
      <c r="T6599" s="7"/>
      <c r="V6599" s="7"/>
      <c r="X6599" s="7"/>
    </row>
    <row r="6600" spans="2:24">
      <c r="B6600" s="7"/>
      <c r="D6600" s="7"/>
      <c r="F6600" s="7"/>
      <c r="H6600" s="7"/>
      <c r="J6600" s="7"/>
      <c r="L6600" s="7"/>
      <c r="N6600" s="7"/>
      <c r="P6600" s="7"/>
      <c r="R6600" s="7"/>
      <c r="T6600" s="7"/>
      <c r="V6600" s="7"/>
      <c r="X6600" s="7"/>
    </row>
    <row r="6601" spans="2:24">
      <c r="B6601" s="7"/>
      <c r="D6601" s="7"/>
      <c r="F6601" s="7"/>
      <c r="H6601" s="7"/>
      <c r="J6601" s="7"/>
      <c r="L6601" s="7"/>
      <c r="N6601" s="7"/>
      <c r="P6601" s="7"/>
      <c r="R6601" s="7"/>
      <c r="T6601" s="7"/>
      <c r="V6601" s="7"/>
      <c r="X6601" s="7"/>
    </row>
    <row r="6602" spans="2:24">
      <c r="B6602" s="7"/>
      <c r="D6602" s="7"/>
      <c r="F6602" s="7"/>
      <c r="H6602" s="7"/>
      <c r="J6602" s="7"/>
      <c r="L6602" s="7"/>
      <c r="N6602" s="7"/>
      <c r="P6602" s="7"/>
      <c r="R6602" s="7"/>
      <c r="T6602" s="7"/>
      <c r="V6602" s="7"/>
      <c r="X6602" s="7"/>
    </row>
    <row r="6603" spans="2:24">
      <c r="B6603" s="7"/>
      <c r="D6603" s="7"/>
      <c r="F6603" s="7"/>
      <c r="H6603" s="7"/>
      <c r="J6603" s="7"/>
      <c r="L6603" s="7"/>
      <c r="N6603" s="7"/>
      <c r="P6603" s="7"/>
      <c r="R6603" s="7"/>
      <c r="T6603" s="7"/>
      <c r="V6603" s="7"/>
      <c r="X6603" s="7"/>
    </row>
    <row r="6604" spans="2:24">
      <c r="B6604" s="7"/>
      <c r="D6604" s="7"/>
      <c r="F6604" s="7"/>
      <c r="H6604" s="7"/>
      <c r="J6604" s="7"/>
      <c r="L6604" s="7"/>
      <c r="N6604" s="7"/>
      <c r="P6604" s="7"/>
      <c r="R6604" s="7"/>
      <c r="T6604" s="7"/>
      <c r="V6604" s="7"/>
      <c r="X6604" s="7"/>
    </row>
    <row r="6605" spans="2:24">
      <c r="B6605" s="7"/>
      <c r="D6605" s="7"/>
      <c r="F6605" s="7"/>
      <c r="H6605" s="7"/>
      <c r="J6605" s="7"/>
      <c r="L6605" s="7"/>
      <c r="N6605" s="7"/>
      <c r="P6605" s="7"/>
      <c r="R6605" s="7"/>
      <c r="T6605" s="7"/>
      <c r="V6605" s="7"/>
      <c r="X6605" s="7"/>
    </row>
    <row r="6606" spans="2:24">
      <c r="B6606" s="7"/>
      <c r="D6606" s="7"/>
      <c r="F6606" s="7"/>
      <c r="H6606" s="7"/>
      <c r="J6606" s="7"/>
      <c r="L6606" s="7"/>
      <c r="N6606" s="7"/>
      <c r="P6606" s="7"/>
      <c r="R6606" s="7"/>
      <c r="T6606" s="7"/>
      <c r="V6606" s="7"/>
      <c r="X6606" s="7"/>
    </row>
    <row r="6607" spans="2:24">
      <c r="B6607" s="7"/>
      <c r="D6607" s="7"/>
      <c r="F6607" s="7"/>
      <c r="H6607" s="7"/>
      <c r="J6607" s="7"/>
      <c r="L6607" s="7"/>
      <c r="N6607" s="7"/>
      <c r="P6607" s="7"/>
      <c r="R6607" s="7"/>
      <c r="T6607" s="7"/>
      <c r="V6607" s="7"/>
      <c r="X6607" s="7"/>
    </row>
    <row r="6608" spans="2:24">
      <c r="B6608" s="7"/>
      <c r="D6608" s="7"/>
      <c r="F6608" s="7"/>
      <c r="H6608" s="7"/>
      <c r="J6608" s="7"/>
      <c r="L6608" s="7"/>
      <c r="N6608" s="7"/>
      <c r="P6608" s="7"/>
      <c r="R6608" s="7"/>
      <c r="T6608" s="7"/>
      <c r="V6608" s="7"/>
      <c r="X6608" s="7"/>
    </row>
    <row r="6609" spans="2:24">
      <c r="B6609" s="7"/>
      <c r="D6609" s="7"/>
      <c r="F6609" s="7"/>
      <c r="H6609" s="7"/>
      <c r="J6609" s="7"/>
      <c r="L6609" s="7"/>
      <c r="N6609" s="7"/>
      <c r="P6609" s="7"/>
      <c r="R6609" s="7"/>
      <c r="T6609" s="7"/>
      <c r="V6609" s="7"/>
      <c r="X6609" s="7"/>
    </row>
    <row r="6610" spans="2:24">
      <c r="B6610" s="7"/>
      <c r="D6610" s="7"/>
      <c r="F6610" s="7"/>
      <c r="H6610" s="7"/>
      <c r="J6610" s="7"/>
      <c r="L6610" s="7"/>
      <c r="N6610" s="7"/>
      <c r="P6610" s="7"/>
      <c r="R6610" s="7"/>
      <c r="T6610" s="7"/>
      <c r="V6610" s="7"/>
      <c r="X6610" s="7"/>
    </row>
    <row r="6611" spans="2:24">
      <c r="B6611" s="7"/>
      <c r="D6611" s="7"/>
      <c r="F6611" s="7"/>
      <c r="H6611" s="7"/>
      <c r="J6611" s="7"/>
      <c r="L6611" s="7"/>
      <c r="N6611" s="7"/>
      <c r="P6611" s="7"/>
      <c r="R6611" s="7"/>
      <c r="T6611" s="7"/>
      <c r="V6611" s="7"/>
      <c r="X6611" s="7"/>
    </row>
    <row r="6612" spans="2:24">
      <c r="B6612" s="7"/>
      <c r="D6612" s="7"/>
      <c r="F6612" s="7"/>
      <c r="H6612" s="7"/>
      <c r="J6612" s="7"/>
      <c r="L6612" s="7"/>
      <c r="N6612" s="7"/>
      <c r="P6612" s="7"/>
      <c r="R6612" s="7"/>
      <c r="T6612" s="7"/>
      <c r="V6612" s="7"/>
      <c r="X6612" s="7"/>
    </row>
    <row r="6613" spans="2:24">
      <c r="B6613" s="7"/>
      <c r="D6613" s="7"/>
      <c r="F6613" s="7"/>
      <c r="H6613" s="7"/>
      <c r="J6613" s="7"/>
      <c r="L6613" s="7"/>
      <c r="N6613" s="7"/>
      <c r="P6613" s="7"/>
      <c r="R6613" s="7"/>
      <c r="T6613" s="7"/>
      <c r="V6613" s="7"/>
      <c r="X6613" s="7"/>
    </row>
    <row r="6614" spans="2:24">
      <c r="B6614" s="7"/>
      <c r="D6614" s="7"/>
      <c r="F6614" s="7"/>
      <c r="H6614" s="7"/>
      <c r="J6614" s="7"/>
      <c r="L6614" s="7"/>
      <c r="N6614" s="7"/>
      <c r="P6614" s="7"/>
      <c r="R6614" s="7"/>
      <c r="T6614" s="7"/>
      <c r="V6614" s="7"/>
      <c r="X6614" s="7"/>
    </row>
    <row r="6615" spans="2:24">
      <c r="B6615" s="7"/>
      <c r="D6615" s="7"/>
      <c r="F6615" s="7"/>
      <c r="H6615" s="7"/>
      <c r="J6615" s="7"/>
      <c r="L6615" s="7"/>
      <c r="N6615" s="7"/>
      <c r="P6615" s="7"/>
      <c r="R6615" s="7"/>
      <c r="T6615" s="7"/>
      <c r="V6615" s="7"/>
      <c r="X6615" s="7"/>
    </row>
    <row r="6616" spans="2:24">
      <c r="B6616" s="7"/>
      <c r="D6616" s="7"/>
      <c r="F6616" s="7"/>
      <c r="H6616" s="7"/>
      <c r="J6616" s="7"/>
      <c r="L6616" s="7"/>
      <c r="N6616" s="7"/>
      <c r="P6616" s="7"/>
      <c r="R6616" s="7"/>
      <c r="T6616" s="7"/>
      <c r="V6616" s="7"/>
      <c r="X6616" s="7"/>
    </row>
    <row r="6617" spans="2:24">
      <c r="B6617" s="7"/>
      <c r="D6617" s="7"/>
      <c r="F6617" s="7"/>
      <c r="H6617" s="7"/>
      <c r="J6617" s="7"/>
      <c r="L6617" s="7"/>
      <c r="N6617" s="7"/>
      <c r="P6617" s="7"/>
      <c r="R6617" s="7"/>
      <c r="T6617" s="7"/>
      <c r="V6617" s="7"/>
      <c r="X6617" s="7"/>
    </row>
    <row r="6618" spans="2:24">
      <c r="B6618" s="7"/>
      <c r="D6618" s="7"/>
      <c r="F6618" s="7"/>
      <c r="H6618" s="7"/>
      <c r="J6618" s="7"/>
      <c r="L6618" s="7"/>
      <c r="N6618" s="7"/>
      <c r="P6618" s="7"/>
      <c r="R6618" s="7"/>
      <c r="T6618" s="7"/>
      <c r="V6618" s="7"/>
      <c r="X6618" s="7"/>
    </row>
    <row r="6619" spans="2:24">
      <c r="B6619" s="7"/>
      <c r="D6619" s="7"/>
      <c r="F6619" s="7"/>
      <c r="H6619" s="7"/>
      <c r="J6619" s="7"/>
      <c r="L6619" s="7"/>
      <c r="N6619" s="7"/>
      <c r="P6619" s="7"/>
      <c r="R6619" s="7"/>
      <c r="T6619" s="7"/>
      <c r="V6619" s="7"/>
      <c r="X6619" s="7"/>
    </row>
    <row r="6620" spans="2:24">
      <c r="B6620" s="7"/>
      <c r="D6620" s="7"/>
      <c r="F6620" s="7"/>
      <c r="H6620" s="7"/>
      <c r="J6620" s="7"/>
      <c r="L6620" s="7"/>
      <c r="N6620" s="7"/>
      <c r="P6620" s="7"/>
      <c r="R6620" s="7"/>
      <c r="T6620" s="7"/>
      <c r="V6620" s="7"/>
      <c r="X6620" s="7"/>
    </row>
    <row r="6621" spans="2:24">
      <c r="B6621" s="7"/>
      <c r="D6621" s="7"/>
      <c r="F6621" s="7"/>
      <c r="H6621" s="7"/>
      <c r="J6621" s="7"/>
      <c r="L6621" s="7"/>
      <c r="N6621" s="7"/>
      <c r="P6621" s="7"/>
      <c r="R6621" s="7"/>
      <c r="T6621" s="7"/>
      <c r="V6621" s="7"/>
      <c r="X6621" s="7"/>
    </row>
    <row r="6622" spans="2:24">
      <c r="B6622" s="7"/>
      <c r="D6622" s="7"/>
      <c r="F6622" s="7"/>
      <c r="H6622" s="7"/>
      <c r="J6622" s="7"/>
      <c r="L6622" s="7"/>
      <c r="N6622" s="7"/>
      <c r="P6622" s="7"/>
      <c r="R6622" s="7"/>
      <c r="T6622" s="7"/>
      <c r="V6622" s="7"/>
      <c r="X6622" s="7"/>
    </row>
    <row r="6623" spans="2:24">
      <c r="B6623" s="7"/>
      <c r="D6623" s="7"/>
      <c r="F6623" s="7"/>
      <c r="H6623" s="7"/>
      <c r="J6623" s="7"/>
      <c r="L6623" s="7"/>
      <c r="N6623" s="7"/>
      <c r="P6623" s="7"/>
      <c r="R6623" s="7"/>
      <c r="T6623" s="7"/>
      <c r="V6623" s="7"/>
      <c r="X6623" s="7"/>
    </row>
    <row r="6624" spans="2:24">
      <c r="B6624" s="7"/>
      <c r="D6624" s="7"/>
      <c r="F6624" s="7"/>
      <c r="H6624" s="7"/>
      <c r="J6624" s="7"/>
      <c r="L6624" s="7"/>
      <c r="N6624" s="7"/>
      <c r="P6624" s="7"/>
      <c r="R6624" s="7"/>
      <c r="T6624" s="7"/>
      <c r="V6624" s="7"/>
      <c r="X6624" s="7"/>
    </row>
    <row r="6625" spans="2:24">
      <c r="B6625" s="7"/>
      <c r="D6625" s="7"/>
      <c r="F6625" s="7"/>
      <c r="H6625" s="7"/>
      <c r="J6625" s="7"/>
      <c r="L6625" s="7"/>
      <c r="N6625" s="7"/>
      <c r="P6625" s="7"/>
      <c r="R6625" s="7"/>
      <c r="T6625" s="7"/>
      <c r="V6625" s="7"/>
      <c r="X6625" s="7"/>
    </row>
    <row r="6626" spans="2:24">
      <c r="B6626" s="7"/>
      <c r="D6626" s="7"/>
      <c r="F6626" s="7"/>
      <c r="H6626" s="7"/>
      <c r="J6626" s="7"/>
      <c r="L6626" s="7"/>
      <c r="N6626" s="7"/>
      <c r="P6626" s="7"/>
      <c r="R6626" s="7"/>
      <c r="T6626" s="7"/>
      <c r="V6626" s="7"/>
      <c r="X6626" s="7"/>
    </row>
    <row r="6627" spans="2:24">
      <c r="B6627" s="7"/>
      <c r="D6627" s="7"/>
      <c r="F6627" s="7"/>
      <c r="H6627" s="7"/>
      <c r="J6627" s="7"/>
      <c r="L6627" s="7"/>
      <c r="N6627" s="7"/>
      <c r="P6627" s="7"/>
      <c r="R6627" s="7"/>
      <c r="T6627" s="7"/>
      <c r="V6627" s="7"/>
      <c r="X6627" s="7"/>
    </row>
    <row r="6628" spans="2:24">
      <c r="B6628" s="7"/>
      <c r="D6628" s="7"/>
      <c r="F6628" s="7"/>
      <c r="H6628" s="7"/>
      <c r="J6628" s="7"/>
      <c r="L6628" s="7"/>
      <c r="N6628" s="7"/>
      <c r="P6628" s="7"/>
      <c r="R6628" s="7"/>
      <c r="T6628" s="7"/>
      <c r="V6628" s="7"/>
      <c r="X6628" s="7"/>
    </row>
    <row r="6629" spans="2:24">
      <c r="B6629" s="7"/>
      <c r="D6629" s="7"/>
      <c r="F6629" s="7"/>
      <c r="H6629" s="7"/>
      <c r="J6629" s="7"/>
      <c r="L6629" s="7"/>
      <c r="N6629" s="7"/>
      <c r="P6629" s="7"/>
      <c r="R6629" s="7"/>
      <c r="T6629" s="7"/>
      <c r="V6629" s="7"/>
      <c r="X6629" s="7"/>
    </row>
    <row r="6630" spans="2:24">
      <c r="B6630" s="7"/>
      <c r="D6630" s="7"/>
      <c r="F6630" s="7"/>
      <c r="H6630" s="7"/>
      <c r="J6630" s="7"/>
      <c r="L6630" s="7"/>
      <c r="N6630" s="7"/>
      <c r="P6630" s="7"/>
      <c r="R6630" s="7"/>
      <c r="T6630" s="7"/>
      <c r="V6630" s="7"/>
      <c r="X6630" s="7"/>
    </row>
    <row r="6631" spans="2:24">
      <c r="B6631" s="7"/>
      <c r="D6631" s="7"/>
      <c r="F6631" s="7"/>
      <c r="H6631" s="7"/>
      <c r="J6631" s="7"/>
      <c r="L6631" s="7"/>
      <c r="N6631" s="7"/>
      <c r="P6631" s="7"/>
      <c r="R6631" s="7"/>
      <c r="T6631" s="7"/>
      <c r="V6631" s="7"/>
      <c r="X6631" s="7"/>
    </row>
    <row r="6632" spans="2:24">
      <c r="B6632" s="7"/>
      <c r="D6632" s="7"/>
      <c r="F6632" s="7"/>
      <c r="H6632" s="7"/>
      <c r="J6632" s="7"/>
      <c r="L6632" s="7"/>
      <c r="N6632" s="7"/>
      <c r="P6632" s="7"/>
      <c r="R6632" s="7"/>
      <c r="T6632" s="7"/>
      <c r="V6632" s="7"/>
      <c r="X6632" s="7"/>
    </row>
    <row r="6633" spans="2:24">
      <c r="B6633" s="7"/>
      <c r="D6633" s="7"/>
      <c r="F6633" s="7"/>
      <c r="H6633" s="7"/>
      <c r="J6633" s="7"/>
      <c r="L6633" s="7"/>
      <c r="N6633" s="7"/>
      <c r="P6633" s="7"/>
      <c r="R6633" s="7"/>
      <c r="T6633" s="7"/>
      <c r="V6633" s="7"/>
      <c r="X6633" s="7"/>
    </row>
    <row r="6634" spans="2:24">
      <c r="B6634" s="7"/>
      <c r="D6634" s="7"/>
      <c r="F6634" s="7"/>
      <c r="H6634" s="7"/>
      <c r="J6634" s="7"/>
      <c r="L6634" s="7"/>
      <c r="N6634" s="7"/>
      <c r="P6634" s="7"/>
      <c r="R6634" s="7"/>
      <c r="T6634" s="7"/>
      <c r="V6634" s="7"/>
      <c r="X6634" s="7"/>
    </row>
    <row r="6635" spans="2:24">
      <c r="B6635" s="7"/>
      <c r="D6635" s="7"/>
      <c r="F6635" s="7"/>
      <c r="H6635" s="7"/>
      <c r="J6635" s="7"/>
      <c r="L6635" s="7"/>
      <c r="N6635" s="7"/>
      <c r="P6635" s="7"/>
      <c r="R6635" s="7"/>
      <c r="T6635" s="7"/>
      <c r="V6635" s="7"/>
      <c r="X6635" s="7"/>
    </row>
    <row r="6636" spans="2:24">
      <c r="B6636" s="7"/>
      <c r="D6636" s="7"/>
      <c r="F6636" s="7"/>
      <c r="H6636" s="7"/>
      <c r="J6636" s="7"/>
      <c r="L6636" s="7"/>
      <c r="N6636" s="7"/>
      <c r="P6636" s="7"/>
      <c r="R6636" s="7"/>
      <c r="T6636" s="7"/>
      <c r="V6636" s="7"/>
      <c r="X6636" s="7"/>
    </row>
    <row r="6637" spans="2:24">
      <c r="B6637" s="7"/>
      <c r="D6637" s="7"/>
      <c r="F6637" s="7"/>
      <c r="H6637" s="7"/>
      <c r="J6637" s="7"/>
      <c r="L6637" s="7"/>
      <c r="N6637" s="7"/>
      <c r="P6637" s="7"/>
      <c r="R6637" s="7"/>
      <c r="T6637" s="7"/>
      <c r="V6637" s="7"/>
      <c r="X6637" s="7"/>
    </row>
    <row r="6638" spans="2:24">
      <c r="B6638" s="7"/>
      <c r="D6638" s="7"/>
      <c r="F6638" s="7"/>
      <c r="H6638" s="7"/>
      <c r="J6638" s="7"/>
      <c r="L6638" s="7"/>
      <c r="N6638" s="7"/>
      <c r="P6638" s="7"/>
      <c r="R6638" s="7"/>
      <c r="T6638" s="7"/>
      <c r="V6638" s="7"/>
      <c r="X6638" s="7"/>
    </row>
    <row r="6639" spans="2:24">
      <c r="B6639" s="7"/>
      <c r="D6639" s="7"/>
      <c r="F6639" s="7"/>
      <c r="H6639" s="7"/>
      <c r="J6639" s="7"/>
      <c r="L6639" s="7"/>
      <c r="N6639" s="7"/>
      <c r="P6639" s="7"/>
      <c r="R6639" s="7"/>
      <c r="T6639" s="7"/>
      <c r="V6639" s="7"/>
      <c r="X6639" s="7"/>
    </row>
    <row r="6640" spans="2:24">
      <c r="B6640" s="7"/>
      <c r="D6640" s="7"/>
      <c r="F6640" s="7"/>
      <c r="H6640" s="7"/>
      <c r="J6640" s="7"/>
      <c r="L6640" s="7"/>
      <c r="N6640" s="7"/>
      <c r="P6640" s="7"/>
      <c r="R6640" s="7"/>
      <c r="T6640" s="7"/>
      <c r="V6640" s="7"/>
      <c r="X6640" s="7"/>
    </row>
    <row r="6641" spans="2:24">
      <c r="B6641" s="7"/>
      <c r="D6641" s="7"/>
      <c r="F6641" s="7"/>
      <c r="H6641" s="7"/>
      <c r="J6641" s="7"/>
      <c r="L6641" s="7"/>
      <c r="N6641" s="7"/>
      <c r="P6641" s="7"/>
      <c r="R6641" s="7"/>
      <c r="T6641" s="7"/>
      <c r="V6641" s="7"/>
      <c r="X6641" s="7"/>
    </row>
    <row r="6642" spans="2:24">
      <c r="B6642" s="7"/>
      <c r="D6642" s="7"/>
      <c r="F6642" s="7"/>
      <c r="H6642" s="7"/>
      <c r="J6642" s="7"/>
      <c r="L6642" s="7"/>
      <c r="N6642" s="7"/>
      <c r="P6642" s="7"/>
      <c r="R6642" s="7"/>
      <c r="T6642" s="7"/>
      <c r="V6642" s="7"/>
      <c r="X6642" s="7"/>
    </row>
    <row r="6643" spans="2:24">
      <c r="B6643" s="7"/>
      <c r="D6643" s="7"/>
      <c r="F6643" s="7"/>
      <c r="H6643" s="7"/>
      <c r="J6643" s="7"/>
      <c r="L6643" s="7"/>
      <c r="N6643" s="7"/>
      <c r="P6643" s="7"/>
      <c r="R6643" s="7"/>
      <c r="T6643" s="7"/>
      <c r="V6643" s="7"/>
      <c r="X6643" s="7"/>
    </row>
    <row r="6644" spans="2:24">
      <c r="B6644" s="7"/>
      <c r="D6644" s="7"/>
      <c r="F6644" s="7"/>
      <c r="H6644" s="7"/>
      <c r="J6644" s="7"/>
      <c r="L6644" s="7"/>
      <c r="N6644" s="7"/>
      <c r="P6644" s="7"/>
      <c r="R6644" s="7"/>
      <c r="T6644" s="7"/>
      <c r="V6644" s="7"/>
      <c r="X6644" s="7"/>
    </row>
    <row r="6645" spans="2:24">
      <c r="B6645" s="7"/>
      <c r="D6645" s="7"/>
      <c r="F6645" s="7"/>
      <c r="H6645" s="7"/>
      <c r="J6645" s="7"/>
      <c r="L6645" s="7"/>
      <c r="N6645" s="7"/>
      <c r="P6645" s="7"/>
      <c r="R6645" s="7"/>
      <c r="T6645" s="7"/>
      <c r="V6645" s="7"/>
      <c r="X6645" s="7"/>
    </row>
    <row r="6646" spans="2:24">
      <c r="B6646" s="7"/>
      <c r="D6646" s="7"/>
      <c r="F6646" s="7"/>
      <c r="H6646" s="7"/>
      <c r="J6646" s="7"/>
      <c r="L6646" s="7"/>
      <c r="N6646" s="7"/>
      <c r="P6646" s="7"/>
      <c r="R6646" s="7"/>
      <c r="T6646" s="7"/>
      <c r="V6646" s="7"/>
      <c r="X6646" s="7"/>
    </row>
    <row r="6647" spans="2:24">
      <c r="B6647" s="7"/>
      <c r="D6647" s="7"/>
      <c r="F6647" s="7"/>
      <c r="H6647" s="7"/>
      <c r="J6647" s="7"/>
      <c r="L6647" s="7"/>
      <c r="N6647" s="7"/>
      <c r="P6647" s="7"/>
      <c r="R6647" s="7"/>
      <c r="T6647" s="7"/>
      <c r="V6647" s="7"/>
      <c r="X6647" s="7"/>
    </row>
    <row r="6648" spans="2:24">
      <c r="B6648" s="7"/>
      <c r="D6648" s="7"/>
      <c r="F6648" s="7"/>
      <c r="H6648" s="7"/>
      <c r="J6648" s="7"/>
      <c r="L6648" s="7"/>
      <c r="N6648" s="7"/>
      <c r="P6648" s="7"/>
      <c r="R6648" s="7"/>
      <c r="T6648" s="7"/>
      <c r="V6648" s="7"/>
      <c r="X6648" s="7"/>
    </row>
    <row r="6649" spans="2:24">
      <c r="B6649" s="7"/>
      <c r="D6649" s="7"/>
      <c r="F6649" s="7"/>
      <c r="H6649" s="7"/>
      <c r="J6649" s="7"/>
      <c r="L6649" s="7"/>
      <c r="N6649" s="7"/>
      <c r="P6649" s="7"/>
      <c r="R6649" s="7"/>
      <c r="T6649" s="7"/>
      <c r="V6649" s="7"/>
      <c r="X6649" s="7"/>
    </row>
    <row r="6650" spans="2:24">
      <c r="B6650" s="7"/>
      <c r="D6650" s="7"/>
      <c r="F6650" s="7"/>
      <c r="H6650" s="7"/>
      <c r="J6650" s="7"/>
      <c r="L6650" s="7"/>
      <c r="N6650" s="7"/>
      <c r="P6650" s="7"/>
      <c r="R6650" s="7"/>
      <c r="T6650" s="7"/>
      <c r="V6650" s="7"/>
      <c r="X6650" s="7"/>
    </row>
    <row r="6651" spans="2:24">
      <c r="B6651" s="7"/>
      <c r="D6651" s="7"/>
      <c r="F6651" s="7"/>
      <c r="H6651" s="7"/>
      <c r="J6651" s="7"/>
      <c r="L6651" s="7"/>
      <c r="N6651" s="7"/>
      <c r="P6651" s="7"/>
      <c r="R6651" s="7"/>
      <c r="T6651" s="7"/>
      <c r="V6651" s="7"/>
      <c r="X6651" s="7"/>
    </row>
    <row r="6652" spans="2:24">
      <c r="B6652" s="7"/>
      <c r="D6652" s="7"/>
      <c r="F6652" s="7"/>
      <c r="H6652" s="7"/>
      <c r="J6652" s="7"/>
      <c r="L6652" s="7"/>
      <c r="N6652" s="7"/>
      <c r="P6652" s="7"/>
      <c r="R6652" s="7"/>
      <c r="T6652" s="7"/>
      <c r="V6652" s="7"/>
      <c r="X6652" s="7"/>
    </row>
    <row r="6653" spans="2:24">
      <c r="B6653" s="7"/>
      <c r="D6653" s="7"/>
      <c r="F6653" s="7"/>
      <c r="H6653" s="7"/>
      <c r="J6653" s="7"/>
      <c r="L6653" s="7"/>
      <c r="N6653" s="7"/>
      <c r="P6653" s="7"/>
      <c r="R6653" s="7"/>
      <c r="T6653" s="7"/>
      <c r="V6653" s="7"/>
      <c r="X6653" s="7"/>
    </row>
    <row r="6654" spans="2:24">
      <c r="B6654" s="7"/>
      <c r="D6654" s="7"/>
      <c r="F6654" s="7"/>
      <c r="H6654" s="7"/>
      <c r="J6654" s="7"/>
      <c r="L6654" s="7"/>
      <c r="N6654" s="7"/>
      <c r="P6654" s="7"/>
      <c r="R6654" s="7"/>
      <c r="T6654" s="7"/>
      <c r="V6654" s="7"/>
      <c r="X6654" s="7"/>
    </row>
    <row r="6655" spans="2:24">
      <c r="B6655" s="7"/>
      <c r="D6655" s="7"/>
      <c r="F6655" s="7"/>
      <c r="H6655" s="7"/>
      <c r="J6655" s="7"/>
      <c r="L6655" s="7"/>
      <c r="N6655" s="7"/>
      <c r="P6655" s="7"/>
      <c r="R6655" s="7"/>
      <c r="T6655" s="7"/>
      <c r="V6655" s="7"/>
      <c r="X6655" s="7"/>
    </row>
    <row r="6656" spans="2:24">
      <c r="B6656" s="7"/>
      <c r="D6656" s="7"/>
      <c r="F6656" s="7"/>
      <c r="H6656" s="7"/>
      <c r="J6656" s="7"/>
      <c r="L6656" s="7"/>
      <c r="N6656" s="7"/>
      <c r="P6656" s="7"/>
      <c r="R6656" s="7"/>
      <c r="T6656" s="7"/>
      <c r="V6656" s="7"/>
      <c r="X6656" s="7"/>
    </row>
    <row r="6657" spans="2:24">
      <c r="B6657" s="7"/>
      <c r="D6657" s="7"/>
      <c r="F6657" s="7"/>
      <c r="H6657" s="7"/>
      <c r="J6657" s="7"/>
      <c r="L6657" s="7"/>
      <c r="N6657" s="7"/>
      <c r="P6657" s="7"/>
      <c r="R6657" s="7"/>
      <c r="T6657" s="7"/>
      <c r="V6657" s="7"/>
      <c r="X6657" s="7"/>
    </row>
    <row r="6658" spans="2:24">
      <c r="B6658" s="7"/>
      <c r="D6658" s="7"/>
      <c r="F6658" s="7"/>
      <c r="H6658" s="7"/>
      <c r="J6658" s="7"/>
      <c r="L6658" s="7"/>
      <c r="N6658" s="7"/>
      <c r="P6658" s="7"/>
      <c r="R6658" s="7"/>
      <c r="T6658" s="7"/>
      <c r="V6658" s="7"/>
      <c r="X6658" s="7"/>
    </row>
    <row r="6659" spans="2:24">
      <c r="B6659" s="7"/>
      <c r="D6659" s="7"/>
      <c r="F6659" s="7"/>
      <c r="H6659" s="7"/>
      <c r="J6659" s="7"/>
      <c r="L6659" s="7"/>
      <c r="N6659" s="7"/>
      <c r="P6659" s="7"/>
      <c r="R6659" s="7"/>
      <c r="T6659" s="7"/>
      <c r="V6659" s="7"/>
      <c r="X6659" s="7"/>
    </row>
    <row r="6660" spans="2:24">
      <c r="B6660" s="7"/>
      <c r="D6660" s="7"/>
      <c r="F6660" s="7"/>
      <c r="H6660" s="7"/>
      <c r="J6660" s="7"/>
      <c r="L6660" s="7"/>
      <c r="N6660" s="7"/>
      <c r="P6660" s="7"/>
      <c r="R6660" s="7"/>
      <c r="T6660" s="7"/>
      <c r="V6660" s="7"/>
      <c r="X6660" s="7"/>
    </row>
    <row r="6661" spans="2:24">
      <c r="B6661" s="7"/>
      <c r="D6661" s="7"/>
      <c r="F6661" s="7"/>
      <c r="H6661" s="7"/>
      <c r="J6661" s="7"/>
      <c r="L6661" s="7"/>
      <c r="N6661" s="7"/>
      <c r="P6661" s="7"/>
      <c r="R6661" s="7"/>
      <c r="T6661" s="7"/>
      <c r="V6661" s="7"/>
      <c r="X6661" s="7"/>
    </row>
    <row r="6662" spans="2:24">
      <c r="B6662" s="7"/>
      <c r="D6662" s="7"/>
      <c r="F6662" s="7"/>
      <c r="H6662" s="7"/>
      <c r="J6662" s="7"/>
      <c r="L6662" s="7"/>
      <c r="N6662" s="7"/>
      <c r="P6662" s="7"/>
      <c r="R6662" s="7"/>
      <c r="T6662" s="7"/>
      <c r="V6662" s="7"/>
      <c r="X6662" s="7"/>
    </row>
    <row r="6663" spans="2:24">
      <c r="B6663" s="7"/>
      <c r="D6663" s="7"/>
      <c r="F6663" s="7"/>
      <c r="H6663" s="7"/>
      <c r="J6663" s="7"/>
      <c r="L6663" s="7"/>
      <c r="N6663" s="7"/>
      <c r="P6663" s="7"/>
      <c r="R6663" s="7"/>
      <c r="T6663" s="7"/>
      <c r="V6663" s="7"/>
      <c r="X6663" s="7"/>
    </row>
    <row r="6664" spans="2:24">
      <c r="B6664" s="7"/>
      <c r="D6664" s="7"/>
      <c r="F6664" s="7"/>
      <c r="H6664" s="7"/>
      <c r="J6664" s="7"/>
      <c r="L6664" s="7"/>
      <c r="N6664" s="7"/>
      <c r="P6664" s="7"/>
      <c r="R6664" s="7"/>
      <c r="T6664" s="7"/>
      <c r="V6664" s="7"/>
      <c r="X6664" s="7"/>
    </row>
    <row r="6665" spans="2:24">
      <c r="B6665" s="7"/>
      <c r="D6665" s="7"/>
      <c r="F6665" s="7"/>
      <c r="H6665" s="7"/>
      <c r="J6665" s="7"/>
      <c r="L6665" s="7"/>
      <c r="N6665" s="7"/>
      <c r="P6665" s="7"/>
      <c r="R6665" s="7"/>
      <c r="T6665" s="7"/>
      <c r="V6665" s="7"/>
      <c r="X6665" s="7"/>
    </row>
    <row r="6666" spans="2:24">
      <c r="B6666" s="7"/>
      <c r="D6666" s="7"/>
      <c r="F6666" s="7"/>
      <c r="H6666" s="7"/>
      <c r="J6666" s="7"/>
      <c r="L6666" s="7"/>
      <c r="N6666" s="7"/>
      <c r="P6666" s="7"/>
      <c r="R6666" s="7"/>
      <c r="T6666" s="7"/>
      <c r="V6666" s="7"/>
      <c r="X6666" s="7"/>
    </row>
    <row r="6667" spans="2:24">
      <c r="B6667" s="7"/>
      <c r="D6667" s="7"/>
      <c r="F6667" s="7"/>
      <c r="H6667" s="7"/>
      <c r="J6667" s="7"/>
      <c r="L6667" s="7"/>
      <c r="N6667" s="7"/>
      <c r="P6667" s="7"/>
      <c r="R6667" s="7"/>
      <c r="T6667" s="7"/>
      <c r="V6667" s="7"/>
      <c r="X6667" s="7"/>
    </row>
    <row r="6668" spans="2:24">
      <c r="B6668" s="7"/>
      <c r="D6668" s="7"/>
      <c r="F6668" s="7"/>
      <c r="H6668" s="7"/>
      <c r="J6668" s="7"/>
      <c r="L6668" s="7"/>
      <c r="N6668" s="7"/>
      <c r="P6668" s="7"/>
      <c r="R6668" s="7"/>
      <c r="T6668" s="7"/>
      <c r="V6668" s="7"/>
      <c r="X6668" s="7"/>
    </row>
    <row r="6669" spans="2:24">
      <c r="B6669" s="7"/>
      <c r="D6669" s="7"/>
      <c r="F6669" s="7"/>
      <c r="H6669" s="7"/>
      <c r="J6669" s="7"/>
      <c r="L6669" s="7"/>
      <c r="N6669" s="7"/>
      <c r="P6669" s="7"/>
      <c r="R6669" s="7"/>
      <c r="T6669" s="7"/>
      <c r="V6669" s="7"/>
      <c r="X6669" s="7"/>
    </row>
    <row r="6670" spans="2:24">
      <c r="B6670" s="7"/>
      <c r="D6670" s="7"/>
      <c r="F6670" s="7"/>
      <c r="H6670" s="7"/>
      <c r="J6670" s="7"/>
      <c r="L6670" s="7"/>
      <c r="N6670" s="7"/>
      <c r="P6670" s="7"/>
      <c r="R6670" s="7"/>
      <c r="T6670" s="7"/>
      <c r="V6670" s="7"/>
      <c r="X6670" s="7"/>
    </row>
    <row r="6671" spans="2:24">
      <c r="B6671" s="7"/>
      <c r="D6671" s="7"/>
      <c r="F6671" s="7"/>
      <c r="H6671" s="7"/>
      <c r="J6671" s="7"/>
      <c r="L6671" s="7"/>
      <c r="N6671" s="7"/>
      <c r="P6671" s="7"/>
      <c r="R6671" s="7"/>
      <c r="T6671" s="7"/>
      <c r="V6671" s="7"/>
      <c r="X6671" s="7"/>
    </row>
    <row r="6672" spans="2:24">
      <c r="B6672" s="7"/>
      <c r="D6672" s="7"/>
      <c r="F6672" s="7"/>
      <c r="H6672" s="7"/>
      <c r="J6672" s="7"/>
      <c r="L6672" s="7"/>
      <c r="N6672" s="7"/>
      <c r="P6672" s="7"/>
      <c r="R6672" s="7"/>
      <c r="T6672" s="7"/>
      <c r="V6672" s="7"/>
      <c r="X6672" s="7"/>
    </row>
    <row r="6673" spans="2:24">
      <c r="B6673" s="7"/>
      <c r="D6673" s="7"/>
      <c r="F6673" s="7"/>
      <c r="H6673" s="7"/>
      <c r="J6673" s="7"/>
      <c r="L6673" s="7"/>
      <c r="N6673" s="7"/>
      <c r="P6673" s="7"/>
      <c r="R6673" s="7"/>
      <c r="T6673" s="7"/>
      <c r="V6673" s="7"/>
      <c r="X6673" s="7"/>
    </row>
    <row r="6674" spans="2:24">
      <c r="B6674" s="7"/>
      <c r="D6674" s="7"/>
      <c r="F6674" s="7"/>
      <c r="H6674" s="7"/>
      <c r="J6674" s="7"/>
      <c r="L6674" s="7"/>
      <c r="N6674" s="7"/>
      <c r="P6674" s="7"/>
      <c r="R6674" s="7"/>
      <c r="T6674" s="7"/>
      <c r="V6674" s="7"/>
      <c r="X6674" s="7"/>
    </row>
    <row r="6675" spans="2:24">
      <c r="B6675" s="7"/>
      <c r="D6675" s="7"/>
      <c r="F6675" s="7"/>
      <c r="H6675" s="7"/>
      <c r="J6675" s="7"/>
      <c r="L6675" s="7"/>
      <c r="N6675" s="7"/>
      <c r="P6675" s="7"/>
      <c r="R6675" s="7"/>
      <c r="T6675" s="7"/>
      <c r="V6675" s="7"/>
      <c r="X6675" s="7"/>
    </row>
    <row r="6676" spans="2:24">
      <c r="B6676" s="7"/>
      <c r="D6676" s="7"/>
      <c r="F6676" s="7"/>
      <c r="H6676" s="7"/>
      <c r="J6676" s="7"/>
      <c r="L6676" s="7"/>
      <c r="N6676" s="7"/>
      <c r="P6676" s="7"/>
      <c r="R6676" s="7"/>
      <c r="T6676" s="7"/>
      <c r="V6676" s="7"/>
      <c r="X6676" s="7"/>
    </row>
    <row r="6677" spans="2:24">
      <c r="B6677" s="7"/>
      <c r="D6677" s="7"/>
      <c r="F6677" s="7"/>
      <c r="H6677" s="7"/>
      <c r="J6677" s="7"/>
      <c r="L6677" s="7"/>
      <c r="N6677" s="7"/>
      <c r="P6677" s="7"/>
      <c r="R6677" s="7"/>
      <c r="T6677" s="7"/>
      <c r="V6677" s="7"/>
      <c r="X6677" s="7"/>
    </row>
    <row r="6678" spans="2:24">
      <c r="B6678" s="7"/>
      <c r="D6678" s="7"/>
      <c r="F6678" s="7"/>
      <c r="H6678" s="7"/>
      <c r="J6678" s="7"/>
      <c r="L6678" s="7"/>
      <c r="N6678" s="7"/>
      <c r="P6678" s="7"/>
      <c r="R6678" s="7"/>
      <c r="T6678" s="7"/>
      <c r="V6678" s="7"/>
      <c r="X6678" s="7"/>
    </row>
    <row r="6679" spans="2:24">
      <c r="B6679" s="7"/>
      <c r="D6679" s="7"/>
      <c r="F6679" s="7"/>
      <c r="H6679" s="7"/>
      <c r="J6679" s="7"/>
      <c r="L6679" s="7"/>
      <c r="N6679" s="7"/>
      <c r="P6679" s="7"/>
      <c r="R6679" s="7"/>
      <c r="T6679" s="7"/>
      <c r="V6679" s="7"/>
      <c r="X6679" s="7"/>
    </row>
    <row r="6680" spans="2:24">
      <c r="B6680" s="7"/>
      <c r="D6680" s="7"/>
      <c r="F6680" s="7"/>
      <c r="H6680" s="7"/>
      <c r="J6680" s="7"/>
      <c r="L6680" s="7"/>
      <c r="N6680" s="7"/>
      <c r="P6680" s="7"/>
      <c r="R6680" s="7"/>
      <c r="T6680" s="7"/>
      <c r="V6680" s="7"/>
      <c r="X6680" s="7"/>
    </row>
    <row r="6681" spans="2:24">
      <c r="B6681" s="7"/>
      <c r="D6681" s="7"/>
      <c r="F6681" s="7"/>
      <c r="H6681" s="7"/>
      <c r="J6681" s="7"/>
      <c r="L6681" s="7"/>
      <c r="N6681" s="7"/>
      <c r="P6681" s="7"/>
      <c r="R6681" s="7"/>
      <c r="T6681" s="7"/>
      <c r="V6681" s="7"/>
      <c r="X6681" s="7"/>
    </row>
    <row r="6682" spans="2:24">
      <c r="B6682" s="7"/>
      <c r="D6682" s="7"/>
      <c r="F6682" s="7"/>
      <c r="H6682" s="7"/>
      <c r="J6682" s="7"/>
      <c r="L6682" s="7"/>
      <c r="N6682" s="7"/>
      <c r="P6682" s="7"/>
      <c r="R6682" s="7"/>
      <c r="T6682" s="7"/>
      <c r="V6682" s="7"/>
      <c r="X6682" s="7"/>
    </row>
    <row r="6683" spans="2:24">
      <c r="B6683" s="7"/>
      <c r="D6683" s="7"/>
      <c r="F6683" s="7"/>
      <c r="H6683" s="7"/>
      <c r="J6683" s="7"/>
      <c r="L6683" s="7"/>
      <c r="N6683" s="7"/>
      <c r="P6683" s="7"/>
      <c r="R6683" s="7"/>
      <c r="T6683" s="7"/>
      <c r="V6683" s="7"/>
      <c r="X6683" s="7"/>
    </row>
    <row r="6684" spans="2:24">
      <c r="B6684" s="7"/>
      <c r="D6684" s="7"/>
      <c r="F6684" s="7"/>
      <c r="H6684" s="7"/>
      <c r="J6684" s="7"/>
      <c r="L6684" s="7"/>
      <c r="N6684" s="7"/>
      <c r="P6684" s="7"/>
      <c r="R6684" s="7"/>
      <c r="T6684" s="7"/>
      <c r="V6684" s="7"/>
      <c r="X6684" s="7"/>
    </row>
    <row r="6685" spans="2:24">
      <c r="B6685" s="7"/>
      <c r="D6685" s="7"/>
      <c r="F6685" s="7"/>
      <c r="H6685" s="7"/>
      <c r="J6685" s="7"/>
      <c r="L6685" s="7"/>
      <c r="N6685" s="7"/>
      <c r="P6685" s="7"/>
      <c r="R6685" s="7"/>
      <c r="T6685" s="7"/>
      <c r="V6685" s="7"/>
      <c r="X6685" s="7"/>
    </row>
    <row r="6686" spans="2:24">
      <c r="B6686" s="7"/>
      <c r="D6686" s="7"/>
      <c r="F6686" s="7"/>
      <c r="H6686" s="7"/>
      <c r="J6686" s="7"/>
      <c r="L6686" s="7"/>
      <c r="N6686" s="7"/>
      <c r="P6686" s="7"/>
      <c r="R6686" s="7"/>
      <c r="T6686" s="7"/>
      <c r="V6686" s="7"/>
      <c r="X6686" s="7"/>
    </row>
    <row r="6687" spans="2:24">
      <c r="B6687" s="7"/>
      <c r="D6687" s="7"/>
      <c r="F6687" s="7"/>
      <c r="H6687" s="7"/>
      <c r="J6687" s="7"/>
      <c r="L6687" s="7"/>
      <c r="N6687" s="7"/>
      <c r="P6687" s="7"/>
      <c r="R6687" s="7"/>
      <c r="T6687" s="7"/>
      <c r="V6687" s="7"/>
      <c r="X6687" s="7"/>
    </row>
    <row r="6688" spans="2:24">
      <c r="B6688" s="7"/>
      <c r="D6688" s="7"/>
      <c r="F6688" s="7"/>
      <c r="H6688" s="7"/>
      <c r="J6688" s="7"/>
      <c r="L6688" s="7"/>
      <c r="N6688" s="7"/>
      <c r="P6688" s="7"/>
      <c r="R6688" s="7"/>
      <c r="T6688" s="7"/>
      <c r="V6688" s="7"/>
      <c r="X6688" s="7"/>
    </row>
    <row r="6689" spans="2:24">
      <c r="B6689" s="7"/>
      <c r="D6689" s="7"/>
      <c r="F6689" s="7"/>
      <c r="H6689" s="7"/>
      <c r="J6689" s="7"/>
      <c r="L6689" s="7"/>
      <c r="N6689" s="7"/>
      <c r="P6689" s="7"/>
      <c r="R6689" s="7"/>
      <c r="T6689" s="7"/>
      <c r="V6689" s="7"/>
      <c r="X6689" s="7"/>
    </row>
    <row r="6690" spans="2:24">
      <c r="B6690" s="7"/>
      <c r="D6690" s="7"/>
      <c r="F6690" s="7"/>
      <c r="H6690" s="7"/>
      <c r="J6690" s="7"/>
      <c r="L6690" s="7"/>
      <c r="N6690" s="7"/>
      <c r="P6690" s="7"/>
      <c r="R6690" s="7"/>
      <c r="T6690" s="7"/>
      <c r="V6690" s="7"/>
      <c r="X6690" s="7"/>
    </row>
    <row r="6691" spans="2:24">
      <c r="B6691" s="7"/>
      <c r="D6691" s="7"/>
      <c r="F6691" s="7"/>
      <c r="H6691" s="7"/>
      <c r="J6691" s="7"/>
      <c r="L6691" s="7"/>
      <c r="N6691" s="7"/>
      <c r="P6691" s="7"/>
      <c r="R6691" s="7"/>
      <c r="T6691" s="7"/>
      <c r="V6691" s="7"/>
      <c r="X6691" s="7"/>
    </row>
    <row r="6692" spans="2:24">
      <c r="B6692" s="7"/>
      <c r="D6692" s="7"/>
      <c r="F6692" s="7"/>
      <c r="H6692" s="7"/>
      <c r="J6692" s="7"/>
      <c r="L6692" s="7"/>
      <c r="N6692" s="7"/>
      <c r="P6692" s="7"/>
      <c r="R6692" s="7"/>
      <c r="T6692" s="7"/>
      <c r="V6692" s="7"/>
      <c r="X6692" s="7"/>
    </row>
    <row r="6693" spans="2:24">
      <c r="B6693" s="7"/>
      <c r="D6693" s="7"/>
      <c r="F6693" s="7"/>
      <c r="H6693" s="7"/>
      <c r="J6693" s="7"/>
      <c r="L6693" s="7"/>
      <c r="N6693" s="7"/>
      <c r="P6693" s="7"/>
      <c r="R6693" s="7"/>
      <c r="T6693" s="7"/>
      <c r="V6693" s="7"/>
      <c r="X6693" s="7"/>
    </row>
    <row r="6694" spans="2:24">
      <c r="B6694" s="7"/>
      <c r="D6694" s="7"/>
      <c r="F6694" s="7"/>
      <c r="H6694" s="7"/>
      <c r="J6694" s="7"/>
      <c r="L6694" s="7"/>
      <c r="N6694" s="7"/>
      <c r="P6694" s="7"/>
      <c r="R6694" s="7"/>
      <c r="T6694" s="7"/>
      <c r="V6694" s="7"/>
      <c r="X6694" s="7"/>
    </row>
    <row r="6695" spans="2:24">
      <c r="B6695" s="7"/>
      <c r="D6695" s="7"/>
      <c r="F6695" s="7"/>
      <c r="H6695" s="7"/>
      <c r="J6695" s="7"/>
      <c r="L6695" s="7"/>
      <c r="N6695" s="7"/>
      <c r="P6695" s="7"/>
      <c r="R6695" s="7"/>
      <c r="T6695" s="7"/>
      <c r="V6695" s="7"/>
      <c r="X6695" s="7"/>
    </row>
    <row r="6696" spans="2:24">
      <c r="B6696" s="7"/>
      <c r="D6696" s="7"/>
      <c r="F6696" s="7"/>
      <c r="H6696" s="7"/>
      <c r="J6696" s="7"/>
      <c r="L6696" s="7"/>
      <c r="N6696" s="7"/>
      <c r="P6696" s="7"/>
      <c r="R6696" s="7"/>
      <c r="T6696" s="7"/>
      <c r="V6696" s="7"/>
      <c r="X6696" s="7"/>
    </row>
    <row r="6697" spans="2:24">
      <c r="B6697" s="7"/>
      <c r="D6697" s="7"/>
      <c r="F6697" s="7"/>
      <c r="H6697" s="7"/>
      <c r="J6697" s="7"/>
      <c r="L6697" s="7"/>
      <c r="N6697" s="7"/>
      <c r="P6697" s="7"/>
      <c r="R6697" s="7"/>
      <c r="T6697" s="7"/>
      <c r="V6697" s="7"/>
      <c r="X6697" s="7"/>
    </row>
    <row r="6698" spans="2:24">
      <c r="B6698" s="7"/>
      <c r="D6698" s="7"/>
      <c r="F6698" s="7"/>
      <c r="H6698" s="7"/>
      <c r="J6698" s="7"/>
      <c r="L6698" s="7"/>
      <c r="N6698" s="7"/>
      <c r="P6698" s="7"/>
      <c r="R6698" s="7"/>
      <c r="T6698" s="7"/>
      <c r="V6698" s="7"/>
      <c r="X6698" s="7"/>
    </row>
    <row r="6699" spans="2:24">
      <c r="B6699" s="7"/>
      <c r="D6699" s="7"/>
      <c r="F6699" s="7"/>
      <c r="H6699" s="7"/>
      <c r="J6699" s="7"/>
      <c r="L6699" s="7"/>
      <c r="N6699" s="7"/>
      <c r="P6699" s="7"/>
      <c r="R6699" s="7"/>
      <c r="T6699" s="7"/>
      <c r="V6699" s="7"/>
      <c r="X6699" s="7"/>
    </row>
    <row r="6700" spans="2:24">
      <c r="B6700" s="7"/>
      <c r="D6700" s="7"/>
      <c r="F6700" s="7"/>
      <c r="H6700" s="7"/>
      <c r="J6700" s="7"/>
      <c r="L6700" s="7"/>
      <c r="N6700" s="7"/>
      <c r="P6700" s="7"/>
      <c r="R6700" s="7"/>
      <c r="T6700" s="7"/>
      <c r="V6700" s="7"/>
      <c r="X6700" s="7"/>
    </row>
    <row r="6701" spans="2:24">
      <c r="B6701" s="7"/>
      <c r="D6701" s="7"/>
      <c r="F6701" s="7"/>
      <c r="H6701" s="7"/>
      <c r="J6701" s="7"/>
      <c r="L6701" s="7"/>
      <c r="N6701" s="7"/>
      <c r="P6701" s="7"/>
      <c r="R6701" s="7"/>
      <c r="T6701" s="7"/>
      <c r="V6701" s="7"/>
      <c r="X6701" s="7"/>
    </row>
    <row r="6702" spans="2:24">
      <c r="B6702" s="7"/>
      <c r="D6702" s="7"/>
      <c r="F6702" s="7"/>
      <c r="H6702" s="7"/>
      <c r="J6702" s="7"/>
      <c r="L6702" s="7"/>
      <c r="N6702" s="7"/>
      <c r="P6702" s="7"/>
      <c r="R6702" s="7"/>
      <c r="T6702" s="7"/>
      <c r="V6702" s="7"/>
      <c r="X6702" s="7"/>
    </row>
    <row r="6703" spans="2:24">
      <c r="B6703" s="7"/>
      <c r="D6703" s="7"/>
      <c r="F6703" s="7"/>
      <c r="H6703" s="7"/>
      <c r="J6703" s="7"/>
      <c r="L6703" s="7"/>
      <c r="N6703" s="7"/>
      <c r="P6703" s="7"/>
      <c r="R6703" s="7"/>
      <c r="T6703" s="7"/>
      <c r="V6703" s="7"/>
      <c r="X6703" s="7"/>
    </row>
    <row r="6704" spans="2:24">
      <c r="B6704" s="7"/>
      <c r="D6704" s="7"/>
      <c r="F6704" s="7"/>
      <c r="H6704" s="7"/>
      <c r="J6704" s="7"/>
      <c r="L6704" s="7"/>
      <c r="N6704" s="7"/>
      <c r="P6704" s="7"/>
      <c r="R6704" s="7"/>
      <c r="T6704" s="7"/>
      <c r="V6704" s="7"/>
      <c r="X6704" s="7"/>
    </row>
    <row r="6705" spans="2:24">
      <c r="B6705" s="7"/>
      <c r="D6705" s="7"/>
      <c r="F6705" s="7"/>
      <c r="H6705" s="7"/>
      <c r="J6705" s="7"/>
      <c r="L6705" s="7"/>
      <c r="N6705" s="7"/>
      <c r="P6705" s="7"/>
      <c r="R6705" s="7"/>
      <c r="T6705" s="7"/>
      <c r="V6705" s="7"/>
      <c r="X6705" s="7"/>
    </row>
    <row r="6706" spans="2:24">
      <c r="B6706" s="7"/>
      <c r="D6706" s="7"/>
      <c r="F6706" s="7"/>
      <c r="H6706" s="7"/>
      <c r="J6706" s="7"/>
      <c r="L6706" s="7"/>
      <c r="N6706" s="7"/>
      <c r="P6706" s="7"/>
      <c r="R6706" s="7"/>
      <c r="T6706" s="7"/>
      <c r="V6706" s="7"/>
      <c r="X6706" s="7"/>
    </row>
    <row r="6707" spans="2:24">
      <c r="B6707" s="7"/>
      <c r="D6707" s="7"/>
      <c r="F6707" s="7"/>
      <c r="H6707" s="7"/>
      <c r="J6707" s="7"/>
      <c r="L6707" s="7"/>
      <c r="N6707" s="7"/>
      <c r="P6707" s="7"/>
      <c r="R6707" s="7"/>
      <c r="T6707" s="7"/>
      <c r="V6707" s="7"/>
      <c r="X6707" s="7"/>
    </row>
    <row r="6708" spans="2:24">
      <c r="B6708" s="7"/>
      <c r="D6708" s="7"/>
      <c r="F6708" s="7"/>
      <c r="H6708" s="7"/>
      <c r="J6708" s="7"/>
      <c r="L6708" s="7"/>
      <c r="N6708" s="7"/>
      <c r="P6708" s="7"/>
      <c r="R6708" s="7"/>
      <c r="T6708" s="7"/>
      <c r="V6708" s="7"/>
      <c r="X6708" s="7"/>
    </row>
    <row r="6709" spans="2:24">
      <c r="B6709" s="7"/>
      <c r="D6709" s="7"/>
      <c r="F6709" s="7"/>
      <c r="H6709" s="7"/>
      <c r="J6709" s="7"/>
      <c r="L6709" s="7"/>
      <c r="N6709" s="7"/>
      <c r="P6709" s="7"/>
      <c r="R6709" s="7"/>
      <c r="T6709" s="7"/>
      <c r="V6709" s="7"/>
      <c r="X6709" s="7"/>
    </row>
    <row r="6710" spans="2:24">
      <c r="B6710" s="7"/>
      <c r="D6710" s="7"/>
      <c r="F6710" s="7"/>
      <c r="H6710" s="7"/>
      <c r="J6710" s="7"/>
      <c r="L6710" s="7"/>
      <c r="N6710" s="7"/>
      <c r="P6710" s="7"/>
      <c r="R6710" s="7"/>
      <c r="T6710" s="7"/>
      <c r="V6710" s="7"/>
      <c r="X6710" s="7"/>
    </row>
    <row r="6711" spans="2:24">
      <c r="B6711" s="7"/>
      <c r="D6711" s="7"/>
      <c r="F6711" s="7"/>
      <c r="H6711" s="7"/>
      <c r="J6711" s="7"/>
      <c r="L6711" s="7"/>
      <c r="N6711" s="7"/>
      <c r="P6711" s="7"/>
      <c r="R6711" s="7"/>
      <c r="T6711" s="7"/>
      <c r="V6711" s="7"/>
      <c r="X6711" s="7"/>
    </row>
    <row r="6712" spans="2:24">
      <c r="B6712" s="7"/>
      <c r="D6712" s="7"/>
      <c r="F6712" s="7"/>
      <c r="H6712" s="7"/>
      <c r="J6712" s="7"/>
      <c r="L6712" s="7"/>
      <c r="N6712" s="7"/>
      <c r="P6712" s="7"/>
      <c r="R6712" s="7"/>
      <c r="T6712" s="7"/>
      <c r="V6712" s="7"/>
      <c r="X6712" s="7"/>
    </row>
    <row r="6713" spans="2:24">
      <c r="B6713" s="7"/>
      <c r="D6713" s="7"/>
      <c r="F6713" s="7"/>
      <c r="H6713" s="7"/>
      <c r="J6713" s="7"/>
      <c r="L6713" s="7"/>
      <c r="N6713" s="7"/>
      <c r="P6713" s="7"/>
      <c r="R6713" s="7"/>
      <c r="T6713" s="7"/>
      <c r="V6713" s="7"/>
      <c r="X6713" s="7"/>
    </row>
    <row r="6714" spans="2:24">
      <c r="B6714" s="7"/>
      <c r="D6714" s="7"/>
      <c r="F6714" s="7"/>
      <c r="H6714" s="7"/>
      <c r="J6714" s="7"/>
      <c r="L6714" s="7"/>
      <c r="N6714" s="7"/>
      <c r="P6714" s="7"/>
      <c r="R6714" s="7"/>
      <c r="T6714" s="7"/>
      <c r="V6714" s="7"/>
      <c r="X6714" s="7"/>
    </row>
    <row r="6715" spans="2:24">
      <c r="B6715" s="7"/>
      <c r="D6715" s="7"/>
      <c r="F6715" s="7"/>
      <c r="H6715" s="7"/>
      <c r="J6715" s="7"/>
      <c r="L6715" s="7"/>
      <c r="N6715" s="7"/>
      <c r="P6715" s="7"/>
      <c r="R6715" s="7"/>
      <c r="T6715" s="7"/>
      <c r="V6715" s="7"/>
      <c r="X6715" s="7"/>
    </row>
    <row r="6716" spans="2:24">
      <c r="B6716" s="7"/>
      <c r="D6716" s="7"/>
      <c r="F6716" s="7"/>
      <c r="H6716" s="7"/>
      <c r="J6716" s="7"/>
      <c r="L6716" s="7"/>
      <c r="N6716" s="7"/>
      <c r="P6716" s="7"/>
      <c r="R6716" s="7"/>
      <c r="T6716" s="7"/>
      <c r="V6716" s="7"/>
      <c r="X6716" s="7"/>
    </row>
    <row r="6717" spans="2:24">
      <c r="B6717" s="7"/>
      <c r="D6717" s="7"/>
      <c r="F6717" s="7"/>
      <c r="H6717" s="7"/>
      <c r="J6717" s="7"/>
      <c r="L6717" s="7"/>
      <c r="N6717" s="7"/>
      <c r="P6717" s="7"/>
      <c r="R6717" s="7"/>
      <c r="T6717" s="7"/>
      <c r="V6717" s="7"/>
      <c r="X6717" s="7"/>
    </row>
    <row r="6718" spans="2:24">
      <c r="B6718" s="7"/>
      <c r="D6718" s="7"/>
      <c r="F6718" s="7"/>
      <c r="H6718" s="7"/>
      <c r="J6718" s="7"/>
      <c r="L6718" s="7"/>
      <c r="N6718" s="7"/>
      <c r="P6718" s="7"/>
      <c r="R6718" s="7"/>
      <c r="T6718" s="7"/>
      <c r="V6718" s="7"/>
      <c r="X6718" s="7"/>
    </row>
    <row r="6719" spans="2:24">
      <c r="B6719" s="7"/>
      <c r="D6719" s="7"/>
      <c r="F6719" s="7"/>
      <c r="H6719" s="7"/>
      <c r="J6719" s="7"/>
      <c r="L6719" s="7"/>
      <c r="N6719" s="7"/>
      <c r="P6719" s="7"/>
      <c r="R6719" s="7"/>
      <c r="T6719" s="7"/>
      <c r="V6719" s="7"/>
      <c r="X6719" s="7"/>
    </row>
    <row r="6720" spans="2:24">
      <c r="B6720" s="7"/>
      <c r="D6720" s="7"/>
      <c r="F6720" s="7"/>
      <c r="H6720" s="7"/>
      <c r="J6720" s="7"/>
      <c r="L6720" s="7"/>
      <c r="N6720" s="7"/>
      <c r="P6720" s="7"/>
      <c r="R6720" s="7"/>
      <c r="T6720" s="7"/>
      <c r="V6720" s="7"/>
      <c r="X6720" s="7"/>
    </row>
    <row r="6721" spans="2:24">
      <c r="B6721" s="7"/>
      <c r="D6721" s="7"/>
      <c r="F6721" s="7"/>
      <c r="H6721" s="7"/>
      <c r="J6721" s="7"/>
      <c r="L6721" s="7"/>
      <c r="N6721" s="7"/>
      <c r="P6721" s="7"/>
      <c r="R6721" s="7"/>
      <c r="T6721" s="7"/>
      <c r="V6721" s="7"/>
      <c r="X6721" s="7"/>
    </row>
    <row r="6722" spans="2:24">
      <c r="B6722" s="7"/>
      <c r="D6722" s="7"/>
      <c r="F6722" s="7"/>
      <c r="H6722" s="7"/>
      <c r="J6722" s="7"/>
      <c r="L6722" s="7"/>
      <c r="N6722" s="7"/>
      <c r="P6722" s="7"/>
      <c r="R6722" s="7"/>
      <c r="T6722" s="7"/>
      <c r="V6722" s="7"/>
      <c r="X6722" s="7"/>
    </row>
    <row r="6723" spans="2:24">
      <c r="B6723" s="7"/>
      <c r="D6723" s="7"/>
      <c r="F6723" s="7"/>
      <c r="H6723" s="7"/>
      <c r="J6723" s="7"/>
      <c r="L6723" s="7"/>
      <c r="N6723" s="7"/>
      <c r="P6723" s="7"/>
      <c r="R6723" s="7"/>
      <c r="T6723" s="7"/>
      <c r="V6723" s="7"/>
      <c r="X6723" s="7"/>
    </row>
    <row r="6724" spans="2:24">
      <c r="B6724" s="7"/>
      <c r="D6724" s="7"/>
      <c r="F6724" s="7"/>
      <c r="H6724" s="7"/>
      <c r="J6724" s="7"/>
      <c r="L6724" s="7"/>
      <c r="N6724" s="7"/>
      <c r="P6724" s="7"/>
      <c r="R6724" s="7"/>
      <c r="T6724" s="7"/>
      <c r="V6724" s="7"/>
      <c r="X6724" s="7"/>
    </row>
    <row r="6725" spans="2:24">
      <c r="B6725" s="7"/>
      <c r="D6725" s="7"/>
      <c r="F6725" s="7"/>
      <c r="H6725" s="7"/>
      <c r="J6725" s="7"/>
      <c r="L6725" s="7"/>
      <c r="N6725" s="7"/>
      <c r="P6725" s="7"/>
      <c r="R6725" s="7"/>
      <c r="T6725" s="7"/>
      <c r="V6725" s="7"/>
      <c r="X6725" s="7"/>
    </row>
    <row r="6726" spans="2:24">
      <c r="B6726" s="7"/>
      <c r="D6726" s="7"/>
      <c r="F6726" s="7"/>
      <c r="H6726" s="7"/>
      <c r="J6726" s="7"/>
      <c r="L6726" s="7"/>
      <c r="N6726" s="7"/>
      <c r="P6726" s="7"/>
      <c r="R6726" s="7"/>
      <c r="T6726" s="7"/>
      <c r="V6726" s="7"/>
      <c r="X6726" s="7"/>
    </row>
    <row r="6727" spans="2:24">
      <c r="B6727" s="7"/>
      <c r="D6727" s="7"/>
      <c r="F6727" s="7"/>
      <c r="H6727" s="7"/>
      <c r="J6727" s="7"/>
      <c r="L6727" s="7"/>
      <c r="N6727" s="7"/>
      <c r="P6727" s="7"/>
      <c r="R6727" s="7"/>
      <c r="T6727" s="7"/>
      <c r="V6727" s="7"/>
      <c r="X6727" s="7"/>
    </row>
    <row r="6728" spans="2:24">
      <c r="B6728" s="7"/>
      <c r="D6728" s="7"/>
      <c r="F6728" s="7"/>
      <c r="H6728" s="7"/>
      <c r="J6728" s="7"/>
      <c r="L6728" s="7"/>
      <c r="N6728" s="7"/>
      <c r="P6728" s="7"/>
      <c r="R6728" s="7"/>
      <c r="T6728" s="7"/>
      <c r="V6728" s="7"/>
      <c r="X6728" s="7"/>
    </row>
    <row r="6729" spans="2:24">
      <c r="B6729" s="7"/>
      <c r="D6729" s="7"/>
      <c r="F6729" s="7"/>
      <c r="H6729" s="7"/>
      <c r="J6729" s="7"/>
      <c r="L6729" s="7"/>
      <c r="N6729" s="7"/>
      <c r="P6729" s="7"/>
      <c r="R6729" s="7"/>
      <c r="T6729" s="7"/>
      <c r="V6729" s="7"/>
      <c r="X6729" s="7"/>
    </row>
    <row r="6730" spans="2:24">
      <c r="B6730" s="7"/>
      <c r="D6730" s="7"/>
      <c r="F6730" s="7"/>
      <c r="H6730" s="7"/>
      <c r="J6730" s="7"/>
      <c r="L6730" s="7"/>
      <c r="N6730" s="7"/>
      <c r="P6730" s="7"/>
      <c r="R6730" s="7"/>
      <c r="T6730" s="7"/>
      <c r="V6730" s="7"/>
      <c r="X6730" s="7"/>
    </row>
    <row r="6731" spans="2:24">
      <c r="B6731" s="7"/>
      <c r="D6731" s="7"/>
      <c r="F6731" s="7"/>
      <c r="H6731" s="7"/>
      <c r="J6731" s="7"/>
      <c r="L6731" s="7"/>
      <c r="N6731" s="7"/>
      <c r="P6731" s="7"/>
      <c r="R6731" s="7"/>
      <c r="T6731" s="7"/>
      <c r="V6731" s="7"/>
      <c r="X6731" s="7"/>
    </row>
    <row r="6732" spans="2:24">
      <c r="B6732" s="7"/>
      <c r="D6732" s="7"/>
      <c r="F6732" s="7"/>
      <c r="H6732" s="7"/>
      <c r="J6732" s="7"/>
      <c r="L6732" s="7"/>
      <c r="N6732" s="7"/>
      <c r="P6732" s="7"/>
      <c r="R6732" s="7"/>
      <c r="T6732" s="7"/>
      <c r="V6732" s="7"/>
      <c r="X6732" s="7"/>
    </row>
    <row r="6733" spans="2:24">
      <c r="B6733" s="7"/>
      <c r="D6733" s="7"/>
      <c r="F6733" s="7"/>
      <c r="H6733" s="7"/>
      <c r="J6733" s="7"/>
      <c r="L6733" s="7"/>
      <c r="N6733" s="7"/>
      <c r="P6733" s="7"/>
      <c r="R6733" s="7"/>
      <c r="T6733" s="7"/>
      <c r="V6733" s="7"/>
      <c r="X6733" s="7"/>
    </row>
    <row r="6734" spans="2:24">
      <c r="B6734" s="7"/>
      <c r="D6734" s="7"/>
      <c r="F6734" s="7"/>
      <c r="H6734" s="7"/>
      <c r="J6734" s="7"/>
      <c r="L6734" s="7"/>
      <c r="N6734" s="7"/>
      <c r="P6734" s="7"/>
      <c r="R6734" s="7"/>
      <c r="T6734" s="7"/>
      <c r="V6734" s="7"/>
      <c r="X6734" s="7"/>
    </row>
    <row r="6735" spans="2:24">
      <c r="B6735" s="7"/>
      <c r="D6735" s="7"/>
      <c r="F6735" s="7"/>
      <c r="H6735" s="7"/>
      <c r="J6735" s="7"/>
      <c r="L6735" s="7"/>
      <c r="N6735" s="7"/>
      <c r="P6735" s="7"/>
      <c r="R6735" s="7"/>
      <c r="T6735" s="7"/>
      <c r="V6735" s="7"/>
      <c r="X6735" s="7"/>
    </row>
    <row r="6736" spans="2:24">
      <c r="B6736" s="7"/>
      <c r="D6736" s="7"/>
      <c r="F6736" s="7"/>
      <c r="H6736" s="7"/>
      <c r="J6736" s="7"/>
      <c r="L6736" s="7"/>
      <c r="N6736" s="7"/>
      <c r="P6736" s="7"/>
      <c r="R6736" s="7"/>
      <c r="T6736" s="7"/>
      <c r="V6736" s="7"/>
      <c r="X6736" s="7"/>
    </row>
    <row r="6737" spans="2:24">
      <c r="B6737" s="7"/>
      <c r="D6737" s="7"/>
      <c r="F6737" s="7"/>
      <c r="H6737" s="7"/>
      <c r="J6737" s="7"/>
      <c r="L6737" s="7"/>
      <c r="N6737" s="7"/>
      <c r="P6737" s="7"/>
      <c r="R6737" s="7"/>
      <c r="T6737" s="7"/>
      <c r="V6737" s="7"/>
      <c r="X6737" s="7"/>
    </row>
    <row r="6738" spans="2:24">
      <c r="B6738" s="7"/>
      <c r="D6738" s="7"/>
      <c r="F6738" s="7"/>
      <c r="H6738" s="7"/>
      <c r="J6738" s="7"/>
      <c r="L6738" s="7"/>
      <c r="N6738" s="7"/>
      <c r="P6738" s="7"/>
      <c r="R6738" s="7"/>
      <c r="T6738" s="7"/>
      <c r="V6738" s="7"/>
      <c r="X6738" s="7"/>
    </row>
    <row r="6739" spans="2:24">
      <c r="B6739" s="7"/>
      <c r="D6739" s="7"/>
      <c r="F6739" s="7"/>
      <c r="H6739" s="7"/>
      <c r="J6739" s="7"/>
      <c r="L6739" s="7"/>
      <c r="N6739" s="7"/>
      <c r="P6739" s="7"/>
      <c r="R6739" s="7"/>
      <c r="T6739" s="7"/>
      <c r="V6739" s="7"/>
      <c r="X6739" s="7"/>
    </row>
    <row r="6740" spans="2:24">
      <c r="B6740" s="7"/>
      <c r="D6740" s="7"/>
      <c r="F6740" s="7"/>
      <c r="H6740" s="7"/>
      <c r="J6740" s="7"/>
      <c r="L6740" s="7"/>
      <c r="N6740" s="7"/>
      <c r="P6740" s="7"/>
      <c r="R6740" s="7"/>
      <c r="T6740" s="7"/>
      <c r="V6740" s="7"/>
      <c r="X6740" s="7"/>
    </row>
    <row r="6741" spans="2:24">
      <c r="B6741" s="7"/>
      <c r="D6741" s="7"/>
      <c r="F6741" s="7"/>
      <c r="H6741" s="7"/>
      <c r="J6741" s="7"/>
      <c r="L6741" s="7"/>
      <c r="N6741" s="7"/>
      <c r="P6741" s="7"/>
      <c r="R6741" s="7"/>
      <c r="T6741" s="7"/>
      <c r="V6741" s="7"/>
      <c r="X6741" s="7"/>
    </row>
    <row r="6742" spans="2:24">
      <c r="B6742" s="7"/>
      <c r="D6742" s="7"/>
      <c r="F6742" s="7"/>
      <c r="H6742" s="7"/>
      <c r="J6742" s="7"/>
      <c r="L6742" s="7"/>
      <c r="N6742" s="7"/>
      <c r="P6742" s="7"/>
      <c r="R6742" s="7"/>
      <c r="T6742" s="7"/>
      <c r="V6742" s="7"/>
      <c r="X6742" s="7"/>
    </row>
    <row r="6743" spans="2:24">
      <c r="B6743" s="7"/>
      <c r="D6743" s="7"/>
      <c r="F6743" s="7"/>
      <c r="H6743" s="7"/>
      <c r="J6743" s="7"/>
      <c r="L6743" s="7"/>
      <c r="N6743" s="7"/>
      <c r="P6743" s="7"/>
      <c r="R6743" s="7"/>
      <c r="T6743" s="7"/>
      <c r="V6743" s="7"/>
      <c r="X6743" s="7"/>
    </row>
    <row r="6744" spans="2:24">
      <c r="B6744" s="7"/>
      <c r="D6744" s="7"/>
      <c r="F6744" s="7"/>
      <c r="H6744" s="7"/>
      <c r="J6744" s="7"/>
      <c r="L6744" s="7"/>
      <c r="N6744" s="7"/>
      <c r="P6744" s="7"/>
      <c r="R6744" s="7"/>
      <c r="T6744" s="7"/>
      <c r="V6744" s="7"/>
      <c r="X6744" s="7"/>
    </row>
    <row r="6745" spans="2:24">
      <c r="B6745" s="7"/>
      <c r="D6745" s="7"/>
      <c r="F6745" s="7"/>
      <c r="H6745" s="7"/>
      <c r="J6745" s="7"/>
      <c r="L6745" s="7"/>
      <c r="N6745" s="7"/>
      <c r="P6745" s="7"/>
      <c r="R6745" s="7"/>
      <c r="T6745" s="7"/>
      <c r="V6745" s="7"/>
      <c r="X6745" s="7"/>
    </row>
    <row r="6746" spans="2:24">
      <c r="B6746" s="7"/>
      <c r="D6746" s="7"/>
      <c r="F6746" s="7"/>
      <c r="H6746" s="7"/>
      <c r="J6746" s="7"/>
      <c r="L6746" s="7"/>
      <c r="N6746" s="7"/>
      <c r="P6746" s="7"/>
      <c r="R6746" s="7"/>
      <c r="T6746" s="7"/>
      <c r="V6746" s="7"/>
      <c r="X6746" s="7"/>
    </row>
    <row r="6747" spans="2:24">
      <c r="B6747" s="7"/>
      <c r="D6747" s="7"/>
      <c r="F6747" s="7"/>
      <c r="H6747" s="7"/>
      <c r="J6747" s="7"/>
      <c r="L6747" s="7"/>
      <c r="N6747" s="7"/>
      <c r="P6747" s="7"/>
      <c r="R6747" s="7"/>
      <c r="T6747" s="7"/>
      <c r="V6747" s="7"/>
      <c r="X6747" s="7"/>
    </row>
    <row r="6748" spans="2:24">
      <c r="B6748" s="7"/>
      <c r="D6748" s="7"/>
      <c r="F6748" s="7"/>
      <c r="H6748" s="7"/>
      <c r="J6748" s="7"/>
      <c r="L6748" s="7"/>
      <c r="N6748" s="7"/>
      <c r="P6748" s="7"/>
      <c r="R6748" s="7"/>
      <c r="T6748" s="7"/>
      <c r="V6748" s="7"/>
      <c r="X6748" s="7"/>
    </row>
    <row r="6749" spans="2:24">
      <c r="B6749" s="7"/>
      <c r="D6749" s="7"/>
      <c r="F6749" s="7"/>
      <c r="H6749" s="7"/>
      <c r="J6749" s="7"/>
      <c r="L6749" s="7"/>
      <c r="N6749" s="7"/>
      <c r="P6749" s="7"/>
      <c r="R6749" s="7"/>
      <c r="T6749" s="7"/>
      <c r="V6749" s="7"/>
      <c r="X6749" s="7"/>
    </row>
    <row r="6750" spans="2:24">
      <c r="B6750" s="7"/>
      <c r="D6750" s="7"/>
      <c r="F6750" s="7"/>
      <c r="H6750" s="7"/>
      <c r="J6750" s="7"/>
      <c r="L6750" s="7"/>
      <c r="N6750" s="7"/>
      <c r="P6750" s="7"/>
      <c r="R6750" s="7"/>
      <c r="T6750" s="7"/>
      <c r="V6750" s="7"/>
      <c r="X6750" s="7"/>
    </row>
    <row r="6751" spans="2:24">
      <c r="B6751" s="7"/>
      <c r="D6751" s="7"/>
      <c r="F6751" s="7"/>
      <c r="H6751" s="7"/>
      <c r="J6751" s="7"/>
      <c r="L6751" s="7"/>
      <c r="N6751" s="7"/>
      <c r="P6751" s="7"/>
      <c r="R6751" s="7"/>
      <c r="T6751" s="7"/>
      <c r="V6751" s="7"/>
      <c r="X6751" s="7"/>
    </row>
    <row r="6752" spans="2:24">
      <c r="B6752" s="7"/>
      <c r="D6752" s="7"/>
      <c r="F6752" s="7"/>
      <c r="H6752" s="7"/>
      <c r="J6752" s="7"/>
      <c r="L6752" s="7"/>
      <c r="N6752" s="7"/>
      <c r="P6752" s="7"/>
      <c r="R6752" s="7"/>
      <c r="T6752" s="7"/>
      <c r="V6752" s="7"/>
      <c r="X6752" s="7"/>
    </row>
    <row r="6753" spans="2:24">
      <c r="B6753" s="7"/>
      <c r="D6753" s="7"/>
      <c r="F6753" s="7"/>
      <c r="H6753" s="7"/>
      <c r="J6753" s="7"/>
      <c r="L6753" s="7"/>
      <c r="N6753" s="7"/>
      <c r="P6753" s="7"/>
      <c r="R6753" s="7"/>
      <c r="T6753" s="7"/>
      <c r="V6753" s="7"/>
      <c r="X6753" s="7"/>
    </row>
    <row r="6754" spans="2:24">
      <c r="B6754" s="7"/>
      <c r="D6754" s="7"/>
      <c r="F6754" s="7"/>
      <c r="H6754" s="7"/>
      <c r="J6754" s="7"/>
      <c r="L6754" s="7"/>
      <c r="N6754" s="7"/>
      <c r="P6754" s="7"/>
      <c r="R6754" s="7"/>
      <c r="T6754" s="7"/>
      <c r="V6754" s="7"/>
      <c r="X6754" s="7"/>
    </row>
    <row r="6755" spans="2:24">
      <c r="B6755" s="7"/>
      <c r="D6755" s="7"/>
      <c r="F6755" s="7"/>
      <c r="H6755" s="7"/>
      <c r="J6755" s="7"/>
      <c r="L6755" s="7"/>
      <c r="N6755" s="7"/>
      <c r="P6755" s="7"/>
      <c r="R6755" s="7"/>
      <c r="T6755" s="7"/>
      <c r="V6755" s="7"/>
      <c r="X6755" s="7"/>
    </row>
    <row r="6756" spans="2:24">
      <c r="B6756" s="7"/>
      <c r="D6756" s="7"/>
      <c r="F6756" s="7"/>
      <c r="H6756" s="7"/>
      <c r="J6756" s="7"/>
      <c r="L6756" s="7"/>
      <c r="N6756" s="7"/>
      <c r="P6756" s="7"/>
      <c r="R6756" s="7"/>
      <c r="T6756" s="7"/>
      <c r="V6756" s="7"/>
      <c r="X6756" s="7"/>
    </row>
    <row r="6757" spans="2:24">
      <c r="B6757" s="7"/>
      <c r="D6757" s="7"/>
      <c r="F6757" s="7"/>
      <c r="H6757" s="7"/>
      <c r="J6757" s="7"/>
      <c r="L6757" s="7"/>
      <c r="N6757" s="7"/>
      <c r="P6757" s="7"/>
      <c r="R6757" s="7"/>
      <c r="T6757" s="7"/>
      <c r="V6757" s="7"/>
      <c r="X6757" s="7"/>
    </row>
    <row r="6758" spans="2:24">
      <c r="B6758" s="7"/>
      <c r="D6758" s="7"/>
      <c r="F6758" s="7"/>
      <c r="H6758" s="7"/>
      <c r="J6758" s="7"/>
      <c r="L6758" s="7"/>
      <c r="N6758" s="7"/>
      <c r="P6758" s="7"/>
      <c r="R6758" s="7"/>
      <c r="T6758" s="7"/>
      <c r="V6758" s="7"/>
      <c r="X6758" s="7"/>
    </row>
    <row r="6759" spans="2:24">
      <c r="B6759" s="7"/>
      <c r="D6759" s="7"/>
      <c r="F6759" s="7"/>
      <c r="H6759" s="7"/>
      <c r="J6759" s="7"/>
      <c r="L6759" s="7"/>
      <c r="N6759" s="7"/>
      <c r="P6759" s="7"/>
      <c r="R6759" s="7"/>
      <c r="T6759" s="7"/>
      <c r="V6759" s="7"/>
      <c r="X6759" s="7"/>
    </row>
    <row r="6760" spans="2:24">
      <c r="B6760" s="7"/>
      <c r="D6760" s="7"/>
      <c r="F6760" s="7"/>
      <c r="H6760" s="7"/>
      <c r="J6760" s="7"/>
      <c r="L6760" s="7"/>
      <c r="N6760" s="7"/>
      <c r="P6760" s="7"/>
      <c r="R6760" s="7"/>
      <c r="T6760" s="7"/>
      <c r="V6760" s="7"/>
      <c r="X6760" s="7"/>
    </row>
    <row r="6761" spans="2:24">
      <c r="B6761" s="7"/>
      <c r="D6761" s="7"/>
      <c r="F6761" s="7"/>
      <c r="H6761" s="7"/>
      <c r="J6761" s="7"/>
      <c r="L6761" s="7"/>
      <c r="N6761" s="7"/>
      <c r="P6761" s="7"/>
      <c r="R6761" s="7"/>
      <c r="T6761" s="7"/>
      <c r="V6761" s="7"/>
      <c r="X6761" s="7"/>
    </row>
    <row r="6762" spans="2:24">
      <c r="B6762" s="7"/>
      <c r="D6762" s="7"/>
      <c r="F6762" s="7"/>
      <c r="H6762" s="7"/>
      <c r="J6762" s="7"/>
      <c r="L6762" s="7"/>
      <c r="N6762" s="7"/>
      <c r="P6762" s="7"/>
      <c r="R6762" s="7"/>
      <c r="T6762" s="7"/>
      <c r="V6762" s="7"/>
      <c r="X6762" s="7"/>
    </row>
    <row r="6763" spans="2:24">
      <c r="B6763" s="7"/>
      <c r="D6763" s="7"/>
      <c r="F6763" s="7"/>
      <c r="H6763" s="7"/>
      <c r="J6763" s="7"/>
      <c r="L6763" s="7"/>
      <c r="N6763" s="7"/>
      <c r="P6763" s="7"/>
      <c r="R6763" s="7"/>
      <c r="T6763" s="7"/>
      <c r="V6763" s="7"/>
      <c r="X6763" s="7"/>
    </row>
    <row r="6764" spans="2:24">
      <c r="B6764" s="7"/>
      <c r="D6764" s="7"/>
      <c r="F6764" s="7"/>
      <c r="H6764" s="7"/>
      <c r="J6764" s="7"/>
      <c r="L6764" s="7"/>
      <c r="N6764" s="7"/>
      <c r="P6764" s="7"/>
      <c r="R6764" s="7"/>
      <c r="T6764" s="7"/>
      <c r="V6764" s="7"/>
      <c r="X6764" s="7"/>
    </row>
    <row r="6765" spans="2:24">
      <c r="B6765" s="7"/>
      <c r="D6765" s="7"/>
      <c r="F6765" s="7"/>
      <c r="H6765" s="7"/>
      <c r="J6765" s="7"/>
      <c r="L6765" s="7"/>
      <c r="N6765" s="7"/>
      <c r="P6765" s="7"/>
      <c r="R6765" s="7"/>
      <c r="T6765" s="7"/>
      <c r="V6765" s="7"/>
      <c r="X6765" s="7"/>
    </row>
    <row r="6766" spans="2:24">
      <c r="B6766" s="7"/>
      <c r="D6766" s="7"/>
      <c r="F6766" s="7"/>
      <c r="H6766" s="7"/>
      <c r="J6766" s="7"/>
      <c r="L6766" s="7"/>
      <c r="N6766" s="7"/>
      <c r="P6766" s="7"/>
      <c r="R6766" s="7"/>
      <c r="T6766" s="7"/>
      <c r="V6766" s="7"/>
      <c r="X6766" s="7"/>
    </row>
    <row r="6767" spans="2:24">
      <c r="B6767" s="7"/>
      <c r="D6767" s="7"/>
      <c r="F6767" s="7"/>
      <c r="H6767" s="7"/>
      <c r="J6767" s="7"/>
      <c r="L6767" s="7"/>
      <c r="N6767" s="7"/>
      <c r="P6767" s="7"/>
      <c r="R6767" s="7"/>
      <c r="T6767" s="7"/>
      <c r="V6767" s="7"/>
      <c r="X6767" s="7"/>
    </row>
    <row r="6768" spans="2:24">
      <c r="B6768" s="7"/>
      <c r="D6768" s="7"/>
      <c r="F6768" s="7"/>
      <c r="H6768" s="7"/>
      <c r="J6768" s="7"/>
      <c r="L6768" s="7"/>
      <c r="N6768" s="7"/>
      <c r="P6768" s="7"/>
      <c r="R6768" s="7"/>
      <c r="T6768" s="7"/>
      <c r="V6768" s="7"/>
      <c r="X6768" s="7"/>
    </row>
    <row r="6769" spans="2:24">
      <c r="B6769" s="7"/>
      <c r="D6769" s="7"/>
      <c r="F6769" s="7"/>
      <c r="H6769" s="7"/>
      <c r="J6769" s="7"/>
      <c r="L6769" s="7"/>
      <c r="N6769" s="7"/>
      <c r="P6769" s="7"/>
      <c r="R6769" s="7"/>
      <c r="T6769" s="7"/>
      <c r="V6769" s="7"/>
      <c r="X6769" s="7"/>
    </row>
    <row r="6770" spans="2:24">
      <c r="B6770" s="7"/>
      <c r="D6770" s="7"/>
      <c r="F6770" s="7"/>
      <c r="H6770" s="7"/>
      <c r="J6770" s="7"/>
      <c r="L6770" s="7"/>
      <c r="N6770" s="7"/>
      <c r="P6770" s="7"/>
      <c r="R6770" s="7"/>
      <c r="T6770" s="7"/>
      <c r="V6770" s="7"/>
      <c r="X6770" s="7"/>
    </row>
    <row r="6771" spans="2:24">
      <c r="B6771" s="7"/>
      <c r="D6771" s="7"/>
      <c r="F6771" s="7"/>
      <c r="H6771" s="7"/>
      <c r="J6771" s="7"/>
      <c r="L6771" s="7"/>
      <c r="N6771" s="7"/>
      <c r="P6771" s="7"/>
      <c r="R6771" s="7"/>
      <c r="T6771" s="7"/>
      <c r="V6771" s="7"/>
      <c r="X6771" s="7"/>
    </row>
    <row r="6772" spans="2:24">
      <c r="B6772" s="7"/>
      <c r="D6772" s="7"/>
      <c r="F6772" s="7"/>
      <c r="H6772" s="7"/>
      <c r="J6772" s="7"/>
      <c r="L6772" s="7"/>
      <c r="N6772" s="7"/>
      <c r="P6772" s="7"/>
      <c r="R6772" s="7"/>
      <c r="T6772" s="7"/>
      <c r="V6772" s="7"/>
      <c r="X6772" s="7"/>
    </row>
    <row r="6773" spans="2:24">
      <c r="B6773" s="7"/>
      <c r="D6773" s="7"/>
      <c r="F6773" s="7"/>
      <c r="H6773" s="7"/>
      <c r="J6773" s="7"/>
      <c r="L6773" s="7"/>
      <c r="N6773" s="7"/>
      <c r="P6773" s="7"/>
      <c r="R6773" s="7"/>
      <c r="T6773" s="7"/>
      <c r="V6773" s="7"/>
      <c r="X6773" s="7"/>
    </row>
    <row r="6774" spans="2:24">
      <c r="B6774" s="7"/>
      <c r="D6774" s="7"/>
      <c r="F6774" s="7"/>
      <c r="H6774" s="7"/>
      <c r="J6774" s="7"/>
      <c r="L6774" s="7"/>
      <c r="N6774" s="7"/>
      <c r="P6774" s="7"/>
      <c r="R6774" s="7"/>
      <c r="T6774" s="7"/>
      <c r="V6774" s="7"/>
      <c r="X6774" s="7"/>
    </row>
    <row r="6775" spans="2:24">
      <c r="B6775" s="7"/>
      <c r="D6775" s="7"/>
      <c r="F6775" s="7"/>
      <c r="H6775" s="7"/>
      <c r="J6775" s="7"/>
      <c r="L6775" s="7"/>
      <c r="N6775" s="7"/>
      <c r="P6775" s="7"/>
      <c r="R6775" s="7"/>
      <c r="T6775" s="7"/>
      <c r="V6775" s="7"/>
      <c r="X6775" s="7"/>
    </row>
    <row r="6776" spans="2:24">
      <c r="B6776" s="7"/>
      <c r="D6776" s="7"/>
      <c r="F6776" s="7"/>
      <c r="H6776" s="7"/>
      <c r="J6776" s="7"/>
      <c r="L6776" s="7"/>
      <c r="N6776" s="7"/>
      <c r="P6776" s="7"/>
      <c r="R6776" s="7"/>
      <c r="T6776" s="7"/>
      <c r="V6776" s="7"/>
      <c r="X6776" s="7"/>
    </row>
    <row r="6777" spans="2:24">
      <c r="B6777" s="7"/>
      <c r="D6777" s="7"/>
      <c r="F6777" s="7"/>
      <c r="H6777" s="7"/>
      <c r="J6777" s="7"/>
      <c r="L6777" s="7"/>
      <c r="N6777" s="7"/>
      <c r="P6777" s="7"/>
      <c r="R6777" s="7"/>
      <c r="T6777" s="7"/>
      <c r="V6777" s="7"/>
      <c r="X6777" s="7"/>
    </row>
    <row r="6778" spans="2:24">
      <c r="B6778" s="7"/>
      <c r="D6778" s="7"/>
      <c r="F6778" s="7"/>
      <c r="H6778" s="7"/>
      <c r="J6778" s="7"/>
      <c r="L6778" s="7"/>
      <c r="N6778" s="7"/>
      <c r="P6778" s="7"/>
      <c r="R6778" s="7"/>
      <c r="T6778" s="7"/>
      <c r="V6778" s="7"/>
      <c r="X6778" s="7"/>
    </row>
    <row r="6779" spans="2:24">
      <c r="B6779" s="7"/>
      <c r="D6779" s="7"/>
      <c r="F6779" s="7"/>
      <c r="H6779" s="7"/>
      <c r="J6779" s="7"/>
      <c r="L6779" s="7"/>
      <c r="N6779" s="7"/>
      <c r="P6779" s="7"/>
      <c r="R6779" s="7"/>
      <c r="T6779" s="7"/>
      <c r="V6779" s="7"/>
      <c r="X6779" s="7"/>
    </row>
    <row r="6780" spans="2:24">
      <c r="B6780" s="7"/>
      <c r="D6780" s="7"/>
      <c r="F6780" s="7"/>
      <c r="H6780" s="7"/>
      <c r="J6780" s="7"/>
      <c r="L6780" s="7"/>
      <c r="N6780" s="7"/>
      <c r="P6780" s="7"/>
      <c r="R6780" s="7"/>
      <c r="T6780" s="7"/>
      <c r="V6780" s="7"/>
      <c r="X6780" s="7"/>
    </row>
    <row r="6781" spans="2:24">
      <c r="B6781" s="7"/>
      <c r="D6781" s="7"/>
      <c r="F6781" s="7"/>
      <c r="H6781" s="7"/>
      <c r="J6781" s="7"/>
      <c r="L6781" s="7"/>
      <c r="N6781" s="7"/>
      <c r="P6781" s="7"/>
      <c r="R6781" s="7"/>
      <c r="T6781" s="7"/>
      <c r="V6781" s="7"/>
      <c r="X6781" s="7"/>
    </row>
    <row r="6782" spans="2:24">
      <c r="B6782" s="7"/>
      <c r="D6782" s="7"/>
      <c r="F6782" s="7"/>
      <c r="H6782" s="7"/>
      <c r="J6782" s="7"/>
      <c r="L6782" s="7"/>
      <c r="N6782" s="7"/>
      <c r="P6782" s="7"/>
      <c r="R6782" s="7"/>
      <c r="T6782" s="7"/>
      <c r="V6782" s="7"/>
      <c r="X6782" s="7"/>
    </row>
    <row r="6783" spans="2:24">
      <c r="B6783" s="7"/>
      <c r="D6783" s="7"/>
      <c r="F6783" s="7"/>
      <c r="H6783" s="7"/>
      <c r="J6783" s="7"/>
      <c r="L6783" s="7"/>
      <c r="N6783" s="7"/>
      <c r="P6783" s="7"/>
      <c r="R6783" s="7"/>
      <c r="T6783" s="7"/>
      <c r="V6783" s="7"/>
      <c r="X6783" s="7"/>
    </row>
    <row r="6784" spans="2:24">
      <c r="B6784" s="7"/>
      <c r="D6784" s="7"/>
      <c r="F6784" s="7"/>
      <c r="H6784" s="7"/>
      <c r="J6784" s="7"/>
      <c r="L6784" s="7"/>
      <c r="N6784" s="7"/>
      <c r="P6784" s="7"/>
      <c r="R6784" s="7"/>
      <c r="T6784" s="7"/>
      <c r="V6784" s="7"/>
      <c r="X6784" s="7"/>
    </row>
    <row r="6785" spans="2:24">
      <c r="B6785" s="7"/>
      <c r="D6785" s="7"/>
      <c r="F6785" s="7"/>
      <c r="H6785" s="7"/>
      <c r="J6785" s="7"/>
      <c r="L6785" s="7"/>
      <c r="N6785" s="7"/>
      <c r="P6785" s="7"/>
      <c r="R6785" s="7"/>
      <c r="T6785" s="7"/>
      <c r="V6785" s="7"/>
      <c r="X6785" s="7"/>
    </row>
    <row r="6786" spans="2:24">
      <c r="B6786" s="7"/>
      <c r="D6786" s="7"/>
      <c r="F6786" s="7"/>
      <c r="H6786" s="7"/>
      <c r="J6786" s="7"/>
      <c r="L6786" s="7"/>
      <c r="N6786" s="7"/>
      <c r="P6786" s="7"/>
      <c r="R6786" s="7"/>
      <c r="T6786" s="7"/>
      <c r="V6786" s="7"/>
      <c r="X6786" s="7"/>
    </row>
    <row r="6787" spans="2:24">
      <c r="B6787" s="7"/>
      <c r="D6787" s="7"/>
      <c r="F6787" s="7"/>
      <c r="H6787" s="7"/>
      <c r="J6787" s="7"/>
      <c r="L6787" s="7"/>
      <c r="N6787" s="7"/>
      <c r="P6787" s="7"/>
      <c r="R6787" s="7"/>
      <c r="T6787" s="7"/>
      <c r="V6787" s="7"/>
      <c r="X6787" s="7"/>
    </row>
    <row r="6788" spans="2:24">
      <c r="B6788" s="7"/>
      <c r="D6788" s="7"/>
      <c r="F6788" s="7"/>
      <c r="H6788" s="7"/>
      <c r="J6788" s="7"/>
      <c r="L6788" s="7"/>
      <c r="N6788" s="7"/>
      <c r="P6788" s="7"/>
      <c r="R6788" s="7"/>
      <c r="T6788" s="7"/>
      <c r="V6788" s="7"/>
      <c r="X6788" s="7"/>
    </row>
    <row r="6789" spans="2:24">
      <c r="B6789" s="7"/>
      <c r="D6789" s="7"/>
      <c r="F6789" s="7"/>
      <c r="H6789" s="7"/>
      <c r="J6789" s="7"/>
      <c r="L6789" s="7"/>
      <c r="N6789" s="7"/>
      <c r="P6789" s="7"/>
      <c r="R6789" s="7"/>
      <c r="T6789" s="7"/>
      <c r="V6789" s="7"/>
      <c r="X6789" s="7"/>
    </row>
    <row r="6790" spans="2:24">
      <c r="B6790" s="7"/>
      <c r="D6790" s="7"/>
      <c r="F6790" s="7"/>
      <c r="H6790" s="7"/>
      <c r="J6790" s="7"/>
      <c r="L6790" s="7"/>
      <c r="N6790" s="7"/>
      <c r="P6790" s="7"/>
      <c r="R6790" s="7"/>
      <c r="T6790" s="7"/>
      <c r="V6790" s="7"/>
      <c r="X6790" s="7"/>
    </row>
    <row r="6791" spans="2:24">
      <c r="B6791" s="7"/>
      <c r="D6791" s="7"/>
      <c r="F6791" s="7"/>
      <c r="H6791" s="7"/>
      <c r="J6791" s="7"/>
      <c r="L6791" s="7"/>
      <c r="N6791" s="7"/>
      <c r="P6791" s="7"/>
      <c r="R6791" s="7"/>
      <c r="T6791" s="7"/>
      <c r="V6791" s="7"/>
      <c r="X6791" s="7"/>
    </row>
    <row r="6792" spans="2:24">
      <c r="B6792" s="7"/>
      <c r="D6792" s="7"/>
      <c r="F6792" s="7"/>
      <c r="H6792" s="7"/>
      <c r="J6792" s="7"/>
      <c r="L6792" s="7"/>
      <c r="N6792" s="7"/>
      <c r="P6792" s="7"/>
      <c r="R6792" s="7"/>
      <c r="T6792" s="7"/>
      <c r="V6792" s="7"/>
      <c r="X6792" s="7"/>
    </row>
    <row r="6793" spans="2:24">
      <c r="B6793" s="7"/>
      <c r="D6793" s="7"/>
      <c r="F6793" s="7"/>
      <c r="H6793" s="7"/>
      <c r="J6793" s="7"/>
      <c r="L6793" s="7"/>
      <c r="N6793" s="7"/>
      <c r="P6793" s="7"/>
      <c r="R6793" s="7"/>
      <c r="T6793" s="7"/>
      <c r="V6793" s="7"/>
      <c r="X6793" s="7"/>
    </row>
    <row r="6794" spans="2:24">
      <c r="B6794" s="7"/>
      <c r="D6794" s="7"/>
      <c r="F6794" s="7"/>
      <c r="H6794" s="7"/>
      <c r="J6794" s="7"/>
      <c r="L6794" s="7"/>
      <c r="N6794" s="7"/>
      <c r="P6794" s="7"/>
      <c r="R6794" s="7"/>
      <c r="T6794" s="7"/>
      <c r="V6794" s="7"/>
      <c r="X6794" s="7"/>
    </row>
    <row r="6795" spans="2:24">
      <c r="B6795" s="7"/>
      <c r="D6795" s="7"/>
      <c r="F6795" s="7"/>
      <c r="H6795" s="7"/>
      <c r="J6795" s="7"/>
      <c r="L6795" s="7"/>
      <c r="N6795" s="7"/>
      <c r="P6795" s="7"/>
      <c r="R6795" s="7"/>
      <c r="T6795" s="7"/>
      <c r="V6795" s="7"/>
      <c r="X6795" s="7"/>
    </row>
    <row r="6796" spans="2:24">
      <c r="B6796" s="7"/>
      <c r="D6796" s="7"/>
      <c r="F6796" s="7"/>
      <c r="H6796" s="7"/>
      <c r="J6796" s="7"/>
      <c r="L6796" s="7"/>
      <c r="N6796" s="7"/>
      <c r="P6796" s="7"/>
      <c r="R6796" s="7"/>
      <c r="T6796" s="7"/>
      <c r="V6796" s="7"/>
      <c r="X6796" s="7"/>
    </row>
    <row r="6797" spans="2:24">
      <c r="B6797" s="7"/>
      <c r="D6797" s="7"/>
      <c r="F6797" s="7"/>
      <c r="H6797" s="7"/>
      <c r="J6797" s="7"/>
      <c r="L6797" s="7"/>
      <c r="N6797" s="7"/>
      <c r="P6797" s="7"/>
      <c r="R6797" s="7"/>
      <c r="T6797" s="7"/>
      <c r="V6797" s="7"/>
      <c r="X6797" s="7"/>
    </row>
    <row r="6798" spans="2:24">
      <c r="B6798" s="7"/>
      <c r="D6798" s="7"/>
      <c r="F6798" s="7"/>
      <c r="H6798" s="7"/>
      <c r="J6798" s="7"/>
      <c r="L6798" s="7"/>
      <c r="N6798" s="7"/>
      <c r="P6798" s="7"/>
      <c r="R6798" s="7"/>
      <c r="T6798" s="7"/>
      <c r="V6798" s="7"/>
      <c r="X6798" s="7"/>
    </row>
    <row r="6799" spans="2:24">
      <c r="B6799" s="7"/>
      <c r="D6799" s="7"/>
      <c r="F6799" s="7"/>
      <c r="H6799" s="7"/>
      <c r="J6799" s="7"/>
      <c r="L6799" s="7"/>
      <c r="N6799" s="7"/>
      <c r="P6799" s="7"/>
      <c r="R6799" s="7"/>
      <c r="T6799" s="7"/>
      <c r="V6799" s="7"/>
      <c r="X6799" s="7"/>
    </row>
    <row r="6800" spans="2:24">
      <c r="B6800" s="7"/>
      <c r="D6800" s="7"/>
      <c r="F6800" s="7"/>
      <c r="H6800" s="7"/>
      <c r="J6800" s="7"/>
      <c r="L6800" s="7"/>
      <c r="N6800" s="7"/>
      <c r="P6800" s="7"/>
      <c r="R6800" s="7"/>
      <c r="T6800" s="7"/>
      <c r="V6800" s="7"/>
      <c r="X6800" s="7"/>
    </row>
    <row r="6801" spans="2:24">
      <c r="B6801" s="7"/>
      <c r="D6801" s="7"/>
      <c r="F6801" s="7"/>
      <c r="H6801" s="7"/>
      <c r="J6801" s="7"/>
      <c r="L6801" s="7"/>
      <c r="N6801" s="7"/>
      <c r="P6801" s="7"/>
      <c r="R6801" s="7"/>
      <c r="T6801" s="7"/>
      <c r="V6801" s="7"/>
      <c r="X6801" s="7"/>
    </row>
    <row r="6802" spans="2:24">
      <c r="B6802" s="7"/>
      <c r="D6802" s="7"/>
      <c r="F6802" s="7"/>
      <c r="H6802" s="7"/>
      <c r="J6802" s="7"/>
      <c r="L6802" s="7"/>
      <c r="N6802" s="7"/>
      <c r="P6802" s="7"/>
      <c r="R6802" s="7"/>
      <c r="T6802" s="7"/>
      <c r="V6802" s="7"/>
      <c r="X6802" s="7"/>
    </row>
    <row r="6803" spans="2:24">
      <c r="B6803" s="7"/>
      <c r="D6803" s="7"/>
      <c r="F6803" s="7"/>
      <c r="H6803" s="7"/>
      <c r="J6803" s="7"/>
      <c r="L6803" s="7"/>
      <c r="N6803" s="7"/>
      <c r="P6803" s="7"/>
      <c r="R6803" s="7"/>
      <c r="T6803" s="7"/>
      <c r="V6803" s="7"/>
      <c r="X6803" s="7"/>
    </row>
    <row r="6804" spans="2:24">
      <c r="B6804" s="7"/>
      <c r="D6804" s="7"/>
      <c r="F6804" s="7"/>
      <c r="H6804" s="7"/>
      <c r="J6804" s="7"/>
      <c r="L6804" s="7"/>
      <c r="N6804" s="7"/>
      <c r="P6804" s="7"/>
      <c r="R6804" s="7"/>
      <c r="T6804" s="7"/>
      <c r="V6804" s="7"/>
      <c r="X6804" s="7"/>
    </row>
    <row r="6805" spans="2:24">
      <c r="B6805" s="7"/>
      <c r="D6805" s="7"/>
      <c r="F6805" s="7"/>
      <c r="H6805" s="7"/>
      <c r="J6805" s="7"/>
      <c r="L6805" s="7"/>
      <c r="N6805" s="7"/>
      <c r="P6805" s="7"/>
      <c r="R6805" s="7"/>
      <c r="T6805" s="7"/>
      <c r="V6805" s="7"/>
      <c r="X6805" s="7"/>
    </row>
    <row r="6806" spans="2:24">
      <c r="B6806" s="7"/>
      <c r="D6806" s="7"/>
      <c r="F6806" s="7"/>
      <c r="H6806" s="7"/>
      <c r="J6806" s="7"/>
      <c r="L6806" s="7"/>
      <c r="N6806" s="7"/>
      <c r="P6806" s="7"/>
      <c r="R6806" s="7"/>
      <c r="T6806" s="7"/>
      <c r="V6806" s="7"/>
      <c r="X6806" s="7"/>
    </row>
    <row r="6807" spans="2:24">
      <c r="B6807" s="7"/>
      <c r="D6807" s="7"/>
      <c r="F6807" s="7"/>
      <c r="H6807" s="7"/>
      <c r="J6807" s="7"/>
      <c r="L6807" s="7"/>
      <c r="N6807" s="7"/>
      <c r="P6807" s="7"/>
      <c r="R6807" s="7"/>
      <c r="T6807" s="7"/>
      <c r="V6807" s="7"/>
      <c r="X6807" s="7"/>
    </row>
    <row r="6808" spans="2:24">
      <c r="B6808" s="7"/>
      <c r="D6808" s="7"/>
      <c r="F6808" s="7"/>
      <c r="H6808" s="7"/>
      <c r="J6808" s="7"/>
      <c r="L6808" s="7"/>
      <c r="N6808" s="7"/>
      <c r="P6808" s="7"/>
      <c r="R6808" s="7"/>
      <c r="T6808" s="7"/>
      <c r="V6808" s="7"/>
      <c r="X6808" s="7"/>
    </row>
    <row r="6809" spans="2:24">
      <c r="B6809" s="7"/>
      <c r="D6809" s="7"/>
      <c r="F6809" s="7"/>
      <c r="H6809" s="7"/>
      <c r="J6809" s="7"/>
      <c r="L6809" s="7"/>
      <c r="N6809" s="7"/>
      <c r="P6809" s="7"/>
      <c r="R6809" s="7"/>
      <c r="T6809" s="7"/>
      <c r="V6809" s="7"/>
      <c r="X6809" s="7"/>
    </row>
    <row r="6810" spans="2:24">
      <c r="B6810" s="7"/>
      <c r="D6810" s="7"/>
      <c r="F6810" s="7"/>
      <c r="H6810" s="7"/>
      <c r="J6810" s="7"/>
      <c r="L6810" s="7"/>
      <c r="N6810" s="7"/>
      <c r="P6810" s="7"/>
      <c r="R6810" s="7"/>
      <c r="T6810" s="7"/>
      <c r="V6810" s="7"/>
      <c r="X6810" s="7"/>
    </row>
    <row r="6811" spans="2:24">
      <c r="B6811" s="7"/>
      <c r="D6811" s="7"/>
      <c r="F6811" s="7"/>
      <c r="H6811" s="7"/>
      <c r="J6811" s="7"/>
      <c r="L6811" s="7"/>
      <c r="N6811" s="7"/>
      <c r="P6811" s="7"/>
      <c r="R6811" s="7"/>
      <c r="T6811" s="7"/>
      <c r="V6811" s="7"/>
      <c r="X6811" s="7"/>
    </row>
    <row r="6812" spans="2:24">
      <c r="B6812" s="7"/>
      <c r="D6812" s="7"/>
      <c r="F6812" s="7"/>
      <c r="H6812" s="7"/>
      <c r="J6812" s="7"/>
      <c r="L6812" s="7"/>
      <c r="N6812" s="7"/>
      <c r="P6812" s="7"/>
      <c r="R6812" s="7"/>
      <c r="T6812" s="7"/>
      <c r="V6812" s="7"/>
      <c r="X6812" s="7"/>
    </row>
    <row r="6813" spans="2:24">
      <c r="B6813" s="7"/>
      <c r="D6813" s="7"/>
      <c r="F6813" s="7"/>
      <c r="H6813" s="7"/>
      <c r="J6813" s="7"/>
      <c r="L6813" s="7"/>
      <c r="N6813" s="7"/>
      <c r="P6813" s="7"/>
      <c r="R6813" s="7"/>
      <c r="T6813" s="7"/>
      <c r="V6813" s="7"/>
      <c r="X6813" s="7"/>
    </row>
    <row r="6814" spans="2:24">
      <c r="B6814" s="7"/>
      <c r="D6814" s="7"/>
      <c r="F6814" s="7"/>
      <c r="H6814" s="7"/>
      <c r="J6814" s="7"/>
      <c r="L6814" s="7"/>
      <c r="N6814" s="7"/>
      <c r="P6814" s="7"/>
      <c r="R6814" s="7"/>
      <c r="T6814" s="7"/>
      <c r="V6814" s="7"/>
      <c r="X6814" s="7"/>
    </row>
    <row r="6815" spans="2:24">
      <c r="B6815" s="7"/>
      <c r="D6815" s="7"/>
      <c r="F6815" s="7"/>
      <c r="H6815" s="7"/>
      <c r="J6815" s="7"/>
      <c r="L6815" s="7"/>
      <c r="N6815" s="7"/>
      <c r="P6815" s="7"/>
      <c r="R6815" s="7"/>
      <c r="T6815" s="7"/>
      <c r="V6815" s="7"/>
      <c r="X6815" s="7"/>
    </row>
    <row r="6816" spans="2:24">
      <c r="B6816" s="7"/>
      <c r="D6816" s="7"/>
      <c r="F6816" s="7"/>
      <c r="H6816" s="7"/>
      <c r="J6816" s="7"/>
      <c r="L6816" s="7"/>
      <c r="N6816" s="7"/>
      <c r="P6816" s="7"/>
      <c r="R6816" s="7"/>
      <c r="T6816" s="7"/>
      <c r="V6816" s="7"/>
      <c r="X6816" s="7"/>
    </row>
    <row r="6817" spans="2:24">
      <c r="B6817" s="7"/>
      <c r="D6817" s="7"/>
      <c r="F6817" s="7"/>
      <c r="H6817" s="7"/>
      <c r="J6817" s="7"/>
      <c r="L6817" s="7"/>
      <c r="N6817" s="7"/>
      <c r="P6817" s="7"/>
      <c r="R6817" s="7"/>
      <c r="T6817" s="7"/>
      <c r="V6817" s="7"/>
      <c r="X6817" s="7"/>
    </row>
    <row r="6818" spans="2:24">
      <c r="B6818" s="7"/>
      <c r="D6818" s="7"/>
      <c r="F6818" s="7"/>
      <c r="H6818" s="7"/>
      <c r="J6818" s="7"/>
      <c r="L6818" s="7"/>
      <c r="N6818" s="7"/>
      <c r="P6818" s="7"/>
      <c r="R6818" s="7"/>
      <c r="T6818" s="7"/>
      <c r="V6818" s="7"/>
      <c r="X6818" s="7"/>
    </row>
    <row r="6819" spans="2:24">
      <c r="B6819" s="7"/>
      <c r="D6819" s="7"/>
      <c r="F6819" s="7"/>
      <c r="H6819" s="7"/>
      <c r="J6819" s="7"/>
      <c r="L6819" s="7"/>
      <c r="N6819" s="7"/>
      <c r="P6819" s="7"/>
      <c r="R6819" s="7"/>
      <c r="T6819" s="7"/>
      <c r="V6819" s="7"/>
      <c r="X6819" s="7"/>
    </row>
    <row r="6820" spans="2:24">
      <c r="B6820" s="7"/>
      <c r="D6820" s="7"/>
      <c r="F6820" s="7"/>
      <c r="H6820" s="7"/>
      <c r="J6820" s="7"/>
      <c r="L6820" s="7"/>
      <c r="N6820" s="7"/>
      <c r="P6820" s="7"/>
      <c r="R6820" s="7"/>
      <c r="T6820" s="7"/>
      <c r="V6820" s="7"/>
      <c r="X6820" s="7"/>
    </row>
    <row r="6821" spans="2:24">
      <c r="B6821" s="7"/>
      <c r="D6821" s="7"/>
      <c r="F6821" s="7"/>
      <c r="H6821" s="7"/>
      <c r="J6821" s="7"/>
      <c r="L6821" s="7"/>
      <c r="N6821" s="7"/>
      <c r="P6821" s="7"/>
      <c r="R6821" s="7"/>
      <c r="T6821" s="7"/>
      <c r="V6821" s="7"/>
      <c r="X6821" s="7"/>
    </row>
    <row r="6822" spans="2:24">
      <c r="B6822" s="7"/>
      <c r="D6822" s="7"/>
      <c r="F6822" s="7"/>
      <c r="H6822" s="7"/>
      <c r="J6822" s="7"/>
      <c r="L6822" s="7"/>
      <c r="N6822" s="7"/>
      <c r="P6822" s="7"/>
      <c r="R6822" s="7"/>
      <c r="T6822" s="7"/>
      <c r="V6822" s="7"/>
      <c r="X6822" s="7"/>
    </row>
    <row r="6823" spans="2:24">
      <c r="B6823" s="7"/>
      <c r="D6823" s="7"/>
      <c r="F6823" s="7"/>
      <c r="H6823" s="7"/>
      <c r="J6823" s="7"/>
      <c r="L6823" s="7"/>
      <c r="N6823" s="7"/>
      <c r="P6823" s="7"/>
      <c r="R6823" s="7"/>
      <c r="T6823" s="7"/>
      <c r="V6823" s="7"/>
      <c r="X6823" s="7"/>
    </row>
    <row r="6824" spans="2:24">
      <c r="B6824" s="7"/>
      <c r="D6824" s="7"/>
      <c r="F6824" s="7"/>
      <c r="H6824" s="7"/>
      <c r="J6824" s="7"/>
      <c r="L6824" s="7"/>
      <c r="N6824" s="7"/>
      <c r="P6824" s="7"/>
      <c r="R6824" s="7"/>
      <c r="T6824" s="7"/>
      <c r="V6824" s="7"/>
      <c r="X6824" s="7"/>
    </row>
    <row r="6825" spans="2:24">
      <c r="B6825" s="7"/>
      <c r="D6825" s="7"/>
      <c r="F6825" s="7"/>
      <c r="H6825" s="7"/>
      <c r="J6825" s="7"/>
      <c r="L6825" s="7"/>
      <c r="N6825" s="7"/>
      <c r="P6825" s="7"/>
      <c r="R6825" s="7"/>
      <c r="T6825" s="7"/>
      <c r="V6825" s="7"/>
      <c r="X6825" s="7"/>
    </row>
    <row r="6826" spans="2:24">
      <c r="B6826" s="7"/>
      <c r="D6826" s="7"/>
      <c r="F6826" s="7"/>
      <c r="H6826" s="7"/>
      <c r="J6826" s="7"/>
      <c r="L6826" s="7"/>
      <c r="N6826" s="7"/>
      <c r="P6826" s="7"/>
      <c r="R6826" s="7"/>
      <c r="T6826" s="7"/>
      <c r="V6826" s="7"/>
      <c r="X6826" s="7"/>
    </row>
    <row r="6827" spans="2:24">
      <c r="B6827" s="7"/>
      <c r="D6827" s="7"/>
      <c r="F6827" s="7"/>
      <c r="H6827" s="7"/>
      <c r="J6827" s="7"/>
      <c r="L6827" s="7"/>
      <c r="N6827" s="7"/>
      <c r="P6827" s="7"/>
      <c r="R6827" s="7"/>
      <c r="T6827" s="7"/>
      <c r="V6827" s="7"/>
      <c r="X6827" s="7"/>
    </row>
    <row r="6828" spans="2:24">
      <c r="B6828" s="7"/>
      <c r="D6828" s="7"/>
      <c r="F6828" s="7"/>
      <c r="H6828" s="7"/>
      <c r="J6828" s="7"/>
      <c r="L6828" s="7"/>
      <c r="N6828" s="7"/>
      <c r="P6828" s="7"/>
      <c r="R6828" s="7"/>
      <c r="T6828" s="7"/>
      <c r="V6828" s="7"/>
      <c r="X6828" s="7"/>
    </row>
    <row r="6829" spans="2:24">
      <c r="B6829" s="7"/>
      <c r="D6829" s="7"/>
      <c r="F6829" s="7"/>
      <c r="H6829" s="7"/>
      <c r="J6829" s="7"/>
      <c r="L6829" s="7"/>
      <c r="N6829" s="7"/>
      <c r="P6829" s="7"/>
      <c r="R6829" s="7"/>
      <c r="T6829" s="7"/>
      <c r="V6829" s="7"/>
      <c r="X6829" s="7"/>
    </row>
    <row r="6830" spans="2:24">
      <c r="B6830" s="7"/>
      <c r="D6830" s="7"/>
      <c r="F6830" s="7"/>
      <c r="H6830" s="7"/>
      <c r="J6830" s="7"/>
      <c r="L6830" s="7"/>
      <c r="N6830" s="7"/>
      <c r="P6830" s="7"/>
      <c r="R6830" s="7"/>
      <c r="T6830" s="7"/>
      <c r="V6830" s="7"/>
      <c r="X6830" s="7"/>
    </row>
    <row r="6831" spans="2:24">
      <c r="B6831" s="7"/>
      <c r="D6831" s="7"/>
      <c r="F6831" s="7"/>
      <c r="H6831" s="7"/>
      <c r="J6831" s="7"/>
      <c r="L6831" s="7"/>
      <c r="N6831" s="7"/>
      <c r="P6831" s="7"/>
      <c r="R6831" s="7"/>
      <c r="T6831" s="7"/>
      <c r="V6831" s="7"/>
      <c r="X6831" s="7"/>
    </row>
    <row r="6832" spans="2:24">
      <c r="B6832" s="7"/>
      <c r="D6832" s="7"/>
      <c r="F6832" s="7"/>
      <c r="H6832" s="7"/>
      <c r="J6832" s="7"/>
      <c r="L6832" s="7"/>
      <c r="N6832" s="7"/>
      <c r="P6832" s="7"/>
      <c r="R6832" s="7"/>
      <c r="T6832" s="7"/>
      <c r="V6832" s="7"/>
      <c r="X6832" s="7"/>
    </row>
    <row r="6833" spans="2:24">
      <c r="B6833" s="7"/>
      <c r="D6833" s="7"/>
      <c r="F6833" s="7"/>
      <c r="H6833" s="7"/>
      <c r="J6833" s="7"/>
      <c r="L6833" s="7"/>
      <c r="N6833" s="7"/>
      <c r="P6833" s="7"/>
      <c r="R6833" s="7"/>
      <c r="T6833" s="7"/>
      <c r="V6833" s="7"/>
      <c r="X6833" s="7"/>
    </row>
    <row r="6834" spans="2:24">
      <c r="B6834" s="7"/>
      <c r="D6834" s="7"/>
      <c r="F6834" s="7"/>
      <c r="H6834" s="7"/>
      <c r="J6834" s="7"/>
      <c r="L6834" s="7"/>
      <c r="N6834" s="7"/>
      <c r="P6834" s="7"/>
      <c r="R6834" s="7"/>
      <c r="T6834" s="7"/>
      <c r="V6834" s="7"/>
      <c r="X6834" s="7"/>
    </row>
    <row r="6835" spans="2:24">
      <c r="B6835" s="7"/>
      <c r="D6835" s="7"/>
      <c r="F6835" s="7"/>
      <c r="H6835" s="7"/>
      <c r="J6835" s="7"/>
      <c r="L6835" s="7"/>
      <c r="N6835" s="7"/>
      <c r="P6835" s="7"/>
      <c r="R6835" s="7"/>
      <c r="T6835" s="7"/>
      <c r="V6835" s="7"/>
      <c r="X6835" s="7"/>
    </row>
    <row r="6836" spans="2:24">
      <c r="B6836" s="7"/>
      <c r="D6836" s="7"/>
      <c r="F6836" s="7"/>
      <c r="H6836" s="7"/>
      <c r="J6836" s="7"/>
      <c r="L6836" s="7"/>
      <c r="N6836" s="7"/>
      <c r="P6836" s="7"/>
      <c r="R6836" s="7"/>
      <c r="T6836" s="7"/>
      <c r="V6836" s="7"/>
      <c r="X6836" s="7"/>
    </row>
    <row r="6837" spans="2:24">
      <c r="B6837" s="7"/>
      <c r="D6837" s="7"/>
      <c r="F6837" s="7"/>
      <c r="H6837" s="7"/>
      <c r="J6837" s="7"/>
      <c r="L6837" s="7"/>
      <c r="N6837" s="7"/>
      <c r="P6837" s="7"/>
      <c r="R6837" s="7"/>
      <c r="T6837" s="7"/>
      <c r="V6837" s="7"/>
      <c r="X6837" s="7"/>
    </row>
    <row r="6838" spans="2:24">
      <c r="B6838" s="7"/>
      <c r="D6838" s="7"/>
      <c r="F6838" s="7"/>
      <c r="H6838" s="7"/>
      <c r="J6838" s="7"/>
      <c r="L6838" s="7"/>
      <c r="N6838" s="7"/>
      <c r="P6838" s="7"/>
      <c r="R6838" s="7"/>
      <c r="T6838" s="7"/>
      <c r="V6838" s="7"/>
      <c r="X6838" s="7"/>
    </row>
    <row r="6839" spans="2:24">
      <c r="B6839" s="7"/>
      <c r="D6839" s="7"/>
      <c r="F6839" s="7"/>
      <c r="H6839" s="7"/>
      <c r="J6839" s="7"/>
      <c r="L6839" s="7"/>
      <c r="N6839" s="7"/>
      <c r="P6839" s="7"/>
      <c r="R6839" s="7"/>
      <c r="T6839" s="7"/>
      <c r="V6839" s="7"/>
      <c r="X6839" s="7"/>
    </row>
    <row r="6840" spans="2:24">
      <c r="B6840" s="7"/>
      <c r="D6840" s="7"/>
      <c r="F6840" s="7"/>
      <c r="H6840" s="7"/>
      <c r="J6840" s="7"/>
      <c r="L6840" s="7"/>
      <c r="N6840" s="7"/>
      <c r="P6840" s="7"/>
      <c r="R6840" s="7"/>
      <c r="T6840" s="7"/>
      <c r="V6840" s="7"/>
      <c r="X6840" s="7"/>
    </row>
    <row r="6841" spans="2:24">
      <c r="B6841" s="7"/>
      <c r="D6841" s="7"/>
      <c r="F6841" s="7"/>
      <c r="H6841" s="7"/>
      <c r="J6841" s="7"/>
      <c r="L6841" s="7"/>
      <c r="N6841" s="7"/>
      <c r="P6841" s="7"/>
      <c r="R6841" s="7"/>
      <c r="T6841" s="7"/>
      <c r="V6841" s="7"/>
      <c r="X6841" s="7"/>
    </row>
    <row r="6842" spans="2:24">
      <c r="B6842" s="7"/>
      <c r="D6842" s="7"/>
      <c r="F6842" s="7"/>
      <c r="H6842" s="7"/>
      <c r="J6842" s="7"/>
      <c r="L6842" s="7"/>
      <c r="N6842" s="7"/>
      <c r="P6842" s="7"/>
      <c r="R6842" s="7"/>
      <c r="T6842" s="7"/>
      <c r="V6842" s="7"/>
      <c r="X6842" s="7"/>
    </row>
    <row r="6843" spans="2:24">
      <c r="B6843" s="7"/>
      <c r="D6843" s="7"/>
      <c r="F6843" s="7"/>
      <c r="H6843" s="7"/>
      <c r="J6843" s="7"/>
      <c r="L6843" s="7"/>
      <c r="N6843" s="7"/>
      <c r="P6843" s="7"/>
      <c r="R6843" s="7"/>
      <c r="T6843" s="7"/>
      <c r="V6843" s="7"/>
      <c r="X6843" s="7"/>
    </row>
    <row r="6844" spans="2:24">
      <c r="B6844" s="7"/>
      <c r="D6844" s="7"/>
      <c r="F6844" s="7"/>
      <c r="H6844" s="7"/>
      <c r="J6844" s="7"/>
      <c r="L6844" s="7"/>
      <c r="N6844" s="7"/>
      <c r="P6844" s="7"/>
      <c r="R6844" s="7"/>
      <c r="T6844" s="7"/>
      <c r="V6844" s="7"/>
      <c r="X6844" s="7"/>
    </row>
    <row r="6845" spans="2:24">
      <c r="B6845" s="7"/>
      <c r="D6845" s="7"/>
      <c r="F6845" s="7"/>
      <c r="H6845" s="7"/>
      <c r="J6845" s="7"/>
      <c r="L6845" s="7"/>
      <c r="N6845" s="7"/>
      <c r="P6845" s="7"/>
      <c r="R6845" s="7"/>
      <c r="T6845" s="7"/>
      <c r="V6845" s="7"/>
      <c r="X6845" s="7"/>
    </row>
    <row r="6846" spans="2:24">
      <c r="B6846" s="7"/>
      <c r="D6846" s="7"/>
      <c r="F6846" s="7"/>
      <c r="H6846" s="7"/>
      <c r="J6846" s="7"/>
      <c r="L6846" s="7"/>
      <c r="N6846" s="7"/>
      <c r="P6846" s="7"/>
      <c r="R6846" s="7"/>
      <c r="T6846" s="7"/>
      <c r="V6846" s="7"/>
      <c r="X6846" s="7"/>
    </row>
    <row r="6847" spans="2:24">
      <c r="B6847" s="7"/>
      <c r="D6847" s="7"/>
      <c r="F6847" s="7"/>
      <c r="H6847" s="7"/>
      <c r="J6847" s="7"/>
      <c r="L6847" s="7"/>
      <c r="N6847" s="7"/>
      <c r="P6847" s="7"/>
      <c r="R6847" s="7"/>
      <c r="T6847" s="7"/>
      <c r="V6847" s="7"/>
      <c r="X6847" s="7"/>
    </row>
    <row r="6848" spans="2:24">
      <c r="B6848" s="7"/>
      <c r="D6848" s="7"/>
      <c r="F6848" s="7"/>
      <c r="H6848" s="7"/>
      <c r="J6848" s="7"/>
      <c r="L6848" s="7"/>
      <c r="N6848" s="7"/>
      <c r="P6848" s="7"/>
      <c r="R6848" s="7"/>
      <c r="T6848" s="7"/>
      <c r="V6848" s="7"/>
      <c r="X6848" s="7"/>
    </row>
    <row r="6849" spans="2:24">
      <c r="B6849" s="7"/>
      <c r="D6849" s="7"/>
      <c r="F6849" s="7"/>
      <c r="H6849" s="7"/>
      <c r="J6849" s="7"/>
      <c r="L6849" s="7"/>
      <c r="N6849" s="7"/>
      <c r="P6849" s="7"/>
      <c r="R6849" s="7"/>
      <c r="T6849" s="7"/>
      <c r="V6849" s="7"/>
      <c r="X6849" s="7"/>
    </row>
    <row r="6850" spans="2:24">
      <c r="B6850" s="7"/>
      <c r="D6850" s="7"/>
      <c r="F6850" s="7"/>
      <c r="H6850" s="7"/>
      <c r="J6850" s="7"/>
      <c r="L6850" s="7"/>
      <c r="N6850" s="7"/>
      <c r="P6850" s="7"/>
      <c r="R6850" s="7"/>
      <c r="T6850" s="7"/>
      <c r="V6850" s="7"/>
      <c r="X6850" s="7"/>
    </row>
    <row r="6851" spans="2:24">
      <c r="B6851" s="7"/>
      <c r="D6851" s="7"/>
      <c r="F6851" s="7"/>
      <c r="H6851" s="7"/>
      <c r="J6851" s="7"/>
      <c r="L6851" s="7"/>
      <c r="N6851" s="7"/>
      <c r="P6851" s="7"/>
      <c r="R6851" s="7"/>
      <c r="T6851" s="7"/>
      <c r="V6851" s="7"/>
      <c r="X6851" s="7"/>
    </row>
    <row r="6852" spans="2:24">
      <c r="B6852" s="7"/>
      <c r="D6852" s="7"/>
      <c r="F6852" s="7"/>
      <c r="H6852" s="7"/>
      <c r="J6852" s="7"/>
      <c r="L6852" s="7"/>
      <c r="N6852" s="7"/>
      <c r="P6852" s="7"/>
      <c r="R6852" s="7"/>
      <c r="T6852" s="7"/>
      <c r="V6852" s="7"/>
      <c r="X6852" s="7"/>
    </row>
    <row r="6853" spans="2:24">
      <c r="B6853" s="7"/>
      <c r="D6853" s="7"/>
      <c r="F6853" s="7"/>
      <c r="H6853" s="7"/>
      <c r="J6853" s="7"/>
      <c r="L6853" s="7"/>
      <c r="N6853" s="7"/>
      <c r="P6853" s="7"/>
      <c r="R6853" s="7"/>
      <c r="T6853" s="7"/>
      <c r="V6853" s="7"/>
      <c r="X6853" s="7"/>
    </row>
    <row r="6854" spans="2:24">
      <c r="B6854" s="7"/>
      <c r="D6854" s="7"/>
      <c r="F6854" s="7"/>
      <c r="H6854" s="7"/>
      <c r="J6854" s="7"/>
      <c r="L6854" s="7"/>
      <c r="N6854" s="7"/>
      <c r="P6854" s="7"/>
      <c r="R6854" s="7"/>
      <c r="T6854" s="7"/>
      <c r="V6854" s="7"/>
      <c r="X6854" s="7"/>
    </row>
    <row r="6855" spans="2:24">
      <c r="B6855" s="7"/>
      <c r="D6855" s="7"/>
      <c r="F6855" s="7"/>
      <c r="H6855" s="7"/>
      <c r="J6855" s="7"/>
      <c r="L6855" s="7"/>
      <c r="N6855" s="7"/>
      <c r="P6855" s="7"/>
      <c r="R6855" s="7"/>
      <c r="T6855" s="7"/>
      <c r="V6855" s="7"/>
      <c r="X6855" s="7"/>
    </row>
    <row r="6856" spans="2:24">
      <c r="B6856" s="7"/>
      <c r="D6856" s="7"/>
      <c r="F6856" s="7"/>
      <c r="H6856" s="7"/>
      <c r="J6856" s="7"/>
      <c r="L6856" s="7"/>
      <c r="N6856" s="7"/>
      <c r="P6856" s="7"/>
      <c r="R6856" s="7"/>
      <c r="T6856" s="7"/>
      <c r="V6856" s="7"/>
      <c r="X6856" s="7"/>
    </row>
    <row r="6857" spans="2:24">
      <c r="B6857" s="7"/>
      <c r="D6857" s="7"/>
      <c r="F6857" s="7"/>
      <c r="H6857" s="7"/>
      <c r="J6857" s="7"/>
      <c r="L6857" s="7"/>
      <c r="N6857" s="7"/>
      <c r="P6857" s="7"/>
      <c r="R6857" s="7"/>
      <c r="T6857" s="7"/>
      <c r="V6857" s="7"/>
      <c r="X6857" s="7"/>
    </row>
    <row r="6858" spans="2:24">
      <c r="B6858" s="7"/>
      <c r="D6858" s="7"/>
      <c r="F6858" s="7"/>
      <c r="H6858" s="7"/>
      <c r="J6858" s="7"/>
      <c r="L6858" s="7"/>
      <c r="N6858" s="7"/>
      <c r="P6858" s="7"/>
      <c r="R6858" s="7"/>
      <c r="T6858" s="7"/>
      <c r="V6858" s="7"/>
      <c r="X6858" s="7"/>
    </row>
    <row r="6859" spans="2:24">
      <c r="B6859" s="7"/>
      <c r="D6859" s="7"/>
      <c r="F6859" s="7"/>
      <c r="H6859" s="7"/>
      <c r="J6859" s="7"/>
      <c r="L6859" s="7"/>
      <c r="N6859" s="7"/>
      <c r="P6859" s="7"/>
      <c r="R6859" s="7"/>
      <c r="T6859" s="7"/>
      <c r="V6859" s="7"/>
      <c r="X6859" s="7"/>
    </row>
    <row r="6860" spans="2:24">
      <c r="B6860" s="7"/>
      <c r="D6860" s="7"/>
      <c r="F6860" s="7"/>
      <c r="H6860" s="7"/>
      <c r="J6860" s="7"/>
      <c r="L6860" s="7"/>
      <c r="N6860" s="7"/>
      <c r="P6860" s="7"/>
      <c r="R6860" s="7"/>
      <c r="T6860" s="7"/>
      <c r="V6860" s="7"/>
      <c r="X6860" s="7"/>
    </row>
    <row r="6861" spans="2:24">
      <c r="B6861" s="7"/>
      <c r="D6861" s="7"/>
      <c r="F6861" s="7"/>
      <c r="H6861" s="7"/>
      <c r="J6861" s="7"/>
      <c r="L6861" s="7"/>
      <c r="N6861" s="7"/>
      <c r="P6861" s="7"/>
      <c r="R6861" s="7"/>
      <c r="T6861" s="7"/>
      <c r="V6861" s="7"/>
      <c r="X6861" s="7"/>
    </row>
    <row r="6862" spans="2:24">
      <c r="B6862" s="7"/>
      <c r="D6862" s="7"/>
      <c r="F6862" s="7"/>
      <c r="H6862" s="7"/>
      <c r="J6862" s="7"/>
      <c r="L6862" s="7"/>
      <c r="N6862" s="7"/>
      <c r="P6862" s="7"/>
      <c r="R6862" s="7"/>
      <c r="T6862" s="7"/>
      <c r="V6862" s="7"/>
      <c r="X6862" s="7"/>
    </row>
    <row r="6863" spans="2:24">
      <c r="B6863" s="7"/>
      <c r="D6863" s="7"/>
      <c r="F6863" s="7"/>
      <c r="H6863" s="7"/>
      <c r="J6863" s="7"/>
      <c r="L6863" s="7"/>
      <c r="N6863" s="7"/>
      <c r="P6863" s="7"/>
      <c r="R6863" s="7"/>
      <c r="T6863" s="7"/>
      <c r="V6863" s="7"/>
      <c r="X6863" s="7"/>
    </row>
    <row r="6864" spans="2:24">
      <c r="B6864" s="7"/>
      <c r="D6864" s="7"/>
      <c r="F6864" s="7"/>
      <c r="H6864" s="7"/>
      <c r="J6864" s="7"/>
      <c r="L6864" s="7"/>
      <c r="N6864" s="7"/>
      <c r="P6864" s="7"/>
      <c r="R6864" s="7"/>
      <c r="T6864" s="7"/>
      <c r="V6864" s="7"/>
      <c r="X6864" s="7"/>
    </row>
    <row r="6865" spans="2:24">
      <c r="B6865" s="7"/>
      <c r="D6865" s="7"/>
      <c r="F6865" s="7"/>
      <c r="H6865" s="7"/>
      <c r="J6865" s="7"/>
      <c r="L6865" s="7"/>
      <c r="N6865" s="7"/>
      <c r="P6865" s="7"/>
      <c r="R6865" s="7"/>
      <c r="T6865" s="7"/>
      <c r="V6865" s="7"/>
      <c r="X6865" s="7"/>
    </row>
    <row r="6866" spans="2:24">
      <c r="B6866" s="7"/>
      <c r="D6866" s="7"/>
      <c r="F6866" s="7"/>
      <c r="H6866" s="7"/>
      <c r="J6866" s="7"/>
      <c r="L6866" s="7"/>
      <c r="N6866" s="7"/>
      <c r="P6866" s="7"/>
      <c r="R6866" s="7"/>
      <c r="T6866" s="7"/>
      <c r="V6866" s="7"/>
      <c r="X6866" s="7"/>
    </row>
    <row r="6867" spans="2:24">
      <c r="B6867" s="7"/>
      <c r="D6867" s="7"/>
      <c r="F6867" s="7"/>
      <c r="H6867" s="7"/>
      <c r="J6867" s="7"/>
      <c r="L6867" s="7"/>
      <c r="N6867" s="7"/>
      <c r="P6867" s="7"/>
      <c r="R6867" s="7"/>
      <c r="T6867" s="7"/>
      <c r="V6867" s="7"/>
      <c r="X6867" s="7"/>
    </row>
    <row r="6868" spans="2:24">
      <c r="B6868" s="7"/>
      <c r="D6868" s="7"/>
      <c r="F6868" s="7"/>
      <c r="H6868" s="7"/>
      <c r="J6868" s="7"/>
      <c r="L6868" s="7"/>
      <c r="N6868" s="7"/>
      <c r="P6868" s="7"/>
      <c r="R6868" s="7"/>
      <c r="T6868" s="7"/>
      <c r="V6868" s="7"/>
      <c r="X6868" s="7"/>
    </row>
    <row r="6869" spans="2:24">
      <c r="B6869" s="7"/>
      <c r="D6869" s="7"/>
      <c r="F6869" s="7"/>
      <c r="H6869" s="7"/>
      <c r="J6869" s="7"/>
      <c r="L6869" s="7"/>
      <c r="N6869" s="7"/>
      <c r="P6869" s="7"/>
      <c r="R6869" s="7"/>
      <c r="T6869" s="7"/>
      <c r="V6869" s="7"/>
      <c r="X6869" s="7"/>
    </row>
    <row r="6870" spans="2:24">
      <c r="B6870" s="7"/>
      <c r="D6870" s="7"/>
      <c r="F6870" s="7"/>
      <c r="H6870" s="7"/>
      <c r="J6870" s="7"/>
      <c r="L6870" s="7"/>
      <c r="N6870" s="7"/>
      <c r="P6870" s="7"/>
      <c r="R6870" s="7"/>
      <c r="T6870" s="7"/>
      <c r="V6870" s="7"/>
      <c r="X6870" s="7"/>
    </row>
    <row r="6871" spans="2:24">
      <c r="B6871" s="7"/>
      <c r="D6871" s="7"/>
      <c r="F6871" s="7"/>
      <c r="H6871" s="7"/>
      <c r="J6871" s="7"/>
      <c r="L6871" s="7"/>
      <c r="N6871" s="7"/>
      <c r="P6871" s="7"/>
      <c r="R6871" s="7"/>
      <c r="T6871" s="7"/>
      <c r="V6871" s="7"/>
      <c r="X6871" s="7"/>
    </row>
    <row r="6872" spans="2:24">
      <c r="B6872" s="7"/>
      <c r="D6872" s="7"/>
      <c r="F6872" s="7"/>
      <c r="H6872" s="7"/>
      <c r="J6872" s="7"/>
      <c r="L6872" s="7"/>
      <c r="N6872" s="7"/>
      <c r="P6872" s="7"/>
      <c r="R6872" s="7"/>
      <c r="T6872" s="7"/>
      <c r="V6872" s="7"/>
      <c r="X6872" s="7"/>
    </row>
    <row r="6873" spans="2:24">
      <c r="B6873" s="7"/>
      <c r="D6873" s="7"/>
      <c r="F6873" s="7"/>
      <c r="H6873" s="7"/>
      <c r="J6873" s="7"/>
      <c r="L6873" s="7"/>
      <c r="N6873" s="7"/>
      <c r="P6873" s="7"/>
      <c r="R6873" s="7"/>
      <c r="T6873" s="7"/>
      <c r="V6873" s="7"/>
      <c r="X6873" s="7"/>
    </row>
    <row r="6874" spans="2:24">
      <c r="B6874" s="7"/>
      <c r="D6874" s="7"/>
      <c r="F6874" s="7"/>
      <c r="H6874" s="7"/>
      <c r="J6874" s="7"/>
      <c r="L6874" s="7"/>
      <c r="N6874" s="7"/>
      <c r="P6874" s="7"/>
      <c r="R6874" s="7"/>
      <c r="T6874" s="7"/>
      <c r="V6874" s="7"/>
      <c r="X6874" s="7"/>
    </row>
    <row r="6875" spans="2:24">
      <c r="B6875" s="7"/>
      <c r="D6875" s="7"/>
      <c r="F6875" s="7"/>
      <c r="H6875" s="7"/>
      <c r="J6875" s="7"/>
      <c r="L6875" s="7"/>
      <c r="N6875" s="7"/>
      <c r="P6875" s="7"/>
      <c r="R6875" s="7"/>
      <c r="T6875" s="7"/>
      <c r="V6875" s="7"/>
      <c r="X6875" s="7"/>
    </row>
    <row r="6876" spans="2:24">
      <c r="B6876" s="7"/>
      <c r="D6876" s="7"/>
      <c r="F6876" s="7"/>
      <c r="H6876" s="7"/>
      <c r="J6876" s="7"/>
      <c r="L6876" s="7"/>
      <c r="N6876" s="7"/>
      <c r="P6876" s="7"/>
      <c r="R6876" s="7"/>
      <c r="T6876" s="7"/>
      <c r="V6876" s="7"/>
      <c r="X6876" s="7"/>
    </row>
    <row r="6877" spans="2:24">
      <c r="B6877" s="7"/>
      <c r="D6877" s="7"/>
      <c r="F6877" s="7"/>
      <c r="H6877" s="7"/>
      <c r="J6877" s="7"/>
      <c r="L6877" s="7"/>
      <c r="N6877" s="7"/>
      <c r="P6877" s="7"/>
      <c r="R6877" s="7"/>
      <c r="T6877" s="7"/>
      <c r="V6877" s="7"/>
      <c r="X6877" s="7"/>
    </row>
    <row r="6878" spans="2:24">
      <c r="B6878" s="7"/>
      <c r="D6878" s="7"/>
      <c r="F6878" s="7"/>
      <c r="H6878" s="7"/>
      <c r="J6878" s="7"/>
      <c r="L6878" s="7"/>
      <c r="N6878" s="7"/>
      <c r="P6878" s="7"/>
      <c r="R6878" s="7"/>
      <c r="T6878" s="7"/>
      <c r="V6878" s="7"/>
      <c r="X6878" s="7"/>
    </row>
    <row r="6879" spans="2:24">
      <c r="B6879" s="7"/>
      <c r="D6879" s="7"/>
      <c r="F6879" s="7"/>
      <c r="H6879" s="7"/>
      <c r="J6879" s="7"/>
      <c r="L6879" s="7"/>
      <c r="N6879" s="7"/>
      <c r="P6879" s="7"/>
      <c r="R6879" s="7"/>
      <c r="T6879" s="7"/>
      <c r="V6879" s="7"/>
      <c r="X6879" s="7"/>
    </row>
    <row r="6880" spans="2:24">
      <c r="B6880" s="7"/>
      <c r="D6880" s="7"/>
      <c r="F6880" s="7"/>
      <c r="H6880" s="7"/>
      <c r="J6880" s="7"/>
      <c r="L6880" s="7"/>
      <c r="N6880" s="7"/>
      <c r="P6880" s="7"/>
      <c r="R6880" s="7"/>
      <c r="T6880" s="7"/>
      <c r="V6880" s="7"/>
      <c r="X6880" s="7"/>
    </row>
    <row r="6881" spans="2:24">
      <c r="B6881" s="7"/>
      <c r="D6881" s="7"/>
      <c r="F6881" s="7"/>
      <c r="H6881" s="7"/>
      <c r="J6881" s="7"/>
      <c r="L6881" s="7"/>
      <c r="N6881" s="7"/>
      <c r="P6881" s="7"/>
      <c r="R6881" s="7"/>
      <c r="T6881" s="7"/>
      <c r="V6881" s="7"/>
      <c r="X6881" s="7"/>
    </row>
    <row r="6882" spans="2:24">
      <c r="B6882" s="7"/>
      <c r="D6882" s="7"/>
      <c r="F6882" s="7"/>
      <c r="H6882" s="7"/>
      <c r="J6882" s="7"/>
      <c r="L6882" s="7"/>
      <c r="N6882" s="7"/>
      <c r="P6882" s="7"/>
      <c r="R6882" s="7"/>
      <c r="T6882" s="7"/>
      <c r="V6882" s="7"/>
      <c r="X6882" s="7"/>
    </row>
    <row r="6883" spans="2:24">
      <c r="B6883" s="7"/>
      <c r="D6883" s="7"/>
      <c r="F6883" s="7"/>
      <c r="H6883" s="7"/>
      <c r="J6883" s="7"/>
      <c r="L6883" s="7"/>
      <c r="N6883" s="7"/>
      <c r="P6883" s="7"/>
      <c r="R6883" s="7"/>
      <c r="T6883" s="7"/>
      <c r="V6883" s="7"/>
      <c r="X6883" s="7"/>
    </row>
    <row r="6884" spans="2:24">
      <c r="B6884" s="7"/>
      <c r="D6884" s="7"/>
      <c r="F6884" s="7"/>
      <c r="H6884" s="7"/>
      <c r="J6884" s="7"/>
      <c r="L6884" s="7"/>
      <c r="N6884" s="7"/>
      <c r="P6884" s="7"/>
      <c r="R6884" s="7"/>
      <c r="T6884" s="7"/>
      <c r="V6884" s="7"/>
      <c r="X6884" s="7"/>
    </row>
    <row r="6885" spans="2:24">
      <c r="B6885" s="7"/>
      <c r="D6885" s="7"/>
      <c r="F6885" s="7"/>
      <c r="H6885" s="7"/>
      <c r="J6885" s="7"/>
      <c r="L6885" s="7"/>
      <c r="N6885" s="7"/>
      <c r="P6885" s="7"/>
      <c r="R6885" s="7"/>
      <c r="T6885" s="7"/>
      <c r="V6885" s="7"/>
      <c r="X6885" s="7"/>
    </row>
    <row r="6886" spans="2:24">
      <c r="B6886" s="7"/>
      <c r="D6886" s="7"/>
      <c r="F6886" s="7"/>
      <c r="H6886" s="7"/>
      <c r="J6886" s="7"/>
      <c r="L6886" s="7"/>
      <c r="N6886" s="7"/>
      <c r="P6886" s="7"/>
      <c r="R6886" s="7"/>
      <c r="T6886" s="7"/>
      <c r="V6886" s="7"/>
      <c r="X6886" s="7"/>
    </row>
    <row r="6887" spans="2:24">
      <c r="B6887" s="7"/>
      <c r="D6887" s="7"/>
      <c r="F6887" s="7"/>
      <c r="H6887" s="7"/>
      <c r="J6887" s="7"/>
      <c r="L6887" s="7"/>
      <c r="N6887" s="7"/>
      <c r="P6887" s="7"/>
      <c r="R6887" s="7"/>
      <c r="T6887" s="7"/>
      <c r="V6887" s="7"/>
      <c r="X6887" s="7"/>
    </row>
    <row r="6888" spans="2:24">
      <c r="B6888" s="7"/>
      <c r="D6888" s="7"/>
      <c r="F6888" s="7"/>
      <c r="H6888" s="7"/>
      <c r="J6888" s="7"/>
      <c r="L6888" s="7"/>
      <c r="N6888" s="7"/>
      <c r="P6888" s="7"/>
      <c r="R6888" s="7"/>
      <c r="T6888" s="7"/>
      <c r="V6888" s="7"/>
      <c r="X6888" s="7"/>
    </row>
    <row r="6889" spans="2:24">
      <c r="B6889" s="7"/>
      <c r="D6889" s="7"/>
      <c r="F6889" s="7"/>
      <c r="H6889" s="7"/>
      <c r="J6889" s="7"/>
      <c r="L6889" s="7"/>
      <c r="N6889" s="7"/>
      <c r="P6889" s="7"/>
      <c r="R6889" s="7"/>
      <c r="T6889" s="7"/>
      <c r="V6889" s="7"/>
      <c r="X6889" s="7"/>
    </row>
    <row r="6890" spans="2:24">
      <c r="B6890" s="7"/>
      <c r="D6890" s="7"/>
      <c r="F6890" s="7"/>
      <c r="H6890" s="7"/>
      <c r="J6890" s="7"/>
      <c r="L6890" s="7"/>
      <c r="N6890" s="7"/>
      <c r="P6890" s="7"/>
      <c r="R6890" s="7"/>
      <c r="T6890" s="7"/>
      <c r="V6890" s="7"/>
      <c r="X6890" s="7"/>
    </row>
    <row r="6891" spans="2:24">
      <c r="B6891" s="7"/>
      <c r="D6891" s="7"/>
      <c r="F6891" s="7"/>
      <c r="H6891" s="7"/>
      <c r="J6891" s="7"/>
      <c r="L6891" s="7"/>
      <c r="N6891" s="7"/>
      <c r="P6891" s="7"/>
      <c r="R6891" s="7"/>
      <c r="T6891" s="7"/>
      <c r="V6891" s="7"/>
      <c r="X6891" s="7"/>
    </row>
    <row r="6892" spans="2:24">
      <c r="B6892" s="7"/>
      <c r="D6892" s="7"/>
      <c r="F6892" s="7"/>
      <c r="H6892" s="7"/>
      <c r="J6892" s="7"/>
      <c r="L6892" s="7"/>
      <c r="N6892" s="7"/>
      <c r="P6892" s="7"/>
      <c r="R6892" s="7"/>
      <c r="T6892" s="7"/>
      <c r="V6892" s="7"/>
      <c r="X6892" s="7"/>
    </row>
    <row r="6893" spans="2:24">
      <c r="B6893" s="7"/>
      <c r="D6893" s="7"/>
      <c r="F6893" s="7"/>
      <c r="H6893" s="7"/>
      <c r="J6893" s="7"/>
      <c r="L6893" s="7"/>
      <c r="N6893" s="7"/>
      <c r="P6893" s="7"/>
      <c r="R6893" s="7"/>
      <c r="T6893" s="7"/>
      <c r="V6893" s="7"/>
      <c r="X6893" s="7"/>
    </row>
    <row r="6894" spans="2:24">
      <c r="B6894" s="7"/>
      <c r="D6894" s="7"/>
      <c r="F6894" s="7"/>
      <c r="H6894" s="7"/>
      <c r="J6894" s="7"/>
      <c r="L6894" s="7"/>
      <c r="N6894" s="7"/>
      <c r="P6894" s="7"/>
      <c r="R6894" s="7"/>
      <c r="T6894" s="7"/>
      <c r="V6894" s="7"/>
      <c r="X6894" s="7"/>
    </row>
    <row r="6895" spans="2:24">
      <c r="B6895" s="7"/>
      <c r="D6895" s="7"/>
      <c r="F6895" s="7"/>
      <c r="H6895" s="7"/>
      <c r="J6895" s="7"/>
      <c r="L6895" s="7"/>
      <c r="N6895" s="7"/>
      <c r="P6895" s="7"/>
      <c r="R6895" s="7"/>
      <c r="T6895" s="7"/>
      <c r="V6895" s="7"/>
      <c r="X6895" s="7"/>
    </row>
    <row r="6896" spans="2:24">
      <c r="B6896" s="7"/>
      <c r="D6896" s="7"/>
      <c r="F6896" s="7"/>
      <c r="H6896" s="7"/>
      <c r="J6896" s="7"/>
      <c r="L6896" s="7"/>
      <c r="N6896" s="7"/>
      <c r="P6896" s="7"/>
      <c r="R6896" s="7"/>
      <c r="T6896" s="7"/>
      <c r="V6896" s="7"/>
      <c r="X6896" s="7"/>
    </row>
    <row r="6897" spans="2:24">
      <c r="B6897" s="7"/>
      <c r="D6897" s="7"/>
      <c r="F6897" s="7"/>
      <c r="H6897" s="7"/>
      <c r="J6897" s="7"/>
      <c r="L6897" s="7"/>
      <c r="N6897" s="7"/>
      <c r="P6897" s="7"/>
      <c r="R6897" s="7"/>
      <c r="T6897" s="7"/>
      <c r="V6897" s="7"/>
      <c r="X6897" s="7"/>
    </row>
    <row r="6898" spans="2:24">
      <c r="B6898" s="7"/>
      <c r="D6898" s="7"/>
      <c r="F6898" s="7"/>
      <c r="H6898" s="7"/>
      <c r="J6898" s="7"/>
      <c r="L6898" s="7"/>
      <c r="N6898" s="7"/>
      <c r="P6898" s="7"/>
      <c r="R6898" s="7"/>
      <c r="T6898" s="7"/>
      <c r="V6898" s="7"/>
      <c r="X6898" s="7"/>
    </row>
    <row r="6899" spans="2:24">
      <c r="B6899" s="7"/>
      <c r="D6899" s="7"/>
      <c r="F6899" s="7"/>
      <c r="H6899" s="7"/>
      <c r="J6899" s="7"/>
      <c r="L6899" s="7"/>
      <c r="N6899" s="7"/>
      <c r="P6899" s="7"/>
      <c r="R6899" s="7"/>
      <c r="T6899" s="7"/>
      <c r="V6899" s="7"/>
      <c r="X6899" s="7"/>
    </row>
    <row r="6900" spans="2:24">
      <c r="B6900" s="7"/>
      <c r="D6900" s="7"/>
      <c r="F6900" s="7"/>
      <c r="H6900" s="7"/>
      <c r="J6900" s="7"/>
      <c r="L6900" s="7"/>
      <c r="N6900" s="7"/>
      <c r="P6900" s="7"/>
      <c r="R6900" s="7"/>
      <c r="T6900" s="7"/>
      <c r="V6900" s="7"/>
      <c r="X6900" s="7"/>
    </row>
    <row r="6901" spans="2:24">
      <c r="B6901" s="7"/>
      <c r="D6901" s="7"/>
      <c r="F6901" s="7"/>
      <c r="H6901" s="7"/>
      <c r="J6901" s="7"/>
      <c r="L6901" s="7"/>
      <c r="N6901" s="7"/>
      <c r="P6901" s="7"/>
      <c r="R6901" s="7"/>
      <c r="T6901" s="7"/>
      <c r="V6901" s="7"/>
      <c r="X6901" s="7"/>
    </row>
    <row r="6902" spans="2:24">
      <c r="B6902" s="7"/>
      <c r="D6902" s="7"/>
      <c r="F6902" s="7"/>
      <c r="H6902" s="7"/>
      <c r="J6902" s="7"/>
      <c r="L6902" s="7"/>
      <c r="N6902" s="7"/>
      <c r="P6902" s="7"/>
      <c r="R6902" s="7"/>
      <c r="T6902" s="7"/>
      <c r="V6902" s="7"/>
      <c r="X6902" s="7"/>
    </row>
    <row r="6903" spans="2:24">
      <c r="B6903" s="7"/>
      <c r="D6903" s="7"/>
      <c r="F6903" s="7"/>
      <c r="H6903" s="7"/>
      <c r="J6903" s="7"/>
      <c r="L6903" s="7"/>
      <c r="N6903" s="7"/>
      <c r="P6903" s="7"/>
      <c r="R6903" s="7"/>
      <c r="T6903" s="7"/>
      <c r="V6903" s="7"/>
      <c r="X6903" s="7"/>
    </row>
    <row r="6904" spans="2:24">
      <c r="B6904" s="7"/>
      <c r="D6904" s="7"/>
      <c r="F6904" s="7"/>
      <c r="H6904" s="7"/>
      <c r="J6904" s="7"/>
      <c r="L6904" s="7"/>
      <c r="N6904" s="7"/>
      <c r="P6904" s="7"/>
      <c r="R6904" s="7"/>
      <c r="T6904" s="7"/>
      <c r="V6904" s="7"/>
      <c r="X6904" s="7"/>
    </row>
    <row r="6905" spans="2:24">
      <c r="B6905" s="7"/>
      <c r="D6905" s="7"/>
      <c r="F6905" s="7"/>
      <c r="H6905" s="7"/>
      <c r="J6905" s="7"/>
      <c r="L6905" s="7"/>
      <c r="N6905" s="7"/>
      <c r="P6905" s="7"/>
      <c r="R6905" s="7"/>
      <c r="T6905" s="7"/>
      <c r="V6905" s="7"/>
      <c r="X6905" s="7"/>
    </row>
    <row r="6906" spans="2:24">
      <c r="B6906" s="7"/>
      <c r="D6906" s="7"/>
      <c r="F6906" s="7"/>
      <c r="H6906" s="7"/>
      <c r="J6906" s="7"/>
      <c r="L6906" s="7"/>
      <c r="N6906" s="7"/>
      <c r="P6906" s="7"/>
      <c r="R6906" s="7"/>
      <c r="T6906" s="7"/>
      <c r="V6906" s="7"/>
      <c r="X6906" s="7"/>
    </row>
    <row r="6907" spans="2:24">
      <c r="B6907" s="7"/>
      <c r="D6907" s="7"/>
      <c r="F6907" s="7"/>
      <c r="H6907" s="7"/>
      <c r="J6907" s="7"/>
      <c r="L6907" s="7"/>
      <c r="N6907" s="7"/>
      <c r="P6907" s="7"/>
      <c r="R6907" s="7"/>
      <c r="T6907" s="7"/>
      <c r="V6907" s="7"/>
      <c r="X6907" s="7"/>
    </row>
    <row r="6908" spans="2:24">
      <c r="B6908" s="7"/>
      <c r="D6908" s="7"/>
      <c r="F6908" s="7"/>
      <c r="H6908" s="7"/>
      <c r="J6908" s="7"/>
      <c r="L6908" s="7"/>
      <c r="N6908" s="7"/>
      <c r="P6908" s="7"/>
      <c r="R6908" s="7"/>
      <c r="T6908" s="7"/>
      <c r="V6908" s="7"/>
      <c r="X6908" s="7"/>
    </row>
    <row r="6909" spans="2:24">
      <c r="B6909" s="7"/>
      <c r="D6909" s="7"/>
      <c r="F6909" s="7"/>
      <c r="H6909" s="7"/>
      <c r="J6909" s="7"/>
      <c r="L6909" s="7"/>
      <c r="N6909" s="7"/>
      <c r="P6909" s="7"/>
      <c r="R6909" s="7"/>
      <c r="T6909" s="7"/>
      <c r="V6909" s="7"/>
      <c r="X6909" s="7"/>
    </row>
    <row r="6910" spans="2:24">
      <c r="B6910" s="7"/>
      <c r="D6910" s="7"/>
      <c r="F6910" s="7"/>
      <c r="H6910" s="7"/>
      <c r="J6910" s="7"/>
      <c r="L6910" s="7"/>
      <c r="N6910" s="7"/>
      <c r="P6910" s="7"/>
      <c r="R6910" s="7"/>
      <c r="T6910" s="7"/>
      <c r="V6910" s="7"/>
      <c r="X6910" s="7"/>
    </row>
    <row r="6911" spans="2:24">
      <c r="B6911" s="7"/>
      <c r="D6911" s="7"/>
      <c r="F6911" s="7"/>
      <c r="H6911" s="7"/>
      <c r="J6911" s="7"/>
      <c r="L6911" s="7"/>
      <c r="N6911" s="7"/>
      <c r="P6911" s="7"/>
      <c r="R6911" s="7"/>
      <c r="T6911" s="7"/>
      <c r="V6911" s="7"/>
      <c r="X6911" s="7"/>
    </row>
    <row r="6912" spans="2:24">
      <c r="B6912" s="7"/>
      <c r="D6912" s="7"/>
      <c r="F6912" s="7"/>
      <c r="H6912" s="7"/>
      <c r="J6912" s="7"/>
      <c r="L6912" s="7"/>
      <c r="N6912" s="7"/>
      <c r="P6912" s="7"/>
      <c r="R6912" s="7"/>
      <c r="T6912" s="7"/>
      <c r="V6912" s="7"/>
      <c r="X6912" s="7"/>
    </row>
    <row r="6913" spans="2:24">
      <c r="B6913" s="7"/>
      <c r="D6913" s="7"/>
      <c r="F6913" s="7"/>
      <c r="H6913" s="7"/>
      <c r="J6913" s="7"/>
      <c r="L6913" s="7"/>
      <c r="N6913" s="7"/>
      <c r="P6913" s="7"/>
      <c r="R6913" s="7"/>
      <c r="T6913" s="7"/>
      <c r="V6913" s="7"/>
      <c r="X6913" s="7"/>
    </row>
    <row r="6914" spans="2:24">
      <c r="B6914" s="7"/>
      <c r="D6914" s="7"/>
      <c r="F6914" s="7"/>
      <c r="H6914" s="7"/>
      <c r="J6914" s="7"/>
      <c r="L6914" s="7"/>
      <c r="N6914" s="7"/>
      <c r="P6914" s="7"/>
      <c r="R6914" s="7"/>
      <c r="T6914" s="7"/>
      <c r="V6914" s="7"/>
      <c r="X6914" s="7"/>
    </row>
    <row r="6915" spans="2:24">
      <c r="B6915" s="7"/>
      <c r="D6915" s="7"/>
      <c r="F6915" s="7"/>
      <c r="H6915" s="7"/>
      <c r="J6915" s="7"/>
      <c r="L6915" s="7"/>
      <c r="N6915" s="7"/>
      <c r="P6915" s="7"/>
      <c r="R6915" s="7"/>
      <c r="T6915" s="7"/>
      <c r="V6915" s="7"/>
      <c r="X6915" s="7"/>
    </row>
    <row r="6916" spans="2:24">
      <c r="B6916" s="7"/>
      <c r="D6916" s="7"/>
      <c r="F6916" s="7"/>
      <c r="H6916" s="7"/>
      <c r="J6916" s="7"/>
      <c r="L6916" s="7"/>
      <c r="N6916" s="7"/>
      <c r="P6916" s="7"/>
      <c r="R6916" s="7"/>
      <c r="T6916" s="7"/>
      <c r="V6916" s="7"/>
      <c r="X6916" s="7"/>
    </row>
    <row r="6917" spans="2:24">
      <c r="B6917" s="7"/>
      <c r="D6917" s="7"/>
      <c r="F6917" s="7"/>
      <c r="H6917" s="7"/>
      <c r="J6917" s="7"/>
      <c r="L6917" s="7"/>
      <c r="N6917" s="7"/>
      <c r="P6917" s="7"/>
      <c r="R6917" s="7"/>
      <c r="T6917" s="7"/>
      <c r="V6917" s="7"/>
      <c r="X6917" s="7"/>
    </row>
    <row r="6918" spans="2:24">
      <c r="B6918" s="7"/>
      <c r="D6918" s="7"/>
      <c r="F6918" s="7"/>
      <c r="H6918" s="7"/>
      <c r="J6918" s="7"/>
      <c r="L6918" s="7"/>
      <c r="N6918" s="7"/>
      <c r="P6918" s="7"/>
      <c r="R6918" s="7"/>
      <c r="T6918" s="7"/>
      <c r="V6918" s="7"/>
      <c r="X6918" s="7"/>
    </row>
    <row r="6919" spans="2:24">
      <c r="B6919" s="7"/>
      <c r="D6919" s="7"/>
      <c r="F6919" s="7"/>
      <c r="H6919" s="7"/>
      <c r="J6919" s="7"/>
      <c r="L6919" s="7"/>
      <c r="N6919" s="7"/>
      <c r="P6919" s="7"/>
      <c r="R6919" s="7"/>
      <c r="T6919" s="7"/>
      <c r="V6919" s="7"/>
      <c r="X6919" s="7"/>
    </row>
    <row r="6920" spans="2:24">
      <c r="B6920" s="7"/>
      <c r="D6920" s="7"/>
      <c r="F6920" s="7"/>
      <c r="H6920" s="7"/>
      <c r="J6920" s="7"/>
      <c r="L6920" s="7"/>
      <c r="N6920" s="7"/>
      <c r="P6920" s="7"/>
      <c r="R6920" s="7"/>
      <c r="T6920" s="7"/>
      <c r="V6920" s="7"/>
      <c r="X6920" s="7"/>
    </row>
    <row r="6921" spans="2:24">
      <c r="B6921" s="7"/>
      <c r="D6921" s="7"/>
      <c r="F6921" s="7"/>
      <c r="H6921" s="7"/>
      <c r="J6921" s="7"/>
      <c r="L6921" s="7"/>
      <c r="N6921" s="7"/>
      <c r="P6921" s="7"/>
      <c r="R6921" s="7"/>
      <c r="T6921" s="7"/>
      <c r="V6921" s="7"/>
      <c r="X6921" s="7"/>
    </row>
    <row r="6922" spans="2:24">
      <c r="B6922" s="7"/>
      <c r="D6922" s="7"/>
      <c r="F6922" s="7"/>
      <c r="H6922" s="7"/>
      <c r="J6922" s="7"/>
      <c r="L6922" s="7"/>
      <c r="N6922" s="7"/>
      <c r="P6922" s="7"/>
      <c r="R6922" s="7"/>
      <c r="T6922" s="7"/>
      <c r="V6922" s="7"/>
      <c r="X6922" s="7"/>
    </row>
    <row r="6923" spans="2:24">
      <c r="B6923" s="7"/>
      <c r="D6923" s="7"/>
      <c r="F6923" s="7"/>
      <c r="H6923" s="7"/>
      <c r="J6923" s="7"/>
      <c r="L6923" s="7"/>
      <c r="N6923" s="7"/>
      <c r="P6923" s="7"/>
      <c r="R6923" s="7"/>
      <c r="T6923" s="7"/>
      <c r="V6923" s="7"/>
      <c r="X6923" s="7"/>
    </row>
    <row r="6924" spans="2:24">
      <c r="B6924" s="7"/>
      <c r="D6924" s="7"/>
      <c r="F6924" s="7"/>
      <c r="H6924" s="7"/>
      <c r="J6924" s="7"/>
      <c r="L6924" s="7"/>
      <c r="N6924" s="7"/>
      <c r="P6924" s="7"/>
      <c r="R6924" s="7"/>
      <c r="T6924" s="7"/>
      <c r="V6924" s="7"/>
      <c r="X6924" s="7"/>
    </row>
    <row r="6925" spans="2:24">
      <c r="B6925" s="7"/>
      <c r="D6925" s="7"/>
      <c r="F6925" s="7"/>
      <c r="H6925" s="7"/>
      <c r="J6925" s="7"/>
      <c r="L6925" s="7"/>
      <c r="N6925" s="7"/>
      <c r="P6925" s="7"/>
      <c r="R6925" s="7"/>
      <c r="T6925" s="7"/>
      <c r="V6925" s="7"/>
      <c r="X6925" s="7"/>
    </row>
    <row r="6926" spans="2:24">
      <c r="B6926" s="7"/>
      <c r="D6926" s="7"/>
      <c r="F6926" s="7"/>
      <c r="H6926" s="7"/>
      <c r="J6926" s="7"/>
      <c r="L6926" s="7"/>
      <c r="N6926" s="7"/>
      <c r="P6926" s="7"/>
      <c r="R6926" s="7"/>
      <c r="T6926" s="7"/>
      <c r="V6926" s="7"/>
      <c r="X6926" s="7"/>
    </row>
    <row r="6927" spans="2:24">
      <c r="B6927" s="7"/>
      <c r="D6927" s="7"/>
      <c r="F6927" s="7"/>
      <c r="H6927" s="7"/>
      <c r="J6927" s="7"/>
      <c r="L6927" s="7"/>
      <c r="N6927" s="7"/>
      <c r="P6927" s="7"/>
      <c r="R6927" s="7"/>
      <c r="T6927" s="7"/>
      <c r="V6927" s="7"/>
      <c r="X6927" s="7"/>
    </row>
    <row r="6928" spans="2:24">
      <c r="B6928" s="7"/>
      <c r="D6928" s="7"/>
      <c r="F6928" s="7"/>
      <c r="H6928" s="7"/>
      <c r="J6928" s="7"/>
      <c r="L6928" s="7"/>
      <c r="N6928" s="7"/>
      <c r="P6928" s="7"/>
      <c r="R6928" s="7"/>
      <c r="T6928" s="7"/>
      <c r="V6928" s="7"/>
      <c r="X6928" s="7"/>
    </row>
    <row r="6929" spans="2:24">
      <c r="B6929" s="7"/>
      <c r="D6929" s="7"/>
      <c r="F6929" s="7"/>
      <c r="H6929" s="7"/>
      <c r="J6929" s="7"/>
      <c r="L6929" s="7"/>
      <c r="N6929" s="7"/>
      <c r="P6929" s="7"/>
      <c r="R6929" s="7"/>
      <c r="T6929" s="7"/>
      <c r="V6929" s="7"/>
      <c r="X6929" s="7"/>
    </row>
    <row r="6930" spans="2:24">
      <c r="B6930" s="7"/>
      <c r="D6930" s="7"/>
      <c r="F6930" s="7"/>
      <c r="H6930" s="7"/>
      <c r="J6930" s="7"/>
      <c r="L6930" s="7"/>
      <c r="N6930" s="7"/>
      <c r="P6930" s="7"/>
      <c r="R6930" s="7"/>
      <c r="T6930" s="7"/>
      <c r="V6930" s="7"/>
      <c r="X6930" s="7"/>
    </row>
    <row r="6931" spans="2:24">
      <c r="B6931" s="7"/>
      <c r="D6931" s="7"/>
      <c r="F6931" s="7"/>
      <c r="H6931" s="7"/>
      <c r="J6931" s="7"/>
      <c r="L6931" s="7"/>
      <c r="N6931" s="7"/>
      <c r="P6931" s="7"/>
      <c r="R6931" s="7"/>
      <c r="T6931" s="7"/>
      <c r="V6931" s="7"/>
      <c r="X6931" s="7"/>
    </row>
    <row r="6932" spans="2:24">
      <c r="B6932" s="7"/>
      <c r="D6932" s="7"/>
      <c r="F6932" s="7"/>
      <c r="H6932" s="7"/>
      <c r="J6932" s="7"/>
      <c r="L6932" s="7"/>
      <c r="N6932" s="7"/>
      <c r="P6932" s="7"/>
      <c r="R6932" s="7"/>
      <c r="T6932" s="7"/>
      <c r="V6932" s="7"/>
      <c r="X6932" s="7"/>
    </row>
    <row r="6933" spans="2:24">
      <c r="B6933" s="7"/>
      <c r="D6933" s="7"/>
      <c r="F6933" s="7"/>
      <c r="H6933" s="7"/>
      <c r="J6933" s="7"/>
      <c r="L6933" s="7"/>
      <c r="N6933" s="7"/>
      <c r="P6933" s="7"/>
      <c r="R6933" s="7"/>
      <c r="T6933" s="7"/>
      <c r="V6933" s="7"/>
      <c r="X6933" s="7"/>
    </row>
    <row r="6934" spans="2:24">
      <c r="B6934" s="7"/>
      <c r="D6934" s="7"/>
      <c r="F6934" s="7"/>
      <c r="H6934" s="7"/>
      <c r="J6934" s="7"/>
      <c r="L6934" s="7"/>
      <c r="N6934" s="7"/>
      <c r="P6934" s="7"/>
      <c r="R6934" s="7"/>
      <c r="T6934" s="7"/>
      <c r="V6934" s="7"/>
      <c r="X6934" s="7"/>
    </row>
    <row r="6935" spans="2:24">
      <c r="B6935" s="7"/>
      <c r="D6935" s="7"/>
      <c r="F6935" s="7"/>
      <c r="H6935" s="7"/>
      <c r="J6935" s="7"/>
      <c r="L6935" s="7"/>
      <c r="N6935" s="7"/>
      <c r="P6935" s="7"/>
      <c r="R6935" s="7"/>
      <c r="T6935" s="7"/>
      <c r="V6935" s="7"/>
      <c r="X6935" s="7"/>
    </row>
    <row r="6936" spans="2:24">
      <c r="B6936" s="7"/>
      <c r="D6936" s="7"/>
      <c r="F6936" s="7"/>
      <c r="H6936" s="7"/>
      <c r="J6936" s="7"/>
      <c r="L6936" s="7"/>
      <c r="N6936" s="7"/>
      <c r="P6936" s="7"/>
      <c r="R6936" s="7"/>
      <c r="T6936" s="7"/>
      <c r="V6936" s="7"/>
      <c r="X6936" s="7"/>
    </row>
    <row r="6937" spans="2:24">
      <c r="B6937" s="7"/>
      <c r="D6937" s="7"/>
      <c r="F6937" s="7"/>
      <c r="H6937" s="7"/>
      <c r="J6937" s="7"/>
      <c r="L6937" s="7"/>
      <c r="N6937" s="7"/>
      <c r="P6937" s="7"/>
      <c r="R6937" s="7"/>
      <c r="T6937" s="7"/>
      <c r="V6937" s="7"/>
      <c r="X6937" s="7"/>
    </row>
    <row r="6938" spans="2:24">
      <c r="B6938" s="7"/>
      <c r="D6938" s="7"/>
      <c r="F6938" s="7"/>
      <c r="H6938" s="7"/>
      <c r="J6938" s="7"/>
      <c r="L6938" s="7"/>
      <c r="N6938" s="7"/>
      <c r="P6938" s="7"/>
      <c r="R6938" s="7"/>
      <c r="T6938" s="7"/>
      <c r="V6938" s="7"/>
      <c r="X6938" s="7"/>
    </row>
    <row r="6939" spans="2:24">
      <c r="B6939" s="7"/>
      <c r="D6939" s="7"/>
      <c r="F6939" s="7"/>
      <c r="H6939" s="7"/>
      <c r="J6939" s="7"/>
      <c r="L6939" s="7"/>
      <c r="N6939" s="7"/>
      <c r="P6939" s="7"/>
      <c r="R6939" s="7"/>
      <c r="T6939" s="7"/>
      <c r="V6939" s="7"/>
      <c r="X6939" s="7"/>
    </row>
    <row r="6940" spans="2:24">
      <c r="B6940" s="7"/>
      <c r="D6940" s="7"/>
      <c r="F6940" s="7"/>
      <c r="H6940" s="7"/>
      <c r="J6940" s="7"/>
      <c r="L6940" s="7"/>
      <c r="N6940" s="7"/>
      <c r="P6940" s="7"/>
      <c r="R6940" s="7"/>
      <c r="T6940" s="7"/>
      <c r="V6940" s="7"/>
      <c r="X6940" s="7"/>
    </row>
    <row r="6941" spans="2:24">
      <c r="B6941" s="7"/>
      <c r="D6941" s="7"/>
      <c r="F6941" s="7"/>
      <c r="H6941" s="7"/>
      <c r="J6941" s="7"/>
      <c r="L6941" s="7"/>
      <c r="N6941" s="7"/>
      <c r="P6941" s="7"/>
      <c r="R6941" s="7"/>
      <c r="T6941" s="7"/>
      <c r="V6941" s="7"/>
      <c r="X6941" s="7"/>
    </row>
    <row r="6942" spans="2:24">
      <c r="B6942" s="7"/>
      <c r="D6942" s="7"/>
      <c r="F6942" s="7"/>
      <c r="H6942" s="7"/>
      <c r="J6942" s="7"/>
      <c r="L6942" s="7"/>
      <c r="N6942" s="7"/>
      <c r="P6942" s="7"/>
      <c r="R6942" s="7"/>
      <c r="T6942" s="7"/>
      <c r="V6942" s="7"/>
      <c r="X6942" s="7"/>
    </row>
    <row r="6943" spans="2:24">
      <c r="B6943" s="7"/>
      <c r="D6943" s="7"/>
      <c r="F6943" s="7"/>
      <c r="H6943" s="7"/>
      <c r="J6943" s="7"/>
      <c r="L6943" s="7"/>
      <c r="N6943" s="7"/>
      <c r="P6943" s="7"/>
      <c r="R6943" s="7"/>
      <c r="T6943" s="7"/>
      <c r="V6943" s="7"/>
      <c r="X6943" s="7"/>
    </row>
    <row r="6944" spans="2:24">
      <c r="B6944" s="7"/>
      <c r="D6944" s="7"/>
      <c r="F6944" s="7"/>
      <c r="H6944" s="7"/>
      <c r="J6944" s="7"/>
      <c r="L6944" s="7"/>
      <c r="N6944" s="7"/>
      <c r="P6944" s="7"/>
      <c r="R6944" s="7"/>
      <c r="T6944" s="7"/>
      <c r="V6944" s="7"/>
      <c r="X6944" s="7"/>
    </row>
    <row r="6945" spans="2:24">
      <c r="B6945" s="7"/>
      <c r="D6945" s="7"/>
      <c r="F6945" s="7"/>
      <c r="H6945" s="7"/>
      <c r="J6945" s="7"/>
      <c r="L6945" s="7"/>
      <c r="N6945" s="7"/>
      <c r="P6945" s="7"/>
      <c r="R6945" s="7"/>
      <c r="T6945" s="7"/>
      <c r="V6945" s="7"/>
      <c r="X6945" s="7"/>
    </row>
    <row r="6946" spans="2:24">
      <c r="B6946" s="7"/>
      <c r="D6946" s="7"/>
      <c r="F6946" s="7"/>
      <c r="H6946" s="7"/>
      <c r="J6946" s="7"/>
      <c r="L6946" s="7"/>
      <c r="N6946" s="7"/>
      <c r="P6946" s="7"/>
      <c r="R6946" s="7"/>
      <c r="T6946" s="7"/>
      <c r="V6946" s="7"/>
      <c r="X6946" s="7"/>
    </row>
    <row r="6947" spans="2:24">
      <c r="B6947" s="7"/>
      <c r="D6947" s="7"/>
      <c r="F6947" s="7"/>
      <c r="H6947" s="7"/>
      <c r="J6947" s="7"/>
      <c r="L6947" s="7"/>
      <c r="N6947" s="7"/>
      <c r="P6947" s="7"/>
      <c r="R6947" s="7"/>
      <c r="T6947" s="7"/>
      <c r="V6947" s="7"/>
      <c r="X6947" s="7"/>
    </row>
    <row r="6948" spans="2:24">
      <c r="B6948" s="7"/>
      <c r="D6948" s="7"/>
      <c r="F6948" s="7"/>
      <c r="H6948" s="7"/>
      <c r="J6948" s="7"/>
      <c r="L6948" s="7"/>
      <c r="N6948" s="7"/>
      <c r="P6948" s="7"/>
      <c r="R6948" s="7"/>
      <c r="T6948" s="7"/>
      <c r="V6948" s="7"/>
      <c r="X6948" s="7"/>
    </row>
    <row r="6949" spans="2:24">
      <c r="B6949" s="7"/>
      <c r="D6949" s="7"/>
      <c r="F6949" s="7"/>
      <c r="H6949" s="7"/>
      <c r="J6949" s="7"/>
      <c r="L6949" s="7"/>
      <c r="N6949" s="7"/>
      <c r="P6949" s="7"/>
      <c r="R6949" s="7"/>
      <c r="T6949" s="7"/>
      <c r="V6949" s="7"/>
      <c r="X6949" s="7"/>
    </row>
    <row r="6950" spans="2:24">
      <c r="B6950" s="7"/>
      <c r="D6950" s="7"/>
      <c r="F6950" s="7"/>
      <c r="H6950" s="7"/>
      <c r="J6950" s="7"/>
      <c r="L6950" s="7"/>
      <c r="N6950" s="7"/>
      <c r="P6950" s="7"/>
      <c r="R6950" s="7"/>
      <c r="T6950" s="7"/>
      <c r="V6950" s="7"/>
      <c r="X6950" s="7"/>
    </row>
    <row r="6951" spans="2:24">
      <c r="B6951" s="7"/>
      <c r="D6951" s="7"/>
      <c r="F6951" s="7"/>
      <c r="H6951" s="7"/>
      <c r="J6951" s="7"/>
      <c r="L6951" s="7"/>
      <c r="N6951" s="7"/>
      <c r="P6951" s="7"/>
      <c r="R6951" s="7"/>
      <c r="T6951" s="7"/>
      <c r="V6951" s="7"/>
      <c r="X6951" s="7"/>
    </row>
    <row r="6952" spans="2:24">
      <c r="B6952" s="7"/>
      <c r="D6952" s="7"/>
      <c r="F6952" s="7"/>
      <c r="H6952" s="7"/>
      <c r="J6952" s="7"/>
      <c r="L6952" s="7"/>
      <c r="N6952" s="7"/>
      <c r="P6952" s="7"/>
      <c r="R6952" s="7"/>
      <c r="T6952" s="7"/>
      <c r="V6952" s="7"/>
      <c r="X6952" s="7"/>
    </row>
    <row r="6953" spans="2:24">
      <c r="B6953" s="7"/>
      <c r="D6953" s="7"/>
      <c r="F6953" s="7"/>
      <c r="H6953" s="7"/>
      <c r="J6953" s="7"/>
      <c r="L6953" s="7"/>
      <c r="N6953" s="7"/>
      <c r="P6953" s="7"/>
      <c r="R6953" s="7"/>
      <c r="T6953" s="7"/>
      <c r="V6953" s="7"/>
      <c r="X6953" s="7"/>
    </row>
    <row r="6954" spans="2:24">
      <c r="B6954" s="7"/>
      <c r="D6954" s="7"/>
      <c r="F6954" s="7"/>
      <c r="H6954" s="7"/>
      <c r="J6954" s="7"/>
      <c r="L6954" s="7"/>
      <c r="N6954" s="7"/>
      <c r="P6954" s="7"/>
      <c r="R6954" s="7"/>
      <c r="T6954" s="7"/>
      <c r="V6954" s="7"/>
      <c r="X6954" s="7"/>
    </row>
    <row r="6955" spans="2:24">
      <c r="B6955" s="7"/>
      <c r="D6955" s="7"/>
      <c r="F6955" s="7"/>
      <c r="H6955" s="7"/>
      <c r="J6955" s="7"/>
      <c r="L6955" s="7"/>
      <c r="N6955" s="7"/>
      <c r="P6955" s="7"/>
      <c r="R6955" s="7"/>
      <c r="T6955" s="7"/>
      <c r="V6955" s="7"/>
      <c r="X6955" s="7"/>
    </row>
    <row r="6956" spans="2:24">
      <c r="B6956" s="7"/>
      <c r="D6956" s="7"/>
      <c r="F6956" s="7"/>
      <c r="H6956" s="7"/>
      <c r="J6956" s="7"/>
      <c r="L6956" s="7"/>
      <c r="N6956" s="7"/>
      <c r="P6956" s="7"/>
      <c r="R6956" s="7"/>
      <c r="T6956" s="7"/>
      <c r="V6956" s="7"/>
      <c r="X6956" s="7"/>
    </row>
    <row r="6957" spans="2:24">
      <c r="B6957" s="7"/>
      <c r="D6957" s="7"/>
      <c r="F6957" s="7"/>
      <c r="H6957" s="7"/>
      <c r="J6957" s="7"/>
      <c r="L6957" s="7"/>
      <c r="N6957" s="7"/>
      <c r="P6957" s="7"/>
      <c r="R6957" s="7"/>
      <c r="T6957" s="7"/>
      <c r="V6957" s="7"/>
      <c r="X6957" s="7"/>
    </row>
    <row r="6958" spans="2:24">
      <c r="B6958" s="7"/>
      <c r="D6958" s="7"/>
      <c r="F6958" s="7"/>
      <c r="H6958" s="7"/>
      <c r="J6958" s="7"/>
      <c r="L6958" s="7"/>
      <c r="N6958" s="7"/>
      <c r="P6958" s="7"/>
      <c r="R6958" s="7"/>
      <c r="T6958" s="7"/>
      <c r="V6958" s="7"/>
      <c r="X6958" s="7"/>
    </row>
    <row r="6959" spans="2:24">
      <c r="B6959" s="7"/>
      <c r="D6959" s="7"/>
      <c r="F6959" s="7"/>
      <c r="H6959" s="7"/>
      <c r="J6959" s="7"/>
      <c r="L6959" s="7"/>
      <c r="N6959" s="7"/>
      <c r="P6959" s="7"/>
      <c r="R6959" s="7"/>
      <c r="T6959" s="7"/>
      <c r="V6959" s="7"/>
      <c r="X6959" s="7"/>
    </row>
    <row r="6960" spans="2:24">
      <c r="B6960" s="7"/>
      <c r="D6960" s="7"/>
      <c r="F6960" s="7"/>
      <c r="H6960" s="7"/>
      <c r="J6960" s="7"/>
      <c r="L6960" s="7"/>
      <c r="N6960" s="7"/>
      <c r="P6960" s="7"/>
      <c r="R6960" s="7"/>
      <c r="T6960" s="7"/>
      <c r="V6960" s="7"/>
      <c r="X6960" s="7"/>
    </row>
    <row r="6961" spans="2:24">
      <c r="B6961" s="7"/>
      <c r="D6961" s="7"/>
      <c r="F6961" s="7"/>
      <c r="H6961" s="7"/>
      <c r="J6961" s="7"/>
      <c r="L6961" s="7"/>
      <c r="N6961" s="7"/>
      <c r="P6961" s="7"/>
      <c r="R6961" s="7"/>
      <c r="T6961" s="7"/>
      <c r="V6961" s="7"/>
      <c r="X6961" s="7"/>
    </row>
    <row r="6962" spans="2:24">
      <c r="B6962" s="7"/>
      <c r="D6962" s="7"/>
      <c r="F6962" s="7"/>
      <c r="H6962" s="7"/>
      <c r="J6962" s="7"/>
      <c r="L6962" s="7"/>
      <c r="N6962" s="7"/>
      <c r="P6962" s="7"/>
      <c r="R6962" s="7"/>
      <c r="T6962" s="7"/>
      <c r="V6962" s="7"/>
      <c r="X6962" s="7"/>
    </row>
    <row r="6963" spans="2:24">
      <c r="B6963" s="7"/>
      <c r="D6963" s="7"/>
      <c r="F6963" s="7"/>
      <c r="H6963" s="7"/>
      <c r="J6963" s="7"/>
      <c r="L6963" s="7"/>
      <c r="N6963" s="7"/>
      <c r="P6963" s="7"/>
      <c r="R6963" s="7"/>
      <c r="T6963" s="7"/>
      <c r="V6963" s="7"/>
      <c r="X6963" s="7"/>
    </row>
    <row r="6964" spans="2:24">
      <c r="B6964" s="7"/>
      <c r="D6964" s="7"/>
      <c r="F6964" s="7"/>
      <c r="H6964" s="7"/>
      <c r="J6964" s="7"/>
      <c r="L6964" s="7"/>
      <c r="N6964" s="7"/>
      <c r="P6964" s="7"/>
      <c r="R6964" s="7"/>
      <c r="T6964" s="7"/>
      <c r="V6964" s="7"/>
      <c r="X6964" s="7"/>
    </row>
    <row r="6965" spans="2:24">
      <c r="B6965" s="7"/>
      <c r="D6965" s="7"/>
      <c r="F6965" s="7"/>
      <c r="H6965" s="7"/>
      <c r="J6965" s="7"/>
      <c r="L6965" s="7"/>
      <c r="N6965" s="7"/>
      <c r="P6965" s="7"/>
      <c r="R6965" s="7"/>
      <c r="T6965" s="7"/>
      <c r="V6965" s="7"/>
      <c r="X6965" s="7"/>
    </row>
    <row r="6966" spans="2:24">
      <c r="B6966" s="7"/>
      <c r="D6966" s="7"/>
      <c r="F6966" s="7"/>
      <c r="H6966" s="7"/>
      <c r="J6966" s="7"/>
      <c r="L6966" s="7"/>
      <c r="N6966" s="7"/>
      <c r="P6966" s="7"/>
      <c r="R6966" s="7"/>
      <c r="T6966" s="7"/>
      <c r="V6966" s="7"/>
      <c r="X6966" s="7"/>
    </row>
    <row r="6967" spans="2:24">
      <c r="B6967" s="7"/>
      <c r="D6967" s="7"/>
      <c r="F6967" s="7"/>
      <c r="H6967" s="7"/>
      <c r="J6967" s="7"/>
      <c r="L6967" s="7"/>
      <c r="N6967" s="7"/>
      <c r="P6967" s="7"/>
      <c r="R6967" s="7"/>
      <c r="T6967" s="7"/>
      <c r="V6967" s="7"/>
      <c r="X6967" s="7"/>
    </row>
    <row r="6968" spans="2:24">
      <c r="B6968" s="7"/>
      <c r="D6968" s="7"/>
      <c r="F6968" s="7"/>
      <c r="H6968" s="7"/>
      <c r="J6968" s="7"/>
      <c r="L6968" s="7"/>
      <c r="N6968" s="7"/>
      <c r="P6968" s="7"/>
      <c r="R6968" s="7"/>
      <c r="T6968" s="7"/>
      <c r="V6968" s="7"/>
      <c r="X6968" s="7"/>
    </row>
    <row r="6969" spans="2:24">
      <c r="B6969" s="7"/>
      <c r="D6969" s="7"/>
      <c r="F6969" s="7"/>
      <c r="H6969" s="7"/>
      <c r="J6969" s="7"/>
      <c r="L6969" s="7"/>
      <c r="N6969" s="7"/>
      <c r="P6969" s="7"/>
      <c r="R6969" s="7"/>
      <c r="T6969" s="7"/>
      <c r="V6969" s="7"/>
      <c r="X6969" s="7"/>
    </row>
    <row r="6970" spans="2:24">
      <c r="B6970" s="7"/>
      <c r="D6970" s="7"/>
      <c r="F6970" s="7"/>
      <c r="H6970" s="7"/>
      <c r="J6970" s="7"/>
      <c r="L6970" s="7"/>
      <c r="N6970" s="7"/>
      <c r="P6970" s="7"/>
      <c r="R6970" s="7"/>
      <c r="T6970" s="7"/>
      <c r="V6970" s="7"/>
      <c r="X6970" s="7"/>
    </row>
    <row r="6971" spans="2:24">
      <c r="B6971" s="7"/>
      <c r="D6971" s="7"/>
      <c r="F6971" s="7"/>
      <c r="H6971" s="7"/>
      <c r="J6971" s="7"/>
      <c r="L6971" s="7"/>
      <c r="N6971" s="7"/>
      <c r="P6971" s="7"/>
      <c r="R6971" s="7"/>
      <c r="T6971" s="7"/>
      <c r="V6971" s="7"/>
      <c r="X6971" s="7"/>
    </row>
    <row r="6972" spans="2:24">
      <c r="B6972" s="7"/>
      <c r="D6972" s="7"/>
      <c r="F6972" s="7"/>
      <c r="H6972" s="7"/>
      <c r="J6972" s="7"/>
      <c r="L6972" s="7"/>
      <c r="N6972" s="7"/>
      <c r="P6972" s="7"/>
      <c r="R6972" s="7"/>
      <c r="T6972" s="7"/>
      <c r="V6972" s="7"/>
      <c r="X6972" s="7"/>
    </row>
    <row r="6973" spans="2:24">
      <c r="B6973" s="7"/>
      <c r="D6973" s="7"/>
      <c r="F6973" s="7"/>
      <c r="H6973" s="7"/>
      <c r="J6973" s="7"/>
      <c r="L6973" s="7"/>
      <c r="N6973" s="7"/>
      <c r="P6973" s="7"/>
      <c r="R6973" s="7"/>
      <c r="T6973" s="7"/>
      <c r="V6973" s="7"/>
      <c r="X6973" s="7"/>
    </row>
    <row r="6974" spans="2:24">
      <c r="B6974" s="7"/>
      <c r="D6974" s="7"/>
      <c r="F6974" s="7"/>
      <c r="H6974" s="7"/>
      <c r="J6974" s="7"/>
      <c r="L6974" s="7"/>
      <c r="N6974" s="7"/>
      <c r="P6974" s="7"/>
      <c r="R6974" s="7"/>
      <c r="T6974" s="7"/>
      <c r="V6974" s="7"/>
      <c r="X6974" s="7"/>
    </row>
    <row r="6975" spans="2:24">
      <c r="B6975" s="7"/>
      <c r="D6975" s="7"/>
      <c r="F6975" s="7"/>
      <c r="H6975" s="7"/>
      <c r="J6975" s="7"/>
      <c r="L6975" s="7"/>
      <c r="N6975" s="7"/>
      <c r="P6975" s="7"/>
      <c r="R6975" s="7"/>
      <c r="T6975" s="7"/>
      <c r="V6975" s="7"/>
      <c r="X6975" s="7"/>
    </row>
    <row r="6976" spans="2:24">
      <c r="B6976" s="7"/>
      <c r="D6976" s="7"/>
      <c r="F6976" s="7"/>
      <c r="H6976" s="7"/>
      <c r="J6976" s="7"/>
      <c r="L6976" s="7"/>
      <c r="N6976" s="7"/>
      <c r="P6976" s="7"/>
      <c r="R6976" s="7"/>
      <c r="T6976" s="7"/>
      <c r="V6976" s="7"/>
      <c r="X6976" s="7"/>
    </row>
    <row r="6977" spans="2:24">
      <c r="B6977" s="7"/>
      <c r="D6977" s="7"/>
      <c r="F6977" s="7"/>
      <c r="H6977" s="7"/>
      <c r="J6977" s="7"/>
      <c r="L6977" s="7"/>
      <c r="N6977" s="7"/>
      <c r="P6977" s="7"/>
      <c r="R6977" s="7"/>
      <c r="T6977" s="7"/>
      <c r="V6977" s="7"/>
      <c r="X6977" s="7"/>
    </row>
    <row r="6978" spans="2:24">
      <c r="B6978" s="7"/>
      <c r="D6978" s="7"/>
      <c r="F6978" s="7"/>
      <c r="H6978" s="7"/>
      <c r="J6978" s="7"/>
      <c r="L6978" s="7"/>
      <c r="N6978" s="7"/>
      <c r="P6978" s="7"/>
      <c r="R6978" s="7"/>
      <c r="T6978" s="7"/>
      <c r="V6978" s="7"/>
      <c r="X6978" s="7"/>
    </row>
    <row r="6979" spans="2:24">
      <c r="B6979" s="7"/>
      <c r="D6979" s="7"/>
      <c r="F6979" s="7"/>
      <c r="H6979" s="7"/>
      <c r="J6979" s="7"/>
      <c r="L6979" s="7"/>
      <c r="N6979" s="7"/>
      <c r="P6979" s="7"/>
      <c r="R6979" s="7"/>
      <c r="T6979" s="7"/>
      <c r="V6979" s="7"/>
      <c r="X6979" s="7"/>
    </row>
    <row r="6980" spans="2:24">
      <c r="B6980" s="7"/>
      <c r="D6980" s="7"/>
      <c r="F6980" s="7"/>
      <c r="H6980" s="7"/>
      <c r="J6980" s="7"/>
      <c r="L6980" s="7"/>
      <c r="N6980" s="7"/>
      <c r="P6980" s="7"/>
      <c r="R6980" s="7"/>
      <c r="T6980" s="7"/>
      <c r="V6980" s="7"/>
      <c r="X6980" s="7"/>
    </row>
    <row r="6981" spans="2:24">
      <c r="B6981" s="7"/>
      <c r="D6981" s="7"/>
      <c r="F6981" s="7"/>
      <c r="H6981" s="7"/>
      <c r="J6981" s="7"/>
      <c r="L6981" s="7"/>
      <c r="N6981" s="7"/>
      <c r="P6981" s="7"/>
      <c r="R6981" s="7"/>
      <c r="T6981" s="7"/>
      <c r="V6981" s="7"/>
      <c r="X6981" s="7"/>
    </row>
    <row r="6982" spans="2:24">
      <c r="B6982" s="7"/>
      <c r="D6982" s="7"/>
      <c r="F6982" s="7"/>
      <c r="H6982" s="7"/>
      <c r="J6982" s="7"/>
      <c r="L6982" s="7"/>
      <c r="N6982" s="7"/>
      <c r="P6982" s="7"/>
      <c r="R6982" s="7"/>
      <c r="T6982" s="7"/>
      <c r="V6982" s="7"/>
      <c r="X6982" s="7"/>
    </row>
    <row r="6983" spans="2:24">
      <c r="B6983" s="7"/>
      <c r="D6983" s="7"/>
      <c r="F6983" s="7"/>
      <c r="H6983" s="7"/>
      <c r="J6983" s="7"/>
      <c r="L6983" s="7"/>
      <c r="N6983" s="7"/>
      <c r="P6983" s="7"/>
      <c r="R6983" s="7"/>
      <c r="T6983" s="7"/>
      <c r="V6983" s="7"/>
      <c r="X6983" s="7"/>
    </row>
    <row r="6984" spans="2:24">
      <c r="B6984" s="7"/>
      <c r="D6984" s="7"/>
      <c r="F6984" s="7"/>
      <c r="H6984" s="7"/>
      <c r="J6984" s="7"/>
      <c r="L6984" s="7"/>
      <c r="N6984" s="7"/>
      <c r="P6984" s="7"/>
      <c r="R6984" s="7"/>
      <c r="T6984" s="7"/>
      <c r="V6984" s="7"/>
      <c r="X6984" s="7"/>
    </row>
    <row r="6985" spans="2:24">
      <c r="B6985" s="7"/>
      <c r="D6985" s="7"/>
      <c r="F6985" s="7"/>
      <c r="H6985" s="7"/>
      <c r="J6985" s="7"/>
      <c r="L6985" s="7"/>
      <c r="N6985" s="7"/>
      <c r="P6985" s="7"/>
      <c r="R6985" s="7"/>
      <c r="T6985" s="7"/>
      <c r="V6985" s="7"/>
      <c r="X6985" s="7"/>
    </row>
    <row r="6986" spans="2:24">
      <c r="B6986" s="7"/>
      <c r="D6986" s="7"/>
      <c r="F6986" s="7"/>
      <c r="H6986" s="7"/>
      <c r="J6986" s="7"/>
      <c r="L6986" s="7"/>
      <c r="N6986" s="7"/>
      <c r="P6986" s="7"/>
      <c r="R6986" s="7"/>
      <c r="T6986" s="7"/>
      <c r="V6986" s="7"/>
      <c r="X6986" s="7"/>
    </row>
    <row r="6987" spans="2:24">
      <c r="B6987" s="7"/>
      <c r="D6987" s="7"/>
      <c r="F6987" s="7"/>
      <c r="H6987" s="7"/>
      <c r="J6987" s="7"/>
      <c r="L6987" s="7"/>
      <c r="N6987" s="7"/>
      <c r="P6987" s="7"/>
      <c r="R6987" s="7"/>
      <c r="T6987" s="7"/>
      <c r="V6987" s="7"/>
      <c r="X6987" s="7"/>
    </row>
    <row r="6988" spans="2:24">
      <c r="B6988" s="7"/>
      <c r="D6988" s="7"/>
      <c r="F6988" s="7"/>
      <c r="H6988" s="7"/>
      <c r="J6988" s="7"/>
      <c r="L6988" s="7"/>
      <c r="N6988" s="7"/>
      <c r="P6988" s="7"/>
      <c r="R6988" s="7"/>
      <c r="T6988" s="7"/>
      <c r="V6988" s="7"/>
      <c r="X6988" s="7"/>
    </row>
    <row r="6989" spans="2:24">
      <c r="B6989" s="7"/>
      <c r="D6989" s="7"/>
      <c r="F6989" s="7"/>
      <c r="H6989" s="7"/>
      <c r="J6989" s="7"/>
      <c r="L6989" s="7"/>
      <c r="N6989" s="7"/>
      <c r="P6989" s="7"/>
      <c r="R6989" s="7"/>
      <c r="T6989" s="7"/>
      <c r="V6989" s="7"/>
      <c r="X6989" s="7"/>
    </row>
    <row r="6990" spans="2:24">
      <c r="B6990" s="7"/>
      <c r="D6990" s="7"/>
      <c r="F6990" s="7"/>
      <c r="H6990" s="7"/>
      <c r="J6990" s="7"/>
      <c r="L6990" s="7"/>
      <c r="N6990" s="7"/>
      <c r="P6990" s="7"/>
      <c r="R6990" s="7"/>
      <c r="T6990" s="7"/>
      <c r="V6990" s="7"/>
      <c r="X6990" s="7"/>
    </row>
    <row r="6991" spans="2:24">
      <c r="B6991" s="7"/>
      <c r="D6991" s="7"/>
      <c r="F6991" s="7"/>
      <c r="H6991" s="7"/>
      <c r="J6991" s="7"/>
      <c r="L6991" s="7"/>
      <c r="N6991" s="7"/>
      <c r="P6991" s="7"/>
      <c r="R6991" s="7"/>
      <c r="T6991" s="7"/>
      <c r="V6991" s="7"/>
      <c r="X6991" s="7"/>
    </row>
    <row r="6992" spans="2:24">
      <c r="B6992" s="7"/>
      <c r="D6992" s="7"/>
      <c r="F6992" s="7"/>
      <c r="H6992" s="7"/>
      <c r="J6992" s="7"/>
      <c r="L6992" s="7"/>
      <c r="N6992" s="7"/>
      <c r="P6992" s="7"/>
      <c r="R6992" s="7"/>
      <c r="T6992" s="7"/>
      <c r="V6992" s="7"/>
      <c r="X6992" s="7"/>
    </row>
    <row r="6993" spans="2:24">
      <c r="B6993" s="7"/>
      <c r="D6993" s="7"/>
      <c r="F6993" s="7"/>
      <c r="H6993" s="7"/>
      <c r="J6993" s="7"/>
      <c r="L6993" s="7"/>
      <c r="N6993" s="7"/>
      <c r="P6993" s="7"/>
      <c r="R6993" s="7"/>
      <c r="T6993" s="7"/>
      <c r="V6993" s="7"/>
      <c r="X6993" s="7"/>
    </row>
    <row r="6994" spans="2:24">
      <c r="B6994" s="7"/>
      <c r="D6994" s="7"/>
      <c r="F6994" s="7"/>
      <c r="H6994" s="7"/>
      <c r="J6994" s="7"/>
      <c r="L6994" s="7"/>
      <c r="N6994" s="7"/>
      <c r="P6994" s="7"/>
      <c r="R6994" s="7"/>
      <c r="T6994" s="7"/>
      <c r="V6994" s="7"/>
      <c r="X6994" s="7"/>
    </row>
    <row r="6995" spans="2:24">
      <c r="B6995" s="7"/>
      <c r="D6995" s="7"/>
      <c r="F6995" s="7"/>
      <c r="H6995" s="7"/>
      <c r="J6995" s="7"/>
      <c r="L6995" s="7"/>
      <c r="N6995" s="7"/>
      <c r="P6995" s="7"/>
      <c r="R6995" s="7"/>
      <c r="T6995" s="7"/>
      <c r="V6995" s="7"/>
      <c r="X6995" s="7"/>
    </row>
    <row r="6996" spans="2:24">
      <c r="B6996" s="7"/>
      <c r="D6996" s="7"/>
      <c r="F6996" s="7"/>
      <c r="H6996" s="7"/>
      <c r="J6996" s="7"/>
      <c r="L6996" s="7"/>
      <c r="N6996" s="7"/>
      <c r="P6996" s="7"/>
      <c r="R6996" s="7"/>
      <c r="T6996" s="7"/>
      <c r="V6996" s="7"/>
      <c r="X6996" s="7"/>
    </row>
    <row r="6997" spans="2:24">
      <c r="B6997" s="7"/>
      <c r="D6997" s="7"/>
      <c r="F6997" s="7"/>
      <c r="H6997" s="7"/>
      <c r="J6997" s="7"/>
      <c r="L6997" s="7"/>
      <c r="N6997" s="7"/>
      <c r="P6997" s="7"/>
      <c r="R6997" s="7"/>
      <c r="T6997" s="7"/>
      <c r="V6997" s="7"/>
      <c r="X6997" s="7"/>
    </row>
    <row r="6998" spans="2:24">
      <c r="B6998" s="7"/>
      <c r="D6998" s="7"/>
      <c r="F6998" s="7"/>
      <c r="H6998" s="7"/>
      <c r="J6998" s="7"/>
      <c r="L6998" s="7"/>
      <c r="N6998" s="7"/>
      <c r="P6998" s="7"/>
      <c r="R6998" s="7"/>
      <c r="T6998" s="7"/>
      <c r="V6998" s="7"/>
      <c r="X6998" s="7"/>
    </row>
    <row r="6999" spans="2:24">
      <c r="B6999" s="7"/>
      <c r="D6999" s="7"/>
      <c r="F6999" s="7"/>
      <c r="H6999" s="7"/>
      <c r="J6999" s="7"/>
      <c r="L6999" s="7"/>
      <c r="N6999" s="7"/>
      <c r="P6999" s="7"/>
      <c r="R6999" s="7"/>
      <c r="T6999" s="7"/>
      <c r="V6999" s="7"/>
      <c r="X6999" s="7"/>
    </row>
    <row r="7000" spans="2:24">
      <c r="B7000" s="7"/>
      <c r="D7000" s="7"/>
      <c r="F7000" s="7"/>
      <c r="H7000" s="7"/>
      <c r="J7000" s="7"/>
      <c r="L7000" s="7"/>
      <c r="N7000" s="7"/>
      <c r="P7000" s="7"/>
      <c r="R7000" s="7"/>
      <c r="T7000" s="7"/>
      <c r="V7000" s="7"/>
      <c r="X7000" s="7"/>
    </row>
    <row r="7001" spans="2:24">
      <c r="B7001" s="7"/>
      <c r="D7001" s="7"/>
      <c r="F7001" s="7"/>
      <c r="H7001" s="7"/>
      <c r="J7001" s="7"/>
      <c r="L7001" s="7"/>
      <c r="N7001" s="7"/>
      <c r="P7001" s="7"/>
      <c r="R7001" s="7"/>
      <c r="T7001" s="7"/>
      <c r="V7001" s="7"/>
      <c r="X7001" s="7"/>
    </row>
    <row r="7002" spans="2:24">
      <c r="B7002" s="7"/>
      <c r="D7002" s="7"/>
      <c r="F7002" s="7"/>
      <c r="H7002" s="7"/>
      <c r="J7002" s="7"/>
      <c r="L7002" s="7"/>
      <c r="N7002" s="7"/>
      <c r="P7002" s="7"/>
      <c r="R7002" s="7"/>
      <c r="T7002" s="7"/>
      <c r="V7002" s="7"/>
      <c r="X7002" s="7"/>
    </row>
    <row r="7003" spans="2:24">
      <c r="B7003" s="7"/>
      <c r="D7003" s="7"/>
      <c r="F7003" s="7"/>
      <c r="H7003" s="7"/>
      <c r="J7003" s="7"/>
      <c r="L7003" s="7"/>
      <c r="N7003" s="7"/>
      <c r="P7003" s="7"/>
      <c r="R7003" s="7"/>
      <c r="T7003" s="7"/>
      <c r="V7003" s="7"/>
      <c r="X7003" s="7"/>
    </row>
    <row r="7004" spans="2:24">
      <c r="B7004" s="7"/>
      <c r="D7004" s="7"/>
      <c r="F7004" s="7"/>
      <c r="H7004" s="7"/>
      <c r="J7004" s="7"/>
      <c r="L7004" s="7"/>
      <c r="N7004" s="7"/>
      <c r="P7004" s="7"/>
      <c r="R7004" s="7"/>
      <c r="T7004" s="7"/>
      <c r="V7004" s="7"/>
      <c r="X7004" s="7"/>
    </row>
    <row r="7005" spans="2:24">
      <c r="B7005" s="7"/>
      <c r="D7005" s="7"/>
      <c r="F7005" s="7"/>
      <c r="H7005" s="7"/>
      <c r="J7005" s="7"/>
      <c r="L7005" s="7"/>
      <c r="N7005" s="7"/>
      <c r="P7005" s="7"/>
      <c r="R7005" s="7"/>
      <c r="T7005" s="7"/>
      <c r="V7005" s="7"/>
      <c r="X7005" s="7"/>
    </row>
    <row r="7006" spans="2:24">
      <c r="B7006" s="7"/>
      <c r="D7006" s="7"/>
      <c r="F7006" s="7"/>
      <c r="H7006" s="7"/>
      <c r="J7006" s="7"/>
      <c r="L7006" s="7"/>
      <c r="N7006" s="7"/>
      <c r="P7006" s="7"/>
      <c r="R7006" s="7"/>
      <c r="T7006" s="7"/>
      <c r="V7006" s="7"/>
      <c r="X7006" s="7"/>
    </row>
    <row r="7007" spans="2:24">
      <c r="B7007" s="7"/>
      <c r="D7007" s="7"/>
      <c r="F7007" s="7"/>
      <c r="H7007" s="7"/>
      <c r="J7007" s="7"/>
      <c r="L7007" s="7"/>
      <c r="N7007" s="7"/>
      <c r="P7007" s="7"/>
      <c r="R7007" s="7"/>
      <c r="T7007" s="7"/>
      <c r="V7007" s="7"/>
      <c r="X7007" s="7"/>
    </row>
    <row r="7008" spans="2:24">
      <c r="B7008" s="7"/>
      <c r="D7008" s="7"/>
      <c r="F7008" s="7"/>
      <c r="H7008" s="7"/>
      <c r="J7008" s="7"/>
      <c r="L7008" s="7"/>
      <c r="N7008" s="7"/>
      <c r="P7008" s="7"/>
      <c r="R7008" s="7"/>
      <c r="T7008" s="7"/>
      <c r="V7008" s="7"/>
      <c r="X7008" s="7"/>
    </row>
    <row r="7009" spans="2:24">
      <c r="B7009" s="7"/>
      <c r="D7009" s="7"/>
      <c r="F7009" s="7"/>
      <c r="H7009" s="7"/>
      <c r="J7009" s="7"/>
      <c r="L7009" s="7"/>
      <c r="N7009" s="7"/>
      <c r="P7009" s="7"/>
      <c r="R7009" s="7"/>
      <c r="T7009" s="7"/>
      <c r="V7009" s="7"/>
      <c r="X7009" s="7"/>
    </row>
    <row r="7010" spans="2:24">
      <c r="B7010" s="7"/>
      <c r="D7010" s="7"/>
      <c r="F7010" s="7"/>
      <c r="H7010" s="7"/>
      <c r="J7010" s="7"/>
      <c r="L7010" s="7"/>
      <c r="N7010" s="7"/>
      <c r="P7010" s="7"/>
      <c r="R7010" s="7"/>
      <c r="T7010" s="7"/>
      <c r="V7010" s="7"/>
      <c r="X7010" s="7"/>
    </row>
    <row r="7011" spans="2:24">
      <c r="B7011" s="7"/>
      <c r="D7011" s="7"/>
      <c r="F7011" s="7"/>
      <c r="H7011" s="7"/>
      <c r="J7011" s="7"/>
      <c r="L7011" s="7"/>
      <c r="N7011" s="7"/>
      <c r="P7011" s="7"/>
      <c r="R7011" s="7"/>
      <c r="T7011" s="7"/>
      <c r="V7011" s="7"/>
      <c r="X7011" s="7"/>
    </row>
    <row r="7012" spans="2:24">
      <c r="B7012" s="7"/>
      <c r="D7012" s="7"/>
      <c r="F7012" s="7"/>
      <c r="H7012" s="7"/>
      <c r="J7012" s="7"/>
      <c r="L7012" s="7"/>
      <c r="N7012" s="7"/>
      <c r="P7012" s="7"/>
      <c r="R7012" s="7"/>
      <c r="T7012" s="7"/>
      <c r="V7012" s="7"/>
      <c r="X7012" s="7"/>
    </row>
    <row r="7013" spans="2:24">
      <c r="B7013" s="7"/>
      <c r="D7013" s="7"/>
      <c r="F7013" s="7"/>
      <c r="H7013" s="7"/>
      <c r="J7013" s="7"/>
      <c r="L7013" s="7"/>
      <c r="N7013" s="7"/>
      <c r="P7013" s="7"/>
      <c r="R7013" s="7"/>
      <c r="T7013" s="7"/>
      <c r="V7013" s="7"/>
      <c r="X7013" s="7"/>
    </row>
    <row r="7014" spans="2:24">
      <c r="B7014" s="7"/>
      <c r="D7014" s="7"/>
      <c r="F7014" s="7"/>
      <c r="H7014" s="7"/>
      <c r="J7014" s="7"/>
      <c r="L7014" s="7"/>
      <c r="N7014" s="7"/>
      <c r="P7014" s="7"/>
      <c r="R7014" s="7"/>
      <c r="T7014" s="7"/>
      <c r="V7014" s="7"/>
      <c r="X7014" s="7"/>
    </row>
    <row r="7015" spans="2:24">
      <c r="B7015" s="7"/>
      <c r="D7015" s="7"/>
      <c r="F7015" s="7"/>
      <c r="H7015" s="7"/>
      <c r="J7015" s="7"/>
      <c r="L7015" s="7"/>
      <c r="N7015" s="7"/>
      <c r="P7015" s="7"/>
      <c r="R7015" s="7"/>
      <c r="T7015" s="7"/>
      <c r="V7015" s="7"/>
      <c r="X7015" s="7"/>
    </row>
    <row r="7016" spans="2:24">
      <c r="B7016" s="7"/>
      <c r="D7016" s="7"/>
      <c r="F7016" s="7"/>
      <c r="H7016" s="7"/>
      <c r="J7016" s="7"/>
      <c r="L7016" s="7"/>
      <c r="N7016" s="7"/>
      <c r="P7016" s="7"/>
      <c r="R7016" s="7"/>
      <c r="T7016" s="7"/>
      <c r="V7016" s="7"/>
      <c r="X7016" s="7"/>
    </row>
    <row r="7017" spans="2:24">
      <c r="B7017" s="7"/>
      <c r="D7017" s="7"/>
      <c r="F7017" s="7"/>
      <c r="H7017" s="7"/>
      <c r="J7017" s="7"/>
      <c r="L7017" s="7"/>
      <c r="N7017" s="7"/>
      <c r="P7017" s="7"/>
      <c r="R7017" s="7"/>
      <c r="T7017" s="7"/>
      <c r="V7017" s="7"/>
      <c r="X7017" s="7"/>
    </row>
    <row r="7018" spans="2:24">
      <c r="B7018" s="7"/>
      <c r="D7018" s="7"/>
      <c r="F7018" s="7"/>
      <c r="H7018" s="7"/>
      <c r="J7018" s="7"/>
      <c r="L7018" s="7"/>
      <c r="N7018" s="7"/>
      <c r="P7018" s="7"/>
      <c r="R7018" s="7"/>
      <c r="T7018" s="7"/>
      <c r="V7018" s="7"/>
      <c r="X7018" s="7"/>
    </row>
    <row r="7019" spans="2:24">
      <c r="B7019" s="7"/>
      <c r="D7019" s="7"/>
      <c r="F7019" s="7"/>
      <c r="H7019" s="7"/>
      <c r="J7019" s="7"/>
      <c r="L7019" s="7"/>
      <c r="N7019" s="7"/>
      <c r="P7019" s="7"/>
      <c r="R7019" s="7"/>
      <c r="T7019" s="7"/>
      <c r="V7019" s="7"/>
      <c r="X7019" s="7"/>
    </row>
    <row r="7020" spans="2:24">
      <c r="B7020" s="7"/>
      <c r="D7020" s="7"/>
      <c r="F7020" s="7"/>
      <c r="H7020" s="7"/>
      <c r="J7020" s="7"/>
      <c r="L7020" s="7"/>
      <c r="N7020" s="7"/>
      <c r="P7020" s="7"/>
      <c r="R7020" s="7"/>
      <c r="T7020" s="7"/>
      <c r="V7020" s="7"/>
      <c r="X7020" s="7"/>
    </row>
    <row r="7021" spans="2:24">
      <c r="B7021" s="7"/>
      <c r="D7021" s="7"/>
      <c r="F7021" s="7"/>
      <c r="H7021" s="7"/>
      <c r="J7021" s="7"/>
      <c r="L7021" s="7"/>
      <c r="N7021" s="7"/>
      <c r="P7021" s="7"/>
      <c r="R7021" s="7"/>
      <c r="T7021" s="7"/>
      <c r="V7021" s="7"/>
      <c r="X7021" s="7"/>
    </row>
    <row r="7022" spans="2:24">
      <c r="B7022" s="7"/>
      <c r="D7022" s="7"/>
      <c r="F7022" s="7"/>
      <c r="H7022" s="7"/>
      <c r="J7022" s="7"/>
      <c r="L7022" s="7"/>
      <c r="N7022" s="7"/>
      <c r="P7022" s="7"/>
      <c r="R7022" s="7"/>
      <c r="T7022" s="7"/>
      <c r="V7022" s="7"/>
      <c r="X7022" s="7"/>
    </row>
    <row r="7023" spans="2:24">
      <c r="B7023" s="7"/>
      <c r="D7023" s="7"/>
      <c r="F7023" s="7"/>
      <c r="H7023" s="7"/>
      <c r="J7023" s="7"/>
      <c r="L7023" s="7"/>
      <c r="N7023" s="7"/>
      <c r="P7023" s="7"/>
      <c r="R7023" s="7"/>
      <c r="T7023" s="7"/>
      <c r="V7023" s="7"/>
      <c r="X7023" s="7"/>
    </row>
    <row r="7024" spans="2:24">
      <c r="B7024" s="7"/>
      <c r="D7024" s="7"/>
      <c r="F7024" s="7"/>
      <c r="H7024" s="7"/>
      <c r="J7024" s="7"/>
      <c r="L7024" s="7"/>
      <c r="N7024" s="7"/>
      <c r="P7024" s="7"/>
      <c r="R7024" s="7"/>
      <c r="T7024" s="7"/>
      <c r="V7024" s="7"/>
      <c r="X7024" s="7"/>
    </row>
    <row r="7025" spans="2:24">
      <c r="B7025" s="7"/>
      <c r="D7025" s="7"/>
      <c r="F7025" s="7"/>
      <c r="H7025" s="7"/>
      <c r="J7025" s="7"/>
      <c r="L7025" s="7"/>
      <c r="N7025" s="7"/>
      <c r="P7025" s="7"/>
      <c r="R7025" s="7"/>
      <c r="T7025" s="7"/>
      <c r="V7025" s="7"/>
      <c r="X7025" s="7"/>
    </row>
    <row r="7026" spans="2:24">
      <c r="B7026" s="7"/>
      <c r="D7026" s="7"/>
      <c r="F7026" s="7"/>
      <c r="H7026" s="7"/>
      <c r="J7026" s="7"/>
      <c r="L7026" s="7"/>
      <c r="N7026" s="7"/>
      <c r="P7026" s="7"/>
      <c r="R7026" s="7"/>
      <c r="T7026" s="7"/>
      <c r="V7026" s="7"/>
      <c r="X7026" s="7"/>
    </row>
    <row r="7027" spans="2:24">
      <c r="B7027" s="7"/>
      <c r="D7027" s="7"/>
      <c r="F7027" s="7"/>
      <c r="H7027" s="7"/>
      <c r="J7027" s="7"/>
      <c r="L7027" s="7"/>
      <c r="N7027" s="7"/>
      <c r="P7027" s="7"/>
      <c r="R7027" s="7"/>
      <c r="T7027" s="7"/>
      <c r="V7027" s="7"/>
      <c r="X7027" s="7"/>
    </row>
    <row r="7028" spans="2:24">
      <c r="B7028" s="7"/>
      <c r="D7028" s="7"/>
      <c r="F7028" s="7"/>
      <c r="H7028" s="7"/>
      <c r="J7028" s="7"/>
      <c r="L7028" s="7"/>
      <c r="N7028" s="7"/>
      <c r="P7028" s="7"/>
      <c r="R7028" s="7"/>
      <c r="T7028" s="7"/>
      <c r="V7028" s="7"/>
      <c r="X7028" s="7"/>
    </row>
    <row r="7029" spans="2:24">
      <c r="B7029" s="7"/>
      <c r="D7029" s="7"/>
      <c r="F7029" s="7"/>
      <c r="H7029" s="7"/>
      <c r="J7029" s="7"/>
      <c r="L7029" s="7"/>
      <c r="N7029" s="7"/>
      <c r="P7029" s="7"/>
      <c r="R7029" s="7"/>
      <c r="T7029" s="7"/>
      <c r="V7029" s="7"/>
      <c r="X7029" s="7"/>
    </row>
    <row r="7030" spans="2:24">
      <c r="B7030" s="7"/>
      <c r="D7030" s="7"/>
      <c r="F7030" s="7"/>
      <c r="H7030" s="7"/>
      <c r="J7030" s="7"/>
      <c r="L7030" s="7"/>
      <c r="N7030" s="7"/>
      <c r="P7030" s="7"/>
      <c r="R7030" s="7"/>
      <c r="T7030" s="7"/>
      <c r="V7030" s="7"/>
      <c r="X7030" s="7"/>
    </row>
    <row r="7031" spans="2:24">
      <c r="B7031" s="7"/>
      <c r="D7031" s="7"/>
      <c r="F7031" s="7"/>
      <c r="H7031" s="7"/>
      <c r="J7031" s="7"/>
      <c r="L7031" s="7"/>
      <c r="N7031" s="7"/>
      <c r="P7031" s="7"/>
      <c r="R7031" s="7"/>
      <c r="T7031" s="7"/>
      <c r="V7031" s="7"/>
      <c r="X7031" s="7"/>
    </row>
    <row r="7032" spans="2:24">
      <c r="B7032" s="7"/>
      <c r="D7032" s="7"/>
      <c r="F7032" s="7"/>
      <c r="H7032" s="7"/>
      <c r="J7032" s="7"/>
      <c r="L7032" s="7"/>
      <c r="N7032" s="7"/>
      <c r="P7032" s="7"/>
      <c r="R7032" s="7"/>
      <c r="T7032" s="7"/>
      <c r="V7032" s="7"/>
      <c r="X7032" s="7"/>
    </row>
    <row r="7033" spans="2:24">
      <c r="B7033" s="7"/>
      <c r="D7033" s="7"/>
      <c r="F7033" s="7"/>
      <c r="H7033" s="7"/>
      <c r="J7033" s="7"/>
      <c r="L7033" s="7"/>
      <c r="N7033" s="7"/>
      <c r="P7033" s="7"/>
      <c r="R7033" s="7"/>
      <c r="T7033" s="7"/>
      <c r="V7033" s="7"/>
      <c r="X7033" s="7"/>
    </row>
    <row r="7034" spans="2:24">
      <c r="B7034" s="7"/>
      <c r="D7034" s="7"/>
      <c r="F7034" s="7"/>
      <c r="H7034" s="7"/>
      <c r="J7034" s="7"/>
      <c r="L7034" s="7"/>
      <c r="N7034" s="7"/>
      <c r="P7034" s="7"/>
      <c r="R7034" s="7"/>
      <c r="T7034" s="7"/>
      <c r="V7034" s="7"/>
      <c r="X7034" s="7"/>
    </row>
    <row r="7035" spans="2:24">
      <c r="B7035" s="7"/>
      <c r="D7035" s="7"/>
      <c r="F7035" s="7"/>
      <c r="H7035" s="7"/>
      <c r="J7035" s="7"/>
      <c r="L7035" s="7"/>
      <c r="N7035" s="7"/>
      <c r="P7035" s="7"/>
      <c r="R7035" s="7"/>
      <c r="T7035" s="7"/>
      <c r="V7035" s="7"/>
      <c r="X7035" s="7"/>
    </row>
    <row r="7036" spans="2:24">
      <c r="B7036" s="7"/>
      <c r="D7036" s="7"/>
      <c r="F7036" s="7"/>
      <c r="H7036" s="7"/>
      <c r="J7036" s="7"/>
      <c r="L7036" s="7"/>
      <c r="N7036" s="7"/>
      <c r="P7036" s="7"/>
      <c r="R7036" s="7"/>
      <c r="T7036" s="7"/>
      <c r="V7036" s="7"/>
      <c r="X7036" s="7"/>
    </row>
    <row r="7037" spans="2:24">
      <c r="B7037" s="7"/>
      <c r="D7037" s="7"/>
      <c r="F7037" s="7"/>
      <c r="H7037" s="7"/>
      <c r="J7037" s="7"/>
      <c r="L7037" s="7"/>
      <c r="N7037" s="7"/>
      <c r="P7037" s="7"/>
      <c r="R7037" s="7"/>
      <c r="T7037" s="7"/>
      <c r="V7037" s="7"/>
      <c r="X7037" s="7"/>
    </row>
    <row r="7038" spans="2:24">
      <c r="B7038" s="7"/>
      <c r="D7038" s="7"/>
      <c r="F7038" s="7"/>
      <c r="H7038" s="7"/>
      <c r="J7038" s="7"/>
      <c r="L7038" s="7"/>
      <c r="N7038" s="7"/>
      <c r="P7038" s="7"/>
      <c r="R7038" s="7"/>
      <c r="T7038" s="7"/>
      <c r="V7038" s="7"/>
      <c r="X7038" s="7"/>
    </row>
    <row r="7039" spans="2:24">
      <c r="B7039" s="7"/>
      <c r="D7039" s="7"/>
      <c r="F7039" s="7"/>
      <c r="H7039" s="7"/>
      <c r="J7039" s="7"/>
      <c r="L7039" s="7"/>
      <c r="N7039" s="7"/>
      <c r="P7039" s="7"/>
      <c r="R7039" s="7"/>
      <c r="T7039" s="7"/>
      <c r="V7039" s="7"/>
      <c r="X7039" s="7"/>
    </row>
    <row r="7040" spans="2:24">
      <c r="B7040" s="7"/>
      <c r="D7040" s="7"/>
      <c r="F7040" s="7"/>
      <c r="H7040" s="7"/>
      <c r="J7040" s="7"/>
      <c r="L7040" s="7"/>
      <c r="N7040" s="7"/>
      <c r="P7040" s="7"/>
      <c r="R7040" s="7"/>
      <c r="T7040" s="7"/>
      <c r="V7040" s="7"/>
      <c r="X7040" s="7"/>
    </row>
    <row r="7041" spans="2:24">
      <c r="B7041" s="7"/>
      <c r="D7041" s="7"/>
      <c r="F7041" s="7"/>
      <c r="H7041" s="7"/>
      <c r="J7041" s="7"/>
      <c r="L7041" s="7"/>
      <c r="N7041" s="7"/>
      <c r="P7041" s="7"/>
      <c r="R7041" s="7"/>
      <c r="T7041" s="7"/>
      <c r="V7041" s="7"/>
      <c r="X7041" s="7"/>
    </row>
    <row r="7042" spans="2:24">
      <c r="B7042" s="7"/>
      <c r="D7042" s="7"/>
      <c r="F7042" s="7"/>
      <c r="H7042" s="7"/>
      <c r="J7042" s="7"/>
      <c r="L7042" s="7"/>
      <c r="N7042" s="7"/>
      <c r="P7042" s="7"/>
      <c r="R7042" s="7"/>
      <c r="T7042" s="7"/>
      <c r="V7042" s="7"/>
      <c r="X7042" s="7"/>
    </row>
    <row r="7043" spans="2:24">
      <c r="B7043" s="7"/>
      <c r="D7043" s="7"/>
      <c r="F7043" s="7"/>
      <c r="H7043" s="7"/>
      <c r="J7043" s="7"/>
      <c r="L7043" s="7"/>
      <c r="N7043" s="7"/>
      <c r="P7043" s="7"/>
      <c r="R7043" s="7"/>
      <c r="T7043" s="7"/>
      <c r="V7043" s="7"/>
      <c r="X7043" s="7"/>
    </row>
    <row r="7044" spans="2:24">
      <c r="B7044" s="7"/>
      <c r="D7044" s="7"/>
      <c r="F7044" s="7"/>
      <c r="H7044" s="7"/>
      <c r="J7044" s="7"/>
      <c r="L7044" s="7"/>
      <c r="N7044" s="7"/>
      <c r="P7044" s="7"/>
      <c r="R7044" s="7"/>
      <c r="T7044" s="7"/>
      <c r="V7044" s="7"/>
      <c r="X7044" s="7"/>
    </row>
    <row r="7045" spans="2:24">
      <c r="B7045" s="7"/>
      <c r="D7045" s="7"/>
      <c r="F7045" s="7"/>
      <c r="H7045" s="7"/>
      <c r="J7045" s="7"/>
      <c r="L7045" s="7"/>
      <c r="N7045" s="7"/>
      <c r="P7045" s="7"/>
      <c r="R7045" s="7"/>
      <c r="T7045" s="7"/>
      <c r="V7045" s="7"/>
      <c r="X7045" s="7"/>
    </row>
    <row r="7046" spans="2:24">
      <c r="B7046" s="7"/>
      <c r="D7046" s="7"/>
      <c r="F7046" s="7"/>
      <c r="H7046" s="7"/>
      <c r="J7046" s="7"/>
      <c r="L7046" s="7"/>
      <c r="N7046" s="7"/>
      <c r="P7046" s="7"/>
      <c r="R7046" s="7"/>
      <c r="T7046" s="7"/>
      <c r="V7046" s="7"/>
      <c r="X7046" s="7"/>
    </row>
    <row r="7047" spans="2:24">
      <c r="B7047" s="7"/>
      <c r="D7047" s="7"/>
      <c r="F7047" s="7"/>
      <c r="H7047" s="7"/>
      <c r="J7047" s="7"/>
      <c r="L7047" s="7"/>
      <c r="N7047" s="7"/>
      <c r="P7047" s="7"/>
      <c r="R7047" s="7"/>
      <c r="T7047" s="7"/>
      <c r="V7047" s="7"/>
      <c r="X7047" s="7"/>
    </row>
    <row r="7048" spans="2:24">
      <c r="B7048" s="7"/>
      <c r="D7048" s="7"/>
      <c r="F7048" s="7"/>
      <c r="H7048" s="7"/>
      <c r="J7048" s="7"/>
      <c r="L7048" s="7"/>
      <c r="N7048" s="7"/>
      <c r="P7048" s="7"/>
      <c r="R7048" s="7"/>
      <c r="T7048" s="7"/>
      <c r="V7048" s="7"/>
      <c r="X7048" s="7"/>
    </row>
    <row r="7049" spans="2:24">
      <c r="B7049" s="7"/>
      <c r="D7049" s="7"/>
      <c r="F7049" s="7"/>
      <c r="H7049" s="7"/>
      <c r="J7049" s="7"/>
      <c r="L7049" s="7"/>
      <c r="N7049" s="7"/>
      <c r="P7049" s="7"/>
      <c r="R7049" s="7"/>
      <c r="T7049" s="7"/>
      <c r="V7049" s="7"/>
      <c r="X7049" s="7"/>
    </row>
    <row r="7050" spans="2:24">
      <c r="B7050" s="7"/>
      <c r="D7050" s="7"/>
      <c r="F7050" s="7"/>
      <c r="H7050" s="7"/>
      <c r="J7050" s="7"/>
      <c r="L7050" s="7"/>
      <c r="N7050" s="7"/>
      <c r="P7050" s="7"/>
      <c r="R7050" s="7"/>
      <c r="T7050" s="7"/>
      <c r="V7050" s="7"/>
      <c r="X7050" s="7"/>
    </row>
    <row r="7051" spans="2:24">
      <c r="B7051" s="7"/>
      <c r="D7051" s="7"/>
      <c r="F7051" s="7"/>
      <c r="H7051" s="7"/>
      <c r="J7051" s="7"/>
      <c r="L7051" s="7"/>
      <c r="N7051" s="7"/>
      <c r="P7051" s="7"/>
      <c r="R7051" s="7"/>
      <c r="T7051" s="7"/>
      <c r="V7051" s="7"/>
      <c r="X7051" s="7"/>
    </row>
    <row r="7052" spans="2:24">
      <c r="B7052" s="7"/>
      <c r="D7052" s="7"/>
      <c r="F7052" s="7"/>
      <c r="H7052" s="7"/>
      <c r="J7052" s="7"/>
      <c r="L7052" s="7"/>
      <c r="N7052" s="7"/>
      <c r="P7052" s="7"/>
      <c r="R7052" s="7"/>
      <c r="T7052" s="7"/>
      <c r="V7052" s="7"/>
      <c r="X7052" s="7"/>
    </row>
    <row r="7053" spans="2:24">
      <c r="B7053" s="7"/>
      <c r="D7053" s="7"/>
      <c r="F7053" s="7"/>
      <c r="H7053" s="7"/>
      <c r="J7053" s="7"/>
      <c r="L7053" s="7"/>
      <c r="N7053" s="7"/>
      <c r="P7053" s="7"/>
      <c r="R7053" s="7"/>
      <c r="T7053" s="7"/>
      <c r="V7053" s="7"/>
      <c r="X7053" s="7"/>
    </row>
    <row r="7054" spans="2:24">
      <c r="B7054" s="7"/>
      <c r="D7054" s="7"/>
      <c r="F7054" s="7"/>
      <c r="H7054" s="7"/>
      <c r="J7054" s="7"/>
      <c r="L7054" s="7"/>
      <c r="N7054" s="7"/>
      <c r="P7054" s="7"/>
      <c r="R7054" s="7"/>
      <c r="T7054" s="7"/>
      <c r="V7054" s="7"/>
      <c r="X7054" s="7"/>
    </row>
    <row r="7055" spans="2:24">
      <c r="B7055" s="7"/>
      <c r="D7055" s="7"/>
      <c r="F7055" s="7"/>
      <c r="H7055" s="7"/>
      <c r="J7055" s="7"/>
      <c r="L7055" s="7"/>
      <c r="N7055" s="7"/>
      <c r="P7055" s="7"/>
      <c r="R7055" s="7"/>
      <c r="T7055" s="7"/>
      <c r="V7055" s="7"/>
      <c r="X7055" s="7"/>
    </row>
    <row r="7056" spans="2:24">
      <c r="B7056" s="7"/>
      <c r="D7056" s="7"/>
      <c r="F7056" s="7"/>
      <c r="H7056" s="7"/>
      <c r="J7056" s="7"/>
      <c r="L7056" s="7"/>
      <c r="N7056" s="7"/>
      <c r="P7056" s="7"/>
      <c r="R7056" s="7"/>
      <c r="T7056" s="7"/>
      <c r="V7056" s="7"/>
      <c r="X7056" s="7"/>
    </row>
    <row r="7057" spans="2:24">
      <c r="B7057" s="7"/>
      <c r="D7057" s="7"/>
      <c r="F7057" s="7"/>
      <c r="H7057" s="7"/>
      <c r="J7057" s="7"/>
      <c r="L7057" s="7"/>
      <c r="N7057" s="7"/>
      <c r="P7057" s="7"/>
      <c r="R7057" s="7"/>
      <c r="T7057" s="7"/>
      <c r="V7057" s="7"/>
      <c r="X7057" s="7"/>
    </row>
    <row r="7058" spans="2:24">
      <c r="B7058" s="7"/>
      <c r="D7058" s="7"/>
      <c r="F7058" s="7"/>
      <c r="H7058" s="7"/>
      <c r="J7058" s="7"/>
      <c r="L7058" s="7"/>
      <c r="N7058" s="7"/>
      <c r="P7058" s="7"/>
      <c r="R7058" s="7"/>
      <c r="T7058" s="7"/>
      <c r="V7058" s="7"/>
      <c r="X7058" s="7"/>
    </row>
    <row r="7059" spans="2:24">
      <c r="B7059" s="7"/>
      <c r="D7059" s="7"/>
      <c r="F7059" s="7"/>
      <c r="H7059" s="7"/>
      <c r="J7059" s="7"/>
      <c r="L7059" s="7"/>
      <c r="N7059" s="7"/>
      <c r="P7059" s="7"/>
      <c r="R7059" s="7"/>
      <c r="T7059" s="7"/>
      <c r="V7059" s="7"/>
      <c r="X7059" s="7"/>
    </row>
    <row r="7060" spans="2:24">
      <c r="B7060" s="7"/>
      <c r="D7060" s="7"/>
      <c r="F7060" s="7"/>
      <c r="H7060" s="7"/>
      <c r="J7060" s="7"/>
      <c r="L7060" s="7"/>
      <c r="N7060" s="7"/>
      <c r="P7060" s="7"/>
      <c r="R7060" s="7"/>
      <c r="T7060" s="7"/>
      <c r="V7060" s="7"/>
      <c r="X7060" s="7"/>
    </row>
    <row r="7061" spans="2:24">
      <c r="B7061" s="7"/>
      <c r="D7061" s="7"/>
      <c r="F7061" s="7"/>
      <c r="H7061" s="7"/>
      <c r="J7061" s="7"/>
      <c r="L7061" s="7"/>
      <c r="N7061" s="7"/>
      <c r="P7061" s="7"/>
      <c r="R7061" s="7"/>
      <c r="T7061" s="7"/>
      <c r="V7061" s="7"/>
      <c r="X7061" s="7"/>
    </row>
    <row r="7062" spans="2:24">
      <c r="B7062" s="7"/>
      <c r="D7062" s="7"/>
      <c r="F7062" s="7"/>
      <c r="H7062" s="7"/>
      <c r="J7062" s="7"/>
      <c r="L7062" s="7"/>
      <c r="N7062" s="7"/>
      <c r="P7062" s="7"/>
      <c r="R7062" s="7"/>
      <c r="T7062" s="7"/>
      <c r="V7062" s="7"/>
      <c r="X7062" s="7"/>
    </row>
    <row r="7063" spans="2:24">
      <c r="B7063" s="7"/>
      <c r="D7063" s="7"/>
      <c r="F7063" s="7"/>
      <c r="H7063" s="7"/>
      <c r="J7063" s="7"/>
      <c r="L7063" s="7"/>
      <c r="N7063" s="7"/>
      <c r="P7063" s="7"/>
      <c r="R7063" s="7"/>
      <c r="T7063" s="7"/>
      <c r="V7063" s="7"/>
      <c r="X7063" s="7"/>
    </row>
    <row r="7064" spans="2:24">
      <c r="B7064" s="7"/>
      <c r="D7064" s="7"/>
      <c r="F7064" s="7"/>
      <c r="H7064" s="7"/>
      <c r="J7064" s="7"/>
      <c r="L7064" s="7"/>
      <c r="N7064" s="7"/>
      <c r="P7064" s="7"/>
      <c r="R7064" s="7"/>
      <c r="T7064" s="7"/>
      <c r="V7064" s="7"/>
      <c r="X7064" s="7"/>
    </row>
    <row r="7065" spans="2:24">
      <c r="B7065" s="7"/>
      <c r="D7065" s="7"/>
      <c r="F7065" s="7"/>
      <c r="H7065" s="7"/>
      <c r="J7065" s="7"/>
      <c r="L7065" s="7"/>
      <c r="N7065" s="7"/>
      <c r="P7065" s="7"/>
      <c r="R7065" s="7"/>
      <c r="T7065" s="7"/>
      <c r="V7065" s="7"/>
      <c r="X7065" s="7"/>
    </row>
    <row r="7066" spans="2:24">
      <c r="B7066" s="7"/>
      <c r="D7066" s="7"/>
      <c r="F7066" s="7"/>
      <c r="H7066" s="7"/>
      <c r="J7066" s="7"/>
      <c r="L7066" s="7"/>
      <c r="N7066" s="7"/>
      <c r="P7066" s="7"/>
      <c r="R7066" s="7"/>
      <c r="T7066" s="7"/>
      <c r="V7066" s="7"/>
      <c r="X7066" s="7"/>
    </row>
    <row r="7067" spans="2:24">
      <c r="B7067" s="7"/>
      <c r="D7067" s="7"/>
      <c r="F7067" s="7"/>
      <c r="H7067" s="7"/>
      <c r="J7067" s="7"/>
      <c r="L7067" s="7"/>
      <c r="N7067" s="7"/>
      <c r="P7067" s="7"/>
      <c r="R7067" s="7"/>
      <c r="T7067" s="7"/>
      <c r="V7067" s="7"/>
      <c r="X7067" s="7"/>
    </row>
    <row r="7068" spans="2:24">
      <c r="B7068" s="7"/>
      <c r="D7068" s="7"/>
      <c r="F7068" s="7"/>
      <c r="H7068" s="7"/>
      <c r="J7068" s="7"/>
      <c r="L7068" s="7"/>
      <c r="N7068" s="7"/>
      <c r="P7068" s="7"/>
      <c r="R7068" s="7"/>
      <c r="T7068" s="7"/>
      <c r="V7068" s="7"/>
      <c r="X7068" s="7"/>
    </row>
    <row r="7069" spans="2:24">
      <c r="B7069" s="7"/>
      <c r="D7069" s="7"/>
      <c r="F7069" s="7"/>
      <c r="H7069" s="7"/>
      <c r="J7069" s="7"/>
      <c r="L7069" s="7"/>
      <c r="N7069" s="7"/>
      <c r="P7069" s="7"/>
      <c r="R7069" s="7"/>
      <c r="T7069" s="7"/>
      <c r="V7069" s="7"/>
      <c r="X7069" s="7"/>
    </row>
    <row r="7070" spans="2:24">
      <c r="B7070" s="7"/>
      <c r="D7070" s="7"/>
      <c r="F7070" s="7"/>
      <c r="H7070" s="7"/>
      <c r="J7070" s="7"/>
      <c r="L7070" s="7"/>
      <c r="N7070" s="7"/>
      <c r="P7070" s="7"/>
      <c r="R7070" s="7"/>
      <c r="T7070" s="7"/>
      <c r="V7070" s="7"/>
      <c r="X7070" s="7"/>
    </row>
    <row r="7071" spans="2:24">
      <c r="B7071" s="7"/>
      <c r="D7071" s="7"/>
      <c r="F7071" s="7"/>
      <c r="H7071" s="7"/>
      <c r="J7071" s="7"/>
      <c r="L7071" s="7"/>
      <c r="N7071" s="7"/>
      <c r="P7071" s="7"/>
      <c r="R7071" s="7"/>
      <c r="T7071" s="7"/>
      <c r="V7071" s="7"/>
      <c r="X7071" s="7"/>
    </row>
    <row r="7072" spans="2:24">
      <c r="B7072" s="7"/>
      <c r="D7072" s="7"/>
      <c r="F7072" s="7"/>
      <c r="H7072" s="7"/>
      <c r="J7072" s="7"/>
      <c r="L7072" s="7"/>
      <c r="N7072" s="7"/>
      <c r="P7072" s="7"/>
      <c r="R7072" s="7"/>
      <c r="T7072" s="7"/>
      <c r="V7072" s="7"/>
      <c r="X7072" s="7"/>
    </row>
    <row r="7073" spans="2:24">
      <c r="B7073" s="7"/>
      <c r="D7073" s="7"/>
      <c r="F7073" s="7"/>
      <c r="H7073" s="7"/>
      <c r="J7073" s="7"/>
      <c r="L7073" s="7"/>
      <c r="N7073" s="7"/>
      <c r="P7073" s="7"/>
      <c r="R7073" s="7"/>
      <c r="T7073" s="7"/>
      <c r="V7073" s="7"/>
      <c r="X7073" s="7"/>
    </row>
    <row r="7074" spans="2:24">
      <c r="B7074" s="7"/>
      <c r="D7074" s="7"/>
      <c r="F7074" s="7"/>
      <c r="H7074" s="7"/>
      <c r="J7074" s="7"/>
      <c r="L7074" s="7"/>
      <c r="N7074" s="7"/>
      <c r="P7074" s="7"/>
      <c r="R7074" s="7"/>
      <c r="T7074" s="7"/>
      <c r="V7074" s="7"/>
      <c r="X7074" s="7"/>
    </row>
    <row r="7075" spans="2:24">
      <c r="B7075" s="7"/>
      <c r="D7075" s="7"/>
      <c r="F7075" s="7"/>
      <c r="H7075" s="7"/>
      <c r="J7075" s="7"/>
      <c r="L7075" s="7"/>
      <c r="N7075" s="7"/>
      <c r="P7075" s="7"/>
      <c r="R7075" s="7"/>
      <c r="T7075" s="7"/>
      <c r="V7075" s="7"/>
      <c r="X7075" s="7"/>
    </row>
    <row r="7076" spans="2:24">
      <c r="B7076" s="7"/>
      <c r="D7076" s="7"/>
      <c r="F7076" s="7"/>
      <c r="H7076" s="7"/>
      <c r="J7076" s="7"/>
      <c r="L7076" s="7"/>
      <c r="N7076" s="7"/>
      <c r="P7076" s="7"/>
      <c r="R7076" s="7"/>
      <c r="T7076" s="7"/>
      <c r="V7076" s="7"/>
      <c r="X7076" s="7"/>
    </row>
    <row r="7077" spans="2:24">
      <c r="B7077" s="7"/>
      <c r="D7077" s="7"/>
      <c r="F7077" s="7"/>
      <c r="H7077" s="7"/>
      <c r="J7077" s="7"/>
      <c r="L7077" s="7"/>
      <c r="N7077" s="7"/>
      <c r="P7077" s="7"/>
      <c r="R7077" s="7"/>
      <c r="T7077" s="7"/>
      <c r="V7077" s="7"/>
      <c r="X7077" s="7"/>
    </row>
    <row r="7078" spans="2:24">
      <c r="B7078" s="7"/>
      <c r="D7078" s="7"/>
      <c r="F7078" s="7"/>
      <c r="H7078" s="7"/>
      <c r="J7078" s="7"/>
      <c r="L7078" s="7"/>
      <c r="N7078" s="7"/>
      <c r="P7078" s="7"/>
      <c r="R7078" s="7"/>
      <c r="T7078" s="7"/>
      <c r="V7078" s="7"/>
      <c r="X7078" s="7"/>
    </row>
    <row r="7079" spans="2:24">
      <c r="B7079" s="7"/>
      <c r="D7079" s="7"/>
      <c r="F7079" s="7"/>
      <c r="H7079" s="7"/>
      <c r="J7079" s="7"/>
      <c r="L7079" s="7"/>
      <c r="N7079" s="7"/>
      <c r="P7079" s="7"/>
      <c r="R7079" s="7"/>
      <c r="T7079" s="7"/>
      <c r="V7079" s="7"/>
      <c r="X7079" s="7"/>
    </row>
    <row r="7080" spans="2:24">
      <c r="B7080" s="7"/>
      <c r="D7080" s="7"/>
      <c r="F7080" s="7"/>
      <c r="H7080" s="7"/>
      <c r="J7080" s="7"/>
      <c r="L7080" s="7"/>
      <c r="N7080" s="7"/>
      <c r="P7080" s="7"/>
      <c r="R7080" s="7"/>
      <c r="T7080" s="7"/>
      <c r="V7080" s="7"/>
      <c r="X7080" s="7"/>
    </row>
    <row r="7081" spans="2:24">
      <c r="B7081" s="7"/>
      <c r="D7081" s="7"/>
      <c r="F7081" s="7"/>
      <c r="H7081" s="7"/>
      <c r="J7081" s="7"/>
      <c r="L7081" s="7"/>
      <c r="N7081" s="7"/>
      <c r="P7081" s="7"/>
      <c r="R7081" s="7"/>
      <c r="T7081" s="7"/>
      <c r="V7081" s="7"/>
      <c r="X7081" s="7"/>
    </row>
    <row r="7082" spans="2:24">
      <c r="B7082" s="7"/>
      <c r="D7082" s="7"/>
      <c r="F7082" s="7"/>
      <c r="H7082" s="7"/>
      <c r="J7082" s="7"/>
      <c r="L7082" s="7"/>
      <c r="N7082" s="7"/>
      <c r="P7082" s="7"/>
      <c r="R7082" s="7"/>
      <c r="T7082" s="7"/>
      <c r="V7082" s="7"/>
      <c r="X7082" s="7"/>
    </row>
    <row r="7083" spans="2:24">
      <c r="B7083" s="7"/>
      <c r="D7083" s="7"/>
      <c r="F7083" s="7"/>
      <c r="H7083" s="7"/>
      <c r="J7083" s="7"/>
      <c r="L7083" s="7"/>
      <c r="N7083" s="7"/>
      <c r="P7083" s="7"/>
      <c r="R7083" s="7"/>
      <c r="T7083" s="7"/>
      <c r="V7083" s="7"/>
      <c r="X7083" s="7"/>
    </row>
    <row r="7084" spans="2:24">
      <c r="B7084" s="7"/>
      <c r="D7084" s="7"/>
      <c r="F7084" s="7"/>
      <c r="H7084" s="7"/>
      <c r="J7084" s="7"/>
      <c r="L7084" s="7"/>
      <c r="N7084" s="7"/>
      <c r="P7084" s="7"/>
      <c r="R7084" s="7"/>
      <c r="T7084" s="7"/>
      <c r="V7084" s="7"/>
      <c r="X7084" s="7"/>
    </row>
    <row r="7085" spans="2:24">
      <c r="B7085" s="7"/>
      <c r="D7085" s="7"/>
      <c r="F7085" s="7"/>
      <c r="H7085" s="7"/>
      <c r="J7085" s="7"/>
      <c r="L7085" s="7"/>
      <c r="N7085" s="7"/>
      <c r="P7085" s="7"/>
      <c r="R7085" s="7"/>
      <c r="T7085" s="7"/>
      <c r="V7085" s="7"/>
      <c r="X7085" s="7"/>
    </row>
    <row r="7086" spans="2:24">
      <c r="B7086" s="7"/>
      <c r="D7086" s="7"/>
      <c r="F7086" s="7"/>
      <c r="H7086" s="7"/>
      <c r="J7086" s="7"/>
      <c r="L7086" s="7"/>
      <c r="N7086" s="7"/>
      <c r="P7086" s="7"/>
      <c r="R7086" s="7"/>
      <c r="T7086" s="7"/>
      <c r="V7086" s="7"/>
      <c r="X7086" s="7"/>
    </row>
    <row r="7087" spans="2:24">
      <c r="B7087" s="7"/>
      <c r="D7087" s="7"/>
      <c r="F7087" s="7"/>
      <c r="H7087" s="7"/>
      <c r="J7087" s="7"/>
      <c r="L7087" s="7"/>
      <c r="N7087" s="7"/>
      <c r="P7087" s="7"/>
      <c r="R7087" s="7"/>
      <c r="T7087" s="7"/>
      <c r="V7087" s="7"/>
      <c r="X7087" s="7"/>
    </row>
    <row r="7088" spans="2:24">
      <c r="B7088" s="7"/>
      <c r="D7088" s="7"/>
      <c r="F7088" s="7"/>
      <c r="H7088" s="7"/>
      <c r="J7088" s="7"/>
      <c r="L7088" s="7"/>
      <c r="N7088" s="7"/>
      <c r="P7088" s="7"/>
      <c r="R7088" s="7"/>
      <c r="T7088" s="7"/>
      <c r="V7088" s="7"/>
      <c r="X7088" s="7"/>
    </row>
    <row r="7089" spans="2:24">
      <c r="B7089" s="7"/>
      <c r="D7089" s="7"/>
      <c r="F7089" s="7"/>
      <c r="H7089" s="7"/>
      <c r="J7089" s="7"/>
      <c r="L7089" s="7"/>
      <c r="N7089" s="7"/>
      <c r="P7089" s="7"/>
      <c r="R7089" s="7"/>
      <c r="T7089" s="7"/>
      <c r="V7089" s="7"/>
      <c r="X7089" s="7"/>
    </row>
    <row r="7090" spans="2:24">
      <c r="B7090" s="7"/>
      <c r="D7090" s="7"/>
      <c r="F7090" s="7"/>
      <c r="H7090" s="7"/>
      <c r="J7090" s="7"/>
      <c r="L7090" s="7"/>
      <c r="N7090" s="7"/>
      <c r="P7090" s="7"/>
      <c r="R7090" s="7"/>
      <c r="T7090" s="7"/>
      <c r="V7090" s="7"/>
      <c r="X7090" s="7"/>
    </row>
    <row r="7091" spans="2:24">
      <c r="B7091" s="7"/>
      <c r="D7091" s="7"/>
      <c r="F7091" s="7"/>
      <c r="H7091" s="7"/>
      <c r="J7091" s="7"/>
      <c r="L7091" s="7"/>
      <c r="N7091" s="7"/>
      <c r="P7091" s="7"/>
      <c r="R7091" s="7"/>
      <c r="T7091" s="7"/>
      <c r="V7091" s="7"/>
      <c r="X7091" s="7"/>
    </row>
    <row r="7092" spans="2:24">
      <c r="B7092" s="7"/>
      <c r="D7092" s="7"/>
      <c r="F7092" s="7"/>
      <c r="H7092" s="7"/>
      <c r="J7092" s="7"/>
      <c r="L7092" s="7"/>
      <c r="N7092" s="7"/>
      <c r="P7092" s="7"/>
      <c r="R7092" s="7"/>
      <c r="T7092" s="7"/>
      <c r="V7092" s="7"/>
      <c r="X7092" s="7"/>
    </row>
    <row r="7093" spans="2:24">
      <c r="B7093" s="7"/>
      <c r="D7093" s="7"/>
      <c r="F7093" s="7"/>
      <c r="H7093" s="7"/>
      <c r="J7093" s="7"/>
      <c r="L7093" s="7"/>
      <c r="N7093" s="7"/>
      <c r="P7093" s="7"/>
      <c r="R7093" s="7"/>
      <c r="T7093" s="7"/>
      <c r="V7093" s="7"/>
      <c r="X7093" s="7"/>
    </row>
    <row r="7094" spans="2:24">
      <c r="B7094" s="7"/>
      <c r="D7094" s="7"/>
      <c r="F7094" s="7"/>
      <c r="H7094" s="7"/>
      <c r="J7094" s="7"/>
      <c r="L7094" s="7"/>
      <c r="N7094" s="7"/>
      <c r="P7094" s="7"/>
      <c r="R7094" s="7"/>
      <c r="T7094" s="7"/>
      <c r="V7094" s="7"/>
      <c r="X7094" s="7"/>
    </row>
    <row r="7095" spans="2:24">
      <c r="B7095" s="7"/>
      <c r="D7095" s="7"/>
      <c r="F7095" s="7"/>
      <c r="H7095" s="7"/>
      <c r="J7095" s="7"/>
      <c r="L7095" s="7"/>
      <c r="N7095" s="7"/>
      <c r="P7095" s="7"/>
      <c r="R7095" s="7"/>
      <c r="T7095" s="7"/>
      <c r="V7095" s="7"/>
      <c r="X7095" s="7"/>
    </row>
    <row r="7096" spans="2:24">
      <c r="B7096" s="7"/>
      <c r="D7096" s="7"/>
      <c r="F7096" s="7"/>
      <c r="H7096" s="7"/>
      <c r="J7096" s="7"/>
      <c r="L7096" s="7"/>
      <c r="N7096" s="7"/>
      <c r="P7096" s="7"/>
      <c r="R7096" s="7"/>
      <c r="T7096" s="7"/>
      <c r="V7096" s="7"/>
      <c r="X7096" s="7"/>
    </row>
    <row r="7097" spans="2:24">
      <c r="B7097" s="7"/>
      <c r="D7097" s="7"/>
      <c r="F7097" s="7"/>
      <c r="H7097" s="7"/>
      <c r="J7097" s="7"/>
      <c r="L7097" s="7"/>
      <c r="N7097" s="7"/>
      <c r="P7097" s="7"/>
      <c r="R7097" s="7"/>
      <c r="T7097" s="7"/>
      <c r="V7097" s="7"/>
      <c r="X7097" s="7"/>
    </row>
    <row r="7098" spans="2:24">
      <c r="B7098" s="7"/>
      <c r="D7098" s="7"/>
      <c r="F7098" s="7"/>
      <c r="H7098" s="7"/>
      <c r="J7098" s="7"/>
      <c r="L7098" s="7"/>
      <c r="N7098" s="7"/>
      <c r="P7098" s="7"/>
      <c r="R7098" s="7"/>
      <c r="T7098" s="7"/>
      <c r="V7098" s="7"/>
      <c r="X7098" s="7"/>
    </row>
    <row r="7099" spans="2:24">
      <c r="B7099" s="7"/>
      <c r="D7099" s="7"/>
      <c r="F7099" s="7"/>
      <c r="H7099" s="7"/>
      <c r="J7099" s="7"/>
      <c r="L7099" s="7"/>
      <c r="N7099" s="7"/>
      <c r="P7099" s="7"/>
      <c r="R7099" s="7"/>
      <c r="T7099" s="7"/>
      <c r="V7099" s="7"/>
      <c r="X7099" s="7"/>
    </row>
    <row r="7100" spans="2:24">
      <c r="B7100" s="7"/>
      <c r="D7100" s="7"/>
      <c r="F7100" s="7"/>
      <c r="H7100" s="7"/>
      <c r="J7100" s="7"/>
      <c r="L7100" s="7"/>
      <c r="N7100" s="7"/>
      <c r="P7100" s="7"/>
      <c r="R7100" s="7"/>
      <c r="T7100" s="7"/>
      <c r="V7100" s="7"/>
      <c r="X7100" s="7"/>
    </row>
    <row r="7101" spans="2:24">
      <c r="B7101" s="7"/>
      <c r="D7101" s="7"/>
      <c r="F7101" s="7"/>
      <c r="H7101" s="7"/>
      <c r="J7101" s="7"/>
      <c r="L7101" s="7"/>
      <c r="N7101" s="7"/>
      <c r="P7101" s="7"/>
      <c r="R7101" s="7"/>
      <c r="T7101" s="7"/>
      <c r="V7101" s="7"/>
      <c r="X7101" s="7"/>
    </row>
    <row r="7102" spans="2:24">
      <c r="B7102" s="7"/>
      <c r="D7102" s="7"/>
      <c r="F7102" s="7"/>
      <c r="H7102" s="7"/>
      <c r="J7102" s="7"/>
      <c r="L7102" s="7"/>
      <c r="N7102" s="7"/>
      <c r="P7102" s="7"/>
      <c r="R7102" s="7"/>
      <c r="T7102" s="7"/>
      <c r="V7102" s="7"/>
      <c r="X7102" s="7"/>
    </row>
    <row r="7103" spans="2:24">
      <c r="B7103" s="7"/>
      <c r="D7103" s="7"/>
      <c r="F7103" s="7"/>
      <c r="H7103" s="7"/>
      <c r="J7103" s="7"/>
      <c r="L7103" s="7"/>
      <c r="N7103" s="7"/>
      <c r="P7103" s="7"/>
      <c r="R7103" s="7"/>
      <c r="T7103" s="7"/>
      <c r="V7103" s="7"/>
      <c r="X7103" s="7"/>
    </row>
    <row r="7104" spans="2:24">
      <c r="B7104" s="7"/>
      <c r="D7104" s="7"/>
      <c r="F7104" s="7"/>
      <c r="H7104" s="7"/>
      <c r="J7104" s="7"/>
      <c r="L7104" s="7"/>
      <c r="N7104" s="7"/>
      <c r="P7104" s="7"/>
      <c r="R7104" s="7"/>
      <c r="T7104" s="7"/>
      <c r="V7104" s="7"/>
      <c r="X7104" s="7"/>
    </row>
    <row r="7105" spans="2:24">
      <c r="B7105" s="7"/>
      <c r="D7105" s="7"/>
      <c r="F7105" s="7"/>
      <c r="H7105" s="7"/>
      <c r="J7105" s="7"/>
      <c r="L7105" s="7"/>
      <c r="N7105" s="7"/>
      <c r="P7105" s="7"/>
      <c r="R7105" s="7"/>
      <c r="T7105" s="7"/>
      <c r="V7105" s="7"/>
      <c r="X7105" s="7"/>
    </row>
    <row r="7106" spans="2:24">
      <c r="B7106" s="7"/>
      <c r="D7106" s="7"/>
      <c r="F7106" s="7"/>
      <c r="H7106" s="7"/>
      <c r="J7106" s="7"/>
      <c r="L7106" s="7"/>
      <c r="N7106" s="7"/>
      <c r="P7106" s="7"/>
      <c r="R7106" s="7"/>
      <c r="T7106" s="7"/>
      <c r="V7106" s="7"/>
      <c r="X7106" s="7"/>
    </row>
    <row r="7107" spans="2:24">
      <c r="B7107" s="7"/>
      <c r="D7107" s="7"/>
      <c r="F7107" s="7"/>
      <c r="H7107" s="7"/>
      <c r="J7107" s="7"/>
      <c r="L7107" s="7"/>
      <c r="N7107" s="7"/>
      <c r="P7107" s="7"/>
      <c r="R7107" s="7"/>
      <c r="T7107" s="7"/>
      <c r="V7107" s="7"/>
      <c r="X7107" s="7"/>
    </row>
    <row r="7108" spans="2:24">
      <c r="B7108" s="7"/>
      <c r="D7108" s="7"/>
      <c r="F7108" s="7"/>
      <c r="H7108" s="7"/>
      <c r="J7108" s="7"/>
      <c r="L7108" s="7"/>
      <c r="N7108" s="7"/>
      <c r="P7108" s="7"/>
      <c r="R7108" s="7"/>
      <c r="T7108" s="7"/>
      <c r="V7108" s="7"/>
      <c r="X7108" s="7"/>
    </row>
    <row r="7109" spans="2:24">
      <c r="B7109" s="7"/>
      <c r="D7109" s="7"/>
      <c r="F7109" s="7"/>
      <c r="H7109" s="7"/>
      <c r="J7109" s="7"/>
      <c r="L7109" s="7"/>
      <c r="N7109" s="7"/>
      <c r="P7109" s="7"/>
      <c r="R7109" s="7"/>
      <c r="T7109" s="7"/>
      <c r="V7109" s="7"/>
      <c r="X7109" s="7"/>
    </row>
    <row r="7110" spans="2:24">
      <c r="B7110" s="7"/>
      <c r="D7110" s="7"/>
      <c r="F7110" s="7"/>
      <c r="H7110" s="7"/>
      <c r="J7110" s="7"/>
      <c r="L7110" s="7"/>
      <c r="N7110" s="7"/>
      <c r="P7110" s="7"/>
      <c r="R7110" s="7"/>
      <c r="T7110" s="7"/>
      <c r="V7110" s="7"/>
      <c r="X7110" s="7"/>
    </row>
    <row r="7111" spans="2:24">
      <c r="B7111" s="7"/>
      <c r="D7111" s="7"/>
      <c r="F7111" s="7"/>
      <c r="H7111" s="7"/>
      <c r="J7111" s="7"/>
      <c r="L7111" s="7"/>
      <c r="N7111" s="7"/>
      <c r="P7111" s="7"/>
      <c r="R7111" s="7"/>
      <c r="T7111" s="7"/>
      <c r="V7111" s="7"/>
      <c r="X7111" s="7"/>
    </row>
    <row r="7112" spans="2:24">
      <c r="B7112" s="7"/>
      <c r="D7112" s="7"/>
      <c r="F7112" s="7"/>
      <c r="H7112" s="7"/>
      <c r="J7112" s="7"/>
      <c r="L7112" s="7"/>
      <c r="N7112" s="7"/>
      <c r="P7112" s="7"/>
      <c r="R7112" s="7"/>
      <c r="T7112" s="7"/>
      <c r="V7112" s="7"/>
      <c r="X7112" s="7"/>
    </row>
    <row r="7113" spans="2:24">
      <c r="B7113" s="7"/>
      <c r="D7113" s="7"/>
      <c r="F7113" s="7"/>
      <c r="H7113" s="7"/>
      <c r="J7113" s="7"/>
      <c r="L7113" s="7"/>
      <c r="N7113" s="7"/>
      <c r="P7113" s="7"/>
      <c r="R7113" s="7"/>
      <c r="T7113" s="7"/>
      <c r="V7113" s="7"/>
      <c r="X7113" s="7"/>
    </row>
    <row r="7114" spans="2:24">
      <c r="B7114" s="7"/>
      <c r="D7114" s="7"/>
      <c r="F7114" s="7"/>
      <c r="H7114" s="7"/>
      <c r="J7114" s="7"/>
      <c r="L7114" s="7"/>
      <c r="N7114" s="7"/>
      <c r="P7114" s="7"/>
      <c r="R7114" s="7"/>
      <c r="T7114" s="7"/>
      <c r="V7114" s="7"/>
      <c r="X7114" s="7"/>
    </row>
    <row r="7115" spans="2:24">
      <c r="B7115" s="7"/>
      <c r="D7115" s="7"/>
      <c r="F7115" s="7"/>
      <c r="H7115" s="7"/>
      <c r="J7115" s="7"/>
      <c r="L7115" s="7"/>
      <c r="N7115" s="7"/>
      <c r="P7115" s="7"/>
      <c r="R7115" s="7"/>
      <c r="T7115" s="7"/>
      <c r="V7115" s="7"/>
      <c r="X7115" s="7"/>
    </row>
    <row r="7116" spans="2:24">
      <c r="B7116" s="7"/>
      <c r="D7116" s="7"/>
      <c r="F7116" s="7"/>
      <c r="H7116" s="7"/>
      <c r="J7116" s="7"/>
      <c r="L7116" s="7"/>
      <c r="N7116" s="7"/>
      <c r="P7116" s="7"/>
      <c r="R7116" s="7"/>
      <c r="T7116" s="7"/>
      <c r="V7116" s="7"/>
      <c r="X7116" s="7"/>
    </row>
    <row r="7117" spans="2:24">
      <c r="B7117" s="7"/>
      <c r="D7117" s="7"/>
      <c r="F7117" s="7"/>
      <c r="H7117" s="7"/>
      <c r="J7117" s="7"/>
      <c r="L7117" s="7"/>
      <c r="N7117" s="7"/>
      <c r="P7117" s="7"/>
      <c r="R7117" s="7"/>
      <c r="T7117" s="7"/>
      <c r="V7117" s="7"/>
      <c r="X7117" s="7"/>
    </row>
    <row r="7118" spans="2:24">
      <c r="B7118" s="7"/>
      <c r="D7118" s="7"/>
      <c r="F7118" s="7"/>
      <c r="H7118" s="7"/>
      <c r="J7118" s="7"/>
      <c r="L7118" s="7"/>
      <c r="N7118" s="7"/>
      <c r="P7118" s="7"/>
      <c r="R7118" s="7"/>
      <c r="T7118" s="7"/>
      <c r="V7118" s="7"/>
      <c r="X7118" s="7"/>
    </row>
    <row r="7119" spans="2:24">
      <c r="B7119" s="7"/>
      <c r="D7119" s="7"/>
      <c r="F7119" s="7"/>
      <c r="H7119" s="7"/>
      <c r="J7119" s="7"/>
      <c r="L7119" s="7"/>
      <c r="N7119" s="7"/>
      <c r="P7119" s="7"/>
      <c r="R7119" s="7"/>
      <c r="T7119" s="7"/>
      <c r="V7119" s="7"/>
      <c r="X7119" s="7"/>
    </row>
    <row r="7120" spans="2:24">
      <c r="B7120" s="7"/>
      <c r="D7120" s="7"/>
      <c r="F7120" s="7"/>
      <c r="H7120" s="7"/>
      <c r="J7120" s="7"/>
      <c r="L7120" s="7"/>
      <c r="N7120" s="7"/>
      <c r="P7120" s="7"/>
      <c r="R7120" s="7"/>
      <c r="T7120" s="7"/>
      <c r="V7120" s="7"/>
      <c r="X7120" s="7"/>
    </row>
    <row r="7121" spans="2:24">
      <c r="B7121" s="7"/>
      <c r="D7121" s="7"/>
      <c r="F7121" s="7"/>
      <c r="H7121" s="7"/>
      <c r="J7121" s="7"/>
      <c r="L7121" s="7"/>
      <c r="N7121" s="7"/>
      <c r="P7121" s="7"/>
      <c r="R7121" s="7"/>
      <c r="T7121" s="7"/>
      <c r="V7121" s="7"/>
      <c r="X7121" s="7"/>
    </row>
    <row r="7122" spans="2:24">
      <c r="B7122" s="7"/>
      <c r="D7122" s="7"/>
      <c r="F7122" s="7"/>
      <c r="H7122" s="7"/>
      <c r="J7122" s="7"/>
      <c r="L7122" s="7"/>
      <c r="N7122" s="7"/>
      <c r="P7122" s="7"/>
      <c r="R7122" s="7"/>
      <c r="T7122" s="7"/>
      <c r="V7122" s="7"/>
      <c r="X7122" s="7"/>
    </row>
    <row r="7123" spans="2:24">
      <c r="B7123" s="7"/>
      <c r="D7123" s="7"/>
      <c r="F7123" s="7"/>
      <c r="H7123" s="7"/>
      <c r="J7123" s="7"/>
      <c r="L7123" s="7"/>
      <c r="N7123" s="7"/>
      <c r="P7123" s="7"/>
      <c r="R7123" s="7"/>
      <c r="T7123" s="7"/>
      <c r="V7123" s="7"/>
      <c r="X7123" s="7"/>
    </row>
    <row r="7124" spans="2:24">
      <c r="B7124" s="7"/>
      <c r="D7124" s="7"/>
      <c r="F7124" s="7"/>
      <c r="H7124" s="7"/>
      <c r="J7124" s="7"/>
      <c r="L7124" s="7"/>
      <c r="N7124" s="7"/>
      <c r="P7124" s="7"/>
      <c r="R7124" s="7"/>
      <c r="T7124" s="7"/>
      <c r="V7124" s="7"/>
      <c r="X7124" s="7"/>
    </row>
    <row r="7125" spans="2:24">
      <c r="B7125" s="7"/>
      <c r="D7125" s="7"/>
      <c r="F7125" s="7"/>
      <c r="H7125" s="7"/>
      <c r="J7125" s="7"/>
      <c r="L7125" s="7"/>
      <c r="N7125" s="7"/>
      <c r="P7125" s="7"/>
      <c r="R7125" s="7"/>
      <c r="T7125" s="7"/>
      <c r="V7125" s="7"/>
      <c r="X7125" s="7"/>
    </row>
    <row r="7126" spans="2:24">
      <c r="B7126" s="7"/>
      <c r="D7126" s="7"/>
      <c r="F7126" s="7"/>
      <c r="H7126" s="7"/>
      <c r="J7126" s="7"/>
      <c r="L7126" s="7"/>
      <c r="N7126" s="7"/>
      <c r="P7126" s="7"/>
      <c r="R7126" s="7"/>
      <c r="T7126" s="7"/>
      <c r="V7126" s="7"/>
      <c r="X7126" s="7"/>
    </row>
    <row r="7127" spans="2:24">
      <c r="B7127" s="7"/>
      <c r="D7127" s="7"/>
      <c r="F7127" s="7"/>
      <c r="H7127" s="7"/>
      <c r="J7127" s="7"/>
      <c r="L7127" s="7"/>
      <c r="N7127" s="7"/>
      <c r="P7127" s="7"/>
      <c r="R7127" s="7"/>
      <c r="T7127" s="7"/>
      <c r="V7127" s="7"/>
      <c r="X7127" s="7"/>
    </row>
    <row r="7128" spans="2:24">
      <c r="B7128" s="7"/>
      <c r="D7128" s="7"/>
      <c r="F7128" s="7"/>
      <c r="H7128" s="7"/>
      <c r="J7128" s="7"/>
      <c r="L7128" s="7"/>
      <c r="N7128" s="7"/>
      <c r="P7128" s="7"/>
      <c r="R7128" s="7"/>
      <c r="T7128" s="7"/>
      <c r="V7128" s="7"/>
      <c r="X7128" s="7"/>
    </row>
    <row r="7129" spans="2:24">
      <c r="B7129" s="7"/>
      <c r="D7129" s="7"/>
      <c r="F7129" s="7"/>
      <c r="H7129" s="7"/>
      <c r="J7129" s="7"/>
      <c r="L7129" s="7"/>
      <c r="N7129" s="7"/>
      <c r="P7129" s="7"/>
      <c r="R7129" s="7"/>
      <c r="T7129" s="7"/>
      <c r="V7129" s="7"/>
      <c r="X7129" s="7"/>
    </row>
    <row r="7130" spans="2:24">
      <c r="B7130" s="7"/>
      <c r="D7130" s="7"/>
      <c r="F7130" s="7"/>
      <c r="H7130" s="7"/>
      <c r="J7130" s="7"/>
      <c r="L7130" s="7"/>
      <c r="N7130" s="7"/>
      <c r="P7130" s="7"/>
      <c r="R7130" s="7"/>
      <c r="T7130" s="7"/>
      <c r="V7130" s="7"/>
      <c r="X7130" s="7"/>
    </row>
    <row r="7131" spans="2:24">
      <c r="B7131" s="7"/>
      <c r="D7131" s="7"/>
      <c r="F7131" s="7"/>
      <c r="H7131" s="7"/>
      <c r="J7131" s="7"/>
      <c r="L7131" s="7"/>
      <c r="N7131" s="7"/>
      <c r="P7131" s="7"/>
      <c r="R7131" s="7"/>
      <c r="T7131" s="7"/>
      <c r="V7131" s="7"/>
      <c r="X7131" s="7"/>
    </row>
    <row r="7132" spans="2:24">
      <c r="B7132" s="7"/>
      <c r="D7132" s="7"/>
      <c r="F7132" s="7"/>
      <c r="H7132" s="7"/>
      <c r="J7132" s="7"/>
      <c r="L7132" s="7"/>
      <c r="N7132" s="7"/>
      <c r="P7132" s="7"/>
      <c r="R7132" s="7"/>
      <c r="T7132" s="7"/>
      <c r="V7132" s="7"/>
      <c r="X7132" s="7"/>
    </row>
    <row r="7133" spans="2:24">
      <c r="B7133" s="7"/>
      <c r="D7133" s="7"/>
      <c r="F7133" s="7"/>
      <c r="H7133" s="7"/>
      <c r="J7133" s="7"/>
      <c r="L7133" s="7"/>
      <c r="N7133" s="7"/>
      <c r="P7133" s="7"/>
      <c r="R7133" s="7"/>
      <c r="T7133" s="7"/>
      <c r="V7133" s="7"/>
      <c r="X7133" s="7"/>
    </row>
    <row r="7134" spans="2:24">
      <c r="B7134" s="7"/>
      <c r="D7134" s="7"/>
      <c r="F7134" s="7"/>
      <c r="H7134" s="7"/>
      <c r="J7134" s="7"/>
      <c r="L7134" s="7"/>
      <c r="N7134" s="7"/>
      <c r="P7134" s="7"/>
      <c r="R7134" s="7"/>
      <c r="T7134" s="7"/>
      <c r="V7134" s="7"/>
      <c r="X7134" s="7"/>
    </row>
    <row r="7135" spans="2:24">
      <c r="B7135" s="7"/>
      <c r="D7135" s="7"/>
      <c r="F7135" s="7"/>
      <c r="H7135" s="7"/>
      <c r="J7135" s="7"/>
      <c r="L7135" s="7"/>
      <c r="N7135" s="7"/>
      <c r="P7135" s="7"/>
      <c r="R7135" s="7"/>
      <c r="T7135" s="7"/>
      <c r="V7135" s="7"/>
      <c r="X7135" s="7"/>
    </row>
    <row r="7136" spans="2:24">
      <c r="B7136" s="7"/>
      <c r="D7136" s="7"/>
      <c r="F7136" s="7"/>
      <c r="H7136" s="7"/>
      <c r="J7136" s="7"/>
      <c r="L7136" s="7"/>
      <c r="N7136" s="7"/>
      <c r="P7136" s="7"/>
      <c r="R7136" s="7"/>
      <c r="T7136" s="7"/>
      <c r="V7136" s="7"/>
      <c r="X7136" s="7"/>
    </row>
    <row r="7137" spans="2:24">
      <c r="B7137" s="7"/>
      <c r="D7137" s="7"/>
      <c r="F7137" s="7"/>
      <c r="H7137" s="7"/>
      <c r="J7137" s="7"/>
      <c r="L7137" s="7"/>
      <c r="N7137" s="7"/>
      <c r="P7137" s="7"/>
      <c r="R7137" s="7"/>
      <c r="T7137" s="7"/>
      <c r="V7137" s="7"/>
      <c r="X7137" s="7"/>
    </row>
    <row r="7138" spans="2:24">
      <c r="B7138" s="7"/>
      <c r="D7138" s="7"/>
      <c r="F7138" s="7"/>
      <c r="H7138" s="7"/>
      <c r="J7138" s="7"/>
      <c r="L7138" s="7"/>
      <c r="N7138" s="7"/>
      <c r="P7138" s="7"/>
      <c r="R7138" s="7"/>
      <c r="T7138" s="7"/>
      <c r="V7138" s="7"/>
      <c r="X7138" s="7"/>
    </row>
    <row r="7139" spans="2:24">
      <c r="B7139" s="7"/>
      <c r="D7139" s="7"/>
      <c r="F7139" s="7"/>
      <c r="H7139" s="7"/>
      <c r="J7139" s="7"/>
      <c r="L7139" s="7"/>
      <c r="N7139" s="7"/>
      <c r="P7139" s="7"/>
      <c r="R7139" s="7"/>
      <c r="T7139" s="7"/>
      <c r="V7139" s="7"/>
      <c r="X7139" s="7"/>
    </row>
    <row r="7140" spans="2:24">
      <c r="B7140" s="7"/>
      <c r="D7140" s="7"/>
      <c r="F7140" s="7"/>
      <c r="H7140" s="7"/>
      <c r="J7140" s="7"/>
      <c r="L7140" s="7"/>
      <c r="N7140" s="7"/>
      <c r="P7140" s="7"/>
      <c r="R7140" s="7"/>
      <c r="T7140" s="7"/>
      <c r="V7140" s="7"/>
      <c r="X7140" s="7"/>
    </row>
    <row r="7141" spans="2:24">
      <c r="B7141" s="7"/>
      <c r="D7141" s="7"/>
      <c r="F7141" s="7"/>
      <c r="H7141" s="7"/>
      <c r="J7141" s="7"/>
      <c r="L7141" s="7"/>
      <c r="N7141" s="7"/>
      <c r="P7141" s="7"/>
      <c r="R7141" s="7"/>
      <c r="T7141" s="7"/>
      <c r="V7141" s="7"/>
      <c r="X7141" s="7"/>
    </row>
    <row r="7142" spans="2:24">
      <c r="B7142" s="7"/>
      <c r="D7142" s="7"/>
      <c r="F7142" s="7"/>
      <c r="H7142" s="7"/>
      <c r="J7142" s="7"/>
      <c r="L7142" s="7"/>
      <c r="N7142" s="7"/>
      <c r="P7142" s="7"/>
      <c r="R7142" s="7"/>
      <c r="T7142" s="7"/>
      <c r="V7142" s="7"/>
      <c r="X7142" s="7"/>
    </row>
    <row r="7143" spans="2:24">
      <c r="B7143" s="7"/>
      <c r="D7143" s="7"/>
      <c r="F7143" s="7"/>
      <c r="H7143" s="7"/>
      <c r="J7143" s="7"/>
      <c r="L7143" s="7"/>
      <c r="N7143" s="7"/>
      <c r="P7143" s="7"/>
      <c r="R7143" s="7"/>
      <c r="T7143" s="7"/>
      <c r="V7143" s="7"/>
      <c r="X7143" s="7"/>
    </row>
    <row r="7144" spans="2:24">
      <c r="B7144" s="7"/>
      <c r="D7144" s="7"/>
      <c r="F7144" s="7"/>
      <c r="H7144" s="7"/>
      <c r="J7144" s="7"/>
      <c r="L7144" s="7"/>
      <c r="N7144" s="7"/>
      <c r="P7144" s="7"/>
      <c r="R7144" s="7"/>
      <c r="T7144" s="7"/>
      <c r="V7144" s="7"/>
      <c r="X7144" s="7"/>
    </row>
    <row r="7145" spans="2:24">
      <c r="B7145" s="7"/>
      <c r="D7145" s="7"/>
      <c r="F7145" s="7"/>
      <c r="H7145" s="7"/>
      <c r="J7145" s="7"/>
      <c r="L7145" s="7"/>
      <c r="N7145" s="7"/>
      <c r="P7145" s="7"/>
      <c r="R7145" s="7"/>
      <c r="T7145" s="7"/>
      <c r="V7145" s="7"/>
      <c r="X7145" s="7"/>
    </row>
    <row r="7146" spans="2:24">
      <c r="B7146" s="7"/>
      <c r="D7146" s="7"/>
      <c r="F7146" s="7"/>
      <c r="H7146" s="7"/>
      <c r="J7146" s="7"/>
      <c r="L7146" s="7"/>
      <c r="N7146" s="7"/>
      <c r="P7146" s="7"/>
      <c r="R7146" s="7"/>
      <c r="T7146" s="7"/>
      <c r="V7146" s="7"/>
      <c r="X7146" s="7"/>
    </row>
    <row r="7147" spans="2:24">
      <c r="B7147" s="7"/>
      <c r="D7147" s="7"/>
      <c r="F7147" s="7"/>
      <c r="H7147" s="7"/>
      <c r="J7147" s="7"/>
      <c r="L7147" s="7"/>
      <c r="N7147" s="7"/>
      <c r="P7147" s="7"/>
      <c r="R7147" s="7"/>
      <c r="T7147" s="7"/>
      <c r="V7147" s="7"/>
      <c r="X7147" s="7"/>
    </row>
    <row r="7148" spans="2:24">
      <c r="B7148" s="7"/>
      <c r="D7148" s="7"/>
      <c r="F7148" s="7"/>
      <c r="H7148" s="7"/>
      <c r="J7148" s="7"/>
      <c r="L7148" s="7"/>
      <c r="N7148" s="7"/>
      <c r="P7148" s="7"/>
      <c r="R7148" s="7"/>
      <c r="T7148" s="7"/>
      <c r="V7148" s="7"/>
      <c r="X7148" s="7"/>
    </row>
    <row r="7149" spans="2:24">
      <c r="B7149" s="7"/>
      <c r="D7149" s="7"/>
      <c r="F7149" s="7"/>
      <c r="H7149" s="7"/>
      <c r="J7149" s="7"/>
      <c r="L7149" s="7"/>
      <c r="N7149" s="7"/>
      <c r="P7149" s="7"/>
      <c r="R7149" s="7"/>
      <c r="T7149" s="7"/>
      <c r="V7149" s="7"/>
      <c r="X7149" s="7"/>
    </row>
    <row r="7150" spans="2:24">
      <c r="B7150" s="7"/>
      <c r="D7150" s="7"/>
      <c r="F7150" s="7"/>
      <c r="H7150" s="7"/>
      <c r="J7150" s="7"/>
      <c r="L7150" s="7"/>
      <c r="N7150" s="7"/>
      <c r="P7150" s="7"/>
      <c r="R7150" s="7"/>
      <c r="T7150" s="7"/>
      <c r="V7150" s="7"/>
      <c r="X7150" s="7"/>
    </row>
    <row r="7151" spans="2:24">
      <c r="B7151" s="7"/>
      <c r="D7151" s="7"/>
      <c r="F7151" s="7"/>
      <c r="H7151" s="7"/>
      <c r="J7151" s="7"/>
      <c r="L7151" s="7"/>
      <c r="N7151" s="7"/>
      <c r="P7151" s="7"/>
      <c r="R7151" s="7"/>
      <c r="T7151" s="7"/>
      <c r="V7151" s="7"/>
      <c r="X7151" s="7"/>
    </row>
    <row r="7152" spans="2:24">
      <c r="B7152" s="7"/>
      <c r="D7152" s="7"/>
      <c r="F7152" s="7"/>
      <c r="H7152" s="7"/>
      <c r="J7152" s="7"/>
      <c r="L7152" s="7"/>
      <c r="N7152" s="7"/>
      <c r="P7152" s="7"/>
      <c r="R7152" s="7"/>
      <c r="T7152" s="7"/>
      <c r="V7152" s="7"/>
      <c r="X7152" s="7"/>
    </row>
    <row r="7153" spans="2:24">
      <c r="B7153" s="7"/>
      <c r="D7153" s="7"/>
      <c r="F7153" s="7"/>
      <c r="H7153" s="7"/>
      <c r="J7153" s="7"/>
      <c r="L7153" s="7"/>
      <c r="N7153" s="7"/>
      <c r="P7153" s="7"/>
      <c r="R7153" s="7"/>
      <c r="T7153" s="7"/>
      <c r="V7153" s="7"/>
      <c r="X7153" s="7"/>
    </row>
    <row r="7154" spans="2:24">
      <c r="B7154" s="7"/>
      <c r="D7154" s="7"/>
      <c r="F7154" s="7"/>
      <c r="H7154" s="7"/>
      <c r="J7154" s="7"/>
      <c r="L7154" s="7"/>
      <c r="N7154" s="7"/>
      <c r="P7154" s="7"/>
      <c r="R7154" s="7"/>
      <c r="T7154" s="7"/>
      <c r="V7154" s="7"/>
      <c r="X7154" s="7"/>
    </row>
    <row r="7155" spans="2:24">
      <c r="B7155" s="7"/>
      <c r="D7155" s="7"/>
      <c r="F7155" s="7"/>
      <c r="H7155" s="7"/>
      <c r="J7155" s="7"/>
      <c r="L7155" s="7"/>
      <c r="N7155" s="7"/>
      <c r="P7155" s="7"/>
      <c r="R7155" s="7"/>
      <c r="T7155" s="7"/>
      <c r="V7155" s="7"/>
      <c r="X7155" s="7"/>
    </row>
    <row r="7156" spans="2:24">
      <c r="B7156" s="7"/>
      <c r="D7156" s="7"/>
      <c r="F7156" s="7"/>
      <c r="H7156" s="7"/>
      <c r="J7156" s="7"/>
      <c r="L7156" s="7"/>
      <c r="N7156" s="7"/>
      <c r="P7156" s="7"/>
      <c r="R7156" s="7"/>
      <c r="T7156" s="7"/>
      <c r="V7156" s="7"/>
      <c r="X7156" s="7"/>
    </row>
    <row r="7157" spans="2:24">
      <c r="B7157" s="7"/>
      <c r="D7157" s="7"/>
      <c r="F7157" s="7"/>
      <c r="H7157" s="7"/>
      <c r="J7157" s="7"/>
      <c r="L7157" s="7"/>
      <c r="N7157" s="7"/>
      <c r="P7157" s="7"/>
      <c r="R7157" s="7"/>
      <c r="T7157" s="7"/>
      <c r="V7157" s="7"/>
      <c r="X7157" s="7"/>
    </row>
    <row r="7158" spans="2:24">
      <c r="B7158" s="7"/>
      <c r="D7158" s="7"/>
      <c r="F7158" s="7"/>
      <c r="H7158" s="7"/>
      <c r="J7158" s="7"/>
      <c r="L7158" s="7"/>
      <c r="N7158" s="7"/>
      <c r="P7158" s="7"/>
      <c r="R7158" s="7"/>
      <c r="T7158" s="7"/>
      <c r="V7158" s="7"/>
      <c r="X7158" s="7"/>
    </row>
    <row r="7159" spans="2:24">
      <c r="B7159" s="7"/>
      <c r="D7159" s="7"/>
      <c r="F7159" s="7"/>
      <c r="H7159" s="7"/>
      <c r="J7159" s="7"/>
      <c r="L7159" s="7"/>
      <c r="N7159" s="7"/>
      <c r="P7159" s="7"/>
      <c r="R7159" s="7"/>
      <c r="T7159" s="7"/>
      <c r="V7159" s="7"/>
      <c r="X7159" s="7"/>
    </row>
    <row r="7160" spans="2:24">
      <c r="B7160" s="7"/>
      <c r="D7160" s="7"/>
      <c r="F7160" s="7"/>
      <c r="H7160" s="7"/>
      <c r="J7160" s="7"/>
      <c r="L7160" s="7"/>
      <c r="N7160" s="7"/>
      <c r="P7160" s="7"/>
      <c r="R7160" s="7"/>
      <c r="T7160" s="7"/>
      <c r="V7160" s="7"/>
      <c r="X7160" s="7"/>
    </row>
    <row r="7161" spans="2:24">
      <c r="B7161" s="7"/>
      <c r="D7161" s="7"/>
      <c r="F7161" s="7"/>
      <c r="H7161" s="7"/>
      <c r="J7161" s="7"/>
      <c r="L7161" s="7"/>
      <c r="N7161" s="7"/>
      <c r="P7161" s="7"/>
      <c r="R7161" s="7"/>
      <c r="T7161" s="7"/>
      <c r="V7161" s="7"/>
      <c r="X7161" s="7"/>
    </row>
    <row r="7162" spans="2:24">
      <c r="B7162" s="7"/>
      <c r="D7162" s="7"/>
      <c r="F7162" s="7"/>
      <c r="H7162" s="7"/>
      <c r="J7162" s="7"/>
      <c r="L7162" s="7"/>
      <c r="N7162" s="7"/>
      <c r="P7162" s="7"/>
      <c r="R7162" s="7"/>
      <c r="T7162" s="7"/>
      <c r="V7162" s="7"/>
      <c r="X7162" s="7"/>
    </row>
    <row r="7163" spans="2:24">
      <c r="B7163" s="7"/>
      <c r="D7163" s="7"/>
      <c r="F7163" s="7"/>
      <c r="H7163" s="7"/>
      <c r="J7163" s="7"/>
      <c r="L7163" s="7"/>
      <c r="N7163" s="7"/>
      <c r="P7163" s="7"/>
      <c r="R7163" s="7"/>
      <c r="T7163" s="7"/>
      <c r="V7163" s="7"/>
      <c r="X7163" s="7"/>
    </row>
    <row r="7164" spans="2:24">
      <c r="B7164" s="7"/>
      <c r="D7164" s="7"/>
      <c r="F7164" s="7"/>
      <c r="H7164" s="7"/>
      <c r="J7164" s="7"/>
      <c r="L7164" s="7"/>
      <c r="N7164" s="7"/>
      <c r="P7164" s="7"/>
      <c r="R7164" s="7"/>
      <c r="T7164" s="7"/>
      <c r="V7164" s="7"/>
      <c r="X7164" s="7"/>
    </row>
    <row r="7165" spans="2:24">
      <c r="B7165" s="7"/>
      <c r="D7165" s="7"/>
      <c r="F7165" s="7"/>
      <c r="H7165" s="7"/>
      <c r="J7165" s="7"/>
      <c r="L7165" s="7"/>
      <c r="N7165" s="7"/>
      <c r="P7165" s="7"/>
      <c r="R7165" s="7"/>
      <c r="T7165" s="7"/>
      <c r="V7165" s="7"/>
      <c r="X7165" s="7"/>
    </row>
    <row r="7166" spans="2:24">
      <c r="B7166" s="7"/>
      <c r="D7166" s="7"/>
      <c r="F7166" s="7"/>
      <c r="H7166" s="7"/>
      <c r="J7166" s="7"/>
      <c r="L7166" s="7"/>
      <c r="N7166" s="7"/>
      <c r="P7166" s="7"/>
      <c r="R7166" s="7"/>
      <c r="T7166" s="7"/>
      <c r="V7166" s="7"/>
      <c r="X7166" s="7"/>
    </row>
    <row r="7167" spans="2:24">
      <c r="B7167" s="7"/>
      <c r="D7167" s="7"/>
      <c r="F7167" s="7"/>
      <c r="H7167" s="7"/>
      <c r="J7167" s="7"/>
      <c r="L7167" s="7"/>
      <c r="N7167" s="7"/>
      <c r="P7167" s="7"/>
      <c r="R7167" s="7"/>
      <c r="T7167" s="7"/>
      <c r="V7167" s="7"/>
      <c r="X7167" s="7"/>
    </row>
    <row r="7168" spans="2:24">
      <c r="B7168" s="7"/>
      <c r="D7168" s="7"/>
      <c r="F7168" s="7"/>
      <c r="H7168" s="7"/>
      <c r="J7168" s="7"/>
      <c r="L7168" s="7"/>
      <c r="N7168" s="7"/>
      <c r="P7168" s="7"/>
      <c r="R7168" s="7"/>
      <c r="T7168" s="7"/>
      <c r="V7168" s="7"/>
      <c r="X7168" s="7"/>
    </row>
    <row r="7169" spans="2:24">
      <c r="B7169" s="7"/>
      <c r="D7169" s="7"/>
      <c r="F7169" s="7"/>
      <c r="H7169" s="7"/>
      <c r="J7169" s="7"/>
      <c r="L7169" s="7"/>
      <c r="N7169" s="7"/>
      <c r="P7169" s="7"/>
      <c r="R7169" s="7"/>
      <c r="T7169" s="7"/>
      <c r="V7169" s="7"/>
      <c r="X7169" s="7"/>
    </row>
    <row r="7170" spans="2:24">
      <c r="B7170" s="7"/>
      <c r="D7170" s="7"/>
      <c r="F7170" s="7"/>
      <c r="H7170" s="7"/>
      <c r="J7170" s="7"/>
      <c r="L7170" s="7"/>
      <c r="N7170" s="7"/>
      <c r="P7170" s="7"/>
      <c r="R7170" s="7"/>
      <c r="T7170" s="7"/>
      <c r="V7170" s="7"/>
      <c r="X7170" s="7"/>
    </row>
    <row r="7171" spans="2:24">
      <c r="B7171" s="7"/>
      <c r="D7171" s="7"/>
      <c r="F7171" s="7"/>
      <c r="H7171" s="7"/>
      <c r="J7171" s="7"/>
      <c r="L7171" s="7"/>
      <c r="N7171" s="7"/>
      <c r="P7171" s="7"/>
      <c r="R7171" s="7"/>
      <c r="T7171" s="7"/>
      <c r="V7171" s="7"/>
      <c r="X7171" s="7"/>
    </row>
    <row r="7172" spans="2:24">
      <c r="B7172" s="7"/>
      <c r="D7172" s="7"/>
      <c r="F7172" s="7"/>
      <c r="H7172" s="7"/>
      <c r="J7172" s="7"/>
      <c r="L7172" s="7"/>
      <c r="N7172" s="7"/>
      <c r="P7172" s="7"/>
      <c r="R7172" s="7"/>
      <c r="T7172" s="7"/>
      <c r="V7172" s="7"/>
      <c r="X7172" s="7"/>
    </row>
    <row r="7173" spans="2:24">
      <c r="B7173" s="7"/>
      <c r="D7173" s="7"/>
      <c r="F7173" s="7"/>
      <c r="H7173" s="7"/>
      <c r="J7173" s="7"/>
      <c r="L7173" s="7"/>
      <c r="N7173" s="7"/>
      <c r="P7173" s="7"/>
      <c r="R7173" s="7"/>
      <c r="T7173" s="7"/>
      <c r="V7173" s="7"/>
      <c r="X7173" s="7"/>
    </row>
    <row r="7174" spans="2:24">
      <c r="B7174" s="7"/>
      <c r="D7174" s="7"/>
      <c r="F7174" s="7"/>
      <c r="H7174" s="7"/>
      <c r="J7174" s="7"/>
      <c r="L7174" s="7"/>
      <c r="N7174" s="7"/>
      <c r="P7174" s="7"/>
      <c r="R7174" s="7"/>
      <c r="T7174" s="7"/>
      <c r="V7174" s="7"/>
      <c r="X7174" s="7"/>
    </row>
    <row r="7175" spans="2:24">
      <c r="B7175" s="7"/>
      <c r="D7175" s="7"/>
      <c r="F7175" s="7"/>
      <c r="H7175" s="7"/>
      <c r="J7175" s="7"/>
      <c r="L7175" s="7"/>
      <c r="N7175" s="7"/>
      <c r="P7175" s="7"/>
      <c r="R7175" s="7"/>
      <c r="T7175" s="7"/>
      <c r="V7175" s="7"/>
      <c r="X7175" s="7"/>
    </row>
    <row r="7176" spans="2:24">
      <c r="B7176" s="7"/>
      <c r="D7176" s="7"/>
      <c r="F7176" s="7"/>
      <c r="H7176" s="7"/>
      <c r="J7176" s="7"/>
      <c r="L7176" s="7"/>
      <c r="N7176" s="7"/>
      <c r="P7176" s="7"/>
      <c r="R7176" s="7"/>
      <c r="T7176" s="7"/>
      <c r="V7176" s="7"/>
      <c r="X7176" s="7"/>
    </row>
    <row r="7177" spans="2:24">
      <c r="B7177" s="7"/>
      <c r="D7177" s="7"/>
      <c r="F7177" s="7"/>
      <c r="H7177" s="7"/>
      <c r="J7177" s="7"/>
      <c r="L7177" s="7"/>
      <c r="N7177" s="7"/>
      <c r="P7177" s="7"/>
      <c r="R7177" s="7"/>
      <c r="T7177" s="7"/>
      <c r="V7177" s="7"/>
      <c r="X7177" s="7"/>
    </row>
    <row r="7178" spans="2:24">
      <c r="B7178" s="7"/>
      <c r="D7178" s="7"/>
      <c r="F7178" s="7"/>
      <c r="H7178" s="7"/>
      <c r="J7178" s="7"/>
      <c r="L7178" s="7"/>
      <c r="N7178" s="7"/>
      <c r="P7178" s="7"/>
      <c r="R7178" s="7"/>
      <c r="T7178" s="7"/>
      <c r="V7178" s="7"/>
      <c r="X7178" s="7"/>
    </row>
    <row r="7179" spans="2:24">
      <c r="B7179" s="7"/>
      <c r="D7179" s="7"/>
      <c r="F7179" s="7"/>
      <c r="H7179" s="7"/>
      <c r="J7179" s="7"/>
      <c r="L7179" s="7"/>
      <c r="N7179" s="7"/>
      <c r="P7179" s="7"/>
      <c r="R7179" s="7"/>
      <c r="T7179" s="7"/>
      <c r="V7179" s="7"/>
      <c r="X7179" s="7"/>
    </row>
    <row r="7180" spans="2:24">
      <c r="B7180" s="7"/>
      <c r="D7180" s="7"/>
      <c r="F7180" s="7"/>
      <c r="H7180" s="7"/>
      <c r="J7180" s="7"/>
      <c r="L7180" s="7"/>
      <c r="N7180" s="7"/>
      <c r="P7180" s="7"/>
      <c r="R7180" s="7"/>
      <c r="T7180" s="7"/>
      <c r="V7180" s="7"/>
      <c r="X7180" s="7"/>
    </row>
    <row r="7181" spans="2:24">
      <c r="B7181" s="7"/>
      <c r="D7181" s="7"/>
      <c r="F7181" s="7"/>
      <c r="H7181" s="7"/>
      <c r="J7181" s="7"/>
      <c r="L7181" s="7"/>
      <c r="N7181" s="7"/>
      <c r="P7181" s="7"/>
      <c r="R7181" s="7"/>
      <c r="T7181" s="7"/>
      <c r="V7181" s="7"/>
      <c r="X7181" s="7"/>
    </row>
    <row r="7182" spans="2:24">
      <c r="B7182" s="7"/>
      <c r="D7182" s="7"/>
      <c r="F7182" s="7"/>
      <c r="H7182" s="7"/>
      <c r="J7182" s="7"/>
      <c r="L7182" s="7"/>
      <c r="N7182" s="7"/>
      <c r="P7182" s="7"/>
      <c r="R7182" s="7"/>
      <c r="T7182" s="7"/>
      <c r="V7182" s="7"/>
      <c r="X7182" s="7"/>
    </row>
    <row r="7183" spans="2:24">
      <c r="B7183" s="7"/>
      <c r="D7183" s="7"/>
      <c r="F7183" s="7"/>
      <c r="H7183" s="7"/>
      <c r="J7183" s="7"/>
      <c r="L7183" s="7"/>
      <c r="N7183" s="7"/>
      <c r="P7183" s="7"/>
      <c r="R7183" s="7"/>
      <c r="T7183" s="7"/>
      <c r="V7183" s="7"/>
      <c r="X7183" s="7"/>
    </row>
    <row r="7184" spans="2:24">
      <c r="B7184" s="7"/>
      <c r="D7184" s="7"/>
      <c r="F7184" s="7"/>
      <c r="H7184" s="7"/>
      <c r="J7184" s="7"/>
      <c r="L7184" s="7"/>
      <c r="N7184" s="7"/>
      <c r="P7184" s="7"/>
      <c r="R7184" s="7"/>
      <c r="T7184" s="7"/>
      <c r="V7184" s="7"/>
      <c r="X7184" s="7"/>
    </row>
    <row r="7185" spans="2:24">
      <c r="B7185" s="7"/>
      <c r="D7185" s="7"/>
      <c r="F7185" s="7"/>
      <c r="H7185" s="7"/>
      <c r="J7185" s="7"/>
      <c r="L7185" s="7"/>
      <c r="N7185" s="7"/>
      <c r="P7185" s="7"/>
      <c r="R7185" s="7"/>
      <c r="T7185" s="7"/>
      <c r="V7185" s="7"/>
      <c r="X7185" s="7"/>
    </row>
    <row r="7186" spans="2:24">
      <c r="B7186" s="7"/>
      <c r="D7186" s="7"/>
      <c r="F7186" s="7"/>
      <c r="H7186" s="7"/>
      <c r="J7186" s="7"/>
      <c r="L7186" s="7"/>
      <c r="N7186" s="7"/>
      <c r="P7186" s="7"/>
      <c r="R7186" s="7"/>
      <c r="T7186" s="7"/>
      <c r="V7186" s="7"/>
      <c r="X7186" s="7"/>
    </row>
    <row r="7187" spans="2:24">
      <c r="B7187" s="7"/>
      <c r="D7187" s="7"/>
      <c r="F7187" s="7"/>
      <c r="H7187" s="7"/>
      <c r="J7187" s="7"/>
      <c r="L7187" s="7"/>
      <c r="N7187" s="7"/>
      <c r="P7187" s="7"/>
      <c r="R7187" s="7"/>
      <c r="T7187" s="7"/>
      <c r="V7187" s="7"/>
      <c r="X7187" s="7"/>
    </row>
    <row r="7188" spans="2:24">
      <c r="B7188" s="7"/>
      <c r="D7188" s="7"/>
      <c r="F7188" s="7"/>
      <c r="H7188" s="7"/>
      <c r="J7188" s="7"/>
      <c r="L7188" s="7"/>
      <c r="N7188" s="7"/>
      <c r="P7188" s="7"/>
      <c r="R7188" s="7"/>
      <c r="T7188" s="7"/>
      <c r="V7188" s="7"/>
      <c r="X7188" s="7"/>
    </row>
    <row r="7189" spans="2:24">
      <c r="B7189" s="7"/>
      <c r="D7189" s="7"/>
      <c r="F7189" s="7"/>
      <c r="H7189" s="7"/>
      <c r="J7189" s="7"/>
      <c r="L7189" s="7"/>
      <c r="N7189" s="7"/>
      <c r="P7189" s="7"/>
      <c r="R7189" s="7"/>
      <c r="T7189" s="7"/>
      <c r="V7189" s="7"/>
      <c r="X7189" s="7"/>
    </row>
    <row r="7190" spans="2:24">
      <c r="B7190" s="7"/>
      <c r="D7190" s="7"/>
      <c r="F7190" s="7"/>
      <c r="H7190" s="7"/>
      <c r="J7190" s="7"/>
      <c r="L7190" s="7"/>
      <c r="N7190" s="7"/>
      <c r="P7190" s="7"/>
      <c r="R7190" s="7"/>
      <c r="T7190" s="7"/>
      <c r="V7190" s="7"/>
      <c r="X7190" s="7"/>
    </row>
    <row r="7191" spans="2:24">
      <c r="B7191" s="7"/>
      <c r="D7191" s="7"/>
      <c r="F7191" s="7"/>
      <c r="H7191" s="7"/>
      <c r="J7191" s="7"/>
      <c r="L7191" s="7"/>
      <c r="N7191" s="7"/>
      <c r="P7191" s="7"/>
      <c r="R7191" s="7"/>
      <c r="T7191" s="7"/>
      <c r="V7191" s="7"/>
      <c r="X7191" s="7"/>
    </row>
    <row r="7192" spans="2:24">
      <c r="B7192" s="7"/>
      <c r="D7192" s="7"/>
      <c r="F7192" s="7"/>
      <c r="H7192" s="7"/>
      <c r="J7192" s="7"/>
      <c r="L7192" s="7"/>
      <c r="N7192" s="7"/>
      <c r="P7192" s="7"/>
      <c r="R7192" s="7"/>
      <c r="T7192" s="7"/>
      <c r="V7192" s="7"/>
      <c r="X7192" s="7"/>
    </row>
    <row r="7193" spans="2:24">
      <c r="B7193" s="7"/>
      <c r="D7193" s="7"/>
      <c r="F7193" s="7"/>
      <c r="H7193" s="7"/>
      <c r="J7193" s="7"/>
      <c r="L7193" s="7"/>
      <c r="N7193" s="7"/>
      <c r="P7193" s="7"/>
      <c r="R7193" s="7"/>
      <c r="T7193" s="7"/>
      <c r="V7193" s="7"/>
      <c r="X7193" s="7"/>
    </row>
    <row r="7194" spans="2:24">
      <c r="B7194" s="7"/>
      <c r="D7194" s="7"/>
      <c r="F7194" s="7"/>
      <c r="H7194" s="7"/>
      <c r="J7194" s="7"/>
      <c r="L7194" s="7"/>
      <c r="N7194" s="7"/>
      <c r="P7194" s="7"/>
      <c r="R7194" s="7"/>
      <c r="T7194" s="7"/>
      <c r="V7194" s="7"/>
      <c r="X7194" s="7"/>
    </row>
    <row r="7195" spans="2:24">
      <c r="B7195" s="7"/>
      <c r="D7195" s="7"/>
      <c r="F7195" s="7"/>
      <c r="H7195" s="7"/>
      <c r="J7195" s="7"/>
      <c r="L7195" s="7"/>
      <c r="N7195" s="7"/>
      <c r="P7195" s="7"/>
      <c r="R7195" s="7"/>
      <c r="T7195" s="7"/>
      <c r="V7195" s="7"/>
      <c r="X7195" s="7"/>
    </row>
    <row r="7196" spans="2:24">
      <c r="B7196" s="7"/>
      <c r="D7196" s="7"/>
      <c r="F7196" s="7"/>
      <c r="H7196" s="7"/>
      <c r="J7196" s="7"/>
      <c r="L7196" s="7"/>
      <c r="N7196" s="7"/>
      <c r="P7196" s="7"/>
      <c r="R7196" s="7"/>
      <c r="T7196" s="7"/>
      <c r="V7196" s="7"/>
      <c r="X7196" s="7"/>
    </row>
    <row r="7197" spans="2:24">
      <c r="B7197" s="7"/>
      <c r="D7197" s="7"/>
      <c r="F7197" s="7"/>
      <c r="H7197" s="7"/>
      <c r="J7197" s="7"/>
      <c r="L7197" s="7"/>
      <c r="N7197" s="7"/>
      <c r="P7197" s="7"/>
      <c r="R7197" s="7"/>
      <c r="T7197" s="7"/>
      <c r="V7197" s="7"/>
      <c r="X7197" s="7"/>
    </row>
    <row r="7198" spans="2:24">
      <c r="B7198" s="7"/>
      <c r="D7198" s="7"/>
      <c r="F7198" s="7"/>
      <c r="H7198" s="7"/>
      <c r="J7198" s="7"/>
      <c r="L7198" s="7"/>
      <c r="N7198" s="7"/>
      <c r="P7198" s="7"/>
      <c r="R7198" s="7"/>
      <c r="T7198" s="7"/>
      <c r="V7198" s="7"/>
      <c r="X7198" s="7"/>
    </row>
    <row r="7199" spans="2:24">
      <c r="B7199" s="7"/>
      <c r="D7199" s="7"/>
      <c r="F7199" s="7"/>
      <c r="H7199" s="7"/>
      <c r="J7199" s="7"/>
      <c r="L7199" s="7"/>
      <c r="N7199" s="7"/>
      <c r="P7199" s="7"/>
      <c r="R7199" s="7"/>
      <c r="T7199" s="7"/>
      <c r="V7199" s="7"/>
      <c r="X7199" s="7"/>
    </row>
    <row r="7200" spans="2:24">
      <c r="B7200" s="7"/>
      <c r="D7200" s="7"/>
      <c r="F7200" s="7"/>
      <c r="H7200" s="7"/>
      <c r="J7200" s="7"/>
      <c r="L7200" s="7"/>
      <c r="N7200" s="7"/>
      <c r="P7200" s="7"/>
      <c r="R7200" s="7"/>
      <c r="T7200" s="7"/>
      <c r="V7200" s="7"/>
      <c r="X7200" s="7"/>
    </row>
    <row r="7201" spans="2:24">
      <c r="B7201" s="7"/>
      <c r="D7201" s="7"/>
      <c r="F7201" s="7"/>
      <c r="H7201" s="7"/>
      <c r="J7201" s="7"/>
      <c r="L7201" s="7"/>
      <c r="N7201" s="7"/>
      <c r="P7201" s="7"/>
      <c r="R7201" s="7"/>
      <c r="T7201" s="7"/>
      <c r="V7201" s="7"/>
      <c r="X7201" s="7"/>
    </row>
    <row r="7202" spans="2:24">
      <c r="B7202" s="7"/>
      <c r="D7202" s="7"/>
      <c r="F7202" s="7"/>
      <c r="H7202" s="7"/>
      <c r="J7202" s="7"/>
      <c r="L7202" s="7"/>
      <c r="N7202" s="7"/>
      <c r="P7202" s="7"/>
      <c r="R7202" s="7"/>
      <c r="T7202" s="7"/>
      <c r="V7202" s="7"/>
      <c r="X7202" s="7"/>
    </row>
    <row r="7203" spans="2:24">
      <c r="B7203" s="7"/>
      <c r="D7203" s="7"/>
      <c r="F7203" s="7"/>
      <c r="H7203" s="7"/>
      <c r="J7203" s="7"/>
      <c r="L7203" s="7"/>
      <c r="N7203" s="7"/>
      <c r="P7203" s="7"/>
      <c r="R7203" s="7"/>
      <c r="T7203" s="7"/>
      <c r="V7203" s="7"/>
      <c r="X7203" s="7"/>
    </row>
    <row r="7204" spans="2:24">
      <c r="B7204" s="7"/>
      <c r="D7204" s="7"/>
      <c r="F7204" s="7"/>
      <c r="H7204" s="7"/>
      <c r="J7204" s="7"/>
      <c r="L7204" s="7"/>
      <c r="N7204" s="7"/>
      <c r="P7204" s="7"/>
      <c r="R7204" s="7"/>
      <c r="T7204" s="7"/>
      <c r="V7204" s="7"/>
      <c r="X7204" s="7"/>
    </row>
    <row r="7205" spans="2:24">
      <c r="B7205" s="7"/>
      <c r="D7205" s="7"/>
      <c r="F7205" s="7"/>
      <c r="H7205" s="7"/>
      <c r="J7205" s="7"/>
      <c r="L7205" s="7"/>
      <c r="N7205" s="7"/>
      <c r="P7205" s="7"/>
      <c r="R7205" s="7"/>
      <c r="T7205" s="7"/>
      <c r="V7205" s="7"/>
      <c r="X7205" s="7"/>
    </row>
    <row r="7206" spans="2:24">
      <c r="B7206" s="7"/>
      <c r="D7206" s="7"/>
      <c r="F7206" s="7"/>
      <c r="H7206" s="7"/>
      <c r="J7206" s="7"/>
      <c r="L7206" s="7"/>
      <c r="N7206" s="7"/>
      <c r="P7206" s="7"/>
      <c r="R7206" s="7"/>
      <c r="T7206" s="7"/>
      <c r="V7206" s="7"/>
      <c r="X7206" s="7"/>
    </row>
    <row r="7207" spans="2:24">
      <c r="B7207" s="7"/>
      <c r="D7207" s="7"/>
      <c r="F7207" s="7"/>
      <c r="H7207" s="7"/>
      <c r="J7207" s="7"/>
      <c r="L7207" s="7"/>
      <c r="N7207" s="7"/>
      <c r="P7207" s="7"/>
      <c r="R7207" s="7"/>
      <c r="T7207" s="7"/>
      <c r="V7207" s="7"/>
      <c r="X7207" s="7"/>
    </row>
    <row r="7208" spans="2:24">
      <c r="B7208" s="7"/>
      <c r="D7208" s="7"/>
      <c r="F7208" s="7"/>
      <c r="H7208" s="7"/>
      <c r="J7208" s="7"/>
      <c r="L7208" s="7"/>
      <c r="N7208" s="7"/>
      <c r="P7208" s="7"/>
      <c r="R7208" s="7"/>
      <c r="T7208" s="7"/>
      <c r="V7208" s="7"/>
      <c r="X7208" s="7"/>
    </row>
    <row r="7209" spans="2:24">
      <c r="B7209" s="7"/>
      <c r="D7209" s="7"/>
      <c r="F7209" s="7"/>
      <c r="H7209" s="7"/>
      <c r="J7209" s="7"/>
      <c r="L7209" s="7"/>
      <c r="N7209" s="7"/>
      <c r="P7209" s="7"/>
      <c r="R7209" s="7"/>
      <c r="T7209" s="7"/>
      <c r="V7209" s="7"/>
      <c r="X7209" s="7"/>
    </row>
    <row r="7210" spans="2:24">
      <c r="B7210" s="7"/>
      <c r="D7210" s="7"/>
      <c r="F7210" s="7"/>
      <c r="H7210" s="7"/>
      <c r="J7210" s="7"/>
      <c r="L7210" s="7"/>
      <c r="N7210" s="7"/>
      <c r="P7210" s="7"/>
      <c r="R7210" s="7"/>
      <c r="T7210" s="7"/>
      <c r="V7210" s="7"/>
      <c r="X7210" s="7"/>
    </row>
    <row r="7211" spans="2:24">
      <c r="B7211" s="7"/>
      <c r="D7211" s="7"/>
      <c r="F7211" s="7"/>
      <c r="H7211" s="7"/>
      <c r="J7211" s="7"/>
      <c r="L7211" s="7"/>
      <c r="N7211" s="7"/>
      <c r="P7211" s="7"/>
      <c r="R7211" s="7"/>
      <c r="T7211" s="7"/>
      <c r="V7211" s="7"/>
      <c r="X7211" s="7"/>
    </row>
    <row r="7212" spans="2:24">
      <c r="B7212" s="7"/>
      <c r="D7212" s="7"/>
      <c r="F7212" s="7"/>
      <c r="H7212" s="7"/>
      <c r="J7212" s="7"/>
      <c r="L7212" s="7"/>
      <c r="N7212" s="7"/>
      <c r="P7212" s="7"/>
      <c r="R7212" s="7"/>
      <c r="T7212" s="7"/>
      <c r="V7212" s="7"/>
      <c r="X7212" s="7"/>
    </row>
    <row r="7213" spans="2:24">
      <c r="B7213" s="7"/>
      <c r="D7213" s="7"/>
      <c r="F7213" s="7"/>
      <c r="H7213" s="7"/>
      <c r="J7213" s="7"/>
      <c r="L7213" s="7"/>
      <c r="N7213" s="7"/>
      <c r="P7213" s="7"/>
      <c r="R7213" s="7"/>
      <c r="T7213" s="7"/>
      <c r="V7213" s="7"/>
      <c r="X7213" s="7"/>
    </row>
    <row r="7214" spans="2:24">
      <c r="B7214" s="7"/>
      <c r="D7214" s="7"/>
      <c r="F7214" s="7"/>
      <c r="H7214" s="7"/>
      <c r="J7214" s="7"/>
      <c r="L7214" s="7"/>
      <c r="N7214" s="7"/>
      <c r="P7214" s="7"/>
      <c r="R7214" s="7"/>
      <c r="T7214" s="7"/>
      <c r="V7214" s="7"/>
      <c r="X7214" s="7"/>
    </row>
    <row r="7215" spans="2:24">
      <c r="B7215" s="7"/>
      <c r="D7215" s="7"/>
      <c r="F7215" s="7"/>
      <c r="H7215" s="7"/>
      <c r="J7215" s="7"/>
      <c r="L7215" s="7"/>
      <c r="N7215" s="7"/>
      <c r="P7215" s="7"/>
      <c r="R7215" s="7"/>
      <c r="T7215" s="7"/>
      <c r="V7215" s="7"/>
      <c r="X7215" s="7"/>
    </row>
    <row r="7216" spans="2:24">
      <c r="B7216" s="7"/>
      <c r="D7216" s="7"/>
      <c r="F7216" s="7"/>
      <c r="H7216" s="7"/>
      <c r="J7216" s="7"/>
      <c r="L7216" s="7"/>
      <c r="N7216" s="7"/>
      <c r="P7216" s="7"/>
      <c r="R7216" s="7"/>
      <c r="T7216" s="7"/>
      <c r="V7216" s="7"/>
      <c r="X7216" s="7"/>
    </row>
    <row r="7217" spans="2:24">
      <c r="B7217" s="7"/>
      <c r="D7217" s="7"/>
      <c r="F7217" s="7"/>
      <c r="H7217" s="7"/>
      <c r="J7217" s="7"/>
      <c r="L7217" s="7"/>
      <c r="N7217" s="7"/>
      <c r="P7217" s="7"/>
      <c r="R7217" s="7"/>
      <c r="T7217" s="7"/>
      <c r="V7217" s="7"/>
      <c r="X7217" s="7"/>
    </row>
    <row r="7218" spans="2:24">
      <c r="B7218" s="7"/>
      <c r="D7218" s="7"/>
      <c r="F7218" s="7"/>
      <c r="H7218" s="7"/>
      <c r="J7218" s="7"/>
      <c r="L7218" s="7"/>
      <c r="N7218" s="7"/>
      <c r="P7218" s="7"/>
      <c r="R7218" s="7"/>
      <c r="T7218" s="7"/>
      <c r="V7218" s="7"/>
      <c r="X7218" s="7"/>
    </row>
    <row r="7219" spans="2:24">
      <c r="B7219" s="7"/>
      <c r="D7219" s="7"/>
      <c r="F7219" s="7"/>
      <c r="H7219" s="7"/>
      <c r="J7219" s="7"/>
      <c r="L7219" s="7"/>
      <c r="N7219" s="7"/>
      <c r="P7219" s="7"/>
      <c r="R7219" s="7"/>
      <c r="T7219" s="7"/>
      <c r="V7219" s="7"/>
      <c r="X7219" s="7"/>
    </row>
    <row r="7220" spans="2:24">
      <c r="B7220" s="7"/>
      <c r="D7220" s="7"/>
      <c r="F7220" s="7"/>
      <c r="H7220" s="7"/>
      <c r="J7220" s="7"/>
      <c r="L7220" s="7"/>
      <c r="N7220" s="7"/>
      <c r="P7220" s="7"/>
      <c r="R7220" s="7"/>
      <c r="T7220" s="7"/>
      <c r="V7220" s="7"/>
      <c r="X7220" s="7"/>
    </row>
    <row r="7221" spans="2:24">
      <c r="B7221" s="7"/>
      <c r="D7221" s="7"/>
      <c r="F7221" s="7"/>
      <c r="H7221" s="7"/>
      <c r="J7221" s="7"/>
      <c r="L7221" s="7"/>
      <c r="N7221" s="7"/>
      <c r="P7221" s="7"/>
      <c r="R7221" s="7"/>
      <c r="T7221" s="7"/>
      <c r="V7221" s="7"/>
      <c r="X7221" s="7"/>
    </row>
    <row r="7222" spans="2:24">
      <c r="B7222" s="7"/>
      <c r="D7222" s="7"/>
      <c r="F7222" s="7"/>
      <c r="H7222" s="7"/>
      <c r="J7222" s="7"/>
      <c r="L7222" s="7"/>
      <c r="N7222" s="7"/>
      <c r="P7222" s="7"/>
      <c r="R7222" s="7"/>
      <c r="T7222" s="7"/>
      <c r="V7222" s="7"/>
      <c r="X7222" s="7"/>
    </row>
    <row r="7223" spans="2:24">
      <c r="B7223" s="7"/>
      <c r="D7223" s="7"/>
      <c r="F7223" s="7"/>
      <c r="H7223" s="7"/>
      <c r="J7223" s="7"/>
      <c r="L7223" s="7"/>
      <c r="N7223" s="7"/>
      <c r="P7223" s="7"/>
      <c r="R7223" s="7"/>
      <c r="T7223" s="7"/>
      <c r="V7223" s="7"/>
      <c r="X7223" s="7"/>
    </row>
    <row r="7224" spans="2:24">
      <c r="B7224" s="7"/>
      <c r="D7224" s="7"/>
      <c r="F7224" s="7"/>
      <c r="H7224" s="7"/>
      <c r="J7224" s="7"/>
      <c r="L7224" s="7"/>
      <c r="N7224" s="7"/>
      <c r="P7224" s="7"/>
      <c r="R7224" s="7"/>
      <c r="T7224" s="7"/>
      <c r="V7224" s="7"/>
      <c r="X7224" s="7"/>
    </row>
    <row r="7225" spans="2:24">
      <c r="B7225" s="7"/>
      <c r="D7225" s="7"/>
      <c r="F7225" s="7"/>
      <c r="H7225" s="7"/>
      <c r="J7225" s="7"/>
      <c r="L7225" s="7"/>
      <c r="N7225" s="7"/>
      <c r="P7225" s="7"/>
      <c r="R7225" s="7"/>
      <c r="T7225" s="7"/>
      <c r="V7225" s="7"/>
      <c r="X7225" s="7"/>
    </row>
    <row r="7226" spans="2:24">
      <c r="B7226" s="7"/>
      <c r="D7226" s="7"/>
      <c r="F7226" s="7"/>
      <c r="H7226" s="7"/>
      <c r="J7226" s="7"/>
      <c r="L7226" s="7"/>
      <c r="N7226" s="7"/>
      <c r="P7226" s="7"/>
      <c r="R7226" s="7"/>
      <c r="T7226" s="7"/>
      <c r="V7226" s="7"/>
      <c r="X7226" s="7"/>
    </row>
    <row r="7227" spans="2:24">
      <c r="B7227" s="7"/>
      <c r="D7227" s="7"/>
      <c r="F7227" s="7"/>
      <c r="H7227" s="7"/>
      <c r="J7227" s="7"/>
      <c r="L7227" s="7"/>
      <c r="N7227" s="7"/>
      <c r="P7227" s="7"/>
      <c r="R7227" s="7"/>
      <c r="T7227" s="7"/>
      <c r="V7227" s="7"/>
      <c r="X7227" s="7"/>
    </row>
    <row r="7228" spans="2:24">
      <c r="B7228" s="7"/>
      <c r="D7228" s="7"/>
      <c r="F7228" s="7"/>
      <c r="H7228" s="7"/>
      <c r="J7228" s="7"/>
      <c r="L7228" s="7"/>
      <c r="N7228" s="7"/>
      <c r="P7228" s="7"/>
      <c r="R7228" s="7"/>
      <c r="T7228" s="7"/>
      <c r="V7228" s="7"/>
      <c r="X7228" s="7"/>
    </row>
    <row r="7229" spans="2:24">
      <c r="B7229" s="7"/>
      <c r="D7229" s="7"/>
      <c r="F7229" s="7"/>
      <c r="H7229" s="7"/>
      <c r="J7229" s="7"/>
      <c r="L7229" s="7"/>
      <c r="N7229" s="7"/>
      <c r="P7229" s="7"/>
      <c r="R7229" s="7"/>
      <c r="T7229" s="7"/>
      <c r="V7229" s="7"/>
      <c r="X7229" s="7"/>
    </row>
    <row r="7230" spans="2:24">
      <c r="B7230" s="7"/>
      <c r="D7230" s="7"/>
      <c r="F7230" s="7"/>
      <c r="H7230" s="7"/>
      <c r="J7230" s="7"/>
      <c r="L7230" s="7"/>
      <c r="N7230" s="7"/>
      <c r="P7230" s="7"/>
      <c r="R7230" s="7"/>
      <c r="T7230" s="7"/>
      <c r="V7230" s="7"/>
      <c r="X7230" s="7"/>
    </row>
    <row r="7231" spans="2:24">
      <c r="B7231" s="7"/>
      <c r="D7231" s="7"/>
      <c r="F7231" s="7"/>
      <c r="H7231" s="7"/>
      <c r="J7231" s="7"/>
      <c r="L7231" s="7"/>
      <c r="N7231" s="7"/>
      <c r="P7231" s="7"/>
      <c r="R7231" s="7"/>
      <c r="T7231" s="7"/>
      <c r="V7231" s="7"/>
      <c r="X7231" s="7"/>
    </row>
    <row r="7232" spans="2:24">
      <c r="B7232" s="7"/>
      <c r="D7232" s="7"/>
      <c r="F7232" s="7"/>
      <c r="H7232" s="7"/>
      <c r="J7232" s="7"/>
      <c r="L7232" s="7"/>
      <c r="N7232" s="7"/>
      <c r="P7232" s="7"/>
      <c r="R7232" s="7"/>
      <c r="T7232" s="7"/>
      <c r="V7232" s="7"/>
      <c r="X7232" s="7"/>
    </row>
    <row r="7233" spans="2:24">
      <c r="B7233" s="7"/>
      <c r="D7233" s="7"/>
      <c r="F7233" s="7"/>
      <c r="H7233" s="7"/>
      <c r="J7233" s="7"/>
      <c r="L7233" s="7"/>
      <c r="N7233" s="7"/>
      <c r="P7233" s="7"/>
      <c r="R7233" s="7"/>
      <c r="T7233" s="7"/>
      <c r="V7233" s="7"/>
      <c r="X7233" s="7"/>
    </row>
    <row r="7234" spans="2:24">
      <c r="B7234" s="7"/>
      <c r="D7234" s="7"/>
      <c r="F7234" s="7"/>
      <c r="H7234" s="7"/>
      <c r="J7234" s="7"/>
      <c r="L7234" s="7"/>
      <c r="N7234" s="7"/>
      <c r="P7234" s="7"/>
      <c r="R7234" s="7"/>
      <c r="T7234" s="7"/>
      <c r="V7234" s="7"/>
      <c r="X7234" s="7"/>
    </row>
    <row r="7235" spans="2:24">
      <c r="B7235" s="7"/>
      <c r="D7235" s="7"/>
      <c r="F7235" s="7"/>
      <c r="H7235" s="7"/>
      <c r="J7235" s="7"/>
      <c r="L7235" s="7"/>
      <c r="N7235" s="7"/>
      <c r="P7235" s="7"/>
      <c r="R7235" s="7"/>
      <c r="T7235" s="7"/>
      <c r="V7235" s="7"/>
      <c r="X7235" s="7"/>
    </row>
    <row r="7236" spans="2:24">
      <c r="B7236" s="7"/>
      <c r="D7236" s="7"/>
      <c r="F7236" s="7"/>
      <c r="H7236" s="7"/>
      <c r="J7236" s="7"/>
      <c r="L7236" s="7"/>
      <c r="N7236" s="7"/>
      <c r="P7236" s="7"/>
      <c r="R7236" s="7"/>
      <c r="T7236" s="7"/>
      <c r="V7236" s="7"/>
      <c r="X7236" s="7"/>
    </row>
    <row r="7237" spans="2:24">
      <c r="B7237" s="7"/>
      <c r="D7237" s="7"/>
      <c r="F7237" s="7"/>
      <c r="H7237" s="7"/>
      <c r="J7237" s="7"/>
      <c r="L7237" s="7"/>
      <c r="N7237" s="7"/>
      <c r="P7237" s="7"/>
      <c r="R7237" s="7"/>
      <c r="T7237" s="7"/>
      <c r="V7237" s="7"/>
      <c r="X7237" s="7"/>
    </row>
    <row r="7238" spans="2:24">
      <c r="B7238" s="7"/>
      <c r="D7238" s="7"/>
      <c r="F7238" s="7"/>
      <c r="H7238" s="7"/>
      <c r="J7238" s="7"/>
      <c r="L7238" s="7"/>
      <c r="N7238" s="7"/>
      <c r="P7238" s="7"/>
      <c r="R7238" s="7"/>
      <c r="T7238" s="7"/>
      <c r="V7238" s="7"/>
      <c r="X7238" s="7"/>
    </row>
    <row r="7239" spans="2:24">
      <c r="B7239" s="7"/>
      <c r="D7239" s="7"/>
      <c r="F7239" s="7"/>
      <c r="H7239" s="7"/>
      <c r="J7239" s="7"/>
      <c r="L7239" s="7"/>
      <c r="N7239" s="7"/>
      <c r="P7239" s="7"/>
      <c r="R7239" s="7"/>
      <c r="T7239" s="7"/>
      <c r="V7239" s="7"/>
      <c r="X7239" s="7"/>
    </row>
    <row r="7240" spans="2:24">
      <c r="B7240" s="7"/>
      <c r="D7240" s="7"/>
      <c r="F7240" s="7"/>
      <c r="H7240" s="7"/>
      <c r="J7240" s="7"/>
      <c r="L7240" s="7"/>
      <c r="N7240" s="7"/>
      <c r="P7240" s="7"/>
      <c r="R7240" s="7"/>
      <c r="T7240" s="7"/>
      <c r="V7240" s="7"/>
      <c r="X7240" s="7"/>
    </row>
    <row r="7241" spans="2:24">
      <c r="B7241" s="7"/>
      <c r="D7241" s="7"/>
      <c r="F7241" s="7"/>
      <c r="H7241" s="7"/>
      <c r="J7241" s="7"/>
      <c r="L7241" s="7"/>
      <c r="N7241" s="7"/>
      <c r="P7241" s="7"/>
      <c r="R7241" s="7"/>
      <c r="T7241" s="7"/>
      <c r="V7241" s="7"/>
      <c r="X7241" s="7"/>
    </row>
    <row r="7242" spans="2:24">
      <c r="B7242" s="7"/>
      <c r="D7242" s="7"/>
      <c r="F7242" s="7"/>
      <c r="H7242" s="7"/>
      <c r="J7242" s="7"/>
      <c r="L7242" s="7"/>
      <c r="N7242" s="7"/>
      <c r="P7242" s="7"/>
      <c r="R7242" s="7"/>
      <c r="T7242" s="7"/>
      <c r="V7242" s="7"/>
      <c r="X7242" s="7"/>
    </row>
    <row r="7243" spans="2:24">
      <c r="B7243" s="7"/>
      <c r="D7243" s="7"/>
      <c r="F7243" s="7"/>
      <c r="H7243" s="7"/>
      <c r="J7243" s="7"/>
      <c r="L7243" s="7"/>
      <c r="N7243" s="7"/>
      <c r="P7243" s="7"/>
      <c r="R7243" s="7"/>
      <c r="T7243" s="7"/>
      <c r="V7243" s="7"/>
      <c r="X7243" s="7"/>
    </row>
    <row r="7244" spans="2:24">
      <c r="B7244" s="7"/>
      <c r="D7244" s="7"/>
      <c r="F7244" s="7"/>
      <c r="H7244" s="7"/>
      <c r="J7244" s="7"/>
      <c r="L7244" s="7"/>
      <c r="N7244" s="7"/>
      <c r="P7244" s="7"/>
      <c r="R7244" s="7"/>
      <c r="T7244" s="7"/>
      <c r="V7244" s="7"/>
      <c r="X7244" s="7"/>
    </row>
    <row r="7245" spans="2:24">
      <c r="B7245" s="7"/>
      <c r="D7245" s="7"/>
      <c r="F7245" s="7"/>
      <c r="H7245" s="7"/>
      <c r="J7245" s="7"/>
      <c r="L7245" s="7"/>
      <c r="N7245" s="7"/>
      <c r="P7245" s="7"/>
      <c r="R7245" s="7"/>
      <c r="T7245" s="7"/>
      <c r="V7245" s="7"/>
      <c r="X7245" s="7"/>
    </row>
    <row r="7246" spans="2:24">
      <c r="B7246" s="7"/>
      <c r="D7246" s="7"/>
      <c r="F7246" s="7"/>
      <c r="H7246" s="7"/>
      <c r="J7246" s="7"/>
      <c r="L7246" s="7"/>
      <c r="N7246" s="7"/>
      <c r="P7246" s="7"/>
      <c r="R7246" s="7"/>
      <c r="T7246" s="7"/>
      <c r="V7246" s="7"/>
      <c r="X7246" s="7"/>
    </row>
    <row r="7247" spans="2:24">
      <c r="B7247" s="7"/>
      <c r="D7247" s="7"/>
      <c r="F7247" s="7"/>
      <c r="H7247" s="7"/>
      <c r="J7247" s="7"/>
      <c r="L7247" s="7"/>
      <c r="N7247" s="7"/>
      <c r="P7247" s="7"/>
      <c r="R7247" s="7"/>
      <c r="T7247" s="7"/>
      <c r="V7247" s="7"/>
      <c r="X7247" s="7"/>
    </row>
    <row r="7248" spans="2:24">
      <c r="B7248" s="7"/>
      <c r="D7248" s="7"/>
      <c r="F7248" s="7"/>
      <c r="H7248" s="7"/>
      <c r="J7248" s="7"/>
      <c r="L7248" s="7"/>
      <c r="N7248" s="7"/>
      <c r="P7248" s="7"/>
      <c r="R7248" s="7"/>
      <c r="T7248" s="7"/>
      <c r="V7248" s="7"/>
      <c r="X7248" s="7"/>
    </row>
    <row r="7249" spans="2:24">
      <c r="B7249" s="7"/>
      <c r="D7249" s="7"/>
      <c r="F7249" s="7"/>
      <c r="H7249" s="7"/>
      <c r="J7249" s="7"/>
      <c r="L7249" s="7"/>
      <c r="N7249" s="7"/>
      <c r="P7249" s="7"/>
      <c r="R7249" s="7"/>
      <c r="T7249" s="7"/>
      <c r="V7249" s="7"/>
      <c r="X7249" s="7"/>
    </row>
    <row r="7250" spans="2:24">
      <c r="B7250" s="7"/>
      <c r="D7250" s="7"/>
      <c r="F7250" s="7"/>
      <c r="H7250" s="7"/>
      <c r="J7250" s="7"/>
      <c r="L7250" s="7"/>
      <c r="N7250" s="7"/>
      <c r="P7250" s="7"/>
      <c r="R7250" s="7"/>
      <c r="T7250" s="7"/>
      <c r="V7250" s="7"/>
      <c r="X7250" s="7"/>
    </row>
    <row r="7251" spans="2:24">
      <c r="B7251" s="7"/>
      <c r="D7251" s="7"/>
      <c r="F7251" s="7"/>
      <c r="H7251" s="7"/>
      <c r="J7251" s="7"/>
      <c r="L7251" s="7"/>
      <c r="N7251" s="7"/>
      <c r="P7251" s="7"/>
      <c r="R7251" s="7"/>
      <c r="T7251" s="7"/>
      <c r="V7251" s="7"/>
      <c r="X7251" s="7"/>
    </row>
    <row r="7252" spans="2:24">
      <c r="B7252" s="7"/>
      <c r="D7252" s="7"/>
      <c r="F7252" s="7"/>
      <c r="H7252" s="7"/>
      <c r="J7252" s="7"/>
      <c r="L7252" s="7"/>
      <c r="N7252" s="7"/>
      <c r="P7252" s="7"/>
      <c r="R7252" s="7"/>
      <c r="T7252" s="7"/>
      <c r="V7252" s="7"/>
      <c r="X7252" s="7"/>
    </row>
    <row r="7253" spans="2:24">
      <c r="B7253" s="7"/>
      <c r="D7253" s="7"/>
      <c r="F7253" s="7"/>
      <c r="H7253" s="7"/>
      <c r="J7253" s="7"/>
      <c r="L7253" s="7"/>
      <c r="N7253" s="7"/>
      <c r="P7253" s="7"/>
      <c r="R7253" s="7"/>
      <c r="T7253" s="7"/>
      <c r="V7253" s="7"/>
      <c r="X7253" s="7"/>
    </row>
    <row r="7254" spans="2:24">
      <c r="B7254" s="7"/>
      <c r="D7254" s="7"/>
      <c r="F7254" s="7"/>
      <c r="H7254" s="7"/>
      <c r="J7254" s="7"/>
      <c r="L7254" s="7"/>
      <c r="N7254" s="7"/>
      <c r="P7254" s="7"/>
      <c r="R7254" s="7"/>
      <c r="T7254" s="7"/>
      <c r="V7254" s="7"/>
      <c r="X7254" s="7"/>
    </row>
    <row r="7255" spans="2:24">
      <c r="B7255" s="7"/>
      <c r="D7255" s="7"/>
      <c r="F7255" s="7"/>
      <c r="H7255" s="7"/>
      <c r="J7255" s="7"/>
      <c r="L7255" s="7"/>
      <c r="N7255" s="7"/>
      <c r="P7255" s="7"/>
      <c r="R7255" s="7"/>
      <c r="T7255" s="7"/>
      <c r="V7255" s="7"/>
      <c r="X7255" s="7"/>
    </row>
    <row r="7256" spans="2:24">
      <c r="B7256" s="7"/>
      <c r="D7256" s="7"/>
      <c r="F7256" s="7"/>
      <c r="H7256" s="7"/>
      <c r="J7256" s="7"/>
      <c r="L7256" s="7"/>
      <c r="N7256" s="7"/>
      <c r="P7256" s="7"/>
      <c r="R7256" s="7"/>
      <c r="T7256" s="7"/>
      <c r="V7256" s="7"/>
      <c r="X7256" s="7"/>
    </row>
    <row r="7257" spans="2:24">
      <c r="B7257" s="7"/>
      <c r="D7257" s="7"/>
      <c r="F7257" s="7"/>
      <c r="H7257" s="7"/>
      <c r="J7257" s="7"/>
      <c r="L7257" s="7"/>
      <c r="N7257" s="7"/>
      <c r="P7257" s="7"/>
      <c r="R7257" s="7"/>
      <c r="T7257" s="7"/>
      <c r="V7257" s="7"/>
      <c r="X7257" s="7"/>
    </row>
    <row r="7258" spans="2:24">
      <c r="B7258" s="7"/>
      <c r="D7258" s="7"/>
      <c r="F7258" s="7"/>
      <c r="H7258" s="7"/>
      <c r="J7258" s="7"/>
      <c r="L7258" s="7"/>
      <c r="N7258" s="7"/>
      <c r="P7258" s="7"/>
      <c r="R7258" s="7"/>
      <c r="T7258" s="7"/>
      <c r="V7258" s="7"/>
      <c r="X7258" s="7"/>
    </row>
    <row r="7259" spans="2:24">
      <c r="B7259" s="7"/>
      <c r="D7259" s="7"/>
      <c r="F7259" s="7"/>
      <c r="H7259" s="7"/>
      <c r="J7259" s="7"/>
      <c r="L7259" s="7"/>
      <c r="N7259" s="7"/>
      <c r="P7259" s="7"/>
      <c r="R7259" s="7"/>
      <c r="T7259" s="7"/>
      <c r="V7259" s="7"/>
      <c r="X7259" s="7"/>
    </row>
    <row r="7260" spans="2:24">
      <c r="B7260" s="7"/>
      <c r="D7260" s="7"/>
      <c r="F7260" s="7"/>
      <c r="H7260" s="7"/>
      <c r="J7260" s="7"/>
      <c r="L7260" s="7"/>
      <c r="N7260" s="7"/>
      <c r="P7260" s="7"/>
      <c r="R7260" s="7"/>
      <c r="T7260" s="7"/>
      <c r="V7260" s="7"/>
      <c r="X7260" s="7"/>
    </row>
    <row r="7261" spans="2:24">
      <c r="B7261" s="7"/>
      <c r="D7261" s="7"/>
      <c r="F7261" s="7"/>
      <c r="H7261" s="7"/>
      <c r="J7261" s="7"/>
      <c r="L7261" s="7"/>
      <c r="N7261" s="7"/>
      <c r="P7261" s="7"/>
      <c r="R7261" s="7"/>
      <c r="T7261" s="7"/>
      <c r="V7261" s="7"/>
      <c r="X7261" s="7"/>
    </row>
    <row r="7262" spans="2:24">
      <c r="B7262" s="7"/>
      <c r="D7262" s="7"/>
      <c r="F7262" s="7"/>
      <c r="H7262" s="7"/>
      <c r="J7262" s="7"/>
      <c r="L7262" s="7"/>
      <c r="N7262" s="7"/>
      <c r="P7262" s="7"/>
      <c r="R7262" s="7"/>
      <c r="T7262" s="7"/>
      <c r="V7262" s="7"/>
      <c r="X7262" s="7"/>
    </row>
    <row r="7263" spans="2:24">
      <c r="B7263" s="7"/>
      <c r="D7263" s="7"/>
      <c r="F7263" s="7"/>
      <c r="H7263" s="7"/>
      <c r="J7263" s="7"/>
      <c r="L7263" s="7"/>
      <c r="N7263" s="7"/>
      <c r="P7263" s="7"/>
      <c r="R7263" s="7"/>
      <c r="T7263" s="7"/>
      <c r="V7263" s="7"/>
      <c r="X7263" s="7"/>
    </row>
    <row r="7264" spans="2:24">
      <c r="B7264" s="7"/>
      <c r="D7264" s="7"/>
      <c r="F7264" s="7"/>
      <c r="H7264" s="7"/>
      <c r="J7264" s="7"/>
      <c r="L7264" s="7"/>
      <c r="N7264" s="7"/>
      <c r="P7264" s="7"/>
      <c r="R7264" s="7"/>
      <c r="T7264" s="7"/>
      <c r="V7264" s="7"/>
      <c r="X7264" s="7"/>
    </row>
    <row r="7265" spans="2:24">
      <c r="B7265" s="7"/>
      <c r="D7265" s="7"/>
      <c r="F7265" s="7"/>
      <c r="H7265" s="7"/>
      <c r="J7265" s="7"/>
      <c r="L7265" s="7"/>
      <c r="N7265" s="7"/>
      <c r="P7265" s="7"/>
      <c r="R7265" s="7"/>
      <c r="T7265" s="7"/>
      <c r="V7265" s="7"/>
      <c r="X7265" s="7"/>
    </row>
    <row r="7266" spans="2:24">
      <c r="B7266" s="7"/>
      <c r="D7266" s="7"/>
      <c r="F7266" s="7"/>
      <c r="H7266" s="7"/>
      <c r="J7266" s="7"/>
      <c r="L7266" s="7"/>
      <c r="N7266" s="7"/>
      <c r="P7266" s="7"/>
      <c r="R7266" s="7"/>
      <c r="T7266" s="7"/>
      <c r="V7266" s="7"/>
      <c r="X7266" s="7"/>
    </row>
    <row r="7267" spans="2:24">
      <c r="B7267" s="7"/>
      <c r="D7267" s="7"/>
      <c r="F7267" s="7"/>
      <c r="H7267" s="7"/>
      <c r="J7267" s="7"/>
      <c r="L7267" s="7"/>
      <c r="N7267" s="7"/>
      <c r="P7267" s="7"/>
      <c r="R7267" s="7"/>
      <c r="T7267" s="7"/>
      <c r="V7267" s="7"/>
      <c r="X7267" s="7"/>
    </row>
    <row r="7268" spans="2:24">
      <c r="B7268" s="7"/>
      <c r="D7268" s="7"/>
      <c r="F7268" s="7"/>
      <c r="H7268" s="7"/>
      <c r="J7268" s="7"/>
      <c r="L7268" s="7"/>
      <c r="N7268" s="7"/>
      <c r="P7268" s="7"/>
      <c r="R7268" s="7"/>
      <c r="T7268" s="7"/>
      <c r="V7268" s="7"/>
      <c r="X7268" s="7"/>
    </row>
    <row r="7269" spans="2:24">
      <c r="B7269" s="7"/>
      <c r="D7269" s="7"/>
      <c r="F7269" s="7"/>
      <c r="H7269" s="7"/>
      <c r="J7269" s="7"/>
      <c r="L7269" s="7"/>
      <c r="N7269" s="7"/>
      <c r="P7269" s="7"/>
      <c r="R7269" s="7"/>
      <c r="T7269" s="7"/>
      <c r="V7269" s="7"/>
      <c r="X7269" s="7"/>
    </row>
    <row r="7270" spans="2:24">
      <c r="B7270" s="7"/>
      <c r="D7270" s="7"/>
      <c r="F7270" s="7"/>
      <c r="H7270" s="7"/>
      <c r="J7270" s="7"/>
      <c r="L7270" s="7"/>
      <c r="N7270" s="7"/>
      <c r="P7270" s="7"/>
      <c r="R7270" s="7"/>
      <c r="T7270" s="7"/>
      <c r="V7270" s="7"/>
      <c r="X7270" s="7"/>
    </row>
    <row r="7271" spans="2:24">
      <c r="B7271" s="7"/>
      <c r="D7271" s="7"/>
      <c r="F7271" s="7"/>
      <c r="H7271" s="7"/>
      <c r="J7271" s="7"/>
      <c r="L7271" s="7"/>
      <c r="N7271" s="7"/>
      <c r="P7271" s="7"/>
      <c r="R7271" s="7"/>
      <c r="T7271" s="7"/>
      <c r="V7271" s="7"/>
      <c r="X7271" s="7"/>
    </row>
    <row r="7272" spans="2:24">
      <c r="B7272" s="7"/>
      <c r="D7272" s="7"/>
      <c r="F7272" s="7"/>
      <c r="H7272" s="7"/>
      <c r="J7272" s="7"/>
      <c r="L7272" s="7"/>
      <c r="N7272" s="7"/>
      <c r="P7272" s="7"/>
      <c r="R7272" s="7"/>
      <c r="T7272" s="7"/>
      <c r="V7272" s="7"/>
      <c r="X7272" s="7"/>
    </row>
    <row r="7273" spans="2:24">
      <c r="B7273" s="7"/>
      <c r="D7273" s="7"/>
      <c r="F7273" s="7"/>
      <c r="H7273" s="7"/>
      <c r="J7273" s="7"/>
      <c r="L7273" s="7"/>
      <c r="N7273" s="7"/>
      <c r="P7273" s="7"/>
      <c r="R7273" s="7"/>
      <c r="T7273" s="7"/>
      <c r="V7273" s="7"/>
      <c r="X7273" s="7"/>
    </row>
    <row r="7274" spans="2:24">
      <c r="B7274" s="7"/>
      <c r="D7274" s="7"/>
      <c r="F7274" s="7"/>
      <c r="H7274" s="7"/>
      <c r="J7274" s="7"/>
      <c r="L7274" s="7"/>
      <c r="N7274" s="7"/>
      <c r="P7274" s="7"/>
      <c r="R7274" s="7"/>
      <c r="T7274" s="7"/>
      <c r="V7274" s="7"/>
      <c r="X7274" s="7"/>
    </row>
    <row r="7275" spans="2:24">
      <c r="B7275" s="7"/>
      <c r="D7275" s="7"/>
      <c r="F7275" s="7"/>
      <c r="H7275" s="7"/>
      <c r="J7275" s="7"/>
      <c r="L7275" s="7"/>
      <c r="N7275" s="7"/>
      <c r="P7275" s="7"/>
      <c r="R7275" s="7"/>
      <c r="T7275" s="7"/>
      <c r="V7275" s="7"/>
      <c r="X7275" s="7"/>
    </row>
    <row r="7276" spans="2:24">
      <c r="B7276" s="7"/>
      <c r="D7276" s="7"/>
      <c r="F7276" s="7"/>
      <c r="H7276" s="7"/>
      <c r="J7276" s="7"/>
      <c r="L7276" s="7"/>
      <c r="N7276" s="7"/>
      <c r="P7276" s="7"/>
      <c r="R7276" s="7"/>
      <c r="T7276" s="7"/>
      <c r="V7276" s="7"/>
      <c r="X7276" s="7"/>
    </row>
    <row r="7277" spans="2:24">
      <c r="B7277" s="7"/>
      <c r="D7277" s="7"/>
      <c r="F7277" s="7"/>
      <c r="H7277" s="7"/>
      <c r="J7277" s="7"/>
      <c r="L7277" s="7"/>
      <c r="N7277" s="7"/>
      <c r="P7277" s="7"/>
      <c r="R7277" s="7"/>
      <c r="T7277" s="7"/>
      <c r="V7277" s="7"/>
      <c r="X7277" s="7"/>
    </row>
    <row r="7278" spans="2:24">
      <c r="B7278" s="7"/>
      <c r="D7278" s="7"/>
      <c r="F7278" s="7"/>
      <c r="H7278" s="7"/>
      <c r="J7278" s="7"/>
      <c r="L7278" s="7"/>
      <c r="N7278" s="7"/>
      <c r="P7278" s="7"/>
      <c r="R7278" s="7"/>
      <c r="T7278" s="7"/>
      <c r="V7278" s="7"/>
      <c r="X7278" s="7"/>
    </row>
    <row r="7279" spans="2:24">
      <c r="B7279" s="7"/>
      <c r="D7279" s="7"/>
      <c r="F7279" s="7"/>
      <c r="H7279" s="7"/>
      <c r="J7279" s="7"/>
      <c r="L7279" s="7"/>
      <c r="N7279" s="7"/>
      <c r="P7279" s="7"/>
      <c r="R7279" s="7"/>
      <c r="T7279" s="7"/>
      <c r="V7279" s="7"/>
      <c r="X7279" s="7"/>
    </row>
    <row r="7280" spans="2:24">
      <c r="B7280" s="7"/>
      <c r="D7280" s="7"/>
      <c r="F7280" s="7"/>
      <c r="H7280" s="7"/>
      <c r="J7280" s="7"/>
      <c r="L7280" s="7"/>
      <c r="N7280" s="7"/>
      <c r="P7280" s="7"/>
      <c r="R7280" s="7"/>
      <c r="T7280" s="7"/>
      <c r="V7280" s="7"/>
      <c r="X7280" s="7"/>
    </row>
    <row r="7281" spans="2:24">
      <c r="B7281" s="7"/>
      <c r="D7281" s="7"/>
      <c r="F7281" s="7"/>
      <c r="H7281" s="7"/>
      <c r="J7281" s="7"/>
      <c r="L7281" s="7"/>
      <c r="N7281" s="7"/>
      <c r="P7281" s="7"/>
      <c r="R7281" s="7"/>
      <c r="T7281" s="7"/>
      <c r="V7281" s="7"/>
      <c r="X7281" s="7"/>
    </row>
    <row r="7282" spans="2:24">
      <c r="B7282" s="7"/>
      <c r="D7282" s="7"/>
      <c r="F7282" s="7"/>
      <c r="H7282" s="7"/>
      <c r="J7282" s="7"/>
      <c r="L7282" s="7"/>
      <c r="N7282" s="7"/>
      <c r="P7282" s="7"/>
      <c r="R7282" s="7"/>
      <c r="T7282" s="7"/>
      <c r="V7282" s="7"/>
      <c r="X7282" s="7"/>
    </row>
    <row r="7283" spans="2:24">
      <c r="B7283" s="7"/>
      <c r="D7283" s="7"/>
      <c r="F7283" s="7"/>
      <c r="H7283" s="7"/>
      <c r="J7283" s="7"/>
      <c r="L7283" s="7"/>
      <c r="N7283" s="7"/>
      <c r="P7283" s="7"/>
      <c r="R7283" s="7"/>
      <c r="T7283" s="7"/>
      <c r="V7283" s="7"/>
      <c r="X7283" s="7"/>
    </row>
    <row r="7284" spans="2:24">
      <c r="B7284" s="7"/>
      <c r="D7284" s="7"/>
      <c r="F7284" s="7"/>
      <c r="H7284" s="7"/>
      <c r="J7284" s="7"/>
      <c r="L7284" s="7"/>
      <c r="N7284" s="7"/>
      <c r="P7284" s="7"/>
      <c r="R7284" s="7"/>
      <c r="T7284" s="7"/>
      <c r="V7284" s="7"/>
      <c r="X7284" s="7"/>
    </row>
    <row r="7285" spans="2:24">
      <c r="B7285" s="7"/>
      <c r="D7285" s="7"/>
      <c r="F7285" s="7"/>
      <c r="H7285" s="7"/>
      <c r="J7285" s="7"/>
      <c r="L7285" s="7"/>
      <c r="N7285" s="7"/>
      <c r="P7285" s="7"/>
      <c r="R7285" s="7"/>
      <c r="T7285" s="7"/>
      <c r="V7285" s="7"/>
      <c r="X7285" s="7"/>
    </row>
    <row r="7286" spans="2:24">
      <c r="B7286" s="7"/>
      <c r="D7286" s="7"/>
      <c r="F7286" s="7"/>
      <c r="H7286" s="7"/>
      <c r="J7286" s="7"/>
      <c r="L7286" s="7"/>
      <c r="N7286" s="7"/>
      <c r="P7286" s="7"/>
      <c r="R7286" s="7"/>
      <c r="T7286" s="7"/>
      <c r="V7286" s="7"/>
      <c r="X7286" s="7"/>
    </row>
    <row r="7287" spans="2:24">
      <c r="B7287" s="7"/>
      <c r="D7287" s="7"/>
      <c r="F7287" s="7"/>
      <c r="H7287" s="7"/>
      <c r="J7287" s="7"/>
      <c r="L7287" s="7"/>
      <c r="N7287" s="7"/>
      <c r="P7287" s="7"/>
      <c r="R7287" s="7"/>
      <c r="T7287" s="7"/>
      <c r="V7287" s="7"/>
      <c r="X7287" s="7"/>
    </row>
    <row r="7288" spans="2:24">
      <c r="B7288" s="7"/>
      <c r="D7288" s="7"/>
      <c r="F7288" s="7"/>
      <c r="H7288" s="7"/>
      <c r="J7288" s="7"/>
      <c r="L7288" s="7"/>
      <c r="N7288" s="7"/>
      <c r="P7288" s="7"/>
      <c r="R7288" s="7"/>
      <c r="T7288" s="7"/>
      <c r="V7288" s="7"/>
      <c r="X7288" s="7"/>
    </row>
    <row r="7289" spans="2:24">
      <c r="B7289" s="7"/>
      <c r="D7289" s="7"/>
      <c r="F7289" s="7"/>
      <c r="H7289" s="7"/>
      <c r="J7289" s="7"/>
      <c r="L7289" s="7"/>
      <c r="N7289" s="7"/>
      <c r="P7289" s="7"/>
      <c r="R7289" s="7"/>
      <c r="T7289" s="7"/>
      <c r="V7289" s="7"/>
      <c r="X7289" s="7"/>
    </row>
    <row r="7290" spans="2:24">
      <c r="B7290" s="7"/>
      <c r="D7290" s="7"/>
      <c r="F7290" s="7"/>
      <c r="H7290" s="7"/>
      <c r="J7290" s="7"/>
      <c r="L7290" s="7"/>
      <c r="N7290" s="7"/>
      <c r="P7290" s="7"/>
      <c r="R7290" s="7"/>
      <c r="T7290" s="7"/>
      <c r="V7290" s="7"/>
      <c r="X7290" s="7"/>
    </row>
    <row r="7291" spans="2:24">
      <c r="B7291" s="7"/>
      <c r="D7291" s="7"/>
      <c r="F7291" s="7"/>
      <c r="H7291" s="7"/>
      <c r="J7291" s="7"/>
      <c r="L7291" s="7"/>
      <c r="N7291" s="7"/>
      <c r="P7291" s="7"/>
      <c r="R7291" s="7"/>
      <c r="T7291" s="7"/>
      <c r="V7291" s="7"/>
      <c r="X7291" s="7"/>
    </row>
    <row r="7292" spans="2:24">
      <c r="B7292" s="7"/>
      <c r="D7292" s="7"/>
      <c r="F7292" s="7"/>
      <c r="H7292" s="7"/>
      <c r="J7292" s="7"/>
      <c r="L7292" s="7"/>
      <c r="N7292" s="7"/>
      <c r="P7292" s="7"/>
      <c r="R7292" s="7"/>
      <c r="T7292" s="7"/>
      <c r="V7292" s="7"/>
      <c r="X7292" s="7"/>
    </row>
    <row r="7293" spans="2:24">
      <c r="B7293" s="7"/>
      <c r="D7293" s="7"/>
      <c r="F7293" s="7"/>
      <c r="H7293" s="7"/>
      <c r="J7293" s="7"/>
      <c r="L7293" s="7"/>
      <c r="N7293" s="7"/>
      <c r="P7293" s="7"/>
      <c r="R7293" s="7"/>
      <c r="T7293" s="7"/>
      <c r="V7293" s="7"/>
      <c r="X7293" s="7"/>
    </row>
    <row r="7294" spans="2:24">
      <c r="B7294" s="7"/>
      <c r="D7294" s="7"/>
      <c r="F7294" s="7"/>
      <c r="H7294" s="7"/>
      <c r="J7294" s="7"/>
      <c r="L7294" s="7"/>
      <c r="N7294" s="7"/>
      <c r="P7294" s="7"/>
      <c r="R7294" s="7"/>
      <c r="T7294" s="7"/>
      <c r="V7294" s="7"/>
      <c r="X7294" s="7"/>
    </row>
    <row r="7295" spans="2:24">
      <c r="B7295" s="7"/>
      <c r="D7295" s="7"/>
      <c r="F7295" s="7"/>
      <c r="H7295" s="7"/>
      <c r="J7295" s="7"/>
      <c r="L7295" s="7"/>
      <c r="N7295" s="7"/>
      <c r="P7295" s="7"/>
      <c r="R7295" s="7"/>
      <c r="T7295" s="7"/>
      <c r="V7295" s="7"/>
      <c r="X7295" s="7"/>
    </row>
    <row r="7296" spans="2:24">
      <c r="B7296" s="7"/>
      <c r="D7296" s="7"/>
      <c r="F7296" s="7"/>
      <c r="H7296" s="7"/>
      <c r="J7296" s="7"/>
      <c r="L7296" s="7"/>
      <c r="N7296" s="7"/>
      <c r="P7296" s="7"/>
      <c r="R7296" s="7"/>
      <c r="T7296" s="7"/>
      <c r="V7296" s="7"/>
      <c r="X7296" s="7"/>
    </row>
    <row r="7297" spans="2:24">
      <c r="B7297" s="7"/>
      <c r="D7297" s="7"/>
      <c r="F7297" s="7"/>
      <c r="H7297" s="7"/>
      <c r="J7297" s="7"/>
      <c r="L7297" s="7"/>
      <c r="N7297" s="7"/>
      <c r="P7297" s="7"/>
      <c r="R7297" s="7"/>
      <c r="T7297" s="7"/>
      <c r="V7297" s="7"/>
      <c r="X7297" s="7"/>
    </row>
    <row r="7298" spans="2:24">
      <c r="B7298" s="7"/>
      <c r="D7298" s="7"/>
      <c r="F7298" s="7"/>
      <c r="H7298" s="7"/>
      <c r="J7298" s="7"/>
      <c r="L7298" s="7"/>
      <c r="N7298" s="7"/>
      <c r="P7298" s="7"/>
      <c r="R7298" s="7"/>
      <c r="T7298" s="7"/>
      <c r="V7298" s="7"/>
      <c r="X7298" s="7"/>
    </row>
    <row r="7299" spans="2:24">
      <c r="B7299" s="7"/>
      <c r="D7299" s="7"/>
      <c r="F7299" s="7"/>
      <c r="H7299" s="7"/>
      <c r="J7299" s="7"/>
      <c r="L7299" s="7"/>
      <c r="N7299" s="7"/>
      <c r="P7299" s="7"/>
      <c r="R7299" s="7"/>
      <c r="T7299" s="7"/>
      <c r="V7299" s="7"/>
      <c r="X7299" s="7"/>
    </row>
    <row r="7300" spans="2:24">
      <c r="B7300" s="7"/>
      <c r="D7300" s="7"/>
      <c r="F7300" s="7"/>
      <c r="H7300" s="7"/>
      <c r="J7300" s="7"/>
      <c r="L7300" s="7"/>
      <c r="N7300" s="7"/>
      <c r="P7300" s="7"/>
      <c r="R7300" s="7"/>
      <c r="T7300" s="7"/>
      <c r="V7300" s="7"/>
      <c r="X7300" s="7"/>
    </row>
    <row r="7301" spans="2:24">
      <c r="B7301" s="7"/>
      <c r="D7301" s="7"/>
      <c r="F7301" s="7"/>
      <c r="H7301" s="7"/>
      <c r="J7301" s="7"/>
      <c r="L7301" s="7"/>
      <c r="N7301" s="7"/>
      <c r="P7301" s="7"/>
      <c r="R7301" s="7"/>
      <c r="T7301" s="7"/>
      <c r="V7301" s="7"/>
      <c r="X7301" s="7"/>
    </row>
    <row r="7302" spans="2:24">
      <c r="B7302" s="7"/>
      <c r="D7302" s="7"/>
      <c r="F7302" s="7"/>
      <c r="H7302" s="7"/>
      <c r="J7302" s="7"/>
      <c r="L7302" s="7"/>
      <c r="N7302" s="7"/>
      <c r="P7302" s="7"/>
      <c r="R7302" s="7"/>
      <c r="T7302" s="7"/>
      <c r="V7302" s="7"/>
      <c r="X7302" s="7"/>
    </row>
    <row r="7303" spans="2:24">
      <c r="B7303" s="7"/>
      <c r="D7303" s="7"/>
      <c r="F7303" s="7"/>
      <c r="H7303" s="7"/>
      <c r="J7303" s="7"/>
      <c r="L7303" s="7"/>
      <c r="N7303" s="7"/>
      <c r="P7303" s="7"/>
      <c r="R7303" s="7"/>
      <c r="T7303" s="7"/>
      <c r="V7303" s="7"/>
      <c r="X7303" s="7"/>
    </row>
    <row r="7304" spans="2:24">
      <c r="B7304" s="7"/>
      <c r="D7304" s="7"/>
      <c r="F7304" s="7"/>
      <c r="H7304" s="7"/>
      <c r="J7304" s="7"/>
      <c r="L7304" s="7"/>
      <c r="N7304" s="7"/>
      <c r="P7304" s="7"/>
      <c r="R7304" s="7"/>
      <c r="T7304" s="7"/>
      <c r="V7304" s="7"/>
      <c r="X7304" s="7"/>
    </row>
    <row r="7305" spans="2:24">
      <c r="B7305" s="7"/>
      <c r="D7305" s="7"/>
      <c r="F7305" s="7"/>
      <c r="H7305" s="7"/>
      <c r="J7305" s="7"/>
      <c r="L7305" s="7"/>
      <c r="N7305" s="7"/>
      <c r="P7305" s="7"/>
      <c r="R7305" s="7"/>
      <c r="T7305" s="7"/>
      <c r="V7305" s="7"/>
      <c r="X7305" s="7"/>
    </row>
    <row r="7306" spans="2:24">
      <c r="B7306" s="7"/>
      <c r="D7306" s="7"/>
      <c r="F7306" s="7"/>
      <c r="H7306" s="7"/>
      <c r="J7306" s="7"/>
      <c r="L7306" s="7"/>
      <c r="N7306" s="7"/>
      <c r="P7306" s="7"/>
      <c r="R7306" s="7"/>
      <c r="T7306" s="7"/>
      <c r="V7306" s="7"/>
      <c r="X7306" s="7"/>
    </row>
    <row r="7307" spans="2:24">
      <c r="B7307" s="7"/>
      <c r="D7307" s="7"/>
      <c r="F7307" s="7"/>
      <c r="H7307" s="7"/>
      <c r="J7307" s="7"/>
      <c r="L7307" s="7"/>
      <c r="N7307" s="7"/>
      <c r="P7307" s="7"/>
      <c r="R7307" s="7"/>
      <c r="T7307" s="7"/>
      <c r="V7307" s="7"/>
      <c r="X7307" s="7"/>
    </row>
    <row r="7308" spans="2:24">
      <c r="B7308" s="7"/>
      <c r="D7308" s="7"/>
      <c r="F7308" s="7"/>
      <c r="H7308" s="7"/>
      <c r="J7308" s="7"/>
      <c r="L7308" s="7"/>
      <c r="N7308" s="7"/>
      <c r="P7308" s="7"/>
      <c r="R7308" s="7"/>
      <c r="T7308" s="7"/>
      <c r="V7308" s="7"/>
      <c r="X7308" s="7"/>
    </row>
    <row r="7309" spans="2:24">
      <c r="B7309" s="7"/>
      <c r="D7309" s="7"/>
      <c r="F7309" s="7"/>
      <c r="H7309" s="7"/>
      <c r="J7309" s="7"/>
      <c r="L7309" s="7"/>
      <c r="N7309" s="7"/>
      <c r="P7309" s="7"/>
      <c r="R7309" s="7"/>
      <c r="T7309" s="7"/>
      <c r="V7309" s="7"/>
      <c r="X7309" s="7"/>
    </row>
    <row r="7310" spans="2:24">
      <c r="B7310" s="7"/>
      <c r="D7310" s="7"/>
      <c r="F7310" s="7"/>
      <c r="H7310" s="7"/>
      <c r="J7310" s="7"/>
      <c r="L7310" s="7"/>
      <c r="N7310" s="7"/>
      <c r="P7310" s="7"/>
      <c r="R7310" s="7"/>
      <c r="T7310" s="7"/>
      <c r="V7310" s="7"/>
      <c r="X7310" s="7"/>
    </row>
    <row r="7311" spans="2:24">
      <c r="B7311" s="7"/>
      <c r="D7311" s="7"/>
      <c r="F7311" s="7"/>
      <c r="H7311" s="7"/>
      <c r="J7311" s="7"/>
      <c r="L7311" s="7"/>
      <c r="N7311" s="7"/>
      <c r="P7311" s="7"/>
      <c r="R7311" s="7"/>
      <c r="T7311" s="7"/>
      <c r="V7311" s="7"/>
      <c r="X7311" s="7"/>
    </row>
    <row r="7312" spans="2:24">
      <c r="B7312" s="7"/>
      <c r="D7312" s="7"/>
      <c r="F7312" s="7"/>
      <c r="H7312" s="7"/>
      <c r="J7312" s="7"/>
      <c r="L7312" s="7"/>
      <c r="N7312" s="7"/>
      <c r="P7312" s="7"/>
      <c r="R7312" s="7"/>
      <c r="T7312" s="7"/>
      <c r="V7312" s="7"/>
      <c r="X7312" s="7"/>
    </row>
    <row r="7313" spans="2:24">
      <c r="B7313" s="7"/>
      <c r="D7313" s="7"/>
      <c r="F7313" s="7"/>
      <c r="H7313" s="7"/>
      <c r="J7313" s="7"/>
      <c r="L7313" s="7"/>
      <c r="N7313" s="7"/>
      <c r="P7313" s="7"/>
      <c r="R7313" s="7"/>
      <c r="T7313" s="7"/>
      <c r="V7313" s="7"/>
      <c r="X7313" s="7"/>
    </row>
    <row r="7314" spans="2:24">
      <c r="B7314" s="7"/>
      <c r="D7314" s="7"/>
      <c r="F7314" s="7"/>
      <c r="H7314" s="7"/>
      <c r="J7314" s="7"/>
      <c r="L7314" s="7"/>
      <c r="N7314" s="7"/>
      <c r="P7314" s="7"/>
      <c r="R7314" s="7"/>
      <c r="T7314" s="7"/>
      <c r="V7314" s="7"/>
      <c r="X7314" s="7"/>
    </row>
    <row r="7315" spans="2:24">
      <c r="B7315" s="7"/>
      <c r="D7315" s="7"/>
      <c r="F7315" s="7"/>
      <c r="H7315" s="7"/>
      <c r="J7315" s="7"/>
      <c r="L7315" s="7"/>
      <c r="N7315" s="7"/>
      <c r="P7315" s="7"/>
      <c r="R7315" s="7"/>
      <c r="T7315" s="7"/>
      <c r="V7315" s="7"/>
      <c r="X7315" s="7"/>
    </row>
    <row r="7316" spans="2:24">
      <c r="B7316" s="7"/>
      <c r="D7316" s="7"/>
      <c r="F7316" s="7"/>
      <c r="H7316" s="7"/>
      <c r="J7316" s="7"/>
      <c r="L7316" s="7"/>
      <c r="N7316" s="7"/>
      <c r="P7316" s="7"/>
      <c r="R7316" s="7"/>
      <c r="T7316" s="7"/>
      <c r="V7316" s="7"/>
      <c r="X7316" s="7"/>
    </row>
    <row r="7317" spans="2:24">
      <c r="B7317" s="7"/>
      <c r="D7317" s="7"/>
      <c r="F7317" s="7"/>
      <c r="H7317" s="7"/>
      <c r="J7317" s="7"/>
      <c r="L7317" s="7"/>
      <c r="N7317" s="7"/>
      <c r="P7317" s="7"/>
      <c r="R7317" s="7"/>
      <c r="T7317" s="7"/>
      <c r="V7317" s="7"/>
      <c r="X7317" s="7"/>
    </row>
    <row r="7318" spans="2:24">
      <c r="B7318" s="7"/>
      <c r="D7318" s="7"/>
      <c r="F7318" s="7"/>
      <c r="H7318" s="7"/>
      <c r="J7318" s="7"/>
      <c r="L7318" s="7"/>
      <c r="N7318" s="7"/>
      <c r="P7318" s="7"/>
      <c r="R7318" s="7"/>
      <c r="T7318" s="7"/>
      <c r="V7318" s="7"/>
      <c r="X7318" s="7"/>
    </row>
    <row r="7319" spans="2:24">
      <c r="B7319" s="7"/>
      <c r="D7319" s="7"/>
      <c r="F7319" s="7"/>
      <c r="H7319" s="7"/>
      <c r="J7319" s="7"/>
      <c r="L7319" s="7"/>
      <c r="N7319" s="7"/>
      <c r="P7319" s="7"/>
      <c r="R7319" s="7"/>
      <c r="T7319" s="7"/>
      <c r="V7319" s="7"/>
      <c r="X7319" s="7"/>
    </row>
    <row r="7320" spans="2:24">
      <c r="B7320" s="7"/>
      <c r="D7320" s="7"/>
      <c r="F7320" s="7"/>
      <c r="H7320" s="7"/>
      <c r="J7320" s="7"/>
      <c r="L7320" s="7"/>
      <c r="N7320" s="7"/>
      <c r="P7320" s="7"/>
      <c r="R7320" s="7"/>
      <c r="T7320" s="7"/>
      <c r="V7320" s="7"/>
      <c r="X7320" s="7"/>
    </row>
    <row r="7321" spans="2:24">
      <c r="B7321" s="7"/>
      <c r="D7321" s="7"/>
      <c r="F7321" s="7"/>
      <c r="H7321" s="7"/>
      <c r="J7321" s="7"/>
      <c r="L7321" s="7"/>
      <c r="N7321" s="7"/>
      <c r="P7321" s="7"/>
      <c r="R7321" s="7"/>
      <c r="T7321" s="7"/>
      <c r="V7321" s="7"/>
      <c r="X7321" s="7"/>
    </row>
    <row r="7322" spans="2:24">
      <c r="B7322" s="7"/>
      <c r="D7322" s="7"/>
      <c r="F7322" s="7"/>
      <c r="H7322" s="7"/>
      <c r="J7322" s="7"/>
      <c r="L7322" s="7"/>
      <c r="N7322" s="7"/>
      <c r="P7322" s="7"/>
      <c r="R7322" s="7"/>
      <c r="T7322" s="7"/>
      <c r="V7322" s="7"/>
      <c r="X7322" s="7"/>
    </row>
    <row r="7323" spans="2:24">
      <c r="B7323" s="7"/>
      <c r="D7323" s="7"/>
      <c r="F7323" s="7"/>
      <c r="H7323" s="7"/>
      <c r="J7323" s="7"/>
      <c r="L7323" s="7"/>
      <c r="N7323" s="7"/>
      <c r="P7323" s="7"/>
      <c r="R7323" s="7"/>
      <c r="T7323" s="7"/>
      <c r="V7323" s="7"/>
      <c r="X7323" s="7"/>
    </row>
    <row r="7324" spans="2:24">
      <c r="B7324" s="7"/>
      <c r="D7324" s="7"/>
      <c r="F7324" s="7"/>
      <c r="H7324" s="7"/>
      <c r="J7324" s="7"/>
      <c r="L7324" s="7"/>
      <c r="N7324" s="7"/>
      <c r="P7324" s="7"/>
      <c r="R7324" s="7"/>
      <c r="T7324" s="7"/>
      <c r="V7324" s="7"/>
      <c r="X7324" s="7"/>
    </row>
    <row r="7325" spans="2:24">
      <c r="B7325" s="7"/>
      <c r="D7325" s="7"/>
      <c r="F7325" s="7"/>
      <c r="H7325" s="7"/>
      <c r="J7325" s="7"/>
      <c r="L7325" s="7"/>
      <c r="N7325" s="7"/>
      <c r="P7325" s="7"/>
      <c r="R7325" s="7"/>
      <c r="T7325" s="7"/>
      <c r="V7325" s="7"/>
      <c r="X7325" s="7"/>
    </row>
    <row r="7326" spans="2:24">
      <c r="B7326" s="7"/>
      <c r="D7326" s="7"/>
      <c r="F7326" s="7"/>
      <c r="H7326" s="7"/>
      <c r="J7326" s="7"/>
      <c r="L7326" s="7"/>
      <c r="N7326" s="7"/>
      <c r="P7326" s="7"/>
      <c r="R7326" s="7"/>
      <c r="T7326" s="7"/>
      <c r="V7326" s="7"/>
      <c r="X7326" s="7"/>
    </row>
    <row r="7327" spans="2:24">
      <c r="B7327" s="7"/>
      <c r="D7327" s="7"/>
      <c r="F7327" s="7"/>
      <c r="H7327" s="7"/>
      <c r="J7327" s="7"/>
      <c r="L7327" s="7"/>
      <c r="N7327" s="7"/>
      <c r="P7327" s="7"/>
      <c r="R7327" s="7"/>
      <c r="T7327" s="7"/>
      <c r="V7327" s="7"/>
      <c r="X7327" s="7"/>
    </row>
    <row r="7328" spans="2:24">
      <c r="B7328" s="7"/>
      <c r="D7328" s="7"/>
      <c r="F7328" s="7"/>
      <c r="H7328" s="7"/>
      <c r="J7328" s="7"/>
      <c r="L7328" s="7"/>
      <c r="N7328" s="7"/>
      <c r="P7328" s="7"/>
      <c r="R7328" s="7"/>
      <c r="T7328" s="7"/>
      <c r="V7328" s="7"/>
      <c r="X7328" s="7"/>
    </row>
    <row r="7329" spans="2:24">
      <c r="B7329" s="7"/>
      <c r="D7329" s="7"/>
      <c r="F7329" s="7"/>
      <c r="H7329" s="7"/>
      <c r="J7329" s="7"/>
      <c r="L7329" s="7"/>
      <c r="N7329" s="7"/>
      <c r="P7329" s="7"/>
      <c r="R7329" s="7"/>
      <c r="T7329" s="7"/>
      <c r="V7329" s="7"/>
      <c r="X7329" s="7"/>
    </row>
    <row r="7330" spans="2:24">
      <c r="B7330" s="7"/>
      <c r="D7330" s="7"/>
      <c r="F7330" s="7"/>
      <c r="H7330" s="7"/>
      <c r="J7330" s="7"/>
      <c r="L7330" s="7"/>
      <c r="N7330" s="7"/>
      <c r="P7330" s="7"/>
      <c r="R7330" s="7"/>
      <c r="T7330" s="7"/>
      <c r="V7330" s="7"/>
      <c r="X7330" s="7"/>
    </row>
    <row r="7331" spans="2:24">
      <c r="B7331" s="7"/>
      <c r="D7331" s="7"/>
      <c r="F7331" s="7"/>
      <c r="H7331" s="7"/>
      <c r="J7331" s="7"/>
      <c r="L7331" s="7"/>
      <c r="N7331" s="7"/>
      <c r="P7331" s="7"/>
      <c r="R7331" s="7"/>
      <c r="T7331" s="7"/>
      <c r="V7331" s="7"/>
      <c r="X7331" s="7"/>
    </row>
    <row r="7332" spans="2:24">
      <c r="B7332" s="7"/>
      <c r="D7332" s="7"/>
      <c r="F7332" s="7"/>
      <c r="H7332" s="7"/>
      <c r="J7332" s="7"/>
      <c r="L7332" s="7"/>
      <c r="N7332" s="7"/>
      <c r="P7332" s="7"/>
      <c r="R7332" s="7"/>
      <c r="T7332" s="7"/>
      <c r="V7332" s="7"/>
      <c r="X7332" s="7"/>
    </row>
    <row r="7333" spans="2:24">
      <c r="B7333" s="7"/>
      <c r="D7333" s="7"/>
      <c r="F7333" s="7"/>
      <c r="H7333" s="7"/>
      <c r="J7333" s="7"/>
      <c r="L7333" s="7"/>
      <c r="N7333" s="7"/>
      <c r="P7333" s="7"/>
      <c r="R7333" s="7"/>
      <c r="T7333" s="7"/>
      <c r="V7333" s="7"/>
      <c r="X7333" s="7"/>
    </row>
    <row r="7334" spans="2:24">
      <c r="B7334" s="7"/>
      <c r="D7334" s="7"/>
      <c r="F7334" s="7"/>
      <c r="H7334" s="7"/>
      <c r="J7334" s="7"/>
      <c r="L7334" s="7"/>
      <c r="N7334" s="7"/>
      <c r="P7334" s="7"/>
      <c r="R7334" s="7"/>
      <c r="T7334" s="7"/>
      <c r="V7334" s="7"/>
      <c r="X7334" s="7"/>
    </row>
    <row r="7335" spans="2:24">
      <c r="B7335" s="7"/>
      <c r="D7335" s="7"/>
      <c r="F7335" s="7"/>
      <c r="H7335" s="7"/>
      <c r="J7335" s="7"/>
      <c r="L7335" s="7"/>
      <c r="N7335" s="7"/>
      <c r="P7335" s="7"/>
      <c r="R7335" s="7"/>
      <c r="T7335" s="7"/>
      <c r="V7335" s="7"/>
      <c r="X7335" s="7"/>
    </row>
    <row r="7336" spans="2:24">
      <c r="B7336" s="7"/>
      <c r="D7336" s="7"/>
      <c r="F7336" s="7"/>
      <c r="H7336" s="7"/>
      <c r="J7336" s="7"/>
      <c r="L7336" s="7"/>
      <c r="N7336" s="7"/>
      <c r="P7336" s="7"/>
      <c r="R7336" s="7"/>
      <c r="T7336" s="7"/>
      <c r="V7336" s="7"/>
      <c r="X7336" s="7"/>
    </row>
    <row r="7337" spans="2:24">
      <c r="B7337" s="7"/>
      <c r="D7337" s="7"/>
      <c r="F7337" s="7"/>
      <c r="H7337" s="7"/>
      <c r="J7337" s="7"/>
      <c r="L7337" s="7"/>
      <c r="N7337" s="7"/>
      <c r="P7337" s="7"/>
      <c r="R7337" s="7"/>
      <c r="T7337" s="7"/>
      <c r="V7337" s="7"/>
      <c r="X7337" s="7"/>
    </row>
    <row r="7338" spans="2:24">
      <c r="B7338" s="7"/>
      <c r="D7338" s="7"/>
      <c r="F7338" s="7"/>
      <c r="H7338" s="7"/>
      <c r="J7338" s="7"/>
      <c r="L7338" s="7"/>
      <c r="N7338" s="7"/>
      <c r="P7338" s="7"/>
      <c r="R7338" s="7"/>
      <c r="T7338" s="7"/>
      <c r="V7338" s="7"/>
      <c r="X7338" s="7"/>
    </row>
    <row r="7339" spans="2:24">
      <c r="B7339" s="7"/>
      <c r="D7339" s="7"/>
      <c r="F7339" s="7"/>
      <c r="H7339" s="7"/>
      <c r="J7339" s="7"/>
      <c r="L7339" s="7"/>
      <c r="N7339" s="7"/>
      <c r="P7339" s="7"/>
      <c r="R7339" s="7"/>
      <c r="T7339" s="7"/>
      <c r="V7339" s="7"/>
      <c r="X7339" s="7"/>
    </row>
    <row r="7340" spans="2:24">
      <c r="B7340" s="7"/>
      <c r="D7340" s="7"/>
      <c r="F7340" s="7"/>
      <c r="H7340" s="7"/>
      <c r="J7340" s="7"/>
      <c r="L7340" s="7"/>
      <c r="N7340" s="7"/>
      <c r="P7340" s="7"/>
      <c r="R7340" s="7"/>
      <c r="T7340" s="7"/>
      <c r="V7340" s="7"/>
      <c r="X7340" s="7"/>
    </row>
    <row r="7341" spans="2:24">
      <c r="B7341" s="7"/>
      <c r="D7341" s="7"/>
      <c r="F7341" s="7"/>
      <c r="H7341" s="7"/>
      <c r="J7341" s="7"/>
      <c r="L7341" s="7"/>
      <c r="N7341" s="7"/>
      <c r="P7341" s="7"/>
      <c r="R7341" s="7"/>
      <c r="T7341" s="7"/>
      <c r="V7341" s="7"/>
      <c r="X7341" s="7"/>
    </row>
    <row r="7342" spans="2:24">
      <c r="B7342" s="7"/>
      <c r="D7342" s="7"/>
      <c r="F7342" s="7"/>
      <c r="H7342" s="7"/>
      <c r="J7342" s="7"/>
      <c r="L7342" s="7"/>
      <c r="N7342" s="7"/>
      <c r="P7342" s="7"/>
      <c r="R7342" s="7"/>
      <c r="T7342" s="7"/>
      <c r="V7342" s="7"/>
      <c r="X7342" s="7"/>
    </row>
    <row r="7343" spans="2:24">
      <c r="B7343" s="7"/>
      <c r="D7343" s="7"/>
      <c r="F7343" s="7"/>
      <c r="H7343" s="7"/>
      <c r="J7343" s="7"/>
      <c r="L7343" s="7"/>
      <c r="N7343" s="7"/>
      <c r="P7343" s="7"/>
      <c r="R7343" s="7"/>
      <c r="T7343" s="7"/>
      <c r="V7343" s="7"/>
      <c r="X7343" s="7"/>
    </row>
    <row r="7344" spans="2:24">
      <c r="B7344" s="7"/>
      <c r="D7344" s="7"/>
      <c r="F7344" s="7"/>
      <c r="H7344" s="7"/>
      <c r="J7344" s="7"/>
      <c r="L7344" s="7"/>
      <c r="N7344" s="7"/>
      <c r="P7344" s="7"/>
      <c r="R7344" s="7"/>
      <c r="T7344" s="7"/>
      <c r="V7344" s="7"/>
      <c r="X7344" s="7"/>
    </row>
    <row r="7345" spans="2:24">
      <c r="B7345" s="7"/>
      <c r="D7345" s="7"/>
      <c r="F7345" s="7"/>
      <c r="H7345" s="7"/>
      <c r="J7345" s="7"/>
      <c r="L7345" s="7"/>
      <c r="N7345" s="7"/>
      <c r="P7345" s="7"/>
      <c r="R7345" s="7"/>
      <c r="T7345" s="7"/>
      <c r="V7345" s="7"/>
      <c r="X7345" s="7"/>
    </row>
    <row r="7346" spans="2:24">
      <c r="B7346" s="7"/>
      <c r="D7346" s="7"/>
      <c r="F7346" s="7"/>
      <c r="H7346" s="7"/>
      <c r="J7346" s="7"/>
      <c r="L7346" s="7"/>
      <c r="N7346" s="7"/>
      <c r="P7346" s="7"/>
      <c r="R7346" s="7"/>
      <c r="T7346" s="7"/>
      <c r="V7346" s="7"/>
      <c r="X7346" s="7"/>
    </row>
    <row r="7347" spans="2:24">
      <c r="B7347" s="7"/>
      <c r="D7347" s="7"/>
      <c r="F7347" s="7"/>
      <c r="H7347" s="7"/>
      <c r="J7347" s="7"/>
      <c r="L7347" s="7"/>
      <c r="N7347" s="7"/>
      <c r="P7347" s="7"/>
      <c r="R7347" s="7"/>
      <c r="T7347" s="7"/>
      <c r="V7347" s="7"/>
      <c r="X7347" s="7"/>
    </row>
    <row r="7348" spans="2:24">
      <c r="B7348" s="7"/>
      <c r="D7348" s="7"/>
      <c r="F7348" s="7"/>
      <c r="H7348" s="7"/>
      <c r="J7348" s="7"/>
      <c r="L7348" s="7"/>
      <c r="N7348" s="7"/>
      <c r="P7348" s="7"/>
      <c r="R7348" s="7"/>
      <c r="T7348" s="7"/>
      <c r="V7348" s="7"/>
      <c r="X7348" s="7"/>
    </row>
    <row r="7349" spans="2:24">
      <c r="B7349" s="7"/>
      <c r="D7349" s="7"/>
      <c r="F7349" s="7"/>
      <c r="H7349" s="7"/>
      <c r="J7349" s="7"/>
      <c r="L7349" s="7"/>
      <c r="N7349" s="7"/>
      <c r="P7349" s="7"/>
      <c r="R7349" s="7"/>
      <c r="T7349" s="7"/>
      <c r="V7349" s="7"/>
      <c r="X7349" s="7"/>
    </row>
    <row r="7350" spans="2:24">
      <c r="B7350" s="7"/>
      <c r="D7350" s="7"/>
      <c r="F7350" s="7"/>
      <c r="H7350" s="7"/>
      <c r="J7350" s="7"/>
      <c r="L7350" s="7"/>
      <c r="N7350" s="7"/>
      <c r="P7350" s="7"/>
      <c r="R7350" s="7"/>
      <c r="T7350" s="7"/>
      <c r="V7350" s="7"/>
      <c r="X7350" s="7"/>
    </row>
    <row r="7351" spans="2:24">
      <c r="B7351" s="7"/>
      <c r="D7351" s="7"/>
      <c r="F7351" s="7"/>
      <c r="H7351" s="7"/>
      <c r="J7351" s="7"/>
      <c r="L7351" s="7"/>
      <c r="N7351" s="7"/>
      <c r="P7351" s="7"/>
      <c r="R7351" s="7"/>
      <c r="T7351" s="7"/>
      <c r="V7351" s="7"/>
      <c r="X7351" s="7"/>
    </row>
    <row r="7352" spans="2:24">
      <c r="B7352" s="7"/>
      <c r="D7352" s="7"/>
      <c r="F7352" s="7"/>
      <c r="H7352" s="7"/>
      <c r="J7352" s="7"/>
      <c r="L7352" s="7"/>
      <c r="N7352" s="7"/>
      <c r="P7352" s="7"/>
      <c r="R7352" s="7"/>
      <c r="T7352" s="7"/>
      <c r="V7352" s="7"/>
      <c r="X7352" s="7"/>
    </row>
    <row r="7353" spans="2:24">
      <c r="B7353" s="7"/>
      <c r="D7353" s="7"/>
      <c r="F7353" s="7"/>
      <c r="H7353" s="7"/>
      <c r="J7353" s="7"/>
      <c r="L7353" s="7"/>
      <c r="N7353" s="7"/>
      <c r="P7353" s="7"/>
      <c r="R7353" s="7"/>
      <c r="T7353" s="7"/>
      <c r="V7353" s="7"/>
      <c r="X7353" s="7"/>
    </row>
    <row r="7354" spans="2:24">
      <c r="B7354" s="7"/>
      <c r="D7354" s="7"/>
      <c r="F7354" s="7"/>
      <c r="H7354" s="7"/>
      <c r="J7354" s="7"/>
      <c r="L7354" s="7"/>
      <c r="N7354" s="7"/>
      <c r="P7354" s="7"/>
      <c r="R7354" s="7"/>
      <c r="T7354" s="7"/>
      <c r="V7354" s="7"/>
      <c r="X7354" s="7"/>
    </row>
    <row r="7355" spans="2:24">
      <c r="B7355" s="7"/>
      <c r="D7355" s="7"/>
      <c r="F7355" s="7"/>
      <c r="H7355" s="7"/>
      <c r="J7355" s="7"/>
      <c r="L7355" s="7"/>
      <c r="N7355" s="7"/>
      <c r="P7355" s="7"/>
      <c r="R7355" s="7"/>
      <c r="T7355" s="7"/>
      <c r="V7355" s="7"/>
      <c r="X7355" s="7"/>
    </row>
    <row r="7356" spans="2:24">
      <c r="B7356" s="7"/>
      <c r="D7356" s="7"/>
      <c r="F7356" s="7"/>
      <c r="H7356" s="7"/>
      <c r="J7356" s="7"/>
      <c r="L7356" s="7"/>
      <c r="N7356" s="7"/>
      <c r="P7356" s="7"/>
      <c r="R7356" s="7"/>
      <c r="T7356" s="7"/>
      <c r="V7356" s="7"/>
      <c r="X7356" s="7"/>
    </row>
    <row r="7357" spans="2:24">
      <c r="B7357" s="7"/>
      <c r="D7357" s="7"/>
      <c r="F7357" s="7"/>
      <c r="H7357" s="7"/>
      <c r="J7357" s="7"/>
      <c r="L7357" s="7"/>
      <c r="N7357" s="7"/>
      <c r="P7357" s="7"/>
      <c r="R7357" s="7"/>
      <c r="T7357" s="7"/>
      <c r="V7357" s="7"/>
      <c r="X7357" s="7"/>
    </row>
    <row r="7358" spans="2:24">
      <c r="B7358" s="7"/>
      <c r="D7358" s="7"/>
      <c r="F7358" s="7"/>
      <c r="H7358" s="7"/>
      <c r="J7358" s="7"/>
      <c r="L7358" s="7"/>
      <c r="N7358" s="7"/>
      <c r="P7358" s="7"/>
      <c r="R7358" s="7"/>
      <c r="T7358" s="7"/>
      <c r="V7358" s="7"/>
      <c r="X7358" s="7"/>
    </row>
    <row r="7359" spans="2:24">
      <c r="B7359" s="7"/>
      <c r="D7359" s="7"/>
      <c r="F7359" s="7"/>
      <c r="H7359" s="7"/>
      <c r="J7359" s="7"/>
      <c r="L7359" s="7"/>
      <c r="N7359" s="7"/>
      <c r="P7359" s="7"/>
      <c r="R7359" s="7"/>
      <c r="T7359" s="7"/>
      <c r="V7359" s="7"/>
      <c r="X7359" s="7"/>
    </row>
    <row r="7360" spans="2:24">
      <c r="B7360" s="7"/>
      <c r="D7360" s="7"/>
      <c r="F7360" s="7"/>
      <c r="H7360" s="7"/>
      <c r="J7360" s="7"/>
      <c r="L7360" s="7"/>
      <c r="N7360" s="7"/>
      <c r="P7360" s="7"/>
      <c r="R7360" s="7"/>
      <c r="T7360" s="7"/>
      <c r="V7360" s="7"/>
      <c r="X7360" s="7"/>
    </row>
    <row r="7361" spans="2:24">
      <c r="B7361" s="7"/>
      <c r="D7361" s="7"/>
      <c r="F7361" s="7"/>
      <c r="H7361" s="7"/>
      <c r="J7361" s="7"/>
      <c r="L7361" s="7"/>
      <c r="N7361" s="7"/>
      <c r="P7361" s="7"/>
      <c r="R7361" s="7"/>
      <c r="T7361" s="7"/>
      <c r="V7361" s="7"/>
      <c r="X7361" s="7"/>
    </row>
    <row r="7362" spans="2:24">
      <c r="B7362" s="7"/>
      <c r="D7362" s="7"/>
      <c r="F7362" s="7"/>
      <c r="H7362" s="7"/>
      <c r="J7362" s="7"/>
      <c r="L7362" s="7"/>
      <c r="N7362" s="7"/>
      <c r="P7362" s="7"/>
      <c r="R7362" s="7"/>
      <c r="T7362" s="7"/>
      <c r="V7362" s="7"/>
      <c r="X7362" s="7"/>
    </row>
    <row r="7363" spans="2:24">
      <c r="B7363" s="7"/>
      <c r="D7363" s="7"/>
      <c r="F7363" s="7"/>
      <c r="H7363" s="7"/>
      <c r="J7363" s="7"/>
      <c r="L7363" s="7"/>
      <c r="N7363" s="7"/>
      <c r="P7363" s="7"/>
      <c r="R7363" s="7"/>
      <c r="T7363" s="7"/>
      <c r="V7363" s="7"/>
      <c r="X7363" s="7"/>
    </row>
    <row r="7364" spans="2:24">
      <c r="B7364" s="7"/>
      <c r="D7364" s="7"/>
      <c r="F7364" s="7"/>
      <c r="H7364" s="7"/>
      <c r="J7364" s="7"/>
      <c r="L7364" s="7"/>
      <c r="N7364" s="7"/>
      <c r="P7364" s="7"/>
      <c r="R7364" s="7"/>
      <c r="T7364" s="7"/>
      <c r="V7364" s="7"/>
      <c r="X7364" s="7"/>
    </row>
    <row r="7365" spans="2:24">
      <c r="B7365" s="7"/>
      <c r="D7365" s="7"/>
      <c r="F7365" s="7"/>
      <c r="H7365" s="7"/>
      <c r="J7365" s="7"/>
      <c r="L7365" s="7"/>
      <c r="N7365" s="7"/>
      <c r="P7365" s="7"/>
      <c r="R7365" s="7"/>
      <c r="T7365" s="7"/>
      <c r="V7365" s="7"/>
      <c r="X7365" s="7"/>
    </row>
    <row r="7366" spans="2:24">
      <c r="B7366" s="7"/>
      <c r="D7366" s="7"/>
      <c r="F7366" s="7"/>
      <c r="H7366" s="7"/>
      <c r="J7366" s="7"/>
      <c r="L7366" s="7"/>
      <c r="N7366" s="7"/>
      <c r="P7366" s="7"/>
      <c r="R7366" s="7"/>
      <c r="T7366" s="7"/>
      <c r="V7366" s="7"/>
      <c r="X7366" s="7"/>
    </row>
    <row r="7367" spans="2:24">
      <c r="B7367" s="7"/>
      <c r="D7367" s="7"/>
      <c r="F7367" s="7"/>
      <c r="H7367" s="7"/>
      <c r="J7367" s="7"/>
      <c r="L7367" s="7"/>
      <c r="N7367" s="7"/>
      <c r="P7367" s="7"/>
      <c r="R7367" s="7"/>
      <c r="T7367" s="7"/>
      <c r="V7367" s="7"/>
      <c r="X7367" s="7"/>
    </row>
    <row r="7368" spans="2:24">
      <c r="B7368" s="7"/>
      <c r="D7368" s="7"/>
      <c r="F7368" s="7"/>
      <c r="H7368" s="7"/>
      <c r="J7368" s="7"/>
      <c r="L7368" s="7"/>
      <c r="N7368" s="7"/>
      <c r="P7368" s="7"/>
      <c r="R7368" s="7"/>
      <c r="T7368" s="7"/>
      <c r="V7368" s="7"/>
      <c r="X7368" s="7"/>
    </row>
    <row r="7369" spans="2:24">
      <c r="B7369" s="7"/>
      <c r="D7369" s="7"/>
      <c r="F7369" s="7"/>
      <c r="H7369" s="7"/>
      <c r="J7369" s="7"/>
      <c r="L7369" s="7"/>
      <c r="N7369" s="7"/>
      <c r="P7369" s="7"/>
      <c r="R7369" s="7"/>
      <c r="T7369" s="7"/>
      <c r="V7369" s="7"/>
      <c r="X7369" s="7"/>
    </row>
    <row r="7370" spans="2:24">
      <c r="B7370" s="7"/>
      <c r="D7370" s="7"/>
      <c r="F7370" s="7"/>
      <c r="H7370" s="7"/>
      <c r="J7370" s="7"/>
      <c r="L7370" s="7"/>
      <c r="N7370" s="7"/>
      <c r="P7370" s="7"/>
      <c r="R7370" s="7"/>
      <c r="T7370" s="7"/>
      <c r="V7370" s="7"/>
      <c r="X7370" s="7"/>
    </row>
    <row r="7371" spans="2:24">
      <c r="B7371" s="7"/>
      <c r="D7371" s="7"/>
      <c r="F7371" s="7"/>
      <c r="H7371" s="7"/>
      <c r="J7371" s="7"/>
      <c r="L7371" s="7"/>
      <c r="N7371" s="7"/>
      <c r="P7371" s="7"/>
      <c r="R7371" s="7"/>
      <c r="T7371" s="7"/>
      <c r="V7371" s="7"/>
      <c r="X7371" s="7"/>
    </row>
    <row r="7372" spans="2:24">
      <c r="B7372" s="7"/>
      <c r="D7372" s="7"/>
      <c r="F7372" s="7"/>
      <c r="H7372" s="7"/>
      <c r="J7372" s="7"/>
      <c r="L7372" s="7"/>
      <c r="N7372" s="7"/>
      <c r="P7372" s="7"/>
      <c r="R7372" s="7"/>
      <c r="T7372" s="7"/>
      <c r="V7372" s="7"/>
      <c r="X7372" s="7"/>
    </row>
    <row r="7373" spans="2:24">
      <c r="B7373" s="7"/>
      <c r="D7373" s="7"/>
      <c r="F7373" s="7"/>
      <c r="H7373" s="7"/>
      <c r="J7373" s="7"/>
      <c r="L7373" s="7"/>
      <c r="N7373" s="7"/>
      <c r="P7373" s="7"/>
      <c r="R7373" s="7"/>
      <c r="T7373" s="7"/>
      <c r="V7373" s="7"/>
      <c r="X7373" s="7"/>
    </row>
    <row r="7374" spans="2:24">
      <c r="B7374" s="7"/>
      <c r="D7374" s="7"/>
      <c r="F7374" s="7"/>
      <c r="H7374" s="7"/>
      <c r="J7374" s="7"/>
      <c r="L7374" s="7"/>
      <c r="N7374" s="7"/>
      <c r="P7374" s="7"/>
      <c r="R7374" s="7"/>
      <c r="T7374" s="7"/>
      <c r="V7374" s="7"/>
      <c r="X7374" s="7"/>
    </row>
    <row r="7375" spans="2:24">
      <c r="B7375" s="7"/>
      <c r="D7375" s="7"/>
      <c r="F7375" s="7"/>
      <c r="H7375" s="7"/>
      <c r="J7375" s="7"/>
      <c r="L7375" s="7"/>
      <c r="N7375" s="7"/>
      <c r="P7375" s="7"/>
      <c r="R7375" s="7"/>
      <c r="T7375" s="7"/>
      <c r="V7375" s="7"/>
      <c r="X7375" s="7"/>
    </row>
    <row r="7376" spans="2:24">
      <c r="B7376" s="7"/>
      <c r="D7376" s="7"/>
      <c r="F7376" s="7"/>
      <c r="H7376" s="7"/>
      <c r="J7376" s="7"/>
      <c r="L7376" s="7"/>
      <c r="N7376" s="7"/>
      <c r="P7376" s="7"/>
      <c r="R7376" s="7"/>
      <c r="T7376" s="7"/>
      <c r="V7376" s="7"/>
      <c r="X7376" s="7"/>
    </row>
    <row r="7377" spans="2:24">
      <c r="B7377" s="7"/>
      <c r="D7377" s="7"/>
      <c r="F7377" s="7"/>
      <c r="H7377" s="7"/>
      <c r="J7377" s="7"/>
      <c r="L7377" s="7"/>
      <c r="N7377" s="7"/>
      <c r="P7377" s="7"/>
      <c r="R7377" s="7"/>
      <c r="T7377" s="7"/>
      <c r="V7377" s="7"/>
      <c r="X7377" s="7"/>
    </row>
    <row r="7378" spans="2:24">
      <c r="B7378" s="7"/>
      <c r="D7378" s="7"/>
      <c r="F7378" s="7"/>
      <c r="H7378" s="7"/>
      <c r="J7378" s="7"/>
      <c r="L7378" s="7"/>
      <c r="N7378" s="7"/>
      <c r="P7378" s="7"/>
      <c r="R7378" s="7"/>
      <c r="T7378" s="7"/>
      <c r="V7378" s="7"/>
      <c r="X7378" s="7"/>
    </row>
    <row r="7379" spans="2:24">
      <c r="B7379" s="7"/>
      <c r="D7379" s="7"/>
      <c r="F7379" s="7"/>
      <c r="H7379" s="7"/>
      <c r="J7379" s="7"/>
      <c r="L7379" s="7"/>
      <c r="N7379" s="7"/>
      <c r="P7379" s="7"/>
      <c r="R7379" s="7"/>
      <c r="T7379" s="7"/>
      <c r="V7379" s="7"/>
      <c r="X7379" s="7"/>
    </row>
    <row r="7380" spans="2:24">
      <c r="B7380" s="7"/>
      <c r="D7380" s="7"/>
      <c r="F7380" s="7"/>
      <c r="H7380" s="7"/>
      <c r="J7380" s="7"/>
      <c r="L7380" s="7"/>
      <c r="N7380" s="7"/>
      <c r="P7380" s="7"/>
      <c r="R7380" s="7"/>
      <c r="T7380" s="7"/>
      <c r="V7380" s="7"/>
      <c r="X7380" s="7"/>
    </row>
    <row r="7381" spans="2:24">
      <c r="B7381" s="7"/>
      <c r="D7381" s="7"/>
      <c r="F7381" s="7"/>
      <c r="H7381" s="7"/>
      <c r="J7381" s="7"/>
      <c r="L7381" s="7"/>
      <c r="N7381" s="7"/>
      <c r="P7381" s="7"/>
      <c r="R7381" s="7"/>
      <c r="T7381" s="7"/>
      <c r="V7381" s="7"/>
      <c r="X7381" s="7"/>
    </row>
    <row r="7382" spans="2:24">
      <c r="B7382" s="7"/>
      <c r="D7382" s="7"/>
      <c r="F7382" s="7"/>
      <c r="H7382" s="7"/>
      <c r="J7382" s="7"/>
      <c r="L7382" s="7"/>
      <c r="N7382" s="7"/>
      <c r="P7382" s="7"/>
      <c r="R7382" s="7"/>
      <c r="T7382" s="7"/>
      <c r="V7382" s="7"/>
      <c r="X7382" s="7"/>
    </row>
    <row r="7383" spans="2:24">
      <c r="B7383" s="7"/>
      <c r="D7383" s="7"/>
      <c r="F7383" s="7"/>
      <c r="H7383" s="7"/>
      <c r="J7383" s="7"/>
      <c r="L7383" s="7"/>
      <c r="N7383" s="7"/>
      <c r="P7383" s="7"/>
      <c r="R7383" s="7"/>
      <c r="T7383" s="7"/>
      <c r="V7383" s="7"/>
      <c r="X7383" s="7"/>
    </row>
    <row r="7384" spans="2:24">
      <c r="B7384" s="7"/>
      <c r="D7384" s="7"/>
      <c r="F7384" s="7"/>
      <c r="H7384" s="7"/>
      <c r="J7384" s="7"/>
      <c r="L7384" s="7"/>
      <c r="N7384" s="7"/>
      <c r="P7384" s="7"/>
      <c r="R7384" s="7"/>
      <c r="T7384" s="7"/>
      <c r="V7384" s="7"/>
      <c r="X7384" s="7"/>
    </row>
    <row r="7385" spans="2:24">
      <c r="B7385" s="7"/>
      <c r="D7385" s="7"/>
      <c r="F7385" s="7"/>
      <c r="H7385" s="7"/>
      <c r="J7385" s="7"/>
      <c r="L7385" s="7"/>
      <c r="N7385" s="7"/>
      <c r="P7385" s="7"/>
      <c r="R7385" s="7"/>
      <c r="T7385" s="7"/>
      <c r="V7385" s="7"/>
      <c r="X7385" s="7"/>
    </row>
    <row r="7386" spans="2:24">
      <c r="B7386" s="7"/>
      <c r="D7386" s="7"/>
      <c r="F7386" s="7"/>
      <c r="H7386" s="7"/>
      <c r="J7386" s="7"/>
      <c r="L7386" s="7"/>
      <c r="N7386" s="7"/>
      <c r="P7386" s="7"/>
      <c r="R7386" s="7"/>
      <c r="T7386" s="7"/>
      <c r="V7386" s="7"/>
      <c r="X7386" s="7"/>
    </row>
    <row r="7387" spans="2:24">
      <c r="B7387" s="7"/>
      <c r="D7387" s="7"/>
      <c r="F7387" s="7"/>
      <c r="H7387" s="7"/>
      <c r="J7387" s="7"/>
      <c r="L7387" s="7"/>
      <c r="N7387" s="7"/>
      <c r="P7387" s="7"/>
      <c r="R7387" s="7"/>
      <c r="T7387" s="7"/>
      <c r="V7387" s="7"/>
      <c r="X7387" s="7"/>
    </row>
    <row r="7388" spans="2:24">
      <c r="B7388" s="7"/>
      <c r="D7388" s="7"/>
      <c r="F7388" s="7"/>
      <c r="H7388" s="7"/>
      <c r="J7388" s="7"/>
      <c r="L7388" s="7"/>
      <c r="N7388" s="7"/>
      <c r="P7388" s="7"/>
      <c r="R7388" s="7"/>
      <c r="T7388" s="7"/>
      <c r="V7388" s="7"/>
      <c r="X7388" s="7"/>
    </row>
    <row r="7389" spans="2:24">
      <c r="B7389" s="7"/>
      <c r="D7389" s="7"/>
      <c r="F7389" s="7"/>
      <c r="H7389" s="7"/>
      <c r="J7389" s="7"/>
      <c r="L7389" s="7"/>
      <c r="N7389" s="7"/>
      <c r="P7389" s="7"/>
      <c r="R7389" s="7"/>
      <c r="T7389" s="7"/>
      <c r="V7389" s="7"/>
      <c r="X7389" s="7"/>
    </row>
    <row r="7390" spans="2:24">
      <c r="B7390" s="7"/>
      <c r="D7390" s="7"/>
      <c r="F7390" s="7"/>
      <c r="H7390" s="7"/>
      <c r="J7390" s="7"/>
      <c r="L7390" s="7"/>
      <c r="N7390" s="7"/>
      <c r="P7390" s="7"/>
      <c r="R7390" s="7"/>
      <c r="T7390" s="7"/>
      <c r="V7390" s="7"/>
      <c r="X7390" s="7"/>
    </row>
    <row r="7391" spans="2:24">
      <c r="B7391" s="7"/>
      <c r="D7391" s="7"/>
      <c r="F7391" s="7"/>
      <c r="H7391" s="7"/>
      <c r="J7391" s="7"/>
      <c r="L7391" s="7"/>
      <c r="N7391" s="7"/>
      <c r="P7391" s="7"/>
      <c r="R7391" s="7"/>
      <c r="T7391" s="7"/>
      <c r="V7391" s="7"/>
      <c r="X7391" s="7"/>
    </row>
    <row r="7392" spans="2:24">
      <c r="B7392" s="7"/>
      <c r="D7392" s="7"/>
      <c r="F7392" s="7"/>
      <c r="H7392" s="7"/>
      <c r="J7392" s="7"/>
      <c r="L7392" s="7"/>
      <c r="N7392" s="7"/>
      <c r="P7392" s="7"/>
      <c r="R7392" s="7"/>
      <c r="T7392" s="7"/>
      <c r="V7392" s="7"/>
      <c r="X7392" s="7"/>
    </row>
    <row r="7393" spans="2:24">
      <c r="B7393" s="7"/>
      <c r="D7393" s="7"/>
      <c r="F7393" s="7"/>
      <c r="H7393" s="7"/>
      <c r="J7393" s="7"/>
      <c r="L7393" s="7"/>
      <c r="N7393" s="7"/>
      <c r="P7393" s="7"/>
      <c r="R7393" s="7"/>
      <c r="T7393" s="7"/>
      <c r="V7393" s="7"/>
      <c r="X7393" s="7"/>
    </row>
    <row r="7394" spans="2:24">
      <c r="B7394" s="7"/>
      <c r="D7394" s="7"/>
      <c r="F7394" s="7"/>
      <c r="H7394" s="7"/>
      <c r="J7394" s="7"/>
      <c r="L7394" s="7"/>
      <c r="N7394" s="7"/>
      <c r="P7394" s="7"/>
      <c r="R7394" s="7"/>
      <c r="T7394" s="7"/>
      <c r="V7394" s="7"/>
      <c r="X7394" s="7"/>
    </row>
    <row r="7395" spans="2:24">
      <c r="B7395" s="7"/>
      <c r="D7395" s="7"/>
      <c r="F7395" s="7"/>
      <c r="H7395" s="7"/>
      <c r="J7395" s="7"/>
      <c r="L7395" s="7"/>
      <c r="N7395" s="7"/>
      <c r="P7395" s="7"/>
      <c r="R7395" s="7"/>
      <c r="T7395" s="7"/>
      <c r="V7395" s="7"/>
      <c r="X7395" s="7"/>
    </row>
    <row r="7396" spans="2:24">
      <c r="B7396" s="7"/>
      <c r="D7396" s="7"/>
      <c r="F7396" s="7"/>
      <c r="H7396" s="7"/>
      <c r="J7396" s="7"/>
      <c r="L7396" s="7"/>
      <c r="N7396" s="7"/>
      <c r="P7396" s="7"/>
      <c r="R7396" s="7"/>
      <c r="T7396" s="7"/>
      <c r="V7396" s="7"/>
      <c r="X7396" s="7"/>
    </row>
    <row r="7397" spans="2:24">
      <c r="B7397" s="7"/>
      <c r="D7397" s="7"/>
      <c r="F7397" s="7"/>
      <c r="H7397" s="7"/>
      <c r="J7397" s="7"/>
      <c r="L7397" s="7"/>
      <c r="N7397" s="7"/>
      <c r="P7397" s="7"/>
      <c r="R7397" s="7"/>
      <c r="T7397" s="7"/>
      <c r="V7397" s="7"/>
      <c r="X7397" s="7"/>
    </row>
    <row r="7398" spans="2:24">
      <c r="B7398" s="7"/>
      <c r="D7398" s="7"/>
      <c r="F7398" s="7"/>
      <c r="H7398" s="7"/>
      <c r="J7398" s="7"/>
      <c r="L7398" s="7"/>
      <c r="N7398" s="7"/>
      <c r="P7398" s="7"/>
      <c r="R7398" s="7"/>
      <c r="T7398" s="7"/>
      <c r="V7398" s="7"/>
      <c r="X7398" s="7"/>
    </row>
    <row r="7399" spans="2:24">
      <c r="B7399" s="7"/>
      <c r="D7399" s="7"/>
      <c r="F7399" s="7"/>
      <c r="H7399" s="7"/>
      <c r="J7399" s="7"/>
      <c r="L7399" s="7"/>
      <c r="N7399" s="7"/>
      <c r="P7399" s="7"/>
      <c r="R7399" s="7"/>
      <c r="T7399" s="7"/>
      <c r="V7399" s="7"/>
      <c r="X7399" s="7"/>
    </row>
    <row r="7400" spans="2:24">
      <c r="B7400" s="7"/>
      <c r="D7400" s="7"/>
      <c r="F7400" s="7"/>
      <c r="H7400" s="7"/>
      <c r="J7400" s="7"/>
      <c r="L7400" s="7"/>
      <c r="N7400" s="7"/>
      <c r="P7400" s="7"/>
      <c r="R7400" s="7"/>
      <c r="T7400" s="7"/>
      <c r="V7400" s="7"/>
      <c r="X7400" s="7"/>
    </row>
    <row r="7401" spans="2:24">
      <c r="B7401" s="7"/>
      <c r="D7401" s="7"/>
      <c r="F7401" s="7"/>
      <c r="H7401" s="7"/>
      <c r="J7401" s="7"/>
      <c r="L7401" s="7"/>
      <c r="N7401" s="7"/>
      <c r="P7401" s="7"/>
      <c r="R7401" s="7"/>
      <c r="T7401" s="7"/>
      <c r="V7401" s="7"/>
      <c r="X7401" s="7"/>
    </row>
    <row r="7402" spans="2:24">
      <c r="B7402" s="7"/>
      <c r="D7402" s="7"/>
      <c r="F7402" s="7"/>
      <c r="H7402" s="7"/>
      <c r="J7402" s="7"/>
      <c r="L7402" s="7"/>
      <c r="N7402" s="7"/>
      <c r="P7402" s="7"/>
      <c r="R7402" s="7"/>
      <c r="T7402" s="7"/>
      <c r="V7402" s="7"/>
      <c r="X7402" s="7"/>
    </row>
    <row r="7403" spans="2:24">
      <c r="B7403" s="7"/>
      <c r="D7403" s="7"/>
      <c r="F7403" s="7"/>
      <c r="H7403" s="7"/>
      <c r="J7403" s="7"/>
      <c r="L7403" s="7"/>
      <c r="N7403" s="7"/>
      <c r="P7403" s="7"/>
      <c r="R7403" s="7"/>
      <c r="T7403" s="7"/>
      <c r="V7403" s="7"/>
      <c r="X7403" s="7"/>
    </row>
    <row r="7404" spans="2:24">
      <c r="B7404" s="7"/>
      <c r="D7404" s="7"/>
      <c r="F7404" s="7"/>
      <c r="H7404" s="7"/>
      <c r="J7404" s="7"/>
      <c r="L7404" s="7"/>
      <c r="N7404" s="7"/>
      <c r="P7404" s="7"/>
      <c r="R7404" s="7"/>
      <c r="T7404" s="7"/>
      <c r="V7404" s="7"/>
      <c r="X7404" s="7"/>
    </row>
    <row r="7405" spans="2:24">
      <c r="B7405" s="7"/>
      <c r="D7405" s="7"/>
      <c r="F7405" s="7"/>
      <c r="H7405" s="7"/>
      <c r="J7405" s="7"/>
      <c r="L7405" s="7"/>
      <c r="N7405" s="7"/>
      <c r="P7405" s="7"/>
      <c r="R7405" s="7"/>
      <c r="T7405" s="7"/>
      <c r="V7405" s="7"/>
      <c r="X7405" s="7"/>
    </row>
    <row r="7406" spans="2:24">
      <c r="B7406" s="7"/>
      <c r="D7406" s="7"/>
      <c r="F7406" s="7"/>
      <c r="H7406" s="7"/>
      <c r="J7406" s="7"/>
      <c r="L7406" s="7"/>
      <c r="N7406" s="7"/>
      <c r="P7406" s="7"/>
      <c r="R7406" s="7"/>
      <c r="T7406" s="7"/>
      <c r="V7406" s="7"/>
      <c r="X7406" s="7"/>
    </row>
    <row r="7407" spans="2:24">
      <c r="B7407" s="7"/>
      <c r="D7407" s="7"/>
      <c r="F7407" s="7"/>
      <c r="H7407" s="7"/>
      <c r="J7407" s="7"/>
      <c r="L7407" s="7"/>
      <c r="N7407" s="7"/>
      <c r="P7407" s="7"/>
      <c r="R7407" s="7"/>
      <c r="T7407" s="7"/>
      <c r="V7407" s="7"/>
      <c r="X7407" s="7"/>
    </row>
    <row r="7408" spans="2:24">
      <c r="B7408" s="7"/>
      <c r="D7408" s="7"/>
      <c r="F7408" s="7"/>
      <c r="H7408" s="7"/>
      <c r="J7408" s="7"/>
      <c r="L7408" s="7"/>
      <c r="N7408" s="7"/>
      <c r="P7408" s="7"/>
      <c r="R7408" s="7"/>
      <c r="T7408" s="7"/>
      <c r="V7408" s="7"/>
      <c r="X7408" s="7"/>
    </row>
    <row r="7409" spans="2:24">
      <c r="B7409" s="7"/>
      <c r="D7409" s="7"/>
      <c r="F7409" s="7"/>
      <c r="H7409" s="7"/>
      <c r="J7409" s="7"/>
      <c r="L7409" s="7"/>
      <c r="N7409" s="7"/>
      <c r="P7409" s="7"/>
      <c r="R7409" s="7"/>
      <c r="T7409" s="7"/>
      <c r="V7409" s="7"/>
      <c r="X7409" s="7"/>
    </row>
    <row r="7410" spans="2:24">
      <c r="B7410" s="7"/>
      <c r="D7410" s="7"/>
      <c r="F7410" s="7"/>
      <c r="H7410" s="7"/>
      <c r="J7410" s="7"/>
      <c r="L7410" s="7"/>
      <c r="N7410" s="7"/>
      <c r="P7410" s="7"/>
      <c r="R7410" s="7"/>
      <c r="T7410" s="7"/>
      <c r="V7410" s="7"/>
      <c r="X7410" s="7"/>
    </row>
    <row r="7411" spans="2:24">
      <c r="B7411" s="7"/>
      <c r="D7411" s="7"/>
      <c r="F7411" s="7"/>
      <c r="H7411" s="7"/>
      <c r="J7411" s="7"/>
      <c r="L7411" s="7"/>
      <c r="N7411" s="7"/>
      <c r="P7411" s="7"/>
      <c r="R7411" s="7"/>
      <c r="T7411" s="7"/>
      <c r="V7411" s="7"/>
      <c r="X7411" s="7"/>
    </row>
    <row r="7412" spans="2:24">
      <c r="B7412" s="7"/>
      <c r="D7412" s="7"/>
      <c r="F7412" s="7"/>
      <c r="H7412" s="7"/>
      <c r="J7412" s="7"/>
      <c r="L7412" s="7"/>
      <c r="N7412" s="7"/>
      <c r="P7412" s="7"/>
      <c r="R7412" s="7"/>
      <c r="T7412" s="7"/>
      <c r="V7412" s="7"/>
      <c r="X7412" s="7"/>
    </row>
    <row r="7413" spans="2:24">
      <c r="B7413" s="7"/>
      <c r="D7413" s="7"/>
      <c r="F7413" s="7"/>
      <c r="H7413" s="7"/>
      <c r="J7413" s="7"/>
      <c r="L7413" s="7"/>
      <c r="N7413" s="7"/>
      <c r="P7413" s="7"/>
      <c r="R7413" s="7"/>
      <c r="T7413" s="7"/>
      <c r="V7413" s="7"/>
      <c r="X7413" s="7"/>
    </row>
    <row r="7414" spans="2:24">
      <c r="B7414" s="7"/>
      <c r="D7414" s="7"/>
      <c r="F7414" s="7"/>
      <c r="H7414" s="7"/>
      <c r="J7414" s="7"/>
      <c r="L7414" s="7"/>
      <c r="N7414" s="7"/>
      <c r="P7414" s="7"/>
      <c r="R7414" s="7"/>
      <c r="T7414" s="7"/>
      <c r="V7414" s="7"/>
      <c r="X7414" s="7"/>
    </row>
    <row r="7415" spans="2:24">
      <c r="B7415" s="7"/>
      <c r="D7415" s="7"/>
      <c r="F7415" s="7"/>
      <c r="H7415" s="7"/>
      <c r="J7415" s="7"/>
      <c r="L7415" s="7"/>
      <c r="N7415" s="7"/>
      <c r="P7415" s="7"/>
      <c r="R7415" s="7"/>
      <c r="T7415" s="7"/>
      <c r="V7415" s="7"/>
      <c r="X7415" s="7"/>
    </row>
    <row r="7416" spans="2:24">
      <c r="B7416" s="7"/>
      <c r="D7416" s="7"/>
      <c r="F7416" s="7"/>
      <c r="H7416" s="7"/>
      <c r="J7416" s="7"/>
      <c r="L7416" s="7"/>
      <c r="N7416" s="7"/>
      <c r="P7416" s="7"/>
      <c r="R7416" s="7"/>
      <c r="T7416" s="7"/>
      <c r="V7416" s="7"/>
      <c r="X7416" s="7"/>
    </row>
    <row r="7417" spans="2:24">
      <c r="B7417" s="7"/>
      <c r="D7417" s="7"/>
      <c r="F7417" s="7"/>
      <c r="H7417" s="7"/>
      <c r="J7417" s="7"/>
      <c r="L7417" s="7"/>
      <c r="N7417" s="7"/>
      <c r="P7417" s="7"/>
      <c r="R7417" s="7"/>
      <c r="T7417" s="7"/>
      <c r="V7417" s="7"/>
      <c r="X7417" s="7"/>
    </row>
    <row r="7418" spans="2:24">
      <c r="B7418" s="7"/>
      <c r="D7418" s="7"/>
      <c r="F7418" s="7"/>
      <c r="H7418" s="7"/>
      <c r="J7418" s="7"/>
      <c r="L7418" s="7"/>
      <c r="N7418" s="7"/>
      <c r="P7418" s="7"/>
      <c r="R7418" s="7"/>
      <c r="T7418" s="7"/>
      <c r="V7418" s="7"/>
      <c r="X7418" s="7"/>
    </row>
    <row r="7419" spans="2:24">
      <c r="B7419" s="7"/>
      <c r="D7419" s="7"/>
      <c r="F7419" s="7"/>
      <c r="H7419" s="7"/>
      <c r="J7419" s="7"/>
      <c r="L7419" s="7"/>
      <c r="N7419" s="7"/>
      <c r="P7419" s="7"/>
      <c r="R7419" s="7"/>
      <c r="T7419" s="7"/>
      <c r="V7419" s="7"/>
      <c r="X7419" s="7"/>
    </row>
    <row r="7420" spans="2:24">
      <c r="B7420" s="7"/>
      <c r="D7420" s="7"/>
      <c r="F7420" s="7"/>
      <c r="H7420" s="7"/>
      <c r="J7420" s="7"/>
      <c r="L7420" s="7"/>
      <c r="N7420" s="7"/>
      <c r="P7420" s="7"/>
      <c r="R7420" s="7"/>
      <c r="T7420" s="7"/>
      <c r="V7420" s="7"/>
      <c r="X7420" s="7"/>
    </row>
    <row r="7421" spans="2:24">
      <c r="B7421" s="7"/>
      <c r="D7421" s="7"/>
      <c r="F7421" s="7"/>
      <c r="H7421" s="7"/>
      <c r="J7421" s="7"/>
      <c r="L7421" s="7"/>
      <c r="N7421" s="7"/>
      <c r="P7421" s="7"/>
      <c r="R7421" s="7"/>
      <c r="T7421" s="7"/>
      <c r="V7421" s="7"/>
      <c r="X7421" s="7"/>
    </row>
    <row r="7422" spans="2:24">
      <c r="B7422" s="7"/>
      <c r="D7422" s="7"/>
      <c r="F7422" s="7"/>
      <c r="H7422" s="7"/>
      <c r="J7422" s="7"/>
      <c r="L7422" s="7"/>
      <c r="N7422" s="7"/>
      <c r="P7422" s="7"/>
      <c r="R7422" s="7"/>
      <c r="T7422" s="7"/>
      <c r="V7422" s="7"/>
      <c r="X7422" s="7"/>
    </row>
    <row r="7423" spans="2:24">
      <c r="B7423" s="7"/>
      <c r="D7423" s="7"/>
      <c r="F7423" s="7"/>
      <c r="H7423" s="7"/>
      <c r="J7423" s="7"/>
      <c r="L7423" s="7"/>
      <c r="N7423" s="7"/>
      <c r="P7423" s="7"/>
      <c r="R7423" s="7"/>
      <c r="T7423" s="7"/>
      <c r="V7423" s="7"/>
      <c r="X7423" s="7"/>
    </row>
    <row r="7424" spans="2:24">
      <c r="B7424" s="7"/>
      <c r="D7424" s="7"/>
      <c r="F7424" s="7"/>
      <c r="H7424" s="7"/>
      <c r="J7424" s="7"/>
      <c r="L7424" s="7"/>
      <c r="N7424" s="7"/>
      <c r="P7424" s="7"/>
      <c r="R7424" s="7"/>
      <c r="T7424" s="7"/>
      <c r="V7424" s="7"/>
      <c r="X7424" s="7"/>
    </row>
    <row r="7425" spans="2:24">
      <c r="B7425" s="7"/>
      <c r="D7425" s="7"/>
      <c r="F7425" s="7"/>
      <c r="H7425" s="7"/>
      <c r="J7425" s="7"/>
      <c r="L7425" s="7"/>
      <c r="N7425" s="7"/>
      <c r="P7425" s="7"/>
      <c r="R7425" s="7"/>
      <c r="T7425" s="7"/>
      <c r="V7425" s="7"/>
      <c r="X7425" s="7"/>
    </row>
    <row r="7426" spans="2:24">
      <c r="B7426" s="7"/>
      <c r="D7426" s="7"/>
      <c r="F7426" s="7"/>
      <c r="H7426" s="7"/>
      <c r="J7426" s="7"/>
      <c r="L7426" s="7"/>
      <c r="N7426" s="7"/>
      <c r="P7426" s="7"/>
      <c r="R7426" s="7"/>
      <c r="T7426" s="7"/>
      <c r="V7426" s="7"/>
      <c r="X7426" s="7"/>
    </row>
    <row r="7427" spans="2:24">
      <c r="B7427" s="7"/>
      <c r="D7427" s="7"/>
      <c r="F7427" s="7"/>
      <c r="H7427" s="7"/>
      <c r="J7427" s="7"/>
      <c r="L7427" s="7"/>
      <c r="N7427" s="7"/>
      <c r="P7427" s="7"/>
      <c r="R7427" s="7"/>
      <c r="T7427" s="7"/>
      <c r="V7427" s="7"/>
      <c r="X7427" s="7"/>
    </row>
    <row r="7428" spans="2:24">
      <c r="B7428" s="7"/>
      <c r="D7428" s="7"/>
      <c r="F7428" s="7"/>
      <c r="H7428" s="7"/>
      <c r="J7428" s="7"/>
      <c r="L7428" s="7"/>
      <c r="N7428" s="7"/>
      <c r="P7428" s="7"/>
      <c r="R7428" s="7"/>
      <c r="T7428" s="7"/>
      <c r="V7428" s="7"/>
      <c r="X7428" s="7"/>
    </row>
    <row r="7429" spans="2:24">
      <c r="B7429" s="7"/>
      <c r="D7429" s="7"/>
      <c r="F7429" s="7"/>
      <c r="H7429" s="7"/>
      <c r="J7429" s="7"/>
      <c r="L7429" s="7"/>
      <c r="N7429" s="7"/>
      <c r="P7429" s="7"/>
      <c r="R7429" s="7"/>
      <c r="T7429" s="7"/>
      <c r="V7429" s="7"/>
      <c r="X7429" s="7"/>
    </row>
    <row r="7430" spans="2:24">
      <c r="B7430" s="7"/>
      <c r="D7430" s="7"/>
      <c r="F7430" s="7"/>
      <c r="H7430" s="7"/>
      <c r="J7430" s="7"/>
      <c r="L7430" s="7"/>
      <c r="N7430" s="7"/>
      <c r="P7430" s="7"/>
      <c r="R7430" s="7"/>
      <c r="T7430" s="7"/>
      <c r="V7430" s="7"/>
      <c r="X7430" s="7"/>
    </row>
    <row r="7431" spans="2:24">
      <c r="B7431" s="7"/>
      <c r="D7431" s="7"/>
      <c r="F7431" s="7"/>
      <c r="H7431" s="7"/>
      <c r="J7431" s="7"/>
      <c r="L7431" s="7"/>
      <c r="N7431" s="7"/>
      <c r="P7431" s="7"/>
      <c r="R7431" s="7"/>
      <c r="T7431" s="7"/>
      <c r="V7431" s="7"/>
      <c r="X7431" s="7"/>
    </row>
    <row r="7432" spans="2:24">
      <c r="B7432" s="7"/>
      <c r="D7432" s="7"/>
      <c r="F7432" s="7"/>
      <c r="H7432" s="7"/>
      <c r="J7432" s="7"/>
      <c r="L7432" s="7"/>
      <c r="N7432" s="7"/>
      <c r="P7432" s="7"/>
      <c r="R7432" s="7"/>
      <c r="T7432" s="7"/>
      <c r="V7432" s="7"/>
      <c r="X7432" s="7"/>
    </row>
    <row r="7433" spans="2:24">
      <c r="B7433" s="7"/>
      <c r="D7433" s="7"/>
      <c r="F7433" s="7"/>
      <c r="H7433" s="7"/>
      <c r="J7433" s="7"/>
      <c r="L7433" s="7"/>
      <c r="N7433" s="7"/>
      <c r="P7433" s="7"/>
      <c r="R7433" s="7"/>
      <c r="T7433" s="7"/>
      <c r="V7433" s="7"/>
      <c r="X7433" s="7"/>
    </row>
    <row r="7434" spans="2:24">
      <c r="B7434" s="7"/>
      <c r="D7434" s="7"/>
      <c r="F7434" s="7"/>
      <c r="H7434" s="7"/>
      <c r="J7434" s="7"/>
      <c r="L7434" s="7"/>
      <c r="N7434" s="7"/>
      <c r="P7434" s="7"/>
      <c r="R7434" s="7"/>
      <c r="T7434" s="7"/>
      <c r="V7434" s="7"/>
      <c r="X7434" s="7"/>
    </row>
    <row r="7435" spans="2:24">
      <c r="B7435" s="7"/>
      <c r="D7435" s="7"/>
      <c r="F7435" s="7"/>
      <c r="H7435" s="7"/>
      <c r="J7435" s="7"/>
      <c r="L7435" s="7"/>
      <c r="N7435" s="7"/>
      <c r="P7435" s="7"/>
      <c r="R7435" s="7"/>
      <c r="T7435" s="7"/>
      <c r="V7435" s="7"/>
      <c r="X7435" s="7"/>
    </row>
    <row r="7436" spans="2:24">
      <c r="B7436" s="7"/>
      <c r="D7436" s="7"/>
      <c r="F7436" s="7"/>
      <c r="H7436" s="7"/>
      <c r="J7436" s="7"/>
      <c r="L7436" s="7"/>
      <c r="N7436" s="7"/>
      <c r="P7436" s="7"/>
      <c r="R7436" s="7"/>
      <c r="T7436" s="7"/>
      <c r="V7436" s="7"/>
      <c r="X7436" s="7"/>
    </row>
    <row r="7437" spans="2:24">
      <c r="B7437" s="7"/>
      <c r="D7437" s="7"/>
      <c r="F7437" s="7"/>
      <c r="H7437" s="7"/>
      <c r="J7437" s="7"/>
      <c r="L7437" s="7"/>
      <c r="N7437" s="7"/>
      <c r="P7437" s="7"/>
      <c r="R7437" s="7"/>
      <c r="T7437" s="7"/>
      <c r="V7437" s="7"/>
      <c r="X7437" s="7"/>
    </row>
    <row r="7438" spans="2:24">
      <c r="B7438" s="7"/>
      <c r="D7438" s="7"/>
      <c r="F7438" s="7"/>
      <c r="H7438" s="7"/>
      <c r="J7438" s="7"/>
      <c r="L7438" s="7"/>
      <c r="N7438" s="7"/>
      <c r="P7438" s="7"/>
      <c r="R7438" s="7"/>
      <c r="T7438" s="7"/>
      <c r="V7438" s="7"/>
      <c r="X7438" s="7"/>
    </row>
    <row r="7439" spans="2:24">
      <c r="B7439" s="7"/>
      <c r="D7439" s="7"/>
      <c r="F7439" s="7"/>
      <c r="H7439" s="7"/>
      <c r="J7439" s="7"/>
      <c r="L7439" s="7"/>
      <c r="N7439" s="7"/>
      <c r="P7439" s="7"/>
      <c r="R7439" s="7"/>
      <c r="T7439" s="7"/>
      <c r="V7439" s="7"/>
      <c r="X7439" s="7"/>
    </row>
    <row r="7440" spans="2:24">
      <c r="B7440" s="7"/>
      <c r="D7440" s="7"/>
      <c r="F7440" s="7"/>
      <c r="H7440" s="7"/>
      <c r="J7440" s="7"/>
      <c r="L7440" s="7"/>
      <c r="N7440" s="7"/>
      <c r="P7440" s="7"/>
      <c r="R7440" s="7"/>
      <c r="T7440" s="7"/>
      <c r="V7440" s="7"/>
      <c r="X7440" s="7"/>
    </row>
    <row r="7441" spans="2:24">
      <c r="B7441" s="7"/>
      <c r="D7441" s="7"/>
      <c r="F7441" s="7"/>
      <c r="H7441" s="7"/>
      <c r="J7441" s="7"/>
      <c r="L7441" s="7"/>
      <c r="N7441" s="7"/>
      <c r="P7441" s="7"/>
      <c r="R7441" s="7"/>
      <c r="T7441" s="7"/>
      <c r="V7441" s="7"/>
      <c r="X7441" s="7"/>
    </row>
    <row r="7442" spans="2:24">
      <c r="B7442" s="7"/>
      <c r="D7442" s="7"/>
      <c r="F7442" s="7"/>
      <c r="H7442" s="7"/>
      <c r="J7442" s="7"/>
      <c r="L7442" s="7"/>
      <c r="N7442" s="7"/>
      <c r="P7442" s="7"/>
      <c r="R7442" s="7"/>
      <c r="T7442" s="7"/>
      <c r="V7442" s="7"/>
      <c r="X7442" s="7"/>
    </row>
    <row r="7443" spans="2:24">
      <c r="B7443" s="7"/>
      <c r="D7443" s="7"/>
      <c r="F7443" s="7"/>
      <c r="H7443" s="7"/>
      <c r="J7443" s="7"/>
      <c r="L7443" s="7"/>
      <c r="N7443" s="7"/>
      <c r="P7443" s="7"/>
      <c r="R7443" s="7"/>
      <c r="T7443" s="7"/>
      <c r="V7443" s="7"/>
      <c r="X7443" s="7"/>
    </row>
    <row r="7444" spans="2:24">
      <c r="B7444" s="7"/>
      <c r="D7444" s="7"/>
      <c r="F7444" s="7"/>
      <c r="H7444" s="7"/>
      <c r="J7444" s="7"/>
      <c r="L7444" s="7"/>
      <c r="N7444" s="7"/>
      <c r="P7444" s="7"/>
      <c r="R7444" s="7"/>
      <c r="T7444" s="7"/>
      <c r="V7444" s="7"/>
      <c r="X7444" s="7"/>
    </row>
    <row r="7445" spans="2:24">
      <c r="B7445" s="7"/>
      <c r="D7445" s="7"/>
      <c r="F7445" s="7"/>
      <c r="H7445" s="7"/>
      <c r="J7445" s="7"/>
      <c r="L7445" s="7"/>
      <c r="N7445" s="7"/>
      <c r="P7445" s="7"/>
      <c r="R7445" s="7"/>
      <c r="T7445" s="7"/>
      <c r="V7445" s="7"/>
      <c r="X7445" s="7"/>
    </row>
    <row r="7446" spans="2:24">
      <c r="B7446" s="7"/>
      <c r="D7446" s="7"/>
      <c r="F7446" s="7"/>
      <c r="H7446" s="7"/>
      <c r="J7446" s="7"/>
      <c r="L7446" s="7"/>
      <c r="N7446" s="7"/>
      <c r="P7446" s="7"/>
      <c r="R7446" s="7"/>
      <c r="T7446" s="7"/>
      <c r="V7446" s="7"/>
      <c r="X7446" s="7"/>
    </row>
    <row r="7447" spans="2:24">
      <c r="B7447" s="7"/>
      <c r="D7447" s="7"/>
      <c r="F7447" s="7"/>
      <c r="H7447" s="7"/>
      <c r="J7447" s="7"/>
      <c r="L7447" s="7"/>
      <c r="N7447" s="7"/>
      <c r="P7447" s="7"/>
      <c r="R7447" s="7"/>
      <c r="T7447" s="7"/>
      <c r="V7447" s="7"/>
      <c r="X7447" s="7"/>
    </row>
    <row r="7448" spans="2:24">
      <c r="B7448" s="7"/>
      <c r="D7448" s="7"/>
      <c r="F7448" s="7"/>
      <c r="H7448" s="7"/>
      <c r="J7448" s="7"/>
      <c r="L7448" s="7"/>
      <c r="N7448" s="7"/>
      <c r="P7448" s="7"/>
      <c r="R7448" s="7"/>
      <c r="T7448" s="7"/>
      <c r="V7448" s="7"/>
      <c r="X7448" s="7"/>
    </row>
    <row r="7449" spans="2:24">
      <c r="B7449" s="7"/>
      <c r="D7449" s="7"/>
      <c r="F7449" s="7"/>
      <c r="H7449" s="7"/>
      <c r="J7449" s="7"/>
      <c r="L7449" s="7"/>
      <c r="N7449" s="7"/>
      <c r="P7449" s="7"/>
      <c r="R7449" s="7"/>
      <c r="T7449" s="7"/>
      <c r="V7449" s="7"/>
      <c r="X7449" s="7"/>
    </row>
    <row r="7450" spans="2:24">
      <c r="B7450" s="7"/>
      <c r="D7450" s="7"/>
      <c r="F7450" s="7"/>
      <c r="H7450" s="7"/>
      <c r="J7450" s="7"/>
      <c r="L7450" s="7"/>
      <c r="N7450" s="7"/>
      <c r="P7450" s="7"/>
      <c r="R7450" s="7"/>
      <c r="T7450" s="7"/>
      <c r="V7450" s="7"/>
      <c r="X7450" s="7"/>
    </row>
    <row r="7451" spans="2:24">
      <c r="B7451" s="7"/>
      <c r="D7451" s="7"/>
      <c r="F7451" s="7"/>
      <c r="H7451" s="7"/>
      <c r="J7451" s="7"/>
      <c r="L7451" s="7"/>
      <c r="N7451" s="7"/>
      <c r="P7451" s="7"/>
      <c r="R7451" s="7"/>
      <c r="T7451" s="7"/>
      <c r="V7451" s="7"/>
      <c r="X7451" s="7"/>
    </row>
    <row r="7452" spans="2:24">
      <c r="B7452" s="7"/>
      <c r="D7452" s="7"/>
      <c r="F7452" s="7"/>
      <c r="H7452" s="7"/>
      <c r="J7452" s="7"/>
      <c r="L7452" s="7"/>
      <c r="N7452" s="7"/>
      <c r="P7452" s="7"/>
      <c r="R7452" s="7"/>
      <c r="T7452" s="7"/>
      <c r="V7452" s="7"/>
      <c r="X7452" s="7"/>
    </row>
    <row r="7453" spans="2:24">
      <c r="B7453" s="7"/>
      <c r="D7453" s="7"/>
      <c r="F7453" s="7"/>
      <c r="H7453" s="7"/>
      <c r="J7453" s="7"/>
      <c r="L7453" s="7"/>
      <c r="N7453" s="7"/>
      <c r="P7453" s="7"/>
      <c r="R7453" s="7"/>
      <c r="T7453" s="7"/>
      <c r="V7453" s="7"/>
      <c r="X7453" s="7"/>
    </row>
    <row r="7454" spans="2:24">
      <c r="B7454" s="7"/>
      <c r="D7454" s="7"/>
      <c r="F7454" s="7"/>
      <c r="H7454" s="7"/>
      <c r="J7454" s="7"/>
      <c r="L7454" s="7"/>
      <c r="N7454" s="7"/>
      <c r="P7454" s="7"/>
      <c r="R7454" s="7"/>
      <c r="T7454" s="7"/>
      <c r="V7454" s="7"/>
      <c r="X7454" s="7"/>
    </row>
    <row r="7455" spans="2:24">
      <c r="B7455" s="7"/>
      <c r="D7455" s="7"/>
      <c r="F7455" s="7"/>
      <c r="H7455" s="7"/>
      <c r="J7455" s="7"/>
      <c r="L7455" s="7"/>
      <c r="N7455" s="7"/>
      <c r="P7455" s="7"/>
      <c r="R7455" s="7"/>
      <c r="T7455" s="7"/>
      <c r="V7455" s="7"/>
      <c r="X7455" s="7"/>
    </row>
    <row r="7456" spans="2:24">
      <c r="B7456" s="7"/>
      <c r="D7456" s="7"/>
      <c r="F7456" s="7"/>
      <c r="H7456" s="7"/>
      <c r="J7456" s="7"/>
      <c r="L7456" s="7"/>
      <c r="N7456" s="7"/>
      <c r="P7456" s="7"/>
      <c r="R7456" s="7"/>
      <c r="T7456" s="7"/>
      <c r="V7456" s="7"/>
      <c r="X7456" s="7"/>
    </row>
    <row r="7457" spans="2:24">
      <c r="B7457" s="7"/>
      <c r="D7457" s="7"/>
      <c r="F7457" s="7"/>
      <c r="H7457" s="7"/>
      <c r="J7457" s="7"/>
      <c r="L7457" s="7"/>
      <c r="N7457" s="7"/>
      <c r="P7457" s="7"/>
      <c r="R7457" s="7"/>
      <c r="T7457" s="7"/>
      <c r="V7457" s="7"/>
      <c r="X7457" s="7"/>
    </row>
    <row r="7458" spans="2:24">
      <c r="B7458" s="7"/>
      <c r="D7458" s="7"/>
      <c r="F7458" s="7"/>
      <c r="H7458" s="7"/>
      <c r="J7458" s="7"/>
      <c r="L7458" s="7"/>
      <c r="N7458" s="7"/>
      <c r="P7458" s="7"/>
      <c r="R7458" s="7"/>
      <c r="T7458" s="7"/>
      <c r="V7458" s="7"/>
      <c r="X7458" s="7"/>
    </row>
    <row r="7459" spans="2:24">
      <c r="B7459" s="7"/>
      <c r="D7459" s="7"/>
      <c r="F7459" s="7"/>
      <c r="H7459" s="7"/>
      <c r="J7459" s="7"/>
      <c r="L7459" s="7"/>
      <c r="N7459" s="7"/>
      <c r="P7459" s="7"/>
      <c r="R7459" s="7"/>
      <c r="T7459" s="7"/>
      <c r="V7459" s="7"/>
      <c r="X7459" s="7"/>
    </row>
    <row r="7460" spans="2:24">
      <c r="B7460" s="7"/>
      <c r="D7460" s="7"/>
      <c r="F7460" s="7"/>
      <c r="H7460" s="7"/>
      <c r="J7460" s="7"/>
      <c r="L7460" s="7"/>
      <c r="N7460" s="7"/>
      <c r="P7460" s="7"/>
      <c r="R7460" s="7"/>
      <c r="T7460" s="7"/>
      <c r="V7460" s="7"/>
      <c r="X7460" s="7"/>
    </row>
    <row r="7461" spans="2:24">
      <c r="B7461" s="7"/>
      <c r="D7461" s="7"/>
      <c r="F7461" s="7"/>
      <c r="H7461" s="7"/>
      <c r="J7461" s="7"/>
      <c r="L7461" s="7"/>
      <c r="N7461" s="7"/>
      <c r="P7461" s="7"/>
      <c r="R7461" s="7"/>
      <c r="T7461" s="7"/>
      <c r="V7461" s="7"/>
      <c r="X7461" s="7"/>
    </row>
    <row r="7462" spans="2:24">
      <c r="B7462" s="7"/>
      <c r="D7462" s="7"/>
      <c r="F7462" s="7"/>
      <c r="H7462" s="7"/>
      <c r="J7462" s="7"/>
      <c r="L7462" s="7"/>
      <c r="N7462" s="7"/>
      <c r="P7462" s="7"/>
      <c r="R7462" s="7"/>
      <c r="T7462" s="7"/>
      <c r="V7462" s="7"/>
      <c r="X7462" s="7"/>
    </row>
    <row r="7463" spans="2:24">
      <c r="B7463" s="7"/>
      <c r="D7463" s="7"/>
      <c r="F7463" s="7"/>
      <c r="H7463" s="7"/>
      <c r="J7463" s="7"/>
      <c r="L7463" s="7"/>
      <c r="N7463" s="7"/>
      <c r="P7463" s="7"/>
      <c r="R7463" s="7"/>
      <c r="T7463" s="7"/>
      <c r="V7463" s="7"/>
      <c r="X7463" s="7"/>
    </row>
    <row r="7464" spans="2:24">
      <c r="B7464" s="7"/>
      <c r="D7464" s="7"/>
      <c r="F7464" s="7"/>
      <c r="H7464" s="7"/>
      <c r="J7464" s="7"/>
      <c r="L7464" s="7"/>
      <c r="N7464" s="7"/>
      <c r="P7464" s="7"/>
      <c r="R7464" s="7"/>
      <c r="T7464" s="7"/>
      <c r="V7464" s="7"/>
      <c r="X7464" s="7"/>
    </row>
    <row r="7465" spans="2:24">
      <c r="B7465" s="7"/>
      <c r="D7465" s="7"/>
      <c r="F7465" s="7"/>
      <c r="H7465" s="7"/>
      <c r="J7465" s="7"/>
      <c r="L7465" s="7"/>
      <c r="N7465" s="7"/>
      <c r="P7465" s="7"/>
      <c r="R7465" s="7"/>
      <c r="T7465" s="7"/>
      <c r="V7465" s="7"/>
      <c r="X7465" s="7"/>
    </row>
    <row r="7466" spans="2:24">
      <c r="B7466" s="7"/>
      <c r="D7466" s="7"/>
      <c r="F7466" s="7"/>
      <c r="H7466" s="7"/>
      <c r="J7466" s="7"/>
      <c r="L7466" s="7"/>
      <c r="N7466" s="7"/>
      <c r="P7466" s="7"/>
      <c r="R7466" s="7"/>
      <c r="T7466" s="7"/>
      <c r="V7466" s="7"/>
      <c r="X7466" s="7"/>
    </row>
    <row r="7467" spans="2:24">
      <c r="B7467" s="7"/>
      <c r="D7467" s="7"/>
      <c r="F7467" s="7"/>
      <c r="H7467" s="7"/>
      <c r="J7467" s="7"/>
      <c r="L7467" s="7"/>
      <c r="N7467" s="7"/>
      <c r="P7467" s="7"/>
      <c r="R7467" s="7"/>
      <c r="T7467" s="7"/>
      <c r="V7467" s="7"/>
      <c r="X7467" s="7"/>
    </row>
    <row r="7468" spans="2:24">
      <c r="B7468" s="7"/>
      <c r="D7468" s="7"/>
      <c r="F7468" s="7"/>
      <c r="H7468" s="7"/>
      <c r="J7468" s="7"/>
      <c r="L7468" s="7"/>
      <c r="N7468" s="7"/>
      <c r="P7468" s="7"/>
      <c r="R7468" s="7"/>
      <c r="T7468" s="7"/>
      <c r="V7468" s="7"/>
      <c r="X7468" s="7"/>
    </row>
    <row r="7469" spans="2:24">
      <c r="B7469" s="7"/>
      <c r="D7469" s="7"/>
      <c r="F7469" s="7"/>
      <c r="H7469" s="7"/>
      <c r="J7469" s="7"/>
      <c r="L7469" s="7"/>
      <c r="N7469" s="7"/>
      <c r="P7469" s="7"/>
      <c r="R7469" s="7"/>
      <c r="T7469" s="7"/>
      <c r="V7469" s="7"/>
      <c r="X7469" s="7"/>
    </row>
    <row r="7470" spans="2:24">
      <c r="B7470" s="7"/>
      <c r="D7470" s="7"/>
      <c r="F7470" s="7"/>
      <c r="H7470" s="7"/>
      <c r="J7470" s="7"/>
      <c r="L7470" s="7"/>
      <c r="N7470" s="7"/>
      <c r="P7470" s="7"/>
      <c r="R7470" s="7"/>
      <c r="T7470" s="7"/>
      <c r="V7470" s="7"/>
      <c r="X7470" s="7"/>
    </row>
    <row r="7471" spans="2:24">
      <c r="B7471" s="7"/>
      <c r="D7471" s="7"/>
      <c r="F7471" s="7"/>
      <c r="H7471" s="7"/>
      <c r="J7471" s="7"/>
      <c r="L7471" s="7"/>
      <c r="N7471" s="7"/>
      <c r="P7471" s="7"/>
      <c r="R7471" s="7"/>
      <c r="T7471" s="7"/>
      <c r="V7471" s="7"/>
      <c r="X7471" s="7"/>
    </row>
    <row r="7472" spans="2:24">
      <c r="B7472" s="7"/>
      <c r="D7472" s="7"/>
      <c r="F7472" s="7"/>
      <c r="H7472" s="7"/>
      <c r="J7472" s="7"/>
      <c r="L7472" s="7"/>
      <c r="N7472" s="7"/>
      <c r="P7472" s="7"/>
      <c r="R7472" s="7"/>
      <c r="T7472" s="7"/>
      <c r="V7472" s="7"/>
      <c r="X7472" s="7"/>
    </row>
    <row r="7473" spans="2:24">
      <c r="B7473" s="7"/>
      <c r="D7473" s="7"/>
      <c r="F7473" s="7"/>
      <c r="H7473" s="7"/>
      <c r="J7473" s="7"/>
      <c r="L7473" s="7"/>
      <c r="N7473" s="7"/>
      <c r="P7473" s="7"/>
      <c r="R7473" s="7"/>
      <c r="T7473" s="7"/>
      <c r="V7473" s="7"/>
      <c r="X7473" s="7"/>
    </row>
    <row r="7474" spans="2:24">
      <c r="B7474" s="7"/>
      <c r="D7474" s="7"/>
      <c r="F7474" s="7"/>
      <c r="H7474" s="7"/>
      <c r="J7474" s="7"/>
      <c r="L7474" s="7"/>
      <c r="N7474" s="7"/>
      <c r="P7474" s="7"/>
      <c r="R7474" s="7"/>
      <c r="T7474" s="7"/>
      <c r="V7474" s="7"/>
      <c r="X7474" s="7"/>
    </row>
    <row r="7475" spans="2:24">
      <c r="B7475" s="7"/>
      <c r="D7475" s="7"/>
      <c r="F7475" s="7"/>
      <c r="H7475" s="7"/>
      <c r="J7475" s="7"/>
      <c r="L7475" s="7"/>
      <c r="N7475" s="7"/>
      <c r="P7475" s="7"/>
      <c r="R7475" s="7"/>
      <c r="T7475" s="7"/>
      <c r="V7475" s="7"/>
      <c r="X7475" s="7"/>
    </row>
    <row r="7476" spans="2:24">
      <c r="B7476" s="7"/>
      <c r="D7476" s="7"/>
      <c r="F7476" s="7"/>
      <c r="H7476" s="7"/>
      <c r="J7476" s="7"/>
      <c r="L7476" s="7"/>
      <c r="N7476" s="7"/>
      <c r="P7476" s="7"/>
      <c r="R7476" s="7"/>
      <c r="T7476" s="7"/>
      <c r="V7476" s="7"/>
      <c r="X7476" s="7"/>
    </row>
    <row r="7477" spans="2:24">
      <c r="B7477" s="7"/>
      <c r="D7477" s="7"/>
      <c r="F7477" s="7"/>
      <c r="H7477" s="7"/>
      <c r="J7477" s="7"/>
      <c r="L7477" s="7"/>
      <c r="N7477" s="7"/>
      <c r="P7477" s="7"/>
      <c r="R7477" s="7"/>
      <c r="T7477" s="7"/>
      <c r="V7477" s="7"/>
      <c r="X7477" s="7"/>
    </row>
    <row r="7478" spans="2:24">
      <c r="B7478" s="7"/>
      <c r="D7478" s="7"/>
      <c r="F7478" s="7"/>
      <c r="H7478" s="7"/>
      <c r="J7478" s="7"/>
      <c r="L7478" s="7"/>
      <c r="N7478" s="7"/>
      <c r="P7478" s="7"/>
      <c r="R7478" s="7"/>
      <c r="T7478" s="7"/>
      <c r="V7478" s="7"/>
      <c r="X7478" s="7"/>
    </row>
    <row r="7479" spans="2:24">
      <c r="B7479" s="7"/>
      <c r="D7479" s="7"/>
      <c r="F7479" s="7"/>
      <c r="H7479" s="7"/>
      <c r="J7479" s="7"/>
      <c r="L7479" s="7"/>
      <c r="N7479" s="7"/>
      <c r="P7479" s="7"/>
      <c r="R7479" s="7"/>
      <c r="T7479" s="7"/>
      <c r="V7479" s="7"/>
      <c r="X7479" s="7"/>
    </row>
    <row r="7480" spans="2:24">
      <c r="B7480" s="7"/>
      <c r="D7480" s="7"/>
      <c r="F7480" s="7"/>
      <c r="H7480" s="7"/>
      <c r="J7480" s="7"/>
      <c r="L7480" s="7"/>
      <c r="N7480" s="7"/>
      <c r="P7480" s="7"/>
      <c r="R7480" s="7"/>
      <c r="T7480" s="7"/>
      <c r="V7480" s="7"/>
      <c r="X7480" s="7"/>
    </row>
    <row r="7481" spans="2:24">
      <c r="B7481" s="7"/>
      <c r="D7481" s="7"/>
      <c r="F7481" s="7"/>
      <c r="H7481" s="7"/>
      <c r="J7481" s="7"/>
      <c r="L7481" s="7"/>
      <c r="N7481" s="7"/>
      <c r="P7481" s="7"/>
      <c r="R7481" s="7"/>
      <c r="T7481" s="7"/>
      <c r="V7481" s="7"/>
      <c r="X7481" s="7"/>
    </row>
    <row r="7482" spans="2:24">
      <c r="B7482" s="7"/>
      <c r="D7482" s="7"/>
      <c r="F7482" s="7"/>
      <c r="H7482" s="7"/>
      <c r="J7482" s="7"/>
      <c r="L7482" s="7"/>
      <c r="N7482" s="7"/>
      <c r="P7482" s="7"/>
      <c r="R7482" s="7"/>
      <c r="T7482" s="7"/>
      <c r="V7482" s="7"/>
      <c r="X7482" s="7"/>
    </row>
    <row r="7483" spans="2:24">
      <c r="B7483" s="7"/>
      <c r="D7483" s="7"/>
      <c r="F7483" s="7"/>
      <c r="H7483" s="7"/>
      <c r="J7483" s="7"/>
      <c r="L7483" s="7"/>
      <c r="N7483" s="7"/>
      <c r="P7483" s="7"/>
      <c r="R7483" s="7"/>
      <c r="T7483" s="7"/>
      <c r="V7483" s="7"/>
      <c r="X7483" s="7"/>
    </row>
    <row r="7484" spans="2:24">
      <c r="B7484" s="7"/>
      <c r="D7484" s="7"/>
      <c r="F7484" s="7"/>
      <c r="H7484" s="7"/>
      <c r="J7484" s="7"/>
      <c r="L7484" s="7"/>
      <c r="N7484" s="7"/>
      <c r="P7484" s="7"/>
      <c r="R7484" s="7"/>
      <c r="T7484" s="7"/>
      <c r="V7484" s="7"/>
      <c r="X7484" s="7"/>
    </row>
    <row r="7485" spans="2:24">
      <c r="B7485" s="7"/>
      <c r="D7485" s="7"/>
      <c r="F7485" s="7"/>
      <c r="H7485" s="7"/>
      <c r="J7485" s="7"/>
      <c r="L7485" s="7"/>
      <c r="N7485" s="7"/>
      <c r="P7485" s="7"/>
      <c r="R7485" s="7"/>
      <c r="T7485" s="7"/>
      <c r="V7485" s="7"/>
      <c r="X7485" s="7"/>
    </row>
    <row r="7486" spans="2:24">
      <c r="B7486" s="7"/>
      <c r="D7486" s="7"/>
      <c r="F7486" s="7"/>
      <c r="H7486" s="7"/>
      <c r="J7486" s="7"/>
      <c r="L7486" s="7"/>
      <c r="N7486" s="7"/>
      <c r="P7486" s="7"/>
      <c r="R7486" s="7"/>
      <c r="T7486" s="7"/>
      <c r="V7486" s="7"/>
      <c r="X7486" s="7"/>
    </row>
    <row r="7487" spans="2:24">
      <c r="B7487" s="7"/>
      <c r="D7487" s="7"/>
      <c r="F7487" s="7"/>
      <c r="H7487" s="7"/>
      <c r="J7487" s="7"/>
      <c r="L7487" s="7"/>
      <c r="N7487" s="7"/>
      <c r="P7487" s="7"/>
      <c r="R7487" s="7"/>
      <c r="T7487" s="7"/>
      <c r="V7487" s="7"/>
      <c r="X7487" s="7"/>
    </row>
    <row r="7488" spans="2:24">
      <c r="B7488" s="7"/>
      <c r="D7488" s="7"/>
      <c r="F7488" s="7"/>
      <c r="H7488" s="7"/>
      <c r="J7488" s="7"/>
      <c r="L7488" s="7"/>
      <c r="N7488" s="7"/>
      <c r="P7488" s="7"/>
      <c r="R7488" s="7"/>
      <c r="T7488" s="7"/>
      <c r="V7488" s="7"/>
      <c r="X7488" s="7"/>
    </row>
    <row r="7489" spans="2:24">
      <c r="B7489" s="7"/>
      <c r="D7489" s="7"/>
      <c r="F7489" s="7"/>
      <c r="H7489" s="7"/>
      <c r="J7489" s="7"/>
      <c r="L7489" s="7"/>
      <c r="N7489" s="7"/>
      <c r="P7489" s="7"/>
      <c r="R7489" s="7"/>
      <c r="T7489" s="7"/>
      <c r="V7489" s="7"/>
      <c r="X7489" s="7"/>
    </row>
    <row r="7490" spans="2:24">
      <c r="B7490" s="7"/>
      <c r="D7490" s="7"/>
      <c r="F7490" s="7"/>
      <c r="H7490" s="7"/>
      <c r="J7490" s="7"/>
      <c r="L7490" s="7"/>
      <c r="N7490" s="7"/>
      <c r="P7490" s="7"/>
      <c r="R7490" s="7"/>
      <c r="T7490" s="7"/>
      <c r="V7490" s="7"/>
      <c r="X7490" s="7"/>
    </row>
    <row r="7491" spans="2:24">
      <c r="B7491" s="7"/>
      <c r="D7491" s="7"/>
      <c r="F7491" s="7"/>
      <c r="H7491" s="7"/>
      <c r="J7491" s="7"/>
      <c r="L7491" s="7"/>
      <c r="N7491" s="7"/>
      <c r="P7491" s="7"/>
      <c r="R7491" s="7"/>
      <c r="T7491" s="7"/>
      <c r="V7491" s="7"/>
      <c r="X7491" s="7"/>
    </row>
    <row r="7492" spans="2:24">
      <c r="B7492" s="7"/>
      <c r="D7492" s="7"/>
      <c r="F7492" s="7"/>
      <c r="H7492" s="7"/>
      <c r="J7492" s="7"/>
      <c r="L7492" s="7"/>
      <c r="N7492" s="7"/>
      <c r="P7492" s="7"/>
      <c r="R7492" s="7"/>
      <c r="T7492" s="7"/>
      <c r="V7492" s="7"/>
      <c r="X7492" s="7"/>
    </row>
    <row r="7493" spans="2:24">
      <c r="B7493" s="7"/>
      <c r="D7493" s="7"/>
      <c r="F7493" s="7"/>
      <c r="H7493" s="7"/>
      <c r="J7493" s="7"/>
      <c r="L7493" s="7"/>
      <c r="N7493" s="7"/>
      <c r="P7493" s="7"/>
      <c r="R7493" s="7"/>
      <c r="T7493" s="7"/>
      <c r="V7493" s="7"/>
      <c r="X7493" s="7"/>
    </row>
    <row r="7494" spans="2:24">
      <c r="B7494" s="7"/>
      <c r="D7494" s="7"/>
      <c r="F7494" s="7"/>
      <c r="H7494" s="7"/>
      <c r="J7494" s="7"/>
      <c r="L7494" s="7"/>
      <c r="N7494" s="7"/>
      <c r="P7494" s="7"/>
      <c r="R7494" s="7"/>
      <c r="T7494" s="7"/>
      <c r="V7494" s="7"/>
      <c r="X7494" s="7"/>
    </row>
    <row r="7495" spans="2:24">
      <c r="B7495" s="7"/>
      <c r="D7495" s="7"/>
      <c r="F7495" s="7"/>
      <c r="H7495" s="7"/>
      <c r="J7495" s="7"/>
      <c r="L7495" s="7"/>
      <c r="N7495" s="7"/>
      <c r="P7495" s="7"/>
      <c r="R7495" s="7"/>
      <c r="T7495" s="7"/>
      <c r="V7495" s="7"/>
      <c r="X7495" s="7"/>
    </row>
    <row r="7496" spans="2:24">
      <c r="B7496" s="7"/>
      <c r="D7496" s="7"/>
      <c r="F7496" s="7"/>
      <c r="H7496" s="7"/>
      <c r="J7496" s="7"/>
      <c r="L7496" s="7"/>
      <c r="N7496" s="7"/>
      <c r="P7496" s="7"/>
      <c r="R7496" s="7"/>
      <c r="T7496" s="7"/>
      <c r="V7496" s="7"/>
      <c r="X7496" s="7"/>
    </row>
    <row r="7497" spans="2:24">
      <c r="B7497" s="7"/>
      <c r="D7497" s="7"/>
      <c r="F7497" s="7"/>
      <c r="H7497" s="7"/>
      <c r="J7497" s="7"/>
      <c r="L7497" s="7"/>
      <c r="N7497" s="7"/>
      <c r="P7497" s="7"/>
      <c r="R7497" s="7"/>
      <c r="T7497" s="7"/>
      <c r="V7497" s="7"/>
      <c r="X7497" s="7"/>
    </row>
    <row r="7498" spans="2:24">
      <c r="B7498" s="7"/>
      <c r="D7498" s="7"/>
      <c r="F7498" s="7"/>
      <c r="H7498" s="7"/>
      <c r="J7498" s="7"/>
      <c r="L7498" s="7"/>
      <c r="N7498" s="7"/>
      <c r="P7498" s="7"/>
      <c r="R7498" s="7"/>
      <c r="T7498" s="7"/>
      <c r="V7498" s="7"/>
      <c r="X7498" s="7"/>
    </row>
    <row r="7499" spans="2:24">
      <c r="B7499" s="7"/>
      <c r="D7499" s="7"/>
      <c r="F7499" s="7"/>
      <c r="H7499" s="7"/>
      <c r="J7499" s="7"/>
      <c r="L7499" s="7"/>
      <c r="N7499" s="7"/>
      <c r="P7499" s="7"/>
      <c r="R7499" s="7"/>
      <c r="T7499" s="7"/>
      <c r="V7499" s="7"/>
      <c r="X7499" s="7"/>
    </row>
    <row r="7500" spans="2:24">
      <c r="B7500" s="7"/>
      <c r="D7500" s="7"/>
      <c r="F7500" s="7"/>
      <c r="H7500" s="7"/>
      <c r="J7500" s="7"/>
      <c r="L7500" s="7"/>
      <c r="N7500" s="7"/>
      <c r="P7500" s="7"/>
      <c r="R7500" s="7"/>
      <c r="T7500" s="7"/>
      <c r="V7500" s="7"/>
      <c r="X7500" s="7"/>
    </row>
    <row r="7501" spans="2:24">
      <c r="B7501" s="7"/>
      <c r="D7501" s="7"/>
      <c r="F7501" s="7"/>
      <c r="H7501" s="7"/>
      <c r="J7501" s="7"/>
      <c r="L7501" s="7"/>
      <c r="N7501" s="7"/>
      <c r="P7501" s="7"/>
      <c r="R7501" s="7"/>
      <c r="T7501" s="7"/>
      <c r="V7501" s="7"/>
      <c r="X7501" s="7"/>
    </row>
    <row r="7502" spans="2:24">
      <c r="B7502" s="7"/>
      <c r="D7502" s="7"/>
      <c r="F7502" s="7"/>
      <c r="H7502" s="7"/>
      <c r="J7502" s="7"/>
      <c r="L7502" s="7"/>
      <c r="N7502" s="7"/>
      <c r="P7502" s="7"/>
      <c r="R7502" s="7"/>
      <c r="T7502" s="7"/>
      <c r="V7502" s="7"/>
      <c r="X7502" s="7"/>
    </row>
    <row r="7503" spans="2:24">
      <c r="B7503" s="7"/>
      <c r="D7503" s="7"/>
      <c r="F7503" s="7"/>
      <c r="H7503" s="7"/>
      <c r="J7503" s="7"/>
      <c r="L7503" s="7"/>
      <c r="N7503" s="7"/>
      <c r="P7503" s="7"/>
      <c r="R7503" s="7"/>
      <c r="T7503" s="7"/>
      <c r="V7503" s="7"/>
      <c r="X7503" s="7"/>
    </row>
    <row r="7504" spans="2:24">
      <c r="B7504" s="7"/>
      <c r="D7504" s="7"/>
      <c r="F7504" s="7"/>
      <c r="H7504" s="7"/>
      <c r="J7504" s="7"/>
      <c r="L7504" s="7"/>
      <c r="N7504" s="7"/>
      <c r="P7504" s="7"/>
      <c r="R7504" s="7"/>
      <c r="T7504" s="7"/>
      <c r="V7504" s="7"/>
      <c r="X7504" s="7"/>
    </row>
    <row r="7505" spans="2:24">
      <c r="B7505" s="7"/>
      <c r="D7505" s="7"/>
      <c r="F7505" s="7"/>
      <c r="H7505" s="7"/>
      <c r="J7505" s="7"/>
      <c r="L7505" s="7"/>
      <c r="N7505" s="7"/>
      <c r="P7505" s="7"/>
      <c r="R7505" s="7"/>
      <c r="T7505" s="7"/>
      <c r="V7505" s="7"/>
      <c r="X7505" s="7"/>
    </row>
    <row r="7506" spans="2:24">
      <c r="B7506" s="7"/>
      <c r="D7506" s="7"/>
      <c r="F7506" s="7"/>
      <c r="H7506" s="7"/>
      <c r="J7506" s="7"/>
      <c r="L7506" s="7"/>
      <c r="N7506" s="7"/>
      <c r="P7506" s="7"/>
      <c r="R7506" s="7"/>
      <c r="T7506" s="7"/>
      <c r="V7506" s="7"/>
      <c r="X7506" s="7"/>
    </row>
    <row r="7507" spans="2:24">
      <c r="B7507" s="7"/>
      <c r="D7507" s="7"/>
      <c r="F7507" s="7"/>
      <c r="H7507" s="7"/>
      <c r="J7507" s="7"/>
      <c r="L7507" s="7"/>
      <c r="N7507" s="7"/>
      <c r="P7507" s="7"/>
      <c r="R7507" s="7"/>
      <c r="T7507" s="7"/>
      <c r="V7507" s="7"/>
      <c r="X7507" s="7"/>
    </row>
    <row r="7508" spans="2:24">
      <c r="B7508" s="7"/>
      <c r="D7508" s="7"/>
      <c r="F7508" s="7"/>
      <c r="H7508" s="7"/>
      <c r="J7508" s="7"/>
      <c r="L7508" s="7"/>
      <c r="N7508" s="7"/>
      <c r="P7508" s="7"/>
      <c r="R7508" s="7"/>
      <c r="T7508" s="7"/>
      <c r="V7508" s="7"/>
      <c r="X7508" s="7"/>
    </row>
    <row r="7509" spans="2:24">
      <c r="B7509" s="7"/>
      <c r="D7509" s="7"/>
      <c r="F7509" s="7"/>
      <c r="H7509" s="7"/>
      <c r="J7509" s="7"/>
      <c r="L7509" s="7"/>
      <c r="N7509" s="7"/>
      <c r="P7509" s="7"/>
      <c r="R7509" s="7"/>
      <c r="T7509" s="7"/>
      <c r="V7509" s="7"/>
      <c r="X7509" s="7"/>
    </row>
    <row r="7510" spans="2:24">
      <c r="B7510" s="7"/>
      <c r="D7510" s="7"/>
      <c r="F7510" s="7"/>
      <c r="H7510" s="7"/>
      <c r="J7510" s="7"/>
      <c r="L7510" s="7"/>
      <c r="N7510" s="7"/>
      <c r="P7510" s="7"/>
      <c r="R7510" s="7"/>
      <c r="T7510" s="7"/>
      <c r="V7510" s="7"/>
      <c r="X7510" s="7"/>
    </row>
    <row r="7511" spans="2:24">
      <c r="B7511" s="7"/>
      <c r="D7511" s="7"/>
      <c r="F7511" s="7"/>
      <c r="H7511" s="7"/>
      <c r="J7511" s="7"/>
      <c r="L7511" s="7"/>
      <c r="N7511" s="7"/>
      <c r="P7511" s="7"/>
      <c r="R7511" s="7"/>
      <c r="T7511" s="7"/>
      <c r="V7511" s="7"/>
      <c r="X7511" s="7"/>
    </row>
    <row r="7512" spans="2:24">
      <c r="B7512" s="7"/>
      <c r="D7512" s="7"/>
      <c r="F7512" s="7"/>
      <c r="H7512" s="7"/>
      <c r="J7512" s="7"/>
      <c r="L7512" s="7"/>
      <c r="N7512" s="7"/>
      <c r="P7512" s="7"/>
      <c r="R7512" s="7"/>
      <c r="T7512" s="7"/>
      <c r="V7512" s="7"/>
      <c r="X7512" s="7"/>
    </row>
    <row r="7513" spans="2:24">
      <c r="B7513" s="7"/>
      <c r="D7513" s="7"/>
      <c r="F7513" s="7"/>
      <c r="H7513" s="7"/>
      <c r="J7513" s="7"/>
      <c r="L7513" s="7"/>
      <c r="N7513" s="7"/>
      <c r="P7513" s="7"/>
      <c r="R7513" s="7"/>
      <c r="T7513" s="7"/>
      <c r="V7513" s="7"/>
      <c r="X7513" s="7"/>
    </row>
    <row r="7514" spans="2:24">
      <c r="B7514" s="7"/>
      <c r="D7514" s="7"/>
      <c r="F7514" s="7"/>
      <c r="H7514" s="7"/>
      <c r="J7514" s="7"/>
      <c r="L7514" s="7"/>
      <c r="N7514" s="7"/>
      <c r="P7514" s="7"/>
      <c r="R7514" s="7"/>
      <c r="T7514" s="7"/>
      <c r="V7514" s="7"/>
      <c r="X7514" s="7"/>
    </row>
    <row r="7515" spans="2:24">
      <c r="B7515" s="7"/>
      <c r="D7515" s="7"/>
      <c r="F7515" s="7"/>
      <c r="H7515" s="7"/>
      <c r="J7515" s="7"/>
      <c r="L7515" s="7"/>
      <c r="N7515" s="7"/>
      <c r="P7515" s="7"/>
      <c r="R7515" s="7"/>
      <c r="T7515" s="7"/>
      <c r="V7515" s="7"/>
      <c r="X7515" s="7"/>
    </row>
    <row r="7516" spans="2:24">
      <c r="B7516" s="7"/>
      <c r="D7516" s="7"/>
      <c r="F7516" s="7"/>
      <c r="H7516" s="7"/>
      <c r="J7516" s="7"/>
      <c r="L7516" s="7"/>
      <c r="N7516" s="7"/>
      <c r="P7516" s="7"/>
      <c r="R7516" s="7"/>
      <c r="T7516" s="7"/>
      <c r="V7516" s="7"/>
      <c r="X7516" s="7"/>
    </row>
    <row r="7517" spans="2:24">
      <c r="B7517" s="7"/>
      <c r="D7517" s="7"/>
      <c r="F7517" s="7"/>
      <c r="H7517" s="7"/>
      <c r="J7517" s="7"/>
      <c r="L7517" s="7"/>
      <c r="N7517" s="7"/>
      <c r="P7517" s="7"/>
      <c r="R7517" s="7"/>
      <c r="T7517" s="7"/>
      <c r="V7517" s="7"/>
      <c r="X7517" s="7"/>
    </row>
    <row r="7518" spans="2:24">
      <c r="B7518" s="7"/>
      <c r="D7518" s="7"/>
      <c r="F7518" s="7"/>
      <c r="H7518" s="7"/>
      <c r="J7518" s="7"/>
      <c r="L7518" s="7"/>
      <c r="N7518" s="7"/>
      <c r="P7518" s="7"/>
      <c r="R7518" s="7"/>
      <c r="T7518" s="7"/>
      <c r="V7518" s="7"/>
      <c r="X7518" s="7"/>
    </row>
    <row r="7519" spans="2:24">
      <c r="B7519" s="7"/>
      <c r="D7519" s="7"/>
      <c r="F7519" s="7"/>
      <c r="H7519" s="7"/>
      <c r="J7519" s="7"/>
      <c r="L7519" s="7"/>
      <c r="N7519" s="7"/>
      <c r="P7519" s="7"/>
      <c r="R7519" s="7"/>
      <c r="T7519" s="7"/>
      <c r="V7519" s="7"/>
      <c r="X7519" s="7"/>
    </row>
    <row r="7520" spans="2:24">
      <c r="B7520" s="7"/>
      <c r="D7520" s="7"/>
      <c r="F7520" s="7"/>
      <c r="H7520" s="7"/>
      <c r="J7520" s="7"/>
      <c r="L7520" s="7"/>
      <c r="N7520" s="7"/>
      <c r="P7520" s="7"/>
      <c r="R7520" s="7"/>
      <c r="T7520" s="7"/>
      <c r="V7520" s="7"/>
      <c r="X7520" s="7"/>
    </row>
    <row r="7521" spans="2:24">
      <c r="B7521" s="7"/>
      <c r="D7521" s="7"/>
      <c r="F7521" s="7"/>
      <c r="H7521" s="7"/>
      <c r="J7521" s="7"/>
      <c r="L7521" s="7"/>
      <c r="N7521" s="7"/>
      <c r="P7521" s="7"/>
      <c r="R7521" s="7"/>
      <c r="T7521" s="7"/>
      <c r="V7521" s="7"/>
      <c r="X7521" s="7"/>
    </row>
    <row r="7522" spans="2:24">
      <c r="B7522" s="7"/>
      <c r="D7522" s="7"/>
      <c r="F7522" s="7"/>
      <c r="H7522" s="7"/>
      <c r="J7522" s="7"/>
      <c r="L7522" s="7"/>
      <c r="N7522" s="7"/>
      <c r="P7522" s="7"/>
      <c r="R7522" s="7"/>
      <c r="T7522" s="7"/>
      <c r="V7522" s="7"/>
      <c r="X7522" s="7"/>
    </row>
    <row r="7523" spans="2:24">
      <c r="B7523" s="7"/>
      <c r="D7523" s="7"/>
      <c r="F7523" s="7"/>
      <c r="H7523" s="7"/>
      <c r="J7523" s="7"/>
      <c r="L7523" s="7"/>
      <c r="N7523" s="7"/>
      <c r="P7523" s="7"/>
      <c r="R7523" s="7"/>
      <c r="T7523" s="7"/>
      <c r="V7523" s="7"/>
      <c r="X7523" s="7"/>
    </row>
    <row r="7524" spans="2:24">
      <c r="B7524" s="7"/>
      <c r="D7524" s="7"/>
      <c r="F7524" s="7"/>
      <c r="H7524" s="7"/>
      <c r="J7524" s="7"/>
      <c r="L7524" s="7"/>
      <c r="N7524" s="7"/>
      <c r="P7524" s="7"/>
      <c r="R7524" s="7"/>
      <c r="T7524" s="7"/>
      <c r="V7524" s="7"/>
      <c r="X7524" s="7"/>
    </row>
    <row r="7525" spans="2:24">
      <c r="B7525" s="7"/>
      <c r="D7525" s="7"/>
      <c r="F7525" s="7"/>
      <c r="H7525" s="7"/>
      <c r="J7525" s="7"/>
      <c r="L7525" s="7"/>
      <c r="N7525" s="7"/>
      <c r="P7525" s="7"/>
      <c r="R7525" s="7"/>
      <c r="T7525" s="7"/>
      <c r="V7525" s="7"/>
      <c r="X7525" s="7"/>
    </row>
    <row r="7526" spans="2:24">
      <c r="B7526" s="7"/>
      <c r="D7526" s="7"/>
      <c r="F7526" s="7"/>
      <c r="H7526" s="7"/>
      <c r="J7526" s="7"/>
      <c r="L7526" s="7"/>
      <c r="N7526" s="7"/>
      <c r="P7526" s="7"/>
      <c r="R7526" s="7"/>
      <c r="T7526" s="7"/>
      <c r="V7526" s="7"/>
      <c r="X7526" s="7"/>
    </row>
    <row r="7527" spans="2:24">
      <c r="B7527" s="7"/>
      <c r="D7527" s="7"/>
      <c r="F7527" s="7"/>
      <c r="H7527" s="7"/>
      <c r="J7527" s="7"/>
      <c r="L7527" s="7"/>
      <c r="N7527" s="7"/>
      <c r="P7527" s="7"/>
      <c r="R7527" s="7"/>
      <c r="T7527" s="7"/>
      <c r="V7527" s="7"/>
      <c r="X7527" s="7"/>
    </row>
    <row r="7528" spans="2:24">
      <c r="B7528" s="7"/>
      <c r="D7528" s="7"/>
      <c r="F7528" s="7"/>
      <c r="H7528" s="7"/>
      <c r="J7528" s="7"/>
      <c r="L7528" s="7"/>
      <c r="N7528" s="7"/>
      <c r="P7528" s="7"/>
      <c r="R7528" s="7"/>
      <c r="T7528" s="7"/>
      <c r="V7528" s="7"/>
      <c r="X7528" s="7"/>
    </row>
    <row r="7529" spans="2:24">
      <c r="B7529" s="7"/>
      <c r="D7529" s="7"/>
      <c r="F7529" s="7"/>
      <c r="H7529" s="7"/>
      <c r="J7529" s="7"/>
      <c r="L7529" s="7"/>
      <c r="N7529" s="7"/>
      <c r="P7529" s="7"/>
      <c r="R7529" s="7"/>
      <c r="T7529" s="7"/>
      <c r="V7529" s="7"/>
      <c r="X7529" s="7"/>
    </row>
    <row r="7530" spans="2:24">
      <c r="B7530" s="7"/>
      <c r="D7530" s="7"/>
      <c r="F7530" s="7"/>
      <c r="H7530" s="7"/>
      <c r="J7530" s="7"/>
      <c r="L7530" s="7"/>
      <c r="N7530" s="7"/>
      <c r="P7530" s="7"/>
      <c r="R7530" s="7"/>
      <c r="T7530" s="7"/>
      <c r="V7530" s="7"/>
      <c r="X7530" s="7"/>
    </row>
    <row r="7531" spans="2:24">
      <c r="B7531" s="7"/>
      <c r="D7531" s="7"/>
      <c r="F7531" s="7"/>
      <c r="H7531" s="7"/>
      <c r="J7531" s="7"/>
      <c r="L7531" s="7"/>
      <c r="N7531" s="7"/>
      <c r="P7531" s="7"/>
      <c r="R7531" s="7"/>
      <c r="T7531" s="7"/>
      <c r="V7531" s="7"/>
      <c r="X7531" s="7"/>
    </row>
    <row r="7532" spans="2:24">
      <c r="B7532" s="7"/>
      <c r="D7532" s="7"/>
      <c r="F7532" s="7"/>
      <c r="H7532" s="7"/>
      <c r="J7532" s="7"/>
      <c r="L7532" s="7"/>
      <c r="N7532" s="7"/>
      <c r="P7532" s="7"/>
      <c r="R7532" s="7"/>
      <c r="T7532" s="7"/>
      <c r="V7532" s="7"/>
      <c r="X7532" s="7"/>
    </row>
    <row r="7533" spans="2:24">
      <c r="B7533" s="7"/>
      <c r="D7533" s="7"/>
      <c r="F7533" s="7"/>
      <c r="H7533" s="7"/>
      <c r="J7533" s="7"/>
      <c r="L7533" s="7"/>
      <c r="N7533" s="7"/>
      <c r="P7533" s="7"/>
      <c r="R7533" s="7"/>
      <c r="T7533" s="7"/>
      <c r="V7533" s="7"/>
      <c r="X7533" s="7"/>
    </row>
    <row r="7534" spans="2:24">
      <c r="B7534" s="7"/>
      <c r="D7534" s="7"/>
      <c r="F7534" s="7"/>
      <c r="H7534" s="7"/>
      <c r="J7534" s="7"/>
      <c r="L7534" s="7"/>
      <c r="N7534" s="7"/>
      <c r="P7534" s="7"/>
      <c r="R7534" s="7"/>
      <c r="T7534" s="7"/>
      <c r="V7534" s="7"/>
      <c r="X7534" s="7"/>
    </row>
    <row r="7535" spans="2:24">
      <c r="B7535" s="7"/>
      <c r="D7535" s="7"/>
      <c r="F7535" s="7"/>
      <c r="H7535" s="7"/>
      <c r="J7535" s="7"/>
      <c r="L7535" s="7"/>
      <c r="N7535" s="7"/>
      <c r="P7535" s="7"/>
      <c r="R7535" s="7"/>
      <c r="T7535" s="7"/>
      <c r="V7535" s="7"/>
      <c r="X7535" s="7"/>
    </row>
    <row r="7536" spans="2:24">
      <c r="B7536" s="7"/>
      <c r="D7536" s="7"/>
      <c r="F7536" s="7"/>
      <c r="H7536" s="7"/>
      <c r="J7536" s="7"/>
      <c r="L7536" s="7"/>
      <c r="N7536" s="7"/>
      <c r="P7536" s="7"/>
      <c r="R7536" s="7"/>
      <c r="T7536" s="7"/>
      <c r="V7536" s="7"/>
      <c r="X7536" s="7"/>
    </row>
    <row r="7537" spans="2:24">
      <c r="B7537" s="7"/>
      <c r="D7537" s="7"/>
      <c r="F7537" s="7"/>
      <c r="H7537" s="7"/>
      <c r="J7537" s="7"/>
      <c r="L7537" s="7"/>
      <c r="N7537" s="7"/>
      <c r="P7537" s="7"/>
      <c r="R7537" s="7"/>
      <c r="T7537" s="7"/>
      <c r="V7537" s="7"/>
      <c r="X7537" s="7"/>
    </row>
    <row r="7538" spans="2:24">
      <c r="B7538" s="7"/>
      <c r="D7538" s="7"/>
      <c r="F7538" s="7"/>
      <c r="H7538" s="7"/>
      <c r="J7538" s="7"/>
      <c r="L7538" s="7"/>
      <c r="N7538" s="7"/>
      <c r="P7538" s="7"/>
      <c r="R7538" s="7"/>
      <c r="T7538" s="7"/>
      <c r="V7538" s="7"/>
      <c r="X7538" s="7"/>
    </row>
    <row r="7539" spans="2:24">
      <c r="B7539" s="7"/>
      <c r="D7539" s="7"/>
      <c r="F7539" s="7"/>
      <c r="H7539" s="7"/>
      <c r="J7539" s="7"/>
      <c r="L7539" s="7"/>
      <c r="N7539" s="7"/>
      <c r="P7539" s="7"/>
      <c r="R7539" s="7"/>
      <c r="T7539" s="7"/>
      <c r="V7539" s="7"/>
      <c r="X7539" s="7"/>
    </row>
    <row r="7540" spans="2:24">
      <c r="B7540" s="7"/>
      <c r="D7540" s="7"/>
      <c r="F7540" s="7"/>
      <c r="H7540" s="7"/>
      <c r="J7540" s="7"/>
      <c r="L7540" s="7"/>
      <c r="N7540" s="7"/>
      <c r="P7540" s="7"/>
      <c r="R7540" s="7"/>
      <c r="T7540" s="7"/>
      <c r="V7540" s="7"/>
      <c r="X7540" s="7"/>
    </row>
    <row r="7541" spans="2:24">
      <c r="B7541" s="7"/>
      <c r="D7541" s="7"/>
      <c r="F7541" s="7"/>
      <c r="H7541" s="7"/>
      <c r="J7541" s="7"/>
      <c r="L7541" s="7"/>
      <c r="N7541" s="7"/>
      <c r="P7541" s="7"/>
      <c r="R7541" s="7"/>
      <c r="T7541" s="7"/>
      <c r="V7541" s="7"/>
      <c r="X7541" s="7"/>
    </row>
    <row r="7542" spans="2:24">
      <c r="B7542" s="7"/>
      <c r="D7542" s="7"/>
      <c r="F7542" s="7"/>
      <c r="H7542" s="7"/>
      <c r="J7542" s="7"/>
      <c r="L7542" s="7"/>
      <c r="N7542" s="7"/>
      <c r="P7542" s="7"/>
      <c r="R7542" s="7"/>
      <c r="T7542" s="7"/>
      <c r="V7542" s="7"/>
      <c r="X7542" s="7"/>
    </row>
    <row r="7543" spans="2:24">
      <c r="B7543" s="7"/>
      <c r="D7543" s="7"/>
      <c r="F7543" s="7"/>
      <c r="H7543" s="7"/>
      <c r="J7543" s="7"/>
      <c r="L7543" s="7"/>
      <c r="N7543" s="7"/>
      <c r="P7543" s="7"/>
      <c r="R7543" s="7"/>
      <c r="T7543" s="7"/>
      <c r="V7543" s="7"/>
      <c r="X7543" s="7"/>
    </row>
    <row r="7544" spans="2:24">
      <c r="B7544" s="7"/>
      <c r="D7544" s="7"/>
      <c r="F7544" s="7"/>
      <c r="H7544" s="7"/>
      <c r="J7544" s="7"/>
      <c r="L7544" s="7"/>
      <c r="N7544" s="7"/>
      <c r="P7544" s="7"/>
      <c r="R7544" s="7"/>
      <c r="T7544" s="7"/>
      <c r="V7544" s="7"/>
      <c r="X7544" s="7"/>
    </row>
    <row r="7545" spans="2:24">
      <c r="B7545" s="7"/>
      <c r="D7545" s="7"/>
      <c r="F7545" s="7"/>
      <c r="H7545" s="7"/>
      <c r="J7545" s="7"/>
      <c r="L7545" s="7"/>
      <c r="N7545" s="7"/>
      <c r="P7545" s="7"/>
      <c r="R7545" s="7"/>
      <c r="T7545" s="7"/>
      <c r="V7545" s="7"/>
      <c r="X7545" s="7"/>
    </row>
    <row r="7546" spans="2:24">
      <c r="B7546" s="7"/>
      <c r="D7546" s="7"/>
      <c r="F7546" s="7"/>
      <c r="H7546" s="7"/>
      <c r="J7546" s="7"/>
      <c r="L7546" s="7"/>
      <c r="N7546" s="7"/>
      <c r="P7546" s="7"/>
      <c r="R7546" s="7"/>
      <c r="T7546" s="7"/>
      <c r="V7546" s="7"/>
      <c r="X7546" s="7"/>
    </row>
    <row r="7547" spans="2:24">
      <c r="B7547" s="7"/>
      <c r="D7547" s="7"/>
      <c r="F7547" s="7"/>
      <c r="H7547" s="7"/>
      <c r="J7547" s="7"/>
      <c r="L7547" s="7"/>
      <c r="N7547" s="7"/>
      <c r="P7547" s="7"/>
      <c r="R7547" s="7"/>
      <c r="T7547" s="7"/>
      <c r="V7547" s="7"/>
      <c r="X7547" s="7"/>
    </row>
    <row r="7548" spans="2:24">
      <c r="B7548" s="7"/>
      <c r="D7548" s="7"/>
      <c r="F7548" s="7"/>
      <c r="H7548" s="7"/>
      <c r="J7548" s="7"/>
      <c r="L7548" s="7"/>
      <c r="N7548" s="7"/>
      <c r="P7548" s="7"/>
      <c r="R7548" s="7"/>
      <c r="T7548" s="7"/>
      <c r="V7548" s="7"/>
      <c r="X7548" s="7"/>
    </row>
    <row r="7549" spans="2:24">
      <c r="B7549" s="7"/>
      <c r="D7549" s="7"/>
      <c r="F7549" s="7"/>
      <c r="H7549" s="7"/>
      <c r="J7549" s="7"/>
      <c r="L7549" s="7"/>
      <c r="N7549" s="7"/>
      <c r="P7549" s="7"/>
      <c r="R7549" s="7"/>
      <c r="T7549" s="7"/>
      <c r="V7549" s="7"/>
      <c r="X7549" s="7"/>
    </row>
    <row r="7550" spans="2:24">
      <c r="B7550" s="7"/>
      <c r="D7550" s="7"/>
      <c r="F7550" s="7"/>
      <c r="H7550" s="7"/>
      <c r="J7550" s="7"/>
      <c r="L7550" s="7"/>
      <c r="N7550" s="7"/>
      <c r="P7550" s="7"/>
      <c r="R7550" s="7"/>
      <c r="T7550" s="7"/>
      <c r="V7550" s="7"/>
      <c r="X7550" s="7"/>
    </row>
    <row r="7551" spans="2:24">
      <c r="B7551" s="7"/>
      <c r="D7551" s="7"/>
      <c r="F7551" s="7"/>
      <c r="H7551" s="7"/>
      <c r="J7551" s="7"/>
      <c r="L7551" s="7"/>
      <c r="N7551" s="7"/>
      <c r="P7551" s="7"/>
      <c r="R7551" s="7"/>
      <c r="T7551" s="7"/>
      <c r="V7551" s="7"/>
      <c r="X7551" s="7"/>
    </row>
    <row r="7552" spans="2:24">
      <c r="B7552" s="7"/>
      <c r="D7552" s="7"/>
      <c r="F7552" s="7"/>
      <c r="H7552" s="7"/>
      <c r="J7552" s="7"/>
      <c r="L7552" s="7"/>
      <c r="N7552" s="7"/>
      <c r="P7552" s="7"/>
      <c r="R7552" s="7"/>
      <c r="T7552" s="7"/>
      <c r="V7552" s="7"/>
      <c r="X7552" s="7"/>
    </row>
    <row r="7553" spans="2:24">
      <c r="B7553" s="7"/>
      <c r="D7553" s="7"/>
      <c r="F7553" s="7"/>
      <c r="H7553" s="7"/>
      <c r="J7553" s="7"/>
      <c r="L7553" s="7"/>
      <c r="N7553" s="7"/>
      <c r="P7553" s="7"/>
      <c r="R7553" s="7"/>
      <c r="T7553" s="7"/>
      <c r="V7553" s="7"/>
      <c r="X7553" s="7"/>
    </row>
    <row r="7554" spans="2:24">
      <c r="B7554" s="7"/>
      <c r="D7554" s="7"/>
      <c r="F7554" s="7"/>
      <c r="H7554" s="7"/>
      <c r="J7554" s="7"/>
      <c r="L7554" s="7"/>
      <c r="N7554" s="7"/>
      <c r="P7554" s="7"/>
      <c r="R7554" s="7"/>
      <c r="T7554" s="7"/>
      <c r="V7554" s="7"/>
      <c r="X7554" s="7"/>
    </row>
    <row r="7555" spans="2:24">
      <c r="B7555" s="7"/>
      <c r="D7555" s="7"/>
      <c r="F7555" s="7"/>
      <c r="H7555" s="7"/>
      <c r="J7555" s="7"/>
      <c r="L7555" s="7"/>
      <c r="N7555" s="7"/>
      <c r="P7555" s="7"/>
      <c r="R7555" s="7"/>
      <c r="T7555" s="7"/>
      <c r="V7555" s="7"/>
      <c r="X7555" s="7"/>
    </row>
    <row r="7556" spans="2:24">
      <c r="B7556" s="7"/>
      <c r="D7556" s="7"/>
      <c r="F7556" s="7"/>
      <c r="H7556" s="7"/>
      <c r="J7556" s="7"/>
      <c r="L7556" s="7"/>
      <c r="N7556" s="7"/>
      <c r="P7556" s="7"/>
      <c r="R7556" s="7"/>
      <c r="T7556" s="7"/>
      <c r="V7556" s="7"/>
      <c r="X7556" s="7"/>
    </row>
    <row r="7557" spans="2:24">
      <c r="B7557" s="7"/>
      <c r="D7557" s="7"/>
      <c r="F7557" s="7"/>
      <c r="H7557" s="7"/>
      <c r="J7557" s="7"/>
      <c r="L7557" s="7"/>
      <c r="N7557" s="7"/>
      <c r="P7557" s="7"/>
      <c r="R7557" s="7"/>
      <c r="T7557" s="7"/>
      <c r="V7557" s="7"/>
      <c r="X7557" s="7"/>
    </row>
    <row r="7558" spans="2:24">
      <c r="B7558" s="7"/>
      <c r="D7558" s="7"/>
      <c r="F7558" s="7"/>
      <c r="H7558" s="7"/>
      <c r="J7558" s="7"/>
      <c r="L7558" s="7"/>
      <c r="N7558" s="7"/>
      <c r="P7558" s="7"/>
      <c r="R7558" s="7"/>
      <c r="T7558" s="7"/>
      <c r="V7558" s="7"/>
      <c r="X7558" s="7"/>
    </row>
    <row r="7559" spans="2:24">
      <c r="B7559" s="7"/>
      <c r="D7559" s="7"/>
      <c r="F7559" s="7"/>
      <c r="H7559" s="7"/>
      <c r="J7559" s="7"/>
      <c r="L7559" s="7"/>
      <c r="N7559" s="7"/>
      <c r="P7559" s="7"/>
      <c r="R7559" s="7"/>
      <c r="T7559" s="7"/>
      <c r="V7559" s="7"/>
      <c r="X7559" s="7"/>
    </row>
    <row r="7560" spans="2:24">
      <c r="B7560" s="7"/>
      <c r="D7560" s="7"/>
      <c r="F7560" s="7"/>
      <c r="H7560" s="7"/>
      <c r="J7560" s="7"/>
      <c r="L7560" s="7"/>
      <c r="N7560" s="7"/>
      <c r="P7560" s="7"/>
      <c r="R7560" s="7"/>
      <c r="T7560" s="7"/>
      <c r="V7560" s="7"/>
      <c r="X7560" s="7"/>
    </row>
    <row r="7561" spans="2:24">
      <c r="B7561" s="7"/>
      <c r="D7561" s="7"/>
      <c r="F7561" s="7"/>
      <c r="H7561" s="7"/>
      <c r="J7561" s="7"/>
      <c r="L7561" s="7"/>
      <c r="N7561" s="7"/>
      <c r="P7561" s="7"/>
      <c r="R7561" s="7"/>
      <c r="T7561" s="7"/>
      <c r="V7561" s="7"/>
      <c r="X7561" s="7"/>
    </row>
    <row r="7562" spans="2:24">
      <c r="B7562" s="7"/>
      <c r="D7562" s="7"/>
      <c r="F7562" s="7"/>
      <c r="H7562" s="7"/>
      <c r="J7562" s="7"/>
      <c r="L7562" s="7"/>
      <c r="N7562" s="7"/>
      <c r="P7562" s="7"/>
      <c r="R7562" s="7"/>
      <c r="T7562" s="7"/>
      <c r="V7562" s="7"/>
      <c r="X7562" s="7"/>
    </row>
    <row r="7563" spans="2:24">
      <c r="B7563" s="7"/>
      <c r="D7563" s="7"/>
      <c r="F7563" s="7"/>
      <c r="H7563" s="7"/>
      <c r="J7563" s="7"/>
      <c r="L7563" s="7"/>
      <c r="N7563" s="7"/>
      <c r="P7563" s="7"/>
      <c r="R7563" s="7"/>
      <c r="T7563" s="7"/>
      <c r="V7563" s="7"/>
      <c r="X7563" s="7"/>
    </row>
    <row r="7564" spans="2:24">
      <c r="B7564" s="7"/>
      <c r="D7564" s="7"/>
      <c r="F7564" s="7"/>
      <c r="H7564" s="7"/>
      <c r="J7564" s="7"/>
      <c r="L7564" s="7"/>
      <c r="N7564" s="7"/>
      <c r="P7564" s="7"/>
      <c r="R7564" s="7"/>
      <c r="T7564" s="7"/>
      <c r="V7564" s="7"/>
      <c r="X7564" s="7"/>
    </row>
    <row r="7565" spans="2:24">
      <c r="B7565" s="7"/>
      <c r="D7565" s="7"/>
      <c r="F7565" s="7"/>
      <c r="H7565" s="7"/>
      <c r="J7565" s="7"/>
      <c r="L7565" s="7"/>
      <c r="N7565" s="7"/>
      <c r="P7565" s="7"/>
      <c r="R7565" s="7"/>
      <c r="T7565" s="7"/>
      <c r="V7565" s="7"/>
      <c r="X7565" s="7"/>
    </row>
    <row r="7566" spans="2:24">
      <c r="B7566" s="7"/>
      <c r="D7566" s="7"/>
      <c r="F7566" s="7"/>
      <c r="H7566" s="7"/>
      <c r="J7566" s="7"/>
      <c r="L7566" s="7"/>
      <c r="N7566" s="7"/>
      <c r="P7566" s="7"/>
      <c r="R7566" s="7"/>
      <c r="T7566" s="7"/>
      <c r="V7566" s="7"/>
      <c r="X7566" s="7"/>
    </row>
    <row r="7567" spans="2:24">
      <c r="B7567" s="7"/>
      <c r="D7567" s="7"/>
      <c r="F7567" s="7"/>
      <c r="H7567" s="7"/>
      <c r="J7567" s="7"/>
      <c r="L7567" s="7"/>
      <c r="N7567" s="7"/>
      <c r="P7567" s="7"/>
      <c r="R7567" s="7"/>
      <c r="T7567" s="7"/>
      <c r="V7567" s="7"/>
      <c r="X7567" s="7"/>
    </row>
    <row r="7568" spans="2:24">
      <c r="B7568" s="7"/>
      <c r="D7568" s="7"/>
      <c r="F7568" s="7"/>
      <c r="H7568" s="7"/>
      <c r="J7568" s="7"/>
      <c r="L7568" s="7"/>
      <c r="N7568" s="7"/>
      <c r="P7568" s="7"/>
      <c r="R7568" s="7"/>
      <c r="T7568" s="7"/>
      <c r="V7568" s="7"/>
      <c r="X7568" s="7"/>
    </row>
    <row r="7569" spans="2:24">
      <c r="B7569" s="7"/>
      <c r="D7569" s="7"/>
      <c r="F7569" s="7"/>
      <c r="H7569" s="7"/>
      <c r="J7569" s="7"/>
      <c r="L7569" s="7"/>
      <c r="N7569" s="7"/>
      <c r="P7569" s="7"/>
      <c r="R7569" s="7"/>
      <c r="T7569" s="7"/>
      <c r="V7569" s="7"/>
      <c r="X7569" s="7"/>
    </row>
    <row r="7570" spans="2:24">
      <c r="B7570" s="7"/>
      <c r="D7570" s="7"/>
      <c r="F7570" s="7"/>
      <c r="H7570" s="7"/>
      <c r="J7570" s="7"/>
      <c r="L7570" s="7"/>
      <c r="N7570" s="7"/>
      <c r="P7570" s="7"/>
      <c r="R7570" s="7"/>
      <c r="T7570" s="7"/>
      <c r="V7570" s="7"/>
      <c r="X7570" s="7"/>
    </row>
    <row r="7571" spans="2:24">
      <c r="B7571" s="7"/>
      <c r="D7571" s="7"/>
      <c r="F7571" s="7"/>
      <c r="H7571" s="7"/>
      <c r="J7571" s="7"/>
      <c r="L7571" s="7"/>
      <c r="N7571" s="7"/>
      <c r="P7571" s="7"/>
      <c r="R7571" s="7"/>
      <c r="T7571" s="7"/>
      <c r="V7571" s="7"/>
      <c r="X7571" s="7"/>
    </row>
    <row r="7572" spans="2:24">
      <c r="B7572" s="7"/>
      <c r="D7572" s="7"/>
      <c r="F7572" s="7"/>
      <c r="H7572" s="7"/>
      <c r="J7572" s="7"/>
      <c r="L7572" s="7"/>
      <c r="N7572" s="7"/>
      <c r="P7572" s="7"/>
      <c r="R7572" s="7"/>
      <c r="T7572" s="7"/>
      <c r="V7572" s="7"/>
      <c r="X7572" s="7"/>
    </row>
    <row r="7573" spans="2:24">
      <c r="B7573" s="7"/>
      <c r="D7573" s="7"/>
      <c r="F7573" s="7"/>
      <c r="H7573" s="7"/>
      <c r="J7573" s="7"/>
      <c r="L7573" s="7"/>
      <c r="N7573" s="7"/>
      <c r="P7573" s="7"/>
      <c r="R7573" s="7"/>
      <c r="T7573" s="7"/>
      <c r="V7573" s="7"/>
      <c r="X7573" s="7"/>
    </row>
    <row r="7574" spans="2:24">
      <c r="B7574" s="7"/>
      <c r="D7574" s="7"/>
      <c r="F7574" s="7"/>
      <c r="H7574" s="7"/>
      <c r="J7574" s="7"/>
      <c r="L7574" s="7"/>
      <c r="N7574" s="7"/>
      <c r="P7574" s="7"/>
      <c r="R7574" s="7"/>
      <c r="T7574" s="7"/>
      <c r="V7574" s="7"/>
      <c r="X7574" s="7"/>
    </row>
    <row r="7575" spans="2:24">
      <c r="B7575" s="7"/>
      <c r="D7575" s="7"/>
      <c r="F7575" s="7"/>
      <c r="H7575" s="7"/>
      <c r="J7575" s="7"/>
      <c r="L7575" s="7"/>
      <c r="N7575" s="7"/>
      <c r="P7575" s="7"/>
      <c r="R7575" s="7"/>
      <c r="T7575" s="7"/>
      <c r="V7575" s="7"/>
      <c r="X7575" s="7"/>
    </row>
    <row r="7576" spans="2:24">
      <c r="B7576" s="7"/>
      <c r="D7576" s="7"/>
      <c r="F7576" s="7"/>
      <c r="H7576" s="7"/>
      <c r="J7576" s="7"/>
      <c r="L7576" s="7"/>
      <c r="N7576" s="7"/>
      <c r="P7576" s="7"/>
      <c r="R7576" s="7"/>
      <c r="T7576" s="7"/>
      <c r="V7576" s="7"/>
      <c r="X7576" s="7"/>
    </row>
    <row r="7577" spans="2:24">
      <c r="B7577" s="7"/>
      <c r="D7577" s="7"/>
      <c r="F7577" s="7"/>
      <c r="H7577" s="7"/>
      <c r="J7577" s="7"/>
      <c r="L7577" s="7"/>
      <c r="N7577" s="7"/>
      <c r="P7577" s="7"/>
      <c r="R7577" s="7"/>
      <c r="T7577" s="7"/>
      <c r="V7577" s="7"/>
      <c r="X7577" s="7"/>
    </row>
    <row r="7578" spans="2:24">
      <c r="B7578" s="7"/>
      <c r="D7578" s="7"/>
      <c r="F7578" s="7"/>
      <c r="H7578" s="7"/>
      <c r="J7578" s="7"/>
      <c r="L7578" s="7"/>
      <c r="N7578" s="7"/>
      <c r="P7578" s="7"/>
      <c r="R7578" s="7"/>
      <c r="T7578" s="7"/>
      <c r="V7578" s="7"/>
      <c r="X7578" s="7"/>
    </row>
    <row r="7579" spans="2:24">
      <c r="B7579" s="7"/>
      <c r="D7579" s="7"/>
      <c r="F7579" s="7"/>
      <c r="H7579" s="7"/>
      <c r="J7579" s="7"/>
      <c r="L7579" s="7"/>
      <c r="N7579" s="7"/>
      <c r="P7579" s="7"/>
      <c r="R7579" s="7"/>
      <c r="T7579" s="7"/>
      <c r="V7579" s="7"/>
      <c r="X7579" s="7"/>
    </row>
    <row r="7580" spans="2:24">
      <c r="B7580" s="7"/>
      <c r="D7580" s="7"/>
      <c r="F7580" s="7"/>
      <c r="H7580" s="7"/>
      <c r="J7580" s="7"/>
      <c r="L7580" s="7"/>
      <c r="N7580" s="7"/>
      <c r="P7580" s="7"/>
      <c r="R7580" s="7"/>
      <c r="T7580" s="7"/>
      <c r="V7580" s="7"/>
      <c r="X7580" s="7"/>
    </row>
    <row r="7581" spans="2:24">
      <c r="B7581" s="7"/>
      <c r="D7581" s="7"/>
      <c r="F7581" s="7"/>
      <c r="H7581" s="7"/>
      <c r="J7581" s="7"/>
      <c r="L7581" s="7"/>
      <c r="N7581" s="7"/>
      <c r="P7581" s="7"/>
      <c r="R7581" s="7"/>
      <c r="T7581" s="7"/>
      <c r="V7581" s="7"/>
      <c r="X7581" s="7"/>
    </row>
    <row r="7582" spans="2:24">
      <c r="B7582" s="7"/>
      <c r="D7582" s="7"/>
      <c r="F7582" s="7"/>
      <c r="H7582" s="7"/>
      <c r="J7582" s="7"/>
      <c r="L7582" s="7"/>
      <c r="N7582" s="7"/>
      <c r="P7582" s="7"/>
      <c r="R7582" s="7"/>
      <c r="T7582" s="7"/>
      <c r="V7582" s="7"/>
      <c r="X7582" s="7"/>
    </row>
    <row r="7583" spans="2:24">
      <c r="B7583" s="7"/>
      <c r="D7583" s="7"/>
      <c r="F7583" s="7"/>
      <c r="H7583" s="7"/>
      <c r="J7583" s="7"/>
      <c r="L7583" s="7"/>
      <c r="N7583" s="7"/>
      <c r="P7583" s="7"/>
      <c r="R7583" s="7"/>
      <c r="T7583" s="7"/>
      <c r="V7583" s="7"/>
      <c r="X7583" s="7"/>
    </row>
    <row r="7584" spans="2:24">
      <c r="B7584" s="7"/>
      <c r="D7584" s="7"/>
      <c r="F7584" s="7"/>
      <c r="H7584" s="7"/>
      <c r="J7584" s="7"/>
      <c r="L7584" s="7"/>
      <c r="N7584" s="7"/>
      <c r="P7584" s="7"/>
      <c r="R7584" s="7"/>
      <c r="T7584" s="7"/>
      <c r="V7584" s="7"/>
      <c r="X7584" s="7"/>
    </row>
    <row r="7585" spans="2:24">
      <c r="B7585" s="7"/>
      <c r="D7585" s="7"/>
      <c r="F7585" s="7"/>
      <c r="H7585" s="7"/>
      <c r="J7585" s="7"/>
      <c r="L7585" s="7"/>
      <c r="N7585" s="7"/>
      <c r="P7585" s="7"/>
      <c r="R7585" s="7"/>
      <c r="T7585" s="7"/>
      <c r="V7585" s="7"/>
      <c r="X7585" s="7"/>
    </row>
    <row r="7586" spans="2:24">
      <c r="B7586" s="7"/>
      <c r="D7586" s="7"/>
      <c r="F7586" s="7"/>
      <c r="H7586" s="7"/>
      <c r="J7586" s="7"/>
      <c r="L7586" s="7"/>
      <c r="N7586" s="7"/>
      <c r="P7586" s="7"/>
      <c r="R7586" s="7"/>
      <c r="T7586" s="7"/>
      <c r="V7586" s="7"/>
      <c r="X7586" s="7"/>
    </row>
    <row r="7587" spans="2:24">
      <c r="B7587" s="7"/>
      <c r="D7587" s="7"/>
      <c r="F7587" s="7"/>
      <c r="H7587" s="7"/>
      <c r="J7587" s="7"/>
      <c r="L7587" s="7"/>
      <c r="N7587" s="7"/>
      <c r="P7587" s="7"/>
      <c r="R7587" s="7"/>
      <c r="T7587" s="7"/>
      <c r="V7587" s="7"/>
      <c r="X7587" s="7"/>
    </row>
    <row r="7588" spans="2:24">
      <c r="B7588" s="7"/>
      <c r="D7588" s="7"/>
      <c r="F7588" s="7"/>
      <c r="H7588" s="7"/>
      <c r="J7588" s="7"/>
      <c r="L7588" s="7"/>
      <c r="N7588" s="7"/>
      <c r="P7588" s="7"/>
      <c r="R7588" s="7"/>
      <c r="T7588" s="7"/>
      <c r="V7588" s="7"/>
      <c r="X7588" s="7"/>
    </row>
    <row r="7589" spans="2:24">
      <c r="B7589" s="7"/>
      <c r="D7589" s="7"/>
      <c r="F7589" s="7"/>
      <c r="H7589" s="7"/>
      <c r="J7589" s="7"/>
      <c r="L7589" s="7"/>
      <c r="N7589" s="7"/>
      <c r="P7589" s="7"/>
      <c r="R7589" s="7"/>
      <c r="T7589" s="7"/>
      <c r="V7589" s="7"/>
      <c r="X7589" s="7"/>
    </row>
    <row r="7590" spans="2:24">
      <c r="B7590" s="7"/>
      <c r="D7590" s="7"/>
      <c r="F7590" s="7"/>
      <c r="H7590" s="7"/>
      <c r="J7590" s="7"/>
      <c r="L7590" s="7"/>
      <c r="N7590" s="7"/>
      <c r="P7590" s="7"/>
      <c r="R7590" s="7"/>
      <c r="T7590" s="7"/>
      <c r="V7590" s="7"/>
      <c r="X7590" s="7"/>
    </row>
    <row r="7591" spans="2:24">
      <c r="B7591" s="7"/>
      <c r="D7591" s="7"/>
      <c r="F7591" s="7"/>
      <c r="H7591" s="7"/>
      <c r="J7591" s="7"/>
      <c r="L7591" s="7"/>
      <c r="N7591" s="7"/>
      <c r="P7591" s="7"/>
      <c r="R7591" s="7"/>
      <c r="T7591" s="7"/>
      <c r="V7591" s="7"/>
      <c r="X7591" s="7"/>
    </row>
    <row r="7592" spans="2:24">
      <c r="B7592" s="7"/>
      <c r="D7592" s="7"/>
      <c r="F7592" s="7"/>
      <c r="H7592" s="7"/>
      <c r="J7592" s="7"/>
      <c r="L7592" s="7"/>
      <c r="N7592" s="7"/>
      <c r="P7592" s="7"/>
      <c r="R7592" s="7"/>
      <c r="T7592" s="7"/>
      <c r="V7592" s="7"/>
      <c r="X7592" s="7"/>
    </row>
    <row r="7593" spans="2:24">
      <c r="B7593" s="7"/>
      <c r="D7593" s="7"/>
      <c r="F7593" s="7"/>
      <c r="H7593" s="7"/>
      <c r="J7593" s="7"/>
      <c r="L7593" s="7"/>
      <c r="N7593" s="7"/>
      <c r="P7593" s="7"/>
      <c r="R7593" s="7"/>
      <c r="T7593" s="7"/>
      <c r="V7593" s="7"/>
      <c r="X7593" s="7"/>
    </row>
    <row r="7594" spans="2:24">
      <c r="B7594" s="7"/>
      <c r="D7594" s="7"/>
      <c r="F7594" s="7"/>
      <c r="H7594" s="7"/>
      <c r="J7594" s="7"/>
      <c r="L7594" s="7"/>
      <c r="N7594" s="7"/>
      <c r="P7594" s="7"/>
      <c r="R7594" s="7"/>
      <c r="T7594" s="7"/>
      <c r="V7594" s="7"/>
      <c r="X7594" s="7"/>
    </row>
    <row r="7595" spans="2:24">
      <c r="B7595" s="7"/>
      <c r="D7595" s="7"/>
      <c r="F7595" s="7"/>
      <c r="H7595" s="7"/>
      <c r="J7595" s="7"/>
      <c r="L7595" s="7"/>
      <c r="N7595" s="7"/>
      <c r="P7595" s="7"/>
      <c r="R7595" s="7"/>
      <c r="T7595" s="7"/>
      <c r="V7595" s="7"/>
      <c r="X7595" s="7"/>
    </row>
    <row r="7596" spans="2:24">
      <c r="B7596" s="7"/>
      <c r="D7596" s="7"/>
      <c r="F7596" s="7"/>
      <c r="H7596" s="7"/>
      <c r="J7596" s="7"/>
      <c r="L7596" s="7"/>
      <c r="N7596" s="7"/>
      <c r="P7596" s="7"/>
      <c r="R7596" s="7"/>
      <c r="T7596" s="7"/>
      <c r="V7596" s="7"/>
      <c r="X7596" s="7"/>
    </row>
    <row r="7597" spans="2:24">
      <c r="B7597" s="7"/>
      <c r="D7597" s="7"/>
      <c r="F7597" s="7"/>
      <c r="H7597" s="7"/>
      <c r="J7597" s="7"/>
      <c r="L7597" s="7"/>
      <c r="N7597" s="7"/>
      <c r="P7597" s="7"/>
      <c r="R7597" s="7"/>
      <c r="T7597" s="7"/>
      <c r="V7597" s="7"/>
      <c r="X7597" s="7"/>
    </row>
    <row r="7598" spans="2:24">
      <c r="B7598" s="7"/>
      <c r="D7598" s="7"/>
      <c r="F7598" s="7"/>
      <c r="H7598" s="7"/>
      <c r="J7598" s="7"/>
      <c r="L7598" s="7"/>
      <c r="N7598" s="7"/>
      <c r="P7598" s="7"/>
      <c r="R7598" s="7"/>
      <c r="T7598" s="7"/>
      <c r="V7598" s="7"/>
      <c r="X7598" s="7"/>
    </row>
    <row r="7599" spans="2:24">
      <c r="B7599" s="7"/>
      <c r="D7599" s="7"/>
      <c r="F7599" s="7"/>
      <c r="H7599" s="7"/>
      <c r="J7599" s="7"/>
      <c r="L7599" s="7"/>
      <c r="N7599" s="7"/>
      <c r="P7599" s="7"/>
      <c r="R7599" s="7"/>
      <c r="T7599" s="7"/>
      <c r="V7599" s="7"/>
      <c r="X7599" s="7"/>
    </row>
    <row r="7600" spans="2:24">
      <c r="B7600" s="7"/>
      <c r="D7600" s="7"/>
      <c r="F7600" s="7"/>
      <c r="H7600" s="7"/>
      <c r="J7600" s="7"/>
      <c r="L7600" s="7"/>
      <c r="N7600" s="7"/>
      <c r="P7600" s="7"/>
      <c r="R7600" s="7"/>
      <c r="T7600" s="7"/>
      <c r="V7600" s="7"/>
      <c r="X7600" s="7"/>
    </row>
    <row r="7601" spans="2:24">
      <c r="B7601" s="7"/>
      <c r="D7601" s="7"/>
      <c r="F7601" s="7"/>
      <c r="H7601" s="7"/>
      <c r="J7601" s="7"/>
      <c r="L7601" s="7"/>
      <c r="N7601" s="7"/>
      <c r="P7601" s="7"/>
      <c r="R7601" s="7"/>
      <c r="T7601" s="7"/>
      <c r="V7601" s="7"/>
      <c r="X7601" s="7"/>
    </row>
    <row r="7602" spans="2:24">
      <c r="B7602" s="7"/>
      <c r="D7602" s="7"/>
      <c r="F7602" s="7"/>
      <c r="H7602" s="7"/>
      <c r="J7602" s="7"/>
      <c r="L7602" s="7"/>
      <c r="N7602" s="7"/>
      <c r="P7602" s="7"/>
      <c r="R7602" s="7"/>
      <c r="T7602" s="7"/>
      <c r="V7602" s="7"/>
      <c r="X7602" s="7"/>
    </row>
    <row r="7603" spans="2:24">
      <c r="B7603" s="7"/>
      <c r="D7603" s="7"/>
      <c r="F7603" s="7"/>
      <c r="H7603" s="7"/>
      <c r="J7603" s="7"/>
      <c r="L7603" s="7"/>
      <c r="N7603" s="7"/>
      <c r="P7603" s="7"/>
      <c r="R7603" s="7"/>
      <c r="T7603" s="7"/>
      <c r="V7603" s="7"/>
      <c r="X7603" s="7"/>
    </row>
    <row r="7604" spans="2:24">
      <c r="B7604" s="7"/>
      <c r="D7604" s="7"/>
      <c r="F7604" s="7"/>
      <c r="H7604" s="7"/>
      <c r="J7604" s="7"/>
      <c r="L7604" s="7"/>
      <c r="N7604" s="7"/>
      <c r="P7604" s="7"/>
      <c r="R7604" s="7"/>
      <c r="T7604" s="7"/>
      <c r="V7604" s="7"/>
      <c r="X7604" s="7"/>
    </row>
    <row r="7605" spans="2:24">
      <c r="B7605" s="7"/>
      <c r="D7605" s="7"/>
      <c r="F7605" s="7"/>
      <c r="H7605" s="7"/>
      <c r="J7605" s="7"/>
      <c r="L7605" s="7"/>
      <c r="N7605" s="7"/>
      <c r="P7605" s="7"/>
      <c r="R7605" s="7"/>
      <c r="T7605" s="7"/>
      <c r="V7605" s="7"/>
      <c r="X7605" s="7"/>
    </row>
    <row r="7606" spans="2:24">
      <c r="B7606" s="7"/>
      <c r="D7606" s="7"/>
      <c r="F7606" s="7"/>
      <c r="H7606" s="7"/>
      <c r="J7606" s="7"/>
      <c r="L7606" s="7"/>
      <c r="N7606" s="7"/>
      <c r="P7606" s="7"/>
      <c r="R7606" s="7"/>
      <c r="T7606" s="7"/>
      <c r="V7606" s="7"/>
      <c r="X7606" s="7"/>
    </row>
    <row r="7607" spans="2:24">
      <c r="B7607" s="7"/>
      <c r="D7607" s="7"/>
      <c r="F7607" s="7"/>
      <c r="H7607" s="7"/>
      <c r="J7607" s="7"/>
      <c r="L7607" s="7"/>
      <c r="N7607" s="7"/>
      <c r="P7607" s="7"/>
      <c r="R7607" s="7"/>
      <c r="T7607" s="7"/>
      <c r="V7607" s="7"/>
      <c r="X7607" s="7"/>
    </row>
    <row r="7608" spans="2:24">
      <c r="B7608" s="7"/>
      <c r="D7608" s="7"/>
      <c r="F7608" s="7"/>
      <c r="H7608" s="7"/>
      <c r="J7608" s="7"/>
      <c r="L7608" s="7"/>
      <c r="N7608" s="7"/>
      <c r="P7608" s="7"/>
      <c r="R7608" s="7"/>
      <c r="T7608" s="7"/>
      <c r="V7608" s="7"/>
      <c r="X7608" s="7"/>
    </row>
    <row r="7609" spans="2:24">
      <c r="B7609" s="7"/>
      <c r="D7609" s="7"/>
      <c r="F7609" s="7"/>
      <c r="H7609" s="7"/>
      <c r="J7609" s="7"/>
      <c r="L7609" s="7"/>
      <c r="N7609" s="7"/>
      <c r="P7609" s="7"/>
      <c r="R7609" s="7"/>
      <c r="T7609" s="7"/>
      <c r="V7609" s="7"/>
      <c r="X7609" s="7"/>
    </row>
    <row r="7610" spans="2:24">
      <c r="B7610" s="7"/>
      <c r="D7610" s="7"/>
      <c r="F7610" s="7"/>
      <c r="H7610" s="7"/>
      <c r="J7610" s="7"/>
      <c r="L7610" s="7"/>
      <c r="N7610" s="7"/>
      <c r="P7610" s="7"/>
      <c r="R7610" s="7"/>
      <c r="T7610" s="7"/>
      <c r="V7610" s="7"/>
      <c r="X7610" s="7"/>
    </row>
    <row r="7611" spans="2:24">
      <c r="B7611" s="7"/>
      <c r="D7611" s="7"/>
      <c r="F7611" s="7"/>
      <c r="H7611" s="7"/>
      <c r="J7611" s="7"/>
      <c r="L7611" s="7"/>
      <c r="N7611" s="7"/>
      <c r="P7611" s="7"/>
      <c r="R7611" s="7"/>
      <c r="T7611" s="7"/>
      <c r="V7611" s="7"/>
      <c r="X7611" s="7"/>
    </row>
    <row r="7612" spans="2:24">
      <c r="B7612" s="7"/>
      <c r="D7612" s="7"/>
      <c r="F7612" s="7"/>
      <c r="H7612" s="7"/>
      <c r="J7612" s="7"/>
      <c r="L7612" s="7"/>
      <c r="N7612" s="7"/>
      <c r="P7612" s="7"/>
      <c r="R7612" s="7"/>
      <c r="T7612" s="7"/>
      <c r="V7612" s="7"/>
      <c r="X7612" s="7"/>
    </row>
    <row r="7613" spans="2:24">
      <c r="B7613" s="7"/>
      <c r="D7613" s="7"/>
      <c r="F7613" s="7"/>
      <c r="H7613" s="7"/>
      <c r="J7613" s="7"/>
      <c r="L7613" s="7"/>
      <c r="N7613" s="7"/>
      <c r="P7613" s="7"/>
      <c r="R7613" s="7"/>
      <c r="T7613" s="7"/>
      <c r="V7613" s="7"/>
      <c r="X7613" s="7"/>
    </row>
    <row r="7614" spans="2:24">
      <c r="B7614" s="7"/>
      <c r="D7614" s="7"/>
      <c r="F7614" s="7"/>
      <c r="H7614" s="7"/>
      <c r="J7614" s="7"/>
      <c r="L7614" s="7"/>
      <c r="N7614" s="7"/>
      <c r="P7614" s="7"/>
      <c r="R7614" s="7"/>
      <c r="T7614" s="7"/>
      <c r="V7614" s="7"/>
      <c r="X7614" s="7"/>
    </row>
    <row r="7615" spans="2:24">
      <c r="B7615" s="7"/>
      <c r="D7615" s="7"/>
      <c r="F7615" s="7"/>
      <c r="H7615" s="7"/>
      <c r="J7615" s="7"/>
      <c r="L7615" s="7"/>
      <c r="N7615" s="7"/>
      <c r="P7615" s="7"/>
      <c r="R7615" s="7"/>
      <c r="T7615" s="7"/>
      <c r="V7615" s="7"/>
      <c r="X7615" s="7"/>
    </row>
    <row r="7616" spans="2:24">
      <c r="B7616" s="7"/>
      <c r="D7616" s="7"/>
      <c r="F7616" s="7"/>
      <c r="H7616" s="7"/>
      <c r="J7616" s="7"/>
      <c r="L7616" s="7"/>
      <c r="N7616" s="7"/>
      <c r="P7616" s="7"/>
      <c r="R7616" s="7"/>
      <c r="T7616" s="7"/>
      <c r="V7616" s="7"/>
      <c r="X7616" s="7"/>
    </row>
    <row r="7617" spans="2:24">
      <c r="B7617" s="7"/>
      <c r="D7617" s="7"/>
      <c r="F7617" s="7"/>
      <c r="H7617" s="7"/>
      <c r="J7617" s="7"/>
      <c r="L7617" s="7"/>
      <c r="N7617" s="7"/>
      <c r="P7617" s="7"/>
      <c r="R7617" s="7"/>
      <c r="T7617" s="7"/>
      <c r="V7617" s="7"/>
      <c r="X7617" s="7"/>
    </row>
    <row r="7618" spans="2:24">
      <c r="B7618" s="7"/>
      <c r="D7618" s="7"/>
      <c r="F7618" s="7"/>
      <c r="H7618" s="7"/>
      <c r="J7618" s="7"/>
      <c r="L7618" s="7"/>
      <c r="N7618" s="7"/>
      <c r="P7618" s="7"/>
      <c r="R7618" s="7"/>
      <c r="T7618" s="7"/>
      <c r="V7618" s="7"/>
      <c r="X7618" s="7"/>
    </row>
    <row r="7619" spans="2:24">
      <c r="B7619" s="7"/>
      <c r="D7619" s="7"/>
      <c r="F7619" s="7"/>
      <c r="H7619" s="7"/>
      <c r="J7619" s="7"/>
      <c r="L7619" s="7"/>
      <c r="N7619" s="7"/>
      <c r="P7619" s="7"/>
      <c r="R7619" s="7"/>
      <c r="T7619" s="7"/>
      <c r="V7619" s="7"/>
      <c r="X7619" s="7"/>
    </row>
    <row r="7620" spans="2:24">
      <c r="B7620" s="7"/>
      <c r="D7620" s="7"/>
      <c r="F7620" s="7"/>
      <c r="H7620" s="7"/>
      <c r="J7620" s="7"/>
      <c r="L7620" s="7"/>
      <c r="N7620" s="7"/>
      <c r="P7620" s="7"/>
      <c r="R7620" s="7"/>
      <c r="T7620" s="7"/>
      <c r="V7620" s="7"/>
      <c r="X7620" s="7"/>
    </row>
    <row r="7621" spans="2:24">
      <c r="B7621" s="7"/>
      <c r="D7621" s="7"/>
      <c r="F7621" s="7"/>
      <c r="H7621" s="7"/>
      <c r="J7621" s="7"/>
      <c r="L7621" s="7"/>
      <c r="N7621" s="7"/>
      <c r="P7621" s="7"/>
      <c r="R7621" s="7"/>
      <c r="T7621" s="7"/>
      <c r="V7621" s="7"/>
      <c r="X7621" s="7"/>
    </row>
    <row r="7622" spans="2:24">
      <c r="B7622" s="7"/>
      <c r="D7622" s="7"/>
      <c r="F7622" s="7"/>
      <c r="H7622" s="7"/>
      <c r="J7622" s="7"/>
      <c r="L7622" s="7"/>
      <c r="N7622" s="7"/>
      <c r="P7622" s="7"/>
      <c r="R7622" s="7"/>
      <c r="T7622" s="7"/>
      <c r="V7622" s="7"/>
      <c r="X7622" s="7"/>
    </row>
    <row r="7623" spans="2:24">
      <c r="B7623" s="7"/>
      <c r="D7623" s="7"/>
      <c r="F7623" s="7"/>
      <c r="H7623" s="7"/>
      <c r="J7623" s="7"/>
      <c r="L7623" s="7"/>
      <c r="N7623" s="7"/>
      <c r="P7623" s="7"/>
      <c r="R7623" s="7"/>
      <c r="T7623" s="7"/>
      <c r="V7623" s="7"/>
      <c r="X7623" s="7"/>
    </row>
    <row r="7624" spans="2:24">
      <c r="B7624" s="7"/>
      <c r="D7624" s="7"/>
      <c r="F7624" s="7"/>
      <c r="H7624" s="7"/>
      <c r="J7624" s="7"/>
      <c r="L7624" s="7"/>
      <c r="N7624" s="7"/>
      <c r="P7624" s="7"/>
      <c r="R7624" s="7"/>
      <c r="T7624" s="7"/>
      <c r="V7624" s="7"/>
      <c r="X7624" s="7"/>
    </row>
    <row r="7625" spans="2:24">
      <c r="B7625" s="7"/>
      <c r="D7625" s="7"/>
      <c r="F7625" s="7"/>
      <c r="H7625" s="7"/>
      <c r="J7625" s="7"/>
      <c r="L7625" s="7"/>
      <c r="N7625" s="7"/>
      <c r="P7625" s="7"/>
      <c r="R7625" s="7"/>
      <c r="T7625" s="7"/>
      <c r="V7625" s="7"/>
      <c r="X7625" s="7"/>
    </row>
    <row r="7626" spans="2:24">
      <c r="B7626" s="7"/>
      <c r="D7626" s="7"/>
      <c r="F7626" s="7"/>
      <c r="H7626" s="7"/>
      <c r="J7626" s="7"/>
      <c r="L7626" s="7"/>
      <c r="N7626" s="7"/>
      <c r="P7626" s="7"/>
      <c r="R7626" s="7"/>
      <c r="T7626" s="7"/>
      <c r="V7626" s="7"/>
      <c r="X7626" s="7"/>
    </row>
    <row r="7627" spans="2:24">
      <c r="B7627" s="7"/>
      <c r="D7627" s="7"/>
      <c r="F7627" s="7"/>
      <c r="H7627" s="7"/>
      <c r="J7627" s="7"/>
      <c r="L7627" s="7"/>
      <c r="N7627" s="7"/>
      <c r="P7627" s="7"/>
      <c r="R7627" s="7"/>
      <c r="T7627" s="7"/>
      <c r="V7627" s="7"/>
      <c r="X7627" s="7"/>
    </row>
    <row r="7628" spans="2:24">
      <c r="B7628" s="7"/>
      <c r="D7628" s="7"/>
      <c r="F7628" s="7"/>
      <c r="H7628" s="7"/>
      <c r="J7628" s="7"/>
      <c r="L7628" s="7"/>
      <c r="N7628" s="7"/>
      <c r="P7628" s="7"/>
      <c r="R7628" s="7"/>
      <c r="T7628" s="7"/>
      <c r="V7628" s="7"/>
      <c r="X7628" s="7"/>
    </row>
    <row r="7629" spans="2:24">
      <c r="B7629" s="7"/>
      <c r="D7629" s="7"/>
      <c r="F7629" s="7"/>
      <c r="H7629" s="7"/>
      <c r="J7629" s="7"/>
      <c r="L7629" s="7"/>
      <c r="N7629" s="7"/>
      <c r="P7629" s="7"/>
      <c r="R7629" s="7"/>
      <c r="T7629" s="7"/>
      <c r="V7629" s="7"/>
      <c r="X7629" s="7"/>
    </row>
    <row r="7630" spans="2:24">
      <c r="B7630" s="7"/>
      <c r="D7630" s="7"/>
      <c r="F7630" s="7"/>
      <c r="H7630" s="7"/>
      <c r="J7630" s="7"/>
      <c r="L7630" s="7"/>
      <c r="N7630" s="7"/>
      <c r="P7630" s="7"/>
      <c r="R7630" s="7"/>
      <c r="T7630" s="7"/>
      <c r="V7630" s="7"/>
      <c r="X7630" s="7"/>
    </row>
    <row r="7631" spans="2:24">
      <c r="B7631" s="7"/>
      <c r="D7631" s="7"/>
      <c r="F7631" s="7"/>
      <c r="H7631" s="7"/>
      <c r="J7631" s="7"/>
      <c r="L7631" s="7"/>
      <c r="N7631" s="7"/>
      <c r="P7631" s="7"/>
      <c r="R7631" s="7"/>
      <c r="T7631" s="7"/>
      <c r="V7631" s="7"/>
      <c r="X7631" s="7"/>
    </row>
    <row r="7632" spans="2:24">
      <c r="B7632" s="7"/>
      <c r="D7632" s="7"/>
      <c r="F7632" s="7"/>
      <c r="H7632" s="7"/>
      <c r="J7632" s="7"/>
      <c r="L7632" s="7"/>
      <c r="N7632" s="7"/>
      <c r="P7632" s="7"/>
      <c r="R7632" s="7"/>
      <c r="T7632" s="7"/>
      <c r="V7632" s="7"/>
      <c r="X7632" s="7"/>
    </row>
    <row r="7633" spans="2:24">
      <c r="B7633" s="7"/>
      <c r="D7633" s="7"/>
      <c r="F7633" s="7"/>
      <c r="H7633" s="7"/>
      <c r="J7633" s="7"/>
      <c r="L7633" s="7"/>
      <c r="N7633" s="7"/>
      <c r="P7633" s="7"/>
      <c r="R7633" s="7"/>
      <c r="T7633" s="7"/>
      <c r="V7633" s="7"/>
      <c r="X7633" s="7"/>
    </row>
    <row r="7634" spans="2:24">
      <c r="B7634" s="7"/>
      <c r="D7634" s="7"/>
      <c r="F7634" s="7"/>
      <c r="H7634" s="7"/>
      <c r="J7634" s="7"/>
      <c r="L7634" s="7"/>
      <c r="N7634" s="7"/>
      <c r="P7634" s="7"/>
      <c r="R7634" s="7"/>
      <c r="T7634" s="7"/>
      <c r="V7634" s="7"/>
      <c r="X7634" s="7"/>
    </row>
    <row r="7635" spans="2:24">
      <c r="B7635" s="7"/>
      <c r="D7635" s="7"/>
      <c r="F7635" s="7"/>
      <c r="H7635" s="7"/>
      <c r="J7635" s="7"/>
      <c r="L7635" s="7"/>
      <c r="N7635" s="7"/>
      <c r="P7635" s="7"/>
      <c r="R7635" s="7"/>
      <c r="T7635" s="7"/>
      <c r="V7635" s="7"/>
      <c r="X7635" s="7"/>
    </row>
    <row r="7636" spans="2:24">
      <c r="B7636" s="7"/>
      <c r="D7636" s="7"/>
      <c r="F7636" s="7"/>
      <c r="H7636" s="7"/>
      <c r="J7636" s="7"/>
      <c r="L7636" s="7"/>
      <c r="N7636" s="7"/>
      <c r="P7636" s="7"/>
      <c r="R7636" s="7"/>
      <c r="T7636" s="7"/>
      <c r="V7636" s="7"/>
      <c r="X7636" s="7"/>
    </row>
    <row r="7637" spans="2:24">
      <c r="B7637" s="7"/>
      <c r="D7637" s="7"/>
      <c r="F7637" s="7"/>
      <c r="H7637" s="7"/>
      <c r="J7637" s="7"/>
      <c r="L7637" s="7"/>
      <c r="N7637" s="7"/>
      <c r="P7637" s="7"/>
      <c r="R7637" s="7"/>
      <c r="T7637" s="7"/>
      <c r="V7637" s="7"/>
      <c r="X7637" s="7"/>
    </row>
    <row r="7638" spans="2:24">
      <c r="B7638" s="7"/>
      <c r="D7638" s="7"/>
      <c r="F7638" s="7"/>
      <c r="H7638" s="7"/>
      <c r="J7638" s="7"/>
      <c r="L7638" s="7"/>
      <c r="N7638" s="7"/>
      <c r="P7638" s="7"/>
      <c r="R7638" s="7"/>
      <c r="T7638" s="7"/>
      <c r="V7638" s="7"/>
      <c r="X7638" s="7"/>
    </row>
    <row r="7639" spans="2:24">
      <c r="B7639" s="7"/>
      <c r="D7639" s="7"/>
      <c r="F7639" s="7"/>
      <c r="H7639" s="7"/>
      <c r="J7639" s="7"/>
      <c r="L7639" s="7"/>
      <c r="N7639" s="7"/>
      <c r="P7639" s="7"/>
      <c r="R7639" s="7"/>
      <c r="T7639" s="7"/>
      <c r="V7639" s="7"/>
      <c r="X7639" s="7"/>
    </row>
    <row r="7640" spans="2:24">
      <c r="B7640" s="7"/>
      <c r="D7640" s="7"/>
      <c r="F7640" s="7"/>
      <c r="H7640" s="7"/>
      <c r="J7640" s="7"/>
      <c r="L7640" s="7"/>
      <c r="N7640" s="7"/>
      <c r="P7640" s="7"/>
      <c r="R7640" s="7"/>
      <c r="T7640" s="7"/>
      <c r="V7640" s="7"/>
      <c r="X7640" s="7"/>
    </row>
    <row r="7641" spans="2:24">
      <c r="B7641" s="7"/>
      <c r="D7641" s="7"/>
      <c r="F7641" s="7"/>
      <c r="H7641" s="7"/>
      <c r="J7641" s="7"/>
      <c r="L7641" s="7"/>
      <c r="N7641" s="7"/>
      <c r="P7641" s="7"/>
      <c r="R7641" s="7"/>
      <c r="T7641" s="7"/>
      <c r="V7641" s="7"/>
      <c r="X7641" s="7"/>
    </row>
    <row r="7642" spans="2:24">
      <c r="B7642" s="7"/>
      <c r="D7642" s="7"/>
      <c r="F7642" s="7"/>
      <c r="H7642" s="7"/>
      <c r="J7642" s="7"/>
      <c r="L7642" s="7"/>
      <c r="N7642" s="7"/>
      <c r="P7642" s="7"/>
      <c r="R7642" s="7"/>
      <c r="T7642" s="7"/>
      <c r="V7642" s="7"/>
      <c r="X7642" s="7"/>
    </row>
    <row r="7643" spans="2:24">
      <c r="B7643" s="7"/>
      <c r="D7643" s="7"/>
      <c r="F7643" s="7"/>
      <c r="H7643" s="7"/>
      <c r="J7643" s="7"/>
      <c r="L7643" s="7"/>
      <c r="N7643" s="7"/>
      <c r="P7643" s="7"/>
      <c r="R7643" s="7"/>
      <c r="T7643" s="7"/>
      <c r="V7643" s="7"/>
      <c r="X7643" s="7"/>
    </row>
    <row r="7644" spans="2:24">
      <c r="B7644" s="7"/>
      <c r="D7644" s="7"/>
      <c r="F7644" s="7"/>
      <c r="H7644" s="7"/>
      <c r="J7644" s="7"/>
      <c r="L7644" s="7"/>
      <c r="N7644" s="7"/>
      <c r="P7644" s="7"/>
      <c r="R7644" s="7"/>
      <c r="T7644" s="7"/>
      <c r="V7644" s="7"/>
      <c r="X7644" s="7"/>
    </row>
    <row r="7645" spans="2:24">
      <c r="B7645" s="7"/>
      <c r="D7645" s="7"/>
      <c r="F7645" s="7"/>
      <c r="H7645" s="7"/>
      <c r="J7645" s="7"/>
      <c r="L7645" s="7"/>
      <c r="N7645" s="7"/>
      <c r="P7645" s="7"/>
      <c r="R7645" s="7"/>
      <c r="T7645" s="7"/>
      <c r="V7645" s="7"/>
      <c r="X7645" s="7"/>
    </row>
    <row r="7646" spans="2:24">
      <c r="B7646" s="7"/>
      <c r="D7646" s="7"/>
      <c r="F7646" s="7"/>
      <c r="H7646" s="7"/>
      <c r="J7646" s="7"/>
      <c r="L7646" s="7"/>
      <c r="N7646" s="7"/>
      <c r="P7646" s="7"/>
      <c r="R7646" s="7"/>
      <c r="T7646" s="7"/>
      <c r="V7646" s="7"/>
      <c r="X7646" s="7"/>
    </row>
    <row r="7647" spans="2:24">
      <c r="B7647" s="7"/>
      <c r="D7647" s="7"/>
      <c r="F7647" s="7"/>
      <c r="H7647" s="7"/>
      <c r="J7647" s="7"/>
      <c r="L7647" s="7"/>
      <c r="N7647" s="7"/>
      <c r="P7647" s="7"/>
      <c r="R7647" s="7"/>
      <c r="T7647" s="7"/>
      <c r="V7647" s="7"/>
      <c r="X7647" s="7"/>
    </row>
    <row r="7648" spans="2:24">
      <c r="B7648" s="7"/>
      <c r="D7648" s="7"/>
      <c r="F7648" s="7"/>
      <c r="H7648" s="7"/>
      <c r="J7648" s="7"/>
      <c r="L7648" s="7"/>
      <c r="N7648" s="7"/>
      <c r="P7648" s="7"/>
      <c r="R7648" s="7"/>
      <c r="T7648" s="7"/>
      <c r="V7648" s="7"/>
      <c r="X7648" s="7"/>
    </row>
    <row r="7649" spans="2:24">
      <c r="B7649" s="7"/>
      <c r="D7649" s="7"/>
      <c r="F7649" s="7"/>
      <c r="H7649" s="7"/>
      <c r="J7649" s="7"/>
      <c r="L7649" s="7"/>
      <c r="N7649" s="7"/>
      <c r="P7649" s="7"/>
      <c r="R7649" s="7"/>
      <c r="T7649" s="7"/>
      <c r="V7649" s="7"/>
      <c r="X7649" s="7"/>
    </row>
    <row r="7650" spans="2:24">
      <c r="B7650" s="7"/>
      <c r="D7650" s="7"/>
      <c r="F7650" s="7"/>
      <c r="H7650" s="7"/>
      <c r="J7650" s="7"/>
      <c r="L7650" s="7"/>
      <c r="N7650" s="7"/>
      <c r="P7650" s="7"/>
      <c r="R7650" s="7"/>
      <c r="T7650" s="7"/>
      <c r="V7650" s="7"/>
      <c r="X7650" s="7"/>
    </row>
    <row r="7651" spans="2:24">
      <c r="B7651" s="7"/>
      <c r="D7651" s="7"/>
      <c r="F7651" s="7"/>
      <c r="H7651" s="7"/>
      <c r="J7651" s="7"/>
      <c r="L7651" s="7"/>
      <c r="N7651" s="7"/>
      <c r="P7651" s="7"/>
      <c r="R7651" s="7"/>
      <c r="T7651" s="7"/>
      <c r="V7651" s="7"/>
      <c r="X7651" s="7"/>
    </row>
    <row r="7652" spans="2:24">
      <c r="B7652" s="7"/>
      <c r="D7652" s="7"/>
      <c r="F7652" s="7"/>
      <c r="H7652" s="7"/>
      <c r="J7652" s="7"/>
      <c r="L7652" s="7"/>
      <c r="N7652" s="7"/>
      <c r="P7652" s="7"/>
      <c r="R7652" s="7"/>
      <c r="T7652" s="7"/>
      <c r="V7652" s="7"/>
      <c r="X7652" s="7"/>
    </row>
    <row r="7653" spans="2:24">
      <c r="B7653" s="7"/>
      <c r="D7653" s="7"/>
      <c r="F7653" s="7"/>
      <c r="H7653" s="7"/>
      <c r="J7653" s="7"/>
      <c r="L7653" s="7"/>
      <c r="N7653" s="7"/>
      <c r="P7653" s="7"/>
      <c r="R7653" s="7"/>
      <c r="T7653" s="7"/>
      <c r="V7653" s="7"/>
      <c r="X7653" s="7"/>
    </row>
    <row r="7654" spans="2:24">
      <c r="B7654" s="7"/>
      <c r="D7654" s="7"/>
      <c r="F7654" s="7"/>
      <c r="H7654" s="7"/>
      <c r="J7654" s="7"/>
      <c r="L7654" s="7"/>
      <c r="N7654" s="7"/>
      <c r="P7654" s="7"/>
      <c r="R7654" s="7"/>
      <c r="T7654" s="7"/>
      <c r="V7654" s="7"/>
      <c r="X7654" s="7"/>
    </row>
    <row r="7655" spans="2:24">
      <c r="B7655" s="7"/>
      <c r="D7655" s="7"/>
      <c r="F7655" s="7"/>
      <c r="H7655" s="7"/>
      <c r="J7655" s="7"/>
      <c r="L7655" s="7"/>
      <c r="N7655" s="7"/>
      <c r="P7655" s="7"/>
      <c r="R7655" s="7"/>
      <c r="T7655" s="7"/>
      <c r="V7655" s="7"/>
      <c r="X7655" s="7"/>
    </row>
    <row r="7656" spans="2:24">
      <c r="B7656" s="7"/>
      <c r="D7656" s="7"/>
      <c r="F7656" s="7"/>
      <c r="H7656" s="7"/>
      <c r="J7656" s="7"/>
      <c r="L7656" s="7"/>
      <c r="N7656" s="7"/>
      <c r="P7656" s="7"/>
      <c r="R7656" s="7"/>
      <c r="T7656" s="7"/>
      <c r="V7656" s="7"/>
      <c r="X7656" s="7"/>
    </row>
    <row r="7657" spans="2:24">
      <c r="B7657" s="7"/>
      <c r="D7657" s="7"/>
      <c r="F7657" s="7"/>
      <c r="H7657" s="7"/>
      <c r="J7657" s="7"/>
      <c r="L7657" s="7"/>
      <c r="N7657" s="7"/>
      <c r="P7657" s="7"/>
      <c r="R7657" s="7"/>
      <c r="T7657" s="7"/>
      <c r="V7657" s="7"/>
      <c r="X7657" s="7"/>
    </row>
    <row r="7658" spans="2:24">
      <c r="B7658" s="7"/>
      <c r="D7658" s="7"/>
      <c r="F7658" s="7"/>
      <c r="H7658" s="7"/>
      <c r="J7658" s="7"/>
      <c r="L7658" s="7"/>
      <c r="N7658" s="7"/>
      <c r="P7658" s="7"/>
      <c r="R7658" s="7"/>
      <c r="T7658" s="7"/>
      <c r="V7658" s="7"/>
      <c r="X7658" s="7"/>
    </row>
    <row r="7659" spans="2:24">
      <c r="B7659" s="7"/>
      <c r="D7659" s="7"/>
      <c r="F7659" s="7"/>
      <c r="H7659" s="7"/>
      <c r="J7659" s="7"/>
      <c r="L7659" s="7"/>
      <c r="N7659" s="7"/>
      <c r="P7659" s="7"/>
      <c r="R7659" s="7"/>
      <c r="T7659" s="7"/>
      <c r="V7659" s="7"/>
      <c r="X7659" s="7"/>
    </row>
    <row r="7660" spans="2:24">
      <c r="B7660" s="7"/>
      <c r="D7660" s="7"/>
      <c r="F7660" s="7"/>
      <c r="H7660" s="7"/>
      <c r="J7660" s="7"/>
      <c r="L7660" s="7"/>
      <c r="N7660" s="7"/>
      <c r="P7660" s="7"/>
      <c r="R7660" s="7"/>
      <c r="T7660" s="7"/>
      <c r="V7660" s="7"/>
      <c r="X7660" s="7"/>
    </row>
    <row r="7661" spans="2:24">
      <c r="B7661" s="7"/>
      <c r="D7661" s="7"/>
      <c r="F7661" s="7"/>
      <c r="H7661" s="7"/>
      <c r="J7661" s="7"/>
      <c r="L7661" s="7"/>
      <c r="N7661" s="7"/>
      <c r="P7661" s="7"/>
      <c r="R7661" s="7"/>
      <c r="T7661" s="7"/>
      <c r="V7661" s="7"/>
      <c r="X7661" s="7"/>
    </row>
    <row r="7662" spans="2:24">
      <c r="B7662" s="7"/>
      <c r="D7662" s="7"/>
      <c r="F7662" s="7"/>
      <c r="H7662" s="7"/>
      <c r="J7662" s="7"/>
      <c r="L7662" s="7"/>
      <c r="N7662" s="7"/>
      <c r="P7662" s="7"/>
      <c r="R7662" s="7"/>
      <c r="T7662" s="7"/>
      <c r="V7662" s="7"/>
      <c r="X7662" s="7"/>
    </row>
    <row r="7663" spans="2:24">
      <c r="B7663" s="7"/>
      <c r="D7663" s="7"/>
      <c r="F7663" s="7"/>
      <c r="H7663" s="7"/>
      <c r="J7663" s="7"/>
      <c r="L7663" s="7"/>
      <c r="N7663" s="7"/>
      <c r="P7663" s="7"/>
      <c r="R7663" s="7"/>
      <c r="T7663" s="7"/>
      <c r="V7663" s="7"/>
      <c r="X7663" s="7"/>
    </row>
    <row r="7664" spans="2:24">
      <c r="B7664" s="7"/>
      <c r="D7664" s="7"/>
      <c r="F7664" s="7"/>
      <c r="H7664" s="7"/>
      <c r="J7664" s="7"/>
      <c r="L7664" s="7"/>
      <c r="N7664" s="7"/>
      <c r="P7664" s="7"/>
      <c r="R7664" s="7"/>
      <c r="T7664" s="7"/>
      <c r="V7664" s="7"/>
      <c r="X7664" s="7"/>
    </row>
    <row r="7665" spans="2:24">
      <c r="B7665" s="7"/>
      <c r="D7665" s="7"/>
      <c r="F7665" s="7"/>
      <c r="H7665" s="7"/>
      <c r="J7665" s="7"/>
      <c r="L7665" s="7"/>
      <c r="N7665" s="7"/>
      <c r="P7665" s="7"/>
      <c r="R7665" s="7"/>
      <c r="T7665" s="7"/>
      <c r="V7665" s="7"/>
      <c r="X7665" s="7"/>
    </row>
    <row r="7666" spans="2:24">
      <c r="B7666" s="7"/>
      <c r="D7666" s="7"/>
      <c r="F7666" s="7"/>
      <c r="H7666" s="7"/>
      <c r="J7666" s="7"/>
      <c r="L7666" s="7"/>
      <c r="N7666" s="7"/>
      <c r="P7666" s="7"/>
      <c r="R7666" s="7"/>
      <c r="T7666" s="7"/>
      <c r="V7666" s="7"/>
      <c r="X7666" s="7"/>
    </row>
    <row r="7667" spans="2:24">
      <c r="B7667" s="7"/>
      <c r="D7667" s="7"/>
      <c r="F7667" s="7"/>
      <c r="H7667" s="7"/>
      <c r="J7667" s="7"/>
      <c r="L7667" s="7"/>
      <c r="N7667" s="7"/>
      <c r="P7667" s="7"/>
      <c r="R7667" s="7"/>
      <c r="T7667" s="7"/>
      <c r="V7667" s="7"/>
      <c r="X7667" s="7"/>
    </row>
    <row r="7668" spans="2:24">
      <c r="B7668" s="7"/>
      <c r="D7668" s="7"/>
      <c r="F7668" s="7"/>
      <c r="H7668" s="7"/>
      <c r="J7668" s="7"/>
      <c r="L7668" s="7"/>
      <c r="N7668" s="7"/>
      <c r="P7668" s="7"/>
      <c r="R7668" s="7"/>
      <c r="T7668" s="7"/>
      <c r="V7668" s="7"/>
      <c r="X7668" s="7"/>
    </row>
    <row r="7669" spans="2:24">
      <c r="B7669" s="7"/>
      <c r="D7669" s="7"/>
      <c r="F7669" s="7"/>
      <c r="H7669" s="7"/>
      <c r="J7669" s="7"/>
      <c r="L7669" s="7"/>
      <c r="N7669" s="7"/>
      <c r="P7669" s="7"/>
      <c r="R7669" s="7"/>
      <c r="T7669" s="7"/>
      <c r="V7669" s="7"/>
      <c r="X7669" s="7"/>
    </row>
    <row r="7670" spans="2:24">
      <c r="B7670" s="7"/>
      <c r="D7670" s="7"/>
      <c r="F7670" s="7"/>
      <c r="H7670" s="7"/>
      <c r="J7670" s="7"/>
      <c r="L7670" s="7"/>
      <c r="N7670" s="7"/>
      <c r="P7670" s="7"/>
      <c r="R7670" s="7"/>
      <c r="T7670" s="7"/>
      <c r="V7670" s="7"/>
      <c r="X7670" s="7"/>
    </row>
    <row r="7671" spans="2:24">
      <c r="B7671" s="7"/>
      <c r="D7671" s="7"/>
      <c r="F7671" s="7"/>
      <c r="H7671" s="7"/>
      <c r="J7671" s="7"/>
      <c r="L7671" s="7"/>
      <c r="N7671" s="7"/>
      <c r="P7671" s="7"/>
      <c r="R7671" s="7"/>
      <c r="T7671" s="7"/>
      <c r="V7671" s="7"/>
      <c r="X7671" s="7"/>
    </row>
    <row r="7672" spans="2:24">
      <c r="B7672" s="7"/>
      <c r="D7672" s="7"/>
      <c r="F7672" s="7"/>
      <c r="H7672" s="7"/>
      <c r="J7672" s="7"/>
      <c r="L7672" s="7"/>
      <c r="N7672" s="7"/>
      <c r="P7672" s="7"/>
      <c r="R7672" s="7"/>
      <c r="T7672" s="7"/>
      <c r="V7672" s="7"/>
      <c r="X7672" s="7"/>
    </row>
    <row r="7673" spans="2:24">
      <c r="B7673" s="7"/>
      <c r="D7673" s="7"/>
      <c r="F7673" s="7"/>
      <c r="H7673" s="7"/>
      <c r="J7673" s="7"/>
      <c r="L7673" s="7"/>
      <c r="N7673" s="7"/>
      <c r="P7673" s="7"/>
      <c r="R7673" s="7"/>
      <c r="T7673" s="7"/>
      <c r="V7673" s="7"/>
      <c r="X7673" s="7"/>
    </row>
    <row r="7674" spans="2:24">
      <c r="B7674" s="7"/>
      <c r="D7674" s="7"/>
      <c r="F7674" s="7"/>
      <c r="H7674" s="7"/>
      <c r="J7674" s="7"/>
      <c r="L7674" s="7"/>
      <c r="N7674" s="7"/>
      <c r="P7674" s="7"/>
      <c r="R7674" s="7"/>
      <c r="T7674" s="7"/>
      <c r="V7674" s="7"/>
      <c r="X7674" s="7"/>
    </row>
    <row r="7675" spans="2:24">
      <c r="B7675" s="7"/>
      <c r="D7675" s="7"/>
      <c r="F7675" s="7"/>
      <c r="H7675" s="7"/>
      <c r="J7675" s="7"/>
      <c r="L7675" s="7"/>
      <c r="N7675" s="7"/>
      <c r="P7675" s="7"/>
      <c r="R7675" s="7"/>
      <c r="T7675" s="7"/>
      <c r="V7675" s="7"/>
      <c r="X7675" s="7"/>
    </row>
    <row r="7676" spans="2:24">
      <c r="B7676" s="7"/>
      <c r="D7676" s="7"/>
      <c r="F7676" s="7"/>
      <c r="H7676" s="7"/>
      <c r="J7676" s="7"/>
      <c r="L7676" s="7"/>
      <c r="N7676" s="7"/>
      <c r="P7676" s="7"/>
      <c r="R7676" s="7"/>
      <c r="T7676" s="7"/>
      <c r="V7676" s="7"/>
      <c r="X7676" s="7"/>
    </row>
    <row r="7677" spans="2:24">
      <c r="B7677" s="7"/>
      <c r="D7677" s="7"/>
      <c r="F7677" s="7"/>
      <c r="H7677" s="7"/>
      <c r="J7677" s="7"/>
      <c r="L7677" s="7"/>
      <c r="N7677" s="7"/>
      <c r="P7677" s="7"/>
      <c r="R7677" s="7"/>
      <c r="T7677" s="7"/>
      <c r="V7677" s="7"/>
      <c r="X7677" s="7"/>
    </row>
    <row r="7678" spans="2:24">
      <c r="B7678" s="7"/>
      <c r="D7678" s="7"/>
      <c r="F7678" s="7"/>
      <c r="H7678" s="7"/>
      <c r="J7678" s="7"/>
      <c r="L7678" s="7"/>
      <c r="N7678" s="7"/>
      <c r="P7678" s="7"/>
      <c r="R7678" s="7"/>
      <c r="T7678" s="7"/>
      <c r="V7678" s="7"/>
      <c r="X7678" s="7"/>
    </row>
    <row r="7679" spans="2:24">
      <c r="B7679" s="7"/>
      <c r="D7679" s="7"/>
      <c r="F7679" s="7"/>
      <c r="H7679" s="7"/>
      <c r="J7679" s="7"/>
      <c r="L7679" s="7"/>
      <c r="N7679" s="7"/>
      <c r="P7679" s="7"/>
      <c r="R7679" s="7"/>
      <c r="T7679" s="7"/>
      <c r="V7679" s="7"/>
      <c r="X7679" s="7"/>
    </row>
    <row r="7680" spans="2:24">
      <c r="B7680" s="7"/>
      <c r="D7680" s="7"/>
      <c r="F7680" s="7"/>
      <c r="H7680" s="7"/>
      <c r="J7680" s="7"/>
      <c r="L7680" s="7"/>
      <c r="N7680" s="7"/>
      <c r="P7680" s="7"/>
      <c r="R7680" s="7"/>
      <c r="T7680" s="7"/>
      <c r="V7680" s="7"/>
      <c r="X7680" s="7"/>
    </row>
    <row r="7681" spans="2:24">
      <c r="B7681" s="7"/>
      <c r="D7681" s="7"/>
      <c r="F7681" s="7"/>
      <c r="H7681" s="7"/>
      <c r="J7681" s="7"/>
      <c r="L7681" s="7"/>
      <c r="N7681" s="7"/>
      <c r="P7681" s="7"/>
      <c r="R7681" s="7"/>
      <c r="T7681" s="7"/>
      <c r="V7681" s="7"/>
      <c r="X7681" s="7"/>
    </row>
    <row r="7682" spans="2:24">
      <c r="B7682" s="7"/>
      <c r="D7682" s="7"/>
      <c r="F7682" s="7"/>
      <c r="H7682" s="7"/>
      <c r="J7682" s="7"/>
      <c r="L7682" s="7"/>
      <c r="N7682" s="7"/>
      <c r="P7682" s="7"/>
      <c r="R7682" s="7"/>
      <c r="T7682" s="7"/>
      <c r="V7682" s="7"/>
      <c r="X7682" s="7"/>
    </row>
    <row r="7683" spans="2:24">
      <c r="B7683" s="7"/>
      <c r="D7683" s="7"/>
      <c r="F7683" s="7"/>
      <c r="H7683" s="7"/>
      <c r="J7683" s="7"/>
      <c r="L7683" s="7"/>
      <c r="N7683" s="7"/>
      <c r="P7683" s="7"/>
      <c r="R7683" s="7"/>
      <c r="T7683" s="7"/>
      <c r="V7683" s="7"/>
      <c r="X7683" s="7"/>
    </row>
    <row r="7684" spans="2:24">
      <c r="B7684" s="7"/>
      <c r="D7684" s="7"/>
      <c r="F7684" s="7"/>
      <c r="H7684" s="7"/>
      <c r="J7684" s="7"/>
      <c r="L7684" s="7"/>
      <c r="N7684" s="7"/>
      <c r="P7684" s="7"/>
      <c r="R7684" s="7"/>
      <c r="T7684" s="7"/>
      <c r="V7684" s="7"/>
      <c r="X7684" s="7"/>
    </row>
    <row r="7685" spans="2:24">
      <c r="B7685" s="7"/>
      <c r="D7685" s="7"/>
      <c r="F7685" s="7"/>
      <c r="H7685" s="7"/>
      <c r="J7685" s="7"/>
      <c r="L7685" s="7"/>
      <c r="N7685" s="7"/>
      <c r="P7685" s="7"/>
      <c r="R7685" s="7"/>
      <c r="T7685" s="7"/>
      <c r="V7685" s="7"/>
      <c r="X7685" s="7"/>
    </row>
    <row r="7686" spans="2:24">
      <c r="B7686" s="7"/>
      <c r="D7686" s="7"/>
      <c r="F7686" s="7"/>
      <c r="H7686" s="7"/>
      <c r="J7686" s="7"/>
      <c r="L7686" s="7"/>
      <c r="N7686" s="7"/>
      <c r="P7686" s="7"/>
      <c r="R7686" s="7"/>
      <c r="T7686" s="7"/>
      <c r="V7686" s="7"/>
      <c r="X7686" s="7"/>
    </row>
    <row r="7687" spans="2:24">
      <c r="B7687" s="7"/>
      <c r="D7687" s="7"/>
      <c r="F7687" s="7"/>
      <c r="H7687" s="7"/>
      <c r="J7687" s="7"/>
      <c r="L7687" s="7"/>
      <c r="N7687" s="7"/>
      <c r="P7687" s="7"/>
      <c r="R7687" s="7"/>
      <c r="T7687" s="7"/>
      <c r="V7687" s="7"/>
      <c r="X7687" s="7"/>
    </row>
    <row r="7688" spans="2:24">
      <c r="B7688" s="7"/>
      <c r="D7688" s="7"/>
      <c r="F7688" s="7"/>
      <c r="H7688" s="7"/>
      <c r="J7688" s="7"/>
      <c r="L7688" s="7"/>
      <c r="N7688" s="7"/>
      <c r="P7688" s="7"/>
      <c r="R7688" s="7"/>
      <c r="T7688" s="7"/>
      <c r="V7688" s="7"/>
      <c r="X7688" s="7"/>
    </row>
    <row r="7689" spans="2:24">
      <c r="B7689" s="7"/>
      <c r="D7689" s="7"/>
      <c r="F7689" s="7"/>
      <c r="H7689" s="7"/>
      <c r="J7689" s="7"/>
      <c r="L7689" s="7"/>
      <c r="N7689" s="7"/>
      <c r="P7689" s="7"/>
      <c r="R7689" s="7"/>
      <c r="T7689" s="7"/>
      <c r="V7689" s="7"/>
      <c r="X7689" s="7"/>
    </row>
    <row r="7690" spans="2:24">
      <c r="B7690" s="7"/>
      <c r="D7690" s="7"/>
      <c r="F7690" s="7"/>
      <c r="H7690" s="7"/>
      <c r="J7690" s="7"/>
      <c r="L7690" s="7"/>
      <c r="N7690" s="7"/>
      <c r="P7690" s="7"/>
      <c r="R7690" s="7"/>
      <c r="T7690" s="7"/>
      <c r="V7690" s="7"/>
      <c r="X7690" s="7"/>
    </row>
    <row r="7691" spans="2:24">
      <c r="B7691" s="7"/>
      <c r="D7691" s="7"/>
      <c r="F7691" s="7"/>
      <c r="H7691" s="7"/>
      <c r="J7691" s="7"/>
      <c r="L7691" s="7"/>
      <c r="N7691" s="7"/>
      <c r="P7691" s="7"/>
      <c r="R7691" s="7"/>
      <c r="T7691" s="7"/>
      <c r="V7691" s="7"/>
      <c r="X7691" s="7"/>
    </row>
    <row r="7692" spans="2:24">
      <c r="B7692" s="7"/>
      <c r="D7692" s="7"/>
      <c r="F7692" s="7"/>
      <c r="H7692" s="7"/>
      <c r="J7692" s="7"/>
      <c r="L7692" s="7"/>
      <c r="N7692" s="7"/>
      <c r="P7692" s="7"/>
      <c r="R7692" s="7"/>
      <c r="T7692" s="7"/>
      <c r="V7692" s="7"/>
      <c r="X7692" s="7"/>
    </row>
    <row r="7693" spans="2:24">
      <c r="B7693" s="7"/>
      <c r="D7693" s="7"/>
      <c r="F7693" s="7"/>
      <c r="H7693" s="7"/>
      <c r="J7693" s="7"/>
      <c r="L7693" s="7"/>
      <c r="N7693" s="7"/>
      <c r="P7693" s="7"/>
      <c r="R7693" s="7"/>
      <c r="T7693" s="7"/>
      <c r="V7693" s="7"/>
      <c r="X7693" s="7"/>
    </row>
    <row r="7694" spans="2:24">
      <c r="B7694" s="7"/>
      <c r="D7694" s="7"/>
      <c r="F7694" s="7"/>
      <c r="H7694" s="7"/>
      <c r="J7694" s="7"/>
      <c r="L7694" s="7"/>
      <c r="N7694" s="7"/>
      <c r="P7694" s="7"/>
      <c r="R7694" s="7"/>
      <c r="T7694" s="7"/>
      <c r="V7694" s="7"/>
      <c r="X7694" s="7"/>
    </row>
    <row r="7695" spans="2:24">
      <c r="B7695" s="7"/>
      <c r="D7695" s="7"/>
      <c r="F7695" s="7"/>
      <c r="H7695" s="7"/>
      <c r="J7695" s="7"/>
      <c r="L7695" s="7"/>
      <c r="N7695" s="7"/>
      <c r="P7695" s="7"/>
      <c r="R7695" s="7"/>
      <c r="T7695" s="7"/>
      <c r="V7695" s="7"/>
      <c r="X7695" s="7"/>
    </row>
    <row r="7696" spans="2:24">
      <c r="B7696" s="7"/>
      <c r="D7696" s="7"/>
      <c r="F7696" s="7"/>
      <c r="H7696" s="7"/>
      <c r="J7696" s="7"/>
      <c r="L7696" s="7"/>
      <c r="N7696" s="7"/>
      <c r="P7696" s="7"/>
      <c r="R7696" s="7"/>
      <c r="T7696" s="7"/>
      <c r="V7696" s="7"/>
      <c r="X7696" s="7"/>
    </row>
    <row r="7697" spans="2:24">
      <c r="B7697" s="7"/>
      <c r="D7697" s="7"/>
      <c r="F7697" s="7"/>
      <c r="H7697" s="7"/>
      <c r="J7697" s="7"/>
      <c r="L7697" s="7"/>
      <c r="N7697" s="7"/>
      <c r="P7697" s="7"/>
      <c r="R7697" s="7"/>
      <c r="T7697" s="7"/>
      <c r="V7697" s="7"/>
      <c r="X7697" s="7"/>
    </row>
    <row r="7698" spans="2:24">
      <c r="B7698" s="7"/>
      <c r="D7698" s="7"/>
      <c r="F7698" s="7"/>
      <c r="H7698" s="7"/>
      <c r="J7698" s="7"/>
      <c r="L7698" s="7"/>
      <c r="N7698" s="7"/>
      <c r="P7698" s="7"/>
      <c r="R7698" s="7"/>
      <c r="T7698" s="7"/>
      <c r="V7698" s="7"/>
      <c r="X7698" s="7"/>
    </row>
    <row r="7699" spans="2:24">
      <c r="B7699" s="7"/>
      <c r="D7699" s="7"/>
      <c r="F7699" s="7"/>
      <c r="H7699" s="7"/>
      <c r="J7699" s="7"/>
      <c r="L7699" s="7"/>
      <c r="N7699" s="7"/>
      <c r="P7699" s="7"/>
      <c r="R7699" s="7"/>
      <c r="T7699" s="7"/>
      <c r="V7699" s="7"/>
      <c r="X7699" s="7"/>
    </row>
    <row r="7700" spans="2:24">
      <c r="B7700" s="7"/>
      <c r="D7700" s="7"/>
      <c r="F7700" s="7"/>
      <c r="H7700" s="7"/>
      <c r="J7700" s="7"/>
      <c r="L7700" s="7"/>
      <c r="N7700" s="7"/>
      <c r="P7700" s="7"/>
      <c r="R7700" s="7"/>
      <c r="T7700" s="7"/>
      <c r="V7700" s="7"/>
      <c r="X7700" s="7"/>
    </row>
    <row r="7701" spans="2:24">
      <c r="B7701" s="7"/>
      <c r="D7701" s="7"/>
      <c r="F7701" s="7"/>
      <c r="H7701" s="7"/>
      <c r="J7701" s="7"/>
      <c r="L7701" s="7"/>
      <c r="N7701" s="7"/>
      <c r="P7701" s="7"/>
      <c r="R7701" s="7"/>
      <c r="T7701" s="7"/>
      <c r="V7701" s="7"/>
      <c r="X7701" s="7"/>
    </row>
    <row r="7702" spans="2:24">
      <c r="B7702" s="7"/>
      <c r="D7702" s="7"/>
      <c r="F7702" s="7"/>
      <c r="H7702" s="7"/>
      <c r="J7702" s="7"/>
      <c r="L7702" s="7"/>
      <c r="N7702" s="7"/>
      <c r="P7702" s="7"/>
      <c r="R7702" s="7"/>
      <c r="T7702" s="7"/>
      <c r="V7702" s="7"/>
      <c r="X7702" s="7"/>
    </row>
    <row r="7703" spans="2:24">
      <c r="B7703" s="7"/>
      <c r="D7703" s="7"/>
      <c r="F7703" s="7"/>
      <c r="H7703" s="7"/>
      <c r="J7703" s="7"/>
      <c r="L7703" s="7"/>
      <c r="N7703" s="7"/>
      <c r="P7703" s="7"/>
      <c r="R7703" s="7"/>
      <c r="T7703" s="7"/>
      <c r="V7703" s="7"/>
      <c r="X7703" s="7"/>
    </row>
    <row r="7704" spans="2:24">
      <c r="B7704" s="7"/>
      <c r="D7704" s="7"/>
      <c r="F7704" s="7"/>
      <c r="H7704" s="7"/>
      <c r="J7704" s="7"/>
      <c r="L7704" s="7"/>
      <c r="N7704" s="7"/>
      <c r="P7704" s="7"/>
      <c r="R7704" s="7"/>
      <c r="T7704" s="7"/>
      <c r="V7704" s="7"/>
      <c r="X7704" s="7"/>
    </row>
    <row r="7705" spans="2:24">
      <c r="B7705" s="7"/>
      <c r="D7705" s="7"/>
      <c r="F7705" s="7"/>
      <c r="H7705" s="7"/>
      <c r="J7705" s="7"/>
      <c r="L7705" s="7"/>
      <c r="N7705" s="7"/>
      <c r="P7705" s="7"/>
      <c r="R7705" s="7"/>
      <c r="T7705" s="7"/>
      <c r="V7705" s="7"/>
      <c r="X7705" s="7"/>
    </row>
    <row r="7706" spans="2:24">
      <c r="B7706" s="7"/>
      <c r="D7706" s="7"/>
      <c r="F7706" s="7"/>
      <c r="H7706" s="7"/>
      <c r="J7706" s="7"/>
      <c r="L7706" s="7"/>
      <c r="N7706" s="7"/>
      <c r="P7706" s="7"/>
      <c r="R7706" s="7"/>
      <c r="T7706" s="7"/>
      <c r="V7706" s="7"/>
      <c r="X7706" s="7"/>
    </row>
    <row r="7707" spans="2:24">
      <c r="B7707" s="7"/>
      <c r="D7707" s="7"/>
      <c r="F7707" s="7"/>
      <c r="H7707" s="7"/>
      <c r="J7707" s="7"/>
      <c r="L7707" s="7"/>
      <c r="N7707" s="7"/>
      <c r="P7707" s="7"/>
      <c r="R7707" s="7"/>
      <c r="T7707" s="7"/>
      <c r="V7707" s="7"/>
      <c r="X7707" s="7"/>
    </row>
    <row r="7708" spans="2:24">
      <c r="B7708" s="7"/>
      <c r="D7708" s="7"/>
      <c r="F7708" s="7"/>
      <c r="H7708" s="7"/>
      <c r="J7708" s="7"/>
      <c r="L7708" s="7"/>
      <c r="N7708" s="7"/>
      <c r="P7708" s="7"/>
      <c r="R7708" s="7"/>
      <c r="T7708" s="7"/>
      <c r="V7708" s="7"/>
      <c r="X7708" s="7"/>
    </row>
    <row r="7709" spans="2:24">
      <c r="B7709" s="7"/>
      <c r="D7709" s="7"/>
      <c r="F7709" s="7"/>
      <c r="H7709" s="7"/>
      <c r="J7709" s="7"/>
      <c r="L7709" s="7"/>
      <c r="N7709" s="7"/>
      <c r="P7709" s="7"/>
      <c r="R7709" s="7"/>
      <c r="T7709" s="7"/>
      <c r="V7709" s="7"/>
      <c r="X7709" s="7"/>
    </row>
    <row r="7710" spans="2:24">
      <c r="B7710" s="7"/>
      <c r="D7710" s="7"/>
      <c r="F7710" s="7"/>
      <c r="H7710" s="7"/>
      <c r="J7710" s="7"/>
      <c r="L7710" s="7"/>
      <c r="N7710" s="7"/>
      <c r="P7710" s="7"/>
      <c r="R7710" s="7"/>
      <c r="T7710" s="7"/>
      <c r="V7710" s="7"/>
      <c r="X7710" s="7"/>
    </row>
    <row r="7711" spans="2:24">
      <c r="B7711" s="7"/>
      <c r="D7711" s="7"/>
      <c r="F7711" s="7"/>
      <c r="H7711" s="7"/>
      <c r="J7711" s="7"/>
      <c r="L7711" s="7"/>
      <c r="N7711" s="7"/>
      <c r="P7711" s="7"/>
      <c r="R7711" s="7"/>
      <c r="T7711" s="7"/>
      <c r="V7711" s="7"/>
      <c r="X7711" s="7"/>
    </row>
    <row r="7712" spans="2:24">
      <c r="B7712" s="7"/>
      <c r="D7712" s="7"/>
      <c r="F7712" s="7"/>
      <c r="H7712" s="7"/>
      <c r="J7712" s="7"/>
      <c r="L7712" s="7"/>
      <c r="N7712" s="7"/>
      <c r="P7712" s="7"/>
      <c r="R7712" s="7"/>
      <c r="T7712" s="7"/>
      <c r="V7712" s="7"/>
      <c r="X7712" s="7"/>
    </row>
    <row r="7713" spans="2:24">
      <c r="B7713" s="7"/>
      <c r="D7713" s="7"/>
      <c r="F7713" s="7"/>
      <c r="H7713" s="7"/>
      <c r="J7713" s="7"/>
      <c r="L7713" s="7"/>
      <c r="N7713" s="7"/>
      <c r="P7713" s="7"/>
      <c r="R7713" s="7"/>
      <c r="T7713" s="7"/>
      <c r="V7713" s="7"/>
      <c r="X7713" s="7"/>
    </row>
    <row r="7714" spans="2:24">
      <c r="B7714" s="7"/>
      <c r="D7714" s="7"/>
      <c r="F7714" s="7"/>
      <c r="H7714" s="7"/>
      <c r="J7714" s="7"/>
      <c r="L7714" s="7"/>
      <c r="N7714" s="7"/>
      <c r="P7714" s="7"/>
      <c r="R7714" s="7"/>
      <c r="T7714" s="7"/>
      <c r="V7714" s="7"/>
      <c r="X7714" s="7"/>
    </row>
    <row r="7715" spans="2:24">
      <c r="B7715" s="7"/>
      <c r="D7715" s="7"/>
      <c r="F7715" s="7"/>
      <c r="H7715" s="7"/>
      <c r="J7715" s="7"/>
      <c r="L7715" s="7"/>
      <c r="N7715" s="7"/>
      <c r="P7715" s="7"/>
      <c r="R7715" s="7"/>
      <c r="T7715" s="7"/>
      <c r="V7715" s="7"/>
      <c r="X7715" s="7"/>
    </row>
    <row r="7716" spans="2:24">
      <c r="B7716" s="7"/>
      <c r="D7716" s="7"/>
      <c r="F7716" s="7"/>
      <c r="H7716" s="7"/>
      <c r="J7716" s="7"/>
      <c r="L7716" s="7"/>
      <c r="N7716" s="7"/>
      <c r="P7716" s="7"/>
      <c r="R7716" s="7"/>
      <c r="T7716" s="7"/>
      <c r="V7716" s="7"/>
      <c r="X7716" s="7"/>
    </row>
    <row r="7717" spans="2:24">
      <c r="B7717" s="7"/>
      <c r="D7717" s="7"/>
      <c r="F7717" s="7"/>
      <c r="H7717" s="7"/>
      <c r="J7717" s="7"/>
      <c r="L7717" s="7"/>
      <c r="N7717" s="7"/>
      <c r="P7717" s="7"/>
      <c r="R7717" s="7"/>
      <c r="T7717" s="7"/>
      <c r="V7717" s="7"/>
      <c r="X7717" s="7"/>
    </row>
    <row r="7718" spans="2:24">
      <c r="B7718" s="7"/>
      <c r="D7718" s="7"/>
      <c r="F7718" s="7"/>
      <c r="H7718" s="7"/>
      <c r="J7718" s="7"/>
      <c r="L7718" s="7"/>
      <c r="N7718" s="7"/>
      <c r="P7718" s="7"/>
      <c r="R7718" s="7"/>
      <c r="T7718" s="7"/>
      <c r="V7718" s="7"/>
      <c r="X7718" s="7"/>
    </row>
    <row r="7719" spans="2:24">
      <c r="B7719" s="7"/>
      <c r="D7719" s="7"/>
      <c r="F7719" s="7"/>
      <c r="H7719" s="7"/>
      <c r="J7719" s="7"/>
      <c r="L7719" s="7"/>
      <c r="N7719" s="7"/>
      <c r="P7719" s="7"/>
      <c r="R7719" s="7"/>
      <c r="T7719" s="7"/>
      <c r="V7719" s="7"/>
      <c r="X7719" s="7"/>
    </row>
    <row r="7720" spans="2:24">
      <c r="B7720" s="7"/>
      <c r="D7720" s="7"/>
      <c r="F7720" s="7"/>
      <c r="H7720" s="7"/>
      <c r="J7720" s="7"/>
      <c r="L7720" s="7"/>
      <c r="N7720" s="7"/>
      <c r="P7720" s="7"/>
      <c r="R7720" s="7"/>
      <c r="T7720" s="7"/>
      <c r="V7720" s="7"/>
      <c r="X7720" s="7"/>
    </row>
    <row r="7721" spans="2:24">
      <c r="B7721" s="7"/>
      <c r="D7721" s="7"/>
      <c r="F7721" s="7"/>
      <c r="H7721" s="7"/>
      <c r="J7721" s="7"/>
      <c r="L7721" s="7"/>
      <c r="N7721" s="7"/>
      <c r="P7721" s="7"/>
      <c r="R7721" s="7"/>
      <c r="T7721" s="7"/>
      <c r="V7721" s="7"/>
      <c r="X7721" s="7"/>
    </row>
    <row r="7722" spans="2:24">
      <c r="B7722" s="7"/>
      <c r="D7722" s="7"/>
      <c r="F7722" s="7"/>
      <c r="H7722" s="7"/>
      <c r="J7722" s="7"/>
      <c r="L7722" s="7"/>
      <c r="N7722" s="7"/>
      <c r="P7722" s="7"/>
      <c r="R7722" s="7"/>
      <c r="T7722" s="7"/>
      <c r="V7722" s="7"/>
      <c r="X7722" s="7"/>
    </row>
    <row r="7723" spans="2:24">
      <c r="B7723" s="7"/>
      <c r="D7723" s="7"/>
      <c r="F7723" s="7"/>
      <c r="H7723" s="7"/>
      <c r="J7723" s="7"/>
      <c r="L7723" s="7"/>
      <c r="N7723" s="7"/>
      <c r="P7723" s="7"/>
      <c r="R7723" s="7"/>
      <c r="T7723" s="7"/>
      <c r="V7723" s="7"/>
      <c r="X7723" s="7"/>
    </row>
    <row r="7724" spans="2:24">
      <c r="B7724" s="7"/>
      <c r="D7724" s="7"/>
      <c r="F7724" s="7"/>
      <c r="H7724" s="7"/>
      <c r="J7724" s="7"/>
      <c r="L7724" s="7"/>
      <c r="N7724" s="7"/>
      <c r="P7724" s="7"/>
      <c r="R7724" s="7"/>
      <c r="T7724" s="7"/>
      <c r="V7724" s="7"/>
      <c r="X7724" s="7"/>
    </row>
    <row r="7725" spans="2:24">
      <c r="B7725" s="7"/>
      <c r="D7725" s="7"/>
      <c r="F7725" s="7"/>
      <c r="H7725" s="7"/>
      <c r="J7725" s="7"/>
      <c r="L7725" s="7"/>
      <c r="N7725" s="7"/>
      <c r="P7725" s="7"/>
      <c r="R7725" s="7"/>
      <c r="T7725" s="7"/>
      <c r="V7725" s="7"/>
      <c r="X7725" s="7"/>
    </row>
    <row r="7726" spans="2:24">
      <c r="B7726" s="7"/>
      <c r="D7726" s="7"/>
      <c r="F7726" s="7"/>
      <c r="H7726" s="7"/>
      <c r="J7726" s="7"/>
      <c r="L7726" s="7"/>
      <c r="N7726" s="7"/>
      <c r="P7726" s="7"/>
      <c r="R7726" s="7"/>
      <c r="T7726" s="7"/>
      <c r="V7726" s="7"/>
      <c r="X7726" s="7"/>
    </row>
    <row r="7727" spans="2:24">
      <c r="B7727" s="7"/>
      <c r="D7727" s="7"/>
      <c r="F7727" s="7"/>
      <c r="H7727" s="7"/>
      <c r="J7727" s="7"/>
      <c r="L7727" s="7"/>
      <c r="N7727" s="7"/>
      <c r="P7727" s="7"/>
      <c r="R7727" s="7"/>
      <c r="T7727" s="7"/>
      <c r="V7727" s="7"/>
      <c r="X7727" s="7"/>
    </row>
    <row r="7728" spans="2:24">
      <c r="B7728" s="7"/>
      <c r="D7728" s="7"/>
      <c r="F7728" s="7"/>
      <c r="H7728" s="7"/>
      <c r="J7728" s="7"/>
      <c r="L7728" s="7"/>
      <c r="N7728" s="7"/>
      <c r="P7728" s="7"/>
      <c r="R7728" s="7"/>
      <c r="T7728" s="7"/>
      <c r="V7728" s="7"/>
      <c r="X7728" s="7"/>
    </row>
    <row r="7729" spans="2:24">
      <c r="B7729" s="7"/>
      <c r="D7729" s="7"/>
      <c r="F7729" s="7"/>
      <c r="H7729" s="7"/>
      <c r="J7729" s="7"/>
      <c r="L7729" s="7"/>
      <c r="N7729" s="7"/>
      <c r="P7729" s="7"/>
      <c r="R7729" s="7"/>
      <c r="T7729" s="7"/>
      <c r="V7729" s="7"/>
      <c r="X7729" s="7"/>
    </row>
    <row r="7730" spans="2:24">
      <c r="B7730" s="7"/>
      <c r="D7730" s="7"/>
      <c r="F7730" s="7"/>
      <c r="H7730" s="7"/>
      <c r="J7730" s="7"/>
      <c r="L7730" s="7"/>
      <c r="N7730" s="7"/>
      <c r="P7730" s="7"/>
      <c r="R7730" s="7"/>
      <c r="T7730" s="7"/>
      <c r="V7730" s="7"/>
      <c r="X7730" s="7"/>
    </row>
    <row r="7731" spans="2:24">
      <c r="B7731" s="7"/>
      <c r="D7731" s="7"/>
      <c r="F7731" s="7"/>
      <c r="H7731" s="7"/>
      <c r="J7731" s="7"/>
      <c r="L7731" s="7"/>
      <c r="N7731" s="7"/>
      <c r="P7731" s="7"/>
      <c r="R7731" s="7"/>
      <c r="T7731" s="7"/>
      <c r="V7731" s="7"/>
      <c r="X7731" s="7"/>
    </row>
    <row r="7732" spans="2:24">
      <c r="B7732" s="7"/>
      <c r="D7732" s="7"/>
      <c r="F7732" s="7"/>
      <c r="H7732" s="7"/>
      <c r="J7732" s="7"/>
      <c r="L7732" s="7"/>
      <c r="N7732" s="7"/>
      <c r="P7732" s="7"/>
      <c r="R7732" s="7"/>
      <c r="T7732" s="7"/>
      <c r="V7732" s="7"/>
      <c r="X7732" s="7"/>
    </row>
    <row r="7733" spans="2:24">
      <c r="B7733" s="7"/>
      <c r="D7733" s="7"/>
      <c r="F7733" s="7"/>
      <c r="H7733" s="7"/>
      <c r="J7733" s="7"/>
      <c r="L7733" s="7"/>
      <c r="N7733" s="7"/>
      <c r="P7733" s="7"/>
      <c r="R7733" s="7"/>
      <c r="T7733" s="7"/>
      <c r="V7733" s="7"/>
      <c r="X7733" s="7"/>
    </row>
    <row r="7734" spans="2:24">
      <c r="B7734" s="7"/>
      <c r="D7734" s="7"/>
      <c r="F7734" s="7"/>
      <c r="H7734" s="7"/>
      <c r="J7734" s="7"/>
      <c r="L7734" s="7"/>
      <c r="N7734" s="7"/>
      <c r="P7734" s="7"/>
      <c r="R7734" s="7"/>
      <c r="T7734" s="7"/>
      <c r="V7734" s="7"/>
      <c r="X7734" s="7"/>
    </row>
    <row r="7735" spans="2:24">
      <c r="B7735" s="7"/>
      <c r="D7735" s="7"/>
      <c r="F7735" s="7"/>
      <c r="H7735" s="7"/>
      <c r="J7735" s="7"/>
      <c r="L7735" s="7"/>
      <c r="N7735" s="7"/>
      <c r="P7735" s="7"/>
      <c r="R7735" s="7"/>
      <c r="T7735" s="7"/>
      <c r="V7735" s="7"/>
      <c r="X7735" s="7"/>
    </row>
    <row r="7736" spans="2:24">
      <c r="B7736" s="7"/>
      <c r="D7736" s="7"/>
      <c r="F7736" s="7"/>
      <c r="H7736" s="7"/>
      <c r="J7736" s="7"/>
      <c r="L7736" s="7"/>
      <c r="N7736" s="7"/>
      <c r="P7736" s="7"/>
      <c r="R7736" s="7"/>
      <c r="T7736" s="7"/>
      <c r="V7736" s="7"/>
      <c r="X7736" s="7"/>
    </row>
    <row r="7737" spans="2:24">
      <c r="B7737" s="7"/>
      <c r="D7737" s="7"/>
      <c r="F7737" s="7"/>
      <c r="H7737" s="7"/>
      <c r="J7737" s="7"/>
      <c r="L7737" s="7"/>
      <c r="N7737" s="7"/>
      <c r="P7737" s="7"/>
      <c r="R7737" s="7"/>
      <c r="T7737" s="7"/>
      <c r="V7737" s="7"/>
      <c r="X7737" s="7"/>
    </row>
    <row r="7738" spans="2:24">
      <c r="B7738" s="7"/>
      <c r="D7738" s="7"/>
      <c r="F7738" s="7"/>
      <c r="H7738" s="7"/>
      <c r="J7738" s="7"/>
      <c r="L7738" s="7"/>
      <c r="N7738" s="7"/>
      <c r="P7738" s="7"/>
      <c r="R7738" s="7"/>
      <c r="T7738" s="7"/>
      <c r="V7738" s="7"/>
      <c r="X7738" s="7"/>
    </row>
    <row r="7739" spans="2:24">
      <c r="B7739" s="7"/>
      <c r="D7739" s="7"/>
      <c r="F7739" s="7"/>
      <c r="H7739" s="7"/>
      <c r="J7739" s="7"/>
      <c r="L7739" s="7"/>
      <c r="N7739" s="7"/>
      <c r="P7739" s="7"/>
      <c r="R7739" s="7"/>
      <c r="T7739" s="7"/>
      <c r="V7739" s="7"/>
      <c r="X7739" s="7"/>
    </row>
    <row r="7740" spans="2:24">
      <c r="B7740" s="7"/>
      <c r="D7740" s="7"/>
      <c r="F7740" s="7"/>
      <c r="H7740" s="7"/>
      <c r="J7740" s="7"/>
      <c r="L7740" s="7"/>
      <c r="N7740" s="7"/>
      <c r="P7740" s="7"/>
      <c r="R7740" s="7"/>
      <c r="T7740" s="7"/>
      <c r="V7740" s="7"/>
      <c r="X7740" s="7"/>
    </row>
    <row r="7741" spans="2:24">
      <c r="B7741" s="7"/>
      <c r="D7741" s="7"/>
      <c r="F7741" s="7"/>
      <c r="H7741" s="7"/>
      <c r="J7741" s="7"/>
      <c r="L7741" s="7"/>
      <c r="N7741" s="7"/>
      <c r="P7741" s="7"/>
      <c r="R7741" s="7"/>
      <c r="T7741" s="7"/>
      <c r="V7741" s="7"/>
      <c r="X7741" s="7"/>
    </row>
    <row r="7742" spans="2:24">
      <c r="B7742" s="7"/>
      <c r="D7742" s="7"/>
      <c r="F7742" s="7"/>
      <c r="H7742" s="7"/>
      <c r="J7742" s="7"/>
      <c r="L7742" s="7"/>
      <c r="N7742" s="7"/>
      <c r="P7742" s="7"/>
      <c r="R7742" s="7"/>
      <c r="T7742" s="7"/>
      <c r="V7742" s="7"/>
      <c r="X7742" s="7"/>
    </row>
    <row r="7743" spans="2:24">
      <c r="B7743" s="7"/>
      <c r="D7743" s="7"/>
      <c r="F7743" s="7"/>
      <c r="H7743" s="7"/>
      <c r="J7743" s="7"/>
      <c r="L7743" s="7"/>
      <c r="N7743" s="7"/>
      <c r="P7743" s="7"/>
      <c r="R7743" s="7"/>
      <c r="T7743" s="7"/>
      <c r="V7743" s="7"/>
      <c r="X7743" s="7"/>
    </row>
    <row r="7744" spans="2:24">
      <c r="B7744" s="7"/>
      <c r="D7744" s="7"/>
      <c r="F7744" s="7"/>
      <c r="H7744" s="7"/>
      <c r="J7744" s="7"/>
      <c r="L7744" s="7"/>
      <c r="N7744" s="7"/>
      <c r="P7744" s="7"/>
      <c r="R7744" s="7"/>
      <c r="T7744" s="7"/>
      <c r="V7744" s="7"/>
      <c r="X7744" s="7"/>
    </row>
    <row r="7745" spans="2:24">
      <c r="B7745" s="7"/>
      <c r="D7745" s="7"/>
      <c r="F7745" s="7"/>
      <c r="H7745" s="7"/>
      <c r="J7745" s="7"/>
      <c r="L7745" s="7"/>
      <c r="N7745" s="7"/>
      <c r="P7745" s="7"/>
      <c r="R7745" s="7"/>
      <c r="T7745" s="7"/>
      <c r="V7745" s="7"/>
      <c r="X7745" s="7"/>
    </row>
    <row r="7746" spans="2:24">
      <c r="B7746" s="7"/>
      <c r="D7746" s="7"/>
      <c r="F7746" s="7"/>
      <c r="H7746" s="7"/>
      <c r="J7746" s="7"/>
      <c r="L7746" s="7"/>
      <c r="N7746" s="7"/>
      <c r="P7746" s="7"/>
      <c r="R7746" s="7"/>
      <c r="T7746" s="7"/>
      <c r="V7746" s="7"/>
      <c r="X7746" s="7"/>
    </row>
    <row r="7747" spans="2:24">
      <c r="B7747" s="7"/>
      <c r="D7747" s="7"/>
      <c r="F7747" s="7"/>
      <c r="H7747" s="7"/>
      <c r="J7747" s="7"/>
      <c r="L7747" s="7"/>
      <c r="N7747" s="7"/>
      <c r="P7747" s="7"/>
      <c r="R7747" s="7"/>
      <c r="T7747" s="7"/>
      <c r="V7747" s="7"/>
      <c r="X7747" s="7"/>
    </row>
    <row r="7748" spans="2:24">
      <c r="B7748" s="7"/>
      <c r="D7748" s="7"/>
      <c r="F7748" s="7"/>
      <c r="H7748" s="7"/>
      <c r="J7748" s="7"/>
      <c r="L7748" s="7"/>
      <c r="N7748" s="7"/>
      <c r="P7748" s="7"/>
      <c r="R7748" s="7"/>
      <c r="T7748" s="7"/>
      <c r="V7748" s="7"/>
      <c r="X7748" s="7"/>
    </row>
    <row r="7749" spans="2:24">
      <c r="B7749" s="7"/>
      <c r="D7749" s="7"/>
      <c r="F7749" s="7"/>
      <c r="H7749" s="7"/>
      <c r="J7749" s="7"/>
      <c r="L7749" s="7"/>
      <c r="N7749" s="7"/>
      <c r="P7749" s="7"/>
      <c r="R7749" s="7"/>
      <c r="T7749" s="7"/>
      <c r="V7749" s="7"/>
      <c r="X7749" s="7"/>
    </row>
    <row r="7750" spans="2:24">
      <c r="B7750" s="7"/>
      <c r="D7750" s="7"/>
      <c r="F7750" s="7"/>
      <c r="H7750" s="7"/>
      <c r="J7750" s="7"/>
      <c r="L7750" s="7"/>
      <c r="N7750" s="7"/>
      <c r="P7750" s="7"/>
      <c r="R7750" s="7"/>
      <c r="T7750" s="7"/>
      <c r="V7750" s="7"/>
      <c r="X7750" s="7"/>
    </row>
    <row r="7751" spans="2:24">
      <c r="B7751" s="7"/>
      <c r="D7751" s="7"/>
      <c r="F7751" s="7"/>
      <c r="H7751" s="7"/>
      <c r="J7751" s="7"/>
      <c r="L7751" s="7"/>
      <c r="N7751" s="7"/>
      <c r="P7751" s="7"/>
      <c r="R7751" s="7"/>
      <c r="T7751" s="7"/>
      <c r="V7751" s="7"/>
      <c r="X7751" s="7"/>
    </row>
    <row r="7752" spans="2:24">
      <c r="B7752" s="7"/>
      <c r="D7752" s="7"/>
      <c r="F7752" s="7"/>
      <c r="H7752" s="7"/>
      <c r="J7752" s="7"/>
      <c r="L7752" s="7"/>
      <c r="N7752" s="7"/>
      <c r="P7752" s="7"/>
      <c r="R7752" s="7"/>
      <c r="T7752" s="7"/>
      <c r="V7752" s="7"/>
      <c r="X7752" s="7"/>
    </row>
    <row r="7753" spans="2:24">
      <c r="B7753" s="7"/>
      <c r="D7753" s="7"/>
      <c r="F7753" s="7"/>
      <c r="H7753" s="7"/>
      <c r="J7753" s="7"/>
      <c r="L7753" s="7"/>
      <c r="N7753" s="7"/>
      <c r="P7753" s="7"/>
      <c r="R7753" s="7"/>
      <c r="T7753" s="7"/>
      <c r="V7753" s="7"/>
      <c r="X7753" s="7"/>
    </row>
    <row r="7754" spans="2:24">
      <c r="B7754" s="7"/>
      <c r="D7754" s="7"/>
      <c r="F7754" s="7"/>
      <c r="H7754" s="7"/>
      <c r="J7754" s="7"/>
      <c r="L7754" s="7"/>
      <c r="N7754" s="7"/>
      <c r="P7754" s="7"/>
      <c r="R7754" s="7"/>
      <c r="T7754" s="7"/>
      <c r="V7754" s="7"/>
      <c r="X7754" s="7"/>
    </row>
    <row r="7755" spans="2:24">
      <c r="B7755" s="7"/>
      <c r="D7755" s="7"/>
      <c r="F7755" s="7"/>
      <c r="H7755" s="7"/>
      <c r="J7755" s="7"/>
      <c r="L7755" s="7"/>
      <c r="N7755" s="7"/>
      <c r="P7755" s="7"/>
      <c r="R7755" s="7"/>
      <c r="T7755" s="7"/>
      <c r="V7755" s="7"/>
      <c r="X7755" s="7"/>
    </row>
    <row r="7756" spans="2:24">
      <c r="B7756" s="7"/>
      <c r="D7756" s="7"/>
      <c r="F7756" s="7"/>
      <c r="H7756" s="7"/>
      <c r="J7756" s="7"/>
      <c r="L7756" s="7"/>
      <c r="N7756" s="7"/>
      <c r="P7756" s="7"/>
      <c r="R7756" s="7"/>
      <c r="T7756" s="7"/>
      <c r="V7756" s="7"/>
      <c r="X7756" s="7"/>
    </row>
    <row r="7757" spans="2:24">
      <c r="B7757" s="7"/>
      <c r="D7757" s="7"/>
      <c r="F7757" s="7"/>
      <c r="H7757" s="7"/>
      <c r="J7757" s="7"/>
      <c r="L7757" s="7"/>
      <c r="N7757" s="7"/>
      <c r="P7757" s="7"/>
      <c r="R7757" s="7"/>
      <c r="T7757" s="7"/>
      <c r="V7757" s="7"/>
      <c r="X7757" s="7"/>
    </row>
    <row r="7758" spans="2:24">
      <c r="B7758" s="7"/>
      <c r="D7758" s="7"/>
      <c r="F7758" s="7"/>
      <c r="H7758" s="7"/>
      <c r="J7758" s="7"/>
      <c r="L7758" s="7"/>
      <c r="N7758" s="7"/>
      <c r="P7758" s="7"/>
      <c r="R7758" s="7"/>
      <c r="T7758" s="7"/>
      <c r="V7758" s="7"/>
      <c r="X7758" s="7"/>
    </row>
    <row r="7759" spans="2:24">
      <c r="B7759" s="7"/>
      <c r="D7759" s="7"/>
      <c r="F7759" s="7"/>
      <c r="H7759" s="7"/>
      <c r="J7759" s="7"/>
      <c r="L7759" s="7"/>
      <c r="N7759" s="7"/>
      <c r="P7759" s="7"/>
      <c r="R7759" s="7"/>
      <c r="T7759" s="7"/>
      <c r="V7759" s="7"/>
      <c r="X7759" s="7"/>
    </row>
    <row r="7760" spans="2:24">
      <c r="B7760" s="7"/>
      <c r="D7760" s="7"/>
      <c r="F7760" s="7"/>
      <c r="H7760" s="7"/>
      <c r="J7760" s="7"/>
      <c r="L7760" s="7"/>
      <c r="N7760" s="7"/>
      <c r="P7760" s="7"/>
      <c r="R7760" s="7"/>
      <c r="T7760" s="7"/>
      <c r="V7760" s="7"/>
      <c r="X7760" s="7"/>
    </row>
    <row r="7761" spans="2:24">
      <c r="B7761" s="7"/>
      <c r="D7761" s="7"/>
      <c r="F7761" s="7"/>
      <c r="H7761" s="7"/>
      <c r="J7761" s="7"/>
      <c r="L7761" s="7"/>
      <c r="N7761" s="7"/>
      <c r="P7761" s="7"/>
      <c r="R7761" s="7"/>
      <c r="T7761" s="7"/>
      <c r="V7761" s="7"/>
      <c r="X7761" s="7"/>
    </row>
    <row r="7762" spans="2:24">
      <c r="B7762" s="7"/>
      <c r="D7762" s="7"/>
      <c r="F7762" s="7"/>
      <c r="H7762" s="7"/>
      <c r="J7762" s="7"/>
      <c r="L7762" s="7"/>
      <c r="N7762" s="7"/>
      <c r="P7762" s="7"/>
      <c r="R7762" s="7"/>
      <c r="T7762" s="7"/>
      <c r="V7762" s="7"/>
      <c r="X7762" s="7"/>
    </row>
    <row r="7763" spans="2:24">
      <c r="B7763" s="7"/>
      <c r="D7763" s="7"/>
      <c r="F7763" s="7"/>
      <c r="H7763" s="7"/>
      <c r="J7763" s="7"/>
      <c r="L7763" s="7"/>
      <c r="N7763" s="7"/>
      <c r="P7763" s="7"/>
      <c r="R7763" s="7"/>
      <c r="T7763" s="7"/>
      <c r="V7763" s="7"/>
      <c r="X7763" s="7"/>
    </row>
    <row r="7764" spans="2:24">
      <c r="B7764" s="7"/>
      <c r="D7764" s="7"/>
      <c r="F7764" s="7"/>
      <c r="H7764" s="7"/>
      <c r="J7764" s="7"/>
      <c r="L7764" s="7"/>
      <c r="N7764" s="7"/>
      <c r="P7764" s="7"/>
      <c r="R7764" s="7"/>
      <c r="T7764" s="7"/>
      <c r="V7764" s="7"/>
      <c r="X7764" s="7"/>
    </row>
    <row r="7765" spans="2:24">
      <c r="B7765" s="7"/>
      <c r="D7765" s="7"/>
      <c r="F7765" s="7"/>
      <c r="H7765" s="7"/>
      <c r="J7765" s="7"/>
      <c r="L7765" s="7"/>
      <c r="N7765" s="7"/>
      <c r="P7765" s="7"/>
      <c r="R7765" s="7"/>
      <c r="T7765" s="7"/>
      <c r="V7765" s="7"/>
      <c r="X7765" s="7"/>
    </row>
    <row r="7766" spans="2:24">
      <c r="B7766" s="7"/>
      <c r="D7766" s="7"/>
      <c r="F7766" s="7"/>
      <c r="H7766" s="7"/>
      <c r="J7766" s="7"/>
      <c r="L7766" s="7"/>
      <c r="N7766" s="7"/>
      <c r="P7766" s="7"/>
      <c r="R7766" s="7"/>
      <c r="T7766" s="7"/>
      <c r="V7766" s="7"/>
      <c r="X7766" s="7"/>
    </row>
    <row r="7767" spans="2:24">
      <c r="B7767" s="7"/>
      <c r="D7767" s="7"/>
      <c r="F7767" s="7"/>
      <c r="H7767" s="7"/>
      <c r="J7767" s="7"/>
      <c r="L7767" s="7"/>
      <c r="N7767" s="7"/>
      <c r="P7767" s="7"/>
      <c r="R7767" s="7"/>
      <c r="T7767" s="7"/>
      <c r="V7767" s="7"/>
      <c r="X7767" s="7"/>
    </row>
    <row r="7768" spans="2:24">
      <c r="B7768" s="7"/>
      <c r="D7768" s="7"/>
      <c r="F7768" s="7"/>
      <c r="H7768" s="7"/>
      <c r="J7768" s="7"/>
      <c r="L7768" s="7"/>
      <c r="N7768" s="7"/>
      <c r="P7768" s="7"/>
      <c r="R7768" s="7"/>
      <c r="T7768" s="7"/>
      <c r="V7768" s="7"/>
      <c r="X7768" s="7"/>
    </row>
    <row r="7769" spans="2:24">
      <c r="B7769" s="7"/>
      <c r="D7769" s="7"/>
      <c r="F7769" s="7"/>
      <c r="H7769" s="7"/>
      <c r="J7769" s="7"/>
      <c r="L7769" s="7"/>
      <c r="N7769" s="7"/>
      <c r="P7769" s="7"/>
      <c r="R7769" s="7"/>
      <c r="T7769" s="7"/>
      <c r="V7769" s="7"/>
      <c r="X7769" s="7"/>
    </row>
    <row r="7770" spans="2:24">
      <c r="B7770" s="7"/>
      <c r="D7770" s="7"/>
      <c r="F7770" s="7"/>
      <c r="H7770" s="7"/>
      <c r="J7770" s="7"/>
      <c r="L7770" s="7"/>
      <c r="N7770" s="7"/>
      <c r="P7770" s="7"/>
      <c r="R7770" s="7"/>
      <c r="T7770" s="7"/>
      <c r="V7770" s="7"/>
      <c r="X7770" s="7"/>
    </row>
    <row r="7771" spans="2:24">
      <c r="B7771" s="7"/>
      <c r="D7771" s="7"/>
      <c r="F7771" s="7"/>
      <c r="H7771" s="7"/>
      <c r="J7771" s="7"/>
      <c r="L7771" s="7"/>
      <c r="N7771" s="7"/>
      <c r="P7771" s="7"/>
      <c r="R7771" s="7"/>
      <c r="T7771" s="7"/>
      <c r="V7771" s="7"/>
      <c r="X7771" s="7"/>
    </row>
    <row r="7772" spans="2:24">
      <c r="B7772" s="7"/>
      <c r="D7772" s="7"/>
      <c r="F7772" s="7"/>
      <c r="H7772" s="7"/>
      <c r="J7772" s="7"/>
      <c r="L7772" s="7"/>
      <c r="N7772" s="7"/>
      <c r="P7772" s="7"/>
      <c r="R7772" s="7"/>
      <c r="T7772" s="7"/>
      <c r="V7772" s="7"/>
      <c r="X7772" s="7"/>
    </row>
    <row r="7773" spans="2:24">
      <c r="B7773" s="7"/>
      <c r="D7773" s="7"/>
      <c r="F7773" s="7"/>
      <c r="H7773" s="7"/>
      <c r="J7773" s="7"/>
      <c r="L7773" s="7"/>
      <c r="N7773" s="7"/>
      <c r="P7773" s="7"/>
      <c r="R7773" s="7"/>
      <c r="T7773" s="7"/>
      <c r="V7773" s="7"/>
      <c r="X7773" s="7"/>
    </row>
    <row r="7774" spans="2:24">
      <c r="B7774" s="7"/>
      <c r="D7774" s="7"/>
      <c r="F7774" s="7"/>
      <c r="H7774" s="7"/>
      <c r="J7774" s="7"/>
      <c r="L7774" s="7"/>
      <c r="N7774" s="7"/>
      <c r="P7774" s="7"/>
      <c r="R7774" s="7"/>
      <c r="T7774" s="7"/>
      <c r="V7774" s="7"/>
      <c r="X7774" s="7"/>
    </row>
    <row r="7775" spans="2:24">
      <c r="B7775" s="7"/>
      <c r="D7775" s="7"/>
      <c r="F7775" s="7"/>
      <c r="H7775" s="7"/>
      <c r="J7775" s="7"/>
      <c r="L7775" s="7"/>
      <c r="N7775" s="7"/>
      <c r="P7775" s="7"/>
      <c r="R7775" s="7"/>
      <c r="T7775" s="7"/>
      <c r="V7775" s="7"/>
      <c r="X7775" s="7"/>
    </row>
    <row r="7776" spans="2:24">
      <c r="B7776" s="7"/>
      <c r="D7776" s="7"/>
      <c r="F7776" s="7"/>
      <c r="H7776" s="7"/>
      <c r="J7776" s="7"/>
      <c r="L7776" s="7"/>
      <c r="N7776" s="7"/>
      <c r="P7776" s="7"/>
      <c r="R7776" s="7"/>
      <c r="T7776" s="7"/>
      <c r="V7776" s="7"/>
      <c r="X7776" s="7"/>
    </row>
    <row r="7777" spans="2:24">
      <c r="B7777" s="7"/>
      <c r="D7777" s="7"/>
      <c r="F7777" s="7"/>
      <c r="H7777" s="7"/>
      <c r="J7777" s="7"/>
      <c r="L7777" s="7"/>
      <c r="N7777" s="7"/>
      <c r="P7777" s="7"/>
      <c r="R7777" s="7"/>
      <c r="T7777" s="7"/>
      <c r="V7777" s="7"/>
      <c r="X7777" s="7"/>
    </row>
    <row r="7778" spans="2:24">
      <c r="B7778" s="7"/>
      <c r="D7778" s="7"/>
      <c r="F7778" s="7"/>
      <c r="H7778" s="7"/>
      <c r="J7778" s="7"/>
      <c r="L7778" s="7"/>
      <c r="N7778" s="7"/>
      <c r="P7778" s="7"/>
      <c r="R7778" s="7"/>
      <c r="T7778" s="7"/>
      <c r="V7778" s="7"/>
      <c r="X7778" s="7"/>
    </row>
    <row r="7779" spans="2:24">
      <c r="B7779" s="7"/>
      <c r="D7779" s="7"/>
      <c r="F7779" s="7"/>
      <c r="H7779" s="7"/>
      <c r="J7779" s="7"/>
      <c r="L7779" s="7"/>
      <c r="N7779" s="7"/>
      <c r="P7779" s="7"/>
      <c r="R7779" s="7"/>
      <c r="T7779" s="7"/>
      <c r="V7779" s="7"/>
      <c r="X7779" s="7"/>
    </row>
    <row r="7780" spans="2:24">
      <c r="B7780" s="7"/>
      <c r="D7780" s="7"/>
      <c r="F7780" s="7"/>
      <c r="H7780" s="7"/>
      <c r="J7780" s="7"/>
      <c r="L7780" s="7"/>
      <c r="N7780" s="7"/>
      <c r="P7780" s="7"/>
      <c r="R7780" s="7"/>
      <c r="T7780" s="7"/>
      <c r="V7780" s="7"/>
      <c r="X7780" s="7"/>
    </row>
    <row r="7781" spans="2:24">
      <c r="B7781" s="7"/>
      <c r="D7781" s="7"/>
      <c r="F7781" s="7"/>
      <c r="H7781" s="7"/>
      <c r="J7781" s="7"/>
      <c r="L7781" s="7"/>
      <c r="N7781" s="7"/>
      <c r="P7781" s="7"/>
      <c r="R7781" s="7"/>
      <c r="T7781" s="7"/>
      <c r="V7781" s="7"/>
      <c r="X7781" s="7"/>
    </row>
    <row r="7782" spans="2:24">
      <c r="B7782" s="7"/>
      <c r="D7782" s="7"/>
      <c r="F7782" s="7"/>
      <c r="H7782" s="7"/>
      <c r="J7782" s="7"/>
      <c r="L7782" s="7"/>
      <c r="N7782" s="7"/>
      <c r="P7782" s="7"/>
      <c r="R7782" s="7"/>
      <c r="T7782" s="7"/>
      <c r="V7782" s="7"/>
      <c r="X7782" s="7"/>
    </row>
    <row r="7783" spans="2:24">
      <c r="B7783" s="7"/>
      <c r="D7783" s="7"/>
      <c r="F7783" s="7"/>
      <c r="H7783" s="7"/>
      <c r="J7783" s="7"/>
      <c r="L7783" s="7"/>
      <c r="N7783" s="7"/>
      <c r="P7783" s="7"/>
      <c r="R7783" s="7"/>
      <c r="T7783" s="7"/>
      <c r="V7783" s="7"/>
      <c r="X7783" s="7"/>
    </row>
    <row r="7784" spans="2:24">
      <c r="B7784" s="7"/>
      <c r="D7784" s="7"/>
      <c r="F7784" s="7"/>
      <c r="H7784" s="7"/>
      <c r="J7784" s="7"/>
      <c r="L7784" s="7"/>
      <c r="N7784" s="7"/>
      <c r="P7784" s="7"/>
      <c r="R7784" s="7"/>
      <c r="T7784" s="7"/>
      <c r="V7784" s="7"/>
      <c r="X7784" s="7"/>
    </row>
    <row r="7785" spans="2:24">
      <c r="B7785" s="7"/>
      <c r="D7785" s="7"/>
      <c r="F7785" s="7"/>
      <c r="H7785" s="7"/>
      <c r="J7785" s="7"/>
      <c r="L7785" s="7"/>
      <c r="N7785" s="7"/>
      <c r="P7785" s="7"/>
      <c r="R7785" s="7"/>
      <c r="T7785" s="7"/>
      <c r="V7785" s="7"/>
      <c r="X7785" s="7"/>
    </row>
    <row r="7786" spans="2:24">
      <c r="B7786" s="7"/>
      <c r="D7786" s="7"/>
      <c r="F7786" s="7"/>
      <c r="H7786" s="7"/>
      <c r="J7786" s="7"/>
      <c r="L7786" s="7"/>
      <c r="N7786" s="7"/>
      <c r="P7786" s="7"/>
      <c r="R7786" s="7"/>
      <c r="T7786" s="7"/>
      <c r="V7786" s="7"/>
      <c r="X7786" s="7"/>
    </row>
    <row r="7787" spans="2:24">
      <c r="B7787" s="7"/>
      <c r="D7787" s="7"/>
      <c r="F7787" s="7"/>
      <c r="H7787" s="7"/>
      <c r="J7787" s="7"/>
      <c r="L7787" s="7"/>
      <c r="N7787" s="7"/>
      <c r="P7787" s="7"/>
      <c r="R7787" s="7"/>
      <c r="T7787" s="7"/>
      <c r="V7787" s="7"/>
      <c r="X7787" s="7"/>
    </row>
    <row r="7788" spans="2:24">
      <c r="B7788" s="7"/>
      <c r="D7788" s="7"/>
      <c r="F7788" s="7"/>
      <c r="H7788" s="7"/>
      <c r="J7788" s="7"/>
      <c r="L7788" s="7"/>
      <c r="N7788" s="7"/>
      <c r="P7788" s="7"/>
      <c r="R7788" s="7"/>
      <c r="T7788" s="7"/>
      <c r="V7788" s="7"/>
      <c r="X7788" s="7"/>
    </row>
    <row r="7789" spans="2:24">
      <c r="B7789" s="7"/>
      <c r="D7789" s="7"/>
      <c r="F7789" s="7"/>
      <c r="H7789" s="7"/>
      <c r="J7789" s="7"/>
      <c r="L7789" s="7"/>
      <c r="N7789" s="7"/>
      <c r="P7789" s="7"/>
      <c r="R7789" s="7"/>
      <c r="T7789" s="7"/>
      <c r="V7789" s="7"/>
      <c r="X7789" s="7"/>
    </row>
    <row r="7790" spans="2:24">
      <c r="B7790" s="7"/>
      <c r="D7790" s="7"/>
      <c r="F7790" s="7"/>
      <c r="H7790" s="7"/>
      <c r="J7790" s="7"/>
      <c r="L7790" s="7"/>
      <c r="N7790" s="7"/>
      <c r="P7790" s="7"/>
      <c r="R7790" s="7"/>
      <c r="T7790" s="7"/>
      <c r="V7790" s="7"/>
      <c r="X7790" s="7"/>
    </row>
    <row r="7791" spans="2:24">
      <c r="B7791" s="7"/>
      <c r="D7791" s="7"/>
      <c r="F7791" s="7"/>
      <c r="H7791" s="7"/>
      <c r="J7791" s="7"/>
      <c r="L7791" s="7"/>
      <c r="N7791" s="7"/>
      <c r="P7791" s="7"/>
      <c r="R7791" s="7"/>
      <c r="T7791" s="7"/>
      <c r="V7791" s="7"/>
      <c r="X7791" s="7"/>
    </row>
    <row r="7792" spans="2:24">
      <c r="B7792" s="7"/>
      <c r="D7792" s="7"/>
      <c r="F7792" s="7"/>
      <c r="H7792" s="7"/>
      <c r="J7792" s="7"/>
      <c r="L7792" s="7"/>
      <c r="N7792" s="7"/>
      <c r="P7792" s="7"/>
      <c r="R7792" s="7"/>
      <c r="T7792" s="7"/>
      <c r="V7792" s="7"/>
      <c r="X7792" s="7"/>
    </row>
    <row r="7793" spans="2:24">
      <c r="B7793" s="7"/>
      <c r="D7793" s="7"/>
      <c r="F7793" s="7"/>
      <c r="H7793" s="7"/>
      <c r="J7793" s="7"/>
      <c r="L7793" s="7"/>
      <c r="N7793" s="7"/>
      <c r="P7793" s="7"/>
      <c r="R7793" s="7"/>
      <c r="T7793" s="7"/>
      <c r="V7793" s="7"/>
      <c r="X7793" s="7"/>
    </row>
    <row r="7794" spans="2:24">
      <c r="B7794" s="7"/>
      <c r="D7794" s="7"/>
      <c r="F7794" s="7"/>
      <c r="H7794" s="7"/>
      <c r="J7794" s="7"/>
      <c r="L7794" s="7"/>
      <c r="N7794" s="7"/>
      <c r="P7794" s="7"/>
      <c r="R7794" s="7"/>
      <c r="T7794" s="7"/>
      <c r="V7794" s="7"/>
      <c r="X7794" s="7"/>
    </row>
    <row r="7795" spans="2:24">
      <c r="B7795" s="7"/>
      <c r="D7795" s="7"/>
      <c r="F7795" s="7"/>
      <c r="H7795" s="7"/>
      <c r="J7795" s="7"/>
      <c r="L7795" s="7"/>
      <c r="N7795" s="7"/>
      <c r="P7795" s="7"/>
      <c r="R7795" s="7"/>
      <c r="T7795" s="7"/>
      <c r="V7795" s="7"/>
      <c r="X7795" s="7"/>
    </row>
    <row r="7796" spans="2:24">
      <c r="B7796" s="7"/>
      <c r="D7796" s="7"/>
      <c r="F7796" s="7"/>
      <c r="H7796" s="7"/>
      <c r="J7796" s="7"/>
      <c r="L7796" s="7"/>
      <c r="N7796" s="7"/>
      <c r="P7796" s="7"/>
      <c r="R7796" s="7"/>
      <c r="T7796" s="7"/>
      <c r="V7796" s="7"/>
      <c r="X7796" s="7"/>
    </row>
    <row r="7797" spans="2:24">
      <c r="B7797" s="7"/>
      <c r="D7797" s="7"/>
      <c r="F7797" s="7"/>
      <c r="H7797" s="7"/>
      <c r="J7797" s="7"/>
      <c r="L7797" s="7"/>
      <c r="N7797" s="7"/>
      <c r="P7797" s="7"/>
      <c r="R7797" s="7"/>
      <c r="T7797" s="7"/>
      <c r="V7797" s="7"/>
      <c r="X7797" s="7"/>
    </row>
    <row r="7798" spans="2:24">
      <c r="B7798" s="7"/>
      <c r="D7798" s="7"/>
      <c r="F7798" s="7"/>
      <c r="H7798" s="7"/>
      <c r="J7798" s="7"/>
      <c r="L7798" s="7"/>
      <c r="N7798" s="7"/>
      <c r="P7798" s="7"/>
      <c r="R7798" s="7"/>
      <c r="T7798" s="7"/>
      <c r="V7798" s="7"/>
      <c r="X7798" s="7"/>
    </row>
    <row r="7799" spans="2:24">
      <c r="B7799" s="7"/>
      <c r="D7799" s="7"/>
      <c r="F7799" s="7"/>
      <c r="H7799" s="7"/>
      <c r="J7799" s="7"/>
      <c r="L7799" s="7"/>
      <c r="N7799" s="7"/>
      <c r="P7799" s="7"/>
      <c r="R7799" s="7"/>
      <c r="T7799" s="7"/>
      <c r="V7799" s="7"/>
      <c r="X7799" s="7"/>
    </row>
    <row r="7800" spans="2:24">
      <c r="B7800" s="7"/>
      <c r="D7800" s="7"/>
      <c r="F7800" s="7"/>
      <c r="H7800" s="7"/>
      <c r="J7800" s="7"/>
      <c r="L7800" s="7"/>
      <c r="N7800" s="7"/>
      <c r="P7800" s="7"/>
      <c r="R7800" s="7"/>
      <c r="T7800" s="7"/>
      <c r="V7800" s="7"/>
      <c r="X7800" s="7"/>
    </row>
    <row r="7801" spans="2:24">
      <c r="B7801" s="7"/>
      <c r="D7801" s="7"/>
      <c r="F7801" s="7"/>
      <c r="H7801" s="7"/>
      <c r="J7801" s="7"/>
      <c r="L7801" s="7"/>
      <c r="N7801" s="7"/>
      <c r="P7801" s="7"/>
      <c r="R7801" s="7"/>
      <c r="T7801" s="7"/>
      <c r="V7801" s="7"/>
      <c r="X7801" s="7"/>
    </row>
    <row r="7802" spans="2:24">
      <c r="B7802" s="7"/>
      <c r="D7802" s="7"/>
      <c r="F7802" s="7"/>
      <c r="H7802" s="7"/>
      <c r="J7802" s="7"/>
      <c r="L7802" s="7"/>
      <c r="N7802" s="7"/>
      <c r="P7802" s="7"/>
      <c r="R7802" s="7"/>
      <c r="T7802" s="7"/>
      <c r="V7802" s="7"/>
      <c r="X7802" s="7"/>
    </row>
    <row r="7803" spans="2:24">
      <c r="B7803" s="7"/>
      <c r="D7803" s="7"/>
      <c r="F7803" s="7"/>
      <c r="H7803" s="7"/>
      <c r="J7803" s="7"/>
      <c r="L7803" s="7"/>
      <c r="N7803" s="7"/>
      <c r="P7803" s="7"/>
      <c r="R7803" s="7"/>
      <c r="T7803" s="7"/>
      <c r="V7803" s="7"/>
      <c r="X7803" s="7"/>
    </row>
    <row r="7804" spans="2:24">
      <c r="B7804" s="7"/>
      <c r="D7804" s="7"/>
      <c r="F7804" s="7"/>
      <c r="H7804" s="7"/>
      <c r="J7804" s="7"/>
      <c r="L7804" s="7"/>
      <c r="N7804" s="7"/>
      <c r="P7804" s="7"/>
      <c r="R7804" s="7"/>
      <c r="T7804" s="7"/>
      <c r="V7804" s="7"/>
      <c r="X7804" s="7"/>
    </row>
    <row r="7805" spans="2:24">
      <c r="B7805" s="7"/>
      <c r="D7805" s="7"/>
      <c r="F7805" s="7"/>
      <c r="H7805" s="7"/>
      <c r="J7805" s="7"/>
      <c r="L7805" s="7"/>
      <c r="N7805" s="7"/>
      <c r="P7805" s="7"/>
      <c r="R7805" s="7"/>
      <c r="T7805" s="7"/>
      <c r="V7805" s="7"/>
      <c r="X7805" s="7"/>
    </row>
    <row r="7806" spans="2:24">
      <c r="B7806" s="7"/>
      <c r="D7806" s="7"/>
      <c r="F7806" s="7"/>
      <c r="H7806" s="7"/>
      <c r="J7806" s="7"/>
      <c r="L7806" s="7"/>
      <c r="N7806" s="7"/>
      <c r="P7806" s="7"/>
      <c r="R7806" s="7"/>
      <c r="T7806" s="7"/>
      <c r="V7806" s="7"/>
      <c r="X7806" s="7"/>
    </row>
    <row r="7807" spans="2:24">
      <c r="B7807" s="7"/>
      <c r="D7807" s="7"/>
      <c r="F7807" s="7"/>
      <c r="H7807" s="7"/>
      <c r="J7807" s="7"/>
      <c r="L7807" s="7"/>
      <c r="N7807" s="7"/>
      <c r="P7807" s="7"/>
      <c r="R7807" s="7"/>
      <c r="T7807" s="7"/>
      <c r="V7807" s="7"/>
      <c r="X7807" s="7"/>
    </row>
    <row r="7808" spans="2:24">
      <c r="B7808" s="7"/>
      <c r="D7808" s="7"/>
      <c r="F7808" s="7"/>
      <c r="H7808" s="7"/>
      <c r="J7808" s="7"/>
      <c r="L7808" s="7"/>
      <c r="N7808" s="7"/>
      <c r="P7808" s="7"/>
      <c r="R7808" s="7"/>
      <c r="T7808" s="7"/>
      <c r="V7808" s="7"/>
      <c r="X7808" s="7"/>
    </row>
    <row r="7809" spans="2:24">
      <c r="B7809" s="7"/>
      <c r="D7809" s="7"/>
      <c r="F7809" s="7"/>
      <c r="H7809" s="7"/>
      <c r="J7809" s="7"/>
      <c r="L7809" s="7"/>
      <c r="N7809" s="7"/>
      <c r="P7809" s="7"/>
      <c r="R7809" s="7"/>
      <c r="T7809" s="7"/>
      <c r="V7809" s="7"/>
      <c r="X7809" s="7"/>
    </row>
    <row r="7810" spans="2:24">
      <c r="B7810" s="7"/>
      <c r="D7810" s="7"/>
      <c r="F7810" s="7"/>
      <c r="H7810" s="7"/>
      <c r="J7810" s="7"/>
      <c r="L7810" s="7"/>
      <c r="N7810" s="7"/>
      <c r="P7810" s="7"/>
      <c r="R7810" s="7"/>
      <c r="T7810" s="7"/>
      <c r="V7810" s="7"/>
      <c r="X7810" s="7"/>
    </row>
    <row r="7811" spans="2:24">
      <c r="B7811" s="7"/>
      <c r="D7811" s="7"/>
      <c r="F7811" s="7"/>
      <c r="H7811" s="7"/>
      <c r="J7811" s="7"/>
      <c r="L7811" s="7"/>
      <c r="N7811" s="7"/>
      <c r="P7811" s="7"/>
      <c r="R7811" s="7"/>
      <c r="T7811" s="7"/>
      <c r="V7811" s="7"/>
      <c r="X7811" s="7"/>
    </row>
    <row r="7812" spans="2:24">
      <c r="B7812" s="7"/>
      <c r="D7812" s="7"/>
      <c r="F7812" s="7"/>
      <c r="H7812" s="7"/>
      <c r="J7812" s="7"/>
      <c r="L7812" s="7"/>
      <c r="N7812" s="7"/>
      <c r="P7812" s="7"/>
      <c r="R7812" s="7"/>
      <c r="T7812" s="7"/>
      <c r="V7812" s="7"/>
      <c r="X7812" s="7"/>
    </row>
    <row r="7813" spans="2:24">
      <c r="B7813" s="7"/>
      <c r="D7813" s="7"/>
      <c r="F7813" s="7"/>
      <c r="H7813" s="7"/>
      <c r="J7813" s="7"/>
      <c r="L7813" s="7"/>
      <c r="N7813" s="7"/>
      <c r="P7813" s="7"/>
      <c r="R7813" s="7"/>
      <c r="T7813" s="7"/>
      <c r="V7813" s="7"/>
      <c r="X7813" s="7"/>
    </row>
    <row r="7814" spans="2:24">
      <c r="B7814" s="7"/>
      <c r="D7814" s="7"/>
      <c r="F7814" s="7"/>
      <c r="H7814" s="7"/>
      <c r="J7814" s="7"/>
      <c r="L7814" s="7"/>
      <c r="N7814" s="7"/>
      <c r="P7814" s="7"/>
      <c r="R7814" s="7"/>
      <c r="T7814" s="7"/>
      <c r="V7814" s="7"/>
      <c r="X7814" s="7"/>
    </row>
    <row r="7815" spans="2:24">
      <c r="B7815" s="7"/>
      <c r="D7815" s="7"/>
      <c r="F7815" s="7"/>
      <c r="H7815" s="7"/>
      <c r="J7815" s="7"/>
      <c r="L7815" s="7"/>
      <c r="N7815" s="7"/>
      <c r="P7815" s="7"/>
      <c r="R7815" s="7"/>
      <c r="T7815" s="7"/>
      <c r="V7815" s="7"/>
      <c r="X7815" s="7"/>
    </row>
    <row r="7816" spans="2:24">
      <c r="B7816" s="7"/>
      <c r="D7816" s="7"/>
      <c r="F7816" s="7"/>
      <c r="H7816" s="7"/>
      <c r="J7816" s="7"/>
      <c r="L7816" s="7"/>
      <c r="N7816" s="7"/>
      <c r="P7816" s="7"/>
      <c r="R7816" s="7"/>
      <c r="T7816" s="7"/>
      <c r="V7816" s="7"/>
      <c r="X7816" s="7"/>
    </row>
    <row r="7817" spans="2:24">
      <c r="B7817" s="7"/>
      <c r="D7817" s="7"/>
      <c r="F7817" s="7"/>
      <c r="H7817" s="7"/>
      <c r="J7817" s="7"/>
      <c r="L7817" s="7"/>
      <c r="N7817" s="7"/>
      <c r="P7817" s="7"/>
      <c r="R7817" s="7"/>
      <c r="T7817" s="7"/>
      <c r="V7817" s="7"/>
      <c r="X7817" s="7"/>
    </row>
    <row r="7818" spans="2:24">
      <c r="B7818" s="7"/>
      <c r="D7818" s="7"/>
      <c r="F7818" s="7"/>
      <c r="H7818" s="7"/>
      <c r="J7818" s="7"/>
      <c r="L7818" s="7"/>
      <c r="N7818" s="7"/>
      <c r="P7818" s="7"/>
      <c r="R7818" s="7"/>
      <c r="T7818" s="7"/>
      <c r="V7818" s="7"/>
      <c r="X7818" s="7"/>
    </row>
    <row r="7819" spans="2:24">
      <c r="B7819" s="7"/>
      <c r="D7819" s="7"/>
      <c r="F7819" s="7"/>
      <c r="H7819" s="7"/>
      <c r="J7819" s="7"/>
      <c r="L7819" s="7"/>
      <c r="N7819" s="7"/>
      <c r="P7819" s="7"/>
      <c r="R7819" s="7"/>
      <c r="T7819" s="7"/>
      <c r="V7819" s="7"/>
      <c r="X7819" s="7"/>
    </row>
    <row r="7820" spans="2:24">
      <c r="B7820" s="7"/>
      <c r="D7820" s="7"/>
      <c r="F7820" s="7"/>
      <c r="H7820" s="7"/>
      <c r="J7820" s="7"/>
      <c r="L7820" s="7"/>
      <c r="N7820" s="7"/>
      <c r="P7820" s="7"/>
      <c r="R7820" s="7"/>
      <c r="T7820" s="7"/>
      <c r="V7820" s="7"/>
      <c r="X7820" s="7"/>
    </row>
    <row r="7821" spans="2:24">
      <c r="B7821" s="7"/>
      <c r="D7821" s="7"/>
      <c r="F7821" s="7"/>
      <c r="H7821" s="7"/>
      <c r="J7821" s="7"/>
      <c r="L7821" s="7"/>
      <c r="N7821" s="7"/>
      <c r="P7821" s="7"/>
      <c r="R7821" s="7"/>
      <c r="T7821" s="7"/>
      <c r="V7821" s="7"/>
      <c r="X7821" s="7"/>
    </row>
    <row r="7822" spans="2:24">
      <c r="B7822" s="7"/>
      <c r="D7822" s="7"/>
      <c r="F7822" s="7"/>
      <c r="H7822" s="7"/>
      <c r="J7822" s="7"/>
      <c r="L7822" s="7"/>
      <c r="N7822" s="7"/>
      <c r="P7822" s="7"/>
      <c r="R7822" s="7"/>
      <c r="T7822" s="7"/>
      <c r="V7822" s="7"/>
      <c r="X7822" s="7"/>
    </row>
    <row r="7823" spans="2:24">
      <c r="B7823" s="7"/>
      <c r="D7823" s="7"/>
      <c r="F7823" s="7"/>
      <c r="H7823" s="7"/>
      <c r="J7823" s="7"/>
      <c r="L7823" s="7"/>
      <c r="N7823" s="7"/>
      <c r="P7823" s="7"/>
      <c r="R7823" s="7"/>
      <c r="T7823" s="7"/>
      <c r="V7823" s="7"/>
      <c r="X7823" s="7"/>
    </row>
    <row r="7824" spans="2:24">
      <c r="B7824" s="7"/>
      <c r="D7824" s="7"/>
      <c r="F7824" s="7"/>
      <c r="H7824" s="7"/>
      <c r="J7824" s="7"/>
      <c r="L7824" s="7"/>
      <c r="N7824" s="7"/>
      <c r="P7824" s="7"/>
      <c r="R7824" s="7"/>
      <c r="T7824" s="7"/>
      <c r="V7824" s="7"/>
      <c r="X7824" s="7"/>
    </row>
    <row r="7825" spans="2:24">
      <c r="B7825" s="7"/>
      <c r="D7825" s="7"/>
      <c r="F7825" s="7"/>
      <c r="H7825" s="7"/>
      <c r="J7825" s="7"/>
      <c r="L7825" s="7"/>
      <c r="N7825" s="7"/>
      <c r="P7825" s="7"/>
      <c r="R7825" s="7"/>
      <c r="T7825" s="7"/>
      <c r="V7825" s="7"/>
      <c r="X7825" s="7"/>
    </row>
    <row r="7826" spans="2:24">
      <c r="B7826" s="7"/>
      <c r="D7826" s="7"/>
      <c r="F7826" s="7"/>
      <c r="H7826" s="7"/>
      <c r="J7826" s="7"/>
      <c r="L7826" s="7"/>
      <c r="N7826" s="7"/>
      <c r="P7826" s="7"/>
      <c r="R7826" s="7"/>
      <c r="T7826" s="7"/>
      <c r="V7826" s="7"/>
      <c r="X7826" s="7"/>
    </row>
    <row r="7827" spans="2:24">
      <c r="B7827" s="7"/>
      <c r="D7827" s="7"/>
      <c r="F7827" s="7"/>
      <c r="H7827" s="7"/>
      <c r="J7827" s="7"/>
      <c r="L7827" s="7"/>
      <c r="N7827" s="7"/>
      <c r="P7827" s="7"/>
      <c r="R7827" s="7"/>
      <c r="T7827" s="7"/>
      <c r="V7827" s="7"/>
      <c r="X7827" s="7"/>
    </row>
    <row r="7828" spans="2:24">
      <c r="B7828" s="7"/>
      <c r="D7828" s="7"/>
      <c r="F7828" s="7"/>
      <c r="H7828" s="7"/>
      <c r="J7828" s="7"/>
      <c r="L7828" s="7"/>
      <c r="N7828" s="7"/>
      <c r="P7828" s="7"/>
      <c r="R7828" s="7"/>
      <c r="T7828" s="7"/>
      <c r="V7828" s="7"/>
      <c r="X7828" s="7"/>
    </row>
    <row r="7829" spans="2:24">
      <c r="B7829" s="7"/>
      <c r="D7829" s="7"/>
      <c r="F7829" s="7"/>
      <c r="H7829" s="7"/>
      <c r="J7829" s="7"/>
      <c r="L7829" s="7"/>
      <c r="N7829" s="7"/>
      <c r="P7829" s="7"/>
      <c r="R7829" s="7"/>
      <c r="T7829" s="7"/>
      <c r="V7829" s="7"/>
      <c r="X7829" s="7"/>
    </row>
    <row r="7830" spans="2:24">
      <c r="B7830" s="7"/>
      <c r="D7830" s="7"/>
      <c r="F7830" s="7"/>
      <c r="H7830" s="7"/>
      <c r="J7830" s="7"/>
      <c r="L7830" s="7"/>
      <c r="N7830" s="7"/>
      <c r="P7830" s="7"/>
      <c r="R7830" s="7"/>
      <c r="T7830" s="7"/>
      <c r="V7830" s="7"/>
      <c r="X7830" s="7"/>
    </row>
    <row r="7831" spans="2:24">
      <c r="B7831" s="7"/>
      <c r="D7831" s="7"/>
      <c r="F7831" s="7"/>
      <c r="H7831" s="7"/>
      <c r="J7831" s="7"/>
      <c r="L7831" s="7"/>
      <c r="N7831" s="7"/>
      <c r="P7831" s="7"/>
      <c r="R7831" s="7"/>
      <c r="T7831" s="7"/>
      <c r="V7831" s="7"/>
      <c r="X7831" s="7"/>
    </row>
    <row r="7832" spans="2:24">
      <c r="B7832" s="7"/>
      <c r="D7832" s="7"/>
      <c r="F7832" s="7"/>
      <c r="H7832" s="7"/>
      <c r="J7832" s="7"/>
      <c r="L7832" s="7"/>
      <c r="N7832" s="7"/>
      <c r="P7832" s="7"/>
      <c r="R7832" s="7"/>
      <c r="T7832" s="7"/>
      <c r="V7832" s="7"/>
      <c r="X7832" s="7"/>
    </row>
    <row r="7833" spans="2:24">
      <c r="B7833" s="7"/>
      <c r="D7833" s="7"/>
      <c r="F7833" s="7"/>
      <c r="H7833" s="7"/>
      <c r="J7833" s="7"/>
      <c r="L7833" s="7"/>
      <c r="N7833" s="7"/>
      <c r="P7833" s="7"/>
      <c r="R7833" s="7"/>
      <c r="T7833" s="7"/>
      <c r="V7833" s="7"/>
      <c r="X7833" s="7"/>
    </row>
    <row r="7834" spans="2:24">
      <c r="B7834" s="7"/>
      <c r="D7834" s="7"/>
      <c r="F7834" s="7"/>
      <c r="H7834" s="7"/>
      <c r="J7834" s="7"/>
      <c r="L7834" s="7"/>
      <c r="N7834" s="7"/>
      <c r="P7834" s="7"/>
      <c r="R7834" s="7"/>
      <c r="T7834" s="7"/>
      <c r="V7834" s="7"/>
      <c r="X7834" s="7"/>
    </row>
    <row r="7835" spans="2:24">
      <c r="B7835" s="7"/>
      <c r="D7835" s="7"/>
      <c r="F7835" s="7"/>
      <c r="H7835" s="7"/>
      <c r="J7835" s="7"/>
      <c r="L7835" s="7"/>
      <c r="N7835" s="7"/>
      <c r="P7835" s="7"/>
      <c r="R7835" s="7"/>
      <c r="T7835" s="7"/>
      <c r="V7835" s="7"/>
      <c r="X7835" s="7"/>
    </row>
    <row r="7836" spans="2:24">
      <c r="B7836" s="7"/>
      <c r="D7836" s="7"/>
      <c r="F7836" s="7"/>
      <c r="H7836" s="7"/>
      <c r="J7836" s="7"/>
      <c r="L7836" s="7"/>
      <c r="N7836" s="7"/>
      <c r="P7836" s="7"/>
      <c r="R7836" s="7"/>
      <c r="T7836" s="7"/>
      <c r="V7836" s="7"/>
      <c r="X7836" s="7"/>
    </row>
    <row r="7837" spans="2:24">
      <c r="B7837" s="7"/>
      <c r="D7837" s="7"/>
      <c r="F7837" s="7"/>
      <c r="H7837" s="7"/>
      <c r="J7837" s="7"/>
      <c r="L7837" s="7"/>
      <c r="N7837" s="7"/>
      <c r="P7837" s="7"/>
      <c r="R7837" s="7"/>
      <c r="T7837" s="7"/>
      <c r="V7837" s="7"/>
      <c r="X7837" s="7"/>
    </row>
    <row r="7838" spans="2:24">
      <c r="B7838" s="7"/>
      <c r="D7838" s="7"/>
      <c r="F7838" s="7"/>
      <c r="H7838" s="7"/>
      <c r="J7838" s="7"/>
      <c r="L7838" s="7"/>
      <c r="N7838" s="7"/>
      <c r="P7838" s="7"/>
      <c r="R7838" s="7"/>
      <c r="T7838" s="7"/>
      <c r="V7838" s="7"/>
      <c r="X7838" s="7"/>
    </row>
    <row r="7839" spans="2:24">
      <c r="B7839" s="7"/>
      <c r="D7839" s="7"/>
      <c r="F7839" s="7"/>
      <c r="H7839" s="7"/>
      <c r="J7839" s="7"/>
      <c r="L7839" s="7"/>
      <c r="N7839" s="7"/>
      <c r="P7839" s="7"/>
      <c r="R7839" s="7"/>
      <c r="T7839" s="7"/>
      <c r="V7839" s="7"/>
      <c r="X7839" s="7"/>
    </row>
    <row r="7840" spans="2:24">
      <c r="B7840" s="7"/>
      <c r="D7840" s="7"/>
      <c r="F7840" s="7"/>
      <c r="H7840" s="7"/>
      <c r="J7840" s="7"/>
      <c r="L7840" s="7"/>
      <c r="N7840" s="7"/>
      <c r="P7840" s="7"/>
      <c r="R7840" s="7"/>
      <c r="T7840" s="7"/>
      <c r="V7840" s="7"/>
      <c r="X7840" s="7"/>
    </row>
    <row r="7841" spans="2:24">
      <c r="B7841" s="7"/>
      <c r="D7841" s="7"/>
      <c r="F7841" s="7"/>
      <c r="H7841" s="7"/>
      <c r="J7841" s="7"/>
      <c r="L7841" s="7"/>
      <c r="N7841" s="7"/>
      <c r="P7841" s="7"/>
      <c r="R7841" s="7"/>
      <c r="T7841" s="7"/>
      <c r="V7841" s="7"/>
      <c r="X7841" s="7"/>
    </row>
    <row r="7842" spans="2:24">
      <c r="B7842" s="7"/>
      <c r="D7842" s="7"/>
      <c r="F7842" s="7"/>
      <c r="H7842" s="7"/>
      <c r="J7842" s="7"/>
      <c r="L7842" s="7"/>
      <c r="N7842" s="7"/>
      <c r="P7842" s="7"/>
      <c r="R7842" s="7"/>
      <c r="T7842" s="7"/>
      <c r="V7842" s="7"/>
      <c r="X7842" s="7"/>
    </row>
    <row r="7843" spans="2:24">
      <c r="B7843" s="7"/>
      <c r="D7843" s="7"/>
      <c r="F7843" s="7"/>
      <c r="H7843" s="7"/>
      <c r="J7843" s="7"/>
      <c r="L7843" s="7"/>
      <c r="N7843" s="7"/>
      <c r="P7843" s="7"/>
      <c r="R7843" s="7"/>
      <c r="T7843" s="7"/>
      <c r="V7843" s="7"/>
      <c r="X7843" s="7"/>
    </row>
    <row r="7844" spans="2:24">
      <c r="B7844" s="7"/>
      <c r="D7844" s="7"/>
      <c r="F7844" s="7"/>
      <c r="H7844" s="7"/>
      <c r="J7844" s="7"/>
      <c r="L7844" s="7"/>
      <c r="N7844" s="7"/>
      <c r="P7844" s="7"/>
      <c r="R7844" s="7"/>
      <c r="T7844" s="7"/>
      <c r="V7844" s="7"/>
      <c r="X7844" s="7"/>
    </row>
    <row r="7845" spans="2:24">
      <c r="B7845" s="7"/>
      <c r="D7845" s="7"/>
      <c r="F7845" s="7"/>
      <c r="H7845" s="7"/>
      <c r="J7845" s="7"/>
      <c r="L7845" s="7"/>
      <c r="N7845" s="7"/>
      <c r="P7845" s="7"/>
      <c r="R7845" s="7"/>
      <c r="T7845" s="7"/>
      <c r="V7845" s="7"/>
      <c r="X7845" s="7"/>
    </row>
    <row r="7846" spans="2:24">
      <c r="B7846" s="7"/>
      <c r="D7846" s="7"/>
      <c r="F7846" s="7"/>
      <c r="H7846" s="7"/>
      <c r="J7846" s="7"/>
      <c r="L7846" s="7"/>
      <c r="N7846" s="7"/>
      <c r="P7846" s="7"/>
      <c r="R7846" s="7"/>
      <c r="T7846" s="7"/>
      <c r="V7846" s="7"/>
      <c r="X7846" s="7"/>
    </row>
    <row r="7847" spans="2:24">
      <c r="B7847" s="7"/>
      <c r="D7847" s="7"/>
      <c r="F7847" s="7"/>
      <c r="H7847" s="7"/>
      <c r="J7847" s="7"/>
      <c r="L7847" s="7"/>
      <c r="N7847" s="7"/>
      <c r="P7847" s="7"/>
      <c r="R7847" s="7"/>
      <c r="T7847" s="7"/>
      <c r="V7847" s="7"/>
      <c r="X7847" s="7"/>
    </row>
    <row r="7848" spans="2:24">
      <c r="B7848" s="7"/>
      <c r="D7848" s="7"/>
      <c r="F7848" s="7"/>
      <c r="H7848" s="7"/>
      <c r="J7848" s="7"/>
      <c r="L7848" s="7"/>
      <c r="N7848" s="7"/>
      <c r="P7848" s="7"/>
      <c r="R7848" s="7"/>
      <c r="T7848" s="7"/>
      <c r="V7848" s="7"/>
      <c r="X7848" s="7"/>
    </row>
    <row r="7849" spans="2:24">
      <c r="B7849" s="7"/>
      <c r="D7849" s="7"/>
      <c r="F7849" s="7"/>
      <c r="H7849" s="7"/>
      <c r="J7849" s="7"/>
      <c r="L7849" s="7"/>
      <c r="N7849" s="7"/>
      <c r="P7849" s="7"/>
      <c r="R7849" s="7"/>
      <c r="T7849" s="7"/>
      <c r="V7849" s="7"/>
      <c r="X7849" s="7"/>
    </row>
    <row r="7850" spans="2:24">
      <c r="B7850" s="7"/>
      <c r="D7850" s="7"/>
      <c r="F7850" s="7"/>
      <c r="H7850" s="7"/>
      <c r="J7850" s="7"/>
      <c r="L7850" s="7"/>
      <c r="N7850" s="7"/>
      <c r="P7850" s="7"/>
      <c r="R7850" s="7"/>
      <c r="T7850" s="7"/>
      <c r="V7850" s="7"/>
      <c r="X7850" s="7"/>
    </row>
    <row r="7851" spans="2:24">
      <c r="B7851" s="7"/>
      <c r="D7851" s="7"/>
      <c r="F7851" s="7"/>
      <c r="H7851" s="7"/>
      <c r="J7851" s="7"/>
      <c r="L7851" s="7"/>
      <c r="N7851" s="7"/>
      <c r="P7851" s="7"/>
      <c r="R7851" s="7"/>
      <c r="T7851" s="7"/>
      <c r="V7851" s="7"/>
      <c r="X7851" s="7"/>
    </row>
    <row r="7852" spans="2:24">
      <c r="B7852" s="7"/>
      <c r="D7852" s="7"/>
      <c r="F7852" s="7"/>
      <c r="H7852" s="7"/>
      <c r="J7852" s="7"/>
      <c r="L7852" s="7"/>
      <c r="N7852" s="7"/>
      <c r="P7852" s="7"/>
      <c r="R7852" s="7"/>
      <c r="T7852" s="7"/>
      <c r="V7852" s="7"/>
      <c r="X7852" s="7"/>
    </row>
    <row r="7853" spans="2:24">
      <c r="B7853" s="7"/>
      <c r="D7853" s="7"/>
      <c r="F7853" s="7"/>
      <c r="H7853" s="7"/>
      <c r="J7853" s="7"/>
      <c r="L7853" s="7"/>
      <c r="N7853" s="7"/>
      <c r="P7853" s="7"/>
      <c r="R7853" s="7"/>
      <c r="T7853" s="7"/>
      <c r="V7853" s="7"/>
      <c r="X7853" s="7"/>
    </row>
    <row r="7854" spans="2:24">
      <c r="B7854" s="7"/>
      <c r="D7854" s="7"/>
      <c r="F7854" s="7"/>
      <c r="H7854" s="7"/>
      <c r="J7854" s="7"/>
      <c r="L7854" s="7"/>
      <c r="N7854" s="7"/>
      <c r="P7854" s="7"/>
      <c r="R7854" s="7"/>
      <c r="T7854" s="7"/>
      <c r="V7854" s="7"/>
      <c r="X7854" s="7"/>
    </row>
    <row r="7855" spans="2:24">
      <c r="B7855" s="7"/>
      <c r="D7855" s="7"/>
      <c r="F7855" s="7"/>
      <c r="H7855" s="7"/>
      <c r="J7855" s="7"/>
      <c r="L7855" s="7"/>
      <c r="N7855" s="7"/>
      <c r="P7855" s="7"/>
      <c r="R7855" s="7"/>
      <c r="T7855" s="7"/>
      <c r="V7855" s="7"/>
      <c r="X7855" s="7"/>
    </row>
    <row r="7856" spans="2:24">
      <c r="B7856" s="7"/>
      <c r="D7856" s="7"/>
      <c r="F7856" s="7"/>
      <c r="H7856" s="7"/>
      <c r="J7856" s="7"/>
      <c r="L7856" s="7"/>
      <c r="N7856" s="7"/>
      <c r="P7856" s="7"/>
      <c r="R7856" s="7"/>
      <c r="T7856" s="7"/>
      <c r="V7856" s="7"/>
      <c r="X7856" s="7"/>
    </row>
    <row r="7857" spans="2:24">
      <c r="B7857" s="7"/>
      <c r="D7857" s="7"/>
      <c r="F7857" s="7"/>
      <c r="H7857" s="7"/>
      <c r="J7857" s="7"/>
      <c r="L7857" s="7"/>
      <c r="N7857" s="7"/>
      <c r="P7857" s="7"/>
      <c r="R7857" s="7"/>
      <c r="T7857" s="7"/>
      <c r="V7857" s="7"/>
      <c r="X7857" s="7"/>
    </row>
    <row r="7858" spans="2:24">
      <c r="B7858" s="7"/>
      <c r="D7858" s="7"/>
      <c r="F7858" s="7"/>
      <c r="H7858" s="7"/>
      <c r="J7858" s="7"/>
      <c r="L7858" s="7"/>
      <c r="N7858" s="7"/>
      <c r="P7858" s="7"/>
      <c r="R7858" s="7"/>
      <c r="T7858" s="7"/>
      <c r="V7858" s="7"/>
      <c r="X7858" s="7"/>
    </row>
    <row r="7859" spans="2:24">
      <c r="B7859" s="7"/>
      <c r="D7859" s="7"/>
      <c r="F7859" s="7"/>
      <c r="H7859" s="7"/>
      <c r="J7859" s="7"/>
      <c r="L7859" s="7"/>
      <c r="N7859" s="7"/>
      <c r="P7859" s="7"/>
      <c r="R7859" s="7"/>
      <c r="T7859" s="7"/>
      <c r="V7859" s="7"/>
      <c r="X7859" s="7"/>
    </row>
    <row r="7860" spans="2:24">
      <c r="B7860" s="7"/>
      <c r="D7860" s="7"/>
      <c r="F7860" s="7"/>
      <c r="H7860" s="7"/>
      <c r="J7860" s="7"/>
      <c r="L7860" s="7"/>
      <c r="N7860" s="7"/>
      <c r="P7860" s="7"/>
      <c r="R7860" s="7"/>
      <c r="T7860" s="7"/>
      <c r="V7860" s="7"/>
      <c r="X7860" s="7"/>
    </row>
    <row r="7861" spans="2:24">
      <c r="B7861" s="7"/>
      <c r="D7861" s="7"/>
      <c r="F7861" s="7"/>
      <c r="H7861" s="7"/>
      <c r="J7861" s="7"/>
      <c r="L7861" s="7"/>
      <c r="N7861" s="7"/>
      <c r="P7861" s="7"/>
      <c r="R7861" s="7"/>
      <c r="T7861" s="7"/>
      <c r="V7861" s="7"/>
      <c r="X7861" s="7"/>
    </row>
    <row r="7862" spans="2:24">
      <c r="B7862" s="7"/>
      <c r="D7862" s="7"/>
      <c r="F7862" s="7"/>
      <c r="H7862" s="7"/>
      <c r="J7862" s="7"/>
      <c r="L7862" s="7"/>
      <c r="N7862" s="7"/>
      <c r="P7862" s="7"/>
      <c r="R7862" s="7"/>
      <c r="T7862" s="7"/>
      <c r="V7862" s="7"/>
      <c r="X7862" s="7"/>
    </row>
    <row r="7863" spans="2:24">
      <c r="B7863" s="7"/>
      <c r="D7863" s="7"/>
      <c r="F7863" s="7"/>
      <c r="H7863" s="7"/>
      <c r="J7863" s="7"/>
      <c r="L7863" s="7"/>
      <c r="N7863" s="7"/>
      <c r="P7863" s="7"/>
      <c r="R7863" s="7"/>
      <c r="T7863" s="7"/>
      <c r="V7863" s="7"/>
      <c r="X7863" s="7"/>
    </row>
    <row r="7864" spans="2:24">
      <c r="B7864" s="7"/>
      <c r="D7864" s="7"/>
      <c r="F7864" s="7"/>
      <c r="H7864" s="7"/>
      <c r="J7864" s="7"/>
      <c r="L7864" s="7"/>
      <c r="N7864" s="7"/>
      <c r="P7864" s="7"/>
      <c r="R7864" s="7"/>
      <c r="T7864" s="7"/>
      <c r="V7864" s="7"/>
      <c r="X7864" s="7"/>
    </row>
    <row r="7865" spans="2:24">
      <c r="B7865" s="7"/>
      <c r="D7865" s="7"/>
      <c r="F7865" s="7"/>
      <c r="H7865" s="7"/>
      <c r="J7865" s="7"/>
      <c r="L7865" s="7"/>
      <c r="N7865" s="7"/>
      <c r="P7865" s="7"/>
      <c r="R7865" s="7"/>
      <c r="T7865" s="7"/>
      <c r="V7865" s="7"/>
      <c r="X7865" s="7"/>
    </row>
    <row r="7866" spans="2:24">
      <c r="B7866" s="7"/>
      <c r="D7866" s="7"/>
      <c r="F7866" s="7"/>
      <c r="H7866" s="7"/>
      <c r="J7866" s="7"/>
      <c r="L7866" s="7"/>
      <c r="N7866" s="7"/>
      <c r="P7866" s="7"/>
      <c r="R7866" s="7"/>
      <c r="T7866" s="7"/>
      <c r="V7866" s="7"/>
      <c r="X7866" s="7"/>
    </row>
    <row r="7867" spans="2:24">
      <c r="B7867" s="7"/>
      <c r="D7867" s="7"/>
      <c r="F7867" s="7"/>
      <c r="H7867" s="7"/>
      <c r="J7867" s="7"/>
      <c r="L7867" s="7"/>
      <c r="N7867" s="7"/>
      <c r="P7867" s="7"/>
      <c r="R7867" s="7"/>
      <c r="T7867" s="7"/>
      <c r="V7867" s="7"/>
      <c r="X7867" s="7"/>
    </row>
    <row r="7868" spans="2:24">
      <c r="B7868" s="7"/>
      <c r="D7868" s="7"/>
      <c r="F7868" s="7"/>
      <c r="H7868" s="7"/>
      <c r="J7868" s="7"/>
      <c r="L7868" s="7"/>
      <c r="N7868" s="7"/>
      <c r="P7868" s="7"/>
      <c r="R7868" s="7"/>
      <c r="T7868" s="7"/>
      <c r="V7868" s="7"/>
      <c r="X7868" s="7"/>
    </row>
    <row r="7869" spans="2:24">
      <c r="B7869" s="7"/>
      <c r="D7869" s="7"/>
      <c r="F7869" s="7"/>
      <c r="H7869" s="7"/>
      <c r="J7869" s="7"/>
      <c r="L7869" s="7"/>
      <c r="N7869" s="7"/>
      <c r="P7869" s="7"/>
      <c r="R7869" s="7"/>
      <c r="T7869" s="7"/>
      <c r="V7869" s="7"/>
      <c r="X7869" s="7"/>
    </row>
    <row r="7870" spans="2:24">
      <c r="B7870" s="7"/>
      <c r="D7870" s="7"/>
      <c r="F7870" s="7"/>
      <c r="H7870" s="7"/>
      <c r="J7870" s="7"/>
      <c r="L7870" s="7"/>
      <c r="N7870" s="7"/>
      <c r="P7870" s="7"/>
      <c r="R7870" s="7"/>
      <c r="T7870" s="7"/>
      <c r="V7870" s="7"/>
      <c r="X7870" s="7"/>
    </row>
    <row r="7871" spans="2:24">
      <c r="B7871" s="7"/>
      <c r="D7871" s="7"/>
      <c r="F7871" s="7"/>
      <c r="H7871" s="7"/>
      <c r="J7871" s="7"/>
      <c r="L7871" s="7"/>
      <c r="N7871" s="7"/>
      <c r="P7871" s="7"/>
      <c r="R7871" s="7"/>
      <c r="T7871" s="7"/>
      <c r="V7871" s="7"/>
      <c r="X7871" s="7"/>
    </row>
    <row r="7872" spans="2:24">
      <c r="B7872" s="7"/>
      <c r="D7872" s="7"/>
      <c r="F7872" s="7"/>
      <c r="H7872" s="7"/>
      <c r="J7872" s="7"/>
      <c r="L7872" s="7"/>
      <c r="N7872" s="7"/>
      <c r="P7872" s="7"/>
      <c r="R7872" s="7"/>
      <c r="T7872" s="7"/>
      <c r="V7872" s="7"/>
      <c r="X7872" s="7"/>
    </row>
    <row r="7873" spans="2:24">
      <c r="B7873" s="7"/>
      <c r="D7873" s="7"/>
      <c r="F7873" s="7"/>
      <c r="H7873" s="7"/>
      <c r="J7873" s="7"/>
      <c r="L7873" s="7"/>
      <c r="N7873" s="7"/>
      <c r="P7873" s="7"/>
      <c r="R7873" s="7"/>
      <c r="T7873" s="7"/>
      <c r="V7873" s="7"/>
      <c r="X7873" s="7"/>
    </row>
    <row r="7874" spans="2:24">
      <c r="B7874" s="7"/>
      <c r="D7874" s="7"/>
      <c r="F7874" s="7"/>
      <c r="H7874" s="7"/>
      <c r="J7874" s="7"/>
      <c r="L7874" s="7"/>
      <c r="N7874" s="7"/>
      <c r="P7874" s="7"/>
      <c r="R7874" s="7"/>
      <c r="T7874" s="7"/>
      <c r="V7874" s="7"/>
      <c r="X7874" s="7"/>
    </row>
    <row r="7875" spans="2:24">
      <c r="B7875" s="7"/>
      <c r="D7875" s="7"/>
      <c r="F7875" s="7"/>
      <c r="H7875" s="7"/>
      <c r="J7875" s="7"/>
      <c r="L7875" s="7"/>
      <c r="N7875" s="7"/>
      <c r="P7875" s="7"/>
      <c r="R7875" s="7"/>
      <c r="T7875" s="7"/>
      <c r="V7875" s="7"/>
      <c r="X7875" s="7"/>
    </row>
    <row r="7876" spans="2:24">
      <c r="B7876" s="7"/>
      <c r="D7876" s="7"/>
      <c r="F7876" s="7"/>
      <c r="H7876" s="7"/>
      <c r="J7876" s="7"/>
      <c r="L7876" s="7"/>
      <c r="N7876" s="7"/>
      <c r="P7876" s="7"/>
      <c r="R7876" s="7"/>
      <c r="T7876" s="7"/>
      <c r="V7876" s="7"/>
      <c r="X7876" s="7"/>
    </row>
    <row r="7877" spans="2:24">
      <c r="B7877" s="7"/>
      <c r="D7877" s="7"/>
      <c r="F7877" s="7"/>
      <c r="H7877" s="7"/>
      <c r="J7877" s="7"/>
      <c r="L7877" s="7"/>
      <c r="N7877" s="7"/>
      <c r="P7877" s="7"/>
      <c r="R7877" s="7"/>
      <c r="T7877" s="7"/>
      <c r="V7877" s="7"/>
      <c r="X7877" s="7"/>
    </row>
    <row r="7878" spans="2:24">
      <c r="B7878" s="7"/>
      <c r="D7878" s="7"/>
      <c r="F7878" s="7"/>
      <c r="H7878" s="7"/>
      <c r="J7878" s="7"/>
      <c r="L7878" s="7"/>
      <c r="N7878" s="7"/>
      <c r="P7878" s="7"/>
      <c r="R7878" s="7"/>
      <c r="T7878" s="7"/>
      <c r="V7878" s="7"/>
      <c r="X7878" s="7"/>
    </row>
    <row r="7879" spans="2:24">
      <c r="B7879" s="7"/>
      <c r="D7879" s="7"/>
      <c r="F7879" s="7"/>
      <c r="H7879" s="7"/>
      <c r="J7879" s="7"/>
      <c r="L7879" s="7"/>
      <c r="N7879" s="7"/>
      <c r="P7879" s="7"/>
      <c r="R7879" s="7"/>
      <c r="T7879" s="7"/>
      <c r="V7879" s="7"/>
      <c r="X7879" s="7"/>
    </row>
    <row r="7880" spans="2:24">
      <c r="B7880" s="7"/>
      <c r="D7880" s="7"/>
      <c r="F7880" s="7"/>
      <c r="H7880" s="7"/>
      <c r="J7880" s="7"/>
      <c r="L7880" s="7"/>
      <c r="N7880" s="7"/>
      <c r="P7880" s="7"/>
      <c r="R7880" s="7"/>
      <c r="T7880" s="7"/>
      <c r="V7880" s="7"/>
      <c r="X7880" s="7"/>
    </row>
    <row r="7881" spans="2:24">
      <c r="B7881" s="7"/>
      <c r="D7881" s="7"/>
      <c r="F7881" s="7"/>
      <c r="H7881" s="7"/>
      <c r="J7881" s="7"/>
      <c r="L7881" s="7"/>
      <c r="N7881" s="7"/>
      <c r="P7881" s="7"/>
      <c r="R7881" s="7"/>
      <c r="T7881" s="7"/>
      <c r="V7881" s="7"/>
      <c r="X7881" s="7"/>
    </row>
    <row r="7882" spans="2:24">
      <c r="B7882" s="7"/>
      <c r="D7882" s="7"/>
      <c r="F7882" s="7"/>
      <c r="H7882" s="7"/>
      <c r="J7882" s="7"/>
      <c r="L7882" s="7"/>
      <c r="N7882" s="7"/>
      <c r="P7882" s="7"/>
      <c r="R7882" s="7"/>
      <c r="T7882" s="7"/>
      <c r="V7882" s="7"/>
      <c r="X7882" s="7"/>
    </row>
    <row r="7883" spans="2:24">
      <c r="B7883" s="7"/>
      <c r="D7883" s="7"/>
      <c r="F7883" s="7"/>
      <c r="H7883" s="7"/>
      <c r="J7883" s="7"/>
      <c r="L7883" s="7"/>
      <c r="N7883" s="7"/>
      <c r="P7883" s="7"/>
      <c r="R7883" s="7"/>
      <c r="T7883" s="7"/>
      <c r="V7883" s="7"/>
      <c r="X7883" s="7"/>
    </row>
    <row r="7884" spans="2:24">
      <c r="B7884" s="7"/>
      <c r="D7884" s="7"/>
      <c r="F7884" s="7"/>
      <c r="H7884" s="7"/>
      <c r="J7884" s="7"/>
      <c r="L7884" s="7"/>
      <c r="N7884" s="7"/>
      <c r="P7884" s="7"/>
      <c r="R7884" s="7"/>
      <c r="T7884" s="7"/>
      <c r="V7884" s="7"/>
      <c r="X7884" s="7"/>
    </row>
    <row r="7885" spans="2:24">
      <c r="B7885" s="7"/>
      <c r="D7885" s="7"/>
      <c r="F7885" s="7"/>
      <c r="H7885" s="7"/>
      <c r="J7885" s="7"/>
      <c r="L7885" s="7"/>
      <c r="N7885" s="7"/>
      <c r="P7885" s="7"/>
      <c r="R7885" s="7"/>
      <c r="T7885" s="7"/>
      <c r="V7885" s="7"/>
      <c r="X7885" s="7"/>
    </row>
    <row r="7886" spans="2:24">
      <c r="B7886" s="7"/>
      <c r="D7886" s="7"/>
      <c r="F7886" s="7"/>
      <c r="H7886" s="7"/>
      <c r="J7886" s="7"/>
      <c r="L7886" s="7"/>
      <c r="N7886" s="7"/>
      <c r="P7886" s="7"/>
      <c r="R7886" s="7"/>
      <c r="T7886" s="7"/>
      <c r="V7886" s="7"/>
      <c r="X7886" s="7"/>
    </row>
    <row r="7887" spans="2:24">
      <c r="B7887" s="7"/>
      <c r="D7887" s="7"/>
      <c r="F7887" s="7"/>
      <c r="H7887" s="7"/>
      <c r="J7887" s="7"/>
      <c r="L7887" s="7"/>
      <c r="N7887" s="7"/>
      <c r="P7887" s="7"/>
      <c r="R7887" s="7"/>
      <c r="T7887" s="7"/>
      <c r="V7887" s="7"/>
      <c r="X7887" s="7"/>
    </row>
    <row r="7888" spans="2:24">
      <c r="B7888" s="7"/>
      <c r="D7888" s="7"/>
      <c r="F7888" s="7"/>
      <c r="H7888" s="7"/>
      <c r="J7888" s="7"/>
      <c r="L7888" s="7"/>
      <c r="N7888" s="7"/>
      <c r="P7888" s="7"/>
      <c r="R7888" s="7"/>
      <c r="T7888" s="7"/>
      <c r="V7888" s="7"/>
      <c r="X7888" s="7"/>
    </row>
    <row r="7889" spans="2:24">
      <c r="B7889" s="7"/>
      <c r="D7889" s="7"/>
      <c r="F7889" s="7"/>
      <c r="H7889" s="7"/>
      <c r="J7889" s="7"/>
      <c r="L7889" s="7"/>
      <c r="N7889" s="7"/>
      <c r="P7889" s="7"/>
      <c r="R7889" s="7"/>
      <c r="T7889" s="7"/>
      <c r="V7889" s="7"/>
      <c r="X7889" s="7"/>
    </row>
    <row r="7890" spans="2:24">
      <c r="B7890" s="7"/>
      <c r="D7890" s="7"/>
      <c r="F7890" s="7"/>
      <c r="H7890" s="7"/>
      <c r="J7890" s="7"/>
      <c r="L7890" s="7"/>
      <c r="N7890" s="7"/>
      <c r="P7890" s="7"/>
      <c r="R7890" s="7"/>
      <c r="T7890" s="7"/>
      <c r="V7890" s="7"/>
      <c r="X7890" s="7"/>
    </row>
    <row r="7891" spans="2:24">
      <c r="B7891" s="7"/>
      <c r="D7891" s="7"/>
      <c r="F7891" s="7"/>
      <c r="H7891" s="7"/>
      <c r="J7891" s="7"/>
      <c r="L7891" s="7"/>
      <c r="N7891" s="7"/>
      <c r="P7891" s="7"/>
      <c r="R7891" s="7"/>
      <c r="T7891" s="7"/>
      <c r="V7891" s="7"/>
      <c r="X7891" s="7"/>
    </row>
    <row r="7892" spans="2:24">
      <c r="B7892" s="7"/>
      <c r="D7892" s="7"/>
      <c r="F7892" s="7"/>
      <c r="H7892" s="7"/>
      <c r="J7892" s="7"/>
      <c r="L7892" s="7"/>
      <c r="N7892" s="7"/>
      <c r="P7892" s="7"/>
      <c r="R7892" s="7"/>
      <c r="T7892" s="7"/>
      <c r="V7892" s="7"/>
      <c r="X7892" s="7"/>
    </row>
    <row r="7893" spans="2:24">
      <c r="B7893" s="7"/>
      <c r="D7893" s="7"/>
      <c r="F7893" s="7"/>
      <c r="H7893" s="7"/>
      <c r="J7893" s="7"/>
      <c r="L7893" s="7"/>
      <c r="N7893" s="7"/>
      <c r="P7893" s="7"/>
      <c r="R7893" s="7"/>
      <c r="T7893" s="7"/>
      <c r="V7893" s="7"/>
      <c r="X7893" s="7"/>
    </row>
    <row r="7894" spans="2:24">
      <c r="B7894" s="7"/>
      <c r="D7894" s="7"/>
      <c r="F7894" s="7"/>
      <c r="H7894" s="7"/>
      <c r="J7894" s="7"/>
      <c r="L7894" s="7"/>
      <c r="N7894" s="7"/>
      <c r="P7894" s="7"/>
      <c r="R7894" s="7"/>
      <c r="T7894" s="7"/>
      <c r="V7894" s="7"/>
      <c r="X7894" s="7"/>
    </row>
    <row r="7895" spans="2:24">
      <c r="B7895" s="7"/>
      <c r="D7895" s="7"/>
      <c r="F7895" s="7"/>
      <c r="H7895" s="7"/>
      <c r="J7895" s="7"/>
      <c r="L7895" s="7"/>
      <c r="N7895" s="7"/>
      <c r="P7895" s="7"/>
      <c r="R7895" s="7"/>
      <c r="T7895" s="7"/>
      <c r="V7895" s="7"/>
      <c r="X7895" s="7"/>
    </row>
    <row r="7896" spans="2:24">
      <c r="B7896" s="7"/>
      <c r="D7896" s="7"/>
      <c r="F7896" s="7"/>
      <c r="H7896" s="7"/>
      <c r="J7896" s="7"/>
      <c r="L7896" s="7"/>
      <c r="N7896" s="7"/>
      <c r="P7896" s="7"/>
      <c r="R7896" s="7"/>
      <c r="T7896" s="7"/>
      <c r="V7896" s="7"/>
      <c r="X7896" s="7"/>
    </row>
    <row r="7897" spans="2:24">
      <c r="B7897" s="7"/>
      <c r="D7897" s="7"/>
      <c r="F7897" s="7"/>
      <c r="H7897" s="7"/>
      <c r="J7897" s="7"/>
      <c r="L7897" s="7"/>
      <c r="N7897" s="7"/>
      <c r="P7897" s="7"/>
      <c r="R7897" s="7"/>
      <c r="T7897" s="7"/>
      <c r="V7897" s="7"/>
      <c r="X7897" s="7"/>
    </row>
    <row r="7898" spans="2:24">
      <c r="B7898" s="7"/>
      <c r="D7898" s="7"/>
      <c r="F7898" s="7"/>
      <c r="H7898" s="7"/>
      <c r="J7898" s="7"/>
      <c r="L7898" s="7"/>
      <c r="N7898" s="7"/>
      <c r="P7898" s="7"/>
      <c r="R7898" s="7"/>
      <c r="T7898" s="7"/>
      <c r="V7898" s="7"/>
      <c r="X7898" s="7"/>
    </row>
    <row r="7899" spans="2:24">
      <c r="B7899" s="7"/>
      <c r="D7899" s="7"/>
      <c r="F7899" s="7"/>
      <c r="H7899" s="7"/>
      <c r="J7899" s="7"/>
      <c r="L7899" s="7"/>
      <c r="N7899" s="7"/>
      <c r="P7899" s="7"/>
      <c r="R7899" s="7"/>
      <c r="T7899" s="7"/>
      <c r="V7899" s="7"/>
      <c r="X7899" s="7"/>
    </row>
    <row r="7900" spans="2:24">
      <c r="B7900" s="7"/>
      <c r="D7900" s="7"/>
      <c r="F7900" s="7"/>
      <c r="H7900" s="7"/>
      <c r="J7900" s="7"/>
      <c r="L7900" s="7"/>
      <c r="N7900" s="7"/>
      <c r="P7900" s="7"/>
      <c r="R7900" s="7"/>
      <c r="T7900" s="7"/>
      <c r="V7900" s="7"/>
      <c r="X7900" s="7"/>
    </row>
    <row r="7901" spans="2:24">
      <c r="B7901" s="7"/>
      <c r="D7901" s="7"/>
      <c r="F7901" s="7"/>
      <c r="H7901" s="7"/>
      <c r="J7901" s="7"/>
      <c r="L7901" s="7"/>
      <c r="N7901" s="7"/>
      <c r="P7901" s="7"/>
      <c r="R7901" s="7"/>
      <c r="T7901" s="7"/>
      <c r="V7901" s="7"/>
      <c r="X7901" s="7"/>
    </row>
    <row r="7902" spans="2:24">
      <c r="B7902" s="7"/>
      <c r="D7902" s="7"/>
      <c r="F7902" s="7"/>
      <c r="H7902" s="7"/>
      <c r="J7902" s="7"/>
      <c r="L7902" s="7"/>
      <c r="N7902" s="7"/>
      <c r="P7902" s="7"/>
      <c r="R7902" s="7"/>
      <c r="T7902" s="7"/>
      <c r="V7902" s="7"/>
      <c r="X7902" s="7"/>
    </row>
    <row r="7903" spans="2:24">
      <c r="B7903" s="7"/>
      <c r="D7903" s="7"/>
      <c r="F7903" s="7"/>
      <c r="H7903" s="7"/>
      <c r="J7903" s="7"/>
      <c r="L7903" s="7"/>
      <c r="N7903" s="7"/>
      <c r="P7903" s="7"/>
      <c r="R7903" s="7"/>
      <c r="T7903" s="7"/>
      <c r="V7903" s="7"/>
      <c r="X7903" s="7"/>
    </row>
    <row r="7904" spans="2:24">
      <c r="B7904" s="7"/>
      <c r="D7904" s="7"/>
      <c r="F7904" s="7"/>
      <c r="H7904" s="7"/>
      <c r="J7904" s="7"/>
      <c r="L7904" s="7"/>
      <c r="N7904" s="7"/>
      <c r="P7904" s="7"/>
      <c r="R7904" s="7"/>
      <c r="T7904" s="7"/>
      <c r="V7904" s="7"/>
      <c r="X7904" s="7"/>
    </row>
    <row r="7905" spans="2:24">
      <c r="B7905" s="7"/>
      <c r="D7905" s="7"/>
      <c r="F7905" s="7"/>
      <c r="H7905" s="7"/>
      <c r="J7905" s="7"/>
      <c r="L7905" s="7"/>
      <c r="N7905" s="7"/>
      <c r="P7905" s="7"/>
      <c r="R7905" s="7"/>
      <c r="T7905" s="7"/>
      <c r="V7905" s="7"/>
      <c r="X7905" s="7"/>
    </row>
    <row r="7906" spans="2:24">
      <c r="B7906" s="7"/>
      <c r="D7906" s="7"/>
      <c r="F7906" s="7"/>
      <c r="H7906" s="7"/>
      <c r="J7906" s="7"/>
      <c r="L7906" s="7"/>
      <c r="N7906" s="7"/>
      <c r="P7906" s="7"/>
      <c r="R7906" s="7"/>
      <c r="T7906" s="7"/>
      <c r="V7906" s="7"/>
      <c r="X7906" s="7"/>
    </row>
    <row r="7907" spans="2:24">
      <c r="B7907" s="7"/>
      <c r="D7907" s="7"/>
      <c r="F7907" s="7"/>
      <c r="H7907" s="7"/>
      <c r="J7907" s="7"/>
      <c r="L7907" s="7"/>
      <c r="N7907" s="7"/>
      <c r="P7907" s="7"/>
      <c r="R7907" s="7"/>
      <c r="T7907" s="7"/>
      <c r="V7907" s="7"/>
      <c r="X7907" s="7"/>
    </row>
    <row r="7908" spans="2:24">
      <c r="B7908" s="7"/>
      <c r="D7908" s="7"/>
      <c r="F7908" s="7"/>
      <c r="H7908" s="7"/>
      <c r="J7908" s="7"/>
      <c r="L7908" s="7"/>
      <c r="N7908" s="7"/>
      <c r="P7908" s="7"/>
      <c r="R7908" s="7"/>
      <c r="T7908" s="7"/>
      <c r="V7908" s="7"/>
      <c r="X7908" s="7"/>
    </row>
    <row r="7909" spans="2:24">
      <c r="B7909" s="7"/>
      <c r="D7909" s="7"/>
      <c r="F7909" s="7"/>
      <c r="H7909" s="7"/>
      <c r="J7909" s="7"/>
      <c r="L7909" s="7"/>
      <c r="N7909" s="7"/>
      <c r="P7909" s="7"/>
      <c r="R7909" s="7"/>
      <c r="T7909" s="7"/>
      <c r="V7909" s="7"/>
      <c r="X7909" s="7"/>
    </row>
    <row r="7910" spans="2:24">
      <c r="B7910" s="7"/>
      <c r="D7910" s="7"/>
      <c r="F7910" s="7"/>
      <c r="H7910" s="7"/>
      <c r="J7910" s="7"/>
      <c r="L7910" s="7"/>
      <c r="N7910" s="7"/>
      <c r="P7910" s="7"/>
      <c r="R7910" s="7"/>
      <c r="T7910" s="7"/>
      <c r="V7910" s="7"/>
      <c r="X7910" s="7"/>
    </row>
    <row r="7911" spans="2:24">
      <c r="B7911" s="7"/>
      <c r="D7911" s="7"/>
      <c r="F7911" s="7"/>
      <c r="H7911" s="7"/>
      <c r="J7911" s="7"/>
      <c r="L7911" s="7"/>
      <c r="N7911" s="7"/>
      <c r="P7911" s="7"/>
      <c r="R7911" s="7"/>
      <c r="T7911" s="7"/>
      <c r="V7911" s="7"/>
      <c r="X7911" s="7"/>
    </row>
    <row r="7912" spans="2:24">
      <c r="B7912" s="7"/>
      <c r="D7912" s="7"/>
      <c r="F7912" s="7"/>
      <c r="H7912" s="7"/>
      <c r="J7912" s="7"/>
      <c r="L7912" s="7"/>
      <c r="N7912" s="7"/>
      <c r="P7912" s="7"/>
      <c r="R7912" s="7"/>
      <c r="T7912" s="7"/>
      <c r="V7912" s="7"/>
      <c r="X7912" s="7"/>
    </row>
    <row r="7913" spans="2:24">
      <c r="B7913" s="7"/>
      <c r="D7913" s="7"/>
      <c r="F7913" s="7"/>
      <c r="H7913" s="7"/>
      <c r="J7913" s="7"/>
      <c r="L7913" s="7"/>
      <c r="N7913" s="7"/>
      <c r="P7913" s="7"/>
      <c r="R7913" s="7"/>
      <c r="T7913" s="7"/>
      <c r="V7913" s="7"/>
      <c r="X7913" s="7"/>
    </row>
    <row r="7914" spans="2:24">
      <c r="B7914" s="7"/>
      <c r="D7914" s="7"/>
      <c r="F7914" s="7"/>
      <c r="H7914" s="7"/>
      <c r="J7914" s="7"/>
      <c r="L7914" s="7"/>
      <c r="N7914" s="7"/>
      <c r="P7914" s="7"/>
      <c r="R7914" s="7"/>
      <c r="T7914" s="7"/>
      <c r="V7914" s="7"/>
      <c r="X7914" s="7"/>
    </row>
    <row r="7915" spans="2:24">
      <c r="B7915" s="7"/>
      <c r="D7915" s="7"/>
      <c r="F7915" s="7"/>
      <c r="H7915" s="7"/>
      <c r="J7915" s="7"/>
      <c r="L7915" s="7"/>
      <c r="N7915" s="7"/>
      <c r="P7915" s="7"/>
      <c r="R7915" s="7"/>
      <c r="T7915" s="7"/>
      <c r="V7915" s="7"/>
      <c r="X7915" s="7"/>
    </row>
    <row r="7916" spans="2:24">
      <c r="B7916" s="7"/>
      <c r="D7916" s="7"/>
      <c r="F7916" s="7"/>
      <c r="H7916" s="7"/>
      <c r="J7916" s="7"/>
      <c r="L7916" s="7"/>
      <c r="N7916" s="7"/>
      <c r="P7916" s="7"/>
      <c r="R7916" s="7"/>
      <c r="T7916" s="7"/>
      <c r="V7916" s="7"/>
      <c r="X7916" s="7"/>
    </row>
    <row r="7917" spans="2:24">
      <c r="B7917" s="7"/>
      <c r="D7917" s="7"/>
      <c r="F7917" s="7"/>
      <c r="H7917" s="7"/>
      <c r="J7917" s="7"/>
      <c r="L7917" s="7"/>
      <c r="N7917" s="7"/>
      <c r="P7917" s="7"/>
      <c r="R7917" s="7"/>
      <c r="T7917" s="7"/>
      <c r="V7917" s="7"/>
      <c r="X7917" s="7"/>
    </row>
    <row r="7918" spans="2:24">
      <c r="B7918" s="7"/>
      <c r="D7918" s="7"/>
      <c r="F7918" s="7"/>
      <c r="H7918" s="7"/>
      <c r="J7918" s="7"/>
      <c r="L7918" s="7"/>
      <c r="N7918" s="7"/>
      <c r="P7918" s="7"/>
      <c r="R7918" s="7"/>
      <c r="T7918" s="7"/>
      <c r="V7918" s="7"/>
      <c r="X7918" s="7"/>
    </row>
    <row r="7919" spans="2:24">
      <c r="B7919" s="7"/>
      <c r="D7919" s="7"/>
      <c r="F7919" s="7"/>
      <c r="H7919" s="7"/>
      <c r="J7919" s="7"/>
      <c r="L7919" s="7"/>
      <c r="N7919" s="7"/>
      <c r="P7919" s="7"/>
      <c r="R7919" s="7"/>
      <c r="T7919" s="7"/>
      <c r="V7919" s="7"/>
      <c r="X7919" s="7"/>
    </row>
    <row r="7920" spans="2:24">
      <c r="B7920" s="7"/>
      <c r="D7920" s="7"/>
      <c r="F7920" s="7"/>
      <c r="H7920" s="7"/>
      <c r="J7920" s="7"/>
      <c r="L7920" s="7"/>
      <c r="N7920" s="7"/>
      <c r="P7920" s="7"/>
      <c r="R7920" s="7"/>
      <c r="T7920" s="7"/>
      <c r="V7920" s="7"/>
      <c r="X7920" s="7"/>
    </row>
    <row r="7921" spans="2:24">
      <c r="B7921" s="7"/>
      <c r="D7921" s="7"/>
      <c r="F7921" s="7"/>
      <c r="H7921" s="7"/>
      <c r="J7921" s="7"/>
      <c r="L7921" s="7"/>
      <c r="N7921" s="7"/>
      <c r="P7921" s="7"/>
      <c r="R7921" s="7"/>
      <c r="T7921" s="7"/>
      <c r="V7921" s="7"/>
      <c r="X7921" s="7"/>
    </row>
    <row r="7922" spans="2:24">
      <c r="B7922" s="7"/>
      <c r="D7922" s="7"/>
      <c r="F7922" s="7"/>
      <c r="H7922" s="7"/>
      <c r="J7922" s="7"/>
      <c r="L7922" s="7"/>
      <c r="N7922" s="7"/>
      <c r="P7922" s="7"/>
      <c r="R7922" s="7"/>
      <c r="T7922" s="7"/>
      <c r="V7922" s="7"/>
      <c r="X7922" s="7"/>
    </row>
    <row r="7923" spans="2:24">
      <c r="B7923" s="7"/>
      <c r="D7923" s="7"/>
      <c r="F7923" s="7"/>
      <c r="H7923" s="7"/>
      <c r="J7923" s="7"/>
      <c r="L7923" s="7"/>
      <c r="N7923" s="7"/>
      <c r="P7923" s="7"/>
      <c r="R7923" s="7"/>
      <c r="T7923" s="7"/>
      <c r="V7923" s="7"/>
      <c r="X7923" s="7"/>
    </row>
    <row r="7924" spans="2:24">
      <c r="B7924" s="7"/>
      <c r="D7924" s="7"/>
      <c r="F7924" s="7"/>
      <c r="H7924" s="7"/>
      <c r="J7924" s="7"/>
      <c r="L7924" s="7"/>
      <c r="N7924" s="7"/>
      <c r="P7924" s="7"/>
      <c r="R7924" s="7"/>
      <c r="T7924" s="7"/>
      <c r="V7924" s="7"/>
      <c r="X7924" s="7"/>
    </row>
    <row r="7925" spans="2:24">
      <c r="B7925" s="7"/>
      <c r="D7925" s="7"/>
      <c r="F7925" s="7"/>
      <c r="H7925" s="7"/>
      <c r="J7925" s="7"/>
      <c r="L7925" s="7"/>
      <c r="N7925" s="7"/>
      <c r="P7925" s="7"/>
      <c r="R7925" s="7"/>
      <c r="T7925" s="7"/>
      <c r="V7925" s="7"/>
      <c r="X7925" s="7"/>
    </row>
    <row r="7926" spans="2:24">
      <c r="B7926" s="7"/>
      <c r="D7926" s="7"/>
      <c r="F7926" s="7"/>
      <c r="H7926" s="7"/>
      <c r="J7926" s="7"/>
      <c r="L7926" s="7"/>
      <c r="N7926" s="7"/>
      <c r="P7926" s="7"/>
      <c r="R7926" s="7"/>
      <c r="T7926" s="7"/>
      <c r="V7926" s="7"/>
      <c r="X7926" s="7"/>
    </row>
    <row r="7927" spans="2:24">
      <c r="B7927" s="7"/>
      <c r="D7927" s="7"/>
      <c r="F7927" s="7"/>
      <c r="H7927" s="7"/>
      <c r="J7927" s="7"/>
      <c r="L7927" s="7"/>
      <c r="N7927" s="7"/>
      <c r="P7927" s="7"/>
      <c r="R7927" s="7"/>
      <c r="T7927" s="7"/>
      <c r="V7927" s="7"/>
      <c r="X7927" s="7"/>
    </row>
    <row r="7928" spans="2:24">
      <c r="B7928" s="7"/>
      <c r="D7928" s="7"/>
      <c r="F7928" s="7"/>
      <c r="H7928" s="7"/>
      <c r="J7928" s="7"/>
      <c r="L7928" s="7"/>
      <c r="N7928" s="7"/>
      <c r="P7928" s="7"/>
      <c r="R7928" s="7"/>
      <c r="T7928" s="7"/>
      <c r="V7928" s="7"/>
      <c r="X7928" s="7"/>
    </row>
    <row r="7929" spans="2:24">
      <c r="B7929" s="7"/>
      <c r="D7929" s="7"/>
      <c r="F7929" s="7"/>
      <c r="H7929" s="7"/>
      <c r="J7929" s="7"/>
      <c r="L7929" s="7"/>
      <c r="N7929" s="7"/>
      <c r="P7929" s="7"/>
      <c r="R7929" s="7"/>
      <c r="T7929" s="7"/>
      <c r="V7929" s="7"/>
      <c r="X7929" s="7"/>
    </row>
    <row r="7930" spans="2:24">
      <c r="B7930" s="7"/>
      <c r="D7930" s="7"/>
      <c r="F7930" s="7"/>
      <c r="H7930" s="7"/>
      <c r="J7930" s="7"/>
      <c r="L7930" s="7"/>
      <c r="N7930" s="7"/>
      <c r="P7930" s="7"/>
      <c r="R7930" s="7"/>
      <c r="T7930" s="7"/>
      <c r="V7930" s="7"/>
      <c r="X7930" s="7"/>
    </row>
    <row r="7931" spans="2:24">
      <c r="B7931" s="7"/>
      <c r="D7931" s="7"/>
      <c r="F7931" s="7"/>
      <c r="H7931" s="7"/>
      <c r="J7931" s="7"/>
      <c r="L7931" s="7"/>
      <c r="N7931" s="7"/>
      <c r="P7931" s="7"/>
      <c r="R7931" s="7"/>
      <c r="T7931" s="7"/>
      <c r="V7931" s="7"/>
      <c r="X7931" s="7"/>
    </row>
    <row r="7932" spans="2:24">
      <c r="B7932" s="7"/>
      <c r="D7932" s="7"/>
      <c r="F7932" s="7"/>
      <c r="H7932" s="7"/>
      <c r="J7932" s="7"/>
      <c r="L7932" s="7"/>
      <c r="N7932" s="7"/>
      <c r="P7932" s="7"/>
      <c r="R7932" s="7"/>
      <c r="T7932" s="7"/>
      <c r="V7932" s="7"/>
      <c r="X7932" s="7"/>
    </row>
    <row r="7933" spans="2:24">
      <c r="B7933" s="7"/>
      <c r="D7933" s="7"/>
      <c r="F7933" s="7"/>
      <c r="H7933" s="7"/>
      <c r="J7933" s="7"/>
      <c r="L7933" s="7"/>
      <c r="N7933" s="7"/>
      <c r="P7933" s="7"/>
      <c r="R7933" s="7"/>
      <c r="T7933" s="7"/>
      <c r="V7933" s="7"/>
      <c r="X7933" s="7"/>
    </row>
    <row r="7934" spans="2:24">
      <c r="B7934" s="7"/>
      <c r="D7934" s="7"/>
      <c r="F7934" s="7"/>
      <c r="H7934" s="7"/>
      <c r="J7934" s="7"/>
      <c r="L7934" s="7"/>
      <c r="N7934" s="7"/>
      <c r="P7934" s="7"/>
      <c r="R7934" s="7"/>
      <c r="T7934" s="7"/>
      <c r="V7934" s="7"/>
      <c r="X7934" s="7"/>
    </row>
    <row r="7935" spans="2:24">
      <c r="B7935" s="7"/>
      <c r="D7935" s="7"/>
      <c r="F7935" s="7"/>
      <c r="H7935" s="7"/>
      <c r="J7935" s="7"/>
      <c r="L7935" s="7"/>
      <c r="N7935" s="7"/>
      <c r="P7935" s="7"/>
      <c r="R7935" s="7"/>
      <c r="T7935" s="7"/>
      <c r="V7935" s="7"/>
      <c r="X7935" s="7"/>
    </row>
    <row r="7936" spans="2:24">
      <c r="B7936" s="7"/>
      <c r="D7936" s="7"/>
      <c r="F7936" s="7"/>
      <c r="H7936" s="7"/>
      <c r="J7936" s="7"/>
      <c r="L7936" s="7"/>
      <c r="N7936" s="7"/>
      <c r="P7936" s="7"/>
      <c r="R7936" s="7"/>
      <c r="T7936" s="7"/>
      <c r="V7936" s="7"/>
      <c r="X7936" s="7"/>
    </row>
    <row r="7937" spans="2:24">
      <c r="B7937" s="7"/>
      <c r="D7937" s="7"/>
      <c r="F7937" s="7"/>
      <c r="H7937" s="7"/>
      <c r="J7937" s="7"/>
      <c r="L7937" s="7"/>
      <c r="N7937" s="7"/>
      <c r="P7937" s="7"/>
      <c r="R7937" s="7"/>
      <c r="T7937" s="7"/>
      <c r="V7937" s="7"/>
      <c r="X7937" s="7"/>
    </row>
    <row r="7938" spans="2:24">
      <c r="B7938" s="7"/>
      <c r="D7938" s="7"/>
      <c r="F7938" s="7"/>
      <c r="H7938" s="7"/>
      <c r="J7938" s="7"/>
      <c r="L7938" s="7"/>
      <c r="N7938" s="7"/>
      <c r="P7938" s="7"/>
      <c r="R7938" s="7"/>
      <c r="T7938" s="7"/>
      <c r="V7938" s="7"/>
      <c r="X7938" s="7"/>
    </row>
    <row r="7939" spans="2:24">
      <c r="B7939" s="7"/>
      <c r="D7939" s="7"/>
      <c r="F7939" s="7"/>
      <c r="H7939" s="7"/>
      <c r="J7939" s="7"/>
      <c r="L7939" s="7"/>
      <c r="N7939" s="7"/>
      <c r="P7939" s="7"/>
      <c r="R7939" s="7"/>
      <c r="T7939" s="7"/>
      <c r="V7939" s="7"/>
      <c r="X7939" s="7"/>
    </row>
    <row r="7940" spans="2:24">
      <c r="B7940" s="7"/>
      <c r="D7940" s="7"/>
      <c r="F7940" s="7"/>
      <c r="H7940" s="7"/>
      <c r="J7940" s="7"/>
      <c r="L7940" s="7"/>
      <c r="N7940" s="7"/>
      <c r="P7940" s="7"/>
      <c r="R7940" s="7"/>
      <c r="T7940" s="7"/>
      <c r="V7940" s="7"/>
      <c r="X7940" s="7"/>
    </row>
    <row r="7941" spans="2:24">
      <c r="B7941" s="7"/>
      <c r="D7941" s="7"/>
      <c r="F7941" s="7"/>
      <c r="H7941" s="7"/>
      <c r="J7941" s="7"/>
      <c r="L7941" s="7"/>
      <c r="N7941" s="7"/>
      <c r="P7941" s="7"/>
      <c r="R7941" s="7"/>
      <c r="T7941" s="7"/>
      <c r="V7941" s="7"/>
      <c r="X7941" s="7"/>
    </row>
    <row r="7942" spans="2:24">
      <c r="B7942" s="7"/>
      <c r="D7942" s="7"/>
      <c r="F7942" s="7"/>
      <c r="H7942" s="7"/>
      <c r="J7942" s="7"/>
      <c r="L7942" s="7"/>
      <c r="N7942" s="7"/>
      <c r="P7942" s="7"/>
      <c r="R7942" s="7"/>
      <c r="T7942" s="7"/>
      <c r="V7942" s="7"/>
      <c r="X7942" s="7"/>
    </row>
    <row r="7943" spans="2:24">
      <c r="B7943" s="7"/>
      <c r="D7943" s="7"/>
      <c r="F7943" s="7"/>
      <c r="H7943" s="7"/>
      <c r="J7943" s="7"/>
      <c r="L7943" s="7"/>
      <c r="N7943" s="7"/>
      <c r="P7943" s="7"/>
      <c r="R7943" s="7"/>
      <c r="T7943" s="7"/>
      <c r="V7943" s="7"/>
      <c r="X7943" s="7"/>
    </row>
    <row r="7944" spans="2:24">
      <c r="B7944" s="7"/>
      <c r="D7944" s="7"/>
      <c r="F7944" s="7"/>
      <c r="H7944" s="7"/>
      <c r="J7944" s="7"/>
      <c r="L7944" s="7"/>
      <c r="N7944" s="7"/>
      <c r="P7944" s="7"/>
      <c r="R7944" s="7"/>
      <c r="T7944" s="7"/>
      <c r="V7944" s="7"/>
      <c r="X7944" s="7"/>
    </row>
    <row r="7945" spans="2:24">
      <c r="B7945" s="7"/>
      <c r="D7945" s="7"/>
      <c r="F7945" s="7"/>
      <c r="H7945" s="7"/>
      <c r="J7945" s="7"/>
      <c r="L7945" s="7"/>
      <c r="N7945" s="7"/>
      <c r="P7945" s="7"/>
      <c r="R7945" s="7"/>
      <c r="T7945" s="7"/>
      <c r="V7945" s="7"/>
      <c r="X7945" s="7"/>
    </row>
    <row r="7946" spans="2:24">
      <c r="B7946" s="7"/>
      <c r="D7946" s="7"/>
      <c r="F7946" s="7"/>
      <c r="H7946" s="7"/>
      <c r="J7946" s="7"/>
      <c r="L7946" s="7"/>
      <c r="N7946" s="7"/>
      <c r="P7946" s="7"/>
      <c r="R7946" s="7"/>
      <c r="T7946" s="7"/>
      <c r="V7946" s="7"/>
      <c r="X7946" s="7"/>
    </row>
    <row r="7947" spans="2:24">
      <c r="B7947" s="7"/>
      <c r="D7947" s="7"/>
      <c r="F7947" s="7"/>
      <c r="H7947" s="7"/>
      <c r="J7947" s="7"/>
      <c r="L7947" s="7"/>
      <c r="N7947" s="7"/>
      <c r="P7947" s="7"/>
      <c r="R7947" s="7"/>
      <c r="T7947" s="7"/>
      <c r="V7947" s="7"/>
      <c r="X7947" s="7"/>
    </row>
    <row r="7948" spans="2:24">
      <c r="B7948" s="7"/>
      <c r="D7948" s="7"/>
      <c r="F7948" s="7"/>
      <c r="H7948" s="7"/>
      <c r="J7948" s="7"/>
      <c r="L7948" s="7"/>
      <c r="N7948" s="7"/>
      <c r="P7948" s="7"/>
      <c r="R7948" s="7"/>
      <c r="T7948" s="7"/>
      <c r="V7948" s="7"/>
      <c r="X7948" s="7"/>
    </row>
    <row r="7949" spans="2:24">
      <c r="B7949" s="7"/>
      <c r="D7949" s="7"/>
      <c r="F7949" s="7"/>
      <c r="H7949" s="7"/>
      <c r="J7949" s="7"/>
      <c r="L7949" s="7"/>
      <c r="N7949" s="7"/>
      <c r="P7949" s="7"/>
      <c r="R7949" s="7"/>
      <c r="T7949" s="7"/>
      <c r="V7949" s="7"/>
      <c r="X7949" s="7"/>
    </row>
    <row r="7950" spans="2:24">
      <c r="B7950" s="7"/>
      <c r="D7950" s="7"/>
      <c r="F7950" s="7"/>
      <c r="H7950" s="7"/>
      <c r="J7950" s="7"/>
      <c r="L7950" s="7"/>
      <c r="N7950" s="7"/>
      <c r="P7950" s="7"/>
      <c r="R7950" s="7"/>
      <c r="T7950" s="7"/>
      <c r="V7950" s="7"/>
      <c r="X7950" s="7"/>
    </row>
    <row r="7951" spans="2:24">
      <c r="B7951" s="7"/>
      <c r="D7951" s="7"/>
      <c r="F7951" s="7"/>
      <c r="H7951" s="7"/>
      <c r="J7951" s="7"/>
      <c r="L7951" s="7"/>
      <c r="N7951" s="7"/>
      <c r="P7951" s="7"/>
      <c r="R7951" s="7"/>
      <c r="T7951" s="7"/>
      <c r="V7951" s="7"/>
      <c r="X7951" s="7"/>
    </row>
    <row r="7952" spans="2:24">
      <c r="B7952" s="7"/>
      <c r="D7952" s="7"/>
      <c r="F7952" s="7"/>
      <c r="H7952" s="7"/>
      <c r="J7952" s="7"/>
      <c r="L7952" s="7"/>
      <c r="N7952" s="7"/>
      <c r="P7952" s="7"/>
      <c r="R7952" s="7"/>
      <c r="T7952" s="7"/>
      <c r="V7952" s="7"/>
      <c r="X7952" s="7"/>
    </row>
    <row r="7953" spans="2:24">
      <c r="B7953" s="7"/>
      <c r="D7953" s="7"/>
      <c r="F7953" s="7"/>
      <c r="H7953" s="7"/>
      <c r="J7953" s="7"/>
      <c r="L7953" s="7"/>
      <c r="N7953" s="7"/>
      <c r="P7953" s="7"/>
      <c r="R7953" s="7"/>
      <c r="T7953" s="7"/>
      <c r="V7953" s="7"/>
      <c r="X7953" s="7"/>
    </row>
    <row r="7954" spans="2:24">
      <c r="B7954" s="7"/>
      <c r="D7954" s="7"/>
      <c r="F7954" s="7"/>
      <c r="H7954" s="7"/>
      <c r="J7954" s="7"/>
      <c r="L7954" s="7"/>
      <c r="N7954" s="7"/>
      <c r="P7954" s="7"/>
      <c r="R7954" s="7"/>
      <c r="T7954" s="7"/>
      <c r="V7954" s="7"/>
      <c r="X7954" s="7"/>
    </row>
    <row r="7955" spans="2:24">
      <c r="B7955" s="7"/>
      <c r="D7955" s="7"/>
      <c r="F7955" s="7"/>
      <c r="H7955" s="7"/>
      <c r="J7955" s="7"/>
      <c r="L7955" s="7"/>
      <c r="N7955" s="7"/>
      <c r="P7955" s="7"/>
      <c r="R7955" s="7"/>
      <c r="T7955" s="7"/>
      <c r="V7955" s="7"/>
      <c r="X7955" s="7"/>
    </row>
    <row r="7956" spans="2:24">
      <c r="B7956" s="7"/>
      <c r="D7956" s="7"/>
      <c r="F7956" s="7"/>
      <c r="H7956" s="7"/>
      <c r="J7956" s="7"/>
      <c r="L7956" s="7"/>
      <c r="N7956" s="7"/>
      <c r="P7956" s="7"/>
      <c r="R7956" s="7"/>
      <c r="T7956" s="7"/>
      <c r="V7956" s="7"/>
      <c r="X7956" s="7"/>
    </row>
    <row r="7957" spans="2:24">
      <c r="B7957" s="7"/>
      <c r="D7957" s="7"/>
      <c r="F7957" s="7"/>
      <c r="H7957" s="7"/>
      <c r="J7957" s="7"/>
      <c r="L7957" s="7"/>
      <c r="N7957" s="7"/>
      <c r="P7957" s="7"/>
      <c r="R7957" s="7"/>
      <c r="T7957" s="7"/>
      <c r="V7957" s="7"/>
      <c r="X7957" s="7"/>
    </row>
    <row r="7958" spans="2:24">
      <c r="B7958" s="7"/>
      <c r="D7958" s="7"/>
      <c r="F7958" s="7"/>
      <c r="H7958" s="7"/>
      <c r="J7958" s="7"/>
      <c r="L7958" s="7"/>
      <c r="N7958" s="7"/>
      <c r="P7958" s="7"/>
      <c r="R7958" s="7"/>
      <c r="T7958" s="7"/>
      <c r="V7958" s="7"/>
      <c r="X7958" s="7"/>
    </row>
    <row r="7959" spans="2:24">
      <c r="B7959" s="7"/>
      <c r="D7959" s="7"/>
      <c r="F7959" s="7"/>
      <c r="H7959" s="7"/>
      <c r="J7959" s="7"/>
      <c r="L7959" s="7"/>
      <c r="N7959" s="7"/>
      <c r="P7959" s="7"/>
      <c r="R7959" s="7"/>
      <c r="T7959" s="7"/>
      <c r="V7959" s="7"/>
      <c r="X7959" s="7"/>
    </row>
    <row r="7960" spans="2:24">
      <c r="B7960" s="7"/>
      <c r="D7960" s="7"/>
      <c r="F7960" s="7"/>
      <c r="H7960" s="7"/>
      <c r="J7960" s="7"/>
      <c r="L7960" s="7"/>
      <c r="N7960" s="7"/>
      <c r="P7960" s="7"/>
      <c r="R7960" s="7"/>
      <c r="T7960" s="7"/>
      <c r="V7960" s="7"/>
      <c r="X7960" s="7"/>
    </row>
    <row r="7961" spans="2:24">
      <c r="B7961" s="7"/>
      <c r="D7961" s="7"/>
      <c r="F7961" s="7"/>
      <c r="H7961" s="7"/>
      <c r="J7961" s="7"/>
      <c r="L7961" s="7"/>
      <c r="N7961" s="7"/>
      <c r="P7961" s="7"/>
      <c r="R7961" s="7"/>
      <c r="T7961" s="7"/>
      <c r="V7961" s="7"/>
      <c r="X7961" s="7"/>
    </row>
    <row r="7962" spans="2:24">
      <c r="B7962" s="7"/>
      <c r="D7962" s="7"/>
      <c r="F7962" s="7"/>
      <c r="H7962" s="7"/>
      <c r="J7962" s="7"/>
      <c r="L7962" s="7"/>
      <c r="N7962" s="7"/>
      <c r="P7962" s="7"/>
      <c r="R7962" s="7"/>
      <c r="T7962" s="7"/>
      <c r="V7962" s="7"/>
      <c r="X7962" s="7"/>
    </row>
    <row r="7963" spans="2:24">
      <c r="B7963" s="7"/>
      <c r="D7963" s="7"/>
      <c r="F7963" s="7"/>
      <c r="H7963" s="7"/>
      <c r="J7963" s="7"/>
      <c r="L7963" s="7"/>
      <c r="N7963" s="7"/>
      <c r="P7963" s="7"/>
      <c r="R7963" s="7"/>
      <c r="T7963" s="7"/>
      <c r="V7963" s="7"/>
      <c r="X7963" s="7"/>
    </row>
    <row r="7964" spans="2:24">
      <c r="B7964" s="7"/>
      <c r="D7964" s="7"/>
      <c r="F7964" s="7"/>
      <c r="H7964" s="7"/>
      <c r="J7964" s="7"/>
      <c r="L7964" s="7"/>
      <c r="N7964" s="7"/>
      <c r="P7964" s="7"/>
      <c r="R7964" s="7"/>
      <c r="T7964" s="7"/>
      <c r="V7964" s="7"/>
      <c r="X7964" s="7"/>
    </row>
    <row r="7965" spans="2:24">
      <c r="B7965" s="7"/>
      <c r="D7965" s="7"/>
      <c r="F7965" s="7"/>
      <c r="H7965" s="7"/>
      <c r="J7965" s="7"/>
      <c r="L7965" s="7"/>
      <c r="N7965" s="7"/>
      <c r="P7965" s="7"/>
      <c r="R7965" s="7"/>
      <c r="T7965" s="7"/>
      <c r="V7965" s="7"/>
      <c r="X7965" s="7"/>
    </row>
    <row r="7966" spans="2:24">
      <c r="B7966" s="7"/>
      <c r="D7966" s="7"/>
      <c r="F7966" s="7"/>
      <c r="H7966" s="7"/>
      <c r="J7966" s="7"/>
      <c r="L7966" s="7"/>
      <c r="N7966" s="7"/>
      <c r="P7966" s="7"/>
      <c r="R7966" s="7"/>
      <c r="T7966" s="7"/>
      <c r="V7966" s="7"/>
      <c r="X7966" s="7"/>
    </row>
    <row r="7967" spans="2:24">
      <c r="B7967" s="7"/>
      <c r="D7967" s="7"/>
      <c r="F7967" s="7"/>
      <c r="H7967" s="7"/>
      <c r="J7967" s="7"/>
      <c r="L7967" s="7"/>
      <c r="N7967" s="7"/>
      <c r="P7967" s="7"/>
      <c r="R7967" s="7"/>
      <c r="T7967" s="7"/>
      <c r="V7967" s="7"/>
      <c r="X7967" s="7"/>
    </row>
    <row r="7968" spans="2:24">
      <c r="B7968" s="7"/>
      <c r="D7968" s="7"/>
      <c r="F7968" s="7"/>
      <c r="H7968" s="7"/>
      <c r="J7968" s="7"/>
      <c r="L7968" s="7"/>
      <c r="N7968" s="7"/>
      <c r="P7968" s="7"/>
      <c r="R7968" s="7"/>
      <c r="T7968" s="7"/>
      <c r="V7968" s="7"/>
      <c r="X7968" s="7"/>
    </row>
    <row r="7969" spans="2:24">
      <c r="B7969" s="7"/>
      <c r="D7969" s="7"/>
      <c r="F7969" s="7"/>
      <c r="H7969" s="7"/>
      <c r="J7969" s="7"/>
      <c r="L7969" s="7"/>
      <c r="N7969" s="7"/>
      <c r="P7969" s="7"/>
      <c r="R7969" s="7"/>
      <c r="T7969" s="7"/>
      <c r="V7969" s="7"/>
      <c r="X7969" s="7"/>
    </row>
    <row r="7970" spans="2:24">
      <c r="B7970" s="7"/>
      <c r="D7970" s="7"/>
      <c r="F7970" s="7"/>
      <c r="H7970" s="7"/>
      <c r="J7970" s="7"/>
      <c r="L7970" s="7"/>
      <c r="N7970" s="7"/>
      <c r="P7970" s="7"/>
      <c r="R7970" s="7"/>
      <c r="T7970" s="7"/>
      <c r="V7970" s="7"/>
      <c r="X7970" s="7"/>
    </row>
    <row r="7971" spans="2:24">
      <c r="B7971" s="7"/>
      <c r="D7971" s="7"/>
      <c r="F7971" s="7"/>
      <c r="H7971" s="7"/>
      <c r="J7971" s="7"/>
      <c r="L7971" s="7"/>
      <c r="N7971" s="7"/>
      <c r="P7971" s="7"/>
      <c r="R7971" s="7"/>
      <c r="T7971" s="7"/>
      <c r="V7971" s="7"/>
      <c r="X7971" s="7"/>
    </row>
    <row r="7972" spans="2:24">
      <c r="B7972" s="7"/>
      <c r="D7972" s="7"/>
      <c r="F7972" s="7"/>
      <c r="H7972" s="7"/>
      <c r="J7972" s="7"/>
      <c r="L7972" s="7"/>
      <c r="N7972" s="7"/>
      <c r="P7972" s="7"/>
      <c r="R7972" s="7"/>
      <c r="T7972" s="7"/>
      <c r="V7972" s="7"/>
      <c r="X7972" s="7"/>
    </row>
    <row r="7973" spans="2:24">
      <c r="B7973" s="7"/>
      <c r="D7973" s="7"/>
      <c r="F7973" s="7"/>
      <c r="H7973" s="7"/>
      <c r="J7973" s="7"/>
      <c r="L7973" s="7"/>
      <c r="N7973" s="7"/>
      <c r="P7973" s="7"/>
      <c r="R7973" s="7"/>
      <c r="T7973" s="7"/>
      <c r="V7973" s="7"/>
      <c r="X7973" s="7"/>
    </row>
    <row r="7974" spans="2:24">
      <c r="B7974" s="7"/>
      <c r="D7974" s="7"/>
      <c r="F7974" s="7"/>
      <c r="H7974" s="7"/>
      <c r="J7974" s="7"/>
      <c r="L7974" s="7"/>
      <c r="N7974" s="7"/>
      <c r="P7974" s="7"/>
      <c r="R7974" s="7"/>
      <c r="T7974" s="7"/>
      <c r="V7974" s="7"/>
      <c r="X7974" s="7"/>
    </row>
    <row r="7975" spans="2:24">
      <c r="B7975" s="7"/>
      <c r="D7975" s="7"/>
      <c r="F7975" s="7"/>
      <c r="H7975" s="7"/>
      <c r="J7975" s="7"/>
      <c r="L7975" s="7"/>
      <c r="N7975" s="7"/>
      <c r="P7975" s="7"/>
      <c r="R7975" s="7"/>
      <c r="T7975" s="7"/>
      <c r="V7975" s="7"/>
      <c r="X7975" s="7"/>
    </row>
    <row r="7976" spans="2:24">
      <c r="B7976" s="7"/>
      <c r="D7976" s="7"/>
      <c r="F7976" s="7"/>
      <c r="H7976" s="7"/>
      <c r="J7976" s="7"/>
      <c r="L7976" s="7"/>
      <c r="N7976" s="7"/>
      <c r="P7976" s="7"/>
      <c r="R7976" s="7"/>
      <c r="T7976" s="7"/>
      <c r="V7976" s="7"/>
      <c r="X7976" s="7"/>
    </row>
    <row r="7977" spans="2:24">
      <c r="B7977" s="7"/>
      <c r="D7977" s="7"/>
      <c r="F7977" s="7"/>
      <c r="H7977" s="7"/>
      <c r="J7977" s="7"/>
      <c r="L7977" s="7"/>
      <c r="N7977" s="7"/>
      <c r="P7977" s="7"/>
      <c r="R7977" s="7"/>
      <c r="T7977" s="7"/>
      <c r="V7977" s="7"/>
      <c r="X7977" s="7"/>
    </row>
    <row r="7978" spans="2:24">
      <c r="B7978" s="7"/>
      <c r="D7978" s="7"/>
      <c r="F7978" s="7"/>
      <c r="H7978" s="7"/>
      <c r="J7978" s="7"/>
      <c r="L7978" s="7"/>
      <c r="N7978" s="7"/>
      <c r="P7978" s="7"/>
      <c r="R7978" s="7"/>
      <c r="T7978" s="7"/>
      <c r="V7978" s="7"/>
      <c r="X7978" s="7"/>
    </row>
    <row r="7979" spans="2:24">
      <c r="B7979" s="7"/>
      <c r="D7979" s="7"/>
      <c r="F7979" s="7"/>
      <c r="H7979" s="7"/>
      <c r="J7979" s="7"/>
      <c r="L7979" s="7"/>
      <c r="N7979" s="7"/>
      <c r="P7979" s="7"/>
      <c r="R7979" s="7"/>
      <c r="T7979" s="7"/>
      <c r="V7979" s="7"/>
      <c r="X7979" s="7"/>
    </row>
    <row r="7980" spans="2:24">
      <c r="B7980" s="7"/>
      <c r="D7980" s="7"/>
      <c r="F7980" s="7"/>
      <c r="H7980" s="7"/>
      <c r="J7980" s="7"/>
      <c r="L7980" s="7"/>
      <c r="N7980" s="7"/>
      <c r="P7980" s="7"/>
      <c r="R7980" s="7"/>
      <c r="T7980" s="7"/>
      <c r="V7980" s="7"/>
      <c r="X7980" s="7"/>
    </row>
    <row r="7981" spans="2:24">
      <c r="B7981" s="7"/>
      <c r="D7981" s="7"/>
      <c r="F7981" s="7"/>
      <c r="H7981" s="7"/>
      <c r="J7981" s="7"/>
      <c r="L7981" s="7"/>
      <c r="N7981" s="7"/>
      <c r="P7981" s="7"/>
      <c r="R7981" s="7"/>
      <c r="T7981" s="7"/>
      <c r="V7981" s="7"/>
      <c r="X7981" s="7"/>
    </row>
    <row r="7982" spans="2:24">
      <c r="B7982" s="7"/>
      <c r="D7982" s="7"/>
      <c r="F7982" s="7"/>
      <c r="H7982" s="7"/>
      <c r="J7982" s="7"/>
      <c r="L7982" s="7"/>
      <c r="N7982" s="7"/>
      <c r="P7982" s="7"/>
      <c r="R7982" s="7"/>
      <c r="T7982" s="7"/>
      <c r="V7982" s="7"/>
      <c r="X7982" s="7"/>
    </row>
    <row r="7983" spans="2:24">
      <c r="B7983" s="7"/>
      <c r="D7983" s="7"/>
      <c r="F7983" s="7"/>
      <c r="H7983" s="7"/>
      <c r="J7983" s="7"/>
      <c r="L7983" s="7"/>
      <c r="N7983" s="7"/>
      <c r="P7983" s="7"/>
      <c r="R7983" s="7"/>
      <c r="T7983" s="7"/>
      <c r="V7983" s="7"/>
      <c r="X7983" s="7"/>
    </row>
    <row r="7984" spans="2:24">
      <c r="B7984" s="7"/>
      <c r="D7984" s="7"/>
      <c r="F7984" s="7"/>
      <c r="H7984" s="7"/>
      <c r="J7984" s="7"/>
      <c r="L7984" s="7"/>
      <c r="N7984" s="7"/>
      <c r="P7984" s="7"/>
      <c r="R7984" s="7"/>
      <c r="T7984" s="7"/>
      <c r="V7984" s="7"/>
      <c r="X7984" s="7"/>
    </row>
    <row r="7985" spans="2:24">
      <c r="B7985" s="7"/>
      <c r="D7985" s="7"/>
      <c r="F7985" s="7"/>
      <c r="H7985" s="7"/>
      <c r="J7985" s="7"/>
      <c r="L7985" s="7"/>
      <c r="N7985" s="7"/>
      <c r="P7985" s="7"/>
      <c r="R7985" s="7"/>
      <c r="T7985" s="7"/>
      <c r="V7985" s="7"/>
      <c r="X7985" s="7"/>
    </row>
    <row r="7986" spans="2:24">
      <c r="B7986" s="7"/>
      <c r="D7986" s="7"/>
      <c r="F7986" s="7"/>
      <c r="H7986" s="7"/>
      <c r="J7986" s="7"/>
      <c r="L7986" s="7"/>
      <c r="N7986" s="7"/>
      <c r="P7986" s="7"/>
      <c r="R7986" s="7"/>
      <c r="T7986" s="7"/>
      <c r="V7986" s="7"/>
      <c r="X7986" s="7"/>
    </row>
    <row r="7987" spans="2:24">
      <c r="B7987" s="7"/>
      <c r="D7987" s="7"/>
      <c r="F7987" s="7"/>
      <c r="H7987" s="7"/>
      <c r="J7987" s="7"/>
      <c r="L7987" s="7"/>
      <c r="N7987" s="7"/>
      <c r="P7987" s="7"/>
      <c r="R7987" s="7"/>
      <c r="T7987" s="7"/>
      <c r="V7987" s="7"/>
      <c r="X7987" s="7"/>
    </row>
    <row r="7988" spans="2:24">
      <c r="B7988" s="7"/>
      <c r="D7988" s="7"/>
      <c r="F7988" s="7"/>
      <c r="H7988" s="7"/>
      <c r="J7988" s="7"/>
      <c r="L7988" s="7"/>
      <c r="N7988" s="7"/>
      <c r="P7988" s="7"/>
      <c r="R7988" s="7"/>
      <c r="T7988" s="7"/>
      <c r="V7988" s="7"/>
      <c r="X7988" s="7"/>
    </row>
    <row r="7989" spans="2:24">
      <c r="B7989" s="7"/>
      <c r="D7989" s="7"/>
      <c r="F7989" s="7"/>
      <c r="H7989" s="7"/>
      <c r="J7989" s="7"/>
      <c r="L7989" s="7"/>
      <c r="N7989" s="7"/>
      <c r="P7989" s="7"/>
      <c r="R7989" s="7"/>
      <c r="T7989" s="7"/>
      <c r="V7989" s="7"/>
      <c r="X7989" s="7"/>
    </row>
    <row r="7990" spans="2:24">
      <c r="B7990" s="7"/>
      <c r="D7990" s="7"/>
      <c r="F7990" s="7"/>
      <c r="H7990" s="7"/>
      <c r="J7990" s="7"/>
      <c r="L7990" s="7"/>
      <c r="N7990" s="7"/>
      <c r="P7990" s="7"/>
      <c r="R7990" s="7"/>
      <c r="T7990" s="7"/>
      <c r="V7990" s="7"/>
      <c r="X7990" s="7"/>
    </row>
    <row r="7991" spans="2:24">
      <c r="B7991" s="7"/>
      <c r="D7991" s="7"/>
      <c r="F7991" s="7"/>
      <c r="H7991" s="7"/>
      <c r="J7991" s="7"/>
      <c r="L7991" s="7"/>
      <c r="N7991" s="7"/>
      <c r="P7991" s="7"/>
      <c r="R7991" s="7"/>
      <c r="T7991" s="7"/>
      <c r="V7991" s="7"/>
      <c r="X7991" s="7"/>
    </row>
    <row r="7992" spans="2:24">
      <c r="B7992" s="7"/>
      <c r="D7992" s="7"/>
      <c r="F7992" s="7"/>
      <c r="H7992" s="7"/>
      <c r="J7992" s="7"/>
      <c r="L7992" s="7"/>
      <c r="N7992" s="7"/>
      <c r="P7992" s="7"/>
      <c r="R7992" s="7"/>
      <c r="T7992" s="7"/>
      <c r="V7992" s="7"/>
      <c r="X7992" s="7"/>
    </row>
    <row r="7993" spans="2:24">
      <c r="B7993" s="7"/>
      <c r="D7993" s="7"/>
      <c r="F7993" s="7"/>
      <c r="H7993" s="7"/>
      <c r="J7993" s="7"/>
      <c r="L7993" s="7"/>
      <c r="N7993" s="7"/>
      <c r="P7993" s="7"/>
      <c r="R7993" s="7"/>
      <c r="T7993" s="7"/>
      <c r="V7993" s="7"/>
      <c r="X7993" s="7"/>
    </row>
    <row r="7994" spans="2:24">
      <c r="B7994" s="7"/>
      <c r="D7994" s="7"/>
      <c r="F7994" s="7"/>
      <c r="H7994" s="7"/>
      <c r="J7994" s="7"/>
      <c r="L7994" s="7"/>
      <c r="N7994" s="7"/>
      <c r="P7994" s="7"/>
      <c r="R7994" s="7"/>
      <c r="T7994" s="7"/>
      <c r="V7994" s="7"/>
      <c r="X7994" s="7"/>
    </row>
    <row r="7995" spans="2:24">
      <c r="B7995" s="7"/>
      <c r="D7995" s="7"/>
      <c r="F7995" s="7"/>
      <c r="H7995" s="7"/>
      <c r="J7995" s="7"/>
      <c r="L7995" s="7"/>
      <c r="N7995" s="7"/>
      <c r="P7995" s="7"/>
      <c r="R7995" s="7"/>
      <c r="T7995" s="7"/>
      <c r="V7995" s="7"/>
      <c r="X7995" s="7"/>
    </row>
    <row r="7996" spans="2:24">
      <c r="B7996" s="7"/>
      <c r="D7996" s="7"/>
      <c r="F7996" s="7"/>
      <c r="H7996" s="7"/>
      <c r="J7996" s="7"/>
      <c r="L7996" s="7"/>
      <c r="N7996" s="7"/>
      <c r="P7996" s="7"/>
      <c r="R7996" s="7"/>
      <c r="T7996" s="7"/>
      <c r="V7996" s="7"/>
      <c r="X7996" s="7"/>
    </row>
    <row r="7997" spans="2:24">
      <c r="B7997" s="7"/>
      <c r="D7997" s="7"/>
      <c r="F7997" s="7"/>
      <c r="H7997" s="7"/>
      <c r="J7997" s="7"/>
      <c r="L7997" s="7"/>
      <c r="N7997" s="7"/>
      <c r="P7997" s="7"/>
      <c r="R7997" s="7"/>
      <c r="T7997" s="7"/>
      <c r="V7997" s="7"/>
      <c r="X7997" s="7"/>
    </row>
    <row r="7998" spans="2:24">
      <c r="B7998" s="7"/>
      <c r="D7998" s="7"/>
      <c r="F7998" s="7"/>
      <c r="H7998" s="7"/>
      <c r="J7998" s="7"/>
      <c r="L7998" s="7"/>
      <c r="N7998" s="7"/>
      <c r="P7998" s="7"/>
      <c r="R7998" s="7"/>
      <c r="T7998" s="7"/>
      <c r="V7998" s="7"/>
      <c r="X7998" s="7"/>
    </row>
    <row r="7999" spans="2:24">
      <c r="B7999" s="7"/>
      <c r="D7999" s="7"/>
      <c r="F7999" s="7"/>
      <c r="H7999" s="7"/>
      <c r="J7999" s="7"/>
      <c r="L7999" s="7"/>
      <c r="N7999" s="7"/>
      <c r="P7999" s="7"/>
      <c r="R7999" s="7"/>
      <c r="T7999" s="7"/>
      <c r="V7999" s="7"/>
      <c r="X7999" s="7"/>
    </row>
    <row r="8000" spans="2:24">
      <c r="B8000" s="7"/>
      <c r="D8000" s="7"/>
      <c r="F8000" s="7"/>
      <c r="H8000" s="7"/>
      <c r="J8000" s="7"/>
      <c r="L8000" s="7"/>
      <c r="N8000" s="7"/>
      <c r="P8000" s="7"/>
      <c r="R8000" s="7"/>
      <c r="T8000" s="7"/>
      <c r="V8000" s="7"/>
      <c r="X8000" s="7"/>
    </row>
    <row r="8001" spans="2:24">
      <c r="B8001" s="7"/>
      <c r="D8001" s="7"/>
      <c r="F8001" s="7"/>
      <c r="H8001" s="7"/>
      <c r="J8001" s="7"/>
      <c r="L8001" s="7"/>
      <c r="N8001" s="7"/>
      <c r="P8001" s="7"/>
      <c r="R8001" s="7"/>
      <c r="T8001" s="7"/>
      <c r="V8001" s="7"/>
      <c r="X8001" s="7"/>
    </row>
    <row r="8002" spans="2:24">
      <c r="B8002" s="7"/>
      <c r="D8002" s="7"/>
      <c r="F8002" s="7"/>
      <c r="H8002" s="7"/>
      <c r="J8002" s="7"/>
      <c r="L8002" s="7"/>
      <c r="N8002" s="7"/>
      <c r="P8002" s="7"/>
      <c r="R8002" s="7"/>
      <c r="T8002" s="7"/>
      <c r="V8002" s="7"/>
      <c r="X8002" s="7"/>
    </row>
    <row r="8003" spans="2:24">
      <c r="B8003" s="7"/>
      <c r="D8003" s="7"/>
      <c r="F8003" s="7"/>
      <c r="H8003" s="7"/>
      <c r="J8003" s="7"/>
      <c r="L8003" s="7"/>
      <c r="N8003" s="7"/>
      <c r="P8003" s="7"/>
      <c r="R8003" s="7"/>
      <c r="T8003" s="7"/>
      <c r="V8003" s="7"/>
      <c r="X8003" s="7"/>
    </row>
    <row r="8004" spans="2:24">
      <c r="B8004" s="7"/>
      <c r="D8004" s="7"/>
      <c r="F8004" s="7"/>
      <c r="H8004" s="7"/>
      <c r="J8004" s="7"/>
      <c r="L8004" s="7"/>
      <c r="N8004" s="7"/>
      <c r="P8004" s="7"/>
      <c r="R8004" s="7"/>
      <c r="T8004" s="7"/>
      <c r="V8004" s="7"/>
      <c r="X8004" s="7"/>
    </row>
    <row r="8005" spans="2:24">
      <c r="B8005" s="7"/>
      <c r="D8005" s="7"/>
      <c r="F8005" s="7"/>
      <c r="H8005" s="7"/>
      <c r="J8005" s="7"/>
      <c r="L8005" s="7"/>
      <c r="N8005" s="7"/>
      <c r="P8005" s="7"/>
      <c r="R8005" s="7"/>
      <c r="T8005" s="7"/>
      <c r="V8005" s="7"/>
      <c r="X8005" s="7"/>
    </row>
    <row r="8006" spans="2:24">
      <c r="B8006" s="7"/>
      <c r="D8006" s="7"/>
      <c r="F8006" s="7"/>
      <c r="H8006" s="7"/>
      <c r="J8006" s="7"/>
      <c r="L8006" s="7"/>
      <c r="N8006" s="7"/>
      <c r="P8006" s="7"/>
      <c r="R8006" s="7"/>
      <c r="T8006" s="7"/>
      <c r="V8006" s="7"/>
      <c r="X8006" s="7"/>
    </row>
    <row r="8007" spans="2:24">
      <c r="B8007" s="7"/>
      <c r="D8007" s="7"/>
      <c r="F8007" s="7"/>
      <c r="H8007" s="7"/>
      <c r="J8007" s="7"/>
      <c r="L8007" s="7"/>
      <c r="N8007" s="7"/>
      <c r="P8007" s="7"/>
      <c r="R8007" s="7"/>
      <c r="T8007" s="7"/>
      <c r="V8007" s="7"/>
      <c r="X8007" s="7"/>
    </row>
    <row r="8008" spans="2:24">
      <c r="B8008" s="7"/>
      <c r="D8008" s="7"/>
      <c r="F8008" s="7"/>
      <c r="H8008" s="7"/>
      <c r="J8008" s="7"/>
      <c r="L8008" s="7"/>
      <c r="N8008" s="7"/>
      <c r="P8008" s="7"/>
      <c r="R8008" s="7"/>
      <c r="T8008" s="7"/>
      <c r="V8008" s="7"/>
      <c r="X8008" s="7"/>
    </row>
    <row r="8009" spans="2:24">
      <c r="B8009" s="7"/>
      <c r="D8009" s="7"/>
      <c r="F8009" s="7"/>
      <c r="H8009" s="7"/>
      <c r="J8009" s="7"/>
      <c r="L8009" s="7"/>
      <c r="N8009" s="7"/>
      <c r="P8009" s="7"/>
      <c r="R8009" s="7"/>
      <c r="T8009" s="7"/>
      <c r="V8009" s="7"/>
      <c r="X8009" s="7"/>
    </row>
    <row r="8010" spans="2:24">
      <c r="B8010" s="7"/>
      <c r="D8010" s="7"/>
      <c r="F8010" s="7"/>
      <c r="H8010" s="7"/>
      <c r="J8010" s="7"/>
      <c r="L8010" s="7"/>
      <c r="N8010" s="7"/>
      <c r="P8010" s="7"/>
      <c r="R8010" s="7"/>
      <c r="T8010" s="7"/>
      <c r="V8010" s="7"/>
      <c r="X8010" s="7"/>
    </row>
    <row r="8011" spans="2:24">
      <c r="B8011" s="7"/>
      <c r="D8011" s="7"/>
      <c r="F8011" s="7"/>
      <c r="H8011" s="7"/>
      <c r="J8011" s="7"/>
      <c r="L8011" s="7"/>
      <c r="N8011" s="7"/>
      <c r="P8011" s="7"/>
      <c r="R8011" s="7"/>
      <c r="T8011" s="7"/>
      <c r="V8011" s="7"/>
      <c r="X8011" s="7"/>
    </row>
    <row r="8012" spans="2:24">
      <c r="B8012" s="7"/>
      <c r="D8012" s="7"/>
      <c r="F8012" s="7"/>
      <c r="H8012" s="7"/>
      <c r="J8012" s="7"/>
      <c r="L8012" s="7"/>
      <c r="N8012" s="7"/>
      <c r="P8012" s="7"/>
      <c r="R8012" s="7"/>
      <c r="T8012" s="7"/>
      <c r="V8012" s="7"/>
      <c r="X8012" s="7"/>
    </row>
    <row r="8013" spans="2:24">
      <c r="B8013" s="7"/>
      <c r="D8013" s="7"/>
      <c r="F8013" s="7"/>
      <c r="H8013" s="7"/>
      <c r="J8013" s="7"/>
      <c r="L8013" s="7"/>
      <c r="N8013" s="7"/>
      <c r="P8013" s="7"/>
      <c r="R8013" s="7"/>
      <c r="T8013" s="7"/>
      <c r="V8013" s="7"/>
      <c r="X8013" s="7"/>
    </row>
    <row r="8014" spans="2:24">
      <c r="B8014" s="7"/>
      <c r="D8014" s="7"/>
      <c r="F8014" s="7"/>
      <c r="H8014" s="7"/>
      <c r="J8014" s="7"/>
      <c r="L8014" s="7"/>
      <c r="N8014" s="7"/>
      <c r="P8014" s="7"/>
      <c r="R8014" s="7"/>
      <c r="T8014" s="7"/>
      <c r="V8014" s="7"/>
      <c r="X8014" s="7"/>
    </row>
    <row r="8015" spans="2:24">
      <c r="B8015" s="7"/>
      <c r="D8015" s="7"/>
      <c r="F8015" s="7"/>
      <c r="H8015" s="7"/>
      <c r="J8015" s="7"/>
      <c r="L8015" s="7"/>
      <c r="N8015" s="7"/>
      <c r="P8015" s="7"/>
      <c r="R8015" s="7"/>
      <c r="T8015" s="7"/>
      <c r="V8015" s="7"/>
      <c r="X8015" s="7"/>
    </row>
    <row r="8016" spans="2:24">
      <c r="B8016" s="7"/>
      <c r="D8016" s="7"/>
      <c r="F8016" s="7"/>
      <c r="H8016" s="7"/>
      <c r="J8016" s="7"/>
      <c r="L8016" s="7"/>
      <c r="N8016" s="7"/>
      <c r="P8016" s="7"/>
      <c r="R8016" s="7"/>
      <c r="T8016" s="7"/>
      <c r="V8016" s="7"/>
      <c r="X8016" s="7"/>
    </row>
    <row r="8017" spans="2:24">
      <c r="B8017" s="7"/>
      <c r="D8017" s="7"/>
      <c r="F8017" s="7"/>
      <c r="H8017" s="7"/>
      <c r="J8017" s="7"/>
      <c r="L8017" s="7"/>
      <c r="N8017" s="7"/>
      <c r="P8017" s="7"/>
      <c r="R8017" s="7"/>
      <c r="T8017" s="7"/>
      <c r="V8017" s="7"/>
      <c r="X8017" s="7"/>
    </row>
    <row r="8018" spans="2:24">
      <c r="B8018" s="7"/>
      <c r="D8018" s="7"/>
      <c r="F8018" s="7"/>
      <c r="H8018" s="7"/>
      <c r="J8018" s="7"/>
      <c r="L8018" s="7"/>
      <c r="N8018" s="7"/>
      <c r="P8018" s="7"/>
      <c r="R8018" s="7"/>
      <c r="T8018" s="7"/>
      <c r="V8018" s="7"/>
      <c r="X8018" s="7"/>
    </row>
    <row r="8019" spans="2:24">
      <c r="B8019" s="7"/>
      <c r="D8019" s="7"/>
      <c r="F8019" s="7"/>
      <c r="H8019" s="7"/>
      <c r="J8019" s="7"/>
      <c r="L8019" s="7"/>
      <c r="N8019" s="7"/>
      <c r="P8019" s="7"/>
      <c r="R8019" s="7"/>
      <c r="T8019" s="7"/>
      <c r="V8019" s="7"/>
      <c r="X8019" s="7"/>
    </row>
    <row r="8020" spans="2:24">
      <c r="B8020" s="7"/>
      <c r="D8020" s="7"/>
      <c r="F8020" s="7"/>
      <c r="H8020" s="7"/>
      <c r="J8020" s="7"/>
      <c r="L8020" s="7"/>
      <c r="N8020" s="7"/>
      <c r="P8020" s="7"/>
      <c r="R8020" s="7"/>
      <c r="T8020" s="7"/>
      <c r="V8020" s="7"/>
      <c r="X8020" s="7"/>
    </row>
    <row r="8021" spans="2:24">
      <c r="B8021" s="7"/>
      <c r="D8021" s="7"/>
      <c r="F8021" s="7"/>
      <c r="H8021" s="7"/>
      <c r="J8021" s="7"/>
      <c r="L8021" s="7"/>
      <c r="N8021" s="7"/>
      <c r="P8021" s="7"/>
      <c r="R8021" s="7"/>
      <c r="T8021" s="7"/>
      <c r="V8021" s="7"/>
      <c r="X8021" s="7"/>
    </row>
    <row r="8022" spans="2:24">
      <c r="B8022" s="7"/>
      <c r="D8022" s="7"/>
      <c r="F8022" s="7"/>
      <c r="H8022" s="7"/>
      <c r="J8022" s="7"/>
      <c r="L8022" s="7"/>
      <c r="N8022" s="7"/>
      <c r="P8022" s="7"/>
      <c r="R8022" s="7"/>
      <c r="T8022" s="7"/>
      <c r="V8022" s="7"/>
      <c r="X8022" s="7"/>
    </row>
    <row r="8023" spans="2:24">
      <c r="B8023" s="7"/>
      <c r="D8023" s="7"/>
      <c r="F8023" s="7"/>
      <c r="H8023" s="7"/>
      <c r="J8023" s="7"/>
      <c r="L8023" s="7"/>
      <c r="N8023" s="7"/>
      <c r="P8023" s="7"/>
      <c r="R8023" s="7"/>
      <c r="T8023" s="7"/>
      <c r="V8023" s="7"/>
      <c r="X8023" s="7"/>
    </row>
    <row r="8024" spans="2:24">
      <c r="B8024" s="7"/>
      <c r="D8024" s="7"/>
      <c r="F8024" s="7"/>
      <c r="H8024" s="7"/>
      <c r="J8024" s="7"/>
      <c r="L8024" s="7"/>
      <c r="N8024" s="7"/>
      <c r="P8024" s="7"/>
      <c r="R8024" s="7"/>
      <c r="T8024" s="7"/>
      <c r="V8024" s="7"/>
      <c r="X8024" s="7"/>
    </row>
    <row r="8025" spans="2:24">
      <c r="B8025" s="7"/>
      <c r="D8025" s="7"/>
      <c r="F8025" s="7"/>
      <c r="H8025" s="7"/>
      <c r="J8025" s="7"/>
      <c r="L8025" s="7"/>
      <c r="N8025" s="7"/>
      <c r="P8025" s="7"/>
      <c r="R8025" s="7"/>
      <c r="T8025" s="7"/>
      <c r="V8025" s="7"/>
      <c r="X8025" s="7"/>
    </row>
    <row r="8026" spans="2:24">
      <c r="B8026" s="7"/>
      <c r="D8026" s="7"/>
      <c r="F8026" s="7"/>
      <c r="H8026" s="7"/>
      <c r="J8026" s="7"/>
      <c r="L8026" s="7"/>
      <c r="N8026" s="7"/>
      <c r="P8026" s="7"/>
      <c r="R8026" s="7"/>
      <c r="T8026" s="7"/>
      <c r="V8026" s="7"/>
      <c r="X8026" s="7"/>
    </row>
    <row r="8027" spans="2:24">
      <c r="B8027" s="7"/>
      <c r="D8027" s="7"/>
      <c r="F8027" s="7"/>
      <c r="H8027" s="7"/>
      <c r="J8027" s="7"/>
      <c r="L8027" s="7"/>
      <c r="N8027" s="7"/>
      <c r="P8027" s="7"/>
      <c r="R8027" s="7"/>
      <c r="T8027" s="7"/>
      <c r="V8027" s="7"/>
      <c r="X8027" s="7"/>
    </row>
    <row r="8028" spans="2:24">
      <c r="B8028" s="7"/>
      <c r="D8028" s="7"/>
      <c r="F8028" s="7"/>
      <c r="H8028" s="7"/>
      <c r="J8028" s="7"/>
      <c r="L8028" s="7"/>
      <c r="N8028" s="7"/>
      <c r="P8028" s="7"/>
      <c r="R8028" s="7"/>
      <c r="T8028" s="7"/>
      <c r="V8028" s="7"/>
      <c r="X8028" s="7"/>
    </row>
    <row r="8029" spans="2:24">
      <c r="B8029" s="7"/>
      <c r="D8029" s="7"/>
      <c r="F8029" s="7"/>
      <c r="H8029" s="7"/>
      <c r="J8029" s="7"/>
      <c r="L8029" s="7"/>
      <c r="N8029" s="7"/>
      <c r="P8029" s="7"/>
      <c r="R8029" s="7"/>
      <c r="T8029" s="7"/>
      <c r="V8029" s="7"/>
      <c r="X8029" s="7"/>
    </row>
    <row r="8030" spans="2:24">
      <c r="B8030" s="7"/>
      <c r="D8030" s="7"/>
      <c r="F8030" s="7"/>
      <c r="H8030" s="7"/>
      <c r="J8030" s="7"/>
      <c r="L8030" s="7"/>
      <c r="N8030" s="7"/>
      <c r="P8030" s="7"/>
      <c r="R8030" s="7"/>
      <c r="T8030" s="7"/>
      <c r="V8030" s="7"/>
      <c r="X8030" s="7"/>
    </row>
    <row r="8031" spans="2:24">
      <c r="B8031" s="7"/>
      <c r="D8031" s="7"/>
      <c r="F8031" s="7"/>
      <c r="H8031" s="7"/>
      <c r="J8031" s="7"/>
      <c r="L8031" s="7"/>
      <c r="N8031" s="7"/>
      <c r="P8031" s="7"/>
      <c r="R8031" s="7"/>
      <c r="T8031" s="7"/>
      <c r="V8031" s="7"/>
      <c r="X8031" s="7"/>
    </row>
    <row r="8032" spans="2:24">
      <c r="B8032" s="7"/>
      <c r="D8032" s="7"/>
      <c r="F8032" s="7"/>
      <c r="H8032" s="7"/>
      <c r="J8032" s="7"/>
      <c r="L8032" s="7"/>
      <c r="N8032" s="7"/>
      <c r="P8032" s="7"/>
      <c r="R8032" s="7"/>
      <c r="T8032" s="7"/>
      <c r="V8032" s="7"/>
      <c r="X8032" s="7"/>
    </row>
    <row r="8033" spans="2:24">
      <c r="B8033" s="7"/>
      <c r="D8033" s="7"/>
      <c r="F8033" s="7"/>
      <c r="H8033" s="7"/>
      <c r="J8033" s="7"/>
      <c r="L8033" s="7"/>
      <c r="N8033" s="7"/>
      <c r="P8033" s="7"/>
      <c r="R8033" s="7"/>
      <c r="T8033" s="7"/>
      <c r="V8033" s="7"/>
      <c r="X8033" s="7"/>
    </row>
    <row r="8034" spans="2:24">
      <c r="B8034" s="7"/>
      <c r="D8034" s="7"/>
      <c r="F8034" s="7"/>
      <c r="H8034" s="7"/>
      <c r="J8034" s="7"/>
      <c r="L8034" s="7"/>
      <c r="N8034" s="7"/>
      <c r="P8034" s="7"/>
      <c r="R8034" s="7"/>
      <c r="T8034" s="7"/>
      <c r="V8034" s="7"/>
      <c r="X8034" s="7"/>
    </row>
    <row r="8035" spans="2:24">
      <c r="B8035" s="7"/>
      <c r="D8035" s="7"/>
      <c r="F8035" s="7"/>
      <c r="H8035" s="7"/>
      <c r="J8035" s="7"/>
      <c r="L8035" s="7"/>
      <c r="N8035" s="7"/>
      <c r="P8035" s="7"/>
      <c r="R8035" s="7"/>
      <c r="T8035" s="7"/>
      <c r="V8035" s="7"/>
      <c r="X8035" s="7"/>
    </row>
    <row r="8036" spans="2:24">
      <c r="B8036" s="7"/>
      <c r="D8036" s="7"/>
      <c r="F8036" s="7"/>
      <c r="H8036" s="7"/>
      <c r="J8036" s="7"/>
      <c r="L8036" s="7"/>
      <c r="N8036" s="7"/>
      <c r="P8036" s="7"/>
      <c r="R8036" s="7"/>
      <c r="T8036" s="7"/>
      <c r="V8036" s="7"/>
      <c r="X8036" s="7"/>
    </row>
    <row r="8037" spans="2:24">
      <c r="B8037" s="7"/>
      <c r="D8037" s="7"/>
      <c r="F8037" s="7"/>
      <c r="H8037" s="7"/>
      <c r="J8037" s="7"/>
      <c r="L8037" s="7"/>
      <c r="N8037" s="7"/>
      <c r="P8037" s="7"/>
      <c r="R8037" s="7"/>
      <c r="T8037" s="7"/>
      <c r="V8037" s="7"/>
      <c r="X8037" s="7"/>
    </row>
    <row r="8038" spans="2:24">
      <c r="B8038" s="7"/>
      <c r="D8038" s="7"/>
      <c r="F8038" s="7"/>
      <c r="H8038" s="7"/>
      <c r="J8038" s="7"/>
      <c r="L8038" s="7"/>
      <c r="N8038" s="7"/>
      <c r="P8038" s="7"/>
      <c r="R8038" s="7"/>
      <c r="T8038" s="7"/>
      <c r="V8038" s="7"/>
      <c r="X8038" s="7"/>
    </row>
    <row r="8039" spans="2:24">
      <c r="B8039" s="7"/>
      <c r="D8039" s="7"/>
      <c r="F8039" s="7"/>
      <c r="H8039" s="7"/>
      <c r="J8039" s="7"/>
      <c r="L8039" s="7"/>
      <c r="N8039" s="7"/>
      <c r="P8039" s="7"/>
      <c r="R8039" s="7"/>
      <c r="T8039" s="7"/>
      <c r="V8039" s="7"/>
      <c r="X8039" s="7"/>
    </row>
    <row r="8040" spans="2:24">
      <c r="B8040" s="7"/>
      <c r="D8040" s="7"/>
      <c r="F8040" s="7"/>
      <c r="H8040" s="7"/>
      <c r="J8040" s="7"/>
      <c r="L8040" s="7"/>
      <c r="N8040" s="7"/>
      <c r="P8040" s="7"/>
      <c r="R8040" s="7"/>
      <c r="T8040" s="7"/>
      <c r="V8040" s="7"/>
      <c r="X8040" s="7"/>
    </row>
    <row r="8041" spans="2:24">
      <c r="B8041" s="7"/>
      <c r="D8041" s="7"/>
      <c r="F8041" s="7"/>
      <c r="H8041" s="7"/>
      <c r="J8041" s="7"/>
      <c r="L8041" s="7"/>
      <c r="N8041" s="7"/>
      <c r="P8041" s="7"/>
      <c r="R8041" s="7"/>
      <c r="T8041" s="7"/>
      <c r="V8041" s="7"/>
      <c r="X8041" s="7"/>
    </row>
    <row r="8042" spans="2:24">
      <c r="B8042" s="7"/>
      <c r="D8042" s="7"/>
      <c r="F8042" s="7"/>
      <c r="H8042" s="7"/>
      <c r="J8042" s="7"/>
      <c r="L8042" s="7"/>
      <c r="N8042" s="7"/>
      <c r="P8042" s="7"/>
      <c r="R8042" s="7"/>
      <c r="T8042" s="7"/>
      <c r="V8042" s="7"/>
      <c r="X8042" s="7"/>
    </row>
    <row r="8043" spans="2:24">
      <c r="B8043" s="7"/>
      <c r="D8043" s="7"/>
      <c r="F8043" s="7"/>
      <c r="H8043" s="7"/>
      <c r="J8043" s="7"/>
      <c r="L8043" s="7"/>
      <c r="N8043" s="7"/>
      <c r="P8043" s="7"/>
      <c r="R8043" s="7"/>
      <c r="T8043" s="7"/>
      <c r="V8043" s="7"/>
      <c r="X8043" s="7"/>
    </row>
    <row r="8044" spans="2:24">
      <c r="B8044" s="7"/>
      <c r="D8044" s="7"/>
      <c r="F8044" s="7"/>
      <c r="H8044" s="7"/>
      <c r="J8044" s="7"/>
      <c r="L8044" s="7"/>
      <c r="N8044" s="7"/>
      <c r="P8044" s="7"/>
      <c r="R8044" s="7"/>
      <c r="T8044" s="7"/>
      <c r="V8044" s="7"/>
      <c r="X8044" s="7"/>
    </row>
    <row r="8045" spans="2:24">
      <c r="B8045" s="7"/>
      <c r="D8045" s="7"/>
      <c r="F8045" s="7"/>
      <c r="H8045" s="7"/>
      <c r="J8045" s="7"/>
      <c r="L8045" s="7"/>
      <c r="N8045" s="7"/>
      <c r="P8045" s="7"/>
      <c r="R8045" s="7"/>
      <c r="T8045" s="7"/>
      <c r="V8045" s="7"/>
      <c r="X8045" s="7"/>
    </row>
    <row r="8046" spans="2:24">
      <c r="B8046" s="7"/>
      <c r="D8046" s="7"/>
      <c r="F8046" s="7"/>
      <c r="H8046" s="7"/>
      <c r="J8046" s="7"/>
      <c r="L8046" s="7"/>
      <c r="N8046" s="7"/>
      <c r="P8046" s="7"/>
      <c r="R8046" s="7"/>
      <c r="T8046" s="7"/>
      <c r="V8046" s="7"/>
      <c r="X8046" s="7"/>
    </row>
    <row r="8047" spans="2:24">
      <c r="B8047" s="7"/>
      <c r="D8047" s="7"/>
      <c r="F8047" s="7"/>
      <c r="H8047" s="7"/>
      <c r="J8047" s="7"/>
      <c r="L8047" s="7"/>
      <c r="N8047" s="7"/>
      <c r="P8047" s="7"/>
      <c r="R8047" s="7"/>
      <c r="T8047" s="7"/>
      <c r="V8047" s="7"/>
      <c r="X8047" s="7"/>
    </row>
    <row r="8048" spans="2:24">
      <c r="B8048" s="7"/>
      <c r="D8048" s="7"/>
      <c r="F8048" s="7"/>
      <c r="H8048" s="7"/>
      <c r="J8048" s="7"/>
      <c r="L8048" s="7"/>
      <c r="N8048" s="7"/>
      <c r="P8048" s="7"/>
      <c r="R8048" s="7"/>
      <c r="T8048" s="7"/>
      <c r="V8048" s="7"/>
      <c r="X8048" s="7"/>
    </row>
    <row r="8049" spans="2:24">
      <c r="B8049" s="7"/>
      <c r="D8049" s="7"/>
      <c r="F8049" s="7"/>
      <c r="H8049" s="7"/>
      <c r="J8049" s="7"/>
      <c r="L8049" s="7"/>
      <c r="N8049" s="7"/>
      <c r="P8049" s="7"/>
      <c r="R8049" s="7"/>
      <c r="T8049" s="7"/>
      <c r="V8049" s="7"/>
      <c r="X8049" s="7"/>
    </row>
    <row r="8050" spans="2:24">
      <c r="B8050" s="7"/>
      <c r="D8050" s="7"/>
      <c r="F8050" s="7"/>
      <c r="H8050" s="7"/>
      <c r="J8050" s="7"/>
      <c r="L8050" s="7"/>
      <c r="N8050" s="7"/>
      <c r="P8050" s="7"/>
      <c r="R8050" s="7"/>
      <c r="T8050" s="7"/>
      <c r="V8050" s="7"/>
      <c r="X8050" s="7"/>
    </row>
    <row r="8051" spans="2:24">
      <c r="B8051" s="7"/>
      <c r="D8051" s="7"/>
      <c r="F8051" s="7"/>
      <c r="H8051" s="7"/>
      <c r="J8051" s="7"/>
      <c r="L8051" s="7"/>
      <c r="N8051" s="7"/>
      <c r="P8051" s="7"/>
      <c r="R8051" s="7"/>
      <c r="T8051" s="7"/>
      <c r="V8051" s="7"/>
      <c r="X8051" s="7"/>
    </row>
    <row r="8052" spans="2:24">
      <c r="B8052" s="7"/>
      <c r="D8052" s="7"/>
      <c r="F8052" s="7"/>
      <c r="H8052" s="7"/>
      <c r="J8052" s="7"/>
      <c r="L8052" s="7"/>
      <c r="N8052" s="7"/>
      <c r="P8052" s="7"/>
      <c r="R8052" s="7"/>
      <c r="T8052" s="7"/>
      <c r="V8052" s="7"/>
      <c r="X8052" s="7"/>
    </row>
    <row r="8053" spans="2:24">
      <c r="B8053" s="7"/>
      <c r="D8053" s="7"/>
      <c r="F8053" s="7"/>
      <c r="H8053" s="7"/>
      <c r="J8053" s="7"/>
      <c r="L8053" s="7"/>
      <c r="N8053" s="7"/>
      <c r="P8053" s="7"/>
      <c r="R8053" s="7"/>
      <c r="T8053" s="7"/>
      <c r="V8053" s="7"/>
      <c r="X8053" s="7"/>
    </row>
    <row r="8054" spans="2:24">
      <c r="B8054" s="7"/>
      <c r="D8054" s="7"/>
      <c r="F8054" s="7"/>
      <c r="H8054" s="7"/>
      <c r="J8054" s="7"/>
      <c r="L8054" s="7"/>
      <c r="N8054" s="7"/>
      <c r="P8054" s="7"/>
      <c r="R8054" s="7"/>
      <c r="T8054" s="7"/>
      <c r="V8054" s="7"/>
      <c r="X8054" s="7"/>
    </row>
    <row r="8055" spans="2:24">
      <c r="B8055" s="7"/>
      <c r="D8055" s="7"/>
      <c r="F8055" s="7"/>
      <c r="H8055" s="7"/>
      <c r="J8055" s="7"/>
      <c r="L8055" s="7"/>
      <c r="N8055" s="7"/>
      <c r="P8055" s="7"/>
      <c r="R8055" s="7"/>
      <c r="T8055" s="7"/>
      <c r="V8055" s="7"/>
      <c r="X8055" s="7"/>
    </row>
    <row r="8056" spans="2:24">
      <c r="B8056" s="7"/>
      <c r="D8056" s="7"/>
      <c r="F8056" s="7"/>
      <c r="H8056" s="7"/>
      <c r="J8056" s="7"/>
      <c r="L8056" s="7"/>
      <c r="N8056" s="7"/>
      <c r="P8056" s="7"/>
      <c r="R8056" s="7"/>
      <c r="T8056" s="7"/>
      <c r="V8056" s="7"/>
      <c r="X8056" s="7"/>
    </row>
    <row r="8057" spans="2:24">
      <c r="B8057" s="7"/>
      <c r="D8057" s="7"/>
      <c r="F8057" s="7"/>
      <c r="H8057" s="7"/>
      <c r="J8057" s="7"/>
      <c r="L8057" s="7"/>
      <c r="N8057" s="7"/>
      <c r="P8057" s="7"/>
      <c r="R8057" s="7"/>
      <c r="T8057" s="7"/>
      <c r="V8057" s="7"/>
      <c r="X8057" s="7"/>
    </row>
    <row r="8058" spans="2:24">
      <c r="B8058" s="7"/>
      <c r="D8058" s="7"/>
      <c r="F8058" s="7"/>
      <c r="H8058" s="7"/>
      <c r="J8058" s="7"/>
      <c r="L8058" s="7"/>
      <c r="N8058" s="7"/>
      <c r="P8058" s="7"/>
      <c r="R8058" s="7"/>
      <c r="T8058" s="7"/>
      <c r="V8058" s="7"/>
      <c r="X8058" s="7"/>
    </row>
    <row r="8059" spans="2:24">
      <c r="B8059" s="7"/>
      <c r="D8059" s="7"/>
      <c r="F8059" s="7"/>
      <c r="H8059" s="7"/>
      <c r="J8059" s="7"/>
      <c r="L8059" s="7"/>
      <c r="N8059" s="7"/>
      <c r="P8059" s="7"/>
      <c r="R8059" s="7"/>
      <c r="T8059" s="7"/>
      <c r="V8059" s="7"/>
      <c r="X8059" s="7"/>
    </row>
    <row r="8060" spans="2:24">
      <c r="B8060" s="7"/>
      <c r="D8060" s="7"/>
      <c r="F8060" s="7"/>
      <c r="H8060" s="7"/>
      <c r="J8060" s="7"/>
      <c r="L8060" s="7"/>
      <c r="N8060" s="7"/>
      <c r="P8060" s="7"/>
      <c r="R8060" s="7"/>
      <c r="T8060" s="7"/>
      <c r="V8060" s="7"/>
      <c r="X8060" s="7"/>
    </row>
    <row r="8061" spans="2:24">
      <c r="B8061" s="7"/>
      <c r="D8061" s="7"/>
      <c r="F8061" s="7"/>
      <c r="H8061" s="7"/>
      <c r="J8061" s="7"/>
      <c r="L8061" s="7"/>
      <c r="N8061" s="7"/>
      <c r="P8061" s="7"/>
      <c r="R8061" s="7"/>
      <c r="T8061" s="7"/>
      <c r="V8061" s="7"/>
      <c r="X8061" s="7"/>
    </row>
    <row r="8062" spans="2:24">
      <c r="B8062" s="7"/>
      <c r="D8062" s="7"/>
      <c r="F8062" s="7"/>
      <c r="H8062" s="7"/>
      <c r="J8062" s="7"/>
      <c r="L8062" s="7"/>
      <c r="N8062" s="7"/>
      <c r="P8062" s="7"/>
      <c r="R8062" s="7"/>
      <c r="T8062" s="7"/>
      <c r="V8062" s="7"/>
      <c r="X8062" s="7"/>
    </row>
    <row r="8063" spans="2:24">
      <c r="B8063" s="7"/>
      <c r="D8063" s="7"/>
      <c r="F8063" s="7"/>
      <c r="H8063" s="7"/>
      <c r="J8063" s="7"/>
      <c r="L8063" s="7"/>
      <c r="N8063" s="7"/>
      <c r="P8063" s="7"/>
      <c r="R8063" s="7"/>
      <c r="T8063" s="7"/>
      <c r="V8063" s="7"/>
      <c r="X8063" s="7"/>
    </row>
    <row r="8064" spans="2:24">
      <c r="B8064" s="7"/>
      <c r="D8064" s="7"/>
      <c r="F8064" s="7"/>
      <c r="H8064" s="7"/>
      <c r="J8064" s="7"/>
      <c r="L8064" s="7"/>
      <c r="N8064" s="7"/>
      <c r="P8064" s="7"/>
      <c r="R8064" s="7"/>
      <c r="T8064" s="7"/>
      <c r="V8064" s="7"/>
      <c r="X8064" s="7"/>
    </row>
    <row r="8065" spans="2:24">
      <c r="B8065" s="7"/>
      <c r="D8065" s="7"/>
      <c r="F8065" s="7"/>
      <c r="H8065" s="7"/>
      <c r="J8065" s="7"/>
      <c r="L8065" s="7"/>
      <c r="N8065" s="7"/>
      <c r="P8065" s="7"/>
      <c r="R8065" s="7"/>
      <c r="T8065" s="7"/>
      <c r="V8065" s="7"/>
      <c r="X8065" s="7"/>
    </row>
    <row r="8066" spans="2:24">
      <c r="B8066" s="7"/>
      <c r="D8066" s="7"/>
      <c r="F8066" s="7"/>
      <c r="H8066" s="7"/>
      <c r="J8066" s="7"/>
      <c r="L8066" s="7"/>
      <c r="N8066" s="7"/>
      <c r="P8066" s="7"/>
      <c r="R8066" s="7"/>
      <c r="T8066" s="7"/>
      <c r="V8066" s="7"/>
      <c r="X8066" s="7"/>
    </row>
    <row r="8067" spans="2:24">
      <c r="B8067" s="7"/>
      <c r="D8067" s="7"/>
      <c r="F8067" s="7"/>
      <c r="H8067" s="7"/>
      <c r="J8067" s="7"/>
      <c r="L8067" s="7"/>
      <c r="N8067" s="7"/>
      <c r="P8067" s="7"/>
      <c r="R8067" s="7"/>
      <c r="T8067" s="7"/>
      <c r="V8067" s="7"/>
      <c r="X8067" s="7"/>
    </row>
    <row r="8068" spans="2:24">
      <c r="B8068" s="7"/>
      <c r="D8068" s="7"/>
      <c r="F8068" s="7"/>
      <c r="H8068" s="7"/>
      <c r="J8068" s="7"/>
      <c r="L8068" s="7"/>
      <c r="N8068" s="7"/>
      <c r="P8068" s="7"/>
      <c r="R8068" s="7"/>
      <c r="T8068" s="7"/>
      <c r="V8068" s="7"/>
      <c r="X8068" s="7"/>
    </row>
    <row r="8069" spans="2:24">
      <c r="B8069" s="7"/>
      <c r="D8069" s="7"/>
      <c r="F8069" s="7"/>
      <c r="H8069" s="7"/>
      <c r="J8069" s="7"/>
      <c r="L8069" s="7"/>
      <c r="N8069" s="7"/>
      <c r="P8069" s="7"/>
      <c r="R8069" s="7"/>
      <c r="T8069" s="7"/>
      <c r="V8069" s="7"/>
      <c r="X8069" s="7"/>
    </row>
    <row r="8070" spans="2:24">
      <c r="B8070" s="7"/>
      <c r="D8070" s="7"/>
      <c r="F8070" s="7"/>
      <c r="H8070" s="7"/>
      <c r="J8070" s="7"/>
      <c r="L8070" s="7"/>
      <c r="N8070" s="7"/>
      <c r="P8070" s="7"/>
      <c r="R8070" s="7"/>
      <c r="T8070" s="7"/>
      <c r="V8070" s="7"/>
      <c r="X8070" s="7"/>
    </row>
    <row r="8071" spans="2:24">
      <c r="B8071" s="7"/>
      <c r="D8071" s="7"/>
      <c r="F8071" s="7"/>
      <c r="H8071" s="7"/>
      <c r="J8071" s="7"/>
      <c r="L8071" s="7"/>
      <c r="N8071" s="7"/>
      <c r="P8071" s="7"/>
      <c r="R8071" s="7"/>
      <c r="T8071" s="7"/>
      <c r="V8071" s="7"/>
      <c r="X8071" s="7"/>
    </row>
    <row r="8072" spans="2:24">
      <c r="B8072" s="7"/>
      <c r="D8072" s="7"/>
      <c r="F8072" s="7"/>
      <c r="H8072" s="7"/>
      <c r="J8072" s="7"/>
      <c r="L8072" s="7"/>
      <c r="N8072" s="7"/>
      <c r="P8072" s="7"/>
      <c r="R8072" s="7"/>
      <c r="T8072" s="7"/>
      <c r="V8072" s="7"/>
      <c r="X8072" s="7"/>
    </row>
    <row r="8073" spans="2:24">
      <c r="B8073" s="7"/>
      <c r="D8073" s="7"/>
      <c r="F8073" s="7"/>
      <c r="H8073" s="7"/>
      <c r="J8073" s="7"/>
      <c r="L8073" s="7"/>
      <c r="N8073" s="7"/>
      <c r="P8073" s="7"/>
      <c r="R8073" s="7"/>
      <c r="T8073" s="7"/>
      <c r="V8073" s="7"/>
      <c r="X8073" s="7"/>
    </row>
    <row r="8074" spans="2:24">
      <c r="B8074" s="7"/>
      <c r="D8074" s="7"/>
      <c r="F8074" s="7"/>
      <c r="H8074" s="7"/>
      <c r="J8074" s="7"/>
      <c r="L8074" s="7"/>
      <c r="N8074" s="7"/>
      <c r="P8074" s="7"/>
      <c r="R8074" s="7"/>
      <c r="T8074" s="7"/>
      <c r="V8074" s="7"/>
      <c r="X8074" s="7"/>
    </row>
    <row r="8075" spans="2:24">
      <c r="B8075" s="7"/>
      <c r="D8075" s="7"/>
      <c r="F8075" s="7"/>
      <c r="H8075" s="7"/>
      <c r="J8075" s="7"/>
      <c r="L8075" s="7"/>
      <c r="N8075" s="7"/>
      <c r="P8075" s="7"/>
      <c r="R8075" s="7"/>
      <c r="T8075" s="7"/>
      <c r="V8075" s="7"/>
      <c r="X8075" s="7"/>
    </row>
    <row r="8076" spans="2:24">
      <c r="B8076" s="7"/>
      <c r="D8076" s="7"/>
      <c r="F8076" s="7"/>
      <c r="H8076" s="7"/>
      <c r="J8076" s="7"/>
      <c r="L8076" s="7"/>
      <c r="N8076" s="7"/>
      <c r="P8076" s="7"/>
      <c r="R8076" s="7"/>
      <c r="T8076" s="7"/>
      <c r="V8076" s="7"/>
      <c r="X8076" s="7"/>
    </row>
    <row r="8077" spans="2:24">
      <c r="B8077" s="7"/>
      <c r="D8077" s="7"/>
      <c r="F8077" s="7"/>
      <c r="H8077" s="7"/>
      <c r="J8077" s="7"/>
      <c r="L8077" s="7"/>
      <c r="N8077" s="7"/>
      <c r="P8077" s="7"/>
      <c r="R8077" s="7"/>
      <c r="T8077" s="7"/>
      <c r="V8077" s="7"/>
      <c r="X8077" s="7"/>
    </row>
    <row r="8078" spans="2:24">
      <c r="B8078" s="7"/>
      <c r="D8078" s="7"/>
      <c r="F8078" s="7"/>
      <c r="H8078" s="7"/>
      <c r="J8078" s="7"/>
      <c r="L8078" s="7"/>
      <c r="N8078" s="7"/>
      <c r="P8078" s="7"/>
      <c r="R8078" s="7"/>
      <c r="T8078" s="7"/>
      <c r="V8078" s="7"/>
      <c r="X8078" s="7"/>
    </row>
    <row r="8079" spans="2:24">
      <c r="B8079" s="7"/>
      <c r="D8079" s="7"/>
      <c r="F8079" s="7"/>
      <c r="H8079" s="7"/>
      <c r="J8079" s="7"/>
      <c r="L8079" s="7"/>
      <c r="N8079" s="7"/>
      <c r="P8079" s="7"/>
      <c r="R8079" s="7"/>
      <c r="T8079" s="7"/>
      <c r="V8079" s="7"/>
      <c r="X8079" s="7"/>
    </row>
    <row r="8080" spans="2:24">
      <c r="B8080" s="7"/>
      <c r="D8080" s="7"/>
      <c r="F8080" s="7"/>
      <c r="H8080" s="7"/>
      <c r="J8080" s="7"/>
      <c r="L8080" s="7"/>
      <c r="N8080" s="7"/>
      <c r="P8080" s="7"/>
      <c r="R8080" s="7"/>
      <c r="T8080" s="7"/>
      <c r="V8080" s="7"/>
      <c r="X8080" s="7"/>
    </row>
    <row r="8081" spans="2:24">
      <c r="B8081" s="7"/>
      <c r="D8081" s="7"/>
      <c r="F8081" s="7"/>
      <c r="H8081" s="7"/>
      <c r="J8081" s="7"/>
      <c r="L8081" s="7"/>
      <c r="N8081" s="7"/>
      <c r="P8081" s="7"/>
      <c r="R8081" s="7"/>
      <c r="T8081" s="7"/>
      <c r="V8081" s="7"/>
      <c r="X8081" s="7"/>
    </row>
    <row r="8082" spans="2:24">
      <c r="B8082" s="7"/>
      <c r="D8082" s="7"/>
      <c r="F8082" s="7"/>
      <c r="H8082" s="7"/>
      <c r="J8082" s="7"/>
      <c r="L8082" s="7"/>
      <c r="N8082" s="7"/>
      <c r="P8082" s="7"/>
      <c r="R8082" s="7"/>
      <c r="T8082" s="7"/>
      <c r="V8082" s="7"/>
      <c r="X8082" s="7"/>
    </row>
    <row r="8083" spans="2:24">
      <c r="B8083" s="7"/>
      <c r="D8083" s="7"/>
      <c r="F8083" s="7"/>
      <c r="H8083" s="7"/>
      <c r="J8083" s="7"/>
      <c r="L8083" s="7"/>
      <c r="N8083" s="7"/>
      <c r="P8083" s="7"/>
      <c r="R8083" s="7"/>
      <c r="T8083" s="7"/>
      <c r="V8083" s="7"/>
      <c r="X8083" s="7"/>
    </row>
    <row r="8084" spans="2:24">
      <c r="B8084" s="7"/>
      <c r="D8084" s="7"/>
      <c r="F8084" s="7"/>
      <c r="H8084" s="7"/>
      <c r="J8084" s="7"/>
      <c r="L8084" s="7"/>
      <c r="N8084" s="7"/>
      <c r="P8084" s="7"/>
      <c r="R8084" s="7"/>
      <c r="T8084" s="7"/>
      <c r="V8084" s="7"/>
      <c r="X8084" s="7"/>
    </row>
    <row r="8085" spans="2:24">
      <c r="B8085" s="7"/>
      <c r="D8085" s="7"/>
      <c r="F8085" s="7"/>
      <c r="H8085" s="7"/>
      <c r="J8085" s="7"/>
      <c r="L8085" s="7"/>
      <c r="N8085" s="7"/>
      <c r="P8085" s="7"/>
      <c r="R8085" s="7"/>
      <c r="T8085" s="7"/>
      <c r="V8085" s="7"/>
      <c r="X8085" s="7"/>
    </row>
    <row r="8086" spans="2:24">
      <c r="B8086" s="7"/>
      <c r="D8086" s="7"/>
      <c r="F8086" s="7"/>
      <c r="H8086" s="7"/>
      <c r="J8086" s="7"/>
      <c r="L8086" s="7"/>
      <c r="N8086" s="7"/>
      <c r="P8086" s="7"/>
      <c r="R8086" s="7"/>
      <c r="T8086" s="7"/>
      <c r="V8086" s="7"/>
      <c r="X8086" s="7"/>
    </row>
    <row r="8087" spans="2:24">
      <c r="B8087" s="7"/>
      <c r="D8087" s="7"/>
      <c r="F8087" s="7"/>
      <c r="H8087" s="7"/>
      <c r="J8087" s="7"/>
      <c r="L8087" s="7"/>
      <c r="N8087" s="7"/>
      <c r="P8087" s="7"/>
      <c r="R8087" s="7"/>
      <c r="T8087" s="7"/>
      <c r="V8087" s="7"/>
      <c r="X8087" s="7"/>
    </row>
    <row r="8088" spans="2:24">
      <c r="B8088" s="7"/>
      <c r="D8088" s="7"/>
      <c r="F8088" s="7"/>
      <c r="H8088" s="7"/>
      <c r="J8088" s="7"/>
      <c r="L8088" s="7"/>
      <c r="N8088" s="7"/>
      <c r="P8088" s="7"/>
      <c r="R8088" s="7"/>
      <c r="T8088" s="7"/>
      <c r="V8088" s="7"/>
      <c r="X8088" s="7"/>
    </row>
    <row r="8089" spans="2:24">
      <c r="B8089" s="7"/>
      <c r="D8089" s="7"/>
      <c r="F8089" s="7"/>
      <c r="H8089" s="7"/>
      <c r="J8089" s="7"/>
      <c r="L8089" s="7"/>
      <c r="N8089" s="7"/>
      <c r="P8089" s="7"/>
      <c r="R8089" s="7"/>
      <c r="T8089" s="7"/>
      <c r="V8089" s="7"/>
      <c r="X8089" s="7"/>
    </row>
    <row r="8090" spans="2:24">
      <c r="B8090" s="7"/>
      <c r="D8090" s="7"/>
      <c r="F8090" s="7"/>
      <c r="H8090" s="7"/>
      <c r="J8090" s="7"/>
      <c r="L8090" s="7"/>
      <c r="N8090" s="7"/>
      <c r="P8090" s="7"/>
      <c r="R8090" s="7"/>
      <c r="T8090" s="7"/>
      <c r="V8090" s="7"/>
      <c r="X8090" s="7"/>
    </row>
    <row r="8091" spans="2:24">
      <c r="B8091" s="7"/>
      <c r="D8091" s="7"/>
      <c r="F8091" s="7"/>
      <c r="H8091" s="7"/>
      <c r="J8091" s="7"/>
      <c r="L8091" s="7"/>
      <c r="N8091" s="7"/>
      <c r="P8091" s="7"/>
      <c r="R8091" s="7"/>
      <c r="T8091" s="7"/>
      <c r="V8091" s="7"/>
      <c r="X8091" s="7"/>
    </row>
    <row r="8092" spans="2:24">
      <c r="B8092" s="7"/>
      <c r="D8092" s="7"/>
      <c r="F8092" s="7"/>
      <c r="H8092" s="7"/>
      <c r="J8092" s="7"/>
      <c r="L8092" s="7"/>
      <c r="N8092" s="7"/>
      <c r="P8092" s="7"/>
      <c r="R8092" s="7"/>
      <c r="T8092" s="7"/>
      <c r="V8092" s="7"/>
      <c r="X8092" s="7"/>
    </row>
    <row r="8093" spans="2:24">
      <c r="B8093" s="7"/>
      <c r="D8093" s="7"/>
      <c r="F8093" s="7"/>
      <c r="H8093" s="7"/>
      <c r="J8093" s="7"/>
      <c r="L8093" s="7"/>
      <c r="N8093" s="7"/>
      <c r="P8093" s="7"/>
      <c r="R8093" s="7"/>
      <c r="T8093" s="7"/>
      <c r="V8093" s="7"/>
      <c r="X8093" s="7"/>
    </row>
    <row r="8094" spans="2:24">
      <c r="B8094" s="7"/>
      <c r="D8094" s="7"/>
      <c r="F8094" s="7"/>
      <c r="H8094" s="7"/>
      <c r="J8094" s="7"/>
      <c r="L8094" s="7"/>
      <c r="N8094" s="7"/>
      <c r="P8094" s="7"/>
      <c r="R8094" s="7"/>
      <c r="T8094" s="7"/>
      <c r="V8094" s="7"/>
      <c r="X8094" s="7"/>
    </row>
    <row r="8095" spans="2:24">
      <c r="B8095" s="7"/>
      <c r="D8095" s="7"/>
      <c r="F8095" s="7"/>
      <c r="H8095" s="7"/>
      <c r="J8095" s="7"/>
      <c r="L8095" s="7"/>
      <c r="N8095" s="7"/>
      <c r="P8095" s="7"/>
      <c r="R8095" s="7"/>
      <c r="T8095" s="7"/>
      <c r="V8095" s="7"/>
      <c r="X8095" s="7"/>
    </row>
    <row r="8096" spans="2:24">
      <c r="B8096" s="7"/>
      <c r="D8096" s="7"/>
      <c r="F8096" s="7"/>
      <c r="H8096" s="7"/>
      <c r="J8096" s="7"/>
      <c r="L8096" s="7"/>
      <c r="N8096" s="7"/>
      <c r="P8096" s="7"/>
      <c r="R8096" s="7"/>
      <c r="T8096" s="7"/>
      <c r="V8096" s="7"/>
      <c r="X8096" s="7"/>
    </row>
    <row r="8097" spans="2:24">
      <c r="B8097" s="7"/>
      <c r="D8097" s="7"/>
      <c r="F8097" s="7"/>
      <c r="H8097" s="7"/>
      <c r="J8097" s="7"/>
      <c r="L8097" s="7"/>
      <c r="N8097" s="7"/>
      <c r="P8097" s="7"/>
      <c r="R8097" s="7"/>
      <c r="T8097" s="7"/>
      <c r="V8097" s="7"/>
      <c r="X8097" s="7"/>
    </row>
    <row r="8098" spans="2:24">
      <c r="B8098" s="7"/>
      <c r="D8098" s="7"/>
      <c r="F8098" s="7"/>
      <c r="H8098" s="7"/>
      <c r="J8098" s="7"/>
      <c r="L8098" s="7"/>
      <c r="N8098" s="7"/>
      <c r="P8098" s="7"/>
      <c r="R8098" s="7"/>
      <c r="T8098" s="7"/>
      <c r="V8098" s="7"/>
      <c r="X8098" s="7"/>
    </row>
    <row r="8099" spans="2:24">
      <c r="B8099" s="7"/>
      <c r="D8099" s="7"/>
      <c r="F8099" s="7"/>
      <c r="H8099" s="7"/>
      <c r="J8099" s="7"/>
      <c r="L8099" s="7"/>
      <c r="N8099" s="7"/>
      <c r="P8099" s="7"/>
      <c r="R8099" s="7"/>
      <c r="T8099" s="7"/>
      <c r="V8099" s="7"/>
      <c r="X8099" s="7"/>
    </row>
    <row r="8100" spans="2:24">
      <c r="B8100" s="7"/>
      <c r="D8100" s="7"/>
      <c r="F8100" s="7"/>
      <c r="H8100" s="7"/>
      <c r="J8100" s="7"/>
      <c r="L8100" s="7"/>
      <c r="N8100" s="7"/>
      <c r="P8100" s="7"/>
      <c r="R8100" s="7"/>
      <c r="T8100" s="7"/>
      <c r="V8100" s="7"/>
      <c r="X8100" s="7"/>
    </row>
    <row r="8101" spans="2:24">
      <c r="B8101" s="7"/>
      <c r="D8101" s="7"/>
      <c r="F8101" s="7"/>
      <c r="H8101" s="7"/>
      <c r="J8101" s="7"/>
      <c r="L8101" s="7"/>
      <c r="N8101" s="7"/>
      <c r="P8101" s="7"/>
      <c r="R8101" s="7"/>
      <c r="T8101" s="7"/>
      <c r="V8101" s="7"/>
      <c r="X8101" s="7"/>
    </row>
    <row r="8102" spans="2:24">
      <c r="B8102" s="7"/>
      <c r="D8102" s="7"/>
      <c r="F8102" s="7"/>
      <c r="H8102" s="7"/>
      <c r="J8102" s="7"/>
      <c r="L8102" s="7"/>
      <c r="N8102" s="7"/>
      <c r="P8102" s="7"/>
      <c r="R8102" s="7"/>
      <c r="T8102" s="7"/>
      <c r="V8102" s="7"/>
      <c r="X8102" s="7"/>
    </row>
    <row r="8103" spans="2:24">
      <c r="B8103" s="7"/>
      <c r="D8103" s="7"/>
      <c r="F8103" s="7"/>
      <c r="H8103" s="7"/>
      <c r="J8103" s="7"/>
      <c r="L8103" s="7"/>
      <c r="N8103" s="7"/>
      <c r="P8103" s="7"/>
      <c r="R8103" s="7"/>
      <c r="T8103" s="7"/>
      <c r="V8103" s="7"/>
      <c r="X8103" s="7"/>
    </row>
    <row r="8104" spans="2:24">
      <c r="B8104" s="7"/>
      <c r="D8104" s="7"/>
      <c r="F8104" s="7"/>
      <c r="H8104" s="7"/>
      <c r="J8104" s="7"/>
      <c r="L8104" s="7"/>
      <c r="N8104" s="7"/>
      <c r="P8104" s="7"/>
      <c r="R8104" s="7"/>
      <c r="T8104" s="7"/>
      <c r="V8104" s="7"/>
      <c r="X8104" s="7"/>
    </row>
    <row r="8105" spans="2:24">
      <c r="B8105" s="7"/>
      <c r="D8105" s="7"/>
      <c r="F8105" s="7"/>
      <c r="H8105" s="7"/>
      <c r="J8105" s="7"/>
      <c r="L8105" s="7"/>
      <c r="N8105" s="7"/>
      <c r="P8105" s="7"/>
      <c r="R8105" s="7"/>
      <c r="T8105" s="7"/>
      <c r="V8105" s="7"/>
      <c r="X8105" s="7"/>
    </row>
    <row r="8106" spans="2:24">
      <c r="B8106" s="7"/>
      <c r="D8106" s="7"/>
      <c r="F8106" s="7"/>
      <c r="H8106" s="7"/>
      <c r="J8106" s="7"/>
      <c r="L8106" s="7"/>
      <c r="N8106" s="7"/>
      <c r="P8106" s="7"/>
      <c r="R8106" s="7"/>
      <c r="T8106" s="7"/>
      <c r="V8106" s="7"/>
      <c r="X8106" s="7"/>
    </row>
    <row r="8107" spans="2:24">
      <c r="B8107" s="7"/>
      <c r="D8107" s="7"/>
      <c r="F8107" s="7"/>
      <c r="H8107" s="7"/>
      <c r="J8107" s="7"/>
      <c r="L8107" s="7"/>
      <c r="N8107" s="7"/>
      <c r="P8107" s="7"/>
      <c r="R8107" s="7"/>
      <c r="T8107" s="7"/>
      <c r="V8107" s="7"/>
      <c r="X8107" s="7"/>
    </row>
    <row r="8108" spans="2:24">
      <c r="B8108" s="7"/>
      <c r="D8108" s="7"/>
      <c r="F8108" s="7"/>
      <c r="H8108" s="7"/>
      <c r="J8108" s="7"/>
      <c r="L8108" s="7"/>
      <c r="N8108" s="7"/>
      <c r="P8108" s="7"/>
      <c r="R8108" s="7"/>
      <c r="T8108" s="7"/>
      <c r="V8108" s="7"/>
      <c r="X8108" s="7"/>
    </row>
    <row r="8109" spans="2:24">
      <c r="B8109" s="7"/>
      <c r="D8109" s="7"/>
      <c r="F8109" s="7"/>
      <c r="H8109" s="7"/>
      <c r="J8109" s="7"/>
      <c r="L8109" s="7"/>
      <c r="N8109" s="7"/>
      <c r="P8109" s="7"/>
      <c r="R8109" s="7"/>
      <c r="T8109" s="7"/>
      <c r="V8109" s="7"/>
      <c r="X8109" s="7"/>
    </row>
    <row r="8110" spans="2:24">
      <c r="B8110" s="7"/>
      <c r="D8110" s="7"/>
      <c r="F8110" s="7"/>
      <c r="H8110" s="7"/>
      <c r="J8110" s="7"/>
      <c r="L8110" s="7"/>
      <c r="N8110" s="7"/>
      <c r="P8110" s="7"/>
      <c r="R8110" s="7"/>
      <c r="T8110" s="7"/>
      <c r="V8110" s="7"/>
      <c r="X8110" s="7"/>
    </row>
    <row r="8111" spans="2:24">
      <c r="B8111" s="7"/>
      <c r="D8111" s="7"/>
      <c r="F8111" s="7"/>
      <c r="H8111" s="7"/>
      <c r="J8111" s="7"/>
      <c r="L8111" s="7"/>
      <c r="N8111" s="7"/>
      <c r="P8111" s="7"/>
      <c r="R8111" s="7"/>
      <c r="T8111" s="7"/>
      <c r="V8111" s="7"/>
      <c r="X8111" s="7"/>
    </row>
    <row r="8112" spans="2:24">
      <c r="B8112" s="7"/>
      <c r="D8112" s="7"/>
      <c r="F8112" s="7"/>
      <c r="H8112" s="7"/>
      <c r="J8112" s="7"/>
      <c r="L8112" s="7"/>
      <c r="N8112" s="7"/>
      <c r="P8112" s="7"/>
      <c r="R8112" s="7"/>
      <c r="T8112" s="7"/>
      <c r="V8112" s="7"/>
      <c r="X8112" s="7"/>
    </row>
    <row r="8113" spans="2:24">
      <c r="B8113" s="7"/>
      <c r="D8113" s="7"/>
      <c r="F8113" s="7"/>
      <c r="H8113" s="7"/>
      <c r="J8113" s="7"/>
      <c r="L8113" s="7"/>
      <c r="N8113" s="7"/>
      <c r="P8113" s="7"/>
      <c r="R8113" s="7"/>
      <c r="T8113" s="7"/>
      <c r="V8113" s="7"/>
      <c r="X8113" s="7"/>
    </row>
    <row r="8114" spans="2:24">
      <c r="B8114" s="7"/>
      <c r="D8114" s="7"/>
      <c r="F8114" s="7"/>
      <c r="H8114" s="7"/>
      <c r="J8114" s="7"/>
      <c r="L8114" s="7"/>
      <c r="N8114" s="7"/>
      <c r="P8114" s="7"/>
      <c r="R8114" s="7"/>
      <c r="T8114" s="7"/>
      <c r="V8114" s="7"/>
      <c r="X8114" s="7"/>
    </row>
    <row r="8115" spans="2:24">
      <c r="B8115" s="7"/>
      <c r="D8115" s="7"/>
      <c r="F8115" s="7"/>
      <c r="H8115" s="7"/>
      <c r="J8115" s="7"/>
      <c r="L8115" s="7"/>
      <c r="N8115" s="7"/>
      <c r="P8115" s="7"/>
      <c r="R8115" s="7"/>
      <c r="T8115" s="7"/>
      <c r="V8115" s="7"/>
      <c r="X8115" s="7"/>
    </row>
    <row r="8116" spans="2:24">
      <c r="B8116" s="7"/>
      <c r="D8116" s="7"/>
      <c r="F8116" s="7"/>
      <c r="H8116" s="7"/>
      <c r="J8116" s="7"/>
      <c r="L8116" s="7"/>
      <c r="N8116" s="7"/>
      <c r="P8116" s="7"/>
      <c r="R8116" s="7"/>
      <c r="T8116" s="7"/>
      <c r="V8116" s="7"/>
      <c r="X8116" s="7"/>
    </row>
    <row r="8117" spans="2:24">
      <c r="B8117" s="7"/>
      <c r="D8117" s="7"/>
      <c r="F8117" s="7"/>
      <c r="H8117" s="7"/>
      <c r="J8117" s="7"/>
      <c r="L8117" s="7"/>
      <c r="N8117" s="7"/>
      <c r="P8117" s="7"/>
      <c r="R8117" s="7"/>
      <c r="T8117" s="7"/>
      <c r="V8117" s="7"/>
      <c r="X8117" s="7"/>
    </row>
    <row r="8118" spans="2:24">
      <c r="B8118" s="7"/>
      <c r="D8118" s="7"/>
      <c r="F8118" s="7"/>
      <c r="H8118" s="7"/>
      <c r="J8118" s="7"/>
      <c r="L8118" s="7"/>
      <c r="N8118" s="7"/>
      <c r="P8118" s="7"/>
      <c r="R8118" s="7"/>
      <c r="T8118" s="7"/>
      <c r="V8118" s="7"/>
      <c r="X8118" s="7"/>
    </row>
    <row r="8119" spans="2:24">
      <c r="B8119" s="7"/>
      <c r="D8119" s="7"/>
      <c r="F8119" s="7"/>
      <c r="H8119" s="7"/>
      <c r="J8119" s="7"/>
      <c r="L8119" s="7"/>
      <c r="N8119" s="7"/>
      <c r="P8119" s="7"/>
      <c r="R8119" s="7"/>
      <c r="T8119" s="7"/>
      <c r="V8119" s="7"/>
      <c r="X8119" s="7"/>
    </row>
    <row r="8120" spans="2:24">
      <c r="B8120" s="7"/>
      <c r="D8120" s="7"/>
      <c r="F8120" s="7"/>
      <c r="H8120" s="7"/>
      <c r="J8120" s="7"/>
      <c r="L8120" s="7"/>
      <c r="N8120" s="7"/>
      <c r="P8120" s="7"/>
      <c r="R8120" s="7"/>
      <c r="T8120" s="7"/>
      <c r="V8120" s="7"/>
      <c r="X8120" s="7"/>
    </row>
    <row r="8121" spans="2:24">
      <c r="B8121" s="7"/>
      <c r="D8121" s="7"/>
      <c r="F8121" s="7"/>
      <c r="H8121" s="7"/>
      <c r="J8121" s="7"/>
      <c r="L8121" s="7"/>
      <c r="N8121" s="7"/>
      <c r="P8121" s="7"/>
      <c r="R8121" s="7"/>
      <c r="T8121" s="7"/>
      <c r="V8121" s="7"/>
      <c r="X8121" s="7"/>
    </row>
    <row r="8122" spans="2:24">
      <c r="B8122" s="7"/>
      <c r="D8122" s="7"/>
      <c r="F8122" s="7"/>
      <c r="H8122" s="7"/>
      <c r="J8122" s="7"/>
      <c r="L8122" s="7"/>
      <c r="N8122" s="7"/>
      <c r="P8122" s="7"/>
      <c r="R8122" s="7"/>
      <c r="T8122" s="7"/>
      <c r="V8122" s="7"/>
      <c r="X8122" s="7"/>
    </row>
    <row r="8123" spans="2:24">
      <c r="B8123" s="7"/>
      <c r="D8123" s="7"/>
      <c r="F8123" s="7"/>
      <c r="H8123" s="7"/>
      <c r="J8123" s="7"/>
      <c r="L8123" s="7"/>
      <c r="N8123" s="7"/>
      <c r="P8123" s="7"/>
      <c r="R8123" s="7"/>
      <c r="T8123" s="7"/>
      <c r="V8123" s="7"/>
      <c r="X8123" s="7"/>
    </row>
    <row r="8124" spans="2:24">
      <c r="B8124" s="7"/>
      <c r="D8124" s="7"/>
      <c r="F8124" s="7"/>
      <c r="H8124" s="7"/>
      <c r="J8124" s="7"/>
      <c r="L8124" s="7"/>
      <c r="N8124" s="7"/>
      <c r="P8124" s="7"/>
      <c r="R8124" s="7"/>
      <c r="T8124" s="7"/>
      <c r="V8124" s="7"/>
      <c r="X8124" s="7"/>
    </row>
    <row r="8125" spans="2:24">
      <c r="B8125" s="7"/>
      <c r="D8125" s="7"/>
      <c r="F8125" s="7"/>
      <c r="H8125" s="7"/>
      <c r="J8125" s="7"/>
      <c r="L8125" s="7"/>
      <c r="N8125" s="7"/>
      <c r="P8125" s="7"/>
      <c r="R8125" s="7"/>
      <c r="T8125" s="7"/>
      <c r="V8125" s="7"/>
      <c r="X8125" s="7"/>
    </row>
    <row r="8126" spans="2:24">
      <c r="B8126" s="7"/>
      <c r="D8126" s="7"/>
      <c r="F8126" s="7"/>
      <c r="H8126" s="7"/>
      <c r="J8126" s="7"/>
      <c r="L8126" s="7"/>
      <c r="N8126" s="7"/>
      <c r="P8126" s="7"/>
      <c r="R8126" s="7"/>
      <c r="T8126" s="7"/>
      <c r="V8126" s="7"/>
      <c r="X8126" s="7"/>
    </row>
    <row r="8127" spans="2:24">
      <c r="B8127" s="7"/>
      <c r="D8127" s="7"/>
      <c r="F8127" s="7"/>
      <c r="H8127" s="7"/>
      <c r="J8127" s="7"/>
      <c r="L8127" s="7"/>
      <c r="N8127" s="7"/>
      <c r="P8127" s="7"/>
      <c r="R8127" s="7"/>
      <c r="T8127" s="7"/>
      <c r="V8127" s="7"/>
      <c r="X8127" s="7"/>
    </row>
    <row r="8128" spans="2:24">
      <c r="B8128" s="7"/>
      <c r="D8128" s="7"/>
      <c r="F8128" s="7"/>
      <c r="H8128" s="7"/>
      <c r="J8128" s="7"/>
      <c r="L8128" s="7"/>
      <c r="N8128" s="7"/>
      <c r="P8128" s="7"/>
      <c r="R8128" s="7"/>
      <c r="T8128" s="7"/>
      <c r="V8128" s="7"/>
      <c r="X8128" s="7"/>
    </row>
    <row r="8129" spans="2:24">
      <c r="B8129" s="7"/>
      <c r="D8129" s="7"/>
      <c r="F8129" s="7"/>
      <c r="H8129" s="7"/>
      <c r="J8129" s="7"/>
      <c r="L8129" s="7"/>
      <c r="N8129" s="7"/>
      <c r="P8129" s="7"/>
      <c r="R8129" s="7"/>
      <c r="T8129" s="7"/>
      <c r="V8129" s="7"/>
      <c r="X8129" s="7"/>
    </row>
    <row r="8130" spans="2:24">
      <c r="B8130" s="7"/>
      <c r="D8130" s="7"/>
      <c r="F8130" s="7"/>
      <c r="H8130" s="7"/>
      <c r="J8130" s="7"/>
      <c r="L8130" s="7"/>
      <c r="N8130" s="7"/>
      <c r="P8130" s="7"/>
      <c r="R8130" s="7"/>
      <c r="T8130" s="7"/>
      <c r="V8130" s="7"/>
      <c r="X8130" s="7"/>
    </row>
    <row r="8131" spans="2:24">
      <c r="B8131" s="7"/>
      <c r="D8131" s="7"/>
      <c r="F8131" s="7"/>
      <c r="H8131" s="7"/>
      <c r="J8131" s="7"/>
      <c r="L8131" s="7"/>
      <c r="N8131" s="7"/>
      <c r="P8131" s="7"/>
      <c r="R8131" s="7"/>
      <c r="T8131" s="7"/>
      <c r="V8131" s="7"/>
      <c r="X8131" s="7"/>
    </row>
    <row r="8132" spans="2:24">
      <c r="B8132" s="7"/>
      <c r="D8132" s="7"/>
      <c r="F8132" s="7"/>
      <c r="H8132" s="7"/>
      <c r="J8132" s="7"/>
      <c r="L8132" s="7"/>
      <c r="N8132" s="7"/>
      <c r="P8132" s="7"/>
      <c r="R8132" s="7"/>
      <c r="T8132" s="7"/>
      <c r="V8132" s="7"/>
      <c r="X8132" s="7"/>
    </row>
    <row r="8133" spans="2:24">
      <c r="B8133" s="7"/>
      <c r="D8133" s="7"/>
      <c r="F8133" s="7"/>
      <c r="H8133" s="7"/>
      <c r="J8133" s="7"/>
      <c r="L8133" s="7"/>
      <c r="N8133" s="7"/>
      <c r="P8133" s="7"/>
      <c r="R8133" s="7"/>
      <c r="T8133" s="7"/>
      <c r="V8133" s="7"/>
      <c r="X8133" s="7"/>
    </row>
    <row r="8134" spans="2:24">
      <c r="B8134" s="7"/>
      <c r="D8134" s="7"/>
      <c r="F8134" s="7"/>
      <c r="H8134" s="7"/>
      <c r="J8134" s="7"/>
      <c r="L8134" s="7"/>
      <c r="N8134" s="7"/>
      <c r="P8134" s="7"/>
      <c r="R8134" s="7"/>
      <c r="T8134" s="7"/>
      <c r="V8134" s="7"/>
      <c r="X8134" s="7"/>
    </row>
    <row r="8135" spans="2:24">
      <c r="B8135" s="7"/>
      <c r="D8135" s="7"/>
      <c r="F8135" s="7"/>
      <c r="H8135" s="7"/>
      <c r="J8135" s="7"/>
      <c r="L8135" s="7"/>
      <c r="N8135" s="7"/>
      <c r="P8135" s="7"/>
      <c r="R8135" s="7"/>
      <c r="T8135" s="7"/>
      <c r="V8135" s="7"/>
      <c r="X8135" s="7"/>
    </row>
    <row r="8136" spans="2:24">
      <c r="B8136" s="7"/>
      <c r="D8136" s="7"/>
      <c r="F8136" s="7"/>
      <c r="H8136" s="7"/>
      <c r="J8136" s="7"/>
      <c r="L8136" s="7"/>
      <c r="N8136" s="7"/>
      <c r="P8136" s="7"/>
      <c r="R8136" s="7"/>
      <c r="T8136" s="7"/>
      <c r="V8136" s="7"/>
      <c r="X8136" s="7"/>
    </row>
    <row r="8137" spans="2:24">
      <c r="B8137" s="7"/>
      <c r="D8137" s="7"/>
      <c r="F8137" s="7"/>
      <c r="H8137" s="7"/>
      <c r="J8137" s="7"/>
      <c r="L8137" s="7"/>
      <c r="N8137" s="7"/>
      <c r="P8137" s="7"/>
      <c r="R8137" s="7"/>
      <c r="T8137" s="7"/>
      <c r="V8137" s="7"/>
      <c r="X8137" s="7"/>
    </row>
    <row r="8138" spans="2:24">
      <c r="B8138" s="7"/>
      <c r="D8138" s="7"/>
      <c r="F8138" s="7"/>
      <c r="H8138" s="7"/>
      <c r="J8138" s="7"/>
      <c r="L8138" s="7"/>
      <c r="N8138" s="7"/>
      <c r="P8138" s="7"/>
      <c r="R8138" s="7"/>
      <c r="T8138" s="7"/>
      <c r="V8138" s="7"/>
      <c r="X8138" s="7"/>
    </row>
    <row r="8139" spans="2:24">
      <c r="B8139" s="7"/>
      <c r="D8139" s="7"/>
      <c r="F8139" s="7"/>
      <c r="H8139" s="7"/>
      <c r="J8139" s="7"/>
      <c r="L8139" s="7"/>
      <c r="N8139" s="7"/>
      <c r="P8139" s="7"/>
      <c r="R8139" s="7"/>
      <c r="T8139" s="7"/>
      <c r="V8139" s="7"/>
      <c r="X8139" s="7"/>
    </row>
    <row r="8140" spans="2:24">
      <c r="B8140" s="7"/>
      <c r="D8140" s="7"/>
      <c r="F8140" s="7"/>
      <c r="H8140" s="7"/>
      <c r="J8140" s="7"/>
      <c r="L8140" s="7"/>
      <c r="N8140" s="7"/>
      <c r="P8140" s="7"/>
      <c r="R8140" s="7"/>
      <c r="T8140" s="7"/>
      <c r="V8140" s="7"/>
      <c r="X8140" s="7"/>
    </row>
    <row r="8141" spans="2:24">
      <c r="B8141" s="7"/>
      <c r="D8141" s="7"/>
      <c r="F8141" s="7"/>
      <c r="H8141" s="7"/>
      <c r="J8141" s="7"/>
      <c r="L8141" s="7"/>
      <c r="N8141" s="7"/>
      <c r="P8141" s="7"/>
      <c r="R8141" s="7"/>
      <c r="T8141" s="7"/>
      <c r="V8141" s="7"/>
      <c r="X8141" s="7"/>
    </row>
    <row r="8142" spans="2:24">
      <c r="B8142" s="7"/>
      <c r="D8142" s="7"/>
      <c r="F8142" s="7"/>
      <c r="H8142" s="7"/>
      <c r="J8142" s="7"/>
      <c r="L8142" s="7"/>
      <c r="N8142" s="7"/>
      <c r="P8142" s="7"/>
      <c r="R8142" s="7"/>
      <c r="T8142" s="7"/>
      <c r="V8142" s="7"/>
      <c r="X8142" s="7"/>
    </row>
    <row r="8143" spans="2:24">
      <c r="B8143" s="7"/>
      <c r="D8143" s="7"/>
      <c r="F8143" s="7"/>
      <c r="H8143" s="7"/>
      <c r="J8143" s="7"/>
      <c r="L8143" s="7"/>
      <c r="N8143" s="7"/>
      <c r="P8143" s="7"/>
      <c r="R8143" s="7"/>
      <c r="T8143" s="7"/>
      <c r="V8143" s="7"/>
      <c r="X8143" s="7"/>
    </row>
    <row r="8144" spans="2:24">
      <c r="B8144" s="7"/>
      <c r="D8144" s="7"/>
      <c r="F8144" s="7"/>
      <c r="H8144" s="7"/>
      <c r="J8144" s="7"/>
      <c r="L8144" s="7"/>
      <c r="N8144" s="7"/>
      <c r="P8144" s="7"/>
      <c r="R8144" s="7"/>
      <c r="T8144" s="7"/>
      <c r="V8144" s="7"/>
      <c r="X8144" s="7"/>
    </row>
    <row r="8145" spans="2:24">
      <c r="B8145" s="7"/>
      <c r="D8145" s="7"/>
      <c r="F8145" s="7"/>
      <c r="H8145" s="7"/>
      <c r="J8145" s="7"/>
      <c r="L8145" s="7"/>
      <c r="N8145" s="7"/>
      <c r="P8145" s="7"/>
      <c r="R8145" s="7"/>
      <c r="T8145" s="7"/>
      <c r="V8145" s="7"/>
      <c r="X8145" s="7"/>
    </row>
    <row r="8146" spans="2:24">
      <c r="B8146" s="7"/>
      <c r="D8146" s="7"/>
      <c r="F8146" s="7"/>
      <c r="H8146" s="7"/>
      <c r="J8146" s="7"/>
      <c r="L8146" s="7"/>
      <c r="N8146" s="7"/>
      <c r="P8146" s="7"/>
      <c r="R8146" s="7"/>
      <c r="T8146" s="7"/>
      <c r="V8146" s="7"/>
      <c r="X8146" s="7"/>
    </row>
    <row r="8147" spans="2:24">
      <c r="B8147" s="7"/>
      <c r="D8147" s="7"/>
      <c r="F8147" s="7"/>
      <c r="H8147" s="7"/>
      <c r="J8147" s="7"/>
      <c r="L8147" s="7"/>
      <c r="N8147" s="7"/>
      <c r="P8147" s="7"/>
      <c r="R8147" s="7"/>
      <c r="T8147" s="7"/>
      <c r="V8147" s="7"/>
      <c r="X8147" s="7"/>
    </row>
    <row r="8148" spans="2:24">
      <c r="B8148" s="7"/>
      <c r="D8148" s="7"/>
      <c r="F8148" s="7"/>
      <c r="H8148" s="7"/>
      <c r="J8148" s="7"/>
      <c r="L8148" s="7"/>
      <c r="N8148" s="7"/>
      <c r="P8148" s="7"/>
      <c r="R8148" s="7"/>
      <c r="T8148" s="7"/>
      <c r="V8148" s="7"/>
      <c r="X8148" s="7"/>
    </row>
    <row r="8149" spans="2:24">
      <c r="B8149" s="7"/>
      <c r="D8149" s="7"/>
      <c r="F8149" s="7"/>
      <c r="H8149" s="7"/>
      <c r="J8149" s="7"/>
      <c r="L8149" s="7"/>
      <c r="N8149" s="7"/>
      <c r="P8149" s="7"/>
      <c r="R8149" s="7"/>
      <c r="T8149" s="7"/>
      <c r="V8149" s="7"/>
      <c r="X8149" s="7"/>
    </row>
    <row r="8150" spans="2:24">
      <c r="B8150" s="7"/>
      <c r="D8150" s="7"/>
      <c r="F8150" s="7"/>
      <c r="H8150" s="7"/>
      <c r="J8150" s="7"/>
      <c r="L8150" s="7"/>
      <c r="N8150" s="7"/>
      <c r="P8150" s="7"/>
      <c r="R8150" s="7"/>
      <c r="T8150" s="7"/>
      <c r="V8150" s="7"/>
      <c r="X8150" s="7"/>
    </row>
    <row r="8151" spans="2:24">
      <c r="B8151" s="7"/>
      <c r="D8151" s="7"/>
      <c r="F8151" s="7"/>
      <c r="H8151" s="7"/>
      <c r="J8151" s="7"/>
      <c r="L8151" s="7"/>
      <c r="N8151" s="7"/>
      <c r="P8151" s="7"/>
      <c r="R8151" s="7"/>
      <c r="T8151" s="7"/>
      <c r="V8151" s="7"/>
      <c r="X8151" s="7"/>
    </row>
    <row r="8152" spans="2:24">
      <c r="B8152" s="7"/>
      <c r="D8152" s="7"/>
      <c r="F8152" s="7"/>
      <c r="H8152" s="7"/>
      <c r="J8152" s="7"/>
      <c r="L8152" s="7"/>
      <c r="N8152" s="7"/>
      <c r="P8152" s="7"/>
      <c r="R8152" s="7"/>
      <c r="T8152" s="7"/>
      <c r="V8152" s="7"/>
      <c r="X8152" s="7"/>
    </row>
    <row r="8153" spans="2:24">
      <c r="B8153" s="7"/>
      <c r="D8153" s="7"/>
      <c r="F8153" s="7"/>
      <c r="H8153" s="7"/>
      <c r="J8153" s="7"/>
      <c r="L8153" s="7"/>
      <c r="N8153" s="7"/>
      <c r="P8153" s="7"/>
      <c r="R8153" s="7"/>
      <c r="T8153" s="7"/>
      <c r="V8153" s="7"/>
      <c r="X8153" s="7"/>
    </row>
    <row r="8154" spans="2:24">
      <c r="B8154" s="7"/>
      <c r="D8154" s="7"/>
      <c r="F8154" s="7"/>
      <c r="H8154" s="7"/>
      <c r="J8154" s="7"/>
      <c r="L8154" s="7"/>
      <c r="N8154" s="7"/>
      <c r="P8154" s="7"/>
      <c r="R8154" s="7"/>
      <c r="T8154" s="7"/>
      <c r="V8154" s="7"/>
      <c r="X8154" s="7"/>
    </row>
    <row r="8155" spans="2:24">
      <c r="B8155" s="7"/>
      <c r="D8155" s="7"/>
      <c r="F8155" s="7"/>
      <c r="H8155" s="7"/>
      <c r="J8155" s="7"/>
      <c r="L8155" s="7"/>
      <c r="N8155" s="7"/>
      <c r="P8155" s="7"/>
      <c r="R8155" s="7"/>
      <c r="T8155" s="7"/>
      <c r="V8155" s="7"/>
      <c r="X8155" s="7"/>
    </row>
    <row r="8156" spans="2:24">
      <c r="B8156" s="7"/>
      <c r="D8156" s="7"/>
      <c r="F8156" s="7"/>
      <c r="H8156" s="7"/>
      <c r="J8156" s="7"/>
      <c r="L8156" s="7"/>
      <c r="N8156" s="7"/>
      <c r="P8156" s="7"/>
      <c r="R8156" s="7"/>
      <c r="T8156" s="7"/>
      <c r="V8156" s="7"/>
      <c r="X8156" s="7"/>
    </row>
    <row r="8157" spans="2:24">
      <c r="B8157" s="7"/>
      <c r="D8157" s="7"/>
      <c r="F8157" s="7"/>
      <c r="H8157" s="7"/>
      <c r="J8157" s="7"/>
      <c r="L8157" s="7"/>
      <c r="N8157" s="7"/>
      <c r="P8157" s="7"/>
      <c r="R8157" s="7"/>
      <c r="T8157" s="7"/>
      <c r="V8157" s="7"/>
      <c r="X8157" s="7"/>
    </row>
    <row r="8158" spans="2:24">
      <c r="B8158" s="7"/>
      <c r="D8158" s="7"/>
      <c r="F8158" s="7"/>
      <c r="H8158" s="7"/>
      <c r="J8158" s="7"/>
      <c r="L8158" s="7"/>
      <c r="N8158" s="7"/>
      <c r="P8158" s="7"/>
      <c r="R8158" s="7"/>
      <c r="T8158" s="7"/>
      <c r="V8158" s="7"/>
      <c r="X8158" s="7"/>
    </row>
    <row r="8159" spans="2:24">
      <c r="B8159" s="7"/>
      <c r="D8159" s="7"/>
      <c r="F8159" s="7"/>
      <c r="H8159" s="7"/>
      <c r="J8159" s="7"/>
      <c r="L8159" s="7"/>
      <c r="N8159" s="7"/>
      <c r="P8159" s="7"/>
      <c r="R8159" s="7"/>
      <c r="T8159" s="7"/>
      <c r="V8159" s="7"/>
      <c r="X8159" s="7"/>
    </row>
    <row r="8160" spans="2:24">
      <c r="B8160" s="7"/>
      <c r="D8160" s="7"/>
      <c r="F8160" s="7"/>
      <c r="H8160" s="7"/>
      <c r="J8160" s="7"/>
      <c r="L8160" s="7"/>
      <c r="N8160" s="7"/>
      <c r="P8160" s="7"/>
      <c r="R8160" s="7"/>
      <c r="T8160" s="7"/>
      <c r="V8160" s="7"/>
      <c r="X8160" s="7"/>
    </row>
    <row r="8161" spans="2:24">
      <c r="B8161" s="7"/>
      <c r="D8161" s="7"/>
      <c r="F8161" s="7"/>
      <c r="H8161" s="7"/>
      <c r="J8161" s="7"/>
      <c r="L8161" s="7"/>
      <c r="N8161" s="7"/>
      <c r="P8161" s="7"/>
      <c r="R8161" s="7"/>
      <c r="T8161" s="7"/>
      <c r="V8161" s="7"/>
      <c r="X8161" s="7"/>
    </row>
    <row r="8162" spans="2:24">
      <c r="B8162" s="7"/>
      <c r="D8162" s="7"/>
      <c r="F8162" s="7"/>
      <c r="H8162" s="7"/>
      <c r="J8162" s="7"/>
      <c r="L8162" s="7"/>
      <c r="N8162" s="7"/>
      <c r="P8162" s="7"/>
      <c r="R8162" s="7"/>
      <c r="T8162" s="7"/>
      <c r="V8162" s="7"/>
      <c r="X8162" s="7"/>
    </row>
    <row r="8163" spans="2:24">
      <c r="B8163" s="7"/>
      <c r="D8163" s="7"/>
      <c r="F8163" s="7"/>
      <c r="H8163" s="7"/>
      <c r="J8163" s="7"/>
      <c r="L8163" s="7"/>
      <c r="N8163" s="7"/>
      <c r="P8163" s="7"/>
      <c r="R8163" s="7"/>
      <c r="T8163" s="7"/>
      <c r="V8163" s="7"/>
      <c r="X8163" s="7"/>
    </row>
    <row r="8164" spans="2:24">
      <c r="B8164" s="7"/>
      <c r="D8164" s="7"/>
      <c r="F8164" s="7"/>
      <c r="H8164" s="7"/>
      <c r="J8164" s="7"/>
      <c r="L8164" s="7"/>
      <c r="N8164" s="7"/>
      <c r="P8164" s="7"/>
      <c r="R8164" s="7"/>
      <c r="T8164" s="7"/>
      <c r="V8164" s="7"/>
      <c r="X8164" s="7"/>
    </row>
    <row r="8165" spans="2:24">
      <c r="B8165" s="7"/>
      <c r="D8165" s="7"/>
      <c r="F8165" s="7"/>
      <c r="H8165" s="7"/>
      <c r="J8165" s="7"/>
      <c r="L8165" s="7"/>
      <c r="N8165" s="7"/>
      <c r="P8165" s="7"/>
      <c r="R8165" s="7"/>
      <c r="T8165" s="7"/>
      <c r="V8165" s="7"/>
      <c r="X8165" s="7"/>
    </row>
    <row r="8166" spans="2:24">
      <c r="B8166" s="7"/>
      <c r="D8166" s="7"/>
      <c r="F8166" s="7"/>
      <c r="H8166" s="7"/>
      <c r="J8166" s="7"/>
      <c r="L8166" s="7"/>
      <c r="N8166" s="7"/>
      <c r="P8166" s="7"/>
      <c r="R8166" s="7"/>
      <c r="T8166" s="7"/>
      <c r="V8166" s="7"/>
      <c r="X8166" s="7"/>
    </row>
    <row r="8167" spans="2:24">
      <c r="B8167" s="7"/>
      <c r="D8167" s="7"/>
      <c r="F8167" s="7"/>
      <c r="H8167" s="7"/>
      <c r="J8167" s="7"/>
      <c r="L8167" s="7"/>
      <c r="N8167" s="7"/>
      <c r="P8167" s="7"/>
      <c r="R8167" s="7"/>
      <c r="T8167" s="7"/>
      <c r="V8167" s="7"/>
      <c r="X8167" s="7"/>
    </row>
    <row r="8168" spans="2:24">
      <c r="B8168" s="7"/>
      <c r="D8168" s="7"/>
      <c r="F8168" s="7"/>
      <c r="H8168" s="7"/>
      <c r="J8168" s="7"/>
      <c r="L8168" s="7"/>
      <c r="N8168" s="7"/>
      <c r="P8168" s="7"/>
      <c r="R8168" s="7"/>
      <c r="T8168" s="7"/>
      <c r="V8168" s="7"/>
      <c r="X8168" s="7"/>
    </row>
    <row r="8169" spans="2:24">
      <c r="B8169" s="7"/>
      <c r="D8169" s="7"/>
      <c r="F8169" s="7"/>
      <c r="H8169" s="7"/>
      <c r="J8169" s="7"/>
      <c r="L8169" s="7"/>
      <c r="N8169" s="7"/>
      <c r="P8169" s="7"/>
      <c r="R8169" s="7"/>
      <c r="T8169" s="7"/>
      <c r="V8169" s="7"/>
      <c r="X8169" s="7"/>
    </row>
    <row r="8170" spans="2:24">
      <c r="B8170" s="7"/>
      <c r="D8170" s="7"/>
      <c r="F8170" s="7"/>
      <c r="H8170" s="7"/>
      <c r="J8170" s="7"/>
      <c r="L8170" s="7"/>
      <c r="N8170" s="7"/>
      <c r="P8170" s="7"/>
      <c r="R8170" s="7"/>
      <c r="T8170" s="7"/>
      <c r="V8170" s="7"/>
      <c r="X8170" s="7"/>
    </row>
    <row r="8171" spans="2:24">
      <c r="B8171" s="7"/>
      <c r="D8171" s="7"/>
      <c r="F8171" s="7"/>
      <c r="H8171" s="7"/>
      <c r="J8171" s="7"/>
      <c r="L8171" s="7"/>
      <c r="N8171" s="7"/>
      <c r="P8171" s="7"/>
      <c r="R8171" s="7"/>
      <c r="T8171" s="7"/>
      <c r="V8171" s="7"/>
      <c r="X8171" s="7"/>
    </row>
    <row r="8172" spans="2:24">
      <c r="B8172" s="7"/>
      <c r="D8172" s="7"/>
      <c r="F8172" s="7"/>
      <c r="H8172" s="7"/>
      <c r="J8172" s="7"/>
      <c r="L8172" s="7"/>
      <c r="N8172" s="7"/>
      <c r="P8172" s="7"/>
      <c r="R8172" s="7"/>
      <c r="T8172" s="7"/>
      <c r="V8172" s="7"/>
      <c r="X8172" s="7"/>
    </row>
    <row r="8173" spans="2:24">
      <c r="B8173" s="7"/>
      <c r="D8173" s="7"/>
      <c r="F8173" s="7"/>
      <c r="H8173" s="7"/>
      <c r="J8173" s="7"/>
      <c r="L8173" s="7"/>
      <c r="N8173" s="7"/>
      <c r="P8173" s="7"/>
      <c r="R8173" s="7"/>
      <c r="T8173" s="7"/>
      <c r="V8173" s="7"/>
      <c r="X8173" s="7"/>
    </row>
    <row r="8174" spans="2:24">
      <c r="B8174" s="7"/>
      <c r="D8174" s="7"/>
      <c r="F8174" s="7"/>
      <c r="H8174" s="7"/>
      <c r="J8174" s="7"/>
      <c r="L8174" s="7"/>
      <c r="N8174" s="7"/>
      <c r="P8174" s="7"/>
      <c r="R8174" s="7"/>
      <c r="T8174" s="7"/>
      <c r="V8174" s="7"/>
      <c r="X8174" s="7"/>
    </row>
    <row r="8175" spans="2:24">
      <c r="B8175" s="7"/>
      <c r="D8175" s="7"/>
      <c r="F8175" s="7"/>
      <c r="H8175" s="7"/>
      <c r="J8175" s="7"/>
      <c r="L8175" s="7"/>
      <c r="N8175" s="7"/>
      <c r="P8175" s="7"/>
      <c r="R8175" s="7"/>
      <c r="T8175" s="7"/>
      <c r="V8175" s="7"/>
      <c r="X8175" s="7"/>
    </row>
    <row r="8176" spans="2:24">
      <c r="B8176" s="7"/>
      <c r="D8176" s="7"/>
      <c r="F8176" s="7"/>
      <c r="H8176" s="7"/>
      <c r="J8176" s="7"/>
      <c r="L8176" s="7"/>
      <c r="N8176" s="7"/>
      <c r="P8176" s="7"/>
      <c r="R8176" s="7"/>
      <c r="T8176" s="7"/>
      <c r="V8176" s="7"/>
      <c r="X8176" s="7"/>
    </row>
    <row r="8177" spans="2:24">
      <c r="B8177" s="7"/>
      <c r="D8177" s="7"/>
      <c r="F8177" s="7"/>
      <c r="H8177" s="7"/>
      <c r="J8177" s="7"/>
      <c r="L8177" s="7"/>
      <c r="N8177" s="7"/>
      <c r="P8177" s="7"/>
      <c r="R8177" s="7"/>
      <c r="T8177" s="7"/>
      <c r="V8177" s="7"/>
      <c r="X8177" s="7"/>
    </row>
    <row r="8178" spans="2:24">
      <c r="B8178" s="7"/>
      <c r="D8178" s="7"/>
      <c r="F8178" s="7"/>
      <c r="H8178" s="7"/>
      <c r="J8178" s="7"/>
      <c r="L8178" s="7"/>
      <c r="N8178" s="7"/>
      <c r="P8178" s="7"/>
      <c r="R8178" s="7"/>
      <c r="T8178" s="7"/>
      <c r="V8178" s="7"/>
      <c r="X8178" s="7"/>
    </row>
    <row r="8179" spans="2:24">
      <c r="B8179" s="7"/>
      <c r="D8179" s="7"/>
      <c r="F8179" s="7"/>
      <c r="H8179" s="7"/>
      <c r="J8179" s="7"/>
      <c r="L8179" s="7"/>
      <c r="N8179" s="7"/>
      <c r="P8179" s="7"/>
      <c r="R8179" s="7"/>
      <c r="T8179" s="7"/>
      <c r="V8179" s="7"/>
      <c r="X8179" s="7"/>
    </row>
    <row r="8180" spans="2:24">
      <c r="B8180" s="7"/>
      <c r="D8180" s="7"/>
      <c r="F8180" s="7"/>
      <c r="H8180" s="7"/>
      <c r="J8180" s="7"/>
      <c r="L8180" s="7"/>
      <c r="N8180" s="7"/>
      <c r="P8180" s="7"/>
      <c r="R8180" s="7"/>
      <c r="T8180" s="7"/>
      <c r="V8180" s="7"/>
      <c r="X8180" s="7"/>
    </row>
    <row r="8181" spans="2:24">
      <c r="B8181" s="7"/>
      <c r="D8181" s="7"/>
      <c r="F8181" s="7"/>
      <c r="H8181" s="7"/>
      <c r="J8181" s="7"/>
      <c r="L8181" s="7"/>
      <c r="N8181" s="7"/>
      <c r="P8181" s="7"/>
      <c r="R8181" s="7"/>
      <c r="T8181" s="7"/>
      <c r="V8181" s="7"/>
      <c r="X8181" s="7"/>
    </row>
    <row r="8182" spans="2:24">
      <c r="B8182" s="7"/>
      <c r="D8182" s="7"/>
      <c r="F8182" s="7"/>
      <c r="H8182" s="7"/>
      <c r="J8182" s="7"/>
      <c r="L8182" s="7"/>
      <c r="N8182" s="7"/>
      <c r="P8182" s="7"/>
      <c r="R8182" s="7"/>
      <c r="T8182" s="7"/>
      <c r="V8182" s="7"/>
      <c r="X8182" s="7"/>
    </row>
    <row r="8183" spans="2:24">
      <c r="B8183" s="7"/>
      <c r="D8183" s="7"/>
      <c r="F8183" s="7"/>
      <c r="H8183" s="7"/>
      <c r="J8183" s="7"/>
      <c r="L8183" s="7"/>
      <c r="N8183" s="7"/>
      <c r="P8183" s="7"/>
      <c r="R8183" s="7"/>
      <c r="T8183" s="7"/>
      <c r="V8183" s="7"/>
      <c r="X8183" s="7"/>
    </row>
    <row r="8184" spans="2:24">
      <c r="B8184" s="7"/>
      <c r="D8184" s="7"/>
      <c r="F8184" s="7"/>
      <c r="H8184" s="7"/>
      <c r="J8184" s="7"/>
      <c r="L8184" s="7"/>
      <c r="N8184" s="7"/>
      <c r="P8184" s="7"/>
      <c r="R8184" s="7"/>
      <c r="T8184" s="7"/>
      <c r="V8184" s="7"/>
      <c r="X8184" s="7"/>
    </row>
    <row r="8185" spans="2:24">
      <c r="B8185" s="7"/>
      <c r="D8185" s="7"/>
      <c r="F8185" s="7"/>
      <c r="H8185" s="7"/>
      <c r="J8185" s="7"/>
      <c r="L8185" s="7"/>
      <c r="N8185" s="7"/>
      <c r="P8185" s="7"/>
      <c r="R8185" s="7"/>
      <c r="T8185" s="7"/>
      <c r="V8185" s="7"/>
      <c r="X8185" s="7"/>
    </row>
    <row r="8186" spans="2:24">
      <c r="B8186" s="7"/>
      <c r="D8186" s="7"/>
      <c r="F8186" s="7"/>
      <c r="H8186" s="7"/>
      <c r="J8186" s="7"/>
      <c r="L8186" s="7"/>
      <c r="N8186" s="7"/>
      <c r="P8186" s="7"/>
      <c r="R8186" s="7"/>
      <c r="T8186" s="7"/>
      <c r="V8186" s="7"/>
      <c r="X8186" s="7"/>
    </row>
    <row r="8187" spans="2:24">
      <c r="B8187" s="7"/>
      <c r="D8187" s="7"/>
      <c r="F8187" s="7"/>
      <c r="H8187" s="7"/>
      <c r="J8187" s="7"/>
      <c r="L8187" s="7"/>
      <c r="N8187" s="7"/>
      <c r="P8187" s="7"/>
      <c r="R8187" s="7"/>
      <c r="T8187" s="7"/>
      <c r="V8187" s="7"/>
      <c r="X8187" s="7"/>
    </row>
    <row r="8188" spans="2:24">
      <c r="B8188" s="7"/>
      <c r="D8188" s="7"/>
      <c r="F8188" s="7"/>
      <c r="H8188" s="7"/>
      <c r="J8188" s="7"/>
      <c r="L8188" s="7"/>
      <c r="N8188" s="7"/>
      <c r="P8188" s="7"/>
      <c r="R8188" s="7"/>
      <c r="T8188" s="7"/>
      <c r="V8188" s="7"/>
      <c r="X8188" s="7"/>
    </row>
    <row r="8189" spans="2:24">
      <c r="B8189" s="7"/>
      <c r="D8189" s="7"/>
      <c r="F8189" s="7"/>
      <c r="H8189" s="7"/>
      <c r="J8189" s="7"/>
      <c r="L8189" s="7"/>
      <c r="N8189" s="7"/>
      <c r="P8189" s="7"/>
      <c r="R8189" s="7"/>
      <c r="T8189" s="7"/>
      <c r="V8189" s="7"/>
      <c r="X8189" s="7"/>
    </row>
    <row r="8190" spans="2:24">
      <c r="B8190" s="7"/>
      <c r="D8190" s="7"/>
      <c r="F8190" s="7"/>
      <c r="H8190" s="7"/>
      <c r="J8190" s="7"/>
      <c r="L8190" s="7"/>
      <c r="N8190" s="7"/>
      <c r="P8190" s="7"/>
      <c r="R8190" s="7"/>
      <c r="T8190" s="7"/>
      <c r="V8190" s="7"/>
      <c r="X8190" s="7"/>
    </row>
    <row r="8191" spans="2:24">
      <c r="B8191" s="7"/>
      <c r="D8191" s="7"/>
      <c r="F8191" s="7"/>
      <c r="H8191" s="7"/>
      <c r="J8191" s="7"/>
      <c r="L8191" s="7"/>
      <c r="N8191" s="7"/>
      <c r="P8191" s="7"/>
      <c r="R8191" s="7"/>
      <c r="T8191" s="7"/>
      <c r="V8191" s="7"/>
      <c r="X8191" s="7"/>
    </row>
    <row r="8192" spans="2:24">
      <c r="B8192" s="7"/>
      <c r="D8192" s="7"/>
      <c r="F8192" s="7"/>
      <c r="H8192" s="7"/>
      <c r="J8192" s="7"/>
      <c r="L8192" s="7"/>
      <c r="N8192" s="7"/>
      <c r="P8192" s="7"/>
      <c r="R8192" s="7"/>
      <c r="T8192" s="7"/>
      <c r="V8192" s="7"/>
      <c r="X8192" s="7"/>
    </row>
    <row r="8193" spans="2:24">
      <c r="B8193" s="7"/>
      <c r="D8193" s="7"/>
      <c r="F8193" s="7"/>
      <c r="H8193" s="7"/>
      <c r="J8193" s="7"/>
      <c r="L8193" s="7"/>
      <c r="N8193" s="7"/>
      <c r="P8193" s="7"/>
      <c r="R8193" s="7"/>
      <c r="T8193" s="7"/>
      <c r="V8193" s="7"/>
      <c r="X8193" s="7"/>
    </row>
    <row r="8194" spans="2:24">
      <c r="B8194" s="7"/>
      <c r="D8194" s="7"/>
      <c r="F8194" s="7"/>
      <c r="H8194" s="7"/>
      <c r="J8194" s="7"/>
      <c r="L8194" s="7"/>
      <c r="N8194" s="7"/>
      <c r="P8194" s="7"/>
      <c r="R8194" s="7"/>
      <c r="T8194" s="7"/>
      <c r="V8194" s="7"/>
      <c r="X8194" s="7"/>
    </row>
    <row r="8195" spans="2:24">
      <c r="B8195" s="7"/>
      <c r="D8195" s="7"/>
      <c r="F8195" s="7"/>
      <c r="H8195" s="7"/>
      <c r="J8195" s="7"/>
      <c r="L8195" s="7"/>
      <c r="N8195" s="7"/>
      <c r="P8195" s="7"/>
      <c r="R8195" s="7"/>
      <c r="T8195" s="7"/>
      <c r="V8195" s="7"/>
      <c r="X8195" s="7"/>
    </row>
    <row r="8196" spans="2:24">
      <c r="B8196" s="7"/>
      <c r="D8196" s="7"/>
      <c r="F8196" s="7"/>
      <c r="H8196" s="7"/>
      <c r="J8196" s="7"/>
      <c r="L8196" s="7"/>
      <c r="N8196" s="7"/>
      <c r="P8196" s="7"/>
      <c r="R8196" s="7"/>
      <c r="T8196" s="7"/>
      <c r="V8196" s="7"/>
      <c r="X8196" s="7"/>
    </row>
    <row r="8197" spans="2:24">
      <c r="B8197" s="7"/>
      <c r="D8197" s="7"/>
      <c r="F8197" s="7"/>
      <c r="H8197" s="7"/>
      <c r="J8197" s="7"/>
      <c r="L8197" s="7"/>
      <c r="N8197" s="7"/>
      <c r="P8197" s="7"/>
      <c r="R8197" s="7"/>
      <c r="T8197" s="7"/>
      <c r="V8197" s="7"/>
      <c r="X8197" s="7"/>
    </row>
    <row r="8198" spans="2:24">
      <c r="B8198" s="7"/>
      <c r="D8198" s="7"/>
      <c r="F8198" s="7"/>
      <c r="H8198" s="7"/>
      <c r="J8198" s="7"/>
      <c r="L8198" s="7"/>
      <c r="N8198" s="7"/>
      <c r="P8198" s="7"/>
      <c r="R8198" s="7"/>
      <c r="T8198" s="7"/>
      <c r="V8198" s="7"/>
      <c r="X8198" s="7"/>
    </row>
    <row r="8199" spans="2:24">
      <c r="B8199" s="7"/>
      <c r="D8199" s="7"/>
      <c r="F8199" s="7"/>
      <c r="H8199" s="7"/>
      <c r="J8199" s="7"/>
      <c r="L8199" s="7"/>
      <c r="N8199" s="7"/>
      <c r="P8199" s="7"/>
      <c r="R8199" s="7"/>
      <c r="T8199" s="7"/>
      <c r="V8199" s="7"/>
      <c r="X8199" s="7"/>
    </row>
    <row r="8200" spans="2:24">
      <c r="B8200" s="7"/>
      <c r="D8200" s="7"/>
      <c r="F8200" s="7"/>
      <c r="H8200" s="7"/>
      <c r="J8200" s="7"/>
      <c r="L8200" s="7"/>
      <c r="N8200" s="7"/>
      <c r="P8200" s="7"/>
      <c r="R8200" s="7"/>
      <c r="T8200" s="7"/>
      <c r="V8200" s="7"/>
      <c r="X8200" s="7"/>
    </row>
    <row r="8201" spans="2:24">
      <c r="B8201" s="7"/>
      <c r="D8201" s="7"/>
      <c r="F8201" s="7"/>
      <c r="H8201" s="7"/>
      <c r="J8201" s="7"/>
      <c r="L8201" s="7"/>
      <c r="N8201" s="7"/>
      <c r="P8201" s="7"/>
      <c r="R8201" s="7"/>
      <c r="T8201" s="7"/>
      <c r="V8201" s="7"/>
      <c r="X8201" s="7"/>
    </row>
    <row r="8202" spans="2:24">
      <c r="B8202" s="7"/>
      <c r="D8202" s="7"/>
      <c r="F8202" s="7"/>
      <c r="H8202" s="7"/>
      <c r="J8202" s="7"/>
      <c r="L8202" s="7"/>
      <c r="N8202" s="7"/>
      <c r="P8202" s="7"/>
      <c r="R8202" s="7"/>
      <c r="T8202" s="7"/>
      <c r="V8202" s="7"/>
      <c r="X8202" s="7"/>
    </row>
    <row r="8203" spans="2:24">
      <c r="B8203" s="7"/>
      <c r="D8203" s="7"/>
      <c r="F8203" s="7"/>
      <c r="H8203" s="7"/>
      <c r="J8203" s="7"/>
      <c r="L8203" s="7"/>
      <c r="N8203" s="7"/>
      <c r="P8203" s="7"/>
      <c r="R8203" s="7"/>
      <c r="T8203" s="7"/>
      <c r="V8203" s="7"/>
      <c r="X8203" s="7"/>
    </row>
    <row r="8204" spans="2:24">
      <c r="B8204" s="7"/>
      <c r="D8204" s="7"/>
      <c r="F8204" s="7"/>
      <c r="H8204" s="7"/>
      <c r="J8204" s="7"/>
      <c r="L8204" s="7"/>
      <c r="N8204" s="7"/>
      <c r="P8204" s="7"/>
      <c r="R8204" s="7"/>
      <c r="T8204" s="7"/>
      <c r="V8204" s="7"/>
      <c r="X8204" s="7"/>
    </row>
    <row r="8205" spans="2:24">
      <c r="B8205" s="7"/>
      <c r="D8205" s="7"/>
      <c r="F8205" s="7"/>
      <c r="H8205" s="7"/>
      <c r="J8205" s="7"/>
      <c r="L8205" s="7"/>
      <c r="N8205" s="7"/>
      <c r="P8205" s="7"/>
      <c r="R8205" s="7"/>
      <c r="T8205" s="7"/>
      <c r="V8205" s="7"/>
      <c r="X8205" s="7"/>
    </row>
    <row r="8206" spans="2:24">
      <c r="B8206" s="7"/>
      <c r="D8206" s="7"/>
      <c r="F8206" s="7"/>
      <c r="H8206" s="7"/>
      <c r="J8206" s="7"/>
      <c r="L8206" s="7"/>
      <c r="N8206" s="7"/>
      <c r="P8206" s="7"/>
      <c r="R8206" s="7"/>
      <c r="T8206" s="7"/>
      <c r="V8206" s="7"/>
      <c r="X8206" s="7"/>
    </row>
    <row r="8207" spans="2:24">
      <c r="B8207" s="7"/>
      <c r="D8207" s="7"/>
      <c r="F8207" s="7"/>
      <c r="H8207" s="7"/>
      <c r="J8207" s="7"/>
      <c r="L8207" s="7"/>
      <c r="N8207" s="7"/>
      <c r="P8207" s="7"/>
      <c r="R8207" s="7"/>
      <c r="T8207" s="7"/>
      <c r="V8207" s="7"/>
      <c r="X8207" s="7"/>
    </row>
    <row r="8208" spans="2:24">
      <c r="B8208" s="7"/>
      <c r="D8208" s="7"/>
      <c r="F8208" s="7"/>
      <c r="H8208" s="7"/>
      <c r="J8208" s="7"/>
      <c r="L8208" s="7"/>
      <c r="N8208" s="7"/>
      <c r="P8208" s="7"/>
      <c r="R8208" s="7"/>
      <c r="T8208" s="7"/>
      <c r="V8208" s="7"/>
      <c r="X8208" s="7"/>
    </row>
    <row r="8209" spans="2:24">
      <c r="B8209" s="7"/>
      <c r="D8209" s="7"/>
      <c r="F8209" s="7"/>
      <c r="H8209" s="7"/>
      <c r="J8209" s="7"/>
      <c r="L8209" s="7"/>
      <c r="N8209" s="7"/>
      <c r="P8209" s="7"/>
      <c r="R8209" s="7"/>
      <c r="T8209" s="7"/>
      <c r="V8209" s="7"/>
      <c r="X8209" s="7"/>
    </row>
    <row r="8210" spans="2:24">
      <c r="B8210" s="7"/>
      <c r="D8210" s="7"/>
      <c r="F8210" s="7"/>
      <c r="H8210" s="7"/>
      <c r="J8210" s="7"/>
      <c r="L8210" s="7"/>
      <c r="N8210" s="7"/>
      <c r="P8210" s="7"/>
      <c r="R8210" s="7"/>
      <c r="T8210" s="7"/>
      <c r="V8210" s="7"/>
      <c r="X8210" s="7"/>
    </row>
    <row r="8211" spans="2:24">
      <c r="B8211" s="7"/>
      <c r="D8211" s="7"/>
      <c r="F8211" s="7"/>
      <c r="H8211" s="7"/>
      <c r="J8211" s="7"/>
      <c r="L8211" s="7"/>
      <c r="N8211" s="7"/>
      <c r="P8211" s="7"/>
      <c r="R8211" s="7"/>
      <c r="T8211" s="7"/>
      <c r="V8211" s="7"/>
      <c r="X8211" s="7"/>
    </row>
    <row r="8212" spans="2:24">
      <c r="B8212" s="7"/>
      <c r="D8212" s="7"/>
      <c r="F8212" s="7"/>
      <c r="H8212" s="7"/>
      <c r="J8212" s="7"/>
      <c r="L8212" s="7"/>
      <c r="N8212" s="7"/>
      <c r="P8212" s="7"/>
      <c r="R8212" s="7"/>
      <c r="T8212" s="7"/>
      <c r="V8212" s="7"/>
      <c r="X8212" s="7"/>
    </row>
    <row r="8213" spans="2:24">
      <c r="B8213" s="7"/>
      <c r="D8213" s="7"/>
      <c r="F8213" s="7"/>
      <c r="H8213" s="7"/>
      <c r="J8213" s="7"/>
      <c r="L8213" s="7"/>
      <c r="N8213" s="7"/>
      <c r="P8213" s="7"/>
      <c r="R8213" s="7"/>
      <c r="T8213" s="7"/>
      <c r="V8213" s="7"/>
      <c r="X8213" s="7"/>
    </row>
    <row r="8214" spans="2:24">
      <c r="B8214" s="7"/>
      <c r="D8214" s="7"/>
      <c r="F8214" s="7"/>
      <c r="H8214" s="7"/>
      <c r="J8214" s="7"/>
      <c r="L8214" s="7"/>
      <c r="N8214" s="7"/>
      <c r="P8214" s="7"/>
      <c r="R8214" s="7"/>
      <c r="T8214" s="7"/>
      <c r="V8214" s="7"/>
      <c r="X8214" s="7"/>
    </row>
    <row r="8215" spans="2:24">
      <c r="B8215" s="7"/>
      <c r="D8215" s="7"/>
      <c r="F8215" s="7"/>
      <c r="H8215" s="7"/>
      <c r="J8215" s="7"/>
      <c r="L8215" s="7"/>
      <c r="N8215" s="7"/>
      <c r="P8215" s="7"/>
      <c r="R8215" s="7"/>
      <c r="T8215" s="7"/>
      <c r="V8215" s="7"/>
      <c r="X8215" s="7"/>
    </row>
    <row r="8216" spans="2:24">
      <c r="B8216" s="7"/>
      <c r="D8216" s="7"/>
      <c r="F8216" s="7"/>
      <c r="H8216" s="7"/>
      <c r="J8216" s="7"/>
      <c r="L8216" s="7"/>
      <c r="N8216" s="7"/>
      <c r="P8216" s="7"/>
      <c r="R8216" s="7"/>
      <c r="T8216" s="7"/>
      <c r="V8216" s="7"/>
      <c r="X8216" s="7"/>
    </row>
    <row r="8217" spans="2:24">
      <c r="B8217" s="7"/>
      <c r="D8217" s="7"/>
      <c r="F8217" s="7"/>
      <c r="H8217" s="7"/>
      <c r="J8217" s="7"/>
      <c r="L8217" s="7"/>
      <c r="N8217" s="7"/>
      <c r="P8217" s="7"/>
      <c r="R8217" s="7"/>
      <c r="T8217" s="7"/>
      <c r="V8217" s="7"/>
      <c r="X8217" s="7"/>
    </row>
    <row r="8218" spans="2:24">
      <c r="B8218" s="7"/>
      <c r="D8218" s="7"/>
      <c r="F8218" s="7"/>
      <c r="H8218" s="7"/>
      <c r="J8218" s="7"/>
      <c r="L8218" s="7"/>
      <c r="N8218" s="7"/>
      <c r="P8218" s="7"/>
      <c r="R8218" s="7"/>
      <c r="T8218" s="7"/>
      <c r="V8218" s="7"/>
      <c r="X8218" s="7"/>
    </row>
    <row r="8219" spans="2:24">
      <c r="B8219" s="7"/>
      <c r="D8219" s="7"/>
      <c r="F8219" s="7"/>
      <c r="H8219" s="7"/>
      <c r="J8219" s="7"/>
      <c r="L8219" s="7"/>
      <c r="N8219" s="7"/>
      <c r="P8219" s="7"/>
      <c r="R8219" s="7"/>
      <c r="T8219" s="7"/>
      <c r="V8219" s="7"/>
      <c r="X8219" s="7"/>
    </row>
    <row r="8220" spans="2:24">
      <c r="B8220" s="7"/>
      <c r="D8220" s="7"/>
      <c r="F8220" s="7"/>
      <c r="H8220" s="7"/>
      <c r="J8220" s="7"/>
      <c r="L8220" s="7"/>
      <c r="N8220" s="7"/>
      <c r="P8220" s="7"/>
      <c r="R8220" s="7"/>
      <c r="T8220" s="7"/>
      <c r="V8220" s="7"/>
      <c r="X8220" s="7"/>
    </row>
    <row r="8221" spans="2:24">
      <c r="B8221" s="7"/>
      <c r="D8221" s="7"/>
      <c r="F8221" s="7"/>
      <c r="H8221" s="7"/>
      <c r="J8221" s="7"/>
      <c r="L8221" s="7"/>
      <c r="N8221" s="7"/>
      <c r="P8221" s="7"/>
      <c r="R8221" s="7"/>
      <c r="T8221" s="7"/>
      <c r="V8221" s="7"/>
      <c r="X8221" s="7"/>
    </row>
    <row r="8222" spans="2:24">
      <c r="B8222" s="7"/>
      <c r="D8222" s="7"/>
      <c r="F8222" s="7"/>
      <c r="H8222" s="7"/>
      <c r="J8222" s="7"/>
      <c r="L8222" s="7"/>
      <c r="N8222" s="7"/>
      <c r="P8222" s="7"/>
      <c r="R8222" s="7"/>
      <c r="T8222" s="7"/>
      <c r="V8222" s="7"/>
      <c r="X8222" s="7"/>
    </row>
    <row r="8223" spans="2:24">
      <c r="B8223" s="7"/>
      <c r="D8223" s="7"/>
      <c r="F8223" s="7"/>
      <c r="H8223" s="7"/>
      <c r="J8223" s="7"/>
      <c r="L8223" s="7"/>
      <c r="N8223" s="7"/>
      <c r="P8223" s="7"/>
      <c r="R8223" s="7"/>
      <c r="T8223" s="7"/>
      <c r="V8223" s="7"/>
      <c r="X8223" s="7"/>
    </row>
    <row r="8224" spans="2:24">
      <c r="B8224" s="7"/>
      <c r="D8224" s="7"/>
      <c r="F8224" s="7"/>
      <c r="H8224" s="7"/>
      <c r="J8224" s="7"/>
      <c r="L8224" s="7"/>
      <c r="N8224" s="7"/>
      <c r="P8224" s="7"/>
      <c r="R8224" s="7"/>
      <c r="T8224" s="7"/>
      <c r="V8224" s="7"/>
      <c r="X8224" s="7"/>
    </row>
    <row r="8225" spans="2:24">
      <c r="B8225" s="7"/>
      <c r="D8225" s="7"/>
      <c r="F8225" s="7"/>
      <c r="H8225" s="7"/>
      <c r="J8225" s="7"/>
      <c r="L8225" s="7"/>
      <c r="N8225" s="7"/>
      <c r="P8225" s="7"/>
      <c r="R8225" s="7"/>
      <c r="T8225" s="7"/>
      <c r="V8225" s="7"/>
      <c r="X8225" s="7"/>
    </row>
    <row r="8226" spans="2:24">
      <c r="B8226" s="7"/>
      <c r="D8226" s="7"/>
      <c r="F8226" s="7"/>
      <c r="H8226" s="7"/>
      <c r="J8226" s="7"/>
      <c r="L8226" s="7"/>
      <c r="N8226" s="7"/>
      <c r="P8226" s="7"/>
      <c r="R8226" s="7"/>
      <c r="T8226" s="7"/>
      <c r="V8226" s="7"/>
      <c r="X8226" s="7"/>
    </row>
    <row r="8227" spans="2:24">
      <c r="B8227" s="7"/>
      <c r="D8227" s="7"/>
      <c r="F8227" s="7"/>
      <c r="H8227" s="7"/>
      <c r="J8227" s="7"/>
      <c r="L8227" s="7"/>
      <c r="N8227" s="7"/>
      <c r="P8227" s="7"/>
      <c r="R8227" s="7"/>
      <c r="T8227" s="7"/>
      <c r="V8227" s="7"/>
      <c r="X8227" s="7"/>
    </row>
    <row r="8228" spans="2:24">
      <c r="B8228" s="7"/>
      <c r="D8228" s="7"/>
      <c r="F8228" s="7"/>
      <c r="H8228" s="7"/>
      <c r="J8228" s="7"/>
      <c r="L8228" s="7"/>
      <c r="N8228" s="7"/>
      <c r="P8228" s="7"/>
      <c r="R8228" s="7"/>
      <c r="T8228" s="7"/>
      <c r="V8228" s="7"/>
      <c r="X8228" s="7"/>
    </row>
    <row r="8229" spans="2:24">
      <c r="B8229" s="7"/>
      <c r="D8229" s="7"/>
      <c r="F8229" s="7"/>
      <c r="H8229" s="7"/>
      <c r="J8229" s="7"/>
      <c r="L8229" s="7"/>
      <c r="N8229" s="7"/>
      <c r="P8229" s="7"/>
      <c r="R8229" s="7"/>
      <c r="T8229" s="7"/>
      <c r="V8229" s="7"/>
      <c r="X8229" s="7"/>
    </row>
    <row r="8230" spans="2:24">
      <c r="B8230" s="7"/>
      <c r="D8230" s="7"/>
      <c r="F8230" s="7"/>
      <c r="H8230" s="7"/>
      <c r="J8230" s="7"/>
      <c r="L8230" s="7"/>
      <c r="N8230" s="7"/>
      <c r="P8230" s="7"/>
      <c r="R8230" s="7"/>
      <c r="T8230" s="7"/>
      <c r="V8230" s="7"/>
      <c r="X8230" s="7"/>
    </row>
    <row r="8231" spans="2:24">
      <c r="B8231" s="7"/>
      <c r="D8231" s="7"/>
      <c r="F8231" s="7"/>
      <c r="H8231" s="7"/>
      <c r="J8231" s="7"/>
      <c r="L8231" s="7"/>
      <c r="N8231" s="7"/>
      <c r="P8231" s="7"/>
      <c r="R8231" s="7"/>
      <c r="T8231" s="7"/>
      <c r="V8231" s="7"/>
      <c r="X8231" s="7"/>
    </row>
    <row r="8232" spans="2:24">
      <c r="B8232" s="7"/>
      <c r="D8232" s="7"/>
      <c r="F8232" s="7"/>
      <c r="H8232" s="7"/>
      <c r="J8232" s="7"/>
      <c r="L8232" s="7"/>
      <c r="N8232" s="7"/>
      <c r="P8232" s="7"/>
      <c r="R8232" s="7"/>
      <c r="T8232" s="7"/>
      <c r="V8232" s="7"/>
      <c r="X8232" s="7"/>
    </row>
    <row r="8233" spans="2:24">
      <c r="B8233" s="7"/>
      <c r="D8233" s="7"/>
      <c r="F8233" s="7"/>
      <c r="H8233" s="7"/>
      <c r="J8233" s="7"/>
      <c r="L8233" s="7"/>
      <c r="N8233" s="7"/>
      <c r="P8233" s="7"/>
      <c r="R8233" s="7"/>
      <c r="T8233" s="7"/>
      <c r="V8233" s="7"/>
      <c r="X8233" s="7"/>
    </row>
    <row r="8234" spans="2:24">
      <c r="B8234" s="7"/>
      <c r="D8234" s="7"/>
      <c r="F8234" s="7"/>
      <c r="H8234" s="7"/>
      <c r="J8234" s="7"/>
      <c r="L8234" s="7"/>
      <c r="N8234" s="7"/>
      <c r="P8234" s="7"/>
      <c r="R8234" s="7"/>
      <c r="T8234" s="7"/>
      <c r="V8234" s="7"/>
      <c r="X8234" s="7"/>
    </row>
    <row r="8235" spans="2:24">
      <c r="B8235" s="7"/>
      <c r="D8235" s="7"/>
      <c r="F8235" s="7"/>
      <c r="H8235" s="7"/>
      <c r="J8235" s="7"/>
      <c r="L8235" s="7"/>
      <c r="N8235" s="7"/>
      <c r="P8235" s="7"/>
      <c r="R8235" s="7"/>
      <c r="T8235" s="7"/>
      <c r="V8235" s="7"/>
      <c r="X8235" s="7"/>
    </row>
    <row r="8236" spans="2:24">
      <c r="B8236" s="7"/>
      <c r="D8236" s="7"/>
      <c r="F8236" s="7"/>
      <c r="H8236" s="7"/>
      <c r="J8236" s="7"/>
      <c r="L8236" s="7"/>
      <c r="N8236" s="7"/>
      <c r="P8236" s="7"/>
      <c r="R8236" s="7"/>
      <c r="T8236" s="7"/>
      <c r="V8236" s="7"/>
      <c r="X8236" s="7"/>
    </row>
    <row r="8237" spans="2:24">
      <c r="B8237" s="7"/>
      <c r="D8237" s="7"/>
      <c r="F8237" s="7"/>
      <c r="H8237" s="7"/>
      <c r="J8237" s="7"/>
      <c r="L8237" s="7"/>
      <c r="N8237" s="7"/>
      <c r="P8237" s="7"/>
      <c r="R8237" s="7"/>
      <c r="T8237" s="7"/>
      <c r="V8237" s="7"/>
      <c r="X8237" s="7"/>
    </row>
    <row r="8238" spans="2:24">
      <c r="B8238" s="7"/>
      <c r="D8238" s="7"/>
      <c r="F8238" s="7"/>
      <c r="H8238" s="7"/>
      <c r="J8238" s="7"/>
      <c r="L8238" s="7"/>
      <c r="N8238" s="7"/>
      <c r="P8238" s="7"/>
      <c r="R8238" s="7"/>
      <c r="T8238" s="7"/>
      <c r="V8238" s="7"/>
      <c r="X8238" s="7"/>
    </row>
    <row r="8239" spans="2:24">
      <c r="B8239" s="7"/>
      <c r="D8239" s="7"/>
      <c r="F8239" s="7"/>
      <c r="H8239" s="7"/>
      <c r="J8239" s="7"/>
      <c r="L8239" s="7"/>
      <c r="N8239" s="7"/>
      <c r="P8239" s="7"/>
      <c r="R8239" s="7"/>
      <c r="T8239" s="7"/>
      <c r="V8239" s="7"/>
      <c r="X8239" s="7"/>
    </row>
    <row r="8240" spans="2:24">
      <c r="B8240" s="7"/>
      <c r="D8240" s="7"/>
      <c r="F8240" s="7"/>
      <c r="H8240" s="7"/>
      <c r="J8240" s="7"/>
      <c r="L8240" s="7"/>
      <c r="N8240" s="7"/>
      <c r="P8240" s="7"/>
      <c r="R8240" s="7"/>
      <c r="T8240" s="7"/>
      <c r="V8240" s="7"/>
      <c r="X8240" s="7"/>
    </row>
    <row r="8241" spans="2:24">
      <c r="B8241" s="7"/>
      <c r="D8241" s="7"/>
      <c r="F8241" s="7"/>
      <c r="H8241" s="7"/>
      <c r="J8241" s="7"/>
      <c r="L8241" s="7"/>
      <c r="N8241" s="7"/>
      <c r="P8241" s="7"/>
      <c r="R8241" s="7"/>
      <c r="T8241" s="7"/>
      <c r="V8241" s="7"/>
      <c r="X8241" s="7"/>
    </row>
    <row r="8242" spans="2:24">
      <c r="B8242" s="7"/>
      <c r="D8242" s="7"/>
      <c r="F8242" s="7"/>
      <c r="H8242" s="7"/>
      <c r="J8242" s="7"/>
      <c r="L8242" s="7"/>
      <c r="N8242" s="7"/>
      <c r="P8242" s="7"/>
      <c r="R8242" s="7"/>
      <c r="T8242" s="7"/>
      <c r="V8242" s="7"/>
      <c r="X8242" s="7"/>
    </row>
    <row r="8243" spans="2:24">
      <c r="B8243" s="7"/>
      <c r="D8243" s="7"/>
      <c r="F8243" s="7"/>
      <c r="H8243" s="7"/>
      <c r="J8243" s="7"/>
      <c r="L8243" s="7"/>
      <c r="N8243" s="7"/>
      <c r="P8243" s="7"/>
      <c r="R8243" s="7"/>
      <c r="T8243" s="7"/>
      <c r="V8243" s="7"/>
      <c r="X8243" s="7"/>
    </row>
    <row r="8244" spans="2:24">
      <c r="B8244" s="7"/>
      <c r="D8244" s="7"/>
      <c r="F8244" s="7"/>
      <c r="H8244" s="7"/>
      <c r="J8244" s="7"/>
      <c r="L8244" s="7"/>
      <c r="N8244" s="7"/>
      <c r="P8244" s="7"/>
      <c r="R8244" s="7"/>
      <c r="T8244" s="7"/>
      <c r="V8244" s="7"/>
      <c r="X8244" s="7"/>
    </row>
    <row r="8245" spans="2:24">
      <c r="B8245" s="7"/>
      <c r="D8245" s="7"/>
      <c r="F8245" s="7"/>
      <c r="H8245" s="7"/>
      <c r="J8245" s="7"/>
      <c r="L8245" s="7"/>
      <c r="N8245" s="7"/>
      <c r="P8245" s="7"/>
      <c r="R8245" s="7"/>
      <c r="T8245" s="7"/>
      <c r="V8245" s="7"/>
      <c r="X8245" s="7"/>
    </row>
    <row r="8246" spans="2:24">
      <c r="B8246" s="7"/>
      <c r="D8246" s="7"/>
      <c r="F8246" s="7"/>
      <c r="H8246" s="7"/>
      <c r="J8246" s="7"/>
      <c r="L8246" s="7"/>
      <c r="N8246" s="7"/>
      <c r="P8246" s="7"/>
      <c r="R8246" s="7"/>
      <c r="T8246" s="7"/>
      <c r="V8246" s="7"/>
      <c r="X8246" s="7"/>
    </row>
    <row r="8247" spans="2:24">
      <c r="B8247" s="7"/>
      <c r="D8247" s="7"/>
      <c r="F8247" s="7"/>
      <c r="H8247" s="7"/>
      <c r="J8247" s="7"/>
      <c r="L8247" s="7"/>
      <c r="N8247" s="7"/>
      <c r="P8247" s="7"/>
      <c r="R8247" s="7"/>
      <c r="T8247" s="7"/>
      <c r="V8247" s="7"/>
      <c r="X8247" s="7"/>
    </row>
    <row r="8248" spans="2:24">
      <c r="B8248" s="7"/>
      <c r="D8248" s="7"/>
      <c r="F8248" s="7"/>
      <c r="H8248" s="7"/>
      <c r="J8248" s="7"/>
      <c r="L8248" s="7"/>
      <c r="N8248" s="7"/>
      <c r="P8248" s="7"/>
      <c r="R8248" s="7"/>
      <c r="T8248" s="7"/>
      <c r="V8248" s="7"/>
      <c r="X8248" s="7"/>
    </row>
    <row r="8249" spans="2:24">
      <c r="B8249" s="7"/>
      <c r="D8249" s="7"/>
      <c r="F8249" s="7"/>
      <c r="H8249" s="7"/>
      <c r="J8249" s="7"/>
      <c r="L8249" s="7"/>
      <c r="N8249" s="7"/>
      <c r="P8249" s="7"/>
      <c r="R8249" s="7"/>
      <c r="T8249" s="7"/>
      <c r="V8249" s="7"/>
      <c r="X8249" s="7"/>
    </row>
    <row r="8250" spans="2:24">
      <c r="B8250" s="7"/>
      <c r="D8250" s="7"/>
      <c r="F8250" s="7"/>
      <c r="H8250" s="7"/>
      <c r="J8250" s="7"/>
      <c r="L8250" s="7"/>
      <c r="N8250" s="7"/>
      <c r="P8250" s="7"/>
      <c r="R8250" s="7"/>
      <c r="T8250" s="7"/>
      <c r="V8250" s="7"/>
      <c r="X8250" s="7"/>
    </row>
    <row r="8251" spans="2:24">
      <c r="B8251" s="7"/>
      <c r="D8251" s="7"/>
      <c r="F8251" s="7"/>
      <c r="H8251" s="7"/>
      <c r="J8251" s="7"/>
      <c r="L8251" s="7"/>
      <c r="N8251" s="7"/>
      <c r="P8251" s="7"/>
      <c r="R8251" s="7"/>
      <c r="T8251" s="7"/>
      <c r="V8251" s="7"/>
      <c r="X8251" s="7"/>
    </row>
    <row r="8252" spans="2:24">
      <c r="B8252" s="7"/>
      <c r="D8252" s="7"/>
      <c r="F8252" s="7"/>
      <c r="H8252" s="7"/>
      <c r="J8252" s="7"/>
      <c r="L8252" s="7"/>
      <c r="N8252" s="7"/>
      <c r="P8252" s="7"/>
      <c r="R8252" s="7"/>
      <c r="T8252" s="7"/>
      <c r="V8252" s="7"/>
      <c r="X8252" s="7"/>
    </row>
    <row r="8253" spans="2:24">
      <c r="B8253" s="7"/>
      <c r="D8253" s="7"/>
      <c r="F8253" s="7"/>
      <c r="H8253" s="7"/>
      <c r="J8253" s="7"/>
      <c r="L8253" s="7"/>
      <c r="N8253" s="7"/>
      <c r="P8253" s="7"/>
      <c r="R8253" s="7"/>
      <c r="T8253" s="7"/>
      <c r="V8253" s="7"/>
      <c r="X8253" s="7"/>
    </row>
    <row r="8254" spans="2:24">
      <c r="B8254" s="7"/>
      <c r="D8254" s="7"/>
      <c r="F8254" s="7"/>
      <c r="H8254" s="7"/>
      <c r="J8254" s="7"/>
      <c r="L8254" s="7"/>
      <c r="N8254" s="7"/>
      <c r="P8254" s="7"/>
      <c r="R8254" s="7"/>
      <c r="T8254" s="7"/>
      <c r="V8254" s="7"/>
      <c r="X8254" s="7"/>
    </row>
    <row r="8255" spans="2:24">
      <c r="B8255" s="7"/>
      <c r="D8255" s="7"/>
      <c r="F8255" s="7"/>
      <c r="H8255" s="7"/>
      <c r="J8255" s="7"/>
      <c r="L8255" s="7"/>
      <c r="N8255" s="7"/>
      <c r="P8255" s="7"/>
      <c r="R8255" s="7"/>
      <c r="T8255" s="7"/>
      <c r="V8255" s="7"/>
      <c r="X8255" s="7"/>
    </row>
    <row r="8256" spans="2:24">
      <c r="B8256" s="7"/>
      <c r="D8256" s="7"/>
      <c r="F8256" s="7"/>
      <c r="H8256" s="7"/>
      <c r="J8256" s="7"/>
      <c r="L8256" s="7"/>
      <c r="N8256" s="7"/>
      <c r="P8256" s="7"/>
      <c r="R8256" s="7"/>
      <c r="T8256" s="7"/>
      <c r="V8256" s="7"/>
      <c r="X8256" s="7"/>
    </row>
    <row r="8257" spans="2:24">
      <c r="B8257" s="7"/>
      <c r="D8257" s="7"/>
      <c r="F8257" s="7"/>
      <c r="H8257" s="7"/>
      <c r="J8257" s="7"/>
      <c r="L8257" s="7"/>
      <c r="N8257" s="7"/>
      <c r="P8257" s="7"/>
      <c r="R8257" s="7"/>
      <c r="T8257" s="7"/>
      <c r="V8257" s="7"/>
      <c r="X8257" s="7"/>
    </row>
    <row r="8258" spans="2:24">
      <c r="B8258" s="7"/>
      <c r="D8258" s="7"/>
      <c r="F8258" s="7"/>
      <c r="H8258" s="7"/>
      <c r="J8258" s="7"/>
      <c r="L8258" s="7"/>
      <c r="N8258" s="7"/>
      <c r="P8258" s="7"/>
      <c r="R8258" s="7"/>
      <c r="T8258" s="7"/>
      <c r="V8258" s="7"/>
      <c r="X8258" s="7"/>
    </row>
    <row r="8259" spans="2:24">
      <c r="B8259" s="7"/>
      <c r="D8259" s="7"/>
      <c r="F8259" s="7"/>
      <c r="H8259" s="7"/>
      <c r="J8259" s="7"/>
      <c r="L8259" s="7"/>
      <c r="N8259" s="7"/>
      <c r="P8259" s="7"/>
      <c r="R8259" s="7"/>
      <c r="T8259" s="7"/>
      <c r="V8259" s="7"/>
      <c r="X8259" s="7"/>
    </row>
    <row r="8260" spans="2:24">
      <c r="B8260" s="7"/>
      <c r="D8260" s="7"/>
      <c r="F8260" s="7"/>
      <c r="H8260" s="7"/>
      <c r="J8260" s="7"/>
      <c r="L8260" s="7"/>
      <c r="N8260" s="7"/>
      <c r="P8260" s="7"/>
      <c r="R8260" s="7"/>
      <c r="T8260" s="7"/>
      <c r="V8260" s="7"/>
      <c r="X8260" s="7"/>
    </row>
    <row r="8261" spans="2:24">
      <c r="B8261" s="7"/>
      <c r="D8261" s="7"/>
      <c r="F8261" s="7"/>
      <c r="H8261" s="7"/>
      <c r="J8261" s="7"/>
      <c r="L8261" s="7"/>
      <c r="N8261" s="7"/>
      <c r="P8261" s="7"/>
      <c r="R8261" s="7"/>
      <c r="T8261" s="7"/>
      <c r="V8261" s="7"/>
      <c r="X8261" s="7"/>
    </row>
    <row r="8262" spans="2:24">
      <c r="B8262" s="7"/>
      <c r="D8262" s="7"/>
      <c r="F8262" s="7"/>
      <c r="H8262" s="7"/>
      <c r="J8262" s="7"/>
      <c r="L8262" s="7"/>
      <c r="N8262" s="7"/>
      <c r="P8262" s="7"/>
      <c r="R8262" s="7"/>
      <c r="T8262" s="7"/>
      <c r="V8262" s="7"/>
      <c r="X8262" s="7"/>
    </row>
    <row r="8263" spans="2:24">
      <c r="B8263" s="7"/>
      <c r="D8263" s="7"/>
      <c r="F8263" s="7"/>
      <c r="H8263" s="7"/>
      <c r="J8263" s="7"/>
      <c r="L8263" s="7"/>
      <c r="N8263" s="7"/>
      <c r="P8263" s="7"/>
      <c r="R8263" s="7"/>
      <c r="T8263" s="7"/>
      <c r="V8263" s="7"/>
      <c r="X8263" s="7"/>
    </row>
    <row r="8264" spans="2:24">
      <c r="B8264" s="7"/>
      <c r="D8264" s="7"/>
      <c r="F8264" s="7"/>
      <c r="H8264" s="7"/>
      <c r="J8264" s="7"/>
      <c r="L8264" s="7"/>
      <c r="N8264" s="7"/>
      <c r="P8264" s="7"/>
      <c r="R8264" s="7"/>
      <c r="T8264" s="7"/>
      <c r="V8264" s="7"/>
      <c r="X8264" s="7"/>
    </row>
    <row r="8265" spans="2:24">
      <c r="B8265" s="7"/>
      <c r="D8265" s="7"/>
      <c r="F8265" s="7"/>
      <c r="H8265" s="7"/>
      <c r="J8265" s="7"/>
      <c r="L8265" s="7"/>
      <c r="N8265" s="7"/>
      <c r="P8265" s="7"/>
      <c r="R8265" s="7"/>
      <c r="T8265" s="7"/>
      <c r="V8265" s="7"/>
      <c r="X8265" s="7"/>
    </row>
    <row r="8266" spans="2:24">
      <c r="B8266" s="7"/>
      <c r="D8266" s="7"/>
      <c r="F8266" s="7"/>
      <c r="H8266" s="7"/>
      <c r="J8266" s="7"/>
      <c r="L8266" s="7"/>
      <c r="N8266" s="7"/>
      <c r="P8266" s="7"/>
      <c r="R8266" s="7"/>
      <c r="T8266" s="7"/>
      <c r="V8266" s="7"/>
      <c r="X8266" s="7"/>
    </row>
    <row r="8267" spans="2:24">
      <c r="B8267" s="7"/>
      <c r="D8267" s="7"/>
      <c r="F8267" s="7"/>
      <c r="H8267" s="7"/>
      <c r="J8267" s="7"/>
      <c r="L8267" s="7"/>
      <c r="N8267" s="7"/>
      <c r="P8267" s="7"/>
      <c r="R8267" s="7"/>
      <c r="T8267" s="7"/>
      <c r="V8267" s="7"/>
      <c r="X8267" s="7"/>
    </row>
    <row r="8268" spans="2:24">
      <c r="B8268" s="7"/>
      <c r="D8268" s="7"/>
      <c r="F8268" s="7"/>
      <c r="H8268" s="7"/>
      <c r="J8268" s="7"/>
      <c r="L8268" s="7"/>
      <c r="N8268" s="7"/>
      <c r="P8268" s="7"/>
      <c r="R8268" s="7"/>
      <c r="T8268" s="7"/>
      <c r="V8268" s="7"/>
      <c r="X8268" s="7"/>
    </row>
    <row r="8269" spans="2:24">
      <c r="B8269" s="7"/>
      <c r="D8269" s="7"/>
      <c r="F8269" s="7"/>
      <c r="H8269" s="7"/>
      <c r="J8269" s="7"/>
      <c r="L8269" s="7"/>
      <c r="N8269" s="7"/>
      <c r="P8269" s="7"/>
      <c r="R8269" s="7"/>
      <c r="T8269" s="7"/>
      <c r="V8269" s="7"/>
      <c r="X8269" s="7"/>
    </row>
    <row r="8270" spans="2:24">
      <c r="B8270" s="7"/>
      <c r="D8270" s="7"/>
      <c r="F8270" s="7"/>
      <c r="H8270" s="7"/>
      <c r="J8270" s="7"/>
      <c r="L8270" s="7"/>
      <c r="N8270" s="7"/>
      <c r="P8270" s="7"/>
      <c r="R8270" s="7"/>
      <c r="T8270" s="7"/>
      <c r="V8270" s="7"/>
      <c r="X8270" s="7"/>
    </row>
    <row r="8271" spans="2:24">
      <c r="B8271" s="7"/>
      <c r="D8271" s="7"/>
      <c r="F8271" s="7"/>
      <c r="H8271" s="7"/>
      <c r="J8271" s="7"/>
      <c r="L8271" s="7"/>
      <c r="N8271" s="7"/>
      <c r="P8271" s="7"/>
      <c r="R8271" s="7"/>
      <c r="T8271" s="7"/>
      <c r="V8271" s="7"/>
      <c r="X8271" s="7"/>
    </row>
    <row r="8272" spans="2:24">
      <c r="B8272" s="7"/>
      <c r="D8272" s="7"/>
      <c r="F8272" s="7"/>
      <c r="H8272" s="7"/>
      <c r="J8272" s="7"/>
      <c r="L8272" s="7"/>
      <c r="N8272" s="7"/>
      <c r="P8272" s="7"/>
      <c r="R8272" s="7"/>
      <c r="T8272" s="7"/>
      <c r="V8272" s="7"/>
      <c r="X8272" s="7"/>
    </row>
    <row r="8273" spans="2:24">
      <c r="B8273" s="7"/>
      <c r="D8273" s="7"/>
      <c r="F8273" s="7"/>
      <c r="H8273" s="7"/>
      <c r="J8273" s="7"/>
      <c r="L8273" s="7"/>
      <c r="N8273" s="7"/>
      <c r="P8273" s="7"/>
      <c r="R8273" s="7"/>
      <c r="T8273" s="7"/>
      <c r="V8273" s="7"/>
      <c r="X8273" s="7"/>
    </row>
    <row r="8274" spans="2:24">
      <c r="B8274" s="7"/>
      <c r="D8274" s="7"/>
      <c r="F8274" s="7"/>
      <c r="H8274" s="7"/>
      <c r="J8274" s="7"/>
      <c r="L8274" s="7"/>
      <c r="N8274" s="7"/>
      <c r="P8274" s="7"/>
      <c r="R8274" s="7"/>
      <c r="T8274" s="7"/>
      <c r="V8274" s="7"/>
      <c r="X8274" s="7"/>
    </row>
    <row r="8275" spans="2:24">
      <c r="B8275" s="7"/>
      <c r="D8275" s="7"/>
      <c r="F8275" s="7"/>
      <c r="H8275" s="7"/>
      <c r="J8275" s="7"/>
      <c r="L8275" s="7"/>
      <c r="N8275" s="7"/>
      <c r="P8275" s="7"/>
      <c r="R8275" s="7"/>
      <c r="T8275" s="7"/>
      <c r="V8275" s="7"/>
      <c r="X8275" s="7"/>
    </row>
    <row r="8276" spans="2:24">
      <c r="B8276" s="7"/>
      <c r="D8276" s="7"/>
      <c r="F8276" s="7"/>
      <c r="H8276" s="7"/>
      <c r="J8276" s="7"/>
      <c r="L8276" s="7"/>
      <c r="N8276" s="7"/>
      <c r="P8276" s="7"/>
      <c r="R8276" s="7"/>
      <c r="T8276" s="7"/>
      <c r="V8276" s="7"/>
      <c r="X8276" s="7"/>
    </row>
    <row r="8277" spans="2:24">
      <c r="B8277" s="7"/>
      <c r="D8277" s="7"/>
      <c r="F8277" s="7"/>
      <c r="H8277" s="7"/>
      <c r="J8277" s="7"/>
      <c r="L8277" s="7"/>
      <c r="N8277" s="7"/>
      <c r="P8277" s="7"/>
      <c r="R8277" s="7"/>
      <c r="T8277" s="7"/>
      <c r="V8277" s="7"/>
      <c r="X8277" s="7"/>
    </row>
    <row r="8278" spans="2:24">
      <c r="B8278" s="7"/>
      <c r="D8278" s="7"/>
      <c r="F8278" s="7"/>
      <c r="H8278" s="7"/>
      <c r="J8278" s="7"/>
      <c r="L8278" s="7"/>
      <c r="N8278" s="7"/>
      <c r="P8278" s="7"/>
      <c r="R8278" s="7"/>
      <c r="T8278" s="7"/>
      <c r="V8278" s="7"/>
      <c r="X8278" s="7"/>
    </row>
    <row r="8279" spans="2:24">
      <c r="B8279" s="7"/>
      <c r="D8279" s="7"/>
      <c r="F8279" s="7"/>
      <c r="H8279" s="7"/>
      <c r="J8279" s="7"/>
      <c r="L8279" s="7"/>
      <c r="N8279" s="7"/>
      <c r="P8279" s="7"/>
      <c r="R8279" s="7"/>
      <c r="T8279" s="7"/>
      <c r="V8279" s="7"/>
      <c r="X8279" s="7"/>
    </row>
    <row r="8280" spans="2:24">
      <c r="B8280" s="7"/>
      <c r="D8280" s="7"/>
      <c r="F8280" s="7"/>
      <c r="H8280" s="7"/>
      <c r="J8280" s="7"/>
      <c r="L8280" s="7"/>
      <c r="N8280" s="7"/>
      <c r="P8280" s="7"/>
      <c r="R8280" s="7"/>
      <c r="T8280" s="7"/>
      <c r="V8280" s="7"/>
      <c r="X8280" s="7"/>
    </row>
    <row r="8281" spans="2:24">
      <c r="B8281" s="7"/>
      <c r="D8281" s="7"/>
      <c r="F8281" s="7"/>
      <c r="H8281" s="7"/>
      <c r="J8281" s="7"/>
      <c r="L8281" s="7"/>
      <c r="N8281" s="7"/>
      <c r="P8281" s="7"/>
      <c r="R8281" s="7"/>
      <c r="T8281" s="7"/>
      <c r="V8281" s="7"/>
      <c r="X8281" s="7"/>
    </row>
    <row r="8282" spans="2:24">
      <c r="B8282" s="7"/>
      <c r="D8282" s="7"/>
      <c r="F8282" s="7"/>
      <c r="H8282" s="7"/>
      <c r="J8282" s="7"/>
      <c r="L8282" s="7"/>
      <c r="N8282" s="7"/>
      <c r="P8282" s="7"/>
      <c r="R8282" s="7"/>
      <c r="T8282" s="7"/>
      <c r="V8282" s="7"/>
      <c r="X8282" s="7"/>
    </row>
    <row r="8283" spans="2:24">
      <c r="B8283" s="7"/>
      <c r="D8283" s="7"/>
      <c r="F8283" s="7"/>
      <c r="H8283" s="7"/>
      <c r="J8283" s="7"/>
      <c r="L8283" s="7"/>
      <c r="N8283" s="7"/>
      <c r="P8283" s="7"/>
      <c r="R8283" s="7"/>
      <c r="T8283" s="7"/>
      <c r="V8283" s="7"/>
      <c r="X8283" s="7"/>
    </row>
    <row r="8284" spans="2:24">
      <c r="B8284" s="7"/>
      <c r="D8284" s="7"/>
      <c r="F8284" s="7"/>
      <c r="H8284" s="7"/>
      <c r="J8284" s="7"/>
      <c r="L8284" s="7"/>
      <c r="N8284" s="7"/>
      <c r="P8284" s="7"/>
      <c r="R8284" s="7"/>
      <c r="T8284" s="7"/>
      <c r="V8284" s="7"/>
      <c r="X8284" s="7"/>
    </row>
    <row r="8285" spans="2:24">
      <c r="B8285" s="7"/>
      <c r="D8285" s="7"/>
      <c r="F8285" s="7"/>
      <c r="H8285" s="7"/>
      <c r="J8285" s="7"/>
      <c r="L8285" s="7"/>
      <c r="N8285" s="7"/>
      <c r="P8285" s="7"/>
      <c r="R8285" s="7"/>
      <c r="T8285" s="7"/>
      <c r="V8285" s="7"/>
      <c r="X8285" s="7"/>
    </row>
    <row r="8286" spans="2:24">
      <c r="B8286" s="7"/>
      <c r="D8286" s="7"/>
      <c r="F8286" s="7"/>
      <c r="H8286" s="7"/>
      <c r="J8286" s="7"/>
      <c r="L8286" s="7"/>
      <c r="N8286" s="7"/>
      <c r="P8286" s="7"/>
      <c r="R8286" s="7"/>
      <c r="T8286" s="7"/>
      <c r="V8286" s="7"/>
      <c r="X8286" s="7"/>
    </row>
    <row r="8287" spans="2:24">
      <c r="B8287" s="7"/>
      <c r="D8287" s="7"/>
      <c r="F8287" s="7"/>
      <c r="H8287" s="7"/>
      <c r="J8287" s="7"/>
      <c r="L8287" s="7"/>
      <c r="N8287" s="7"/>
      <c r="P8287" s="7"/>
      <c r="R8287" s="7"/>
      <c r="T8287" s="7"/>
      <c r="V8287" s="7"/>
      <c r="X8287" s="7"/>
    </row>
    <row r="8288" spans="2:24">
      <c r="B8288" s="7"/>
      <c r="D8288" s="7"/>
      <c r="F8288" s="7"/>
      <c r="H8288" s="7"/>
      <c r="J8288" s="7"/>
      <c r="L8288" s="7"/>
      <c r="N8288" s="7"/>
      <c r="P8288" s="7"/>
      <c r="R8288" s="7"/>
      <c r="T8288" s="7"/>
      <c r="V8288" s="7"/>
      <c r="X8288" s="7"/>
    </row>
    <row r="8289" spans="2:24">
      <c r="B8289" s="7"/>
      <c r="D8289" s="7"/>
      <c r="F8289" s="7"/>
      <c r="H8289" s="7"/>
      <c r="J8289" s="7"/>
      <c r="L8289" s="7"/>
      <c r="N8289" s="7"/>
      <c r="P8289" s="7"/>
      <c r="R8289" s="7"/>
      <c r="T8289" s="7"/>
      <c r="V8289" s="7"/>
      <c r="X8289" s="7"/>
    </row>
    <row r="8290" spans="2:24">
      <c r="B8290" s="7"/>
      <c r="D8290" s="7"/>
      <c r="F8290" s="7"/>
      <c r="H8290" s="7"/>
      <c r="J8290" s="7"/>
      <c r="L8290" s="7"/>
      <c r="N8290" s="7"/>
      <c r="P8290" s="7"/>
      <c r="R8290" s="7"/>
      <c r="T8290" s="7"/>
      <c r="V8290" s="7"/>
      <c r="X8290" s="7"/>
    </row>
    <row r="8291" spans="2:24">
      <c r="B8291" s="7"/>
      <c r="D8291" s="7"/>
      <c r="F8291" s="7"/>
      <c r="H8291" s="7"/>
      <c r="J8291" s="7"/>
      <c r="L8291" s="7"/>
      <c r="N8291" s="7"/>
      <c r="P8291" s="7"/>
      <c r="R8291" s="7"/>
      <c r="T8291" s="7"/>
      <c r="V8291" s="7"/>
      <c r="X8291" s="7"/>
    </row>
    <row r="8292" spans="2:24">
      <c r="B8292" s="7"/>
      <c r="D8292" s="7"/>
      <c r="F8292" s="7"/>
      <c r="H8292" s="7"/>
      <c r="J8292" s="7"/>
      <c r="L8292" s="7"/>
      <c r="N8292" s="7"/>
      <c r="P8292" s="7"/>
      <c r="R8292" s="7"/>
      <c r="T8292" s="7"/>
      <c r="V8292" s="7"/>
      <c r="X8292" s="7"/>
    </row>
    <row r="8293" spans="2:24">
      <c r="B8293" s="7"/>
      <c r="D8293" s="7"/>
      <c r="F8293" s="7"/>
      <c r="H8293" s="7"/>
      <c r="J8293" s="7"/>
      <c r="L8293" s="7"/>
      <c r="N8293" s="7"/>
      <c r="P8293" s="7"/>
      <c r="R8293" s="7"/>
      <c r="T8293" s="7"/>
      <c r="V8293" s="7"/>
      <c r="X8293" s="7"/>
    </row>
    <row r="8294" spans="2:24">
      <c r="B8294" s="7"/>
      <c r="D8294" s="7"/>
      <c r="F8294" s="7"/>
      <c r="H8294" s="7"/>
      <c r="J8294" s="7"/>
      <c r="L8294" s="7"/>
      <c r="N8294" s="7"/>
      <c r="P8294" s="7"/>
      <c r="R8294" s="7"/>
      <c r="T8294" s="7"/>
      <c r="V8294" s="7"/>
      <c r="X8294" s="7"/>
    </row>
    <row r="8295" spans="2:24">
      <c r="B8295" s="7"/>
      <c r="D8295" s="7"/>
      <c r="F8295" s="7"/>
      <c r="H8295" s="7"/>
      <c r="J8295" s="7"/>
      <c r="L8295" s="7"/>
      <c r="N8295" s="7"/>
      <c r="P8295" s="7"/>
      <c r="R8295" s="7"/>
      <c r="T8295" s="7"/>
      <c r="V8295" s="7"/>
      <c r="X8295" s="7"/>
    </row>
    <row r="8296" spans="2:24">
      <c r="B8296" s="7"/>
      <c r="D8296" s="7"/>
      <c r="F8296" s="7"/>
      <c r="H8296" s="7"/>
      <c r="J8296" s="7"/>
      <c r="L8296" s="7"/>
      <c r="N8296" s="7"/>
      <c r="P8296" s="7"/>
      <c r="R8296" s="7"/>
      <c r="T8296" s="7"/>
      <c r="V8296" s="7"/>
      <c r="X8296" s="7"/>
    </row>
    <row r="8297" spans="2:24">
      <c r="B8297" s="7"/>
      <c r="D8297" s="7"/>
      <c r="F8297" s="7"/>
      <c r="H8297" s="7"/>
      <c r="J8297" s="7"/>
      <c r="L8297" s="7"/>
      <c r="N8297" s="7"/>
      <c r="P8297" s="7"/>
      <c r="R8297" s="7"/>
      <c r="T8297" s="7"/>
      <c r="V8297" s="7"/>
      <c r="X8297" s="7"/>
    </row>
    <row r="8298" spans="2:24">
      <c r="B8298" s="7"/>
      <c r="D8298" s="7"/>
      <c r="F8298" s="7"/>
      <c r="H8298" s="7"/>
      <c r="J8298" s="7"/>
      <c r="L8298" s="7"/>
      <c r="N8298" s="7"/>
      <c r="P8298" s="7"/>
      <c r="R8298" s="7"/>
      <c r="T8298" s="7"/>
      <c r="V8298" s="7"/>
      <c r="X8298" s="7"/>
    </row>
    <row r="8299" spans="2:24">
      <c r="B8299" s="7"/>
      <c r="D8299" s="7"/>
      <c r="F8299" s="7"/>
      <c r="H8299" s="7"/>
      <c r="J8299" s="7"/>
      <c r="L8299" s="7"/>
      <c r="N8299" s="7"/>
      <c r="P8299" s="7"/>
      <c r="R8299" s="7"/>
      <c r="T8299" s="7"/>
      <c r="V8299" s="7"/>
      <c r="X8299" s="7"/>
    </row>
    <row r="8300" spans="2:24">
      <c r="B8300" s="7"/>
      <c r="D8300" s="7"/>
      <c r="F8300" s="7"/>
      <c r="H8300" s="7"/>
      <c r="J8300" s="7"/>
      <c r="L8300" s="7"/>
      <c r="N8300" s="7"/>
      <c r="P8300" s="7"/>
      <c r="R8300" s="7"/>
      <c r="T8300" s="7"/>
      <c r="V8300" s="7"/>
      <c r="X8300" s="7"/>
    </row>
    <row r="8301" spans="2:24">
      <c r="B8301" s="7"/>
      <c r="D8301" s="7"/>
      <c r="F8301" s="7"/>
      <c r="H8301" s="7"/>
      <c r="J8301" s="7"/>
      <c r="L8301" s="7"/>
      <c r="N8301" s="7"/>
      <c r="P8301" s="7"/>
      <c r="R8301" s="7"/>
      <c r="T8301" s="7"/>
      <c r="V8301" s="7"/>
      <c r="X8301" s="7"/>
    </row>
    <row r="8302" spans="2:24">
      <c r="B8302" s="7"/>
      <c r="D8302" s="7"/>
      <c r="F8302" s="7"/>
      <c r="H8302" s="7"/>
      <c r="J8302" s="7"/>
      <c r="L8302" s="7"/>
      <c r="N8302" s="7"/>
      <c r="P8302" s="7"/>
      <c r="R8302" s="7"/>
      <c r="T8302" s="7"/>
      <c r="V8302" s="7"/>
      <c r="X8302" s="7"/>
    </row>
    <row r="8303" spans="2:24">
      <c r="B8303" s="7"/>
      <c r="D8303" s="7"/>
      <c r="F8303" s="7"/>
      <c r="H8303" s="7"/>
      <c r="J8303" s="7"/>
      <c r="L8303" s="7"/>
      <c r="N8303" s="7"/>
      <c r="P8303" s="7"/>
      <c r="R8303" s="7"/>
      <c r="T8303" s="7"/>
      <c r="V8303" s="7"/>
      <c r="X8303" s="7"/>
    </row>
    <row r="8304" spans="2:24">
      <c r="B8304" s="7"/>
      <c r="D8304" s="7"/>
      <c r="F8304" s="7"/>
      <c r="H8304" s="7"/>
      <c r="J8304" s="7"/>
      <c r="L8304" s="7"/>
      <c r="N8304" s="7"/>
      <c r="P8304" s="7"/>
      <c r="R8304" s="7"/>
      <c r="T8304" s="7"/>
      <c r="V8304" s="7"/>
      <c r="X8304" s="7"/>
    </row>
    <row r="8305" spans="2:24">
      <c r="B8305" s="7"/>
      <c r="D8305" s="7"/>
      <c r="F8305" s="7"/>
      <c r="H8305" s="7"/>
      <c r="J8305" s="7"/>
      <c r="L8305" s="7"/>
      <c r="N8305" s="7"/>
      <c r="P8305" s="7"/>
      <c r="R8305" s="7"/>
      <c r="T8305" s="7"/>
      <c r="V8305" s="7"/>
      <c r="X8305" s="7"/>
    </row>
    <row r="8306" spans="2:24">
      <c r="B8306" s="7"/>
      <c r="D8306" s="7"/>
      <c r="F8306" s="7"/>
      <c r="H8306" s="7"/>
      <c r="J8306" s="7"/>
      <c r="L8306" s="7"/>
      <c r="N8306" s="7"/>
      <c r="P8306" s="7"/>
      <c r="R8306" s="7"/>
      <c r="T8306" s="7"/>
      <c r="V8306" s="7"/>
      <c r="X8306" s="7"/>
    </row>
    <row r="8307" spans="2:24">
      <c r="B8307" s="7"/>
      <c r="D8307" s="7"/>
      <c r="F8307" s="7"/>
      <c r="H8307" s="7"/>
      <c r="J8307" s="7"/>
      <c r="L8307" s="7"/>
      <c r="N8307" s="7"/>
      <c r="P8307" s="7"/>
      <c r="R8307" s="7"/>
      <c r="T8307" s="7"/>
      <c r="V8307" s="7"/>
      <c r="X8307" s="7"/>
    </row>
    <row r="8308" spans="2:24">
      <c r="B8308" s="7"/>
      <c r="D8308" s="7"/>
      <c r="F8308" s="7"/>
      <c r="H8308" s="7"/>
      <c r="J8308" s="7"/>
      <c r="L8308" s="7"/>
      <c r="N8308" s="7"/>
      <c r="P8308" s="7"/>
      <c r="R8308" s="7"/>
      <c r="T8308" s="7"/>
      <c r="V8308" s="7"/>
      <c r="X8308" s="7"/>
    </row>
    <row r="8309" spans="2:24">
      <c r="B8309" s="7"/>
      <c r="D8309" s="7"/>
      <c r="F8309" s="7"/>
      <c r="H8309" s="7"/>
      <c r="J8309" s="7"/>
      <c r="L8309" s="7"/>
      <c r="N8309" s="7"/>
      <c r="P8309" s="7"/>
      <c r="R8309" s="7"/>
      <c r="T8309" s="7"/>
      <c r="V8309" s="7"/>
      <c r="X8309" s="7"/>
    </row>
    <row r="8310" spans="2:24">
      <c r="B8310" s="7"/>
      <c r="D8310" s="7"/>
      <c r="F8310" s="7"/>
      <c r="H8310" s="7"/>
      <c r="J8310" s="7"/>
      <c r="L8310" s="7"/>
      <c r="N8310" s="7"/>
      <c r="P8310" s="7"/>
      <c r="R8310" s="7"/>
      <c r="T8310" s="7"/>
      <c r="V8310" s="7"/>
      <c r="X8310" s="7"/>
    </row>
    <row r="8311" spans="2:24">
      <c r="B8311" s="7"/>
      <c r="D8311" s="7"/>
      <c r="F8311" s="7"/>
      <c r="H8311" s="7"/>
      <c r="J8311" s="7"/>
      <c r="L8311" s="7"/>
      <c r="N8311" s="7"/>
      <c r="P8311" s="7"/>
      <c r="R8311" s="7"/>
      <c r="T8311" s="7"/>
      <c r="V8311" s="7"/>
      <c r="X8311" s="7"/>
    </row>
    <row r="8312" spans="2:24">
      <c r="B8312" s="7"/>
      <c r="D8312" s="7"/>
      <c r="F8312" s="7"/>
      <c r="H8312" s="7"/>
      <c r="J8312" s="7"/>
      <c r="L8312" s="7"/>
      <c r="N8312" s="7"/>
      <c r="P8312" s="7"/>
      <c r="R8312" s="7"/>
      <c r="T8312" s="7"/>
      <c r="V8312" s="7"/>
      <c r="X8312" s="7"/>
    </row>
    <row r="8313" spans="2:24">
      <c r="B8313" s="7"/>
      <c r="D8313" s="7"/>
      <c r="F8313" s="7"/>
      <c r="H8313" s="7"/>
      <c r="J8313" s="7"/>
      <c r="L8313" s="7"/>
      <c r="N8313" s="7"/>
      <c r="P8313" s="7"/>
      <c r="R8313" s="7"/>
      <c r="T8313" s="7"/>
      <c r="V8313" s="7"/>
      <c r="X8313" s="7"/>
    </row>
    <row r="8314" spans="2:24">
      <c r="B8314" s="7"/>
      <c r="D8314" s="7"/>
      <c r="F8314" s="7"/>
      <c r="H8314" s="7"/>
      <c r="J8314" s="7"/>
      <c r="L8314" s="7"/>
      <c r="N8314" s="7"/>
      <c r="P8314" s="7"/>
      <c r="R8314" s="7"/>
      <c r="T8314" s="7"/>
      <c r="V8314" s="7"/>
      <c r="X8314" s="7"/>
    </row>
    <row r="8315" spans="2:24">
      <c r="B8315" s="7"/>
      <c r="D8315" s="7"/>
      <c r="F8315" s="7"/>
      <c r="H8315" s="7"/>
      <c r="J8315" s="7"/>
      <c r="L8315" s="7"/>
      <c r="N8315" s="7"/>
      <c r="P8315" s="7"/>
      <c r="R8315" s="7"/>
      <c r="T8315" s="7"/>
      <c r="V8315" s="7"/>
      <c r="X8315" s="7"/>
    </row>
    <row r="8316" spans="2:24">
      <c r="B8316" s="7"/>
      <c r="D8316" s="7"/>
      <c r="F8316" s="7"/>
      <c r="H8316" s="7"/>
      <c r="J8316" s="7"/>
      <c r="L8316" s="7"/>
      <c r="N8316" s="7"/>
      <c r="P8316" s="7"/>
      <c r="R8316" s="7"/>
      <c r="T8316" s="7"/>
      <c r="V8316" s="7"/>
      <c r="X8316" s="7"/>
    </row>
    <row r="8317" spans="2:24">
      <c r="B8317" s="7"/>
      <c r="D8317" s="7"/>
      <c r="F8317" s="7"/>
      <c r="H8317" s="7"/>
      <c r="J8317" s="7"/>
      <c r="L8317" s="7"/>
      <c r="N8317" s="7"/>
      <c r="P8317" s="7"/>
      <c r="R8317" s="7"/>
      <c r="T8317" s="7"/>
      <c r="V8317" s="7"/>
      <c r="X8317" s="7"/>
    </row>
    <row r="8318" spans="2:24">
      <c r="B8318" s="7"/>
      <c r="D8318" s="7"/>
      <c r="F8318" s="7"/>
      <c r="H8318" s="7"/>
      <c r="J8318" s="7"/>
      <c r="L8318" s="7"/>
      <c r="N8318" s="7"/>
      <c r="P8318" s="7"/>
      <c r="R8318" s="7"/>
      <c r="T8318" s="7"/>
      <c r="V8318" s="7"/>
      <c r="X8318" s="7"/>
    </row>
    <row r="8319" spans="2:24">
      <c r="B8319" s="7"/>
      <c r="D8319" s="7"/>
      <c r="F8319" s="7"/>
      <c r="H8319" s="7"/>
      <c r="J8319" s="7"/>
      <c r="L8319" s="7"/>
      <c r="N8319" s="7"/>
      <c r="P8319" s="7"/>
      <c r="R8319" s="7"/>
      <c r="T8319" s="7"/>
      <c r="V8319" s="7"/>
      <c r="X8319" s="7"/>
    </row>
    <row r="8320" spans="2:24">
      <c r="B8320" s="7"/>
      <c r="D8320" s="7"/>
      <c r="F8320" s="7"/>
      <c r="H8320" s="7"/>
      <c r="J8320" s="7"/>
      <c r="L8320" s="7"/>
      <c r="N8320" s="7"/>
      <c r="P8320" s="7"/>
      <c r="R8320" s="7"/>
      <c r="T8320" s="7"/>
      <c r="V8320" s="7"/>
      <c r="X8320" s="7"/>
    </row>
    <row r="8321" spans="2:24">
      <c r="B8321" s="7"/>
      <c r="D8321" s="7"/>
      <c r="F8321" s="7"/>
      <c r="H8321" s="7"/>
      <c r="J8321" s="7"/>
      <c r="L8321" s="7"/>
      <c r="N8321" s="7"/>
      <c r="P8321" s="7"/>
      <c r="R8321" s="7"/>
      <c r="T8321" s="7"/>
      <c r="V8321" s="7"/>
      <c r="X8321" s="7"/>
    </row>
    <row r="8322" spans="2:24">
      <c r="B8322" s="7"/>
      <c r="D8322" s="7"/>
      <c r="F8322" s="7"/>
      <c r="H8322" s="7"/>
      <c r="J8322" s="7"/>
      <c r="L8322" s="7"/>
      <c r="N8322" s="7"/>
      <c r="P8322" s="7"/>
      <c r="R8322" s="7"/>
      <c r="T8322" s="7"/>
      <c r="V8322" s="7"/>
      <c r="X8322" s="7"/>
    </row>
    <row r="8323" spans="2:24">
      <c r="B8323" s="7"/>
      <c r="D8323" s="7"/>
      <c r="F8323" s="7"/>
      <c r="H8323" s="7"/>
      <c r="J8323" s="7"/>
      <c r="L8323" s="7"/>
      <c r="N8323" s="7"/>
      <c r="P8323" s="7"/>
      <c r="R8323" s="7"/>
      <c r="T8323" s="7"/>
      <c r="V8323" s="7"/>
      <c r="X8323" s="7"/>
    </row>
    <row r="8324" spans="2:24">
      <c r="B8324" s="7"/>
      <c r="D8324" s="7"/>
      <c r="F8324" s="7"/>
      <c r="H8324" s="7"/>
      <c r="J8324" s="7"/>
      <c r="L8324" s="7"/>
      <c r="N8324" s="7"/>
      <c r="P8324" s="7"/>
      <c r="R8324" s="7"/>
      <c r="T8324" s="7"/>
      <c r="V8324" s="7"/>
      <c r="X8324" s="7"/>
    </row>
    <row r="8325" spans="2:24">
      <c r="B8325" s="7"/>
      <c r="D8325" s="7"/>
      <c r="F8325" s="7"/>
      <c r="H8325" s="7"/>
      <c r="J8325" s="7"/>
      <c r="L8325" s="7"/>
      <c r="N8325" s="7"/>
      <c r="P8325" s="7"/>
      <c r="R8325" s="7"/>
      <c r="T8325" s="7"/>
      <c r="V8325" s="7"/>
      <c r="X8325" s="7"/>
    </row>
    <row r="8326" spans="2:24">
      <c r="B8326" s="7"/>
      <c r="D8326" s="7"/>
      <c r="F8326" s="7"/>
      <c r="H8326" s="7"/>
      <c r="J8326" s="7"/>
      <c r="L8326" s="7"/>
      <c r="N8326" s="7"/>
      <c r="P8326" s="7"/>
      <c r="R8326" s="7"/>
      <c r="T8326" s="7"/>
      <c r="V8326" s="7"/>
      <c r="X8326" s="7"/>
    </row>
    <row r="8327" spans="2:24">
      <c r="B8327" s="7"/>
      <c r="D8327" s="7"/>
      <c r="F8327" s="7"/>
      <c r="H8327" s="7"/>
      <c r="J8327" s="7"/>
      <c r="L8327" s="7"/>
      <c r="N8327" s="7"/>
      <c r="P8327" s="7"/>
      <c r="R8327" s="7"/>
      <c r="T8327" s="7"/>
      <c r="V8327" s="7"/>
      <c r="X8327" s="7"/>
    </row>
    <row r="8328" spans="2:24">
      <c r="B8328" s="7"/>
      <c r="D8328" s="7"/>
      <c r="F8328" s="7"/>
      <c r="H8328" s="7"/>
      <c r="J8328" s="7"/>
      <c r="L8328" s="7"/>
      <c r="N8328" s="7"/>
      <c r="P8328" s="7"/>
      <c r="R8328" s="7"/>
      <c r="T8328" s="7"/>
      <c r="V8328" s="7"/>
      <c r="X8328" s="7"/>
    </row>
    <row r="8329" spans="2:24">
      <c r="B8329" s="7"/>
      <c r="D8329" s="7"/>
      <c r="F8329" s="7"/>
      <c r="H8329" s="7"/>
      <c r="J8329" s="7"/>
      <c r="L8329" s="7"/>
      <c r="N8329" s="7"/>
      <c r="P8329" s="7"/>
      <c r="R8329" s="7"/>
      <c r="T8329" s="7"/>
      <c r="V8329" s="7"/>
      <c r="X8329" s="7"/>
    </row>
    <row r="8330" spans="2:24">
      <c r="B8330" s="7"/>
      <c r="D8330" s="7"/>
      <c r="F8330" s="7"/>
      <c r="H8330" s="7"/>
      <c r="J8330" s="7"/>
      <c r="L8330" s="7"/>
      <c r="N8330" s="7"/>
      <c r="P8330" s="7"/>
      <c r="R8330" s="7"/>
      <c r="T8330" s="7"/>
      <c r="V8330" s="7"/>
      <c r="X8330" s="7"/>
    </row>
    <row r="8331" spans="2:24">
      <c r="B8331" s="7"/>
      <c r="D8331" s="7"/>
      <c r="F8331" s="7"/>
      <c r="H8331" s="7"/>
      <c r="J8331" s="7"/>
      <c r="L8331" s="7"/>
      <c r="N8331" s="7"/>
      <c r="P8331" s="7"/>
      <c r="R8331" s="7"/>
      <c r="T8331" s="7"/>
      <c r="V8331" s="7"/>
      <c r="X8331" s="7"/>
    </row>
    <row r="8332" spans="2:24">
      <c r="B8332" s="7"/>
      <c r="D8332" s="7"/>
      <c r="F8332" s="7"/>
      <c r="H8332" s="7"/>
      <c r="J8332" s="7"/>
      <c r="L8332" s="7"/>
      <c r="N8332" s="7"/>
      <c r="P8332" s="7"/>
      <c r="R8332" s="7"/>
      <c r="T8332" s="7"/>
      <c r="V8332" s="7"/>
      <c r="X8332" s="7"/>
    </row>
    <row r="8333" spans="2:24">
      <c r="B8333" s="7"/>
      <c r="D8333" s="7"/>
      <c r="F8333" s="7"/>
      <c r="H8333" s="7"/>
      <c r="J8333" s="7"/>
      <c r="L8333" s="7"/>
      <c r="N8333" s="7"/>
      <c r="P8333" s="7"/>
      <c r="R8333" s="7"/>
      <c r="T8333" s="7"/>
      <c r="V8333" s="7"/>
      <c r="X8333" s="7"/>
    </row>
    <row r="8334" spans="2:24">
      <c r="B8334" s="7"/>
      <c r="D8334" s="7"/>
      <c r="F8334" s="7"/>
      <c r="H8334" s="7"/>
      <c r="J8334" s="7"/>
      <c r="L8334" s="7"/>
      <c r="N8334" s="7"/>
      <c r="P8334" s="7"/>
      <c r="R8334" s="7"/>
      <c r="T8334" s="7"/>
      <c r="V8334" s="7"/>
      <c r="X8334" s="7"/>
    </row>
    <row r="8335" spans="2:24">
      <c r="B8335" s="7"/>
      <c r="D8335" s="7"/>
      <c r="F8335" s="7"/>
      <c r="H8335" s="7"/>
      <c r="J8335" s="7"/>
      <c r="L8335" s="7"/>
      <c r="N8335" s="7"/>
      <c r="P8335" s="7"/>
      <c r="R8335" s="7"/>
      <c r="T8335" s="7"/>
      <c r="V8335" s="7"/>
      <c r="X8335" s="7"/>
    </row>
    <row r="8336" spans="2:24">
      <c r="B8336" s="7"/>
      <c r="D8336" s="7"/>
      <c r="F8336" s="7"/>
      <c r="H8336" s="7"/>
      <c r="J8336" s="7"/>
      <c r="L8336" s="7"/>
      <c r="N8336" s="7"/>
      <c r="P8336" s="7"/>
      <c r="R8336" s="7"/>
      <c r="T8336" s="7"/>
      <c r="V8336" s="7"/>
      <c r="X8336" s="7"/>
    </row>
    <row r="8337" spans="2:24">
      <c r="B8337" s="7"/>
      <c r="D8337" s="7"/>
      <c r="F8337" s="7"/>
      <c r="H8337" s="7"/>
      <c r="J8337" s="7"/>
      <c r="L8337" s="7"/>
      <c r="N8337" s="7"/>
      <c r="P8337" s="7"/>
      <c r="R8337" s="7"/>
      <c r="T8337" s="7"/>
      <c r="V8337" s="7"/>
      <c r="X8337" s="7"/>
    </row>
    <row r="8338" spans="2:24">
      <c r="B8338" s="7"/>
      <c r="D8338" s="7"/>
      <c r="F8338" s="7"/>
      <c r="H8338" s="7"/>
      <c r="J8338" s="7"/>
      <c r="L8338" s="7"/>
      <c r="N8338" s="7"/>
      <c r="P8338" s="7"/>
      <c r="R8338" s="7"/>
      <c r="T8338" s="7"/>
      <c r="V8338" s="7"/>
      <c r="X8338" s="7"/>
    </row>
    <row r="8339" spans="2:24">
      <c r="B8339" s="7"/>
      <c r="D8339" s="7"/>
      <c r="F8339" s="7"/>
      <c r="H8339" s="7"/>
      <c r="J8339" s="7"/>
      <c r="L8339" s="7"/>
      <c r="N8339" s="7"/>
      <c r="P8339" s="7"/>
      <c r="R8339" s="7"/>
      <c r="T8339" s="7"/>
      <c r="V8339" s="7"/>
      <c r="X8339" s="7"/>
    </row>
    <row r="8340" spans="2:24">
      <c r="B8340" s="7"/>
      <c r="D8340" s="7"/>
      <c r="F8340" s="7"/>
      <c r="H8340" s="7"/>
      <c r="J8340" s="7"/>
      <c r="L8340" s="7"/>
      <c r="N8340" s="7"/>
      <c r="P8340" s="7"/>
      <c r="R8340" s="7"/>
      <c r="T8340" s="7"/>
      <c r="V8340" s="7"/>
      <c r="X8340" s="7"/>
    </row>
    <row r="8341" spans="2:24">
      <c r="B8341" s="7"/>
      <c r="D8341" s="7"/>
      <c r="F8341" s="7"/>
      <c r="H8341" s="7"/>
      <c r="J8341" s="7"/>
      <c r="L8341" s="7"/>
      <c r="N8341" s="7"/>
      <c r="P8341" s="7"/>
      <c r="R8341" s="7"/>
      <c r="T8341" s="7"/>
      <c r="V8341" s="7"/>
      <c r="X8341" s="7"/>
    </row>
    <row r="8342" spans="2:24">
      <c r="B8342" s="7"/>
      <c r="D8342" s="7"/>
      <c r="F8342" s="7"/>
      <c r="H8342" s="7"/>
      <c r="J8342" s="7"/>
      <c r="L8342" s="7"/>
      <c r="N8342" s="7"/>
      <c r="P8342" s="7"/>
      <c r="R8342" s="7"/>
      <c r="T8342" s="7"/>
      <c r="V8342" s="7"/>
      <c r="X8342" s="7"/>
    </row>
    <row r="8343" spans="2:24">
      <c r="B8343" s="7"/>
      <c r="D8343" s="7"/>
      <c r="F8343" s="7"/>
      <c r="H8343" s="7"/>
      <c r="J8343" s="7"/>
      <c r="L8343" s="7"/>
      <c r="N8343" s="7"/>
      <c r="P8343" s="7"/>
      <c r="R8343" s="7"/>
      <c r="T8343" s="7"/>
      <c r="V8343" s="7"/>
      <c r="X8343" s="7"/>
    </row>
    <row r="8344" spans="2:24">
      <c r="B8344" s="7"/>
      <c r="D8344" s="7"/>
      <c r="F8344" s="7"/>
      <c r="H8344" s="7"/>
      <c r="J8344" s="7"/>
      <c r="L8344" s="7"/>
      <c r="N8344" s="7"/>
      <c r="P8344" s="7"/>
      <c r="R8344" s="7"/>
      <c r="T8344" s="7"/>
      <c r="V8344" s="7"/>
      <c r="X8344" s="7"/>
    </row>
    <row r="8345" spans="2:24">
      <c r="B8345" s="7"/>
      <c r="D8345" s="7"/>
      <c r="F8345" s="7"/>
      <c r="H8345" s="7"/>
      <c r="J8345" s="7"/>
      <c r="L8345" s="7"/>
      <c r="N8345" s="7"/>
      <c r="P8345" s="7"/>
      <c r="R8345" s="7"/>
      <c r="T8345" s="7"/>
      <c r="V8345" s="7"/>
      <c r="X8345" s="7"/>
    </row>
    <row r="8346" spans="2:24">
      <c r="B8346" s="7"/>
      <c r="D8346" s="7"/>
      <c r="F8346" s="7"/>
      <c r="H8346" s="7"/>
      <c r="J8346" s="7"/>
      <c r="L8346" s="7"/>
      <c r="N8346" s="7"/>
      <c r="P8346" s="7"/>
      <c r="R8346" s="7"/>
      <c r="T8346" s="7"/>
      <c r="V8346" s="7"/>
      <c r="X8346" s="7"/>
    </row>
    <row r="8347" spans="2:24">
      <c r="B8347" s="7"/>
      <c r="D8347" s="7"/>
      <c r="F8347" s="7"/>
      <c r="H8347" s="7"/>
      <c r="J8347" s="7"/>
      <c r="L8347" s="7"/>
      <c r="N8347" s="7"/>
      <c r="P8347" s="7"/>
      <c r="R8347" s="7"/>
      <c r="T8347" s="7"/>
      <c r="V8347" s="7"/>
      <c r="X8347" s="7"/>
    </row>
    <row r="8348" spans="2:24">
      <c r="B8348" s="7"/>
      <c r="D8348" s="7"/>
      <c r="F8348" s="7"/>
      <c r="H8348" s="7"/>
      <c r="J8348" s="7"/>
      <c r="L8348" s="7"/>
      <c r="N8348" s="7"/>
      <c r="P8348" s="7"/>
      <c r="R8348" s="7"/>
      <c r="T8348" s="7"/>
      <c r="V8348" s="7"/>
      <c r="X8348" s="7"/>
    </row>
    <row r="8349" spans="2:24">
      <c r="B8349" s="7"/>
      <c r="D8349" s="7"/>
      <c r="F8349" s="7"/>
      <c r="H8349" s="7"/>
      <c r="J8349" s="7"/>
      <c r="L8349" s="7"/>
      <c r="N8349" s="7"/>
      <c r="P8349" s="7"/>
      <c r="R8349" s="7"/>
      <c r="T8349" s="7"/>
      <c r="V8349" s="7"/>
      <c r="X8349" s="7"/>
    </row>
    <row r="8350" spans="2:24">
      <c r="B8350" s="7"/>
      <c r="D8350" s="7"/>
      <c r="F8350" s="7"/>
      <c r="H8350" s="7"/>
      <c r="J8350" s="7"/>
      <c r="L8350" s="7"/>
      <c r="N8350" s="7"/>
      <c r="P8350" s="7"/>
      <c r="R8350" s="7"/>
      <c r="T8350" s="7"/>
      <c r="V8350" s="7"/>
      <c r="X8350" s="7"/>
    </row>
    <row r="8351" spans="2:24">
      <c r="B8351" s="7"/>
      <c r="D8351" s="7"/>
      <c r="F8351" s="7"/>
      <c r="H8351" s="7"/>
      <c r="J8351" s="7"/>
      <c r="L8351" s="7"/>
      <c r="N8351" s="7"/>
      <c r="P8351" s="7"/>
      <c r="R8351" s="7"/>
      <c r="T8351" s="7"/>
      <c r="V8351" s="7"/>
      <c r="X8351" s="7"/>
    </row>
    <row r="8352" spans="2:24">
      <c r="B8352" s="7"/>
      <c r="D8352" s="7"/>
      <c r="F8352" s="7"/>
      <c r="H8352" s="7"/>
      <c r="J8352" s="7"/>
      <c r="L8352" s="7"/>
      <c r="N8352" s="7"/>
      <c r="P8352" s="7"/>
      <c r="R8352" s="7"/>
      <c r="T8352" s="7"/>
      <c r="V8352" s="7"/>
      <c r="X8352" s="7"/>
    </row>
    <row r="8353" spans="2:24">
      <c r="B8353" s="7"/>
      <c r="D8353" s="7"/>
      <c r="F8353" s="7"/>
      <c r="H8353" s="7"/>
      <c r="J8353" s="7"/>
      <c r="L8353" s="7"/>
      <c r="N8353" s="7"/>
      <c r="P8353" s="7"/>
      <c r="R8353" s="7"/>
      <c r="T8353" s="7"/>
      <c r="V8353" s="7"/>
      <c r="X8353" s="7"/>
    </row>
    <row r="8354" spans="2:24">
      <c r="B8354" s="7"/>
      <c r="D8354" s="7"/>
      <c r="F8354" s="7"/>
      <c r="H8354" s="7"/>
      <c r="J8354" s="7"/>
      <c r="L8354" s="7"/>
      <c r="N8354" s="7"/>
      <c r="P8354" s="7"/>
      <c r="R8354" s="7"/>
      <c r="T8354" s="7"/>
      <c r="V8354" s="7"/>
      <c r="X8354" s="7"/>
    </row>
    <row r="8355" spans="2:24">
      <c r="B8355" s="7"/>
      <c r="D8355" s="7"/>
      <c r="F8355" s="7"/>
      <c r="H8355" s="7"/>
      <c r="J8355" s="7"/>
      <c r="L8355" s="7"/>
      <c r="N8355" s="7"/>
      <c r="P8355" s="7"/>
      <c r="R8355" s="7"/>
      <c r="T8355" s="7"/>
      <c r="V8355" s="7"/>
      <c r="X8355" s="7"/>
    </row>
    <row r="8356" spans="2:24">
      <c r="B8356" s="7"/>
      <c r="D8356" s="7"/>
      <c r="F8356" s="7"/>
      <c r="H8356" s="7"/>
      <c r="J8356" s="7"/>
      <c r="L8356" s="7"/>
      <c r="N8356" s="7"/>
      <c r="P8356" s="7"/>
      <c r="R8356" s="7"/>
      <c r="T8356" s="7"/>
      <c r="V8356" s="7"/>
      <c r="X8356" s="7"/>
    </row>
    <row r="8357" spans="2:24">
      <c r="B8357" s="7"/>
      <c r="D8357" s="7"/>
      <c r="F8357" s="7"/>
      <c r="H8357" s="7"/>
      <c r="J8357" s="7"/>
      <c r="L8357" s="7"/>
      <c r="N8357" s="7"/>
      <c r="P8357" s="7"/>
      <c r="R8357" s="7"/>
      <c r="T8357" s="7"/>
      <c r="V8357" s="7"/>
      <c r="X8357" s="7"/>
    </row>
    <row r="8358" spans="2:24">
      <c r="B8358" s="7"/>
      <c r="D8358" s="7"/>
      <c r="F8358" s="7"/>
      <c r="H8358" s="7"/>
      <c r="J8358" s="7"/>
      <c r="L8358" s="7"/>
      <c r="N8358" s="7"/>
      <c r="P8358" s="7"/>
      <c r="R8358" s="7"/>
      <c r="T8358" s="7"/>
      <c r="V8358" s="7"/>
      <c r="X8358" s="7"/>
    </row>
    <row r="8359" spans="2:24">
      <c r="B8359" s="7"/>
      <c r="D8359" s="7"/>
      <c r="F8359" s="7"/>
      <c r="H8359" s="7"/>
      <c r="J8359" s="7"/>
      <c r="L8359" s="7"/>
      <c r="N8359" s="7"/>
      <c r="P8359" s="7"/>
      <c r="R8359" s="7"/>
      <c r="T8359" s="7"/>
      <c r="V8359" s="7"/>
      <c r="X8359" s="7"/>
    </row>
    <row r="8360" spans="2:24">
      <c r="B8360" s="7"/>
      <c r="D8360" s="7"/>
      <c r="F8360" s="7"/>
      <c r="H8360" s="7"/>
      <c r="J8360" s="7"/>
      <c r="L8360" s="7"/>
      <c r="N8360" s="7"/>
      <c r="P8360" s="7"/>
      <c r="R8360" s="7"/>
      <c r="T8360" s="7"/>
      <c r="V8360" s="7"/>
      <c r="X8360" s="7"/>
    </row>
    <row r="8361" spans="2:24">
      <c r="B8361" s="7"/>
      <c r="D8361" s="7"/>
      <c r="F8361" s="7"/>
      <c r="H8361" s="7"/>
      <c r="J8361" s="7"/>
      <c r="L8361" s="7"/>
      <c r="N8361" s="7"/>
      <c r="P8361" s="7"/>
      <c r="R8361" s="7"/>
      <c r="T8361" s="7"/>
      <c r="V8361" s="7"/>
      <c r="X8361" s="7"/>
    </row>
    <row r="8362" spans="2:24">
      <c r="B8362" s="7"/>
      <c r="D8362" s="7"/>
      <c r="F8362" s="7"/>
      <c r="H8362" s="7"/>
      <c r="J8362" s="7"/>
      <c r="L8362" s="7"/>
      <c r="N8362" s="7"/>
      <c r="P8362" s="7"/>
      <c r="R8362" s="7"/>
      <c r="T8362" s="7"/>
      <c r="V8362" s="7"/>
      <c r="X8362" s="7"/>
    </row>
    <row r="8363" spans="2:24">
      <c r="B8363" s="7"/>
      <c r="D8363" s="7"/>
      <c r="F8363" s="7"/>
      <c r="H8363" s="7"/>
      <c r="J8363" s="7"/>
      <c r="L8363" s="7"/>
      <c r="N8363" s="7"/>
      <c r="P8363" s="7"/>
      <c r="R8363" s="7"/>
      <c r="T8363" s="7"/>
      <c r="V8363" s="7"/>
      <c r="X8363" s="7"/>
    </row>
    <row r="8364" spans="2:24">
      <c r="B8364" s="7"/>
      <c r="D8364" s="7"/>
      <c r="F8364" s="7"/>
      <c r="H8364" s="7"/>
      <c r="J8364" s="7"/>
      <c r="L8364" s="7"/>
      <c r="N8364" s="7"/>
      <c r="P8364" s="7"/>
      <c r="R8364" s="7"/>
      <c r="T8364" s="7"/>
      <c r="V8364" s="7"/>
      <c r="X8364" s="7"/>
    </row>
    <row r="8365" spans="2:24">
      <c r="B8365" s="7"/>
      <c r="D8365" s="7"/>
      <c r="F8365" s="7"/>
      <c r="H8365" s="7"/>
      <c r="J8365" s="7"/>
      <c r="L8365" s="7"/>
      <c r="N8365" s="7"/>
      <c r="P8365" s="7"/>
      <c r="R8365" s="7"/>
      <c r="T8365" s="7"/>
      <c r="V8365" s="7"/>
      <c r="X8365" s="7"/>
    </row>
    <row r="8366" spans="2:24">
      <c r="B8366" s="7"/>
      <c r="D8366" s="7"/>
      <c r="F8366" s="7"/>
      <c r="H8366" s="7"/>
      <c r="J8366" s="7"/>
      <c r="L8366" s="7"/>
      <c r="N8366" s="7"/>
      <c r="P8366" s="7"/>
      <c r="R8366" s="7"/>
      <c r="T8366" s="7"/>
      <c r="V8366" s="7"/>
      <c r="X8366" s="7"/>
    </row>
    <row r="8367" spans="2:24">
      <c r="B8367" s="7"/>
      <c r="D8367" s="7"/>
      <c r="F8367" s="7"/>
      <c r="H8367" s="7"/>
      <c r="J8367" s="7"/>
      <c r="L8367" s="7"/>
      <c r="N8367" s="7"/>
      <c r="P8367" s="7"/>
      <c r="R8367" s="7"/>
      <c r="T8367" s="7"/>
      <c r="V8367" s="7"/>
      <c r="X8367" s="7"/>
    </row>
    <row r="8368" spans="2:24">
      <c r="B8368" s="7"/>
      <c r="D8368" s="7"/>
      <c r="F8368" s="7"/>
      <c r="H8368" s="7"/>
      <c r="J8368" s="7"/>
      <c r="L8368" s="7"/>
      <c r="N8368" s="7"/>
      <c r="P8368" s="7"/>
      <c r="R8368" s="7"/>
      <c r="T8368" s="7"/>
      <c r="V8368" s="7"/>
      <c r="X8368" s="7"/>
    </row>
    <row r="8369" spans="2:24">
      <c r="B8369" s="7"/>
      <c r="D8369" s="7"/>
      <c r="F8369" s="7"/>
      <c r="H8369" s="7"/>
      <c r="J8369" s="7"/>
      <c r="L8369" s="7"/>
      <c r="N8369" s="7"/>
      <c r="P8369" s="7"/>
      <c r="R8369" s="7"/>
      <c r="T8369" s="7"/>
      <c r="V8369" s="7"/>
      <c r="X8369" s="7"/>
    </row>
    <row r="8370" spans="2:24">
      <c r="B8370" s="7"/>
      <c r="D8370" s="7"/>
      <c r="F8370" s="7"/>
      <c r="H8370" s="7"/>
      <c r="J8370" s="7"/>
      <c r="L8370" s="7"/>
      <c r="N8370" s="7"/>
      <c r="P8370" s="7"/>
      <c r="R8370" s="7"/>
      <c r="T8370" s="7"/>
      <c r="V8370" s="7"/>
      <c r="X8370" s="7"/>
    </row>
    <row r="8371" spans="2:24">
      <c r="B8371" s="7"/>
      <c r="D8371" s="7"/>
      <c r="F8371" s="7"/>
      <c r="H8371" s="7"/>
      <c r="J8371" s="7"/>
      <c r="L8371" s="7"/>
      <c r="N8371" s="7"/>
      <c r="P8371" s="7"/>
      <c r="R8371" s="7"/>
      <c r="T8371" s="7"/>
      <c r="V8371" s="7"/>
      <c r="X8371" s="7"/>
    </row>
    <row r="8372" spans="2:24">
      <c r="B8372" s="7"/>
      <c r="D8372" s="7"/>
      <c r="F8372" s="7"/>
      <c r="H8372" s="7"/>
      <c r="J8372" s="7"/>
      <c r="L8372" s="7"/>
      <c r="N8372" s="7"/>
      <c r="P8372" s="7"/>
      <c r="R8372" s="7"/>
      <c r="T8372" s="7"/>
      <c r="V8372" s="7"/>
      <c r="X8372" s="7"/>
    </row>
    <row r="8373" spans="2:24">
      <c r="B8373" s="7"/>
      <c r="D8373" s="7"/>
      <c r="F8373" s="7"/>
      <c r="H8373" s="7"/>
      <c r="J8373" s="7"/>
      <c r="L8373" s="7"/>
      <c r="N8373" s="7"/>
      <c r="P8373" s="7"/>
      <c r="R8373" s="7"/>
      <c r="T8373" s="7"/>
      <c r="V8373" s="7"/>
      <c r="X8373" s="7"/>
    </row>
    <row r="8374" spans="2:24">
      <c r="B8374" s="7"/>
      <c r="D8374" s="7"/>
      <c r="F8374" s="7"/>
      <c r="H8374" s="7"/>
      <c r="J8374" s="7"/>
      <c r="L8374" s="7"/>
      <c r="N8374" s="7"/>
      <c r="P8374" s="7"/>
      <c r="R8374" s="7"/>
      <c r="T8374" s="7"/>
      <c r="V8374" s="7"/>
      <c r="X8374" s="7"/>
    </row>
    <row r="8375" spans="2:24">
      <c r="B8375" s="7"/>
      <c r="D8375" s="7"/>
      <c r="F8375" s="7"/>
      <c r="H8375" s="7"/>
      <c r="J8375" s="7"/>
      <c r="L8375" s="7"/>
      <c r="N8375" s="7"/>
      <c r="P8375" s="7"/>
      <c r="R8375" s="7"/>
      <c r="T8375" s="7"/>
      <c r="V8375" s="7"/>
      <c r="X8375" s="7"/>
    </row>
    <row r="8376" spans="2:24">
      <c r="B8376" s="7"/>
      <c r="D8376" s="7"/>
      <c r="F8376" s="7"/>
      <c r="H8376" s="7"/>
      <c r="J8376" s="7"/>
      <c r="L8376" s="7"/>
      <c r="N8376" s="7"/>
      <c r="P8376" s="7"/>
      <c r="R8376" s="7"/>
      <c r="T8376" s="7"/>
      <c r="V8376" s="7"/>
      <c r="X8376" s="7"/>
    </row>
    <row r="8377" spans="2:24">
      <c r="B8377" s="7"/>
      <c r="D8377" s="7"/>
      <c r="F8377" s="7"/>
      <c r="H8377" s="7"/>
      <c r="J8377" s="7"/>
      <c r="L8377" s="7"/>
      <c r="N8377" s="7"/>
      <c r="P8377" s="7"/>
      <c r="R8377" s="7"/>
      <c r="T8377" s="7"/>
      <c r="V8377" s="7"/>
      <c r="X8377" s="7"/>
    </row>
    <row r="8378" spans="2:24">
      <c r="B8378" s="7"/>
      <c r="D8378" s="7"/>
      <c r="F8378" s="7"/>
      <c r="H8378" s="7"/>
      <c r="J8378" s="7"/>
      <c r="L8378" s="7"/>
      <c r="N8378" s="7"/>
      <c r="P8378" s="7"/>
      <c r="R8378" s="7"/>
      <c r="T8378" s="7"/>
      <c r="V8378" s="7"/>
      <c r="X8378" s="7"/>
    </row>
    <row r="8379" spans="2:24">
      <c r="B8379" s="7"/>
      <c r="D8379" s="7"/>
      <c r="F8379" s="7"/>
      <c r="H8379" s="7"/>
      <c r="J8379" s="7"/>
      <c r="L8379" s="7"/>
      <c r="N8379" s="7"/>
      <c r="P8379" s="7"/>
      <c r="R8379" s="7"/>
      <c r="T8379" s="7"/>
      <c r="V8379" s="7"/>
      <c r="X8379" s="7"/>
    </row>
    <row r="8380" spans="2:24">
      <c r="B8380" s="7"/>
      <c r="D8380" s="7"/>
      <c r="F8380" s="7"/>
      <c r="H8380" s="7"/>
      <c r="J8380" s="7"/>
      <c r="L8380" s="7"/>
      <c r="N8380" s="7"/>
      <c r="P8380" s="7"/>
      <c r="R8380" s="7"/>
      <c r="T8380" s="7"/>
      <c r="V8380" s="7"/>
      <c r="X8380" s="7"/>
    </row>
    <row r="8381" spans="2:24">
      <c r="B8381" s="7"/>
      <c r="D8381" s="7"/>
      <c r="F8381" s="7"/>
      <c r="H8381" s="7"/>
      <c r="J8381" s="7"/>
      <c r="L8381" s="7"/>
      <c r="N8381" s="7"/>
      <c r="P8381" s="7"/>
      <c r="R8381" s="7"/>
      <c r="T8381" s="7"/>
      <c r="V8381" s="7"/>
      <c r="X8381" s="7"/>
    </row>
    <row r="8382" spans="2:24">
      <c r="B8382" s="7"/>
      <c r="D8382" s="7"/>
      <c r="F8382" s="7"/>
      <c r="H8382" s="7"/>
      <c r="J8382" s="7"/>
      <c r="L8382" s="7"/>
      <c r="N8382" s="7"/>
      <c r="P8382" s="7"/>
      <c r="R8382" s="7"/>
      <c r="T8382" s="7"/>
      <c r="V8382" s="7"/>
      <c r="X8382" s="7"/>
    </row>
    <row r="8383" spans="2:24">
      <c r="B8383" s="7"/>
      <c r="D8383" s="7"/>
      <c r="F8383" s="7"/>
      <c r="H8383" s="7"/>
      <c r="J8383" s="7"/>
      <c r="L8383" s="7"/>
      <c r="N8383" s="7"/>
      <c r="P8383" s="7"/>
      <c r="R8383" s="7"/>
      <c r="T8383" s="7"/>
      <c r="V8383" s="7"/>
      <c r="X8383" s="7"/>
    </row>
    <row r="8384" spans="2:24">
      <c r="B8384" s="7"/>
      <c r="D8384" s="7"/>
      <c r="F8384" s="7"/>
      <c r="H8384" s="7"/>
      <c r="J8384" s="7"/>
      <c r="L8384" s="7"/>
      <c r="N8384" s="7"/>
      <c r="P8384" s="7"/>
      <c r="R8384" s="7"/>
      <c r="T8384" s="7"/>
      <c r="V8384" s="7"/>
      <c r="X8384" s="7"/>
    </row>
    <row r="8385" spans="2:24">
      <c r="B8385" s="7"/>
      <c r="D8385" s="7"/>
      <c r="F8385" s="7"/>
      <c r="H8385" s="7"/>
      <c r="J8385" s="7"/>
      <c r="L8385" s="7"/>
      <c r="N8385" s="7"/>
      <c r="P8385" s="7"/>
      <c r="R8385" s="7"/>
      <c r="T8385" s="7"/>
      <c r="V8385" s="7"/>
      <c r="X8385" s="7"/>
    </row>
    <row r="8386" spans="2:24">
      <c r="B8386" s="7"/>
      <c r="D8386" s="7"/>
      <c r="F8386" s="7"/>
      <c r="H8386" s="7"/>
      <c r="J8386" s="7"/>
      <c r="L8386" s="7"/>
      <c r="N8386" s="7"/>
      <c r="P8386" s="7"/>
      <c r="R8386" s="7"/>
      <c r="T8386" s="7"/>
      <c r="V8386" s="7"/>
      <c r="X8386" s="7"/>
    </row>
    <row r="8387" spans="2:24">
      <c r="B8387" s="7"/>
      <c r="D8387" s="7"/>
      <c r="F8387" s="7"/>
      <c r="H8387" s="7"/>
      <c r="J8387" s="7"/>
      <c r="L8387" s="7"/>
      <c r="N8387" s="7"/>
      <c r="P8387" s="7"/>
      <c r="R8387" s="7"/>
      <c r="T8387" s="7"/>
      <c r="V8387" s="7"/>
      <c r="X8387" s="7"/>
    </row>
    <row r="8388" spans="2:24">
      <c r="B8388" s="7"/>
      <c r="D8388" s="7"/>
      <c r="F8388" s="7"/>
      <c r="H8388" s="7"/>
      <c r="J8388" s="7"/>
      <c r="L8388" s="7"/>
      <c r="N8388" s="7"/>
      <c r="P8388" s="7"/>
      <c r="R8388" s="7"/>
      <c r="T8388" s="7"/>
      <c r="V8388" s="7"/>
      <c r="X8388" s="7"/>
    </row>
    <row r="8389" spans="2:24">
      <c r="B8389" s="7"/>
      <c r="D8389" s="7"/>
      <c r="F8389" s="7"/>
      <c r="H8389" s="7"/>
      <c r="J8389" s="7"/>
      <c r="L8389" s="7"/>
      <c r="N8389" s="7"/>
      <c r="P8389" s="7"/>
      <c r="R8389" s="7"/>
      <c r="T8389" s="7"/>
      <c r="V8389" s="7"/>
      <c r="X8389" s="7"/>
    </row>
    <row r="8390" spans="2:24">
      <c r="B8390" s="7"/>
      <c r="D8390" s="7"/>
      <c r="F8390" s="7"/>
      <c r="H8390" s="7"/>
      <c r="J8390" s="7"/>
      <c r="L8390" s="7"/>
      <c r="N8390" s="7"/>
      <c r="P8390" s="7"/>
      <c r="R8390" s="7"/>
      <c r="T8390" s="7"/>
      <c r="V8390" s="7"/>
      <c r="X8390" s="7"/>
    </row>
    <row r="8391" spans="2:24">
      <c r="B8391" s="7"/>
      <c r="D8391" s="7"/>
      <c r="F8391" s="7"/>
      <c r="H8391" s="7"/>
      <c r="J8391" s="7"/>
      <c r="L8391" s="7"/>
      <c r="N8391" s="7"/>
      <c r="P8391" s="7"/>
      <c r="R8391" s="7"/>
      <c r="T8391" s="7"/>
      <c r="V8391" s="7"/>
      <c r="X8391" s="7"/>
    </row>
    <row r="8392" spans="2:24">
      <c r="B8392" s="7"/>
      <c r="D8392" s="7"/>
      <c r="F8392" s="7"/>
      <c r="H8392" s="7"/>
      <c r="J8392" s="7"/>
      <c r="L8392" s="7"/>
      <c r="N8392" s="7"/>
      <c r="P8392" s="7"/>
      <c r="R8392" s="7"/>
      <c r="T8392" s="7"/>
      <c r="V8392" s="7"/>
      <c r="X8392" s="7"/>
    </row>
    <row r="8393" spans="2:24">
      <c r="B8393" s="7"/>
      <c r="D8393" s="7"/>
      <c r="F8393" s="7"/>
      <c r="H8393" s="7"/>
      <c r="J8393" s="7"/>
      <c r="L8393" s="7"/>
      <c r="N8393" s="7"/>
      <c r="P8393" s="7"/>
      <c r="R8393" s="7"/>
      <c r="T8393" s="7"/>
      <c r="V8393" s="7"/>
      <c r="X8393" s="7"/>
    </row>
    <row r="8394" spans="2:24">
      <c r="B8394" s="7"/>
      <c r="D8394" s="7"/>
      <c r="F8394" s="7"/>
      <c r="H8394" s="7"/>
      <c r="J8394" s="7"/>
      <c r="L8394" s="7"/>
      <c r="N8394" s="7"/>
      <c r="P8394" s="7"/>
      <c r="R8394" s="7"/>
      <c r="T8394" s="7"/>
      <c r="V8394" s="7"/>
      <c r="X8394" s="7"/>
    </row>
    <row r="8395" spans="2:24">
      <c r="B8395" s="7"/>
      <c r="D8395" s="7"/>
      <c r="F8395" s="7"/>
      <c r="H8395" s="7"/>
      <c r="J8395" s="7"/>
      <c r="L8395" s="7"/>
      <c r="N8395" s="7"/>
      <c r="P8395" s="7"/>
      <c r="R8395" s="7"/>
      <c r="T8395" s="7"/>
      <c r="V8395" s="7"/>
      <c r="X8395" s="7"/>
    </row>
    <row r="8396" spans="2:24">
      <c r="B8396" s="7"/>
      <c r="D8396" s="7"/>
      <c r="F8396" s="7"/>
      <c r="H8396" s="7"/>
      <c r="J8396" s="7"/>
      <c r="L8396" s="7"/>
      <c r="N8396" s="7"/>
      <c r="P8396" s="7"/>
      <c r="R8396" s="7"/>
      <c r="T8396" s="7"/>
      <c r="V8396" s="7"/>
      <c r="X8396" s="7"/>
    </row>
    <row r="8397" spans="2:24">
      <c r="B8397" s="7"/>
      <c r="D8397" s="7"/>
      <c r="F8397" s="7"/>
      <c r="H8397" s="7"/>
      <c r="J8397" s="7"/>
      <c r="L8397" s="7"/>
      <c r="N8397" s="7"/>
      <c r="P8397" s="7"/>
      <c r="R8397" s="7"/>
      <c r="T8397" s="7"/>
      <c r="V8397" s="7"/>
      <c r="X8397" s="7"/>
    </row>
    <row r="8398" spans="2:24">
      <c r="B8398" s="7"/>
      <c r="D8398" s="7"/>
      <c r="F8398" s="7"/>
      <c r="H8398" s="7"/>
      <c r="J8398" s="7"/>
      <c r="L8398" s="7"/>
      <c r="N8398" s="7"/>
      <c r="P8398" s="7"/>
      <c r="R8398" s="7"/>
      <c r="T8398" s="7"/>
      <c r="V8398" s="7"/>
      <c r="X8398" s="7"/>
    </row>
    <row r="8399" spans="2:24">
      <c r="B8399" s="7"/>
      <c r="D8399" s="7"/>
      <c r="F8399" s="7"/>
      <c r="H8399" s="7"/>
      <c r="J8399" s="7"/>
      <c r="L8399" s="7"/>
      <c r="N8399" s="7"/>
      <c r="P8399" s="7"/>
      <c r="R8399" s="7"/>
      <c r="T8399" s="7"/>
      <c r="V8399" s="7"/>
      <c r="X8399" s="7"/>
    </row>
    <row r="8400" spans="2:24">
      <c r="B8400" s="7"/>
      <c r="D8400" s="7"/>
      <c r="F8400" s="7"/>
      <c r="H8400" s="7"/>
      <c r="J8400" s="7"/>
      <c r="L8400" s="7"/>
      <c r="N8400" s="7"/>
      <c r="P8400" s="7"/>
      <c r="R8400" s="7"/>
      <c r="T8400" s="7"/>
      <c r="V8400" s="7"/>
      <c r="X8400" s="7"/>
    </row>
    <row r="8401" spans="2:24">
      <c r="B8401" s="7"/>
      <c r="D8401" s="7"/>
      <c r="F8401" s="7"/>
      <c r="H8401" s="7"/>
      <c r="J8401" s="7"/>
      <c r="L8401" s="7"/>
      <c r="N8401" s="7"/>
      <c r="P8401" s="7"/>
      <c r="R8401" s="7"/>
      <c r="T8401" s="7"/>
      <c r="V8401" s="7"/>
      <c r="X8401" s="7"/>
    </row>
    <row r="8402" spans="2:24">
      <c r="B8402" s="7"/>
      <c r="D8402" s="7"/>
      <c r="F8402" s="7"/>
      <c r="H8402" s="7"/>
      <c r="J8402" s="7"/>
      <c r="L8402" s="7"/>
      <c r="N8402" s="7"/>
      <c r="P8402" s="7"/>
      <c r="R8402" s="7"/>
      <c r="T8402" s="7"/>
      <c r="V8402" s="7"/>
      <c r="X8402" s="7"/>
    </row>
    <row r="8403" spans="2:24">
      <c r="B8403" s="7"/>
      <c r="D8403" s="7"/>
      <c r="F8403" s="7"/>
      <c r="H8403" s="7"/>
      <c r="J8403" s="7"/>
      <c r="L8403" s="7"/>
      <c r="N8403" s="7"/>
      <c r="P8403" s="7"/>
      <c r="R8403" s="7"/>
      <c r="T8403" s="7"/>
      <c r="V8403" s="7"/>
      <c r="X8403" s="7"/>
    </row>
    <row r="8404" spans="2:24">
      <c r="B8404" s="7"/>
      <c r="D8404" s="7"/>
      <c r="F8404" s="7"/>
      <c r="H8404" s="7"/>
      <c r="J8404" s="7"/>
      <c r="L8404" s="7"/>
      <c r="N8404" s="7"/>
      <c r="P8404" s="7"/>
      <c r="R8404" s="7"/>
      <c r="T8404" s="7"/>
      <c r="V8404" s="7"/>
      <c r="X8404" s="7"/>
    </row>
    <row r="8405" spans="2:24">
      <c r="B8405" s="7"/>
      <c r="D8405" s="7"/>
      <c r="F8405" s="7"/>
      <c r="H8405" s="7"/>
      <c r="J8405" s="7"/>
      <c r="L8405" s="7"/>
      <c r="N8405" s="7"/>
      <c r="P8405" s="7"/>
      <c r="R8405" s="7"/>
      <c r="T8405" s="7"/>
      <c r="V8405" s="7"/>
      <c r="X8405" s="7"/>
    </row>
    <row r="8406" spans="2:24">
      <c r="B8406" s="7"/>
      <c r="D8406" s="7"/>
      <c r="F8406" s="7"/>
      <c r="H8406" s="7"/>
      <c r="J8406" s="7"/>
      <c r="L8406" s="7"/>
      <c r="N8406" s="7"/>
      <c r="P8406" s="7"/>
      <c r="R8406" s="7"/>
      <c r="T8406" s="7"/>
      <c r="V8406" s="7"/>
      <c r="X8406" s="7"/>
    </row>
    <row r="8407" spans="2:24">
      <c r="B8407" s="7"/>
      <c r="D8407" s="7"/>
      <c r="F8407" s="7"/>
      <c r="H8407" s="7"/>
      <c r="J8407" s="7"/>
      <c r="L8407" s="7"/>
      <c r="N8407" s="7"/>
      <c r="P8407" s="7"/>
      <c r="R8407" s="7"/>
      <c r="T8407" s="7"/>
      <c r="V8407" s="7"/>
      <c r="X8407" s="7"/>
    </row>
    <row r="8408" spans="2:24">
      <c r="B8408" s="7"/>
      <c r="D8408" s="7"/>
      <c r="F8408" s="7"/>
      <c r="H8408" s="7"/>
      <c r="J8408" s="7"/>
      <c r="L8408" s="7"/>
      <c r="N8408" s="7"/>
      <c r="P8408" s="7"/>
      <c r="R8408" s="7"/>
      <c r="T8408" s="7"/>
      <c r="V8408" s="7"/>
      <c r="X8408" s="7"/>
    </row>
    <row r="8409" spans="2:24">
      <c r="B8409" s="7"/>
      <c r="D8409" s="7"/>
      <c r="F8409" s="7"/>
      <c r="H8409" s="7"/>
      <c r="J8409" s="7"/>
      <c r="L8409" s="7"/>
      <c r="N8409" s="7"/>
      <c r="P8409" s="7"/>
      <c r="R8409" s="7"/>
      <c r="T8409" s="7"/>
      <c r="V8409" s="7"/>
      <c r="X8409" s="7"/>
    </row>
    <row r="8410" spans="2:24">
      <c r="B8410" s="7"/>
      <c r="D8410" s="7"/>
      <c r="F8410" s="7"/>
      <c r="H8410" s="7"/>
      <c r="J8410" s="7"/>
      <c r="L8410" s="7"/>
      <c r="N8410" s="7"/>
      <c r="P8410" s="7"/>
      <c r="R8410" s="7"/>
      <c r="T8410" s="7"/>
      <c r="V8410" s="7"/>
      <c r="X8410" s="7"/>
    </row>
    <row r="8411" spans="2:24">
      <c r="B8411" s="7"/>
      <c r="D8411" s="7"/>
      <c r="F8411" s="7"/>
      <c r="H8411" s="7"/>
      <c r="J8411" s="7"/>
      <c r="L8411" s="7"/>
      <c r="N8411" s="7"/>
      <c r="P8411" s="7"/>
      <c r="R8411" s="7"/>
      <c r="T8411" s="7"/>
      <c r="V8411" s="7"/>
      <c r="X8411" s="7"/>
    </row>
    <row r="8412" spans="2:24">
      <c r="B8412" s="7"/>
      <c r="D8412" s="7"/>
      <c r="F8412" s="7"/>
      <c r="H8412" s="7"/>
      <c r="J8412" s="7"/>
      <c r="L8412" s="7"/>
      <c r="N8412" s="7"/>
      <c r="P8412" s="7"/>
      <c r="R8412" s="7"/>
      <c r="T8412" s="7"/>
      <c r="V8412" s="7"/>
      <c r="X8412" s="7"/>
    </row>
    <row r="8413" spans="2:24">
      <c r="B8413" s="7"/>
      <c r="D8413" s="7"/>
      <c r="F8413" s="7"/>
      <c r="H8413" s="7"/>
      <c r="J8413" s="7"/>
      <c r="L8413" s="7"/>
      <c r="N8413" s="7"/>
      <c r="P8413" s="7"/>
      <c r="R8413" s="7"/>
      <c r="T8413" s="7"/>
      <c r="V8413" s="7"/>
      <c r="X8413" s="7"/>
    </row>
    <row r="8414" spans="2:24">
      <c r="B8414" s="7"/>
      <c r="D8414" s="7"/>
      <c r="F8414" s="7"/>
      <c r="H8414" s="7"/>
      <c r="J8414" s="7"/>
      <c r="L8414" s="7"/>
      <c r="N8414" s="7"/>
      <c r="P8414" s="7"/>
      <c r="R8414" s="7"/>
      <c r="T8414" s="7"/>
      <c r="V8414" s="7"/>
      <c r="X8414" s="7"/>
    </row>
    <row r="8415" spans="2:24">
      <c r="B8415" s="7"/>
      <c r="D8415" s="7"/>
      <c r="F8415" s="7"/>
      <c r="H8415" s="7"/>
      <c r="J8415" s="7"/>
      <c r="L8415" s="7"/>
      <c r="N8415" s="7"/>
      <c r="P8415" s="7"/>
      <c r="R8415" s="7"/>
      <c r="T8415" s="7"/>
      <c r="V8415" s="7"/>
      <c r="X8415" s="7"/>
    </row>
    <row r="8416" spans="2:24">
      <c r="B8416" s="7"/>
      <c r="D8416" s="7"/>
      <c r="F8416" s="7"/>
      <c r="H8416" s="7"/>
      <c r="J8416" s="7"/>
      <c r="L8416" s="7"/>
      <c r="N8416" s="7"/>
      <c r="P8416" s="7"/>
      <c r="R8416" s="7"/>
      <c r="T8416" s="7"/>
      <c r="V8416" s="7"/>
      <c r="X8416" s="7"/>
    </row>
    <row r="8417" spans="2:24">
      <c r="B8417" s="7"/>
      <c r="D8417" s="7"/>
      <c r="F8417" s="7"/>
      <c r="H8417" s="7"/>
      <c r="J8417" s="7"/>
      <c r="L8417" s="7"/>
      <c r="N8417" s="7"/>
      <c r="P8417" s="7"/>
      <c r="R8417" s="7"/>
      <c r="T8417" s="7"/>
      <c r="V8417" s="7"/>
      <c r="X8417" s="7"/>
    </row>
    <row r="8418" spans="2:24">
      <c r="B8418" s="7"/>
      <c r="D8418" s="7"/>
      <c r="F8418" s="7"/>
      <c r="H8418" s="7"/>
      <c r="J8418" s="7"/>
      <c r="L8418" s="7"/>
      <c r="N8418" s="7"/>
      <c r="P8418" s="7"/>
      <c r="R8418" s="7"/>
      <c r="T8418" s="7"/>
      <c r="V8418" s="7"/>
      <c r="X8418" s="7"/>
    </row>
    <row r="8419" spans="2:24">
      <c r="B8419" s="7"/>
      <c r="D8419" s="7"/>
      <c r="F8419" s="7"/>
      <c r="H8419" s="7"/>
      <c r="J8419" s="7"/>
      <c r="L8419" s="7"/>
      <c r="N8419" s="7"/>
      <c r="P8419" s="7"/>
      <c r="R8419" s="7"/>
      <c r="T8419" s="7"/>
      <c r="V8419" s="7"/>
      <c r="X8419" s="7"/>
    </row>
    <row r="8420" spans="2:24">
      <c r="B8420" s="7"/>
      <c r="D8420" s="7"/>
      <c r="F8420" s="7"/>
      <c r="H8420" s="7"/>
      <c r="J8420" s="7"/>
      <c r="L8420" s="7"/>
      <c r="N8420" s="7"/>
      <c r="P8420" s="7"/>
      <c r="R8420" s="7"/>
      <c r="T8420" s="7"/>
      <c r="V8420" s="7"/>
      <c r="X8420" s="7"/>
    </row>
    <row r="8421" spans="2:24">
      <c r="B8421" s="7"/>
      <c r="D8421" s="7"/>
      <c r="F8421" s="7"/>
      <c r="H8421" s="7"/>
      <c r="J8421" s="7"/>
      <c r="L8421" s="7"/>
      <c r="N8421" s="7"/>
      <c r="P8421" s="7"/>
      <c r="R8421" s="7"/>
      <c r="T8421" s="7"/>
      <c r="V8421" s="7"/>
      <c r="X8421" s="7"/>
    </row>
    <row r="8422" spans="2:24">
      <c r="B8422" s="7"/>
      <c r="D8422" s="7"/>
      <c r="F8422" s="7"/>
      <c r="H8422" s="7"/>
      <c r="J8422" s="7"/>
      <c r="L8422" s="7"/>
      <c r="N8422" s="7"/>
      <c r="P8422" s="7"/>
      <c r="R8422" s="7"/>
      <c r="T8422" s="7"/>
      <c r="V8422" s="7"/>
      <c r="X8422" s="7"/>
    </row>
    <row r="8423" spans="2:24">
      <c r="B8423" s="7"/>
      <c r="D8423" s="7"/>
      <c r="F8423" s="7"/>
      <c r="H8423" s="7"/>
      <c r="J8423" s="7"/>
      <c r="L8423" s="7"/>
      <c r="N8423" s="7"/>
      <c r="P8423" s="7"/>
      <c r="R8423" s="7"/>
      <c r="T8423" s="7"/>
      <c r="V8423" s="7"/>
      <c r="X8423" s="7"/>
    </row>
    <row r="8424" spans="2:24">
      <c r="B8424" s="7"/>
      <c r="D8424" s="7"/>
      <c r="F8424" s="7"/>
      <c r="H8424" s="7"/>
      <c r="J8424" s="7"/>
      <c r="L8424" s="7"/>
      <c r="N8424" s="7"/>
      <c r="P8424" s="7"/>
      <c r="R8424" s="7"/>
      <c r="T8424" s="7"/>
      <c r="V8424" s="7"/>
      <c r="X8424" s="7"/>
    </row>
    <row r="8425" spans="2:24">
      <c r="B8425" s="7"/>
      <c r="D8425" s="7"/>
      <c r="F8425" s="7"/>
      <c r="H8425" s="7"/>
      <c r="J8425" s="7"/>
      <c r="L8425" s="7"/>
      <c r="N8425" s="7"/>
      <c r="P8425" s="7"/>
      <c r="R8425" s="7"/>
      <c r="T8425" s="7"/>
      <c r="V8425" s="7"/>
      <c r="X8425" s="7"/>
    </row>
    <row r="8426" spans="2:24">
      <c r="B8426" s="7"/>
      <c r="D8426" s="7"/>
      <c r="F8426" s="7"/>
      <c r="H8426" s="7"/>
      <c r="J8426" s="7"/>
      <c r="L8426" s="7"/>
      <c r="N8426" s="7"/>
      <c r="P8426" s="7"/>
      <c r="R8426" s="7"/>
      <c r="T8426" s="7"/>
      <c r="V8426" s="7"/>
      <c r="X8426" s="7"/>
    </row>
    <row r="8427" spans="2:24">
      <c r="B8427" s="7"/>
      <c r="D8427" s="7"/>
      <c r="F8427" s="7"/>
      <c r="H8427" s="7"/>
      <c r="J8427" s="7"/>
      <c r="L8427" s="7"/>
      <c r="N8427" s="7"/>
      <c r="P8427" s="7"/>
      <c r="R8427" s="7"/>
      <c r="T8427" s="7"/>
      <c r="V8427" s="7"/>
      <c r="X8427" s="7"/>
    </row>
    <row r="8428" spans="2:24">
      <c r="B8428" s="7"/>
      <c r="D8428" s="7"/>
      <c r="F8428" s="7"/>
      <c r="H8428" s="7"/>
      <c r="J8428" s="7"/>
      <c r="L8428" s="7"/>
      <c r="N8428" s="7"/>
      <c r="P8428" s="7"/>
      <c r="R8428" s="7"/>
      <c r="T8428" s="7"/>
      <c r="V8428" s="7"/>
      <c r="X8428" s="7"/>
    </row>
    <row r="8429" spans="2:24">
      <c r="B8429" s="7"/>
      <c r="D8429" s="7"/>
      <c r="F8429" s="7"/>
      <c r="H8429" s="7"/>
      <c r="J8429" s="7"/>
      <c r="L8429" s="7"/>
      <c r="N8429" s="7"/>
      <c r="P8429" s="7"/>
      <c r="R8429" s="7"/>
      <c r="T8429" s="7"/>
      <c r="V8429" s="7"/>
      <c r="X8429" s="7"/>
    </row>
    <row r="8430" spans="2:24">
      <c r="B8430" s="7"/>
      <c r="D8430" s="7"/>
      <c r="F8430" s="7"/>
      <c r="H8430" s="7"/>
      <c r="J8430" s="7"/>
      <c r="L8430" s="7"/>
      <c r="N8430" s="7"/>
      <c r="P8430" s="7"/>
      <c r="R8430" s="7"/>
      <c r="T8430" s="7"/>
      <c r="V8430" s="7"/>
      <c r="X8430" s="7"/>
    </row>
    <row r="8431" spans="2:24">
      <c r="B8431" s="7"/>
      <c r="D8431" s="7"/>
      <c r="F8431" s="7"/>
      <c r="H8431" s="7"/>
      <c r="J8431" s="7"/>
      <c r="L8431" s="7"/>
      <c r="N8431" s="7"/>
      <c r="P8431" s="7"/>
      <c r="R8431" s="7"/>
      <c r="T8431" s="7"/>
      <c r="V8431" s="7"/>
      <c r="X8431" s="7"/>
    </row>
    <row r="8432" spans="2:24">
      <c r="B8432" s="7"/>
      <c r="D8432" s="7"/>
      <c r="F8432" s="7"/>
      <c r="H8432" s="7"/>
      <c r="J8432" s="7"/>
      <c r="L8432" s="7"/>
      <c r="N8432" s="7"/>
      <c r="P8432" s="7"/>
      <c r="R8432" s="7"/>
      <c r="T8432" s="7"/>
      <c r="V8432" s="7"/>
      <c r="X8432" s="7"/>
    </row>
    <row r="8433" spans="2:24">
      <c r="B8433" s="7"/>
      <c r="D8433" s="7"/>
      <c r="F8433" s="7"/>
      <c r="H8433" s="7"/>
      <c r="J8433" s="7"/>
      <c r="L8433" s="7"/>
      <c r="N8433" s="7"/>
      <c r="P8433" s="7"/>
      <c r="R8433" s="7"/>
      <c r="T8433" s="7"/>
      <c r="V8433" s="7"/>
      <c r="X8433" s="7"/>
    </row>
    <row r="8434" spans="2:24">
      <c r="B8434" s="7"/>
      <c r="D8434" s="7"/>
      <c r="F8434" s="7"/>
      <c r="H8434" s="7"/>
      <c r="J8434" s="7"/>
      <c r="L8434" s="7"/>
      <c r="N8434" s="7"/>
      <c r="P8434" s="7"/>
      <c r="R8434" s="7"/>
      <c r="T8434" s="7"/>
      <c r="V8434" s="7"/>
      <c r="X8434" s="7"/>
    </row>
    <row r="8435" spans="2:24">
      <c r="B8435" s="7"/>
      <c r="D8435" s="7"/>
      <c r="F8435" s="7"/>
      <c r="H8435" s="7"/>
      <c r="J8435" s="7"/>
      <c r="L8435" s="7"/>
      <c r="N8435" s="7"/>
      <c r="P8435" s="7"/>
      <c r="R8435" s="7"/>
      <c r="T8435" s="7"/>
      <c r="V8435" s="7"/>
      <c r="X8435" s="7"/>
    </row>
    <row r="8436" spans="2:24">
      <c r="B8436" s="7"/>
      <c r="D8436" s="7"/>
      <c r="F8436" s="7"/>
      <c r="H8436" s="7"/>
      <c r="J8436" s="7"/>
      <c r="L8436" s="7"/>
      <c r="N8436" s="7"/>
      <c r="P8436" s="7"/>
      <c r="R8436" s="7"/>
      <c r="T8436" s="7"/>
      <c r="V8436" s="7"/>
      <c r="X8436" s="7"/>
    </row>
    <row r="8437" spans="2:24">
      <c r="B8437" s="7"/>
      <c r="D8437" s="7"/>
      <c r="F8437" s="7"/>
      <c r="H8437" s="7"/>
      <c r="J8437" s="7"/>
      <c r="L8437" s="7"/>
      <c r="N8437" s="7"/>
      <c r="P8437" s="7"/>
      <c r="R8437" s="7"/>
      <c r="T8437" s="7"/>
      <c r="V8437" s="7"/>
      <c r="X8437" s="7"/>
    </row>
    <row r="8438" spans="2:24">
      <c r="B8438" s="7"/>
      <c r="D8438" s="7"/>
      <c r="F8438" s="7"/>
      <c r="H8438" s="7"/>
      <c r="J8438" s="7"/>
      <c r="L8438" s="7"/>
      <c r="N8438" s="7"/>
      <c r="P8438" s="7"/>
      <c r="R8438" s="7"/>
      <c r="T8438" s="7"/>
      <c r="V8438" s="7"/>
      <c r="X8438" s="7"/>
    </row>
    <row r="8439" spans="2:24">
      <c r="B8439" s="7"/>
      <c r="D8439" s="7"/>
      <c r="F8439" s="7"/>
      <c r="H8439" s="7"/>
      <c r="J8439" s="7"/>
      <c r="L8439" s="7"/>
      <c r="N8439" s="7"/>
      <c r="P8439" s="7"/>
      <c r="R8439" s="7"/>
      <c r="T8439" s="7"/>
      <c r="V8439" s="7"/>
      <c r="X8439" s="7"/>
    </row>
    <row r="8440" spans="2:24">
      <c r="B8440" s="7"/>
      <c r="D8440" s="7"/>
      <c r="F8440" s="7"/>
      <c r="H8440" s="7"/>
      <c r="J8440" s="7"/>
      <c r="L8440" s="7"/>
      <c r="N8440" s="7"/>
      <c r="P8440" s="7"/>
      <c r="R8440" s="7"/>
      <c r="T8440" s="7"/>
      <c r="V8440" s="7"/>
      <c r="X8440" s="7"/>
    </row>
    <row r="8441" spans="2:24">
      <c r="B8441" s="7"/>
      <c r="D8441" s="7"/>
      <c r="F8441" s="7"/>
      <c r="H8441" s="7"/>
      <c r="J8441" s="7"/>
      <c r="L8441" s="7"/>
      <c r="N8441" s="7"/>
      <c r="P8441" s="7"/>
      <c r="R8441" s="7"/>
      <c r="T8441" s="7"/>
      <c r="V8441" s="7"/>
      <c r="X8441" s="7"/>
    </row>
    <row r="8442" spans="2:24">
      <c r="B8442" s="7"/>
      <c r="D8442" s="7"/>
      <c r="F8442" s="7"/>
      <c r="H8442" s="7"/>
      <c r="J8442" s="7"/>
      <c r="L8442" s="7"/>
      <c r="N8442" s="7"/>
      <c r="P8442" s="7"/>
      <c r="R8442" s="7"/>
      <c r="T8442" s="7"/>
      <c r="V8442" s="7"/>
      <c r="X8442" s="7"/>
    </row>
    <row r="8443" spans="2:24">
      <c r="B8443" s="7"/>
      <c r="D8443" s="7"/>
      <c r="F8443" s="7"/>
      <c r="H8443" s="7"/>
      <c r="J8443" s="7"/>
      <c r="L8443" s="7"/>
      <c r="N8443" s="7"/>
      <c r="P8443" s="7"/>
      <c r="R8443" s="7"/>
      <c r="T8443" s="7"/>
      <c r="V8443" s="7"/>
      <c r="X8443" s="7"/>
    </row>
    <row r="8444" spans="2:24">
      <c r="B8444" s="7"/>
      <c r="D8444" s="7"/>
      <c r="F8444" s="7"/>
      <c r="H8444" s="7"/>
      <c r="J8444" s="7"/>
      <c r="L8444" s="7"/>
      <c r="N8444" s="7"/>
      <c r="P8444" s="7"/>
      <c r="R8444" s="7"/>
      <c r="T8444" s="7"/>
      <c r="V8444" s="7"/>
      <c r="X8444" s="7"/>
    </row>
    <row r="8445" spans="2:24">
      <c r="B8445" s="7"/>
      <c r="D8445" s="7"/>
      <c r="F8445" s="7"/>
      <c r="H8445" s="7"/>
      <c r="J8445" s="7"/>
      <c r="L8445" s="7"/>
      <c r="N8445" s="7"/>
      <c r="P8445" s="7"/>
      <c r="R8445" s="7"/>
      <c r="T8445" s="7"/>
      <c r="V8445" s="7"/>
      <c r="X8445" s="7"/>
    </row>
    <row r="8446" spans="2:24">
      <c r="B8446" s="7"/>
      <c r="D8446" s="7"/>
      <c r="F8446" s="7"/>
      <c r="H8446" s="7"/>
      <c r="J8446" s="7"/>
      <c r="L8446" s="7"/>
      <c r="N8446" s="7"/>
      <c r="P8446" s="7"/>
      <c r="R8446" s="7"/>
      <c r="T8446" s="7"/>
      <c r="V8446" s="7"/>
      <c r="X8446" s="7"/>
    </row>
    <row r="8447" spans="2:24">
      <c r="B8447" s="7"/>
      <c r="D8447" s="7"/>
      <c r="F8447" s="7"/>
      <c r="H8447" s="7"/>
      <c r="J8447" s="7"/>
      <c r="L8447" s="7"/>
      <c r="N8447" s="7"/>
      <c r="P8447" s="7"/>
      <c r="R8447" s="7"/>
      <c r="T8447" s="7"/>
      <c r="V8447" s="7"/>
      <c r="X8447" s="7"/>
    </row>
    <row r="8448" spans="2:24">
      <c r="B8448" s="7"/>
      <c r="D8448" s="7"/>
      <c r="F8448" s="7"/>
      <c r="H8448" s="7"/>
      <c r="J8448" s="7"/>
      <c r="L8448" s="7"/>
      <c r="N8448" s="7"/>
      <c r="P8448" s="7"/>
      <c r="R8448" s="7"/>
      <c r="T8448" s="7"/>
      <c r="V8448" s="7"/>
      <c r="X8448" s="7"/>
    </row>
    <row r="8449" spans="2:24">
      <c r="B8449" s="7"/>
      <c r="D8449" s="7"/>
      <c r="F8449" s="7"/>
      <c r="H8449" s="7"/>
      <c r="J8449" s="7"/>
      <c r="L8449" s="7"/>
      <c r="N8449" s="7"/>
      <c r="P8449" s="7"/>
      <c r="R8449" s="7"/>
      <c r="T8449" s="7"/>
      <c r="V8449" s="7"/>
      <c r="X8449" s="7"/>
    </row>
    <row r="8450" spans="2:24">
      <c r="B8450" s="7"/>
      <c r="D8450" s="7"/>
      <c r="F8450" s="7"/>
      <c r="H8450" s="7"/>
      <c r="J8450" s="7"/>
      <c r="L8450" s="7"/>
      <c r="N8450" s="7"/>
      <c r="P8450" s="7"/>
      <c r="R8450" s="7"/>
      <c r="T8450" s="7"/>
      <c r="V8450" s="7"/>
      <c r="X8450" s="7"/>
    </row>
    <row r="8451" spans="2:24">
      <c r="B8451" s="7"/>
      <c r="D8451" s="7"/>
      <c r="F8451" s="7"/>
      <c r="H8451" s="7"/>
      <c r="J8451" s="7"/>
      <c r="L8451" s="7"/>
      <c r="N8451" s="7"/>
      <c r="P8451" s="7"/>
      <c r="R8451" s="7"/>
      <c r="T8451" s="7"/>
      <c r="V8451" s="7"/>
      <c r="X8451" s="7"/>
    </row>
    <row r="8452" spans="2:24">
      <c r="B8452" s="7"/>
      <c r="D8452" s="7"/>
      <c r="F8452" s="7"/>
      <c r="H8452" s="7"/>
      <c r="J8452" s="7"/>
      <c r="L8452" s="7"/>
      <c r="N8452" s="7"/>
      <c r="P8452" s="7"/>
      <c r="R8452" s="7"/>
      <c r="T8452" s="7"/>
      <c r="V8452" s="7"/>
      <c r="X8452" s="7"/>
    </row>
    <row r="8453" spans="2:24">
      <c r="B8453" s="7"/>
      <c r="D8453" s="7"/>
      <c r="F8453" s="7"/>
      <c r="H8453" s="7"/>
      <c r="J8453" s="7"/>
      <c r="L8453" s="7"/>
      <c r="N8453" s="7"/>
      <c r="P8453" s="7"/>
      <c r="R8453" s="7"/>
      <c r="T8453" s="7"/>
      <c r="V8453" s="7"/>
      <c r="X8453" s="7"/>
    </row>
    <row r="8454" spans="2:24">
      <c r="B8454" s="7"/>
      <c r="D8454" s="7"/>
      <c r="F8454" s="7"/>
      <c r="H8454" s="7"/>
      <c r="J8454" s="7"/>
      <c r="L8454" s="7"/>
      <c r="N8454" s="7"/>
      <c r="P8454" s="7"/>
      <c r="R8454" s="7"/>
      <c r="T8454" s="7"/>
      <c r="V8454" s="7"/>
      <c r="X8454" s="7"/>
    </row>
    <row r="8455" spans="2:24">
      <c r="B8455" s="7"/>
      <c r="D8455" s="7"/>
      <c r="F8455" s="7"/>
      <c r="H8455" s="7"/>
      <c r="J8455" s="7"/>
      <c r="L8455" s="7"/>
      <c r="N8455" s="7"/>
      <c r="P8455" s="7"/>
      <c r="R8455" s="7"/>
      <c r="T8455" s="7"/>
      <c r="V8455" s="7"/>
      <c r="X8455" s="7"/>
    </row>
    <row r="8456" spans="2:24">
      <c r="B8456" s="7"/>
      <c r="D8456" s="7"/>
      <c r="F8456" s="7"/>
      <c r="H8456" s="7"/>
      <c r="J8456" s="7"/>
      <c r="L8456" s="7"/>
      <c r="N8456" s="7"/>
      <c r="P8456" s="7"/>
      <c r="R8456" s="7"/>
      <c r="T8456" s="7"/>
      <c r="V8456" s="7"/>
      <c r="X8456" s="7"/>
    </row>
    <row r="8457" spans="2:24">
      <c r="B8457" s="7"/>
      <c r="D8457" s="7"/>
      <c r="F8457" s="7"/>
      <c r="H8457" s="7"/>
      <c r="J8457" s="7"/>
      <c r="L8457" s="7"/>
      <c r="N8457" s="7"/>
      <c r="P8457" s="7"/>
      <c r="R8457" s="7"/>
      <c r="T8457" s="7"/>
      <c r="V8457" s="7"/>
      <c r="X8457" s="7"/>
    </row>
    <row r="8458" spans="2:24">
      <c r="B8458" s="7"/>
      <c r="D8458" s="7"/>
      <c r="F8458" s="7"/>
      <c r="H8458" s="7"/>
      <c r="J8458" s="7"/>
      <c r="L8458" s="7"/>
      <c r="N8458" s="7"/>
      <c r="P8458" s="7"/>
      <c r="R8458" s="7"/>
      <c r="T8458" s="7"/>
      <c r="V8458" s="7"/>
      <c r="X8458" s="7"/>
    </row>
    <row r="8459" spans="2:24">
      <c r="B8459" s="7"/>
      <c r="D8459" s="7"/>
      <c r="F8459" s="7"/>
      <c r="H8459" s="7"/>
      <c r="J8459" s="7"/>
      <c r="L8459" s="7"/>
      <c r="N8459" s="7"/>
      <c r="P8459" s="7"/>
      <c r="R8459" s="7"/>
      <c r="T8459" s="7"/>
      <c r="V8459" s="7"/>
      <c r="X8459" s="7"/>
    </row>
    <row r="8460" spans="2:24">
      <c r="B8460" s="7"/>
      <c r="D8460" s="7"/>
      <c r="F8460" s="7"/>
      <c r="H8460" s="7"/>
      <c r="J8460" s="7"/>
      <c r="L8460" s="7"/>
      <c r="N8460" s="7"/>
      <c r="P8460" s="7"/>
      <c r="R8460" s="7"/>
      <c r="T8460" s="7"/>
      <c r="V8460" s="7"/>
      <c r="X8460" s="7"/>
    </row>
    <row r="8461" spans="2:24">
      <c r="B8461" s="7"/>
      <c r="D8461" s="7"/>
      <c r="F8461" s="7"/>
      <c r="H8461" s="7"/>
      <c r="J8461" s="7"/>
      <c r="L8461" s="7"/>
      <c r="N8461" s="7"/>
      <c r="P8461" s="7"/>
      <c r="R8461" s="7"/>
      <c r="T8461" s="7"/>
      <c r="V8461" s="7"/>
      <c r="X8461" s="7"/>
    </row>
    <row r="8462" spans="2:24">
      <c r="B8462" s="7"/>
      <c r="D8462" s="7"/>
      <c r="F8462" s="7"/>
      <c r="H8462" s="7"/>
      <c r="J8462" s="7"/>
      <c r="L8462" s="7"/>
      <c r="N8462" s="7"/>
      <c r="P8462" s="7"/>
      <c r="R8462" s="7"/>
      <c r="T8462" s="7"/>
      <c r="V8462" s="7"/>
      <c r="X8462" s="7"/>
    </row>
    <row r="8463" spans="2:24">
      <c r="B8463" s="7"/>
      <c r="D8463" s="7"/>
      <c r="F8463" s="7"/>
      <c r="H8463" s="7"/>
      <c r="J8463" s="7"/>
      <c r="L8463" s="7"/>
      <c r="N8463" s="7"/>
      <c r="P8463" s="7"/>
      <c r="R8463" s="7"/>
      <c r="T8463" s="7"/>
      <c r="V8463" s="7"/>
      <c r="X8463" s="7"/>
    </row>
    <row r="8464" spans="2:24">
      <c r="B8464" s="7"/>
      <c r="D8464" s="7"/>
      <c r="F8464" s="7"/>
      <c r="H8464" s="7"/>
      <c r="J8464" s="7"/>
      <c r="L8464" s="7"/>
      <c r="N8464" s="7"/>
      <c r="P8464" s="7"/>
      <c r="R8464" s="7"/>
      <c r="T8464" s="7"/>
      <c r="V8464" s="7"/>
      <c r="X8464" s="7"/>
    </row>
    <row r="8465" spans="2:24">
      <c r="B8465" s="7"/>
      <c r="D8465" s="7"/>
      <c r="F8465" s="7"/>
      <c r="H8465" s="7"/>
      <c r="J8465" s="7"/>
      <c r="L8465" s="7"/>
      <c r="N8465" s="7"/>
      <c r="P8465" s="7"/>
      <c r="R8465" s="7"/>
      <c r="T8465" s="7"/>
      <c r="V8465" s="7"/>
      <c r="X8465" s="7"/>
    </row>
    <row r="8466" spans="2:24">
      <c r="B8466" s="7"/>
      <c r="D8466" s="7"/>
      <c r="F8466" s="7"/>
      <c r="H8466" s="7"/>
      <c r="J8466" s="7"/>
      <c r="L8466" s="7"/>
      <c r="N8466" s="7"/>
      <c r="P8466" s="7"/>
      <c r="R8466" s="7"/>
      <c r="T8466" s="7"/>
      <c r="V8466" s="7"/>
      <c r="X8466" s="7"/>
    </row>
    <row r="8467" spans="2:24">
      <c r="B8467" s="7"/>
      <c r="D8467" s="7"/>
      <c r="F8467" s="7"/>
      <c r="H8467" s="7"/>
      <c r="J8467" s="7"/>
      <c r="L8467" s="7"/>
      <c r="N8467" s="7"/>
      <c r="P8467" s="7"/>
      <c r="R8467" s="7"/>
      <c r="T8467" s="7"/>
      <c r="V8467" s="7"/>
      <c r="X8467" s="7"/>
    </row>
    <row r="8468" spans="2:24">
      <c r="B8468" s="7"/>
      <c r="D8468" s="7"/>
      <c r="F8468" s="7"/>
      <c r="H8468" s="7"/>
      <c r="J8468" s="7"/>
      <c r="L8468" s="7"/>
      <c r="N8468" s="7"/>
      <c r="P8468" s="7"/>
      <c r="R8468" s="7"/>
      <c r="T8468" s="7"/>
      <c r="V8468" s="7"/>
      <c r="X8468" s="7"/>
    </row>
    <row r="8469" spans="2:24">
      <c r="B8469" s="7"/>
      <c r="D8469" s="7"/>
      <c r="F8469" s="7"/>
      <c r="H8469" s="7"/>
      <c r="J8469" s="7"/>
      <c r="L8469" s="7"/>
      <c r="N8469" s="7"/>
      <c r="P8469" s="7"/>
      <c r="R8469" s="7"/>
      <c r="T8469" s="7"/>
      <c r="V8469" s="7"/>
      <c r="X8469" s="7"/>
    </row>
    <row r="8470" spans="2:24">
      <c r="B8470" s="7"/>
      <c r="D8470" s="7"/>
      <c r="F8470" s="7"/>
      <c r="H8470" s="7"/>
      <c r="J8470" s="7"/>
      <c r="L8470" s="7"/>
      <c r="N8470" s="7"/>
      <c r="P8470" s="7"/>
      <c r="R8470" s="7"/>
      <c r="T8470" s="7"/>
      <c r="V8470" s="7"/>
      <c r="X8470" s="7"/>
    </row>
    <row r="8471" spans="2:24">
      <c r="B8471" s="7"/>
      <c r="D8471" s="7"/>
      <c r="F8471" s="7"/>
      <c r="H8471" s="7"/>
      <c r="J8471" s="7"/>
      <c r="L8471" s="7"/>
      <c r="N8471" s="7"/>
      <c r="P8471" s="7"/>
      <c r="R8471" s="7"/>
      <c r="T8471" s="7"/>
      <c r="V8471" s="7"/>
      <c r="X8471" s="7"/>
    </row>
    <row r="8472" spans="2:24">
      <c r="B8472" s="7"/>
      <c r="D8472" s="7"/>
      <c r="F8472" s="7"/>
      <c r="H8472" s="7"/>
      <c r="J8472" s="7"/>
      <c r="L8472" s="7"/>
      <c r="N8472" s="7"/>
      <c r="P8472" s="7"/>
      <c r="R8472" s="7"/>
      <c r="T8472" s="7"/>
      <c r="V8472" s="7"/>
      <c r="X8472" s="7"/>
    </row>
    <row r="8473" spans="2:24">
      <c r="B8473" s="7"/>
      <c r="D8473" s="7"/>
      <c r="F8473" s="7"/>
      <c r="H8473" s="7"/>
      <c r="J8473" s="7"/>
      <c r="L8473" s="7"/>
      <c r="N8473" s="7"/>
      <c r="P8473" s="7"/>
      <c r="R8473" s="7"/>
      <c r="T8473" s="7"/>
      <c r="V8473" s="7"/>
      <c r="X8473" s="7"/>
    </row>
    <row r="8474" spans="2:24">
      <c r="B8474" s="7"/>
      <c r="D8474" s="7"/>
      <c r="F8474" s="7"/>
      <c r="H8474" s="7"/>
      <c r="J8474" s="7"/>
      <c r="L8474" s="7"/>
      <c r="N8474" s="7"/>
      <c r="P8474" s="7"/>
      <c r="R8474" s="7"/>
      <c r="T8474" s="7"/>
      <c r="V8474" s="7"/>
      <c r="X8474" s="7"/>
    </row>
    <row r="8475" spans="2:24">
      <c r="B8475" s="7"/>
      <c r="D8475" s="7"/>
      <c r="F8475" s="7"/>
      <c r="H8475" s="7"/>
      <c r="J8475" s="7"/>
      <c r="L8475" s="7"/>
      <c r="N8475" s="7"/>
      <c r="P8475" s="7"/>
      <c r="R8475" s="7"/>
      <c r="T8475" s="7"/>
      <c r="V8475" s="7"/>
      <c r="X8475" s="7"/>
    </row>
    <row r="8476" spans="2:24">
      <c r="B8476" s="7"/>
      <c r="D8476" s="7"/>
      <c r="F8476" s="7"/>
      <c r="H8476" s="7"/>
      <c r="J8476" s="7"/>
      <c r="L8476" s="7"/>
      <c r="N8476" s="7"/>
      <c r="P8476" s="7"/>
      <c r="R8476" s="7"/>
      <c r="T8476" s="7"/>
      <c r="V8476" s="7"/>
      <c r="X8476" s="7"/>
    </row>
    <row r="8477" spans="2:24">
      <c r="B8477" s="7"/>
      <c r="D8477" s="7"/>
      <c r="F8477" s="7"/>
      <c r="H8477" s="7"/>
      <c r="J8477" s="7"/>
      <c r="L8477" s="7"/>
      <c r="N8477" s="7"/>
      <c r="P8477" s="7"/>
      <c r="R8477" s="7"/>
      <c r="T8477" s="7"/>
      <c r="V8477" s="7"/>
      <c r="X8477" s="7"/>
    </row>
    <row r="8478" spans="2:24">
      <c r="B8478" s="7"/>
      <c r="D8478" s="7"/>
      <c r="F8478" s="7"/>
      <c r="H8478" s="7"/>
      <c r="J8478" s="7"/>
      <c r="L8478" s="7"/>
      <c r="N8478" s="7"/>
      <c r="P8478" s="7"/>
      <c r="R8478" s="7"/>
      <c r="T8478" s="7"/>
      <c r="V8478" s="7"/>
      <c r="X8478" s="7"/>
    </row>
    <row r="8479" spans="2:24">
      <c r="B8479" s="7"/>
      <c r="D8479" s="7"/>
      <c r="F8479" s="7"/>
      <c r="H8479" s="7"/>
      <c r="J8479" s="7"/>
      <c r="L8479" s="7"/>
      <c r="N8479" s="7"/>
      <c r="P8479" s="7"/>
      <c r="R8479" s="7"/>
      <c r="T8479" s="7"/>
      <c r="V8479" s="7"/>
      <c r="X8479" s="7"/>
    </row>
    <row r="8480" spans="2:24">
      <c r="B8480" s="7"/>
      <c r="D8480" s="7"/>
      <c r="F8480" s="7"/>
      <c r="H8480" s="7"/>
      <c r="J8480" s="7"/>
      <c r="L8480" s="7"/>
      <c r="N8480" s="7"/>
      <c r="P8480" s="7"/>
      <c r="R8480" s="7"/>
      <c r="T8480" s="7"/>
      <c r="V8480" s="7"/>
      <c r="X8480" s="7"/>
    </row>
    <row r="8481" spans="2:24">
      <c r="B8481" s="7"/>
      <c r="D8481" s="7"/>
      <c r="F8481" s="7"/>
      <c r="H8481" s="7"/>
      <c r="J8481" s="7"/>
      <c r="L8481" s="7"/>
      <c r="N8481" s="7"/>
      <c r="P8481" s="7"/>
      <c r="R8481" s="7"/>
      <c r="T8481" s="7"/>
      <c r="V8481" s="7"/>
      <c r="X8481" s="7"/>
    </row>
    <row r="8482" spans="2:24">
      <c r="B8482" s="7"/>
      <c r="D8482" s="7"/>
      <c r="F8482" s="7"/>
      <c r="H8482" s="7"/>
      <c r="J8482" s="7"/>
      <c r="L8482" s="7"/>
      <c r="N8482" s="7"/>
      <c r="P8482" s="7"/>
      <c r="R8482" s="7"/>
      <c r="T8482" s="7"/>
      <c r="V8482" s="7"/>
      <c r="X8482" s="7"/>
    </row>
    <row r="8483" spans="2:24">
      <c r="B8483" s="7"/>
      <c r="D8483" s="7"/>
      <c r="F8483" s="7"/>
      <c r="H8483" s="7"/>
      <c r="J8483" s="7"/>
      <c r="L8483" s="7"/>
      <c r="N8483" s="7"/>
      <c r="P8483" s="7"/>
      <c r="R8483" s="7"/>
      <c r="T8483" s="7"/>
      <c r="V8483" s="7"/>
      <c r="X8483" s="7"/>
    </row>
    <row r="8484" spans="2:24">
      <c r="B8484" s="7"/>
      <c r="D8484" s="7"/>
      <c r="F8484" s="7"/>
      <c r="H8484" s="7"/>
      <c r="J8484" s="7"/>
      <c r="L8484" s="7"/>
      <c r="N8484" s="7"/>
      <c r="P8484" s="7"/>
      <c r="R8484" s="7"/>
      <c r="T8484" s="7"/>
      <c r="V8484" s="7"/>
      <c r="X8484" s="7"/>
    </row>
    <row r="8485" spans="2:24">
      <c r="B8485" s="7"/>
      <c r="D8485" s="7"/>
      <c r="F8485" s="7"/>
      <c r="H8485" s="7"/>
      <c r="J8485" s="7"/>
      <c r="L8485" s="7"/>
      <c r="N8485" s="7"/>
      <c r="P8485" s="7"/>
      <c r="R8485" s="7"/>
      <c r="T8485" s="7"/>
      <c r="V8485" s="7"/>
      <c r="X8485" s="7"/>
    </row>
    <row r="8486" spans="2:24">
      <c r="B8486" s="7"/>
      <c r="D8486" s="7"/>
      <c r="F8486" s="7"/>
      <c r="H8486" s="7"/>
      <c r="J8486" s="7"/>
      <c r="L8486" s="7"/>
      <c r="N8486" s="7"/>
      <c r="P8486" s="7"/>
      <c r="R8486" s="7"/>
      <c r="T8486" s="7"/>
      <c r="V8486" s="7"/>
      <c r="X8486" s="7"/>
    </row>
    <row r="8487" spans="2:24">
      <c r="B8487" s="7"/>
      <c r="D8487" s="7"/>
      <c r="F8487" s="7"/>
      <c r="H8487" s="7"/>
      <c r="J8487" s="7"/>
      <c r="L8487" s="7"/>
      <c r="N8487" s="7"/>
      <c r="P8487" s="7"/>
      <c r="R8487" s="7"/>
      <c r="T8487" s="7"/>
      <c r="V8487" s="7"/>
      <c r="X8487" s="7"/>
    </row>
    <row r="8488" spans="2:24">
      <c r="B8488" s="7"/>
      <c r="D8488" s="7"/>
      <c r="F8488" s="7"/>
      <c r="H8488" s="7"/>
      <c r="J8488" s="7"/>
      <c r="L8488" s="7"/>
      <c r="N8488" s="7"/>
      <c r="P8488" s="7"/>
      <c r="R8488" s="7"/>
      <c r="T8488" s="7"/>
      <c r="V8488" s="7"/>
      <c r="X8488" s="7"/>
    </row>
    <row r="8489" spans="2:24">
      <c r="B8489" s="7"/>
      <c r="D8489" s="7"/>
      <c r="F8489" s="7"/>
      <c r="H8489" s="7"/>
      <c r="J8489" s="7"/>
      <c r="L8489" s="7"/>
      <c r="N8489" s="7"/>
      <c r="P8489" s="7"/>
      <c r="R8489" s="7"/>
      <c r="T8489" s="7"/>
      <c r="V8489" s="7"/>
      <c r="X8489" s="7"/>
    </row>
    <row r="8490" spans="2:24">
      <c r="B8490" s="7"/>
      <c r="D8490" s="7"/>
      <c r="F8490" s="7"/>
      <c r="H8490" s="7"/>
      <c r="J8490" s="7"/>
      <c r="L8490" s="7"/>
      <c r="N8490" s="7"/>
      <c r="P8490" s="7"/>
      <c r="R8490" s="7"/>
      <c r="T8490" s="7"/>
      <c r="V8490" s="7"/>
      <c r="X8490" s="7"/>
    </row>
    <row r="8491" spans="2:24">
      <c r="B8491" s="7"/>
      <c r="D8491" s="7"/>
      <c r="F8491" s="7"/>
      <c r="H8491" s="7"/>
      <c r="J8491" s="7"/>
      <c r="L8491" s="7"/>
      <c r="N8491" s="7"/>
      <c r="P8491" s="7"/>
      <c r="R8491" s="7"/>
      <c r="T8491" s="7"/>
      <c r="V8491" s="7"/>
      <c r="X8491" s="7"/>
    </row>
    <row r="8492" spans="2:24">
      <c r="B8492" s="7"/>
      <c r="D8492" s="7"/>
      <c r="F8492" s="7"/>
      <c r="H8492" s="7"/>
      <c r="J8492" s="7"/>
      <c r="L8492" s="7"/>
      <c r="N8492" s="7"/>
      <c r="P8492" s="7"/>
      <c r="R8492" s="7"/>
      <c r="T8492" s="7"/>
      <c r="V8492" s="7"/>
      <c r="X8492" s="7"/>
    </row>
    <row r="8493" spans="2:24">
      <c r="B8493" s="7"/>
      <c r="D8493" s="7"/>
      <c r="F8493" s="7"/>
      <c r="H8493" s="7"/>
      <c r="J8493" s="7"/>
      <c r="L8493" s="7"/>
      <c r="N8493" s="7"/>
      <c r="P8493" s="7"/>
      <c r="R8493" s="7"/>
      <c r="T8493" s="7"/>
      <c r="V8493" s="7"/>
      <c r="X8493" s="7"/>
    </row>
    <row r="8494" spans="2:24">
      <c r="B8494" s="7"/>
      <c r="D8494" s="7"/>
      <c r="F8494" s="7"/>
      <c r="H8494" s="7"/>
      <c r="J8494" s="7"/>
      <c r="L8494" s="7"/>
      <c r="N8494" s="7"/>
      <c r="P8494" s="7"/>
      <c r="R8494" s="7"/>
      <c r="T8494" s="7"/>
      <c r="V8494" s="7"/>
      <c r="X8494" s="7"/>
    </row>
    <row r="8495" spans="2:24">
      <c r="B8495" s="7"/>
      <c r="D8495" s="7"/>
      <c r="F8495" s="7"/>
      <c r="H8495" s="7"/>
      <c r="J8495" s="7"/>
      <c r="L8495" s="7"/>
      <c r="N8495" s="7"/>
      <c r="P8495" s="7"/>
      <c r="R8495" s="7"/>
      <c r="T8495" s="7"/>
      <c r="V8495" s="7"/>
      <c r="X8495" s="7"/>
    </row>
    <row r="8496" spans="2:24">
      <c r="B8496" s="7"/>
      <c r="D8496" s="7"/>
      <c r="F8496" s="7"/>
      <c r="H8496" s="7"/>
      <c r="J8496" s="7"/>
      <c r="L8496" s="7"/>
      <c r="N8496" s="7"/>
      <c r="P8496" s="7"/>
      <c r="R8496" s="7"/>
      <c r="T8496" s="7"/>
      <c r="V8496" s="7"/>
      <c r="X8496" s="7"/>
    </row>
    <row r="8497" spans="2:24">
      <c r="B8497" s="7"/>
      <c r="D8497" s="7"/>
      <c r="F8497" s="7"/>
      <c r="H8497" s="7"/>
      <c r="J8497" s="7"/>
      <c r="L8497" s="7"/>
      <c r="N8497" s="7"/>
      <c r="P8497" s="7"/>
      <c r="R8497" s="7"/>
      <c r="T8497" s="7"/>
      <c r="V8497" s="7"/>
      <c r="X8497" s="7"/>
    </row>
    <row r="8498" spans="2:24">
      <c r="B8498" s="7"/>
      <c r="D8498" s="7"/>
      <c r="F8498" s="7"/>
      <c r="H8498" s="7"/>
      <c r="J8498" s="7"/>
      <c r="L8498" s="7"/>
      <c r="N8498" s="7"/>
      <c r="P8498" s="7"/>
      <c r="R8498" s="7"/>
      <c r="T8498" s="7"/>
      <c r="V8498" s="7"/>
      <c r="X8498" s="7"/>
    </row>
    <row r="8499" spans="2:24">
      <c r="B8499" s="7"/>
      <c r="D8499" s="7"/>
      <c r="F8499" s="7"/>
      <c r="H8499" s="7"/>
      <c r="J8499" s="7"/>
      <c r="L8499" s="7"/>
      <c r="N8499" s="7"/>
      <c r="P8499" s="7"/>
      <c r="R8499" s="7"/>
      <c r="T8499" s="7"/>
      <c r="V8499" s="7"/>
      <c r="X8499" s="7"/>
    </row>
    <row r="8500" spans="2:24">
      <c r="B8500" s="7"/>
      <c r="D8500" s="7"/>
      <c r="F8500" s="7"/>
      <c r="H8500" s="7"/>
      <c r="J8500" s="7"/>
      <c r="L8500" s="7"/>
      <c r="N8500" s="7"/>
      <c r="P8500" s="7"/>
      <c r="R8500" s="7"/>
      <c r="T8500" s="7"/>
      <c r="V8500" s="7"/>
      <c r="X8500" s="7"/>
    </row>
    <row r="8501" spans="2:24">
      <c r="B8501" s="7"/>
      <c r="D8501" s="7"/>
      <c r="F8501" s="7"/>
      <c r="H8501" s="7"/>
      <c r="J8501" s="7"/>
      <c r="L8501" s="7"/>
      <c r="N8501" s="7"/>
      <c r="P8501" s="7"/>
      <c r="R8501" s="7"/>
      <c r="T8501" s="7"/>
      <c r="V8501" s="7"/>
      <c r="X8501" s="7"/>
    </row>
    <row r="8502" spans="2:24">
      <c r="B8502" s="7"/>
      <c r="D8502" s="7"/>
      <c r="F8502" s="7"/>
      <c r="H8502" s="7"/>
      <c r="J8502" s="7"/>
      <c r="L8502" s="7"/>
      <c r="N8502" s="7"/>
      <c r="P8502" s="7"/>
      <c r="R8502" s="7"/>
      <c r="T8502" s="7"/>
      <c r="V8502" s="7"/>
      <c r="X8502" s="7"/>
    </row>
    <row r="8503" spans="2:24">
      <c r="B8503" s="7"/>
      <c r="D8503" s="7"/>
      <c r="F8503" s="7"/>
      <c r="H8503" s="7"/>
      <c r="J8503" s="7"/>
      <c r="L8503" s="7"/>
      <c r="N8503" s="7"/>
      <c r="P8503" s="7"/>
      <c r="R8503" s="7"/>
      <c r="T8503" s="7"/>
      <c r="V8503" s="7"/>
      <c r="X8503" s="7"/>
    </row>
    <row r="8504" spans="2:24">
      <c r="B8504" s="7"/>
      <c r="D8504" s="7"/>
      <c r="F8504" s="7"/>
      <c r="H8504" s="7"/>
      <c r="J8504" s="7"/>
      <c r="L8504" s="7"/>
      <c r="N8504" s="7"/>
      <c r="P8504" s="7"/>
      <c r="R8504" s="7"/>
      <c r="T8504" s="7"/>
      <c r="V8504" s="7"/>
      <c r="X8504" s="7"/>
    </row>
    <row r="8505" spans="2:24">
      <c r="B8505" s="7"/>
      <c r="D8505" s="7"/>
      <c r="F8505" s="7"/>
      <c r="H8505" s="7"/>
      <c r="J8505" s="7"/>
      <c r="L8505" s="7"/>
      <c r="N8505" s="7"/>
      <c r="P8505" s="7"/>
      <c r="R8505" s="7"/>
      <c r="T8505" s="7"/>
      <c r="V8505" s="7"/>
      <c r="X8505" s="7"/>
    </row>
    <row r="8506" spans="2:24">
      <c r="B8506" s="7"/>
      <c r="D8506" s="7"/>
      <c r="F8506" s="7"/>
      <c r="H8506" s="7"/>
      <c r="J8506" s="7"/>
      <c r="L8506" s="7"/>
      <c r="N8506" s="7"/>
      <c r="P8506" s="7"/>
      <c r="R8506" s="7"/>
      <c r="T8506" s="7"/>
      <c r="V8506" s="7"/>
      <c r="X8506" s="7"/>
    </row>
    <row r="8507" spans="2:24">
      <c r="B8507" s="7"/>
      <c r="D8507" s="7"/>
      <c r="F8507" s="7"/>
      <c r="H8507" s="7"/>
      <c r="J8507" s="7"/>
      <c r="L8507" s="7"/>
      <c r="N8507" s="7"/>
      <c r="P8507" s="7"/>
      <c r="R8507" s="7"/>
      <c r="T8507" s="7"/>
      <c r="V8507" s="7"/>
      <c r="X8507" s="7"/>
    </row>
    <row r="8508" spans="2:24">
      <c r="B8508" s="7"/>
      <c r="D8508" s="7"/>
      <c r="F8508" s="7"/>
      <c r="H8508" s="7"/>
      <c r="J8508" s="7"/>
      <c r="L8508" s="7"/>
      <c r="N8508" s="7"/>
      <c r="P8508" s="7"/>
      <c r="R8508" s="7"/>
      <c r="T8508" s="7"/>
      <c r="V8508" s="7"/>
      <c r="X8508" s="7"/>
    </row>
    <row r="8509" spans="2:24">
      <c r="B8509" s="7"/>
      <c r="D8509" s="7"/>
      <c r="F8509" s="7"/>
      <c r="H8509" s="7"/>
      <c r="J8509" s="7"/>
      <c r="L8509" s="7"/>
      <c r="N8509" s="7"/>
      <c r="P8509" s="7"/>
      <c r="R8509" s="7"/>
      <c r="T8509" s="7"/>
      <c r="V8509" s="7"/>
      <c r="X8509" s="7"/>
    </row>
    <row r="8510" spans="2:24">
      <c r="B8510" s="7"/>
      <c r="D8510" s="7"/>
      <c r="F8510" s="7"/>
      <c r="H8510" s="7"/>
      <c r="J8510" s="7"/>
      <c r="L8510" s="7"/>
      <c r="N8510" s="7"/>
      <c r="P8510" s="7"/>
      <c r="R8510" s="7"/>
      <c r="T8510" s="7"/>
      <c r="V8510" s="7"/>
      <c r="X8510" s="7"/>
    </row>
    <row r="8511" spans="2:24">
      <c r="B8511" s="7"/>
      <c r="D8511" s="7"/>
      <c r="F8511" s="7"/>
      <c r="H8511" s="7"/>
      <c r="J8511" s="7"/>
      <c r="L8511" s="7"/>
      <c r="N8511" s="7"/>
      <c r="P8511" s="7"/>
      <c r="R8511" s="7"/>
      <c r="T8511" s="7"/>
      <c r="V8511" s="7"/>
      <c r="X8511" s="7"/>
    </row>
    <row r="8512" spans="2:24">
      <c r="B8512" s="7"/>
      <c r="D8512" s="7"/>
      <c r="F8512" s="7"/>
      <c r="H8512" s="7"/>
      <c r="J8512" s="7"/>
      <c r="L8512" s="7"/>
      <c r="N8512" s="7"/>
      <c r="P8512" s="7"/>
      <c r="R8512" s="7"/>
      <c r="T8512" s="7"/>
      <c r="V8512" s="7"/>
      <c r="X8512" s="7"/>
    </row>
    <row r="8513" spans="2:24">
      <c r="B8513" s="7"/>
      <c r="D8513" s="7"/>
      <c r="F8513" s="7"/>
      <c r="H8513" s="7"/>
      <c r="J8513" s="7"/>
      <c r="L8513" s="7"/>
      <c r="N8513" s="7"/>
      <c r="P8513" s="7"/>
      <c r="R8513" s="7"/>
      <c r="T8513" s="7"/>
      <c r="V8513" s="7"/>
      <c r="X8513" s="7"/>
    </row>
    <row r="8514" spans="2:24">
      <c r="B8514" s="7"/>
      <c r="D8514" s="7"/>
      <c r="F8514" s="7"/>
      <c r="H8514" s="7"/>
      <c r="J8514" s="7"/>
      <c r="L8514" s="7"/>
      <c r="N8514" s="7"/>
      <c r="P8514" s="7"/>
      <c r="R8514" s="7"/>
      <c r="T8514" s="7"/>
      <c r="V8514" s="7"/>
      <c r="X8514" s="7"/>
    </row>
    <row r="8515" spans="2:24">
      <c r="B8515" s="7"/>
      <c r="D8515" s="7"/>
      <c r="F8515" s="7"/>
      <c r="H8515" s="7"/>
      <c r="J8515" s="7"/>
      <c r="L8515" s="7"/>
      <c r="N8515" s="7"/>
      <c r="P8515" s="7"/>
      <c r="R8515" s="7"/>
      <c r="T8515" s="7"/>
      <c r="V8515" s="7"/>
      <c r="X8515" s="7"/>
    </row>
    <row r="8516" spans="2:24">
      <c r="B8516" s="7"/>
      <c r="D8516" s="7"/>
      <c r="F8516" s="7"/>
      <c r="H8516" s="7"/>
      <c r="J8516" s="7"/>
      <c r="L8516" s="7"/>
      <c r="N8516" s="7"/>
      <c r="P8516" s="7"/>
      <c r="R8516" s="7"/>
      <c r="T8516" s="7"/>
      <c r="V8516" s="7"/>
      <c r="X8516" s="7"/>
    </row>
    <row r="8517" spans="2:24">
      <c r="B8517" s="7"/>
      <c r="D8517" s="7"/>
      <c r="F8517" s="7"/>
      <c r="H8517" s="7"/>
      <c r="J8517" s="7"/>
      <c r="L8517" s="7"/>
      <c r="N8517" s="7"/>
      <c r="P8517" s="7"/>
      <c r="R8517" s="7"/>
      <c r="T8517" s="7"/>
      <c r="V8517" s="7"/>
      <c r="X8517" s="7"/>
    </row>
    <row r="8518" spans="2:24">
      <c r="B8518" s="7"/>
      <c r="D8518" s="7"/>
      <c r="F8518" s="7"/>
      <c r="H8518" s="7"/>
      <c r="J8518" s="7"/>
      <c r="L8518" s="7"/>
      <c r="N8518" s="7"/>
      <c r="P8518" s="7"/>
      <c r="R8518" s="7"/>
      <c r="T8518" s="7"/>
      <c r="V8518" s="7"/>
      <c r="X8518" s="7"/>
    </row>
    <row r="8519" spans="2:24">
      <c r="B8519" s="7"/>
      <c r="D8519" s="7"/>
      <c r="F8519" s="7"/>
      <c r="H8519" s="7"/>
      <c r="J8519" s="7"/>
      <c r="L8519" s="7"/>
      <c r="N8519" s="7"/>
      <c r="P8519" s="7"/>
      <c r="R8519" s="7"/>
      <c r="T8519" s="7"/>
      <c r="V8519" s="7"/>
      <c r="X8519" s="7"/>
    </row>
    <row r="8520" spans="2:24">
      <c r="B8520" s="7"/>
      <c r="D8520" s="7"/>
      <c r="F8520" s="7"/>
      <c r="H8520" s="7"/>
      <c r="J8520" s="7"/>
      <c r="L8520" s="7"/>
      <c r="N8520" s="7"/>
      <c r="P8520" s="7"/>
      <c r="R8520" s="7"/>
      <c r="T8520" s="7"/>
      <c r="V8520" s="7"/>
      <c r="X8520" s="7"/>
    </row>
    <row r="8521" spans="2:24">
      <c r="B8521" s="7"/>
      <c r="D8521" s="7"/>
      <c r="F8521" s="7"/>
      <c r="H8521" s="7"/>
      <c r="J8521" s="7"/>
      <c r="L8521" s="7"/>
      <c r="N8521" s="7"/>
      <c r="P8521" s="7"/>
      <c r="R8521" s="7"/>
      <c r="T8521" s="7"/>
      <c r="V8521" s="7"/>
      <c r="X8521" s="7"/>
    </row>
    <row r="8522" spans="2:24">
      <c r="B8522" s="7"/>
      <c r="D8522" s="7"/>
      <c r="F8522" s="7"/>
      <c r="H8522" s="7"/>
      <c r="J8522" s="7"/>
      <c r="L8522" s="7"/>
      <c r="N8522" s="7"/>
      <c r="P8522" s="7"/>
      <c r="R8522" s="7"/>
      <c r="T8522" s="7"/>
      <c r="V8522" s="7"/>
      <c r="X8522" s="7"/>
    </row>
    <row r="8523" spans="2:24">
      <c r="B8523" s="7"/>
      <c r="D8523" s="7"/>
      <c r="F8523" s="7"/>
      <c r="H8523" s="7"/>
      <c r="J8523" s="7"/>
      <c r="L8523" s="7"/>
      <c r="N8523" s="7"/>
      <c r="P8523" s="7"/>
      <c r="R8523" s="7"/>
      <c r="T8523" s="7"/>
      <c r="V8523" s="7"/>
      <c r="X8523" s="7"/>
    </row>
    <row r="8524" spans="2:24">
      <c r="B8524" s="7"/>
      <c r="D8524" s="7"/>
      <c r="F8524" s="7"/>
      <c r="H8524" s="7"/>
      <c r="J8524" s="7"/>
      <c r="L8524" s="7"/>
      <c r="N8524" s="7"/>
      <c r="P8524" s="7"/>
      <c r="R8524" s="7"/>
      <c r="T8524" s="7"/>
      <c r="V8524" s="7"/>
      <c r="X8524" s="7"/>
    </row>
    <row r="8525" spans="2:24">
      <c r="B8525" s="7"/>
      <c r="D8525" s="7"/>
      <c r="F8525" s="7"/>
      <c r="H8525" s="7"/>
      <c r="J8525" s="7"/>
      <c r="L8525" s="7"/>
      <c r="N8525" s="7"/>
      <c r="P8525" s="7"/>
      <c r="R8525" s="7"/>
      <c r="T8525" s="7"/>
      <c r="V8525" s="7"/>
      <c r="X8525" s="7"/>
    </row>
    <row r="8526" spans="2:24">
      <c r="B8526" s="7"/>
      <c r="D8526" s="7"/>
      <c r="F8526" s="7"/>
      <c r="H8526" s="7"/>
      <c r="J8526" s="7"/>
      <c r="L8526" s="7"/>
      <c r="N8526" s="7"/>
      <c r="P8526" s="7"/>
      <c r="R8526" s="7"/>
      <c r="T8526" s="7"/>
      <c r="V8526" s="7"/>
      <c r="X8526" s="7"/>
    </row>
    <row r="8527" spans="2:24">
      <c r="B8527" s="7"/>
      <c r="D8527" s="7"/>
      <c r="F8527" s="7"/>
      <c r="H8527" s="7"/>
      <c r="J8527" s="7"/>
      <c r="L8527" s="7"/>
      <c r="N8527" s="7"/>
      <c r="P8527" s="7"/>
      <c r="R8527" s="7"/>
      <c r="T8527" s="7"/>
      <c r="V8527" s="7"/>
      <c r="X8527" s="7"/>
    </row>
    <row r="8528" spans="2:24">
      <c r="B8528" s="7"/>
      <c r="D8528" s="7"/>
      <c r="F8528" s="7"/>
      <c r="H8528" s="7"/>
      <c r="J8528" s="7"/>
      <c r="L8528" s="7"/>
      <c r="N8528" s="7"/>
      <c r="P8528" s="7"/>
      <c r="R8528" s="7"/>
      <c r="T8528" s="7"/>
      <c r="V8528" s="7"/>
      <c r="X8528" s="7"/>
    </row>
    <row r="8529" spans="2:24">
      <c r="B8529" s="7"/>
      <c r="D8529" s="7"/>
      <c r="F8529" s="7"/>
      <c r="H8529" s="7"/>
      <c r="J8529" s="7"/>
      <c r="L8529" s="7"/>
      <c r="N8529" s="7"/>
      <c r="P8529" s="7"/>
      <c r="R8529" s="7"/>
      <c r="T8529" s="7"/>
      <c r="V8529" s="7"/>
      <c r="X8529" s="7"/>
    </row>
    <row r="8530" spans="2:24">
      <c r="B8530" s="7"/>
      <c r="D8530" s="7"/>
      <c r="F8530" s="7"/>
      <c r="H8530" s="7"/>
      <c r="J8530" s="7"/>
      <c r="L8530" s="7"/>
      <c r="N8530" s="7"/>
      <c r="P8530" s="7"/>
      <c r="R8530" s="7"/>
      <c r="T8530" s="7"/>
      <c r="V8530" s="7"/>
      <c r="X8530" s="7"/>
    </row>
    <row r="8531" spans="2:24">
      <c r="B8531" s="7"/>
      <c r="D8531" s="7"/>
      <c r="F8531" s="7"/>
      <c r="H8531" s="7"/>
      <c r="J8531" s="7"/>
      <c r="L8531" s="7"/>
      <c r="N8531" s="7"/>
      <c r="P8531" s="7"/>
      <c r="R8531" s="7"/>
      <c r="T8531" s="7"/>
      <c r="V8531" s="7"/>
      <c r="X8531" s="7"/>
    </row>
    <row r="8532" spans="2:24">
      <c r="B8532" s="7"/>
      <c r="D8532" s="7"/>
      <c r="F8532" s="7"/>
      <c r="H8532" s="7"/>
      <c r="J8532" s="7"/>
      <c r="L8532" s="7"/>
      <c r="N8532" s="7"/>
      <c r="P8532" s="7"/>
      <c r="R8532" s="7"/>
      <c r="T8532" s="7"/>
      <c r="V8532" s="7"/>
      <c r="X8532" s="7"/>
    </row>
    <row r="8533" spans="2:24">
      <c r="B8533" s="7"/>
      <c r="D8533" s="7"/>
      <c r="F8533" s="7"/>
      <c r="H8533" s="7"/>
      <c r="J8533" s="7"/>
      <c r="L8533" s="7"/>
      <c r="N8533" s="7"/>
      <c r="P8533" s="7"/>
      <c r="R8533" s="7"/>
      <c r="T8533" s="7"/>
      <c r="V8533" s="7"/>
      <c r="X8533" s="7"/>
    </row>
    <row r="8534" spans="2:24">
      <c r="B8534" s="7"/>
      <c r="D8534" s="7"/>
      <c r="F8534" s="7"/>
      <c r="H8534" s="7"/>
      <c r="J8534" s="7"/>
      <c r="L8534" s="7"/>
      <c r="N8534" s="7"/>
      <c r="P8534" s="7"/>
      <c r="R8534" s="7"/>
      <c r="T8534" s="7"/>
      <c r="V8534" s="7"/>
      <c r="X8534" s="7"/>
    </row>
    <row r="8535" spans="2:24">
      <c r="B8535" s="7"/>
      <c r="D8535" s="7"/>
      <c r="F8535" s="7"/>
      <c r="H8535" s="7"/>
      <c r="J8535" s="7"/>
      <c r="L8535" s="7"/>
      <c r="N8535" s="7"/>
      <c r="P8535" s="7"/>
      <c r="R8535" s="7"/>
      <c r="T8535" s="7"/>
      <c r="V8535" s="7"/>
      <c r="X8535" s="7"/>
    </row>
    <row r="8536" spans="2:24">
      <c r="B8536" s="7"/>
      <c r="D8536" s="7"/>
      <c r="F8536" s="7"/>
      <c r="H8536" s="7"/>
      <c r="J8536" s="7"/>
      <c r="L8536" s="7"/>
      <c r="N8536" s="7"/>
      <c r="P8536" s="7"/>
      <c r="R8536" s="7"/>
      <c r="T8536" s="7"/>
      <c r="V8536" s="7"/>
      <c r="X8536" s="7"/>
    </row>
    <row r="8537" spans="2:24">
      <c r="B8537" s="7"/>
      <c r="D8537" s="7"/>
      <c r="F8537" s="7"/>
      <c r="H8537" s="7"/>
      <c r="J8537" s="7"/>
      <c r="L8537" s="7"/>
      <c r="N8537" s="7"/>
      <c r="P8537" s="7"/>
      <c r="R8537" s="7"/>
      <c r="T8537" s="7"/>
      <c r="V8537" s="7"/>
      <c r="X8537" s="7"/>
    </row>
    <row r="8538" spans="2:24">
      <c r="B8538" s="7"/>
      <c r="D8538" s="7"/>
      <c r="F8538" s="7"/>
      <c r="H8538" s="7"/>
      <c r="J8538" s="7"/>
      <c r="L8538" s="7"/>
      <c r="N8538" s="7"/>
      <c r="P8538" s="7"/>
      <c r="R8538" s="7"/>
      <c r="T8538" s="7"/>
      <c r="V8538" s="7"/>
      <c r="X8538" s="7"/>
    </row>
    <row r="8539" spans="2:24">
      <c r="B8539" s="7"/>
      <c r="D8539" s="7"/>
      <c r="F8539" s="7"/>
      <c r="H8539" s="7"/>
      <c r="J8539" s="7"/>
      <c r="L8539" s="7"/>
      <c r="N8539" s="7"/>
      <c r="P8539" s="7"/>
      <c r="R8539" s="7"/>
      <c r="T8539" s="7"/>
      <c r="V8539" s="7"/>
      <c r="X8539" s="7"/>
    </row>
    <row r="8540" spans="2:24">
      <c r="B8540" s="7"/>
      <c r="D8540" s="7"/>
      <c r="F8540" s="7"/>
      <c r="H8540" s="7"/>
      <c r="J8540" s="7"/>
      <c r="L8540" s="7"/>
      <c r="N8540" s="7"/>
      <c r="P8540" s="7"/>
      <c r="R8540" s="7"/>
      <c r="T8540" s="7"/>
      <c r="V8540" s="7"/>
      <c r="X8540" s="7"/>
    </row>
    <row r="8541" spans="2:24">
      <c r="B8541" s="7"/>
      <c r="D8541" s="7"/>
      <c r="F8541" s="7"/>
      <c r="H8541" s="7"/>
      <c r="J8541" s="7"/>
      <c r="L8541" s="7"/>
      <c r="N8541" s="7"/>
      <c r="P8541" s="7"/>
      <c r="R8541" s="7"/>
      <c r="T8541" s="7"/>
      <c r="V8541" s="7"/>
      <c r="X8541" s="7"/>
    </row>
    <row r="8542" spans="2:24">
      <c r="B8542" s="7"/>
      <c r="D8542" s="7"/>
      <c r="F8542" s="7"/>
      <c r="H8542" s="7"/>
      <c r="J8542" s="7"/>
      <c r="L8542" s="7"/>
      <c r="N8542" s="7"/>
      <c r="P8542" s="7"/>
      <c r="R8542" s="7"/>
      <c r="T8542" s="7"/>
      <c r="V8542" s="7"/>
      <c r="X8542" s="7"/>
    </row>
    <row r="8543" spans="2:24">
      <c r="B8543" s="7"/>
      <c r="D8543" s="7"/>
      <c r="F8543" s="7"/>
      <c r="H8543" s="7"/>
      <c r="J8543" s="7"/>
      <c r="L8543" s="7"/>
      <c r="N8543" s="7"/>
      <c r="P8543" s="7"/>
      <c r="R8543" s="7"/>
      <c r="T8543" s="7"/>
      <c r="V8543" s="7"/>
      <c r="X8543" s="7"/>
    </row>
    <row r="8544" spans="2:24">
      <c r="B8544" s="7"/>
      <c r="D8544" s="7"/>
      <c r="F8544" s="7"/>
      <c r="H8544" s="7"/>
      <c r="J8544" s="7"/>
      <c r="L8544" s="7"/>
      <c r="N8544" s="7"/>
      <c r="P8544" s="7"/>
      <c r="R8544" s="7"/>
      <c r="T8544" s="7"/>
      <c r="V8544" s="7"/>
      <c r="X8544" s="7"/>
    </row>
    <row r="8545" spans="2:24">
      <c r="B8545" s="7"/>
      <c r="D8545" s="7"/>
      <c r="F8545" s="7"/>
      <c r="H8545" s="7"/>
      <c r="J8545" s="7"/>
      <c r="L8545" s="7"/>
      <c r="N8545" s="7"/>
      <c r="P8545" s="7"/>
      <c r="R8545" s="7"/>
      <c r="T8545" s="7"/>
      <c r="V8545" s="7"/>
      <c r="X8545" s="7"/>
    </row>
    <row r="8546" spans="2:24">
      <c r="B8546" s="7"/>
      <c r="D8546" s="7"/>
      <c r="F8546" s="7"/>
      <c r="H8546" s="7"/>
      <c r="J8546" s="7"/>
      <c r="L8546" s="7"/>
      <c r="N8546" s="7"/>
      <c r="P8546" s="7"/>
      <c r="R8546" s="7"/>
      <c r="T8546" s="7"/>
      <c r="V8546" s="7"/>
      <c r="X8546" s="7"/>
    </row>
    <row r="8547" spans="2:24">
      <c r="B8547" s="7"/>
      <c r="D8547" s="7"/>
      <c r="F8547" s="7"/>
      <c r="H8547" s="7"/>
      <c r="J8547" s="7"/>
      <c r="L8547" s="7"/>
      <c r="N8547" s="7"/>
      <c r="P8547" s="7"/>
      <c r="R8547" s="7"/>
      <c r="T8547" s="7"/>
      <c r="V8547" s="7"/>
      <c r="X8547" s="7"/>
    </row>
    <row r="8548" spans="2:24">
      <c r="B8548" s="7"/>
      <c r="D8548" s="7"/>
      <c r="F8548" s="7"/>
      <c r="H8548" s="7"/>
      <c r="J8548" s="7"/>
      <c r="L8548" s="7"/>
      <c r="N8548" s="7"/>
      <c r="P8548" s="7"/>
      <c r="R8548" s="7"/>
      <c r="T8548" s="7"/>
      <c r="V8548" s="7"/>
      <c r="X8548" s="7"/>
    </row>
    <row r="8549" spans="2:24">
      <c r="B8549" s="7"/>
      <c r="D8549" s="7"/>
      <c r="F8549" s="7"/>
      <c r="H8549" s="7"/>
      <c r="J8549" s="7"/>
      <c r="L8549" s="7"/>
      <c r="N8549" s="7"/>
      <c r="P8549" s="7"/>
      <c r="R8549" s="7"/>
      <c r="T8549" s="7"/>
      <c r="V8549" s="7"/>
      <c r="X8549" s="7"/>
    </row>
    <row r="8550" spans="2:24">
      <c r="B8550" s="7"/>
      <c r="D8550" s="7"/>
      <c r="F8550" s="7"/>
      <c r="H8550" s="7"/>
      <c r="J8550" s="7"/>
      <c r="L8550" s="7"/>
      <c r="N8550" s="7"/>
      <c r="P8550" s="7"/>
      <c r="R8550" s="7"/>
      <c r="T8550" s="7"/>
      <c r="V8550" s="7"/>
      <c r="X8550" s="7"/>
    </row>
    <row r="8551" spans="2:24">
      <c r="B8551" s="7"/>
      <c r="D8551" s="7"/>
      <c r="F8551" s="7"/>
      <c r="H8551" s="7"/>
      <c r="J8551" s="7"/>
      <c r="L8551" s="7"/>
      <c r="N8551" s="7"/>
      <c r="P8551" s="7"/>
      <c r="R8551" s="7"/>
      <c r="T8551" s="7"/>
      <c r="V8551" s="7"/>
      <c r="X8551" s="7"/>
    </row>
    <row r="8552" spans="2:24">
      <c r="B8552" s="7"/>
      <c r="D8552" s="7"/>
      <c r="F8552" s="7"/>
      <c r="H8552" s="7"/>
      <c r="J8552" s="7"/>
      <c r="L8552" s="7"/>
      <c r="N8552" s="7"/>
      <c r="P8552" s="7"/>
      <c r="R8552" s="7"/>
      <c r="T8552" s="7"/>
      <c r="V8552" s="7"/>
      <c r="X8552" s="7"/>
    </row>
    <row r="8553" spans="2:24">
      <c r="B8553" s="7"/>
      <c r="D8553" s="7"/>
      <c r="F8553" s="7"/>
      <c r="H8553" s="7"/>
      <c r="J8553" s="7"/>
      <c r="L8553" s="7"/>
      <c r="N8553" s="7"/>
      <c r="P8553" s="7"/>
      <c r="R8553" s="7"/>
      <c r="T8553" s="7"/>
      <c r="V8553" s="7"/>
      <c r="X8553" s="7"/>
    </row>
    <row r="8554" spans="2:24">
      <c r="B8554" s="7"/>
      <c r="D8554" s="7"/>
      <c r="F8554" s="7"/>
      <c r="H8554" s="7"/>
      <c r="J8554" s="7"/>
      <c r="L8554" s="7"/>
      <c r="N8554" s="7"/>
      <c r="P8554" s="7"/>
      <c r="R8554" s="7"/>
      <c r="T8554" s="7"/>
      <c r="V8554" s="7"/>
      <c r="X8554" s="7"/>
    </row>
    <row r="8555" spans="2:24">
      <c r="B8555" s="7"/>
      <c r="D8555" s="7"/>
      <c r="F8555" s="7"/>
      <c r="H8555" s="7"/>
      <c r="J8555" s="7"/>
      <c r="L8555" s="7"/>
      <c r="N8555" s="7"/>
      <c r="P8555" s="7"/>
      <c r="R8555" s="7"/>
      <c r="T8555" s="7"/>
      <c r="V8555" s="7"/>
      <c r="X8555" s="7"/>
    </row>
    <row r="8556" spans="2:24">
      <c r="B8556" s="7"/>
      <c r="D8556" s="7"/>
      <c r="F8556" s="7"/>
      <c r="H8556" s="7"/>
      <c r="J8556" s="7"/>
      <c r="L8556" s="7"/>
      <c r="N8556" s="7"/>
      <c r="P8556" s="7"/>
      <c r="R8556" s="7"/>
      <c r="T8556" s="7"/>
      <c r="V8556" s="7"/>
      <c r="X8556" s="7"/>
    </row>
    <row r="8557" spans="2:24">
      <c r="B8557" s="7"/>
      <c r="D8557" s="7"/>
      <c r="F8557" s="7"/>
      <c r="H8557" s="7"/>
      <c r="J8557" s="7"/>
      <c r="L8557" s="7"/>
      <c r="N8557" s="7"/>
      <c r="P8557" s="7"/>
      <c r="R8557" s="7"/>
      <c r="T8557" s="7"/>
      <c r="V8557" s="7"/>
      <c r="X8557" s="7"/>
    </row>
    <row r="8558" spans="2:24">
      <c r="B8558" s="7"/>
      <c r="D8558" s="7"/>
      <c r="F8558" s="7"/>
      <c r="H8558" s="7"/>
      <c r="J8558" s="7"/>
      <c r="L8558" s="7"/>
      <c r="N8558" s="7"/>
      <c r="P8558" s="7"/>
      <c r="R8558" s="7"/>
      <c r="T8558" s="7"/>
      <c r="V8558" s="7"/>
      <c r="X8558" s="7"/>
    </row>
    <row r="8559" spans="2:24">
      <c r="B8559" s="7"/>
      <c r="D8559" s="7"/>
      <c r="F8559" s="7"/>
      <c r="H8559" s="7"/>
      <c r="J8559" s="7"/>
      <c r="L8559" s="7"/>
      <c r="N8559" s="7"/>
      <c r="P8559" s="7"/>
      <c r="R8559" s="7"/>
      <c r="T8559" s="7"/>
      <c r="V8559" s="7"/>
      <c r="X8559" s="7"/>
    </row>
    <row r="8560" spans="2:24">
      <c r="B8560" s="7"/>
      <c r="D8560" s="7"/>
      <c r="F8560" s="7"/>
      <c r="H8560" s="7"/>
      <c r="J8560" s="7"/>
      <c r="L8560" s="7"/>
      <c r="N8560" s="7"/>
      <c r="P8560" s="7"/>
      <c r="R8560" s="7"/>
      <c r="T8560" s="7"/>
      <c r="V8560" s="7"/>
      <c r="X8560" s="7"/>
    </row>
    <row r="8561" spans="2:24">
      <c r="B8561" s="7"/>
      <c r="D8561" s="7"/>
      <c r="F8561" s="7"/>
      <c r="H8561" s="7"/>
      <c r="J8561" s="7"/>
      <c r="L8561" s="7"/>
      <c r="N8561" s="7"/>
      <c r="P8561" s="7"/>
      <c r="R8561" s="7"/>
      <c r="T8561" s="7"/>
      <c r="V8561" s="7"/>
      <c r="X8561" s="7"/>
    </row>
    <row r="8562" spans="2:24">
      <c r="B8562" s="7"/>
      <c r="D8562" s="7"/>
      <c r="F8562" s="7"/>
      <c r="H8562" s="7"/>
      <c r="J8562" s="7"/>
      <c r="L8562" s="7"/>
      <c r="N8562" s="7"/>
      <c r="P8562" s="7"/>
      <c r="R8562" s="7"/>
      <c r="T8562" s="7"/>
      <c r="V8562" s="7"/>
      <c r="X8562" s="7"/>
    </row>
    <row r="8563" spans="2:24">
      <c r="B8563" s="7"/>
      <c r="D8563" s="7"/>
      <c r="F8563" s="7"/>
      <c r="H8563" s="7"/>
      <c r="J8563" s="7"/>
      <c r="L8563" s="7"/>
      <c r="N8563" s="7"/>
      <c r="P8563" s="7"/>
      <c r="R8563" s="7"/>
      <c r="T8563" s="7"/>
      <c r="V8563" s="7"/>
      <c r="X8563" s="7"/>
    </row>
    <row r="8564" spans="2:24">
      <c r="B8564" s="7"/>
      <c r="D8564" s="7"/>
      <c r="F8564" s="7"/>
      <c r="H8564" s="7"/>
      <c r="J8564" s="7"/>
      <c r="L8564" s="7"/>
      <c r="N8564" s="7"/>
      <c r="P8564" s="7"/>
      <c r="R8564" s="7"/>
      <c r="T8564" s="7"/>
      <c r="V8564" s="7"/>
      <c r="X8564" s="7"/>
    </row>
    <row r="8565" spans="2:24">
      <c r="B8565" s="7"/>
      <c r="D8565" s="7"/>
      <c r="F8565" s="7"/>
      <c r="H8565" s="7"/>
      <c r="J8565" s="7"/>
      <c r="L8565" s="7"/>
      <c r="N8565" s="7"/>
      <c r="P8565" s="7"/>
      <c r="R8565" s="7"/>
      <c r="T8565" s="7"/>
      <c r="V8565" s="7"/>
      <c r="X8565" s="7"/>
    </row>
    <row r="8566" spans="2:24">
      <c r="B8566" s="7"/>
      <c r="D8566" s="7"/>
      <c r="F8566" s="7"/>
      <c r="H8566" s="7"/>
      <c r="J8566" s="7"/>
      <c r="L8566" s="7"/>
      <c r="N8566" s="7"/>
      <c r="P8566" s="7"/>
      <c r="R8566" s="7"/>
      <c r="T8566" s="7"/>
      <c r="V8566" s="7"/>
      <c r="X8566" s="7"/>
    </row>
    <row r="8567" spans="2:24">
      <c r="B8567" s="7"/>
      <c r="D8567" s="7"/>
      <c r="F8567" s="7"/>
      <c r="H8567" s="7"/>
      <c r="J8567" s="7"/>
      <c r="L8567" s="7"/>
      <c r="N8567" s="7"/>
      <c r="P8567" s="7"/>
      <c r="R8567" s="7"/>
      <c r="T8567" s="7"/>
      <c r="V8567" s="7"/>
      <c r="X8567" s="7"/>
    </row>
    <row r="8568" spans="2:24">
      <c r="B8568" s="7"/>
      <c r="D8568" s="7"/>
      <c r="F8568" s="7"/>
      <c r="H8568" s="7"/>
      <c r="J8568" s="7"/>
      <c r="L8568" s="7"/>
      <c r="N8568" s="7"/>
      <c r="P8568" s="7"/>
      <c r="R8568" s="7"/>
      <c r="T8568" s="7"/>
      <c r="V8568" s="7"/>
      <c r="X8568" s="7"/>
    </row>
    <row r="8569" spans="2:24">
      <c r="B8569" s="7"/>
      <c r="D8569" s="7"/>
      <c r="F8569" s="7"/>
      <c r="H8569" s="7"/>
      <c r="J8569" s="7"/>
      <c r="L8569" s="7"/>
      <c r="N8569" s="7"/>
      <c r="P8569" s="7"/>
      <c r="R8569" s="7"/>
      <c r="T8569" s="7"/>
      <c r="V8569" s="7"/>
      <c r="X8569" s="7"/>
    </row>
    <row r="8570" spans="2:24">
      <c r="B8570" s="7"/>
      <c r="D8570" s="7"/>
      <c r="F8570" s="7"/>
      <c r="H8570" s="7"/>
      <c r="J8570" s="7"/>
      <c r="L8570" s="7"/>
      <c r="N8570" s="7"/>
      <c r="P8570" s="7"/>
      <c r="R8570" s="7"/>
      <c r="T8570" s="7"/>
      <c r="V8570" s="7"/>
      <c r="X8570" s="7"/>
    </row>
    <row r="8571" spans="2:24">
      <c r="B8571" s="7"/>
      <c r="D8571" s="7"/>
      <c r="F8571" s="7"/>
      <c r="H8571" s="7"/>
      <c r="J8571" s="7"/>
      <c r="L8571" s="7"/>
      <c r="N8571" s="7"/>
      <c r="P8571" s="7"/>
      <c r="R8571" s="7"/>
      <c r="T8571" s="7"/>
      <c r="V8571" s="7"/>
      <c r="X8571" s="7"/>
    </row>
    <row r="8572" spans="2:24">
      <c r="B8572" s="7"/>
      <c r="D8572" s="7"/>
      <c r="F8572" s="7"/>
      <c r="H8572" s="7"/>
      <c r="J8572" s="7"/>
      <c r="L8572" s="7"/>
      <c r="N8572" s="7"/>
      <c r="P8572" s="7"/>
      <c r="R8572" s="7"/>
      <c r="T8572" s="7"/>
      <c r="V8572" s="7"/>
      <c r="X8572" s="7"/>
    </row>
    <row r="8573" spans="2:24">
      <c r="B8573" s="7"/>
      <c r="D8573" s="7"/>
      <c r="F8573" s="7"/>
      <c r="H8573" s="7"/>
      <c r="J8573" s="7"/>
      <c r="L8573" s="7"/>
      <c r="N8573" s="7"/>
      <c r="P8573" s="7"/>
      <c r="R8573" s="7"/>
      <c r="T8573" s="7"/>
      <c r="V8573" s="7"/>
      <c r="X8573" s="7"/>
    </row>
    <row r="8574" spans="2:24">
      <c r="B8574" s="7"/>
      <c r="D8574" s="7"/>
      <c r="F8574" s="7"/>
      <c r="H8574" s="7"/>
      <c r="J8574" s="7"/>
      <c r="L8574" s="7"/>
      <c r="N8574" s="7"/>
      <c r="P8574" s="7"/>
      <c r="R8574" s="7"/>
      <c r="T8574" s="7"/>
      <c r="V8574" s="7"/>
      <c r="X8574" s="7"/>
    </row>
    <row r="8575" spans="2:24">
      <c r="B8575" s="7"/>
      <c r="D8575" s="7"/>
      <c r="F8575" s="7"/>
      <c r="H8575" s="7"/>
      <c r="J8575" s="7"/>
      <c r="L8575" s="7"/>
      <c r="N8575" s="7"/>
      <c r="P8575" s="7"/>
      <c r="R8575" s="7"/>
      <c r="T8575" s="7"/>
      <c r="V8575" s="7"/>
      <c r="X8575" s="7"/>
    </row>
    <row r="8576" spans="2:24">
      <c r="B8576" s="7"/>
      <c r="D8576" s="7"/>
      <c r="F8576" s="7"/>
      <c r="H8576" s="7"/>
      <c r="J8576" s="7"/>
      <c r="L8576" s="7"/>
      <c r="N8576" s="7"/>
      <c r="P8576" s="7"/>
      <c r="R8576" s="7"/>
      <c r="T8576" s="7"/>
      <c r="V8576" s="7"/>
      <c r="X8576" s="7"/>
    </row>
    <row r="8577" spans="2:24">
      <c r="B8577" s="7"/>
      <c r="D8577" s="7"/>
      <c r="F8577" s="7"/>
      <c r="H8577" s="7"/>
      <c r="J8577" s="7"/>
      <c r="L8577" s="7"/>
      <c r="N8577" s="7"/>
      <c r="P8577" s="7"/>
      <c r="R8577" s="7"/>
      <c r="T8577" s="7"/>
      <c r="V8577" s="7"/>
      <c r="X8577" s="7"/>
    </row>
    <row r="8578" spans="2:24">
      <c r="B8578" s="7"/>
      <c r="D8578" s="7"/>
      <c r="F8578" s="7"/>
      <c r="H8578" s="7"/>
      <c r="J8578" s="7"/>
      <c r="L8578" s="7"/>
      <c r="N8578" s="7"/>
      <c r="P8578" s="7"/>
      <c r="R8578" s="7"/>
      <c r="T8578" s="7"/>
      <c r="V8578" s="7"/>
      <c r="X8578" s="7"/>
    </row>
    <row r="8579" spans="2:24">
      <c r="B8579" s="7"/>
      <c r="D8579" s="7"/>
      <c r="F8579" s="7"/>
      <c r="H8579" s="7"/>
      <c r="J8579" s="7"/>
      <c r="L8579" s="7"/>
      <c r="N8579" s="7"/>
      <c r="P8579" s="7"/>
      <c r="R8579" s="7"/>
      <c r="T8579" s="7"/>
      <c r="V8579" s="7"/>
      <c r="X8579" s="7"/>
    </row>
    <row r="8580" spans="2:24">
      <c r="B8580" s="7"/>
      <c r="D8580" s="7"/>
      <c r="F8580" s="7"/>
      <c r="H8580" s="7"/>
      <c r="J8580" s="7"/>
      <c r="L8580" s="7"/>
      <c r="N8580" s="7"/>
      <c r="P8580" s="7"/>
      <c r="R8580" s="7"/>
      <c r="T8580" s="7"/>
      <c r="V8580" s="7"/>
      <c r="X8580" s="7"/>
    </row>
    <row r="8581" spans="2:24">
      <c r="B8581" s="7"/>
      <c r="D8581" s="7"/>
      <c r="F8581" s="7"/>
      <c r="H8581" s="7"/>
      <c r="J8581" s="7"/>
      <c r="L8581" s="7"/>
      <c r="N8581" s="7"/>
      <c r="P8581" s="7"/>
      <c r="R8581" s="7"/>
      <c r="T8581" s="7"/>
      <c r="V8581" s="7"/>
      <c r="X8581" s="7"/>
    </row>
    <row r="8582" spans="2:24">
      <c r="B8582" s="7"/>
      <c r="D8582" s="7"/>
      <c r="F8582" s="7"/>
      <c r="H8582" s="7"/>
      <c r="J8582" s="7"/>
      <c r="L8582" s="7"/>
      <c r="N8582" s="7"/>
      <c r="P8582" s="7"/>
      <c r="R8582" s="7"/>
      <c r="T8582" s="7"/>
      <c r="V8582" s="7"/>
      <c r="X8582" s="7"/>
    </row>
    <row r="8583" spans="2:24">
      <c r="B8583" s="7"/>
      <c r="D8583" s="7"/>
      <c r="F8583" s="7"/>
      <c r="H8583" s="7"/>
      <c r="J8583" s="7"/>
      <c r="L8583" s="7"/>
      <c r="N8583" s="7"/>
      <c r="P8583" s="7"/>
      <c r="R8583" s="7"/>
      <c r="T8583" s="7"/>
      <c r="V8583" s="7"/>
      <c r="X8583" s="7"/>
    </row>
    <row r="8584" spans="2:24">
      <c r="B8584" s="7"/>
      <c r="D8584" s="7"/>
      <c r="F8584" s="7"/>
      <c r="H8584" s="7"/>
      <c r="J8584" s="7"/>
      <c r="L8584" s="7"/>
      <c r="N8584" s="7"/>
      <c r="P8584" s="7"/>
      <c r="R8584" s="7"/>
      <c r="T8584" s="7"/>
      <c r="V8584" s="7"/>
      <c r="X8584" s="7"/>
    </row>
    <row r="8585" spans="2:24">
      <c r="B8585" s="7"/>
      <c r="D8585" s="7"/>
      <c r="F8585" s="7"/>
      <c r="H8585" s="7"/>
      <c r="J8585" s="7"/>
      <c r="L8585" s="7"/>
      <c r="N8585" s="7"/>
      <c r="P8585" s="7"/>
      <c r="R8585" s="7"/>
      <c r="T8585" s="7"/>
      <c r="V8585" s="7"/>
      <c r="X8585" s="7"/>
    </row>
    <row r="8586" spans="2:24">
      <c r="B8586" s="7"/>
      <c r="D8586" s="7"/>
      <c r="F8586" s="7"/>
      <c r="H8586" s="7"/>
      <c r="J8586" s="7"/>
      <c r="L8586" s="7"/>
      <c r="N8586" s="7"/>
      <c r="P8586" s="7"/>
      <c r="R8586" s="7"/>
      <c r="T8586" s="7"/>
      <c r="V8586" s="7"/>
      <c r="X8586" s="7"/>
    </row>
    <row r="8587" spans="2:24">
      <c r="B8587" s="7"/>
      <c r="D8587" s="7"/>
      <c r="F8587" s="7"/>
      <c r="H8587" s="7"/>
      <c r="J8587" s="7"/>
      <c r="L8587" s="7"/>
      <c r="N8587" s="7"/>
      <c r="P8587" s="7"/>
      <c r="R8587" s="7"/>
      <c r="T8587" s="7"/>
      <c r="V8587" s="7"/>
      <c r="X8587" s="7"/>
    </row>
    <row r="8588" spans="2:24">
      <c r="B8588" s="7"/>
      <c r="D8588" s="7"/>
      <c r="F8588" s="7"/>
      <c r="H8588" s="7"/>
      <c r="J8588" s="7"/>
      <c r="L8588" s="7"/>
      <c r="N8588" s="7"/>
      <c r="P8588" s="7"/>
      <c r="R8588" s="7"/>
      <c r="T8588" s="7"/>
      <c r="V8588" s="7"/>
      <c r="X8588" s="7"/>
    </row>
    <row r="8589" spans="2:24">
      <c r="B8589" s="7"/>
      <c r="D8589" s="7"/>
      <c r="F8589" s="7"/>
      <c r="H8589" s="7"/>
      <c r="J8589" s="7"/>
      <c r="L8589" s="7"/>
      <c r="N8589" s="7"/>
      <c r="P8589" s="7"/>
      <c r="R8589" s="7"/>
      <c r="T8589" s="7"/>
      <c r="V8589" s="7"/>
      <c r="X8589" s="7"/>
    </row>
    <row r="8590" spans="2:24">
      <c r="B8590" s="7"/>
      <c r="D8590" s="7"/>
      <c r="F8590" s="7"/>
      <c r="H8590" s="7"/>
      <c r="J8590" s="7"/>
      <c r="L8590" s="7"/>
      <c r="N8590" s="7"/>
      <c r="P8590" s="7"/>
      <c r="R8590" s="7"/>
      <c r="T8590" s="7"/>
      <c r="V8590" s="7"/>
      <c r="X8590" s="7"/>
    </row>
    <row r="8591" spans="2:24">
      <c r="B8591" s="7"/>
      <c r="D8591" s="7"/>
      <c r="F8591" s="7"/>
      <c r="H8591" s="7"/>
      <c r="J8591" s="7"/>
      <c r="L8591" s="7"/>
      <c r="N8591" s="7"/>
      <c r="P8591" s="7"/>
      <c r="R8591" s="7"/>
      <c r="T8591" s="7"/>
      <c r="V8591" s="7"/>
      <c r="X8591" s="7"/>
    </row>
    <row r="8592" spans="2:24">
      <c r="B8592" s="7"/>
      <c r="D8592" s="7"/>
      <c r="F8592" s="7"/>
      <c r="H8592" s="7"/>
      <c r="J8592" s="7"/>
      <c r="L8592" s="7"/>
      <c r="N8592" s="7"/>
      <c r="P8592" s="7"/>
      <c r="R8592" s="7"/>
      <c r="T8592" s="7"/>
      <c r="V8592" s="7"/>
      <c r="X8592" s="7"/>
    </row>
    <row r="8593" spans="2:24">
      <c r="B8593" s="7"/>
      <c r="D8593" s="7"/>
      <c r="F8593" s="7"/>
      <c r="H8593" s="7"/>
      <c r="J8593" s="7"/>
      <c r="L8593" s="7"/>
      <c r="N8593" s="7"/>
      <c r="P8593" s="7"/>
      <c r="R8593" s="7"/>
      <c r="T8593" s="7"/>
      <c r="V8593" s="7"/>
      <c r="X8593" s="7"/>
    </row>
    <row r="8594" spans="2:24">
      <c r="B8594" s="7"/>
      <c r="D8594" s="7"/>
      <c r="F8594" s="7"/>
      <c r="H8594" s="7"/>
      <c r="J8594" s="7"/>
      <c r="L8594" s="7"/>
      <c r="N8594" s="7"/>
      <c r="P8594" s="7"/>
      <c r="R8594" s="7"/>
      <c r="T8594" s="7"/>
      <c r="V8594" s="7"/>
      <c r="X8594" s="7"/>
    </row>
    <row r="8595" spans="2:24">
      <c r="B8595" s="7"/>
      <c r="D8595" s="7"/>
      <c r="F8595" s="7"/>
      <c r="H8595" s="7"/>
      <c r="J8595" s="7"/>
      <c r="L8595" s="7"/>
      <c r="N8595" s="7"/>
      <c r="P8595" s="7"/>
      <c r="R8595" s="7"/>
      <c r="T8595" s="7"/>
      <c r="V8595" s="7"/>
      <c r="X8595" s="7"/>
    </row>
    <row r="8596" spans="2:24">
      <c r="B8596" s="7"/>
      <c r="D8596" s="7"/>
      <c r="F8596" s="7"/>
      <c r="H8596" s="7"/>
      <c r="J8596" s="7"/>
      <c r="L8596" s="7"/>
      <c r="N8596" s="7"/>
      <c r="P8596" s="7"/>
      <c r="R8596" s="7"/>
      <c r="T8596" s="7"/>
      <c r="V8596" s="7"/>
      <c r="X8596" s="7"/>
    </row>
    <row r="8597" spans="2:24">
      <c r="B8597" s="7"/>
      <c r="D8597" s="7"/>
      <c r="F8597" s="7"/>
      <c r="H8597" s="7"/>
      <c r="J8597" s="7"/>
      <c r="L8597" s="7"/>
      <c r="N8597" s="7"/>
      <c r="P8597" s="7"/>
      <c r="R8597" s="7"/>
      <c r="T8597" s="7"/>
      <c r="V8597" s="7"/>
      <c r="X8597" s="7"/>
    </row>
    <row r="8598" spans="2:24">
      <c r="B8598" s="7"/>
      <c r="D8598" s="7"/>
      <c r="F8598" s="7"/>
      <c r="H8598" s="7"/>
      <c r="J8598" s="7"/>
      <c r="L8598" s="7"/>
      <c r="N8598" s="7"/>
      <c r="P8598" s="7"/>
      <c r="R8598" s="7"/>
      <c r="T8598" s="7"/>
      <c r="V8598" s="7"/>
      <c r="X8598" s="7"/>
    </row>
    <row r="8599" spans="2:24">
      <c r="B8599" s="7"/>
      <c r="D8599" s="7"/>
      <c r="F8599" s="7"/>
      <c r="H8599" s="7"/>
      <c r="J8599" s="7"/>
      <c r="L8599" s="7"/>
      <c r="N8599" s="7"/>
      <c r="P8599" s="7"/>
      <c r="R8599" s="7"/>
      <c r="T8599" s="7"/>
      <c r="V8599" s="7"/>
      <c r="X8599" s="7"/>
    </row>
    <row r="8600" spans="2:24">
      <c r="B8600" s="7"/>
      <c r="D8600" s="7"/>
      <c r="F8600" s="7"/>
      <c r="H8600" s="7"/>
      <c r="J8600" s="7"/>
      <c r="L8600" s="7"/>
      <c r="N8600" s="7"/>
      <c r="P8600" s="7"/>
      <c r="R8600" s="7"/>
      <c r="T8600" s="7"/>
      <c r="V8600" s="7"/>
      <c r="X8600" s="7"/>
    </row>
    <row r="8601" spans="2:24">
      <c r="B8601" s="7"/>
      <c r="D8601" s="7"/>
      <c r="F8601" s="7"/>
      <c r="H8601" s="7"/>
      <c r="J8601" s="7"/>
      <c r="L8601" s="7"/>
      <c r="N8601" s="7"/>
      <c r="P8601" s="7"/>
      <c r="R8601" s="7"/>
      <c r="T8601" s="7"/>
      <c r="V8601" s="7"/>
      <c r="X8601" s="7"/>
    </row>
    <row r="8602" spans="2:24">
      <c r="B8602" s="7"/>
      <c r="D8602" s="7"/>
      <c r="F8602" s="7"/>
      <c r="H8602" s="7"/>
      <c r="J8602" s="7"/>
      <c r="L8602" s="7"/>
      <c r="N8602" s="7"/>
      <c r="P8602" s="7"/>
      <c r="R8602" s="7"/>
      <c r="T8602" s="7"/>
      <c r="V8602" s="7"/>
      <c r="X8602" s="7"/>
    </row>
    <row r="8603" spans="2:24">
      <c r="B8603" s="7"/>
      <c r="D8603" s="7"/>
      <c r="F8603" s="7"/>
      <c r="H8603" s="7"/>
      <c r="J8603" s="7"/>
      <c r="L8603" s="7"/>
      <c r="N8603" s="7"/>
      <c r="P8603" s="7"/>
      <c r="R8603" s="7"/>
      <c r="T8603" s="7"/>
      <c r="V8603" s="7"/>
      <c r="X8603" s="7"/>
    </row>
    <row r="8604" spans="2:24">
      <c r="B8604" s="7"/>
      <c r="D8604" s="7"/>
      <c r="F8604" s="7"/>
      <c r="H8604" s="7"/>
      <c r="J8604" s="7"/>
      <c r="L8604" s="7"/>
      <c r="N8604" s="7"/>
      <c r="P8604" s="7"/>
      <c r="R8604" s="7"/>
      <c r="T8604" s="7"/>
      <c r="V8604" s="7"/>
      <c r="X8604" s="7"/>
    </row>
    <row r="8605" spans="2:24">
      <c r="B8605" s="7"/>
      <c r="D8605" s="7"/>
      <c r="F8605" s="7"/>
      <c r="H8605" s="7"/>
      <c r="J8605" s="7"/>
      <c r="L8605" s="7"/>
      <c r="N8605" s="7"/>
      <c r="P8605" s="7"/>
      <c r="R8605" s="7"/>
      <c r="T8605" s="7"/>
      <c r="V8605" s="7"/>
      <c r="X8605" s="7"/>
    </row>
    <row r="8606" spans="2:24">
      <c r="B8606" s="7"/>
      <c r="D8606" s="7"/>
      <c r="F8606" s="7"/>
      <c r="H8606" s="7"/>
      <c r="J8606" s="7"/>
      <c r="L8606" s="7"/>
      <c r="N8606" s="7"/>
      <c r="P8606" s="7"/>
      <c r="R8606" s="7"/>
      <c r="T8606" s="7"/>
      <c r="V8606" s="7"/>
      <c r="X8606" s="7"/>
    </row>
    <row r="8607" spans="2:24">
      <c r="B8607" s="7"/>
      <c r="D8607" s="7"/>
      <c r="F8607" s="7"/>
      <c r="H8607" s="7"/>
      <c r="J8607" s="7"/>
      <c r="L8607" s="7"/>
      <c r="N8607" s="7"/>
      <c r="P8607" s="7"/>
      <c r="R8607" s="7"/>
      <c r="T8607" s="7"/>
      <c r="V8607" s="7"/>
      <c r="X8607" s="7"/>
    </row>
    <row r="8608" spans="2:24">
      <c r="B8608" s="7"/>
      <c r="D8608" s="7"/>
      <c r="F8608" s="7"/>
      <c r="H8608" s="7"/>
      <c r="J8608" s="7"/>
      <c r="L8608" s="7"/>
      <c r="N8608" s="7"/>
      <c r="P8608" s="7"/>
      <c r="R8608" s="7"/>
      <c r="T8608" s="7"/>
      <c r="V8608" s="7"/>
      <c r="X8608" s="7"/>
    </row>
    <row r="8609" spans="2:24">
      <c r="B8609" s="7"/>
      <c r="D8609" s="7"/>
      <c r="F8609" s="7"/>
      <c r="H8609" s="7"/>
      <c r="J8609" s="7"/>
      <c r="L8609" s="7"/>
      <c r="N8609" s="7"/>
      <c r="P8609" s="7"/>
      <c r="R8609" s="7"/>
      <c r="T8609" s="7"/>
      <c r="V8609" s="7"/>
      <c r="X8609" s="7"/>
    </row>
    <row r="8610" spans="2:24">
      <c r="B8610" s="7"/>
      <c r="D8610" s="7"/>
      <c r="F8610" s="7"/>
      <c r="H8610" s="7"/>
      <c r="J8610" s="7"/>
      <c r="L8610" s="7"/>
      <c r="N8610" s="7"/>
      <c r="P8610" s="7"/>
      <c r="R8610" s="7"/>
      <c r="T8610" s="7"/>
      <c r="V8610" s="7"/>
      <c r="X8610" s="7"/>
    </row>
    <row r="8611" spans="2:24">
      <c r="B8611" s="7"/>
      <c r="D8611" s="7"/>
      <c r="F8611" s="7"/>
      <c r="H8611" s="7"/>
      <c r="J8611" s="7"/>
      <c r="L8611" s="7"/>
      <c r="N8611" s="7"/>
      <c r="P8611" s="7"/>
      <c r="R8611" s="7"/>
      <c r="T8611" s="7"/>
      <c r="V8611" s="7"/>
      <c r="X8611" s="7"/>
    </row>
    <row r="8612" spans="2:24">
      <c r="B8612" s="7"/>
      <c r="D8612" s="7"/>
      <c r="F8612" s="7"/>
      <c r="H8612" s="7"/>
      <c r="J8612" s="7"/>
      <c r="L8612" s="7"/>
      <c r="N8612" s="7"/>
      <c r="P8612" s="7"/>
      <c r="R8612" s="7"/>
      <c r="T8612" s="7"/>
      <c r="V8612" s="7"/>
      <c r="X8612" s="7"/>
    </row>
    <row r="8613" spans="2:24">
      <c r="B8613" s="7"/>
      <c r="D8613" s="7"/>
      <c r="F8613" s="7"/>
      <c r="H8613" s="7"/>
      <c r="J8613" s="7"/>
      <c r="L8613" s="7"/>
      <c r="N8613" s="7"/>
      <c r="P8613" s="7"/>
      <c r="R8613" s="7"/>
      <c r="T8613" s="7"/>
      <c r="V8613" s="7"/>
      <c r="X8613" s="7"/>
    </row>
    <row r="8614" spans="2:24">
      <c r="B8614" s="7"/>
      <c r="D8614" s="7"/>
      <c r="F8614" s="7"/>
      <c r="H8614" s="7"/>
      <c r="J8614" s="7"/>
      <c r="L8614" s="7"/>
      <c r="N8614" s="7"/>
      <c r="P8614" s="7"/>
      <c r="R8614" s="7"/>
      <c r="T8614" s="7"/>
      <c r="V8614" s="7"/>
      <c r="X8614" s="7"/>
    </row>
    <row r="8615" spans="2:24">
      <c r="B8615" s="7"/>
      <c r="D8615" s="7"/>
      <c r="F8615" s="7"/>
      <c r="H8615" s="7"/>
      <c r="J8615" s="7"/>
      <c r="L8615" s="7"/>
      <c r="N8615" s="7"/>
      <c r="P8615" s="7"/>
      <c r="R8615" s="7"/>
      <c r="T8615" s="7"/>
      <c r="V8615" s="7"/>
      <c r="X8615" s="7"/>
    </row>
    <row r="8616" spans="2:24">
      <c r="B8616" s="7"/>
      <c r="D8616" s="7"/>
      <c r="F8616" s="7"/>
      <c r="H8616" s="7"/>
      <c r="J8616" s="7"/>
      <c r="L8616" s="7"/>
      <c r="N8616" s="7"/>
      <c r="P8616" s="7"/>
      <c r="R8616" s="7"/>
      <c r="T8616" s="7"/>
      <c r="V8616" s="7"/>
      <c r="X8616" s="7"/>
    </row>
    <row r="8617" spans="2:24">
      <c r="B8617" s="7"/>
      <c r="D8617" s="7"/>
      <c r="F8617" s="7"/>
      <c r="H8617" s="7"/>
      <c r="J8617" s="7"/>
      <c r="L8617" s="7"/>
      <c r="N8617" s="7"/>
      <c r="P8617" s="7"/>
      <c r="R8617" s="7"/>
      <c r="T8617" s="7"/>
      <c r="V8617" s="7"/>
      <c r="X8617" s="7"/>
    </row>
    <row r="8618" spans="2:24">
      <c r="B8618" s="7"/>
      <c r="D8618" s="7"/>
      <c r="F8618" s="7"/>
      <c r="H8618" s="7"/>
      <c r="J8618" s="7"/>
      <c r="L8618" s="7"/>
      <c r="N8618" s="7"/>
      <c r="P8618" s="7"/>
      <c r="R8618" s="7"/>
      <c r="T8618" s="7"/>
      <c r="V8618" s="7"/>
      <c r="X8618" s="7"/>
    </row>
    <row r="8619" spans="2:24">
      <c r="B8619" s="7"/>
      <c r="D8619" s="7"/>
      <c r="F8619" s="7"/>
      <c r="H8619" s="7"/>
      <c r="J8619" s="7"/>
      <c r="L8619" s="7"/>
      <c r="N8619" s="7"/>
      <c r="P8619" s="7"/>
      <c r="R8619" s="7"/>
      <c r="T8619" s="7"/>
      <c r="V8619" s="7"/>
      <c r="X8619" s="7"/>
    </row>
    <row r="8620" spans="2:24">
      <c r="B8620" s="7"/>
      <c r="D8620" s="7"/>
      <c r="F8620" s="7"/>
      <c r="H8620" s="7"/>
      <c r="J8620" s="7"/>
      <c r="L8620" s="7"/>
      <c r="N8620" s="7"/>
      <c r="P8620" s="7"/>
      <c r="R8620" s="7"/>
      <c r="T8620" s="7"/>
      <c r="V8620" s="7"/>
      <c r="X8620" s="7"/>
    </row>
    <row r="8621" spans="2:24">
      <c r="B8621" s="7"/>
      <c r="D8621" s="7"/>
      <c r="F8621" s="7"/>
      <c r="H8621" s="7"/>
      <c r="J8621" s="7"/>
      <c r="L8621" s="7"/>
      <c r="N8621" s="7"/>
      <c r="P8621" s="7"/>
      <c r="R8621" s="7"/>
      <c r="T8621" s="7"/>
      <c r="V8621" s="7"/>
      <c r="X8621" s="7"/>
    </row>
    <row r="8622" spans="2:24">
      <c r="B8622" s="7"/>
      <c r="D8622" s="7"/>
      <c r="F8622" s="7"/>
      <c r="H8622" s="7"/>
      <c r="J8622" s="7"/>
      <c r="L8622" s="7"/>
      <c r="N8622" s="7"/>
      <c r="P8622" s="7"/>
      <c r="R8622" s="7"/>
      <c r="T8622" s="7"/>
      <c r="V8622" s="7"/>
      <c r="X8622" s="7"/>
    </row>
    <row r="8623" spans="2:24">
      <c r="B8623" s="7"/>
      <c r="D8623" s="7"/>
      <c r="F8623" s="7"/>
      <c r="H8623" s="7"/>
      <c r="J8623" s="7"/>
      <c r="L8623" s="7"/>
      <c r="N8623" s="7"/>
      <c r="P8623" s="7"/>
      <c r="R8623" s="7"/>
      <c r="T8623" s="7"/>
      <c r="V8623" s="7"/>
      <c r="X8623" s="7"/>
    </row>
    <row r="8624" spans="2:24">
      <c r="B8624" s="7"/>
      <c r="D8624" s="7"/>
      <c r="F8624" s="7"/>
      <c r="H8624" s="7"/>
      <c r="J8624" s="7"/>
      <c r="L8624" s="7"/>
      <c r="N8624" s="7"/>
      <c r="P8624" s="7"/>
      <c r="R8624" s="7"/>
      <c r="T8624" s="7"/>
      <c r="V8624" s="7"/>
      <c r="X8624" s="7"/>
    </row>
    <row r="8625" spans="2:24">
      <c r="B8625" s="7"/>
      <c r="D8625" s="7"/>
      <c r="F8625" s="7"/>
      <c r="H8625" s="7"/>
      <c r="J8625" s="7"/>
      <c r="L8625" s="7"/>
      <c r="N8625" s="7"/>
      <c r="P8625" s="7"/>
      <c r="R8625" s="7"/>
      <c r="T8625" s="7"/>
      <c r="V8625" s="7"/>
      <c r="X8625" s="7"/>
    </row>
    <row r="8626" spans="2:24">
      <c r="B8626" s="7"/>
      <c r="D8626" s="7"/>
      <c r="F8626" s="7"/>
      <c r="H8626" s="7"/>
      <c r="J8626" s="7"/>
      <c r="L8626" s="7"/>
      <c r="N8626" s="7"/>
      <c r="P8626" s="7"/>
      <c r="R8626" s="7"/>
      <c r="T8626" s="7"/>
      <c r="V8626" s="7"/>
      <c r="X8626" s="7"/>
    </row>
    <row r="8627" spans="2:24">
      <c r="B8627" s="7"/>
      <c r="D8627" s="7"/>
      <c r="F8627" s="7"/>
      <c r="H8627" s="7"/>
      <c r="J8627" s="7"/>
      <c r="L8627" s="7"/>
      <c r="N8627" s="7"/>
      <c r="P8627" s="7"/>
      <c r="R8627" s="7"/>
      <c r="T8627" s="7"/>
      <c r="V8627" s="7"/>
      <c r="X8627" s="7"/>
    </row>
    <row r="8628" spans="2:24">
      <c r="B8628" s="7"/>
      <c r="D8628" s="7"/>
      <c r="F8628" s="7"/>
      <c r="H8628" s="7"/>
      <c r="J8628" s="7"/>
      <c r="L8628" s="7"/>
      <c r="N8628" s="7"/>
      <c r="P8628" s="7"/>
      <c r="R8628" s="7"/>
      <c r="T8628" s="7"/>
      <c r="V8628" s="7"/>
      <c r="X8628" s="7"/>
    </row>
    <row r="8629" spans="2:24">
      <c r="B8629" s="7"/>
      <c r="D8629" s="7"/>
      <c r="F8629" s="7"/>
      <c r="H8629" s="7"/>
      <c r="J8629" s="7"/>
      <c r="L8629" s="7"/>
      <c r="N8629" s="7"/>
      <c r="P8629" s="7"/>
      <c r="R8629" s="7"/>
      <c r="T8629" s="7"/>
      <c r="V8629" s="7"/>
      <c r="X8629" s="7"/>
    </row>
    <row r="8630" spans="2:24">
      <c r="B8630" s="7"/>
      <c r="D8630" s="7"/>
      <c r="F8630" s="7"/>
      <c r="H8630" s="7"/>
      <c r="J8630" s="7"/>
      <c r="L8630" s="7"/>
      <c r="N8630" s="7"/>
      <c r="P8630" s="7"/>
      <c r="R8630" s="7"/>
      <c r="T8630" s="7"/>
      <c r="V8630" s="7"/>
      <c r="X8630" s="7"/>
    </row>
    <row r="8631" spans="2:24">
      <c r="B8631" s="7"/>
      <c r="D8631" s="7"/>
      <c r="F8631" s="7"/>
      <c r="H8631" s="7"/>
      <c r="J8631" s="7"/>
      <c r="L8631" s="7"/>
      <c r="N8631" s="7"/>
      <c r="P8631" s="7"/>
      <c r="R8631" s="7"/>
      <c r="T8631" s="7"/>
      <c r="V8631" s="7"/>
      <c r="X8631" s="7"/>
    </row>
    <row r="8632" spans="2:24">
      <c r="B8632" s="7"/>
      <c r="D8632" s="7"/>
      <c r="F8632" s="7"/>
      <c r="H8632" s="7"/>
      <c r="J8632" s="7"/>
      <c r="L8632" s="7"/>
      <c r="N8632" s="7"/>
      <c r="P8632" s="7"/>
      <c r="R8632" s="7"/>
      <c r="T8632" s="7"/>
      <c r="V8632" s="7"/>
      <c r="X8632" s="7"/>
    </row>
    <row r="8633" spans="2:24">
      <c r="B8633" s="7"/>
      <c r="D8633" s="7"/>
      <c r="F8633" s="7"/>
      <c r="H8633" s="7"/>
      <c r="J8633" s="7"/>
      <c r="L8633" s="7"/>
      <c r="N8633" s="7"/>
      <c r="P8633" s="7"/>
      <c r="R8633" s="7"/>
      <c r="T8633" s="7"/>
      <c r="V8633" s="7"/>
      <c r="X8633" s="7"/>
    </row>
    <row r="8634" spans="2:24">
      <c r="B8634" s="7"/>
      <c r="D8634" s="7"/>
      <c r="F8634" s="7"/>
      <c r="H8634" s="7"/>
      <c r="J8634" s="7"/>
      <c r="L8634" s="7"/>
      <c r="N8634" s="7"/>
      <c r="P8634" s="7"/>
      <c r="R8634" s="7"/>
      <c r="T8634" s="7"/>
      <c r="V8634" s="7"/>
      <c r="X8634" s="7"/>
    </row>
    <row r="8635" spans="2:24">
      <c r="B8635" s="7"/>
      <c r="D8635" s="7"/>
      <c r="F8635" s="7"/>
      <c r="H8635" s="7"/>
      <c r="J8635" s="7"/>
      <c r="L8635" s="7"/>
      <c r="N8635" s="7"/>
      <c r="P8635" s="7"/>
      <c r="R8635" s="7"/>
      <c r="T8635" s="7"/>
      <c r="V8635" s="7"/>
      <c r="X8635" s="7"/>
    </row>
    <row r="8636" spans="2:24">
      <c r="B8636" s="7"/>
      <c r="D8636" s="7"/>
      <c r="F8636" s="7"/>
      <c r="H8636" s="7"/>
      <c r="J8636" s="7"/>
      <c r="L8636" s="7"/>
      <c r="N8636" s="7"/>
      <c r="P8636" s="7"/>
      <c r="R8636" s="7"/>
      <c r="T8636" s="7"/>
      <c r="V8636" s="7"/>
      <c r="X8636" s="7"/>
    </row>
    <row r="8637" spans="2:24">
      <c r="B8637" s="7"/>
      <c r="D8637" s="7"/>
      <c r="F8637" s="7"/>
      <c r="H8637" s="7"/>
      <c r="J8637" s="7"/>
      <c r="L8637" s="7"/>
      <c r="N8637" s="7"/>
      <c r="P8637" s="7"/>
      <c r="R8637" s="7"/>
      <c r="T8637" s="7"/>
      <c r="V8637" s="7"/>
      <c r="X8637" s="7"/>
    </row>
    <row r="8638" spans="2:24">
      <c r="B8638" s="7"/>
      <c r="D8638" s="7"/>
      <c r="F8638" s="7"/>
      <c r="H8638" s="7"/>
      <c r="J8638" s="7"/>
      <c r="L8638" s="7"/>
      <c r="N8638" s="7"/>
      <c r="P8638" s="7"/>
      <c r="R8638" s="7"/>
      <c r="T8638" s="7"/>
      <c r="V8638" s="7"/>
      <c r="X8638" s="7"/>
    </row>
    <row r="8639" spans="2:24">
      <c r="B8639" s="7"/>
      <c r="D8639" s="7"/>
      <c r="F8639" s="7"/>
      <c r="H8639" s="7"/>
      <c r="J8639" s="7"/>
      <c r="L8639" s="7"/>
      <c r="N8639" s="7"/>
      <c r="P8639" s="7"/>
      <c r="R8639" s="7"/>
      <c r="T8639" s="7"/>
      <c r="V8639" s="7"/>
      <c r="X8639" s="7"/>
    </row>
    <row r="8640" spans="2:24">
      <c r="B8640" s="7"/>
      <c r="D8640" s="7"/>
      <c r="F8640" s="7"/>
      <c r="H8640" s="7"/>
      <c r="J8640" s="7"/>
      <c r="L8640" s="7"/>
      <c r="N8640" s="7"/>
      <c r="P8640" s="7"/>
      <c r="R8640" s="7"/>
      <c r="T8640" s="7"/>
      <c r="V8640" s="7"/>
      <c r="X8640" s="7"/>
    </row>
    <row r="8641" spans="2:24">
      <c r="B8641" s="7"/>
      <c r="D8641" s="7"/>
      <c r="F8641" s="7"/>
      <c r="H8641" s="7"/>
      <c r="J8641" s="7"/>
      <c r="L8641" s="7"/>
      <c r="N8641" s="7"/>
      <c r="P8641" s="7"/>
      <c r="R8641" s="7"/>
      <c r="T8641" s="7"/>
      <c r="V8641" s="7"/>
      <c r="X8641" s="7"/>
    </row>
    <row r="8642" spans="2:24">
      <c r="B8642" s="7"/>
      <c r="D8642" s="7"/>
      <c r="F8642" s="7"/>
      <c r="H8642" s="7"/>
      <c r="J8642" s="7"/>
      <c r="L8642" s="7"/>
      <c r="N8642" s="7"/>
      <c r="P8642" s="7"/>
      <c r="R8642" s="7"/>
      <c r="T8642" s="7"/>
      <c r="V8642" s="7"/>
      <c r="X8642" s="7"/>
    </row>
    <row r="8643" spans="2:24">
      <c r="B8643" s="7"/>
      <c r="D8643" s="7"/>
      <c r="F8643" s="7"/>
      <c r="H8643" s="7"/>
      <c r="J8643" s="7"/>
      <c r="L8643" s="7"/>
      <c r="N8643" s="7"/>
      <c r="P8643" s="7"/>
      <c r="R8643" s="7"/>
      <c r="T8643" s="7"/>
      <c r="V8643" s="7"/>
      <c r="X8643" s="7"/>
    </row>
    <row r="8644" spans="2:24">
      <c r="B8644" s="7"/>
      <c r="D8644" s="7"/>
      <c r="F8644" s="7"/>
      <c r="H8644" s="7"/>
      <c r="J8644" s="7"/>
      <c r="L8644" s="7"/>
      <c r="N8644" s="7"/>
      <c r="P8644" s="7"/>
      <c r="R8644" s="7"/>
      <c r="T8644" s="7"/>
      <c r="V8644" s="7"/>
      <c r="X8644" s="7"/>
    </row>
    <row r="8645" spans="2:24">
      <c r="B8645" s="7"/>
      <c r="D8645" s="7"/>
      <c r="F8645" s="7"/>
      <c r="H8645" s="7"/>
      <c r="J8645" s="7"/>
      <c r="L8645" s="7"/>
      <c r="N8645" s="7"/>
      <c r="P8645" s="7"/>
      <c r="R8645" s="7"/>
      <c r="T8645" s="7"/>
      <c r="V8645" s="7"/>
      <c r="X8645" s="7"/>
    </row>
    <row r="8646" spans="2:24">
      <c r="B8646" s="7"/>
      <c r="D8646" s="7"/>
      <c r="F8646" s="7"/>
      <c r="H8646" s="7"/>
      <c r="J8646" s="7"/>
      <c r="L8646" s="7"/>
      <c r="N8646" s="7"/>
      <c r="P8646" s="7"/>
      <c r="R8646" s="7"/>
      <c r="T8646" s="7"/>
      <c r="V8646" s="7"/>
      <c r="X8646" s="7"/>
    </row>
    <row r="8647" spans="2:24">
      <c r="B8647" s="7"/>
      <c r="D8647" s="7"/>
      <c r="F8647" s="7"/>
      <c r="H8647" s="7"/>
      <c r="J8647" s="7"/>
      <c r="L8647" s="7"/>
      <c r="N8647" s="7"/>
      <c r="P8647" s="7"/>
      <c r="R8647" s="7"/>
      <c r="T8647" s="7"/>
      <c r="V8647" s="7"/>
      <c r="X8647" s="7"/>
    </row>
    <row r="8648" spans="2:24">
      <c r="B8648" s="7"/>
      <c r="D8648" s="7"/>
      <c r="F8648" s="7"/>
      <c r="H8648" s="7"/>
      <c r="J8648" s="7"/>
      <c r="L8648" s="7"/>
      <c r="N8648" s="7"/>
      <c r="P8648" s="7"/>
      <c r="R8648" s="7"/>
      <c r="T8648" s="7"/>
      <c r="V8648" s="7"/>
      <c r="X8648" s="7"/>
    </row>
    <row r="8649" spans="2:24">
      <c r="B8649" s="7"/>
      <c r="D8649" s="7"/>
      <c r="F8649" s="7"/>
      <c r="H8649" s="7"/>
      <c r="J8649" s="7"/>
      <c r="L8649" s="7"/>
      <c r="N8649" s="7"/>
      <c r="P8649" s="7"/>
      <c r="R8649" s="7"/>
      <c r="T8649" s="7"/>
      <c r="V8649" s="7"/>
      <c r="X8649" s="7"/>
    </row>
    <row r="8650" spans="2:24">
      <c r="B8650" s="7"/>
      <c r="D8650" s="7"/>
      <c r="F8650" s="7"/>
      <c r="H8650" s="7"/>
      <c r="J8650" s="7"/>
      <c r="L8650" s="7"/>
      <c r="N8650" s="7"/>
      <c r="P8650" s="7"/>
      <c r="R8650" s="7"/>
      <c r="T8650" s="7"/>
      <c r="V8650" s="7"/>
      <c r="X8650" s="7"/>
    </row>
    <row r="8651" spans="2:24">
      <c r="B8651" s="7"/>
      <c r="D8651" s="7"/>
      <c r="F8651" s="7"/>
      <c r="H8651" s="7"/>
      <c r="J8651" s="7"/>
      <c r="L8651" s="7"/>
      <c r="N8651" s="7"/>
      <c r="P8651" s="7"/>
      <c r="R8651" s="7"/>
      <c r="T8651" s="7"/>
      <c r="V8651" s="7"/>
      <c r="X8651" s="7"/>
    </row>
    <row r="8652" spans="2:24">
      <c r="B8652" s="7"/>
      <c r="D8652" s="7"/>
      <c r="F8652" s="7"/>
      <c r="H8652" s="7"/>
      <c r="J8652" s="7"/>
      <c r="L8652" s="7"/>
      <c r="N8652" s="7"/>
      <c r="P8652" s="7"/>
      <c r="R8652" s="7"/>
      <c r="T8652" s="7"/>
      <c r="V8652" s="7"/>
      <c r="X8652" s="7"/>
    </row>
    <row r="8653" spans="2:24">
      <c r="B8653" s="7"/>
      <c r="D8653" s="7"/>
      <c r="F8653" s="7"/>
      <c r="H8653" s="7"/>
      <c r="J8653" s="7"/>
      <c r="L8653" s="7"/>
      <c r="N8653" s="7"/>
      <c r="P8653" s="7"/>
      <c r="R8653" s="7"/>
      <c r="T8653" s="7"/>
      <c r="V8653" s="7"/>
      <c r="X8653" s="7"/>
    </row>
    <row r="8654" spans="2:24">
      <c r="B8654" s="7"/>
      <c r="D8654" s="7"/>
      <c r="F8654" s="7"/>
      <c r="H8654" s="7"/>
      <c r="J8654" s="7"/>
      <c r="L8654" s="7"/>
      <c r="N8654" s="7"/>
      <c r="P8654" s="7"/>
      <c r="R8654" s="7"/>
      <c r="T8654" s="7"/>
      <c r="V8654" s="7"/>
      <c r="X8654" s="7"/>
    </row>
    <row r="8655" spans="2:24">
      <c r="B8655" s="7"/>
      <c r="D8655" s="7"/>
      <c r="F8655" s="7"/>
      <c r="H8655" s="7"/>
      <c r="J8655" s="7"/>
      <c r="L8655" s="7"/>
      <c r="N8655" s="7"/>
      <c r="P8655" s="7"/>
      <c r="R8655" s="7"/>
      <c r="T8655" s="7"/>
      <c r="V8655" s="7"/>
      <c r="X8655" s="7"/>
    </row>
    <row r="8656" spans="2:24">
      <c r="B8656" s="7"/>
      <c r="D8656" s="7"/>
      <c r="F8656" s="7"/>
      <c r="H8656" s="7"/>
      <c r="J8656" s="7"/>
      <c r="L8656" s="7"/>
      <c r="N8656" s="7"/>
      <c r="P8656" s="7"/>
      <c r="R8656" s="7"/>
      <c r="T8656" s="7"/>
      <c r="V8656" s="7"/>
      <c r="X8656" s="7"/>
    </row>
    <row r="8657" spans="2:24">
      <c r="B8657" s="7"/>
      <c r="D8657" s="7"/>
      <c r="F8657" s="7"/>
      <c r="H8657" s="7"/>
      <c r="J8657" s="7"/>
      <c r="L8657" s="7"/>
      <c r="N8657" s="7"/>
      <c r="P8657" s="7"/>
      <c r="R8657" s="7"/>
      <c r="T8657" s="7"/>
      <c r="V8657" s="7"/>
      <c r="X8657" s="7"/>
    </row>
    <row r="8658" spans="2:24">
      <c r="B8658" s="7"/>
      <c r="D8658" s="7"/>
      <c r="F8658" s="7"/>
      <c r="H8658" s="7"/>
      <c r="J8658" s="7"/>
      <c r="L8658" s="7"/>
      <c r="N8658" s="7"/>
      <c r="P8658" s="7"/>
      <c r="R8658" s="7"/>
      <c r="T8658" s="7"/>
      <c r="V8658" s="7"/>
      <c r="X8658" s="7"/>
    </row>
    <row r="8659" spans="2:24">
      <c r="B8659" s="7"/>
      <c r="D8659" s="7"/>
      <c r="F8659" s="7"/>
      <c r="H8659" s="7"/>
      <c r="J8659" s="7"/>
      <c r="L8659" s="7"/>
      <c r="N8659" s="7"/>
      <c r="P8659" s="7"/>
      <c r="R8659" s="7"/>
      <c r="T8659" s="7"/>
      <c r="V8659" s="7"/>
      <c r="X8659" s="7"/>
    </row>
    <row r="8660" spans="2:24">
      <c r="B8660" s="7"/>
      <c r="D8660" s="7"/>
      <c r="F8660" s="7"/>
      <c r="H8660" s="7"/>
      <c r="J8660" s="7"/>
      <c r="L8660" s="7"/>
      <c r="N8660" s="7"/>
      <c r="P8660" s="7"/>
      <c r="R8660" s="7"/>
      <c r="T8660" s="7"/>
      <c r="V8660" s="7"/>
      <c r="X8660" s="7"/>
    </row>
    <row r="8661" spans="2:24">
      <c r="B8661" s="7"/>
      <c r="D8661" s="7"/>
      <c r="F8661" s="7"/>
      <c r="H8661" s="7"/>
      <c r="J8661" s="7"/>
      <c r="L8661" s="7"/>
      <c r="N8661" s="7"/>
      <c r="P8661" s="7"/>
      <c r="R8661" s="7"/>
      <c r="T8661" s="7"/>
      <c r="V8661" s="7"/>
      <c r="X8661" s="7"/>
    </row>
    <row r="8662" spans="2:24">
      <c r="B8662" s="7"/>
      <c r="D8662" s="7"/>
      <c r="F8662" s="7"/>
      <c r="H8662" s="7"/>
      <c r="J8662" s="7"/>
      <c r="L8662" s="7"/>
      <c r="N8662" s="7"/>
      <c r="P8662" s="7"/>
      <c r="R8662" s="7"/>
      <c r="T8662" s="7"/>
      <c r="V8662" s="7"/>
      <c r="X8662" s="7"/>
    </row>
    <row r="8663" spans="2:24">
      <c r="B8663" s="7"/>
      <c r="D8663" s="7"/>
      <c r="F8663" s="7"/>
      <c r="H8663" s="7"/>
      <c r="J8663" s="7"/>
      <c r="L8663" s="7"/>
      <c r="N8663" s="7"/>
      <c r="P8663" s="7"/>
      <c r="R8663" s="7"/>
      <c r="T8663" s="7"/>
      <c r="V8663" s="7"/>
      <c r="X8663" s="7"/>
    </row>
    <row r="8664" spans="2:24">
      <c r="B8664" s="7"/>
      <c r="D8664" s="7"/>
      <c r="F8664" s="7"/>
      <c r="H8664" s="7"/>
      <c r="J8664" s="7"/>
      <c r="L8664" s="7"/>
      <c r="N8664" s="7"/>
      <c r="P8664" s="7"/>
      <c r="R8664" s="7"/>
      <c r="T8664" s="7"/>
      <c r="V8664" s="7"/>
      <c r="X8664" s="7"/>
    </row>
    <row r="8665" spans="2:24">
      <c r="B8665" s="7"/>
      <c r="D8665" s="7"/>
      <c r="F8665" s="7"/>
      <c r="H8665" s="7"/>
      <c r="J8665" s="7"/>
      <c r="L8665" s="7"/>
      <c r="N8665" s="7"/>
      <c r="P8665" s="7"/>
      <c r="R8665" s="7"/>
      <c r="T8665" s="7"/>
      <c r="V8665" s="7"/>
      <c r="X8665" s="7"/>
    </row>
    <row r="8666" spans="2:24">
      <c r="B8666" s="7"/>
      <c r="D8666" s="7"/>
      <c r="F8666" s="7"/>
      <c r="H8666" s="7"/>
      <c r="J8666" s="7"/>
      <c r="L8666" s="7"/>
      <c r="N8666" s="7"/>
      <c r="P8666" s="7"/>
      <c r="R8666" s="7"/>
      <c r="T8666" s="7"/>
      <c r="V8666" s="7"/>
      <c r="X8666" s="7"/>
    </row>
    <row r="8667" spans="2:24">
      <c r="B8667" s="7"/>
      <c r="D8667" s="7"/>
      <c r="F8667" s="7"/>
      <c r="H8667" s="7"/>
      <c r="J8667" s="7"/>
      <c r="L8667" s="7"/>
      <c r="N8667" s="7"/>
      <c r="P8667" s="7"/>
      <c r="R8667" s="7"/>
      <c r="T8667" s="7"/>
      <c r="V8667" s="7"/>
      <c r="X8667" s="7"/>
    </row>
    <row r="8668" spans="2:24">
      <c r="B8668" s="7"/>
      <c r="D8668" s="7"/>
      <c r="F8668" s="7"/>
      <c r="H8668" s="7"/>
      <c r="J8668" s="7"/>
      <c r="L8668" s="7"/>
      <c r="N8668" s="7"/>
      <c r="P8668" s="7"/>
      <c r="R8668" s="7"/>
      <c r="T8668" s="7"/>
      <c r="V8668" s="7"/>
      <c r="X8668" s="7"/>
    </row>
    <row r="8669" spans="2:24">
      <c r="B8669" s="7"/>
      <c r="D8669" s="7"/>
      <c r="F8669" s="7"/>
      <c r="H8669" s="7"/>
      <c r="J8669" s="7"/>
      <c r="L8669" s="7"/>
      <c r="N8669" s="7"/>
      <c r="P8669" s="7"/>
      <c r="R8669" s="7"/>
      <c r="T8669" s="7"/>
      <c r="V8669" s="7"/>
      <c r="X8669" s="7"/>
    </row>
    <row r="8670" spans="2:24">
      <c r="B8670" s="7"/>
      <c r="D8670" s="7"/>
      <c r="F8670" s="7"/>
      <c r="H8670" s="7"/>
      <c r="J8670" s="7"/>
      <c r="L8670" s="7"/>
      <c r="N8670" s="7"/>
      <c r="P8670" s="7"/>
      <c r="R8670" s="7"/>
      <c r="T8670" s="7"/>
      <c r="V8670" s="7"/>
      <c r="X8670" s="7"/>
    </row>
    <row r="8671" spans="2:24">
      <c r="B8671" s="7"/>
      <c r="D8671" s="7"/>
      <c r="F8671" s="7"/>
      <c r="H8671" s="7"/>
      <c r="J8671" s="7"/>
      <c r="L8671" s="7"/>
      <c r="N8671" s="7"/>
      <c r="P8671" s="7"/>
      <c r="R8671" s="7"/>
      <c r="T8671" s="7"/>
      <c r="V8671" s="7"/>
      <c r="X8671" s="7"/>
    </row>
    <row r="8672" spans="2:24">
      <c r="B8672" s="7"/>
      <c r="D8672" s="7"/>
      <c r="F8672" s="7"/>
      <c r="H8672" s="7"/>
      <c r="J8672" s="7"/>
      <c r="L8672" s="7"/>
      <c r="N8672" s="7"/>
      <c r="P8672" s="7"/>
      <c r="R8672" s="7"/>
      <c r="T8672" s="7"/>
      <c r="V8672" s="7"/>
      <c r="X8672" s="7"/>
    </row>
    <row r="8673" spans="2:24">
      <c r="B8673" s="7"/>
      <c r="D8673" s="7"/>
      <c r="F8673" s="7"/>
      <c r="H8673" s="7"/>
      <c r="J8673" s="7"/>
      <c r="L8673" s="7"/>
      <c r="N8673" s="7"/>
      <c r="P8673" s="7"/>
      <c r="R8673" s="7"/>
      <c r="T8673" s="7"/>
      <c r="V8673" s="7"/>
      <c r="X8673" s="7"/>
    </row>
    <row r="8674" spans="2:24">
      <c r="B8674" s="7"/>
      <c r="D8674" s="7"/>
      <c r="F8674" s="7"/>
      <c r="H8674" s="7"/>
      <c r="J8674" s="7"/>
      <c r="L8674" s="7"/>
      <c r="N8674" s="7"/>
      <c r="P8674" s="7"/>
      <c r="R8674" s="7"/>
      <c r="T8674" s="7"/>
      <c r="V8674" s="7"/>
      <c r="X8674" s="7"/>
    </row>
    <row r="8675" spans="2:24">
      <c r="B8675" s="7"/>
      <c r="D8675" s="7"/>
      <c r="F8675" s="7"/>
      <c r="H8675" s="7"/>
      <c r="J8675" s="7"/>
      <c r="L8675" s="7"/>
      <c r="N8675" s="7"/>
      <c r="P8675" s="7"/>
      <c r="R8675" s="7"/>
      <c r="T8675" s="7"/>
      <c r="V8675" s="7"/>
      <c r="X8675" s="7"/>
    </row>
    <row r="8676" spans="2:24">
      <c r="B8676" s="7"/>
      <c r="D8676" s="7"/>
      <c r="F8676" s="7"/>
      <c r="H8676" s="7"/>
      <c r="J8676" s="7"/>
      <c r="L8676" s="7"/>
      <c r="N8676" s="7"/>
      <c r="P8676" s="7"/>
      <c r="R8676" s="7"/>
      <c r="T8676" s="7"/>
      <c r="V8676" s="7"/>
      <c r="X8676" s="7"/>
    </row>
    <row r="8677" spans="2:24">
      <c r="B8677" s="7"/>
      <c r="D8677" s="7"/>
      <c r="F8677" s="7"/>
      <c r="H8677" s="7"/>
      <c r="J8677" s="7"/>
      <c r="L8677" s="7"/>
      <c r="N8677" s="7"/>
      <c r="P8677" s="7"/>
      <c r="R8677" s="7"/>
      <c r="T8677" s="7"/>
      <c r="V8677" s="7"/>
      <c r="X8677" s="7"/>
    </row>
    <row r="8678" spans="2:24">
      <c r="B8678" s="7"/>
      <c r="D8678" s="7"/>
      <c r="F8678" s="7"/>
      <c r="H8678" s="7"/>
      <c r="J8678" s="7"/>
      <c r="L8678" s="7"/>
      <c r="N8678" s="7"/>
      <c r="P8678" s="7"/>
      <c r="R8678" s="7"/>
      <c r="T8678" s="7"/>
      <c r="V8678" s="7"/>
      <c r="X8678" s="7"/>
    </row>
    <row r="8679" spans="2:24">
      <c r="B8679" s="7"/>
      <c r="D8679" s="7"/>
      <c r="F8679" s="7"/>
      <c r="H8679" s="7"/>
      <c r="J8679" s="7"/>
      <c r="L8679" s="7"/>
      <c r="N8679" s="7"/>
      <c r="P8679" s="7"/>
      <c r="R8679" s="7"/>
      <c r="T8679" s="7"/>
      <c r="V8679" s="7"/>
      <c r="X8679" s="7"/>
    </row>
    <row r="8680" spans="2:24">
      <c r="B8680" s="7"/>
      <c r="D8680" s="7"/>
      <c r="F8680" s="7"/>
      <c r="H8680" s="7"/>
      <c r="J8680" s="7"/>
      <c r="L8680" s="7"/>
      <c r="N8680" s="7"/>
      <c r="P8680" s="7"/>
      <c r="R8680" s="7"/>
      <c r="T8680" s="7"/>
      <c r="V8680" s="7"/>
      <c r="X8680" s="7"/>
    </row>
    <row r="8681" spans="2:24">
      <c r="B8681" s="7"/>
      <c r="D8681" s="7"/>
      <c r="F8681" s="7"/>
      <c r="H8681" s="7"/>
      <c r="J8681" s="7"/>
      <c r="L8681" s="7"/>
      <c r="N8681" s="7"/>
      <c r="P8681" s="7"/>
      <c r="R8681" s="7"/>
      <c r="T8681" s="7"/>
      <c r="V8681" s="7"/>
      <c r="X8681" s="7"/>
    </row>
    <row r="8682" spans="2:24">
      <c r="B8682" s="7"/>
      <c r="D8682" s="7"/>
      <c r="F8682" s="7"/>
      <c r="H8682" s="7"/>
      <c r="J8682" s="7"/>
      <c r="L8682" s="7"/>
      <c r="N8682" s="7"/>
      <c r="P8682" s="7"/>
      <c r="R8682" s="7"/>
      <c r="T8682" s="7"/>
      <c r="V8682" s="7"/>
      <c r="X8682" s="7"/>
    </row>
    <row r="8683" spans="2:24">
      <c r="B8683" s="7"/>
      <c r="D8683" s="7"/>
      <c r="F8683" s="7"/>
      <c r="H8683" s="7"/>
      <c r="J8683" s="7"/>
      <c r="L8683" s="7"/>
      <c r="N8683" s="7"/>
      <c r="P8683" s="7"/>
      <c r="R8683" s="7"/>
      <c r="T8683" s="7"/>
      <c r="V8683" s="7"/>
      <c r="X8683" s="7"/>
    </row>
    <row r="8684" spans="2:24">
      <c r="B8684" s="7"/>
      <c r="D8684" s="7"/>
      <c r="F8684" s="7"/>
      <c r="H8684" s="7"/>
      <c r="J8684" s="7"/>
      <c r="L8684" s="7"/>
      <c r="N8684" s="7"/>
      <c r="P8684" s="7"/>
      <c r="R8684" s="7"/>
      <c r="T8684" s="7"/>
      <c r="V8684" s="7"/>
      <c r="X8684" s="7"/>
    </row>
    <row r="8685" spans="2:24">
      <c r="B8685" s="7"/>
      <c r="D8685" s="7"/>
      <c r="F8685" s="7"/>
      <c r="H8685" s="7"/>
      <c r="J8685" s="7"/>
      <c r="L8685" s="7"/>
      <c r="N8685" s="7"/>
      <c r="P8685" s="7"/>
      <c r="R8685" s="7"/>
      <c r="T8685" s="7"/>
      <c r="V8685" s="7"/>
      <c r="X8685" s="7"/>
    </row>
    <row r="8686" spans="2:24">
      <c r="B8686" s="7"/>
      <c r="D8686" s="7"/>
      <c r="F8686" s="7"/>
      <c r="H8686" s="7"/>
      <c r="J8686" s="7"/>
      <c r="L8686" s="7"/>
      <c r="N8686" s="7"/>
      <c r="P8686" s="7"/>
      <c r="R8686" s="7"/>
      <c r="T8686" s="7"/>
      <c r="V8686" s="7"/>
      <c r="X8686" s="7"/>
    </row>
    <row r="8687" spans="2:24">
      <c r="B8687" s="7"/>
      <c r="D8687" s="7"/>
      <c r="F8687" s="7"/>
      <c r="H8687" s="7"/>
      <c r="J8687" s="7"/>
      <c r="L8687" s="7"/>
      <c r="N8687" s="7"/>
      <c r="P8687" s="7"/>
      <c r="R8687" s="7"/>
      <c r="T8687" s="7"/>
      <c r="V8687" s="7"/>
      <c r="X8687" s="7"/>
    </row>
    <row r="8688" spans="2:24">
      <c r="B8688" s="7"/>
      <c r="D8688" s="7"/>
      <c r="F8688" s="7"/>
      <c r="H8688" s="7"/>
      <c r="J8688" s="7"/>
      <c r="L8688" s="7"/>
      <c r="N8688" s="7"/>
      <c r="P8688" s="7"/>
      <c r="R8688" s="7"/>
      <c r="T8688" s="7"/>
      <c r="V8688" s="7"/>
      <c r="X8688" s="7"/>
    </row>
    <row r="8689" spans="2:24">
      <c r="B8689" s="7"/>
      <c r="D8689" s="7"/>
      <c r="F8689" s="7"/>
      <c r="H8689" s="7"/>
      <c r="J8689" s="7"/>
      <c r="L8689" s="7"/>
      <c r="N8689" s="7"/>
      <c r="P8689" s="7"/>
      <c r="R8689" s="7"/>
      <c r="T8689" s="7"/>
      <c r="V8689" s="7"/>
      <c r="X8689" s="7"/>
    </row>
    <row r="8690" spans="2:24">
      <c r="B8690" s="7"/>
      <c r="D8690" s="7"/>
      <c r="F8690" s="7"/>
      <c r="H8690" s="7"/>
      <c r="J8690" s="7"/>
      <c r="L8690" s="7"/>
      <c r="N8690" s="7"/>
      <c r="P8690" s="7"/>
      <c r="R8690" s="7"/>
      <c r="T8690" s="7"/>
      <c r="V8690" s="7"/>
      <c r="X8690" s="7"/>
    </row>
    <row r="8691" spans="2:24">
      <c r="B8691" s="7"/>
      <c r="D8691" s="7"/>
      <c r="F8691" s="7"/>
      <c r="H8691" s="7"/>
      <c r="J8691" s="7"/>
      <c r="L8691" s="7"/>
      <c r="N8691" s="7"/>
      <c r="P8691" s="7"/>
      <c r="R8691" s="7"/>
      <c r="T8691" s="7"/>
      <c r="V8691" s="7"/>
      <c r="X8691" s="7"/>
    </row>
    <row r="8692" spans="2:24">
      <c r="B8692" s="7"/>
      <c r="D8692" s="7"/>
      <c r="F8692" s="7"/>
      <c r="H8692" s="7"/>
      <c r="J8692" s="7"/>
      <c r="L8692" s="7"/>
      <c r="N8692" s="7"/>
      <c r="P8692" s="7"/>
      <c r="R8692" s="7"/>
      <c r="T8692" s="7"/>
      <c r="V8692" s="7"/>
      <c r="X8692" s="7"/>
    </row>
    <row r="8693" spans="2:24">
      <c r="B8693" s="7"/>
      <c r="D8693" s="7"/>
      <c r="F8693" s="7"/>
      <c r="H8693" s="7"/>
      <c r="J8693" s="7"/>
      <c r="L8693" s="7"/>
      <c r="N8693" s="7"/>
      <c r="P8693" s="7"/>
      <c r="R8693" s="7"/>
      <c r="T8693" s="7"/>
      <c r="V8693" s="7"/>
      <c r="X8693" s="7"/>
    </row>
    <row r="8694" spans="2:24">
      <c r="B8694" s="7"/>
      <c r="D8694" s="7"/>
      <c r="F8694" s="7"/>
      <c r="H8694" s="7"/>
      <c r="J8694" s="7"/>
      <c r="L8694" s="7"/>
      <c r="N8694" s="7"/>
      <c r="P8694" s="7"/>
      <c r="R8694" s="7"/>
      <c r="T8694" s="7"/>
      <c r="V8694" s="7"/>
      <c r="X8694" s="7"/>
    </row>
    <row r="8695" spans="2:24">
      <c r="B8695" s="7"/>
      <c r="D8695" s="7"/>
      <c r="F8695" s="7"/>
      <c r="H8695" s="7"/>
      <c r="J8695" s="7"/>
      <c r="L8695" s="7"/>
      <c r="N8695" s="7"/>
      <c r="P8695" s="7"/>
      <c r="R8695" s="7"/>
      <c r="T8695" s="7"/>
      <c r="V8695" s="7"/>
      <c r="X8695" s="7"/>
    </row>
    <row r="8696" spans="2:24">
      <c r="B8696" s="7"/>
      <c r="D8696" s="7"/>
      <c r="F8696" s="7"/>
      <c r="H8696" s="7"/>
      <c r="J8696" s="7"/>
      <c r="L8696" s="7"/>
      <c r="N8696" s="7"/>
      <c r="P8696" s="7"/>
      <c r="R8696" s="7"/>
      <c r="T8696" s="7"/>
      <c r="V8696" s="7"/>
      <c r="X8696" s="7"/>
    </row>
    <row r="8697" spans="2:24">
      <c r="B8697" s="7"/>
      <c r="D8697" s="7"/>
      <c r="F8697" s="7"/>
      <c r="H8697" s="7"/>
      <c r="J8697" s="7"/>
      <c r="L8697" s="7"/>
      <c r="N8697" s="7"/>
      <c r="P8697" s="7"/>
      <c r="R8697" s="7"/>
      <c r="T8697" s="7"/>
      <c r="V8697" s="7"/>
      <c r="X8697" s="7"/>
    </row>
    <row r="8698" spans="2:24">
      <c r="B8698" s="7"/>
      <c r="D8698" s="7"/>
      <c r="F8698" s="7"/>
      <c r="H8698" s="7"/>
      <c r="J8698" s="7"/>
      <c r="L8698" s="7"/>
      <c r="N8698" s="7"/>
      <c r="P8698" s="7"/>
      <c r="R8698" s="7"/>
      <c r="T8698" s="7"/>
      <c r="V8698" s="7"/>
      <c r="X8698" s="7"/>
    </row>
    <row r="8699" spans="2:24">
      <c r="B8699" s="7"/>
      <c r="D8699" s="7"/>
      <c r="F8699" s="7"/>
      <c r="H8699" s="7"/>
      <c r="J8699" s="7"/>
      <c r="L8699" s="7"/>
      <c r="N8699" s="7"/>
      <c r="P8699" s="7"/>
      <c r="R8699" s="7"/>
      <c r="T8699" s="7"/>
      <c r="V8699" s="7"/>
      <c r="X8699" s="7"/>
    </row>
    <row r="8700" spans="2:24">
      <c r="B8700" s="7"/>
      <c r="D8700" s="7"/>
      <c r="F8700" s="7"/>
      <c r="H8700" s="7"/>
      <c r="J8700" s="7"/>
      <c r="L8700" s="7"/>
      <c r="N8700" s="7"/>
      <c r="P8700" s="7"/>
      <c r="R8700" s="7"/>
      <c r="T8700" s="7"/>
      <c r="V8700" s="7"/>
      <c r="X8700" s="7"/>
    </row>
    <row r="8701" spans="2:24">
      <c r="B8701" s="7"/>
      <c r="D8701" s="7"/>
      <c r="F8701" s="7"/>
      <c r="H8701" s="7"/>
      <c r="J8701" s="7"/>
      <c r="L8701" s="7"/>
      <c r="N8701" s="7"/>
      <c r="P8701" s="7"/>
      <c r="R8701" s="7"/>
      <c r="T8701" s="7"/>
      <c r="V8701" s="7"/>
      <c r="X8701" s="7"/>
    </row>
    <row r="8702" spans="2:24">
      <c r="B8702" s="7"/>
      <c r="D8702" s="7"/>
      <c r="F8702" s="7"/>
      <c r="H8702" s="7"/>
      <c r="J8702" s="7"/>
      <c r="L8702" s="7"/>
      <c r="N8702" s="7"/>
      <c r="P8702" s="7"/>
      <c r="R8702" s="7"/>
      <c r="T8702" s="7"/>
      <c r="V8702" s="7"/>
      <c r="X8702" s="7"/>
    </row>
    <row r="8703" spans="2:24">
      <c r="B8703" s="7"/>
      <c r="D8703" s="7"/>
      <c r="F8703" s="7"/>
      <c r="H8703" s="7"/>
      <c r="J8703" s="7"/>
      <c r="L8703" s="7"/>
      <c r="N8703" s="7"/>
      <c r="P8703" s="7"/>
      <c r="R8703" s="7"/>
      <c r="T8703" s="7"/>
      <c r="V8703" s="7"/>
      <c r="X8703" s="7"/>
    </row>
    <row r="8704" spans="2:24">
      <c r="B8704" s="7"/>
      <c r="D8704" s="7"/>
      <c r="F8704" s="7"/>
      <c r="H8704" s="7"/>
      <c r="J8704" s="7"/>
      <c r="L8704" s="7"/>
      <c r="N8704" s="7"/>
      <c r="P8704" s="7"/>
      <c r="R8704" s="7"/>
      <c r="T8704" s="7"/>
      <c r="V8704" s="7"/>
      <c r="X8704" s="7"/>
    </row>
    <row r="8705" spans="2:24">
      <c r="B8705" s="7"/>
      <c r="D8705" s="7"/>
      <c r="F8705" s="7"/>
      <c r="H8705" s="7"/>
      <c r="J8705" s="7"/>
      <c r="L8705" s="7"/>
      <c r="N8705" s="7"/>
      <c r="P8705" s="7"/>
      <c r="R8705" s="7"/>
      <c r="T8705" s="7"/>
      <c r="V8705" s="7"/>
      <c r="X8705" s="7"/>
    </row>
    <row r="8706" spans="2:24">
      <c r="B8706" s="7"/>
      <c r="D8706" s="7"/>
      <c r="F8706" s="7"/>
      <c r="H8706" s="7"/>
      <c r="J8706" s="7"/>
      <c r="L8706" s="7"/>
      <c r="N8706" s="7"/>
      <c r="P8706" s="7"/>
      <c r="R8706" s="7"/>
      <c r="T8706" s="7"/>
      <c r="V8706" s="7"/>
      <c r="X8706" s="7"/>
    </row>
    <row r="8707" spans="2:24">
      <c r="B8707" s="7"/>
      <c r="D8707" s="7"/>
      <c r="F8707" s="7"/>
      <c r="H8707" s="7"/>
      <c r="J8707" s="7"/>
      <c r="L8707" s="7"/>
      <c r="N8707" s="7"/>
      <c r="P8707" s="7"/>
      <c r="R8707" s="7"/>
      <c r="T8707" s="7"/>
      <c r="V8707" s="7"/>
      <c r="X8707" s="7"/>
    </row>
    <row r="8708" spans="2:24">
      <c r="B8708" s="7"/>
      <c r="D8708" s="7"/>
      <c r="F8708" s="7"/>
      <c r="H8708" s="7"/>
      <c r="J8708" s="7"/>
      <c r="L8708" s="7"/>
      <c r="N8708" s="7"/>
      <c r="P8708" s="7"/>
      <c r="R8708" s="7"/>
      <c r="T8708" s="7"/>
      <c r="V8708" s="7"/>
      <c r="X8708" s="7"/>
    </row>
    <row r="8709" spans="2:24">
      <c r="B8709" s="7"/>
      <c r="D8709" s="7"/>
      <c r="F8709" s="7"/>
      <c r="H8709" s="7"/>
      <c r="J8709" s="7"/>
      <c r="L8709" s="7"/>
      <c r="N8709" s="7"/>
      <c r="P8709" s="7"/>
      <c r="R8709" s="7"/>
      <c r="T8709" s="7"/>
      <c r="V8709" s="7"/>
      <c r="X8709" s="7"/>
    </row>
    <row r="8710" spans="2:24">
      <c r="B8710" s="7"/>
      <c r="D8710" s="7"/>
      <c r="F8710" s="7"/>
      <c r="H8710" s="7"/>
      <c r="J8710" s="7"/>
      <c r="L8710" s="7"/>
      <c r="N8710" s="7"/>
      <c r="P8710" s="7"/>
      <c r="R8710" s="7"/>
      <c r="T8710" s="7"/>
      <c r="V8710" s="7"/>
      <c r="X8710" s="7"/>
    </row>
    <row r="8711" spans="2:24">
      <c r="B8711" s="7"/>
      <c r="D8711" s="7"/>
      <c r="F8711" s="7"/>
      <c r="H8711" s="7"/>
      <c r="J8711" s="7"/>
      <c r="L8711" s="7"/>
      <c r="N8711" s="7"/>
      <c r="P8711" s="7"/>
      <c r="R8711" s="7"/>
      <c r="T8711" s="7"/>
      <c r="V8711" s="7"/>
      <c r="X8711" s="7"/>
    </row>
    <row r="8712" spans="2:24">
      <c r="B8712" s="7"/>
      <c r="D8712" s="7"/>
      <c r="F8712" s="7"/>
      <c r="H8712" s="7"/>
      <c r="J8712" s="7"/>
      <c r="L8712" s="7"/>
      <c r="N8712" s="7"/>
      <c r="P8712" s="7"/>
      <c r="R8712" s="7"/>
      <c r="T8712" s="7"/>
      <c r="V8712" s="7"/>
      <c r="X8712" s="7"/>
    </row>
    <row r="8713" spans="2:24">
      <c r="B8713" s="7"/>
      <c r="D8713" s="7"/>
      <c r="F8713" s="7"/>
      <c r="H8713" s="7"/>
      <c r="J8713" s="7"/>
      <c r="L8713" s="7"/>
      <c r="N8713" s="7"/>
      <c r="P8713" s="7"/>
      <c r="R8713" s="7"/>
      <c r="T8713" s="7"/>
      <c r="V8713" s="7"/>
      <c r="X8713" s="7"/>
    </row>
    <row r="8714" spans="2:24">
      <c r="B8714" s="7"/>
      <c r="D8714" s="7"/>
      <c r="F8714" s="7"/>
      <c r="H8714" s="7"/>
      <c r="J8714" s="7"/>
      <c r="L8714" s="7"/>
      <c r="N8714" s="7"/>
      <c r="P8714" s="7"/>
      <c r="R8714" s="7"/>
      <c r="T8714" s="7"/>
      <c r="V8714" s="7"/>
      <c r="X8714" s="7"/>
    </row>
    <row r="8715" spans="2:24">
      <c r="B8715" s="7"/>
      <c r="D8715" s="7"/>
      <c r="F8715" s="7"/>
      <c r="H8715" s="7"/>
      <c r="J8715" s="7"/>
      <c r="L8715" s="7"/>
      <c r="N8715" s="7"/>
      <c r="P8715" s="7"/>
      <c r="R8715" s="7"/>
      <c r="T8715" s="7"/>
      <c r="V8715" s="7"/>
      <c r="X8715" s="7"/>
    </row>
    <row r="8716" spans="2:24">
      <c r="B8716" s="7"/>
      <c r="D8716" s="7"/>
      <c r="F8716" s="7"/>
      <c r="H8716" s="7"/>
      <c r="J8716" s="7"/>
      <c r="L8716" s="7"/>
      <c r="N8716" s="7"/>
      <c r="P8716" s="7"/>
      <c r="R8716" s="7"/>
      <c r="T8716" s="7"/>
      <c r="V8716" s="7"/>
      <c r="X8716" s="7"/>
    </row>
    <row r="8717" spans="2:24">
      <c r="B8717" s="7"/>
      <c r="D8717" s="7"/>
      <c r="F8717" s="7"/>
      <c r="H8717" s="7"/>
      <c r="J8717" s="7"/>
      <c r="L8717" s="7"/>
      <c r="N8717" s="7"/>
      <c r="P8717" s="7"/>
      <c r="R8717" s="7"/>
      <c r="T8717" s="7"/>
      <c r="V8717" s="7"/>
      <c r="X8717" s="7"/>
    </row>
    <row r="8718" spans="2:24">
      <c r="B8718" s="7"/>
      <c r="D8718" s="7"/>
      <c r="F8718" s="7"/>
      <c r="H8718" s="7"/>
      <c r="J8718" s="7"/>
      <c r="L8718" s="7"/>
      <c r="N8718" s="7"/>
      <c r="P8718" s="7"/>
      <c r="R8718" s="7"/>
      <c r="T8718" s="7"/>
      <c r="V8718" s="7"/>
      <c r="X8718" s="7"/>
    </row>
    <row r="8719" spans="2:24">
      <c r="B8719" s="7"/>
      <c r="D8719" s="7"/>
      <c r="F8719" s="7"/>
      <c r="H8719" s="7"/>
      <c r="J8719" s="7"/>
      <c r="L8719" s="7"/>
      <c r="N8719" s="7"/>
      <c r="P8719" s="7"/>
      <c r="R8719" s="7"/>
      <c r="T8719" s="7"/>
      <c r="V8719" s="7"/>
      <c r="X8719" s="7"/>
    </row>
    <row r="8720" spans="2:24">
      <c r="B8720" s="7"/>
      <c r="D8720" s="7"/>
      <c r="F8720" s="7"/>
      <c r="H8720" s="7"/>
      <c r="J8720" s="7"/>
      <c r="L8720" s="7"/>
      <c r="N8720" s="7"/>
      <c r="P8720" s="7"/>
      <c r="R8720" s="7"/>
      <c r="T8720" s="7"/>
      <c r="V8720" s="7"/>
      <c r="X8720" s="7"/>
    </row>
    <row r="8721" spans="2:24">
      <c r="B8721" s="7"/>
      <c r="D8721" s="7"/>
      <c r="F8721" s="7"/>
      <c r="H8721" s="7"/>
      <c r="J8721" s="7"/>
      <c r="L8721" s="7"/>
      <c r="N8721" s="7"/>
      <c r="P8721" s="7"/>
      <c r="R8721" s="7"/>
      <c r="T8721" s="7"/>
      <c r="V8721" s="7"/>
      <c r="X8721" s="7"/>
    </row>
    <row r="8722" spans="2:24">
      <c r="B8722" s="7"/>
      <c r="D8722" s="7"/>
      <c r="F8722" s="7"/>
      <c r="H8722" s="7"/>
      <c r="J8722" s="7"/>
      <c r="L8722" s="7"/>
      <c r="N8722" s="7"/>
      <c r="P8722" s="7"/>
      <c r="R8722" s="7"/>
      <c r="T8722" s="7"/>
      <c r="V8722" s="7"/>
      <c r="X8722" s="7"/>
    </row>
    <row r="8723" spans="2:24">
      <c r="B8723" s="7"/>
      <c r="D8723" s="7"/>
      <c r="F8723" s="7"/>
      <c r="H8723" s="7"/>
      <c r="J8723" s="7"/>
      <c r="L8723" s="7"/>
      <c r="N8723" s="7"/>
      <c r="P8723" s="7"/>
      <c r="R8723" s="7"/>
      <c r="T8723" s="7"/>
      <c r="V8723" s="7"/>
      <c r="X8723" s="7"/>
    </row>
    <row r="8724" spans="2:24">
      <c r="B8724" s="7"/>
      <c r="D8724" s="7"/>
      <c r="F8724" s="7"/>
      <c r="H8724" s="7"/>
      <c r="J8724" s="7"/>
      <c r="L8724" s="7"/>
      <c r="N8724" s="7"/>
      <c r="P8724" s="7"/>
      <c r="R8724" s="7"/>
      <c r="T8724" s="7"/>
      <c r="V8724" s="7"/>
      <c r="X8724" s="7"/>
    </row>
    <row r="8725" spans="2:24">
      <c r="B8725" s="7"/>
      <c r="D8725" s="7"/>
      <c r="F8725" s="7"/>
      <c r="H8725" s="7"/>
      <c r="J8725" s="7"/>
      <c r="L8725" s="7"/>
      <c r="N8725" s="7"/>
      <c r="P8725" s="7"/>
      <c r="R8725" s="7"/>
      <c r="T8725" s="7"/>
      <c r="V8725" s="7"/>
      <c r="X8725" s="7"/>
    </row>
    <row r="8726" spans="2:24">
      <c r="B8726" s="7"/>
      <c r="D8726" s="7"/>
      <c r="F8726" s="7"/>
      <c r="H8726" s="7"/>
      <c r="J8726" s="7"/>
      <c r="L8726" s="7"/>
      <c r="N8726" s="7"/>
      <c r="P8726" s="7"/>
      <c r="R8726" s="7"/>
      <c r="T8726" s="7"/>
      <c r="V8726" s="7"/>
      <c r="X8726" s="7"/>
    </row>
    <row r="8727" spans="2:24">
      <c r="B8727" s="7"/>
      <c r="D8727" s="7"/>
      <c r="F8727" s="7"/>
      <c r="H8727" s="7"/>
      <c r="J8727" s="7"/>
      <c r="L8727" s="7"/>
      <c r="N8727" s="7"/>
      <c r="P8727" s="7"/>
      <c r="R8727" s="7"/>
      <c r="T8727" s="7"/>
      <c r="V8727" s="7"/>
      <c r="X8727" s="7"/>
    </row>
    <row r="8728" spans="2:24">
      <c r="B8728" s="7"/>
      <c r="D8728" s="7"/>
      <c r="F8728" s="7"/>
      <c r="H8728" s="7"/>
      <c r="J8728" s="7"/>
      <c r="L8728" s="7"/>
      <c r="N8728" s="7"/>
      <c r="P8728" s="7"/>
      <c r="R8728" s="7"/>
      <c r="T8728" s="7"/>
      <c r="V8728" s="7"/>
      <c r="X8728" s="7"/>
    </row>
    <row r="8729" spans="2:24">
      <c r="B8729" s="7"/>
      <c r="D8729" s="7"/>
      <c r="F8729" s="7"/>
      <c r="H8729" s="7"/>
      <c r="J8729" s="7"/>
      <c r="L8729" s="7"/>
      <c r="N8729" s="7"/>
      <c r="P8729" s="7"/>
      <c r="R8729" s="7"/>
      <c r="T8729" s="7"/>
      <c r="V8729" s="7"/>
      <c r="X8729" s="7"/>
    </row>
    <row r="8730" spans="2:24">
      <c r="B8730" s="7"/>
      <c r="D8730" s="7"/>
      <c r="F8730" s="7"/>
      <c r="H8730" s="7"/>
      <c r="J8730" s="7"/>
      <c r="L8730" s="7"/>
      <c r="N8730" s="7"/>
      <c r="P8730" s="7"/>
      <c r="R8730" s="7"/>
      <c r="T8730" s="7"/>
      <c r="V8730" s="7"/>
      <c r="X8730" s="7"/>
    </row>
    <row r="8731" spans="2:24">
      <c r="B8731" s="7"/>
      <c r="D8731" s="7"/>
      <c r="F8731" s="7"/>
      <c r="H8731" s="7"/>
      <c r="J8731" s="7"/>
      <c r="L8731" s="7"/>
      <c r="N8731" s="7"/>
      <c r="P8731" s="7"/>
      <c r="R8731" s="7"/>
      <c r="T8731" s="7"/>
      <c r="V8731" s="7"/>
      <c r="X8731" s="7"/>
    </row>
    <row r="8732" spans="2:24">
      <c r="B8732" s="7"/>
      <c r="D8732" s="7"/>
      <c r="F8732" s="7"/>
      <c r="H8732" s="7"/>
      <c r="J8732" s="7"/>
      <c r="L8732" s="7"/>
      <c r="N8732" s="7"/>
      <c r="P8732" s="7"/>
      <c r="R8732" s="7"/>
      <c r="T8732" s="7"/>
      <c r="V8732" s="7"/>
      <c r="X8732" s="7"/>
    </row>
    <row r="8733" spans="2:24">
      <c r="B8733" s="7"/>
      <c r="D8733" s="7"/>
      <c r="F8733" s="7"/>
      <c r="H8733" s="7"/>
      <c r="J8733" s="7"/>
      <c r="L8733" s="7"/>
      <c r="N8733" s="7"/>
      <c r="P8733" s="7"/>
      <c r="R8733" s="7"/>
      <c r="T8733" s="7"/>
      <c r="V8733" s="7"/>
      <c r="X8733" s="7"/>
    </row>
    <row r="8734" spans="2:24">
      <c r="B8734" s="7"/>
      <c r="D8734" s="7"/>
      <c r="F8734" s="7"/>
      <c r="H8734" s="7"/>
      <c r="J8734" s="7"/>
      <c r="L8734" s="7"/>
      <c r="N8734" s="7"/>
      <c r="P8734" s="7"/>
      <c r="R8734" s="7"/>
      <c r="T8734" s="7"/>
      <c r="V8734" s="7"/>
      <c r="X8734" s="7"/>
    </row>
    <row r="8735" spans="2:24">
      <c r="B8735" s="7"/>
      <c r="D8735" s="7"/>
      <c r="F8735" s="7"/>
      <c r="H8735" s="7"/>
      <c r="J8735" s="7"/>
      <c r="L8735" s="7"/>
      <c r="N8735" s="7"/>
      <c r="P8735" s="7"/>
      <c r="R8735" s="7"/>
      <c r="T8735" s="7"/>
      <c r="V8735" s="7"/>
      <c r="X8735" s="7"/>
    </row>
    <row r="8736" spans="2:24">
      <c r="B8736" s="7"/>
      <c r="D8736" s="7"/>
      <c r="F8736" s="7"/>
      <c r="H8736" s="7"/>
      <c r="J8736" s="7"/>
      <c r="L8736" s="7"/>
      <c r="N8736" s="7"/>
      <c r="P8736" s="7"/>
      <c r="R8736" s="7"/>
      <c r="T8736" s="7"/>
      <c r="V8736" s="7"/>
      <c r="X8736" s="7"/>
    </row>
    <row r="8737" spans="2:24">
      <c r="B8737" s="7"/>
      <c r="D8737" s="7"/>
      <c r="F8737" s="7"/>
      <c r="H8737" s="7"/>
      <c r="J8737" s="7"/>
      <c r="L8737" s="7"/>
      <c r="N8737" s="7"/>
      <c r="P8737" s="7"/>
      <c r="R8737" s="7"/>
      <c r="T8737" s="7"/>
      <c r="V8737" s="7"/>
      <c r="X8737" s="7"/>
    </row>
    <row r="8738" spans="2:24">
      <c r="B8738" s="7"/>
      <c r="D8738" s="7"/>
      <c r="F8738" s="7"/>
      <c r="H8738" s="7"/>
      <c r="J8738" s="7"/>
      <c r="L8738" s="7"/>
      <c r="N8738" s="7"/>
      <c r="P8738" s="7"/>
      <c r="R8738" s="7"/>
      <c r="T8738" s="7"/>
      <c r="V8738" s="7"/>
      <c r="X8738" s="7"/>
    </row>
    <row r="8739" spans="2:24">
      <c r="B8739" s="7"/>
      <c r="D8739" s="7"/>
      <c r="F8739" s="7"/>
      <c r="H8739" s="7"/>
      <c r="J8739" s="7"/>
      <c r="L8739" s="7"/>
      <c r="N8739" s="7"/>
      <c r="P8739" s="7"/>
      <c r="R8739" s="7"/>
      <c r="T8739" s="7"/>
      <c r="V8739" s="7"/>
      <c r="X8739" s="7"/>
    </row>
    <row r="8740" spans="2:24">
      <c r="B8740" s="7"/>
      <c r="D8740" s="7"/>
      <c r="F8740" s="7"/>
      <c r="H8740" s="7"/>
      <c r="J8740" s="7"/>
      <c r="L8740" s="7"/>
      <c r="N8740" s="7"/>
      <c r="P8740" s="7"/>
      <c r="R8740" s="7"/>
      <c r="T8740" s="7"/>
      <c r="V8740" s="7"/>
      <c r="X8740" s="7"/>
    </row>
    <row r="8741" spans="2:24">
      <c r="B8741" s="7"/>
      <c r="D8741" s="7"/>
      <c r="F8741" s="7"/>
      <c r="H8741" s="7"/>
      <c r="J8741" s="7"/>
      <c r="L8741" s="7"/>
      <c r="N8741" s="7"/>
      <c r="P8741" s="7"/>
      <c r="R8741" s="7"/>
      <c r="T8741" s="7"/>
      <c r="V8741" s="7"/>
      <c r="X8741" s="7"/>
    </row>
    <row r="8742" spans="2:24">
      <c r="B8742" s="7"/>
      <c r="D8742" s="7"/>
      <c r="F8742" s="7"/>
      <c r="H8742" s="7"/>
      <c r="J8742" s="7"/>
      <c r="L8742" s="7"/>
      <c r="N8742" s="7"/>
      <c r="P8742" s="7"/>
      <c r="R8742" s="7"/>
      <c r="T8742" s="7"/>
      <c r="V8742" s="7"/>
      <c r="X8742" s="7"/>
    </row>
    <row r="8743" spans="2:24">
      <c r="B8743" s="7"/>
      <c r="D8743" s="7"/>
      <c r="F8743" s="7"/>
      <c r="H8743" s="7"/>
      <c r="J8743" s="7"/>
      <c r="L8743" s="7"/>
      <c r="N8743" s="7"/>
      <c r="P8743" s="7"/>
      <c r="R8743" s="7"/>
      <c r="T8743" s="7"/>
      <c r="V8743" s="7"/>
      <c r="X8743" s="7"/>
    </row>
    <row r="8744" spans="2:24">
      <c r="B8744" s="7"/>
      <c r="D8744" s="7"/>
      <c r="F8744" s="7"/>
      <c r="H8744" s="7"/>
      <c r="J8744" s="7"/>
      <c r="L8744" s="7"/>
      <c r="N8744" s="7"/>
      <c r="P8744" s="7"/>
      <c r="R8744" s="7"/>
      <c r="T8744" s="7"/>
      <c r="V8744" s="7"/>
      <c r="X8744" s="7"/>
    </row>
    <row r="8745" spans="2:24">
      <c r="B8745" s="7"/>
      <c r="D8745" s="7"/>
      <c r="F8745" s="7"/>
      <c r="H8745" s="7"/>
      <c r="J8745" s="7"/>
      <c r="L8745" s="7"/>
      <c r="N8745" s="7"/>
      <c r="P8745" s="7"/>
      <c r="R8745" s="7"/>
      <c r="T8745" s="7"/>
      <c r="V8745" s="7"/>
      <c r="X8745" s="7"/>
    </row>
    <row r="8746" spans="2:24">
      <c r="B8746" s="7"/>
      <c r="D8746" s="7"/>
      <c r="F8746" s="7"/>
      <c r="H8746" s="7"/>
      <c r="J8746" s="7"/>
      <c r="L8746" s="7"/>
      <c r="N8746" s="7"/>
      <c r="P8746" s="7"/>
      <c r="R8746" s="7"/>
      <c r="T8746" s="7"/>
      <c r="V8746" s="7"/>
      <c r="X8746" s="7"/>
    </row>
    <row r="8747" spans="2:24">
      <c r="B8747" s="7"/>
      <c r="D8747" s="7"/>
      <c r="F8747" s="7"/>
      <c r="H8747" s="7"/>
      <c r="J8747" s="7"/>
      <c r="L8747" s="7"/>
      <c r="N8747" s="7"/>
      <c r="P8747" s="7"/>
      <c r="R8747" s="7"/>
      <c r="T8747" s="7"/>
      <c r="V8747" s="7"/>
      <c r="X8747" s="7"/>
    </row>
    <row r="8748" spans="2:24">
      <c r="B8748" s="7"/>
      <c r="D8748" s="7"/>
      <c r="F8748" s="7"/>
      <c r="H8748" s="7"/>
      <c r="J8748" s="7"/>
      <c r="L8748" s="7"/>
      <c r="N8748" s="7"/>
      <c r="P8748" s="7"/>
      <c r="R8748" s="7"/>
      <c r="T8748" s="7"/>
      <c r="V8748" s="7"/>
      <c r="X8748" s="7"/>
    </row>
    <row r="8749" spans="2:24">
      <c r="B8749" s="7"/>
      <c r="D8749" s="7"/>
      <c r="F8749" s="7"/>
      <c r="H8749" s="7"/>
      <c r="J8749" s="7"/>
      <c r="L8749" s="7"/>
      <c r="N8749" s="7"/>
      <c r="P8749" s="7"/>
      <c r="R8749" s="7"/>
      <c r="T8749" s="7"/>
      <c r="V8749" s="7"/>
      <c r="X8749" s="7"/>
    </row>
    <row r="8750" spans="2:24">
      <c r="B8750" s="7"/>
      <c r="D8750" s="7"/>
      <c r="F8750" s="7"/>
      <c r="H8750" s="7"/>
      <c r="J8750" s="7"/>
      <c r="L8750" s="7"/>
      <c r="N8750" s="7"/>
      <c r="P8750" s="7"/>
      <c r="R8750" s="7"/>
      <c r="T8750" s="7"/>
      <c r="V8750" s="7"/>
      <c r="X8750" s="7"/>
    </row>
    <row r="8751" spans="2:24">
      <c r="B8751" s="7"/>
      <c r="D8751" s="7"/>
      <c r="F8751" s="7"/>
      <c r="H8751" s="7"/>
      <c r="J8751" s="7"/>
      <c r="L8751" s="7"/>
      <c r="N8751" s="7"/>
      <c r="P8751" s="7"/>
      <c r="R8751" s="7"/>
      <c r="T8751" s="7"/>
      <c r="V8751" s="7"/>
      <c r="X8751" s="7"/>
    </row>
    <row r="8752" spans="2:24">
      <c r="B8752" s="7"/>
      <c r="D8752" s="7"/>
      <c r="F8752" s="7"/>
      <c r="H8752" s="7"/>
      <c r="J8752" s="7"/>
      <c r="L8752" s="7"/>
      <c r="N8752" s="7"/>
      <c r="P8752" s="7"/>
      <c r="R8752" s="7"/>
      <c r="T8752" s="7"/>
      <c r="V8752" s="7"/>
      <c r="X8752" s="7"/>
    </row>
    <row r="8753" spans="2:24">
      <c r="B8753" s="7"/>
      <c r="D8753" s="7"/>
      <c r="F8753" s="7"/>
      <c r="H8753" s="7"/>
      <c r="J8753" s="7"/>
      <c r="L8753" s="7"/>
      <c r="N8753" s="7"/>
      <c r="P8753" s="7"/>
      <c r="R8753" s="7"/>
      <c r="T8753" s="7"/>
      <c r="V8753" s="7"/>
      <c r="X8753" s="7"/>
    </row>
    <row r="8754" spans="2:24">
      <c r="B8754" s="7"/>
      <c r="D8754" s="7"/>
      <c r="F8754" s="7"/>
      <c r="H8754" s="7"/>
      <c r="J8754" s="7"/>
      <c r="L8754" s="7"/>
      <c r="N8754" s="7"/>
      <c r="P8754" s="7"/>
      <c r="R8754" s="7"/>
      <c r="T8754" s="7"/>
      <c r="V8754" s="7"/>
      <c r="X8754" s="7"/>
    </row>
    <row r="8755" spans="2:24">
      <c r="B8755" s="7"/>
      <c r="D8755" s="7"/>
      <c r="F8755" s="7"/>
      <c r="H8755" s="7"/>
      <c r="J8755" s="7"/>
      <c r="L8755" s="7"/>
      <c r="N8755" s="7"/>
      <c r="P8755" s="7"/>
      <c r="R8755" s="7"/>
      <c r="T8755" s="7"/>
      <c r="V8755" s="7"/>
      <c r="X8755" s="7"/>
    </row>
    <row r="8756" spans="2:24">
      <c r="B8756" s="7"/>
      <c r="D8756" s="7"/>
      <c r="F8756" s="7"/>
      <c r="H8756" s="7"/>
      <c r="J8756" s="7"/>
      <c r="L8756" s="7"/>
      <c r="N8756" s="7"/>
      <c r="P8756" s="7"/>
      <c r="R8756" s="7"/>
      <c r="T8756" s="7"/>
      <c r="V8756" s="7"/>
      <c r="X8756" s="7"/>
    </row>
    <row r="8757" spans="2:24">
      <c r="B8757" s="7"/>
      <c r="D8757" s="7"/>
      <c r="F8757" s="7"/>
      <c r="H8757" s="7"/>
      <c r="J8757" s="7"/>
      <c r="L8757" s="7"/>
      <c r="N8757" s="7"/>
      <c r="P8757" s="7"/>
      <c r="R8757" s="7"/>
      <c r="T8757" s="7"/>
      <c r="V8757" s="7"/>
      <c r="X8757" s="7"/>
    </row>
    <row r="8758" spans="2:24">
      <c r="B8758" s="7"/>
      <c r="D8758" s="7"/>
      <c r="F8758" s="7"/>
      <c r="H8758" s="7"/>
      <c r="J8758" s="7"/>
      <c r="L8758" s="7"/>
      <c r="N8758" s="7"/>
      <c r="P8758" s="7"/>
      <c r="R8758" s="7"/>
      <c r="T8758" s="7"/>
      <c r="V8758" s="7"/>
      <c r="X8758" s="7"/>
    </row>
    <row r="8759" spans="2:24">
      <c r="B8759" s="7"/>
      <c r="D8759" s="7"/>
      <c r="F8759" s="7"/>
      <c r="H8759" s="7"/>
      <c r="J8759" s="7"/>
      <c r="L8759" s="7"/>
      <c r="N8759" s="7"/>
      <c r="P8759" s="7"/>
      <c r="R8759" s="7"/>
      <c r="T8759" s="7"/>
      <c r="V8759" s="7"/>
      <c r="X8759" s="7"/>
    </row>
    <row r="8760" spans="2:24">
      <c r="B8760" s="7"/>
      <c r="D8760" s="7"/>
      <c r="F8760" s="7"/>
      <c r="H8760" s="7"/>
      <c r="J8760" s="7"/>
      <c r="L8760" s="7"/>
      <c r="N8760" s="7"/>
      <c r="P8760" s="7"/>
      <c r="R8760" s="7"/>
      <c r="T8760" s="7"/>
      <c r="V8760" s="7"/>
      <c r="X8760" s="7"/>
    </row>
    <row r="8761" spans="2:24">
      <c r="B8761" s="7"/>
      <c r="D8761" s="7"/>
      <c r="F8761" s="7"/>
      <c r="H8761" s="7"/>
      <c r="J8761" s="7"/>
      <c r="L8761" s="7"/>
      <c r="N8761" s="7"/>
      <c r="P8761" s="7"/>
      <c r="R8761" s="7"/>
      <c r="T8761" s="7"/>
      <c r="V8761" s="7"/>
      <c r="X8761" s="7"/>
    </row>
    <row r="8762" spans="2:24">
      <c r="B8762" s="7"/>
      <c r="D8762" s="7"/>
      <c r="F8762" s="7"/>
      <c r="H8762" s="7"/>
      <c r="J8762" s="7"/>
      <c r="L8762" s="7"/>
      <c r="N8762" s="7"/>
      <c r="P8762" s="7"/>
      <c r="R8762" s="7"/>
      <c r="T8762" s="7"/>
      <c r="V8762" s="7"/>
      <c r="X8762" s="7"/>
    </row>
    <row r="8763" spans="2:24">
      <c r="B8763" s="7"/>
      <c r="D8763" s="7"/>
      <c r="F8763" s="7"/>
      <c r="H8763" s="7"/>
      <c r="J8763" s="7"/>
      <c r="L8763" s="7"/>
      <c r="N8763" s="7"/>
      <c r="P8763" s="7"/>
      <c r="R8763" s="7"/>
      <c r="T8763" s="7"/>
      <c r="V8763" s="7"/>
      <c r="X8763" s="7"/>
    </row>
    <row r="8764" spans="2:24">
      <c r="B8764" s="7"/>
      <c r="D8764" s="7"/>
      <c r="F8764" s="7"/>
      <c r="H8764" s="7"/>
      <c r="J8764" s="7"/>
      <c r="L8764" s="7"/>
      <c r="N8764" s="7"/>
      <c r="P8764" s="7"/>
      <c r="R8764" s="7"/>
      <c r="T8764" s="7"/>
      <c r="V8764" s="7"/>
      <c r="X8764" s="7"/>
    </row>
    <row r="8765" spans="2:24">
      <c r="B8765" s="7"/>
      <c r="D8765" s="7"/>
      <c r="F8765" s="7"/>
      <c r="H8765" s="7"/>
      <c r="J8765" s="7"/>
      <c r="L8765" s="7"/>
      <c r="N8765" s="7"/>
      <c r="P8765" s="7"/>
      <c r="R8765" s="7"/>
      <c r="T8765" s="7"/>
      <c r="V8765" s="7"/>
      <c r="X8765" s="7"/>
    </row>
    <row r="8766" spans="2:24">
      <c r="B8766" s="7"/>
      <c r="D8766" s="7"/>
      <c r="F8766" s="7"/>
      <c r="H8766" s="7"/>
      <c r="J8766" s="7"/>
      <c r="L8766" s="7"/>
      <c r="N8766" s="7"/>
      <c r="P8766" s="7"/>
      <c r="R8766" s="7"/>
      <c r="T8766" s="7"/>
      <c r="V8766" s="7"/>
      <c r="X8766" s="7"/>
    </row>
    <row r="8767" spans="2:24">
      <c r="B8767" s="7"/>
      <c r="D8767" s="7"/>
      <c r="F8767" s="7"/>
      <c r="H8767" s="7"/>
      <c r="J8767" s="7"/>
      <c r="L8767" s="7"/>
      <c r="N8767" s="7"/>
      <c r="P8767" s="7"/>
      <c r="R8767" s="7"/>
      <c r="T8767" s="7"/>
      <c r="V8767" s="7"/>
      <c r="X8767" s="7"/>
    </row>
    <row r="8768" spans="2:24">
      <c r="B8768" s="7"/>
      <c r="D8768" s="7"/>
      <c r="F8768" s="7"/>
      <c r="H8768" s="7"/>
      <c r="J8768" s="7"/>
      <c r="L8768" s="7"/>
      <c r="N8768" s="7"/>
      <c r="P8768" s="7"/>
      <c r="R8768" s="7"/>
      <c r="T8768" s="7"/>
      <c r="V8768" s="7"/>
      <c r="X8768" s="7"/>
    </row>
    <row r="8769" spans="2:24">
      <c r="B8769" s="7"/>
      <c r="D8769" s="7"/>
      <c r="F8769" s="7"/>
      <c r="H8769" s="7"/>
      <c r="J8769" s="7"/>
      <c r="L8769" s="7"/>
      <c r="N8769" s="7"/>
      <c r="P8769" s="7"/>
      <c r="R8769" s="7"/>
      <c r="T8769" s="7"/>
      <c r="V8769" s="7"/>
      <c r="X8769" s="7"/>
    </row>
    <row r="8770" spans="2:24">
      <c r="B8770" s="7"/>
      <c r="D8770" s="7"/>
      <c r="F8770" s="7"/>
      <c r="H8770" s="7"/>
      <c r="J8770" s="7"/>
      <c r="L8770" s="7"/>
      <c r="N8770" s="7"/>
      <c r="P8770" s="7"/>
      <c r="R8770" s="7"/>
      <c r="T8770" s="7"/>
      <c r="V8770" s="7"/>
      <c r="X8770" s="7"/>
    </row>
    <row r="8771" spans="2:24">
      <c r="B8771" s="7"/>
      <c r="D8771" s="7"/>
      <c r="F8771" s="7"/>
      <c r="H8771" s="7"/>
      <c r="J8771" s="7"/>
      <c r="L8771" s="7"/>
      <c r="N8771" s="7"/>
      <c r="P8771" s="7"/>
      <c r="R8771" s="7"/>
      <c r="T8771" s="7"/>
      <c r="V8771" s="7"/>
      <c r="X8771" s="7"/>
    </row>
    <row r="8772" spans="2:24">
      <c r="B8772" s="7"/>
      <c r="D8772" s="7"/>
      <c r="F8772" s="7"/>
      <c r="H8772" s="7"/>
      <c r="J8772" s="7"/>
      <c r="L8772" s="7"/>
      <c r="N8772" s="7"/>
      <c r="P8772" s="7"/>
      <c r="R8772" s="7"/>
      <c r="T8772" s="7"/>
      <c r="V8772" s="7"/>
      <c r="X8772" s="7"/>
    </row>
    <row r="8773" spans="2:24">
      <c r="B8773" s="7"/>
      <c r="D8773" s="7"/>
      <c r="F8773" s="7"/>
      <c r="H8773" s="7"/>
      <c r="J8773" s="7"/>
      <c r="L8773" s="7"/>
      <c r="N8773" s="7"/>
      <c r="P8773" s="7"/>
      <c r="R8773" s="7"/>
      <c r="T8773" s="7"/>
      <c r="V8773" s="7"/>
      <c r="X8773" s="7"/>
    </row>
    <row r="8774" spans="2:24">
      <c r="B8774" s="7"/>
      <c r="D8774" s="7"/>
      <c r="F8774" s="7"/>
      <c r="H8774" s="7"/>
      <c r="J8774" s="7"/>
      <c r="L8774" s="7"/>
      <c r="N8774" s="7"/>
      <c r="P8774" s="7"/>
      <c r="R8774" s="7"/>
      <c r="T8774" s="7"/>
      <c r="V8774" s="7"/>
      <c r="X8774" s="7"/>
    </row>
    <row r="8775" spans="2:24">
      <c r="B8775" s="7"/>
      <c r="D8775" s="7"/>
      <c r="F8775" s="7"/>
      <c r="H8775" s="7"/>
      <c r="J8775" s="7"/>
      <c r="L8775" s="7"/>
      <c r="N8775" s="7"/>
      <c r="P8775" s="7"/>
      <c r="R8775" s="7"/>
      <c r="T8775" s="7"/>
      <c r="V8775" s="7"/>
      <c r="X8775" s="7"/>
    </row>
    <row r="8776" spans="2:24">
      <c r="B8776" s="7"/>
      <c r="D8776" s="7"/>
      <c r="F8776" s="7"/>
      <c r="H8776" s="7"/>
      <c r="J8776" s="7"/>
      <c r="L8776" s="7"/>
      <c r="N8776" s="7"/>
      <c r="P8776" s="7"/>
      <c r="R8776" s="7"/>
      <c r="T8776" s="7"/>
      <c r="V8776" s="7"/>
      <c r="X8776" s="7"/>
    </row>
    <row r="8777" spans="2:24">
      <c r="B8777" s="7"/>
      <c r="D8777" s="7"/>
      <c r="F8777" s="7"/>
      <c r="H8777" s="7"/>
      <c r="J8777" s="7"/>
      <c r="L8777" s="7"/>
      <c r="N8777" s="7"/>
      <c r="P8777" s="7"/>
      <c r="R8777" s="7"/>
      <c r="T8777" s="7"/>
      <c r="V8777" s="7"/>
      <c r="X8777" s="7"/>
    </row>
    <row r="8778" spans="2:24">
      <c r="B8778" s="7"/>
      <c r="D8778" s="7"/>
      <c r="F8778" s="7"/>
      <c r="H8778" s="7"/>
      <c r="J8778" s="7"/>
      <c r="L8778" s="7"/>
      <c r="N8778" s="7"/>
      <c r="P8778" s="7"/>
      <c r="R8778" s="7"/>
      <c r="T8778" s="7"/>
      <c r="V8778" s="7"/>
      <c r="X8778" s="7"/>
    </row>
    <row r="8779" spans="2:24">
      <c r="B8779" s="7"/>
      <c r="D8779" s="7"/>
      <c r="F8779" s="7"/>
      <c r="H8779" s="7"/>
      <c r="J8779" s="7"/>
      <c r="L8779" s="7"/>
      <c r="N8779" s="7"/>
      <c r="P8779" s="7"/>
      <c r="R8779" s="7"/>
      <c r="T8779" s="7"/>
      <c r="V8779" s="7"/>
      <c r="X8779" s="7"/>
    </row>
    <row r="8780" spans="2:24">
      <c r="B8780" s="7"/>
      <c r="D8780" s="7"/>
      <c r="F8780" s="7"/>
      <c r="H8780" s="7"/>
      <c r="J8780" s="7"/>
      <c r="L8780" s="7"/>
      <c r="N8780" s="7"/>
      <c r="P8780" s="7"/>
      <c r="R8780" s="7"/>
      <c r="T8780" s="7"/>
      <c r="V8780" s="7"/>
      <c r="X8780" s="7"/>
    </row>
    <row r="8781" spans="2:24">
      <c r="B8781" s="7"/>
      <c r="D8781" s="7"/>
      <c r="F8781" s="7"/>
      <c r="H8781" s="7"/>
      <c r="J8781" s="7"/>
      <c r="L8781" s="7"/>
      <c r="N8781" s="7"/>
      <c r="P8781" s="7"/>
      <c r="R8781" s="7"/>
      <c r="T8781" s="7"/>
      <c r="V8781" s="7"/>
      <c r="X8781" s="7"/>
    </row>
    <row r="8782" spans="2:24">
      <c r="B8782" s="7"/>
      <c r="D8782" s="7"/>
      <c r="F8782" s="7"/>
      <c r="H8782" s="7"/>
      <c r="J8782" s="7"/>
      <c r="L8782" s="7"/>
      <c r="N8782" s="7"/>
      <c r="P8782" s="7"/>
      <c r="R8782" s="7"/>
      <c r="T8782" s="7"/>
      <c r="V8782" s="7"/>
      <c r="X8782" s="7"/>
    </row>
    <row r="8783" spans="2:24">
      <c r="B8783" s="7"/>
      <c r="D8783" s="7"/>
      <c r="F8783" s="7"/>
      <c r="H8783" s="7"/>
      <c r="J8783" s="7"/>
      <c r="L8783" s="7"/>
      <c r="N8783" s="7"/>
      <c r="P8783" s="7"/>
      <c r="R8783" s="7"/>
      <c r="T8783" s="7"/>
      <c r="V8783" s="7"/>
      <c r="X8783" s="7"/>
    </row>
    <row r="8784" spans="2:24">
      <c r="B8784" s="7"/>
      <c r="D8784" s="7"/>
      <c r="F8784" s="7"/>
      <c r="H8784" s="7"/>
      <c r="J8784" s="7"/>
      <c r="L8784" s="7"/>
      <c r="N8784" s="7"/>
      <c r="P8784" s="7"/>
      <c r="R8784" s="7"/>
      <c r="T8784" s="7"/>
      <c r="V8784" s="7"/>
      <c r="X8784" s="7"/>
    </row>
    <row r="8785" spans="2:24">
      <c r="B8785" s="7"/>
      <c r="D8785" s="7"/>
      <c r="F8785" s="7"/>
      <c r="H8785" s="7"/>
      <c r="J8785" s="7"/>
      <c r="L8785" s="7"/>
      <c r="N8785" s="7"/>
      <c r="P8785" s="7"/>
      <c r="R8785" s="7"/>
      <c r="T8785" s="7"/>
      <c r="V8785" s="7"/>
      <c r="X8785" s="7"/>
    </row>
    <row r="8786" spans="2:24">
      <c r="B8786" s="7"/>
      <c r="D8786" s="7"/>
      <c r="F8786" s="7"/>
      <c r="H8786" s="7"/>
      <c r="J8786" s="7"/>
      <c r="L8786" s="7"/>
      <c r="N8786" s="7"/>
      <c r="P8786" s="7"/>
      <c r="R8786" s="7"/>
      <c r="T8786" s="7"/>
      <c r="V8786" s="7"/>
      <c r="X8786" s="7"/>
    </row>
    <row r="8787" spans="2:24">
      <c r="B8787" s="7"/>
      <c r="D8787" s="7"/>
      <c r="F8787" s="7"/>
      <c r="H8787" s="7"/>
      <c r="J8787" s="7"/>
      <c r="L8787" s="7"/>
      <c r="N8787" s="7"/>
      <c r="P8787" s="7"/>
      <c r="R8787" s="7"/>
      <c r="T8787" s="7"/>
      <c r="V8787" s="7"/>
      <c r="X8787" s="7"/>
    </row>
    <row r="8788" spans="2:24">
      <c r="B8788" s="7"/>
      <c r="D8788" s="7"/>
      <c r="F8788" s="7"/>
      <c r="H8788" s="7"/>
      <c r="J8788" s="7"/>
      <c r="L8788" s="7"/>
      <c r="N8788" s="7"/>
      <c r="P8788" s="7"/>
      <c r="R8788" s="7"/>
      <c r="T8788" s="7"/>
      <c r="V8788" s="7"/>
      <c r="X8788" s="7"/>
    </row>
    <row r="8789" spans="2:24">
      <c r="B8789" s="7"/>
      <c r="D8789" s="7"/>
      <c r="F8789" s="7"/>
      <c r="H8789" s="7"/>
      <c r="J8789" s="7"/>
      <c r="L8789" s="7"/>
      <c r="N8789" s="7"/>
      <c r="P8789" s="7"/>
      <c r="R8789" s="7"/>
      <c r="T8789" s="7"/>
      <c r="V8789" s="7"/>
      <c r="X8789" s="7"/>
    </row>
    <row r="8790" spans="2:24">
      <c r="B8790" s="7"/>
      <c r="D8790" s="7"/>
      <c r="F8790" s="7"/>
      <c r="H8790" s="7"/>
      <c r="J8790" s="7"/>
      <c r="L8790" s="7"/>
      <c r="N8790" s="7"/>
      <c r="P8790" s="7"/>
      <c r="R8790" s="7"/>
      <c r="T8790" s="7"/>
      <c r="V8790" s="7"/>
      <c r="X8790" s="7"/>
    </row>
    <row r="8791" spans="2:24">
      <c r="B8791" s="7"/>
      <c r="D8791" s="7"/>
      <c r="F8791" s="7"/>
      <c r="H8791" s="7"/>
      <c r="J8791" s="7"/>
      <c r="L8791" s="7"/>
      <c r="N8791" s="7"/>
      <c r="P8791" s="7"/>
      <c r="R8791" s="7"/>
      <c r="T8791" s="7"/>
      <c r="V8791" s="7"/>
      <c r="X8791" s="7"/>
    </row>
    <row r="8792" spans="2:24">
      <c r="B8792" s="7"/>
      <c r="D8792" s="7"/>
      <c r="F8792" s="7"/>
      <c r="H8792" s="7"/>
      <c r="J8792" s="7"/>
      <c r="L8792" s="7"/>
      <c r="N8792" s="7"/>
      <c r="P8792" s="7"/>
      <c r="R8792" s="7"/>
      <c r="T8792" s="7"/>
      <c r="V8792" s="7"/>
      <c r="X8792" s="7"/>
    </row>
    <row r="8793" spans="2:24">
      <c r="B8793" s="7"/>
      <c r="D8793" s="7"/>
      <c r="F8793" s="7"/>
      <c r="H8793" s="7"/>
      <c r="J8793" s="7"/>
      <c r="L8793" s="7"/>
      <c r="N8793" s="7"/>
      <c r="P8793" s="7"/>
      <c r="R8793" s="7"/>
      <c r="T8793" s="7"/>
      <c r="V8793" s="7"/>
      <c r="X8793" s="7"/>
    </row>
    <row r="8794" spans="2:24">
      <c r="B8794" s="7"/>
      <c r="D8794" s="7"/>
      <c r="F8794" s="7"/>
      <c r="H8794" s="7"/>
      <c r="J8794" s="7"/>
      <c r="L8794" s="7"/>
      <c r="N8794" s="7"/>
      <c r="P8794" s="7"/>
      <c r="R8794" s="7"/>
      <c r="T8794" s="7"/>
      <c r="V8794" s="7"/>
      <c r="X8794" s="7"/>
    </row>
    <row r="8795" spans="2:24">
      <c r="B8795" s="7"/>
      <c r="D8795" s="7"/>
      <c r="F8795" s="7"/>
      <c r="H8795" s="7"/>
      <c r="J8795" s="7"/>
      <c r="L8795" s="7"/>
      <c r="N8795" s="7"/>
      <c r="P8795" s="7"/>
      <c r="R8795" s="7"/>
      <c r="T8795" s="7"/>
      <c r="V8795" s="7"/>
      <c r="X8795" s="7"/>
    </row>
    <row r="8796" spans="2:24">
      <c r="B8796" s="7"/>
      <c r="D8796" s="7"/>
      <c r="F8796" s="7"/>
      <c r="H8796" s="7"/>
      <c r="J8796" s="7"/>
      <c r="L8796" s="7"/>
      <c r="N8796" s="7"/>
      <c r="P8796" s="7"/>
      <c r="R8796" s="7"/>
      <c r="T8796" s="7"/>
      <c r="V8796" s="7"/>
      <c r="X8796" s="7"/>
    </row>
    <row r="8797" spans="2:24">
      <c r="B8797" s="7"/>
      <c r="D8797" s="7"/>
      <c r="F8797" s="7"/>
      <c r="H8797" s="7"/>
      <c r="J8797" s="7"/>
      <c r="L8797" s="7"/>
      <c r="N8797" s="7"/>
      <c r="P8797" s="7"/>
      <c r="R8797" s="7"/>
      <c r="T8797" s="7"/>
      <c r="V8797" s="7"/>
      <c r="X8797" s="7"/>
    </row>
    <row r="8798" spans="2:24">
      <c r="B8798" s="7"/>
      <c r="D8798" s="7"/>
      <c r="F8798" s="7"/>
      <c r="H8798" s="7"/>
      <c r="J8798" s="7"/>
      <c r="L8798" s="7"/>
      <c r="N8798" s="7"/>
      <c r="P8798" s="7"/>
      <c r="R8798" s="7"/>
      <c r="T8798" s="7"/>
      <c r="V8798" s="7"/>
      <c r="X8798" s="7"/>
    </row>
    <row r="8799" spans="2:24">
      <c r="B8799" s="7"/>
      <c r="D8799" s="7"/>
      <c r="F8799" s="7"/>
      <c r="H8799" s="7"/>
      <c r="J8799" s="7"/>
      <c r="L8799" s="7"/>
      <c r="N8799" s="7"/>
      <c r="P8799" s="7"/>
      <c r="R8799" s="7"/>
      <c r="T8799" s="7"/>
      <c r="V8799" s="7"/>
      <c r="X8799" s="7"/>
    </row>
    <row r="8800" spans="2:24">
      <c r="B8800" s="7"/>
      <c r="D8800" s="7"/>
      <c r="F8800" s="7"/>
      <c r="H8800" s="7"/>
      <c r="J8800" s="7"/>
      <c r="L8800" s="7"/>
      <c r="N8800" s="7"/>
      <c r="P8800" s="7"/>
      <c r="R8800" s="7"/>
      <c r="T8800" s="7"/>
      <c r="V8800" s="7"/>
      <c r="X8800" s="7"/>
    </row>
    <row r="8801" spans="2:24">
      <c r="B8801" s="7"/>
      <c r="D8801" s="7"/>
      <c r="F8801" s="7"/>
      <c r="H8801" s="7"/>
      <c r="J8801" s="7"/>
      <c r="L8801" s="7"/>
      <c r="N8801" s="7"/>
      <c r="P8801" s="7"/>
      <c r="R8801" s="7"/>
      <c r="T8801" s="7"/>
      <c r="V8801" s="7"/>
      <c r="X8801" s="7"/>
    </row>
    <row r="8802" spans="2:24">
      <c r="B8802" s="7"/>
      <c r="D8802" s="7"/>
      <c r="F8802" s="7"/>
      <c r="H8802" s="7"/>
      <c r="J8802" s="7"/>
      <c r="L8802" s="7"/>
      <c r="N8802" s="7"/>
      <c r="P8802" s="7"/>
      <c r="R8802" s="7"/>
      <c r="T8802" s="7"/>
      <c r="V8802" s="7"/>
      <c r="X8802" s="7"/>
    </row>
    <row r="8803" spans="2:24">
      <c r="B8803" s="7"/>
      <c r="D8803" s="7"/>
      <c r="F8803" s="7"/>
      <c r="H8803" s="7"/>
      <c r="J8803" s="7"/>
      <c r="L8803" s="7"/>
      <c r="N8803" s="7"/>
      <c r="P8803" s="7"/>
      <c r="R8803" s="7"/>
      <c r="T8803" s="7"/>
      <c r="V8803" s="7"/>
      <c r="X8803" s="7"/>
    </row>
    <row r="8804" spans="2:24">
      <c r="B8804" s="7"/>
      <c r="D8804" s="7"/>
      <c r="F8804" s="7"/>
      <c r="H8804" s="7"/>
      <c r="J8804" s="7"/>
      <c r="L8804" s="7"/>
      <c r="N8804" s="7"/>
      <c r="P8804" s="7"/>
      <c r="R8804" s="7"/>
      <c r="T8804" s="7"/>
      <c r="V8804" s="7"/>
      <c r="X8804" s="7"/>
    </row>
    <row r="8805" spans="2:24">
      <c r="B8805" s="7"/>
      <c r="D8805" s="7"/>
      <c r="F8805" s="7"/>
      <c r="H8805" s="7"/>
      <c r="J8805" s="7"/>
      <c r="L8805" s="7"/>
      <c r="N8805" s="7"/>
      <c r="P8805" s="7"/>
      <c r="R8805" s="7"/>
      <c r="T8805" s="7"/>
      <c r="V8805" s="7"/>
      <c r="X8805" s="7"/>
    </row>
    <row r="8806" spans="2:24">
      <c r="B8806" s="7"/>
      <c r="D8806" s="7"/>
      <c r="F8806" s="7"/>
      <c r="H8806" s="7"/>
      <c r="J8806" s="7"/>
      <c r="L8806" s="7"/>
      <c r="N8806" s="7"/>
      <c r="P8806" s="7"/>
      <c r="R8806" s="7"/>
      <c r="T8806" s="7"/>
      <c r="V8806" s="7"/>
      <c r="X8806" s="7"/>
    </row>
    <row r="8807" spans="2:24">
      <c r="B8807" s="7"/>
      <c r="D8807" s="7"/>
      <c r="F8807" s="7"/>
      <c r="H8807" s="7"/>
      <c r="J8807" s="7"/>
      <c r="L8807" s="7"/>
      <c r="N8807" s="7"/>
      <c r="P8807" s="7"/>
      <c r="R8807" s="7"/>
      <c r="T8807" s="7"/>
      <c r="V8807" s="7"/>
      <c r="X8807" s="7"/>
    </row>
    <row r="8808" spans="2:24">
      <c r="B8808" s="7"/>
      <c r="D8808" s="7"/>
      <c r="F8808" s="7"/>
      <c r="H8808" s="7"/>
      <c r="J8808" s="7"/>
      <c r="L8808" s="7"/>
      <c r="N8808" s="7"/>
      <c r="P8808" s="7"/>
      <c r="R8808" s="7"/>
      <c r="T8808" s="7"/>
      <c r="V8808" s="7"/>
      <c r="X8808" s="7"/>
    </row>
    <row r="8809" spans="2:24">
      <c r="B8809" s="7"/>
      <c r="D8809" s="7"/>
      <c r="F8809" s="7"/>
      <c r="H8809" s="7"/>
      <c r="J8809" s="7"/>
      <c r="L8809" s="7"/>
      <c r="N8809" s="7"/>
      <c r="P8809" s="7"/>
      <c r="R8809" s="7"/>
      <c r="T8809" s="7"/>
      <c r="V8809" s="7"/>
      <c r="X8809" s="7"/>
    </row>
    <row r="8810" spans="2:24">
      <c r="B8810" s="7"/>
      <c r="D8810" s="7"/>
      <c r="F8810" s="7"/>
      <c r="H8810" s="7"/>
      <c r="J8810" s="7"/>
      <c r="L8810" s="7"/>
      <c r="N8810" s="7"/>
      <c r="P8810" s="7"/>
      <c r="R8810" s="7"/>
      <c r="T8810" s="7"/>
      <c r="V8810" s="7"/>
      <c r="X8810" s="7"/>
    </row>
    <row r="8811" spans="2:24">
      <c r="B8811" s="7"/>
      <c r="D8811" s="7"/>
      <c r="F8811" s="7"/>
      <c r="H8811" s="7"/>
      <c r="J8811" s="7"/>
      <c r="L8811" s="7"/>
      <c r="N8811" s="7"/>
      <c r="P8811" s="7"/>
      <c r="R8811" s="7"/>
      <c r="T8811" s="7"/>
      <c r="V8811" s="7"/>
      <c r="X8811" s="7"/>
    </row>
    <row r="8812" spans="2:24">
      <c r="B8812" s="7"/>
      <c r="D8812" s="7"/>
      <c r="F8812" s="7"/>
      <c r="H8812" s="7"/>
      <c r="J8812" s="7"/>
      <c r="L8812" s="7"/>
      <c r="N8812" s="7"/>
      <c r="P8812" s="7"/>
      <c r="R8812" s="7"/>
      <c r="T8812" s="7"/>
      <c r="V8812" s="7"/>
      <c r="X8812" s="7"/>
    </row>
    <row r="8813" spans="2:24">
      <c r="B8813" s="7"/>
      <c r="D8813" s="7"/>
      <c r="F8813" s="7"/>
      <c r="H8813" s="7"/>
      <c r="J8813" s="7"/>
      <c r="L8813" s="7"/>
      <c r="N8813" s="7"/>
      <c r="P8813" s="7"/>
      <c r="R8813" s="7"/>
      <c r="T8813" s="7"/>
      <c r="V8813" s="7"/>
      <c r="X8813" s="7"/>
    </row>
    <row r="8814" spans="2:24">
      <c r="B8814" s="7"/>
      <c r="D8814" s="7"/>
      <c r="F8814" s="7"/>
      <c r="H8814" s="7"/>
      <c r="J8814" s="7"/>
      <c r="L8814" s="7"/>
      <c r="N8814" s="7"/>
      <c r="P8814" s="7"/>
      <c r="R8814" s="7"/>
      <c r="T8814" s="7"/>
      <c r="V8814" s="7"/>
      <c r="X8814" s="7"/>
    </row>
    <row r="8815" spans="2:24">
      <c r="B8815" s="7"/>
      <c r="D8815" s="7"/>
      <c r="F8815" s="7"/>
      <c r="H8815" s="7"/>
      <c r="J8815" s="7"/>
      <c r="L8815" s="7"/>
      <c r="N8815" s="7"/>
      <c r="P8815" s="7"/>
      <c r="R8815" s="7"/>
      <c r="T8815" s="7"/>
      <c r="V8815" s="7"/>
      <c r="X8815" s="7"/>
    </row>
    <row r="8816" spans="2:24">
      <c r="B8816" s="7"/>
      <c r="D8816" s="7"/>
      <c r="F8816" s="7"/>
      <c r="H8816" s="7"/>
      <c r="J8816" s="7"/>
      <c r="L8816" s="7"/>
      <c r="N8816" s="7"/>
      <c r="P8816" s="7"/>
      <c r="R8816" s="7"/>
      <c r="T8816" s="7"/>
      <c r="V8816" s="7"/>
      <c r="X8816" s="7"/>
    </row>
    <row r="8817" spans="2:24">
      <c r="B8817" s="7"/>
      <c r="D8817" s="7"/>
      <c r="F8817" s="7"/>
      <c r="H8817" s="7"/>
      <c r="J8817" s="7"/>
      <c r="L8817" s="7"/>
      <c r="N8817" s="7"/>
      <c r="P8817" s="7"/>
      <c r="R8817" s="7"/>
      <c r="T8817" s="7"/>
      <c r="V8817" s="7"/>
      <c r="X8817" s="7"/>
    </row>
    <row r="8818" spans="2:24">
      <c r="B8818" s="7"/>
      <c r="D8818" s="7"/>
      <c r="F8818" s="7"/>
      <c r="H8818" s="7"/>
      <c r="J8818" s="7"/>
      <c r="L8818" s="7"/>
      <c r="N8818" s="7"/>
      <c r="P8818" s="7"/>
      <c r="R8818" s="7"/>
      <c r="T8818" s="7"/>
      <c r="V8818" s="7"/>
      <c r="X8818" s="7"/>
    </row>
    <row r="8819" spans="2:24">
      <c r="B8819" s="7"/>
      <c r="D8819" s="7"/>
      <c r="F8819" s="7"/>
      <c r="H8819" s="7"/>
      <c r="J8819" s="7"/>
      <c r="L8819" s="7"/>
      <c r="N8819" s="7"/>
      <c r="P8819" s="7"/>
      <c r="R8819" s="7"/>
      <c r="T8819" s="7"/>
      <c r="V8819" s="7"/>
      <c r="X8819" s="7"/>
    </row>
    <row r="8820" spans="2:24">
      <c r="B8820" s="7"/>
      <c r="D8820" s="7"/>
      <c r="F8820" s="7"/>
      <c r="H8820" s="7"/>
      <c r="J8820" s="7"/>
      <c r="L8820" s="7"/>
      <c r="N8820" s="7"/>
      <c r="P8820" s="7"/>
      <c r="R8820" s="7"/>
      <c r="T8820" s="7"/>
      <c r="V8820" s="7"/>
      <c r="X8820" s="7"/>
    </row>
    <row r="8821" spans="2:24">
      <c r="B8821" s="7"/>
      <c r="D8821" s="7"/>
      <c r="F8821" s="7"/>
      <c r="H8821" s="7"/>
      <c r="J8821" s="7"/>
      <c r="L8821" s="7"/>
      <c r="N8821" s="7"/>
      <c r="P8821" s="7"/>
      <c r="R8821" s="7"/>
      <c r="T8821" s="7"/>
      <c r="V8821" s="7"/>
      <c r="X8821" s="7"/>
    </row>
    <row r="8822" spans="2:24">
      <c r="B8822" s="7"/>
      <c r="D8822" s="7"/>
      <c r="F8822" s="7"/>
      <c r="H8822" s="7"/>
      <c r="J8822" s="7"/>
      <c r="L8822" s="7"/>
      <c r="N8822" s="7"/>
      <c r="P8822" s="7"/>
      <c r="R8822" s="7"/>
      <c r="T8822" s="7"/>
      <c r="V8822" s="7"/>
      <c r="X8822" s="7"/>
    </row>
    <row r="8823" spans="2:24">
      <c r="B8823" s="7"/>
      <c r="D8823" s="7"/>
      <c r="F8823" s="7"/>
      <c r="H8823" s="7"/>
      <c r="J8823" s="7"/>
      <c r="L8823" s="7"/>
      <c r="N8823" s="7"/>
      <c r="P8823" s="7"/>
      <c r="R8823" s="7"/>
      <c r="T8823" s="7"/>
      <c r="V8823" s="7"/>
      <c r="X8823" s="7"/>
    </row>
    <row r="8824" spans="2:24">
      <c r="B8824" s="7"/>
      <c r="D8824" s="7"/>
      <c r="F8824" s="7"/>
      <c r="H8824" s="7"/>
      <c r="J8824" s="7"/>
      <c r="L8824" s="7"/>
      <c r="N8824" s="7"/>
      <c r="P8824" s="7"/>
      <c r="R8824" s="7"/>
      <c r="T8824" s="7"/>
      <c r="V8824" s="7"/>
      <c r="X8824" s="7"/>
    </row>
    <row r="8825" spans="2:24">
      <c r="B8825" s="7"/>
      <c r="D8825" s="7"/>
      <c r="F8825" s="7"/>
      <c r="H8825" s="7"/>
      <c r="J8825" s="7"/>
      <c r="L8825" s="7"/>
      <c r="N8825" s="7"/>
      <c r="P8825" s="7"/>
      <c r="R8825" s="7"/>
      <c r="T8825" s="7"/>
      <c r="V8825" s="7"/>
      <c r="X8825" s="7"/>
    </row>
    <row r="8826" spans="2:24">
      <c r="B8826" s="7"/>
      <c r="D8826" s="7"/>
      <c r="F8826" s="7"/>
      <c r="H8826" s="7"/>
      <c r="J8826" s="7"/>
      <c r="L8826" s="7"/>
      <c r="N8826" s="7"/>
      <c r="P8826" s="7"/>
      <c r="R8826" s="7"/>
      <c r="T8826" s="7"/>
      <c r="V8826" s="7"/>
      <c r="X8826" s="7"/>
    </row>
    <row r="8827" spans="2:24">
      <c r="B8827" s="7"/>
      <c r="D8827" s="7"/>
      <c r="F8827" s="7"/>
      <c r="H8827" s="7"/>
      <c r="J8827" s="7"/>
      <c r="L8827" s="7"/>
      <c r="N8827" s="7"/>
      <c r="P8827" s="7"/>
      <c r="R8827" s="7"/>
      <c r="T8827" s="7"/>
      <c r="V8827" s="7"/>
      <c r="X8827" s="7"/>
    </row>
    <row r="8828" spans="2:24">
      <c r="B8828" s="7"/>
      <c r="D8828" s="7"/>
      <c r="F8828" s="7"/>
      <c r="H8828" s="7"/>
      <c r="J8828" s="7"/>
      <c r="L8828" s="7"/>
      <c r="N8828" s="7"/>
      <c r="P8828" s="7"/>
      <c r="R8828" s="7"/>
      <c r="T8828" s="7"/>
      <c r="V8828" s="7"/>
      <c r="X8828" s="7"/>
    </row>
    <row r="8829" spans="2:24">
      <c r="B8829" s="7"/>
      <c r="D8829" s="7"/>
      <c r="F8829" s="7"/>
      <c r="H8829" s="7"/>
      <c r="J8829" s="7"/>
      <c r="L8829" s="7"/>
      <c r="N8829" s="7"/>
      <c r="P8829" s="7"/>
      <c r="R8829" s="7"/>
      <c r="T8829" s="7"/>
      <c r="V8829" s="7"/>
      <c r="X8829" s="7"/>
    </row>
    <row r="8830" spans="2:24">
      <c r="B8830" s="7"/>
      <c r="D8830" s="7"/>
      <c r="F8830" s="7"/>
      <c r="H8830" s="7"/>
      <c r="J8830" s="7"/>
      <c r="L8830" s="7"/>
      <c r="N8830" s="7"/>
      <c r="P8830" s="7"/>
      <c r="R8830" s="7"/>
      <c r="T8830" s="7"/>
      <c r="V8830" s="7"/>
      <c r="X8830" s="7"/>
    </row>
    <row r="8831" spans="2:24">
      <c r="B8831" s="7"/>
      <c r="D8831" s="7"/>
      <c r="F8831" s="7"/>
      <c r="H8831" s="7"/>
      <c r="J8831" s="7"/>
      <c r="L8831" s="7"/>
      <c r="N8831" s="7"/>
      <c r="P8831" s="7"/>
      <c r="R8831" s="7"/>
      <c r="T8831" s="7"/>
      <c r="V8831" s="7"/>
      <c r="X8831" s="7"/>
    </row>
    <row r="8832" spans="2:24">
      <c r="B8832" s="7"/>
      <c r="D8832" s="7"/>
      <c r="F8832" s="7"/>
      <c r="H8832" s="7"/>
      <c r="J8832" s="7"/>
      <c r="L8832" s="7"/>
      <c r="N8832" s="7"/>
      <c r="P8832" s="7"/>
      <c r="R8832" s="7"/>
      <c r="T8832" s="7"/>
      <c r="V8832" s="7"/>
      <c r="X8832" s="7"/>
    </row>
    <row r="8833" spans="2:24">
      <c r="B8833" s="7"/>
      <c r="D8833" s="7"/>
      <c r="F8833" s="7"/>
      <c r="H8833" s="7"/>
      <c r="J8833" s="7"/>
      <c r="L8833" s="7"/>
      <c r="N8833" s="7"/>
      <c r="P8833" s="7"/>
      <c r="R8833" s="7"/>
      <c r="T8833" s="7"/>
      <c r="V8833" s="7"/>
      <c r="X8833" s="7"/>
    </row>
    <row r="8834" spans="2:24">
      <c r="B8834" s="7"/>
      <c r="D8834" s="7"/>
      <c r="F8834" s="7"/>
      <c r="H8834" s="7"/>
      <c r="J8834" s="7"/>
      <c r="L8834" s="7"/>
      <c r="N8834" s="7"/>
      <c r="P8834" s="7"/>
      <c r="R8834" s="7"/>
      <c r="T8834" s="7"/>
      <c r="V8834" s="7"/>
      <c r="X8834" s="7"/>
    </row>
    <row r="8835" spans="2:24">
      <c r="B8835" s="7"/>
      <c r="D8835" s="7"/>
      <c r="F8835" s="7"/>
      <c r="H8835" s="7"/>
      <c r="J8835" s="7"/>
      <c r="L8835" s="7"/>
      <c r="N8835" s="7"/>
      <c r="P8835" s="7"/>
      <c r="R8835" s="7"/>
      <c r="T8835" s="7"/>
      <c r="V8835" s="7"/>
      <c r="X8835" s="7"/>
    </row>
    <row r="8836" spans="2:24">
      <c r="B8836" s="7"/>
      <c r="D8836" s="7"/>
      <c r="F8836" s="7"/>
      <c r="H8836" s="7"/>
      <c r="J8836" s="7"/>
      <c r="L8836" s="7"/>
      <c r="N8836" s="7"/>
      <c r="P8836" s="7"/>
      <c r="R8836" s="7"/>
      <c r="T8836" s="7"/>
      <c r="V8836" s="7"/>
      <c r="X8836" s="7"/>
    </row>
    <row r="8837" spans="2:24">
      <c r="B8837" s="7"/>
      <c r="D8837" s="7"/>
      <c r="F8837" s="7"/>
      <c r="H8837" s="7"/>
      <c r="J8837" s="7"/>
      <c r="L8837" s="7"/>
      <c r="N8837" s="7"/>
      <c r="P8837" s="7"/>
      <c r="R8837" s="7"/>
      <c r="T8837" s="7"/>
      <c r="V8837" s="7"/>
      <c r="X8837" s="7"/>
    </row>
    <row r="8838" spans="2:24">
      <c r="B8838" s="7"/>
      <c r="D8838" s="7"/>
      <c r="F8838" s="7"/>
      <c r="H8838" s="7"/>
      <c r="J8838" s="7"/>
      <c r="L8838" s="7"/>
      <c r="N8838" s="7"/>
      <c r="P8838" s="7"/>
      <c r="R8838" s="7"/>
      <c r="T8838" s="7"/>
      <c r="V8838" s="7"/>
      <c r="X8838" s="7"/>
    </row>
    <row r="8839" spans="2:24">
      <c r="B8839" s="7"/>
      <c r="D8839" s="7"/>
      <c r="F8839" s="7"/>
      <c r="H8839" s="7"/>
      <c r="J8839" s="7"/>
      <c r="L8839" s="7"/>
      <c r="N8839" s="7"/>
      <c r="P8839" s="7"/>
      <c r="R8839" s="7"/>
      <c r="T8839" s="7"/>
      <c r="V8839" s="7"/>
      <c r="X8839" s="7"/>
    </row>
    <row r="8840" spans="2:24">
      <c r="B8840" s="7"/>
      <c r="D8840" s="7"/>
      <c r="F8840" s="7"/>
      <c r="H8840" s="7"/>
      <c r="J8840" s="7"/>
      <c r="L8840" s="7"/>
      <c r="N8840" s="7"/>
      <c r="P8840" s="7"/>
      <c r="R8840" s="7"/>
      <c r="T8840" s="7"/>
      <c r="V8840" s="7"/>
      <c r="X8840" s="7"/>
    </row>
    <row r="8841" spans="2:24">
      <c r="B8841" s="7"/>
      <c r="D8841" s="7"/>
      <c r="F8841" s="7"/>
      <c r="H8841" s="7"/>
      <c r="J8841" s="7"/>
      <c r="L8841" s="7"/>
      <c r="N8841" s="7"/>
      <c r="P8841" s="7"/>
      <c r="R8841" s="7"/>
      <c r="T8841" s="7"/>
      <c r="V8841" s="7"/>
      <c r="X8841" s="7"/>
    </row>
    <row r="8842" spans="2:24">
      <c r="B8842" s="7"/>
      <c r="D8842" s="7"/>
      <c r="F8842" s="7"/>
      <c r="H8842" s="7"/>
      <c r="J8842" s="7"/>
      <c r="L8842" s="7"/>
      <c r="N8842" s="7"/>
      <c r="P8842" s="7"/>
      <c r="R8842" s="7"/>
      <c r="T8842" s="7"/>
      <c r="V8842" s="7"/>
      <c r="X8842" s="7"/>
    </row>
    <row r="8843" spans="2:24">
      <c r="B8843" s="7"/>
      <c r="D8843" s="7"/>
      <c r="F8843" s="7"/>
      <c r="H8843" s="7"/>
      <c r="J8843" s="7"/>
      <c r="L8843" s="7"/>
      <c r="N8843" s="7"/>
      <c r="P8843" s="7"/>
      <c r="R8843" s="7"/>
      <c r="T8843" s="7"/>
      <c r="V8843" s="7"/>
      <c r="X8843" s="7"/>
    </row>
    <row r="8844" spans="2:24">
      <c r="B8844" s="7"/>
      <c r="D8844" s="7"/>
      <c r="F8844" s="7"/>
      <c r="H8844" s="7"/>
      <c r="J8844" s="7"/>
      <c r="L8844" s="7"/>
      <c r="N8844" s="7"/>
      <c r="P8844" s="7"/>
      <c r="R8844" s="7"/>
      <c r="T8844" s="7"/>
      <c r="V8844" s="7"/>
      <c r="X8844" s="7"/>
    </row>
    <row r="8845" spans="2:24">
      <c r="B8845" s="7"/>
      <c r="D8845" s="7"/>
      <c r="F8845" s="7"/>
      <c r="H8845" s="7"/>
      <c r="J8845" s="7"/>
      <c r="L8845" s="7"/>
      <c r="N8845" s="7"/>
      <c r="P8845" s="7"/>
      <c r="R8845" s="7"/>
      <c r="T8845" s="7"/>
      <c r="V8845" s="7"/>
      <c r="X8845" s="7"/>
    </row>
    <row r="8846" spans="2:24">
      <c r="B8846" s="7"/>
      <c r="D8846" s="7"/>
      <c r="F8846" s="7"/>
      <c r="H8846" s="7"/>
      <c r="J8846" s="7"/>
      <c r="L8846" s="7"/>
      <c r="N8846" s="7"/>
      <c r="P8846" s="7"/>
      <c r="R8846" s="7"/>
      <c r="T8846" s="7"/>
      <c r="V8846" s="7"/>
      <c r="X8846" s="7"/>
    </row>
    <row r="8847" spans="2:24">
      <c r="B8847" s="7"/>
      <c r="D8847" s="7"/>
      <c r="F8847" s="7"/>
      <c r="H8847" s="7"/>
      <c r="J8847" s="7"/>
      <c r="L8847" s="7"/>
      <c r="N8847" s="7"/>
      <c r="P8847" s="7"/>
      <c r="R8847" s="7"/>
      <c r="T8847" s="7"/>
      <c r="V8847" s="7"/>
      <c r="X8847" s="7"/>
    </row>
    <row r="8848" spans="2:24">
      <c r="B8848" s="7"/>
      <c r="D8848" s="7"/>
      <c r="F8848" s="7"/>
      <c r="H8848" s="7"/>
      <c r="J8848" s="7"/>
      <c r="L8848" s="7"/>
      <c r="N8848" s="7"/>
      <c r="P8848" s="7"/>
      <c r="R8848" s="7"/>
      <c r="T8848" s="7"/>
      <c r="V8848" s="7"/>
      <c r="X8848" s="7"/>
    </row>
    <row r="8849" spans="2:24">
      <c r="B8849" s="7"/>
      <c r="D8849" s="7"/>
      <c r="F8849" s="7"/>
      <c r="H8849" s="7"/>
      <c r="J8849" s="7"/>
      <c r="L8849" s="7"/>
      <c r="N8849" s="7"/>
      <c r="P8849" s="7"/>
      <c r="R8849" s="7"/>
      <c r="T8849" s="7"/>
      <c r="V8849" s="7"/>
      <c r="X8849" s="7"/>
    </row>
    <row r="8850" spans="2:24">
      <c r="B8850" s="7"/>
      <c r="D8850" s="7"/>
      <c r="F8850" s="7"/>
      <c r="H8850" s="7"/>
      <c r="J8850" s="7"/>
      <c r="L8850" s="7"/>
      <c r="N8850" s="7"/>
      <c r="P8850" s="7"/>
      <c r="R8850" s="7"/>
      <c r="T8850" s="7"/>
      <c r="V8850" s="7"/>
      <c r="X8850" s="7"/>
    </row>
    <row r="8851" spans="2:24">
      <c r="B8851" s="7"/>
      <c r="D8851" s="7"/>
      <c r="F8851" s="7"/>
      <c r="H8851" s="7"/>
      <c r="J8851" s="7"/>
      <c r="L8851" s="7"/>
      <c r="N8851" s="7"/>
      <c r="P8851" s="7"/>
      <c r="R8851" s="7"/>
      <c r="T8851" s="7"/>
      <c r="V8851" s="7"/>
      <c r="X8851" s="7"/>
    </row>
    <row r="8852" spans="2:24">
      <c r="B8852" s="7"/>
      <c r="D8852" s="7"/>
      <c r="F8852" s="7"/>
      <c r="H8852" s="7"/>
      <c r="J8852" s="7"/>
      <c r="L8852" s="7"/>
      <c r="N8852" s="7"/>
      <c r="P8852" s="7"/>
      <c r="R8852" s="7"/>
      <c r="T8852" s="7"/>
      <c r="V8852" s="7"/>
      <c r="X8852" s="7"/>
    </row>
    <row r="8853" spans="2:24">
      <c r="B8853" s="7"/>
      <c r="D8853" s="7"/>
      <c r="F8853" s="7"/>
      <c r="H8853" s="7"/>
      <c r="J8853" s="7"/>
      <c r="L8853" s="7"/>
      <c r="N8853" s="7"/>
      <c r="P8853" s="7"/>
      <c r="R8853" s="7"/>
      <c r="T8853" s="7"/>
      <c r="V8853" s="7"/>
      <c r="X8853" s="7"/>
    </row>
    <row r="8854" spans="2:24">
      <c r="B8854" s="7"/>
      <c r="D8854" s="7"/>
      <c r="F8854" s="7"/>
      <c r="H8854" s="7"/>
      <c r="J8854" s="7"/>
      <c r="L8854" s="7"/>
      <c r="N8854" s="7"/>
      <c r="P8854" s="7"/>
      <c r="R8854" s="7"/>
      <c r="T8854" s="7"/>
      <c r="V8854" s="7"/>
      <c r="X8854" s="7"/>
    </row>
    <row r="8855" spans="2:24">
      <c r="B8855" s="7"/>
      <c r="D8855" s="7"/>
      <c r="F8855" s="7"/>
      <c r="H8855" s="7"/>
      <c r="J8855" s="7"/>
      <c r="L8855" s="7"/>
      <c r="N8855" s="7"/>
      <c r="P8855" s="7"/>
      <c r="R8855" s="7"/>
      <c r="T8855" s="7"/>
      <c r="V8855" s="7"/>
      <c r="X8855" s="7"/>
    </row>
    <row r="8856" spans="2:24">
      <c r="B8856" s="7"/>
      <c r="D8856" s="7"/>
      <c r="F8856" s="7"/>
      <c r="H8856" s="7"/>
      <c r="J8856" s="7"/>
      <c r="L8856" s="7"/>
      <c r="N8856" s="7"/>
      <c r="P8856" s="7"/>
      <c r="R8856" s="7"/>
      <c r="T8856" s="7"/>
      <c r="V8856" s="7"/>
      <c r="X8856" s="7"/>
    </row>
    <row r="8857" spans="2:24">
      <c r="B8857" s="7"/>
      <c r="D8857" s="7"/>
      <c r="F8857" s="7"/>
      <c r="H8857" s="7"/>
      <c r="J8857" s="7"/>
      <c r="L8857" s="7"/>
      <c r="N8857" s="7"/>
      <c r="P8857" s="7"/>
      <c r="R8857" s="7"/>
      <c r="T8857" s="7"/>
      <c r="V8857" s="7"/>
      <c r="X8857" s="7"/>
    </row>
    <row r="8858" spans="2:24">
      <c r="B8858" s="7"/>
      <c r="D8858" s="7"/>
      <c r="F8858" s="7"/>
      <c r="H8858" s="7"/>
      <c r="J8858" s="7"/>
      <c r="L8858" s="7"/>
      <c r="N8858" s="7"/>
      <c r="P8858" s="7"/>
      <c r="R8858" s="7"/>
      <c r="T8858" s="7"/>
      <c r="V8858" s="7"/>
      <c r="X8858" s="7"/>
    </row>
    <row r="8859" spans="2:24">
      <c r="B8859" s="7"/>
      <c r="D8859" s="7"/>
      <c r="F8859" s="7"/>
      <c r="H8859" s="7"/>
      <c r="J8859" s="7"/>
      <c r="L8859" s="7"/>
      <c r="N8859" s="7"/>
      <c r="P8859" s="7"/>
      <c r="R8859" s="7"/>
      <c r="T8859" s="7"/>
      <c r="V8859" s="7"/>
      <c r="X8859" s="7"/>
    </row>
    <row r="8860" spans="2:24">
      <c r="B8860" s="7"/>
      <c r="D8860" s="7"/>
      <c r="F8860" s="7"/>
      <c r="H8860" s="7"/>
      <c r="J8860" s="7"/>
      <c r="L8860" s="7"/>
      <c r="N8860" s="7"/>
      <c r="P8860" s="7"/>
      <c r="R8860" s="7"/>
      <c r="T8860" s="7"/>
      <c r="V8860" s="7"/>
      <c r="X8860" s="7"/>
    </row>
    <row r="8861" spans="2:24">
      <c r="B8861" s="7"/>
      <c r="D8861" s="7"/>
      <c r="F8861" s="7"/>
      <c r="H8861" s="7"/>
      <c r="J8861" s="7"/>
      <c r="L8861" s="7"/>
      <c r="N8861" s="7"/>
      <c r="P8861" s="7"/>
      <c r="R8861" s="7"/>
      <c r="T8861" s="7"/>
      <c r="V8861" s="7"/>
      <c r="X8861" s="7"/>
    </row>
    <row r="8862" spans="2:24">
      <c r="B8862" s="7"/>
      <c r="D8862" s="7"/>
      <c r="F8862" s="7"/>
      <c r="H8862" s="7"/>
      <c r="J8862" s="7"/>
      <c r="L8862" s="7"/>
      <c r="N8862" s="7"/>
      <c r="P8862" s="7"/>
      <c r="R8862" s="7"/>
      <c r="T8862" s="7"/>
      <c r="V8862" s="7"/>
      <c r="X8862" s="7"/>
    </row>
    <row r="8863" spans="2:24">
      <c r="B8863" s="7"/>
      <c r="D8863" s="7"/>
      <c r="F8863" s="7"/>
      <c r="H8863" s="7"/>
      <c r="J8863" s="7"/>
      <c r="L8863" s="7"/>
      <c r="N8863" s="7"/>
      <c r="P8863" s="7"/>
      <c r="R8863" s="7"/>
      <c r="T8863" s="7"/>
      <c r="V8863" s="7"/>
      <c r="X8863" s="7"/>
    </row>
    <row r="8864" spans="2:24">
      <c r="B8864" s="7"/>
      <c r="D8864" s="7"/>
      <c r="F8864" s="7"/>
      <c r="H8864" s="7"/>
      <c r="J8864" s="7"/>
      <c r="L8864" s="7"/>
      <c r="N8864" s="7"/>
      <c r="P8864" s="7"/>
      <c r="R8864" s="7"/>
      <c r="T8864" s="7"/>
      <c r="V8864" s="7"/>
      <c r="X8864" s="7"/>
    </row>
    <row r="8865" spans="2:24">
      <c r="B8865" s="7"/>
      <c r="D8865" s="7"/>
      <c r="F8865" s="7"/>
      <c r="H8865" s="7"/>
      <c r="J8865" s="7"/>
      <c r="L8865" s="7"/>
      <c r="N8865" s="7"/>
      <c r="P8865" s="7"/>
      <c r="R8865" s="7"/>
      <c r="T8865" s="7"/>
      <c r="V8865" s="7"/>
      <c r="X8865" s="7"/>
    </row>
    <row r="8866" spans="2:24">
      <c r="B8866" s="7"/>
      <c r="D8866" s="7"/>
      <c r="F8866" s="7"/>
      <c r="H8866" s="7"/>
      <c r="J8866" s="7"/>
      <c r="L8866" s="7"/>
      <c r="N8866" s="7"/>
      <c r="P8866" s="7"/>
      <c r="R8866" s="7"/>
      <c r="T8866" s="7"/>
      <c r="V8866" s="7"/>
      <c r="X8866" s="7"/>
    </row>
    <row r="8867" spans="2:24">
      <c r="B8867" s="7"/>
      <c r="D8867" s="7"/>
      <c r="F8867" s="7"/>
      <c r="H8867" s="7"/>
      <c r="J8867" s="7"/>
      <c r="L8867" s="7"/>
      <c r="N8867" s="7"/>
      <c r="P8867" s="7"/>
      <c r="R8867" s="7"/>
      <c r="T8867" s="7"/>
      <c r="V8867" s="7"/>
      <c r="X8867" s="7"/>
    </row>
    <row r="8868" spans="2:24">
      <c r="B8868" s="7"/>
      <c r="D8868" s="7"/>
      <c r="F8868" s="7"/>
      <c r="H8868" s="7"/>
      <c r="J8868" s="7"/>
      <c r="L8868" s="7"/>
      <c r="N8868" s="7"/>
      <c r="P8868" s="7"/>
      <c r="R8868" s="7"/>
      <c r="T8868" s="7"/>
      <c r="V8868" s="7"/>
      <c r="X8868" s="7"/>
    </row>
    <row r="8869" spans="2:24">
      <c r="B8869" s="7"/>
      <c r="D8869" s="7"/>
      <c r="F8869" s="7"/>
      <c r="H8869" s="7"/>
      <c r="J8869" s="7"/>
      <c r="L8869" s="7"/>
      <c r="N8869" s="7"/>
      <c r="P8869" s="7"/>
      <c r="R8869" s="7"/>
      <c r="T8869" s="7"/>
      <c r="V8869" s="7"/>
      <c r="X8869" s="7"/>
    </row>
    <row r="8870" spans="2:24">
      <c r="B8870" s="7"/>
      <c r="D8870" s="7"/>
      <c r="F8870" s="7"/>
      <c r="H8870" s="7"/>
      <c r="J8870" s="7"/>
      <c r="L8870" s="7"/>
      <c r="N8870" s="7"/>
      <c r="P8870" s="7"/>
      <c r="R8870" s="7"/>
      <c r="T8870" s="7"/>
      <c r="V8870" s="7"/>
      <c r="X8870" s="7"/>
    </row>
    <row r="8871" spans="2:24">
      <c r="B8871" s="7"/>
      <c r="D8871" s="7"/>
      <c r="F8871" s="7"/>
      <c r="H8871" s="7"/>
      <c r="J8871" s="7"/>
      <c r="L8871" s="7"/>
      <c r="N8871" s="7"/>
      <c r="P8871" s="7"/>
      <c r="R8871" s="7"/>
      <c r="T8871" s="7"/>
      <c r="V8871" s="7"/>
      <c r="X8871" s="7"/>
    </row>
    <row r="8872" spans="2:24">
      <c r="B8872" s="7"/>
      <c r="D8872" s="7"/>
      <c r="F8872" s="7"/>
      <c r="H8872" s="7"/>
      <c r="J8872" s="7"/>
      <c r="L8872" s="7"/>
      <c r="N8872" s="7"/>
      <c r="P8872" s="7"/>
      <c r="R8872" s="7"/>
      <c r="T8872" s="7"/>
      <c r="V8872" s="7"/>
      <c r="X8872" s="7"/>
    </row>
    <row r="8873" spans="2:24">
      <c r="B8873" s="7"/>
      <c r="D8873" s="7"/>
      <c r="F8873" s="7"/>
      <c r="H8873" s="7"/>
      <c r="J8873" s="7"/>
      <c r="L8873" s="7"/>
      <c r="N8873" s="7"/>
      <c r="P8873" s="7"/>
      <c r="R8873" s="7"/>
      <c r="T8873" s="7"/>
      <c r="V8873" s="7"/>
      <c r="X8873" s="7"/>
    </row>
    <row r="8874" spans="2:24">
      <c r="B8874" s="7"/>
      <c r="D8874" s="7"/>
      <c r="F8874" s="7"/>
      <c r="H8874" s="7"/>
      <c r="J8874" s="7"/>
      <c r="L8874" s="7"/>
      <c r="N8874" s="7"/>
      <c r="P8874" s="7"/>
      <c r="R8874" s="7"/>
      <c r="T8874" s="7"/>
      <c r="V8874" s="7"/>
      <c r="X8874" s="7"/>
    </row>
    <row r="8875" spans="2:24">
      <c r="B8875" s="7"/>
      <c r="D8875" s="7"/>
      <c r="F8875" s="7"/>
      <c r="H8875" s="7"/>
      <c r="J8875" s="7"/>
      <c r="L8875" s="7"/>
      <c r="N8875" s="7"/>
      <c r="P8875" s="7"/>
      <c r="R8875" s="7"/>
      <c r="T8875" s="7"/>
      <c r="V8875" s="7"/>
      <c r="X8875" s="7"/>
    </row>
    <row r="8876" spans="2:24">
      <c r="B8876" s="7"/>
      <c r="D8876" s="7"/>
      <c r="F8876" s="7"/>
      <c r="H8876" s="7"/>
      <c r="J8876" s="7"/>
      <c r="L8876" s="7"/>
      <c r="N8876" s="7"/>
      <c r="P8876" s="7"/>
      <c r="R8876" s="7"/>
      <c r="T8876" s="7"/>
      <c r="V8876" s="7"/>
      <c r="X8876" s="7"/>
    </row>
    <row r="8877" spans="2:24">
      <c r="B8877" s="7"/>
      <c r="D8877" s="7"/>
      <c r="F8877" s="7"/>
      <c r="H8877" s="7"/>
      <c r="J8877" s="7"/>
      <c r="L8877" s="7"/>
      <c r="N8877" s="7"/>
      <c r="P8877" s="7"/>
      <c r="R8877" s="7"/>
      <c r="T8877" s="7"/>
      <c r="V8877" s="7"/>
      <c r="X8877" s="7"/>
    </row>
    <row r="8878" spans="2:24">
      <c r="B8878" s="7"/>
      <c r="D8878" s="7"/>
      <c r="F8878" s="7"/>
      <c r="H8878" s="7"/>
      <c r="J8878" s="7"/>
      <c r="L8878" s="7"/>
      <c r="N8878" s="7"/>
      <c r="P8878" s="7"/>
      <c r="R8878" s="7"/>
      <c r="T8878" s="7"/>
      <c r="V8878" s="7"/>
      <c r="X8878" s="7"/>
    </row>
    <row r="8879" spans="2:24">
      <c r="B8879" s="7"/>
      <c r="D8879" s="7"/>
      <c r="F8879" s="7"/>
      <c r="H8879" s="7"/>
      <c r="J8879" s="7"/>
      <c r="L8879" s="7"/>
      <c r="N8879" s="7"/>
      <c r="P8879" s="7"/>
      <c r="R8879" s="7"/>
      <c r="T8879" s="7"/>
      <c r="V8879" s="7"/>
      <c r="X8879" s="7"/>
    </row>
    <row r="8880" spans="2:24">
      <c r="B8880" s="7"/>
      <c r="D8880" s="7"/>
      <c r="F8880" s="7"/>
      <c r="H8880" s="7"/>
      <c r="J8880" s="7"/>
      <c r="L8880" s="7"/>
      <c r="N8880" s="7"/>
      <c r="P8880" s="7"/>
      <c r="R8880" s="7"/>
      <c r="T8880" s="7"/>
      <c r="V8880" s="7"/>
      <c r="X8880" s="7"/>
    </row>
    <row r="8881" spans="2:24">
      <c r="B8881" s="7"/>
      <c r="D8881" s="7"/>
      <c r="F8881" s="7"/>
      <c r="H8881" s="7"/>
      <c r="J8881" s="7"/>
      <c r="L8881" s="7"/>
      <c r="N8881" s="7"/>
      <c r="P8881" s="7"/>
      <c r="R8881" s="7"/>
      <c r="T8881" s="7"/>
      <c r="V8881" s="7"/>
      <c r="X8881" s="7"/>
    </row>
    <row r="8882" spans="2:24">
      <c r="B8882" s="7"/>
      <c r="D8882" s="7"/>
      <c r="F8882" s="7"/>
      <c r="H8882" s="7"/>
      <c r="J8882" s="7"/>
      <c r="L8882" s="7"/>
      <c r="N8882" s="7"/>
      <c r="P8882" s="7"/>
      <c r="R8882" s="7"/>
      <c r="T8882" s="7"/>
      <c r="V8882" s="7"/>
      <c r="X8882" s="7"/>
    </row>
    <row r="8883" spans="2:24">
      <c r="B8883" s="7"/>
      <c r="D8883" s="7"/>
      <c r="F8883" s="7"/>
      <c r="H8883" s="7"/>
      <c r="J8883" s="7"/>
      <c r="L8883" s="7"/>
      <c r="N8883" s="7"/>
      <c r="P8883" s="7"/>
      <c r="R8883" s="7"/>
      <c r="T8883" s="7"/>
      <c r="V8883" s="7"/>
      <c r="X8883" s="7"/>
    </row>
    <row r="8884" spans="2:24">
      <c r="B8884" s="7"/>
      <c r="D8884" s="7"/>
      <c r="F8884" s="7"/>
      <c r="H8884" s="7"/>
      <c r="J8884" s="7"/>
      <c r="L8884" s="7"/>
      <c r="N8884" s="7"/>
      <c r="P8884" s="7"/>
      <c r="R8884" s="7"/>
      <c r="T8884" s="7"/>
      <c r="V8884" s="7"/>
      <c r="X8884" s="7"/>
    </row>
    <row r="8885" spans="2:24">
      <c r="B8885" s="7"/>
      <c r="D8885" s="7"/>
      <c r="F8885" s="7"/>
      <c r="H8885" s="7"/>
      <c r="J8885" s="7"/>
      <c r="L8885" s="7"/>
      <c r="N8885" s="7"/>
      <c r="P8885" s="7"/>
      <c r="R8885" s="7"/>
      <c r="T8885" s="7"/>
      <c r="V8885" s="7"/>
      <c r="X8885" s="7"/>
    </row>
    <row r="8886" spans="2:24">
      <c r="B8886" s="7"/>
      <c r="D8886" s="7"/>
      <c r="F8886" s="7"/>
      <c r="H8886" s="7"/>
      <c r="J8886" s="7"/>
      <c r="L8886" s="7"/>
      <c r="N8886" s="7"/>
      <c r="P8886" s="7"/>
      <c r="R8886" s="7"/>
      <c r="T8886" s="7"/>
      <c r="V8886" s="7"/>
      <c r="X8886" s="7"/>
    </row>
    <row r="8887" spans="2:24">
      <c r="B8887" s="7"/>
      <c r="D8887" s="7"/>
      <c r="F8887" s="7"/>
      <c r="H8887" s="7"/>
      <c r="J8887" s="7"/>
      <c r="L8887" s="7"/>
      <c r="N8887" s="7"/>
      <c r="P8887" s="7"/>
      <c r="R8887" s="7"/>
      <c r="T8887" s="7"/>
      <c r="V8887" s="7"/>
      <c r="X8887" s="7"/>
    </row>
    <row r="8888" spans="2:24">
      <c r="B8888" s="7"/>
      <c r="D8888" s="7"/>
      <c r="F8888" s="7"/>
      <c r="H8888" s="7"/>
      <c r="J8888" s="7"/>
      <c r="L8888" s="7"/>
      <c r="N8888" s="7"/>
      <c r="P8888" s="7"/>
      <c r="R8888" s="7"/>
      <c r="T8888" s="7"/>
      <c r="V8888" s="7"/>
      <c r="X8888" s="7"/>
    </row>
    <row r="8889" spans="2:24">
      <c r="B8889" s="7"/>
      <c r="D8889" s="7"/>
      <c r="F8889" s="7"/>
      <c r="H8889" s="7"/>
      <c r="J8889" s="7"/>
      <c r="L8889" s="7"/>
      <c r="N8889" s="7"/>
      <c r="P8889" s="7"/>
      <c r="R8889" s="7"/>
      <c r="T8889" s="7"/>
      <c r="V8889" s="7"/>
      <c r="X8889" s="7"/>
    </row>
    <row r="8890" spans="2:24">
      <c r="B8890" s="7"/>
      <c r="D8890" s="7"/>
      <c r="F8890" s="7"/>
      <c r="H8890" s="7"/>
      <c r="J8890" s="7"/>
      <c r="L8890" s="7"/>
      <c r="N8890" s="7"/>
      <c r="P8890" s="7"/>
      <c r="R8890" s="7"/>
      <c r="T8890" s="7"/>
      <c r="V8890" s="7"/>
      <c r="X8890" s="7"/>
    </row>
    <row r="8891" spans="2:24">
      <c r="B8891" s="7"/>
      <c r="D8891" s="7"/>
      <c r="F8891" s="7"/>
      <c r="H8891" s="7"/>
      <c r="J8891" s="7"/>
      <c r="L8891" s="7"/>
      <c r="N8891" s="7"/>
      <c r="P8891" s="7"/>
      <c r="R8891" s="7"/>
      <c r="T8891" s="7"/>
      <c r="V8891" s="7"/>
      <c r="X8891" s="7"/>
    </row>
    <row r="8892" spans="2:24">
      <c r="B8892" s="7"/>
      <c r="D8892" s="7"/>
      <c r="F8892" s="7"/>
      <c r="H8892" s="7"/>
      <c r="J8892" s="7"/>
      <c r="L8892" s="7"/>
      <c r="N8892" s="7"/>
      <c r="P8892" s="7"/>
      <c r="R8892" s="7"/>
      <c r="T8892" s="7"/>
      <c r="V8892" s="7"/>
      <c r="X8892" s="7"/>
    </row>
    <row r="8893" spans="2:24">
      <c r="B8893" s="7"/>
      <c r="D8893" s="7"/>
      <c r="F8893" s="7"/>
      <c r="H8893" s="7"/>
      <c r="J8893" s="7"/>
      <c r="L8893" s="7"/>
      <c r="N8893" s="7"/>
      <c r="P8893" s="7"/>
      <c r="R8893" s="7"/>
      <c r="T8893" s="7"/>
      <c r="V8893" s="7"/>
      <c r="X8893" s="7"/>
    </row>
    <row r="8894" spans="2:24">
      <c r="B8894" s="7"/>
      <c r="D8894" s="7"/>
      <c r="F8894" s="7"/>
      <c r="H8894" s="7"/>
      <c r="J8894" s="7"/>
      <c r="L8894" s="7"/>
      <c r="N8894" s="7"/>
      <c r="P8894" s="7"/>
      <c r="R8894" s="7"/>
      <c r="T8894" s="7"/>
      <c r="V8894" s="7"/>
      <c r="X8894" s="7"/>
    </row>
    <row r="8895" spans="2:24">
      <c r="B8895" s="7"/>
      <c r="D8895" s="7"/>
      <c r="F8895" s="7"/>
      <c r="H8895" s="7"/>
      <c r="J8895" s="7"/>
      <c r="L8895" s="7"/>
      <c r="N8895" s="7"/>
      <c r="P8895" s="7"/>
      <c r="R8895" s="7"/>
      <c r="T8895" s="7"/>
      <c r="V8895" s="7"/>
      <c r="X8895" s="7"/>
    </row>
    <row r="8896" spans="2:24">
      <c r="B8896" s="7"/>
      <c r="D8896" s="7"/>
      <c r="F8896" s="7"/>
      <c r="H8896" s="7"/>
      <c r="J8896" s="7"/>
      <c r="L8896" s="7"/>
      <c r="N8896" s="7"/>
      <c r="P8896" s="7"/>
      <c r="R8896" s="7"/>
      <c r="T8896" s="7"/>
      <c r="V8896" s="7"/>
      <c r="X8896" s="7"/>
    </row>
    <row r="8897" spans="2:24">
      <c r="B8897" s="7"/>
      <c r="D8897" s="7"/>
      <c r="F8897" s="7"/>
      <c r="H8897" s="7"/>
      <c r="J8897" s="7"/>
      <c r="L8897" s="7"/>
      <c r="N8897" s="7"/>
      <c r="P8897" s="7"/>
      <c r="R8897" s="7"/>
      <c r="T8897" s="7"/>
      <c r="V8897" s="7"/>
      <c r="X8897" s="7"/>
    </row>
    <row r="8898" spans="2:24">
      <c r="B8898" s="7"/>
      <c r="D8898" s="7"/>
      <c r="F8898" s="7"/>
      <c r="H8898" s="7"/>
      <c r="J8898" s="7"/>
      <c r="L8898" s="7"/>
      <c r="N8898" s="7"/>
      <c r="P8898" s="7"/>
      <c r="R8898" s="7"/>
      <c r="T8898" s="7"/>
      <c r="V8898" s="7"/>
      <c r="X8898" s="7"/>
    </row>
    <row r="8899" spans="2:24">
      <c r="B8899" s="7"/>
      <c r="D8899" s="7"/>
      <c r="F8899" s="7"/>
      <c r="H8899" s="7"/>
      <c r="J8899" s="7"/>
      <c r="L8899" s="7"/>
      <c r="N8899" s="7"/>
      <c r="P8899" s="7"/>
      <c r="R8899" s="7"/>
      <c r="T8899" s="7"/>
      <c r="V8899" s="7"/>
      <c r="X8899" s="7"/>
    </row>
    <row r="8900" spans="2:24">
      <c r="B8900" s="7"/>
      <c r="D8900" s="7"/>
      <c r="F8900" s="7"/>
      <c r="H8900" s="7"/>
      <c r="J8900" s="7"/>
      <c r="L8900" s="7"/>
      <c r="N8900" s="7"/>
      <c r="P8900" s="7"/>
      <c r="R8900" s="7"/>
      <c r="T8900" s="7"/>
      <c r="V8900" s="7"/>
      <c r="X8900" s="7"/>
    </row>
    <row r="8901" spans="2:24">
      <c r="B8901" s="7"/>
      <c r="D8901" s="7"/>
      <c r="F8901" s="7"/>
      <c r="H8901" s="7"/>
      <c r="J8901" s="7"/>
      <c r="L8901" s="7"/>
      <c r="N8901" s="7"/>
      <c r="P8901" s="7"/>
      <c r="R8901" s="7"/>
      <c r="T8901" s="7"/>
      <c r="V8901" s="7"/>
      <c r="X8901" s="7"/>
    </row>
    <row r="8902" spans="2:24">
      <c r="B8902" s="7"/>
      <c r="D8902" s="7"/>
      <c r="F8902" s="7"/>
      <c r="H8902" s="7"/>
      <c r="J8902" s="7"/>
      <c r="L8902" s="7"/>
      <c r="N8902" s="7"/>
      <c r="P8902" s="7"/>
      <c r="R8902" s="7"/>
      <c r="T8902" s="7"/>
      <c r="V8902" s="7"/>
      <c r="X8902" s="7"/>
    </row>
    <row r="8903" spans="2:24">
      <c r="B8903" s="7"/>
      <c r="D8903" s="7"/>
      <c r="F8903" s="7"/>
      <c r="H8903" s="7"/>
      <c r="J8903" s="7"/>
      <c r="L8903" s="7"/>
      <c r="N8903" s="7"/>
      <c r="P8903" s="7"/>
      <c r="R8903" s="7"/>
      <c r="T8903" s="7"/>
      <c r="V8903" s="7"/>
      <c r="X8903" s="7"/>
    </row>
    <row r="8904" spans="2:24">
      <c r="B8904" s="7"/>
      <c r="D8904" s="7"/>
      <c r="F8904" s="7"/>
      <c r="H8904" s="7"/>
      <c r="J8904" s="7"/>
      <c r="L8904" s="7"/>
      <c r="N8904" s="7"/>
      <c r="P8904" s="7"/>
      <c r="R8904" s="7"/>
      <c r="T8904" s="7"/>
      <c r="V8904" s="7"/>
      <c r="X8904" s="7"/>
    </row>
    <row r="8905" spans="2:24">
      <c r="B8905" s="7"/>
      <c r="D8905" s="7"/>
      <c r="F8905" s="7"/>
      <c r="H8905" s="7"/>
      <c r="J8905" s="7"/>
      <c r="L8905" s="7"/>
      <c r="N8905" s="7"/>
      <c r="P8905" s="7"/>
      <c r="R8905" s="7"/>
      <c r="T8905" s="7"/>
      <c r="V8905" s="7"/>
      <c r="X8905" s="7"/>
    </row>
    <row r="8906" spans="2:24">
      <c r="B8906" s="7"/>
      <c r="D8906" s="7"/>
      <c r="F8906" s="7"/>
      <c r="H8906" s="7"/>
      <c r="J8906" s="7"/>
      <c r="L8906" s="7"/>
      <c r="N8906" s="7"/>
      <c r="P8906" s="7"/>
      <c r="R8906" s="7"/>
      <c r="T8906" s="7"/>
      <c r="V8906" s="7"/>
      <c r="X8906" s="7"/>
    </row>
    <row r="8907" spans="2:24">
      <c r="B8907" s="7"/>
      <c r="D8907" s="7"/>
      <c r="F8907" s="7"/>
      <c r="H8907" s="7"/>
      <c r="J8907" s="7"/>
      <c r="L8907" s="7"/>
      <c r="N8907" s="7"/>
      <c r="P8907" s="7"/>
      <c r="R8907" s="7"/>
      <c r="T8907" s="7"/>
      <c r="V8907" s="7"/>
      <c r="X8907" s="7"/>
    </row>
    <row r="8908" spans="2:24">
      <c r="B8908" s="7"/>
      <c r="D8908" s="7"/>
      <c r="F8908" s="7"/>
      <c r="H8908" s="7"/>
      <c r="J8908" s="7"/>
      <c r="L8908" s="7"/>
      <c r="N8908" s="7"/>
      <c r="P8908" s="7"/>
      <c r="R8908" s="7"/>
      <c r="T8908" s="7"/>
      <c r="V8908" s="7"/>
      <c r="X8908" s="7"/>
    </row>
    <row r="8909" spans="2:24">
      <c r="B8909" s="7"/>
      <c r="D8909" s="7"/>
      <c r="F8909" s="7"/>
      <c r="H8909" s="7"/>
      <c r="J8909" s="7"/>
      <c r="L8909" s="7"/>
      <c r="N8909" s="7"/>
      <c r="P8909" s="7"/>
      <c r="R8909" s="7"/>
      <c r="T8909" s="7"/>
      <c r="V8909" s="7"/>
      <c r="X8909" s="7"/>
    </row>
    <row r="8910" spans="2:24">
      <c r="B8910" s="7"/>
      <c r="D8910" s="7"/>
      <c r="F8910" s="7"/>
      <c r="H8910" s="7"/>
      <c r="J8910" s="7"/>
      <c r="L8910" s="7"/>
      <c r="N8910" s="7"/>
      <c r="P8910" s="7"/>
      <c r="R8910" s="7"/>
      <c r="T8910" s="7"/>
      <c r="V8910" s="7"/>
      <c r="X8910" s="7"/>
    </row>
    <row r="8911" spans="2:24">
      <c r="B8911" s="7"/>
      <c r="D8911" s="7"/>
      <c r="F8911" s="7"/>
      <c r="H8911" s="7"/>
      <c r="J8911" s="7"/>
      <c r="L8911" s="7"/>
      <c r="N8911" s="7"/>
      <c r="P8911" s="7"/>
      <c r="R8911" s="7"/>
      <c r="T8911" s="7"/>
      <c r="V8911" s="7"/>
      <c r="X8911" s="7"/>
    </row>
    <row r="8912" spans="2:24">
      <c r="B8912" s="7"/>
      <c r="D8912" s="7"/>
      <c r="F8912" s="7"/>
      <c r="H8912" s="7"/>
      <c r="J8912" s="7"/>
      <c r="L8912" s="7"/>
      <c r="N8912" s="7"/>
      <c r="P8912" s="7"/>
      <c r="R8912" s="7"/>
      <c r="T8912" s="7"/>
      <c r="V8912" s="7"/>
      <c r="X8912" s="7"/>
    </row>
    <row r="8913" spans="2:24">
      <c r="B8913" s="7"/>
      <c r="D8913" s="7"/>
      <c r="F8913" s="7"/>
      <c r="H8913" s="7"/>
      <c r="J8913" s="7"/>
      <c r="L8913" s="7"/>
      <c r="N8913" s="7"/>
      <c r="P8913" s="7"/>
      <c r="R8913" s="7"/>
      <c r="T8913" s="7"/>
      <c r="V8913" s="7"/>
      <c r="X8913" s="7"/>
    </row>
    <row r="8914" spans="2:24">
      <c r="B8914" s="7"/>
      <c r="D8914" s="7"/>
      <c r="F8914" s="7"/>
      <c r="H8914" s="7"/>
      <c r="J8914" s="7"/>
      <c r="L8914" s="7"/>
      <c r="N8914" s="7"/>
      <c r="P8914" s="7"/>
      <c r="R8914" s="7"/>
      <c r="T8914" s="7"/>
      <c r="V8914" s="7"/>
      <c r="X8914" s="7"/>
    </row>
    <row r="8915" spans="2:24">
      <c r="B8915" s="7"/>
      <c r="D8915" s="7"/>
      <c r="F8915" s="7"/>
      <c r="H8915" s="7"/>
      <c r="J8915" s="7"/>
      <c r="L8915" s="7"/>
      <c r="N8915" s="7"/>
      <c r="P8915" s="7"/>
      <c r="R8915" s="7"/>
      <c r="T8915" s="7"/>
      <c r="V8915" s="7"/>
      <c r="X8915" s="7"/>
    </row>
    <row r="8916" spans="2:24">
      <c r="B8916" s="7"/>
      <c r="D8916" s="7"/>
      <c r="F8916" s="7"/>
      <c r="H8916" s="7"/>
      <c r="J8916" s="7"/>
      <c r="L8916" s="7"/>
      <c r="N8916" s="7"/>
      <c r="P8916" s="7"/>
      <c r="R8916" s="7"/>
      <c r="T8916" s="7"/>
      <c r="V8916" s="7"/>
      <c r="X8916" s="7"/>
    </row>
    <row r="8917" spans="2:24">
      <c r="B8917" s="7"/>
      <c r="D8917" s="7"/>
      <c r="F8917" s="7"/>
      <c r="H8917" s="7"/>
      <c r="J8917" s="7"/>
      <c r="L8917" s="7"/>
      <c r="N8917" s="7"/>
      <c r="P8917" s="7"/>
      <c r="R8917" s="7"/>
      <c r="T8917" s="7"/>
      <c r="V8917" s="7"/>
      <c r="X8917" s="7"/>
    </row>
    <row r="8918" spans="2:24">
      <c r="B8918" s="7"/>
      <c r="D8918" s="7"/>
      <c r="F8918" s="7"/>
      <c r="H8918" s="7"/>
      <c r="J8918" s="7"/>
      <c r="L8918" s="7"/>
      <c r="N8918" s="7"/>
      <c r="P8918" s="7"/>
      <c r="R8918" s="7"/>
      <c r="T8918" s="7"/>
      <c r="V8918" s="7"/>
      <c r="X8918" s="7"/>
    </row>
    <row r="8919" spans="2:24">
      <c r="B8919" s="7"/>
      <c r="D8919" s="7"/>
      <c r="F8919" s="7"/>
      <c r="H8919" s="7"/>
      <c r="J8919" s="7"/>
      <c r="L8919" s="7"/>
      <c r="N8919" s="7"/>
      <c r="P8919" s="7"/>
      <c r="R8919" s="7"/>
      <c r="T8919" s="7"/>
      <c r="V8919" s="7"/>
      <c r="X8919" s="7"/>
    </row>
    <row r="8920" spans="2:24">
      <c r="B8920" s="7"/>
      <c r="D8920" s="7"/>
      <c r="F8920" s="7"/>
      <c r="H8920" s="7"/>
      <c r="J8920" s="7"/>
      <c r="L8920" s="7"/>
      <c r="N8920" s="7"/>
      <c r="P8920" s="7"/>
      <c r="R8920" s="7"/>
      <c r="T8920" s="7"/>
      <c r="V8920" s="7"/>
      <c r="X8920" s="7"/>
    </row>
    <row r="8921" spans="2:24">
      <c r="B8921" s="7"/>
      <c r="D8921" s="7"/>
      <c r="F8921" s="7"/>
      <c r="H8921" s="7"/>
      <c r="J8921" s="7"/>
      <c r="L8921" s="7"/>
      <c r="N8921" s="7"/>
      <c r="P8921" s="7"/>
      <c r="R8921" s="7"/>
      <c r="T8921" s="7"/>
      <c r="V8921" s="7"/>
      <c r="X8921" s="7"/>
    </row>
    <row r="8922" spans="2:24">
      <c r="B8922" s="7"/>
      <c r="D8922" s="7"/>
      <c r="F8922" s="7"/>
      <c r="H8922" s="7"/>
      <c r="J8922" s="7"/>
      <c r="L8922" s="7"/>
      <c r="N8922" s="7"/>
      <c r="P8922" s="7"/>
      <c r="R8922" s="7"/>
      <c r="T8922" s="7"/>
      <c r="V8922" s="7"/>
      <c r="X8922" s="7"/>
    </row>
    <row r="8923" spans="2:24">
      <c r="B8923" s="7"/>
      <c r="D8923" s="7"/>
      <c r="F8923" s="7"/>
      <c r="H8923" s="7"/>
      <c r="J8923" s="7"/>
      <c r="L8923" s="7"/>
      <c r="N8923" s="7"/>
      <c r="P8923" s="7"/>
      <c r="R8923" s="7"/>
      <c r="T8923" s="7"/>
      <c r="V8923" s="7"/>
      <c r="X8923" s="7"/>
    </row>
    <row r="8924" spans="2:24">
      <c r="B8924" s="7"/>
      <c r="D8924" s="7"/>
      <c r="F8924" s="7"/>
      <c r="H8924" s="7"/>
      <c r="J8924" s="7"/>
      <c r="L8924" s="7"/>
      <c r="N8924" s="7"/>
      <c r="P8924" s="7"/>
      <c r="R8924" s="7"/>
      <c r="T8924" s="7"/>
      <c r="V8924" s="7"/>
      <c r="X8924" s="7"/>
    </row>
    <row r="8925" spans="2:24">
      <c r="B8925" s="7"/>
      <c r="D8925" s="7"/>
      <c r="F8925" s="7"/>
      <c r="H8925" s="7"/>
      <c r="J8925" s="7"/>
      <c r="L8925" s="7"/>
      <c r="N8925" s="7"/>
      <c r="P8925" s="7"/>
      <c r="R8925" s="7"/>
      <c r="T8925" s="7"/>
      <c r="V8925" s="7"/>
      <c r="X8925" s="7"/>
    </row>
    <row r="8926" spans="2:24">
      <c r="B8926" s="7"/>
      <c r="D8926" s="7"/>
      <c r="F8926" s="7"/>
      <c r="H8926" s="7"/>
      <c r="J8926" s="7"/>
      <c r="L8926" s="7"/>
      <c r="N8926" s="7"/>
      <c r="P8926" s="7"/>
      <c r="R8926" s="7"/>
      <c r="T8926" s="7"/>
      <c r="V8926" s="7"/>
      <c r="X8926" s="7"/>
    </row>
    <row r="8927" spans="2:24">
      <c r="B8927" s="7"/>
      <c r="D8927" s="7"/>
      <c r="F8927" s="7"/>
      <c r="H8927" s="7"/>
      <c r="J8927" s="7"/>
      <c r="L8927" s="7"/>
      <c r="N8927" s="7"/>
      <c r="P8927" s="7"/>
      <c r="R8927" s="7"/>
      <c r="T8927" s="7"/>
      <c r="V8927" s="7"/>
      <c r="X8927" s="7"/>
    </row>
    <row r="8928" spans="2:24">
      <c r="B8928" s="7"/>
      <c r="D8928" s="7"/>
      <c r="F8928" s="7"/>
      <c r="H8928" s="7"/>
      <c r="J8928" s="7"/>
      <c r="L8928" s="7"/>
      <c r="N8928" s="7"/>
      <c r="P8928" s="7"/>
      <c r="R8928" s="7"/>
      <c r="T8928" s="7"/>
      <c r="V8928" s="7"/>
      <c r="X8928" s="7"/>
    </row>
    <row r="8929" spans="2:24">
      <c r="B8929" s="7"/>
      <c r="D8929" s="7"/>
      <c r="F8929" s="7"/>
      <c r="H8929" s="7"/>
      <c r="J8929" s="7"/>
      <c r="L8929" s="7"/>
      <c r="N8929" s="7"/>
      <c r="P8929" s="7"/>
      <c r="R8929" s="7"/>
      <c r="T8929" s="7"/>
      <c r="V8929" s="7"/>
      <c r="X8929" s="7"/>
    </row>
    <row r="8930" spans="2:24">
      <c r="B8930" s="7"/>
      <c r="D8930" s="7"/>
      <c r="F8930" s="7"/>
      <c r="H8930" s="7"/>
      <c r="J8930" s="7"/>
      <c r="L8930" s="7"/>
      <c r="N8930" s="7"/>
      <c r="P8930" s="7"/>
      <c r="R8930" s="7"/>
      <c r="T8930" s="7"/>
      <c r="V8930" s="7"/>
      <c r="X8930" s="7"/>
    </row>
    <row r="8931" spans="2:24">
      <c r="B8931" s="7"/>
      <c r="D8931" s="7"/>
      <c r="F8931" s="7"/>
      <c r="H8931" s="7"/>
      <c r="J8931" s="7"/>
      <c r="L8931" s="7"/>
      <c r="N8931" s="7"/>
      <c r="P8931" s="7"/>
      <c r="R8931" s="7"/>
      <c r="T8931" s="7"/>
      <c r="V8931" s="7"/>
      <c r="X8931" s="7"/>
    </row>
    <row r="8932" spans="2:24">
      <c r="B8932" s="7"/>
      <c r="D8932" s="7"/>
      <c r="F8932" s="7"/>
      <c r="H8932" s="7"/>
      <c r="J8932" s="7"/>
      <c r="L8932" s="7"/>
      <c r="N8932" s="7"/>
      <c r="P8932" s="7"/>
      <c r="R8932" s="7"/>
      <c r="T8932" s="7"/>
      <c r="V8932" s="7"/>
      <c r="X8932" s="7"/>
    </row>
    <row r="8933" spans="2:24">
      <c r="B8933" s="7"/>
      <c r="D8933" s="7"/>
      <c r="F8933" s="7"/>
      <c r="H8933" s="7"/>
      <c r="J8933" s="7"/>
      <c r="L8933" s="7"/>
      <c r="N8933" s="7"/>
      <c r="P8933" s="7"/>
      <c r="R8933" s="7"/>
      <c r="T8933" s="7"/>
      <c r="V8933" s="7"/>
      <c r="X8933" s="7"/>
    </row>
    <row r="8934" spans="2:24">
      <c r="B8934" s="7"/>
      <c r="D8934" s="7"/>
      <c r="F8934" s="7"/>
      <c r="H8934" s="7"/>
      <c r="J8934" s="7"/>
      <c r="L8934" s="7"/>
      <c r="N8934" s="7"/>
      <c r="P8934" s="7"/>
      <c r="R8934" s="7"/>
      <c r="T8934" s="7"/>
      <c r="V8934" s="7"/>
      <c r="X8934" s="7"/>
    </row>
    <row r="8935" spans="2:24">
      <c r="B8935" s="7"/>
      <c r="D8935" s="7"/>
      <c r="F8935" s="7"/>
      <c r="H8935" s="7"/>
      <c r="J8935" s="7"/>
      <c r="L8935" s="7"/>
      <c r="N8935" s="7"/>
      <c r="P8935" s="7"/>
      <c r="R8935" s="7"/>
      <c r="T8935" s="7"/>
      <c r="V8935" s="7"/>
      <c r="X8935" s="7"/>
    </row>
    <row r="8936" spans="2:24">
      <c r="B8936" s="7"/>
      <c r="D8936" s="7"/>
      <c r="F8936" s="7"/>
      <c r="H8936" s="7"/>
      <c r="J8936" s="7"/>
      <c r="L8936" s="7"/>
      <c r="N8936" s="7"/>
      <c r="P8936" s="7"/>
      <c r="R8936" s="7"/>
      <c r="T8936" s="7"/>
      <c r="V8936" s="7"/>
      <c r="X8936" s="7"/>
    </row>
    <row r="8937" spans="2:24">
      <c r="B8937" s="7"/>
      <c r="D8937" s="7"/>
      <c r="F8937" s="7"/>
      <c r="H8937" s="7"/>
      <c r="J8937" s="7"/>
      <c r="L8937" s="7"/>
      <c r="N8937" s="7"/>
      <c r="P8937" s="7"/>
      <c r="R8937" s="7"/>
      <c r="T8937" s="7"/>
      <c r="V8937" s="7"/>
      <c r="X8937" s="7"/>
    </row>
    <row r="8938" spans="2:24">
      <c r="B8938" s="7"/>
      <c r="D8938" s="7"/>
      <c r="F8938" s="7"/>
      <c r="H8938" s="7"/>
      <c r="J8938" s="7"/>
      <c r="L8938" s="7"/>
      <c r="N8938" s="7"/>
      <c r="P8938" s="7"/>
      <c r="R8938" s="7"/>
      <c r="T8938" s="7"/>
      <c r="V8938" s="7"/>
      <c r="X8938" s="7"/>
    </row>
    <row r="8939" spans="2:24">
      <c r="B8939" s="7"/>
      <c r="D8939" s="7"/>
      <c r="F8939" s="7"/>
      <c r="H8939" s="7"/>
      <c r="J8939" s="7"/>
      <c r="L8939" s="7"/>
      <c r="N8939" s="7"/>
      <c r="P8939" s="7"/>
      <c r="R8939" s="7"/>
      <c r="T8939" s="7"/>
      <c r="V8939" s="7"/>
      <c r="X8939" s="7"/>
    </row>
    <row r="8940" spans="2:24">
      <c r="B8940" s="7"/>
      <c r="D8940" s="7"/>
      <c r="F8940" s="7"/>
      <c r="H8940" s="7"/>
      <c r="J8940" s="7"/>
      <c r="L8940" s="7"/>
      <c r="N8940" s="7"/>
      <c r="P8940" s="7"/>
      <c r="R8940" s="7"/>
      <c r="T8940" s="7"/>
      <c r="V8940" s="7"/>
      <c r="X8940" s="7"/>
    </row>
    <row r="8941" spans="2:24">
      <c r="B8941" s="7"/>
      <c r="D8941" s="7"/>
      <c r="F8941" s="7"/>
      <c r="H8941" s="7"/>
      <c r="J8941" s="7"/>
      <c r="L8941" s="7"/>
      <c r="N8941" s="7"/>
      <c r="P8941" s="7"/>
      <c r="R8941" s="7"/>
      <c r="T8941" s="7"/>
      <c r="V8941" s="7"/>
      <c r="X8941" s="7"/>
    </row>
    <row r="8942" spans="2:24">
      <c r="B8942" s="7"/>
      <c r="D8942" s="7"/>
      <c r="F8942" s="7"/>
      <c r="H8942" s="7"/>
      <c r="J8942" s="7"/>
      <c r="L8942" s="7"/>
      <c r="N8942" s="7"/>
      <c r="P8942" s="7"/>
      <c r="R8942" s="7"/>
      <c r="T8942" s="7"/>
      <c r="V8942" s="7"/>
      <c r="X8942" s="7"/>
    </row>
    <row r="8943" spans="2:24">
      <c r="B8943" s="7"/>
      <c r="D8943" s="7"/>
      <c r="F8943" s="7"/>
      <c r="H8943" s="7"/>
      <c r="J8943" s="7"/>
      <c r="L8943" s="7"/>
      <c r="N8943" s="7"/>
      <c r="P8943" s="7"/>
      <c r="R8943" s="7"/>
      <c r="T8943" s="7"/>
      <c r="V8943" s="7"/>
      <c r="X8943" s="7"/>
    </row>
    <row r="8944" spans="2:24">
      <c r="B8944" s="7"/>
      <c r="D8944" s="7"/>
      <c r="F8944" s="7"/>
      <c r="H8944" s="7"/>
      <c r="J8944" s="7"/>
      <c r="L8944" s="7"/>
      <c r="N8944" s="7"/>
      <c r="P8944" s="7"/>
      <c r="R8944" s="7"/>
      <c r="T8944" s="7"/>
      <c r="V8944" s="7"/>
      <c r="X8944" s="7"/>
    </row>
    <row r="8945" spans="2:24">
      <c r="B8945" s="7"/>
      <c r="D8945" s="7"/>
      <c r="F8945" s="7"/>
      <c r="H8945" s="7"/>
      <c r="J8945" s="7"/>
      <c r="L8945" s="7"/>
      <c r="N8945" s="7"/>
      <c r="P8945" s="7"/>
      <c r="R8945" s="7"/>
      <c r="T8945" s="7"/>
      <c r="V8945" s="7"/>
      <c r="X8945" s="7"/>
    </row>
    <row r="8946" spans="2:24">
      <c r="B8946" s="7"/>
      <c r="D8946" s="7"/>
      <c r="F8946" s="7"/>
      <c r="H8946" s="7"/>
      <c r="J8946" s="7"/>
      <c r="L8946" s="7"/>
      <c r="N8946" s="7"/>
      <c r="P8946" s="7"/>
      <c r="R8946" s="7"/>
      <c r="T8946" s="7"/>
      <c r="V8946" s="7"/>
      <c r="X8946" s="7"/>
    </row>
    <row r="8947" spans="2:24">
      <c r="B8947" s="7"/>
      <c r="D8947" s="7"/>
      <c r="F8947" s="7"/>
      <c r="H8947" s="7"/>
      <c r="J8947" s="7"/>
      <c r="L8947" s="7"/>
      <c r="N8947" s="7"/>
      <c r="P8947" s="7"/>
      <c r="R8947" s="7"/>
      <c r="T8947" s="7"/>
      <c r="V8947" s="7"/>
      <c r="X8947" s="7"/>
    </row>
    <row r="8948" spans="2:24">
      <c r="B8948" s="7"/>
      <c r="D8948" s="7"/>
      <c r="F8948" s="7"/>
      <c r="H8948" s="7"/>
      <c r="J8948" s="7"/>
      <c r="L8948" s="7"/>
      <c r="N8948" s="7"/>
      <c r="P8948" s="7"/>
      <c r="R8948" s="7"/>
      <c r="T8948" s="7"/>
      <c r="V8948" s="7"/>
      <c r="X8948" s="7"/>
    </row>
    <row r="8949" spans="2:24">
      <c r="B8949" s="7"/>
      <c r="D8949" s="7"/>
      <c r="F8949" s="7"/>
      <c r="H8949" s="7"/>
      <c r="J8949" s="7"/>
      <c r="L8949" s="7"/>
      <c r="N8949" s="7"/>
      <c r="P8949" s="7"/>
      <c r="R8949" s="7"/>
      <c r="T8949" s="7"/>
      <c r="V8949" s="7"/>
      <c r="X8949" s="7"/>
    </row>
    <row r="8950" spans="2:24">
      <c r="B8950" s="7"/>
      <c r="D8950" s="7"/>
      <c r="F8950" s="7"/>
      <c r="H8950" s="7"/>
      <c r="J8950" s="7"/>
      <c r="L8950" s="7"/>
      <c r="N8950" s="7"/>
      <c r="P8950" s="7"/>
      <c r="R8950" s="7"/>
      <c r="T8950" s="7"/>
      <c r="V8950" s="7"/>
      <c r="X8950" s="7"/>
    </row>
    <row r="8951" spans="2:24">
      <c r="B8951" s="7"/>
      <c r="D8951" s="7"/>
      <c r="F8951" s="7"/>
      <c r="H8951" s="7"/>
      <c r="J8951" s="7"/>
      <c r="L8951" s="7"/>
      <c r="N8951" s="7"/>
      <c r="P8951" s="7"/>
      <c r="R8951" s="7"/>
      <c r="T8951" s="7"/>
      <c r="V8951" s="7"/>
      <c r="X8951" s="7"/>
    </row>
    <row r="8952" spans="2:24">
      <c r="B8952" s="7"/>
      <c r="D8952" s="7"/>
      <c r="F8952" s="7"/>
      <c r="H8952" s="7"/>
      <c r="J8952" s="7"/>
      <c r="L8952" s="7"/>
      <c r="N8952" s="7"/>
      <c r="P8952" s="7"/>
      <c r="R8952" s="7"/>
      <c r="T8952" s="7"/>
      <c r="V8952" s="7"/>
      <c r="X8952" s="7"/>
    </row>
    <row r="8953" spans="2:24">
      <c r="B8953" s="7"/>
      <c r="D8953" s="7"/>
      <c r="F8953" s="7"/>
      <c r="H8953" s="7"/>
      <c r="J8953" s="7"/>
      <c r="L8953" s="7"/>
      <c r="N8953" s="7"/>
      <c r="P8953" s="7"/>
      <c r="R8953" s="7"/>
      <c r="T8953" s="7"/>
      <c r="V8953" s="7"/>
      <c r="X8953" s="7"/>
    </row>
    <row r="8954" spans="2:24">
      <c r="B8954" s="7"/>
      <c r="D8954" s="7"/>
      <c r="F8954" s="7"/>
      <c r="H8954" s="7"/>
      <c r="J8954" s="7"/>
      <c r="L8954" s="7"/>
      <c r="N8954" s="7"/>
      <c r="P8954" s="7"/>
      <c r="R8954" s="7"/>
      <c r="T8954" s="7"/>
      <c r="V8954" s="7"/>
      <c r="X8954" s="7"/>
    </row>
    <row r="8955" spans="2:24">
      <c r="B8955" s="7"/>
      <c r="D8955" s="7"/>
      <c r="F8955" s="7"/>
      <c r="H8955" s="7"/>
      <c r="J8955" s="7"/>
      <c r="L8955" s="7"/>
      <c r="N8955" s="7"/>
      <c r="P8955" s="7"/>
      <c r="R8955" s="7"/>
      <c r="T8955" s="7"/>
      <c r="V8955" s="7"/>
      <c r="X8955" s="7"/>
    </row>
    <row r="8956" spans="2:24">
      <c r="B8956" s="7"/>
      <c r="D8956" s="7"/>
      <c r="F8956" s="7"/>
      <c r="H8956" s="7"/>
      <c r="J8956" s="7"/>
      <c r="L8956" s="7"/>
      <c r="N8956" s="7"/>
      <c r="P8956" s="7"/>
      <c r="R8956" s="7"/>
      <c r="T8956" s="7"/>
      <c r="V8956" s="7"/>
      <c r="X8956" s="7"/>
    </row>
    <row r="8957" spans="2:24">
      <c r="B8957" s="7"/>
      <c r="D8957" s="7"/>
      <c r="F8957" s="7"/>
      <c r="H8957" s="7"/>
      <c r="J8957" s="7"/>
      <c r="L8957" s="7"/>
      <c r="N8957" s="7"/>
      <c r="P8957" s="7"/>
      <c r="R8957" s="7"/>
      <c r="T8957" s="7"/>
      <c r="V8957" s="7"/>
      <c r="X8957" s="7"/>
    </row>
    <row r="8958" spans="2:24">
      <c r="B8958" s="7"/>
      <c r="D8958" s="7"/>
      <c r="F8958" s="7"/>
      <c r="H8958" s="7"/>
      <c r="J8958" s="7"/>
      <c r="L8958" s="7"/>
      <c r="N8958" s="7"/>
      <c r="P8958" s="7"/>
      <c r="R8958" s="7"/>
      <c r="T8958" s="7"/>
      <c r="V8958" s="7"/>
      <c r="X8958" s="7"/>
    </row>
    <row r="8959" spans="2:24">
      <c r="B8959" s="7"/>
      <c r="D8959" s="7"/>
      <c r="F8959" s="7"/>
      <c r="H8959" s="7"/>
      <c r="J8959" s="7"/>
      <c r="L8959" s="7"/>
      <c r="N8959" s="7"/>
      <c r="P8959" s="7"/>
      <c r="R8959" s="7"/>
      <c r="T8959" s="7"/>
      <c r="V8959" s="7"/>
      <c r="X8959" s="7"/>
    </row>
    <row r="8960" spans="2:24">
      <c r="B8960" s="7"/>
      <c r="D8960" s="7"/>
      <c r="F8960" s="7"/>
      <c r="H8960" s="7"/>
      <c r="J8960" s="7"/>
      <c r="L8960" s="7"/>
      <c r="N8960" s="7"/>
      <c r="P8960" s="7"/>
      <c r="R8960" s="7"/>
      <c r="T8960" s="7"/>
      <c r="V8960" s="7"/>
      <c r="X8960" s="7"/>
    </row>
    <row r="8961" spans="2:24">
      <c r="B8961" s="7"/>
      <c r="D8961" s="7"/>
      <c r="F8961" s="7"/>
      <c r="H8961" s="7"/>
      <c r="J8961" s="7"/>
      <c r="L8961" s="7"/>
      <c r="N8961" s="7"/>
      <c r="P8961" s="7"/>
      <c r="R8961" s="7"/>
      <c r="T8961" s="7"/>
      <c r="V8961" s="7"/>
      <c r="X8961" s="7"/>
    </row>
    <row r="8962" spans="2:24">
      <c r="B8962" s="7"/>
      <c r="D8962" s="7"/>
      <c r="F8962" s="7"/>
      <c r="H8962" s="7"/>
      <c r="J8962" s="7"/>
      <c r="L8962" s="7"/>
      <c r="N8962" s="7"/>
      <c r="P8962" s="7"/>
      <c r="R8962" s="7"/>
      <c r="T8962" s="7"/>
      <c r="V8962" s="7"/>
      <c r="X8962" s="7"/>
    </row>
    <row r="8963" spans="2:24">
      <c r="B8963" s="7"/>
      <c r="D8963" s="7"/>
      <c r="F8963" s="7"/>
      <c r="H8963" s="7"/>
      <c r="J8963" s="7"/>
      <c r="L8963" s="7"/>
      <c r="N8963" s="7"/>
      <c r="P8963" s="7"/>
      <c r="R8963" s="7"/>
      <c r="T8963" s="7"/>
      <c r="V8963" s="7"/>
      <c r="X8963" s="7"/>
    </row>
    <row r="8964" spans="2:24">
      <c r="B8964" s="7"/>
      <c r="D8964" s="7"/>
      <c r="F8964" s="7"/>
      <c r="H8964" s="7"/>
      <c r="J8964" s="7"/>
      <c r="L8964" s="7"/>
      <c r="N8964" s="7"/>
      <c r="P8964" s="7"/>
      <c r="R8964" s="7"/>
      <c r="T8964" s="7"/>
      <c r="V8964" s="7"/>
      <c r="X8964" s="7"/>
    </row>
    <row r="8965" spans="2:24">
      <c r="B8965" s="7"/>
      <c r="D8965" s="7"/>
      <c r="F8965" s="7"/>
      <c r="H8965" s="7"/>
      <c r="J8965" s="7"/>
      <c r="L8965" s="7"/>
      <c r="N8965" s="7"/>
      <c r="P8965" s="7"/>
      <c r="R8965" s="7"/>
      <c r="T8965" s="7"/>
      <c r="V8965" s="7"/>
      <c r="X8965" s="7"/>
    </row>
    <row r="8966" spans="2:24">
      <c r="B8966" s="7"/>
      <c r="D8966" s="7"/>
      <c r="F8966" s="7"/>
      <c r="H8966" s="7"/>
      <c r="J8966" s="7"/>
      <c r="L8966" s="7"/>
      <c r="N8966" s="7"/>
      <c r="P8966" s="7"/>
      <c r="R8966" s="7"/>
      <c r="T8966" s="7"/>
      <c r="V8966" s="7"/>
      <c r="X8966" s="7"/>
    </row>
    <row r="8967" spans="2:24">
      <c r="B8967" s="7"/>
      <c r="D8967" s="7"/>
      <c r="F8967" s="7"/>
      <c r="H8967" s="7"/>
      <c r="J8967" s="7"/>
      <c r="L8967" s="7"/>
      <c r="N8967" s="7"/>
      <c r="P8967" s="7"/>
      <c r="R8967" s="7"/>
      <c r="T8967" s="7"/>
      <c r="V8967" s="7"/>
      <c r="X8967" s="7"/>
    </row>
    <row r="8968" spans="2:24">
      <c r="B8968" s="7"/>
      <c r="D8968" s="7"/>
      <c r="F8968" s="7"/>
      <c r="H8968" s="7"/>
      <c r="J8968" s="7"/>
      <c r="L8968" s="7"/>
      <c r="N8968" s="7"/>
      <c r="P8968" s="7"/>
      <c r="R8968" s="7"/>
      <c r="T8968" s="7"/>
      <c r="V8968" s="7"/>
      <c r="X8968" s="7"/>
    </row>
    <row r="8969" spans="2:24">
      <c r="B8969" s="7"/>
      <c r="D8969" s="7"/>
      <c r="F8969" s="7"/>
      <c r="H8969" s="7"/>
      <c r="J8969" s="7"/>
      <c r="L8969" s="7"/>
      <c r="N8969" s="7"/>
      <c r="P8969" s="7"/>
      <c r="R8969" s="7"/>
      <c r="T8969" s="7"/>
      <c r="V8969" s="7"/>
      <c r="X8969" s="7"/>
    </row>
    <row r="8970" spans="2:24">
      <c r="B8970" s="7"/>
      <c r="D8970" s="7"/>
      <c r="F8970" s="7"/>
      <c r="H8970" s="7"/>
      <c r="J8970" s="7"/>
      <c r="L8970" s="7"/>
      <c r="N8970" s="7"/>
      <c r="P8970" s="7"/>
      <c r="R8970" s="7"/>
      <c r="T8970" s="7"/>
      <c r="V8970" s="7"/>
      <c r="X8970" s="7"/>
    </row>
    <row r="8971" spans="2:24">
      <c r="B8971" s="7"/>
      <c r="D8971" s="7"/>
      <c r="F8971" s="7"/>
      <c r="H8971" s="7"/>
      <c r="J8971" s="7"/>
      <c r="L8971" s="7"/>
      <c r="N8971" s="7"/>
      <c r="P8971" s="7"/>
      <c r="R8971" s="7"/>
      <c r="T8971" s="7"/>
      <c r="V8971" s="7"/>
      <c r="X8971" s="7"/>
    </row>
    <row r="8972" spans="2:24">
      <c r="B8972" s="7"/>
      <c r="D8972" s="7"/>
      <c r="F8972" s="7"/>
      <c r="H8972" s="7"/>
      <c r="J8972" s="7"/>
      <c r="L8972" s="7"/>
      <c r="N8972" s="7"/>
      <c r="P8972" s="7"/>
      <c r="R8972" s="7"/>
      <c r="T8972" s="7"/>
      <c r="V8972" s="7"/>
      <c r="X8972" s="7"/>
    </row>
    <row r="8973" spans="2:24">
      <c r="B8973" s="7"/>
      <c r="D8973" s="7"/>
      <c r="F8973" s="7"/>
      <c r="H8973" s="7"/>
      <c r="J8973" s="7"/>
      <c r="L8973" s="7"/>
      <c r="N8973" s="7"/>
      <c r="P8973" s="7"/>
      <c r="R8973" s="7"/>
      <c r="T8973" s="7"/>
      <c r="V8973" s="7"/>
      <c r="X8973" s="7"/>
    </row>
    <row r="8974" spans="2:24">
      <c r="B8974" s="7"/>
      <c r="D8974" s="7"/>
      <c r="F8974" s="7"/>
      <c r="H8974" s="7"/>
      <c r="J8974" s="7"/>
      <c r="L8974" s="7"/>
      <c r="N8974" s="7"/>
      <c r="P8974" s="7"/>
      <c r="R8974" s="7"/>
      <c r="T8974" s="7"/>
      <c r="V8974" s="7"/>
      <c r="X8974" s="7"/>
    </row>
    <row r="8975" spans="2:24">
      <c r="B8975" s="7"/>
      <c r="D8975" s="7"/>
      <c r="F8975" s="7"/>
      <c r="H8975" s="7"/>
      <c r="J8975" s="7"/>
      <c r="L8975" s="7"/>
      <c r="N8975" s="7"/>
      <c r="P8975" s="7"/>
      <c r="R8975" s="7"/>
      <c r="T8975" s="7"/>
      <c r="V8975" s="7"/>
      <c r="X8975" s="7"/>
    </row>
    <row r="8976" spans="2:24">
      <c r="B8976" s="7"/>
      <c r="D8976" s="7"/>
      <c r="F8976" s="7"/>
      <c r="H8976" s="7"/>
      <c r="J8976" s="7"/>
      <c r="L8976" s="7"/>
      <c r="N8976" s="7"/>
      <c r="P8976" s="7"/>
      <c r="R8976" s="7"/>
      <c r="T8976" s="7"/>
      <c r="V8976" s="7"/>
      <c r="X8976" s="7"/>
    </row>
    <row r="8977" spans="2:24">
      <c r="B8977" s="7"/>
      <c r="D8977" s="7"/>
      <c r="F8977" s="7"/>
      <c r="H8977" s="7"/>
      <c r="J8977" s="7"/>
      <c r="L8977" s="7"/>
      <c r="N8977" s="7"/>
      <c r="P8977" s="7"/>
      <c r="R8977" s="7"/>
      <c r="T8977" s="7"/>
      <c r="V8977" s="7"/>
      <c r="X8977" s="7"/>
    </row>
    <row r="8978" spans="2:24">
      <c r="B8978" s="7"/>
      <c r="D8978" s="7"/>
      <c r="F8978" s="7"/>
      <c r="H8978" s="7"/>
      <c r="J8978" s="7"/>
      <c r="L8978" s="7"/>
      <c r="N8978" s="7"/>
      <c r="P8978" s="7"/>
      <c r="R8978" s="7"/>
      <c r="T8978" s="7"/>
      <c r="V8978" s="7"/>
      <c r="X8978" s="7"/>
    </row>
    <row r="8979" spans="2:24">
      <c r="B8979" s="7"/>
      <c r="D8979" s="7"/>
      <c r="F8979" s="7"/>
      <c r="H8979" s="7"/>
      <c r="J8979" s="7"/>
      <c r="L8979" s="7"/>
      <c r="N8979" s="7"/>
      <c r="P8979" s="7"/>
      <c r="R8979" s="7"/>
      <c r="T8979" s="7"/>
      <c r="V8979" s="7"/>
      <c r="X8979" s="7"/>
    </row>
    <row r="8980" spans="2:24">
      <c r="B8980" s="7"/>
      <c r="D8980" s="7"/>
      <c r="F8980" s="7"/>
      <c r="H8980" s="7"/>
      <c r="J8980" s="7"/>
      <c r="L8980" s="7"/>
      <c r="N8980" s="7"/>
      <c r="P8980" s="7"/>
      <c r="R8980" s="7"/>
      <c r="T8980" s="7"/>
      <c r="V8980" s="7"/>
      <c r="X8980" s="7"/>
    </row>
    <row r="8981" spans="2:24">
      <c r="B8981" s="7"/>
      <c r="D8981" s="7"/>
      <c r="F8981" s="7"/>
      <c r="H8981" s="7"/>
      <c r="J8981" s="7"/>
      <c r="L8981" s="7"/>
      <c r="N8981" s="7"/>
      <c r="P8981" s="7"/>
      <c r="R8981" s="7"/>
      <c r="T8981" s="7"/>
      <c r="V8981" s="7"/>
      <c r="X8981" s="7"/>
    </row>
    <row r="8982" spans="2:24">
      <c r="B8982" s="7"/>
      <c r="D8982" s="7"/>
      <c r="F8982" s="7"/>
      <c r="H8982" s="7"/>
      <c r="J8982" s="7"/>
      <c r="L8982" s="7"/>
      <c r="N8982" s="7"/>
      <c r="P8982" s="7"/>
      <c r="R8982" s="7"/>
      <c r="T8982" s="7"/>
      <c r="V8982" s="7"/>
      <c r="X8982" s="7"/>
    </row>
    <row r="8983" spans="2:24">
      <c r="B8983" s="7"/>
      <c r="D8983" s="7"/>
      <c r="F8983" s="7"/>
      <c r="H8983" s="7"/>
      <c r="J8983" s="7"/>
      <c r="L8983" s="7"/>
      <c r="N8983" s="7"/>
      <c r="P8983" s="7"/>
      <c r="R8983" s="7"/>
      <c r="T8983" s="7"/>
      <c r="V8983" s="7"/>
      <c r="X8983" s="7"/>
    </row>
    <row r="8984" spans="2:24">
      <c r="B8984" s="7"/>
      <c r="D8984" s="7"/>
      <c r="F8984" s="7"/>
      <c r="H8984" s="7"/>
      <c r="J8984" s="7"/>
      <c r="L8984" s="7"/>
      <c r="N8984" s="7"/>
      <c r="P8984" s="7"/>
      <c r="R8984" s="7"/>
      <c r="T8984" s="7"/>
      <c r="V8984" s="7"/>
      <c r="X8984" s="7"/>
    </row>
    <row r="8985" spans="2:24">
      <c r="B8985" s="7"/>
      <c r="D8985" s="7"/>
      <c r="F8985" s="7"/>
      <c r="H8985" s="7"/>
      <c r="J8985" s="7"/>
      <c r="L8985" s="7"/>
      <c r="N8985" s="7"/>
      <c r="P8985" s="7"/>
      <c r="R8985" s="7"/>
      <c r="T8985" s="7"/>
      <c r="V8985" s="7"/>
      <c r="X8985" s="7"/>
    </row>
    <row r="8986" spans="2:24">
      <c r="B8986" s="7"/>
      <c r="D8986" s="7"/>
      <c r="F8986" s="7"/>
      <c r="H8986" s="7"/>
      <c r="J8986" s="7"/>
      <c r="L8986" s="7"/>
      <c r="N8986" s="7"/>
      <c r="P8986" s="7"/>
      <c r="R8986" s="7"/>
      <c r="T8986" s="7"/>
      <c r="V8986" s="7"/>
      <c r="X8986" s="7"/>
    </row>
    <row r="8987" spans="2:24">
      <c r="B8987" s="7"/>
      <c r="D8987" s="7"/>
      <c r="F8987" s="7"/>
      <c r="H8987" s="7"/>
      <c r="J8987" s="7"/>
      <c r="L8987" s="7"/>
      <c r="N8987" s="7"/>
      <c r="P8987" s="7"/>
      <c r="R8987" s="7"/>
      <c r="T8987" s="7"/>
      <c r="V8987" s="7"/>
      <c r="X8987" s="7"/>
    </row>
    <row r="8988" spans="2:24">
      <c r="B8988" s="7"/>
      <c r="D8988" s="7"/>
      <c r="F8988" s="7"/>
      <c r="H8988" s="7"/>
      <c r="J8988" s="7"/>
      <c r="L8988" s="7"/>
      <c r="N8988" s="7"/>
      <c r="P8988" s="7"/>
      <c r="R8988" s="7"/>
      <c r="T8988" s="7"/>
      <c r="V8988" s="7"/>
      <c r="X8988" s="7"/>
    </row>
    <row r="8989" spans="2:24">
      <c r="B8989" s="7"/>
      <c r="D8989" s="7"/>
      <c r="F8989" s="7"/>
      <c r="H8989" s="7"/>
      <c r="J8989" s="7"/>
      <c r="L8989" s="7"/>
      <c r="N8989" s="7"/>
      <c r="P8989" s="7"/>
      <c r="R8989" s="7"/>
      <c r="T8989" s="7"/>
      <c r="V8989" s="7"/>
      <c r="X8989" s="7"/>
    </row>
    <row r="8990" spans="2:24">
      <c r="B8990" s="7"/>
      <c r="D8990" s="7"/>
      <c r="F8990" s="7"/>
      <c r="H8990" s="7"/>
      <c r="J8990" s="7"/>
      <c r="L8990" s="7"/>
      <c r="N8990" s="7"/>
      <c r="P8990" s="7"/>
      <c r="R8990" s="7"/>
      <c r="T8990" s="7"/>
      <c r="V8990" s="7"/>
      <c r="X8990" s="7"/>
    </row>
    <row r="8991" spans="2:24">
      <c r="B8991" s="7"/>
      <c r="D8991" s="7"/>
      <c r="F8991" s="7"/>
      <c r="H8991" s="7"/>
      <c r="J8991" s="7"/>
      <c r="L8991" s="7"/>
      <c r="N8991" s="7"/>
      <c r="P8991" s="7"/>
      <c r="R8991" s="7"/>
      <c r="T8991" s="7"/>
      <c r="V8991" s="7"/>
      <c r="X8991" s="7"/>
    </row>
    <row r="8992" spans="2:24">
      <c r="B8992" s="7"/>
      <c r="D8992" s="7"/>
      <c r="F8992" s="7"/>
      <c r="H8992" s="7"/>
      <c r="J8992" s="7"/>
      <c r="L8992" s="7"/>
      <c r="N8992" s="7"/>
      <c r="P8992" s="7"/>
      <c r="R8992" s="7"/>
      <c r="T8992" s="7"/>
      <c r="V8992" s="7"/>
      <c r="X8992" s="7"/>
    </row>
    <row r="8993" spans="2:24">
      <c r="B8993" s="7"/>
      <c r="D8993" s="7"/>
      <c r="F8993" s="7"/>
      <c r="H8993" s="7"/>
      <c r="J8993" s="7"/>
      <c r="L8993" s="7"/>
      <c r="N8993" s="7"/>
      <c r="P8993" s="7"/>
      <c r="R8993" s="7"/>
      <c r="T8993" s="7"/>
      <c r="V8993" s="7"/>
      <c r="X8993" s="7"/>
    </row>
    <row r="8994" spans="2:24">
      <c r="B8994" s="7"/>
      <c r="D8994" s="7"/>
      <c r="F8994" s="7"/>
      <c r="H8994" s="7"/>
      <c r="J8994" s="7"/>
      <c r="L8994" s="7"/>
      <c r="N8994" s="7"/>
      <c r="P8994" s="7"/>
      <c r="R8994" s="7"/>
      <c r="T8994" s="7"/>
      <c r="V8994" s="7"/>
      <c r="X8994" s="7"/>
    </row>
    <row r="8995" spans="2:24">
      <c r="B8995" s="7"/>
      <c r="D8995" s="7"/>
      <c r="F8995" s="7"/>
      <c r="H8995" s="7"/>
      <c r="J8995" s="7"/>
      <c r="L8995" s="7"/>
      <c r="N8995" s="7"/>
      <c r="P8995" s="7"/>
      <c r="R8995" s="7"/>
      <c r="T8995" s="7"/>
      <c r="V8995" s="7"/>
      <c r="X8995" s="7"/>
    </row>
    <row r="8996" spans="2:24">
      <c r="B8996" s="7"/>
      <c r="D8996" s="7"/>
      <c r="F8996" s="7"/>
      <c r="H8996" s="7"/>
      <c r="J8996" s="7"/>
      <c r="L8996" s="7"/>
      <c r="N8996" s="7"/>
      <c r="P8996" s="7"/>
      <c r="R8996" s="7"/>
      <c r="T8996" s="7"/>
      <c r="V8996" s="7"/>
      <c r="X8996" s="7"/>
    </row>
    <row r="8997" spans="2:24">
      <c r="B8997" s="7"/>
      <c r="D8997" s="7"/>
      <c r="F8997" s="7"/>
      <c r="H8997" s="7"/>
      <c r="J8997" s="7"/>
      <c r="L8997" s="7"/>
      <c r="N8997" s="7"/>
      <c r="P8997" s="7"/>
      <c r="R8997" s="7"/>
      <c r="T8997" s="7"/>
      <c r="V8997" s="7"/>
      <c r="X8997" s="7"/>
    </row>
    <row r="8998" spans="2:24">
      <c r="B8998" s="7"/>
      <c r="D8998" s="7"/>
      <c r="F8998" s="7"/>
      <c r="H8998" s="7"/>
      <c r="J8998" s="7"/>
      <c r="L8998" s="7"/>
      <c r="N8998" s="7"/>
      <c r="P8998" s="7"/>
      <c r="R8998" s="7"/>
      <c r="T8998" s="7"/>
      <c r="V8998" s="7"/>
      <c r="X8998" s="7"/>
    </row>
    <row r="8999" spans="2:24">
      <c r="B8999" s="7"/>
      <c r="D8999" s="7"/>
      <c r="F8999" s="7"/>
      <c r="H8999" s="7"/>
      <c r="J8999" s="7"/>
      <c r="L8999" s="7"/>
      <c r="N8999" s="7"/>
      <c r="P8999" s="7"/>
      <c r="R8999" s="7"/>
      <c r="T8999" s="7"/>
      <c r="V8999" s="7"/>
      <c r="X8999" s="7"/>
    </row>
    <row r="9000" spans="2:24">
      <c r="B9000" s="7"/>
      <c r="D9000" s="7"/>
      <c r="F9000" s="7"/>
      <c r="H9000" s="7"/>
      <c r="J9000" s="7"/>
      <c r="L9000" s="7"/>
      <c r="N9000" s="7"/>
      <c r="P9000" s="7"/>
      <c r="R9000" s="7"/>
      <c r="T9000" s="7"/>
      <c r="V9000" s="7"/>
      <c r="X9000" s="7"/>
    </row>
    <row r="9001" spans="2:24">
      <c r="B9001" s="7"/>
      <c r="D9001" s="7"/>
      <c r="F9001" s="7"/>
      <c r="H9001" s="7"/>
      <c r="J9001" s="7"/>
      <c r="L9001" s="7"/>
      <c r="N9001" s="7"/>
      <c r="P9001" s="7"/>
      <c r="R9001" s="7"/>
      <c r="T9001" s="7"/>
      <c r="V9001" s="7"/>
      <c r="X9001" s="7"/>
    </row>
    <row r="9002" spans="2:24">
      <c r="B9002" s="7"/>
      <c r="D9002" s="7"/>
      <c r="F9002" s="7"/>
      <c r="H9002" s="7"/>
      <c r="J9002" s="7"/>
      <c r="L9002" s="7"/>
      <c r="N9002" s="7"/>
      <c r="P9002" s="7"/>
      <c r="R9002" s="7"/>
      <c r="T9002" s="7"/>
      <c r="V9002" s="7"/>
      <c r="X9002" s="7"/>
    </row>
    <row r="9003" spans="2:24">
      <c r="B9003" s="7"/>
      <c r="D9003" s="7"/>
      <c r="F9003" s="7"/>
      <c r="H9003" s="7"/>
      <c r="J9003" s="7"/>
      <c r="L9003" s="7"/>
      <c r="N9003" s="7"/>
      <c r="P9003" s="7"/>
      <c r="R9003" s="7"/>
      <c r="T9003" s="7"/>
      <c r="V9003" s="7"/>
      <c r="X9003" s="7"/>
    </row>
    <row r="9004" spans="2:24">
      <c r="B9004" s="7"/>
      <c r="D9004" s="7"/>
      <c r="F9004" s="7"/>
      <c r="H9004" s="7"/>
      <c r="J9004" s="7"/>
      <c r="L9004" s="7"/>
      <c r="N9004" s="7"/>
      <c r="P9004" s="7"/>
      <c r="R9004" s="7"/>
      <c r="T9004" s="7"/>
      <c r="V9004" s="7"/>
      <c r="X9004" s="7"/>
    </row>
    <row r="9005" spans="2:24">
      <c r="B9005" s="7"/>
      <c r="D9005" s="7"/>
      <c r="F9005" s="7"/>
      <c r="H9005" s="7"/>
      <c r="J9005" s="7"/>
      <c r="L9005" s="7"/>
      <c r="N9005" s="7"/>
      <c r="P9005" s="7"/>
      <c r="R9005" s="7"/>
      <c r="T9005" s="7"/>
      <c r="V9005" s="7"/>
      <c r="X9005" s="7"/>
    </row>
    <row r="9006" spans="2:24">
      <c r="B9006" s="7"/>
      <c r="D9006" s="7"/>
      <c r="F9006" s="7"/>
      <c r="H9006" s="7"/>
      <c r="J9006" s="7"/>
      <c r="L9006" s="7"/>
      <c r="N9006" s="7"/>
      <c r="P9006" s="7"/>
      <c r="R9006" s="7"/>
      <c r="T9006" s="7"/>
      <c r="V9006" s="7"/>
      <c r="X9006" s="7"/>
    </row>
    <row r="9007" spans="2:24">
      <c r="B9007" s="7"/>
      <c r="D9007" s="7"/>
      <c r="F9007" s="7"/>
      <c r="H9007" s="7"/>
      <c r="J9007" s="7"/>
      <c r="L9007" s="7"/>
      <c r="N9007" s="7"/>
      <c r="P9007" s="7"/>
      <c r="R9007" s="7"/>
      <c r="T9007" s="7"/>
      <c r="V9007" s="7"/>
      <c r="X9007" s="7"/>
    </row>
    <row r="9008" spans="2:24">
      <c r="B9008" s="7"/>
      <c r="D9008" s="7"/>
      <c r="F9008" s="7"/>
      <c r="H9008" s="7"/>
      <c r="J9008" s="7"/>
      <c r="L9008" s="7"/>
      <c r="N9008" s="7"/>
      <c r="P9008" s="7"/>
      <c r="R9008" s="7"/>
      <c r="T9008" s="7"/>
      <c r="V9008" s="7"/>
      <c r="X9008" s="7"/>
    </row>
    <row r="9009" spans="2:24">
      <c r="B9009" s="7"/>
      <c r="D9009" s="7"/>
      <c r="F9009" s="7"/>
      <c r="H9009" s="7"/>
      <c r="J9009" s="7"/>
      <c r="L9009" s="7"/>
      <c r="N9009" s="7"/>
      <c r="P9009" s="7"/>
      <c r="R9009" s="7"/>
      <c r="T9009" s="7"/>
      <c r="V9009" s="7"/>
      <c r="X9009" s="7"/>
    </row>
    <row r="9010" spans="2:24">
      <c r="B9010" s="7"/>
      <c r="D9010" s="7"/>
      <c r="F9010" s="7"/>
      <c r="H9010" s="7"/>
      <c r="J9010" s="7"/>
      <c r="L9010" s="7"/>
      <c r="N9010" s="7"/>
      <c r="P9010" s="7"/>
      <c r="R9010" s="7"/>
      <c r="T9010" s="7"/>
      <c r="V9010" s="7"/>
      <c r="X9010" s="7"/>
    </row>
    <row r="9011" spans="2:24">
      <c r="B9011" s="7"/>
      <c r="D9011" s="7"/>
      <c r="F9011" s="7"/>
      <c r="H9011" s="7"/>
      <c r="J9011" s="7"/>
      <c r="L9011" s="7"/>
      <c r="N9011" s="7"/>
      <c r="P9011" s="7"/>
      <c r="R9011" s="7"/>
      <c r="T9011" s="7"/>
      <c r="V9011" s="7"/>
      <c r="X9011" s="7"/>
    </row>
    <row r="9012" spans="2:24">
      <c r="B9012" s="7"/>
      <c r="D9012" s="7"/>
      <c r="F9012" s="7"/>
      <c r="H9012" s="7"/>
      <c r="J9012" s="7"/>
      <c r="L9012" s="7"/>
      <c r="N9012" s="7"/>
      <c r="P9012" s="7"/>
      <c r="R9012" s="7"/>
      <c r="T9012" s="7"/>
      <c r="V9012" s="7"/>
      <c r="X9012" s="7"/>
    </row>
    <row r="9013" spans="2:24">
      <c r="B9013" s="7"/>
      <c r="D9013" s="7"/>
      <c r="F9013" s="7"/>
      <c r="H9013" s="7"/>
      <c r="J9013" s="7"/>
      <c r="L9013" s="7"/>
      <c r="N9013" s="7"/>
      <c r="P9013" s="7"/>
      <c r="R9013" s="7"/>
      <c r="T9013" s="7"/>
      <c r="V9013" s="7"/>
      <c r="X9013" s="7"/>
    </row>
    <row r="9014" spans="2:24">
      <c r="B9014" s="7"/>
      <c r="D9014" s="7"/>
      <c r="F9014" s="7"/>
      <c r="H9014" s="7"/>
      <c r="J9014" s="7"/>
      <c r="L9014" s="7"/>
      <c r="N9014" s="7"/>
      <c r="P9014" s="7"/>
      <c r="R9014" s="7"/>
      <c r="T9014" s="7"/>
      <c r="V9014" s="7"/>
      <c r="X9014" s="7"/>
    </row>
    <row r="9015" spans="2:24">
      <c r="B9015" s="7"/>
      <c r="D9015" s="7"/>
      <c r="F9015" s="7"/>
      <c r="H9015" s="7"/>
      <c r="J9015" s="7"/>
      <c r="L9015" s="7"/>
      <c r="N9015" s="7"/>
      <c r="P9015" s="7"/>
      <c r="R9015" s="7"/>
      <c r="T9015" s="7"/>
      <c r="V9015" s="7"/>
      <c r="X9015" s="7"/>
    </row>
    <row r="9016" spans="2:24">
      <c r="B9016" s="7"/>
      <c r="D9016" s="7"/>
      <c r="F9016" s="7"/>
      <c r="H9016" s="7"/>
      <c r="J9016" s="7"/>
      <c r="L9016" s="7"/>
      <c r="N9016" s="7"/>
      <c r="P9016" s="7"/>
      <c r="R9016" s="7"/>
      <c r="T9016" s="7"/>
      <c r="V9016" s="7"/>
      <c r="X9016" s="7"/>
    </row>
    <row r="9017" spans="2:24">
      <c r="B9017" s="7"/>
      <c r="D9017" s="7"/>
      <c r="F9017" s="7"/>
      <c r="H9017" s="7"/>
      <c r="J9017" s="7"/>
      <c r="L9017" s="7"/>
      <c r="N9017" s="7"/>
      <c r="P9017" s="7"/>
      <c r="R9017" s="7"/>
      <c r="T9017" s="7"/>
      <c r="V9017" s="7"/>
      <c r="X9017" s="7"/>
    </row>
    <row r="9018" spans="2:24">
      <c r="B9018" s="7"/>
      <c r="D9018" s="7"/>
      <c r="F9018" s="7"/>
      <c r="H9018" s="7"/>
      <c r="J9018" s="7"/>
      <c r="L9018" s="7"/>
      <c r="N9018" s="7"/>
      <c r="P9018" s="7"/>
      <c r="R9018" s="7"/>
      <c r="T9018" s="7"/>
      <c r="V9018" s="7"/>
      <c r="X9018" s="7"/>
    </row>
    <row r="9019" spans="2:24">
      <c r="B9019" s="7"/>
      <c r="D9019" s="7"/>
      <c r="F9019" s="7"/>
      <c r="H9019" s="7"/>
      <c r="J9019" s="7"/>
      <c r="L9019" s="7"/>
      <c r="N9019" s="7"/>
      <c r="P9019" s="7"/>
      <c r="R9019" s="7"/>
      <c r="T9019" s="7"/>
      <c r="V9019" s="7"/>
      <c r="X9019" s="7"/>
    </row>
    <row r="9020" spans="2:24">
      <c r="B9020" s="7"/>
      <c r="D9020" s="7"/>
      <c r="F9020" s="7"/>
      <c r="H9020" s="7"/>
      <c r="J9020" s="7"/>
      <c r="L9020" s="7"/>
      <c r="N9020" s="7"/>
      <c r="P9020" s="7"/>
      <c r="R9020" s="7"/>
      <c r="T9020" s="7"/>
      <c r="V9020" s="7"/>
      <c r="X9020" s="7"/>
    </row>
    <row r="9021" spans="2:24">
      <c r="B9021" s="7"/>
      <c r="D9021" s="7"/>
      <c r="F9021" s="7"/>
      <c r="H9021" s="7"/>
      <c r="J9021" s="7"/>
      <c r="L9021" s="7"/>
      <c r="N9021" s="7"/>
      <c r="P9021" s="7"/>
      <c r="R9021" s="7"/>
      <c r="T9021" s="7"/>
      <c r="V9021" s="7"/>
      <c r="X9021" s="7"/>
    </row>
    <row r="9022" spans="2:24">
      <c r="B9022" s="7"/>
      <c r="D9022" s="7"/>
      <c r="F9022" s="7"/>
      <c r="H9022" s="7"/>
      <c r="J9022" s="7"/>
      <c r="L9022" s="7"/>
      <c r="N9022" s="7"/>
      <c r="P9022" s="7"/>
      <c r="R9022" s="7"/>
      <c r="T9022" s="7"/>
      <c r="V9022" s="7"/>
      <c r="X9022" s="7"/>
    </row>
    <row r="9023" spans="2:24">
      <c r="B9023" s="7"/>
      <c r="D9023" s="7"/>
      <c r="F9023" s="7"/>
      <c r="H9023" s="7"/>
      <c r="J9023" s="7"/>
      <c r="L9023" s="7"/>
      <c r="N9023" s="7"/>
      <c r="P9023" s="7"/>
      <c r="R9023" s="7"/>
      <c r="T9023" s="7"/>
      <c r="V9023" s="7"/>
      <c r="X9023" s="7"/>
    </row>
    <row r="9024" spans="2:24">
      <c r="B9024" s="7"/>
      <c r="D9024" s="7"/>
      <c r="F9024" s="7"/>
      <c r="H9024" s="7"/>
      <c r="J9024" s="7"/>
      <c r="L9024" s="7"/>
      <c r="N9024" s="7"/>
      <c r="P9024" s="7"/>
      <c r="R9024" s="7"/>
      <c r="T9024" s="7"/>
      <c r="V9024" s="7"/>
      <c r="X9024" s="7"/>
    </row>
    <row r="9025" spans="2:24">
      <c r="B9025" s="7"/>
      <c r="D9025" s="7"/>
      <c r="F9025" s="7"/>
      <c r="H9025" s="7"/>
      <c r="J9025" s="7"/>
      <c r="L9025" s="7"/>
      <c r="N9025" s="7"/>
      <c r="P9025" s="7"/>
      <c r="R9025" s="7"/>
      <c r="T9025" s="7"/>
      <c r="V9025" s="7"/>
      <c r="X9025" s="7"/>
    </row>
    <row r="9026" spans="2:24">
      <c r="B9026" s="7"/>
      <c r="D9026" s="7"/>
      <c r="F9026" s="7"/>
      <c r="H9026" s="7"/>
      <c r="J9026" s="7"/>
      <c r="L9026" s="7"/>
      <c r="N9026" s="7"/>
      <c r="P9026" s="7"/>
      <c r="R9026" s="7"/>
      <c r="T9026" s="7"/>
      <c r="V9026" s="7"/>
      <c r="X9026" s="7"/>
    </row>
    <row r="9027" spans="2:24">
      <c r="B9027" s="7"/>
      <c r="D9027" s="7"/>
      <c r="F9027" s="7"/>
      <c r="H9027" s="7"/>
      <c r="J9027" s="7"/>
      <c r="L9027" s="7"/>
      <c r="N9027" s="7"/>
      <c r="P9027" s="7"/>
      <c r="R9027" s="7"/>
      <c r="T9027" s="7"/>
      <c r="V9027" s="7"/>
      <c r="X9027" s="7"/>
    </row>
    <row r="9028" spans="2:24">
      <c r="B9028" s="7"/>
      <c r="D9028" s="7"/>
      <c r="F9028" s="7"/>
      <c r="H9028" s="7"/>
      <c r="J9028" s="7"/>
      <c r="L9028" s="7"/>
      <c r="N9028" s="7"/>
      <c r="P9028" s="7"/>
      <c r="R9028" s="7"/>
      <c r="T9028" s="7"/>
      <c r="V9028" s="7"/>
      <c r="X9028" s="7"/>
    </row>
    <row r="9029" spans="2:24">
      <c r="B9029" s="7"/>
      <c r="D9029" s="7"/>
      <c r="F9029" s="7"/>
      <c r="H9029" s="7"/>
      <c r="J9029" s="7"/>
      <c r="L9029" s="7"/>
      <c r="N9029" s="7"/>
      <c r="P9029" s="7"/>
      <c r="R9029" s="7"/>
      <c r="T9029" s="7"/>
      <c r="V9029" s="7"/>
      <c r="X9029" s="7"/>
    </row>
    <row r="9030" spans="2:24">
      <c r="B9030" s="7"/>
      <c r="D9030" s="7"/>
      <c r="F9030" s="7"/>
      <c r="H9030" s="7"/>
      <c r="J9030" s="7"/>
      <c r="L9030" s="7"/>
      <c r="N9030" s="7"/>
      <c r="P9030" s="7"/>
      <c r="R9030" s="7"/>
      <c r="T9030" s="7"/>
      <c r="V9030" s="7"/>
      <c r="X9030" s="7"/>
    </row>
    <row r="9031" spans="2:24">
      <c r="B9031" s="7"/>
      <c r="D9031" s="7"/>
      <c r="F9031" s="7"/>
      <c r="H9031" s="7"/>
      <c r="J9031" s="7"/>
      <c r="L9031" s="7"/>
      <c r="N9031" s="7"/>
      <c r="P9031" s="7"/>
      <c r="R9031" s="7"/>
      <c r="T9031" s="7"/>
      <c r="V9031" s="7"/>
      <c r="X9031" s="7"/>
    </row>
    <row r="9032" spans="2:24">
      <c r="B9032" s="7"/>
      <c r="D9032" s="7"/>
      <c r="F9032" s="7"/>
      <c r="H9032" s="7"/>
      <c r="J9032" s="7"/>
      <c r="L9032" s="7"/>
      <c r="N9032" s="7"/>
      <c r="P9032" s="7"/>
      <c r="R9032" s="7"/>
      <c r="T9032" s="7"/>
      <c r="V9032" s="7"/>
      <c r="X9032" s="7"/>
    </row>
    <row r="9033" spans="2:24">
      <c r="B9033" s="7"/>
      <c r="D9033" s="7"/>
      <c r="F9033" s="7"/>
      <c r="H9033" s="7"/>
      <c r="J9033" s="7"/>
      <c r="L9033" s="7"/>
      <c r="N9033" s="7"/>
      <c r="P9033" s="7"/>
      <c r="R9033" s="7"/>
      <c r="T9033" s="7"/>
      <c r="V9033" s="7"/>
      <c r="X9033" s="7"/>
    </row>
    <row r="9034" spans="2:24">
      <c r="B9034" s="7"/>
      <c r="D9034" s="7"/>
      <c r="F9034" s="7"/>
      <c r="H9034" s="7"/>
      <c r="J9034" s="7"/>
      <c r="L9034" s="7"/>
      <c r="N9034" s="7"/>
      <c r="P9034" s="7"/>
      <c r="R9034" s="7"/>
      <c r="T9034" s="7"/>
      <c r="V9034" s="7"/>
      <c r="X9034" s="7"/>
    </row>
    <row r="9035" spans="2:24">
      <c r="B9035" s="7"/>
      <c r="D9035" s="7"/>
      <c r="F9035" s="7"/>
      <c r="H9035" s="7"/>
      <c r="J9035" s="7"/>
      <c r="L9035" s="7"/>
      <c r="N9035" s="7"/>
      <c r="P9035" s="7"/>
      <c r="R9035" s="7"/>
      <c r="T9035" s="7"/>
      <c r="V9035" s="7"/>
      <c r="X9035" s="7"/>
    </row>
    <row r="9036" spans="2:24">
      <c r="B9036" s="7"/>
      <c r="D9036" s="7"/>
      <c r="F9036" s="7"/>
      <c r="H9036" s="7"/>
      <c r="J9036" s="7"/>
      <c r="L9036" s="7"/>
      <c r="N9036" s="7"/>
      <c r="P9036" s="7"/>
      <c r="R9036" s="7"/>
      <c r="T9036" s="7"/>
      <c r="V9036" s="7"/>
      <c r="X9036" s="7"/>
    </row>
    <row r="9037" spans="2:24">
      <c r="B9037" s="7"/>
      <c r="D9037" s="7"/>
      <c r="F9037" s="7"/>
      <c r="H9037" s="7"/>
      <c r="J9037" s="7"/>
      <c r="L9037" s="7"/>
      <c r="N9037" s="7"/>
      <c r="P9037" s="7"/>
      <c r="R9037" s="7"/>
      <c r="T9037" s="7"/>
      <c r="V9037" s="7"/>
      <c r="X9037" s="7"/>
    </row>
    <row r="9038" spans="2:24">
      <c r="B9038" s="7"/>
      <c r="D9038" s="7"/>
      <c r="F9038" s="7"/>
      <c r="H9038" s="7"/>
      <c r="J9038" s="7"/>
      <c r="L9038" s="7"/>
      <c r="N9038" s="7"/>
      <c r="P9038" s="7"/>
      <c r="R9038" s="7"/>
      <c r="T9038" s="7"/>
      <c r="V9038" s="7"/>
      <c r="X9038" s="7"/>
    </row>
    <row r="9039" spans="2:24">
      <c r="B9039" s="7"/>
      <c r="D9039" s="7"/>
      <c r="F9039" s="7"/>
      <c r="H9039" s="7"/>
      <c r="J9039" s="7"/>
      <c r="L9039" s="7"/>
      <c r="N9039" s="7"/>
      <c r="P9039" s="7"/>
      <c r="R9039" s="7"/>
      <c r="T9039" s="7"/>
      <c r="V9039" s="7"/>
      <c r="X9039" s="7"/>
    </row>
    <row r="9040" spans="2:24">
      <c r="B9040" s="7"/>
      <c r="D9040" s="7"/>
      <c r="F9040" s="7"/>
      <c r="H9040" s="7"/>
      <c r="J9040" s="7"/>
      <c r="L9040" s="7"/>
      <c r="N9040" s="7"/>
      <c r="P9040" s="7"/>
      <c r="R9040" s="7"/>
      <c r="T9040" s="7"/>
      <c r="V9040" s="7"/>
      <c r="X9040" s="7"/>
    </row>
    <row r="9041" spans="2:24">
      <c r="B9041" s="7"/>
      <c r="D9041" s="7"/>
      <c r="F9041" s="7"/>
      <c r="H9041" s="7"/>
      <c r="J9041" s="7"/>
      <c r="L9041" s="7"/>
      <c r="N9041" s="7"/>
      <c r="P9041" s="7"/>
      <c r="R9041" s="7"/>
      <c r="T9041" s="7"/>
      <c r="V9041" s="7"/>
      <c r="X9041" s="7"/>
    </row>
    <row r="9042" spans="2:24">
      <c r="B9042" s="7"/>
      <c r="D9042" s="7"/>
      <c r="F9042" s="7"/>
      <c r="H9042" s="7"/>
      <c r="J9042" s="7"/>
      <c r="L9042" s="7"/>
      <c r="N9042" s="7"/>
      <c r="P9042" s="7"/>
      <c r="R9042" s="7"/>
      <c r="T9042" s="7"/>
      <c r="V9042" s="7"/>
      <c r="X9042" s="7"/>
    </row>
    <row r="9043" spans="2:24">
      <c r="B9043" s="7"/>
      <c r="D9043" s="7"/>
      <c r="F9043" s="7"/>
      <c r="H9043" s="7"/>
      <c r="J9043" s="7"/>
      <c r="L9043" s="7"/>
      <c r="N9043" s="7"/>
      <c r="P9043" s="7"/>
      <c r="R9043" s="7"/>
      <c r="T9043" s="7"/>
      <c r="V9043" s="7"/>
      <c r="X9043" s="7"/>
    </row>
    <row r="9044" spans="2:24">
      <c r="B9044" s="7"/>
      <c r="D9044" s="7"/>
      <c r="F9044" s="7"/>
      <c r="H9044" s="7"/>
      <c r="J9044" s="7"/>
      <c r="L9044" s="7"/>
      <c r="N9044" s="7"/>
      <c r="P9044" s="7"/>
      <c r="R9044" s="7"/>
      <c r="T9044" s="7"/>
      <c r="V9044" s="7"/>
      <c r="X9044" s="7"/>
    </row>
    <row r="9045" spans="2:24">
      <c r="B9045" s="7"/>
      <c r="D9045" s="7"/>
      <c r="F9045" s="7"/>
      <c r="H9045" s="7"/>
      <c r="J9045" s="7"/>
      <c r="L9045" s="7"/>
      <c r="N9045" s="7"/>
      <c r="P9045" s="7"/>
      <c r="R9045" s="7"/>
      <c r="T9045" s="7"/>
      <c r="V9045" s="7"/>
      <c r="X9045" s="7"/>
    </row>
    <row r="9046" spans="2:24">
      <c r="B9046" s="7"/>
      <c r="D9046" s="7"/>
      <c r="F9046" s="7"/>
      <c r="H9046" s="7"/>
      <c r="J9046" s="7"/>
      <c r="L9046" s="7"/>
      <c r="N9046" s="7"/>
      <c r="P9046" s="7"/>
      <c r="R9046" s="7"/>
      <c r="T9046" s="7"/>
      <c r="V9046" s="7"/>
      <c r="X9046" s="7"/>
    </row>
    <row r="9047" spans="2:24">
      <c r="B9047" s="7"/>
      <c r="D9047" s="7"/>
      <c r="F9047" s="7"/>
      <c r="H9047" s="7"/>
      <c r="J9047" s="7"/>
      <c r="L9047" s="7"/>
      <c r="N9047" s="7"/>
      <c r="P9047" s="7"/>
      <c r="R9047" s="7"/>
      <c r="T9047" s="7"/>
      <c r="V9047" s="7"/>
      <c r="X9047" s="7"/>
    </row>
    <row r="9048" spans="2:24">
      <c r="B9048" s="7"/>
      <c r="D9048" s="7"/>
      <c r="F9048" s="7"/>
      <c r="H9048" s="7"/>
      <c r="J9048" s="7"/>
      <c r="L9048" s="7"/>
      <c r="N9048" s="7"/>
      <c r="P9048" s="7"/>
      <c r="R9048" s="7"/>
      <c r="T9048" s="7"/>
      <c r="V9048" s="7"/>
      <c r="X9048" s="7"/>
    </row>
    <row r="9049" spans="2:24">
      <c r="B9049" s="7"/>
      <c r="D9049" s="7"/>
      <c r="F9049" s="7"/>
      <c r="H9049" s="7"/>
      <c r="J9049" s="7"/>
      <c r="L9049" s="7"/>
      <c r="N9049" s="7"/>
      <c r="P9049" s="7"/>
      <c r="R9049" s="7"/>
      <c r="T9049" s="7"/>
      <c r="V9049" s="7"/>
      <c r="X9049" s="7"/>
    </row>
    <row r="9050" spans="2:24">
      <c r="B9050" s="7"/>
      <c r="D9050" s="7"/>
      <c r="F9050" s="7"/>
      <c r="H9050" s="7"/>
      <c r="J9050" s="7"/>
      <c r="L9050" s="7"/>
      <c r="N9050" s="7"/>
      <c r="P9050" s="7"/>
      <c r="R9050" s="7"/>
      <c r="T9050" s="7"/>
      <c r="V9050" s="7"/>
      <c r="X9050" s="7"/>
    </row>
    <row r="9051" spans="2:24">
      <c r="B9051" s="7"/>
      <c r="D9051" s="7"/>
      <c r="F9051" s="7"/>
      <c r="H9051" s="7"/>
      <c r="J9051" s="7"/>
      <c r="L9051" s="7"/>
      <c r="N9051" s="7"/>
      <c r="P9051" s="7"/>
      <c r="R9051" s="7"/>
      <c r="T9051" s="7"/>
      <c r="V9051" s="7"/>
      <c r="X9051" s="7"/>
    </row>
    <row r="9052" spans="2:24">
      <c r="B9052" s="7"/>
      <c r="D9052" s="7"/>
      <c r="F9052" s="7"/>
      <c r="H9052" s="7"/>
      <c r="J9052" s="7"/>
      <c r="L9052" s="7"/>
      <c r="N9052" s="7"/>
      <c r="P9052" s="7"/>
      <c r="R9052" s="7"/>
      <c r="T9052" s="7"/>
      <c r="V9052" s="7"/>
      <c r="X9052" s="7"/>
    </row>
    <row r="9053" spans="2:24">
      <c r="B9053" s="7"/>
      <c r="D9053" s="7"/>
      <c r="F9053" s="7"/>
      <c r="H9053" s="7"/>
      <c r="J9053" s="7"/>
      <c r="L9053" s="7"/>
      <c r="N9053" s="7"/>
      <c r="P9053" s="7"/>
      <c r="R9053" s="7"/>
      <c r="T9053" s="7"/>
      <c r="V9053" s="7"/>
      <c r="X9053" s="7"/>
    </row>
    <row r="9054" spans="2:24">
      <c r="B9054" s="7"/>
      <c r="D9054" s="7"/>
      <c r="F9054" s="7"/>
      <c r="H9054" s="7"/>
      <c r="J9054" s="7"/>
      <c r="L9054" s="7"/>
      <c r="N9054" s="7"/>
      <c r="P9054" s="7"/>
      <c r="R9054" s="7"/>
      <c r="T9054" s="7"/>
      <c r="V9054" s="7"/>
      <c r="X9054" s="7"/>
    </row>
    <row r="9055" spans="2:24">
      <c r="B9055" s="7"/>
      <c r="D9055" s="7"/>
      <c r="F9055" s="7"/>
      <c r="H9055" s="7"/>
      <c r="J9055" s="7"/>
      <c r="L9055" s="7"/>
      <c r="N9055" s="7"/>
      <c r="P9055" s="7"/>
      <c r="R9055" s="7"/>
      <c r="T9055" s="7"/>
      <c r="V9055" s="7"/>
      <c r="X9055" s="7"/>
    </row>
    <row r="9056" spans="2:24">
      <c r="B9056" s="7"/>
      <c r="D9056" s="7"/>
      <c r="F9056" s="7"/>
      <c r="H9056" s="7"/>
      <c r="J9056" s="7"/>
      <c r="L9056" s="7"/>
      <c r="N9056" s="7"/>
      <c r="P9056" s="7"/>
      <c r="R9056" s="7"/>
      <c r="T9056" s="7"/>
      <c r="V9056" s="7"/>
      <c r="X9056" s="7"/>
    </row>
    <row r="9057" spans="2:24">
      <c r="B9057" s="7"/>
      <c r="D9057" s="7"/>
      <c r="F9057" s="7"/>
      <c r="H9057" s="7"/>
      <c r="J9057" s="7"/>
      <c r="L9057" s="7"/>
      <c r="N9057" s="7"/>
      <c r="P9057" s="7"/>
      <c r="R9057" s="7"/>
      <c r="T9057" s="7"/>
      <c r="V9057" s="7"/>
      <c r="X9057" s="7"/>
    </row>
    <row r="9058" spans="2:24">
      <c r="B9058" s="7"/>
      <c r="D9058" s="7"/>
      <c r="F9058" s="7"/>
      <c r="H9058" s="7"/>
      <c r="J9058" s="7"/>
      <c r="L9058" s="7"/>
      <c r="N9058" s="7"/>
      <c r="P9058" s="7"/>
      <c r="R9058" s="7"/>
      <c r="T9058" s="7"/>
      <c r="V9058" s="7"/>
      <c r="X9058" s="7"/>
    </row>
    <row r="9059" spans="2:24">
      <c r="B9059" s="7"/>
      <c r="D9059" s="7"/>
      <c r="F9059" s="7"/>
      <c r="H9059" s="7"/>
      <c r="J9059" s="7"/>
      <c r="L9059" s="7"/>
      <c r="N9059" s="7"/>
      <c r="P9059" s="7"/>
      <c r="R9059" s="7"/>
      <c r="T9059" s="7"/>
      <c r="V9059" s="7"/>
      <c r="X9059" s="7"/>
    </row>
    <row r="9060" spans="2:24">
      <c r="B9060" s="7"/>
      <c r="D9060" s="7"/>
      <c r="F9060" s="7"/>
      <c r="H9060" s="7"/>
      <c r="J9060" s="7"/>
      <c r="L9060" s="7"/>
      <c r="N9060" s="7"/>
      <c r="P9060" s="7"/>
      <c r="R9060" s="7"/>
      <c r="T9060" s="7"/>
      <c r="V9060" s="7"/>
      <c r="X9060" s="7"/>
    </row>
    <row r="9061" spans="2:24">
      <c r="B9061" s="7"/>
      <c r="D9061" s="7"/>
      <c r="F9061" s="7"/>
      <c r="H9061" s="7"/>
      <c r="J9061" s="7"/>
      <c r="L9061" s="7"/>
      <c r="N9061" s="7"/>
      <c r="P9061" s="7"/>
      <c r="R9061" s="7"/>
      <c r="T9061" s="7"/>
      <c r="V9061" s="7"/>
      <c r="X9061" s="7"/>
    </row>
    <row r="9062" spans="2:24">
      <c r="B9062" s="7"/>
      <c r="D9062" s="7"/>
      <c r="F9062" s="7"/>
      <c r="H9062" s="7"/>
      <c r="J9062" s="7"/>
      <c r="L9062" s="7"/>
      <c r="N9062" s="7"/>
      <c r="P9062" s="7"/>
      <c r="R9062" s="7"/>
      <c r="T9062" s="7"/>
      <c r="V9062" s="7"/>
      <c r="X9062" s="7"/>
    </row>
    <row r="9063" spans="2:24">
      <c r="B9063" s="7"/>
      <c r="D9063" s="7"/>
      <c r="F9063" s="7"/>
      <c r="H9063" s="7"/>
      <c r="J9063" s="7"/>
      <c r="L9063" s="7"/>
      <c r="N9063" s="7"/>
      <c r="P9063" s="7"/>
      <c r="R9063" s="7"/>
      <c r="T9063" s="7"/>
      <c r="V9063" s="7"/>
      <c r="X9063" s="7"/>
    </row>
    <row r="9064" spans="2:24">
      <c r="B9064" s="7"/>
      <c r="D9064" s="7"/>
      <c r="F9064" s="7"/>
      <c r="H9064" s="7"/>
      <c r="J9064" s="7"/>
      <c r="L9064" s="7"/>
      <c r="N9064" s="7"/>
      <c r="P9064" s="7"/>
      <c r="R9064" s="7"/>
      <c r="T9064" s="7"/>
      <c r="V9064" s="7"/>
      <c r="X9064" s="7"/>
    </row>
    <row r="9065" spans="2:24">
      <c r="B9065" s="7"/>
      <c r="D9065" s="7"/>
      <c r="F9065" s="7"/>
      <c r="H9065" s="7"/>
      <c r="J9065" s="7"/>
      <c r="L9065" s="7"/>
      <c r="N9065" s="7"/>
      <c r="P9065" s="7"/>
      <c r="R9065" s="7"/>
      <c r="T9065" s="7"/>
      <c r="V9065" s="7"/>
      <c r="X9065" s="7"/>
    </row>
    <row r="9066" spans="2:24">
      <c r="B9066" s="7"/>
      <c r="D9066" s="7"/>
      <c r="F9066" s="7"/>
      <c r="H9066" s="7"/>
      <c r="J9066" s="7"/>
      <c r="L9066" s="7"/>
      <c r="N9066" s="7"/>
      <c r="P9066" s="7"/>
      <c r="R9066" s="7"/>
      <c r="T9066" s="7"/>
      <c r="V9066" s="7"/>
      <c r="X9066" s="7"/>
    </row>
    <row r="9067" spans="2:24">
      <c r="B9067" s="7"/>
      <c r="D9067" s="7"/>
      <c r="F9067" s="7"/>
      <c r="H9067" s="7"/>
      <c r="J9067" s="7"/>
      <c r="L9067" s="7"/>
      <c r="N9067" s="7"/>
      <c r="P9067" s="7"/>
      <c r="R9067" s="7"/>
      <c r="T9067" s="7"/>
      <c r="V9067" s="7"/>
      <c r="X9067" s="7"/>
    </row>
    <row r="9068" spans="2:24">
      <c r="B9068" s="7"/>
      <c r="D9068" s="7"/>
      <c r="F9068" s="7"/>
      <c r="H9068" s="7"/>
      <c r="J9068" s="7"/>
      <c r="L9068" s="7"/>
      <c r="N9068" s="7"/>
      <c r="P9068" s="7"/>
      <c r="R9068" s="7"/>
      <c r="T9068" s="7"/>
      <c r="V9068" s="7"/>
      <c r="X9068" s="7"/>
    </row>
    <row r="9069" spans="2:24">
      <c r="B9069" s="7"/>
      <c r="D9069" s="7"/>
      <c r="F9069" s="7"/>
      <c r="H9069" s="7"/>
      <c r="J9069" s="7"/>
      <c r="L9069" s="7"/>
      <c r="N9069" s="7"/>
      <c r="P9069" s="7"/>
      <c r="R9069" s="7"/>
      <c r="T9069" s="7"/>
      <c r="V9069" s="7"/>
      <c r="X9069" s="7"/>
    </row>
    <row r="9070" spans="2:24">
      <c r="B9070" s="7"/>
      <c r="D9070" s="7"/>
      <c r="F9070" s="7"/>
      <c r="H9070" s="7"/>
      <c r="J9070" s="7"/>
      <c r="L9070" s="7"/>
      <c r="N9070" s="7"/>
      <c r="P9070" s="7"/>
      <c r="R9070" s="7"/>
      <c r="T9070" s="7"/>
      <c r="V9070" s="7"/>
      <c r="X9070" s="7"/>
    </row>
    <row r="9071" spans="2:24">
      <c r="B9071" s="7"/>
      <c r="D9071" s="7"/>
      <c r="F9071" s="7"/>
      <c r="H9071" s="7"/>
      <c r="J9071" s="7"/>
      <c r="L9071" s="7"/>
      <c r="N9071" s="7"/>
      <c r="P9071" s="7"/>
      <c r="R9071" s="7"/>
      <c r="T9071" s="7"/>
      <c r="V9071" s="7"/>
      <c r="X9071" s="7"/>
    </row>
    <row r="9072" spans="2:24">
      <c r="B9072" s="7"/>
      <c r="D9072" s="7"/>
      <c r="F9072" s="7"/>
      <c r="H9072" s="7"/>
      <c r="J9072" s="7"/>
      <c r="L9072" s="7"/>
      <c r="N9072" s="7"/>
      <c r="P9072" s="7"/>
      <c r="R9072" s="7"/>
      <c r="T9072" s="7"/>
      <c r="V9072" s="7"/>
      <c r="X9072" s="7"/>
    </row>
    <row r="9073" spans="2:24">
      <c r="B9073" s="7"/>
      <c r="D9073" s="7"/>
      <c r="F9073" s="7"/>
      <c r="H9073" s="7"/>
      <c r="J9073" s="7"/>
      <c r="L9073" s="7"/>
      <c r="N9073" s="7"/>
      <c r="P9073" s="7"/>
      <c r="R9073" s="7"/>
      <c r="T9073" s="7"/>
      <c r="V9073" s="7"/>
      <c r="X9073" s="7"/>
    </row>
    <row r="9074" spans="2:24">
      <c r="B9074" s="7"/>
      <c r="D9074" s="7"/>
      <c r="F9074" s="7"/>
      <c r="H9074" s="7"/>
      <c r="J9074" s="7"/>
      <c r="L9074" s="7"/>
      <c r="N9074" s="7"/>
      <c r="P9074" s="7"/>
      <c r="R9074" s="7"/>
      <c r="T9074" s="7"/>
      <c r="V9074" s="7"/>
      <c r="X9074" s="7"/>
    </row>
    <row r="9075" spans="2:24">
      <c r="B9075" s="7"/>
      <c r="D9075" s="7"/>
      <c r="F9075" s="7"/>
      <c r="H9075" s="7"/>
      <c r="J9075" s="7"/>
      <c r="L9075" s="7"/>
      <c r="N9075" s="7"/>
      <c r="P9075" s="7"/>
      <c r="R9075" s="7"/>
      <c r="T9075" s="7"/>
      <c r="V9075" s="7"/>
      <c r="X9075" s="7"/>
    </row>
    <row r="9076" spans="2:24">
      <c r="B9076" s="7"/>
      <c r="D9076" s="7"/>
      <c r="F9076" s="7"/>
      <c r="H9076" s="7"/>
      <c r="J9076" s="7"/>
      <c r="L9076" s="7"/>
      <c r="N9076" s="7"/>
      <c r="P9076" s="7"/>
      <c r="R9076" s="7"/>
      <c r="T9076" s="7"/>
      <c r="V9076" s="7"/>
      <c r="X9076" s="7"/>
    </row>
    <row r="9077" spans="2:24">
      <c r="B9077" s="7"/>
      <c r="D9077" s="7"/>
      <c r="F9077" s="7"/>
      <c r="H9077" s="7"/>
      <c r="J9077" s="7"/>
      <c r="L9077" s="7"/>
      <c r="N9077" s="7"/>
      <c r="P9077" s="7"/>
      <c r="R9077" s="7"/>
      <c r="T9077" s="7"/>
      <c r="V9077" s="7"/>
      <c r="X9077" s="7"/>
    </row>
    <row r="9078" spans="2:24">
      <c r="B9078" s="7"/>
      <c r="D9078" s="7"/>
      <c r="F9078" s="7"/>
      <c r="H9078" s="7"/>
      <c r="J9078" s="7"/>
      <c r="L9078" s="7"/>
      <c r="N9078" s="7"/>
      <c r="P9078" s="7"/>
      <c r="R9078" s="7"/>
      <c r="T9078" s="7"/>
      <c r="V9078" s="7"/>
      <c r="X9078" s="7"/>
    </row>
    <row r="9079" spans="2:24">
      <c r="B9079" s="7"/>
      <c r="D9079" s="7"/>
      <c r="F9079" s="7"/>
      <c r="H9079" s="7"/>
      <c r="J9079" s="7"/>
      <c r="L9079" s="7"/>
      <c r="N9079" s="7"/>
      <c r="P9079" s="7"/>
      <c r="R9079" s="7"/>
      <c r="T9079" s="7"/>
      <c r="V9079" s="7"/>
      <c r="X9079" s="7"/>
    </row>
    <row r="9080" spans="2:24">
      <c r="B9080" s="7"/>
      <c r="D9080" s="7"/>
      <c r="F9080" s="7"/>
      <c r="H9080" s="7"/>
      <c r="J9080" s="7"/>
      <c r="L9080" s="7"/>
      <c r="N9080" s="7"/>
      <c r="P9080" s="7"/>
      <c r="R9080" s="7"/>
      <c r="T9080" s="7"/>
      <c r="V9080" s="7"/>
      <c r="X9080" s="7"/>
    </row>
    <row r="9081" spans="2:24">
      <c r="B9081" s="7"/>
      <c r="D9081" s="7"/>
      <c r="F9081" s="7"/>
      <c r="H9081" s="7"/>
      <c r="J9081" s="7"/>
      <c r="L9081" s="7"/>
      <c r="N9081" s="7"/>
      <c r="P9081" s="7"/>
      <c r="R9081" s="7"/>
      <c r="T9081" s="7"/>
      <c r="V9081" s="7"/>
      <c r="X9081" s="7"/>
    </row>
    <row r="9082" spans="2:24">
      <c r="B9082" s="7"/>
      <c r="D9082" s="7"/>
      <c r="F9082" s="7"/>
      <c r="H9082" s="7"/>
      <c r="J9082" s="7"/>
      <c r="L9082" s="7"/>
      <c r="N9082" s="7"/>
      <c r="P9082" s="7"/>
      <c r="R9082" s="7"/>
      <c r="T9082" s="7"/>
      <c r="V9082" s="7"/>
      <c r="X9082" s="7"/>
    </row>
    <row r="9083" spans="2:24">
      <c r="B9083" s="7"/>
      <c r="D9083" s="7"/>
      <c r="F9083" s="7"/>
      <c r="H9083" s="7"/>
      <c r="J9083" s="7"/>
      <c r="L9083" s="7"/>
      <c r="N9083" s="7"/>
      <c r="P9083" s="7"/>
      <c r="R9083" s="7"/>
      <c r="T9083" s="7"/>
      <c r="V9083" s="7"/>
      <c r="X9083" s="7"/>
    </row>
    <row r="9084" spans="2:24">
      <c r="B9084" s="7"/>
      <c r="D9084" s="7"/>
      <c r="F9084" s="7"/>
      <c r="H9084" s="7"/>
      <c r="J9084" s="7"/>
      <c r="L9084" s="7"/>
      <c r="N9084" s="7"/>
      <c r="P9084" s="7"/>
      <c r="R9084" s="7"/>
      <c r="T9084" s="7"/>
      <c r="V9084" s="7"/>
      <c r="X9084" s="7"/>
    </row>
    <row r="9085" spans="2:24">
      <c r="B9085" s="7"/>
      <c r="D9085" s="7"/>
      <c r="F9085" s="7"/>
      <c r="H9085" s="7"/>
      <c r="J9085" s="7"/>
      <c r="L9085" s="7"/>
      <c r="N9085" s="7"/>
      <c r="P9085" s="7"/>
      <c r="R9085" s="7"/>
      <c r="T9085" s="7"/>
      <c r="V9085" s="7"/>
      <c r="X9085" s="7"/>
    </row>
    <row r="9086" spans="2:24">
      <c r="B9086" s="7"/>
      <c r="D9086" s="7"/>
      <c r="F9086" s="7"/>
      <c r="H9086" s="7"/>
      <c r="J9086" s="7"/>
      <c r="L9086" s="7"/>
      <c r="N9086" s="7"/>
      <c r="P9086" s="7"/>
      <c r="R9086" s="7"/>
      <c r="T9086" s="7"/>
      <c r="V9086" s="7"/>
      <c r="X9086" s="7"/>
    </row>
    <row r="9087" spans="2:24">
      <c r="B9087" s="7"/>
      <c r="D9087" s="7"/>
      <c r="F9087" s="7"/>
      <c r="H9087" s="7"/>
      <c r="J9087" s="7"/>
      <c r="L9087" s="7"/>
      <c r="N9087" s="7"/>
      <c r="P9087" s="7"/>
      <c r="R9087" s="7"/>
      <c r="T9087" s="7"/>
      <c r="V9087" s="7"/>
      <c r="X9087" s="7"/>
    </row>
    <row r="9088" spans="2:24">
      <c r="B9088" s="7"/>
      <c r="D9088" s="7"/>
      <c r="F9088" s="7"/>
      <c r="H9088" s="7"/>
      <c r="J9088" s="7"/>
      <c r="L9088" s="7"/>
      <c r="N9088" s="7"/>
      <c r="P9088" s="7"/>
      <c r="R9088" s="7"/>
      <c r="T9088" s="7"/>
      <c r="V9088" s="7"/>
      <c r="X9088" s="7"/>
    </row>
    <row r="9089" spans="2:24">
      <c r="B9089" s="7"/>
      <c r="D9089" s="7"/>
      <c r="F9089" s="7"/>
      <c r="H9089" s="7"/>
      <c r="J9089" s="7"/>
      <c r="L9089" s="7"/>
      <c r="N9089" s="7"/>
      <c r="P9089" s="7"/>
      <c r="R9089" s="7"/>
      <c r="T9089" s="7"/>
      <c r="V9089" s="7"/>
      <c r="X9089" s="7"/>
    </row>
    <row r="9090" spans="2:24">
      <c r="B9090" s="7"/>
      <c r="D9090" s="7"/>
      <c r="F9090" s="7"/>
      <c r="H9090" s="7"/>
      <c r="J9090" s="7"/>
      <c r="L9090" s="7"/>
      <c r="N9090" s="7"/>
      <c r="P9090" s="7"/>
      <c r="R9090" s="7"/>
      <c r="T9090" s="7"/>
      <c r="V9090" s="7"/>
      <c r="X9090" s="7"/>
    </row>
    <row r="9091" spans="2:24">
      <c r="B9091" s="7"/>
      <c r="D9091" s="7"/>
      <c r="F9091" s="7"/>
      <c r="H9091" s="7"/>
      <c r="J9091" s="7"/>
      <c r="L9091" s="7"/>
      <c r="N9091" s="7"/>
      <c r="P9091" s="7"/>
      <c r="R9091" s="7"/>
      <c r="T9091" s="7"/>
      <c r="V9091" s="7"/>
      <c r="X9091" s="7"/>
    </row>
    <row r="9092" spans="2:24">
      <c r="B9092" s="7"/>
      <c r="D9092" s="7"/>
      <c r="F9092" s="7"/>
      <c r="H9092" s="7"/>
      <c r="J9092" s="7"/>
      <c r="L9092" s="7"/>
      <c r="N9092" s="7"/>
      <c r="P9092" s="7"/>
      <c r="R9092" s="7"/>
      <c r="T9092" s="7"/>
      <c r="V9092" s="7"/>
      <c r="X9092" s="7"/>
    </row>
    <row r="9093" spans="2:24">
      <c r="B9093" s="7"/>
      <c r="D9093" s="7"/>
      <c r="F9093" s="7"/>
      <c r="H9093" s="7"/>
      <c r="J9093" s="7"/>
      <c r="L9093" s="7"/>
      <c r="N9093" s="7"/>
      <c r="P9093" s="7"/>
      <c r="R9093" s="7"/>
      <c r="T9093" s="7"/>
      <c r="V9093" s="7"/>
      <c r="X9093" s="7"/>
    </row>
    <row r="9094" spans="2:24">
      <c r="B9094" s="7"/>
      <c r="D9094" s="7"/>
      <c r="F9094" s="7"/>
      <c r="H9094" s="7"/>
      <c r="J9094" s="7"/>
      <c r="L9094" s="7"/>
      <c r="N9094" s="7"/>
      <c r="P9094" s="7"/>
      <c r="R9094" s="7"/>
      <c r="T9094" s="7"/>
      <c r="V9094" s="7"/>
      <c r="X9094" s="7"/>
    </row>
    <row r="9095" spans="2:24">
      <c r="B9095" s="7"/>
      <c r="D9095" s="7"/>
      <c r="F9095" s="7"/>
      <c r="H9095" s="7"/>
      <c r="J9095" s="7"/>
      <c r="L9095" s="7"/>
      <c r="N9095" s="7"/>
      <c r="P9095" s="7"/>
      <c r="R9095" s="7"/>
      <c r="T9095" s="7"/>
      <c r="V9095" s="7"/>
      <c r="X9095" s="7"/>
    </row>
    <row r="9096" spans="2:24">
      <c r="B9096" s="7"/>
      <c r="D9096" s="7"/>
      <c r="F9096" s="7"/>
      <c r="H9096" s="7"/>
      <c r="J9096" s="7"/>
      <c r="L9096" s="7"/>
      <c r="N9096" s="7"/>
      <c r="P9096" s="7"/>
      <c r="R9096" s="7"/>
      <c r="T9096" s="7"/>
      <c r="V9096" s="7"/>
      <c r="X9096" s="7"/>
    </row>
    <row r="9097" spans="2:24">
      <c r="B9097" s="7"/>
      <c r="D9097" s="7"/>
      <c r="F9097" s="7"/>
      <c r="H9097" s="7"/>
      <c r="J9097" s="7"/>
      <c r="L9097" s="7"/>
      <c r="N9097" s="7"/>
      <c r="P9097" s="7"/>
      <c r="R9097" s="7"/>
      <c r="T9097" s="7"/>
      <c r="V9097" s="7"/>
      <c r="X9097" s="7"/>
    </row>
    <row r="9098" spans="2:24">
      <c r="B9098" s="7"/>
      <c r="D9098" s="7"/>
      <c r="F9098" s="7"/>
      <c r="H9098" s="7"/>
      <c r="J9098" s="7"/>
      <c r="L9098" s="7"/>
      <c r="N9098" s="7"/>
      <c r="P9098" s="7"/>
      <c r="R9098" s="7"/>
      <c r="T9098" s="7"/>
      <c r="V9098" s="7"/>
      <c r="X9098" s="7"/>
    </row>
    <row r="9099" spans="2:24">
      <c r="B9099" s="7"/>
      <c r="D9099" s="7"/>
      <c r="F9099" s="7"/>
      <c r="H9099" s="7"/>
      <c r="J9099" s="7"/>
      <c r="L9099" s="7"/>
      <c r="N9099" s="7"/>
      <c r="P9099" s="7"/>
      <c r="R9099" s="7"/>
      <c r="T9099" s="7"/>
      <c r="V9099" s="7"/>
      <c r="X9099" s="7"/>
    </row>
    <row r="9100" spans="2:24">
      <c r="B9100" s="7"/>
      <c r="D9100" s="7"/>
      <c r="F9100" s="7"/>
      <c r="H9100" s="7"/>
      <c r="J9100" s="7"/>
      <c r="L9100" s="7"/>
      <c r="N9100" s="7"/>
      <c r="P9100" s="7"/>
      <c r="R9100" s="7"/>
      <c r="T9100" s="7"/>
      <c r="V9100" s="7"/>
      <c r="X9100" s="7"/>
    </row>
    <row r="9101" spans="2:24">
      <c r="B9101" s="7"/>
      <c r="D9101" s="7"/>
      <c r="F9101" s="7"/>
      <c r="H9101" s="7"/>
      <c r="J9101" s="7"/>
      <c r="L9101" s="7"/>
      <c r="N9101" s="7"/>
      <c r="P9101" s="7"/>
      <c r="R9101" s="7"/>
      <c r="T9101" s="7"/>
      <c r="V9101" s="7"/>
      <c r="X9101" s="7"/>
    </row>
    <row r="9102" spans="2:24">
      <c r="B9102" s="7"/>
      <c r="D9102" s="7"/>
      <c r="F9102" s="7"/>
      <c r="H9102" s="7"/>
      <c r="J9102" s="7"/>
      <c r="L9102" s="7"/>
      <c r="N9102" s="7"/>
      <c r="P9102" s="7"/>
      <c r="R9102" s="7"/>
      <c r="T9102" s="7"/>
      <c r="V9102" s="7"/>
      <c r="X9102" s="7"/>
    </row>
    <row r="9103" spans="2:24">
      <c r="B9103" s="7"/>
      <c r="D9103" s="7"/>
      <c r="F9103" s="7"/>
      <c r="H9103" s="7"/>
      <c r="J9103" s="7"/>
      <c r="L9103" s="7"/>
      <c r="N9103" s="7"/>
      <c r="P9103" s="7"/>
      <c r="R9103" s="7"/>
      <c r="T9103" s="7"/>
      <c r="V9103" s="7"/>
      <c r="X9103" s="7"/>
    </row>
    <row r="9104" spans="2:24">
      <c r="B9104" s="7"/>
      <c r="D9104" s="7"/>
      <c r="F9104" s="7"/>
      <c r="H9104" s="7"/>
      <c r="J9104" s="7"/>
      <c r="L9104" s="7"/>
      <c r="N9104" s="7"/>
      <c r="P9104" s="7"/>
      <c r="R9104" s="7"/>
      <c r="T9104" s="7"/>
      <c r="V9104" s="7"/>
      <c r="X9104" s="7"/>
    </row>
    <row r="9105" spans="2:24">
      <c r="B9105" s="7"/>
      <c r="D9105" s="7"/>
      <c r="F9105" s="7"/>
      <c r="H9105" s="7"/>
      <c r="J9105" s="7"/>
      <c r="L9105" s="7"/>
      <c r="N9105" s="7"/>
      <c r="P9105" s="7"/>
      <c r="R9105" s="7"/>
      <c r="T9105" s="7"/>
      <c r="V9105" s="7"/>
      <c r="X9105" s="7"/>
    </row>
    <row r="9106" spans="2:24">
      <c r="B9106" s="7"/>
      <c r="D9106" s="7"/>
      <c r="F9106" s="7"/>
      <c r="H9106" s="7"/>
      <c r="J9106" s="7"/>
      <c r="L9106" s="7"/>
      <c r="N9106" s="7"/>
      <c r="P9106" s="7"/>
      <c r="R9106" s="7"/>
      <c r="T9106" s="7"/>
      <c r="V9106" s="7"/>
      <c r="X9106" s="7"/>
    </row>
    <row r="9107" spans="2:24">
      <c r="B9107" s="7"/>
      <c r="D9107" s="7"/>
      <c r="F9107" s="7"/>
      <c r="H9107" s="7"/>
      <c r="J9107" s="7"/>
      <c r="L9107" s="7"/>
      <c r="N9107" s="7"/>
      <c r="P9107" s="7"/>
      <c r="R9107" s="7"/>
      <c r="T9107" s="7"/>
      <c r="V9107" s="7"/>
      <c r="X9107" s="7"/>
    </row>
    <row r="9108" spans="2:24">
      <c r="B9108" s="7"/>
      <c r="D9108" s="7"/>
      <c r="F9108" s="7"/>
      <c r="H9108" s="7"/>
      <c r="J9108" s="7"/>
      <c r="L9108" s="7"/>
      <c r="N9108" s="7"/>
      <c r="P9108" s="7"/>
      <c r="R9108" s="7"/>
      <c r="T9108" s="7"/>
      <c r="V9108" s="7"/>
      <c r="X9108" s="7"/>
    </row>
    <row r="9109" spans="2:24">
      <c r="B9109" s="7"/>
      <c r="D9109" s="7"/>
      <c r="F9109" s="7"/>
      <c r="H9109" s="7"/>
      <c r="J9109" s="7"/>
      <c r="L9109" s="7"/>
      <c r="N9109" s="7"/>
      <c r="P9109" s="7"/>
      <c r="R9109" s="7"/>
      <c r="T9109" s="7"/>
      <c r="V9109" s="7"/>
      <c r="X9109" s="7"/>
    </row>
    <row r="9110" spans="2:24">
      <c r="B9110" s="7"/>
      <c r="D9110" s="7"/>
      <c r="F9110" s="7"/>
      <c r="H9110" s="7"/>
      <c r="J9110" s="7"/>
      <c r="L9110" s="7"/>
      <c r="N9110" s="7"/>
      <c r="P9110" s="7"/>
      <c r="R9110" s="7"/>
      <c r="T9110" s="7"/>
      <c r="V9110" s="7"/>
      <c r="X9110" s="7"/>
    </row>
    <row r="9111" spans="2:24">
      <c r="B9111" s="7"/>
      <c r="D9111" s="7"/>
      <c r="F9111" s="7"/>
      <c r="H9111" s="7"/>
      <c r="J9111" s="7"/>
      <c r="L9111" s="7"/>
      <c r="N9111" s="7"/>
      <c r="P9111" s="7"/>
      <c r="R9111" s="7"/>
      <c r="T9111" s="7"/>
      <c r="V9111" s="7"/>
      <c r="X9111" s="7"/>
    </row>
    <row r="9112" spans="2:24">
      <c r="B9112" s="7"/>
      <c r="D9112" s="7"/>
      <c r="F9112" s="7"/>
      <c r="H9112" s="7"/>
      <c r="J9112" s="7"/>
      <c r="L9112" s="7"/>
      <c r="N9112" s="7"/>
      <c r="P9112" s="7"/>
      <c r="R9112" s="7"/>
      <c r="T9112" s="7"/>
      <c r="V9112" s="7"/>
      <c r="X9112" s="7"/>
    </row>
    <row r="9113" spans="2:24">
      <c r="B9113" s="7"/>
      <c r="D9113" s="7"/>
      <c r="F9113" s="7"/>
      <c r="H9113" s="7"/>
      <c r="J9113" s="7"/>
      <c r="L9113" s="7"/>
      <c r="N9113" s="7"/>
      <c r="P9113" s="7"/>
      <c r="R9113" s="7"/>
      <c r="T9113" s="7"/>
      <c r="V9113" s="7"/>
      <c r="X9113" s="7"/>
    </row>
    <row r="9114" spans="2:24">
      <c r="B9114" s="7"/>
      <c r="D9114" s="7"/>
      <c r="F9114" s="7"/>
      <c r="H9114" s="7"/>
      <c r="J9114" s="7"/>
      <c r="L9114" s="7"/>
      <c r="N9114" s="7"/>
      <c r="P9114" s="7"/>
      <c r="R9114" s="7"/>
      <c r="T9114" s="7"/>
      <c r="V9114" s="7"/>
      <c r="X9114" s="7"/>
    </row>
    <row r="9115" spans="2:24">
      <c r="B9115" s="7"/>
      <c r="D9115" s="7"/>
      <c r="F9115" s="7"/>
      <c r="H9115" s="7"/>
      <c r="J9115" s="7"/>
      <c r="L9115" s="7"/>
      <c r="N9115" s="7"/>
      <c r="P9115" s="7"/>
      <c r="R9115" s="7"/>
      <c r="T9115" s="7"/>
      <c r="V9115" s="7"/>
      <c r="X9115" s="7"/>
    </row>
    <row r="9116" spans="2:24">
      <c r="B9116" s="7"/>
      <c r="D9116" s="7"/>
      <c r="F9116" s="7"/>
      <c r="H9116" s="7"/>
      <c r="J9116" s="7"/>
      <c r="L9116" s="7"/>
      <c r="N9116" s="7"/>
      <c r="P9116" s="7"/>
      <c r="R9116" s="7"/>
      <c r="T9116" s="7"/>
      <c r="V9116" s="7"/>
      <c r="X9116" s="7"/>
    </row>
    <row r="9117" spans="2:24">
      <c r="B9117" s="7"/>
      <c r="D9117" s="7"/>
      <c r="F9117" s="7"/>
      <c r="H9117" s="7"/>
      <c r="J9117" s="7"/>
      <c r="L9117" s="7"/>
      <c r="N9117" s="7"/>
      <c r="P9117" s="7"/>
      <c r="R9117" s="7"/>
      <c r="T9117" s="7"/>
      <c r="V9117" s="7"/>
      <c r="X9117" s="7"/>
    </row>
    <row r="9118" spans="2:24">
      <c r="B9118" s="7"/>
      <c r="D9118" s="7"/>
      <c r="F9118" s="7"/>
      <c r="H9118" s="7"/>
      <c r="J9118" s="7"/>
      <c r="L9118" s="7"/>
      <c r="N9118" s="7"/>
      <c r="P9118" s="7"/>
      <c r="R9118" s="7"/>
      <c r="T9118" s="7"/>
      <c r="V9118" s="7"/>
      <c r="X9118" s="7"/>
    </row>
    <row r="9119" spans="2:24">
      <c r="B9119" s="7"/>
      <c r="D9119" s="7"/>
      <c r="F9119" s="7"/>
      <c r="H9119" s="7"/>
      <c r="J9119" s="7"/>
      <c r="L9119" s="7"/>
      <c r="N9119" s="7"/>
      <c r="P9119" s="7"/>
      <c r="R9119" s="7"/>
      <c r="T9119" s="7"/>
      <c r="V9119" s="7"/>
      <c r="X9119" s="7"/>
    </row>
    <row r="9120" spans="2:24">
      <c r="B9120" s="7"/>
      <c r="D9120" s="7"/>
      <c r="F9120" s="7"/>
      <c r="H9120" s="7"/>
      <c r="J9120" s="7"/>
      <c r="L9120" s="7"/>
      <c r="N9120" s="7"/>
      <c r="P9120" s="7"/>
      <c r="R9120" s="7"/>
      <c r="T9120" s="7"/>
      <c r="V9120" s="7"/>
      <c r="X9120" s="7"/>
    </row>
    <row r="9121" spans="2:24">
      <c r="B9121" s="7"/>
      <c r="D9121" s="7"/>
      <c r="F9121" s="7"/>
      <c r="H9121" s="7"/>
      <c r="J9121" s="7"/>
      <c r="L9121" s="7"/>
      <c r="N9121" s="7"/>
      <c r="P9121" s="7"/>
      <c r="R9121" s="7"/>
      <c r="T9121" s="7"/>
      <c r="V9121" s="7"/>
      <c r="X9121" s="7"/>
    </row>
    <row r="9122" spans="2:24">
      <c r="B9122" s="7"/>
      <c r="D9122" s="7"/>
      <c r="F9122" s="7"/>
      <c r="H9122" s="7"/>
      <c r="J9122" s="7"/>
      <c r="L9122" s="7"/>
      <c r="N9122" s="7"/>
      <c r="P9122" s="7"/>
      <c r="R9122" s="7"/>
      <c r="T9122" s="7"/>
      <c r="V9122" s="7"/>
      <c r="X9122" s="7"/>
    </row>
    <row r="9123" spans="2:24">
      <c r="B9123" s="7"/>
      <c r="D9123" s="7"/>
      <c r="F9123" s="7"/>
      <c r="H9123" s="7"/>
      <c r="J9123" s="7"/>
      <c r="L9123" s="7"/>
      <c r="N9123" s="7"/>
      <c r="P9123" s="7"/>
      <c r="R9123" s="7"/>
      <c r="T9123" s="7"/>
      <c r="V9123" s="7"/>
      <c r="X9123" s="7"/>
    </row>
    <row r="9124" spans="2:24">
      <c r="B9124" s="7"/>
      <c r="D9124" s="7"/>
      <c r="F9124" s="7"/>
      <c r="H9124" s="7"/>
      <c r="J9124" s="7"/>
      <c r="L9124" s="7"/>
      <c r="N9124" s="7"/>
      <c r="P9124" s="7"/>
      <c r="R9124" s="7"/>
      <c r="T9124" s="7"/>
      <c r="V9124" s="7"/>
      <c r="X9124" s="7"/>
    </row>
    <row r="9125" spans="2:24">
      <c r="B9125" s="7"/>
      <c r="D9125" s="7"/>
      <c r="F9125" s="7"/>
      <c r="H9125" s="7"/>
      <c r="J9125" s="7"/>
      <c r="L9125" s="7"/>
      <c r="N9125" s="7"/>
      <c r="P9125" s="7"/>
      <c r="R9125" s="7"/>
      <c r="T9125" s="7"/>
      <c r="V9125" s="7"/>
      <c r="X9125" s="7"/>
    </row>
    <row r="9126" spans="2:24">
      <c r="B9126" s="7"/>
      <c r="D9126" s="7"/>
      <c r="F9126" s="7"/>
      <c r="H9126" s="7"/>
      <c r="J9126" s="7"/>
      <c r="L9126" s="7"/>
      <c r="N9126" s="7"/>
      <c r="P9126" s="7"/>
      <c r="R9126" s="7"/>
      <c r="T9126" s="7"/>
      <c r="V9126" s="7"/>
      <c r="X9126" s="7"/>
    </row>
    <row r="9127" spans="2:24">
      <c r="B9127" s="7"/>
      <c r="D9127" s="7"/>
      <c r="F9127" s="7"/>
      <c r="H9127" s="7"/>
      <c r="J9127" s="7"/>
      <c r="L9127" s="7"/>
      <c r="N9127" s="7"/>
      <c r="P9127" s="7"/>
      <c r="R9127" s="7"/>
      <c r="T9127" s="7"/>
      <c r="V9127" s="7"/>
      <c r="X9127" s="7"/>
    </row>
    <row r="9128" spans="2:24">
      <c r="B9128" s="7"/>
      <c r="D9128" s="7"/>
      <c r="F9128" s="7"/>
      <c r="H9128" s="7"/>
      <c r="J9128" s="7"/>
      <c r="L9128" s="7"/>
      <c r="N9128" s="7"/>
      <c r="P9128" s="7"/>
      <c r="R9128" s="7"/>
      <c r="T9128" s="7"/>
      <c r="V9128" s="7"/>
      <c r="X9128" s="7"/>
    </row>
    <row r="9129" spans="2:24">
      <c r="B9129" s="7"/>
      <c r="D9129" s="7"/>
      <c r="F9129" s="7"/>
      <c r="H9129" s="7"/>
      <c r="J9129" s="7"/>
      <c r="L9129" s="7"/>
      <c r="N9129" s="7"/>
      <c r="P9129" s="7"/>
      <c r="R9129" s="7"/>
      <c r="T9129" s="7"/>
      <c r="V9129" s="7"/>
      <c r="X9129" s="7"/>
    </row>
    <row r="9130" spans="2:24">
      <c r="B9130" s="7"/>
      <c r="D9130" s="7"/>
      <c r="F9130" s="7"/>
      <c r="H9130" s="7"/>
      <c r="J9130" s="7"/>
      <c r="L9130" s="7"/>
      <c r="N9130" s="7"/>
      <c r="P9130" s="7"/>
      <c r="R9130" s="7"/>
      <c r="T9130" s="7"/>
      <c r="V9130" s="7"/>
      <c r="X9130" s="7"/>
    </row>
    <row r="9131" spans="2:24">
      <c r="B9131" s="7"/>
      <c r="D9131" s="7"/>
      <c r="F9131" s="7"/>
      <c r="H9131" s="7"/>
      <c r="J9131" s="7"/>
      <c r="L9131" s="7"/>
      <c r="N9131" s="7"/>
      <c r="P9131" s="7"/>
      <c r="R9131" s="7"/>
      <c r="T9131" s="7"/>
      <c r="V9131" s="7"/>
      <c r="X9131" s="7"/>
    </row>
    <row r="9132" spans="2:24">
      <c r="B9132" s="7"/>
      <c r="D9132" s="7"/>
      <c r="F9132" s="7"/>
      <c r="H9132" s="7"/>
      <c r="J9132" s="7"/>
      <c r="L9132" s="7"/>
      <c r="N9132" s="7"/>
      <c r="P9132" s="7"/>
      <c r="R9132" s="7"/>
      <c r="T9132" s="7"/>
      <c r="V9132" s="7"/>
      <c r="X9132" s="7"/>
    </row>
    <row r="9133" spans="2:24">
      <c r="B9133" s="7"/>
      <c r="D9133" s="7"/>
      <c r="F9133" s="7"/>
      <c r="H9133" s="7"/>
      <c r="J9133" s="7"/>
      <c r="L9133" s="7"/>
      <c r="N9133" s="7"/>
      <c r="P9133" s="7"/>
      <c r="R9133" s="7"/>
      <c r="T9133" s="7"/>
      <c r="V9133" s="7"/>
      <c r="X9133" s="7"/>
    </row>
    <row r="9134" spans="2:24">
      <c r="B9134" s="7"/>
      <c r="D9134" s="7"/>
      <c r="F9134" s="7"/>
      <c r="H9134" s="7"/>
      <c r="J9134" s="7"/>
      <c r="L9134" s="7"/>
      <c r="N9134" s="7"/>
      <c r="P9134" s="7"/>
      <c r="R9134" s="7"/>
      <c r="T9134" s="7"/>
      <c r="V9134" s="7"/>
      <c r="X9134" s="7"/>
    </row>
    <row r="9135" spans="2:24">
      <c r="B9135" s="7"/>
      <c r="D9135" s="7"/>
      <c r="F9135" s="7"/>
      <c r="H9135" s="7"/>
      <c r="J9135" s="7"/>
      <c r="L9135" s="7"/>
      <c r="N9135" s="7"/>
      <c r="P9135" s="7"/>
      <c r="R9135" s="7"/>
      <c r="T9135" s="7"/>
      <c r="V9135" s="7"/>
      <c r="X9135" s="7"/>
    </row>
    <row r="9136" spans="2:24">
      <c r="B9136" s="7"/>
      <c r="D9136" s="7"/>
      <c r="F9136" s="7"/>
      <c r="H9136" s="7"/>
      <c r="J9136" s="7"/>
      <c r="L9136" s="7"/>
      <c r="N9136" s="7"/>
      <c r="P9136" s="7"/>
      <c r="R9136" s="7"/>
      <c r="T9136" s="7"/>
      <c r="V9136" s="7"/>
      <c r="X9136" s="7"/>
    </row>
    <row r="9137" spans="2:24">
      <c r="B9137" s="7"/>
      <c r="D9137" s="7"/>
      <c r="F9137" s="7"/>
      <c r="H9137" s="7"/>
      <c r="J9137" s="7"/>
      <c r="L9137" s="7"/>
      <c r="N9137" s="7"/>
      <c r="P9137" s="7"/>
      <c r="R9137" s="7"/>
      <c r="T9137" s="7"/>
      <c r="V9137" s="7"/>
      <c r="X9137" s="7"/>
    </row>
    <row r="9138" spans="2:24">
      <c r="B9138" s="7"/>
      <c r="D9138" s="7"/>
      <c r="F9138" s="7"/>
      <c r="H9138" s="7"/>
      <c r="J9138" s="7"/>
      <c r="L9138" s="7"/>
      <c r="N9138" s="7"/>
      <c r="P9138" s="7"/>
      <c r="R9138" s="7"/>
      <c r="T9138" s="7"/>
      <c r="V9138" s="7"/>
      <c r="X9138" s="7"/>
    </row>
    <row r="9139" spans="2:24">
      <c r="B9139" s="7"/>
      <c r="D9139" s="7"/>
      <c r="F9139" s="7"/>
      <c r="H9139" s="7"/>
      <c r="J9139" s="7"/>
      <c r="L9139" s="7"/>
      <c r="N9139" s="7"/>
      <c r="P9139" s="7"/>
      <c r="R9139" s="7"/>
      <c r="T9139" s="7"/>
      <c r="V9139" s="7"/>
      <c r="X9139" s="7"/>
    </row>
    <row r="9140" spans="2:24">
      <c r="B9140" s="7"/>
      <c r="D9140" s="7"/>
      <c r="F9140" s="7"/>
      <c r="H9140" s="7"/>
      <c r="J9140" s="7"/>
      <c r="L9140" s="7"/>
      <c r="N9140" s="7"/>
      <c r="P9140" s="7"/>
      <c r="R9140" s="7"/>
      <c r="T9140" s="7"/>
      <c r="V9140" s="7"/>
      <c r="X9140" s="7"/>
    </row>
    <row r="9141" spans="2:24">
      <c r="B9141" s="7"/>
      <c r="D9141" s="7"/>
      <c r="F9141" s="7"/>
      <c r="H9141" s="7"/>
      <c r="J9141" s="7"/>
      <c r="L9141" s="7"/>
      <c r="N9141" s="7"/>
      <c r="P9141" s="7"/>
      <c r="R9141" s="7"/>
      <c r="T9141" s="7"/>
      <c r="V9141" s="7"/>
      <c r="X9141" s="7"/>
    </row>
    <row r="9142" spans="2:24">
      <c r="B9142" s="7"/>
      <c r="D9142" s="7"/>
      <c r="F9142" s="7"/>
      <c r="H9142" s="7"/>
      <c r="J9142" s="7"/>
      <c r="L9142" s="7"/>
      <c r="N9142" s="7"/>
      <c r="P9142" s="7"/>
      <c r="R9142" s="7"/>
      <c r="T9142" s="7"/>
      <c r="V9142" s="7"/>
      <c r="X9142" s="7"/>
    </row>
    <row r="9143" spans="2:24">
      <c r="B9143" s="7"/>
      <c r="D9143" s="7"/>
      <c r="F9143" s="7"/>
      <c r="H9143" s="7"/>
      <c r="J9143" s="7"/>
      <c r="L9143" s="7"/>
      <c r="N9143" s="7"/>
      <c r="P9143" s="7"/>
      <c r="R9143" s="7"/>
      <c r="T9143" s="7"/>
      <c r="V9143" s="7"/>
      <c r="X9143" s="7"/>
    </row>
    <row r="9144" spans="2:24">
      <c r="B9144" s="7"/>
      <c r="D9144" s="7"/>
      <c r="F9144" s="7"/>
      <c r="H9144" s="7"/>
      <c r="J9144" s="7"/>
      <c r="L9144" s="7"/>
      <c r="N9144" s="7"/>
      <c r="P9144" s="7"/>
      <c r="R9144" s="7"/>
      <c r="T9144" s="7"/>
      <c r="V9144" s="7"/>
      <c r="X9144" s="7"/>
    </row>
    <row r="9145" spans="2:24">
      <c r="B9145" s="7"/>
      <c r="D9145" s="7"/>
      <c r="F9145" s="7"/>
      <c r="H9145" s="7"/>
      <c r="J9145" s="7"/>
      <c r="L9145" s="7"/>
      <c r="N9145" s="7"/>
      <c r="P9145" s="7"/>
      <c r="R9145" s="7"/>
      <c r="T9145" s="7"/>
      <c r="V9145" s="7"/>
      <c r="X9145" s="7"/>
    </row>
    <row r="9146" spans="2:24">
      <c r="B9146" s="7"/>
      <c r="D9146" s="7"/>
      <c r="F9146" s="7"/>
      <c r="H9146" s="7"/>
      <c r="J9146" s="7"/>
      <c r="L9146" s="7"/>
      <c r="N9146" s="7"/>
      <c r="P9146" s="7"/>
      <c r="R9146" s="7"/>
      <c r="T9146" s="7"/>
      <c r="V9146" s="7"/>
      <c r="X9146" s="7"/>
    </row>
    <row r="9147" spans="2:24">
      <c r="B9147" s="7"/>
      <c r="D9147" s="7"/>
      <c r="F9147" s="7"/>
      <c r="H9147" s="7"/>
      <c r="J9147" s="7"/>
      <c r="L9147" s="7"/>
      <c r="N9147" s="7"/>
      <c r="P9147" s="7"/>
      <c r="R9147" s="7"/>
      <c r="T9147" s="7"/>
      <c r="V9147" s="7"/>
      <c r="X9147" s="7"/>
    </row>
    <row r="9148" spans="2:24">
      <c r="B9148" s="7"/>
      <c r="D9148" s="7"/>
      <c r="F9148" s="7"/>
      <c r="H9148" s="7"/>
      <c r="J9148" s="7"/>
      <c r="L9148" s="7"/>
      <c r="N9148" s="7"/>
      <c r="P9148" s="7"/>
      <c r="R9148" s="7"/>
      <c r="T9148" s="7"/>
      <c r="V9148" s="7"/>
      <c r="X9148" s="7"/>
    </row>
    <row r="9149" spans="2:24">
      <c r="B9149" s="7"/>
      <c r="D9149" s="7"/>
      <c r="F9149" s="7"/>
      <c r="H9149" s="7"/>
      <c r="J9149" s="7"/>
      <c r="L9149" s="7"/>
      <c r="N9149" s="7"/>
      <c r="P9149" s="7"/>
      <c r="R9149" s="7"/>
      <c r="T9149" s="7"/>
      <c r="V9149" s="7"/>
      <c r="X9149" s="7"/>
    </row>
    <row r="9150" spans="2:24">
      <c r="B9150" s="7"/>
      <c r="D9150" s="7"/>
      <c r="F9150" s="7"/>
      <c r="H9150" s="7"/>
      <c r="J9150" s="7"/>
      <c r="L9150" s="7"/>
      <c r="N9150" s="7"/>
      <c r="P9150" s="7"/>
      <c r="R9150" s="7"/>
      <c r="T9150" s="7"/>
      <c r="V9150" s="7"/>
      <c r="X9150" s="7"/>
    </row>
    <row r="9151" spans="2:24">
      <c r="B9151" s="7"/>
      <c r="D9151" s="7"/>
      <c r="F9151" s="7"/>
      <c r="H9151" s="7"/>
      <c r="J9151" s="7"/>
      <c r="L9151" s="7"/>
      <c r="N9151" s="7"/>
      <c r="P9151" s="7"/>
      <c r="R9151" s="7"/>
      <c r="T9151" s="7"/>
      <c r="V9151" s="7"/>
      <c r="X9151" s="7"/>
    </row>
    <row r="9152" spans="2:24">
      <c r="B9152" s="7"/>
      <c r="D9152" s="7"/>
      <c r="F9152" s="7"/>
      <c r="H9152" s="7"/>
      <c r="J9152" s="7"/>
      <c r="L9152" s="7"/>
      <c r="N9152" s="7"/>
      <c r="P9152" s="7"/>
      <c r="R9152" s="7"/>
      <c r="T9152" s="7"/>
      <c r="V9152" s="7"/>
      <c r="X9152" s="7"/>
    </row>
    <row r="9153" spans="2:24">
      <c r="B9153" s="7"/>
      <c r="D9153" s="7"/>
      <c r="F9153" s="7"/>
      <c r="H9153" s="7"/>
      <c r="J9153" s="7"/>
      <c r="L9153" s="7"/>
      <c r="N9153" s="7"/>
      <c r="P9153" s="7"/>
      <c r="R9153" s="7"/>
      <c r="T9153" s="7"/>
      <c r="V9153" s="7"/>
      <c r="X9153" s="7"/>
    </row>
    <row r="9154" spans="2:24">
      <c r="B9154" s="7"/>
      <c r="D9154" s="7"/>
      <c r="F9154" s="7"/>
      <c r="H9154" s="7"/>
      <c r="J9154" s="7"/>
      <c r="L9154" s="7"/>
      <c r="N9154" s="7"/>
      <c r="P9154" s="7"/>
      <c r="R9154" s="7"/>
      <c r="T9154" s="7"/>
      <c r="V9154" s="7"/>
      <c r="X9154" s="7"/>
    </row>
    <row r="9155" spans="2:24">
      <c r="B9155" s="7"/>
      <c r="D9155" s="7"/>
      <c r="F9155" s="7"/>
      <c r="H9155" s="7"/>
      <c r="J9155" s="7"/>
      <c r="L9155" s="7"/>
      <c r="N9155" s="7"/>
      <c r="P9155" s="7"/>
      <c r="R9155" s="7"/>
      <c r="T9155" s="7"/>
      <c r="V9155" s="7"/>
      <c r="X9155" s="7"/>
    </row>
    <row r="9156" spans="2:24">
      <c r="B9156" s="7"/>
      <c r="D9156" s="7"/>
      <c r="F9156" s="7"/>
      <c r="H9156" s="7"/>
      <c r="J9156" s="7"/>
      <c r="L9156" s="7"/>
      <c r="N9156" s="7"/>
      <c r="P9156" s="7"/>
      <c r="R9156" s="7"/>
      <c r="T9156" s="7"/>
      <c r="V9156" s="7"/>
      <c r="X9156" s="7"/>
    </row>
    <row r="9157" spans="2:24">
      <c r="B9157" s="7"/>
      <c r="D9157" s="7"/>
      <c r="F9157" s="7"/>
      <c r="H9157" s="7"/>
      <c r="J9157" s="7"/>
      <c r="L9157" s="7"/>
      <c r="N9157" s="7"/>
      <c r="P9157" s="7"/>
      <c r="R9157" s="7"/>
      <c r="T9157" s="7"/>
      <c r="V9157" s="7"/>
      <c r="X9157" s="7"/>
    </row>
    <row r="9158" spans="2:24">
      <c r="B9158" s="7"/>
      <c r="D9158" s="7"/>
      <c r="F9158" s="7"/>
      <c r="H9158" s="7"/>
      <c r="J9158" s="7"/>
      <c r="L9158" s="7"/>
      <c r="N9158" s="7"/>
      <c r="P9158" s="7"/>
      <c r="R9158" s="7"/>
      <c r="T9158" s="7"/>
      <c r="V9158" s="7"/>
      <c r="X9158" s="7"/>
    </row>
    <row r="9159" spans="2:24">
      <c r="B9159" s="7"/>
      <c r="D9159" s="7"/>
      <c r="F9159" s="7"/>
      <c r="H9159" s="7"/>
      <c r="J9159" s="7"/>
      <c r="L9159" s="7"/>
      <c r="N9159" s="7"/>
      <c r="P9159" s="7"/>
      <c r="R9159" s="7"/>
      <c r="T9159" s="7"/>
      <c r="V9159" s="7"/>
      <c r="X9159" s="7"/>
    </row>
    <row r="9160" spans="2:24">
      <c r="B9160" s="7"/>
      <c r="D9160" s="7"/>
      <c r="F9160" s="7"/>
      <c r="H9160" s="7"/>
      <c r="J9160" s="7"/>
      <c r="L9160" s="7"/>
      <c r="N9160" s="7"/>
      <c r="P9160" s="7"/>
      <c r="R9160" s="7"/>
      <c r="T9160" s="7"/>
      <c r="V9160" s="7"/>
      <c r="X9160" s="7"/>
    </row>
    <row r="9161" spans="2:24">
      <c r="B9161" s="7"/>
      <c r="D9161" s="7"/>
      <c r="F9161" s="7"/>
      <c r="H9161" s="7"/>
      <c r="J9161" s="7"/>
      <c r="L9161" s="7"/>
      <c r="N9161" s="7"/>
      <c r="P9161" s="7"/>
      <c r="R9161" s="7"/>
      <c r="T9161" s="7"/>
      <c r="V9161" s="7"/>
      <c r="X9161" s="7"/>
    </row>
    <row r="9162" spans="2:24">
      <c r="B9162" s="7"/>
      <c r="D9162" s="7"/>
      <c r="F9162" s="7"/>
      <c r="H9162" s="7"/>
      <c r="J9162" s="7"/>
      <c r="L9162" s="7"/>
      <c r="N9162" s="7"/>
      <c r="P9162" s="7"/>
      <c r="R9162" s="7"/>
      <c r="T9162" s="7"/>
      <c r="V9162" s="7"/>
      <c r="X9162" s="7"/>
    </row>
    <row r="9163" spans="2:24">
      <c r="B9163" s="7"/>
      <c r="D9163" s="7"/>
      <c r="F9163" s="7"/>
      <c r="H9163" s="7"/>
      <c r="J9163" s="7"/>
      <c r="L9163" s="7"/>
      <c r="N9163" s="7"/>
      <c r="P9163" s="7"/>
      <c r="R9163" s="7"/>
      <c r="T9163" s="7"/>
      <c r="V9163" s="7"/>
      <c r="X9163" s="7"/>
    </row>
    <row r="9164" spans="2:24">
      <c r="B9164" s="7"/>
      <c r="D9164" s="7"/>
      <c r="F9164" s="7"/>
      <c r="H9164" s="7"/>
      <c r="J9164" s="7"/>
      <c r="L9164" s="7"/>
      <c r="N9164" s="7"/>
      <c r="P9164" s="7"/>
      <c r="R9164" s="7"/>
      <c r="T9164" s="7"/>
      <c r="V9164" s="7"/>
      <c r="X9164" s="7"/>
    </row>
    <row r="9165" spans="2:24">
      <c r="B9165" s="7"/>
      <c r="D9165" s="7"/>
      <c r="F9165" s="7"/>
      <c r="H9165" s="7"/>
      <c r="J9165" s="7"/>
      <c r="L9165" s="7"/>
      <c r="N9165" s="7"/>
      <c r="P9165" s="7"/>
      <c r="R9165" s="7"/>
      <c r="T9165" s="7"/>
      <c r="V9165" s="7"/>
      <c r="X9165" s="7"/>
    </row>
    <row r="9166" spans="2:24">
      <c r="B9166" s="7"/>
      <c r="D9166" s="7"/>
      <c r="F9166" s="7"/>
      <c r="H9166" s="7"/>
      <c r="J9166" s="7"/>
      <c r="L9166" s="7"/>
      <c r="N9166" s="7"/>
      <c r="P9166" s="7"/>
      <c r="R9166" s="7"/>
      <c r="T9166" s="7"/>
      <c r="V9166" s="7"/>
      <c r="X9166" s="7"/>
    </row>
    <row r="9167" spans="2:24">
      <c r="B9167" s="7"/>
      <c r="D9167" s="7"/>
      <c r="F9167" s="7"/>
      <c r="H9167" s="7"/>
      <c r="J9167" s="7"/>
      <c r="L9167" s="7"/>
      <c r="N9167" s="7"/>
      <c r="P9167" s="7"/>
      <c r="R9167" s="7"/>
      <c r="T9167" s="7"/>
      <c r="V9167" s="7"/>
      <c r="X9167" s="7"/>
    </row>
    <row r="9168" spans="2:24">
      <c r="B9168" s="7"/>
      <c r="D9168" s="7"/>
      <c r="F9168" s="7"/>
      <c r="H9168" s="7"/>
      <c r="J9168" s="7"/>
      <c r="L9168" s="7"/>
      <c r="N9168" s="7"/>
      <c r="P9168" s="7"/>
      <c r="R9168" s="7"/>
      <c r="T9168" s="7"/>
      <c r="V9168" s="7"/>
      <c r="X9168" s="7"/>
    </row>
    <row r="9169" spans="2:24">
      <c r="B9169" s="7"/>
      <c r="D9169" s="7"/>
      <c r="F9169" s="7"/>
      <c r="H9169" s="7"/>
      <c r="J9169" s="7"/>
      <c r="L9169" s="7"/>
      <c r="N9169" s="7"/>
      <c r="P9169" s="7"/>
      <c r="R9169" s="7"/>
      <c r="T9169" s="7"/>
      <c r="V9169" s="7"/>
      <c r="X9169" s="7"/>
    </row>
    <row r="9170" spans="2:24">
      <c r="B9170" s="7"/>
      <c r="D9170" s="7"/>
      <c r="F9170" s="7"/>
      <c r="H9170" s="7"/>
      <c r="J9170" s="7"/>
      <c r="L9170" s="7"/>
      <c r="N9170" s="7"/>
      <c r="P9170" s="7"/>
      <c r="R9170" s="7"/>
      <c r="T9170" s="7"/>
      <c r="V9170" s="7"/>
      <c r="X9170" s="7"/>
    </row>
    <row r="9171" spans="2:24">
      <c r="B9171" s="7"/>
      <c r="D9171" s="7"/>
      <c r="F9171" s="7"/>
      <c r="H9171" s="7"/>
      <c r="J9171" s="7"/>
      <c r="L9171" s="7"/>
      <c r="N9171" s="7"/>
      <c r="P9171" s="7"/>
      <c r="R9171" s="7"/>
      <c r="T9171" s="7"/>
      <c r="V9171" s="7"/>
      <c r="X9171" s="7"/>
    </row>
    <row r="9172" spans="2:24">
      <c r="B9172" s="7"/>
      <c r="D9172" s="7"/>
      <c r="F9172" s="7"/>
      <c r="H9172" s="7"/>
      <c r="J9172" s="7"/>
      <c r="L9172" s="7"/>
      <c r="N9172" s="7"/>
      <c r="P9172" s="7"/>
      <c r="R9172" s="7"/>
      <c r="T9172" s="7"/>
      <c r="V9172" s="7"/>
      <c r="X9172" s="7"/>
    </row>
    <row r="9173" spans="2:24">
      <c r="B9173" s="7"/>
      <c r="D9173" s="7"/>
      <c r="F9173" s="7"/>
      <c r="H9173" s="7"/>
      <c r="J9173" s="7"/>
      <c r="L9173" s="7"/>
      <c r="N9173" s="7"/>
      <c r="P9173" s="7"/>
      <c r="R9173" s="7"/>
      <c r="T9173" s="7"/>
      <c r="V9173" s="7"/>
      <c r="X9173" s="7"/>
    </row>
    <row r="9174" spans="2:24">
      <c r="B9174" s="7"/>
      <c r="D9174" s="7"/>
      <c r="F9174" s="7"/>
      <c r="H9174" s="7"/>
      <c r="J9174" s="7"/>
      <c r="L9174" s="7"/>
      <c r="N9174" s="7"/>
      <c r="P9174" s="7"/>
      <c r="R9174" s="7"/>
      <c r="T9174" s="7"/>
      <c r="V9174" s="7"/>
      <c r="X9174" s="7"/>
    </row>
    <row r="9175" spans="2:24">
      <c r="B9175" s="7"/>
      <c r="D9175" s="7"/>
      <c r="F9175" s="7"/>
      <c r="H9175" s="7"/>
      <c r="J9175" s="7"/>
      <c r="L9175" s="7"/>
      <c r="N9175" s="7"/>
      <c r="P9175" s="7"/>
      <c r="R9175" s="7"/>
      <c r="T9175" s="7"/>
      <c r="V9175" s="7"/>
      <c r="X9175" s="7"/>
    </row>
    <row r="9176" spans="2:24">
      <c r="B9176" s="7"/>
      <c r="D9176" s="7"/>
      <c r="F9176" s="7"/>
      <c r="H9176" s="7"/>
      <c r="J9176" s="7"/>
      <c r="L9176" s="7"/>
      <c r="N9176" s="7"/>
      <c r="P9176" s="7"/>
      <c r="R9176" s="7"/>
      <c r="T9176" s="7"/>
      <c r="V9176" s="7"/>
      <c r="X9176" s="7"/>
    </row>
    <row r="9177" spans="2:24">
      <c r="B9177" s="7"/>
      <c r="D9177" s="7"/>
      <c r="F9177" s="7"/>
      <c r="H9177" s="7"/>
      <c r="J9177" s="7"/>
      <c r="L9177" s="7"/>
      <c r="N9177" s="7"/>
      <c r="P9177" s="7"/>
      <c r="R9177" s="7"/>
      <c r="T9177" s="7"/>
      <c r="V9177" s="7"/>
      <c r="X9177" s="7"/>
    </row>
    <row r="9178" spans="2:24">
      <c r="B9178" s="7"/>
      <c r="D9178" s="7"/>
      <c r="F9178" s="7"/>
      <c r="H9178" s="7"/>
      <c r="J9178" s="7"/>
      <c r="L9178" s="7"/>
      <c r="N9178" s="7"/>
      <c r="P9178" s="7"/>
      <c r="R9178" s="7"/>
      <c r="T9178" s="7"/>
      <c r="V9178" s="7"/>
      <c r="X9178" s="7"/>
    </row>
    <row r="9179" spans="2:24">
      <c r="B9179" s="7"/>
      <c r="D9179" s="7"/>
      <c r="F9179" s="7"/>
      <c r="H9179" s="7"/>
      <c r="J9179" s="7"/>
      <c r="L9179" s="7"/>
      <c r="N9179" s="7"/>
      <c r="P9179" s="7"/>
      <c r="R9179" s="7"/>
      <c r="T9179" s="7"/>
      <c r="V9179" s="7"/>
      <c r="X9179" s="7"/>
    </row>
    <row r="9180" spans="2:24">
      <c r="B9180" s="7"/>
      <c r="D9180" s="7"/>
      <c r="F9180" s="7"/>
      <c r="H9180" s="7"/>
      <c r="J9180" s="7"/>
      <c r="L9180" s="7"/>
      <c r="N9180" s="7"/>
      <c r="P9180" s="7"/>
      <c r="R9180" s="7"/>
      <c r="T9180" s="7"/>
      <c r="V9180" s="7"/>
      <c r="X9180" s="7"/>
    </row>
    <row r="9181" spans="2:24">
      <c r="B9181" s="7"/>
      <c r="D9181" s="7"/>
      <c r="F9181" s="7"/>
      <c r="H9181" s="7"/>
      <c r="J9181" s="7"/>
      <c r="L9181" s="7"/>
      <c r="N9181" s="7"/>
      <c r="P9181" s="7"/>
      <c r="R9181" s="7"/>
      <c r="T9181" s="7"/>
      <c r="V9181" s="7"/>
      <c r="X9181" s="7"/>
    </row>
    <row r="9182" spans="2:24">
      <c r="B9182" s="7"/>
      <c r="D9182" s="7"/>
      <c r="F9182" s="7"/>
      <c r="H9182" s="7"/>
      <c r="J9182" s="7"/>
      <c r="L9182" s="7"/>
      <c r="N9182" s="7"/>
      <c r="P9182" s="7"/>
      <c r="R9182" s="7"/>
      <c r="T9182" s="7"/>
      <c r="V9182" s="7"/>
      <c r="X9182" s="7"/>
    </row>
    <row r="9183" spans="2:24">
      <c r="B9183" s="7"/>
      <c r="D9183" s="7"/>
      <c r="F9183" s="7"/>
      <c r="H9183" s="7"/>
      <c r="J9183" s="7"/>
      <c r="L9183" s="7"/>
      <c r="N9183" s="7"/>
      <c r="P9183" s="7"/>
      <c r="R9183" s="7"/>
      <c r="T9183" s="7"/>
      <c r="V9183" s="7"/>
      <c r="X9183" s="7"/>
    </row>
    <row r="9184" spans="2:24">
      <c r="B9184" s="7"/>
      <c r="D9184" s="7"/>
      <c r="F9184" s="7"/>
      <c r="H9184" s="7"/>
      <c r="J9184" s="7"/>
      <c r="L9184" s="7"/>
      <c r="N9184" s="7"/>
      <c r="P9184" s="7"/>
      <c r="R9184" s="7"/>
      <c r="T9184" s="7"/>
      <c r="V9184" s="7"/>
      <c r="X9184" s="7"/>
    </row>
    <row r="9185" spans="2:24">
      <c r="B9185" s="7"/>
      <c r="D9185" s="7"/>
      <c r="F9185" s="7"/>
      <c r="H9185" s="7"/>
      <c r="J9185" s="7"/>
      <c r="L9185" s="7"/>
      <c r="N9185" s="7"/>
      <c r="P9185" s="7"/>
      <c r="R9185" s="7"/>
      <c r="T9185" s="7"/>
      <c r="V9185" s="7"/>
      <c r="X9185" s="7"/>
    </row>
    <row r="9186" spans="2:24">
      <c r="B9186" s="7"/>
      <c r="D9186" s="7"/>
      <c r="F9186" s="7"/>
      <c r="H9186" s="7"/>
      <c r="J9186" s="7"/>
      <c r="L9186" s="7"/>
      <c r="N9186" s="7"/>
      <c r="P9186" s="7"/>
      <c r="R9186" s="7"/>
      <c r="T9186" s="7"/>
      <c r="V9186" s="7"/>
      <c r="X9186" s="7"/>
    </row>
    <row r="9187" spans="2:24">
      <c r="B9187" s="7"/>
      <c r="D9187" s="7"/>
      <c r="F9187" s="7"/>
      <c r="H9187" s="7"/>
      <c r="J9187" s="7"/>
      <c r="L9187" s="7"/>
      <c r="N9187" s="7"/>
      <c r="P9187" s="7"/>
      <c r="R9187" s="7"/>
      <c r="T9187" s="7"/>
      <c r="V9187" s="7"/>
      <c r="X9187" s="7"/>
    </row>
    <row r="9188" spans="2:24">
      <c r="B9188" s="7"/>
      <c r="D9188" s="7"/>
      <c r="F9188" s="7"/>
      <c r="H9188" s="7"/>
      <c r="J9188" s="7"/>
      <c r="L9188" s="7"/>
      <c r="N9188" s="7"/>
      <c r="P9188" s="7"/>
      <c r="R9188" s="7"/>
      <c r="T9188" s="7"/>
      <c r="V9188" s="7"/>
      <c r="X9188" s="7"/>
    </row>
    <row r="9189" spans="2:24">
      <c r="B9189" s="7"/>
      <c r="D9189" s="7"/>
      <c r="F9189" s="7"/>
      <c r="H9189" s="7"/>
      <c r="J9189" s="7"/>
      <c r="L9189" s="7"/>
      <c r="N9189" s="7"/>
      <c r="P9189" s="7"/>
      <c r="R9189" s="7"/>
      <c r="T9189" s="7"/>
      <c r="V9189" s="7"/>
      <c r="X9189" s="7"/>
    </row>
    <row r="9190" spans="2:24">
      <c r="B9190" s="7"/>
      <c r="D9190" s="7"/>
      <c r="F9190" s="7"/>
      <c r="H9190" s="7"/>
      <c r="J9190" s="7"/>
      <c r="L9190" s="7"/>
      <c r="N9190" s="7"/>
      <c r="P9190" s="7"/>
      <c r="R9190" s="7"/>
      <c r="T9190" s="7"/>
      <c r="V9190" s="7"/>
      <c r="X9190" s="7"/>
    </row>
    <row r="9191" spans="2:24">
      <c r="B9191" s="7"/>
      <c r="D9191" s="7"/>
      <c r="F9191" s="7"/>
      <c r="H9191" s="7"/>
      <c r="J9191" s="7"/>
      <c r="L9191" s="7"/>
      <c r="N9191" s="7"/>
      <c r="P9191" s="7"/>
      <c r="R9191" s="7"/>
      <c r="T9191" s="7"/>
      <c r="V9191" s="7"/>
      <c r="X9191" s="7"/>
    </row>
    <row r="9192" spans="2:24">
      <c r="B9192" s="7"/>
      <c r="D9192" s="7"/>
      <c r="F9192" s="7"/>
      <c r="H9192" s="7"/>
      <c r="J9192" s="7"/>
      <c r="L9192" s="7"/>
      <c r="N9192" s="7"/>
      <c r="P9192" s="7"/>
      <c r="R9192" s="7"/>
      <c r="T9192" s="7"/>
      <c r="V9192" s="7"/>
      <c r="X9192" s="7"/>
    </row>
    <row r="9193" spans="2:24">
      <c r="B9193" s="7"/>
      <c r="D9193" s="7"/>
      <c r="F9193" s="7"/>
      <c r="H9193" s="7"/>
      <c r="J9193" s="7"/>
      <c r="L9193" s="7"/>
      <c r="N9193" s="7"/>
      <c r="P9193" s="7"/>
      <c r="R9193" s="7"/>
      <c r="T9193" s="7"/>
      <c r="V9193" s="7"/>
      <c r="X9193" s="7"/>
    </row>
    <row r="9194" spans="2:24">
      <c r="B9194" s="7"/>
      <c r="D9194" s="7"/>
      <c r="F9194" s="7"/>
      <c r="H9194" s="7"/>
      <c r="J9194" s="7"/>
      <c r="L9194" s="7"/>
      <c r="N9194" s="7"/>
      <c r="P9194" s="7"/>
      <c r="R9194" s="7"/>
      <c r="T9194" s="7"/>
      <c r="V9194" s="7"/>
      <c r="X9194" s="7"/>
    </row>
    <row r="9195" spans="2:24">
      <c r="B9195" s="7"/>
      <c r="D9195" s="7"/>
      <c r="F9195" s="7"/>
      <c r="H9195" s="7"/>
      <c r="J9195" s="7"/>
      <c r="L9195" s="7"/>
      <c r="N9195" s="7"/>
      <c r="P9195" s="7"/>
      <c r="R9195" s="7"/>
      <c r="T9195" s="7"/>
      <c r="V9195" s="7"/>
      <c r="X9195" s="7"/>
    </row>
    <row r="9196" spans="2:24">
      <c r="B9196" s="7"/>
      <c r="D9196" s="7"/>
      <c r="F9196" s="7"/>
      <c r="H9196" s="7"/>
      <c r="J9196" s="7"/>
      <c r="L9196" s="7"/>
      <c r="N9196" s="7"/>
      <c r="P9196" s="7"/>
      <c r="R9196" s="7"/>
      <c r="T9196" s="7"/>
      <c r="V9196" s="7"/>
      <c r="X9196" s="7"/>
    </row>
    <row r="9197" spans="2:24">
      <c r="B9197" s="7"/>
      <c r="D9197" s="7"/>
      <c r="F9197" s="7"/>
      <c r="H9197" s="7"/>
      <c r="J9197" s="7"/>
      <c r="L9197" s="7"/>
      <c r="N9197" s="7"/>
      <c r="P9197" s="7"/>
      <c r="R9197" s="7"/>
      <c r="T9197" s="7"/>
      <c r="V9197" s="7"/>
      <c r="X9197" s="7"/>
    </row>
    <row r="9198" spans="2:24">
      <c r="B9198" s="7"/>
      <c r="D9198" s="7"/>
      <c r="F9198" s="7"/>
      <c r="H9198" s="7"/>
      <c r="J9198" s="7"/>
      <c r="L9198" s="7"/>
      <c r="N9198" s="7"/>
      <c r="P9198" s="7"/>
      <c r="R9198" s="7"/>
      <c r="T9198" s="7"/>
      <c r="V9198" s="7"/>
      <c r="X9198" s="7"/>
    </row>
    <row r="9199" spans="2:24">
      <c r="B9199" s="7"/>
      <c r="D9199" s="7"/>
      <c r="F9199" s="7"/>
      <c r="H9199" s="7"/>
      <c r="J9199" s="7"/>
      <c r="L9199" s="7"/>
      <c r="N9199" s="7"/>
      <c r="P9199" s="7"/>
      <c r="R9199" s="7"/>
      <c r="T9199" s="7"/>
      <c r="V9199" s="7"/>
      <c r="X9199" s="7"/>
    </row>
    <row r="9200" spans="2:24">
      <c r="B9200" s="7"/>
      <c r="D9200" s="7"/>
      <c r="F9200" s="7"/>
      <c r="H9200" s="7"/>
      <c r="J9200" s="7"/>
      <c r="L9200" s="7"/>
      <c r="N9200" s="7"/>
      <c r="P9200" s="7"/>
      <c r="R9200" s="7"/>
      <c r="T9200" s="7"/>
      <c r="V9200" s="7"/>
      <c r="X9200" s="7"/>
    </row>
    <row r="9201" spans="2:24">
      <c r="B9201" s="7"/>
      <c r="D9201" s="7"/>
      <c r="F9201" s="7"/>
      <c r="H9201" s="7"/>
      <c r="J9201" s="7"/>
      <c r="L9201" s="7"/>
      <c r="N9201" s="7"/>
      <c r="P9201" s="7"/>
      <c r="R9201" s="7"/>
      <c r="T9201" s="7"/>
      <c r="V9201" s="7"/>
      <c r="X9201" s="7"/>
    </row>
    <row r="9202" spans="2:24">
      <c r="B9202" s="7"/>
      <c r="D9202" s="7"/>
      <c r="F9202" s="7"/>
      <c r="H9202" s="7"/>
      <c r="J9202" s="7"/>
      <c r="L9202" s="7"/>
      <c r="N9202" s="7"/>
      <c r="P9202" s="7"/>
      <c r="R9202" s="7"/>
      <c r="T9202" s="7"/>
      <c r="V9202" s="7"/>
      <c r="X9202" s="7"/>
    </row>
    <row r="9203" spans="2:24">
      <c r="B9203" s="7"/>
      <c r="D9203" s="7"/>
      <c r="F9203" s="7"/>
      <c r="H9203" s="7"/>
      <c r="J9203" s="7"/>
      <c r="L9203" s="7"/>
      <c r="N9203" s="7"/>
      <c r="P9203" s="7"/>
      <c r="R9203" s="7"/>
      <c r="T9203" s="7"/>
      <c r="V9203" s="7"/>
      <c r="X9203" s="7"/>
    </row>
    <row r="9204" spans="2:24">
      <c r="B9204" s="7"/>
      <c r="D9204" s="7"/>
      <c r="F9204" s="7"/>
      <c r="H9204" s="7"/>
      <c r="J9204" s="7"/>
      <c r="L9204" s="7"/>
      <c r="N9204" s="7"/>
      <c r="P9204" s="7"/>
      <c r="R9204" s="7"/>
      <c r="T9204" s="7"/>
      <c r="V9204" s="7"/>
      <c r="X9204" s="7"/>
    </row>
    <row r="9205" spans="2:24">
      <c r="B9205" s="7"/>
      <c r="D9205" s="7"/>
      <c r="F9205" s="7"/>
      <c r="H9205" s="7"/>
      <c r="J9205" s="7"/>
      <c r="L9205" s="7"/>
      <c r="N9205" s="7"/>
      <c r="P9205" s="7"/>
      <c r="R9205" s="7"/>
      <c r="T9205" s="7"/>
      <c r="V9205" s="7"/>
      <c r="X9205" s="7"/>
    </row>
    <row r="9206" spans="2:24">
      <c r="B9206" s="7"/>
      <c r="D9206" s="7"/>
      <c r="F9206" s="7"/>
      <c r="H9206" s="7"/>
      <c r="J9206" s="7"/>
      <c r="L9206" s="7"/>
      <c r="N9206" s="7"/>
      <c r="P9206" s="7"/>
      <c r="R9206" s="7"/>
      <c r="T9206" s="7"/>
      <c r="V9206" s="7"/>
      <c r="X9206" s="7"/>
    </row>
    <row r="9207" spans="2:24">
      <c r="B9207" s="7"/>
      <c r="D9207" s="7"/>
      <c r="F9207" s="7"/>
      <c r="H9207" s="7"/>
      <c r="J9207" s="7"/>
      <c r="L9207" s="7"/>
      <c r="N9207" s="7"/>
      <c r="P9207" s="7"/>
      <c r="R9207" s="7"/>
      <c r="T9207" s="7"/>
      <c r="V9207" s="7"/>
      <c r="X9207" s="7"/>
    </row>
    <row r="9208" spans="2:24">
      <c r="B9208" s="7"/>
      <c r="D9208" s="7"/>
      <c r="F9208" s="7"/>
      <c r="H9208" s="7"/>
      <c r="J9208" s="7"/>
      <c r="L9208" s="7"/>
      <c r="N9208" s="7"/>
      <c r="P9208" s="7"/>
      <c r="R9208" s="7"/>
      <c r="T9208" s="7"/>
      <c r="V9208" s="7"/>
      <c r="X9208" s="7"/>
    </row>
    <row r="9209" spans="2:24">
      <c r="B9209" s="7"/>
      <c r="D9209" s="7"/>
      <c r="F9209" s="7"/>
      <c r="H9209" s="7"/>
      <c r="J9209" s="7"/>
      <c r="L9209" s="7"/>
      <c r="N9209" s="7"/>
      <c r="P9209" s="7"/>
      <c r="R9209" s="7"/>
      <c r="T9209" s="7"/>
      <c r="V9209" s="7"/>
      <c r="X9209" s="7"/>
    </row>
    <row r="9210" spans="2:24">
      <c r="B9210" s="7"/>
      <c r="D9210" s="7"/>
      <c r="F9210" s="7"/>
      <c r="H9210" s="7"/>
      <c r="J9210" s="7"/>
      <c r="L9210" s="7"/>
      <c r="N9210" s="7"/>
      <c r="P9210" s="7"/>
      <c r="R9210" s="7"/>
      <c r="T9210" s="7"/>
      <c r="V9210" s="7"/>
      <c r="X9210" s="7"/>
    </row>
    <row r="9211" spans="2:24">
      <c r="B9211" s="7"/>
      <c r="D9211" s="7"/>
      <c r="F9211" s="7"/>
      <c r="H9211" s="7"/>
      <c r="J9211" s="7"/>
      <c r="L9211" s="7"/>
      <c r="N9211" s="7"/>
      <c r="P9211" s="7"/>
      <c r="R9211" s="7"/>
      <c r="T9211" s="7"/>
      <c r="V9211" s="7"/>
      <c r="X9211" s="7"/>
    </row>
    <row r="9212" spans="2:24">
      <c r="B9212" s="7"/>
      <c r="D9212" s="7"/>
      <c r="F9212" s="7"/>
      <c r="H9212" s="7"/>
      <c r="J9212" s="7"/>
      <c r="L9212" s="7"/>
      <c r="N9212" s="7"/>
      <c r="P9212" s="7"/>
      <c r="R9212" s="7"/>
      <c r="T9212" s="7"/>
      <c r="V9212" s="7"/>
      <c r="X9212" s="7"/>
    </row>
    <row r="9213" spans="2:24">
      <c r="B9213" s="7"/>
      <c r="D9213" s="7"/>
      <c r="F9213" s="7"/>
      <c r="H9213" s="7"/>
      <c r="J9213" s="7"/>
      <c r="L9213" s="7"/>
      <c r="N9213" s="7"/>
      <c r="P9213" s="7"/>
      <c r="R9213" s="7"/>
      <c r="T9213" s="7"/>
      <c r="V9213" s="7"/>
      <c r="X9213" s="7"/>
    </row>
    <row r="9214" spans="2:24">
      <c r="B9214" s="7"/>
      <c r="D9214" s="7"/>
      <c r="F9214" s="7"/>
      <c r="H9214" s="7"/>
      <c r="J9214" s="7"/>
      <c r="L9214" s="7"/>
      <c r="N9214" s="7"/>
      <c r="P9214" s="7"/>
      <c r="R9214" s="7"/>
      <c r="T9214" s="7"/>
      <c r="V9214" s="7"/>
      <c r="X9214" s="7"/>
    </row>
    <row r="9215" spans="2:24">
      <c r="B9215" s="7"/>
      <c r="D9215" s="7"/>
      <c r="F9215" s="7"/>
      <c r="H9215" s="7"/>
      <c r="J9215" s="7"/>
      <c r="L9215" s="7"/>
      <c r="N9215" s="7"/>
      <c r="P9215" s="7"/>
      <c r="R9215" s="7"/>
      <c r="T9215" s="7"/>
      <c r="V9215" s="7"/>
      <c r="X9215" s="7"/>
    </row>
    <row r="9216" spans="2:24">
      <c r="B9216" s="7"/>
      <c r="D9216" s="7"/>
      <c r="F9216" s="7"/>
      <c r="H9216" s="7"/>
      <c r="J9216" s="7"/>
      <c r="L9216" s="7"/>
      <c r="N9216" s="7"/>
      <c r="P9216" s="7"/>
      <c r="R9216" s="7"/>
      <c r="T9216" s="7"/>
      <c r="V9216" s="7"/>
      <c r="X9216" s="7"/>
    </row>
    <row r="9217" spans="2:24">
      <c r="B9217" s="7"/>
      <c r="D9217" s="7"/>
      <c r="F9217" s="7"/>
      <c r="H9217" s="7"/>
      <c r="J9217" s="7"/>
      <c r="L9217" s="7"/>
      <c r="N9217" s="7"/>
      <c r="P9217" s="7"/>
      <c r="R9217" s="7"/>
      <c r="T9217" s="7"/>
      <c r="V9217" s="7"/>
      <c r="X9217" s="7"/>
    </row>
    <row r="9218" spans="2:24">
      <c r="B9218" s="7"/>
      <c r="D9218" s="7"/>
      <c r="F9218" s="7"/>
      <c r="H9218" s="7"/>
      <c r="J9218" s="7"/>
      <c r="L9218" s="7"/>
      <c r="N9218" s="7"/>
      <c r="P9218" s="7"/>
      <c r="R9218" s="7"/>
      <c r="T9218" s="7"/>
      <c r="V9218" s="7"/>
      <c r="X9218" s="7"/>
    </row>
    <row r="9219" spans="2:24">
      <c r="B9219" s="7"/>
      <c r="D9219" s="7"/>
      <c r="F9219" s="7"/>
      <c r="H9219" s="7"/>
      <c r="J9219" s="7"/>
      <c r="L9219" s="7"/>
      <c r="N9219" s="7"/>
      <c r="P9219" s="7"/>
      <c r="R9219" s="7"/>
      <c r="T9219" s="7"/>
      <c r="V9219" s="7"/>
      <c r="X9219" s="7"/>
    </row>
    <row r="9220" spans="2:24">
      <c r="B9220" s="7"/>
      <c r="D9220" s="7"/>
      <c r="F9220" s="7"/>
      <c r="H9220" s="7"/>
      <c r="J9220" s="7"/>
      <c r="L9220" s="7"/>
      <c r="N9220" s="7"/>
      <c r="P9220" s="7"/>
      <c r="R9220" s="7"/>
      <c r="T9220" s="7"/>
      <c r="V9220" s="7"/>
      <c r="X9220" s="7"/>
    </row>
    <row r="9221" spans="2:24">
      <c r="B9221" s="7"/>
      <c r="D9221" s="7"/>
      <c r="F9221" s="7"/>
      <c r="H9221" s="7"/>
      <c r="J9221" s="7"/>
      <c r="L9221" s="7"/>
      <c r="N9221" s="7"/>
      <c r="P9221" s="7"/>
      <c r="R9221" s="7"/>
      <c r="T9221" s="7"/>
      <c r="V9221" s="7"/>
      <c r="X9221" s="7"/>
    </row>
    <row r="9222" spans="2:24">
      <c r="B9222" s="7"/>
      <c r="D9222" s="7"/>
      <c r="F9222" s="7"/>
      <c r="H9222" s="7"/>
      <c r="J9222" s="7"/>
      <c r="L9222" s="7"/>
      <c r="N9222" s="7"/>
      <c r="P9222" s="7"/>
      <c r="R9222" s="7"/>
      <c r="T9222" s="7"/>
      <c r="V9222" s="7"/>
      <c r="X9222" s="7"/>
    </row>
    <row r="9223" spans="2:24">
      <c r="B9223" s="7"/>
      <c r="D9223" s="7"/>
      <c r="F9223" s="7"/>
      <c r="H9223" s="7"/>
      <c r="J9223" s="7"/>
      <c r="L9223" s="7"/>
      <c r="N9223" s="7"/>
      <c r="P9223" s="7"/>
      <c r="R9223" s="7"/>
      <c r="T9223" s="7"/>
      <c r="V9223" s="7"/>
      <c r="X9223" s="7"/>
    </row>
    <row r="9224" spans="2:24">
      <c r="B9224" s="7"/>
      <c r="D9224" s="7"/>
      <c r="F9224" s="7"/>
      <c r="H9224" s="7"/>
      <c r="J9224" s="7"/>
      <c r="L9224" s="7"/>
      <c r="N9224" s="7"/>
      <c r="P9224" s="7"/>
      <c r="R9224" s="7"/>
      <c r="T9224" s="7"/>
      <c r="V9224" s="7"/>
      <c r="X9224" s="7"/>
    </row>
    <row r="9225" spans="2:24">
      <c r="B9225" s="7"/>
      <c r="D9225" s="7"/>
      <c r="F9225" s="7"/>
      <c r="H9225" s="7"/>
      <c r="J9225" s="7"/>
      <c r="L9225" s="7"/>
      <c r="N9225" s="7"/>
      <c r="P9225" s="7"/>
      <c r="R9225" s="7"/>
      <c r="T9225" s="7"/>
      <c r="V9225" s="7"/>
      <c r="X9225" s="7"/>
    </row>
    <row r="9226" spans="2:24">
      <c r="B9226" s="7"/>
      <c r="D9226" s="7"/>
      <c r="F9226" s="7"/>
      <c r="H9226" s="7"/>
      <c r="J9226" s="7"/>
      <c r="L9226" s="7"/>
      <c r="N9226" s="7"/>
      <c r="P9226" s="7"/>
      <c r="R9226" s="7"/>
      <c r="T9226" s="7"/>
      <c r="V9226" s="7"/>
      <c r="X9226" s="7"/>
    </row>
    <row r="9227" spans="2:24">
      <c r="B9227" s="7"/>
      <c r="D9227" s="7"/>
      <c r="F9227" s="7"/>
      <c r="H9227" s="7"/>
      <c r="J9227" s="7"/>
      <c r="L9227" s="7"/>
      <c r="N9227" s="7"/>
      <c r="P9227" s="7"/>
      <c r="R9227" s="7"/>
      <c r="T9227" s="7"/>
      <c r="V9227" s="7"/>
      <c r="X9227" s="7"/>
    </row>
    <row r="9228" spans="2:24">
      <c r="B9228" s="7"/>
      <c r="D9228" s="7"/>
      <c r="F9228" s="7"/>
      <c r="H9228" s="7"/>
      <c r="J9228" s="7"/>
      <c r="L9228" s="7"/>
      <c r="N9228" s="7"/>
      <c r="P9228" s="7"/>
      <c r="R9228" s="7"/>
      <c r="T9228" s="7"/>
      <c r="V9228" s="7"/>
      <c r="X9228" s="7"/>
    </row>
    <row r="9229" spans="2:24">
      <c r="B9229" s="7"/>
      <c r="D9229" s="7"/>
      <c r="F9229" s="7"/>
      <c r="H9229" s="7"/>
      <c r="J9229" s="7"/>
      <c r="L9229" s="7"/>
      <c r="N9229" s="7"/>
      <c r="P9229" s="7"/>
      <c r="R9229" s="7"/>
      <c r="T9229" s="7"/>
      <c r="V9229" s="7"/>
      <c r="X9229" s="7"/>
    </row>
    <row r="9230" spans="2:24">
      <c r="B9230" s="7"/>
      <c r="D9230" s="7"/>
      <c r="F9230" s="7"/>
      <c r="H9230" s="7"/>
      <c r="J9230" s="7"/>
      <c r="L9230" s="7"/>
      <c r="N9230" s="7"/>
      <c r="P9230" s="7"/>
      <c r="R9230" s="7"/>
      <c r="T9230" s="7"/>
      <c r="V9230" s="7"/>
      <c r="X9230" s="7"/>
    </row>
    <row r="9231" spans="2:24">
      <c r="B9231" s="7"/>
      <c r="D9231" s="7"/>
      <c r="F9231" s="7"/>
      <c r="H9231" s="7"/>
      <c r="J9231" s="7"/>
      <c r="L9231" s="7"/>
      <c r="N9231" s="7"/>
      <c r="P9231" s="7"/>
      <c r="R9231" s="7"/>
      <c r="T9231" s="7"/>
      <c r="V9231" s="7"/>
      <c r="X9231" s="7"/>
    </row>
    <row r="9232" spans="2:24">
      <c r="B9232" s="7"/>
      <c r="D9232" s="7"/>
      <c r="F9232" s="7"/>
      <c r="H9232" s="7"/>
      <c r="J9232" s="7"/>
      <c r="L9232" s="7"/>
      <c r="N9232" s="7"/>
      <c r="P9232" s="7"/>
      <c r="R9232" s="7"/>
      <c r="T9232" s="7"/>
      <c r="V9232" s="7"/>
      <c r="X9232" s="7"/>
    </row>
    <row r="9233" spans="2:24">
      <c r="B9233" s="7"/>
      <c r="D9233" s="7"/>
      <c r="F9233" s="7"/>
      <c r="H9233" s="7"/>
      <c r="J9233" s="7"/>
      <c r="L9233" s="7"/>
      <c r="N9233" s="7"/>
      <c r="P9233" s="7"/>
      <c r="R9233" s="7"/>
      <c r="T9233" s="7"/>
      <c r="V9233" s="7"/>
      <c r="X9233" s="7"/>
    </row>
    <row r="9234" spans="2:24">
      <c r="B9234" s="7"/>
      <c r="D9234" s="7"/>
      <c r="F9234" s="7"/>
      <c r="H9234" s="7"/>
      <c r="J9234" s="7"/>
      <c r="L9234" s="7"/>
      <c r="N9234" s="7"/>
      <c r="P9234" s="7"/>
      <c r="R9234" s="7"/>
      <c r="T9234" s="7"/>
      <c r="V9234" s="7"/>
      <c r="X9234" s="7"/>
    </row>
    <row r="9235" spans="2:24">
      <c r="B9235" s="7"/>
      <c r="D9235" s="7"/>
      <c r="F9235" s="7"/>
      <c r="H9235" s="7"/>
      <c r="J9235" s="7"/>
      <c r="L9235" s="7"/>
      <c r="N9235" s="7"/>
      <c r="P9235" s="7"/>
      <c r="R9235" s="7"/>
      <c r="T9235" s="7"/>
      <c r="V9235" s="7"/>
      <c r="X9235" s="7"/>
    </row>
    <row r="9236" spans="2:24">
      <c r="B9236" s="7"/>
      <c r="D9236" s="7"/>
      <c r="F9236" s="7"/>
      <c r="H9236" s="7"/>
      <c r="J9236" s="7"/>
      <c r="L9236" s="7"/>
      <c r="N9236" s="7"/>
      <c r="P9236" s="7"/>
      <c r="R9236" s="7"/>
      <c r="T9236" s="7"/>
      <c r="V9236" s="7"/>
      <c r="X9236" s="7"/>
    </row>
    <row r="9237" spans="2:24">
      <c r="B9237" s="7"/>
      <c r="D9237" s="7"/>
      <c r="F9237" s="7"/>
      <c r="H9237" s="7"/>
      <c r="J9237" s="7"/>
      <c r="L9237" s="7"/>
      <c r="N9237" s="7"/>
      <c r="P9237" s="7"/>
      <c r="R9237" s="7"/>
      <c r="T9237" s="7"/>
      <c r="V9237" s="7"/>
      <c r="X9237" s="7"/>
    </row>
    <row r="9238" spans="2:24">
      <c r="B9238" s="7"/>
      <c r="D9238" s="7"/>
      <c r="F9238" s="7"/>
      <c r="H9238" s="7"/>
      <c r="J9238" s="7"/>
      <c r="L9238" s="7"/>
      <c r="N9238" s="7"/>
      <c r="P9238" s="7"/>
      <c r="R9238" s="7"/>
      <c r="T9238" s="7"/>
      <c r="V9238" s="7"/>
      <c r="X9238" s="7"/>
    </row>
    <row r="9239" spans="2:24">
      <c r="B9239" s="7"/>
      <c r="D9239" s="7"/>
      <c r="F9239" s="7"/>
      <c r="H9239" s="7"/>
      <c r="J9239" s="7"/>
      <c r="L9239" s="7"/>
      <c r="N9239" s="7"/>
      <c r="P9239" s="7"/>
      <c r="R9239" s="7"/>
      <c r="T9239" s="7"/>
      <c r="V9239" s="7"/>
      <c r="X9239" s="7"/>
    </row>
    <row r="9240" spans="2:24">
      <c r="B9240" s="7"/>
      <c r="D9240" s="7"/>
      <c r="F9240" s="7"/>
      <c r="H9240" s="7"/>
      <c r="J9240" s="7"/>
      <c r="L9240" s="7"/>
      <c r="N9240" s="7"/>
      <c r="P9240" s="7"/>
      <c r="R9240" s="7"/>
      <c r="T9240" s="7"/>
      <c r="V9240" s="7"/>
      <c r="X9240" s="7"/>
    </row>
    <row r="9241" spans="2:24">
      <c r="B9241" s="7"/>
      <c r="D9241" s="7"/>
      <c r="F9241" s="7"/>
      <c r="H9241" s="7"/>
      <c r="J9241" s="7"/>
      <c r="L9241" s="7"/>
      <c r="N9241" s="7"/>
      <c r="P9241" s="7"/>
      <c r="R9241" s="7"/>
      <c r="T9241" s="7"/>
      <c r="V9241" s="7"/>
      <c r="X9241" s="7"/>
    </row>
    <row r="9242" spans="2:24">
      <c r="B9242" s="7"/>
      <c r="D9242" s="7"/>
      <c r="F9242" s="7"/>
      <c r="H9242" s="7"/>
      <c r="J9242" s="7"/>
      <c r="L9242" s="7"/>
      <c r="N9242" s="7"/>
      <c r="P9242" s="7"/>
      <c r="R9242" s="7"/>
      <c r="T9242" s="7"/>
      <c r="V9242" s="7"/>
      <c r="X9242" s="7"/>
    </row>
    <row r="9243" spans="2:24">
      <c r="B9243" s="7"/>
      <c r="D9243" s="7"/>
      <c r="F9243" s="7"/>
      <c r="H9243" s="7"/>
      <c r="J9243" s="7"/>
      <c r="L9243" s="7"/>
      <c r="N9243" s="7"/>
      <c r="P9243" s="7"/>
      <c r="R9243" s="7"/>
      <c r="T9243" s="7"/>
      <c r="V9243" s="7"/>
      <c r="X9243" s="7"/>
    </row>
    <row r="9244" spans="2:24">
      <c r="B9244" s="7"/>
      <c r="D9244" s="7"/>
      <c r="F9244" s="7"/>
      <c r="H9244" s="7"/>
      <c r="J9244" s="7"/>
      <c r="L9244" s="7"/>
      <c r="N9244" s="7"/>
      <c r="P9244" s="7"/>
      <c r="R9244" s="7"/>
      <c r="T9244" s="7"/>
      <c r="V9244" s="7"/>
      <c r="X9244" s="7"/>
    </row>
    <row r="9245" spans="2:24">
      <c r="B9245" s="7"/>
      <c r="D9245" s="7"/>
      <c r="F9245" s="7"/>
      <c r="H9245" s="7"/>
      <c r="J9245" s="7"/>
      <c r="L9245" s="7"/>
      <c r="N9245" s="7"/>
      <c r="P9245" s="7"/>
      <c r="R9245" s="7"/>
      <c r="T9245" s="7"/>
      <c r="V9245" s="7"/>
      <c r="X9245" s="7"/>
    </row>
    <row r="9246" spans="2:24">
      <c r="B9246" s="7"/>
      <c r="D9246" s="7"/>
      <c r="F9246" s="7"/>
      <c r="H9246" s="7"/>
      <c r="J9246" s="7"/>
      <c r="L9246" s="7"/>
      <c r="N9246" s="7"/>
      <c r="P9246" s="7"/>
      <c r="R9246" s="7"/>
      <c r="T9246" s="7"/>
      <c r="V9246" s="7"/>
      <c r="X9246" s="7"/>
    </row>
    <row r="9247" spans="2:24">
      <c r="B9247" s="7"/>
      <c r="D9247" s="7"/>
      <c r="F9247" s="7"/>
      <c r="H9247" s="7"/>
      <c r="J9247" s="7"/>
      <c r="L9247" s="7"/>
      <c r="N9247" s="7"/>
      <c r="P9247" s="7"/>
      <c r="R9247" s="7"/>
      <c r="T9247" s="7"/>
      <c r="V9247" s="7"/>
      <c r="X9247" s="7"/>
    </row>
    <row r="9248" spans="2:24">
      <c r="B9248" s="7"/>
      <c r="D9248" s="7"/>
      <c r="F9248" s="7"/>
      <c r="H9248" s="7"/>
      <c r="J9248" s="7"/>
      <c r="L9248" s="7"/>
      <c r="N9248" s="7"/>
      <c r="P9248" s="7"/>
      <c r="R9248" s="7"/>
      <c r="T9248" s="7"/>
      <c r="V9248" s="7"/>
      <c r="X9248" s="7"/>
    </row>
    <row r="9249" spans="2:24">
      <c r="B9249" s="7"/>
      <c r="D9249" s="7"/>
      <c r="F9249" s="7"/>
      <c r="H9249" s="7"/>
      <c r="J9249" s="7"/>
      <c r="L9249" s="7"/>
      <c r="N9249" s="7"/>
      <c r="P9249" s="7"/>
      <c r="R9249" s="7"/>
      <c r="T9249" s="7"/>
      <c r="V9249" s="7"/>
      <c r="X9249" s="7"/>
    </row>
    <row r="9250" spans="2:24">
      <c r="B9250" s="7"/>
      <c r="D9250" s="7"/>
      <c r="F9250" s="7"/>
      <c r="H9250" s="7"/>
      <c r="J9250" s="7"/>
      <c r="L9250" s="7"/>
      <c r="N9250" s="7"/>
      <c r="P9250" s="7"/>
      <c r="R9250" s="7"/>
      <c r="T9250" s="7"/>
      <c r="V9250" s="7"/>
      <c r="X9250" s="7"/>
    </row>
    <row r="9251" spans="2:24">
      <c r="B9251" s="7"/>
      <c r="D9251" s="7"/>
      <c r="F9251" s="7"/>
      <c r="H9251" s="7"/>
      <c r="J9251" s="7"/>
      <c r="L9251" s="7"/>
      <c r="N9251" s="7"/>
      <c r="P9251" s="7"/>
      <c r="R9251" s="7"/>
      <c r="T9251" s="7"/>
      <c r="V9251" s="7"/>
      <c r="X9251" s="7"/>
    </row>
    <row r="9252" spans="2:24">
      <c r="B9252" s="7"/>
      <c r="D9252" s="7"/>
      <c r="F9252" s="7"/>
      <c r="H9252" s="7"/>
      <c r="J9252" s="7"/>
      <c r="L9252" s="7"/>
      <c r="N9252" s="7"/>
      <c r="P9252" s="7"/>
      <c r="R9252" s="7"/>
      <c r="T9252" s="7"/>
      <c r="V9252" s="7"/>
      <c r="X9252" s="7"/>
    </row>
    <row r="9253" spans="2:24">
      <c r="B9253" s="7"/>
      <c r="D9253" s="7"/>
      <c r="F9253" s="7"/>
      <c r="H9253" s="7"/>
      <c r="J9253" s="7"/>
      <c r="L9253" s="7"/>
      <c r="N9253" s="7"/>
      <c r="P9253" s="7"/>
      <c r="R9253" s="7"/>
      <c r="T9253" s="7"/>
      <c r="V9253" s="7"/>
      <c r="X9253" s="7"/>
    </row>
    <row r="9254" spans="2:24">
      <c r="B9254" s="7"/>
      <c r="D9254" s="7"/>
      <c r="F9254" s="7"/>
      <c r="H9254" s="7"/>
      <c r="J9254" s="7"/>
      <c r="L9254" s="7"/>
      <c r="N9254" s="7"/>
      <c r="P9254" s="7"/>
      <c r="R9254" s="7"/>
      <c r="T9254" s="7"/>
      <c r="V9254" s="7"/>
      <c r="X9254" s="7"/>
    </row>
    <row r="9255" spans="2:24">
      <c r="B9255" s="7"/>
      <c r="D9255" s="7"/>
      <c r="F9255" s="7"/>
      <c r="H9255" s="7"/>
      <c r="J9255" s="7"/>
      <c r="L9255" s="7"/>
      <c r="N9255" s="7"/>
      <c r="P9255" s="7"/>
      <c r="R9255" s="7"/>
      <c r="T9255" s="7"/>
      <c r="V9255" s="7"/>
      <c r="X9255" s="7"/>
    </row>
    <row r="9256" spans="2:24">
      <c r="B9256" s="7"/>
      <c r="D9256" s="7"/>
      <c r="F9256" s="7"/>
      <c r="H9256" s="7"/>
      <c r="J9256" s="7"/>
      <c r="L9256" s="7"/>
      <c r="N9256" s="7"/>
      <c r="P9256" s="7"/>
      <c r="R9256" s="7"/>
      <c r="T9256" s="7"/>
      <c r="V9256" s="7"/>
      <c r="X9256" s="7"/>
    </row>
    <row r="9257" spans="2:24">
      <c r="B9257" s="7"/>
      <c r="D9257" s="7"/>
      <c r="F9257" s="7"/>
      <c r="H9257" s="7"/>
      <c r="J9257" s="7"/>
      <c r="L9257" s="7"/>
      <c r="N9257" s="7"/>
      <c r="P9257" s="7"/>
      <c r="R9257" s="7"/>
      <c r="T9257" s="7"/>
      <c r="V9257" s="7"/>
      <c r="X9257" s="7"/>
    </row>
    <row r="9258" spans="2:24">
      <c r="B9258" s="7"/>
      <c r="D9258" s="7"/>
      <c r="F9258" s="7"/>
      <c r="H9258" s="7"/>
      <c r="J9258" s="7"/>
      <c r="L9258" s="7"/>
      <c r="N9258" s="7"/>
      <c r="P9258" s="7"/>
      <c r="R9258" s="7"/>
      <c r="T9258" s="7"/>
      <c r="V9258" s="7"/>
      <c r="X9258" s="7"/>
    </row>
    <row r="9259" spans="2:24">
      <c r="B9259" s="7"/>
      <c r="D9259" s="7"/>
      <c r="F9259" s="7"/>
      <c r="H9259" s="7"/>
      <c r="J9259" s="7"/>
      <c r="L9259" s="7"/>
      <c r="N9259" s="7"/>
      <c r="P9259" s="7"/>
      <c r="R9259" s="7"/>
      <c r="T9259" s="7"/>
      <c r="V9259" s="7"/>
      <c r="X9259" s="7"/>
    </row>
    <row r="9260" spans="2:24">
      <c r="B9260" s="7"/>
      <c r="D9260" s="7"/>
      <c r="F9260" s="7"/>
      <c r="H9260" s="7"/>
      <c r="J9260" s="7"/>
      <c r="L9260" s="7"/>
      <c r="N9260" s="7"/>
      <c r="P9260" s="7"/>
      <c r="R9260" s="7"/>
      <c r="T9260" s="7"/>
      <c r="V9260" s="7"/>
      <c r="X9260" s="7"/>
    </row>
    <row r="9261" spans="2:24">
      <c r="B9261" s="7"/>
      <c r="D9261" s="7"/>
      <c r="F9261" s="7"/>
      <c r="H9261" s="7"/>
      <c r="J9261" s="7"/>
      <c r="L9261" s="7"/>
      <c r="N9261" s="7"/>
      <c r="P9261" s="7"/>
      <c r="R9261" s="7"/>
      <c r="T9261" s="7"/>
      <c r="V9261" s="7"/>
      <c r="X9261" s="7"/>
    </row>
    <row r="9262" spans="2:24">
      <c r="B9262" s="7"/>
      <c r="D9262" s="7"/>
      <c r="F9262" s="7"/>
      <c r="H9262" s="7"/>
      <c r="J9262" s="7"/>
      <c r="L9262" s="7"/>
      <c r="N9262" s="7"/>
      <c r="P9262" s="7"/>
      <c r="R9262" s="7"/>
      <c r="T9262" s="7"/>
      <c r="V9262" s="7"/>
      <c r="X9262" s="7"/>
    </row>
    <row r="9263" spans="2:24">
      <c r="B9263" s="7"/>
      <c r="D9263" s="7"/>
      <c r="F9263" s="7"/>
      <c r="H9263" s="7"/>
      <c r="J9263" s="7"/>
      <c r="L9263" s="7"/>
      <c r="N9263" s="7"/>
      <c r="P9263" s="7"/>
      <c r="R9263" s="7"/>
      <c r="T9263" s="7"/>
      <c r="V9263" s="7"/>
      <c r="X9263" s="7"/>
    </row>
    <row r="9264" spans="2:24">
      <c r="B9264" s="7"/>
      <c r="D9264" s="7"/>
      <c r="F9264" s="7"/>
      <c r="H9264" s="7"/>
      <c r="J9264" s="7"/>
      <c r="L9264" s="7"/>
      <c r="N9264" s="7"/>
      <c r="P9264" s="7"/>
      <c r="R9264" s="7"/>
      <c r="T9264" s="7"/>
      <c r="V9264" s="7"/>
      <c r="X9264" s="7"/>
    </row>
    <row r="9265" spans="2:24">
      <c r="B9265" s="7"/>
      <c r="D9265" s="7"/>
      <c r="F9265" s="7"/>
      <c r="H9265" s="7"/>
      <c r="J9265" s="7"/>
      <c r="L9265" s="7"/>
      <c r="N9265" s="7"/>
      <c r="P9265" s="7"/>
      <c r="R9265" s="7"/>
      <c r="T9265" s="7"/>
      <c r="V9265" s="7"/>
      <c r="X9265" s="7"/>
    </row>
    <row r="9266" spans="2:24">
      <c r="B9266" s="7"/>
      <c r="D9266" s="7"/>
      <c r="F9266" s="7"/>
      <c r="H9266" s="7"/>
      <c r="J9266" s="7"/>
      <c r="L9266" s="7"/>
      <c r="N9266" s="7"/>
      <c r="P9266" s="7"/>
      <c r="R9266" s="7"/>
      <c r="T9266" s="7"/>
      <c r="V9266" s="7"/>
      <c r="X9266" s="7"/>
    </row>
    <row r="9267" spans="2:24">
      <c r="B9267" s="7"/>
      <c r="D9267" s="7"/>
      <c r="F9267" s="7"/>
      <c r="H9267" s="7"/>
      <c r="J9267" s="7"/>
      <c r="L9267" s="7"/>
      <c r="N9267" s="7"/>
      <c r="P9267" s="7"/>
      <c r="R9267" s="7"/>
      <c r="T9267" s="7"/>
      <c r="V9267" s="7"/>
      <c r="X9267" s="7"/>
    </row>
    <row r="9268" spans="2:24">
      <c r="B9268" s="7"/>
      <c r="D9268" s="7"/>
      <c r="F9268" s="7"/>
      <c r="H9268" s="7"/>
      <c r="J9268" s="7"/>
      <c r="L9268" s="7"/>
      <c r="N9268" s="7"/>
      <c r="P9268" s="7"/>
      <c r="R9268" s="7"/>
      <c r="T9268" s="7"/>
      <c r="V9268" s="7"/>
      <c r="X9268" s="7"/>
    </row>
    <row r="9269" spans="2:24">
      <c r="B9269" s="7"/>
      <c r="D9269" s="7"/>
      <c r="F9269" s="7"/>
      <c r="H9269" s="7"/>
      <c r="J9269" s="7"/>
      <c r="L9269" s="7"/>
      <c r="N9269" s="7"/>
      <c r="P9269" s="7"/>
      <c r="R9269" s="7"/>
      <c r="T9269" s="7"/>
      <c r="V9269" s="7"/>
      <c r="X9269" s="7"/>
    </row>
    <row r="9270" spans="2:24">
      <c r="B9270" s="7"/>
      <c r="D9270" s="7"/>
      <c r="F9270" s="7"/>
      <c r="H9270" s="7"/>
      <c r="J9270" s="7"/>
      <c r="L9270" s="7"/>
      <c r="N9270" s="7"/>
      <c r="P9270" s="7"/>
      <c r="R9270" s="7"/>
      <c r="T9270" s="7"/>
      <c r="V9270" s="7"/>
      <c r="X9270" s="7"/>
    </row>
    <row r="9271" spans="2:24">
      <c r="B9271" s="7"/>
      <c r="D9271" s="7"/>
      <c r="F9271" s="7"/>
      <c r="H9271" s="7"/>
      <c r="J9271" s="7"/>
      <c r="L9271" s="7"/>
      <c r="N9271" s="7"/>
      <c r="P9271" s="7"/>
      <c r="R9271" s="7"/>
      <c r="T9271" s="7"/>
      <c r="V9271" s="7"/>
      <c r="X9271" s="7"/>
    </row>
    <row r="9272" spans="2:24">
      <c r="B9272" s="7"/>
      <c r="D9272" s="7"/>
      <c r="F9272" s="7"/>
      <c r="H9272" s="7"/>
      <c r="J9272" s="7"/>
      <c r="L9272" s="7"/>
      <c r="N9272" s="7"/>
      <c r="P9272" s="7"/>
      <c r="R9272" s="7"/>
      <c r="T9272" s="7"/>
      <c r="V9272" s="7"/>
      <c r="X9272" s="7"/>
    </row>
    <row r="9273" spans="2:24">
      <c r="B9273" s="7"/>
      <c r="D9273" s="7"/>
      <c r="F9273" s="7"/>
      <c r="H9273" s="7"/>
      <c r="J9273" s="7"/>
      <c r="L9273" s="7"/>
      <c r="N9273" s="7"/>
      <c r="P9273" s="7"/>
      <c r="R9273" s="7"/>
      <c r="T9273" s="7"/>
      <c r="V9273" s="7"/>
      <c r="X9273" s="7"/>
    </row>
    <row r="9274" spans="2:24">
      <c r="B9274" s="7"/>
      <c r="D9274" s="7"/>
      <c r="F9274" s="7"/>
      <c r="H9274" s="7"/>
      <c r="J9274" s="7"/>
      <c r="L9274" s="7"/>
      <c r="N9274" s="7"/>
      <c r="P9274" s="7"/>
      <c r="R9274" s="7"/>
      <c r="T9274" s="7"/>
      <c r="V9274" s="7"/>
      <c r="X9274" s="7"/>
    </row>
    <row r="9275" spans="2:24">
      <c r="B9275" s="7"/>
      <c r="D9275" s="7"/>
      <c r="F9275" s="7"/>
      <c r="H9275" s="7"/>
      <c r="J9275" s="7"/>
      <c r="L9275" s="7"/>
      <c r="N9275" s="7"/>
      <c r="P9275" s="7"/>
      <c r="R9275" s="7"/>
      <c r="T9275" s="7"/>
      <c r="V9275" s="7"/>
      <c r="X9275" s="7"/>
    </row>
    <row r="9276" spans="2:24">
      <c r="B9276" s="7"/>
      <c r="D9276" s="7"/>
      <c r="F9276" s="7"/>
      <c r="H9276" s="7"/>
      <c r="J9276" s="7"/>
      <c r="L9276" s="7"/>
      <c r="N9276" s="7"/>
      <c r="P9276" s="7"/>
      <c r="R9276" s="7"/>
      <c r="T9276" s="7"/>
      <c r="V9276" s="7"/>
      <c r="X9276" s="7"/>
    </row>
    <row r="9277" spans="2:24">
      <c r="B9277" s="7"/>
      <c r="D9277" s="7"/>
      <c r="F9277" s="7"/>
      <c r="H9277" s="7"/>
      <c r="J9277" s="7"/>
      <c r="L9277" s="7"/>
      <c r="N9277" s="7"/>
      <c r="P9277" s="7"/>
      <c r="R9277" s="7"/>
      <c r="T9277" s="7"/>
      <c r="V9277" s="7"/>
      <c r="X9277" s="7"/>
    </row>
    <row r="9278" spans="2:24">
      <c r="B9278" s="7"/>
      <c r="D9278" s="7"/>
      <c r="F9278" s="7"/>
      <c r="H9278" s="7"/>
      <c r="J9278" s="7"/>
      <c r="L9278" s="7"/>
      <c r="N9278" s="7"/>
      <c r="P9278" s="7"/>
      <c r="R9278" s="7"/>
      <c r="T9278" s="7"/>
      <c r="V9278" s="7"/>
      <c r="X9278" s="7"/>
    </row>
    <row r="9279" spans="2:24">
      <c r="B9279" s="7"/>
      <c r="D9279" s="7"/>
      <c r="F9279" s="7"/>
      <c r="H9279" s="7"/>
      <c r="J9279" s="7"/>
      <c r="L9279" s="7"/>
      <c r="N9279" s="7"/>
      <c r="P9279" s="7"/>
      <c r="R9279" s="7"/>
      <c r="T9279" s="7"/>
      <c r="V9279" s="7"/>
      <c r="X9279" s="7"/>
    </row>
    <row r="9280" spans="2:24">
      <c r="B9280" s="7"/>
      <c r="D9280" s="7"/>
      <c r="F9280" s="7"/>
      <c r="H9280" s="7"/>
      <c r="J9280" s="7"/>
      <c r="L9280" s="7"/>
      <c r="N9280" s="7"/>
      <c r="P9280" s="7"/>
      <c r="R9280" s="7"/>
      <c r="T9280" s="7"/>
      <c r="V9280" s="7"/>
      <c r="X9280" s="7"/>
    </row>
    <row r="9281" spans="2:24">
      <c r="B9281" s="7"/>
      <c r="D9281" s="7"/>
      <c r="F9281" s="7"/>
      <c r="H9281" s="7"/>
      <c r="J9281" s="7"/>
      <c r="L9281" s="7"/>
      <c r="N9281" s="7"/>
      <c r="P9281" s="7"/>
      <c r="R9281" s="7"/>
      <c r="T9281" s="7"/>
      <c r="V9281" s="7"/>
      <c r="X9281" s="7"/>
    </row>
    <row r="9282" spans="2:24">
      <c r="B9282" s="7"/>
      <c r="D9282" s="7"/>
      <c r="F9282" s="7"/>
      <c r="H9282" s="7"/>
      <c r="J9282" s="7"/>
      <c r="L9282" s="7"/>
      <c r="N9282" s="7"/>
      <c r="P9282" s="7"/>
      <c r="R9282" s="7"/>
      <c r="T9282" s="7"/>
      <c r="V9282" s="7"/>
      <c r="X9282" s="7"/>
    </row>
    <row r="9283" spans="2:24">
      <c r="B9283" s="7"/>
      <c r="D9283" s="7"/>
      <c r="F9283" s="7"/>
      <c r="H9283" s="7"/>
      <c r="J9283" s="7"/>
      <c r="L9283" s="7"/>
      <c r="N9283" s="7"/>
      <c r="P9283" s="7"/>
      <c r="R9283" s="7"/>
      <c r="T9283" s="7"/>
      <c r="V9283" s="7"/>
      <c r="X9283" s="7"/>
    </row>
    <row r="9284" spans="2:24">
      <c r="B9284" s="7"/>
      <c r="D9284" s="7"/>
      <c r="F9284" s="7"/>
      <c r="H9284" s="7"/>
      <c r="J9284" s="7"/>
      <c r="L9284" s="7"/>
      <c r="N9284" s="7"/>
      <c r="P9284" s="7"/>
      <c r="R9284" s="7"/>
      <c r="T9284" s="7"/>
      <c r="V9284" s="7"/>
      <c r="X9284" s="7"/>
    </row>
    <row r="9285" spans="2:24">
      <c r="B9285" s="7"/>
      <c r="D9285" s="7"/>
      <c r="F9285" s="7"/>
      <c r="H9285" s="7"/>
      <c r="J9285" s="7"/>
      <c r="L9285" s="7"/>
      <c r="N9285" s="7"/>
      <c r="P9285" s="7"/>
      <c r="R9285" s="7"/>
      <c r="T9285" s="7"/>
      <c r="V9285" s="7"/>
      <c r="X9285" s="7"/>
    </row>
    <row r="9286" spans="2:24">
      <c r="B9286" s="7"/>
      <c r="D9286" s="7"/>
      <c r="F9286" s="7"/>
      <c r="H9286" s="7"/>
      <c r="J9286" s="7"/>
      <c r="L9286" s="7"/>
      <c r="N9286" s="7"/>
      <c r="P9286" s="7"/>
      <c r="R9286" s="7"/>
      <c r="T9286" s="7"/>
      <c r="V9286" s="7"/>
      <c r="X9286" s="7"/>
    </row>
    <row r="9287" spans="2:24">
      <c r="B9287" s="7"/>
      <c r="D9287" s="7"/>
      <c r="F9287" s="7"/>
      <c r="H9287" s="7"/>
      <c r="J9287" s="7"/>
      <c r="L9287" s="7"/>
      <c r="N9287" s="7"/>
      <c r="P9287" s="7"/>
      <c r="R9287" s="7"/>
      <c r="T9287" s="7"/>
      <c r="V9287" s="7"/>
      <c r="X9287" s="7"/>
    </row>
    <row r="9288" spans="2:24">
      <c r="B9288" s="7"/>
      <c r="D9288" s="7"/>
      <c r="F9288" s="7"/>
      <c r="H9288" s="7"/>
      <c r="J9288" s="7"/>
      <c r="L9288" s="7"/>
      <c r="N9288" s="7"/>
      <c r="P9288" s="7"/>
      <c r="R9288" s="7"/>
      <c r="T9288" s="7"/>
      <c r="V9288" s="7"/>
      <c r="X9288" s="7"/>
    </row>
    <row r="9289" spans="2:24">
      <c r="B9289" s="7"/>
      <c r="D9289" s="7"/>
      <c r="F9289" s="7"/>
      <c r="H9289" s="7"/>
      <c r="J9289" s="7"/>
      <c r="L9289" s="7"/>
      <c r="N9289" s="7"/>
      <c r="P9289" s="7"/>
      <c r="R9289" s="7"/>
      <c r="T9289" s="7"/>
      <c r="V9289" s="7"/>
      <c r="X9289" s="7"/>
    </row>
    <row r="9290" spans="2:24">
      <c r="B9290" s="7"/>
      <c r="D9290" s="7"/>
      <c r="F9290" s="7"/>
      <c r="H9290" s="7"/>
      <c r="J9290" s="7"/>
      <c r="L9290" s="7"/>
      <c r="N9290" s="7"/>
      <c r="P9290" s="7"/>
      <c r="R9290" s="7"/>
      <c r="T9290" s="7"/>
      <c r="V9290" s="7"/>
      <c r="X9290" s="7"/>
    </row>
    <row r="9291" spans="2:24">
      <c r="B9291" s="7"/>
      <c r="D9291" s="7"/>
      <c r="F9291" s="7"/>
      <c r="H9291" s="7"/>
      <c r="J9291" s="7"/>
      <c r="L9291" s="7"/>
      <c r="N9291" s="7"/>
      <c r="P9291" s="7"/>
      <c r="R9291" s="7"/>
      <c r="T9291" s="7"/>
      <c r="V9291" s="7"/>
      <c r="X9291" s="7"/>
    </row>
    <row r="9292" spans="2:24">
      <c r="B9292" s="7"/>
      <c r="D9292" s="7"/>
      <c r="F9292" s="7"/>
      <c r="H9292" s="7"/>
      <c r="J9292" s="7"/>
      <c r="L9292" s="7"/>
      <c r="N9292" s="7"/>
      <c r="P9292" s="7"/>
      <c r="R9292" s="7"/>
      <c r="T9292" s="7"/>
      <c r="V9292" s="7"/>
      <c r="X9292" s="7"/>
    </row>
    <row r="9293" spans="2:24">
      <c r="B9293" s="7"/>
      <c r="D9293" s="7"/>
      <c r="F9293" s="7"/>
      <c r="H9293" s="7"/>
      <c r="J9293" s="7"/>
      <c r="L9293" s="7"/>
      <c r="N9293" s="7"/>
      <c r="P9293" s="7"/>
      <c r="R9293" s="7"/>
      <c r="T9293" s="7"/>
      <c r="V9293" s="7"/>
      <c r="X9293" s="7"/>
    </row>
    <row r="9294" spans="2:24">
      <c r="B9294" s="7"/>
      <c r="D9294" s="7"/>
      <c r="F9294" s="7"/>
      <c r="H9294" s="7"/>
      <c r="J9294" s="7"/>
      <c r="L9294" s="7"/>
      <c r="N9294" s="7"/>
      <c r="P9294" s="7"/>
      <c r="R9294" s="7"/>
      <c r="T9294" s="7"/>
      <c r="V9294" s="7"/>
      <c r="X9294" s="7"/>
    </row>
    <row r="9295" spans="2:24">
      <c r="B9295" s="7"/>
      <c r="D9295" s="7"/>
      <c r="F9295" s="7"/>
      <c r="H9295" s="7"/>
      <c r="J9295" s="7"/>
      <c r="L9295" s="7"/>
      <c r="N9295" s="7"/>
      <c r="P9295" s="7"/>
      <c r="R9295" s="7"/>
      <c r="T9295" s="7"/>
      <c r="V9295" s="7"/>
      <c r="X9295" s="7"/>
    </row>
    <row r="9296" spans="2:24">
      <c r="B9296" s="7"/>
      <c r="D9296" s="7"/>
      <c r="F9296" s="7"/>
      <c r="H9296" s="7"/>
      <c r="J9296" s="7"/>
      <c r="L9296" s="7"/>
      <c r="N9296" s="7"/>
      <c r="P9296" s="7"/>
      <c r="R9296" s="7"/>
      <c r="T9296" s="7"/>
      <c r="V9296" s="7"/>
      <c r="X9296" s="7"/>
    </row>
    <row r="9297" spans="2:24">
      <c r="B9297" s="7"/>
      <c r="D9297" s="7"/>
      <c r="F9297" s="7"/>
      <c r="H9297" s="7"/>
      <c r="J9297" s="7"/>
      <c r="L9297" s="7"/>
      <c r="N9297" s="7"/>
      <c r="P9297" s="7"/>
      <c r="R9297" s="7"/>
      <c r="T9297" s="7"/>
      <c r="V9297" s="7"/>
      <c r="X9297" s="7"/>
    </row>
    <row r="9298" spans="2:24">
      <c r="B9298" s="7"/>
      <c r="D9298" s="7"/>
      <c r="F9298" s="7"/>
      <c r="H9298" s="7"/>
      <c r="J9298" s="7"/>
      <c r="L9298" s="7"/>
      <c r="N9298" s="7"/>
      <c r="P9298" s="7"/>
      <c r="R9298" s="7"/>
      <c r="T9298" s="7"/>
      <c r="V9298" s="7"/>
      <c r="X9298" s="7"/>
    </row>
    <row r="9299" spans="2:24">
      <c r="B9299" s="7"/>
      <c r="D9299" s="7"/>
      <c r="F9299" s="7"/>
      <c r="H9299" s="7"/>
      <c r="J9299" s="7"/>
      <c r="L9299" s="7"/>
      <c r="N9299" s="7"/>
      <c r="P9299" s="7"/>
      <c r="R9299" s="7"/>
      <c r="T9299" s="7"/>
      <c r="V9299" s="7"/>
      <c r="X9299" s="7"/>
    </row>
    <row r="9300" spans="2:24">
      <c r="B9300" s="7"/>
      <c r="D9300" s="7"/>
      <c r="F9300" s="7"/>
      <c r="H9300" s="7"/>
      <c r="J9300" s="7"/>
      <c r="L9300" s="7"/>
      <c r="N9300" s="7"/>
      <c r="P9300" s="7"/>
      <c r="R9300" s="7"/>
      <c r="T9300" s="7"/>
      <c r="V9300" s="7"/>
      <c r="X9300" s="7"/>
    </row>
    <row r="9301" spans="2:24">
      <c r="B9301" s="7"/>
      <c r="D9301" s="7"/>
      <c r="F9301" s="7"/>
      <c r="H9301" s="7"/>
      <c r="J9301" s="7"/>
      <c r="L9301" s="7"/>
      <c r="N9301" s="7"/>
      <c r="P9301" s="7"/>
      <c r="R9301" s="7"/>
      <c r="T9301" s="7"/>
      <c r="V9301" s="7"/>
      <c r="X9301" s="7"/>
    </row>
    <row r="9302" spans="2:24">
      <c r="B9302" s="7"/>
      <c r="D9302" s="7"/>
      <c r="F9302" s="7"/>
      <c r="H9302" s="7"/>
      <c r="J9302" s="7"/>
      <c r="L9302" s="7"/>
      <c r="N9302" s="7"/>
      <c r="P9302" s="7"/>
      <c r="R9302" s="7"/>
      <c r="T9302" s="7"/>
      <c r="V9302" s="7"/>
      <c r="X9302" s="7"/>
    </row>
    <row r="9303" spans="2:24">
      <c r="B9303" s="7"/>
      <c r="D9303" s="7"/>
      <c r="F9303" s="7"/>
      <c r="H9303" s="7"/>
      <c r="J9303" s="7"/>
      <c r="L9303" s="7"/>
      <c r="N9303" s="7"/>
      <c r="P9303" s="7"/>
      <c r="R9303" s="7"/>
      <c r="T9303" s="7"/>
      <c r="V9303" s="7"/>
      <c r="X9303" s="7"/>
    </row>
    <row r="9304" spans="2:24">
      <c r="B9304" s="7"/>
      <c r="D9304" s="7"/>
      <c r="F9304" s="7"/>
      <c r="H9304" s="7"/>
      <c r="J9304" s="7"/>
      <c r="L9304" s="7"/>
      <c r="N9304" s="7"/>
      <c r="P9304" s="7"/>
      <c r="R9304" s="7"/>
      <c r="T9304" s="7"/>
      <c r="V9304" s="7"/>
      <c r="X9304" s="7"/>
    </row>
    <row r="9305" spans="2:24">
      <c r="B9305" s="7"/>
      <c r="D9305" s="7"/>
      <c r="F9305" s="7"/>
      <c r="H9305" s="7"/>
      <c r="J9305" s="7"/>
      <c r="L9305" s="7"/>
      <c r="N9305" s="7"/>
      <c r="P9305" s="7"/>
      <c r="R9305" s="7"/>
      <c r="T9305" s="7"/>
      <c r="V9305" s="7"/>
      <c r="X9305" s="7"/>
    </row>
    <row r="9306" spans="2:24">
      <c r="B9306" s="7"/>
      <c r="D9306" s="7"/>
      <c r="F9306" s="7"/>
      <c r="H9306" s="7"/>
      <c r="J9306" s="7"/>
      <c r="L9306" s="7"/>
      <c r="N9306" s="7"/>
      <c r="P9306" s="7"/>
      <c r="R9306" s="7"/>
      <c r="T9306" s="7"/>
      <c r="V9306" s="7"/>
      <c r="X9306" s="7"/>
    </row>
    <row r="9307" spans="2:24">
      <c r="B9307" s="7"/>
      <c r="D9307" s="7"/>
      <c r="F9307" s="7"/>
      <c r="H9307" s="7"/>
      <c r="J9307" s="7"/>
      <c r="L9307" s="7"/>
      <c r="N9307" s="7"/>
      <c r="P9307" s="7"/>
      <c r="R9307" s="7"/>
      <c r="T9307" s="7"/>
      <c r="V9307" s="7"/>
      <c r="X9307" s="7"/>
    </row>
    <row r="9308" spans="2:24">
      <c r="B9308" s="7"/>
      <c r="D9308" s="7"/>
      <c r="F9308" s="7"/>
      <c r="H9308" s="7"/>
      <c r="J9308" s="7"/>
      <c r="L9308" s="7"/>
      <c r="N9308" s="7"/>
      <c r="P9308" s="7"/>
      <c r="R9308" s="7"/>
      <c r="T9308" s="7"/>
      <c r="V9308" s="7"/>
      <c r="X9308" s="7"/>
    </row>
    <row r="9309" spans="2:24">
      <c r="B9309" s="7"/>
      <c r="D9309" s="7"/>
      <c r="F9309" s="7"/>
      <c r="H9309" s="7"/>
      <c r="J9309" s="7"/>
      <c r="L9309" s="7"/>
      <c r="N9309" s="7"/>
      <c r="P9309" s="7"/>
      <c r="R9309" s="7"/>
      <c r="T9309" s="7"/>
      <c r="V9309" s="7"/>
      <c r="X9309" s="7"/>
    </row>
    <row r="9310" spans="2:24">
      <c r="B9310" s="7"/>
      <c r="D9310" s="7"/>
      <c r="F9310" s="7"/>
      <c r="H9310" s="7"/>
      <c r="J9310" s="7"/>
      <c r="L9310" s="7"/>
      <c r="N9310" s="7"/>
      <c r="P9310" s="7"/>
      <c r="R9310" s="7"/>
      <c r="T9310" s="7"/>
      <c r="V9310" s="7"/>
      <c r="X9310" s="7"/>
    </row>
    <row r="9311" spans="2:24">
      <c r="B9311" s="7"/>
      <c r="D9311" s="7"/>
      <c r="F9311" s="7"/>
      <c r="H9311" s="7"/>
      <c r="J9311" s="7"/>
      <c r="L9311" s="7"/>
      <c r="N9311" s="7"/>
      <c r="P9311" s="7"/>
      <c r="R9311" s="7"/>
      <c r="T9311" s="7"/>
      <c r="V9311" s="7"/>
      <c r="X9311" s="7"/>
    </row>
    <row r="9312" spans="2:24">
      <c r="B9312" s="7"/>
      <c r="D9312" s="7"/>
      <c r="F9312" s="7"/>
      <c r="H9312" s="7"/>
      <c r="J9312" s="7"/>
      <c r="L9312" s="7"/>
      <c r="N9312" s="7"/>
      <c r="P9312" s="7"/>
      <c r="R9312" s="7"/>
      <c r="T9312" s="7"/>
      <c r="V9312" s="7"/>
      <c r="X9312" s="7"/>
    </row>
    <row r="9313" spans="2:24">
      <c r="B9313" s="7"/>
      <c r="D9313" s="7"/>
      <c r="F9313" s="7"/>
      <c r="H9313" s="7"/>
      <c r="J9313" s="7"/>
      <c r="L9313" s="7"/>
      <c r="N9313" s="7"/>
      <c r="P9313" s="7"/>
      <c r="R9313" s="7"/>
      <c r="T9313" s="7"/>
      <c r="V9313" s="7"/>
      <c r="X9313" s="7"/>
    </row>
    <row r="9314" spans="2:24">
      <c r="B9314" s="7"/>
      <c r="D9314" s="7"/>
      <c r="F9314" s="7"/>
      <c r="H9314" s="7"/>
      <c r="J9314" s="7"/>
      <c r="L9314" s="7"/>
      <c r="N9314" s="7"/>
      <c r="P9314" s="7"/>
      <c r="R9314" s="7"/>
      <c r="T9314" s="7"/>
      <c r="V9314" s="7"/>
      <c r="X9314" s="7"/>
    </row>
    <row r="9315" spans="2:24">
      <c r="B9315" s="7"/>
      <c r="D9315" s="7"/>
      <c r="F9315" s="7"/>
      <c r="H9315" s="7"/>
      <c r="J9315" s="7"/>
      <c r="L9315" s="7"/>
      <c r="N9315" s="7"/>
      <c r="P9315" s="7"/>
      <c r="R9315" s="7"/>
      <c r="T9315" s="7"/>
      <c r="V9315" s="7"/>
      <c r="X9315" s="7"/>
    </row>
    <row r="9316" spans="2:24">
      <c r="B9316" s="7"/>
      <c r="D9316" s="7"/>
      <c r="F9316" s="7"/>
      <c r="H9316" s="7"/>
      <c r="J9316" s="7"/>
      <c r="L9316" s="7"/>
      <c r="N9316" s="7"/>
      <c r="P9316" s="7"/>
      <c r="R9316" s="7"/>
      <c r="T9316" s="7"/>
      <c r="V9316" s="7"/>
      <c r="X9316" s="7"/>
    </row>
    <row r="9317" spans="2:24">
      <c r="B9317" s="7"/>
      <c r="D9317" s="7"/>
      <c r="F9317" s="7"/>
      <c r="H9317" s="7"/>
      <c r="J9317" s="7"/>
      <c r="L9317" s="7"/>
      <c r="N9317" s="7"/>
      <c r="P9317" s="7"/>
      <c r="R9317" s="7"/>
      <c r="T9317" s="7"/>
      <c r="V9317" s="7"/>
      <c r="X9317" s="7"/>
    </row>
    <row r="9318" spans="2:24">
      <c r="B9318" s="7"/>
      <c r="D9318" s="7"/>
      <c r="F9318" s="7"/>
      <c r="H9318" s="7"/>
      <c r="J9318" s="7"/>
      <c r="L9318" s="7"/>
      <c r="N9318" s="7"/>
      <c r="P9318" s="7"/>
      <c r="R9318" s="7"/>
      <c r="T9318" s="7"/>
      <c r="V9318" s="7"/>
      <c r="X9318" s="7"/>
    </row>
    <row r="9319" spans="2:24">
      <c r="B9319" s="7"/>
      <c r="D9319" s="7"/>
      <c r="F9319" s="7"/>
      <c r="H9319" s="7"/>
      <c r="J9319" s="7"/>
      <c r="L9319" s="7"/>
      <c r="N9319" s="7"/>
      <c r="P9319" s="7"/>
      <c r="R9319" s="7"/>
      <c r="T9319" s="7"/>
      <c r="V9319" s="7"/>
      <c r="X9319" s="7"/>
    </row>
    <row r="9320" spans="2:24">
      <c r="B9320" s="7"/>
      <c r="D9320" s="7"/>
      <c r="F9320" s="7"/>
      <c r="H9320" s="7"/>
      <c r="J9320" s="7"/>
      <c r="L9320" s="7"/>
      <c r="N9320" s="7"/>
      <c r="P9320" s="7"/>
      <c r="R9320" s="7"/>
      <c r="T9320" s="7"/>
      <c r="V9320" s="7"/>
      <c r="X9320" s="7"/>
    </row>
    <row r="9321" spans="2:24">
      <c r="B9321" s="7"/>
      <c r="D9321" s="7"/>
      <c r="F9321" s="7"/>
      <c r="H9321" s="7"/>
      <c r="J9321" s="7"/>
      <c r="L9321" s="7"/>
      <c r="N9321" s="7"/>
      <c r="P9321" s="7"/>
      <c r="R9321" s="7"/>
      <c r="T9321" s="7"/>
      <c r="V9321" s="7"/>
      <c r="X9321" s="7"/>
    </row>
    <row r="9322" spans="2:24">
      <c r="B9322" s="7"/>
      <c r="D9322" s="7"/>
      <c r="F9322" s="7"/>
      <c r="H9322" s="7"/>
      <c r="J9322" s="7"/>
      <c r="L9322" s="7"/>
      <c r="N9322" s="7"/>
      <c r="P9322" s="7"/>
      <c r="R9322" s="7"/>
      <c r="T9322" s="7"/>
      <c r="V9322" s="7"/>
      <c r="X9322" s="7"/>
    </row>
    <row r="9323" spans="2:24">
      <c r="B9323" s="7"/>
      <c r="D9323" s="7"/>
      <c r="F9323" s="7"/>
      <c r="H9323" s="7"/>
      <c r="J9323" s="7"/>
      <c r="L9323" s="7"/>
      <c r="N9323" s="7"/>
      <c r="P9323" s="7"/>
      <c r="R9323" s="7"/>
      <c r="T9323" s="7"/>
      <c r="V9323" s="7"/>
      <c r="X9323" s="7"/>
    </row>
    <row r="9324" spans="2:24">
      <c r="B9324" s="7"/>
      <c r="D9324" s="7"/>
      <c r="F9324" s="7"/>
      <c r="H9324" s="7"/>
      <c r="J9324" s="7"/>
      <c r="L9324" s="7"/>
      <c r="N9324" s="7"/>
      <c r="P9324" s="7"/>
      <c r="R9324" s="7"/>
      <c r="T9324" s="7"/>
      <c r="V9324" s="7"/>
      <c r="X9324" s="7"/>
    </row>
    <row r="9325" spans="2:24">
      <c r="B9325" s="7"/>
      <c r="D9325" s="7"/>
      <c r="F9325" s="7"/>
      <c r="H9325" s="7"/>
      <c r="J9325" s="7"/>
      <c r="L9325" s="7"/>
      <c r="N9325" s="7"/>
      <c r="P9325" s="7"/>
      <c r="R9325" s="7"/>
      <c r="T9325" s="7"/>
      <c r="V9325" s="7"/>
      <c r="X9325" s="7"/>
    </row>
    <row r="9326" spans="2:24">
      <c r="B9326" s="7"/>
      <c r="D9326" s="7"/>
      <c r="F9326" s="7"/>
      <c r="H9326" s="7"/>
      <c r="J9326" s="7"/>
      <c r="L9326" s="7"/>
      <c r="N9326" s="7"/>
      <c r="P9326" s="7"/>
      <c r="R9326" s="7"/>
      <c r="T9326" s="7"/>
      <c r="V9326" s="7"/>
      <c r="X9326" s="7"/>
    </row>
    <row r="9327" spans="2:24">
      <c r="B9327" s="7"/>
      <c r="D9327" s="7"/>
      <c r="F9327" s="7"/>
      <c r="H9327" s="7"/>
      <c r="J9327" s="7"/>
      <c r="L9327" s="7"/>
      <c r="N9327" s="7"/>
      <c r="P9327" s="7"/>
      <c r="R9327" s="7"/>
      <c r="T9327" s="7"/>
      <c r="V9327" s="7"/>
      <c r="X9327" s="7"/>
    </row>
    <row r="9328" spans="2:24">
      <c r="B9328" s="7"/>
      <c r="D9328" s="7"/>
      <c r="F9328" s="7"/>
      <c r="H9328" s="7"/>
      <c r="J9328" s="7"/>
      <c r="L9328" s="7"/>
      <c r="N9328" s="7"/>
      <c r="P9328" s="7"/>
      <c r="R9328" s="7"/>
      <c r="T9328" s="7"/>
      <c r="V9328" s="7"/>
      <c r="X9328" s="7"/>
    </row>
    <row r="9329" spans="2:24">
      <c r="B9329" s="7"/>
      <c r="D9329" s="7"/>
      <c r="F9329" s="7"/>
      <c r="H9329" s="7"/>
      <c r="J9329" s="7"/>
      <c r="L9329" s="7"/>
      <c r="N9329" s="7"/>
      <c r="P9329" s="7"/>
      <c r="R9329" s="7"/>
      <c r="T9329" s="7"/>
      <c r="V9329" s="7"/>
      <c r="X9329" s="7"/>
    </row>
    <row r="9330" spans="2:24">
      <c r="B9330" s="7"/>
      <c r="D9330" s="7"/>
      <c r="F9330" s="7"/>
      <c r="H9330" s="7"/>
      <c r="J9330" s="7"/>
      <c r="L9330" s="7"/>
      <c r="N9330" s="7"/>
      <c r="P9330" s="7"/>
      <c r="R9330" s="7"/>
      <c r="T9330" s="7"/>
      <c r="V9330" s="7"/>
      <c r="X9330" s="7"/>
    </row>
    <row r="9331" spans="2:24">
      <c r="B9331" s="7"/>
      <c r="D9331" s="7"/>
      <c r="F9331" s="7"/>
      <c r="H9331" s="7"/>
      <c r="J9331" s="7"/>
      <c r="L9331" s="7"/>
      <c r="N9331" s="7"/>
      <c r="P9331" s="7"/>
      <c r="R9331" s="7"/>
      <c r="T9331" s="7"/>
      <c r="V9331" s="7"/>
      <c r="X9331" s="7"/>
    </row>
    <row r="9332" spans="2:24">
      <c r="B9332" s="7"/>
      <c r="D9332" s="7"/>
      <c r="F9332" s="7"/>
      <c r="H9332" s="7"/>
      <c r="J9332" s="7"/>
      <c r="L9332" s="7"/>
      <c r="N9332" s="7"/>
      <c r="P9332" s="7"/>
      <c r="R9332" s="7"/>
      <c r="T9332" s="7"/>
      <c r="V9332" s="7"/>
      <c r="X9332" s="7"/>
    </row>
    <row r="9333" spans="2:24">
      <c r="B9333" s="7"/>
      <c r="D9333" s="7"/>
      <c r="F9333" s="7"/>
      <c r="H9333" s="7"/>
      <c r="J9333" s="7"/>
      <c r="L9333" s="7"/>
      <c r="N9333" s="7"/>
      <c r="P9333" s="7"/>
      <c r="R9333" s="7"/>
      <c r="T9333" s="7"/>
      <c r="V9333" s="7"/>
      <c r="X9333" s="7"/>
    </row>
    <row r="9334" spans="2:24">
      <c r="B9334" s="7"/>
      <c r="D9334" s="7"/>
      <c r="F9334" s="7"/>
      <c r="H9334" s="7"/>
      <c r="J9334" s="7"/>
      <c r="L9334" s="7"/>
      <c r="N9334" s="7"/>
      <c r="P9334" s="7"/>
      <c r="R9334" s="7"/>
      <c r="T9334" s="7"/>
      <c r="V9334" s="7"/>
      <c r="X9334" s="7"/>
    </row>
    <row r="9335" spans="2:24">
      <c r="B9335" s="7"/>
      <c r="D9335" s="7"/>
      <c r="F9335" s="7"/>
      <c r="H9335" s="7"/>
      <c r="J9335" s="7"/>
      <c r="L9335" s="7"/>
      <c r="N9335" s="7"/>
      <c r="P9335" s="7"/>
      <c r="R9335" s="7"/>
      <c r="T9335" s="7"/>
      <c r="V9335" s="7"/>
      <c r="X9335" s="7"/>
    </row>
    <row r="9336" spans="2:24">
      <c r="B9336" s="7"/>
      <c r="D9336" s="7"/>
      <c r="F9336" s="7"/>
      <c r="H9336" s="7"/>
      <c r="J9336" s="7"/>
      <c r="L9336" s="7"/>
      <c r="N9336" s="7"/>
      <c r="P9336" s="7"/>
      <c r="R9336" s="7"/>
      <c r="T9336" s="7"/>
      <c r="V9336" s="7"/>
      <c r="X9336" s="7"/>
    </row>
    <row r="9337" spans="2:24">
      <c r="B9337" s="7"/>
      <c r="D9337" s="7"/>
      <c r="F9337" s="7"/>
      <c r="H9337" s="7"/>
      <c r="J9337" s="7"/>
      <c r="L9337" s="7"/>
      <c r="N9337" s="7"/>
      <c r="P9337" s="7"/>
      <c r="R9337" s="7"/>
      <c r="T9337" s="7"/>
      <c r="V9337" s="7"/>
      <c r="X9337" s="7"/>
    </row>
    <row r="9338" spans="2:24">
      <c r="B9338" s="7"/>
      <c r="D9338" s="7"/>
      <c r="F9338" s="7"/>
      <c r="H9338" s="7"/>
      <c r="J9338" s="7"/>
      <c r="L9338" s="7"/>
      <c r="N9338" s="7"/>
      <c r="P9338" s="7"/>
      <c r="R9338" s="7"/>
      <c r="T9338" s="7"/>
      <c r="V9338" s="7"/>
      <c r="X9338" s="7"/>
    </row>
    <row r="9339" spans="2:24">
      <c r="B9339" s="7"/>
      <c r="D9339" s="7"/>
      <c r="F9339" s="7"/>
      <c r="H9339" s="7"/>
      <c r="J9339" s="7"/>
      <c r="L9339" s="7"/>
      <c r="N9339" s="7"/>
      <c r="P9339" s="7"/>
      <c r="R9339" s="7"/>
      <c r="T9339" s="7"/>
      <c r="V9339" s="7"/>
      <c r="X9339" s="7"/>
    </row>
    <row r="9340" spans="2:24">
      <c r="B9340" s="7"/>
      <c r="D9340" s="7"/>
      <c r="F9340" s="7"/>
      <c r="H9340" s="7"/>
      <c r="J9340" s="7"/>
      <c r="L9340" s="7"/>
      <c r="N9340" s="7"/>
      <c r="P9340" s="7"/>
      <c r="R9340" s="7"/>
      <c r="T9340" s="7"/>
      <c r="V9340" s="7"/>
      <c r="X9340" s="7"/>
    </row>
    <row r="9341" spans="2:24">
      <c r="B9341" s="7"/>
      <c r="D9341" s="7"/>
      <c r="F9341" s="7"/>
      <c r="H9341" s="7"/>
      <c r="J9341" s="7"/>
      <c r="L9341" s="7"/>
      <c r="N9341" s="7"/>
      <c r="P9341" s="7"/>
      <c r="R9341" s="7"/>
      <c r="T9341" s="7"/>
      <c r="V9341" s="7"/>
      <c r="X9341" s="7"/>
    </row>
    <row r="9342" spans="2:24">
      <c r="B9342" s="7"/>
      <c r="D9342" s="7"/>
      <c r="F9342" s="7"/>
      <c r="H9342" s="7"/>
      <c r="J9342" s="7"/>
      <c r="L9342" s="7"/>
      <c r="N9342" s="7"/>
      <c r="P9342" s="7"/>
      <c r="R9342" s="7"/>
      <c r="T9342" s="7"/>
      <c r="V9342" s="7"/>
      <c r="X9342" s="7"/>
    </row>
    <row r="9343" spans="2:24">
      <c r="B9343" s="7"/>
      <c r="D9343" s="7"/>
      <c r="F9343" s="7"/>
      <c r="H9343" s="7"/>
      <c r="J9343" s="7"/>
      <c r="L9343" s="7"/>
      <c r="N9343" s="7"/>
      <c r="P9343" s="7"/>
      <c r="R9343" s="7"/>
      <c r="T9343" s="7"/>
      <c r="V9343" s="7"/>
      <c r="X9343" s="7"/>
    </row>
    <row r="9344" spans="2:24">
      <c r="B9344" s="7"/>
      <c r="D9344" s="7"/>
      <c r="F9344" s="7"/>
      <c r="H9344" s="7"/>
      <c r="J9344" s="7"/>
      <c r="L9344" s="7"/>
      <c r="N9344" s="7"/>
      <c r="P9344" s="7"/>
      <c r="R9344" s="7"/>
      <c r="T9344" s="7"/>
      <c r="V9344" s="7"/>
      <c r="X9344" s="7"/>
    </row>
    <row r="9345" spans="2:24">
      <c r="B9345" s="7"/>
      <c r="D9345" s="7"/>
      <c r="F9345" s="7"/>
      <c r="H9345" s="7"/>
      <c r="J9345" s="7"/>
      <c r="L9345" s="7"/>
      <c r="N9345" s="7"/>
      <c r="P9345" s="7"/>
      <c r="R9345" s="7"/>
      <c r="T9345" s="7"/>
      <c r="V9345" s="7"/>
      <c r="X9345" s="7"/>
    </row>
    <row r="9346" spans="2:24">
      <c r="B9346" s="7"/>
      <c r="D9346" s="7"/>
      <c r="F9346" s="7"/>
      <c r="H9346" s="7"/>
      <c r="J9346" s="7"/>
      <c r="L9346" s="7"/>
      <c r="N9346" s="7"/>
      <c r="P9346" s="7"/>
      <c r="R9346" s="7"/>
      <c r="T9346" s="7"/>
      <c r="V9346" s="7"/>
      <c r="X9346" s="7"/>
    </row>
    <row r="9347" spans="2:24">
      <c r="B9347" s="7"/>
      <c r="D9347" s="7"/>
      <c r="F9347" s="7"/>
      <c r="H9347" s="7"/>
      <c r="J9347" s="7"/>
      <c r="L9347" s="7"/>
      <c r="N9347" s="7"/>
      <c r="P9347" s="7"/>
      <c r="R9347" s="7"/>
      <c r="T9347" s="7"/>
      <c r="V9347" s="7"/>
      <c r="X9347" s="7"/>
    </row>
    <row r="9348" spans="2:24">
      <c r="B9348" s="7"/>
      <c r="D9348" s="7"/>
      <c r="F9348" s="7"/>
      <c r="H9348" s="7"/>
      <c r="J9348" s="7"/>
      <c r="L9348" s="7"/>
      <c r="N9348" s="7"/>
      <c r="P9348" s="7"/>
      <c r="R9348" s="7"/>
      <c r="T9348" s="7"/>
      <c r="V9348" s="7"/>
      <c r="X9348" s="7"/>
    </row>
    <row r="9349" spans="2:24">
      <c r="B9349" s="7"/>
      <c r="D9349" s="7"/>
      <c r="F9349" s="7"/>
      <c r="H9349" s="7"/>
      <c r="J9349" s="7"/>
      <c r="L9349" s="7"/>
      <c r="N9349" s="7"/>
      <c r="P9349" s="7"/>
      <c r="R9349" s="7"/>
      <c r="T9349" s="7"/>
      <c r="V9349" s="7"/>
      <c r="X9349" s="7"/>
    </row>
    <row r="9350" spans="2:24">
      <c r="B9350" s="7"/>
      <c r="D9350" s="7"/>
      <c r="F9350" s="7"/>
      <c r="H9350" s="7"/>
      <c r="J9350" s="7"/>
      <c r="L9350" s="7"/>
      <c r="N9350" s="7"/>
      <c r="P9350" s="7"/>
      <c r="R9350" s="7"/>
      <c r="T9350" s="7"/>
      <c r="V9350" s="7"/>
      <c r="X9350" s="7"/>
    </row>
    <row r="9351" spans="2:24">
      <c r="B9351" s="7"/>
      <c r="D9351" s="7"/>
      <c r="F9351" s="7"/>
      <c r="H9351" s="7"/>
      <c r="J9351" s="7"/>
      <c r="L9351" s="7"/>
      <c r="N9351" s="7"/>
      <c r="P9351" s="7"/>
      <c r="R9351" s="7"/>
      <c r="T9351" s="7"/>
      <c r="V9351" s="7"/>
      <c r="X9351" s="7"/>
    </row>
    <row r="9352" spans="2:24">
      <c r="B9352" s="7"/>
      <c r="D9352" s="7"/>
      <c r="F9352" s="7"/>
      <c r="H9352" s="7"/>
      <c r="J9352" s="7"/>
      <c r="L9352" s="7"/>
      <c r="N9352" s="7"/>
      <c r="P9352" s="7"/>
      <c r="R9352" s="7"/>
      <c r="T9352" s="7"/>
      <c r="V9352" s="7"/>
      <c r="X9352" s="7"/>
    </row>
    <row r="9353" spans="2:24">
      <c r="B9353" s="7"/>
      <c r="D9353" s="7"/>
      <c r="F9353" s="7"/>
      <c r="H9353" s="7"/>
      <c r="J9353" s="7"/>
      <c r="L9353" s="7"/>
      <c r="N9353" s="7"/>
      <c r="P9353" s="7"/>
      <c r="R9353" s="7"/>
      <c r="T9353" s="7"/>
      <c r="V9353" s="7"/>
      <c r="X9353" s="7"/>
    </row>
    <row r="9354" spans="2:24">
      <c r="B9354" s="7"/>
      <c r="D9354" s="7"/>
      <c r="F9354" s="7"/>
      <c r="H9354" s="7"/>
      <c r="J9354" s="7"/>
      <c r="L9354" s="7"/>
      <c r="N9354" s="7"/>
      <c r="P9354" s="7"/>
      <c r="R9354" s="7"/>
      <c r="T9354" s="7"/>
      <c r="V9354" s="7"/>
      <c r="X9354" s="7"/>
    </row>
    <row r="9355" spans="2:24">
      <c r="B9355" s="7"/>
      <c r="D9355" s="7"/>
      <c r="F9355" s="7"/>
      <c r="H9355" s="7"/>
      <c r="J9355" s="7"/>
      <c r="L9355" s="7"/>
      <c r="N9355" s="7"/>
      <c r="P9355" s="7"/>
      <c r="R9355" s="7"/>
      <c r="T9355" s="7"/>
      <c r="V9355" s="7"/>
      <c r="X9355" s="7"/>
    </row>
    <row r="9356" spans="2:24">
      <c r="B9356" s="7"/>
      <c r="D9356" s="7"/>
      <c r="F9356" s="7"/>
      <c r="H9356" s="7"/>
      <c r="J9356" s="7"/>
      <c r="L9356" s="7"/>
      <c r="N9356" s="7"/>
      <c r="P9356" s="7"/>
      <c r="R9356" s="7"/>
      <c r="T9356" s="7"/>
      <c r="V9356" s="7"/>
      <c r="X9356" s="7"/>
    </row>
    <row r="9357" spans="2:24">
      <c r="B9357" s="7"/>
      <c r="D9357" s="7"/>
      <c r="F9357" s="7"/>
      <c r="H9357" s="7"/>
      <c r="J9357" s="7"/>
      <c r="L9357" s="7"/>
      <c r="N9357" s="7"/>
      <c r="P9357" s="7"/>
      <c r="R9357" s="7"/>
      <c r="T9357" s="7"/>
      <c r="V9357" s="7"/>
      <c r="X9357" s="7"/>
    </row>
    <row r="9358" spans="2:24">
      <c r="B9358" s="7"/>
      <c r="D9358" s="7"/>
      <c r="F9358" s="7"/>
      <c r="H9358" s="7"/>
      <c r="J9358" s="7"/>
      <c r="L9358" s="7"/>
      <c r="N9358" s="7"/>
      <c r="P9358" s="7"/>
      <c r="R9358" s="7"/>
      <c r="T9358" s="7"/>
      <c r="V9358" s="7"/>
      <c r="X9358" s="7"/>
    </row>
    <row r="9359" spans="2:24">
      <c r="B9359" s="7"/>
      <c r="D9359" s="7"/>
      <c r="F9359" s="7"/>
      <c r="H9359" s="7"/>
      <c r="J9359" s="7"/>
      <c r="L9359" s="7"/>
      <c r="N9359" s="7"/>
      <c r="P9359" s="7"/>
      <c r="R9359" s="7"/>
      <c r="T9359" s="7"/>
      <c r="V9359" s="7"/>
      <c r="X9359" s="7"/>
    </row>
    <row r="9360" spans="2:24">
      <c r="B9360" s="7"/>
      <c r="D9360" s="7"/>
      <c r="F9360" s="7"/>
      <c r="H9360" s="7"/>
      <c r="J9360" s="7"/>
      <c r="L9360" s="7"/>
      <c r="N9360" s="7"/>
      <c r="P9360" s="7"/>
      <c r="R9360" s="7"/>
      <c r="T9360" s="7"/>
      <c r="V9360" s="7"/>
      <c r="X9360" s="7"/>
    </row>
    <row r="9361" spans="2:24">
      <c r="B9361" s="7"/>
      <c r="D9361" s="7"/>
      <c r="F9361" s="7"/>
      <c r="H9361" s="7"/>
      <c r="J9361" s="7"/>
      <c r="L9361" s="7"/>
      <c r="N9361" s="7"/>
      <c r="P9361" s="7"/>
      <c r="R9361" s="7"/>
      <c r="T9361" s="7"/>
      <c r="V9361" s="7"/>
      <c r="X9361" s="7"/>
    </row>
    <row r="9362" spans="2:24">
      <c r="B9362" s="7"/>
      <c r="D9362" s="7"/>
      <c r="F9362" s="7"/>
      <c r="H9362" s="7"/>
      <c r="J9362" s="7"/>
      <c r="L9362" s="7"/>
      <c r="N9362" s="7"/>
      <c r="P9362" s="7"/>
      <c r="R9362" s="7"/>
      <c r="T9362" s="7"/>
      <c r="V9362" s="7"/>
      <c r="X9362" s="7"/>
    </row>
    <row r="9363" spans="2:24">
      <c r="B9363" s="7"/>
      <c r="D9363" s="7"/>
      <c r="F9363" s="7"/>
      <c r="H9363" s="7"/>
      <c r="J9363" s="7"/>
      <c r="L9363" s="7"/>
      <c r="N9363" s="7"/>
      <c r="P9363" s="7"/>
      <c r="R9363" s="7"/>
      <c r="T9363" s="7"/>
      <c r="V9363" s="7"/>
      <c r="X9363" s="7"/>
    </row>
    <row r="9364" spans="2:24">
      <c r="B9364" s="7"/>
      <c r="D9364" s="7"/>
      <c r="F9364" s="7"/>
      <c r="H9364" s="7"/>
      <c r="J9364" s="7"/>
      <c r="L9364" s="7"/>
      <c r="N9364" s="7"/>
      <c r="P9364" s="7"/>
      <c r="R9364" s="7"/>
      <c r="T9364" s="7"/>
      <c r="V9364" s="7"/>
      <c r="X9364" s="7"/>
    </row>
    <row r="9365" spans="2:24">
      <c r="B9365" s="7"/>
      <c r="D9365" s="7"/>
      <c r="F9365" s="7"/>
      <c r="H9365" s="7"/>
      <c r="J9365" s="7"/>
      <c r="L9365" s="7"/>
      <c r="N9365" s="7"/>
      <c r="P9365" s="7"/>
      <c r="R9365" s="7"/>
      <c r="T9365" s="7"/>
      <c r="V9365" s="7"/>
      <c r="X9365" s="7"/>
    </row>
    <row r="9366" spans="2:24">
      <c r="B9366" s="7"/>
      <c r="D9366" s="7"/>
      <c r="F9366" s="7"/>
      <c r="H9366" s="7"/>
      <c r="J9366" s="7"/>
      <c r="L9366" s="7"/>
      <c r="N9366" s="7"/>
      <c r="P9366" s="7"/>
      <c r="R9366" s="7"/>
      <c r="T9366" s="7"/>
      <c r="V9366" s="7"/>
      <c r="X9366" s="7"/>
    </row>
    <row r="9367" spans="2:24">
      <c r="B9367" s="7"/>
      <c r="D9367" s="7"/>
      <c r="F9367" s="7"/>
      <c r="H9367" s="7"/>
      <c r="J9367" s="7"/>
      <c r="L9367" s="7"/>
      <c r="N9367" s="7"/>
      <c r="P9367" s="7"/>
      <c r="R9367" s="7"/>
      <c r="T9367" s="7"/>
      <c r="V9367" s="7"/>
      <c r="X9367" s="7"/>
    </row>
    <row r="9368" spans="2:24">
      <c r="B9368" s="7"/>
      <c r="D9368" s="7"/>
      <c r="F9368" s="7"/>
      <c r="H9368" s="7"/>
      <c r="J9368" s="7"/>
      <c r="L9368" s="7"/>
      <c r="N9368" s="7"/>
      <c r="P9368" s="7"/>
      <c r="R9368" s="7"/>
      <c r="T9368" s="7"/>
      <c r="V9368" s="7"/>
      <c r="X9368" s="7"/>
    </row>
    <row r="9369" spans="2:24">
      <c r="B9369" s="7"/>
      <c r="D9369" s="7"/>
      <c r="F9369" s="7"/>
      <c r="H9369" s="7"/>
      <c r="J9369" s="7"/>
      <c r="L9369" s="7"/>
      <c r="N9369" s="7"/>
      <c r="P9369" s="7"/>
      <c r="R9369" s="7"/>
      <c r="T9369" s="7"/>
      <c r="V9369" s="7"/>
      <c r="X9369" s="7"/>
    </row>
    <row r="9370" spans="2:24">
      <c r="B9370" s="7"/>
      <c r="D9370" s="7"/>
      <c r="F9370" s="7"/>
      <c r="H9370" s="7"/>
      <c r="J9370" s="7"/>
      <c r="L9370" s="7"/>
      <c r="N9370" s="7"/>
      <c r="P9370" s="7"/>
      <c r="R9370" s="7"/>
      <c r="T9370" s="7"/>
      <c r="V9370" s="7"/>
      <c r="X9370" s="7"/>
    </row>
    <row r="9371" spans="2:24">
      <c r="B9371" s="7"/>
      <c r="D9371" s="7"/>
      <c r="F9371" s="7"/>
      <c r="H9371" s="7"/>
      <c r="J9371" s="7"/>
      <c r="L9371" s="7"/>
      <c r="N9371" s="7"/>
      <c r="P9371" s="7"/>
      <c r="R9371" s="7"/>
      <c r="T9371" s="7"/>
      <c r="V9371" s="7"/>
      <c r="X9371" s="7"/>
    </row>
    <row r="9372" spans="2:24">
      <c r="B9372" s="7"/>
      <c r="D9372" s="7"/>
      <c r="F9372" s="7"/>
      <c r="H9372" s="7"/>
      <c r="J9372" s="7"/>
      <c r="L9372" s="7"/>
      <c r="N9372" s="7"/>
      <c r="P9372" s="7"/>
      <c r="R9372" s="7"/>
      <c r="T9372" s="7"/>
      <c r="V9372" s="7"/>
      <c r="X9372" s="7"/>
    </row>
    <row r="9373" spans="2:24">
      <c r="B9373" s="7"/>
      <c r="D9373" s="7"/>
      <c r="F9373" s="7"/>
      <c r="H9373" s="7"/>
      <c r="J9373" s="7"/>
      <c r="L9373" s="7"/>
      <c r="N9373" s="7"/>
      <c r="P9373" s="7"/>
      <c r="R9373" s="7"/>
      <c r="T9373" s="7"/>
      <c r="V9373" s="7"/>
      <c r="X9373" s="7"/>
    </row>
    <row r="9374" spans="2:24">
      <c r="B9374" s="7"/>
      <c r="D9374" s="7"/>
      <c r="F9374" s="7"/>
      <c r="H9374" s="7"/>
      <c r="J9374" s="7"/>
      <c r="L9374" s="7"/>
      <c r="N9374" s="7"/>
      <c r="P9374" s="7"/>
      <c r="R9374" s="7"/>
      <c r="T9374" s="7"/>
      <c r="V9374" s="7"/>
      <c r="X9374" s="7"/>
    </row>
    <row r="9375" spans="2:24">
      <c r="B9375" s="7"/>
      <c r="D9375" s="7"/>
      <c r="F9375" s="7"/>
      <c r="H9375" s="7"/>
      <c r="J9375" s="7"/>
      <c r="L9375" s="7"/>
      <c r="N9375" s="7"/>
      <c r="P9375" s="7"/>
      <c r="R9375" s="7"/>
      <c r="T9375" s="7"/>
      <c r="V9375" s="7"/>
      <c r="X9375" s="7"/>
    </row>
    <row r="9376" spans="2:24">
      <c r="B9376" s="7"/>
      <c r="D9376" s="7"/>
      <c r="F9376" s="7"/>
      <c r="H9376" s="7"/>
      <c r="J9376" s="7"/>
      <c r="L9376" s="7"/>
      <c r="N9376" s="7"/>
      <c r="P9376" s="7"/>
      <c r="R9376" s="7"/>
      <c r="T9376" s="7"/>
      <c r="V9376" s="7"/>
      <c r="X9376" s="7"/>
    </row>
    <row r="9377" spans="2:24">
      <c r="B9377" s="7"/>
      <c r="D9377" s="7"/>
      <c r="F9377" s="7"/>
      <c r="H9377" s="7"/>
      <c r="J9377" s="7"/>
      <c r="L9377" s="7"/>
      <c r="N9377" s="7"/>
      <c r="P9377" s="7"/>
      <c r="R9377" s="7"/>
      <c r="T9377" s="7"/>
      <c r="V9377" s="7"/>
      <c r="X9377" s="7"/>
    </row>
    <row r="9378" spans="2:24">
      <c r="B9378" s="7"/>
      <c r="D9378" s="7"/>
      <c r="F9378" s="7"/>
      <c r="H9378" s="7"/>
      <c r="J9378" s="7"/>
      <c r="L9378" s="7"/>
      <c r="N9378" s="7"/>
      <c r="P9378" s="7"/>
      <c r="R9378" s="7"/>
      <c r="T9378" s="7"/>
      <c r="V9378" s="7"/>
      <c r="X9378" s="7"/>
    </row>
    <row r="9379" spans="2:24">
      <c r="B9379" s="7"/>
      <c r="D9379" s="7"/>
      <c r="F9379" s="7"/>
      <c r="H9379" s="7"/>
      <c r="J9379" s="7"/>
      <c r="L9379" s="7"/>
      <c r="N9379" s="7"/>
      <c r="P9379" s="7"/>
      <c r="R9379" s="7"/>
      <c r="T9379" s="7"/>
      <c r="V9379" s="7"/>
      <c r="X9379" s="7"/>
    </row>
    <row r="9380" spans="2:24">
      <c r="B9380" s="7"/>
      <c r="D9380" s="7"/>
      <c r="F9380" s="7"/>
      <c r="H9380" s="7"/>
      <c r="J9380" s="7"/>
      <c r="L9380" s="7"/>
      <c r="N9380" s="7"/>
      <c r="P9380" s="7"/>
      <c r="R9380" s="7"/>
      <c r="T9380" s="7"/>
      <c r="V9380" s="7"/>
      <c r="X9380" s="7"/>
    </row>
    <row r="9381" spans="2:24">
      <c r="B9381" s="7"/>
      <c r="D9381" s="7"/>
      <c r="F9381" s="7"/>
      <c r="H9381" s="7"/>
      <c r="J9381" s="7"/>
      <c r="L9381" s="7"/>
      <c r="N9381" s="7"/>
      <c r="P9381" s="7"/>
      <c r="R9381" s="7"/>
      <c r="T9381" s="7"/>
      <c r="V9381" s="7"/>
      <c r="X9381" s="7"/>
    </row>
    <row r="9382" spans="2:24">
      <c r="B9382" s="7"/>
      <c r="D9382" s="7"/>
      <c r="F9382" s="7"/>
      <c r="H9382" s="7"/>
      <c r="J9382" s="7"/>
      <c r="L9382" s="7"/>
      <c r="N9382" s="7"/>
      <c r="P9382" s="7"/>
      <c r="R9382" s="7"/>
      <c r="T9382" s="7"/>
      <c r="V9382" s="7"/>
      <c r="X9382" s="7"/>
    </row>
    <row r="9383" spans="2:24">
      <c r="B9383" s="7"/>
      <c r="D9383" s="7"/>
      <c r="F9383" s="7"/>
      <c r="H9383" s="7"/>
      <c r="J9383" s="7"/>
      <c r="L9383" s="7"/>
      <c r="N9383" s="7"/>
      <c r="P9383" s="7"/>
      <c r="R9383" s="7"/>
      <c r="T9383" s="7"/>
      <c r="V9383" s="7"/>
      <c r="X9383" s="7"/>
    </row>
    <row r="9384" spans="2:24">
      <c r="B9384" s="7"/>
      <c r="D9384" s="7"/>
      <c r="F9384" s="7"/>
      <c r="H9384" s="7"/>
      <c r="J9384" s="7"/>
      <c r="L9384" s="7"/>
      <c r="N9384" s="7"/>
      <c r="P9384" s="7"/>
      <c r="R9384" s="7"/>
      <c r="T9384" s="7"/>
      <c r="V9384" s="7"/>
      <c r="X9384" s="7"/>
    </row>
    <row r="9385" spans="2:24">
      <c r="B9385" s="7"/>
      <c r="D9385" s="7"/>
      <c r="F9385" s="7"/>
      <c r="H9385" s="7"/>
      <c r="J9385" s="7"/>
      <c r="L9385" s="7"/>
      <c r="N9385" s="7"/>
      <c r="P9385" s="7"/>
      <c r="R9385" s="7"/>
      <c r="T9385" s="7"/>
      <c r="V9385" s="7"/>
      <c r="X9385" s="7"/>
    </row>
    <row r="9386" spans="2:24">
      <c r="B9386" s="7"/>
      <c r="D9386" s="7"/>
      <c r="F9386" s="7"/>
      <c r="H9386" s="7"/>
      <c r="J9386" s="7"/>
      <c r="L9386" s="7"/>
      <c r="N9386" s="7"/>
      <c r="P9386" s="7"/>
      <c r="R9386" s="7"/>
      <c r="T9386" s="7"/>
      <c r="V9386" s="7"/>
      <c r="X9386" s="7"/>
    </row>
    <row r="9387" spans="2:24">
      <c r="B9387" s="7"/>
      <c r="D9387" s="7"/>
      <c r="F9387" s="7"/>
      <c r="H9387" s="7"/>
      <c r="J9387" s="7"/>
      <c r="L9387" s="7"/>
      <c r="N9387" s="7"/>
      <c r="P9387" s="7"/>
      <c r="R9387" s="7"/>
      <c r="T9387" s="7"/>
      <c r="V9387" s="7"/>
      <c r="X9387" s="7"/>
    </row>
    <row r="9388" spans="2:24">
      <c r="B9388" s="7"/>
      <c r="D9388" s="7"/>
      <c r="F9388" s="7"/>
      <c r="H9388" s="7"/>
      <c r="J9388" s="7"/>
      <c r="L9388" s="7"/>
      <c r="N9388" s="7"/>
      <c r="P9388" s="7"/>
      <c r="R9388" s="7"/>
      <c r="T9388" s="7"/>
      <c r="V9388" s="7"/>
      <c r="X9388" s="7"/>
    </row>
    <row r="9389" spans="2:24">
      <c r="B9389" s="7"/>
      <c r="D9389" s="7"/>
      <c r="F9389" s="7"/>
      <c r="H9389" s="7"/>
      <c r="J9389" s="7"/>
      <c r="L9389" s="7"/>
      <c r="N9389" s="7"/>
      <c r="P9389" s="7"/>
      <c r="R9389" s="7"/>
      <c r="T9389" s="7"/>
      <c r="V9389" s="7"/>
      <c r="X9389" s="7"/>
    </row>
    <row r="9390" spans="2:24">
      <c r="B9390" s="7"/>
      <c r="D9390" s="7"/>
      <c r="F9390" s="7"/>
      <c r="H9390" s="7"/>
      <c r="J9390" s="7"/>
      <c r="L9390" s="7"/>
      <c r="N9390" s="7"/>
      <c r="P9390" s="7"/>
      <c r="R9390" s="7"/>
      <c r="T9390" s="7"/>
      <c r="V9390" s="7"/>
      <c r="X9390" s="7"/>
    </row>
    <row r="9391" spans="2:24">
      <c r="B9391" s="7"/>
      <c r="D9391" s="7"/>
      <c r="F9391" s="7"/>
      <c r="H9391" s="7"/>
      <c r="J9391" s="7"/>
      <c r="L9391" s="7"/>
      <c r="N9391" s="7"/>
      <c r="P9391" s="7"/>
      <c r="R9391" s="7"/>
      <c r="T9391" s="7"/>
      <c r="V9391" s="7"/>
      <c r="X9391" s="7"/>
    </row>
    <row r="9392" spans="2:24">
      <c r="B9392" s="7"/>
      <c r="D9392" s="7"/>
      <c r="F9392" s="7"/>
      <c r="H9392" s="7"/>
      <c r="J9392" s="7"/>
      <c r="L9392" s="7"/>
      <c r="N9392" s="7"/>
      <c r="P9392" s="7"/>
      <c r="R9392" s="7"/>
      <c r="T9392" s="7"/>
      <c r="V9392" s="7"/>
      <c r="X9392" s="7"/>
    </row>
    <row r="9393" spans="2:24">
      <c r="B9393" s="7"/>
      <c r="D9393" s="7"/>
      <c r="F9393" s="7"/>
      <c r="H9393" s="7"/>
      <c r="J9393" s="7"/>
      <c r="L9393" s="7"/>
      <c r="N9393" s="7"/>
      <c r="P9393" s="7"/>
      <c r="R9393" s="7"/>
      <c r="T9393" s="7"/>
      <c r="V9393" s="7"/>
      <c r="X9393" s="7"/>
    </row>
    <row r="9394" spans="2:24">
      <c r="B9394" s="7"/>
      <c r="D9394" s="7"/>
      <c r="F9394" s="7"/>
      <c r="H9394" s="7"/>
      <c r="J9394" s="7"/>
      <c r="L9394" s="7"/>
      <c r="N9394" s="7"/>
      <c r="P9394" s="7"/>
      <c r="R9394" s="7"/>
      <c r="T9394" s="7"/>
      <c r="V9394" s="7"/>
      <c r="X9394" s="7"/>
    </row>
    <row r="9395" spans="2:24">
      <c r="B9395" s="7"/>
      <c r="D9395" s="7"/>
      <c r="F9395" s="7"/>
      <c r="H9395" s="7"/>
      <c r="J9395" s="7"/>
      <c r="L9395" s="7"/>
      <c r="N9395" s="7"/>
      <c r="P9395" s="7"/>
      <c r="R9395" s="7"/>
      <c r="T9395" s="7"/>
      <c r="V9395" s="7"/>
      <c r="X9395" s="7"/>
    </row>
    <row r="9396" spans="2:24">
      <c r="B9396" s="7"/>
      <c r="D9396" s="7"/>
      <c r="F9396" s="7"/>
      <c r="H9396" s="7"/>
      <c r="J9396" s="7"/>
      <c r="L9396" s="7"/>
      <c r="N9396" s="7"/>
      <c r="P9396" s="7"/>
      <c r="R9396" s="7"/>
      <c r="T9396" s="7"/>
      <c r="V9396" s="7"/>
      <c r="X9396" s="7"/>
    </row>
    <row r="9397" spans="2:24">
      <c r="B9397" s="7"/>
      <c r="D9397" s="7"/>
      <c r="F9397" s="7"/>
      <c r="H9397" s="7"/>
      <c r="J9397" s="7"/>
      <c r="L9397" s="7"/>
      <c r="N9397" s="7"/>
      <c r="P9397" s="7"/>
      <c r="R9397" s="7"/>
      <c r="T9397" s="7"/>
      <c r="V9397" s="7"/>
      <c r="X9397" s="7"/>
    </row>
    <row r="9398" spans="2:24">
      <c r="B9398" s="7"/>
      <c r="D9398" s="7"/>
      <c r="F9398" s="7"/>
      <c r="H9398" s="7"/>
      <c r="J9398" s="7"/>
      <c r="L9398" s="7"/>
      <c r="N9398" s="7"/>
      <c r="P9398" s="7"/>
      <c r="R9398" s="7"/>
      <c r="T9398" s="7"/>
      <c r="V9398" s="7"/>
      <c r="X9398" s="7"/>
    </row>
    <row r="9399" spans="2:24">
      <c r="B9399" s="7"/>
      <c r="D9399" s="7"/>
      <c r="F9399" s="7"/>
      <c r="H9399" s="7"/>
      <c r="J9399" s="7"/>
      <c r="L9399" s="7"/>
      <c r="N9399" s="7"/>
      <c r="P9399" s="7"/>
      <c r="R9399" s="7"/>
      <c r="T9399" s="7"/>
      <c r="V9399" s="7"/>
      <c r="X9399" s="7"/>
    </row>
    <row r="9400" spans="2:24">
      <c r="B9400" s="7"/>
      <c r="D9400" s="7"/>
      <c r="F9400" s="7"/>
      <c r="H9400" s="7"/>
      <c r="J9400" s="7"/>
      <c r="L9400" s="7"/>
      <c r="N9400" s="7"/>
      <c r="P9400" s="7"/>
      <c r="R9400" s="7"/>
      <c r="T9400" s="7"/>
      <c r="V9400" s="7"/>
      <c r="X9400" s="7"/>
    </row>
    <row r="9401" spans="2:24">
      <c r="B9401" s="7"/>
      <c r="D9401" s="7"/>
      <c r="F9401" s="7"/>
      <c r="H9401" s="7"/>
      <c r="J9401" s="7"/>
      <c r="L9401" s="7"/>
      <c r="N9401" s="7"/>
      <c r="P9401" s="7"/>
      <c r="R9401" s="7"/>
      <c r="T9401" s="7"/>
      <c r="V9401" s="7"/>
      <c r="X9401" s="7"/>
    </row>
    <row r="9402" spans="2:24">
      <c r="B9402" s="7"/>
      <c r="D9402" s="7"/>
      <c r="F9402" s="7"/>
      <c r="H9402" s="7"/>
      <c r="J9402" s="7"/>
      <c r="L9402" s="7"/>
      <c r="N9402" s="7"/>
      <c r="P9402" s="7"/>
      <c r="R9402" s="7"/>
      <c r="T9402" s="7"/>
      <c r="V9402" s="7"/>
      <c r="X9402" s="7"/>
    </row>
    <row r="9403" spans="2:24">
      <c r="B9403" s="7"/>
      <c r="D9403" s="7"/>
      <c r="F9403" s="7"/>
      <c r="H9403" s="7"/>
      <c r="J9403" s="7"/>
      <c r="L9403" s="7"/>
      <c r="N9403" s="7"/>
      <c r="P9403" s="7"/>
      <c r="R9403" s="7"/>
      <c r="T9403" s="7"/>
      <c r="V9403" s="7"/>
      <c r="X9403" s="7"/>
    </row>
    <row r="9404" spans="2:24">
      <c r="B9404" s="7"/>
      <c r="D9404" s="7"/>
      <c r="F9404" s="7"/>
      <c r="H9404" s="7"/>
      <c r="J9404" s="7"/>
      <c r="L9404" s="7"/>
      <c r="N9404" s="7"/>
      <c r="P9404" s="7"/>
      <c r="R9404" s="7"/>
      <c r="T9404" s="7"/>
      <c r="V9404" s="7"/>
      <c r="X9404" s="7"/>
    </row>
    <row r="9405" spans="2:24">
      <c r="B9405" s="7"/>
      <c r="D9405" s="7"/>
      <c r="F9405" s="7"/>
      <c r="H9405" s="7"/>
      <c r="J9405" s="7"/>
      <c r="L9405" s="7"/>
      <c r="N9405" s="7"/>
      <c r="P9405" s="7"/>
      <c r="R9405" s="7"/>
      <c r="T9405" s="7"/>
      <c r="V9405" s="7"/>
      <c r="X9405" s="7"/>
    </row>
    <row r="9406" spans="2:24">
      <c r="B9406" s="7"/>
      <c r="D9406" s="7"/>
      <c r="F9406" s="7"/>
      <c r="H9406" s="7"/>
      <c r="J9406" s="7"/>
      <c r="L9406" s="7"/>
      <c r="N9406" s="7"/>
      <c r="P9406" s="7"/>
      <c r="R9406" s="7"/>
      <c r="T9406" s="7"/>
      <c r="V9406" s="7"/>
      <c r="X9406" s="7"/>
    </row>
    <row r="9407" spans="2:24">
      <c r="B9407" s="7"/>
      <c r="D9407" s="7"/>
      <c r="F9407" s="7"/>
      <c r="H9407" s="7"/>
      <c r="J9407" s="7"/>
      <c r="L9407" s="7"/>
      <c r="N9407" s="7"/>
      <c r="P9407" s="7"/>
      <c r="R9407" s="7"/>
      <c r="T9407" s="7"/>
      <c r="V9407" s="7"/>
      <c r="X9407" s="7"/>
    </row>
    <row r="9408" spans="2:24">
      <c r="B9408" s="7"/>
      <c r="D9408" s="7"/>
      <c r="F9408" s="7"/>
      <c r="H9408" s="7"/>
      <c r="J9408" s="7"/>
      <c r="L9408" s="7"/>
      <c r="N9408" s="7"/>
      <c r="P9408" s="7"/>
      <c r="R9408" s="7"/>
      <c r="T9408" s="7"/>
      <c r="V9408" s="7"/>
      <c r="X9408" s="7"/>
    </row>
    <row r="9409" spans="2:24">
      <c r="B9409" s="7"/>
      <c r="D9409" s="7"/>
      <c r="F9409" s="7"/>
      <c r="H9409" s="7"/>
      <c r="J9409" s="7"/>
      <c r="L9409" s="7"/>
      <c r="N9409" s="7"/>
      <c r="P9409" s="7"/>
      <c r="R9409" s="7"/>
      <c r="T9409" s="7"/>
      <c r="V9409" s="7"/>
      <c r="X9409" s="7"/>
    </row>
    <row r="9410" spans="2:24">
      <c r="B9410" s="7"/>
      <c r="D9410" s="7"/>
      <c r="F9410" s="7"/>
      <c r="H9410" s="7"/>
      <c r="J9410" s="7"/>
      <c r="L9410" s="7"/>
      <c r="N9410" s="7"/>
      <c r="P9410" s="7"/>
      <c r="R9410" s="7"/>
      <c r="T9410" s="7"/>
      <c r="V9410" s="7"/>
      <c r="X9410" s="7"/>
    </row>
    <row r="9411" spans="2:24">
      <c r="B9411" s="7"/>
      <c r="D9411" s="7"/>
      <c r="F9411" s="7"/>
      <c r="H9411" s="7"/>
      <c r="J9411" s="7"/>
      <c r="L9411" s="7"/>
      <c r="N9411" s="7"/>
      <c r="P9411" s="7"/>
      <c r="R9411" s="7"/>
      <c r="T9411" s="7"/>
      <c r="V9411" s="7"/>
      <c r="X9411" s="7"/>
    </row>
    <row r="9412" spans="2:24">
      <c r="B9412" s="7"/>
      <c r="D9412" s="7"/>
      <c r="F9412" s="7"/>
      <c r="H9412" s="7"/>
      <c r="J9412" s="7"/>
      <c r="L9412" s="7"/>
      <c r="N9412" s="7"/>
      <c r="P9412" s="7"/>
      <c r="R9412" s="7"/>
      <c r="T9412" s="7"/>
      <c r="V9412" s="7"/>
      <c r="X9412" s="7"/>
    </row>
    <row r="9413" spans="2:24">
      <c r="B9413" s="7"/>
      <c r="D9413" s="7"/>
      <c r="F9413" s="7"/>
      <c r="H9413" s="7"/>
      <c r="J9413" s="7"/>
      <c r="L9413" s="7"/>
      <c r="N9413" s="7"/>
      <c r="P9413" s="7"/>
      <c r="R9413" s="7"/>
      <c r="T9413" s="7"/>
      <c r="V9413" s="7"/>
      <c r="X9413" s="7"/>
    </row>
    <row r="9414" spans="2:24">
      <c r="B9414" s="7"/>
      <c r="D9414" s="7"/>
      <c r="F9414" s="7"/>
      <c r="H9414" s="7"/>
      <c r="J9414" s="7"/>
      <c r="L9414" s="7"/>
      <c r="N9414" s="7"/>
      <c r="P9414" s="7"/>
      <c r="R9414" s="7"/>
      <c r="T9414" s="7"/>
      <c r="V9414" s="7"/>
      <c r="X9414" s="7"/>
    </row>
    <row r="9415" spans="2:24">
      <c r="B9415" s="7"/>
      <c r="D9415" s="7"/>
      <c r="F9415" s="7"/>
      <c r="H9415" s="7"/>
      <c r="J9415" s="7"/>
      <c r="L9415" s="7"/>
      <c r="N9415" s="7"/>
      <c r="P9415" s="7"/>
      <c r="R9415" s="7"/>
      <c r="T9415" s="7"/>
      <c r="V9415" s="7"/>
      <c r="X9415" s="7"/>
    </row>
    <row r="9416" spans="2:24">
      <c r="B9416" s="7"/>
      <c r="D9416" s="7"/>
      <c r="F9416" s="7"/>
      <c r="H9416" s="7"/>
      <c r="J9416" s="7"/>
      <c r="L9416" s="7"/>
      <c r="N9416" s="7"/>
      <c r="P9416" s="7"/>
      <c r="R9416" s="7"/>
      <c r="T9416" s="7"/>
      <c r="V9416" s="7"/>
      <c r="X9416" s="7"/>
    </row>
    <row r="9417" spans="2:24">
      <c r="B9417" s="7"/>
      <c r="D9417" s="7"/>
      <c r="F9417" s="7"/>
      <c r="H9417" s="7"/>
      <c r="J9417" s="7"/>
      <c r="L9417" s="7"/>
      <c r="N9417" s="7"/>
      <c r="P9417" s="7"/>
      <c r="R9417" s="7"/>
      <c r="T9417" s="7"/>
      <c r="V9417" s="7"/>
      <c r="X9417" s="7"/>
    </row>
    <row r="9418" spans="2:24">
      <c r="B9418" s="7"/>
      <c r="D9418" s="7"/>
      <c r="F9418" s="7"/>
      <c r="H9418" s="7"/>
      <c r="J9418" s="7"/>
      <c r="L9418" s="7"/>
      <c r="N9418" s="7"/>
      <c r="P9418" s="7"/>
      <c r="R9418" s="7"/>
      <c r="T9418" s="7"/>
      <c r="V9418" s="7"/>
      <c r="X9418" s="7"/>
    </row>
    <row r="9419" spans="2:24">
      <c r="B9419" s="7"/>
      <c r="D9419" s="7"/>
      <c r="F9419" s="7"/>
      <c r="H9419" s="7"/>
      <c r="J9419" s="7"/>
      <c r="L9419" s="7"/>
      <c r="N9419" s="7"/>
      <c r="P9419" s="7"/>
      <c r="R9419" s="7"/>
      <c r="T9419" s="7"/>
      <c r="V9419" s="7"/>
      <c r="X9419" s="7"/>
    </row>
    <row r="9420" spans="2:24">
      <c r="B9420" s="7"/>
      <c r="D9420" s="7"/>
      <c r="F9420" s="7"/>
      <c r="H9420" s="7"/>
      <c r="J9420" s="7"/>
      <c r="L9420" s="7"/>
      <c r="N9420" s="7"/>
      <c r="P9420" s="7"/>
      <c r="R9420" s="7"/>
      <c r="T9420" s="7"/>
      <c r="V9420" s="7"/>
      <c r="X9420" s="7"/>
    </row>
    <row r="9421" spans="2:24">
      <c r="B9421" s="7"/>
      <c r="D9421" s="7"/>
      <c r="F9421" s="7"/>
      <c r="H9421" s="7"/>
      <c r="J9421" s="7"/>
      <c r="L9421" s="7"/>
      <c r="N9421" s="7"/>
      <c r="P9421" s="7"/>
      <c r="R9421" s="7"/>
      <c r="T9421" s="7"/>
      <c r="V9421" s="7"/>
      <c r="X9421" s="7"/>
    </row>
    <row r="9422" spans="2:24">
      <c r="B9422" s="7"/>
      <c r="D9422" s="7"/>
      <c r="F9422" s="7"/>
      <c r="H9422" s="7"/>
      <c r="J9422" s="7"/>
      <c r="L9422" s="7"/>
      <c r="N9422" s="7"/>
      <c r="P9422" s="7"/>
      <c r="R9422" s="7"/>
      <c r="T9422" s="7"/>
      <c r="V9422" s="7"/>
      <c r="X9422" s="7"/>
    </row>
    <row r="9423" spans="2:24">
      <c r="B9423" s="7"/>
      <c r="D9423" s="7"/>
      <c r="F9423" s="7"/>
      <c r="H9423" s="7"/>
      <c r="J9423" s="7"/>
      <c r="L9423" s="7"/>
      <c r="N9423" s="7"/>
      <c r="P9423" s="7"/>
      <c r="R9423" s="7"/>
      <c r="T9423" s="7"/>
      <c r="V9423" s="7"/>
      <c r="X9423" s="7"/>
    </row>
    <row r="9424" spans="2:24">
      <c r="B9424" s="7"/>
      <c r="D9424" s="7"/>
      <c r="F9424" s="7"/>
      <c r="H9424" s="7"/>
      <c r="J9424" s="7"/>
      <c r="L9424" s="7"/>
      <c r="N9424" s="7"/>
      <c r="P9424" s="7"/>
      <c r="R9424" s="7"/>
      <c r="T9424" s="7"/>
      <c r="V9424" s="7"/>
      <c r="X9424" s="7"/>
    </row>
    <row r="9425" spans="2:24">
      <c r="B9425" s="7"/>
      <c r="D9425" s="7"/>
      <c r="F9425" s="7"/>
      <c r="H9425" s="7"/>
      <c r="J9425" s="7"/>
      <c r="L9425" s="7"/>
      <c r="N9425" s="7"/>
      <c r="P9425" s="7"/>
      <c r="R9425" s="7"/>
      <c r="T9425" s="7"/>
      <c r="V9425" s="7"/>
      <c r="X9425" s="7"/>
    </row>
    <row r="9426" spans="2:24">
      <c r="B9426" s="7"/>
      <c r="D9426" s="7"/>
      <c r="F9426" s="7"/>
      <c r="H9426" s="7"/>
      <c r="J9426" s="7"/>
      <c r="L9426" s="7"/>
      <c r="N9426" s="7"/>
      <c r="P9426" s="7"/>
      <c r="R9426" s="7"/>
      <c r="T9426" s="7"/>
      <c r="V9426" s="7"/>
      <c r="X9426" s="7"/>
    </row>
    <row r="9427" spans="2:24">
      <c r="B9427" s="7"/>
      <c r="D9427" s="7"/>
      <c r="F9427" s="7"/>
      <c r="H9427" s="7"/>
      <c r="J9427" s="7"/>
      <c r="L9427" s="7"/>
      <c r="N9427" s="7"/>
      <c r="P9427" s="7"/>
      <c r="R9427" s="7"/>
      <c r="T9427" s="7"/>
      <c r="V9427" s="7"/>
      <c r="X9427" s="7"/>
    </row>
    <row r="9428" spans="2:24">
      <c r="B9428" s="7"/>
      <c r="D9428" s="7"/>
      <c r="F9428" s="7"/>
      <c r="H9428" s="7"/>
      <c r="J9428" s="7"/>
      <c r="L9428" s="7"/>
      <c r="N9428" s="7"/>
      <c r="P9428" s="7"/>
      <c r="R9428" s="7"/>
      <c r="T9428" s="7"/>
      <c r="V9428" s="7"/>
      <c r="X9428" s="7"/>
    </row>
    <row r="9429" spans="2:24">
      <c r="B9429" s="7"/>
      <c r="D9429" s="7"/>
      <c r="F9429" s="7"/>
      <c r="H9429" s="7"/>
      <c r="J9429" s="7"/>
      <c r="L9429" s="7"/>
      <c r="N9429" s="7"/>
      <c r="P9429" s="7"/>
      <c r="R9429" s="7"/>
      <c r="T9429" s="7"/>
      <c r="V9429" s="7"/>
      <c r="X9429" s="7"/>
    </row>
    <row r="9430" spans="2:24">
      <c r="B9430" s="7"/>
      <c r="D9430" s="7"/>
      <c r="F9430" s="7"/>
      <c r="H9430" s="7"/>
      <c r="J9430" s="7"/>
      <c r="L9430" s="7"/>
      <c r="N9430" s="7"/>
      <c r="P9430" s="7"/>
      <c r="R9430" s="7"/>
      <c r="T9430" s="7"/>
      <c r="V9430" s="7"/>
      <c r="X9430" s="7"/>
    </row>
    <row r="9431" spans="2:24">
      <c r="B9431" s="7"/>
      <c r="D9431" s="7"/>
      <c r="F9431" s="7"/>
      <c r="H9431" s="7"/>
      <c r="J9431" s="7"/>
      <c r="L9431" s="7"/>
      <c r="N9431" s="7"/>
      <c r="P9431" s="7"/>
      <c r="R9431" s="7"/>
      <c r="T9431" s="7"/>
      <c r="V9431" s="7"/>
      <c r="X9431" s="7"/>
    </row>
    <row r="9432" spans="2:24">
      <c r="B9432" s="7"/>
      <c r="D9432" s="7"/>
      <c r="F9432" s="7"/>
      <c r="H9432" s="7"/>
      <c r="J9432" s="7"/>
      <c r="L9432" s="7"/>
      <c r="N9432" s="7"/>
      <c r="P9432" s="7"/>
      <c r="R9432" s="7"/>
      <c r="T9432" s="7"/>
      <c r="V9432" s="7"/>
      <c r="X9432" s="7"/>
    </row>
    <row r="9433" spans="2:24">
      <c r="B9433" s="7"/>
      <c r="D9433" s="7"/>
      <c r="F9433" s="7"/>
      <c r="H9433" s="7"/>
      <c r="J9433" s="7"/>
      <c r="L9433" s="7"/>
      <c r="N9433" s="7"/>
      <c r="P9433" s="7"/>
      <c r="R9433" s="7"/>
      <c r="T9433" s="7"/>
      <c r="V9433" s="7"/>
      <c r="X9433" s="7"/>
    </row>
    <row r="9434" spans="2:24">
      <c r="B9434" s="7"/>
      <c r="D9434" s="7"/>
      <c r="F9434" s="7"/>
      <c r="H9434" s="7"/>
      <c r="J9434" s="7"/>
      <c r="L9434" s="7"/>
      <c r="N9434" s="7"/>
      <c r="P9434" s="7"/>
      <c r="R9434" s="7"/>
      <c r="T9434" s="7"/>
      <c r="V9434" s="7"/>
      <c r="X9434" s="7"/>
    </row>
    <row r="9435" spans="2:24">
      <c r="B9435" s="7"/>
      <c r="D9435" s="7"/>
      <c r="F9435" s="7"/>
      <c r="H9435" s="7"/>
      <c r="J9435" s="7"/>
      <c r="L9435" s="7"/>
      <c r="N9435" s="7"/>
      <c r="P9435" s="7"/>
      <c r="R9435" s="7"/>
      <c r="T9435" s="7"/>
      <c r="V9435" s="7"/>
      <c r="X9435" s="7"/>
    </row>
    <row r="9436" spans="2:24">
      <c r="B9436" s="7"/>
      <c r="D9436" s="7"/>
      <c r="F9436" s="7"/>
      <c r="H9436" s="7"/>
      <c r="J9436" s="7"/>
      <c r="L9436" s="7"/>
      <c r="N9436" s="7"/>
      <c r="P9436" s="7"/>
      <c r="R9436" s="7"/>
      <c r="T9436" s="7"/>
      <c r="V9436" s="7"/>
      <c r="X9436" s="7"/>
    </row>
    <row r="9437" spans="2:24">
      <c r="B9437" s="7"/>
      <c r="D9437" s="7"/>
      <c r="F9437" s="7"/>
      <c r="H9437" s="7"/>
      <c r="J9437" s="7"/>
      <c r="L9437" s="7"/>
      <c r="N9437" s="7"/>
      <c r="P9437" s="7"/>
      <c r="R9437" s="7"/>
      <c r="T9437" s="7"/>
      <c r="V9437" s="7"/>
      <c r="X9437" s="7"/>
    </row>
    <row r="9438" spans="2:24">
      <c r="B9438" s="7"/>
      <c r="D9438" s="7"/>
      <c r="F9438" s="7"/>
      <c r="H9438" s="7"/>
      <c r="J9438" s="7"/>
      <c r="L9438" s="7"/>
      <c r="N9438" s="7"/>
      <c r="P9438" s="7"/>
      <c r="R9438" s="7"/>
      <c r="T9438" s="7"/>
      <c r="V9438" s="7"/>
      <c r="X9438" s="7"/>
    </row>
    <row r="9439" spans="2:24">
      <c r="B9439" s="7"/>
      <c r="D9439" s="7"/>
      <c r="F9439" s="7"/>
      <c r="H9439" s="7"/>
      <c r="J9439" s="7"/>
      <c r="L9439" s="7"/>
      <c r="N9439" s="7"/>
      <c r="P9439" s="7"/>
      <c r="R9439" s="7"/>
      <c r="T9439" s="7"/>
      <c r="V9439" s="7"/>
      <c r="X9439" s="7"/>
    </row>
    <row r="9440" spans="2:24">
      <c r="B9440" s="7"/>
      <c r="D9440" s="7"/>
      <c r="F9440" s="7"/>
      <c r="H9440" s="7"/>
      <c r="J9440" s="7"/>
      <c r="L9440" s="7"/>
      <c r="N9440" s="7"/>
      <c r="P9440" s="7"/>
      <c r="R9440" s="7"/>
      <c r="T9440" s="7"/>
      <c r="V9440" s="7"/>
      <c r="X9440" s="7"/>
    </row>
    <row r="9441" spans="2:24">
      <c r="B9441" s="7"/>
      <c r="D9441" s="7"/>
      <c r="F9441" s="7"/>
      <c r="H9441" s="7"/>
      <c r="J9441" s="7"/>
      <c r="L9441" s="7"/>
      <c r="N9441" s="7"/>
      <c r="P9441" s="7"/>
      <c r="R9441" s="7"/>
      <c r="T9441" s="7"/>
      <c r="V9441" s="7"/>
      <c r="X9441" s="7"/>
    </row>
    <row r="9442" spans="2:24">
      <c r="B9442" s="7"/>
      <c r="D9442" s="7"/>
      <c r="F9442" s="7"/>
      <c r="H9442" s="7"/>
      <c r="J9442" s="7"/>
      <c r="L9442" s="7"/>
      <c r="N9442" s="7"/>
      <c r="P9442" s="7"/>
      <c r="R9442" s="7"/>
      <c r="T9442" s="7"/>
      <c r="V9442" s="7"/>
      <c r="X9442" s="7"/>
    </row>
    <row r="9443" spans="2:24">
      <c r="B9443" s="7"/>
      <c r="D9443" s="7"/>
      <c r="F9443" s="7"/>
      <c r="H9443" s="7"/>
      <c r="J9443" s="7"/>
      <c r="L9443" s="7"/>
      <c r="N9443" s="7"/>
      <c r="P9443" s="7"/>
      <c r="R9443" s="7"/>
      <c r="T9443" s="7"/>
      <c r="V9443" s="7"/>
      <c r="X9443" s="7"/>
    </row>
    <row r="9444" spans="2:24">
      <c r="B9444" s="7"/>
      <c r="D9444" s="7"/>
      <c r="F9444" s="7"/>
      <c r="H9444" s="7"/>
      <c r="J9444" s="7"/>
      <c r="L9444" s="7"/>
      <c r="N9444" s="7"/>
      <c r="P9444" s="7"/>
      <c r="R9444" s="7"/>
      <c r="T9444" s="7"/>
      <c r="V9444" s="7"/>
      <c r="X9444" s="7"/>
    </row>
    <row r="9445" spans="2:24">
      <c r="B9445" s="7"/>
      <c r="D9445" s="7"/>
      <c r="F9445" s="7"/>
      <c r="H9445" s="7"/>
      <c r="J9445" s="7"/>
      <c r="L9445" s="7"/>
      <c r="N9445" s="7"/>
      <c r="P9445" s="7"/>
      <c r="R9445" s="7"/>
      <c r="T9445" s="7"/>
      <c r="V9445" s="7"/>
      <c r="X9445" s="7"/>
    </row>
    <row r="9446" spans="2:24">
      <c r="B9446" s="7"/>
      <c r="D9446" s="7"/>
      <c r="F9446" s="7"/>
      <c r="H9446" s="7"/>
      <c r="J9446" s="7"/>
      <c r="L9446" s="7"/>
      <c r="N9446" s="7"/>
      <c r="P9446" s="7"/>
      <c r="R9446" s="7"/>
      <c r="T9446" s="7"/>
      <c r="V9446" s="7"/>
      <c r="X9446" s="7"/>
    </row>
    <row r="9447" spans="2:24">
      <c r="B9447" s="7"/>
      <c r="D9447" s="7"/>
      <c r="F9447" s="7"/>
      <c r="H9447" s="7"/>
      <c r="J9447" s="7"/>
      <c r="L9447" s="7"/>
      <c r="N9447" s="7"/>
      <c r="P9447" s="7"/>
      <c r="R9447" s="7"/>
      <c r="T9447" s="7"/>
      <c r="V9447" s="7"/>
      <c r="X9447" s="7"/>
    </row>
    <row r="9448" spans="2:24">
      <c r="B9448" s="7"/>
      <c r="D9448" s="7"/>
      <c r="F9448" s="7"/>
      <c r="H9448" s="7"/>
      <c r="J9448" s="7"/>
      <c r="L9448" s="7"/>
      <c r="N9448" s="7"/>
      <c r="P9448" s="7"/>
      <c r="R9448" s="7"/>
      <c r="T9448" s="7"/>
      <c r="V9448" s="7"/>
      <c r="X9448" s="7"/>
    </row>
    <row r="9449" spans="2:24">
      <c r="B9449" s="7"/>
      <c r="D9449" s="7"/>
      <c r="F9449" s="7"/>
      <c r="H9449" s="7"/>
      <c r="J9449" s="7"/>
      <c r="L9449" s="7"/>
      <c r="N9449" s="7"/>
      <c r="P9449" s="7"/>
      <c r="R9449" s="7"/>
      <c r="T9449" s="7"/>
      <c r="V9449" s="7"/>
      <c r="X9449" s="7"/>
    </row>
    <row r="9450" spans="2:24">
      <c r="B9450" s="7"/>
      <c r="D9450" s="7"/>
      <c r="F9450" s="7"/>
      <c r="H9450" s="7"/>
      <c r="J9450" s="7"/>
      <c r="L9450" s="7"/>
      <c r="N9450" s="7"/>
      <c r="P9450" s="7"/>
      <c r="R9450" s="7"/>
      <c r="T9450" s="7"/>
      <c r="V9450" s="7"/>
      <c r="X9450" s="7"/>
    </row>
    <row r="9451" spans="2:24">
      <c r="B9451" s="7"/>
      <c r="D9451" s="7"/>
      <c r="F9451" s="7"/>
      <c r="H9451" s="7"/>
      <c r="J9451" s="7"/>
      <c r="L9451" s="7"/>
      <c r="N9451" s="7"/>
      <c r="P9451" s="7"/>
      <c r="R9451" s="7"/>
      <c r="T9451" s="7"/>
      <c r="V9451" s="7"/>
      <c r="X9451" s="7"/>
    </row>
    <row r="9452" spans="2:24">
      <c r="B9452" s="7"/>
      <c r="D9452" s="7"/>
      <c r="F9452" s="7"/>
      <c r="H9452" s="7"/>
      <c r="J9452" s="7"/>
      <c r="L9452" s="7"/>
      <c r="N9452" s="7"/>
      <c r="P9452" s="7"/>
      <c r="R9452" s="7"/>
      <c r="T9452" s="7"/>
      <c r="V9452" s="7"/>
      <c r="X9452" s="7"/>
    </row>
    <row r="9453" spans="2:24">
      <c r="B9453" s="7"/>
      <c r="D9453" s="7"/>
      <c r="F9453" s="7"/>
      <c r="H9453" s="7"/>
      <c r="J9453" s="7"/>
      <c r="L9453" s="7"/>
      <c r="N9453" s="7"/>
      <c r="P9453" s="7"/>
      <c r="R9453" s="7"/>
      <c r="T9453" s="7"/>
      <c r="V9453" s="7"/>
      <c r="X9453" s="7"/>
    </row>
    <row r="9454" spans="2:24">
      <c r="B9454" s="7"/>
      <c r="D9454" s="7"/>
      <c r="F9454" s="7"/>
      <c r="H9454" s="7"/>
      <c r="J9454" s="7"/>
      <c r="L9454" s="7"/>
      <c r="N9454" s="7"/>
      <c r="P9454" s="7"/>
      <c r="R9454" s="7"/>
      <c r="T9454" s="7"/>
      <c r="V9454" s="7"/>
      <c r="X9454" s="7"/>
    </row>
    <row r="9455" spans="2:24">
      <c r="B9455" s="7"/>
      <c r="D9455" s="7"/>
      <c r="F9455" s="7"/>
      <c r="H9455" s="7"/>
      <c r="J9455" s="7"/>
      <c r="L9455" s="7"/>
      <c r="N9455" s="7"/>
      <c r="P9455" s="7"/>
      <c r="R9455" s="7"/>
      <c r="T9455" s="7"/>
      <c r="V9455" s="7"/>
      <c r="X9455" s="7"/>
    </row>
    <row r="9456" spans="2:24">
      <c r="B9456" s="7"/>
      <c r="D9456" s="7"/>
      <c r="F9456" s="7"/>
      <c r="H9456" s="7"/>
      <c r="J9456" s="7"/>
      <c r="L9456" s="7"/>
      <c r="N9456" s="7"/>
      <c r="P9456" s="7"/>
      <c r="R9456" s="7"/>
      <c r="T9456" s="7"/>
      <c r="V9456" s="7"/>
      <c r="X9456" s="7"/>
    </row>
    <row r="9457" spans="2:24">
      <c r="B9457" s="7"/>
      <c r="D9457" s="7"/>
      <c r="F9457" s="7"/>
      <c r="H9457" s="7"/>
      <c r="J9457" s="7"/>
      <c r="L9457" s="7"/>
      <c r="N9457" s="7"/>
      <c r="P9457" s="7"/>
      <c r="R9457" s="7"/>
      <c r="T9457" s="7"/>
      <c r="V9457" s="7"/>
      <c r="X9457" s="7"/>
    </row>
    <row r="9458" spans="2:24">
      <c r="B9458" s="7"/>
      <c r="D9458" s="7"/>
      <c r="F9458" s="7"/>
      <c r="H9458" s="7"/>
      <c r="J9458" s="7"/>
      <c r="L9458" s="7"/>
      <c r="N9458" s="7"/>
      <c r="P9458" s="7"/>
      <c r="R9458" s="7"/>
      <c r="T9458" s="7"/>
      <c r="V9458" s="7"/>
      <c r="X9458" s="7"/>
    </row>
    <row r="9459" spans="2:24">
      <c r="B9459" s="7"/>
      <c r="D9459" s="7"/>
      <c r="F9459" s="7"/>
      <c r="H9459" s="7"/>
      <c r="J9459" s="7"/>
      <c r="L9459" s="7"/>
      <c r="N9459" s="7"/>
      <c r="P9459" s="7"/>
      <c r="R9459" s="7"/>
      <c r="T9459" s="7"/>
      <c r="V9459" s="7"/>
      <c r="X9459" s="7"/>
    </row>
    <row r="9460" spans="2:24">
      <c r="B9460" s="7"/>
      <c r="D9460" s="7"/>
      <c r="F9460" s="7"/>
      <c r="H9460" s="7"/>
      <c r="J9460" s="7"/>
      <c r="L9460" s="7"/>
      <c r="N9460" s="7"/>
      <c r="P9460" s="7"/>
      <c r="R9460" s="7"/>
      <c r="T9460" s="7"/>
      <c r="V9460" s="7"/>
      <c r="X9460" s="7"/>
    </row>
    <row r="9461" spans="2:24">
      <c r="B9461" s="7"/>
      <c r="D9461" s="7"/>
      <c r="F9461" s="7"/>
      <c r="H9461" s="7"/>
      <c r="J9461" s="7"/>
      <c r="L9461" s="7"/>
      <c r="N9461" s="7"/>
      <c r="P9461" s="7"/>
      <c r="R9461" s="7"/>
      <c r="T9461" s="7"/>
      <c r="V9461" s="7"/>
      <c r="X9461" s="7"/>
    </row>
    <row r="9462" spans="2:24">
      <c r="B9462" s="7"/>
      <c r="D9462" s="7"/>
      <c r="F9462" s="7"/>
      <c r="H9462" s="7"/>
      <c r="J9462" s="7"/>
      <c r="L9462" s="7"/>
      <c r="N9462" s="7"/>
      <c r="P9462" s="7"/>
      <c r="R9462" s="7"/>
      <c r="T9462" s="7"/>
      <c r="V9462" s="7"/>
      <c r="X9462" s="7"/>
    </row>
    <row r="9463" spans="2:24">
      <c r="B9463" s="7"/>
      <c r="D9463" s="7"/>
      <c r="F9463" s="7"/>
      <c r="H9463" s="7"/>
      <c r="J9463" s="7"/>
      <c r="L9463" s="7"/>
      <c r="N9463" s="7"/>
      <c r="P9463" s="7"/>
      <c r="R9463" s="7"/>
      <c r="T9463" s="7"/>
      <c r="V9463" s="7"/>
      <c r="X9463" s="7"/>
    </row>
    <row r="9464" spans="2:24">
      <c r="B9464" s="7"/>
      <c r="D9464" s="7"/>
      <c r="F9464" s="7"/>
      <c r="H9464" s="7"/>
      <c r="J9464" s="7"/>
      <c r="L9464" s="7"/>
      <c r="N9464" s="7"/>
      <c r="P9464" s="7"/>
      <c r="R9464" s="7"/>
      <c r="T9464" s="7"/>
      <c r="V9464" s="7"/>
      <c r="X9464" s="7"/>
    </row>
    <row r="9465" spans="2:24">
      <c r="B9465" s="7"/>
      <c r="D9465" s="7"/>
      <c r="F9465" s="7"/>
      <c r="H9465" s="7"/>
      <c r="J9465" s="7"/>
      <c r="L9465" s="7"/>
      <c r="N9465" s="7"/>
      <c r="P9465" s="7"/>
      <c r="R9465" s="7"/>
      <c r="T9465" s="7"/>
      <c r="V9465" s="7"/>
      <c r="X9465" s="7"/>
    </row>
    <row r="9466" spans="2:24">
      <c r="B9466" s="7"/>
      <c r="D9466" s="7"/>
      <c r="F9466" s="7"/>
      <c r="H9466" s="7"/>
      <c r="J9466" s="7"/>
      <c r="L9466" s="7"/>
      <c r="N9466" s="7"/>
      <c r="P9466" s="7"/>
      <c r="R9466" s="7"/>
      <c r="T9466" s="7"/>
      <c r="V9466" s="7"/>
      <c r="X9466" s="7"/>
    </row>
    <row r="9467" spans="2:24">
      <c r="B9467" s="7"/>
      <c r="D9467" s="7"/>
      <c r="F9467" s="7"/>
      <c r="H9467" s="7"/>
      <c r="J9467" s="7"/>
      <c r="L9467" s="7"/>
      <c r="N9467" s="7"/>
      <c r="P9467" s="7"/>
      <c r="R9467" s="7"/>
      <c r="T9467" s="7"/>
      <c r="V9467" s="7"/>
      <c r="X9467" s="7"/>
    </row>
    <row r="9468" spans="2:24">
      <c r="B9468" s="7"/>
      <c r="D9468" s="7"/>
      <c r="F9468" s="7"/>
      <c r="H9468" s="7"/>
      <c r="J9468" s="7"/>
      <c r="L9468" s="7"/>
      <c r="N9468" s="7"/>
      <c r="P9468" s="7"/>
      <c r="R9468" s="7"/>
      <c r="T9468" s="7"/>
      <c r="V9468" s="7"/>
      <c r="X9468" s="7"/>
    </row>
    <row r="9469" spans="2:24">
      <c r="B9469" s="7"/>
      <c r="D9469" s="7"/>
      <c r="F9469" s="7"/>
      <c r="H9469" s="7"/>
      <c r="J9469" s="7"/>
      <c r="L9469" s="7"/>
      <c r="N9469" s="7"/>
      <c r="P9469" s="7"/>
      <c r="R9469" s="7"/>
      <c r="T9469" s="7"/>
      <c r="V9469" s="7"/>
      <c r="X9469" s="7"/>
    </row>
    <row r="9470" spans="2:24">
      <c r="B9470" s="7"/>
      <c r="D9470" s="7"/>
      <c r="F9470" s="7"/>
      <c r="H9470" s="7"/>
      <c r="J9470" s="7"/>
      <c r="L9470" s="7"/>
      <c r="N9470" s="7"/>
      <c r="P9470" s="7"/>
      <c r="R9470" s="7"/>
      <c r="T9470" s="7"/>
      <c r="V9470" s="7"/>
      <c r="X9470" s="7"/>
    </row>
    <row r="9471" spans="2:24">
      <c r="B9471" s="7"/>
      <c r="D9471" s="7"/>
      <c r="F9471" s="7"/>
      <c r="H9471" s="7"/>
      <c r="J9471" s="7"/>
      <c r="L9471" s="7"/>
      <c r="N9471" s="7"/>
      <c r="P9471" s="7"/>
      <c r="R9471" s="7"/>
      <c r="T9471" s="7"/>
      <c r="V9471" s="7"/>
      <c r="X9471" s="7"/>
    </row>
    <row r="9472" spans="2:24">
      <c r="B9472" s="7"/>
      <c r="D9472" s="7"/>
      <c r="F9472" s="7"/>
      <c r="H9472" s="7"/>
      <c r="J9472" s="7"/>
      <c r="L9472" s="7"/>
      <c r="N9472" s="7"/>
      <c r="P9472" s="7"/>
      <c r="R9472" s="7"/>
      <c r="T9472" s="7"/>
      <c r="V9472" s="7"/>
      <c r="X9472" s="7"/>
    </row>
    <row r="9473" spans="2:24">
      <c r="B9473" s="7"/>
      <c r="D9473" s="7"/>
      <c r="F9473" s="7"/>
      <c r="H9473" s="7"/>
      <c r="J9473" s="7"/>
      <c r="L9473" s="7"/>
      <c r="N9473" s="7"/>
      <c r="P9473" s="7"/>
      <c r="R9473" s="7"/>
      <c r="T9473" s="7"/>
      <c r="V9473" s="7"/>
      <c r="X9473" s="7"/>
    </row>
    <row r="9474" spans="2:24">
      <c r="B9474" s="7"/>
      <c r="D9474" s="7"/>
      <c r="F9474" s="7"/>
      <c r="H9474" s="7"/>
      <c r="J9474" s="7"/>
      <c r="L9474" s="7"/>
      <c r="N9474" s="7"/>
      <c r="P9474" s="7"/>
      <c r="R9474" s="7"/>
      <c r="T9474" s="7"/>
      <c r="V9474" s="7"/>
      <c r="X9474" s="7"/>
    </row>
    <row r="9475" spans="2:24">
      <c r="B9475" s="7"/>
      <c r="D9475" s="7"/>
      <c r="F9475" s="7"/>
      <c r="H9475" s="7"/>
      <c r="J9475" s="7"/>
      <c r="L9475" s="7"/>
      <c r="N9475" s="7"/>
      <c r="P9475" s="7"/>
      <c r="R9475" s="7"/>
      <c r="T9475" s="7"/>
      <c r="V9475" s="7"/>
      <c r="X9475" s="7"/>
    </row>
    <row r="9476" spans="2:24">
      <c r="B9476" s="7"/>
      <c r="D9476" s="7"/>
      <c r="F9476" s="7"/>
      <c r="H9476" s="7"/>
      <c r="J9476" s="7"/>
      <c r="L9476" s="7"/>
      <c r="N9476" s="7"/>
      <c r="P9476" s="7"/>
      <c r="R9476" s="7"/>
      <c r="T9476" s="7"/>
      <c r="V9476" s="7"/>
      <c r="X9476" s="7"/>
    </row>
    <row r="9477" spans="2:24">
      <c r="B9477" s="7"/>
      <c r="D9477" s="7"/>
      <c r="F9477" s="7"/>
      <c r="H9477" s="7"/>
      <c r="J9477" s="7"/>
      <c r="L9477" s="7"/>
      <c r="N9477" s="7"/>
      <c r="P9477" s="7"/>
      <c r="R9477" s="7"/>
      <c r="T9477" s="7"/>
      <c r="V9477" s="7"/>
      <c r="X9477" s="7"/>
    </row>
    <row r="9478" spans="2:24">
      <c r="B9478" s="7"/>
      <c r="D9478" s="7"/>
      <c r="F9478" s="7"/>
      <c r="H9478" s="7"/>
      <c r="J9478" s="7"/>
      <c r="L9478" s="7"/>
      <c r="N9478" s="7"/>
      <c r="P9478" s="7"/>
      <c r="R9478" s="7"/>
      <c r="T9478" s="7"/>
      <c r="V9478" s="7"/>
      <c r="X9478" s="7"/>
    </row>
    <row r="9479" spans="2:24">
      <c r="B9479" s="7"/>
      <c r="D9479" s="7"/>
      <c r="F9479" s="7"/>
      <c r="H9479" s="7"/>
      <c r="J9479" s="7"/>
      <c r="L9479" s="7"/>
      <c r="N9479" s="7"/>
      <c r="P9479" s="7"/>
      <c r="R9479" s="7"/>
      <c r="T9479" s="7"/>
      <c r="V9479" s="7"/>
      <c r="X9479" s="7"/>
    </row>
    <row r="9480" spans="2:24">
      <c r="B9480" s="7"/>
      <c r="D9480" s="7"/>
      <c r="F9480" s="7"/>
      <c r="H9480" s="7"/>
      <c r="J9480" s="7"/>
      <c r="L9480" s="7"/>
      <c r="N9480" s="7"/>
      <c r="P9480" s="7"/>
      <c r="R9480" s="7"/>
      <c r="T9480" s="7"/>
      <c r="V9480" s="7"/>
      <c r="X9480" s="7"/>
    </row>
    <row r="9481" spans="2:24">
      <c r="B9481" s="7"/>
      <c r="D9481" s="7"/>
      <c r="F9481" s="7"/>
      <c r="H9481" s="7"/>
      <c r="J9481" s="7"/>
      <c r="L9481" s="7"/>
      <c r="N9481" s="7"/>
      <c r="P9481" s="7"/>
      <c r="R9481" s="7"/>
      <c r="T9481" s="7"/>
      <c r="V9481" s="7"/>
      <c r="X9481" s="7"/>
    </row>
    <row r="9482" spans="2:24">
      <c r="B9482" s="7"/>
      <c r="D9482" s="7"/>
      <c r="F9482" s="7"/>
      <c r="H9482" s="7"/>
      <c r="J9482" s="7"/>
      <c r="L9482" s="7"/>
      <c r="N9482" s="7"/>
      <c r="P9482" s="7"/>
      <c r="R9482" s="7"/>
      <c r="T9482" s="7"/>
      <c r="V9482" s="7"/>
      <c r="X9482" s="7"/>
    </row>
    <row r="9483" spans="2:24">
      <c r="B9483" s="7"/>
      <c r="D9483" s="7"/>
      <c r="F9483" s="7"/>
      <c r="H9483" s="7"/>
      <c r="J9483" s="7"/>
      <c r="L9483" s="7"/>
      <c r="N9483" s="7"/>
      <c r="P9483" s="7"/>
      <c r="R9483" s="7"/>
      <c r="T9483" s="7"/>
      <c r="V9483" s="7"/>
      <c r="X9483" s="7"/>
    </row>
    <row r="9484" spans="2:24">
      <c r="B9484" s="7"/>
      <c r="D9484" s="7"/>
      <c r="F9484" s="7"/>
      <c r="H9484" s="7"/>
      <c r="J9484" s="7"/>
      <c r="L9484" s="7"/>
      <c r="N9484" s="7"/>
      <c r="P9484" s="7"/>
      <c r="R9484" s="7"/>
      <c r="T9484" s="7"/>
      <c r="V9484" s="7"/>
      <c r="X9484" s="7"/>
    </row>
    <row r="9485" spans="2:24">
      <c r="B9485" s="7"/>
      <c r="D9485" s="7"/>
      <c r="F9485" s="7"/>
      <c r="H9485" s="7"/>
      <c r="J9485" s="7"/>
      <c r="L9485" s="7"/>
      <c r="N9485" s="7"/>
      <c r="P9485" s="7"/>
      <c r="R9485" s="7"/>
      <c r="T9485" s="7"/>
      <c r="V9485" s="7"/>
      <c r="X9485" s="7"/>
    </row>
    <row r="9486" spans="2:24">
      <c r="B9486" s="7"/>
      <c r="D9486" s="7"/>
      <c r="F9486" s="7"/>
      <c r="H9486" s="7"/>
      <c r="J9486" s="7"/>
      <c r="L9486" s="7"/>
      <c r="N9486" s="7"/>
      <c r="P9486" s="7"/>
      <c r="R9486" s="7"/>
      <c r="T9486" s="7"/>
      <c r="V9486" s="7"/>
      <c r="X9486" s="7"/>
    </row>
    <row r="9487" spans="2:24">
      <c r="B9487" s="7"/>
      <c r="D9487" s="7"/>
      <c r="F9487" s="7"/>
      <c r="H9487" s="7"/>
      <c r="J9487" s="7"/>
      <c r="L9487" s="7"/>
      <c r="N9487" s="7"/>
      <c r="P9487" s="7"/>
      <c r="R9487" s="7"/>
      <c r="T9487" s="7"/>
      <c r="V9487" s="7"/>
      <c r="X9487" s="7"/>
    </row>
    <row r="9488" spans="2:24">
      <c r="B9488" s="7"/>
      <c r="D9488" s="7"/>
      <c r="F9488" s="7"/>
      <c r="H9488" s="7"/>
      <c r="J9488" s="7"/>
      <c r="L9488" s="7"/>
      <c r="N9488" s="7"/>
      <c r="P9488" s="7"/>
      <c r="R9488" s="7"/>
      <c r="T9488" s="7"/>
      <c r="V9488" s="7"/>
      <c r="X9488" s="7"/>
    </row>
    <row r="9489" spans="2:24">
      <c r="B9489" s="7"/>
      <c r="D9489" s="7"/>
      <c r="F9489" s="7"/>
      <c r="H9489" s="7"/>
      <c r="J9489" s="7"/>
      <c r="L9489" s="7"/>
      <c r="N9489" s="7"/>
      <c r="P9489" s="7"/>
      <c r="R9489" s="7"/>
      <c r="T9489" s="7"/>
      <c r="V9489" s="7"/>
      <c r="X9489" s="7"/>
    </row>
    <row r="9490" spans="2:24">
      <c r="B9490" s="7"/>
      <c r="D9490" s="7"/>
      <c r="F9490" s="7"/>
      <c r="H9490" s="7"/>
      <c r="J9490" s="7"/>
      <c r="L9490" s="7"/>
      <c r="N9490" s="7"/>
      <c r="P9490" s="7"/>
      <c r="R9490" s="7"/>
      <c r="T9490" s="7"/>
      <c r="V9490" s="7"/>
      <c r="X9490" s="7"/>
    </row>
    <row r="9491" spans="2:24">
      <c r="B9491" s="7"/>
      <c r="D9491" s="7"/>
      <c r="F9491" s="7"/>
      <c r="H9491" s="7"/>
      <c r="J9491" s="7"/>
      <c r="L9491" s="7"/>
      <c r="N9491" s="7"/>
      <c r="P9491" s="7"/>
      <c r="R9491" s="7"/>
      <c r="T9491" s="7"/>
      <c r="V9491" s="7"/>
      <c r="X9491" s="7"/>
    </row>
    <row r="9492" spans="2:24">
      <c r="B9492" s="7"/>
      <c r="D9492" s="7"/>
      <c r="F9492" s="7"/>
      <c r="H9492" s="7"/>
      <c r="J9492" s="7"/>
      <c r="L9492" s="7"/>
      <c r="N9492" s="7"/>
      <c r="P9492" s="7"/>
      <c r="R9492" s="7"/>
      <c r="T9492" s="7"/>
      <c r="V9492" s="7"/>
      <c r="X9492" s="7"/>
    </row>
    <row r="9493" spans="2:24">
      <c r="B9493" s="7"/>
      <c r="D9493" s="7"/>
      <c r="F9493" s="7"/>
      <c r="H9493" s="7"/>
      <c r="J9493" s="7"/>
      <c r="L9493" s="7"/>
      <c r="N9493" s="7"/>
      <c r="P9493" s="7"/>
      <c r="R9493" s="7"/>
      <c r="T9493" s="7"/>
      <c r="V9493" s="7"/>
      <c r="X9493" s="7"/>
    </row>
    <row r="9494" spans="2:24">
      <c r="B9494" s="7"/>
      <c r="D9494" s="7"/>
      <c r="F9494" s="7"/>
      <c r="H9494" s="7"/>
      <c r="J9494" s="7"/>
      <c r="L9494" s="7"/>
      <c r="N9494" s="7"/>
      <c r="P9494" s="7"/>
      <c r="R9494" s="7"/>
      <c r="T9494" s="7"/>
      <c r="V9494" s="7"/>
      <c r="X9494" s="7"/>
    </row>
    <row r="9495" spans="2:24">
      <c r="B9495" s="7"/>
      <c r="D9495" s="7"/>
      <c r="F9495" s="7"/>
      <c r="H9495" s="7"/>
      <c r="J9495" s="7"/>
      <c r="L9495" s="7"/>
      <c r="N9495" s="7"/>
      <c r="P9495" s="7"/>
      <c r="R9495" s="7"/>
      <c r="T9495" s="7"/>
      <c r="V9495" s="7"/>
      <c r="X9495" s="7"/>
    </row>
    <row r="9496" spans="2:24">
      <c r="B9496" s="7"/>
      <c r="D9496" s="7"/>
      <c r="F9496" s="7"/>
      <c r="H9496" s="7"/>
      <c r="J9496" s="7"/>
      <c r="L9496" s="7"/>
      <c r="N9496" s="7"/>
      <c r="P9496" s="7"/>
      <c r="R9496" s="7"/>
      <c r="T9496" s="7"/>
      <c r="V9496" s="7"/>
      <c r="X9496" s="7"/>
    </row>
    <row r="9497" spans="2:24">
      <c r="B9497" s="7"/>
      <c r="D9497" s="7"/>
      <c r="F9497" s="7"/>
      <c r="H9497" s="7"/>
      <c r="J9497" s="7"/>
      <c r="L9497" s="7"/>
      <c r="N9497" s="7"/>
      <c r="P9497" s="7"/>
      <c r="R9497" s="7"/>
      <c r="T9497" s="7"/>
      <c r="V9497" s="7"/>
      <c r="X9497" s="7"/>
    </row>
    <row r="9498" spans="2:24">
      <c r="B9498" s="7"/>
      <c r="D9498" s="7"/>
      <c r="F9498" s="7"/>
      <c r="H9498" s="7"/>
      <c r="J9498" s="7"/>
      <c r="L9498" s="7"/>
      <c r="N9498" s="7"/>
      <c r="P9498" s="7"/>
      <c r="R9498" s="7"/>
      <c r="T9498" s="7"/>
      <c r="V9498" s="7"/>
      <c r="X9498" s="7"/>
    </row>
    <row r="9499" spans="2:24">
      <c r="B9499" s="7"/>
      <c r="D9499" s="7"/>
      <c r="F9499" s="7"/>
      <c r="H9499" s="7"/>
      <c r="J9499" s="7"/>
      <c r="L9499" s="7"/>
      <c r="N9499" s="7"/>
      <c r="P9499" s="7"/>
      <c r="R9499" s="7"/>
      <c r="T9499" s="7"/>
      <c r="V9499" s="7"/>
      <c r="X9499" s="7"/>
    </row>
    <row r="9500" spans="2:24">
      <c r="B9500" s="7"/>
      <c r="D9500" s="7"/>
      <c r="F9500" s="7"/>
      <c r="H9500" s="7"/>
      <c r="J9500" s="7"/>
      <c r="L9500" s="7"/>
      <c r="N9500" s="7"/>
      <c r="P9500" s="7"/>
      <c r="R9500" s="7"/>
      <c r="T9500" s="7"/>
      <c r="V9500" s="7"/>
      <c r="X9500" s="7"/>
    </row>
    <row r="9501" spans="2:24">
      <c r="B9501" s="7"/>
      <c r="D9501" s="7"/>
      <c r="F9501" s="7"/>
      <c r="H9501" s="7"/>
      <c r="J9501" s="7"/>
      <c r="L9501" s="7"/>
      <c r="N9501" s="7"/>
      <c r="P9501" s="7"/>
      <c r="R9501" s="7"/>
      <c r="T9501" s="7"/>
      <c r="V9501" s="7"/>
      <c r="X9501" s="7"/>
    </row>
    <row r="9502" spans="2:24">
      <c r="B9502" s="7"/>
      <c r="D9502" s="7"/>
      <c r="F9502" s="7"/>
      <c r="H9502" s="7"/>
      <c r="J9502" s="7"/>
      <c r="L9502" s="7"/>
      <c r="N9502" s="7"/>
      <c r="P9502" s="7"/>
      <c r="R9502" s="7"/>
      <c r="T9502" s="7"/>
      <c r="V9502" s="7"/>
      <c r="X9502" s="7"/>
    </row>
    <row r="9503" spans="2:24">
      <c r="B9503" s="7"/>
      <c r="D9503" s="7"/>
      <c r="F9503" s="7"/>
      <c r="H9503" s="7"/>
      <c r="J9503" s="7"/>
      <c r="L9503" s="7"/>
      <c r="N9503" s="7"/>
      <c r="P9503" s="7"/>
      <c r="R9503" s="7"/>
      <c r="T9503" s="7"/>
      <c r="V9503" s="7"/>
      <c r="X9503" s="7"/>
    </row>
    <row r="9504" spans="2:24">
      <c r="B9504" s="7"/>
      <c r="D9504" s="7"/>
      <c r="F9504" s="7"/>
      <c r="H9504" s="7"/>
      <c r="J9504" s="7"/>
      <c r="L9504" s="7"/>
      <c r="N9504" s="7"/>
      <c r="P9504" s="7"/>
      <c r="R9504" s="7"/>
      <c r="T9504" s="7"/>
      <c r="V9504" s="7"/>
      <c r="X9504" s="7"/>
    </row>
    <row r="9505" spans="2:24">
      <c r="B9505" s="7"/>
      <c r="D9505" s="7"/>
      <c r="F9505" s="7"/>
      <c r="H9505" s="7"/>
      <c r="J9505" s="7"/>
      <c r="L9505" s="7"/>
      <c r="N9505" s="7"/>
      <c r="P9505" s="7"/>
      <c r="R9505" s="7"/>
      <c r="T9505" s="7"/>
      <c r="V9505" s="7"/>
      <c r="X9505" s="7"/>
    </row>
    <row r="9506" spans="2:24">
      <c r="B9506" s="7"/>
      <c r="D9506" s="7"/>
      <c r="F9506" s="7"/>
      <c r="H9506" s="7"/>
      <c r="J9506" s="7"/>
      <c r="L9506" s="7"/>
      <c r="N9506" s="7"/>
      <c r="P9506" s="7"/>
      <c r="R9506" s="7"/>
      <c r="T9506" s="7"/>
      <c r="V9506" s="7"/>
      <c r="X9506" s="7"/>
    </row>
    <row r="9507" spans="2:24">
      <c r="B9507" s="7"/>
      <c r="D9507" s="7"/>
      <c r="F9507" s="7"/>
      <c r="H9507" s="7"/>
      <c r="J9507" s="7"/>
      <c r="L9507" s="7"/>
      <c r="N9507" s="7"/>
      <c r="P9507" s="7"/>
      <c r="R9507" s="7"/>
      <c r="T9507" s="7"/>
      <c r="V9507" s="7"/>
      <c r="X9507" s="7"/>
    </row>
    <row r="9508" spans="2:24">
      <c r="B9508" s="7"/>
      <c r="D9508" s="7"/>
      <c r="F9508" s="7"/>
      <c r="H9508" s="7"/>
      <c r="J9508" s="7"/>
      <c r="L9508" s="7"/>
      <c r="N9508" s="7"/>
      <c r="P9508" s="7"/>
      <c r="R9508" s="7"/>
      <c r="T9508" s="7"/>
      <c r="V9508" s="7"/>
      <c r="X9508" s="7"/>
    </row>
    <row r="9509" spans="2:24">
      <c r="B9509" s="7"/>
      <c r="D9509" s="7"/>
      <c r="F9509" s="7"/>
      <c r="H9509" s="7"/>
      <c r="J9509" s="7"/>
      <c r="L9509" s="7"/>
      <c r="N9509" s="7"/>
      <c r="P9509" s="7"/>
      <c r="R9509" s="7"/>
      <c r="T9509" s="7"/>
      <c r="V9509" s="7"/>
      <c r="X9509" s="7"/>
    </row>
    <row r="9510" spans="2:24">
      <c r="B9510" s="7"/>
      <c r="D9510" s="7"/>
      <c r="F9510" s="7"/>
      <c r="H9510" s="7"/>
      <c r="J9510" s="7"/>
      <c r="L9510" s="7"/>
      <c r="N9510" s="7"/>
      <c r="P9510" s="7"/>
      <c r="R9510" s="7"/>
      <c r="T9510" s="7"/>
      <c r="V9510" s="7"/>
      <c r="X9510" s="7"/>
    </row>
    <row r="9511" spans="2:24">
      <c r="B9511" s="7"/>
      <c r="D9511" s="7"/>
      <c r="F9511" s="7"/>
      <c r="H9511" s="7"/>
      <c r="J9511" s="7"/>
      <c r="L9511" s="7"/>
      <c r="N9511" s="7"/>
      <c r="P9511" s="7"/>
      <c r="R9511" s="7"/>
      <c r="T9511" s="7"/>
      <c r="V9511" s="7"/>
      <c r="X9511" s="7"/>
    </row>
    <row r="9512" spans="2:24">
      <c r="B9512" s="7"/>
      <c r="D9512" s="7"/>
      <c r="F9512" s="7"/>
      <c r="H9512" s="7"/>
      <c r="J9512" s="7"/>
      <c r="L9512" s="7"/>
      <c r="N9512" s="7"/>
      <c r="P9512" s="7"/>
      <c r="R9512" s="7"/>
      <c r="T9512" s="7"/>
      <c r="V9512" s="7"/>
      <c r="X9512" s="7"/>
    </row>
    <row r="9513" spans="2:24">
      <c r="B9513" s="7"/>
      <c r="D9513" s="7"/>
      <c r="F9513" s="7"/>
      <c r="H9513" s="7"/>
      <c r="J9513" s="7"/>
      <c r="L9513" s="7"/>
      <c r="N9513" s="7"/>
      <c r="P9513" s="7"/>
      <c r="R9513" s="7"/>
      <c r="T9513" s="7"/>
      <c r="V9513" s="7"/>
      <c r="X9513" s="7"/>
    </row>
    <row r="9514" spans="2:24">
      <c r="B9514" s="7"/>
      <c r="D9514" s="7"/>
      <c r="F9514" s="7"/>
      <c r="H9514" s="7"/>
      <c r="J9514" s="7"/>
      <c r="L9514" s="7"/>
      <c r="N9514" s="7"/>
      <c r="P9514" s="7"/>
      <c r="R9514" s="7"/>
      <c r="T9514" s="7"/>
      <c r="V9514" s="7"/>
      <c r="X9514" s="7"/>
    </row>
    <row r="9515" spans="2:24">
      <c r="B9515" s="7"/>
      <c r="D9515" s="7"/>
      <c r="F9515" s="7"/>
      <c r="H9515" s="7"/>
      <c r="J9515" s="7"/>
      <c r="L9515" s="7"/>
      <c r="N9515" s="7"/>
      <c r="P9515" s="7"/>
      <c r="R9515" s="7"/>
      <c r="T9515" s="7"/>
      <c r="V9515" s="7"/>
      <c r="X9515" s="7"/>
    </row>
    <row r="9516" spans="2:24">
      <c r="B9516" s="7"/>
      <c r="D9516" s="7"/>
      <c r="F9516" s="7"/>
      <c r="H9516" s="7"/>
      <c r="J9516" s="7"/>
      <c r="L9516" s="7"/>
      <c r="N9516" s="7"/>
      <c r="P9516" s="7"/>
      <c r="R9516" s="7"/>
      <c r="T9516" s="7"/>
      <c r="V9516" s="7"/>
      <c r="X9516" s="7"/>
    </row>
    <row r="9517" spans="2:24">
      <c r="B9517" s="7"/>
      <c r="D9517" s="7"/>
      <c r="F9517" s="7"/>
      <c r="H9517" s="7"/>
      <c r="J9517" s="7"/>
      <c r="L9517" s="7"/>
      <c r="N9517" s="7"/>
      <c r="P9517" s="7"/>
      <c r="R9517" s="7"/>
      <c r="T9517" s="7"/>
      <c r="V9517" s="7"/>
      <c r="X9517" s="7"/>
    </row>
    <row r="9518" spans="2:24">
      <c r="B9518" s="7"/>
      <c r="D9518" s="7"/>
      <c r="F9518" s="7"/>
      <c r="H9518" s="7"/>
      <c r="J9518" s="7"/>
      <c r="L9518" s="7"/>
      <c r="N9518" s="7"/>
      <c r="P9518" s="7"/>
      <c r="R9518" s="7"/>
      <c r="T9518" s="7"/>
      <c r="V9518" s="7"/>
      <c r="X9518" s="7"/>
    </row>
    <row r="9519" spans="2:24">
      <c r="B9519" s="7"/>
      <c r="D9519" s="7"/>
      <c r="F9519" s="7"/>
      <c r="H9519" s="7"/>
      <c r="J9519" s="7"/>
      <c r="L9519" s="7"/>
      <c r="N9519" s="7"/>
      <c r="P9519" s="7"/>
      <c r="R9519" s="7"/>
      <c r="T9519" s="7"/>
      <c r="V9519" s="7"/>
      <c r="X9519" s="7"/>
    </row>
    <row r="9520" spans="2:24">
      <c r="B9520" s="7"/>
      <c r="D9520" s="7"/>
      <c r="F9520" s="7"/>
      <c r="H9520" s="7"/>
      <c r="J9520" s="7"/>
      <c r="L9520" s="7"/>
      <c r="N9520" s="7"/>
      <c r="P9520" s="7"/>
      <c r="R9520" s="7"/>
      <c r="T9520" s="7"/>
      <c r="V9520" s="7"/>
      <c r="X9520" s="7"/>
    </row>
    <row r="9521" spans="2:24">
      <c r="B9521" s="7"/>
      <c r="D9521" s="7"/>
      <c r="F9521" s="7"/>
      <c r="H9521" s="7"/>
      <c r="J9521" s="7"/>
      <c r="L9521" s="7"/>
      <c r="N9521" s="7"/>
      <c r="P9521" s="7"/>
      <c r="R9521" s="7"/>
      <c r="T9521" s="7"/>
      <c r="V9521" s="7"/>
      <c r="X9521" s="7"/>
    </row>
    <row r="9522" spans="2:24">
      <c r="B9522" s="7"/>
      <c r="D9522" s="7"/>
      <c r="F9522" s="7"/>
      <c r="H9522" s="7"/>
      <c r="J9522" s="7"/>
      <c r="L9522" s="7"/>
      <c r="N9522" s="7"/>
      <c r="P9522" s="7"/>
      <c r="R9522" s="7"/>
      <c r="T9522" s="7"/>
      <c r="V9522" s="7"/>
      <c r="X9522" s="7"/>
    </row>
    <row r="9523" spans="2:24">
      <c r="B9523" s="7"/>
      <c r="D9523" s="7"/>
      <c r="F9523" s="7"/>
      <c r="H9523" s="7"/>
      <c r="J9523" s="7"/>
      <c r="L9523" s="7"/>
      <c r="N9523" s="7"/>
      <c r="P9523" s="7"/>
      <c r="R9523" s="7"/>
      <c r="T9523" s="7"/>
      <c r="V9523" s="7"/>
      <c r="X9523" s="7"/>
    </row>
    <row r="9524" spans="2:24">
      <c r="B9524" s="7"/>
      <c r="D9524" s="7"/>
      <c r="F9524" s="7"/>
      <c r="H9524" s="7"/>
      <c r="J9524" s="7"/>
      <c r="L9524" s="7"/>
      <c r="N9524" s="7"/>
      <c r="P9524" s="7"/>
      <c r="R9524" s="7"/>
      <c r="T9524" s="7"/>
      <c r="V9524" s="7"/>
      <c r="X9524" s="7"/>
    </row>
    <row r="9525" spans="2:24">
      <c r="B9525" s="7"/>
      <c r="D9525" s="7"/>
      <c r="F9525" s="7"/>
      <c r="H9525" s="7"/>
      <c r="J9525" s="7"/>
      <c r="L9525" s="7"/>
      <c r="N9525" s="7"/>
      <c r="P9525" s="7"/>
      <c r="R9525" s="7"/>
      <c r="T9525" s="7"/>
      <c r="V9525" s="7"/>
      <c r="X9525" s="7"/>
    </row>
    <row r="9526" spans="2:24">
      <c r="B9526" s="7"/>
      <c r="D9526" s="7"/>
      <c r="F9526" s="7"/>
      <c r="H9526" s="7"/>
      <c r="J9526" s="7"/>
      <c r="L9526" s="7"/>
      <c r="N9526" s="7"/>
      <c r="P9526" s="7"/>
      <c r="R9526" s="7"/>
      <c r="T9526" s="7"/>
      <c r="V9526" s="7"/>
      <c r="X9526" s="7"/>
    </row>
    <row r="9527" spans="2:24">
      <c r="B9527" s="7"/>
      <c r="D9527" s="7"/>
      <c r="F9527" s="7"/>
      <c r="H9527" s="7"/>
      <c r="J9527" s="7"/>
      <c r="L9527" s="7"/>
      <c r="N9527" s="7"/>
      <c r="P9527" s="7"/>
      <c r="R9527" s="7"/>
      <c r="T9527" s="7"/>
      <c r="V9527" s="7"/>
      <c r="X9527" s="7"/>
    </row>
    <row r="9528" spans="2:24">
      <c r="B9528" s="7"/>
      <c r="D9528" s="7"/>
      <c r="F9528" s="7"/>
      <c r="H9528" s="7"/>
      <c r="J9528" s="7"/>
      <c r="L9528" s="7"/>
      <c r="N9528" s="7"/>
      <c r="P9528" s="7"/>
      <c r="R9528" s="7"/>
      <c r="T9528" s="7"/>
      <c r="V9528" s="7"/>
      <c r="X9528" s="7"/>
    </row>
    <row r="9529" spans="2:24">
      <c r="B9529" s="7"/>
      <c r="D9529" s="7"/>
      <c r="F9529" s="7"/>
      <c r="H9529" s="7"/>
      <c r="J9529" s="7"/>
      <c r="L9529" s="7"/>
      <c r="N9529" s="7"/>
      <c r="P9529" s="7"/>
      <c r="R9529" s="7"/>
      <c r="T9529" s="7"/>
      <c r="V9529" s="7"/>
      <c r="X9529" s="7"/>
    </row>
    <row r="9530" spans="2:24">
      <c r="B9530" s="7"/>
      <c r="D9530" s="7"/>
      <c r="F9530" s="7"/>
      <c r="H9530" s="7"/>
      <c r="J9530" s="7"/>
      <c r="L9530" s="7"/>
      <c r="N9530" s="7"/>
      <c r="P9530" s="7"/>
      <c r="R9530" s="7"/>
      <c r="T9530" s="7"/>
      <c r="V9530" s="7"/>
      <c r="X9530" s="7"/>
    </row>
    <row r="9531" spans="2:24">
      <c r="B9531" s="7"/>
      <c r="D9531" s="7"/>
      <c r="F9531" s="7"/>
      <c r="H9531" s="7"/>
      <c r="J9531" s="7"/>
      <c r="L9531" s="7"/>
      <c r="N9531" s="7"/>
      <c r="P9531" s="7"/>
      <c r="R9531" s="7"/>
      <c r="T9531" s="7"/>
      <c r="V9531" s="7"/>
      <c r="X9531" s="7"/>
    </row>
    <row r="9532" spans="2:24">
      <c r="B9532" s="7"/>
      <c r="D9532" s="7"/>
      <c r="F9532" s="7"/>
      <c r="H9532" s="7"/>
      <c r="J9532" s="7"/>
      <c r="L9532" s="7"/>
      <c r="N9532" s="7"/>
      <c r="P9532" s="7"/>
      <c r="R9532" s="7"/>
      <c r="T9532" s="7"/>
      <c r="V9532" s="7"/>
      <c r="X9532" s="7"/>
    </row>
    <row r="9533" spans="2:24">
      <c r="B9533" s="7"/>
      <c r="D9533" s="7"/>
      <c r="F9533" s="7"/>
      <c r="H9533" s="7"/>
      <c r="J9533" s="7"/>
      <c r="L9533" s="7"/>
      <c r="N9533" s="7"/>
      <c r="P9533" s="7"/>
      <c r="R9533" s="7"/>
      <c r="T9533" s="7"/>
      <c r="V9533" s="7"/>
      <c r="X9533" s="7"/>
    </row>
    <row r="9534" spans="2:24">
      <c r="B9534" s="7"/>
      <c r="D9534" s="7"/>
      <c r="F9534" s="7"/>
      <c r="H9534" s="7"/>
      <c r="J9534" s="7"/>
      <c r="L9534" s="7"/>
      <c r="N9534" s="7"/>
      <c r="P9534" s="7"/>
      <c r="R9534" s="7"/>
      <c r="T9534" s="7"/>
      <c r="V9534" s="7"/>
      <c r="X9534" s="7"/>
    </row>
    <row r="9535" spans="2:24">
      <c r="B9535" s="7"/>
      <c r="D9535" s="7"/>
      <c r="F9535" s="7"/>
      <c r="H9535" s="7"/>
      <c r="J9535" s="7"/>
      <c r="L9535" s="7"/>
      <c r="N9535" s="7"/>
      <c r="P9535" s="7"/>
      <c r="R9535" s="7"/>
      <c r="T9535" s="7"/>
      <c r="V9535" s="7"/>
      <c r="X9535" s="7"/>
    </row>
    <row r="9536" spans="2:24">
      <c r="B9536" s="7"/>
      <c r="D9536" s="7"/>
      <c r="F9536" s="7"/>
      <c r="H9536" s="7"/>
      <c r="J9536" s="7"/>
      <c r="L9536" s="7"/>
      <c r="N9536" s="7"/>
      <c r="P9536" s="7"/>
      <c r="R9536" s="7"/>
      <c r="T9536" s="7"/>
      <c r="V9536" s="7"/>
      <c r="X9536" s="7"/>
    </row>
    <row r="9537" spans="2:24">
      <c r="B9537" s="7"/>
      <c r="D9537" s="7"/>
      <c r="F9537" s="7"/>
      <c r="H9537" s="7"/>
      <c r="J9537" s="7"/>
      <c r="L9537" s="7"/>
      <c r="N9537" s="7"/>
      <c r="P9537" s="7"/>
      <c r="R9537" s="7"/>
      <c r="T9537" s="7"/>
      <c r="V9537" s="7"/>
      <c r="X9537" s="7"/>
    </row>
    <row r="9538" spans="2:24">
      <c r="B9538" s="7"/>
      <c r="D9538" s="7"/>
      <c r="F9538" s="7"/>
      <c r="H9538" s="7"/>
      <c r="J9538" s="7"/>
      <c r="L9538" s="7"/>
      <c r="N9538" s="7"/>
      <c r="P9538" s="7"/>
      <c r="R9538" s="7"/>
      <c r="T9538" s="7"/>
      <c r="V9538" s="7"/>
      <c r="X9538" s="7"/>
    </row>
    <row r="9539" spans="2:24">
      <c r="B9539" s="7"/>
      <c r="D9539" s="7"/>
      <c r="F9539" s="7"/>
      <c r="H9539" s="7"/>
      <c r="J9539" s="7"/>
      <c r="L9539" s="7"/>
      <c r="N9539" s="7"/>
      <c r="P9539" s="7"/>
      <c r="R9539" s="7"/>
      <c r="T9539" s="7"/>
      <c r="V9539" s="7"/>
      <c r="X9539" s="7"/>
    </row>
    <row r="9540" spans="2:24">
      <c r="B9540" s="7"/>
      <c r="D9540" s="7"/>
      <c r="F9540" s="7"/>
      <c r="H9540" s="7"/>
      <c r="J9540" s="7"/>
      <c r="L9540" s="7"/>
      <c r="N9540" s="7"/>
      <c r="P9540" s="7"/>
      <c r="R9540" s="7"/>
      <c r="T9540" s="7"/>
      <c r="V9540" s="7"/>
      <c r="X9540" s="7"/>
    </row>
    <row r="9541" spans="2:24">
      <c r="B9541" s="7"/>
      <c r="D9541" s="7"/>
      <c r="F9541" s="7"/>
      <c r="H9541" s="7"/>
      <c r="J9541" s="7"/>
      <c r="L9541" s="7"/>
      <c r="N9541" s="7"/>
      <c r="P9541" s="7"/>
      <c r="R9541" s="7"/>
      <c r="T9541" s="7"/>
      <c r="V9541" s="7"/>
      <c r="X9541" s="7"/>
    </row>
    <row r="9542" spans="2:24">
      <c r="B9542" s="7"/>
      <c r="D9542" s="7"/>
      <c r="F9542" s="7"/>
      <c r="H9542" s="7"/>
      <c r="J9542" s="7"/>
      <c r="L9542" s="7"/>
      <c r="N9542" s="7"/>
      <c r="P9542" s="7"/>
      <c r="R9542" s="7"/>
      <c r="T9542" s="7"/>
      <c r="V9542" s="7"/>
      <c r="X9542" s="7"/>
    </row>
    <row r="9543" spans="2:24">
      <c r="B9543" s="7"/>
      <c r="D9543" s="7"/>
      <c r="F9543" s="7"/>
      <c r="H9543" s="7"/>
      <c r="J9543" s="7"/>
      <c r="L9543" s="7"/>
      <c r="N9543" s="7"/>
      <c r="P9543" s="7"/>
      <c r="R9543" s="7"/>
      <c r="T9543" s="7"/>
      <c r="V9543" s="7"/>
      <c r="X9543" s="7"/>
    </row>
    <row r="9544" spans="2:24">
      <c r="B9544" s="7"/>
      <c r="D9544" s="7"/>
      <c r="F9544" s="7"/>
      <c r="H9544" s="7"/>
      <c r="J9544" s="7"/>
      <c r="L9544" s="7"/>
      <c r="N9544" s="7"/>
      <c r="P9544" s="7"/>
      <c r="R9544" s="7"/>
      <c r="T9544" s="7"/>
      <c r="V9544" s="7"/>
      <c r="X9544" s="7"/>
    </row>
    <row r="9545" spans="2:24">
      <c r="B9545" s="7"/>
      <c r="D9545" s="7"/>
      <c r="F9545" s="7"/>
      <c r="H9545" s="7"/>
      <c r="J9545" s="7"/>
      <c r="L9545" s="7"/>
      <c r="N9545" s="7"/>
      <c r="P9545" s="7"/>
      <c r="R9545" s="7"/>
      <c r="T9545" s="7"/>
      <c r="V9545" s="7"/>
      <c r="X9545" s="7"/>
    </row>
    <row r="9546" spans="2:24">
      <c r="B9546" s="7"/>
      <c r="D9546" s="7"/>
      <c r="F9546" s="7"/>
      <c r="H9546" s="7"/>
      <c r="J9546" s="7"/>
      <c r="L9546" s="7"/>
      <c r="N9546" s="7"/>
      <c r="P9546" s="7"/>
      <c r="R9546" s="7"/>
      <c r="T9546" s="7"/>
      <c r="V9546" s="7"/>
      <c r="X9546" s="7"/>
    </row>
    <row r="9547" spans="2:24">
      <c r="B9547" s="7"/>
      <c r="D9547" s="7"/>
      <c r="F9547" s="7"/>
      <c r="H9547" s="7"/>
      <c r="J9547" s="7"/>
      <c r="L9547" s="7"/>
      <c r="N9547" s="7"/>
      <c r="P9547" s="7"/>
      <c r="R9547" s="7"/>
      <c r="T9547" s="7"/>
      <c r="V9547" s="7"/>
      <c r="X9547" s="7"/>
    </row>
    <row r="9548" spans="2:24">
      <c r="B9548" s="7"/>
      <c r="D9548" s="7"/>
      <c r="F9548" s="7"/>
      <c r="H9548" s="7"/>
      <c r="J9548" s="7"/>
      <c r="L9548" s="7"/>
      <c r="N9548" s="7"/>
      <c r="P9548" s="7"/>
      <c r="R9548" s="7"/>
      <c r="T9548" s="7"/>
      <c r="V9548" s="7"/>
      <c r="X9548" s="7"/>
    </row>
    <row r="9549" spans="2:24">
      <c r="B9549" s="7"/>
      <c r="D9549" s="7"/>
      <c r="F9549" s="7"/>
      <c r="H9549" s="7"/>
      <c r="J9549" s="7"/>
      <c r="L9549" s="7"/>
      <c r="N9549" s="7"/>
      <c r="P9549" s="7"/>
      <c r="R9549" s="7"/>
      <c r="T9549" s="7"/>
      <c r="V9549" s="7"/>
      <c r="X9549" s="7"/>
    </row>
    <row r="9550" spans="2:24">
      <c r="B9550" s="7"/>
      <c r="D9550" s="7"/>
      <c r="F9550" s="7"/>
      <c r="H9550" s="7"/>
      <c r="J9550" s="7"/>
      <c r="L9550" s="7"/>
      <c r="N9550" s="7"/>
      <c r="P9550" s="7"/>
      <c r="R9550" s="7"/>
      <c r="T9550" s="7"/>
      <c r="V9550" s="7"/>
      <c r="X9550" s="7"/>
    </row>
    <row r="9551" spans="2:24">
      <c r="B9551" s="7"/>
      <c r="D9551" s="7"/>
      <c r="F9551" s="7"/>
      <c r="H9551" s="7"/>
      <c r="J9551" s="7"/>
      <c r="L9551" s="7"/>
      <c r="N9551" s="7"/>
      <c r="P9551" s="7"/>
      <c r="R9551" s="7"/>
      <c r="T9551" s="7"/>
      <c r="V9551" s="7"/>
      <c r="X9551" s="7"/>
    </row>
    <row r="9552" spans="2:24">
      <c r="B9552" s="7"/>
      <c r="D9552" s="7"/>
      <c r="F9552" s="7"/>
      <c r="H9552" s="7"/>
      <c r="J9552" s="7"/>
      <c r="L9552" s="7"/>
      <c r="N9552" s="7"/>
      <c r="P9552" s="7"/>
      <c r="R9552" s="7"/>
      <c r="T9552" s="7"/>
      <c r="V9552" s="7"/>
      <c r="X9552" s="7"/>
    </row>
    <row r="9553" spans="2:24">
      <c r="B9553" s="7"/>
      <c r="D9553" s="7"/>
      <c r="F9553" s="7"/>
      <c r="H9553" s="7"/>
      <c r="J9553" s="7"/>
      <c r="L9553" s="7"/>
      <c r="N9553" s="7"/>
      <c r="P9553" s="7"/>
      <c r="R9553" s="7"/>
      <c r="T9553" s="7"/>
      <c r="V9553" s="7"/>
      <c r="X9553" s="7"/>
    </row>
    <row r="9554" spans="2:24">
      <c r="B9554" s="7"/>
      <c r="D9554" s="7"/>
      <c r="F9554" s="7"/>
      <c r="H9554" s="7"/>
      <c r="J9554" s="7"/>
      <c r="L9554" s="7"/>
      <c r="N9554" s="7"/>
      <c r="P9554" s="7"/>
      <c r="R9554" s="7"/>
      <c r="T9554" s="7"/>
      <c r="V9554" s="7"/>
      <c r="X9554" s="7"/>
    </row>
    <row r="9555" spans="2:24">
      <c r="B9555" s="7"/>
      <c r="D9555" s="7"/>
      <c r="F9555" s="7"/>
      <c r="H9555" s="7"/>
      <c r="J9555" s="7"/>
      <c r="L9555" s="7"/>
      <c r="N9555" s="7"/>
      <c r="P9555" s="7"/>
      <c r="R9555" s="7"/>
      <c r="T9555" s="7"/>
      <c r="V9555" s="7"/>
      <c r="X9555" s="7"/>
    </row>
    <row r="9556" spans="2:24">
      <c r="B9556" s="7"/>
      <c r="D9556" s="7"/>
      <c r="F9556" s="7"/>
      <c r="H9556" s="7"/>
      <c r="J9556" s="7"/>
      <c r="L9556" s="7"/>
      <c r="N9556" s="7"/>
      <c r="P9556" s="7"/>
      <c r="R9556" s="7"/>
      <c r="T9556" s="7"/>
      <c r="V9556" s="7"/>
      <c r="X9556" s="7"/>
    </row>
    <row r="9557" spans="2:24">
      <c r="B9557" s="7"/>
      <c r="D9557" s="7"/>
      <c r="F9557" s="7"/>
      <c r="H9557" s="7"/>
      <c r="J9557" s="7"/>
      <c r="L9557" s="7"/>
      <c r="N9557" s="7"/>
      <c r="P9557" s="7"/>
      <c r="R9557" s="7"/>
      <c r="T9557" s="7"/>
      <c r="V9557" s="7"/>
      <c r="X9557" s="7"/>
    </row>
    <row r="9558" spans="2:24">
      <c r="B9558" s="7"/>
      <c r="D9558" s="7"/>
      <c r="F9558" s="7"/>
      <c r="H9558" s="7"/>
      <c r="J9558" s="7"/>
      <c r="L9558" s="7"/>
      <c r="N9558" s="7"/>
      <c r="P9558" s="7"/>
      <c r="R9558" s="7"/>
      <c r="T9558" s="7"/>
      <c r="V9558" s="7"/>
      <c r="X9558" s="7"/>
    </row>
    <row r="9559" spans="2:24">
      <c r="B9559" s="7"/>
      <c r="D9559" s="7"/>
      <c r="F9559" s="7"/>
      <c r="H9559" s="7"/>
      <c r="J9559" s="7"/>
      <c r="L9559" s="7"/>
      <c r="N9559" s="7"/>
      <c r="P9559" s="7"/>
      <c r="R9559" s="7"/>
      <c r="T9559" s="7"/>
      <c r="V9559" s="7"/>
      <c r="X9559" s="7"/>
    </row>
    <row r="9560" spans="2:24">
      <c r="B9560" s="7"/>
      <c r="D9560" s="7"/>
      <c r="F9560" s="7"/>
      <c r="H9560" s="7"/>
      <c r="J9560" s="7"/>
      <c r="L9560" s="7"/>
      <c r="N9560" s="7"/>
      <c r="P9560" s="7"/>
      <c r="R9560" s="7"/>
      <c r="T9560" s="7"/>
      <c r="V9560" s="7"/>
      <c r="X9560" s="7"/>
    </row>
    <row r="9561" spans="2:24">
      <c r="B9561" s="7"/>
      <c r="D9561" s="7"/>
      <c r="F9561" s="7"/>
      <c r="H9561" s="7"/>
      <c r="J9561" s="7"/>
      <c r="L9561" s="7"/>
      <c r="N9561" s="7"/>
      <c r="P9561" s="7"/>
      <c r="R9561" s="7"/>
      <c r="T9561" s="7"/>
      <c r="V9561" s="7"/>
      <c r="X9561" s="7"/>
    </row>
    <row r="9562" spans="2:24">
      <c r="B9562" s="7"/>
      <c r="D9562" s="7"/>
      <c r="F9562" s="7"/>
      <c r="H9562" s="7"/>
      <c r="J9562" s="7"/>
      <c r="L9562" s="7"/>
      <c r="N9562" s="7"/>
      <c r="P9562" s="7"/>
      <c r="R9562" s="7"/>
      <c r="T9562" s="7"/>
      <c r="V9562" s="7"/>
      <c r="X9562" s="7"/>
    </row>
    <row r="9563" spans="2:24">
      <c r="B9563" s="7"/>
      <c r="D9563" s="7"/>
      <c r="F9563" s="7"/>
      <c r="H9563" s="7"/>
      <c r="J9563" s="7"/>
      <c r="L9563" s="7"/>
      <c r="N9563" s="7"/>
      <c r="P9563" s="7"/>
      <c r="R9563" s="7"/>
      <c r="T9563" s="7"/>
      <c r="V9563" s="7"/>
      <c r="X9563" s="7"/>
    </row>
    <row r="9564" spans="2:24">
      <c r="B9564" s="7"/>
      <c r="D9564" s="7"/>
      <c r="F9564" s="7"/>
      <c r="H9564" s="7"/>
      <c r="J9564" s="7"/>
      <c r="L9564" s="7"/>
      <c r="N9564" s="7"/>
      <c r="P9564" s="7"/>
      <c r="R9564" s="7"/>
      <c r="T9564" s="7"/>
      <c r="V9564" s="7"/>
      <c r="X9564" s="7"/>
    </row>
    <row r="9565" spans="2:24">
      <c r="B9565" s="7"/>
      <c r="D9565" s="7"/>
      <c r="F9565" s="7"/>
      <c r="H9565" s="7"/>
      <c r="J9565" s="7"/>
      <c r="L9565" s="7"/>
      <c r="N9565" s="7"/>
      <c r="P9565" s="7"/>
      <c r="R9565" s="7"/>
      <c r="T9565" s="7"/>
      <c r="V9565" s="7"/>
      <c r="X9565" s="7"/>
    </row>
    <row r="9566" spans="2:24">
      <c r="B9566" s="7"/>
      <c r="D9566" s="7"/>
      <c r="F9566" s="7"/>
      <c r="H9566" s="7"/>
      <c r="J9566" s="7"/>
      <c r="L9566" s="7"/>
      <c r="N9566" s="7"/>
      <c r="P9566" s="7"/>
      <c r="R9566" s="7"/>
      <c r="T9566" s="7"/>
      <c r="V9566" s="7"/>
      <c r="X9566" s="7"/>
    </row>
    <row r="9567" spans="2:24">
      <c r="B9567" s="7"/>
      <c r="D9567" s="7"/>
      <c r="F9567" s="7"/>
      <c r="H9567" s="7"/>
      <c r="J9567" s="7"/>
      <c r="L9567" s="7"/>
      <c r="N9567" s="7"/>
      <c r="P9567" s="7"/>
      <c r="R9567" s="7"/>
      <c r="T9567" s="7"/>
      <c r="V9567" s="7"/>
      <c r="X9567" s="7"/>
    </row>
    <row r="9568" spans="2:24">
      <c r="B9568" s="7"/>
      <c r="D9568" s="7"/>
      <c r="F9568" s="7"/>
      <c r="H9568" s="7"/>
      <c r="J9568" s="7"/>
      <c r="L9568" s="7"/>
      <c r="N9568" s="7"/>
      <c r="P9568" s="7"/>
      <c r="R9568" s="7"/>
      <c r="T9568" s="7"/>
      <c r="V9568" s="7"/>
      <c r="X9568" s="7"/>
    </row>
    <row r="9569" spans="2:24">
      <c r="B9569" s="7"/>
      <c r="D9569" s="7"/>
      <c r="F9569" s="7"/>
      <c r="H9569" s="7"/>
      <c r="J9569" s="7"/>
      <c r="L9569" s="7"/>
      <c r="N9569" s="7"/>
      <c r="P9569" s="7"/>
      <c r="R9569" s="7"/>
      <c r="T9569" s="7"/>
      <c r="V9569" s="7"/>
      <c r="X9569" s="7"/>
    </row>
    <row r="9570" spans="2:24">
      <c r="B9570" s="7"/>
      <c r="D9570" s="7"/>
      <c r="F9570" s="7"/>
      <c r="H9570" s="7"/>
      <c r="J9570" s="7"/>
      <c r="L9570" s="7"/>
      <c r="N9570" s="7"/>
      <c r="P9570" s="7"/>
      <c r="R9570" s="7"/>
      <c r="T9570" s="7"/>
      <c r="V9570" s="7"/>
      <c r="X9570" s="7"/>
    </row>
    <row r="9571" spans="2:24">
      <c r="B9571" s="7"/>
      <c r="D9571" s="7"/>
      <c r="F9571" s="7"/>
      <c r="H9571" s="7"/>
      <c r="J9571" s="7"/>
      <c r="L9571" s="7"/>
      <c r="N9571" s="7"/>
      <c r="P9571" s="7"/>
      <c r="R9571" s="7"/>
      <c r="T9571" s="7"/>
      <c r="V9571" s="7"/>
      <c r="X9571" s="7"/>
    </row>
    <row r="9572" spans="2:24">
      <c r="B9572" s="7"/>
      <c r="D9572" s="7"/>
      <c r="F9572" s="7"/>
      <c r="H9572" s="7"/>
      <c r="J9572" s="7"/>
      <c r="L9572" s="7"/>
      <c r="N9572" s="7"/>
      <c r="P9572" s="7"/>
      <c r="R9572" s="7"/>
      <c r="T9572" s="7"/>
      <c r="V9572" s="7"/>
      <c r="X9572" s="7"/>
    </row>
    <row r="9573" spans="2:24">
      <c r="B9573" s="7"/>
      <c r="D9573" s="7"/>
      <c r="F9573" s="7"/>
      <c r="H9573" s="7"/>
      <c r="J9573" s="7"/>
      <c r="L9573" s="7"/>
      <c r="N9573" s="7"/>
      <c r="P9573" s="7"/>
      <c r="R9573" s="7"/>
      <c r="T9573" s="7"/>
      <c r="V9573" s="7"/>
      <c r="X9573" s="7"/>
    </row>
    <row r="9574" spans="2:24">
      <c r="B9574" s="7"/>
      <c r="D9574" s="7"/>
      <c r="F9574" s="7"/>
      <c r="H9574" s="7"/>
      <c r="J9574" s="7"/>
      <c r="L9574" s="7"/>
      <c r="N9574" s="7"/>
      <c r="P9574" s="7"/>
      <c r="R9574" s="7"/>
      <c r="T9574" s="7"/>
      <c r="V9574" s="7"/>
      <c r="X9574" s="7"/>
    </row>
    <row r="9575" spans="2:24">
      <c r="B9575" s="7"/>
      <c r="D9575" s="7"/>
      <c r="F9575" s="7"/>
      <c r="H9575" s="7"/>
      <c r="J9575" s="7"/>
      <c r="L9575" s="7"/>
      <c r="N9575" s="7"/>
      <c r="P9575" s="7"/>
      <c r="R9575" s="7"/>
      <c r="T9575" s="7"/>
      <c r="V9575" s="7"/>
      <c r="X9575" s="7"/>
    </row>
    <row r="9576" spans="2:24">
      <c r="B9576" s="7"/>
      <c r="D9576" s="7"/>
      <c r="F9576" s="7"/>
      <c r="H9576" s="7"/>
      <c r="J9576" s="7"/>
      <c r="L9576" s="7"/>
      <c r="N9576" s="7"/>
      <c r="P9576" s="7"/>
      <c r="R9576" s="7"/>
      <c r="T9576" s="7"/>
      <c r="V9576" s="7"/>
      <c r="X9576" s="7"/>
    </row>
    <row r="9577" spans="2:24">
      <c r="B9577" s="7"/>
      <c r="D9577" s="7"/>
      <c r="F9577" s="7"/>
      <c r="H9577" s="7"/>
      <c r="J9577" s="7"/>
      <c r="L9577" s="7"/>
      <c r="N9577" s="7"/>
      <c r="P9577" s="7"/>
      <c r="R9577" s="7"/>
      <c r="T9577" s="7"/>
      <c r="V9577" s="7"/>
      <c r="X9577" s="7"/>
    </row>
    <row r="9578" spans="2:24">
      <c r="B9578" s="7"/>
      <c r="D9578" s="7"/>
      <c r="F9578" s="7"/>
      <c r="H9578" s="7"/>
      <c r="J9578" s="7"/>
      <c r="L9578" s="7"/>
      <c r="N9578" s="7"/>
      <c r="P9578" s="7"/>
      <c r="R9578" s="7"/>
      <c r="T9578" s="7"/>
      <c r="V9578" s="7"/>
      <c r="X9578" s="7"/>
    </row>
    <row r="9579" spans="2:24">
      <c r="B9579" s="7"/>
      <c r="D9579" s="7"/>
      <c r="F9579" s="7"/>
      <c r="H9579" s="7"/>
      <c r="J9579" s="7"/>
      <c r="L9579" s="7"/>
      <c r="N9579" s="7"/>
      <c r="P9579" s="7"/>
      <c r="R9579" s="7"/>
      <c r="T9579" s="7"/>
      <c r="V9579" s="7"/>
      <c r="X9579" s="7"/>
    </row>
    <row r="9580" spans="2:24">
      <c r="B9580" s="7"/>
      <c r="D9580" s="7"/>
      <c r="F9580" s="7"/>
      <c r="H9580" s="7"/>
      <c r="J9580" s="7"/>
      <c r="L9580" s="7"/>
      <c r="N9580" s="7"/>
      <c r="P9580" s="7"/>
      <c r="R9580" s="7"/>
      <c r="T9580" s="7"/>
      <c r="V9580" s="7"/>
      <c r="X9580" s="7"/>
    </row>
    <row r="9581" spans="2:24">
      <c r="B9581" s="7"/>
      <c r="D9581" s="7"/>
      <c r="F9581" s="7"/>
      <c r="H9581" s="7"/>
      <c r="J9581" s="7"/>
      <c r="L9581" s="7"/>
      <c r="N9581" s="7"/>
      <c r="P9581" s="7"/>
      <c r="R9581" s="7"/>
      <c r="T9581" s="7"/>
      <c r="V9581" s="7"/>
      <c r="X9581" s="7"/>
    </row>
    <row r="9582" spans="2:24">
      <c r="B9582" s="7"/>
      <c r="D9582" s="7"/>
      <c r="F9582" s="7"/>
      <c r="H9582" s="7"/>
      <c r="J9582" s="7"/>
      <c r="L9582" s="7"/>
      <c r="N9582" s="7"/>
      <c r="P9582" s="7"/>
      <c r="R9582" s="7"/>
      <c r="T9582" s="7"/>
      <c r="V9582" s="7"/>
      <c r="X9582" s="7"/>
    </row>
    <row r="9583" spans="2:24">
      <c r="B9583" s="7"/>
      <c r="D9583" s="7"/>
      <c r="F9583" s="7"/>
      <c r="H9583" s="7"/>
      <c r="J9583" s="7"/>
      <c r="L9583" s="7"/>
      <c r="N9583" s="7"/>
      <c r="P9583" s="7"/>
      <c r="R9583" s="7"/>
      <c r="T9583" s="7"/>
      <c r="V9583" s="7"/>
      <c r="X9583" s="7"/>
    </row>
    <row r="9584" spans="2:24">
      <c r="B9584" s="7"/>
      <c r="D9584" s="7"/>
      <c r="F9584" s="7"/>
      <c r="H9584" s="7"/>
      <c r="J9584" s="7"/>
      <c r="L9584" s="7"/>
      <c r="N9584" s="7"/>
      <c r="P9584" s="7"/>
      <c r="R9584" s="7"/>
      <c r="T9584" s="7"/>
      <c r="V9584" s="7"/>
      <c r="X9584" s="7"/>
    </row>
    <row r="9585" spans="2:24">
      <c r="B9585" s="7"/>
      <c r="D9585" s="7"/>
      <c r="F9585" s="7"/>
      <c r="H9585" s="7"/>
      <c r="J9585" s="7"/>
      <c r="L9585" s="7"/>
      <c r="N9585" s="7"/>
      <c r="P9585" s="7"/>
      <c r="R9585" s="7"/>
      <c r="T9585" s="7"/>
      <c r="V9585" s="7"/>
      <c r="X9585" s="7"/>
    </row>
    <row r="9586" spans="2:24">
      <c r="B9586" s="7"/>
      <c r="D9586" s="7"/>
      <c r="F9586" s="7"/>
      <c r="H9586" s="7"/>
      <c r="J9586" s="7"/>
      <c r="L9586" s="7"/>
      <c r="N9586" s="7"/>
      <c r="P9586" s="7"/>
      <c r="R9586" s="7"/>
      <c r="T9586" s="7"/>
      <c r="V9586" s="7"/>
      <c r="X9586" s="7"/>
    </row>
    <row r="9587" spans="2:24">
      <c r="B9587" s="7"/>
      <c r="D9587" s="7"/>
      <c r="F9587" s="7"/>
      <c r="H9587" s="7"/>
      <c r="J9587" s="7"/>
      <c r="L9587" s="7"/>
      <c r="N9587" s="7"/>
      <c r="P9587" s="7"/>
      <c r="R9587" s="7"/>
      <c r="T9587" s="7"/>
      <c r="V9587" s="7"/>
      <c r="X9587" s="7"/>
    </row>
    <row r="9588" spans="2:24">
      <c r="B9588" s="7"/>
      <c r="D9588" s="7"/>
      <c r="F9588" s="7"/>
      <c r="H9588" s="7"/>
      <c r="J9588" s="7"/>
      <c r="L9588" s="7"/>
      <c r="N9588" s="7"/>
      <c r="P9588" s="7"/>
      <c r="R9588" s="7"/>
      <c r="T9588" s="7"/>
      <c r="V9588" s="7"/>
      <c r="X9588" s="7"/>
    </row>
    <row r="9589" spans="2:24">
      <c r="B9589" s="7"/>
      <c r="D9589" s="7"/>
      <c r="F9589" s="7"/>
      <c r="H9589" s="7"/>
      <c r="J9589" s="7"/>
      <c r="L9589" s="7"/>
      <c r="N9589" s="7"/>
      <c r="P9589" s="7"/>
      <c r="R9589" s="7"/>
      <c r="T9589" s="7"/>
      <c r="V9589" s="7"/>
      <c r="X9589" s="7"/>
    </row>
    <row r="9590" spans="2:24">
      <c r="B9590" s="7"/>
      <c r="D9590" s="7"/>
      <c r="F9590" s="7"/>
      <c r="H9590" s="7"/>
      <c r="J9590" s="7"/>
      <c r="L9590" s="7"/>
      <c r="N9590" s="7"/>
      <c r="P9590" s="7"/>
      <c r="R9590" s="7"/>
      <c r="T9590" s="7"/>
      <c r="V9590" s="7"/>
      <c r="X9590" s="7"/>
    </row>
    <row r="9591" spans="2:24">
      <c r="B9591" s="7"/>
      <c r="D9591" s="7"/>
      <c r="F9591" s="7"/>
      <c r="H9591" s="7"/>
      <c r="J9591" s="7"/>
      <c r="L9591" s="7"/>
      <c r="N9591" s="7"/>
      <c r="P9591" s="7"/>
      <c r="R9591" s="7"/>
      <c r="T9591" s="7"/>
      <c r="V9591" s="7"/>
      <c r="X9591" s="7"/>
    </row>
    <row r="9592" spans="2:24">
      <c r="B9592" s="7"/>
      <c r="D9592" s="7"/>
      <c r="F9592" s="7"/>
      <c r="H9592" s="7"/>
      <c r="J9592" s="7"/>
      <c r="L9592" s="7"/>
      <c r="N9592" s="7"/>
      <c r="P9592" s="7"/>
      <c r="R9592" s="7"/>
      <c r="T9592" s="7"/>
      <c r="V9592" s="7"/>
      <c r="X9592" s="7"/>
    </row>
    <row r="9593" spans="2:24">
      <c r="B9593" s="7"/>
      <c r="D9593" s="7"/>
      <c r="F9593" s="7"/>
      <c r="H9593" s="7"/>
      <c r="J9593" s="7"/>
      <c r="L9593" s="7"/>
      <c r="N9593" s="7"/>
      <c r="P9593" s="7"/>
      <c r="R9593" s="7"/>
      <c r="T9593" s="7"/>
      <c r="V9593" s="7"/>
      <c r="X9593" s="7"/>
    </row>
    <row r="9594" spans="2:24">
      <c r="B9594" s="7"/>
      <c r="D9594" s="7"/>
      <c r="F9594" s="7"/>
      <c r="H9594" s="7"/>
      <c r="J9594" s="7"/>
      <c r="L9594" s="7"/>
      <c r="N9594" s="7"/>
      <c r="P9594" s="7"/>
      <c r="R9594" s="7"/>
      <c r="T9594" s="7"/>
      <c r="V9594" s="7"/>
      <c r="X9594" s="7"/>
    </row>
    <row r="9595" spans="2:24">
      <c r="B9595" s="7"/>
      <c r="D9595" s="7"/>
      <c r="F9595" s="7"/>
      <c r="H9595" s="7"/>
      <c r="J9595" s="7"/>
      <c r="L9595" s="7"/>
      <c r="N9595" s="7"/>
      <c r="P9595" s="7"/>
      <c r="R9595" s="7"/>
      <c r="T9595" s="7"/>
      <c r="V9595" s="7"/>
      <c r="X9595" s="7"/>
    </row>
    <row r="9596" spans="2:24">
      <c r="B9596" s="7"/>
      <c r="D9596" s="7"/>
      <c r="F9596" s="7"/>
      <c r="H9596" s="7"/>
      <c r="J9596" s="7"/>
      <c r="L9596" s="7"/>
      <c r="N9596" s="7"/>
      <c r="P9596" s="7"/>
      <c r="R9596" s="7"/>
      <c r="T9596" s="7"/>
      <c r="V9596" s="7"/>
      <c r="X9596" s="7"/>
    </row>
    <row r="9597" spans="2:24">
      <c r="B9597" s="7"/>
      <c r="D9597" s="7"/>
      <c r="F9597" s="7"/>
      <c r="H9597" s="7"/>
      <c r="J9597" s="7"/>
      <c r="L9597" s="7"/>
      <c r="N9597" s="7"/>
      <c r="P9597" s="7"/>
      <c r="R9597" s="7"/>
      <c r="T9597" s="7"/>
      <c r="V9597" s="7"/>
      <c r="X9597" s="7"/>
    </row>
    <row r="9598" spans="2:24">
      <c r="B9598" s="7"/>
      <c r="D9598" s="7"/>
      <c r="F9598" s="7"/>
      <c r="H9598" s="7"/>
      <c r="J9598" s="7"/>
      <c r="L9598" s="7"/>
      <c r="N9598" s="7"/>
      <c r="P9598" s="7"/>
      <c r="R9598" s="7"/>
      <c r="T9598" s="7"/>
      <c r="V9598" s="7"/>
      <c r="X9598" s="7"/>
    </row>
    <row r="9599" spans="2:24">
      <c r="B9599" s="7"/>
      <c r="D9599" s="7"/>
      <c r="F9599" s="7"/>
      <c r="H9599" s="7"/>
      <c r="J9599" s="7"/>
      <c r="L9599" s="7"/>
      <c r="N9599" s="7"/>
      <c r="P9599" s="7"/>
      <c r="R9599" s="7"/>
      <c r="T9599" s="7"/>
      <c r="V9599" s="7"/>
      <c r="X9599" s="7"/>
    </row>
    <row r="9600" spans="2:24">
      <c r="B9600" s="7"/>
      <c r="D9600" s="7"/>
      <c r="F9600" s="7"/>
      <c r="H9600" s="7"/>
      <c r="J9600" s="7"/>
      <c r="L9600" s="7"/>
      <c r="N9600" s="7"/>
      <c r="P9600" s="7"/>
      <c r="R9600" s="7"/>
      <c r="T9600" s="7"/>
      <c r="V9600" s="7"/>
      <c r="X9600" s="7"/>
    </row>
    <row r="9601" spans="2:24">
      <c r="B9601" s="7"/>
      <c r="D9601" s="7"/>
      <c r="F9601" s="7"/>
      <c r="H9601" s="7"/>
      <c r="J9601" s="7"/>
      <c r="L9601" s="7"/>
      <c r="N9601" s="7"/>
      <c r="P9601" s="7"/>
      <c r="R9601" s="7"/>
      <c r="T9601" s="7"/>
      <c r="V9601" s="7"/>
      <c r="X9601" s="7"/>
    </row>
    <row r="9602" spans="2:24">
      <c r="B9602" s="7"/>
      <c r="D9602" s="7"/>
      <c r="F9602" s="7"/>
      <c r="H9602" s="7"/>
      <c r="J9602" s="7"/>
      <c r="L9602" s="7"/>
      <c r="N9602" s="7"/>
      <c r="P9602" s="7"/>
      <c r="R9602" s="7"/>
      <c r="T9602" s="7"/>
      <c r="V9602" s="7"/>
      <c r="X9602" s="7"/>
    </row>
    <row r="9603" spans="2:24">
      <c r="B9603" s="7"/>
      <c r="D9603" s="7"/>
      <c r="F9603" s="7"/>
      <c r="H9603" s="7"/>
      <c r="J9603" s="7"/>
      <c r="L9603" s="7"/>
      <c r="N9603" s="7"/>
      <c r="P9603" s="7"/>
      <c r="R9603" s="7"/>
      <c r="T9603" s="7"/>
      <c r="V9603" s="7"/>
      <c r="X9603" s="7"/>
    </row>
    <row r="9604" spans="2:24">
      <c r="B9604" s="7"/>
      <c r="D9604" s="7"/>
      <c r="F9604" s="7"/>
      <c r="H9604" s="7"/>
      <c r="J9604" s="7"/>
      <c r="L9604" s="7"/>
      <c r="N9604" s="7"/>
      <c r="P9604" s="7"/>
      <c r="R9604" s="7"/>
      <c r="T9604" s="7"/>
      <c r="V9604" s="7"/>
      <c r="X9604" s="7"/>
    </row>
    <row r="9605" spans="2:24">
      <c r="B9605" s="7"/>
      <c r="D9605" s="7"/>
      <c r="F9605" s="7"/>
      <c r="H9605" s="7"/>
      <c r="J9605" s="7"/>
      <c r="L9605" s="7"/>
      <c r="N9605" s="7"/>
      <c r="P9605" s="7"/>
      <c r="R9605" s="7"/>
      <c r="T9605" s="7"/>
      <c r="V9605" s="7"/>
      <c r="X9605" s="7"/>
    </row>
    <row r="9606" spans="2:24">
      <c r="B9606" s="7"/>
      <c r="D9606" s="7"/>
      <c r="F9606" s="7"/>
      <c r="H9606" s="7"/>
      <c r="J9606" s="7"/>
      <c r="L9606" s="7"/>
      <c r="N9606" s="7"/>
      <c r="P9606" s="7"/>
      <c r="R9606" s="7"/>
      <c r="T9606" s="7"/>
      <c r="V9606" s="7"/>
      <c r="X9606" s="7"/>
    </row>
    <row r="9607" spans="2:24">
      <c r="B9607" s="7"/>
      <c r="D9607" s="7"/>
      <c r="F9607" s="7"/>
      <c r="H9607" s="7"/>
      <c r="J9607" s="7"/>
      <c r="L9607" s="7"/>
      <c r="N9607" s="7"/>
      <c r="P9607" s="7"/>
      <c r="R9607" s="7"/>
      <c r="T9607" s="7"/>
      <c r="V9607" s="7"/>
      <c r="X9607" s="7"/>
    </row>
    <row r="9608" spans="2:24">
      <c r="B9608" s="7"/>
      <c r="D9608" s="7"/>
      <c r="F9608" s="7"/>
      <c r="H9608" s="7"/>
      <c r="J9608" s="7"/>
      <c r="L9608" s="7"/>
      <c r="N9608" s="7"/>
      <c r="P9608" s="7"/>
      <c r="R9608" s="7"/>
      <c r="T9608" s="7"/>
      <c r="V9608" s="7"/>
      <c r="X9608" s="7"/>
    </row>
    <row r="9609" spans="2:24">
      <c r="B9609" s="7"/>
      <c r="D9609" s="7"/>
      <c r="F9609" s="7"/>
      <c r="H9609" s="7"/>
      <c r="J9609" s="7"/>
      <c r="L9609" s="7"/>
      <c r="N9609" s="7"/>
      <c r="P9609" s="7"/>
      <c r="R9609" s="7"/>
      <c r="T9609" s="7"/>
      <c r="V9609" s="7"/>
      <c r="X9609" s="7"/>
    </row>
    <row r="9610" spans="2:24">
      <c r="B9610" s="7"/>
      <c r="D9610" s="7"/>
      <c r="F9610" s="7"/>
      <c r="H9610" s="7"/>
      <c r="J9610" s="7"/>
      <c r="L9610" s="7"/>
      <c r="N9610" s="7"/>
      <c r="P9610" s="7"/>
      <c r="R9610" s="7"/>
      <c r="T9610" s="7"/>
      <c r="V9610" s="7"/>
      <c r="X9610" s="7"/>
    </row>
    <row r="9611" spans="2:24">
      <c r="B9611" s="7"/>
      <c r="D9611" s="7"/>
      <c r="F9611" s="7"/>
      <c r="H9611" s="7"/>
      <c r="J9611" s="7"/>
      <c r="L9611" s="7"/>
      <c r="N9611" s="7"/>
      <c r="P9611" s="7"/>
      <c r="R9611" s="7"/>
      <c r="T9611" s="7"/>
      <c r="V9611" s="7"/>
      <c r="X9611" s="7"/>
    </row>
    <row r="9612" spans="2:24">
      <c r="B9612" s="7"/>
      <c r="D9612" s="7"/>
      <c r="F9612" s="7"/>
      <c r="H9612" s="7"/>
      <c r="J9612" s="7"/>
      <c r="L9612" s="7"/>
      <c r="N9612" s="7"/>
      <c r="P9612" s="7"/>
      <c r="R9612" s="7"/>
      <c r="T9612" s="7"/>
      <c r="V9612" s="7"/>
      <c r="X9612" s="7"/>
    </row>
    <row r="9613" spans="2:24">
      <c r="B9613" s="7"/>
      <c r="D9613" s="7"/>
      <c r="F9613" s="7"/>
      <c r="H9613" s="7"/>
      <c r="J9613" s="7"/>
      <c r="L9613" s="7"/>
      <c r="N9613" s="7"/>
      <c r="P9613" s="7"/>
      <c r="R9613" s="7"/>
      <c r="T9613" s="7"/>
      <c r="V9613" s="7"/>
      <c r="X9613" s="7"/>
    </row>
    <row r="9614" spans="2:24">
      <c r="B9614" s="7"/>
      <c r="D9614" s="7"/>
      <c r="F9614" s="7"/>
      <c r="H9614" s="7"/>
      <c r="J9614" s="7"/>
      <c r="L9614" s="7"/>
      <c r="N9614" s="7"/>
      <c r="P9614" s="7"/>
      <c r="R9614" s="7"/>
      <c r="T9614" s="7"/>
      <c r="V9614" s="7"/>
      <c r="X9614" s="7"/>
    </row>
    <row r="9615" spans="2:24">
      <c r="B9615" s="7"/>
      <c r="D9615" s="7"/>
      <c r="F9615" s="7"/>
      <c r="H9615" s="7"/>
      <c r="J9615" s="7"/>
      <c r="L9615" s="7"/>
      <c r="N9615" s="7"/>
      <c r="P9615" s="7"/>
      <c r="R9615" s="7"/>
      <c r="T9615" s="7"/>
      <c r="V9615" s="7"/>
      <c r="X9615" s="7"/>
    </row>
    <row r="9616" spans="2:24">
      <c r="B9616" s="7"/>
      <c r="D9616" s="7"/>
      <c r="F9616" s="7"/>
      <c r="H9616" s="7"/>
      <c r="J9616" s="7"/>
      <c r="L9616" s="7"/>
      <c r="N9616" s="7"/>
      <c r="P9616" s="7"/>
      <c r="R9616" s="7"/>
      <c r="T9616" s="7"/>
      <c r="V9616" s="7"/>
      <c r="X9616" s="7"/>
    </row>
    <row r="9617" spans="2:24">
      <c r="B9617" s="7"/>
      <c r="D9617" s="7"/>
      <c r="F9617" s="7"/>
      <c r="H9617" s="7"/>
      <c r="J9617" s="7"/>
      <c r="L9617" s="7"/>
      <c r="N9617" s="7"/>
      <c r="P9617" s="7"/>
      <c r="R9617" s="7"/>
      <c r="T9617" s="7"/>
      <c r="V9617" s="7"/>
      <c r="X9617" s="7"/>
    </row>
    <row r="9618" spans="2:24">
      <c r="B9618" s="7"/>
      <c r="D9618" s="7"/>
      <c r="F9618" s="7"/>
      <c r="H9618" s="7"/>
      <c r="J9618" s="7"/>
      <c r="L9618" s="7"/>
      <c r="N9618" s="7"/>
      <c r="P9618" s="7"/>
      <c r="R9618" s="7"/>
      <c r="T9618" s="7"/>
      <c r="V9618" s="7"/>
      <c r="X9618" s="7"/>
    </row>
    <row r="9619" spans="2:24">
      <c r="B9619" s="7"/>
      <c r="D9619" s="7"/>
      <c r="F9619" s="7"/>
      <c r="H9619" s="7"/>
      <c r="J9619" s="7"/>
      <c r="L9619" s="7"/>
      <c r="N9619" s="7"/>
      <c r="P9619" s="7"/>
      <c r="R9619" s="7"/>
      <c r="T9619" s="7"/>
      <c r="V9619" s="7"/>
      <c r="X9619" s="7"/>
    </row>
    <row r="9620" spans="2:24">
      <c r="B9620" s="7"/>
      <c r="D9620" s="7"/>
      <c r="F9620" s="7"/>
      <c r="H9620" s="7"/>
      <c r="J9620" s="7"/>
      <c r="L9620" s="7"/>
      <c r="N9620" s="7"/>
      <c r="P9620" s="7"/>
      <c r="R9620" s="7"/>
      <c r="T9620" s="7"/>
      <c r="V9620" s="7"/>
      <c r="X9620" s="7"/>
    </row>
    <row r="9621" spans="2:24">
      <c r="B9621" s="7"/>
      <c r="D9621" s="7"/>
      <c r="F9621" s="7"/>
      <c r="H9621" s="7"/>
      <c r="J9621" s="7"/>
      <c r="L9621" s="7"/>
      <c r="N9621" s="7"/>
      <c r="P9621" s="7"/>
      <c r="R9621" s="7"/>
      <c r="T9621" s="7"/>
      <c r="V9621" s="7"/>
      <c r="X9621" s="7"/>
    </row>
    <row r="9622" spans="2:24">
      <c r="B9622" s="7"/>
      <c r="D9622" s="7"/>
      <c r="F9622" s="7"/>
      <c r="H9622" s="7"/>
      <c r="J9622" s="7"/>
      <c r="L9622" s="7"/>
      <c r="N9622" s="7"/>
      <c r="P9622" s="7"/>
      <c r="R9622" s="7"/>
      <c r="T9622" s="7"/>
      <c r="V9622" s="7"/>
      <c r="X9622" s="7"/>
    </row>
    <row r="9623" spans="2:24">
      <c r="B9623" s="7"/>
      <c r="D9623" s="7"/>
      <c r="F9623" s="7"/>
      <c r="H9623" s="7"/>
      <c r="J9623" s="7"/>
      <c r="L9623" s="7"/>
      <c r="N9623" s="7"/>
      <c r="P9623" s="7"/>
      <c r="R9623" s="7"/>
      <c r="T9623" s="7"/>
      <c r="V9623" s="7"/>
      <c r="X9623" s="7"/>
    </row>
    <row r="9624" spans="2:24">
      <c r="B9624" s="7"/>
      <c r="D9624" s="7"/>
      <c r="F9624" s="7"/>
      <c r="H9624" s="7"/>
      <c r="J9624" s="7"/>
      <c r="L9624" s="7"/>
      <c r="N9624" s="7"/>
      <c r="P9624" s="7"/>
      <c r="R9624" s="7"/>
      <c r="T9624" s="7"/>
      <c r="V9624" s="7"/>
      <c r="X9624" s="7"/>
    </row>
    <row r="9625" spans="2:24">
      <c r="B9625" s="7"/>
      <c r="D9625" s="7"/>
      <c r="F9625" s="7"/>
      <c r="H9625" s="7"/>
      <c r="J9625" s="7"/>
      <c r="L9625" s="7"/>
      <c r="N9625" s="7"/>
      <c r="P9625" s="7"/>
      <c r="R9625" s="7"/>
      <c r="T9625" s="7"/>
      <c r="V9625" s="7"/>
      <c r="X9625" s="7"/>
    </row>
    <row r="9626" spans="2:24">
      <c r="B9626" s="7"/>
      <c r="D9626" s="7"/>
      <c r="F9626" s="7"/>
      <c r="H9626" s="7"/>
      <c r="J9626" s="7"/>
      <c r="L9626" s="7"/>
      <c r="N9626" s="7"/>
      <c r="P9626" s="7"/>
      <c r="R9626" s="7"/>
      <c r="T9626" s="7"/>
      <c r="V9626" s="7"/>
      <c r="X9626" s="7"/>
    </row>
    <row r="9627" spans="2:24">
      <c r="B9627" s="7"/>
      <c r="D9627" s="7"/>
      <c r="F9627" s="7"/>
      <c r="H9627" s="7"/>
      <c r="J9627" s="7"/>
      <c r="L9627" s="7"/>
      <c r="N9627" s="7"/>
      <c r="P9627" s="7"/>
      <c r="R9627" s="7"/>
      <c r="T9627" s="7"/>
      <c r="V9627" s="7"/>
      <c r="X9627" s="7"/>
    </row>
    <row r="9628" spans="2:24">
      <c r="B9628" s="7"/>
      <c r="D9628" s="7"/>
      <c r="F9628" s="7"/>
      <c r="H9628" s="7"/>
      <c r="J9628" s="7"/>
      <c r="L9628" s="7"/>
      <c r="N9628" s="7"/>
      <c r="P9628" s="7"/>
      <c r="R9628" s="7"/>
      <c r="T9628" s="7"/>
      <c r="V9628" s="7"/>
      <c r="X9628" s="7"/>
    </row>
    <row r="9629" spans="2:24">
      <c r="B9629" s="7"/>
      <c r="D9629" s="7"/>
      <c r="F9629" s="7"/>
      <c r="H9629" s="7"/>
      <c r="J9629" s="7"/>
      <c r="L9629" s="7"/>
      <c r="N9629" s="7"/>
      <c r="P9629" s="7"/>
      <c r="R9629" s="7"/>
      <c r="T9629" s="7"/>
      <c r="V9629" s="7"/>
      <c r="X9629" s="7"/>
    </row>
    <row r="9630" spans="2:24">
      <c r="B9630" s="7"/>
      <c r="D9630" s="7"/>
      <c r="F9630" s="7"/>
      <c r="H9630" s="7"/>
      <c r="J9630" s="7"/>
      <c r="L9630" s="7"/>
      <c r="N9630" s="7"/>
      <c r="P9630" s="7"/>
      <c r="R9630" s="7"/>
      <c r="T9630" s="7"/>
      <c r="V9630" s="7"/>
      <c r="X9630" s="7"/>
    </row>
    <row r="9631" spans="2:24">
      <c r="B9631" s="7"/>
      <c r="D9631" s="7"/>
      <c r="F9631" s="7"/>
      <c r="H9631" s="7"/>
      <c r="J9631" s="7"/>
      <c r="L9631" s="7"/>
      <c r="N9631" s="7"/>
      <c r="P9631" s="7"/>
      <c r="R9631" s="7"/>
      <c r="T9631" s="7"/>
      <c r="V9631" s="7"/>
      <c r="X9631" s="7"/>
    </row>
    <row r="9632" spans="2:24">
      <c r="B9632" s="7"/>
      <c r="D9632" s="7"/>
      <c r="F9632" s="7"/>
      <c r="H9632" s="7"/>
      <c r="J9632" s="7"/>
      <c r="L9632" s="7"/>
      <c r="N9632" s="7"/>
      <c r="P9632" s="7"/>
      <c r="R9632" s="7"/>
      <c r="T9632" s="7"/>
      <c r="V9632" s="7"/>
      <c r="X9632" s="7"/>
    </row>
    <row r="9633" spans="2:24">
      <c r="B9633" s="7"/>
      <c r="D9633" s="7"/>
      <c r="F9633" s="7"/>
      <c r="H9633" s="7"/>
      <c r="J9633" s="7"/>
      <c r="L9633" s="7"/>
      <c r="N9633" s="7"/>
      <c r="P9633" s="7"/>
      <c r="R9633" s="7"/>
      <c r="T9633" s="7"/>
      <c r="V9633" s="7"/>
      <c r="X9633" s="7"/>
    </row>
    <row r="9634" spans="2:24">
      <c r="B9634" s="7"/>
      <c r="D9634" s="7"/>
      <c r="F9634" s="7"/>
      <c r="H9634" s="7"/>
      <c r="J9634" s="7"/>
      <c r="L9634" s="7"/>
      <c r="N9634" s="7"/>
      <c r="P9634" s="7"/>
      <c r="R9634" s="7"/>
      <c r="T9634" s="7"/>
      <c r="V9634" s="7"/>
      <c r="X9634" s="7"/>
    </row>
    <row r="9635" spans="2:24">
      <c r="B9635" s="7"/>
      <c r="D9635" s="7"/>
      <c r="F9635" s="7"/>
      <c r="H9635" s="7"/>
      <c r="J9635" s="7"/>
      <c r="L9635" s="7"/>
      <c r="N9635" s="7"/>
      <c r="P9635" s="7"/>
      <c r="R9635" s="7"/>
      <c r="T9635" s="7"/>
      <c r="V9635" s="7"/>
      <c r="X9635" s="7"/>
    </row>
    <row r="9636" spans="2:24">
      <c r="B9636" s="7"/>
      <c r="D9636" s="7"/>
      <c r="F9636" s="7"/>
      <c r="H9636" s="7"/>
      <c r="J9636" s="7"/>
      <c r="L9636" s="7"/>
      <c r="N9636" s="7"/>
      <c r="P9636" s="7"/>
      <c r="R9636" s="7"/>
      <c r="T9636" s="7"/>
      <c r="V9636" s="7"/>
      <c r="X9636" s="7"/>
    </row>
    <row r="9637" spans="2:24">
      <c r="B9637" s="7"/>
      <c r="D9637" s="7"/>
      <c r="F9637" s="7"/>
      <c r="H9637" s="7"/>
      <c r="J9637" s="7"/>
      <c r="L9637" s="7"/>
      <c r="N9637" s="7"/>
      <c r="P9637" s="7"/>
      <c r="R9637" s="7"/>
      <c r="T9637" s="7"/>
      <c r="V9637" s="7"/>
      <c r="X9637" s="7"/>
    </row>
    <row r="9638" spans="2:24">
      <c r="B9638" s="7"/>
      <c r="D9638" s="7"/>
      <c r="F9638" s="7"/>
      <c r="H9638" s="7"/>
      <c r="J9638" s="7"/>
      <c r="L9638" s="7"/>
      <c r="N9638" s="7"/>
      <c r="P9638" s="7"/>
      <c r="R9638" s="7"/>
      <c r="T9638" s="7"/>
      <c r="V9638" s="7"/>
      <c r="X9638" s="7"/>
    </row>
    <row r="9639" spans="2:24">
      <c r="B9639" s="7"/>
      <c r="D9639" s="7"/>
      <c r="F9639" s="7"/>
      <c r="H9639" s="7"/>
      <c r="J9639" s="7"/>
      <c r="L9639" s="7"/>
      <c r="N9639" s="7"/>
      <c r="P9639" s="7"/>
      <c r="R9639" s="7"/>
      <c r="T9639" s="7"/>
      <c r="V9639" s="7"/>
      <c r="X9639" s="7"/>
    </row>
    <row r="9640" spans="2:24">
      <c r="B9640" s="7"/>
      <c r="D9640" s="7"/>
      <c r="F9640" s="7"/>
      <c r="H9640" s="7"/>
      <c r="J9640" s="7"/>
      <c r="L9640" s="7"/>
      <c r="N9640" s="7"/>
      <c r="P9640" s="7"/>
      <c r="R9640" s="7"/>
      <c r="T9640" s="7"/>
      <c r="V9640" s="7"/>
      <c r="X9640" s="7"/>
    </row>
    <row r="9641" spans="2:24">
      <c r="B9641" s="7"/>
      <c r="D9641" s="7"/>
      <c r="F9641" s="7"/>
      <c r="H9641" s="7"/>
      <c r="J9641" s="7"/>
      <c r="L9641" s="7"/>
      <c r="N9641" s="7"/>
      <c r="P9641" s="7"/>
      <c r="R9641" s="7"/>
      <c r="T9641" s="7"/>
      <c r="V9641" s="7"/>
      <c r="X9641" s="7"/>
    </row>
    <row r="9642" spans="2:24">
      <c r="B9642" s="7"/>
      <c r="D9642" s="7"/>
      <c r="F9642" s="7"/>
      <c r="H9642" s="7"/>
      <c r="J9642" s="7"/>
      <c r="L9642" s="7"/>
      <c r="N9642" s="7"/>
      <c r="P9642" s="7"/>
      <c r="R9642" s="7"/>
      <c r="T9642" s="7"/>
      <c r="V9642" s="7"/>
      <c r="X9642" s="7"/>
    </row>
    <row r="9643" spans="2:24">
      <c r="B9643" s="7"/>
      <c r="D9643" s="7"/>
      <c r="F9643" s="7"/>
      <c r="H9643" s="7"/>
      <c r="J9643" s="7"/>
      <c r="L9643" s="7"/>
      <c r="N9643" s="7"/>
      <c r="P9643" s="7"/>
      <c r="R9643" s="7"/>
      <c r="T9643" s="7"/>
      <c r="V9643" s="7"/>
      <c r="X9643" s="7"/>
    </row>
    <row r="9644" spans="2:24">
      <c r="B9644" s="7"/>
      <c r="D9644" s="7"/>
      <c r="F9644" s="7"/>
      <c r="H9644" s="7"/>
      <c r="J9644" s="7"/>
      <c r="L9644" s="7"/>
      <c r="N9644" s="7"/>
      <c r="P9644" s="7"/>
      <c r="R9644" s="7"/>
      <c r="T9644" s="7"/>
      <c r="V9644" s="7"/>
      <c r="X9644" s="7"/>
    </row>
    <row r="9645" spans="2:24">
      <c r="B9645" s="7"/>
      <c r="D9645" s="7"/>
      <c r="F9645" s="7"/>
      <c r="H9645" s="7"/>
      <c r="J9645" s="7"/>
      <c r="L9645" s="7"/>
      <c r="N9645" s="7"/>
      <c r="P9645" s="7"/>
      <c r="R9645" s="7"/>
      <c r="T9645" s="7"/>
      <c r="V9645" s="7"/>
      <c r="X9645" s="7"/>
    </row>
    <row r="9646" spans="2:24">
      <c r="B9646" s="7"/>
      <c r="D9646" s="7"/>
      <c r="F9646" s="7"/>
      <c r="H9646" s="7"/>
      <c r="J9646" s="7"/>
      <c r="L9646" s="7"/>
      <c r="N9646" s="7"/>
      <c r="P9646" s="7"/>
      <c r="R9646" s="7"/>
      <c r="T9646" s="7"/>
      <c r="V9646" s="7"/>
      <c r="X9646" s="7"/>
    </row>
    <row r="9647" spans="2:24">
      <c r="B9647" s="7"/>
      <c r="D9647" s="7"/>
      <c r="F9647" s="7"/>
      <c r="H9647" s="7"/>
      <c r="J9647" s="7"/>
      <c r="L9647" s="7"/>
      <c r="N9647" s="7"/>
      <c r="P9647" s="7"/>
      <c r="R9647" s="7"/>
      <c r="T9647" s="7"/>
      <c r="V9647" s="7"/>
      <c r="X9647" s="7"/>
    </row>
    <row r="9648" spans="2:24">
      <c r="B9648" s="7"/>
      <c r="D9648" s="7"/>
      <c r="F9648" s="7"/>
      <c r="H9648" s="7"/>
      <c r="J9648" s="7"/>
      <c r="L9648" s="7"/>
      <c r="N9648" s="7"/>
      <c r="P9648" s="7"/>
      <c r="R9648" s="7"/>
      <c r="T9648" s="7"/>
      <c r="V9648" s="7"/>
      <c r="X9648" s="7"/>
    </row>
    <row r="9649" spans="2:24">
      <c r="B9649" s="7"/>
      <c r="D9649" s="7"/>
      <c r="F9649" s="7"/>
      <c r="H9649" s="7"/>
      <c r="J9649" s="7"/>
      <c r="L9649" s="7"/>
      <c r="N9649" s="7"/>
      <c r="P9649" s="7"/>
      <c r="R9649" s="7"/>
      <c r="T9649" s="7"/>
      <c r="V9649" s="7"/>
      <c r="X9649" s="7"/>
    </row>
    <row r="9650" spans="2:24">
      <c r="B9650" s="7"/>
      <c r="D9650" s="7"/>
      <c r="F9650" s="7"/>
      <c r="H9650" s="7"/>
      <c r="J9650" s="7"/>
      <c r="L9650" s="7"/>
      <c r="N9650" s="7"/>
      <c r="P9650" s="7"/>
      <c r="R9650" s="7"/>
      <c r="T9650" s="7"/>
      <c r="V9650" s="7"/>
      <c r="X9650" s="7"/>
    </row>
    <row r="9651" spans="2:24">
      <c r="B9651" s="7"/>
      <c r="D9651" s="7"/>
      <c r="F9651" s="7"/>
      <c r="H9651" s="7"/>
      <c r="J9651" s="7"/>
      <c r="L9651" s="7"/>
      <c r="N9651" s="7"/>
      <c r="P9651" s="7"/>
      <c r="R9651" s="7"/>
      <c r="T9651" s="7"/>
      <c r="V9651" s="7"/>
      <c r="X9651" s="7"/>
    </row>
    <row r="9652" spans="2:24">
      <c r="B9652" s="7"/>
      <c r="D9652" s="7"/>
      <c r="F9652" s="7"/>
      <c r="H9652" s="7"/>
      <c r="J9652" s="7"/>
      <c r="L9652" s="7"/>
      <c r="N9652" s="7"/>
      <c r="P9652" s="7"/>
      <c r="R9652" s="7"/>
      <c r="T9652" s="7"/>
      <c r="V9652" s="7"/>
      <c r="X9652" s="7"/>
    </row>
    <row r="9653" spans="2:24">
      <c r="B9653" s="7"/>
      <c r="D9653" s="7"/>
      <c r="F9653" s="7"/>
      <c r="H9653" s="7"/>
      <c r="J9653" s="7"/>
      <c r="L9653" s="7"/>
      <c r="N9653" s="7"/>
      <c r="P9653" s="7"/>
      <c r="R9653" s="7"/>
      <c r="T9653" s="7"/>
      <c r="V9653" s="7"/>
      <c r="X9653" s="7"/>
    </row>
    <row r="9654" spans="2:24">
      <c r="B9654" s="7"/>
      <c r="D9654" s="7"/>
      <c r="F9654" s="7"/>
      <c r="H9654" s="7"/>
      <c r="J9654" s="7"/>
      <c r="L9654" s="7"/>
      <c r="N9654" s="7"/>
      <c r="P9654" s="7"/>
      <c r="R9654" s="7"/>
      <c r="T9654" s="7"/>
      <c r="V9654" s="7"/>
      <c r="X9654" s="7"/>
    </row>
    <row r="9655" spans="2:24">
      <c r="B9655" s="7"/>
      <c r="D9655" s="7"/>
      <c r="F9655" s="7"/>
      <c r="H9655" s="7"/>
      <c r="J9655" s="7"/>
      <c r="L9655" s="7"/>
      <c r="N9655" s="7"/>
      <c r="P9655" s="7"/>
      <c r="R9655" s="7"/>
      <c r="T9655" s="7"/>
      <c r="V9655" s="7"/>
      <c r="X9655" s="7"/>
    </row>
    <row r="9656" spans="2:24">
      <c r="B9656" s="7"/>
      <c r="D9656" s="7"/>
      <c r="F9656" s="7"/>
      <c r="H9656" s="7"/>
      <c r="J9656" s="7"/>
      <c r="L9656" s="7"/>
      <c r="N9656" s="7"/>
      <c r="P9656" s="7"/>
      <c r="R9656" s="7"/>
      <c r="T9656" s="7"/>
      <c r="V9656" s="7"/>
      <c r="X9656" s="7"/>
    </row>
    <row r="9657" spans="2:24">
      <c r="B9657" s="7"/>
      <c r="D9657" s="7"/>
      <c r="F9657" s="7"/>
      <c r="H9657" s="7"/>
      <c r="J9657" s="7"/>
      <c r="L9657" s="7"/>
      <c r="N9657" s="7"/>
      <c r="P9657" s="7"/>
      <c r="R9657" s="7"/>
      <c r="T9657" s="7"/>
      <c r="V9657" s="7"/>
      <c r="X9657" s="7"/>
    </row>
    <row r="9658" spans="2:24">
      <c r="B9658" s="7"/>
      <c r="D9658" s="7"/>
      <c r="F9658" s="7"/>
      <c r="H9658" s="7"/>
      <c r="J9658" s="7"/>
      <c r="L9658" s="7"/>
      <c r="N9658" s="7"/>
      <c r="P9658" s="7"/>
      <c r="R9658" s="7"/>
      <c r="T9658" s="7"/>
      <c r="V9658" s="7"/>
      <c r="X9658" s="7"/>
    </row>
    <row r="9659" spans="2:24">
      <c r="B9659" s="7"/>
      <c r="D9659" s="7"/>
      <c r="F9659" s="7"/>
      <c r="H9659" s="7"/>
      <c r="J9659" s="7"/>
      <c r="L9659" s="7"/>
      <c r="N9659" s="7"/>
      <c r="P9659" s="7"/>
      <c r="R9659" s="7"/>
      <c r="T9659" s="7"/>
      <c r="V9659" s="7"/>
      <c r="X9659" s="7"/>
    </row>
    <row r="9660" spans="2:24">
      <c r="B9660" s="7"/>
      <c r="D9660" s="7"/>
      <c r="F9660" s="7"/>
      <c r="H9660" s="7"/>
      <c r="J9660" s="7"/>
      <c r="L9660" s="7"/>
      <c r="N9660" s="7"/>
      <c r="P9660" s="7"/>
      <c r="R9660" s="7"/>
      <c r="T9660" s="7"/>
      <c r="V9660" s="7"/>
      <c r="X9660" s="7"/>
    </row>
    <row r="9661" spans="2:24">
      <c r="B9661" s="7"/>
      <c r="D9661" s="7"/>
      <c r="F9661" s="7"/>
      <c r="H9661" s="7"/>
      <c r="J9661" s="7"/>
      <c r="L9661" s="7"/>
      <c r="N9661" s="7"/>
      <c r="P9661" s="7"/>
      <c r="R9661" s="7"/>
      <c r="T9661" s="7"/>
      <c r="V9661" s="7"/>
      <c r="X9661" s="7"/>
    </row>
    <row r="9662" spans="2:24">
      <c r="B9662" s="7"/>
      <c r="D9662" s="7"/>
      <c r="F9662" s="7"/>
      <c r="H9662" s="7"/>
      <c r="J9662" s="7"/>
      <c r="L9662" s="7"/>
      <c r="N9662" s="7"/>
      <c r="P9662" s="7"/>
      <c r="R9662" s="7"/>
      <c r="T9662" s="7"/>
      <c r="V9662" s="7"/>
      <c r="X9662" s="7"/>
    </row>
    <row r="9663" spans="2:24">
      <c r="B9663" s="7"/>
      <c r="D9663" s="7"/>
      <c r="F9663" s="7"/>
      <c r="H9663" s="7"/>
      <c r="J9663" s="7"/>
      <c r="L9663" s="7"/>
      <c r="N9663" s="7"/>
      <c r="P9663" s="7"/>
      <c r="R9663" s="7"/>
      <c r="T9663" s="7"/>
      <c r="V9663" s="7"/>
      <c r="X9663" s="7"/>
    </row>
    <row r="9664" spans="2:24">
      <c r="B9664" s="7"/>
      <c r="D9664" s="7"/>
      <c r="F9664" s="7"/>
      <c r="H9664" s="7"/>
      <c r="J9664" s="7"/>
      <c r="L9664" s="7"/>
      <c r="N9664" s="7"/>
      <c r="P9664" s="7"/>
      <c r="R9664" s="7"/>
      <c r="T9664" s="7"/>
      <c r="V9664" s="7"/>
      <c r="X9664" s="7"/>
    </row>
    <row r="9665" spans="2:24">
      <c r="B9665" s="7"/>
      <c r="D9665" s="7"/>
      <c r="F9665" s="7"/>
      <c r="H9665" s="7"/>
      <c r="J9665" s="7"/>
      <c r="L9665" s="7"/>
      <c r="N9665" s="7"/>
      <c r="P9665" s="7"/>
      <c r="R9665" s="7"/>
      <c r="T9665" s="7"/>
      <c r="V9665" s="7"/>
      <c r="X9665" s="7"/>
    </row>
    <row r="9666" spans="2:24">
      <c r="B9666" s="7"/>
      <c r="D9666" s="7"/>
      <c r="F9666" s="7"/>
      <c r="H9666" s="7"/>
      <c r="J9666" s="7"/>
      <c r="L9666" s="7"/>
      <c r="N9666" s="7"/>
      <c r="P9666" s="7"/>
      <c r="R9666" s="7"/>
      <c r="T9666" s="7"/>
      <c r="V9666" s="7"/>
      <c r="X9666" s="7"/>
    </row>
    <row r="9667" spans="2:24">
      <c r="B9667" s="7"/>
      <c r="D9667" s="7"/>
      <c r="F9667" s="7"/>
      <c r="H9667" s="7"/>
      <c r="J9667" s="7"/>
      <c r="L9667" s="7"/>
      <c r="N9667" s="7"/>
      <c r="P9667" s="7"/>
      <c r="R9667" s="7"/>
      <c r="T9667" s="7"/>
      <c r="V9667" s="7"/>
      <c r="X9667" s="7"/>
    </row>
    <row r="9668" spans="2:24">
      <c r="B9668" s="7"/>
      <c r="D9668" s="7"/>
      <c r="F9668" s="7"/>
      <c r="H9668" s="7"/>
      <c r="J9668" s="7"/>
      <c r="L9668" s="7"/>
      <c r="N9668" s="7"/>
      <c r="P9668" s="7"/>
      <c r="R9668" s="7"/>
      <c r="T9668" s="7"/>
      <c r="V9668" s="7"/>
      <c r="X9668" s="7"/>
    </row>
    <row r="9669" spans="2:24">
      <c r="B9669" s="7"/>
      <c r="D9669" s="7"/>
      <c r="F9669" s="7"/>
      <c r="H9669" s="7"/>
      <c r="J9669" s="7"/>
      <c r="L9669" s="7"/>
      <c r="N9669" s="7"/>
      <c r="P9669" s="7"/>
      <c r="R9669" s="7"/>
      <c r="T9669" s="7"/>
      <c r="V9669" s="7"/>
      <c r="X9669" s="7"/>
    </row>
    <row r="9670" spans="2:24">
      <c r="B9670" s="7"/>
      <c r="D9670" s="7"/>
      <c r="F9670" s="7"/>
      <c r="H9670" s="7"/>
      <c r="J9670" s="7"/>
      <c r="L9670" s="7"/>
      <c r="N9670" s="7"/>
      <c r="P9670" s="7"/>
      <c r="R9670" s="7"/>
      <c r="T9670" s="7"/>
      <c r="V9670" s="7"/>
      <c r="X9670" s="7"/>
    </row>
    <row r="9671" spans="2:24">
      <c r="B9671" s="7"/>
      <c r="D9671" s="7"/>
      <c r="F9671" s="7"/>
      <c r="H9671" s="7"/>
      <c r="J9671" s="7"/>
      <c r="L9671" s="7"/>
      <c r="N9671" s="7"/>
      <c r="P9671" s="7"/>
      <c r="R9671" s="7"/>
      <c r="T9671" s="7"/>
      <c r="V9671" s="7"/>
      <c r="X9671" s="7"/>
    </row>
    <row r="9672" spans="2:24">
      <c r="B9672" s="7"/>
      <c r="D9672" s="7"/>
      <c r="F9672" s="7"/>
      <c r="H9672" s="7"/>
      <c r="J9672" s="7"/>
      <c r="L9672" s="7"/>
      <c r="N9672" s="7"/>
      <c r="P9672" s="7"/>
      <c r="R9672" s="7"/>
      <c r="T9672" s="7"/>
      <c r="V9672" s="7"/>
      <c r="X9672" s="7"/>
    </row>
    <row r="9673" spans="2:24">
      <c r="B9673" s="7"/>
      <c r="D9673" s="7"/>
      <c r="F9673" s="7"/>
      <c r="H9673" s="7"/>
      <c r="J9673" s="7"/>
      <c r="L9673" s="7"/>
      <c r="N9673" s="7"/>
      <c r="P9673" s="7"/>
      <c r="R9673" s="7"/>
      <c r="T9673" s="7"/>
      <c r="V9673" s="7"/>
      <c r="X9673" s="7"/>
    </row>
    <row r="9674" spans="2:24">
      <c r="B9674" s="7"/>
      <c r="D9674" s="7"/>
      <c r="F9674" s="7"/>
      <c r="H9674" s="7"/>
      <c r="J9674" s="7"/>
      <c r="L9674" s="7"/>
      <c r="N9674" s="7"/>
      <c r="P9674" s="7"/>
      <c r="R9674" s="7"/>
      <c r="T9674" s="7"/>
      <c r="V9674" s="7"/>
      <c r="X9674" s="7"/>
    </row>
    <row r="9675" spans="2:24">
      <c r="B9675" s="7"/>
      <c r="D9675" s="7"/>
      <c r="F9675" s="7"/>
      <c r="H9675" s="7"/>
      <c r="J9675" s="7"/>
      <c r="L9675" s="7"/>
      <c r="N9675" s="7"/>
      <c r="P9675" s="7"/>
      <c r="R9675" s="7"/>
      <c r="T9675" s="7"/>
      <c r="V9675" s="7"/>
      <c r="X9675" s="7"/>
    </row>
    <row r="9676" spans="2:24">
      <c r="B9676" s="7"/>
      <c r="D9676" s="7"/>
      <c r="F9676" s="7"/>
      <c r="H9676" s="7"/>
      <c r="J9676" s="7"/>
      <c r="L9676" s="7"/>
      <c r="N9676" s="7"/>
      <c r="P9676" s="7"/>
      <c r="R9676" s="7"/>
      <c r="T9676" s="7"/>
      <c r="V9676" s="7"/>
      <c r="X9676" s="7"/>
    </row>
    <row r="9677" spans="2:24">
      <c r="B9677" s="7"/>
      <c r="D9677" s="7"/>
      <c r="F9677" s="7"/>
      <c r="H9677" s="7"/>
      <c r="J9677" s="7"/>
      <c r="L9677" s="7"/>
      <c r="N9677" s="7"/>
      <c r="P9677" s="7"/>
      <c r="R9677" s="7"/>
      <c r="T9677" s="7"/>
      <c r="V9677" s="7"/>
      <c r="X9677" s="7"/>
    </row>
    <row r="9678" spans="2:24">
      <c r="B9678" s="7"/>
      <c r="D9678" s="7"/>
      <c r="F9678" s="7"/>
      <c r="H9678" s="7"/>
      <c r="J9678" s="7"/>
      <c r="L9678" s="7"/>
      <c r="N9678" s="7"/>
      <c r="P9678" s="7"/>
      <c r="R9678" s="7"/>
      <c r="T9678" s="7"/>
      <c r="V9678" s="7"/>
      <c r="X9678" s="7"/>
    </row>
    <row r="9679" spans="2:24">
      <c r="B9679" s="7"/>
      <c r="D9679" s="7"/>
      <c r="F9679" s="7"/>
      <c r="H9679" s="7"/>
      <c r="J9679" s="7"/>
      <c r="L9679" s="7"/>
      <c r="N9679" s="7"/>
      <c r="P9679" s="7"/>
      <c r="R9679" s="7"/>
      <c r="T9679" s="7"/>
      <c r="V9679" s="7"/>
      <c r="X9679" s="7"/>
    </row>
    <row r="9680" spans="2:24">
      <c r="B9680" s="7"/>
      <c r="D9680" s="7"/>
      <c r="F9680" s="7"/>
      <c r="H9680" s="7"/>
      <c r="J9680" s="7"/>
      <c r="L9680" s="7"/>
      <c r="N9680" s="7"/>
      <c r="P9680" s="7"/>
      <c r="R9680" s="7"/>
      <c r="T9680" s="7"/>
      <c r="V9680" s="7"/>
      <c r="X9680" s="7"/>
    </row>
    <row r="9681" spans="2:24">
      <c r="B9681" s="7"/>
      <c r="D9681" s="7"/>
      <c r="F9681" s="7"/>
      <c r="H9681" s="7"/>
      <c r="J9681" s="7"/>
      <c r="L9681" s="7"/>
      <c r="N9681" s="7"/>
      <c r="P9681" s="7"/>
      <c r="R9681" s="7"/>
      <c r="T9681" s="7"/>
      <c r="V9681" s="7"/>
      <c r="X9681" s="7"/>
    </row>
    <row r="9682" spans="2:24">
      <c r="B9682" s="7"/>
      <c r="D9682" s="7"/>
      <c r="F9682" s="7"/>
      <c r="H9682" s="7"/>
      <c r="J9682" s="7"/>
      <c r="L9682" s="7"/>
      <c r="N9682" s="7"/>
      <c r="P9682" s="7"/>
      <c r="R9682" s="7"/>
      <c r="T9682" s="7"/>
      <c r="V9682" s="7"/>
      <c r="X9682" s="7"/>
    </row>
    <row r="9683" spans="2:24">
      <c r="B9683" s="7"/>
      <c r="D9683" s="7"/>
      <c r="F9683" s="7"/>
      <c r="H9683" s="7"/>
      <c r="J9683" s="7"/>
      <c r="L9683" s="7"/>
      <c r="N9683" s="7"/>
      <c r="P9683" s="7"/>
      <c r="R9683" s="7"/>
      <c r="T9683" s="7"/>
      <c r="V9683" s="7"/>
      <c r="X9683" s="7"/>
    </row>
    <row r="9684" spans="2:24">
      <c r="B9684" s="7"/>
      <c r="D9684" s="7"/>
      <c r="F9684" s="7"/>
      <c r="H9684" s="7"/>
      <c r="J9684" s="7"/>
      <c r="L9684" s="7"/>
      <c r="N9684" s="7"/>
      <c r="P9684" s="7"/>
      <c r="R9684" s="7"/>
      <c r="T9684" s="7"/>
      <c r="V9684" s="7"/>
      <c r="X9684" s="7"/>
    </row>
    <row r="9685" spans="2:24">
      <c r="B9685" s="7"/>
      <c r="D9685" s="7"/>
      <c r="F9685" s="7"/>
      <c r="H9685" s="7"/>
      <c r="J9685" s="7"/>
      <c r="L9685" s="7"/>
      <c r="N9685" s="7"/>
      <c r="P9685" s="7"/>
      <c r="R9685" s="7"/>
      <c r="T9685" s="7"/>
      <c r="V9685" s="7"/>
      <c r="X9685" s="7"/>
    </row>
    <row r="9686" spans="2:24">
      <c r="B9686" s="7"/>
      <c r="D9686" s="7"/>
      <c r="F9686" s="7"/>
      <c r="H9686" s="7"/>
      <c r="J9686" s="7"/>
      <c r="L9686" s="7"/>
      <c r="N9686" s="7"/>
      <c r="P9686" s="7"/>
      <c r="R9686" s="7"/>
      <c r="T9686" s="7"/>
      <c r="V9686" s="7"/>
      <c r="X9686" s="7"/>
    </row>
    <row r="9687" spans="2:24">
      <c r="B9687" s="7"/>
      <c r="D9687" s="7"/>
      <c r="F9687" s="7"/>
      <c r="H9687" s="7"/>
      <c r="J9687" s="7"/>
      <c r="L9687" s="7"/>
      <c r="N9687" s="7"/>
      <c r="P9687" s="7"/>
      <c r="R9687" s="7"/>
      <c r="T9687" s="7"/>
      <c r="V9687" s="7"/>
      <c r="X9687" s="7"/>
    </row>
    <row r="9688" spans="2:24">
      <c r="B9688" s="7"/>
      <c r="D9688" s="7"/>
      <c r="F9688" s="7"/>
      <c r="H9688" s="7"/>
      <c r="J9688" s="7"/>
      <c r="L9688" s="7"/>
      <c r="N9688" s="7"/>
      <c r="P9688" s="7"/>
      <c r="R9688" s="7"/>
      <c r="T9688" s="7"/>
      <c r="V9688" s="7"/>
      <c r="X9688" s="7"/>
    </row>
    <row r="9689" spans="2:24">
      <c r="B9689" s="7"/>
      <c r="D9689" s="7"/>
      <c r="F9689" s="7"/>
      <c r="H9689" s="7"/>
      <c r="J9689" s="7"/>
      <c r="L9689" s="7"/>
      <c r="N9689" s="7"/>
      <c r="P9689" s="7"/>
      <c r="R9689" s="7"/>
      <c r="T9689" s="7"/>
      <c r="V9689" s="7"/>
      <c r="X9689" s="7"/>
    </row>
    <row r="9690" spans="2:24">
      <c r="B9690" s="7"/>
      <c r="D9690" s="7"/>
      <c r="F9690" s="7"/>
      <c r="H9690" s="7"/>
      <c r="J9690" s="7"/>
      <c r="L9690" s="7"/>
      <c r="N9690" s="7"/>
      <c r="P9690" s="7"/>
      <c r="R9690" s="7"/>
      <c r="T9690" s="7"/>
      <c r="V9690" s="7"/>
      <c r="X9690" s="7"/>
    </row>
    <row r="9691" spans="2:24">
      <c r="B9691" s="7"/>
      <c r="D9691" s="7"/>
      <c r="F9691" s="7"/>
      <c r="H9691" s="7"/>
      <c r="J9691" s="7"/>
      <c r="L9691" s="7"/>
      <c r="N9691" s="7"/>
      <c r="P9691" s="7"/>
      <c r="R9691" s="7"/>
      <c r="T9691" s="7"/>
      <c r="V9691" s="7"/>
      <c r="X9691" s="7"/>
    </row>
    <row r="9692" spans="2:24">
      <c r="B9692" s="7"/>
      <c r="D9692" s="7"/>
      <c r="F9692" s="7"/>
      <c r="H9692" s="7"/>
      <c r="J9692" s="7"/>
      <c r="L9692" s="7"/>
      <c r="N9692" s="7"/>
      <c r="P9692" s="7"/>
      <c r="R9692" s="7"/>
      <c r="T9692" s="7"/>
      <c r="V9692" s="7"/>
      <c r="X9692" s="7"/>
    </row>
    <row r="9693" spans="2:24">
      <c r="B9693" s="7"/>
      <c r="D9693" s="7"/>
      <c r="F9693" s="7"/>
      <c r="H9693" s="7"/>
      <c r="J9693" s="7"/>
      <c r="L9693" s="7"/>
      <c r="N9693" s="7"/>
      <c r="P9693" s="7"/>
      <c r="R9693" s="7"/>
      <c r="T9693" s="7"/>
      <c r="V9693" s="7"/>
      <c r="X9693" s="7"/>
    </row>
    <row r="9694" spans="2:24">
      <c r="B9694" s="7"/>
      <c r="D9694" s="7"/>
      <c r="F9694" s="7"/>
      <c r="H9694" s="7"/>
      <c r="J9694" s="7"/>
      <c r="L9694" s="7"/>
      <c r="N9694" s="7"/>
      <c r="P9694" s="7"/>
      <c r="R9694" s="7"/>
      <c r="T9694" s="7"/>
      <c r="V9694" s="7"/>
      <c r="X9694" s="7"/>
    </row>
    <row r="9695" spans="2:24">
      <c r="B9695" s="7"/>
      <c r="D9695" s="7"/>
      <c r="F9695" s="7"/>
      <c r="H9695" s="7"/>
      <c r="J9695" s="7"/>
      <c r="L9695" s="7"/>
      <c r="N9695" s="7"/>
      <c r="P9695" s="7"/>
      <c r="R9695" s="7"/>
      <c r="T9695" s="7"/>
      <c r="V9695" s="7"/>
      <c r="X9695" s="7"/>
    </row>
    <row r="9696" spans="2:24">
      <c r="B9696" s="7"/>
      <c r="D9696" s="7"/>
      <c r="F9696" s="7"/>
      <c r="H9696" s="7"/>
      <c r="J9696" s="7"/>
      <c r="L9696" s="7"/>
      <c r="N9696" s="7"/>
      <c r="P9696" s="7"/>
      <c r="R9696" s="7"/>
      <c r="T9696" s="7"/>
      <c r="V9696" s="7"/>
      <c r="X9696" s="7"/>
    </row>
    <row r="9697" spans="2:24">
      <c r="B9697" s="7"/>
      <c r="D9697" s="7"/>
      <c r="F9697" s="7"/>
      <c r="H9697" s="7"/>
      <c r="J9697" s="7"/>
      <c r="L9697" s="7"/>
      <c r="N9697" s="7"/>
      <c r="P9697" s="7"/>
      <c r="R9697" s="7"/>
      <c r="T9697" s="7"/>
      <c r="V9697" s="7"/>
      <c r="X9697" s="7"/>
    </row>
    <row r="9698" spans="2:24">
      <c r="B9698" s="7"/>
      <c r="D9698" s="7"/>
      <c r="F9698" s="7"/>
      <c r="H9698" s="7"/>
      <c r="J9698" s="7"/>
      <c r="L9698" s="7"/>
      <c r="N9698" s="7"/>
      <c r="P9698" s="7"/>
      <c r="R9698" s="7"/>
      <c r="T9698" s="7"/>
      <c r="V9698" s="7"/>
      <c r="X9698" s="7"/>
    </row>
    <row r="9699" spans="2:24">
      <c r="B9699" s="7"/>
      <c r="D9699" s="7"/>
      <c r="F9699" s="7"/>
      <c r="H9699" s="7"/>
      <c r="J9699" s="7"/>
      <c r="L9699" s="7"/>
      <c r="N9699" s="7"/>
      <c r="P9699" s="7"/>
      <c r="R9699" s="7"/>
      <c r="T9699" s="7"/>
      <c r="V9699" s="7"/>
      <c r="X9699" s="7"/>
    </row>
    <row r="9700" spans="2:24">
      <c r="B9700" s="7"/>
      <c r="D9700" s="7"/>
      <c r="F9700" s="7"/>
      <c r="H9700" s="7"/>
      <c r="J9700" s="7"/>
      <c r="L9700" s="7"/>
      <c r="N9700" s="7"/>
      <c r="P9700" s="7"/>
      <c r="R9700" s="7"/>
      <c r="T9700" s="7"/>
      <c r="V9700" s="7"/>
      <c r="X9700" s="7"/>
    </row>
    <row r="9701" spans="2:24">
      <c r="B9701" s="7"/>
      <c r="D9701" s="7"/>
      <c r="F9701" s="7"/>
      <c r="H9701" s="7"/>
      <c r="J9701" s="7"/>
      <c r="L9701" s="7"/>
      <c r="N9701" s="7"/>
      <c r="P9701" s="7"/>
      <c r="R9701" s="7"/>
      <c r="T9701" s="7"/>
      <c r="V9701" s="7"/>
      <c r="X9701" s="7"/>
    </row>
    <row r="9702" spans="2:24">
      <c r="B9702" s="7"/>
      <c r="D9702" s="7"/>
      <c r="F9702" s="7"/>
      <c r="H9702" s="7"/>
      <c r="J9702" s="7"/>
      <c r="L9702" s="7"/>
      <c r="N9702" s="7"/>
      <c r="P9702" s="7"/>
      <c r="R9702" s="7"/>
      <c r="T9702" s="7"/>
      <c r="V9702" s="7"/>
      <c r="X9702" s="7"/>
    </row>
    <row r="9703" spans="2:24">
      <c r="B9703" s="7"/>
      <c r="D9703" s="7"/>
      <c r="F9703" s="7"/>
      <c r="H9703" s="7"/>
      <c r="J9703" s="7"/>
      <c r="L9703" s="7"/>
      <c r="N9703" s="7"/>
      <c r="P9703" s="7"/>
      <c r="R9703" s="7"/>
      <c r="T9703" s="7"/>
      <c r="V9703" s="7"/>
      <c r="X9703" s="7"/>
    </row>
    <row r="9704" spans="2:24">
      <c r="B9704" s="7"/>
      <c r="D9704" s="7"/>
      <c r="F9704" s="7"/>
      <c r="H9704" s="7"/>
      <c r="J9704" s="7"/>
      <c r="L9704" s="7"/>
      <c r="N9704" s="7"/>
      <c r="P9704" s="7"/>
      <c r="R9704" s="7"/>
      <c r="T9704" s="7"/>
      <c r="V9704" s="7"/>
      <c r="X9704" s="7"/>
    </row>
    <row r="9705" spans="2:24">
      <c r="B9705" s="7"/>
      <c r="D9705" s="7"/>
      <c r="F9705" s="7"/>
      <c r="H9705" s="7"/>
      <c r="J9705" s="7"/>
      <c r="L9705" s="7"/>
      <c r="N9705" s="7"/>
      <c r="P9705" s="7"/>
      <c r="R9705" s="7"/>
      <c r="T9705" s="7"/>
      <c r="V9705" s="7"/>
      <c r="X9705" s="7"/>
    </row>
    <row r="9706" spans="2:24">
      <c r="B9706" s="7"/>
      <c r="D9706" s="7"/>
      <c r="F9706" s="7"/>
      <c r="H9706" s="7"/>
      <c r="J9706" s="7"/>
      <c r="L9706" s="7"/>
      <c r="N9706" s="7"/>
      <c r="P9706" s="7"/>
      <c r="R9706" s="7"/>
      <c r="T9706" s="7"/>
      <c r="V9706" s="7"/>
      <c r="X9706" s="7"/>
    </row>
    <row r="9707" spans="2:24">
      <c r="B9707" s="7"/>
      <c r="D9707" s="7"/>
      <c r="F9707" s="7"/>
      <c r="H9707" s="7"/>
      <c r="J9707" s="7"/>
      <c r="L9707" s="7"/>
      <c r="N9707" s="7"/>
      <c r="P9707" s="7"/>
      <c r="R9707" s="7"/>
      <c r="T9707" s="7"/>
      <c r="V9707" s="7"/>
      <c r="X9707" s="7"/>
    </row>
    <row r="9708" spans="2:24">
      <c r="B9708" s="7"/>
      <c r="D9708" s="7"/>
      <c r="F9708" s="7"/>
      <c r="H9708" s="7"/>
      <c r="J9708" s="7"/>
      <c r="L9708" s="7"/>
      <c r="N9708" s="7"/>
      <c r="P9708" s="7"/>
      <c r="R9708" s="7"/>
      <c r="T9708" s="7"/>
      <c r="V9708" s="7"/>
      <c r="X9708" s="7"/>
    </row>
    <row r="9709" spans="2:24">
      <c r="B9709" s="7"/>
      <c r="D9709" s="7"/>
      <c r="F9709" s="7"/>
      <c r="H9709" s="7"/>
      <c r="J9709" s="7"/>
      <c r="L9709" s="7"/>
      <c r="N9709" s="7"/>
      <c r="P9709" s="7"/>
      <c r="R9709" s="7"/>
      <c r="T9709" s="7"/>
      <c r="V9709" s="7"/>
      <c r="X9709" s="7"/>
    </row>
    <row r="9710" spans="2:24">
      <c r="B9710" s="7"/>
      <c r="D9710" s="7"/>
      <c r="F9710" s="7"/>
      <c r="H9710" s="7"/>
      <c r="J9710" s="7"/>
      <c r="L9710" s="7"/>
      <c r="N9710" s="7"/>
      <c r="P9710" s="7"/>
      <c r="R9710" s="7"/>
      <c r="T9710" s="7"/>
      <c r="V9710" s="7"/>
      <c r="X9710" s="7"/>
    </row>
    <row r="9711" spans="2:24">
      <c r="B9711" s="7"/>
      <c r="D9711" s="7"/>
      <c r="F9711" s="7"/>
      <c r="H9711" s="7"/>
      <c r="J9711" s="7"/>
      <c r="L9711" s="7"/>
      <c r="N9711" s="7"/>
      <c r="P9711" s="7"/>
      <c r="R9711" s="7"/>
      <c r="T9711" s="7"/>
      <c r="V9711" s="7"/>
      <c r="X9711" s="7"/>
    </row>
    <row r="9712" spans="2:24">
      <c r="B9712" s="7"/>
      <c r="D9712" s="7"/>
      <c r="F9712" s="7"/>
      <c r="H9712" s="7"/>
      <c r="J9712" s="7"/>
      <c r="L9712" s="7"/>
      <c r="N9712" s="7"/>
      <c r="P9712" s="7"/>
      <c r="R9712" s="7"/>
      <c r="T9712" s="7"/>
      <c r="V9712" s="7"/>
      <c r="X9712" s="7"/>
    </row>
    <row r="9713" spans="2:24">
      <c r="B9713" s="7"/>
      <c r="D9713" s="7"/>
      <c r="F9713" s="7"/>
      <c r="H9713" s="7"/>
      <c r="J9713" s="7"/>
      <c r="L9713" s="7"/>
      <c r="N9713" s="7"/>
      <c r="P9713" s="7"/>
      <c r="R9713" s="7"/>
      <c r="T9713" s="7"/>
      <c r="V9713" s="7"/>
      <c r="X9713" s="7"/>
    </row>
    <row r="9714" spans="2:24">
      <c r="B9714" s="7"/>
      <c r="D9714" s="7"/>
      <c r="F9714" s="7"/>
      <c r="H9714" s="7"/>
      <c r="J9714" s="7"/>
      <c r="L9714" s="7"/>
      <c r="N9714" s="7"/>
      <c r="P9714" s="7"/>
      <c r="R9714" s="7"/>
      <c r="T9714" s="7"/>
      <c r="V9714" s="7"/>
      <c r="X9714" s="7"/>
    </row>
    <row r="9715" spans="2:24">
      <c r="B9715" s="7"/>
      <c r="D9715" s="7"/>
      <c r="F9715" s="7"/>
      <c r="H9715" s="7"/>
      <c r="J9715" s="7"/>
      <c r="L9715" s="7"/>
      <c r="N9715" s="7"/>
      <c r="P9715" s="7"/>
      <c r="R9715" s="7"/>
      <c r="T9715" s="7"/>
      <c r="V9715" s="7"/>
      <c r="X9715" s="7"/>
    </row>
    <row r="9716" spans="2:24">
      <c r="B9716" s="7"/>
      <c r="D9716" s="7"/>
      <c r="F9716" s="7"/>
      <c r="H9716" s="7"/>
      <c r="J9716" s="7"/>
      <c r="L9716" s="7"/>
      <c r="N9716" s="7"/>
      <c r="P9716" s="7"/>
      <c r="R9716" s="7"/>
      <c r="T9716" s="7"/>
      <c r="V9716" s="7"/>
      <c r="X9716" s="7"/>
    </row>
    <row r="9717" spans="2:24">
      <c r="B9717" s="7"/>
      <c r="D9717" s="7"/>
      <c r="F9717" s="7"/>
      <c r="H9717" s="7"/>
      <c r="J9717" s="7"/>
      <c r="L9717" s="7"/>
      <c r="N9717" s="7"/>
      <c r="P9717" s="7"/>
      <c r="R9717" s="7"/>
      <c r="T9717" s="7"/>
      <c r="V9717" s="7"/>
      <c r="X9717" s="7"/>
    </row>
    <row r="9718" spans="2:24">
      <c r="B9718" s="7"/>
      <c r="D9718" s="7"/>
      <c r="F9718" s="7"/>
      <c r="H9718" s="7"/>
      <c r="J9718" s="7"/>
      <c r="L9718" s="7"/>
      <c r="N9718" s="7"/>
      <c r="P9718" s="7"/>
      <c r="R9718" s="7"/>
      <c r="T9718" s="7"/>
      <c r="V9718" s="7"/>
      <c r="X9718" s="7"/>
    </row>
    <row r="9719" spans="2:24">
      <c r="B9719" s="7"/>
      <c r="D9719" s="7"/>
      <c r="F9719" s="7"/>
      <c r="H9719" s="7"/>
      <c r="J9719" s="7"/>
      <c r="L9719" s="7"/>
      <c r="N9719" s="7"/>
      <c r="P9719" s="7"/>
      <c r="R9719" s="7"/>
      <c r="T9719" s="7"/>
      <c r="V9719" s="7"/>
      <c r="X9719" s="7"/>
    </row>
    <row r="9720" spans="2:24">
      <c r="B9720" s="7"/>
      <c r="D9720" s="7"/>
      <c r="F9720" s="7"/>
      <c r="H9720" s="7"/>
      <c r="J9720" s="7"/>
      <c r="L9720" s="7"/>
      <c r="N9720" s="7"/>
      <c r="P9720" s="7"/>
      <c r="R9720" s="7"/>
      <c r="T9720" s="7"/>
      <c r="V9720" s="7"/>
      <c r="X9720" s="7"/>
    </row>
    <row r="9721" spans="2:24">
      <c r="B9721" s="7"/>
      <c r="D9721" s="7"/>
      <c r="F9721" s="7"/>
      <c r="H9721" s="7"/>
      <c r="J9721" s="7"/>
      <c r="L9721" s="7"/>
      <c r="N9721" s="7"/>
      <c r="P9721" s="7"/>
      <c r="R9721" s="7"/>
      <c r="T9721" s="7"/>
      <c r="V9721" s="7"/>
      <c r="X9721" s="7"/>
    </row>
    <row r="9722" spans="2:24">
      <c r="B9722" s="7"/>
      <c r="D9722" s="7"/>
      <c r="F9722" s="7"/>
      <c r="H9722" s="7"/>
      <c r="J9722" s="7"/>
      <c r="L9722" s="7"/>
      <c r="N9722" s="7"/>
      <c r="P9722" s="7"/>
      <c r="R9722" s="7"/>
      <c r="T9722" s="7"/>
      <c r="V9722" s="7"/>
      <c r="X9722" s="7"/>
    </row>
    <row r="9723" spans="2:24">
      <c r="B9723" s="7"/>
      <c r="D9723" s="7"/>
      <c r="F9723" s="7"/>
      <c r="H9723" s="7"/>
      <c r="J9723" s="7"/>
      <c r="L9723" s="7"/>
      <c r="N9723" s="7"/>
      <c r="P9723" s="7"/>
      <c r="R9723" s="7"/>
      <c r="T9723" s="7"/>
      <c r="V9723" s="7"/>
      <c r="X9723" s="7"/>
    </row>
    <row r="9724" spans="2:24">
      <c r="B9724" s="7"/>
      <c r="D9724" s="7"/>
      <c r="F9724" s="7"/>
      <c r="H9724" s="7"/>
      <c r="J9724" s="7"/>
      <c r="L9724" s="7"/>
      <c r="N9724" s="7"/>
      <c r="P9724" s="7"/>
      <c r="R9724" s="7"/>
      <c r="T9724" s="7"/>
      <c r="V9724" s="7"/>
      <c r="X9724" s="7"/>
    </row>
    <row r="9725" spans="2:24">
      <c r="B9725" s="7"/>
      <c r="D9725" s="7"/>
      <c r="F9725" s="7"/>
      <c r="H9725" s="7"/>
      <c r="J9725" s="7"/>
      <c r="L9725" s="7"/>
      <c r="N9725" s="7"/>
      <c r="P9725" s="7"/>
      <c r="R9725" s="7"/>
      <c r="T9725" s="7"/>
      <c r="V9725" s="7"/>
      <c r="X9725" s="7"/>
    </row>
    <row r="9726" spans="2:24">
      <c r="B9726" s="7"/>
      <c r="D9726" s="7"/>
      <c r="F9726" s="7"/>
      <c r="H9726" s="7"/>
      <c r="J9726" s="7"/>
      <c r="L9726" s="7"/>
      <c r="N9726" s="7"/>
      <c r="P9726" s="7"/>
      <c r="R9726" s="7"/>
      <c r="T9726" s="7"/>
      <c r="V9726" s="7"/>
      <c r="X9726" s="7"/>
    </row>
    <row r="9727" spans="2:24">
      <c r="B9727" s="7"/>
      <c r="D9727" s="7"/>
      <c r="F9727" s="7"/>
      <c r="H9727" s="7"/>
      <c r="J9727" s="7"/>
      <c r="L9727" s="7"/>
      <c r="N9727" s="7"/>
      <c r="P9727" s="7"/>
      <c r="R9727" s="7"/>
      <c r="T9727" s="7"/>
      <c r="V9727" s="7"/>
      <c r="X9727" s="7"/>
    </row>
    <row r="9728" spans="2:24">
      <c r="B9728" s="7"/>
      <c r="D9728" s="7"/>
      <c r="F9728" s="7"/>
      <c r="H9728" s="7"/>
      <c r="J9728" s="7"/>
      <c r="L9728" s="7"/>
      <c r="N9728" s="7"/>
      <c r="P9728" s="7"/>
      <c r="R9728" s="7"/>
      <c r="T9728" s="7"/>
      <c r="V9728" s="7"/>
      <c r="X9728" s="7"/>
    </row>
    <row r="9729" spans="2:24">
      <c r="B9729" s="7"/>
      <c r="D9729" s="7"/>
      <c r="F9729" s="7"/>
      <c r="H9729" s="7"/>
      <c r="J9729" s="7"/>
      <c r="L9729" s="7"/>
      <c r="N9729" s="7"/>
      <c r="P9729" s="7"/>
      <c r="R9729" s="7"/>
      <c r="T9729" s="7"/>
      <c r="V9729" s="7"/>
      <c r="X9729" s="7"/>
    </row>
    <row r="9730" spans="2:24">
      <c r="B9730" s="7"/>
      <c r="D9730" s="7"/>
      <c r="F9730" s="7"/>
      <c r="H9730" s="7"/>
      <c r="J9730" s="7"/>
      <c r="L9730" s="7"/>
      <c r="N9730" s="7"/>
      <c r="P9730" s="7"/>
      <c r="R9730" s="7"/>
      <c r="T9730" s="7"/>
      <c r="V9730" s="7"/>
      <c r="X9730" s="7"/>
    </row>
    <row r="9731" spans="2:24">
      <c r="B9731" s="7"/>
      <c r="D9731" s="7"/>
      <c r="F9731" s="7"/>
      <c r="H9731" s="7"/>
      <c r="J9731" s="7"/>
      <c r="L9731" s="7"/>
      <c r="N9731" s="7"/>
      <c r="P9731" s="7"/>
      <c r="R9731" s="7"/>
      <c r="T9731" s="7"/>
      <c r="V9731" s="7"/>
      <c r="X9731" s="7"/>
    </row>
    <row r="9732" spans="2:24">
      <c r="B9732" s="7"/>
      <c r="D9732" s="7"/>
      <c r="F9732" s="7"/>
      <c r="H9732" s="7"/>
      <c r="J9732" s="7"/>
      <c r="L9732" s="7"/>
      <c r="N9732" s="7"/>
      <c r="P9732" s="7"/>
      <c r="R9732" s="7"/>
      <c r="T9732" s="7"/>
      <c r="V9732" s="7"/>
      <c r="X9732" s="7"/>
    </row>
    <row r="9733" spans="2:24">
      <c r="B9733" s="7"/>
      <c r="D9733" s="7"/>
      <c r="F9733" s="7"/>
      <c r="H9733" s="7"/>
      <c r="J9733" s="7"/>
      <c r="L9733" s="7"/>
      <c r="N9733" s="7"/>
      <c r="P9733" s="7"/>
      <c r="R9733" s="7"/>
      <c r="T9733" s="7"/>
      <c r="V9733" s="7"/>
      <c r="X9733" s="7"/>
    </row>
    <row r="9734" spans="2:24">
      <c r="B9734" s="7"/>
      <c r="D9734" s="7"/>
      <c r="F9734" s="7"/>
      <c r="H9734" s="7"/>
      <c r="J9734" s="7"/>
      <c r="L9734" s="7"/>
      <c r="N9734" s="7"/>
      <c r="P9734" s="7"/>
      <c r="R9734" s="7"/>
      <c r="T9734" s="7"/>
      <c r="V9734" s="7"/>
      <c r="X9734" s="7"/>
    </row>
    <row r="9735" spans="2:24">
      <c r="B9735" s="7"/>
      <c r="D9735" s="7"/>
      <c r="F9735" s="7"/>
      <c r="H9735" s="7"/>
      <c r="J9735" s="7"/>
      <c r="L9735" s="7"/>
      <c r="N9735" s="7"/>
      <c r="P9735" s="7"/>
      <c r="R9735" s="7"/>
      <c r="T9735" s="7"/>
      <c r="V9735" s="7"/>
      <c r="X9735" s="7"/>
    </row>
    <row r="9736" spans="2:24">
      <c r="B9736" s="7"/>
      <c r="D9736" s="7"/>
      <c r="F9736" s="7"/>
      <c r="H9736" s="7"/>
      <c r="J9736" s="7"/>
      <c r="L9736" s="7"/>
      <c r="N9736" s="7"/>
      <c r="P9736" s="7"/>
      <c r="R9736" s="7"/>
      <c r="T9736" s="7"/>
      <c r="V9736" s="7"/>
      <c r="X9736" s="7"/>
    </row>
    <row r="9737" spans="2:24">
      <c r="B9737" s="7"/>
      <c r="D9737" s="7"/>
      <c r="F9737" s="7"/>
      <c r="H9737" s="7"/>
      <c r="J9737" s="7"/>
      <c r="L9737" s="7"/>
      <c r="N9737" s="7"/>
      <c r="P9737" s="7"/>
      <c r="R9737" s="7"/>
      <c r="T9737" s="7"/>
      <c r="V9737" s="7"/>
      <c r="X9737" s="7"/>
    </row>
    <row r="9738" spans="2:24">
      <c r="B9738" s="7"/>
      <c r="D9738" s="7"/>
      <c r="F9738" s="7"/>
      <c r="H9738" s="7"/>
      <c r="J9738" s="7"/>
      <c r="L9738" s="7"/>
      <c r="N9738" s="7"/>
      <c r="P9738" s="7"/>
      <c r="R9738" s="7"/>
      <c r="T9738" s="7"/>
      <c r="V9738" s="7"/>
      <c r="X9738" s="7"/>
    </row>
    <row r="9739" spans="2:24">
      <c r="B9739" s="7"/>
      <c r="D9739" s="7"/>
      <c r="F9739" s="7"/>
      <c r="H9739" s="7"/>
      <c r="J9739" s="7"/>
      <c r="L9739" s="7"/>
      <c r="N9739" s="7"/>
      <c r="P9739" s="7"/>
      <c r="R9739" s="7"/>
      <c r="T9739" s="7"/>
      <c r="V9739" s="7"/>
      <c r="X9739" s="7"/>
    </row>
    <row r="9740" spans="2:24">
      <c r="B9740" s="7"/>
      <c r="D9740" s="7"/>
      <c r="F9740" s="7"/>
      <c r="H9740" s="7"/>
      <c r="J9740" s="7"/>
      <c r="L9740" s="7"/>
      <c r="N9740" s="7"/>
      <c r="P9740" s="7"/>
      <c r="R9740" s="7"/>
      <c r="T9740" s="7"/>
      <c r="V9740" s="7"/>
      <c r="X9740" s="7"/>
    </row>
    <row r="9741" spans="2:24">
      <c r="B9741" s="7"/>
      <c r="D9741" s="7"/>
      <c r="F9741" s="7"/>
      <c r="H9741" s="7"/>
      <c r="J9741" s="7"/>
      <c r="L9741" s="7"/>
      <c r="N9741" s="7"/>
      <c r="P9741" s="7"/>
      <c r="R9741" s="7"/>
      <c r="T9741" s="7"/>
      <c r="V9741" s="7"/>
      <c r="X9741" s="7"/>
    </row>
    <row r="9742" spans="2:24">
      <c r="B9742" s="7"/>
      <c r="D9742" s="7"/>
      <c r="F9742" s="7"/>
      <c r="H9742" s="7"/>
      <c r="J9742" s="7"/>
      <c r="L9742" s="7"/>
      <c r="N9742" s="7"/>
      <c r="P9742" s="7"/>
      <c r="R9742" s="7"/>
      <c r="T9742" s="7"/>
      <c r="V9742" s="7"/>
      <c r="X9742" s="7"/>
    </row>
    <row r="9743" spans="2:24">
      <c r="B9743" s="7"/>
      <c r="D9743" s="7"/>
      <c r="F9743" s="7"/>
      <c r="H9743" s="7"/>
      <c r="J9743" s="7"/>
      <c r="L9743" s="7"/>
      <c r="N9743" s="7"/>
      <c r="P9743" s="7"/>
      <c r="R9743" s="7"/>
      <c r="T9743" s="7"/>
      <c r="V9743" s="7"/>
      <c r="X9743" s="7"/>
    </row>
    <row r="9744" spans="2:24">
      <c r="B9744" s="7"/>
      <c r="D9744" s="7"/>
      <c r="F9744" s="7"/>
      <c r="H9744" s="7"/>
      <c r="J9744" s="7"/>
      <c r="L9744" s="7"/>
      <c r="N9744" s="7"/>
      <c r="P9744" s="7"/>
      <c r="R9744" s="7"/>
      <c r="T9744" s="7"/>
      <c r="V9744" s="7"/>
      <c r="X9744" s="7"/>
    </row>
    <row r="9745" spans="2:24">
      <c r="B9745" s="7"/>
      <c r="D9745" s="7"/>
      <c r="F9745" s="7"/>
      <c r="H9745" s="7"/>
      <c r="J9745" s="7"/>
      <c r="L9745" s="7"/>
      <c r="N9745" s="7"/>
      <c r="P9745" s="7"/>
      <c r="R9745" s="7"/>
      <c r="T9745" s="7"/>
      <c r="V9745" s="7"/>
      <c r="X9745" s="7"/>
    </row>
    <row r="9746" spans="2:24">
      <c r="B9746" s="7"/>
      <c r="D9746" s="7"/>
      <c r="F9746" s="7"/>
      <c r="H9746" s="7"/>
      <c r="J9746" s="7"/>
      <c r="L9746" s="7"/>
      <c r="N9746" s="7"/>
      <c r="P9746" s="7"/>
      <c r="R9746" s="7"/>
      <c r="T9746" s="7"/>
      <c r="V9746" s="7"/>
      <c r="X9746" s="7"/>
    </row>
    <row r="9747" spans="2:24">
      <c r="B9747" s="7"/>
      <c r="D9747" s="7"/>
      <c r="F9747" s="7"/>
      <c r="H9747" s="7"/>
      <c r="J9747" s="7"/>
      <c r="L9747" s="7"/>
      <c r="N9747" s="7"/>
      <c r="P9747" s="7"/>
      <c r="R9747" s="7"/>
      <c r="T9747" s="7"/>
      <c r="V9747" s="7"/>
      <c r="X9747" s="7"/>
    </row>
    <row r="9748" spans="2:24">
      <c r="B9748" s="7"/>
      <c r="D9748" s="7"/>
      <c r="F9748" s="7"/>
      <c r="H9748" s="7"/>
      <c r="J9748" s="7"/>
      <c r="L9748" s="7"/>
      <c r="N9748" s="7"/>
      <c r="P9748" s="7"/>
      <c r="R9748" s="7"/>
      <c r="T9748" s="7"/>
      <c r="V9748" s="7"/>
      <c r="X9748" s="7"/>
    </row>
    <row r="9749" spans="2:24">
      <c r="B9749" s="7"/>
      <c r="D9749" s="7"/>
      <c r="F9749" s="7"/>
      <c r="H9749" s="7"/>
      <c r="J9749" s="7"/>
      <c r="L9749" s="7"/>
      <c r="N9749" s="7"/>
      <c r="P9749" s="7"/>
      <c r="R9749" s="7"/>
      <c r="T9749" s="7"/>
      <c r="V9749" s="7"/>
      <c r="X9749" s="7"/>
    </row>
    <row r="9750" spans="2:24">
      <c r="B9750" s="7"/>
      <c r="D9750" s="7"/>
      <c r="F9750" s="7"/>
      <c r="H9750" s="7"/>
      <c r="J9750" s="7"/>
      <c r="L9750" s="7"/>
      <c r="N9750" s="7"/>
      <c r="P9750" s="7"/>
      <c r="R9750" s="7"/>
      <c r="T9750" s="7"/>
      <c r="V9750" s="7"/>
      <c r="X9750" s="7"/>
    </row>
    <row r="9751" spans="2:24">
      <c r="B9751" s="7"/>
      <c r="D9751" s="7"/>
      <c r="F9751" s="7"/>
      <c r="H9751" s="7"/>
      <c r="J9751" s="7"/>
      <c r="L9751" s="7"/>
      <c r="N9751" s="7"/>
      <c r="P9751" s="7"/>
      <c r="R9751" s="7"/>
      <c r="T9751" s="7"/>
      <c r="V9751" s="7"/>
      <c r="X9751" s="7"/>
    </row>
    <row r="9752" spans="2:24">
      <c r="B9752" s="7"/>
      <c r="D9752" s="7"/>
      <c r="F9752" s="7"/>
      <c r="H9752" s="7"/>
      <c r="J9752" s="7"/>
      <c r="L9752" s="7"/>
      <c r="N9752" s="7"/>
      <c r="P9752" s="7"/>
      <c r="R9752" s="7"/>
      <c r="T9752" s="7"/>
      <c r="V9752" s="7"/>
      <c r="X9752" s="7"/>
    </row>
    <row r="9753" spans="2:24">
      <c r="B9753" s="7"/>
      <c r="D9753" s="7"/>
      <c r="F9753" s="7"/>
      <c r="H9753" s="7"/>
      <c r="J9753" s="7"/>
      <c r="L9753" s="7"/>
      <c r="N9753" s="7"/>
      <c r="P9753" s="7"/>
      <c r="R9753" s="7"/>
      <c r="T9753" s="7"/>
      <c r="V9753" s="7"/>
      <c r="X9753" s="7"/>
    </row>
    <row r="9754" spans="2:24">
      <c r="B9754" s="7"/>
      <c r="D9754" s="7"/>
      <c r="F9754" s="7"/>
      <c r="H9754" s="7"/>
      <c r="J9754" s="7"/>
      <c r="L9754" s="7"/>
      <c r="N9754" s="7"/>
      <c r="P9754" s="7"/>
      <c r="R9754" s="7"/>
      <c r="T9754" s="7"/>
      <c r="V9754" s="7"/>
      <c r="X9754" s="7"/>
    </row>
    <row r="9755" spans="2:24">
      <c r="B9755" s="7"/>
      <c r="D9755" s="7"/>
      <c r="F9755" s="7"/>
      <c r="H9755" s="7"/>
      <c r="J9755" s="7"/>
      <c r="L9755" s="7"/>
      <c r="N9755" s="7"/>
      <c r="P9755" s="7"/>
      <c r="R9755" s="7"/>
      <c r="T9755" s="7"/>
      <c r="V9755" s="7"/>
      <c r="X9755" s="7"/>
    </row>
    <row r="9756" spans="2:24">
      <c r="B9756" s="7"/>
      <c r="D9756" s="7"/>
      <c r="F9756" s="7"/>
      <c r="H9756" s="7"/>
      <c r="J9756" s="7"/>
      <c r="L9756" s="7"/>
      <c r="N9756" s="7"/>
      <c r="P9756" s="7"/>
      <c r="R9756" s="7"/>
      <c r="T9756" s="7"/>
      <c r="V9756" s="7"/>
      <c r="X9756" s="7"/>
    </row>
    <row r="9757" spans="2:24">
      <c r="B9757" s="7"/>
      <c r="D9757" s="7"/>
      <c r="F9757" s="7"/>
      <c r="H9757" s="7"/>
      <c r="J9757" s="7"/>
      <c r="L9757" s="7"/>
      <c r="N9757" s="7"/>
      <c r="P9757" s="7"/>
      <c r="R9757" s="7"/>
      <c r="T9757" s="7"/>
      <c r="V9757" s="7"/>
      <c r="X9757" s="7"/>
    </row>
    <row r="9758" spans="2:24">
      <c r="B9758" s="7"/>
      <c r="D9758" s="7"/>
      <c r="F9758" s="7"/>
      <c r="H9758" s="7"/>
      <c r="J9758" s="7"/>
      <c r="L9758" s="7"/>
      <c r="N9758" s="7"/>
      <c r="P9758" s="7"/>
      <c r="R9758" s="7"/>
      <c r="T9758" s="7"/>
      <c r="V9758" s="7"/>
      <c r="X9758" s="7"/>
    </row>
    <row r="9759" spans="2:24">
      <c r="B9759" s="7"/>
      <c r="D9759" s="7"/>
      <c r="F9759" s="7"/>
      <c r="H9759" s="7"/>
      <c r="J9759" s="7"/>
      <c r="L9759" s="7"/>
      <c r="N9759" s="7"/>
      <c r="P9759" s="7"/>
      <c r="R9759" s="7"/>
      <c r="T9759" s="7"/>
      <c r="V9759" s="7"/>
      <c r="X9759" s="7"/>
    </row>
    <row r="9760" spans="2:24">
      <c r="B9760" s="7"/>
      <c r="D9760" s="7"/>
      <c r="F9760" s="7"/>
      <c r="H9760" s="7"/>
      <c r="J9760" s="7"/>
      <c r="L9760" s="7"/>
      <c r="N9760" s="7"/>
      <c r="P9760" s="7"/>
      <c r="R9760" s="7"/>
      <c r="T9760" s="7"/>
      <c r="V9760" s="7"/>
      <c r="X9760" s="7"/>
    </row>
    <row r="9761" spans="2:24">
      <c r="B9761" s="7"/>
      <c r="D9761" s="7"/>
      <c r="F9761" s="7"/>
      <c r="H9761" s="7"/>
      <c r="J9761" s="7"/>
      <c r="L9761" s="7"/>
      <c r="N9761" s="7"/>
      <c r="P9761" s="7"/>
      <c r="R9761" s="7"/>
      <c r="T9761" s="7"/>
      <c r="V9761" s="7"/>
      <c r="X9761" s="7"/>
    </row>
    <row r="9762" spans="2:24">
      <c r="B9762" s="7"/>
      <c r="D9762" s="7"/>
      <c r="F9762" s="7"/>
      <c r="H9762" s="7"/>
      <c r="J9762" s="7"/>
      <c r="L9762" s="7"/>
      <c r="N9762" s="7"/>
      <c r="P9762" s="7"/>
      <c r="R9762" s="7"/>
      <c r="T9762" s="7"/>
      <c r="V9762" s="7"/>
      <c r="X9762" s="7"/>
    </row>
    <row r="9763" spans="2:24">
      <c r="B9763" s="7"/>
      <c r="D9763" s="7"/>
      <c r="F9763" s="7"/>
      <c r="H9763" s="7"/>
      <c r="J9763" s="7"/>
      <c r="L9763" s="7"/>
      <c r="N9763" s="7"/>
      <c r="P9763" s="7"/>
      <c r="R9763" s="7"/>
      <c r="T9763" s="7"/>
      <c r="V9763" s="7"/>
      <c r="X9763" s="7"/>
    </row>
    <row r="9764" spans="2:24">
      <c r="B9764" s="7"/>
      <c r="D9764" s="7"/>
      <c r="F9764" s="7"/>
      <c r="H9764" s="7"/>
      <c r="J9764" s="7"/>
      <c r="L9764" s="7"/>
      <c r="N9764" s="7"/>
      <c r="P9764" s="7"/>
      <c r="R9764" s="7"/>
      <c r="T9764" s="7"/>
      <c r="V9764" s="7"/>
      <c r="X9764" s="7"/>
    </row>
    <row r="9765" spans="2:24">
      <c r="B9765" s="7"/>
      <c r="D9765" s="7"/>
      <c r="F9765" s="7"/>
      <c r="H9765" s="7"/>
      <c r="J9765" s="7"/>
      <c r="L9765" s="7"/>
      <c r="N9765" s="7"/>
      <c r="P9765" s="7"/>
      <c r="R9765" s="7"/>
      <c r="T9765" s="7"/>
      <c r="V9765" s="7"/>
      <c r="X9765" s="7"/>
    </row>
    <row r="9766" spans="2:24">
      <c r="B9766" s="7"/>
      <c r="D9766" s="7"/>
      <c r="F9766" s="7"/>
      <c r="H9766" s="7"/>
      <c r="J9766" s="7"/>
      <c r="L9766" s="7"/>
      <c r="N9766" s="7"/>
      <c r="P9766" s="7"/>
      <c r="R9766" s="7"/>
      <c r="T9766" s="7"/>
      <c r="V9766" s="7"/>
      <c r="X9766" s="7"/>
    </row>
    <row r="9767" spans="2:24">
      <c r="B9767" s="7"/>
      <c r="D9767" s="7"/>
      <c r="F9767" s="7"/>
      <c r="H9767" s="7"/>
      <c r="J9767" s="7"/>
      <c r="L9767" s="7"/>
      <c r="N9767" s="7"/>
      <c r="P9767" s="7"/>
      <c r="R9767" s="7"/>
      <c r="T9767" s="7"/>
      <c r="V9767" s="7"/>
      <c r="X9767" s="7"/>
    </row>
    <row r="9768" spans="2:24">
      <c r="B9768" s="7"/>
      <c r="D9768" s="7"/>
      <c r="F9768" s="7"/>
      <c r="H9768" s="7"/>
      <c r="J9768" s="7"/>
      <c r="L9768" s="7"/>
      <c r="N9768" s="7"/>
      <c r="P9768" s="7"/>
      <c r="R9768" s="7"/>
      <c r="T9768" s="7"/>
      <c r="V9768" s="7"/>
      <c r="X9768" s="7"/>
    </row>
    <row r="9769" spans="2:24">
      <c r="B9769" s="7"/>
      <c r="D9769" s="7"/>
      <c r="F9769" s="7"/>
      <c r="H9769" s="7"/>
      <c r="J9769" s="7"/>
      <c r="L9769" s="7"/>
      <c r="N9769" s="7"/>
      <c r="P9769" s="7"/>
      <c r="R9769" s="7"/>
      <c r="T9769" s="7"/>
      <c r="V9769" s="7"/>
      <c r="X9769" s="7"/>
    </row>
    <row r="9770" spans="2:24">
      <c r="B9770" s="7"/>
      <c r="D9770" s="7"/>
      <c r="F9770" s="7"/>
      <c r="H9770" s="7"/>
      <c r="J9770" s="7"/>
      <c r="L9770" s="7"/>
      <c r="N9770" s="7"/>
      <c r="P9770" s="7"/>
      <c r="R9770" s="7"/>
      <c r="T9770" s="7"/>
      <c r="V9770" s="7"/>
      <c r="X9770" s="7"/>
    </row>
    <row r="9771" spans="2:24">
      <c r="B9771" s="7"/>
      <c r="D9771" s="7"/>
      <c r="F9771" s="7"/>
      <c r="H9771" s="7"/>
      <c r="J9771" s="7"/>
      <c r="L9771" s="7"/>
      <c r="N9771" s="7"/>
      <c r="P9771" s="7"/>
      <c r="R9771" s="7"/>
      <c r="T9771" s="7"/>
      <c r="V9771" s="7"/>
      <c r="X9771" s="7"/>
    </row>
    <row r="9772" spans="2:24">
      <c r="B9772" s="7"/>
      <c r="D9772" s="7"/>
      <c r="F9772" s="7"/>
      <c r="H9772" s="7"/>
      <c r="J9772" s="7"/>
      <c r="L9772" s="7"/>
      <c r="N9772" s="7"/>
      <c r="P9772" s="7"/>
      <c r="R9772" s="7"/>
      <c r="T9772" s="7"/>
      <c r="V9772" s="7"/>
      <c r="X9772" s="7"/>
    </row>
    <row r="9773" spans="2:24">
      <c r="B9773" s="7"/>
      <c r="D9773" s="7"/>
      <c r="F9773" s="7"/>
      <c r="H9773" s="7"/>
      <c r="J9773" s="7"/>
      <c r="L9773" s="7"/>
      <c r="N9773" s="7"/>
      <c r="P9773" s="7"/>
      <c r="R9773" s="7"/>
      <c r="T9773" s="7"/>
      <c r="V9773" s="7"/>
      <c r="X9773" s="7"/>
    </row>
    <row r="9774" spans="2:24">
      <c r="B9774" s="7"/>
      <c r="D9774" s="7"/>
      <c r="F9774" s="7"/>
      <c r="H9774" s="7"/>
      <c r="J9774" s="7"/>
      <c r="L9774" s="7"/>
      <c r="N9774" s="7"/>
      <c r="P9774" s="7"/>
      <c r="R9774" s="7"/>
      <c r="T9774" s="7"/>
      <c r="V9774" s="7"/>
      <c r="X9774" s="7"/>
    </row>
    <row r="9775" spans="2:24">
      <c r="B9775" s="7"/>
      <c r="D9775" s="7"/>
      <c r="F9775" s="7"/>
      <c r="H9775" s="7"/>
      <c r="J9775" s="7"/>
      <c r="L9775" s="7"/>
      <c r="N9775" s="7"/>
      <c r="P9775" s="7"/>
      <c r="R9775" s="7"/>
      <c r="T9775" s="7"/>
      <c r="V9775" s="7"/>
      <c r="X9775" s="7"/>
    </row>
    <row r="9776" spans="2:24">
      <c r="B9776" s="7"/>
      <c r="D9776" s="7"/>
      <c r="F9776" s="7"/>
      <c r="H9776" s="7"/>
      <c r="J9776" s="7"/>
      <c r="L9776" s="7"/>
      <c r="N9776" s="7"/>
      <c r="P9776" s="7"/>
      <c r="R9776" s="7"/>
      <c r="T9776" s="7"/>
      <c r="V9776" s="7"/>
      <c r="X9776" s="7"/>
    </row>
    <row r="9777" spans="2:24">
      <c r="B9777" s="7"/>
      <c r="D9777" s="7"/>
      <c r="F9777" s="7"/>
      <c r="H9777" s="7"/>
      <c r="J9777" s="7"/>
      <c r="L9777" s="7"/>
      <c r="N9777" s="7"/>
      <c r="P9777" s="7"/>
      <c r="R9777" s="7"/>
      <c r="T9777" s="7"/>
      <c r="V9777" s="7"/>
      <c r="X9777" s="7"/>
    </row>
    <row r="9778" spans="2:24">
      <c r="B9778" s="7"/>
      <c r="D9778" s="7"/>
      <c r="F9778" s="7"/>
      <c r="H9778" s="7"/>
      <c r="J9778" s="7"/>
      <c r="L9778" s="7"/>
      <c r="N9778" s="7"/>
      <c r="P9778" s="7"/>
      <c r="R9778" s="7"/>
      <c r="T9778" s="7"/>
      <c r="V9778" s="7"/>
      <c r="X9778" s="7"/>
    </row>
    <row r="9779" spans="2:24">
      <c r="B9779" s="7"/>
      <c r="D9779" s="7"/>
      <c r="F9779" s="7"/>
      <c r="H9779" s="7"/>
      <c r="J9779" s="7"/>
      <c r="L9779" s="7"/>
      <c r="N9779" s="7"/>
      <c r="P9779" s="7"/>
      <c r="R9779" s="7"/>
      <c r="T9779" s="7"/>
      <c r="V9779" s="7"/>
      <c r="X9779" s="7"/>
    </row>
    <row r="9780" spans="2:24">
      <c r="B9780" s="7"/>
      <c r="D9780" s="7"/>
      <c r="F9780" s="7"/>
      <c r="H9780" s="7"/>
      <c r="J9780" s="7"/>
      <c r="L9780" s="7"/>
      <c r="N9780" s="7"/>
      <c r="P9780" s="7"/>
      <c r="R9780" s="7"/>
      <c r="T9780" s="7"/>
      <c r="V9780" s="7"/>
      <c r="X9780" s="7"/>
    </row>
    <row r="9781" spans="2:24">
      <c r="B9781" s="7"/>
      <c r="D9781" s="7"/>
      <c r="F9781" s="7"/>
      <c r="H9781" s="7"/>
      <c r="J9781" s="7"/>
      <c r="L9781" s="7"/>
      <c r="N9781" s="7"/>
      <c r="P9781" s="7"/>
      <c r="R9781" s="7"/>
      <c r="T9781" s="7"/>
      <c r="V9781" s="7"/>
      <c r="X9781" s="7"/>
    </row>
    <row r="9782" spans="2:24">
      <c r="B9782" s="7"/>
      <c r="D9782" s="7"/>
      <c r="F9782" s="7"/>
      <c r="H9782" s="7"/>
      <c r="J9782" s="7"/>
      <c r="L9782" s="7"/>
      <c r="N9782" s="7"/>
      <c r="P9782" s="7"/>
      <c r="R9782" s="7"/>
      <c r="T9782" s="7"/>
      <c r="V9782" s="7"/>
      <c r="X9782" s="7"/>
    </row>
    <row r="9783" spans="2:24">
      <c r="B9783" s="7"/>
      <c r="D9783" s="7"/>
      <c r="F9783" s="7"/>
      <c r="H9783" s="7"/>
      <c r="J9783" s="7"/>
      <c r="L9783" s="7"/>
      <c r="N9783" s="7"/>
      <c r="P9783" s="7"/>
      <c r="R9783" s="7"/>
      <c r="T9783" s="7"/>
      <c r="V9783" s="7"/>
      <c r="X9783" s="7"/>
    </row>
    <row r="9784" spans="2:24">
      <c r="B9784" s="7"/>
      <c r="D9784" s="7"/>
      <c r="F9784" s="7"/>
      <c r="H9784" s="7"/>
      <c r="J9784" s="7"/>
      <c r="L9784" s="7"/>
      <c r="N9784" s="7"/>
      <c r="P9784" s="7"/>
      <c r="R9784" s="7"/>
      <c r="T9784" s="7"/>
      <c r="V9784" s="7"/>
      <c r="X9784" s="7"/>
    </row>
    <row r="9785" spans="2:24">
      <c r="B9785" s="7"/>
      <c r="D9785" s="7"/>
      <c r="F9785" s="7"/>
      <c r="H9785" s="7"/>
      <c r="J9785" s="7"/>
      <c r="L9785" s="7"/>
      <c r="N9785" s="7"/>
      <c r="P9785" s="7"/>
      <c r="R9785" s="7"/>
      <c r="T9785" s="7"/>
      <c r="V9785" s="7"/>
      <c r="X9785" s="7"/>
    </row>
    <row r="9786" spans="2:24">
      <c r="B9786" s="7"/>
      <c r="D9786" s="7"/>
      <c r="F9786" s="7"/>
      <c r="H9786" s="7"/>
      <c r="J9786" s="7"/>
      <c r="L9786" s="7"/>
      <c r="N9786" s="7"/>
      <c r="P9786" s="7"/>
      <c r="R9786" s="7"/>
      <c r="T9786" s="7"/>
      <c r="V9786" s="7"/>
      <c r="X9786" s="7"/>
    </row>
    <row r="9787" spans="2:24">
      <c r="B9787" s="7"/>
      <c r="D9787" s="7"/>
      <c r="F9787" s="7"/>
      <c r="H9787" s="7"/>
      <c r="J9787" s="7"/>
      <c r="L9787" s="7"/>
      <c r="N9787" s="7"/>
      <c r="P9787" s="7"/>
      <c r="R9787" s="7"/>
      <c r="T9787" s="7"/>
      <c r="V9787" s="7"/>
      <c r="X9787" s="7"/>
    </row>
    <row r="9788" spans="2:24">
      <c r="B9788" s="7"/>
      <c r="D9788" s="7"/>
      <c r="F9788" s="7"/>
      <c r="H9788" s="7"/>
      <c r="J9788" s="7"/>
      <c r="L9788" s="7"/>
      <c r="N9788" s="7"/>
      <c r="P9788" s="7"/>
      <c r="R9788" s="7"/>
      <c r="T9788" s="7"/>
      <c r="V9788" s="7"/>
      <c r="X9788" s="7"/>
    </row>
    <row r="9789" spans="2:24">
      <c r="B9789" s="7"/>
      <c r="D9789" s="7"/>
      <c r="F9789" s="7"/>
      <c r="H9789" s="7"/>
      <c r="J9789" s="7"/>
      <c r="L9789" s="7"/>
      <c r="N9789" s="7"/>
      <c r="P9789" s="7"/>
      <c r="R9789" s="7"/>
      <c r="T9789" s="7"/>
      <c r="V9789" s="7"/>
      <c r="X9789" s="7"/>
    </row>
    <row r="9790" spans="2:24">
      <c r="B9790" s="7"/>
      <c r="D9790" s="7"/>
      <c r="F9790" s="7"/>
      <c r="H9790" s="7"/>
      <c r="J9790" s="7"/>
      <c r="L9790" s="7"/>
      <c r="N9790" s="7"/>
      <c r="P9790" s="7"/>
      <c r="R9790" s="7"/>
      <c r="T9790" s="7"/>
      <c r="V9790" s="7"/>
      <c r="X9790" s="7"/>
    </row>
    <row r="9791" spans="2:24">
      <c r="B9791" s="7"/>
      <c r="D9791" s="7"/>
      <c r="F9791" s="7"/>
      <c r="H9791" s="7"/>
      <c r="J9791" s="7"/>
      <c r="L9791" s="7"/>
      <c r="N9791" s="7"/>
      <c r="P9791" s="7"/>
      <c r="R9791" s="7"/>
      <c r="T9791" s="7"/>
      <c r="V9791" s="7"/>
      <c r="X9791" s="7"/>
    </row>
    <row r="9792" spans="2:24">
      <c r="B9792" s="7"/>
      <c r="D9792" s="7"/>
      <c r="F9792" s="7"/>
      <c r="H9792" s="7"/>
      <c r="J9792" s="7"/>
      <c r="L9792" s="7"/>
      <c r="N9792" s="7"/>
      <c r="P9792" s="7"/>
      <c r="R9792" s="7"/>
      <c r="T9792" s="7"/>
      <c r="V9792" s="7"/>
      <c r="X9792" s="7"/>
    </row>
    <row r="9793" spans="2:24">
      <c r="B9793" s="7"/>
      <c r="D9793" s="7"/>
      <c r="F9793" s="7"/>
      <c r="H9793" s="7"/>
      <c r="J9793" s="7"/>
      <c r="L9793" s="7"/>
      <c r="N9793" s="7"/>
      <c r="P9793" s="7"/>
      <c r="R9793" s="7"/>
      <c r="T9793" s="7"/>
      <c r="V9793" s="7"/>
      <c r="X9793" s="7"/>
    </row>
    <row r="9794" spans="2:24">
      <c r="B9794" s="7"/>
      <c r="D9794" s="7"/>
      <c r="F9794" s="7"/>
      <c r="H9794" s="7"/>
      <c r="J9794" s="7"/>
      <c r="L9794" s="7"/>
      <c r="N9794" s="7"/>
      <c r="P9794" s="7"/>
      <c r="R9794" s="7"/>
      <c r="T9794" s="7"/>
      <c r="V9794" s="7"/>
      <c r="X9794" s="7"/>
    </row>
    <row r="9795" spans="2:24">
      <c r="B9795" s="7"/>
      <c r="D9795" s="7"/>
      <c r="F9795" s="7"/>
      <c r="H9795" s="7"/>
      <c r="J9795" s="7"/>
      <c r="L9795" s="7"/>
      <c r="N9795" s="7"/>
      <c r="P9795" s="7"/>
      <c r="R9795" s="7"/>
      <c r="T9795" s="7"/>
      <c r="V9795" s="7"/>
      <c r="X9795" s="7"/>
    </row>
    <row r="9796" spans="2:24">
      <c r="B9796" s="7"/>
      <c r="D9796" s="7"/>
      <c r="F9796" s="7"/>
      <c r="H9796" s="7"/>
      <c r="J9796" s="7"/>
      <c r="L9796" s="7"/>
      <c r="N9796" s="7"/>
      <c r="P9796" s="7"/>
      <c r="R9796" s="7"/>
      <c r="T9796" s="7"/>
      <c r="V9796" s="7"/>
      <c r="X9796" s="7"/>
    </row>
    <row r="9797" spans="2:24">
      <c r="B9797" s="7"/>
      <c r="D9797" s="7"/>
      <c r="F9797" s="7"/>
      <c r="H9797" s="7"/>
      <c r="J9797" s="7"/>
      <c r="L9797" s="7"/>
      <c r="N9797" s="7"/>
      <c r="P9797" s="7"/>
      <c r="R9797" s="7"/>
      <c r="T9797" s="7"/>
      <c r="V9797" s="7"/>
      <c r="X9797" s="7"/>
    </row>
    <row r="9798" spans="2:24">
      <c r="B9798" s="7"/>
      <c r="D9798" s="7"/>
      <c r="F9798" s="7"/>
      <c r="H9798" s="7"/>
      <c r="J9798" s="7"/>
      <c r="L9798" s="7"/>
      <c r="N9798" s="7"/>
      <c r="P9798" s="7"/>
      <c r="R9798" s="7"/>
      <c r="T9798" s="7"/>
      <c r="V9798" s="7"/>
      <c r="X9798" s="7"/>
    </row>
    <row r="9799" spans="2:24">
      <c r="B9799" s="7"/>
      <c r="D9799" s="7"/>
      <c r="F9799" s="7"/>
      <c r="H9799" s="7"/>
      <c r="J9799" s="7"/>
      <c r="L9799" s="7"/>
      <c r="N9799" s="7"/>
      <c r="P9799" s="7"/>
      <c r="R9799" s="7"/>
      <c r="T9799" s="7"/>
      <c r="V9799" s="7"/>
      <c r="X9799" s="7"/>
    </row>
    <row r="9800" spans="2:24">
      <c r="B9800" s="7"/>
      <c r="D9800" s="7"/>
      <c r="F9800" s="7"/>
      <c r="H9800" s="7"/>
      <c r="J9800" s="7"/>
      <c r="L9800" s="7"/>
      <c r="N9800" s="7"/>
      <c r="P9800" s="7"/>
      <c r="R9800" s="7"/>
      <c r="T9800" s="7"/>
      <c r="V9800" s="7"/>
      <c r="X9800" s="7"/>
    </row>
    <row r="9801" spans="2:24">
      <c r="B9801" s="7"/>
      <c r="D9801" s="7"/>
      <c r="F9801" s="7"/>
      <c r="H9801" s="7"/>
      <c r="J9801" s="7"/>
      <c r="L9801" s="7"/>
      <c r="N9801" s="7"/>
      <c r="P9801" s="7"/>
      <c r="R9801" s="7"/>
      <c r="T9801" s="7"/>
      <c r="V9801" s="7"/>
      <c r="X9801" s="7"/>
    </row>
    <row r="9802" spans="2:24">
      <c r="B9802" s="7"/>
      <c r="D9802" s="7"/>
      <c r="F9802" s="7"/>
      <c r="H9802" s="7"/>
      <c r="J9802" s="7"/>
      <c r="L9802" s="7"/>
      <c r="N9802" s="7"/>
      <c r="P9802" s="7"/>
      <c r="R9802" s="7"/>
      <c r="T9802" s="7"/>
      <c r="V9802" s="7"/>
      <c r="X9802" s="7"/>
    </row>
    <row r="9803" spans="2:24">
      <c r="B9803" s="7"/>
      <c r="D9803" s="7"/>
      <c r="F9803" s="7"/>
      <c r="H9803" s="7"/>
      <c r="J9803" s="7"/>
      <c r="L9803" s="7"/>
      <c r="N9803" s="7"/>
      <c r="P9803" s="7"/>
      <c r="R9803" s="7"/>
      <c r="T9803" s="7"/>
      <c r="V9803" s="7"/>
      <c r="X9803" s="7"/>
    </row>
    <row r="9804" spans="2:24">
      <c r="B9804" s="7"/>
      <c r="D9804" s="7"/>
      <c r="F9804" s="7"/>
      <c r="H9804" s="7"/>
      <c r="J9804" s="7"/>
      <c r="L9804" s="7"/>
      <c r="N9804" s="7"/>
      <c r="P9804" s="7"/>
      <c r="R9804" s="7"/>
      <c r="T9804" s="7"/>
      <c r="V9804" s="7"/>
      <c r="X9804" s="7"/>
    </row>
    <row r="9805" spans="2:24">
      <c r="B9805" s="7"/>
      <c r="D9805" s="7"/>
      <c r="F9805" s="7"/>
      <c r="H9805" s="7"/>
      <c r="J9805" s="7"/>
      <c r="L9805" s="7"/>
      <c r="N9805" s="7"/>
      <c r="P9805" s="7"/>
      <c r="R9805" s="7"/>
      <c r="T9805" s="7"/>
      <c r="V9805" s="7"/>
      <c r="X9805" s="7"/>
    </row>
    <row r="9806" spans="2:24">
      <c r="B9806" s="7"/>
      <c r="D9806" s="7"/>
      <c r="F9806" s="7"/>
      <c r="H9806" s="7"/>
      <c r="J9806" s="7"/>
      <c r="L9806" s="7"/>
      <c r="N9806" s="7"/>
      <c r="P9806" s="7"/>
      <c r="R9806" s="7"/>
      <c r="T9806" s="7"/>
      <c r="V9806" s="7"/>
      <c r="X9806" s="7"/>
    </row>
    <row r="9807" spans="2:24">
      <c r="B9807" s="7"/>
      <c r="D9807" s="7"/>
      <c r="F9807" s="7"/>
      <c r="H9807" s="7"/>
      <c r="J9807" s="7"/>
      <c r="L9807" s="7"/>
      <c r="N9807" s="7"/>
      <c r="P9807" s="7"/>
      <c r="R9807" s="7"/>
      <c r="T9807" s="7"/>
      <c r="V9807" s="7"/>
      <c r="X9807" s="7"/>
    </row>
    <row r="9808" spans="2:24">
      <c r="B9808" s="7"/>
      <c r="D9808" s="7"/>
      <c r="F9808" s="7"/>
      <c r="H9808" s="7"/>
      <c r="J9808" s="7"/>
      <c r="L9808" s="7"/>
      <c r="N9808" s="7"/>
      <c r="P9808" s="7"/>
      <c r="R9808" s="7"/>
      <c r="T9808" s="7"/>
      <c r="V9808" s="7"/>
      <c r="X9808" s="7"/>
    </row>
    <row r="9809" spans="2:24">
      <c r="B9809" s="7"/>
      <c r="D9809" s="7"/>
      <c r="F9809" s="7"/>
      <c r="H9809" s="7"/>
      <c r="J9809" s="7"/>
      <c r="L9809" s="7"/>
      <c r="N9809" s="7"/>
      <c r="P9809" s="7"/>
      <c r="R9809" s="7"/>
      <c r="T9809" s="7"/>
      <c r="V9809" s="7"/>
      <c r="X9809" s="7"/>
    </row>
    <row r="9810" spans="2:24">
      <c r="B9810" s="7"/>
      <c r="D9810" s="7"/>
      <c r="F9810" s="7"/>
      <c r="H9810" s="7"/>
      <c r="J9810" s="7"/>
      <c r="L9810" s="7"/>
      <c r="N9810" s="7"/>
      <c r="P9810" s="7"/>
      <c r="R9810" s="7"/>
      <c r="T9810" s="7"/>
      <c r="V9810" s="7"/>
      <c r="X9810" s="7"/>
    </row>
    <row r="9811" spans="2:24">
      <c r="B9811" s="7"/>
      <c r="D9811" s="7"/>
      <c r="F9811" s="7"/>
      <c r="H9811" s="7"/>
      <c r="J9811" s="7"/>
      <c r="L9811" s="7"/>
      <c r="N9811" s="7"/>
      <c r="P9811" s="7"/>
      <c r="R9811" s="7"/>
      <c r="T9811" s="7"/>
      <c r="V9811" s="7"/>
      <c r="X9811" s="7"/>
    </row>
    <row r="9812" spans="2:24">
      <c r="B9812" s="7"/>
      <c r="D9812" s="7"/>
      <c r="F9812" s="7"/>
      <c r="H9812" s="7"/>
      <c r="J9812" s="7"/>
      <c r="L9812" s="7"/>
      <c r="N9812" s="7"/>
      <c r="P9812" s="7"/>
      <c r="R9812" s="7"/>
      <c r="T9812" s="7"/>
      <c r="V9812" s="7"/>
      <c r="X9812" s="7"/>
    </row>
    <row r="9813" spans="2:24">
      <c r="B9813" s="7"/>
      <c r="D9813" s="7"/>
      <c r="F9813" s="7"/>
      <c r="H9813" s="7"/>
      <c r="J9813" s="7"/>
      <c r="L9813" s="7"/>
      <c r="N9813" s="7"/>
      <c r="P9813" s="7"/>
      <c r="R9813" s="7"/>
      <c r="T9813" s="7"/>
      <c r="V9813" s="7"/>
      <c r="X9813" s="7"/>
    </row>
    <row r="9814" spans="2:24">
      <c r="B9814" s="7"/>
      <c r="D9814" s="7"/>
      <c r="F9814" s="7"/>
      <c r="H9814" s="7"/>
      <c r="J9814" s="7"/>
      <c r="L9814" s="7"/>
      <c r="N9814" s="7"/>
      <c r="P9814" s="7"/>
      <c r="R9814" s="7"/>
      <c r="T9814" s="7"/>
      <c r="V9814" s="7"/>
      <c r="X9814" s="7"/>
    </row>
    <row r="9815" spans="2:24">
      <c r="B9815" s="7"/>
      <c r="D9815" s="7"/>
      <c r="F9815" s="7"/>
      <c r="H9815" s="7"/>
      <c r="J9815" s="7"/>
      <c r="L9815" s="7"/>
      <c r="N9815" s="7"/>
      <c r="P9815" s="7"/>
      <c r="R9815" s="7"/>
      <c r="T9815" s="7"/>
      <c r="V9815" s="7"/>
      <c r="X9815" s="7"/>
    </row>
    <row r="9816" spans="2:24">
      <c r="B9816" s="7"/>
      <c r="D9816" s="7"/>
      <c r="F9816" s="7"/>
      <c r="H9816" s="7"/>
      <c r="J9816" s="7"/>
      <c r="L9816" s="7"/>
      <c r="N9816" s="7"/>
      <c r="P9816" s="7"/>
      <c r="R9816" s="7"/>
      <c r="T9816" s="7"/>
      <c r="V9816" s="7"/>
      <c r="X9816" s="7"/>
    </row>
    <row r="9817" spans="2:24">
      <c r="B9817" s="7"/>
      <c r="D9817" s="7"/>
      <c r="F9817" s="7"/>
      <c r="H9817" s="7"/>
      <c r="J9817" s="7"/>
      <c r="L9817" s="7"/>
      <c r="N9817" s="7"/>
      <c r="P9817" s="7"/>
      <c r="R9817" s="7"/>
      <c r="T9817" s="7"/>
      <c r="V9817" s="7"/>
      <c r="X9817" s="7"/>
    </row>
    <row r="9818" spans="2:24">
      <c r="B9818" s="7"/>
      <c r="D9818" s="7"/>
      <c r="F9818" s="7"/>
      <c r="H9818" s="7"/>
      <c r="J9818" s="7"/>
      <c r="L9818" s="7"/>
      <c r="N9818" s="7"/>
      <c r="P9818" s="7"/>
      <c r="R9818" s="7"/>
      <c r="T9818" s="7"/>
      <c r="V9818" s="7"/>
      <c r="X9818" s="7"/>
    </row>
    <row r="9819" spans="2:24">
      <c r="B9819" s="7"/>
      <c r="D9819" s="7"/>
      <c r="F9819" s="7"/>
      <c r="H9819" s="7"/>
      <c r="J9819" s="7"/>
      <c r="L9819" s="7"/>
      <c r="N9819" s="7"/>
      <c r="P9819" s="7"/>
      <c r="R9819" s="7"/>
      <c r="T9819" s="7"/>
      <c r="V9819" s="7"/>
      <c r="X9819" s="7"/>
    </row>
    <row r="9820" spans="2:24">
      <c r="B9820" s="7"/>
      <c r="D9820" s="7"/>
      <c r="F9820" s="7"/>
      <c r="H9820" s="7"/>
      <c r="J9820" s="7"/>
      <c r="L9820" s="7"/>
      <c r="N9820" s="7"/>
      <c r="P9820" s="7"/>
      <c r="R9820" s="7"/>
      <c r="T9820" s="7"/>
      <c r="V9820" s="7"/>
      <c r="X9820" s="7"/>
    </row>
    <row r="9821" spans="2:24">
      <c r="B9821" s="7"/>
      <c r="D9821" s="7"/>
      <c r="F9821" s="7"/>
      <c r="H9821" s="7"/>
      <c r="J9821" s="7"/>
      <c r="L9821" s="7"/>
      <c r="N9821" s="7"/>
      <c r="P9821" s="7"/>
      <c r="R9821" s="7"/>
      <c r="T9821" s="7"/>
      <c r="V9821" s="7"/>
      <c r="X9821" s="7"/>
    </row>
    <row r="9822" spans="2:24">
      <c r="B9822" s="7"/>
      <c r="D9822" s="7"/>
      <c r="F9822" s="7"/>
      <c r="H9822" s="7"/>
      <c r="J9822" s="7"/>
      <c r="L9822" s="7"/>
      <c r="N9822" s="7"/>
      <c r="P9822" s="7"/>
      <c r="R9822" s="7"/>
      <c r="T9822" s="7"/>
      <c r="V9822" s="7"/>
      <c r="X9822" s="7"/>
    </row>
    <row r="9823" spans="2:24">
      <c r="B9823" s="7"/>
      <c r="D9823" s="7"/>
      <c r="F9823" s="7"/>
      <c r="H9823" s="7"/>
      <c r="J9823" s="7"/>
      <c r="L9823" s="7"/>
      <c r="N9823" s="7"/>
      <c r="P9823" s="7"/>
      <c r="R9823" s="7"/>
      <c r="T9823" s="7"/>
      <c r="V9823" s="7"/>
      <c r="X9823" s="7"/>
    </row>
    <row r="9824" spans="2:24">
      <c r="B9824" s="7"/>
      <c r="D9824" s="7"/>
      <c r="F9824" s="7"/>
      <c r="H9824" s="7"/>
      <c r="J9824" s="7"/>
      <c r="L9824" s="7"/>
      <c r="N9824" s="7"/>
      <c r="P9824" s="7"/>
      <c r="R9824" s="7"/>
      <c r="T9824" s="7"/>
      <c r="V9824" s="7"/>
      <c r="X9824" s="7"/>
    </row>
    <row r="9825" spans="2:24">
      <c r="B9825" s="7"/>
      <c r="D9825" s="7"/>
      <c r="F9825" s="7"/>
      <c r="H9825" s="7"/>
      <c r="J9825" s="7"/>
      <c r="L9825" s="7"/>
      <c r="N9825" s="7"/>
      <c r="P9825" s="7"/>
      <c r="R9825" s="7"/>
      <c r="T9825" s="7"/>
      <c r="V9825" s="7"/>
      <c r="X9825" s="7"/>
    </row>
    <row r="9826" spans="2:24">
      <c r="B9826" s="7"/>
      <c r="D9826" s="7"/>
      <c r="F9826" s="7"/>
      <c r="H9826" s="7"/>
      <c r="J9826" s="7"/>
      <c r="L9826" s="7"/>
      <c r="N9826" s="7"/>
      <c r="P9826" s="7"/>
      <c r="R9826" s="7"/>
      <c r="T9826" s="7"/>
      <c r="V9826" s="7"/>
      <c r="X9826" s="7"/>
    </row>
    <row r="9827" spans="2:24">
      <c r="B9827" s="7"/>
      <c r="D9827" s="7"/>
      <c r="F9827" s="7"/>
      <c r="H9827" s="7"/>
      <c r="J9827" s="7"/>
      <c r="L9827" s="7"/>
      <c r="N9827" s="7"/>
      <c r="P9827" s="7"/>
      <c r="R9827" s="7"/>
      <c r="T9827" s="7"/>
      <c r="V9827" s="7"/>
      <c r="X9827" s="7"/>
    </row>
    <row r="9828" spans="2:24">
      <c r="B9828" s="7"/>
      <c r="D9828" s="7"/>
      <c r="F9828" s="7"/>
      <c r="H9828" s="7"/>
      <c r="J9828" s="7"/>
      <c r="L9828" s="7"/>
      <c r="N9828" s="7"/>
      <c r="P9828" s="7"/>
      <c r="R9828" s="7"/>
      <c r="T9828" s="7"/>
      <c r="V9828" s="7"/>
      <c r="X9828" s="7"/>
    </row>
    <row r="9829" spans="2:24">
      <c r="B9829" s="7"/>
      <c r="D9829" s="7"/>
      <c r="F9829" s="7"/>
      <c r="H9829" s="7"/>
      <c r="J9829" s="7"/>
      <c r="L9829" s="7"/>
      <c r="N9829" s="7"/>
      <c r="P9829" s="7"/>
      <c r="R9829" s="7"/>
      <c r="T9829" s="7"/>
      <c r="V9829" s="7"/>
      <c r="X9829" s="7"/>
    </row>
    <row r="9830" spans="2:24">
      <c r="B9830" s="7"/>
      <c r="D9830" s="7"/>
      <c r="F9830" s="7"/>
      <c r="H9830" s="7"/>
      <c r="J9830" s="7"/>
      <c r="L9830" s="7"/>
      <c r="N9830" s="7"/>
      <c r="P9830" s="7"/>
      <c r="R9830" s="7"/>
      <c r="T9830" s="7"/>
      <c r="V9830" s="7"/>
      <c r="X9830" s="7"/>
    </row>
    <row r="9831" spans="2:24">
      <c r="B9831" s="7"/>
      <c r="D9831" s="7"/>
      <c r="F9831" s="7"/>
      <c r="H9831" s="7"/>
      <c r="J9831" s="7"/>
      <c r="L9831" s="7"/>
      <c r="N9831" s="7"/>
      <c r="P9831" s="7"/>
      <c r="R9831" s="7"/>
      <c r="T9831" s="7"/>
      <c r="V9831" s="7"/>
      <c r="X9831" s="7"/>
    </row>
    <row r="9832" spans="2:24">
      <c r="B9832" s="7"/>
      <c r="D9832" s="7"/>
      <c r="F9832" s="7"/>
      <c r="H9832" s="7"/>
      <c r="J9832" s="7"/>
      <c r="L9832" s="7"/>
      <c r="N9832" s="7"/>
      <c r="P9832" s="7"/>
      <c r="R9832" s="7"/>
      <c r="T9832" s="7"/>
      <c r="V9832" s="7"/>
      <c r="X9832" s="7"/>
    </row>
    <row r="9833" spans="2:24">
      <c r="B9833" s="7"/>
      <c r="D9833" s="7"/>
      <c r="F9833" s="7"/>
      <c r="H9833" s="7"/>
      <c r="J9833" s="7"/>
      <c r="L9833" s="7"/>
      <c r="N9833" s="7"/>
      <c r="P9833" s="7"/>
      <c r="R9833" s="7"/>
      <c r="T9833" s="7"/>
      <c r="V9833" s="7"/>
      <c r="X9833" s="7"/>
    </row>
    <row r="9834" spans="2:24">
      <c r="B9834" s="7"/>
      <c r="D9834" s="7"/>
      <c r="F9834" s="7"/>
      <c r="H9834" s="7"/>
      <c r="J9834" s="7"/>
      <c r="L9834" s="7"/>
      <c r="N9834" s="7"/>
      <c r="P9834" s="7"/>
      <c r="R9834" s="7"/>
      <c r="T9834" s="7"/>
      <c r="V9834" s="7"/>
      <c r="X9834" s="7"/>
    </row>
    <row r="9835" spans="2:24">
      <c r="B9835" s="7"/>
      <c r="D9835" s="7"/>
      <c r="F9835" s="7"/>
      <c r="H9835" s="7"/>
      <c r="J9835" s="7"/>
      <c r="L9835" s="7"/>
      <c r="N9835" s="7"/>
      <c r="P9835" s="7"/>
      <c r="R9835" s="7"/>
      <c r="T9835" s="7"/>
      <c r="V9835" s="7"/>
      <c r="X9835" s="7"/>
    </row>
    <row r="9836" spans="2:24">
      <c r="B9836" s="7"/>
      <c r="D9836" s="7"/>
      <c r="F9836" s="7"/>
      <c r="H9836" s="7"/>
      <c r="J9836" s="7"/>
      <c r="L9836" s="7"/>
      <c r="N9836" s="7"/>
      <c r="P9836" s="7"/>
      <c r="R9836" s="7"/>
      <c r="T9836" s="7"/>
      <c r="V9836" s="7"/>
      <c r="X9836" s="7"/>
    </row>
    <row r="9837" spans="2:24">
      <c r="B9837" s="7"/>
      <c r="D9837" s="7"/>
      <c r="F9837" s="7"/>
      <c r="H9837" s="7"/>
      <c r="J9837" s="7"/>
      <c r="L9837" s="7"/>
      <c r="N9837" s="7"/>
      <c r="P9837" s="7"/>
      <c r="R9837" s="7"/>
      <c r="T9837" s="7"/>
      <c r="V9837" s="7"/>
      <c r="X9837" s="7"/>
    </row>
    <row r="9838" spans="2:24">
      <c r="B9838" s="7"/>
      <c r="D9838" s="7"/>
      <c r="F9838" s="7"/>
      <c r="H9838" s="7"/>
      <c r="J9838" s="7"/>
      <c r="L9838" s="7"/>
      <c r="N9838" s="7"/>
      <c r="P9838" s="7"/>
      <c r="R9838" s="7"/>
      <c r="T9838" s="7"/>
      <c r="V9838" s="7"/>
      <c r="X9838" s="7"/>
    </row>
    <row r="9839" spans="2:24">
      <c r="B9839" s="7"/>
      <c r="D9839" s="7"/>
      <c r="F9839" s="7"/>
      <c r="H9839" s="7"/>
      <c r="J9839" s="7"/>
      <c r="L9839" s="7"/>
      <c r="N9839" s="7"/>
      <c r="P9839" s="7"/>
      <c r="R9839" s="7"/>
      <c r="T9839" s="7"/>
      <c r="V9839" s="7"/>
      <c r="X9839" s="7"/>
    </row>
    <row r="9840" spans="2:24">
      <c r="B9840" s="7"/>
      <c r="D9840" s="7"/>
      <c r="F9840" s="7"/>
      <c r="H9840" s="7"/>
      <c r="J9840" s="7"/>
      <c r="L9840" s="7"/>
      <c r="N9840" s="7"/>
      <c r="P9840" s="7"/>
      <c r="R9840" s="7"/>
      <c r="T9840" s="7"/>
      <c r="V9840" s="7"/>
      <c r="X9840" s="7"/>
    </row>
    <row r="9841" spans="2:24">
      <c r="B9841" s="7"/>
      <c r="D9841" s="7"/>
      <c r="F9841" s="7"/>
      <c r="H9841" s="7"/>
      <c r="J9841" s="7"/>
      <c r="L9841" s="7"/>
      <c r="N9841" s="7"/>
      <c r="P9841" s="7"/>
      <c r="R9841" s="7"/>
      <c r="T9841" s="7"/>
      <c r="V9841" s="7"/>
      <c r="X9841" s="7"/>
    </row>
    <row r="9842" spans="2:24">
      <c r="B9842" s="7"/>
      <c r="D9842" s="7"/>
      <c r="F9842" s="7"/>
      <c r="H9842" s="7"/>
      <c r="J9842" s="7"/>
      <c r="L9842" s="7"/>
      <c r="N9842" s="7"/>
      <c r="P9842" s="7"/>
      <c r="R9842" s="7"/>
      <c r="T9842" s="7"/>
      <c r="V9842" s="7"/>
      <c r="X9842" s="7"/>
    </row>
    <row r="9843" spans="2:24">
      <c r="B9843" s="7"/>
      <c r="D9843" s="7"/>
      <c r="F9843" s="7"/>
      <c r="H9843" s="7"/>
      <c r="J9843" s="7"/>
      <c r="L9843" s="7"/>
      <c r="N9843" s="7"/>
      <c r="P9843" s="7"/>
      <c r="R9843" s="7"/>
      <c r="T9843" s="7"/>
      <c r="V9843" s="7"/>
      <c r="X9843" s="7"/>
    </row>
    <row r="9844" spans="2:24">
      <c r="B9844" s="7"/>
      <c r="D9844" s="7"/>
      <c r="F9844" s="7"/>
      <c r="H9844" s="7"/>
      <c r="J9844" s="7"/>
      <c r="L9844" s="7"/>
      <c r="N9844" s="7"/>
      <c r="P9844" s="7"/>
      <c r="R9844" s="7"/>
      <c r="T9844" s="7"/>
      <c r="V9844" s="7"/>
      <c r="X9844" s="7"/>
    </row>
    <row r="9845" spans="2:24">
      <c r="B9845" s="7"/>
      <c r="D9845" s="7"/>
      <c r="F9845" s="7"/>
      <c r="H9845" s="7"/>
      <c r="J9845" s="7"/>
      <c r="L9845" s="7"/>
      <c r="N9845" s="7"/>
      <c r="P9845" s="7"/>
      <c r="R9845" s="7"/>
      <c r="T9845" s="7"/>
      <c r="V9845" s="7"/>
      <c r="X9845" s="7"/>
    </row>
    <row r="9846" spans="2:24">
      <c r="B9846" s="7"/>
      <c r="D9846" s="7"/>
      <c r="F9846" s="7"/>
      <c r="H9846" s="7"/>
      <c r="J9846" s="7"/>
      <c r="L9846" s="7"/>
      <c r="N9846" s="7"/>
      <c r="P9846" s="7"/>
      <c r="R9846" s="7"/>
      <c r="T9846" s="7"/>
      <c r="V9846" s="7"/>
      <c r="X9846" s="7"/>
    </row>
    <row r="9847" spans="2:24">
      <c r="B9847" s="7"/>
      <c r="D9847" s="7"/>
      <c r="F9847" s="7"/>
      <c r="H9847" s="7"/>
      <c r="J9847" s="7"/>
      <c r="L9847" s="7"/>
      <c r="N9847" s="7"/>
      <c r="P9847" s="7"/>
      <c r="R9847" s="7"/>
      <c r="T9847" s="7"/>
      <c r="V9847" s="7"/>
      <c r="X9847" s="7"/>
    </row>
    <row r="9848" spans="2:24">
      <c r="B9848" s="7"/>
      <c r="D9848" s="7"/>
      <c r="F9848" s="7"/>
      <c r="H9848" s="7"/>
      <c r="J9848" s="7"/>
      <c r="L9848" s="7"/>
      <c r="N9848" s="7"/>
      <c r="P9848" s="7"/>
      <c r="R9848" s="7"/>
      <c r="T9848" s="7"/>
      <c r="V9848" s="7"/>
      <c r="X9848" s="7"/>
    </row>
    <row r="9849" spans="2:24">
      <c r="B9849" s="7"/>
      <c r="D9849" s="7"/>
      <c r="F9849" s="7"/>
      <c r="H9849" s="7"/>
      <c r="J9849" s="7"/>
      <c r="L9849" s="7"/>
      <c r="N9849" s="7"/>
      <c r="P9849" s="7"/>
      <c r="R9849" s="7"/>
      <c r="T9849" s="7"/>
      <c r="V9849" s="7"/>
      <c r="X9849" s="7"/>
    </row>
    <row r="9850" spans="2:24">
      <c r="B9850" s="7"/>
      <c r="D9850" s="7"/>
      <c r="F9850" s="7"/>
      <c r="H9850" s="7"/>
      <c r="J9850" s="7"/>
      <c r="L9850" s="7"/>
      <c r="N9850" s="7"/>
      <c r="P9850" s="7"/>
      <c r="R9850" s="7"/>
      <c r="T9850" s="7"/>
      <c r="V9850" s="7"/>
      <c r="X9850" s="7"/>
    </row>
    <row r="9851" spans="2:24">
      <c r="B9851" s="7"/>
      <c r="D9851" s="7"/>
      <c r="F9851" s="7"/>
      <c r="H9851" s="7"/>
      <c r="J9851" s="7"/>
      <c r="L9851" s="7"/>
      <c r="N9851" s="7"/>
      <c r="P9851" s="7"/>
      <c r="R9851" s="7"/>
      <c r="T9851" s="7"/>
      <c r="V9851" s="7"/>
      <c r="X9851" s="7"/>
    </row>
    <row r="9852" spans="2:24">
      <c r="B9852" s="7"/>
      <c r="D9852" s="7"/>
      <c r="F9852" s="7"/>
      <c r="H9852" s="7"/>
      <c r="J9852" s="7"/>
      <c r="L9852" s="7"/>
      <c r="N9852" s="7"/>
      <c r="P9852" s="7"/>
      <c r="R9852" s="7"/>
      <c r="T9852" s="7"/>
      <c r="V9852" s="7"/>
      <c r="X9852" s="7"/>
    </row>
    <row r="9853" spans="2:24">
      <c r="B9853" s="7"/>
      <c r="D9853" s="7"/>
      <c r="F9853" s="7"/>
      <c r="H9853" s="7"/>
      <c r="J9853" s="7"/>
      <c r="L9853" s="7"/>
      <c r="N9853" s="7"/>
      <c r="P9853" s="7"/>
      <c r="R9853" s="7"/>
      <c r="T9853" s="7"/>
      <c r="V9853" s="7"/>
      <c r="X9853" s="7"/>
    </row>
    <row r="9854" spans="2:24">
      <c r="B9854" s="7"/>
      <c r="D9854" s="7"/>
      <c r="F9854" s="7"/>
      <c r="H9854" s="7"/>
      <c r="J9854" s="7"/>
      <c r="L9854" s="7"/>
      <c r="N9854" s="7"/>
      <c r="P9854" s="7"/>
      <c r="R9854" s="7"/>
      <c r="T9854" s="7"/>
      <c r="V9854" s="7"/>
      <c r="X9854" s="7"/>
    </row>
    <row r="9855" spans="2:24">
      <c r="B9855" s="7"/>
      <c r="D9855" s="7"/>
      <c r="F9855" s="7"/>
      <c r="H9855" s="7"/>
      <c r="J9855" s="7"/>
      <c r="L9855" s="7"/>
      <c r="N9855" s="7"/>
      <c r="P9855" s="7"/>
      <c r="R9855" s="7"/>
      <c r="T9855" s="7"/>
      <c r="V9855" s="7"/>
      <c r="X9855" s="7"/>
    </row>
    <row r="9856" spans="2:24">
      <c r="B9856" s="7"/>
      <c r="D9856" s="7"/>
      <c r="F9856" s="7"/>
      <c r="H9856" s="7"/>
      <c r="J9856" s="7"/>
      <c r="L9856" s="7"/>
      <c r="N9856" s="7"/>
      <c r="P9856" s="7"/>
      <c r="R9856" s="7"/>
      <c r="T9856" s="7"/>
      <c r="V9856" s="7"/>
      <c r="X9856" s="7"/>
    </row>
    <row r="9857" spans="2:24">
      <c r="B9857" s="7"/>
      <c r="D9857" s="7"/>
      <c r="F9857" s="7"/>
      <c r="H9857" s="7"/>
      <c r="J9857" s="7"/>
      <c r="L9857" s="7"/>
      <c r="N9857" s="7"/>
      <c r="P9857" s="7"/>
      <c r="R9857" s="7"/>
      <c r="T9857" s="7"/>
      <c r="V9857" s="7"/>
      <c r="X9857" s="7"/>
    </row>
    <row r="9858" spans="2:24">
      <c r="B9858" s="7"/>
      <c r="D9858" s="7"/>
      <c r="F9858" s="7"/>
      <c r="H9858" s="7"/>
      <c r="J9858" s="7"/>
      <c r="L9858" s="7"/>
      <c r="N9858" s="7"/>
      <c r="P9858" s="7"/>
      <c r="R9858" s="7"/>
      <c r="T9858" s="7"/>
      <c r="V9858" s="7"/>
      <c r="X9858" s="7"/>
    </row>
    <row r="9859" spans="2:24">
      <c r="B9859" s="7"/>
      <c r="D9859" s="7"/>
      <c r="F9859" s="7"/>
      <c r="H9859" s="7"/>
      <c r="J9859" s="7"/>
      <c r="L9859" s="7"/>
      <c r="N9859" s="7"/>
      <c r="P9859" s="7"/>
      <c r="R9859" s="7"/>
      <c r="T9859" s="7"/>
      <c r="V9859" s="7"/>
      <c r="X9859" s="7"/>
    </row>
    <row r="9860" spans="2:24">
      <c r="B9860" s="7"/>
      <c r="D9860" s="7"/>
      <c r="F9860" s="7"/>
      <c r="H9860" s="7"/>
      <c r="J9860" s="7"/>
      <c r="L9860" s="7"/>
      <c r="N9860" s="7"/>
      <c r="P9860" s="7"/>
      <c r="R9860" s="7"/>
      <c r="T9860" s="7"/>
      <c r="V9860" s="7"/>
      <c r="X9860" s="7"/>
    </row>
    <row r="9861" spans="2:24">
      <c r="B9861" s="7"/>
      <c r="D9861" s="7"/>
      <c r="F9861" s="7"/>
      <c r="H9861" s="7"/>
      <c r="J9861" s="7"/>
      <c r="L9861" s="7"/>
      <c r="N9861" s="7"/>
      <c r="P9861" s="7"/>
      <c r="R9861" s="7"/>
      <c r="T9861" s="7"/>
      <c r="V9861" s="7"/>
      <c r="X9861" s="7"/>
    </row>
    <row r="9862" spans="2:24">
      <c r="B9862" s="7"/>
      <c r="D9862" s="7"/>
      <c r="F9862" s="7"/>
      <c r="H9862" s="7"/>
      <c r="J9862" s="7"/>
      <c r="L9862" s="7"/>
      <c r="N9862" s="7"/>
      <c r="P9862" s="7"/>
      <c r="R9862" s="7"/>
      <c r="T9862" s="7"/>
      <c r="V9862" s="7"/>
      <c r="X9862" s="7"/>
    </row>
    <row r="9863" spans="2:24">
      <c r="B9863" s="7"/>
      <c r="D9863" s="7"/>
      <c r="F9863" s="7"/>
      <c r="H9863" s="7"/>
      <c r="J9863" s="7"/>
      <c r="L9863" s="7"/>
      <c r="N9863" s="7"/>
      <c r="P9863" s="7"/>
      <c r="R9863" s="7"/>
      <c r="T9863" s="7"/>
      <c r="V9863" s="7"/>
      <c r="X9863" s="7"/>
    </row>
    <row r="9864" spans="2:24">
      <c r="B9864" s="7"/>
      <c r="D9864" s="7"/>
      <c r="F9864" s="7"/>
      <c r="H9864" s="7"/>
      <c r="J9864" s="7"/>
      <c r="L9864" s="7"/>
      <c r="N9864" s="7"/>
      <c r="P9864" s="7"/>
      <c r="R9864" s="7"/>
      <c r="T9864" s="7"/>
      <c r="V9864" s="7"/>
      <c r="X9864" s="7"/>
    </row>
    <row r="9865" spans="2:24">
      <c r="B9865" s="7"/>
      <c r="D9865" s="7"/>
      <c r="F9865" s="7"/>
      <c r="H9865" s="7"/>
      <c r="J9865" s="7"/>
      <c r="L9865" s="7"/>
      <c r="N9865" s="7"/>
      <c r="P9865" s="7"/>
      <c r="R9865" s="7"/>
      <c r="T9865" s="7"/>
      <c r="V9865" s="7"/>
      <c r="X9865" s="7"/>
    </row>
    <row r="9866" spans="2:24">
      <c r="B9866" s="7"/>
      <c r="D9866" s="7"/>
      <c r="F9866" s="7"/>
      <c r="H9866" s="7"/>
      <c r="J9866" s="7"/>
      <c r="L9866" s="7"/>
      <c r="N9866" s="7"/>
      <c r="P9866" s="7"/>
      <c r="R9866" s="7"/>
      <c r="T9866" s="7"/>
      <c r="V9866" s="7"/>
      <c r="X9866" s="7"/>
    </row>
    <row r="9867" spans="2:24">
      <c r="B9867" s="7"/>
      <c r="D9867" s="7"/>
      <c r="F9867" s="7"/>
      <c r="H9867" s="7"/>
      <c r="J9867" s="7"/>
      <c r="L9867" s="7"/>
      <c r="N9867" s="7"/>
      <c r="P9867" s="7"/>
      <c r="R9867" s="7"/>
      <c r="T9867" s="7"/>
      <c r="V9867" s="7"/>
      <c r="X9867" s="7"/>
    </row>
    <row r="9868" spans="2:24">
      <c r="B9868" s="7"/>
      <c r="D9868" s="7"/>
      <c r="F9868" s="7"/>
      <c r="H9868" s="7"/>
      <c r="J9868" s="7"/>
      <c r="L9868" s="7"/>
      <c r="N9868" s="7"/>
      <c r="P9868" s="7"/>
      <c r="R9868" s="7"/>
      <c r="T9868" s="7"/>
      <c r="V9868" s="7"/>
      <c r="X9868" s="7"/>
    </row>
    <row r="9869" spans="2:24">
      <c r="B9869" s="7"/>
      <c r="D9869" s="7"/>
      <c r="F9869" s="7"/>
      <c r="H9869" s="7"/>
      <c r="J9869" s="7"/>
      <c r="L9869" s="7"/>
      <c r="N9869" s="7"/>
      <c r="P9869" s="7"/>
      <c r="R9869" s="7"/>
      <c r="T9869" s="7"/>
      <c r="V9869" s="7"/>
      <c r="X9869" s="7"/>
    </row>
    <row r="9870" spans="2:24">
      <c r="B9870" s="7"/>
      <c r="D9870" s="7"/>
      <c r="F9870" s="7"/>
      <c r="H9870" s="7"/>
      <c r="J9870" s="7"/>
      <c r="L9870" s="7"/>
      <c r="N9870" s="7"/>
      <c r="P9870" s="7"/>
      <c r="R9870" s="7"/>
      <c r="T9870" s="7"/>
      <c r="V9870" s="7"/>
      <c r="X9870" s="7"/>
    </row>
    <row r="9871" spans="2:24">
      <c r="B9871" s="7"/>
      <c r="D9871" s="7"/>
      <c r="F9871" s="7"/>
      <c r="H9871" s="7"/>
      <c r="J9871" s="7"/>
      <c r="L9871" s="7"/>
      <c r="N9871" s="7"/>
      <c r="P9871" s="7"/>
      <c r="R9871" s="7"/>
      <c r="T9871" s="7"/>
      <c r="V9871" s="7"/>
      <c r="X9871" s="7"/>
    </row>
    <row r="9872" spans="2:24">
      <c r="B9872" s="7"/>
      <c r="D9872" s="7"/>
      <c r="F9872" s="7"/>
      <c r="H9872" s="7"/>
      <c r="J9872" s="7"/>
      <c r="L9872" s="7"/>
      <c r="N9872" s="7"/>
      <c r="P9872" s="7"/>
      <c r="R9872" s="7"/>
      <c r="T9872" s="7"/>
      <c r="V9872" s="7"/>
      <c r="X9872" s="7"/>
    </row>
    <row r="9873" spans="2:24">
      <c r="B9873" s="7"/>
      <c r="D9873" s="7"/>
      <c r="F9873" s="7"/>
      <c r="H9873" s="7"/>
      <c r="J9873" s="7"/>
      <c r="L9873" s="7"/>
      <c r="N9873" s="7"/>
      <c r="P9873" s="7"/>
      <c r="R9873" s="7"/>
      <c r="T9873" s="7"/>
      <c r="V9873" s="7"/>
      <c r="X9873" s="7"/>
    </row>
    <row r="9874" spans="2:24">
      <c r="B9874" s="7"/>
      <c r="D9874" s="7"/>
      <c r="F9874" s="7"/>
      <c r="H9874" s="7"/>
      <c r="J9874" s="7"/>
      <c r="L9874" s="7"/>
      <c r="N9874" s="7"/>
      <c r="P9874" s="7"/>
      <c r="R9874" s="7"/>
      <c r="T9874" s="7"/>
      <c r="V9874" s="7"/>
      <c r="X9874" s="7"/>
    </row>
    <row r="9875" spans="2:24">
      <c r="B9875" s="7"/>
      <c r="D9875" s="7"/>
      <c r="F9875" s="7"/>
      <c r="H9875" s="7"/>
      <c r="J9875" s="7"/>
      <c r="L9875" s="7"/>
      <c r="N9875" s="7"/>
      <c r="P9875" s="7"/>
      <c r="R9875" s="7"/>
      <c r="T9875" s="7"/>
      <c r="V9875" s="7"/>
      <c r="X9875" s="7"/>
    </row>
    <row r="9876" spans="2:24">
      <c r="B9876" s="7"/>
      <c r="D9876" s="7"/>
      <c r="F9876" s="7"/>
      <c r="H9876" s="7"/>
      <c r="J9876" s="7"/>
      <c r="L9876" s="7"/>
      <c r="N9876" s="7"/>
      <c r="P9876" s="7"/>
      <c r="R9876" s="7"/>
      <c r="T9876" s="7"/>
      <c r="V9876" s="7"/>
      <c r="X9876" s="7"/>
    </row>
    <row r="9877" spans="2:24">
      <c r="B9877" s="7"/>
      <c r="D9877" s="7"/>
      <c r="F9877" s="7"/>
      <c r="H9877" s="7"/>
      <c r="J9877" s="7"/>
      <c r="L9877" s="7"/>
      <c r="N9877" s="7"/>
      <c r="P9877" s="7"/>
      <c r="R9877" s="7"/>
      <c r="T9877" s="7"/>
      <c r="V9877" s="7"/>
      <c r="X9877" s="7"/>
    </row>
    <row r="9878" spans="2:24">
      <c r="B9878" s="7"/>
      <c r="D9878" s="7"/>
      <c r="F9878" s="7"/>
      <c r="H9878" s="7"/>
      <c r="J9878" s="7"/>
      <c r="L9878" s="7"/>
      <c r="N9878" s="7"/>
      <c r="P9878" s="7"/>
      <c r="R9878" s="7"/>
      <c r="T9878" s="7"/>
      <c r="V9878" s="7"/>
      <c r="X9878" s="7"/>
    </row>
    <row r="9879" spans="2:24">
      <c r="B9879" s="7"/>
      <c r="D9879" s="7"/>
      <c r="F9879" s="7"/>
      <c r="H9879" s="7"/>
      <c r="J9879" s="7"/>
      <c r="L9879" s="7"/>
      <c r="N9879" s="7"/>
      <c r="P9879" s="7"/>
      <c r="R9879" s="7"/>
      <c r="T9879" s="7"/>
      <c r="V9879" s="7"/>
      <c r="X9879" s="7"/>
    </row>
    <row r="9880" spans="2:24">
      <c r="B9880" s="7"/>
      <c r="D9880" s="7"/>
      <c r="F9880" s="7"/>
      <c r="H9880" s="7"/>
      <c r="J9880" s="7"/>
      <c r="L9880" s="7"/>
      <c r="N9880" s="7"/>
      <c r="P9880" s="7"/>
      <c r="R9880" s="7"/>
      <c r="T9880" s="7"/>
      <c r="V9880" s="7"/>
      <c r="X9880" s="7"/>
    </row>
    <row r="9881" spans="2:24">
      <c r="B9881" s="7"/>
      <c r="D9881" s="7"/>
      <c r="F9881" s="7"/>
      <c r="H9881" s="7"/>
      <c r="J9881" s="7"/>
      <c r="L9881" s="7"/>
      <c r="N9881" s="7"/>
      <c r="P9881" s="7"/>
      <c r="R9881" s="7"/>
      <c r="T9881" s="7"/>
      <c r="V9881" s="7"/>
      <c r="X9881" s="7"/>
    </row>
    <row r="9882" spans="2:24">
      <c r="B9882" s="7"/>
      <c r="D9882" s="7"/>
      <c r="F9882" s="7"/>
      <c r="H9882" s="7"/>
      <c r="J9882" s="7"/>
      <c r="L9882" s="7"/>
      <c r="N9882" s="7"/>
      <c r="P9882" s="7"/>
      <c r="R9882" s="7"/>
      <c r="T9882" s="7"/>
      <c r="V9882" s="7"/>
      <c r="X9882" s="7"/>
    </row>
    <row r="9883" spans="2:24">
      <c r="B9883" s="7"/>
      <c r="D9883" s="7"/>
      <c r="F9883" s="7"/>
      <c r="H9883" s="7"/>
      <c r="J9883" s="7"/>
      <c r="L9883" s="7"/>
      <c r="N9883" s="7"/>
      <c r="P9883" s="7"/>
      <c r="R9883" s="7"/>
      <c r="T9883" s="7"/>
      <c r="V9883" s="7"/>
      <c r="X9883" s="7"/>
    </row>
    <row r="9884" spans="2:24">
      <c r="B9884" s="7"/>
      <c r="D9884" s="7"/>
      <c r="F9884" s="7"/>
      <c r="H9884" s="7"/>
      <c r="J9884" s="7"/>
      <c r="L9884" s="7"/>
      <c r="N9884" s="7"/>
      <c r="P9884" s="7"/>
      <c r="R9884" s="7"/>
      <c r="T9884" s="7"/>
      <c r="V9884" s="7"/>
      <c r="X9884" s="7"/>
    </row>
    <row r="9885" spans="2:24">
      <c r="B9885" s="7"/>
      <c r="D9885" s="7"/>
      <c r="F9885" s="7"/>
      <c r="H9885" s="7"/>
      <c r="J9885" s="7"/>
      <c r="L9885" s="7"/>
      <c r="N9885" s="7"/>
      <c r="P9885" s="7"/>
      <c r="R9885" s="7"/>
      <c r="T9885" s="7"/>
      <c r="V9885" s="7"/>
      <c r="X9885" s="7"/>
    </row>
    <row r="9886" spans="2:24">
      <c r="B9886" s="7"/>
      <c r="D9886" s="7"/>
      <c r="F9886" s="7"/>
      <c r="H9886" s="7"/>
      <c r="J9886" s="7"/>
      <c r="L9886" s="7"/>
      <c r="N9886" s="7"/>
      <c r="P9886" s="7"/>
      <c r="R9886" s="7"/>
      <c r="T9886" s="7"/>
      <c r="V9886" s="7"/>
      <c r="X9886" s="7"/>
    </row>
    <row r="9887" spans="2:24">
      <c r="B9887" s="7"/>
      <c r="D9887" s="7"/>
      <c r="F9887" s="7"/>
      <c r="H9887" s="7"/>
      <c r="J9887" s="7"/>
      <c r="L9887" s="7"/>
      <c r="N9887" s="7"/>
      <c r="P9887" s="7"/>
      <c r="R9887" s="7"/>
      <c r="T9887" s="7"/>
      <c r="V9887" s="7"/>
      <c r="X9887" s="7"/>
    </row>
    <row r="9888" spans="2:24">
      <c r="B9888" s="7"/>
      <c r="D9888" s="7"/>
      <c r="F9888" s="7"/>
      <c r="H9888" s="7"/>
      <c r="J9888" s="7"/>
      <c r="L9888" s="7"/>
      <c r="N9888" s="7"/>
      <c r="P9888" s="7"/>
      <c r="R9888" s="7"/>
      <c r="T9888" s="7"/>
      <c r="V9888" s="7"/>
      <c r="X9888" s="7"/>
    </row>
    <row r="9889" spans="2:24">
      <c r="B9889" s="7"/>
      <c r="D9889" s="7"/>
      <c r="F9889" s="7"/>
      <c r="H9889" s="7"/>
      <c r="J9889" s="7"/>
      <c r="L9889" s="7"/>
      <c r="N9889" s="7"/>
      <c r="P9889" s="7"/>
      <c r="R9889" s="7"/>
      <c r="T9889" s="7"/>
      <c r="V9889" s="7"/>
      <c r="X9889" s="7"/>
    </row>
    <row r="9890" spans="2:24">
      <c r="B9890" s="7"/>
      <c r="D9890" s="7"/>
      <c r="F9890" s="7"/>
      <c r="H9890" s="7"/>
      <c r="J9890" s="7"/>
      <c r="L9890" s="7"/>
      <c r="N9890" s="7"/>
      <c r="P9890" s="7"/>
      <c r="R9890" s="7"/>
      <c r="T9890" s="7"/>
      <c r="V9890" s="7"/>
      <c r="X9890" s="7"/>
    </row>
    <row r="9891" spans="2:24">
      <c r="B9891" s="7"/>
      <c r="D9891" s="7"/>
      <c r="F9891" s="7"/>
      <c r="H9891" s="7"/>
      <c r="J9891" s="7"/>
      <c r="L9891" s="7"/>
      <c r="N9891" s="7"/>
      <c r="P9891" s="7"/>
      <c r="R9891" s="7"/>
      <c r="T9891" s="7"/>
      <c r="V9891" s="7"/>
      <c r="X9891" s="7"/>
    </row>
    <row r="9892" spans="2:24">
      <c r="B9892" s="7"/>
      <c r="D9892" s="7"/>
      <c r="F9892" s="7"/>
      <c r="H9892" s="7"/>
      <c r="J9892" s="7"/>
      <c r="L9892" s="7"/>
      <c r="N9892" s="7"/>
      <c r="P9892" s="7"/>
      <c r="R9892" s="7"/>
      <c r="T9892" s="7"/>
      <c r="V9892" s="7"/>
      <c r="X9892" s="7"/>
    </row>
    <row r="9893" spans="2:24">
      <c r="B9893" s="7"/>
      <c r="D9893" s="7"/>
      <c r="F9893" s="7"/>
      <c r="H9893" s="7"/>
      <c r="J9893" s="7"/>
      <c r="L9893" s="7"/>
      <c r="N9893" s="7"/>
      <c r="P9893" s="7"/>
      <c r="R9893" s="7"/>
      <c r="T9893" s="7"/>
      <c r="V9893" s="7"/>
      <c r="X9893" s="7"/>
    </row>
    <row r="9894" spans="2:24">
      <c r="B9894" s="7"/>
      <c r="D9894" s="7"/>
      <c r="F9894" s="7"/>
      <c r="H9894" s="7"/>
      <c r="J9894" s="7"/>
      <c r="L9894" s="7"/>
      <c r="N9894" s="7"/>
      <c r="P9894" s="7"/>
      <c r="R9894" s="7"/>
      <c r="T9894" s="7"/>
      <c r="V9894" s="7"/>
      <c r="X9894" s="7"/>
    </row>
    <row r="9895" spans="2:24">
      <c r="B9895" s="7"/>
      <c r="D9895" s="7"/>
      <c r="F9895" s="7"/>
      <c r="H9895" s="7"/>
      <c r="J9895" s="7"/>
      <c r="L9895" s="7"/>
      <c r="N9895" s="7"/>
      <c r="P9895" s="7"/>
      <c r="R9895" s="7"/>
      <c r="T9895" s="7"/>
      <c r="V9895" s="7"/>
      <c r="X9895" s="7"/>
    </row>
    <row r="9896" spans="2:24">
      <c r="B9896" s="7"/>
      <c r="D9896" s="7"/>
      <c r="F9896" s="7"/>
      <c r="H9896" s="7"/>
      <c r="J9896" s="7"/>
      <c r="L9896" s="7"/>
      <c r="N9896" s="7"/>
      <c r="P9896" s="7"/>
      <c r="R9896" s="7"/>
      <c r="T9896" s="7"/>
      <c r="V9896" s="7"/>
      <c r="X9896" s="7"/>
    </row>
    <row r="9897" spans="2:24">
      <c r="B9897" s="7"/>
      <c r="D9897" s="7"/>
      <c r="F9897" s="7"/>
      <c r="H9897" s="7"/>
      <c r="J9897" s="7"/>
      <c r="L9897" s="7"/>
      <c r="N9897" s="7"/>
      <c r="P9897" s="7"/>
      <c r="R9897" s="7"/>
      <c r="T9897" s="7"/>
      <c r="V9897" s="7"/>
      <c r="X9897" s="7"/>
    </row>
    <row r="9898" spans="2:24">
      <c r="B9898" s="7"/>
      <c r="D9898" s="7"/>
      <c r="F9898" s="7"/>
      <c r="H9898" s="7"/>
      <c r="J9898" s="7"/>
      <c r="L9898" s="7"/>
      <c r="N9898" s="7"/>
      <c r="P9898" s="7"/>
      <c r="R9898" s="7"/>
      <c r="T9898" s="7"/>
      <c r="V9898" s="7"/>
      <c r="X9898" s="7"/>
    </row>
    <row r="9899" spans="2:24">
      <c r="B9899" s="7"/>
      <c r="D9899" s="7"/>
      <c r="F9899" s="7"/>
      <c r="H9899" s="7"/>
      <c r="J9899" s="7"/>
      <c r="L9899" s="7"/>
      <c r="N9899" s="7"/>
      <c r="P9899" s="7"/>
      <c r="R9899" s="7"/>
      <c r="T9899" s="7"/>
      <c r="V9899" s="7"/>
      <c r="X9899" s="7"/>
    </row>
    <row r="9900" spans="2:24">
      <c r="B9900" s="7"/>
      <c r="D9900" s="7"/>
      <c r="F9900" s="7"/>
      <c r="H9900" s="7"/>
      <c r="J9900" s="7"/>
      <c r="L9900" s="7"/>
      <c r="N9900" s="7"/>
      <c r="P9900" s="7"/>
      <c r="R9900" s="7"/>
      <c r="T9900" s="7"/>
      <c r="V9900" s="7"/>
      <c r="X9900" s="7"/>
    </row>
    <row r="9901" spans="2:24">
      <c r="B9901" s="7"/>
      <c r="D9901" s="7"/>
      <c r="F9901" s="7"/>
      <c r="H9901" s="7"/>
      <c r="J9901" s="7"/>
      <c r="L9901" s="7"/>
      <c r="N9901" s="7"/>
      <c r="P9901" s="7"/>
      <c r="R9901" s="7"/>
      <c r="T9901" s="7"/>
      <c r="V9901" s="7"/>
      <c r="X9901" s="7"/>
    </row>
    <row r="9902" spans="2:24">
      <c r="B9902" s="7"/>
      <c r="D9902" s="7"/>
      <c r="F9902" s="7"/>
      <c r="H9902" s="7"/>
      <c r="J9902" s="7"/>
      <c r="L9902" s="7"/>
      <c r="N9902" s="7"/>
      <c r="P9902" s="7"/>
      <c r="R9902" s="7"/>
      <c r="T9902" s="7"/>
      <c r="V9902" s="7"/>
      <c r="X9902" s="7"/>
    </row>
    <row r="9903" spans="2:24">
      <c r="B9903" s="7"/>
      <c r="D9903" s="7"/>
      <c r="F9903" s="7"/>
      <c r="H9903" s="7"/>
      <c r="J9903" s="7"/>
      <c r="L9903" s="7"/>
      <c r="N9903" s="7"/>
      <c r="P9903" s="7"/>
      <c r="R9903" s="7"/>
      <c r="T9903" s="7"/>
      <c r="V9903" s="7"/>
      <c r="X9903" s="7"/>
    </row>
    <row r="9904" spans="2:24">
      <c r="B9904" s="7"/>
      <c r="D9904" s="7"/>
      <c r="F9904" s="7"/>
      <c r="H9904" s="7"/>
      <c r="J9904" s="7"/>
      <c r="L9904" s="7"/>
      <c r="N9904" s="7"/>
      <c r="P9904" s="7"/>
      <c r="R9904" s="7"/>
      <c r="T9904" s="7"/>
      <c r="V9904" s="7"/>
      <c r="X9904" s="7"/>
    </row>
    <row r="9905" spans="2:24">
      <c r="B9905" s="7"/>
      <c r="D9905" s="7"/>
      <c r="F9905" s="7"/>
      <c r="H9905" s="7"/>
      <c r="J9905" s="7"/>
      <c r="L9905" s="7"/>
      <c r="N9905" s="7"/>
      <c r="P9905" s="7"/>
      <c r="R9905" s="7"/>
      <c r="T9905" s="7"/>
      <c r="V9905" s="7"/>
      <c r="X9905" s="7"/>
    </row>
    <row r="9906" spans="2:24">
      <c r="B9906" s="7"/>
      <c r="D9906" s="7"/>
      <c r="F9906" s="7"/>
      <c r="H9906" s="7"/>
      <c r="J9906" s="7"/>
      <c r="L9906" s="7"/>
      <c r="N9906" s="7"/>
      <c r="P9906" s="7"/>
      <c r="R9906" s="7"/>
      <c r="T9906" s="7"/>
      <c r="V9906" s="7"/>
      <c r="X9906" s="7"/>
    </row>
    <row r="9907" spans="2:24">
      <c r="B9907" s="7"/>
      <c r="D9907" s="7"/>
      <c r="F9907" s="7"/>
      <c r="H9907" s="7"/>
      <c r="J9907" s="7"/>
      <c r="L9907" s="7"/>
      <c r="N9907" s="7"/>
      <c r="P9907" s="7"/>
      <c r="R9907" s="7"/>
      <c r="T9907" s="7"/>
      <c r="V9907" s="7"/>
      <c r="X9907" s="7"/>
    </row>
    <row r="9908" spans="2:24">
      <c r="B9908" s="7"/>
      <c r="D9908" s="7"/>
      <c r="F9908" s="7"/>
      <c r="H9908" s="7"/>
      <c r="J9908" s="7"/>
      <c r="L9908" s="7"/>
      <c r="N9908" s="7"/>
      <c r="P9908" s="7"/>
      <c r="R9908" s="7"/>
      <c r="T9908" s="7"/>
      <c r="V9908" s="7"/>
      <c r="X9908" s="7"/>
    </row>
    <row r="9909" spans="2:24">
      <c r="B9909" s="7"/>
      <c r="D9909" s="7"/>
      <c r="F9909" s="7"/>
      <c r="H9909" s="7"/>
      <c r="J9909" s="7"/>
      <c r="L9909" s="7"/>
      <c r="N9909" s="7"/>
      <c r="P9909" s="7"/>
      <c r="R9909" s="7"/>
      <c r="T9909" s="7"/>
      <c r="V9909" s="7"/>
      <c r="X9909" s="7"/>
    </row>
    <row r="9910" spans="2:24">
      <c r="B9910" s="7"/>
      <c r="D9910" s="7"/>
      <c r="F9910" s="7"/>
      <c r="H9910" s="7"/>
      <c r="J9910" s="7"/>
      <c r="L9910" s="7"/>
      <c r="N9910" s="7"/>
      <c r="P9910" s="7"/>
      <c r="R9910" s="7"/>
      <c r="T9910" s="7"/>
      <c r="V9910" s="7"/>
      <c r="X9910" s="7"/>
    </row>
    <row r="9911" spans="2:24">
      <c r="B9911" s="7"/>
      <c r="D9911" s="7"/>
      <c r="F9911" s="7"/>
      <c r="H9911" s="7"/>
      <c r="J9911" s="7"/>
      <c r="L9911" s="7"/>
      <c r="N9911" s="7"/>
      <c r="P9911" s="7"/>
      <c r="R9911" s="7"/>
      <c r="T9911" s="7"/>
      <c r="V9911" s="7"/>
      <c r="X9911" s="7"/>
    </row>
    <row r="9912" spans="2:24">
      <c r="B9912" s="7"/>
      <c r="D9912" s="7"/>
      <c r="F9912" s="7"/>
      <c r="H9912" s="7"/>
      <c r="J9912" s="7"/>
      <c r="L9912" s="7"/>
      <c r="N9912" s="7"/>
      <c r="P9912" s="7"/>
      <c r="R9912" s="7"/>
      <c r="T9912" s="7"/>
      <c r="V9912" s="7"/>
      <c r="X9912" s="7"/>
    </row>
    <row r="9913" spans="2:24">
      <c r="B9913" s="7"/>
      <c r="D9913" s="7"/>
      <c r="F9913" s="7"/>
      <c r="H9913" s="7"/>
      <c r="J9913" s="7"/>
      <c r="L9913" s="7"/>
      <c r="N9913" s="7"/>
      <c r="P9913" s="7"/>
      <c r="R9913" s="7"/>
      <c r="T9913" s="7"/>
      <c r="V9913" s="7"/>
      <c r="X9913" s="7"/>
    </row>
    <row r="9914" spans="2:24">
      <c r="B9914" s="7"/>
      <c r="D9914" s="7"/>
      <c r="F9914" s="7"/>
      <c r="H9914" s="7"/>
      <c r="J9914" s="7"/>
      <c r="L9914" s="7"/>
      <c r="N9914" s="7"/>
      <c r="P9914" s="7"/>
      <c r="R9914" s="7"/>
      <c r="T9914" s="7"/>
      <c r="V9914" s="7"/>
      <c r="X9914" s="7"/>
    </row>
    <row r="9915" spans="2:24">
      <c r="B9915" s="7"/>
      <c r="D9915" s="7"/>
      <c r="F9915" s="7"/>
      <c r="H9915" s="7"/>
      <c r="J9915" s="7"/>
      <c r="L9915" s="7"/>
      <c r="N9915" s="7"/>
      <c r="P9915" s="7"/>
      <c r="R9915" s="7"/>
      <c r="T9915" s="7"/>
      <c r="V9915" s="7"/>
      <c r="X9915" s="7"/>
    </row>
    <row r="9916" spans="2:24">
      <c r="B9916" s="7"/>
      <c r="D9916" s="7"/>
      <c r="F9916" s="7"/>
      <c r="H9916" s="7"/>
      <c r="J9916" s="7"/>
      <c r="L9916" s="7"/>
      <c r="N9916" s="7"/>
      <c r="P9916" s="7"/>
      <c r="R9916" s="7"/>
      <c r="T9916" s="7"/>
      <c r="V9916" s="7"/>
      <c r="X9916" s="7"/>
    </row>
    <row r="9917" spans="2:24">
      <c r="B9917" s="7"/>
      <c r="D9917" s="7"/>
      <c r="F9917" s="7"/>
      <c r="H9917" s="7"/>
      <c r="J9917" s="7"/>
      <c r="L9917" s="7"/>
      <c r="N9917" s="7"/>
      <c r="P9917" s="7"/>
      <c r="R9917" s="7"/>
      <c r="T9917" s="7"/>
      <c r="V9917" s="7"/>
      <c r="X9917" s="7"/>
    </row>
    <row r="9918" spans="2:24">
      <c r="B9918" s="7"/>
      <c r="D9918" s="7"/>
      <c r="F9918" s="7"/>
      <c r="H9918" s="7"/>
      <c r="J9918" s="7"/>
      <c r="L9918" s="7"/>
      <c r="N9918" s="7"/>
      <c r="P9918" s="7"/>
      <c r="R9918" s="7"/>
      <c r="T9918" s="7"/>
      <c r="V9918" s="7"/>
      <c r="X9918" s="7"/>
    </row>
    <row r="9919" spans="2:24">
      <c r="B9919" s="7"/>
      <c r="D9919" s="7"/>
      <c r="F9919" s="7"/>
      <c r="H9919" s="7"/>
      <c r="J9919" s="7"/>
      <c r="L9919" s="7"/>
      <c r="N9919" s="7"/>
      <c r="P9919" s="7"/>
      <c r="R9919" s="7"/>
      <c r="T9919" s="7"/>
      <c r="V9919" s="7"/>
      <c r="X9919" s="7"/>
    </row>
    <row r="9920" spans="2:24">
      <c r="B9920" s="7"/>
      <c r="D9920" s="7"/>
      <c r="F9920" s="7"/>
      <c r="H9920" s="7"/>
      <c r="J9920" s="7"/>
      <c r="L9920" s="7"/>
      <c r="N9920" s="7"/>
      <c r="P9920" s="7"/>
      <c r="R9920" s="7"/>
      <c r="T9920" s="7"/>
      <c r="V9920" s="7"/>
      <c r="X9920" s="7"/>
    </row>
    <row r="9921" spans="2:24">
      <c r="B9921" s="7"/>
      <c r="D9921" s="7"/>
      <c r="F9921" s="7"/>
      <c r="H9921" s="7"/>
      <c r="J9921" s="7"/>
      <c r="L9921" s="7"/>
      <c r="N9921" s="7"/>
      <c r="P9921" s="7"/>
      <c r="R9921" s="7"/>
      <c r="T9921" s="7"/>
      <c r="V9921" s="7"/>
      <c r="X9921" s="7"/>
    </row>
    <row r="9922" spans="2:24">
      <c r="B9922" s="7"/>
      <c r="D9922" s="7"/>
      <c r="F9922" s="7"/>
      <c r="H9922" s="7"/>
      <c r="J9922" s="7"/>
      <c r="L9922" s="7"/>
      <c r="N9922" s="7"/>
      <c r="P9922" s="7"/>
      <c r="R9922" s="7"/>
      <c r="T9922" s="7"/>
      <c r="V9922" s="7"/>
      <c r="X9922" s="7"/>
    </row>
    <row r="9923" spans="2:24">
      <c r="B9923" s="7"/>
      <c r="D9923" s="7"/>
      <c r="F9923" s="7"/>
      <c r="H9923" s="7"/>
      <c r="J9923" s="7"/>
      <c r="L9923" s="7"/>
      <c r="N9923" s="7"/>
      <c r="P9923" s="7"/>
      <c r="R9923" s="7"/>
      <c r="T9923" s="7"/>
      <c r="V9923" s="7"/>
      <c r="X9923" s="7"/>
    </row>
    <row r="9924" spans="2:24">
      <c r="B9924" s="7"/>
      <c r="D9924" s="7"/>
      <c r="F9924" s="7"/>
      <c r="H9924" s="7"/>
      <c r="J9924" s="7"/>
      <c r="L9924" s="7"/>
      <c r="N9924" s="7"/>
      <c r="P9924" s="7"/>
      <c r="R9924" s="7"/>
      <c r="T9924" s="7"/>
      <c r="V9924" s="7"/>
      <c r="X9924" s="7"/>
    </row>
    <row r="9925" spans="2:24">
      <c r="B9925" s="7"/>
      <c r="D9925" s="7"/>
      <c r="F9925" s="7"/>
      <c r="H9925" s="7"/>
      <c r="J9925" s="7"/>
      <c r="L9925" s="7"/>
      <c r="N9925" s="7"/>
      <c r="P9925" s="7"/>
      <c r="R9925" s="7"/>
      <c r="T9925" s="7"/>
      <c r="V9925" s="7"/>
      <c r="X9925" s="7"/>
    </row>
    <row r="9926" spans="2:24">
      <c r="B9926" s="7"/>
      <c r="D9926" s="7"/>
      <c r="F9926" s="7"/>
      <c r="H9926" s="7"/>
      <c r="J9926" s="7"/>
      <c r="L9926" s="7"/>
      <c r="N9926" s="7"/>
      <c r="P9926" s="7"/>
      <c r="R9926" s="7"/>
      <c r="T9926" s="7"/>
      <c r="V9926" s="7"/>
      <c r="X9926" s="7"/>
    </row>
    <row r="9927" spans="2:24">
      <c r="B9927" s="7"/>
      <c r="D9927" s="7"/>
      <c r="F9927" s="7"/>
      <c r="H9927" s="7"/>
      <c r="J9927" s="7"/>
      <c r="L9927" s="7"/>
      <c r="N9927" s="7"/>
      <c r="P9927" s="7"/>
      <c r="R9927" s="7"/>
      <c r="T9927" s="7"/>
      <c r="V9927" s="7"/>
      <c r="X9927" s="7"/>
    </row>
    <row r="9928" spans="2:24">
      <c r="B9928" s="7"/>
      <c r="D9928" s="7"/>
      <c r="F9928" s="7"/>
      <c r="H9928" s="7"/>
      <c r="J9928" s="7"/>
      <c r="L9928" s="7"/>
      <c r="N9928" s="7"/>
      <c r="P9928" s="7"/>
      <c r="R9928" s="7"/>
      <c r="T9928" s="7"/>
      <c r="V9928" s="7"/>
      <c r="X9928" s="7"/>
    </row>
    <row r="9929" spans="2:24">
      <c r="B9929" s="7"/>
      <c r="D9929" s="7"/>
      <c r="F9929" s="7"/>
      <c r="H9929" s="7"/>
      <c r="J9929" s="7"/>
      <c r="L9929" s="7"/>
      <c r="N9929" s="7"/>
      <c r="P9929" s="7"/>
      <c r="R9929" s="7"/>
      <c r="T9929" s="7"/>
      <c r="V9929" s="7"/>
      <c r="X9929" s="7"/>
    </row>
    <row r="9930" spans="2:24">
      <c r="B9930" s="7"/>
      <c r="D9930" s="7"/>
      <c r="F9930" s="7"/>
      <c r="H9930" s="7"/>
      <c r="J9930" s="7"/>
      <c r="L9930" s="7"/>
      <c r="N9930" s="7"/>
      <c r="P9930" s="7"/>
      <c r="R9930" s="7"/>
      <c r="T9930" s="7"/>
      <c r="V9930" s="7"/>
      <c r="X9930" s="7"/>
    </row>
    <row r="9931" spans="2:24">
      <c r="B9931" s="7"/>
      <c r="D9931" s="7"/>
      <c r="F9931" s="7"/>
      <c r="H9931" s="7"/>
      <c r="J9931" s="7"/>
      <c r="L9931" s="7"/>
      <c r="N9931" s="7"/>
      <c r="P9931" s="7"/>
      <c r="R9931" s="7"/>
      <c r="T9931" s="7"/>
      <c r="V9931" s="7"/>
      <c r="X9931" s="7"/>
    </row>
    <row r="9932" spans="2:24">
      <c r="B9932" s="7"/>
      <c r="D9932" s="7"/>
      <c r="F9932" s="7"/>
      <c r="H9932" s="7"/>
      <c r="J9932" s="7"/>
      <c r="L9932" s="7"/>
      <c r="N9932" s="7"/>
      <c r="P9932" s="7"/>
      <c r="R9932" s="7"/>
      <c r="T9932" s="7"/>
      <c r="V9932" s="7"/>
      <c r="X9932" s="7"/>
    </row>
    <row r="9933" spans="2:24">
      <c r="B9933" s="7"/>
      <c r="D9933" s="7"/>
      <c r="F9933" s="7"/>
      <c r="H9933" s="7"/>
      <c r="J9933" s="7"/>
      <c r="L9933" s="7"/>
      <c r="N9933" s="7"/>
      <c r="P9933" s="7"/>
      <c r="R9933" s="7"/>
      <c r="T9933" s="7"/>
      <c r="V9933" s="7"/>
      <c r="X9933" s="7"/>
    </row>
    <row r="9934" spans="2:24">
      <c r="B9934" s="7"/>
      <c r="D9934" s="7"/>
      <c r="F9934" s="7"/>
      <c r="H9934" s="7"/>
      <c r="J9934" s="7"/>
      <c r="L9934" s="7"/>
      <c r="N9934" s="7"/>
      <c r="P9934" s="7"/>
      <c r="R9934" s="7"/>
      <c r="T9934" s="7"/>
      <c r="V9934" s="7"/>
      <c r="X9934" s="7"/>
    </row>
    <row r="9935" spans="2:24">
      <c r="B9935" s="7"/>
      <c r="D9935" s="7"/>
      <c r="F9935" s="7"/>
      <c r="H9935" s="7"/>
      <c r="J9935" s="7"/>
      <c r="L9935" s="7"/>
      <c r="N9935" s="7"/>
      <c r="P9935" s="7"/>
      <c r="R9935" s="7"/>
      <c r="T9935" s="7"/>
      <c r="V9935" s="7"/>
      <c r="X9935" s="7"/>
    </row>
    <row r="9936" spans="2:24">
      <c r="B9936" s="7"/>
      <c r="D9936" s="7"/>
      <c r="F9936" s="7"/>
      <c r="H9936" s="7"/>
      <c r="J9936" s="7"/>
      <c r="L9936" s="7"/>
      <c r="N9936" s="7"/>
      <c r="P9936" s="7"/>
      <c r="R9936" s="7"/>
      <c r="T9936" s="7"/>
      <c r="V9936" s="7"/>
      <c r="X9936" s="7"/>
    </row>
    <row r="9937" spans="2:24">
      <c r="B9937" s="7"/>
      <c r="D9937" s="7"/>
      <c r="F9937" s="7"/>
      <c r="H9937" s="7"/>
      <c r="J9937" s="7"/>
      <c r="L9937" s="7"/>
      <c r="N9937" s="7"/>
      <c r="P9937" s="7"/>
      <c r="R9937" s="7"/>
      <c r="T9937" s="7"/>
      <c r="V9937" s="7"/>
      <c r="X9937" s="7"/>
    </row>
    <row r="9938" spans="2:24">
      <c r="B9938" s="7"/>
      <c r="D9938" s="7"/>
      <c r="F9938" s="7"/>
      <c r="H9938" s="7"/>
      <c r="J9938" s="7"/>
      <c r="L9938" s="7"/>
      <c r="N9938" s="7"/>
      <c r="P9938" s="7"/>
      <c r="R9938" s="7"/>
      <c r="T9938" s="7"/>
      <c r="V9938" s="7"/>
      <c r="X9938" s="7"/>
    </row>
    <row r="9939" spans="2:24">
      <c r="B9939" s="7"/>
      <c r="D9939" s="7"/>
      <c r="F9939" s="7"/>
      <c r="H9939" s="7"/>
      <c r="J9939" s="7"/>
      <c r="L9939" s="7"/>
      <c r="N9939" s="7"/>
      <c r="P9939" s="7"/>
      <c r="R9939" s="7"/>
      <c r="T9939" s="7"/>
      <c r="V9939" s="7"/>
      <c r="X9939" s="7"/>
    </row>
    <row r="9940" spans="2:24">
      <c r="B9940" s="7"/>
      <c r="D9940" s="7"/>
      <c r="F9940" s="7"/>
      <c r="H9940" s="7"/>
      <c r="J9940" s="7"/>
      <c r="L9940" s="7"/>
      <c r="N9940" s="7"/>
      <c r="P9940" s="7"/>
      <c r="R9940" s="7"/>
      <c r="T9940" s="7"/>
      <c r="V9940" s="7"/>
      <c r="X9940" s="7"/>
    </row>
    <row r="9941" spans="2:24">
      <c r="B9941" s="7"/>
      <c r="D9941" s="7"/>
      <c r="F9941" s="7"/>
      <c r="H9941" s="7"/>
      <c r="J9941" s="7"/>
      <c r="L9941" s="7"/>
      <c r="N9941" s="7"/>
      <c r="P9941" s="7"/>
      <c r="R9941" s="7"/>
      <c r="T9941" s="7"/>
      <c r="V9941" s="7"/>
      <c r="X9941" s="7"/>
    </row>
    <row r="9942" spans="2:24">
      <c r="B9942" s="7"/>
      <c r="D9942" s="7"/>
      <c r="F9942" s="7"/>
      <c r="H9942" s="7"/>
      <c r="J9942" s="7"/>
      <c r="L9942" s="7"/>
      <c r="N9942" s="7"/>
      <c r="P9942" s="7"/>
      <c r="R9942" s="7"/>
      <c r="T9942" s="7"/>
      <c r="V9942" s="7"/>
      <c r="X9942" s="7"/>
    </row>
    <row r="9943" spans="2:24">
      <c r="B9943" s="7"/>
      <c r="D9943" s="7"/>
      <c r="F9943" s="7"/>
      <c r="H9943" s="7"/>
      <c r="J9943" s="7"/>
      <c r="L9943" s="7"/>
      <c r="N9943" s="7"/>
      <c r="P9943" s="7"/>
      <c r="R9943" s="7"/>
      <c r="T9943" s="7"/>
      <c r="V9943" s="7"/>
      <c r="X9943" s="7"/>
    </row>
    <row r="9944" spans="2:24">
      <c r="B9944" s="7"/>
      <c r="D9944" s="7"/>
      <c r="F9944" s="7"/>
      <c r="H9944" s="7"/>
      <c r="J9944" s="7"/>
      <c r="L9944" s="7"/>
      <c r="N9944" s="7"/>
      <c r="P9944" s="7"/>
      <c r="R9944" s="7"/>
      <c r="T9944" s="7"/>
      <c r="V9944" s="7"/>
      <c r="X9944" s="7"/>
    </row>
    <row r="9945" spans="2:24">
      <c r="B9945" s="7"/>
      <c r="D9945" s="7"/>
      <c r="F9945" s="7"/>
      <c r="H9945" s="7"/>
      <c r="J9945" s="7"/>
      <c r="L9945" s="7"/>
      <c r="N9945" s="7"/>
      <c r="P9945" s="7"/>
      <c r="R9945" s="7"/>
      <c r="T9945" s="7"/>
      <c r="V9945" s="7"/>
      <c r="X9945" s="7"/>
    </row>
    <row r="9946" spans="2:24">
      <c r="B9946" s="7"/>
      <c r="D9946" s="7"/>
      <c r="F9946" s="7"/>
      <c r="H9946" s="7"/>
      <c r="J9946" s="7"/>
      <c r="L9946" s="7"/>
      <c r="N9946" s="7"/>
      <c r="P9946" s="7"/>
      <c r="R9946" s="7"/>
      <c r="T9946" s="7"/>
      <c r="V9946" s="7"/>
      <c r="X9946" s="7"/>
    </row>
    <row r="9947" spans="2:24">
      <c r="B9947" s="7"/>
      <c r="D9947" s="7"/>
      <c r="F9947" s="7"/>
      <c r="H9947" s="7"/>
      <c r="J9947" s="7"/>
      <c r="L9947" s="7"/>
      <c r="N9947" s="7"/>
      <c r="P9947" s="7"/>
      <c r="R9947" s="7"/>
      <c r="T9947" s="7"/>
      <c r="V9947" s="7"/>
      <c r="X9947" s="7"/>
    </row>
    <row r="9948" spans="2:24">
      <c r="B9948" s="7"/>
      <c r="D9948" s="7"/>
      <c r="F9948" s="7"/>
      <c r="H9948" s="7"/>
      <c r="J9948" s="7"/>
      <c r="L9948" s="7"/>
      <c r="N9948" s="7"/>
      <c r="P9948" s="7"/>
      <c r="R9948" s="7"/>
      <c r="T9948" s="7"/>
      <c r="V9948" s="7"/>
      <c r="X9948" s="7"/>
    </row>
    <row r="9949" spans="2:24">
      <c r="B9949" s="7"/>
      <c r="D9949" s="7"/>
      <c r="F9949" s="7"/>
      <c r="H9949" s="7"/>
      <c r="J9949" s="7"/>
      <c r="L9949" s="7"/>
      <c r="N9949" s="7"/>
      <c r="P9949" s="7"/>
      <c r="R9949" s="7"/>
      <c r="T9949" s="7"/>
      <c r="V9949" s="7"/>
      <c r="X9949" s="7"/>
    </row>
    <row r="9950" spans="2:24">
      <c r="B9950" s="7"/>
      <c r="D9950" s="7"/>
      <c r="F9950" s="7"/>
      <c r="H9950" s="7"/>
      <c r="J9950" s="7"/>
      <c r="L9950" s="7"/>
      <c r="N9950" s="7"/>
      <c r="P9950" s="7"/>
      <c r="R9950" s="7"/>
      <c r="T9950" s="7"/>
      <c r="V9950" s="7"/>
      <c r="X9950" s="7"/>
    </row>
    <row r="9951" spans="2:24">
      <c r="B9951" s="7"/>
      <c r="D9951" s="7"/>
      <c r="F9951" s="7"/>
      <c r="H9951" s="7"/>
      <c r="J9951" s="7"/>
      <c r="L9951" s="7"/>
      <c r="N9951" s="7"/>
      <c r="P9951" s="7"/>
      <c r="R9951" s="7"/>
      <c r="T9951" s="7"/>
      <c r="V9951" s="7"/>
      <c r="X9951" s="7"/>
    </row>
    <row r="9952" spans="2:24">
      <c r="B9952" s="7"/>
      <c r="D9952" s="7"/>
      <c r="F9952" s="7"/>
      <c r="H9952" s="7"/>
      <c r="J9952" s="7"/>
      <c r="L9952" s="7"/>
      <c r="N9952" s="7"/>
      <c r="P9952" s="7"/>
      <c r="R9952" s="7"/>
      <c r="T9952" s="7"/>
      <c r="V9952" s="7"/>
      <c r="X9952" s="7"/>
    </row>
    <row r="9953" spans="2:24">
      <c r="B9953" s="7"/>
      <c r="D9953" s="7"/>
      <c r="F9953" s="7"/>
      <c r="H9953" s="7"/>
      <c r="J9953" s="7"/>
      <c r="L9953" s="7"/>
      <c r="N9953" s="7"/>
      <c r="P9953" s="7"/>
      <c r="R9953" s="7"/>
      <c r="T9953" s="7"/>
      <c r="V9953" s="7"/>
      <c r="X9953" s="7"/>
    </row>
    <row r="9954" spans="2:24">
      <c r="B9954" s="7"/>
      <c r="D9954" s="7"/>
      <c r="F9954" s="7"/>
      <c r="H9954" s="7"/>
      <c r="J9954" s="7"/>
      <c r="L9954" s="7"/>
      <c r="N9954" s="7"/>
      <c r="P9954" s="7"/>
      <c r="R9954" s="7"/>
      <c r="T9954" s="7"/>
      <c r="V9954" s="7"/>
      <c r="X9954" s="7"/>
    </row>
    <row r="9955" spans="2:24">
      <c r="B9955" s="7"/>
      <c r="D9955" s="7"/>
      <c r="F9955" s="7"/>
      <c r="H9955" s="7"/>
      <c r="J9955" s="7"/>
      <c r="L9955" s="7"/>
      <c r="N9955" s="7"/>
      <c r="P9955" s="7"/>
      <c r="R9955" s="7"/>
      <c r="T9955" s="7"/>
      <c r="V9955" s="7"/>
      <c r="X9955" s="7"/>
    </row>
    <row r="9956" spans="2:24">
      <c r="B9956" s="7"/>
      <c r="D9956" s="7"/>
      <c r="F9956" s="7"/>
      <c r="H9956" s="7"/>
      <c r="J9956" s="7"/>
      <c r="L9956" s="7"/>
      <c r="N9956" s="7"/>
      <c r="P9956" s="7"/>
      <c r="R9956" s="7"/>
      <c r="T9956" s="7"/>
      <c r="V9956" s="7"/>
      <c r="X9956" s="7"/>
    </row>
    <row r="9957" spans="2:24">
      <c r="B9957" s="7"/>
      <c r="D9957" s="7"/>
      <c r="F9957" s="7"/>
      <c r="H9957" s="7"/>
      <c r="J9957" s="7"/>
      <c r="L9957" s="7"/>
      <c r="N9957" s="7"/>
      <c r="P9957" s="7"/>
      <c r="R9957" s="7"/>
      <c r="T9957" s="7"/>
      <c r="V9957" s="7"/>
      <c r="X9957" s="7"/>
    </row>
    <row r="9958" spans="2:24">
      <c r="B9958" s="7"/>
      <c r="D9958" s="7"/>
      <c r="F9958" s="7"/>
      <c r="H9958" s="7"/>
      <c r="J9958" s="7"/>
      <c r="L9958" s="7"/>
      <c r="N9958" s="7"/>
      <c r="P9958" s="7"/>
      <c r="R9958" s="7"/>
      <c r="T9958" s="7"/>
      <c r="V9958" s="7"/>
      <c r="X9958" s="7"/>
    </row>
    <row r="9959" spans="2:24">
      <c r="B9959" s="7"/>
      <c r="D9959" s="7"/>
      <c r="F9959" s="7"/>
      <c r="H9959" s="7"/>
      <c r="J9959" s="7"/>
      <c r="L9959" s="7"/>
      <c r="N9959" s="7"/>
      <c r="P9959" s="7"/>
      <c r="R9959" s="7"/>
      <c r="T9959" s="7"/>
      <c r="V9959" s="7"/>
      <c r="X9959" s="7"/>
    </row>
    <row r="9960" spans="2:24">
      <c r="B9960" s="7"/>
      <c r="D9960" s="7"/>
      <c r="F9960" s="7"/>
      <c r="H9960" s="7"/>
      <c r="J9960" s="7"/>
      <c r="L9960" s="7"/>
      <c r="N9960" s="7"/>
      <c r="P9960" s="7"/>
      <c r="R9960" s="7"/>
      <c r="T9960" s="7"/>
      <c r="V9960" s="7"/>
      <c r="X9960" s="7"/>
    </row>
    <row r="9961" spans="2:24">
      <c r="B9961" s="7"/>
      <c r="D9961" s="7"/>
      <c r="F9961" s="7"/>
      <c r="H9961" s="7"/>
      <c r="J9961" s="7"/>
      <c r="L9961" s="7"/>
      <c r="N9961" s="7"/>
      <c r="P9961" s="7"/>
      <c r="R9961" s="7"/>
      <c r="T9961" s="7"/>
      <c r="V9961" s="7"/>
      <c r="X9961" s="7"/>
    </row>
    <row r="9962" spans="2:24">
      <c r="B9962" s="7"/>
      <c r="D9962" s="7"/>
      <c r="F9962" s="7"/>
      <c r="H9962" s="7"/>
      <c r="J9962" s="7"/>
      <c r="L9962" s="7"/>
      <c r="N9962" s="7"/>
      <c r="P9962" s="7"/>
      <c r="R9962" s="7"/>
      <c r="T9962" s="7"/>
      <c r="V9962" s="7"/>
      <c r="X9962" s="7"/>
    </row>
    <row r="9963" spans="2:24">
      <c r="B9963" s="7"/>
      <c r="D9963" s="7"/>
      <c r="F9963" s="7"/>
      <c r="H9963" s="7"/>
      <c r="J9963" s="7"/>
      <c r="L9963" s="7"/>
      <c r="N9963" s="7"/>
      <c r="P9963" s="7"/>
      <c r="R9963" s="7"/>
      <c r="T9963" s="7"/>
      <c r="V9963" s="7"/>
      <c r="X9963" s="7"/>
    </row>
    <row r="9964" spans="2:24">
      <c r="B9964" s="7"/>
      <c r="D9964" s="7"/>
      <c r="F9964" s="7"/>
      <c r="H9964" s="7"/>
      <c r="J9964" s="7"/>
      <c r="L9964" s="7"/>
      <c r="N9964" s="7"/>
      <c r="P9964" s="7"/>
      <c r="R9964" s="7"/>
      <c r="T9964" s="7"/>
      <c r="V9964" s="7"/>
      <c r="X9964" s="7"/>
    </row>
    <row r="9965" spans="2:24">
      <c r="B9965" s="7"/>
      <c r="D9965" s="7"/>
      <c r="F9965" s="7"/>
      <c r="H9965" s="7"/>
      <c r="J9965" s="7"/>
      <c r="L9965" s="7"/>
      <c r="N9965" s="7"/>
      <c r="P9965" s="7"/>
      <c r="R9965" s="7"/>
      <c r="T9965" s="7"/>
      <c r="V9965" s="7"/>
      <c r="X9965" s="7"/>
    </row>
    <row r="9966" spans="2:24">
      <c r="B9966" s="7"/>
      <c r="D9966" s="7"/>
      <c r="F9966" s="7"/>
      <c r="H9966" s="7"/>
      <c r="J9966" s="7"/>
      <c r="L9966" s="7"/>
      <c r="N9966" s="7"/>
      <c r="P9966" s="7"/>
      <c r="R9966" s="7"/>
      <c r="T9966" s="7"/>
      <c r="V9966" s="7"/>
      <c r="X9966" s="7"/>
    </row>
    <row r="9967" spans="2:24">
      <c r="B9967" s="7"/>
      <c r="D9967" s="7"/>
      <c r="F9967" s="7"/>
      <c r="H9967" s="7"/>
      <c r="J9967" s="7"/>
      <c r="L9967" s="7"/>
      <c r="N9967" s="7"/>
      <c r="P9967" s="7"/>
      <c r="R9967" s="7"/>
      <c r="T9967" s="7"/>
      <c r="V9967" s="7"/>
      <c r="X9967" s="7"/>
    </row>
    <row r="9968" spans="2:24">
      <c r="B9968" s="7"/>
      <c r="D9968" s="7"/>
      <c r="F9968" s="7"/>
      <c r="H9968" s="7"/>
      <c r="J9968" s="7"/>
      <c r="L9968" s="7"/>
      <c r="N9968" s="7"/>
      <c r="P9968" s="7"/>
      <c r="R9968" s="7"/>
      <c r="T9968" s="7"/>
      <c r="V9968" s="7"/>
      <c r="X9968" s="7"/>
    </row>
    <row r="9969" spans="2:24">
      <c r="B9969" s="7"/>
      <c r="D9969" s="7"/>
      <c r="F9969" s="7"/>
      <c r="H9969" s="7"/>
      <c r="J9969" s="7"/>
      <c r="L9969" s="7"/>
      <c r="N9969" s="7"/>
      <c r="P9969" s="7"/>
      <c r="R9969" s="7"/>
      <c r="T9969" s="7"/>
      <c r="V9969" s="7"/>
      <c r="X9969" s="7"/>
    </row>
    <row r="9970" spans="2:24">
      <c r="B9970" s="7"/>
      <c r="D9970" s="7"/>
      <c r="F9970" s="7"/>
      <c r="H9970" s="7"/>
      <c r="J9970" s="7"/>
      <c r="L9970" s="7"/>
      <c r="N9970" s="7"/>
      <c r="P9970" s="7"/>
      <c r="R9970" s="7"/>
      <c r="T9970" s="7"/>
      <c r="V9970" s="7"/>
      <c r="X9970" s="7"/>
    </row>
    <row r="9971" spans="2:24">
      <c r="B9971" s="7"/>
      <c r="D9971" s="7"/>
      <c r="F9971" s="7"/>
      <c r="H9971" s="7"/>
      <c r="J9971" s="7"/>
      <c r="L9971" s="7"/>
      <c r="N9971" s="7"/>
      <c r="P9971" s="7"/>
      <c r="R9971" s="7"/>
      <c r="T9971" s="7"/>
      <c r="V9971" s="7"/>
      <c r="X9971" s="7"/>
    </row>
    <row r="9972" spans="2:24">
      <c r="B9972" s="7"/>
      <c r="D9972" s="7"/>
      <c r="F9972" s="7"/>
      <c r="H9972" s="7"/>
      <c r="J9972" s="7"/>
      <c r="L9972" s="7"/>
      <c r="N9972" s="7"/>
      <c r="P9972" s="7"/>
      <c r="R9972" s="7"/>
      <c r="T9972" s="7"/>
      <c r="V9972" s="7"/>
      <c r="X9972" s="7"/>
    </row>
    <row r="9973" spans="2:24">
      <c r="B9973" s="7"/>
      <c r="D9973" s="7"/>
      <c r="F9973" s="7"/>
      <c r="H9973" s="7"/>
      <c r="J9973" s="7"/>
      <c r="L9973" s="7"/>
      <c r="N9973" s="7"/>
      <c r="P9973" s="7"/>
      <c r="R9973" s="7"/>
      <c r="T9973" s="7"/>
      <c r="V9973" s="7"/>
      <c r="X9973" s="7"/>
    </row>
    <row r="9974" spans="2:24">
      <c r="B9974" s="7"/>
      <c r="D9974" s="7"/>
      <c r="F9974" s="7"/>
      <c r="H9974" s="7"/>
      <c r="J9974" s="7"/>
      <c r="L9974" s="7"/>
      <c r="N9974" s="7"/>
      <c r="P9974" s="7"/>
      <c r="R9974" s="7"/>
      <c r="T9974" s="7"/>
      <c r="V9974" s="7"/>
      <c r="X9974" s="7"/>
    </row>
    <row r="9975" spans="2:24">
      <c r="B9975" s="7"/>
      <c r="D9975" s="7"/>
      <c r="F9975" s="7"/>
      <c r="H9975" s="7"/>
      <c r="J9975" s="7"/>
      <c r="L9975" s="7"/>
      <c r="N9975" s="7"/>
      <c r="P9975" s="7"/>
      <c r="R9975" s="7"/>
      <c r="T9975" s="7"/>
      <c r="V9975" s="7"/>
      <c r="X9975" s="7"/>
    </row>
    <row r="9976" spans="2:24">
      <c r="B9976" s="7"/>
      <c r="D9976" s="7"/>
      <c r="F9976" s="7"/>
      <c r="H9976" s="7"/>
      <c r="J9976" s="7"/>
      <c r="L9976" s="7"/>
      <c r="N9976" s="7"/>
      <c r="P9976" s="7"/>
      <c r="R9976" s="7"/>
      <c r="T9976" s="7"/>
      <c r="V9976" s="7"/>
      <c r="X9976" s="7"/>
    </row>
    <row r="9977" spans="2:24">
      <c r="B9977" s="7"/>
      <c r="D9977" s="7"/>
      <c r="F9977" s="7"/>
      <c r="H9977" s="7"/>
      <c r="J9977" s="7"/>
      <c r="L9977" s="7"/>
      <c r="N9977" s="7"/>
      <c r="P9977" s="7"/>
      <c r="R9977" s="7"/>
      <c r="T9977" s="7"/>
      <c r="V9977" s="7"/>
      <c r="X9977" s="7"/>
    </row>
    <row r="9978" spans="2:24">
      <c r="B9978" s="7"/>
      <c r="D9978" s="7"/>
      <c r="F9978" s="7"/>
      <c r="H9978" s="7"/>
      <c r="J9978" s="7"/>
      <c r="L9978" s="7"/>
      <c r="N9978" s="7"/>
      <c r="P9978" s="7"/>
      <c r="R9978" s="7"/>
      <c r="T9978" s="7"/>
      <c r="V9978" s="7"/>
      <c r="X9978" s="7"/>
    </row>
    <row r="9979" spans="2:24">
      <c r="B9979" s="7"/>
      <c r="D9979" s="7"/>
      <c r="F9979" s="7"/>
      <c r="H9979" s="7"/>
      <c r="J9979" s="7"/>
      <c r="L9979" s="7"/>
      <c r="N9979" s="7"/>
      <c r="P9979" s="7"/>
      <c r="R9979" s="7"/>
      <c r="T9979" s="7"/>
      <c r="V9979" s="7"/>
      <c r="X9979" s="7"/>
    </row>
    <row r="9980" spans="2:24">
      <c r="B9980" s="7"/>
      <c r="D9980" s="7"/>
      <c r="F9980" s="7"/>
      <c r="H9980" s="7"/>
      <c r="J9980" s="7"/>
      <c r="L9980" s="7"/>
      <c r="N9980" s="7"/>
      <c r="P9980" s="7"/>
      <c r="R9980" s="7"/>
      <c r="T9980" s="7"/>
      <c r="V9980" s="7"/>
      <c r="X9980" s="7"/>
    </row>
    <row r="9981" spans="2:24">
      <c r="B9981" s="7"/>
      <c r="D9981" s="7"/>
      <c r="F9981" s="7"/>
      <c r="H9981" s="7"/>
      <c r="J9981" s="7"/>
      <c r="L9981" s="7"/>
      <c r="N9981" s="7"/>
      <c r="P9981" s="7"/>
      <c r="R9981" s="7"/>
      <c r="T9981" s="7"/>
      <c r="V9981" s="7"/>
      <c r="X9981" s="7"/>
    </row>
    <row r="9982" spans="2:24">
      <c r="B9982" s="7"/>
      <c r="D9982" s="7"/>
      <c r="F9982" s="7"/>
      <c r="H9982" s="7"/>
      <c r="J9982" s="7"/>
      <c r="L9982" s="7"/>
      <c r="N9982" s="7"/>
      <c r="P9982" s="7"/>
      <c r="R9982" s="7"/>
      <c r="T9982" s="7"/>
      <c r="V9982" s="7"/>
      <c r="X9982" s="7"/>
    </row>
    <row r="9983" spans="2:24">
      <c r="B9983" s="7"/>
      <c r="D9983" s="7"/>
      <c r="F9983" s="7"/>
      <c r="H9983" s="7"/>
      <c r="J9983" s="7"/>
      <c r="L9983" s="7"/>
      <c r="N9983" s="7"/>
      <c r="P9983" s="7"/>
      <c r="R9983" s="7"/>
      <c r="T9983" s="7"/>
      <c r="V9983" s="7"/>
      <c r="X9983" s="7"/>
    </row>
    <row r="9984" spans="2:24">
      <c r="B9984" s="7"/>
      <c r="D9984" s="7"/>
      <c r="F9984" s="7"/>
      <c r="H9984" s="7"/>
      <c r="J9984" s="7"/>
      <c r="L9984" s="7"/>
      <c r="N9984" s="7"/>
      <c r="P9984" s="7"/>
      <c r="R9984" s="7"/>
      <c r="T9984" s="7"/>
      <c r="V9984" s="7"/>
      <c r="X9984" s="7"/>
    </row>
    <row r="9985" spans="2:24">
      <c r="B9985" s="7"/>
      <c r="D9985" s="7"/>
      <c r="F9985" s="7"/>
      <c r="H9985" s="7"/>
      <c r="J9985" s="7"/>
      <c r="L9985" s="7"/>
      <c r="N9985" s="7"/>
      <c r="P9985" s="7"/>
      <c r="R9985" s="7"/>
      <c r="T9985" s="7"/>
      <c r="V9985" s="7"/>
      <c r="X9985" s="7"/>
    </row>
    <row r="9986" spans="2:24">
      <c r="B9986" s="7"/>
      <c r="D9986" s="7"/>
      <c r="F9986" s="7"/>
      <c r="H9986" s="7"/>
      <c r="J9986" s="7"/>
      <c r="L9986" s="7"/>
      <c r="N9986" s="7"/>
      <c r="P9986" s="7"/>
      <c r="R9986" s="7"/>
      <c r="T9986" s="7"/>
      <c r="V9986" s="7"/>
      <c r="X9986" s="7"/>
    </row>
    <row r="9987" spans="2:24">
      <c r="B9987" s="7"/>
      <c r="D9987" s="7"/>
      <c r="F9987" s="7"/>
      <c r="H9987" s="7"/>
      <c r="J9987" s="7"/>
      <c r="L9987" s="7"/>
      <c r="N9987" s="7"/>
      <c r="P9987" s="7"/>
      <c r="R9987" s="7"/>
      <c r="T9987" s="7"/>
      <c r="V9987" s="7"/>
      <c r="X9987" s="7"/>
    </row>
    <row r="9988" spans="2:24">
      <c r="B9988" s="7"/>
      <c r="D9988" s="7"/>
      <c r="F9988" s="7"/>
      <c r="H9988" s="7"/>
      <c r="J9988" s="7"/>
      <c r="L9988" s="7"/>
      <c r="N9988" s="7"/>
      <c r="P9988" s="7"/>
      <c r="R9988" s="7"/>
      <c r="T9988" s="7"/>
      <c r="V9988" s="7"/>
      <c r="X9988" s="7"/>
    </row>
    <row r="9989" spans="2:24">
      <c r="B9989" s="7"/>
      <c r="D9989" s="7"/>
      <c r="F9989" s="7"/>
      <c r="H9989" s="7"/>
      <c r="J9989" s="7"/>
      <c r="L9989" s="7"/>
      <c r="N9989" s="7"/>
      <c r="P9989" s="7"/>
      <c r="R9989" s="7"/>
      <c r="T9989" s="7"/>
      <c r="V9989" s="7"/>
      <c r="X9989" s="7"/>
    </row>
    <row r="9990" spans="2:24">
      <c r="B9990" s="7"/>
      <c r="D9990" s="7"/>
      <c r="F9990" s="7"/>
      <c r="H9990" s="7"/>
      <c r="J9990" s="7"/>
      <c r="L9990" s="7"/>
      <c r="N9990" s="7"/>
      <c r="P9990" s="7"/>
      <c r="R9990" s="7"/>
      <c r="T9990" s="7"/>
      <c r="V9990" s="7"/>
      <c r="X9990" s="7"/>
    </row>
    <row r="9991" spans="2:24">
      <c r="B9991" s="7"/>
      <c r="D9991" s="7"/>
      <c r="F9991" s="7"/>
      <c r="H9991" s="7"/>
      <c r="J9991" s="7"/>
      <c r="L9991" s="7"/>
      <c r="N9991" s="7"/>
      <c r="P9991" s="7"/>
      <c r="R9991" s="7"/>
      <c r="T9991" s="7"/>
      <c r="V9991" s="7"/>
      <c r="X9991" s="7"/>
    </row>
    <row r="9992" spans="2:24">
      <c r="B9992" s="7"/>
      <c r="D9992" s="7"/>
      <c r="F9992" s="7"/>
      <c r="H9992" s="7"/>
      <c r="J9992" s="7"/>
      <c r="L9992" s="7"/>
      <c r="N9992" s="7"/>
      <c r="P9992" s="7"/>
      <c r="R9992" s="7"/>
      <c r="T9992" s="7"/>
      <c r="V9992" s="7"/>
      <c r="X9992" s="7"/>
    </row>
    <row r="9993" spans="2:24">
      <c r="B9993" s="7"/>
      <c r="D9993" s="7"/>
      <c r="F9993" s="7"/>
      <c r="H9993" s="7"/>
      <c r="J9993" s="7"/>
      <c r="L9993" s="7"/>
      <c r="N9993" s="7"/>
      <c r="P9993" s="7"/>
      <c r="R9993" s="7"/>
      <c r="T9993" s="7"/>
      <c r="V9993" s="7"/>
      <c r="X9993" s="7"/>
    </row>
    <row r="9994" spans="2:24">
      <c r="B9994" s="7"/>
      <c r="D9994" s="7"/>
      <c r="F9994" s="7"/>
      <c r="H9994" s="7"/>
      <c r="J9994" s="7"/>
      <c r="L9994" s="7"/>
      <c r="N9994" s="7"/>
      <c r="P9994" s="7"/>
      <c r="R9994" s="7"/>
      <c r="T9994" s="7"/>
      <c r="V9994" s="7"/>
      <c r="X9994" s="7"/>
    </row>
    <row r="9995" spans="2:24">
      <c r="B9995" s="7"/>
      <c r="D9995" s="7"/>
      <c r="F9995" s="7"/>
      <c r="H9995" s="7"/>
      <c r="J9995" s="7"/>
      <c r="L9995" s="7"/>
      <c r="N9995" s="7"/>
      <c r="P9995" s="7"/>
      <c r="R9995" s="7"/>
      <c r="T9995" s="7"/>
      <c r="V9995" s="7"/>
      <c r="X9995" s="7"/>
    </row>
    <row r="9996" spans="2:24">
      <c r="B9996" s="7"/>
      <c r="D9996" s="7"/>
      <c r="F9996" s="7"/>
      <c r="H9996" s="7"/>
      <c r="J9996" s="7"/>
      <c r="L9996" s="7"/>
      <c r="N9996" s="7"/>
      <c r="P9996" s="7"/>
      <c r="R9996" s="7"/>
      <c r="T9996" s="7"/>
      <c r="V9996" s="7"/>
      <c r="X9996" s="7"/>
    </row>
    <row r="9997" spans="2:24">
      <c r="B9997" s="7"/>
      <c r="D9997" s="7"/>
      <c r="F9997" s="7"/>
      <c r="H9997" s="7"/>
      <c r="J9997" s="7"/>
      <c r="L9997" s="7"/>
      <c r="N9997" s="7"/>
      <c r="P9997" s="7"/>
      <c r="R9997" s="7"/>
      <c r="T9997" s="7"/>
      <c r="V9997" s="7"/>
      <c r="X9997" s="7"/>
    </row>
    <row r="9998" spans="2:24">
      <c r="B9998" s="7"/>
      <c r="D9998" s="7"/>
      <c r="F9998" s="7"/>
      <c r="H9998" s="7"/>
      <c r="J9998" s="7"/>
      <c r="L9998" s="7"/>
      <c r="N9998" s="7"/>
      <c r="P9998" s="7"/>
      <c r="R9998" s="7"/>
      <c r="T9998" s="7"/>
      <c r="V9998" s="7"/>
      <c r="X9998" s="7"/>
    </row>
    <row r="9999" spans="2:24">
      <c r="B9999" s="7"/>
      <c r="D9999" s="7"/>
      <c r="F9999" s="7"/>
      <c r="H9999" s="7"/>
      <c r="J9999" s="7"/>
      <c r="L9999" s="7"/>
      <c r="N9999" s="7"/>
      <c r="P9999" s="7"/>
      <c r="R9999" s="7"/>
      <c r="T9999" s="7"/>
      <c r="V9999" s="7"/>
      <c r="X9999" s="7"/>
    </row>
    <row r="10000" spans="2:24">
      <c r="B10000" s="7"/>
      <c r="D10000" s="7"/>
      <c r="F10000" s="7"/>
      <c r="H10000" s="7"/>
      <c r="J10000" s="7"/>
      <c r="L10000" s="7"/>
      <c r="N10000" s="7"/>
      <c r="P10000" s="7"/>
      <c r="R10000" s="7"/>
      <c r="T10000" s="7"/>
      <c r="V10000" s="7"/>
      <c r="X10000" s="7"/>
    </row>
    <row r="10001" spans="2:24">
      <c r="B10001" s="7"/>
      <c r="D10001" s="7"/>
      <c r="F10001" s="7"/>
      <c r="H10001" s="7"/>
      <c r="J10001" s="7"/>
      <c r="L10001" s="7"/>
      <c r="N10001" s="7"/>
      <c r="P10001" s="7"/>
      <c r="R10001" s="7"/>
      <c r="T10001" s="7"/>
      <c r="V10001" s="7"/>
      <c r="X10001" s="7"/>
    </row>
    <row r="10002" spans="2:24">
      <c r="B10002" s="7"/>
      <c r="D10002" s="7"/>
      <c r="F10002" s="7"/>
      <c r="H10002" s="7"/>
      <c r="J10002" s="7"/>
      <c r="L10002" s="7"/>
      <c r="N10002" s="7"/>
      <c r="P10002" s="7"/>
      <c r="R10002" s="7"/>
      <c r="T10002" s="7"/>
      <c r="V10002" s="7"/>
      <c r="X10002" s="7"/>
    </row>
    <row r="10003" spans="2:24">
      <c r="B10003" s="7"/>
      <c r="D10003" s="7"/>
      <c r="F10003" s="7"/>
      <c r="H10003" s="7"/>
      <c r="J10003" s="7"/>
      <c r="L10003" s="7"/>
      <c r="N10003" s="7"/>
      <c r="P10003" s="7"/>
      <c r="R10003" s="7"/>
      <c r="T10003" s="7"/>
      <c r="V10003" s="7"/>
      <c r="X10003" s="7"/>
    </row>
    <row r="10004" spans="2:24">
      <c r="B10004" s="7"/>
      <c r="D10004" s="7"/>
      <c r="F10004" s="7"/>
      <c r="H10004" s="7"/>
      <c r="J10004" s="7"/>
      <c r="L10004" s="7"/>
      <c r="N10004" s="7"/>
      <c r="P10004" s="7"/>
      <c r="R10004" s="7"/>
      <c r="T10004" s="7"/>
      <c r="V10004" s="7"/>
      <c r="X10004" s="7"/>
    </row>
    <row r="10005" spans="2:24">
      <c r="B10005" s="7"/>
      <c r="D10005" s="7"/>
      <c r="F10005" s="7"/>
      <c r="H10005" s="7"/>
      <c r="J10005" s="7"/>
      <c r="L10005" s="7"/>
      <c r="N10005" s="7"/>
      <c r="P10005" s="7"/>
      <c r="R10005" s="7"/>
      <c r="T10005" s="7"/>
      <c r="V10005" s="7"/>
      <c r="X10005" s="7"/>
    </row>
    <row r="10006" spans="2:24">
      <c r="B10006" s="7"/>
      <c r="D10006" s="7"/>
      <c r="F10006" s="7"/>
      <c r="H10006" s="7"/>
      <c r="J10006" s="7"/>
      <c r="L10006" s="7"/>
      <c r="N10006" s="7"/>
      <c r="P10006" s="7"/>
      <c r="R10006" s="7"/>
      <c r="T10006" s="7"/>
      <c r="V10006" s="7"/>
      <c r="X10006" s="7"/>
    </row>
    <row r="10007" spans="2:24">
      <c r="B10007" s="7"/>
      <c r="D10007" s="7"/>
      <c r="F10007" s="7"/>
      <c r="H10007" s="7"/>
      <c r="J10007" s="7"/>
      <c r="L10007" s="7"/>
      <c r="N10007" s="7"/>
      <c r="P10007" s="7"/>
      <c r="R10007" s="7"/>
      <c r="T10007" s="7"/>
      <c r="V10007" s="7"/>
      <c r="X10007" s="7"/>
    </row>
    <row r="10008" spans="2:24">
      <c r="B10008" s="7"/>
      <c r="D10008" s="7"/>
      <c r="F10008" s="7"/>
      <c r="H10008" s="7"/>
      <c r="J10008" s="7"/>
      <c r="L10008" s="7"/>
      <c r="N10008" s="7"/>
      <c r="P10008" s="7"/>
      <c r="R10008" s="7"/>
      <c r="T10008" s="7"/>
      <c r="V10008" s="7"/>
      <c r="X10008" s="7"/>
    </row>
    <row r="10009" spans="2:24">
      <c r="B10009" s="7"/>
      <c r="D10009" s="7"/>
      <c r="F10009" s="7"/>
      <c r="H10009" s="7"/>
      <c r="J10009" s="7"/>
      <c r="L10009" s="7"/>
      <c r="N10009" s="7"/>
      <c r="P10009" s="7"/>
      <c r="R10009" s="7"/>
      <c r="T10009" s="7"/>
      <c r="V10009" s="7"/>
      <c r="X10009" s="7"/>
    </row>
    <row r="10010" spans="2:24">
      <c r="B10010" s="7"/>
      <c r="D10010" s="7"/>
      <c r="F10010" s="7"/>
      <c r="H10010" s="7"/>
      <c r="J10010" s="7"/>
      <c r="L10010" s="7"/>
      <c r="N10010" s="7"/>
      <c r="P10010" s="7"/>
      <c r="R10010" s="7"/>
      <c r="T10010" s="7"/>
      <c r="V10010" s="7"/>
      <c r="X10010" s="7"/>
    </row>
    <row r="10011" spans="2:24">
      <c r="B10011" s="7"/>
      <c r="D10011" s="7"/>
      <c r="F10011" s="7"/>
      <c r="H10011" s="7"/>
      <c r="J10011" s="7"/>
      <c r="L10011" s="7"/>
      <c r="N10011" s="7"/>
      <c r="P10011" s="7"/>
      <c r="R10011" s="7"/>
      <c r="T10011" s="7"/>
      <c r="V10011" s="7"/>
      <c r="X10011" s="7"/>
    </row>
    <row r="10012" spans="2:24">
      <c r="B10012" s="7"/>
      <c r="D10012" s="7"/>
      <c r="F10012" s="7"/>
      <c r="H10012" s="7"/>
      <c r="J10012" s="7"/>
      <c r="L10012" s="7"/>
      <c r="N10012" s="7"/>
      <c r="P10012" s="7"/>
      <c r="R10012" s="7"/>
      <c r="T10012" s="7"/>
      <c r="V10012" s="7"/>
      <c r="X10012" s="7"/>
    </row>
    <row r="10013" spans="2:24">
      <c r="B10013" s="7"/>
      <c r="D10013" s="7"/>
      <c r="F10013" s="7"/>
      <c r="H10013" s="7"/>
      <c r="J10013" s="7"/>
      <c r="L10013" s="7"/>
      <c r="N10013" s="7"/>
      <c r="P10013" s="7"/>
      <c r="R10013" s="7"/>
      <c r="T10013" s="7"/>
      <c r="V10013" s="7"/>
      <c r="X10013" s="7"/>
    </row>
    <row r="10014" spans="2:24">
      <c r="B10014" s="7"/>
      <c r="D10014" s="7"/>
      <c r="F10014" s="7"/>
      <c r="H10014" s="7"/>
      <c r="J10014" s="7"/>
      <c r="L10014" s="7"/>
      <c r="N10014" s="7"/>
      <c r="P10014" s="7"/>
      <c r="R10014" s="7"/>
      <c r="T10014" s="7"/>
      <c r="V10014" s="7"/>
      <c r="X10014" s="7"/>
    </row>
    <row r="10015" spans="2:24">
      <c r="B10015" s="7"/>
      <c r="D10015" s="7"/>
      <c r="F10015" s="7"/>
      <c r="H10015" s="7"/>
      <c r="J10015" s="7"/>
      <c r="L10015" s="7"/>
      <c r="N10015" s="7"/>
      <c r="P10015" s="7"/>
      <c r="R10015" s="7"/>
      <c r="T10015" s="7"/>
      <c r="V10015" s="7"/>
      <c r="X10015" s="7"/>
    </row>
    <row r="10016" spans="2:24">
      <c r="B10016" s="7"/>
      <c r="D10016" s="7"/>
      <c r="F10016" s="7"/>
      <c r="H10016" s="7"/>
      <c r="J10016" s="7"/>
      <c r="L10016" s="7"/>
      <c r="N10016" s="7"/>
      <c r="P10016" s="7"/>
      <c r="R10016" s="7"/>
      <c r="T10016" s="7"/>
      <c r="V10016" s="7"/>
      <c r="X10016" s="7"/>
    </row>
    <row r="10017" spans="2:24">
      <c r="B10017" s="7"/>
      <c r="D10017" s="7"/>
      <c r="F10017" s="7"/>
      <c r="H10017" s="7"/>
      <c r="J10017" s="7"/>
      <c r="L10017" s="7"/>
      <c r="N10017" s="7"/>
      <c r="P10017" s="7"/>
      <c r="R10017" s="7"/>
      <c r="T10017" s="7"/>
      <c r="V10017" s="7"/>
      <c r="X10017" s="7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BOND&amp;IRS_SP</vt:lpstr>
      <vt:lpstr>BOND</vt:lpstr>
      <vt:lpstr>IRS</vt:lpstr>
      <vt:lpstr>code_list</vt:lpstr>
      <vt:lpstr>name_list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2018-03-12T07:05:35Z</dcterms:created>
  <dcterms:modified xsi:type="dcterms:W3CDTF">2025-03-26T07:18:43Z</dcterms:modified>
</cp:coreProperties>
</file>